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4.xml" ContentType="application/vnd.openxmlformats-officedocument.spreadsheetml.comments+xml"/>
  <Override PartName="/xl/tables/table14.xml" ContentType="application/vnd.openxmlformats-officedocument.spreadsheetml.table+xml"/>
  <Override PartName="/xl/comments5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MEDOJorge\Documents\Python projects\Horse Luis\VTT Tool\"/>
    </mc:Choice>
  </mc:AlternateContent>
  <xr:revisionPtr revIDLastSave="0" documentId="13_ncr:1_{7572B999-3832-48B4-8466-4F2ECA9DA7DD}" xr6:coauthVersionLast="47" xr6:coauthVersionMax="47" xr10:uidLastSave="{00000000-0000-0000-0000-000000000000}"/>
  <bookViews>
    <workbookView xWindow="-108" yWindow="-108" windowWidth="23256" windowHeight="12456" tabRatio="726" activeTab="2" xr2:uid="{00000000-000D-0000-FFFF-FFFF00000000}"/>
  </bookViews>
  <sheets>
    <sheet name="schema actif" sheetId="1" r:id="rId1"/>
    <sheet name="schema by ID actif" sheetId="2" r:id="rId2"/>
    <sheet name="Hoja1" sheetId="16" r:id="rId3"/>
    <sheet name="schema by ID next" sheetId="3" r:id="rId4"/>
    <sheet name="VTT actif" sheetId="4" r:id="rId5"/>
    <sheet name="schema project" sheetId="5" state="hidden" r:id="rId6"/>
    <sheet name="schema by ID project" sheetId="6" state="hidden" r:id="rId7"/>
    <sheet name="VTT project" sheetId="7" state="hidden" r:id="rId8"/>
    <sheet name="VTT next" sheetId="8" r:id="rId9"/>
    <sheet name="Plant_AILN" sheetId="9" r:id="rId10"/>
    <sheet name="Order" sheetId="10" r:id="rId11"/>
    <sheet name="DATA BTO" sheetId="11" r:id="rId12"/>
    <sheet name="DATA ILN" sheetId="12" r:id="rId13"/>
    <sheet name="DATA Consignee" sheetId="13" r:id="rId14"/>
    <sheet name="Transport" sheetId="14" r:id="rId15"/>
    <sheet name="Notice" sheetId="15" r:id="rId16"/>
  </sheets>
  <externalReferences>
    <externalReference r:id="rId17"/>
  </externalReferences>
  <definedNames>
    <definedName name="_Filter2" localSheetId="11" hidden="1">'DATA BTO'!$B$2:$O$2</definedName>
    <definedName name="a" localSheetId="11" hidden="1">'DATA BTO'!$B$2:$O$2</definedName>
    <definedName name="AILNname" localSheetId="1">OFFSET([1]Plant_AILN!$F$2,0,0,COUNTA([1]Plant_AILN!$F:$F),1)</definedName>
    <definedName name="AILNname" localSheetId="3">OFFSET([1]Plant_AILN!$F$2,0,0,COUNTA([1]Plant_AILN!$F:$F),1)</definedName>
    <definedName name="AILNname">OFFSET(Plant_AILN!$F$2,0,0,COUNTA(Plant_AILN!$F:$F),1)</definedName>
    <definedName name="Countryname" localSheetId="1">_xlfn.UNIQUE(OFFSET([1]Plant_AILN!$D$2,0,0,COUNTA([1]Plant_AILN!$D:$D),1))</definedName>
    <definedName name="Countryname" localSheetId="3">_xlfn.UNIQUE(OFFSET([1]Plant_AILN!$D$2,0,0,COUNTA([1]Plant_AILN!$D:$D),1))</definedName>
    <definedName name="Countryname">_xlfn.UNIQUE(OFFSET(Plant_AILN!$D$2,0,0,COUNTA(Plant_AILN!$D:$D),1))</definedName>
    <definedName name="PFIname" localSheetId="1">OFFSET([1]Plant_AILN!$I$2,0,0,COUNTA([1]Plant_AILN!$I:$I),1)</definedName>
    <definedName name="PFIname" localSheetId="3">OFFSET([1]Plant_AILN!$I$2,0,0,COUNTA([1]Plant_AILN!$I:$I),1)</definedName>
    <definedName name="PFIname">OFFSET(Plant_AILN!$I$2,0,0,COUNTA(Plant_AILN!$I:$I),1)</definedName>
    <definedName name="plantname" localSheetId="1">OFFSET([1]Plant_AILN!$A$2,0,0,COUNTA([1]Plant_AILN!$A:$A),1)</definedName>
    <definedName name="plantname" localSheetId="3">OFFSET([1]Plant_AILN!$A$2,0,0,COUNTA([1]Plant_AILN!$A:$A),1)</definedName>
    <definedName name="plantname">OFFSET(Plant_AILN!$A$2,0,0,COUNTA(Plant_AILN!$A:$A),1)</definedName>
    <definedName name="shippername" localSheetId="1">OFFSET([1]Plant_AILN!$L$2,0,0,COUNTA([1]Plant_AILN!$L:$L),1)</definedName>
    <definedName name="shippername" localSheetId="3">OFFSET([1]Plant_AILN!$L$2,0,0,COUNTA([1]Plant_AILN!$L:$L),1)</definedName>
    <definedName name="shippername">OFFSET(Plant_AILN!$L$2,0,0,COUNTA(Plant_AILN!$L:$L),1)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X35" i="15" l="1"/>
  <c r="DW35" i="15"/>
  <c r="DV35" i="15"/>
  <c r="DU35" i="15"/>
  <c r="DT35" i="15"/>
  <c r="DS35" i="15"/>
  <c r="DR35" i="15"/>
  <c r="DQ35" i="15"/>
  <c r="DP35" i="15"/>
  <c r="DO35" i="15"/>
  <c r="DN35" i="15"/>
  <c r="DM35" i="15"/>
  <c r="DL35" i="15"/>
  <c r="DK35" i="15"/>
  <c r="DJ35" i="15"/>
  <c r="DI35" i="15"/>
  <c r="DH35" i="15"/>
  <c r="DG35" i="15"/>
  <c r="DF35" i="15"/>
  <c r="DE35" i="15"/>
  <c r="DD35" i="15"/>
  <c r="DC35" i="15"/>
  <c r="DB35" i="15"/>
  <c r="DA35" i="15"/>
  <c r="CZ35" i="15"/>
  <c r="CY35" i="15"/>
  <c r="CX35" i="15"/>
  <c r="CW35" i="15"/>
  <c r="CV35" i="15"/>
  <c r="CU35" i="15"/>
  <c r="CT35" i="15"/>
  <c r="CS35" i="15"/>
  <c r="CR35" i="15"/>
  <c r="CQ35" i="15"/>
  <c r="CP35" i="15"/>
  <c r="CO35" i="15"/>
  <c r="CN35" i="15"/>
  <c r="CM35" i="15"/>
  <c r="CL35" i="15"/>
  <c r="CK35" i="15"/>
  <c r="CJ35" i="15"/>
  <c r="CI35" i="15"/>
  <c r="CH35" i="15"/>
  <c r="CG35" i="15"/>
  <c r="CF35" i="15"/>
  <c r="CE35" i="15"/>
  <c r="CD35" i="15"/>
  <c r="CC35" i="15"/>
  <c r="CB35" i="15"/>
  <c r="CA35" i="15"/>
  <c r="BZ35" i="15"/>
  <c r="BY35" i="15"/>
  <c r="BX35" i="15"/>
  <c r="BW35" i="15"/>
  <c r="BV35" i="15"/>
  <c r="BU35" i="15"/>
  <c r="BT35" i="15"/>
  <c r="BS35" i="15"/>
  <c r="BR35" i="15"/>
  <c r="BQ35" i="15"/>
  <c r="BP35" i="15"/>
  <c r="BO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C35" i="15"/>
  <c r="DX33" i="15"/>
  <c r="DW33" i="15"/>
  <c r="DV33" i="15"/>
  <c r="DU33" i="15"/>
  <c r="DT33" i="15"/>
  <c r="DS33" i="15"/>
  <c r="DR33" i="15"/>
  <c r="DQ33" i="15"/>
  <c r="DP33" i="15"/>
  <c r="DO33" i="15"/>
  <c r="DN33" i="15"/>
  <c r="DM33" i="15"/>
  <c r="DL33" i="15"/>
  <c r="DK33" i="15"/>
  <c r="DJ33" i="15"/>
  <c r="DI33" i="15"/>
  <c r="DH33" i="15"/>
  <c r="DG33" i="15"/>
  <c r="DF33" i="15"/>
  <c r="DE33" i="15"/>
  <c r="DD33" i="15"/>
  <c r="DC33" i="15"/>
  <c r="DB33" i="15"/>
  <c r="DA33" i="15"/>
  <c r="CZ33" i="15"/>
  <c r="CY33" i="15"/>
  <c r="CX33" i="15"/>
  <c r="CW33" i="15"/>
  <c r="CV33" i="15"/>
  <c r="CU33" i="15"/>
  <c r="CT33" i="15"/>
  <c r="CS33" i="15"/>
  <c r="CR33" i="15"/>
  <c r="CQ33" i="15"/>
  <c r="CP33" i="15"/>
  <c r="CO33" i="15"/>
  <c r="CN33" i="15"/>
  <c r="CM33" i="15"/>
  <c r="CL33" i="15"/>
  <c r="CK33" i="15"/>
  <c r="CJ33" i="15"/>
  <c r="CI33" i="15"/>
  <c r="CH33" i="15"/>
  <c r="CG33" i="15"/>
  <c r="CF33" i="15"/>
  <c r="CE33" i="15"/>
  <c r="CD33" i="15"/>
  <c r="CC33" i="15"/>
  <c r="CB33" i="15"/>
  <c r="CA33" i="15"/>
  <c r="BZ33" i="15"/>
  <c r="BY33" i="15"/>
  <c r="BX33" i="15"/>
  <c r="BW33" i="15"/>
  <c r="BV33" i="15"/>
  <c r="BU33" i="15"/>
  <c r="BT33" i="15"/>
  <c r="BS33" i="15"/>
  <c r="BR33" i="15"/>
  <c r="BQ33" i="15"/>
  <c r="BP33" i="15"/>
  <c r="BO33" i="15"/>
  <c r="BN33" i="15"/>
  <c r="BM33" i="15"/>
  <c r="BL33" i="15"/>
  <c r="BK33" i="15"/>
  <c r="BJ33" i="15"/>
  <c r="BI33" i="15"/>
  <c r="BH33" i="15"/>
  <c r="BG33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C33" i="15"/>
  <c r="DX31" i="15"/>
  <c r="DW31" i="15"/>
  <c r="DV31" i="15"/>
  <c r="DU31" i="15"/>
  <c r="DT31" i="15"/>
  <c r="DS31" i="15"/>
  <c r="DR31" i="15"/>
  <c r="DQ31" i="15"/>
  <c r="DP31" i="15"/>
  <c r="DO31" i="15"/>
  <c r="DN31" i="15"/>
  <c r="DM31" i="15"/>
  <c r="DL31" i="15"/>
  <c r="DK31" i="15"/>
  <c r="DJ31" i="15"/>
  <c r="DI31" i="15"/>
  <c r="DH31" i="15"/>
  <c r="DG31" i="15"/>
  <c r="DF31" i="15"/>
  <c r="DE31" i="15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K31" i="15"/>
  <c r="CJ31" i="15"/>
  <c r="CI31" i="15"/>
  <c r="CH31" i="15"/>
  <c r="CG31" i="15"/>
  <c r="CF31" i="15"/>
  <c r="CE31" i="15"/>
  <c r="CD31" i="15"/>
  <c r="CC31" i="15"/>
  <c r="CB31" i="15"/>
  <c r="CA31" i="15"/>
  <c r="BZ31" i="15"/>
  <c r="BY31" i="15"/>
  <c r="BX31" i="15"/>
  <c r="BW31" i="15"/>
  <c r="BV31" i="15"/>
  <c r="BU31" i="15"/>
  <c r="BT31" i="15"/>
  <c r="BS31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S31" i="15"/>
  <c r="R31" i="15"/>
  <c r="Q31" i="15"/>
  <c r="P31" i="15"/>
  <c r="O31" i="15"/>
  <c r="N31" i="15"/>
  <c r="M31" i="15"/>
  <c r="L31" i="15"/>
  <c r="K31" i="15"/>
  <c r="J31" i="15"/>
  <c r="C31" i="15"/>
  <c r="DX29" i="15"/>
  <c r="DW29" i="15"/>
  <c r="DV29" i="15"/>
  <c r="DU29" i="15"/>
  <c r="DT29" i="15"/>
  <c r="DS29" i="15"/>
  <c r="DR29" i="15"/>
  <c r="DQ29" i="15"/>
  <c r="DP29" i="15"/>
  <c r="DO29" i="15"/>
  <c r="DN29" i="15"/>
  <c r="DM29" i="15"/>
  <c r="DL29" i="15"/>
  <c r="DK29" i="15"/>
  <c r="DJ29" i="15"/>
  <c r="DI29" i="15"/>
  <c r="DH29" i="15"/>
  <c r="DG29" i="15"/>
  <c r="DF29" i="15"/>
  <c r="DE29" i="15"/>
  <c r="DD29" i="15"/>
  <c r="DC29" i="15"/>
  <c r="DB29" i="15"/>
  <c r="DA29" i="15"/>
  <c r="CZ29" i="15"/>
  <c r="CY29" i="15"/>
  <c r="CX29" i="15"/>
  <c r="CW29" i="15"/>
  <c r="CV29" i="15"/>
  <c r="CU29" i="15"/>
  <c r="CT29" i="15"/>
  <c r="CS29" i="15"/>
  <c r="CR29" i="15"/>
  <c r="CQ29" i="15"/>
  <c r="CP29" i="15"/>
  <c r="CO29" i="15"/>
  <c r="CN29" i="15"/>
  <c r="CM29" i="15"/>
  <c r="CL29" i="15"/>
  <c r="CK29" i="15"/>
  <c r="CJ29" i="15"/>
  <c r="CI29" i="15"/>
  <c r="CH29" i="15"/>
  <c r="CG29" i="15"/>
  <c r="CF29" i="15"/>
  <c r="CE29" i="15"/>
  <c r="CD29" i="15"/>
  <c r="CC29" i="15"/>
  <c r="CB29" i="15"/>
  <c r="CA29" i="15"/>
  <c r="BZ29" i="15"/>
  <c r="BY29" i="15"/>
  <c r="BX29" i="15"/>
  <c r="BW29" i="15"/>
  <c r="BV29" i="15"/>
  <c r="BU29" i="15"/>
  <c r="BT29" i="15"/>
  <c r="BS29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C29" i="15"/>
  <c r="DX27" i="15"/>
  <c r="DW27" i="15"/>
  <c r="DV27" i="15"/>
  <c r="DU27" i="15"/>
  <c r="DT27" i="15"/>
  <c r="DS27" i="15"/>
  <c r="DR27" i="15"/>
  <c r="DQ27" i="15"/>
  <c r="DP27" i="15"/>
  <c r="DO27" i="15"/>
  <c r="DN27" i="15"/>
  <c r="DM27" i="15"/>
  <c r="DL27" i="15"/>
  <c r="DK27" i="15"/>
  <c r="DJ27" i="15"/>
  <c r="DI27" i="15"/>
  <c r="DH27" i="15"/>
  <c r="DG27" i="15"/>
  <c r="DF27" i="15"/>
  <c r="DE27" i="15"/>
  <c r="DD27" i="15"/>
  <c r="DC27" i="15"/>
  <c r="DB27" i="15"/>
  <c r="DA27" i="15"/>
  <c r="CZ27" i="15"/>
  <c r="CY27" i="15"/>
  <c r="CX27" i="15"/>
  <c r="CW27" i="15"/>
  <c r="CV27" i="15"/>
  <c r="CU27" i="15"/>
  <c r="CT27" i="15"/>
  <c r="CS27" i="15"/>
  <c r="CR27" i="15"/>
  <c r="CQ27" i="15"/>
  <c r="CP27" i="15"/>
  <c r="CO27" i="15"/>
  <c r="CN27" i="15"/>
  <c r="CM27" i="15"/>
  <c r="CL27" i="15"/>
  <c r="CK27" i="15"/>
  <c r="CJ27" i="15"/>
  <c r="CI27" i="15"/>
  <c r="CH27" i="15"/>
  <c r="CG27" i="15"/>
  <c r="CF27" i="15"/>
  <c r="CE27" i="15"/>
  <c r="CD27" i="15"/>
  <c r="CC27" i="15"/>
  <c r="CB27" i="15"/>
  <c r="CA27" i="15"/>
  <c r="BZ27" i="15"/>
  <c r="BY27" i="15"/>
  <c r="BX27" i="15"/>
  <c r="BW27" i="15"/>
  <c r="BV27" i="15"/>
  <c r="BU27" i="15"/>
  <c r="BT27" i="15"/>
  <c r="BS27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C27" i="15"/>
  <c r="DX25" i="15"/>
  <c r="DW25" i="15"/>
  <c r="DV25" i="15"/>
  <c r="DU25" i="15"/>
  <c r="DT25" i="15"/>
  <c r="DS25" i="15"/>
  <c r="DR25" i="15"/>
  <c r="DQ25" i="15"/>
  <c r="DP25" i="15"/>
  <c r="DO25" i="15"/>
  <c r="DN25" i="15"/>
  <c r="DM25" i="15"/>
  <c r="DL25" i="15"/>
  <c r="DK25" i="15"/>
  <c r="DJ25" i="15"/>
  <c r="DI25" i="15"/>
  <c r="DH25" i="15"/>
  <c r="DG25" i="15"/>
  <c r="DF25" i="15"/>
  <c r="DE25" i="15"/>
  <c r="DD25" i="15"/>
  <c r="DC25" i="15"/>
  <c r="DB25" i="15"/>
  <c r="DA25" i="15"/>
  <c r="CZ25" i="15"/>
  <c r="CY25" i="15"/>
  <c r="CX25" i="15"/>
  <c r="CW25" i="15"/>
  <c r="CV25" i="15"/>
  <c r="CU25" i="15"/>
  <c r="CT25" i="15"/>
  <c r="CS25" i="15"/>
  <c r="CR25" i="15"/>
  <c r="CQ25" i="15"/>
  <c r="CP25" i="15"/>
  <c r="CO25" i="15"/>
  <c r="CN25" i="15"/>
  <c r="CM25" i="15"/>
  <c r="CL25" i="15"/>
  <c r="CK25" i="15"/>
  <c r="CJ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A25" i="15"/>
  <c r="DX24" i="15"/>
  <c r="DW24" i="15"/>
  <c r="DV24" i="15"/>
  <c r="DU24" i="15"/>
  <c r="DT24" i="15"/>
  <c r="DS24" i="15"/>
  <c r="DR24" i="15"/>
  <c r="DQ24" i="15"/>
  <c r="DP24" i="15"/>
  <c r="DO24" i="15"/>
  <c r="DN24" i="15"/>
  <c r="DM24" i="15"/>
  <c r="DL24" i="15"/>
  <c r="DK24" i="15"/>
  <c r="DJ24" i="15"/>
  <c r="DI24" i="15"/>
  <c r="DH24" i="15"/>
  <c r="DG24" i="15"/>
  <c r="DF24" i="15"/>
  <c r="DE24" i="15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K24" i="15"/>
  <c r="CJ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DX23" i="15"/>
  <c r="DW23" i="15"/>
  <c r="DV23" i="15"/>
  <c r="DU23" i="15"/>
  <c r="DT23" i="15"/>
  <c r="DS23" i="15"/>
  <c r="DR23" i="15"/>
  <c r="DQ23" i="15"/>
  <c r="DP23" i="15"/>
  <c r="DO23" i="15"/>
  <c r="DN23" i="15"/>
  <c r="DM23" i="15"/>
  <c r="DL23" i="15"/>
  <c r="DK23" i="15"/>
  <c r="DJ23" i="15"/>
  <c r="DI23" i="15"/>
  <c r="DH23" i="15"/>
  <c r="DG23" i="15"/>
  <c r="DF23" i="15"/>
  <c r="DE23" i="15"/>
  <c r="DD23" i="15"/>
  <c r="DC23" i="15"/>
  <c r="DB23" i="15"/>
  <c r="DA23" i="15"/>
  <c r="CZ23" i="15"/>
  <c r="CY23" i="15"/>
  <c r="CX23" i="15"/>
  <c r="CW23" i="15"/>
  <c r="CV23" i="15"/>
  <c r="CU23" i="15"/>
  <c r="CT23" i="15"/>
  <c r="CS23" i="15"/>
  <c r="CR23" i="15"/>
  <c r="CQ23" i="15"/>
  <c r="CP23" i="15"/>
  <c r="CO23" i="15"/>
  <c r="CN23" i="15"/>
  <c r="CM23" i="15"/>
  <c r="CL23" i="15"/>
  <c r="CK23" i="15"/>
  <c r="CJ23" i="15"/>
  <c r="CI23" i="15"/>
  <c r="CH23" i="15"/>
  <c r="CG23" i="15"/>
  <c r="CF23" i="15"/>
  <c r="CE23" i="15"/>
  <c r="CD23" i="15"/>
  <c r="CC23" i="15"/>
  <c r="CB23" i="15"/>
  <c r="CA23" i="15"/>
  <c r="BZ23" i="15"/>
  <c r="BY23" i="15"/>
  <c r="BX23" i="15"/>
  <c r="BW23" i="15"/>
  <c r="BV23" i="15"/>
  <c r="BU23" i="15"/>
  <c r="BT23" i="15"/>
  <c r="BS23" i="15"/>
  <c r="BR23" i="15"/>
  <c r="BQ23" i="15"/>
  <c r="BP23" i="15"/>
  <c r="BO23" i="15"/>
  <c r="BN23" i="15"/>
  <c r="BM23" i="15"/>
  <c r="BL23" i="15"/>
  <c r="BK23" i="15"/>
  <c r="BJ23" i="15"/>
  <c r="BI23" i="15"/>
  <c r="BH23" i="15"/>
  <c r="BG23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DX22" i="15"/>
  <c r="DW22" i="15"/>
  <c r="DV22" i="15"/>
  <c r="DU22" i="15"/>
  <c r="DT22" i="15"/>
  <c r="DS22" i="15"/>
  <c r="DR22" i="15"/>
  <c r="DQ22" i="15"/>
  <c r="DP22" i="15"/>
  <c r="DO22" i="15"/>
  <c r="DN22" i="15"/>
  <c r="DM22" i="15"/>
  <c r="DL22" i="15"/>
  <c r="DK22" i="15"/>
  <c r="DJ22" i="15"/>
  <c r="DI22" i="15"/>
  <c r="DH22" i="15"/>
  <c r="DG22" i="15"/>
  <c r="DF22" i="15"/>
  <c r="DE22" i="15"/>
  <c r="DD22" i="15"/>
  <c r="DC22" i="15"/>
  <c r="DB22" i="15"/>
  <c r="DA22" i="15"/>
  <c r="CZ22" i="15"/>
  <c r="CY22" i="15"/>
  <c r="CX22" i="15"/>
  <c r="CW22" i="15"/>
  <c r="CV22" i="15"/>
  <c r="CU22" i="15"/>
  <c r="CT22" i="15"/>
  <c r="CS22" i="15"/>
  <c r="CR22" i="15"/>
  <c r="CQ22" i="15"/>
  <c r="CP22" i="15"/>
  <c r="CO22" i="15"/>
  <c r="CN22" i="15"/>
  <c r="CM22" i="15"/>
  <c r="CL22" i="15"/>
  <c r="CK22" i="15"/>
  <c r="CJ22" i="15"/>
  <c r="CI22" i="15"/>
  <c r="CH22" i="15"/>
  <c r="CG22" i="15"/>
  <c r="CF22" i="15"/>
  <c r="CE22" i="15"/>
  <c r="CD22" i="15"/>
  <c r="CC22" i="15"/>
  <c r="CB22" i="15"/>
  <c r="CA22" i="15"/>
  <c r="BZ22" i="15"/>
  <c r="BY22" i="15"/>
  <c r="BX22" i="15"/>
  <c r="BW22" i="15"/>
  <c r="BV22" i="15"/>
  <c r="BU22" i="15"/>
  <c r="BT22" i="15"/>
  <c r="BS22" i="15"/>
  <c r="BR22" i="15"/>
  <c r="BQ22" i="15"/>
  <c r="BP22" i="15"/>
  <c r="BO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DC21" i="15"/>
  <c r="DB21" i="15"/>
  <c r="DA21" i="15"/>
  <c r="CZ21" i="15"/>
  <c r="CY21" i="15"/>
  <c r="CX21" i="15"/>
  <c r="CW21" i="15"/>
  <c r="CV21" i="15"/>
  <c r="CU21" i="15"/>
  <c r="CT21" i="15"/>
  <c r="CS21" i="15"/>
  <c r="CR21" i="15"/>
  <c r="CQ21" i="15"/>
  <c r="CP21" i="15"/>
  <c r="CO21" i="15"/>
  <c r="CN21" i="15"/>
  <c r="CM21" i="15"/>
  <c r="CL21" i="15"/>
  <c r="CK21" i="15"/>
  <c r="CJ21" i="15"/>
  <c r="CI21" i="15"/>
  <c r="CH21" i="15"/>
  <c r="CG21" i="15"/>
  <c r="CF21" i="15"/>
  <c r="CE21" i="15"/>
  <c r="CD21" i="15"/>
  <c r="CC21" i="15"/>
  <c r="CB21" i="15"/>
  <c r="CA21" i="15"/>
  <c r="BZ21" i="15"/>
  <c r="BY21" i="15"/>
  <c r="BX21" i="15"/>
  <c r="BW21" i="15"/>
  <c r="BV21" i="15"/>
  <c r="BU21" i="15"/>
  <c r="BT21" i="15"/>
  <c r="BS21" i="15"/>
  <c r="BR21" i="15"/>
  <c r="BQ21" i="15"/>
  <c r="BP21" i="15"/>
  <c r="BO21" i="15"/>
  <c r="BN21" i="15"/>
  <c r="BM21" i="15"/>
  <c r="BL21" i="15"/>
  <c r="BK21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DC20" i="15"/>
  <c r="DB20" i="15"/>
  <c r="DA20" i="15"/>
  <c r="CZ20" i="15"/>
  <c r="CY20" i="15"/>
  <c r="CX20" i="15"/>
  <c r="CW20" i="15"/>
  <c r="CV20" i="15"/>
  <c r="CU20" i="15"/>
  <c r="CT20" i="15"/>
  <c r="CS20" i="15"/>
  <c r="CR20" i="15"/>
  <c r="CQ20" i="15"/>
  <c r="CP20" i="15"/>
  <c r="CO20" i="15"/>
  <c r="CN20" i="15"/>
  <c r="CM20" i="15"/>
  <c r="CL20" i="15"/>
  <c r="CK20" i="15"/>
  <c r="CJ20" i="15"/>
  <c r="CI20" i="15"/>
  <c r="CH20" i="15"/>
  <c r="CG20" i="15"/>
  <c r="CF20" i="15"/>
  <c r="CE20" i="15"/>
  <c r="CD20" i="15"/>
  <c r="CC20" i="15"/>
  <c r="CB20" i="15"/>
  <c r="CA20" i="15"/>
  <c r="BZ20" i="15"/>
  <c r="BY20" i="15"/>
  <c r="BX20" i="15"/>
  <c r="BW20" i="15"/>
  <c r="BV20" i="15"/>
  <c r="BU20" i="15"/>
  <c r="BT20" i="15"/>
  <c r="BS20" i="15"/>
  <c r="BR20" i="15"/>
  <c r="BQ20" i="15"/>
  <c r="BP20" i="15"/>
  <c r="BO20" i="15"/>
  <c r="BN20" i="15"/>
  <c r="BM20" i="15"/>
  <c r="BL20" i="15"/>
  <c r="BK20" i="15"/>
  <c r="BJ20" i="15"/>
  <c r="BI20" i="15"/>
  <c r="BH20" i="15"/>
  <c r="BG20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DC19" i="15"/>
  <c r="DB19" i="15"/>
  <c r="DA19" i="15"/>
  <c r="CZ19" i="15"/>
  <c r="CY19" i="15"/>
  <c r="CX19" i="15"/>
  <c r="CW19" i="15"/>
  <c r="CV19" i="15"/>
  <c r="CU19" i="15"/>
  <c r="CT19" i="15"/>
  <c r="CS19" i="15"/>
  <c r="CR19" i="15"/>
  <c r="CQ19" i="15"/>
  <c r="CP19" i="15"/>
  <c r="CO19" i="15"/>
  <c r="CN19" i="15"/>
  <c r="CM19" i="15"/>
  <c r="CL19" i="15"/>
  <c r="CK19" i="15"/>
  <c r="CJ19" i="15"/>
  <c r="CI19" i="15"/>
  <c r="CH19" i="15"/>
  <c r="CG19" i="15"/>
  <c r="CF19" i="15"/>
  <c r="CE19" i="15"/>
  <c r="CD19" i="15"/>
  <c r="CC19" i="15"/>
  <c r="CB19" i="15"/>
  <c r="CA19" i="15"/>
  <c r="BZ19" i="15"/>
  <c r="BY19" i="15"/>
  <c r="BX19" i="15"/>
  <c r="BW19" i="15"/>
  <c r="BV19" i="15"/>
  <c r="BU19" i="15"/>
  <c r="BT19" i="15"/>
  <c r="BS19" i="15"/>
  <c r="BR19" i="15"/>
  <c r="BQ19" i="15"/>
  <c r="BP19" i="15"/>
  <c r="BO19" i="15"/>
  <c r="BN19" i="15"/>
  <c r="BM19" i="15"/>
  <c r="BL19" i="15"/>
  <c r="BK19" i="15"/>
  <c r="BJ19" i="15"/>
  <c r="BI19" i="15"/>
  <c r="BH19" i="15"/>
  <c r="BG19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DC18" i="15"/>
  <c r="DB18" i="15"/>
  <c r="DA18" i="15"/>
  <c r="CZ18" i="15"/>
  <c r="CY18" i="15"/>
  <c r="CX18" i="15"/>
  <c r="CW18" i="15"/>
  <c r="CV18" i="15"/>
  <c r="CU18" i="15"/>
  <c r="CT18" i="15"/>
  <c r="CS18" i="15"/>
  <c r="CR18" i="15"/>
  <c r="CQ18" i="15"/>
  <c r="CP18" i="15"/>
  <c r="CO18" i="15"/>
  <c r="CN18" i="15"/>
  <c r="CM18" i="15"/>
  <c r="CL18" i="15"/>
  <c r="CK18" i="15"/>
  <c r="CJ18" i="15"/>
  <c r="CI18" i="15"/>
  <c r="CH18" i="15"/>
  <c r="CG18" i="15"/>
  <c r="CF18" i="15"/>
  <c r="CE18" i="15"/>
  <c r="CD18" i="15"/>
  <c r="CC18" i="15"/>
  <c r="CB18" i="15"/>
  <c r="CA18" i="15"/>
  <c r="BZ18" i="15"/>
  <c r="BY18" i="15"/>
  <c r="BX18" i="15"/>
  <c r="BW18" i="15"/>
  <c r="BV18" i="15"/>
  <c r="BU18" i="15"/>
  <c r="BT18" i="15"/>
  <c r="BS18" i="15"/>
  <c r="BR18" i="15"/>
  <c r="BQ18" i="15"/>
  <c r="BP18" i="15"/>
  <c r="BO18" i="15"/>
  <c r="BN18" i="15"/>
  <c r="BM18" i="15"/>
  <c r="BL18" i="15"/>
  <c r="BK18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N17" i="15"/>
  <c r="CM17" i="15"/>
  <c r="CL17" i="15"/>
  <c r="CK17" i="15"/>
  <c r="CJ17" i="15"/>
  <c r="CI17" i="15"/>
  <c r="CH17" i="15"/>
  <c r="CG17" i="15"/>
  <c r="CF17" i="15"/>
  <c r="CE17" i="15"/>
  <c r="CD17" i="15"/>
  <c r="CC17" i="15"/>
  <c r="CB17" i="15"/>
  <c r="CA17" i="15"/>
  <c r="BZ17" i="15"/>
  <c r="BY17" i="15"/>
  <c r="BX17" i="15"/>
  <c r="BW17" i="15"/>
  <c r="BV17" i="15"/>
  <c r="BU17" i="15"/>
  <c r="BT17" i="15"/>
  <c r="BS17" i="15"/>
  <c r="BR17" i="15"/>
  <c r="BQ17" i="15"/>
  <c r="BP17" i="15"/>
  <c r="BO17" i="15"/>
  <c r="BN17" i="15"/>
  <c r="BM17" i="15"/>
  <c r="BL17" i="15"/>
  <c r="BK17" i="15"/>
  <c r="BJ17" i="15"/>
  <c r="BI17" i="15"/>
  <c r="BH17" i="15"/>
  <c r="BG17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DC16" i="15"/>
  <c r="DB16" i="15"/>
  <c r="DA16" i="15"/>
  <c r="CZ16" i="15"/>
  <c r="CY16" i="15"/>
  <c r="CX16" i="15"/>
  <c r="CW16" i="15"/>
  <c r="CV16" i="15"/>
  <c r="CU16" i="15"/>
  <c r="CT16" i="15"/>
  <c r="CS16" i="15"/>
  <c r="CR16" i="15"/>
  <c r="CQ16" i="15"/>
  <c r="CP16" i="15"/>
  <c r="CO16" i="15"/>
  <c r="CN16" i="15"/>
  <c r="CM16" i="15"/>
  <c r="CL16" i="15"/>
  <c r="CK16" i="15"/>
  <c r="CJ16" i="15"/>
  <c r="CI16" i="15"/>
  <c r="CH16" i="15"/>
  <c r="CG16" i="15"/>
  <c r="CF16" i="15"/>
  <c r="CE16" i="15"/>
  <c r="CD16" i="15"/>
  <c r="CC16" i="15"/>
  <c r="CB16" i="15"/>
  <c r="CA16" i="15"/>
  <c r="BZ16" i="15"/>
  <c r="BY16" i="15"/>
  <c r="BX16" i="15"/>
  <c r="BW16" i="15"/>
  <c r="BV16" i="15"/>
  <c r="BU16" i="15"/>
  <c r="BT16" i="15"/>
  <c r="BS16" i="15"/>
  <c r="BR16" i="15"/>
  <c r="BQ16" i="15"/>
  <c r="BP16" i="15"/>
  <c r="BO16" i="15"/>
  <c r="BN16" i="15"/>
  <c r="BM16" i="15"/>
  <c r="BL16" i="15"/>
  <c r="BK16" i="15"/>
  <c r="BJ16" i="15"/>
  <c r="BI16" i="15"/>
  <c r="BH16" i="15"/>
  <c r="BG16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DC15" i="15"/>
  <c r="DB15" i="15"/>
  <c r="DA15" i="15"/>
  <c r="CZ15" i="15"/>
  <c r="CY15" i="15"/>
  <c r="CX15" i="15"/>
  <c r="CW15" i="15"/>
  <c r="CV15" i="15"/>
  <c r="CU15" i="15"/>
  <c r="CT15" i="15"/>
  <c r="CS15" i="15"/>
  <c r="CR15" i="15"/>
  <c r="CQ15" i="15"/>
  <c r="CP15" i="15"/>
  <c r="CO15" i="15"/>
  <c r="CN15" i="15"/>
  <c r="CM15" i="15"/>
  <c r="CL15" i="15"/>
  <c r="CK15" i="15"/>
  <c r="CJ15" i="15"/>
  <c r="CI15" i="15"/>
  <c r="CH15" i="15"/>
  <c r="CG15" i="15"/>
  <c r="CF15" i="15"/>
  <c r="CE15" i="15"/>
  <c r="CD15" i="15"/>
  <c r="CC15" i="15"/>
  <c r="CB15" i="15"/>
  <c r="CA15" i="15"/>
  <c r="BZ15" i="15"/>
  <c r="BY15" i="15"/>
  <c r="BX15" i="15"/>
  <c r="BW15" i="15"/>
  <c r="BV15" i="15"/>
  <c r="BU15" i="15"/>
  <c r="BT15" i="15"/>
  <c r="BS15" i="15"/>
  <c r="BR15" i="15"/>
  <c r="BQ15" i="15"/>
  <c r="BP15" i="15"/>
  <c r="BO15" i="15"/>
  <c r="BN15" i="15"/>
  <c r="BM15" i="15"/>
  <c r="BL15" i="15"/>
  <c r="BK15" i="15"/>
  <c r="BJ15" i="15"/>
  <c r="BI15" i="15"/>
  <c r="BH15" i="15"/>
  <c r="BG15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DC14" i="15"/>
  <c r="DB14" i="15"/>
  <c r="DA14" i="15"/>
  <c r="CZ14" i="15"/>
  <c r="CY14" i="15"/>
  <c r="CX14" i="15"/>
  <c r="CW14" i="15"/>
  <c r="CV14" i="15"/>
  <c r="CU14" i="15"/>
  <c r="CT14" i="15"/>
  <c r="CS14" i="15"/>
  <c r="CR14" i="15"/>
  <c r="CQ14" i="15"/>
  <c r="CP14" i="15"/>
  <c r="CO14" i="15"/>
  <c r="CN14" i="15"/>
  <c r="CM14" i="15"/>
  <c r="CL14" i="15"/>
  <c r="CK14" i="15"/>
  <c r="CJ14" i="15"/>
  <c r="CI14" i="15"/>
  <c r="CH14" i="15"/>
  <c r="CG14" i="15"/>
  <c r="CF14" i="15"/>
  <c r="CE14" i="15"/>
  <c r="CD14" i="15"/>
  <c r="CC14" i="15"/>
  <c r="CB14" i="15"/>
  <c r="CA14" i="15"/>
  <c r="BZ14" i="15"/>
  <c r="BY14" i="15"/>
  <c r="BX14" i="15"/>
  <c r="BW14" i="15"/>
  <c r="BV14" i="15"/>
  <c r="BU14" i="15"/>
  <c r="BT14" i="15"/>
  <c r="BS14" i="15"/>
  <c r="BR14" i="15"/>
  <c r="BQ14" i="15"/>
  <c r="BP14" i="15"/>
  <c r="BO14" i="15"/>
  <c r="BN14" i="15"/>
  <c r="BM14" i="15"/>
  <c r="BL14" i="15"/>
  <c r="BK14" i="15"/>
  <c r="BJ14" i="15"/>
  <c r="BI14" i="15"/>
  <c r="BH14" i="15"/>
  <c r="BG14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DC13" i="15"/>
  <c r="DB13" i="15"/>
  <c r="DA13" i="15"/>
  <c r="CZ13" i="15"/>
  <c r="CY13" i="15"/>
  <c r="CX13" i="15"/>
  <c r="CW13" i="15"/>
  <c r="CV13" i="15"/>
  <c r="CU13" i="15"/>
  <c r="CT13" i="15"/>
  <c r="CS13" i="15"/>
  <c r="CR13" i="15"/>
  <c r="CQ13" i="15"/>
  <c r="CP13" i="15"/>
  <c r="CO13" i="15"/>
  <c r="CN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U13" i="15"/>
  <c r="BT13" i="15"/>
  <c r="BS13" i="15"/>
  <c r="BR13" i="15"/>
  <c r="BQ13" i="15"/>
  <c r="BP13" i="15"/>
  <c r="BO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DC12" i="15"/>
  <c r="DB12" i="15"/>
  <c r="DA12" i="15"/>
  <c r="CZ12" i="15"/>
  <c r="CY12" i="15"/>
  <c r="CX12" i="15"/>
  <c r="CW12" i="15"/>
  <c r="CV12" i="15"/>
  <c r="CU12" i="15"/>
  <c r="CT12" i="15"/>
  <c r="CS12" i="15"/>
  <c r="CR12" i="15"/>
  <c r="CQ12" i="15"/>
  <c r="CP12" i="15"/>
  <c r="CO12" i="15"/>
  <c r="CN12" i="15"/>
  <c r="CM12" i="15"/>
  <c r="CL12" i="15"/>
  <c r="CK12" i="15"/>
  <c r="CJ12" i="15"/>
  <c r="CI12" i="15"/>
  <c r="CH12" i="15"/>
  <c r="CG12" i="15"/>
  <c r="CF12" i="15"/>
  <c r="CE12" i="15"/>
  <c r="CD12" i="15"/>
  <c r="CC12" i="15"/>
  <c r="CB12" i="15"/>
  <c r="CA12" i="15"/>
  <c r="BZ12" i="15"/>
  <c r="BY12" i="15"/>
  <c r="BX12" i="15"/>
  <c r="BW12" i="15"/>
  <c r="BV12" i="15"/>
  <c r="BU12" i="15"/>
  <c r="BT12" i="15"/>
  <c r="BS12" i="15"/>
  <c r="BR12" i="15"/>
  <c r="BQ12" i="15"/>
  <c r="BP12" i="15"/>
  <c r="BO12" i="15"/>
  <c r="BN12" i="15"/>
  <c r="BM12" i="15"/>
  <c r="BL12" i="15"/>
  <c r="BK12" i="15"/>
  <c r="BJ12" i="15"/>
  <c r="BI12" i="15"/>
  <c r="BH12" i="15"/>
  <c r="BG12" i="15"/>
  <c r="BF12" i="15"/>
  <c r="BE12" i="15"/>
  <c r="BD12" i="15"/>
  <c r="BC12" i="15"/>
  <c r="BB12" i="15"/>
  <c r="BA12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DC11" i="15"/>
  <c r="DB11" i="15"/>
  <c r="DA11" i="15"/>
  <c r="CZ11" i="15"/>
  <c r="CY11" i="15"/>
  <c r="CX11" i="15"/>
  <c r="CW11" i="15"/>
  <c r="CV11" i="15"/>
  <c r="CU11" i="15"/>
  <c r="CT11" i="15"/>
  <c r="CS11" i="15"/>
  <c r="CR11" i="15"/>
  <c r="CQ11" i="15"/>
  <c r="CP11" i="15"/>
  <c r="CO11" i="15"/>
  <c r="CN11" i="15"/>
  <c r="CM11" i="15"/>
  <c r="CL11" i="15"/>
  <c r="CK11" i="15"/>
  <c r="CJ11" i="15"/>
  <c r="CI11" i="15"/>
  <c r="CH11" i="15"/>
  <c r="CG11" i="15"/>
  <c r="CF11" i="15"/>
  <c r="CE11" i="15"/>
  <c r="CD11" i="15"/>
  <c r="CC11" i="15"/>
  <c r="CB11" i="15"/>
  <c r="CA11" i="15"/>
  <c r="BZ11" i="15"/>
  <c r="BY11" i="15"/>
  <c r="BX11" i="15"/>
  <c r="BW11" i="15"/>
  <c r="BV11" i="15"/>
  <c r="BU11" i="15"/>
  <c r="BT11" i="15"/>
  <c r="BS11" i="15"/>
  <c r="BR11" i="15"/>
  <c r="BQ11" i="15"/>
  <c r="BP11" i="15"/>
  <c r="BO11" i="15"/>
  <c r="BN11" i="15"/>
  <c r="BM11" i="15"/>
  <c r="BL11" i="15"/>
  <c r="BK11" i="15"/>
  <c r="BJ11" i="15"/>
  <c r="BI11" i="15"/>
  <c r="BH11" i="15"/>
  <c r="BG11" i="15"/>
  <c r="BF11" i="15"/>
  <c r="BE11" i="15"/>
  <c r="BD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N10" i="15"/>
  <c r="BM10" i="15"/>
  <c r="BL10" i="15"/>
  <c r="BK10" i="15"/>
  <c r="BJ10" i="15"/>
  <c r="BI10" i="15"/>
  <c r="BH10" i="15"/>
  <c r="BG10" i="15"/>
  <c r="BF10" i="15"/>
  <c r="BE10" i="15"/>
  <c r="BD10" i="15"/>
  <c r="BC10" i="15"/>
  <c r="BB10" i="15"/>
  <c r="BA10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DC9" i="15"/>
  <c r="DB9" i="15"/>
  <c r="DA9" i="15"/>
  <c r="CZ9" i="15"/>
  <c r="CY9" i="15"/>
  <c r="CX9" i="15"/>
  <c r="CW9" i="15"/>
  <c r="CV9" i="15"/>
  <c r="CU9" i="15"/>
  <c r="CT9" i="15"/>
  <c r="CS9" i="15"/>
  <c r="CR9" i="15"/>
  <c r="CQ9" i="15"/>
  <c r="CP9" i="15"/>
  <c r="CO9" i="15"/>
  <c r="CN9" i="15"/>
  <c r="CM9" i="15"/>
  <c r="CL9" i="15"/>
  <c r="CK9" i="15"/>
  <c r="CJ9" i="15"/>
  <c r="CI9" i="15"/>
  <c r="CH9" i="15"/>
  <c r="CG9" i="15"/>
  <c r="CF9" i="15"/>
  <c r="CE9" i="15"/>
  <c r="CD9" i="15"/>
  <c r="CC9" i="15"/>
  <c r="CB9" i="15"/>
  <c r="CA9" i="15"/>
  <c r="BZ9" i="15"/>
  <c r="BY9" i="15"/>
  <c r="BX9" i="15"/>
  <c r="BW9" i="15"/>
  <c r="BV9" i="15"/>
  <c r="BU9" i="15"/>
  <c r="BT9" i="15"/>
  <c r="BS9" i="15"/>
  <c r="BR9" i="15"/>
  <c r="BQ9" i="15"/>
  <c r="BP9" i="15"/>
  <c r="BO9" i="15"/>
  <c r="BN9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DC8" i="15"/>
  <c r="DB8" i="15"/>
  <c r="DA8" i="15"/>
  <c r="CZ8" i="15"/>
  <c r="CY8" i="15"/>
  <c r="CX8" i="15"/>
  <c r="CW8" i="15"/>
  <c r="CV8" i="15"/>
  <c r="CU8" i="15"/>
  <c r="CT8" i="15"/>
  <c r="CS8" i="15"/>
  <c r="CR8" i="15"/>
  <c r="CQ8" i="15"/>
  <c r="CP8" i="15"/>
  <c r="CO8" i="15"/>
  <c r="CN8" i="15"/>
  <c r="CM8" i="15"/>
  <c r="CL8" i="15"/>
  <c r="CK8" i="15"/>
  <c r="CJ8" i="15"/>
  <c r="CI8" i="15"/>
  <c r="CH8" i="15"/>
  <c r="CG8" i="15"/>
  <c r="CF8" i="15"/>
  <c r="CE8" i="15"/>
  <c r="CD8" i="15"/>
  <c r="CC8" i="15"/>
  <c r="CB8" i="15"/>
  <c r="CA8" i="15"/>
  <c r="BZ8" i="15"/>
  <c r="BY8" i="15"/>
  <c r="BX8" i="15"/>
  <c r="BW8" i="15"/>
  <c r="BV8" i="15"/>
  <c r="BU8" i="15"/>
  <c r="BT8" i="15"/>
  <c r="BS8" i="15"/>
  <c r="BR8" i="15"/>
  <c r="BQ8" i="15"/>
  <c r="BP8" i="15"/>
  <c r="BO8" i="15"/>
  <c r="BN8" i="15"/>
  <c r="BM8" i="15"/>
  <c r="BL8" i="15"/>
  <c r="BK8" i="15"/>
  <c r="BJ8" i="15"/>
  <c r="BI8" i="15"/>
  <c r="BH8" i="15"/>
  <c r="BG8" i="15"/>
  <c r="BF8" i="15"/>
  <c r="BE8" i="15"/>
  <c r="BD8" i="15"/>
  <c r="BC8" i="15"/>
  <c r="BB8" i="15"/>
  <c r="BA8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M6" i="15"/>
  <c r="N6" i="15" s="1"/>
  <c r="O6" i="15" s="1"/>
  <c r="P6" i="15" s="1"/>
  <c r="Q6" i="15" s="1"/>
  <c r="L6" i="15"/>
  <c r="K6" i="15"/>
  <c r="J1" i="15"/>
  <c r="D61" i="14"/>
  <c r="A61" i="14" s="1"/>
  <c r="D60" i="14"/>
  <c r="A60" i="14"/>
  <c r="D59" i="14"/>
  <c r="A59" i="14"/>
  <c r="D58" i="14"/>
  <c r="A58" i="14"/>
  <c r="D57" i="14"/>
  <c r="A57" i="14" s="1"/>
  <c r="D56" i="14"/>
  <c r="A56" i="14"/>
  <c r="D55" i="14"/>
  <c r="A55" i="14"/>
  <c r="D54" i="14"/>
  <c r="A54" i="14"/>
  <c r="D53" i="14"/>
  <c r="A53" i="14" s="1"/>
  <c r="D52" i="14"/>
  <c r="A52" i="14"/>
  <c r="D51" i="14"/>
  <c r="A51" i="14"/>
  <c r="D50" i="14"/>
  <c r="A50" i="14"/>
  <c r="R49" i="14"/>
  <c r="M49" i="14" s="1"/>
  <c r="O49" i="14"/>
  <c r="D49" i="14"/>
  <c r="A49" i="14"/>
  <c r="R48" i="14"/>
  <c r="O48" i="14"/>
  <c r="M48" i="14"/>
  <c r="D48" i="14"/>
  <c r="A48" i="14" s="1"/>
  <c r="R47" i="14"/>
  <c r="O47" i="14"/>
  <c r="M47" i="14"/>
  <c r="D47" i="14"/>
  <c r="A47" i="14"/>
  <c r="R46" i="14"/>
  <c r="O46" i="14"/>
  <c r="M46" i="14" s="1"/>
  <c r="D46" i="14"/>
  <c r="A46" i="14"/>
  <c r="R45" i="14"/>
  <c r="O45" i="14"/>
  <c r="M45" i="14"/>
  <c r="D45" i="14"/>
  <c r="A45" i="14"/>
  <c r="R44" i="14"/>
  <c r="O44" i="14"/>
  <c r="M44" i="14"/>
  <c r="D44" i="14"/>
  <c r="A44" i="14"/>
  <c r="R43" i="14"/>
  <c r="O43" i="14"/>
  <c r="M43" i="14"/>
  <c r="D43" i="14"/>
  <c r="A43" i="14"/>
  <c r="R42" i="14"/>
  <c r="O42" i="14"/>
  <c r="M42" i="14"/>
  <c r="D42" i="14"/>
  <c r="A42" i="14"/>
  <c r="R41" i="14"/>
  <c r="M41" i="14" s="1"/>
  <c r="O41" i="14"/>
  <c r="D41" i="14"/>
  <c r="A41" i="14"/>
  <c r="R40" i="14"/>
  <c r="O40" i="14"/>
  <c r="M40" i="14"/>
  <c r="D40" i="14"/>
  <c r="A40" i="14" s="1"/>
  <c r="R39" i="14"/>
  <c r="O39" i="14"/>
  <c r="M39" i="14"/>
  <c r="D39" i="14"/>
  <c r="A39" i="14"/>
  <c r="R38" i="14"/>
  <c r="O38" i="14"/>
  <c r="M38" i="14" s="1"/>
  <c r="D38" i="14"/>
  <c r="A38" i="14"/>
  <c r="R37" i="14"/>
  <c r="O37" i="14"/>
  <c r="M37" i="14"/>
  <c r="D37" i="14"/>
  <c r="A37" i="14"/>
  <c r="R36" i="14"/>
  <c r="O36" i="14"/>
  <c r="M36" i="14"/>
  <c r="D36" i="14"/>
  <c r="A36" i="14"/>
  <c r="R35" i="14"/>
  <c r="O35" i="14"/>
  <c r="M35" i="14"/>
  <c r="D35" i="14"/>
  <c r="A35" i="14"/>
  <c r="R34" i="14"/>
  <c r="O34" i="14"/>
  <c r="M34" i="14"/>
  <c r="D34" i="14"/>
  <c r="A34" i="14"/>
  <c r="R33" i="14"/>
  <c r="M33" i="14" s="1"/>
  <c r="O33" i="14"/>
  <c r="D33" i="14"/>
  <c r="A33" i="14"/>
  <c r="R32" i="14"/>
  <c r="O32" i="14"/>
  <c r="M32" i="14"/>
  <c r="D32" i="14"/>
  <c r="A32" i="14" s="1"/>
  <c r="R31" i="14"/>
  <c r="O31" i="14"/>
  <c r="M31" i="14"/>
  <c r="D31" i="14"/>
  <c r="A31" i="14"/>
  <c r="R30" i="14"/>
  <c r="O30" i="14"/>
  <c r="M30" i="14" s="1"/>
  <c r="D30" i="14"/>
  <c r="A30" i="14"/>
  <c r="R29" i="14"/>
  <c r="O29" i="14"/>
  <c r="M29" i="14"/>
  <c r="D29" i="14"/>
  <c r="A29" i="14"/>
  <c r="R28" i="14"/>
  <c r="O28" i="14"/>
  <c r="M28" i="14"/>
  <c r="D28" i="14"/>
  <c r="A28" i="14"/>
  <c r="R27" i="14"/>
  <c r="O27" i="14"/>
  <c r="M27" i="14"/>
  <c r="D27" i="14"/>
  <c r="A27" i="14"/>
  <c r="R26" i="14"/>
  <c r="O26" i="14"/>
  <c r="M26" i="14"/>
  <c r="D26" i="14"/>
  <c r="A26" i="14"/>
  <c r="R25" i="14"/>
  <c r="M25" i="14" s="1"/>
  <c r="O25" i="14"/>
  <c r="D25" i="14"/>
  <c r="A25" i="14"/>
  <c r="R24" i="14"/>
  <c r="O24" i="14"/>
  <c r="M24" i="14"/>
  <c r="D24" i="14"/>
  <c r="A24" i="14" s="1"/>
  <c r="R23" i="14"/>
  <c r="O23" i="14"/>
  <c r="M23" i="14"/>
  <c r="D23" i="14"/>
  <c r="A23" i="14"/>
  <c r="R22" i="14"/>
  <c r="O22" i="14"/>
  <c r="M22" i="14" s="1"/>
  <c r="D22" i="14"/>
  <c r="A22" i="14"/>
  <c r="R21" i="14"/>
  <c r="O21" i="14"/>
  <c r="M21" i="14"/>
  <c r="D21" i="14"/>
  <c r="A21" i="14"/>
  <c r="R20" i="14"/>
  <c r="O20" i="14"/>
  <c r="M20" i="14"/>
  <c r="D20" i="14"/>
  <c r="A20" i="14"/>
  <c r="R19" i="14"/>
  <c r="O19" i="14"/>
  <c r="M19" i="14"/>
  <c r="D19" i="14"/>
  <c r="A19" i="14"/>
  <c r="R18" i="14"/>
  <c r="O18" i="14"/>
  <c r="M18" i="14"/>
  <c r="D18" i="14"/>
  <c r="A18" i="14"/>
  <c r="R17" i="14"/>
  <c r="M17" i="14" s="1"/>
  <c r="N98" i="13" s="1"/>
  <c r="O17" i="14"/>
  <c r="D17" i="14"/>
  <c r="A17" i="14"/>
  <c r="R16" i="14"/>
  <c r="O16" i="14"/>
  <c r="M16" i="14"/>
  <c r="D16" i="14"/>
  <c r="A16" i="14" s="1"/>
  <c r="R15" i="14"/>
  <c r="O15" i="14"/>
  <c r="M15" i="14"/>
  <c r="D15" i="14"/>
  <c r="A15" i="14"/>
  <c r="R14" i="14"/>
  <c r="O14" i="14"/>
  <c r="M14" i="14" s="1"/>
  <c r="D14" i="14"/>
  <c r="A14" i="14"/>
  <c r="R13" i="14"/>
  <c r="O13" i="14"/>
  <c r="M13" i="14"/>
  <c r="D13" i="14"/>
  <c r="A13" i="14"/>
  <c r="R12" i="14"/>
  <c r="O12" i="14"/>
  <c r="M12" i="14"/>
  <c r="D12" i="14"/>
  <c r="A12" i="14"/>
  <c r="R11" i="14"/>
  <c r="O11" i="14"/>
  <c r="M11" i="14"/>
  <c r="D11" i="14"/>
  <c r="A11" i="14"/>
  <c r="R10" i="14"/>
  <c r="O10" i="14"/>
  <c r="M10" i="14"/>
  <c r="J10" i="14"/>
  <c r="G10" i="14"/>
  <c r="D10" i="14"/>
  <c r="A10" i="14" s="1"/>
  <c r="R9" i="14"/>
  <c r="O9" i="14"/>
  <c r="M9" i="14"/>
  <c r="J9" i="14"/>
  <c r="G9" i="14"/>
  <c r="D9" i="14"/>
  <c r="A9" i="14"/>
  <c r="R8" i="14"/>
  <c r="O8" i="14"/>
  <c r="M8" i="14"/>
  <c r="J8" i="14"/>
  <c r="G8" i="14"/>
  <c r="D8" i="14"/>
  <c r="A8" i="14"/>
  <c r="R7" i="14"/>
  <c r="M7" i="14" s="1"/>
  <c r="O7" i="14"/>
  <c r="J7" i="14"/>
  <c r="G7" i="14"/>
  <c r="D7" i="14"/>
  <c r="A7" i="14"/>
  <c r="R6" i="14"/>
  <c r="O6" i="14"/>
  <c r="M6" i="14" s="1"/>
  <c r="J6" i="14"/>
  <c r="G6" i="14"/>
  <c r="D6" i="14"/>
  <c r="A6" i="14"/>
  <c r="R5" i="14"/>
  <c r="O5" i="14"/>
  <c r="M5" i="14"/>
  <c r="J5" i="14"/>
  <c r="G5" i="14"/>
  <c r="D5" i="14"/>
  <c r="A5" i="14"/>
  <c r="R4" i="14"/>
  <c r="O4" i="14"/>
  <c r="M4" i="14"/>
  <c r="J4" i="14"/>
  <c r="G4" i="14" s="1"/>
  <c r="D4" i="14"/>
  <c r="A4" i="14"/>
  <c r="M100" i="13"/>
  <c r="K100" i="13"/>
  <c r="I100" i="13"/>
  <c r="H100" i="13"/>
  <c r="D100" i="13"/>
  <c r="C100" i="13"/>
  <c r="B100" i="13"/>
  <c r="A100" i="13"/>
  <c r="M99" i="13"/>
  <c r="K99" i="13"/>
  <c r="J99" i="13"/>
  <c r="I99" i="13"/>
  <c r="H99" i="13"/>
  <c r="D99" i="13"/>
  <c r="C99" i="13"/>
  <c r="B99" i="13"/>
  <c r="A99" i="13"/>
  <c r="M98" i="13"/>
  <c r="K98" i="13"/>
  <c r="I98" i="13"/>
  <c r="H98" i="13"/>
  <c r="D98" i="13"/>
  <c r="C98" i="13"/>
  <c r="B98" i="13"/>
  <c r="J98" i="13" s="1"/>
  <c r="A98" i="13"/>
  <c r="M97" i="13"/>
  <c r="K97" i="13"/>
  <c r="J97" i="13"/>
  <c r="I97" i="13"/>
  <c r="H97" i="13"/>
  <c r="D97" i="13"/>
  <c r="C97" i="13"/>
  <c r="B97" i="13"/>
  <c r="A97" i="13"/>
  <c r="M96" i="13"/>
  <c r="K96" i="13"/>
  <c r="I96" i="13"/>
  <c r="H96" i="13"/>
  <c r="D96" i="13"/>
  <c r="C96" i="13"/>
  <c r="B96" i="13"/>
  <c r="A96" i="13"/>
  <c r="M95" i="13"/>
  <c r="K95" i="13"/>
  <c r="J95" i="13"/>
  <c r="I95" i="13"/>
  <c r="H95" i="13"/>
  <c r="D95" i="13"/>
  <c r="C95" i="13"/>
  <c r="N95" i="13" s="1"/>
  <c r="B95" i="13"/>
  <c r="A95" i="13"/>
  <c r="M94" i="13"/>
  <c r="K94" i="13"/>
  <c r="J94" i="13"/>
  <c r="I94" i="13"/>
  <c r="H94" i="13"/>
  <c r="D94" i="13"/>
  <c r="C94" i="13"/>
  <c r="B94" i="13"/>
  <c r="A94" i="13"/>
  <c r="M93" i="13"/>
  <c r="K93" i="13"/>
  <c r="J93" i="13"/>
  <c r="I93" i="13"/>
  <c r="H93" i="13"/>
  <c r="D93" i="13"/>
  <c r="C93" i="13"/>
  <c r="B93" i="13"/>
  <c r="A93" i="13"/>
  <c r="M92" i="13"/>
  <c r="K92" i="13"/>
  <c r="J92" i="13"/>
  <c r="I92" i="13"/>
  <c r="H92" i="13"/>
  <c r="D92" i="13"/>
  <c r="C92" i="13"/>
  <c r="B92" i="13"/>
  <c r="A92" i="13"/>
  <c r="M91" i="13"/>
  <c r="K91" i="13"/>
  <c r="J91" i="13"/>
  <c r="I91" i="13"/>
  <c r="H91" i="13"/>
  <c r="D91" i="13"/>
  <c r="C91" i="13"/>
  <c r="B91" i="13"/>
  <c r="A91" i="13"/>
  <c r="N90" i="13"/>
  <c r="M90" i="13"/>
  <c r="K90" i="13"/>
  <c r="J90" i="13"/>
  <c r="I90" i="13"/>
  <c r="H90" i="13"/>
  <c r="D90" i="13"/>
  <c r="C90" i="13"/>
  <c r="B90" i="13"/>
  <c r="A90" i="13"/>
  <c r="M89" i="13"/>
  <c r="K89" i="13"/>
  <c r="J89" i="13"/>
  <c r="I89" i="13"/>
  <c r="H89" i="13"/>
  <c r="D89" i="13"/>
  <c r="C89" i="13"/>
  <c r="B89" i="13"/>
  <c r="A89" i="13"/>
  <c r="M88" i="13"/>
  <c r="K88" i="13"/>
  <c r="I88" i="13"/>
  <c r="H88" i="13"/>
  <c r="D88" i="13"/>
  <c r="C88" i="13"/>
  <c r="B88" i="13"/>
  <c r="A88" i="13"/>
  <c r="M87" i="13"/>
  <c r="K87" i="13"/>
  <c r="J87" i="13"/>
  <c r="I87" i="13"/>
  <c r="H87" i="13"/>
  <c r="D87" i="13"/>
  <c r="C87" i="13"/>
  <c r="B87" i="13"/>
  <c r="A87" i="13"/>
  <c r="M86" i="13"/>
  <c r="K86" i="13"/>
  <c r="J86" i="13"/>
  <c r="I86" i="13"/>
  <c r="H86" i="13"/>
  <c r="D86" i="13"/>
  <c r="C86" i="13"/>
  <c r="B86" i="13"/>
  <c r="A86" i="13"/>
  <c r="M85" i="13"/>
  <c r="K85" i="13"/>
  <c r="J85" i="13"/>
  <c r="I85" i="13"/>
  <c r="H85" i="13"/>
  <c r="D85" i="13"/>
  <c r="C85" i="13"/>
  <c r="B85" i="13"/>
  <c r="A85" i="13"/>
  <c r="M84" i="13"/>
  <c r="K84" i="13"/>
  <c r="I84" i="13"/>
  <c r="H84" i="13"/>
  <c r="D84" i="13"/>
  <c r="C84" i="13"/>
  <c r="B84" i="13"/>
  <c r="A84" i="13"/>
  <c r="M83" i="13"/>
  <c r="K83" i="13"/>
  <c r="J83" i="13"/>
  <c r="I83" i="13"/>
  <c r="H83" i="13"/>
  <c r="D83" i="13"/>
  <c r="C83" i="13"/>
  <c r="N83" i="13" s="1"/>
  <c r="B83" i="13"/>
  <c r="A83" i="13"/>
  <c r="M82" i="13"/>
  <c r="K82" i="13"/>
  <c r="J82" i="13"/>
  <c r="I82" i="13"/>
  <c r="H82" i="13"/>
  <c r="D82" i="13"/>
  <c r="C82" i="13"/>
  <c r="B82" i="13"/>
  <c r="A82" i="13"/>
  <c r="M81" i="13"/>
  <c r="K81" i="13"/>
  <c r="J81" i="13"/>
  <c r="I81" i="13"/>
  <c r="H81" i="13"/>
  <c r="D81" i="13"/>
  <c r="C81" i="13"/>
  <c r="B81" i="13"/>
  <c r="A81" i="13"/>
  <c r="M80" i="13"/>
  <c r="K80" i="13"/>
  <c r="J80" i="13"/>
  <c r="I80" i="13"/>
  <c r="N80" i="13" s="1"/>
  <c r="H80" i="13"/>
  <c r="D80" i="13"/>
  <c r="C80" i="13"/>
  <c r="B80" i="13"/>
  <c r="A80" i="13"/>
  <c r="M79" i="13"/>
  <c r="K79" i="13"/>
  <c r="J79" i="13"/>
  <c r="I79" i="13"/>
  <c r="H79" i="13"/>
  <c r="D79" i="13"/>
  <c r="C79" i="13"/>
  <c r="B79" i="13"/>
  <c r="A79" i="13"/>
  <c r="N78" i="13"/>
  <c r="M78" i="13"/>
  <c r="K78" i="13"/>
  <c r="J78" i="13"/>
  <c r="I78" i="13"/>
  <c r="H78" i="13"/>
  <c r="D78" i="13"/>
  <c r="C78" i="13"/>
  <c r="B78" i="13"/>
  <c r="A78" i="13"/>
  <c r="M77" i="13"/>
  <c r="K77" i="13"/>
  <c r="J77" i="13"/>
  <c r="I77" i="13"/>
  <c r="H77" i="13"/>
  <c r="D77" i="13"/>
  <c r="C77" i="13"/>
  <c r="B77" i="13"/>
  <c r="A77" i="13"/>
  <c r="M76" i="13"/>
  <c r="K76" i="13"/>
  <c r="I76" i="13"/>
  <c r="H76" i="13"/>
  <c r="D76" i="13"/>
  <c r="C76" i="13"/>
  <c r="B76" i="13"/>
  <c r="A76" i="13"/>
  <c r="M75" i="13"/>
  <c r="D75" i="13" s="1"/>
  <c r="K75" i="13"/>
  <c r="J75" i="13"/>
  <c r="I75" i="13"/>
  <c r="H75" i="13"/>
  <c r="C75" i="13"/>
  <c r="N75" i="13" s="1"/>
  <c r="B75" i="13"/>
  <c r="M74" i="13"/>
  <c r="K74" i="13"/>
  <c r="J74" i="13"/>
  <c r="I74" i="13"/>
  <c r="H74" i="13"/>
  <c r="D74" i="13"/>
  <c r="C74" i="13"/>
  <c r="B74" i="13"/>
  <c r="A74" i="13"/>
  <c r="M73" i="13"/>
  <c r="K73" i="13"/>
  <c r="H73" i="13"/>
  <c r="C73" i="13"/>
  <c r="M72" i="13"/>
  <c r="K72" i="13"/>
  <c r="I72" i="13"/>
  <c r="H72" i="13"/>
  <c r="D72" i="13"/>
  <c r="C72" i="13"/>
  <c r="B72" i="13"/>
  <c r="A72" i="13"/>
  <c r="M71" i="13"/>
  <c r="D71" i="13" s="1"/>
  <c r="K71" i="13"/>
  <c r="J71" i="13"/>
  <c r="I71" i="13"/>
  <c r="H71" i="13"/>
  <c r="B71" i="13"/>
  <c r="A71" i="13"/>
  <c r="M70" i="13"/>
  <c r="K70" i="13"/>
  <c r="J70" i="13"/>
  <c r="I70" i="13"/>
  <c r="H70" i="13"/>
  <c r="D70" i="13"/>
  <c r="C70" i="13"/>
  <c r="N70" i="13" s="1"/>
  <c r="B70" i="13"/>
  <c r="A70" i="13"/>
  <c r="M69" i="13"/>
  <c r="K69" i="13"/>
  <c r="H69" i="13"/>
  <c r="D69" i="13" s="1"/>
  <c r="C69" i="13"/>
  <c r="M68" i="13"/>
  <c r="K68" i="13"/>
  <c r="I68" i="13"/>
  <c r="H68" i="13"/>
  <c r="D68" i="13"/>
  <c r="C68" i="13"/>
  <c r="B68" i="13"/>
  <c r="A68" i="13"/>
  <c r="M67" i="13"/>
  <c r="D67" i="13" s="1"/>
  <c r="K67" i="13"/>
  <c r="J67" i="13"/>
  <c r="I67" i="13"/>
  <c r="H67" i="13"/>
  <c r="B67" i="13"/>
  <c r="M66" i="13"/>
  <c r="K66" i="13"/>
  <c r="J66" i="13"/>
  <c r="I66" i="13"/>
  <c r="H66" i="13"/>
  <c r="D66" i="13"/>
  <c r="C66" i="13"/>
  <c r="B66" i="13"/>
  <c r="A66" i="13"/>
  <c r="M65" i="13"/>
  <c r="K65" i="13"/>
  <c r="H65" i="13"/>
  <c r="D65" i="13"/>
  <c r="C65" i="13"/>
  <c r="M64" i="13"/>
  <c r="K64" i="13"/>
  <c r="I64" i="13"/>
  <c r="N64" i="13" s="1"/>
  <c r="H64" i="13"/>
  <c r="D64" i="13"/>
  <c r="C64" i="13"/>
  <c r="B64" i="13"/>
  <c r="A64" i="13"/>
  <c r="M63" i="13"/>
  <c r="D63" i="13" s="1"/>
  <c r="K63" i="13"/>
  <c r="I63" i="13"/>
  <c r="J63" i="13" s="1"/>
  <c r="H63" i="13"/>
  <c r="B63" i="13"/>
  <c r="M62" i="13"/>
  <c r="K62" i="13"/>
  <c r="J62" i="13"/>
  <c r="I62" i="13"/>
  <c r="H62" i="13"/>
  <c r="D62" i="13"/>
  <c r="C62" i="13"/>
  <c r="B62" i="13"/>
  <c r="A62" i="13"/>
  <c r="M61" i="13"/>
  <c r="K61" i="13"/>
  <c r="H61" i="13"/>
  <c r="D61" i="13"/>
  <c r="C61" i="13"/>
  <c r="M60" i="13"/>
  <c r="K60" i="13"/>
  <c r="I60" i="13"/>
  <c r="N60" i="13" s="1"/>
  <c r="H60" i="13"/>
  <c r="B60" i="13" s="1"/>
  <c r="D60" i="13"/>
  <c r="C60" i="13"/>
  <c r="A60" i="13"/>
  <c r="M59" i="13"/>
  <c r="D59" i="13" s="1"/>
  <c r="K59" i="13"/>
  <c r="I59" i="13"/>
  <c r="J59" i="13" s="1"/>
  <c r="H59" i="13"/>
  <c r="B59" i="13"/>
  <c r="M58" i="13"/>
  <c r="K58" i="13"/>
  <c r="J58" i="13"/>
  <c r="I58" i="13"/>
  <c r="H58" i="13"/>
  <c r="D58" i="13"/>
  <c r="C58" i="13"/>
  <c r="B58" i="13"/>
  <c r="A58" i="13"/>
  <c r="M57" i="13"/>
  <c r="K57" i="13"/>
  <c r="H57" i="13"/>
  <c r="D57" i="13" s="1"/>
  <c r="C57" i="13"/>
  <c r="M56" i="13"/>
  <c r="K56" i="13"/>
  <c r="I56" i="13"/>
  <c r="H56" i="13"/>
  <c r="B56" i="13" s="1"/>
  <c r="D56" i="13"/>
  <c r="C56" i="13"/>
  <c r="A56" i="13"/>
  <c r="M55" i="13"/>
  <c r="D55" i="13" s="1"/>
  <c r="K55" i="13"/>
  <c r="I55" i="13"/>
  <c r="J55" i="13" s="1"/>
  <c r="H55" i="13"/>
  <c r="C55" i="13"/>
  <c r="B55" i="13"/>
  <c r="M54" i="13"/>
  <c r="K54" i="13"/>
  <c r="J54" i="13"/>
  <c r="I54" i="13"/>
  <c r="H54" i="13"/>
  <c r="D54" i="13"/>
  <c r="C54" i="13"/>
  <c r="B54" i="13"/>
  <c r="A54" i="13"/>
  <c r="M53" i="13"/>
  <c r="K53" i="13"/>
  <c r="H53" i="13"/>
  <c r="C53" i="13"/>
  <c r="M52" i="13"/>
  <c r="K52" i="13"/>
  <c r="I52" i="13"/>
  <c r="H52" i="13"/>
  <c r="B52" i="13" s="1"/>
  <c r="D52" i="13"/>
  <c r="C52" i="13"/>
  <c r="A52" i="13"/>
  <c r="M51" i="13"/>
  <c r="D51" i="13" s="1"/>
  <c r="K51" i="13"/>
  <c r="I51" i="13"/>
  <c r="J51" i="13" s="1"/>
  <c r="H51" i="13"/>
  <c r="C51" i="13"/>
  <c r="N51" i="13" s="1"/>
  <c r="B51" i="13"/>
  <c r="M50" i="13"/>
  <c r="K50" i="13"/>
  <c r="H50" i="13"/>
  <c r="C50" i="13"/>
  <c r="B50" i="13"/>
  <c r="M49" i="13"/>
  <c r="K49" i="13"/>
  <c r="H49" i="13"/>
  <c r="D49" i="13"/>
  <c r="C49" i="13"/>
  <c r="M48" i="13"/>
  <c r="K48" i="13"/>
  <c r="J48" i="13"/>
  <c r="I48" i="13"/>
  <c r="H48" i="13"/>
  <c r="B48" i="13" s="1"/>
  <c r="M47" i="13"/>
  <c r="A47" i="13" s="1"/>
  <c r="K47" i="13"/>
  <c r="I47" i="13"/>
  <c r="J47" i="13" s="1"/>
  <c r="H47" i="13"/>
  <c r="D47" i="13" s="1"/>
  <c r="C47" i="13"/>
  <c r="N47" i="13" s="1"/>
  <c r="B47" i="13"/>
  <c r="M46" i="13"/>
  <c r="K46" i="13"/>
  <c r="H46" i="13"/>
  <c r="C46" i="13"/>
  <c r="B46" i="13"/>
  <c r="M45" i="13"/>
  <c r="C45" i="13" s="1"/>
  <c r="K45" i="13"/>
  <c r="H45" i="13"/>
  <c r="D45" i="13" s="1"/>
  <c r="M44" i="13"/>
  <c r="K44" i="13"/>
  <c r="J44" i="13"/>
  <c r="I44" i="13"/>
  <c r="H44" i="13"/>
  <c r="B44" i="13" s="1"/>
  <c r="M43" i="13"/>
  <c r="A43" i="13" s="1"/>
  <c r="K43" i="13"/>
  <c r="I43" i="13"/>
  <c r="J43" i="13" s="1"/>
  <c r="H43" i="13"/>
  <c r="D43" i="13" s="1"/>
  <c r="C43" i="13"/>
  <c r="N43" i="13" s="1"/>
  <c r="B43" i="13"/>
  <c r="M42" i="13"/>
  <c r="K42" i="13"/>
  <c r="H42" i="13"/>
  <c r="C42" i="13"/>
  <c r="B42" i="13"/>
  <c r="M41" i="13"/>
  <c r="C41" i="13" s="1"/>
  <c r="K41" i="13"/>
  <c r="H41" i="13"/>
  <c r="D41" i="13" s="1"/>
  <c r="M40" i="13"/>
  <c r="D40" i="13" s="1"/>
  <c r="K40" i="13"/>
  <c r="J40" i="13"/>
  <c r="I40" i="13"/>
  <c r="H40" i="13"/>
  <c r="B40" i="13" s="1"/>
  <c r="C40" i="13"/>
  <c r="M39" i="13"/>
  <c r="A39" i="13" s="1"/>
  <c r="K39" i="13"/>
  <c r="I39" i="13"/>
  <c r="J39" i="13" s="1"/>
  <c r="H39" i="13"/>
  <c r="D39" i="13" s="1"/>
  <c r="N39" i="13" s="1"/>
  <c r="C39" i="13"/>
  <c r="B39" i="13"/>
  <c r="M38" i="13"/>
  <c r="K38" i="13"/>
  <c r="H38" i="13"/>
  <c r="C38" i="13"/>
  <c r="M37" i="13"/>
  <c r="K37" i="13"/>
  <c r="H37" i="13"/>
  <c r="D37" i="13"/>
  <c r="C37" i="13"/>
  <c r="M36" i="13"/>
  <c r="D36" i="13" s="1"/>
  <c r="K36" i="13"/>
  <c r="I36" i="13"/>
  <c r="H36" i="13"/>
  <c r="B36" i="13" s="1"/>
  <c r="C36" i="13"/>
  <c r="M35" i="13"/>
  <c r="A35" i="13" s="1"/>
  <c r="K35" i="13"/>
  <c r="I35" i="13"/>
  <c r="H35" i="13"/>
  <c r="C35" i="13"/>
  <c r="B35" i="13"/>
  <c r="M34" i="13"/>
  <c r="K34" i="13"/>
  <c r="H34" i="13"/>
  <c r="D34" i="13"/>
  <c r="C34" i="13"/>
  <c r="B34" i="13"/>
  <c r="M33" i="13"/>
  <c r="K33" i="13"/>
  <c r="I33" i="13"/>
  <c r="H33" i="13"/>
  <c r="D33" i="13"/>
  <c r="C33" i="13"/>
  <c r="M32" i="13"/>
  <c r="D32" i="13" s="1"/>
  <c r="K32" i="13"/>
  <c r="I32" i="13"/>
  <c r="H32" i="13"/>
  <c r="B32" i="13" s="1"/>
  <c r="C32" i="13"/>
  <c r="M31" i="13"/>
  <c r="A31" i="13" s="1"/>
  <c r="K31" i="13"/>
  <c r="I31" i="13"/>
  <c r="H31" i="13"/>
  <c r="C31" i="13"/>
  <c r="B31" i="13"/>
  <c r="M30" i="13"/>
  <c r="K30" i="13"/>
  <c r="H30" i="13"/>
  <c r="C30" i="13"/>
  <c r="M29" i="13"/>
  <c r="K29" i="13"/>
  <c r="I29" i="13"/>
  <c r="H29" i="13"/>
  <c r="A29" i="13" s="1"/>
  <c r="C29" i="13"/>
  <c r="B29" i="13"/>
  <c r="M28" i="13"/>
  <c r="D28" i="13" s="1"/>
  <c r="K28" i="13"/>
  <c r="I28" i="13"/>
  <c r="H28" i="13"/>
  <c r="B28" i="13" s="1"/>
  <c r="C28" i="13"/>
  <c r="M27" i="13"/>
  <c r="A27" i="13" s="1"/>
  <c r="K27" i="13"/>
  <c r="I27" i="13"/>
  <c r="H27" i="13"/>
  <c r="C27" i="13"/>
  <c r="B27" i="13"/>
  <c r="M26" i="13"/>
  <c r="K26" i="13"/>
  <c r="J26" i="13"/>
  <c r="H26" i="13"/>
  <c r="I26" i="13" s="1"/>
  <c r="C26" i="13"/>
  <c r="B26" i="13"/>
  <c r="A26" i="13"/>
  <c r="M25" i="13"/>
  <c r="D25" i="13" s="1"/>
  <c r="K25" i="13"/>
  <c r="H25" i="13"/>
  <c r="I25" i="13" s="1"/>
  <c r="J25" i="13" s="1"/>
  <c r="C25" i="13"/>
  <c r="B25" i="13"/>
  <c r="A25" i="13"/>
  <c r="M24" i="13"/>
  <c r="D24" i="13" s="1"/>
  <c r="K24" i="13"/>
  <c r="H24" i="13"/>
  <c r="B24" i="13" s="1"/>
  <c r="C24" i="13"/>
  <c r="A24" i="13"/>
  <c r="M23" i="13"/>
  <c r="K23" i="13"/>
  <c r="H23" i="13"/>
  <c r="A23" i="13" s="1"/>
  <c r="D23" i="13"/>
  <c r="C23" i="13"/>
  <c r="B23" i="13"/>
  <c r="M22" i="13"/>
  <c r="K22" i="13"/>
  <c r="H22" i="13"/>
  <c r="D22" i="13" s="1"/>
  <c r="C22" i="13"/>
  <c r="M21" i="13"/>
  <c r="K21" i="13"/>
  <c r="J21" i="13"/>
  <c r="I21" i="13"/>
  <c r="H21" i="13"/>
  <c r="D21" i="13" s="1"/>
  <c r="C21" i="13"/>
  <c r="B21" i="13"/>
  <c r="A21" i="13"/>
  <c r="M20" i="13"/>
  <c r="D20" i="13" s="1"/>
  <c r="N20" i="13" s="1"/>
  <c r="K20" i="13"/>
  <c r="H20" i="13"/>
  <c r="I20" i="13" s="1"/>
  <c r="C20" i="13"/>
  <c r="B20" i="13"/>
  <c r="M19" i="13"/>
  <c r="K19" i="13"/>
  <c r="H19" i="13"/>
  <c r="A19" i="13" s="1"/>
  <c r="D19" i="13"/>
  <c r="C19" i="13"/>
  <c r="B19" i="13"/>
  <c r="M18" i="13"/>
  <c r="K18" i="13"/>
  <c r="H18" i="13"/>
  <c r="D18" i="13"/>
  <c r="C18" i="13"/>
  <c r="M17" i="13"/>
  <c r="K17" i="13"/>
  <c r="J17" i="13"/>
  <c r="I17" i="13"/>
  <c r="H17" i="13"/>
  <c r="D17" i="13" s="1"/>
  <c r="C17" i="13"/>
  <c r="B17" i="13"/>
  <c r="A17" i="13"/>
  <c r="M16" i="13"/>
  <c r="D16" i="13" s="1"/>
  <c r="N16" i="13" s="1"/>
  <c r="K16" i="13"/>
  <c r="H16" i="13"/>
  <c r="I16" i="13" s="1"/>
  <c r="C16" i="13"/>
  <c r="B16" i="13"/>
  <c r="A16" i="13"/>
  <c r="M15" i="13"/>
  <c r="K15" i="13"/>
  <c r="H15" i="13"/>
  <c r="A15" i="13" s="1"/>
  <c r="D15" i="13"/>
  <c r="C15" i="13"/>
  <c r="B15" i="13"/>
  <c r="M14" i="13"/>
  <c r="K14" i="13"/>
  <c r="H14" i="13"/>
  <c r="D14" i="13" s="1"/>
  <c r="C14" i="13"/>
  <c r="M13" i="13"/>
  <c r="K13" i="13"/>
  <c r="J13" i="13"/>
  <c r="I13" i="13"/>
  <c r="H13" i="13"/>
  <c r="D13" i="13" s="1"/>
  <c r="C13" i="13"/>
  <c r="B13" i="13"/>
  <c r="A13" i="13"/>
  <c r="M12" i="13"/>
  <c r="D12" i="13" s="1"/>
  <c r="N12" i="13" s="1"/>
  <c r="K12" i="13"/>
  <c r="H12" i="13"/>
  <c r="I12" i="13" s="1"/>
  <c r="C12" i="13"/>
  <c r="B12" i="13"/>
  <c r="M11" i="13"/>
  <c r="K11" i="13"/>
  <c r="H11" i="13"/>
  <c r="A11" i="13" s="1"/>
  <c r="D11" i="13"/>
  <c r="C11" i="13"/>
  <c r="B11" i="13"/>
  <c r="M10" i="13"/>
  <c r="K10" i="13"/>
  <c r="H10" i="13"/>
  <c r="D10" i="13"/>
  <c r="C10" i="13"/>
  <c r="M9" i="13"/>
  <c r="K9" i="13"/>
  <c r="J9" i="13"/>
  <c r="I9" i="13"/>
  <c r="H9" i="13"/>
  <c r="D9" i="13" s="1"/>
  <c r="C9" i="13"/>
  <c r="B9" i="13"/>
  <c r="A9" i="13"/>
  <c r="M8" i="13"/>
  <c r="D8" i="13" s="1"/>
  <c r="N8" i="13" s="1"/>
  <c r="K8" i="13"/>
  <c r="H8" i="13"/>
  <c r="I8" i="13" s="1"/>
  <c r="C8" i="13"/>
  <c r="B8" i="13"/>
  <c r="A8" i="13"/>
  <c r="M7" i="13"/>
  <c r="K7" i="13"/>
  <c r="H7" i="13"/>
  <c r="A7" i="13" s="1"/>
  <c r="D7" i="13"/>
  <c r="C7" i="13"/>
  <c r="B7" i="13"/>
  <c r="M6" i="13"/>
  <c r="K6" i="13"/>
  <c r="H6" i="13"/>
  <c r="D6" i="13" s="1"/>
  <c r="C6" i="13"/>
  <c r="M5" i="13"/>
  <c r="K5" i="13"/>
  <c r="J5" i="13"/>
  <c r="I5" i="13"/>
  <c r="H5" i="13"/>
  <c r="D5" i="13" s="1"/>
  <c r="C5" i="13"/>
  <c r="B5" i="13"/>
  <c r="A5" i="13"/>
  <c r="M4" i="13"/>
  <c r="D4" i="13" s="1"/>
  <c r="N4" i="13" s="1"/>
  <c r="J4" i="13"/>
  <c r="I4" i="13"/>
  <c r="H4" i="13"/>
  <c r="C4" i="13"/>
  <c r="B4" i="13"/>
  <c r="M3" i="13"/>
  <c r="D3" i="13" s="1"/>
  <c r="N3" i="13" s="1"/>
  <c r="K3" i="13"/>
  <c r="H3" i="13"/>
  <c r="I3" i="13" s="1"/>
  <c r="C3" i="13"/>
  <c r="B3" i="13"/>
  <c r="J2" i="13"/>
  <c r="M233" i="12"/>
  <c r="H233" i="12"/>
  <c r="F233" i="12"/>
  <c r="D233" i="12"/>
  <c r="B233" i="12"/>
  <c r="A233" i="12"/>
  <c r="M232" i="12"/>
  <c r="H232" i="12"/>
  <c r="F232" i="12"/>
  <c r="D232" i="12"/>
  <c r="B232" i="12"/>
  <c r="A232" i="12"/>
  <c r="M231" i="12"/>
  <c r="H231" i="12"/>
  <c r="F231" i="12"/>
  <c r="D231" i="12"/>
  <c r="M230" i="12"/>
  <c r="H230" i="12"/>
  <c r="F230" i="12"/>
  <c r="B230" i="12" s="1"/>
  <c r="D230" i="12"/>
  <c r="M229" i="12"/>
  <c r="H229" i="12"/>
  <c r="F229" i="12"/>
  <c r="D229" i="12"/>
  <c r="B229" i="12"/>
  <c r="A229" i="12"/>
  <c r="M228" i="12"/>
  <c r="H228" i="12"/>
  <c r="F228" i="12"/>
  <c r="D228" i="12"/>
  <c r="B228" i="12"/>
  <c r="A228" i="12"/>
  <c r="M227" i="12"/>
  <c r="H227" i="12"/>
  <c r="F227" i="12"/>
  <c r="D227" i="12"/>
  <c r="B227" i="12"/>
  <c r="M226" i="12"/>
  <c r="H226" i="12"/>
  <c r="F226" i="12"/>
  <c r="D226" i="12"/>
  <c r="A226" i="12" s="1"/>
  <c r="B226" i="12"/>
  <c r="M225" i="12"/>
  <c r="H225" i="12"/>
  <c r="F225" i="12"/>
  <c r="D225" i="12"/>
  <c r="B225" i="12"/>
  <c r="A225" i="12"/>
  <c r="M224" i="12"/>
  <c r="H224" i="12"/>
  <c r="F224" i="12"/>
  <c r="D224" i="12"/>
  <c r="B224" i="12"/>
  <c r="A224" i="12"/>
  <c r="M223" i="12"/>
  <c r="H223" i="12"/>
  <c r="F223" i="12"/>
  <c r="D223" i="12"/>
  <c r="A223" i="12" s="1"/>
  <c r="B223" i="12"/>
  <c r="M222" i="12"/>
  <c r="H222" i="12"/>
  <c r="F222" i="12"/>
  <c r="D222" i="12"/>
  <c r="B222" i="12"/>
  <c r="M221" i="12"/>
  <c r="H221" i="12"/>
  <c r="F221" i="12"/>
  <c r="D221" i="12"/>
  <c r="B221" i="12"/>
  <c r="A221" i="12"/>
  <c r="M220" i="12"/>
  <c r="H220" i="12"/>
  <c r="F220" i="12"/>
  <c r="D220" i="12"/>
  <c r="B220" i="12"/>
  <c r="A220" i="12"/>
  <c r="M219" i="12"/>
  <c r="H219" i="12"/>
  <c r="F219" i="12"/>
  <c r="D219" i="12"/>
  <c r="B219" i="12"/>
  <c r="M218" i="12"/>
  <c r="H218" i="12"/>
  <c r="F218" i="12"/>
  <c r="D218" i="12"/>
  <c r="A218" i="12" s="1"/>
  <c r="B218" i="12"/>
  <c r="M217" i="12"/>
  <c r="H217" i="12"/>
  <c r="F217" i="12"/>
  <c r="D217" i="12"/>
  <c r="B217" i="12"/>
  <c r="A217" i="12"/>
  <c r="M216" i="12"/>
  <c r="H216" i="12"/>
  <c r="F216" i="12"/>
  <c r="D216" i="12"/>
  <c r="B216" i="12"/>
  <c r="A216" i="12"/>
  <c r="M215" i="12"/>
  <c r="H215" i="12"/>
  <c r="F215" i="12"/>
  <c r="A215" i="12" s="1"/>
  <c r="D215" i="12"/>
  <c r="B215" i="12"/>
  <c r="M214" i="12"/>
  <c r="H214" i="12"/>
  <c r="F214" i="12"/>
  <c r="D214" i="12"/>
  <c r="B214" i="12"/>
  <c r="M213" i="12"/>
  <c r="H213" i="12"/>
  <c r="F213" i="12"/>
  <c r="D213" i="12"/>
  <c r="B213" i="12"/>
  <c r="A213" i="12"/>
  <c r="M212" i="12"/>
  <c r="H212" i="12"/>
  <c r="F212" i="12"/>
  <c r="D212" i="12"/>
  <c r="B212" i="12"/>
  <c r="A212" i="12"/>
  <c r="M211" i="12"/>
  <c r="H211" i="12"/>
  <c r="F211" i="12"/>
  <c r="D211" i="12"/>
  <c r="B211" i="12"/>
  <c r="M210" i="12"/>
  <c r="H210" i="12"/>
  <c r="F210" i="12"/>
  <c r="D210" i="12"/>
  <c r="A210" i="12" s="1"/>
  <c r="B210" i="12"/>
  <c r="M209" i="12"/>
  <c r="H209" i="12"/>
  <c r="F209" i="12"/>
  <c r="D209" i="12"/>
  <c r="B209" i="12"/>
  <c r="A209" i="12"/>
  <c r="M208" i="12"/>
  <c r="H208" i="12"/>
  <c r="F208" i="12"/>
  <c r="D208" i="12"/>
  <c r="B208" i="12"/>
  <c r="A208" i="12"/>
  <c r="M207" i="12"/>
  <c r="H207" i="12"/>
  <c r="F207" i="12"/>
  <c r="A207" i="12" s="1"/>
  <c r="D207" i="12"/>
  <c r="B207" i="12" s="1"/>
  <c r="M206" i="12"/>
  <c r="H206" i="12"/>
  <c r="F206" i="12"/>
  <c r="D206" i="12"/>
  <c r="B206" i="12" s="1"/>
  <c r="M205" i="12"/>
  <c r="H205" i="12"/>
  <c r="F205" i="12"/>
  <c r="D205" i="12"/>
  <c r="B205" i="12"/>
  <c r="A205" i="12"/>
  <c r="M204" i="12"/>
  <c r="H204" i="12"/>
  <c r="F204" i="12"/>
  <c r="D204" i="12"/>
  <c r="B204" i="12" s="1"/>
  <c r="A204" i="12"/>
  <c r="M203" i="12"/>
  <c r="H203" i="12"/>
  <c r="F203" i="12"/>
  <c r="A203" i="12" s="1"/>
  <c r="D203" i="12"/>
  <c r="B203" i="12"/>
  <c r="M202" i="12"/>
  <c r="H202" i="12"/>
  <c r="F202" i="12"/>
  <c r="D202" i="12"/>
  <c r="B202" i="12"/>
  <c r="M201" i="12"/>
  <c r="H201" i="12"/>
  <c r="F201" i="12"/>
  <c r="D201" i="12"/>
  <c r="B201" i="12"/>
  <c r="A201" i="12"/>
  <c r="M200" i="12"/>
  <c r="H200" i="12"/>
  <c r="F200" i="12"/>
  <c r="D200" i="12"/>
  <c r="B200" i="12"/>
  <c r="A200" i="12"/>
  <c r="M199" i="12"/>
  <c r="H199" i="12"/>
  <c r="F199" i="12"/>
  <c r="D199" i="12"/>
  <c r="B199" i="12"/>
  <c r="M198" i="12"/>
  <c r="H198" i="12"/>
  <c r="F198" i="12"/>
  <c r="D198" i="12"/>
  <c r="A198" i="12" s="1"/>
  <c r="B198" i="12"/>
  <c r="M197" i="12"/>
  <c r="H197" i="12"/>
  <c r="F197" i="12"/>
  <c r="D197" i="12"/>
  <c r="B197" i="12"/>
  <c r="A197" i="12"/>
  <c r="M196" i="12"/>
  <c r="H196" i="12"/>
  <c r="F196" i="12"/>
  <c r="D196" i="12"/>
  <c r="B196" i="12"/>
  <c r="A196" i="12"/>
  <c r="M195" i="12"/>
  <c r="H195" i="12"/>
  <c r="F195" i="12"/>
  <c r="A195" i="12" s="1"/>
  <c r="D195" i="12"/>
  <c r="B195" i="12"/>
  <c r="M194" i="12"/>
  <c r="H194" i="12"/>
  <c r="F194" i="12"/>
  <c r="D194" i="12"/>
  <c r="B194" i="12"/>
  <c r="M193" i="12"/>
  <c r="H193" i="12"/>
  <c r="F193" i="12"/>
  <c r="D193" i="12"/>
  <c r="B193" i="12"/>
  <c r="A193" i="12"/>
  <c r="M192" i="12"/>
  <c r="H192" i="12"/>
  <c r="F192" i="12"/>
  <c r="D192" i="12"/>
  <c r="B192" i="12"/>
  <c r="A192" i="12"/>
  <c r="M191" i="12"/>
  <c r="H191" i="12"/>
  <c r="F191" i="12"/>
  <c r="D191" i="12"/>
  <c r="B191" i="12"/>
  <c r="M190" i="12"/>
  <c r="H190" i="12"/>
  <c r="F190" i="12"/>
  <c r="D190" i="12"/>
  <c r="A190" i="12" s="1"/>
  <c r="B190" i="12"/>
  <c r="M189" i="12"/>
  <c r="H189" i="12"/>
  <c r="F189" i="12"/>
  <c r="D189" i="12"/>
  <c r="B189" i="12"/>
  <c r="A189" i="12"/>
  <c r="M188" i="12"/>
  <c r="H188" i="12"/>
  <c r="F188" i="12"/>
  <c r="D188" i="12"/>
  <c r="B188" i="12"/>
  <c r="A188" i="12"/>
  <c r="M187" i="12"/>
  <c r="H187" i="12"/>
  <c r="F187" i="12"/>
  <c r="A187" i="12" s="1"/>
  <c r="D187" i="12"/>
  <c r="B187" i="12"/>
  <c r="M186" i="12"/>
  <c r="H186" i="12"/>
  <c r="F186" i="12"/>
  <c r="D186" i="12"/>
  <c r="B186" i="12"/>
  <c r="M185" i="12"/>
  <c r="H185" i="12"/>
  <c r="F185" i="12"/>
  <c r="D185" i="12"/>
  <c r="B185" i="12"/>
  <c r="A185" i="12"/>
  <c r="M184" i="12"/>
  <c r="H184" i="12"/>
  <c r="F184" i="12"/>
  <c r="D184" i="12"/>
  <c r="B184" i="12"/>
  <c r="A184" i="12"/>
  <c r="M183" i="12"/>
  <c r="H183" i="12"/>
  <c r="F183" i="12"/>
  <c r="D183" i="12"/>
  <c r="B183" i="12"/>
  <c r="M182" i="12"/>
  <c r="H182" i="12"/>
  <c r="F182" i="12"/>
  <c r="D182" i="12"/>
  <c r="A182" i="12" s="1"/>
  <c r="B182" i="12"/>
  <c r="M181" i="12"/>
  <c r="H181" i="12"/>
  <c r="F181" i="12"/>
  <c r="D181" i="12"/>
  <c r="B181" i="12"/>
  <c r="A181" i="12"/>
  <c r="M180" i="12"/>
  <c r="H180" i="12"/>
  <c r="F180" i="12"/>
  <c r="D180" i="12"/>
  <c r="B180" i="12"/>
  <c r="A180" i="12"/>
  <c r="M179" i="12"/>
  <c r="H179" i="12"/>
  <c r="F179" i="12"/>
  <c r="A179" i="12" s="1"/>
  <c r="D179" i="12"/>
  <c r="B179" i="12"/>
  <c r="M178" i="12"/>
  <c r="H178" i="12"/>
  <c r="F178" i="12"/>
  <c r="D178" i="12"/>
  <c r="B178" i="12"/>
  <c r="M177" i="12"/>
  <c r="H177" i="12"/>
  <c r="F177" i="12"/>
  <c r="D177" i="12"/>
  <c r="B177" i="12"/>
  <c r="A177" i="12"/>
  <c r="M176" i="12"/>
  <c r="H176" i="12"/>
  <c r="F176" i="12"/>
  <c r="D176" i="12"/>
  <c r="B176" i="12"/>
  <c r="A176" i="12"/>
  <c r="M175" i="12"/>
  <c r="H175" i="12"/>
  <c r="F175" i="12"/>
  <c r="D175" i="12"/>
  <c r="B175" i="12"/>
  <c r="M174" i="12"/>
  <c r="H174" i="12"/>
  <c r="F174" i="12"/>
  <c r="D174" i="12"/>
  <c r="A174" i="12" s="1"/>
  <c r="B174" i="12"/>
  <c r="M173" i="12"/>
  <c r="H173" i="12"/>
  <c r="F173" i="12"/>
  <c r="D173" i="12"/>
  <c r="B173" i="12"/>
  <c r="A173" i="12"/>
  <c r="M172" i="12"/>
  <c r="H172" i="12"/>
  <c r="F172" i="12"/>
  <c r="D172" i="12"/>
  <c r="B172" i="12"/>
  <c r="A172" i="12"/>
  <c r="M171" i="12"/>
  <c r="H171" i="12"/>
  <c r="F171" i="12"/>
  <c r="A171" i="12" s="1"/>
  <c r="D171" i="12"/>
  <c r="B171" i="12"/>
  <c r="M170" i="12"/>
  <c r="H170" i="12"/>
  <c r="F170" i="12"/>
  <c r="D170" i="12"/>
  <c r="B170" i="12"/>
  <c r="M169" i="12"/>
  <c r="H169" i="12"/>
  <c r="F169" i="12"/>
  <c r="D169" i="12"/>
  <c r="B169" i="12"/>
  <c r="A169" i="12"/>
  <c r="M168" i="12"/>
  <c r="H168" i="12"/>
  <c r="F168" i="12"/>
  <c r="D168" i="12"/>
  <c r="B168" i="12"/>
  <c r="A168" i="12"/>
  <c r="M167" i="12"/>
  <c r="H167" i="12"/>
  <c r="F167" i="12"/>
  <c r="D167" i="12"/>
  <c r="B167" i="12"/>
  <c r="M166" i="12"/>
  <c r="H166" i="12"/>
  <c r="F166" i="12"/>
  <c r="D166" i="12"/>
  <c r="B166" i="12" s="1"/>
  <c r="M165" i="12"/>
  <c r="H165" i="12"/>
  <c r="F165" i="12"/>
  <c r="D165" i="12"/>
  <c r="B165" i="12"/>
  <c r="M164" i="12"/>
  <c r="H164" i="12"/>
  <c r="F164" i="12"/>
  <c r="D164" i="12"/>
  <c r="B164" i="12"/>
  <c r="M163" i="12"/>
  <c r="H163" i="12"/>
  <c r="F163" i="12"/>
  <c r="D163" i="12"/>
  <c r="B163" i="12"/>
  <c r="A163" i="12"/>
  <c r="M162" i="12"/>
  <c r="H162" i="12"/>
  <c r="F162" i="12"/>
  <c r="D162" i="12"/>
  <c r="A162" i="12" s="1"/>
  <c r="B162" i="12"/>
  <c r="M161" i="12"/>
  <c r="H161" i="12"/>
  <c r="A161" i="12" s="1"/>
  <c r="F161" i="12"/>
  <c r="D161" i="12"/>
  <c r="B161" i="12"/>
  <c r="M160" i="12"/>
  <c r="H160" i="12"/>
  <c r="F160" i="12"/>
  <c r="D160" i="12"/>
  <c r="A160" i="12" s="1"/>
  <c r="B160" i="12"/>
  <c r="M159" i="12"/>
  <c r="H159" i="12"/>
  <c r="F159" i="12"/>
  <c r="D159" i="12"/>
  <c r="B159" i="12"/>
  <c r="A159" i="12"/>
  <c r="M158" i="12"/>
  <c r="H158" i="12"/>
  <c r="F158" i="12"/>
  <c r="D158" i="12"/>
  <c r="A158" i="12" s="1"/>
  <c r="B158" i="12"/>
  <c r="M157" i="12"/>
  <c r="H157" i="12"/>
  <c r="A157" i="12" s="1"/>
  <c r="F157" i="12"/>
  <c r="D157" i="12"/>
  <c r="B157" i="12"/>
  <c r="M156" i="12"/>
  <c r="H156" i="12"/>
  <c r="F156" i="12"/>
  <c r="D156" i="12"/>
  <c r="A156" i="12" s="1"/>
  <c r="B156" i="12"/>
  <c r="M155" i="12"/>
  <c r="H155" i="12"/>
  <c r="F155" i="12"/>
  <c r="D155" i="12"/>
  <c r="A155" i="12" s="1"/>
  <c r="B155" i="12"/>
  <c r="M154" i="12"/>
  <c r="H154" i="12"/>
  <c r="F154" i="12"/>
  <c r="D154" i="12"/>
  <c r="B154" i="12"/>
  <c r="A154" i="12"/>
  <c r="M153" i="12"/>
  <c r="H153" i="12"/>
  <c r="A153" i="12" s="1"/>
  <c r="F153" i="12"/>
  <c r="D153" i="12"/>
  <c r="B153" i="12"/>
  <c r="M152" i="12"/>
  <c r="H152" i="12"/>
  <c r="F152" i="12"/>
  <c r="D152" i="12"/>
  <c r="B152" i="12"/>
  <c r="M151" i="12"/>
  <c r="H151" i="12"/>
  <c r="F151" i="12"/>
  <c r="D151" i="12"/>
  <c r="A151" i="12" s="1"/>
  <c r="B151" i="12"/>
  <c r="M150" i="12"/>
  <c r="H150" i="12"/>
  <c r="F150" i="12"/>
  <c r="D150" i="12"/>
  <c r="B150" i="12"/>
  <c r="A150" i="12"/>
  <c r="M149" i="12"/>
  <c r="H149" i="12"/>
  <c r="A149" i="12" s="1"/>
  <c r="F149" i="12"/>
  <c r="D149" i="12"/>
  <c r="B149" i="12"/>
  <c r="M148" i="12"/>
  <c r="H148" i="12"/>
  <c r="F148" i="12"/>
  <c r="D148" i="12"/>
  <c r="B148" i="12"/>
  <c r="M147" i="12"/>
  <c r="H147" i="12"/>
  <c r="A147" i="12" s="1"/>
  <c r="F147" i="12"/>
  <c r="D147" i="12"/>
  <c r="B147" i="12"/>
  <c r="M146" i="12"/>
  <c r="H146" i="12"/>
  <c r="F146" i="12"/>
  <c r="D146" i="12"/>
  <c r="A146" i="12" s="1"/>
  <c r="B146" i="12"/>
  <c r="M145" i="12"/>
  <c r="H145" i="12"/>
  <c r="F145" i="12"/>
  <c r="D145" i="12"/>
  <c r="B145" i="12"/>
  <c r="A145" i="12"/>
  <c r="M144" i="12"/>
  <c r="H144" i="12"/>
  <c r="F144" i="12"/>
  <c r="D144" i="12"/>
  <c r="B144" i="12"/>
  <c r="M143" i="12"/>
  <c r="H143" i="12"/>
  <c r="F143" i="12"/>
  <c r="A143" i="12" s="1"/>
  <c r="D143" i="12"/>
  <c r="B143" i="12"/>
  <c r="M142" i="12"/>
  <c r="H142" i="12"/>
  <c r="F142" i="12"/>
  <c r="D142" i="12"/>
  <c r="A142" i="12" s="1"/>
  <c r="B142" i="12"/>
  <c r="M141" i="12"/>
  <c r="H141" i="12"/>
  <c r="F141" i="12"/>
  <c r="D141" i="12"/>
  <c r="B141" i="12"/>
  <c r="A141" i="12"/>
  <c r="M140" i="12"/>
  <c r="H140" i="12"/>
  <c r="F140" i="12"/>
  <c r="D140" i="12"/>
  <c r="A140" i="12" s="1"/>
  <c r="B140" i="12"/>
  <c r="M139" i="12"/>
  <c r="H139" i="12"/>
  <c r="F139" i="12"/>
  <c r="D139" i="12"/>
  <c r="A139" i="12" s="1"/>
  <c r="B139" i="12"/>
  <c r="M138" i="12"/>
  <c r="H138" i="12"/>
  <c r="F138" i="12"/>
  <c r="D138" i="12"/>
  <c r="B138" i="12"/>
  <c r="A138" i="12"/>
  <c r="M137" i="12"/>
  <c r="H137" i="12"/>
  <c r="A137" i="12" s="1"/>
  <c r="F137" i="12"/>
  <c r="D137" i="12"/>
  <c r="B137" i="12"/>
  <c r="M136" i="12"/>
  <c r="H136" i="12"/>
  <c r="F136" i="12"/>
  <c r="D136" i="12"/>
  <c r="M135" i="12"/>
  <c r="H135" i="12"/>
  <c r="F135" i="12"/>
  <c r="D135" i="12"/>
  <c r="B135" i="12"/>
  <c r="A135" i="12"/>
  <c r="M134" i="12"/>
  <c r="H134" i="12"/>
  <c r="F134" i="12"/>
  <c r="D134" i="12"/>
  <c r="B134" i="12" s="1"/>
  <c r="M133" i="12"/>
  <c r="H133" i="12"/>
  <c r="A133" i="12" s="1"/>
  <c r="F133" i="12"/>
  <c r="D133" i="12"/>
  <c r="B133" i="12"/>
  <c r="M132" i="12"/>
  <c r="H132" i="12"/>
  <c r="F132" i="12"/>
  <c r="D132" i="12"/>
  <c r="M131" i="12"/>
  <c r="H131" i="12"/>
  <c r="F131" i="12"/>
  <c r="D131" i="12"/>
  <c r="B131" i="12" s="1"/>
  <c r="M130" i="12"/>
  <c r="H130" i="12"/>
  <c r="F130" i="12"/>
  <c r="D130" i="12"/>
  <c r="B130" i="12"/>
  <c r="A130" i="12"/>
  <c r="M129" i="12"/>
  <c r="H129" i="12"/>
  <c r="F129" i="12"/>
  <c r="D129" i="12"/>
  <c r="B129" i="12"/>
  <c r="A129" i="12"/>
  <c r="M128" i="12"/>
  <c r="H128" i="12"/>
  <c r="F128" i="12"/>
  <c r="D128" i="12"/>
  <c r="M127" i="12"/>
  <c r="H127" i="12"/>
  <c r="A127" i="12" s="1"/>
  <c r="F127" i="12"/>
  <c r="D127" i="12"/>
  <c r="B127" i="12"/>
  <c r="M126" i="12"/>
  <c r="H126" i="12"/>
  <c r="F126" i="12"/>
  <c r="D126" i="12"/>
  <c r="B126" i="12" s="1"/>
  <c r="M125" i="12"/>
  <c r="H125" i="12"/>
  <c r="F125" i="12"/>
  <c r="D125" i="12"/>
  <c r="B125" i="12"/>
  <c r="A125" i="12"/>
  <c r="M124" i="12"/>
  <c r="H124" i="12"/>
  <c r="F124" i="12"/>
  <c r="D124" i="12"/>
  <c r="M123" i="12"/>
  <c r="H123" i="12"/>
  <c r="F123" i="12"/>
  <c r="D123" i="12"/>
  <c r="B123" i="12" s="1"/>
  <c r="M122" i="12"/>
  <c r="H122" i="12"/>
  <c r="F122" i="12"/>
  <c r="D122" i="12"/>
  <c r="B122" i="12"/>
  <c r="A122" i="12"/>
  <c r="M121" i="12"/>
  <c r="H121" i="12"/>
  <c r="A121" i="12" s="1"/>
  <c r="F121" i="12"/>
  <c r="D121" i="12"/>
  <c r="B121" i="12"/>
  <c r="M120" i="12"/>
  <c r="H120" i="12"/>
  <c r="F120" i="12"/>
  <c r="D120" i="12"/>
  <c r="M119" i="12"/>
  <c r="H119" i="12"/>
  <c r="F119" i="12"/>
  <c r="D119" i="12"/>
  <c r="B119" i="12"/>
  <c r="A119" i="12"/>
  <c r="M118" i="12"/>
  <c r="H118" i="12"/>
  <c r="F118" i="12"/>
  <c r="D118" i="12"/>
  <c r="B118" i="12" s="1"/>
  <c r="M117" i="12"/>
  <c r="H117" i="12"/>
  <c r="A117" i="12" s="1"/>
  <c r="F117" i="12"/>
  <c r="D117" i="12"/>
  <c r="B117" i="12"/>
  <c r="M116" i="12"/>
  <c r="H116" i="12"/>
  <c r="F116" i="12"/>
  <c r="D116" i="12"/>
  <c r="M115" i="12"/>
  <c r="H115" i="12"/>
  <c r="F115" i="12"/>
  <c r="D115" i="12"/>
  <c r="A115" i="12" s="1"/>
  <c r="B115" i="12"/>
  <c r="M114" i="12"/>
  <c r="H114" i="12"/>
  <c r="F114" i="12"/>
  <c r="D114" i="12"/>
  <c r="B114" i="12"/>
  <c r="A114" i="12"/>
  <c r="M113" i="12"/>
  <c r="H113" i="12"/>
  <c r="F113" i="12"/>
  <c r="D113" i="12"/>
  <c r="B113" i="12"/>
  <c r="A113" i="12"/>
  <c r="M112" i="12"/>
  <c r="H112" i="12"/>
  <c r="F112" i="12"/>
  <c r="D112" i="12"/>
  <c r="M111" i="12"/>
  <c r="H111" i="12"/>
  <c r="F111" i="12"/>
  <c r="D111" i="12"/>
  <c r="A111" i="12" s="1"/>
  <c r="B111" i="12"/>
  <c r="M110" i="12"/>
  <c r="H110" i="12"/>
  <c r="F110" i="12"/>
  <c r="D110" i="12"/>
  <c r="B110" i="12" s="1"/>
  <c r="M109" i="12"/>
  <c r="H109" i="12"/>
  <c r="F109" i="12"/>
  <c r="D109" i="12"/>
  <c r="B109" i="12"/>
  <c r="A109" i="12"/>
  <c r="M108" i="12"/>
  <c r="H108" i="12"/>
  <c r="F108" i="12"/>
  <c r="D108" i="12"/>
  <c r="M107" i="12"/>
  <c r="H107" i="12"/>
  <c r="F107" i="12"/>
  <c r="D107" i="12"/>
  <c r="M106" i="12"/>
  <c r="H106" i="12"/>
  <c r="F106" i="12"/>
  <c r="D106" i="12"/>
  <c r="B106" i="12"/>
  <c r="A106" i="12"/>
  <c r="M105" i="12"/>
  <c r="H105" i="12"/>
  <c r="A105" i="12" s="1"/>
  <c r="F105" i="12"/>
  <c r="D105" i="12"/>
  <c r="B105" i="12"/>
  <c r="M104" i="12"/>
  <c r="H104" i="12"/>
  <c r="F104" i="12"/>
  <c r="D104" i="12"/>
  <c r="M103" i="12"/>
  <c r="H103" i="12"/>
  <c r="F103" i="12"/>
  <c r="D103" i="12"/>
  <c r="B103" i="12"/>
  <c r="A103" i="12"/>
  <c r="M102" i="12"/>
  <c r="H102" i="12"/>
  <c r="F102" i="12"/>
  <c r="D102" i="12"/>
  <c r="B102" i="12" s="1"/>
  <c r="M101" i="12"/>
  <c r="H101" i="12"/>
  <c r="A101" i="12" s="1"/>
  <c r="F101" i="12"/>
  <c r="D101" i="12"/>
  <c r="B101" i="12"/>
  <c r="M100" i="12"/>
  <c r="H100" i="12"/>
  <c r="F100" i="12"/>
  <c r="D100" i="12"/>
  <c r="M99" i="12"/>
  <c r="H99" i="12"/>
  <c r="F99" i="12"/>
  <c r="B99" i="12" s="1"/>
  <c r="D99" i="12"/>
  <c r="A99" i="12"/>
  <c r="M98" i="12"/>
  <c r="H98" i="12"/>
  <c r="F98" i="12"/>
  <c r="D98" i="12"/>
  <c r="B98" i="12" s="1"/>
  <c r="M97" i="12"/>
  <c r="H97" i="12"/>
  <c r="F97" i="12"/>
  <c r="D97" i="12"/>
  <c r="M96" i="12"/>
  <c r="H96" i="12"/>
  <c r="F96" i="12"/>
  <c r="D96" i="12"/>
  <c r="A96" i="12" s="1"/>
  <c r="B96" i="12"/>
  <c r="M95" i="12"/>
  <c r="H95" i="12"/>
  <c r="F95" i="12"/>
  <c r="D95" i="12"/>
  <c r="B95" i="12" s="1"/>
  <c r="M94" i="12"/>
  <c r="H94" i="12"/>
  <c r="F94" i="12"/>
  <c r="D94" i="12"/>
  <c r="B94" i="12"/>
  <c r="A94" i="12"/>
  <c r="M93" i="12"/>
  <c r="H93" i="12"/>
  <c r="F93" i="12"/>
  <c r="B93" i="12" s="1"/>
  <c r="D93" i="12"/>
  <c r="M92" i="12"/>
  <c r="H92" i="12"/>
  <c r="F92" i="12"/>
  <c r="D92" i="12"/>
  <c r="B92" i="12"/>
  <c r="M91" i="12"/>
  <c r="H91" i="12"/>
  <c r="F91" i="12"/>
  <c r="D91" i="12"/>
  <c r="B91" i="12" s="1"/>
  <c r="M90" i="12"/>
  <c r="H90" i="12"/>
  <c r="F90" i="12"/>
  <c r="D90" i="12"/>
  <c r="M89" i="12"/>
  <c r="H89" i="12"/>
  <c r="F89" i="12"/>
  <c r="A89" i="12" s="1"/>
  <c r="D89" i="12"/>
  <c r="B89" i="12"/>
  <c r="M88" i="12"/>
  <c r="H88" i="12"/>
  <c r="F88" i="12"/>
  <c r="D88" i="12"/>
  <c r="B88" i="12"/>
  <c r="M87" i="12"/>
  <c r="H87" i="12"/>
  <c r="A87" i="12" s="1"/>
  <c r="F87" i="12"/>
  <c r="D87" i="12"/>
  <c r="B87" i="12"/>
  <c r="M86" i="12"/>
  <c r="H86" i="12"/>
  <c r="F86" i="12"/>
  <c r="D86" i="12"/>
  <c r="M85" i="12"/>
  <c r="H85" i="12"/>
  <c r="F85" i="12"/>
  <c r="D85" i="12"/>
  <c r="B85" i="12"/>
  <c r="A85" i="12"/>
  <c r="M84" i="12"/>
  <c r="H84" i="12"/>
  <c r="F84" i="12"/>
  <c r="D84" i="12"/>
  <c r="B84" i="12"/>
  <c r="M83" i="12"/>
  <c r="H83" i="12"/>
  <c r="F83" i="12"/>
  <c r="A83" i="12" s="1"/>
  <c r="D83" i="12"/>
  <c r="B83" i="12"/>
  <c r="M82" i="12"/>
  <c r="H82" i="12"/>
  <c r="F82" i="12"/>
  <c r="D82" i="12"/>
  <c r="A82" i="12" s="1"/>
  <c r="B82" i="12"/>
  <c r="M81" i="12"/>
  <c r="H81" i="12"/>
  <c r="F81" i="12"/>
  <c r="D81" i="12"/>
  <c r="B81" i="12"/>
  <c r="A81" i="12"/>
  <c r="M80" i="12"/>
  <c r="H80" i="12"/>
  <c r="F80" i="12"/>
  <c r="D80" i="12"/>
  <c r="A80" i="12" s="1"/>
  <c r="B80" i="12"/>
  <c r="M79" i="12"/>
  <c r="H79" i="12"/>
  <c r="F79" i="12"/>
  <c r="D79" i="12"/>
  <c r="A79" i="12" s="1"/>
  <c r="B79" i="12"/>
  <c r="M78" i="12"/>
  <c r="H78" i="12"/>
  <c r="F78" i="12"/>
  <c r="D78" i="12"/>
  <c r="B78" i="12"/>
  <c r="A78" i="12"/>
  <c r="M77" i="12"/>
  <c r="H77" i="12"/>
  <c r="F77" i="12"/>
  <c r="A77" i="12" s="1"/>
  <c r="D77" i="12"/>
  <c r="B77" i="12"/>
  <c r="M76" i="12"/>
  <c r="H76" i="12"/>
  <c r="F76" i="12"/>
  <c r="D76" i="12"/>
  <c r="B76" i="12"/>
  <c r="M75" i="12"/>
  <c r="H75" i="12"/>
  <c r="F75" i="12"/>
  <c r="D75" i="12"/>
  <c r="A75" i="12" s="1"/>
  <c r="B75" i="12"/>
  <c r="M74" i="12"/>
  <c r="H74" i="12"/>
  <c r="F74" i="12"/>
  <c r="B74" i="12" s="1"/>
  <c r="D74" i="12"/>
  <c r="A74" i="12"/>
  <c r="M73" i="12"/>
  <c r="H73" i="12"/>
  <c r="F73" i="12"/>
  <c r="A73" i="12" s="1"/>
  <c r="D73" i="12"/>
  <c r="B73" i="12"/>
  <c r="M72" i="12"/>
  <c r="H72" i="12"/>
  <c r="F72" i="12"/>
  <c r="D72" i="12"/>
  <c r="B72" i="12"/>
  <c r="M71" i="12"/>
  <c r="H71" i="12"/>
  <c r="F71" i="12"/>
  <c r="D71" i="12"/>
  <c r="B71" i="12"/>
  <c r="A71" i="12"/>
  <c r="M70" i="12"/>
  <c r="H70" i="12"/>
  <c r="F70" i="12"/>
  <c r="D70" i="12"/>
  <c r="A70" i="12" s="1"/>
  <c r="B70" i="12"/>
  <c r="M69" i="12"/>
  <c r="H69" i="12"/>
  <c r="A69" i="12" s="1"/>
  <c r="F69" i="12"/>
  <c r="D69" i="12"/>
  <c r="B69" i="12"/>
  <c r="M68" i="12"/>
  <c r="H68" i="12"/>
  <c r="F68" i="12"/>
  <c r="D68" i="12"/>
  <c r="A68" i="12" s="1"/>
  <c r="B68" i="12"/>
  <c r="M67" i="12"/>
  <c r="H67" i="12"/>
  <c r="F67" i="12"/>
  <c r="D67" i="12"/>
  <c r="B67" i="12"/>
  <c r="A67" i="12"/>
  <c r="M66" i="12"/>
  <c r="H66" i="12"/>
  <c r="F66" i="12"/>
  <c r="D66" i="12"/>
  <c r="A66" i="12" s="1"/>
  <c r="B66" i="12"/>
  <c r="M65" i="12"/>
  <c r="H65" i="12"/>
  <c r="F65" i="12"/>
  <c r="A65" i="12" s="1"/>
  <c r="D65" i="12"/>
  <c r="B65" i="12"/>
  <c r="M64" i="12"/>
  <c r="H64" i="12"/>
  <c r="F64" i="12"/>
  <c r="D64" i="12"/>
  <c r="A64" i="12" s="1"/>
  <c r="B64" i="12"/>
  <c r="M63" i="12"/>
  <c r="H63" i="12"/>
  <c r="F63" i="12"/>
  <c r="D63" i="12"/>
  <c r="A63" i="12" s="1"/>
  <c r="B63" i="12"/>
  <c r="M62" i="12"/>
  <c r="H62" i="12"/>
  <c r="F62" i="12"/>
  <c r="D62" i="12"/>
  <c r="B62" i="12"/>
  <c r="A62" i="12"/>
  <c r="M61" i="12"/>
  <c r="H61" i="12"/>
  <c r="F61" i="12"/>
  <c r="A61" i="12" s="1"/>
  <c r="D61" i="12"/>
  <c r="B61" i="12"/>
  <c r="M60" i="12"/>
  <c r="H60" i="12"/>
  <c r="F60" i="12"/>
  <c r="D60" i="12"/>
  <c r="B60" i="12"/>
  <c r="M59" i="12"/>
  <c r="H59" i="12"/>
  <c r="F59" i="12"/>
  <c r="D59" i="12"/>
  <c r="A59" i="12" s="1"/>
  <c r="B59" i="12"/>
  <c r="M58" i="12"/>
  <c r="H58" i="12"/>
  <c r="F58" i="12"/>
  <c r="A58" i="12" s="1"/>
  <c r="D58" i="12"/>
  <c r="B58" i="12"/>
  <c r="M57" i="12"/>
  <c r="H57" i="12"/>
  <c r="F57" i="12"/>
  <c r="A57" i="12" s="1"/>
  <c r="D57" i="12"/>
  <c r="B57" i="12"/>
  <c r="M56" i="12"/>
  <c r="H56" i="12"/>
  <c r="F56" i="12"/>
  <c r="D56" i="12"/>
  <c r="B56" i="12"/>
  <c r="M55" i="12"/>
  <c r="H55" i="12"/>
  <c r="A55" i="12" s="1"/>
  <c r="F55" i="12"/>
  <c r="D55" i="12"/>
  <c r="B55" i="12"/>
  <c r="M54" i="12"/>
  <c r="H54" i="12"/>
  <c r="F54" i="12"/>
  <c r="D54" i="12"/>
  <c r="A54" i="12" s="1"/>
  <c r="B54" i="12"/>
  <c r="M53" i="12"/>
  <c r="H53" i="12"/>
  <c r="F53" i="12"/>
  <c r="D53" i="12"/>
  <c r="B53" i="12"/>
  <c r="A53" i="12"/>
  <c r="M52" i="12"/>
  <c r="H52" i="12"/>
  <c r="F52" i="12"/>
  <c r="D52" i="12"/>
  <c r="A52" i="12" s="1"/>
  <c r="B52" i="12"/>
  <c r="M51" i="12"/>
  <c r="H51" i="12"/>
  <c r="F51" i="12"/>
  <c r="A51" i="12" s="1"/>
  <c r="D51" i="12"/>
  <c r="B51" i="12"/>
  <c r="M50" i="12"/>
  <c r="H50" i="12"/>
  <c r="F50" i="12"/>
  <c r="D50" i="12"/>
  <c r="A50" i="12" s="1"/>
  <c r="B50" i="12"/>
  <c r="M49" i="12"/>
  <c r="H49" i="12"/>
  <c r="F49" i="12"/>
  <c r="D49" i="12"/>
  <c r="B49" i="12"/>
  <c r="A49" i="12"/>
  <c r="M48" i="12"/>
  <c r="H48" i="12"/>
  <c r="F48" i="12"/>
  <c r="D48" i="12"/>
  <c r="A48" i="12" s="1"/>
  <c r="B48" i="12"/>
  <c r="M47" i="12"/>
  <c r="H47" i="12"/>
  <c r="F47" i="12"/>
  <c r="A47" i="12" s="1"/>
  <c r="D47" i="12"/>
  <c r="B47" i="12"/>
  <c r="M46" i="12"/>
  <c r="H46" i="12"/>
  <c r="F46" i="12"/>
  <c r="D46" i="12"/>
  <c r="A46" i="12" s="1"/>
  <c r="B46" i="12"/>
  <c r="M45" i="12"/>
  <c r="H45" i="12"/>
  <c r="F45" i="12"/>
  <c r="D45" i="12"/>
  <c r="B45" i="12"/>
  <c r="A45" i="12"/>
  <c r="M44" i="12"/>
  <c r="H44" i="12"/>
  <c r="F44" i="12"/>
  <c r="D44" i="12"/>
  <c r="A44" i="12" s="1"/>
  <c r="B44" i="12"/>
  <c r="M43" i="12"/>
  <c r="H43" i="12"/>
  <c r="F43" i="12"/>
  <c r="A43" i="12" s="1"/>
  <c r="D43" i="12"/>
  <c r="B43" i="12"/>
  <c r="M42" i="12"/>
  <c r="H42" i="12"/>
  <c r="F42" i="12"/>
  <c r="D42" i="12"/>
  <c r="A42" i="12" s="1"/>
  <c r="B42" i="12"/>
  <c r="M41" i="12"/>
  <c r="H41" i="12"/>
  <c r="F41" i="12"/>
  <c r="D41" i="12"/>
  <c r="B41" i="12"/>
  <c r="A41" i="12"/>
  <c r="M40" i="12"/>
  <c r="H40" i="12"/>
  <c r="F40" i="12"/>
  <c r="D40" i="12"/>
  <c r="A40" i="12" s="1"/>
  <c r="B40" i="12"/>
  <c r="M39" i="12"/>
  <c r="H39" i="12"/>
  <c r="F39" i="12"/>
  <c r="A39" i="12" s="1"/>
  <c r="D39" i="12"/>
  <c r="B39" i="12"/>
  <c r="M38" i="12"/>
  <c r="H38" i="12"/>
  <c r="F38" i="12"/>
  <c r="D38" i="12"/>
  <c r="A38" i="12" s="1"/>
  <c r="B38" i="12"/>
  <c r="M37" i="12"/>
  <c r="H37" i="12"/>
  <c r="F37" i="12"/>
  <c r="D37" i="12"/>
  <c r="B37" i="12"/>
  <c r="A37" i="12"/>
  <c r="M36" i="12"/>
  <c r="H36" i="12"/>
  <c r="F36" i="12"/>
  <c r="D36" i="12"/>
  <c r="A36" i="12" s="1"/>
  <c r="B36" i="12"/>
  <c r="M35" i="12"/>
  <c r="H35" i="12"/>
  <c r="F35" i="12"/>
  <c r="A35" i="12" s="1"/>
  <c r="D35" i="12"/>
  <c r="B35" i="12"/>
  <c r="M34" i="12"/>
  <c r="H34" i="12"/>
  <c r="F34" i="12"/>
  <c r="D34" i="12"/>
  <c r="A34" i="12" s="1"/>
  <c r="B34" i="12"/>
  <c r="M33" i="12"/>
  <c r="H33" i="12"/>
  <c r="F33" i="12"/>
  <c r="D33" i="12"/>
  <c r="B33" i="12"/>
  <c r="A33" i="12"/>
  <c r="M32" i="12"/>
  <c r="H32" i="12"/>
  <c r="F32" i="12"/>
  <c r="D32" i="12"/>
  <c r="A32" i="12" s="1"/>
  <c r="B32" i="12"/>
  <c r="M31" i="12"/>
  <c r="H31" i="12"/>
  <c r="F31" i="12"/>
  <c r="A31" i="12" s="1"/>
  <c r="D31" i="12"/>
  <c r="B31" i="12"/>
  <c r="M30" i="12"/>
  <c r="H30" i="12"/>
  <c r="F30" i="12"/>
  <c r="D30" i="12"/>
  <c r="A30" i="12" s="1"/>
  <c r="B30" i="12"/>
  <c r="M29" i="12"/>
  <c r="H29" i="12"/>
  <c r="F29" i="12"/>
  <c r="D29" i="12"/>
  <c r="B29" i="12"/>
  <c r="A29" i="12"/>
  <c r="M28" i="12"/>
  <c r="H28" i="12"/>
  <c r="F28" i="12"/>
  <c r="D28" i="12"/>
  <c r="A28" i="12" s="1"/>
  <c r="B28" i="12"/>
  <c r="M27" i="12"/>
  <c r="H27" i="12"/>
  <c r="F27" i="12"/>
  <c r="A27" i="12" s="1"/>
  <c r="D27" i="12"/>
  <c r="B27" i="12"/>
  <c r="M26" i="12"/>
  <c r="H26" i="12"/>
  <c r="F26" i="12"/>
  <c r="D26" i="12"/>
  <c r="A26" i="12" s="1"/>
  <c r="B26" i="12"/>
  <c r="M25" i="12"/>
  <c r="H25" i="12"/>
  <c r="F25" i="12"/>
  <c r="D25" i="12"/>
  <c r="B25" i="12"/>
  <c r="A25" i="12"/>
  <c r="M24" i="12"/>
  <c r="H24" i="12"/>
  <c r="F24" i="12"/>
  <c r="D24" i="12"/>
  <c r="A24" i="12" s="1"/>
  <c r="B24" i="12"/>
  <c r="M23" i="12"/>
  <c r="H23" i="12"/>
  <c r="F23" i="12"/>
  <c r="A23" i="12" s="1"/>
  <c r="D23" i="12"/>
  <c r="B23" i="12"/>
  <c r="M22" i="12"/>
  <c r="H22" i="12"/>
  <c r="F22" i="12"/>
  <c r="D22" i="12"/>
  <c r="A22" i="12" s="1"/>
  <c r="B22" i="12"/>
  <c r="M21" i="12"/>
  <c r="H21" i="12"/>
  <c r="F21" i="12"/>
  <c r="D21" i="12"/>
  <c r="B21" i="12"/>
  <c r="A21" i="12"/>
  <c r="M20" i="12"/>
  <c r="H20" i="12"/>
  <c r="F20" i="12"/>
  <c r="D20" i="12"/>
  <c r="A20" i="12" s="1"/>
  <c r="B20" i="12"/>
  <c r="M19" i="12"/>
  <c r="H19" i="12"/>
  <c r="F19" i="12"/>
  <c r="A19" i="12" s="1"/>
  <c r="D19" i="12"/>
  <c r="B19" i="12"/>
  <c r="M18" i="12"/>
  <c r="H18" i="12"/>
  <c r="F18" i="12"/>
  <c r="D18" i="12"/>
  <c r="A18" i="12" s="1"/>
  <c r="B18" i="12"/>
  <c r="M17" i="12"/>
  <c r="H17" i="12"/>
  <c r="F17" i="12"/>
  <c r="D17" i="12"/>
  <c r="B17" i="12"/>
  <c r="A17" i="12"/>
  <c r="M16" i="12"/>
  <c r="H16" i="12"/>
  <c r="F16" i="12"/>
  <c r="D16" i="12"/>
  <c r="A16" i="12" s="1"/>
  <c r="B16" i="12"/>
  <c r="M15" i="12"/>
  <c r="H15" i="12"/>
  <c r="F15" i="12"/>
  <c r="A15" i="12" s="1"/>
  <c r="D15" i="12"/>
  <c r="B15" i="12"/>
  <c r="M14" i="12"/>
  <c r="H14" i="12"/>
  <c r="F14" i="12"/>
  <c r="D14" i="12"/>
  <c r="A14" i="12" s="1"/>
  <c r="B14" i="12"/>
  <c r="M13" i="12"/>
  <c r="H13" i="12"/>
  <c r="F13" i="12"/>
  <c r="D13" i="12"/>
  <c r="B13" i="12"/>
  <c r="A13" i="12"/>
  <c r="M12" i="12"/>
  <c r="H12" i="12"/>
  <c r="F12" i="12"/>
  <c r="D12" i="12"/>
  <c r="B12" i="12" s="1"/>
  <c r="M11" i="12"/>
  <c r="H11" i="12"/>
  <c r="F11" i="12"/>
  <c r="A11" i="12" s="1"/>
  <c r="D11" i="12"/>
  <c r="B11" i="12"/>
  <c r="M10" i="12"/>
  <c r="H10" i="12"/>
  <c r="F10" i="12"/>
  <c r="D10" i="12"/>
  <c r="A10" i="12" s="1"/>
  <c r="B10" i="12"/>
  <c r="M9" i="12"/>
  <c r="H9" i="12"/>
  <c r="F9" i="12"/>
  <c r="D9" i="12"/>
  <c r="B9" i="12"/>
  <c r="A9" i="12"/>
  <c r="M8" i="12"/>
  <c r="H8" i="12"/>
  <c r="F8" i="12"/>
  <c r="D8" i="12"/>
  <c r="A8" i="12" s="1"/>
  <c r="B8" i="12"/>
  <c r="M7" i="12"/>
  <c r="H7" i="12"/>
  <c r="F7" i="12"/>
  <c r="A7" i="12" s="1"/>
  <c r="D7" i="12"/>
  <c r="B7" i="12"/>
  <c r="M6" i="12"/>
  <c r="H6" i="12"/>
  <c r="F6" i="12"/>
  <c r="D6" i="12"/>
  <c r="A6" i="12" s="1"/>
  <c r="B6" i="12"/>
  <c r="M5" i="12"/>
  <c r="H5" i="12"/>
  <c r="F5" i="12"/>
  <c r="D5" i="12"/>
  <c r="B5" i="12"/>
  <c r="A5" i="12"/>
  <c r="M4" i="12"/>
  <c r="H4" i="12"/>
  <c r="F4" i="12"/>
  <c r="D4" i="12"/>
  <c r="A4" i="12" s="1"/>
  <c r="B4" i="12"/>
  <c r="M3" i="12"/>
  <c r="H3" i="12"/>
  <c r="F3" i="12"/>
  <c r="A3" i="12" s="1"/>
  <c r="D3" i="12"/>
  <c r="B3" i="12"/>
  <c r="H2" i="12"/>
  <c r="M78" i="11"/>
  <c r="A78" i="11" s="1"/>
  <c r="M77" i="11"/>
  <c r="A77" i="11" s="1"/>
  <c r="M76" i="11"/>
  <c r="A76" i="11" s="1"/>
  <c r="M75" i="11"/>
  <c r="A75" i="11" s="1"/>
  <c r="M74" i="11"/>
  <c r="A74" i="11" s="1"/>
  <c r="M73" i="11"/>
  <c r="A73" i="11" s="1"/>
  <c r="M72" i="11"/>
  <c r="A72" i="11" s="1"/>
  <c r="M71" i="11"/>
  <c r="A71" i="11" s="1"/>
  <c r="M70" i="11"/>
  <c r="A70" i="11" s="1"/>
  <c r="M69" i="11"/>
  <c r="A69" i="11" s="1"/>
  <c r="M68" i="11"/>
  <c r="A68" i="11" s="1"/>
  <c r="M67" i="11"/>
  <c r="A67" i="11" s="1"/>
  <c r="M66" i="11"/>
  <c r="A66" i="11" s="1"/>
  <c r="M65" i="11"/>
  <c r="A65" i="11" s="1"/>
  <c r="M64" i="11"/>
  <c r="A64" i="11" s="1"/>
  <c r="M63" i="11"/>
  <c r="A63" i="11" s="1"/>
  <c r="M62" i="11"/>
  <c r="A62" i="11" s="1"/>
  <c r="M61" i="11"/>
  <c r="A61" i="11" s="1"/>
  <c r="M60" i="11"/>
  <c r="A60" i="11" s="1"/>
  <c r="M59" i="11"/>
  <c r="A59" i="11" s="1"/>
  <c r="M58" i="11"/>
  <c r="A58" i="11" s="1"/>
  <c r="M57" i="11"/>
  <c r="A57" i="11" s="1"/>
  <c r="M56" i="11"/>
  <c r="A56" i="11" s="1"/>
  <c r="M55" i="11"/>
  <c r="A55" i="11" s="1"/>
  <c r="M54" i="11"/>
  <c r="A54" i="11" s="1"/>
  <c r="M53" i="11"/>
  <c r="A53" i="11" s="1"/>
  <c r="M52" i="11"/>
  <c r="A52" i="11" s="1"/>
  <c r="M51" i="11"/>
  <c r="A51" i="11" s="1"/>
  <c r="M50" i="11"/>
  <c r="A50" i="11" s="1"/>
  <c r="M49" i="11"/>
  <c r="A49" i="11" s="1"/>
  <c r="M48" i="11"/>
  <c r="A48" i="11" s="1"/>
  <c r="M47" i="11"/>
  <c r="A47" i="11" s="1"/>
  <c r="M46" i="11"/>
  <c r="A46" i="11" s="1"/>
  <c r="M45" i="11"/>
  <c r="A45" i="11" s="1"/>
  <c r="M44" i="11"/>
  <c r="A44" i="11" s="1"/>
  <c r="M43" i="11"/>
  <c r="A43" i="11" s="1"/>
  <c r="M42" i="11"/>
  <c r="A42" i="11" s="1"/>
  <c r="M41" i="11"/>
  <c r="A41" i="11" s="1"/>
  <c r="M40" i="11"/>
  <c r="A40" i="11" s="1"/>
  <c r="M39" i="11"/>
  <c r="A39" i="11" s="1"/>
  <c r="M38" i="11"/>
  <c r="A38" i="11" s="1"/>
  <c r="M37" i="11"/>
  <c r="A37" i="11" s="1"/>
  <c r="M36" i="11"/>
  <c r="A36" i="11" s="1"/>
  <c r="M35" i="11"/>
  <c r="A35" i="11" s="1"/>
  <c r="M34" i="11"/>
  <c r="A34" i="11" s="1"/>
  <c r="M33" i="11"/>
  <c r="A33" i="11" s="1"/>
  <c r="M32" i="11"/>
  <c r="A32" i="11" s="1"/>
  <c r="M31" i="11"/>
  <c r="A31" i="11" s="1"/>
  <c r="M30" i="11"/>
  <c r="A30" i="11" s="1"/>
  <c r="M29" i="11"/>
  <c r="A29" i="11" s="1"/>
  <c r="M28" i="11"/>
  <c r="A28" i="11" s="1"/>
  <c r="M27" i="11"/>
  <c r="A27" i="11" s="1"/>
  <c r="M26" i="11"/>
  <c r="A26" i="11" s="1"/>
  <c r="M25" i="11"/>
  <c r="A25" i="11" s="1"/>
  <c r="M24" i="11"/>
  <c r="A24" i="11" s="1"/>
  <c r="M23" i="11"/>
  <c r="A23" i="11" s="1"/>
  <c r="M22" i="11"/>
  <c r="A22" i="11" s="1"/>
  <c r="M21" i="11"/>
  <c r="A21" i="11" s="1"/>
  <c r="M20" i="11"/>
  <c r="A20" i="11" s="1"/>
  <c r="M19" i="11"/>
  <c r="A19" i="11" s="1"/>
  <c r="M18" i="11"/>
  <c r="A18" i="11" s="1"/>
  <c r="M17" i="11"/>
  <c r="A17" i="11" s="1"/>
  <c r="M16" i="11"/>
  <c r="A16" i="11" s="1"/>
  <c r="M15" i="11"/>
  <c r="A15" i="11" s="1"/>
  <c r="M14" i="11"/>
  <c r="A14" i="11" s="1"/>
  <c r="M13" i="11"/>
  <c r="A13" i="11" s="1"/>
  <c r="M12" i="11"/>
  <c r="A12" i="11" s="1"/>
  <c r="M11" i="11"/>
  <c r="A11" i="11" s="1"/>
  <c r="M10" i="11"/>
  <c r="A10" i="11" s="1"/>
  <c r="M9" i="11"/>
  <c r="A9" i="11" s="1"/>
  <c r="M8" i="11"/>
  <c r="A8" i="11" s="1"/>
  <c r="M7" i="11"/>
  <c r="A7" i="11" s="1"/>
  <c r="M6" i="11"/>
  <c r="A6" i="11" s="1"/>
  <c r="M5" i="11"/>
  <c r="A5" i="11" s="1"/>
  <c r="M4" i="11"/>
  <c r="A4" i="11" s="1"/>
  <c r="M3" i="11"/>
  <c r="A3" i="11" s="1"/>
  <c r="AI8" i="4" s="1"/>
  <c r="C54" i="10"/>
  <c r="A54" i="10"/>
  <c r="C53" i="10"/>
  <c r="A53" i="10"/>
  <c r="C52" i="10"/>
  <c r="A52" i="10"/>
  <c r="C51" i="10"/>
  <c r="A51" i="10"/>
  <c r="C50" i="10"/>
  <c r="A50" i="10"/>
  <c r="C49" i="10"/>
  <c r="A49" i="10"/>
  <c r="C48" i="10"/>
  <c r="A48" i="10"/>
  <c r="C47" i="10"/>
  <c r="A47" i="10"/>
  <c r="C46" i="10"/>
  <c r="A46" i="10"/>
  <c r="C45" i="10"/>
  <c r="A45" i="10"/>
  <c r="C44" i="10"/>
  <c r="A44" i="10"/>
  <c r="C43" i="10"/>
  <c r="A43" i="10"/>
  <c r="C42" i="10"/>
  <c r="A42" i="10"/>
  <c r="C41" i="10"/>
  <c r="A41" i="10"/>
  <c r="C40" i="10"/>
  <c r="A40" i="10"/>
  <c r="C39" i="10"/>
  <c r="A39" i="10"/>
  <c r="C38" i="10"/>
  <c r="A38" i="10"/>
  <c r="C37" i="10"/>
  <c r="A37" i="10"/>
  <c r="C36" i="10"/>
  <c r="A36" i="10"/>
  <c r="C35" i="10"/>
  <c r="A35" i="10"/>
  <c r="C34" i="10"/>
  <c r="A34" i="10"/>
  <c r="C33" i="10"/>
  <c r="A33" i="10"/>
  <c r="C32" i="10"/>
  <c r="A32" i="10"/>
  <c r="C31" i="10"/>
  <c r="A31" i="10"/>
  <c r="C30" i="10"/>
  <c r="A30" i="10"/>
  <c r="C29" i="10"/>
  <c r="A29" i="10"/>
  <c r="C28" i="10"/>
  <c r="A28" i="10"/>
  <c r="C27" i="10"/>
  <c r="A27" i="10"/>
  <c r="C26" i="10"/>
  <c r="A26" i="10"/>
  <c r="C25" i="10"/>
  <c r="A25" i="10"/>
  <c r="C24" i="10"/>
  <c r="A24" i="10"/>
  <c r="C23" i="10"/>
  <c r="A23" i="10"/>
  <c r="C22" i="10"/>
  <c r="A22" i="10"/>
  <c r="C21" i="10"/>
  <c r="A21" i="10"/>
  <c r="C20" i="10"/>
  <c r="A20" i="10"/>
  <c r="C19" i="10"/>
  <c r="A19" i="10"/>
  <c r="C18" i="10"/>
  <c r="A18" i="10"/>
  <c r="C17" i="10"/>
  <c r="A17" i="10"/>
  <c r="C16" i="10"/>
  <c r="A16" i="10"/>
  <c r="C15" i="10"/>
  <c r="A15" i="10"/>
  <c r="C14" i="10"/>
  <c r="A14" i="10"/>
  <c r="C13" i="10"/>
  <c r="A13" i="10"/>
  <c r="C12" i="10"/>
  <c r="A12" i="10"/>
  <c r="C11" i="10"/>
  <c r="A11" i="10"/>
  <c r="C10" i="10"/>
  <c r="A10" i="10"/>
  <c r="C9" i="10"/>
  <c r="A9" i="10"/>
  <c r="C8" i="10"/>
  <c r="A8" i="10"/>
  <c r="C7" i="10"/>
  <c r="A7" i="10"/>
  <c r="C6" i="10"/>
  <c r="A6" i="10"/>
  <c r="C5" i="10"/>
  <c r="A5" i="10"/>
  <c r="C4" i="10"/>
  <c r="A4" i="10"/>
  <c r="C3" i="10"/>
  <c r="A3" i="10"/>
  <c r="BA400" i="8"/>
  <c r="AZ400" i="8"/>
  <c r="AX400" i="8"/>
  <c r="AN400" i="8"/>
  <c r="AO400" i="8" s="1"/>
  <c r="AM400" i="8"/>
  <c r="Y400" i="8"/>
  <c r="K400" i="8"/>
  <c r="F400" i="8"/>
  <c r="B400" i="8"/>
  <c r="BA399" i="8"/>
  <c r="AZ399" i="8"/>
  <c r="AX399" i="8"/>
  <c r="AN399" i="8"/>
  <c r="AO399" i="8" s="1"/>
  <c r="AM399" i="8"/>
  <c r="Y399" i="8"/>
  <c r="K399" i="8"/>
  <c r="F399" i="8"/>
  <c r="B399" i="8"/>
  <c r="BA398" i="8"/>
  <c r="AZ398" i="8"/>
  <c r="AX398" i="8"/>
  <c r="AN398" i="8"/>
  <c r="AO398" i="8" s="1"/>
  <c r="AM398" i="8"/>
  <c r="Y398" i="8"/>
  <c r="K398" i="8"/>
  <c r="F398" i="8"/>
  <c r="B398" i="8"/>
  <c r="BA397" i="8"/>
  <c r="AZ397" i="8"/>
  <c r="AX397" i="8"/>
  <c r="AN397" i="8"/>
  <c r="AO397" i="8" s="1"/>
  <c r="AM397" i="8"/>
  <c r="Y397" i="8"/>
  <c r="K397" i="8"/>
  <c r="F397" i="8"/>
  <c r="B397" i="8"/>
  <c r="BA396" i="8"/>
  <c r="AZ396" i="8"/>
  <c r="AX396" i="8"/>
  <c r="AN396" i="8"/>
  <c r="AO396" i="8" s="1"/>
  <c r="AM396" i="8"/>
  <c r="Y396" i="8"/>
  <c r="K396" i="8"/>
  <c r="F396" i="8"/>
  <c r="B396" i="8"/>
  <c r="BA395" i="8"/>
  <c r="AZ395" i="8"/>
  <c r="AX395" i="8"/>
  <c r="AN395" i="8"/>
  <c r="AO395" i="8" s="1"/>
  <c r="AM395" i="8"/>
  <c r="Y395" i="8"/>
  <c r="K395" i="8"/>
  <c r="F395" i="8"/>
  <c r="B395" i="8"/>
  <c r="BA394" i="8"/>
  <c r="AZ394" i="8"/>
  <c r="AX394" i="8"/>
  <c r="AN394" i="8"/>
  <c r="AO394" i="8" s="1"/>
  <c r="AM394" i="8"/>
  <c r="Y394" i="8"/>
  <c r="K394" i="8"/>
  <c r="F394" i="8"/>
  <c r="B394" i="8"/>
  <c r="BA393" i="8"/>
  <c r="AZ393" i="8"/>
  <c r="AX393" i="8"/>
  <c r="AN393" i="8"/>
  <c r="AO393" i="8" s="1"/>
  <c r="AM393" i="8"/>
  <c r="Y393" i="8"/>
  <c r="K393" i="8"/>
  <c r="F393" i="8"/>
  <c r="B393" i="8"/>
  <c r="BA392" i="8"/>
  <c r="AZ392" i="8"/>
  <c r="AX392" i="8"/>
  <c r="AN392" i="8"/>
  <c r="AO392" i="8" s="1"/>
  <c r="AM392" i="8"/>
  <c r="Y392" i="8"/>
  <c r="K392" i="8"/>
  <c r="F392" i="8"/>
  <c r="B392" i="8"/>
  <c r="BA391" i="8"/>
  <c r="AZ391" i="8"/>
  <c r="AX391" i="8"/>
  <c r="AN391" i="8"/>
  <c r="AO391" i="8" s="1"/>
  <c r="AM391" i="8"/>
  <c r="Y391" i="8"/>
  <c r="K391" i="8"/>
  <c r="F391" i="8"/>
  <c r="B391" i="8"/>
  <c r="BA390" i="8"/>
  <c r="AZ390" i="8"/>
  <c r="AX390" i="8"/>
  <c r="AN390" i="8"/>
  <c r="AO390" i="8" s="1"/>
  <c r="AM390" i="8"/>
  <c r="Y390" i="8"/>
  <c r="K390" i="8"/>
  <c r="F390" i="8"/>
  <c r="B390" i="8"/>
  <c r="BA389" i="8"/>
  <c r="AZ389" i="8"/>
  <c r="AX389" i="8"/>
  <c r="AN389" i="8"/>
  <c r="AO389" i="8" s="1"/>
  <c r="AM389" i="8"/>
  <c r="Y389" i="8"/>
  <c r="K389" i="8"/>
  <c r="F389" i="8"/>
  <c r="B389" i="8"/>
  <c r="BA388" i="8"/>
  <c r="AZ388" i="8"/>
  <c r="AX388" i="8"/>
  <c r="AN388" i="8"/>
  <c r="AO388" i="8" s="1"/>
  <c r="AM388" i="8"/>
  <c r="Y388" i="8"/>
  <c r="K388" i="8"/>
  <c r="F388" i="8"/>
  <c r="B388" i="8"/>
  <c r="BA387" i="8"/>
  <c r="AZ387" i="8"/>
  <c r="AX387" i="8"/>
  <c r="AN387" i="8"/>
  <c r="AO387" i="8" s="1"/>
  <c r="AM387" i="8"/>
  <c r="Y387" i="8"/>
  <c r="K387" i="8"/>
  <c r="F387" i="8"/>
  <c r="B387" i="8"/>
  <c r="BA386" i="8"/>
  <c r="AZ386" i="8"/>
  <c r="AX386" i="8"/>
  <c r="AN386" i="8"/>
  <c r="AO386" i="8" s="1"/>
  <c r="AM386" i="8"/>
  <c r="Y386" i="8"/>
  <c r="K386" i="8"/>
  <c r="F386" i="8"/>
  <c r="B386" i="8"/>
  <c r="BA385" i="8"/>
  <c r="AZ385" i="8"/>
  <c r="AX385" i="8"/>
  <c r="AN385" i="8"/>
  <c r="AO385" i="8" s="1"/>
  <c r="AM385" i="8"/>
  <c r="Y385" i="8"/>
  <c r="K385" i="8"/>
  <c r="F385" i="8"/>
  <c r="B385" i="8"/>
  <c r="BA384" i="8"/>
  <c r="AZ384" i="8"/>
  <c r="AX384" i="8"/>
  <c r="AN384" i="8"/>
  <c r="AO384" i="8" s="1"/>
  <c r="AM384" i="8"/>
  <c r="Y384" i="8"/>
  <c r="K384" i="8"/>
  <c r="F384" i="8"/>
  <c r="B384" i="8"/>
  <c r="BA383" i="8"/>
  <c r="AZ383" i="8"/>
  <c r="AX383" i="8"/>
  <c r="AN383" i="8"/>
  <c r="AO383" i="8" s="1"/>
  <c r="AM383" i="8"/>
  <c r="Y383" i="8"/>
  <c r="K383" i="8"/>
  <c r="F383" i="8"/>
  <c r="B383" i="8"/>
  <c r="BA382" i="8"/>
  <c r="AZ382" i="8"/>
  <c r="AX382" i="8"/>
  <c r="AN382" i="8"/>
  <c r="AO382" i="8" s="1"/>
  <c r="AM382" i="8"/>
  <c r="Y382" i="8"/>
  <c r="K382" i="8"/>
  <c r="F382" i="8"/>
  <c r="B382" i="8"/>
  <c r="BA381" i="8"/>
  <c r="AZ381" i="8"/>
  <c r="AX381" i="8"/>
  <c r="AN381" i="8"/>
  <c r="AO381" i="8" s="1"/>
  <c r="AM381" i="8"/>
  <c r="Y381" i="8"/>
  <c r="K381" i="8"/>
  <c r="F381" i="8"/>
  <c r="B381" i="8"/>
  <c r="BA380" i="8"/>
  <c r="AZ380" i="8"/>
  <c r="AX380" i="8"/>
  <c r="AN380" i="8"/>
  <c r="AO380" i="8" s="1"/>
  <c r="AM380" i="8"/>
  <c r="Y380" i="8"/>
  <c r="K380" i="8"/>
  <c r="F380" i="8"/>
  <c r="B380" i="8"/>
  <c r="BA379" i="8"/>
  <c r="AZ379" i="8"/>
  <c r="AX379" i="8"/>
  <c r="AN379" i="8"/>
  <c r="AO379" i="8" s="1"/>
  <c r="AM379" i="8"/>
  <c r="Y379" i="8"/>
  <c r="K379" i="8"/>
  <c r="F379" i="8"/>
  <c r="B379" i="8"/>
  <c r="BA378" i="8"/>
  <c r="AZ378" i="8"/>
  <c r="AX378" i="8"/>
  <c r="AO378" i="8"/>
  <c r="AN378" i="8"/>
  <c r="AM378" i="8"/>
  <c r="Y378" i="8"/>
  <c r="K378" i="8"/>
  <c r="F378" i="8"/>
  <c r="B378" i="8"/>
  <c r="BA377" i="8"/>
  <c r="AZ377" i="8"/>
  <c r="AX377" i="8"/>
  <c r="AO377" i="8"/>
  <c r="AN377" i="8"/>
  <c r="AM377" i="8"/>
  <c r="Y377" i="8"/>
  <c r="K377" i="8"/>
  <c r="F377" i="8"/>
  <c r="B377" i="8"/>
  <c r="BA376" i="8"/>
  <c r="AZ376" i="8"/>
  <c r="AX376" i="8"/>
  <c r="AO376" i="8"/>
  <c r="AN376" i="8"/>
  <c r="AM376" i="8"/>
  <c r="Y376" i="8"/>
  <c r="K376" i="8"/>
  <c r="F376" i="8"/>
  <c r="B376" i="8"/>
  <c r="BA375" i="8"/>
  <c r="AZ375" i="8"/>
  <c r="AX375" i="8"/>
  <c r="AO375" i="8"/>
  <c r="AN375" i="8"/>
  <c r="AM375" i="8"/>
  <c r="Y375" i="8"/>
  <c r="K375" i="8"/>
  <c r="F375" i="8"/>
  <c r="B375" i="8"/>
  <c r="BA374" i="8"/>
  <c r="AZ374" i="8"/>
  <c r="AX374" i="8"/>
  <c r="AO374" i="8"/>
  <c r="AN374" i="8"/>
  <c r="AM374" i="8"/>
  <c r="Y374" i="8"/>
  <c r="K374" i="8"/>
  <c r="F374" i="8"/>
  <c r="B374" i="8"/>
  <c r="BA373" i="8"/>
  <c r="AZ373" i="8"/>
  <c r="AX373" i="8"/>
  <c r="AN373" i="8"/>
  <c r="AO373" i="8" s="1"/>
  <c r="AM373" i="8"/>
  <c r="Y373" i="8"/>
  <c r="K373" i="8"/>
  <c r="F373" i="8"/>
  <c r="B373" i="8"/>
  <c r="BA372" i="8"/>
  <c r="AZ372" i="8"/>
  <c r="AX372" i="8"/>
  <c r="AO372" i="8"/>
  <c r="AN372" i="8"/>
  <c r="AM372" i="8"/>
  <c r="Y372" i="8"/>
  <c r="K372" i="8"/>
  <c r="F372" i="8"/>
  <c r="B372" i="8"/>
  <c r="BA371" i="8"/>
  <c r="AZ371" i="8"/>
  <c r="AX371" i="8"/>
  <c r="AO371" i="8"/>
  <c r="AN371" i="8"/>
  <c r="AM371" i="8"/>
  <c r="Y371" i="8"/>
  <c r="K371" i="8"/>
  <c r="F371" i="8"/>
  <c r="B371" i="8"/>
  <c r="BA370" i="8"/>
  <c r="AZ370" i="8"/>
  <c r="AX370" i="8"/>
  <c r="AO370" i="8"/>
  <c r="AN370" i="8"/>
  <c r="AM370" i="8"/>
  <c r="Y370" i="8"/>
  <c r="K370" i="8"/>
  <c r="F370" i="8"/>
  <c r="B370" i="8"/>
  <c r="BA369" i="8"/>
  <c r="AZ369" i="8"/>
  <c r="AX369" i="8"/>
  <c r="AO369" i="8"/>
  <c r="AN369" i="8"/>
  <c r="AM369" i="8"/>
  <c r="Y369" i="8"/>
  <c r="K369" i="8"/>
  <c r="F369" i="8"/>
  <c r="B369" i="8"/>
  <c r="BA368" i="8"/>
  <c r="AZ368" i="8"/>
  <c r="AX368" i="8"/>
  <c r="AO368" i="8"/>
  <c r="AN368" i="8"/>
  <c r="AM368" i="8"/>
  <c r="Y368" i="8"/>
  <c r="K368" i="8"/>
  <c r="F368" i="8"/>
  <c r="B368" i="8"/>
  <c r="BA367" i="8"/>
  <c r="AZ367" i="8"/>
  <c r="AX367" i="8"/>
  <c r="AO367" i="8"/>
  <c r="AN367" i="8"/>
  <c r="AM367" i="8"/>
  <c r="Y367" i="8"/>
  <c r="K367" i="8"/>
  <c r="F367" i="8"/>
  <c r="B367" i="8"/>
  <c r="BA366" i="8"/>
  <c r="AZ366" i="8"/>
  <c r="AX366" i="8"/>
  <c r="AN366" i="8"/>
  <c r="AO366" i="8" s="1"/>
  <c r="AM366" i="8"/>
  <c r="Y366" i="8"/>
  <c r="K366" i="8"/>
  <c r="F366" i="8"/>
  <c r="B366" i="8"/>
  <c r="BA365" i="8"/>
  <c r="AZ365" i="8"/>
  <c r="AX365" i="8"/>
  <c r="AN365" i="8"/>
  <c r="AO365" i="8" s="1"/>
  <c r="AM365" i="8"/>
  <c r="Y365" i="8"/>
  <c r="K365" i="8"/>
  <c r="F365" i="8"/>
  <c r="B365" i="8"/>
  <c r="BA364" i="8"/>
  <c r="AZ364" i="8"/>
  <c r="AX364" i="8"/>
  <c r="AO364" i="8"/>
  <c r="AN364" i="8"/>
  <c r="AM364" i="8"/>
  <c r="Y364" i="8"/>
  <c r="K364" i="8"/>
  <c r="F364" i="8"/>
  <c r="B364" i="8"/>
  <c r="BA363" i="8"/>
  <c r="AZ363" i="8"/>
  <c r="AX363" i="8"/>
  <c r="AN363" i="8"/>
  <c r="AO363" i="8" s="1"/>
  <c r="AM363" i="8"/>
  <c r="Y363" i="8"/>
  <c r="K363" i="8"/>
  <c r="F363" i="8"/>
  <c r="B363" i="8"/>
  <c r="BA362" i="8"/>
  <c r="AZ362" i="8"/>
  <c r="AX362" i="8"/>
  <c r="AN362" i="8"/>
  <c r="AO362" i="8" s="1"/>
  <c r="AM362" i="8"/>
  <c r="Y362" i="8"/>
  <c r="K362" i="8"/>
  <c r="F362" i="8"/>
  <c r="B362" i="8"/>
  <c r="BA361" i="8"/>
  <c r="AZ361" i="8"/>
  <c r="AX361" i="8"/>
  <c r="AO361" i="8"/>
  <c r="AN361" i="8"/>
  <c r="AM361" i="8"/>
  <c r="Y361" i="8"/>
  <c r="K361" i="8"/>
  <c r="F361" i="8"/>
  <c r="B361" i="8"/>
  <c r="BA360" i="8"/>
  <c r="AZ360" i="8"/>
  <c r="AX360" i="8"/>
  <c r="AO360" i="8"/>
  <c r="AN360" i="8"/>
  <c r="AM360" i="8"/>
  <c r="Y360" i="8"/>
  <c r="K360" i="8"/>
  <c r="F360" i="8"/>
  <c r="B360" i="8"/>
  <c r="BA359" i="8"/>
  <c r="AZ359" i="8"/>
  <c r="AX359" i="8"/>
  <c r="AO359" i="8"/>
  <c r="AN359" i="8"/>
  <c r="AM359" i="8"/>
  <c r="Y359" i="8"/>
  <c r="K359" i="8"/>
  <c r="F359" i="8"/>
  <c r="B359" i="8"/>
  <c r="BA358" i="8"/>
  <c r="AZ358" i="8"/>
  <c r="AX358" i="8"/>
  <c r="AN358" i="8"/>
  <c r="AO358" i="8" s="1"/>
  <c r="AM358" i="8"/>
  <c r="Y358" i="8"/>
  <c r="K358" i="8"/>
  <c r="F358" i="8"/>
  <c r="B358" i="8"/>
  <c r="BA357" i="8"/>
  <c r="AZ357" i="8"/>
  <c r="AX357" i="8"/>
  <c r="AO357" i="8"/>
  <c r="AN357" i="8"/>
  <c r="AM357" i="8"/>
  <c r="Y357" i="8"/>
  <c r="K357" i="8"/>
  <c r="F357" i="8"/>
  <c r="B357" i="8"/>
  <c r="BA356" i="8"/>
  <c r="AZ356" i="8"/>
  <c r="AX356" i="8"/>
  <c r="AN356" i="8"/>
  <c r="AO356" i="8" s="1"/>
  <c r="AM356" i="8"/>
  <c r="Y356" i="8"/>
  <c r="K356" i="8"/>
  <c r="F356" i="8"/>
  <c r="B356" i="8"/>
  <c r="BA355" i="8"/>
  <c r="AZ355" i="8"/>
  <c r="AX355" i="8"/>
  <c r="AO355" i="8"/>
  <c r="AN355" i="8"/>
  <c r="AM355" i="8"/>
  <c r="Y355" i="8"/>
  <c r="K355" i="8"/>
  <c r="F355" i="8"/>
  <c r="B355" i="8"/>
  <c r="BA354" i="8"/>
  <c r="AZ354" i="8"/>
  <c r="AX354" i="8"/>
  <c r="AN354" i="8"/>
  <c r="AO354" i="8" s="1"/>
  <c r="AM354" i="8"/>
  <c r="Y354" i="8"/>
  <c r="K354" i="8"/>
  <c r="F354" i="8"/>
  <c r="B354" i="8"/>
  <c r="BA353" i="8"/>
  <c r="AZ353" i="8"/>
  <c r="AX353" i="8"/>
  <c r="AO353" i="8"/>
  <c r="AN353" i="8"/>
  <c r="AM353" i="8"/>
  <c r="Y353" i="8"/>
  <c r="K353" i="8"/>
  <c r="F353" i="8"/>
  <c r="B353" i="8"/>
  <c r="BA352" i="8"/>
  <c r="AZ352" i="8"/>
  <c r="AX352" i="8"/>
  <c r="AO352" i="8"/>
  <c r="AN352" i="8"/>
  <c r="AM352" i="8"/>
  <c r="Y352" i="8"/>
  <c r="K352" i="8"/>
  <c r="F352" i="8"/>
  <c r="B352" i="8"/>
  <c r="BA351" i="8"/>
  <c r="AZ351" i="8"/>
  <c r="AX351" i="8"/>
  <c r="AN351" i="8"/>
  <c r="AO351" i="8" s="1"/>
  <c r="AM351" i="8"/>
  <c r="Y351" i="8"/>
  <c r="K351" i="8"/>
  <c r="F351" i="8"/>
  <c r="B351" i="8"/>
  <c r="BA350" i="8"/>
  <c r="AZ350" i="8"/>
  <c r="AX350" i="8"/>
  <c r="AN350" i="8"/>
  <c r="AO350" i="8" s="1"/>
  <c r="AM350" i="8"/>
  <c r="Y350" i="8"/>
  <c r="K350" i="8"/>
  <c r="F350" i="8"/>
  <c r="B350" i="8"/>
  <c r="BA349" i="8"/>
  <c r="AZ349" i="8"/>
  <c r="AX349" i="8"/>
  <c r="AO349" i="8"/>
  <c r="AN349" i="8"/>
  <c r="AM349" i="8"/>
  <c r="Y349" i="8"/>
  <c r="K349" i="8"/>
  <c r="F349" i="8"/>
  <c r="B349" i="8"/>
  <c r="BA348" i="8"/>
  <c r="AZ348" i="8"/>
  <c r="AX348" i="8"/>
  <c r="AO348" i="8"/>
  <c r="AN348" i="8"/>
  <c r="AM348" i="8"/>
  <c r="Y348" i="8"/>
  <c r="K348" i="8"/>
  <c r="F348" i="8"/>
  <c r="B348" i="8"/>
  <c r="BA347" i="8"/>
  <c r="AZ347" i="8"/>
  <c r="AX347" i="8"/>
  <c r="AO347" i="8"/>
  <c r="AN347" i="8"/>
  <c r="AM347" i="8"/>
  <c r="Y347" i="8"/>
  <c r="K347" i="8"/>
  <c r="F347" i="8"/>
  <c r="B347" i="8"/>
  <c r="BA346" i="8"/>
  <c r="AZ346" i="8"/>
  <c r="AX346" i="8"/>
  <c r="AN346" i="8"/>
  <c r="AO346" i="8" s="1"/>
  <c r="AM346" i="8"/>
  <c r="Y346" i="8"/>
  <c r="K346" i="8"/>
  <c r="F346" i="8"/>
  <c r="B346" i="8"/>
  <c r="BA345" i="8"/>
  <c r="AZ345" i="8"/>
  <c r="AX345" i="8"/>
  <c r="AN345" i="8"/>
  <c r="AO345" i="8" s="1"/>
  <c r="AM345" i="8"/>
  <c r="Y345" i="8"/>
  <c r="K345" i="8"/>
  <c r="F345" i="8"/>
  <c r="B345" i="8"/>
  <c r="BA344" i="8"/>
  <c r="AZ344" i="8"/>
  <c r="AX344" i="8"/>
  <c r="AN344" i="8"/>
  <c r="AO344" i="8" s="1"/>
  <c r="AM344" i="8"/>
  <c r="Y344" i="8"/>
  <c r="K344" i="8"/>
  <c r="F344" i="8"/>
  <c r="B344" i="8"/>
  <c r="BA343" i="8"/>
  <c r="AZ343" i="8"/>
  <c r="AX343" i="8"/>
  <c r="AO343" i="8"/>
  <c r="AN343" i="8"/>
  <c r="AM343" i="8"/>
  <c r="Y343" i="8"/>
  <c r="K343" i="8"/>
  <c r="F343" i="8"/>
  <c r="B343" i="8"/>
  <c r="BA342" i="8"/>
  <c r="AZ342" i="8"/>
  <c r="AX342" i="8"/>
  <c r="AN342" i="8"/>
  <c r="AO342" i="8" s="1"/>
  <c r="AM342" i="8"/>
  <c r="Y342" i="8"/>
  <c r="K342" i="8"/>
  <c r="F342" i="8"/>
  <c r="B342" i="8"/>
  <c r="BA341" i="8"/>
  <c r="AZ341" i="8"/>
  <c r="AX341" i="8"/>
  <c r="AO341" i="8"/>
  <c r="AN341" i="8"/>
  <c r="AM341" i="8"/>
  <c r="Y341" i="8"/>
  <c r="K341" i="8"/>
  <c r="F341" i="8"/>
  <c r="B341" i="8"/>
  <c r="BA340" i="8"/>
  <c r="AZ340" i="8"/>
  <c r="AX340" i="8"/>
  <c r="AO340" i="8"/>
  <c r="AN340" i="8"/>
  <c r="AM340" i="8"/>
  <c r="Y340" i="8"/>
  <c r="K340" i="8"/>
  <c r="F340" i="8"/>
  <c r="B340" i="8"/>
  <c r="BA339" i="8"/>
  <c r="AZ339" i="8"/>
  <c r="AX339" i="8"/>
  <c r="AO339" i="8"/>
  <c r="AN339" i="8"/>
  <c r="AM339" i="8"/>
  <c r="Y339" i="8"/>
  <c r="K339" i="8"/>
  <c r="F339" i="8"/>
  <c r="B339" i="8"/>
  <c r="BA338" i="8"/>
  <c r="AZ338" i="8"/>
  <c r="AX338" i="8"/>
  <c r="AN338" i="8"/>
  <c r="AO338" i="8" s="1"/>
  <c r="AM338" i="8"/>
  <c r="Y338" i="8"/>
  <c r="K338" i="8"/>
  <c r="F338" i="8"/>
  <c r="B338" i="8"/>
  <c r="BA337" i="8"/>
  <c r="AZ337" i="8"/>
  <c r="AX337" i="8"/>
  <c r="AN337" i="8"/>
  <c r="AO337" i="8" s="1"/>
  <c r="AM337" i="8"/>
  <c r="Y337" i="8"/>
  <c r="K337" i="8"/>
  <c r="F337" i="8"/>
  <c r="B337" i="8"/>
  <c r="BA336" i="8"/>
  <c r="AZ336" i="8"/>
  <c r="AX336" i="8"/>
  <c r="AN336" i="8"/>
  <c r="AO336" i="8" s="1"/>
  <c r="AM336" i="8"/>
  <c r="Y336" i="8"/>
  <c r="K336" i="8"/>
  <c r="F336" i="8"/>
  <c r="B336" i="8"/>
  <c r="BA335" i="8"/>
  <c r="AZ335" i="8"/>
  <c r="AX335" i="8"/>
  <c r="AO335" i="8"/>
  <c r="AN335" i="8"/>
  <c r="AM335" i="8"/>
  <c r="Y335" i="8"/>
  <c r="K335" i="8"/>
  <c r="F335" i="8"/>
  <c r="B335" i="8"/>
  <c r="BA334" i="8"/>
  <c r="AZ334" i="8"/>
  <c r="AX334" i="8"/>
  <c r="AN334" i="8"/>
  <c r="AO334" i="8" s="1"/>
  <c r="AM334" i="8"/>
  <c r="Y334" i="8"/>
  <c r="K334" i="8"/>
  <c r="F334" i="8"/>
  <c r="B334" i="8"/>
  <c r="BA333" i="8"/>
  <c r="AZ333" i="8"/>
  <c r="AX333" i="8"/>
  <c r="AO333" i="8"/>
  <c r="AN333" i="8"/>
  <c r="AM333" i="8"/>
  <c r="Y333" i="8"/>
  <c r="K333" i="8"/>
  <c r="F333" i="8"/>
  <c r="B333" i="8"/>
  <c r="BA332" i="8"/>
  <c r="AZ332" i="8"/>
  <c r="AX332" i="8"/>
  <c r="AO332" i="8"/>
  <c r="AN332" i="8"/>
  <c r="AM332" i="8"/>
  <c r="Y332" i="8"/>
  <c r="K332" i="8"/>
  <c r="F332" i="8"/>
  <c r="B332" i="8"/>
  <c r="BA331" i="8"/>
  <c r="AZ331" i="8"/>
  <c r="AX331" i="8"/>
  <c r="AO331" i="8"/>
  <c r="AN331" i="8"/>
  <c r="AM331" i="8"/>
  <c r="Y331" i="8"/>
  <c r="K331" i="8"/>
  <c r="F331" i="8"/>
  <c r="B331" i="8"/>
  <c r="BA330" i="8"/>
  <c r="AZ330" i="8"/>
  <c r="AX330" i="8"/>
  <c r="AN330" i="8"/>
  <c r="AO330" i="8" s="1"/>
  <c r="AM330" i="8"/>
  <c r="Y330" i="8"/>
  <c r="K330" i="8"/>
  <c r="F330" i="8"/>
  <c r="B330" i="8"/>
  <c r="BA329" i="8"/>
  <c r="AZ329" i="8"/>
  <c r="AX329" i="8"/>
  <c r="AN329" i="8"/>
  <c r="AO329" i="8" s="1"/>
  <c r="AM329" i="8"/>
  <c r="Y329" i="8"/>
  <c r="K329" i="8"/>
  <c r="F329" i="8"/>
  <c r="B329" i="8"/>
  <c r="BA328" i="8"/>
  <c r="AZ328" i="8"/>
  <c r="AX328" i="8"/>
  <c r="AN328" i="8"/>
  <c r="AO328" i="8" s="1"/>
  <c r="AM328" i="8"/>
  <c r="Y328" i="8"/>
  <c r="K328" i="8"/>
  <c r="F328" i="8"/>
  <c r="B328" i="8"/>
  <c r="BA327" i="8"/>
  <c r="AZ327" i="8"/>
  <c r="AX327" i="8"/>
  <c r="AO327" i="8"/>
  <c r="AN327" i="8"/>
  <c r="AM327" i="8"/>
  <c r="Y327" i="8"/>
  <c r="K327" i="8"/>
  <c r="F327" i="8"/>
  <c r="B327" i="8"/>
  <c r="BA326" i="8"/>
  <c r="AZ326" i="8"/>
  <c r="AX326" i="8"/>
  <c r="AN326" i="8"/>
  <c r="AO326" i="8" s="1"/>
  <c r="AM326" i="8"/>
  <c r="Y326" i="8"/>
  <c r="K326" i="8"/>
  <c r="F326" i="8"/>
  <c r="B326" i="8"/>
  <c r="BA325" i="8"/>
  <c r="AZ325" i="8"/>
  <c r="AX325" i="8"/>
  <c r="AO325" i="8"/>
  <c r="AN325" i="8"/>
  <c r="AM325" i="8"/>
  <c r="Y325" i="8"/>
  <c r="K325" i="8"/>
  <c r="F325" i="8"/>
  <c r="B325" i="8"/>
  <c r="BA324" i="8"/>
  <c r="AZ324" i="8"/>
  <c r="AX324" i="8"/>
  <c r="AO324" i="8"/>
  <c r="AN324" i="8"/>
  <c r="AM324" i="8"/>
  <c r="Y324" i="8"/>
  <c r="K324" i="8"/>
  <c r="F324" i="8"/>
  <c r="B324" i="8"/>
  <c r="BA323" i="8"/>
  <c r="AZ323" i="8"/>
  <c r="AX323" i="8"/>
  <c r="AO323" i="8"/>
  <c r="AN323" i="8"/>
  <c r="AM323" i="8"/>
  <c r="Y323" i="8"/>
  <c r="K323" i="8"/>
  <c r="F323" i="8"/>
  <c r="B323" i="8"/>
  <c r="BA322" i="8"/>
  <c r="AZ322" i="8"/>
  <c r="AX322" i="8"/>
  <c r="AN322" i="8"/>
  <c r="AO322" i="8" s="1"/>
  <c r="AM322" i="8"/>
  <c r="Y322" i="8"/>
  <c r="K322" i="8"/>
  <c r="F322" i="8"/>
  <c r="B322" i="8"/>
  <c r="BA321" i="8"/>
  <c r="AZ321" i="8"/>
  <c r="AX321" i="8"/>
  <c r="AN321" i="8"/>
  <c r="AO321" i="8" s="1"/>
  <c r="AM321" i="8"/>
  <c r="Y321" i="8"/>
  <c r="K321" i="8"/>
  <c r="F321" i="8"/>
  <c r="B321" i="8"/>
  <c r="BA320" i="8"/>
  <c r="AZ320" i="8"/>
  <c r="AX320" i="8"/>
  <c r="AN320" i="8"/>
  <c r="AO320" i="8" s="1"/>
  <c r="AM320" i="8"/>
  <c r="Y320" i="8"/>
  <c r="K320" i="8"/>
  <c r="F320" i="8"/>
  <c r="B320" i="8"/>
  <c r="BA319" i="8"/>
  <c r="AZ319" i="8"/>
  <c r="AX319" i="8"/>
  <c r="AO319" i="8"/>
  <c r="AN319" i="8"/>
  <c r="AM319" i="8"/>
  <c r="Y319" i="8"/>
  <c r="K319" i="8"/>
  <c r="F319" i="8"/>
  <c r="B319" i="8"/>
  <c r="BA318" i="8"/>
  <c r="AZ318" i="8"/>
  <c r="AX318" i="8"/>
  <c r="AN318" i="8"/>
  <c r="AO318" i="8" s="1"/>
  <c r="AM318" i="8"/>
  <c r="Y318" i="8"/>
  <c r="K318" i="8"/>
  <c r="F318" i="8"/>
  <c r="B318" i="8"/>
  <c r="BA317" i="8"/>
  <c r="AZ317" i="8"/>
  <c r="AX317" i="8"/>
  <c r="AO317" i="8"/>
  <c r="AN317" i="8"/>
  <c r="AM317" i="8"/>
  <c r="Y317" i="8"/>
  <c r="K317" i="8"/>
  <c r="F317" i="8"/>
  <c r="B317" i="8"/>
  <c r="BA316" i="8"/>
  <c r="AZ316" i="8"/>
  <c r="AX316" i="8"/>
  <c r="AN316" i="8"/>
  <c r="AO316" i="8" s="1"/>
  <c r="AM316" i="8"/>
  <c r="Y316" i="8"/>
  <c r="K316" i="8"/>
  <c r="F316" i="8"/>
  <c r="B316" i="8"/>
  <c r="BA315" i="8"/>
  <c r="AZ315" i="8"/>
  <c r="AX315" i="8"/>
  <c r="AO315" i="8"/>
  <c r="AN315" i="8"/>
  <c r="AM315" i="8"/>
  <c r="Y315" i="8"/>
  <c r="K315" i="8"/>
  <c r="F315" i="8"/>
  <c r="B315" i="8"/>
  <c r="BA314" i="8"/>
  <c r="AZ314" i="8"/>
  <c r="AX314" i="8"/>
  <c r="AN314" i="8"/>
  <c r="AO314" i="8" s="1"/>
  <c r="AM314" i="8"/>
  <c r="Y314" i="8"/>
  <c r="K314" i="8"/>
  <c r="F314" i="8"/>
  <c r="B314" i="8"/>
  <c r="BA313" i="8"/>
  <c r="AZ313" i="8"/>
  <c r="AX313" i="8"/>
  <c r="AO313" i="8"/>
  <c r="AN313" i="8"/>
  <c r="AM313" i="8"/>
  <c r="Y313" i="8"/>
  <c r="K313" i="8"/>
  <c r="F313" i="8"/>
  <c r="B313" i="8"/>
  <c r="BA312" i="8"/>
  <c r="AZ312" i="8"/>
  <c r="AX312" i="8"/>
  <c r="AO312" i="8"/>
  <c r="AN312" i="8"/>
  <c r="AM312" i="8"/>
  <c r="Y312" i="8"/>
  <c r="K312" i="8"/>
  <c r="F312" i="8"/>
  <c r="B312" i="8"/>
  <c r="BA311" i="8"/>
  <c r="AZ311" i="8"/>
  <c r="AX311" i="8"/>
  <c r="AN311" i="8"/>
  <c r="AO311" i="8" s="1"/>
  <c r="AM311" i="8"/>
  <c r="Y311" i="8"/>
  <c r="K311" i="8"/>
  <c r="F311" i="8"/>
  <c r="B311" i="8"/>
  <c r="BA310" i="8"/>
  <c r="AZ310" i="8"/>
  <c r="AX310" i="8"/>
  <c r="AN310" i="8"/>
  <c r="AO310" i="8" s="1"/>
  <c r="AM310" i="8"/>
  <c r="Y310" i="8"/>
  <c r="K310" i="8"/>
  <c r="F310" i="8"/>
  <c r="B310" i="8"/>
  <c r="BA309" i="8"/>
  <c r="AZ309" i="8"/>
  <c r="AX309" i="8"/>
  <c r="AN309" i="8"/>
  <c r="AO309" i="8" s="1"/>
  <c r="AM309" i="8"/>
  <c r="Y309" i="8"/>
  <c r="K309" i="8"/>
  <c r="F309" i="8"/>
  <c r="B309" i="8"/>
  <c r="BA308" i="8"/>
  <c r="AZ308" i="8"/>
  <c r="AX308" i="8"/>
  <c r="AN308" i="8"/>
  <c r="AO308" i="8" s="1"/>
  <c r="AM308" i="8"/>
  <c r="Y308" i="8"/>
  <c r="K308" i="8"/>
  <c r="F308" i="8"/>
  <c r="B308" i="8"/>
  <c r="BA307" i="8"/>
  <c r="AZ307" i="8"/>
  <c r="AX307" i="8"/>
  <c r="AO307" i="8"/>
  <c r="AN307" i="8"/>
  <c r="AM307" i="8"/>
  <c r="Y307" i="8"/>
  <c r="K307" i="8"/>
  <c r="F307" i="8"/>
  <c r="B307" i="8"/>
  <c r="BA306" i="8"/>
  <c r="AZ306" i="8"/>
  <c r="AX306" i="8"/>
  <c r="AO306" i="8"/>
  <c r="AN306" i="8"/>
  <c r="AM306" i="8"/>
  <c r="Y306" i="8"/>
  <c r="K306" i="8"/>
  <c r="F306" i="8"/>
  <c r="B306" i="8"/>
  <c r="BA305" i="8"/>
  <c r="AZ305" i="8"/>
  <c r="AX305" i="8"/>
  <c r="AO305" i="8"/>
  <c r="AN305" i="8"/>
  <c r="AM305" i="8"/>
  <c r="Y305" i="8"/>
  <c r="K305" i="8"/>
  <c r="F305" i="8"/>
  <c r="B305" i="8"/>
  <c r="BA304" i="8"/>
  <c r="AZ304" i="8"/>
  <c r="AX304" i="8"/>
  <c r="AN304" i="8"/>
  <c r="AO304" i="8" s="1"/>
  <c r="AM304" i="8"/>
  <c r="Y304" i="8"/>
  <c r="K304" i="8"/>
  <c r="F304" i="8"/>
  <c r="B304" i="8"/>
  <c r="BA303" i="8"/>
  <c r="AZ303" i="8"/>
  <c r="AX303" i="8"/>
  <c r="AN303" i="8"/>
  <c r="AO303" i="8" s="1"/>
  <c r="AM303" i="8"/>
  <c r="Y303" i="8"/>
  <c r="K303" i="8"/>
  <c r="F303" i="8"/>
  <c r="B303" i="8"/>
  <c r="BA302" i="8"/>
  <c r="AZ302" i="8"/>
  <c r="AX302" i="8"/>
  <c r="AN302" i="8"/>
  <c r="AO302" i="8" s="1"/>
  <c r="AM302" i="8"/>
  <c r="Y302" i="8"/>
  <c r="K302" i="8"/>
  <c r="F302" i="8"/>
  <c r="B302" i="8"/>
  <c r="BA301" i="8"/>
  <c r="AZ301" i="8"/>
  <c r="AX301" i="8"/>
  <c r="AO301" i="8"/>
  <c r="AN301" i="8"/>
  <c r="AM301" i="8"/>
  <c r="Y301" i="8"/>
  <c r="K301" i="8"/>
  <c r="F301" i="8"/>
  <c r="B301" i="8"/>
  <c r="BA300" i="8"/>
  <c r="AZ300" i="8"/>
  <c r="AX300" i="8"/>
  <c r="AN300" i="8"/>
  <c r="AO300" i="8" s="1"/>
  <c r="AM300" i="8"/>
  <c r="Y300" i="8"/>
  <c r="K300" i="8"/>
  <c r="F300" i="8"/>
  <c r="B300" i="8"/>
  <c r="BA299" i="8"/>
  <c r="AZ299" i="8"/>
  <c r="AX299" i="8"/>
  <c r="AO299" i="8"/>
  <c r="AN299" i="8"/>
  <c r="AM299" i="8"/>
  <c r="Y299" i="8"/>
  <c r="K299" i="8"/>
  <c r="F299" i="8"/>
  <c r="B299" i="8"/>
  <c r="BA298" i="8"/>
  <c r="AZ298" i="8"/>
  <c r="AX298" i="8"/>
  <c r="AN298" i="8"/>
  <c r="AO298" i="8" s="1"/>
  <c r="AM298" i="8"/>
  <c r="Y298" i="8"/>
  <c r="K298" i="8"/>
  <c r="F298" i="8"/>
  <c r="B298" i="8"/>
  <c r="BA297" i="8"/>
  <c r="AZ297" i="8"/>
  <c r="AX297" i="8"/>
  <c r="AN297" i="8"/>
  <c r="AO297" i="8" s="1"/>
  <c r="AM297" i="8"/>
  <c r="Y297" i="8"/>
  <c r="K297" i="8"/>
  <c r="F297" i="8"/>
  <c r="B297" i="8"/>
  <c r="BA296" i="8"/>
  <c r="AZ296" i="8"/>
  <c r="AX296" i="8"/>
  <c r="AO296" i="8"/>
  <c r="AN296" i="8"/>
  <c r="AM296" i="8"/>
  <c r="Y296" i="8"/>
  <c r="K296" i="8"/>
  <c r="F296" i="8"/>
  <c r="B296" i="8"/>
  <c r="BA295" i="8"/>
  <c r="AZ295" i="8"/>
  <c r="AX295" i="8"/>
  <c r="AO295" i="8"/>
  <c r="AN295" i="8"/>
  <c r="AM295" i="8"/>
  <c r="Y295" i="8"/>
  <c r="K295" i="8"/>
  <c r="F295" i="8"/>
  <c r="B295" i="8"/>
  <c r="BA294" i="8"/>
  <c r="AZ294" i="8"/>
  <c r="AX294" i="8"/>
  <c r="AN294" i="8"/>
  <c r="AO294" i="8" s="1"/>
  <c r="AM294" i="8"/>
  <c r="Y294" i="8"/>
  <c r="K294" i="8"/>
  <c r="F294" i="8"/>
  <c r="B294" i="8"/>
  <c r="BA293" i="8"/>
  <c r="AZ293" i="8"/>
  <c r="AX293" i="8"/>
  <c r="AN293" i="8"/>
  <c r="AO293" i="8" s="1"/>
  <c r="AM293" i="8"/>
  <c r="Y293" i="8"/>
  <c r="K293" i="8"/>
  <c r="F293" i="8"/>
  <c r="B293" i="8"/>
  <c r="BA292" i="8"/>
  <c r="AZ292" i="8"/>
  <c r="AX292" i="8"/>
  <c r="AO292" i="8"/>
  <c r="AN292" i="8"/>
  <c r="AM292" i="8"/>
  <c r="Y292" i="8"/>
  <c r="K292" i="8"/>
  <c r="F292" i="8"/>
  <c r="B292" i="8"/>
  <c r="BA291" i="8"/>
  <c r="AZ291" i="8"/>
  <c r="AX291" i="8"/>
  <c r="AN291" i="8"/>
  <c r="AO291" i="8" s="1"/>
  <c r="AM291" i="8"/>
  <c r="Y291" i="8"/>
  <c r="K291" i="8"/>
  <c r="F291" i="8"/>
  <c r="B291" i="8"/>
  <c r="BA290" i="8"/>
  <c r="AZ290" i="8"/>
  <c r="AX290" i="8"/>
  <c r="AO290" i="8"/>
  <c r="AN290" i="8"/>
  <c r="AM290" i="8"/>
  <c r="Y290" i="8"/>
  <c r="K290" i="8"/>
  <c r="F290" i="8"/>
  <c r="B290" i="8"/>
  <c r="BA289" i="8"/>
  <c r="AZ289" i="8"/>
  <c r="AX289" i="8"/>
  <c r="AW289" i="8"/>
  <c r="AN289" i="8"/>
  <c r="AO289" i="8" s="1"/>
  <c r="AM289" i="8"/>
  <c r="Y289" i="8"/>
  <c r="K289" i="8"/>
  <c r="F289" i="8"/>
  <c r="B289" i="8"/>
  <c r="BA288" i="8"/>
  <c r="AZ288" i="8"/>
  <c r="AX288" i="8"/>
  <c r="AN288" i="8"/>
  <c r="AO288" i="8" s="1"/>
  <c r="AM288" i="8"/>
  <c r="Y288" i="8"/>
  <c r="K288" i="8"/>
  <c r="F288" i="8"/>
  <c r="B288" i="8"/>
  <c r="BA287" i="8"/>
  <c r="AZ287" i="8"/>
  <c r="AX287" i="8"/>
  <c r="AN287" i="8"/>
  <c r="AO287" i="8" s="1"/>
  <c r="AM287" i="8"/>
  <c r="Y287" i="8"/>
  <c r="K287" i="8"/>
  <c r="F287" i="8"/>
  <c r="B287" i="8"/>
  <c r="BA286" i="8"/>
  <c r="AZ286" i="8"/>
  <c r="AX286" i="8"/>
  <c r="AN286" i="8"/>
  <c r="AO286" i="8" s="1"/>
  <c r="AM286" i="8"/>
  <c r="Y286" i="8"/>
  <c r="K286" i="8"/>
  <c r="F286" i="8"/>
  <c r="B286" i="8"/>
  <c r="BA285" i="8"/>
  <c r="AZ285" i="8"/>
  <c r="AX285" i="8"/>
  <c r="AN285" i="8"/>
  <c r="AO285" i="8" s="1"/>
  <c r="AM285" i="8"/>
  <c r="Y285" i="8"/>
  <c r="K285" i="8"/>
  <c r="F285" i="8"/>
  <c r="B285" i="8"/>
  <c r="BA284" i="8"/>
  <c r="AZ284" i="8"/>
  <c r="AX284" i="8"/>
  <c r="AO284" i="8"/>
  <c r="AN284" i="8"/>
  <c r="AM284" i="8"/>
  <c r="Y284" i="8"/>
  <c r="K284" i="8"/>
  <c r="F284" i="8"/>
  <c r="B284" i="8"/>
  <c r="BA283" i="8"/>
  <c r="AZ283" i="8"/>
  <c r="AX283" i="8"/>
  <c r="AN283" i="8"/>
  <c r="AO283" i="8" s="1"/>
  <c r="AM283" i="8"/>
  <c r="Y283" i="8"/>
  <c r="K283" i="8"/>
  <c r="F283" i="8"/>
  <c r="B283" i="8"/>
  <c r="BA282" i="8"/>
  <c r="AZ282" i="8"/>
  <c r="AX282" i="8"/>
  <c r="AN282" i="8"/>
  <c r="AO282" i="8" s="1"/>
  <c r="AM282" i="8"/>
  <c r="Y282" i="8"/>
  <c r="K282" i="8"/>
  <c r="F282" i="8"/>
  <c r="B282" i="8"/>
  <c r="BA281" i="8"/>
  <c r="AZ281" i="8"/>
  <c r="AX281" i="8"/>
  <c r="AN281" i="8"/>
  <c r="AO281" i="8" s="1"/>
  <c r="AM281" i="8"/>
  <c r="Y281" i="8"/>
  <c r="K281" i="8"/>
  <c r="F281" i="8"/>
  <c r="B281" i="8"/>
  <c r="BA280" i="8"/>
  <c r="AZ280" i="8"/>
  <c r="AX280" i="8"/>
  <c r="AO280" i="8"/>
  <c r="AN280" i="8"/>
  <c r="AM280" i="8"/>
  <c r="Y280" i="8"/>
  <c r="K280" i="8"/>
  <c r="F280" i="8"/>
  <c r="B280" i="8"/>
  <c r="BA279" i="8"/>
  <c r="AZ279" i="8"/>
  <c r="AX279" i="8"/>
  <c r="AN279" i="8"/>
  <c r="AO279" i="8" s="1"/>
  <c r="AM279" i="8"/>
  <c r="Y279" i="8"/>
  <c r="K279" i="8"/>
  <c r="F279" i="8"/>
  <c r="B279" i="8"/>
  <c r="BA278" i="8"/>
  <c r="AZ278" i="8"/>
  <c r="AX278" i="8"/>
  <c r="AO278" i="8"/>
  <c r="AN278" i="8"/>
  <c r="AM278" i="8"/>
  <c r="Y278" i="8"/>
  <c r="K278" i="8"/>
  <c r="F278" i="8"/>
  <c r="B278" i="8"/>
  <c r="BA277" i="8"/>
  <c r="AZ277" i="8"/>
  <c r="AX277" i="8"/>
  <c r="AN277" i="8"/>
  <c r="AO277" i="8" s="1"/>
  <c r="AM277" i="8"/>
  <c r="Y277" i="8"/>
  <c r="K277" i="8"/>
  <c r="F277" i="8"/>
  <c r="B277" i="8"/>
  <c r="BA276" i="8"/>
  <c r="AZ276" i="8"/>
  <c r="AX276" i="8"/>
  <c r="AO276" i="8"/>
  <c r="AN276" i="8"/>
  <c r="AM276" i="8"/>
  <c r="Y276" i="8"/>
  <c r="K276" i="8"/>
  <c r="F276" i="8"/>
  <c r="B276" i="8"/>
  <c r="BA275" i="8"/>
  <c r="AZ275" i="8"/>
  <c r="AX275" i="8"/>
  <c r="AN275" i="8"/>
  <c r="AO275" i="8" s="1"/>
  <c r="AM275" i="8"/>
  <c r="Y275" i="8"/>
  <c r="K275" i="8"/>
  <c r="F275" i="8"/>
  <c r="B275" i="8"/>
  <c r="BA274" i="8"/>
  <c r="AZ274" i="8"/>
  <c r="AX274" i="8"/>
  <c r="AO274" i="8"/>
  <c r="AN274" i="8"/>
  <c r="AM274" i="8"/>
  <c r="Y274" i="8"/>
  <c r="K274" i="8"/>
  <c r="F274" i="8"/>
  <c r="B274" i="8"/>
  <c r="BA273" i="8"/>
  <c r="AZ273" i="8"/>
  <c r="AX273" i="8"/>
  <c r="AO273" i="8"/>
  <c r="AN273" i="8"/>
  <c r="AM273" i="8"/>
  <c r="Y273" i="8"/>
  <c r="K273" i="8"/>
  <c r="F273" i="8"/>
  <c r="B273" i="8"/>
  <c r="BA272" i="8"/>
  <c r="AZ272" i="8"/>
  <c r="AX272" i="8"/>
  <c r="AO272" i="8"/>
  <c r="AN272" i="8"/>
  <c r="AM272" i="8"/>
  <c r="Y272" i="8"/>
  <c r="K272" i="8"/>
  <c r="F272" i="8"/>
  <c r="B272" i="8"/>
  <c r="BA271" i="8"/>
  <c r="AZ271" i="8"/>
  <c r="AX271" i="8"/>
  <c r="AN271" i="8"/>
  <c r="AO271" i="8" s="1"/>
  <c r="AM271" i="8"/>
  <c r="Y271" i="8"/>
  <c r="K271" i="8"/>
  <c r="F271" i="8"/>
  <c r="B271" i="8"/>
  <c r="BA270" i="8"/>
  <c r="AZ270" i="8"/>
  <c r="AX270" i="8"/>
  <c r="AO270" i="8"/>
  <c r="AN270" i="8"/>
  <c r="AM270" i="8"/>
  <c r="Y270" i="8"/>
  <c r="K270" i="8"/>
  <c r="F270" i="8"/>
  <c r="B270" i="8"/>
  <c r="BA269" i="8"/>
  <c r="AZ269" i="8"/>
  <c r="AX269" i="8"/>
  <c r="AN269" i="8"/>
  <c r="AO269" i="8" s="1"/>
  <c r="AM269" i="8"/>
  <c r="Y269" i="8"/>
  <c r="K269" i="8"/>
  <c r="F269" i="8"/>
  <c r="B269" i="8"/>
  <c r="BA268" i="8"/>
  <c r="AZ268" i="8"/>
  <c r="AX268" i="8"/>
  <c r="AO268" i="8"/>
  <c r="AN268" i="8"/>
  <c r="AM268" i="8"/>
  <c r="Y268" i="8"/>
  <c r="K268" i="8"/>
  <c r="F268" i="8"/>
  <c r="B268" i="8"/>
  <c r="BA267" i="8"/>
  <c r="AZ267" i="8"/>
  <c r="AX267" i="8"/>
  <c r="AO267" i="8"/>
  <c r="AN267" i="8"/>
  <c r="AM267" i="8"/>
  <c r="Y267" i="8"/>
  <c r="K267" i="8"/>
  <c r="F267" i="8"/>
  <c r="B267" i="8"/>
  <c r="BA266" i="8"/>
  <c r="AZ266" i="8"/>
  <c r="AX266" i="8"/>
  <c r="AN266" i="8"/>
  <c r="AO266" i="8" s="1"/>
  <c r="AM266" i="8"/>
  <c r="Y266" i="8"/>
  <c r="K266" i="8"/>
  <c r="F266" i="8"/>
  <c r="B266" i="8"/>
  <c r="BA265" i="8"/>
  <c r="AZ265" i="8"/>
  <c r="AX265" i="8"/>
  <c r="AN265" i="8"/>
  <c r="AO265" i="8" s="1"/>
  <c r="AM265" i="8"/>
  <c r="Y265" i="8"/>
  <c r="K265" i="8"/>
  <c r="F265" i="8"/>
  <c r="B265" i="8"/>
  <c r="BA264" i="8"/>
  <c r="AZ264" i="8"/>
  <c r="AX264" i="8"/>
  <c r="AN264" i="8"/>
  <c r="AO264" i="8" s="1"/>
  <c r="AM264" i="8"/>
  <c r="Y264" i="8"/>
  <c r="K264" i="8"/>
  <c r="F264" i="8"/>
  <c r="B264" i="8"/>
  <c r="BA263" i="8"/>
  <c r="AZ263" i="8"/>
  <c r="AX263" i="8"/>
  <c r="AO263" i="8"/>
  <c r="AN263" i="8"/>
  <c r="AM263" i="8"/>
  <c r="Y263" i="8"/>
  <c r="K263" i="8"/>
  <c r="F263" i="8"/>
  <c r="B263" i="8"/>
  <c r="BA262" i="8"/>
  <c r="AZ262" i="8"/>
  <c r="AX262" i="8"/>
  <c r="AO262" i="8"/>
  <c r="AN262" i="8"/>
  <c r="AM262" i="8"/>
  <c r="Y262" i="8"/>
  <c r="K262" i="8"/>
  <c r="F262" i="8"/>
  <c r="B262" i="8"/>
  <c r="BA261" i="8"/>
  <c r="AZ261" i="8"/>
  <c r="AX261" i="8"/>
  <c r="AO261" i="8"/>
  <c r="AN261" i="8"/>
  <c r="AM261" i="8"/>
  <c r="Y261" i="8"/>
  <c r="K261" i="8"/>
  <c r="F261" i="8"/>
  <c r="B261" i="8"/>
  <c r="BA260" i="8"/>
  <c r="AZ260" i="8"/>
  <c r="AX260" i="8"/>
  <c r="AO260" i="8"/>
  <c r="AN260" i="8"/>
  <c r="AM260" i="8"/>
  <c r="Y260" i="8"/>
  <c r="K260" i="8"/>
  <c r="F260" i="8"/>
  <c r="B260" i="8"/>
  <c r="BA259" i="8"/>
  <c r="AZ259" i="8"/>
  <c r="AX259" i="8"/>
  <c r="AO259" i="8"/>
  <c r="AN259" i="8"/>
  <c r="AM259" i="8"/>
  <c r="Y259" i="8"/>
  <c r="K259" i="8"/>
  <c r="F259" i="8"/>
  <c r="B259" i="8"/>
  <c r="BA258" i="8"/>
  <c r="AZ258" i="8"/>
  <c r="AX258" i="8"/>
  <c r="AM258" i="8"/>
  <c r="Y258" i="8"/>
  <c r="K258" i="8"/>
  <c r="F258" i="8"/>
  <c r="B258" i="8"/>
  <c r="BA257" i="8"/>
  <c r="AZ257" i="8"/>
  <c r="AX257" i="8"/>
  <c r="AM257" i="8"/>
  <c r="Y257" i="8"/>
  <c r="K257" i="8"/>
  <c r="F257" i="8"/>
  <c r="B257" i="8"/>
  <c r="BA256" i="8"/>
  <c r="AZ256" i="8"/>
  <c r="AX256" i="8"/>
  <c r="AO256" i="8"/>
  <c r="AN256" i="8"/>
  <c r="AM256" i="8"/>
  <c r="Y256" i="8"/>
  <c r="K256" i="8"/>
  <c r="F256" i="8"/>
  <c r="B256" i="8"/>
  <c r="BA255" i="8"/>
  <c r="AZ255" i="8"/>
  <c r="AX255" i="8"/>
  <c r="AO255" i="8"/>
  <c r="AN255" i="8"/>
  <c r="AM255" i="8"/>
  <c r="Y255" i="8"/>
  <c r="K255" i="8"/>
  <c r="F255" i="8"/>
  <c r="B255" i="8"/>
  <c r="BA254" i="8"/>
  <c r="AZ254" i="8"/>
  <c r="AX254" i="8"/>
  <c r="AN254" i="8"/>
  <c r="AO254" i="8" s="1"/>
  <c r="AM254" i="8"/>
  <c r="Y254" i="8"/>
  <c r="K254" i="8"/>
  <c r="F254" i="8"/>
  <c r="B254" i="8"/>
  <c r="BA253" i="8"/>
  <c r="AZ253" i="8"/>
  <c r="AX253" i="8"/>
  <c r="AO253" i="8"/>
  <c r="AN253" i="8"/>
  <c r="AM253" i="8"/>
  <c r="Y253" i="8"/>
  <c r="K253" i="8"/>
  <c r="F253" i="8"/>
  <c r="B253" i="8"/>
  <c r="BA252" i="8"/>
  <c r="AZ252" i="8"/>
  <c r="AX252" i="8"/>
  <c r="AN252" i="8"/>
  <c r="AO252" i="8" s="1"/>
  <c r="AM252" i="8"/>
  <c r="Y252" i="8"/>
  <c r="K252" i="8"/>
  <c r="F252" i="8"/>
  <c r="B252" i="8"/>
  <c r="BA251" i="8"/>
  <c r="AZ251" i="8"/>
  <c r="AX251" i="8"/>
  <c r="AM251" i="8"/>
  <c r="Y251" i="8"/>
  <c r="K251" i="8"/>
  <c r="F251" i="8"/>
  <c r="B251" i="8"/>
  <c r="BA250" i="8"/>
  <c r="AZ250" i="8"/>
  <c r="AX250" i="8"/>
  <c r="AM250" i="8"/>
  <c r="Y250" i="8"/>
  <c r="K250" i="8"/>
  <c r="F250" i="8"/>
  <c r="B250" i="8"/>
  <c r="BA249" i="8"/>
  <c r="AZ249" i="8"/>
  <c r="AX249" i="8"/>
  <c r="AO249" i="8"/>
  <c r="AN249" i="8"/>
  <c r="AM249" i="8"/>
  <c r="Y249" i="8"/>
  <c r="K249" i="8"/>
  <c r="F249" i="8"/>
  <c r="B249" i="8"/>
  <c r="BA248" i="8"/>
  <c r="AZ248" i="8"/>
  <c r="AX248" i="8"/>
  <c r="AN248" i="8"/>
  <c r="AO248" i="8" s="1"/>
  <c r="AM248" i="8"/>
  <c r="Y248" i="8"/>
  <c r="K248" i="8"/>
  <c r="F248" i="8"/>
  <c r="B248" i="8"/>
  <c r="BA247" i="8"/>
  <c r="AZ247" i="8"/>
  <c r="AX247" i="8"/>
  <c r="AO247" i="8"/>
  <c r="AN247" i="8"/>
  <c r="AM247" i="8"/>
  <c r="Y247" i="8"/>
  <c r="K247" i="8"/>
  <c r="F247" i="8"/>
  <c r="B247" i="8"/>
  <c r="BA246" i="8"/>
  <c r="AZ246" i="8"/>
  <c r="AX246" i="8"/>
  <c r="AN246" i="8"/>
  <c r="AO246" i="8" s="1"/>
  <c r="AM246" i="8"/>
  <c r="Y246" i="8"/>
  <c r="K246" i="8"/>
  <c r="F246" i="8"/>
  <c r="B246" i="8"/>
  <c r="BA245" i="8"/>
  <c r="AZ245" i="8"/>
  <c r="AX245" i="8"/>
  <c r="AO245" i="8"/>
  <c r="AN245" i="8"/>
  <c r="AM245" i="8"/>
  <c r="Y245" i="8"/>
  <c r="K245" i="8"/>
  <c r="F245" i="8"/>
  <c r="B245" i="8"/>
  <c r="BA244" i="8"/>
  <c r="AZ244" i="8"/>
  <c r="AX244" i="8"/>
  <c r="AO244" i="8"/>
  <c r="AN244" i="8"/>
  <c r="AM244" i="8"/>
  <c r="Y244" i="8"/>
  <c r="K244" i="8"/>
  <c r="F244" i="8"/>
  <c r="B244" i="8"/>
  <c r="BA243" i="8"/>
  <c r="AZ243" i="8"/>
  <c r="AX243" i="8"/>
  <c r="AM243" i="8"/>
  <c r="Y243" i="8"/>
  <c r="K243" i="8"/>
  <c r="F243" i="8"/>
  <c r="B243" i="8"/>
  <c r="BA242" i="8"/>
  <c r="AZ242" i="8"/>
  <c r="AX242" i="8"/>
  <c r="AO242" i="8"/>
  <c r="AN242" i="8"/>
  <c r="AM242" i="8"/>
  <c r="Y242" i="8"/>
  <c r="K242" i="8"/>
  <c r="F242" i="8"/>
  <c r="B242" i="8"/>
  <c r="BA241" i="8"/>
  <c r="AZ241" i="8"/>
  <c r="AX241" i="8"/>
  <c r="AO241" i="8"/>
  <c r="AN241" i="8"/>
  <c r="AM241" i="8"/>
  <c r="Y241" i="8"/>
  <c r="K241" i="8"/>
  <c r="F241" i="8"/>
  <c r="B241" i="8"/>
  <c r="BA240" i="8"/>
  <c r="AZ240" i="8"/>
  <c r="AX240" i="8"/>
  <c r="AO240" i="8"/>
  <c r="AN240" i="8"/>
  <c r="AM240" i="8"/>
  <c r="Y240" i="8"/>
  <c r="K240" i="8"/>
  <c r="F240" i="8"/>
  <c r="B240" i="8"/>
  <c r="BA239" i="8"/>
  <c r="AZ239" i="8"/>
  <c r="AX239" i="8"/>
  <c r="AO239" i="8"/>
  <c r="AN239" i="8"/>
  <c r="AM239" i="8"/>
  <c r="Y239" i="8"/>
  <c r="K239" i="8"/>
  <c r="F239" i="8"/>
  <c r="B239" i="8"/>
  <c r="BA238" i="8"/>
  <c r="AZ238" i="8"/>
  <c r="AX238" i="8"/>
  <c r="AM238" i="8"/>
  <c r="Y238" i="8"/>
  <c r="K238" i="8"/>
  <c r="F238" i="8"/>
  <c r="B238" i="8"/>
  <c r="BA237" i="8"/>
  <c r="AZ237" i="8"/>
  <c r="AX237" i="8"/>
  <c r="AM237" i="8"/>
  <c r="Y237" i="8"/>
  <c r="K237" i="8"/>
  <c r="F237" i="8"/>
  <c r="B237" i="8"/>
  <c r="BA236" i="8"/>
  <c r="AZ236" i="8"/>
  <c r="AX236" i="8"/>
  <c r="AM236" i="8"/>
  <c r="Y236" i="8"/>
  <c r="K236" i="8"/>
  <c r="F236" i="8"/>
  <c r="B236" i="8"/>
  <c r="BA235" i="8"/>
  <c r="AZ235" i="8"/>
  <c r="AX235" i="8"/>
  <c r="AM235" i="8"/>
  <c r="Y235" i="8"/>
  <c r="K235" i="8"/>
  <c r="F235" i="8"/>
  <c r="B235" i="8"/>
  <c r="BA234" i="8"/>
  <c r="AZ234" i="8"/>
  <c r="AX234" i="8"/>
  <c r="AO234" i="8"/>
  <c r="AN234" i="8"/>
  <c r="AM234" i="8"/>
  <c r="Y234" i="8"/>
  <c r="K234" i="8"/>
  <c r="F234" i="8"/>
  <c r="B234" i="8"/>
  <c r="BA233" i="8"/>
  <c r="AZ233" i="8"/>
  <c r="AX233" i="8"/>
  <c r="AO233" i="8"/>
  <c r="AN233" i="8"/>
  <c r="AM233" i="8"/>
  <c r="Y233" i="8"/>
  <c r="K233" i="8"/>
  <c r="F233" i="8"/>
  <c r="B233" i="8"/>
  <c r="BA232" i="8"/>
  <c r="AZ232" i="8"/>
  <c r="AX232" i="8"/>
  <c r="AO232" i="8"/>
  <c r="AN232" i="8"/>
  <c r="AM232" i="8"/>
  <c r="Y232" i="8"/>
  <c r="K232" i="8"/>
  <c r="F232" i="8"/>
  <c r="B232" i="8"/>
  <c r="BA231" i="8"/>
  <c r="AZ231" i="8"/>
  <c r="AX231" i="8"/>
  <c r="AO231" i="8"/>
  <c r="AN231" i="8"/>
  <c r="AM231" i="8"/>
  <c r="Y231" i="8"/>
  <c r="K231" i="8"/>
  <c r="F231" i="8"/>
  <c r="B231" i="8"/>
  <c r="BA230" i="8"/>
  <c r="AZ230" i="8"/>
  <c r="AX230" i="8"/>
  <c r="AM230" i="8"/>
  <c r="Y230" i="8"/>
  <c r="K230" i="8"/>
  <c r="F230" i="8"/>
  <c r="B230" i="8"/>
  <c r="BA229" i="8"/>
  <c r="AZ229" i="8"/>
  <c r="AX229" i="8"/>
  <c r="AM229" i="8"/>
  <c r="Y229" i="8"/>
  <c r="K229" i="8"/>
  <c r="F229" i="8"/>
  <c r="B229" i="8"/>
  <c r="BA228" i="8"/>
  <c r="AZ228" i="8"/>
  <c r="AX228" i="8"/>
  <c r="AM228" i="8"/>
  <c r="Y228" i="8"/>
  <c r="K228" i="8"/>
  <c r="F228" i="8"/>
  <c r="B228" i="8"/>
  <c r="BA227" i="8"/>
  <c r="AZ227" i="8"/>
  <c r="AX227" i="8"/>
  <c r="AN227" i="8"/>
  <c r="AO227" i="8" s="1"/>
  <c r="AM227" i="8"/>
  <c r="Y227" i="8"/>
  <c r="K227" i="8"/>
  <c r="F227" i="8"/>
  <c r="B227" i="8"/>
  <c r="BA226" i="8"/>
  <c r="AZ226" i="8"/>
  <c r="AX226" i="8"/>
  <c r="AN226" i="8"/>
  <c r="AO226" i="8" s="1"/>
  <c r="AM226" i="8"/>
  <c r="Y226" i="8"/>
  <c r="K226" i="8"/>
  <c r="F226" i="8"/>
  <c r="B226" i="8"/>
  <c r="BA225" i="8"/>
  <c r="AZ225" i="8"/>
  <c r="AX225" i="8"/>
  <c r="AO225" i="8"/>
  <c r="AN225" i="8"/>
  <c r="AM225" i="8"/>
  <c r="Y225" i="8"/>
  <c r="K225" i="8"/>
  <c r="F225" i="8"/>
  <c r="B225" i="8"/>
  <c r="BA224" i="8"/>
  <c r="AZ224" i="8"/>
  <c r="AX224" i="8"/>
  <c r="AN224" i="8"/>
  <c r="AO224" i="8" s="1"/>
  <c r="AM224" i="8"/>
  <c r="Y224" i="8"/>
  <c r="K224" i="8"/>
  <c r="F224" i="8"/>
  <c r="B224" i="8"/>
  <c r="BA223" i="8"/>
  <c r="AZ223" i="8"/>
  <c r="AX223" i="8"/>
  <c r="AO223" i="8"/>
  <c r="AN223" i="8"/>
  <c r="AM223" i="8"/>
  <c r="Y223" i="8"/>
  <c r="K223" i="8"/>
  <c r="F223" i="8"/>
  <c r="B223" i="8"/>
  <c r="BA222" i="8"/>
  <c r="AZ222" i="8"/>
  <c r="AX222" i="8"/>
  <c r="AN222" i="8"/>
  <c r="AO222" i="8" s="1"/>
  <c r="AM222" i="8"/>
  <c r="Y222" i="8"/>
  <c r="K222" i="8"/>
  <c r="F222" i="8"/>
  <c r="B222" i="8"/>
  <c r="BA221" i="8"/>
  <c r="AZ221" i="8"/>
  <c r="AX221" i="8"/>
  <c r="AN221" i="8"/>
  <c r="AO221" i="8" s="1"/>
  <c r="AM221" i="8"/>
  <c r="Y221" i="8"/>
  <c r="K221" i="8"/>
  <c r="F221" i="8"/>
  <c r="B221" i="8"/>
  <c r="BA220" i="8"/>
  <c r="AZ220" i="8"/>
  <c r="AX220" i="8"/>
  <c r="AO220" i="8"/>
  <c r="AN220" i="8"/>
  <c r="AM220" i="8"/>
  <c r="Y220" i="8"/>
  <c r="K220" i="8"/>
  <c r="F220" i="8"/>
  <c r="B220" i="8"/>
  <c r="BA219" i="8"/>
  <c r="AZ219" i="8"/>
  <c r="AX219" i="8"/>
  <c r="AN219" i="8"/>
  <c r="AO219" i="8" s="1"/>
  <c r="AM219" i="8"/>
  <c r="Y219" i="8"/>
  <c r="K219" i="8"/>
  <c r="F219" i="8"/>
  <c r="B219" i="8"/>
  <c r="BA218" i="8"/>
  <c r="AZ218" i="8"/>
  <c r="AX218" i="8"/>
  <c r="AO218" i="8"/>
  <c r="AN218" i="8"/>
  <c r="AM218" i="8"/>
  <c r="Y218" i="8"/>
  <c r="K218" i="8"/>
  <c r="F218" i="8"/>
  <c r="B218" i="8"/>
  <c r="BA217" i="8"/>
  <c r="AZ217" i="8"/>
  <c r="AX217" i="8"/>
  <c r="AO217" i="8"/>
  <c r="AN217" i="8"/>
  <c r="AM217" i="8"/>
  <c r="Y217" i="8"/>
  <c r="K217" i="8"/>
  <c r="F217" i="8"/>
  <c r="B217" i="8"/>
  <c r="BA216" i="8"/>
  <c r="AZ216" i="8"/>
  <c r="AX216" i="8"/>
  <c r="AN216" i="8"/>
  <c r="AO216" i="8" s="1"/>
  <c r="AM216" i="8"/>
  <c r="Y216" i="8"/>
  <c r="K216" i="8"/>
  <c r="F216" i="8"/>
  <c r="B216" i="8"/>
  <c r="BA215" i="8"/>
  <c r="AZ215" i="8"/>
  <c r="AX215" i="8"/>
  <c r="AO215" i="8"/>
  <c r="AN215" i="8"/>
  <c r="AM215" i="8"/>
  <c r="Y215" i="8"/>
  <c r="K215" i="8"/>
  <c r="F215" i="8"/>
  <c r="B215" i="8"/>
  <c r="BA214" i="8"/>
  <c r="AZ214" i="8"/>
  <c r="AX214" i="8"/>
  <c r="AO214" i="8"/>
  <c r="AN214" i="8"/>
  <c r="AM214" i="8"/>
  <c r="Y214" i="8"/>
  <c r="K214" i="8"/>
  <c r="F214" i="8"/>
  <c r="B214" i="8"/>
  <c r="BA213" i="8"/>
  <c r="AZ213" i="8"/>
  <c r="AX213" i="8"/>
  <c r="AO213" i="8"/>
  <c r="AN213" i="8"/>
  <c r="AM213" i="8"/>
  <c r="Y213" i="8"/>
  <c r="K213" i="8"/>
  <c r="F213" i="8"/>
  <c r="B213" i="8"/>
  <c r="BA212" i="8"/>
  <c r="AZ212" i="8"/>
  <c r="AX212" i="8"/>
  <c r="AO212" i="8"/>
  <c r="AN212" i="8"/>
  <c r="AM212" i="8"/>
  <c r="Y212" i="8"/>
  <c r="K212" i="8"/>
  <c r="F212" i="8"/>
  <c r="B212" i="8"/>
  <c r="BA211" i="8"/>
  <c r="AZ211" i="8"/>
  <c r="AX211" i="8"/>
  <c r="AO211" i="8"/>
  <c r="AN211" i="8"/>
  <c r="AM211" i="8"/>
  <c r="Y211" i="8"/>
  <c r="K211" i="8"/>
  <c r="F211" i="8"/>
  <c r="B211" i="8"/>
  <c r="BA210" i="8"/>
  <c r="AZ210" i="8"/>
  <c r="AX210" i="8"/>
  <c r="AO210" i="8"/>
  <c r="AN210" i="8"/>
  <c r="AM210" i="8"/>
  <c r="Y210" i="8"/>
  <c r="K210" i="8"/>
  <c r="F210" i="8"/>
  <c r="B210" i="8"/>
  <c r="BA209" i="8"/>
  <c r="AZ209" i="8"/>
  <c r="AX209" i="8"/>
  <c r="AO209" i="8"/>
  <c r="AN209" i="8"/>
  <c r="AM209" i="8"/>
  <c r="Y209" i="8"/>
  <c r="K209" i="8"/>
  <c r="F209" i="8"/>
  <c r="B209" i="8"/>
  <c r="BA208" i="8"/>
  <c r="AZ208" i="8"/>
  <c r="AX208" i="8"/>
  <c r="AM208" i="8"/>
  <c r="Y208" i="8"/>
  <c r="K208" i="8"/>
  <c r="F208" i="8"/>
  <c r="B208" i="8"/>
  <c r="BA207" i="8"/>
  <c r="AZ207" i="8"/>
  <c r="AX207" i="8"/>
  <c r="AO207" i="8"/>
  <c r="AN207" i="8"/>
  <c r="AM207" i="8"/>
  <c r="Y207" i="8"/>
  <c r="K207" i="8"/>
  <c r="F207" i="8"/>
  <c r="B207" i="8"/>
  <c r="BA206" i="8"/>
  <c r="AZ206" i="8"/>
  <c r="AX206" i="8"/>
  <c r="AO206" i="8"/>
  <c r="AN206" i="8"/>
  <c r="AM206" i="8"/>
  <c r="Y206" i="8"/>
  <c r="K206" i="8"/>
  <c r="F206" i="8"/>
  <c r="B206" i="8"/>
  <c r="BA205" i="8"/>
  <c r="AZ205" i="8"/>
  <c r="AX205" i="8"/>
  <c r="AO205" i="8"/>
  <c r="AN205" i="8"/>
  <c r="AM205" i="8"/>
  <c r="Y205" i="8"/>
  <c r="K205" i="8"/>
  <c r="F205" i="8"/>
  <c r="B205" i="8"/>
  <c r="BA204" i="8"/>
  <c r="AZ204" i="8"/>
  <c r="AX204" i="8"/>
  <c r="AO204" i="8"/>
  <c r="AN204" i="8"/>
  <c r="AM204" i="8"/>
  <c r="Y204" i="8"/>
  <c r="K204" i="8"/>
  <c r="F204" i="8"/>
  <c r="B204" i="8"/>
  <c r="BA203" i="8"/>
  <c r="AZ203" i="8"/>
  <c r="AX203" i="8"/>
  <c r="AO203" i="8"/>
  <c r="AN203" i="8"/>
  <c r="AM203" i="8"/>
  <c r="Y203" i="8"/>
  <c r="K203" i="8"/>
  <c r="F203" i="8"/>
  <c r="B203" i="8"/>
  <c r="BA202" i="8"/>
  <c r="AZ202" i="8"/>
  <c r="AX202" i="8"/>
  <c r="AO202" i="8"/>
  <c r="AN202" i="8"/>
  <c r="AM202" i="8"/>
  <c r="Y202" i="8"/>
  <c r="K202" i="8"/>
  <c r="F202" i="8"/>
  <c r="B202" i="8"/>
  <c r="BA201" i="8"/>
  <c r="AZ201" i="8"/>
  <c r="AX201" i="8"/>
  <c r="AO201" i="8"/>
  <c r="AN201" i="8"/>
  <c r="AM201" i="8"/>
  <c r="Y201" i="8"/>
  <c r="K201" i="8"/>
  <c r="F201" i="8"/>
  <c r="B201" i="8"/>
  <c r="BA200" i="8"/>
  <c r="AZ200" i="8"/>
  <c r="AX200" i="8"/>
  <c r="AO200" i="8"/>
  <c r="AN200" i="8"/>
  <c r="AM200" i="8"/>
  <c r="Y200" i="8"/>
  <c r="K200" i="8"/>
  <c r="F200" i="8"/>
  <c r="B200" i="8"/>
  <c r="BA199" i="8"/>
  <c r="AZ199" i="8"/>
  <c r="AX199" i="8"/>
  <c r="AO199" i="8"/>
  <c r="AN199" i="8"/>
  <c r="AM199" i="8"/>
  <c r="Y199" i="8"/>
  <c r="K199" i="8"/>
  <c r="F199" i="8"/>
  <c r="B199" i="8"/>
  <c r="BA198" i="8"/>
  <c r="AZ198" i="8"/>
  <c r="AX198" i="8"/>
  <c r="AO198" i="8"/>
  <c r="AN198" i="8"/>
  <c r="AM198" i="8"/>
  <c r="Y198" i="8"/>
  <c r="K198" i="8"/>
  <c r="F198" i="8"/>
  <c r="B198" i="8"/>
  <c r="BA197" i="8"/>
  <c r="AZ197" i="8"/>
  <c r="AX197" i="8"/>
  <c r="AO197" i="8"/>
  <c r="AN197" i="8"/>
  <c r="AM197" i="8"/>
  <c r="Y197" i="8"/>
  <c r="K197" i="8"/>
  <c r="F197" i="8"/>
  <c r="B197" i="8"/>
  <c r="BA196" i="8"/>
  <c r="AZ196" i="8"/>
  <c r="AX196" i="8"/>
  <c r="AO196" i="8"/>
  <c r="AN196" i="8"/>
  <c r="AM196" i="8"/>
  <c r="Y196" i="8"/>
  <c r="K196" i="8"/>
  <c r="F196" i="8"/>
  <c r="B196" i="8"/>
  <c r="BA195" i="8"/>
  <c r="AZ195" i="8"/>
  <c r="AX195" i="8"/>
  <c r="AO195" i="8"/>
  <c r="AN195" i="8"/>
  <c r="AM195" i="8"/>
  <c r="Y195" i="8"/>
  <c r="K195" i="8"/>
  <c r="F195" i="8"/>
  <c r="B195" i="8"/>
  <c r="BA194" i="8"/>
  <c r="AZ194" i="8"/>
  <c r="AX194" i="8"/>
  <c r="AO194" i="8"/>
  <c r="AN194" i="8"/>
  <c r="AM194" i="8"/>
  <c r="Y194" i="8"/>
  <c r="K194" i="8"/>
  <c r="F194" i="8"/>
  <c r="B194" i="8"/>
  <c r="BA193" i="8"/>
  <c r="AZ193" i="8"/>
  <c r="AX193" i="8"/>
  <c r="AM193" i="8"/>
  <c r="Y193" i="8"/>
  <c r="K193" i="8"/>
  <c r="F193" i="8"/>
  <c r="B193" i="8"/>
  <c r="BA192" i="8"/>
  <c r="AZ192" i="8"/>
  <c r="AX192" i="8"/>
  <c r="AM192" i="8"/>
  <c r="Y192" i="8"/>
  <c r="K192" i="8"/>
  <c r="F192" i="8"/>
  <c r="B192" i="8"/>
  <c r="BA191" i="8"/>
  <c r="AZ191" i="8"/>
  <c r="AX191" i="8"/>
  <c r="AM191" i="8"/>
  <c r="Y191" i="8"/>
  <c r="K191" i="8"/>
  <c r="F191" i="8"/>
  <c r="B191" i="8"/>
  <c r="BA190" i="8"/>
  <c r="AZ190" i="8"/>
  <c r="AX190" i="8"/>
  <c r="AO190" i="8"/>
  <c r="AN190" i="8"/>
  <c r="AM190" i="8"/>
  <c r="Y190" i="8"/>
  <c r="K190" i="8"/>
  <c r="F190" i="8"/>
  <c r="B190" i="8"/>
  <c r="BA189" i="8"/>
  <c r="AZ189" i="8"/>
  <c r="AX189" i="8"/>
  <c r="AO189" i="8"/>
  <c r="AN189" i="8"/>
  <c r="AM189" i="8"/>
  <c r="Y189" i="8"/>
  <c r="K189" i="8"/>
  <c r="F189" i="8"/>
  <c r="B189" i="8"/>
  <c r="BA188" i="8"/>
  <c r="AZ188" i="8"/>
  <c r="AX188" i="8"/>
  <c r="AO188" i="8"/>
  <c r="AN188" i="8"/>
  <c r="AM188" i="8"/>
  <c r="Y188" i="8"/>
  <c r="K188" i="8"/>
  <c r="F188" i="8"/>
  <c r="B188" i="8"/>
  <c r="BA187" i="8"/>
  <c r="AZ187" i="8"/>
  <c r="AX187" i="8"/>
  <c r="AO187" i="8"/>
  <c r="AN187" i="8"/>
  <c r="AM187" i="8"/>
  <c r="Y187" i="8"/>
  <c r="K187" i="8"/>
  <c r="F187" i="8"/>
  <c r="B187" i="8"/>
  <c r="BA186" i="8"/>
  <c r="AZ186" i="8"/>
  <c r="AX186" i="8"/>
  <c r="AM186" i="8"/>
  <c r="Y186" i="8"/>
  <c r="K186" i="8"/>
  <c r="F186" i="8"/>
  <c r="B186" i="8"/>
  <c r="BA185" i="8"/>
  <c r="AZ185" i="8"/>
  <c r="AX185" i="8"/>
  <c r="AO185" i="8"/>
  <c r="AN185" i="8"/>
  <c r="AM185" i="8"/>
  <c r="Y185" i="8"/>
  <c r="K185" i="8"/>
  <c r="F185" i="8"/>
  <c r="B185" i="8"/>
  <c r="BA184" i="8"/>
  <c r="AZ184" i="8"/>
  <c r="AX184" i="8"/>
  <c r="AO184" i="8"/>
  <c r="AN184" i="8"/>
  <c r="AM184" i="8"/>
  <c r="Y184" i="8"/>
  <c r="K184" i="8"/>
  <c r="F184" i="8"/>
  <c r="B184" i="8"/>
  <c r="BA183" i="8"/>
  <c r="AZ183" i="8"/>
  <c r="AX183" i="8"/>
  <c r="AO183" i="8"/>
  <c r="AN183" i="8"/>
  <c r="AM183" i="8"/>
  <c r="Y183" i="8"/>
  <c r="K183" i="8"/>
  <c r="F183" i="8"/>
  <c r="B183" i="8"/>
  <c r="BA182" i="8"/>
  <c r="AZ182" i="8"/>
  <c r="AX182" i="8"/>
  <c r="AO182" i="8"/>
  <c r="AN182" i="8"/>
  <c r="AM182" i="8"/>
  <c r="Y182" i="8"/>
  <c r="K182" i="8"/>
  <c r="F182" i="8"/>
  <c r="B182" i="8"/>
  <c r="BA181" i="8"/>
  <c r="AZ181" i="8"/>
  <c r="AX181" i="8"/>
  <c r="AN181" i="8"/>
  <c r="AO181" i="8" s="1"/>
  <c r="AM181" i="8"/>
  <c r="Y181" i="8"/>
  <c r="K181" i="8"/>
  <c r="F181" i="8"/>
  <c r="B181" i="8"/>
  <c r="BA180" i="8"/>
  <c r="AZ180" i="8"/>
  <c r="AX180" i="8"/>
  <c r="AN180" i="8"/>
  <c r="AO180" i="8" s="1"/>
  <c r="AM180" i="8"/>
  <c r="Y180" i="8"/>
  <c r="K180" i="8"/>
  <c r="F180" i="8"/>
  <c r="B180" i="8"/>
  <c r="BA179" i="8"/>
  <c r="AZ179" i="8"/>
  <c r="AX179" i="8"/>
  <c r="AO179" i="8"/>
  <c r="AN179" i="8"/>
  <c r="AM179" i="8"/>
  <c r="Y179" i="8"/>
  <c r="K179" i="8"/>
  <c r="F179" i="8"/>
  <c r="B179" i="8"/>
  <c r="BA178" i="8"/>
  <c r="AZ178" i="8"/>
  <c r="AX178" i="8"/>
  <c r="AN178" i="8"/>
  <c r="AO178" i="8" s="1"/>
  <c r="AM178" i="8"/>
  <c r="Y178" i="8"/>
  <c r="K178" i="8"/>
  <c r="F178" i="8"/>
  <c r="B178" i="8"/>
  <c r="BA177" i="8"/>
  <c r="AZ177" i="8"/>
  <c r="AX177" i="8"/>
  <c r="AN177" i="8"/>
  <c r="AO177" i="8" s="1"/>
  <c r="AM177" i="8"/>
  <c r="Y177" i="8"/>
  <c r="K177" i="8"/>
  <c r="F177" i="8"/>
  <c r="B177" i="8"/>
  <c r="BA176" i="8"/>
  <c r="AZ176" i="8"/>
  <c r="AX176" i="8"/>
  <c r="AO176" i="8"/>
  <c r="AN176" i="8"/>
  <c r="AM176" i="8"/>
  <c r="Y176" i="8"/>
  <c r="K176" i="8"/>
  <c r="F176" i="8"/>
  <c r="B176" i="8"/>
  <c r="BA175" i="8"/>
  <c r="AZ175" i="8"/>
  <c r="AX175" i="8"/>
  <c r="AN175" i="8"/>
  <c r="AO175" i="8" s="1"/>
  <c r="AM175" i="8"/>
  <c r="Y175" i="8"/>
  <c r="K175" i="8"/>
  <c r="F175" i="8"/>
  <c r="B175" i="8"/>
  <c r="BA174" i="8"/>
  <c r="AZ174" i="8"/>
  <c r="AX174" i="8"/>
  <c r="AN174" i="8"/>
  <c r="AO174" i="8" s="1"/>
  <c r="AM174" i="8"/>
  <c r="Y174" i="8"/>
  <c r="K174" i="8"/>
  <c r="F174" i="8"/>
  <c r="B174" i="8"/>
  <c r="BA173" i="8"/>
  <c r="AZ173" i="8"/>
  <c r="AX173" i="8"/>
  <c r="AN173" i="8"/>
  <c r="AO173" i="8" s="1"/>
  <c r="AM173" i="8"/>
  <c r="Y173" i="8"/>
  <c r="K173" i="8"/>
  <c r="F173" i="8"/>
  <c r="B173" i="8"/>
  <c r="BA172" i="8"/>
  <c r="AZ172" i="8"/>
  <c r="AX172" i="8"/>
  <c r="AN172" i="8"/>
  <c r="AO172" i="8" s="1"/>
  <c r="AM172" i="8"/>
  <c r="Y172" i="8"/>
  <c r="K172" i="8"/>
  <c r="F172" i="8"/>
  <c r="B172" i="8"/>
  <c r="BA171" i="8"/>
  <c r="AZ171" i="8"/>
  <c r="AX171" i="8"/>
  <c r="AN171" i="8"/>
  <c r="AO171" i="8" s="1"/>
  <c r="AM171" i="8"/>
  <c r="Y171" i="8"/>
  <c r="K171" i="8"/>
  <c r="F171" i="8"/>
  <c r="B171" i="8"/>
  <c r="BA170" i="8"/>
  <c r="AZ170" i="8"/>
  <c r="AX170" i="8"/>
  <c r="AN170" i="8"/>
  <c r="AO170" i="8" s="1"/>
  <c r="AM170" i="8"/>
  <c r="Y170" i="8"/>
  <c r="K170" i="8"/>
  <c r="F170" i="8"/>
  <c r="B170" i="8"/>
  <c r="BA169" i="8"/>
  <c r="AZ169" i="8"/>
  <c r="AX169" i="8"/>
  <c r="AN169" i="8"/>
  <c r="AO169" i="8" s="1"/>
  <c r="AM169" i="8"/>
  <c r="Y169" i="8"/>
  <c r="K169" i="8"/>
  <c r="F169" i="8"/>
  <c r="B169" i="8"/>
  <c r="BA168" i="8"/>
  <c r="AZ168" i="8"/>
  <c r="AX168" i="8"/>
  <c r="AN168" i="8"/>
  <c r="AO168" i="8" s="1"/>
  <c r="AM168" i="8"/>
  <c r="Y168" i="8"/>
  <c r="K168" i="8"/>
  <c r="F168" i="8"/>
  <c r="B168" i="8"/>
  <c r="BA167" i="8"/>
  <c r="AZ167" i="8"/>
  <c r="AX167" i="8"/>
  <c r="AN167" i="8"/>
  <c r="AO167" i="8" s="1"/>
  <c r="AM167" i="8"/>
  <c r="Y167" i="8"/>
  <c r="K167" i="8"/>
  <c r="F167" i="8"/>
  <c r="B167" i="8"/>
  <c r="BA166" i="8"/>
  <c r="AZ166" i="8"/>
  <c r="AX166" i="8"/>
  <c r="AN166" i="8"/>
  <c r="AO166" i="8" s="1"/>
  <c r="AM166" i="8"/>
  <c r="Y166" i="8"/>
  <c r="K166" i="8"/>
  <c r="F166" i="8"/>
  <c r="B166" i="8"/>
  <c r="BA165" i="8"/>
  <c r="AZ165" i="8"/>
  <c r="AX165" i="8"/>
  <c r="AN165" i="8"/>
  <c r="AO165" i="8" s="1"/>
  <c r="AM165" i="8"/>
  <c r="Y165" i="8"/>
  <c r="K165" i="8"/>
  <c r="F165" i="8"/>
  <c r="B165" i="8"/>
  <c r="BA164" i="8"/>
  <c r="AZ164" i="8"/>
  <c r="AX164" i="8"/>
  <c r="AN164" i="8"/>
  <c r="AO164" i="8" s="1"/>
  <c r="AM164" i="8"/>
  <c r="Y164" i="8"/>
  <c r="K164" i="8"/>
  <c r="F164" i="8"/>
  <c r="B164" i="8"/>
  <c r="BA163" i="8"/>
  <c r="AZ163" i="8"/>
  <c r="AX163" i="8"/>
  <c r="AN163" i="8"/>
  <c r="AO163" i="8" s="1"/>
  <c r="AM163" i="8"/>
  <c r="Y163" i="8"/>
  <c r="K163" i="8"/>
  <c r="F163" i="8"/>
  <c r="B163" i="8"/>
  <c r="BA162" i="8"/>
  <c r="AZ162" i="8"/>
  <c r="AX162" i="8"/>
  <c r="AN162" i="8"/>
  <c r="AO162" i="8" s="1"/>
  <c r="AM162" i="8"/>
  <c r="Y162" i="8"/>
  <c r="K162" i="8"/>
  <c r="F162" i="8"/>
  <c r="B162" i="8"/>
  <c r="BA161" i="8"/>
  <c r="AZ161" i="8"/>
  <c r="AX161" i="8"/>
  <c r="AN161" i="8"/>
  <c r="AO161" i="8" s="1"/>
  <c r="AM161" i="8"/>
  <c r="Y161" i="8"/>
  <c r="K161" i="8"/>
  <c r="F161" i="8"/>
  <c r="B161" i="8"/>
  <c r="BA160" i="8"/>
  <c r="AZ160" i="8"/>
  <c r="AX160" i="8"/>
  <c r="AN160" i="8"/>
  <c r="AO160" i="8" s="1"/>
  <c r="AM160" i="8"/>
  <c r="Y160" i="8"/>
  <c r="K160" i="8"/>
  <c r="F160" i="8"/>
  <c r="B160" i="8"/>
  <c r="BA159" i="8"/>
  <c r="AZ159" i="8"/>
  <c r="AX159" i="8"/>
  <c r="AM159" i="8"/>
  <c r="Y159" i="8"/>
  <c r="K159" i="8"/>
  <c r="F159" i="8"/>
  <c r="B159" i="8"/>
  <c r="BA158" i="8"/>
  <c r="AZ158" i="8"/>
  <c r="AX158" i="8"/>
  <c r="AM158" i="8"/>
  <c r="Y158" i="8"/>
  <c r="K158" i="8"/>
  <c r="F158" i="8"/>
  <c r="B158" i="8"/>
  <c r="BA157" i="8"/>
  <c r="AZ157" i="8"/>
  <c r="AX157" i="8"/>
  <c r="AM157" i="8"/>
  <c r="Y157" i="8"/>
  <c r="K157" i="8"/>
  <c r="F157" i="8"/>
  <c r="B157" i="8"/>
  <c r="BA156" i="8"/>
  <c r="AZ156" i="8"/>
  <c r="AX156" i="8"/>
  <c r="AM156" i="8"/>
  <c r="Y156" i="8"/>
  <c r="K156" i="8"/>
  <c r="F156" i="8"/>
  <c r="B156" i="8"/>
  <c r="BA155" i="8"/>
  <c r="AZ155" i="8"/>
  <c r="AX155" i="8"/>
  <c r="AM155" i="8"/>
  <c r="Y155" i="8"/>
  <c r="K155" i="8"/>
  <c r="F155" i="8"/>
  <c r="B155" i="8"/>
  <c r="BA154" i="8"/>
  <c r="AZ154" i="8"/>
  <c r="AX154" i="8"/>
  <c r="AM154" i="8"/>
  <c r="Y154" i="8"/>
  <c r="K154" i="8"/>
  <c r="F154" i="8"/>
  <c r="B154" i="8"/>
  <c r="BA153" i="8"/>
  <c r="AZ153" i="8"/>
  <c r="AX153" i="8"/>
  <c r="AM153" i="8"/>
  <c r="Y153" i="8"/>
  <c r="K153" i="8"/>
  <c r="F153" i="8"/>
  <c r="B153" i="8"/>
  <c r="BA152" i="8"/>
  <c r="AZ152" i="8"/>
  <c r="AX152" i="8"/>
  <c r="AM152" i="8"/>
  <c r="Y152" i="8"/>
  <c r="K152" i="8"/>
  <c r="F152" i="8"/>
  <c r="B152" i="8"/>
  <c r="BA151" i="8"/>
  <c r="AZ151" i="8"/>
  <c r="AX151" i="8"/>
  <c r="AM151" i="8"/>
  <c r="Y151" i="8"/>
  <c r="K151" i="8"/>
  <c r="F151" i="8"/>
  <c r="B151" i="8"/>
  <c r="BA150" i="8"/>
  <c r="AZ150" i="8"/>
  <c r="AX150" i="8"/>
  <c r="AM150" i="8"/>
  <c r="Y150" i="8"/>
  <c r="K150" i="8"/>
  <c r="F150" i="8"/>
  <c r="B150" i="8"/>
  <c r="BA149" i="8"/>
  <c r="AZ149" i="8"/>
  <c r="AX149" i="8"/>
  <c r="AM149" i="8"/>
  <c r="Y149" i="8"/>
  <c r="K149" i="8"/>
  <c r="F149" i="8"/>
  <c r="B149" i="8"/>
  <c r="BA148" i="8"/>
  <c r="AZ148" i="8"/>
  <c r="AX148" i="8"/>
  <c r="AM148" i="8"/>
  <c r="Y148" i="8"/>
  <c r="K148" i="8"/>
  <c r="F148" i="8"/>
  <c r="B148" i="8"/>
  <c r="BA147" i="8"/>
  <c r="AZ147" i="8"/>
  <c r="AX147" i="8"/>
  <c r="AM147" i="8"/>
  <c r="Y147" i="8"/>
  <c r="K147" i="8"/>
  <c r="F147" i="8"/>
  <c r="B147" i="8"/>
  <c r="BA146" i="8"/>
  <c r="AZ146" i="8"/>
  <c r="AX146" i="8"/>
  <c r="AM146" i="8"/>
  <c r="Y146" i="8"/>
  <c r="K146" i="8"/>
  <c r="F146" i="8"/>
  <c r="B146" i="8"/>
  <c r="BA145" i="8"/>
  <c r="AZ145" i="8"/>
  <c r="AX145" i="8"/>
  <c r="AM145" i="8"/>
  <c r="Y145" i="8"/>
  <c r="K145" i="8"/>
  <c r="F145" i="8"/>
  <c r="B145" i="8"/>
  <c r="BA144" i="8"/>
  <c r="AZ144" i="8"/>
  <c r="AX144" i="8"/>
  <c r="AM144" i="8"/>
  <c r="Y144" i="8"/>
  <c r="K144" i="8"/>
  <c r="F144" i="8"/>
  <c r="B144" i="8"/>
  <c r="BA143" i="8"/>
  <c r="AZ143" i="8"/>
  <c r="AX143" i="8"/>
  <c r="AM143" i="8"/>
  <c r="Y143" i="8"/>
  <c r="K143" i="8"/>
  <c r="F143" i="8"/>
  <c r="B143" i="8"/>
  <c r="BA142" i="8"/>
  <c r="AZ142" i="8"/>
  <c r="AX142" i="8"/>
  <c r="AO142" i="8"/>
  <c r="AN142" i="8"/>
  <c r="AM142" i="8"/>
  <c r="Y142" i="8"/>
  <c r="K142" i="8"/>
  <c r="F142" i="8"/>
  <c r="B142" i="8"/>
  <c r="BA141" i="8"/>
  <c r="AZ141" i="8"/>
  <c r="AX141" i="8"/>
  <c r="AM141" i="8"/>
  <c r="Y141" i="8"/>
  <c r="K141" i="8"/>
  <c r="F141" i="8"/>
  <c r="B141" i="8"/>
  <c r="BA140" i="8"/>
  <c r="AZ140" i="8"/>
  <c r="AX140" i="8"/>
  <c r="AN140" i="8"/>
  <c r="AO140" i="8" s="1"/>
  <c r="AM140" i="8"/>
  <c r="Y140" i="8"/>
  <c r="K140" i="8"/>
  <c r="F140" i="8"/>
  <c r="B140" i="8"/>
  <c r="BA139" i="8"/>
  <c r="AZ139" i="8"/>
  <c r="AX139" i="8"/>
  <c r="AN139" i="8"/>
  <c r="AO139" i="8" s="1"/>
  <c r="AM139" i="8"/>
  <c r="Y139" i="8"/>
  <c r="K139" i="8"/>
  <c r="F139" i="8"/>
  <c r="B139" i="8"/>
  <c r="BA138" i="8"/>
  <c r="AZ138" i="8"/>
  <c r="AX138" i="8"/>
  <c r="AN138" i="8"/>
  <c r="AO138" i="8" s="1"/>
  <c r="AM138" i="8"/>
  <c r="Y138" i="8"/>
  <c r="K138" i="8"/>
  <c r="F138" i="8"/>
  <c r="B138" i="8"/>
  <c r="BA137" i="8"/>
  <c r="AZ137" i="8"/>
  <c r="AX137" i="8"/>
  <c r="AO137" i="8"/>
  <c r="AN137" i="8"/>
  <c r="AM137" i="8"/>
  <c r="Y137" i="8"/>
  <c r="K137" i="8"/>
  <c r="F137" i="8"/>
  <c r="B137" i="8"/>
  <c r="BA136" i="8"/>
  <c r="AZ136" i="8"/>
  <c r="AX136" i="8"/>
  <c r="AO136" i="8"/>
  <c r="AN136" i="8"/>
  <c r="AM136" i="8"/>
  <c r="Y136" i="8"/>
  <c r="K136" i="8"/>
  <c r="F136" i="8"/>
  <c r="B136" i="8"/>
  <c r="BA135" i="8"/>
  <c r="AZ135" i="8"/>
  <c r="AX135" i="8"/>
  <c r="AO135" i="8"/>
  <c r="AN135" i="8"/>
  <c r="AM135" i="8"/>
  <c r="Y135" i="8"/>
  <c r="K135" i="8"/>
  <c r="F135" i="8"/>
  <c r="B135" i="8"/>
  <c r="BA134" i="8"/>
  <c r="AZ134" i="8"/>
  <c r="AX134" i="8"/>
  <c r="AO134" i="8"/>
  <c r="AN134" i="8"/>
  <c r="AM134" i="8"/>
  <c r="Y134" i="8"/>
  <c r="K134" i="8"/>
  <c r="F134" i="8"/>
  <c r="B134" i="8"/>
  <c r="BA133" i="8"/>
  <c r="AZ133" i="8"/>
  <c r="AX133" i="8"/>
  <c r="AO133" i="8"/>
  <c r="AN133" i="8"/>
  <c r="AM133" i="8"/>
  <c r="Y133" i="8"/>
  <c r="K133" i="8"/>
  <c r="F133" i="8"/>
  <c r="B133" i="8"/>
  <c r="BA132" i="8"/>
  <c r="AZ132" i="8"/>
  <c r="AX132" i="8"/>
  <c r="AO132" i="8"/>
  <c r="AN132" i="8"/>
  <c r="AM132" i="8"/>
  <c r="Y132" i="8"/>
  <c r="K132" i="8"/>
  <c r="F132" i="8"/>
  <c r="B132" i="8"/>
  <c r="BA131" i="8"/>
  <c r="AZ131" i="8"/>
  <c r="AX131" i="8"/>
  <c r="AO131" i="8"/>
  <c r="AN131" i="8"/>
  <c r="AM131" i="8"/>
  <c r="Y131" i="8"/>
  <c r="K131" i="8"/>
  <c r="F131" i="8"/>
  <c r="B131" i="8"/>
  <c r="BA130" i="8"/>
  <c r="AZ130" i="8"/>
  <c r="AX130" i="8"/>
  <c r="AO130" i="8"/>
  <c r="AN130" i="8"/>
  <c r="AM130" i="8"/>
  <c r="Y130" i="8"/>
  <c r="K130" i="8"/>
  <c r="F130" i="8"/>
  <c r="B130" i="8"/>
  <c r="BA129" i="8"/>
  <c r="AZ129" i="8"/>
  <c r="AX129" i="8"/>
  <c r="AO129" i="8"/>
  <c r="AN129" i="8"/>
  <c r="AM129" i="8"/>
  <c r="Y129" i="8"/>
  <c r="K129" i="8"/>
  <c r="F129" i="8"/>
  <c r="B129" i="8"/>
  <c r="BA128" i="8"/>
  <c r="AZ128" i="8"/>
  <c r="AX128" i="8"/>
  <c r="AO128" i="8"/>
  <c r="AN128" i="8"/>
  <c r="AM128" i="8"/>
  <c r="Y128" i="8"/>
  <c r="K128" i="8"/>
  <c r="F128" i="8"/>
  <c r="B128" i="8"/>
  <c r="BA127" i="8"/>
  <c r="AZ127" i="8"/>
  <c r="AX127" i="8"/>
  <c r="AO127" i="8"/>
  <c r="AN127" i="8"/>
  <c r="AM127" i="8"/>
  <c r="Y127" i="8"/>
  <c r="K127" i="8"/>
  <c r="F127" i="8"/>
  <c r="B127" i="8"/>
  <c r="BA126" i="8"/>
  <c r="AZ126" i="8"/>
  <c r="AX126" i="8"/>
  <c r="AO126" i="8"/>
  <c r="AN126" i="8"/>
  <c r="AM126" i="8"/>
  <c r="Y126" i="8"/>
  <c r="K126" i="8"/>
  <c r="F126" i="8"/>
  <c r="B126" i="8"/>
  <c r="BA125" i="8"/>
  <c r="AZ125" i="8"/>
  <c r="AX125" i="8"/>
  <c r="AO125" i="8"/>
  <c r="AN125" i="8"/>
  <c r="AM125" i="8"/>
  <c r="Y125" i="8"/>
  <c r="K125" i="8"/>
  <c r="F125" i="8"/>
  <c r="B125" i="8"/>
  <c r="BA124" i="8"/>
  <c r="AZ124" i="8"/>
  <c r="AX124" i="8"/>
  <c r="AO124" i="8"/>
  <c r="AN124" i="8"/>
  <c r="AM124" i="8"/>
  <c r="Y124" i="8"/>
  <c r="K124" i="8"/>
  <c r="F124" i="8"/>
  <c r="B124" i="8"/>
  <c r="BA123" i="8"/>
  <c r="AZ123" i="8"/>
  <c r="AX123" i="8"/>
  <c r="AO123" i="8"/>
  <c r="AN123" i="8"/>
  <c r="AM123" i="8"/>
  <c r="Y123" i="8"/>
  <c r="K123" i="8"/>
  <c r="F123" i="8"/>
  <c r="B123" i="8"/>
  <c r="BA122" i="8"/>
  <c r="AZ122" i="8"/>
  <c r="AX122" i="8"/>
  <c r="AO122" i="8"/>
  <c r="AN122" i="8"/>
  <c r="AM122" i="8"/>
  <c r="Y122" i="8"/>
  <c r="K122" i="8"/>
  <c r="F122" i="8"/>
  <c r="B122" i="8"/>
  <c r="BA121" i="8"/>
  <c r="AZ121" i="8"/>
  <c r="AX121" i="8"/>
  <c r="AO121" i="8"/>
  <c r="AN121" i="8"/>
  <c r="AM121" i="8"/>
  <c r="Y121" i="8"/>
  <c r="K121" i="8"/>
  <c r="F121" i="8"/>
  <c r="B121" i="8"/>
  <c r="BA120" i="8"/>
  <c r="AZ120" i="8"/>
  <c r="AX120" i="8"/>
  <c r="AO120" i="8"/>
  <c r="AN120" i="8"/>
  <c r="AM120" i="8"/>
  <c r="Y120" i="8"/>
  <c r="K120" i="8"/>
  <c r="F120" i="8"/>
  <c r="B120" i="8"/>
  <c r="BA119" i="8"/>
  <c r="AZ119" i="8"/>
  <c r="AX119" i="8"/>
  <c r="AO119" i="8"/>
  <c r="AN119" i="8"/>
  <c r="AM119" i="8"/>
  <c r="Y119" i="8"/>
  <c r="K119" i="8"/>
  <c r="F119" i="8"/>
  <c r="B119" i="8"/>
  <c r="BA118" i="8"/>
  <c r="AZ118" i="8"/>
  <c r="AX118" i="8"/>
  <c r="AO118" i="8"/>
  <c r="AN118" i="8"/>
  <c r="AM118" i="8"/>
  <c r="Y118" i="8"/>
  <c r="K118" i="8"/>
  <c r="F118" i="8"/>
  <c r="B118" i="8"/>
  <c r="BA117" i="8"/>
  <c r="AZ117" i="8"/>
  <c r="AX117" i="8"/>
  <c r="AO117" i="8"/>
  <c r="AN117" i="8"/>
  <c r="AM117" i="8"/>
  <c r="Y117" i="8"/>
  <c r="K117" i="8"/>
  <c r="F117" i="8"/>
  <c r="B117" i="8"/>
  <c r="BA116" i="8"/>
  <c r="AZ116" i="8"/>
  <c r="AX116" i="8"/>
  <c r="AO116" i="8"/>
  <c r="AN116" i="8"/>
  <c r="AM116" i="8"/>
  <c r="Y116" i="8"/>
  <c r="K116" i="8"/>
  <c r="F116" i="8"/>
  <c r="B116" i="8"/>
  <c r="BA115" i="8"/>
  <c r="AZ115" i="8"/>
  <c r="AX115" i="8"/>
  <c r="AO115" i="8"/>
  <c r="AN115" i="8"/>
  <c r="AM115" i="8"/>
  <c r="Y115" i="8"/>
  <c r="K115" i="8"/>
  <c r="F115" i="8"/>
  <c r="B115" i="8"/>
  <c r="BA114" i="8"/>
  <c r="AZ114" i="8"/>
  <c r="AX114" i="8"/>
  <c r="AN114" i="8"/>
  <c r="AO114" i="8" s="1"/>
  <c r="AM114" i="8"/>
  <c r="Y114" i="8"/>
  <c r="K114" i="8"/>
  <c r="F114" i="8"/>
  <c r="B114" i="8"/>
  <c r="BA113" i="8"/>
  <c r="AZ113" i="8"/>
  <c r="AX113" i="8"/>
  <c r="AN113" i="8"/>
  <c r="AO113" i="8" s="1"/>
  <c r="AM113" i="8"/>
  <c r="Y113" i="8"/>
  <c r="K113" i="8"/>
  <c r="F113" i="8"/>
  <c r="B113" i="8"/>
  <c r="BA112" i="8"/>
  <c r="AZ112" i="8"/>
  <c r="AX112" i="8"/>
  <c r="AO112" i="8"/>
  <c r="AN112" i="8"/>
  <c r="AM112" i="8"/>
  <c r="Y112" i="8"/>
  <c r="K112" i="8"/>
  <c r="F112" i="8"/>
  <c r="B112" i="8"/>
  <c r="BA111" i="8"/>
  <c r="AZ111" i="8"/>
  <c r="AX111" i="8"/>
  <c r="AO111" i="8"/>
  <c r="AN111" i="8"/>
  <c r="AM111" i="8"/>
  <c r="Y111" i="8"/>
  <c r="K111" i="8"/>
  <c r="F111" i="8"/>
  <c r="B111" i="8"/>
  <c r="BA110" i="8"/>
  <c r="AZ110" i="8"/>
  <c r="AX110" i="8"/>
  <c r="AO110" i="8"/>
  <c r="AN110" i="8"/>
  <c r="AM110" i="8"/>
  <c r="Y110" i="8"/>
  <c r="K110" i="8"/>
  <c r="F110" i="8"/>
  <c r="B110" i="8"/>
  <c r="BA109" i="8"/>
  <c r="AZ109" i="8"/>
  <c r="AX109" i="8"/>
  <c r="AO109" i="8"/>
  <c r="AN109" i="8"/>
  <c r="AM109" i="8"/>
  <c r="Y109" i="8"/>
  <c r="K109" i="8"/>
  <c r="F109" i="8"/>
  <c r="B109" i="8"/>
  <c r="BA108" i="8"/>
  <c r="AZ108" i="8"/>
  <c r="AX108" i="8"/>
  <c r="AO108" i="8"/>
  <c r="AN108" i="8"/>
  <c r="AM108" i="8"/>
  <c r="Y108" i="8"/>
  <c r="K108" i="8"/>
  <c r="F108" i="8"/>
  <c r="B108" i="8"/>
  <c r="BA107" i="8"/>
  <c r="AZ107" i="8"/>
  <c r="AX107" i="8"/>
  <c r="AO107" i="8"/>
  <c r="AN107" i="8"/>
  <c r="AM107" i="8"/>
  <c r="Y107" i="8"/>
  <c r="K107" i="8"/>
  <c r="F107" i="8"/>
  <c r="B107" i="8"/>
  <c r="BA106" i="8"/>
  <c r="AZ106" i="8"/>
  <c r="AX106" i="8"/>
  <c r="AO106" i="8"/>
  <c r="AN106" i="8"/>
  <c r="AM106" i="8"/>
  <c r="Y106" i="8"/>
  <c r="K106" i="8"/>
  <c r="F106" i="8"/>
  <c r="B106" i="8"/>
  <c r="BA105" i="8"/>
  <c r="AZ105" i="8"/>
  <c r="AX105" i="8"/>
  <c r="AO105" i="8"/>
  <c r="AN105" i="8"/>
  <c r="AM105" i="8"/>
  <c r="Y105" i="8"/>
  <c r="K105" i="8"/>
  <c r="F105" i="8"/>
  <c r="B105" i="8"/>
  <c r="BA104" i="8"/>
  <c r="AZ104" i="8"/>
  <c r="AX104" i="8"/>
  <c r="AO104" i="8"/>
  <c r="AN104" i="8"/>
  <c r="AM104" i="8"/>
  <c r="Y104" i="8"/>
  <c r="K104" i="8"/>
  <c r="F104" i="8"/>
  <c r="B104" i="8"/>
  <c r="BA103" i="8"/>
  <c r="AZ103" i="8"/>
  <c r="AX103" i="8"/>
  <c r="AN103" i="8"/>
  <c r="AO103" i="8" s="1"/>
  <c r="AM103" i="8"/>
  <c r="Y103" i="8"/>
  <c r="K103" i="8"/>
  <c r="F103" i="8"/>
  <c r="B103" i="8"/>
  <c r="BA102" i="8"/>
  <c r="AZ102" i="8"/>
  <c r="AX102" i="8"/>
  <c r="AN102" i="8"/>
  <c r="AO102" i="8" s="1"/>
  <c r="AM102" i="8"/>
  <c r="Y102" i="8"/>
  <c r="K102" i="8"/>
  <c r="F102" i="8"/>
  <c r="B102" i="8"/>
  <c r="BA101" i="8"/>
  <c r="AZ101" i="8"/>
  <c r="AX101" i="8"/>
  <c r="AN101" i="8"/>
  <c r="AO101" i="8" s="1"/>
  <c r="AM101" i="8"/>
  <c r="Y101" i="8"/>
  <c r="K101" i="8"/>
  <c r="F101" i="8"/>
  <c r="B101" i="8"/>
  <c r="BA100" i="8"/>
  <c r="AZ100" i="8"/>
  <c r="AX100" i="8"/>
  <c r="AN100" i="8"/>
  <c r="AO100" i="8" s="1"/>
  <c r="AM100" i="8"/>
  <c r="Y100" i="8"/>
  <c r="K100" i="8"/>
  <c r="F100" i="8"/>
  <c r="B100" i="8"/>
  <c r="BA99" i="8"/>
  <c r="AZ99" i="8"/>
  <c r="AX99" i="8"/>
  <c r="AN99" i="8"/>
  <c r="AO99" i="8" s="1"/>
  <c r="AM99" i="8"/>
  <c r="Y99" i="8"/>
  <c r="K99" i="8"/>
  <c r="F99" i="8"/>
  <c r="B99" i="8"/>
  <c r="BA98" i="8"/>
  <c r="AZ98" i="8"/>
  <c r="AX98" i="8"/>
  <c r="AN98" i="8"/>
  <c r="AO98" i="8" s="1"/>
  <c r="AM98" i="8"/>
  <c r="Y98" i="8"/>
  <c r="K98" i="8"/>
  <c r="F98" i="8"/>
  <c r="B98" i="8"/>
  <c r="BA97" i="8"/>
  <c r="AZ97" i="8"/>
  <c r="AX97" i="8"/>
  <c r="AN97" i="8"/>
  <c r="AO97" i="8" s="1"/>
  <c r="AM97" i="8"/>
  <c r="Y97" i="8"/>
  <c r="K97" i="8"/>
  <c r="F97" i="8"/>
  <c r="B97" i="8"/>
  <c r="BA96" i="8"/>
  <c r="AZ96" i="8"/>
  <c r="AX96" i="8"/>
  <c r="AN96" i="8"/>
  <c r="AO96" i="8" s="1"/>
  <c r="AM96" i="8"/>
  <c r="Y96" i="8"/>
  <c r="K96" i="8"/>
  <c r="F96" i="8"/>
  <c r="B96" i="8"/>
  <c r="BA95" i="8"/>
  <c r="AZ95" i="8"/>
  <c r="AX95" i="8"/>
  <c r="AN95" i="8"/>
  <c r="AO95" i="8" s="1"/>
  <c r="AM95" i="8"/>
  <c r="Y95" i="8"/>
  <c r="K95" i="8"/>
  <c r="F95" i="8"/>
  <c r="B95" i="8"/>
  <c r="BA94" i="8"/>
  <c r="AZ94" i="8"/>
  <c r="AX94" i="8"/>
  <c r="AN94" i="8"/>
  <c r="AO94" i="8" s="1"/>
  <c r="AM94" i="8"/>
  <c r="Y94" i="8"/>
  <c r="K94" i="8"/>
  <c r="F94" i="8"/>
  <c r="B94" i="8"/>
  <c r="BA93" i="8"/>
  <c r="AZ93" i="8"/>
  <c r="AX93" i="8"/>
  <c r="AN93" i="8"/>
  <c r="AO93" i="8" s="1"/>
  <c r="AM93" i="8"/>
  <c r="Y93" i="8"/>
  <c r="K93" i="8"/>
  <c r="F93" i="8"/>
  <c r="B93" i="8"/>
  <c r="BA92" i="8"/>
  <c r="AZ92" i="8"/>
  <c r="AX92" i="8"/>
  <c r="AN92" i="8"/>
  <c r="AO92" i="8" s="1"/>
  <c r="AM92" i="8"/>
  <c r="Y92" i="8"/>
  <c r="K92" i="8"/>
  <c r="F92" i="8"/>
  <c r="B92" i="8"/>
  <c r="BA91" i="8"/>
  <c r="AZ91" i="8"/>
  <c r="AX91" i="8"/>
  <c r="AN91" i="8"/>
  <c r="AO91" i="8" s="1"/>
  <c r="AM91" i="8"/>
  <c r="Y91" i="8"/>
  <c r="K91" i="8"/>
  <c r="F91" i="8"/>
  <c r="B91" i="8"/>
  <c r="BA90" i="8"/>
  <c r="AZ90" i="8"/>
  <c r="AX90" i="8"/>
  <c r="AN90" i="8"/>
  <c r="AO90" i="8" s="1"/>
  <c r="AM90" i="8"/>
  <c r="Y90" i="8"/>
  <c r="K90" i="8"/>
  <c r="F90" i="8"/>
  <c r="B90" i="8"/>
  <c r="BA89" i="8"/>
  <c r="AZ89" i="8"/>
  <c r="AX89" i="8"/>
  <c r="AN89" i="8"/>
  <c r="AO89" i="8" s="1"/>
  <c r="AM89" i="8"/>
  <c r="Y89" i="8"/>
  <c r="K89" i="8"/>
  <c r="F89" i="8"/>
  <c r="B89" i="8"/>
  <c r="BA88" i="8"/>
  <c r="AZ88" i="8"/>
  <c r="AX88" i="8"/>
  <c r="AN88" i="8"/>
  <c r="AO88" i="8" s="1"/>
  <c r="AM88" i="8"/>
  <c r="Y88" i="8"/>
  <c r="K88" i="8"/>
  <c r="F88" i="8"/>
  <c r="B88" i="8"/>
  <c r="BA87" i="8"/>
  <c r="AZ87" i="8"/>
  <c r="AX87" i="8"/>
  <c r="AN87" i="8"/>
  <c r="AO87" i="8" s="1"/>
  <c r="AM87" i="8"/>
  <c r="Y87" i="8"/>
  <c r="K87" i="8"/>
  <c r="F87" i="8"/>
  <c r="B87" i="8"/>
  <c r="BA86" i="8"/>
  <c r="AZ86" i="8"/>
  <c r="AX86" i="8"/>
  <c r="AN86" i="8"/>
  <c r="AO86" i="8" s="1"/>
  <c r="AM86" i="8"/>
  <c r="Y86" i="8"/>
  <c r="K86" i="8"/>
  <c r="F86" i="8"/>
  <c r="B86" i="8"/>
  <c r="BA85" i="8"/>
  <c r="AZ85" i="8"/>
  <c r="AX85" i="8"/>
  <c r="AN85" i="8"/>
  <c r="AO85" i="8" s="1"/>
  <c r="AM85" i="8"/>
  <c r="Y85" i="8"/>
  <c r="K85" i="8"/>
  <c r="F85" i="8"/>
  <c r="B85" i="8"/>
  <c r="BA84" i="8"/>
  <c r="AZ84" i="8"/>
  <c r="AX84" i="8"/>
  <c r="AN84" i="8"/>
  <c r="AO84" i="8" s="1"/>
  <c r="AM84" i="8"/>
  <c r="Y84" i="8"/>
  <c r="K84" i="8"/>
  <c r="F84" i="8"/>
  <c r="B84" i="8"/>
  <c r="BA83" i="8"/>
  <c r="AZ83" i="8"/>
  <c r="AX83" i="8"/>
  <c r="AN83" i="8"/>
  <c r="AO83" i="8" s="1"/>
  <c r="AM83" i="8"/>
  <c r="Y83" i="8"/>
  <c r="K83" i="8"/>
  <c r="F83" i="8"/>
  <c r="B83" i="8"/>
  <c r="BA82" i="8"/>
  <c r="AZ82" i="8"/>
  <c r="AX82" i="8"/>
  <c r="AN82" i="8"/>
  <c r="AO82" i="8" s="1"/>
  <c r="AM82" i="8"/>
  <c r="Y82" i="8"/>
  <c r="K82" i="8"/>
  <c r="F82" i="8"/>
  <c r="B82" i="8"/>
  <c r="BA81" i="8"/>
  <c r="AZ81" i="8"/>
  <c r="AX81" i="8"/>
  <c r="AN81" i="8"/>
  <c r="AO81" i="8" s="1"/>
  <c r="AM81" i="8"/>
  <c r="Y81" i="8"/>
  <c r="K81" i="8"/>
  <c r="F81" i="8"/>
  <c r="B81" i="8"/>
  <c r="BA80" i="8"/>
  <c r="AZ80" i="8"/>
  <c r="AX80" i="8"/>
  <c r="AN80" i="8"/>
  <c r="AO80" i="8" s="1"/>
  <c r="AM80" i="8"/>
  <c r="Y80" i="8"/>
  <c r="K80" i="8"/>
  <c r="F80" i="8"/>
  <c r="B80" i="8"/>
  <c r="BA79" i="8"/>
  <c r="AZ79" i="8"/>
  <c r="AX79" i="8"/>
  <c r="AN79" i="8"/>
  <c r="AO79" i="8" s="1"/>
  <c r="AM79" i="8"/>
  <c r="Y79" i="8"/>
  <c r="K79" i="8"/>
  <c r="F79" i="8"/>
  <c r="B79" i="8"/>
  <c r="BA78" i="8"/>
  <c r="AZ78" i="8"/>
  <c r="AX78" i="8"/>
  <c r="AN78" i="8"/>
  <c r="AO78" i="8" s="1"/>
  <c r="AM78" i="8"/>
  <c r="Y78" i="8"/>
  <c r="K78" i="8"/>
  <c r="F78" i="8"/>
  <c r="B78" i="8"/>
  <c r="BA77" i="8"/>
  <c r="AZ77" i="8"/>
  <c r="AX77" i="8"/>
  <c r="AN77" i="8"/>
  <c r="AO77" i="8" s="1"/>
  <c r="AM77" i="8"/>
  <c r="Y77" i="8"/>
  <c r="K77" i="8"/>
  <c r="F77" i="8"/>
  <c r="B77" i="8"/>
  <c r="BA76" i="8"/>
  <c r="AZ76" i="8"/>
  <c r="AX76" i="8"/>
  <c r="AN76" i="8"/>
  <c r="AO76" i="8" s="1"/>
  <c r="AM76" i="8"/>
  <c r="Y76" i="8"/>
  <c r="K76" i="8"/>
  <c r="F76" i="8"/>
  <c r="B76" i="8"/>
  <c r="BA75" i="8"/>
  <c r="AZ75" i="8"/>
  <c r="AX75" i="8"/>
  <c r="AN75" i="8"/>
  <c r="AO75" i="8" s="1"/>
  <c r="AM75" i="8"/>
  <c r="Y75" i="8"/>
  <c r="K75" i="8"/>
  <c r="F75" i="8"/>
  <c r="B75" i="8"/>
  <c r="BA74" i="8"/>
  <c r="AZ74" i="8"/>
  <c r="AX74" i="8"/>
  <c r="AN74" i="8"/>
  <c r="AO74" i="8" s="1"/>
  <c r="AM74" i="8"/>
  <c r="Y74" i="8"/>
  <c r="K74" i="8"/>
  <c r="F74" i="8"/>
  <c r="B74" i="8"/>
  <c r="BA73" i="8"/>
  <c r="AZ73" i="8"/>
  <c r="AX73" i="8"/>
  <c r="AN73" i="8"/>
  <c r="AO73" i="8" s="1"/>
  <c r="AM73" i="8"/>
  <c r="Y73" i="8"/>
  <c r="K73" i="8"/>
  <c r="F73" i="8"/>
  <c r="B73" i="8"/>
  <c r="BA72" i="8"/>
  <c r="AZ72" i="8"/>
  <c r="AX72" i="8"/>
  <c r="AN72" i="8"/>
  <c r="AO72" i="8" s="1"/>
  <c r="AM72" i="8"/>
  <c r="Y72" i="8"/>
  <c r="K72" i="8"/>
  <c r="F72" i="8"/>
  <c r="B72" i="8"/>
  <c r="BA71" i="8"/>
  <c r="AZ71" i="8"/>
  <c r="AX71" i="8"/>
  <c r="AN71" i="8"/>
  <c r="AO71" i="8" s="1"/>
  <c r="AM71" i="8"/>
  <c r="Y71" i="8"/>
  <c r="K71" i="8"/>
  <c r="F71" i="8"/>
  <c r="B71" i="8"/>
  <c r="BA70" i="8"/>
  <c r="AZ70" i="8"/>
  <c r="AX70" i="8"/>
  <c r="AN70" i="8"/>
  <c r="AO70" i="8" s="1"/>
  <c r="AM70" i="8"/>
  <c r="Y70" i="8"/>
  <c r="K70" i="8"/>
  <c r="F70" i="8"/>
  <c r="B70" i="8"/>
  <c r="BA69" i="8"/>
  <c r="AZ69" i="8"/>
  <c r="AX69" i="8"/>
  <c r="AN69" i="8"/>
  <c r="AO69" i="8" s="1"/>
  <c r="AM69" i="8"/>
  <c r="Y69" i="8"/>
  <c r="K69" i="8"/>
  <c r="F69" i="8"/>
  <c r="B69" i="8"/>
  <c r="BA68" i="8"/>
  <c r="AZ68" i="8"/>
  <c r="AX68" i="8"/>
  <c r="AN68" i="8"/>
  <c r="AO68" i="8" s="1"/>
  <c r="AM68" i="8"/>
  <c r="Y68" i="8"/>
  <c r="K68" i="8"/>
  <c r="F68" i="8"/>
  <c r="B68" i="8"/>
  <c r="BA67" i="8"/>
  <c r="AZ67" i="8"/>
  <c r="AX67" i="8"/>
  <c r="AN67" i="8"/>
  <c r="AO67" i="8" s="1"/>
  <c r="AM67" i="8"/>
  <c r="Y67" i="8"/>
  <c r="K67" i="8"/>
  <c r="F67" i="8"/>
  <c r="B67" i="8"/>
  <c r="BA66" i="8"/>
  <c r="AZ66" i="8"/>
  <c r="AX66" i="8"/>
  <c r="AN66" i="8"/>
  <c r="AO66" i="8" s="1"/>
  <c r="AM66" i="8"/>
  <c r="Y66" i="8"/>
  <c r="K66" i="8"/>
  <c r="F66" i="8"/>
  <c r="B66" i="8"/>
  <c r="BA65" i="8"/>
  <c r="AZ65" i="8"/>
  <c r="AX65" i="8"/>
  <c r="AN65" i="8"/>
  <c r="AO65" i="8" s="1"/>
  <c r="AM65" i="8"/>
  <c r="Y65" i="8"/>
  <c r="K65" i="8"/>
  <c r="F65" i="8"/>
  <c r="B65" i="8"/>
  <c r="BA64" i="8"/>
  <c r="AZ64" i="8"/>
  <c r="AX64" i="8"/>
  <c r="AN64" i="8"/>
  <c r="AO64" i="8" s="1"/>
  <c r="AM64" i="8"/>
  <c r="Y64" i="8"/>
  <c r="K64" i="8"/>
  <c r="F64" i="8"/>
  <c r="B64" i="8"/>
  <c r="BA63" i="8"/>
  <c r="AZ63" i="8"/>
  <c r="AX63" i="8"/>
  <c r="AN63" i="8"/>
  <c r="AO63" i="8" s="1"/>
  <c r="AM63" i="8"/>
  <c r="Y63" i="8"/>
  <c r="K63" i="8"/>
  <c r="F63" i="8"/>
  <c r="B63" i="8"/>
  <c r="BA62" i="8"/>
  <c r="AZ62" i="8"/>
  <c r="AX62" i="8"/>
  <c r="AN62" i="8"/>
  <c r="AO62" i="8" s="1"/>
  <c r="AM62" i="8"/>
  <c r="Y62" i="8"/>
  <c r="K62" i="8"/>
  <c r="F62" i="8"/>
  <c r="B62" i="8"/>
  <c r="BA61" i="8"/>
  <c r="AZ61" i="8"/>
  <c r="AX61" i="8"/>
  <c r="AN61" i="8"/>
  <c r="AO61" i="8" s="1"/>
  <c r="AM61" i="8"/>
  <c r="Y61" i="8"/>
  <c r="K61" i="8"/>
  <c r="F61" i="8"/>
  <c r="B61" i="8"/>
  <c r="BA60" i="8"/>
  <c r="AZ60" i="8"/>
  <c r="AX60" i="8"/>
  <c r="AN60" i="8"/>
  <c r="AO60" i="8" s="1"/>
  <c r="AM60" i="8"/>
  <c r="Y60" i="8"/>
  <c r="K60" i="8"/>
  <c r="F60" i="8"/>
  <c r="B60" i="8"/>
  <c r="BA59" i="8"/>
  <c r="AZ59" i="8"/>
  <c r="AX59" i="8"/>
  <c r="AN59" i="8"/>
  <c r="AO59" i="8" s="1"/>
  <c r="AM59" i="8"/>
  <c r="Y59" i="8"/>
  <c r="K59" i="8"/>
  <c r="F59" i="8"/>
  <c r="B59" i="8"/>
  <c r="BA58" i="8"/>
  <c r="AZ58" i="8"/>
  <c r="AX58" i="8"/>
  <c r="AN58" i="8"/>
  <c r="AO58" i="8" s="1"/>
  <c r="AM58" i="8"/>
  <c r="Y58" i="8"/>
  <c r="K58" i="8"/>
  <c r="F58" i="8"/>
  <c r="B58" i="8"/>
  <c r="BA57" i="8"/>
  <c r="AZ57" i="8"/>
  <c r="AX57" i="8"/>
  <c r="AN57" i="8"/>
  <c r="AO57" i="8" s="1"/>
  <c r="AM57" i="8"/>
  <c r="Y57" i="8"/>
  <c r="K57" i="8"/>
  <c r="F57" i="8"/>
  <c r="B57" i="8"/>
  <c r="BA56" i="8"/>
  <c r="AZ56" i="8"/>
  <c r="AX56" i="8"/>
  <c r="AN56" i="8"/>
  <c r="AO56" i="8" s="1"/>
  <c r="AM56" i="8"/>
  <c r="Y56" i="8"/>
  <c r="K56" i="8"/>
  <c r="F56" i="8"/>
  <c r="B56" i="8"/>
  <c r="BA55" i="8"/>
  <c r="AZ55" i="8"/>
  <c r="AX55" i="8"/>
  <c r="AN55" i="8"/>
  <c r="AO55" i="8" s="1"/>
  <c r="AM55" i="8"/>
  <c r="Y55" i="8"/>
  <c r="K55" i="8"/>
  <c r="F55" i="8"/>
  <c r="B55" i="8"/>
  <c r="BA54" i="8"/>
  <c r="AZ54" i="8"/>
  <c r="AX54" i="8"/>
  <c r="AN54" i="8"/>
  <c r="AO54" i="8" s="1"/>
  <c r="AM54" i="8"/>
  <c r="Y54" i="8"/>
  <c r="K54" i="8"/>
  <c r="F54" i="8"/>
  <c r="B54" i="8"/>
  <c r="BA53" i="8"/>
  <c r="AZ53" i="8"/>
  <c r="AX53" i="8"/>
  <c r="AN53" i="8"/>
  <c r="AO53" i="8" s="1"/>
  <c r="AM53" i="8"/>
  <c r="Y53" i="8"/>
  <c r="K53" i="8"/>
  <c r="F53" i="8"/>
  <c r="B53" i="8"/>
  <c r="BA52" i="8"/>
  <c r="AZ52" i="8"/>
  <c r="AX52" i="8"/>
  <c r="AN52" i="8"/>
  <c r="AO52" i="8" s="1"/>
  <c r="AM52" i="8"/>
  <c r="Y52" i="8"/>
  <c r="K52" i="8"/>
  <c r="F52" i="8"/>
  <c r="B52" i="8"/>
  <c r="BA51" i="8"/>
  <c r="AZ51" i="8"/>
  <c r="AX51" i="8"/>
  <c r="AN51" i="8"/>
  <c r="AO51" i="8" s="1"/>
  <c r="AM51" i="8"/>
  <c r="Y51" i="8"/>
  <c r="K51" i="8"/>
  <c r="F51" i="8"/>
  <c r="B51" i="8"/>
  <c r="BA50" i="8"/>
  <c r="AZ50" i="8"/>
  <c r="AX50" i="8"/>
  <c r="AN50" i="8"/>
  <c r="AO50" i="8" s="1"/>
  <c r="AM50" i="8"/>
  <c r="Y50" i="8"/>
  <c r="K50" i="8"/>
  <c r="F50" i="8"/>
  <c r="B50" i="8"/>
  <c r="BA49" i="8"/>
  <c r="AZ49" i="8"/>
  <c r="AX49" i="8"/>
  <c r="AN49" i="8"/>
  <c r="AO49" i="8" s="1"/>
  <c r="AM49" i="8"/>
  <c r="Y49" i="8"/>
  <c r="K49" i="8"/>
  <c r="F49" i="8"/>
  <c r="B49" i="8"/>
  <c r="BA48" i="8"/>
  <c r="AZ48" i="8"/>
  <c r="AX48" i="8"/>
  <c r="AN48" i="8"/>
  <c r="AO48" i="8" s="1"/>
  <c r="AM48" i="8"/>
  <c r="Y48" i="8"/>
  <c r="K48" i="8"/>
  <c r="F48" i="8"/>
  <c r="B48" i="8"/>
  <c r="BA47" i="8"/>
  <c r="AZ47" i="8"/>
  <c r="AX47" i="8"/>
  <c r="AN47" i="8"/>
  <c r="AO47" i="8" s="1"/>
  <c r="AM47" i="8"/>
  <c r="Y47" i="8"/>
  <c r="K47" i="8"/>
  <c r="F47" i="8"/>
  <c r="B47" i="8"/>
  <c r="BA46" i="8"/>
  <c r="AZ46" i="8"/>
  <c r="AX46" i="8"/>
  <c r="AN46" i="8"/>
  <c r="AO46" i="8" s="1"/>
  <c r="AM46" i="8"/>
  <c r="Y46" i="8"/>
  <c r="K46" i="8"/>
  <c r="F46" i="8"/>
  <c r="B46" i="8"/>
  <c r="BA45" i="8"/>
  <c r="AZ45" i="8"/>
  <c r="AX45" i="8"/>
  <c r="AN45" i="8"/>
  <c r="AO45" i="8" s="1"/>
  <c r="AM45" i="8"/>
  <c r="Y45" i="8"/>
  <c r="K45" i="8"/>
  <c r="F45" i="8"/>
  <c r="B45" i="8"/>
  <c r="BA44" i="8"/>
  <c r="AZ44" i="8"/>
  <c r="AX44" i="8"/>
  <c r="AN44" i="8"/>
  <c r="AO44" i="8" s="1"/>
  <c r="AM44" i="8"/>
  <c r="Y44" i="8"/>
  <c r="K44" i="8"/>
  <c r="F44" i="8"/>
  <c r="B44" i="8"/>
  <c r="BA43" i="8"/>
  <c r="AZ43" i="8"/>
  <c r="AX43" i="8"/>
  <c r="AN43" i="8"/>
  <c r="AO43" i="8" s="1"/>
  <c r="AM43" i="8"/>
  <c r="Y43" i="8"/>
  <c r="K43" i="8"/>
  <c r="F43" i="8"/>
  <c r="B43" i="8"/>
  <c r="BA42" i="8"/>
  <c r="AZ42" i="8"/>
  <c r="AX42" i="8"/>
  <c r="AN42" i="8"/>
  <c r="AO42" i="8" s="1"/>
  <c r="AM42" i="8"/>
  <c r="Y42" i="8"/>
  <c r="K42" i="8"/>
  <c r="F42" i="8"/>
  <c r="B42" i="8"/>
  <c r="BA41" i="8"/>
  <c r="AZ41" i="8"/>
  <c r="AX41" i="8"/>
  <c r="AN41" i="8"/>
  <c r="AO41" i="8" s="1"/>
  <c r="AM41" i="8"/>
  <c r="Y41" i="8"/>
  <c r="K41" i="8"/>
  <c r="F41" i="8"/>
  <c r="B41" i="8"/>
  <c r="BA40" i="8"/>
  <c r="AZ40" i="8"/>
  <c r="AX40" i="8"/>
  <c r="AN40" i="8"/>
  <c r="AO40" i="8" s="1"/>
  <c r="AM40" i="8"/>
  <c r="Y40" i="8"/>
  <c r="K40" i="8"/>
  <c r="F40" i="8"/>
  <c r="B40" i="8"/>
  <c r="BA39" i="8"/>
  <c r="AZ39" i="8"/>
  <c r="AX39" i="8"/>
  <c r="AN39" i="8"/>
  <c r="AO39" i="8" s="1"/>
  <c r="AM39" i="8"/>
  <c r="Y39" i="8"/>
  <c r="K39" i="8"/>
  <c r="F39" i="8"/>
  <c r="B39" i="8"/>
  <c r="BA38" i="8"/>
  <c r="AZ38" i="8"/>
  <c r="AX38" i="8"/>
  <c r="AN38" i="8"/>
  <c r="AO38" i="8" s="1"/>
  <c r="AM38" i="8"/>
  <c r="Y38" i="8"/>
  <c r="K38" i="8"/>
  <c r="F38" i="8"/>
  <c r="B38" i="8"/>
  <c r="BA37" i="8"/>
  <c r="AZ37" i="8"/>
  <c r="AX37" i="8"/>
  <c r="AN37" i="8"/>
  <c r="AO37" i="8" s="1"/>
  <c r="AM37" i="8"/>
  <c r="Y37" i="8"/>
  <c r="K37" i="8"/>
  <c r="F37" i="8"/>
  <c r="B37" i="8"/>
  <c r="BA36" i="8"/>
  <c r="AZ36" i="8"/>
  <c r="AX36" i="8"/>
  <c r="AN36" i="8"/>
  <c r="AO36" i="8" s="1"/>
  <c r="AM36" i="8"/>
  <c r="Y36" i="8"/>
  <c r="K36" i="8"/>
  <c r="F36" i="8"/>
  <c r="B36" i="8"/>
  <c r="BA35" i="8"/>
  <c r="AZ35" i="8"/>
  <c r="AX35" i="8"/>
  <c r="AN35" i="8"/>
  <c r="AO35" i="8" s="1"/>
  <c r="AM35" i="8"/>
  <c r="Y35" i="8"/>
  <c r="K35" i="8"/>
  <c r="F35" i="8"/>
  <c r="B35" i="8"/>
  <c r="BA34" i="8"/>
  <c r="AZ34" i="8"/>
  <c r="AX34" i="8"/>
  <c r="AN34" i="8"/>
  <c r="AO34" i="8" s="1"/>
  <c r="AM34" i="8"/>
  <c r="Y34" i="8"/>
  <c r="K34" i="8"/>
  <c r="F34" i="8"/>
  <c r="B34" i="8"/>
  <c r="BA33" i="8"/>
  <c r="AZ33" i="8"/>
  <c r="AX33" i="8"/>
  <c r="AN33" i="8"/>
  <c r="AO33" i="8" s="1"/>
  <c r="AM33" i="8"/>
  <c r="Y33" i="8"/>
  <c r="K33" i="8"/>
  <c r="F33" i="8"/>
  <c r="B33" i="8"/>
  <c r="BA32" i="8"/>
  <c r="AZ32" i="8"/>
  <c r="AX32" i="8"/>
  <c r="AN32" i="8"/>
  <c r="AO32" i="8" s="1"/>
  <c r="AM32" i="8"/>
  <c r="Y32" i="8"/>
  <c r="K32" i="8"/>
  <c r="F32" i="8"/>
  <c r="B32" i="8"/>
  <c r="BA31" i="8"/>
  <c r="AZ31" i="8"/>
  <c r="AX31" i="8"/>
  <c r="AN31" i="8"/>
  <c r="AO31" i="8" s="1"/>
  <c r="AM31" i="8"/>
  <c r="Y31" i="8"/>
  <c r="K31" i="8"/>
  <c r="F31" i="8"/>
  <c r="B31" i="8"/>
  <c r="BA30" i="8"/>
  <c r="AZ30" i="8"/>
  <c r="AX30" i="8"/>
  <c r="AN30" i="8"/>
  <c r="AO30" i="8" s="1"/>
  <c r="AM30" i="8"/>
  <c r="Y30" i="8"/>
  <c r="K30" i="8"/>
  <c r="F30" i="8"/>
  <c r="B30" i="8"/>
  <c r="BA29" i="8"/>
  <c r="AZ29" i="8"/>
  <c r="AX29" i="8"/>
  <c r="AN29" i="8"/>
  <c r="AO29" i="8" s="1"/>
  <c r="AM29" i="8"/>
  <c r="Y29" i="8"/>
  <c r="K29" i="8"/>
  <c r="F29" i="8"/>
  <c r="B29" i="8"/>
  <c r="BA28" i="8"/>
  <c r="AZ28" i="8"/>
  <c r="AX28" i="8"/>
  <c r="AN28" i="8"/>
  <c r="AO28" i="8" s="1"/>
  <c r="AM28" i="8"/>
  <c r="Y28" i="8"/>
  <c r="K28" i="8"/>
  <c r="F28" i="8"/>
  <c r="B28" i="8"/>
  <c r="BA27" i="8"/>
  <c r="AZ27" i="8"/>
  <c r="AX27" i="8"/>
  <c r="AN27" i="8"/>
  <c r="AO27" i="8" s="1"/>
  <c r="AM27" i="8"/>
  <c r="Y27" i="8"/>
  <c r="K27" i="8"/>
  <c r="F27" i="8"/>
  <c r="B27" i="8"/>
  <c r="BA26" i="8"/>
  <c r="AZ26" i="8"/>
  <c r="AX26" i="8"/>
  <c r="AN26" i="8"/>
  <c r="AO26" i="8" s="1"/>
  <c r="AM26" i="8"/>
  <c r="Y26" i="8"/>
  <c r="K26" i="8"/>
  <c r="F26" i="8"/>
  <c r="B26" i="8"/>
  <c r="BA25" i="8"/>
  <c r="AZ25" i="8"/>
  <c r="AX25" i="8"/>
  <c r="AN25" i="8"/>
  <c r="AO25" i="8" s="1"/>
  <c r="AM25" i="8"/>
  <c r="Y25" i="8"/>
  <c r="K25" i="8"/>
  <c r="F25" i="8"/>
  <c r="B25" i="8"/>
  <c r="BA24" i="8"/>
  <c r="AZ24" i="8"/>
  <c r="AX24" i="8"/>
  <c r="AN24" i="8"/>
  <c r="AO24" i="8" s="1"/>
  <c r="AM24" i="8"/>
  <c r="Y24" i="8"/>
  <c r="K24" i="8"/>
  <c r="F24" i="8"/>
  <c r="B24" i="8"/>
  <c r="BA23" i="8"/>
  <c r="AZ23" i="8"/>
  <c r="AX23" i="8"/>
  <c r="AN23" i="8"/>
  <c r="AO23" i="8" s="1"/>
  <c r="AM23" i="8"/>
  <c r="Y23" i="8"/>
  <c r="K23" i="8"/>
  <c r="F23" i="8"/>
  <c r="B23" i="8"/>
  <c r="BA22" i="8"/>
  <c r="AZ22" i="8"/>
  <c r="AX22" i="8"/>
  <c r="AN22" i="8"/>
  <c r="AO22" i="8" s="1"/>
  <c r="AM22" i="8"/>
  <c r="Y22" i="8"/>
  <c r="K22" i="8"/>
  <c r="F22" i="8"/>
  <c r="B22" i="8"/>
  <c r="BA21" i="8"/>
  <c r="AZ21" i="8"/>
  <c r="AX21" i="8"/>
  <c r="AN21" i="8"/>
  <c r="AO21" i="8" s="1"/>
  <c r="AM21" i="8"/>
  <c r="Y21" i="8"/>
  <c r="K21" i="8"/>
  <c r="F21" i="8"/>
  <c r="B21" i="8"/>
  <c r="BA20" i="8"/>
  <c r="AZ20" i="8"/>
  <c r="AX20" i="8"/>
  <c r="AN20" i="8"/>
  <c r="AO20" i="8" s="1"/>
  <c r="AM20" i="8"/>
  <c r="Y20" i="8"/>
  <c r="K20" i="8"/>
  <c r="F20" i="8"/>
  <c r="B20" i="8"/>
  <c r="BA19" i="8"/>
  <c r="AZ19" i="8"/>
  <c r="AX19" i="8"/>
  <c r="AN19" i="8"/>
  <c r="AO19" i="8" s="1"/>
  <c r="AM19" i="8"/>
  <c r="Y19" i="8"/>
  <c r="K19" i="8"/>
  <c r="F19" i="8"/>
  <c r="B19" i="8"/>
  <c r="BA18" i="8"/>
  <c r="AZ18" i="8"/>
  <c r="AX18" i="8"/>
  <c r="AN18" i="8"/>
  <c r="AO18" i="8" s="1"/>
  <c r="AM18" i="8"/>
  <c r="Y18" i="8"/>
  <c r="K18" i="8"/>
  <c r="F18" i="8"/>
  <c r="B18" i="8"/>
  <c r="BA17" i="8"/>
  <c r="AZ17" i="8"/>
  <c r="AX17" i="8"/>
  <c r="AN17" i="8"/>
  <c r="AO17" i="8" s="1"/>
  <c r="AM17" i="8"/>
  <c r="Y17" i="8"/>
  <c r="K17" i="8"/>
  <c r="F17" i="8"/>
  <c r="B17" i="8"/>
  <c r="BA16" i="8"/>
  <c r="AZ16" i="8"/>
  <c r="AX16" i="8"/>
  <c r="AN16" i="8"/>
  <c r="AO16" i="8" s="1"/>
  <c r="AM16" i="8"/>
  <c r="Y16" i="8"/>
  <c r="K16" i="8"/>
  <c r="F16" i="8"/>
  <c r="B16" i="8"/>
  <c r="BA15" i="8"/>
  <c r="AZ15" i="8"/>
  <c r="AX15" i="8"/>
  <c r="AO15" i="8"/>
  <c r="AN15" i="8"/>
  <c r="AM15" i="8"/>
  <c r="Y15" i="8"/>
  <c r="K15" i="8"/>
  <c r="F15" i="8"/>
  <c r="B15" i="8"/>
  <c r="BA14" i="8"/>
  <c r="AZ14" i="8"/>
  <c r="AX14" i="8"/>
  <c r="AO14" i="8"/>
  <c r="AN14" i="8"/>
  <c r="AM14" i="8"/>
  <c r="Y14" i="8"/>
  <c r="K14" i="8"/>
  <c r="F14" i="8"/>
  <c r="B14" i="8"/>
  <c r="BA13" i="8"/>
  <c r="AZ13" i="8"/>
  <c r="AX13" i="8"/>
  <c r="AN13" i="8"/>
  <c r="AO13" i="8" s="1"/>
  <c r="AM13" i="8"/>
  <c r="Y13" i="8"/>
  <c r="K13" i="8"/>
  <c r="F13" i="8"/>
  <c r="B13" i="8"/>
  <c r="BA12" i="8"/>
  <c r="AZ12" i="8"/>
  <c r="AX12" i="8"/>
  <c r="AO12" i="8"/>
  <c r="AN12" i="8"/>
  <c r="AM12" i="8"/>
  <c r="Y12" i="8"/>
  <c r="K12" i="8"/>
  <c r="F12" i="8"/>
  <c r="B12" i="8"/>
  <c r="BA11" i="8"/>
  <c r="AZ11" i="8"/>
  <c r="AX11" i="8"/>
  <c r="AN11" i="8"/>
  <c r="AO11" i="8" s="1"/>
  <c r="AM11" i="8"/>
  <c r="Y11" i="8"/>
  <c r="K11" i="8"/>
  <c r="F11" i="8"/>
  <c r="B11" i="8"/>
  <c r="BA10" i="8"/>
  <c r="AZ10" i="8"/>
  <c r="AX10" i="8"/>
  <c r="AO10" i="8"/>
  <c r="AN10" i="8"/>
  <c r="AM10" i="8"/>
  <c r="Y10" i="8"/>
  <c r="K10" i="8"/>
  <c r="F10" i="8"/>
  <c r="B10" i="8"/>
  <c r="BA9" i="8"/>
  <c r="AZ9" i="8"/>
  <c r="AX9" i="8"/>
  <c r="AO9" i="8"/>
  <c r="AN9" i="8"/>
  <c r="AM9" i="8"/>
  <c r="Y9" i="8"/>
  <c r="K9" i="8"/>
  <c r="F9" i="8"/>
  <c r="B9" i="8"/>
  <c r="BA8" i="8"/>
  <c r="AZ8" i="8"/>
  <c r="AX8" i="8"/>
  <c r="AN8" i="8"/>
  <c r="AO8" i="8" s="1"/>
  <c r="AM8" i="8"/>
  <c r="Y8" i="8"/>
  <c r="K8" i="8"/>
  <c r="F8" i="8"/>
  <c r="B8" i="8"/>
  <c r="BA7" i="8"/>
  <c r="AZ7" i="8"/>
  <c r="AX7" i="8"/>
  <c r="AN7" i="8"/>
  <c r="AO7" i="8" s="1"/>
  <c r="AM7" i="8"/>
  <c r="Y7" i="8"/>
  <c r="K7" i="8"/>
  <c r="F7" i="8"/>
  <c r="B7" i="8"/>
  <c r="BA6" i="8"/>
  <c r="AZ6" i="8"/>
  <c r="AX6" i="8"/>
  <c r="AN6" i="8"/>
  <c r="AO6" i="8" s="1"/>
  <c r="AM6" i="8"/>
  <c r="Y6" i="8"/>
  <c r="K6" i="8"/>
  <c r="F6" i="8"/>
  <c r="B6" i="8"/>
  <c r="BA5" i="8"/>
  <c r="AZ5" i="8"/>
  <c r="AX5" i="8"/>
  <c r="AO5" i="8"/>
  <c r="AN5" i="8"/>
  <c r="AM5" i="8"/>
  <c r="Y5" i="8"/>
  <c r="K5" i="8"/>
  <c r="F5" i="8"/>
  <c r="B5" i="8"/>
  <c r="AM37" i="7"/>
  <c r="AN37" i="7" s="1"/>
  <c r="AL37" i="7"/>
  <c r="Y37" i="7"/>
  <c r="P37" i="7"/>
  <c r="M37" i="7"/>
  <c r="N37" i="7" s="1"/>
  <c r="AY37" i="7" s="1"/>
  <c r="K37" i="7"/>
  <c r="F37" i="7"/>
  <c r="B37" i="7"/>
  <c r="AM36" i="7"/>
  <c r="AN36" i="7" s="1"/>
  <c r="AL36" i="7"/>
  <c r="Y36" i="7"/>
  <c r="P36" i="7"/>
  <c r="M36" i="7"/>
  <c r="N36" i="7" s="1"/>
  <c r="AY36" i="7" s="1"/>
  <c r="K36" i="7"/>
  <c r="F36" i="7"/>
  <c r="B36" i="7"/>
  <c r="AL35" i="7"/>
  <c r="Y35" i="7"/>
  <c r="P35" i="7"/>
  <c r="M35" i="7"/>
  <c r="N35" i="7" s="1"/>
  <c r="AY35" i="7" s="1"/>
  <c r="K35" i="7"/>
  <c r="F35" i="7"/>
  <c r="B35" i="7"/>
  <c r="AM34" i="7"/>
  <c r="AN34" i="7" s="1"/>
  <c r="AL34" i="7"/>
  <c r="Y34" i="7"/>
  <c r="P34" i="7"/>
  <c r="M34" i="7"/>
  <c r="N34" i="7" s="1"/>
  <c r="AY34" i="7" s="1"/>
  <c r="K34" i="7"/>
  <c r="F34" i="7"/>
  <c r="B34" i="7"/>
  <c r="AM33" i="7"/>
  <c r="AN33" i="7" s="1"/>
  <c r="AL33" i="7"/>
  <c r="Y33" i="7"/>
  <c r="P33" i="7"/>
  <c r="M33" i="7"/>
  <c r="N33" i="7" s="1"/>
  <c r="AY33" i="7" s="1"/>
  <c r="K33" i="7"/>
  <c r="F33" i="7"/>
  <c r="B33" i="7"/>
  <c r="AM32" i="7"/>
  <c r="AN32" i="7" s="1"/>
  <c r="AL32" i="7"/>
  <c r="Y32" i="7"/>
  <c r="P32" i="7"/>
  <c r="M32" i="7"/>
  <c r="N32" i="7" s="1"/>
  <c r="AY32" i="7" s="1"/>
  <c r="K32" i="7"/>
  <c r="F32" i="7"/>
  <c r="B32" i="7"/>
  <c r="AM31" i="7"/>
  <c r="AN31" i="7" s="1"/>
  <c r="AL31" i="7"/>
  <c r="Y31" i="7"/>
  <c r="P31" i="7"/>
  <c r="M31" i="7"/>
  <c r="N31" i="7" s="1"/>
  <c r="AY31" i="7" s="1"/>
  <c r="K31" i="7"/>
  <c r="F31" i="7"/>
  <c r="B31" i="7"/>
  <c r="AM30" i="7"/>
  <c r="AN30" i="7" s="1"/>
  <c r="AL30" i="7"/>
  <c r="Y30" i="7"/>
  <c r="P30" i="7"/>
  <c r="M30" i="7"/>
  <c r="N30" i="7" s="1"/>
  <c r="AY30" i="7" s="1"/>
  <c r="K30" i="7"/>
  <c r="F30" i="7"/>
  <c r="B30" i="7"/>
  <c r="AM29" i="7"/>
  <c r="AN29" i="7" s="1"/>
  <c r="AL29" i="7"/>
  <c r="Y29" i="7"/>
  <c r="P29" i="7"/>
  <c r="M29" i="7"/>
  <c r="N29" i="7" s="1"/>
  <c r="AY29" i="7" s="1"/>
  <c r="K29" i="7"/>
  <c r="F29" i="7"/>
  <c r="B29" i="7"/>
  <c r="AM28" i="7"/>
  <c r="AN28" i="7" s="1"/>
  <c r="AL28" i="7"/>
  <c r="Y28" i="7"/>
  <c r="P28" i="7"/>
  <c r="M28" i="7"/>
  <c r="N28" i="7" s="1"/>
  <c r="AY28" i="7" s="1"/>
  <c r="K28" i="7"/>
  <c r="F28" i="7"/>
  <c r="B28" i="7"/>
  <c r="AM27" i="7"/>
  <c r="AN27" i="7" s="1"/>
  <c r="AL27" i="7"/>
  <c r="Y27" i="7"/>
  <c r="P27" i="7"/>
  <c r="M27" i="7"/>
  <c r="N27" i="7" s="1"/>
  <c r="AY27" i="7" s="1"/>
  <c r="K27" i="7"/>
  <c r="F27" i="7"/>
  <c r="B27" i="7"/>
  <c r="AL26" i="7"/>
  <c r="Y26" i="7"/>
  <c r="P26" i="7"/>
  <c r="M26" i="7"/>
  <c r="N26" i="7" s="1"/>
  <c r="AY26" i="7" s="1"/>
  <c r="K26" i="7"/>
  <c r="F26" i="7"/>
  <c r="B26" i="7"/>
  <c r="AL25" i="7"/>
  <c r="Y25" i="7"/>
  <c r="P25" i="7"/>
  <c r="M25" i="7"/>
  <c r="N25" i="7" s="1"/>
  <c r="AY25" i="7" s="1"/>
  <c r="K25" i="7"/>
  <c r="F25" i="7"/>
  <c r="B25" i="7"/>
  <c r="AL24" i="7"/>
  <c r="Y24" i="7"/>
  <c r="P24" i="7"/>
  <c r="M24" i="7"/>
  <c r="N24" i="7" s="1"/>
  <c r="AY24" i="7" s="1"/>
  <c r="K24" i="7"/>
  <c r="F24" i="7"/>
  <c r="B24" i="7"/>
  <c r="AL23" i="7"/>
  <c r="Y23" i="7"/>
  <c r="P23" i="7"/>
  <c r="M23" i="7"/>
  <c r="N23" i="7" s="1"/>
  <c r="AY23" i="7" s="1"/>
  <c r="K23" i="7"/>
  <c r="F23" i="7"/>
  <c r="B23" i="7"/>
  <c r="AM22" i="7"/>
  <c r="AN22" i="7" s="1"/>
  <c r="AL22" i="7"/>
  <c r="Y22" i="7"/>
  <c r="P22" i="7"/>
  <c r="M22" i="7"/>
  <c r="N22" i="7" s="1"/>
  <c r="AY22" i="7" s="1"/>
  <c r="K22" i="7"/>
  <c r="F22" i="7"/>
  <c r="B22" i="7"/>
  <c r="AM21" i="7"/>
  <c r="AN21" i="7" s="1"/>
  <c r="AL21" i="7"/>
  <c r="Y21" i="7"/>
  <c r="P21" i="7"/>
  <c r="M21" i="7"/>
  <c r="N21" i="7" s="1"/>
  <c r="AY21" i="7" s="1"/>
  <c r="K21" i="7"/>
  <c r="F21" i="7"/>
  <c r="B21" i="7"/>
  <c r="AM20" i="7"/>
  <c r="AN20" i="7" s="1"/>
  <c r="AL20" i="7"/>
  <c r="Y20" i="7"/>
  <c r="P20" i="7"/>
  <c r="M20" i="7"/>
  <c r="N20" i="7" s="1"/>
  <c r="AY20" i="7" s="1"/>
  <c r="K20" i="7"/>
  <c r="F20" i="7"/>
  <c r="B20" i="7"/>
  <c r="AM19" i="7"/>
  <c r="AN19" i="7" s="1"/>
  <c r="AL19" i="7"/>
  <c r="Y19" i="7"/>
  <c r="P19" i="7"/>
  <c r="Q19" i="7" s="1"/>
  <c r="M19" i="7"/>
  <c r="N19" i="7" s="1"/>
  <c r="AY19" i="7" s="1"/>
  <c r="K19" i="7"/>
  <c r="F19" i="7"/>
  <c r="B19" i="7"/>
  <c r="AN18" i="7"/>
  <c r="AM18" i="7"/>
  <c r="AL18" i="7"/>
  <c r="Y18" i="7"/>
  <c r="P18" i="7"/>
  <c r="Q18" i="7" s="1"/>
  <c r="N18" i="7"/>
  <c r="AY18" i="7" s="1"/>
  <c r="M18" i="7"/>
  <c r="K18" i="7"/>
  <c r="F18" i="7"/>
  <c r="B18" i="7"/>
  <c r="AM17" i="7"/>
  <c r="AN17" i="7" s="1"/>
  <c r="AL17" i="7"/>
  <c r="Y17" i="7"/>
  <c r="P17" i="7"/>
  <c r="Q17" i="7" s="1"/>
  <c r="N17" i="7"/>
  <c r="AY17" i="7" s="1"/>
  <c r="M17" i="7"/>
  <c r="K17" i="7"/>
  <c r="F17" i="7"/>
  <c r="B17" i="7"/>
  <c r="AN16" i="7"/>
  <c r="AM16" i="7"/>
  <c r="AL16" i="7"/>
  <c r="Y16" i="7"/>
  <c r="P16" i="7"/>
  <c r="Q16" i="7" s="1"/>
  <c r="N16" i="7"/>
  <c r="AY16" i="7" s="1"/>
  <c r="M16" i="7"/>
  <c r="K16" i="7"/>
  <c r="F16" i="7"/>
  <c r="B16" i="7"/>
  <c r="AN15" i="7"/>
  <c r="AM15" i="7"/>
  <c r="AL15" i="7"/>
  <c r="Y15" i="7"/>
  <c r="P15" i="7"/>
  <c r="Q15" i="7" s="1"/>
  <c r="N15" i="7"/>
  <c r="AY15" i="7" s="1"/>
  <c r="M15" i="7"/>
  <c r="K15" i="7"/>
  <c r="F15" i="7"/>
  <c r="B15" i="7"/>
  <c r="AN14" i="7"/>
  <c r="AM14" i="7"/>
  <c r="AL14" i="7"/>
  <c r="Y14" i="7"/>
  <c r="P14" i="7"/>
  <c r="Q14" i="7" s="1"/>
  <c r="N14" i="7"/>
  <c r="AY14" i="7" s="1"/>
  <c r="M14" i="7"/>
  <c r="K14" i="7"/>
  <c r="F14" i="7"/>
  <c r="B14" i="7"/>
  <c r="AN13" i="7"/>
  <c r="AM13" i="7"/>
  <c r="AL13" i="7"/>
  <c r="Y13" i="7"/>
  <c r="P13" i="7"/>
  <c r="Q13" i="7" s="1"/>
  <c r="N13" i="7"/>
  <c r="AY13" i="7" s="1"/>
  <c r="M13" i="7"/>
  <c r="K13" i="7"/>
  <c r="F13" i="7"/>
  <c r="B13" i="7"/>
  <c r="AN12" i="7"/>
  <c r="AM12" i="7"/>
  <c r="AL12" i="7"/>
  <c r="Y12" i="7"/>
  <c r="P12" i="7"/>
  <c r="Q12" i="7" s="1"/>
  <c r="N12" i="7"/>
  <c r="AY12" i="7" s="1"/>
  <c r="M12" i="7"/>
  <c r="K12" i="7"/>
  <c r="F12" i="7"/>
  <c r="B12" i="7"/>
  <c r="AN11" i="7"/>
  <c r="AM11" i="7"/>
  <c r="AL11" i="7"/>
  <c r="Y11" i="7"/>
  <c r="P11" i="7"/>
  <c r="Q11" i="7" s="1"/>
  <c r="N11" i="7"/>
  <c r="AY11" i="7" s="1"/>
  <c r="M11" i="7"/>
  <c r="K11" i="7"/>
  <c r="F11" i="7"/>
  <c r="B11" i="7"/>
  <c r="AN10" i="7"/>
  <c r="AM10" i="7"/>
  <c r="AL10" i="7"/>
  <c r="Y10" i="7"/>
  <c r="P10" i="7"/>
  <c r="Q10" i="7" s="1"/>
  <c r="N10" i="7"/>
  <c r="AY10" i="7" s="1"/>
  <c r="M10" i="7"/>
  <c r="K10" i="7"/>
  <c r="F10" i="7"/>
  <c r="B10" i="7"/>
  <c r="AN9" i="7"/>
  <c r="AM9" i="7"/>
  <c r="AL9" i="7"/>
  <c r="Y9" i="7"/>
  <c r="P9" i="7"/>
  <c r="Q9" i="7" s="1"/>
  <c r="N9" i="7"/>
  <c r="AY9" i="7" s="1"/>
  <c r="M9" i="7"/>
  <c r="K9" i="7"/>
  <c r="F9" i="7"/>
  <c r="B9" i="7"/>
  <c r="AN8" i="7"/>
  <c r="AM8" i="7"/>
  <c r="AL8" i="7"/>
  <c r="Y8" i="7"/>
  <c r="P8" i="7"/>
  <c r="Q8" i="7" s="1"/>
  <c r="N8" i="7"/>
  <c r="AY8" i="7" s="1"/>
  <c r="M8" i="7"/>
  <c r="K8" i="7"/>
  <c r="F8" i="7"/>
  <c r="B8" i="7"/>
  <c r="AL7" i="7"/>
  <c r="Y7" i="7"/>
  <c r="P7" i="7"/>
  <c r="Q7" i="7" s="1"/>
  <c r="N7" i="7"/>
  <c r="AY7" i="7" s="1"/>
  <c r="M7" i="7"/>
  <c r="K7" i="7"/>
  <c r="F7" i="7"/>
  <c r="B7" i="7"/>
  <c r="AL6" i="7"/>
  <c r="Y6" i="7"/>
  <c r="P6" i="7"/>
  <c r="Q6" i="7" s="1"/>
  <c r="N6" i="7"/>
  <c r="AY6" i="7" s="1"/>
  <c r="M6" i="7"/>
  <c r="K6" i="7"/>
  <c r="F6" i="7"/>
  <c r="B6" i="7"/>
  <c r="AN5" i="7"/>
  <c r="AM5" i="7"/>
  <c r="AL5" i="7"/>
  <c r="Y5" i="7"/>
  <c r="P5" i="7"/>
  <c r="Q5" i="7" s="1"/>
  <c r="N5" i="7"/>
  <c r="AY5" i="7" s="1"/>
  <c r="M5" i="7"/>
  <c r="K5" i="7"/>
  <c r="F5" i="7"/>
  <c r="B5" i="7"/>
  <c r="A25" i="6"/>
  <c r="D22" i="6" s="1"/>
  <c r="D23" i="6"/>
  <c r="D21" i="6"/>
  <c r="B21" i="6"/>
  <c r="A21" i="6"/>
  <c r="D20" i="6"/>
  <c r="A19" i="6"/>
  <c r="D18" i="6"/>
  <c r="D17" i="6"/>
  <c r="D16" i="6"/>
  <c r="D12" i="6"/>
  <c r="DR11" i="6"/>
  <c r="DQ11" i="6"/>
  <c r="DK11" i="6"/>
  <c r="DJ11" i="6"/>
  <c r="DI11" i="6"/>
  <c r="DC11" i="6"/>
  <c r="DB11" i="6"/>
  <c r="DA11" i="6"/>
  <c r="CU11" i="6"/>
  <c r="CT11" i="6"/>
  <c r="CS11" i="6"/>
  <c r="CM11" i="6"/>
  <c r="CL11" i="6"/>
  <c r="CK11" i="6"/>
  <c r="CE11" i="6"/>
  <c r="CD11" i="6"/>
  <c r="CC11" i="6"/>
  <c r="BW11" i="6"/>
  <c r="BV11" i="6"/>
  <c r="BU11" i="6"/>
  <c r="BO11" i="6"/>
  <c r="BN11" i="6"/>
  <c r="BM11" i="6"/>
  <c r="BG11" i="6"/>
  <c r="BF11" i="6"/>
  <c r="BE11" i="6"/>
  <c r="AY11" i="6"/>
  <c r="AX11" i="6"/>
  <c r="AW11" i="6"/>
  <c r="AQ11" i="6"/>
  <c r="AP11" i="6"/>
  <c r="AO11" i="6"/>
  <c r="AI11" i="6"/>
  <c r="AH11" i="6"/>
  <c r="AG11" i="6"/>
  <c r="AA11" i="6"/>
  <c r="Z11" i="6"/>
  <c r="Y11" i="6"/>
  <c r="S11" i="6"/>
  <c r="R11" i="6"/>
  <c r="Q11" i="6"/>
  <c r="K11" i="6"/>
  <c r="J11" i="6"/>
  <c r="I11" i="6"/>
  <c r="E11" i="6"/>
  <c r="DT11" i="6" s="1"/>
  <c r="D11" i="6"/>
  <c r="C11" i="6"/>
  <c r="DR8" i="6"/>
  <c r="DQ8" i="6"/>
  <c r="DP8" i="6"/>
  <c r="DJ8" i="6"/>
  <c r="DI8" i="6"/>
  <c r="DH8" i="6"/>
  <c r="DB8" i="6"/>
  <c r="DA8" i="6"/>
  <c r="CZ8" i="6"/>
  <c r="CT8" i="6"/>
  <c r="CS8" i="6"/>
  <c r="CR8" i="6"/>
  <c r="CL8" i="6"/>
  <c r="CK8" i="6"/>
  <c r="CJ8" i="6"/>
  <c r="CD8" i="6"/>
  <c r="CC8" i="6"/>
  <c r="CB8" i="6"/>
  <c r="BV8" i="6"/>
  <c r="BU8" i="6"/>
  <c r="BT8" i="6"/>
  <c r="BN8" i="6"/>
  <c r="BM8" i="6"/>
  <c r="BL8" i="6"/>
  <c r="BF8" i="6"/>
  <c r="BE8" i="6"/>
  <c r="BD8" i="6"/>
  <c r="AX8" i="6"/>
  <c r="AW8" i="6"/>
  <c r="AV8" i="6"/>
  <c r="AP8" i="6"/>
  <c r="AO8" i="6"/>
  <c r="AN8" i="6"/>
  <c r="AH8" i="6"/>
  <c r="AG8" i="6"/>
  <c r="AF8" i="6"/>
  <c r="Z8" i="6"/>
  <c r="Y8" i="6"/>
  <c r="X8" i="6"/>
  <c r="R8" i="6"/>
  <c r="Q8" i="6"/>
  <c r="P8" i="6"/>
  <c r="J8" i="6"/>
  <c r="I8" i="6"/>
  <c r="H8" i="6"/>
  <c r="E8" i="6"/>
  <c r="DO8" i="6" s="1"/>
  <c r="C8" i="6"/>
  <c r="A8" i="6"/>
  <c r="F6" i="6"/>
  <c r="G6" i="6" s="1"/>
  <c r="H6" i="6" s="1"/>
  <c r="I6" i="6" s="1"/>
  <c r="J6" i="6" s="1"/>
  <c r="K6" i="6" s="1"/>
  <c r="L6" i="6" s="1"/>
  <c r="M6" i="6" s="1"/>
  <c r="C6" i="6"/>
  <c r="B6" i="6"/>
  <c r="C5" i="6"/>
  <c r="B5" i="6"/>
  <c r="B20" i="6" s="1"/>
  <c r="C3" i="6"/>
  <c r="B3" i="6"/>
  <c r="C1" i="6"/>
  <c r="B1" i="6"/>
  <c r="A25" i="5"/>
  <c r="D20" i="5"/>
  <c r="B10" i="5"/>
  <c r="C9" i="5"/>
  <c r="B9" i="5"/>
  <c r="E8" i="5"/>
  <c r="DM8" i="5" s="1"/>
  <c r="C8" i="5"/>
  <c r="DP8" i="5" s="1"/>
  <c r="B7" i="5"/>
  <c r="F6" i="5"/>
  <c r="G6" i="5" s="1"/>
  <c r="H6" i="5" s="1"/>
  <c r="I6" i="5" s="1"/>
  <c r="J6" i="5" s="1"/>
  <c r="K6" i="5" s="1"/>
  <c r="L6" i="5" s="1"/>
  <c r="M6" i="5" s="1"/>
  <c r="C6" i="5"/>
  <c r="C5" i="5"/>
  <c r="B5" i="5"/>
  <c r="C3" i="5"/>
  <c r="C1" i="5"/>
  <c r="AX400" i="4"/>
  <c r="AO400" i="4"/>
  <c r="AN400" i="4"/>
  <c r="AM400" i="4"/>
  <c r="Y400" i="4"/>
  <c r="R400" i="4"/>
  <c r="P400" i="4"/>
  <c r="Q400" i="4" s="1"/>
  <c r="M400" i="4"/>
  <c r="N400" i="4" s="1"/>
  <c r="AZ400" i="4" s="1"/>
  <c r="K400" i="4"/>
  <c r="F400" i="4"/>
  <c r="D400" i="4"/>
  <c r="V400" i="4" s="1"/>
  <c r="C400" i="4"/>
  <c r="W400" i="4" s="1"/>
  <c r="B400" i="4"/>
  <c r="AX399" i="4"/>
  <c r="AN399" i="4"/>
  <c r="AO399" i="4" s="1"/>
  <c r="AM399" i="4"/>
  <c r="Y399" i="4"/>
  <c r="T399" i="4"/>
  <c r="P399" i="4"/>
  <c r="Q399" i="4" s="1"/>
  <c r="M399" i="4"/>
  <c r="N399" i="4" s="1"/>
  <c r="AZ399" i="4" s="1"/>
  <c r="K399" i="4"/>
  <c r="F399" i="4"/>
  <c r="D399" i="4"/>
  <c r="C399" i="4"/>
  <c r="W399" i="4" s="1"/>
  <c r="B399" i="4"/>
  <c r="AX398" i="4"/>
  <c r="AO398" i="4"/>
  <c r="AN398" i="4"/>
  <c r="AM398" i="4"/>
  <c r="Y398" i="4"/>
  <c r="P398" i="4"/>
  <c r="Q398" i="4" s="1"/>
  <c r="M398" i="4"/>
  <c r="N398" i="4" s="1"/>
  <c r="AZ398" i="4" s="1"/>
  <c r="K398" i="4"/>
  <c r="F398" i="4"/>
  <c r="D398" i="4"/>
  <c r="B398" i="4"/>
  <c r="AX397" i="4"/>
  <c r="AN397" i="4"/>
  <c r="AO397" i="4" s="1"/>
  <c r="AM397" i="4"/>
  <c r="Y397" i="4"/>
  <c r="P397" i="4"/>
  <c r="Q397" i="4" s="1"/>
  <c r="M397" i="4"/>
  <c r="N397" i="4" s="1"/>
  <c r="AZ397" i="4" s="1"/>
  <c r="K397" i="4"/>
  <c r="F397" i="4"/>
  <c r="B397" i="4"/>
  <c r="AX396" i="4"/>
  <c r="AO396" i="4"/>
  <c r="AN396" i="4"/>
  <c r="AM396" i="4"/>
  <c r="Y396" i="4"/>
  <c r="T396" i="4"/>
  <c r="S396" i="4"/>
  <c r="R396" i="4"/>
  <c r="P396" i="4"/>
  <c r="Q396" i="4" s="1"/>
  <c r="M396" i="4"/>
  <c r="N396" i="4" s="1"/>
  <c r="AZ396" i="4" s="1"/>
  <c r="K396" i="4"/>
  <c r="F396" i="4"/>
  <c r="D396" i="4"/>
  <c r="V396" i="4" s="1"/>
  <c r="C396" i="4"/>
  <c r="W396" i="4" s="1"/>
  <c r="B396" i="4"/>
  <c r="AX395" i="4"/>
  <c r="AN395" i="4"/>
  <c r="AO395" i="4" s="1"/>
  <c r="AM395" i="4"/>
  <c r="Y395" i="4"/>
  <c r="T395" i="4"/>
  <c r="P395" i="4"/>
  <c r="Q395" i="4" s="1"/>
  <c r="M395" i="4"/>
  <c r="N395" i="4" s="1"/>
  <c r="AZ395" i="4" s="1"/>
  <c r="K395" i="4"/>
  <c r="F395" i="4"/>
  <c r="D395" i="4"/>
  <c r="C395" i="4"/>
  <c r="W395" i="4" s="1"/>
  <c r="B395" i="4"/>
  <c r="AX394" i="4"/>
  <c r="AO394" i="4"/>
  <c r="AN394" i="4"/>
  <c r="AM394" i="4"/>
  <c r="Y394" i="4"/>
  <c r="P394" i="4"/>
  <c r="Q394" i="4" s="1"/>
  <c r="N394" i="4"/>
  <c r="AZ394" i="4" s="1"/>
  <c r="M394" i="4"/>
  <c r="K394" i="4"/>
  <c r="F394" i="4"/>
  <c r="D394" i="4"/>
  <c r="B394" i="4"/>
  <c r="AX393" i="4"/>
  <c r="AO393" i="4"/>
  <c r="AN393" i="4"/>
  <c r="AM393" i="4"/>
  <c r="Y393" i="4"/>
  <c r="Q393" i="4"/>
  <c r="P393" i="4"/>
  <c r="M393" i="4"/>
  <c r="N393" i="4" s="1"/>
  <c r="AZ393" i="4" s="1"/>
  <c r="K393" i="4"/>
  <c r="F393" i="4"/>
  <c r="B393" i="4"/>
  <c r="AX392" i="4"/>
  <c r="AO392" i="4"/>
  <c r="AN392" i="4"/>
  <c r="AM392" i="4"/>
  <c r="Y392" i="4"/>
  <c r="S392" i="4"/>
  <c r="P392" i="4"/>
  <c r="C392" i="4" s="1"/>
  <c r="W392" i="4" s="1"/>
  <c r="M392" i="4"/>
  <c r="N392" i="4" s="1"/>
  <c r="AZ392" i="4" s="1"/>
  <c r="K392" i="4"/>
  <c r="F392" i="4"/>
  <c r="D392" i="4"/>
  <c r="B392" i="4"/>
  <c r="AX391" i="4"/>
  <c r="AN391" i="4"/>
  <c r="AO391" i="4" s="1"/>
  <c r="AM391" i="4"/>
  <c r="Y391" i="4"/>
  <c r="P391" i="4"/>
  <c r="Q391" i="4" s="1"/>
  <c r="BA391" i="4" s="1"/>
  <c r="M391" i="4"/>
  <c r="N391" i="4" s="1"/>
  <c r="AZ391" i="4" s="1"/>
  <c r="K391" i="4"/>
  <c r="F391" i="4"/>
  <c r="C391" i="4"/>
  <c r="B391" i="4"/>
  <c r="AX390" i="4"/>
  <c r="AO390" i="4"/>
  <c r="AN390" i="4"/>
  <c r="AM390" i="4"/>
  <c r="Y390" i="4"/>
  <c r="P390" i="4"/>
  <c r="N390" i="4"/>
  <c r="AZ390" i="4" s="1"/>
  <c r="M390" i="4"/>
  <c r="K390" i="4"/>
  <c r="F390" i="4"/>
  <c r="D390" i="4"/>
  <c r="B390" i="4"/>
  <c r="AZ389" i="4"/>
  <c r="AX389" i="4"/>
  <c r="AO389" i="4"/>
  <c r="AN389" i="4"/>
  <c r="AM389" i="4"/>
  <c r="Y389" i="4"/>
  <c r="P389" i="4"/>
  <c r="M389" i="4"/>
  <c r="N389" i="4" s="1"/>
  <c r="K389" i="4"/>
  <c r="F389" i="4"/>
  <c r="B389" i="4"/>
  <c r="AX388" i="4"/>
  <c r="AO388" i="4"/>
  <c r="AN388" i="4"/>
  <c r="AM388" i="4"/>
  <c r="Y388" i="4"/>
  <c r="P388" i="4"/>
  <c r="C388" i="4" s="1"/>
  <c r="T388" i="4" s="1"/>
  <c r="M388" i="4"/>
  <c r="N388" i="4" s="1"/>
  <c r="AZ388" i="4" s="1"/>
  <c r="K388" i="4"/>
  <c r="F388" i="4"/>
  <c r="D388" i="4"/>
  <c r="S388" i="4" s="1"/>
  <c r="B388" i="4"/>
  <c r="AX387" i="4"/>
  <c r="AN387" i="4"/>
  <c r="AO387" i="4" s="1"/>
  <c r="AM387" i="4"/>
  <c r="Y387" i="4"/>
  <c r="P387" i="4"/>
  <c r="Q387" i="4" s="1"/>
  <c r="BA387" i="4" s="1"/>
  <c r="M387" i="4"/>
  <c r="N387" i="4" s="1"/>
  <c r="AZ387" i="4" s="1"/>
  <c r="K387" i="4"/>
  <c r="F387" i="4"/>
  <c r="C387" i="4"/>
  <c r="B387" i="4"/>
  <c r="AX386" i="4"/>
  <c r="AO386" i="4"/>
  <c r="AN386" i="4"/>
  <c r="AM386" i="4"/>
  <c r="Y386" i="4"/>
  <c r="P386" i="4"/>
  <c r="M386" i="4"/>
  <c r="N386" i="4" s="1"/>
  <c r="AZ386" i="4" s="1"/>
  <c r="K386" i="4"/>
  <c r="F386" i="4"/>
  <c r="B386" i="4"/>
  <c r="AX385" i="4"/>
  <c r="AO385" i="4"/>
  <c r="AN385" i="4"/>
  <c r="AM385" i="4"/>
  <c r="Y385" i="4"/>
  <c r="P385" i="4"/>
  <c r="Q385" i="4" s="1"/>
  <c r="M385" i="4"/>
  <c r="N385" i="4" s="1"/>
  <c r="AZ385" i="4" s="1"/>
  <c r="K385" i="4"/>
  <c r="F385" i="4"/>
  <c r="B385" i="4"/>
  <c r="AX384" i="4"/>
  <c r="AO384" i="4"/>
  <c r="AN384" i="4"/>
  <c r="AM384" i="4"/>
  <c r="Y384" i="4"/>
  <c r="S384" i="4"/>
  <c r="P384" i="4"/>
  <c r="C384" i="4" s="1"/>
  <c r="W384" i="4" s="1"/>
  <c r="M384" i="4"/>
  <c r="N384" i="4" s="1"/>
  <c r="AZ384" i="4" s="1"/>
  <c r="K384" i="4"/>
  <c r="F384" i="4"/>
  <c r="D384" i="4"/>
  <c r="B384" i="4"/>
  <c r="AX383" i="4"/>
  <c r="AN383" i="4"/>
  <c r="AO383" i="4" s="1"/>
  <c r="AM383" i="4"/>
  <c r="Y383" i="4"/>
  <c r="P383" i="4"/>
  <c r="Q383" i="4" s="1"/>
  <c r="BA383" i="4" s="1"/>
  <c r="M383" i="4"/>
  <c r="N383" i="4" s="1"/>
  <c r="AZ383" i="4" s="1"/>
  <c r="K383" i="4"/>
  <c r="F383" i="4"/>
  <c r="C383" i="4"/>
  <c r="B383" i="4"/>
  <c r="AX382" i="4"/>
  <c r="AO382" i="4"/>
  <c r="AN382" i="4"/>
  <c r="AM382" i="4"/>
  <c r="Y382" i="4"/>
  <c r="P382" i="4"/>
  <c r="N382" i="4"/>
  <c r="AZ382" i="4" s="1"/>
  <c r="M382" i="4"/>
  <c r="K382" i="4"/>
  <c r="F382" i="4"/>
  <c r="D382" i="4"/>
  <c r="B382" i="4"/>
  <c r="AZ381" i="4"/>
  <c r="AX381" i="4"/>
  <c r="AO381" i="4"/>
  <c r="AN381" i="4"/>
  <c r="AM381" i="4"/>
  <c r="Y381" i="4"/>
  <c r="P381" i="4"/>
  <c r="M381" i="4"/>
  <c r="N381" i="4" s="1"/>
  <c r="K381" i="4"/>
  <c r="F381" i="4"/>
  <c r="B381" i="4"/>
  <c r="AX380" i="4"/>
  <c r="AO380" i="4"/>
  <c r="AN380" i="4"/>
  <c r="AM380" i="4"/>
  <c r="Y380" i="4"/>
  <c r="P380" i="4"/>
  <c r="C380" i="4" s="1"/>
  <c r="T380" i="4" s="1"/>
  <c r="M380" i="4"/>
  <c r="N380" i="4" s="1"/>
  <c r="AZ380" i="4" s="1"/>
  <c r="K380" i="4"/>
  <c r="F380" i="4"/>
  <c r="D380" i="4"/>
  <c r="S380" i="4" s="1"/>
  <c r="B380" i="4"/>
  <c r="AX379" i="4"/>
  <c r="AN379" i="4"/>
  <c r="AO379" i="4" s="1"/>
  <c r="AM379" i="4"/>
  <c r="Y379" i="4"/>
  <c r="P379" i="4"/>
  <c r="Q379" i="4" s="1"/>
  <c r="BA379" i="4" s="1"/>
  <c r="M379" i="4"/>
  <c r="N379" i="4" s="1"/>
  <c r="AZ379" i="4" s="1"/>
  <c r="K379" i="4"/>
  <c r="F379" i="4"/>
  <c r="D379" i="4"/>
  <c r="B379" i="4"/>
  <c r="AX378" i="4"/>
  <c r="AN378" i="4"/>
  <c r="AO378" i="4" s="1"/>
  <c r="AM378" i="4"/>
  <c r="Y378" i="4"/>
  <c r="P378" i="4"/>
  <c r="D378" i="4" s="1"/>
  <c r="N378" i="4"/>
  <c r="AZ378" i="4" s="1"/>
  <c r="M378" i="4"/>
  <c r="K378" i="4"/>
  <c r="F378" i="4"/>
  <c r="B378" i="4"/>
  <c r="AZ377" i="4"/>
  <c r="AX377" i="4"/>
  <c r="AO377" i="4"/>
  <c r="AN377" i="4"/>
  <c r="AM377" i="4"/>
  <c r="Y377" i="4"/>
  <c r="V377" i="4"/>
  <c r="Q377" i="4"/>
  <c r="P377" i="4"/>
  <c r="C377" i="4" s="1"/>
  <c r="M377" i="4"/>
  <c r="N377" i="4" s="1"/>
  <c r="K377" i="4"/>
  <c r="F377" i="4"/>
  <c r="D377" i="4"/>
  <c r="B377" i="4"/>
  <c r="AX376" i="4"/>
  <c r="AO376" i="4"/>
  <c r="AN376" i="4"/>
  <c r="AM376" i="4"/>
  <c r="Y376" i="4"/>
  <c r="P376" i="4"/>
  <c r="M376" i="4"/>
  <c r="N376" i="4" s="1"/>
  <c r="AZ376" i="4" s="1"/>
  <c r="K376" i="4"/>
  <c r="F376" i="4"/>
  <c r="B376" i="4"/>
  <c r="AX375" i="4"/>
  <c r="AN375" i="4"/>
  <c r="AO375" i="4" s="1"/>
  <c r="AM375" i="4"/>
  <c r="Y375" i="4"/>
  <c r="P375" i="4"/>
  <c r="M375" i="4"/>
  <c r="N375" i="4" s="1"/>
  <c r="AZ375" i="4" s="1"/>
  <c r="K375" i="4"/>
  <c r="F375" i="4"/>
  <c r="B375" i="4"/>
  <c r="AX374" i="4"/>
  <c r="AN374" i="4"/>
  <c r="AO374" i="4" s="1"/>
  <c r="AM374" i="4"/>
  <c r="Y374" i="4"/>
  <c r="P374" i="4"/>
  <c r="D374" i="4" s="1"/>
  <c r="N374" i="4"/>
  <c r="AZ374" i="4" s="1"/>
  <c r="M374" i="4"/>
  <c r="K374" i="4"/>
  <c r="F374" i="4"/>
  <c r="B374" i="4"/>
  <c r="AZ373" i="4"/>
  <c r="AX373" i="4"/>
  <c r="AO373" i="4"/>
  <c r="AN373" i="4"/>
  <c r="AM373" i="4"/>
  <c r="Y373" i="4"/>
  <c r="V373" i="4"/>
  <c r="Q373" i="4"/>
  <c r="P373" i="4"/>
  <c r="C373" i="4" s="1"/>
  <c r="M373" i="4"/>
  <c r="N373" i="4" s="1"/>
  <c r="K373" i="4"/>
  <c r="F373" i="4"/>
  <c r="D373" i="4"/>
  <c r="R373" i="4" s="1"/>
  <c r="B373" i="4"/>
  <c r="AX372" i="4"/>
  <c r="AO372" i="4"/>
  <c r="AN372" i="4"/>
  <c r="AM372" i="4"/>
  <c r="Y372" i="4"/>
  <c r="P372" i="4"/>
  <c r="M372" i="4"/>
  <c r="N372" i="4" s="1"/>
  <c r="AZ372" i="4" s="1"/>
  <c r="K372" i="4"/>
  <c r="F372" i="4"/>
  <c r="B372" i="4"/>
  <c r="AX371" i="4"/>
  <c r="AO371" i="4"/>
  <c r="AN371" i="4"/>
  <c r="AM371" i="4"/>
  <c r="Y371" i="4"/>
  <c r="P371" i="4"/>
  <c r="Q371" i="4" s="1"/>
  <c r="BA371" i="4" s="1"/>
  <c r="M371" i="4"/>
  <c r="N371" i="4" s="1"/>
  <c r="AZ371" i="4" s="1"/>
  <c r="K371" i="4"/>
  <c r="F371" i="4"/>
  <c r="C371" i="4"/>
  <c r="B371" i="4"/>
  <c r="AX370" i="4"/>
  <c r="AN370" i="4"/>
  <c r="AO370" i="4" s="1"/>
  <c r="AM370" i="4"/>
  <c r="Y370" i="4"/>
  <c r="P370" i="4"/>
  <c r="N370" i="4"/>
  <c r="AZ370" i="4" s="1"/>
  <c r="M370" i="4"/>
  <c r="K370" i="4"/>
  <c r="F370" i="4"/>
  <c r="B370" i="4"/>
  <c r="AZ369" i="4"/>
  <c r="AX369" i="4"/>
  <c r="AO369" i="4"/>
  <c r="AN369" i="4"/>
  <c r="AM369" i="4"/>
  <c r="Y369" i="4"/>
  <c r="Q369" i="4"/>
  <c r="P369" i="4"/>
  <c r="C369" i="4" s="1"/>
  <c r="T369" i="4" s="1"/>
  <c r="M369" i="4"/>
  <c r="N369" i="4" s="1"/>
  <c r="K369" i="4"/>
  <c r="F369" i="4"/>
  <c r="D369" i="4"/>
  <c r="B369" i="4"/>
  <c r="AX368" i="4"/>
  <c r="AO368" i="4"/>
  <c r="AN368" i="4"/>
  <c r="AM368" i="4"/>
  <c r="Y368" i="4"/>
  <c r="P368" i="4"/>
  <c r="C368" i="4" s="1"/>
  <c r="M368" i="4"/>
  <c r="N368" i="4" s="1"/>
  <c r="AZ368" i="4" s="1"/>
  <c r="K368" i="4"/>
  <c r="F368" i="4"/>
  <c r="B368" i="4"/>
  <c r="BA367" i="4"/>
  <c r="AX367" i="4"/>
  <c r="AO367" i="4"/>
  <c r="AN367" i="4"/>
  <c r="AM367" i="4"/>
  <c r="Y367" i="4"/>
  <c r="R367" i="4"/>
  <c r="P367" i="4"/>
  <c r="Q367" i="4" s="1"/>
  <c r="M367" i="4"/>
  <c r="N367" i="4" s="1"/>
  <c r="AZ367" i="4" s="1"/>
  <c r="K367" i="4"/>
  <c r="F367" i="4"/>
  <c r="D367" i="4"/>
  <c r="C367" i="4"/>
  <c r="B367" i="4"/>
  <c r="AX366" i="4"/>
  <c r="AN366" i="4"/>
  <c r="AO366" i="4" s="1"/>
  <c r="AM366" i="4"/>
  <c r="Y366" i="4"/>
  <c r="P366" i="4"/>
  <c r="N366" i="4"/>
  <c r="AZ366" i="4" s="1"/>
  <c r="M366" i="4"/>
  <c r="K366" i="4"/>
  <c r="F366" i="4"/>
  <c r="C366" i="4"/>
  <c r="B366" i="4"/>
  <c r="AZ365" i="4"/>
  <c r="AX365" i="4"/>
  <c r="AO365" i="4"/>
  <c r="AN365" i="4"/>
  <c r="AM365" i="4"/>
  <c r="Y365" i="4"/>
  <c r="V365" i="4"/>
  <c r="R365" i="4"/>
  <c r="Q365" i="4"/>
  <c r="P365" i="4"/>
  <c r="C365" i="4" s="1"/>
  <c r="T365" i="4" s="1"/>
  <c r="N365" i="4"/>
  <c r="M365" i="4"/>
  <c r="K365" i="4"/>
  <c r="F365" i="4"/>
  <c r="D365" i="4"/>
  <c r="W365" i="4" s="1"/>
  <c r="B365" i="4"/>
  <c r="AX364" i="4"/>
  <c r="AO364" i="4"/>
  <c r="AN364" i="4"/>
  <c r="AM364" i="4"/>
  <c r="Y364" i="4"/>
  <c r="P364" i="4"/>
  <c r="M364" i="4"/>
  <c r="N364" i="4" s="1"/>
  <c r="AZ364" i="4" s="1"/>
  <c r="K364" i="4"/>
  <c r="F364" i="4"/>
  <c r="B364" i="4"/>
  <c r="AX363" i="4"/>
  <c r="AO363" i="4"/>
  <c r="AN363" i="4"/>
  <c r="AM363" i="4"/>
  <c r="Y363" i="4"/>
  <c r="P363" i="4"/>
  <c r="M363" i="4"/>
  <c r="N363" i="4" s="1"/>
  <c r="AZ363" i="4" s="1"/>
  <c r="K363" i="4"/>
  <c r="F363" i="4"/>
  <c r="D363" i="4"/>
  <c r="B363" i="4"/>
  <c r="AX362" i="4"/>
  <c r="AN362" i="4"/>
  <c r="AO362" i="4" s="1"/>
  <c r="AM362" i="4"/>
  <c r="Y362" i="4"/>
  <c r="P362" i="4"/>
  <c r="N362" i="4"/>
  <c r="AZ362" i="4" s="1"/>
  <c r="M362" i="4"/>
  <c r="K362" i="4"/>
  <c r="F362" i="4"/>
  <c r="C362" i="4"/>
  <c r="B362" i="4"/>
  <c r="BA361" i="4"/>
  <c r="AX361" i="4"/>
  <c r="AO361" i="4"/>
  <c r="AN361" i="4"/>
  <c r="AM361" i="4"/>
  <c r="Y361" i="4"/>
  <c r="T361" i="4"/>
  <c r="Q361" i="4"/>
  <c r="P361" i="4"/>
  <c r="C361" i="4" s="1"/>
  <c r="W361" i="4" s="1"/>
  <c r="M361" i="4"/>
  <c r="N361" i="4" s="1"/>
  <c r="AZ361" i="4" s="1"/>
  <c r="K361" i="4"/>
  <c r="F361" i="4"/>
  <c r="D361" i="4"/>
  <c r="B361" i="4"/>
  <c r="AZ360" i="4"/>
  <c r="AX360" i="4"/>
  <c r="AO360" i="4"/>
  <c r="AN360" i="4"/>
  <c r="AM360" i="4"/>
  <c r="Y360" i="4"/>
  <c r="S360" i="4"/>
  <c r="Q360" i="4"/>
  <c r="P360" i="4"/>
  <c r="M360" i="4"/>
  <c r="N360" i="4" s="1"/>
  <c r="K360" i="4"/>
  <c r="F360" i="4"/>
  <c r="D360" i="4"/>
  <c r="V360" i="4" s="1"/>
  <c r="C360" i="4"/>
  <c r="B360" i="4"/>
  <c r="BA359" i="4"/>
  <c r="AX359" i="4"/>
  <c r="AN359" i="4"/>
  <c r="AO359" i="4" s="1"/>
  <c r="AM359" i="4"/>
  <c r="Y359" i="4"/>
  <c r="P359" i="4"/>
  <c r="Q359" i="4" s="1"/>
  <c r="N359" i="4"/>
  <c r="AZ359" i="4" s="1"/>
  <c r="M359" i="4"/>
  <c r="K359" i="4"/>
  <c r="F359" i="4"/>
  <c r="D359" i="4"/>
  <c r="C359" i="4"/>
  <c r="B359" i="4"/>
  <c r="AX358" i="4"/>
  <c r="AN358" i="4"/>
  <c r="AO358" i="4" s="1"/>
  <c r="AM358" i="4"/>
  <c r="Y358" i="4"/>
  <c r="Q358" i="4"/>
  <c r="BA358" i="4" s="1"/>
  <c r="P358" i="4"/>
  <c r="D358" i="4" s="1"/>
  <c r="N358" i="4"/>
  <c r="AZ358" i="4" s="1"/>
  <c r="M358" i="4"/>
  <c r="K358" i="4"/>
  <c r="F358" i="4"/>
  <c r="C358" i="4"/>
  <c r="B358" i="4"/>
  <c r="BA357" i="4"/>
  <c r="AX357" i="4"/>
  <c r="AO357" i="4"/>
  <c r="AN357" i="4"/>
  <c r="AM357" i="4"/>
  <c r="Y357" i="4"/>
  <c r="V357" i="4"/>
  <c r="Q357" i="4"/>
  <c r="P357" i="4"/>
  <c r="C357" i="4" s="1"/>
  <c r="N357" i="4"/>
  <c r="AZ357" i="4" s="1"/>
  <c r="M357" i="4"/>
  <c r="K357" i="4"/>
  <c r="F357" i="4"/>
  <c r="D357" i="4"/>
  <c r="B357" i="4"/>
  <c r="AX356" i="4"/>
  <c r="AN356" i="4"/>
  <c r="AO356" i="4" s="1"/>
  <c r="AM356" i="4"/>
  <c r="Y356" i="4"/>
  <c r="P356" i="4"/>
  <c r="Q356" i="4" s="1"/>
  <c r="M356" i="4"/>
  <c r="N356" i="4" s="1"/>
  <c r="AZ356" i="4" s="1"/>
  <c r="K356" i="4"/>
  <c r="F356" i="4"/>
  <c r="C356" i="4"/>
  <c r="B356" i="4"/>
  <c r="BA355" i="4"/>
  <c r="AX355" i="4"/>
  <c r="AO355" i="4"/>
  <c r="AN355" i="4"/>
  <c r="AM355" i="4"/>
  <c r="Y355" i="4"/>
  <c r="P355" i="4"/>
  <c r="Q355" i="4" s="1"/>
  <c r="N355" i="4"/>
  <c r="AZ355" i="4" s="1"/>
  <c r="M355" i="4"/>
  <c r="K355" i="4"/>
  <c r="F355" i="4"/>
  <c r="D355" i="4"/>
  <c r="C355" i="4"/>
  <c r="V355" i="4" s="1"/>
  <c r="B355" i="4"/>
  <c r="AZ354" i="4"/>
  <c r="AX354" i="4"/>
  <c r="AN354" i="4"/>
  <c r="AO354" i="4" s="1"/>
  <c r="AM354" i="4"/>
  <c r="Y354" i="4"/>
  <c r="P354" i="4"/>
  <c r="N354" i="4"/>
  <c r="M354" i="4"/>
  <c r="K354" i="4"/>
  <c r="F354" i="4"/>
  <c r="B354" i="4"/>
  <c r="AX353" i="4"/>
  <c r="AO353" i="4"/>
  <c r="AN353" i="4"/>
  <c r="AM353" i="4"/>
  <c r="Y353" i="4"/>
  <c r="Q353" i="4"/>
  <c r="BA353" i="4" s="1"/>
  <c r="P353" i="4"/>
  <c r="C353" i="4" s="1"/>
  <c r="M353" i="4"/>
  <c r="N353" i="4" s="1"/>
  <c r="AZ353" i="4" s="1"/>
  <c r="K353" i="4"/>
  <c r="F353" i="4"/>
  <c r="D353" i="4"/>
  <c r="V353" i="4" s="1"/>
  <c r="B353" i="4"/>
  <c r="AZ352" i="4"/>
  <c r="AX352" i="4"/>
  <c r="AN352" i="4"/>
  <c r="AO352" i="4" s="1"/>
  <c r="AM352" i="4"/>
  <c r="Y352" i="4"/>
  <c r="P352" i="4"/>
  <c r="M352" i="4"/>
  <c r="N352" i="4" s="1"/>
  <c r="K352" i="4"/>
  <c r="F352" i="4"/>
  <c r="C352" i="4"/>
  <c r="B352" i="4"/>
  <c r="AX351" i="4"/>
  <c r="AO351" i="4"/>
  <c r="AN351" i="4"/>
  <c r="AM351" i="4"/>
  <c r="Y351" i="4"/>
  <c r="P351" i="4"/>
  <c r="M351" i="4"/>
  <c r="N351" i="4" s="1"/>
  <c r="AZ351" i="4" s="1"/>
  <c r="K351" i="4"/>
  <c r="F351" i="4"/>
  <c r="B351" i="4"/>
  <c r="AZ350" i="4"/>
  <c r="AX350" i="4"/>
  <c r="AN350" i="4"/>
  <c r="AO350" i="4" s="1"/>
  <c r="AM350" i="4"/>
  <c r="Y350" i="4"/>
  <c r="W350" i="4"/>
  <c r="Q350" i="4"/>
  <c r="P350" i="4"/>
  <c r="D350" i="4" s="1"/>
  <c r="N350" i="4"/>
  <c r="M350" i="4"/>
  <c r="K350" i="4"/>
  <c r="F350" i="4"/>
  <c r="C350" i="4"/>
  <c r="B350" i="4"/>
  <c r="AZ349" i="4"/>
  <c r="AX349" i="4"/>
  <c r="AO349" i="4"/>
  <c r="AN349" i="4"/>
  <c r="AM349" i="4"/>
  <c r="Y349" i="4"/>
  <c r="P349" i="4"/>
  <c r="C349" i="4" s="1"/>
  <c r="M349" i="4"/>
  <c r="N349" i="4" s="1"/>
  <c r="K349" i="4"/>
  <c r="F349" i="4"/>
  <c r="B349" i="4"/>
  <c r="AX348" i="4"/>
  <c r="AO348" i="4"/>
  <c r="AN348" i="4"/>
  <c r="AM348" i="4"/>
  <c r="Y348" i="4"/>
  <c r="Q348" i="4"/>
  <c r="P348" i="4"/>
  <c r="D348" i="4" s="1"/>
  <c r="T348" i="4" s="1"/>
  <c r="M348" i="4"/>
  <c r="N348" i="4" s="1"/>
  <c r="AZ348" i="4" s="1"/>
  <c r="K348" i="4"/>
  <c r="F348" i="4"/>
  <c r="C348" i="4"/>
  <c r="B348" i="4"/>
  <c r="BA347" i="4"/>
  <c r="AX347" i="4"/>
  <c r="AO347" i="4"/>
  <c r="AN347" i="4"/>
  <c r="AM347" i="4"/>
  <c r="Y347" i="4"/>
  <c r="P347" i="4"/>
  <c r="Q347" i="4" s="1"/>
  <c r="N347" i="4"/>
  <c r="AZ347" i="4" s="1"/>
  <c r="M347" i="4"/>
  <c r="K347" i="4"/>
  <c r="F347" i="4"/>
  <c r="D347" i="4"/>
  <c r="W347" i="4" s="1"/>
  <c r="C347" i="4"/>
  <c r="B347" i="4"/>
  <c r="BA346" i="4"/>
  <c r="AX346" i="4"/>
  <c r="AO346" i="4"/>
  <c r="AN346" i="4"/>
  <c r="AM346" i="4"/>
  <c r="Y346" i="4"/>
  <c r="W346" i="4"/>
  <c r="P346" i="4"/>
  <c r="Q346" i="4" s="1"/>
  <c r="N346" i="4"/>
  <c r="AZ346" i="4" s="1"/>
  <c r="M346" i="4"/>
  <c r="K346" i="4"/>
  <c r="F346" i="4"/>
  <c r="D346" i="4"/>
  <c r="C346" i="4"/>
  <c r="S346" i="4" s="1"/>
  <c r="B346" i="4"/>
  <c r="AX345" i="4"/>
  <c r="AO345" i="4"/>
  <c r="AN345" i="4"/>
  <c r="AM345" i="4"/>
  <c r="Y345" i="4"/>
  <c r="P345" i="4"/>
  <c r="D345" i="4" s="1"/>
  <c r="M345" i="4"/>
  <c r="N345" i="4" s="1"/>
  <c r="AZ345" i="4" s="1"/>
  <c r="K345" i="4"/>
  <c r="F345" i="4"/>
  <c r="B345" i="4"/>
  <c r="AZ344" i="4"/>
  <c r="AX344" i="4"/>
  <c r="AN344" i="4"/>
  <c r="AO344" i="4" s="1"/>
  <c r="AM344" i="4"/>
  <c r="Y344" i="4"/>
  <c r="P344" i="4"/>
  <c r="C344" i="4" s="1"/>
  <c r="M344" i="4"/>
  <c r="N344" i="4" s="1"/>
  <c r="K344" i="4"/>
  <c r="F344" i="4"/>
  <c r="D344" i="4"/>
  <c r="B344" i="4"/>
  <c r="AX343" i="4"/>
  <c r="AO343" i="4"/>
  <c r="AN343" i="4"/>
  <c r="AM343" i="4"/>
  <c r="Y343" i="4"/>
  <c r="V343" i="4"/>
  <c r="P343" i="4"/>
  <c r="Q343" i="4" s="1"/>
  <c r="BA343" i="4" s="1"/>
  <c r="N343" i="4"/>
  <c r="AZ343" i="4" s="1"/>
  <c r="M343" i="4"/>
  <c r="K343" i="4"/>
  <c r="F343" i="4"/>
  <c r="D343" i="4"/>
  <c r="C343" i="4"/>
  <c r="S343" i="4" s="1"/>
  <c r="B343" i="4"/>
  <c r="AZ342" i="4"/>
  <c r="AX342" i="4"/>
  <c r="AN342" i="4"/>
  <c r="AO342" i="4" s="1"/>
  <c r="AM342" i="4"/>
  <c r="Y342" i="4"/>
  <c r="P342" i="4"/>
  <c r="C342" i="4" s="1"/>
  <c r="N342" i="4"/>
  <c r="M342" i="4"/>
  <c r="K342" i="4"/>
  <c r="F342" i="4"/>
  <c r="B342" i="4"/>
  <c r="BA341" i="4"/>
  <c r="AX341" i="4"/>
  <c r="AO341" i="4"/>
  <c r="AN341" i="4"/>
  <c r="AM341" i="4"/>
  <c r="Y341" i="4"/>
  <c r="V341" i="4"/>
  <c r="Q341" i="4"/>
  <c r="P341" i="4"/>
  <c r="C341" i="4" s="1"/>
  <c r="N341" i="4"/>
  <c r="AZ341" i="4" s="1"/>
  <c r="M341" i="4"/>
  <c r="K341" i="4"/>
  <c r="F341" i="4"/>
  <c r="D341" i="4"/>
  <c r="W341" i="4" s="1"/>
  <c r="B341" i="4"/>
  <c r="BA340" i="4"/>
  <c r="AX340" i="4"/>
  <c r="AO340" i="4"/>
  <c r="AN340" i="4"/>
  <c r="AM340" i="4"/>
  <c r="Y340" i="4"/>
  <c r="U340" i="4"/>
  <c r="R340" i="4"/>
  <c r="P340" i="4"/>
  <c r="Q340" i="4" s="1"/>
  <c r="M340" i="4"/>
  <c r="N340" i="4" s="1"/>
  <c r="AZ340" i="4" s="1"/>
  <c r="K340" i="4"/>
  <c r="F340" i="4"/>
  <c r="D340" i="4"/>
  <c r="C340" i="4"/>
  <c r="W340" i="4" s="1"/>
  <c r="B340" i="4"/>
  <c r="AX339" i="4"/>
  <c r="AN339" i="4"/>
  <c r="AO339" i="4" s="1"/>
  <c r="AM339" i="4"/>
  <c r="Y339" i="4"/>
  <c r="P339" i="4"/>
  <c r="Q339" i="4" s="1"/>
  <c r="M339" i="4"/>
  <c r="N339" i="4" s="1"/>
  <c r="AZ339" i="4" s="1"/>
  <c r="K339" i="4"/>
  <c r="F339" i="4"/>
  <c r="D339" i="4"/>
  <c r="B339" i="4"/>
  <c r="AZ338" i="4"/>
  <c r="AX338" i="4"/>
  <c r="AO338" i="4"/>
  <c r="AN338" i="4"/>
  <c r="AM338" i="4"/>
  <c r="Y338" i="4"/>
  <c r="R338" i="4"/>
  <c r="Q338" i="4"/>
  <c r="U338" i="4" s="1"/>
  <c r="P338" i="4"/>
  <c r="N338" i="4"/>
  <c r="M338" i="4"/>
  <c r="K338" i="4"/>
  <c r="F338" i="4"/>
  <c r="D338" i="4"/>
  <c r="C338" i="4"/>
  <c r="S338" i="4" s="1"/>
  <c r="B338" i="4"/>
  <c r="AZ337" i="4"/>
  <c r="AX337" i="4"/>
  <c r="AO337" i="4"/>
  <c r="AN337" i="4"/>
  <c r="AM337" i="4"/>
  <c r="Y337" i="4"/>
  <c r="W337" i="4"/>
  <c r="T337" i="4"/>
  <c r="R337" i="4"/>
  <c r="Q337" i="4"/>
  <c r="P337" i="4"/>
  <c r="C337" i="4" s="1"/>
  <c r="N337" i="4"/>
  <c r="M337" i="4"/>
  <c r="K337" i="4"/>
  <c r="F337" i="4"/>
  <c r="D337" i="4"/>
  <c r="S337" i="4" s="1"/>
  <c r="B337" i="4"/>
  <c r="AZ336" i="4"/>
  <c r="AX336" i="4"/>
  <c r="AN336" i="4"/>
  <c r="AO336" i="4" s="1"/>
  <c r="AM336" i="4"/>
  <c r="Y336" i="4"/>
  <c r="U336" i="4"/>
  <c r="S336" i="4"/>
  <c r="P336" i="4"/>
  <c r="M336" i="4"/>
  <c r="K336" i="4"/>
  <c r="F336" i="4"/>
  <c r="D336" i="4"/>
  <c r="C336" i="4"/>
  <c r="W336" i="4" s="1"/>
  <c r="B336" i="4"/>
  <c r="AX335" i="4"/>
  <c r="AN335" i="4"/>
  <c r="AO335" i="4" s="1"/>
  <c r="AM335" i="4"/>
  <c r="Y335" i="4"/>
  <c r="T335" i="4"/>
  <c r="S335" i="4"/>
  <c r="R335" i="4"/>
  <c r="U335" i="4" s="1"/>
  <c r="Q335" i="4"/>
  <c r="BA335" i="4" s="1"/>
  <c r="P335" i="4"/>
  <c r="D335" i="4" s="1"/>
  <c r="N335" i="4"/>
  <c r="AZ335" i="4" s="1"/>
  <c r="M335" i="4"/>
  <c r="K335" i="4"/>
  <c r="F335" i="4"/>
  <c r="C335" i="4"/>
  <c r="V335" i="4" s="1"/>
  <c r="B335" i="4"/>
  <c r="AX334" i="4"/>
  <c r="AO334" i="4"/>
  <c r="AN334" i="4"/>
  <c r="AM334" i="4"/>
  <c r="Y334" i="4"/>
  <c r="Q334" i="4"/>
  <c r="BA334" i="4" s="1"/>
  <c r="P334" i="4"/>
  <c r="N334" i="4"/>
  <c r="AZ334" i="4" s="1"/>
  <c r="M334" i="4"/>
  <c r="K334" i="4"/>
  <c r="F334" i="4"/>
  <c r="D334" i="4"/>
  <c r="C334" i="4"/>
  <c r="R334" i="4" s="1"/>
  <c r="B334" i="4"/>
  <c r="AX333" i="4"/>
  <c r="AN333" i="4"/>
  <c r="AO333" i="4" s="1"/>
  <c r="AM333" i="4"/>
  <c r="Y333" i="4"/>
  <c r="P333" i="4"/>
  <c r="D333" i="4" s="1"/>
  <c r="V333" i="4" s="1"/>
  <c r="M333" i="4"/>
  <c r="N333" i="4" s="1"/>
  <c r="AZ333" i="4" s="1"/>
  <c r="K333" i="4"/>
  <c r="F333" i="4"/>
  <c r="C333" i="4"/>
  <c r="B333" i="4"/>
  <c r="BA332" i="4"/>
  <c r="AX332" i="4"/>
  <c r="AN332" i="4"/>
  <c r="AO332" i="4" s="1"/>
  <c r="AM332" i="4"/>
  <c r="Y332" i="4"/>
  <c r="V332" i="4"/>
  <c r="S332" i="4"/>
  <c r="R332" i="4"/>
  <c r="Q332" i="4"/>
  <c r="U332" i="4" s="1"/>
  <c r="P332" i="4"/>
  <c r="N332" i="4"/>
  <c r="AZ332" i="4" s="1"/>
  <c r="M332" i="4"/>
  <c r="K332" i="4"/>
  <c r="F332" i="4"/>
  <c r="D332" i="4"/>
  <c r="C332" i="4"/>
  <c r="B332" i="4"/>
  <c r="AX331" i="4"/>
  <c r="AN331" i="4"/>
  <c r="AO331" i="4" s="1"/>
  <c r="AM331" i="4"/>
  <c r="Y331" i="4"/>
  <c r="P331" i="4"/>
  <c r="D331" i="4" s="1"/>
  <c r="N331" i="4"/>
  <c r="AZ331" i="4" s="1"/>
  <c r="M331" i="4"/>
  <c r="K331" i="4"/>
  <c r="F331" i="4"/>
  <c r="B331" i="4"/>
  <c r="BA330" i="4"/>
  <c r="AX330" i="4"/>
  <c r="AO330" i="4"/>
  <c r="AN330" i="4"/>
  <c r="AM330" i="4"/>
  <c r="Y330" i="4"/>
  <c r="Q330" i="4"/>
  <c r="P330" i="4"/>
  <c r="M330" i="4"/>
  <c r="N330" i="4" s="1"/>
  <c r="AZ330" i="4" s="1"/>
  <c r="K330" i="4"/>
  <c r="F330" i="4"/>
  <c r="D330" i="4"/>
  <c r="C330" i="4"/>
  <c r="W330" i="4" s="1"/>
  <c r="B330" i="4"/>
  <c r="AX329" i="4"/>
  <c r="AO329" i="4"/>
  <c r="AN329" i="4"/>
  <c r="AM329" i="4"/>
  <c r="Y329" i="4"/>
  <c r="Q329" i="4"/>
  <c r="BA329" i="4" s="1"/>
  <c r="P329" i="4"/>
  <c r="M329" i="4"/>
  <c r="N329" i="4" s="1"/>
  <c r="AZ329" i="4" s="1"/>
  <c r="K329" i="4"/>
  <c r="F329" i="4"/>
  <c r="D329" i="4"/>
  <c r="W329" i="4" s="1"/>
  <c r="C329" i="4"/>
  <c r="T329" i="4" s="1"/>
  <c r="B329" i="4"/>
  <c r="AZ328" i="4"/>
  <c r="AX328" i="4"/>
  <c r="AN328" i="4"/>
  <c r="AO328" i="4" s="1"/>
  <c r="AM328" i="4"/>
  <c r="Y328" i="4"/>
  <c r="P328" i="4"/>
  <c r="N328" i="4"/>
  <c r="M328" i="4"/>
  <c r="K328" i="4"/>
  <c r="F328" i="4"/>
  <c r="B328" i="4"/>
  <c r="BA327" i="4"/>
  <c r="AX327" i="4"/>
  <c r="AN327" i="4"/>
  <c r="AO327" i="4" s="1"/>
  <c r="AM327" i="4"/>
  <c r="Y327" i="4"/>
  <c r="S327" i="4"/>
  <c r="R327" i="4"/>
  <c r="U327" i="4" s="1"/>
  <c r="Q327" i="4"/>
  <c r="P327" i="4"/>
  <c r="N327" i="4"/>
  <c r="AZ327" i="4" s="1"/>
  <c r="M327" i="4"/>
  <c r="K327" i="4"/>
  <c r="F327" i="4"/>
  <c r="D327" i="4"/>
  <c r="C327" i="4"/>
  <c r="T327" i="4" s="1"/>
  <c r="B327" i="4"/>
  <c r="AX326" i="4"/>
  <c r="AN326" i="4"/>
  <c r="AO326" i="4" s="1"/>
  <c r="AM326" i="4"/>
  <c r="Y326" i="4"/>
  <c r="T326" i="4"/>
  <c r="Q326" i="4"/>
  <c r="BA326" i="4" s="1"/>
  <c r="P326" i="4"/>
  <c r="D326" i="4" s="1"/>
  <c r="N326" i="4"/>
  <c r="AZ326" i="4" s="1"/>
  <c r="M326" i="4"/>
  <c r="K326" i="4"/>
  <c r="F326" i="4"/>
  <c r="C326" i="4"/>
  <c r="V326" i="4" s="1"/>
  <c r="B326" i="4"/>
  <c r="AX325" i="4"/>
  <c r="AO325" i="4"/>
  <c r="AN325" i="4"/>
  <c r="AM325" i="4"/>
  <c r="Y325" i="4"/>
  <c r="V325" i="4"/>
  <c r="Q325" i="4"/>
  <c r="P325" i="4"/>
  <c r="M325" i="4"/>
  <c r="N325" i="4" s="1"/>
  <c r="AZ325" i="4" s="1"/>
  <c r="K325" i="4"/>
  <c r="F325" i="4"/>
  <c r="D325" i="4"/>
  <c r="C325" i="4"/>
  <c r="T325" i="4" s="1"/>
  <c r="B325" i="4"/>
  <c r="AZ324" i="4"/>
  <c r="AX324" i="4"/>
  <c r="AN324" i="4"/>
  <c r="AO324" i="4" s="1"/>
  <c r="AM324" i="4"/>
  <c r="Y324" i="4"/>
  <c r="P324" i="4"/>
  <c r="N324" i="4"/>
  <c r="M324" i="4"/>
  <c r="K324" i="4"/>
  <c r="F324" i="4"/>
  <c r="B324" i="4"/>
  <c r="BA323" i="4"/>
  <c r="AX323" i="4"/>
  <c r="AN323" i="4"/>
  <c r="AO323" i="4" s="1"/>
  <c r="AM323" i="4"/>
  <c r="Y323" i="4"/>
  <c r="S323" i="4"/>
  <c r="R323" i="4"/>
  <c r="U323" i="4" s="1"/>
  <c r="Q323" i="4"/>
  <c r="P323" i="4"/>
  <c r="N323" i="4"/>
  <c r="AZ323" i="4" s="1"/>
  <c r="M323" i="4"/>
  <c r="K323" i="4"/>
  <c r="F323" i="4"/>
  <c r="D323" i="4"/>
  <c r="C323" i="4"/>
  <c r="T323" i="4" s="1"/>
  <c r="B323" i="4"/>
  <c r="AX322" i="4"/>
  <c r="AN322" i="4"/>
  <c r="AO322" i="4" s="1"/>
  <c r="AM322" i="4"/>
  <c r="Y322" i="4"/>
  <c r="T322" i="4"/>
  <c r="Q322" i="4"/>
  <c r="BA322" i="4" s="1"/>
  <c r="P322" i="4"/>
  <c r="D322" i="4" s="1"/>
  <c r="N322" i="4"/>
  <c r="AZ322" i="4" s="1"/>
  <c r="M322" i="4"/>
  <c r="K322" i="4"/>
  <c r="F322" i="4"/>
  <c r="C322" i="4"/>
  <c r="V322" i="4" s="1"/>
  <c r="B322" i="4"/>
  <c r="AX321" i="4"/>
  <c r="AO321" i="4"/>
  <c r="AN321" i="4"/>
  <c r="AM321" i="4"/>
  <c r="Y321" i="4"/>
  <c r="V321" i="4"/>
  <c r="Q321" i="4"/>
  <c r="P321" i="4"/>
  <c r="C321" i="4" s="1"/>
  <c r="M321" i="4"/>
  <c r="N321" i="4" s="1"/>
  <c r="AZ321" i="4" s="1"/>
  <c r="K321" i="4"/>
  <c r="F321" i="4"/>
  <c r="D321" i="4"/>
  <c r="B321" i="4"/>
  <c r="AX320" i="4"/>
  <c r="AW320" i="4"/>
  <c r="AO320" i="4"/>
  <c r="AN320" i="4"/>
  <c r="AM320" i="4"/>
  <c r="Y320" i="4"/>
  <c r="P320" i="4"/>
  <c r="Q320" i="4" s="1"/>
  <c r="N320" i="4"/>
  <c r="AZ320" i="4" s="1"/>
  <c r="M320" i="4"/>
  <c r="K320" i="4"/>
  <c r="F320" i="4"/>
  <c r="B320" i="4"/>
  <c r="AZ319" i="4"/>
  <c r="AX319" i="4"/>
  <c r="AO319" i="4"/>
  <c r="AN319" i="4"/>
  <c r="AM319" i="4"/>
  <c r="Y319" i="4"/>
  <c r="Q319" i="4"/>
  <c r="P319" i="4"/>
  <c r="D319" i="4" s="1"/>
  <c r="M319" i="4"/>
  <c r="N319" i="4" s="1"/>
  <c r="K319" i="4"/>
  <c r="F319" i="4"/>
  <c r="B319" i="4"/>
  <c r="AX318" i="4"/>
  <c r="AO318" i="4"/>
  <c r="AN318" i="4"/>
  <c r="AM318" i="4"/>
  <c r="Y318" i="4"/>
  <c r="T318" i="4"/>
  <c r="S318" i="4"/>
  <c r="P318" i="4"/>
  <c r="Q318" i="4" s="1"/>
  <c r="M318" i="4"/>
  <c r="N318" i="4" s="1"/>
  <c r="AZ318" i="4" s="1"/>
  <c r="K318" i="4"/>
  <c r="F318" i="4"/>
  <c r="D318" i="4"/>
  <c r="V318" i="4" s="1"/>
  <c r="C318" i="4"/>
  <c r="R318" i="4" s="1"/>
  <c r="B318" i="4"/>
  <c r="AX317" i="4"/>
  <c r="AN317" i="4"/>
  <c r="AO317" i="4" s="1"/>
  <c r="AM317" i="4"/>
  <c r="Y317" i="4"/>
  <c r="P317" i="4"/>
  <c r="Q317" i="4" s="1"/>
  <c r="BA317" i="4" s="1"/>
  <c r="M317" i="4"/>
  <c r="N317" i="4" s="1"/>
  <c r="AZ317" i="4" s="1"/>
  <c r="K317" i="4"/>
  <c r="F317" i="4"/>
  <c r="D317" i="4"/>
  <c r="C317" i="4"/>
  <c r="B317" i="4"/>
  <c r="AX316" i="4"/>
  <c r="AO316" i="4"/>
  <c r="AN316" i="4"/>
  <c r="AM316" i="4"/>
  <c r="Y316" i="4"/>
  <c r="P316" i="4"/>
  <c r="Q316" i="4" s="1"/>
  <c r="N316" i="4"/>
  <c r="AZ316" i="4" s="1"/>
  <c r="M316" i="4"/>
  <c r="K316" i="4"/>
  <c r="F316" i="4"/>
  <c r="B316" i="4"/>
  <c r="AZ315" i="4"/>
  <c r="AX315" i="4"/>
  <c r="AO315" i="4"/>
  <c r="AN315" i="4"/>
  <c r="AM315" i="4"/>
  <c r="Y315" i="4"/>
  <c r="Q315" i="4"/>
  <c r="P315" i="4"/>
  <c r="D315" i="4" s="1"/>
  <c r="M315" i="4"/>
  <c r="N315" i="4" s="1"/>
  <c r="K315" i="4"/>
  <c r="F315" i="4"/>
  <c r="B315" i="4"/>
  <c r="AX314" i="4"/>
  <c r="AO314" i="4"/>
  <c r="AN314" i="4"/>
  <c r="AM314" i="4"/>
  <c r="Y314" i="4"/>
  <c r="P314" i="4"/>
  <c r="Q314" i="4" s="1"/>
  <c r="M314" i="4"/>
  <c r="N314" i="4" s="1"/>
  <c r="AZ314" i="4" s="1"/>
  <c r="K314" i="4"/>
  <c r="F314" i="4"/>
  <c r="D314" i="4"/>
  <c r="C314" i="4"/>
  <c r="S314" i="4" s="1"/>
  <c r="B314" i="4"/>
  <c r="AX313" i="4"/>
  <c r="AN313" i="4"/>
  <c r="AO313" i="4" s="1"/>
  <c r="AM313" i="4"/>
  <c r="Y313" i="4"/>
  <c r="W313" i="4"/>
  <c r="P313" i="4"/>
  <c r="Q313" i="4" s="1"/>
  <c r="BA313" i="4" s="1"/>
  <c r="N313" i="4"/>
  <c r="AZ313" i="4" s="1"/>
  <c r="M313" i="4"/>
  <c r="K313" i="4"/>
  <c r="F313" i="4"/>
  <c r="D313" i="4"/>
  <c r="C313" i="4"/>
  <c r="B313" i="4"/>
  <c r="AX312" i="4"/>
  <c r="AO312" i="4"/>
  <c r="AN312" i="4"/>
  <c r="AM312" i="4"/>
  <c r="Y312" i="4"/>
  <c r="Q312" i="4"/>
  <c r="P312" i="4"/>
  <c r="D312" i="4" s="1"/>
  <c r="N312" i="4"/>
  <c r="AZ312" i="4" s="1"/>
  <c r="M312" i="4"/>
  <c r="K312" i="4"/>
  <c r="F312" i="4"/>
  <c r="B312" i="4"/>
  <c r="AZ311" i="4"/>
  <c r="AX311" i="4"/>
  <c r="AO311" i="4"/>
  <c r="AN311" i="4"/>
  <c r="AM311" i="4"/>
  <c r="Y311" i="4"/>
  <c r="S311" i="4"/>
  <c r="Q311" i="4"/>
  <c r="P311" i="4"/>
  <c r="D311" i="4" s="1"/>
  <c r="N311" i="4"/>
  <c r="M311" i="4"/>
  <c r="K311" i="4"/>
  <c r="F311" i="4"/>
  <c r="C311" i="4"/>
  <c r="W311" i="4" s="1"/>
  <c r="B311" i="4"/>
  <c r="AX310" i="4"/>
  <c r="AN310" i="4"/>
  <c r="AO310" i="4" s="1"/>
  <c r="AM310" i="4"/>
  <c r="Y310" i="4"/>
  <c r="Q310" i="4"/>
  <c r="BA310" i="4" s="1"/>
  <c r="P310" i="4"/>
  <c r="M310" i="4"/>
  <c r="N310" i="4" s="1"/>
  <c r="AZ310" i="4" s="1"/>
  <c r="K310" i="4"/>
  <c r="F310" i="4"/>
  <c r="D310" i="4"/>
  <c r="C310" i="4"/>
  <c r="B310" i="4"/>
  <c r="AX309" i="4"/>
  <c r="AN309" i="4"/>
  <c r="AO309" i="4" s="1"/>
  <c r="AM309" i="4"/>
  <c r="Y309" i="4"/>
  <c r="W309" i="4"/>
  <c r="P309" i="4"/>
  <c r="Q309" i="4" s="1"/>
  <c r="BA309" i="4" s="1"/>
  <c r="N309" i="4"/>
  <c r="AZ309" i="4" s="1"/>
  <c r="M309" i="4"/>
  <c r="K309" i="4"/>
  <c r="F309" i="4"/>
  <c r="D309" i="4"/>
  <c r="C309" i="4"/>
  <c r="B309" i="4"/>
  <c r="AX308" i="4"/>
  <c r="AN308" i="4"/>
  <c r="AO308" i="4" s="1"/>
  <c r="AM308" i="4"/>
  <c r="Y308" i="4"/>
  <c r="Q308" i="4"/>
  <c r="P308" i="4"/>
  <c r="D308" i="4" s="1"/>
  <c r="N308" i="4"/>
  <c r="AZ308" i="4" s="1"/>
  <c r="M308" i="4"/>
  <c r="K308" i="4"/>
  <c r="F308" i="4"/>
  <c r="B308" i="4"/>
  <c r="AZ307" i="4"/>
  <c r="AX307" i="4"/>
  <c r="AN307" i="4"/>
  <c r="AO307" i="4" s="1"/>
  <c r="AM307" i="4"/>
  <c r="Y307" i="4"/>
  <c r="Q307" i="4"/>
  <c r="P307" i="4"/>
  <c r="D307" i="4" s="1"/>
  <c r="S307" i="4" s="1"/>
  <c r="N307" i="4"/>
  <c r="M307" i="4"/>
  <c r="K307" i="4"/>
  <c r="F307" i="4"/>
  <c r="C307" i="4"/>
  <c r="W307" i="4" s="1"/>
  <c r="B307" i="4"/>
  <c r="AX306" i="4"/>
  <c r="AN306" i="4"/>
  <c r="AO306" i="4" s="1"/>
  <c r="AM306" i="4"/>
  <c r="Y306" i="4"/>
  <c r="Q306" i="4"/>
  <c r="BA306" i="4" s="1"/>
  <c r="P306" i="4"/>
  <c r="M306" i="4"/>
  <c r="N306" i="4" s="1"/>
  <c r="AZ306" i="4" s="1"/>
  <c r="K306" i="4"/>
  <c r="F306" i="4"/>
  <c r="D306" i="4"/>
  <c r="C306" i="4"/>
  <c r="B306" i="4"/>
  <c r="AX305" i="4"/>
  <c r="AN305" i="4"/>
  <c r="AO305" i="4" s="1"/>
  <c r="AM305" i="4"/>
  <c r="Y305" i="4"/>
  <c r="P305" i="4"/>
  <c r="Q305" i="4" s="1"/>
  <c r="BA305" i="4" s="1"/>
  <c r="N305" i="4"/>
  <c r="AZ305" i="4" s="1"/>
  <c r="M305" i="4"/>
  <c r="K305" i="4"/>
  <c r="F305" i="4"/>
  <c r="D305" i="4"/>
  <c r="C305" i="4"/>
  <c r="B305" i="4"/>
  <c r="AZ304" i="4"/>
  <c r="AX304" i="4"/>
  <c r="AN304" i="4"/>
  <c r="AO304" i="4" s="1"/>
  <c r="AM304" i="4"/>
  <c r="Y304" i="4"/>
  <c r="Q304" i="4"/>
  <c r="P304" i="4"/>
  <c r="D304" i="4" s="1"/>
  <c r="N304" i="4"/>
  <c r="M304" i="4"/>
  <c r="K304" i="4"/>
  <c r="F304" i="4"/>
  <c r="B304" i="4"/>
  <c r="AZ303" i="4"/>
  <c r="AX303" i="4"/>
  <c r="AN303" i="4"/>
  <c r="AO303" i="4" s="1"/>
  <c r="AM303" i="4"/>
  <c r="Y303" i="4"/>
  <c r="Q303" i="4"/>
  <c r="P303" i="4"/>
  <c r="D303" i="4" s="1"/>
  <c r="N303" i="4"/>
  <c r="M303" i="4"/>
  <c r="K303" i="4"/>
  <c r="F303" i="4"/>
  <c r="C303" i="4"/>
  <c r="B303" i="4"/>
  <c r="AX302" i="4"/>
  <c r="AN302" i="4"/>
  <c r="AO302" i="4" s="1"/>
  <c r="AM302" i="4"/>
  <c r="Y302" i="4"/>
  <c r="Q302" i="4"/>
  <c r="BA302" i="4" s="1"/>
  <c r="P302" i="4"/>
  <c r="D302" i="4" s="1"/>
  <c r="M302" i="4"/>
  <c r="N302" i="4" s="1"/>
  <c r="AZ302" i="4" s="1"/>
  <c r="K302" i="4"/>
  <c r="F302" i="4"/>
  <c r="C302" i="4"/>
  <c r="S302" i="4" s="1"/>
  <c r="B302" i="4"/>
  <c r="AX301" i="4"/>
  <c r="AN301" i="4"/>
  <c r="AO301" i="4" s="1"/>
  <c r="AM301" i="4"/>
  <c r="Y301" i="4"/>
  <c r="W301" i="4"/>
  <c r="P301" i="4"/>
  <c r="Q301" i="4" s="1"/>
  <c r="BA301" i="4" s="1"/>
  <c r="N301" i="4"/>
  <c r="AZ301" i="4" s="1"/>
  <c r="M301" i="4"/>
  <c r="K301" i="4"/>
  <c r="F301" i="4"/>
  <c r="D301" i="4"/>
  <c r="C301" i="4"/>
  <c r="B301" i="4"/>
  <c r="AZ300" i="4"/>
  <c r="AX300" i="4"/>
  <c r="AN300" i="4"/>
  <c r="AO300" i="4" s="1"/>
  <c r="AM300" i="4"/>
  <c r="Y300" i="4"/>
  <c r="W300" i="4"/>
  <c r="Q300" i="4"/>
  <c r="P300" i="4"/>
  <c r="D300" i="4" s="1"/>
  <c r="N300" i="4"/>
  <c r="M300" i="4"/>
  <c r="K300" i="4"/>
  <c r="F300" i="4"/>
  <c r="C300" i="4"/>
  <c r="B300" i="4"/>
  <c r="AZ299" i="4"/>
  <c r="AX299" i="4"/>
  <c r="AO299" i="4"/>
  <c r="AN299" i="4"/>
  <c r="AM299" i="4"/>
  <c r="Y299" i="4"/>
  <c r="W299" i="4"/>
  <c r="S299" i="4"/>
  <c r="Q299" i="4"/>
  <c r="P299" i="4"/>
  <c r="N299" i="4"/>
  <c r="M299" i="4"/>
  <c r="K299" i="4"/>
  <c r="F299" i="4"/>
  <c r="D299" i="4"/>
  <c r="R299" i="4" s="1"/>
  <c r="C299" i="4"/>
  <c r="B299" i="4"/>
  <c r="AX298" i="4"/>
  <c r="AN298" i="4"/>
  <c r="AO298" i="4" s="1"/>
  <c r="AM298" i="4"/>
  <c r="Y298" i="4"/>
  <c r="S298" i="4"/>
  <c r="Q298" i="4"/>
  <c r="BA298" i="4" s="1"/>
  <c r="P298" i="4"/>
  <c r="D298" i="4" s="1"/>
  <c r="M298" i="4"/>
  <c r="N298" i="4" s="1"/>
  <c r="AZ298" i="4" s="1"/>
  <c r="K298" i="4"/>
  <c r="F298" i="4"/>
  <c r="C298" i="4"/>
  <c r="B298" i="4"/>
  <c r="AX297" i="4"/>
  <c r="AN297" i="4"/>
  <c r="AO297" i="4" s="1"/>
  <c r="AM297" i="4"/>
  <c r="Y297" i="4"/>
  <c r="W297" i="4"/>
  <c r="P297" i="4"/>
  <c r="Q297" i="4" s="1"/>
  <c r="BA297" i="4" s="1"/>
  <c r="N297" i="4"/>
  <c r="AZ297" i="4" s="1"/>
  <c r="M297" i="4"/>
  <c r="K297" i="4"/>
  <c r="F297" i="4"/>
  <c r="D297" i="4"/>
  <c r="C297" i="4"/>
  <c r="B297" i="4"/>
  <c r="AX296" i="4"/>
  <c r="AN296" i="4"/>
  <c r="AO296" i="4" s="1"/>
  <c r="AM296" i="4"/>
  <c r="Y296" i="4"/>
  <c r="Q296" i="4"/>
  <c r="P296" i="4"/>
  <c r="D296" i="4" s="1"/>
  <c r="W296" i="4" s="1"/>
  <c r="N296" i="4"/>
  <c r="AZ296" i="4" s="1"/>
  <c r="M296" i="4"/>
  <c r="K296" i="4"/>
  <c r="F296" i="4"/>
  <c r="C296" i="4"/>
  <c r="V296" i="4" s="1"/>
  <c r="B296" i="4"/>
  <c r="AZ295" i="4"/>
  <c r="AX295" i="4"/>
  <c r="AO295" i="4"/>
  <c r="AN295" i="4"/>
  <c r="AM295" i="4"/>
  <c r="Y295" i="4"/>
  <c r="W295" i="4"/>
  <c r="S295" i="4"/>
  <c r="Q295" i="4"/>
  <c r="P295" i="4"/>
  <c r="N295" i="4"/>
  <c r="M295" i="4"/>
  <c r="K295" i="4"/>
  <c r="F295" i="4"/>
  <c r="D295" i="4"/>
  <c r="R295" i="4" s="1"/>
  <c r="C295" i="4"/>
  <c r="B295" i="4"/>
  <c r="AX294" i="4"/>
  <c r="AN294" i="4"/>
  <c r="AO294" i="4" s="1"/>
  <c r="AM294" i="4"/>
  <c r="Y294" i="4"/>
  <c r="Q294" i="4"/>
  <c r="BA294" i="4" s="1"/>
  <c r="P294" i="4"/>
  <c r="D294" i="4" s="1"/>
  <c r="M294" i="4"/>
  <c r="N294" i="4" s="1"/>
  <c r="AZ294" i="4" s="1"/>
  <c r="K294" i="4"/>
  <c r="F294" i="4"/>
  <c r="C294" i="4"/>
  <c r="S294" i="4" s="1"/>
  <c r="B294" i="4"/>
  <c r="AX293" i="4"/>
  <c r="AN293" i="4"/>
  <c r="AO293" i="4" s="1"/>
  <c r="AM293" i="4"/>
  <c r="Y293" i="4"/>
  <c r="P293" i="4"/>
  <c r="Q293" i="4" s="1"/>
  <c r="BA293" i="4" s="1"/>
  <c r="N293" i="4"/>
  <c r="AZ293" i="4" s="1"/>
  <c r="M293" i="4"/>
  <c r="K293" i="4"/>
  <c r="F293" i="4"/>
  <c r="D293" i="4"/>
  <c r="C293" i="4"/>
  <c r="B293" i="4"/>
  <c r="AZ292" i="4"/>
  <c r="AX292" i="4"/>
  <c r="AN292" i="4"/>
  <c r="AO292" i="4" s="1"/>
  <c r="AM292" i="4"/>
  <c r="Y292" i="4"/>
  <c r="W292" i="4"/>
  <c r="Q292" i="4"/>
  <c r="P292" i="4"/>
  <c r="D292" i="4" s="1"/>
  <c r="N292" i="4"/>
  <c r="M292" i="4"/>
  <c r="K292" i="4"/>
  <c r="F292" i="4"/>
  <c r="C292" i="4"/>
  <c r="B292" i="4"/>
  <c r="AZ291" i="4"/>
  <c r="AX291" i="4"/>
  <c r="AO291" i="4"/>
  <c r="AN291" i="4"/>
  <c r="AM291" i="4"/>
  <c r="Y291" i="4"/>
  <c r="W291" i="4"/>
  <c r="S291" i="4"/>
  <c r="Q291" i="4"/>
  <c r="P291" i="4"/>
  <c r="N291" i="4"/>
  <c r="M291" i="4"/>
  <c r="K291" i="4"/>
  <c r="F291" i="4"/>
  <c r="D291" i="4"/>
  <c r="R291" i="4" s="1"/>
  <c r="C291" i="4"/>
  <c r="B291" i="4"/>
  <c r="AX290" i="4"/>
  <c r="AN290" i="4"/>
  <c r="AO290" i="4" s="1"/>
  <c r="AM290" i="4"/>
  <c r="Y290" i="4"/>
  <c r="Q290" i="4"/>
  <c r="BA290" i="4" s="1"/>
  <c r="P290" i="4"/>
  <c r="D290" i="4" s="1"/>
  <c r="S290" i="4" s="1"/>
  <c r="N290" i="4"/>
  <c r="AZ290" i="4" s="1"/>
  <c r="M290" i="4"/>
  <c r="K290" i="4"/>
  <c r="F290" i="4"/>
  <c r="C290" i="4"/>
  <c r="W290" i="4" s="1"/>
  <c r="B290" i="4"/>
  <c r="AZ289" i="4"/>
  <c r="AX289" i="4"/>
  <c r="AN289" i="4"/>
  <c r="AO289" i="4" s="1"/>
  <c r="AM289" i="4"/>
  <c r="Y289" i="4"/>
  <c r="W289" i="4"/>
  <c r="Q289" i="4"/>
  <c r="BA289" i="4" s="1"/>
  <c r="P289" i="4"/>
  <c r="N289" i="4"/>
  <c r="M289" i="4"/>
  <c r="K289" i="4"/>
  <c r="F289" i="4"/>
  <c r="D289" i="4"/>
  <c r="C289" i="4"/>
  <c r="B289" i="4"/>
  <c r="AZ288" i="4"/>
  <c r="AX288" i="4"/>
  <c r="AN288" i="4"/>
  <c r="AO288" i="4" s="1"/>
  <c r="AM288" i="4"/>
  <c r="Y288" i="4"/>
  <c r="Q288" i="4"/>
  <c r="P288" i="4"/>
  <c r="D288" i="4" s="1"/>
  <c r="W288" i="4" s="1"/>
  <c r="N288" i="4"/>
  <c r="M288" i="4"/>
  <c r="K288" i="4"/>
  <c r="F288" i="4"/>
  <c r="C288" i="4"/>
  <c r="V288" i="4" s="1"/>
  <c r="B288" i="4"/>
  <c r="AZ287" i="4"/>
  <c r="AX287" i="4"/>
  <c r="AN287" i="4"/>
  <c r="AO287" i="4" s="1"/>
  <c r="AM287" i="4"/>
  <c r="Y287" i="4"/>
  <c r="S287" i="4"/>
  <c r="Q287" i="4"/>
  <c r="BA287" i="4" s="1"/>
  <c r="P287" i="4"/>
  <c r="N287" i="4"/>
  <c r="M287" i="4"/>
  <c r="K287" i="4"/>
  <c r="F287" i="4"/>
  <c r="D287" i="4"/>
  <c r="C287" i="4"/>
  <c r="B287" i="4"/>
  <c r="AX286" i="4"/>
  <c r="AN286" i="4"/>
  <c r="AO286" i="4" s="1"/>
  <c r="AM286" i="4"/>
  <c r="Y286" i="4"/>
  <c r="W286" i="4"/>
  <c r="Q286" i="4"/>
  <c r="BA286" i="4" s="1"/>
  <c r="P286" i="4"/>
  <c r="D286" i="4" s="1"/>
  <c r="N286" i="4"/>
  <c r="AZ286" i="4" s="1"/>
  <c r="M286" i="4"/>
  <c r="K286" i="4"/>
  <c r="F286" i="4"/>
  <c r="C286" i="4"/>
  <c r="B286" i="4"/>
  <c r="AZ285" i="4"/>
  <c r="AX285" i="4"/>
  <c r="AN285" i="4"/>
  <c r="AO285" i="4" s="1"/>
  <c r="AM285" i="4"/>
  <c r="Y285" i="4"/>
  <c r="W285" i="4"/>
  <c r="Q285" i="4"/>
  <c r="BA285" i="4" s="1"/>
  <c r="P285" i="4"/>
  <c r="N285" i="4"/>
  <c r="M285" i="4"/>
  <c r="K285" i="4"/>
  <c r="F285" i="4"/>
  <c r="D285" i="4"/>
  <c r="C285" i="4"/>
  <c r="B285" i="4"/>
  <c r="AX284" i="4"/>
  <c r="AN284" i="4"/>
  <c r="AO284" i="4" s="1"/>
  <c r="AM284" i="4"/>
  <c r="Y284" i="4"/>
  <c r="Q284" i="4"/>
  <c r="P284" i="4"/>
  <c r="D284" i="4" s="1"/>
  <c r="N284" i="4"/>
  <c r="AZ284" i="4" s="1"/>
  <c r="M284" i="4"/>
  <c r="K284" i="4"/>
  <c r="F284" i="4"/>
  <c r="C284" i="4"/>
  <c r="V284" i="4" s="1"/>
  <c r="B284" i="4"/>
  <c r="AZ283" i="4"/>
  <c r="AX283" i="4"/>
  <c r="AN283" i="4"/>
  <c r="AO283" i="4" s="1"/>
  <c r="AM283" i="4"/>
  <c r="Y283" i="4"/>
  <c r="Q283" i="4"/>
  <c r="P283" i="4"/>
  <c r="N283" i="4"/>
  <c r="M283" i="4"/>
  <c r="K283" i="4"/>
  <c r="F283" i="4"/>
  <c r="D283" i="4"/>
  <c r="C283" i="4"/>
  <c r="B283" i="4"/>
  <c r="AX282" i="4"/>
  <c r="AN282" i="4"/>
  <c r="AO282" i="4" s="1"/>
  <c r="AM282" i="4"/>
  <c r="Y282" i="4"/>
  <c r="P282" i="4"/>
  <c r="N282" i="4"/>
  <c r="AZ282" i="4" s="1"/>
  <c r="M282" i="4"/>
  <c r="K282" i="4"/>
  <c r="F282" i="4"/>
  <c r="B282" i="4"/>
  <c r="AX281" i="4"/>
  <c r="AN281" i="4"/>
  <c r="AO281" i="4" s="1"/>
  <c r="AM281" i="4"/>
  <c r="Y281" i="4"/>
  <c r="Q281" i="4"/>
  <c r="P281" i="4"/>
  <c r="D281" i="4" s="1"/>
  <c r="N281" i="4"/>
  <c r="AZ281" i="4" s="1"/>
  <c r="M281" i="4"/>
  <c r="K281" i="4"/>
  <c r="F281" i="4"/>
  <c r="C281" i="4"/>
  <c r="B281" i="4"/>
  <c r="AX280" i="4"/>
  <c r="AN280" i="4"/>
  <c r="AO280" i="4" s="1"/>
  <c r="AM280" i="4"/>
  <c r="Y280" i="4"/>
  <c r="W280" i="4"/>
  <c r="T280" i="4"/>
  <c r="S280" i="4"/>
  <c r="R280" i="4"/>
  <c r="Q280" i="4"/>
  <c r="P280" i="4"/>
  <c r="D280" i="4" s="1"/>
  <c r="N280" i="4"/>
  <c r="AZ280" i="4" s="1"/>
  <c r="M280" i="4"/>
  <c r="K280" i="4"/>
  <c r="F280" i="4"/>
  <c r="C280" i="4"/>
  <c r="V280" i="4" s="1"/>
  <c r="B280" i="4"/>
  <c r="AX279" i="4"/>
  <c r="AO279" i="4"/>
  <c r="AN279" i="4"/>
  <c r="AM279" i="4"/>
  <c r="Y279" i="4"/>
  <c r="Q279" i="4"/>
  <c r="P279" i="4"/>
  <c r="M279" i="4"/>
  <c r="N279" i="4" s="1"/>
  <c r="AZ279" i="4" s="1"/>
  <c r="K279" i="4"/>
  <c r="F279" i="4"/>
  <c r="D279" i="4"/>
  <c r="C279" i="4"/>
  <c r="S279" i="4" s="1"/>
  <c r="B279" i="4"/>
  <c r="AX278" i="4"/>
  <c r="AO278" i="4"/>
  <c r="AN278" i="4"/>
  <c r="AM278" i="4"/>
  <c r="Y278" i="4"/>
  <c r="W278" i="4"/>
  <c r="P278" i="4"/>
  <c r="Q278" i="4" s="1"/>
  <c r="BA278" i="4" s="1"/>
  <c r="N278" i="4"/>
  <c r="AZ278" i="4" s="1"/>
  <c r="M278" i="4"/>
  <c r="K278" i="4"/>
  <c r="F278" i="4"/>
  <c r="D278" i="4"/>
  <c r="S278" i="4" s="1"/>
  <c r="C278" i="4"/>
  <c r="B278" i="4"/>
  <c r="AX277" i="4"/>
  <c r="AN277" i="4"/>
  <c r="AO277" i="4" s="1"/>
  <c r="AM277" i="4"/>
  <c r="Y277" i="4"/>
  <c r="W277" i="4"/>
  <c r="Q277" i="4"/>
  <c r="P277" i="4"/>
  <c r="D277" i="4" s="1"/>
  <c r="N277" i="4"/>
  <c r="AZ277" i="4" s="1"/>
  <c r="M277" i="4"/>
  <c r="K277" i="4"/>
  <c r="F277" i="4"/>
  <c r="C277" i="4"/>
  <c r="B277" i="4"/>
  <c r="AX276" i="4"/>
  <c r="AN276" i="4"/>
  <c r="AO276" i="4" s="1"/>
  <c r="AM276" i="4"/>
  <c r="Y276" i="4"/>
  <c r="P276" i="4"/>
  <c r="D276" i="4" s="1"/>
  <c r="N276" i="4"/>
  <c r="AZ276" i="4" s="1"/>
  <c r="M276" i="4"/>
  <c r="K276" i="4"/>
  <c r="F276" i="4"/>
  <c r="B276" i="4"/>
  <c r="AZ275" i="4"/>
  <c r="AX275" i="4"/>
  <c r="AO275" i="4"/>
  <c r="AN275" i="4"/>
  <c r="AM275" i="4"/>
  <c r="Y275" i="4"/>
  <c r="Q275" i="4"/>
  <c r="BA275" i="4" s="1"/>
  <c r="P275" i="4"/>
  <c r="D275" i="4" s="1"/>
  <c r="M275" i="4"/>
  <c r="N275" i="4" s="1"/>
  <c r="K275" i="4"/>
  <c r="F275" i="4"/>
  <c r="B275" i="4"/>
  <c r="AX274" i="4"/>
  <c r="AO274" i="4"/>
  <c r="AN274" i="4"/>
  <c r="AM274" i="4"/>
  <c r="Y274" i="4"/>
  <c r="P274" i="4"/>
  <c r="N274" i="4"/>
  <c r="AZ274" i="4" s="1"/>
  <c r="M274" i="4"/>
  <c r="K274" i="4"/>
  <c r="F274" i="4"/>
  <c r="B274" i="4"/>
  <c r="AZ273" i="4"/>
  <c r="AX273" i="4"/>
  <c r="AN273" i="4"/>
  <c r="AO273" i="4" s="1"/>
  <c r="AM273" i="4"/>
  <c r="Y273" i="4"/>
  <c r="P273" i="4"/>
  <c r="D273" i="4" s="1"/>
  <c r="M273" i="4"/>
  <c r="N273" i="4" s="1"/>
  <c r="K273" i="4"/>
  <c r="F273" i="4"/>
  <c r="B273" i="4"/>
  <c r="AX272" i="4"/>
  <c r="AO272" i="4"/>
  <c r="AN272" i="4"/>
  <c r="AM272" i="4"/>
  <c r="Y272" i="4"/>
  <c r="P272" i="4"/>
  <c r="C272" i="4" s="1"/>
  <c r="R272" i="4" s="1"/>
  <c r="N272" i="4"/>
  <c r="AZ272" i="4" s="1"/>
  <c r="M272" i="4"/>
  <c r="K272" i="4"/>
  <c r="F272" i="4"/>
  <c r="D272" i="4"/>
  <c r="W272" i="4" s="1"/>
  <c r="B272" i="4"/>
  <c r="AX271" i="4"/>
  <c r="AN271" i="4"/>
  <c r="AO271" i="4" s="1"/>
  <c r="AM271" i="4"/>
  <c r="Y271" i="4"/>
  <c r="P271" i="4"/>
  <c r="D271" i="4" s="1"/>
  <c r="M271" i="4"/>
  <c r="N271" i="4" s="1"/>
  <c r="AZ271" i="4" s="1"/>
  <c r="K271" i="4"/>
  <c r="F271" i="4"/>
  <c r="B271" i="4"/>
  <c r="AX270" i="4"/>
  <c r="AO270" i="4"/>
  <c r="AN270" i="4"/>
  <c r="AM270" i="4"/>
  <c r="Y270" i="4"/>
  <c r="P270" i="4"/>
  <c r="M270" i="4"/>
  <c r="N270" i="4" s="1"/>
  <c r="AZ270" i="4" s="1"/>
  <c r="K270" i="4"/>
  <c r="F270" i="4"/>
  <c r="D270" i="4"/>
  <c r="B270" i="4"/>
  <c r="AZ269" i="4"/>
  <c r="AX269" i="4"/>
  <c r="AN269" i="4"/>
  <c r="AO269" i="4" s="1"/>
  <c r="AM269" i="4"/>
  <c r="Y269" i="4"/>
  <c r="Q269" i="4"/>
  <c r="BA269" i="4" s="1"/>
  <c r="P269" i="4"/>
  <c r="D269" i="4" s="1"/>
  <c r="M269" i="4"/>
  <c r="N269" i="4" s="1"/>
  <c r="K269" i="4"/>
  <c r="F269" i="4"/>
  <c r="C269" i="4"/>
  <c r="B269" i="4"/>
  <c r="AX268" i="4"/>
  <c r="AO268" i="4"/>
  <c r="AN268" i="4"/>
  <c r="AM268" i="4"/>
  <c r="Y268" i="4"/>
  <c r="P268" i="4"/>
  <c r="C268" i="4" s="1"/>
  <c r="S268" i="4" s="1"/>
  <c r="M268" i="4"/>
  <c r="N268" i="4" s="1"/>
  <c r="AZ268" i="4" s="1"/>
  <c r="K268" i="4"/>
  <c r="F268" i="4"/>
  <c r="D268" i="4"/>
  <c r="B268" i="4"/>
  <c r="AZ267" i="4"/>
  <c r="AX267" i="4"/>
  <c r="AO267" i="4"/>
  <c r="AN267" i="4"/>
  <c r="AM267" i="4"/>
  <c r="Y267" i="4"/>
  <c r="Q267" i="4"/>
  <c r="P267" i="4"/>
  <c r="M267" i="4"/>
  <c r="N267" i="4" s="1"/>
  <c r="K267" i="4"/>
  <c r="F267" i="4"/>
  <c r="D267" i="4"/>
  <c r="C267" i="4"/>
  <c r="B267" i="4"/>
  <c r="AX266" i="4"/>
  <c r="AO266" i="4"/>
  <c r="AN266" i="4"/>
  <c r="AM266" i="4"/>
  <c r="Y266" i="4"/>
  <c r="P266" i="4"/>
  <c r="N266" i="4"/>
  <c r="AZ266" i="4" s="1"/>
  <c r="M266" i="4"/>
  <c r="K266" i="4"/>
  <c r="F266" i="4"/>
  <c r="D266" i="4"/>
  <c r="B266" i="4"/>
  <c r="AX265" i="4"/>
  <c r="AN265" i="4"/>
  <c r="AO265" i="4" s="1"/>
  <c r="AM265" i="4"/>
  <c r="Y265" i="4"/>
  <c r="P265" i="4"/>
  <c r="D265" i="4" s="1"/>
  <c r="M265" i="4"/>
  <c r="N265" i="4" s="1"/>
  <c r="AZ265" i="4" s="1"/>
  <c r="K265" i="4"/>
  <c r="F265" i="4"/>
  <c r="B265" i="4"/>
  <c r="AX264" i="4"/>
  <c r="AO264" i="4"/>
  <c r="AN264" i="4"/>
  <c r="AM264" i="4"/>
  <c r="Y264" i="4"/>
  <c r="P264" i="4"/>
  <c r="N264" i="4"/>
  <c r="AZ264" i="4" s="1"/>
  <c r="M264" i="4"/>
  <c r="K264" i="4"/>
  <c r="F264" i="4"/>
  <c r="D264" i="4"/>
  <c r="B264" i="4"/>
  <c r="AX263" i="4"/>
  <c r="AO263" i="4"/>
  <c r="AN263" i="4"/>
  <c r="AM263" i="4"/>
  <c r="Y263" i="4"/>
  <c r="Q263" i="4"/>
  <c r="P263" i="4"/>
  <c r="M263" i="4"/>
  <c r="N263" i="4" s="1"/>
  <c r="AZ263" i="4" s="1"/>
  <c r="K263" i="4"/>
  <c r="F263" i="4"/>
  <c r="D263" i="4"/>
  <c r="C263" i="4"/>
  <c r="B263" i="4"/>
  <c r="AX262" i="4"/>
  <c r="AO262" i="4"/>
  <c r="AN262" i="4"/>
  <c r="AM262" i="4"/>
  <c r="Y262" i="4"/>
  <c r="P262" i="4"/>
  <c r="N262" i="4"/>
  <c r="AZ262" i="4" s="1"/>
  <c r="M262" i="4"/>
  <c r="K262" i="4"/>
  <c r="F262" i="4"/>
  <c r="D262" i="4"/>
  <c r="B262" i="4"/>
  <c r="AX261" i="4"/>
  <c r="AN261" i="4"/>
  <c r="AO261" i="4" s="1"/>
  <c r="AM261" i="4"/>
  <c r="Y261" i="4"/>
  <c r="P261" i="4"/>
  <c r="Q261" i="4" s="1"/>
  <c r="M261" i="4"/>
  <c r="N261" i="4" s="1"/>
  <c r="AZ261" i="4" s="1"/>
  <c r="K261" i="4"/>
  <c r="F261" i="4"/>
  <c r="C261" i="4"/>
  <c r="B261" i="4"/>
  <c r="AX260" i="4"/>
  <c r="AO260" i="4"/>
  <c r="AN260" i="4"/>
  <c r="AM260" i="4"/>
  <c r="Y260" i="4"/>
  <c r="P260" i="4"/>
  <c r="M260" i="4"/>
  <c r="N260" i="4" s="1"/>
  <c r="AZ260" i="4" s="1"/>
  <c r="K260" i="4"/>
  <c r="F260" i="4"/>
  <c r="B260" i="4"/>
  <c r="AX259" i="4"/>
  <c r="AN259" i="4"/>
  <c r="AO259" i="4" s="1"/>
  <c r="AM259" i="4"/>
  <c r="Y259" i="4"/>
  <c r="P259" i="4"/>
  <c r="Q259" i="4" s="1"/>
  <c r="M259" i="4"/>
  <c r="N259" i="4" s="1"/>
  <c r="AZ259" i="4" s="1"/>
  <c r="K259" i="4"/>
  <c r="F259" i="4"/>
  <c r="C259" i="4"/>
  <c r="B259" i="4"/>
  <c r="AX258" i="4"/>
  <c r="AO258" i="4"/>
  <c r="AN258" i="4"/>
  <c r="AM258" i="4"/>
  <c r="Y258" i="4"/>
  <c r="P258" i="4"/>
  <c r="M258" i="4"/>
  <c r="N258" i="4" s="1"/>
  <c r="AZ258" i="4" s="1"/>
  <c r="K258" i="4"/>
  <c r="F258" i="4"/>
  <c r="D258" i="4"/>
  <c r="B258" i="4"/>
  <c r="AZ257" i="4"/>
  <c r="AX257" i="4"/>
  <c r="AO257" i="4"/>
  <c r="AN257" i="4"/>
  <c r="AM257" i="4"/>
  <c r="Y257" i="4"/>
  <c r="Q257" i="4"/>
  <c r="BA257" i="4" s="1"/>
  <c r="P257" i="4"/>
  <c r="M257" i="4"/>
  <c r="N257" i="4" s="1"/>
  <c r="K257" i="4"/>
  <c r="F257" i="4"/>
  <c r="D257" i="4"/>
  <c r="T257" i="4" s="1"/>
  <c r="C257" i="4"/>
  <c r="B257" i="4"/>
  <c r="AX256" i="4"/>
  <c r="AO256" i="4"/>
  <c r="AN256" i="4"/>
  <c r="AM256" i="4"/>
  <c r="Y256" i="4"/>
  <c r="P256" i="4"/>
  <c r="N256" i="4"/>
  <c r="AZ256" i="4" s="1"/>
  <c r="M256" i="4"/>
  <c r="K256" i="4"/>
  <c r="F256" i="4"/>
  <c r="D256" i="4"/>
  <c r="B256" i="4"/>
  <c r="AX255" i="4"/>
  <c r="AN255" i="4"/>
  <c r="AO255" i="4" s="1"/>
  <c r="AM255" i="4"/>
  <c r="Y255" i="4"/>
  <c r="P255" i="4"/>
  <c r="Q255" i="4" s="1"/>
  <c r="M255" i="4"/>
  <c r="N255" i="4" s="1"/>
  <c r="AZ255" i="4" s="1"/>
  <c r="K255" i="4"/>
  <c r="F255" i="4"/>
  <c r="D255" i="4"/>
  <c r="C255" i="4"/>
  <c r="B255" i="4"/>
  <c r="AX254" i="4"/>
  <c r="AO254" i="4"/>
  <c r="AN254" i="4"/>
  <c r="AM254" i="4"/>
  <c r="Y254" i="4"/>
  <c r="P254" i="4"/>
  <c r="M254" i="4"/>
  <c r="N254" i="4" s="1"/>
  <c r="AZ254" i="4" s="1"/>
  <c r="K254" i="4"/>
  <c r="F254" i="4"/>
  <c r="D254" i="4"/>
  <c r="B254" i="4"/>
  <c r="AX253" i="4"/>
  <c r="AN253" i="4"/>
  <c r="AO253" i="4" s="1"/>
  <c r="AM253" i="4"/>
  <c r="Y253" i="4"/>
  <c r="P253" i="4"/>
  <c r="Q253" i="4" s="1"/>
  <c r="M253" i="4"/>
  <c r="N253" i="4" s="1"/>
  <c r="AZ253" i="4" s="1"/>
  <c r="K253" i="4"/>
  <c r="F253" i="4"/>
  <c r="C253" i="4"/>
  <c r="B253" i="4"/>
  <c r="AX252" i="4"/>
  <c r="AO252" i="4"/>
  <c r="AN252" i="4"/>
  <c r="AM252" i="4"/>
  <c r="Y252" i="4"/>
  <c r="P252" i="4"/>
  <c r="M252" i="4"/>
  <c r="N252" i="4" s="1"/>
  <c r="AZ252" i="4" s="1"/>
  <c r="K252" i="4"/>
  <c r="F252" i="4"/>
  <c r="B252" i="4"/>
  <c r="AZ251" i="4"/>
  <c r="AX251" i="4"/>
  <c r="AN251" i="4"/>
  <c r="AO251" i="4" s="1"/>
  <c r="AM251" i="4"/>
  <c r="Y251" i="4"/>
  <c r="P251" i="4"/>
  <c r="Q251" i="4" s="1"/>
  <c r="BA251" i="4" s="1"/>
  <c r="M251" i="4"/>
  <c r="N251" i="4" s="1"/>
  <c r="K251" i="4"/>
  <c r="F251" i="4"/>
  <c r="C251" i="4"/>
  <c r="B251" i="4"/>
  <c r="AX250" i="4"/>
  <c r="AO250" i="4"/>
  <c r="AN250" i="4"/>
  <c r="AM250" i="4"/>
  <c r="Y250" i="4"/>
  <c r="P250" i="4"/>
  <c r="D250" i="4" s="1"/>
  <c r="M250" i="4"/>
  <c r="N250" i="4" s="1"/>
  <c r="AZ250" i="4" s="1"/>
  <c r="K250" i="4"/>
  <c r="F250" i="4"/>
  <c r="B250" i="4"/>
  <c r="BA249" i="4"/>
  <c r="AZ249" i="4"/>
  <c r="AX249" i="4"/>
  <c r="AO249" i="4"/>
  <c r="AN249" i="4"/>
  <c r="AM249" i="4"/>
  <c r="Y249" i="4"/>
  <c r="R249" i="4"/>
  <c r="Q249" i="4"/>
  <c r="P249" i="4"/>
  <c r="M249" i="4"/>
  <c r="N249" i="4" s="1"/>
  <c r="K249" i="4"/>
  <c r="F249" i="4"/>
  <c r="D249" i="4"/>
  <c r="T249" i="4" s="1"/>
  <c r="C249" i="4"/>
  <c r="B249" i="4"/>
  <c r="AX248" i="4"/>
  <c r="AO248" i="4"/>
  <c r="AN248" i="4"/>
  <c r="AM248" i="4"/>
  <c r="Y248" i="4"/>
  <c r="P248" i="4"/>
  <c r="N248" i="4"/>
  <c r="AZ248" i="4" s="1"/>
  <c r="M248" i="4"/>
  <c r="K248" i="4"/>
  <c r="F248" i="4"/>
  <c r="D248" i="4"/>
  <c r="B248" i="4"/>
  <c r="AX247" i="4"/>
  <c r="AO247" i="4"/>
  <c r="AN247" i="4"/>
  <c r="AM247" i="4"/>
  <c r="Y247" i="4"/>
  <c r="Q247" i="4"/>
  <c r="P247" i="4"/>
  <c r="D247" i="4" s="1"/>
  <c r="M247" i="4"/>
  <c r="N247" i="4" s="1"/>
  <c r="AZ247" i="4" s="1"/>
  <c r="K247" i="4"/>
  <c r="F247" i="4"/>
  <c r="C247" i="4"/>
  <c r="B247" i="4"/>
  <c r="AX246" i="4"/>
  <c r="AO246" i="4"/>
  <c r="AN246" i="4"/>
  <c r="AM246" i="4"/>
  <c r="Y246" i="4"/>
  <c r="P246" i="4"/>
  <c r="N246" i="4"/>
  <c r="AZ246" i="4" s="1"/>
  <c r="M246" i="4"/>
  <c r="K246" i="4"/>
  <c r="F246" i="4"/>
  <c r="D246" i="4"/>
  <c r="B246" i="4"/>
  <c r="AX245" i="4"/>
  <c r="AN245" i="4"/>
  <c r="AO245" i="4" s="1"/>
  <c r="AM245" i="4"/>
  <c r="Y245" i="4"/>
  <c r="P245" i="4"/>
  <c r="Q245" i="4" s="1"/>
  <c r="M245" i="4"/>
  <c r="N245" i="4" s="1"/>
  <c r="AZ245" i="4" s="1"/>
  <c r="K245" i="4"/>
  <c r="F245" i="4"/>
  <c r="C245" i="4"/>
  <c r="B245" i="4"/>
  <c r="AX244" i="4"/>
  <c r="AO244" i="4"/>
  <c r="AN244" i="4"/>
  <c r="AM244" i="4"/>
  <c r="Y244" i="4"/>
  <c r="P244" i="4"/>
  <c r="M244" i="4"/>
  <c r="N244" i="4" s="1"/>
  <c r="AZ244" i="4" s="1"/>
  <c r="K244" i="4"/>
  <c r="F244" i="4"/>
  <c r="B244" i="4"/>
  <c r="BA243" i="4"/>
  <c r="AZ243" i="4"/>
  <c r="AX243" i="4"/>
  <c r="AN243" i="4"/>
  <c r="AO243" i="4" s="1"/>
  <c r="AM243" i="4"/>
  <c r="Y243" i="4"/>
  <c r="P243" i="4"/>
  <c r="Q243" i="4" s="1"/>
  <c r="M243" i="4"/>
  <c r="N243" i="4" s="1"/>
  <c r="K243" i="4"/>
  <c r="F243" i="4"/>
  <c r="C243" i="4"/>
  <c r="B243" i="4"/>
  <c r="AX242" i="4"/>
  <c r="AO242" i="4"/>
  <c r="AN242" i="4"/>
  <c r="AM242" i="4"/>
  <c r="Y242" i="4"/>
  <c r="P242" i="4"/>
  <c r="D242" i="4" s="1"/>
  <c r="M242" i="4"/>
  <c r="N242" i="4" s="1"/>
  <c r="AZ242" i="4" s="1"/>
  <c r="K242" i="4"/>
  <c r="F242" i="4"/>
  <c r="B242" i="4"/>
  <c r="AZ241" i="4"/>
  <c r="AX241" i="4"/>
  <c r="AO241" i="4"/>
  <c r="AN241" i="4"/>
  <c r="AM241" i="4"/>
  <c r="Y241" i="4"/>
  <c r="R241" i="4"/>
  <c r="Q241" i="4"/>
  <c r="BA241" i="4" s="1"/>
  <c r="P241" i="4"/>
  <c r="M241" i="4"/>
  <c r="N241" i="4" s="1"/>
  <c r="K241" i="4"/>
  <c r="F241" i="4"/>
  <c r="D241" i="4"/>
  <c r="T241" i="4" s="1"/>
  <c r="C241" i="4"/>
  <c r="B241" i="4"/>
  <c r="AX240" i="4"/>
  <c r="AO240" i="4"/>
  <c r="AN240" i="4"/>
  <c r="AM240" i="4"/>
  <c r="Y240" i="4"/>
  <c r="P240" i="4"/>
  <c r="N240" i="4"/>
  <c r="AZ240" i="4" s="1"/>
  <c r="M240" i="4"/>
  <c r="K240" i="4"/>
  <c r="F240" i="4"/>
  <c r="B240" i="4"/>
  <c r="AX239" i="4"/>
  <c r="AO239" i="4"/>
  <c r="AN239" i="4"/>
  <c r="AM239" i="4"/>
  <c r="Y239" i="4"/>
  <c r="Q239" i="4"/>
  <c r="P239" i="4"/>
  <c r="C239" i="4" s="1"/>
  <c r="M239" i="4"/>
  <c r="N239" i="4" s="1"/>
  <c r="AZ239" i="4" s="1"/>
  <c r="K239" i="4"/>
  <c r="F239" i="4"/>
  <c r="D239" i="4"/>
  <c r="B239" i="4"/>
  <c r="AX238" i="4"/>
  <c r="AO238" i="4"/>
  <c r="AN238" i="4"/>
  <c r="AM238" i="4"/>
  <c r="Y238" i="4"/>
  <c r="P238" i="4"/>
  <c r="N238" i="4"/>
  <c r="AZ238" i="4" s="1"/>
  <c r="M238" i="4"/>
  <c r="K238" i="4"/>
  <c r="F238" i="4"/>
  <c r="D238" i="4"/>
  <c r="B238" i="4"/>
  <c r="AX237" i="4"/>
  <c r="AN237" i="4"/>
  <c r="AO237" i="4" s="1"/>
  <c r="AM237" i="4"/>
  <c r="Y237" i="4"/>
  <c r="P237" i="4"/>
  <c r="Q237" i="4" s="1"/>
  <c r="M237" i="4"/>
  <c r="N237" i="4" s="1"/>
  <c r="AZ237" i="4" s="1"/>
  <c r="K237" i="4"/>
  <c r="F237" i="4"/>
  <c r="C237" i="4"/>
  <c r="B237" i="4"/>
  <c r="AX236" i="4"/>
  <c r="AO236" i="4"/>
  <c r="AN236" i="4"/>
  <c r="AM236" i="4"/>
  <c r="Y236" i="4"/>
  <c r="P236" i="4"/>
  <c r="M236" i="4"/>
  <c r="N236" i="4" s="1"/>
  <c r="AZ236" i="4" s="1"/>
  <c r="K236" i="4"/>
  <c r="F236" i="4"/>
  <c r="B236" i="4"/>
  <c r="AZ235" i="4"/>
  <c r="AX235" i="4"/>
  <c r="AN235" i="4"/>
  <c r="AO235" i="4" s="1"/>
  <c r="AM235" i="4"/>
  <c r="Y235" i="4"/>
  <c r="V235" i="4"/>
  <c r="T235" i="4"/>
  <c r="P235" i="4"/>
  <c r="D235" i="4" s="1"/>
  <c r="M235" i="4"/>
  <c r="K235" i="4"/>
  <c r="F235" i="4"/>
  <c r="C235" i="4"/>
  <c r="B235" i="4"/>
  <c r="BA234" i="4"/>
  <c r="AX234" i="4"/>
  <c r="AO234" i="4"/>
  <c r="AN234" i="4"/>
  <c r="AM234" i="4"/>
  <c r="Y234" i="4"/>
  <c r="V234" i="4"/>
  <c r="S234" i="4"/>
  <c r="Q234" i="4"/>
  <c r="P234" i="4"/>
  <c r="M234" i="4"/>
  <c r="N234" i="4" s="1"/>
  <c r="AZ234" i="4" s="1"/>
  <c r="K234" i="4"/>
  <c r="F234" i="4"/>
  <c r="D234" i="4"/>
  <c r="C234" i="4"/>
  <c r="T234" i="4" s="1"/>
  <c r="B234" i="4"/>
  <c r="AZ233" i="4"/>
  <c r="AX233" i="4"/>
  <c r="AN233" i="4"/>
  <c r="AO233" i="4" s="1"/>
  <c r="AM233" i="4"/>
  <c r="Y233" i="4"/>
  <c r="P233" i="4"/>
  <c r="D233" i="4" s="1"/>
  <c r="N233" i="4"/>
  <c r="M233" i="4"/>
  <c r="K233" i="4"/>
  <c r="F233" i="4"/>
  <c r="B233" i="4"/>
  <c r="BA232" i="4"/>
  <c r="AX232" i="4"/>
  <c r="AO232" i="4"/>
  <c r="AN232" i="4"/>
  <c r="AM232" i="4"/>
  <c r="Y232" i="4"/>
  <c r="W232" i="4"/>
  <c r="V232" i="4"/>
  <c r="Q232" i="4"/>
  <c r="P232" i="4"/>
  <c r="M232" i="4"/>
  <c r="N232" i="4" s="1"/>
  <c r="AZ232" i="4" s="1"/>
  <c r="K232" i="4"/>
  <c r="F232" i="4"/>
  <c r="D232" i="4"/>
  <c r="C232" i="4"/>
  <c r="B232" i="4"/>
  <c r="AZ231" i="4"/>
  <c r="AX231" i="4"/>
  <c r="AN231" i="4"/>
  <c r="AO231" i="4" s="1"/>
  <c r="AM231" i="4"/>
  <c r="Y231" i="4"/>
  <c r="W231" i="4"/>
  <c r="Q231" i="4"/>
  <c r="BA231" i="4" s="1"/>
  <c r="P231" i="4"/>
  <c r="D231" i="4" s="1"/>
  <c r="N231" i="4"/>
  <c r="M231" i="4"/>
  <c r="K231" i="4"/>
  <c r="F231" i="4"/>
  <c r="C231" i="4"/>
  <c r="T231" i="4" s="1"/>
  <c r="B231" i="4"/>
  <c r="BA230" i="4"/>
  <c r="AX230" i="4"/>
  <c r="AN230" i="4"/>
  <c r="AO230" i="4" s="1"/>
  <c r="AM230" i="4"/>
  <c r="Y230" i="4"/>
  <c r="Q230" i="4"/>
  <c r="P230" i="4"/>
  <c r="N230" i="4"/>
  <c r="AZ230" i="4" s="1"/>
  <c r="M230" i="4"/>
  <c r="K230" i="4"/>
  <c r="F230" i="4"/>
  <c r="D230" i="4"/>
  <c r="W230" i="4" s="1"/>
  <c r="C230" i="4"/>
  <c r="B230" i="4"/>
  <c r="AX229" i="4"/>
  <c r="AN229" i="4"/>
  <c r="AO229" i="4" s="1"/>
  <c r="AM229" i="4"/>
  <c r="Y229" i="4"/>
  <c r="Q229" i="4"/>
  <c r="BA229" i="4" s="1"/>
  <c r="P229" i="4"/>
  <c r="D229" i="4" s="1"/>
  <c r="N229" i="4"/>
  <c r="AZ229" i="4" s="1"/>
  <c r="M229" i="4"/>
  <c r="K229" i="4"/>
  <c r="F229" i="4"/>
  <c r="B229" i="4"/>
  <c r="AX228" i="4"/>
  <c r="AO228" i="4"/>
  <c r="AN228" i="4"/>
  <c r="AM228" i="4"/>
  <c r="Y228" i="4"/>
  <c r="R228" i="4"/>
  <c r="Q228" i="4"/>
  <c r="P228" i="4"/>
  <c r="N228" i="4"/>
  <c r="AZ228" i="4" s="1"/>
  <c r="M228" i="4"/>
  <c r="K228" i="4"/>
  <c r="F228" i="4"/>
  <c r="D228" i="4"/>
  <c r="C228" i="4"/>
  <c r="T228" i="4" s="1"/>
  <c r="B228" i="4"/>
  <c r="AZ227" i="4"/>
  <c r="AX227" i="4"/>
  <c r="AN227" i="4"/>
  <c r="AO227" i="4" s="1"/>
  <c r="AM227" i="4"/>
  <c r="Y227" i="4"/>
  <c r="P227" i="4"/>
  <c r="Q227" i="4" s="1"/>
  <c r="N227" i="4"/>
  <c r="M227" i="4"/>
  <c r="K227" i="4"/>
  <c r="F227" i="4"/>
  <c r="D227" i="4"/>
  <c r="C227" i="4"/>
  <c r="B227" i="4"/>
  <c r="BA226" i="4"/>
  <c r="AX226" i="4"/>
  <c r="AN226" i="4"/>
  <c r="AO226" i="4" s="1"/>
  <c r="AM226" i="4"/>
  <c r="Y226" i="4"/>
  <c r="Q226" i="4"/>
  <c r="P226" i="4"/>
  <c r="C226" i="4" s="1"/>
  <c r="N226" i="4"/>
  <c r="AZ226" i="4" s="1"/>
  <c r="M226" i="4"/>
  <c r="K226" i="4"/>
  <c r="F226" i="4"/>
  <c r="D226" i="4"/>
  <c r="B226" i="4"/>
  <c r="AX225" i="4"/>
  <c r="AN225" i="4"/>
  <c r="AO225" i="4" s="1"/>
  <c r="AM225" i="4"/>
  <c r="Y225" i="4"/>
  <c r="P225" i="4"/>
  <c r="N225" i="4"/>
  <c r="AZ225" i="4" s="1"/>
  <c r="M225" i="4"/>
  <c r="K225" i="4"/>
  <c r="F225" i="4"/>
  <c r="B225" i="4"/>
  <c r="BA224" i="4"/>
  <c r="AX224" i="4"/>
  <c r="AO224" i="4"/>
  <c r="AN224" i="4"/>
  <c r="AM224" i="4"/>
  <c r="Y224" i="4"/>
  <c r="W224" i="4"/>
  <c r="V224" i="4"/>
  <c r="Q224" i="4"/>
  <c r="P224" i="4"/>
  <c r="M224" i="4"/>
  <c r="N224" i="4" s="1"/>
  <c r="AZ224" i="4" s="1"/>
  <c r="K224" i="4"/>
  <c r="F224" i="4"/>
  <c r="D224" i="4"/>
  <c r="C224" i="4"/>
  <c r="B224" i="4"/>
  <c r="AX223" i="4"/>
  <c r="AO223" i="4"/>
  <c r="AN223" i="4"/>
  <c r="AM223" i="4"/>
  <c r="Y223" i="4"/>
  <c r="T223" i="4"/>
  <c r="S223" i="4"/>
  <c r="Q223" i="4"/>
  <c r="BA223" i="4" s="1"/>
  <c r="P223" i="4"/>
  <c r="N223" i="4"/>
  <c r="AZ223" i="4" s="1"/>
  <c r="M223" i="4"/>
  <c r="K223" i="4"/>
  <c r="F223" i="4"/>
  <c r="D223" i="4"/>
  <c r="V223" i="4" s="1"/>
  <c r="C223" i="4"/>
  <c r="B223" i="4"/>
  <c r="BA222" i="4"/>
  <c r="AX222" i="4"/>
  <c r="AO222" i="4"/>
  <c r="AN222" i="4"/>
  <c r="AM222" i="4"/>
  <c r="Y222" i="4"/>
  <c r="Q222" i="4"/>
  <c r="P222" i="4"/>
  <c r="C222" i="4" s="1"/>
  <c r="N222" i="4"/>
  <c r="AZ222" i="4" s="1"/>
  <c r="M222" i="4"/>
  <c r="K222" i="4"/>
  <c r="F222" i="4"/>
  <c r="D222" i="4"/>
  <c r="B222" i="4"/>
  <c r="AZ221" i="4"/>
  <c r="AX221" i="4"/>
  <c r="AN221" i="4"/>
  <c r="AO221" i="4" s="1"/>
  <c r="AM221" i="4"/>
  <c r="Y221" i="4"/>
  <c r="P221" i="4"/>
  <c r="N221" i="4"/>
  <c r="M221" i="4"/>
  <c r="K221" i="4"/>
  <c r="F221" i="4"/>
  <c r="B221" i="4"/>
  <c r="BA220" i="4"/>
  <c r="AX220" i="4"/>
  <c r="AN220" i="4"/>
  <c r="AO220" i="4" s="1"/>
  <c r="AM220" i="4"/>
  <c r="Y220" i="4"/>
  <c r="W220" i="4"/>
  <c r="T220" i="4"/>
  <c r="S220" i="4"/>
  <c r="R220" i="4"/>
  <c r="U220" i="4" s="1"/>
  <c r="AS220" i="4" s="1"/>
  <c r="Q220" i="4"/>
  <c r="P220" i="4"/>
  <c r="N220" i="4"/>
  <c r="AZ220" i="4" s="1"/>
  <c r="M220" i="4"/>
  <c r="K220" i="4"/>
  <c r="F220" i="4"/>
  <c r="D220" i="4"/>
  <c r="C220" i="4"/>
  <c r="V220" i="4" s="1"/>
  <c r="B220" i="4"/>
  <c r="AX219" i="4"/>
  <c r="AN219" i="4"/>
  <c r="AO219" i="4" s="1"/>
  <c r="AM219" i="4"/>
  <c r="Y219" i="4"/>
  <c r="T219" i="4"/>
  <c r="P219" i="4"/>
  <c r="Q219" i="4" s="1"/>
  <c r="BA219" i="4" s="1"/>
  <c r="M219" i="4"/>
  <c r="N219" i="4" s="1"/>
  <c r="AZ219" i="4" s="1"/>
  <c r="K219" i="4"/>
  <c r="F219" i="4"/>
  <c r="D219" i="4"/>
  <c r="V219" i="4" s="1"/>
  <c r="C219" i="4"/>
  <c r="B219" i="4"/>
  <c r="AX218" i="4"/>
  <c r="AO218" i="4"/>
  <c r="AN218" i="4"/>
  <c r="AM218" i="4"/>
  <c r="Y218" i="4"/>
  <c r="P218" i="4"/>
  <c r="M218" i="4"/>
  <c r="N218" i="4" s="1"/>
  <c r="AZ218" i="4" s="1"/>
  <c r="K218" i="4"/>
  <c r="F218" i="4"/>
  <c r="D218" i="4"/>
  <c r="B218" i="4"/>
  <c r="AZ217" i="4"/>
  <c r="AX217" i="4"/>
  <c r="AN217" i="4"/>
  <c r="AO217" i="4" s="1"/>
  <c r="AM217" i="4"/>
  <c r="Y217" i="4"/>
  <c r="P217" i="4"/>
  <c r="N217" i="4"/>
  <c r="M217" i="4"/>
  <c r="K217" i="4"/>
  <c r="F217" i="4"/>
  <c r="B217" i="4"/>
  <c r="BA216" i="4"/>
  <c r="AX216" i="4"/>
  <c r="AO216" i="4"/>
  <c r="AN216" i="4"/>
  <c r="AM216" i="4"/>
  <c r="Y216" i="4"/>
  <c r="V216" i="4"/>
  <c r="S216" i="4"/>
  <c r="R216" i="4"/>
  <c r="Q216" i="4"/>
  <c r="P216" i="4"/>
  <c r="M216" i="4"/>
  <c r="N216" i="4" s="1"/>
  <c r="AZ216" i="4" s="1"/>
  <c r="K216" i="4"/>
  <c r="F216" i="4"/>
  <c r="D216" i="4"/>
  <c r="W216" i="4" s="1"/>
  <c r="C216" i="4"/>
  <c r="B216" i="4"/>
  <c r="AX215" i="4"/>
  <c r="AO215" i="4"/>
  <c r="AN215" i="4"/>
  <c r="AM215" i="4"/>
  <c r="Y215" i="4"/>
  <c r="P215" i="4"/>
  <c r="Q215" i="4" s="1"/>
  <c r="BA215" i="4" s="1"/>
  <c r="M215" i="4"/>
  <c r="N215" i="4" s="1"/>
  <c r="AZ215" i="4" s="1"/>
  <c r="K215" i="4"/>
  <c r="F215" i="4"/>
  <c r="D215" i="4"/>
  <c r="B215" i="4"/>
  <c r="AX214" i="4"/>
  <c r="AO214" i="4"/>
  <c r="AN214" i="4"/>
  <c r="AM214" i="4"/>
  <c r="Y214" i="4"/>
  <c r="P214" i="4"/>
  <c r="M214" i="4"/>
  <c r="N214" i="4" s="1"/>
  <c r="AZ214" i="4" s="1"/>
  <c r="K214" i="4"/>
  <c r="F214" i="4"/>
  <c r="B214" i="4"/>
  <c r="BA213" i="4"/>
  <c r="AZ213" i="4"/>
  <c r="AX213" i="4"/>
  <c r="AN213" i="4"/>
  <c r="AO213" i="4" s="1"/>
  <c r="AM213" i="4"/>
  <c r="Y213" i="4"/>
  <c r="Q213" i="4"/>
  <c r="P213" i="4"/>
  <c r="N213" i="4"/>
  <c r="M213" i="4"/>
  <c r="K213" i="4"/>
  <c r="F213" i="4"/>
  <c r="B213" i="4"/>
  <c r="BA212" i="4"/>
  <c r="AX212" i="4"/>
  <c r="AO212" i="4"/>
  <c r="AN212" i="4"/>
  <c r="AM212" i="4"/>
  <c r="Y212" i="4"/>
  <c r="V212" i="4"/>
  <c r="T212" i="4"/>
  <c r="AS212" i="4" s="1"/>
  <c r="S212" i="4"/>
  <c r="R212" i="4"/>
  <c r="Q212" i="4"/>
  <c r="U212" i="4" s="1"/>
  <c r="P212" i="4"/>
  <c r="M212" i="4"/>
  <c r="N212" i="4" s="1"/>
  <c r="AZ212" i="4" s="1"/>
  <c r="K212" i="4"/>
  <c r="F212" i="4"/>
  <c r="D212" i="4"/>
  <c r="W212" i="4" s="1"/>
  <c r="C212" i="4"/>
  <c r="B212" i="4"/>
  <c r="AX211" i="4"/>
  <c r="AO211" i="4"/>
  <c r="AN211" i="4"/>
  <c r="AM211" i="4"/>
  <c r="Y211" i="4"/>
  <c r="P211" i="4"/>
  <c r="Q211" i="4" s="1"/>
  <c r="BA211" i="4" s="1"/>
  <c r="M211" i="4"/>
  <c r="N211" i="4" s="1"/>
  <c r="AZ211" i="4" s="1"/>
  <c r="K211" i="4"/>
  <c r="F211" i="4"/>
  <c r="D211" i="4"/>
  <c r="V211" i="4" s="1"/>
  <c r="C211" i="4"/>
  <c r="T211" i="4" s="1"/>
  <c r="B211" i="4"/>
  <c r="AX210" i="4"/>
  <c r="AO210" i="4"/>
  <c r="AN210" i="4"/>
  <c r="AM210" i="4"/>
  <c r="Y210" i="4"/>
  <c r="P210" i="4"/>
  <c r="M210" i="4"/>
  <c r="N210" i="4" s="1"/>
  <c r="AZ210" i="4" s="1"/>
  <c r="K210" i="4"/>
  <c r="F210" i="4"/>
  <c r="B210" i="4"/>
  <c r="AZ209" i="4"/>
  <c r="AX209" i="4"/>
  <c r="AN209" i="4"/>
  <c r="AO209" i="4" s="1"/>
  <c r="AM209" i="4"/>
  <c r="Y209" i="4"/>
  <c r="P209" i="4"/>
  <c r="N209" i="4"/>
  <c r="M209" i="4"/>
  <c r="K209" i="4"/>
  <c r="F209" i="4"/>
  <c r="B209" i="4"/>
  <c r="BA208" i="4"/>
  <c r="AX208" i="4"/>
  <c r="AO208" i="4"/>
  <c r="AN208" i="4"/>
  <c r="AM208" i="4"/>
  <c r="Y208" i="4"/>
  <c r="R208" i="4"/>
  <c r="Q208" i="4"/>
  <c r="P208" i="4"/>
  <c r="N208" i="4"/>
  <c r="AZ208" i="4" s="1"/>
  <c r="M208" i="4"/>
  <c r="K208" i="4"/>
  <c r="F208" i="4"/>
  <c r="D208" i="4"/>
  <c r="W208" i="4" s="1"/>
  <c r="C208" i="4"/>
  <c r="B208" i="4"/>
  <c r="AZ207" i="4"/>
  <c r="AX207" i="4"/>
  <c r="AO207" i="4"/>
  <c r="AN207" i="4"/>
  <c r="AM207" i="4"/>
  <c r="Y207" i="4"/>
  <c r="P207" i="4"/>
  <c r="Q207" i="4" s="1"/>
  <c r="M207" i="4"/>
  <c r="N207" i="4" s="1"/>
  <c r="K207" i="4"/>
  <c r="F207" i="4"/>
  <c r="D207" i="4"/>
  <c r="B207" i="4"/>
  <c r="AX206" i="4"/>
  <c r="AO206" i="4"/>
  <c r="AN206" i="4"/>
  <c r="AM206" i="4"/>
  <c r="Y206" i="4"/>
  <c r="P206" i="4"/>
  <c r="N206" i="4"/>
  <c r="AZ206" i="4" s="1"/>
  <c r="M206" i="4"/>
  <c r="K206" i="4"/>
  <c r="F206" i="4"/>
  <c r="D206" i="4"/>
  <c r="B206" i="4"/>
  <c r="AZ205" i="4"/>
  <c r="AX205" i="4"/>
  <c r="AN205" i="4"/>
  <c r="AO205" i="4" s="1"/>
  <c r="AM205" i="4"/>
  <c r="Y205" i="4"/>
  <c r="R205" i="4"/>
  <c r="P205" i="4"/>
  <c r="D205" i="4" s="1"/>
  <c r="N205" i="4"/>
  <c r="M205" i="4"/>
  <c r="K205" i="4"/>
  <c r="F205" i="4"/>
  <c r="C205" i="4"/>
  <c r="T205" i="4" s="1"/>
  <c r="B205" i="4"/>
  <c r="BA204" i="4"/>
  <c r="AX204" i="4"/>
  <c r="AO204" i="4"/>
  <c r="AN204" i="4"/>
  <c r="AM204" i="4"/>
  <c r="Y204" i="4"/>
  <c r="W204" i="4"/>
  <c r="V204" i="4"/>
  <c r="T204" i="4"/>
  <c r="S204" i="4"/>
  <c r="R204" i="4"/>
  <c r="Q204" i="4"/>
  <c r="P204" i="4"/>
  <c r="M204" i="4"/>
  <c r="N204" i="4" s="1"/>
  <c r="AZ204" i="4" s="1"/>
  <c r="K204" i="4"/>
  <c r="F204" i="4"/>
  <c r="D204" i="4"/>
  <c r="C204" i="4"/>
  <c r="B204" i="4"/>
  <c r="AZ203" i="4"/>
  <c r="AX203" i="4"/>
  <c r="AO203" i="4"/>
  <c r="AN203" i="4"/>
  <c r="AM203" i="4"/>
  <c r="Y203" i="4"/>
  <c r="V203" i="4"/>
  <c r="Q203" i="4"/>
  <c r="BA203" i="4" s="1"/>
  <c r="P203" i="4"/>
  <c r="M203" i="4"/>
  <c r="N203" i="4" s="1"/>
  <c r="K203" i="4"/>
  <c r="F203" i="4"/>
  <c r="D203" i="4"/>
  <c r="T203" i="4" s="1"/>
  <c r="C203" i="4"/>
  <c r="B203" i="4"/>
  <c r="AX202" i="4"/>
  <c r="AO202" i="4"/>
  <c r="AN202" i="4"/>
  <c r="AM202" i="4"/>
  <c r="Y202" i="4"/>
  <c r="P202" i="4"/>
  <c r="N202" i="4"/>
  <c r="AZ202" i="4" s="1"/>
  <c r="M202" i="4"/>
  <c r="K202" i="4"/>
  <c r="F202" i="4"/>
  <c r="D202" i="4"/>
  <c r="B202" i="4"/>
  <c r="AZ201" i="4"/>
  <c r="AX201" i="4"/>
  <c r="AN201" i="4"/>
  <c r="AO201" i="4" s="1"/>
  <c r="AM201" i="4"/>
  <c r="Y201" i="4"/>
  <c r="P201" i="4"/>
  <c r="D201" i="4" s="1"/>
  <c r="N201" i="4"/>
  <c r="M201" i="4"/>
  <c r="K201" i="4"/>
  <c r="F201" i="4"/>
  <c r="B201" i="4"/>
  <c r="AX200" i="4"/>
  <c r="AO200" i="4"/>
  <c r="AN200" i="4"/>
  <c r="AM200" i="4"/>
  <c r="Y200" i="4"/>
  <c r="Q200" i="4"/>
  <c r="P200" i="4"/>
  <c r="C200" i="4" s="1"/>
  <c r="N200" i="4"/>
  <c r="AZ200" i="4" s="1"/>
  <c r="M200" i="4"/>
  <c r="K200" i="4"/>
  <c r="F200" i="4"/>
  <c r="D200" i="4"/>
  <c r="W200" i="4" s="1"/>
  <c r="B200" i="4"/>
  <c r="AZ199" i="4"/>
  <c r="AX199" i="4"/>
  <c r="AN199" i="4"/>
  <c r="AO199" i="4" s="1"/>
  <c r="AM199" i="4"/>
  <c r="Y199" i="4"/>
  <c r="P199" i="4"/>
  <c r="Q199" i="4" s="1"/>
  <c r="M199" i="4"/>
  <c r="N199" i="4" s="1"/>
  <c r="K199" i="4"/>
  <c r="F199" i="4"/>
  <c r="C199" i="4"/>
  <c r="B199" i="4"/>
  <c r="AX198" i="4"/>
  <c r="AN198" i="4"/>
  <c r="AO198" i="4" s="1"/>
  <c r="AM198" i="4"/>
  <c r="Y198" i="4"/>
  <c r="P198" i="4"/>
  <c r="Q198" i="4" s="1"/>
  <c r="M198" i="4"/>
  <c r="N198" i="4" s="1"/>
  <c r="AZ198" i="4" s="1"/>
  <c r="K198" i="4"/>
  <c r="F198" i="4"/>
  <c r="D198" i="4"/>
  <c r="B198" i="4"/>
  <c r="AX197" i="4"/>
  <c r="AN197" i="4"/>
  <c r="AO197" i="4" s="1"/>
  <c r="AM197" i="4"/>
  <c r="Y197" i="4"/>
  <c r="Q197" i="4"/>
  <c r="BA197" i="4" s="1"/>
  <c r="P197" i="4"/>
  <c r="D197" i="4" s="1"/>
  <c r="N197" i="4"/>
  <c r="AZ197" i="4" s="1"/>
  <c r="M197" i="4"/>
  <c r="K197" i="4"/>
  <c r="F197" i="4"/>
  <c r="C197" i="4"/>
  <c r="B197" i="4"/>
  <c r="BA196" i="4"/>
  <c r="AX196" i="4"/>
  <c r="AO196" i="4"/>
  <c r="AN196" i="4"/>
  <c r="AM196" i="4"/>
  <c r="Y196" i="4"/>
  <c r="Q196" i="4"/>
  <c r="P196" i="4"/>
  <c r="M196" i="4"/>
  <c r="N196" i="4" s="1"/>
  <c r="AZ196" i="4" s="1"/>
  <c r="K196" i="4"/>
  <c r="F196" i="4"/>
  <c r="D196" i="4"/>
  <c r="W196" i="4" s="1"/>
  <c r="C196" i="4"/>
  <c r="B196" i="4"/>
  <c r="AX195" i="4"/>
  <c r="AN195" i="4"/>
  <c r="AO195" i="4" s="1"/>
  <c r="AM195" i="4"/>
  <c r="Y195" i="4"/>
  <c r="P195" i="4"/>
  <c r="C195" i="4" s="1"/>
  <c r="M195" i="4"/>
  <c r="N195" i="4" s="1"/>
  <c r="AZ195" i="4" s="1"/>
  <c r="K195" i="4"/>
  <c r="F195" i="4"/>
  <c r="D195" i="4"/>
  <c r="B195" i="4"/>
  <c r="AX194" i="4"/>
  <c r="AO194" i="4"/>
  <c r="AN194" i="4"/>
  <c r="AM194" i="4"/>
  <c r="Y194" i="4"/>
  <c r="P194" i="4"/>
  <c r="D194" i="4" s="1"/>
  <c r="M194" i="4"/>
  <c r="N194" i="4" s="1"/>
  <c r="AZ194" i="4" s="1"/>
  <c r="K194" i="4"/>
  <c r="F194" i="4"/>
  <c r="B194" i="4"/>
  <c r="AX193" i="4"/>
  <c r="AO193" i="4"/>
  <c r="AN193" i="4"/>
  <c r="AM193" i="4"/>
  <c r="Y193" i="4"/>
  <c r="P193" i="4"/>
  <c r="Q193" i="4" s="1"/>
  <c r="N193" i="4"/>
  <c r="AZ193" i="4" s="1"/>
  <c r="M193" i="4"/>
  <c r="K193" i="4"/>
  <c r="F193" i="4"/>
  <c r="B193" i="4"/>
  <c r="BA192" i="4"/>
  <c r="AX192" i="4"/>
  <c r="AO192" i="4"/>
  <c r="AN192" i="4"/>
  <c r="AM192" i="4"/>
  <c r="Y192" i="4"/>
  <c r="Q192" i="4"/>
  <c r="P192" i="4"/>
  <c r="C192" i="4" s="1"/>
  <c r="M192" i="4"/>
  <c r="N192" i="4" s="1"/>
  <c r="AZ192" i="4" s="1"/>
  <c r="K192" i="4"/>
  <c r="F192" i="4"/>
  <c r="D192" i="4"/>
  <c r="B192" i="4"/>
  <c r="AX191" i="4"/>
  <c r="AO191" i="4"/>
  <c r="AN191" i="4"/>
  <c r="AM191" i="4"/>
  <c r="Y191" i="4"/>
  <c r="P191" i="4"/>
  <c r="C191" i="4" s="1"/>
  <c r="M191" i="4"/>
  <c r="N191" i="4" s="1"/>
  <c r="AZ191" i="4" s="1"/>
  <c r="K191" i="4"/>
  <c r="F191" i="4"/>
  <c r="D191" i="4"/>
  <c r="B191" i="4"/>
  <c r="AX190" i="4"/>
  <c r="AO190" i="4"/>
  <c r="AN190" i="4"/>
  <c r="AM190" i="4"/>
  <c r="Y190" i="4"/>
  <c r="P190" i="4"/>
  <c r="D190" i="4" s="1"/>
  <c r="M190" i="4"/>
  <c r="N190" i="4" s="1"/>
  <c r="AZ190" i="4" s="1"/>
  <c r="K190" i="4"/>
  <c r="F190" i="4"/>
  <c r="B190" i="4"/>
  <c r="AX189" i="4"/>
  <c r="AO189" i="4"/>
  <c r="AN189" i="4"/>
  <c r="AM189" i="4"/>
  <c r="Y189" i="4"/>
  <c r="P189" i="4"/>
  <c r="Q189" i="4" s="1"/>
  <c r="N189" i="4"/>
  <c r="AZ189" i="4" s="1"/>
  <c r="M189" i="4"/>
  <c r="K189" i="4"/>
  <c r="F189" i="4"/>
  <c r="B189" i="4"/>
  <c r="BA188" i="4"/>
  <c r="AX188" i="4"/>
  <c r="AO188" i="4"/>
  <c r="AN188" i="4"/>
  <c r="AM188" i="4"/>
  <c r="Y188" i="4"/>
  <c r="Q188" i="4"/>
  <c r="P188" i="4"/>
  <c r="C188" i="4" s="1"/>
  <c r="M188" i="4"/>
  <c r="N188" i="4" s="1"/>
  <c r="AZ188" i="4" s="1"/>
  <c r="K188" i="4"/>
  <c r="F188" i="4"/>
  <c r="D188" i="4"/>
  <c r="B188" i="4"/>
  <c r="AX187" i="4"/>
  <c r="AO187" i="4"/>
  <c r="AN187" i="4"/>
  <c r="AM187" i="4"/>
  <c r="Y187" i="4"/>
  <c r="P187" i="4"/>
  <c r="C187" i="4" s="1"/>
  <c r="M187" i="4"/>
  <c r="N187" i="4" s="1"/>
  <c r="AZ187" i="4" s="1"/>
  <c r="K187" i="4"/>
  <c r="F187" i="4"/>
  <c r="D187" i="4"/>
  <c r="B187" i="4"/>
  <c r="AX186" i="4"/>
  <c r="AO186" i="4"/>
  <c r="AN186" i="4"/>
  <c r="AM186" i="4"/>
  <c r="Y186" i="4"/>
  <c r="P186" i="4"/>
  <c r="D186" i="4" s="1"/>
  <c r="M186" i="4"/>
  <c r="N186" i="4" s="1"/>
  <c r="AZ186" i="4" s="1"/>
  <c r="K186" i="4"/>
  <c r="F186" i="4"/>
  <c r="B186" i="4"/>
  <c r="AX185" i="4"/>
  <c r="AO185" i="4"/>
  <c r="AN185" i="4"/>
  <c r="AM185" i="4"/>
  <c r="Y185" i="4"/>
  <c r="P185" i="4"/>
  <c r="Q185" i="4" s="1"/>
  <c r="N185" i="4"/>
  <c r="AZ185" i="4" s="1"/>
  <c r="M185" i="4"/>
  <c r="K185" i="4"/>
  <c r="F185" i="4"/>
  <c r="B185" i="4"/>
  <c r="BA184" i="4"/>
  <c r="AX184" i="4"/>
  <c r="AO184" i="4"/>
  <c r="AN184" i="4"/>
  <c r="AM184" i="4"/>
  <c r="Y184" i="4"/>
  <c r="Q184" i="4"/>
  <c r="P184" i="4"/>
  <c r="C184" i="4" s="1"/>
  <c r="M184" i="4"/>
  <c r="N184" i="4" s="1"/>
  <c r="AZ184" i="4" s="1"/>
  <c r="K184" i="4"/>
  <c r="F184" i="4"/>
  <c r="D184" i="4"/>
  <c r="B184" i="4"/>
  <c r="AX183" i="4"/>
  <c r="AO183" i="4"/>
  <c r="AN183" i="4"/>
  <c r="AM183" i="4"/>
  <c r="Y183" i="4"/>
  <c r="P183" i="4"/>
  <c r="C183" i="4" s="1"/>
  <c r="M183" i="4"/>
  <c r="N183" i="4" s="1"/>
  <c r="AZ183" i="4" s="1"/>
  <c r="K183" i="4"/>
  <c r="F183" i="4"/>
  <c r="D183" i="4"/>
  <c r="B183" i="4"/>
  <c r="AX182" i="4"/>
  <c r="AO182" i="4"/>
  <c r="AN182" i="4"/>
  <c r="AM182" i="4"/>
  <c r="Y182" i="4"/>
  <c r="P182" i="4"/>
  <c r="D182" i="4" s="1"/>
  <c r="M182" i="4"/>
  <c r="N182" i="4" s="1"/>
  <c r="AZ182" i="4" s="1"/>
  <c r="K182" i="4"/>
  <c r="F182" i="4"/>
  <c r="B182" i="4"/>
  <c r="AX181" i="4"/>
  <c r="AO181" i="4"/>
  <c r="AN181" i="4"/>
  <c r="AM181" i="4"/>
  <c r="Y181" i="4"/>
  <c r="P181" i="4"/>
  <c r="Q181" i="4" s="1"/>
  <c r="N181" i="4"/>
  <c r="AZ181" i="4" s="1"/>
  <c r="M181" i="4"/>
  <c r="K181" i="4"/>
  <c r="F181" i="4"/>
  <c r="B181" i="4"/>
  <c r="BA180" i="4"/>
  <c r="AX180" i="4"/>
  <c r="AO180" i="4"/>
  <c r="AN180" i="4"/>
  <c r="AM180" i="4"/>
  <c r="Y180" i="4"/>
  <c r="Q180" i="4"/>
  <c r="P180" i="4"/>
  <c r="C180" i="4" s="1"/>
  <c r="M180" i="4"/>
  <c r="N180" i="4" s="1"/>
  <c r="AZ180" i="4" s="1"/>
  <c r="K180" i="4"/>
  <c r="F180" i="4"/>
  <c r="D180" i="4"/>
  <c r="B180" i="4"/>
  <c r="AX179" i="4"/>
  <c r="AO179" i="4"/>
  <c r="AN179" i="4"/>
  <c r="AM179" i="4"/>
  <c r="Y179" i="4"/>
  <c r="P179" i="4"/>
  <c r="C179" i="4" s="1"/>
  <c r="M179" i="4"/>
  <c r="N179" i="4" s="1"/>
  <c r="AZ179" i="4" s="1"/>
  <c r="K179" i="4"/>
  <c r="F179" i="4"/>
  <c r="D179" i="4"/>
  <c r="B179" i="4"/>
  <c r="AX178" i="4"/>
  <c r="AO178" i="4"/>
  <c r="AN178" i="4"/>
  <c r="AM178" i="4"/>
  <c r="Y178" i="4"/>
  <c r="P178" i="4"/>
  <c r="D178" i="4" s="1"/>
  <c r="M178" i="4"/>
  <c r="N178" i="4" s="1"/>
  <c r="AZ178" i="4" s="1"/>
  <c r="K178" i="4"/>
  <c r="F178" i="4"/>
  <c r="B178" i="4"/>
  <c r="AX177" i="4"/>
  <c r="AO177" i="4"/>
  <c r="AN177" i="4"/>
  <c r="AM177" i="4"/>
  <c r="Y177" i="4"/>
  <c r="P177" i="4"/>
  <c r="Q177" i="4" s="1"/>
  <c r="N177" i="4"/>
  <c r="AZ177" i="4" s="1"/>
  <c r="M177" i="4"/>
  <c r="K177" i="4"/>
  <c r="F177" i="4"/>
  <c r="B177" i="4"/>
  <c r="BA176" i="4"/>
  <c r="AX176" i="4"/>
  <c r="AO176" i="4"/>
  <c r="AN176" i="4"/>
  <c r="AM176" i="4"/>
  <c r="Y176" i="4"/>
  <c r="Q176" i="4"/>
  <c r="P176" i="4"/>
  <c r="C176" i="4" s="1"/>
  <c r="M176" i="4"/>
  <c r="N176" i="4" s="1"/>
  <c r="AZ176" i="4" s="1"/>
  <c r="K176" i="4"/>
  <c r="F176" i="4"/>
  <c r="D176" i="4"/>
  <c r="B176" i="4"/>
  <c r="AX175" i="4"/>
  <c r="AO175" i="4"/>
  <c r="AN175" i="4"/>
  <c r="AM175" i="4"/>
  <c r="Y175" i="4"/>
  <c r="P175" i="4"/>
  <c r="C175" i="4" s="1"/>
  <c r="M175" i="4"/>
  <c r="N175" i="4" s="1"/>
  <c r="AZ175" i="4" s="1"/>
  <c r="K175" i="4"/>
  <c r="F175" i="4"/>
  <c r="D175" i="4"/>
  <c r="B175" i="4"/>
  <c r="AX174" i="4"/>
  <c r="AO174" i="4"/>
  <c r="AN174" i="4"/>
  <c r="AM174" i="4"/>
  <c r="Y174" i="4"/>
  <c r="P174" i="4"/>
  <c r="D174" i="4" s="1"/>
  <c r="M174" i="4"/>
  <c r="N174" i="4" s="1"/>
  <c r="AZ174" i="4" s="1"/>
  <c r="K174" i="4"/>
  <c r="F174" i="4"/>
  <c r="B174" i="4"/>
  <c r="AX173" i="4"/>
  <c r="AO173" i="4"/>
  <c r="AN173" i="4"/>
  <c r="AM173" i="4"/>
  <c r="Y173" i="4"/>
  <c r="P173" i="4"/>
  <c r="Q173" i="4" s="1"/>
  <c r="N173" i="4"/>
  <c r="AZ173" i="4" s="1"/>
  <c r="M173" i="4"/>
  <c r="K173" i="4"/>
  <c r="F173" i="4"/>
  <c r="B173" i="4"/>
  <c r="BA172" i="4"/>
  <c r="AX172" i="4"/>
  <c r="AO172" i="4"/>
  <c r="AN172" i="4"/>
  <c r="AM172" i="4"/>
  <c r="Y172" i="4"/>
  <c r="T172" i="4"/>
  <c r="Q172" i="4"/>
  <c r="P172" i="4"/>
  <c r="C172" i="4" s="1"/>
  <c r="M172" i="4"/>
  <c r="N172" i="4" s="1"/>
  <c r="AZ172" i="4" s="1"/>
  <c r="K172" i="4"/>
  <c r="F172" i="4"/>
  <c r="D172" i="4"/>
  <c r="B172" i="4"/>
  <c r="AX171" i="4"/>
  <c r="AO171" i="4"/>
  <c r="AN171" i="4"/>
  <c r="AM171" i="4"/>
  <c r="Y171" i="4"/>
  <c r="P171" i="4"/>
  <c r="C171" i="4" s="1"/>
  <c r="M171" i="4"/>
  <c r="N171" i="4" s="1"/>
  <c r="AZ171" i="4" s="1"/>
  <c r="K171" i="4"/>
  <c r="F171" i="4"/>
  <c r="D171" i="4"/>
  <c r="B171" i="4"/>
  <c r="AX170" i="4"/>
  <c r="AO170" i="4"/>
  <c r="AN170" i="4"/>
  <c r="AM170" i="4"/>
  <c r="Y170" i="4"/>
  <c r="P170" i="4"/>
  <c r="M170" i="4"/>
  <c r="N170" i="4" s="1"/>
  <c r="AZ170" i="4" s="1"/>
  <c r="K170" i="4"/>
  <c r="F170" i="4"/>
  <c r="B170" i="4"/>
  <c r="AX169" i="4"/>
  <c r="AO169" i="4"/>
  <c r="AN169" i="4"/>
  <c r="AM169" i="4"/>
  <c r="Y169" i="4"/>
  <c r="P169" i="4"/>
  <c r="N169" i="4"/>
  <c r="AZ169" i="4" s="1"/>
  <c r="M169" i="4"/>
  <c r="K169" i="4"/>
  <c r="F169" i="4"/>
  <c r="B169" i="4"/>
  <c r="BA168" i="4"/>
  <c r="AX168" i="4"/>
  <c r="AN168" i="4"/>
  <c r="AO168" i="4" s="1"/>
  <c r="AM168" i="4"/>
  <c r="Y168" i="4"/>
  <c r="T168" i="4"/>
  <c r="R168" i="4"/>
  <c r="Q168" i="4"/>
  <c r="P168" i="4"/>
  <c r="M168" i="4"/>
  <c r="N168" i="4" s="1"/>
  <c r="AZ168" i="4" s="1"/>
  <c r="K168" i="4"/>
  <c r="F168" i="4"/>
  <c r="D168" i="4"/>
  <c r="C168" i="4"/>
  <c r="S168" i="4" s="1"/>
  <c r="B168" i="4"/>
  <c r="AX167" i="4"/>
  <c r="AO167" i="4"/>
  <c r="AN167" i="4"/>
  <c r="AM167" i="4"/>
  <c r="Y167" i="4"/>
  <c r="V167" i="4"/>
  <c r="S167" i="4"/>
  <c r="P167" i="4"/>
  <c r="C167" i="4" s="1"/>
  <c r="M167" i="4"/>
  <c r="N167" i="4" s="1"/>
  <c r="AZ167" i="4" s="1"/>
  <c r="K167" i="4"/>
  <c r="F167" i="4"/>
  <c r="D167" i="4"/>
  <c r="T167" i="4" s="1"/>
  <c r="B167" i="4"/>
  <c r="AX166" i="4"/>
  <c r="AN166" i="4"/>
  <c r="AO166" i="4" s="1"/>
  <c r="AM166" i="4"/>
  <c r="Y166" i="4"/>
  <c r="P166" i="4"/>
  <c r="Q166" i="4" s="1"/>
  <c r="BA166" i="4" s="1"/>
  <c r="M166" i="4"/>
  <c r="N166" i="4" s="1"/>
  <c r="AZ166" i="4" s="1"/>
  <c r="K166" i="4"/>
  <c r="F166" i="4"/>
  <c r="B166" i="4"/>
  <c r="AX165" i="4"/>
  <c r="AO165" i="4"/>
  <c r="AN165" i="4"/>
  <c r="AM165" i="4"/>
  <c r="Y165" i="4"/>
  <c r="P165" i="4"/>
  <c r="N165" i="4"/>
  <c r="AZ165" i="4" s="1"/>
  <c r="M165" i="4"/>
  <c r="K165" i="4"/>
  <c r="F165" i="4"/>
  <c r="B165" i="4"/>
  <c r="BA164" i="4"/>
  <c r="AX164" i="4"/>
  <c r="AN164" i="4"/>
  <c r="AO164" i="4" s="1"/>
  <c r="AM164" i="4"/>
  <c r="Y164" i="4"/>
  <c r="T164" i="4"/>
  <c r="R164" i="4"/>
  <c r="Q164" i="4"/>
  <c r="P164" i="4"/>
  <c r="M164" i="4"/>
  <c r="N164" i="4" s="1"/>
  <c r="AZ164" i="4" s="1"/>
  <c r="K164" i="4"/>
  <c r="F164" i="4"/>
  <c r="D164" i="4"/>
  <c r="C164" i="4"/>
  <c r="S164" i="4" s="1"/>
  <c r="B164" i="4"/>
  <c r="AX163" i="4"/>
  <c r="AO163" i="4"/>
  <c r="AN163" i="4"/>
  <c r="AM163" i="4"/>
  <c r="Y163" i="4"/>
  <c r="W163" i="4"/>
  <c r="T163" i="4"/>
  <c r="S163" i="4"/>
  <c r="P163" i="4"/>
  <c r="C163" i="4" s="1"/>
  <c r="N163" i="4"/>
  <c r="AZ163" i="4" s="1"/>
  <c r="M163" i="4"/>
  <c r="K163" i="4"/>
  <c r="F163" i="4"/>
  <c r="D163" i="4"/>
  <c r="B163" i="4"/>
  <c r="AX162" i="4"/>
  <c r="AN162" i="4"/>
  <c r="AO162" i="4" s="1"/>
  <c r="AM162" i="4"/>
  <c r="Y162" i="4"/>
  <c r="P162" i="4"/>
  <c r="C162" i="4" s="1"/>
  <c r="M162" i="4"/>
  <c r="N162" i="4" s="1"/>
  <c r="AZ162" i="4" s="1"/>
  <c r="K162" i="4"/>
  <c r="F162" i="4"/>
  <c r="D162" i="4"/>
  <c r="B162" i="4"/>
  <c r="AX161" i="4"/>
  <c r="AO161" i="4"/>
  <c r="AN161" i="4"/>
  <c r="AM161" i="4"/>
  <c r="Y161" i="4"/>
  <c r="P161" i="4"/>
  <c r="N161" i="4"/>
  <c r="AZ161" i="4" s="1"/>
  <c r="M161" i="4"/>
  <c r="K161" i="4"/>
  <c r="F161" i="4"/>
  <c r="B161" i="4"/>
  <c r="AZ160" i="4"/>
  <c r="AX160" i="4"/>
  <c r="AN160" i="4"/>
  <c r="AO160" i="4" s="1"/>
  <c r="AM160" i="4"/>
  <c r="Y160" i="4"/>
  <c r="T160" i="4"/>
  <c r="Q160" i="4"/>
  <c r="BA160" i="4" s="1"/>
  <c r="P160" i="4"/>
  <c r="M160" i="4"/>
  <c r="N160" i="4" s="1"/>
  <c r="K160" i="4"/>
  <c r="F160" i="4"/>
  <c r="D160" i="4"/>
  <c r="V160" i="4" s="1"/>
  <c r="C160" i="4"/>
  <c r="B160" i="4"/>
  <c r="AX159" i="4"/>
  <c r="AO159" i="4"/>
  <c r="AN159" i="4"/>
  <c r="AM159" i="4"/>
  <c r="Y159" i="4"/>
  <c r="P159" i="4"/>
  <c r="M159" i="4"/>
  <c r="N159" i="4" s="1"/>
  <c r="AZ159" i="4" s="1"/>
  <c r="K159" i="4"/>
  <c r="F159" i="4"/>
  <c r="D159" i="4"/>
  <c r="B159" i="4"/>
  <c r="AX158" i="4"/>
  <c r="AO158" i="4"/>
  <c r="AN158" i="4"/>
  <c r="AM158" i="4"/>
  <c r="Y158" i="4"/>
  <c r="Q158" i="4"/>
  <c r="P158" i="4"/>
  <c r="M158" i="4"/>
  <c r="N158" i="4" s="1"/>
  <c r="AZ158" i="4" s="1"/>
  <c r="K158" i="4"/>
  <c r="F158" i="4"/>
  <c r="D158" i="4"/>
  <c r="C158" i="4"/>
  <c r="B158" i="4"/>
  <c r="AX157" i="4"/>
  <c r="AO157" i="4"/>
  <c r="AN157" i="4"/>
  <c r="AM157" i="4"/>
  <c r="Y157" i="4"/>
  <c r="P157" i="4"/>
  <c r="N157" i="4"/>
  <c r="AZ157" i="4" s="1"/>
  <c r="M157" i="4"/>
  <c r="K157" i="4"/>
  <c r="F157" i="4"/>
  <c r="B157" i="4"/>
  <c r="BA156" i="4"/>
  <c r="AX156" i="4"/>
  <c r="AN156" i="4"/>
  <c r="AO156" i="4" s="1"/>
  <c r="AM156" i="4"/>
  <c r="Y156" i="4"/>
  <c r="V156" i="4"/>
  <c r="T156" i="4"/>
  <c r="Q156" i="4"/>
  <c r="P156" i="4"/>
  <c r="M156" i="4"/>
  <c r="N156" i="4" s="1"/>
  <c r="AZ156" i="4" s="1"/>
  <c r="K156" i="4"/>
  <c r="F156" i="4"/>
  <c r="D156" i="4"/>
  <c r="C156" i="4"/>
  <c r="B156" i="4"/>
  <c r="AX155" i="4"/>
  <c r="AO155" i="4"/>
  <c r="AN155" i="4"/>
  <c r="AM155" i="4"/>
  <c r="Y155" i="4"/>
  <c r="P155" i="4"/>
  <c r="M155" i="4"/>
  <c r="N155" i="4" s="1"/>
  <c r="AZ155" i="4" s="1"/>
  <c r="K155" i="4"/>
  <c r="F155" i="4"/>
  <c r="D155" i="4"/>
  <c r="B155" i="4"/>
  <c r="AX154" i="4"/>
  <c r="AN154" i="4"/>
  <c r="AO154" i="4" s="1"/>
  <c r="AM154" i="4"/>
  <c r="Y154" i="4"/>
  <c r="P154" i="4"/>
  <c r="Q154" i="4" s="1"/>
  <c r="N154" i="4"/>
  <c r="AZ154" i="4" s="1"/>
  <c r="M154" i="4"/>
  <c r="K154" i="4"/>
  <c r="F154" i="4"/>
  <c r="D154" i="4"/>
  <c r="B154" i="4"/>
  <c r="AX153" i="4"/>
  <c r="AO153" i="4"/>
  <c r="AN153" i="4"/>
  <c r="AM153" i="4"/>
  <c r="Y153" i="4"/>
  <c r="P153" i="4"/>
  <c r="C153" i="4" s="1"/>
  <c r="M153" i="4"/>
  <c r="N153" i="4" s="1"/>
  <c r="AZ153" i="4" s="1"/>
  <c r="K153" i="4"/>
  <c r="F153" i="4"/>
  <c r="D153" i="4"/>
  <c r="B153" i="4"/>
  <c r="AX152" i="4"/>
  <c r="AO152" i="4"/>
  <c r="AN152" i="4"/>
  <c r="AM152" i="4"/>
  <c r="Y152" i="4"/>
  <c r="P152" i="4"/>
  <c r="D152" i="4" s="1"/>
  <c r="N152" i="4"/>
  <c r="AZ152" i="4" s="1"/>
  <c r="M152" i="4"/>
  <c r="K152" i="4"/>
  <c r="F152" i="4"/>
  <c r="B152" i="4"/>
  <c r="BA151" i="4"/>
  <c r="AZ151" i="4"/>
  <c r="AX151" i="4"/>
  <c r="AN151" i="4"/>
  <c r="AO151" i="4" s="1"/>
  <c r="AM151" i="4"/>
  <c r="Y151" i="4"/>
  <c r="Q151" i="4"/>
  <c r="P151" i="4"/>
  <c r="D151" i="4" s="1"/>
  <c r="N151" i="4"/>
  <c r="M151" i="4"/>
  <c r="K151" i="4"/>
  <c r="F151" i="4"/>
  <c r="C151" i="4"/>
  <c r="W151" i="4" s="1"/>
  <c r="B151" i="4"/>
  <c r="BA150" i="4"/>
  <c r="AX150" i="4"/>
  <c r="AO150" i="4"/>
  <c r="AN150" i="4"/>
  <c r="AM150" i="4"/>
  <c r="Y150" i="4"/>
  <c r="Q150" i="4"/>
  <c r="P150" i="4"/>
  <c r="C150" i="4" s="1"/>
  <c r="M150" i="4"/>
  <c r="N150" i="4" s="1"/>
  <c r="AZ150" i="4" s="1"/>
  <c r="K150" i="4"/>
  <c r="F150" i="4"/>
  <c r="D150" i="4"/>
  <c r="B150" i="4"/>
  <c r="AX149" i="4"/>
  <c r="AO149" i="4"/>
  <c r="AN149" i="4"/>
  <c r="AM149" i="4"/>
  <c r="Y149" i="4"/>
  <c r="P149" i="4"/>
  <c r="C149" i="4" s="1"/>
  <c r="M149" i="4"/>
  <c r="N149" i="4" s="1"/>
  <c r="AZ149" i="4" s="1"/>
  <c r="K149" i="4"/>
  <c r="F149" i="4"/>
  <c r="D149" i="4"/>
  <c r="B149" i="4"/>
  <c r="AX148" i="4"/>
  <c r="AO148" i="4"/>
  <c r="AN148" i="4"/>
  <c r="AM148" i="4"/>
  <c r="Y148" i="4"/>
  <c r="P148" i="4"/>
  <c r="D148" i="4" s="1"/>
  <c r="N148" i="4"/>
  <c r="AZ148" i="4" s="1"/>
  <c r="M148" i="4"/>
  <c r="K148" i="4"/>
  <c r="F148" i="4"/>
  <c r="B148" i="4"/>
  <c r="BA147" i="4"/>
  <c r="AZ147" i="4"/>
  <c r="AX147" i="4"/>
  <c r="AN147" i="4"/>
  <c r="AO147" i="4" s="1"/>
  <c r="AM147" i="4"/>
  <c r="Y147" i="4"/>
  <c r="Q147" i="4"/>
  <c r="P147" i="4"/>
  <c r="D147" i="4" s="1"/>
  <c r="N147" i="4"/>
  <c r="M147" i="4"/>
  <c r="K147" i="4"/>
  <c r="F147" i="4"/>
  <c r="C147" i="4"/>
  <c r="W147" i="4" s="1"/>
  <c r="B147" i="4"/>
  <c r="BA146" i="4"/>
  <c r="AX146" i="4"/>
  <c r="AO146" i="4"/>
  <c r="AN146" i="4"/>
  <c r="AM146" i="4"/>
  <c r="Y146" i="4"/>
  <c r="T146" i="4"/>
  <c r="Q146" i="4"/>
  <c r="P146" i="4"/>
  <c r="M146" i="4"/>
  <c r="N146" i="4" s="1"/>
  <c r="AZ146" i="4" s="1"/>
  <c r="K146" i="4"/>
  <c r="F146" i="4"/>
  <c r="D146" i="4"/>
  <c r="S146" i="4" s="1"/>
  <c r="C146" i="4"/>
  <c r="B146" i="4"/>
  <c r="AX145" i="4"/>
  <c r="AO145" i="4"/>
  <c r="AN145" i="4"/>
  <c r="AM145" i="4"/>
  <c r="Y145" i="4"/>
  <c r="P145" i="4"/>
  <c r="Q145" i="4" s="1"/>
  <c r="M145" i="4"/>
  <c r="N145" i="4" s="1"/>
  <c r="AZ145" i="4" s="1"/>
  <c r="K145" i="4"/>
  <c r="F145" i="4"/>
  <c r="D145" i="4"/>
  <c r="V145" i="4" s="1"/>
  <c r="C145" i="4"/>
  <c r="T145" i="4" s="1"/>
  <c r="B145" i="4"/>
  <c r="AX144" i="4"/>
  <c r="AO144" i="4"/>
  <c r="AN144" i="4"/>
  <c r="AM144" i="4"/>
  <c r="Y144" i="4"/>
  <c r="P144" i="4"/>
  <c r="D144" i="4" s="1"/>
  <c r="N144" i="4"/>
  <c r="AZ144" i="4" s="1"/>
  <c r="M144" i="4"/>
  <c r="K144" i="4"/>
  <c r="F144" i="4"/>
  <c r="B144" i="4"/>
  <c r="BA143" i="4"/>
  <c r="AZ143" i="4"/>
  <c r="AX143" i="4"/>
  <c r="AN143" i="4"/>
  <c r="AO143" i="4" s="1"/>
  <c r="AM143" i="4"/>
  <c r="Y143" i="4"/>
  <c r="Q143" i="4"/>
  <c r="P143" i="4"/>
  <c r="D143" i="4" s="1"/>
  <c r="N143" i="4"/>
  <c r="M143" i="4"/>
  <c r="K143" i="4"/>
  <c r="F143" i="4"/>
  <c r="C143" i="4"/>
  <c r="W143" i="4" s="1"/>
  <c r="B143" i="4"/>
  <c r="BA142" i="4"/>
  <c r="AX142" i="4"/>
  <c r="AO142" i="4"/>
  <c r="AN142" i="4"/>
  <c r="AM142" i="4"/>
  <c r="Y142" i="4"/>
  <c r="T142" i="4"/>
  <c r="Q142" i="4"/>
  <c r="P142" i="4"/>
  <c r="M142" i="4"/>
  <c r="N142" i="4" s="1"/>
  <c r="AZ142" i="4" s="1"/>
  <c r="K142" i="4"/>
  <c r="F142" i="4"/>
  <c r="D142" i="4"/>
  <c r="S142" i="4" s="1"/>
  <c r="C142" i="4"/>
  <c r="B142" i="4"/>
  <c r="AX141" i="4"/>
  <c r="AO141" i="4"/>
  <c r="AN141" i="4"/>
  <c r="AM141" i="4"/>
  <c r="Y141" i="4"/>
  <c r="P141" i="4"/>
  <c r="Q141" i="4" s="1"/>
  <c r="M141" i="4"/>
  <c r="N141" i="4" s="1"/>
  <c r="AZ141" i="4" s="1"/>
  <c r="K141" i="4"/>
  <c r="F141" i="4"/>
  <c r="D141" i="4"/>
  <c r="V141" i="4" s="1"/>
  <c r="C141" i="4"/>
  <c r="T141" i="4" s="1"/>
  <c r="B141" i="4"/>
  <c r="AX140" i="4"/>
  <c r="AO140" i="4"/>
  <c r="AN140" i="4"/>
  <c r="AM140" i="4"/>
  <c r="Y140" i="4"/>
  <c r="P140" i="4"/>
  <c r="D140" i="4" s="1"/>
  <c r="N140" i="4"/>
  <c r="AZ140" i="4" s="1"/>
  <c r="M140" i="4"/>
  <c r="K140" i="4"/>
  <c r="F140" i="4"/>
  <c r="B140" i="4"/>
  <c r="BA139" i="4"/>
  <c r="AZ139" i="4"/>
  <c r="AX139" i="4"/>
  <c r="AN139" i="4"/>
  <c r="AO139" i="4" s="1"/>
  <c r="AM139" i="4"/>
  <c r="Y139" i="4"/>
  <c r="Q139" i="4"/>
  <c r="P139" i="4"/>
  <c r="D139" i="4" s="1"/>
  <c r="N139" i="4"/>
  <c r="M139" i="4"/>
  <c r="K139" i="4"/>
  <c r="F139" i="4"/>
  <c r="B139" i="4"/>
  <c r="BA138" i="4"/>
  <c r="AX138" i="4"/>
  <c r="AO138" i="4"/>
  <c r="AN138" i="4"/>
  <c r="AM138" i="4"/>
  <c r="Y138" i="4"/>
  <c r="T138" i="4"/>
  <c r="S138" i="4"/>
  <c r="Q138" i="4"/>
  <c r="P138" i="4"/>
  <c r="M138" i="4"/>
  <c r="N138" i="4" s="1"/>
  <c r="AZ138" i="4" s="1"/>
  <c r="K138" i="4"/>
  <c r="F138" i="4"/>
  <c r="D138" i="4"/>
  <c r="R138" i="4" s="1"/>
  <c r="C138" i="4"/>
  <c r="B138" i="4"/>
  <c r="AX137" i="4"/>
  <c r="AO137" i="4"/>
  <c r="AN137" i="4"/>
  <c r="AM137" i="4"/>
  <c r="Y137" i="4"/>
  <c r="P137" i="4"/>
  <c r="Q137" i="4" s="1"/>
  <c r="M137" i="4"/>
  <c r="N137" i="4" s="1"/>
  <c r="AZ137" i="4" s="1"/>
  <c r="K137" i="4"/>
  <c r="F137" i="4"/>
  <c r="D137" i="4"/>
  <c r="V137" i="4" s="1"/>
  <c r="C137" i="4"/>
  <c r="T137" i="4" s="1"/>
  <c r="B137" i="4"/>
  <c r="AX136" i="4"/>
  <c r="AO136" i="4"/>
  <c r="AN136" i="4"/>
  <c r="AM136" i="4"/>
  <c r="Y136" i="4"/>
  <c r="P136" i="4"/>
  <c r="D136" i="4" s="1"/>
  <c r="N136" i="4"/>
  <c r="AZ136" i="4" s="1"/>
  <c r="M136" i="4"/>
  <c r="K136" i="4"/>
  <c r="F136" i="4"/>
  <c r="B136" i="4"/>
  <c r="BA135" i="4"/>
  <c r="AZ135" i="4"/>
  <c r="AX135" i="4"/>
  <c r="AN135" i="4"/>
  <c r="AO135" i="4" s="1"/>
  <c r="AM135" i="4"/>
  <c r="Y135" i="4"/>
  <c r="Q135" i="4"/>
  <c r="P135" i="4"/>
  <c r="D135" i="4" s="1"/>
  <c r="N135" i="4"/>
  <c r="M135" i="4"/>
  <c r="K135" i="4"/>
  <c r="F135" i="4"/>
  <c r="B135" i="4"/>
  <c r="BA134" i="4"/>
  <c r="AX134" i="4"/>
  <c r="AO134" i="4"/>
  <c r="AN134" i="4"/>
  <c r="AM134" i="4"/>
  <c r="Y134" i="4"/>
  <c r="T134" i="4"/>
  <c r="S134" i="4"/>
  <c r="Q134" i="4"/>
  <c r="P134" i="4"/>
  <c r="M134" i="4"/>
  <c r="N134" i="4" s="1"/>
  <c r="AZ134" i="4" s="1"/>
  <c r="K134" i="4"/>
  <c r="F134" i="4"/>
  <c r="D134" i="4"/>
  <c r="R134" i="4" s="1"/>
  <c r="C134" i="4"/>
  <c r="B134" i="4"/>
  <c r="AX133" i="4"/>
  <c r="AO133" i="4"/>
  <c r="AN133" i="4"/>
  <c r="AM133" i="4"/>
  <c r="Y133" i="4"/>
  <c r="P133" i="4"/>
  <c r="Q133" i="4" s="1"/>
  <c r="M133" i="4"/>
  <c r="N133" i="4" s="1"/>
  <c r="AZ133" i="4" s="1"/>
  <c r="K133" i="4"/>
  <c r="F133" i="4"/>
  <c r="D133" i="4"/>
  <c r="V133" i="4" s="1"/>
  <c r="C133" i="4"/>
  <c r="T133" i="4" s="1"/>
  <c r="B133" i="4"/>
  <c r="AX132" i="4"/>
  <c r="AO132" i="4"/>
  <c r="AN132" i="4"/>
  <c r="AM132" i="4"/>
  <c r="Y132" i="4"/>
  <c r="P132" i="4"/>
  <c r="D132" i="4" s="1"/>
  <c r="N132" i="4"/>
  <c r="AZ132" i="4" s="1"/>
  <c r="M132" i="4"/>
  <c r="K132" i="4"/>
  <c r="F132" i="4"/>
  <c r="B132" i="4"/>
  <c r="BA131" i="4"/>
  <c r="AZ131" i="4"/>
  <c r="AX131" i="4"/>
  <c r="AN131" i="4"/>
  <c r="AO131" i="4" s="1"/>
  <c r="AM131" i="4"/>
  <c r="Y131" i="4"/>
  <c r="Q131" i="4"/>
  <c r="P131" i="4"/>
  <c r="D131" i="4" s="1"/>
  <c r="N131" i="4"/>
  <c r="M131" i="4"/>
  <c r="K131" i="4"/>
  <c r="F131" i="4"/>
  <c r="B131" i="4"/>
  <c r="BA130" i="4"/>
  <c r="AX130" i="4"/>
  <c r="AO130" i="4"/>
  <c r="AN130" i="4"/>
  <c r="AM130" i="4"/>
  <c r="Y130" i="4"/>
  <c r="T130" i="4"/>
  <c r="S130" i="4"/>
  <c r="Q130" i="4"/>
  <c r="P130" i="4"/>
  <c r="M130" i="4"/>
  <c r="N130" i="4" s="1"/>
  <c r="AZ130" i="4" s="1"/>
  <c r="K130" i="4"/>
  <c r="F130" i="4"/>
  <c r="D130" i="4"/>
  <c r="R130" i="4" s="1"/>
  <c r="C130" i="4"/>
  <c r="B130" i="4"/>
  <c r="AX129" i="4"/>
  <c r="AO129" i="4"/>
  <c r="AN129" i="4"/>
  <c r="AM129" i="4"/>
  <c r="Y129" i="4"/>
  <c r="P129" i="4"/>
  <c r="Q129" i="4" s="1"/>
  <c r="M129" i="4"/>
  <c r="N129" i="4" s="1"/>
  <c r="AZ129" i="4" s="1"/>
  <c r="K129" i="4"/>
  <c r="F129" i="4"/>
  <c r="D129" i="4"/>
  <c r="V129" i="4" s="1"/>
  <c r="C129" i="4"/>
  <c r="T129" i="4" s="1"/>
  <c r="B129" i="4"/>
  <c r="AX128" i="4"/>
  <c r="AO128" i="4"/>
  <c r="AN128" i="4"/>
  <c r="AM128" i="4"/>
  <c r="Y128" i="4"/>
  <c r="P128" i="4"/>
  <c r="D128" i="4" s="1"/>
  <c r="N128" i="4"/>
  <c r="AZ128" i="4" s="1"/>
  <c r="M128" i="4"/>
  <c r="K128" i="4"/>
  <c r="F128" i="4"/>
  <c r="B128" i="4"/>
  <c r="BA127" i="4"/>
  <c r="AZ127" i="4"/>
  <c r="AX127" i="4"/>
  <c r="AN127" i="4"/>
  <c r="AO127" i="4" s="1"/>
  <c r="AM127" i="4"/>
  <c r="Y127" i="4"/>
  <c r="Q127" i="4"/>
  <c r="P127" i="4"/>
  <c r="D127" i="4" s="1"/>
  <c r="N127" i="4"/>
  <c r="M127" i="4"/>
  <c r="K127" i="4"/>
  <c r="F127" i="4"/>
  <c r="B127" i="4"/>
  <c r="BA126" i="4"/>
  <c r="AX126" i="4"/>
  <c r="AO126" i="4"/>
  <c r="AN126" i="4"/>
  <c r="AM126" i="4"/>
  <c r="Y126" i="4"/>
  <c r="T126" i="4"/>
  <c r="S126" i="4"/>
  <c r="Q126" i="4"/>
  <c r="P126" i="4"/>
  <c r="M126" i="4"/>
  <c r="N126" i="4" s="1"/>
  <c r="AZ126" i="4" s="1"/>
  <c r="K126" i="4"/>
  <c r="F126" i="4"/>
  <c r="D126" i="4"/>
  <c r="R126" i="4" s="1"/>
  <c r="C126" i="4"/>
  <c r="B126" i="4"/>
  <c r="AX125" i="4"/>
  <c r="AO125" i="4"/>
  <c r="AN125" i="4"/>
  <c r="AM125" i="4"/>
  <c r="Y125" i="4"/>
  <c r="P125" i="4"/>
  <c r="Q125" i="4" s="1"/>
  <c r="M125" i="4"/>
  <c r="N125" i="4" s="1"/>
  <c r="AZ125" i="4" s="1"/>
  <c r="K125" i="4"/>
  <c r="F125" i="4"/>
  <c r="D125" i="4"/>
  <c r="V125" i="4" s="1"/>
  <c r="C125" i="4"/>
  <c r="T125" i="4" s="1"/>
  <c r="B125" i="4"/>
  <c r="AX124" i="4"/>
  <c r="AO124" i="4"/>
  <c r="AN124" i="4"/>
  <c r="AM124" i="4"/>
  <c r="Y124" i="4"/>
  <c r="P124" i="4"/>
  <c r="D124" i="4" s="1"/>
  <c r="N124" i="4"/>
  <c r="AZ124" i="4" s="1"/>
  <c r="M124" i="4"/>
  <c r="K124" i="4"/>
  <c r="F124" i="4"/>
  <c r="B124" i="4"/>
  <c r="BA123" i="4"/>
  <c r="AZ123" i="4"/>
  <c r="AX123" i="4"/>
  <c r="AN123" i="4"/>
  <c r="AO123" i="4" s="1"/>
  <c r="AM123" i="4"/>
  <c r="Y123" i="4"/>
  <c r="Q123" i="4"/>
  <c r="P123" i="4"/>
  <c r="D123" i="4" s="1"/>
  <c r="N123" i="4"/>
  <c r="M123" i="4"/>
  <c r="K123" i="4"/>
  <c r="F123" i="4"/>
  <c r="B123" i="4"/>
  <c r="BA122" i="4"/>
  <c r="AX122" i="4"/>
  <c r="AO122" i="4"/>
  <c r="AN122" i="4"/>
  <c r="AM122" i="4"/>
  <c r="Y122" i="4"/>
  <c r="Q122" i="4"/>
  <c r="P122" i="4"/>
  <c r="C122" i="4" s="1"/>
  <c r="M122" i="4"/>
  <c r="N122" i="4" s="1"/>
  <c r="AZ122" i="4" s="1"/>
  <c r="K122" i="4"/>
  <c r="F122" i="4"/>
  <c r="D122" i="4"/>
  <c r="B122" i="4"/>
  <c r="AX121" i="4"/>
  <c r="AO121" i="4"/>
  <c r="AN121" i="4"/>
  <c r="AM121" i="4"/>
  <c r="Y121" i="4"/>
  <c r="P121" i="4"/>
  <c r="Q121" i="4" s="1"/>
  <c r="M121" i="4"/>
  <c r="N121" i="4" s="1"/>
  <c r="AZ121" i="4" s="1"/>
  <c r="K121" i="4"/>
  <c r="F121" i="4"/>
  <c r="D121" i="4"/>
  <c r="V121" i="4" s="1"/>
  <c r="C121" i="4"/>
  <c r="T121" i="4" s="1"/>
  <c r="B121" i="4"/>
  <c r="AX120" i="4"/>
  <c r="AO120" i="4"/>
  <c r="AN120" i="4"/>
  <c r="AM120" i="4"/>
  <c r="Y120" i="4"/>
  <c r="P120" i="4"/>
  <c r="N120" i="4"/>
  <c r="AZ120" i="4" s="1"/>
  <c r="M120" i="4"/>
  <c r="K120" i="4"/>
  <c r="F120" i="4"/>
  <c r="B120" i="4"/>
  <c r="BA119" i="4"/>
  <c r="AZ119" i="4"/>
  <c r="AX119" i="4"/>
  <c r="AN119" i="4"/>
  <c r="AO119" i="4" s="1"/>
  <c r="AM119" i="4"/>
  <c r="Y119" i="4"/>
  <c r="Q119" i="4"/>
  <c r="P119" i="4"/>
  <c r="D119" i="4" s="1"/>
  <c r="N119" i="4"/>
  <c r="M119" i="4"/>
  <c r="K119" i="4"/>
  <c r="F119" i="4"/>
  <c r="B119" i="4"/>
  <c r="BA118" i="4"/>
  <c r="AX118" i="4"/>
  <c r="AO118" i="4"/>
  <c r="AN118" i="4"/>
  <c r="AM118" i="4"/>
  <c r="Y118" i="4"/>
  <c r="T118" i="4"/>
  <c r="S118" i="4"/>
  <c r="Q118" i="4"/>
  <c r="U118" i="4" s="1"/>
  <c r="P118" i="4"/>
  <c r="M118" i="4"/>
  <c r="N118" i="4" s="1"/>
  <c r="AZ118" i="4" s="1"/>
  <c r="K118" i="4"/>
  <c r="F118" i="4"/>
  <c r="D118" i="4"/>
  <c r="R118" i="4" s="1"/>
  <c r="C118" i="4"/>
  <c r="B118" i="4"/>
  <c r="AX117" i="4"/>
  <c r="AO117" i="4"/>
  <c r="AN117" i="4"/>
  <c r="AM117" i="4"/>
  <c r="Y117" i="4"/>
  <c r="P117" i="4"/>
  <c r="Q117" i="4" s="1"/>
  <c r="M117" i="4"/>
  <c r="N117" i="4" s="1"/>
  <c r="AZ117" i="4" s="1"/>
  <c r="K117" i="4"/>
  <c r="F117" i="4"/>
  <c r="D117" i="4"/>
  <c r="V117" i="4" s="1"/>
  <c r="C117" i="4"/>
  <c r="B117" i="4"/>
  <c r="AX116" i="4"/>
  <c r="AO116" i="4"/>
  <c r="AN116" i="4"/>
  <c r="AM116" i="4"/>
  <c r="Y116" i="4"/>
  <c r="P116" i="4"/>
  <c r="N116" i="4"/>
  <c r="AZ116" i="4" s="1"/>
  <c r="M116" i="4"/>
  <c r="K116" i="4"/>
  <c r="F116" i="4"/>
  <c r="B116" i="4"/>
  <c r="AZ115" i="4"/>
  <c r="AX115" i="4"/>
  <c r="AN115" i="4"/>
  <c r="AO115" i="4" s="1"/>
  <c r="AM115" i="4"/>
  <c r="Y115" i="4"/>
  <c r="Q115" i="4"/>
  <c r="BA115" i="4" s="1"/>
  <c r="P115" i="4"/>
  <c r="D115" i="4" s="1"/>
  <c r="N115" i="4"/>
  <c r="M115" i="4"/>
  <c r="K115" i="4"/>
  <c r="F115" i="4"/>
  <c r="B115" i="4"/>
  <c r="BA114" i="4"/>
  <c r="AX114" i="4"/>
  <c r="AO114" i="4"/>
  <c r="AN114" i="4"/>
  <c r="AM114" i="4"/>
  <c r="Y114" i="4"/>
  <c r="T114" i="4"/>
  <c r="S114" i="4"/>
  <c r="Q114" i="4"/>
  <c r="U114" i="4" s="1"/>
  <c r="P114" i="4"/>
  <c r="M114" i="4"/>
  <c r="N114" i="4" s="1"/>
  <c r="AZ114" i="4" s="1"/>
  <c r="K114" i="4"/>
  <c r="F114" i="4"/>
  <c r="D114" i="4"/>
  <c r="R114" i="4" s="1"/>
  <c r="C114" i="4"/>
  <c r="B114" i="4"/>
  <c r="AX113" i="4"/>
  <c r="AN113" i="4"/>
  <c r="AO113" i="4" s="1"/>
  <c r="AM113" i="4"/>
  <c r="Y113" i="4"/>
  <c r="P113" i="4"/>
  <c r="Q113" i="4" s="1"/>
  <c r="BA113" i="4" s="1"/>
  <c r="M113" i="4"/>
  <c r="N113" i="4" s="1"/>
  <c r="AZ113" i="4" s="1"/>
  <c r="K113" i="4"/>
  <c r="F113" i="4"/>
  <c r="D113" i="4"/>
  <c r="C113" i="4"/>
  <c r="V113" i="4" s="1"/>
  <c r="B113" i="4"/>
  <c r="AX112" i="4"/>
  <c r="AO112" i="4"/>
  <c r="AN112" i="4"/>
  <c r="AM112" i="4"/>
  <c r="Y112" i="4"/>
  <c r="P112" i="4"/>
  <c r="N112" i="4"/>
  <c r="AZ112" i="4" s="1"/>
  <c r="M112" i="4"/>
  <c r="K112" i="4"/>
  <c r="F112" i="4"/>
  <c r="B112" i="4"/>
  <c r="BA111" i="4"/>
  <c r="AZ111" i="4"/>
  <c r="AX111" i="4"/>
  <c r="AN111" i="4"/>
  <c r="AO111" i="4" s="1"/>
  <c r="AM111" i="4"/>
  <c r="Y111" i="4"/>
  <c r="Q111" i="4"/>
  <c r="P111" i="4"/>
  <c r="D111" i="4" s="1"/>
  <c r="N111" i="4"/>
  <c r="M111" i="4"/>
  <c r="K111" i="4"/>
  <c r="F111" i="4"/>
  <c r="B111" i="4"/>
  <c r="BA110" i="4"/>
  <c r="AX110" i="4"/>
  <c r="AO110" i="4"/>
  <c r="AN110" i="4"/>
  <c r="AM110" i="4"/>
  <c r="Y110" i="4"/>
  <c r="T110" i="4"/>
  <c r="Q110" i="4"/>
  <c r="P110" i="4"/>
  <c r="M110" i="4"/>
  <c r="N110" i="4" s="1"/>
  <c r="AZ110" i="4" s="1"/>
  <c r="K110" i="4"/>
  <c r="F110" i="4"/>
  <c r="D110" i="4"/>
  <c r="V110" i="4" s="1"/>
  <c r="C110" i="4"/>
  <c r="B110" i="4"/>
  <c r="AX109" i="4"/>
  <c r="AN109" i="4"/>
  <c r="AO109" i="4" s="1"/>
  <c r="AM109" i="4"/>
  <c r="Y109" i="4"/>
  <c r="P109" i="4"/>
  <c r="Q109" i="4" s="1"/>
  <c r="BA109" i="4" s="1"/>
  <c r="M109" i="4"/>
  <c r="N109" i="4" s="1"/>
  <c r="AZ109" i="4" s="1"/>
  <c r="K109" i="4"/>
  <c r="F109" i="4"/>
  <c r="D109" i="4"/>
  <c r="V109" i="4" s="1"/>
  <c r="C109" i="4"/>
  <c r="T109" i="4" s="1"/>
  <c r="B109" i="4"/>
  <c r="AX108" i="4"/>
  <c r="AO108" i="4"/>
  <c r="AN108" i="4"/>
  <c r="AM108" i="4"/>
  <c r="Y108" i="4"/>
  <c r="P108" i="4"/>
  <c r="N108" i="4"/>
  <c r="AZ108" i="4" s="1"/>
  <c r="M108" i="4"/>
  <c r="K108" i="4"/>
  <c r="F108" i="4"/>
  <c r="D108" i="4"/>
  <c r="B108" i="4"/>
  <c r="BA107" i="4"/>
  <c r="AZ107" i="4"/>
  <c r="AX107" i="4"/>
  <c r="AN107" i="4"/>
  <c r="AO107" i="4" s="1"/>
  <c r="AM107" i="4"/>
  <c r="Y107" i="4"/>
  <c r="Q107" i="4"/>
  <c r="P107" i="4"/>
  <c r="N107" i="4"/>
  <c r="M107" i="4"/>
  <c r="K107" i="4"/>
  <c r="F107" i="4"/>
  <c r="B107" i="4"/>
  <c r="BA106" i="4"/>
  <c r="AX106" i="4"/>
  <c r="AO106" i="4"/>
  <c r="AN106" i="4"/>
  <c r="AM106" i="4"/>
  <c r="Y106" i="4"/>
  <c r="V106" i="4"/>
  <c r="R106" i="4"/>
  <c r="Q106" i="4"/>
  <c r="P106" i="4"/>
  <c r="N106" i="4"/>
  <c r="AZ106" i="4" s="1"/>
  <c r="M106" i="4"/>
  <c r="K106" i="4"/>
  <c r="F106" i="4"/>
  <c r="D106" i="4"/>
  <c r="W106" i="4" s="1"/>
  <c r="C106" i="4"/>
  <c r="B106" i="4"/>
  <c r="AZ105" i="4"/>
  <c r="AX105" i="4"/>
  <c r="AO105" i="4"/>
  <c r="AN105" i="4"/>
  <c r="AM105" i="4"/>
  <c r="Y105" i="4"/>
  <c r="S105" i="4"/>
  <c r="Q105" i="4"/>
  <c r="BA105" i="4" s="1"/>
  <c r="P105" i="4"/>
  <c r="M105" i="4"/>
  <c r="N105" i="4" s="1"/>
  <c r="K105" i="4"/>
  <c r="F105" i="4"/>
  <c r="D105" i="4"/>
  <c r="C105" i="4"/>
  <c r="V105" i="4" s="1"/>
  <c r="B105" i="4"/>
  <c r="AX104" i="4"/>
  <c r="AN104" i="4"/>
  <c r="AO104" i="4" s="1"/>
  <c r="AM104" i="4"/>
  <c r="Y104" i="4"/>
  <c r="P104" i="4"/>
  <c r="Q104" i="4" s="1"/>
  <c r="N104" i="4"/>
  <c r="AZ104" i="4" s="1"/>
  <c r="M104" i="4"/>
  <c r="K104" i="4"/>
  <c r="F104" i="4"/>
  <c r="D104" i="4"/>
  <c r="B104" i="4"/>
  <c r="AX103" i="4"/>
  <c r="AN103" i="4"/>
  <c r="AO103" i="4" s="1"/>
  <c r="AM103" i="4"/>
  <c r="Y103" i="4"/>
  <c r="Q103" i="4"/>
  <c r="P103" i="4"/>
  <c r="D103" i="4" s="1"/>
  <c r="N103" i="4"/>
  <c r="AZ103" i="4" s="1"/>
  <c r="M103" i="4"/>
  <c r="K103" i="4"/>
  <c r="F103" i="4"/>
  <c r="C103" i="4"/>
  <c r="W103" i="4" s="1"/>
  <c r="B103" i="4"/>
  <c r="AX102" i="4"/>
  <c r="AO102" i="4"/>
  <c r="AN102" i="4"/>
  <c r="AM102" i="4"/>
  <c r="Y102" i="4"/>
  <c r="R102" i="4"/>
  <c r="Q102" i="4"/>
  <c r="P102" i="4"/>
  <c r="N102" i="4"/>
  <c r="AZ102" i="4" s="1"/>
  <c r="M102" i="4"/>
  <c r="K102" i="4"/>
  <c r="F102" i="4"/>
  <c r="D102" i="4"/>
  <c r="W102" i="4" s="1"/>
  <c r="C102" i="4"/>
  <c r="B102" i="4"/>
  <c r="AZ101" i="4"/>
  <c r="AX101" i="4"/>
  <c r="AN101" i="4"/>
  <c r="AO101" i="4" s="1"/>
  <c r="AM101" i="4"/>
  <c r="Y101" i="4"/>
  <c r="P101" i="4"/>
  <c r="Q101" i="4" s="1"/>
  <c r="M101" i="4"/>
  <c r="N101" i="4" s="1"/>
  <c r="K101" i="4"/>
  <c r="F101" i="4"/>
  <c r="C101" i="4"/>
  <c r="B101" i="4"/>
  <c r="AX100" i="4"/>
  <c r="AN100" i="4"/>
  <c r="AO100" i="4" s="1"/>
  <c r="AM100" i="4"/>
  <c r="Y100" i="4"/>
  <c r="P100" i="4"/>
  <c r="Q100" i="4" s="1"/>
  <c r="M100" i="4"/>
  <c r="N100" i="4" s="1"/>
  <c r="AZ100" i="4" s="1"/>
  <c r="K100" i="4"/>
  <c r="F100" i="4"/>
  <c r="D100" i="4"/>
  <c r="B100" i="4"/>
  <c r="AX99" i="4"/>
  <c r="AN99" i="4"/>
  <c r="AO99" i="4" s="1"/>
  <c r="AM99" i="4"/>
  <c r="Y99" i="4"/>
  <c r="Q99" i="4"/>
  <c r="P99" i="4"/>
  <c r="D99" i="4" s="1"/>
  <c r="N99" i="4"/>
  <c r="AZ99" i="4" s="1"/>
  <c r="M99" i="4"/>
  <c r="K99" i="4"/>
  <c r="F99" i="4"/>
  <c r="C99" i="4"/>
  <c r="W99" i="4" s="1"/>
  <c r="B99" i="4"/>
  <c r="AX98" i="4"/>
  <c r="AO98" i="4"/>
  <c r="AN98" i="4"/>
  <c r="AM98" i="4"/>
  <c r="Y98" i="4"/>
  <c r="R98" i="4"/>
  <c r="Q98" i="4"/>
  <c r="P98" i="4"/>
  <c r="M98" i="4"/>
  <c r="N98" i="4" s="1"/>
  <c r="AZ98" i="4" s="1"/>
  <c r="K98" i="4"/>
  <c r="F98" i="4"/>
  <c r="D98" i="4"/>
  <c r="W98" i="4" s="1"/>
  <c r="C98" i="4"/>
  <c r="B98" i="4"/>
  <c r="AX97" i="4"/>
  <c r="AN97" i="4"/>
  <c r="AO97" i="4" s="1"/>
  <c r="AM97" i="4"/>
  <c r="Y97" i="4"/>
  <c r="P97" i="4"/>
  <c r="C97" i="4" s="1"/>
  <c r="M97" i="4"/>
  <c r="N97" i="4" s="1"/>
  <c r="AZ97" i="4" s="1"/>
  <c r="K97" i="4"/>
  <c r="F97" i="4"/>
  <c r="D97" i="4"/>
  <c r="B97" i="4"/>
  <c r="AX96" i="4"/>
  <c r="AO96" i="4"/>
  <c r="AN96" i="4"/>
  <c r="AM96" i="4"/>
  <c r="Y96" i="4"/>
  <c r="P96" i="4"/>
  <c r="D96" i="4" s="1"/>
  <c r="M96" i="4"/>
  <c r="N96" i="4" s="1"/>
  <c r="AZ96" i="4" s="1"/>
  <c r="K96" i="4"/>
  <c r="F96" i="4"/>
  <c r="B96" i="4"/>
  <c r="AX95" i="4"/>
  <c r="AN95" i="4"/>
  <c r="AO95" i="4" s="1"/>
  <c r="AM95" i="4"/>
  <c r="Y95" i="4"/>
  <c r="P95" i="4"/>
  <c r="Q95" i="4" s="1"/>
  <c r="N95" i="4"/>
  <c r="AZ95" i="4" s="1"/>
  <c r="M95" i="4"/>
  <c r="K95" i="4"/>
  <c r="F95" i="4"/>
  <c r="B95" i="4"/>
  <c r="AX94" i="4"/>
  <c r="AO94" i="4"/>
  <c r="AN94" i="4"/>
  <c r="AM94" i="4"/>
  <c r="Y94" i="4"/>
  <c r="T94" i="4"/>
  <c r="Q94" i="4"/>
  <c r="BA94" i="4" s="1"/>
  <c r="P94" i="4"/>
  <c r="M94" i="4"/>
  <c r="N94" i="4" s="1"/>
  <c r="AZ94" i="4" s="1"/>
  <c r="K94" i="4"/>
  <c r="F94" i="4"/>
  <c r="D94" i="4"/>
  <c r="R94" i="4" s="1"/>
  <c r="C94" i="4"/>
  <c r="S94" i="4" s="1"/>
  <c r="B94" i="4"/>
  <c r="AX93" i="4"/>
  <c r="AO93" i="4"/>
  <c r="AN93" i="4"/>
  <c r="AM93" i="4"/>
  <c r="Y93" i="4"/>
  <c r="P93" i="4"/>
  <c r="C93" i="4" s="1"/>
  <c r="M93" i="4"/>
  <c r="N93" i="4" s="1"/>
  <c r="AZ93" i="4" s="1"/>
  <c r="K93" i="4"/>
  <c r="F93" i="4"/>
  <c r="D93" i="4"/>
  <c r="B93" i="4"/>
  <c r="AX92" i="4"/>
  <c r="AO92" i="4"/>
  <c r="AN92" i="4"/>
  <c r="AM92" i="4"/>
  <c r="Y92" i="4"/>
  <c r="P92" i="4"/>
  <c r="D92" i="4" s="1"/>
  <c r="M92" i="4"/>
  <c r="N92" i="4" s="1"/>
  <c r="AZ92" i="4" s="1"/>
  <c r="K92" i="4"/>
  <c r="F92" i="4"/>
  <c r="B92" i="4"/>
  <c r="AX91" i="4"/>
  <c r="AN91" i="4"/>
  <c r="AO91" i="4" s="1"/>
  <c r="AM91" i="4"/>
  <c r="Y91" i="4"/>
  <c r="P91" i="4"/>
  <c r="Q91" i="4" s="1"/>
  <c r="N91" i="4"/>
  <c r="AZ91" i="4" s="1"/>
  <c r="M91" i="4"/>
  <c r="K91" i="4"/>
  <c r="F91" i="4"/>
  <c r="B91" i="4"/>
  <c r="AX90" i="4"/>
  <c r="AO90" i="4"/>
  <c r="AN90" i="4"/>
  <c r="AM90" i="4"/>
  <c r="Y90" i="4"/>
  <c r="T90" i="4"/>
  <c r="Q90" i="4"/>
  <c r="BA90" i="4" s="1"/>
  <c r="P90" i="4"/>
  <c r="M90" i="4"/>
  <c r="N90" i="4" s="1"/>
  <c r="AZ90" i="4" s="1"/>
  <c r="K90" i="4"/>
  <c r="F90" i="4"/>
  <c r="D90" i="4"/>
  <c r="S90" i="4" s="1"/>
  <c r="C90" i="4"/>
  <c r="W90" i="4" s="1"/>
  <c r="B90" i="4"/>
  <c r="AX89" i="4"/>
  <c r="AO89" i="4"/>
  <c r="AN89" i="4"/>
  <c r="AM89" i="4"/>
  <c r="Y89" i="4"/>
  <c r="P89" i="4"/>
  <c r="C89" i="4" s="1"/>
  <c r="M89" i="4"/>
  <c r="N89" i="4" s="1"/>
  <c r="AZ89" i="4" s="1"/>
  <c r="K89" i="4"/>
  <c r="F89" i="4"/>
  <c r="D89" i="4"/>
  <c r="B89" i="4"/>
  <c r="AX88" i="4"/>
  <c r="AO88" i="4"/>
  <c r="AN88" i="4"/>
  <c r="AM88" i="4"/>
  <c r="Y88" i="4"/>
  <c r="P88" i="4"/>
  <c r="D88" i="4" s="1"/>
  <c r="M88" i="4"/>
  <c r="N88" i="4" s="1"/>
  <c r="AZ88" i="4" s="1"/>
  <c r="K88" i="4"/>
  <c r="F88" i="4"/>
  <c r="B88" i="4"/>
  <c r="AX87" i="4"/>
  <c r="AN87" i="4"/>
  <c r="AO87" i="4" s="1"/>
  <c r="AM87" i="4"/>
  <c r="Y87" i="4"/>
  <c r="P87" i="4"/>
  <c r="Q87" i="4" s="1"/>
  <c r="N87" i="4"/>
  <c r="AZ87" i="4" s="1"/>
  <c r="M87" i="4"/>
  <c r="K87" i="4"/>
  <c r="F87" i="4"/>
  <c r="B87" i="4"/>
  <c r="AX86" i="4"/>
  <c r="AO86" i="4"/>
  <c r="AN86" i="4"/>
  <c r="AM86" i="4"/>
  <c r="Y86" i="4"/>
  <c r="Q86" i="4"/>
  <c r="P86" i="4"/>
  <c r="M86" i="4"/>
  <c r="N86" i="4" s="1"/>
  <c r="AZ86" i="4" s="1"/>
  <c r="K86" i="4"/>
  <c r="F86" i="4"/>
  <c r="B86" i="4"/>
  <c r="AX85" i="4"/>
  <c r="AO85" i="4"/>
  <c r="AN85" i="4"/>
  <c r="AM85" i="4"/>
  <c r="Y85" i="4"/>
  <c r="P85" i="4"/>
  <c r="M85" i="4"/>
  <c r="N85" i="4" s="1"/>
  <c r="AZ85" i="4" s="1"/>
  <c r="K85" i="4"/>
  <c r="F85" i="4"/>
  <c r="B85" i="4"/>
  <c r="AX84" i="4"/>
  <c r="AN84" i="4"/>
  <c r="AO84" i="4" s="1"/>
  <c r="AM84" i="4"/>
  <c r="Y84" i="4"/>
  <c r="P84" i="4"/>
  <c r="M84" i="4"/>
  <c r="N84" i="4" s="1"/>
  <c r="AZ84" i="4" s="1"/>
  <c r="K84" i="4"/>
  <c r="F84" i="4"/>
  <c r="B84" i="4"/>
  <c r="AX83" i="4"/>
  <c r="AO83" i="4"/>
  <c r="AN83" i="4"/>
  <c r="AM83" i="4"/>
  <c r="Y83" i="4"/>
  <c r="P83" i="4"/>
  <c r="Q83" i="4" s="1"/>
  <c r="N83" i="4"/>
  <c r="AZ83" i="4" s="1"/>
  <c r="M83" i="4"/>
  <c r="K83" i="4"/>
  <c r="F83" i="4"/>
  <c r="B83" i="4"/>
  <c r="AX82" i="4"/>
  <c r="AO82" i="4"/>
  <c r="AN82" i="4"/>
  <c r="AM82" i="4"/>
  <c r="Y82" i="4"/>
  <c r="Q82" i="4"/>
  <c r="P82" i="4"/>
  <c r="M82" i="4"/>
  <c r="N82" i="4" s="1"/>
  <c r="AZ82" i="4" s="1"/>
  <c r="K82" i="4"/>
  <c r="F82" i="4"/>
  <c r="B82" i="4"/>
  <c r="AX81" i="4"/>
  <c r="AO81" i="4"/>
  <c r="AN81" i="4"/>
  <c r="AM81" i="4"/>
  <c r="Y81" i="4"/>
  <c r="P81" i="4"/>
  <c r="M81" i="4"/>
  <c r="N81" i="4" s="1"/>
  <c r="AZ81" i="4" s="1"/>
  <c r="K81" i="4"/>
  <c r="F81" i="4"/>
  <c r="B81" i="4"/>
  <c r="AX80" i="4"/>
  <c r="AN80" i="4"/>
  <c r="AO80" i="4" s="1"/>
  <c r="AM80" i="4"/>
  <c r="Y80" i="4"/>
  <c r="P80" i="4"/>
  <c r="M80" i="4"/>
  <c r="N80" i="4" s="1"/>
  <c r="AZ80" i="4" s="1"/>
  <c r="K80" i="4"/>
  <c r="F80" i="4"/>
  <c r="B80" i="4"/>
  <c r="AX79" i="4"/>
  <c r="AO79" i="4"/>
  <c r="AN79" i="4"/>
  <c r="AM79" i="4"/>
  <c r="Y79" i="4"/>
  <c r="P79" i="4"/>
  <c r="Q79" i="4" s="1"/>
  <c r="N79" i="4"/>
  <c r="AZ79" i="4" s="1"/>
  <c r="M79" i="4"/>
  <c r="K79" i="4"/>
  <c r="F79" i="4"/>
  <c r="B79" i="4"/>
  <c r="AX78" i="4"/>
  <c r="AO78" i="4"/>
  <c r="AN78" i="4"/>
  <c r="AM78" i="4"/>
  <c r="Y78" i="4"/>
  <c r="Q78" i="4"/>
  <c r="P78" i="4"/>
  <c r="M78" i="4"/>
  <c r="N78" i="4" s="1"/>
  <c r="AZ78" i="4" s="1"/>
  <c r="K78" i="4"/>
  <c r="F78" i="4"/>
  <c r="B78" i="4"/>
  <c r="AX77" i="4"/>
  <c r="AO77" i="4"/>
  <c r="AN77" i="4"/>
  <c r="AM77" i="4"/>
  <c r="Y77" i="4"/>
  <c r="P77" i="4"/>
  <c r="M77" i="4"/>
  <c r="N77" i="4" s="1"/>
  <c r="AZ77" i="4" s="1"/>
  <c r="K77" i="4"/>
  <c r="F77" i="4"/>
  <c r="B77" i="4"/>
  <c r="AX76" i="4"/>
  <c r="AM76" i="4"/>
  <c r="Y76" i="4"/>
  <c r="P76" i="4"/>
  <c r="M76" i="4"/>
  <c r="N76" i="4" s="1"/>
  <c r="AZ76" i="4" s="1"/>
  <c r="K76" i="4"/>
  <c r="F76" i="4"/>
  <c r="B76" i="4"/>
  <c r="AX75" i="4"/>
  <c r="AM75" i="4"/>
  <c r="Y75" i="4"/>
  <c r="P75" i="4"/>
  <c r="Q75" i="4" s="1"/>
  <c r="N75" i="4"/>
  <c r="AZ75" i="4" s="1"/>
  <c r="M75" i="4"/>
  <c r="K75" i="4"/>
  <c r="F75" i="4"/>
  <c r="B75" i="4"/>
  <c r="AX74" i="4"/>
  <c r="AO74" i="4"/>
  <c r="AN74" i="4"/>
  <c r="AM74" i="4"/>
  <c r="Y74" i="4"/>
  <c r="Q74" i="4"/>
  <c r="P74" i="4"/>
  <c r="M74" i="4"/>
  <c r="N74" i="4" s="1"/>
  <c r="AZ74" i="4" s="1"/>
  <c r="K74" i="4"/>
  <c r="F74" i="4"/>
  <c r="B74" i="4"/>
  <c r="AX73" i="4"/>
  <c r="AO73" i="4"/>
  <c r="AN73" i="4"/>
  <c r="AM73" i="4"/>
  <c r="Y73" i="4"/>
  <c r="P73" i="4"/>
  <c r="M73" i="4"/>
  <c r="N73" i="4" s="1"/>
  <c r="AZ73" i="4" s="1"/>
  <c r="K73" i="4"/>
  <c r="F73" i="4"/>
  <c r="B73" i="4"/>
  <c r="AX72" i="4"/>
  <c r="AN72" i="4"/>
  <c r="AO72" i="4" s="1"/>
  <c r="AM72" i="4"/>
  <c r="Y72" i="4"/>
  <c r="P72" i="4"/>
  <c r="M72" i="4"/>
  <c r="N72" i="4" s="1"/>
  <c r="AZ72" i="4" s="1"/>
  <c r="K72" i="4"/>
  <c r="F72" i="4"/>
  <c r="B72" i="4"/>
  <c r="AX71" i="4"/>
  <c r="AM71" i="4"/>
  <c r="Y71" i="4"/>
  <c r="P71" i="4"/>
  <c r="Q71" i="4" s="1"/>
  <c r="N71" i="4"/>
  <c r="AZ71" i="4" s="1"/>
  <c r="M71" i="4"/>
  <c r="K71" i="4"/>
  <c r="F71" i="4"/>
  <c r="B71" i="4"/>
  <c r="AX70" i="4"/>
  <c r="AM70" i="4"/>
  <c r="Y70" i="4"/>
  <c r="Q70" i="4"/>
  <c r="P70" i="4"/>
  <c r="M70" i="4"/>
  <c r="N70" i="4" s="1"/>
  <c r="AZ70" i="4" s="1"/>
  <c r="K70" i="4"/>
  <c r="F70" i="4"/>
  <c r="B70" i="4"/>
  <c r="AX69" i="4"/>
  <c r="AM69" i="4"/>
  <c r="Y69" i="4"/>
  <c r="P69" i="4"/>
  <c r="M69" i="4"/>
  <c r="N69" i="4" s="1"/>
  <c r="AZ69" i="4" s="1"/>
  <c r="K69" i="4"/>
  <c r="F69" i="4"/>
  <c r="B69" i="4"/>
  <c r="AX68" i="4"/>
  <c r="AM68" i="4"/>
  <c r="Y68" i="4"/>
  <c r="P68" i="4"/>
  <c r="M68" i="4"/>
  <c r="N68" i="4" s="1"/>
  <c r="AZ68" i="4" s="1"/>
  <c r="K68" i="4"/>
  <c r="F68" i="4"/>
  <c r="B68" i="4"/>
  <c r="AX67" i="4"/>
  <c r="AM67" i="4"/>
  <c r="Y67" i="4"/>
  <c r="P67" i="4"/>
  <c r="Q67" i="4" s="1"/>
  <c r="N67" i="4"/>
  <c r="AZ67" i="4" s="1"/>
  <c r="M67" i="4"/>
  <c r="K67" i="4"/>
  <c r="F67" i="4"/>
  <c r="B67" i="4"/>
  <c r="AX66" i="4"/>
  <c r="AO66" i="4"/>
  <c r="AN66" i="4"/>
  <c r="AM66" i="4"/>
  <c r="Y66" i="4"/>
  <c r="Q66" i="4"/>
  <c r="P66" i="4"/>
  <c r="M66" i="4"/>
  <c r="N66" i="4" s="1"/>
  <c r="AZ66" i="4" s="1"/>
  <c r="K66" i="4"/>
  <c r="F66" i="4"/>
  <c r="B66" i="4"/>
  <c r="AX65" i="4"/>
  <c r="AO65" i="4"/>
  <c r="AN65" i="4"/>
  <c r="AM65" i="4"/>
  <c r="Y65" i="4"/>
  <c r="P65" i="4"/>
  <c r="M65" i="4"/>
  <c r="N65" i="4" s="1"/>
  <c r="AZ65" i="4" s="1"/>
  <c r="K65" i="4"/>
  <c r="F65" i="4"/>
  <c r="B65" i="4"/>
  <c r="AX64" i="4"/>
  <c r="AN64" i="4"/>
  <c r="AO64" i="4" s="1"/>
  <c r="AM64" i="4"/>
  <c r="Y64" i="4"/>
  <c r="P64" i="4"/>
  <c r="M64" i="4"/>
  <c r="N64" i="4" s="1"/>
  <c r="AZ64" i="4" s="1"/>
  <c r="K64" i="4"/>
  <c r="F64" i="4"/>
  <c r="B64" i="4"/>
  <c r="AX63" i="4"/>
  <c r="AO63" i="4"/>
  <c r="AN63" i="4"/>
  <c r="AM63" i="4"/>
  <c r="Y63" i="4"/>
  <c r="P63" i="4"/>
  <c r="Q63" i="4" s="1"/>
  <c r="N63" i="4"/>
  <c r="AZ63" i="4" s="1"/>
  <c r="M63" i="4"/>
  <c r="K63" i="4"/>
  <c r="F63" i="4"/>
  <c r="B63" i="4"/>
  <c r="AX62" i="4"/>
  <c r="AO62" i="4"/>
  <c r="AN62" i="4"/>
  <c r="AM62" i="4"/>
  <c r="Y62" i="4"/>
  <c r="Q62" i="4"/>
  <c r="P62" i="4"/>
  <c r="M62" i="4"/>
  <c r="N62" i="4" s="1"/>
  <c r="AZ62" i="4" s="1"/>
  <c r="K62" i="4"/>
  <c r="F62" i="4"/>
  <c r="B62" i="4"/>
  <c r="AX61" i="4"/>
  <c r="AO61" i="4"/>
  <c r="AN61" i="4"/>
  <c r="AM61" i="4"/>
  <c r="Y61" i="4"/>
  <c r="P61" i="4"/>
  <c r="M61" i="4"/>
  <c r="N61" i="4" s="1"/>
  <c r="AZ61" i="4" s="1"/>
  <c r="K61" i="4"/>
  <c r="F61" i="4"/>
  <c r="B61" i="4"/>
  <c r="AX60" i="4"/>
  <c r="AN60" i="4"/>
  <c r="AO60" i="4" s="1"/>
  <c r="AM60" i="4"/>
  <c r="Y60" i="4"/>
  <c r="P60" i="4"/>
  <c r="M60" i="4"/>
  <c r="N60" i="4" s="1"/>
  <c r="AZ60" i="4" s="1"/>
  <c r="K60" i="4"/>
  <c r="F60" i="4"/>
  <c r="B60" i="4"/>
  <c r="AX59" i="4"/>
  <c r="AO59" i="4"/>
  <c r="AN59" i="4"/>
  <c r="AM59" i="4"/>
  <c r="Y59" i="4"/>
  <c r="P59" i="4"/>
  <c r="Q59" i="4" s="1"/>
  <c r="N59" i="4"/>
  <c r="AZ59" i="4" s="1"/>
  <c r="M59" i="4"/>
  <c r="K59" i="4"/>
  <c r="F59" i="4"/>
  <c r="B59" i="4"/>
  <c r="AX58" i="4"/>
  <c r="AO58" i="4"/>
  <c r="AN58" i="4"/>
  <c r="AM58" i="4"/>
  <c r="Y58" i="4"/>
  <c r="Q58" i="4"/>
  <c r="P58" i="4"/>
  <c r="M58" i="4"/>
  <c r="N58" i="4" s="1"/>
  <c r="AZ58" i="4" s="1"/>
  <c r="K58" i="4"/>
  <c r="F58" i="4"/>
  <c r="B58" i="4"/>
  <c r="AX57" i="4"/>
  <c r="AO57" i="4"/>
  <c r="AN57" i="4"/>
  <c r="AM57" i="4"/>
  <c r="Y57" i="4"/>
  <c r="P57" i="4"/>
  <c r="M57" i="4"/>
  <c r="N57" i="4" s="1"/>
  <c r="AZ57" i="4" s="1"/>
  <c r="K57" i="4"/>
  <c r="F57" i="4"/>
  <c r="B57" i="4"/>
  <c r="AX56" i="4"/>
  <c r="AN56" i="4"/>
  <c r="AO56" i="4" s="1"/>
  <c r="AM56" i="4"/>
  <c r="Y56" i="4"/>
  <c r="P56" i="4"/>
  <c r="M56" i="4"/>
  <c r="N56" i="4" s="1"/>
  <c r="AZ56" i="4" s="1"/>
  <c r="K56" i="4"/>
  <c r="F56" i="4"/>
  <c r="B56" i="4"/>
  <c r="AX55" i="4"/>
  <c r="AO55" i="4"/>
  <c r="AN55" i="4"/>
  <c r="AM55" i="4"/>
  <c r="Y55" i="4"/>
  <c r="P55" i="4"/>
  <c r="N55" i="4"/>
  <c r="AZ55" i="4" s="1"/>
  <c r="M55" i="4"/>
  <c r="K55" i="4"/>
  <c r="F55" i="4"/>
  <c r="B55" i="4"/>
  <c r="AZ54" i="4"/>
  <c r="AX54" i="4"/>
  <c r="AO54" i="4"/>
  <c r="AN54" i="4"/>
  <c r="AM54" i="4"/>
  <c r="Y54" i="4"/>
  <c r="Q54" i="4"/>
  <c r="P54" i="4"/>
  <c r="M54" i="4"/>
  <c r="N54" i="4" s="1"/>
  <c r="K54" i="4"/>
  <c r="F54" i="4"/>
  <c r="B54" i="4"/>
  <c r="AX53" i="4"/>
  <c r="AO53" i="4"/>
  <c r="AN53" i="4"/>
  <c r="AM53" i="4"/>
  <c r="Y53" i="4"/>
  <c r="P53" i="4"/>
  <c r="M53" i="4"/>
  <c r="N53" i="4" s="1"/>
  <c r="AZ53" i="4" s="1"/>
  <c r="K53" i="4"/>
  <c r="F53" i="4"/>
  <c r="B53" i="4"/>
  <c r="AX52" i="4"/>
  <c r="AN52" i="4"/>
  <c r="AO52" i="4" s="1"/>
  <c r="AM52" i="4"/>
  <c r="Y52" i="4"/>
  <c r="P52" i="4"/>
  <c r="Q52" i="4" s="1"/>
  <c r="M52" i="4"/>
  <c r="N52" i="4" s="1"/>
  <c r="AZ52" i="4" s="1"/>
  <c r="K52" i="4"/>
  <c r="F52" i="4"/>
  <c r="B52" i="4"/>
  <c r="AX51" i="4"/>
  <c r="AO51" i="4"/>
  <c r="AN51" i="4"/>
  <c r="AM51" i="4"/>
  <c r="Y51" i="4"/>
  <c r="P51" i="4"/>
  <c r="N51" i="4"/>
  <c r="AZ51" i="4" s="1"/>
  <c r="M51" i="4"/>
  <c r="K51" i="4"/>
  <c r="F51" i="4"/>
  <c r="B51" i="4"/>
  <c r="AX50" i="4"/>
  <c r="AM50" i="4"/>
  <c r="Y50" i="4"/>
  <c r="Q50" i="4"/>
  <c r="P50" i="4"/>
  <c r="M50" i="4"/>
  <c r="N50" i="4" s="1"/>
  <c r="AZ50" i="4" s="1"/>
  <c r="K50" i="4"/>
  <c r="F50" i="4"/>
  <c r="B50" i="4"/>
  <c r="AX49" i="4"/>
  <c r="AO49" i="4"/>
  <c r="AN49" i="4"/>
  <c r="AM49" i="4"/>
  <c r="Y49" i="4"/>
  <c r="P49" i="4"/>
  <c r="M49" i="4"/>
  <c r="N49" i="4" s="1"/>
  <c r="AZ49" i="4" s="1"/>
  <c r="K49" i="4"/>
  <c r="F49" i="4"/>
  <c r="B49" i="4"/>
  <c r="AX48" i="4"/>
  <c r="AN48" i="4"/>
  <c r="AO48" i="4" s="1"/>
  <c r="AM48" i="4"/>
  <c r="Y48" i="4"/>
  <c r="P48" i="4"/>
  <c r="Q48" i="4" s="1"/>
  <c r="M48" i="4"/>
  <c r="N48" i="4" s="1"/>
  <c r="AZ48" i="4" s="1"/>
  <c r="K48" i="4"/>
  <c r="F48" i="4"/>
  <c r="B48" i="4"/>
  <c r="AX47" i="4"/>
  <c r="AO47" i="4"/>
  <c r="AN47" i="4"/>
  <c r="AM47" i="4"/>
  <c r="Y47" i="4"/>
  <c r="P47" i="4"/>
  <c r="N47" i="4"/>
  <c r="AZ47" i="4" s="1"/>
  <c r="M47" i="4"/>
  <c r="K47" i="4"/>
  <c r="F47" i="4"/>
  <c r="B47" i="4"/>
  <c r="AX46" i="4"/>
  <c r="AN46" i="4"/>
  <c r="AO46" i="4" s="1"/>
  <c r="AM46" i="4"/>
  <c r="Y46" i="4"/>
  <c r="P46" i="4"/>
  <c r="Q46" i="4" s="1"/>
  <c r="M46" i="4"/>
  <c r="N46" i="4" s="1"/>
  <c r="AZ46" i="4" s="1"/>
  <c r="K46" i="4"/>
  <c r="F46" i="4"/>
  <c r="B46" i="4"/>
  <c r="AX45" i="4"/>
  <c r="AM45" i="4"/>
  <c r="Y45" i="4"/>
  <c r="P45" i="4"/>
  <c r="N45" i="4"/>
  <c r="AZ45" i="4" s="1"/>
  <c r="M45" i="4"/>
  <c r="K45" i="4"/>
  <c r="F45" i="4"/>
  <c r="B45" i="4"/>
  <c r="AX44" i="4"/>
  <c r="AM44" i="4"/>
  <c r="Y44" i="4"/>
  <c r="Q44" i="4"/>
  <c r="P44" i="4"/>
  <c r="M44" i="4"/>
  <c r="N44" i="4" s="1"/>
  <c r="AZ44" i="4" s="1"/>
  <c r="K44" i="4"/>
  <c r="F44" i="4"/>
  <c r="B44" i="4"/>
  <c r="AX43" i="4"/>
  <c r="AM43" i="4"/>
  <c r="Y43" i="4"/>
  <c r="P43" i="4"/>
  <c r="M43" i="4"/>
  <c r="N43" i="4" s="1"/>
  <c r="AZ43" i="4" s="1"/>
  <c r="K43" i="4"/>
  <c r="F43" i="4"/>
  <c r="B43" i="4"/>
  <c r="AX42" i="4"/>
  <c r="AO42" i="4"/>
  <c r="AN42" i="4"/>
  <c r="AM42" i="4"/>
  <c r="Y42" i="4"/>
  <c r="P42" i="4"/>
  <c r="Q42" i="4" s="1"/>
  <c r="N42" i="4"/>
  <c r="AZ42" i="4" s="1"/>
  <c r="M42" i="4"/>
  <c r="K42" i="4"/>
  <c r="F42" i="4"/>
  <c r="B42" i="4"/>
  <c r="AX41" i="4"/>
  <c r="AO41" i="4"/>
  <c r="AN41" i="4"/>
  <c r="AM41" i="4"/>
  <c r="Y41" i="4"/>
  <c r="Q41" i="4"/>
  <c r="P41" i="4"/>
  <c r="N41" i="4"/>
  <c r="AZ41" i="4" s="1"/>
  <c r="M41" i="4"/>
  <c r="K41" i="4"/>
  <c r="F41" i="4"/>
  <c r="B41" i="4"/>
  <c r="AX40" i="4"/>
  <c r="AO40" i="4"/>
  <c r="AN40" i="4"/>
  <c r="AM40" i="4"/>
  <c r="Y40" i="4"/>
  <c r="Q40" i="4"/>
  <c r="P40" i="4"/>
  <c r="M40" i="4"/>
  <c r="N40" i="4" s="1"/>
  <c r="AZ40" i="4" s="1"/>
  <c r="K40" i="4"/>
  <c r="F40" i="4"/>
  <c r="B40" i="4"/>
  <c r="AX39" i="4"/>
  <c r="AO39" i="4"/>
  <c r="AN39" i="4"/>
  <c r="AM39" i="4"/>
  <c r="Y39" i="4"/>
  <c r="P39" i="4"/>
  <c r="Q39" i="4" s="1"/>
  <c r="M39" i="4"/>
  <c r="N39" i="4" s="1"/>
  <c r="AZ39" i="4" s="1"/>
  <c r="K39" i="4"/>
  <c r="F39" i="4"/>
  <c r="B39" i="4"/>
  <c r="AX38" i="4"/>
  <c r="AN38" i="4"/>
  <c r="AO38" i="4" s="1"/>
  <c r="AM38" i="4"/>
  <c r="Y38" i="4"/>
  <c r="P38" i="4"/>
  <c r="Q38" i="4" s="1"/>
  <c r="M38" i="4"/>
  <c r="N38" i="4" s="1"/>
  <c r="AZ38" i="4" s="1"/>
  <c r="K38" i="4"/>
  <c r="F38" i="4"/>
  <c r="B38" i="4"/>
  <c r="AX37" i="4"/>
  <c r="AO37" i="4"/>
  <c r="AN37" i="4"/>
  <c r="AM37" i="4"/>
  <c r="Y37" i="4"/>
  <c r="P37" i="4"/>
  <c r="Q37" i="4" s="1"/>
  <c r="N37" i="4"/>
  <c r="AZ37" i="4" s="1"/>
  <c r="M37" i="4"/>
  <c r="K37" i="4"/>
  <c r="F37" i="4"/>
  <c r="B37" i="4"/>
  <c r="AX36" i="4"/>
  <c r="AO36" i="4"/>
  <c r="AN36" i="4"/>
  <c r="AM36" i="4"/>
  <c r="Y36" i="4"/>
  <c r="Q36" i="4"/>
  <c r="P36" i="4"/>
  <c r="M36" i="4"/>
  <c r="N36" i="4" s="1"/>
  <c r="AZ36" i="4" s="1"/>
  <c r="K36" i="4"/>
  <c r="F36" i="4"/>
  <c r="B36" i="4"/>
  <c r="AX35" i="4"/>
  <c r="AM35" i="4"/>
  <c r="Y35" i="4"/>
  <c r="P35" i="4"/>
  <c r="Q35" i="4" s="1"/>
  <c r="M35" i="4"/>
  <c r="N35" i="4" s="1"/>
  <c r="AZ35" i="4" s="1"/>
  <c r="K35" i="4"/>
  <c r="F35" i="4"/>
  <c r="B35" i="4"/>
  <c r="AX34" i="4"/>
  <c r="AM34" i="4"/>
  <c r="Y34" i="4"/>
  <c r="P34" i="4"/>
  <c r="Q34" i="4" s="1"/>
  <c r="M34" i="4"/>
  <c r="N34" i="4" s="1"/>
  <c r="AZ34" i="4" s="1"/>
  <c r="K34" i="4"/>
  <c r="F34" i="4"/>
  <c r="B34" i="4"/>
  <c r="AX33" i="4"/>
  <c r="AM33" i="4"/>
  <c r="Y33" i="4"/>
  <c r="P33" i="4"/>
  <c r="Q33" i="4" s="1"/>
  <c r="N33" i="4"/>
  <c r="AZ33" i="4" s="1"/>
  <c r="M33" i="4"/>
  <c r="K33" i="4"/>
  <c r="F33" i="4"/>
  <c r="B33" i="4"/>
  <c r="AX32" i="4"/>
  <c r="AM32" i="4"/>
  <c r="Y32" i="4"/>
  <c r="Q32" i="4"/>
  <c r="P32" i="4"/>
  <c r="M32" i="4"/>
  <c r="N32" i="4" s="1"/>
  <c r="AZ32" i="4" s="1"/>
  <c r="K32" i="4"/>
  <c r="F32" i="4"/>
  <c r="B32" i="4"/>
  <c r="AX31" i="4"/>
  <c r="AO31" i="4"/>
  <c r="AN31" i="4"/>
  <c r="AM31" i="4"/>
  <c r="Y31" i="4"/>
  <c r="P31" i="4"/>
  <c r="Q31" i="4" s="1"/>
  <c r="M31" i="4"/>
  <c r="N31" i="4" s="1"/>
  <c r="AZ31" i="4" s="1"/>
  <c r="K31" i="4"/>
  <c r="F31" i="4"/>
  <c r="B31" i="4"/>
  <c r="AX30" i="4"/>
  <c r="AM30" i="4"/>
  <c r="Y30" i="4"/>
  <c r="P30" i="4"/>
  <c r="Q30" i="4" s="1"/>
  <c r="M30" i="4"/>
  <c r="N30" i="4" s="1"/>
  <c r="AZ30" i="4" s="1"/>
  <c r="K30" i="4"/>
  <c r="F30" i="4"/>
  <c r="B30" i="4"/>
  <c r="AX29" i="4"/>
  <c r="AO29" i="4"/>
  <c r="AN29" i="4"/>
  <c r="AM29" i="4"/>
  <c r="Y29" i="4"/>
  <c r="P29" i="4"/>
  <c r="Q29" i="4" s="1"/>
  <c r="N29" i="4"/>
  <c r="AZ29" i="4" s="1"/>
  <c r="M29" i="4"/>
  <c r="K29" i="4"/>
  <c r="F29" i="4"/>
  <c r="B29" i="4"/>
  <c r="AX28" i="4"/>
  <c r="AO28" i="4"/>
  <c r="AN28" i="4"/>
  <c r="AM28" i="4"/>
  <c r="Y28" i="4"/>
  <c r="Q28" i="4"/>
  <c r="P28" i="4"/>
  <c r="M28" i="4"/>
  <c r="N28" i="4" s="1"/>
  <c r="AZ28" i="4" s="1"/>
  <c r="K28" i="4"/>
  <c r="F28" i="4"/>
  <c r="B28" i="4"/>
  <c r="AX27" i="4"/>
  <c r="AO27" i="4"/>
  <c r="AN27" i="4"/>
  <c r="AM27" i="4"/>
  <c r="Y27" i="4"/>
  <c r="P27" i="4"/>
  <c r="Q27" i="4" s="1"/>
  <c r="M27" i="4"/>
  <c r="N27" i="4" s="1"/>
  <c r="AZ27" i="4" s="1"/>
  <c r="K27" i="4"/>
  <c r="F27" i="4"/>
  <c r="B27" i="4"/>
  <c r="AX26" i="4"/>
  <c r="AN26" i="4"/>
  <c r="AO26" i="4" s="1"/>
  <c r="AM26" i="4"/>
  <c r="Y26" i="4"/>
  <c r="P26" i="4"/>
  <c r="Q26" i="4" s="1"/>
  <c r="M26" i="4"/>
  <c r="N26" i="4" s="1"/>
  <c r="AZ26" i="4" s="1"/>
  <c r="K26" i="4"/>
  <c r="F26" i="4"/>
  <c r="B26" i="4"/>
  <c r="AX25" i="4"/>
  <c r="AO25" i="4"/>
  <c r="AN25" i="4"/>
  <c r="AM25" i="4"/>
  <c r="Y25" i="4"/>
  <c r="P25" i="4"/>
  <c r="Q25" i="4" s="1"/>
  <c r="N25" i="4"/>
  <c r="AZ25" i="4" s="1"/>
  <c r="M25" i="4"/>
  <c r="K25" i="4"/>
  <c r="F25" i="4"/>
  <c r="B25" i="4"/>
  <c r="AX24" i="4"/>
  <c r="AO24" i="4"/>
  <c r="AN24" i="4"/>
  <c r="AM24" i="4"/>
  <c r="Y24" i="4"/>
  <c r="Q24" i="4"/>
  <c r="P24" i="4"/>
  <c r="M24" i="4"/>
  <c r="N24" i="4" s="1"/>
  <c r="AZ24" i="4" s="1"/>
  <c r="K24" i="4"/>
  <c r="F24" i="4"/>
  <c r="B24" i="4"/>
  <c r="AX23" i="4"/>
  <c r="AO23" i="4"/>
  <c r="AN23" i="4"/>
  <c r="AM23" i="4"/>
  <c r="Y23" i="4"/>
  <c r="P23" i="4"/>
  <c r="Q23" i="4" s="1"/>
  <c r="M23" i="4"/>
  <c r="N23" i="4" s="1"/>
  <c r="AZ23" i="4" s="1"/>
  <c r="K23" i="4"/>
  <c r="F23" i="4"/>
  <c r="B23" i="4"/>
  <c r="AX22" i="4"/>
  <c r="AM22" i="4"/>
  <c r="Y22" i="4"/>
  <c r="P22" i="4"/>
  <c r="Q22" i="4" s="1"/>
  <c r="M22" i="4"/>
  <c r="N22" i="4" s="1"/>
  <c r="AZ22" i="4" s="1"/>
  <c r="K22" i="4"/>
  <c r="F22" i="4"/>
  <c r="B22" i="4"/>
  <c r="AX21" i="4"/>
  <c r="AM21" i="4"/>
  <c r="Y21" i="4"/>
  <c r="P21" i="4"/>
  <c r="Q21" i="4" s="1"/>
  <c r="N21" i="4"/>
  <c r="AZ21" i="4" s="1"/>
  <c r="M21" i="4"/>
  <c r="K21" i="4"/>
  <c r="F21" i="4"/>
  <c r="B21" i="4"/>
  <c r="AX20" i="4"/>
  <c r="AM20" i="4"/>
  <c r="Y20" i="4"/>
  <c r="Q20" i="4"/>
  <c r="P20" i="4"/>
  <c r="M20" i="4"/>
  <c r="N20" i="4" s="1"/>
  <c r="AZ20" i="4" s="1"/>
  <c r="K20" i="4"/>
  <c r="F20" i="4"/>
  <c r="B20" i="4"/>
  <c r="AX19" i="4"/>
  <c r="AO19" i="4"/>
  <c r="AN19" i="4"/>
  <c r="AM19" i="4"/>
  <c r="Y19" i="4"/>
  <c r="P19" i="4"/>
  <c r="Q19" i="4" s="1"/>
  <c r="M19" i="4"/>
  <c r="N19" i="4" s="1"/>
  <c r="AZ19" i="4" s="1"/>
  <c r="K19" i="4"/>
  <c r="F19" i="4"/>
  <c r="B19" i="4"/>
  <c r="AX18" i="4"/>
  <c r="AN18" i="4"/>
  <c r="AO18" i="4" s="1"/>
  <c r="AM18" i="4"/>
  <c r="Y18" i="4"/>
  <c r="P18" i="4"/>
  <c r="Q18" i="4" s="1"/>
  <c r="M18" i="4"/>
  <c r="N18" i="4" s="1"/>
  <c r="AZ18" i="4" s="1"/>
  <c r="K18" i="4"/>
  <c r="F18" i="4"/>
  <c r="B18" i="4"/>
  <c r="AX17" i="4"/>
  <c r="AO17" i="4"/>
  <c r="AN17" i="4"/>
  <c r="AM17" i="4"/>
  <c r="Y17" i="4"/>
  <c r="P17" i="4"/>
  <c r="Q17" i="4" s="1"/>
  <c r="N17" i="4"/>
  <c r="AZ17" i="4" s="1"/>
  <c r="M17" i="4"/>
  <c r="K17" i="4"/>
  <c r="F17" i="4"/>
  <c r="B17" i="4"/>
  <c r="AX16" i="4"/>
  <c r="AO16" i="4"/>
  <c r="AN16" i="4"/>
  <c r="AM16" i="4"/>
  <c r="Y16" i="4"/>
  <c r="Q16" i="4"/>
  <c r="P16" i="4"/>
  <c r="M16" i="4"/>
  <c r="N16" i="4" s="1"/>
  <c r="AZ16" i="4" s="1"/>
  <c r="K16" i="4"/>
  <c r="F16" i="4"/>
  <c r="B16" i="4"/>
  <c r="AX15" i="4"/>
  <c r="AO15" i="4"/>
  <c r="AN15" i="4"/>
  <c r="AM15" i="4"/>
  <c r="Y15" i="4"/>
  <c r="P15" i="4"/>
  <c r="Q15" i="4" s="1"/>
  <c r="M15" i="4"/>
  <c r="N15" i="4" s="1"/>
  <c r="AZ15" i="4" s="1"/>
  <c r="K15" i="4"/>
  <c r="F15" i="4"/>
  <c r="B15" i="4"/>
  <c r="AX14" i="4"/>
  <c r="AN14" i="4"/>
  <c r="AO14" i="4" s="1"/>
  <c r="AM14" i="4"/>
  <c r="Y14" i="4"/>
  <c r="P14" i="4"/>
  <c r="Q14" i="4" s="1"/>
  <c r="M14" i="4"/>
  <c r="N14" i="4" s="1"/>
  <c r="AZ14" i="4" s="1"/>
  <c r="K14" i="4"/>
  <c r="F14" i="4"/>
  <c r="B14" i="4"/>
  <c r="AX13" i="4"/>
  <c r="AO13" i="4"/>
  <c r="AN13" i="4"/>
  <c r="AM13" i="4"/>
  <c r="Y13" i="4"/>
  <c r="P13" i="4"/>
  <c r="Q13" i="4" s="1"/>
  <c r="N13" i="4"/>
  <c r="AZ13" i="4" s="1"/>
  <c r="M13" i="4"/>
  <c r="K13" i="4"/>
  <c r="F13" i="4"/>
  <c r="B13" i="4"/>
  <c r="AX12" i="4"/>
  <c r="AO12" i="4"/>
  <c r="AN12" i="4"/>
  <c r="AM12" i="4"/>
  <c r="Y12" i="4"/>
  <c r="Q12" i="4"/>
  <c r="P12" i="4"/>
  <c r="M12" i="4"/>
  <c r="N12" i="4" s="1"/>
  <c r="AZ12" i="4" s="1"/>
  <c r="K12" i="4"/>
  <c r="F12" i="4"/>
  <c r="B12" i="4"/>
  <c r="AX11" i="4"/>
  <c r="AO11" i="4"/>
  <c r="AN11" i="4"/>
  <c r="AM11" i="4"/>
  <c r="Y11" i="4"/>
  <c r="P11" i="4"/>
  <c r="M11" i="4"/>
  <c r="N11" i="4" s="1"/>
  <c r="AZ11" i="4" s="1"/>
  <c r="K11" i="4"/>
  <c r="F11" i="4"/>
  <c r="B11" i="4"/>
  <c r="AX10" i="4"/>
  <c r="AN10" i="4"/>
  <c r="AO10" i="4" s="1"/>
  <c r="AM10" i="4"/>
  <c r="Y10" i="4"/>
  <c r="P10" i="4"/>
  <c r="Q10" i="4" s="1"/>
  <c r="M10" i="4"/>
  <c r="N10" i="4" s="1"/>
  <c r="AZ10" i="4" s="1"/>
  <c r="K10" i="4"/>
  <c r="F10" i="4"/>
  <c r="B10" i="4"/>
  <c r="AX9" i="4"/>
  <c r="AO9" i="4"/>
  <c r="AN9" i="4"/>
  <c r="AM9" i="4"/>
  <c r="Y9" i="4"/>
  <c r="P9" i="4"/>
  <c r="Q9" i="4" s="1"/>
  <c r="N9" i="4"/>
  <c r="AZ9" i="4" s="1"/>
  <c r="M9" i="4"/>
  <c r="K9" i="4"/>
  <c r="F9" i="4"/>
  <c r="B9" i="4"/>
  <c r="AX8" i="4"/>
  <c r="AO8" i="4"/>
  <c r="AN8" i="4"/>
  <c r="AM8" i="4"/>
  <c r="Y8" i="4"/>
  <c r="Q8" i="4"/>
  <c r="P8" i="4"/>
  <c r="M8" i="4"/>
  <c r="N8" i="4" s="1"/>
  <c r="AZ8" i="4" s="1"/>
  <c r="K8" i="4"/>
  <c r="F8" i="4"/>
  <c r="B8" i="4"/>
  <c r="AX7" i="4"/>
  <c r="AO7" i="4"/>
  <c r="AN7" i="4"/>
  <c r="AM7" i="4"/>
  <c r="Y7" i="4"/>
  <c r="P7" i="4"/>
  <c r="M7" i="4"/>
  <c r="N7" i="4" s="1"/>
  <c r="AZ7" i="4" s="1"/>
  <c r="K7" i="4"/>
  <c r="F7" i="4"/>
  <c r="B7" i="4"/>
  <c r="AX6" i="4"/>
  <c r="AN6" i="4"/>
  <c r="AO6" i="4" s="1"/>
  <c r="AM6" i="4"/>
  <c r="Y6" i="4"/>
  <c r="P6" i="4"/>
  <c r="M6" i="4"/>
  <c r="N6" i="4" s="1"/>
  <c r="AZ6" i="4" s="1"/>
  <c r="K6" i="4"/>
  <c r="F6" i="4"/>
  <c r="B6" i="4"/>
  <c r="AX5" i="4"/>
  <c r="AO5" i="4"/>
  <c r="AN5" i="4"/>
  <c r="AM5" i="4"/>
  <c r="Y5" i="4"/>
  <c r="P5" i="4"/>
  <c r="Q5" i="4" s="1"/>
  <c r="N5" i="4"/>
  <c r="AZ5" i="4" s="1"/>
  <c r="M5" i="4"/>
  <c r="K5" i="4"/>
  <c r="F5" i="4"/>
  <c r="B5" i="4"/>
  <c r="A25" i="3"/>
  <c r="D20" i="3"/>
  <c r="ES8" i="3"/>
  <c r="EN8" i="3"/>
  <c r="DM8" i="3"/>
  <c r="DH8" i="3"/>
  <c r="CG8" i="3"/>
  <c r="CB8" i="3"/>
  <c r="BA8" i="3"/>
  <c r="AV8" i="3"/>
  <c r="U8" i="3"/>
  <c r="P8" i="3"/>
  <c r="E8" i="3"/>
  <c r="EV8" i="3" s="1"/>
  <c r="C8" i="3"/>
  <c r="F6" i="3"/>
  <c r="G6" i="3" s="1"/>
  <c r="H6" i="3" s="1"/>
  <c r="I6" i="3" s="1"/>
  <c r="J6" i="3" s="1"/>
  <c r="K6" i="3" s="1"/>
  <c r="L6" i="3" s="1"/>
  <c r="M6" i="3" s="1"/>
  <c r="C6" i="3"/>
  <c r="B6" i="3"/>
  <c r="C5" i="3"/>
  <c r="B5" i="3"/>
  <c r="C3" i="3"/>
  <c r="B3" i="3"/>
  <c r="A21" i="3" s="1"/>
  <c r="C1" i="3"/>
  <c r="B1" i="3"/>
  <c r="A25" i="2"/>
  <c r="D20" i="2" s="1"/>
  <c r="F6" i="2"/>
  <c r="G6" i="2" s="1"/>
  <c r="H6" i="2" s="1"/>
  <c r="I6" i="2" s="1"/>
  <c r="J6" i="2" s="1"/>
  <c r="K6" i="2" s="1"/>
  <c r="L6" i="2" s="1"/>
  <c r="M6" i="2" s="1"/>
  <c r="A25" i="1"/>
  <c r="D23" i="1"/>
  <c r="D22" i="1"/>
  <c r="D21" i="1"/>
  <c r="D20" i="1"/>
  <c r="D19" i="1"/>
  <c r="A19" i="1"/>
  <c r="D18" i="1"/>
  <c r="D17" i="1"/>
  <c r="D16" i="1"/>
  <c r="D12" i="1"/>
  <c r="D11" i="1"/>
  <c r="C11" i="1"/>
  <c r="D10" i="1"/>
  <c r="B10" i="1"/>
  <c r="C9" i="1"/>
  <c r="B9" i="1"/>
  <c r="C8" i="1"/>
  <c r="A8" i="1"/>
  <c r="B7" i="1"/>
  <c r="G6" i="1"/>
  <c r="H6" i="1" s="1"/>
  <c r="I6" i="1" s="1"/>
  <c r="J6" i="1" s="1"/>
  <c r="K6" i="1" s="1"/>
  <c r="L6" i="1" s="1"/>
  <c r="M6" i="1" s="1"/>
  <c r="C6" i="1"/>
  <c r="C5" i="1"/>
  <c r="B5" i="1"/>
  <c r="B21" i="1" s="1"/>
  <c r="C3" i="1"/>
  <c r="F1" i="1"/>
  <c r="C1" i="1"/>
  <c r="C40" i="2" l="1"/>
  <c r="AF44" i="4"/>
  <c r="AA8" i="4"/>
  <c r="AF49" i="4"/>
  <c r="AB48" i="4"/>
  <c r="AB32" i="4"/>
  <c r="AB8" i="4"/>
  <c r="AJ23" i="4"/>
  <c r="AJ41" i="4"/>
  <c r="AB119" i="4"/>
  <c r="AF8" i="4"/>
  <c r="AD8" i="4"/>
  <c r="AB36" i="4"/>
  <c r="AJ8" i="4"/>
  <c r="AC31" i="4"/>
  <c r="AJ24" i="4"/>
  <c r="AG21" i="4"/>
  <c r="G21" i="4" s="1"/>
  <c r="AA28" i="4"/>
  <c r="AB29" i="4"/>
  <c r="AY31" i="4"/>
  <c r="AF31" i="4"/>
  <c r="AI32" i="4"/>
  <c r="AC39" i="4"/>
  <c r="AJ44" i="4"/>
  <c r="AH48" i="4"/>
  <c r="AJ74" i="4"/>
  <c r="AY111" i="4"/>
  <c r="BB111" i="4" s="1"/>
  <c r="AB11" i="4"/>
  <c r="AB13" i="4"/>
  <c r="AD16" i="4"/>
  <c r="AB19" i="4"/>
  <c r="AA20" i="4"/>
  <c r="H20" i="4" s="1"/>
  <c r="AD21" i="4"/>
  <c r="AJ21" i="4"/>
  <c r="AB28" i="4"/>
  <c r="AG29" i="4"/>
  <c r="G29" i="4" s="1"/>
  <c r="AJ31" i="4"/>
  <c r="AJ32" i="4"/>
  <c r="AJ38" i="4"/>
  <c r="AD39" i="4"/>
  <c r="AF40" i="4"/>
  <c r="AJ48" i="4"/>
  <c r="AD17" i="4"/>
  <c r="AD32" i="4"/>
  <c r="AF48" i="4"/>
  <c r="AC19" i="4"/>
  <c r="AB20" i="4"/>
  <c r="AB23" i="4"/>
  <c r="AA24" i="4"/>
  <c r="AF28" i="4"/>
  <c r="AD28" i="4"/>
  <c r="AD29" i="4"/>
  <c r="AJ29" i="4"/>
  <c r="AY39" i="4"/>
  <c r="AF39" i="4"/>
  <c r="AC61" i="4"/>
  <c r="AF86" i="4"/>
  <c r="A23" i="2"/>
  <c r="AB9" i="4"/>
  <c r="AF16" i="4"/>
  <c r="AD19" i="4"/>
  <c r="AF20" i="4"/>
  <c r="AD20" i="4"/>
  <c r="AC23" i="4"/>
  <c r="AB24" i="4"/>
  <c r="AI28" i="4"/>
  <c r="AB33" i="4"/>
  <c r="AB37" i="4"/>
  <c r="AJ39" i="4"/>
  <c r="AA58" i="4"/>
  <c r="AH162" i="4"/>
  <c r="AJ14" i="4"/>
  <c r="AB21" i="4"/>
  <c r="AD31" i="4"/>
  <c r="AF32" i="4"/>
  <c r="AB39" i="4"/>
  <c r="AC40" i="4"/>
  <c r="AY43" i="4"/>
  <c r="AH44" i="4"/>
  <c r="AY49" i="4"/>
  <c r="A24" i="2"/>
  <c r="AG9" i="4"/>
  <c r="G9" i="4" s="1"/>
  <c r="AY19" i="4"/>
  <c r="AF19" i="4"/>
  <c r="AI20" i="4"/>
  <c r="AD23" i="4"/>
  <c r="AF24" i="4"/>
  <c r="AD24" i="4"/>
  <c r="AJ28" i="4"/>
  <c r="AG33" i="4"/>
  <c r="G33" i="4" s="1"/>
  <c r="AB41" i="4"/>
  <c r="AC42" i="4"/>
  <c r="AY45" i="4"/>
  <c r="AC49" i="4"/>
  <c r="AF77" i="4"/>
  <c r="AD9" i="4"/>
  <c r="AJ9" i="4"/>
  <c r="AA12" i="4"/>
  <c r="AD15" i="4"/>
  <c r="AJ17" i="4"/>
  <c r="AJ19" i="4"/>
  <c r="AJ20" i="4"/>
  <c r="AJ22" i="4"/>
  <c r="AY23" i="4"/>
  <c r="AF23" i="4"/>
  <c r="AI24" i="4"/>
  <c r="AB31" i="4"/>
  <c r="AA32" i="4"/>
  <c r="AD33" i="4"/>
  <c r="AJ33" i="4"/>
  <c r="AD41" i="4"/>
  <c r="AG41" i="4"/>
  <c r="G41" i="4" s="1"/>
  <c r="AA44" i="4"/>
  <c r="H44" i="4" s="1"/>
  <c r="AY48" i="4"/>
  <c r="AD49" i="4"/>
  <c r="AH218" i="4"/>
  <c r="F1" i="6"/>
  <c r="B1" i="2"/>
  <c r="B5" i="2"/>
  <c r="B20" i="2" s="1"/>
  <c r="C1" i="2"/>
  <c r="C8" i="2"/>
  <c r="E8" i="2" s="1"/>
  <c r="CR8" i="2" s="1"/>
  <c r="AD46" i="4"/>
  <c r="AB47" i="4"/>
  <c r="AH53" i="4"/>
  <c r="AH56" i="4"/>
  <c r="AB58" i="4"/>
  <c r="AB59" i="4"/>
  <c r="AF61" i="4"/>
  <c r="AJ63" i="4"/>
  <c r="AY72" i="4"/>
  <c r="AB83" i="4"/>
  <c r="AY104" i="4"/>
  <c r="BB104" i="4" s="1"/>
  <c r="AI110" i="4"/>
  <c r="AF176" i="4"/>
  <c r="B3" i="2"/>
  <c r="A21" i="2" s="1"/>
  <c r="AB45" i="4"/>
  <c r="AD47" i="4"/>
  <c r="AA50" i="4"/>
  <c r="D50" i="4" s="1"/>
  <c r="AY53" i="4"/>
  <c r="AA54" i="4"/>
  <c r="H54" i="4" s="1"/>
  <c r="AC58" i="4"/>
  <c r="AD58" i="4"/>
  <c r="AD59" i="4"/>
  <c r="AH60" i="4"/>
  <c r="AD73" i="4"/>
  <c r="AJ95" i="4"/>
  <c r="AJ97" i="4"/>
  <c r="AA99" i="4"/>
  <c r="I99" i="4" s="1"/>
  <c r="AJ118" i="4"/>
  <c r="C3" i="2"/>
  <c r="AG45" i="4"/>
  <c r="G45" i="4" s="1"/>
  <c r="AG47" i="4"/>
  <c r="G47" i="4" s="1"/>
  <c r="AB50" i="4"/>
  <c r="AJ51" i="4"/>
  <c r="AB52" i="4"/>
  <c r="AB54" i="4"/>
  <c r="AF58" i="4"/>
  <c r="AI59" i="4"/>
  <c r="AG59" i="4"/>
  <c r="G59" i="4" s="1"/>
  <c r="AD61" i="4"/>
  <c r="AA74" i="4"/>
  <c r="D74" i="4" s="1"/>
  <c r="AY76" i="4"/>
  <c r="AD77" i="4"/>
  <c r="AD91" i="4"/>
  <c r="AD113" i="4"/>
  <c r="AH45" i="4"/>
  <c r="AC50" i="4"/>
  <c r="AD50" i="4"/>
  <c r="AF52" i="4"/>
  <c r="AC54" i="4"/>
  <c r="AD54" i="4"/>
  <c r="AB55" i="4"/>
  <c r="AF57" i="4"/>
  <c r="AI58" i="4"/>
  <c r="AJ59" i="4"/>
  <c r="AB74" i="4"/>
  <c r="AB75" i="4"/>
  <c r="AJ87" i="4"/>
  <c r="AD89" i="4"/>
  <c r="AI95" i="4"/>
  <c r="AG98" i="4"/>
  <c r="G98" i="4" s="1"/>
  <c r="AQ98" i="4" s="1"/>
  <c r="AB274" i="4"/>
  <c r="C5" i="2"/>
  <c r="D20" i="4"/>
  <c r="AJ45" i="4"/>
  <c r="AF50" i="4"/>
  <c r="AF54" i="4"/>
  <c r="AD55" i="4"/>
  <c r="AY56" i="4"/>
  <c r="AJ58" i="4"/>
  <c r="AI62" i="4"/>
  <c r="AB71" i="4"/>
  <c r="AC74" i="4"/>
  <c r="AD74" i="4"/>
  <c r="AD75" i="4"/>
  <c r="AB82" i="4"/>
  <c r="AB106" i="4"/>
  <c r="AC122" i="4"/>
  <c r="AY165" i="4"/>
  <c r="BB165" i="4" s="1"/>
  <c r="AH209" i="4"/>
  <c r="B6" i="2"/>
  <c r="AA46" i="4"/>
  <c r="C46" i="4" s="1"/>
  <c r="AI50" i="4"/>
  <c r="AI54" i="4"/>
  <c r="AJ55" i="4"/>
  <c r="AG55" i="4"/>
  <c r="G55" i="4" s="1"/>
  <c r="AF74" i="4"/>
  <c r="AI75" i="4"/>
  <c r="AG75" i="4"/>
  <c r="G75" i="4" s="1"/>
  <c r="AI87" i="4"/>
  <c r="AF94" i="4"/>
  <c r="AD102" i="4"/>
  <c r="AC114" i="4"/>
  <c r="AJ150" i="4"/>
  <c r="AY151" i="4"/>
  <c r="BB151" i="4" s="1"/>
  <c r="AB189" i="4"/>
  <c r="C6" i="2"/>
  <c r="AI44" i="4"/>
  <c r="AJ50" i="4"/>
  <c r="AJ54" i="4"/>
  <c r="AF73" i="4"/>
  <c r="AI74" i="4"/>
  <c r="AJ75" i="4"/>
  <c r="AD90" i="4"/>
  <c r="AB111" i="4"/>
  <c r="AH120" i="4"/>
  <c r="AF180" i="4"/>
  <c r="AI294" i="4"/>
  <c r="AF351" i="4"/>
  <c r="AB315" i="4"/>
  <c r="D44" i="4"/>
  <c r="AY296" i="4"/>
  <c r="BB296" i="4" s="1"/>
  <c r="AF15" i="4"/>
  <c r="AA66" i="4"/>
  <c r="D66" i="4" s="1"/>
  <c r="AI86" i="4"/>
  <c r="AI98" i="4"/>
  <c r="AD111" i="4"/>
  <c r="AB123" i="4"/>
  <c r="AB193" i="4"/>
  <c r="AJ225" i="4"/>
  <c r="AD13" i="4"/>
  <c r="AB67" i="4"/>
  <c r="AA78" i="4"/>
  <c r="D78" i="4" s="1"/>
  <c r="AI90" i="4"/>
  <c r="AD106" i="4"/>
  <c r="AI115" i="4"/>
  <c r="AF125" i="4"/>
  <c r="AY148" i="4"/>
  <c r="BB148" i="4" s="1"/>
  <c r="AC160" i="4"/>
  <c r="AI172" i="4"/>
  <c r="AJ184" i="4"/>
  <c r="AD188" i="4"/>
  <c r="AH201" i="4"/>
  <c r="AB204" i="4"/>
  <c r="AD205" i="4"/>
  <c r="AY208" i="4"/>
  <c r="BB208" i="4" s="1"/>
  <c r="AD208" i="4"/>
  <c r="AA217" i="4"/>
  <c r="H217" i="4" s="1"/>
  <c r="AI220" i="4"/>
  <c r="AI231" i="4"/>
  <c r="AD232" i="4"/>
  <c r="AA269" i="4"/>
  <c r="AD280" i="4"/>
  <c r="AD294" i="4"/>
  <c r="AA325" i="4"/>
  <c r="AJ374" i="4"/>
  <c r="AG333" i="4"/>
  <c r="G333" i="4" s="1"/>
  <c r="AP333" i="4" s="1"/>
  <c r="AA315" i="4"/>
  <c r="AD296" i="4"/>
  <c r="AC294" i="4"/>
  <c r="AD283" i="4"/>
  <c r="AJ279" i="4"/>
  <c r="AC278" i="4"/>
  <c r="AE278" i="4" s="1"/>
  <c r="AB259" i="4"/>
  <c r="AG234" i="4"/>
  <c r="G234" i="4" s="1"/>
  <c r="AP234" i="4" s="1"/>
  <c r="AG226" i="4"/>
  <c r="G226" i="4" s="1"/>
  <c r="AK226" i="4" s="1"/>
  <c r="AI225" i="4"/>
  <c r="AD216" i="4"/>
  <c r="AH215" i="4"/>
  <c r="AA212" i="4"/>
  <c r="AY211" i="4"/>
  <c r="BB211" i="4" s="1"/>
  <c r="AY210" i="4"/>
  <c r="BB210" i="4" s="1"/>
  <c r="AC208" i="4"/>
  <c r="AE208" i="4" s="1"/>
  <c r="AG204" i="4"/>
  <c r="G204" i="4" s="1"/>
  <c r="AQ204" i="4" s="1"/>
  <c r="AY203" i="4"/>
  <c r="BB203" i="4" s="1"/>
  <c r="AA203" i="4"/>
  <c r="E203" i="4" s="1"/>
  <c r="AD201" i="4"/>
  <c r="AF200" i="4"/>
  <c r="AB196" i="4"/>
  <c r="AC195" i="4"/>
  <c r="AB192" i="4"/>
  <c r="AC191" i="4"/>
  <c r="AB188" i="4"/>
  <c r="AC187" i="4"/>
  <c r="AB184" i="4"/>
  <c r="AD183" i="4"/>
  <c r="AB181" i="4"/>
  <c r="AD180" i="4"/>
  <c r="AD179" i="4"/>
  <c r="AB177" i="4"/>
  <c r="AD176" i="4"/>
  <c r="AF175" i="4"/>
  <c r="AJ173" i="4"/>
  <c r="AF172" i="4"/>
  <c r="AH170" i="4"/>
  <c r="AF168" i="4"/>
  <c r="AJ164" i="4"/>
  <c r="AC163" i="4"/>
  <c r="AE163" i="4" s="1"/>
  <c r="AF162" i="4"/>
  <c r="AJ160" i="4"/>
  <c r="AH158" i="4"/>
  <c r="AB156" i="4"/>
  <c r="AH154" i="4"/>
  <c r="AF153" i="4"/>
  <c r="AJ151" i="4"/>
  <c r="AC150" i="4"/>
  <c r="AD147" i="4"/>
  <c r="AB146" i="4"/>
  <c r="AF142" i="4"/>
  <c r="AI139" i="4"/>
  <c r="AA138" i="4"/>
  <c r="AA135" i="4"/>
  <c r="I135" i="4" s="1"/>
  <c r="AI134" i="4"/>
  <c r="AF130" i="4"/>
  <c r="AD127" i="4"/>
  <c r="AF388" i="4"/>
  <c r="AJ354" i="4"/>
  <c r="AC335" i="4"/>
  <c r="AF318" i="4"/>
  <c r="AA287" i="4"/>
  <c r="I287" i="4" s="1"/>
  <c r="AI286" i="4"/>
  <c r="AC285" i="4"/>
  <c r="AI279" i="4"/>
  <c r="AJ270" i="4"/>
  <c r="AA239" i="4"/>
  <c r="H239" i="4" s="1"/>
  <c r="AI233" i="4"/>
  <c r="AF226" i="4"/>
  <c r="AC216" i="4"/>
  <c r="AE216" i="4" s="1"/>
  <c r="AF215" i="4"/>
  <c r="AJ212" i="4"/>
  <c r="AB208" i="4"/>
  <c r="AJ206" i="4"/>
  <c r="AJ205" i="4"/>
  <c r="AF204" i="4"/>
  <c r="AY201" i="4"/>
  <c r="BB201" i="4" s="1"/>
  <c r="AA201" i="4"/>
  <c r="I201" i="4" s="1"/>
  <c r="AD200" i="4"/>
  <c r="AI197" i="4"/>
  <c r="AA196" i="4"/>
  <c r="E196" i="4" s="1"/>
  <c r="AA192" i="4"/>
  <c r="AA188" i="4"/>
  <c r="I188" i="4" s="1"/>
  <c r="AA184" i="4"/>
  <c r="AC183" i="4"/>
  <c r="AB180" i="4"/>
  <c r="AC179" i="4"/>
  <c r="AB176" i="4"/>
  <c r="AD175" i="4"/>
  <c r="AB173" i="4"/>
  <c r="AD172" i="4"/>
  <c r="AF171" i="4"/>
  <c r="AD168" i="4"/>
  <c r="AY166" i="4"/>
  <c r="BB166" i="4" s="1"/>
  <c r="AJ165" i="4"/>
  <c r="AI164" i="4"/>
  <c r="AA162" i="4"/>
  <c r="H162" i="4" s="1"/>
  <c r="AI160" i="4"/>
  <c r="AF158" i="4"/>
  <c r="AA156" i="4"/>
  <c r="I156" i="4" s="1"/>
  <c r="AF154" i="4"/>
  <c r="AI151" i="4"/>
  <c r="AB150" i="4"/>
  <c r="AB147" i="4"/>
  <c r="AA146" i="4"/>
  <c r="E146" i="4" s="1"/>
  <c r="AF145" i="4"/>
  <c r="AD142" i="4"/>
  <c r="AD139" i="4"/>
  <c r="AJ138" i="4"/>
  <c r="AG134" i="4"/>
  <c r="G134" i="4" s="1"/>
  <c r="AK134" i="4" s="1"/>
  <c r="AF133" i="4"/>
  <c r="AD130" i="4"/>
  <c r="AB127" i="4"/>
  <c r="AI126" i="4"/>
  <c r="AJ123" i="4"/>
  <c r="AB122" i="4"/>
  <c r="AB388" i="4"/>
  <c r="AI365" i="4"/>
  <c r="AA340" i="4"/>
  <c r="AG334" i="4"/>
  <c r="G334" i="4" s="1"/>
  <c r="AQ334" i="4" s="1"/>
  <c r="AJ297" i="4"/>
  <c r="AG288" i="4"/>
  <c r="G288" i="4" s="1"/>
  <c r="AG286" i="4"/>
  <c r="G286" i="4" s="1"/>
  <c r="AQ286" i="4" s="1"/>
  <c r="AB285" i="4"/>
  <c r="AG270" i="4"/>
  <c r="G270" i="4" s="1"/>
  <c r="AQ270" i="4" s="1"/>
  <c r="AF267" i="4"/>
  <c r="AJ228" i="4"/>
  <c r="AB216" i="4"/>
  <c r="AD215" i="4"/>
  <c r="AI212" i="4"/>
  <c r="AA208" i="4"/>
  <c r="AG206" i="4"/>
  <c r="G206" i="4" s="1"/>
  <c r="AP206" i="4" s="1"/>
  <c r="AI205" i="4"/>
  <c r="AD204" i="4"/>
  <c r="AC200" i="4"/>
  <c r="AE200" i="4" s="1"/>
  <c r="AH197" i="4"/>
  <c r="AJ196" i="4"/>
  <c r="AA180" i="4"/>
  <c r="I180" i="4" s="1"/>
  <c r="AA176" i="4"/>
  <c r="E176" i="4" s="1"/>
  <c r="AC175" i="4"/>
  <c r="AB172" i="4"/>
  <c r="AD171" i="4"/>
  <c r="AB168" i="4"/>
  <c r="AH165" i="4"/>
  <c r="AF164" i="4"/>
  <c r="AF160" i="4"/>
  <c r="AB158" i="4"/>
  <c r="AG155" i="4"/>
  <c r="G155" i="4" s="1"/>
  <c r="AA154" i="4"/>
  <c r="H154" i="4" s="1"/>
  <c r="AD151" i="4"/>
  <c r="AA147" i="4"/>
  <c r="I147" i="4" s="1"/>
  <c r="AJ146" i="4"/>
  <c r="AJ143" i="4"/>
  <c r="AC142" i="4"/>
  <c r="AB139" i="4"/>
  <c r="AI138" i="4"/>
  <c r="AF134" i="4"/>
  <c r="AJ131" i="4"/>
  <c r="AC130" i="4"/>
  <c r="AA127" i="4"/>
  <c r="E127" i="4" s="1"/>
  <c r="AG126" i="4"/>
  <c r="G126" i="4" s="1"/>
  <c r="AP126" i="4" s="1"/>
  <c r="AI123" i="4"/>
  <c r="AA122" i="4"/>
  <c r="AF121" i="4"/>
  <c r="AD118" i="4"/>
  <c r="AB115" i="4"/>
  <c r="AI114" i="4"/>
  <c r="AG394" i="4"/>
  <c r="G394" i="4" s="1"/>
  <c r="AP394" i="4" s="1"/>
  <c r="AB392" i="4"/>
  <c r="AB325" i="4"/>
  <c r="AI302" i="4"/>
  <c r="AD288" i="4"/>
  <c r="AJ272" i="4"/>
  <c r="AI228" i="4"/>
  <c r="AF219" i="4"/>
  <c r="AJ218" i="4"/>
  <c r="AJ217" i="4"/>
  <c r="AA216" i="4"/>
  <c r="AY215" i="4"/>
  <c r="BB215" i="4" s="1"/>
  <c r="AJ213" i="4"/>
  <c r="AG212" i="4"/>
  <c r="G212" i="4" s="1"/>
  <c r="AK212" i="4" s="1"/>
  <c r="AJ209" i="4"/>
  <c r="AJ208" i="4"/>
  <c r="AC206" i="4"/>
  <c r="AH205" i="4"/>
  <c r="AC204" i="4"/>
  <c r="AE204" i="4" s="1"/>
  <c r="AB200" i="4"/>
  <c r="AA197" i="4"/>
  <c r="I197" i="4" s="1"/>
  <c r="AI196" i="4"/>
  <c r="AA172" i="4"/>
  <c r="I172" i="4" s="1"/>
  <c r="AC171" i="4"/>
  <c r="AY170" i="4"/>
  <c r="BB170" i="4" s="1"/>
  <c r="AA168" i="4"/>
  <c r="E168" i="4" s="1"/>
  <c r="AG165" i="4"/>
  <c r="G165" i="4" s="1"/>
  <c r="AK165" i="4" s="1"/>
  <c r="AD164" i="4"/>
  <c r="AD160" i="4"/>
  <c r="AY158" i="4"/>
  <c r="BB158" i="4" s="1"/>
  <c r="AA158" i="4"/>
  <c r="H158" i="4" s="1"/>
  <c r="AF155" i="4"/>
  <c r="AB151" i="4"/>
  <c r="AI146" i="4"/>
  <c r="AI143" i="4"/>
  <c r="AB142" i="4"/>
  <c r="AA139" i="4"/>
  <c r="E139" i="4" s="1"/>
  <c r="AG138" i="4"/>
  <c r="G138" i="4" s="1"/>
  <c r="AF137" i="4"/>
  <c r="AD134" i="4"/>
  <c r="AI131" i="4"/>
  <c r="AB130" i="4"/>
  <c r="AF126" i="4"/>
  <c r="AD123" i="4"/>
  <c r="AJ122" i="4"/>
  <c r="AJ119" i="4"/>
  <c r="AC118" i="4"/>
  <c r="AA115" i="4"/>
  <c r="H115" i="4" s="1"/>
  <c r="AB342" i="4"/>
  <c r="AA300" i="4"/>
  <c r="E300" i="4" s="1"/>
  <c r="AJ299" i="4"/>
  <c r="AJ293" i="4"/>
  <c r="AG290" i="4"/>
  <c r="G290" i="4" s="1"/>
  <c r="AC280" i="4"/>
  <c r="AD268" i="4"/>
  <c r="AH260" i="4"/>
  <c r="AY255" i="4"/>
  <c r="BB255" i="4" s="1"/>
  <c r="AB254" i="4"/>
  <c r="AJ251" i="4"/>
  <c r="AD241" i="4"/>
  <c r="AC229" i="4"/>
  <c r="AI224" i="4"/>
  <c r="AG220" i="4"/>
  <c r="G220" i="4" s="1"/>
  <c r="AK220" i="4" s="1"/>
  <c r="AG218" i="4"/>
  <c r="G218" i="4" s="1"/>
  <c r="AK218" i="4" s="1"/>
  <c r="AD217" i="4"/>
  <c r="AI216" i="4"/>
  <c r="AD212" i="4"/>
  <c r="AH211" i="4"/>
  <c r="AH210" i="4"/>
  <c r="AB209" i="4"/>
  <c r="AG208" i="4"/>
  <c r="G208" i="4" s="1"/>
  <c r="AK208" i="4" s="1"/>
  <c r="AA207" i="4"/>
  <c r="H207" i="4" s="1"/>
  <c r="AY205" i="4"/>
  <c r="BB205" i="4" s="1"/>
  <c r="AB205" i="4"/>
  <c r="AA204" i="4"/>
  <c r="AH203" i="4"/>
  <c r="AJ201" i="4"/>
  <c r="AJ200" i="4"/>
  <c r="AJ198" i="4"/>
  <c r="AF196" i="4"/>
  <c r="AI192" i="4"/>
  <c r="AI188" i="4"/>
  <c r="AI184" i="4"/>
  <c r="AJ180" i="4"/>
  <c r="AJ176" i="4"/>
  <c r="AF167" i="4"/>
  <c r="AH166" i="4"/>
  <c r="AA164" i="4"/>
  <c r="H164" i="4" s="1"/>
  <c r="AG163" i="4"/>
  <c r="G163" i="4" s="1"/>
  <c r="AK163" i="4" s="1"/>
  <c r="AA160" i="4"/>
  <c r="H160" i="4" s="1"/>
  <c r="AI156" i="4"/>
  <c r="AY155" i="4"/>
  <c r="BB155" i="4" s="1"/>
  <c r="AG150" i="4"/>
  <c r="G150" i="4" s="1"/>
  <c r="AP150" i="4" s="1"/>
  <c r="AF146" i="4"/>
  <c r="AB143" i="4"/>
  <c r="AJ142" i="4"/>
  <c r="AD138" i="4"/>
  <c r="AI135" i="4"/>
  <c r="AB134" i="4"/>
  <c r="AB131" i="4"/>
  <c r="AJ130" i="4"/>
  <c r="AF129" i="4"/>
  <c r="AC126" i="4"/>
  <c r="AA123" i="4"/>
  <c r="E123" i="4" s="1"/>
  <c r="AG122" i="4"/>
  <c r="G122" i="4" s="1"/>
  <c r="AQ122" i="4" s="1"/>
  <c r="AD119" i="4"/>
  <c r="AA118" i="4"/>
  <c r="AD114" i="4"/>
  <c r="AI111" i="4"/>
  <c r="AA110" i="4"/>
  <c r="AH343" i="4"/>
  <c r="AA342" i="4"/>
  <c r="H342" i="4" s="1"/>
  <c r="AI303" i="4"/>
  <c r="AD299" i="4"/>
  <c r="AG293" i="4"/>
  <c r="G293" i="4" s="1"/>
  <c r="AP293" i="4" s="1"/>
  <c r="AJ277" i="4"/>
  <c r="AB269" i="4"/>
  <c r="AC238" i="4"/>
  <c r="AJ232" i="4"/>
  <c r="AJ230" i="4"/>
  <c r="AG224" i="4"/>
  <c r="G224" i="4" s="1"/>
  <c r="AP224" i="4" s="1"/>
  <c r="AI223" i="4"/>
  <c r="AJ221" i="4"/>
  <c r="AD220" i="4"/>
  <c r="AY218" i="4"/>
  <c r="BB218" i="4" s="1"/>
  <c r="AF218" i="4"/>
  <c r="AB217" i="4"/>
  <c r="AG216" i="4"/>
  <c r="G216" i="4" s="1"/>
  <c r="AK216" i="4" s="1"/>
  <c r="AF214" i="4"/>
  <c r="AC212" i="4"/>
  <c r="AE212" i="4" s="1"/>
  <c r="AF211" i="4"/>
  <c r="AF210" i="4"/>
  <c r="AF208" i="4"/>
  <c r="AA205" i="4"/>
  <c r="H205" i="4" s="1"/>
  <c r="AJ204" i="4"/>
  <c r="AF203" i="4"/>
  <c r="AI201" i="4"/>
  <c r="AI200" i="4"/>
  <c r="AC198" i="4"/>
  <c r="AD196" i="4"/>
  <c r="AF195" i="4"/>
  <c r="AJ193" i="4"/>
  <c r="AF192" i="4"/>
  <c r="AF191" i="4"/>
  <c r="AJ189" i="4"/>
  <c r="AF188" i="4"/>
  <c r="AF187" i="4"/>
  <c r="AJ185" i="4"/>
  <c r="AF184" i="4"/>
  <c r="AI180" i="4"/>
  <c r="AI176" i="4"/>
  <c r="AJ172" i="4"/>
  <c r="AJ168" i="4"/>
  <c r="AD167" i="4"/>
  <c r="AF163" i="4"/>
  <c r="AF156" i="4"/>
  <c r="AF150" i="4"/>
  <c r="AF149" i="4"/>
  <c r="AJ147" i="4"/>
  <c r="AD146" i="4"/>
  <c r="AA143" i="4"/>
  <c r="E143" i="4" s="1"/>
  <c r="AI142" i="4"/>
  <c r="AF141" i="4"/>
  <c r="AC138" i="4"/>
  <c r="AD135" i="4"/>
  <c r="AA134" i="4"/>
  <c r="AA131" i="4"/>
  <c r="I131" i="4" s="1"/>
  <c r="AI130" i="4"/>
  <c r="AJ127" i="4"/>
  <c r="AB126" i="4"/>
  <c r="A24" i="1"/>
  <c r="AG13" i="4"/>
  <c r="G13" i="4" s="1"/>
  <c r="AF36" i="4"/>
  <c r="AD40" i="4"/>
  <c r="AY84" i="4"/>
  <c r="AD93" i="4"/>
  <c r="AF102" i="4"/>
  <c r="AD115" i="4"/>
  <c r="AD211" i="4"/>
  <c r="AD11" i="4"/>
  <c r="AJ15" i="4"/>
  <c r="AC35" i="4"/>
  <c r="AI40" i="4"/>
  <c r="AD85" i="4"/>
  <c r="AJ98" i="4"/>
  <c r="AJ111" i="4"/>
  <c r="AF122" i="4"/>
  <c r="AY126" i="4"/>
  <c r="BB126" i="4" s="1"/>
  <c r="AC7" i="4"/>
  <c r="AY11" i="4"/>
  <c r="AF11" i="4"/>
  <c r="AI12" i="4"/>
  <c r="AB27" i="4"/>
  <c r="AJ30" i="4"/>
  <c r="AD35" i="4"/>
  <c r="AI36" i="4"/>
  <c r="AJ40" i="4"/>
  <c r="AY42" i="4"/>
  <c r="AC66" i="4"/>
  <c r="AD66" i="4"/>
  <c r="AD67" i="4"/>
  <c r="AC70" i="4"/>
  <c r="AD70" i="4"/>
  <c r="AJ71" i="4"/>
  <c r="AB78" i="4"/>
  <c r="AB79" i="4"/>
  <c r="AI82" i="4"/>
  <c r="AJ83" i="4"/>
  <c r="AJ90" i="4"/>
  <c r="AA98" i="4"/>
  <c r="H98" i="4" s="1"/>
  <c r="AC100" i="4"/>
  <c r="AI102" i="4"/>
  <c r="AY103" i="4"/>
  <c r="BB103" i="4" s="1"/>
  <c r="AF106" i="4"/>
  <c r="AB110" i="4"/>
  <c r="AJ114" i="4"/>
  <c r="AJ115" i="4"/>
  <c r="AF117" i="4"/>
  <c r="AY118" i="4"/>
  <c r="BB118" i="4" s="1"/>
  <c r="AI122" i="4"/>
  <c r="AA126" i="4"/>
  <c r="E126" i="4" s="1"/>
  <c r="AI127" i="4"/>
  <c r="AD131" i="4"/>
  <c r="AC146" i="4"/>
  <c r="AI147" i="4"/>
  <c r="AJ154" i="4"/>
  <c r="AB165" i="4"/>
  <c r="AC167" i="4"/>
  <c r="AF179" i="4"/>
  <c r="AF183" i="4"/>
  <c r="AJ188" i="4"/>
  <c r="AD192" i="4"/>
  <c r="AI204" i="4"/>
  <c r="AI208" i="4"/>
  <c r="AH217" i="4"/>
  <c r="AH278" i="4"/>
  <c r="AY15" i="4"/>
  <c r="AJ62" i="4"/>
  <c r="AD71" i="4"/>
  <c r="AD83" i="4"/>
  <c r="AI94" i="4"/>
  <c r="AJ110" i="4"/>
  <c r="AD122" i="4"/>
  <c r="AB160" i="4"/>
  <c r="AB7" i="4"/>
  <c r="AD12" i="4"/>
  <c r="AD37" i="4"/>
  <c r="AG83" i="4"/>
  <c r="G83" i="4" s="1"/>
  <c r="AG102" i="4"/>
  <c r="G102" i="4" s="1"/>
  <c r="AP102" i="4" s="1"/>
  <c r="AG114" i="4"/>
  <c r="G114" i="4" s="1"/>
  <c r="AP114" i="4" s="1"/>
  <c r="AY123" i="4"/>
  <c r="BB123" i="4" s="1"/>
  <c r="AY128" i="4"/>
  <c r="BB128" i="4" s="1"/>
  <c r="D16" i="3"/>
  <c r="C40" i="3"/>
  <c r="AB5" i="4"/>
  <c r="AD7" i="4"/>
  <c r="AJ11" i="4"/>
  <c r="AJ12" i="4"/>
  <c r="AC27" i="4"/>
  <c r="AJ34" i="4"/>
  <c r="AY35" i="4"/>
  <c r="AF35" i="4"/>
  <c r="AJ36" i="4"/>
  <c r="AA62" i="4"/>
  <c r="C62" i="4" s="1"/>
  <c r="AF65" i="4"/>
  <c r="AF66" i="4"/>
  <c r="AI67" i="4"/>
  <c r="AG67" i="4"/>
  <c r="G67" i="4" s="1"/>
  <c r="AF70" i="4"/>
  <c r="AC78" i="4"/>
  <c r="AD78" i="4"/>
  <c r="AD79" i="4"/>
  <c r="AY80" i="4"/>
  <c r="AJ82" i="4"/>
  <c r="AY98" i="4"/>
  <c r="BB98" i="4" s="1"/>
  <c r="AB98" i="4"/>
  <c r="AJ102" i="4"/>
  <c r="AG106" i="4"/>
  <c r="G106" i="4" s="1"/>
  <c r="AK106" i="4" s="1"/>
  <c r="AA107" i="4"/>
  <c r="H107" i="4" s="1"/>
  <c r="AC110" i="4"/>
  <c r="AY112" i="4"/>
  <c r="BB112" i="4" s="1"/>
  <c r="AB118" i="4"/>
  <c r="AD126" i="4"/>
  <c r="AA130" i="4"/>
  <c r="E130" i="4" s="1"/>
  <c r="AC134" i="4"/>
  <c r="AB135" i="4"/>
  <c r="AJ139" i="4"/>
  <c r="AA142" i="4"/>
  <c r="AD143" i="4"/>
  <c r="AG146" i="4"/>
  <c r="G146" i="4" s="1"/>
  <c r="AP146" i="4" s="1"/>
  <c r="AG167" i="4"/>
  <c r="G167" i="4" s="1"/>
  <c r="AK167" i="4" s="1"/>
  <c r="AC168" i="4"/>
  <c r="AI168" i="4"/>
  <c r="AC188" i="4"/>
  <c r="AJ192" i="4"/>
  <c r="AC196" i="4"/>
  <c r="AE196" i="4" s="1"/>
  <c r="AY209" i="4"/>
  <c r="BB209" i="4" s="1"/>
  <c r="AB210" i="4"/>
  <c r="AB212" i="4"/>
  <c r="AF216" i="4"/>
  <c r="AB238" i="4"/>
  <c r="AF241" i="4"/>
  <c r="AB246" i="4"/>
  <c r="AB314" i="4"/>
  <c r="AB12" i="4"/>
  <c r="AC36" i="4"/>
  <c r="AD69" i="4"/>
  <c r="AD82" i="4"/>
  <c r="AI91" i="4"/>
  <c r="AY101" i="4"/>
  <c r="BB101" i="4" s="1"/>
  <c r="AI119" i="4"/>
  <c r="AI173" i="4"/>
  <c r="AI361" i="4"/>
  <c r="AJ16" i="4"/>
  <c r="AD36" i="4"/>
  <c r="AB66" i="4"/>
  <c r="AG71" i="4"/>
  <c r="G71" i="4" s="1"/>
  <c r="AI83" i="4"/>
  <c r="AA103" i="4"/>
  <c r="E103" i="4" s="1"/>
  <c r="D17" i="3"/>
  <c r="AY7" i="4"/>
  <c r="AF7" i="4"/>
  <c r="D12" i="4"/>
  <c r="AB25" i="4"/>
  <c r="AJ26" i="4"/>
  <c r="AD27" i="4"/>
  <c r="D32" i="4"/>
  <c r="AJ35" i="4"/>
  <c r="AB62" i="4"/>
  <c r="AB63" i="4"/>
  <c r="AI66" i="4"/>
  <c r="AJ67" i="4"/>
  <c r="AI70" i="4"/>
  <c r="AF78" i="4"/>
  <c r="AI79" i="4"/>
  <c r="AG79" i="4"/>
  <c r="G79" i="4" s="1"/>
  <c r="AD81" i="4"/>
  <c r="AA86" i="4"/>
  <c r="C86" i="4" s="1"/>
  <c r="AY88" i="4"/>
  <c r="BB88" i="4" s="1"/>
  <c r="AF89" i="4"/>
  <c r="AY90" i="4"/>
  <c r="BB90" i="4" s="1"/>
  <c r="AA90" i="4"/>
  <c r="E90" i="4" s="1"/>
  <c r="AA94" i="4"/>
  <c r="H94" i="4" s="1"/>
  <c r="AY96" i="4"/>
  <c r="BB96" i="4" s="1"/>
  <c r="AF97" i="4"/>
  <c r="AC98" i="4"/>
  <c r="AY102" i="4"/>
  <c r="BB102" i="4" s="1"/>
  <c r="AA102" i="4"/>
  <c r="E102" i="4" s="1"/>
  <c r="AY105" i="4"/>
  <c r="BB105" i="4" s="1"/>
  <c r="AY106" i="4"/>
  <c r="BB106" i="4" s="1"/>
  <c r="AI106" i="4"/>
  <c r="AH107" i="4"/>
  <c r="AD107" i="4"/>
  <c r="AF108" i="4"/>
  <c r="AD110" i="4"/>
  <c r="AF113" i="4"/>
  <c r="AF118" i="4"/>
  <c r="AD121" i="4"/>
  <c r="AJ126" i="4"/>
  <c r="AG130" i="4"/>
  <c r="G130" i="4" s="1"/>
  <c r="AJ134" i="4"/>
  <c r="AJ135" i="4"/>
  <c r="AB138" i="4"/>
  <c r="AG142" i="4"/>
  <c r="G142" i="4" s="1"/>
  <c r="AK142" i="4" s="1"/>
  <c r="AJ177" i="4"/>
  <c r="AJ181" i="4"/>
  <c r="AD187" i="4"/>
  <c r="AC192" i="4"/>
  <c r="AG196" i="4"/>
  <c r="G196" i="4" s="1"/>
  <c r="AK196" i="4" s="1"/>
  <c r="AA200" i="4"/>
  <c r="I200" i="4" s="1"/>
  <c r="AF212" i="4"/>
  <c r="AJ216" i="4"/>
  <c r="AG223" i="4"/>
  <c r="G223" i="4" s="1"/>
  <c r="AP223" i="4" s="1"/>
  <c r="AI234" i="4"/>
  <c r="AY239" i="4"/>
  <c r="BB239" i="4" s="1"/>
  <c r="AD240" i="4"/>
  <c r="AF259" i="4"/>
  <c r="AF268" i="4"/>
  <c r="AI277" i="4"/>
  <c r="AC11" i="4"/>
  <c r="AG37" i="4"/>
  <c r="G37" i="4" s="1"/>
  <c r="AA70" i="4"/>
  <c r="D70" i="4" s="1"/>
  <c r="AC82" i="4"/>
  <c r="AJ91" i="4"/>
  <c r="AC106" i="4"/>
  <c r="AE106" i="4" s="1"/>
  <c r="AH116" i="4"/>
  <c r="AD184" i="4"/>
  <c r="AC363" i="4"/>
  <c r="A24" i="3"/>
  <c r="AF12" i="4"/>
  <c r="AJ37" i="4"/>
  <c r="AI71" i="4"/>
  <c r="AF82" i="4"/>
  <c r="AJ94" i="4"/>
  <c r="AY110" i="4"/>
  <c r="BB110" i="4" s="1"/>
  <c r="AD5" i="4"/>
  <c r="AJ7" i="4"/>
  <c r="AB15" i="4"/>
  <c r="AA16" i="4"/>
  <c r="C16" i="4" s="1"/>
  <c r="AB17" i="4"/>
  <c r="AJ18" i="4"/>
  <c r="AG25" i="4"/>
  <c r="G25" i="4" s="1"/>
  <c r="AY27" i="4"/>
  <c r="AF27" i="4"/>
  <c r="AA40" i="4"/>
  <c r="AF42" i="4"/>
  <c r="AC62" i="4"/>
  <c r="AD62" i="4"/>
  <c r="AD63" i="4"/>
  <c r="AH64" i="4"/>
  <c r="AJ66" i="4"/>
  <c r="AF69" i="4"/>
  <c r="AJ70" i="4"/>
  <c r="AI78" i="4"/>
  <c r="AJ79" i="4"/>
  <c r="AC86" i="4"/>
  <c r="AB86" i="4"/>
  <c r="AB87" i="4"/>
  <c r="AB90" i="4"/>
  <c r="AY92" i="4"/>
  <c r="BB92" i="4" s="1"/>
  <c r="AF93" i="4"/>
  <c r="AC94" i="4"/>
  <c r="AB94" i="4"/>
  <c r="AB95" i="4"/>
  <c r="AD98" i="4"/>
  <c r="AY100" i="4"/>
  <c r="BB100" i="4" s="1"/>
  <c r="AB102" i="4"/>
  <c r="AC104" i="4"/>
  <c r="AJ106" i="4"/>
  <c r="AJ107" i="4"/>
  <c r="AG108" i="4"/>
  <c r="G108" i="4" s="1"/>
  <c r="AF110" i="4"/>
  <c r="AA114" i="4"/>
  <c r="AD117" i="4"/>
  <c r="AG118" i="4"/>
  <c r="G118" i="4" s="1"/>
  <c r="AQ118" i="4" s="1"/>
  <c r="AF138" i="4"/>
  <c r="AC155" i="4"/>
  <c r="AD156" i="4"/>
  <c r="AD191" i="4"/>
  <c r="AY196" i="4"/>
  <c r="BB196" i="4" s="1"/>
  <c r="AY200" i="4"/>
  <c r="BB200" i="4" s="1"/>
  <c r="AG200" i="4"/>
  <c r="G200" i="4" s="1"/>
  <c r="AQ200" i="4" s="1"/>
  <c r="AD203" i="4"/>
  <c r="AY213" i="4"/>
  <c r="BB213" i="4" s="1"/>
  <c r="AD219" i="4"/>
  <c r="AA221" i="4"/>
  <c r="E221" i="4" s="1"/>
  <c r="AD229" i="4"/>
  <c r="AF283" i="4"/>
  <c r="A23" i="3"/>
  <c r="AI16" i="4"/>
  <c r="AB35" i="4"/>
  <c r="AY68" i="4"/>
  <c r="AF90" i="4"/>
  <c r="AY99" i="4"/>
  <c r="BB99" i="4" s="1"/>
  <c r="AF114" i="4"/>
  <c r="AI150" i="4"/>
  <c r="AC220" i="4"/>
  <c r="AY248" i="4"/>
  <c r="BB248" i="4" s="1"/>
  <c r="AG326" i="4"/>
  <c r="G326" i="4" s="1"/>
  <c r="AK326" i="4" s="1"/>
  <c r="AJ10" i="4"/>
  <c r="AJ13" i="4"/>
  <c r="AB70" i="4"/>
  <c r="AF81" i="4"/>
  <c r="AJ86" i="4"/>
  <c r="AY107" i="4"/>
  <c r="BB107" i="4" s="1"/>
  <c r="AG5" i="4"/>
  <c r="G5" i="4" s="1"/>
  <c r="D18" i="3"/>
  <c r="AJ5" i="4"/>
  <c r="A8" i="3"/>
  <c r="A19" i="3"/>
  <c r="D8" i="4"/>
  <c r="AC15" i="4"/>
  <c r="AB16" i="4"/>
  <c r="AG17" i="4"/>
  <c r="G17" i="4" s="1"/>
  <c r="AD25" i="4"/>
  <c r="AJ25" i="4"/>
  <c r="AJ27" i="4"/>
  <c r="AA36" i="4"/>
  <c r="AB40" i="4"/>
  <c r="AF62" i="4"/>
  <c r="AI63" i="4"/>
  <c r="AG63" i="4"/>
  <c r="G63" i="4" s="1"/>
  <c r="AD65" i="4"/>
  <c r="AJ78" i="4"/>
  <c r="AA82" i="4"/>
  <c r="D82" i="4" s="1"/>
  <c r="AF85" i="4"/>
  <c r="AD86" i="4"/>
  <c r="AD87" i="4"/>
  <c r="AC90" i="4"/>
  <c r="AE90" i="4" s="1"/>
  <c r="AB91" i="4"/>
  <c r="AD94" i="4"/>
  <c r="AD95" i="4"/>
  <c r="AF98" i="4"/>
  <c r="AC102" i="4"/>
  <c r="AE102" i="4" s="1"/>
  <c r="AA106" i="4"/>
  <c r="AY108" i="4"/>
  <c r="BB108" i="4" s="1"/>
  <c r="AJ108" i="4"/>
  <c r="AY109" i="4"/>
  <c r="BB109" i="4" s="1"/>
  <c r="AG110" i="4"/>
  <c r="G110" i="4" s="1"/>
  <c r="AQ110" i="4" s="1"/>
  <c r="AA111" i="4"/>
  <c r="H111" i="4" s="1"/>
  <c r="AG112" i="4"/>
  <c r="G112" i="4" s="1"/>
  <c r="AK112" i="4" s="1"/>
  <c r="AB114" i="4"/>
  <c r="AI118" i="4"/>
  <c r="AY119" i="4"/>
  <c r="BB119" i="4" s="1"/>
  <c r="AA119" i="4"/>
  <c r="AD150" i="4"/>
  <c r="AA151" i="4"/>
  <c r="AJ156" i="4"/>
  <c r="AD163" i="4"/>
  <c r="AB164" i="4"/>
  <c r="AJ175" i="4"/>
  <c r="AB185" i="4"/>
  <c r="AD195" i="4"/>
  <c r="AJ202" i="4"/>
  <c r="AJ210" i="4"/>
  <c r="AB218" i="4"/>
  <c r="AF229" i="4"/>
  <c r="AJ260" i="4"/>
  <c r="AI290" i="4"/>
  <c r="AA291" i="4"/>
  <c r="I291" i="4" s="1"/>
  <c r="AI292" i="4"/>
  <c r="AD293" i="4"/>
  <c r="AY131" i="4"/>
  <c r="BB131" i="4" s="1"/>
  <c r="AD133" i="4"/>
  <c r="AD145" i="4"/>
  <c r="AD157" i="4"/>
  <c r="AY162" i="4"/>
  <c r="BB162" i="4" s="1"/>
  <c r="AJ167" i="4"/>
  <c r="AI177" i="4"/>
  <c r="AJ179" i="4"/>
  <c r="AI181" i="4"/>
  <c r="AJ183" i="4"/>
  <c r="AY216" i="4"/>
  <c r="BB216" i="4" s="1"/>
  <c r="AY221" i="4"/>
  <c r="BB221" i="4" s="1"/>
  <c r="AI381" i="4"/>
  <c r="AD378" i="4"/>
  <c r="AD365" i="4"/>
  <c r="AB361" i="4"/>
  <c r="AF360" i="4"/>
  <c r="AG355" i="4"/>
  <c r="G355" i="4" s="1"/>
  <c r="AP355" i="4" s="1"/>
  <c r="AC351" i="4"/>
  <c r="AY350" i="4"/>
  <c r="BB350" i="4" s="1"/>
  <c r="AH344" i="4"/>
  <c r="AY335" i="4"/>
  <c r="BB335" i="4" s="1"/>
  <c r="AF334" i="4"/>
  <c r="AF333" i="4"/>
  <c r="AG303" i="4"/>
  <c r="G303" i="4" s="1"/>
  <c r="AQ303" i="4" s="1"/>
  <c r="AC299" i="4"/>
  <c r="AE299" i="4" s="1"/>
  <c r="AG297" i="4"/>
  <c r="G297" i="4" s="1"/>
  <c r="AP297" i="4" s="1"/>
  <c r="AA296" i="4"/>
  <c r="E296" i="4" s="1"/>
  <c r="AA294" i="4"/>
  <c r="AF293" i="4"/>
  <c r="AD292" i="4"/>
  <c r="AC290" i="4"/>
  <c r="AE290" i="4" s="1"/>
  <c r="AJ289" i="4"/>
  <c r="AC288" i="4"/>
  <c r="AE288" i="4" s="1"/>
  <c r="AJ287" i="4"/>
  <c r="AC286" i="4"/>
  <c r="AE286" i="4" s="1"/>
  <c r="AA285" i="4"/>
  <c r="AI284" i="4"/>
  <c r="AC283" i="4"/>
  <c r="AB280" i="4"/>
  <c r="AG279" i="4"/>
  <c r="G279" i="4" s="1"/>
  <c r="AQ279" i="4" s="1"/>
  <c r="AG277" i="4"/>
  <c r="G277" i="4" s="1"/>
  <c r="AJ275" i="4"/>
  <c r="AG272" i="4"/>
  <c r="G272" i="4" s="1"/>
  <c r="AB270" i="4"/>
  <c r="AC268" i="4"/>
  <c r="AH263" i="4"/>
  <c r="AJ261" i="4"/>
  <c r="AG260" i="4"/>
  <c r="G260" i="4" s="1"/>
  <c r="AP260" i="4" s="1"/>
  <c r="AF257" i="4"/>
  <c r="AJ252" i="4"/>
  <c r="AI251" i="4"/>
  <c r="AJ244" i="4"/>
  <c r="AJ243" i="4"/>
  <c r="AJ235" i="4"/>
  <c r="AF234" i="4"/>
  <c r="AH233" i="4"/>
  <c r="AI232" i="4"/>
  <c r="AH231" i="4"/>
  <c r="AI230" i="4"/>
  <c r="AY229" i="4"/>
  <c r="BB229" i="4" s="1"/>
  <c r="AB229" i="4"/>
  <c r="AG228" i="4"/>
  <c r="G228" i="4" s="1"/>
  <c r="AQ228" i="4" s="1"/>
  <c r="AI227" i="4"/>
  <c r="AC226" i="4"/>
  <c r="AB225" i="4"/>
  <c r="AF224" i="4"/>
  <c r="AF223" i="4"/>
  <c r="AB220" i="4"/>
  <c r="AG382" i="4"/>
  <c r="G382" i="4" s="1"/>
  <c r="AK382" i="4" s="1"/>
  <c r="AD366" i="4"/>
  <c r="AI364" i="4"/>
  <c r="AJ362" i="4"/>
  <c r="AA361" i="4"/>
  <c r="E361" i="4" s="1"/>
  <c r="AF344" i="4"/>
  <c r="AB334" i="4"/>
  <c r="AG330" i="4"/>
  <c r="G330" i="4" s="1"/>
  <c r="AP330" i="4" s="1"/>
  <c r="AI329" i="4"/>
  <c r="AD319" i="4"/>
  <c r="AI311" i="4"/>
  <c r="AI304" i="4"/>
  <c r="AC303" i="4"/>
  <c r="AA299" i="4"/>
  <c r="E299" i="4" s="1"/>
  <c r="AI298" i="4"/>
  <c r="AB297" i="4"/>
  <c r="AJ295" i="4"/>
  <c r="AB293" i="4"/>
  <c r="AA292" i="4"/>
  <c r="E292" i="4" s="1"/>
  <c r="AI291" i="4"/>
  <c r="AA290" i="4"/>
  <c r="AG289" i="4"/>
  <c r="G289" i="4" s="1"/>
  <c r="AA288" i="4"/>
  <c r="AI287" i="4"/>
  <c r="AA286" i="4"/>
  <c r="AG284" i="4"/>
  <c r="G284" i="4" s="1"/>
  <c r="AK284" i="4" s="1"/>
  <c r="AB283" i="4"/>
  <c r="AA280" i="4"/>
  <c r="AF279" i="4"/>
  <c r="AY278" i="4"/>
  <c r="BB278" i="4" s="1"/>
  <c r="AB277" i="4"/>
  <c r="AF272" i="4"/>
  <c r="AH271" i="4"/>
  <c r="AY270" i="4"/>
  <c r="BB270" i="4" s="1"/>
  <c r="AY269" i="4"/>
  <c r="BB269" i="4" s="1"/>
  <c r="AB268" i="4"/>
  <c r="AD263" i="4"/>
  <c r="AJ262" i="4"/>
  <c r="AI261" i="4"/>
  <c r="AC260" i="4"/>
  <c r="AJ253" i="4"/>
  <c r="AH252" i="4"/>
  <c r="AH251" i="4"/>
  <c r="AH244" i="4"/>
  <c r="AI243" i="4"/>
  <c r="AF242" i="4"/>
  <c r="AY241" i="4"/>
  <c r="BB241" i="4" s="1"/>
  <c r="AJ236" i="4"/>
  <c r="AI235" i="4"/>
  <c r="AC234" i="4"/>
  <c r="AG233" i="4"/>
  <c r="G233" i="4" s="1"/>
  <c r="AQ233" i="4" s="1"/>
  <c r="AG232" i="4"/>
  <c r="G232" i="4" s="1"/>
  <c r="AP232" i="4" s="1"/>
  <c r="AG230" i="4"/>
  <c r="G230" i="4" s="1"/>
  <c r="AQ230" i="4" s="1"/>
  <c r="AF228" i="4"/>
  <c r="AH227" i="4"/>
  <c r="AT227" i="4" s="1"/>
  <c r="AY226" i="4"/>
  <c r="BB226" i="4" s="1"/>
  <c r="AD224" i="4"/>
  <c r="AY223" i="4"/>
  <c r="BB223" i="4" s="1"/>
  <c r="AD223" i="4"/>
  <c r="AA220" i="4"/>
  <c r="AF396" i="4"/>
  <c r="AF384" i="4"/>
  <c r="AJ369" i="4"/>
  <c r="AC364" i="4"/>
  <c r="AI357" i="4"/>
  <c r="AF356" i="4"/>
  <c r="AF352" i="4"/>
  <c r="AJ337" i="4"/>
  <c r="AB330" i="4"/>
  <c r="AC329" i="4"/>
  <c r="AE329" i="4" s="1"/>
  <c r="AJ323" i="4"/>
  <c r="AG313" i="4"/>
  <c r="G313" i="4" s="1"/>
  <c r="AI312" i="4"/>
  <c r="AG311" i="4"/>
  <c r="G311" i="4" s="1"/>
  <c r="AP311" i="4" s="1"/>
  <c r="AJ310" i="4"/>
  <c r="AI306" i="4"/>
  <c r="AG304" i="4"/>
  <c r="G304" i="4" s="1"/>
  <c r="AB303" i="4"/>
  <c r="AC298" i="4"/>
  <c r="AI295" i="4"/>
  <c r="AG291" i="4"/>
  <c r="G291" i="4" s="1"/>
  <c r="AP291" i="4" s="1"/>
  <c r="AF289" i="4"/>
  <c r="AF287" i="4"/>
  <c r="AJ285" i="4"/>
  <c r="AD284" i="4"/>
  <c r="AA283" i="4"/>
  <c r="E283" i="4" s="1"/>
  <c r="AJ281" i="4"/>
  <c r="AD279" i="4"/>
  <c r="AY277" i="4"/>
  <c r="BB277" i="4" s="1"/>
  <c r="AA277" i="4"/>
  <c r="AD276" i="4"/>
  <c r="AJ273" i="4"/>
  <c r="AD272" i="4"/>
  <c r="AF271" i="4"/>
  <c r="AB264" i="4"/>
  <c r="AB263" i="4"/>
  <c r="AF262" i="4"/>
  <c r="AA261" i="4"/>
  <c r="E261" i="4" s="1"/>
  <c r="AH255" i="4"/>
  <c r="AJ254" i="4"/>
  <c r="AI253" i="4"/>
  <c r="AG252" i="4"/>
  <c r="G252" i="4" s="1"/>
  <c r="AP252" i="4" s="1"/>
  <c r="AF251" i="4"/>
  <c r="AT251" i="4" s="1"/>
  <c r="AH247" i="4"/>
  <c r="AJ246" i="4"/>
  <c r="AJ245" i="4"/>
  <c r="AG244" i="4"/>
  <c r="G244" i="4" s="1"/>
  <c r="AQ244" i="4" s="1"/>
  <c r="AH243" i="4"/>
  <c r="AH236" i="4"/>
  <c r="AH235" i="4"/>
  <c r="AB234" i="4"/>
  <c r="AC233" i="4"/>
  <c r="AF232" i="4"/>
  <c r="AF230" i="4"/>
  <c r="AD228" i="4"/>
  <c r="AG227" i="4"/>
  <c r="G227" i="4" s="1"/>
  <c r="AQ227" i="4" s="1"/>
  <c r="AC224" i="4"/>
  <c r="AE224" i="4" s="1"/>
  <c r="AY217" i="4"/>
  <c r="BB217" i="4" s="1"/>
  <c r="AH389" i="4"/>
  <c r="AY381" i="4"/>
  <c r="BB381" i="4" s="1"/>
  <c r="AC380" i="4"/>
  <c r="AJ373" i="4"/>
  <c r="AB369" i="4"/>
  <c r="AC367" i="4"/>
  <c r="AG358" i="4"/>
  <c r="G358" i="4" s="1"/>
  <c r="AP358" i="4" s="1"/>
  <c r="AG357" i="4"/>
  <c r="G357" i="4" s="1"/>
  <c r="AQ357" i="4" s="1"/>
  <c r="AD356" i="4"/>
  <c r="AY354" i="4"/>
  <c r="BB354" i="4" s="1"/>
  <c r="AI353" i="4"/>
  <c r="AC352" i="4"/>
  <c r="AG349" i="4"/>
  <c r="G349" i="4" s="1"/>
  <c r="AQ349" i="4" s="1"/>
  <c r="AG346" i="4"/>
  <c r="G346" i="4" s="1"/>
  <c r="AK346" i="4" s="1"/>
  <c r="AI345" i="4"/>
  <c r="AI337" i="4"/>
  <c r="AA330" i="4"/>
  <c r="H330" i="4" s="1"/>
  <c r="AI327" i="4"/>
  <c r="AD323" i="4"/>
  <c r="AJ314" i="4"/>
  <c r="AF313" i="4"/>
  <c r="AG312" i="4"/>
  <c r="G312" i="4" s="1"/>
  <c r="AK312" i="4" s="1"/>
  <c r="AA311" i="4"/>
  <c r="I311" i="4" s="1"/>
  <c r="AI310" i="4"/>
  <c r="AD307" i="4"/>
  <c r="AG306" i="4"/>
  <c r="G306" i="4" s="1"/>
  <c r="AK306" i="4" s="1"/>
  <c r="AG305" i="4"/>
  <c r="G305" i="4" s="1"/>
  <c r="AP305" i="4" s="1"/>
  <c r="AJ301" i="4"/>
  <c r="AG295" i="4"/>
  <c r="G295" i="4" s="1"/>
  <c r="AF291" i="4"/>
  <c r="AB289" i="4"/>
  <c r="AD287" i="4"/>
  <c r="AI285" i="4"/>
  <c r="AC284" i="4"/>
  <c r="AJ283" i="4"/>
  <c r="AG281" i="4"/>
  <c r="G281" i="4" s="1"/>
  <c r="AP281" i="4" s="1"/>
  <c r="AJ280" i="4"/>
  <c r="AC279" i="4"/>
  <c r="AC276" i="4"/>
  <c r="AD273" i="4"/>
  <c r="AC272" i="4"/>
  <c r="AE272" i="4" s="1"/>
  <c r="AY263" i="4"/>
  <c r="BB263" i="4" s="1"/>
  <c r="AA263" i="4"/>
  <c r="I263" i="4" s="1"/>
  <c r="AC262" i="4"/>
  <c r="AJ259" i="4"/>
  <c r="AG258" i="4"/>
  <c r="G258" i="4" s="1"/>
  <c r="AD255" i="4"/>
  <c r="AH254" i="4"/>
  <c r="AA253" i="4"/>
  <c r="H253" i="4" s="1"/>
  <c r="AF252" i="4"/>
  <c r="AB251" i="4"/>
  <c r="AF249" i="4"/>
  <c r="AD248" i="4"/>
  <c r="AD247" i="4"/>
  <c r="AH246" i="4"/>
  <c r="AI245" i="4"/>
  <c r="AF244" i="4"/>
  <c r="AF243" i="4"/>
  <c r="AH239" i="4"/>
  <c r="AJ238" i="4"/>
  <c r="AJ237" i="4"/>
  <c r="AG236" i="4"/>
  <c r="G236" i="4" s="1"/>
  <c r="AK236" i="4" s="1"/>
  <c r="AF235" i="4"/>
  <c r="AA234" i="4"/>
  <c r="AY233" i="4"/>
  <c r="BB233" i="4" s="1"/>
  <c r="AC232" i="4"/>
  <c r="AE232" i="4" s="1"/>
  <c r="AC230" i="4"/>
  <c r="AE230" i="4" s="1"/>
  <c r="AC228" i="4"/>
  <c r="AF227" i="4"/>
  <c r="AB224" i="4"/>
  <c r="AJ222" i="4"/>
  <c r="AJ220" i="4"/>
  <c r="AC400" i="4"/>
  <c r="AE400" i="4" s="1"/>
  <c r="AB375" i="4"/>
  <c r="AB373" i="4"/>
  <c r="AY364" i="4"/>
  <c r="BB364" i="4" s="1"/>
  <c r="AC357" i="4"/>
  <c r="AG353" i="4"/>
  <c r="G353" i="4" s="1"/>
  <c r="AP353" i="4" s="1"/>
  <c r="AB349" i="4"/>
  <c r="AF347" i="4"/>
  <c r="AD346" i="4"/>
  <c r="AC345" i="4"/>
  <c r="AH341" i="4"/>
  <c r="AI340" i="4"/>
  <c r="AC337" i="4"/>
  <c r="AE337" i="4" s="1"/>
  <c r="AI335" i="4"/>
  <c r="AI332" i="4"/>
  <c r="AG327" i="4"/>
  <c r="G327" i="4" s="1"/>
  <c r="AP327" i="4" s="1"/>
  <c r="AC323" i="4"/>
  <c r="AD322" i="4"/>
  <c r="AI321" i="4"/>
  <c r="AI315" i="4"/>
  <c r="AF314" i="4"/>
  <c r="AF310" i="4"/>
  <c r="AC307" i="4"/>
  <c r="AE307" i="4" s="1"/>
  <c r="AB306" i="4"/>
  <c r="AC301" i="4"/>
  <c r="AE301" i="4" s="1"/>
  <c r="AI300" i="4"/>
  <c r="AC295" i="4"/>
  <c r="AE295" i="4" s="1"/>
  <c r="AD291" i="4"/>
  <c r="AA289" i="4"/>
  <c r="I289" i="4" s="1"/>
  <c r="AC287" i="4"/>
  <c r="AG285" i="4"/>
  <c r="G285" i="4" s="1"/>
  <c r="AK285" i="4" s="1"/>
  <c r="AA284" i="4"/>
  <c r="AI283" i="4"/>
  <c r="AB281" i="4"/>
  <c r="AI280" i="4"/>
  <c r="AB279" i="4"/>
  <c r="AJ274" i="4"/>
  <c r="AB272" i="4"/>
  <c r="AJ268" i="4"/>
  <c r="AY265" i="4"/>
  <c r="BB265" i="4" s="1"/>
  <c r="AB262" i="4"/>
  <c r="AI259" i="4"/>
  <c r="AB255" i="4"/>
  <c r="AF254" i="4"/>
  <c r="AC252" i="4"/>
  <c r="AB248" i="4"/>
  <c r="AB247" i="4"/>
  <c r="AF246" i="4"/>
  <c r="AA245" i="4"/>
  <c r="H245" i="4" s="1"/>
  <c r="AC244" i="4"/>
  <c r="AB243" i="4"/>
  <c r="AY242" i="4"/>
  <c r="BB242" i="4" s="1"/>
  <c r="AD239" i="4"/>
  <c r="AH238" i="4"/>
  <c r="AI237" i="4"/>
  <c r="AF236" i="4"/>
  <c r="AB235" i="4"/>
  <c r="AB232" i="4"/>
  <c r="AA230" i="4"/>
  <c r="H230" i="4" s="1"/>
  <c r="AI229" i="4"/>
  <c r="AB228" i="4"/>
  <c r="AY227" i="4"/>
  <c r="BB227" i="4" s="1"/>
  <c r="AD227" i="4"/>
  <c r="AA224" i="4"/>
  <c r="AI222" i="4"/>
  <c r="AB390" i="4"/>
  <c r="AH386" i="4"/>
  <c r="AG377" i="4"/>
  <c r="G377" i="4" s="1"/>
  <c r="AK377" i="4" s="1"/>
  <c r="AY366" i="4"/>
  <c r="BB366" i="4" s="1"/>
  <c r="AH363" i="4"/>
  <c r="AC353" i="4"/>
  <c r="AA345" i="4"/>
  <c r="H345" i="4" s="1"/>
  <c r="AJ343" i="4"/>
  <c r="AJ342" i="4"/>
  <c r="AC340" i="4"/>
  <c r="AE340" i="4" s="1"/>
  <c r="AG339" i="4"/>
  <c r="G339" i="4" s="1"/>
  <c r="AP339" i="4" s="1"/>
  <c r="AF336" i="4"/>
  <c r="AH335" i="4"/>
  <c r="AB327" i="4"/>
  <c r="AI326" i="4"/>
  <c r="AI325" i="4"/>
  <c r="AA322" i="4"/>
  <c r="I322" i="4" s="1"/>
  <c r="AA321" i="4"/>
  <c r="H321" i="4" s="1"/>
  <c r="AJ318" i="4"/>
  <c r="AD315" i="4"/>
  <c r="AC314" i="4"/>
  <c r="AD310" i="4"/>
  <c r="AA307" i="4"/>
  <c r="E307" i="4" s="1"/>
  <c r="AA306" i="4"/>
  <c r="E306" i="4" s="1"/>
  <c r="AB301" i="4"/>
  <c r="AG300" i="4"/>
  <c r="G300" i="4" s="1"/>
  <c r="AP300" i="4" s="1"/>
  <c r="AB295" i="4"/>
  <c r="AB291" i="4"/>
  <c r="AI288" i="4"/>
  <c r="AB287" i="4"/>
  <c r="AF285" i="4"/>
  <c r="AG283" i="4"/>
  <c r="G283" i="4" s="1"/>
  <c r="AK283" i="4" s="1"/>
  <c r="AA281" i="4"/>
  <c r="AG280" i="4"/>
  <c r="G280" i="4" s="1"/>
  <c r="AK280" i="4" s="1"/>
  <c r="AA279" i="4"/>
  <c r="AC274" i="4"/>
  <c r="AY271" i="4"/>
  <c r="BB271" i="4" s="1"/>
  <c r="AJ269" i="4"/>
  <c r="AG268" i="4"/>
  <c r="G268" i="4" s="1"/>
  <c r="AQ268" i="4" s="1"/>
  <c r="AH259" i="4"/>
  <c r="AA255" i="4"/>
  <c r="E255" i="4" s="1"/>
  <c r="AC254" i="4"/>
  <c r="AY247" i="4"/>
  <c r="BB247" i="4" s="1"/>
  <c r="AA247" i="4"/>
  <c r="I247" i="4" s="1"/>
  <c r="AC246" i="4"/>
  <c r="AB239" i="4"/>
  <c r="AF238" i="4"/>
  <c r="AA237" i="4"/>
  <c r="E237" i="4" s="1"/>
  <c r="AC236" i="4"/>
  <c r="AJ234" i="4"/>
  <c r="AA232" i="4"/>
  <c r="AG229" i="4"/>
  <c r="G229" i="4" s="1"/>
  <c r="AQ229" i="4" s="1"/>
  <c r="AA228" i="4"/>
  <c r="I228" i="4" s="1"/>
  <c r="AA227" i="4"/>
  <c r="I227" i="4" s="1"/>
  <c r="AI226" i="4"/>
  <c r="AJ224" i="4"/>
  <c r="AA222" i="4"/>
  <c r="E222" i="4" s="1"/>
  <c r="AH221" i="4"/>
  <c r="AD125" i="4"/>
  <c r="AY130" i="4"/>
  <c r="BB130" i="4" s="1"/>
  <c r="AY136" i="4"/>
  <c r="BB136" i="4" s="1"/>
  <c r="AY142" i="4"/>
  <c r="BB142" i="4" s="1"/>
  <c r="AY143" i="4"/>
  <c r="BB143" i="4" s="1"/>
  <c r="AD153" i="4"/>
  <c r="AC164" i="4"/>
  <c r="AI185" i="4"/>
  <c r="AJ187" i="4"/>
  <c r="AI189" i="4"/>
  <c r="AJ191" i="4"/>
  <c r="AI193" i="4"/>
  <c r="AJ195" i="4"/>
  <c r="AG202" i="4"/>
  <c r="G202" i="4" s="1"/>
  <c r="AG242" i="4"/>
  <c r="G242" i="4" s="1"/>
  <c r="AY291" i="4"/>
  <c r="BB291" i="4" s="1"/>
  <c r="AY300" i="4"/>
  <c r="BB300" i="4" s="1"/>
  <c r="AY327" i="4"/>
  <c r="BB327" i="4" s="1"/>
  <c r="AY132" i="4"/>
  <c r="BB132" i="4" s="1"/>
  <c r="AD141" i="4"/>
  <c r="AY144" i="4"/>
  <c r="BB144" i="4" s="1"/>
  <c r="AD149" i="4"/>
  <c r="AY198" i="4"/>
  <c r="BB198" i="4" s="1"/>
  <c r="AD209" i="4"/>
  <c r="AY212" i="4"/>
  <c r="BB212" i="4" s="1"/>
  <c r="AY214" i="4"/>
  <c r="BB214" i="4" s="1"/>
  <c r="AF220" i="4"/>
  <c r="AY228" i="4"/>
  <c r="BB228" i="4" s="1"/>
  <c r="AD271" i="4"/>
  <c r="AY325" i="4"/>
  <c r="BB325" i="4" s="1"/>
  <c r="AY395" i="4"/>
  <c r="BB395" i="4" s="1"/>
  <c r="AY114" i="4"/>
  <c r="BB114" i="4" s="1"/>
  <c r="AY115" i="4"/>
  <c r="BB115" i="4" s="1"/>
  <c r="AY122" i="4"/>
  <c r="BB122" i="4" s="1"/>
  <c r="AY124" i="4"/>
  <c r="BB124" i="4" s="1"/>
  <c r="AD129" i="4"/>
  <c r="AY138" i="4"/>
  <c r="BB138" i="4" s="1"/>
  <c r="AY139" i="4"/>
  <c r="BB139" i="4" s="1"/>
  <c r="AY147" i="4"/>
  <c r="BB147" i="4" s="1"/>
  <c r="AJ161" i="4"/>
  <c r="AC172" i="4"/>
  <c r="AG174" i="4"/>
  <c r="G174" i="4" s="1"/>
  <c r="AP174" i="4" s="1"/>
  <c r="AY197" i="4"/>
  <c r="BB197" i="4" s="1"/>
  <c r="AY204" i="4"/>
  <c r="BB204" i="4" s="1"/>
  <c r="AH207" i="4"/>
  <c r="AH213" i="4"/>
  <c r="AI268" i="4"/>
  <c r="AY287" i="4"/>
  <c r="BB287" i="4" s="1"/>
  <c r="AY127" i="4"/>
  <c r="BB127" i="4" s="1"/>
  <c r="AY146" i="4"/>
  <c r="BB146" i="4" s="1"/>
  <c r="AY152" i="4"/>
  <c r="BB152" i="4" s="1"/>
  <c r="AD155" i="4"/>
  <c r="AC156" i="4"/>
  <c r="AJ163" i="4"/>
  <c r="AC176" i="4"/>
  <c r="AG178" i="4"/>
  <c r="G178" i="4" s="1"/>
  <c r="AK178" i="4" s="1"/>
  <c r="AG182" i="4"/>
  <c r="G182" i="4" s="1"/>
  <c r="AK182" i="4" s="1"/>
  <c r="AF206" i="4"/>
  <c r="AY134" i="4"/>
  <c r="BB134" i="4" s="1"/>
  <c r="AY135" i="4"/>
  <c r="BB135" i="4" s="1"/>
  <c r="AD137" i="4"/>
  <c r="AY140" i="4"/>
  <c r="BB140" i="4" s="1"/>
  <c r="AI154" i="4"/>
  <c r="AG159" i="4"/>
  <c r="G159" i="4" s="1"/>
  <c r="AK159" i="4" s="1"/>
  <c r="AJ171" i="4"/>
  <c r="AC180" i="4"/>
  <c r="AC184" i="4"/>
  <c r="AG186" i="4"/>
  <c r="G186" i="4" s="1"/>
  <c r="AP186" i="4" s="1"/>
  <c r="AG190" i="4"/>
  <c r="G190" i="4" s="1"/>
  <c r="AK190" i="4" s="1"/>
  <c r="AG194" i="4"/>
  <c r="G194" i="4" s="1"/>
  <c r="AP194" i="4" s="1"/>
  <c r="AY295" i="4"/>
  <c r="BB295" i="4" s="1"/>
  <c r="AY224" i="4"/>
  <c r="BB224" i="4" s="1"/>
  <c r="AY234" i="4"/>
  <c r="BB234" i="4" s="1"/>
  <c r="AG238" i="4"/>
  <c r="G238" i="4" s="1"/>
  <c r="AF270" i="4"/>
  <c r="AY280" i="4"/>
  <c r="BB280" i="4" s="1"/>
  <c r="AD289" i="4"/>
  <c r="AI316" i="4"/>
  <c r="AF322" i="4"/>
  <c r="AJ239" i="4"/>
  <c r="AY240" i="4"/>
  <c r="BB240" i="4" s="1"/>
  <c r="AG246" i="4"/>
  <c r="G246" i="4" s="1"/>
  <c r="AY259" i="4"/>
  <c r="BB259" i="4" s="1"/>
  <c r="AH267" i="4"/>
  <c r="AY279" i="4"/>
  <c r="BB279" i="4" s="1"/>
  <c r="AD301" i="4"/>
  <c r="AY307" i="4"/>
  <c r="BB307" i="4" s="1"/>
  <c r="AD341" i="4"/>
  <c r="AH359" i="4"/>
  <c r="AI388" i="4"/>
  <c r="AY235" i="4"/>
  <c r="BB235" i="4" s="1"/>
  <c r="AJ247" i="4"/>
  <c r="AG254" i="4"/>
  <c r="G254" i="4" s="1"/>
  <c r="AQ254" i="4" s="1"/>
  <c r="AY256" i="4"/>
  <c r="BB256" i="4" s="1"/>
  <c r="AY284" i="4"/>
  <c r="BB284" i="4" s="1"/>
  <c r="AY306" i="4"/>
  <c r="BB306" i="4" s="1"/>
  <c r="AI314" i="4"/>
  <c r="AA223" i="4"/>
  <c r="AJ255" i="4"/>
  <c r="AH262" i="4"/>
  <c r="AI272" i="4"/>
  <c r="AE285" i="4"/>
  <c r="AD286" i="4"/>
  <c r="AD313" i="4"/>
  <c r="AB345" i="4"/>
  <c r="AY347" i="4"/>
  <c r="BB347" i="4" s="1"/>
  <c r="AY243" i="4"/>
  <c r="BB243" i="4" s="1"/>
  <c r="AJ263" i="4"/>
  <c r="AH266" i="4"/>
  <c r="AY283" i="4"/>
  <c r="BB283" i="4" s="1"/>
  <c r="AD290" i="4"/>
  <c r="AY304" i="4"/>
  <c r="BB304" i="4" s="1"/>
  <c r="AD305" i="4"/>
  <c r="AY330" i="4"/>
  <c r="BB330" i="4" s="1"/>
  <c r="AY365" i="4"/>
  <c r="BB365" i="4" s="1"/>
  <c r="AD226" i="4"/>
  <c r="AY251" i="4"/>
  <c r="BB251" i="4" s="1"/>
  <c r="AC264" i="4"/>
  <c r="AD285" i="4"/>
  <c r="AY288" i="4"/>
  <c r="BB288" i="4" s="1"/>
  <c r="D28" i="4"/>
  <c r="AE220" i="4"/>
  <c r="F1" i="3"/>
  <c r="F1" i="2"/>
  <c r="D24" i="4"/>
  <c r="C74" i="4"/>
  <c r="AF400" i="4"/>
  <c r="AD399" i="4"/>
  <c r="AB396" i="4"/>
  <c r="AD392" i="4"/>
  <c r="AH387" i="4"/>
  <c r="AB384" i="4"/>
  <c r="AF380" i="4"/>
  <c r="AB377" i="4"/>
  <c r="AC376" i="4"/>
  <c r="AB374" i="4"/>
  <c r="AF373" i="4"/>
  <c r="AB370" i="4"/>
  <c r="AF369" i="4"/>
  <c r="AH367" i="4"/>
  <c r="AD361" i="4"/>
  <c r="AY360" i="4"/>
  <c r="BB360" i="4" s="1"/>
  <c r="AJ357" i="4"/>
  <c r="AH356" i="4"/>
  <c r="AB354" i="4"/>
  <c r="AJ353" i="4"/>
  <c r="AI352" i="4"/>
  <c r="AJ351" i="4"/>
  <c r="AA350" i="4"/>
  <c r="H350" i="4" s="1"/>
  <c r="AH346" i="4"/>
  <c r="AF345" i="4"/>
  <c r="AJ344" i="4"/>
  <c r="AF342" i="4"/>
  <c r="AD340" i="4"/>
  <c r="AH338" i="4"/>
  <c r="AA336" i="4"/>
  <c r="H336" i="4" s="1"/>
  <c r="AI334" i="4"/>
  <c r="AH333" i="4"/>
  <c r="AC330" i="4"/>
  <c r="AE330" i="4" s="1"/>
  <c r="AJ327" i="4"/>
  <c r="AC325" i="4"/>
  <c r="AF323" i="4"/>
  <c r="AG322" i="4"/>
  <c r="G322" i="4" s="1"/>
  <c r="AY320" i="4"/>
  <c r="BB320" i="4" s="1"/>
  <c r="AA319" i="4"/>
  <c r="I319" i="4" s="1"/>
  <c r="AB318" i="4"/>
  <c r="AJ315" i="4"/>
  <c r="AB311" i="4"/>
  <c r="AA310" i="4"/>
  <c r="AF309" i="4"/>
  <c r="AA308" i="4"/>
  <c r="AG307" i="4"/>
  <c r="G307" i="4" s="1"/>
  <c r="AQ307" i="4" s="1"/>
  <c r="AC306" i="4"/>
  <c r="AJ303" i="4"/>
  <c r="AF299" i="4"/>
  <c r="AC297" i="4"/>
  <c r="AE297" i="4" s="1"/>
  <c r="AG296" i="4"/>
  <c r="G296" i="4" s="1"/>
  <c r="AQ296" i="4" s="1"/>
  <c r="AD295" i="4"/>
  <c r="AC293" i="4"/>
  <c r="AG292" i="4"/>
  <c r="G292" i="4" s="1"/>
  <c r="AQ292" i="4" s="1"/>
  <c r="AC291" i="4"/>
  <c r="AE291" i="4" s="1"/>
  <c r="AI289" i="4"/>
  <c r="AD400" i="4"/>
  <c r="AC392" i="4"/>
  <c r="AE392" i="4" s="1"/>
  <c r="AJ388" i="4"/>
  <c r="AD387" i="4"/>
  <c r="AD385" i="4"/>
  <c r="AY383" i="4"/>
  <c r="BB383" i="4" s="1"/>
  <c r="AJ382" i="4"/>
  <c r="AD380" i="4"/>
  <c r="AA377" i="4"/>
  <c r="AD373" i="4"/>
  <c r="AD369" i="4"/>
  <c r="AF367" i="4"/>
  <c r="AG366" i="4"/>
  <c r="G366" i="4" s="1"/>
  <c r="AK366" i="4" s="1"/>
  <c r="AJ365" i="4"/>
  <c r="AB400" i="4"/>
  <c r="AY391" i="4"/>
  <c r="BB391" i="4" s="1"/>
  <c r="AJ390" i="4"/>
  <c r="AD388" i="4"/>
  <c r="AB382" i="4"/>
  <c r="AH381" i="4"/>
  <c r="AB380" i="4"/>
  <c r="AJ378" i="4"/>
  <c r="AJ377" i="4"/>
  <c r="AA373" i="4"/>
  <c r="E373" i="4" s="1"/>
  <c r="AA369" i="4"/>
  <c r="AC368" i="4"/>
  <c r="AY367" i="4"/>
  <c r="BB367" i="4" s="1"/>
  <c r="AB367" i="4"/>
  <c r="AB366" i="4"/>
  <c r="AG365" i="4"/>
  <c r="G365" i="4" s="1"/>
  <c r="AQ365" i="4" s="1"/>
  <c r="AF364" i="4"/>
  <c r="AF357" i="4"/>
  <c r="AY356" i="4"/>
  <c r="BB356" i="4" s="1"/>
  <c r="AC356" i="4"/>
  <c r="AF353" i="4"/>
  <c r="AA352" i="4"/>
  <c r="I352" i="4" s="1"/>
  <c r="AA346" i="4"/>
  <c r="AC344" i="4"/>
  <c r="AG343" i="4"/>
  <c r="G343" i="4" s="1"/>
  <c r="AK343" i="4" s="1"/>
  <c r="AC339" i="4"/>
  <c r="AH337" i="4"/>
  <c r="AJ336" i="4"/>
  <c r="AG335" i="4"/>
  <c r="G335" i="4" s="1"/>
  <c r="AP335" i="4" s="1"/>
  <c r="AD334" i="4"/>
  <c r="AY333" i="4"/>
  <c r="BB333" i="4" s="1"/>
  <c r="AD333" i="4"/>
  <c r="AG332" i="4"/>
  <c r="G332" i="4" s="1"/>
  <c r="AP332" i="4" s="1"/>
  <c r="AJ330" i="4"/>
  <c r="AG329" i="4"/>
  <c r="G329" i="4" s="1"/>
  <c r="AQ329" i="4" s="1"/>
  <c r="AD327" i="4"/>
  <c r="AD326" i="4"/>
  <c r="AB323" i="4"/>
  <c r="AG321" i="4"/>
  <c r="G321" i="4" s="1"/>
  <c r="AQ321" i="4" s="1"/>
  <c r="AJ319" i="4"/>
  <c r="AG316" i="4"/>
  <c r="G316" i="4" s="1"/>
  <c r="AK316" i="4" s="1"/>
  <c r="AC315" i="4"/>
  <c r="AD314" i="4"/>
  <c r="AA312" i="4"/>
  <c r="E312" i="4" s="1"/>
  <c r="AJ311" i="4"/>
  <c r="AG310" i="4"/>
  <c r="G310" i="4" s="1"/>
  <c r="AK310" i="4" s="1"/>
  <c r="AB307" i="4"/>
  <c r="AJ306" i="4"/>
  <c r="AF305" i="4"/>
  <c r="AA304" i="4"/>
  <c r="AD303" i="4"/>
  <c r="AD300" i="4"/>
  <c r="AB299" i="4"/>
  <c r="AA295" i="4"/>
  <c r="I295" i="4" s="1"/>
  <c r="AJ291" i="4"/>
  <c r="AC289" i="4"/>
  <c r="AE289" i="4" s="1"/>
  <c r="AG287" i="4"/>
  <c r="G287" i="4" s="1"/>
  <c r="AQ287" i="4" s="1"/>
  <c r="AJ396" i="4"/>
  <c r="AG390" i="4"/>
  <c r="G390" i="4" s="1"/>
  <c r="AK390" i="4" s="1"/>
  <c r="AI389" i="4"/>
  <c r="AC388" i="4"/>
  <c r="AJ384" i="4"/>
  <c r="AY382" i="4"/>
  <c r="BB382" i="4" s="1"/>
  <c r="AB381" i="4"/>
  <c r="AG378" i="4"/>
  <c r="G378" i="4" s="1"/>
  <c r="AI377" i="4"/>
  <c r="AF365" i="4"/>
  <c r="AD364" i="4"/>
  <c r="AJ361" i="4"/>
  <c r="AH358" i="4"/>
  <c r="AD357" i="4"/>
  <c r="AA356" i="4"/>
  <c r="I356" i="4" s="1"/>
  <c r="AH355" i="4"/>
  <c r="AD353" i="4"/>
  <c r="AH347" i="4"/>
  <c r="AJ345" i="4"/>
  <c r="AA344" i="4"/>
  <c r="E344" i="4" s="1"/>
  <c r="AY343" i="4"/>
  <c r="BB343" i="4" s="1"/>
  <c r="AB343" i="4"/>
  <c r="AJ340" i="4"/>
  <c r="AD337" i="4"/>
  <c r="AI336" i="4"/>
  <c r="AD335" i="4"/>
  <c r="AC334" i="4"/>
  <c r="AA333" i="4"/>
  <c r="I333" i="4" s="1"/>
  <c r="AC332" i="4"/>
  <c r="AI330" i="4"/>
  <c r="AF329" i="4"/>
  <c r="AC327" i="4"/>
  <c r="AA326" i="4"/>
  <c r="H326" i="4" s="1"/>
  <c r="AJ325" i="4"/>
  <c r="AA323" i="4"/>
  <c r="AF321" i="4"/>
  <c r="AI319" i="4"/>
  <c r="AB8" i="8"/>
  <c r="AG73" i="8"/>
  <c r="G73" i="8" s="1"/>
  <c r="AQ73" i="8" s="1"/>
  <c r="AG398" i="4"/>
  <c r="G398" i="4" s="1"/>
  <c r="AP398" i="4" s="1"/>
  <c r="AD396" i="4"/>
  <c r="AF394" i="4"/>
  <c r="AJ392" i="4"/>
  <c r="AY390" i="4"/>
  <c r="BB390" i="4" s="1"/>
  <c r="AB389" i="4"/>
  <c r="AB386" i="4"/>
  <c r="AD384" i="4"/>
  <c r="AH379" i="4"/>
  <c r="AB378" i="4"/>
  <c r="AF377" i="4"/>
  <c r="AG374" i="4"/>
  <c r="G374" i="4" s="1"/>
  <c r="AI373" i="4"/>
  <c r="AI369" i="4"/>
  <c r="AB365" i="4"/>
  <c r="AA364" i="4"/>
  <c r="E364" i="4" s="1"/>
  <c r="AD362" i="4"/>
  <c r="AG361" i="4"/>
  <c r="G361" i="4" s="1"/>
  <c r="AA360" i="4"/>
  <c r="I360" i="4" s="1"/>
  <c r="AJ359" i="4"/>
  <c r="AA358" i="4"/>
  <c r="H358" i="4" s="1"/>
  <c r="AB357" i="4"/>
  <c r="AB355" i="4"/>
  <c r="AI354" i="4"/>
  <c r="AB353" i="4"/>
  <c r="AI350" i="4"/>
  <c r="AA348" i="4"/>
  <c r="H348" i="4" s="1"/>
  <c r="AD347" i="4"/>
  <c r="AJ346" i="4"/>
  <c r="AH345" i="4"/>
  <c r="AI342" i="4"/>
  <c r="AH340" i="4"/>
  <c r="AA337" i="4"/>
  <c r="AD336" i="4"/>
  <c r="AB335" i="4"/>
  <c r="AA334" i="4"/>
  <c r="H334" i="4" s="1"/>
  <c r="AY332" i="4"/>
  <c r="BB332" i="4" s="1"/>
  <c r="AI331" i="4"/>
  <c r="AF330" i="4"/>
  <c r="AA329" i="4"/>
  <c r="H329" i="4" s="1"/>
  <c r="AA327" i="4"/>
  <c r="AG325" i="4"/>
  <c r="G325" i="4" s="1"/>
  <c r="AQ325" i="4" s="1"/>
  <c r="AI323" i="4"/>
  <c r="AG320" i="4"/>
  <c r="G320" i="4" s="1"/>
  <c r="AK320" i="4" s="1"/>
  <c r="AC319" i="4"/>
  <c r="AD318" i="4"/>
  <c r="AF317" i="4"/>
  <c r="AD311" i="4"/>
  <c r="AC310" i="4"/>
  <c r="AI308" i="4"/>
  <c r="AJ307" i="4"/>
  <c r="AF306" i="4"/>
  <c r="AA303" i="4"/>
  <c r="E303" i="4" s="1"/>
  <c r="AC302" i="4"/>
  <c r="AG301" i="4"/>
  <c r="G301" i="4" s="1"/>
  <c r="AQ301" i="4" s="1"/>
  <c r="AI299" i="4"/>
  <c r="AJ400" i="4"/>
  <c r="AF398" i="4"/>
  <c r="AC396" i="4"/>
  <c r="AE396" i="4" s="1"/>
  <c r="AD395" i="4"/>
  <c r="AF392" i="4"/>
  <c r="AY389" i="4"/>
  <c r="BB389" i="4" s="1"/>
  <c r="AC384" i="4"/>
  <c r="AE384" i="4" s="1"/>
  <c r="AJ380" i="4"/>
  <c r="AD379" i="4"/>
  <c r="AY378" i="4"/>
  <c r="BB378" i="4" s="1"/>
  <c r="AD377" i="4"/>
  <c r="AD374" i="4"/>
  <c r="AG373" i="4"/>
  <c r="G373" i="4" s="1"/>
  <c r="AP373" i="4" s="1"/>
  <c r="AH370" i="4"/>
  <c r="AG369" i="4"/>
  <c r="G369" i="4" s="1"/>
  <c r="AP369" i="4" s="1"/>
  <c r="AA365" i="4"/>
  <c r="H365" i="4" s="1"/>
  <c r="AF361" i="4"/>
  <c r="AF359" i="4"/>
  <c r="AA357" i="4"/>
  <c r="H357" i="4" s="1"/>
  <c r="AI356" i="4"/>
  <c r="AY355" i="4"/>
  <c r="BB355" i="4" s="1"/>
  <c r="AG354" i="4"/>
  <c r="G354" i="4" s="1"/>
  <c r="AP354" i="4" s="1"/>
  <c r="AA353" i="4"/>
  <c r="AD350" i="4"/>
  <c r="AC347" i="4"/>
  <c r="AE347" i="4" s="1"/>
  <c r="AI346" i="4"/>
  <c r="AG345" i="4"/>
  <c r="G345" i="4" s="1"/>
  <c r="AK345" i="4" s="1"/>
  <c r="AG342" i="4"/>
  <c r="G342" i="4" s="1"/>
  <c r="AP342" i="4" s="1"/>
  <c r="AY340" i="4"/>
  <c r="BB340" i="4" s="1"/>
  <c r="AF340" i="4"/>
  <c r="AY336" i="4"/>
  <c r="BB336" i="4" s="1"/>
  <c r="AC336" i="4"/>
  <c r="AE336" i="4" s="1"/>
  <c r="AJ334" i="4"/>
  <c r="AI333" i="4"/>
  <c r="AD330" i="4"/>
  <c r="AF325" i="4"/>
  <c r="AG323" i="4"/>
  <c r="G323" i="4" s="1"/>
  <c r="AQ323" i="4" s="1"/>
  <c r="AI322" i="4"/>
  <c r="AB319" i="4"/>
  <c r="AC318" i="4"/>
  <c r="AC311" i="4"/>
  <c r="AE311" i="4" s="1"/>
  <c r="AB310" i="4"/>
  <c r="AG309" i="4"/>
  <c r="G309" i="4" s="1"/>
  <c r="AK309" i="4" s="1"/>
  <c r="AG308" i="4"/>
  <c r="G308" i="4" s="1"/>
  <c r="AQ308" i="4" s="1"/>
  <c r="AI307" i="4"/>
  <c r="AD306" i="4"/>
  <c r="AA302" i="4"/>
  <c r="E302" i="4" s="1"/>
  <c r="AF301" i="4"/>
  <c r="AG299" i="4"/>
  <c r="G299" i="4" s="1"/>
  <c r="AQ299" i="4" s="1"/>
  <c r="AA298" i="4"/>
  <c r="E298" i="4" s="1"/>
  <c r="AF297" i="4"/>
  <c r="AI296" i="4"/>
  <c r="AF295" i="4"/>
  <c r="H127" i="4"/>
  <c r="H143" i="4"/>
  <c r="AD298" i="4"/>
  <c r="AY303" i="4"/>
  <c r="BB303" i="4" s="1"/>
  <c r="AY308" i="4"/>
  <c r="BB308" i="4" s="1"/>
  <c r="AD309" i="4"/>
  <c r="AY310" i="4"/>
  <c r="BB310" i="4" s="1"/>
  <c r="AI318" i="4"/>
  <c r="AY323" i="4"/>
  <c r="BB323" i="4" s="1"/>
  <c r="AD332" i="4"/>
  <c r="AG351" i="4"/>
  <c r="G351" i="4" s="1"/>
  <c r="AP351" i="4" s="1"/>
  <c r="AY357" i="4"/>
  <c r="BB357" i="4" s="1"/>
  <c r="AF363" i="4"/>
  <c r="AD372" i="4"/>
  <c r="AJ375" i="4"/>
  <c r="AY299" i="4"/>
  <c r="BB299" i="4" s="1"/>
  <c r="AD302" i="4"/>
  <c r="AY319" i="4"/>
  <c r="BB319" i="4" s="1"/>
  <c r="AY334" i="4"/>
  <c r="BB334" i="4" s="1"/>
  <c r="AJ358" i="4"/>
  <c r="AH360" i="4"/>
  <c r="AY374" i="4"/>
  <c r="BB374" i="4" s="1"/>
  <c r="AI384" i="4"/>
  <c r="AI385" i="4"/>
  <c r="AY387" i="4"/>
  <c r="BB387" i="4" s="1"/>
  <c r="AD397" i="4"/>
  <c r="AY399" i="4"/>
  <c r="BB399" i="4" s="1"/>
  <c r="AI320" i="4"/>
  <c r="AY321" i="4"/>
  <c r="BB321" i="4" s="1"/>
  <c r="AF326" i="4"/>
  <c r="AY329" i="4"/>
  <c r="BB329" i="4" s="1"/>
  <c r="AF331" i="4"/>
  <c r="AH348" i="4"/>
  <c r="AC355" i="4"/>
  <c r="AH362" i="4"/>
  <c r="AY373" i="4"/>
  <c r="BB373" i="4" s="1"/>
  <c r="AH378" i="4"/>
  <c r="AY379" i="4"/>
  <c r="BB379" i="4" s="1"/>
  <c r="AJ394" i="4"/>
  <c r="AJ398" i="4"/>
  <c r="AY292" i="4"/>
  <c r="BB292" i="4" s="1"/>
  <c r="AY311" i="4"/>
  <c r="BB311" i="4" s="1"/>
  <c r="AY312" i="4"/>
  <c r="BB312" i="4" s="1"/>
  <c r="AY315" i="4"/>
  <c r="BB315" i="4" s="1"/>
  <c r="AG317" i="4"/>
  <c r="G317" i="4" s="1"/>
  <c r="AP317" i="4" s="1"/>
  <c r="AG340" i="4"/>
  <c r="G340" i="4" s="1"/>
  <c r="AK340" i="4" s="1"/>
  <c r="AC343" i="4"/>
  <c r="AC346" i="4"/>
  <c r="AE346" i="4" s="1"/>
  <c r="AY361" i="4"/>
  <c r="BB361" i="4" s="1"/>
  <c r="AY369" i="4"/>
  <c r="BB369" i="4" s="1"/>
  <c r="AY386" i="4"/>
  <c r="BB386" i="4" s="1"/>
  <c r="AD389" i="4"/>
  <c r="AH390" i="4"/>
  <c r="AY371" i="4"/>
  <c r="BB371" i="4" s="1"/>
  <c r="AY377" i="4"/>
  <c r="BB377" i="4" s="1"/>
  <c r="AD381" i="4"/>
  <c r="AH382" i="4"/>
  <c r="AI400" i="4"/>
  <c r="AD297" i="4"/>
  <c r="AF335" i="4"/>
  <c r="AG336" i="4"/>
  <c r="G336" i="4" s="1"/>
  <c r="AP336" i="4" s="1"/>
  <c r="AB338" i="4"/>
  <c r="AD339" i="4"/>
  <c r="AC349" i="4"/>
  <c r="AB350" i="4"/>
  <c r="AY353" i="4"/>
  <c r="BB353" i="4" s="1"/>
  <c r="AA354" i="4"/>
  <c r="AI380" i="4"/>
  <c r="AI392" i="4"/>
  <c r="AA393" i="4"/>
  <c r="H393" i="4" s="1"/>
  <c r="AI396" i="4"/>
  <c r="M1" i="1"/>
  <c r="N6" i="1"/>
  <c r="O6" i="1" s="1"/>
  <c r="P6" i="1" s="1"/>
  <c r="Q6" i="1" s="1"/>
  <c r="R6" i="1" s="1"/>
  <c r="S6" i="1" s="1"/>
  <c r="T6" i="1" s="1"/>
  <c r="N6" i="2"/>
  <c r="O6" i="2" s="1"/>
  <c r="P6" i="2" s="1"/>
  <c r="Q6" i="2" s="1"/>
  <c r="R6" i="2" s="1"/>
  <c r="S6" i="2" s="1"/>
  <c r="T6" i="2" s="1"/>
  <c r="M1" i="2"/>
  <c r="E9" i="1"/>
  <c r="BQ9" i="1"/>
  <c r="I8" i="2"/>
  <c r="Q8" i="2"/>
  <c r="Y8" i="2"/>
  <c r="AG8" i="2"/>
  <c r="AO8" i="2"/>
  <c r="AW8" i="2"/>
  <c r="BE8" i="2"/>
  <c r="BM8" i="2"/>
  <c r="BU8" i="2"/>
  <c r="CC8" i="2"/>
  <c r="CK8" i="2"/>
  <c r="CS8" i="2"/>
  <c r="DA8" i="2"/>
  <c r="DI8" i="2"/>
  <c r="DQ8" i="2"/>
  <c r="DY8" i="2"/>
  <c r="EG8" i="2"/>
  <c r="V9" i="1"/>
  <c r="AT9" i="1"/>
  <c r="BB9" i="1"/>
  <c r="CH9" i="1"/>
  <c r="DF9" i="1"/>
  <c r="DN9" i="1"/>
  <c r="J8" i="2"/>
  <c r="R8" i="2"/>
  <c r="Z8" i="2"/>
  <c r="AH8" i="2"/>
  <c r="AP8" i="2"/>
  <c r="AX8" i="2"/>
  <c r="BF8" i="2"/>
  <c r="BN8" i="2"/>
  <c r="BV8" i="2"/>
  <c r="CD8" i="2"/>
  <c r="CL8" i="2"/>
  <c r="CT8" i="2"/>
  <c r="DB8" i="2"/>
  <c r="DJ8" i="2"/>
  <c r="DR8" i="2"/>
  <c r="DZ8" i="2"/>
  <c r="EH8" i="2"/>
  <c r="M1" i="3"/>
  <c r="N6" i="3"/>
  <c r="O6" i="3" s="1"/>
  <c r="P6" i="3" s="1"/>
  <c r="Q6" i="3" s="1"/>
  <c r="R6" i="3" s="1"/>
  <c r="S6" i="3" s="1"/>
  <c r="T6" i="3" s="1"/>
  <c r="K8" i="2"/>
  <c r="S8" i="2"/>
  <c r="AA8" i="2"/>
  <c r="AI8" i="2"/>
  <c r="AQ8" i="2"/>
  <c r="AY8" i="2"/>
  <c r="BG8" i="2"/>
  <c r="BO8" i="2"/>
  <c r="BW8" i="2"/>
  <c r="CE8" i="2"/>
  <c r="CM8" i="2"/>
  <c r="CU8" i="2"/>
  <c r="DC8" i="2"/>
  <c r="DK8" i="2"/>
  <c r="DS8" i="2"/>
  <c r="EA8" i="2"/>
  <c r="B9" i="2"/>
  <c r="BF8" i="1"/>
  <c r="DR8" i="1"/>
  <c r="H9" i="1"/>
  <c r="P9" i="1"/>
  <c r="X9" i="1"/>
  <c r="AF9" i="1"/>
  <c r="AN9" i="1"/>
  <c r="AV9" i="1"/>
  <c r="BD9" i="1"/>
  <c r="BL9" i="1"/>
  <c r="BT9" i="1"/>
  <c r="CB9" i="1"/>
  <c r="CJ9" i="1"/>
  <c r="CR9" i="1"/>
  <c r="CZ9" i="1"/>
  <c r="DH9" i="1"/>
  <c r="DP9" i="1"/>
  <c r="K11" i="1"/>
  <c r="BW11" i="1"/>
  <c r="B20" i="1"/>
  <c r="A23" i="1"/>
  <c r="L8" i="2"/>
  <c r="T8" i="2"/>
  <c r="AB8" i="2"/>
  <c r="AJ8" i="2"/>
  <c r="AR8" i="2"/>
  <c r="AZ8" i="2"/>
  <c r="BH8" i="2"/>
  <c r="BP8" i="2"/>
  <c r="BX8" i="2"/>
  <c r="CF8" i="2"/>
  <c r="CN8" i="2"/>
  <c r="CV8" i="2"/>
  <c r="DD8" i="2"/>
  <c r="DL8" i="2"/>
  <c r="DT8" i="2"/>
  <c r="EB8" i="2"/>
  <c r="AQ8" i="1"/>
  <c r="DC8" i="1"/>
  <c r="I9" i="1"/>
  <c r="Q9" i="1"/>
  <c r="Y9" i="1"/>
  <c r="AG9" i="1"/>
  <c r="AO9" i="1"/>
  <c r="AW9" i="1"/>
  <c r="BE9" i="1"/>
  <c r="BM9" i="1"/>
  <c r="BU9" i="1"/>
  <c r="CC9" i="1"/>
  <c r="CK9" i="1"/>
  <c r="CS9" i="1"/>
  <c r="DA9" i="1"/>
  <c r="DI9" i="1"/>
  <c r="DQ9" i="1"/>
  <c r="T11" i="1"/>
  <c r="AB11" i="1"/>
  <c r="BH11" i="1"/>
  <c r="CF11" i="1"/>
  <c r="CN11" i="1"/>
  <c r="DT11" i="1"/>
  <c r="M8" i="2"/>
  <c r="U8" i="2"/>
  <c r="AC8" i="2"/>
  <c r="AK8" i="2"/>
  <c r="AS8" i="2"/>
  <c r="BA8" i="2"/>
  <c r="BI8" i="2"/>
  <c r="BQ8" i="2"/>
  <c r="BY8" i="2"/>
  <c r="CG8" i="2"/>
  <c r="CO8" i="2"/>
  <c r="CW8" i="2"/>
  <c r="DE8" i="2"/>
  <c r="DM8" i="2"/>
  <c r="DU8" i="2"/>
  <c r="EC8" i="2"/>
  <c r="L8" i="1"/>
  <c r="BX8" i="1"/>
  <c r="J9" i="1"/>
  <c r="R9" i="1"/>
  <c r="Z9" i="1"/>
  <c r="AH9" i="1"/>
  <c r="AP9" i="1"/>
  <c r="AX9" i="1"/>
  <c r="BF9" i="1"/>
  <c r="BN9" i="1"/>
  <c r="BV9" i="1"/>
  <c r="CD9" i="1"/>
  <c r="CL9" i="1"/>
  <c r="CT9" i="1"/>
  <c r="DB9" i="1"/>
  <c r="DJ9" i="1"/>
  <c r="DR9" i="1"/>
  <c r="E11" i="1"/>
  <c r="H11" i="1" s="1"/>
  <c r="M11" i="1"/>
  <c r="U11" i="1"/>
  <c r="AS11" i="1"/>
  <c r="BA11" i="1"/>
  <c r="BQ11" i="1"/>
  <c r="BY11" i="1"/>
  <c r="CG11" i="1"/>
  <c r="DE11" i="1"/>
  <c r="DM11" i="1"/>
  <c r="F8" i="2"/>
  <c r="N8" i="2"/>
  <c r="V8" i="2"/>
  <c r="AD8" i="2"/>
  <c r="AL8" i="2"/>
  <c r="AT8" i="2"/>
  <c r="BB8" i="2"/>
  <c r="BJ8" i="2"/>
  <c r="BR8" i="2"/>
  <c r="BZ8" i="2"/>
  <c r="CH8" i="2"/>
  <c r="CP8" i="2"/>
  <c r="CX8" i="2"/>
  <c r="DF8" i="2"/>
  <c r="DN8" i="2"/>
  <c r="DV8" i="2"/>
  <c r="ED8" i="2"/>
  <c r="AG8" i="1"/>
  <c r="AO8" i="1"/>
  <c r="CS8" i="1"/>
  <c r="DA8" i="1"/>
  <c r="E8" i="1"/>
  <c r="BJ8" i="1" s="1"/>
  <c r="AK8" i="1"/>
  <c r="AS8" i="1"/>
  <c r="BQ8" i="1"/>
  <c r="CW8" i="1"/>
  <c r="DE8" i="1"/>
  <c r="K9" i="1"/>
  <c r="S9" i="1"/>
  <c r="AA9" i="1"/>
  <c r="AI9" i="1"/>
  <c r="AQ9" i="1"/>
  <c r="AY9" i="1"/>
  <c r="BG9" i="1"/>
  <c r="BO9" i="1"/>
  <c r="BW9" i="1"/>
  <c r="CE9" i="1"/>
  <c r="CM9" i="1"/>
  <c r="CU9" i="1"/>
  <c r="DC9" i="1"/>
  <c r="DK9" i="1"/>
  <c r="DS9" i="1"/>
  <c r="N11" i="1"/>
  <c r="V11" i="1"/>
  <c r="AL11" i="1"/>
  <c r="AT11" i="1"/>
  <c r="BB11" i="1"/>
  <c r="BJ11" i="1"/>
  <c r="BZ11" i="1"/>
  <c r="CH11" i="1"/>
  <c r="CX11" i="1"/>
  <c r="DF11" i="1"/>
  <c r="DN11" i="1"/>
  <c r="G8" i="2"/>
  <c r="O8" i="2"/>
  <c r="W8" i="2"/>
  <c r="AE8" i="2"/>
  <c r="AM8" i="2"/>
  <c r="AU8" i="2"/>
  <c r="BC8" i="2"/>
  <c r="BK8" i="2"/>
  <c r="BS8" i="2"/>
  <c r="CA8" i="2"/>
  <c r="CI8" i="2"/>
  <c r="CQ8" i="2"/>
  <c r="CY8" i="2"/>
  <c r="DG8" i="2"/>
  <c r="DO8" i="2"/>
  <c r="DW8" i="2"/>
  <c r="EE8" i="2"/>
  <c r="B10" i="2"/>
  <c r="L9" i="1"/>
  <c r="T9" i="1"/>
  <c r="AB9" i="1"/>
  <c r="AJ9" i="1"/>
  <c r="AR9" i="1"/>
  <c r="AZ9" i="1"/>
  <c r="BH9" i="1"/>
  <c r="BP9" i="1"/>
  <c r="BX9" i="1"/>
  <c r="CF9" i="1"/>
  <c r="CN9" i="1"/>
  <c r="CV9" i="1"/>
  <c r="DD9" i="1"/>
  <c r="DL9" i="1"/>
  <c r="G11" i="1"/>
  <c r="O11" i="1"/>
  <c r="W11" i="1"/>
  <c r="AE11" i="1"/>
  <c r="AM11" i="1"/>
  <c r="AU11" i="1"/>
  <c r="BC11" i="1"/>
  <c r="BK11" i="1"/>
  <c r="BS11" i="1"/>
  <c r="CA11" i="1"/>
  <c r="CI11" i="1"/>
  <c r="CQ11" i="1"/>
  <c r="CY11" i="1"/>
  <c r="DG11" i="1"/>
  <c r="DO11" i="1"/>
  <c r="H8" i="2"/>
  <c r="P8" i="2"/>
  <c r="X8" i="2"/>
  <c r="AF8" i="2"/>
  <c r="AN8" i="2"/>
  <c r="AV8" i="2"/>
  <c r="BD8" i="2"/>
  <c r="BL8" i="2"/>
  <c r="BT8" i="2"/>
  <c r="CB8" i="2"/>
  <c r="CJ8" i="2"/>
  <c r="CZ8" i="2"/>
  <c r="DH8" i="2"/>
  <c r="DP8" i="2"/>
  <c r="DX8" i="2"/>
  <c r="EF8" i="2"/>
  <c r="B21" i="2"/>
  <c r="C9" i="3"/>
  <c r="B9" i="3"/>
  <c r="B10" i="3"/>
  <c r="AC8" i="3"/>
  <c r="BI8" i="3"/>
  <c r="CO8" i="3"/>
  <c r="DU8" i="3"/>
  <c r="FA8" i="3"/>
  <c r="AF8" i="3"/>
  <c r="BL8" i="3"/>
  <c r="CR8" i="3"/>
  <c r="DX8" i="3"/>
  <c r="B21" i="3"/>
  <c r="B20" i="3"/>
  <c r="AK8" i="3"/>
  <c r="BQ8" i="3"/>
  <c r="CW8" i="3"/>
  <c r="EC8" i="3"/>
  <c r="H8" i="3"/>
  <c r="AN8" i="3"/>
  <c r="BT8" i="3"/>
  <c r="CZ8" i="3"/>
  <c r="EF8" i="3"/>
  <c r="M8" i="3"/>
  <c r="AS8" i="3"/>
  <c r="BY8" i="3"/>
  <c r="DE8" i="3"/>
  <c r="EK8" i="3"/>
  <c r="X8" i="3"/>
  <c r="BD8" i="3"/>
  <c r="CJ8" i="3"/>
  <c r="DP8" i="3"/>
  <c r="G8" i="3"/>
  <c r="O8" i="3"/>
  <c r="W8" i="3"/>
  <c r="AE8" i="3"/>
  <c r="AM8" i="3"/>
  <c r="AU8" i="3"/>
  <c r="BC8" i="3"/>
  <c r="BK8" i="3"/>
  <c r="BS8" i="3"/>
  <c r="CA8" i="3"/>
  <c r="CI8" i="3"/>
  <c r="CQ8" i="3"/>
  <c r="CY8" i="3"/>
  <c r="DG8" i="3"/>
  <c r="DO8" i="3"/>
  <c r="DW8" i="3"/>
  <c r="EE8" i="3"/>
  <c r="EM8" i="3"/>
  <c r="EU8" i="3"/>
  <c r="FC8" i="3"/>
  <c r="Q6" i="4"/>
  <c r="I8" i="3"/>
  <c r="Q8" i="3"/>
  <c r="Y8" i="3"/>
  <c r="AG8" i="3"/>
  <c r="AO8" i="3"/>
  <c r="AW8" i="3"/>
  <c r="BE8" i="3"/>
  <c r="BM8" i="3"/>
  <c r="BU8" i="3"/>
  <c r="CC8" i="3"/>
  <c r="CK8" i="3"/>
  <c r="CS8" i="3"/>
  <c r="DA8" i="3"/>
  <c r="DI8" i="3"/>
  <c r="DQ8" i="3"/>
  <c r="DY8" i="3"/>
  <c r="EG8" i="3"/>
  <c r="EO8" i="3"/>
  <c r="EW8" i="3"/>
  <c r="J8" i="3"/>
  <c r="R8" i="3"/>
  <c r="Z8" i="3"/>
  <c r="AH8" i="3"/>
  <c r="AP8" i="3"/>
  <c r="AX8" i="3"/>
  <c r="BF8" i="3"/>
  <c r="BN8" i="3"/>
  <c r="BV8" i="3"/>
  <c r="CD8" i="3"/>
  <c r="CL8" i="3"/>
  <c r="CT8" i="3"/>
  <c r="DB8" i="3"/>
  <c r="DJ8" i="3"/>
  <c r="DR8" i="3"/>
  <c r="DZ8" i="3"/>
  <c r="EH8" i="3"/>
  <c r="EP8" i="3"/>
  <c r="EX8" i="3"/>
  <c r="K8" i="3"/>
  <c r="S8" i="3"/>
  <c r="AA8" i="3"/>
  <c r="AI8" i="3"/>
  <c r="AQ8" i="3"/>
  <c r="AY8" i="3"/>
  <c r="BG8" i="3"/>
  <c r="BO8" i="3"/>
  <c r="BW8" i="3"/>
  <c r="CE8" i="3"/>
  <c r="CM8" i="3"/>
  <c r="CU8" i="3"/>
  <c r="DC8" i="3"/>
  <c r="DK8" i="3"/>
  <c r="DS8" i="3"/>
  <c r="EA8" i="3"/>
  <c r="EI8" i="3"/>
  <c r="EQ8" i="3"/>
  <c r="EY8" i="3"/>
  <c r="L8" i="3"/>
  <c r="T8" i="3"/>
  <c r="AB8" i="3"/>
  <c r="AJ8" i="3"/>
  <c r="AR8" i="3"/>
  <c r="AZ8" i="3"/>
  <c r="BH8" i="3"/>
  <c r="BP8" i="3"/>
  <c r="BX8" i="3"/>
  <c r="CF8" i="3"/>
  <c r="CN8" i="3"/>
  <c r="CV8" i="3"/>
  <c r="DD8" i="3"/>
  <c r="DL8" i="3"/>
  <c r="DT8" i="3"/>
  <c r="EB8" i="3"/>
  <c r="EJ8" i="3"/>
  <c r="ER8" i="3"/>
  <c r="EZ8" i="3"/>
  <c r="AJ6" i="4"/>
  <c r="AB6" i="4"/>
  <c r="AI6" i="4"/>
  <c r="AA6" i="4"/>
  <c r="D6" i="4" s="1"/>
  <c r="AY6" i="4"/>
  <c r="AH6" i="4"/>
  <c r="AG6" i="4"/>
  <c r="G6" i="4" s="1"/>
  <c r="AF6" i="4"/>
  <c r="AD6" i="4"/>
  <c r="AC6" i="4"/>
  <c r="F8" i="3"/>
  <c r="N8" i="3"/>
  <c r="V8" i="3"/>
  <c r="AD8" i="3"/>
  <c r="AL8" i="3"/>
  <c r="AT8" i="3"/>
  <c r="BB8" i="3"/>
  <c r="BJ8" i="3"/>
  <c r="BR8" i="3"/>
  <c r="BZ8" i="3"/>
  <c r="CH8" i="3"/>
  <c r="CP8" i="3"/>
  <c r="CX8" i="3"/>
  <c r="DF8" i="3"/>
  <c r="DN8" i="3"/>
  <c r="DV8" i="3"/>
  <c r="ED8" i="3"/>
  <c r="EL8" i="3"/>
  <c r="ET8" i="3"/>
  <c r="FB8" i="3"/>
  <c r="Q7" i="4"/>
  <c r="AA7" i="4"/>
  <c r="C7" i="4" s="1"/>
  <c r="AI7" i="4"/>
  <c r="AG8" i="4"/>
  <c r="G8" i="4" s="1"/>
  <c r="AC10" i="4"/>
  <c r="Q11" i="4"/>
  <c r="AA11" i="4"/>
  <c r="C11" i="4" s="1"/>
  <c r="AI11" i="4"/>
  <c r="AG12" i="4"/>
  <c r="G12" i="4" s="1"/>
  <c r="AC14" i="4"/>
  <c r="AA15" i="4"/>
  <c r="AI15" i="4"/>
  <c r="AG16" i="4"/>
  <c r="G16" i="4" s="1"/>
  <c r="AC18" i="4"/>
  <c r="AA19" i="4"/>
  <c r="AI19" i="4"/>
  <c r="AG20" i="4"/>
  <c r="G20" i="4" s="1"/>
  <c r="AC22" i="4"/>
  <c r="AA23" i="4"/>
  <c r="AI23" i="4"/>
  <c r="AG24" i="4"/>
  <c r="AC26" i="4"/>
  <c r="AA27" i="4"/>
  <c r="AI27" i="4"/>
  <c r="AG28" i="4"/>
  <c r="G28" i="4" s="1"/>
  <c r="AC30" i="4"/>
  <c r="AA31" i="4"/>
  <c r="AI31" i="4"/>
  <c r="AG32" i="4"/>
  <c r="G32" i="4" s="1"/>
  <c r="AC34" i="4"/>
  <c r="AA35" i="4"/>
  <c r="AI35" i="4"/>
  <c r="AG36" i="4"/>
  <c r="G36" i="4" s="1"/>
  <c r="AC38" i="4"/>
  <c r="AA39" i="4"/>
  <c r="AI39" i="4"/>
  <c r="AG40" i="4"/>
  <c r="G40" i="4" s="1"/>
  <c r="AD42" i="4"/>
  <c r="AB43" i="4"/>
  <c r="AG44" i="4"/>
  <c r="G44" i="4" s="1"/>
  <c r="AC44" i="4"/>
  <c r="AF45" i="4"/>
  <c r="AJ46" i="4"/>
  <c r="AI47" i="4"/>
  <c r="AA47" i="4"/>
  <c r="D47" i="4" s="1"/>
  <c r="AF47" i="4"/>
  <c r="AC47" i="4"/>
  <c r="AY47" i="4"/>
  <c r="AG51" i="4"/>
  <c r="G51" i="4" s="1"/>
  <c r="AF53" i="4"/>
  <c r="AD57" i="4"/>
  <c r="AJ57" i="4"/>
  <c r="AB57" i="4"/>
  <c r="AI57" i="4"/>
  <c r="AA57" i="4"/>
  <c r="C57" i="4" s="1"/>
  <c r="AY57" i="4"/>
  <c r="AH57" i="4"/>
  <c r="AG57" i="4"/>
  <c r="G57" i="4" s="1"/>
  <c r="AC57" i="4"/>
  <c r="AF5" i="4"/>
  <c r="AH8" i="4"/>
  <c r="AT8" i="4" s="1"/>
  <c r="AY8" i="4"/>
  <c r="AF9" i="4"/>
  <c r="AD10" i="4"/>
  <c r="AH12" i="4"/>
  <c r="AY12" i="4"/>
  <c r="AF13" i="4"/>
  <c r="AD14" i="4"/>
  <c r="AH16" i="4"/>
  <c r="AY16" i="4"/>
  <c r="AF17" i="4"/>
  <c r="AD18" i="4"/>
  <c r="AH20" i="4"/>
  <c r="AT20" i="4" s="1"/>
  <c r="AY20" i="4"/>
  <c r="AF21" i="4"/>
  <c r="AD22" i="4"/>
  <c r="AH24" i="4"/>
  <c r="AY24" i="4"/>
  <c r="AF25" i="4"/>
  <c r="AD26" i="4"/>
  <c r="AH28" i="4"/>
  <c r="AT28" i="4" s="1"/>
  <c r="AY28" i="4"/>
  <c r="AF29" i="4"/>
  <c r="AD30" i="4"/>
  <c r="AH32" i="4"/>
  <c r="AT32" i="4" s="1"/>
  <c r="AY32" i="4"/>
  <c r="AF33" i="4"/>
  <c r="AD34" i="4"/>
  <c r="AH36" i="4"/>
  <c r="AY36" i="4"/>
  <c r="AF37" i="4"/>
  <c r="AD38" i="4"/>
  <c r="AH40" i="4"/>
  <c r="AY40" i="4"/>
  <c r="AF41" i="4"/>
  <c r="Q43" i="4"/>
  <c r="AC43" i="4"/>
  <c r="AJ49" i="4"/>
  <c r="AB49" i="4"/>
  <c r="AI49" i="4"/>
  <c r="AA49" i="4"/>
  <c r="C49" i="4" s="1"/>
  <c r="AG49" i="4"/>
  <c r="G49" i="4" s="1"/>
  <c r="C50" i="4"/>
  <c r="Q51" i="4"/>
  <c r="AH51" i="4"/>
  <c r="AG52" i="4"/>
  <c r="G52" i="4" s="1"/>
  <c r="AD52" i="4"/>
  <c r="AC52" i="4"/>
  <c r="AI52" i="4"/>
  <c r="AA52" i="4"/>
  <c r="D52" i="4" s="1"/>
  <c r="Q53" i="4"/>
  <c r="AG56" i="4"/>
  <c r="G56" i="4" s="1"/>
  <c r="AF56" i="4"/>
  <c r="AD56" i="4"/>
  <c r="AC56" i="4"/>
  <c r="AI56" i="4"/>
  <c r="AA56" i="4"/>
  <c r="D56" i="4" s="1"/>
  <c r="AB56" i="4"/>
  <c r="AY64" i="4"/>
  <c r="AI43" i="4"/>
  <c r="AA43" i="4"/>
  <c r="AD43" i="4"/>
  <c r="Q64" i="4"/>
  <c r="V89" i="4"/>
  <c r="T89" i="4"/>
  <c r="S89" i="4"/>
  <c r="R89" i="4"/>
  <c r="W89" i="4"/>
  <c r="AH5" i="4"/>
  <c r="AY5" i="4"/>
  <c r="H8" i="4"/>
  <c r="AH9" i="4"/>
  <c r="AY9" i="4"/>
  <c r="AF10" i="4"/>
  <c r="H12" i="4"/>
  <c r="AH13" i="4"/>
  <c r="AY13" i="4"/>
  <c r="AF14" i="4"/>
  <c r="AH17" i="4"/>
  <c r="AY17" i="4"/>
  <c r="AF18" i="4"/>
  <c r="AH21" i="4"/>
  <c r="AY21" i="4"/>
  <c r="AF22" i="4"/>
  <c r="H24" i="4"/>
  <c r="AH25" i="4"/>
  <c r="AY25" i="4"/>
  <c r="AF26" i="4"/>
  <c r="H28" i="4"/>
  <c r="AH29" i="4"/>
  <c r="AY29" i="4"/>
  <c r="AF30" i="4"/>
  <c r="H32" i="4"/>
  <c r="AH33" i="4"/>
  <c r="AY33" i="4"/>
  <c r="AF34" i="4"/>
  <c r="AH37" i="4"/>
  <c r="AY37" i="4"/>
  <c r="AF38" i="4"/>
  <c r="AH41" i="4"/>
  <c r="AY41" i="4"/>
  <c r="AG42" i="4"/>
  <c r="G42" i="4" s="1"/>
  <c r="AF43" i="4"/>
  <c r="AB46" i="4"/>
  <c r="AI51" i="4"/>
  <c r="AA51" i="4"/>
  <c r="D51" i="4" s="1"/>
  <c r="AF51" i="4"/>
  <c r="AC51" i="4"/>
  <c r="AY51" i="4"/>
  <c r="V93" i="4"/>
  <c r="T93" i="4"/>
  <c r="S93" i="4"/>
  <c r="R93" i="4"/>
  <c r="W93" i="4"/>
  <c r="V97" i="4"/>
  <c r="T97" i="4"/>
  <c r="S97" i="4"/>
  <c r="R97" i="4"/>
  <c r="W97" i="4"/>
  <c r="AE98" i="4"/>
  <c r="AA5" i="4"/>
  <c r="D5" i="4" s="1"/>
  <c r="AI5" i="4"/>
  <c r="AC8" i="4"/>
  <c r="AA9" i="4"/>
  <c r="C9" i="4" s="1"/>
  <c r="AI9" i="4"/>
  <c r="AG10" i="4"/>
  <c r="G10" i="4" s="1"/>
  <c r="AC12" i="4"/>
  <c r="AA13" i="4"/>
  <c r="C13" i="4" s="1"/>
  <c r="AI13" i="4"/>
  <c r="AG14" i="4"/>
  <c r="G14" i="4" s="1"/>
  <c r="AC16" i="4"/>
  <c r="AA17" i="4"/>
  <c r="AI17" i="4"/>
  <c r="AG18" i="4"/>
  <c r="G18" i="4" s="1"/>
  <c r="AC20" i="4"/>
  <c r="AA21" i="4"/>
  <c r="C21" i="4" s="1"/>
  <c r="AI21" i="4"/>
  <c r="AG22" i="4"/>
  <c r="G22" i="4" s="1"/>
  <c r="AC24" i="4"/>
  <c r="AA25" i="4"/>
  <c r="D25" i="4" s="1"/>
  <c r="AI25" i="4"/>
  <c r="AG26" i="4"/>
  <c r="G26" i="4" s="1"/>
  <c r="AC28" i="4"/>
  <c r="AA29" i="4"/>
  <c r="D29" i="4" s="1"/>
  <c r="AI29" i="4"/>
  <c r="AG30" i="4"/>
  <c r="G30" i="4" s="1"/>
  <c r="AC32" i="4"/>
  <c r="AA33" i="4"/>
  <c r="C33" i="4" s="1"/>
  <c r="AI33" i="4"/>
  <c r="AG34" i="4"/>
  <c r="G34" i="4" s="1"/>
  <c r="AA37" i="4"/>
  <c r="C37" i="4" s="1"/>
  <c r="AI37" i="4"/>
  <c r="AG38" i="4"/>
  <c r="G38" i="4" s="1"/>
  <c r="AA41" i="4"/>
  <c r="D41" i="4" s="1"/>
  <c r="AI41" i="4"/>
  <c r="AH42" i="4"/>
  <c r="AG43" i="4"/>
  <c r="G43" i="4" s="1"/>
  <c r="D46" i="4"/>
  <c r="AJ53" i="4"/>
  <c r="AB53" i="4"/>
  <c r="AI53" i="4"/>
  <c r="AA53" i="4"/>
  <c r="C53" i="4" s="1"/>
  <c r="AG53" i="4"/>
  <c r="G53" i="4" s="1"/>
  <c r="AJ56" i="4"/>
  <c r="H58" i="4"/>
  <c r="D58" i="4"/>
  <c r="C58" i="4"/>
  <c r="AG60" i="4"/>
  <c r="G60" i="4" s="1"/>
  <c r="AF60" i="4"/>
  <c r="AD60" i="4"/>
  <c r="AC60" i="4"/>
  <c r="AJ60" i="4"/>
  <c r="AB60" i="4"/>
  <c r="AI60" i="4"/>
  <c r="AA60" i="4"/>
  <c r="C60" i="4" s="1"/>
  <c r="BA91" i="4"/>
  <c r="BA95" i="4"/>
  <c r="AQ102" i="4"/>
  <c r="AH10" i="4"/>
  <c r="AY10" i="4"/>
  <c r="AH14" i="4"/>
  <c r="AY14" i="4"/>
  <c r="AH18" i="4"/>
  <c r="AY18" i="4"/>
  <c r="AH22" i="4"/>
  <c r="AY22" i="4"/>
  <c r="AH26" i="4"/>
  <c r="AY26" i="4"/>
  <c r="AH30" i="4"/>
  <c r="AY30" i="4"/>
  <c r="AH34" i="4"/>
  <c r="AY34" i="4"/>
  <c r="AH38" i="4"/>
  <c r="AY38" i="4"/>
  <c r="AI42" i="4"/>
  <c r="AH43" i="4"/>
  <c r="AC46" i="4"/>
  <c r="AY46" i="4"/>
  <c r="AH46" i="4"/>
  <c r="AG46" i="4"/>
  <c r="G46" i="4" s="1"/>
  <c r="AH52" i="4"/>
  <c r="Q55" i="4"/>
  <c r="Q56" i="4"/>
  <c r="AC5" i="4"/>
  <c r="AG7" i="4"/>
  <c r="G7" i="4" s="1"/>
  <c r="C8" i="4"/>
  <c r="AC9" i="4"/>
  <c r="AA10" i="4"/>
  <c r="D10" i="4" s="1"/>
  <c r="AI10" i="4"/>
  <c r="AG11" i="4"/>
  <c r="G11" i="4" s="1"/>
  <c r="C12" i="4"/>
  <c r="AC13" i="4"/>
  <c r="AA14" i="4"/>
  <c r="AI14" i="4"/>
  <c r="AG15" i="4"/>
  <c r="G15" i="4" s="1"/>
  <c r="AC17" i="4"/>
  <c r="AA18" i="4"/>
  <c r="D18" i="4" s="1"/>
  <c r="AI18" i="4"/>
  <c r="AG19" i="4"/>
  <c r="G19" i="4" s="1"/>
  <c r="C20" i="4"/>
  <c r="AC21" i="4"/>
  <c r="AA22" i="4"/>
  <c r="AI22" i="4"/>
  <c r="AG23" i="4"/>
  <c r="G23" i="4" s="1"/>
  <c r="C24" i="4"/>
  <c r="AC25" i="4"/>
  <c r="AA26" i="4"/>
  <c r="AI26" i="4"/>
  <c r="AG27" i="4"/>
  <c r="G27" i="4" s="1"/>
  <c r="C28" i="4"/>
  <c r="AC29" i="4"/>
  <c r="AA30" i="4"/>
  <c r="AI30" i="4"/>
  <c r="AG31" i="4"/>
  <c r="G31" i="4" s="1"/>
  <c r="C32" i="4"/>
  <c r="AC33" i="4"/>
  <c r="AA34" i="4"/>
  <c r="AI34" i="4"/>
  <c r="AG35" i="4"/>
  <c r="G35" i="4" s="1"/>
  <c r="AC37" i="4"/>
  <c r="AA38" i="4"/>
  <c r="D38" i="4" s="1"/>
  <c r="AI38" i="4"/>
  <c r="AG39" i="4"/>
  <c r="G39" i="4" s="1"/>
  <c r="AC41" i="4"/>
  <c r="AA42" i="4"/>
  <c r="D42" i="4" s="1"/>
  <c r="AJ42" i="4"/>
  <c r="AJ43" i="4"/>
  <c r="C44" i="4"/>
  <c r="AB44" i="4"/>
  <c r="Q45" i="4"/>
  <c r="AC45" i="4"/>
  <c r="AF46" i="4"/>
  <c r="Q47" i="4"/>
  <c r="C9" i="2" s="1"/>
  <c r="AH47" i="4"/>
  <c r="AG48" i="4"/>
  <c r="G48" i="4" s="1"/>
  <c r="AD48" i="4"/>
  <c r="AC48" i="4"/>
  <c r="AI48" i="4"/>
  <c r="AT48" i="4" s="1"/>
  <c r="AA48" i="4"/>
  <c r="Q49" i="4"/>
  <c r="AH49" i="4"/>
  <c r="AB51" i="4"/>
  <c r="AJ52" i="4"/>
  <c r="AC53" i="4"/>
  <c r="AY60" i="4"/>
  <c r="BA101" i="4"/>
  <c r="AH7" i="4"/>
  <c r="AB10" i="4"/>
  <c r="AH11" i="4"/>
  <c r="AB14" i="4"/>
  <c r="A19" i="2" s="1"/>
  <c r="AH15" i="4"/>
  <c r="AB18" i="4"/>
  <c r="AH19" i="4"/>
  <c r="AB22" i="4"/>
  <c r="AH23" i="4"/>
  <c r="AB26" i="4"/>
  <c r="AH27" i="4"/>
  <c r="AB30" i="4"/>
  <c r="AH31" i="4"/>
  <c r="AB34" i="4"/>
  <c r="AH35" i="4"/>
  <c r="AB38" i="4"/>
  <c r="AH39" i="4"/>
  <c r="AB42" i="4"/>
  <c r="AD44" i="4"/>
  <c r="AY44" i="4"/>
  <c r="AI45" i="4"/>
  <c r="AA45" i="4"/>
  <c r="C45" i="4" s="1"/>
  <c r="AD45" i="4"/>
  <c r="H46" i="4"/>
  <c r="AI46" i="4"/>
  <c r="AJ47" i="4"/>
  <c r="H50" i="4"/>
  <c r="AD51" i="4"/>
  <c r="AY52" i="4"/>
  <c r="AD53" i="4"/>
  <c r="D54" i="4"/>
  <c r="AI55" i="4"/>
  <c r="AA55" i="4"/>
  <c r="D55" i="4" s="1"/>
  <c r="AY55" i="4"/>
  <c r="AH55" i="4"/>
  <c r="AF55" i="4"/>
  <c r="AC55" i="4"/>
  <c r="Q60" i="4"/>
  <c r="AG64" i="4"/>
  <c r="G64" i="4" s="1"/>
  <c r="AF64" i="4"/>
  <c r="AD64" i="4"/>
  <c r="AC64" i="4"/>
  <c r="AJ64" i="4"/>
  <c r="AB64" i="4"/>
  <c r="AI64" i="4"/>
  <c r="AA64" i="4"/>
  <c r="AC59" i="4"/>
  <c r="AG61" i="4"/>
  <c r="G61" i="4" s="1"/>
  <c r="AC63" i="4"/>
  <c r="AG65" i="4"/>
  <c r="G65" i="4" s="1"/>
  <c r="AC67" i="4"/>
  <c r="Q68" i="4"/>
  <c r="AA68" i="4"/>
  <c r="D68" i="4" s="1"/>
  <c r="AI68" i="4"/>
  <c r="AG69" i="4"/>
  <c r="G69" i="4" s="1"/>
  <c r="AC71" i="4"/>
  <c r="Q72" i="4"/>
  <c r="AA72" i="4"/>
  <c r="AI72" i="4"/>
  <c r="AG73" i="4"/>
  <c r="G73" i="4" s="1"/>
  <c r="AC75" i="4"/>
  <c r="Q76" i="4"/>
  <c r="AA76" i="4"/>
  <c r="C76" i="4" s="1"/>
  <c r="AI76" i="4"/>
  <c r="AG77" i="4"/>
  <c r="G77" i="4" s="1"/>
  <c r="AC79" i="4"/>
  <c r="Q80" i="4"/>
  <c r="AA80" i="4"/>
  <c r="C80" i="4" s="1"/>
  <c r="AI80" i="4"/>
  <c r="AG81" i="4"/>
  <c r="G81" i="4" s="1"/>
  <c r="AC83" i="4"/>
  <c r="Q84" i="4"/>
  <c r="AA84" i="4"/>
  <c r="C84" i="4" s="1"/>
  <c r="AI84" i="4"/>
  <c r="AG85" i="4"/>
  <c r="G85" i="4" s="1"/>
  <c r="AC87" i="4"/>
  <c r="Q88" i="4"/>
  <c r="AA88" i="4"/>
  <c r="AI88" i="4"/>
  <c r="AG89" i="4"/>
  <c r="G89" i="4" s="1"/>
  <c r="AC91" i="4"/>
  <c r="Q92" i="4"/>
  <c r="AA92" i="4"/>
  <c r="AI92" i="4"/>
  <c r="AG93" i="4"/>
  <c r="G93" i="4" s="1"/>
  <c r="U94" i="4"/>
  <c r="AC95" i="4"/>
  <c r="Q96" i="4"/>
  <c r="AA96" i="4"/>
  <c r="AI96" i="4"/>
  <c r="AG97" i="4"/>
  <c r="G97" i="4" s="1"/>
  <c r="U98" i="4"/>
  <c r="E99" i="4"/>
  <c r="AB99" i="4"/>
  <c r="AF101" i="4"/>
  <c r="U102" i="4"/>
  <c r="AB103" i="4"/>
  <c r="T105" i="4"/>
  <c r="AF105" i="4"/>
  <c r="U106" i="4"/>
  <c r="AB107" i="4"/>
  <c r="C108" i="4"/>
  <c r="Q108" i="4"/>
  <c r="AH108" i="4"/>
  <c r="S110" i="4"/>
  <c r="T122" i="4"/>
  <c r="S122" i="4"/>
  <c r="R122" i="4"/>
  <c r="W122" i="4"/>
  <c r="V122" i="4"/>
  <c r="AK122" i="4"/>
  <c r="AP122" i="4"/>
  <c r="BA133" i="4"/>
  <c r="AK138" i="4"/>
  <c r="AQ138" i="4"/>
  <c r="AP138" i="4"/>
  <c r="R151" i="4"/>
  <c r="T151" i="4"/>
  <c r="AH61" i="4"/>
  <c r="AY61" i="4"/>
  <c r="D62" i="4"/>
  <c r="AH65" i="4"/>
  <c r="AY65" i="4"/>
  <c r="AB68" i="4"/>
  <c r="AJ68" i="4"/>
  <c r="AH69" i="4"/>
  <c r="AY69" i="4"/>
  <c r="AB72" i="4"/>
  <c r="AJ72" i="4"/>
  <c r="AH73" i="4"/>
  <c r="AY73" i="4"/>
  <c r="AB76" i="4"/>
  <c r="AJ76" i="4"/>
  <c r="AH77" i="4"/>
  <c r="AY77" i="4"/>
  <c r="AB80" i="4"/>
  <c r="AJ80" i="4"/>
  <c r="AH81" i="4"/>
  <c r="AY81" i="4"/>
  <c r="AB84" i="4"/>
  <c r="AJ84" i="4"/>
  <c r="AH85" i="4"/>
  <c r="AY85" i="4"/>
  <c r="AB88" i="4"/>
  <c r="AJ88" i="4"/>
  <c r="AH89" i="4"/>
  <c r="AY89" i="4"/>
  <c r="BB89" i="4" s="1"/>
  <c r="V90" i="4"/>
  <c r="AB92" i="4"/>
  <c r="AJ92" i="4"/>
  <c r="AH93" i="4"/>
  <c r="AY93" i="4"/>
  <c r="BB93" i="4" s="1"/>
  <c r="V94" i="4"/>
  <c r="AB96" i="4"/>
  <c r="AJ96" i="4"/>
  <c r="AH97" i="4"/>
  <c r="AF99" i="4"/>
  <c r="AC99" i="4"/>
  <c r="AE99" i="4" s="1"/>
  <c r="AD99" i="4"/>
  <c r="AD100" i="4"/>
  <c r="AI100" i="4"/>
  <c r="AA100" i="4"/>
  <c r="AF100" i="4"/>
  <c r="BA100" i="4"/>
  <c r="AH101" i="4"/>
  <c r="AF103" i="4"/>
  <c r="AC103" i="4"/>
  <c r="AE103" i="4" s="1"/>
  <c r="AD103" i="4"/>
  <c r="AD104" i="4"/>
  <c r="AI104" i="4"/>
  <c r="AA104" i="4"/>
  <c r="AF104" i="4"/>
  <c r="BA104" i="4"/>
  <c r="AH105" i="4"/>
  <c r="AF109" i="4"/>
  <c r="BA117" i="4"/>
  <c r="BA121" i="4"/>
  <c r="U122" i="4"/>
  <c r="U134" i="4"/>
  <c r="U151" i="4"/>
  <c r="W162" i="4"/>
  <c r="T162" i="4"/>
  <c r="S162" i="4"/>
  <c r="R162" i="4"/>
  <c r="V162" i="4"/>
  <c r="AG50" i="4"/>
  <c r="G50" i="4" s="1"/>
  <c r="AG54" i="4"/>
  <c r="G54" i="4" s="1"/>
  <c r="Q57" i="4"/>
  <c r="AG58" i="4"/>
  <c r="G58" i="4" s="1"/>
  <c r="Q61" i="4"/>
  <c r="AA61" i="4"/>
  <c r="AI61" i="4"/>
  <c r="AG62" i="4"/>
  <c r="Q65" i="4"/>
  <c r="AA65" i="4"/>
  <c r="AI65" i="4"/>
  <c r="AG66" i="4"/>
  <c r="G66" i="4" s="1"/>
  <c r="AC68" i="4"/>
  <c r="Q69" i="4"/>
  <c r="AA69" i="4"/>
  <c r="AI69" i="4"/>
  <c r="AG70" i="4"/>
  <c r="G70" i="4" s="1"/>
  <c r="AC72" i="4"/>
  <c r="Q73" i="4"/>
  <c r="AA73" i="4"/>
  <c r="H73" i="4" s="1"/>
  <c r="AI73" i="4"/>
  <c r="AG74" i="4"/>
  <c r="G74" i="4" s="1"/>
  <c r="AC76" i="4"/>
  <c r="Q77" i="4"/>
  <c r="AA77" i="4"/>
  <c r="H77" i="4" s="1"/>
  <c r="AI77" i="4"/>
  <c r="AG78" i="4"/>
  <c r="G78" i="4" s="1"/>
  <c r="AC80" i="4"/>
  <c r="Q81" i="4"/>
  <c r="AA81" i="4"/>
  <c r="AI81" i="4"/>
  <c r="AG82" i="4"/>
  <c r="G82" i="4" s="1"/>
  <c r="AC84" i="4"/>
  <c r="Q85" i="4"/>
  <c r="AA85" i="4"/>
  <c r="AI85" i="4"/>
  <c r="AG86" i="4"/>
  <c r="G86" i="4" s="1"/>
  <c r="AC88" i="4"/>
  <c r="Q89" i="4"/>
  <c r="AA89" i="4"/>
  <c r="AI89" i="4"/>
  <c r="AG90" i="4"/>
  <c r="G90" i="4" s="1"/>
  <c r="C91" i="4"/>
  <c r="AC92" i="4"/>
  <c r="Q93" i="4"/>
  <c r="AA93" i="4"/>
  <c r="AI93" i="4"/>
  <c r="W94" i="4"/>
  <c r="AG94" i="4"/>
  <c r="G94" i="4" s="1"/>
  <c r="C95" i="4"/>
  <c r="AC96" i="4"/>
  <c r="Q97" i="4"/>
  <c r="AA97" i="4"/>
  <c r="AI97" i="4"/>
  <c r="S98" i="4"/>
  <c r="R99" i="4"/>
  <c r="U99" i="4" s="1"/>
  <c r="BA99" i="4"/>
  <c r="AG100" i="4"/>
  <c r="G100" i="4" s="1"/>
  <c r="AI101" i="4"/>
  <c r="S102" i="4"/>
  <c r="R103" i="4"/>
  <c r="U103" i="4" s="1"/>
  <c r="BA103" i="4"/>
  <c r="AG104" i="4"/>
  <c r="G104" i="4" s="1"/>
  <c r="AI105" i="4"/>
  <c r="S106" i="4"/>
  <c r="D107" i="4"/>
  <c r="C107" i="4"/>
  <c r="AH109" i="4"/>
  <c r="AF112" i="4"/>
  <c r="AD112" i="4"/>
  <c r="AC112" i="4"/>
  <c r="AJ112" i="4"/>
  <c r="AB112" i="4"/>
  <c r="AI112" i="4"/>
  <c r="AA112" i="4"/>
  <c r="AH112" i="4"/>
  <c r="E115" i="4"/>
  <c r="I115" i="4"/>
  <c r="D116" i="4"/>
  <c r="C116" i="4"/>
  <c r="Q116" i="4"/>
  <c r="AY116" i="4"/>
  <c r="BB116" i="4" s="1"/>
  <c r="D120" i="4"/>
  <c r="C120" i="4"/>
  <c r="Q120" i="4"/>
  <c r="AY120" i="4"/>
  <c r="BB120" i="4" s="1"/>
  <c r="BA129" i="4"/>
  <c r="BA145" i="4"/>
  <c r="R147" i="4"/>
  <c r="T147" i="4"/>
  <c r="AK150" i="4"/>
  <c r="AH50" i="4"/>
  <c r="AY50" i="4"/>
  <c r="AH54" i="4"/>
  <c r="AY54" i="4"/>
  <c r="AH58" i="4"/>
  <c r="AY58" i="4"/>
  <c r="AF59" i="4"/>
  <c r="AB61" i="4"/>
  <c r="AJ61" i="4"/>
  <c r="AH62" i="4"/>
  <c r="AY62" i="4"/>
  <c r="AF63" i="4"/>
  <c r="AB65" i="4"/>
  <c r="AJ65" i="4"/>
  <c r="AH66" i="4"/>
  <c r="AT66" i="4" s="1"/>
  <c r="AY66" i="4"/>
  <c r="AF67" i="4"/>
  <c r="AD68" i="4"/>
  <c r="AB69" i="4"/>
  <c r="AJ69" i="4"/>
  <c r="AH70" i="4"/>
  <c r="AY70" i="4"/>
  <c r="AF71" i="4"/>
  <c r="AD72" i="4"/>
  <c r="AB73" i="4"/>
  <c r="AJ73" i="4"/>
  <c r="AH74" i="4"/>
  <c r="AY74" i="4"/>
  <c r="AF75" i="4"/>
  <c r="AD76" i="4"/>
  <c r="AB77" i="4"/>
  <c r="AJ77" i="4"/>
  <c r="AH78" i="4"/>
  <c r="AY78" i="4"/>
  <c r="AF79" i="4"/>
  <c r="AD80" i="4"/>
  <c r="AB81" i="4"/>
  <c r="AJ81" i="4"/>
  <c r="AH82" i="4"/>
  <c r="AT82" i="4" s="1"/>
  <c r="AY82" i="4"/>
  <c r="AF83" i="4"/>
  <c r="AD84" i="4"/>
  <c r="AB85" i="4"/>
  <c r="AJ85" i="4"/>
  <c r="AH86" i="4"/>
  <c r="AY86" i="4"/>
  <c r="AF87" i="4"/>
  <c r="AD88" i="4"/>
  <c r="AB89" i="4"/>
  <c r="AJ89" i="4"/>
  <c r="AH90" i="4"/>
  <c r="D91" i="4"/>
  <c r="AF91" i="4"/>
  <c r="AD92" i="4"/>
  <c r="AB93" i="4"/>
  <c r="AJ93" i="4"/>
  <c r="AH94" i="4"/>
  <c r="AT94" i="4" s="1"/>
  <c r="AY94" i="4"/>
  <c r="BB94" i="4" s="1"/>
  <c r="D95" i="4"/>
  <c r="AF95" i="4"/>
  <c r="AD96" i="4"/>
  <c r="AB97" i="4"/>
  <c r="T98" i="4"/>
  <c r="AS98" i="4" s="1"/>
  <c r="BA98" i="4"/>
  <c r="H99" i="4"/>
  <c r="T99" i="4"/>
  <c r="AG99" i="4"/>
  <c r="G99" i="4" s="1"/>
  <c r="AH100" i="4"/>
  <c r="T102" i="4"/>
  <c r="AS102" i="4" s="1"/>
  <c r="BA102" i="4"/>
  <c r="T103" i="4"/>
  <c r="AG103" i="4"/>
  <c r="G103" i="4" s="1"/>
  <c r="AH104" i="4"/>
  <c r="T106" i="4"/>
  <c r="AS106" i="4" s="1"/>
  <c r="AG107" i="4"/>
  <c r="G107" i="4" s="1"/>
  <c r="AF107" i="4"/>
  <c r="AC107" i="4"/>
  <c r="AI107" i="4"/>
  <c r="AD108" i="4"/>
  <c r="AC108" i="4"/>
  <c r="AI108" i="4"/>
  <c r="AA108" i="4"/>
  <c r="T113" i="4"/>
  <c r="S113" i="4"/>
  <c r="R113" i="4"/>
  <c r="U113" i="4" s="1"/>
  <c r="W113" i="4"/>
  <c r="U130" i="4"/>
  <c r="U147" i="4"/>
  <c r="AS147" i="4" s="1"/>
  <c r="T150" i="4"/>
  <c r="S150" i="4"/>
  <c r="R150" i="4"/>
  <c r="W150" i="4"/>
  <c r="V150" i="4"/>
  <c r="AC65" i="4"/>
  <c r="AC69" i="4"/>
  <c r="AC73" i="4"/>
  <c r="AC77" i="4"/>
  <c r="AC81" i="4"/>
  <c r="AC85" i="4"/>
  <c r="AG87" i="4"/>
  <c r="G87" i="4" s="1"/>
  <c r="C88" i="4"/>
  <c r="AC89" i="4"/>
  <c r="AG91" i="4"/>
  <c r="G91" i="4" s="1"/>
  <c r="C92" i="4"/>
  <c r="AC93" i="4"/>
  <c r="AG95" i="4"/>
  <c r="G95" i="4" s="1"/>
  <c r="C96" i="4"/>
  <c r="AC97" i="4"/>
  <c r="V98" i="4"/>
  <c r="AH99" i="4"/>
  <c r="AJ100" i="4"/>
  <c r="AA101" i="4"/>
  <c r="V102" i="4"/>
  <c r="AH103" i="4"/>
  <c r="AJ104" i="4"/>
  <c r="AA105" i="4"/>
  <c r="T117" i="4"/>
  <c r="BA125" i="4"/>
  <c r="BA141" i="4"/>
  <c r="R143" i="4"/>
  <c r="T143" i="4"/>
  <c r="AS143" i="4" s="1"/>
  <c r="U150" i="4"/>
  <c r="BA154" i="4"/>
  <c r="AH59" i="4"/>
  <c r="AY59" i="4"/>
  <c r="H62" i="4"/>
  <c r="AH63" i="4"/>
  <c r="AY63" i="4"/>
  <c r="AH67" i="4"/>
  <c r="AY67" i="4"/>
  <c r="AF68" i="4"/>
  <c r="AH71" i="4"/>
  <c r="AY71" i="4"/>
  <c r="AF72" i="4"/>
  <c r="H74" i="4"/>
  <c r="AH75" i="4"/>
  <c r="AY75" i="4"/>
  <c r="AF76" i="4"/>
  <c r="H78" i="4"/>
  <c r="AH79" i="4"/>
  <c r="AY79" i="4"/>
  <c r="AF80" i="4"/>
  <c r="AH83" i="4"/>
  <c r="AY83" i="4"/>
  <c r="AF84" i="4"/>
  <c r="AH87" i="4"/>
  <c r="AY87" i="4"/>
  <c r="AF88" i="4"/>
  <c r="R90" i="4"/>
  <c r="U90" i="4" s="1"/>
  <c r="AS90" i="4" s="1"/>
  <c r="AH91" i="4"/>
  <c r="AY91" i="4"/>
  <c r="BB91" i="4" s="1"/>
  <c r="AF92" i="4"/>
  <c r="AH95" i="4"/>
  <c r="AY95" i="4"/>
  <c r="BB95" i="4" s="1"/>
  <c r="AF96" i="4"/>
  <c r="AD97" i="4"/>
  <c r="AI99" i="4"/>
  <c r="R101" i="4"/>
  <c r="U101" i="4" s="1"/>
  <c r="AC101" i="4"/>
  <c r="AI103" i="4"/>
  <c r="R105" i="4"/>
  <c r="U105" i="4" s="1"/>
  <c r="W105" i="4"/>
  <c r="AC105" i="4"/>
  <c r="AB108" i="4"/>
  <c r="S109" i="4"/>
  <c r="R109" i="4"/>
  <c r="U109" i="4" s="1"/>
  <c r="W109" i="4"/>
  <c r="U126" i="4"/>
  <c r="U143" i="4"/>
  <c r="V153" i="4"/>
  <c r="T153" i="4"/>
  <c r="S153" i="4"/>
  <c r="R153" i="4"/>
  <c r="W153" i="4"/>
  <c r="AA59" i="4"/>
  <c r="AA63" i="4"/>
  <c r="D63" i="4" s="1"/>
  <c r="AA67" i="4"/>
  <c r="C67" i="4" s="1"/>
  <c r="AG68" i="4"/>
  <c r="G68" i="4" s="1"/>
  <c r="AA71" i="4"/>
  <c r="AG72" i="4"/>
  <c r="G72" i="4" s="1"/>
  <c r="AA75" i="4"/>
  <c r="D75" i="4" s="1"/>
  <c r="AG76" i="4"/>
  <c r="G76" i="4" s="1"/>
  <c r="AA79" i="4"/>
  <c r="C79" i="4" s="1"/>
  <c r="AG80" i="4"/>
  <c r="G80" i="4" s="1"/>
  <c r="AA83" i="4"/>
  <c r="C83" i="4" s="1"/>
  <c r="AG84" i="4"/>
  <c r="G84" i="4" s="1"/>
  <c r="AA87" i="4"/>
  <c r="AG88" i="4"/>
  <c r="G88" i="4" s="1"/>
  <c r="AA91" i="4"/>
  <c r="AG92" i="4"/>
  <c r="G92" i="4" s="1"/>
  <c r="AA95" i="4"/>
  <c r="AG96" i="4"/>
  <c r="G96" i="4" s="1"/>
  <c r="AY97" i="4"/>
  <c r="BB97" i="4" s="1"/>
  <c r="AJ99" i="4"/>
  <c r="C100" i="4"/>
  <c r="AB100" i="4"/>
  <c r="D101" i="4"/>
  <c r="S101" i="4" s="1"/>
  <c r="AD101" i="4"/>
  <c r="AJ103" i="4"/>
  <c r="C104" i="4"/>
  <c r="AB104" i="4"/>
  <c r="AD105" i="4"/>
  <c r="R110" i="4"/>
  <c r="U110" i="4" s="1"/>
  <c r="W110" i="4"/>
  <c r="D112" i="4"/>
  <c r="C112" i="4"/>
  <c r="Q112" i="4"/>
  <c r="AG116" i="4"/>
  <c r="G116" i="4" s="1"/>
  <c r="AF116" i="4"/>
  <c r="AD116" i="4"/>
  <c r="AC116" i="4"/>
  <c r="AJ116" i="4"/>
  <c r="AB116" i="4"/>
  <c r="AI116" i="4"/>
  <c r="AA116" i="4"/>
  <c r="AK118" i="4"/>
  <c r="AG120" i="4"/>
  <c r="G120" i="4" s="1"/>
  <c r="AF120" i="4"/>
  <c r="AD120" i="4"/>
  <c r="AC120" i="4"/>
  <c r="AJ120" i="4"/>
  <c r="AB120" i="4"/>
  <c r="AI120" i="4"/>
  <c r="AA120" i="4"/>
  <c r="BA137" i="4"/>
  <c r="AH68" i="4"/>
  <c r="AH72" i="4"/>
  <c r="AH76" i="4"/>
  <c r="AH80" i="4"/>
  <c r="AH84" i="4"/>
  <c r="AH88" i="4"/>
  <c r="AH92" i="4"/>
  <c r="AH96" i="4"/>
  <c r="V99" i="4"/>
  <c r="S99" i="4"/>
  <c r="AJ101" i="4"/>
  <c r="AB101" i="4"/>
  <c r="AG101" i="4"/>
  <c r="G101" i="4" s="1"/>
  <c r="V103" i="4"/>
  <c r="S103" i="4"/>
  <c r="AJ105" i="4"/>
  <c r="AB105" i="4"/>
  <c r="AG105" i="4"/>
  <c r="G105" i="4" s="1"/>
  <c r="AD109" i="4"/>
  <c r="AC109" i="4"/>
  <c r="AJ109" i="4"/>
  <c r="AB109" i="4"/>
  <c r="AI109" i="4"/>
  <c r="AA109" i="4"/>
  <c r="AG109" i="4"/>
  <c r="G109" i="4" s="1"/>
  <c r="U138" i="4"/>
  <c r="V149" i="4"/>
  <c r="T149" i="4"/>
  <c r="S149" i="4"/>
  <c r="R149" i="4"/>
  <c r="W149" i="4"/>
  <c r="AC111" i="4"/>
  <c r="AG113" i="4"/>
  <c r="G113" i="4" s="1"/>
  <c r="AC115" i="4"/>
  <c r="W117" i="4"/>
  <c r="AG117" i="4"/>
  <c r="G117" i="4" s="1"/>
  <c r="AC119" i="4"/>
  <c r="W121" i="4"/>
  <c r="AG121" i="4"/>
  <c r="G121" i="4" s="1"/>
  <c r="AC123" i="4"/>
  <c r="Q124" i="4"/>
  <c r="AA124" i="4"/>
  <c r="AI124" i="4"/>
  <c r="W125" i="4"/>
  <c r="AG125" i="4"/>
  <c r="G125" i="4" s="1"/>
  <c r="I127" i="4"/>
  <c r="AC127" i="4"/>
  <c r="Q128" i="4"/>
  <c r="AA128" i="4"/>
  <c r="AI128" i="4"/>
  <c r="W129" i="4"/>
  <c r="AG129" i="4"/>
  <c r="G129" i="4" s="1"/>
  <c r="AC131" i="4"/>
  <c r="Q132" i="4"/>
  <c r="AA132" i="4"/>
  <c r="AI132" i="4"/>
  <c r="W133" i="4"/>
  <c r="AG133" i="4"/>
  <c r="G133" i="4" s="1"/>
  <c r="AC135" i="4"/>
  <c r="Q136" i="4"/>
  <c r="AA136" i="4"/>
  <c r="AI136" i="4"/>
  <c r="W137" i="4"/>
  <c r="AG137" i="4"/>
  <c r="G137" i="4" s="1"/>
  <c r="AC139" i="4"/>
  <c r="Q140" i="4"/>
  <c r="AA140" i="4"/>
  <c r="AI140" i="4"/>
  <c r="W141" i="4"/>
  <c r="AG141" i="4"/>
  <c r="G141" i="4" s="1"/>
  <c r="I143" i="4"/>
  <c r="S143" i="4"/>
  <c r="AC143" i="4"/>
  <c r="AE143" i="4" s="1"/>
  <c r="Q144" i="4"/>
  <c r="AA144" i="4"/>
  <c r="AI144" i="4"/>
  <c r="W145" i="4"/>
  <c r="AG145" i="4"/>
  <c r="G145" i="4" s="1"/>
  <c r="S147" i="4"/>
  <c r="AC147" i="4"/>
  <c r="AE147" i="4" s="1"/>
  <c r="Q148" i="4"/>
  <c r="AA148" i="4"/>
  <c r="AI148" i="4"/>
  <c r="AG149" i="4"/>
  <c r="G149" i="4" s="1"/>
  <c r="S151" i="4"/>
  <c r="AC151" i="4"/>
  <c r="AE151" i="4" s="1"/>
  <c r="Q152" i="4"/>
  <c r="AA152" i="4"/>
  <c r="AI152" i="4"/>
  <c r="AG153" i="4"/>
  <c r="G153" i="4" s="1"/>
  <c r="C154" i="4"/>
  <c r="AH157" i="4"/>
  <c r="BA158" i="4"/>
  <c r="AY159" i="4"/>
  <c r="BB159" i="4" s="1"/>
  <c r="AY161" i="4"/>
  <c r="BB161" i="4" s="1"/>
  <c r="R163" i="4"/>
  <c r="Q165" i="4"/>
  <c r="D165" i="4"/>
  <c r="C165" i="4"/>
  <c r="U168" i="4"/>
  <c r="BA189" i="4"/>
  <c r="T195" i="4"/>
  <c r="S195" i="4"/>
  <c r="R195" i="4"/>
  <c r="W195" i="4"/>
  <c r="V195" i="4"/>
  <c r="AH113" i="4"/>
  <c r="AY113" i="4"/>
  <c r="BB113" i="4" s="1"/>
  <c r="V114" i="4"/>
  <c r="AH117" i="4"/>
  <c r="AY117" i="4"/>
  <c r="BB117" i="4" s="1"/>
  <c r="V118" i="4"/>
  <c r="AH121" i="4"/>
  <c r="AY121" i="4"/>
  <c r="BB121" i="4" s="1"/>
  <c r="AB124" i="4"/>
  <c r="AJ124" i="4"/>
  <c r="AH125" i="4"/>
  <c r="AY125" i="4"/>
  <c r="BB125" i="4" s="1"/>
  <c r="V126" i="4"/>
  <c r="AB128" i="4"/>
  <c r="AJ128" i="4"/>
  <c r="AH129" i="4"/>
  <c r="AY129" i="4"/>
  <c r="BB129" i="4" s="1"/>
  <c r="V130" i="4"/>
  <c r="AB132" i="4"/>
  <c r="AJ132" i="4"/>
  <c r="AH133" i="4"/>
  <c r="AY133" i="4"/>
  <c r="BB133" i="4" s="1"/>
  <c r="V134" i="4"/>
  <c r="AB136" i="4"/>
  <c r="AJ136" i="4"/>
  <c r="AH137" i="4"/>
  <c r="AY137" i="4"/>
  <c r="BB137" i="4" s="1"/>
  <c r="V138" i="4"/>
  <c r="AB140" i="4"/>
  <c r="AJ140" i="4"/>
  <c r="AH141" i="4"/>
  <c r="AY141" i="4"/>
  <c r="BB141" i="4" s="1"/>
  <c r="V142" i="4"/>
  <c r="AB144" i="4"/>
  <c r="AJ144" i="4"/>
  <c r="AH145" i="4"/>
  <c r="AY145" i="4"/>
  <c r="BB145" i="4" s="1"/>
  <c r="V146" i="4"/>
  <c r="AB148" i="4"/>
  <c r="AJ148" i="4"/>
  <c r="AH149" i="4"/>
  <c r="AY149" i="4"/>
  <c r="BB149" i="4" s="1"/>
  <c r="AB152" i="4"/>
  <c r="AJ152" i="4"/>
  <c r="AH153" i="4"/>
  <c r="AY153" i="4"/>
  <c r="BB153" i="4" s="1"/>
  <c r="C155" i="4"/>
  <c r="Q155" i="4"/>
  <c r="AJ157" i="4"/>
  <c r="W158" i="4"/>
  <c r="T158" i="4"/>
  <c r="S158" i="4"/>
  <c r="AC159" i="4"/>
  <c r="AQ163" i="4"/>
  <c r="AP163" i="4"/>
  <c r="BA193" i="4"/>
  <c r="C111" i="4"/>
  <c r="AA113" i="4"/>
  <c r="AI113" i="4"/>
  <c r="W114" i="4"/>
  <c r="C115" i="4"/>
  <c r="AA117" i="4"/>
  <c r="AI117" i="4"/>
  <c r="W118" i="4"/>
  <c r="C119" i="4"/>
  <c r="AA121" i="4"/>
  <c r="AI121" i="4"/>
  <c r="C123" i="4"/>
  <c r="AC124" i="4"/>
  <c r="AA125" i="4"/>
  <c r="AI125" i="4"/>
  <c r="W126" i="4"/>
  <c r="C127" i="4"/>
  <c r="AC128" i="4"/>
  <c r="AA129" i="4"/>
  <c r="AI129" i="4"/>
  <c r="W130" i="4"/>
  <c r="C131" i="4"/>
  <c r="AC132" i="4"/>
  <c r="AA133" i="4"/>
  <c r="AI133" i="4"/>
  <c r="W134" i="4"/>
  <c r="C135" i="4"/>
  <c r="AC136" i="4"/>
  <c r="AA137" i="4"/>
  <c r="AI137" i="4"/>
  <c r="W138" i="4"/>
  <c r="C139" i="4"/>
  <c r="AC140" i="4"/>
  <c r="AA141" i="4"/>
  <c r="AI141" i="4"/>
  <c r="W142" i="4"/>
  <c r="AC144" i="4"/>
  <c r="AA145" i="4"/>
  <c r="AI145" i="4"/>
  <c r="W146" i="4"/>
  <c r="AC148" i="4"/>
  <c r="Q149" i="4"/>
  <c r="AA149" i="4"/>
  <c r="AI149" i="4"/>
  <c r="AC152" i="4"/>
  <c r="Q153" i="4"/>
  <c r="AA153" i="4"/>
  <c r="AI153" i="4"/>
  <c r="S156" i="4"/>
  <c r="W156" i="4"/>
  <c r="R158" i="4"/>
  <c r="U158" i="4" s="1"/>
  <c r="AD159" i="4"/>
  <c r="AB161" i="4"/>
  <c r="C166" i="4"/>
  <c r="AI169" i="4"/>
  <c r="AA169" i="4"/>
  <c r="AY169" i="4"/>
  <c r="BB169" i="4" s="1"/>
  <c r="AG169" i="4"/>
  <c r="G169" i="4" s="1"/>
  <c r="AF169" i="4"/>
  <c r="AD169" i="4"/>
  <c r="AC169" i="4"/>
  <c r="AB169" i="4"/>
  <c r="S176" i="4"/>
  <c r="R176" i="4"/>
  <c r="W176" i="4"/>
  <c r="V176" i="4"/>
  <c r="T176" i="4"/>
  <c r="BA207" i="4"/>
  <c r="W239" i="4"/>
  <c r="S239" i="4"/>
  <c r="T239" i="4"/>
  <c r="R239" i="4"/>
  <c r="V239" i="4"/>
  <c r="AH98" i="4"/>
  <c r="AH102" i="4"/>
  <c r="AH106" i="4"/>
  <c r="AH110" i="4"/>
  <c r="AF111" i="4"/>
  <c r="AB113" i="4"/>
  <c r="AJ113" i="4"/>
  <c r="AH114" i="4"/>
  <c r="AF115" i="4"/>
  <c r="R117" i="4"/>
  <c r="U117" i="4" s="1"/>
  <c r="AB117" i="4"/>
  <c r="AJ117" i="4"/>
  <c r="AH118" i="4"/>
  <c r="AF119" i="4"/>
  <c r="R121" i="4"/>
  <c r="U121" i="4" s="1"/>
  <c r="AB121" i="4"/>
  <c r="AJ121" i="4"/>
  <c r="AH122" i="4"/>
  <c r="AF123" i="4"/>
  <c r="AD124" i="4"/>
  <c r="R125" i="4"/>
  <c r="U125" i="4" s="1"/>
  <c r="AB125" i="4"/>
  <c r="AJ125" i="4"/>
  <c r="AH126" i="4"/>
  <c r="AF127" i="4"/>
  <c r="AD128" i="4"/>
  <c r="R129" i="4"/>
  <c r="U129" i="4" s="1"/>
  <c r="AB129" i="4"/>
  <c r="AJ129" i="4"/>
  <c r="AH130" i="4"/>
  <c r="AT130" i="4" s="1"/>
  <c r="AF131" i="4"/>
  <c r="AD132" i="4"/>
  <c r="R133" i="4"/>
  <c r="U133" i="4" s="1"/>
  <c r="AB133" i="4"/>
  <c r="AJ133" i="4"/>
  <c r="AH134" i="4"/>
  <c r="AF135" i="4"/>
  <c r="AD136" i="4"/>
  <c r="R137" i="4"/>
  <c r="U137" i="4" s="1"/>
  <c r="AB137" i="4"/>
  <c r="AJ137" i="4"/>
  <c r="AH138" i="4"/>
  <c r="AF139" i="4"/>
  <c r="AD140" i="4"/>
  <c r="R141" i="4"/>
  <c r="U141" i="4" s="1"/>
  <c r="AB141" i="4"/>
  <c r="AJ141" i="4"/>
  <c r="AH142" i="4"/>
  <c r="V143" i="4"/>
  <c r="AF143" i="4"/>
  <c r="AD144" i="4"/>
  <c r="R145" i="4"/>
  <c r="U145" i="4" s="1"/>
  <c r="AB145" i="4"/>
  <c r="AJ145" i="4"/>
  <c r="AH146" i="4"/>
  <c r="V147" i="4"/>
  <c r="AF147" i="4"/>
  <c r="AD148" i="4"/>
  <c r="AB149" i="4"/>
  <c r="AJ149" i="4"/>
  <c r="AH150" i="4"/>
  <c r="AY150" i="4"/>
  <c r="BB150" i="4" s="1"/>
  <c r="V151" i="4"/>
  <c r="AS151" i="4" s="1"/>
  <c r="AF151" i="4"/>
  <c r="AD152" i="4"/>
  <c r="AB153" i="4"/>
  <c r="AJ153" i="4"/>
  <c r="AG154" i="4"/>
  <c r="G154" i="4" s="1"/>
  <c r="AC154" i="4"/>
  <c r="AB154" i="4"/>
  <c r="AJ155" i="4"/>
  <c r="AB155" i="4"/>
  <c r="AI155" i="4"/>
  <c r="AA155" i="4"/>
  <c r="AH155" i="4"/>
  <c r="AG158" i="4"/>
  <c r="G158" i="4" s="1"/>
  <c r="AD158" i="4"/>
  <c r="AC158" i="4"/>
  <c r="AI158" i="4"/>
  <c r="C159" i="4"/>
  <c r="Q159" i="4"/>
  <c r="AF159" i="4"/>
  <c r="E160" i="4"/>
  <c r="AC161" i="4"/>
  <c r="Q162" i="4"/>
  <c r="AI162" i="4"/>
  <c r="V163" i="4"/>
  <c r="AI165" i="4"/>
  <c r="AA165" i="4"/>
  <c r="AF165" i="4"/>
  <c r="AD165" i="4"/>
  <c r="AC165" i="4"/>
  <c r="AP165" i="4"/>
  <c r="D166" i="4"/>
  <c r="AH169" i="4"/>
  <c r="T175" i="4"/>
  <c r="S175" i="4"/>
  <c r="R175" i="4"/>
  <c r="W175" i="4"/>
  <c r="V175" i="4"/>
  <c r="U176" i="4"/>
  <c r="S180" i="4"/>
  <c r="R180" i="4"/>
  <c r="W180" i="4"/>
  <c r="V180" i="4"/>
  <c r="T180" i="4"/>
  <c r="AG111" i="4"/>
  <c r="G111" i="4" s="1"/>
  <c r="AC113" i="4"/>
  <c r="AG115" i="4"/>
  <c r="G115" i="4" s="1"/>
  <c r="S117" i="4"/>
  <c r="AC117" i="4"/>
  <c r="AG119" i="4"/>
  <c r="G119" i="4" s="1"/>
  <c r="S121" i="4"/>
  <c r="AC121" i="4"/>
  <c r="AG123" i="4"/>
  <c r="G123" i="4" s="1"/>
  <c r="C124" i="4"/>
  <c r="S125" i="4"/>
  <c r="AC125" i="4"/>
  <c r="AG127" i="4"/>
  <c r="G127" i="4" s="1"/>
  <c r="C128" i="4"/>
  <c r="S129" i="4"/>
  <c r="AC129" i="4"/>
  <c r="AG131" i="4"/>
  <c r="G131" i="4" s="1"/>
  <c r="C132" i="4"/>
  <c r="S133" i="4"/>
  <c r="AC133" i="4"/>
  <c r="AG135" i="4"/>
  <c r="G135" i="4" s="1"/>
  <c r="C136" i="4"/>
  <c r="S137" i="4"/>
  <c r="AC137" i="4"/>
  <c r="AG139" i="4"/>
  <c r="G139" i="4" s="1"/>
  <c r="C140" i="4"/>
  <c r="S141" i="4"/>
  <c r="AC141" i="4"/>
  <c r="AG143" i="4"/>
  <c r="G143" i="4" s="1"/>
  <c r="C144" i="4"/>
  <c r="S145" i="4"/>
  <c r="AC145" i="4"/>
  <c r="AG147" i="4"/>
  <c r="G147" i="4" s="1"/>
  <c r="C148" i="4"/>
  <c r="AC149" i="4"/>
  <c r="AA150" i="4"/>
  <c r="AG151" i="4"/>
  <c r="G151" i="4" s="1"/>
  <c r="C152" i="4"/>
  <c r="AC153" i="4"/>
  <c r="AD154" i="4"/>
  <c r="AY154" i="4"/>
  <c r="BB154" i="4" s="1"/>
  <c r="R156" i="4"/>
  <c r="U156" i="4" s="1"/>
  <c r="AB157" i="4"/>
  <c r="AY157" i="4"/>
  <c r="BB157" i="4" s="1"/>
  <c r="V158" i="4"/>
  <c r="AJ158" i="4"/>
  <c r="S160" i="4"/>
  <c r="W160" i="4"/>
  <c r="AG161" i="4"/>
  <c r="G161" i="4" s="1"/>
  <c r="AQ165" i="4"/>
  <c r="AG166" i="4"/>
  <c r="G166" i="4" s="1"/>
  <c r="AD166" i="4"/>
  <c r="AC166" i="4"/>
  <c r="AJ166" i="4"/>
  <c r="AB166" i="4"/>
  <c r="AI166" i="4"/>
  <c r="AA166" i="4"/>
  <c r="AF166" i="4"/>
  <c r="AJ169" i="4"/>
  <c r="AG170" i="4"/>
  <c r="G170" i="4" s="1"/>
  <c r="AF170" i="4"/>
  <c r="AD170" i="4"/>
  <c r="AC170" i="4"/>
  <c r="AJ170" i="4"/>
  <c r="AB170" i="4"/>
  <c r="AI170" i="4"/>
  <c r="AA170" i="4"/>
  <c r="BA173" i="4"/>
  <c r="T179" i="4"/>
  <c r="S179" i="4"/>
  <c r="R179" i="4"/>
  <c r="W179" i="4"/>
  <c r="V179" i="4"/>
  <c r="U180" i="4"/>
  <c r="S184" i="4"/>
  <c r="R184" i="4"/>
  <c r="W184" i="4"/>
  <c r="V184" i="4"/>
  <c r="T184" i="4"/>
  <c r="AH111" i="4"/>
  <c r="AH115" i="4"/>
  <c r="AH119" i="4"/>
  <c r="AH123" i="4"/>
  <c r="AF124" i="4"/>
  <c r="AH127" i="4"/>
  <c r="AF128" i="4"/>
  <c r="AH131" i="4"/>
  <c r="AF132" i="4"/>
  <c r="AH135" i="4"/>
  <c r="AF136" i="4"/>
  <c r="AH139" i="4"/>
  <c r="AF140" i="4"/>
  <c r="R142" i="4"/>
  <c r="U142" i="4" s="1"/>
  <c r="AH143" i="4"/>
  <c r="AF144" i="4"/>
  <c r="R146" i="4"/>
  <c r="U146" i="4" s="1"/>
  <c r="AH147" i="4"/>
  <c r="AF148" i="4"/>
  <c r="AH151" i="4"/>
  <c r="AF152" i="4"/>
  <c r="AC157" i="4"/>
  <c r="AJ159" i="4"/>
  <c r="AB159" i="4"/>
  <c r="AI159" i="4"/>
  <c r="AA159" i="4"/>
  <c r="AH159" i="4"/>
  <c r="Q161" i="4"/>
  <c r="D161" i="4"/>
  <c r="C161" i="4"/>
  <c r="AH161" i="4"/>
  <c r="T171" i="4"/>
  <c r="S171" i="4"/>
  <c r="R171" i="4"/>
  <c r="W171" i="4"/>
  <c r="BA177" i="4"/>
  <c r="T183" i="4"/>
  <c r="S183" i="4"/>
  <c r="R183" i="4"/>
  <c r="W183" i="4"/>
  <c r="V183" i="4"/>
  <c r="U184" i="4"/>
  <c r="S188" i="4"/>
  <c r="R188" i="4"/>
  <c r="U188" i="4" s="1"/>
  <c r="W188" i="4"/>
  <c r="V188" i="4"/>
  <c r="T188" i="4"/>
  <c r="BA255" i="4"/>
  <c r="AG124" i="4"/>
  <c r="G124" i="4" s="1"/>
  <c r="AG128" i="4"/>
  <c r="G128" i="4" s="1"/>
  <c r="AG132" i="4"/>
  <c r="G132" i="4" s="1"/>
  <c r="AG136" i="4"/>
  <c r="G136" i="4" s="1"/>
  <c r="AG140" i="4"/>
  <c r="G140" i="4" s="1"/>
  <c r="AG144" i="4"/>
  <c r="G144" i="4" s="1"/>
  <c r="AG148" i="4"/>
  <c r="G148" i="4" s="1"/>
  <c r="AG152" i="4"/>
  <c r="G152" i="4" s="1"/>
  <c r="AT154" i="4"/>
  <c r="Q157" i="4"/>
  <c r="D157" i="4"/>
  <c r="C157" i="4"/>
  <c r="I158" i="4"/>
  <c r="R160" i="4"/>
  <c r="U160" i="4" s="1"/>
  <c r="AG162" i="4"/>
  <c r="G162" i="4" s="1"/>
  <c r="AD162" i="4"/>
  <c r="AC162" i="4"/>
  <c r="AJ162" i="4"/>
  <c r="AB162" i="4"/>
  <c r="U164" i="4"/>
  <c r="R167" i="4"/>
  <c r="W167" i="4"/>
  <c r="AQ167" i="4"/>
  <c r="AP167" i="4"/>
  <c r="V171" i="4"/>
  <c r="BA181" i="4"/>
  <c r="T187" i="4"/>
  <c r="S187" i="4"/>
  <c r="R187" i="4"/>
  <c r="W187" i="4"/>
  <c r="V187" i="4"/>
  <c r="S192" i="4"/>
  <c r="R192" i="4"/>
  <c r="W192" i="4"/>
  <c r="V192" i="4"/>
  <c r="T192" i="4"/>
  <c r="AQ196" i="4"/>
  <c r="AP196" i="4"/>
  <c r="BA199" i="4"/>
  <c r="AH124" i="4"/>
  <c r="AH128" i="4"/>
  <c r="AH132" i="4"/>
  <c r="AH136" i="4"/>
  <c r="AH140" i="4"/>
  <c r="AH144" i="4"/>
  <c r="AH148" i="4"/>
  <c r="AH152" i="4"/>
  <c r="AI157" i="4"/>
  <c r="AA157" i="4"/>
  <c r="AF157" i="4"/>
  <c r="AG157" i="4"/>
  <c r="G157" i="4" s="1"/>
  <c r="AI161" i="4"/>
  <c r="AA161" i="4"/>
  <c r="AF161" i="4"/>
  <c r="AD161" i="4"/>
  <c r="E162" i="4"/>
  <c r="Q169" i="4"/>
  <c r="D169" i="4"/>
  <c r="C169" i="4"/>
  <c r="D170" i="4"/>
  <c r="C170" i="4"/>
  <c r="Q170" i="4"/>
  <c r="S172" i="4"/>
  <c r="R172" i="4"/>
  <c r="U172" i="4" s="1"/>
  <c r="W172" i="4"/>
  <c r="V172" i="4"/>
  <c r="BA185" i="4"/>
  <c r="T191" i="4"/>
  <c r="S191" i="4"/>
  <c r="R191" i="4"/>
  <c r="W191" i="4"/>
  <c r="V191" i="4"/>
  <c r="U192" i="4"/>
  <c r="AH174" i="4"/>
  <c r="AY174" i="4"/>
  <c r="BB174" i="4" s="1"/>
  <c r="AH178" i="4"/>
  <c r="AY178" i="4"/>
  <c r="BB178" i="4" s="1"/>
  <c r="AH182" i="4"/>
  <c r="AY182" i="4"/>
  <c r="BB182" i="4" s="1"/>
  <c r="AH186" i="4"/>
  <c r="AY186" i="4"/>
  <c r="BB186" i="4" s="1"/>
  <c r="AH190" i="4"/>
  <c r="AY190" i="4"/>
  <c r="BB190" i="4" s="1"/>
  <c r="AH194" i="4"/>
  <c r="AY194" i="4"/>
  <c r="BB194" i="4" s="1"/>
  <c r="S197" i="4"/>
  <c r="V197" i="4"/>
  <c r="AG199" i="4"/>
  <c r="G199" i="4" s="1"/>
  <c r="AJ199" i="4"/>
  <c r="AB199" i="4"/>
  <c r="E207" i="4"/>
  <c r="Q210" i="4"/>
  <c r="C210" i="4"/>
  <c r="H223" i="4"/>
  <c r="D225" i="4"/>
  <c r="C225" i="4"/>
  <c r="C240" i="4"/>
  <c r="Q240" i="4"/>
  <c r="BA247" i="4"/>
  <c r="U247" i="4"/>
  <c r="AI250" i="4"/>
  <c r="AA250" i="4"/>
  <c r="AJ250" i="4"/>
  <c r="AH250" i="4"/>
  <c r="AC250" i="4"/>
  <c r="AB250" i="4"/>
  <c r="AG171" i="4"/>
  <c r="G171" i="4" s="1"/>
  <c r="AC173" i="4"/>
  <c r="Q174" i="4"/>
  <c r="AA174" i="4"/>
  <c r="AI174" i="4"/>
  <c r="AG175" i="4"/>
  <c r="G175" i="4" s="1"/>
  <c r="AC177" i="4"/>
  <c r="Q178" i="4"/>
  <c r="AA178" i="4"/>
  <c r="AI178" i="4"/>
  <c r="AG179" i="4"/>
  <c r="G179" i="4" s="1"/>
  <c r="AC181" i="4"/>
  <c r="Q182" i="4"/>
  <c r="AA182" i="4"/>
  <c r="AI182" i="4"/>
  <c r="AG183" i="4"/>
  <c r="G183" i="4" s="1"/>
  <c r="AC185" i="4"/>
  <c r="Q186" i="4"/>
  <c r="AA186" i="4"/>
  <c r="AI186" i="4"/>
  <c r="AG187" i="4"/>
  <c r="G187" i="4" s="1"/>
  <c r="AC189" i="4"/>
  <c r="Q190" i="4"/>
  <c r="AA190" i="4"/>
  <c r="AI190" i="4"/>
  <c r="AG191" i="4"/>
  <c r="G191" i="4" s="1"/>
  <c r="AC193" i="4"/>
  <c r="Q194" i="4"/>
  <c r="AA194" i="4"/>
  <c r="AI194" i="4"/>
  <c r="AG195" i="4"/>
  <c r="G195" i="4" s="1"/>
  <c r="AB197" i="4"/>
  <c r="AF199" i="4"/>
  <c r="R200" i="4"/>
  <c r="U200" i="4" s="1"/>
  <c r="AC201" i="4"/>
  <c r="AG201" i="4"/>
  <c r="G201" i="4" s="1"/>
  <c r="AF201" i="4"/>
  <c r="Q201" i="4"/>
  <c r="AB202" i="4"/>
  <c r="AY202" i="4"/>
  <c r="BB202" i="4" s="1"/>
  <c r="U204" i="4"/>
  <c r="Q206" i="4"/>
  <c r="C206" i="4"/>
  <c r="AD207" i="4"/>
  <c r="S208" i="4"/>
  <c r="D210" i="4"/>
  <c r="AA213" i="4"/>
  <c r="AG214" i="4"/>
  <c r="G214" i="4" s="1"/>
  <c r="AG215" i="4"/>
  <c r="G215" i="4" s="1"/>
  <c r="AC215" i="4"/>
  <c r="AJ215" i="4"/>
  <c r="AB215" i="4"/>
  <c r="AI215" i="4"/>
  <c r="AA215" i="4"/>
  <c r="AP218" i="4"/>
  <c r="W219" i="4"/>
  <c r="S219" i="4"/>
  <c r="R219" i="4"/>
  <c r="U219" i="4" s="1"/>
  <c r="AI221" i="4"/>
  <c r="Q225" i="4"/>
  <c r="BA253" i="4"/>
  <c r="AB256" i="4"/>
  <c r="W267" i="4"/>
  <c r="S267" i="4"/>
  <c r="R267" i="4"/>
  <c r="V267" i="4"/>
  <c r="T267" i="4"/>
  <c r="AH163" i="4"/>
  <c r="AY163" i="4"/>
  <c r="BB163" i="4" s="1"/>
  <c r="V164" i="4"/>
  <c r="AH167" i="4"/>
  <c r="AY167" i="4"/>
  <c r="BB167" i="4" s="1"/>
  <c r="V168" i="4"/>
  <c r="AH171" i="4"/>
  <c r="AY171" i="4"/>
  <c r="BB171" i="4" s="1"/>
  <c r="AD173" i="4"/>
  <c r="AB174" i="4"/>
  <c r="AJ174" i="4"/>
  <c r="AH175" i="4"/>
  <c r="AY175" i="4"/>
  <c r="BB175" i="4" s="1"/>
  <c r="AD177" i="4"/>
  <c r="AB178" i="4"/>
  <c r="AJ178" i="4"/>
  <c r="AH179" i="4"/>
  <c r="AY179" i="4"/>
  <c r="BB179" i="4" s="1"/>
  <c r="AD181" i="4"/>
  <c r="AB182" i="4"/>
  <c r="AJ182" i="4"/>
  <c r="AH183" i="4"/>
  <c r="AY183" i="4"/>
  <c r="BB183" i="4" s="1"/>
  <c r="AD185" i="4"/>
  <c r="AB186" i="4"/>
  <c r="AJ186" i="4"/>
  <c r="AH187" i="4"/>
  <c r="AY187" i="4"/>
  <c r="BB187" i="4" s="1"/>
  <c r="AD189" i="4"/>
  <c r="AB190" i="4"/>
  <c r="AJ190" i="4"/>
  <c r="AH191" i="4"/>
  <c r="AY191" i="4"/>
  <c r="BB191" i="4" s="1"/>
  <c r="AD193" i="4"/>
  <c r="AB194" i="4"/>
  <c r="AJ194" i="4"/>
  <c r="AH195" i="4"/>
  <c r="R196" i="4"/>
  <c r="U196" i="4" s="1"/>
  <c r="AC197" i="4"/>
  <c r="AF197" i="4"/>
  <c r="AD197" i="4"/>
  <c r="AI198" i="4"/>
  <c r="AA198" i="4"/>
  <c r="AD198" i="4"/>
  <c r="AF198" i="4"/>
  <c r="BA198" i="4"/>
  <c r="AH199" i="4"/>
  <c r="S200" i="4"/>
  <c r="AC202" i="4"/>
  <c r="I203" i="4"/>
  <c r="H203" i="4"/>
  <c r="T208" i="4"/>
  <c r="AS208" i="4" s="1"/>
  <c r="D209" i="4"/>
  <c r="C209" i="4"/>
  <c r="AB213" i="4"/>
  <c r="Q214" i="4"/>
  <c r="C214" i="4"/>
  <c r="AH214" i="4"/>
  <c r="D221" i="4"/>
  <c r="C221" i="4"/>
  <c r="T224" i="4"/>
  <c r="S224" i="4"/>
  <c r="R224" i="4"/>
  <c r="U224" i="4" s="1"/>
  <c r="T226" i="4"/>
  <c r="W226" i="4"/>
  <c r="V226" i="4"/>
  <c r="D240" i="4"/>
  <c r="W247" i="4"/>
  <c r="S247" i="4"/>
  <c r="T247" i="4"/>
  <c r="R247" i="4"/>
  <c r="V247" i="4"/>
  <c r="AC249" i="4"/>
  <c r="AG249" i="4"/>
  <c r="G249" i="4" s="1"/>
  <c r="AI249" i="4"/>
  <c r="AH249" i="4"/>
  <c r="AB249" i="4"/>
  <c r="AA249" i="4"/>
  <c r="AJ249" i="4"/>
  <c r="AD250" i="4"/>
  <c r="AI256" i="4"/>
  <c r="AA256" i="4"/>
  <c r="AG256" i="4"/>
  <c r="G256" i="4" s="1"/>
  <c r="AF256" i="4"/>
  <c r="AJ256" i="4"/>
  <c r="AH256" i="4"/>
  <c r="AC256" i="4"/>
  <c r="BA259" i="4"/>
  <c r="AG156" i="4"/>
  <c r="G156" i="4" s="1"/>
  <c r="AG160" i="4"/>
  <c r="G160" i="4" s="1"/>
  <c r="Q163" i="4"/>
  <c r="AA163" i="4"/>
  <c r="AI163" i="4"/>
  <c r="W164" i="4"/>
  <c r="AG164" i="4"/>
  <c r="G164" i="4" s="1"/>
  <c r="Q167" i="4"/>
  <c r="AA167" i="4"/>
  <c r="AI167" i="4"/>
  <c r="W168" i="4"/>
  <c r="AG168" i="4"/>
  <c r="G168" i="4" s="1"/>
  <c r="Q171" i="4"/>
  <c r="AA171" i="4"/>
  <c r="AI171" i="4"/>
  <c r="AG172" i="4"/>
  <c r="G172" i="4" s="1"/>
  <c r="C173" i="4"/>
  <c r="AC174" i="4"/>
  <c r="Q175" i="4"/>
  <c r="AA175" i="4"/>
  <c r="AI175" i="4"/>
  <c r="AG176" i="4"/>
  <c r="G176" i="4" s="1"/>
  <c r="C177" i="4"/>
  <c r="AC178" i="4"/>
  <c r="Q179" i="4"/>
  <c r="AA179" i="4"/>
  <c r="AI179" i="4"/>
  <c r="E180" i="4"/>
  <c r="AG180" i="4"/>
  <c r="G180" i="4" s="1"/>
  <c r="C181" i="4"/>
  <c r="AC182" i="4"/>
  <c r="Q183" i="4"/>
  <c r="AA183" i="4"/>
  <c r="AI183" i="4"/>
  <c r="AG184" i="4"/>
  <c r="G184" i="4" s="1"/>
  <c r="C185" i="4"/>
  <c r="AC186" i="4"/>
  <c r="Q187" i="4"/>
  <c r="AA187" i="4"/>
  <c r="AI187" i="4"/>
  <c r="AG188" i="4"/>
  <c r="G188" i="4" s="1"/>
  <c r="C189" i="4"/>
  <c r="AC190" i="4"/>
  <c r="Q191" i="4"/>
  <c r="AA191" i="4"/>
  <c r="AI191" i="4"/>
  <c r="E192" i="4"/>
  <c r="AG192" i="4"/>
  <c r="G192" i="4" s="1"/>
  <c r="C193" i="4"/>
  <c r="AC194" i="4"/>
  <c r="Q195" i="4"/>
  <c r="AA195" i="4"/>
  <c r="AI195" i="4"/>
  <c r="S196" i="4"/>
  <c r="R197" i="4"/>
  <c r="U197" i="4" s="1"/>
  <c r="AG198" i="4"/>
  <c r="G198" i="4" s="1"/>
  <c r="AI199" i="4"/>
  <c r="T200" i="4"/>
  <c r="AS200" i="4" s="1"/>
  <c r="BA200" i="4"/>
  <c r="Q202" i="4"/>
  <c r="C202" i="4"/>
  <c r="AF202" i="4"/>
  <c r="AI206" i="4"/>
  <c r="AA206" i="4"/>
  <c r="AD206" i="4"/>
  <c r="AH206" i="4"/>
  <c r="C207" i="4"/>
  <c r="AF207" i="4"/>
  <c r="V208" i="4"/>
  <c r="AC209" i="4"/>
  <c r="AG209" i="4"/>
  <c r="G209" i="4" s="1"/>
  <c r="AF209" i="4"/>
  <c r="Q209" i="4"/>
  <c r="AI209" i="4"/>
  <c r="AI210" i="4"/>
  <c r="AA210" i="4"/>
  <c r="AD210" i="4"/>
  <c r="AC210" i="4"/>
  <c r="AD213" i="4"/>
  <c r="D214" i="4"/>
  <c r="AJ214" i="4"/>
  <c r="AY219" i="4"/>
  <c r="BB219" i="4" s="1"/>
  <c r="AH219" i="4"/>
  <c r="AG219" i="4"/>
  <c r="G219" i="4" s="1"/>
  <c r="AC219" i="4"/>
  <c r="AJ219" i="4"/>
  <c r="AB219" i="4"/>
  <c r="AI219" i="4"/>
  <c r="AA219" i="4"/>
  <c r="Q221" i="4"/>
  <c r="T222" i="4"/>
  <c r="S222" i="4"/>
  <c r="R222" i="4"/>
  <c r="U222" i="4" s="1"/>
  <c r="W222" i="4"/>
  <c r="V222" i="4"/>
  <c r="AF225" i="4"/>
  <c r="AD225" i="4"/>
  <c r="AC225" i="4"/>
  <c r="AH225" i="4"/>
  <c r="AG225" i="4"/>
  <c r="G225" i="4" s="1"/>
  <c r="AY225" i="4"/>
  <c r="BB225" i="4" s="1"/>
  <c r="AA225" i="4"/>
  <c r="BA228" i="4"/>
  <c r="U228" i="4"/>
  <c r="BA237" i="4"/>
  <c r="AB240" i="4"/>
  <c r="C248" i="4"/>
  <c r="Q248" i="4"/>
  <c r="AD249" i="4"/>
  <c r="AF250" i="4"/>
  <c r="AY250" i="4"/>
  <c r="BB250" i="4" s="1"/>
  <c r="AD256" i="4"/>
  <c r="R257" i="4"/>
  <c r="U257" i="4" s="1"/>
  <c r="BA261" i="4"/>
  <c r="AI266" i="4"/>
  <c r="AA266" i="4"/>
  <c r="AD266" i="4"/>
  <c r="AY266" i="4"/>
  <c r="BB266" i="4" s="1"/>
  <c r="AB266" i="4"/>
  <c r="AJ266" i="4"/>
  <c r="AG266" i="4"/>
  <c r="G266" i="4" s="1"/>
  <c r="AF266" i="4"/>
  <c r="AC266" i="4"/>
  <c r="AH156" i="4"/>
  <c r="AY156" i="4"/>
  <c r="BB156" i="4" s="1"/>
  <c r="AH160" i="4"/>
  <c r="AY160" i="4"/>
  <c r="BB160" i="4" s="1"/>
  <c r="AB163" i="4"/>
  <c r="AH164" i="4"/>
  <c r="AT164" i="4" s="1"/>
  <c r="AY164" i="4"/>
  <c r="BB164" i="4" s="1"/>
  <c r="AB167" i="4"/>
  <c r="AH168" i="4"/>
  <c r="AY168" i="4"/>
  <c r="BB168" i="4" s="1"/>
  <c r="AB171" i="4"/>
  <c r="AH172" i="4"/>
  <c r="AY172" i="4"/>
  <c r="BB172" i="4" s="1"/>
  <c r="D173" i="4"/>
  <c r="AF173" i="4"/>
  <c r="AD174" i="4"/>
  <c r="AB175" i="4"/>
  <c r="AH176" i="4"/>
  <c r="AY176" i="4"/>
  <c r="BB176" i="4" s="1"/>
  <c r="D177" i="4"/>
  <c r="AF177" i="4"/>
  <c r="AD178" i="4"/>
  <c r="AB179" i="4"/>
  <c r="AH180" i="4"/>
  <c r="AY180" i="4"/>
  <c r="BB180" i="4" s="1"/>
  <c r="D181" i="4"/>
  <c r="AF181" i="4"/>
  <c r="AD182" i="4"/>
  <c r="AB183" i="4"/>
  <c r="AH184" i="4"/>
  <c r="AY184" i="4"/>
  <c r="BB184" i="4" s="1"/>
  <c r="D185" i="4"/>
  <c r="AF185" i="4"/>
  <c r="AD186" i="4"/>
  <c r="AB187" i="4"/>
  <c r="AH188" i="4"/>
  <c r="AT188" i="4" s="1"/>
  <c r="AY188" i="4"/>
  <c r="BB188" i="4" s="1"/>
  <c r="D189" i="4"/>
  <c r="AF189" i="4"/>
  <c r="AD190" i="4"/>
  <c r="AB191" i="4"/>
  <c r="AH192" i="4"/>
  <c r="AY192" i="4"/>
  <c r="BB192" i="4" s="1"/>
  <c r="D193" i="4"/>
  <c r="AF193" i="4"/>
  <c r="AD194" i="4"/>
  <c r="AB195" i="4"/>
  <c r="T196" i="4"/>
  <c r="AS196" i="4" s="1"/>
  <c r="T197" i="4"/>
  <c r="AG197" i="4"/>
  <c r="G197" i="4" s="1"/>
  <c r="AH198" i="4"/>
  <c r="V200" i="4"/>
  <c r="AP204" i="4"/>
  <c r="I205" i="4"/>
  <c r="E205" i="4"/>
  <c r="D213" i="4"/>
  <c r="C213" i="4"/>
  <c r="U216" i="4"/>
  <c r="Q218" i="4"/>
  <c r="C218" i="4"/>
  <c r="AD221" i="4"/>
  <c r="AC221" i="4"/>
  <c r="AG221" i="4"/>
  <c r="G221" i="4" s="1"/>
  <c r="AF221" i="4"/>
  <c r="AQ226" i="4"/>
  <c r="AP226" i="4"/>
  <c r="R226" i="4"/>
  <c r="U226" i="4" s="1"/>
  <c r="T230" i="4"/>
  <c r="AS230" i="4" s="1"/>
  <c r="S230" i="4"/>
  <c r="R230" i="4"/>
  <c r="U230" i="4" s="1"/>
  <c r="AI240" i="4"/>
  <c r="AA240" i="4"/>
  <c r="AG240" i="4"/>
  <c r="G240" i="4" s="1"/>
  <c r="AF240" i="4"/>
  <c r="AJ240" i="4"/>
  <c r="AH240" i="4"/>
  <c r="AC240" i="4"/>
  <c r="U241" i="4"/>
  <c r="AK244" i="4"/>
  <c r="AY249" i="4"/>
  <c r="BB249" i="4" s="1"/>
  <c r="AG250" i="4"/>
  <c r="G250" i="4" s="1"/>
  <c r="AI258" i="4"/>
  <c r="AA258" i="4"/>
  <c r="AJ258" i="4"/>
  <c r="AH258" i="4"/>
  <c r="AC258" i="4"/>
  <c r="AB258" i="4"/>
  <c r="BA263" i="4"/>
  <c r="AG173" i="4"/>
  <c r="G173" i="4" s="1"/>
  <c r="C174" i="4"/>
  <c r="AG177" i="4"/>
  <c r="G177" i="4" s="1"/>
  <c r="C178" i="4"/>
  <c r="AG181" i="4"/>
  <c r="G181" i="4" s="1"/>
  <c r="C182" i="4"/>
  <c r="AG185" i="4"/>
  <c r="G185" i="4" s="1"/>
  <c r="C186" i="4"/>
  <c r="AG189" i="4"/>
  <c r="G189" i="4" s="1"/>
  <c r="C190" i="4"/>
  <c r="AG193" i="4"/>
  <c r="G193" i="4" s="1"/>
  <c r="C194" i="4"/>
  <c r="V196" i="4"/>
  <c r="AA199" i="4"/>
  <c r="AI202" i="4"/>
  <c r="AA202" i="4"/>
  <c r="AD202" i="4"/>
  <c r="AH202" i="4"/>
  <c r="W203" i="4"/>
  <c r="S203" i="4"/>
  <c r="R203" i="4"/>
  <c r="AS204" i="4"/>
  <c r="AG207" i="4"/>
  <c r="G207" i="4" s="1"/>
  <c r="AC207" i="4"/>
  <c r="AJ207" i="4"/>
  <c r="AB207" i="4"/>
  <c r="AI207" i="4"/>
  <c r="W211" i="4"/>
  <c r="S211" i="4"/>
  <c r="R211" i="4"/>
  <c r="U211" i="4" s="1"/>
  <c r="AP212" i="4"/>
  <c r="AC213" i="4"/>
  <c r="AG213" i="4"/>
  <c r="G213" i="4" s="1"/>
  <c r="AF213" i="4"/>
  <c r="AI213" i="4"/>
  <c r="AI214" i="4"/>
  <c r="AA214" i="4"/>
  <c r="AD214" i="4"/>
  <c r="AC214" i="4"/>
  <c r="S226" i="4"/>
  <c r="BA227" i="4"/>
  <c r="AP228" i="4"/>
  <c r="V230" i="4"/>
  <c r="BA239" i="4"/>
  <c r="U239" i="4"/>
  <c r="AI242" i="4"/>
  <c r="AA242" i="4"/>
  <c r="AJ242" i="4"/>
  <c r="AH242" i="4"/>
  <c r="AC242" i="4"/>
  <c r="AB242" i="4"/>
  <c r="W255" i="4"/>
  <c r="S255" i="4"/>
  <c r="T255" i="4"/>
  <c r="R255" i="4"/>
  <c r="U255" i="4" s="1"/>
  <c r="V255" i="4"/>
  <c r="AC257" i="4"/>
  <c r="AG257" i="4"/>
  <c r="G257" i="4" s="1"/>
  <c r="AI257" i="4"/>
  <c r="AH257" i="4"/>
  <c r="AB257" i="4"/>
  <c r="AA257" i="4"/>
  <c r="AJ257" i="4"/>
  <c r="AK270" i="4"/>
  <c r="AP270" i="4"/>
  <c r="AH173" i="4"/>
  <c r="AY173" i="4"/>
  <c r="BB173" i="4" s="1"/>
  <c r="AF174" i="4"/>
  <c r="AH177" i="4"/>
  <c r="AY177" i="4"/>
  <c r="BB177" i="4" s="1"/>
  <c r="AF178" i="4"/>
  <c r="AH181" i="4"/>
  <c r="AY181" i="4"/>
  <c r="BB181" i="4" s="1"/>
  <c r="AF182" i="4"/>
  <c r="AH185" i="4"/>
  <c r="AY185" i="4"/>
  <c r="BB185" i="4" s="1"/>
  <c r="AF186" i="4"/>
  <c r="AH189" i="4"/>
  <c r="AY189" i="4"/>
  <c r="BB189" i="4" s="1"/>
  <c r="AF190" i="4"/>
  <c r="AH193" i="4"/>
  <c r="AY193" i="4"/>
  <c r="BB193" i="4" s="1"/>
  <c r="AF194" i="4"/>
  <c r="W197" i="4"/>
  <c r="AC199" i="4"/>
  <c r="S205" i="4"/>
  <c r="W205" i="4"/>
  <c r="V205" i="4"/>
  <c r="D217" i="4"/>
  <c r="C217" i="4"/>
  <c r="AQ220" i="4"/>
  <c r="AP220" i="4"/>
  <c r="H222" i="4"/>
  <c r="I222" i="4"/>
  <c r="AS224" i="4"/>
  <c r="AQ224" i="4"/>
  <c r="R227" i="4"/>
  <c r="U227" i="4" s="1"/>
  <c r="T227" i="4"/>
  <c r="S227" i="4"/>
  <c r="V227" i="4"/>
  <c r="AK228" i="4"/>
  <c r="BA245" i="4"/>
  <c r="C256" i="4"/>
  <c r="Q256" i="4"/>
  <c r="AD257" i="4"/>
  <c r="AD258" i="4"/>
  <c r="I261" i="4"/>
  <c r="W263" i="4"/>
  <c r="S263" i="4"/>
  <c r="T263" i="4"/>
  <c r="R263" i="4"/>
  <c r="U263" i="4" s="1"/>
  <c r="V263" i="4"/>
  <c r="AA173" i="4"/>
  <c r="AA177" i="4"/>
  <c r="AA181" i="4"/>
  <c r="AA185" i="4"/>
  <c r="AA189" i="4"/>
  <c r="AA193" i="4"/>
  <c r="AY195" i="4"/>
  <c r="BB195" i="4" s="1"/>
  <c r="AJ197" i="4"/>
  <c r="C198" i="4"/>
  <c r="AB198" i="4"/>
  <c r="D199" i="4"/>
  <c r="W199" i="4" s="1"/>
  <c r="AD199" i="4"/>
  <c r="AY199" i="4"/>
  <c r="BB199" i="4" s="1"/>
  <c r="C201" i="4"/>
  <c r="AB201" i="4"/>
  <c r="AG203" i="4"/>
  <c r="G203" i="4" s="1"/>
  <c r="AC203" i="4"/>
  <c r="AJ203" i="4"/>
  <c r="AB203" i="4"/>
  <c r="U203" i="4"/>
  <c r="AI203" i="4"/>
  <c r="AC205" i="4"/>
  <c r="AG205" i="4"/>
  <c r="G205" i="4" s="1"/>
  <c r="AF205" i="4"/>
  <c r="Q205" i="4"/>
  <c r="AB206" i="4"/>
  <c r="AY206" i="4"/>
  <c r="BB206" i="4" s="1"/>
  <c r="AY207" i="4"/>
  <c r="BB207" i="4" s="1"/>
  <c r="U208" i="4"/>
  <c r="AA209" i="4"/>
  <c r="AG210" i="4"/>
  <c r="G210" i="4" s="1"/>
  <c r="AG211" i="4"/>
  <c r="G211" i="4" s="1"/>
  <c r="AC211" i="4"/>
  <c r="AJ211" i="4"/>
  <c r="AB211" i="4"/>
  <c r="AI211" i="4"/>
  <c r="AA211" i="4"/>
  <c r="AB214" i="4"/>
  <c r="C215" i="4"/>
  <c r="T216" i="4"/>
  <c r="AS216" i="4" s="1"/>
  <c r="AQ216" i="4"/>
  <c r="AC217" i="4"/>
  <c r="AG217" i="4"/>
  <c r="G217" i="4" s="1"/>
  <c r="AF217" i="4"/>
  <c r="Q217" i="4"/>
  <c r="AI217" i="4"/>
  <c r="AI218" i="4"/>
  <c r="AA218" i="4"/>
  <c r="AD218" i="4"/>
  <c r="AC218" i="4"/>
  <c r="AB221" i="4"/>
  <c r="AD222" i="4"/>
  <c r="AC222" i="4"/>
  <c r="AH222" i="4"/>
  <c r="AY222" i="4"/>
  <c r="BB222" i="4" s="1"/>
  <c r="AG222" i="4"/>
  <c r="G222" i="4" s="1"/>
  <c r="AF222" i="4"/>
  <c r="AB222" i="4"/>
  <c r="W227" i="4"/>
  <c r="T232" i="4"/>
  <c r="S232" i="4"/>
  <c r="R232" i="4"/>
  <c r="U232" i="4" s="1"/>
  <c r="AC241" i="4"/>
  <c r="AG241" i="4"/>
  <c r="G241" i="4" s="1"/>
  <c r="AI241" i="4"/>
  <c r="AH241" i="4"/>
  <c r="AB241" i="4"/>
  <c r="AA241" i="4"/>
  <c r="AJ241" i="4"/>
  <c r="AD242" i="4"/>
  <c r="AI248" i="4"/>
  <c r="AA248" i="4"/>
  <c r="AG248" i="4"/>
  <c r="G248" i="4" s="1"/>
  <c r="AF248" i="4"/>
  <c r="AJ248" i="4"/>
  <c r="AH248" i="4"/>
  <c r="AC248" i="4"/>
  <c r="U249" i="4"/>
  <c r="AY257" i="4"/>
  <c r="BB257" i="4" s="1"/>
  <c r="AF258" i="4"/>
  <c r="AY258" i="4"/>
  <c r="BB258" i="4" s="1"/>
  <c r="BA267" i="4"/>
  <c r="U267" i="4"/>
  <c r="AF231" i="4"/>
  <c r="AJ231" i="4"/>
  <c r="AB231" i="4"/>
  <c r="AD231" i="4"/>
  <c r="W235" i="4"/>
  <c r="S235" i="4"/>
  <c r="C236" i="4"/>
  <c r="Q236" i="4"/>
  <c r="AC237" i="4"/>
  <c r="AG237" i="4"/>
  <c r="G237" i="4" s="1"/>
  <c r="C244" i="4"/>
  <c r="Q244" i="4"/>
  <c r="AC245" i="4"/>
  <c r="AG245" i="4"/>
  <c r="G245" i="4" s="1"/>
  <c r="C252" i="4"/>
  <c r="Q252" i="4"/>
  <c r="AC253" i="4"/>
  <c r="AG253" i="4"/>
  <c r="G253" i="4" s="1"/>
  <c r="C260" i="4"/>
  <c r="Q260" i="4"/>
  <c r="AC261" i="4"/>
  <c r="AG261" i="4"/>
  <c r="G261" i="4" s="1"/>
  <c r="AJ264" i="4"/>
  <c r="AC265" i="4"/>
  <c r="AG265" i="4"/>
  <c r="G265" i="4" s="1"/>
  <c r="AF265" i="4"/>
  <c r="AH265" i="4"/>
  <c r="AA267" i="4"/>
  <c r="T268" i="4"/>
  <c r="S269" i="4"/>
  <c r="W269" i="4"/>
  <c r="V269" i="4"/>
  <c r="S272" i="4"/>
  <c r="AY275" i="4"/>
  <c r="BB275" i="4" s="1"/>
  <c r="AH275" i="4"/>
  <c r="AG275" i="4"/>
  <c r="G275" i="4" s="1"/>
  <c r="AD275" i="4"/>
  <c r="AC275" i="4"/>
  <c r="AB275" i="4"/>
  <c r="BA281" i="4"/>
  <c r="AH196" i="4"/>
  <c r="AH200" i="4"/>
  <c r="AH204" i="4"/>
  <c r="AH208" i="4"/>
  <c r="AH212" i="4"/>
  <c r="AT212" i="4" s="1"/>
  <c r="AH216" i="4"/>
  <c r="AH220" i="4"/>
  <c r="AY220" i="4"/>
  <c r="BB220" i="4" s="1"/>
  <c r="AA226" i="4"/>
  <c r="AJ226" i="4"/>
  <c r="V228" i="4"/>
  <c r="AA229" i="4"/>
  <c r="AJ229" i="4"/>
  <c r="S231" i="4"/>
  <c r="AJ233" i="4"/>
  <c r="AB233" i="4"/>
  <c r="AF233" i="4"/>
  <c r="Q233" i="4"/>
  <c r="AD233" i="4"/>
  <c r="Q235" i="4"/>
  <c r="AD235" i="4"/>
  <c r="AI236" i="4"/>
  <c r="AA236" i="4"/>
  <c r="AD236" i="4"/>
  <c r="AY236" i="4"/>
  <c r="BB236" i="4" s="1"/>
  <c r="AF237" i="4"/>
  <c r="AI239" i="4"/>
  <c r="D243" i="4"/>
  <c r="AD243" i="4"/>
  <c r="AI244" i="4"/>
  <c r="AA244" i="4"/>
  <c r="AD244" i="4"/>
  <c r="AY244" i="4"/>
  <c r="BB244" i="4" s="1"/>
  <c r="AF245" i="4"/>
  <c r="AI247" i="4"/>
  <c r="D251" i="4"/>
  <c r="AD251" i="4"/>
  <c r="AI252" i="4"/>
  <c r="AT252" i="4" s="1"/>
  <c r="AA252" i="4"/>
  <c r="AD252" i="4"/>
  <c r="AY252" i="4"/>
  <c r="BB252" i="4" s="1"/>
  <c r="AF253" i="4"/>
  <c r="AI255" i="4"/>
  <c r="D259" i="4"/>
  <c r="AD259" i="4"/>
  <c r="AI260" i="4"/>
  <c r="AA260" i="4"/>
  <c r="AD260" i="4"/>
  <c r="AY260" i="4"/>
  <c r="BB260" i="4" s="1"/>
  <c r="AF261" i="4"/>
  <c r="AG262" i="4"/>
  <c r="G262" i="4" s="1"/>
  <c r="AI263" i="4"/>
  <c r="AI265" i="4"/>
  <c r="Q266" i="4"/>
  <c r="C266" i="4"/>
  <c r="AD267" i="4"/>
  <c r="V268" i="4"/>
  <c r="AC269" i="4"/>
  <c r="AG269" i="4"/>
  <c r="G269" i="4" s="1"/>
  <c r="AF269" i="4"/>
  <c r="R269" i="4"/>
  <c r="U269" i="4" s="1"/>
  <c r="AH269" i="4"/>
  <c r="AC270" i="4"/>
  <c r="AA271" i="4"/>
  <c r="T272" i="4"/>
  <c r="C273" i="4"/>
  <c r="Q273" i="4"/>
  <c r="AI274" i="4"/>
  <c r="AA274" i="4"/>
  <c r="AF274" i="4"/>
  <c r="AD274" i="4"/>
  <c r="AA275" i="4"/>
  <c r="H289" i="4"/>
  <c r="AJ223" i="4"/>
  <c r="AB223" i="4"/>
  <c r="AC223" i="4"/>
  <c r="AB226" i="4"/>
  <c r="W228" i="4"/>
  <c r="AG231" i="4"/>
  <c r="G231" i="4" s="1"/>
  <c r="R234" i="4"/>
  <c r="U234" i="4" s="1"/>
  <c r="AG235" i="4"/>
  <c r="G235" i="4" s="1"/>
  <c r="AC235" i="4"/>
  <c r="R235" i="4"/>
  <c r="AH237" i="4"/>
  <c r="S241" i="4"/>
  <c r="W241" i="4"/>
  <c r="Q242" i="4"/>
  <c r="C242" i="4"/>
  <c r="AG243" i="4"/>
  <c r="G243" i="4" s="1"/>
  <c r="AC243" i="4"/>
  <c r="AH245" i="4"/>
  <c r="S249" i="4"/>
  <c r="W249" i="4"/>
  <c r="Q250" i="4"/>
  <c r="C250" i="4"/>
  <c r="AG251" i="4"/>
  <c r="G251" i="4" s="1"/>
  <c r="AC251" i="4"/>
  <c r="AH253" i="4"/>
  <c r="S257" i="4"/>
  <c r="W257" i="4"/>
  <c r="Q258" i="4"/>
  <c r="C258" i="4"/>
  <c r="AG259" i="4"/>
  <c r="G259" i="4" s="1"/>
  <c r="AC259" i="4"/>
  <c r="AF260" i="4"/>
  <c r="AH261" i="4"/>
  <c r="AJ265" i="4"/>
  <c r="W268" i="4"/>
  <c r="T269" i="4"/>
  <c r="AI269" i="4"/>
  <c r="Q270" i="4"/>
  <c r="C270" i="4"/>
  <c r="V272" i="4"/>
  <c r="AC273" i="4"/>
  <c r="AY273" i="4"/>
  <c r="BB273" i="4" s="1"/>
  <c r="AH273" i="4"/>
  <c r="AG273" i="4"/>
  <c r="G273" i="4" s="1"/>
  <c r="AF273" i="4"/>
  <c r="AI273" i="4"/>
  <c r="AY274" i="4"/>
  <c r="BB274" i="4" s="1"/>
  <c r="AY276" i="4"/>
  <c r="BB276" i="4" s="1"/>
  <c r="AH276" i="4"/>
  <c r="AF276" i="4"/>
  <c r="AB276" i="4"/>
  <c r="AA276" i="4"/>
  <c r="AI276" i="4"/>
  <c r="AG276" i="4"/>
  <c r="G276" i="4" s="1"/>
  <c r="BA288" i="4"/>
  <c r="AF275" i="4"/>
  <c r="AE280" i="4"/>
  <c r="AS280" i="4"/>
  <c r="AD282" i="4"/>
  <c r="AJ282" i="4"/>
  <c r="AB282" i="4"/>
  <c r="AI282" i="4"/>
  <c r="AA282" i="4"/>
  <c r="AY282" i="4"/>
  <c r="BB282" i="4" s="1"/>
  <c r="AH282" i="4"/>
  <c r="AF282" i="4"/>
  <c r="AC282" i="4"/>
  <c r="AG282" i="4"/>
  <c r="G282" i="4" s="1"/>
  <c r="V305" i="4"/>
  <c r="T305" i="4"/>
  <c r="S305" i="4"/>
  <c r="R305" i="4"/>
  <c r="U305" i="4" s="1"/>
  <c r="W305" i="4"/>
  <c r="C264" i="4"/>
  <c r="Q264" i="4"/>
  <c r="AA265" i="4"/>
  <c r="AI270" i="4"/>
  <c r="AA270" i="4"/>
  <c r="AD270" i="4"/>
  <c r="AH270" i="4"/>
  <c r="C271" i="4"/>
  <c r="Q271" i="4"/>
  <c r="AI275" i="4"/>
  <c r="AI264" i="4"/>
  <c r="AA264" i="4"/>
  <c r="AY264" i="4"/>
  <c r="BB264" i="4" s="1"/>
  <c r="AH264" i="4"/>
  <c r="AD264" i="4"/>
  <c r="AB265" i="4"/>
  <c r="AG267" i="4"/>
  <c r="G267" i="4" s="1"/>
  <c r="AC267" i="4"/>
  <c r="AJ267" i="4"/>
  <c r="AB267" i="4"/>
  <c r="AI267" i="4"/>
  <c r="E269" i="4"/>
  <c r="BA279" i="4"/>
  <c r="AQ284" i="4"/>
  <c r="R303" i="4"/>
  <c r="W303" i="4"/>
  <c r="T303" i="4"/>
  <c r="S303" i="4"/>
  <c r="S228" i="4"/>
  <c r="V231" i="4"/>
  <c r="R231" i="4"/>
  <c r="U231" i="4" s="1"/>
  <c r="AS231" i="4" s="1"/>
  <c r="AA231" i="4"/>
  <c r="W234" i="4"/>
  <c r="AB237" i="4"/>
  <c r="Q238" i="4"/>
  <c r="C238" i="4"/>
  <c r="AG239" i="4"/>
  <c r="G239" i="4" s="1"/>
  <c r="AC239" i="4"/>
  <c r="AB245" i="4"/>
  <c r="Q246" i="4"/>
  <c r="C246" i="4"/>
  <c r="AG247" i="4"/>
  <c r="G247" i="4" s="1"/>
  <c r="AC247" i="4"/>
  <c r="AB253" i="4"/>
  <c r="Q254" i="4"/>
  <c r="C254" i="4"/>
  <c r="AG255" i="4"/>
  <c r="G255" i="4" s="1"/>
  <c r="AC255" i="4"/>
  <c r="W261" i="4"/>
  <c r="AB261" i="4"/>
  <c r="Q262" i="4"/>
  <c r="C262" i="4"/>
  <c r="AG263" i="4"/>
  <c r="G263" i="4" s="1"/>
  <c r="AC263" i="4"/>
  <c r="AF264" i="4"/>
  <c r="AD265" i="4"/>
  <c r="R268" i="4"/>
  <c r="AG271" i="4"/>
  <c r="G271" i="4" s="1"/>
  <c r="AC271" i="4"/>
  <c r="AJ271" i="4"/>
  <c r="AB271" i="4"/>
  <c r="AI271" i="4"/>
  <c r="AA273" i="4"/>
  <c r="AG274" i="4"/>
  <c r="G274" i="4" s="1"/>
  <c r="C275" i="4"/>
  <c r="AJ276" i="4"/>
  <c r="V279" i="4"/>
  <c r="T279" i="4"/>
  <c r="BA296" i="4"/>
  <c r="R223" i="4"/>
  <c r="U223" i="4" s="1"/>
  <c r="W223" i="4"/>
  <c r="AH223" i="4"/>
  <c r="AH226" i="4"/>
  <c r="AJ227" i="4"/>
  <c r="AB227" i="4"/>
  <c r="AC227" i="4"/>
  <c r="C229" i="4"/>
  <c r="AH229" i="4"/>
  <c r="AY230" i="4"/>
  <c r="BB230" i="4" s="1"/>
  <c r="AH230" i="4"/>
  <c r="AD230" i="4"/>
  <c r="AB230" i="4"/>
  <c r="AC231" i="4"/>
  <c r="AE231" i="4" s="1"/>
  <c r="AY231" i="4"/>
  <c r="BB231" i="4" s="1"/>
  <c r="C233" i="4"/>
  <c r="AA233" i="4"/>
  <c r="AA235" i="4"/>
  <c r="D236" i="4"/>
  <c r="AB236" i="4"/>
  <c r="D237" i="4"/>
  <c r="T237" i="4" s="1"/>
  <c r="AD237" i="4"/>
  <c r="AY237" i="4"/>
  <c r="BB237" i="4" s="1"/>
  <c r="AI238" i="4"/>
  <c r="AA238" i="4"/>
  <c r="AD238" i="4"/>
  <c r="AY238" i="4"/>
  <c r="BB238" i="4" s="1"/>
  <c r="AF239" i="4"/>
  <c r="V241" i="4"/>
  <c r="AA243" i="4"/>
  <c r="D244" i="4"/>
  <c r="AB244" i="4"/>
  <c r="D245" i="4"/>
  <c r="T245" i="4" s="1"/>
  <c r="AD245" i="4"/>
  <c r="AY245" i="4"/>
  <c r="BB245" i="4" s="1"/>
  <c r="AI246" i="4"/>
  <c r="AA246" i="4"/>
  <c r="AD246" i="4"/>
  <c r="AY246" i="4"/>
  <c r="BB246" i="4" s="1"/>
  <c r="AF247" i="4"/>
  <c r="V249" i="4"/>
  <c r="AA251" i="4"/>
  <c r="D252" i="4"/>
  <c r="AB252" i="4"/>
  <c r="D253" i="4"/>
  <c r="S253" i="4" s="1"/>
  <c r="AD253" i="4"/>
  <c r="AY253" i="4"/>
  <c r="BB253" i="4" s="1"/>
  <c r="AI254" i="4"/>
  <c r="AA254" i="4"/>
  <c r="AD254" i="4"/>
  <c r="AY254" i="4"/>
  <c r="BB254" i="4" s="1"/>
  <c r="AF255" i="4"/>
  <c r="V257" i="4"/>
  <c r="AA259" i="4"/>
  <c r="D260" i="4"/>
  <c r="AB260" i="4"/>
  <c r="D261" i="4"/>
  <c r="T261" i="4" s="1"/>
  <c r="AD261" i="4"/>
  <c r="AY261" i="4"/>
  <c r="BB261" i="4" s="1"/>
  <c r="AI262" i="4"/>
  <c r="AA262" i="4"/>
  <c r="AD262" i="4"/>
  <c r="AY262" i="4"/>
  <c r="BB262" i="4" s="1"/>
  <c r="AF263" i="4"/>
  <c r="AG264" i="4"/>
  <c r="G264" i="4" s="1"/>
  <c r="C265" i="4"/>
  <c r="Q265" i="4"/>
  <c r="AY267" i="4"/>
  <c r="BB267" i="4" s="1"/>
  <c r="AD269" i="4"/>
  <c r="AB273" i="4"/>
  <c r="Q274" i="4"/>
  <c r="D274" i="4"/>
  <c r="C274" i="4"/>
  <c r="AH274" i="4"/>
  <c r="BA277" i="4"/>
  <c r="BA283" i="4"/>
  <c r="W284" i="4"/>
  <c r="S284" i="4"/>
  <c r="AQ288" i="4"/>
  <c r="AK288" i="4"/>
  <c r="AP288" i="4"/>
  <c r="AD278" i="4"/>
  <c r="AJ278" i="4"/>
  <c r="AB278" i="4"/>
  <c r="AI278" i="4"/>
  <c r="AA278" i="4"/>
  <c r="V278" i="4"/>
  <c r="U280" i="4"/>
  <c r="V285" i="4"/>
  <c r="T285" i="4"/>
  <c r="AS285" i="4" s="1"/>
  <c r="S285" i="4"/>
  <c r="R285" i="4"/>
  <c r="V292" i="4"/>
  <c r="BA292" i="4"/>
  <c r="V300" i="4"/>
  <c r="BA300" i="4"/>
  <c r="R311" i="4"/>
  <c r="U311" i="4" s="1"/>
  <c r="AS311" i="4" s="1"/>
  <c r="T311" i="4"/>
  <c r="W317" i="4"/>
  <c r="V317" i="4"/>
  <c r="T317" i="4"/>
  <c r="S317" i="4"/>
  <c r="R317" i="4"/>
  <c r="U317" i="4" s="1"/>
  <c r="BA320" i="4"/>
  <c r="AJ324" i="4"/>
  <c r="AB324" i="4"/>
  <c r="AI324" i="4"/>
  <c r="AA324" i="4"/>
  <c r="AG324" i="4"/>
  <c r="G324" i="4" s="1"/>
  <c r="AF324" i="4"/>
  <c r="AD324" i="4"/>
  <c r="AC324" i="4"/>
  <c r="AH268" i="4"/>
  <c r="AY268" i="4"/>
  <c r="BB268" i="4" s="1"/>
  <c r="AH272" i="4"/>
  <c r="AY272" i="4"/>
  <c r="BB272" i="4" s="1"/>
  <c r="Q282" i="4"/>
  <c r="D282" i="4"/>
  <c r="T306" i="4"/>
  <c r="R306" i="4"/>
  <c r="U306" i="4" s="1"/>
  <c r="W306" i="4"/>
  <c r="V306" i="4"/>
  <c r="BA308" i="4"/>
  <c r="BA311" i="4"/>
  <c r="W321" i="4"/>
  <c r="T321" i="4"/>
  <c r="S321" i="4"/>
  <c r="R321" i="4"/>
  <c r="Q328" i="4"/>
  <c r="D328" i="4"/>
  <c r="C328" i="4"/>
  <c r="BA356" i="4"/>
  <c r="AH224" i="4"/>
  <c r="AH228" i="4"/>
  <c r="AH232" i="4"/>
  <c r="AY232" i="4"/>
  <c r="BB232" i="4" s="1"/>
  <c r="AD234" i="4"/>
  <c r="Q268" i="4"/>
  <c r="AA268" i="4"/>
  <c r="Q272" i="4"/>
  <c r="AA272" i="4"/>
  <c r="C282" i="4"/>
  <c r="U285" i="4"/>
  <c r="R287" i="4"/>
  <c r="W287" i="4"/>
  <c r="V287" i="4"/>
  <c r="T287" i="4"/>
  <c r="BA291" i="4"/>
  <c r="U291" i="4"/>
  <c r="V297" i="4"/>
  <c r="T297" i="4"/>
  <c r="S297" i="4"/>
  <c r="R297" i="4"/>
  <c r="U297" i="4" s="1"/>
  <c r="AS297" i="4" s="1"/>
  <c r="T298" i="4"/>
  <c r="R298" i="4"/>
  <c r="U298" i="4" s="1"/>
  <c r="W298" i="4"/>
  <c r="V298" i="4"/>
  <c r="BA299" i="4"/>
  <c r="U299" i="4"/>
  <c r="S306" i="4"/>
  <c r="V313" i="4"/>
  <c r="T313" i="4"/>
  <c r="S313" i="4"/>
  <c r="R313" i="4"/>
  <c r="U313" i="4"/>
  <c r="BA315" i="4"/>
  <c r="U321" i="4"/>
  <c r="AQ330" i="4"/>
  <c r="C276" i="4"/>
  <c r="V277" i="4"/>
  <c r="T277" i="4"/>
  <c r="S277" i="4"/>
  <c r="V281" i="4"/>
  <c r="T281" i="4"/>
  <c r="S281" i="4"/>
  <c r="R283" i="4"/>
  <c r="U283" i="4" s="1"/>
  <c r="W283" i="4"/>
  <c r="V283" i="4"/>
  <c r="T283" i="4"/>
  <c r="H292" i="4"/>
  <c r="T310" i="4"/>
  <c r="R310" i="4"/>
  <c r="U310" i="4" s="1"/>
  <c r="W310" i="4"/>
  <c r="V310" i="4"/>
  <c r="AQ311" i="4"/>
  <c r="AK311" i="4"/>
  <c r="AS313" i="4"/>
  <c r="AY324" i="4"/>
  <c r="BB324" i="4" s="1"/>
  <c r="S310" i="4"/>
  <c r="BA312" i="4"/>
  <c r="I315" i="4"/>
  <c r="H315" i="4"/>
  <c r="E315" i="4"/>
  <c r="BA319" i="4"/>
  <c r="Q324" i="4"/>
  <c r="D324" i="4"/>
  <c r="C324" i="4"/>
  <c r="T333" i="4"/>
  <c r="AF277" i="4"/>
  <c r="AD277" i="4"/>
  <c r="AC277" i="4"/>
  <c r="AE277" i="4" s="1"/>
  <c r="R277" i="4"/>
  <c r="U277" i="4" s="1"/>
  <c r="AH277" i="4"/>
  <c r="T278" i="4"/>
  <c r="AS278" i="4" s="1"/>
  <c r="R278" i="4"/>
  <c r="U278" i="4" s="1"/>
  <c r="AF278" i="4"/>
  <c r="E279" i="4"/>
  <c r="AF281" i="4"/>
  <c r="AD281" i="4"/>
  <c r="AC281" i="4"/>
  <c r="AY281" i="4"/>
  <c r="BB281" i="4" s="1"/>
  <c r="AH281" i="4"/>
  <c r="R281" i="4"/>
  <c r="U281" i="4" s="1"/>
  <c r="AI281" i="4"/>
  <c r="S283" i="4"/>
  <c r="BA284" i="4"/>
  <c r="H285" i="4"/>
  <c r="U287" i="4"/>
  <c r="S288" i="4"/>
  <c r="T290" i="4"/>
  <c r="AS290" i="4" s="1"/>
  <c r="R290" i="4"/>
  <c r="U290" i="4" s="1"/>
  <c r="V290" i="4"/>
  <c r="AK293" i="4"/>
  <c r="AQ293" i="4"/>
  <c r="V303" i="4"/>
  <c r="BA303" i="4"/>
  <c r="U303" i="4"/>
  <c r="U314" i="4"/>
  <c r="BA314" i="4"/>
  <c r="AJ328" i="4"/>
  <c r="AB328" i="4"/>
  <c r="AI328" i="4"/>
  <c r="AA328" i="4"/>
  <c r="AY328" i="4"/>
  <c r="BB328" i="4" s="1"/>
  <c r="AH328" i="4"/>
  <c r="AG328" i="4"/>
  <c r="G328" i="4" s="1"/>
  <c r="AF328" i="4"/>
  <c r="AD328" i="4"/>
  <c r="AC328" i="4"/>
  <c r="AH234" i="4"/>
  <c r="Q276" i="4"/>
  <c r="AG278" i="4"/>
  <c r="G278" i="4" s="1"/>
  <c r="R279" i="4"/>
  <c r="U279" i="4" s="1"/>
  <c r="W279" i="4"/>
  <c r="T286" i="4"/>
  <c r="AS286" i="4" s="1"/>
  <c r="R286" i="4"/>
  <c r="U286" i="4" s="1"/>
  <c r="V286" i="4"/>
  <c r="V293" i="4"/>
  <c r="T293" i="4"/>
  <c r="S293" i="4"/>
  <c r="R293" i="4"/>
  <c r="U293" i="4" s="1"/>
  <c r="T294" i="4"/>
  <c r="R294" i="4"/>
  <c r="U294" i="4" s="1"/>
  <c r="W294" i="4"/>
  <c r="V294" i="4"/>
  <c r="BA295" i="4"/>
  <c r="U295" i="4"/>
  <c r="V301" i="4"/>
  <c r="AS301" i="4" s="1"/>
  <c r="T301" i="4"/>
  <c r="S301" i="4"/>
  <c r="R301" i="4"/>
  <c r="U301" i="4" s="1"/>
  <c r="T302" i="4"/>
  <c r="R302" i="4"/>
  <c r="U302" i="4" s="1"/>
  <c r="W302" i="4"/>
  <c r="V302" i="4"/>
  <c r="R307" i="4"/>
  <c r="T307" i="4"/>
  <c r="AS307" i="4" s="1"/>
  <c r="V309" i="4"/>
  <c r="T309" i="4"/>
  <c r="S309" i="4"/>
  <c r="R309" i="4"/>
  <c r="U309" i="4" s="1"/>
  <c r="AS309" i="4" s="1"/>
  <c r="BA316" i="4"/>
  <c r="U318" i="4"/>
  <c r="BA318" i="4"/>
  <c r="AH324" i="4"/>
  <c r="AQ333" i="4"/>
  <c r="AK333" i="4"/>
  <c r="BA280" i="4"/>
  <c r="W281" i="4"/>
  <c r="S286" i="4"/>
  <c r="V289" i="4"/>
  <c r="T289" i="4"/>
  <c r="AS289" i="4" s="1"/>
  <c r="S289" i="4"/>
  <c r="R289" i="4"/>
  <c r="U289" i="4" s="1"/>
  <c r="W293" i="4"/>
  <c r="BA304" i="4"/>
  <c r="BA307" i="4"/>
  <c r="U307" i="4"/>
  <c r="AQ313" i="4"/>
  <c r="T314" i="4"/>
  <c r="R314" i="4"/>
  <c r="W314" i="4"/>
  <c r="V314" i="4"/>
  <c r="W325" i="4"/>
  <c r="S325" i="4"/>
  <c r="R325" i="4"/>
  <c r="U325" i="4" s="1"/>
  <c r="R284" i="4"/>
  <c r="U284" i="4" s="1"/>
  <c r="AB284" i="4"/>
  <c r="AJ284" i="4"/>
  <c r="AH285" i="4"/>
  <c r="AY285" i="4"/>
  <c r="BB285" i="4" s="1"/>
  <c r="AF286" i="4"/>
  <c r="R288" i="4"/>
  <c r="U288" i="4" s="1"/>
  <c r="AB288" i="4"/>
  <c r="AJ288" i="4"/>
  <c r="AH289" i="4"/>
  <c r="AY289" i="4"/>
  <c r="BB289" i="4" s="1"/>
  <c r="AF290" i="4"/>
  <c r="T291" i="4"/>
  <c r="AS291" i="4" s="1"/>
  <c r="R292" i="4"/>
  <c r="U292" i="4" s="1"/>
  <c r="AB292" i="4"/>
  <c r="AJ292" i="4"/>
  <c r="AH293" i="4"/>
  <c r="AY293" i="4"/>
  <c r="BB293" i="4" s="1"/>
  <c r="AF294" i="4"/>
  <c r="T295" i="4"/>
  <c r="AS295" i="4" s="1"/>
  <c r="R296" i="4"/>
  <c r="U296" i="4" s="1"/>
  <c r="AB296" i="4"/>
  <c r="AJ296" i="4"/>
  <c r="AH297" i="4"/>
  <c r="AY297" i="4"/>
  <c r="BB297" i="4" s="1"/>
  <c r="AF298" i="4"/>
  <c r="T299" i="4"/>
  <c r="AS299" i="4" s="1"/>
  <c r="R300" i="4"/>
  <c r="U300" i="4" s="1"/>
  <c r="AB300" i="4"/>
  <c r="AJ300" i="4"/>
  <c r="AH301" i="4"/>
  <c r="AY301" i="4"/>
  <c r="BB301" i="4" s="1"/>
  <c r="AF302" i="4"/>
  <c r="AB304" i="4"/>
  <c r="AJ304" i="4"/>
  <c r="AH305" i="4"/>
  <c r="AY305" i="4"/>
  <c r="BB305" i="4" s="1"/>
  <c r="AB308" i="4"/>
  <c r="AJ308" i="4"/>
  <c r="AH309" i="4"/>
  <c r="AY309" i="4"/>
  <c r="BB309" i="4" s="1"/>
  <c r="AB312" i="4"/>
  <c r="AJ312" i="4"/>
  <c r="AH313" i="4"/>
  <c r="AY313" i="4"/>
  <c r="BB313" i="4" s="1"/>
  <c r="AB316" i="4"/>
  <c r="AJ316" i="4"/>
  <c r="AH317" i="4"/>
  <c r="AY317" i="4"/>
  <c r="BB317" i="4" s="1"/>
  <c r="AB320" i="4"/>
  <c r="AJ320" i="4"/>
  <c r="W322" i="4"/>
  <c r="W326" i="4"/>
  <c r="AC331" i="4"/>
  <c r="S334" i="4"/>
  <c r="V338" i="4"/>
  <c r="AA341" i="4"/>
  <c r="W344" i="4"/>
  <c r="T347" i="4"/>
  <c r="AS347" i="4" s="1"/>
  <c r="W348" i="4"/>
  <c r="R348" i="4"/>
  <c r="U348" i="4" s="1"/>
  <c r="T353" i="4"/>
  <c r="BA369" i="4"/>
  <c r="BA373" i="4"/>
  <c r="U373" i="4"/>
  <c r="S292" i="4"/>
  <c r="AC292" i="4"/>
  <c r="AE292" i="4" s="1"/>
  <c r="AA293" i="4"/>
  <c r="AI293" i="4"/>
  <c r="AG294" i="4"/>
  <c r="G294" i="4" s="1"/>
  <c r="S296" i="4"/>
  <c r="AC296" i="4"/>
  <c r="AE296" i="4" s="1"/>
  <c r="AA297" i="4"/>
  <c r="AI297" i="4"/>
  <c r="AG298" i="4"/>
  <c r="G298" i="4" s="1"/>
  <c r="S300" i="4"/>
  <c r="AC300" i="4"/>
  <c r="AE300" i="4" s="1"/>
  <c r="AA301" i="4"/>
  <c r="AI301" i="4"/>
  <c r="AG302" i="4"/>
  <c r="G302" i="4" s="1"/>
  <c r="AC304" i="4"/>
  <c r="AA305" i="4"/>
  <c r="AI305" i="4"/>
  <c r="AC308" i="4"/>
  <c r="AA309" i="4"/>
  <c r="AI309" i="4"/>
  <c r="AC312" i="4"/>
  <c r="AA313" i="4"/>
  <c r="AI313" i="4"/>
  <c r="AG314" i="4"/>
  <c r="G314" i="4" s="1"/>
  <c r="C315" i="4"/>
  <c r="AC316" i="4"/>
  <c r="AA317" i="4"/>
  <c r="AI317" i="4"/>
  <c r="W318" i="4"/>
  <c r="AG318" i="4"/>
  <c r="G318" i="4" s="1"/>
  <c r="C319" i="4"/>
  <c r="AC320" i="4"/>
  <c r="AB321" i="4"/>
  <c r="AJ321" i="4"/>
  <c r="BA321" i="4"/>
  <c r="AH322" i="4"/>
  <c r="AY322" i="4"/>
  <c r="BB322" i="4" s="1"/>
  <c r="V323" i="4"/>
  <c r="H325" i="4"/>
  <c r="BA325" i="4"/>
  <c r="AH326" i="4"/>
  <c r="AY326" i="4"/>
  <c r="BB326" i="4" s="1"/>
  <c r="V327" i="4"/>
  <c r="AF327" i="4"/>
  <c r="R329" i="4"/>
  <c r="AB329" i="4"/>
  <c r="AJ329" i="4"/>
  <c r="AD331" i="4"/>
  <c r="T332" i="4"/>
  <c r="W332" i="4"/>
  <c r="AH332" i="4"/>
  <c r="AJ333" i="4"/>
  <c r="AB333" i="4"/>
  <c r="Q333" i="4"/>
  <c r="AC333" i="4"/>
  <c r="T334" i="4"/>
  <c r="W335" i="4"/>
  <c r="T336" i="4"/>
  <c r="AS336" i="4" s="1"/>
  <c r="W338" i="4"/>
  <c r="AI338" i="4"/>
  <c r="C339" i="4"/>
  <c r="AB339" i="4"/>
  <c r="S341" i="4"/>
  <c r="AB341" i="4"/>
  <c r="D342" i="4"/>
  <c r="T342" i="4" s="1"/>
  <c r="AG344" i="4"/>
  <c r="G344" i="4" s="1"/>
  <c r="AI344" i="4"/>
  <c r="Q344" i="4"/>
  <c r="AB344" i="4"/>
  <c r="AJ347" i="4"/>
  <c r="S348" i="4"/>
  <c r="AA349" i="4"/>
  <c r="BA350" i="4"/>
  <c r="Q352" i="4"/>
  <c r="D352" i="4"/>
  <c r="V352" i="4" s="1"/>
  <c r="W353" i="4"/>
  <c r="AC360" i="4"/>
  <c r="R361" i="4"/>
  <c r="Q363" i="4"/>
  <c r="C363" i="4"/>
  <c r="U367" i="4"/>
  <c r="T373" i="4"/>
  <c r="T284" i="4"/>
  <c r="AH286" i="4"/>
  <c r="AY286" i="4"/>
  <c r="BB286" i="4" s="1"/>
  <c r="T288" i="4"/>
  <c r="AS288" i="4" s="1"/>
  <c r="AH290" i="4"/>
  <c r="AY290" i="4"/>
  <c r="BB290" i="4" s="1"/>
  <c r="V291" i="4"/>
  <c r="T292" i="4"/>
  <c r="AS292" i="4" s="1"/>
  <c r="AH294" i="4"/>
  <c r="AY294" i="4"/>
  <c r="BB294" i="4" s="1"/>
  <c r="V295" i="4"/>
  <c r="T296" i="4"/>
  <c r="AS296" i="4" s="1"/>
  <c r="AH298" i="4"/>
  <c r="AY298" i="4"/>
  <c r="BB298" i="4" s="1"/>
  <c r="V299" i="4"/>
  <c r="T300" i="4"/>
  <c r="AS300" i="4" s="1"/>
  <c r="AH302" i="4"/>
  <c r="AY302" i="4"/>
  <c r="BB302" i="4" s="1"/>
  <c r="AF303" i="4"/>
  <c r="AD304" i="4"/>
  <c r="AB305" i="4"/>
  <c r="AJ305" i="4"/>
  <c r="AH306" i="4"/>
  <c r="V307" i="4"/>
  <c r="AF307" i="4"/>
  <c r="AD308" i="4"/>
  <c r="AB309" i="4"/>
  <c r="AJ309" i="4"/>
  <c r="AH310" i="4"/>
  <c r="V311" i="4"/>
  <c r="AF311" i="4"/>
  <c r="AD312" i="4"/>
  <c r="AB313" i="4"/>
  <c r="AJ313" i="4"/>
  <c r="AH314" i="4"/>
  <c r="AY314" i="4"/>
  <c r="BB314" i="4" s="1"/>
  <c r="AF315" i="4"/>
  <c r="AD316" i="4"/>
  <c r="AB317" i="4"/>
  <c r="AJ317" i="4"/>
  <c r="AH318" i="4"/>
  <c r="AY318" i="4"/>
  <c r="BB318" i="4" s="1"/>
  <c r="AF319" i="4"/>
  <c r="AD320" i="4"/>
  <c r="AC321" i="4"/>
  <c r="W323" i="4"/>
  <c r="W327" i="4"/>
  <c r="S329" i="4"/>
  <c r="R330" i="4"/>
  <c r="U330" i="4" s="1"/>
  <c r="AY331" i="4"/>
  <c r="BB331" i="4" s="1"/>
  <c r="S333" i="4"/>
  <c r="U334" i="4"/>
  <c r="U341" i="4"/>
  <c r="AC341" i="4"/>
  <c r="AE341" i="4" s="1"/>
  <c r="R343" i="4"/>
  <c r="U343" i="4" s="1"/>
  <c r="R344" i="4"/>
  <c r="C345" i="4"/>
  <c r="Q345" i="4"/>
  <c r="R346" i="4"/>
  <c r="U346" i="4" s="1"/>
  <c r="AG348" i="4"/>
  <c r="G348" i="4" s="1"/>
  <c r="AY348" i="4"/>
  <c r="BB348" i="4" s="1"/>
  <c r="AF348" i="4"/>
  <c r="AC348" i="4"/>
  <c r="AI348" i="4"/>
  <c r="Q351" i="4"/>
  <c r="C351" i="4"/>
  <c r="R352" i="4"/>
  <c r="T359" i="4"/>
  <c r="R359" i="4"/>
  <c r="U359" i="4" s="1"/>
  <c r="S359" i="4"/>
  <c r="Q372" i="4"/>
  <c r="C372" i="4"/>
  <c r="D372" i="4"/>
  <c r="C304" i="4"/>
  <c r="AC305" i="4"/>
  <c r="C308" i="4"/>
  <c r="AC309" i="4"/>
  <c r="AE309" i="4" s="1"/>
  <c r="C312" i="4"/>
  <c r="AC313" i="4"/>
  <c r="AE313" i="4" s="1"/>
  <c r="AA314" i="4"/>
  <c r="AG315" i="4"/>
  <c r="G315" i="4" s="1"/>
  <c r="C316" i="4"/>
  <c r="AC317" i="4"/>
  <c r="AA318" i="4"/>
  <c r="AG319" i="4"/>
  <c r="G319" i="4" s="1"/>
  <c r="C320" i="4"/>
  <c r="AD321" i="4"/>
  <c r="R322" i="4"/>
  <c r="U322" i="4" s="1"/>
  <c r="AB322" i="4"/>
  <c r="AJ322" i="4"/>
  <c r="AH323" i="4"/>
  <c r="AD325" i="4"/>
  <c r="R326" i="4"/>
  <c r="U326" i="4" s="1"/>
  <c r="AB326" i="4"/>
  <c r="AJ326" i="4"/>
  <c r="AH327" i="4"/>
  <c r="AD329" i="4"/>
  <c r="S330" i="4"/>
  <c r="AG331" i="4"/>
  <c r="G331" i="4" s="1"/>
  <c r="AA332" i="4"/>
  <c r="AJ332" i="4"/>
  <c r="V334" i="4"/>
  <c r="AP334" i="4"/>
  <c r="AA335" i="4"/>
  <c r="AJ335" i="4"/>
  <c r="V336" i="4"/>
  <c r="AH336" i="4"/>
  <c r="AY337" i="4"/>
  <c r="BB337" i="4" s="1"/>
  <c r="AG337" i="4"/>
  <c r="G337" i="4" s="1"/>
  <c r="V337" i="4"/>
  <c r="AB337" i="4"/>
  <c r="BA339" i="4"/>
  <c r="S340" i="4"/>
  <c r="R341" i="4"/>
  <c r="AF341" i="4"/>
  <c r="AY341" i="4"/>
  <c r="BB341" i="4" s="1"/>
  <c r="AC342" i="4"/>
  <c r="AH342" i="4"/>
  <c r="Q342" i="4"/>
  <c r="AD342" i="4"/>
  <c r="AY342" i="4"/>
  <c r="BB342" i="4" s="1"/>
  <c r="AI343" i="4"/>
  <c r="AA343" i="4"/>
  <c r="AD343" i="4"/>
  <c r="T343" i="4"/>
  <c r="AF343" i="4"/>
  <c r="S344" i="4"/>
  <c r="AD344" i="4"/>
  <c r="AY344" i="4"/>
  <c r="BB344" i="4" s="1"/>
  <c r="AD345" i="4"/>
  <c r="AY345" i="4"/>
  <c r="BB345" i="4" s="1"/>
  <c r="T346" i="4"/>
  <c r="V348" i="4"/>
  <c r="AJ348" i="4"/>
  <c r="D349" i="4"/>
  <c r="S349" i="4" s="1"/>
  <c r="Q349" i="4"/>
  <c r="AJ352" i="4"/>
  <c r="AB352" i="4"/>
  <c r="AG352" i="4"/>
  <c r="G352" i="4" s="1"/>
  <c r="AY352" i="4"/>
  <c r="BB352" i="4" s="1"/>
  <c r="AD352" i="4"/>
  <c r="T352" i="4"/>
  <c r="AH352" i="4"/>
  <c r="AQ355" i="4"/>
  <c r="AD358" i="4"/>
  <c r="V359" i="4"/>
  <c r="D362" i="4"/>
  <c r="T362" i="4" s="1"/>
  <c r="Q362" i="4"/>
  <c r="T367" i="4"/>
  <c r="W367" i="4"/>
  <c r="S367" i="4"/>
  <c r="V367" i="4"/>
  <c r="AF370" i="4"/>
  <c r="AC370" i="4"/>
  <c r="AI370" i="4"/>
  <c r="AA370" i="4"/>
  <c r="AD370" i="4"/>
  <c r="AY370" i="4"/>
  <c r="BB370" i="4" s="1"/>
  <c r="AJ370" i="4"/>
  <c r="AG370" i="4"/>
  <c r="G370" i="4" s="1"/>
  <c r="AH279" i="4"/>
  <c r="AF280" i="4"/>
  <c r="AH283" i="4"/>
  <c r="AF284" i="4"/>
  <c r="AB286" i="4"/>
  <c r="AJ286" i="4"/>
  <c r="AH287" i="4"/>
  <c r="AF288" i="4"/>
  <c r="AB290" i="4"/>
  <c r="AJ290" i="4"/>
  <c r="AH291" i="4"/>
  <c r="AF292" i="4"/>
  <c r="AB294" i="4"/>
  <c r="AJ294" i="4"/>
  <c r="AH295" i="4"/>
  <c r="AF296" i="4"/>
  <c r="AB298" i="4"/>
  <c r="AJ298" i="4"/>
  <c r="AH299" i="4"/>
  <c r="AF300" i="4"/>
  <c r="AB302" i="4"/>
  <c r="AJ302" i="4"/>
  <c r="AH303" i="4"/>
  <c r="AF304" i="4"/>
  <c r="AH307" i="4"/>
  <c r="AF308" i="4"/>
  <c r="AH311" i="4"/>
  <c r="AF312" i="4"/>
  <c r="AH315" i="4"/>
  <c r="D316" i="4"/>
  <c r="AF316" i="4"/>
  <c r="AD317" i="4"/>
  <c r="AH319" i="4"/>
  <c r="D320" i="4"/>
  <c r="AF320" i="4"/>
  <c r="S322" i="4"/>
  <c r="AC322" i="4"/>
  <c r="S326" i="4"/>
  <c r="AC326" i="4"/>
  <c r="U329" i="4"/>
  <c r="AS329" i="4" s="1"/>
  <c r="T330" i="4"/>
  <c r="AS330" i="4" s="1"/>
  <c r="C331" i="4"/>
  <c r="AH331" i="4"/>
  <c r="AB332" i="4"/>
  <c r="W334" i="4"/>
  <c r="U337" i="4"/>
  <c r="AS337" i="4" s="1"/>
  <c r="AC338" i="4"/>
  <c r="AJ338" i="4"/>
  <c r="AA338" i="4"/>
  <c r="AD338" i="4"/>
  <c r="AY338" i="4"/>
  <c r="BB338" i="4" s="1"/>
  <c r="AI339" i="4"/>
  <c r="AA339" i="4"/>
  <c r="AY339" i="4"/>
  <c r="BB339" i="4" s="1"/>
  <c r="AF339" i="4"/>
  <c r="AQ339" i="4"/>
  <c r="T340" i="4"/>
  <c r="T341" i="4"/>
  <c r="AS341" i="4" s="1"/>
  <c r="AG341" i="4"/>
  <c r="G341" i="4" s="1"/>
  <c r="R342" i="4"/>
  <c r="T344" i="4"/>
  <c r="V346" i="4"/>
  <c r="V347" i="4"/>
  <c r="AY349" i="4"/>
  <c r="BB349" i="4" s="1"/>
  <c r="AH349" i="4"/>
  <c r="AJ349" i="4"/>
  <c r="AF349" i="4"/>
  <c r="R349" i="4"/>
  <c r="AD349" i="4"/>
  <c r="V350" i="4"/>
  <c r="S350" i="4"/>
  <c r="T350" i="4"/>
  <c r="AS350" i="4" s="1"/>
  <c r="D351" i="4"/>
  <c r="S357" i="4"/>
  <c r="W357" i="4"/>
  <c r="AD359" i="4"/>
  <c r="AI359" i="4"/>
  <c r="AA359" i="4"/>
  <c r="AG359" i="4"/>
  <c r="G359" i="4" s="1"/>
  <c r="AY359" i="4"/>
  <c r="BB359" i="4" s="1"/>
  <c r="W359" i="4"/>
  <c r="BA360" i="4"/>
  <c r="AJ368" i="4"/>
  <c r="AB368" i="4"/>
  <c r="AG368" i="4"/>
  <c r="G368" i="4" s="1"/>
  <c r="AI368" i="4"/>
  <c r="AF368" i="4"/>
  <c r="AD368" i="4"/>
  <c r="AY368" i="4"/>
  <c r="BB368" i="4" s="1"/>
  <c r="AA368" i="4"/>
  <c r="AB371" i="4"/>
  <c r="AF375" i="4"/>
  <c r="AD375" i="4"/>
  <c r="AC375" i="4"/>
  <c r="AI375" i="4"/>
  <c r="AA375" i="4"/>
  <c r="AG375" i="4"/>
  <c r="G375" i="4" s="1"/>
  <c r="AY375" i="4"/>
  <c r="BB375" i="4" s="1"/>
  <c r="AH375" i="4"/>
  <c r="BA385" i="4"/>
  <c r="V329" i="4"/>
  <c r="AP349" i="4"/>
  <c r="T355" i="4"/>
  <c r="S355" i="4"/>
  <c r="W355" i="4"/>
  <c r="V362" i="4"/>
  <c r="S362" i="4"/>
  <c r="W362" i="4"/>
  <c r="R362" i="4"/>
  <c r="C364" i="4"/>
  <c r="Q364" i="4"/>
  <c r="D364" i="4"/>
  <c r="AD371" i="4"/>
  <c r="AC371" i="4"/>
  <c r="AI371" i="4"/>
  <c r="AA371" i="4"/>
  <c r="AG371" i="4"/>
  <c r="G371" i="4" s="1"/>
  <c r="AJ371" i="4"/>
  <c r="AH371" i="4"/>
  <c r="AF371" i="4"/>
  <c r="AH280" i="4"/>
  <c r="AH284" i="4"/>
  <c r="AH288" i="4"/>
  <c r="AH292" i="4"/>
  <c r="AH296" i="4"/>
  <c r="AH300" i="4"/>
  <c r="AH304" i="4"/>
  <c r="AH308" i="4"/>
  <c r="AH312" i="4"/>
  <c r="AH316" i="4"/>
  <c r="AY316" i="4"/>
  <c r="BB316" i="4" s="1"/>
  <c r="AH320" i="4"/>
  <c r="V330" i="4"/>
  <c r="AA331" i="4"/>
  <c r="AJ331" i="4"/>
  <c r="R333" i="4"/>
  <c r="W333" i="4"/>
  <c r="AB336" i="4"/>
  <c r="AF337" i="4"/>
  <c r="BA337" i="4"/>
  <c r="T338" i="4"/>
  <c r="AF338" i="4"/>
  <c r="BA338" i="4"/>
  <c r="AH339" i="4"/>
  <c r="V340" i="4"/>
  <c r="AI341" i="4"/>
  <c r="W343" i="4"/>
  <c r="V344" i="4"/>
  <c r="AI347" i="4"/>
  <c r="AA347" i="4"/>
  <c r="AB347" i="4"/>
  <c r="AG347" i="4"/>
  <c r="G347" i="4" s="1"/>
  <c r="R347" i="4"/>
  <c r="U347" i="4" s="1"/>
  <c r="AB348" i="4"/>
  <c r="V349" i="4"/>
  <c r="AI349" i="4"/>
  <c r="AF350" i="4"/>
  <c r="AC350" i="4"/>
  <c r="AE350" i="4" s="1"/>
  <c r="AJ350" i="4"/>
  <c r="AG350" i="4"/>
  <c r="G350" i="4" s="1"/>
  <c r="R350" i="4"/>
  <c r="U350" i="4" s="1"/>
  <c r="AH350" i="4"/>
  <c r="AD351" i="4"/>
  <c r="AI351" i="4"/>
  <c r="AA351" i="4"/>
  <c r="AB351" i="4"/>
  <c r="AH351" i="4"/>
  <c r="AY351" i="4"/>
  <c r="BB351" i="4" s="1"/>
  <c r="R353" i="4"/>
  <c r="U353" i="4" s="1"/>
  <c r="D356" i="4"/>
  <c r="V356" i="4" s="1"/>
  <c r="R357" i="4"/>
  <c r="V358" i="4"/>
  <c r="S358" i="4"/>
  <c r="R358" i="4"/>
  <c r="U358" i="4" s="1"/>
  <c r="W358" i="4"/>
  <c r="AB359" i="4"/>
  <c r="AF362" i="4"/>
  <c r="AC362" i="4"/>
  <c r="AI362" i="4"/>
  <c r="AA362" i="4"/>
  <c r="AB362" i="4"/>
  <c r="AY362" i="4"/>
  <c r="BB362" i="4" s="1"/>
  <c r="AG362" i="4"/>
  <c r="G362" i="4" s="1"/>
  <c r="U365" i="4"/>
  <c r="AS365" i="4" s="1"/>
  <c r="BA365" i="4"/>
  <c r="AH368" i="4"/>
  <c r="Q376" i="4"/>
  <c r="C376" i="4"/>
  <c r="D376" i="4"/>
  <c r="AA316" i="4"/>
  <c r="AA320" i="4"/>
  <c r="AH321" i="4"/>
  <c r="AH325" i="4"/>
  <c r="AH329" i="4"/>
  <c r="Q331" i="4"/>
  <c r="AB331" i="4"/>
  <c r="AF332" i="4"/>
  <c r="AK334" i="4"/>
  <c r="AG338" i="4"/>
  <c r="G338" i="4" s="1"/>
  <c r="AJ339" i="4"/>
  <c r="AJ341" i="4"/>
  <c r="V342" i="4"/>
  <c r="S347" i="4"/>
  <c r="AD348" i="4"/>
  <c r="BA348" i="4"/>
  <c r="W349" i="4"/>
  <c r="AK349" i="4"/>
  <c r="S353" i="4"/>
  <c r="D354" i="4"/>
  <c r="Q354" i="4"/>
  <c r="C354" i="4"/>
  <c r="R355" i="4"/>
  <c r="U355" i="4" s="1"/>
  <c r="T356" i="4"/>
  <c r="T357" i="4"/>
  <c r="AF358" i="4"/>
  <c r="AC358" i="4"/>
  <c r="AY358" i="4"/>
  <c r="BB358" i="4" s="1"/>
  <c r="AB358" i="4"/>
  <c r="AI358" i="4"/>
  <c r="T358" i="4"/>
  <c r="AC359" i="4"/>
  <c r="AJ360" i="4"/>
  <c r="AB360" i="4"/>
  <c r="AG360" i="4"/>
  <c r="G360" i="4" s="1"/>
  <c r="AI360" i="4"/>
  <c r="AD360" i="4"/>
  <c r="S361" i="4"/>
  <c r="V361" i="4"/>
  <c r="S369" i="4"/>
  <c r="W369" i="4"/>
  <c r="V369" i="4"/>
  <c r="R369" i="4"/>
  <c r="U369" i="4" s="1"/>
  <c r="D370" i="4"/>
  <c r="C370" i="4"/>
  <c r="Q370" i="4"/>
  <c r="AJ372" i="4"/>
  <c r="AB372" i="4"/>
  <c r="AI372" i="4"/>
  <c r="AA372" i="4"/>
  <c r="AG372" i="4"/>
  <c r="G372" i="4" s="1"/>
  <c r="AF372" i="4"/>
  <c r="AC372" i="4"/>
  <c r="AY372" i="4"/>
  <c r="BB372" i="4" s="1"/>
  <c r="AH372" i="4"/>
  <c r="BA377" i="4"/>
  <c r="U377" i="4"/>
  <c r="AB346" i="4"/>
  <c r="AH354" i="4"/>
  <c r="AJ355" i="4"/>
  <c r="R360" i="4"/>
  <c r="U360" i="4" s="1"/>
  <c r="W360" i="4"/>
  <c r="V366" i="4"/>
  <c r="D366" i="4"/>
  <c r="Q366" i="4"/>
  <c r="D375" i="4"/>
  <c r="Q375" i="4"/>
  <c r="AQ377" i="4"/>
  <c r="AP377" i="4"/>
  <c r="AD363" i="4"/>
  <c r="AI363" i="4"/>
  <c r="AA363" i="4"/>
  <c r="AG363" i="4"/>
  <c r="G363" i="4" s="1"/>
  <c r="AJ363" i="4"/>
  <c r="AF366" i="4"/>
  <c r="AC366" i="4"/>
  <c r="AI366" i="4"/>
  <c r="AA366" i="4"/>
  <c r="AH366" i="4"/>
  <c r="W368" i="4"/>
  <c r="AH330" i="4"/>
  <c r="AH334" i="4"/>
  <c r="AB340" i="4"/>
  <c r="AF346" i="4"/>
  <c r="AY346" i="4"/>
  <c r="BB346" i="4" s="1"/>
  <c r="AJ356" i="4"/>
  <c r="AB356" i="4"/>
  <c r="AG356" i="4"/>
  <c r="G356" i="4" s="1"/>
  <c r="U357" i="4"/>
  <c r="T360" i="4"/>
  <c r="AJ364" i="4"/>
  <c r="AB364" i="4"/>
  <c r="AG364" i="4"/>
  <c r="G364" i="4" s="1"/>
  <c r="AH364" i="4"/>
  <c r="AJ366" i="4"/>
  <c r="AD367" i="4"/>
  <c r="AI367" i="4"/>
  <c r="AA367" i="4"/>
  <c r="AG367" i="4"/>
  <c r="G367" i="4" s="1"/>
  <c r="AJ367" i="4"/>
  <c r="D368" i="4"/>
  <c r="Q368" i="4"/>
  <c r="W373" i="4"/>
  <c r="S373" i="4"/>
  <c r="C375" i="4"/>
  <c r="AD376" i="4"/>
  <c r="AJ376" i="4"/>
  <c r="AB376" i="4"/>
  <c r="AI376" i="4"/>
  <c r="AA376" i="4"/>
  <c r="AG376" i="4"/>
  <c r="G376" i="4" s="1"/>
  <c r="AF376" i="4"/>
  <c r="AH376" i="4"/>
  <c r="AY376" i="4"/>
  <c r="BB376" i="4" s="1"/>
  <c r="R377" i="4"/>
  <c r="W377" i="4"/>
  <c r="T377" i="4"/>
  <c r="S377" i="4"/>
  <c r="V391" i="4"/>
  <c r="AF354" i="4"/>
  <c r="AC354" i="4"/>
  <c r="AD354" i="4"/>
  <c r="AD355" i="4"/>
  <c r="AI355" i="4"/>
  <c r="AA355" i="4"/>
  <c r="AF355" i="4"/>
  <c r="U361" i="4"/>
  <c r="AS361" i="4" s="1"/>
  <c r="AB363" i="4"/>
  <c r="AY363" i="4"/>
  <c r="BB363" i="4" s="1"/>
  <c r="S365" i="4"/>
  <c r="T368" i="4"/>
  <c r="D371" i="4"/>
  <c r="T371" i="4" s="1"/>
  <c r="D381" i="4"/>
  <c r="C381" i="4"/>
  <c r="Q381" i="4"/>
  <c r="AC361" i="4"/>
  <c r="AE361" i="4" s="1"/>
  <c r="AC365" i="4"/>
  <c r="AE365" i="4" s="1"/>
  <c r="AC369" i="4"/>
  <c r="AC373" i="4"/>
  <c r="Q374" i="4"/>
  <c r="AA374" i="4"/>
  <c r="AI374" i="4"/>
  <c r="AC377" i="4"/>
  <c r="Q378" i="4"/>
  <c r="AA378" i="4"/>
  <c r="AI378" i="4"/>
  <c r="AF379" i="4"/>
  <c r="AA381" i="4"/>
  <c r="AF382" i="4"/>
  <c r="D383" i="4"/>
  <c r="T383" i="4" s="1"/>
  <c r="AF387" i="4"/>
  <c r="AA389" i="4"/>
  <c r="AF390" i="4"/>
  <c r="D391" i="4"/>
  <c r="T391" i="4" s="1"/>
  <c r="V380" i="4"/>
  <c r="AG383" i="4"/>
  <c r="G383" i="4" s="1"/>
  <c r="AC383" i="4"/>
  <c r="AJ383" i="4"/>
  <c r="AB383" i="4"/>
  <c r="AI383" i="4"/>
  <c r="AA383" i="4"/>
  <c r="AC385" i="4"/>
  <c r="AG385" i="4"/>
  <c r="G385" i="4" s="1"/>
  <c r="AF385" i="4"/>
  <c r="AJ385" i="4"/>
  <c r="AI386" i="4"/>
  <c r="AA386" i="4"/>
  <c r="AD386" i="4"/>
  <c r="AC386" i="4"/>
  <c r="V388" i="4"/>
  <c r="AG391" i="4"/>
  <c r="G391" i="4" s="1"/>
  <c r="AC391" i="4"/>
  <c r="AJ391" i="4"/>
  <c r="AB391" i="4"/>
  <c r="AI391" i="4"/>
  <c r="AA391" i="4"/>
  <c r="U400" i="4"/>
  <c r="BA400" i="4"/>
  <c r="AC374" i="4"/>
  <c r="AC378" i="4"/>
  <c r="C379" i="4"/>
  <c r="Q382" i="4"/>
  <c r="C382" i="4"/>
  <c r="AD383" i="4"/>
  <c r="R384" i="4"/>
  <c r="AY385" i="4"/>
  <c r="BB385" i="4" s="1"/>
  <c r="Q390" i="4"/>
  <c r="C390" i="4"/>
  <c r="AD391" i="4"/>
  <c r="R392" i="4"/>
  <c r="D393" i="4"/>
  <c r="C393" i="4"/>
  <c r="BA395" i="4"/>
  <c r="U396" i="4"/>
  <c r="BA396" i="4"/>
  <c r="N6" i="5"/>
  <c r="O6" i="5" s="1"/>
  <c r="P6" i="5" s="1"/>
  <c r="Q6" i="5" s="1"/>
  <c r="R6" i="5" s="1"/>
  <c r="S6" i="5" s="1"/>
  <c r="T6" i="5" s="1"/>
  <c r="M1" i="5"/>
  <c r="W387" i="4"/>
  <c r="S387" i="4"/>
  <c r="R387" i="4"/>
  <c r="U387" i="4" s="1"/>
  <c r="D389" i="4"/>
  <c r="C389" i="4"/>
  <c r="BA393" i="4"/>
  <c r="C374" i="4"/>
  <c r="C378" i="4"/>
  <c r="AG379" i="4"/>
  <c r="G379" i="4" s="1"/>
  <c r="AC379" i="4"/>
  <c r="AJ379" i="4"/>
  <c r="AB379" i="4"/>
  <c r="AI379" i="4"/>
  <c r="AA379" i="4"/>
  <c r="AF383" i="4"/>
  <c r="T384" i="4"/>
  <c r="AA385" i="4"/>
  <c r="AF386" i="4"/>
  <c r="D387" i="4"/>
  <c r="T387" i="4" s="1"/>
  <c r="V387" i="4"/>
  <c r="Q389" i="4"/>
  <c r="AF391" i="4"/>
  <c r="T392" i="4"/>
  <c r="AQ394" i="4"/>
  <c r="AK394" i="4"/>
  <c r="AS396" i="4"/>
  <c r="BA397" i="4"/>
  <c r="BA399" i="4"/>
  <c r="AH353" i="4"/>
  <c r="AH357" i="4"/>
  <c r="AH361" i="4"/>
  <c r="AH365" i="4"/>
  <c r="AH369" i="4"/>
  <c r="AH373" i="4"/>
  <c r="AF374" i="4"/>
  <c r="AH377" i="4"/>
  <c r="AF378" i="4"/>
  <c r="W380" i="4"/>
  <c r="AC381" i="4"/>
  <c r="AG381" i="4"/>
  <c r="G381" i="4" s="1"/>
  <c r="AF381" i="4"/>
  <c r="AJ381" i="4"/>
  <c r="AI382" i="4"/>
  <c r="AA382" i="4"/>
  <c r="AD382" i="4"/>
  <c r="AC382" i="4"/>
  <c r="AH383" i="4"/>
  <c r="V384" i="4"/>
  <c r="AB385" i="4"/>
  <c r="AG386" i="4"/>
  <c r="G386" i="4" s="1"/>
  <c r="AG387" i="4"/>
  <c r="G387" i="4" s="1"/>
  <c r="AC387" i="4"/>
  <c r="AJ387" i="4"/>
  <c r="AB387" i="4"/>
  <c r="AI387" i="4"/>
  <c r="AA387" i="4"/>
  <c r="W388" i="4"/>
  <c r="AC389" i="4"/>
  <c r="AG389" i="4"/>
  <c r="G389" i="4" s="1"/>
  <c r="AF389" i="4"/>
  <c r="AJ389" i="4"/>
  <c r="AI390" i="4"/>
  <c r="AA390" i="4"/>
  <c r="AD390" i="4"/>
  <c r="AC390" i="4"/>
  <c r="AH391" i="4"/>
  <c r="V392" i="4"/>
  <c r="R380" i="4"/>
  <c r="Q386" i="4"/>
  <c r="C386" i="4"/>
  <c r="R388" i="4"/>
  <c r="AD393" i="4"/>
  <c r="AC393" i="4"/>
  <c r="AJ393" i="4"/>
  <c r="AB393" i="4"/>
  <c r="AG393" i="4"/>
  <c r="G393" i="4" s="1"/>
  <c r="AF393" i="4"/>
  <c r="AH393" i="4"/>
  <c r="AY393" i="4"/>
  <c r="BB393" i="4" s="1"/>
  <c r="BA398" i="4"/>
  <c r="AH374" i="4"/>
  <c r="W383" i="4"/>
  <c r="S383" i="4"/>
  <c r="R383" i="4"/>
  <c r="U383" i="4" s="1"/>
  <c r="D385" i="4"/>
  <c r="C385" i="4"/>
  <c r="AH385" i="4"/>
  <c r="D386" i="4"/>
  <c r="AJ386" i="4"/>
  <c r="W391" i="4"/>
  <c r="S391" i="4"/>
  <c r="R391" i="4"/>
  <c r="U391" i="4" s="1"/>
  <c r="AI393" i="4"/>
  <c r="BA394" i="4"/>
  <c r="AG380" i="4"/>
  <c r="G380" i="4" s="1"/>
  <c r="AG384" i="4"/>
  <c r="G384" i="4" s="1"/>
  <c r="AG388" i="4"/>
  <c r="G388" i="4" s="1"/>
  <c r="AG392" i="4"/>
  <c r="G392" i="4" s="1"/>
  <c r="AC394" i="4"/>
  <c r="AA395" i="4"/>
  <c r="AI395" i="4"/>
  <c r="AG396" i="4"/>
  <c r="G396" i="4" s="1"/>
  <c r="C397" i="4"/>
  <c r="AC398" i="4"/>
  <c r="AA399" i="4"/>
  <c r="AI399" i="4"/>
  <c r="AG400" i="4"/>
  <c r="G400" i="4" s="1"/>
  <c r="F1" i="5"/>
  <c r="F8" i="5"/>
  <c r="N8" i="5"/>
  <c r="V8" i="5"/>
  <c r="AD8" i="5"/>
  <c r="AL8" i="5"/>
  <c r="AT8" i="5"/>
  <c r="BB8" i="5"/>
  <c r="BJ8" i="5"/>
  <c r="BR8" i="5"/>
  <c r="BZ8" i="5"/>
  <c r="CH8" i="5"/>
  <c r="CP8" i="5"/>
  <c r="CX8" i="5"/>
  <c r="DF8" i="5"/>
  <c r="DN8" i="5"/>
  <c r="AH380" i="4"/>
  <c r="AY380" i="4"/>
  <c r="BB380" i="4" s="1"/>
  <c r="AH384" i="4"/>
  <c r="AY384" i="4"/>
  <c r="BB384" i="4" s="1"/>
  <c r="AH388" i="4"/>
  <c r="AY388" i="4"/>
  <c r="BB388" i="4" s="1"/>
  <c r="AH392" i="4"/>
  <c r="AY392" i="4"/>
  <c r="BB392" i="4" s="1"/>
  <c r="AD394" i="4"/>
  <c r="R395" i="4"/>
  <c r="U395" i="4" s="1"/>
  <c r="AS395" i="4" s="1"/>
  <c r="AB395" i="4"/>
  <c r="AJ395" i="4"/>
  <c r="AH396" i="4"/>
  <c r="AY396" i="4"/>
  <c r="BB396" i="4" s="1"/>
  <c r="D397" i="4"/>
  <c r="AF397" i="4"/>
  <c r="AD398" i="4"/>
  <c r="R399" i="4"/>
  <c r="U399" i="4" s="1"/>
  <c r="AS399" i="4" s="1"/>
  <c r="AB399" i="4"/>
  <c r="AJ399" i="4"/>
  <c r="AH400" i="4"/>
  <c r="AY400" i="4"/>
  <c r="BB400" i="4" s="1"/>
  <c r="G8" i="5"/>
  <c r="O8" i="5"/>
  <c r="W8" i="5"/>
  <c r="AE8" i="5"/>
  <c r="AM8" i="5"/>
  <c r="AU8" i="5"/>
  <c r="BC8" i="5"/>
  <c r="BK8" i="5"/>
  <c r="BS8" i="5"/>
  <c r="CA8" i="5"/>
  <c r="CI8" i="5"/>
  <c r="CQ8" i="5"/>
  <c r="CY8" i="5"/>
  <c r="DG8" i="5"/>
  <c r="DO8" i="5"/>
  <c r="E9" i="5"/>
  <c r="BQ9" i="5"/>
  <c r="Q380" i="4"/>
  <c r="AA380" i="4"/>
  <c r="Q384" i="4"/>
  <c r="AA384" i="4"/>
  <c r="Q388" i="4"/>
  <c r="AA388" i="4"/>
  <c r="Q392" i="4"/>
  <c r="AA392" i="4"/>
  <c r="C394" i="4"/>
  <c r="S395" i="4"/>
  <c r="AC395" i="4"/>
  <c r="AE395" i="4" s="1"/>
  <c r="AA396" i="4"/>
  <c r="AG397" i="4"/>
  <c r="G397" i="4" s="1"/>
  <c r="C398" i="4"/>
  <c r="S399" i="4"/>
  <c r="AC399" i="4"/>
  <c r="AE399" i="4" s="1"/>
  <c r="AA400" i="4"/>
  <c r="B21" i="5"/>
  <c r="B20" i="5"/>
  <c r="H8" i="5"/>
  <c r="P8" i="5"/>
  <c r="X8" i="5"/>
  <c r="AF8" i="5"/>
  <c r="AN8" i="5"/>
  <c r="AV8" i="5"/>
  <c r="BD8" i="5"/>
  <c r="BL8" i="5"/>
  <c r="BT8" i="5"/>
  <c r="CB8" i="5"/>
  <c r="CJ8" i="5"/>
  <c r="CR8" i="5"/>
  <c r="CZ8" i="5"/>
  <c r="DH8" i="5"/>
  <c r="BJ9" i="5"/>
  <c r="AH397" i="4"/>
  <c r="AY397" i="4"/>
  <c r="BB397" i="4" s="1"/>
  <c r="I8" i="5"/>
  <c r="Q8" i="5"/>
  <c r="Y8" i="5"/>
  <c r="AG8" i="5"/>
  <c r="AO8" i="5"/>
  <c r="AW8" i="5"/>
  <c r="BE8" i="5"/>
  <c r="BM8" i="5"/>
  <c r="BU8" i="5"/>
  <c r="CC8" i="5"/>
  <c r="CK8" i="5"/>
  <c r="CS8" i="5"/>
  <c r="DA8" i="5"/>
  <c r="DI8" i="5"/>
  <c r="DQ8" i="5"/>
  <c r="AA397" i="4"/>
  <c r="AI397" i="4"/>
  <c r="S400" i="4"/>
  <c r="A24" i="5"/>
  <c r="A23" i="5"/>
  <c r="J8" i="5"/>
  <c r="R8" i="5"/>
  <c r="Z8" i="5"/>
  <c r="AH8" i="5"/>
  <c r="AP8" i="5"/>
  <c r="AX8" i="5"/>
  <c r="BF8" i="5"/>
  <c r="BN8" i="5"/>
  <c r="BV8" i="5"/>
  <c r="CD8" i="5"/>
  <c r="CL8" i="5"/>
  <c r="CT8" i="5"/>
  <c r="DB8" i="5"/>
  <c r="DJ8" i="5"/>
  <c r="DR8" i="5"/>
  <c r="AH394" i="4"/>
  <c r="AY394" i="4"/>
  <c r="BB394" i="4" s="1"/>
  <c r="V395" i="4"/>
  <c r="AF395" i="4"/>
  <c r="AB397" i="4"/>
  <c r="AJ397" i="4"/>
  <c r="AH398" i="4"/>
  <c r="AY398" i="4"/>
  <c r="BB398" i="4" s="1"/>
  <c r="V399" i="4"/>
  <c r="AF399" i="4"/>
  <c r="T400" i="4"/>
  <c r="AS400" i="4" s="1"/>
  <c r="K8" i="5"/>
  <c r="S8" i="5"/>
  <c r="AA8" i="5"/>
  <c r="AI8" i="5"/>
  <c r="AQ8" i="5"/>
  <c r="AY8" i="5"/>
  <c r="BG8" i="5"/>
  <c r="BO8" i="5"/>
  <c r="BW8" i="5"/>
  <c r="CE8" i="5"/>
  <c r="CM8" i="5"/>
  <c r="CU8" i="5"/>
  <c r="DC8" i="5"/>
  <c r="DK8" i="5"/>
  <c r="DS8" i="5"/>
  <c r="AA394" i="4"/>
  <c r="AI394" i="4"/>
  <c r="AG395" i="4"/>
  <c r="G395" i="4" s="1"/>
  <c r="AC397" i="4"/>
  <c r="AA398" i="4"/>
  <c r="AI398" i="4"/>
  <c r="AG399" i="4"/>
  <c r="G399" i="4" s="1"/>
  <c r="L8" i="5"/>
  <c r="T8" i="5"/>
  <c r="AB8" i="5"/>
  <c r="AJ8" i="5"/>
  <c r="AR8" i="5"/>
  <c r="AZ8" i="5"/>
  <c r="BH8" i="5"/>
  <c r="BP8" i="5"/>
  <c r="BX8" i="5"/>
  <c r="CF8" i="5"/>
  <c r="CN8" i="5"/>
  <c r="CV8" i="5"/>
  <c r="DD8" i="5"/>
  <c r="DL8" i="5"/>
  <c r="DT8" i="5"/>
  <c r="J9" i="5"/>
  <c r="R9" i="5"/>
  <c r="AH9" i="5"/>
  <c r="AX9" i="5"/>
  <c r="BN9" i="5"/>
  <c r="BV9" i="5"/>
  <c r="CD9" i="5"/>
  <c r="CT9" i="5"/>
  <c r="DJ9" i="5"/>
  <c r="AB394" i="4"/>
  <c r="AH395" i="4"/>
  <c r="AB398" i="4"/>
  <c r="AH399" i="4"/>
  <c r="M8" i="5"/>
  <c r="U8" i="5"/>
  <c r="AC8" i="5"/>
  <c r="AK8" i="5"/>
  <c r="AS8" i="5"/>
  <c r="BA8" i="5"/>
  <c r="BI8" i="5"/>
  <c r="BQ8" i="5"/>
  <c r="BY8" i="5"/>
  <c r="CG8" i="5"/>
  <c r="CO8" i="5"/>
  <c r="CW8" i="5"/>
  <c r="DE8" i="5"/>
  <c r="B10" i="6"/>
  <c r="C9" i="6"/>
  <c r="B9" i="6"/>
  <c r="D10" i="6"/>
  <c r="M1" i="6"/>
  <c r="N6" i="6"/>
  <c r="O6" i="6" s="1"/>
  <c r="P6" i="6" s="1"/>
  <c r="Q6" i="6" s="1"/>
  <c r="R6" i="6" s="1"/>
  <c r="S6" i="6" s="1"/>
  <c r="T6" i="6" s="1"/>
  <c r="AB378" i="8"/>
  <c r="AJ376" i="8"/>
  <c r="AF371" i="8"/>
  <c r="AY370" i="8"/>
  <c r="BB370" i="8" s="1"/>
  <c r="AI362" i="8"/>
  <c r="AA360" i="8"/>
  <c r="I360" i="8" s="1"/>
  <c r="AD359" i="8"/>
  <c r="AY357" i="8"/>
  <c r="BB357" i="8" s="1"/>
  <c r="AC355" i="8"/>
  <c r="AD353" i="8"/>
  <c r="AH352" i="8"/>
  <c r="AF351" i="8"/>
  <c r="AH350" i="8"/>
  <c r="AG349" i="8"/>
  <c r="G349" i="8" s="1"/>
  <c r="AQ349" i="8" s="1"/>
  <c r="AY348" i="8"/>
  <c r="BB348" i="8" s="1"/>
  <c r="AG348" i="8"/>
  <c r="G348" i="8" s="1"/>
  <c r="AQ348" i="8" s="1"/>
  <c r="AH347" i="8"/>
  <c r="AA346" i="8"/>
  <c r="I346" i="8" s="1"/>
  <c r="AG345" i="8"/>
  <c r="G345" i="8" s="1"/>
  <c r="AK345" i="8" s="1"/>
  <c r="AI344" i="8"/>
  <c r="AD343" i="8"/>
  <c r="AI341" i="8"/>
  <c r="AY340" i="8"/>
  <c r="BB340" i="8" s="1"/>
  <c r="AH340" i="8"/>
  <c r="AI339" i="8"/>
  <c r="AA338" i="8"/>
  <c r="I338" i="8" s="1"/>
  <c r="AG337" i="8"/>
  <c r="G337" i="8" s="1"/>
  <c r="AK337" i="8" s="1"/>
  <c r="AI336" i="8"/>
  <c r="AY335" i="8"/>
  <c r="BB335" i="8" s="1"/>
  <c r="AH335" i="8"/>
  <c r="AY334" i="8"/>
  <c r="BB334" i="8" s="1"/>
  <c r="AD334" i="8"/>
  <c r="AC333" i="8"/>
  <c r="AS333" i="8" s="1"/>
  <c r="AD332" i="8"/>
  <c r="AF331" i="8"/>
  <c r="AG330" i="8"/>
  <c r="G330" i="8" s="1"/>
  <c r="AQ330" i="8" s="1"/>
  <c r="AD329" i="8"/>
  <c r="AF328" i="8"/>
  <c r="AA326" i="8"/>
  <c r="D326" i="8" s="1"/>
  <c r="AA324" i="8"/>
  <c r="AA323" i="8"/>
  <c r="C323" i="8" s="1"/>
  <c r="AY322" i="8"/>
  <c r="BB322" i="8" s="1"/>
  <c r="AA321" i="8"/>
  <c r="C321" i="8" s="1"/>
  <c r="AA320" i="8"/>
  <c r="H320" i="8" s="1"/>
  <c r="AB376" i="8"/>
  <c r="AG374" i="8"/>
  <c r="G374" i="8" s="1"/>
  <c r="AQ374" i="8" s="1"/>
  <c r="AB371" i="8"/>
  <c r="AH366" i="8"/>
  <c r="AH362" i="8"/>
  <c r="AI361" i="8"/>
  <c r="AC359" i="8"/>
  <c r="AD357" i="8"/>
  <c r="AI356" i="8"/>
  <c r="AA355" i="8"/>
  <c r="C355" i="8" s="1"/>
  <c r="AI354" i="8"/>
  <c r="AC353" i="8"/>
  <c r="AG352" i="8"/>
  <c r="G352" i="8" s="1"/>
  <c r="AK352" i="8" s="1"/>
  <c r="AY351" i="8"/>
  <c r="BB351" i="8" s="1"/>
  <c r="AD351" i="8"/>
  <c r="AG350" i="8"/>
  <c r="G350" i="8" s="1"/>
  <c r="AQ350" i="8" s="1"/>
  <c r="AY349" i="8"/>
  <c r="BB349" i="8" s="1"/>
  <c r="AF349" i="8"/>
  <c r="AF348" i="8"/>
  <c r="AG347" i="8"/>
  <c r="G347" i="8" s="1"/>
  <c r="AQ347" i="8" s="1"/>
  <c r="AI346" i="8"/>
  <c r="AF345" i="8"/>
  <c r="AH344" i="8"/>
  <c r="AC343" i="8"/>
  <c r="AS343" i="8" s="1"/>
  <c r="AI342" i="8"/>
  <c r="AH341" i="8"/>
  <c r="AG340" i="8"/>
  <c r="G340" i="8" s="1"/>
  <c r="AH339" i="8"/>
  <c r="AF337" i="8"/>
  <c r="AH336" i="8"/>
  <c r="AG335" i="8"/>
  <c r="G335" i="8" s="1"/>
  <c r="AC334" i="8"/>
  <c r="AS334" i="8" s="1"/>
  <c r="AA333" i="8"/>
  <c r="AC332" i="8"/>
  <c r="AD331" i="8"/>
  <c r="AF330" i="8"/>
  <c r="AC329" i="8"/>
  <c r="AD327" i="8"/>
  <c r="AI325" i="8"/>
  <c r="AI324" i="8"/>
  <c r="AD322" i="8"/>
  <c r="AI321" i="8"/>
  <c r="AB374" i="8"/>
  <c r="AJ372" i="8"/>
  <c r="AD366" i="8"/>
  <c r="AG364" i="8"/>
  <c r="G364" i="8" s="1"/>
  <c r="AK364" i="8" s="1"/>
  <c r="AF362" i="8"/>
  <c r="AH361" i="8"/>
  <c r="AA359" i="8"/>
  <c r="AI358" i="8"/>
  <c r="AC357" i="8"/>
  <c r="AH356" i="8"/>
  <c r="AH354" i="8"/>
  <c r="AA353" i="8"/>
  <c r="H353" i="8" s="1"/>
  <c r="AY352" i="8"/>
  <c r="BB352" i="8" s="1"/>
  <c r="AF352" i="8"/>
  <c r="AC351" i="8"/>
  <c r="AF350" i="8"/>
  <c r="AD349" i="8"/>
  <c r="AY347" i="8"/>
  <c r="BB347" i="8" s="1"/>
  <c r="AF347" i="8"/>
  <c r="AH346" i="8"/>
  <c r="AY345" i="8"/>
  <c r="BB345" i="8" s="1"/>
  <c r="AY344" i="8"/>
  <c r="BB344" i="8" s="1"/>
  <c r="AG344" i="8"/>
  <c r="G344" i="8" s="1"/>
  <c r="AQ344" i="8" s="1"/>
  <c r="AA343" i="8"/>
  <c r="AH342" i="8"/>
  <c r="AG341" i="8"/>
  <c r="G341" i="8" s="1"/>
  <c r="AK341" i="8" s="1"/>
  <c r="AF340" i="8"/>
  <c r="AG339" i="8"/>
  <c r="G339" i="8" s="1"/>
  <c r="AQ339" i="8" s="1"/>
  <c r="AI338" i="8"/>
  <c r="AY337" i="8"/>
  <c r="BB337" i="8" s="1"/>
  <c r="AY336" i="8"/>
  <c r="BB336" i="8" s="1"/>
  <c r="AG336" i="8"/>
  <c r="G336" i="8" s="1"/>
  <c r="AQ336" i="8" s="1"/>
  <c r="AF335" i="8"/>
  <c r="AA334" i="8"/>
  <c r="D334" i="8" s="1"/>
  <c r="AA332" i="8"/>
  <c r="AC331" i="8"/>
  <c r="AE331" i="8" s="1"/>
  <c r="AY330" i="8"/>
  <c r="BB330" i="8" s="1"/>
  <c r="AA329" i="8"/>
  <c r="C329" i="8" s="1"/>
  <c r="AD328" i="8"/>
  <c r="AC327" i="8"/>
  <c r="AI326" i="8"/>
  <c r="AH325" i="8"/>
  <c r="AH324" i="8"/>
  <c r="AI323" i="8"/>
  <c r="AC322" i="8"/>
  <c r="AH321" i="8"/>
  <c r="AI320" i="8"/>
  <c r="AG377" i="8"/>
  <c r="G377" i="8" s="1"/>
  <c r="AK377" i="8" s="1"/>
  <c r="AF372" i="8"/>
  <c r="AC366" i="8"/>
  <c r="AD364" i="8"/>
  <c r="AD362" i="8"/>
  <c r="AF361" i="8"/>
  <c r="AH358" i="8"/>
  <c r="AA357" i="8"/>
  <c r="AF356" i="8"/>
  <c r="AI355" i="8"/>
  <c r="AF354" i="8"/>
  <c r="AD352" i="8"/>
  <c r="AA351" i="8"/>
  <c r="I351" i="8" s="1"/>
  <c r="AY350" i="8"/>
  <c r="BB350" i="8" s="1"/>
  <c r="AD350" i="8"/>
  <c r="AC349" i="8"/>
  <c r="AS349" i="8" s="1"/>
  <c r="AD348" i="8"/>
  <c r="AD347" i="8"/>
  <c r="AG346" i="8"/>
  <c r="G346" i="8" s="1"/>
  <c r="AQ346" i="8" s="1"/>
  <c r="AD345" i="8"/>
  <c r="AF344" i="8"/>
  <c r="AG342" i="8"/>
  <c r="G342" i="8" s="1"/>
  <c r="AK342" i="8" s="1"/>
  <c r="AY341" i="8"/>
  <c r="BB341" i="8" s="1"/>
  <c r="AF341" i="8"/>
  <c r="AY339" i="8"/>
  <c r="BB339" i="8" s="1"/>
  <c r="AF339" i="8"/>
  <c r="AH338" i="8"/>
  <c r="AD337" i="8"/>
  <c r="AF336" i="8"/>
  <c r="AD335" i="8"/>
  <c r="AI333" i="8"/>
  <c r="AI332" i="8"/>
  <c r="AA331" i="8"/>
  <c r="H331" i="8" s="1"/>
  <c r="AA379" i="8"/>
  <c r="D379" i="8" s="1"/>
  <c r="AF377" i="8"/>
  <c r="AJ375" i="8"/>
  <c r="AB372" i="8"/>
  <c r="AJ368" i="8"/>
  <c r="AC364" i="8"/>
  <c r="AE364" i="8" s="1"/>
  <c r="AA362" i="8"/>
  <c r="C362" i="8" s="1"/>
  <c r="AY361" i="8"/>
  <c r="BB361" i="8" s="1"/>
  <c r="AD361" i="8"/>
  <c r="AI360" i="8"/>
  <c r="AI359" i="8"/>
  <c r="AF358" i="8"/>
  <c r="AD356" i="8"/>
  <c r="AH355" i="8"/>
  <c r="AD354" i="8"/>
  <c r="AI353" i="8"/>
  <c r="AA352" i="8"/>
  <c r="AC350" i="8"/>
  <c r="AA349" i="8"/>
  <c r="AC348" i="8"/>
  <c r="AC347" i="8"/>
  <c r="AS347" i="8" s="1"/>
  <c r="AF346" i="8"/>
  <c r="AC345" i="8"/>
  <c r="AD344" i="8"/>
  <c r="AI343" i="8"/>
  <c r="AF342" i="8"/>
  <c r="AD341" i="8"/>
  <c r="AD340" i="8"/>
  <c r="AD339" i="8"/>
  <c r="AG338" i="8"/>
  <c r="G338" i="8" s="1"/>
  <c r="AQ338" i="8" s="1"/>
  <c r="AC337" i="8"/>
  <c r="AC335" i="8"/>
  <c r="AS335" i="8" s="1"/>
  <c r="AI334" i="8"/>
  <c r="AH333" i="8"/>
  <c r="AH332" i="8"/>
  <c r="AC330" i="8"/>
  <c r="AH329" i="8"/>
  <c r="AA328" i="8"/>
  <c r="C328" i="8" s="1"/>
  <c r="AI327" i="8"/>
  <c r="AG326" i="8"/>
  <c r="G326" i="8" s="1"/>
  <c r="AQ326" i="8" s="1"/>
  <c r="AB377" i="8"/>
  <c r="AG375" i="8"/>
  <c r="G375" i="8" s="1"/>
  <c r="AF373" i="8"/>
  <c r="AY372" i="8"/>
  <c r="BB372" i="8" s="1"/>
  <c r="AJ370" i="8"/>
  <c r="AJ365" i="8"/>
  <c r="AA361" i="8"/>
  <c r="C361" i="8" s="1"/>
  <c r="AH360" i="8"/>
  <c r="AH359" i="8"/>
  <c r="AD358" i="8"/>
  <c r="AI357" i="8"/>
  <c r="AY356" i="8"/>
  <c r="BB356" i="8" s="1"/>
  <c r="AC356" i="8"/>
  <c r="AF355" i="8"/>
  <c r="AY354" i="8"/>
  <c r="BB354" i="8" s="1"/>
  <c r="AC354" i="8"/>
  <c r="AS354" i="8" s="1"/>
  <c r="AH353" i="8"/>
  <c r="AI351" i="8"/>
  <c r="AA350" i="8"/>
  <c r="D350" i="8" s="1"/>
  <c r="AA348" i="8"/>
  <c r="AA347" i="8"/>
  <c r="C347" i="8" s="1"/>
  <c r="AY346" i="8"/>
  <c r="BB346" i="8" s="1"/>
  <c r="AA345" i="8"/>
  <c r="AC344" i="8"/>
  <c r="AS344" i="8" s="1"/>
  <c r="AH343" i="8"/>
  <c r="AY342" i="8"/>
  <c r="BB342" i="8" s="1"/>
  <c r="AD342" i="8"/>
  <c r="AC341" i="8"/>
  <c r="AS341" i="8" s="1"/>
  <c r="AC340" i="8"/>
  <c r="AC339" i="8"/>
  <c r="AE339" i="8" s="1"/>
  <c r="AF338" i="8"/>
  <c r="AA337" i="8"/>
  <c r="C337" i="8" s="1"/>
  <c r="AD336" i="8"/>
  <c r="AA335" i="8"/>
  <c r="C335" i="8" s="1"/>
  <c r="AH334" i="8"/>
  <c r="AG333" i="8"/>
  <c r="G333" i="8" s="1"/>
  <c r="AQ333" i="8" s="1"/>
  <c r="AY332" i="8"/>
  <c r="BB332" i="8" s="1"/>
  <c r="AG332" i="8"/>
  <c r="G332" i="8" s="1"/>
  <c r="AQ332" i="8" s="1"/>
  <c r="AI331" i="8"/>
  <c r="AA330" i="8"/>
  <c r="H330" i="8" s="1"/>
  <c r="AG329" i="8"/>
  <c r="G329" i="8" s="1"/>
  <c r="AQ329" i="8" s="1"/>
  <c r="AI328" i="8"/>
  <c r="AY327" i="8"/>
  <c r="BB327" i="8" s="1"/>
  <c r="AH327" i="8"/>
  <c r="AF326" i="8"/>
  <c r="AD325" i="8"/>
  <c r="AY323" i="8"/>
  <c r="BB323" i="8" s="1"/>
  <c r="AF323" i="8"/>
  <c r="AH322" i="8"/>
  <c r="AY321" i="8"/>
  <c r="BB321" i="8" s="1"/>
  <c r="AY320" i="8"/>
  <c r="BB320" i="8" s="1"/>
  <c r="AA384" i="8"/>
  <c r="I384" i="8" s="1"/>
  <c r="AB375" i="8"/>
  <c r="AB373" i="8"/>
  <c r="AF370" i="8"/>
  <c r="AD365" i="8"/>
  <c r="AF360" i="8"/>
  <c r="AF359" i="8"/>
  <c r="AY358" i="8"/>
  <c r="BB358" i="8" s="1"/>
  <c r="AC358" i="8"/>
  <c r="AH357" i="8"/>
  <c r="AA356" i="8"/>
  <c r="E356" i="8" s="1"/>
  <c r="AY355" i="8"/>
  <c r="BB355" i="8" s="1"/>
  <c r="AA354" i="8"/>
  <c r="AF353" i="8"/>
  <c r="AH351" i="8"/>
  <c r="AI349" i="8"/>
  <c r="AI348" i="8"/>
  <c r="AD346" i="8"/>
  <c r="AI345" i="8"/>
  <c r="AA344" i="8"/>
  <c r="AG343" i="8"/>
  <c r="G343" i="8" s="1"/>
  <c r="AQ343" i="8" s="1"/>
  <c r="AC342" i="8"/>
  <c r="AS342" i="8" s="1"/>
  <c r="AA341" i="8"/>
  <c r="AA340" i="8"/>
  <c r="AA339" i="8"/>
  <c r="E339" i="8" s="1"/>
  <c r="AY338" i="8"/>
  <c r="BB338" i="8" s="1"/>
  <c r="AD338" i="8"/>
  <c r="AI337" i="8"/>
  <c r="AC336" i="8"/>
  <c r="AG334" i="8"/>
  <c r="G334" i="8" s="1"/>
  <c r="AY333" i="8"/>
  <c r="BB333" i="8" s="1"/>
  <c r="AF333" i="8"/>
  <c r="AF332" i="8"/>
  <c r="AH331" i="8"/>
  <c r="AI330" i="8"/>
  <c r="AF329" i="8"/>
  <c r="AC365" i="8"/>
  <c r="AE365" i="8" s="1"/>
  <c r="AI350" i="8"/>
  <c r="AH345" i="8"/>
  <c r="AC328" i="8"/>
  <c r="AY326" i="8"/>
  <c r="BB326" i="8" s="1"/>
  <c r="AC325" i="8"/>
  <c r="AS325" i="8" s="1"/>
  <c r="AG324" i="8"/>
  <c r="G324" i="8" s="1"/>
  <c r="AQ324" i="8" s="1"/>
  <c r="AG322" i="8"/>
  <c r="G322" i="8" s="1"/>
  <c r="AQ322" i="8" s="1"/>
  <c r="AC321" i="8"/>
  <c r="AD320" i="8"/>
  <c r="AA319" i="8"/>
  <c r="C319" i="8" s="1"/>
  <c r="AH318" i="8"/>
  <c r="AG317" i="8"/>
  <c r="G317" i="8" s="1"/>
  <c r="AQ317" i="8" s="1"/>
  <c r="AF316" i="8"/>
  <c r="AG315" i="8"/>
  <c r="G315" i="8" s="1"/>
  <c r="AQ315" i="8" s="1"/>
  <c r="AD314" i="8"/>
  <c r="AD313" i="8"/>
  <c r="AJ311" i="8"/>
  <c r="AJ309" i="8"/>
  <c r="AH306" i="8"/>
  <c r="AC305" i="8"/>
  <c r="AS305" i="8" s="1"/>
  <c r="AY304" i="8"/>
  <c r="BB304" i="8" s="1"/>
  <c r="AB302" i="8"/>
  <c r="AF299" i="8"/>
  <c r="AB292" i="8"/>
  <c r="AI287" i="8"/>
  <c r="AA286" i="8"/>
  <c r="E286" i="8" s="1"/>
  <c r="AA282" i="8"/>
  <c r="H282" i="8" s="1"/>
  <c r="AG280" i="8"/>
  <c r="G280" i="8" s="1"/>
  <c r="AK280" i="8" s="1"/>
  <c r="AB279" i="8"/>
  <c r="AI278" i="8"/>
  <c r="AB277" i="8"/>
  <c r="AA276" i="8"/>
  <c r="AG274" i="8"/>
  <c r="G274" i="8" s="1"/>
  <c r="AG272" i="8"/>
  <c r="G272" i="8" s="1"/>
  <c r="AK272" i="8" s="1"/>
  <c r="AB271" i="8"/>
  <c r="AI270" i="8"/>
  <c r="AH269" i="8"/>
  <c r="AD355" i="8"/>
  <c r="AA342" i="8"/>
  <c r="D342" i="8" s="1"/>
  <c r="AA336" i="8"/>
  <c r="I336" i="8" s="1"/>
  <c r="AD333" i="8"/>
  <c r="AI329" i="8"/>
  <c r="AY325" i="8"/>
  <c r="BB325" i="8" s="1"/>
  <c r="AA325" i="8"/>
  <c r="AF324" i="8"/>
  <c r="AH323" i="8"/>
  <c r="AF322" i="8"/>
  <c r="AC320" i="8"/>
  <c r="AS320" i="8" s="1"/>
  <c r="AI319" i="8"/>
  <c r="AG318" i="8"/>
  <c r="G318" i="8" s="1"/>
  <c r="AK318" i="8" s="1"/>
  <c r="AY317" i="8"/>
  <c r="BB317" i="8" s="1"/>
  <c r="AF317" i="8"/>
  <c r="AY315" i="8"/>
  <c r="BB315" i="8" s="1"/>
  <c r="AF315" i="8"/>
  <c r="AC314" i="8"/>
  <c r="AE314" i="8" s="1"/>
  <c r="AC313" i="8"/>
  <c r="AS313" i="8" s="1"/>
  <c r="AF311" i="8"/>
  <c r="AY310" i="8"/>
  <c r="BB310" i="8" s="1"/>
  <c r="AC306" i="8"/>
  <c r="AE306" i="8" s="1"/>
  <c r="AC299" i="8"/>
  <c r="AS299" i="8" s="1"/>
  <c r="AA358" i="8"/>
  <c r="H358" i="8" s="1"/>
  <c r="AY353" i="8"/>
  <c r="BB353" i="8" s="1"/>
  <c r="AI352" i="8"/>
  <c r="AY343" i="8"/>
  <c r="BB343" i="8" s="1"/>
  <c r="AC338" i="8"/>
  <c r="AY328" i="8"/>
  <c r="BB328" i="8" s="1"/>
  <c r="AD324" i="8"/>
  <c r="AG323" i="8"/>
  <c r="G323" i="8" s="1"/>
  <c r="AQ323" i="8" s="1"/>
  <c r="AA322" i="8"/>
  <c r="H322" i="8" s="1"/>
  <c r="AY319" i="8"/>
  <c r="BB319" i="8" s="1"/>
  <c r="AH319" i="8"/>
  <c r="AF318" i="8"/>
  <c r="AD317" i="8"/>
  <c r="AD316" i="8"/>
  <c r="AD315" i="8"/>
  <c r="AA314" i="8"/>
  <c r="D314" i="8" s="1"/>
  <c r="AA313" i="8"/>
  <c r="D313" i="8" s="1"/>
  <c r="AB311" i="8"/>
  <c r="AB306" i="8"/>
  <c r="AJ303" i="8"/>
  <c r="AD297" i="8"/>
  <c r="AG294" i="8"/>
  <c r="G294" i="8" s="1"/>
  <c r="AK294" i="8" s="1"/>
  <c r="AJ291" i="8"/>
  <c r="AI288" i="8"/>
  <c r="AA287" i="8"/>
  <c r="C287" i="8" s="1"/>
  <c r="AI285" i="8"/>
  <c r="AF284" i="8"/>
  <c r="AH281" i="8"/>
  <c r="AA280" i="8"/>
  <c r="AY278" i="8"/>
  <c r="BB278" i="8" s="1"/>
  <c r="AA278" i="8"/>
  <c r="I278" i="8" s="1"/>
  <c r="AA272" i="8"/>
  <c r="AY270" i="8"/>
  <c r="BB270" i="8" s="1"/>
  <c r="AG270" i="8"/>
  <c r="G270" i="8" s="1"/>
  <c r="AK270" i="8" s="1"/>
  <c r="AB269" i="8"/>
  <c r="AH267" i="8"/>
  <c r="AG265" i="8"/>
  <c r="G265" i="8" s="1"/>
  <c r="AJ262" i="8"/>
  <c r="AB260" i="8"/>
  <c r="AJ371" i="8"/>
  <c r="AY359" i="8"/>
  <c r="BB359" i="8" s="1"/>
  <c r="AH349" i="8"/>
  <c r="AI347" i="8"/>
  <c r="AG331" i="8"/>
  <c r="G331" i="8" s="1"/>
  <c r="AQ331" i="8" s="1"/>
  <c r="AY324" i="8"/>
  <c r="BB324" i="8" s="1"/>
  <c r="AC324" i="8"/>
  <c r="AD323" i="8"/>
  <c r="AG319" i="8"/>
  <c r="G319" i="8" s="1"/>
  <c r="AY318" i="8"/>
  <c r="BB318" i="8" s="1"/>
  <c r="AD318" i="8"/>
  <c r="AC317" i="8"/>
  <c r="AC316" i="8"/>
  <c r="AC315" i="8"/>
  <c r="AF312" i="8"/>
  <c r="AF303" i="8"/>
  <c r="AY302" i="8"/>
  <c r="BB302" i="8" s="1"/>
  <c r="AJ301" i="8"/>
  <c r="AB297" i="8"/>
  <c r="AD294" i="8"/>
  <c r="AJ292" i="8"/>
  <c r="AH291" i="8"/>
  <c r="AF288" i="8"/>
  <c r="AD360" i="8"/>
  <c r="AI335" i="8"/>
  <c r="AH326" i="8"/>
  <c r="AC323" i="8"/>
  <c r="AS323" i="8" s="1"/>
  <c r="AF319" i="8"/>
  <c r="AC318" i="8"/>
  <c r="AE318" i="8" s="1"/>
  <c r="AA317" i="8"/>
  <c r="C317" i="8" s="1"/>
  <c r="AA316" i="8"/>
  <c r="AA315" i="8"/>
  <c r="C315" i="8" s="1"/>
  <c r="AI314" i="8"/>
  <c r="AI313" i="8"/>
  <c r="AB312" i="8"/>
  <c r="AY311" i="8"/>
  <c r="BB311" i="8" s="1"/>
  <c r="AH307" i="8"/>
  <c r="AB303" i="8"/>
  <c r="AG298" i="8"/>
  <c r="G298" i="8" s="1"/>
  <c r="AK298" i="8" s="1"/>
  <c r="AH292" i="8"/>
  <c r="AG291" i="8"/>
  <c r="G291" i="8" s="1"/>
  <c r="AK291" i="8" s="1"/>
  <c r="AI289" i="8"/>
  <c r="AA288" i="8"/>
  <c r="C288" i="8" s="1"/>
  <c r="AA285" i="8"/>
  <c r="H285" i="8" s="1"/>
  <c r="AI276" i="8"/>
  <c r="AH275" i="8"/>
  <c r="AY267" i="8"/>
  <c r="BB267" i="8" s="1"/>
  <c r="AY262" i="8"/>
  <c r="BB262" i="8" s="1"/>
  <c r="AH262" i="8"/>
  <c r="AA256" i="8"/>
  <c r="I256" i="8" s="1"/>
  <c r="AF255" i="8"/>
  <c r="AI254" i="8"/>
  <c r="AD252" i="8"/>
  <c r="AF251" i="8"/>
  <c r="AG250" i="8"/>
  <c r="G250" i="8" s="1"/>
  <c r="AA248" i="8"/>
  <c r="H248" i="8" s="1"/>
  <c r="AG247" i="8"/>
  <c r="G247" i="8" s="1"/>
  <c r="AP247" i="8" s="1"/>
  <c r="AJ246" i="8"/>
  <c r="AG378" i="8"/>
  <c r="G378" i="8" s="1"/>
  <c r="AQ378" i="8" s="1"/>
  <c r="AF367" i="8"/>
  <c r="AF357" i="8"/>
  <c r="AG351" i="8"/>
  <c r="G351" i="8" s="1"/>
  <c r="AC346" i="8"/>
  <c r="AH337" i="8"/>
  <c r="AH330" i="8"/>
  <c r="AY329" i="8"/>
  <c r="BB329" i="8" s="1"/>
  <c r="AG327" i="8"/>
  <c r="G327" i="8" s="1"/>
  <c r="AD326" i="8"/>
  <c r="AG321" i="8"/>
  <c r="G321" i="8" s="1"/>
  <c r="AK321" i="8" s="1"/>
  <c r="AH320" i="8"/>
  <c r="AA318" i="8"/>
  <c r="D318" i="8" s="1"/>
  <c r="AI316" i="8"/>
  <c r="AH314" i="8"/>
  <c r="AH313" i="8"/>
  <c r="AJ310" i="8"/>
  <c r="AC307" i="8"/>
  <c r="AJ305" i="8"/>
  <c r="AF304" i="8"/>
  <c r="AY303" i="8"/>
  <c r="BB303" i="8" s="1"/>
  <c r="AF298" i="8"/>
  <c r="AJ293" i="8"/>
  <c r="AG292" i="8"/>
  <c r="G292" i="8" s="1"/>
  <c r="AK292" i="8" s="1"/>
  <c r="AF291" i="8"/>
  <c r="AF289" i="8"/>
  <c r="AA283" i="8"/>
  <c r="E283" i="8" s="1"/>
  <c r="AJ277" i="8"/>
  <c r="AH276" i="8"/>
  <c r="AG275" i="8"/>
  <c r="G275" i="8" s="1"/>
  <c r="AK275" i="8" s="1"/>
  <c r="AF268" i="8"/>
  <c r="AD266" i="8"/>
  <c r="AG262" i="8"/>
  <c r="G262" i="8" s="1"/>
  <c r="AK262" i="8" s="1"/>
  <c r="AH261" i="8"/>
  <c r="AD255" i="8"/>
  <c r="AG254" i="8"/>
  <c r="G254" i="8" s="1"/>
  <c r="AK254" i="8" s="1"/>
  <c r="AA252" i="8"/>
  <c r="H252" i="8" s="1"/>
  <c r="AD251" i="8"/>
  <c r="AF250" i="8"/>
  <c r="AF247" i="8"/>
  <c r="AI246" i="8"/>
  <c r="AD244" i="8"/>
  <c r="AB370" i="8"/>
  <c r="AI340" i="8"/>
  <c r="AF334" i="8"/>
  <c r="AY331" i="8"/>
  <c r="BB331" i="8" s="1"/>
  <c r="AD330" i="8"/>
  <c r="AH328" i="8"/>
  <c r="AF327" i="8"/>
  <c r="AC326" i="8"/>
  <c r="AG325" i="8"/>
  <c r="G325" i="8" s="1"/>
  <c r="AP325" i="8" s="1"/>
  <c r="AF321" i="8"/>
  <c r="AG320" i="8"/>
  <c r="G320" i="8" s="1"/>
  <c r="AQ320" i="8" s="1"/>
  <c r="AD319" i="8"/>
  <c r="AI317" i="8"/>
  <c r="AH316" i="8"/>
  <c r="AI315" i="8"/>
  <c r="AG314" i="8"/>
  <c r="G314" i="8" s="1"/>
  <c r="AK314" i="8" s="1"/>
  <c r="AY313" i="8"/>
  <c r="BB313" i="8" s="1"/>
  <c r="AG313" i="8"/>
  <c r="G313" i="8" s="1"/>
  <c r="AQ313" i="8" s="1"/>
  <c r="AY312" i="8"/>
  <c r="BB312" i="8" s="1"/>
  <c r="AB310" i="8"/>
  <c r="AH305" i="8"/>
  <c r="AB304" i="8"/>
  <c r="AC298" i="8"/>
  <c r="AS298" i="8" s="1"/>
  <c r="AH293" i="8"/>
  <c r="AY292" i="8"/>
  <c r="BB292" i="8" s="1"/>
  <c r="AF292" i="8"/>
  <c r="AB291" i="8"/>
  <c r="AA289" i="8"/>
  <c r="C289" i="8" s="1"/>
  <c r="AI286" i="8"/>
  <c r="AI280" i="8"/>
  <c r="AI277" i="8"/>
  <c r="AG276" i="8"/>
  <c r="G276" i="8" s="1"/>
  <c r="AP276" i="8" s="1"/>
  <c r="AI272" i="8"/>
  <c r="AJ269" i="8"/>
  <c r="AJ264" i="8"/>
  <c r="AJ263" i="8"/>
  <c r="AF262" i="8"/>
  <c r="AF261" i="8"/>
  <c r="AI260" i="8"/>
  <c r="AI259" i="8"/>
  <c r="AI258" i="8"/>
  <c r="AI257" i="8"/>
  <c r="AA255" i="8"/>
  <c r="AF254" i="8"/>
  <c r="AA251" i="8"/>
  <c r="I251" i="8" s="1"/>
  <c r="AD250" i="8"/>
  <c r="AI249" i="8"/>
  <c r="AD247" i="8"/>
  <c r="AF246" i="8"/>
  <c r="AJ243" i="8"/>
  <c r="AJ242" i="8"/>
  <c r="AY360" i="8"/>
  <c r="BB360" i="8" s="1"/>
  <c r="AF325" i="8"/>
  <c r="AI322" i="8"/>
  <c r="AG297" i="8"/>
  <c r="G297" i="8" s="1"/>
  <c r="AK297" i="8" s="1"/>
  <c r="AB293" i="8"/>
  <c r="AA271" i="8"/>
  <c r="AI269" i="8"/>
  <c r="AA264" i="8"/>
  <c r="C264" i="8" s="1"/>
  <c r="AH260" i="8"/>
  <c r="AD259" i="8"/>
  <c r="AG253" i="8"/>
  <c r="G253" i="8" s="1"/>
  <c r="AP253" i="8" s="1"/>
  <c r="AG252" i="8"/>
  <c r="G252" i="8" s="1"/>
  <c r="AP252" i="8" s="1"/>
  <c r="AI248" i="8"/>
  <c r="AG242" i="8"/>
  <c r="G242" i="8" s="1"/>
  <c r="AP242" i="8" s="1"/>
  <c r="AF241" i="8"/>
  <c r="AI239" i="8"/>
  <c r="AD238" i="8"/>
  <c r="AG237" i="8"/>
  <c r="G237" i="8" s="1"/>
  <c r="AK237" i="8" s="1"/>
  <c r="AD236" i="8"/>
  <c r="AH235" i="8"/>
  <c r="AY234" i="8"/>
  <c r="BB234" i="8" s="1"/>
  <c r="AF234" i="8"/>
  <c r="AA233" i="8"/>
  <c r="AG232" i="8"/>
  <c r="G232" i="8" s="1"/>
  <c r="AD231" i="8"/>
  <c r="AH230" i="8"/>
  <c r="AA229" i="8"/>
  <c r="D229" i="8" s="1"/>
  <c r="AI227" i="8"/>
  <c r="AY226" i="8"/>
  <c r="BB226" i="8" s="1"/>
  <c r="AG226" i="8"/>
  <c r="G226" i="8" s="1"/>
  <c r="AD225" i="8"/>
  <c r="AA224" i="8"/>
  <c r="D224" i="8" s="1"/>
  <c r="AI223" i="8"/>
  <c r="AD222" i="8"/>
  <c r="AH221" i="8"/>
  <c r="AY220" i="8"/>
  <c r="BB220" i="8" s="1"/>
  <c r="AH348" i="8"/>
  <c r="AF343" i="8"/>
  <c r="AG328" i="8"/>
  <c r="G328" i="8" s="1"/>
  <c r="AQ328" i="8" s="1"/>
  <c r="AG316" i="8"/>
  <c r="G316" i="8" s="1"/>
  <c r="AF314" i="8"/>
  <c r="AI284" i="8"/>
  <c r="AB276" i="8"/>
  <c r="AG269" i="8"/>
  <c r="G269" i="8" s="1"/>
  <c r="AQ269" i="8" s="1"/>
  <c r="AG260" i="8"/>
  <c r="G260" i="8" s="1"/>
  <c r="AA259" i="8"/>
  <c r="AD254" i="8"/>
  <c r="AF253" i="8"/>
  <c r="AF252" i="8"/>
  <c r="AG249" i="8"/>
  <c r="G249" i="8" s="1"/>
  <c r="AK249" i="8" s="1"/>
  <c r="AG248" i="8"/>
  <c r="G248" i="8" s="1"/>
  <c r="AP248" i="8" s="1"/>
  <c r="AI243" i="8"/>
  <c r="AF242" i="8"/>
  <c r="AB239" i="8"/>
  <c r="AC238" i="8"/>
  <c r="AF237" i="8"/>
  <c r="AC236" i="8"/>
  <c r="AG235" i="8"/>
  <c r="G235" i="8" s="1"/>
  <c r="AQ235" i="8" s="1"/>
  <c r="AI233" i="8"/>
  <c r="AF232" i="8"/>
  <c r="AC231" i="8"/>
  <c r="AG230" i="8"/>
  <c r="G230" i="8" s="1"/>
  <c r="AI229" i="8"/>
  <c r="AY228" i="8"/>
  <c r="BB228" i="8" s="1"/>
  <c r="AD228" i="8"/>
  <c r="AH227" i="8"/>
  <c r="AF226" i="8"/>
  <c r="AC225" i="8"/>
  <c r="AI224" i="8"/>
  <c r="AH223" i="8"/>
  <c r="AC222" i="8"/>
  <c r="AY221" i="8"/>
  <c r="BB221" i="8" s="1"/>
  <c r="AG221" i="8"/>
  <c r="G221" i="8" s="1"/>
  <c r="AD219" i="8"/>
  <c r="AD218" i="8"/>
  <c r="AD321" i="8"/>
  <c r="AI318" i="8"/>
  <c r="AF305" i="8"/>
  <c r="AF286" i="8"/>
  <c r="AA284" i="8"/>
  <c r="E284" i="8" s="1"/>
  <c r="AH280" i="8"/>
  <c r="AJ278" i="8"/>
  <c r="AJ265" i="8"/>
  <c r="AY260" i="8"/>
  <c r="BB260" i="8" s="1"/>
  <c r="AF260" i="8"/>
  <c r="AG257" i="8"/>
  <c r="G257" i="8" s="1"/>
  <c r="AI256" i="8"/>
  <c r="AA254" i="8"/>
  <c r="H254" i="8" s="1"/>
  <c r="AD253" i="8"/>
  <c r="AF249" i="8"/>
  <c r="AF248" i="8"/>
  <c r="AI247" i="8"/>
  <c r="AG243" i="8"/>
  <c r="G243" i="8" s="1"/>
  <c r="AA242" i="8"/>
  <c r="D242" i="8" s="1"/>
  <c r="AA238" i="8"/>
  <c r="AY237" i="8"/>
  <c r="BB237" i="8" s="1"/>
  <c r="AA236" i="8"/>
  <c r="C236" i="8" s="1"/>
  <c r="AF235" i="8"/>
  <c r="AD234" i="8"/>
  <c r="AH233" i="8"/>
  <c r="AA231" i="8"/>
  <c r="H231" i="8" s="1"/>
  <c r="AF230" i="8"/>
  <c r="AH229" i="8"/>
  <c r="AC228" i="8"/>
  <c r="AG227" i="8"/>
  <c r="G227" i="8" s="1"/>
  <c r="AQ227" i="8" s="1"/>
  <c r="AA225" i="8"/>
  <c r="C225" i="8" s="1"/>
  <c r="AH224" i="8"/>
  <c r="AG223" i="8"/>
  <c r="G223" i="8" s="1"/>
  <c r="AK223" i="8" s="1"/>
  <c r="AA222" i="8"/>
  <c r="E222" i="8" s="1"/>
  <c r="AF221" i="8"/>
  <c r="AD220" i="8"/>
  <c r="AC219" i="8"/>
  <c r="AC218" i="8"/>
  <c r="AI217" i="8"/>
  <c r="AY216" i="8"/>
  <c r="BB216" i="8" s="1"/>
  <c r="AD292" i="8"/>
  <c r="AB280" i="8"/>
  <c r="AG278" i="8"/>
  <c r="G278" i="8" s="1"/>
  <c r="AJ275" i="8"/>
  <c r="AH272" i="8"/>
  <c r="AJ270" i="8"/>
  <c r="AI265" i="8"/>
  <c r="AI262" i="8"/>
  <c r="AB261" i="8"/>
  <c r="AF257" i="8"/>
  <c r="AG256" i="8"/>
  <c r="G256" i="8" s="1"/>
  <c r="AP256" i="8" s="1"/>
  <c r="AI255" i="8"/>
  <c r="AA253" i="8"/>
  <c r="I253" i="8" s="1"/>
  <c r="AI250" i="8"/>
  <c r="AD249" i="8"/>
  <c r="AD248" i="8"/>
  <c r="AA247" i="8"/>
  <c r="I247" i="8" s="1"/>
  <c r="AF243" i="8"/>
  <c r="AI240" i="8"/>
  <c r="AI238" i="8"/>
  <c r="AD237" i="8"/>
  <c r="AI236" i="8"/>
  <c r="AY235" i="8"/>
  <c r="BB235" i="8" s="1"/>
  <c r="AC234" i="8"/>
  <c r="AY233" i="8"/>
  <c r="BB233" i="8" s="1"/>
  <c r="AG233" i="8"/>
  <c r="G233" i="8" s="1"/>
  <c r="AD232" i="8"/>
  <c r="AI231" i="8"/>
  <c r="AY230" i="8"/>
  <c r="BB230" i="8" s="1"/>
  <c r="AG229" i="8"/>
  <c r="G229" i="8" s="1"/>
  <c r="AQ229" i="8" s="1"/>
  <c r="AA228" i="8"/>
  <c r="D228" i="8" s="1"/>
  <c r="AY227" i="8"/>
  <c r="BB227" i="8" s="1"/>
  <c r="AF227" i="8"/>
  <c r="AD226" i="8"/>
  <c r="AI225" i="8"/>
  <c r="AY224" i="8"/>
  <c r="BB224" i="8" s="1"/>
  <c r="AG224" i="8"/>
  <c r="G224" i="8" s="1"/>
  <c r="AY223" i="8"/>
  <c r="BB223" i="8" s="1"/>
  <c r="AF223" i="8"/>
  <c r="AI222" i="8"/>
  <c r="AC220" i="8"/>
  <c r="AA219" i="8"/>
  <c r="AA327" i="8"/>
  <c r="C327" i="8" s="1"/>
  <c r="AF320" i="8"/>
  <c r="AF313" i="8"/>
  <c r="AF285" i="8"/>
  <c r="AY276" i="8"/>
  <c r="BB276" i="8" s="1"/>
  <c r="AB272" i="8"/>
  <c r="AH270" i="8"/>
  <c r="AA265" i="8"/>
  <c r="H265" i="8" s="1"/>
  <c r="AH263" i="8"/>
  <c r="AG258" i="8"/>
  <c r="G258" i="8" s="1"/>
  <c r="AD257" i="8"/>
  <c r="AF256" i="8"/>
  <c r="AG255" i="8"/>
  <c r="G255" i="8" s="1"/>
  <c r="AP255" i="8" s="1"/>
  <c r="AA250" i="8"/>
  <c r="H250" i="8" s="1"/>
  <c r="AA249" i="8"/>
  <c r="I249" i="8" s="1"/>
  <c r="AD245" i="8"/>
  <c r="AB243" i="8"/>
  <c r="AG240" i="8"/>
  <c r="G240" i="8" s="1"/>
  <c r="AH238" i="8"/>
  <c r="AC237" i="8"/>
  <c r="AH236" i="8"/>
  <c r="AD235" i="8"/>
  <c r="AA234" i="8"/>
  <c r="E234" i="8" s="1"/>
  <c r="AF233" i="8"/>
  <c r="AC232" i="8"/>
  <c r="AH231" i="8"/>
  <c r="AD230" i="8"/>
  <c r="AF229" i="8"/>
  <c r="AI228" i="8"/>
  <c r="AC226" i="8"/>
  <c r="AH225" i="8"/>
  <c r="AF224" i="8"/>
  <c r="AH222" i="8"/>
  <c r="AD221" i="8"/>
  <c r="AA220" i="8"/>
  <c r="C220" i="8" s="1"/>
  <c r="AI219" i="8"/>
  <c r="AI218" i="8"/>
  <c r="AG217" i="8"/>
  <c r="G217" i="8" s="1"/>
  <c r="AQ217" i="8" s="1"/>
  <c r="AC216" i="8"/>
  <c r="AY214" i="8"/>
  <c r="BB214" i="8" s="1"/>
  <c r="AF214" i="8"/>
  <c r="AF212" i="8"/>
  <c r="AC210" i="8"/>
  <c r="AH209" i="8"/>
  <c r="AI208" i="8"/>
  <c r="AA207" i="8"/>
  <c r="H207" i="8" s="1"/>
  <c r="AF206" i="8"/>
  <c r="AC204" i="8"/>
  <c r="AH203" i="8"/>
  <c r="AY201" i="8"/>
  <c r="BB201" i="8" s="1"/>
  <c r="AD201" i="8"/>
  <c r="AI200" i="8"/>
  <c r="AH317" i="8"/>
  <c r="AT317" i="8" s="1"/>
  <c r="AY316" i="8"/>
  <c r="BB316" i="8" s="1"/>
  <c r="AH315" i="8"/>
  <c r="AY314" i="8"/>
  <c r="BB314" i="8" s="1"/>
  <c r="AH299" i="8"/>
  <c r="AI282" i="8"/>
  <c r="AY280" i="8"/>
  <c r="BB280" i="8" s="1"/>
  <c r="AH277" i="8"/>
  <c r="AA270" i="8"/>
  <c r="I270" i="8" s="1"/>
  <c r="AG263" i="8"/>
  <c r="G263" i="8" s="1"/>
  <c r="AB262" i="8"/>
  <c r="AY261" i="8"/>
  <c r="BB261" i="8" s="1"/>
  <c r="AF258" i="8"/>
  <c r="AA257" i="8"/>
  <c r="AD256" i="8"/>
  <c r="AA245" i="8"/>
  <c r="E245" i="8" s="1"/>
  <c r="AA243" i="8"/>
  <c r="H243" i="8" s="1"/>
  <c r="AD240" i="8"/>
  <c r="AG238" i="8"/>
  <c r="G238" i="8" s="1"/>
  <c r="AK238" i="8" s="1"/>
  <c r="AA237" i="8"/>
  <c r="AG236" i="8"/>
  <c r="G236" i="8" s="1"/>
  <c r="AK236" i="8" s="1"/>
  <c r="AC235" i="8"/>
  <c r="AI234" i="8"/>
  <c r="AA232" i="8"/>
  <c r="I232" i="8" s="1"/>
  <c r="AG231" i="8"/>
  <c r="G231" i="8" s="1"/>
  <c r="AP231" i="8" s="1"/>
  <c r="AC230" i="8"/>
  <c r="AY229" i="8"/>
  <c r="BB229" i="8" s="1"/>
  <c r="AH228" i="8"/>
  <c r="AD227" i="8"/>
  <c r="AA226" i="8"/>
  <c r="E226" i="8" s="1"/>
  <c r="AG225" i="8"/>
  <c r="G225" i="8" s="1"/>
  <c r="AQ225" i="8" s="1"/>
  <c r="AD223" i="8"/>
  <c r="AG222" i="8"/>
  <c r="G222" i="8" s="1"/>
  <c r="AQ222" i="8" s="1"/>
  <c r="AC221" i="8"/>
  <c r="AI220" i="8"/>
  <c r="AH219" i="8"/>
  <c r="AH218" i="8"/>
  <c r="AY217" i="8"/>
  <c r="BB217" i="8" s="1"/>
  <c r="AF217" i="8"/>
  <c r="AA216" i="8"/>
  <c r="C216" i="8" s="1"/>
  <c r="AI215" i="8"/>
  <c r="AD214" i="8"/>
  <c r="AY212" i="8"/>
  <c r="BB212" i="8" s="1"/>
  <c r="AD212" i="8"/>
  <c r="AI211" i="8"/>
  <c r="AA210" i="8"/>
  <c r="C210" i="8" s="1"/>
  <c r="AF209" i="8"/>
  <c r="AH208" i="8"/>
  <c r="AY206" i="8"/>
  <c r="BB206" i="8" s="1"/>
  <c r="AD206" i="8"/>
  <c r="AI205" i="8"/>
  <c r="AA204" i="8"/>
  <c r="C204" i="8" s="1"/>
  <c r="AF203" i="8"/>
  <c r="AC201" i="8"/>
  <c r="AH200" i="8"/>
  <c r="AC198" i="8"/>
  <c r="AE198" i="8" s="1"/>
  <c r="AH197" i="8"/>
  <c r="AH294" i="8"/>
  <c r="AY272" i="8"/>
  <c r="BB272" i="8" s="1"/>
  <c r="AJ267" i="8"/>
  <c r="AF263" i="8"/>
  <c r="AA262" i="8"/>
  <c r="I262" i="8" s="1"/>
  <c r="AG259" i="8"/>
  <c r="G259" i="8" s="1"/>
  <c r="AD258" i="8"/>
  <c r="AI251" i="8"/>
  <c r="AB246" i="8"/>
  <c r="AJ241" i="8"/>
  <c r="AF238" i="8"/>
  <c r="AI237" i="8"/>
  <c r="AF236" i="8"/>
  <c r="AA235" i="8"/>
  <c r="AH234" i="8"/>
  <c r="AD233" i="8"/>
  <c r="AI232" i="8"/>
  <c r="AY231" i="8"/>
  <c r="BB231" i="8" s="1"/>
  <c r="AF231" i="8"/>
  <c r="AA230" i="8"/>
  <c r="D230" i="8" s="1"/>
  <c r="AD229" i="8"/>
  <c r="AG228" i="8"/>
  <c r="G228" i="8" s="1"/>
  <c r="AC227" i="8"/>
  <c r="AI226" i="8"/>
  <c r="AY225" i="8"/>
  <c r="BB225" i="8" s="1"/>
  <c r="AF225" i="8"/>
  <c r="AD224" i="8"/>
  <c r="AC223" i="8"/>
  <c r="AY222" i="8"/>
  <c r="BB222" i="8" s="1"/>
  <c r="AF222" i="8"/>
  <c r="AA221" i="8"/>
  <c r="D221" i="8" s="1"/>
  <c r="AH220" i="8"/>
  <c r="AY219" i="8"/>
  <c r="BB219" i="8" s="1"/>
  <c r="AG219" i="8"/>
  <c r="G219" i="8" s="1"/>
  <c r="AY218" i="8"/>
  <c r="BB218" i="8" s="1"/>
  <c r="AG218" i="8"/>
  <c r="G218" i="8" s="1"/>
  <c r="AI216" i="8"/>
  <c r="AH215" i="8"/>
  <c r="AC214" i="8"/>
  <c r="AE214" i="8" s="1"/>
  <c r="AI213" i="8"/>
  <c r="AC212" i="8"/>
  <c r="AS212" i="8" s="1"/>
  <c r="AH211" i="8"/>
  <c r="AY209" i="8"/>
  <c r="BB209" i="8" s="1"/>
  <c r="AD209" i="8"/>
  <c r="AF208" i="8"/>
  <c r="AC206" i="8"/>
  <c r="AS206" i="8" s="1"/>
  <c r="AH205" i="8"/>
  <c r="AY203" i="8"/>
  <c r="BB203" i="8" s="1"/>
  <c r="AD203" i="8"/>
  <c r="AI202" i="8"/>
  <c r="AA201" i="8"/>
  <c r="H201" i="8" s="1"/>
  <c r="AF200" i="8"/>
  <c r="AA198" i="8"/>
  <c r="I198" i="8" s="1"/>
  <c r="AF197" i="8"/>
  <c r="AA258" i="8"/>
  <c r="I258" i="8" s="1"/>
  <c r="AI230" i="8"/>
  <c r="AH226" i="8"/>
  <c r="AG220" i="8"/>
  <c r="G220" i="8" s="1"/>
  <c r="AQ220" i="8" s="1"/>
  <c r="AH216" i="8"/>
  <c r="AH213" i="8"/>
  <c r="AF211" i="8"/>
  <c r="AI210" i="8"/>
  <c r="AI209" i="8"/>
  <c r="AI199" i="8"/>
  <c r="AC196" i="8"/>
  <c r="AE196" i="8" s="1"/>
  <c r="AH195" i="8"/>
  <c r="AC193" i="8"/>
  <c r="AD192" i="8"/>
  <c r="AF191" i="8"/>
  <c r="AC189" i="8"/>
  <c r="AE189" i="8" s="1"/>
  <c r="AH188" i="8"/>
  <c r="AA187" i="8"/>
  <c r="C187" i="8" s="1"/>
  <c r="AY186" i="8"/>
  <c r="BB186" i="8" s="1"/>
  <c r="AA186" i="8"/>
  <c r="C186" i="8" s="1"/>
  <c r="AI185" i="8"/>
  <c r="AY183" i="8"/>
  <c r="BB183" i="8" s="1"/>
  <c r="AD183" i="8"/>
  <c r="AH182" i="8"/>
  <c r="AY181" i="8"/>
  <c r="BB181" i="8" s="1"/>
  <c r="AC181" i="8"/>
  <c r="AE181" i="8" s="1"/>
  <c r="AC179" i="8"/>
  <c r="AS179" i="8" s="1"/>
  <c r="AF178" i="8"/>
  <c r="AY176" i="8"/>
  <c r="BB176" i="8" s="1"/>
  <c r="AC176" i="8"/>
  <c r="AI175" i="8"/>
  <c r="AJ167" i="8"/>
  <c r="AB164" i="8"/>
  <c r="AJ162" i="8"/>
  <c r="AG158" i="8"/>
  <c r="G158" i="8" s="1"/>
  <c r="AQ158" i="8" s="1"/>
  <c r="AB155" i="8"/>
  <c r="AB152" i="8"/>
  <c r="AA149" i="8"/>
  <c r="AD147" i="8"/>
  <c r="AB142" i="8"/>
  <c r="AH141" i="8"/>
  <c r="AI138" i="8"/>
  <c r="AG136" i="8"/>
  <c r="G136" i="8" s="1"/>
  <c r="AQ136" i="8" s="1"/>
  <c r="AA134" i="8"/>
  <c r="AF133" i="8"/>
  <c r="AG132" i="8"/>
  <c r="G132" i="8" s="1"/>
  <c r="AA279" i="8"/>
  <c r="AY263" i="8"/>
  <c r="BB263" i="8" s="1"/>
  <c r="AI253" i="8"/>
  <c r="AI235" i="8"/>
  <c r="AA223" i="8"/>
  <c r="I223" i="8" s="1"/>
  <c r="AF220" i="8"/>
  <c r="AG216" i="8"/>
  <c r="G216" i="8" s="1"/>
  <c r="AP216" i="8" s="1"/>
  <c r="AF215" i="8"/>
  <c r="AI214" i="8"/>
  <c r="AF213" i="8"/>
  <c r="AI212" i="8"/>
  <c r="AD211" i="8"/>
  <c r="AH210" i="8"/>
  <c r="AC209" i="8"/>
  <c r="AE209" i="8" s="1"/>
  <c r="AY208" i="8"/>
  <c r="BB208" i="8" s="1"/>
  <c r="AH202" i="8"/>
  <c r="AD200" i="8"/>
  <c r="AH199" i="8"/>
  <c r="AA196" i="8"/>
  <c r="D196" i="8" s="1"/>
  <c r="AF195" i="8"/>
  <c r="AY193" i="8"/>
  <c r="BB193" i="8" s="1"/>
  <c r="AA193" i="8"/>
  <c r="C193" i="8" s="1"/>
  <c r="AC192" i="8"/>
  <c r="AS192" i="8" s="1"/>
  <c r="AD191" i="8"/>
  <c r="AI190" i="8"/>
  <c r="AA189" i="8"/>
  <c r="AF188" i="8"/>
  <c r="AH185" i="8"/>
  <c r="AC183" i="8"/>
  <c r="AF182" i="8"/>
  <c r="AA181" i="8"/>
  <c r="C181" i="8" s="1"/>
  <c r="AI180" i="8"/>
  <c r="AA179" i="8"/>
  <c r="C179" i="8" s="1"/>
  <c r="AD178" i="8"/>
  <c r="AA176" i="8"/>
  <c r="E176" i="8" s="1"/>
  <c r="AF175" i="8"/>
  <c r="AJ172" i="8"/>
  <c r="AG167" i="8"/>
  <c r="G167" i="8" s="1"/>
  <c r="AP167" i="8" s="1"/>
  <c r="AG162" i="8"/>
  <c r="G162" i="8" s="1"/>
  <c r="AJ157" i="8"/>
  <c r="AA155" i="8"/>
  <c r="AA152" i="8"/>
  <c r="H152" i="8" s="1"/>
  <c r="AY145" i="8"/>
  <c r="BB145" i="8" s="1"/>
  <c r="AA145" i="8"/>
  <c r="E145" i="8" s="1"/>
  <c r="AA142" i="8"/>
  <c r="I142" i="8" s="1"/>
  <c r="AY141" i="8"/>
  <c r="BB141" i="8" s="1"/>
  <c r="AG141" i="8"/>
  <c r="G141" i="8" s="1"/>
  <c r="AQ141" i="8" s="1"/>
  <c r="AG138" i="8"/>
  <c r="G138" i="8" s="1"/>
  <c r="AP138" i="8" s="1"/>
  <c r="AF136" i="8"/>
  <c r="AY135" i="8"/>
  <c r="BB135" i="8" s="1"/>
  <c r="AI135" i="8"/>
  <c r="AC319" i="8"/>
  <c r="AD264" i="8"/>
  <c r="AC229" i="8"/>
  <c r="AH217" i="8"/>
  <c r="AF216" i="8"/>
  <c r="AD215" i="8"/>
  <c r="AH214" i="8"/>
  <c r="AD213" i="8"/>
  <c r="AH212" i="8"/>
  <c r="AC211" i="8"/>
  <c r="AF210" i="8"/>
  <c r="AA209" i="8"/>
  <c r="H209" i="8" s="1"/>
  <c r="AF202" i="8"/>
  <c r="AI201" i="8"/>
  <c r="AC200" i="8"/>
  <c r="AF199" i="8"/>
  <c r="AI198" i="8"/>
  <c r="AY195" i="8"/>
  <c r="BB195" i="8" s="1"/>
  <c r="AD195" i="8"/>
  <c r="AI194" i="8"/>
  <c r="AY192" i="8"/>
  <c r="BB192" i="8" s="1"/>
  <c r="AA192" i="8"/>
  <c r="AC191" i="8"/>
  <c r="AE191" i="8" s="1"/>
  <c r="AH190" i="8"/>
  <c r="AY188" i="8"/>
  <c r="BB188" i="8" s="1"/>
  <c r="AD188" i="8"/>
  <c r="AF185" i="8"/>
  <c r="AI184" i="8"/>
  <c r="AA183" i="8"/>
  <c r="AY182" i="8"/>
  <c r="BB182" i="8" s="1"/>
  <c r="AH180" i="8"/>
  <c r="AY178" i="8"/>
  <c r="BB178" i="8" s="1"/>
  <c r="AC178" i="8"/>
  <c r="AS178" i="8" s="1"/>
  <c r="AJ177" i="8"/>
  <c r="AY175" i="8"/>
  <c r="BB175" i="8" s="1"/>
  <c r="AC175" i="8"/>
  <c r="AB172" i="8"/>
  <c r="AJ170" i="8"/>
  <c r="AB162" i="8"/>
  <c r="AG157" i="8"/>
  <c r="G157" i="8" s="1"/>
  <c r="AK157" i="8" s="1"/>
  <c r="AG154" i="8"/>
  <c r="G154" i="8" s="1"/>
  <c r="AP154" i="8" s="1"/>
  <c r="AI146" i="8"/>
  <c r="AH144" i="8"/>
  <c r="AF141" i="8"/>
  <c r="AH140" i="8"/>
  <c r="AY138" i="8"/>
  <c r="BB138" i="8" s="1"/>
  <c r="AF138" i="8"/>
  <c r="AJ137" i="8"/>
  <c r="AH135" i="8"/>
  <c r="AI134" i="8"/>
  <c r="AC133" i="8"/>
  <c r="AS133" i="8" s="1"/>
  <c r="AD132" i="8"/>
  <c r="AC131" i="8"/>
  <c r="AS131" i="8" s="1"/>
  <c r="AA130" i="8"/>
  <c r="D130" i="8" s="1"/>
  <c r="AI129" i="8"/>
  <c r="AH232" i="8"/>
  <c r="AF228" i="8"/>
  <c r="AF218" i="8"/>
  <c r="AD217" i="8"/>
  <c r="AD216" i="8"/>
  <c r="AY215" i="8"/>
  <c r="BB215" i="8" s="1"/>
  <c r="AC215" i="8"/>
  <c r="AA214" i="8"/>
  <c r="D214" i="8" s="1"/>
  <c r="AY213" i="8"/>
  <c r="BB213" i="8" s="1"/>
  <c r="AC213" i="8"/>
  <c r="AS213" i="8" s="1"/>
  <c r="AA212" i="8"/>
  <c r="H212" i="8" s="1"/>
  <c r="AY211" i="8"/>
  <c r="BB211" i="8" s="1"/>
  <c r="AA211" i="8"/>
  <c r="H211" i="8" s="1"/>
  <c r="AY210" i="8"/>
  <c r="BB210" i="8" s="1"/>
  <c r="AD210" i="8"/>
  <c r="AI207" i="8"/>
  <c r="AF205" i="8"/>
  <c r="AI204" i="8"/>
  <c r="AI203" i="8"/>
  <c r="AD202" i="8"/>
  <c r="AH201" i="8"/>
  <c r="AA200" i="8"/>
  <c r="AY199" i="8"/>
  <c r="BB199" i="8" s="1"/>
  <c r="AD199" i="8"/>
  <c r="AH198" i="8"/>
  <c r="AI197" i="8"/>
  <c r="AC195" i="8"/>
  <c r="AH194" i="8"/>
  <c r="AY191" i="8"/>
  <c r="BB191" i="8" s="1"/>
  <c r="AA191" i="8"/>
  <c r="AF190" i="8"/>
  <c r="AC188" i="8"/>
  <c r="AS188" i="8" s="1"/>
  <c r="AI187" i="8"/>
  <c r="AI186" i="8"/>
  <c r="AY185" i="8"/>
  <c r="BB185" i="8" s="1"/>
  <c r="AD185" i="8"/>
  <c r="AH184" i="8"/>
  <c r="AD182" i="8"/>
  <c r="AF180" i="8"/>
  <c r="AA178" i="8"/>
  <c r="D178" i="8" s="1"/>
  <c r="AI177" i="8"/>
  <c r="AG170" i="8"/>
  <c r="G170" i="8" s="1"/>
  <c r="AP170" i="8" s="1"/>
  <c r="AG166" i="8"/>
  <c r="G166" i="8" s="1"/>
  <c r="AK166" i="8" s="1"/>
  <c r="AJ163" i="8"/>
  <c r="AA157" i="8"/>
  <c r="AA154" i="8"/>
  <c r="C154" i="8" s="1"/>
  <c r="AH146" i="8"/>
  <c r="AD144" i="8"/>
  <c r="AJ142" i="8"/>
  <c r="AB138" i="8"/>
  <c r="AI137" i="8"/>
  <c r="AD136" i="8"/>
  <c r="AG135" i="8"/>
  <c r="G135" i="8" s="1"/>
  <c r="AJ302" i="8"/>
  <c r="AF287" i="8"/>
  <c r="AI252" i="8"/>
  <c r="AY236" i="8"/>
  <c r="BB236" i="8" s="1"/>
  <c r="AG234" i="8"/>
  <c r="G234" i="8" s="1"/>
  <c r="AP234" i="8" s="1"/>
  <c r="AC217" i="8"/>
  <c r="AA215" i="8"/>
  <c r="C215" i="8" s="1"/>
  <c r="AA213" i="8"/>
  <c r="D213" i="8" s="1"/>
  <c r="AD208" i="8"/>
  <c r="AH207" i="8"/>
  <c r="AI206" i="8"/>
  <c r="AD205" i="8"/>
  <c r="AH204" i="8"/>
  <c r="AC203" i="8"/>
  <c r="AS203" i="8" s="1"/>
  <c r="AY202" i="8"/>
  <c r="BB202" i="8" s="1"/>
  <c r="AC202" i="8"/>
  <c r="AE202" i="8" s="1"/>
  <c r="AF201" i="8"/>
  <c r="AY200" i="8"/>
  <c r="BB200" i="8" s="1"/>
  <c r="AC199" i="8"/>
  <c r="AS199" i="8" s="1"/>
  <c r="AF198" i="8"/>
  <c r="AD197" i="8"/>
  <c r="AI196" i="8"/>
  <c r="AA195" i="8"/>
  <c r="E195" i="8" s="1"/>
  <c r="AF194" i="8"/>
  <c r="AI193" i="8"/>
  <c r="AY190" i="8"/>
  <c r="BB190" i="8" s="1"/>
  <c r="AD190" i="8"/>
  <c r="AI189" i="8"/>
  <c r="AA188" i="8"/>
  <c r="E188" i="8" s="1"/>
  <c r="AH187" i="8"/>
  <c r="AH186" i="8"/>
  <c r="AC185" i="8"/>
  <c r="AF184" i="8"/>
  <c r="AC182" i="8"/>
  <c r="AI181" i="8"/>
  <c r="AI179" i="8"/>
  <c r="AH177" i="8"/>
  <c r="AB170" i="8"/>
  <c r="AG163" i="8"/>
  <c r="G163" i="8" s="1"/>
  <c r="AP163" i="8" s="1"/>
  <c r="AJ148" i="8"/>
  <c r="AD146" i="8"/>
  <c r="AH143" i="8"/>
  <c r="AH142" i="8"/>
  <c r="AB141" i="8"/>
  <c r="AA138" i="8"/>
  <c r="I138" i="8" s="1"/>
  <c r="AY137" i="8"/>
  <c r="BB137" i="8" s="1"/>
  <c r="AF137" i="8"/>
  <c r="AA136" i="8"/>
  <c r="AF135" i="8"/>
  <c r="AY134" i="8"/>
  <c r="BB134" i="8" s="1"/>
  <c r="AG134" i="8"/>
  <c r="G134" i="8" s="1"/>
  <c r="AQ134" i="8" s="1"/>
  <c r="AA132" i="8"/>
  <c r="D132" i="8" s="1"/>
  <c r="AI130" i="8"/>
  <c r="AY129" i="8"/>
  <c r="BB129" i="8" s="1"/>
  <c r="AH237" i="8"/>
  <c r="AC224" i="8"/>
  <c r="AI221" i="8"/>
  <c r="AF219" i="8"/>
  <c r="AA218" i="8"/>
  <c r="AA217" i="8"/>
  <c r="D217" i="8" s="1"/>
  <c r="AC208" i="8"/>
  <c r="AE208" i="8" s="1"/>
  <c r="AF207" i="8"/>
  <c r="AH206" i="8"/>
  <c r="AC205" i="8"/>
  <c r="AF204" i="8"/>
  <c r="AA203" i="8"/>
  <c r="H203" i="8" s="1"/>
  <c r="AA202" i="8"/>
  <c r="C202" i="8" s="1"/>
  <c r="AA199" i="8"/>
  <c r="H199" i="8" s="1"/>
  <c r="AY198" i="8"/>
  <c r="BB198" i="8" s="1"/>
  <c r="AD198" i="8"/>
  <c r="AC197" i="8"/>
  <c r="AS197" i="8" s="1"/>
  <c r="AH196" i="8"/>
  <c r="AY194" i="8"/>
  <c r="BB194" i="8" s="1"/>
  <c r="AD194" i="8"/>
  <c r="AH193" i="8"/>
  <c r="AI192" i="8"/>
  <c r="AC190" i="8"/>
  <c r="AS190" i="8" s="1"/>
  <c r="AH189" i="8"/>
  <c r="AF187" i="8"/>
  <c r="AF186" i="8"/>
  <c r="AA185" i="8"/>
  <c r="D185" i="8" s="1"/>
  <c r="AY184" i="8"/>
  <c r="BB184" i="8" s="1"/>
  <c r="AD184" i="8"/>
  <c r="AI183" i="8"/>
  <c r="AA182" i="8"/>
  <c r="C182" i="8" s="1"/>
  <c r="AH181" i="8"/>
  <c r="AY180" i="8"/>
  <c r="BB180" i="8" s="1"/>
  <c r="AD180" i="8"/>
  <c r="AH179" i="8"/>
  <c r="AF177" i="8"/>
  <c r="AG174" i="8"/>
  <c r="G174" i="8" s="1"/>
  <c r="AJ171" i="8"/>
  <c r="AB165" i="8"/>
  <c r="AB163" i="8"/>
  <c r="AJ159" i="8"/>
  <c r="AG153" i="8"/>
  <c r="G153" i="8" s="1"/>
  <c r="AI151" i="8"/>
  <c r="AB148" i="8"/>
  <c r="AB146" i="8"/>
  <c r="AJ145" i="8"/>
  <c r="AG143" i="8"/>
  <c r="G143" i="8" s="1"/>
  <c r="AQ143" i="8" s="1"/>
  <c r="AY142" i="8"/>
  <c r="BB142" i="8" s="1"/>
  <c r="AG142" i="8"/>
  <c r="G142" i="8" s="1"/>
  <c r="AQ142" i="8" s="1"/>
  <c r="AA141" i="8"/>
  <c r="AJ136" i="8"/>
  <c r="AD135" i="8"/>
  <c r="AF134" i="8"/>
  <c r="AY133" i="8"/>
  <c r="BB133" i="8" s="1"/>
  <c r="AI133" i="8"/>
  <c r="AI131" i="8"/>
  <c r="AH130" i="8"/>
  <c r="AG267" i="8"/>
  <c r="G267" i="8" s="1"/>
  <c r="AQ267" i="8" s="1"/>
  <c r="AA263" i="8"/>
  <c r="AG251" i="8"/>
  <c r="G251" i="8" s="1"/>
  <c r="AK251" i="8" s="1"/>
  <c r="AA246" i="8"/>
  <c r="AY232" i="8"/>
  <c r="BB232" i="8" s="1"/>
  <c r="AA227" i="8"/>
  <c r="I227" i="8" s="1"/>
  <c r="AA208" i="8"/>
  <c r="D208" i="8" s="1"/>
  <c r="AY207" i="8"/>
  <c r="BB207" i="8" s="1"/>
  <c r="AD207" i="8"/>
  <c r="AA206" i="8"/>
  <c r="AY205" i="8"/>
  <c r="BB205" i="8" s="1"/>
  <c r="AA205" i="8"/>
  <c r="AY204" i="8"/>
  <c r="BB204" i="8" s="1"/>
  <c r="AD204" i="8"/>
  <c r="AY197" i="8"/>
  <c r="BB197" i="8" s="1"/>
  <c r="AA197" i="8"/>
  <c r="C197" i="8" s="1"/>
  <c r="AF196" i="8"/>
  <c r="AC194" i="8"/>
  <c r="AF193" i="8"/>
  <c r="AH192" i="8"/>
  <c r="AI191" i="8"/>
  <c r="AA190" i="8"/>
  <c r="C190" i="8" s="1"/>
  <c r="AF189" i="8"/>
  <c r="AY187" i="8"/>
  <c r="BB187" i="8" s="1"/>
  <c r="AD187" i="8"/>
  <c r="AD186" i="8"/>
  <c r="AC184" i="8"/>
  <c r="AH183" i="8"/>
  <c r="AF181" i="8"/>
  <c r="AC180" i="8"/>
  <c r="AF179" i="8"/>
  <c r="AI178" i="8"/>
  <c r="AY177" i="8"/>
  <c r="BB177" i="8" s="1"/>
  <c r="AD177" i="8"/>
  <c r="AJ176" i="8"/>
  <c r="AG171" i="8"/>
  <c r="G171" i="8" s="1"/>
  <c r="AG159" i="8"/>
  <c r="G159" i="8" s="1"/>
  <c r="AQ159" i="8" s="1"/>
  <c r="AJ156" i="8"/>
  <c r="AJ152" i="8"/>
  <c r="AJ149" i="8"/>
  <c r="AJ147" i="8"/>
  <c r="AA146" i="8"/>
  <c r="AI145" i="8"/>
  <c r="AB143" i="8"/>
  <c r="AF142" i="8"/>
  <c r="AJ141" i="8"/>
  <c r="AA137" i="8"/>
  <c r="I137" i="8" s="1"/>
  <c r="AI136" i="8"/>
  <c r="AC135" i="8"/>
  <c r="AD134" i="8"/>
  <c r="AH133" i="8"/>
  <c r="AI132" i="8"/>
  <c r="AH131" i="8"/>
  <c r="AG130" i="8"/>
  <c r="G130" i="8" s="1"/>
  <c r="AK130" i="8" s="1"/>
  <c r="AD129" i="8"/>
  <c r="AF128" i="8"/>
  <c r="AC207" i="8"/>
  <c r="AS207" i="8" s="1"/>
  <c r="AD196" i="8"/>
  <c r="AA194" i="8"/>
  <c r="AH178" i="8"/>
  <c r="AY130" i="8"/>
  <c r="BB130" i="8" s="1"/>
  <c r="AC129" i="8"/>
  <c r="AH127" i="8"/>
  <c r="AH126" i="8"/>
  <c r="AF125" i="8"/>
  <c r="AG124" i="8"/>
  <c r="G124" i="8" s="1"/>
  <c r="AY123" i="8"/>
  <c r="BB123" i="8" s="1"/>
  <c r="AF123" i="8"/>
  <c r="AY122" i="8"/>
  <c r="BB122" i="8" s="1"/>
  <c r="AF122" i="8"/>
  <c r="AC121" i="8"/>
  <c r="AE121" i="8" s="1"/>
  <c r="AH120" i="8"/>
  <c r="AD119" i="8"/>
  <c r="AY117" i="8"/>
  <c r="BB117" i="8" s="1"/>
  <c r="AF117" i="8"/>
  <c r="AA116" i="8"/>
  <c r="AG115" i="8"/>
  <c r="G115" i="8" s="1"/>
  <c r="AQ115" i="8" s="1"/>
  <c r="AG113" i="8"/>
  <c r="G113" i="8" s="1"/>
  <c r="AP113" i="8" s="1"/>
  <c r="AF112" i="8"/>
  <c r="AY111" i="8"/>
  <c r="BB111" i="8" s="1"/>
  <c r="AD109" i="8"/>
  <c r="AC106" i="8"/>
  <c r="AG104" i="8"/>
  <c r="G104" i="8" s="1"/>
  <c r="AP104" i="8" s="1"/>
  <c r="AG102" i="8"/>
  <c r="G102" i="8" s="1"/>
  <c r="AG100" i="8"/>
  <c r="G100" i="8" s="1"/>
  <c r="AK100" i="8" s="1"/>
  <c r="AG98" i="8"/>
  <c r="G98" i="8" s="1"/>
  <c r="AP98" i="8" s="1"/>
  <c r="AG96" i="8"/>
  <c r="G96" i="8" s="1"/>
  <c r="AQ96" i="8" s="1"/>
  <c r="AG94" i="8"/>
  <c r="G94" i="8" s="1"/>
  <c r="AK94" i="8" s="1"/>
  <c r="AG92" i="8"/>
  <c r="G92" i="8" s="1"/>
  <c r="AG90" i="8"/>
  <c r="G90" i="8" s="1"/>
  <c r="AG88" i="8"/>
  <c r="G88" i="8" s="1"/>
  <c r="AK88" i="8" s="1"/>
  <c r="AC85" i="8"/>
  <c r="AE85" i="8" s="1"/>
  <c r="AD83" i="8"/>
  <c r="AD81" i="8"/>
  <c r="AG79" i="8"/>
  <c r="G79" i="8" s="1"/>
  <c r="AP79" i="8" s="1"/>
  <c r="AD78" i="8"/>
  <c r="AA75" i="8"/>
  <c r="D75" i="8" s="1"/>
  <c r="AH58" i="8"/>
  <c r="AY54" i="8"/>
  <c r="BB54" i="8" s="1"/>
  <c r="AH50" i="8"/>
  <c r="AY46" i="8"/>
  <c r="BB46" i="8" s="1"/>
  <c r="AH42" i="8"/>
  <c r="AY38" i="8"/>
  <c r="BB38" i="8" s="1"/>
  <c r="AD193" i="8"/>
  <c r="AD189" i="8"/>
  <c r="AC187" i="8"/>
  <c r="AY179" i="8"/>
  <c r="BB179" i="8" s="1"/>
  <c r="AG149" i="8"/>
  <c r="G149" i="8" s="1"/>
  <c r="AK149" i="8" s="1"/>
  <c r="AY146" i="8"/>
  <c r="BB146" i="8" s="1"/>
  <c r="AI141" i="8"/>
  <c r="AA129" i="8"/>
  <c r="AI128" i="8"/>
  <c r="AG127" i="8"/>
  <c r="G127" i="8" s="1"/>
  <c r="AG126" i="8"/>
  <c r="G126" i="8" s="1"/>
  <c r="AD125" i="8"/>
  <c r="AF124" i="8"/>
  <c r="AD123" i="8"/>
  <c r="AD122" i="8"/>
  <c r="AA121" i="8"/>
  <c r="C121" i="8" s="1"/>
  <c r="AG120" i="8"/>
  <c r="G120" i="8" s="1"/>
  <c r="AC119" i="8"/>
  <c r="AI118" i="8"/>
  <c r="AD117" i="8"/>
  <c r="AY115" i="8"/>
  <c r="BB115" i="8" s="1"/>
  <c r="AF115" i="8"/>
  <c r="AI114" i="8"/>
  <c r="AF113" i="8"/>
  <c r="AC109" i="8"/>
  <c r="AE109" i="8" s="1"/>
  <c r="AG107" i="8"/>
  <c r="G107" i="8" s="1"/>
  <c r="AD104" i="8"/>
  <c r="AD102" i="8"/>
  <c r="AD100" i="8"/>
  <c r="AD98" i="8"/>
  <c r="AD96" i="8"/>
  <c r="AD94" i="8"/>
  <c r="AD92" i="8"/>
  <c r="AD90" i="8"/>
  <c r="AD88" i="8"/>
  <c r="AG86" i="8"/>
  <c r="G86" i="8" s="1"/>
  <c r="AP86" i="8" s="1"/>
  <c r="AC83" i="8"/>
  <c r="AE83" i="8" s="1"/>
  <c r="AC81" i="8"/>
  <c r="AD79" i="8"/>
  <c r="AC78" i="8"/>
  <c r="AS78" i="8" s="1"/>
  <c r="AI77" i="8"/>
  <c r="AD73" i="8"/>
  <c r="AI61" i="8"/>
  <c r="AY59" i="8"/>
  <c r="BB59" i="8" s="1"/>
  <c r="AH55" i="8"/>
  <c r="AY51" i="8"/>
  <c r="BB51" i="8" s="1"/>
  <c r="AH47" i="8"/>
  <c r="AF192" i="8"/>
  <c r="AC186" i="8"/>
  <c r="AS186" i="8" s="1"/>
  <c r="AF183" i="8"/>
  <c r="AA180" i="8"/>
  <c r="AB173" i="8"/>
  <c r="AI147" i="8"/>
  <c r="AG133" i="8"/>
  <c r="G133" i="8" s="1"/>
  <c r="AH128" i="8"/>
  <c r="AY127" i="8"/>
  <c r="BB127" i="8" s="1"/>
  <c r="AF127" i="8"/>
  <c r="AY126" i="8"/>
  <c r="BB126" i="8" s="1"/>
  <c r="AF126" i="8"/>
  <c r="AC125" i="8"/>
  <c r="AS125" i="8" s="1"/>
  <c r="AD124" i="8"/>
  <c r="AC123" i="8"/>
  <c r="AC122" i="8"/>
  <c r="AS122" i="8" s="1"/>
  <c r="AY120" i="8"/>
  <c r="BB120" i="8" s="1"/>
  <c r="AF120" i="8"/>
  <c r="AA119" i="8"/>
  <c r="D119" i="8" s="1"/>
  <c r="AH118" i="8"/>
  <c r="AC117" i="8"/>
  <c r="AI116" i="8"/>
  <c r="AH114" i="8"/>
  <c r="AY113" i="8"/>
  <c r="BB113" i="8" s="1"/>
  <c r="AD113" i="8"/>
  <c r="AD112" i="8"/>
  <c r="AG110" i="8"/>
  <c r="G110" i="8" s="1"/>
  <c r="AD107" i="8"/>
  <c r="AC104" i="8"/>
  <c r="AE104" i="8" s="1"/>
  <c r="AC102" i="8"/>
  <c r="AC100" i="8"/>
  <c r="AC98" i="8"/>
  <c r="AE98" i="8" s="1"/>
  <c r="AC96" i="8"/>
  <c r="AC94" i="8"/>
  <c r="AE94" i="8" s="1"/>
  <c r="AC92" i="8"/>
  <c r="AC90" i="8"/>
  <c r="AC88" i="8"/>
  <c r="AE88" i="8" s="1"/>
  <c r="AD86" i="8"/>
  <c r="AC79" i="8"/>
  <c r="AS79" i="8" s="1"/>
  <c r="AA78" i="8"/>
  <c r="D78" i="8" s="1"/>
  <c r="AG77" i="8"/>
  <c r="G77" i="8" s="1"/>
  <c r="AP77" i="8" s="1"/>
  <c r="AC73" i="8"/>
  <c r="AH61" i="8"/>
  <c r="AY56" i="8"/>
  <c r="BB56" i="8" s="1"/>
  <c r="AH52" i="8"/>
  <c r="AY48" i="8"/>
  <c r="BB48" i="8" s="1"/>
  <c r="AH44" i="8"/>
  <c r="AY40" i="8"/>
  <c r="BB40" i="8" s="1"/>
  <c r="AH36" i="8"/>
  <c r="AY32" i="8"/>
  <c r="BB32" i="8" s="1"/>
  <c r="AY196" i="8"/>
  <c r="BB196" i="8" s="1"/>
  <c r="AH191" i="8"/>
  <c r="AA177" i="8"/>
  <c r="I177" i="8" s="1"/>
  <c r="AI158" i="8"/>
  <c r="AH136" i="8"/>
  <c r="AH134" i="8"/>
  <c r="AD133" i="8"/>
  <c r="AG128" i="8"/>
  <c r="G128" i="8" s="1"/>
  <c r="AD127" i="8"/>
  <c r="AD126" i="8"/>
  <c r="AA125" i="8"/>
  <c r="AC124" i="8"/>
  <c r="AA123" i="8"/>
  <c r="AA122" i="8"/>
  <c r="E122" i="8" s="1"/>
  <c r="AI121" i="8"/>
  <c r="AD120" i="8"/>
  <c r="AG118" i="8"/>
  <c r="G118" i="8" s="1"/>
  <c r="AA117" i="8"/>
  <c r="AH116" i="8"/>
  <c r="AD115" i="8"/>
  <c r="AG114" i="8"/>
  <c r="G114" i="8" s="1"/>
  <c r="AQ114" i="8" s="1"/>
  <c r="AC113" i="8"/>
  <c r="AS113" i="8" s="1"/>
  <c r="AC112" i="8"/>
  <c r="AD110" i="8"/>
  <c r="AC107" i="8"/>
  <c r="AG105" i="8"/>
  <c r="G105" i="8" s="1"/>
  <c r="AK105" i="8" s="1"/>
  <c r="AC86" i="8"/>
  <c r="AG84" i="8"/>
  <c r="G84" i="8" s="1"/>
  <c r="AG82" i="8"/>
  <c r="G82" i="8" s="1"/>
  <c r="AQ82" i="8" s="1"/>
  <c r="AG80" i="8"/>
  <c r="G80" i="8" s="1"/>
  <c r="AD77" i="8"/>
  <c r="AI76" i="8"/>
  <c r="AI74" i="8"/>
  <c r="AA73" i="8"/>
  <c r="AJ71" i="8"/>
  <c r="AG61" i="8"/>
  <c r="G61" i="8" s="1"/>
  <c r="AI60" i="8"/>
  <c r="AH57" i="8"/>
  <c r="AY53" i="8"/>
  <c r="BB53" i="8" s="1"/>
  <c r="AH49" i="8"/>
  <c r="AY45" i="8"/>
  <c r="BB45" i="8" s="1"/>
  <c r="AH41" i="8"/>
  <c r="AY37" i="8"/>
  <c r="BB37" i="8" s="1"/>
  <c r="AH33" i="8"/>
  <c r="AF290" i="8"/>
  <c r="AF259" i="8"/>
  <c r="AI241" i="8"/>
  <c r="AI195" i="8"/>
  <c r="AY189" i="8"/>
  <c r="BB189" i="8" s="1"/>
  <c r="AF145" i="8"/>
  <c r="AC134" i="8"/>
  <c r="AS134" i="8" s="1"/>
  <c r="AA133" i="8"/>
  <c r="AH132" i="8"/>
  <c r="AG131" i="8"/>
  <c r="G131" i="8" s="1"/>
  <c r="AY128" i="8"/>
  <c r="BB128" i="8" s="1"/>
  <c r="AD128" i="8"/>
  <c r="AC127" i="8"/>
  <c r="AC126" i="8"/>
  <c r="AA124" i="8"/>
  <c r="D124" i="8" s="1"/>
  <c r="AH121" i="8"/>
  <c r="AC120" i="8"/>
  <c r="AS120" i="8" s="1"/>
  <c r="AI119" i="8"/>
  <c r="AY118" i="8"/>
  <c r="BB118" i="8" s="1"/>
  <c r="AF118" i="8"/>
  <c r="AG116" i="8"/>
  <c r="G116" i="8" s="1"/>
  <c r="AC115" i="8"/>
  <c r="AF114" i="8"/>
  <c r="AA113" i="8"/>
  <c r="C113" i="8" s="1"/>
  <c r="AA112" i="8"/>
  <c r="C112" i="8" s="1"/>
  <c r="AC110" i="8"/>
  <c r="AE110" i="8" s="1"/>
  <c r="AG108" i="8"/>
  <c r="G108" i="8" s="1"/>
  <c r="AD105" i="8"/>
  <c r="AG103" i="8"/>
  <c r="G103" i="8" s="1"/>
  <c r="AP103" i="8" s="1"/>
  <c r="AG101" i="8"/>
  <c r="G101" i="8" s="1"/>
  <c r="AP101" i="8" s="1"/>
  <c r="AG99" i="8"/>
  <c r="G99" i="8" s="1"/>
  <c r="AG97" i="8"/>
  <c r="G97" i="8" s="1"/>
  <c r="AK97" i="8" s="1"/>
  <c r="AG95" i="8"/>
  <c r="G95" i="8" s="1"/>
  <c r="AK95" i="8" s="1"/>
  <c r="AG93" i="8"/>
  <c r="G93" i="8" s="1"/>
  <c r="AP93" i="8" s="1"/>
  <c r="AG91" i="8"/>
  <c r="G91" i="8" s="1"/>
  <c r="AP91" i="8" s="1"/>
  <c r="AG89" i="8"/>
  <c r="G89" i="8" s="1"/>
  <c r="AQ89" i="8" s="1"/>
  <c r="AD84" i="8"/>
  <c r="AD82" i="8"/>
  <c r="AD80" i="8"/>
  <c r="AC77" i="8"/>
  <c r="AE77" i="8" s="1"/>
  <c r="AG76" i="8"/>
  <c r="G76" i="8" s="1"/>
  <c r="AQ76" i="8" s="1"/>
  <c r="AI75" i="8"/>
  <c r="AG74" i="8"/>
  <c r="G74" i="8" s="1"/>
  <c r="AF61" i="8"/>
  <c r="AH60" i="8"/>
  <c r="AY58" i="8"/>
  <c r="BB58" i="8" s="1"/>
  <c r="AH54" i="8"/>
  <c r="AY50" i="8"/>
  <c r="BB50" i="8" s="1"/>
  <c r="AH46" i="8"/>
  <c r="AY42" i="8"/>
  <c r="BB42" i="8" s="1"/>
  <c r="AH38" i="8"/>
  <c r="AY34" i="8"/>
  <c r="BB34" i="8" s="1"/>
  <c r="AI188" i="8"/>
  <c r="AI182" i="8"/>
  <c r="AB171" i="8"/>
  <c r="AB156" i="8"/>
  <c r="AJ138" i="8"/>
  <c r="AF132" i="8"/>
  <c r="AF131" i="8"/>
  <c r="AF130" i="8"/>
  <c r="AH129" i="8"/>
  <c r="AC128" i="8"/>
  <c r="AA127" i="8"/>
  <c r="AA126" i="8"/>
  <c r="AI125" i="8"/>
  <c r="AI123" i="8"/>
  <c r="AI122" i="8"/>
  <c r="AG121" i="8"/>
  <c r="G121" i="8" s="1"/>
  <c r="AQ121" i="8" s="1"/>
  <c r="AA120" i="8"/>
  <c r="AH119" i="8"/>
  <c r="AD118" i="8"/>
  <c r="AI117" i="8"/>
  <c r="AY116" i="8"/>
  <c r="BB116" i="8" s="1"/>
  <c r="AF116" i="8"/>
  <c r="AA115" i="8"/>
  <c r="D115" i="8" s="1"/>
  <c r="AY114" i="8"/>
  <c r="BB114" i="8" s="1"/>
  <c r="AD114" i="8"/>
  <c r="AI112" i="8"/>
  <c r="AG111" i="8"/>
  <c r="G111" i="8" s="1"/>
  <c r="AQ111" i="8" s="1"/>
  <c r="AD108" i="8"/>
  <c r="AC105" i="8"/>
  <c r="AE105" i="8" s="1"/>
  <c r="AD103" i="8"/>
  <c r="AD101" i="8"/>
  <c r="AD99" i="8"/>
  <c r="AD97" i="8"/>
  <c r="AD95" i="8"/>
  <c r="AD93" i="8"/>
  <c r="AD91" i="8"/>
  <c r="AD89" i="8"/>
  <c r="AG87" i="8"/>
  <c r="G87" i="8" s="1"/>
  <c r="AK87" i="8" s="1"/>
  <c r="AC84" i="8"/>
  <c r="AE84" i="8" s="1"/>
  <c r="AC82" i="8"/>
  <c r="AE82" i="8" s="1"/>
  <c r="AC80" i="8"/>
  <c r="AA77" i="8"/>
  <c r="AD76" i="8"/>
  <c r="AG75" i="8"/>
  <c r="G75" i="8" s="1"/>
  <c r="AD74" i="8"/>
  <c r="AJ70" i="8"/>
  <c r="AY61" i="8"/>
  <c r="BB61" i="8" s="1"/>
  <c r="AA61" i="8"/>
  <c r="C61" i="8" s="1"/>
  <c r="AG60" i="8"/>
  <c r="G60" i="8" s="1"/>
  <c r="AH59" i="8"/>
  <c r="AY55" i="8"/>
  <c r="BB55" i="8" s="1"/>
  <c r="AH51" i="8"/>
  <c r="AY47" i="8"/>
  <c r="BB47" i="8" s="1"/>
  <c r="AH43" i="8"/>
  <c r="AY39" i="8"/>
  <c r="BB39" i="8" s="1"/>
  <c r="AH35" i="8"/>
  <c r="AJ30" i="8"/>
  <c r="AC233" i="8"/>
  <c r="AD179" i="8"/>
  <c r="AF176" i="8"/>
  <c r="AJ164" i="8"/>
  <c r="AY136" i="8"/>
  <c r="BB136" i="8" s="1"/>
  <c r="AY132" i="8"/>
  <c r="BB132" i="8" s="1"/>
  <c r="AC132" i="8"/>
  <c r="AE132" i="8" s="1"/>
  <c r="AD131" i="8"/>
  <c r="AD130" i="8"/>
  <c r="AG129" i="8"/>
  <c r="G129" i="8" s="1"/>
  <c r="AA128" i="8"/>
  <c r="D128" i="8" s="1"/>
  <c r="AH125" i="8"/>
  <c r="AI124" i="8"/>
  <c r="AH123" i="8"/>
  <c r="AH122" i="8"/>
  <c r="AY121" i="8"/>
  <c r="BB121" i="8" s="1"/>
  <c r="AF121" i="8"/>
  <c r="AG119" i="8"/>
  <c r="G119" i="8" s="1"/>
  <c r="AC118" i="8"/>
  <c r="AE118" i="8" s="1"/>
  <c r="AH117" i="8"/>
  <c r="AD116" i="8"/>
  <c r="AI115" i="8"/>
  <c r="AC114" i="8"/>
  <c r="AS114" i="8" s="1"/>
  <c r="AI113" i="8"/>
  <c r="AH112" i="8"/>
  <c r="AD111" i="8"/>
  <c r="AC108" i="8"/>
  <c r="AG106" i="8"/>
  <c r="G106" i="8" s="1"/>
  <c r="AK106" i="8" s="1"/>
  <c r="AC103" i="8"/>
  <c r="AE103" i="8" s="1"/>
  <c r="AC101" i="8"/>
  <c r="AE101" i="8" s="1"/>
  <c r="AC99" i="8"/>
  <c r="AE99" i="8" s="1"/>
  <c r="AC97" i="8"/>
  <c r="AC95" i="8"/>
  <c r="AC93" i="8"/>
  <c r="AC91" i="8"/>
  <c r="AE91" i="8" s="1"/>
  <c r="AC89" i="8"/>
  <c r="AD87" i="8"/>
  <c r="AG85" i="8"/>
  <c r="G85" i="8" s="1"/>
  <c r="AI78" i="8"/>
  <c r="AC76" i="8"/>
  <c r="AS76" i="8" s="1"/>
  <c r="AD75" i="8"/>
  <c r="AC74" i="8"/>
  <c r="AI73" i="8"/>
  <c r="AF60" i="8"/>
  <c r="AH56" i="8"/>
  <c r="AY52" i="8"/>
  <c r="BB52" i="8" s="1"/>
  <c r="AH48" i="8"/>
  <c r="AY44" i="8"/>
  <c r="BB44" i="8" s="1"/>
  <c r="AH40" i="8"/>
  <c r="AY36" i="8"/>
  <c r="BB36" i="8" s="1"/>
  <c r="AJ32" i="8"/>
  <c r="AH30" i="8"/>
  <c r="AY131" i="8"/>
  <c r="BB131" i="8" s="1"/>
  <c r="AC130" i="8"/>
  <c r="AH115" i="8"/>
  <c r="AC87" i="8"/>
  <c r="AA76" i="8"/>
  <c r="AA60" i="8"/>
  <c r="AH32" i="8"/>
  <c r="AJ29" i="8"/>
  <c r="AH26" i="8"/>
  <c r="AH20" i="8"/>
  <c r="AY18" i="8"/>
  <c r="BB18" i="8" s="1"/>
  <c r="AA18" i="8"/>
  <c r="I18" i="8" s="1"/>
  <c r="AY17" i="8"/>
  <c r="BB17" i="8" s="1"/>
  <c r="AB17" i="8"/>
  <c r="AH14" i="8"/>
  <c r="AB9" i="8"/>
  <c r="AG35" i="7"/>
  <c r="AG33" i="7"/>
  <c r="AG31" i="7"/>
  <c r="AD28" i="7"/>
  <c r="AD26" i="7"/>
  <c r="AH21" i="7"/>
  <c r="AH19" i="7"/>
  <c r="AF17" i="7"/>
  <c r="G17" i="7" s="1"/>
  <c r="AP17" i="7" s="1"/>
  <c r="AE16" i="7"/>
  <c r="AH12" i="7"/>
  <c r="AD11" i="7"/>
  <c r="AC10" i="7"/>
  <c r="AD7" i="7"/>
  <c r="AA135" i="8"/>
  <c r="AG81" i="8"/>
  <c r="G81" i="8" s="1"/>
  <c r="AK81" i="8" s="1"/>
  <c r="AY57" i="8"/>
  <c r="BB57" i="8" s="1"/>
  <c r="AH53" i="8"/>
  <c r="AB32" i="8"/>
  <c r="AG26" i="8"/>
  <c r="G26" i="8" s="1"/>
  <c r="AQ26" i="8" s="1"/>
  <c r="AB24" i="8"/>
  <c r="AA17" i="8"/>
  <c r="AG14" i="8"/>
  <c r="G14" i="8" s="1"/>
  <c r="AY12" i="8"/>
  <c r="BB12" i="8" s="1"/>
  <c r="AG10" i="8"/>
  <c r="G10" i="8" s="1"/>
  <c r="AQ10" i="8" s="1"/>
  <c r="AA9" i="8"/>
  <c r="D9" i="8" s="1"/>
  <c r="AG37" i="7"/>
  <c r="AF35" i="7"/>
  <c r="G35" i="7" s="1"/>
  <c r="AP35" i="7" s="1"/>
  <c r="AX34" i="7"/>
  <c r="BA34" i="7" s="1"/>
  <c r="AF33" i="7"/>
  <c r="G33" i="7" s="1"/>
  <c r="AX32" i="7"/>
  <c r="BA32" i="7" s="1"/>
  <c r="AF31" i="7"/>
  <c r="G31" i="7" s="1"/>
  <c r="AX30" i="7"/>
  <c r="BA30" i="7" s="1"/>
  <c r="AG29" i="7"/>
  <c r="AG25" i="7"/>
  <c r="AG21" i="7"/>
  <c r="AF19" i="7"/>
  <c r="G19" i="7" s="1"/>
  <c r="AE17" i="7"/>
  <c r="AC16" i="7"/>
  <c r="AG13" i="7"/>
  <c r="AG12" i="7"/>
  <c r="AC11" i="7"/>
  <c r="AX10" i="7"/>
  <c r="BA10" i="7" s="1"/>
  <c r="AC7" i="7"/>
  <c r="AX6" i="7"/>
  <c r="BA6" i="7" s="1"/>
  <c r="AG5" i="7"/>
  <c r="A23" i="6"/>
  <c r="AI127" i="8"/>
  <c r="AG125" i="8"/>
  <c r="G125" i="8" s="1"/>
  <c r="AQ125" i="8" s="1"/>
  <c r="AY124" i="8"/>
  <c r="BB124" i="8" s="1"/>
  <c r="AG117" i="8"/>
  <c r="G117" i="8" s="1"/>
  <c r="AQ117" i="8" s="1"/>
  <c r="AA114" i="8"/>
  <c r="C114" i="8" s="1"/>
  <c r="AG112" i="8"/>
  <c r="G112" i="8" s="1"/>
  <c r="AD106" i="8"/>
  <c r="AC75" i="8"/>
  <c r="AE75" i="8" s="1"/>
  <c r="AY30" i="8"/>
  <c r="BB30" i="8" s="1"/>
  <c r="AH28" i="8"/>
  <c r="AB26" i="8"/>
  <c r="AY14" i="8"/>
  <c r="BB14" i="8" s="1"/>
  <c r="AF10" i="8"/>
  <c r="AJ9" i="8"/>
  <c r="AF37" i="7"/>
  <c r="G37" i="7" s="1"/>
  <c r="AX36" i="7"/>
  <c r="BA36" i="7" s="1"/>
  <c r="AD35" i="7"/>
  <c r="AD33" i="7"/>
  <c r="AD31" i="7"/>
  <c r="AF29" i="7"/>
  <c r="G29" i="7" s="1"/>
  <c r="AJ29" i="7" s="1"/>
  <c r="AX28" i="7"/>
  <c r="BA28" i="7" s="1"/>
  <c r="AF25" i="7"/>
  <c r="G25" i="7" s="1"/>
  <c r="AX24" i="7"/>
  <c r="BA24" i="7" s="1"/>
  <c r="AF21" i="7"/>
  <c r="G21" i="7" s="1"/>
  <c r="AX20" i="7"/>
  <c r="BA20" i="7" s="1"/>
  <c r="AD17" i="7"/>
  <c r="AX16" i="7"/>
  <c r="BA16" i="7" s="1"/>
  <c r="AE13" i="7"/>
  <c r="AE12" i="7"/>
  <c r="AH8" i="7"/>
  <c r="AE5" i="7"/>
  <c r="A24" i="6"/>
  <c r="AF129" i="8"/>
  <c r="AG123" i="8"/>
  <c r="G123" i="8" s="1"/>
  <c r="AP123" i="8" s="1"/>
  <c r="AD121" i="8"/>
  <c r="AF119" i="8"/>
  <c r="AG109" i="8"/>
  <c r="G109" i="8" s="1"/>
  <c r="AK109" i="8" s="1"/>
  <c r="AD85" i="8"/>
  <c r="AY49" i="8"/>
  <c r="BB49" i="8" s="1"/>
  <c r="AH45" i="8"/>
  <c r="AY43" i="8"/>
  <c r="BB43" i="8" s="1"/>
  <c r="AY33" i="8"/>
  <c r="BB33" i="8" s="1"/>
  <c r="AJ31" i="8"/>
  <c r="AJ16" i="8"/>
  <c r="AH15" i="8"/>
  <c r="AJ11" i="8"/>
  <c r="AY10" i="8"/>
  <c r="BB10" i="8" s="1"/>
  <c r="AY9" i="8"/>
  <c r="BB9" i="8" s="1"/>
  <c r="AI9" i="8"/>
  <c r="AJ6" i="8"/>
  <c r="AD37" i="7"/>
  <c r="AD29" i="7"/>
  <c r="AG27" i="7"/>
  <c r="AD25" i="7"/>
  <c r="AD21" i="7"/>
  <c r="AG18" i="7"/>
  <c r="AH14" i="7"/>
  <c r="AD13" i="7"/>
  <c r="AC12" i="7"/>
  <c r="AG9" i="7"/>
  <c r="AG8" i="7"/>
  <c r="AH6" i="7"/>
  <c r="AD5" i="7"/>
  <c r="AD181" i="8"/>
  <c r="AA74" i="8"/>
  <c r="H74" i="8" s="1"/>
  <c r="AY60" i="8"/>
  <c r="BB60" i="8" s="1"/>
  <c r="AH39" i="8"/>
  <c r="AH34" i="8"/>
  <c r="AG27" i="8"/>
  <c r="G27" i="8" s="1"/>
  <c r="AK27" i="8" s="1"/>
  <c r="AH22" i="8"/>
  <c r="AJ18" i="8"/>
  <c r="AJ17" i="8"/>
  <c r="AI16" i="8"/>
  <c r="AB11" i="8"/>
  <c r="AB10" i="8"/>
  <c r="AH9" i="8"/>
  <c r="AI6" i="8"/>
  <c r="AI5" i="8"/>
  <c r="AG34" i="7"/>
  <c r="AG32" i="7"/>
  <c r="AF27" i="7"/>
  <c r="G27" i="7" s="1"/>
  <c r="AX26" i="7"/>
  <c r="BA26" i="7" s="1"/>
  <c r="AH24" i="7"/>
  <c r="AE18" i="7"/>
  <c r="AG15" i="7"/>
  <c r="D17" i="5" s="1"/>
  <c r="AG14" i="7"/>
  <c r="AC13" i="7"/>
  <c r="AX12" i="7"/>
  <c r="BA12" i="7" s="1"/>
  <c r="AE9" i="7"/>
  <c r="AE8" i="7"/>
  <c r="AG6" i="7"/>
  <c r="AC5" i="7"/>
  <c r="AG152" i="8"/>
  <c r="G152" i="8" s="1"/>
  <c r="AP152" i="8" s="1"/>
  <c r="AA131" i="8"/>
  <c r="C131" i="8" s="1"/>
  <c r="AY125" i="8"/>
  <c r="BB125" i="8" s="1"/>
  <c r="AC116" i="8"/>
  <c r="AH113" i="8"/>
  <c r="AY112" i="8"/>
  <c r="BB112" i="8" s="1"/>
  <c r="AG78" i="8"/>
  <c r="G78" i="8" s="1"/>
  <c r="AK78" i="8" s="1"/>
  <c r="AJ69" i="8"/>
  <c r="AB27" i="8"/>
  <c r="AH25" i="8"/>
  <c r="AI18" i="8"/>
  <c r="AI17" i="8"/>
  <c r="AH16" i="8"/>
  <c r="AG9" i="8"/>
  <c r="G9" i="8" s="1"/>
  <c r="AQ9" i="8" s="1"/>
  <c r="AG6" i="8"/>
  <c r="G6" i="8" s="1"/>
  <c r="AP6" i="8" s="1"/>
  <c r="AH5" i="8"/>
  <c r="AG36" i="7"/>
  <c r="AF34" i="7"/>
  <c r="G34" i="7" s="1"/>
  <c r="AP34" i="7" s="1"/>
  <c r="AX33" i="7"/>
  <c r="BA33" i="7" s="1"/>
  <c r="AF32" i="7"/>
  <c r="G32" i="7" s="1"/>
  <c r="AP32" i="7" s="1"/>
  <c r="AX31" i="7"/>
  <c r="BA31" i="7" s="1"/>
  <c r="AG30" i="7"/>
  <c r="AD27" i="7"/>
  <c r="AG24" i="7"/>
  <c r="AX21" i="7"/>
  <c r="BA21" i="7" s="1"/>
  <c r="AH20" i="7"/>
  <c r="AE15" i="7"/>
  <c r="AE14" i="7"/>
  <c r="AH10" i="7"/>
  <c r="AD9" i="7"/>
  <c r="AC8" i="7"/>
  <c r="AE6" i="7"/>
  <c r="AA184" i="8"/>
  <c r="D184" i="8" s="1"/>
  <c r="AI126" i="8"/>
  <c r="AY119" i="8"/>
  <c r="BB119" i="8" s="1"/>
  <c r="AC111" i="8"/>
  <c r="AG83" i="8"/>
  <c r="G83" i="8" s="1"/>
  <c r="AY41" i="8"/>
  <c r="BB41" i="8" s="1"/>
  <c r="AB30" i="8"/>
  <c r="AG25" i="8"/>
  <c r="G25" i="8" s="1"/>
  <c r="AP25" i="8" s="1"/>
  <c r="AG21" i="8"/>
  <c r="G21" i="8" s="1"/>
  <c r="AK21" i="8" s="1"/>
  <c r="AH18" i="8"/>
  <c r="AH17" i="8"/>
  <c r="AG16" i="8"/>
  <c r="G16" i="8" s="1"/>
  <c r="AA12" i="8"/>
  <c r="AF9" i="8"/>
  <c r="AI8" i="8"/>
  <c r="AA6" i="8"/>
  <c r="AF5" i="8"/>
  <c r="AX37" i="7"/>
  <c r="BA37" i="7" s="1"/>
  <c r="AF36" i="7"/>
  <c r="G36" i="7" s="1"/>
  <c r="AJ36" i="7" s="1"/>
  <c r="AX35" i="7"/>
  <c r="BA35" i="7" s="1"/>
  <c r="AD34" i="7"/>
  <c r="AD32" i="7"/>
  <c r="AF30" i="7"/>
  <c r="G30" i="7" s="1"/>
  <c r="AP30" i="7" s="1"/>
  <c r="AX29" i="7"/>
  <c r="BA29" i="7" s="1"/>
  <c r="AG28" i="7"/>
  <c r="AG26" i="7"/>
  <c r="AF24" i="7"/>
  <c r="G24" i="7" s="1"/>
  <c r="AH23" i="7"/>
  <c r="AG20" i="7"/>
  <c r="AH16" i="7"/>
  <c r="AD15" i="7"/>
  <c r="AC14" i="7"/>
  <c r="AG11" i="7"/>
  <c r="AG10" i="7"/>
  <c r="AC9" i="7"/>
  <c r="AX8" i="7"/>
  <c r="BA8" i="7" s="1"/>
  <c r="AG7" i="7"/>
  <c r="AC6" i="7"/>
  <c r="AY5" i="8"/>
  <c r="BB5" i="8" s="1"/>
  <c r="AH17" i="7"/>
  <c r="AE11" i="7"/>
  <c r="AE7" i="7"/>
  <c r="AG122" i="8"/>
  <c r="G122" i="8" s="1"/>
  <c r="AB25" i="8"/>
  <c r="AB18" i="8"/>
  <c r="AI14" i="8"/>
  <c r="AG16" i="7"/>
  <c r="AE10" i="7"/>
  <c r="AH124" i="8"/>
  <c r="AA118" i="8"/>
  <c r="E118" i="8" s="1"/>
  <c r="AH37" i="8"/>
  <c r="AY35" i="8"/>
  <c r="BB35" i="8" s="1"/>
  <c r="AG17" i="8"/>
  <c r="G17" i="8" s="1"/>
  <c r="AD36" i="7"/>
  <c r="AD30" i="7"/>
  <c r="AX27" i="7"/>
  <c r="BA27" i="7" s="1"/>
  <c r="AY11" i="8"/>
  <c r="BB11" i="8" s="1"/>
  <c r="AA5" i="8"/>
  <c r="C5" i="8" s="1"/>
  <c r="AF28" i="7"/>
  <c r="G28" i="7" s="1"/>
  <c r="AJ28" i="7" s="1"/>
  <c r="AX25" i="7"/>
  <c r="BA25" i="7" s="1"/>
  <c r="AF20" i="7"/>
  <c r="G20" i="7" s="1"/>
  <c r="AI120" i="8"/>
  <c r="AA16" i="8"/>
  <c r="C16" i="8" s="1"/>
  <c r="AF26" i="7"/>
  <c r="G26" i="7" s="1"/>
  <c r="AO26" i="7" s="1"/>
  <c r="AC15" i="7"/>
  <c r="AX14" i="7"/>
  <c r="BA14" i="7" s="1"/>
  <c r="AX7" i="7"/>
  <c r="BA7" i="7" s="1"/>
  <c r="AX11" i="7"/>
  <c r="BA11" i="7" s="1"/>
  <c r="DS11" i="6"/>
  <c r="AC10" i="8"/>
  <c r="K8" i="6"/>
  <c r="S8" i="6"/>
  <c r="AA8" i="6"/>
  <c r="AI8" i="6"/>
  <c r="AQ8" i="6"/>
  <c r="AY8" i="6"/>
  <c r="BG8" i="6"/>
  <c r="BO8" i="6"/>
  <c r="BW8" i="6"/>
  <c r="CE8" i="6"/>
  <c r="CM8" i="6"/>
  <c r="CU8" i="6"/>
  <c r="DC8" i="6"/>
  <c r="DK8" i="6"/>
  <c r="DS8" i="6"/>
  <c r="L11" i="6"/>
  <c r="T11" i="6"/>
  <c r="AB11" i="6"/>
  <c r="AJ11" i="6"/>
  <c r="AR11" i="6"/>
  <c r="AZ11" i="6"/>
  <c r="BH11" i="6"/>
  <c r="BP11" i="6"/>
  <c r="BX11" i="6"/>
  <c r="CF11" i="6"/>
  <c r="CN11" i="6"/>
  <c r="CV11" i="6"/>
  <c r="DD11" i="6"/>
  <c r="DL11" i="6"/>
  <c r="L8" i="6"/>
  <c r="T8" i="6"/>
  <c r="AB8" i="6"/>
  <c r="AJ8" i="6"/>
  <c r="AR8" i="6"/>
  <c r="AZ8" i="6"/>
  <c r="BH8" i="6"/>
  <c r="BP8" i="6"/>
  <c r="BX8" i="6"/>
  <c r="CF8" i="6"/>
  <c r="CN8" i="6"/>
  <c r="CV8" i="6"/>
  <c r="DD8" i="6"/>
  <c r="DL8" i="6"/>
  <c r="DT8" i="6"/>
  <c r="M11" i="6"/>
  <c r="U11" i="6"/>
  <c r="AC11" i="6"/>
  <c r="AK11" i="6"/>
  <c r="AS11" i="6"/>
  <c r="BA11" i="6"/>
  <c r="BI11" i="6"/>
  <c r="BQ11" i="6"/>
  <c r="BY11" i="6"/>
  <c r="CG11" i="6"/>
  <c r="CO11" i="6"/>
  <c r="CW11" i="6"/>
  <c r="DE11" i="6"/>
  <c r="DM11" i="6"/>
  <c r="C12" i="6"/>
  <c r="AA11" i="8"/>
  <c r="M8" i="6"/>
  <c r="U8" i="6"/>
  <c r="AC8" i="6"/>
  <c r="AK8" i="6"/>
  <c r="AS8" i="6"/>
  <c r="BA8" i="6"/>
  <c r="BI8" i="6"/>
  <c r="BQ8" i="6"/>
  <c r="BY8" i="6"/>
  <c r="CG8" i="6"/>
  <c r="CO8" i="6"/>
  <c r="CW8" i="6"/>
  <c r="DE8" i="6"/>
  <c r="DM8" i="6"/>
  <c r="F11" i="6"/>
  <c r="N11" i="6"/>
  <c r="V11" i="6"/>
  <c r="AD11" i="6"/>
  <c r="AL11" i="6"/>
  <c r="AT11" i="6"/>
  <c r="BB11" i="6"/>
  <c r="BJ11" i="6"/>
  <c r="BR11" i="6"/>
  <c r="BZ11" i="6"/>
  <c r="CH11" i="6"/>
  <c r="CP11" i="6"/>
  <c r="CX11" i="6"/>
  <c r="DF11" i="6"/>
  <c r="DN11" i="6"/>
  <c r="F8" i="6"/>
  <c r="N8" i="6"/>
  <c r="V8" i="6"/>
  <c r="AD8" i="6"/>
  <c r="AL8" i="6"/>
  <c r="AT8" i="6"/>
  <c r="BB8" i="6"/>
  <c r="BJ8" i="6"/>
  <c r="BR8" i="6"/>
  <c r="BZ8" i="6"/>
  <c r="CH8" i="6"/>
  <c r="CP8" i="6"/>
  <c r="CX8" i="6"/>
  <c r="DF8" i="6"/>
  <c r="DN8" i="6"/>
  <c r="G11" i="6"/>
  <c r="O11" i="6"/>
  <c r="W11" i="6"/>
  <c r="AE11" i="6"/>
  <c r="AM11" i="6"/>
  <c r="AU11" i="6"/>
  <c r="BC11" i="6"/>
  <c r="BK11" i="6"/>
  <c r="BS11" i="6"/>
  <c r="CA11" i="6"/>
  <c r="CI11" i="6"/>
  <c r="CQ11" i="6"/>
  <c r="CY11" i="6"/>
  <c r="DG11" i="6"/>
  <c r="DO11" i="6"/>
  <c r="AD16" i="7"/>
  <c r="G8" i="6"/>
  <c r="O8" i="6"/>
  <c r="W8" i="6"/>
  <c r="AE8" i="6"/>
  <c r="AM8" i="6"/>
  <c r="AU8" i="6"/>
  <c r="BC8" i="6"/>
  <c r="BK8" i="6"/>
  <c r="BS8" i="6"/>
  <c r="CA8" i="6"/>
  <c r="CI8" i="6"/>
  <c r="CQ8" i="6"/>
  <c r="CY8" i="6"/>
  <c r="DG8" i="6"/>
  <c r="H11" i="6"/>
  <c r="P11" i="6"/>
  <c r="X11" i="6"/>
  <c r="AF11" i="6"/>
  <c r="AN11" i="6"/>
  <c r="AV11" i="6"/>
  <c r="BD11" i="6"/>
  <c r="BL11" i="6"/>
  <c r="BT11" i="6"/>
  <c r="CB11" i="6"/>
  <c r="CJ11" i="6"/>
  <c r="CR11" i="6"/>
  <c r="CZ11" i="6"/>
  <c r="DH11" i="6"/>
  <c r="DP11" i="6"/>
  <c r="AH31" i="7"/>
  <c r="AH33" i="7"/>
  <c r="AH35" i="7"/>
  <c r="AG22" i="8"/>
  <c r="G22" i="8" s="1"/>
  <c r="AP22" i="8" s="1"/>
  <c r="AD10" i="7"/>
  <c r="AX19" i="7"/>
  <c r="BA19" i="7" s="1"/>
  <c r="AY15" i="8"/>
  <c r="BB15" i="8" s="1"/>
  <c r="AX15" i="7"/>
  <c r="BA15" i="7" s="1"/>
  <c r="AH26" i="7"/>
  <c r="AH28" i="7"/>
  <c r="AC9" i="8"/>
  <c r="AY13" i="8"/>
  <c r="BB13" i="8" s="1"/>
  <c r="AH23" i="8"/>
  <c r="AG28" i="8"/>
  <c r="G28" i="8" s="1"/>
  <c r="AP28" i="8" s="1"/>
  <c r="AJ35" i="8"/>
  <c r="AJ40" i="8"/>
  <c r="AB64" i="8"/>
  <c r="AJ117" i="8"/>
  <c r="AJ201" i="8"/>
  <c r="AD6" i="7"/>
  <c r="AX9" i="7"/>
  <c r="BA9" i="7" s="1"/>
  <c r="AD14" i="7"/>
  <c r="AH30" i="7"/>
  <c r="AH36" i="7"/>
  <c r="AB14" i="8"/>
  <c r="AG19" i="8"/>
  <c r="G19" i="8" s="1"/>
  <c r="AQ19" i="8" s="1"/>
  <c r="AH24" i="8"/>
  <c r="AJ46" i="8"/>
  <c r="AD8" i="7"/>
  <c r="AH22" i="7"/>
  <c r="AX23" i="7"/>
  <c r="BA23" i="7" s="1"/>
  <c r="AH32" i="7"/>
  <c r="AH34" i="7"/>
  <c r="AC7" i="8"/>
  <c r="AY16" i="8"/>
  <c r="BB16" i="8" s="1"/>
  <c r="AG20" i="8"/>
  <c r="G20" i="8" s="1"/>
  <c r="AJ110" i="8"/>
  <c r="AX5" i="7"/>
  <c r="BA5" i="7" s="1"/>
  <c r="AX13" i="7"/>
  <c r="BA13" i="7" s="1"/>
  <c r="AH18" i="7"/>
  <c r="AH27" i="7"/>
  <c r="AJ5" i="8"/>
  <c r="AC8" i="8"/>
  <c r="AJ54" i="8"/>
  <c r="AD12" i="7"/>
  <c r="AC6" i="8"/>
  <c r="AB12" i="8"/>
  <c r="AH21" i="8"/>
  <c r="AX17" i="7"/>
  <c r="BA17" i="7" s="1"/>
  <c r="AH25" i="7"/>
  <c r="AH29" i="7"/>
  <c r="AH37" i="7"/>
  <c r="AH27" i="8"/>
  <c r="AJ38" i="8"/>
  <c r="AJ78" i="8"/>
  <c r="AJ33" i="8"/>
  <c r="AJ41" i="8"/>
  <c r="AJ49" i="8"/>
  <c r="AJ57" i="8"/>
  <c r="AB65" i="8"/>
  <c r="AB71" i="8"/>
  <c r="AJ79" i="8"/>
  <c r="AJ86" i="8"/>
  <c r="AJ107" i="8"/>
  <c r="AJ119" i="8"/>
  <c r="AJ129" i="8"/>
  <c r="AJ191" i="8"/>
  <c r="AJ213" i="8"/>
  <c r="AJ234" i="8"/>
  <c r="AY31" i="8"/>
  <c r="BB31" i="8" s="1"/>
  <c r="AJ36" i="8"/>
  <c r="AJ44" i="8"/>
  <c r="AJ52" i="8"/>
  <c r="AB66" i="8"/>
  <c r="AJ88" i="8"/>
  <c r="AJ90" i="8"/>
  <c r="AJ92" i="8"/>
  <c r="AJ94" i="8"/>
  <c r="AJ96" i="8"/>
  <c r="AJ98" i="8"/>
  <c r="AJ100" i="8"/>
  <c r="AJ102" i="8"/>
  <c r="AJ104" i="8"/>
  <c r="AY247" i="8"/>
  <c r="BB247" i="8" s="1"/>
  <c r="AY29" i="8"/>
  <c r="BB29" i="8" s="1"/>
  <c r="AJ39" i="8"/>
  <c r="AJ47" i="8"/>
  <c r="AJ55" i="8"/>
  <c r="AB67" i="8"/>
  <c r="AC72" i="8"/>
  <c r="AJ75" i="8"/>
  <c r="AJ81" i="8"/>
  <c r="AJ83" i="8"/>
  <c r="AJ109" i="8"/>
  <c r="AJ114" i="8"/>
  <c r="AJ121" i="8"/>
  <c r="AJ214" i="8"/>
  <c r="AY291" i="8"/>
  <c r="BB291" i="8" s="1"/>
  <c r="AJ34" i="8"/>
  <c r="AJ42" i="8"/>
  <c r="AJ50" i="8"/>
  <c r="AJ58" i="8"/>
  <c r="AJ60" i="8"/>
  <c r="AB68" i="8"/>
  <c r="AJ74" i="8"/>
  <c r="AJ76" i="8"/>
  <c r="AJ85" i="8"/>
  <c r="AJ106" i="8"/>
  <c r="AJ116" i="8"/>
  <c r="AJ118" i="8"/>
  <c r="AJ128" i="8"/>
  <c r="AJ130" i="8"/>
  <c r="AJ131" i="8"/>
  <c r="AJ37" i="8"/>
  <c r="AJ45" i="8"/>
  <c r="AJ53" i="8"/>
  <c r="AB69" i="8"/>
  <c r="AJ77" i="8"/>
  <c r="AJ87" i="8"/>
  <c r="AJ111" i="8"/>
  <c r="AJ112" i="8"/>
  <c r="AJ126" i="8"/>
  <c r="AJ127" i="8"/>
  <c r="AJ132" i="8"/>
  <c r="AJ48" i="8"/>
  <c r="AJ56" i="8"/>
  <c r="AJ61" i="8"/>
  <c r="AB62" i="8"/>
  <c r="AJ73" i="8"/>
  <c r="AJ80" i="8"/>
  <c r="AJ89" i="8"/>
  <c r="AJ91" i="8"/>
  <c r="AJ93" i="8"/>
  <c r="AJ95" i="8"/>
  <c r="AJ97" i="8"/>
  <c r="AJ99" i="8"/>
  <c r="AJ101" i="8"/>
  <c r="AJ103" i="8"/>
  <c r="AJ108" i="8"/>
  <c r="AJ113" i="8"/>
  <c r="AJ120" i="8"/>
  <c r="AJ124" i="8"/>
  <c r="AJ43" i="8"/>
  <c r="AJ51" i="8"/>
  <c r="AJ59" i="8"/>
  <c r="AB63" i="8"/>
  <c r="AB70" i="8"/>
  <c r="AJ82" i="8"/>
  <c r="AJ84" i="8"/>
  <c r="AJ105" i="8"/>
  <c r="AJ115" i="8"/>
  <c r="AJ122" i="8"/>
  <c r="AJ123" i="8"/>
  <c r="AJ125" i="8"/>
  <c r="AC138" i="8"/>
  <c r="AJ216" i="8"/>
  <c r="AG139" i="8"/>
  <c r="G139" i="8" s="1"/>
  <c r="AQ139" i="8" s="1"/>
  <c r="AB154" i="8"/>
  <c r="AB157" i="8"/>
  <c r="AJ166" i="8"/>
  <c r="AG175" i="8"/>
  <c r="G175" i="8" s="1"/>
  <c r="AJ181" i="8"/>
  <c r="AJ192" i="8"/>
  <c r="AJ200" i="8"/>
  <c r="AJ210" i="8"/>
  <c r="AJ212" i="8"/>
  <c r="AJ134" i="8"/>
  <c r="AI140" i="8"/>
  <c r="AG172" i="8"/>
  <c r="G172" i="8" s="1"/>
  <c r="AP172" i="8" s="1"/>
  <c r="AG176" i="8"/>
  <c r="G176" i="8" s="1"/>
  <c r="AK176" i="8" s="1"/>
  <c r="AJ183" i="8"/>
  <c r="AJ209" i="8"/>
  <c r="AJ220" i="8"/>
  <c r="AY248" i="8"/>
  <c r="BB248" i="8" s="1"/>
  <c r="AJ135" i="8"/>
  <c r="AC142" i="8"/>
  <c r="AC145" i="8"/>
  <c r="AB149" i="8"/>
  <c r="AI155" i="8"/>
  <c r="AB167" i="8"/>
  <c r="AJ179" i="8"/>
  <c r="AJ186" i="8"/>
  <c r="AJ187" i="8"/>
  <c r="AJ189" i="8"/>
  <c r="AJ193" i="8"/>
  <c r="AJ196" i="8"/>
  <c r="AY147" i="8"/>
  <c r="BB147" i="8" s="1"/>
  <c r="AG164" i="8"/>
  <c r="G164" i="8" s="1"/>
  <c r="AQ164" i="8" s="1"/>
  <c r="AJ180" i="8"/>
  <c r="AJ194" i="8"/>
  <c r="AC137" i="8"/>
  <c r="AC141" i="8"/>
  <c r="AJ146" i="8"/>
  <c r="AG156" i="8"/>
  <c r="G156" i="8" s="1"/>
  <c r="AJ173" i="8"/>
  <c r="AG177" i="8"/>
  <c r="G177" i="8" s="1"/>
  <c r="AQ177" i="8" s="1"/>
  <c r="AJ182" i="8"/>
  <c r="AJ184" i="8"/>
  <c r="AJ197" i="8"/>
  <c r="AJ207" i="8"/>
  <c r="AJ219" i="8"/>
  <c r="AC136" i="8"/>
  <c r="AC143" i="8"/>
  <c r="AB159" i="8"/>
  <c r="AJ168" i="8"/>
  <c r="AJ185" i="8"/>
  <c r="AJ190" i="8"/>
  <c r="AJ204" i="8"/>
  <c r="AJ206" i="8"/>
  <c r="AJ218" i="8"/>
  <c r="AJ133" i="8"/>
  <c r="AG148" i="8"/>
  <c r="G148" i="8" s="1"/>
  <c r="AI150" i="8"/>
  <c r="AB153" i="8"/>
  <c r="AJ165" i="8"/>
  <c r="AJ169" i="8"/>
  <c r="AJ174" i="8"/>
  <c r="AJ178" i="8"/>
  <c r="AJ188" i="8"/>
  <c r="AJ195" i="8"/>
  <c r="AJ198" i="8"/>
  <c r="AJ199" i="8"/>
  <c r="AJ203" i="8"/>
  <c r="AJ202" i="8"/>
  <c r="AJ215" i="8"/>
  <c r="AJ228" i="8"/>
  <c r="AJ236" i="8"/>
  <c r="AY238" i="8"/>
  <c r="BB238" i="8" s="1"/>
  <c r="AY253" i="8"/>
  <c r="BB253" i="8" s="1"/>
  <c r="AC261" i="8"/>
  <c r="AJ205" i="8"/>
  <c r="AJ211" i="8"/>
  <c r="AJ222" i="8"/>
  <c r="AJ224" i="8"/>
  <c r="AJ225" i="8"/>
  <c r="AJ231" i="8"/>
  <c r="AY252" i="8"/>
  <c r="BB252" i="8" s="1"/>
  <c r="AD286" i="8"/>
  <c r="AJ208" i="8"/>
  <c r="AJ217" i="8"/>
  <c r="AJ229" i="8"/>
  <c r="AC239" i="8"/>
  <c r="AS239" i="8" s="1"/>
  <c r="AJ314" i="8"/>
  <c r="AJ233" i="8"/>
  <c r="AB241" i="8"/>
  <c r="AY251" i="8"/>
  <c r="BB251" i="8" s="1"/>
  <c r="AJ221" i="8"/>
  <c r="AJ223" i="8"/>
  <c r="AJ227" i="8"/>
  <c r="AC263" i="8"/>
  <c r="AC312" i="8"/>
  <c r="AJ226" i="8"/>
  <c r="AJ230" i="8"/>
  <c r="AJ235" i="8"/>
  <c r="AJ237" i="8"/>
  <c r="AY256" i="8"/>
  <c r="BB256" i="8" s="1"/>
  <c r="AB298" i="8"/>
  <c r="AJ323" i="8"/>
  <c r="AJ232" i="8"/>
  <c r="AA240" i="8"/>
  <c r="AY250" i="8"/>
  <c r="BB250" i="8" s="1"/>
  <c r="AY255" i="8"/>
  <c r="BB255" i="8" s="1"/>
  <c r="AY274" i="8"/>
  <c r="BB274" i="8" s="1"/>
  <c r="AY277" i="8"/>
  <c r="BB277" i="8" s="1"/>
  <c r="AC303" i="8"/>
  <c r="AY249" i="8"/>
  <c r="BB249" i="8" s="1"/>
  <c r="AY257" i="8"/>
  <c r="BB257" i="8" s="1"/>
  <c r="AY258" i="8"/>
  <c r="BB258" i="8" s="1"/>
  <c r="AY259" i="8"/>
  <c r="BB259" i="8" s="1"/>
  <c r="AC265" i="8"/>
  <c r="AB267" i="8"/>
  <c r="AJ272" i="8"/>
  <c r="AJ280" i="8"/>
  <c r="AD284" i="8"/>
  <c r="AD287" i="8"/>
  <c r="AB294" i="8"/>
  <c r="AG246" i="8"/>
  <c r="G246" i="8" s="1"/>
  <c r="AQ246" i="8" s="1"/>
  <c r="AC260" i="8"/>
  <c r="AY269" i="8"/>
  <c r="BB269" i="8" s="1"/>
  <c r="AY273" i="8"/>
  <c r="BB273" i="8" s="1"/>
  <c r="AB281" i="8"/>
  <c r="AY306" i="8"/>
  <c r="BB306" i="8" s="1"/>
  <c r="AC311" i="8"/>
  <c r="AE311" i="8" s="1"/>
  <c r="AJ319" i="8"/>
  <c r="AJ320" i="8"/>
  <c r="AJ321" i="8"/>
  <c r="AJ322" i="8"/>
  <c r="AJ325" i="8"/>
  <c r="AF368" i="8"/>
  <c r="AB242" i="8"/>
  <c r="AY254" i="8"/>
  <c r="BB254" i="8" s="1"/>
  <c r="AC262" i="8"/>
  <c r="AY271" i="8"/>
  <c r="BB271" i="8" s="1"/>
  <c r="AY279" i="8"/>
  <c r="BB279" i="8" s="1"/>
  <c r="AD290" i="8"/>
  <c r="AY299" i="8"/>
  <c r="BB299" i="8" s="1"/>
  <c r="AC302" i="8"/>
  <c r="AS302" i="8" s="1"/>
  <c r="AJ359" i="8"/>
  <c r="AD289" i="8"/>
  <c r="AH295" i="8"/>
  <c r="AJ316" i="8"/>
  <c r="AJ318" i="8"/>
  <c r="AJ343" i="8"/>
  <c r="AC304" i="8"/>
  <c r="AC310" i="8"/>
  <c r="AJ315" i="8"/>
  <c r="AJ317" i="8"/>
  <c r="AJ334" i="8"/>
  <c r="AY275" i="8"/>
  <c r="BB275" i="8" s="1"/>
  <c r="AD285" i="8"/>
  <c r="AD288" i="8"/>
  <c r="AJ296" i="8"/>
  <c r="AY307" i="8"/>
  <c r="BB307" i="8" s="1"/>
  <c r="AJ313" i="8"/>
  <c r="AJ324" i="8"/>
  <c r="AJ357" i="8"/>
  <c r="AJ331" i="8"/>
  <c r="AJ333" i="8"/>
  <c r="AJ351" i="8"/>
  <c r="AJ355" i="8"/>
  <c r="AJ326" i="8"/>
  <c r="AJ353" i="8"/>
  <c r="AJ340" i="8"/>
  <c r="AJ342" i="8"/>
  <c r="AJ369" i="8"/>
  <c r="AJ336" i="8"/>
  <c r="AJ337" i="8"/>
  <c r="AJ338" i="8"/>
  <c r="AJ341" i="8"/>
  <c r="AJ345" i="8"/>
  <c r="AJ346" i="8"/>
  <c r="AJ348" i="8"/>
  <c r="AJ358" i="8"/>
  <c r="AJ360" i="8"/>
  <c r="AJ335" i="8"/>
  <c r="AJ344" i="8"/>
  <c r="AJ350" i="8"/>
  <c r="AJ354" i="8"/>
  <c r="AJ361" i="8"/>
  <c r="AG365" i="8"/>
  <c r="G365" i="8" s="1"/>
  <c r="AJ367" i="8"/>
  <c r="AJ339" i="8"/>
  <c r="AJ349" i="8"/>
  <c r="AJ356" i="8"/>
  <c r="AJ327" i="8"/>
  <c r="AJ328" i="8"/>
  <c r="AJ329" i="8"/>
  <c r="AJ330" i="8"/>
  <c r="AJ332" i="8"/>
  <c r="AJ347" i="8"/>
  <c r="AJ362" i="8"/>
  <c r="AH364" i="8"/>
  <c r="D19" i="6"/>
  <c r="AH5" i="7"/>
  <c r="AH7" i="7"/>
  <c r="AH9" i="7"/>
  <c r="AH11" i="7"/>
  <c r="AH13" i="7"/>
  <c r="AH15" i="7"/>
  <c r="D18" i="5" s="1"/>
  <c r="AD19" i="7"/>
  <c r="AE20" i="7"/>
  <c r="AC20" i="7"/>
  <c r="AB20" i="7"/>
  <c r="AI20" i="7"/>
  <c r="AA20" i="7"/>
  <c r="D20" i="7" s="1"/>
  <c r="AG22" i="7"/>
  <c r="AX22" i="7"/>
  <c r="BA22" i="7" s="1"/>
  <c r="AD23" i="7"/>
  <c r="AE24" i="7"/>
  <c r="AC24" i="7"/>
  <c r="AB24" i="7"/>
  <c r="AI24" i="7"/>
  <c r="AA24" i="7"/>
  <c r="D24" i="7" s="1"/>
  <c r="Q22" i="7"/>
  <c r="AF23" i="7"/>
  <c r="G23" i="7" s="1"/>
  <c r="AB6" i="7"/>
  <c r="AI6" i="7"/>
  <c r="AA6" i="7"/>
  <c r="D6" i="7" s="1"/>
  <c r="AF6" i="7"/>
  <c r="G6" i="7" s="1"/>
  <c r="AB8" i="7"/>
  <c r="AI8" i="7"/>
  <c r="AA8" i="7"/>
  <c r="D8" i="7" s="1"/>
  <c r="AF8" i="7"/>
  <c r="G8" i="7" s="1"/>
  <c r="AB10" i="7"/>
  <c r="AI10" i="7"/>
  <c r="AA10" i="7"/>
  <c r="D10" i="7" s="1"/>
  <c r="AF10" i="7"/>
  <c r="G10" i="7" s="1"/>
  <c r="AB12" i="7"/>
  <c r="AI12" i="7"/>
  <c r="AA12" i="7"/>
  <c r="D12" i="7" s="1"/>
  <c r="AF12" i="7"/>
  <c r="G12" i="7" s="1"/>
  <c r="AB14" i="7"/>
  <c r="AI14" i="7"/>
  <c r="AA14" i="7"/>
  <c r="D14" i="7" s="1"/>
  <c r="AF14" i="7"/>
  <c r="G14" i="7" s="1"/>
  <c r="AB16" i="7"/>
  <c r="AI16" i="7"/>
  <c r="AA16" i="7"/>
  <c r="D16" i="7" s="1"/>
  <c r="AF16" i="7"/>
  <c r="G16" i="7" s="1"/>
  <c r="AD18" i="7"/>
  <c r="AG19" i="7"/>
  <c r="AD20" i="7"/>
  <c r="AE21" i="7"/>
  <c r="AC21" i="7"/>
  <c r="AB21" i="7"/>
  <c r="AI21" i="7"/>
  <c r="AA21" i="7"/>
  <c r="D21" i="7" s="1"/>
  <c r="AG23" i="7"/>
  <c r="AD24" i="7"/>
  <c r="Q23" i="7"/>
  <c r="AF18" i="7"/>
  <c r="G18" i="7" s="1"/>
  <c r="AE22" i="7"/>
  <c r="AC22" i="7"/>
  <c r="AB22" i="7"/>
  <c r="AI22" i="7"/>
  <c r="AA22" i="7"/>
  <c r="D22" i="7" s="1"/>
  <c r="Q20" i="7"/>
  <c r="Q24" i="7"/>
  <c r="AB5" i="7"/>
  <c r="AI5" i="7"/>
  <c r="AA5" i="7"/>
  <c r="C5" i="7" s="1"/>
  <c r="AF5" i="7"/>
  <c r="G5" i="7" s="1"/>
  <c r="AB7" i="7"/>
  <c r="AI7" i="7"/>
  <c r="AA7" i="7"/>
  <c r="AF7" i="7"/>
  <c r="G7" i="7" s="1"/>
  <c r="AB9" i="7"/>
  <c r="AI9" i="7"/>
  <c r="AA9" i="7"/>
  <c r="AF9" i="7"/>
  <c r="G9" i="7" s="1"/>
  <c r="AB11" i="7"/>
  <c r="AI11" i="7"/>
  <c r="AA11" i="7"/>
  <c r="AF11" i="7"/>
  <c r="G11" i="7" s="1"/>
  <c r="AB13" i="7"/>
  <c r="AI13" i="7"/>
  <c r="AA13" i="7"/>
  <c r="AF13" i="7"/>
  <c r="G13" i="7" s="1"/>
  <c r="AB15" i="7"/>
  <c r="A19" i="5" s="1"/>
  <c r="AI15" i="7"/>
  <c r="AA15" i="7"/>
  <c r="AF15" i="7"/>
  <c r="G15" i="7" s="1"/>
  <c r="AC17" i="7"/>
  <c r="AB17" i="7"/>
  <c r="AI17" i="7"/>
  <c r="AA17" i="7"/>
  <c r="AG17" i="7"/>
  <c r="AE19" i="7"/>
  <c r="AC19" i="7"/>
  <c r="AB19" i="7"/>
  <c r="AI19" i="7"/>
  <c r="AA19" i="7"/>
  <c r="D19" i="7" s="1"/>
  <c r="AD22" i="7"/>
  <c r="AE23" i="7"/>
  <c r="AC23" i="7"/>
  <c r="AB23" i="7"/>
  <c r="AI23" i="7"/>
  <c r="AA23" i="7"/>
  <c r="D23" i="7" s="1"/>
  <c r="AC18" i="7"/>
  <c r="AB18" i="7"/>
  <c r="AI18" i="7"/>
  <c r="AA18" i="7"/>
  <c r="AX18" i="7"/>
  <c r="BA18" i="7" s="1"/>
  <c r="Q21" i="7"/>
  <c r="AF22" i="7"/>
  <c r="G22" i="7" s="1"/>
  <c r="Q25" i="7"/>
  <c r="AA25" i="7"/>
  <c r="C25" i="7" s="1"/>
  <c r="AI25" i="7"/>
  <c r="Q26" i="7"/>
  <c r="AA26" i="7"/>
  <c r="C26" i="7" s="1"/>
  <c r="AI26" i="7"/>
  <c r="Q27" i="7"/>
  <c r="AA27" i="7"/>
  <c r="C27" i="7" s="1"/>
  <c r="AI27" i="7"/>
  <c r="Q28" i="7"/>
  <c r="AA28" i="7"/>
  <c r="C28" i="7" s="1"/>
  <c r="AI28" i="7"/>
  <c r="Q29" i="7"/>
  <c r="AA29" i="7"/>
  <c r="C29" i="7" s="1"/>
  <c r="AI29" i="7"/>
  <c r="Q30" i="7"/>
  <c r="AA30" i="7"/>
  <c r="C30" i="7" s="1"/>
  <c r="AI30" i="7"/>
  <c r="Q31" i="7"/>
  <c r="AA31" i="7"/>
  <c r="C31" i="7" s="1"/>
  <c r="AI31" i="7"/>
  <c r="Q32" i="7"/>
  <c r="AA32" i="7"/>
  <c r="C32" i="7" s="1"/>
  <c r="AI32" i="7"/>
  <c r="Q33" i="7"/>
  <c r="AA33" i="7"/>
  <c r="C33" i="7" s="1"/>
  <c r="AI33" i="7"/>
  <c r="Q34" i="7"/>
  <c r="AA34" i="7"/>
  <c r="C34" i="7" s="1"/>
  <c r="AI34" i="7"/>
  <c r="Q35" i="7"/>
  <c r="AA35" i="7"/>
  <c r="C35" i="7" s="1"/>
  <c r="AI35" i="7"/>
  <c r="Q36" i="7"/>
  <c r="AA36" i="7"/>
  <c r="C36" i="7" s="1"/>
  <c r="AI36" i="7"/>
  <c r="Q37" i="7"/>
  <c r="AA37" i="7"/>
  <c r="AI37" i="7"/>
  <c r="AC5" i="8"/>
  <c r="AD6" i="8"/>
  <c r="AI7" i="8"/>
  <c r="AF8" i="8"/>
  <c r="AY8" i="8"/>
  <c r="BB8" i="8" s="1"/>
  <c r="AH10" i="8"/>
  <c r="AG11" i="8"/>
  <c r="G11" i="8" s="1"/>
  <c r="AH12" i="8"/>
  <c r="AI13" i="8"/>
  <c r="AJ14" i="8"/>
  <c r="AA15" i="8"/>
  <c r="AB16" i="8"/>
  <c r="AD18" i="8"/>
  <c r="AC18" i="8"/>
  <c r="AF18" i="8"/>
  <c r="AB22" i="8"/>
  <c r="AG24" i="8"/>
  <c r="G24" i="8" s="1"/>
  <c r="AI26" i="8"/>
  <c r="AA26" i="8"/>
  <c r="AF26" i="8"/>
  <c r="AD26" i="8"/>
  <c r="AC26" i="8"/>
  <c r="AJ26" i="8"/>
  <c r="AY26" i="8"/>
  <c r="BB26" i="8" s="1"/>
  <c r="AB29" i="8"/>
  <c r="AI30" i="8"/>
  <c r="AA30" i="8"/>
  <c r="AG30" i="8"/>
  <c r="G30" i="8" s="1"/>
  <c r="AF30" i="8"/>
  <c r="AD30" i="8"/>
  <c r="AC30" i="8"/>
  <c r="AB31" i="8"/>
  <c r="AI32" i="8"/>
  <c r="AA32" i="8"/>
  <c r="D32" i="8" s="1"/>
  <c r="AG32" i="8"/>
  <c r="G32" i="8" s="1"/>
  <c r="AF32" i="8"/>
  <c r="AD32" i="8"/>
  <c r="AC32" i="8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D5" i="8"/>
  <c r="AA7" i="8"/>
  <c r="D7" i="8" s="1"/>
  <c r="AJ7" i="8"/>
  <c r="AG8" i="8"/>
  <c r="G8" i="8" s="1"/>
  <c r="AD9" i="8"/>
  <c r="AI10" i="8"/>
  <c r="AH11" i="8"/>
  <c r="AI12" i="8"/>
  <c r="AJ13" i="8"/>
  <c r="AA14" i="8"/>
  <c r="C14" i="8" s="1"/>
  <c r="AB15" i="8"/>
  <c r="AD17" i="8"/>
  <c r="AC17" i="8"/>
  <c r="AF17" i="8"/>
  <c r="AG18" i="8"/>
  <c r="G18" i="8" s="1"/>
  <c r="AA19" i="8"/>
  <c r="AB21" i="8"/>
  <c r="AG23" i="8"/>
  <c r="G23" i="8" s="1"/>
  <c r="AI25" i="8"/>
  <c r="AA25" i="8"/>
  <c r="D25" i="8" s="1"/>
  <c r="AF25" i="8"/>
  <c r="AD25" i="8"/>
  <c r="AC25" i="8"/>
  <c r="AJ25" i="8"/>
  <c r="AY25" i="8"/>
  <c r="BB25" i="8" s="1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F6" i="8"/>
  <c r="AY6" i="8"/>
  <c r="BB6" i="8" s="1"/>
  <c r="AB7" i="8"/>
  <c r="AH8" i="8"/>
  <c r="AA10" i="8"/>
  <c r="AJ10" i="8"/>
  <c r="AI11" i="8"/>
  <c r="AJ12" i="8"/>
  <c r="AA13" i="8"/>
  <c r="AD16" i="8"/>
  <c r="AC16" i="8"/>
  <c r="AF16" i="8"/>
  <c r="AB19" i="8"/>
  <c r="AB20" i="8"/>
  <c r="AI24" i="8"/>
  <c r="AA24" i="8"/>
  <c r="D24" i="8" s="1"/>
  <c r="AF24" i="8"/>
  <c r="AD24" i="8"/>
  <c r="AC24" i="8"/>
  <c r="AJ24" i="8"/>
  <c r="AY24" i="8"/>
  <c r="BB24" i="8" s="1"/>
  <c r="AB28" i="8"/>
  <c r="AH29" i="8"/>
  <c r="AH31" i="8"/>
  <c r="AD7" i="8"/>
  <c r="AB13" i="8"/>
  <c r="AD15" i="8"/>
  <c r="AC15" i="8"/>
  <c r="AF15" i="8"/>
  <c r="AI23" i="8"/>
  <c r="AA23" i="8"/>
  <c r="AF23" i="8"/>
  <c r="AD23" i="8"/>
  <c r="AC23" i="8"/>
  <c r="AJ23" i="8"/>
  <c r="AY23" i="8"/>
  <c r="BB23" i="8" s="1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G5" i="8"/>
  <c r="G5" i="8" s="1"/>
  <c r="AH6" i="8"/>
  <c r="AA8" i="8"/>
  <c r="D8" i="8" s="1"/>
  <c r="AJ8" i="8"/>
  <c r="AD10" i="8"/>
  <c r="AD14" i="8"/>
  <c r="AC14" i="8"/>
  <c r="AF14" i="8"/>
  <c r="AG15" i="8"/>
  <c r="G15" i="8" s="1"/>
  <c r="AI22" i="8"/>
  <c r="AA22" i="8"/>
  <c r="C22" i="8" s="1"/>
  <c r="AF22" i="8"/>
  <c r="AD22" i="8"/>
  <c r="AC22" i="8"/>
  <c r="AJ22" i="8"/>
  <c r="AY22" i="8"/>
  <c r="BB22" i="8" s="1"/>
  <c r="AI29" i="8"/>
  <c r="AA29" i="8"/>
  <c r="C29" i="8" s="1"/>
  <c r="AG29" i="8"/>
  <c r="G29" i="8" s="1"/>
  <c r="AF29" i="8"/>
  <c r="AD29" i="8"/>
  <c r="AC29" i="8"/>
  <c r="AI31" i="8"/>
  <c r="AA31" i="8"/>
  <c r="C31" i="8" s="1"/>
  <c r="AG31" i="8"/>
  <c r="G31" i="8" s="1"/>
  <c r="AF31" i="8"/>
  <c r="AD31" i="8"/>
  <c r="AC31" i="8"/>
  <c r="AF7" i="8"/>
  <c r="AY7" i="8"/>
  <c r="BB7" i="8" s="1"/>
  <c r="AD13" i="8"/>
  <c r="AC13" i="8"/>
  <c r="AF13" i="8"/>
  <c r="AF19" i="8"/>
  <c r="AD19" i="8"/>
  <c r="AC19" i="8"/>
  <c r="AH19" i="8"/>
  <c r="AI21" i="8"/>
  <c r="AA21" i="8"/>
  <c r="AF21" i="8"/>
  <c r="AD21" i="8"/>
  <c r="AC21" i="8"/>
  <c r="AJ21" i="8"/>
  <c r="AY21" i="8"/>
  <c r="BB21" i="8" s="1"/>
  <c r="AG7" i="8"/>
  <c r="G7" i="8" s="1"/>
  <c r="AD8" i="8"/>
  <c r="AD12" i="8"/>
  <c r="AC12" i="8"/>
  <c r="AF12" i="8"/>
  <c r="AG13" i="8"/>
  <c r="G13" i="8" s="1"/>
  <c r="AI15" i="8"/>
  <c r="AI19" i="8"/>
  <c r="AI20" i="8"/>
  <c r="AA20" i="8"/>
  <c r="AF20" i="8"/>
  <c r="AD20" i="8"/>
  <c r="AC20" i="8"/>
  <c r="AJ20" i="8"/>
  <c r="AY20" i="8"/>
  <c r="BB20" i="8" s="1"/>
  <c r="AI28" i="8"/>
  <c r="AA28" i="8"/>
  <c r="AF28" i="8"/>
  <c r="AD28" i="8"/>
  <c r="AC28" i="8"/>
  <c r="AJ28" i="8"/>
  <c r="AY28" i="8"/>
  <c r="BB28" i="8" s="1"/>
  <c r="AB5" i="8"/>
  <c r="AB6" i="8"/>
  <c r="AH7" i="8"/>
  <c r="AD11" i="8"/>
  <c r="AC11" i="8"/>
  <c r="AF11" i="8"/>
  <c r="AG12" i="8"/>
  <c r="G12" i="8" s="1"/>
  <c r="AH13" i="8"/>
  <c r="AJ15" i="8"/>
  <c r="AJ19" i="8"/>
  <c r="AY19" i="8"/>
  <c r="BB19" i="8" s="1"/>
  <c r="AB23" i="8"/>
  <c r="AI27" i="8"/>
  <c r="AA27" i="8"/>
  <c r="AF27" i="8"/>
  <c r="AD27" i="8"/>
  <c r="AC27" i="8"/>
  <c r="AJ27" i="8"/>
  <c r="AY27" i="8"/>
  <c r="BB27" i="8" s="1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G62" i="8"/>
  <c r="G62" i="8" s="1"/>
  <c r="AG63" i="8"/>
  <c r="G63" i="8" s="1"/>
  <c r="AG64" i="8"/>
  <c r="G64" i="8" s="1"/>
  <c r="AG65" i="8"/>
  <c r="G65" i="8" s="1"/>
  <c r="AG66" i="8"/>
  <c r="G66" i="8" s="1"/>
  <c r="AG67" i="8"/>
  <c r="G67" i="8" s="1"/>
  <c r="AG68" i="8"/>
  <c r="G68" i="8" s="1"/>
  <c r="AG69" i="8"/>
  <c r="G69" i="8" s="1"/>
  <c r="AG70" i="8"/>
  <c r="G70" i="8" s="1"/>
  <c r="AG71" i="8"/>
  <c r="G71" i="8" s="1"/>
  <c r="AI7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I62" i="8"/>
  <c r="AI63" i="8"/>
  <c r="AI64" i="8"/>
  <c r="AI65" i="8"/>
  <c r="AI66" i="8"/>
  <c r="AI67" i="8"/>
  <c r="AI68" i="8"/>
  <c r="AI69" i="8"/>
  <c r="AI70" i="8"/>
  <c r="AI71" i="8"/>
  <c r="AJ62" i="8"/>
  <c r="AJ63" i="8"/>
  <c r="AJ64" i="8"/>
  <c r="AJ65" i="8"/>
  <c r="AJ66" i="8"/>
  <c r="AJ67" i="8"/>
  <c r="AJ68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A62" i="8"/>
  <c r="AA63" i="8"/>
  <c r="AA64" i="8"/>
  <c r="AA65" i="8"/>
  <c r="AA66" i="8"/>
  <c r="AA67" i="8"/>
  <c r="AA68" i="8"/>
  <c r="AA69" i="8"/>
  <c r="AA70" i="8"/>
  <c r="AA71" i="8"/>
  <c r="AA72" i="8"/>
  <c r="AG33" i="8"/>
  <c r="G33" i="8" s="1"/>
  <c r="AG34" i="8"/>
  <c r="G34" i="8" s="1"/>
  <c r="AG35" i="8"/>
  <c r="G35" i="8" s="1"/>
  <c r="AG36" i="8"/>
  <c r="G36" i="8" s="1"/>
  <c r="AG37" i="8"/>
  <c r="G37" i="8" s="1"/>
  <c r="AG38" i="8"/>
  <c r="G38" i="8" s="1"/>
  <c r="AG39" i="8"/>
  <c r="G39" i="8" s="1"/>
  <c r="AG40" i="8"/>
  <c r="G40" i="8" s="1"/>
  <c r="AG41" i="8"/>
  <c r="G41" i="8" s="1"/>
  <c r="AG42" i="8"/>
  <c r="G42" i="8" s="1"/>
  <c r="AG43" i="8"/>
  <c r="G43" i="8" s="1"/>
  <c r="AG44" i="8"/>
  <c r="G44" i="8" s="1"/>
  <c r="AG45" i="8"/>
  <c r="G45" i="8" s="1"/>
  <c r="AG46" i="8"/>
  <c r="G46" i="8" s="1"/>
  <c r="AG47" i="8"/>
  <c r="G47" i="8" s="1"/>
  <c r="AG48" i="8"/>
  <c r="G48" i="8" s="1"/>
  <c r="AG49" i="8"/>
  <c r="G49" i="8" s="1"/>
  <c r="AG50" i="8"/>
  <c r="G50" i="8" s="1"/>
  <c r="AG51" i="8"/>
  <c r="G51" i="8" s="1"/>
  <c r="AG52" i="8"/>
  <c r="G52" i="8" s="1"/>
  <c r="AG53" i="8"/>
  <c r="G53" i="8" s="1"/>
  <c r="AG54" i="8"/>
  <c r="G54" i="8" s="1"/>
  <c r="AG55" i="8"/>
  <c r="G55" i="8" s="1"/>
  <c r="AG56" i="8"/>
  <c r="G56" i="8" s="1"/>
  <c r="AG57" i="8"/>
  <c r="G57" i="8" s="1"/>
  <c r="AG58" i="8"/>
  <c r="G58" i="8" s="1"/>
  <c r="AG59" i="8"/>
  <c r="G59" i="8" s="1"/>
  <c r="AY62" i="8"/>
  <c r="BB62" i="8" s="1"/>
  <c r="AH62" i="8"/>
  <c r="AF62" i="8"/>
  <c r="AC62" i="8"/>
  <c r="AY63" i="8"/>
  <c r="BB63" i="8" s="1"/>
  <c r="AH63" i="8"/>
  <c r="AF63" i="8"/>
  <c r="AC63" i="8"/>
  <c r="AY64" i="8"/>
  <c r="BB64" i="8" s="1"/>
  <c r="AH64" i="8"/>
  <c r="AF64" i="8"/>
  <c r="AC64" i="8"/>
  <c r="AY65" i="8"/>
  <c r="BB65" i="8" s="1"/>
  <c r="AH65" i="8"/>
  <c r="AF65" i="8"/>
  <c r="AC65" i="8"/>
  <c r="AY66" i="8"/>
  <c r="BB66" i="8" s="1"/>
  <c r="AH66" i="8"/>
  <c r="AF66" i="8"/>
  <c r="AC66" i="8"/>
  <c r="AY67" i="8"/>
  <c r="BB67" i="8" s="1"/>
  <c r="AH67" i="8"/>
  <c r="AF67" i="8"/>
  <c r="AC67" i="8"/>
  <c r="AY68" i="8"/>
  <c r="BB68" i="8" s="1"/>
  <c r="AH68" i="8"/>
  <c r="AF68" i="8"/>
  <c r="AC68" i="8"/>
  <c r="AY69" i="8"/>
  <c r="BB69" i="8" s="1"/>
  <c r="AH69" i="8"/>
  <c r="AF69" i="8"/>
  <c r="AC69" i="8"/>
  <c r="AY70" i="8"/>
  <c r="BB70" i="8" s="1"/>
  <c r="AH70" i="8"/>
  <c r="AF70" i="8"/>
  <c r="AC70" i="8"/>
  <c r="AY71" i="8"/>
  <c r="BB71" i="8" s="1"/>
  <c r="AH71" i="8"/>
  <c r="AF71" i="8"/>
  <c r="AC71" i="8"/>
  <c r="AJ72" i="8"/>
  <c r="AB72" i="8"/>
  <c r="AY72" i="8"/>
  <c r="BB72" i="8" s="1"/>
  <c r="AH72" i="8"/>
  <c r="AF72" i="8"/>
  <c r="AD72" i="8"/>
  <c r="AA33" i="8"/>
  <c r="D33" i="8" s="1"/>
  <c r="AI33" i="8"/>
  <c r="AA34" i="8"/>
  <c r="C34" i="8" s="1"/>
  <c r="AI34" i="8"/>
  <c r="AA35" i="8"/>
  <c r="C35" i="8" s="1"/>
  <c r="AI35" i="8"/>
  <c r="AA36" i="8"/>
  <c r="C36" i="8" s="1"/>
  <c r="AI36" i="8"/>
  <c r="AA37" i="8"/>
  <c r="C37" i="8" s="1"/>
  <c r="AI37" i="8"/>
  <c r="AA38" i="8"/>
  <c r="C38" i="8" s="1"/>
  <c r="AI38" i="8"/>
  <c r="AA39" i="8"/>
  <c r="D39" i="8" s="1"/>
  <c r="AI39" i="8"/>
  <c r="AA40" i="8"/>
  <c r="AI40" i="8"/>
  <c r="AA41" i="8"/>
  <c r="C41" i="8" s="1"/>
  <c r="AI41" i="8"/>
  <c r="AA42" i="8"/>
  <c r="C42" i="8" s="1"/>
  <c r="AI42" i="8"/>
  <c r="AA43" i="8"/>
  <c r="AI43" i="8"/>
  <c r="AA44" i="8"/>
  <c r="C44" i="8" s="1"/>
  <c r="AI44" i="8"/>
  <c r="AA45" i="8"/>
  <c r="D45" i="8" s="1"/>
  <c r="AI45" i="8"/>
  <c r="AA46" i="8"/>
  <c r="C46" i="8" s="1"/>
  <c r="AI46" i="8"/>
  <c r="AA47" i="8"/>
  <c r="D47" i="8" s="1"/>
  <c r="AI47" i="8"/>
  <c r="AA48" i="8"/>
  <c r="C48" i="8" s="1"/>
  <c r="AI48" i="8"/>
  <c r="AA49" i="8"/>
  <c r="C49" i="8" s="1"/>
  <c r="AI49" i="8"/>
  <c r="AA50" i="8"/>
  <c r="C50" i="8" s="1"/>
  <c r="AI50" i="8"/>
  <c r="AA51" i="8"/>
  <c r="C51" i="8" s="1"/>
  <c r="AI51" i="8"/>
  <c r="AA52" i="8"/>
  <c r="C52" i="8" s="1"/>
  <c r="AI52" i="8"/>
  <c r="AA53" i="8"/>
  <c r="C53" i="8" s="1"/>
  <c r="AI53" i="8"/>
  <c r="AA54" i="8"/>
  <c r="C54" i="8" s="1"/>
  <c r="AI54" i="8"/>
  <c r="AA55" i="8"/>
  <c r="C55" i="8" s="1"/>
  <c r="AI55" i="8"/>
  <c r="AA56" i="8"/>
  <c r="C56" i="8" s="1"/>
  <c r="AI56" i="8"/>
  <c r="AA57" i="8"/>
  <c r="C57" i="8" s="1"/>
  <c r="AI57" i="8"/>
  <c r="AA58" i="8"/>
  <c r="C58" i="8" s="1"/>
  <c r="AI58" i="8"/>
  <c r="AA59" i="8"/>
  <c r="C59" i="8" s="1"/>
  <c r="AI59" i="8"/>
  <c r="AD62" i="8"/>
  <c r="AD63" i="8"/>
  <c r="AD64" i="8"/>
  <c r="AD65" i="8"/>
  <c r="AD66" i="8"/>
  <c r="AD67" i="8"/>
  <c r="AD68" i="8"/>
  <c r="AD69" i="8"/>
  <c r="AD70" i="8"/>
  <c r="AD71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G72" i="8"/>
  <c r="G72" i="8" s="1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7" i="8"/>
  <c r="AF88" i="8"/>
  <c r="AF89" i="8"/>
  <c r="AF90" i="8"/>
  <c r="AF91" i="8"/>
  <c r="AF92" i="8"/>
  <c r="AF93" i="8"/>
  <c r="AF94" i="8"/>
  <c r="AF95" i="8"/>
  <c r="AF96" i="8"/>
  <c r="AF97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C144" i="8"/>
  <c r="AJ144" i="8"/>
  <c r="AA144" i="8"/>
  <c r="D144" i="8" s="1"/>
  <c r="AI144" i="8"/>
  <c r="AG144" i="8"/>
  <c r="G144" i="8" s="1"/>
  <c r="AY144" i="8"/>
  <c r="BB144" i="8" s="1"/>
  <c r="AF144" i="8"/>
  <c r="AB144" i="8"/>
  <c r="AD158" i="8"/>
  <c r="AC158" i="8"/>
  <c r="AY158" i="8"/>
  <c r="BB158" i="8" s="1"/>
  <c r="AH158" i="8"/>
  <c r="AF158" i="8"/>
  <c r="AB158" i="8"/>
  <c r="AA158" i="8"/>
  <c r="AJ158" i="8"/>
  <c r="AD151" i="8"/>
  <c r="AC151" i="8"/>
  <c r="AY151" i="8"/>
  <c r="BB151" i="8" s="1"/>
  <c r="AH151" i="8"/>
  <c r="AF151" i="8"/>
  <c r="AB151" i="8"/>
  <c r="AG151" i="8"/>
  <c r="G151" i="8" s="1"/>
  <c r="AD161" i="8"/>
  <c r="AC161" i="8"/>
  <c r="AI161" i="8"/>
  <c r="AA161" i="8"/>
  <c r="AY161" i="8"/>
  <c r="BB161" i="8" s="1"/>
  <c r="AH161" i="8"/>
  <c r="AF161" i="8"/>
  <c r="AJ161" i="8"/>
  <c r="AG161" i="8"/>
  <c r="G161" i="8" s="1"/>
  <c r="AB161" i="8"/>
  <c r="AH73" i="8"/>
  <c r="AY73" i="8"/>
  <c r="BB73" i="8" s="1"/>
  <c r="AH74" i="8"/>
  <c r="AY74" i="8"/>
  <c r="BB74" i="8" s="1"/>
  <c r="AH75" i="8"/>
  <c r="AY75" i="8"/>
  <c r="BB75" i="8" s="1"/>
  <c r="AH76" i="8"/>
  <c r="AY76" i="8"/>
  <c r="BB76" i="8" s="1"/>
  <c r="AH77" i="8"/>
  <c r="AY77" i="8"/>
  <c r="BB77" i="8" s="1"/>
  <c r="AH78" i="8"/>
  <c r="AY78" i="8"/>
  <c r="BB78" i="8" s="1"/>
  <c r="AH79" i="8"/>
  <c r="AY79" i="8"/>
  <c r="BB79" i="8" s="1"/>
  <c r="AH80" i="8"/>
  <c r="AY80" i="8"/>
  <c r="BB80" i="8" s="1"/>
  <c r="AH81" i="8"/>
  <c r="AY81" i="8"/>
  <c r="BB81" i="8" s="1"/>
  <c r="AH82" i="8"/>
  <c r="AY82" i="8"/>
  <c r="BB82" i="8" s="1"/>
  <c r="AH83" i="8"/>
  <c r="AY83" i="8"/>
  <c r="BB83" i="8" s="1"/>
  <c r="AH84" i="8"/>
  <c r="AY84" i="8"/>
  <c r="BB84" i="8" s="1"/>
  <c r="AH85" i="8"/>
  <c r="AY85" i="8"/>
  <c r="BB85" i="8" s="1"/>
  <c r="AH86" i="8"/>
  <c r="AY86" i="8"/>
  <c r="BB86" i="8" s="1"/>
  <c r="AH87" i="8"/>
  <c r="AY87" i="8"/>
  <c r="BB87" i="8" s="1"/>
  <c r="AH88" i="8"/>
  <c r="AY88" i="8"/>
  <c r="BB88" i="8" s="1"/>
  <c r="AH89" i="8"/>
  <c r="AY89" i="8"/>
  <c r="BB89" i="8" s="1"/>
  <c r="AH90" i="8"/>
  <c r="AY90" i="8"/>
  <c r="BB90" i="8" s="1"/>
  <c r="AH91" i="8"/>
  <c r="AY91" i="8"/>
  <c r="BB91" i="8" s="1"/>
  <c r="AH92" i="8"/>
  <c r="AY92" i="8"/>
  <c r="BB92" i="8" s="1"/>
  <c r="AH93" i="8"/>
  <c r="AY93" i="8"/>
  <c r="BB93" i="8" s="1"/>
  <c r="AH94" i="8"/>
  <c r="AY94" i="8"/>
  <c r="BB94" i="8" s="1"/>
  <c r="AH95" i="8"/>
  <c r="AY95" i="8"/>
  <c r="BB95" i="8" s="1"/>
  <c r="AH96" i="8"/>
  <c r="AY96" i="8"/>
  <c r="BB96" i="8" s="1"/>
  <c r="AH97" i="8"/>
  <c r="AY97" i="8"/>
  <c r="BB97" i="8" s="1"/>
  <c r="AH98" i="8"/>
  <c r="AY98" i="8"/>
  <c r="BB98" i="8" s="1"/>
  <c r="AH99" i="8"/>
  <c r="AY99" i="8"/>
  <c r="BB99" i="8" s="1"/>
  <c r="AH100" i="8"/>
  <c r="AY100" i="8"/>
  <c r="BB100" i="8" s="1"/>
  <c r="AH101" i="8"/>
  <c r="AY101" i="8"/>
  <c r="BB101" i="8" s="1"/>
  <c r="AH102" i="8"/>
  <c r="AY102" i="8"/>
  <c r="BB102" i="8" s="1"/>
  <c r="AH103" i="8"/>
  <c r="AY103" i="8"/>
  <c r="BB103" i="8" s="1"/>
  <c r="AH104" i="8"/>
  <c r="AY104" i="8"/>
  <c r="BB104" i="8" s="1"/>
  <c r="AH105" i="8"/>
  <c r="AY105" i="8"/>
  <c r="BB105" i="8" s="1"/>
  <c r="AH106" i="8"/>
  <c r="AY106" i="8"/>
  <c r="BB106" i="8" s="1"/>
  <c r="AH107" i="8"/>
  <c r="AY107" i="8"/>
  <c r="BB107" i="8" s="1"/>
  <c r="AH108" i="8"/>
  <c r="AY108" i="8"/>
  <c r="BB108" i="8" s="1"/>
  <c r="AH109" i="8"/>
  <c r="AY109" i="8"/>
  <c r="BB109" i="8" s="1"/>
  <c r="AH110" i="8"/>
  <c r="AY110" i="8"/>
  <c r="BB110" i="8" s="1"/>
  <c r="AH111" i="8"/>
  <c r="AB139" i="8"/>
  <c r="AD140" i="8"/>
  <c r="AA79" i="8"/>
  <c r="AI79" i="8"/>
  <c r="AA80" i="8"/>
  <c r="AI80" i="8"/>
  <c r="AA81" i="8"/>
  <c r="AI81" i="8"/>
  <c r="AA82" i="8"/>
  <c r="AI82" i="8"/>
  <c r="AA83" i="8"/>
  <c r="AI83" i="8"/>
  <c r="AA84" i="8"/>
  <c r="AI84" i="8"/>
  <c r="AA85" i="8"/>
  <c r="AI85" i="8"/>
  <c r="AA86" i="8"/>
  <c r="AI86" i="8"/>
  <c r="AA87" i="8"/>
  <c r="AI87" i="8"/>
  <c r="AA88" i="8"/>
  <c r="AI88" i="8"/>
  <c r="AA89" i="8"/>
  <c r="AI89" i="8"/>
  <c r="AA90" i="8"/>
  <c r="AI90" i="8"/>
  <c r="AA91" i="8"/>
  <c r="AI91" i="8"/>
  <c r="AA92" i="8"/>
  <c r="AI92" i="8"/>
  <c r="AA93" i="8"/>
  <c r="AI93" i="8"/>
  <c r="AA94" i="8"/>
  <c r="AI94" i="8"/>
  <c r="AA95" i="8"/>
  <c r="AI95" i="8"/>
  <c r="AA96" i="8"/>
  <c r="AI96" i="8"/>
  <c r="AA97" i="8"/>
  <c r="AI97" i="8"/>
  <c r="AA98" i="8"/>
  <c r="AI98" i="8"/>
  <c r="AA99" i="8"/>
  <c r="AI99" i="8"/>
  <c r="AA100" i="8"/>
  <c r="AI100" i="8"/>
  <c r="AA101" i="8"/>
  <c r="AI101" i="8"/>
  <c r="AA102" i="8"/>
  <c r="AI102" i="8"/>
  <c r="AA103" i="8"/>
  <c r="AI103" i="8"/>
  <c r="AA104" i="8"/>
  <c r="AI104" i="8"/>
  <c r="AA105" i="8"/>
  <c r="AI105" i="8"/>
  <c r="AA106" i="8"/>
  <c r="AI106" i="8"/>
  <c r="AA107" i="8"/>
  <c r="AI107" i="8"/>
  <c r="AA108" i="8"/>
  <c r="AI108" i="8"/>
  <c r="AA109" i="8"/>
  <c r="AI109" i="8"/>
  <c r="AA110" i="8"/>
  <c r="AI110" i="8"/>
  <c r="AA111" i="8"/>
  <c r="AI111" i="8"/>
  <c r="AD139" i="8"/>
  <c r="AD155" i="8"/>
  <c r="AC155" i="8"/>
  <c r="AY155" i="8"/>
  <c r="BB155" i="8" s="1"/>
  <c r="AH155" i="8"/>
  <c r="AF155" i="8"/>
  <c r="AJ155" i="8"/>
  <c r="AG155" i="8"/>
  <c r="G155" i="8" s="1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D150" i="8"/>
  <c r="AC150" i="8"/>
  <c r="AY150" i="8"/>
  <c r="BB150" i="8" s="1"/>
  <c r="AH150" i="8"/>
  <c r="AF150" i="8"/>
  <c r="AB150" i="8"/>
  <c r="AA150" i="8"/>
  <c r="AJ150" i="8"/>
  <c r="AA151" i="8"/>
  <c r="AC139" i="8"/>
  <c r="AI139" i="8"/>
  <c r="AH139" i="8"/>
  <c r="AY139" i="8"/>
  <c r="BB139" i="8" s="1"/>
  <c r="AF139" i="8"/>
  <c r="AJ139" i="8"/>
  <c r="AA139" i="8"/>
  <c r="D139" i="8" s="1"/>
  <c r="AD160" i="8"/>
  <c r="AC160" i="8"/>
  <c r="AI160" i="8"/>
  <c r="AA160" i="8"/>
  <c r="AY160" i="8"/>
  <c r="BB160" i="8" s="1"/>
  <c r="AH160" i="8"/>
  <c r="AF160" i="8"/>
  <c r="AB160" i="8"/>
  <c r="AJ160" i="8"/>
  <c r="AG160" i="8"/>
  <c r="G160" i="8" s="1"/>
  <c r="AC140" i="8"/>
  <c r="AY140" i="8"/>
  <c r="BB140" i="8" s="1"/>
  <c r="AF140" i="8"/>
  <c r="AB140" i="8"/>
  <c r="AJ140" i="8"/>
  <c r="AA140" i="8"/>
  <c r="AG140" i="8"/>
  <c r="G140" i="8" s="1"/>
  <c r="AG150" i="8"/>
  <c r="G150" i="8" s="1"/>
  <c r="AJ15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H137" i="8"/>
  <c r="AD141" i="8"/>
  <c r="AI142" i="8"/>
  <c r="AF143" i="8"/>
  <c r="AY143" i="8"/>
  <c r="BB143" i="8" s="1"/>
  <c r="AH145" i="8"/>
  <c r="AG146" i="8"/>
  <c r="G146" i="8" s="1"/>
  <c r="AH147" i="8"/>
  <c r="AA148" i="8"/>
  <c r="AD152" i="8"/>
  <c r="AC152" i="8"/>
  <c r="AY152" i="8"/>
  <c r="BB152" i="8" s="1"/>
  <c r="AH152" i="8"/>
  <c r="AF152" i="8"/>
  <c r="AI152" i="8"/>
  <c r="AJ153" i="8"/>
  <c r="AA156" i="8"/>
  <c r="AD162" i="8"/>
  <c r="AC162" i="8"/>
  <c r="AI162" i="8"/>
  <c r="AA162" i="8"/>
  <c r="AY162" i="8"/>
  <c r="BB162" i="8" s="1"/>
  <c r="AH162" i="8"/>
  <c r="AF162" i="8"/>
  <c r="AB166" i="8"/>
  <c r="AG168" i="8"/>
  <c r="G168" i="8" s="1"/>
  <c r="AD170" i="8"/>
  <c r="AC170" i="8"/>
  <c r="AI170" i="8"/>
  <c r="AA170" i="8"/>
  <c r="AY170" i="8"/>
  <c r="BB170" i="8" s="1"/>
  <c r="AH170" i="8"/>
  <c r="AF170" i="8"/>
  <c r="AB174" i="8"/>
  <c r="AD165" i="8"/>
  <c r="AC165" i="8"/>
  <c r="AI165" i="8"/>
  <c r="AA165" i="8"/>
  <c r="AY165" i="8"/>
  <c r="BB165" i="8" s="1"/>
  <c r="AH165" i="8"/>
  <c r="AF165" i="8"/>
  <c r="AB169" i="8"/>
  <c r="AD173" i="8"/>
  <c r="AC173" i="8"/>
  <c r="AI173" i="8"/>
  <c r="AA173" i="8"/>
  <c r="AY173" i="8"/>
  <c r="BB173" i="8" s="1"/>
  <c r="AH173" i="8"/>
  <c r="AF173" i="8"/>
  <c r="AD168" i="8"/>
  <c r="AC168" i="8"/>
  <c r="AI168" i="8"/>
  <c r="AA168" i="8"/>
  <c r="AY168" i="8"/>
  <c r="BB168" i="8" s="1"/>
  <c r="AH168" i="8"/>
  <c r="AF168" i="8"/>
  <c r="AB137" i="8"/>
  <c r="AH138" i="8"/>
  <c r="AD142" i="8"/>
  <c r="AI143" i="8"/>
  <c r="AB145" i="8"/>
  <c r="AA147" i="8"/>
  <c r="C147" i="8" s="1"/>
  <c r="AD149" i="8"/>
  <c r="AC149" i="8"/>
  <c r="AY149" i="8"/>
  <c r="BB149" i="8" s="1"/>
  <c r="AH149" i="8"/>
  <c r="AF149" i="8"/>
  <c r="AI149" i="8"/>
  <c r="AA153" i="8"/>
  <c r="AD157" i="8"/>
  <c r="AC157" i="8"/>
  <c r="AY157" i="8"/>
  <c r="BB157" i="8" s="1"/>
  <c r="AH157" i="8"/>
  <c r="AF157" i="8"/>
  <c r="AI157" i="8"/>
  <c r="AD163" i="8"/>
  <c r="AC163" i="8"/>
  <c r="AI163" i="8"/>
  <c r="AA163" i="8"/>
  <c r="AY163" i="8"/>
  <c r="BB163" i="8" s="1"/>
  <c r="AH163" i="8"/>
  <c r="AF163" i="8"/>
  <c r="AG169" i="8"/>
  <c r="G169" i="8" s="1"/>
  <c r="AD171" i="8"/>
  <c r="AC171" i="8"/>
  <c r="AI171" i="8"/>
  <c r="AA171" i="8"/>
  <c r="AY171" i="8"/>
  <c r="BB171" i="8" s="1"/>
  <c r="AH171" i="8"/>
  <c r="AF171" i="8"/>
  <c r="AD137" i="8"/>
  <c r="AA143" i="8"/>
  <c r="AJ143" i="8"/>
  <c r="AD145" i="8"/>
  <c r="AB147" i="8"/>
  <c r="AD148" i="8"/>
  <c r="AC148" i="8"/>
  <c r="AY148" i="8"/>
  <c r="BB148" i="8" s="1"/>
  <c r="AH148" i="8"/>
  <c r="AF148" i="8"/>
  <c r="AI148" i="8"/>
  <c r="AD156" i="8"/>
  <c r="AC156" i="8"/>
  <c r="AY156" i="8"/>
  <c r="BB156" i="8" s="1"/>
  <c r="AH156" i="8"/>
  <c r="AF156" i="8"/>
  <c r="AI156" i="8"/>
  <c r="AD166" i="8"/>
  <c r="AC166" i="8"/>
  <c r="AI166" i="8"/>
  <c r="AA166" i="8"/>
  <c r="AY166" i="8"/>
  <c r="BB166" i="8" s="1"/>
  <c r="AH166" i="8"/>
  <c r="AF166" i="8"/>
  <c r="AD174" i="8"/>
  <c r="AC174" i="8"/>
  <c r="AI174" i="8"/>
  <c r="AA174" i="8"/>
  <c r="AY174" i="8"/>
  <c r="BB174" i="8" s="1"/>
  <c r="AH174" i="8"/>
  <c r="AF174" i="8"/>
  <c r="AD169" i="8"/>
  <c r="AC169" i="8"/>
  <c r="AI169" i="8"/>
  <c r="AA169" i="8"/>
  <c r="AY169" i="8"/>
  <c r="BB169" i="8" s="1"/>
  <c r="AH169" i="8"/>
  <c r="AF169" i="8"/>
  <c r="AD143" i="8"/>
  <c r="AC147" i="8"/>
  <c r="AF147" i="8"/>
  <c r="AD154" i="8"/>
  <c r="AC154" i="8"/>
  <c r="AY154" i="8"/>
  <c r="BB154" i="8" s="1"/>
  <c r="AH154" i="8"/>
  <c r="AF154" i="8"/>
  <c r="AI154" i="8"/>
  <c r="AD164" i="8"/>
  <c r="AC164" i="8"/>
  <c r="AI164" i="8"/>
  <c r="AA164" i="8"/>
  <c r="AY164" i="8"/>
  <c r="BB164" i="8" s="1"/>
  <c r="AH164" i="8"/>
  <c r="AF164" i="8"/>
  <c r="AB168" i="8"/>
  <c r="AD172" i="8"/>
  <c r="AC172" i="8"/>
  <c r="AI172" i="8"/>
  <c r="AA172" i="8"/>
  <c r="AY172" i="8"/>
  <c r="BB172" i="8" s="1"/>
  <c r="AH172" i="8"/>
  <c r="AF172" i="8"/>
  <c r="AG137" i="8"/>
  <c r="G137" i="8" s="1"/>
  <c r="AD138" i="8"/>
  <c r="AG145" i="8"/>
  <c r="G145" i="8" s="1"/>
  <c r="AC146" i="8"/>
  <c r="AF146" i="8"/>
  <c r="AG147" i="8"/>
  <c r="G147" i="8" s="1"/>
  <c r="AD153" i="8"/>
  <c r="AC153" i="8"/>
  <c r="AY153" i="8"/>
  <c r="BB153" i="8" s="1"/>
  <c r="AH153" i="8"/>
  <c r="AF153" i="8"/>
  <c r="AI153" i="8"/>
  <c r="AJ154" i="8"/>
  <c r="AD159" i="8"/>
  <c r="AC159" i="8"/>
  <c r="AI159" i="8"/>
  <c r="AA159" i="8"/>
  <c r="AY159" i="8"/>
  <c r="BB159" i="8" s="1"/>
  <c r="AH159" i="8"/>
  <c r="AF159" i="8"/>
  <c r="AG165" i="8"/>
  <c r="G165" i="8" s="1"/>
  <c r="AD167" i="8"/>
  <c r="AC167" i="8"/>
  <c r="AI167" i="8"/>
  <c r="AA167" i="8"/>
  <c r="AY167" i="8"/>
  <c r="BB167" i="8" s="1"/>
  <c r="AH167" i="8"/>
  <c r="AF167" i="8"/>
  <c r="AG173" i="8"/>
  <c r="G173" i="8" s="1"/>
  <c r="AH175" i="8"/>
  <c r="AB176" i="8"/>
  <c r="AA175" i="8"/>
  <c r="C175" i="8" s="1"/>
  <c r="AJ175" i="8"/>
  <c r="AD176" i="8"/>
  <c r="AB175" i="8"/>
  <c r="AD175" i="8"/>
  <c r="AH176" i="8"/>
  <c r="AB177" i="8"/>
  <c r="AI176" i="8"/>
  <c r="AC177" i="8"/>
  <c r="AG178" i="8"/>
  <c r="G178" i="8" s="1"/>
  <c r="AG179" i="8"/>
  <c r="G179" i="8" s="1"/>
  <c r="AG180" i="8"/>
  <c r="G180" i="8" s="1"/>
  <c r="AG181" i="8"/>
  <c r="G181" i="8" s="1"/>
  <c r="AG182" i="8"/>
  <c r="G182" i="8" s="1"/>
  <c r="AG183" i="8"/>
  <c r="G183" i="8" s="1"/>
  <c r="AG184" i="8"/>
  <c r="G184" i="8" s="1"/>
  <c r="AG185" i="8"/>
  <c r="G185" i="8" s="1"/>
  <c r="AG186" i="8"/>
  <c r="G186" i="8" s="1"/>
  <c r="AG187" i="8"/>
  <c r="G187" i="8" s="1"/>
  <c r="AG188" i="8"/>
  <c r="G188" i="8" s="1"/>
  <c r="AG189" i="8"/>
  <c r="G189" i="8" s="1"/>
  <c r="AG190" i="8"/>
  <c r="G190" i="8" s="1"/>
  <c r="AG191" i="8"/>
  <c r="G191" i="8" s="1"/>
  <c r="AG192" i="8"/>
  <c r="G192" i="8" s="1"/>
  <c r="AG193" i="8"/>
  <c r="G193" i="8" s="1"/>
  <c r="AG194" i="8"/>
  <c r="G194" i="8" s="1"/>
  <c r="AG195" i="8"/>
  <c r="G195" i="8" s="1"/>
  <c r="AG196" i="8"/>
  <c r="G196" i="8" s="1"/>
  <c r="AG197" i="8"/>
  <c r="G197" i="8" s="1"/>
  <c r="AG198" i="8"/>
  <c r="G198" i="8" s="1"/>
  <c r="AG199" i="8"/>
  <c r="G199" i="8" s="1"/>
  <c r="AG200" i="8"/>
  <c r="G200" i="8" s="1"/>
  <c r="AG201" i="8"/>
  <c r="G201" i="8" s="1"/>
  <c r="AG202" i="8"/>
  <c r="G202" i="8" s="1"/>
  <c r="AG203" i="8"/>
  <c r="G203" i="8" s="1"/>
  <c r="AG204" i="8"/>
  <c r="G204" i="8" s="1"/>
  <c r="AG205" i="8"/>
  <c r="G205" i="8" s="1"/>
  <c r="AG206" i="8"/>
  <c r="G206" i="8" s="1"/>
  <c r="AG207" i="8"/>
  <c r="G207" i="8" s="1"/>
  <c r="AG208" i="8"/>
  <c r="G208" i="8" s="1"/>
  <c r="AG209" i="8"/>
  <c r="G209" i="8" s="1"/>
  <c r="AG210" i="8"/>
  <c r="G210" i="8" s="1"/>
  <c r="AG211" i="8"/>
  <c r="G211" i="8" s="1"/>
  <c r="AG212" i="8"/>
  <c r="G212" i="8" s="1"/>
  <c r="AG213" i="8"/>
  <c r="G213" i="8" s="1"/>
  <c r="AG214" i="8"/>
  <c r="G214" i="8" s="1"/>
  <c r="AG215" i="8"/>
  <c r="G215" i="8" s="1"/>
  <c r="AY245" i="8"/>
  <c r="BB245" i="8" s="1"/>
  <c r="AH245" i="8"/>
  <c r="AC245" i="8"/>
  <c r="AB245" i="8"/>
  <c r="AJ245" i="8"/>
  <c r="AI245" i="8"/>
  <c r="AG245" i="8"/>
  <c r="G245" i="8" s="1"/>
  <c r="AF245" i="8"/>
  <c r="AY244" i="8"/>
  <c r="BB244" i="8" s="1"/>
  <c r="AH244" i="8"/>
  <c r="AC244" i="8"/>
  <c r="AA244" i="8"/>
  <c r="AI244" i="8"/>
  <c r="AG244" i="8"/>
  <c r="G244" i="8" s="1"/>
  <c r="AF244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44" i="8"/>
  <c r="AJ244" i="8"/>
  <c r="AY239" i="8"/>
  <c r="BB239" i="8" s="1"/>
  <c r="AH239" i="8"/>
  <c r="AJ239" i="8"/>
  <c r="AA239" i="8"/>
  <c r="AG239" i="8"/>
  <c r="G239" i="8" s="1"/>
  <c r="AF239" i="8"/>
  <c r="AD239" i="8"/>
  <c r="AC264" i="8"/>
  <c r="AG264" i="8"/>
  <c r="G264" i="8" s="1"/>
  <c r="AY264" i="8"/>
  <c r="BB264" i="8" s="1"/>
  <c r="AF264" i="8"/>
  <c r="AB264" i="8"/>
  <c r="AI264" i="8"/>
  <c r="AH264" i="8"/>
  <c r="AC266" i="8"/>
  <c r="AI266" i="8"/>
  <c r="AH266" i="8"/>
  <c r="AG266" i="8"/>
  <c r="G266" i="8" s="1"/>
  <c r="AF266" i="8"/>
  <c r="AY266" i="8"/>
  <c r="BB266" i="8" s="1"/>
  <c r="AB266" i="8"/>
  <c r="AJ266" i="8"/>
  <c r="AA266" i="8"/>
  <c r="D266" i="8" s="1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J238" i="8"/>
  <c r="AJ240" i="8"/>
  <c r="AA241" i="8"/>
  <c r="AY243" i="8"/>
  <c r="BB243" i="8" s="1"/>
  <c r="AH243" i="8"/>
  <c r="AC243" i="8"/>
  <c r="AD243" i="8"/>
  <c r="AY242" i="8"/>
  <c r="BB242" i="8" s="1"/>
  <c r="AH242" i="8"/>
  <c r="AC242" i="8"/>
  <c r="AD242" i="8"/>
  <c r="AD268" i="8"/>
  <c r="AC268" i="8"/>
  <c r="AA268" i="8"/>
  <c r="AJ268" i="8"/>
  <c r="AI268" i="8"/>
  <c r="AH268" i="8"/>
  <c r="AG268" i="8"/>
  <c r="G268" i="8" s="1"/>
  <c r="AY268" i="8"/>
  <c r="BB268" i="8" s="1"/>
  <c r="AB268" i="8"/>
  <c r="AY240" i="8"/>
  <c r="BB240" i="8" s="1"/>
  <c r="AH240" i="8"/>
  <c r="AC240" i="8"/>
  <c r="AB240" i="8"/>
  <c r="AY241" i="8"/>
  <c r="BB241" i="8" s="1"/>
  <c r="AH241" i="8"/>
  <c r="AC241" i="8"/>
  <c r="AD241" i="8"/>
  <c r="AF240" i="8"/>
  <c r="AG241" i="8"/>
  <c r="G241" i="8" s="1"/>
  <c r="AI242" i="8"/>
  <c r="AY246" i="8"/>
  <c r="BB246" i="8" s="1"/>
  <c r="AH246" i="8"/>
  <c r="AC246" i="8"/>
  <c r="AD246" i="8"/>
  <c r="AB247" i="8"/>
  <c r="AJ247" i="8"/>
  <c r="AB248" i="8"/>
  <c r="AJ248" i="8"/>
  <c r="AB249" i="8"/>
  <c r="AJ249" i="8"/>
  <c r="AB250" i="8"/>
  <c r="AJ250" i="8"/>
  <c r="AB251" i="8"/>
  <c r="AJ251" i="8"/>
  <c r="AB252" i="8"/>
  <c r="AJ252" i="8"/>
  <c r="AB253" i="8"/>
  <c r="AJ253" i="8"/>
  <c r="AB254" i="8"/>
  <c r="AJ254" i="8"/>
  <c r="AB255" i="8"/>
  <c r="AJ255" i="8"/>
  <c r="AB256" i="8"/>
  <c r="AJ256" i="8"/>
  <c r="AB257" i="8"/>
  <c r="AJ257" i="8"/>
  <c r="AB258" i="8"/>
  <c r="AJ258" i="8"/>
  <c r="AB259" i="8"/>
  <c r="AJ259" i="8"/>
  <c r="AD260" i="8"/>
  <c r="AI261" i="8"/>
  <c r="AB263" i="8"/>
  <c r="AA267" i="8"/>
  <c r="D267" i="8" s="1"/>
  <c r="AD270" i="8"/>
  <c r="AC270" i="8"/>
  <c r="AF270" i="8"/>
  <c r="AG271" i="8"/>
  <c r="G271" i="8" s="1"/>
  <c r="AI273" i="8"/>
  <c r="AJ274" i="8"/>
  <c r="AA275" i="8"/>
  <c r="AD278" i="8"/>
  <c r="AC278" i="8"/>
  <c r="AF278" i="8"/>
  <c r="AG279" i="8"/>
  <c r="G279" i="8" s="1"/>
  <c r="AD282" i="8"/>
  <c r="AC282" i="8"/>
  <c r="AY282" i="8"/>
  <c r="BB282" i="8" s="1"/>
  <c r="AH282" i="8"/>
  <c r="AG282" i="8"/>
  <c r="G282" i="8" s="1"/>
  <c r="AF282" i="8"/>
  <c r="AD283" i="8"/>
  <c r="AC283" i="8"/>
  <c r="AY283" i="8"/>
  <c r="BB283" i="8" s="1"/>
  <c r="AH283" i="8"/>
  <c r="AG283" i="8"/>
  <c r="G283" i="8" s="1"/>
  <c r="AF283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A261" i="8"/>
  <c r="AJ261" i="8"/>
  <c r="AD263" i="8"/>
  <c r="AF265" i="8"/>
  <c r="AY265" i="8"/>
  <c r="BB265" i="8" s="1"/>
  <c r="AD269" i="8"/>
  <c r="AC269" i="8"/>
  <c r="AF269" i="8"/>
  <c r="AH271" i="8"/>
  <c r="AJ273" i="8"/>
  <c r="AA274" i="8"/>
  <c r="D274" i="8" s="1"/>
  <c r="AB275" i="8"/>
  <c r="AD277" i="8"/>
  <c r="AC277" i="8"/>
  <c r="AF277" i="8"/>
  <c r="AH279" i="8"/>
  <c r="AA281" i="8"/>
  <c r="C281" i="8" s="1"/>
  <c r="AY281" i="8"/>
  <c r="BB281" i="8" s="1"/>
  <c r="AI283" i="8"/>
  <c r="AI271" i="8"/>
  <c r="AA273" i="8"/>
  <c r="C273" i="8" s="1"/>
  <c r="AB274" i="8"/>
  <c r="AD276" i="8"/>
  <c r="AC276" i="8"/>
  <c r="AF276" i="8"/>
  <c r="AG277" i="8"/>
  <c r="G277" i="8" s="1"/>
  <c r="AH278" i="8"/>
  <c r="AI279" i="8"/>
  <c r="AJ282" i="8"/>
  <c r="AJ283" i="8"/>
  <c r="AD261" i="8"/>
  <c r="AH265" i="8"/>
  <c r="AD267" i="8"/>
  <c r="AC267" i="8"/>
  <c r="AF267" i="8"/>
  <c r="AJ271" i="8"/>
  <c r="AB273" i="8"/>
  <c r="AD275" i="8"/>
  <c r="AC275" i="8"/>
  <c r="AF275" i="8"/>
  <c r="AJ279" i="8"/>
  <c r="AD274" i="8"/>
  <c r="AC274" i="8"/>
  <c r="AF274" i="8"/>
  <c r="AD281" i="8"/>
  <c r="AC281" i="8"/>
  <c r="AG281" i="8"/>
  <c r="G281" i="8" s="1"/>
  <c r="AF281" i="8"/>
  <c r="AD273" i="8"/>
  <c r="AC273" i="8"/>
  <c r="AF273" i="8"/>
  <c r="AH247" i="8"/>
  <c r="AH248" i="8"/>
  <c r="AH249" i="8"/>
  <c r="AH250" i="8"/>
  <c r="AH251" i="8"/>
  <c r="AH252" i="8"/>
  <c r="AH253" i="8"/>
  <c r="AH254" i="8"/>
  <c r="AH255" i="8"/>
  <c r="AH256" i="8"/>
  <c r="AH257" i="8"/>
  <c r="AH258" i="8"/>
  <c r="AH259" i="8"/>
  <c r="AA260" i="8"/>
  <c r="D260" i="8" s="1"/>
  <c r="AJ260" i="8"/>
  <c r="AG261" i="8"/>
  <c r="G261" i="8" s="1"/>
  <c r="AD262" i="8"/>
  <c r="AI263" i="8"/>
  <c r="AB265" i="8"/>
  <c r="AI267" i="8"/>
  <c r="AA269" i="8"/>
  <c r="C269" i="8" s="1"/>
  <c r="AB270" i="8"/>
  <c r="AD272" i="8"/>
  <c r="AC272" i="8"/>
  <c r="AF272" i="8"/>
  <c r="AG273" i="8"/>
  <c r="G273" i="8" s="1"/>
  <c r="AH274" i="8"/>
  <c r="AI275" i="8"/>
  <c r="AJ276" i="8"/>
  <c r="AA277" i="8"/>
  <c r="C277" i="8" s="1"/>
  <c r="AB278" i="8"/>
  <c r="AD280" i="8"/>
  <c r="AC280" i="8"/>
  <c r="AF280" i="8"/>
  <c r="AI281" i="8"/>
  <c r="AB282" i="8"/>
  <c r="AB283" i="8"/>
  <c r="AD265" i="8"/>
  <c r="AD271" i="8"/>
  <c r="AC271" i="8"/>
  <c r="AF271" i="8"/>
  <c r="AH273" i="8"/>
  <c r="AI274" i="8"/>
  <c r="AD279" i="8"/>
  <c r="AC279" i="8"/>
  <c r="AF279" i="8"/>
  <c r="AJ281" i="8"/>
  <c r="AI293" i="8"/>
  <c r="AA293" i="8"/>
  <c r="AC293" i="8"/>
  <c r="AI309" i="8"/>
  <c r="AA309" i="8"/>
  <c r="C309" i="8" s="1"/>
  <c r="AG309" i="8"/>
  <c r="G309" i="8" s="1"/>
  <c r="AD309" i="8"/>
  <c r="AH309" i="8"/>
  <c r="AF309" i="8"/>
  <c r="AC309" i="8"/>
  <c r="AY309" i="8"/>
  <c r="BB309" i="8" s="1"/>
  <c r="AB309" i="8"/>
  <c r="AG290" i="8"/>
  <c r="G290" i="8" s="1"/>
  <c r="AD291" i="8"/>
  <c r="AI292" i="8"/>
  <c r="AA292" i="8"/>
  <c r="C292" i="8" s="1"/>
  <c r="AC292" i="8"/>
  <c r="AF293" i="8"/>
  <c r="AB295" i="8"/>
  <c r="AB296" i="8"/>
  <c r="AI297" i="8"/>
  <c r="AJ297" i="8"/>
  <c r="AA297" i="8"/>
  <c r="AH297" i="8"/>
  <c r="AF297" i="8"/>
  <c r="AY297" i="8"/>
  <c r="BB297" i="8" s="1"/>
  <c r="AC297" i="8"/>
  <c r="AG284" i="8"/>
  <c r="G284" i="8" s="1"/>
  <c r="AG285" i="8"/>
  <c r="G285" i="8" s="1"/>
  <c r="AG286" i="8"/>
  <c r="G286" i="8" s="1"/>
  <c r="AG287" i="8"/>
  <c r="G287" i="8" s="1"/>
  <c r="AG288" i="8"/>
  <c r="G288" i="8" s="1"/>
  <c r="AG289" i="8"/>
  <c r="G289" i="8" s="1"/>
  <c r="AY289" i="8"/>
  <c r="BB289" i="8" s="1"/>
  <c r="AH290" i="8"/>
  <c r="AY290" i="8"/>
  <c r="BB290" i="8" s="1"/>
  <c r="AI291" i="8"/>
  <c r="AA291" i="8"/>
  <c r="D291" i="8" s="1"/>
  <c r="AC291" i="8"/>
  <c r="AG293" i="8"/>
  <c r="G293" i="8" s="1"/>
  <c r="AD295" i="8"/>
  <c r="AD296" i="8"/>
  <c r="AH284" i="8"/>
  <c r="AY284" i="8"/>
  <c r="BB284" i="8" s="1"/>
  <c r="AH285" i="8"/>
  <c r="AY285" i="8"/>
  <c r="BB285" i="8" s="1"/>
  <c r="AH286" i="8"/>
  <c r="AY286" i="8"/>
  <c r="BB286" i="8" s="1"/>
  <c r="AH287" i="8"/>
  <c r="AY287" i="8"/>
  <c r="BB287" i="8" s="1"/>
  <c r="AH288" i="8"/>
  <c r="AY288" i="8"/>
  <c r="BB288" i="8" s="1"/>
  <c r="AH289" i="8"/>
  <c r="AA290" i="8"/>
  <c r="C290" i="8" s="1"/>
  <c r="AI290" i="8"/>
  <c r="AG295" i="8"/>
  <c r="G295" i="8" s="1"/>
  <c r="AG296" i="8"/>
  <c r="G296" i="8" s="1"/>
  <c r="AI300" i="8"/>
  <c r="AA300" i="8"/>
  <c r="AG300" i="8"/>
  <c r="G300" i="8" s="1"/>
  <c r="AD300" i="8"/>
  <c r="AC300" i="8"/>
  <c r="AY300" i="8"/>
  <c r="BB300" i="8" s="1"/>
  <c r="AB300" i="8"/>
  <c r="AJ300" i="8"/>
  <c r="AH300" i="8"/>
  <c r="AF300" i="8"/>
  <c r="AB290" i="8"/>
  <c r="AJ290" i="8"/>
  <c r="AB284" i="8"/>
  <c r="AJ284" i="8"/>
  <c r="AB285" i="8"/>
  <c r="AJ285" i="8"/>
  <c r="AB286" i="8"/>
  <c r="AJ286" i="8"/>
  <c r="AB287" i="8"/>
  <c r="AJ287" i="8"/>
  <c r="AB288" i="8"/>
  <c r="AJ288" i="8"/>
  <c r="AB289" i="8"/>
  <c r="AJ289" i="8"/>
  <c r="AC290" i="8"/>
  <c r="AI295" i="8"/>
  <c r="AA295" i="8"/>
  <c r="AF295" i="8"/>
  <c r="AC295" i="8"/>
  <c r="AJ295" i="8"/>
  <c r="AI296" i="8"/>
  <c r="AA296" i="8"/>
  <c r="AY296" i="8"/>
  <c r="BB296" i="8" s="1"/>
  <c r="AH296" i="8"/>
  <c r="AF296" i="8"/>
  <c r="AC296" i="8"/>
  <c r="AI308" i="8"/>
  <c r="AA308" i="8"/>
  <c r="C308" i="8" s="1"/>
  <c r="AG308" i="8"/>
  <c r="G308" i="8" s="1"/>
  <c r="AD308" i="8"/>
  <c r="AC308" i="8"/>
  <c r="AY308" i="8"/>
  <c r="BB308" i="8" s="1"/>
  <c r="AB308" i="8"/>
  <c r="AJ308" i="8"/>
  <c r="AH308" i="8"/>
  <c r="AF308" i="8"/>
  <c r="AC284" i="8"/>
  <c r="AC285" i="8"/>
  <c r="AC286" i="8"/>
  <c r="AC287" i="8"/>
  <c r="AC288" i="8"/>
  <c r="AC289" i="8"/>
  <c r="AY293" i="8"/>
  <c r="BB293" i="8" s="1"/>
  <c r="AI294" i="8"/>
  <c r="AA294" i="8"/>
  <c r="AF294" i="8"/>
  <c r="AC294" i="8"/>
  <c r="AJ294" i="8"/>
  <c r="AY294" i="8"/>
  <c r="BB294" i="8" s="1"/>
  <c r="AY295" i="8"/>
  <c r="BB295" i="8" s="1"/>
  <c r="AI301" i="8"/>
  <c r="AA301" i="8"/>
  <c r="D301" i="8" s="1"/>
  <c r="AG301" i="8"/>
  <c r="G301" i="8" s="1"/>
  <c r="AD301" i="8"/>
  <c r="AH301" i="8"/>
  <c r="AF301" i="8"/>
  <c r="AC301" i="8"/>
  <c r="AY301" i="8"/>
  <c r="BB301" i="8" s="1"/>
  <c r="AB301" i="8"/>
  <c r="AD293" i="8"/>
  <c r="AB299" i="8"/>
  <c r="AH303" i="8"/>
  <c r="AI305" i="8"/>
  <c r="AA305" i="8"/>
  <c r="C305" i="8" s="1"/>
  <c r="AG305" i="8"/>
  <c r="G305" i="8" s="1"/>
  <c r="AD305" i="8"/>
  <c r="AJ306" i="8"/>
  <c r="AB307" i="8"/>
  <c r="AH311" i="8"/>
  <c r="AI302" i="8"/>
  <c r="AA302" i="8"/>
  <c r="C302" i="8" s="1"/>
  <c r="AG302" i="8"/>
  <c r="G302" i="8" s="1"/>
  <c r="AD302" i="8"/>
  <c r="AI310" i="8"/>
  <c r="AA310" i="8"/>
  <c r="C310" i="8" s="1"/>
  <c r="AG310" i="8"/>
  <c r="G310" i="8" s="1"/>
  <c r="AD310" i="8"/>
  <c r="AI298" i="8"/>
  <c r="AA298" i="8"/>
  <c r="D298" i="8" s="1"/>
  <c r="AD298" i="8"/>
  <c r="AY298" i="8"/>
  <c r="BB298" i="8" s="1"/>
  <c r="AI299" i="8"/>
  <c r="AA299" i="8"/>
  <c r="AG299" i="8"/>
  <c r="G299" i="8" s="1"/>
  <c r="AD299" i="8"/>
  <c r="AF302" i="8"/>
  <c r="AI307" i="8"/>
  <c r="AA307" i="8"/>
  <c r="AG307" i="8"/>
  <c r="G307" i="8" s="1"/>
  <c r="AD307" i="8"/>
  <c r="AF310" i="8"/>
  <c r="AH302" i="8"/>
  <c r="AI304" i="8"/>
  <c r="AA304" i="8"/>
  <c r="C304" i="8" s="1"/>
  <c r="AG304" i="8"/>
  <c r="G304" i="8" s="1"/>
  <c r="AD304" i="8"/>
  <c r="AF307" i="8"/>
  <c r="AH310" i="8"/>
  <c r="AJ312" i="8"/>
  <c r="AI312" i="8"/>
  <c r="AA312" i="8"/>
  <c r="C312" i="8" s="1"/>
  <c r="AG312" i="8"/>
  <c r="G312" i="8" s="1"/>
  <c r="AD312" i="8"/>
  <c r="AH298" i="8"/>
  <c r="AJ299" i="8"/>
  <c r="AH304" i="8"/>
  <c r="AI306" i="8"/>
  <c r="AA306" i="8"/>
  <c r="C306" i="8" s="1"/>
  <c r="AG306" i="8"/>
  <c r="G306" i="8" s="1"/>
  <c r="AD306" i="8"/>
  <c r="AJ307" i="8"/>
  <c r="AH312" i="8"/>
  <c r="AJ298" i="8"/>
  <c r="AI303" i="8"/>
  <c r="AA303" i="8"/>
  <c r="D303" i="8" s="1"/>
  <c r="AG303" i="8"/>
  <c r="G303" i="8" s="1"/>
  <c r="AD303" i="8"/>
  <c r="AJ304" i="8"/>
  <c r="AB305" i="8"/>
  <c r="AY305" i="8"/>
  <c r="BB305" i="8" s="1"/>
  <c r="AF306" i="8"/>
  <c r="AI311" i="8"/>
  <c r="AA311" i="8"/>
  <c r="C311" i="8" s="1"/>
  <c r="AG311" i="8"/>
  <c r="G311" i="8" s="1"/>
  <c r="AD311" i="8"/>
  <c r="AI363" i="8"/>
  <c r="AA363" i="8"/>
  <c r="D363" i="8" s="1"/>
  <c r="AY363" i="8"/>
  <c r="BB363" i="8" s="1"/>
  <c r="AF363" i="8"/>
  <c r="AB363" i="8"/>
  <c r="AH363" i="8"/>
  <c r="AB369" i="8"/>
  <c r="AB397" i="8"/>
  <c r="AA390" i="8"/>
  <c r="AI389" i="8"/>
  <c r="AI387" i="8"/>
  <c r="AH386" i="8"/>
  <c r="AA385" i="8"/>
  <c r="C385" i="8" s="1"/>
  <c r="AH384" i="8"/>
  <c r="AA383" i="8"/>
  <c r="C383" i="8" s="1"/>
  <c r="AH382" i="8"/>
  <c r="AG381" i="8"/>
  <c r="G381" i="8" s="1"/>
  <c r="AI379" i="8"/>
  <c r="AF378" i="8"/>
  <c r="AG399" i="8"/>
  <c r="G399" i="8" s="1"/>
  <c r="AB395" i="8"/>
  <c r="AG389" i="8"/>
  <c r="G389" i="8" s="1"/>
  <c r="AG387" i="8"/>
  <c r="G387" i="8" s="1"/>
  <c r="AG386" i="8"/>
  <c r="G386" i="8" s="1"/>
  <c r="AG384" i="8"/>
  <c r="G384" i="8" s="1"/>
  <c r="AG382" i="8"/>
  <c r="G382" i="8" s="1"/>
  <c r="AD380" i="8"/>
  <c r="AH379" i="8"/>
  <c r="AD381" i="8"/>
  <c r="AY380" i="8"/>
  <c r="BB380" i="8" s="1"/>
  <c r="AB380" i="8"/>
  <c r="AG379" i="8"/>
  <c r="G379" i="8" s="1"/>
  <c r="AD378" i="8"/>
  <c r="AD377" i="8"/>
  <c r="AD376" i="8"/>
  <c r="AD375" i="8"/>
  <c r="AD374" i="8"/>
  <c r="AD373" i="8"/>
  <c r="AD372" i="8"/>
  <c r="AF396" i="8"/>
  <c r="AB391" i="8"/>
  <c r="AA389" i="8"/>
  <c r="AA387" i="8"/>
  <c r="D387" i="8" s="1"/>
  <c r="AD386" i="8"/>
  <c r="AI385" i="8"/>
  <c r="AD384" i="8"/>
  <c r="AI383" i="8"/>
  <c r="AD382" i="8"/>
  <c r="AY381" i="8"/>
  <c r="BB381" i="8" s="1"/>
  <c r="AB381" i="8"/>
  <c r="AA380" i="8"/>
  <c r="D380" i="8" s="1"/>
  <c r="AY379" i="8"/>
  <c r="BB379" i="8" s="1"/>
  <c r="AC378" i="8"/>
  <c r="AC377" i="8"/>
  <c r="AC376" i="8"/>
  <c r="AI380" i="8"/>
  <c r="AC379" i="8"/>
  <c r="AI378" i="8"/>
  <c r="AA378" i="8"/>
  <c r="AI377" i="8"/>
  <c r="AA377" i="8"/>
  <c r="AI376" i="8"/>
  <c r="AA376" i="8"/>
  <c r="AI375" i="8"/>
  <c r="AA375" i="8"/>
  <c r="AI374" i="8"/>
  <c r="AA374" i="8"/>
  <c r="AI373" i="8"/>
  <c r="AA373" i="8"/>
  <c r="AI372" i="8"/>
  <c r="AA372" i="8"/>
  <c r="C372" i="8" s="1"/>
  <c r="AY384" i="8"/>
  <c r="BB384" i="8" s="1"/>
  <c r="AY382" i="8"/>
  <c r="BB382" i="8" s="1"/>
  <c r="AI381" i="8"/>
  <c r="AH380" i="8"/>
  <c r="AB379" i="8"/>
  <c r="AH378" i="8"/>
  <c r="AY377" i="8"/>
  <c r="BB377" i="8" s="1"/>
  <c r="AH377" i="8"/>
  <c r="AY376" i="8"/>
  <c r="BB376" i="8" s="1"/>
  <c r="AH376" i="8"/>
  <c r="AY375" i="8"/>
  <c r="BB375" i="8" s="1"/>
  <c r="AH375" i="8"/>
  <c r="AY374" i="8"/>
  <c r="BB374" i="8" s="1"/>
  <c r="AH374" i="8"/>
  <c r="AY373" i="8"/>
  <c r="BB373" i="8" s="1"/>
  <c r="AH373" i="8"/>
  <c r="AF394" i="8"/>
  <c r="AI386" i="8"/>
  <c r="AH385" i="8"/>
  <c r="AG376" i="8"/>
  <c r="G376" i="8" s="1"/>
  <c r="AF375" i="8"/>
  <c r="AF374" i="8"/>
  <c r="AJ373" i="8"/>
  <c r="AH372" i="8"/>
  <c r="AC362" i="8"/>
  <c r="AC361" i="8"/>
  <c r="AC360" i="8"/>
  <c r="AB398" i="8"/>
  <c r="AA386" i="8"/>
  <c r="AD385" i="8"/>
  <c r="AJ379" i="8"/>
  <c r="AF376" i="8"/>
  <c r="AC375" i="8"/>
  <c r="AC374" i="8"/>
  <c r="AG373" i="8"/>
  <c r="G373" i="8" s="1"/>
  <c r="AG372" i="8"/>
  <c r="G372" i="8" s="1"/>
  <c r="AI382" i="8"/>
  <c r="AJ378" i="8"/>
  <c r="AJ377" i="8"/>
  <c r="AC373" i="8"/>
  <c r="AC372" i="8"/>
  <c r="AJ363" i="8"/>
  <c r="AB368" i="8"/>
  <c r="AA381" i="8"/>
  <c r="AD383" i="8"/>
  <c r="AI384" i="8"/>
  <c r="AB313" i="8"/>
  <c r="AB314" i="8"/>
  <c r="AB315" i="8"/>
  <c r="AB316" i="8"/>
  <c r="AB317" i="8"/>
  <c r="AB318" i="8"/>
  <c r="AB319" i="8"/>
  <c r="AB320" i="8"/>
  <c r="AB321" i="8"/>
  <c r="AB322" i="8"/>
  <c r="AB323" i="8"/>
  <c r="AB324" i="8"/>
  <c r="AB325" i="8"/>
  <c r="AB326" i="8"/>
  <c r="AB327" i="8"/>
  <c r="AB328" i="8"/>
  <c r="AB329" i="8"/>
  <c r="AB330" i="8"/>
  <c r="AB331" i="8"/>
  <c r="AB332" i="8"/>
  <c r="AB333" i="8"/>
  <c r="AB334" i="8"/>
  <c r="AB335" i="8"/>
  <c r="AB336" i="8"/>
  <c r="AB337" i="8"/>
  <c r="AB338" i="8"/>
  <c r="AB339" i="8"/>
  <c r="AB340" i="8"/>
  <c r="AB341" i="8"/>
  <c r="AB342" i="8"/>
  <c r="AB343" i="8"/>
  <c r="AB344" i="8"/>
  <c r="AB345" i="8"/>
  <c r="AB346" i="8"/>
  <c r="AB347" i="8"/>
  <c r="AB348" i="8"/>
  <c r="AB349" i="8"/>
  <c r="AB350" i="8"/>
  <c r="AB351" i="8"/>
  <c r="AJ352" i="8"/>
  <c r="AB352" i="8"/>
  <c r="AC352" i="8"/>
  <c r="AB367" i="8"/>
  <c r="AF369" i="8"/>
  <c r="AD371" i="8"/>
  <c r="AI371" i="8"/>
  <c r="AA371" i="8"/>
  <c r="D371" i="8" s="1"/>
  <c r="AH371" i="8"/>
  <c r="AG371" i="8"/>
  <c r="G371" i="8" s="1"/>
  <c r="AC371" i="8"/>
  <c r="AJ374" i="8"/>
  <c r="AG380" i="8"/>
  <c r="G380" i="8" s="1"/>
  <c r="AH381" i="8"/>
  <c r="AH383" i="8"/>
  <c r="AD370" i="8"/>
  <c r="AI370" i="8"/>
  <c r="AA370" i="8"/>
  <c r="D370" i="8" s="1"/>
  <c r="AH370" i="8"/>
  <c r="AG370" i="8"/>
  <c r="G370" i="8" s="1"/>
  <c r="AC370" i="8"/>
  <c r="AY371" i="8"/>
  <c r="BB371" i="8" s="1"/>
  <c r="AY378" i="8"/>
  <c r="BB378" i="8" s="1"/>
  <c r="AJ380" i="8"/>
  <c r="AD369" i="8"/>
  <c r="AI369" i="8"/>
  <c r="AA369" i="8"/>
  <c r="AH369" i="8"/>
  <c r="AG369" i="8"/>
  <c r="G369" i="8" s="1"/>
  <c r="AC369" i="8"/>
  <c r="AY386" i="8"/>
  <c r="BB386" i="8" s="1"/>
  <c r="AC363" i="8"/>
  <c r="AD368" i="8"/>
  <c r="AI368" i="8"/>
  <c r="AA368" i="8"/>
  <c r="D368" i="8" s="1"/>
  <c r="AH368" i="8"/>
  <c r="AG368" i="8"/>
  <c r="G368" i="8" s="1"/>
  <c r="AC368" i="8"/>
  <c r="AY369" i="8"/>
  <c r="BB369" i="8" s="1"/>
  <c r="AD379" i="8"/>
  <c r="AG390" i="8"/>
  <c r="G390" i="8" s="1"/>
  <c r="AD363" i="8"/>
  <c r="AI366" i="8"/>
  <c r="AA366" i="8"/>
  <c r="AB366" i="8"/>
  <c r="AJ366" i="8"/>
  <c r="AY366" i="8"/>
  <c r="BB366" i="8" s="1"/>
  <c r="AF366" i="8"/>
  <c r="AD367" i="8"/>
  <c r="AI367" i="8"/>
  <c r="AA367" i="8"/>
  <c r="D367" i="8" s="1"/>
  <c r="AH367" i="8"/>
  <c r="AG367" i="8"/>
  <c r="G367" i="8" s="1"/>
  <c r="AC367" i="8"/>
  <c r="AY368" i="8"/>
  <c r="BB368" i="8" s="1"/>
  <c r="AB382" i="8"/>
  <c r="AA388" i="8"/>
  <c r="AG363" i="8"/>
  <c r="G363" i="8" s="1"/>
  <c r="AI364" i="8"/>
  <c r="AA364" i="8"/>
  <c r="AB364" i="8"/>
  <c r="AJ364" i="8"/>
  <c r="AY364" i="8"/>
  <c r="BB364" i="8" s="1"/>
  <c r="AF364" i="8"/>
  <c r="AI365" i="8"/>
  <c r="AA365" i="8"/>
  <c r="D365" i="8" s="1"/>
  <c r="AY365" i="8"/>
  <c r="BB365" i="8" s="1"/>
  <c r="AF365" i="8"/>
  <c r="AB365" i="8"/>
  <c r="AH365" i="8"/>
  <c r="AG366" i="8"/>
  <c r="G366" i="8" s="1"/>
  <c r="AY367" i="8"/>
  <c r="BB367" i="8" s="1"/>
  <c r="AI388" i="8"/>
  <c r="AG353" i="8"/>
  <c r="G353" i="8" s="1"/>
  <c r="AG354" i="8"/>
  <c r="G354" i="8" s="1"/>
  <c r="AG355" i="8"/>
  <c r="G355" i="8" s="1"/>
  <c r="AG356" i="8"/>
  <c r="G356" i="8" s="1"/>
  <c r="AG357" i="8"/>
  <c r="G357" i="8" s="1"/>
  <c r="AG358" i="8"/>
  <c r="G358" i="8" s="1"/>
  <c r="AG359" i="8"/>
  <c r="G359" i="8" s="1"/>
  <c r="AG360" i="8"/>
  <c r="G360" i="8" s="1"/>
  <c r="AG361" i="8"/>
  <c r="G361" i="8" s="1"/>
  <c r="AG362" i="8"/>
  <c r="G362" i="8" s="1"/>
  <c r="AY362" i="8"/>
  <c r="BB362" i="8" s="1"/>
  <c r="AJ398" i="8"/>
  <c r="AB353" i="8"/>
  <c r="AB354" i="8"/>
  <c r="AB355" i="8"/>
  <c r="AB356" i="8"/>
  <c r="AB357" i="8"/>
  <c r="AB358" i="8"/>
  <c r="AB359" i="8"/>
  <c r="AB360" i="8"/>
  <c r="AB361" i="8"/>
  <c r="AB362" i="8"/>
  <c r="AY385" i="8"/>
  <c r="BB385" i="8" s="1"/>
  <c r="AI390" i="8"/>
  <c r="AB400" i="8"/>
  <c r="AJ397" i="8"/>
  <c r="AA397" i="8"/>
  <c r="AJ395" i="8"/>
  <c r="AA395" i="8"/>
  <c r="AJ393" i="8"/>
  <c r="AA393" i="8"/>
  <c r="AJ391" i="8"/>
  <c r="AA391" i="8"/>
  <c r="AF390" i="8"/>
  <c r="AF389" i="8"/>
  <c r="AF388" i="8"/>
  <c r="AF387" i="8"/>
  <c r="AF386" i="8"/>
  <c r="AF385" i="8"/>
  <c r="AF384" i="8"/>
  <c r="AF383" i="8"/>
  <c r="AF382" i="8"/>
  <c r="AF381" i="8"/>
  <c r="AF380" i="8"/>
  <c r="AF379" i="8"/>
  <c r="AI397" i="8"/>
  <c r="AD396" i="8"/>
  <c r="AI395" i="8"/>
  <c r="AD394" i="8"/>
  <c r="AI393" i="8"/>
  <c r="AD392" i="8"/>
  <c r="AI391" i="8"/>
  <c r="AJ400" i="8"/>
  <c r="AC399" i="8"/>
  <c r="AG397" i="8"/>
  <c r="G397" i="8" s="1"/>
  <c r="AC396" i="8"/>
  <c r="AG395" i="8"/>
  <c r="G395" i="8" s="1"/>
  <c r="AC394" i="8"/>
  <c r="AG393" i="8"/>
  <c r="G393" i="8" s="1"/>
  <c r="AC392" i="8"/>
  <c r="AG391" i="8"/>
  <c r="G391" i="8" s="1"/>
  <c r="AD390" i="8"/>
  <c r="AD389" i="8"/>
  <c r="AD388" i="8"/>
  <c r="AD387" i="8"/>
  <c r="AG400" i="8"/>
  <c r="G400" i="8" s="1"/>
  <c r="AB399" i="8"/>
  <c r="AF397" i="8"/>
  <c r="AB396" i="8"/>
  <c r="AF395" i="8"/>
  <c r="AB394" i="8"/>
  <c r="AF393" i="8"/>
  <c r="AB392" i="8"/>
  <c r="AF391" i="8"/>
  <c r="AC390" i="8"/>
  <c r="AC389" i="8"/>
  <c r="AC388" i="8"/>
  <c r="AC387" i="8"/>
  <c r="AC386" i="8"/>
  <c r="AC385" i="8"/>
  <c r="AC384" i="8"/>
  <c r="AC383" i="8"/>
  <c r="AC382" i="8"/>
  <c r="AC381" i="8"/>
  <c r="AC380" i="8"/>
  <c r="AJ396" i="8"/>
  <c r="AA396" i="8"/>
  <c r="AJ394" i="8"/>
  <c r="AA394" i="8"/>
  <c r="AJ392" i="8"/>
  <c r="AA392" i="8"/>
  <c r="AJ390" i="8"/>
  <c r="AB390" i="8"/>
  <c r="AJ389" i="8"/>
  <c r="AB389" i="8"/>
  <c r="AJ388" i="8"/>
  <c r="AB388" i="8"/>
  <c r="AJ387" i="8"/>
  <c r="AB387" i="8"/>
  <c r="AJ386" i="8"/>
  <c r="AB386" i="8"/>
  <c r="AJ385" i="8"/>
  <c r="AB385" i="8"/>
  <c r="AJ384" i="8"/>
  <c r="AB384" i="8"/>
  <c r="AJ383" i="8"/>
  <c r="AB383" i="8"/>
  <c r="AJ382" i="8"/>
  <c r="AD400" i="8"/>
  <c r="AD397" i="8"/>
  <c r="AI396" i="8"/>
  <c r="AD395" i="8"/>
  <c r="AI394" i="8"/>
  <c r="AD393" i="8"/>
  <c r="AI392" i="8"/>
  <c r="AD391" i="8"/>
  <c r="AC400" i="8"/>
  <c r="AJ399" i="8"/>
  <c r="AC397" i="8"/>
  <c r="AG396" i="8"/>
  <c r="G396" i="8" s="1"/>
  <c r="AC395" i="8"/>
  <c r="AG394" i="8"/>
  <c r="G394" i="8" s="1"/>
  <c r="AC393" i="8"/>
  <c r="AG392" i="8"/>
  <c r="G392" i="8" s="1"/>
  <c r="AC391" i="8"/>
  <c r="AH390" i="8"/>
  <c r="AY389" i="8"/>
  <c r="BB389" i="8" s="1"/>
  <c r="AH389" i="8"/>
  <c r="AY388" i="8"/>
  <c r="BB388" i="8" s="1"/>
  <c r="AH388" i="8"/>
  <c r="AY387" i="8"/>
  <c r="BB387" i="8" s="1"/>
  <c r="AH387" i="8"/>
  <c r="AJ381" i="8"/>
  <c r="AA382" i="8"/>
  <c r="C382" i="8" s="1"/>
  <c r="AG383" i="8"/>
  <c r="G383" i="8" s="1"/>
  <c r="AG385" i="8"/>
  <c r="G385" i="8" s="1"/>
  <c r="AG388" i="8"/>
  <c r="G388" i="8" s="1"/>
  <c r="AF392" i="8"/>
  <c r="AD399" i="8"/>
  <c r="AY383" i="8"/>
  <c r="BB383" i="8" s="1"/>
  <c r="AB393" i="8"/>
  <c r="AC398" i="8"/>
  <c r="AD398" i="8"/>
  <c r="AY390" i="8"/>
  <c r="BB390" i="8" s="1"/>
  <c r="AG398" i="8"/>
  <c r="G398" i="8" s="1"/>
  <c r="B6" i="15"/>
  <c r="A8" i="15"/>
  <c r="B5" i="15"/>
  <c r="B21" i="15" s="1"/>
  <c r="A19" i="15"/>
  <c r="B3" i="15"/>
  <c r="A21" i="15" s="1"/>
  <c r="B1" i="15"/>
  <c r="AY391" i="8"/>
  <c r="BB391" i="8" s="1"/>
  <c r="AH391" i="8"/>
  <c r="AY392" i="8"/>
  <c r="BB392" i="8" s="1"/>
  <c r="AH392" i="8"/>
  <c r="AY393" i="8"/>
  <c r="BB393" i="8" s="1"/>
  <c r="AH393" i="8"/>
  <c r="AY394" i="8"/>
  <c r="BB394" i="8" s="1"/>
  <c r="AH394" i="8"/>
  <c r="AY395" i="8"/>
  <c r="BB395" i="8" s="1"/>
  <c r="AH395" i="8"/>
  <c r="AY396" i="8"/>
  <c r="BB396" i="8" s="1"/>
  <c r="AH396" i="8"/>
  <c r="AY397" i="8"/>
  <c r="BB397" i="8" s="1"/>
  <c r="AH397" i="8"/>
  <c r="AI398" i="8"/>
  <c r="AA398" i="8"/>
  <c r="AY398" i="8"/>
  <c r="BB398" i="8" s="1"/>
  <c r="AH398" i="8"/>
  <c r="AF398" i="8"/>
  <c r="AI399" i="8"/>
  <c r="AA399" i="8"/>
  <c r="AY399" i="8"/>
  <c r="BB399" i="8" s="1"/>
  <c r="AH399" i="8"/>
  <c r="AF399" i="8"/>
  <c r="AI400" i="8"/>
  <c r="AA400" i="8"/>
  <c r="AY400" i="8"/>
  <c r="BB400" i="8" s="1"/>
  <c r="AH400" i="8"/>
  <c r="AF400" i="8"/>
  <c r="A24" i="15"/>
  <c r="A23" i="15"/>
  <c r="B86" i="12"/>
  <c r="A86" i="12"/>
  <c r="B90" i="12"/>
  <c r="A90" i="12"/>
  <c r="B97" i="12"/>
  <c r="A97" i="12"/>
  <c r="A100" i="12"/>
  <c r="B100" i="12"/>
  <c r="B107" i="12"/>
  <c r="A107" i="12"/>
  <c r="B10" i="13"/>
  <c r="A10" i="13"/>
  <c r="B18" i="13"/>
  <c r="A18" i="13"/>
  <c r="A60" i="12"/>
  <c r="A92" i="12"/>
  <c r="A95" i="12"/>
  <c r="A102" i="12"/>
  <c r="B112" i="12"/>
  <c r="A112" i="12"/>
  <c r="A118" i="12"/>
  <c r="B128" i="12"/>
  <c r="A128" i="12"/>
  <c r="A131" i="12"/>
  <c r="A134" i="12"/>
  <c r="A152" i="12"/>
  <c r="I10" i="13"/>
  <c r="I18" i="13"/>
  <c r="N32" i="13"/>
  <c r="A12" i="12"/>
  <c r="A56" i="12"/>
  <c r="A88" i="12"/>
  <c r="A91" i="12"/>
  <c r="A98" i="12"/>
  <c r="A148" i="12"/>
  <c r="A175" i="12"/>
  <c r="A178" i="12"/>
  <c r="A191" i="12"/>
  <c r="A194" i="12"/>
  <c r="A219" i="12"/>
  <c r="A222" i="12"/>
  <c r="B231" i="12"/>
  <c r="A4" i="13"/>
  <c r="J8" i="13"/>
  <c r="N9" i="13"/>
  <c r="J16" i="13"/>
  <c r="N17" i="13"/>
  <c r="N25" i="13"/>
  <c r="N28" i="13"/>
  <c r="J29" i="13"/>
  <c r="J32" i="13"/>
  <c r="J64" i="13"/>
  <c r="R6" i="15"/>
  <c r="S6" i="15" s="1"/>
  <c r="T6" i="15" s="1"/>
  <c r="U6" i="15" s="1"/>
  <c r="V6" i="15" s="1"/>
  <c r="W6" i="15" s="1"/>
  <c r="X6" i="15" s="1"/>
  <c r="Q1" i="15"/>
  <c r="A84" i="12"/>
  <c r="B108" i="12"/>
  <c r="A108" i="12"/>
  <c r="B124" i="12"/>
  <c r="A124" i="12"/>
  <c r="A144" i="12"/>
  <c r="A206" i="12"/>
  <c r="A3" i="13"/>
  <c r="A12" i="13"/>
  <c r="A20" i="13"/>
  <c r="J28" i="13"/>
  <c r="A36" i="13"/>
  <c r="N56" i="13"/>
  <c r="J56" i="13"/>
  <c r="B6" i="13"/>
  <c r="A6" i="13"/>
  <c r="B14" i="13"/>
  <c r="A14" i="13"/>
  <c r="B22" i="13"/>
  <c r="A22" i="13"/>
  <c r="J31" i="13"/>
  <c r="N31" i="13"/>
  <c r="B53" i="13"/>
  <c r="A53" i="13"/>
  <c r="I53" i="13"/>
  <c r="D53" i="13"/>
  <c r="A76" i="12"/>
  <c r="A93" i="12"/>
  <c r="B104" i="12"/>
  <c r="A104" i="12"/>
  <c r="A110" i="12"/>
  <c r="B120" i="12"/>
  <c r="A120" i="12"/>
  <c r="A123" i="12"/>
  <c r="A126" i="12"/>
  <c r="B136" i="12"/>
  <c r="A136" i="12"/>
  <c r="A227" i="12"/>
  <c r="I6" i="13"/>
  <c r="I14" i="13"/>
  <c r="I22" i="13"/>
  <c r="J27" i="13"/>
  <c r="A72" i="12"/>
  <c r="A164" i="12"/>
  <c r="A170" i="12"/>
  <c r="A183" i="12"/>
  <c r="A186" i="12"/>
  <c r="A199" i="12"/>
  <c r="A202" i="12"/>
  <c r="A211" i="12"/>
  <c r="A214" i="12"/>
  <c r="A230" i="12"/>
  <c r="J3" i="13"/>
  <c r="N5" i="13"/>
  <c r="J12" i="13"/>
  <c r="N13" i="13"/>
  <c r="J20" i="13"/>
  <c r="N21" i="13"/>
  <c r="A30" i="13"/>
  <c r="I30" i="13"/>
  <c r="D30" i="13"/>
  <c r="B30" i="13"/>
  <c r="J60" i="13"/>
  <c r="N68" i="13"/>
  <c r="J68" i="13"/>
  <c r="N100" i="13"/>
  <c r="J100" i="13"/>
  <c r="B116" i="12"/>
  <c r="A116" i="12"/>
  <c r="B132" i="12"/>
  <c r="A132" i="12"/>
  <c r="A38" i="13"/>
  <c r="I38" i="13"/>
  <c r="D38" i="13"/>
  <c r="B38" i="13"/>
  <c r="B73" i="13"/>
  <c r="A73" i="13"/>
  <c r="I73" i="13"/>
  <c r="D73" i="13"/>
  <c r="N97" i="13"/>
  <c r="N89" i="13"/>
  <c r="N85" i="13"/>
  <c r="N81" i="13"/>
  <c r="N77" i="13"/>
  <c r="A42" i="13"/>
  <c r="I42" i="13"/>
  <c r="D42" i="13"/>
  <c r="D44" i="13"/>
  <c r="C44" i="13"/>
  <c r="N44" i="13" s="1"/>
  <c r="A46" i="13"/>
  <c r="I46" i="13"/>
  <c r="D46" i="13"/>
  <c r="D48" i="13"/>
  <c r="C48" i="13"/>
  <c r="N52" i="13"/>
  <c r="N72" i="13"/>
  <c r="N88" i="13"/>
  <c r="B37" i="13"/>
  <c r="A37" i="13"/>
  <c r="I37" i="13"/>
  <c r="A50" i="13"/>
  <c r="I50" i="13"/>
  <c r="D50" i="13"/>
  <c r="J52" i="13"/>
  <c r="N62" i="13"/>
  <c r="N66" i="13"/>
  <c r="J72" i="13"/>
  <c r="N76" i="13"/>
  <c r="N86" i="13"/>
  <c r="J88" i="13"/>
  <c r="N91" i="13"/>
  <c r="I7" i="13"/>
  <c r="I11" i="13"/>
  <c r="I15" i="13"/>
  <c r="I19" i="13"/>
  <c r="I23" i="13"/>
  <c r="A28" i="13"/>
  <c r="A32" i="13"/>
  <c r="A40" i="13"/>
  <c r="B41" i="13"/>
  <c r="A41" i="13"/>
  <c r="I41" i="13"/>
  <c r="B45" i="13"/>
  <c r="A45" i="13"/>
  <c r="I45" i="13"/>
  <c r="N58" i="13"/>
  <c r="A63" i="13"/>
  <c r="A67" i="13"/>
  <c r="J76" i="13"/>
  <c r="N79" i="13"/>
  <c r="N96" i="13"/>
  <c r="N99" i="13"/>
  <c r="A231" i="12"/>
  <c r="I24" i="13"/>
  <c r="D35" i="13"/>
  <c r="N35" i="13" s="1"/>
  <c r="N36" i="13"/>
  <c r="A44" i="13"/>
  <c r="A48" i="13"/>
  <c r="B49" i="13"/>
  <c r="A49" i="13"/>
  <c r="I49" i="13"/>
  <c r="N54" i="13"/>
  <c r="A59" i="13"/>
  <c r="N74" i="13"/>
  <c r="N84" i="13"/>
  <c r="N94" i="13"/>
  <c r="J96" i="13"/>
  <c r="D26" i="13"/>
  <c r="N26" i="13" s="1"/>
  <c r="D29" i="13"/>
  <c r="N29" i="13" s="1"/>
  <c r="B33" i="13"/>
  <c r="J33" i="13" s="1"/>
  <c r="A33" i="13"/>
  <c r="A34" i="13"/>
  <c r="I34" i="13"/>
  <c r="J35" i="13"/>
  <c r="J36" i="13"/>
  <c r="A55" i="13"/>
  <c r="B61" i="13"/>
  <c r="A61" i="13"/>
  <c r="I61" i="13"/>
  <c r="C63" i="13"/>
  <c r="N63" i="13" s="1"/>
  <c r="B65" i="13"/>
  <c r="A65" i="13"/>
  <c r="I65" i="13"/>
  <c r="C67" i="13"/>
  <c r="N67" i="13" s="1"/>
  <c r="A75" i="13"/>
  <c r="N82" i="13"/>
  <c r="J84" i="13"/>
  <c r="N87" i="13"/>
  <c r="N93" i="13"/>
  <c r="D27" i="13"/>
  <c r="N27" i="13" s="1"/>
  <c r="D31" i="13"/>
  <c r="N33" i="13"/>
  <c r="N40" i="13"/>
  <c r="N48" i="13"/>
  <c r="A51" i="13"/>
  <c r="B57" i="13"/>
  <c r="A57" i="13"/>
  <c r="I57" i="13"/>
  <c r="C59" i="13"/>
  <c r="N59" i="13" s="1"/>
  <c r="B69" i="13"/>
  <c r="A69" i="13"/>
  <c r="I69" i="13"/>
  <c r="C71" i="13"/>
  <c r="N71" i="13" s="1"/>
  <c r="N92" i="13"/>
  <c r="N55" i="13"/>
  <c r="AT24" i="4" l="1"/>
  <c r="I102" i="4"/>
  <c r="H102" i="4"/>
  <c r="I300" i="4"/>
  <c r="I162" i="4"/>
  <c r="I160" i="4"/>
  <c r="AK126" i="4"/>
  <c r="I196" i="4"/>
  <c r="AK98" i="4"/>
  <c r="AT44" i="4"/>
  <c r="AK355" i="4"/>
  <c r="E239" i="4"/>
  <c r="I111" i="4"/>
  <c r="H188" i="4"/>
  <c r="E199" i="8"/>
  <c r="AP230" i="4"/>
  <c r="E311" i="4"/>
  <c r="AT122" i="4"/>
  <c r="AK224" i="4"/>
  <c r="AQ150" i="4"/>
  <c r="AK102" i="4"/>
  <c r="C54" i="4"/>
  <c r="AK204" i="4"/>
  <c r="E164" i="4"/>
  <c r="AT203" i="4"/>
  <c r="AQ234" i="4"/>
  <c r="AT180" i="4"/>
  <c r="AT86" i="4"/>
  <c r="I207" i="4"/>
  <c r="I123" i="4"/>
  <c r="AT54" i="4"/>
  <c r="AS306" i="8"/>
  <c r="AK230" i="4"/>
  <c r="D289" i="8"/>
  <c r="AE79" i="8"/>
  <c r="AK76" i="8"/>
  <c r="BD311" i="4"/>
  <c r="I239" i="4"/>
  <c r="AT74" i="4"/>
  <c r="AP286" i="4"/>
  <c r="AK353" i="4"/>
  <c r="E188" i="4"/>
  <c r="AQ174" i="4"/>
  <c r="AQ126" i="4"/>
  <c r="E342" i="4"/>
  <c r="AK229" i="4"/>
  <c r="H196" i="4"/>
  <c r="C78" i="4"/>
  <c r="H138" i="8"/>
  <c r="AS214" i="8"/>
  <c r="E289" i="4"/>
  <c r="AK233" i="4"/>
  <c r="AP98" i="4"/>
  <c r="AE120" i="8"/>
  <c r="I199" i="8"/>
  <c r="E282" i="8"/>
  <c r="I236" i="8"/>
  <c r="AS198" i="8"/>
  <c r="AP95" i="8"/>
  <c r="AP115" i="8"/>
  <c r="AT388" i="4"/>
  <c r="H300" i="4"/>
  <c r="AK200" i="4"/>
  <c r="AP244" i="4"/>
  <c r="AP200" i="4"/>
  <c r="AK174" i="4"/>
  <c r="AT162" i="4"/>
  <c r="H384" i="8"/>
  <c r="D353" i="8"/>
  <c r="AK335" i="4"/>
  <c r="AP317" i="8"/>
  <c r="C339" i="8"/>
  <c r="C199" i="8"/>
  <c r="AP296" i="4"/>
  <c r="E243" i="8"/>
  <c r="E225" i="8"/>
  <c r="H263" i="4"/>
  <c r="D245" i="8"/>
  <c r="H196" i="8"/>
  <c r="I217" i="8"/>
  <c r="AE203" i="8"/>
  <c r="AK159" i="8"/>
  <c r="AQ154" i="8"/>
  <c r="D270" i="8"/>
  <c r="AQ275" i="8"/>
  <c r="AK247" i="8"/>
  <c r="I243" i="8"/>
  <c r="D216" i="8"/>
  <c r="H190" i="8"/>
  <c r="AQ157" i="8"/>
  <c r="AS105" i="8"/>
  <c r="AK154" i="8"/>
  <c r="D145" i="8"/>
  <c r="D236" i="8"/>
  <c r="AQ247" i="8"/>
  <c r="AK255" i="8"/>
  <c r="AK143" i="8"/>
  <c r="I320" i="8"/>
  <c r="AP96" i="8"/>
  <c r="H291" i="4"/>
  <c r="AK325" i="8"/>
  <c r="AK317" i="8"/>
  <c r="AQ212" i="4"/>
  <c r="AT146" i="4"/>
  <c r="AT175" i="4"/>
  <c r="H346" i="8"/>
  <c r="AP339" i="8"/>
  <c r="E278" i="8"/>
  <c r="AQ170" i="8"/>
  <c r="AQ95" i="8"/>
  <c r="C232" i="8"/>
  <c r="D122" i="8"/>
  <c r="AP323" i="4"/>
  <c r="D323" i="8"/>
  <c r="D282" i="8"/>
  <c r="H232" i="8"/>
  <c r="AK170" i="8"/>
  <c r="H176" i="8"/>
  <c r="AP159" i="8"/>
  <c r="AP106" i="8"/>
  <c r="E9" i="8"/>
  <c r="E334" i="4"/>
  <c r="E365" i="4"/>
  <c r="AK232" i="4"/>
  <c r="AQ182" i="4"/>
  <c r="I323" i="8"/>
  <c r="D176" i="8"/>
  <c r="AQ106" i="8"/>
  <c r="C207" i="8"/>
  <c r="C212" i="8"/>
  <c r="C188" i="8"/>
  <c r="AQ218" i="4"/>
  <c r="AT243" i="4"/>
  <c r="AT262" i="8"/>
  <c r="BD227" i="4"/>
  <c r="H70" i="4"/>
  <c r="AP364" i="8"/>
  <c r="AT314" i="4"/>
  <c r="AQ316" i="4"/>
  <c r="AP308" i="4"/>
  <c r="AT118" i="4"/>
  <c r="AT12" i="4"/>
  <c r="AT57" i="4"/>
  <c r="D347" i="8"/>
  <c r="AQ27" i="8"/>
  <c r="AP262" i="8"/>
  <c r="D243" i="8"/>
  <c r="I197" i="8"/>
  <c r="AE190" i="8"/>
  <c r="AT318" i="4"/>
  <c r="H360" i="4"/>
  <c r="AP310" i="4"/>
  <c r="AK330" i="4"/>
  <c r="AT49" i="4"/>
  <c r="AS331" i="8"/>
  <c r="AQ291" i="8"/>
  <c r="AE305" i="8"/>
  <c r="AQ280" i="8"/>
  <c r="AP280" i="8"/>
  <c r="AQ255" i="8"/>
  <c r="I228" i="8"/>
  <c r="D212" i="8"/>
  <c r="H225" i="8"/>
  <c r="E187" i="8"/>
  <c r="AE197" i="8"/>
  <c r="H142" i="8"/>
  <c r="C138" i="8"/>
  <c r="AE122" i="8"/>
  <c r="I75" i="8"/>
  <c r="AE78" i="8"/>
  <c r="I365" i="4"/>
  <c r="AQ280" i="4"/>
  <c r="AT73" i="4"/>
  <c r="AT65" i="4"/>
  <c r="AP106" i="4"/>
  <c r="AT335" i="4"/>
  <c r="AK110" i="4"/>
  <c r="AE347" i="8"/>
  <c r="H347" i="8"/>
  <c r="C142" i="8"/>
  <c r="AK96" i="8"/>
  <c r="AK398" i="4"/>
  <c r="C384" i="8"/>
  <c r="E351" i="8"/>
  <c r="D339" i="8"/>
  <c r="AP333" i="8"/>
  <c r="C243" i="8"/>
  <c r="D207" i="8"/>
  <c r="AE179" i="8"/>
  <c r="AP166" i="8"/>
  <c r="AS84" i="8"/>
  <c r="AS121" i="8"/>
  <c r="C227" i="8"/>
  <c r="AP316" i="4"/>
  <c r="D384" i="8"/>
  <c r="H339" i="8"/>
  <c r="AK323" i="8"/>
  <c r="AK333" i="8"/>
  <c r="AE299" i="8"/>
  <c r="AT286" i="8"/>
  <c r="AQ292" i="8"/>
  <c r="E270" i="8"/>
  <c r="AE213" i="8"/>
  <c r="AS181" i="8"/>
  <c r="D182" i="8"/>
  <c r="AS98" i="8"/>
  <c r="AQ172" i="8"/>
  <c r="AK300" i="4"/>
  <c r="AP178" i="4"/>
  <c r="AP159" i="4"/>
  <c r="AQ364" i="8"/>
  <c r="E384" i="8"/>
  <c r="I339" i="8"/>
  <c r="AP323" i="8"/>
  <c r="AK339" i="8"/>
  <c r="AP291" i="8"/>
  <c r="AS208" i="8"/>
  <c r="AK216" i="8"/>
  <c r="AK163" i="8"/>
  <c r="AS110" i="8"/>
  <c r="AE113" i="8"/>
  <c r="AK172" i="8"/>
  <c r="AO29" i="7"/>
  <c r="AQ6" i="8"/>
  <c r="D137" i="8"/>
  <c r="AK73" i="8"/>
  <c r="AQ382" i="4"/>
  <c r="AQ335" i="4"/>
  <c r="H295" i="4"/>
  <c r="AK299" i="4"/>
  <c r="AQ291" i="4"/>
  <c r="BD291" i="4" s="1"/>
  <c r="AQ159" i="4"/>
  <c r="AQ253" i="8"/>
  <c r="E228" i="8"/>
  <c r="D187" i="8"/>
  <c r="AE178" i="8"/>
  <c r="AS103" i="8"/>
  <c r="AQ98" i="8"/>
  <c r="AK6" i="8"/>
  <c r="AQ343" i="4"/>
  <c r="AP343" i="4"/>
  <c r="AT219" i="4"/>
  <c r="AE341" i="8"/>
  <c r="H338" i="8"/>
  <c r="C301" i="8"/>
  <c r="AE207" i="8"/>
  <c r="D142" i="8"/>
  <c r="AP143" i="8"/>
  <c r="AK98" i="8"/>
  <c r="AP26" i="7"/>
  <c r="D351" i="8"/>
  <c r="C208" i="8"/>
  <c r="E291" i="4"/>
  <c r="AQ310" i="4"/>
  <c r="AS339" i="8"/>
  <c r="AR339" i="8" s="1"/>
  <c r="AE302" i="8"/>
  <c r="D288" i="8"/>
  <c r="C229" i="8"/>
  <c r="AE239" i="8"/>
  <c r="C185" i="8"/>
  <c r="I176" i="8"/>
  <c r="AP136" i="8"/>
  <c r="AP157" i="8"/>
  <c r="H121" i="8"/>
  <c r="E121" i="8"/>
  <c r="AK115" i="8"/>
  <c r="AP73" i="8"/>
  <c r="AP76" i="8"/>
  <c r="C282" i="8"/>
  <c r="AP325" i="4"/>
  <c r="AQ317" i="4"/>
  <c r="AQ305" i="4"/>
  <c r="AT268" i="4"/>
  <c r="AK296" i="4"/>
  <c r="E263" i="4"/>
  <c r="AT39" i="4"/>
  <c r="AT23" i="4"/>
  <c r="I342" i="4"/>
  <c r="AS318" i="8"/>
  <c r="H234" i="8"/>
  <c r="C184" i="8"/>
  <c r="AQ167" i="8"/>
  <c r="AS109" i="8"/>
  <c r="AT324" i="8"/>
  <c r="AK325" i="4"/>
  <c r="I331" i="8"/>
  <c r="AS196" i="8"/>
  <c r="AK136" i="8"/>
  <c r="AP158" i="8"/>
  <c r="AQ91" i="8"/>
  <c r="AP29" i="7"/>
  <c r="AK317" i="4"/>
  <c r="AK307" i="4"/>
  <c r="AT141" i="4"/>
  <c r="AE333" i="8"/>
  <c r="H328" i="8"/>
  <c r="AE323" i="8"/>
  <c r="D309" i="8"/>
  <c r="AT250" i="8"/>
  <c r="AP275" i="8"/>
  <c r="D256" i="8"/>
  <c r="I245" i="8"/>
  <c r="C176" i="8"/>
  <c r="AE212" i="8"/>
  <c r="AP217" i="8"/>
  <c r="AQ166" i="8"/>
  <c r="AS132" i="8"/>
  <c r="E137" i="8"/>
  <c r="AK158" i="8"/>
  <c r="AK91" i="8"/>
  <c r="D278" i="8"/>
  <c r="AT123" i="8"/>
  <c r="AT209" i="8"/>
  <c r="AP382" i="4"/>
  <c r="AQ398" i="4"/>
  <c r="AP365" i="4"/>
  <c r="E358" i="4"/>
  <c r="AQ346" i="4"/>
  <c r="AP307" i="4"/>
  <c r="AK297" i="4"/>
  <c r="AP299" i="4"/>
  <c r="AK291" i="4"/>
  <c r="AP280" i="4"/>
  <c r="AQ178" i="4"/>
  <c r="AT285" i="8"/>
  <c r="AP270" i="8"/>
  <c r="AE133" i="8"/>
  <c r="AE131" i="8"/>
  <c r="AQ300" i="4"/>
  <c r="AE343" i="8"/>
  <c r="AK305" i="4"/>
  <c r="AT121" i="4"/>
  <c r="C358" i="8"/>
  <c r="AE325" i="8"/>
  <c r="I322" i="8"/>
  <c r="BD322" i="8" s="1"/>
  <c r="I328" i="8"/>
  <c r="AQ325" i="8"/>
  <c r="AP321" i="8"/>
  <c r="AP326" i="8"/>
  <c r="D287" i="8"/>
  <c r="I282" i="8"/>
  <c r="AK253" i="8"/>
  <c r="AK248" i="8"/>
  <c r="AQ223" i="8"/>
  <c r="H223" i="8"/>
  <c r="D197" i="8"/>
  <c r="C223" i="8"/>
  <c r="D199" i="8"/>
  <c r="AK217" i="8"/>
  <c r="E142" i="8"/>
  <c r="AT114" i="8"/>
  <c r="AT190" i="8"/>
  <c r="AT208" i="8"/>
  <c r="AT236" i="8"/>
  <c r="AT212" i="8"/>
  <c r="AT292" i="8"/>
  <c r="AT322" i="8"/>
  <c r="AT343" i="8"/>
  <c r="AT326" i="8"/>
  <c r="AT396" i="4"/>
  <c r="I358" i="4"/>
  <c r="H364" i="4"/>
  <c r="AP346" i="4"/>
  <c r="H57" i="4"/>
  <c r="H377" i="4"/>
  <c r="E377" i="4"/>
  <c r="C23" i="8"/>
  <c r="D23" i="8"/>
  <c r="AT224" i="4"/>
  <c r="AE206" i="8"/>
  <c r="AK177" i="8"/>
  <c r="AP177" i="8"/>
  <c r="AS312" i="8"/>
  <c r="AE312" i="8"/>
  <c r="H6" i="8"/>
  <c r="C6" i="8"/>
  <c r="AP117" i="8"/>
  <c r="AK117" i="8"/>
  <c r="AE130" i="8"/>
  <c r="AS130" i="8"/>
  <c r="AP85" i="8"/>
  <c r="AK85" i="8"/>
  <c r="H115" i="8"/>
  <c r="C115" i="8"/>
  <c r="AK74" i="8"/>
  <c r="AQ74" i="8"/>
  <c r="AP74" i="8"/>
  <c r="AK108" i="8"/>
  <c r="AQ108" i="8"/>
  <c r="AP108" i="8"/>
  <c r="AE96" i="8"/>
  <c r="AS96" i="8"/>
  <c r="AQ79" i="8"/>
  <c r="AK79" i="8"/>
  <c r="AS195" i="8"/>
  <c r="AE195" i="8"/>
  <c r="AS211" i="8"/>
  <c r="AE211" i="8"/>
  <c r="AE183" i="8"/>
  <c r="AS183" i="8"/>
  <c r="AQ263" i="8"/>
  <c r="AK263" i="8"/>
  <c r="AT226" i="8"/>
  <c r="E347" i="8"/>
  <c r="I347" i="8"/>
  <c r="AS356" i="8"/>
  <c r="AE356" i="8"/>
  <c r="AQ342" i="8"/>
  <c r="AP342" i="8"/>
  <c r="AQ337" i="8"/>
  <c r="AP337" i="8"/>
  <c r="AQ345" i="8"/>
  <c r="AP345" i="8"/>
  <c r="AQ361" i="4"/>
  <c r="AK361" i="4"/>
  <c r="AP361" i="4"/>
  <c r="E304" i="4"/>
  <c r="I304" i="4"/>
  <c r="H304" i="4"/>
  <c r="H373" i="4"/>
  <c r="I373" i="4"/>
  <c r="I189" i="8"/>
  <c r="E189" i="8"/>
  <c r="AT360" i="8"/>
  <c r="AK347" i="8"/>
  <c r="AS191" i="8"/>
  <c r="D16" i="8"/>
  <c r="E16" i="8"/>
  <c r="AK93" i="8"/>
  <c r="AQ93" i="8"/>
  <c r="AK131" i="8"/>
  <c r="AP131" i="8"/>
  <c r="AQ131" i="8"/>
  <c r="AQ80" i="8"/>
  <c r="AK80" i="8"/>
  <c r="AP80" i="8"/>
  <c r="AK113" i="8"/>
  <c r="AQ113" i="8"/>
  <c r="AE129" i="8"/>
  <c r="AS129" i="8"/>
  <c r="AQ130" i="8"/>
  <c r="AP130" i="8"/>
  <c r="D138" i="8"/>
  <c r="E138" i="8"/>
  <c r="AK234" i="8"/>
  <c r="AQ234" i="8"/>
  <c r="H145" i="8"/>
  <c r="I145" i="8"/>
  <c r="C145" i="8"/>
  <c r="AK231" i="8"/>
  <c r="AQ231" i="8"/>
  <c r="D225" i="8"/>
  <c r="I225" i="8"/>
  <c r="BD225" i="8" s="1"/>
  <c r="AP249" i="8"/>
  <c r="AQ249" i="8"/>
  <c r="AS358" i="8"/>
  <c r="AE358" i="8"/>
  <c r="E353" i="8"/>
  <c r="C353" i="8"/>
  <c r="I353" i="8"/>
  <c r="AQ378" i="4"/>
  <c r="AK378" i="4"/>
  <c r="AP378" i="4"/>
  <c r="AK332" i="4"/>
  <c r="AQ332" i="4"/>
  <c r="H319" i="4"/>
  <c r="E319" i="4"/>
  <c r="E350" i="4"/>
  <c r="I350" i="4"/>
  <c r="AP272" i="8"/>
  <c r="AK289" i="4"/>
  <c r="AP289" i="4"/>
  <c r="D202" i="8"/>
  <c r="AP346" i="8"/>
  <c r="AE342" i="8"/>
  <c r="AK123" i="8"/>
  <c r="AQ123" i="8"/>
  <c r="AE89" i="8"/>
  <c r="AS89" i="8"/>
  <c r="AP82" i="8"/>
  <c r="AK82" i="8"/>
  <c r="AK114" i="8"/>
  <c r="AP114" i="8"/>
  <c r="AE100" i="8"/>
  <c r="AS100" i="8"/>
  <c r="AE123" i="8"/>
  <c r="AS123" i="8"/>
  <c r="AE81" i="8"/>
  <c r="AS81" i="8"/>
  <c r="AQ100" i="8"/>
  <c r="AP100" i="8"/>
  <c r="E217" i="8"/>
  <c r="C217" i="8"/>
  <c r="H217" i="8"/>
  <c r="E196" i="8"/>
  <c r="C196" i="8"/>
  <c r="I196" i="8"/>
  <c r="E236" i="8"/>
  <c r="H236" i="8"/>
  <c r="AP352" i="8"/>
  <c r="AQ352" i="8"/>
  <c r="E323" i="8"/>
  <c r="H323" i="8"/>
  <c r="D72" i="4"/>
  <c r="C72" i="4"/>
  <c r="AK242" i="4"/>
  <c r="AQ242" i="4"/>
  <c r="AP242" i="4"/>
  <c r="H255" i="4"/>
  <c r="I255" i="4"/>
  <c r="E322" i="4"/>
  <c r="H322" i="4"/>
  <c r="AP306" i="4"/>
  <c r="AQ306" i="4"/>
  <c r="AK108" i="4"/>
  <c r="AQ108" i="4"/>
  <c r="AP108" i="4"/>
  <c r="AQ297" i="4"/>
  <c r="AP374" i="4"/>
  <c r="AQ374" i="4"/>
  <c r="AK374" i="4"/>
  <c r="AT356" i="4"/>
  <c r="AQ285" i="4"/>
  <c r="AP285" i="4"/>
  <c r="AT235" i="4"/>
  <c r="AP304" i="4"/>
  <c r="AQ304" i="4"/>
  <c r="AK304" i="4"/>
  <c r="I290" i="4"/>
  <c r="E290" i="4"/>
  <c r="H361" i="4"/>
  <c r="I361" i="4"/>
  <c r="AQ277" i="4"/>
  <c r="AP277" i="4"/>
  <c r="C70" i="4"/>
  <c r="D40" i="4"/>
  <c r="C40" i="4"/>
  <c r="AQ216" i="8"/>
  <c r="AT230" i="8"/>
  <c r="AR325" i="8"/>
  <c r="AT367" i="4"/>
  <c r="E356" i="4"/>
  <c r="AK365" i="4"/>
  <c r="AT338" i="8"/>
  <c r="H356" i="4"/>
  <c r="AK303" i="4"/>
  <c r="AT228" i="8"/>
  <c r="AT312" i="8"/>
  <c r="AS12" i="7"/>
  <c r="AT115" i="8"/>
  <c r="AT122" i="8"/>
  <c r="BD142" i="8"/>
  <c r="AT220" i="8"/>
  <c r="AT227" i="8"/>
  <c r="AT232" i="8"/>
  <c r="AT235" i="8"/>
  <c r="AT327" i="8"/>
  <c r="AT330" i="8"/>
  <c r="AT346" i="8"/>
  <c r="AT361" i="8"/>
  <c r="AT357" i="4"/>
  <c r="I364" i="4"/>
  <c r="C30" i="8"/>
  <c r="D30" i="8"/>
  <c r="H11" i="8"/>
  <c r="C11" i="8"/>
  <c r="C369" i="8"/>
  <c r="D369" i="8"/>
  <c r="AP130" i="4"/>
  <c r="AK130" i="4"/>
  <c r="AK202" i="4"/>
  <c r="AP202" i="4"/>
  <c r="D300" i="8"/>
  <c r="C300" i="8"/>
  <c r="AK119" i="8"/>
  <c r="AP119" i="8"/>
  <c r="AQ119" i="8"/>
  <c r="AE184" i="8"/>
  <c r="AS184" i="8"/>
  <c r="AP258" i="8"/>
  <c r="AQ258" i="8"/>
  <c r="AK258" i="8"/>
  <c r="C238" i="8"/>
  <c r="E238" i="8"/>
  <c r="I238" i="8"/>
  <c r="H233" i="8"/>
  <c r="C233" i="8"/>
  <c r="AP351" i="8"/>
  <c r="AQ351" i="8"/>
  <c r="AS315" i="8"/>
  <c r="AE315" i="8"/>
  <c r="AQ265" i="8"/>
  <c r="AP265" i="8"/>
  <c r="AK265" i="8"/>
  <c r="AS338" i="8"/>
  <c r="AE338" i="8"/>
  <c r="AK334" i="8"/>
  <c r="AP334" i="8"/>
  <c r="AQ334" i="8"/>
  <c r="AP329" i="8"/>
  <c r="AK329" i="8"/>
  <c r="I379" i="8"/>
  <c r="E379" i="8"/>
  <c r="C379" i="8"/>
  <c r="H379" i="8"/>
  <c r="AK322" i="4"/>
  <c r="AP322" i="4"/>
  <c r="D155" i="8"/>
  <c r="H155" i="8"/>
  <c r="AT319" i="8"/>
  <c r="D26" i="8"/>
  <c r="C26" i="8"/>
  <c r="AS215" i="8"/>
  <c r="AE215" i="8"/>
  <c r="AT342" i="4"/>
  <c r="AT137" i="8"/>
  <c r="C360" i="8"/>
  <c r="E158" i="4"/>
  <c r="AT256" i="8"/>
  <c r="BD300" i="4"/>
  <c r="AT168" i="4"/>
  <c r="E217" i="4"/>
  <c r="E111" i="4"/>
  <c r="H290" i="4"/>
  <c r="AS365" i="8"/>
  <c r="D360" i="8"/>
  <c r="AE335" i="8"/>
  <c r="AE334" i="8"/>
  <c r="AT255" i="8"/>
  <c r="AT247" i="8"/>
  <c r="AQ256" i="8"/>
  <c r="BD256" i="8" s="1"/>
  <c r="AK252" i="8"/>
  <c r="E230" i="8"/>
  <c r="AK220" i="8"/>
  <c r="AS209" i="8"/>
  <c r="AT353" i="4"/>
  <c r="AT363" i="4"/>
  <c r="AP357" i="4"/>
  <c r="AQ353" i="4"/>
  <c r="AQ358" i="4"/>
  <c r="BD358" i="4" s="1"/>
  <c r="AT279" i="4"/>
  <c r="AK354" i="4"/>
  <c r="AT306" i="4"/>
  <c r="AK323" i="4"/>
  <c r="H312" i="4"/>
  <c r="AP303" i="4"/>
  <c r="E287" i="4"/>
  <c r="BD287" i="4"/>
  <c r="AP326" i="4"/>
  <c r="AP279" i="4"/>
  <c r="AT267" i="4"/>
  <c r="AK277" i="4"/>
  <c r="AT220" i="4"/>
  <c r="AK308" i="4"/>
  <c r="I217" i="4"/>
  <c r="AQ232" i="4"/>
  <c r="H82" i="4"/>
  <c r="H66" i="4"/>
  <c r="E44" i="4"/>
  <c r="AT333" i="4"/>
  <c r="AT210" i="4"/>
  <c r="AT215" i="4"/>
  <c r="AS364" i="8"/>
  <c r="AP378" i="8"/>
  <c r="AE354" i="8"/>
  <c r="AE349" i="8"/>
  <c r="I330" i="8"/>
  <c r="AP338" i="8"/>
  <c r="AP322" i="8"/>
  <c r="AE313" i="8"/>
  <c r="AQ252" i="8"/>
  <c r="H193" i="8"/>
  <c r="D195" i="8"/>
  <c r="E184" i="8"/>
  <c r="AQ94" i="8"/>
  <c r="AK358" i="4"/>
  <c r="I344" i="4"/>
  <c r="AK373" i="4"/>
  <c r="H344" i="4"/>
  <c r="AT322" i="4"/>
  <c r="I312" i="4"/>
  <c r="H287" i="4"/>
  <c r="AK279" i="4"/>
  <c r="AQ327" i="4"/>
  <c r="AQ326" i="4"/>
  <c r="AT262" i="4"/>
  <c r="AT106" i="4"/>
  <c r="AP110" i="4"/>
  <c r="AQ186" i="4"/>
  <c r="C68" i="4"/>
  <c r="AT90" i="4"/>
  <c r="AP134" i="4"/>
  <c r="C52" i="4"/>
  <c r="AT40" i="4"/>
  <c r="E201" i="4"/>
  <c r="C66" i="4"/>
  <c r="AE344" i="8"/>
  <c r="AP208" i="4"/>
  <c r="AT248" i="8"/>
  <c r="AQ354" i="4"/>
  <c r="H311" i="4"/>
  <c r="AQ208" i="4"/>
  <c r="AK378" i="8"/>
  <c r="D356" i="8"/>
  <c r="D331" i="8"/>
  <c r="AK322" i="8"/>
  <c r="AK315" i="8"/>
  <c r="AE298" i="8"/>
  <c r="AS311" i="8"/>
  <c r="AQ270" i="8"/>
  <c r="AQ262" i="8"/>
  <c r="D215" i="8"/>
  <c r="AE192" i="8"/>
  <c r="E352" i="4"/>
  <c r="AK336" i="4"/>
  <c r="AQ373" i="4"/>
  <c r="AQ336" i="4"/>
  <c r="AP320" i="4"/>
  <c r="AQ289" i="4"/>
  <c r="BD289" i="4" s="1"/>
  <c r="AP227" i="4"/>
  <c r="H201" i="4"/>
  <c r="AK260" i="4"/>
  <c r="AK223" i="4"/>
  <c r="AT138" i="4"/>
  <c r="AK186" i="4"/>
  <c r="I107" i="4"/>
  <c r="AP118" i="4"/>
  <c r="AQ134" i="4"/>
  <c r="D18" i="2"/>
  <c r="AQ321" i="8"/>
  <c r="AT241" i="8"/>
  <c r="AE320" i="8"/>
  <c r="AT263" i="8"/>
  <c r="AK256" i="8"/>
  <c r="H283" i="4"/>
  <c r="AQ106" i="4"/>
  <c r="AT35" i="4"/>
  <c r="H356" i="8"/>
  <c r="AK326" i="8"/>
  <c r="BC270" i="8"/>
  <c r="D277" i="8"/>
  <c r="AK269" i="8"/>
  <c r="AK89" i="8"/>
  <c r="C21" i="7"/>
  <c r="AS9" i="7"/>
  <c r="AT124" i="8"/>
  <c r="AT181" i="8"/>
  <c r="AT334" i="8"/>
  <c r="AT333" i="8"/>
  <c r="AT342" i="8"/>
  <c r="AT325" i="8"/>
  <c r="BD347" i="8"/>
  <c r="AT340" i="8"/>
  <c r="AT373" i="4"/>
  <c r="H352" i="4"/>
  <c r="BD361" i="4"/>
  <c r="I334" i="4"/>
  <c r="AQ320" i="4"/>
  <c r="E295" i="4"/>
  <c r="AT232" i="4"/>
  <c r="AK268" i="4"/>
  <c r="AQ260" i="4"/>
  <c r="AK227" i="4"/>
  <c r="E172" i="4"/>
  <c r="AQ223" i="4"/>
  <c r="AQ190" i="4"/>
  <c r="E107" i="4"/>
  <c r="AT27" i="4"/>
  <c r="AT11" i="4"/>
  <c r="D17" i="2"/>
  <c r="H40" i="4"/>
  <c r="H172" i="4"/>
  <c r="E223" i="4"/>
  <c r="I223" i="4"/>
  <c r="AK246" i="4"/>
  <c r="AP246" i="4"/>
  <c r="AK238" i="4"/>
  <c r="AP238" i="4"/>
  <c r="AK295" i="4"/>
  <c r="BC295" i="4" s="1"/>
  <c r="AQ295" i="4"/>
  <c r="BD295" i="4" s="1"/>
  <c r="H130" i="4"/>
  <c r="I130" i="4"/>
  <c r="AQ290" i="4"/>
  <c r="BD290" i="4" s="1"/>
  <c r="AK290" i="4"/>
  <c r="AK155" i="4"/>
  <c r="AP155" i="4"/>
  <c r="AQ206" i="4"/>
  <c r="AK206" i="4"/>
  <c r="I184" i="4"/>
  <c r="H184" i="4"/>
  <c r="E184" i="4"/>
  <c r="I212" i="4"/>
  <c r="H212" i="4"/>
  <c r="E212" i="4"/>
  <c r="E232" i="4"/>
  <c r="I232" i="4"/>
  <c r="H232" i="4"/>
  <c r="I279" i="4"/>
  <c r="BD279" i="4" s="1"/>
  <c r="H279" i="4"/>
  <c r="I277" i="4"/>
  <c r="H277" i="4"/>
  <c r="E277" i="4"/>
  <c r="E119" i="4"/>
  <c r="H119" i="4"/>
  <c r="H114" i="4"/>
  <c r="I114" i="4"/>
  <c r="E122" i="4"/>
  <c r="H122" i="4"/>
  <c r="I122" i="4"/>
  <c r="BD122" i="4" s="1"/>
  <c r="I176" i="4"/>
  <c r="H176" i="4"/>
  <c r="E208" i="4"/>
  <c r="I208" i="4"/>
  <c r="BC208" i="4" s="1"/>
  <c r="H208" i="4"/>
  <c r="AP229" i="4"/>
  <c r="AT211" i="4"/>
  <c r="AQ246" i="4"/>
  <c r="H197" i="4"/>
  <c r="AT156" i="4"/>
  <c r="H247" i="4"/>
  <c r="AQ238" i="4"/>
  <c r="AP182" i="4"/>
  <c r="H156" i="4"/>
  <c r="AP190" i="4"/>
  <c r="E156" i="4"/>
  <c r="I139" i="4"/>
  <c r="I119" i="4"/>
  <c r="AP142" i="4"/>
  <c r="AT89" i="4"/>
  <c r="AT81" i="4"/>
  <c r="H49" i="4"/>
  <c r="AT16" i="4"/>
  <c r="I303" i="4"/>
  <c r="BD303" i="4" s="1"/>
  <c r="H303" i="4"/>
  <c r="AQ155" i="4"/>
  <c r="E118" i="4"/>
  <c r="I118" i="4"/>
  <c r="BD118" i="4" s="1"/>
  <c r="H118" i="4"/>
  <c r="I204" i="4"/>
  <c r="H204" i="4"/>
  <c r="E204" i="4"/>
  <c r="H216" i="4"/>
  <c r="I216" i="4"/>
  <c r="BC216" i="4" s="1"/>
  <c r="E216" i="4"/>
  <c r="I192" i="4"/>
  <c r="H192" i="4"/>
  <c r="H269" i="4"/>
  <c r="I269" i="4"/>
  <c r="H221" i="4"/>
  <c r="I221" i="4"/>
  <c r="C24" i="7"/>
  <c r="AT323" i="4"/>
  <c r="AP309" i="4"/>
  <c r="I253" i="4"/>
  <c r="AK194" i="4"/>
  <c r="AP321" i="4"/>
  <c r="AK321" i="4"/>
  <c r="E308" i="4"/>
  <c r="H308" i="4"/>
  <c r="E330" i="4"/>
  <c r="I330" i="4"/>
  <c r="BD330" i="4" s="1"/>
  <c r="AK346" i="8"/>
  <c r="AP294" i="8"/>
  <c r="C286" i="8"/>
  <c r="BD217" i="8"/>
  <c r="AP149" i="8"/>
  <c r="AK134" i="8"/>
  <c r="D40" i="8"/>
  <c r="C40" i="8"/>
  <c r="AQ28" i="8"/>
  <c r="C214" i="8"/>
  <c r="C178" i="8"/>
  <c r="AS11" i="7"/>
  <c r="AO35" i="7"/>
  <c r="AJ35" i="7"/>
  <c r="AK120" i="8"/>
  <c r="AP120" i="8"/>
  <c r="E320" i="8"/>
  <c r="C320" i="8"/>
  <c r="I283" i="4"/>
  <c r="AP283" i="4"/>
  <c r="AK327" i="4"/>
  <c r="AQ322" i="4"/>
  <c r="BD322" i="4" s="1"/>
  <c r="AP112" i="4"/>
  <c r="AT52" i="4"/>
  <c r="D372" i="8"/>
  <c r="C356" i="8"/>
  <c r="C371" i="8"/>
  <c r="I356" i="8"/>
  <c r="AP330" i="8"/>
  <c r="AK338" i="8"/>
  <c r="AK351" i="8"/>
  <c r="AR333" i="8"/>
  <c r="C303" i="8"/>
  <c r="D269" i="8"/>
  <c r="H210" i="8"/>
  <c r="AQ149" i="8"/>
  <c r="AP89" i="8"/>
  <c r="AK28" i="8"/>
  <c r="C20" i="7"/>
  <c r="AQ22" i="8"/>
  <c r="E223" i="8"/>
  <c r="D223" i="8"/>
  <c r="E393" i="4"/>
  <c r="AT325" i="4"/>
  <c r="AQ345" i="4"/>
  <c r="AQ366" i="4"/>
  <c r="AT310" i="4"/>
  <c r="AQ283" i="4"/>
  <c r="AT254" i="4"/>
  <c r="AT238" i="4"/>
  <c r="AT244" i="4"/>
  <c r="AT236" i="4"/>
  <c r="AP350" i="8"/>
  <c r="AK350" i="8"/>
  <c r="AK330" i="8"/>
  <c r="D320" i="8"/>
  <c r="AT287" i="8"/>
  <c r="AP292" i="8"/>
  <c r="AQ272" i="8"/>
  <c r="AP263" i="8"/>
  <c r="AQ248" i="8"/>
  <c r="H208" i="8"/>
  <c r="AS101" i="8"/>
  <c r="AS91" i="8"/>
  <c r="AS85" i="8"/>
  <c r="AQ85" i="8"/>
  <c r="AK22" i="8"/>
  <c r="AO30" i="7"/>
  <c r="AJ30" i="7"/>
  <c r="AS16" i="7"/>
  <c r="AP87" i="8"/>
  <c r="AQ87" i="8"/>
  <c r="AT336" i="8"/>
  <c r="I393" i="4"/>
  <c r="AP345" i="4"/>
  <c r="AP366" i="4"/>
  <c r="I377" i="4"/>
  <c r="BD377" i="4" s="1"/>
  <c r="E360" i="4"/>
  <c r="AK339" i="4"/>
  <c r="I308" i="4"/>
  <c r="AP295" i="4"/>
  <c r="AP284" i="4"/>
  <c r="E247" i="4"/>
  <c r="AQ142" i="4"/>
  <c r="AQ130" i="4"/>
  <c r="BD130" i="4" s="1"/>
  <c r="AT70" i="4"/>
  <c r="E114" i="4"/>
  <c r="AP290" i="4"/>
  <c r="H139" i="4"/>
  <c r="I281" i="4"/>
  <c r="E281" i="4"/>
  <c r="H281" i="4"/>
  <c r="AP313" i="4"/>
  <c r="AK313" i="4"/>
  <c r="E285" i="4"/>
  <c r="I285" i="4"/>
  <c r="H294" i="4"/>
  <c r="I294" i="4"/>
  <c r="E294" i="4"/>
  <c r="I106" i="4"/>
  <c r="BC106" i="4" s="1"/>
  <c r="H106" i="4"/>
  <c r="E106" i="4"/>
  <c r="E40" i="4"/>
  <c r="AT259" i="4"/>
  <c r="C82" i="4"/>
  <c r="AQ114" i="4"/>
  <c r="AK114" i="4"/>
  <c r="E98" i="4"/>
  <c r="I98" i="4"/>
  <c r="BC98" i="4" s="1"/>
  <c r="I142" i="4"/>
  <c r="E142" i="4"/>
  <c r="H142" i="4"/>
  <c r="H16" i="4"/>
  <c r="D16" i="4"/>
  <c r="I94" i="4"/>
  <c r="E94" i="4"/>
  <c r="I103" i="4"/>
  <c r="H103" i="4"/>
  <c r="AT317" i="4"/>
  <c r="AT309" i="4"/>
  <c r="I296" i="4"/>
  <c r="AP329" i="4"/>
  <c r="AQ309" i="4"/>
  <c r="I292" i="4"/>
  <c r="AQ351" i="4"/>
  <c r="AK286" i="4"/>
  <c r="AT246" i="4"/>
  <c r="AT226" i="4"/>
  <c r="AP268" i="4"/>
  <c r="AQ281" i="4"/>
  <c r="BD281" i="4" s="1"/>
  <c r="AT208" i="4"/>
  <c r="H237" i="4"/>
  <c r="AK254" i="4"/>
  <c r="AP233" i="4"/>
  <c r="E245" i="4"/>
  <c r="E197" i="4"/>
  <c r="AP254" i="4"/>
  <c r="AQ112" i="4"/>
  <c r="AQ146" i="4"/>
  <c r="AT31" i="4"/>
  <c r="AT36" i="4"/>
  <c r="H180" i="4"/>
  <c r="E345" i="4"/>
  <c r="AK287" i="4"/>
  <c r="BC287" i="4" s="1"/>
  <c r="AP287" i="4"/>
  <c r="AK357" i="4"/>
  <c r="I345" i="4"/>
  <c r="BC345" i="4" s="1"/>
  <c r="H306" i="4"/>
  <c r="H60" i="4"/>
  <c r="D60" i="4"/>
  <c r="E348" i="4"/>
  <c r="I348" i="4"/>
  <c r="H288" i="4"/>
  <c r="E288" i="4"/>
  <c r="AQ272" i="4"/>
  <c r="AK272" i="4"/>
  <c r="AP272" i="4"/>
  <c r="D36" i="4"/>
  <c r="H36" i="4"/>
  <c r="C36" i="4"/>
  <c r="AS13" i="7"/>
  <c r="AQ61" i="8"/>
  <c r="AP61" i="8"/>
  <c r="AP390" i="4"/>
  <c r="AT351" i="4"/>
  <c r="H296" i="4"/>
  <c r="I288" i="4"/>
  <c r="AK329" i="4"/>
  <c r="AQ202" i="4"/>
  <c r="I306" i="4"/>
  <c r="I307" i="4"/>
  <c r="BD307" i="4" s="1"/>
  <c r="H307" i="4"/>
  <c r="I224" i="4"/>
  <c r="BD224" i="4" s="1"/>
  <c r="H224" i="4"/>
  <c r="E224" i="4"/>
  <c r="H284" i="4"/>
  <c r="I284" i="4"/>
  <c r="I234" i="4"/>
  <c r="BD234" i="4" s="1"/>
  <c r="H234" i="4"/>
  <c r="E234" i="4"/>
  <c r="AQ252" i="4"/>
  <c r="AK252" i="4"/>
  <c r="I299" i="4"/>
  <c r="BD299" i="4" s="1"/>
  <c r="H299" i="4"/>
  <c r="AP347" i="8"/>
  <c r="AR347" i="8" s="1"/>
  <c r="AQ294" i="8"/>
  <c r="C234" i="8"/>
  <c r="I234" i="8"/>
  <c r="BC234" i="8" s="1"/>
  <c r="H202" i="8"/>
  <c r="BC223" i="8"/>
  <c r="AP223" i="8"/>
  <c r="AS189" i="8"/>
  <c r="AP220" i="8"/>
  <c r="C189" i="8"/>
  <c r="AE188" i="8"/>
  <c r="AE186" i="8"/>
  <c r="D152" i="8"/>
  <c r="H184" i="8"/>
  <c r="AE114" i="8"/>
  <c r="AP121" i="8"/>
  <c r="AP109" i="8"/>
  <c r="AP139" i="8"/>
  <c r="AK139" i="8"/>
  <c r="AT400" i="4"/>
  <c r="AQ390" i="4"/>
  <c r="AT370" i="8"/>
  <c r="AT373" i="8"/>
  <c r="AT377" i="8"/>
  <c r="BD323" i="8"/>
  <c r="AP315" i="8"/>
  <c r="C298" i="8"/>
  <c r="AT249" i="8"/>
  <c r="AP269" i="8"/>
  <c r="D234" i="8"/>
  <c r="E220" i="8"/>
  <c r="AT175" i="8"/>
  <c r="I184" i="8"/>
  <c r="AS99" i="8"/>
  <c r="AS94" i="8"/>
  <c r="AK111" i="8"/>
  <c r="AQ109" i="8"/>
  <c r="AP94" i="8"/>
  <c r="C32" i="8"/>
  <c r="AS17" i="7"/>
  <c r="AT179" i="8"/>
  <c r="AT221" i="8"/>
  <c r="AT202" i="8"/>
  <c r="AT225" i="8"/>
  <c r="AT357" i="8"/>
  <c r="AT353" i="8"/>
  <c r="AT369" i="4"/>
  <c r="AT347" i="4"/>
  <c r="E284" i="4"/>
  <c r="AK351" i="4"/>
  <c r="AT223" i="4"/>
  <c r="AK281" i="4"/>
  <c r="AT204" i="4"/>
  <c r="AT241" i="4"/>
  <c r="H261" i="4"/>
  <c r="I237" i="4"/>
  <c r="E253" i="4"/>
  <c r="I245" i="4"/>
  <c r="AT158" i="4"/>
  <c r="AQ194" i="4"/>
  <c r="AK146" i="4"/>
  <c r="AT78" i="4"/>
  <c r="AP292" i="4"/>
  <c r="AK292" i="4"/>
  <c r="BA336" i="4"/>
  <c r="E336" i="4"/>
  <c r="I336" i="4"/>
  <c r="H228" i="4"/>
  <c r="E228" i="4"/>
  <c r="AP236" i="4"/>
  <c r="AQ236" i="4"/>
  <c r="AK258" i="4"/>
  <c r="AP258" i="4"/>
  <c r="AQ258" i="4"/>
  <c r="AP312" i="4"/>
  <c r="AQ312" i="4"/>
  <c r="H220" i="4"/>
  <c r="I220" i="4"/>
  <c r="BC220" i="4" s="1"/>
  <c r="E220" i="4"/>
  <c r="H280" i="4"/>
  <c r="I280" i="4"/>
  <c r="E280" i="4"/>
  <c r="E151" i="4"/>
  <c r="H151" i="4"/>
  <c r="I151" i="4"/>
  <c r="AT5" i="8"/>
  <c r="AS6" i="7"/>
  <c r="AS8" i="7"/>
  <c r="AT196" i="8"/>
  <c r="AT217" i="8"/>
  <c r="AT243" i="8"/>
  <c r="AT318" i="8"/>
  <c r="AT261" i="8"/>
  <c r="AT337" i="8"/>
  <c r="AT332" i="8"/>
  <c r="AT341" i="8"/>
  <c r="AT362" i="8"/>
  <c r="AT384" i="4"/>
  <c r="AT365" i="4"/>
  <c r="AT321" i="4"/>
  <c r="AT352" i="4"/>
  <c r="AT336" i="4"/>
  <c r="AT234" i="4"/>
  <c r="BD277" i="4"/>
  <c r="AP216" i="4"/>
  <c r="AR216" i="4" s="1"/>
  <c r="AT257" i="4"/>
  <c r="AT134" i="4"/>
  <c r="I164" i="4"/>
  <c r="AT153" i="4"/>
  <c r="AT133" i="4"/>
  <c r="BD200" i="4"/>
  <c r="H227" i="4"/>
  <c r="E227" i="4"/>
  <c r="I90" i="4"/>
  <c r="H90" i="4"/>
  <c r="I168" i="4"/>
  <c r="H168" i="4"/>
  <c r="I146" i="4"/>
  <c r="H146" i="4"/>
  <c r="E147" i="4"/>
  <c r="H147" i="4"/>
  <c r="E340" i="4"/>
  <c r="I340" i="4"/>
  <c r="H126" i="4"/>
  <c r="I126" i="4"/>
  <c r="BD126" i="4" s="1"/>
  <c r="E131" i="4"/>
  <c r="H131" i="4"/>
  <c r="E135" i="4"/>
  <c r="H135" i="4"/>
  <c r="AT392" i="4"/>
  <c r="AT377" i="4"/>
  <c r="H340" i="4"/>
  <c r="AT331" i="4"/>
  <c r="AT344" i="4"/>
  <c r="AK234" i="4"/>
  <c r="AT184" i="4"/>
  <c r="BD208" i="4"/>
  <c r="AT142" i="4"/>
  <c r="AT126" i="4"/>
  <c r="AT114" i="4"/>
  <c r="H123" i="4"/>
  <c r="I321" i="4"/>
  <c r="BD321" i="4" s="1"/>
  <c r="E321" i="4"/>
  <c r="I230" i="4"/>
  <c r="BD230" i="4" s="1"/>
  <c r="E230" i="4"/>
  <c r="H286" i="4"/>
  <c r="I286" i="4"/>
  <c r="BD286" i="4" s="1"/>
  <c r="E286" i="4"/>
  <c r="E200" i="4"/>
  <c r="H200" i="4"/>
  <c r="H86" i="4"/>
  <c r="D86" i="4"/>
  <c r="E134" i="4"/>
  <c r="I134" i="4"/>
  <c r="H134" i="4"/>
  <c r="E110" i="4"/>
  <c r="H110" i="4"/>
  <c r="I110" i="4"/>
  <c r="BD110" i="4" s="1"/>
  <c r="BC212" i="4"/>
  <c r="I154" i="4"/>
  <c r="E154" i="4"/>
  <c r="I138" i="4"/>
  <c r="BD138" i="4" s="1"/>
  <c r="H138" i="4"/>
  <c r="E138" i="4"/>
  <c r="I325" i="4"/>
  <c r="BD325" i="4" s="1"/>
  <c r="E325" i="4"/>
  <c r="AK83" i="8"/>
  <c r="AQ83" i="8"/>
  <c r="AP83" i="8"/>
  <c r="AO27" i="7"/>
  <c r="AP27" i="7"/>
  <c r="AJ27" i="7"/>
  <c r="AP31" i="7"/>
  <c r="AO31" i="7"/>
  <c r="AE108" i="8"/>
  <c r="AS108" i="8"/>
  <c r="AQ75" i="8"/>
  <c r="AK75" i="8"/>
  <c r="C126" i="8"/>
  <c r="D126" i="8"/>
  <c r="AQ97" i="8"/>
  <c r="AP97" i="8"/>
  <c r="AP84" i="8"/>
  <c r="AK84" i="8"/>
  <c r="AE124" i="8"/>
  <c r="AS124" i="8"/>
  <c r="AE102" i="8"/>
  <c r="AS102" i="8"/>
  <c r="AK102" i="8"/>
  <c r="AP102" i="8"/>
  <c r="H116" i="8"/>
  <c r="C116" i="8"/>
  <c r="AP171" i="8"/>
  <c r="AK171" i="8"/>
  <c r="AQ171" i="8"/>
  <c r="H205" i="8"/>
  <c r="C205" i="8"/>
  <c r="AQ174" i="8"/>
  <c r="AP174" i="8"/>
  <c r="C218" i="8"/>
  <c r="D218" i="8"/>
  <c r="AE200" i="8"/>
  <c r="AS200" i="8"/>
  <c r="D189" i="8"/>
  <c r="H189" i="8"/>
  <c r="AK228" i="8"/>
  <c r="AQ228" i="8"/>
  <c r="BD228" i="8" s="1"/>
  <c r="AP228" i="8"/>
  <c r="I235" i="8"/>
  <c r="H235" i="8"/>
  <c r="AP259" i="8"/>
  <c r="AQ259" i="8"/>
  <c r="AK225" i="8"/>
  <c r="AP225" i="8"/>
  <c r="AE210" i="8"/>
  <c r="AS210" i="8"/>
  <c r="I284" i="8"/>
  <c r="H284" i="8"/>
  <c r="D284" i="8"/>
  <c r="D264" i="8"/>
  <c r="E264" i="8"/>
  <c r="D255" i="8"/>
  <c r="I255" i="8"/>
  <c r="AP250" i="8"/>
  <c r="AK250" i="8"/>
  <c r="AP318" i="8"/>
  <c r="AQ318" i="8"/>
  <c r="I286" i="8"/>
  <c r="H286" i="8"/>
  <c r="D286" i="8"/>
  <c r="D341" i="8"/>
  <c r="C341" i="8"/>
  <c r="AT351" i="8"/>
  <c r="AQ375" i="8"/>
  <c r="AP375" i="8"/>
  <c r="AK375" i="8"/>
  <c r="AR342" i="8"/>
  <c r="AS350" i="8"/>
  <c r="AE350" i="8"/>
  <c r="AE366" i="8"/>
  <c r="AS366" i="8"/>
  <c r="AQ341" i="8"/>
  <c r="AP341" i="8"/>
  <c r="G62" i="4"/>
  <c r="E62" i="4"/>
  <c r="AQ340" i="4"/>
  <c r="AP340" i="4"/>
  <c r="H302" i="4"/>
  <c r="I302" i="4"/>
  <c r="H353" i="4"/>
  <c r="E353" i="4"/>
  <c r="I353" i="4"/>
  <c r="BD353" i="4" s="1"/>
  <c r="AQ369" i="4"/>
  <c r="AK369" i="4"/>
  <c r="AP301" i="4"/>
  <c r="AK301" i="4"/>
  <c r="AJ20" i="7"/>
  <c r="AO20" i="7"/>
  <c r="AJ31" i="7"/>
  <c r="AT195" i="4"/>
  <c r="I62" i="4"/>
  <c r="I12" i="8"/>
  <c r="D12" i="8"/>
  <c r="AE7" i="8"/>
  <c r="AS7" i="8"/>
  <c r="AK19" i="8"/>
  <c r="AP19" i="8"/>
  <c r="AJ37" i="7"/>
  <c r="AP37" i="7"/>
  <c r="AT121" i="8"/>
  <c r="AE187" i="8"/>
  <c r="AS187" i="8"/>
  <c r="AP90" i="8"/>
  <c r="AK90" i="8"/>
  <c r="AQ90" i="8"/>
  <c r="I263" i="8"/>
  <c r="BD263" i="8" s="1"/>
  <c r="E263" i="8"/>
  <c r="AT201" i="8"/>
  <c r="AR131" i="8"/>
  <c r="AE176" i="8"/>
  <c r="AS176" i="8"/>
  <c r="AT200" i="8"/>
  <c r="I242" i="8"/>
  <c r="H242" i="8"/>
  <c r="AT305" i="8"/>
  <c r="E271" i="8"/>
  <c r="I271" i="8"/>
  <c r="AK331" i="8"/>
  <c r="AP331" i="8"/>
  <c r="H336" i="8"/>
  <c r="C336" i="8"/>
  <c r="AP343" i="8"/>
  <c r="AK343" i="8"/>
  <c r="C354" i="8"/>
  <c r="H354" i="8"/>
  <c r="AT356" i="8"/>
  <c r="AQ377" i="8"/>
  <c r="AP377" i="8"/>
  <c r="AK374" i="8"/>
  <c r="AP374" i="8"/>
  <c r="AT328" i="8"/>
  <c r="AK349" i="8"/>
  <c r="AP349" i="8"/>
  <c r="E360" i="8"/>
  <c r="H360" i="8"/>
  <c r="AT249" i="4"/>
  <c r="D308" i="8"/>
  <c r="BD258" i="8"/>
  <c r="AK276" i="8"/>
  <c r="AQ276" i="8"/>
  <c r="AS326" i="8"/>
  <c r="AR326" i="8" s="1"/>
  <c r="AU326" i="8" s="1"/>
  <c r="AV326" i="8" s="1"/>
  <c r="AW326" i="8" s="1"/>
  <c r="AE326" i="8"/>
  <c r="AS307" i="8"/>
  <c r="AE307" i="8"/>
  <c r="AT367" i="8"/>
  <c r="AS317" i="8"/>
  <c r="AR317" i="8" s="1"/>
  <c r="AE317" i="8"/>
  <c r="AT284" i="8"/>
  <c r="H344" i="8"/>
  <c r="D344" i="8"/>
  <c r="D362" i="8"/>
  <c r="I362" i="8"/>
  <c r="AS351" i="8"/>
  <c r="AE351" i="8"/>
  <c r="AT187" i="4"/>
  <c r="AS118" i="8"/>
  <c r="AK148" i="8"/>
  <c r="AQ148" i="8"/>
  <c r="AP148" i="8"/>
  <c r="C284" i="8"/>
  <c r="D285" i="8"/>
  <c r="H264" i="8"/>
  <c r="AQ102" i="8"/>
  <c r="AP20" i="7"/>
  <c r="AP365" i="8"/>
  <c r="AK365" i="8"/>
  <c r="AQ365" i="8"/>
  <c r="AT108" i="4"/>
  <c r="G24" i="4"/>
  <c r="E24" i="4"/>
  <c r="D140" i="8"/>
  <c r="C140" i="8"/>
  <c r="AK17" i="8"/>
  <c r="AP17" i="8"/>
  <c r="AQ17" i="8"/>
  <c r="AT113" i="8"/>
  <c r="AT183" i="8"/>
  <c r="AS314" i="8"/>
  <c r="D293" i="8"/>
  <c r="C293" i="8"/>
  <c r="I264" i="8"/>
  <c r="BD227" i="8"/>
  <c r="C33" i="8"/>
  <c r="C45" i="8"/>
  <c r="D37" i="8"/>
  <c r="AK246" i="8"/>
  <c r="AP246" i="8"/>
  <c r="AQ176" i="8"/>
  <c r="BD176" i="8" s="1"/>
  <c r="AP176" i="8"/>
  <c r="AJ25" i="7"/>
  <c r="AP25" i="7"/>
  <c r="AT129" i="8"/>
  <c r="AP116" i="8"/>
  <c r="AQ116" i="8"/>
  <c r="AT371" i="8"/>
  <c r="C307" i="8"/>
  <c r="D307" i="8"/>
  <c r="BD249" i="8"/>
  <c r="AE199" i="8"/>
  <c r="AK174" i="8"/>
  <c r="AK116" i="8"/>
  <c r="AS77" i="8"/>
  <c r="AQ84" i="8"/>
  <c r="AP81" i="8"/>
  <c r="AK164" i="8"/>
  <c r="AP164" i="8"/>
  <c r="AP75" i="8"/>
  <c r="AE92" i="8"/>
  <c r="AS92" i="8"/>
  <c r="D275" i="8"/>
  <c r="C275" i="8"/>
  <c r="AQ250" i="8"/>
  <c r="AK259" i="8"/>
  <c r="D205" i="8"/>
  <c r="AP134" i="8"/>
  <c r="AS83" i="8"/>
  <c r="AQ81" i="8"/>
  <c r="AK61" i="8"/>
  <c r="AO37" i="7"/>
  <c r="H240" i="8"/>
  <c r="C240" i="8"/>
  <c r="AK156" i="8"/>
  <c r="AQ156" i="8"/>
  <c r="AP156" i="8"/>
  <c r="AT97" i="4"/>
  <c r="AT145" i="4"/>
  <c r="AT117" i="4"/>
  <c r="AT42" i="4"/>
  <c r="I354" i="4"/>
  <c r="H354" i="4"/>
  <c r="E354" i="4"/>
  <c r="AT340" i="4"/>
  <c r="AT326" i="4"/>
  <c r="AT270" i="4"/>
  <c r="AT179" i="4"/>
  <c r="AT163" i="4"/>
  <c r="AT125" i="4"/>
  <c r="E16" i="4"/>
  <c r="H333" i="4"/>
  <c r="E333" i="4"/>
  <c r="H310" i="4"/>
  <c r="E310" i="4"/>
  <c r="I310" i="4"/>
  <c r="BC310" i="4" s="1"/>
  <c r="AQ152" i="8"/>
  <c r="AQ120" i="8"/>
  <c r="AS82" i="8"/>
  <c r="AQ21" i="8"/>
  <c r="C24" i="8"/>
  <c r="C195" i="8"/>
  <c r="AT192" i="8"/>
  <c r="AR309" i="4"/>
  <c r="AT191" i="4"/>
  <c r="AT137" i="4"/>
  <c r="AT93" i="4"/>
  <c r="AT61" i="4"/>
  <c r="C47" i="4"/>
  <c r="AK342" i="4"/>
  <c r="BC342" i="4" s="1"/>
  <c r="AQ342" i="4"/>
  <c r="BD342" i="4" s="1"/>
  <c r="E323" i="4"/>
  <c r="H323" i="4"/>
  <c r="I323" i="4"/>
  <c r="BD323" i="4" s="1"/>
  <c r="AK152" i="8"/>
  <c r="AK167" i="8"/>
  <c r="D114" i="8"/>
  <c r="AJ32" i="7"/>
  <c r="AT344" i="8"/>
  <c r="AT313" i="4"/>
  <c r="AT305" i="4"/>
  <c r="AT171" i="4"/>
  <c r="AT149" i="4"/>
  <c r="AT113" i="4"/>
  <c r="AT85" i="4"/>
  <c r="AT77" i="4"/>
  <c r="AT69" i="4"/>
  <c r="I44" i="4"/>
  <c r="I357" i="4"/>
  <c r="E357" i="4"/>
  <c r="I369" i="4"/>
  <c r="H369" i="4"/>
  <c r="E369" i="4"/>
  <c r="AT345" i="4"/>
  <c r="AT372" i="8"/>
  <c r="AR323" i="8"/>
  <c r="AQ163" i="8"/>
  <c r="AK121" i="8"/>
  <c r="AR121" i="8" s="1"/>
  <c r="AP27" i="8"/>
  <c r="AP21" i="8"/>
  <c r="A8" i="5"/>
  <c r="AJ26" i="7"/>
  <c r="AT120" i="8"/>
  <c r="AT9" i="8"/>
  <c r="AT198" i="8"/>
  <c r="AT205" i="8"/>
  <c r="AT314" i="8"/>
  <c r="AT216" i="4"/>
  <c r="AT183" i="4"/>
  <c r="C55" i="4"/>
  <c r="E46" i="4"/>
  <c r="H298" i="4"/>
  <c r="I298" i="4"/>
  <c r="I326" i="4"/>
  <c r="BD326" i="4" s="1"/>
  <c r="E326" i="4"/>
  <c r="H327" i="4"/>
  <c r="I327" i="4"/>
  <c r="BD327" i="4" s="1"/>
  <c r="E327" i="4"/>
  <c r="I337" i="4"/>
  <c r="H337" i="4"/>
  <c r="E337" i="4"/>
  <c r="AR334" i="8"/>
  <c r="AT303" i="8"/>
  <c r="AT290" i="8"/>
  <c r="AS18" i="7"/>
  <c r="AT117" i="8"/>
  <c r="AT193" i="8"/>
  <c r="AT136" i="8"/>
  <c r="AT211" i="8"/>
  <c r="AT335" i="8"/>
  <c r="BD228" i="4"/>
  <c r="AT167" i="4"/>
  <c r="I329" i="4"/>
  <c r="BD329" i="4" s="1"/>
  <c r="E329" i="4"/>
  <c r="I346" i="4"/>
  <c r="BD346" i="4" s="1"/>
  <c r="E346" i="4"/>
  <c r="H346" i="4"/>
  <c r="C370" i="8"/>
  <c r="AT298" i="8"/>
  <c r="D311" i="8"/>
  <c r="D299" i="8"/>
  <c r="C299" i="8"/>
  <c r="D310" i="8"/>
  <c r="BD253" i="8"/>
  <c r="BD247" i="8"/>
  <c r="AT176" i="8"/>
  <c r="AE134" i="8"/>
  <c r="H118" i="8"/>
  <c r="AT141" i="8"/>
  <c r="AK103" i="8"/>
  <c r="AP111" i="8"/>
  <c r="AQ105" i="8"/>
  <c r="C39" i="8"/>
  <c r="AS72" i="8"/>
  <c r="AE72" i="8"/>
  <c r="E9" i="2"/>
  <c r="CK9" i="2" s="1"/>
  <c r="C363" i="8"/>
  <c r="AT368" i="8"/>
  <c r="AS88" i="8"/>
  <c r="AE76" i="8"/>
  <c r="AO25" i="7"/>
  <c r="D11" i="8"/>
  <c r="I11" i="8"/>
  <c r="E11" i="8"/>
  <c r="AE199" i="4"/>
  <c r="AS99" i="4"/>
  <c r="AT254" i="8"/>
  <c r="AS141" i="8"/>
  <c r="AE141" i="8"/>
  <c r="AE138" i="8"/>
  <c r="AS138" i="8"/>
  <c r="AK20" i="8"/>
  <c r="AQ20" i="8"/>
  <c r="AP20" i="8"/>
  <c r="DQ12" i="6"/>
  <c r="CP12" i="6"/>
  <c r="BJ12" i="6"/>
  <c r="BB12" i="6"/>
  <c r="AD12" i="6"/>
  <c r="DO12" i="6"/>
  <c r="DE12" i="6"/>
  <c r="CG12" i="6"/>
  <c r="BA12" i="6"/>
  <c r="AS12" i="6"/>
  <c r="U12" i="6"/>
  <c r="E12" i="6"/>
  <c r="C13" i="6" s="1"/>
  <c r="DD12" i="6"/>
  <c r="CV12" i="6"/>
  <c r="BX12" i="6"/>
  <c r="BH12" i="6"/>
  <c r="AR12" i="6"/>
  <c r="AJ12" i="6"/>
  <c r="L12" i="6"/>
  <c r="DC12" i="6"/>
  <c r="CM12" i="6"/>
  <c r="CE12" i="6"/>
  <c r="BW12" i="6"/>
  <c r="BG12" i="6"/>
  <c r="AQ12" i="6"/>
  <c r="AA12" i="6"/>
  <c r="S12" i="6"/>
  <c r="K12" i="6"/>
  <c r="DB12" i="6"/>
  <c r="CL12" i="6"/>
  <c r="BV12" i="6"/>
  <c r="BN12" i="6"/>
  <c r="BF12" i="6"/>
  <c r="AP12" i="6"/>
  <c r="Z12" i="6"/>
  <c r="R12" i="6"/>
  <c r="J12" i="6"/>
  <c r="DT12" i="6"/>
  <c r="DJ12" i="6"/>
  <c r="CS12" i="6"/>
  <c r="CC12" i="6"/>
  <c r="BU12" i="6"/>
  <c r="BM12" i="6"/>
  <c r="BE12" i="6"/>
  <c r="AW12" i="6"/>
  <c r="AG12" i="6"/>
  <c r="Q12" i="6"/>
  <c r="I12" i="6"/>
  <c r="DS12" i="6"/>
  <c r="DI12" i="6"/>
  <c r="CZ12" i="6"/>
  <c r="CJ12" i="6"/>
  <c r="BT12" i="6"/>
  <c r="BL12" i="6"/>
  <c r="BD12" i="6"/>
  <c r="AV12" i="6"/>
  <c r="AN12" i="6"/>
  <c r="X12" i="6"/>
  <c r="H12" i="6"/>
  <c r="DR12" i="6"/>
  <c r="BC12" i="6"/>
  <c r="DG12" i="6"/>
  <c r="AU12" i="6"/>
  <c r="AM12" i="6"/>
  <c r="AE12" i="6"/>
  <c r="CI12" i="6"/>
  <c r="W12" i="6"/>
  <c r="CA12" i="6"/>
  <c r="O12" i="6"/>
  <c r="G12" i="6"/>
  <c r="DP12" i="6"/>
  <c r="DH12" i="6"/>
  <c r="DN12" i="6"/>
  <c r="AK16" i="8"/>
  <c r="AP16" i="8"/>
  <c r="AS111" i="8"/>
  <c r="AE111" i="8"/>
  <c r="AS14" i="7"/>
  <c r="AE116" i="8"/>
  <c r="AS116" i="8"/>
  <c r="AJ21" i="7"/>
  <c r="AP21" i="7"/>
  <c r="AO21" i="7"/>
  <c r="AK14" i="8"/>
  <c r="AP14" i="8"/>
  <c r="AQ14" i="8"/>
  <c r="I135" i="8"/>
  <c r="H135" i="8"/>
  <c r="E135" i="8"/>
  <c r="D135" i="8"/>
  <c r="C135" i="8"/>
  <c r="H60" i="8"/>
  <c r="I60" i="8"/>
  <c r="E60" i="8"/>
  <c r="D60" i="8"/>
  <c r="C60" i="8"/>
  <c r="AS74" i="8"/>
  <c r="AE74" i="8"/>
  <c r="AE93" i="8"/>
  <c r="AS93" i="8"/>
  <c r="AP129" i="8"/>
  <c r="AK129" i="8"/>
  <c r="AQ129" i="8"/>
  <c r="I127" i="8"/>
  <c r="H127" i="8"/>
  <c r="E127" i="8"/>
  <c r="D127" i="8"/>
  <c r="C127" i="8"/>
  <c r="AQ99" i="8"/>
  <c r="AP99" i="8"/>
  <c r="AK99" i="8"/>
  <c r="I124" i="8"/>
  <c r="E124" i="8"/>
  <c r="C124" i="8"/>
  <c r="H124" i="8"/>
  <c r="AE86" i="8"/>
  <c r="AS86" i="8"/>
  <c r="I125" i="8"/>
  <c r="E125" i="8"/>
  <c r="D125" i="8"/>
  <c r="C125" i="8"/>
  <c r="H125" i="8"/>
  <c r="H177" i="8"/>
  <c r="E177" i="8"/>
  <c r="C177" i="8"/>
  <c r="AS117" i="8"/>
  <c r="AE117" i="8"/>
  <c r="AP88" i="8"/>
  <c r="AQ88" i="8"/>
  <c r="AK104" i="8"/>
  <c r="AQ104" i="8"/>
  <c r="I194" i="8"/>
  <c r="H194" i="8"/>
  <c r="E194" i="8"/>
  <c r="D194" i="8"/>
  <c r="C194" i="8"/>
  <c r="AP251" i="8"/>
  <c r="AQ251" i="8"/>
  <c r="BD251" i="8" s="1"/>
  <c r="AT177" i="8"/>
  <c r="I203" i="8"/>
  <c r="E203" i="8"/>
  <c r="D203" i="8"/>
  <c r="C203" i="8"/>
  <c r="AT219" i="8"/>
  <c r="AS182" i="8"/>
  <c r="AE182" i="8"/>
  <c r="AT180" i="8"/>
  <c r="I130" i="8"/>
  <c r="H130" i="8"/>
  <c r="E130" i="8"/>
  <c r="C130" i="8"/>
  <c r="I192" i="8"/>
  <c r="H192" i="8"/>
  <c r="E192" i="8"/>
  <c r="D192" i="8"/>
  <c r="E155" i="8"/>
  <c r="C155" i="8"/>
  <c r="I155" i="8"/>
  <c r="I179" i="8"/>
  <c r="E179" i="8"/>
  <c r="D179" i="8"/>
  <c r="H179" i="8"/>
  <c r="H279" i="8"/>
  <c r="D279" i="8"/>
  <c r="C279" i="8"/>
  <c r="I279" i="8"/>
  <c r="E279" i="8"/>
  <c r="AT191" i="8"/>
  <c r="E198" i="8"/>
  <c r="D198" i="8"/>
  <c r="C198" i="8"/>
  <c r="H198" i="8"/>
  <c r="AT216" i="8"/>
  <c r="E262" i="8"/>
  <c r="H262" i="8"/>
  <c r="C262" i="8"/>
  <c r="D262" i="8"/>
  <c r="AE201" i="8"/>
  <c r="AS201" i="8"/>
  <c r="I210" i="8"/>
  <c r="E210" i="8"/>
  <c r="D210" i="8"/>
  <c r="H226" i="8"/>
  <c r="I226" i="8"/>
  <c r="D226" i="8"/>
  <c r="C226" i="8"/>
  <c r="AS235" i="8"/>
  <c r="AE235" i="8"/>
  <c r="H257" i="8"/>
  <c r="E257" i="8"/>
  <c r="C257" i="8"/>
  <c r="D257" i="8"/>
  <c r="I257" i="8"/>
  <c r="AQ240" i="8"/>
  <c r="AK240" i="8"/>
  <c r="AP240" i="8"/>
  <c r="AT229" i="8"/>
  <c r="D238" i="8"/>
  <c r="H238" i="8"/>
  <c r="AS222" i="8"/>
  <c r="AE222" i="8"/>
  <c r="AS238" i="8"/>
  <c r="AE238" i="8"/>
  <c r="AP328" i="8"/>
  <c r="AK328" i="8"/>
  <c r="I233" i="8"/>
  <c r="E233" i="8"/>
  <c r="AK313" i="8"/>
  <c r="AP313" i="8"/>
  <c r="AP254" i="8"/>
  <c r="AQ254" i="8"/>
  <c r="AT304" i="8"/>
  <c r="AT251" i="8"/>
  <c r="H317" i="8"/>
  <c r="E317" i="8"/>
  <c r="I317" i="8"/>
  <c r="D317" i="8"/>
  <c r="AT291" i="8"/>
  <c r="H280" i="8"/>
  <c r="D280" i="8"/>
  <c r="I280" i="8"/>
  <c r="BD280" i="8" s="1"/>
  <c r="C280" i="8"/>
  <c r="E280" i="8"/>
  <c r="AT311" i="8"/>
  <c r="AK274" i="8"/>
  <c r="AP274" i="8"/>
  <c r="AQ274" i="8"/>
  <c r="H352" i="8"/>
  <c r="E352" i="8"/>
  <c r="C352" i="8"/>
  <c r="I352" i="8"/>
  <c r="BD352" i="8" s="1"/>
  <c r="D352" i="8"/>
  <c r="AS357" i="8"/>
  <c r="AE357" i="8"/>
  <c r="AQ340" i="8"/>
  <c r="AP340" i="8"/>
  <c r="AK340" i="8"/>
  <c r="AT348" i="8"/>
  <c r="H326" i="8"/>
  <c r="I326" i="8"/>
  <c r="BD326" i="8" s="1"/>
  <c r="E326" i="8"/>
  <c r="C326" i="8"/>
  <c r="AR293" i="4"/>
  <c r="AE137" i="8"/>
  <c r="AS137" i="8"/>
  <c r="AE8" i="8"/>
  <c r="AS8" i="8"/>
  <c r="AO28" i="7"/>
  <c r="AP28" i="7"/>
  <c r="AQ122" i="8"/>
  <c r="AK122" i="8"/>
  <c r="AJ24" i="7"/>
  <c r="AP24" i="7"/>
  <c r="AO24" i="7"/>
  <c r="AP36" i="7"/>
  <c r="AO36" i="7"/>
  <c r="D16" i="5"/>
  <c r="AS5" i="7"/>
  <c r="AP33" i="7"/>
  <c r="AO33" i="7"/>
  <c r="AJ33" i="7"/>
  <c r="H17" i="8"/>
  <c r="C17" i="8"/>
  <c r="I17" i="8"/>
  <c r="D17" i="8"/>
  <c r="E17" i="8"/>
  <c r="H76" i="8"/>
  <c r="E76" i="8"/>
  <c r="C76" i="8"/>
  <c r="AE95" i="8"/>
  <c r="AS95" i="8"/>
  <c r="AS233" i="8"/>
  <c r="AE233" i="8"/>
  <c r="H77" i="8"/>
  <c r="E77" i="8"/>
  <c r="C77" i="8"/>
  <c r="I77" i="8"/>
  <c r="D77" i="8"/>
  <c r="AE128" i="8"/>
  <c r="AS128" i="8"/>
  <c r="AK101" i="8"/>
  <c r="AQ101" i="8"/>
  <c r="AS115" i="8"/>
  <c r="AE115" i="8"/>
  <c r="AE126" i="8"/>
  <c r="AS126" i="8"/>
  <c r="AT145" i="8"/>
  <c r="D73" i="8"/>
  <c r="E73" i="8"/>
  <c r="C73" i="8"/>
  <c r="I73" i="8"/>
  <c r="H73" i="8"/>
  <c r="I117" i="8"/>
  <c r="E117" i="8"/>
  <c r="D117" i="8"/>
  <c r="H117" i="8"/>
  <c r="AE90" i="8"/>
  <c r="AS90" i="8"/>
  <c r="H180" i="8"/>
  <c r="E180" i="8"/>
  <c r="D180" i="8"/>
  <c r="I180" i="8"/>
  <c r="C180" i="8"/>
  <c r="AQ126" i="8"/>
  <c r="AP126" i="8"/>
  <c r="AK126" i="8"/>
  <c r="AE106" i="8"/>
  <c r="AS106" i="8"/>
  <c r="AQ124" i="8"/>
  <c r="AP124" i="8"/>
  <c r="AK124" i="8"/>
  <c r="H146" i="8"/>
  <c r="I146" i="8"/>
  <c r="E146" i="8"/>
  <c r="D146" i="8"/>
  <c r="C146" i="8"/>
  <c r="AS194" i="8"/>
  <c r="AE194" i="8"/>
  <c r="I206" i="8"/>
  <c r="E206" i="8"/>
  <c r="C206" i="8"/>
  <c r="H206" i="8"/>
  <c r="C263" i="8"/>
  <c r="H263" i="8"/>
  <c r="D263" i="8"/>
  <c r="I185" i="8"/>
  <c r="H185" i="8"/>
  <c r="E185" i="8"/>
  <c r="AT204" i="8"/>
  <c r="AT135" i="8"/>
  <c r="E154" i="8"/>
  <c r="H154" i="8"/>
  <c r="D154" i="8"/>
  <c r="I191" i="8"/>
  <c r="D191" i="8"/>
  <c r="H191" i="8"/>
  <c r="C191" i="8"/>
  <c r="E191" i="8"/>
  <c r="I200" i="8"/>
  <c r="E200" i="8"/>
  <c r="C200" i="8"/>
  <c r="H200" i="8"/>
  <c r="D200" i="8"/>
  <c r="I183" i="8"/>
  <c r="E183" i="8"/>
  <c r="C183" i="8"/>
  <c r="D183" i="8"/>
  <c r="H183" i="8"/>
  <c r="AK138" i="8"/>
  <c r="AQ138" i="8"/>
  <c r="BD138" i="8" s="1"/>
  <c r="AT215" i="8"/>
  <c r="AQ132" i="8"/>
  <c r="AK132" i="8"/>
  <c r="AP132" i="8"/>
  <c r="I149" i="8"/>
  <c r="E149" i="8"/>
  <c r="C149" i="8"/>
  <c r="H149" i="8"/>
  <c r="D149" i="8"/>
  <c r="AK218" i="8"/>
  <c r="AQ218" i="8"/>
  <c r="AP218" i="8"/>
  <c r="AS223" i="8"/>
  <c r="AE223" i="8"/>
  <c r="I230" i="8"/>
  <c r="C230" i="8"/>
  <c r="H230" i="8"/>
  <c r="AT237" i="8"/>
  <c r="AT203" i="8"/>
  <c r="AT218" i="8"/>
  <c r="AP236" i="8"/>
  <c r="AQ236" i="8"/>
  <c r="BD236" i="8" s="1"/>
  <c r="AT258" i="8"/>
  <c r="AT214" i="8"/>
  <c r="AT222" i="8"/>
  <c r="AS232" i="8"/>
  <c r="AE232" i="8"/>
  <c r="E327" i="8"/>
  <c r="D327" i="8"/>
  <c r="I327" i="8"/>
  <c r="H327" i="8"/>
  <c r="AK278" i="8"/>
  <c r="AP278" i="8"/>
  <c r="AQ278" i="8"/>
  <c r="BD278" i="8" s="1"/>
  <c r="C242" i="8"/>
  <c r="E242" i="8"/>
  <c r="AP257" i="8"/>
  <c r="AK257" i="8"/>
  <c r="AQ257" i="8"/>
  <c r="AT223" i="8"/>
  <c r="AK230" i="8"/>
  <c r="AQ230" i="8"/>
  <c r="AP230" i="8"/>
  <c r="D259" i="8"/>
  <c r="H259" i="8"/>
  <c r="E259" i="8"/>
  <c r="C259" i="8"/>
  <c r="I259" i="8"/>
  <c r="AK226" i="8"/>
  <c r="AQ226" i="8"/>
  <c r="AP226" i="8"/>
  <c r="AT234" i="8"/>
  <c r="AQ242" i="8"/>
  <c r="AK242" i="8"/>
  <c r="H271" i="8"/>
  <c r="D271" i="8"/>
  <c r="C271" i="8"/>
  <c r="AT246" i="8"/>
  <c r="I283" i="8"/>
  <c r="H283" i="8"/>
  <c r="D283" i="8"/>
  <c r="AS316" i="8"/>
  <c r="AE316" i="8"/>
  <c r="D336" i="8"/>
  <c r="E336" i="8"/>
  <c r="H276" i="8"/>
  <c r="C276" i="8"/>
  <c r="E276" i="8"/>
  <c r="I276" i="8"/>
  <c r="D276" i="8"/>
  <c r="AS321" i="8"/>
  <c r="AE321" i="8"/>
  <c r="AS336" i="8"/>
  <c r="AE336" i="8"/>
  <c r="D354" i="8"/>
  <c r="I354" i="8"/>
  <c r="E354" i="8"/>
  <c r="D330" i="8"/>
  <c r="E330" i="8"/>
  <c r="C330" i="8"/>
  <c r="I337" i="8"/>
  <c r="H337" i="8"/>
  <c r="E337" i="8"/>
  <c r="D337" i="8"/>
  <c r="E331" i="8"/>
  <c r="C331" i="8"/>
  <c r="AS327" i="8"/>
  <c r="AE327" i="8"/>
  <c r="AP336" i="8"/>
  <c r="AK336" i="8"/>
  <c r="E343" i="8"/>
  <c r="D343" i="8"/>
  <c r="I343" i="8"/>
  <c r="H343" i="8"/>
  <c r="C343" i="8"/>
  <c r="AT321" i="8"/>
  <c r="AS332" i="8"/>
  <c r="AE332" i="8"/>
  <c r="D355" i="8"/>
  <c r="I355" i="8"/>
  <c r="H355" i="8"/>
  <c r="E355" i="8"/>
  <c r="AR330" i="4"/>
  <c r="AR297" i="4"/>
  <c r="AS277" i="4"/>
  <c r="AS103" i="4"/>
  <c r="BD125" i="8"/>
  <c r="AT10" i="8"/>
  <c r="AE143" i="8"/>
  <c r="AS143" i="8"/>
  <c r="AQ175" i="8"/>
  <c r="AK175" i="8"/>
  <c r="AP175" i="8"/>
  <c r="I5" i="8"/>
  <c r="E5" i="8"/>
  <c r="D5" i="8"/>
  <c r="H5" i="8"/>
  <c r="I118" i="8"/>
  <c r="D118" i="8"/>
  <c r="C118" i="8"/>
  <c r="AS7" i="7"/>
  <c r="AS10" i="7"/>
  <c r="AJ34" i="7"/>
  <c r="AO34" i="7"/>
  <c r="I131" i="8"/>
  <c r="D131" i="8"/>
  <c r="H131" i="8"/>
  <c r="E131" i="8"/>
  <c r="AQ112" i="8"/>
  <c r="AP112" i="8"/>
  <c r="AK112" i="8"/>
  <c r="AJ19" i="7"/>
  <c r="AP19" i="7"/>
  <c r="AO19" i="7"/>
  <c r="H18" i="8"/>
  <c r="C18" i="8"/>
  <c r="D18" i="8"/>
  <c r="E18" i="8"/>
  <c r="AE87" i="8"/>
  <c r="AS87" i="8"/>
  <c r="AE97" i="8"/>
  <c r="AS97" i="8"/>
  <c r="AQ60" i="8"/>
  <c r="AP60" i="8"/>
  <c r="AK60" i="8"/>
  <c r="AE80" i="8"/>
  <c r="AS80" i="8"/>
  <c r="I120" i="8"/>
  <c r="BD120" i="8" s="1"/>
  <c r="H120" i="8"/>
  <c r="E120" i="8"/>
  <c r="D120" i="8"/>
  <c r="C120" i="8"/>
  <c r="AE127" i="8"/>
  <c r="AS127" i="8"/>
  <c r="AE107" i="8"/>
  <c r="AS107" i="8"/>
  <c r="AK118" i="8"/>
  <c r="AP118" i="8"/>
  <c r="AQ118" i="8"/>
  <c r="AK110" i="8"/>
  <c r="AQ110" i="8"/>
  <c r="AP110" i="8"/>
  <c r="I119" i="8"/>
  <c r="C119" i="8"/>
  <c r="H119" i="8"/>
  <c r="E119" i="8"/>
  <c r="AK107" i="8"/>
  <c r="AQ107" i="8"/>
  <c r="AP107" i="8"/>
  <c r="AS119" i="8"/>
  <c r="AE119" i="8"/>
  <c r="AK127" i="8"/>
  <c r="AQ127" i="8"/>
  <c r="AP127" i="8"/>
  <c r="E75" i="8"/>
  <c r="H75" i="8"/>
  <c r="C75" i="8"/>
  <c r="AK92" i="8"/>
  <c r="AQ92" i="8"/>
  <c r="AP92" i="8"/>
  <c r="AE135" i="8"/>
  <c r="AS135" i="8"/>
  <c r="AK267" i="8"/>
  <c r="AP267" i="8"/>
  <c r="E141" i="8"/>
  <c r="I141" i="8"/>
  <c r="H141" i="8"/>
  <c r="C141" i="8"/>
  <c r="D141" i="8"/>
  <c r="AP153" i="8"/>
  <c r="AK153" i="8"/>
  <c r="AQ153" i="8"/>
  <c r="AT186" i="8"/>
  <c r="AE205" i="8"/>
  <c r="AS205" i="8"/>
  <c r="AS224" i="8"/>
  <c r="AE224" i="8"/>
  <c r="I136" i="8"/>
  <c r="E136" i="8"/>
  <c r="D136" i="8"/>
  <c r="C136" i="8"/>
  <c r="H136" i="8"/>
  <c r="AE185" i="8"/>
  <c r="AS185" i="8"/>
  <c r="I213" i="8"/>
  <c r="H213" i="8"/>
  <c r="E213" i="8"/>
  <c r="AQ135" i="8"/>
  <c r="AK135" i="8"/>
  <c r="AP135" i="8"/>
  <c r="I157" i="8"/>
  <c r="C157" i="8"/>
  <c r="E157" i="8"/>
  <c r="H157" i="8"/>
  <c r="AT184" i="8"/>
  <c r="I211" i="8"/>
  <c r="E211" i="8"/>
  <c r="D211" i="8"/>
  <c r="C211" i="8"/>
  <c r="AE175" i="8"/>
  <c r="AS175" i="8"/>
  <c r="I209" i="8"/>
  <c r="E209" i="8"/>
  <c r="D209" i="8"/>
  <c r="C209" i="8"/>
  <c r="AK141" i="8"/>
  <c r="AP141" i="8"/>
  <c r="AP162" i="8"/>
  <c r="AK162" i="8"/>
  <c r="AQ162" i="8"/>
  <c r="D181" i="8"/>
  <c r="I181" i="8"/>
  <c r="H181" i="8"/>
  <c r="E181" i="8"/>
  <c r="AT133" i="8"/>
  <c r="AS193" i="8"/>
  <c r="AE193" i="8"/>
  <c r="I201" i="8"/>
  <c r="E201" i="8"/>
  <c r="D201" i="8"/>
  <c r="C201" i="8"/>
  <c r="AT231" i="8"/>
  <c r="AT238" i="8"/>
  <c r="I204" i="8"/>
  <c r="E204" i="8"/>
  <c r="D204" i="8"/>
  <c r="H204" i="8"/>
  <c r="E237" i="8"/>
  <c r="D237" i="8"/>
  <c r="I237" i="8"/>
  <c r="H237" i="8"/>
  <c r="AS204" i="8"/>
  <c r="AE204" i="8"/>
  <c r="AT224" i="8"/>
  <c r="AT233" i="8"/>
  <c r="E265" i="8"/>
  <c r="C265" i="8"/>
  <c r="I265" i="8"/>
  <c r="D265" i="8"/>
  <c r="C219" i="8"/>
  <c r="E219" i="8"/>
  <c r="D219" i="8"/>
  <c r="I219" i="8"/>
  <c r="H219" i="8"/>
  <c r="AK233" i="8"/>
  <c r="AP233" i="8"/>
  <c r="AQ233" i="8"/>
  <c r="BD233" i="8" s="1"/>
  <c r="AT257" i="8"/>
  <c r="H222" i="8"/>
  <c r="I222" i="8"/>
  <c r="D222" i="8"/>
  <c r="C222" i="8"/>
  <c r="E231" i="8"/>
  <c r="C231" i="8"/>
  <c r="I231" i="8"/>
  <c r="AP243" i="8"/>
  <c r="AQ243" i="8"/>
  <c r="BD243" i="8" s="1"/>
  <c r="AK243" i="8"/>
  <c r="AT260" i="8"/>
  <c r="AS231" i="8"/>
  <c r="AR231" i="8" s="1"/>
  <c r="AE231" i="8"/>
  <c r="AT242" i="8"/>
  <c r="AK260" i="8"/>
  <c r="AP260" i="8"/>
  <c r="AQ260" i="8"/>
  <c r="AP314" i="8"/>
  <c r="AQ314" i="8"/>
  <c r="E285" i="8"/>
  <c r="I285" i="8"/>
  <c r="H342" i="8"/>
  <c r="I342" i="8"/>
  <c r="E342" i="8"/>
  <c r="C342" i="8"/>
  <c r="I344" i="8"/>
  <c r="E344" i="8"/>
  <c r="C344" i="8"/>
  <c r="AT331" i="8"/>
  <c r="I345" i="8"/>
  <c r="BD345" i="8" s="1"/>
  <c r="H345" i="8"/>
  <c r="E345" i="8"/>
  <c r="D345" i="8"/>
  <c r="C345" i="8"/>
  <c r="E361" i="8"/>
  <c r="I361" i="8"/>
  <c r="H361" i="8"/>
  <c r="D361" i="8"/>
  <c r="AS337" i="8"/>
  <c r="AR337" i="8" s="1"/>
  <c r="AU337" i="8" s="1"/>
  <c r="AV337" i="8" s="1"/>
  <c r="AW337" i="8" s="1"/>
  <c r="AE337" i="8"/>
  <c r="AS345" i="8"/>
  <c r="AR345" i="8" s="1"/>
  <c r="AE345" i="8"/>
  <c r="E362" i="8"/>
  <c r="H362" i="8"/>
  <c r="I357" i="8"/>
  <c r="E357" i="8"/>
  <c r="D357" i="8"/>
  <c r="H357" i="8"/>
  <c r="C357" i="8"/>
  <c r="AT320" i="8"/>
  <c r="AP344" i="8"/>
  <c r="AK344" i="8"/>
  <c r="E359" i="8"/>
  <c r="D359" i="8"/>
  <c r="I359" i="8"/>
  <c r="H359" i="8"/>
  <c r="C359" i="8"/>
  <c r="D333" i="8"/>
  <c r="C333" i="8"/>
  <c r="I333" i="8"/>
  <c r="H333" i="8"/>
  <c r="E333" i="8"/>
  <c r="AT350" i="8"/>
  <c r="T33" i="4"/>
  <c r="S33" i="4"/>
  <c r="R33" i="4"/>
  <c r="W33" i="4"/>
  <c r="V33" i="4"/>
  <c r="C387" i="8"/>
  <c r="BD338" i="8"/>
  <c r="BD331" i="8"/>
  <c r="BD346" i="8"/>
  <c r="D206" i="8"/>
  <c r="D177" i="8"/>
  <c r="C192" i="8"/>
  <c r="AS104" i="8"/>
  <c r="AT125" i="8"/>
  <c r="I154" i="8"/>
  <c r="BD154" i="8" s="1"/>
  <c r="AR113" i="8"/>
  <c r="AQ86" i="8"/>
  <c r="D76" i="8"/>
  <c r="BD75" i="8"/>
  <c r="C37" i="7"/>
  <c r="H37" i="7"/>
  <c r="AO32" i="7"/>
  <c r="AS15" i="7"/>
  <c r="C285" i="8"/>
  <c r="D240" i="8"/>
  <c r="I240" i="8"/>
  <c r="E240" i="8"/>
  <c r="AS263" i="8"/>
  <c r="AR263" i="8" s="1"/>
  <c r="AE263" i="8"/>
  <c r="D231" i="8"/>
  <c r="C213" i="8"/>
  <c r="C237" i="8"/>
  <c r="AS346" i="4"/>
  <c r="AT138" i="8"/>
  <c r="AR138" i="8"/>
  <c r="BD235" i="8"/>
  <c r="AS202" i="8"/>
  <c r="D157" i="8"/>
  <c r="AE125" i="8"/>
  <c r="AP122" i="8"/>
  <c r="D43" i="8"/>
  <c r="C43" i="8"/>
  <c r="AR115" i="8"/>
  <c r="AK86" i="8"/>
  <c r="I76" i="8"/>
  <c r="AS310" i="8"/>
  <c r="AE310" i="8"/>
  <c r="C283" i="8"/>
  <c r="D233" i="8"/>
  <c r="AS142" i="8"/>
  <c r="AE142" i="8"/>
  <c r="AS9" i="8"/>
  <c r="AE9" i="8"/>
  <c r="AS10" i="8"/>
  <c r="AE10" i="8"/>
  <c r="AP25" i="4"/>
  <c r="AQ17" i="4"/>
  <c r="BD17" i="4" s="1"/>
  <c r="AP33" i="4"/>
  <c r="AK13" i="4"/>
  <c r="AP37" i="4"/>
  <c r="AQ5" i="4"/>
  <c r="BD5" i="4" s="1"/>
  <c r="AP9" i="4"/>
  <c r="AK83" i="4"/>
  <c r="AK59" i="4"/>
  <c r="AK47" i="4"/>
  <c r="AP17" i="4"/>
  <c r="AQ13" i="4"/>
  <c r="BD13" i="4" s="1"/>
  <c r="AK29" i="4"/>
  <c r="AK55" i="4"/>
  <c r="AP5" i="4"/>
  <c r="AP13" i="4"/>
  <c r="AQ29" i="4"/>
  <c r="BD29" i="4" s="1"/>
  <c r="AK75" i="4"/>
  <c r="AK41" i="4"/>
  <c r="AP29" i="4"/>
  <c r="AK71" i="4"/>
  <c r="AQ41" i="4"/>
  <c r="BD41" i="4" s="1"/>
  <c r="AQ47" i="4"/>
  <c r="AQ67" i="4"/>
  <c r="BD67" i="4" s="1"/>
  <c r="AQ63" i="4"/>
  <c r="BD63" i="4" s="1"/>
  <c r="AP41" i="4"/>
  <c r="AK21" i="4"/>
  <c r="AP67" i="4"/>
  <c r="AQ79" i="4"/>
  <c r="BD79" i="4" s="1"/>
  <c r="AP63" i="4"/>
  <c r="AK25" i="4"/>
  <c r="AK33" i="4"/>
  <c r="AK37" i="4"/>
  <c r="AK9" i="4"/>
  <c r="AQ21" i="4"/>
  <c r="BD21" i="4" s="1"/>
  <c r="AK67" i="4"/>
  <c r="AQ83" i="4"/>
  <c r="BD83" i="4" s="1"/>
  <c r="AQ59" i="4"/>
  <c r="BD59" i="4" s="1"/>
  <c r="AP79" i="4"/>
  <c r="AK63" i="4"/>
  <c r="AQ25" i="4"/>
  <c r="BD25" i="4" s="1"/>
  <c r="AK17" i="4"/>
  <c r="AQ33" i="4"/>
  <c r="BD33" i="4" s="1"/>
  <c r="AQ37" i="4"/>
  <c r="BD37" i="4" s="1"/>
  <c r="AK5" i="4"/>
  <c r="AQ9" i="4"/>
  <c r="BD9" i="4" s="1"/>
  <c r="AP21" i="4"/>
  <c r="AP83" i="4"/>
  <c r="AP47" i="4"/>
  <c r="AP59" i="4"/>
  <c r="AK79" i="4"/>
  <c r="W66" i="4"/>
  <c r="W82" i="4"/>
  <c r="BB82" i="4" s="1"/>
  <c r="R74" i="4"/>
  <c r="V78" i="4"/>
  <c r="T86" i="4"/>
  <c r="S62" i="4"/>
  <c r="V66" i="4"/>
  <c r="V82" i="4"/>
  <c r="W74" i="4"/>
  <c r="S86" i="4"/>
  <c r="R62" i="4"/>
  <c r="V74" i="4"/>
  <c r="T62" i="4"/>
  <c r="R86" i="4"/>
  <c r="W62" i="4"/>
  <c r="T70" i="4"/>
  <c r="W86" i="4"/>
  <c r="BB86" i="4" s="1"/>
  <c r="V62" i="4"/>
  <c r="S70" i="4"/>
  <c r="T78" i="4"/>
  <c r="V86" i="4"/>
  <c r="T66" i="4"/>
  <c r="R70" i="4"/>
  <c r="T82" i="4"/>
  <c r="S78" i="4"/>
  <c r="S66" i="4"/>
  <c r="W70" i="4"/>
  <c r="S82" i="4"/>
  <c r="T74" i="4"/>
  <c r="R78" i="4"/>
  <c r="R66" i="4"/>
  <c r="V70" i="4"/>
  <c r="R82" i="4"/>
  <c r="S74" i="4"/>
  <c r="W78" i="4"/>
  <c r="AT253" i="8"/>
  <c r="AT268" i="8"/>
  <c r="BD117" i="8"/>
  <c r="BD330" i="8"/>
  <c r="BD351" i="8"/>
  <c r="BD317" i="8"/>
  <c r="C117" i="8"/>
  <c r="AQ103" i="8"/>
  <c r="AP105" i="8"/>
  <c r="AS75" i="8"/>
  <c r="C47" i="8"/>
  <c r="AQ16" i="8"/>
  <c r="BD17" i="8"/>
  <c r="D15" i="8"/>
  <c r="C15" i="8"/>
  <c r="AE304" i="8"/>
  <c r="AS304" i="8"/>
  <c r="AE6" i="8"/>
  <c r="AS6" i="8"/>
  <c r="AS392" i="4"/>
  <c r="AT288" i="8"/>
  <c r="C267" i="8"/>
  <c r="BD177" i="8"/>
  <c r="D147" i="8"/>
  <c r="AT142" i="8"/>
  <c r="C22" i="7"/>
  <c r="R22" i="7" s="1"/>
  <c r="AE145" i="8"/>
  <c r="AS145" i="8"/>
  <c r="H12" i="8"/>
  <c r="E12" i="8"/>
  <c r="C12" i="8"/>
  <c r="D74" i="8"/>
  <c r="I74" i="8"/>
  <c r="E74" i="8"/>
  <c r="C74" i="8"/>
  <c r="I128" i="8"/>
  <c r="H128" i="8"/>
  <c r="E128" i="8"/>
  <c r="C128" i="8"/>
  <c r="I126" i="8"/>
  <c r="H126" i="8"/>
  <c r="E126" i="8"/>
  <c r="H113" i="8"/>
  <c r="E113" i="8"/>
  <c r="D113" i="8"/>
  <c r="I113" i="8"/>
  <c r="I133" i="8"/>
  <c r="D133" i="8"/>
  <c r="H133" i="8"/>
  <c r="E133" i="8"/>
  <c r="C133" i="8"/>
  <c r="I116" i="8"/>
  <c r="E116" i="8"/>
  <c r="D116" i="8"/>
  <c r="I205" i="8"/>
  <c r="E205" i="8"/>
  <c r="D246" i="8"/>
  <c r="H246" i="8"/>
  <c r="E246" i="8"/>
  <c r="I246" i="8"/>
  <c r="C246" i="8"/>
  <c r="AT134" i="8"/>
  <c r="I202" i="8"/>
  <c r="E202" i="8"/>
  <c r="I218" i="8"/>
  <c r="H218" i="8"/>
  <c r="E218" i="8"/>
  <c r="E178" i="8"/>
  <c r="I178" i="8"/>
  <c r="H178" i="8"/>
  <c r="I214" i="8"/>
  <c r="E214" i="8"/>
  <c r="H214" i="8"/>
  <c r="I152" i="8"/>
  <c r="E152" i="8"/>
  <c r="C152" i="8"/>
  <c r="AT213" i="8"/>
  <c r="AT197" i="8"/>
  <c r="E235" i="8"/>
  <c r="D235" i="8"/>
  <c r="C235" i="8"/>
  <c r="I220" i="8"/>
  <c r="BC220" i="8" s="1"/>
  <c r="D220" i="8"/>
  <c r="H220" i="8"/>
  <c r="AK224" i="8"/>
  <c r="AQ224" i="8"/>
  <c r="AP224" i="8"/>
  <c r="D253" i="8"/>
  <c r="H253" i="8"/>
  <c r="C253" i="8"/>
  <c r="E253" i="8"/>
  <c r="AS219" i="8"/>
  <c r="AE219" i="8"/>
  <c r="AS228" i="8"/>
  <c r="AE228" i="8"/>
  <c r="D254" i="8"/>
  <c r="E254" i="8"/>
  <c r="C254" i="8"/>
  <c r="I254" i="8"/>
  <c r="AQ316" i="8"/>
  <c r="AP316" i="8"/>
  <c r="AK316" i="8"/>
  <c r="I224" i="8"/>
  <c r="H224" i="8"/>
  <c r="E224" i="8"/>
  <c r="C224" i="8"/>
  <c r="AK232" i="8"/>
  <c r="AQ232" i="8"/>
  <c r="BD232" i="8" s="1"/>
  <c r="AP232" i="8"/>
  <c r="C255" i="8"/>
  <c r="E255" i="8"/>
  <c r="H255" i="8"/>
  <c r="AP320" i="8"/>
  <c r="AK320" i="8"/>
  <c r="D252" i="8"/>
  <c r="I252" i="8"/>
  <c r="E252" i="8"/>
  <c r="C252" i="8"/>
  <c r="H318" i="8"/>
  <c r="I318" i="8"/>
  <c r="BD318" i="8" s="1"/>
  <c r="E318" i="8"/>
  <c r="C318" i="8"/>
  <c r="AS346" i="8"/>
  <c r="AE346" i="8"/>
  <c r="AP298" i="8"/>
  <c r="AQ298" i="8"/>
  <c r="D316" i="8"/>
  <c r="H316" i="8"/>
  <c r="E316" i="8"/>
  <c r="C316" i="8"/>
  <c r="I316" i="8"/>
  <c r="AS324" i="8"/>
  <c r="AE324" i="8"/>
  <c r="AT329" i="8"/>
  <c r="I319" i="8"/>
  <c r="H319" i="8"/>
  <c r="E319" i="8"/>
  <c r="D319" i="8"/>
  <c r="I341" i="8"/>
  <c r="BD341" i="8" s="1"/>
  <c r="H341" i="8"/>
  <c r="E341" i="8"/>
  <c r="AT359" i="8"/>
  <c r="I335" i="8"/>
  <c r="H335" i="8"/>
  <c r="E335" i="8"/>
  <c r="D335" i="8"/>
  <c r="AT354" i="8"/>
  <c r="H334" i="8"/>
  <c r="E334" i="8"/>
  <c r="C334" i="8"/>
  <c r="I334" i="8"/>
  <c r="BD334" i="8" s="1"/>
  <c r="AS353" i="8"/>
  <c r="AE353" i="8"/>
  <c r="D324" i="8"/>
  <c r="C324" i="8"/>
  <c r="E324" i="8"/>
  <c r="I324" i="8"/>
  <c r="H324" i="8"/>
  <c r="AK348" i="8"/>
  <c r="AP348" i="8"/>
  <c r="T1" i="6"/>
  <c r="U6" i="6"/>
  <c r="V6" i="6" s="1"/>
  <c r="W6" i="6" s="1"/>
  <c r="X6" i="6" s="1"/>
  <c r="Y6" i="6" s="1"/>
  <c r="Z6" i="6" s="1"/>
  <c r="AA6" i="6" s="1"/>
  <c r="AT395" i="4"/>
  <c r="E380" i="4"/>
  <c r="I380" i="4"/>
  <c r="H380" i="4"/>
  <c r="DS9" i="5"/>
  <c r="DK9" i="5"/>
  <c r="DC9" i="5"/>
  <c r="CU9" i="5"/>
  <c r="CM9" i="5"/>
  <c r="CE9" i="5"/>
  <c r="BW9" i="5"/>
  <c r="BO9" i="5"/>
  <c r="BG9" i="5"/>
  <c r="AY9" i="5"/>
  <c r="AQ9" i="5"/>
  <c r="AI9" i="5"/>
  <c r="AA9" i="5"/>
  <c r="S9" i="5"/>
  <c r="K9" i="5"/>
  <c r="DQ9" i="5"/>
  <c r="DI9" i="5"/>
  <c r="DA9" i="5"/>
  <c r="CS9" i="5"/>
  <c r="CK9" i="5"/>
  <c r="CC9" i="5"/>
  <c r="BU9" i="5"/>
  <c r="BM9" i="5"/>
  <c r="BE9" i="5"/>
  <c r="AW9" i="5"/>
  <c r="AO9" i="5"/>
  <c r="AG9" i="5"/>
  <c r="Y9" i="5"/>
  <c r="Q9" i="5"/>
  <c r="I9" i="5"/>
  <c r="DP9" i="5"/>
  <c r="DH9" i="5"/>
  <c r="CZ9" i="5"/>
  <c r="CR9" i="5"/>
  <c r="CJ9" i="5"/>
  <c r="CB9" i="5"/>
  <c r="BT9" i="5"/>
  <c r="BL9" i="5"/>
  <c r="BD9" i="5"/>
  <c r="AV9" i="5"/>
  <c r="AN9" i="5"/>
  <c r="AF9" i="5"/>
  <c r="X9" i="5"/>
  <c r="P9" i="5"/>
  <c r="H9" i="5"/>
  <c r="DO9" i="5"/>
  <c r="DG9" i="5"/>
  <c r="CY9" i="5"/>
  <c r="CQ9" i="5"/>
  <c r="CI9" i="5"/>
  <c r="CA9" i="5"/>
  <c r="BS9" i="5"/>
  <c r="BK9" i="5"/>
  <c r="BC9" i="5"/>
  <c r="AU9" i="5"/>
  <c r="AM9" i="5"/>
  <c r="AE9" i="5"/>
  <c r="W9" i="5"/>
  <c r="O9" i="5"/>
  <c r="G9" i="5"/>
  <c r="DD9" i="5"/>
  <c r="AR9" i="5"/>
  <c r="AT398" i="4"/>
  <c r="AQ388" i="4"/>
  <c r="AP388" i="4"/>
  <c r="AK388" i="4"/>
  <c r="AK389" i="4"/>
  <c r="AP389" i="4"/>
  <c r="AQ389" i="4"/>
  <c r="AP387" i="4"/>
  <c r="AK387" i="4"/>
  <c r="AQ387" i="4"/>
  <c r="AT374" i="4"/>
  <c r="AT386" i="4"/>
  <c r="S389" i="4"/>
  <c r="W389" i="4"/>
  <c r="V389" i="4"/>
  <c r="T389" i="4"/>
  <c r="R389" i="4"/>
  <c r="BA382" i="4"/>
  <c r="AK385" i="4"/>
  <c r="AP385" i="4"/>
  <c r="AQ385" i="4"/>
  <c r="I389" i="4"/>
  <c r="E389" i="4"/>
  <c r="H389" i="4"/>
  <c r="U381" i="4"/>
  <c r="BA381" i="4"/>
  <c r="AT376" i="4"/>
  <c r="AP356" i="4"/>
  <c r="AQ356" i="4"/>
  <c r="BD356" i="4" s="1"/>
  <c r="AK356" i="4"/>
  <c r="AT380" i="4"/>
  <c r="AP372" i="4"/>
  <c r="AQ372" i="4"/>
  <c r="AK372" i="4"/>
  <c r="AT332" i="4"/>
  <c r="AK362" i="4"/>
  <c r="AP362" i="4"/>
  <c r="AQ362" i="4"/>
  <c r="AE358" i="4"/>
  <c r="AS358" i="4"/>
  <c r="BC336" i="4"/>
  <c r="AS355" i="4"/>
  <c r="AE355" i="4"/>
  <c r="H368" i="4"/>
  <c r="E368" i="4"/>
  <c r="I368" i="4"/>
  <c r="AT339" i="4"/>
  <c r="V331" i="4"/>
  <c r="W331" i="4"/>
  <c r="T331" i="4"/>
  <c r="S331" i="4"/>
  <c r="R331" i="4"/>
  <c r="AT308" i="4"/>
  <c r="AT280" i="4"/>
  <c r="AR280" i="4"/>
  <c r="AP352" i="4"/>
  <c r="AK352" i="4"/>
  <c r="AQ352" i="4"/>
  <c r="BD352" i="4" s="1"/>
  <c r="BA342" i="4"/>
  <c r="U342" i="4"/>
  <c r="BC340" i="4"/>
  <c r="I332" i="4"/>
  <c r="H332" i="4"/>
  <c r="E332" i="4"/>
  <c r="V320" i="4"/>
  <c r="T320" i="4"/>
  <c r="S320" i="4"/>
  <c r="R320" i="4"/>
  <c r="U320" i="4" s="1"/>
  <c r="W320" i="4"/>
  <c r="V312" i="4"/>
  <c r="T312" i="4"/>
  <c r="S312" i="4"/>
  <c r="R312" i="4"/>
  <c r="U312" i="4" s="1"/>
  <c r="W312" i="4"/>
  <c r="AT319" i="4"/>
  <c r="AT303" i="4"/>
  <c r="AQ318" i="4"/>
  <c r="AP318" i="4"/>
  <c r="AK318" i="4"/>
  <c r="AE326" i="4"/>
  <c r="AS326" i="4"/>
  <c r="AR326" i="4"/>
  <c r="BC321" i="4"/>
  <c r="AS294" i="4"/>
  <c r="AE294" i="4"/>
  <c r="BC279" i="4"/>
  <c r="BC330" i="4"/>
  <c r="T282" i="4"/>
  <c r="R282" i="4"/>
  <c r="V282" i="4"/>
  <c r="S282" i="4"/>
  <c r="W282" i="4"/>
  <c r="AT228" i="4"/>
  <c r="R328" i="4"/>
  <c r="W328" i="4"/>
  <c r="V328" i="4"/>
  <c r="T328" i="4"/>
  <c r="S328" i="4"/>
  <c r="BA282" i="4"/>
  <c r="U282" i="4"/>
  <c r="BC288" i="4"/>
  <c r="AQ274" i="4"/>
  <c r="AP274" i="4"/>
  <c r="AK274" i="4"/>
  <c r="AE261" i="4"/>
  <c r="H231" i="4"/>
  <c r="E231" i="4"/>
  <c r="I231" i="4"/>
  <c r="I264" i="4"/>
  <c r="H264" i="4"/>
  <c r="E264" i="4"/>
  <c r="I265" i="4"/>
  <c r="E265" i="4"/>
  <c r="H265" i="4"/>
  <c r="AQ282" i="4"/>
  <c r="AK282" i="4"/>
  <c r="AP282" i="4"/>
  <c r="BD296" i="4"/>
  <c r="AE268" i="4"/>
  <c r="BA258" i="4"/>
  <c r="W250" i="4"/>
  <c r="V250" i="4"/>
  <c r="S250" i="4"/>
  <c r="R250" i="4"/>
  <c r="T250" i="4"/>
  <c r="AP243" i="4"/>
  <c r="AK243" i="4"/>
  <c r="AQ243" i="4"/>
  <c r="BC280" i="4"/>
  <c r="S273" i="4"/>
  <c r="W273" i="4"/>
  <c r="V273" i="4"/>
  <c r="T273" i="4"/>
  <c r="R273" i="4"/>
  <c r="AT269" i="4"/>
  <c r="V259" i="4"/>
  <c r="T259" i="4"/>
  <c r="T251" i="4"/>
  <c r="V251" i="4"/>
  <c r="V243" i="4"/>
  <c r="T243" i="4"/>
  <c r="U235" i="4"/>
  <c r="BA235" i="4"/>
  <c r="AT229" i="4"/>
  <c r="BC308" i="4"/>
  <c r="AS269" i="4"/>
  <c r="AE269" i="4"/>
  <c r="W259" i="4"/>
  <c r="AK237" i="4"/>
  <c r="AP237" i="4"/>
  <c r="AQ237" i="4"/>
  <c r="BD237" i="4" s="1"/>
  <c r="AQ248" i="4"/>
  <c r="AP248" i="4"/>
  <c r="AK248" i="4"/>
  <c r="AK217" i="4"/>
  <c r="AP217" i="4"/>
  <c r="AQ217" i="4"/>
  <c r="BD217" i="4" s="1"/>
  <c r="I209" i="4"/>
  <c r="E209" i="4"/>
  <c r="H209" i="4"/>
  <c r="S201" i="4"/>
  <c r="W201" i="4"/>
  <c r="V201" i="4"/>
  <c r="T201" i="4"/>
  <c r="R201" i="4"/>
  <c r="U201" i="4" s="1"/>
  <c r="AE263" i="4"/>
  <c r="AS263" i="4"/>
  <c r="BA256" i="4"/>
  <c r="AS197" i="4"/>
  <c r="AE197" i="4"/>
  <c r="AT174" i="4"/>
  <c r="I257" i="4"/>
  <c r="E257" i="4"/>
  <c r="H257" i="4"/>
  <c r="AR224" i="4"/>
  <c r="AT213" i="4"/>
  <c r="E199" i="4"/>
  <c r="H199" i="4"/>
  <c r="I199" i="4"/>
  <c r="W182" i="4"/>
  <c r="V182" i="4"/>
  <c r="T182" i="4"/>
  <c r="S182" i="4"/>
  <c r="R182" i="4"/>
  <c r="BC227" i="4"/>
  <c r="S213" i="4"/>
  <c r="W213" i="4"/>
  <c r="V213" i="4"/>
  <c r="T213" i="4"/>
  <c r="R213" i="4"/>
  <c r="U213" i="4" s="1"/>
  <c r="AT193" i="4"/>
  <c r="AT177" i="4"/>
  <c r="AK266" i="4"/>
  <c r="AQ266" i="4"/>
  <c r="AP266" i="4"/>
  <c r="T202" i="4"/>
  <c r="W202" i="4"/>
  <c r="V202" i="4"/>
  <c r="S202" i="4"/>
  <c r="R202" i="4"/>
  <c r="AK192" i="4"/>
  <c r="AQ192" i="4"/>
  <c r="BD192" i="4" s="1"/>
  <c r="AP192" i="4"/>
  <c r="AK188" i="4"/>
  <c r="AQ188" i="4"/>
  <c r="BD188" i="4" s="1"/>
  <c r="AP188" i="4"/>
  <c r="AK184" i="4"/>
  <c r="AQ184" i="4"/>
  <c r="BD184" i="4" s="1"/>
  <c r="AP184" i="4"/>
  <c r="AK180" i="4"/>
  <c r="AQ180" i="4"/>
  <c r="BD180" i="4" s="1"/>
  <c r="AP180" i="4"/>
  <c r="AK176" i="4"/>
  <c r="AQ176" i="4"/>
  <c r="AP176" i="4"/>
  <c r="AK172" i="4"/>
  <c r="AQ172" i="4"/>
  <c r="BD172" i="4" s="1"/>
  <c r="AP172" i="4"/>
  <c r="AK160" i="4"/>
  <c r="AQ160" i="4"/>
  <c r="BD160" i="4" s="1"/>
  <c r="AP160" i="4"/>
  <c r="AT218" i="4"/>
  <c r="S209" i="4"/>
  <c r="W209" i="4"/>
  <c r="V209" i="4"/>
  <c r="T209" i="4"/>
  <c r="R209" i="4"/>
  <c r="U209" i="4" s="1"/>
  <c r="AT197" i="4"/>
  <c r="BA225" i="4"/>
  <c r="E215" i="4"/>
  <c r="I215" i="4"/>
  <c r="H215" i="4"/>
  <c r="AT199" i="4"/>
  <c r="E194" i="4"/>
  <c r="I194" i="4"/>
  <c r="H194" i="4"/>
  <c r="AK187" i="4"/>
  <c r="AQ187" i="4"/>
  <c r="AP187" i="4"/>
  <c r="U182" i="4"/>
  <c r="BA182" i="4"/>
  <c r="T210" i="4"/>
  <c r="S210" i="4"/>
  <c r="W210" i="4"/>
  <c r="V210" i="4"/>
  <c r="R210" i="4"/>
  <c r="W169" i="4"/>
  <c r="V169" i="4"/>
  <c r="T169" i="4"/>
  <c r="S169" i="4"/>
  <c r="R169" i="4"/>
  <c r="AT161" i="4"/>
  <c r="BD196" i="4"/>
  <c r="AE187" i="4"/>
  <c r="AS187" i="4"/>
  <c r="AQ148" i="4"/>
  <c r="AP148" i="4"/>
  <c r="AK148" i="4"/>
  <c r="AE171" i="4"/>
  <c r="AT132" i="4"/>
  <c r="AK161" i="4"/>
  <c r="AQ161" i="4"/>
  <c r="AP161" i="4"/>
  <c r="W148" i="4"/>
  <c r="V148" i="4"/>
  <c r="T148" i="4"/>
  <c r="S148" i="4"/>
  <c r="R148" i="4"/>
  <c r="AE175" i="4"/>
  <c r="AT135" i="4"/>
  <c r="AT111" i="4"/>
  <c r="R139" i="4"/>
  <c r="U139" i="4" s="1"/>
  <c r="W139" i="4"/>
  <c r="V139" i="4"/>
  <c r="T139" i="4"/>
  <c r="S139" i="4"/>
  <c r="I129" i="4"/>
  <c r="H129" i="4"/>
  <c r="E129" i="4"/>
  <c r="R123" i="4"/>
  <c r="U123" i="4" s="1"/>
  <c r="W123" i="4"/>
  <c r="V123" i="4"/>
  <c r="T123" i="4"/>
  <c r="S123" i="4"/>
  <c r="W115" i="4"/>
  <c r="V115" i="4"/>
  <c r="T115" i="4"/>
  <c r="S115" i="4"/>
  <c r="R115" i="4"/>
  <c r="U115" i="4" s="1"/>
  <c r="BA155" i="4"/>
  <c r="AE195" i="4"/>
  <c r="AK137" i="4"/>
  <c r="AQ137" i="4"/>
  <c r="AP137" i="4"/>
  <c r="AE133" i="4"/>
  <c r="AS133" i="4"/>
  <c r="E124" i="4"/>
  <c r="I124" i="4"/>
  <c r="H124" i="4"/>
  <c r="AK117" i="4"/>
  <c r="AQ117" i="4"/>
  <c r="AP117" i="4"/>
  <c r="E116" i="4"/>
  <c r="I116" i="4"/>
  <c r="H116" i="4"/>
  <c r="T100" i="4"/>
  <c r="W100" i="4"/>
  <c r="V100" i="4"/>
  <c r="S100" i="4"/>
  <c r="R100" i="4"/>
  <c r="U100" i="4" s="1"/>
  <c r="H87" i="4"/>
  <c r="E87" i="4"/>
  <c r="I87" i="4"/>
  <c r="H71" i="4"/>
  <c r="E71" i="4"/>
  <c r="I71" i="4"/>
  <c r="AT129" i="4"/>
  <c r="H105" i="4"/>
  <c r="E105" i="4"/>
  <c r="I105" i="4"/>
  <c r="W80" i="4"/>
  <c r="BB80" i="4" s="1"/>
  <c r="V80" i="4"/>
  <c r="T80" i="4"/>
  <c r="S80" i="4"/>
  <c r="R80" i="4"/>
  <c r="U80" i="4" s="1"/>
  <c r="AS150" i="4"/>
  <c r="AR150" i="4" s="1"/>
  <c r="AE150" i="4"/>
  <c r="AT107" i="4"/>
  <c r="D87" i="4"/>
  <c r="AT63" i="4"/>
  <c r="BA120" i="4"/>
  <c r="R95" i="4"/>
  <c r="U95" i="4" s="1"/>
  <c r="W95" i="4"/>
  <c r="V95" i="4"/>
  <c r="T95" i="4"/>
  <c r="S95" i="4"/>
  <c r="C63" i="4"/>
  <c r="T108" i="4"/>
  <c r="S108" i="4"/>
  <c r="W108" i="4"/>
  <c r="V108" i="4"/>
  <c r="R108" i="4"/>
  <c r="BA88" i="4"/>
  <c r="E64" i="4"/>
  <c r="I64" i="4"/>
  <c r="H64" i="4"/>
  <c r="I66" i="4"/>
  <c r="V28" i="4"/>
  <c r="T28" i="4"/>
  <c r="S28" i="4"/>
  <c r="R28" i="4"/>
  <c r="W28" i="4"/>
  <c r="H22" i="4"/>
  <c r="E22" i="4"/>
  <c r="C22" i="4"/>
  <c r="I22" i="4"/>
  <c r="AQ15" i="4"/>
  <c r="BD15" i="4" s="1"/>
  <c r="AP15" i="4"/>
  <c r="AK15" i="4"/>
  <c r="V55" i="4"/>
  <c r="S55" i="4"/>
  <c r="T55" i="4"/>
  <c r="R55" i="4"/>
  <c r="W55" i="4"/>
  <c r="BB55" i="4" s="1"/>
  <c r="AK46" i="4"/>
  <c r="AQ46" i="4"/>
  <c r="AP46" i="4"/>
  <c r="D21" i="3" s="1"/>
  <c r="S54" i="4"/>
  <c r="W54" i="4"/>
  <c r="BB54" i="4" s="1"/>
  <c r="V54" i="4"/>
  <c r="T54" i="4"/>
  <c r="R54" i="4"/>
  <c r="AK43" i="4"/>
  <c r="AQ34" i="4"/>
  <c r="BD34" i="4" s="1"/>
  <c r="AP34" i="4"/>
  <c r="AK34" i="4"/>
  <c r="AQ26" i="4"/>
  <c r="BD26" i="4" s="1"/>
  <c r="AP26" i="4"/>
  <c r="AK26" i="4"/>
  <c r="AQ18" i="4"/>
  <c r="BD18" i="4" s="1"/>
  <c r="AP18" i="4"/>
  <c r="AK18" i="4"/>
  <c r="AK10" i="4"/>
  <c r="AT34" i="4"/>
  <c r="AT18" i="4"/>
  <c r="I46" i="4"/>
  <c r="AT56" i="4"/>
  <c r="AP52" i="4"/>
  <c r="AK52" i="4"/>
  <c r="AQ52" i="4"/>
  <c r="BD52" i="4" s="1"/>
  <c r="AP49" i="4"/>
  <c r="AK49" i="4"/>
  <c r="AQ49" i="4"/>
  <c r="BD49" i="4" s="1"/>
  <c r="AT25" i="4"/>
  <c r="D13" i="4"/>
  <c r="W13" i="4" s="1"/>
  <c r="AT5" i="4"/>
  <c r="C73" i="4"/>
  <c r="AT45" i="4"/>
  <c r="AK28" i="4"/>
  <c r="AQ28" i="4"/>
  <c r="BD28" i="4" s="1"/>
  <c r="AP28" i="4"/>
  <c r="E19" i="4"/>
  <c r="D19" i="4"/>
  <c r="C19" i="4"/>
  <c r="I19" i="4"/>
  <c r="H19" i="4"/>
  <c r="C5" i="4"/>
  <c r="I28" i="4"/>
  <c r="CL11" i="1"/>
  <c r="Z11" i="1"/>
  <c r="CS11" i="1"/>
  <c r="AG11" i="1"/>
  <c r="CB8" i="1"/>
  <c r="P8" i="1"/>
  <c r="CB11" i="1"/>
  <c r="P11" i="1"/>
  <c r="DO9" i="1"/>
  <c r="DG9" i="1"/>
  <c r="CY9" i="1"/>
  <c r="CQ9" i="1"/>
  <c r="CI9" i="1"/>
  <c r="CA9" i="1"/>
  <c r="BS9" i="1"/>
  <c r="BK9" i="1"/>
  <c r="BC9" i="1"/>
  <c r="AU9" i="1"/>
  <c r="AM9" i="1"/>
  <c r="AE9" i="1"/>
  <c r="W9" i="1"/>
  <c r="O9" i="1"/>
  <c r="G9" i="1"/>
  <c r="C10" i="1"/>
  <c r="BK8" i="1"/>
  <c r="DN8" i="1"/>
  <c r="BB8" i="1"/>
  <c r="DM9" i="6"/>
  <c r="DE9" i="6"/>
  <c r="CW9" i="6"/>
  <c r="CO9" i="6"/>
  <c r="CG9" i="6"/>
  <c r="BY9" i="6"/>
  <c r="BI9" i="6"/>
  <c r="BA9" i="6"/>
  <c r="AS9" i="6"/>
  <c r="AK9" i="6"/>
  <c r="AC9" i="6"/>
  <c r="U9" i="6"/>
  <c r="M9" i="6"/>
  <c r="E9" i="6"/>
  <c r="C10" i="6" s="1"/>
  <c r="DT9" i="6"/>
  <c r="DL9" i="6"/>
  <c r="DD9" i="6"/>
  <c r="CV9" i="6"/>
  <c r="CN9" i="6"/>
  <c r="CF9" i="6"/>
  <c r="BX9" i="6"/>
  <c r="BP9" i="6"/>
  <c r="BH9" i="6"/>
  <c r="AZ9" i="6"/>
  <c r="AR9" i="6"/>
  <c r="AJ9" i="6"/>
  <c r="AB9" i="6"/>
  <c r="T9" i="6"/>
  <c r="L9" i="6"/>
  <c r="DS9" i="6"/>
  <c r="DK9" i="6"/>
  <c r="DC9" i="6"/>
  <c r="CU9" i="6"/>
  <c r="CM9" i="6"/>
  <c r="CE9" i="6"/>
  <c r="BW9" i="6"/>
  <c r="BO9" i="6"/>
  <c r="BG9" i="6"/>
  <c r="AY9" i="6"/>
  <c r="AQ9" i="6"/>
  <c r="AI9" i="6"/>
  <c r="AA9" i="6"/>
  <c r="S9" i="6"/>
  <c r="K9" i="6"/>
  <c r="DR9" i="6"/>
  <c r="DJ9" i="6"/>
  <c r="DB9" i="6"/>
  <c r="CT9" i="6"/>
  <c r="CL9" i="6"/>
  <c r="CD9" i="6"/>
  <c r="BV9" i="6"/>
  <c r="BN9" i="6"/>
  <c r="BF9" i="6"/>
  <c r="AX9" i="6"/>
  <c r="AP9" i="6"/>
  <c r="AH9" i="6"/>
  <c r="Z9" i="6"/>
  <c r="R9" i="6"/>
  <c r="J9" i="6"/>
  <c r="DQ9" i="6"/>
  <c r="DI9" i="6"/>
  <c r="DA9" i="6"/>
  <c r="CS9" i="6"/>
  <c r="CK9" i="6"/>
  <c r="CC9" i="6"/>
  <c r="BU9" i="6"/>
  <c r="BM9" i="6"/>
  <c r="BE9" i="6"/>
  <c r="AW9" i="6"/>
  <c r="AO9" i="6"/>
  <c r="AG9" i="6"/>
  <c r="Y9" i="6"/>
  <c r="Q9" i="6"/>
  <c r="I9" i="6"/>
  <c r="DP9" i="6"/>
  <c r="DH9" i="6"/>
  <c r="CZ9" i="6"/>
  <c r="CR9" i="6"/>
  <c r="CJ9" i="6"/>
  <c r="CB9" i="6"/>
  <c r="BT9" i="6"/>
  <c r="BL9" i="6"/>
  <c r="BD9" i="6"/>
  <c r="AV9" i="6"/>
  <c r="AN9" i="6"/>
  <c r="AF9" i="6"/>
  <c r="X9" i="6"/>
  <c r="P9" i="6"/>
  <c r="H9" i="6"/>
  <c r="DO9" i="6"/>
  <c r="DG9" i="6"/>
  <c r="CY9" i="6"/>
  <c r="CQ9" i="6"/>
  <c r="CI9" i="6"/>
  <c r="CA9" i="6"/>
  <c r="BS9" i="6"/>
  <c r="BK9" i="6"/>
  <c r="BC9" i="6"/>
  <c r="AU9" i="6"/>
  <c r="AM9" i="6"/>
  <c r="AE9" i="6"/>
  <c r="W9" i="6"/>
  <c r="O9" i="6"/>
  <c r="G9" i="6"/>
  <c r="DF9" i="6"/>
  <c r="AT9" i="6"/>
  <c r="CX9" i="6"/>
  <c r="AL9" i="6"/>
  <c r="CP9" i="6"/>
  <c r="AD9" i="6"/>
  <c r="CH9" i="6"/>
  <c r="V9" i="6"/>
  <c r="BZ9" i="6"/>
  <c r="N9" i="6"/>
  <c r="BR9" i="6"/>
  <c r="F9" i="6"/>
  <c r="BJ9" i="6"/>
  <c r="DN9" i="6"/>
  <c r="BB9" i="6"/>
  <c r="DB9" i="5"/>
  <c r="AP9" i="5"/>
  <c r="H394" i="4"/>
  <c r="I394" i="4"/>
  <c r="BC394" i="4" s="1"/>
  <c r="E394" i="4"/>
  <c r="DN9" i="5"/>
  <c r="BB9" i="5"/>
  <c r="I400" i="4"/>
  <c r="H400" i="4"/>
  <c r="E400" i="4"/>
  <c r="R394" i="4"/>
  <c r="U394" i="4" s="1"/>
  <c r="T394" i="4"/>
  <c r="S394" i="4"/>
  <c r="W394" i="4"/>
  <c r="V394" i="4"/>
  <c r="U380" i="4"/>
  <c r="BA380" i="4"/>
  <c r="BI9" i="5"/>
  <c r="CV9" i="5"/>
  <c r="AJ9" i="5"/>
  <c r="AQ384" i="4"/>
  <c r="AP384" i="4"/>
  <c r="AK384" i="4"/>
  <c r="S385" i="4"/>
  <c r="W385" i="4"/>
  <c r="V385" i="4"/>
  <c r="T385" i="4"/>
  <c r="R385" i="4"/>
  <c r="U385" i="4" s="1"/>
  <c r="AK386" i="4"/>
  <c r="AQ386" i="4"/>
  <c r="AP386" i="4"/>
  <c r="I385" i="4"/>
  <c r="E385" i="4"/>
  <c r="H385" i="4"/>
  <c r="AP379" i="4"/>
  <c r="AK379" i="4"/>
  <c r="AQ379" i="4"/>
  <c r="T390" i="4"/>
  <c r="S390" i="4"/>
  <c r="W390" i="4"/>
  <c r="V390" i="4"/>
  <c r="R390" i="4"/>
  <c r="U390" i="4" s="1"/>
  <c r="W379" i="4"/>
  <c r="S379" i="4"/>
  <c r="R379" i="4"/>
  <c r="U379" i="4" s="1"/>
  <c r="V379" i="4"/>
  <c r="T379" i="4"/>
  <c r="E391" i="4"/>
  <c r="I391" i="4"/>
  <c r="H391" i="4"/>
  <c r="AT387" i="4"/>
  <c r="I378" i="4"/>
  <c r="H378" i="4"/>
  <c r="E378" i="4"/>
  <c r="S381" i="4"/>
  <c r="W381" i="4"/>
  <c r="V381" i="4"/>
  <c r="T381" i="4"/>
  <c r="R381" i="4"/>
  <c r="AR355" i="4"/>
  <c r="AT355" i="4"/>
  <c r="V383" i="4"/>
  <c r="AP376" i="4"/>
  <c r="AQ376" i="4"/>
  <c r="AK376" i="4"/>
  <c r="AS373" i="4"/>
  <c r="AR373" i="4" s="1"/>
  <c r="AU373" i="4" s="1"/>
  <c r="AV373" i="4" s="1"/>
  <c r="AW373" i="4" s="1"/>
  <c r="AE373" i="4"/>
  <c r="BC378" i="4"/>
  <c r="AS360" i="4"/>
  <c r="AE360" i="4"/>
  <c r="H372" i="4"/>
  <c r="E372" i="4"/>
  <c r="I372" i="4"/>
  <c r="T376" i="4"/>
  <c r="R376" i="4"/>
  <c r="U376" i="4" s="1"/>
  <c r="W376" i="4"/>
  <c r="V376" i="4"/>
  <c r="S376" i="4"/>
  <c r="AK350" i="4"/>
  <c r="AQ350" i="4"/>
  <c r="BD350" i="4" s="1"/>
  <c r="AP350" i="4"/>
  <c r="AK347" i="4"/>
  <c r="AQ347" i="4"/>
  <c r="AP347" i="4"/>
  <c r="I370" i="4"/>
  <c r="H370" i="4"/>
  <c r="E370" i="4"/>
  <c r="AT343" i="4"/>
  <c r="AK331" i="4"/>
  <c r="AQ331" i="4"/>
  <c r="AP331" i="4"/>
  <c r="AK319" i="4"/>
  <c r="AQ319" i="4"/>
  <c r="BD319" i="4" s="1"/>
  <c r="AP319" i="4"/>
  <c r="R372" i="4"/>
  <c r="W372" i="4"/>
  <c r="T372" i="4"/>
  <c r="V372" i="4"/>
  <c r="S372" i="4"/>
  <c r="AT348" i="4"/>
  <c r="W342" i="4"/>
  <c r="AE335" i="4"/>
  <c r="AS335" i="4"/>
  <c r="AR335" i="4" s="1"/>
  <c r="AE332" i="4"/>
  <c r="AS332" i="4"/>
  <c r="AR332" i="4" s="1"/>
  <c r="AU332" i="4" s="1"/>
  <c r="AV332" i="4" s="1"/>
  <c r="AW332" i="4" s="1"/>
  <c r="AT327" i="4"/>
  <c r="AE318" i="4"/>
  <c r="AS318" i="4"/>
  <c r="AE322" i="4"/>
  <c r="AS322" i="4"/>
  <c r="AR290" i="4"/>
  <c r="AT290" i="4"/>
  <c r="AT285" i="4"/>
  <c r="AR285" i="4"/>
  <c r="AS281" i="4"/>
  <c r="AE281" i="4"/>
  <c r="AS279" i="4"/>
  <c r="AE279" i="4"/>
  <c r="H328" i="4"/>
  <c r="E328" i="4"/>
  <c r="I328" i="4"/>
  <c r="BC329" i="4"/>
  <c r="AT329" i="4"/>
  <c r="BC311" i="4"/>
  <c r="E272" i="4"/>
  <c r="I272" i="4"/>
  <c r="H272" i="4"/>
  <c r="AE321" i="4"/>
  <c r="AS321" i="4"/>
  <c r="AR321" i="4" s="1"/>
  <c r="AU321" i="4" s="1"/>
  <c r="AV321" i="4" s="1"/>
  <c r="AW321" i="4" s="1"/>
  <c r="AS317" i="4"/>
  <c r="AR317" i="4" s="1"/>
  <c r="AU317" i="4" s="1"/>
  <c r="AV317" i="4" s="1"/>
  <c r="AW317" i="4" s="1"/>
  <c r="AE317" i="4"/>
  <c r="BD288" i="4"/>
  <c r="E259" i="4"/>
  <c r="I259" i="4"/>
  <c r="H259" i="4"/>
  <c r="E243" i="4"/>
  <c r="I243" i="4"/>
  <c r="H243" i="4"/>
  <c r="I273" i="4"/>
  <c r="E273" i="4"/>
  <c r="H273" i="4"/>
  <c r="S261" i="4"/>
  <c r="AP239" i="4"/>
  <c r="AK239" i="4"/>
  <c r="AQ239" i="4"/>
  <c r="BD239" i="4" s="1"/>
  <c r="BC284" i="4"/>
  <c r="AT271" i="4"/>
  <c r="BA264" i="4"/>
  <c r="AS257" i="4"/>
  <c r="AE257" i="4"/>
  <c r="U250" i="4"/>
  <c r="BA250" i="4"/>
  <c r="W242" i="4"/>
  <c r="V242" i="4"/>
  <c r="T242" i="4"/>
  <c r="S242" i="4"/>
  <c r="R242" i="4"/>
  <c r="AP235" i="4"/>
  <c r="AK235" i="4"/>
  <c r="AQ235" i="4"/>
  <c r="AT272" i="4"/>
  <c r="AK269" i="4"/>
  <c r="AP269" i="4"/>
  <c r="AQ269" i="4"/>
  <c r="AQ262" i="4"/>
  <c r="AP262" i="4"/>
  <c r="AK262" i="4"/>
  <c r="BD308" i="4"/>
  <c r="AK245" i="4"/>
  <c r="AP245" i="4"/>
  <c r="AQ245" i="4"/>
  <c r="BD245" i="4" s="1"/>
  <c r="AT231" i="4"/>
  <c r="I248" i="4"/>
  <c r="H248" i="4"/>
  <c r="E248" i="4"/>
  <c r="E211" i="4"/>
  <c r="I211" i="4"/>
  <c r="H211" i="4"/>
  <c r="BC200" i="4"/>
  <c r="E193" i="4"/>
  <c r="I193" i="4"/>
  <c r="H193" i="4"/>
  <c r="T256" i="4"/>
  <c r="S256" i="4"/>
  <c r="W256" i="4"/>
  <c r="V256" i="4"/>
  <c r="R256" i="4"/>
  <c r="U256" i="4" s="1"/>
  <c r="AT194" i="4"/>
  <c r="AK213" i="4"/>
  <c r="AP213" i="4"/>
  <c r="AQ213" i="4"/>
  <c r="AQ181" i="4"/>
  <c r="AP181" i="4"/>
  <c r="AK181" i="4"/>
  <c r="BC234" i="4"/>
  <c r="BC230" i="4"/>
  <c r="AQ225" i="4"/>
  <c r="AP225" i="4"/>
  <c r="AK225" i="4"/>
  <c r="AQ219" i="4"/>
  <c r="AP219" i="4"/>
  <c r="AK219" i="4"/>
  <c r="BA209" i="4"/>
  <c r="AT207" i="4"/>
  <c r="U202" i="4"/>
  <c r="BA202" i="4"/>
  <c r="H167" i="4"/>
  <c r="E167" i="4"/>
  <c r="I167" i="4"/>
  <c r="AK156" i="4"/>
  <c r="AQ156" i="4"/>
  <c r="BD156" i="4" s="1"/>
  <c r="AP156" i="4"/>
  <c r="AT256" i="4"/>
  <c r="BC223" i="4"/>
  <c r="T199" i="4"/>
  <c r="AS199" i="4" s="1"/>
  <c r="U194" i="4"/>
  <c r="BA194" i="4"/>
  <c r="E174" i="4"/>
  <c r="I174" i="4"/>
  <c r="BD174" i="4" s="1"/>
  <c r="H174" i="4"/>
  <c r="V225" i="4"/>
  <c r="S225" i="4"/>
  <c r="R225" i="4"/>
  <c r="U225" i="4" s="1"/>
  <c r="W225" i="4"/>
  <c r="T225" i="4"/>
  <c r="U210" i="4"/>
  <c r="BA210" i="4"/>
  <c r="AP199" i="4"/>
  <c r="AK199" i="4"/>
  <c r="AQ199" i="4"/>
  <c r="BD199" i="4" s="1"/>
  <c r="AT206" i="4"/>
  <c r="E161" i="4"/>
  <c r="I161" i="4"/>
  <c r="H161" i="4"/>
  <c r="V157" i="4"/>
  <c r="R157" i="4"/>
  <c r="W157" i="4"/>
  <c r="T157" i="4"/>
  <c r="S157" i="4"/>
  <c r="AQ144" i="4"/>
  <c r="AP144" i="4"/>
  <c r="AK144" i="4"/>
  <c r="AS188" i="4"/>
  <c r="AE188" i="4"/>
  <c r="AT144" i="4"/>
  <c r="AS184" i="4"/>
  <c r="AE184" i="4"/>
  <c r="AE160" i="4"/>
  <c r="AS160" i="4"/>
  <c r="AQ147" i="4"/>
  <c r="BD147" i="4" s="1"/>
  <c r="AP147" i="4"/>
  <c r="AK147" i="4"/>
  <c r="AQ115" i="4"/>
  <c r="BD115" i="4" s="1"/>
  <c r="AP115" i="4"/>
  <c r="AK115" i="4"/>
  <c r="AP158" i="4"/>
  <c r="AK158" i="4"/>
  <c r="AQ158" i="4"/>
  <c r="BD158" i="4" s="1"/>
  <c r="AP154" i="4"/>
  <c r="AK154" i="4"/>
  <c r="AQ154" i="4"/>
  <c r="BD154" i="4" s="1"/>
  <c r="E169" i="4"/>
  <c r="I169" i="4"/>
  <c r="H169" i="4"/>
  <c r="AS156" i="4"/>
  <c r="AE156" i="4"/>
  <c r="I145" i="4"/>
  <c r="H145" i="4"/>
  <c r="E145" i="4"/>
  <c r="AS138" i="4"/>
  <c r="AE138" i="4"/>
  <c r="R155" i="4"/>
  <c r="U155" i="4" s="1"/>
  <c r="W155" i="4"/>
  <c r="V155" i="4"/>
  <c r="T155" i="4"/>
  <c r="S155" i="4"/>
  <c r="BA165" i="4"/>
  <c r="AK145" i="4"/>
  <c r="AQ145" i="4"/>
  <c r="AP145" i="4"/>
  <c r="AK141" i="4"/>
  <c r="AQ141" i="4"/>
  <c r="AP141" i="4"/>
  <c r="AE137" i="4"/>
  <c r="AS137" i="4"/>
  <c r="E128" i="4"/>
  <c r="I128" i="4"/>
  <c r="H128" i="4"/>
  <c r="U124" i="4"/>
  <c r="BA124" i="4"/>
  <c r="AE117" i="4"/>
  <c r="AS117" i="4"/>
  <c r="BA112" i="4"/>
  <c r="AQ84" i="4"/>
  <c r="BD84" i="4" s="1"/>
  <c r="AP84" i="4"/>
  <c r="AK84" i="4"/>
  <c r="AQ68" i="4"/>
  <c r="BD68" i="4" s="1"/>
  <c r="AP68" i="4"/>
  <c r="AK68" i="4"/>
  <c r="W96" i="4"/>
  <c r="V96" i="4"/>
  <c r="T96" i="4"/>
  <c r="S96" i="4"/>
  <c r="R96" i="4"/>
  <c r="W88" i="4"/>
  <c r="V88" i="4"/>
  <c r="T88" i="4"/>
  <c r="S88" i="4"/>
  <c r="R88" i="4"/>
  <c r="U88" i="4" s="1"/>
  <c r="W68" i="4"/>
  <c r="V68" i="4"/>
  <c r="T68" i="4"/>
  <c r="S68" i="4"/>
  <c r="R68" i="4"/>
  <c r="I108" i="4"/>
  <c r="H108" i="4"/>
  <c r="E108" i="4"/>
  <c r="AP107" i="4"/>
  <c r="AK107" i="4"/>
  <c r="AQ107" i="4"/>
  <c r="BD107" i="4" s="1"/>
  <c r="AT91" i="4"/>
  <c r="W120" i="4"/>
  <c r="V120" i="4"/>
  <c r="T120" i="4"/>
  <c r="S120" i="4"/>
  <c r="R120" i="4"/>
  <c r="U120" i="4" s="1"/>
  <c r="AT112" i="4"/>
  <c r="AK104" i="4"/>
  <c r="AQ104" i="4"/>
  <c r="AP104" i="4"/>
  <c r="AK94" i="4"/>
  <c r="AQ94" i="4"/>
  <c r="AP94" i="4"/>
  <c r="R91" i="4"/>
  <c r="U91" i="4" s="1"/>
  <c r="W91" i="4"/>
  <c r="V91" i="4"/>
  <c r="T91" i="4"/>
  <c r="S91" i="4"/>
  <c r="C87" i="4"/>
  <c r="C75" i="4"/>
  <c r="C71" i="4"/>
  <c r="AK62" i="4"/>
  <c r="AK54" i="4"/>
  <c r="AQ54" i="4"/>
  <c r="BD54" i="4" s="1"/>
  <c r="AP54" i="4"/>
  <c r="AT150" i="4"/>
  <c r="AT104" i="4"/>
  <c r="AT99" i="4"/>
  <c r="AP97" i="4"/>
  <c r="AQ97" i="4"/>
  <c r="AK97" i="4"/>
  <c r="E92" i="4"/>
  <c r="I92" i="4"/>
  <c r="H92" i="4"/>
  <c r="AK81" i="4"/>
  <c r="AQ81" i="4"/>
  <c r="BD81" i="4" s="1"/>
  <c r="AP81" i="4"/>
  <c r="E76" i="4"/>
  <c r="I76" i="4"/>
  <c r="AK65" i="4"/>
  <c r="AQ65" i="4"/>
  <c r="BD65" i="4" s="1"/>
  <c r="AP65" i="4"/>
  <c r="W52" i="4"/>
  <c r="BB52" i="4" s="1"/>
  <c r="T52" i="4"/>
  <c r="S52" i="4"/>
  <c r="R52" i="4"/>
  <c r="V52" i="4"/>
  <c r="E45" i="4"/>
  <c r="D45" i="4"/>
  <c r="I45" i="4"/>
  <c r="H45" i="4"/>
  <c r="V40" i="4"/>
  <c r="T40" i="4"/>
  <c r="S40" i="4"/>
  <c r="R40" i="4"/>
  <c r="W40" i="4"/>
  <c r="H34" i="4"/>
  <c r="E34" i="4"/>
  <c r="C34" i="4"/>
  <c r="I34" i="4"/>
  <c r="AQ27" i="4"/>
  <c r="BD27" i="4" s="1"/>
  <c r="AP27" i="4"/>
  <c r="AK27" i="4"/>
  <c r="V8" i="4"/>
  <c r="T8" i="4"/>
  <c r="S8" i="4"/>
  <c r="R8" i="4"/>
  <c r="W8" i="4"/>
  <c r="E58" i="4"/>
  <c r="E54" i="4"/>
  <c r="AE97" i="4"/>
  <c r="D34" i="4"/>
  <c r="AP56" i="4"/>
  <c r="AK56" i="4"/>
  <c r="AQ56" i="4"/>
  <c r="BD56" i="4" s="1"/>
  <c r="E49" i="4"/>
  <c r="I49" i="4"/>
  <c r="AT37" i="4"/>
  <c r="H72" i="4"/>
  <c r="E57" i="4"/>
  <c r="D57" i="4"/>
  <c r="W57" i="4" s="1"/>
  <c r="I57" i="4"/>
  <c r="AK51" i="4"/>
  <c r="AQ51" i="4"/>
  <c r="BD51" i="4" s="1"/>
  <c r="E39" i="4"/>
  <c r="D39" i="4"/>
  <c r="C39" i="4"/>
  <c r="I39" i="4"/>
  <c r="H39" i="4"/>
  <c r="E28" i="4"/>
  <c r="E23" i="4"/>
  <c r="D23" i="4"/>
  <c r="C23" i="4"/>
  <c r="I23" i="4"/>
  <c r="H23" i="4"/>
  <c r="AT7" i="4"/>
  <c r="C6" i="4"/>
  <c r="H10" i="4"/>
  <c r="CO8" i="1"/>
  <c r="AC8" i="1"/>
  <c r="CK8" i="1"/>
  <c r="Y8" i="1"/>
  <c r="BP8" i="1"/>
  <c r="DL11" i="1"/>
  <c r="AZ11" i="1"/>
  <c r="CU8" i="1"/>
  <c r="AI8" i="1"/>
  <c r="BO11" i="1"/>
  <c r="DJ8" i="1"/>
  <c r="AX8" i="1"/>
  <c r="CD11" i="1"/>
  <c r="R11" i="1"/>
  <c r="CK11" i="1"/>
  <c r="Y11" i="1"/>
  <c r="BZ9" i="1"/>
  <c r="N9" i="1"/>
  <c r="BT8" i="1"/>
  <c r="H8" i="1"/>
  <c r="BT11" i="1"/>
  <c r="BI9" i="1"/>
  <c r="DO8" i="1"/>
  <c r="BC8" i="1"/>
  <c r="DF8" i="1"/>
  <c r="AT8" i="1"/>
  <c r="T1" i="2"/>
  <c r="U6" i="2"/>
  <c r="V6" i="2" s="1"/>
  <c r="W6" i="2" s="1"/>
  <c r="X6" i="2" s="1"/>
  <c r="Y6" i="2" s="1"/>
  <c r="Z6" i="2" s="1"/>
  <c r="AA6" i="2" s="1"/>
  <c r="AT399" i="4"/>
  <c r="DF9" i="5"/>
  <c r="AT9" i="5"/>
  <c r="E392" i="4"/>
  <c r="I392" i="4"/>
  <c r="H392" i="4"/>
  <c r="DM9" i="5"/>
  <c r="BA9" i="5"/>
  <c r="CN9" i="5"/>
  <c r="AB9" i="5"/>
  <c r="T397" i="4"/>
  <c r="S397" i="4"/>
  <c r="R397" i="4"/>
  <c r="U397" i="4" s="1"/>
  <c r="W397" i="4"/>
  <c r="V397" i="4"/>
  <c r="AQ380" i="4"/>
  <c r="AP380" i="4"/>
  <c r="AK380" i="4"/>
  <c r="AE388" i="4"/>
  <c r="AT381" i="4"/>
  <c r="AR369" i="4"/>
  <c r="AU369" i="4" s="1"/>
  <c r="AV369" i="4" s="1"/>
  <c r="AW369" i="4" s="1"/>
  <c r="V378" i="4"/>
  <c r="S378" i="4"/>
  <c r="R378" i="4"/>
  <c r="U378" i="4" s="1"/>
  <c r="W378" i="4"/>
  <c r="T378" i="4"/>
  <c r="BA390" i="4"/>
  <c r="E383" i="4"/>
  <c r="I383" i="4"/>
  <c r="H383" i="4"/>
  <c r="BA378" i="4"/>
  <c r="E355" i="4"/>
  <c r="I355" i="4"/>
  <c r="BD355" i="4" s="1"/>
  <c r="H355" i="4"/>
  <c r="H376" i="4"/>
  <c r="E376" i="4"/>
  <c r="I376" i="4"/>
  <c r="BA368" i="4"/>
  <c r="AT366" i="4"/>
  <c r="BC377" i="4"/>
  <c r="BC369" i="4"/>
  <c r="AE369" i="4"/>
  <c r="AS369" i="4"/>
  <c r="BA331" i="4"/>
  <c r="U331" i="4"/>
  <c r="BA376" i="4"/>
  <c r="AE333" i="4"/>
  <c r="AS362" i="4"/>
  <c r="AE362" i="4"/>
  <c r="AK375" i="4"/>
  <c r="AP375" i="4"/>
  <c r="AQ375" i="4"/>
  <c r="AQ341" i="4"/>
  <c r="AP341" i="4"/>
  <c r="AK341" i="4"/>
  <c r="I339" i="4"/>
  <c r="H339" i="4"/>
  <c r="E339" i="4"/>
  <c r="AT304" i="4"/>
  <c r="AT296" i="4"/>
  <c r="AR296" i="4"/>
  <c r="AT288" i="4"/>
  <c r="AR288" i="4"/>
  <c r="BC373" i="4"/>
  <c r="AT364" i="4"/>
  <c r="H318" i="4"/>
  <c r="E318" i="4"/>
  <c r="I318" i="4"/>
  <c r="V308" i="4"/>
  <c r="T308" i="4"/>
  <c r="S308" i="4"/>
  <c r="R308" i="4"/>
  <c r="U308" i="4" s="1"/>
  <c r="W308" i="4"/>
  <c r="BA372" i="4"/>
  <c r="U372" i="4"/>
  <c r="T351" i="4"/>
  <c r="V351" i="4"/>
  <c r="W351" i="4"/>
  <c r="S351" i="4"/>
  <c r="R351" i="4"/>
  <c r="S342" i="4"/>
  <c r="AT307" i="4"/>
  <c r="AR307" i="4"/>
  <c r="I313" i="4"/>
  <c r="BC313" i="4" s="1"/>
  <c r="H313" i="4"/>
  <c r="E313" i="4"/>
  <c r="I305" i="4"/>
  <c r="BC305" i="4" s="1"/>
  <c r="H305" i="4"/>
  <c r="E305" i="4"/>
  <c r="AQ294" i="4"/>
  <c r="BD294" i="4" s="1"/>
  <c r="AP294" i="4"/>
  <c r="AK294" i="4"/>
  <c r="AT361" i="4"/>
  <c r="AT294" i="4"/>
  <c r="BC306" i="4"/>
  <c r="R324" i="4"/>
  <c r="W324" i="4"/>
  <c r="V324" i="4"/>
  <c r="T324" i="4"/>
  <c r="S324" i="4"/>
  <c r="AS283" i="4"/>
  <c r="AE283" i="4"/>
  <c r="V276" i="4"/>
  <c r="W276" i="4"/>
  <c r="T276" i="4"/>
  <c r="S276" i="4"/>
  <c r="R276" i="4"/>
  <c r="U272" i="4"/>
  <c r="AS272" i="4" s="1"/>
  <c r="BA272" i="4"/>
  <c r="BA328" i="4"/>
  <c r="U328" i="4"/>
  <c r="E262" i="4"/>
  <c r="I262" i="4"/>
  <c r="H262" i="4"/>
  <c r="R253" i="4"/>
  <c r="U253" i="4" s="1"/>
  <c r="V253" i="4"/>
  <c r="E246" i="4"/>
  <c r="I246" i="4"/>
  <c r="H246" i="4"/>
  <c r="R237" i="4"/>
  <c r="U237" i="4" s="1"/>
  <c r="V237" i="4"/>
  <c r="AT264" i="4"/>
  <c r="AP247" i="4"/>
  <c r="AK247" i="4"/>
  <c r="AQ247" i="4"/>
  <c r="BD247" i="4" s="1"/>
  <c r="R238" i="4"/>
  <c r="V238" i="4"/>
  <c r="T238" i="4"/>
  <c r="S238" i="4"/>
  <c r="W238" i="4"/>
  <c r="BD284" i="4"/>
  <c r="BA271" i="4"/>
  <c r="T264" i="4"/>
  <c r="S264" i="4"/>
  <c r="R264" i="4"/>
  <c r="U264" i="4" s="1"/>
  <c r="W264" i="4"/>
  <c r="V264" i="4"/>
  <c r="AT282" i="4"/>
  <c r="AS249" i="4"/>
  <c r="AE249" i="4"/>
  <c r="U242" i="4"/>
  <c r="BA242" i="4"/>
  <c r="E275" i="4"/>
  <c r="I275" i="4"/>
  <c r="H275" i="4"/>
  <c r="AT261" i="4"/>
  <c r="AT253" i="4"/>
  <c r="AT245" i="4"/>
  <c r="AT237" i="4"/>
  <c r="BA233" i="4"/>
  <c r="E229" i="4"/>
  <c r="I229" i="4"/>
  <c r="BC229" i="4" s="1"/>
  <c r="H229" i="4"/>
  <c r="AQ275" i="4"/>
  <c r="AK275" i="4"/>
  <c r="AP275" i="4"/>
  <c r="AK253" i="4"/>
  <c r="AP253" i="4"/>
  <c r="AQ253" i="4"/>
  <c r="BA236" i="4"/>
  <c r="AT222" i="4"/>
  <c r="E189" i="4"/>
  <c r="I189" i="4"/>
  <c r="H189" i="4"/>
  <c r="BC224" i="4"/>
  <c r="AU224" i="4"/>
  <c r="AV224" i="4" s="1"/>
  <c r="AW224" i="4" s="1"/>
  <c r="AT182" i="4"/>
  <c r="W194" i="4"/>
  <c r="V194" i="4"/>
  <c r="T194" i="4"/>
  <c r="S194" i="4"/>
  <c r="R194" i="4"/>
  <c r="W178" i="4"/>
  <c r="V178" i="4"/>
  <c r="T178" i="4"/>
  <c r="S178" i="4"/>
  <c r="R178" i="4"/>
  <c r="AR220" i="4"/>
  <c r="AU220" i="4" s="1"/>
  <c r="AV220" i="4" s="1"/>
  <c r="AW220" i="4" s="1"/>
  <c r="AR212" i="4"/>
  <c r="AU212" i="4" s="1"/>
  <c r="AV212" i="4" s="1"/>
  <c r="AW212" i="4" s="1"/>
  <c r="AK197" i="4"/>
  <c r="AQ197" i="4"/>
  <c r="BD197" i="4" s="1"/>
  <c r="AP197" i="4"/>
  <c r="AT181" i="4"/>
  <c r="AT209" i="4"/>
  <c r="W207" i="4"/>
  <c r="S207" i="4"/>
  <c r="R207" i="4"/>
  <c r="U207" i="4" s="1"/>
  <c r="V207" i="4"/>
  <c r="T207" i="4"/>
  <c r="U167" i="4"/>
  <c r="AS167" i="4" s="1"/>
  <c r="AR167" i="4" s="1"/>
  <c r="AU167" i="4" s="1"/>
  <c r="AV167" i="4" s="1"/>
  <c r="AW167" i="4" s="1"/>
  <c r="BA167" i="4"/>
  <c r="AQ256" i="4"/>
  <c r="AP256" i="4"/>
  <c r="AK256" i="4"/>
  <c r="AR208" i="4"/>
  <c r="AU208" i="4" s="1"/>
  <c r="AV208" i="4" s="1"/>
  <c r="AW208" i="4" s="1"/>
  <c r="BD223" i="4"/>
  <c r="E186" i="4"/>
  <c r="I186" i="4"/>
  <c r="BC186" i="4" s="1"/>
  <c r="H186" i="4"/>
  <c r="AK179" i="4"/>
  <c r="AQ179" i="4"/>
  <c r="AP179" i="4"/>
  <c r="BA174" i="4"/>
  <c r="AT242" i="4"/>
  <c r="AS172" i="4"/>
  <c r="AE172" i="4"/>
  <c r="U169" i="4"/>
  <c r="BA169" i="4"/>
  <c r="AT172" i="4"/>
  <c r="AQ140" i="4"/>
  <c r="AP140" i="4"/>
  <c r="AK140" i="4"/>
  <c r="V161" i="4"/>
  <c r="T161" i="4"/>
  <c r="S161" i="4"/>
  <c r="R161" i="4"/>
  <c r="W161" i="4"/>
  <c r="AT128" i="4"/>
  <c r="AT170" i="4"/>
  <c r="W140" i="4"/>
  <c r="V140" i="4"/>
  <c r="T140" i="4"/>
  <c r="S140" i="4"/>
  <c r="R140" i="4"/>
  <c r="W132" i="4"/>
  <c r="V132" i="4"/>
  <c r="T132" i="4"/>
  <c r="S132" i="4"/>
  <c r="R132" i="4"/>
  <c r="U132" i="4" s="1"/>
  <c r="W124" i="4"/>
  <c r="V124" i="4"/>
  <c r="T124" i="4"/>
  <c r="S124" i="4"/>
  <c r="R124" i="4"/>
  <c r="AT165" i="4"/>
  <c r="AT139" i="4"/>
  <c r="AT123" i="4"/>
  <c r="I133" i="4"/>
  <c r="H133" i="4"/>
  <c r="E133" i="4"/>
  <c r="R127" i="4"/>
  <c r="U127" i="4" s="1"/>
  <c r="W127" i="4"/>
  <c r="V127" i="4"/>
  <c r="T127" i="4"/>
  <c r="S127" i="4"/>
  <c r="AS114" i="4"/>
  <c r="AE114" i="4"/>
  <c r="AS158" i="4"/>
  <c r="AE158" i="4"/>
  <c r="S154" i="4"/>
  <c r="V154" i="4"/>
  <c r="T154" i="4"/>
  <c r="R154" i="4"/>
  <c r="U154" i="4" s="1"/>
  <c r="W154" i="4"/>
  <c r="AK149" i="4"/>
  <c r="AQ149" i="4"/>
  <c r="AP149" i="4"/>
  <c r="AE145" i="4"/>
  <c r="AS145" i="4"/>
  <c r="AE141" i="4"/>
  <c r="AS141" i="4"/>
  <c r="E132" i="4"/>
  <c r="I132" i="4"/>
  <c r="H132" i="4"/>
  <c r="BA128" i="4"/>
  <c r="V112" i="4"/>
  <c r="T112" i="4"/>
  <c r="S112" i="4"/>
  <c r="R112" i="4"/>
  <c r="U112" i="4" s="1"/>
  <c r="W112" i="4"/>
  <c r="H83" i="4"/>
  <c r="E83" i="4"/>
  <c r="I83" i="4"/>
  <c r="H67" i="4"/>
  <c r="E67" i="4"/>
  <c r="I67" i="4"/>
  <c r="AR118" i="4"/>
  <c r="AU118" i="4" s="1"/>
  <c r="AV118" i="4" s="1"/>
  <c r="AW118" i="4" s="1"/>
  <c r="AT80" i="4"/>
  <c r="AT72" i="4"/>
  <c r="AQ95" i="4"/>
  <c r="AP95" i="4"/>
  <c r="AK95" i="4"/>
  <c r="AQ87" i="4"/>
  <c r="BD87" i="4" s="1"/>
  <c r="AP87" i="4"/>
  <c r="AK87" i="4"/>
  <c r="AK99" i="4"/>
  <c r="AQ99" i="4"/>
  <c r="BD99" i="4" s="1"/>
  <c r="AP99" i="4"/>
  <c r="AT95" i="4"/>
  <c r="AT67" i="4"/>
  <c r="BB62" i="4"/>
  <c r="AS94" i="4"/>
  <c r="AE94" i="4"/>
  <c r="AK90" i="4"/>
  <c r="AQ90" i="4"/>
  <c r="BD90" i="4" s="1"/>
  <c r="AP90" i="4"/>
  <c r="AK86" i="4"/>
  <c r="AQ86" i="4"/>
  <c r="BD86" i="4" s="1"/>
  <c r="AP86" i="4"/>
  <c r="AK82" i="4"/>
  <c r="AQ82" i="4"/>
  <c r="BD82" i="4" s="1"/>
  <c r="AP82" i="4"/>
  <c r="AK78" i="4"/>
  <c r="AQ78" i="4"/>
  <c r="BD78" i="4" s="1"/>
  <c r="AP78" i="4"/>
  <c r="AK74" i="4"/>
  <c r="AQ74" i="4"/>
  <c r="BD74" i="4" s="1"/>
  <c r="AP74" i="4"/>
  <c r="AK70" i="4"/>
  <c r="AK66" i="4"/>
  <c r="AQ66" i="4"/>
  <c r="BD66" i="4" s="1"/>
  <c r="AP66" i="4"/>
  <c r="AK50" i="4"/>
  <c r="I104" i="4"/>
  <c r="H104" i="4"/>
  <c r="E104" i="4"/>
  <c r="AT101" i="4"/>
  <c r="U92" i="4"/>
  <c r="BA92" i="4"/>
  <c r="I74" i="4"/>
  <c r="W60" i="4"/>
  <c r="V60" i="4"/>
  <c r="T60" i="4"/>
  <c r="S60" i="4"/>
  <c r="R60" i="4"/>
  <c r="U60" i="4" s="1"/>
  <c r="I55" i="4"/>
  <c r="E55" i="4"/>
  <c r="H55" i="4"/>
  <c r="AK48" i="4"/>
  <c r="AQ48" i="4"/>
  <c r="BD48" i="4" s="1"/>
  <c r="R45" i="4"/>
  <c r="U45" i="4" s="1"/>
  <c r="W45" i="4"/>
  <c r="BB45" i="4" s="1"/>
  <c r="V45" i="4"/>
  <c r="T45" i="4"/>
  <c r="S45" i="4"/>
  <c r="AQ39" i="4"/>
  <c r="BD39" i="4" s="1"/>
  <c r="AP39" i="4"/>
  <c r="AK39" i="4"/>
  <c r="V20" i="4"/>
  <c r="T20" i="4"/>
  <c r="S20" i="4"/>
  <c r="R20" i="4"/>
  <c r="W20" i="4"/>
  <c r="E14" i="4"/>
  <c r="I14" i="4"/>
  <c r="AQ7" i="4"/>
  <c r="BD7" i="4" s="1"/>
  <c r="AP7" i="4"/>
  <c r="AK7" i="4"/>
  <c r="U55" i="4"/>
  <c r="BA55" i="4"/>
  <c r="I54" i="4"/>
  <c r="AT50" i="4"/>
  <c r="I33" i="4"/>
  <c r="H33" i="4"/>
  <c r="E33" i="4"/>
  <c r="I25" i="4"/>
  <c r="H25" i="4"/>
  <c r="E25" i="4"/>
  <c r="I17" i="4"/>
  <c r="H17" i="4"/>
  <c r="E17" i="4"/>
  <c r="I9" i="4"/>
  <c r="H9" i="4"/>
  <c r="E9" i="4"/>
  <c r="S46" i="4"/>
  <c r="D10" i="3" s="1"/>
  <c r="W46" i="4"/>
  <c r="T46" i="4"/>
  <c r="D11" i="3" s="1"/>
  <c r="R46" i="4"/>
  <c r="V46" i="4"/>
  <c r="D12" i="3" s="1"/>
  <c r="AT38" i="4"/>
  <c r="BB33" i="4"/>
  <c r="AT22" i="4"/>
  <c r="I43" i="4"/>
  <c r="H43" i="4"/>
  <c r="E43" i="4"/>
  <c r="C51" i="4"/>
  <c r="D37" i="4"/>
  <c r="T37" i="4" s="1"/>
  <c r="AT17" i="4"/>
  <c r="AP44" i="4"/>
  <c r="AK44" i="4"/>
  <c r="AQ44" i="4"/>
  <c r="BD44" i="4" s="1"/>
  <c r="AK32" i="4"/>
  <c r="AQ32" i="4"/>
  <c r="BD32" i="4" s="1"/>
  <c r="AP32" i="4"/>
  <c r="C17" i="4"/>
  <c r="AK12" i="4"/>
  <c r="AQ12" i="4"/>
  <c r="BD12" i="4" s="1"/>
  <c r="AP12" i="4"/>
  <c r="AK8" i="4"/>
  <c r="AQ8" i="4"/>
  <c r="BD8" i="4" s="1"/>
  <c r="AP8" i="4"/>
  <c r="AT6" i="4"/>
  <c r="D49" i="4"/>
  <c r="S49" i="4" s="1"/>
  <c r="I36" i="4"/>
  <c r="CG8" i="1"/>
  <c r="U8" i="1"/>
  <c r="CC8" i="1"/>
  <c r="Q8" i="1"/>
  <c r="C12" i="1"/>
  <c r="DT8" i="1"/>
  <c r="BH8" i="1"/>
  <c r="DD11" i="1"/>
  <c r="AR11" i="1"/>
  <c r="CM8" i="1"/>
  <c r="AA8" i="1"/>
  <c r="DS11" i="1"/>
  <c r="BG11" i="1"/>
  <c r="DB8" i="1"/>
  <c r="AP8" i="1"/>
  <c r="BV11" i="1"/>
  <c r="J11" i="1"/>
  <c r="CC11" i="1"/>
  <c r="Q11" i="1"/>
  <c r="BR9" i="1"/>
  <c r="F9" i="1"/>
  <c r="BL8" i="1"/>
  <c r="BL11" i="1"/>
  <c r="DM9" i="1"/>
  <c r="BA9" i="1"/>
  <c r="DG8" i="1"/>
  <c r="AU8" i="1"/>
  <c r="CX8" i="1"/>
  <c r="AL8" i="1"/>
  <c r="CL9" i="5"/>
  <c r="Z9" i="5"/>
  <c r="AQ399" i="4"/>
  <c r="AP399" i="4"/>
  <c r="AK399" i="4"/>
  <c r="CX9" i="5"/>
  <c r="AL9" i="5"/>
  <c r="U392" i="4"/>
  <c r="BA392" i="4"/>
  <c r="DE9" i="5"/>
  <c r="AS9" i="5"/>
  <c r="CF9" i="5"/>
  <c r="T9" i="5"/>
  <c r="AK396" i="4"/>
  <c r="AQ396" i="4"/>
  <c r="AP396" i="4"/>
  <c r="DR9" i="5"/>
  <c r="E387" i="4"/>
  <c r="I387" i="4"/>
  <c r="H387" i="4"/>
  <c r="AK381" i="4"/>
  <c r="AP381" i="4"/>
  <c r="AQ381" i="4"/>
  <c r="AT383" i="4"/>
  <c r="V374" i="4"/>
  <c r="S374" i="4"/>
  <c r="T374" i="4"/>
  <c r="R374" i="4"/>
  <c r="W374" i="4"/>
  <c r="V368" i="4"/>
  <c r="S368" i="4"/>
  <c r="AP364" i="4"/>
  <c r="AK364" i="4"/>
  <c r="AQ364" i="4"/>
  <c r="BD364" i="4" s="1"/>
  <c r="AP360" i="4"/>
  <c r="AQ360" i="4"/>
  <c r="BD360" i="4" s="1"/>
  <c r="AK360" i="4"/>
  <c r="I362" i="4"/>
  <c r="E362" i="4"/>
  <c r="H362" i="4"/>
  <c r="E347" i="4"/>
  <c r="H347" i="4"/>
  <c r="I347" i="4"/>
  <c r="AT371" i="4"/>
  <c r="AR365" i="4"/>
  <c r="AU365" i="4" s="1"/>
  <c r="AV365" i="4" s="1"/>
  <c r="AW365" i="4" s="1"/>
  <c r="I375" i="4"/>
  <c r="E375" i="4"/>
  <c r="H375" i="4"/>
  <c r="R371" i="4"/>
  <c r="U371" i="4" s="1"/>
  <c r="AT368" i="4"/>
  <c r="BC358" i="4"/>
  <c r="AS334" i="4"/>
  <c r="AE334" i="4"/>
  <c r="AT316" i="4"/>
  <c r="AT295" i="4"/>
  <c r="AR295" i="4"/>
  <c r="AT287" i="4"/>
  <c r="U362" i="4"/>
  <c r="BA362" i="4"/>
  <c r="I335" i="4"/>
  <c r="BD335" i="4" s="1"/>
  <c r="H335" i="4"/>
  <c r="E335" i="4"/>
  <c r="BA351" i="4"/>
  <c r="U351" i="4"/>
  <c r="AP348" i="4"/>
  <c r="AQ348" i="4"/>
  <c r="BD348" i="4" s="1"/>
  <c r="AK348" i="4"/>
  <c r="AE353" i="4"/>
  <c r="AS353" i="4"/>
  <c r="AQ298" i="4"/>
  <c r="BD298" i="4" s="1"/>
  <c r="AP298" i="4"/>
  <c r="AK298" i="4"/>
  <c r="AS348" i="4"/>
  <c r="AE348" i="4"/>
  <c r="AT298" i="4"/>
  <c r="AT289" i="4"/>
  <c r="AU289" i="4" s="1"/>
  <c r="AV289" i="4" s="1"/>
  <c r="AW289" i="4" s="1"/>
  <c r="AR289" i="4"/>
  <c r="BC333" i="4"/>
  <c r="AQ278" i="4"/>
  <c r="AK278" i="4"/>
  <c r="AP278" i="4"/>
  <c r="AT281" i="4"/>
  <c r="BC292" i="4"/>
  <c r="H268" i="4"/>
  <c r="E268" i="4"/>
  <c r="I268" i="4"/>
  <c r="BC307" i="4"/>
  <c r="BD285" i="4"/>
  <c r="AT255" i="4"/>
  <c r="AT239" i="4"/>
  <c r="AP255" i="4"/>
  <c r="AK255" i="4"/>
  <c r="AQ255" i="4"/>
  <c r="BD255" i="4" s="1"/>
  <c r="R246" i="4"/>
  <c r="V246" i="4"/>
  <c r="T246" i="4"/>
  <c r="S246" i="4"/>
  <c r="W246" i="4"/>
  <c r="U238" i="4"/>
  <c r="BA238" i="4"/>
  <c r="AP267" i="4"/>
  <c r="AK267" i="4"/>
  <c r="AQ267" i="4"/>
  <c r="W271" i="4"/>
  <c r="S271" i="4"/>
  <c r="R271" i="4"/>
  <c r="U271" i="4" s="1"/>
  <c r="V271" i="4"/>
  <c r="T271" i="4"/>
  <c r="AS305" i="4"/>
  <c r="AR305" i="4" s="1"/>
  <c r="AU305" i="4" s="1"/>
  <c r="AV305" i="4" s="1"/>
  <c r="AW305" i="4" s="1"/>
  <c r="AE305" i="4"/>
  <c r="AQ276" i="4"/>
  <c r="AK276" i="4"/>
  <c r="AP276" i="4"/>
  <c r="T270" i="4"/>
  <c r="W270" i="4"/>
  <c r="V270" i="4"/>
  <c r="S270" i="4"/>
  <c r="R270" i="4"/>
  <c r="AT260" i="4"/>
  <c r="AS241" i="4"/>
  <c r="AE241" i="4"/>
  <c r="AQ231" i="4"/>
  <c r="BD231" i="4" s="1"/>
  <c r="AP231" i="4"/>
  <c r="AK231" i="4"/>
  <c r="AT233" i="4"/>
  <c r="AK261" i="4"/>
  <c r="AP261" i="4"/>
  <c r="AQ261" i="4"/>
  <c r="BD261" i="4" s="1"/>
  <c r="BA244" i="4"/>
  <c r="S236" i="4"/>
  <c r="R236" i="4"/>
  <c r="U236" i="4" s="1"/>
  <c r="W236" i="4"/>
  <c r="V236" i="4"/>
  <c r="T236" i="4"/>
  <c r="AK241" i="4"/>
  <c r="AP241" i="4"/>
  <c r="AQ241" i="4"/>
  <c r="AQ222" i="4"/>
  <c r="BD222" i="4" s="1"/>
  <c r="AP222" i="4"/>
  <c r="AK222" i="4"/>
  <c r="I218" i="4"/>
  <c r="E218" i="4"/>
  <c r="H218" i="4"/>
  <c r="E185" i="4"/>
  <c r="I185" i="4"/>
  <c r="H185" i="4"/>
  <c r="BC228" i="4"/>
  <c r="AE205" i="4"/>
  <c r="AS203" i="4"/>
  <c r="AE203" i="4"/>
  <c r="AQ193" i="4"/>
  <c r="BD193" i="4" s="1"/>
  <c r="AP193" i="4"/>
  <c r="AK193" i="4"/>
  <c r="AQ177" i="4"/>
  <c r="AP177" i="4"/>
  <c r="AK177" i="4"/>
  <c r="T253" i="4"/>
  <c r="T218" i="4"/>
  <c r="S218" i="4"/>
  <c r="W218" i="4"/>
  <c r="V218" i="4"/>
  <c r="R218" i="4"/>
  <c r="U221" i="4"/>
  <c r="BA221" i="4"/>
  <c r="AK209" i="4"/>
  <c r="AP209" i="4"/>
  <c r="AQ209" i="4"/>
  <c r="BD209" i="4" s="1"/>
  <c r="I171" i="4"/>
  <c r="H171" i="4"/>
  <c r="E171" i="4"/>
  <c r="AK164" i="4"/>
  <c r="AQ164" i="4"/>
  <c r="BD164" i="4" s="1"/>
  <c r="AP164" i="4"/>
  <c r="I256" i="4"/>
  <c r="H256" i="4"/>
  <c r="E256" i="4"/>
  <c r="AK249" i="4"/>
  <c r="AP249" i="4"/>
  <c r="AQ249" i="4"/>
  <c r="AR227" i="4"/>
  <c r="AU227" i="4" s="1"/>
  <c r="AV227" i="4" s="1"/>
  <c r="AW227" i="4" s="1"/>
  <c r="T214" i="4"/>
  <c r="S214" i="4"/>
  <c r="W214" i="4"/>
  <c r="V214" i="4"/>
  <c r="R214" i="4"/>
  <c r="AT198" i="4"/>
  <c r="BA201" i="4"/>
  <c r="AK191" i="4"/>
  <c r="AQ191" i="4"/>
  <c r="AP191" i="4"/>
  <c r="U186" i="4"/>
  <c r="BA186" i="4"/>
  <c r="AT160" i="4"/>
  <c r="AS192" i="4"/>
  <c r="AE192" i="4"/>
  <c r="U157" i="4"/>
  <c r="BA157" i="4"/>
  <c r="AQ136" i="4"/>
  <c r="AP136" i="4"/>
  <c r="AK136" i="4"/>
  <c r="AP170" i="4"/>
  <c r="AK170" i="4"/>
  <c r="AQ170" i="4"/>
  <c r="W152" i="4"/>
  <c r="V152" i="4"/>
  <c r="T152" i="4"/>
  <c r="S152" i="4"/>
  <c r="R152" i="4"/>
  <c r="AQ139" i="4"/>
  <c r="BD139" i="4" s="1"/>
  <c r="AP139" i="4"/>
  <c r="AK139" i="4"/>
  <c r="AQ131" i="4"/>
  <c r="BD131" i="4" s="1"/>
  <c r="AP131" i="4"/>
  <c r="AK131" i="4"/>
  <c r="AQ123" i="4"/>
  <c r="BD123" i="4" s="1"/>
  <c r="AP123" i="4"/>
  <c r="AK123" i="4"/>
  <c r="AQ111" i="4"/>
  <c r="BD111" i="4" s="1"/>
  <c r="AP111" i="4"/>
  <c r="AK111" i="4"/>
  <c r="AS180" i="4"/>
  <c r="AE180" i="4"/>
  <c r="I165" i="4"/>
  <c r="H165" i="4"/>
  <c r="E165" i="4"/>
  <c r="AT159" i="4"/>
  <c r="H155" i="4"/>
  <c r="I155" i="4"/>
  <c r="E155" i="4"/>
  <c r="AT143" i="4"/>
  <c r="AT102" i="4"/>
  <c r="AR102" i="4"/>
  <c r="AE239" i="4"/>
  <c r="AS239" i="4"/>
  <c r="V199" i="4"/>
  <c r="W166" i="4"/>
  <c r="T166" i="4"/>
  <c r="S166" i="4"/>
  <c r="R166" i="4"/>
  <c r="U166" i="4" s="1"/>
  <c r="V166" i="4"/>
  <c r="AT155" i="4"/>
  <c r="I149" i="4"/>
  <c r="H149" i="4"/>
  <c r="E149" i="4"/>
  <c r="AS142" i="4"/>
  <c r="AR142" i="4" s="1"/>
  <c r="AU142" i="4" s="1"/>
  <c r="AV142" i="4" s="1"/>
  <c r="AW142" i="4" s="1"/>
  <c r="AE142" i="4"/>
  <c r="AS126" i="4"/>
  <c r="AR126" i="4" s="1"/>
  <c r="AU126" i="4" s="1"/>
  <c r="AV126" i="4" s="1"/>
  <c r="AW126" i="4" s="1"/>
  <c r="AE126" i="4"/>
  <c r="I121" i="4"/>
  <c r="H121" i="4"/>
  <c r="E121" i="4"/>
  <c r="AT176" i="4"/>
  <c r="AK153" i="4"/>
  <c r="AQ153" i="4"/>
  <c r="AP153" i="4"/>
  <c r="E136" i="4"/>
  <c r="I136" i="4"/>
  <c r="H136" i="4"/>
  <c r="BA132" i="4"/>
  <c r="AK113" i="4"/>
  <c r="AQ113" i="4"/>
  <c r="AP113" i="4"/>
  <c r="BC126" i="4"/>
  <c r="AT120" i="4"/>
  <c r="T104" i="4"/>
  <c r="W104" i="4"/>
  <c r="V104" i="4"/>
  <c r="S104" i="4"/>
  <c r="R104" i="4"/>
  <c r="U104" i="4" s="1"/>
  <c r="AQ96" i="4"/>
  <c r="AP96" i="4"/>
  <c r="AK96" i="4"/>
  <c r="AQ80" i="4"/>
  <c r="BD80" i="4" s="1"/>
  <c r="AP80" i="4"/>
  <c r="AK80" i="4"/>
  <c r="E63" i="4"/>
  <c r="I63" i="4"/>
  <c r="H63" i="4"/>
  <c r="AS105" i="4"/>
  <c r="AE105" i="4"/>
  <c r="AT88" i="4"/>
  <c r="AR117" i="4"/>
  <c r="AT71" i="4"/>
  <c r="D67" i="4"/>
  <c r="R67" i="4" s="1"/>
  <c r="BC134" i="4"/>
  <c r="I112" i="4"/>
  <c r="BD112" i="4" s="1"/>
  <c r="H112" i="4"/>
  <c r="E112" i="4"/>
  <c r="W107" i="4"/>
  <c r="V107" i="4"/>
  <c r="S107" i="4"/>
  <c r="T107" i="4"/>
  <c r="R107" i="4"/>
  <c r="U107" i="4" s="1"/>
  <c r="E86" i="4"/>
  <c r="E82" i="4"/>
  <c r="E78" i="4"/>
  <c r="E74" i="4"/>
  <c r="E70" i="4"/>
  <c r="E66" i="4"/>
  <c r="AT100" i="4"/>
  <c r="AT110" i="4"/>
  <c r="T101" i="4"/>
  <c r="E96" i="4"/>
  <c r="I96" i="4"/>
  <c r="H96" i="4"/>
  <c r="AK85" i="4"/>
  <c r="E80" i="4"/>
  <c r="I80" i="4"/>
  <c r="H80" i="4"/>
  <c r="AK69" i="4"/>
  <c r="AQ69" i="4"/>
  <c r="BD69" i="4" s="1"/>
  <c r="AP69" i="4"/>
  <c r="V32" i="4"/>
  <c r="T32" i="4"/>
  <c r="S32" i="4"/>
  <c r="R32" i="4"/>
  <c r="W32" i="4"/>
  <c r="H26" i="4"/>
  <c r="E26" i="4"/>
  <c r="C26" i="4"/>
  <c r="I26" i="4"/>
  <c r="AQ19" i="4"/>
  <c r="BD19" i="4" s="1"/>
  <c r="AP19" i="4"/>
  <c r="AK19" i="4"/>
  <c r="H53" i="4"/>
  <c r="I58" i="4"/>
  <c r="AP53" i="4"/>
  <c r="AQ53" i="4"/>
  <c r="BD53" i="4" s="1"/>
  <c r="AK53" i="4"/>
  <c r="AT43" i="4"/>
  <c r="D22" i="4"/>
  <c r="C77" i="4"/>
  <c r="C64" i="4"/>
  <c r="C43" i="4"/>
  <c r="AT29" i="4"/>
  <c r="D17" i="4"/>
  <c r="E32" i="4"/>
  <c r="E27" i="4"/>
  <c r="D27" i="4"/>
  <c r="C27" i="4"/>
  <c r="I27" i="4"/>
  <c r="H27" i="4"/>
  <c r="AK16" i="4"/>
  <c r="AP16" i="4"/>
  <c r="E12" i="4"/>
  <c r="E8" i="4"/>
  <c r="AQ6" i="4"/>
  <c r="BD6" i="4" s="1"/>
  <c r="AP6" i="4"/>
  <c r="AK6" i="4"/>
  <c r="AT15" i="4"/>
  <c r="D43" i="4"/>
  <c r="CP11" i="1"/>
  <c r="AD11" i="1"/>
  <c r="BY8" i="1"/>
  <c r="M8" i="1"/>
  <c r="BU8" i="1"/>
  <c r="I8" i="1"/>
  <c r="BI11" i="1"/>
  <c r="DL8" i="1"/>
  <c r="AZ8" i="1"/>
  <c r="CV11" i="1"/>
  <c r="AJ11" i="1"/>
  <c r="CE8" i="1"/>
  <c r="S8" i="1"/>
  <c r="DK11" i="1"/>
  <c r="AY11" i="1"/>
  <c r="CT8" i="1"/>
  <c r="AH8" i="1"/>
  <c r="BN11" i="1"/>
  <c r="T1" i="3"/>
  <c r="U6" i="3"/>
  <c r="V6" i="3" s="1"/>
  <c r="W6" i="3" s="1"/>
  <c r="X6" i="3" s="1"/>
  <c r="Y6" i="3" s="1"/>
  <c r="Z6" i="3" s="1"/>
  <c r="AA6" i="3" s="1"/>
  <c r="BU11" i="1"/>
  <c r="I11" i="1"/>
  <c r="BJ9" i="1"/>
  <c r="DP8" i="1"/>
  <c r="BD8" i="1"/>
  <c r="DP11" i="1"/>
  <c r="BD11" i="1"/>
  <c r="DE9" i="1"/>
  <c r="AS9" i="1"/>
  <c r="CY8" i="1"/>
  <c r="AM8" i="1"/>
  <c r="CP8" i="1"/>
  <c r="AD8" i="1"/>
  <c r="DT9" i="1"/>
  <c r="BD270" i="8"/>
  <c r="BD255" i="8"/>
  <c r="BD223" i="8"/>
  <c r="BD222" i="8"/>
  <c r="BD152" i="8"/>
  <c r="BD136" i="8"/>
  <c r="BD157" i="8"/>
  <c r="BD131" i="8"/>
  <c r="BD113" i="8"/>
  <c r="BD74" i="8"/>
  <c r="AE303" i="8"/>
  <c r="AS303" i="8"/>
  <c r="AS136" i="8"/>
  <c r="AE136" i="8"/>
  <c r="H114" i="8"/>
  <c r="I114" i="8"/>
  <c r="E114" i="8"/>
  <c r="AK26" i="8"/>
  <c r="AP26" i="8"/>
  <c r="H61" i="8"/>
  <c r="I61" i="8"/>
  <c r="E61" i="8"/>
  <c r="D61" i="8"/>
  <c r="AT61" i="8"/>
  <c r="AT118" i="8"/>
  <c r="AQ128" i="8"/>
  <c r="BD128" i="8" s="1"/>
  <c r="AK128" i="8"/>
  <c r="AP128" i="8"/>
  <c r="AS73" i="8"/>
  <c r="AE73" i="8"/>
  <c r="AT126" i="8"/>
  <c r="E197" i="8"/>
  <c r="H197" i="8"/>
  <c r="AT130" i="8"/>
  <c r="AK142" i="8"/>
  <c r="AP142" i="8"/>
  <c r="I195" i="8"/>
  <c r="H195" i="8"/>
  <c r="I215" i="8"/>
  <c r="H215" i="8"/>
  <c r="E215" i="8"/>
  <c r="AT194" i="8"/>
  <c r="AT185" i="8"/>
  <c r="AT210" i="8"/>
  <c r="AS229" i="8"/>
  <c r="AE229" i="8"/>
  <c r="AT182" i="8"/>
  <c r="I193" i="8"/>
  <c r="E193" i="8"/>
  <c r="D193" i="8"/>
  <c r="I134" i="8"/>
  <c r="BC134" i="8" s="1"/>
  <c r="C134" i="8"/>
  <c r="E134" i="8"/>
  <c r="D134" i="8"/>
  <c r="H134" i="8"/>
  <c r="AT178" i="8"/>
  <c r="I186" i="8"/>
  <c r="H186" i="8"/>
  <c r="E186" i="8"/>
  <c r="D186" i="8"/>
  <c r="AK219" i="8"/>
  <c r="BC219" i="8" s="1"/>
  <c r="AP219" i="8"/>
  <c r="AQ219" i="8"/>
  <c r="BD219" i="8" s="1"/>
  <c r="AP238" i="8"/>
  <c r="AQ238" i="8"/>
  <c r="BD238" i="8" s="1"/>
  <c r="AT206" i="8"/>
  <c r="AS216" i="8"/>
  <c r="AR216" i="8" s="1"/>
  <c r="AU216" i="8" s="1"/>
  <c r="AV216" i="8" s="1"/>
  <c r="AW216" i="8" s="1"/>
  <c r="AE216" i="8"/>
  <c r="D249" i="8"/>
  <c r="H249" i="8"/>
  <c r="E249" i="8"/>
  <c r="C249" i="8"/>
  <c r="AS220" i="8"/>
  <c r="AR220" i="8" s="1"/>
  <c r="AU220" i="8" s="1"/>
  <c r="AV220" i="8" s="1"/>
  <c r="AW220" i="8" s="1"/>
  <c r="AE220" i="8"/>
  <c r="D247" i="8"/>
  <c r="E247" i="8"/>
  <c r="C247" i="8"/>
  <c r="H247" i="8"/>
  <c r="AS225" i="8"/>
  <c r="AR225" i="8" s="1"/>
  <c r="AU225" i="8" s="1"/>
  <c r="AV225" i="8" s="1"/>
  <c r="AW225" i="8" s="1"/>
  <c r="AE225" i="8"/>
  <c r="AP297" i="8"/>
  <c r="AQ297" i="8"/>
  <c r="AT315" i="8"/>
  <c r="AK327" i="8"/>
  <c r="AP327" i="8"/>
  <c r="AQ327" i="8"/>
  <c r="BD327" i="8" s="1"/>
  <c r="H288" i="8"/>
  <c r="E288" i="8"/>
  <c r="I288" i="8"/>
  <c r="AT349" i="8"/>
  <c r="AK324" i="8"/>
  <c r="AP324" i="8"/>
  <c r="AT345" i="8"/>
  <c r="AK332" i="8"/>
  <c r="AP332" i="8"/>
  <c r="AT355" i="8"/>
  <c r="D328" i="8"/>
  <c r="E328" i="8"/>
  <c r="E329" i="8"/>
  <c r="D329" i="8"/>
  <c r="I329" i="8"/>
  <c r="H329" i="8"/>
  <c r="AT352" i="8"/>
  <c r="CP9" i="5"/>
  <c r="AD9" i="5"/>
  <c r="R398" i="4"/>
  <c r="U398" i="4" s="1"/>
  <c r="W398" i="4"/>
  <c r="V398" i="4"/>
  <c r="T398" i="4"/>
  <c r="S398" i="4"/>
  <c r="E388" i="4"/>
  <c r="I388" i="4"/>
  <c r="H388" i="4"/>
  <c r="CW9" i="5"/>
  <c r="AK9" i="5"/>
  <c r="BX9" i="5"/>
  <c r="L9" i="5"/>
  <c r="AS391" i="4"/>
  <c r="AE391" i="4"/>
  <c r="AT393" i="4"/>
  <c r="T386" i="4"/>
  <c r="S386" i="4"/>
  <c r="R386" i="4"/>
  <c r="W386" i="4"/>
  <c r="V386" i="4"/>
  <c r="I390" i="4"/>
  <c r="BD390" i="4" s="1"/>
  <c r="H390" i="4"/>
  <c r="E390" i="4"/>
  <c r="AT391" i="4"/>
  <c r="E379" i="4"/>
  <c r="I379" i="4"/>
  <c r="H379" i="4"/>
  <c r="AT394" i="4"/>
  <c r="AS387" i="4"/>
  <c r="AE387" i="4"/>
  <c r="T393" i="4"/>
  <c r="S393" i="4"/>
  <c r="R393" i="4"/>
  <c r="U393" i="4" s="1"/>
  <c r="W393" i="4"/>
  <c r="V393" i="4"/>
  <c r="I386" i="4"/>
  <c r="H386" i="4"/>
  <c r="E386" i="4"/>
  <c r="AS377" i="4"/>
  <c r="AE377" i="4"/>
  <c r="AT346" i="4"/>
  <c r="AR346" i="4"/>
  <c r="AE368" i="4"/>
  <c r="V354" i="4"/>
  <c r="S354" i="4"/>
  <c r="W354" i="4"/>
  <c r="T354" i="4"/>
  <c r="R354" i="4"/>
  <c r="AE349" i="4"/>
  <c r="I351" i="4"/>
  <c r="BC351" i="4" s="1"/>
  <c r="H351" i="4"/>
  <c r="E351" i="4"/>
  <c r="AT350" i="4"/>
  <c r="AR350" i="4"/>
  <c r="AT338" i="4"/>
  <c r="BC353" i="4"/>
  <c r="V371" i="4"/>
  <c r="AE359" i="4"/>
  <c r="AS359" i="4"/>
  <c r="AE357" i="4"/>
  <c r="AS357" i="4"/>
  <c r="BD373" i="4"/>
  <c r="AT370" i="4"/>
  <c r="U349" i="4"/>
  <c r="BA349" i="4"/>
  <c r="H343" i="4"/>
  <c r="I343" i="4"/>
  <c r="E343" i="4"/>
  <c r="AT341" i="4"/>
  <c r="V316" i="4"/>
  <c r="T316" i="4"/>
  <c r="S316" i="4"/>
  <c r="R316" i="4"/>
  <c r="U316" i="4" s="1"/>
  <c r="W316" i="4"/>
  <c r="V304" i="4"/>
  <c r="T304" i="4"/>
  <c r="S304" i="4"/>
  <c r="R304" i="4"/>
  <c r="U304" i="4" s="1"/>
  <c r="W304" i="4"/>
  <c r="AE327" i="4"/>
  <c r="AS327" i="4"/>
  <c r="AR327" i="4" s="1"/>
  <c r="AU327" i="4" s="1"/>
  <c r="AV327" i="4" s="1"/>
  <c r="AW327" i="4" s="1"/>
  <c r="AR311" i="4"/>
  <c r="AT311" i="4"/>
  <c r="W339" i="4"/>
  <c r="V339" i="4"/>
  <c r="T339" i="4"/>
  <c r="S339" i="4"/>
  <c r="R339" i="4"/>
  <c r="U339" i="4" s="1"/>
  <c r="BA333" i="4"/>
  <c r="U333" i="4"/>
  <c r="AS333" i="4" s="1"/>
  <c r="AR333" i="4" s="1"/>
  <c r="AU333" i="4" s="1"/>
  <c r="AV333" i="4" s="1"/>
  <c r="AW333" i="4" s="1"/>
  <c r="AT330" i="4"/>
  <c r="AU330" i="4" s="1"/>
  <c r="AV330" i="4" s="1"/>
  <c r="AW330" i="4" s="1"/>
  <c r="E317" i="4"/>
  <c r="I317" i="4"/>
  <c r="H317" i="4"/>
  <c r="AQ302" i="4"/>
  <c r="BD302" i="4" s="1"/>
  <c r="AP302" i="4"/>
  <c r="AK302" i="4"/>
  <c r="AT302" i="4"/>
  <c r="AT293" i="4"/>
  <c r="AE325" i="4"/>
  <c r="AS325" i="4"/>
  <c r="AR325" i="4" s="1"/>
  <c r="AU325" i="4" s="1"/>
  <c r="AV325" i="4" s="1"/>
  <c r="AW325" i="4" s="1"/>
  <c r="BC312" i="4"/>
  <c r="AS302" i="4"/>
  <c r="AE302" i="4"/>
  <c r="U276" i="4"/>
  <c r="BA276" i="4"/>
  <c r="BA324" i="4"/>
  <c r="U324" i="4"/>
  <c r="BD292" i="4"/>
  <c r="AT360" i="4"/>
  <c r="AS298" i="4"/>
  <c r="AE298" i="4"/>
  <c r="U268" i="4"/>
  <c r="AS268" i="4" s="1"/>
  <c r="AR268" i="4" s="1"/>
  <c r="AU268" i="4" s="1"/>
  <c r="AV268" i="4" s="1"/>
  <c r="AW268" i="4" s="1"/>
  <c r="BA268" i="4"/>
  <c r="AR322" i="4"/>
  <c r="BC299" i="4"/>
  <c r="BC285" i="4"/>
  <c r="V274" i="4"/>
  <c r="T274" i="4"/>
  <c r="W274" i="4"/>
  <c r="S274" i="4"/>
  <c r="R274" i="4"/>
  <c r="U274" i="4" s="1"/>
  <c r="BA265" i="4"/>
  <c r="AT230" i="4"/>
  <c r="AR230" i="4"/>
  <c r="AP263" i="4"/>
  <c r="AK263" i="4"/>
  <c r="AQ263" i="4"/>
  <c r="BD263" i="4" s="1"/>
  <c r="R254" i="4"/>
  <c r="V254" i="4"/>
  <c r="T254" i="4"/>
  <c r="S254" i="4"/>
  <c r="W254" i="4"/>
  <c r="U246" i="4"/>
  <c r="BA246" i="4"/>
  <c r="BC291" i="4"/>
  <c r="BC281" i="4"/>
  <c r="AR279" i="4"/>
  <c r="AU279" i="4" s="1"/>
  <c r="AV279" i="4" s="1"/>
  <c r="AW279" i="4" s="1"/>
  <c r="AT273" i="4"/>
  <c r="U270" i="4"/>
  <c r="BA270" i="4"/>
  <c r="R259" i="4"/>
  <c r="U259" i="4" s="1"/>
  <c r="AE228" i="4"/>
  <c r="AS228" i="4"/>
  <c r="AR228" i="4" s="1"/>
  <c r="AU228" i="4" s="1"/>
  <c r="AV228" i="4" s="1"/>
  <c r="AW228" i="4" s="1"/>
  <c r="AT274" i="4"/>
  <c r="E271" i="4"/>
  <c r="I271" i="4"/>
  <c r="H271" i="4"/>
  <c r="E267" i="4"/>
  <c r="I267" i="4"/>
  <c r="H267" i="4"/>
  <c r="BA252" i="4"/>
  <c r="S244" i="4"/>
  <c r="R244" i="4"/>
  <c r="U244" i="4" s="1"/>
  <c r="V244" i="4"/>
  <c r="T244" i="4"/>
  <c r="W244" i="4"/>
  <c r="AS232" i="4"/>
  <c r="E181" i="4"/>
  <c r="I181" i="4"/>
  <c r="H181" i="4"/>
  <c r="AT190" i="4"/>
  <c r="AK257" i="4"/>
  <c r="AP257" i="4"/>
  <c r="AQ257" i="4"/>
  <c r="BD257" i="4" s="1"/>
  <c r="I214" i="4"/>
  <c r="H214" i="4"/>
  <c r="E214" i="4"/>
  <c r="AP207" i="4"/>
  <c r="AK207" i="4"/>
  <c r="AQ207" i="4"/>
  <c r="BD207" i="4" s="1"/>
  <c r="W190" i="4"/>
  <c r="V190" i="4"/>
  <c r="T190" i="4"/>
  <c r="S190" i="4"/>
  <c r="R190" i="4"/>
  <c r="W174" i="4"/>
  <c r="V174" i="4"/>
  <c r="T174" i="4"/>
  <c r="S174" i="4"/>
  <c r="R174" i="4"/>
  <c r="U174" i="4" s="1"/>
  <c r="U218" i="4"/>
  <c r="BA218" i="4"/>
  <c r="AT185" i="4"/>
  <c r="AT250" i="4"/>
  <c r="E219" i="4"/>
  <c r="I219" i="4"/>
  <c r="H219" i="4"/>
  <c r="I195" i="4"/>
  <c r="H195" i="4"/>
  <c r="E195" i="4"/>
  <c r="I191" i="4"/>
  <c r="H191" i="4"/>
  <c r="E191" i="4"/>
  <c r="I187" i="4"/>
  <c r="H187" i="4"/>
  <c r="E187" i="4"/>
  <c r="I183" i="4"/>
  <c r="H183" i="4"/>
  <c r="E183" i="4"/>
  <c r="I179" i="4"/>
  <c r="H179" i="4"/>
  <c r="E179" i="4"/>
  <c r="I175" i="4"/>
  <c r="H175" i="4"/>
  <c r="E175" i="4"/>
  <c r="U171" i="4"/>
  <c r="AS171" i="4" s="1"/>
  <c r="BA171" i="4"/>
  <c r="AE164" i="4"/>
  <c r="AS164" i="4"/>
  <c r="AE247" i="4"/>
  <c r="AS247" i="4"/>
  <c r="U214" i="4"/>
  <c r="BA214" i="4"/>
  <c r="BC232" i="4"/>
  <c r="AT201" i="4"/>
  <c r="E178" i="4"/>
  <c r="I178" i="4"/>
  <c r="BC178" i="4" s="1"/>
  <c r="H178" i="4"/>
  <c r="AK171" i="4"/>
  <c r="AQ171" i="4"/>
  <c r="AP171" i="4"/>
  <c r="BA240" i="4"/>
  <c r="AQ157" i="4"/>
  <c r="AP157" i="4"/>
  <c r="AK157" i="4"/>
  <c r="AQ132" i="4"/>
  <c r="AP132" i="4"/>
  <c r="AK132" i="4"/>
  <c r="U161" i="4"/>
  <c r="BA161" i="4"/>
  <c r="AT152" i="4"/>
  <c r="AT140" i="4"/>
  <c r="AT124" i="4"/>
  <c r="E170" i="4"/>
  <c r="I170" i="4"/>
  <c r="H170" i="4"/>
  <c r="AP166" i="4"/>
  <c r="AK166" i="4"/>
  <c r="AQ166" i="4"/>
  <c r="AQ151" i="4"/>
  <c r="BD151" i="4" s="1"/>
  <c r="AP151" i="4"/>
  <c r="AK151" i="4"/>
  <c r="U159" i="4"/>
  <c r="BA159" i="4"/>
  <c r="AT147" i="4"/>
  <c r="AT127" i="4"/>
  <c r="AT115" i="4"/>
  <c r="AT98" i="4"/>
  <c r="AR98" i="4"/>
  <c r="U149" i="4"/>
  <c r="AS149" i="4" s="1"/>
  <c r="BA149" i="4"/>
  <c r="I137" i="4"/>
  <c r="H137" i="4"/>
  <c r="E137" i="4"/>
  <c r="R131" i="4"/>
  <c r="U131" i="4" s="1"/>
  <c r="W131" i="4"/>
  <c r="V131" i="4"/>
  <c r="T131" i="4"/>
  <c r="S131" i="4"/>
  <c r="W119" i="4"/>
  <c r="V119" i="4"/>
  <c r="T119" i="4"/>
  <c r="S119" i="4"/>
  <c r="R119" i="4"/>
  <c r="U119" i="4" s="1"/>
  <c r="I113" i="4"/>
  <c r="H113" i="4"/>
  <c r="E113" i="4"/>
  <c r="E148" i="4"/>
  <c r="I148" i="4"/>
  <c r="H148" i="4"/>
  <c r="E144" i="4"/>
  <c r="I144" i="4"/>
  <c r="H144" i="4"/>
  <c r="E140" i="4"/>
  <c r="I140" i="4"/>
  <c r="H140" i="4"/>
  <c r="BA136" i="4"/>
  <c r="AK121" i="4"/>
  <c r="AQ121" i="4"/>
  <c r="AP121" i="4"/>
  <c r="AR138" i="4"/>
  <c r="AU138" i="4" s="1"/>
  <c r="AV138" i="4" s="1"/>
  <c r="AW138" i="4" s="1"/>
  <c r="AK109" i="4"/>
  <c r="AP109" i="4"/>
  <c r="AQ109" i="4"/>
  <c r="AP101" i="4"/>
  <c r="AQ101" i="4"/>
  <c r="AK101" i="4"/>
  <c r="AP120" i="4"/>
  <c r="AK120" i="4"/>
  <c r="AQ120" i="4"/>
  <c r="AS110" i="4"/>
  <c r="AR110" i="4" s="1"/>
  <c r="AE110" i="4"/>
  <c r="H95" i="4"/>
  <c r="E95" i="4"/>
  <c r="I95" i="4"/>
  <c r="H79" i="4"/>
  <c r="E79" i="4"/>
  <c r="I79" i="4"/>
  <c r="E59" i="4"/>
  <c r="I59" i="4"/>
  <c r="H59" i="4"/>
  <c r="AT96" i="4"/>
  <c r="H101" i="4"/>
  <c r="E101" i="4"/>
  <c r="I101" i="4"/>
  <c r="AK103" i="4"/>
  <c r="AQ103" i="4"/>
  <c r="BD103" i="4" s="1"/>
  <c r="AP103" i="4"/>
  <c r="AT75" i="4"/>
  <c r="D71" i="4"/>
  <c r="BB66" i="4"/>
  <c r="BA116" i="4"/>
  <c r="I61" i="4"/>
  <c r="E61" i="4"/>
  <c r="D61" i="4"/>
  <c r="AR134" i="4"/>
  <c r="AU134" i="4" s="1"/>
  <c r="AV134" i="4" s="1"/>
  <c r="AW134" i="4" s="1"/>
  <c r="I100" i="4"/>
  <c r="H100" i="4"/>
  <c r="E100" i="4"/>
  <c r="BC122" i="4"/>
  <c r="U96" i="4"/>
  <c r="BA96" i="4"/>
  <c r="AK61" i="4"/>
  <c r="AQ61" i="4"/>
  <c r="BD61" i="4" s="1"/>
  <c r="AP61" i="4"/>
  <c r="AT58" i="4"/>
  <c r="H61" i="4"/>
  <c r="V47" i="4"/>
  <c r="S47" i="4"/>
  <c r="R47" i="4"/>
  <c r="BA47" i="4" s="1"/>
  <c r="W47" i="4"/>
  <c r="BB47" i="4" s="1"/>
  <c r="T47" i="4"/>
  <c r="W44" i="4"/>
  <c r="S44" i="4"/>
  <c r="V44" i="4"/>
  <c r="T44" i="4"/>
  <c r="R44" i="4"/>
  <c r="H38" i="4"/>
  <c r="E38" i="4"/>
  <c r="C38" i="4"/>
  <c r="I38" i="4"/>
  <c r="AQ31" i="4"/>
  <c r="BD31" i="4" s="1"/>
  <c r="AP31" i="4"/>
  <c r="AK31" i="4"/>
  <c r="V12" i="4"/>
  <c r="T12" i="4"/>
  <c r="S12" i="4"/>
  <c r="R12" i="4"/>
  <c r="W12" i="4"/>
  <c r="BB12" i="4" s="1"/>
  <c r="BC102" i="4"/>
  <c r="T57" i="4"/>
  <c r="R57" i="4"/>
  <c r="U57" i="4" s="1"/>
  <c r="V57" i="4"/>
  <c r="E53" i="4"/>
  <c r="I53" i="4"/>
  <c r="D53" i="4"/>
  <c r="R53" i="4" s="1"/>
  <c r="I41" i="4"/>
  <c r="H41" i="4"/>
  <c r="E41" i="4"/>
  <c r="AQ30" i="4"/>
  <c r="BD30" i="4" s="1"/>
  <c r="AP30" i="4"/>
  <c r="AK30" i="4"/>
  <c r="AQ22" i="4"/>
  <c r="BD22" i="4" s="1"/>
  <c r="AP22" i="4"/>
  <c r="AK22" i="4"/>
  <c r="AQ14" i="4"/>
  <c r="BD14" i="4" s="1"/>
  <c r="AP14" i="4"/>
  <c r="AK14" i="4"/>
  <c r="AK42" i="4"/>
  <c r="AQ42" i="4"/>
  <c r="BD42" i="4" s="1"/>
  <c r="AP42" i="4"/>
  <c r="AT26" i="4"/>
  <c r="AT10" i="4"/>
  <c r="D76" i="4"/>
  <c r="V76" i="4" s="1"/>
  <c r="D64" i="4"/>
  <c r="I78" i="4"/>
  <c r="E56" i="4"/>
  <c r="I56" i="4"/>
  <c r="H56" i="4"/>
  <c r="C56" i="4"/>
  <c r="E52" i="4"/>
  <c r="I52" i="4"/>
  <c r="H52" i="4"/>
  <c r="AT9" i="4"/>
  <c r="AT47" i="4"/>
  <c r="D16" i="2"/>
  <c r="AK36" i="4"/>
  <c r="AQ36" i="4"/>
  <c r="BD36" i="4" s="1"/>
  <c r="AP36" i="4"/>
  <c r="AK20" i="4"/>
  <c r="AQ20" i="4"/>
  <c r="BD20" i="4" s="1"/>
  <c r="AP20" i="4"/>
  <c r="AT19" i="4"/>
  <c r="I16" i="4"/>
  <c r="BM8" i="1"/>
  <c r="DD8" i="1"/>
  <c r="AR8" i="1"/>
  <c r="BW8" i="1"/>
  <c r="K8" i="1"/>
  <c r="DC11" i="1"/>
  <c r="AQ11" i="1"/>
  <c r="CL8" i="1"/>
  <c r="Z8" i="1"/>
  <c r="DR11" i="1"/>
  <c r="BF11" i="1"/>
  <c r="BM11" i="1"/>
  <c r="DH8" i="1"/>
  <c r="AV8" i="1"/>
  <c r="DH11" i="1"/>
  <c r="AV11" i="1"/>
  <c r="CW9" i="1"/>
  <c r="AK9" i="1"/>
  <c r="CQ8" i="1"/>
  <c r="AE8" i="1"/>
  <c r="CH8" i="1"/>
  <c r="V8" i="1"/>
  <c r="AT299" i="8"/>
  <c r="BD339" i="8"/>
  <c r="D281" i="8"/>
  <c r="AT259" i="8"/>
  <c r="BD259" i="8"/>
  <c r="C23" i="7"/>
  <c r="S23" i="7" s="1"/>
  <c r="AS262" i="8"/>
  <c r="AR262" i="8" s="1"/>
  <c r="AU262" i="8" s="1"/>
  <c r="AV262" i="8" s="1"/>
  <c r="AW262" i="8" s="1"/>
  <c r="AE262" i="8"/>
  <c r="I6" i="8"/>
  <c r="E6" i="8"/>
  <c r="D6" i="8"/>
  <c r="AK25" i="8"/>
  <c r="AQ25" i="8"/>
  <c r="I115" i="8"/>
  <c r="BD115" i="8" s="1"/>
  <c r="E115" i="8"/>
  <c r="AS112" i="8"/>
  <c r="AE112" i="8"/>
  <c r="AQ77" i="8"/>
  <c r="BD77" i="8" s="1"/>
  <c r="AK77" i="8"/>
  <c r="I121" i="8"/>
  <c r="BD121" i="8" s="1"/>
  <c r="D121" i="8"/>
  <c r="I129" i="8"/>
  <c r="E129" i="8"/>
  <c r="C129" i="8"/>
  <c r="H129" i="8"/>
  <c r="D129" i="8"/>
  <c r="AT112" i="8"/>
  <c r="AT127" i="8"/>
  <c r="H137" i="8"/>
  <c r="C137" i="8"/>
  <c r="I208" i="8"/>
  <c r="E208" i="8"/>
  <c r="AT189" i="8"/>
  <c r="AT207" i="8"/>
  <c r="AT187" i="8"/>
  <c r="AS217" i="8"/>
  <c r="AR217" i="8" s="1"/>
  <c r="AU217" i="8" s="1"/>
  <c r="AV217" i="8" s="1"/>
  <c r="AW217" i="8" s="1"/>
  <c r="AE217" i="8"/>
  <c r="I212" i="8"/>
  <c r="E212" i="8"/>
  <c r="AS221" i="8"/>
  <c r="AE221" i="8"/>
  <c r="AS230" i="8"/>
  <c r="AE230" i="8"/>
  <c r="I207" i="8"/>
  <c r="E207" i="8"/>
  <c r="AS226" i="8"/>
  <c r="AE226" i="8"/>
  <c r="D250" i="8"/>
  <c r="E250" i="8"/>
  <c r="C250" i="8"/>
  <c r="I250" i="8"/>
  <c r="AS234" i="8"/>
  <c r="AR234" i="8" s="1"/>
  <c r="AU234" i="8" s="1"/>
  <c r="AV234" i="8" s="1"/>
  <c r="AW234" i="8" s="1"/>
  <c r="AE234" i="8"/>
  <c r="H229" i="8"/>
  <c r="I229" i="8"/>
  <c r="BD229" i="8" s="1"/>
  <c r="E229" i="8"/>
  <c r="AT313" i="8"/>
  <c r="H256" i="8"/>
  <c r="E256" i="8"/>
  <c r="C256" i="8"/>
  <c r="H287" i="8"/>
  <c r="I287" i="8"/>
  <c r="E287" i="8"/>
  <c r="E313" i="8"/>
  <c r="C313" i="8"/>
  <c r="I313" i="8"/>
  <c r="H313" i="8"/>
  <c r="D322" i="8"/>
  <c r="C322" i="8"/>
  <c r="E322" i="8"/>
  <c r="D358" i="8"/>
  <c r="I358" i="8"/>
  <c r="E358" i="8"/>
  <c r="AT316" i="8"/>
  <c r="AS340" i="8"/>
  <c r="AE340" i="8"/>
  <c r="BD342" i="8"/>
  <c r="AS322" i="8"/>
  <c r="AR322" i="8" s="1"/>
  <c r="AU322" i="8" s="1"/>
  <c r="AV322" i="8" s="1"/>
  <c r="AW322" i="8" s="1"/>
  <c r="AE322" i="8"/>
  <c r="AK335" i="8"/>
  <c r="AQ335" i="8"/>
  <c r="BD335" i="8" s="1"/>
  <c r="AP335" i="8"/>
  <c r="AS359" i="8"/>
  <c r="AE359" i="8"/>
  <c r="D321" i="8"/>
  <c r="I321" i="8"/>
  <c r="BD321" i="8" s="1"/>
  <c r="H321" i="8"/>
  <c r="E321" i="8"/>
  <c r="H398" i="4"/>
  <c r="E398" i="4"/>
  <c r="I398" i="4"/>
  <c r="BC398" i="4" s="1"/>
  <c r="CH9" i="5"/>
  <c r="V9" i="5"/>
  <c r="AK397" i="4"/>
  <c r="AQ397" i="4"/>
  <c r="AP397" i="4"/>
  <c r="U388" i="4"/>
  <c r="AS388" i="4" s="1"/>
  <c r="BA388" i="4"/>
  <c r="CO9" i="5"/>
  <c r="AC9" i="5"/>
  <c r="BP9" i="5"/>
  <c r="AK400" i="4"/>
  <c r="AQ400" i="4"/>
  <c r="BD400" i="4" s="1"/>
  <c r="AP400" i="4"/>
  <c r="E395" i="4"/>
  <c r="I395" i="4"/>
  <c r="H395" i="4"/>
  <c r="AS383" i="4"/>
  <c r="AE383" i="4"/>
  <c r="AK393" i="4"/>
  <c r="AP393" i="4"/>
  <c r="AQ393" i="4"/>
  <c r="BD393" i="4" s="1"/>
  <c r="U386" i="4"/>
  <c r="BA386" i="4"/>
  <c r="AE380" i="4"/>
  <c r="AS380" i="4"/>
  <c r="U389" i="4"/>
  <c r="BA389" i="4"/>
  <c r="AT382" i="4"/>
  <c r="I374" i="4"/>
  <c r="BD374" i="4" s="1"/>
  <c r="E374" i="4"/>
  <c r="H374" i="4"/>
  <c r="AP367" i="4"/>
  <c r="AQ367" i="4"/>
  <c r="AK367" i="4"/>
  <c r="R368" i="4"/>
  <c r="U368" i="4" s="1"/>
  <c r="AS368" i="4" s="1"/>
  <c r="AP363" i="4"/>
  <c r="AK363" i="4"/>
  <c r="AQ363" i="4"/>
  <c r="U375" i="4"/>
  <c r="BA375" i="4"/>
  <c r="BA366" i="4"/>
  <c r="U370" i="4"/>
  <c r="BA370" i="4"/>
  <c r="AT358" i="4"/>
  <c r="AR358" i="4"/>
  <c r="U354" i="4"/>
  <c r="BA354" i="4"/>
  <c r="E331" i="4"/>
  <c r="I331" i="4"/>
  <c r="H331" i="4"/>
  <c r="S356" i="4"/>
  <c r="W371" i="4"/>
  <c r="AP368" i="4"/>
  <c r="AQ368" i="4"/>
  <c r="BD368" i="4" s="1"/>
  <c r="AK368" i="4"/>
  <c r="AT349" i="4"/>
  <c r="AS340" i="4"/>
  <c r="AR340" i="4" s="1"/>
  <c r="AU340" i="4" s="1"/>
  <c r="AV340" i="4" s="1"/>
  <c r="AW340" i="4" s="1"/>
  <c r="AK370" i="4"/>
  <c r="AP370" i="4"/>
  <c r="AQ370" i="4"/>
  <c r="AP337" i="4"/>
  <c r="AQ337" i="4"/>
  <c r="BD337" i="4" s="1"/>
  <c r="AK337" i="4"/>
  <c r="AK315" i="4"/>
  <c r="AQ315" i="4"/>
  <c r="BD315" i="4" s="1"/>
  <c r="AP315" i="4"/>
  <c r="BC354" i="4"/>
  <c r="BA345" i="4"/>
  <c r="AE323" i="4"/>
  <c r="AS323" i="4"/>
  <c r="T363" i="4"/>
  <c r="W363" i="4"/>
  <c r="V363" i="4"/>
  <c r="R363" i="4"/>
  <c r="S363" i="4"/>
  <c r="BA352" i="4"/>
  <c r="U352" i="4"/>
  <c r="BA344" i="4"/>
  <c r="U344" i="4"/>
  <c r="I293" i="4"/>
  <c r="BD293" i="4" s="1"/>
  <c r="H293" i="4"/>
  <c r="E293" i="4"/>
  <c r="BC365" i="4"/>
  <c r="AS344" i="4"/>
  <c r="AE344" i="4"/>
  <c r="AT297" i="4"/>
  <c r="AU297" i="4" s="1"/>
  <c r="AV297" i="4" s="1"/>
  <c r="AW297" i="4" s="1"/>
  <c r="AE314" i="4"/>
  <c r="AS314" i="4"/>
  <c r="BD312" i="4"/>
  <c r="AS293" i="4"/>
  <c r="AE293" i="4"/>
  <c r="BD333" i="4"/>
  <c r="AT328" i="4"/>
  <c r="AT277" i="4"/>
  <c r="AR277" i="4"/>
  <c r="AS310" i="4"/>
  <c r="AR310" i="4" s="1"/>
  <c r="AU310" i="4" s="1"/>
  <c r="AV310" i="4" s="1"/>
  <c r="AW310" i="4" s="1"/>
  <c r="AE310" i="4"/>
  <c r="AU326" i="4"/>
  <c r="AV326" i="4" s="1"/>
  <c r="AW326" i="4" s="1"/>
  <c r="AR306" i="4"/>
  <c r="AU306" i="4" s="1"/>
  <c r="AV306" i="4" s="1"/>
  <c r="AW306" i="4" s="1"/>
  <c r="AS287" i="4"/>
  <c r="AR287" i="4" s="1"/>
  <c r="AU287" i="4" s="1"/>
  <c r="AV287" i="4" s="1"/>
  <c r="AW287" i="4" s="1"/>
  <c r="AE287" i="4"/>
  <c r="AT324" i="4"/>
  <c r="BC286" i="4"/>
  <c r="S265" i="4"/>
  <c r="W265" i="4"/>
  <c r="V265" i="4"/>
  <c r="T265" i="4"/>
  <c r="R265" i="4"/>
  <c r="U265" i="4" s="1"/>
  <c r="E251" i="4"/>
  <c r="I251" i="4"/>
  <c r="H251" i="4"/>
  <c r="H235" i="4"/>
  <c r="E235" i="4"/>
  <c r="I235" i="4"/>
  <c r="AS223" i="4"/>
  <c r="AR223" i="4" s="1"/>
  <c r="AU223" i="4" s="1"/>
  <c r="AV223" i="4" s="1"/>
  <c r="AW223" i="4" s="1"/>
  <c r="AE223" i="4"/>
  <c r="R262" i="4"/>
  <c r="V262" i="4"/>
  <c r="T262" i="4"/>
  <c r="S262" i="4"/>
  <c r="W262" i="4"/>
  <c r="U254" i="4"/>
  <c r="BA254" i="4"/>
  <c r="W237" i="4"/>
  <c r="BC304" i="4"/>
  <c r="H282" i="4"/>
  <c r="I282" i="4"/>
  <c r="E282" i="4"/>
  <c r="AT275" i="4"/>
  <c r="I276" i="4"/>
  <c r="H276" i="4"/>
  <c r="E276" i="4"/>
  <c r="AK273" i="4"/>
  <c r="AQ273" i="4"/>
  <c r="AP273" i="4"/>
  <c r="R251" i="4"/>
  <c r="U251" i="4" s="1"/>
  <c r="I274" i="4"/>
  <c r="H274" i="4"/>
  <c r="E274" i="4"/>
  <c r="T266" i="4"/>
  <c r="W266" i="4"/>
  <c r="V266" i="4"/>
  <c r="R266" i="4"/>
  <c r="U266" i="4" s="1"/>
  <c r="S266" i="4"/>
  <c r="H260" i="4"/>
  <c r="E260" i="4"/>
  <c r="I260" i="4"/>
  <c r="BD260" i="4" s="1"/>
  <c r="H252" i="4"/>
  <c r="E252" i="4"/>
  <c r="I252" i="4"/>
  <c r="BC252" i="4" s="1"/>
  <c r="H244" i="4"/>
  <c r="E244" i="4"/>
  <c r="I244" i="4"/>
  <c r="H236" i="4"/>
  <c r="E236" i="4"/>
  <c r="I236" i="4"/>
  <c r="BC236" i="4" s="1"/>
  <c r="AT200" i="4"/>
  <c r="AR200" i="4"/>
  <c r="BA260" i="4"/>
  <c r="S252" i="4"/>
  <c r="R252" i="4"/>
  <c r="U252" i="4" s="1"/>
  <c r="W252" i="4"/>
  <c r="V252" i="4"/>
  <c r="T252" i="4"/>
  <c r="S243" i="4"/>
  <c r="AE235" i="4"/>
  <c r="AS235" i="4"/>
  <c r="BA205" i="4"/>
  <c r="U205" i="4"/>
  <c r="AS205" i="4" s="1"/>
  <c r="E177" i="4"/>
  <c r="I177" i="4"/>
  <c r="H177" i="4"/>
  <c r="S217" i="4"/>
  <c r="W217" i="4"/>
  <c r="V217" i="4"/>
  <c r="T217" i="4"/>
  <c r="R217" i="4"/>
  <c r="AT178" i="4"/>
  <c r="AE255" i="4"/>
  <c r="AS255" i="4"/>
  <c r="AQ189" i="4"/>
  <c r="BD189" i="4" s="1"/>
  <c r="AP189" i="4"/>
  <c r="AK189" i="4"/>
  <c r="AQ173" i="4"/>
  <c r="AP173" i="4"/>
  <c r="AK173" i="4"/>
  <c r="E258" i="4"/>
  <c r="I258" i="4"/>
  <c r="BD258" i="4" s="1"/>
  <c r="H258" i="4"/>
  <c r="AK250" i="4"/>
  <c r="AQ250" i="4"/>
  <c r="AP250" i="4"/>
  <c r="AT240" i="4"/>
  <c r="I266" i="4"/>
  <c r="H266" i="4"/>
  <c r="E266" i="4"/>
  <c r="AT225" i="4"/>
  <c r="I206" i="4"/>
  <c r="H206" i="4"/>
  <c r="E206" i="4"/>
  <c r="BA195" i="4"/>
  <c r="U195" i="4"/>
  <c r="AS195" i="4" s="1"/>
  <c r="U191" i="4"/>
  <c r="BA191" i="4"/>
  <c r="U187" i="4"/>
  <c r="BA187" i="4"/>
  <c r="U183" i="4"/>
  <c r="AS183" i="4" s="1"/>
  <c r="BA183" i="4"/>
  <c r="U179" i="4"/>
  <c r="AS179" i="4" s="1"/>
  <c r="BA179" i="4"/>
  <c r="U175" i="4"/>
  <c r="AS175" i="4" s="1"/>
  <c r="BA175" i="4"/>
  <c r="AK168" i="4"/>
  <c r="AQ168" i="4"/>
  <c r="BD168" i="4" s="1"/>
  <c r="AP168" i="4"/>
  <c r="T221" i="4"/>
  <c r="S221" i="4"/>
  <c r="W221" i="4"/>
  <c r="V221" i="4"/>
  <c r="R221" i="4"/>
  <c r="I198" i="4"/>
  <c r="H198" i="4"/>
  <c r="E198" i="4"/>
  <c r="AP215" i="4"/>
  <c r="AK215" i="4"/>
  <c r="AQ215" i="4"/>
  <c r="BD215" i="4" s="1"/>
  <c r="AK201" i="4"/>
  <c r="AP201" i="4"/>
  <c r="AQ201" i="4"/>
  <c r="BD201" i="4" s="1"/>
  <c r="E190" i="4"/>
  <c r="I190" i="4"/>
  <c r="H190" i="4"/>
  <c r="AK183" i="4"/>
  <c r="AQ183" i="4"/>
  <c r="AP183" i="4"/>
  <c r="U178" i="4"/>
  <c r="BA178" i="4"/>
  <c r="T240" i="4"/>
  <c r="S240" i="4"/>
  <c r="W240" i="4"/>
  <c r="V240" i="4"/>
  <c r="R240" i="4"/>
  <c r="U240" i="4" s="1"/>
  <c r="BA170" i="4"/>
  <c r="AT157" i="4"/>
  <c r="AP162" i="4"/>
  <c r="AK162" i="4"/>
  <c r="AQ162" i="4"/>
  <c r="BD162" i="4" s="1"/>
  <c r="AQ128" i="4"/>
  <c r="BD128" i="4" s="1"/>
  <c r="AP128" i="4"/>
  <c r="AK128" i="4"/>
  <c r="AT166" i="4"/>
  <c r="W144" i="4"/>
  <c r="V144" i="4"/>
  <c r="T144" i="4"/>
  <c r="S144" i="4"/>
  <c r="R144" i="4"/>
  <c r="R159" i="4"/>
  <c r="W159" i="4"/>
  <c r="V159" i="4"/>
  <c r="T159" i="4"/>
  <c r="S159" i="4"/>
  <c r="AT151" i="4"/>
  <c r="AS130" i="4"/>
  <c r="AR130" i="4" s="1"/>
  <c r="AU130" i="4" s="1"/>
  <c r="AV130" i="4" s="1"/>
  <c r="AW130" i="4" s="1"/>
  <c r="AE130" i="4"/>
  <c r="AS118" i="4"/>
  <c r="AE118" i="4"/>
  <c r="W111" i="4"/>
  <c r="V111" i="4"/>
  <c r="S111" i="4"/>
  <c r="T111" i="4"/>
  <c r="R111" i="4"/>
  <c r="U111" i="4" s="1"/>
  <c r="E152" i="4"/>
  <c r="I152" i="4"/>
  <c r="H152" i="4"/>
  <c r="U148" i="4"/>
  <c r="BA148" i="4"/>
  <c r="U144" i="4"/>
  <c r="BA144" i="4"/>
  <c r="U140" i="4"/>
  <c r="BA140" i="4"/>
  <c r="AK125" i="4"/>
  <c r="AQ125" i="4"/>
  <c r="AP125" i="4"/>
  <c r="AE121" i="4"/>
  <c r="AS121" i="4"/>
  <c r="I109" i="4"/>
  <c r="H109" i="4"/>
  <c r="E109" i="4"/>
  <c r="E120" i="4"/>
  <c r="I120" i="4"/>
  <c r="H120" i="4"/>
  <c r="AQ92" i="4"/>
  <c r="BD92" i="4" s="1"/>
  <c r="AP92" i="4"/>
  <c r="AK92" i="4"/>
  <c r="AQ76" i="4"/>
  <c r="BD76" i="4" s="1"/>
  <c r="AK76" i="4"/>
  <c r="AE153" i="4"/>
  <c r="BC142" i="4"/>
  <c r="AS109" i="4"/>
  <c r="AE109" i="4"/>
  <c r="W92" i="4"/>
  <c r="V92" i="4"/>
  <c r="T92" i="4"/>
  <c r="S92" i="4"/>
  <c r="R92" i="4"/>
  <c r="AS113" i="4"/>
  <c r="AE113" i="4"/>
  <c r="AT79" i="4"/>
  <c r="BB70" i="4"/>
  <c r="W116" i="4"/>
  <c r="V116" i="4"/>
  <c r="T116" i="4"/>
  <c r="S116" i="4"/>
  <c r="R116" i="4"/>
  <c r="U116" i="4" s="1"/>
  <c r="I97" i="4"/>
  <c r="H97" i="4"/>
  <c r="E97" i="4"/>
  <c r="AT105" i="4"/>
  <c r="AK89" i="4"/>
  <c r="AQ89" i="4"/>
  <c r="AP89" i="4"/>
  <c r="E84" i="4"/>
  <c r="I84" i="4"/>
  <c r="H84" i="4"/>
  <c r="AK73" i="4"/>
  <c r="AQ73" i="4"/>
  <c r="BD73" i="4" s="1"/>
  <c r="AP73" i="4"/>
  <c r="E68" i="4"/>
  <c r="I68" i="4"/>
  <c r="H68" i="4"/>
  <c r="I82" i="4"/>
  <c r="BB60" i="4"/>
  <c r="V49" i="4"/>
  <c r="V24" i="4"/>
  <c r="T24" i="4"/>
  <c r="S24" i="4"/>
  <c r="R24" i="4"/>
  <c r="W24" i="4"/>
  <c r="BB24" i="4" s="1"/>
  <c r="H18" i="4"/>
  <c r="E18" i="4"/>
  <c r="C18" i="4"/>
  <c r="I18" i="4"/>
  <c r="AQ11" i="4"/>
  <c r="BD11" i="4" s="1"/>
  <c r="AP11" i="4"/>
  <c r="AK11" i="4"/>
  <c r="BD102" i="4"/>
  <c r="I86" i="4"/>
  <c r="AT60" i="4"/>
  <c r="AQ38" i="4"/>
  <c r="BD38" i="4" s="1"/>
  <c r="AP38" i="4"/>
  <c r="AK38" i="4"/>
  <c r="I5" i="4"/>
  <c r="H5" i="4"/>
  <c r="E5" i="4"/>
  <c r="D84" i="4"/>
  <c r="T84" i="4" s="1"/>
  <c r="H76" i="4"/>
  <c r="AT51" i="4"/>
  <c r="D26" i="4"/>
  <c r="AE89" i="4"/>
  <c r="AS89" i="4"/>
  <c r="AT62" i="4"/>
  <c r="S50" i="4"/>
  <c r="W50" i="4"/>
  <c r="BB50" i="4" s="1"/>
  <c r="V50" i="4"/>
  <c r="T50" i="4"/>
  <c r="R50" i="4"/>
  <c r="AT41" i="4"/>
  <c r="BB28" i="4"/>
  <c r="AT21" i="4"/>
  <c r="D9" i="4"/>
  <c r="S9" i="4" s="1"/>
  <c r="I47" i="4"/>
  <c r="E47" i="4"/>
  <c r="H47" i="4"/>
  <c r="A8" i="2"/>
  <c r="C41" i="4"/>
  <c r="E36" i="4"/>
  <c r="E31" i="4"/>
  <c r="D31" i="4"/>
  <c r="C31" i="4"/>
  <c r="I31" i="4"/>
  <c r="H31" i="4"/>
  <c r="C25" i="4"/>
  <c r="E20" i="4"/>
  <c r="H14" i="4"/>
  <c r="I40" i="4"/>
  <c r="BI8" i="1"/>
  <c r="DQ8" i="1"/>
  <c r="BE8" i="1"/>
  <c r="CV8" i="1"/>
  <c r="AJ8" i="1"/>
  <c r="BO8" i="1"/>
  <c r="CU11" i="1"/>
  <c r="AI11" i="1"/>
  <c r="CD8" i="1"/>
  <c r="R8" i="1"/>
  <c r="DJ11" i="1"/>
  <c r="AX11" i="1"/>
  <c r="DQ11" i="1"/>
  <c r="BE11" i="1"/>
  <c r="CZ8" i="1"/>
  <c r="AN8" i="1"/>
  <c r="CZ11" i="1"/>
  <c r="AN11" i="1"/>
  <c r="CO9" i="1"/>
  <c r="AC9" i="1"/>
  <c r="CI8" i="1"/>
  <c r="W8" i="1"/>
  <c r="BZ8" i="1"/>
  <c r="N8" i="1"/>
  <c r="BD252" i="8"/>
  <c r="AT252" i="8"/>
  <c r="AE260" i="8"/>
  <c r="AS260" i="8"/>
  <c r="AR260" i="8" s="1"/>
  <c r="H16" i="8"/>
  <c r="I16" i="8"/>
  <c r="AQ78" i="8"/>
  <c r="AP78" i="8"/>
  <c r="H9" i="8"/>
  <c r="I9" i="8"/>
  <c r="C9" i="8"/>
  <c r="AT116" i="8"/>
  <c r="AT119" i="8"/>
  <c r="I122" i="8"/>
  <c r="BC122" i="8" s="1"/>
  <c r="C122" i="8"/>
  <c r="H122" i="8"/>
  <c r="I78" i="8"/>
  <c r="BC78" i="8" s="1"/>
  <c r="E78" i="8"/>
  <c r="C78" i="8"/>
  <c r="H78" i="8"/>
  <c r="AT128" i="8"/>
  <c r="BD130" i="8"/>
  <c r="AS180" i="8"/>
  <c r="AE180" i="8"/>
  <c r="I190" i="8"/>
  <c r="E190" i="8"/>
  <c r="D190" i="8"/>
  <c r="H227" i="8"/>
  <c r="E227" i="8"/>
  <c r="D227" i="8"/>
  <c r="I182" i="8"/>
  <c r="H182" i="8"/>
  <c r="E182" i="8"/>
  <c r="I188" i="8"/>
  <c r="D188" i="8"/>
  <c r="H188" i="8"/>
  <c r="AS319" i="8"/>
  <c r="AE319" i="8"/>
  <c r="AT195" i="8"/>
  <c r="I187" i="8"/>
  <c r="H187" i="8"/>
  <c r="AK222" i="8"/>
  <c r="AP222" i="8"/>
  <c r="H270" i="8"/>
  <c r="C270" i="8"/>
  <c r="H228" i="8"/>
  <c r="C228" i="8"/>
  <c r="AK235" i="8"/>
  <c r="AP235" i="8"/>
  <c r="AP237" i="8"/>
  <c r="AQ237" i="8"/>
  <c r="BD237" i="8" s="1"/>
  <c r="D251" i="8"/>
  <c r="C251" i="8"/>
  <c r="H251" i="8"/>
  <c r="E251" i="8"/>
  <c r="AK319" i="8"/>
  <c r="AQ319" i="8"/>
  <c r="BD319" i="8" s="1"/>
  <c r="AP319" i="8"/>
  <c r="H272" i="8"/>
  <c r="D272" i="8"/>
  <c r="I272" i="8"/>
  <c r="BD272" i="8" s="1"/>
  <c r="E272" i="8"/>
  <c r="C272" i="8"/>
  <c r="H314" i="8"/>
  <c r="E314" i="8"/>
  <c r="C314" i="8"/>
  <c r="I314" i="8"/>
  <c r="I325" i="8"/>
  <c r="E325" i="8"/>
  <c r="H325" i="8"/>
  <c r="D325" i="8"/>
  <c r="C325" i="8"/>
  <c r="D348" i="8"/>
  <c r="I348" i="8"/>
  <c r="H348" i="8"/>
  <c r="E348" i="8"/>
  <c r="C348" i="8"/>
  <c r="AS330" i="8"/>
  <c r="AR330" i="8" s="1"/>
  <c r="AU330" i="8" s="1"/>
  <c r="AV330" i="8" s="1"/>
  <c r="AW330" i="8" s="1"/>
  <c r="AE330" i="8"/>
  <c r="AS348" i="8"/>
  <c r="AE348" i="8"/>
  <c r="AT358" i="8"/>
  <c r="H351" i="8"/>
  <c r="C351" i="8"/>
  <c r="AT323" i="8"/>
  <c r="AU323" i="8" s="1"/>
  <c r="AV323" i="8" s="1"/>
  <c r="AW323" i="8" s="1"/>
  <c r="D338" i="8"/>
  <c r="E338" i="8"/>
  <c r="C338" i="8"/>
  <c r="D346" i="8"/>
  <c r="E346" i="8"/>
  <c r="C346" i="8"/>
  <c r="BZ9" i="5"/>
  <c r="N9" i="5"/>
  <c r="I396" i="4"/>
  <c r="E396" i="4"/>
  <c r="H396" i="4"/>
  <c r="E384" i="4"/>
  <c r="I384" i="4"/>
  <c r="H384" i="4"/>
  <c r="CG9" i="5"/>
  <c r="U9" i="5"/>
  <c r="AT397" i="4"/>
  <c r="DT9" i="5"/>
  <c r="BH9" i="5"/>
  <c r="AT378" i="4"/>
  <c r="U6" i="5"/>
  <c r="V6" i="5" s="1"/>
  <c r="W6" i="5" s="1"/>
  <c r="X6" i="5" s="1"/>
  <c r="Y6" i="5" s="1"/>
  <c r="Z6" i="5" s="1"/>
  <c r="AA6" i="5" s="1"/>
  <c r="T1" i="5"/>
  <c r="AP391" i="4"/>
  <c r="AK391" i="4"/>
  <c r="AQ391" i="4"/>
  <c r="BD391" i="4" s="1"/>
  <c r="I381" i="4"/>
  <c r="E381" i="4"/>
  <c r="H381" i="4"/>
  <c r="U374" i="4"/>
  <c r="BA374" i="4"/>
  <c r="E367" i="4"/>
  <c r="I367" i="4"/>
  <c r="H367" i="4"/>
  <c r="AT334" i="4"/>
  <c r="AR334" i="4"/>
  <c r="E363" i="4"/>
  <c r="H363" i="4"/>
  <c r="I363" i="4"/>
  <c r="T366" i="4"/>
  <c r="W366" i="4"/>
  <c r="R366" i="4"/>
  <c r="U366" i="4" s="1"/>
  <c r="V370" i="4"/>
  <c r="S370" i="4"/>
  <c r="W370" i="4"/>
  <c r="R370" i="4"/>
  <c r="T370" i="4"/>
  <c r="AT359" i="4"/>
  <c r="AK338" i="4"/>
  <c r="AQ338" i="4"/>
  <c r="AP338" i="4"/>
  <c r="I320" i="4"/>
  <c r="BD320" i="4" s="1"/>
  <c r="H320" i="4"/>
  <c r="E320" i="4"/>
  <c r="AT362" i="4"/>
  <c r="AK371" i="4"/>
  <c r="AP371" i="4"/>
  <c r="AQ371" i="4"/>
  <c r="BA364" i="4"/>
  <c r="W356" i="4"/>
  <c r="S371" i="4"/>
  <c r="AQ359" i="4"/>
  <c r="AK359" i="4"/>
  <c r="AP359" i="4"/>
  <c r="I338" i="4"/>
  <c r="E338" i="4"/>
  <c r="H338" i="4"/>
  <c r="AT312" i="4"/>
  <c r="AT300" i="4"/>
  <c r="AR300" i="4"/>
  <c r="AT292" i="4"/>
  <c r="AR292" i="4"/>
  <c r="AT284" i="4"/>
  <c r="BC361" i="4"/>
  <c r="H314" i="4"/>
  <c r="E314" i="4"/>
  <c r="I314" i="4"/>
  <c r="S352" i="4"/>
  <c r="T349" i="4"/>
  <c r="AS349" i="4" s="1"/>
  <c r="AR349" i="4" s="1"/>
  <c r="AU349" i="4" s="1"/>
  <c r="AV349" i="4" s="1"/>
  <c r="AW349" i="4" s="1"/>
  <c r="W345" i="4"/>
  <c r="V345" i="4"/>
  <c r="T345" i="4"/>
  <c r="S345" i="4"/>
  <c r="R345" i="4"/>
  <c r="U345" i="4" s="1"/>
  <c r="BD336" i="4"/>
  <c r="AT315" i="4"/>
  <c r="U363" i="4"/>
  <c r="BA363" i="4"/>
  <c r="AE338" i="4"/>
  <c r="AS338" i="4"/>
  <c r="S315" i="4"/>
  <c r="R315" i="4"/>
  <c r="U315" i="4" s="1"/>
  <c r="W315" i="4"/>
  <c r="V315" i="4"/>
  <c r="T315" i="4"/>
  <c r="I309" i="4"/>
  <c r="BD309" i="4" s="1"/>
  <c r="H309" i="4"/>
  <c r="E309" i="4"/>
  <c r="I297" i="4"/>
  <c r="BC297" i="4" s="1"/>
  <c r="H297" i="4"/>
  <c r="E297" i="4"/>
  <c r="BD365" i="4"/>
  <c r="I341" i="4"/>
  <c r="H341" i="4"/>
  <c r="E341" i="4"/>
  <c r="AT301" i="4"/>
  <c r="BC303" i="4"/>
  <c r="BC290" i="4"/>
  <c r="AU290" i="4"/>
  <c r="AV290" i="4" s="1"/>
  <c r="AW290" i="4" s="1"/>
  <c r="AQ328" i="4"/>
  <c r="BD328" i="4" s="1"/>
  <c r="AP328" i="4"/>
  <c r="AK328" i="4"/>
  <c r="AR278" i="4"/>
  <c r="AT278" i="4"/>
  <c r="AR357" i="4"/>
  <c r="AU357" i="4" s="1"/>
  <c r="AV357" i="4" s="1"/>
  <c r="AW357" i="4" s="1"/>
  <c r="AU335" i="4"/>
  <c r="AV335" i="4" s="1"/>
  <c r="AW335" i="4" s="1"/>
  <c r="BC327" i="4"/>
  <c r="BC300" i="4"/>
  <c r="BC289" i="4"/>
  <c r="AR336" i="4"/>
  <c r="AU336" i="4" s="1"/>
  <c r="AV336" i="4" s="1"/>
  <c r="AW336" i="4" s="1"/>
  <c r="BC283" i="4"/>
  <c r="AP324" i="4"/>
  <c r="AK324" i="4"/>
  <c r="AQ324" i="4"/>
  <c r="AE284" i="4"/>
  <c r="AS284" i="4"/>
  <c r="AR284" i="4" s="1"/>
  <c r="BA274" i="4"/>
  <c r="AQ264" i="4"/>
  <c r="AP264" i="4"/>
  <c r="AK264" i="4"/>
  <c r="R261" i="4"/>
  <c r="U261" i="4" s="1"/>
  <c r="AS261" i="4" s="1"/>
  <c r="V261" i="4"/>
  <c r="E254" i="4"/>
  <c r="I254" i="4"/>
  <c r="BC254" i="4" s="1"/>
  <c r="H254" i="4"/>
  <c r="R245" i="4"/>
  <c r="U245" i="4" s="1"/>
  <c r="V245" i="4"/>
  <c r="E238" i="4"/>
  <c r="I238" i="4"/>
  <c r="BD238" i="4" s="1"/>
  <c r="H238" i="4"/>
  <c r="H233" i="4"/>
  <c r="E233" i="4"/>
  <c r="I233" i="4"/>
  <c r="BD233" i="4" s="1"/>
  <c r="AP271" i="4"/>
  <c r="AK271" i="4"/>
  <c r="AQ271" i="4"/>
  <c r="U262" i="4"/>
  <c r="BA262" i="4"/>
  <c r="W245" i="4"/>
  <c r="S237" i="4"/>
  <c r="AS303" i="4"/>
  <c r="AR303" i="4" s="1"/>
  <c r="AU303" i="4" s="1"/>
  <c r="AV303" i="4" s="1"/>
  <c r="AW303" i="4" s="1"/>
  <c r="AE303" i="4"/>
  <c r="BD304" i="4"/>
  <c r="I270" i="4"/>
  <c r="H270" i="4"/>
  <c r="E270" i="4"/>
  <c r="AP259" i="4"/>
  <c r="AK259" i="4"/>
  <c r="AQ259" i="4"/>
  <c r="R243" i="4"/>
  <c r="U243" i="4" s="1"/>
  <c r="BA266" i="4"/>
  <c r="E226" i="4"/>
  <c r="I226" i="4"/>
  <c r="H226" i="4"/>
  <c r="AR196" i="4"/>
  <c r="AT265" i="4"/>
  <c r="S260" i="4"/>
  <c r="R260" i="4"/>
  <c r="U260" i="4" s="1"/>
  <c r="W260" i="4"/>
  <c r="V260" i="4"/>
  <c r="T260" i="4"/>
  <c r="S251" i="4"/>
  <c r="W243" i="4"/>
  <c r="AS227" i="4"/>
  <c r="AE227" i="4"/>
  <c r="U217" i="4"/>
  <c r="BA217" i="4"/>
  <c r="AP211" i="4"/>
  <c r="AK211" i="4"/>
  <c r="AQ211" i="4"/>
  <c r="BD211" i="4" s="1"/>
  <c r="AT205" i="4"/>
  <c r="AP203" i="4"/>
  <c r="AK203" i="4"/>
  <c r="AQ203" i="4"/>
  <c r="BD203" i="4" s="1"/>
  <c r="T198" i="4"/>
  <c r="W198" i="4"/>
  <c r="V198" i="4"/>
  <c r="S198" i="4"/>
  <c r="R198" i="4"/>
  <c r="U198" i="4" s="1"/>
  <c r="E173" i="4"/>
  <c r="I173" i="4"/>
  <c r="H173" i="4"/>
  <c r="R199" i="4"/>
  <c r="U199" i="4" s="1"/>
  <c r="E242" i="4"/>
  <c r="I242" i="4"/>
  <c r="BC242" i="4" s="1"/>
  <c r="H242" i="4"/>
  <c r="I202" i="4"/>
  <c r="H202" i="4"/>
  <c r="E202" i="4"/>
  <c r="W186" i="4"/>
  <c r="V186" i="4"/>
  <c r="T186" i="4"/>
  <c r="S186" i="4"/>
  <c r="R186" i="4"/>
  <c r="AQ240" i="4"/>
  <c r="AP240" i="4"/>
  <c r="AK240" i="4"/>
  <c r="AT221" i="4"/>
  <c r="AT189" i="4"/>
  <c r="AT173" i="4"/>
  <c r="U248" i="4"/>
  <c r="BA248" i="4"/>
  <c r="I210" i="4"/>
  <c r="H210" i="4"/>
  <c r="E210" i="4"/>
  <c r="AE168" i="4"/>
  <c r="AS168" i="4"/>
  <c r="H163" i="4"/>
  <c r="I163" i="4"/>
  <c r="E163" i="4"/>
  <c r="AS219" i="4"/>
  <c r="AE219" i="4"/>
  <c r="AK214" i="4"/>
  <c r="AP214" i="4"/>
  <c r="AQ214" i="4"/>
  <c r="BD214" i="4" s="1"/>
  <c r="T206" i="4"/>
  <c r="W206" i="4"/>
  <c r="V206" i="4"/>
  <c r="S206" i="4"/>
  <c r="R206" i="4"/>
  <c r="AP195" i="4"/>
  <c r="AK195" i="4"/>
  <c r="AQ195" i="4"/>
  <c r="U190" i="4"/>
  <c r="BA190" i="4"/>
  <c r="E250" i="4"/>
  <c r="I250" i="4"/>
  <c r="H250" i="4"/>
  <c r="AR232" i="4"/>
  <c r="AU232" i="4" s="1"/>
  <c r="AV232" i="4" s="1"/>
  <c r="AW232" i="4" s="1"/>
  <c r="AT214" i="4"/>
  <c r="S199" i="4"/>
  <c r="AE191" i="4"/>
  <c r="AS191" i="4"/>
  <c r="W170" i="4"/>
  <c r="V170" i="4"/>
  <c r="T170" i="4"/>
  <c r="S170" i="4"/>
  <c r="R170" i="4"/>
  <c r="U170" i="4" s="1"/>
  <c r="E157" i="4"/>
  <c r="I157" i="4"/>
  <c r="H157" i="4"/>
  <c r="BC196" i="4"/>
  <c r="AE167" i="4"/>
  <c r="AQ124" i="4"/>
  <c r="BD124" i="4" s="1"/>
  <c r="AP124" i="4"/>
  <c r="AK124" i="4"/>
  <c r="AT196" i="4"/>
  <c r="AE183" i="4"/>
  <c r="BC174" i="4"/>
  <c r="H159" i="4"/>
  <c r="I159" i="4"/>
  <c r="BC159" i="4" s="1"/>
  <c r="E159" i="4"/>
  <c r="AT148" i="4"/>
  <c r="AT136" i="4"/>
  <c r="AT192" i="4"/>
  <c r="AE179" i="4"/>
  <c r="E166" i="4"/>
  <c r="I166" i="4"/>
  <c r="H166" i="4"/>
  <c r="I150" i="4"/>
  <c r="BD150" i="4" s="1"/>
  <c r="H150" i="4"/>
  <c r="E150" i="4"/>
  <c r="AQ143" i="4"/>
  <c r="BD143" i="4" s="1"/>
  <c r="AP143" i="4"/>
  <c r="AK143" i="4"/>
  <c r="W136" i="4"/>
  <c r="V136" i="4"/>
  <c r="T136" i="4"/>
  <c r="S136" i="4"/>
  <c r="R136" i="4"/>
  <c r="U136" i="4" s="1"/>
  <c r="W128" i="4"/>
  <c r="V128" i="4"/>
  <c r="T128" i="4"/>
  <c r="S128" i="4"/>
  <c r="R128" i="4"/>
  <c r="U128" i="4" s="1"/>
  <c r="AQ119" i="4"/>
  <c r="BD119" i="4" s="1"/>
  <c r="AP119" i="4"/>
  <c r="AK119" i="4"/>
  <c r="AT131" i="4"/>
  <c r="AS176" i="4"/>
  <c r="AR176" i="4" s="1"/>
  <c r="AE176" i="4"/>
  <c r="AT169" i="4"/>
  <c r="I153" i="4"/>
  <c r="H153" i="4"/>
  <c r="E153" i="4"/>
  <c r="AS146" i="4"/>
  <c r="AR146" i="4" s="1"/>
  <c r="AU146" i="4" s="1"/>
  <c r="AV146" i="4" s="1"/>
  <c r="AW146" i="4" s="1"/>
  <c r="AE146" i="4"/>
  <c r="I141" i="4"/>
  <c r="H141" i="4"/>
  <c r="E141" i="4"/>
  <c r="R135" i="4"/>
  <c r="U135" i="4" s="1"/>
  <c r="W135" i="4"/>
  <c r="V135" i="4"/>
  <c r="T135" i="4"/>
  <c r="S135" i="4"/>
  <c r="I125" i="4"/>
  <c r="H125" i="4"/>
  <c r="E125" i="4"/>
  <c r="U152" i="4"/>
  <c r="BA152" i="4"/>
  <c r="AK129" i="4"/>
  <c r="AQ129" i="4"/>
  <c r="BD129" i="4" s="1"/>
  <c r="AP129" i="4"/>
  <c r="AE125" i="4"/>
  <c r="AS125" i="4"/>
  <c r="AE149" i="4"/>
  <c r="AT116" i="4"/>
  <c r="BD108" i="4"/>
  <c r="H91" i="4"/>
  <c r="E91" i="4"/>
  <c r="I91" i="4"/>
  <c r="H75" i="4"/>
  <c r="E75" i="4"/>
  <c r="I75" i="4"/>
  <c r="AT84" i="4"/>
  <c r="AT76" i="4"/>
  <c r="AT68" i="4"/>
  <c r="AQ91" i="4"/>
  <c r="AP91" i="4"/>
  <c r="AK91" i="4"/>
  <c r="W72" i="4"/>
  <c r="BB72" i="4" s="1"/>
  <c r="V72" i="4"/>
  <c r="T72" i="4"/>
  <c r="S72" i="4"/>
  <c r="R72" i="4"/>
  <c r="U72" i="4" s="1"/>
  <c r="AT83" i="4"/>
  <c r="D79" i="4"/>
  <c r="W79" i="4" s="1"/>
  <c r="BB74" i="4"/>
  <c r="AT59" i="4"/>
  <c r="AR106" i="4"/>
  <c r="AU106" i="4" s="1"/>
  <c r="AV106" i="4" s="1"/>
  <c r="AW106" i="4" s="1"/>
  <c r="BA97" i="4"/>
  <c r="U97" i="4"/>
  <c r="AS97" i="4" s="1"/>
  <c r="I93" i="4"/>
  <c r="H93" i="4"/>
  <c r="E93" i="4"/>
  <c r="I89" i="4"/>
  <c r="H89" i="4"/>
  <c r="E89" i="4"/>
  <c r="D85" i="4"/>
  <c r="I85" i="4"/>
  <c r="H85" i="4"/>
  <c r="E85" i="4"/>
  <c r="D81" i="4"/>
  <c r="I81" i="4"/>
  <c r="H81" i="4"/>
  <c r="E81" i="4"/>
  <c r="D77" i="4"/>
  <c r="I77" i="4"/>
  <c r="E77" i="4"/>
  <c r="D73" i="4"/>
  <c r="I73" i="4"/>
  <c r="E73" i="4"/>
  <c r="D69" i="4"/>
  <c r="I69" i="4"/>
  <c r="H69" i="4"/>
  <c r="E69" i="4"/>
  <c r="I65" i="4"/>
  <c r="H65" i="4"/>
  <c r="E65" i="4"/>
  <c r="D65" i="4"/>
  <c r="C59" i="4"/>
  <c r="AT109" i="4"/>
  <c r="BC138" i="4"/>
  <c r="AS122" i="4"/>
  <c r="AE122" i="4"/>
  <c r="U68" i="4"/>
  <c r="BA68" i="4"/>
  <c r="AT64" i="4"/>
  <c r="D80" i="4"/>
  <c r="I70" i="4"/>
  <c r="E48" i="4"/>
  <c r="I48" i="4"/>
  <c r="H48" i="4"/>
  <c r="V36" i="4"/>
  <c r="T36" i="4"/>
  <c r="S36" i="4"/>
  <c r="R36" i="4"/>
  <c r="W36" i="4"/>
  <c r="BB36" i="4" s="1"/>
  <c r="H30" i="4"/>
  <c r="E30" i="4"/>
  <c r="C30" i="4"/>
  <c r="I30" i="4"/>
  <c r="AQ23" i="4"/>
  <c r="BD23" i="4" s="1"/>
  <c r="AP23" i="4"/>
  <c r="AK23" i="4"/>
  <c r="D48" i="4"/>
  <c r="C85" i="4"/>
  <c r="C61" i="4"/>
  <c r="AP60" i="4"/>
  <c r="AK60" i="4"/>
  <c r="AQ60" i="4"/>
  <c r="BD60" i="4" s="1"/>
  <c r="C48" i="4"/>
  <c r="I29" i="4"/>
  <c r="H29" i="4"/>
  <c r="E29" i="4"/>
  <c r="I21" i="4"/>
  <c r="H21" i="4"/>
  <c r="E21" i="4"/>
  <c r="I13" i="4"/>
  <c r="H13" i="4"/>
  <c r="E13" i="4"/>
  <c r="AE93" i="4"/>
  <c r="I51" i="4"/>
  <c r="H51" i="4"/>
  <c r="E51" i="4"/>
  <c r="AT30" i="4"/>
  <c r="AT14" i="4"/>
  <c r="C14" i="4"/>
  <c r="E50" i="4"/>
  <c r="BB40" i="4"/>
  <c r="AT33" i="4"/>
  <c r="D21" i="4"/>
  <c r="T21" i="4" s="1"/>
  <c r="BB8" i="4"/>
  <c r="AQ57" i="4"/>
  <c r="BD57" i="4" s="1"/>
  <c r="AP57" i="4"/>
  <c r="AK57" i="4"/>
  <c r="AT53" i="4"/>
  <c r="AK40" i="4"/>
  <c r="AK24" i="4"/>
  <c r="AQ24" i="4"/>
  <c r="BD24" i="4" s="1"/>
  <c r="AP24" i="4"/>
  <c r="E11" i="4"/>
  <c r="D11" i="4"/>
  <c r="W11" i="4" s="1"/>
  <c r="I11" i="4"/>
  <c r="H11" i="4"/>
  <c r="E7" i="4"/>
  <c r="D7" i="4"/>
  <c r="W7" i="4" s="1"/>
  <c r="I7" i="4"/>
  <c r="H7" i="4"/>
  <c r="I24" i="4"/>
  <c r="H6" i="4"/>
  <c r="E6" i="4"/>
  <c r="I6" i="4"/>
  <c r="I8" i="4"/>
  <c r="I32" i="4"/>
  <c r="BR11" i="1"/>
  <c r="F11" i="1"/>
  <c r="DM8" i="1"/>
  <c r="BA8" i="1"/>
  <c r="DI8" i="1"/>
  <c r="AW8" i="1"/>
  <c r="CW11" i="1"/>
  <c r="AK11" i="1"/>
  <c r="CN8" i="1"/>
  <c r="AB8" i="1"/>
  <c r="BX11" i="1"/>
  <c r="L11" i="1"/>
  <c r="DS8" i="1"/>
  <c r="BG8" i="1"/>
  <c r="CM11" i="1"/>
  <c r="AA11" i="1"/>
  <c r="BV8" i="1"/>
  <c r="J8" i="1"/>
  <c r="DB11" i="1"/>
  <c r="AP11" i="1"/>
  <c r="DI11" i="1"/>
  <c r="AW11" i="1"/>
  <c r="CX9" i="1"/>
  <c r="AL9" i="1"/>
  <c r="CR8" i="1"/>
  <c r="AF8" i="1"/>
  <c r="CR11" i="1"/>
  <c r="AF11" i="1"/>
  <c r="CG9" i="1"/>
  <c r="U9" i="1"/>
  <c r="CA8" i="1"/>
  <c r="O8" i="1"/>
  <c r="BR8" i="1"/>
  <c r="F8" i="1"/>
  <c r="U6" i="1"/>
  <c r="V6" i="1" s="1"/>
  <c r="W6" i="1" s="1"/>
  <c r="X6" i="1" s="1"/>
  <c r="Y6" i="1" s="1"/>
  <c r="Z6" i="1" s="1"/>
  <c r="AA6" i="1" s="1"/>
  <c r="T1" i="1"/>
  <c r="BD262" i="8"/>
  <c r="BD234" i="8"/>
  <c r="BD61" i="8"/>
  <c r="AE265" i="8"/>
  <c r="AS265" i="8"/>
  <c r="AR265" i="8" s="1"/>
  <c r="AS261" i="8"/>
  <c r="AE261" i="8"/>
  <c r="AK9" i="8"/>
  <c r="AP9" i="8"/>
  <c r="AP125" i="8"/>
  <c r="AK125" i="8"/>
  <c r="AK10" i="8"/>
  <c r="AP10" i="8"/>
  <c r="AJ17" i="7"/>
  <c r="AO17" i="7"/>
  <c r="AT60" i="8"/>
  <c r="H112" i="8"/>
  <c r="E112" i="8"/>
  <c r="D112" i="8"/>
  <c r="I112" i="8"/>
  <c r="BC112" i="8" s="1"/>
  <c r="AT132" i="8"/>
  <c r="I123" i="8"/>
  <c r="E123" i="8"/>
  <c r="D123" i="8"/>
  <c r="C123" i="8"/>
  <c r="H123" i="8"/>
  <c r="AQ133" i="8"/>
  <c r="BD133" i="8" s="1"/>
  <c r="AP133" i="8"/>
  <c r="AK133" i="8"/>
  <c r="BC133" i="8" s="1"/>
  <c r="AT131" i="8"/>
  <c r="AU131" i="8" s="1"/>
  <c r="AV131" i="8" s="1"/>
  <c r="AW131" i="8" s="1"/>
  <c r="I132" i="8"/>
  <c r="E132" i="8"/>
  <c r="H132" i="8"/>
  <c r="C132" i="8"/>
  <c r="AT199" i="8"/>
  <c r="AT188" i="8"/>
  <c r="D258" i="8"/>
  <c r="H258" i="8"/>
  <c r="E258" i="8"/>
  <c r="C258" i="8"/>
  <c r="H221" i="8"/>
  <c r="I221" i="8"/>
  <c r="E221" i="8"/>
  <c r="C221" i="8"/>
  <c r="AS227" i="8"/>
  <c r="AE227" i="8"/>
  <c r="I216" i="8"/>
  <c r="BC216" i="8" s="1"/>
  <c r="E216" i="8"/>
  <c r="H216" i="8"/>
  <c r="E232" i="8"/>
  <c r="D232" i="8"/>
  <c r="C245" i="8"/>
  <c r="H245" i="8"/>
  <c r="AS237" i="8"/>
  <c r="AN237" i="8" s="1"/>
  <c r="AO237" i="8" s="1"/>
  <c r="AE237" i="8"/>
  <c r="AK229" i="8"/>
  <c r="AP229" i="8"/>
  <c r="AS218" i="8"/>
  <c r="AE218" i="8"/>
  <c r="AK227" i="8"/>
  <c r="AP227" i="8"/>
  <c r="AK221" i="8"/>
  <c r="AQ221" i="8"/>
  <c r="AP221" i="8"/>
  <c r="AS236" i="8"/>
  <c r="AN236" i="8" s="1"/>
  <c r="AO236" i="8" s="1"/>
  <c r="AE236" i="8"/>
  <c r="H289" i="8"/>
  <c r="E289" i="8"/>
  <c r="I289" i="8"/>
  <c r="D248" i="8"/>
  <c r="E248" i="8"/>
  <c r="C248" i="8"/>
  <c r="I248" i="8"/>
  <c r="BC248" i="8" s="1"/>
  <c r="H315" i="8"/>
  <c r="E315" i="8"/>
  <c r="D315" i="8"/>
  <c r="I315" i="8"/>
  <c r="H278" i="8"/>
  <c r="C278" i="8"/>
  <c r="AS328" i="8"/>
  <c r="AE328" i="8"/>
  <c r="D340" i="8"/>
  <c r="I340" i="8"/>
  <c r="H340" i="8"/>
  <c r="E340" i="8"/>
  <c r="C340" i="8"/>
  <c r="H350" i="8"/>
  <c r="I350" i="8"/>
  <c r="E350" i="8"/>
  <c r="C350" i="8"/>
  <c r="H349" i="8"/>
  <c r="E349" i="8"/>
  <c r="D349" i="8"/>
  <c r="C349" i="8"/>
  <c r="I349" i="8"/>
  <c r="BD349" i="8" s="1"/>
  <c r="D332" i="8"/>
  <c r="E332" i="8"/>
  <c r="C332" i="8"/>
  <c r="I332" i="8"/>
  <c r="BD332" i="8" s="1"/>
  <c r="H332" i="8"/>
  <c r="AS329" i="8"/>
  <c r="AR329" i="8" s="1"/>
  <c r="AU329" i="8" s="1"/>
  <c r="AV329" i="8" s="1"/>
  <c r="AW329" i="8" s="1"/>
  <c r="AE329" i="8"/>
  <c r="AT339" i="8"/>
  <c r="AT347" i="8"/>
  <c r="AS355" i="8"/>
  <c r="AE355" i="8"/>
  <c r="BF9" i="5"/>
  <c r="AQ395" i="4"/>
  <c r="AP395" i="4"/>
  <c r="AK395" i="4"/>
  <c r="I397" i="4"/>
  <c r="H397" i="4"/>
  <c r="E397" i="4"/>
  <c r="BR9" i="5"/>
  <c r="F9" i="5"/>
  <c r="U384" i="4"/>
  <c r="AS384" i="4" s="1"/>
  <c r="BA384" i="4"/>
  <c r="BY9" i="5"/>
  <c r="M9" i="5"/>
  <c r="DL9" i="5"/>
  <c r="AZ9" i="5"/>
  <c r="E399" i="4"/>
  <c r="I399" i="4"/>
  <c r="H399" i="4"/>
  <c r="AQ392" i="4"/>
  <c r="BD392" i="4" s="1"/>
  <c r="AP392" i="4"/>
  <c r="AK392" i="4"/>
  <c r="AT389" i="4"/>
  <c r="I382" i="4"/>
  <c r="BD382" i="4" s="1"/>
  <c r="H382" i="4"/>
  <c r="E382" i="4"/>
  <c r="AR377" i="4"/>
  <c r="AU377" i="4" s="1"/>
  <c r="AV377" i="4" s="1"/>
  <c r="AW377" i="4" s="1"/>
  <c r="AR396" i="4"/>
  <c r="T382" i="4"/>
  <c r="S382" i="4"/>
  <c r="W382" i="4"/>
  <c r="V382" i="4"/>
  <c r="R382" i="4"/>
  <c r="U382" i="4" s="1"/>
  <c r="AT385" i="4"/>
  <c r="AP383" i="4"/>
  <c r="AK383" i="4"/>
  <c r="AQ383" i="4"/>
  <c r="BD383" i="4" s="1"/>
  <c r="AT390" i="4"/>
  <c r="AT379" i="4"/>
  <c r="AT354" i="4"/>
  <c r="V375" i="4"/>
  <c r="T375" i="4"/>
  <c r="S375" i="4"/>
  <c r="W375" i="4"/>
  <c r="R375" i="4"/>
  <c r="I366" i="4"/>
  <c r="BD366" i="4" s="1"/>
  <c r="H366" i="4"/>
  <c r="E366" i="4"/>
  <c r="S366" i="4"/>
  <c r="AT372" i="4"/>
  <c r="AR353" i="4"/>
  <c r="AU353" i="4" s="1"/>
  <c r="AV353" i="4" s="1"/>
  <c r="AW353" i="4" s="1"/>
  <c r="BC334" i="4"/>
  <c r="I316" i="4"/>
  <c r="BC316" i="4" s="1"/>
  <c r="H316" i="4"/>
  <c r="E316" i="4"/>
  <c r="AS343" i="4"/>
  <c r="AR343" i="4" s="1"/>
  <c r="AU343" i="4" s="1"/>
  <c r="AV343" i="4" s="1"/>
  <c r="AW343" i="4" s="1"/>
  <c r="AE343" i="4"/>
  <c r="AT337" i="4"/>
  <c r="I371" i="4"/>
  <c r="E371" i="4"/>
  <c r="H371" i="4"/>
  <c r="R364" i="4"/>
  <c r="U364" i="4" s="1"/>
  <c r="W364" i="4"/>
  <c r="V364" i="4"/>
  <c r="S364" i="4"/>
  <c r="T364" i="4"/>
  <c r="R356" i="4"/>
  <c r="U356" i="4" s="1"/>
  <c r="AT375" i="4"/>
  <c r="H359" i="4"/>
  <c r="E359" i="4"/>
  <c r="I359" i="4"/>
  <c r="BD339" i="4"/>
  <c r="AT299" i="4"/>
  <c r="AR299" i="4"/>
  <c r="AT291" i="4"/>
  <c r="AR291" i="4"/>
  <c r="AT283" i="4"/>
  <c r="AR283" i="4"/>
  <c r="AE367" i="4"/>
  <c r="AS367" i="4"/>
  <c r="W352" i="4"/>
  <c r="E349" i="4"/>
  <c r="I349" i="4"/>
  <c r="BC349" i="4" s="1"/>
  <c r="H349" i="4"/>
  <c r="AP344" i="4"/>
  <c r="AQ344" i="4"/>
  <c r="BD344" i="4" s="1"/>
  <c r="AK344" i="4"/>
  <c r="BD332" i="4"/>
  <c r="S319" i="4"/>
  <c r="R319" i="4"/>
  <c r="U319" i="4" s="1"/>
  <c r="W319" i="4"/>
  <c r="V319" i="4"/>
  <c r="T319" i="4"/>
  <c r="AQ314" i="4"/>
  <c r="AP314" i="4"/>
  <c r="AK314" i="4"/>
  <c r="I301" i="4"/>
  <c r="H301" i="4"/>
  <c r="E301" i="4"/>
  <c r="BC339" i="4"/>
  <c r="AR286" i="4"/>
  <c r="AT286" i="4"/>
  <c r="BC323" i="4"/>
  <c r="AR323" i="4"/>
  <c r="AU323" i="4" s="1"/>
  <c r="AV323" i="4" s="1"/>
  <c r="AW323" i="4" s="1"/>
  <c r="BD283" i="4"/>
  <c r="BC325" i="4"/>
  <c r="BC322" i="4"/>
  <c r="AU322" i="4"/>
  <c r="AV322" i="4" s="1"/>
  <c r="AW322" i="4" s="1"/>
  <c r="BD334" i="4"/>
  <c r="BD317" i="4"/>
  <c r="AS306" i="4"/>
  <c r="AE306" i="4"/>
  <c r="H324" i="4"/>
  <c r="E324" i="4"/>
  <c r="I324" i="4"/>
  <c r="H278" i="4"/>
  <c r="I278" i="4"/>
  <c r="E278" i="4"/>
  <c r="AT263" i="4"/>
  <c r="AT247" i="4"/>
  <c r="R233" i="4"/>
  <c r="U233" i="4" s="1"/>
  <c r="V233" i="4"/>
  <c r="S233" i="4"/>
  <c r="T233" i="4"/>
  <c r="W233" i="4"/>
  <c r="V229" i="4"/>
  <c r="W229" i="4"/>
  <c r="T229" i="4"/>
  <c r="S229" i="4"/>
  <c r="R229" i="4"/>
  <c r="U229" i="4" s="1"/>
  <c r="W275" i="4"/>
  <c r="T275" i="4"/>
  <c r="S275" i="4"/>
  <c r="R275" i="4"/>
  <c r="U275" i="4" s="1"/>
  <c r="V275" i="4"/>
  <c r="W253" i="4"/>
  <c r="S245" i="4"/>
  <c r="AS234" i="4"/>
  <c r="AR234" i="4" s="1"/>
  <c r="AU234" i="4" s="1"/>
  <c r="AV234" i="4" s="1"/>
  <c r="AW234" i="4" s="1"/>
  <c r="AE234" i="4"/>
  <c r="BC277" i="4"/>
  <c r="BC296" i="4"/>
  <c r="AU296" i="4"/>
  <c r="AV296" i="4" s="1"/>
  <c r="AW296" i="4" s="1"/>
  <c r="AT276" i="4"/>
  <c r="BC268" i="4"/>
  <c r="W258" i="4"/>
  <c r="V258" i="4"/>
  <c r="T258" i="4"/>
  <c r="S258" i="4"/>
  <c r="R258" i="4"/>
  <c r="U258" i="4" s="1"/>
  <c r="AP251" i="4"/>
  <c r="AK251" i="4"/>
  <c r="AQ251" i="4"/>
  <c r="BA273" i="4"/>
  <c r="U273" i="4"/>
  <c r="AK265" i="4"/>
  <c r="AP265" i="4"/>
  <c r="AQ265" i="4"/>
  <c r="BD265" i="4" s="1"/>
  <c r="S259" i="4"/>
  <c r="W251" i="4"/>
  <c r="AT258" i="4"/>
  <c r="AT248" i="4"/>
  <c r="I241" i="4"/>
  <c r="E241" i="4"/>
  <c r="H241" i="4"/>
  <c r="AT217" i="4"/>
  <c r="W215" i="4"/>
  <c r="S215" i="4"/>
  <c r="R215" i="4"/>
  <c r="U215" i="4" s="1"/>
  <c r="T215" i="4"/>
  <c r="V215" i="4"/>
  <c r="AK210" i="4"/>
  <c r="AQ210" i="4"/>
  <c r="AP210" i="4"/>
  <c r="AK205" i="4"/>
  <c r="AP205" i="4"/>
  <c r="AQ205" i="4"/>
  <c r="BD205" i="4" s="1"/>
  <c r="AT186" i="4"/>
  <c r="AS211" i="4"/>
  <c r="AE211" i="4"/>
  <c r="AQ185" i="4"/>
  <c r="BD185" i="4" s="1"/>
  <c r="AP185" i="4"/>
  <c r="AK185" i="4"/>
  <c r="I240" i="4"/>
  <c r="H240" i="4"/>
  <c r="E240" i="4"/>
  <c r="AK221" i="4"/>
  <c r="AP221" i="4"/>
  <c r="AQ221" i="4"/>
  <c r="BD221" i="4" s="1"/>
  <c r="AR204" i="4"/>
  <c r="AU204" i="4" s="1"/>
  <c r="AV204" i="4" s="1"/>
  <c r="AW204" i="4" s="1"/>
  <c r="AR184" i="4"/>
  <c r="AR164" i="4"/>
  <c r="AT266" i="4"/>
  <c r="T248" i="4"/>
  <c r="S248" i="4"/>
  <c r="W248" i="4"/>
  <c r="V248" i="4"/>
  <c r="R248" i="4"/>
  <c r="I225" i="4"/>
  <c r="H225" i="4"/>
  <c r="E225" i="4"/>
  <c r="AE222" i="4"/>
  <c r="AS222" i="4"/>
  <c r="AT202" i="4"/>
  <c r="AK198" i="4"/>
  <c r="AQ198" i="4"/>
  <c r="AP198" i="4"/>
  <c r="W193" i="4"/>
  <c r="V193" i="4"/>
  <c r="T193" i="4"/>
  <c r="S193" i="4"/>
  <c r="R193" i="4"/>
  <c r="U193" i="4" s="1"/>
  <c r="W189" i="4"/>
  <c r="V189" i="4"/>
  <c r="T189" i="4"/>
  <c r="S189" i="4"/>
  <c r="R189" i="4"/>
  <c r="U189" i="4" s="1"/>
  <c r="W185" i="4"/>
  <c r="V185" i="4"/>
  <c r="T185" i="4"/>
  <c r="S185" i="4"/>
  <c r="R185" i="4"/>
  <c r="U185" i="4" s="1"/>
  <c r="W181" i="4"/>
  <c r="V181" i="4"/>
  <c r="T181" i="4"/>
  <c r="S181" i="4"/>
  <c r="R181" i="4"/>
  <c r="U181" i="4" s="1"/>
  <c r="W177" i="4"/>
  <c r="V177" i="4"/>
  <c r="T177" i="4"/>
  <c r="S177" i="4"/>
  <c r="R177" i="4"/>
  <c r="U177" i="4" s="1"/>
  <c r="W173" i="4"/>
  <c r="V173" i="4"/>
  <c r="T173" i="4"/>
  <c r="S173" i="4"/>
  <c r="R173" i="4"/>
  <c r="U173" i="4" s="1"/>
  <c r="U163" i="4"/>
  <c r="AS163" i="4" s="1"/>
  <c r="AR163" i="4" s="1"/>
  <c r="AU163" i="4" s="1"/>
  <c r="AV163" i="4" s="1"/>
  <c r="AW163" i="4" s="1"/>
  <c r="BA163" i="4"/>
  <c r="I249" i="4"/>
  <c r="E249" i="4"/>
  <c r="H249" i="4"/>
  <c r="AS226" i="4"/>
  <c r="AR226" i="4" s="1"/>
  <c r="AU226" i="4" s="1"/>
  <c r="AV226" i="4" s="1"/>
  <c r="AW226" i="4" s="1"/>
  <c r="AE226" i="4"/>
  <c r="AS267" i="4"/>
  <c r="AE267" i="4"/>
  <c r="I213" i="4"/>
  <c r="E213" i="4"/>
  <c r="H213" i="4"/>
  <c r="U206" i="4"/>
  <c r="BA206" i="4"/>
  <c r="E182" i="4"/>
  <c r="I182" i="4"/>
  <c r="BD182" i="4" s="1"/>
  <c r="H182" i="4"/>
  <c r="AK175" i="4"/>
  <c r="AQ175" i="4"/>
  <c r="BD175" i="4" s="1"/>
  <c r="AP175" i="4"/>
  <c r="AQ152" i="4"/>
  <c r="AP152" i="4"/>
  <c r="AK152" i="4"/>
  <c r="AQ135" i="4"/>
  <c r="BD135" i="4" s="1"/>
  <c r="AP135" i="4"/>
  <c r="AK135" i="4"/>
  <c r="AQ127" i="4"/>
  <c r="BD127" i="4" s="1"/>
  <c r="AP127" i="4"/>
  <c r="AK127" i="4"/>
  <c r="BA162" i="4"/>
  <c r="U162" i="4"/>
  <c r="AT119" i="4"/>
  <c r="BD194" i="4"/>
  <c r="AQ169" i="4"/>
  <c r="BD169" i="4" s="1"/>
  <c r="AP169" i="4"/>
  <c r="AK169" i="4"/>
  <c r="U153" i="4"/>
  <c r="AS153" i="4" s="1"/>
  <c r="BA153" i="4"/>
  <c r="AS134" i="4"/>
  <c r="AE134" i="4"/>
  <c r="I117" i="4"/>
  <c r="H117" i="4"/>
  <c r="E117" i="4"/>
  <c r="V165" i="4"/>
  <c r="T165" i="4"/>
  <c r="S165" i="4"/>
  <c r="W165" i="4"/>
  <c r="R165" i="4"/>
  <c r="U165" i="4" s="1"/>
  <c r="AK133" i="4"/>
  <c r="AQ133" i="4"/>
  <c r="AP133" i="4"/>
  <c r="AE129" i="4"/>
  <c r="AS129" i="4"/>
  <c r="AR122" i="4"/>
  <c r="AU122" i="4" s="1"/>
  <c r="AV122" i="4" s="1"/>
  <c r="AW122" i="4" s="1"/>
  <c r="AP105" i="4"/>
  <c r="AQ105" i="4"/>
  <c r="BD105" i="4" s="1"/>
  <c r="AK105" i="4"/>
  <c r="BC118" i="4"/>
  <c r="AP116" i="4"/>
  <c r="AK116" i="4"/>
  <c r="AQ116" i="4"/>
  <c r="BD116" i="4" s="1"/>
  <c r="AQ88" i="4"/>
  <c r="AP88" i="4"/>
  <c r="AK88" i="4"/>
  <c r="AQ72" i="4"/>
  <c r="BD72" i="4" s="1"/>
  <c r="AP72" i="4"/>
  <c r="AK72" i="4"/>
  <c r="W101" i="4"/>
  <c r="AT92" i="4"/>
  <c r="BC130" i="4"/>
  <c r="BC146" i="4"/>
  <c r="AT87" i="4"/>
  <c r="D83" i="4"/>
  <c r="V83" i="4" s="1"/>
  <c r="BB78" i="4"/>
  <c r="D59" i="4"/>
  <c r="AK100" i="4"/>
  <c r="AQ100" i="4"/>
  <c r="BD100" i="4" s="1"/>
  <c r="AP100" i="4"/>
  <c r="U93" i="4"/>
  <c r="AS93" i="4" s="1"/>
  <c r="BA93" i="4"/>
  <c r="U89" i="4"/>
  <c r="BA89" i="4"/>
  <c r="AK58" i="4"/>
  <c r="AS162" i="4"/>
  <c r="AE162" i="4"/>
  <c r="AT103" i="4"/>
  <c r="AR103" i="4"/>
  <c r="U108" i="4"/>
  <c r="BA108" i="4"/>
  <c r="BD98" i="4"/>
  <c r="AK93" i="4"/>
  <c r="AQ93" i="4"/>
  <c r="AP93" i="4"/>
  <c r="E88" i="4"/>
  <c r="I88" i="4"/>
  <c r="H88" i="4"/>
  <c r="AK77" i="4"/>
  <c r="E72" i="4"/>
  <c r="I72" i="4"/>
  <c r="C81" i="4"/>
  <c r="C65" i="4"/>
  <c r="AP64" i="4"/>
  <c r="AK64" i="4"/>
  <c r="AT55" i="4"/>
  <c r="AT46" i="4"/>
  <c r="H42" i="4"/>
  <c r="E42" i="4"/>
  <c r="C42" i="4"/>
  <c r="I42" i="4"/>
  <c r="AQ35" i="4"/>
  <c r="BD35" i="4" s="1"/>
  <c r="AP35" i="4"/>
  <c r="AK35" i="4"/>
  <c r="V16" i="4"/>
  <c r="T16" i="4"/>
  <c r="S16" i="4"/>
  <c r="R16" i="4"/>
  <c r="W16" i="4"/>
  <c r="E10" i="4"/>
  <c r="I10" i="4"/>
  <c r="E60" i="4"/>
  <c r="I60" i="4"/>
  <c r="S58" i="4"/>
  <c r="R58" i="4"/>
  <c r="W58" i="4"/>
  <c r="BB58" i="4" s="1"/>
  <c r="V58" i="4"/>
  <c r="T58" i="4"/>
  <c r="I37" i="4"/>
  <c r="H37" i="4"/>
  <c r="E37" i="4"/>
  <c r="D30" i="4"/>
  <c r="D14" i="4"/>
  <c r="V101" i="4"/>
  <c r="C10" i="4"/>
  <c r="C69" i="4"/>
  <c r="I50" i="4"/>
  <c r="AP45" i="4"/>
  <c r="AK45" i="4"/>
  <c r="AQ45" i="4"/>
  <c r="BD45" i="4" s="1"/>
  <c r="D33" i="4"/>
  <c r="BB20" i="4"/>
  <c r="AT13" i="4"/>
  <c r="E35" i="4"/>
  <c r="D35" i="4"/>
  <c r="C35" i="4"/>
  <c r="I35" i="4"/>
  <c r="H35" i="4"/>
  <c r="C29" i="4"/>
  <c r="E15" i="4"/>
  <c r="D15" i="4"/>
  <c r="C15" i="4"/>
  <c r="I15" i="4"/>
  <c r="H15" i="4"/>
  <c r="I20" i="4"/>
  <c r="I12" i="4"/>
  <c r="EO9" i="3"/>
  <c r="CS9" i="3"/>
  <c r="CC9" i="3"/>
  <c r="AG9" i="3"/>
  <c r="Q9" i="3"/>
  <c r="DW9" i="3"/>
  <c r="DG9" i="3"/>
  <c r="BK9" i="3"/>
  <c r="AU9" i="3"/>
  <c r="FB9" i="3"/>
  <c r="EL9" i="3"/>
  <c r="CP9" i="3"/>
  <c r="BZ9" i="3"/>
  <c r="AD9" i="3"/>
  <c r="N9" i="3"/>
  <c r="DU9" i="3"/>
  <c r="DE9" i="3"/>
  <c r="BI9" i="3"/>
  <c r="AS9" i="3"/>
  <c r="E9" i="3"/>
  <c r="DY9" i="3" s="1"/>
  <c r="EZ9" i="3"/>
  <c r="EJ9" i="3"/>
  <c r="CN9" i="3"/>
  <c r="BX9" i="3"/>
  <c r="AB9" i="3"/>
  <c r="L9" i="3"/>
  <c r="DJ9" i="3"/>
  <c r="CT9" i="3"/>
  <c r="AX9" i="3"/>
  <c r="AH9" i="3"/>
  <c r="DS9" i="3"/>
  <c r="CM9" i="3"/>
  <c r="AA9" i="3"/>
  <c r="S9" i="3"/>
  <c r="EN9" i="3"/>
  <c r="CB9" i="3"/>
  <c r="BW9" i="3"/>
  <c r="AQ9" i="3"/>
  <c r="EF9" i="3"/>
  <c r="EA9" i="3"/>
  <c r="CU9" i="3"/>
  <c r="AI9" i="3"/>
  <c r="BD9" i="3"/>
  <c r="X9" i="3"/>
  <c r="DP9" i="3"/>
  <c r="CO11" i="1"/>
  <c r="AC11" i="1"/>
  <c r="CF8" i="1"/>
  <c r="T8" i="1"/>
  <c r="BP11" i="1"/>
  <c r="DK8" i="1"/>
  <c r="AY8" i="1"/>
  <c r="CE11" i="1"/>
  <c r="S11" i="1"/>
  <c r="BN8" i="1"/>
  <c r="CT11" i="1"/>
  <c r="AH11" i="1"/>
  <c r="DA11" i="1"/>
  <c r="AO11" i="1"/>
  <c r="CP9" i="1"/>
  <c r="AD9" i="1"/>
  <c r="CJ8" i="1"/>
  <c r="X8" i="1"/>
  <c r="CJ11" i="1"/>
  <c r="X11" i="1"/>
  <c r="BY9" i="1"/>
  <c r="M9" i="1"/>
  <c r="BS8" i="1"/>
  <c r="G8" i="1"/>
  <c r="AT400" i="8"/>
  <c r="I400" i="8"/>
  <c r="H400" i="8"/>
  <c r="C400" i="8"/>
  <c r="AT399" i="8"/>
  <c r="C399" i="8"/>
  <c r="I399" i="8"/>
  <c r="H399" i="8"/>
  <c r="AT398" i="8"/>
  <c r="I398" i="8"/>
  <c r="H398" i="8"/>
  <c r="C398" i="8"/>
  <c r="AQ398" i="8"/>
  <c r="AK398" i="8"/>
  <c r="AP398" i="8"/>
  <c r="AE398" i="8"/>
  <c r="AS398" i="8"/>
  <c r="AT392" i="8"/>
  <c r="AK388" i="8"/>
  <c r="AQ388" i="8"/>
  <c r="AP388" i="8"/>
  <c r="AK385" i="8"/>
  <c r="AP385" i="8"/>
  <c r="AQ385" i="8"/>
  <c r="AK383" i="8"/>
  <c r="AP383" i="8"/>
  <c r="AQ383" i="8"/>
  <c r="I382" i="8"/>
  <c r="H382" i="8"/>
  <c r="E382" i="8"/>
  <c r="D382" i="8"/>
  <c r="AS391" i="8"/>
  <c r="AE391" i="8"/>
  <c r="AQ392" i="8"/>
  <c r="AK392" i="8"/>
  <c r="AP392" i="8"/>
  <c r="AS393" i="8"/>
  <c r="AE393" i="8"/>
  <c r="AQ394" i="8"/>
  <c r="AK394" i="8"/>
  <c r="AP394" i="8"/>
  <c r="AS395" i="8"/>
  <c r="AE395" i="8"/>
  <c r="AQ396" i="8"/>
  <c r="AK396" i="8"/>
  <c r="AP396" i="8"/>
  <c r="AS397" i="8"/>
  <c r="AE397" i="8"/>
  <c r="AE400" i="8"/>
  <c r="AS400" i="8"/>
  <c r="D392" i="8"/>
  <c r="I392" i="8"/>
  <c r="H392" i="8"/>
  <c r="E392" i="8"/>
  <c r="C392" i="8"/>
  <c r="D394" i="8"/>
  <c r="I394" i="8"/>
  <c r="H394" i="8"/>
  <c r="E394" i="8"/>
  <c r="C394" i="8"/>
  <c r="D396" i="8"/>
  <c r="I396" i="8"/>
  <c r="H396" i="8"/>
  <c r="E396" i="8"/>
  <c r="C396" i="8"/>
  <c r="AE380" i="8"/>
  <c r="AS380" i="8"/>
  <c r="AE381" i="8"/>
  <c r="AS381" i="8"/>
  <c r="AS382" i="8"/>
  <c r="AE382" i="8"/>
  <c r="AS383" i="8"/>
  <c r="AE383" i="8"/>
  <c r="AS384" i="8"/>
  <c r="AE384" i="8"/>
  <c r="AS385" i="8"/>
  <c r="AE385" i="8"/>
  <c r="AS386" i="8"/>
  <c r="AE386" i="8"/>
  <c r="AS387" i="8"/>
  <c r="AE387" i="8"/>
  <c r="AS388" i="8"/>
  <c r="AE388" i="8"/>
  <c r="AS389" i="8"/>
  <c r="AE389" i="8"/>
  <c r="AE390" i="8"/>
  <c r="AS390" i="8"/>
  <c r="AT391" i="8"/>
  <c r="AT393" i="8"/>
  <c r="AT395" i="8"/>
  <c r="AT397" i="8"/>
  <c r="AQ400" i="8"/>
  <c r="AK400" i="8"/>
  <c r="AP400" i="8"/>
  <c r="AQ391" i="8"/>
  <c r="AP391" i="8"/>
  <c r="AK391" i="8"/>
  <c r="AE392" i="8"/>
  <c r="AS392" i="8"/>
  <c r="AQ393" i="8"/>
  <c r="AP393" i="8"/>
  <c r="AK393" i="8"/>
  <c r="AE394" i="8"/>
  <c r="AS394" i="8"/>
  <c r="AQ395" i="8"/>
  <c r="AP395" i="8"/>
  <c r="AK395" i="8"/>
  <c r="AE396" i="8"/>
  <c r="AS396" i="8"/>
  <c r="AQ397" i="8"/>
  <c r="AP397" i="8"/>
  <c r="AK397" i="8"/>
  <c r="AE399" i="8"/>
  <c r="AS399" i="8"/>
  <c r="AT379" i="8"/>
  <c r="AT380" i="8"/>
  <c r="AT381" i="8"/>
  <c r="AT382" i="8"/>
  <c r="AT383" i="8"/>
  <c r="AT384" i="8"/>
  <c r="AT385" i="8"/>
  <c r="AT386" i="8"/>
  <c r="AT387" i="8"/>
  <c r="AT388" i="8"/>
  <c r="AT389" i="8"/>
  <c r="AT390" i="8"/>
  <c r="D391" i="8"/>
  <c r="E391" i="8"/>
  <c r="C391" i="8"/>
  <c r="I391" i="8"/>
  <c r="H391" i="8"/>
  <c r="D393" i="8"/>
  <c r="E393" i="8"/>
  <c r="C393" i="8"/>
  <c r="I393" i="8"/>
  <c r="H393" i="8"/>
  <c r="D395" i="8"/>
  <c r="E395" i="8"/>
  <c r="C395" i="8"/>
  <c r="I395" i="8"/>
  <c r="H395" i="8"/>
  <c r="D397" i="8"/>
  <c r="E397" i="8"/>
  <c r="C397" i="8"/>
  <c r="I397" i="8"/>
  <c r="H397" i="8"/>
  <c r="AK362" i="8"/>
  <c r="AP362" i="8"/>
  <c r="AQ362" i="8"/>
  <c r="BD362" i="8" s="1"/>
  <c r="AK361" i="8"/>
  <c r="AP361" i="8"/>
  <c r="AQ361" i="8"/>
  <c r="BD361" i="8" s="1"/>
  <c r="AK360" i="8"/>
  <c r="AP360" i="8"/>
  <c r="AQ360" i="8"/>
  <c r="BD360" i="8" s="1"/>
  <c r="AP359" i="8"/>
  <c r="AQ359" i="8"/>
  <c r="BD359" i="8" s="1"/>
  <c r="AK359" i="8"/>
  <c r="AP358" i="8"/>
  <c r="AK358" i="8"/>
  <c r="AQ358" i="8"/>
  <c r="AP357" i="8"/>
  <c r="AK357" i="8"/>
  <c r="AQ357" i="8"/>
  <c r="BD357" i="8" s="1"/>
  <c r="AP356" i="8"/>
  <c r="AQ356" i="8"/>
  <c r="BD356" i="8" s="1"/>
  <c r="AK356" i="8"/>
  <c r="AP355" i="8"/>
  <c r="AQ355" i="8"/>
  <c r="BD355" i="8" s="1"/>
  <c r="AK355" i="8"/>
  <c r="AP354" i="8"/>
  <c r="AK354" i="8"/>
  <c r="AQ354" i="8"/>
  <c r="BD354" i="8" s="1"/>
  <c r="AP353" i="8"/>
  <c r="AQ353" i="8"/>
  <c r="BD353" i="8" s="1"/>
  <c r="AK353" i="8"/>
  <c r="AK366" i="8"/>
  <c r="AP366" i="8"/>
  <c r="AQ366" i="8"/>
  <c r="AR365" i="8"/>
  <c r="AT365" i="8"/>
  <c r="E365" i="8"/>
  <c r="I365" i="8"/>
  <c r="H365" i="8"/>
  <c r="C365" i="8"/>
  <c r="AR364" i="8"/>
  <c r="AT364" i="8"/>
  <c r="E364" i="8"/>
  <c r="D364" i="8"/>
  <c r="C364" i="8"/>
  <c r="I364" i="8"/>
  <c r="BD364" i="8" s="1"/>
  <c r="H364" i="8"/>
  <c r="AP363" i="8"/>
  <c r="AK363" i="8"/>
  <c r="AQ363" i="8"/>
  <c r="H388" i="8"/>
  <c r="D388" i="8"/>
  <c r="I388" i="8"/>
  <c r="C388" i="8"/>
  <c r="E388" i="8"/>
  <c r="AS367" i="8"/>
  <c r="AE367" i="8"/>
  <c r="AQ367" i="8"/>
  <c r="AK367" i="8"/>
  <c r="AP367" i="8"/>
  <c r="H367" i="8"/>
  <c r="E367" i="8"/>
  <c r="I367" i="8"/>
  <c r="C367" i="8"/>
  <c r="AT366" i="8"/>
  <c r="E366" i="8"/>
  <c r="D366" i="8"/>
  <c r="C366" i="8"/>
  <c r="I366" i="8"/>
  <c r="H366" i="8"/>
  <c r="AQ390" i="8"/>
  <c r="AK390" i="8"/>
  <c r="AP390" i="8"/>
  <c r="AS368" i="8"/>
  <c r="AE368" i="8"/>
  <c r="AQ368" i="8"/>
  <c r="AK368" i="8"/>
  <c r="AP368" i="8"/>
  <c r="H368" i="8"/>
  <c r="E368" i="8"/>
  <c r="I368" i="8"/>
  <c r="C368" i="8"/>
  <c r="AE363" i="8"/>
  <c r="AS363" i="8"/>
  <c r="AS369" i="8"/>
  <c r="AE369" i="8"/>
  <c r="AQ369" i="8"/>
  <c r="AK369" i="8"/>
  <c r="AP369" i="8"/>
  <c r="H369" i="8"/>
  <c r="E369" i="8"/>
  <c r="I369" i="8"/>
  <c r="AS370" i="8"/>
  <c r="AE370" i="8"/>
  <c r="AQ370" i="8"/>
  <c r="AP370" i="8"/>
  <c r="AK370" i="8"/>
  <c r="H370" i="8"/>
  <c r="E370" i="8"/>
  <c r="I370" i="8"/>
  <c r="AK380" i="8"/>
  <c r="AQ380" i="8"/>
  <c r="AP380" i="8"/>
  <c r="AS371" i="8"/>
  <c r="AE371" i="8"/>
  <c r="AQ371" i="8"/>
  <c r="AP371" i="8"/>
  <c r="AK371" i="8"/>
  <c r="H371" i="8"/>
  <c r="E371" i="8"/>
  <c r="I371" i="8"/>
  <c r="AT369" i="8"/>
  <c r="AS352" i="8"/>
  <c r="AR352" i="8" s="1"/>
  <c r="AU352" i="8" s="1"/>
  <c r="AV352" i="8" s="1"/>
  <c r="AW352" i="8" s="1"/>
  <c r="AE352" i="8"/>
  <c r="H381" i="8"/>
  <c r="E381" i="8"/>
  <c r="D381" i="8"/>
  <c r="C381" i="8"/>
  <c r="I381" i="8"/>
  <c r="AS372" i="8"/>
  <c r="AE372" i="8"/>
  <c r="AE373" i="8"/>
  <c r="AS373" i="8"/>
  <c r="AQ372" i="8"/>
  <c r="AP372" i="8"/>
  <c r="AK372" i="8"/>
  <c r="AQ373" i="8"/>
  <c r="AK373" i="8"/>
  <c r="AP373" i="8"/>
  <c r="AE374" i="8"/>
  <c r="AS374" i="8"/>
  <c r="AR374" i="8" s="1"/>
  <c r="AE375" i="8"/>
  <c r="AS375" i="8"/>
  <c r="AR375" i="8" s="1"/>
  <c r="AT376" i="8"/>
  <c r="H386" i="8"/>
  <c r="E386" i="8"/>
  <c r="D386" i="8"/>
  <c r="I386" i="8"/>
  <c r="C386" i="8"/>
  <c r="AS360" i="8"/>
  <c r="AE360" i="8"/>
  <c r="AS361" i="8"/>
  <c r="AE361" i="8"/>
  <c r="AS362" i="8"/>
  <c r="AE362" i="8"/>
  <c r="AT374" i="8"/>
  <c r="AT375" i="8"/>
  <c r="AK376" i="8"/>
  <c r="AQ376" i="8"/>
  <c r="AP376" i="8"/>
  <c r="AT394" i="8"/>
  <c r="H372" i="8"/>
  <c r="E372" i="8"/>
  <c r="I372" i="8"/>
  <c r="H373" i="8"/>
  <c r="E373" i="8"/>
  <c r="I373" i="8"/>
  <c r="D373" i="8"/>
  <c r="C373" i="8"/>
  <c r="I374" i="8"/>
  <c r="H374" i="8"/>
  <c r="E374" i="8"/>
  <c r="D374" i="8"/>
  <c r="C374" i="8"/>
  <c r="I375" i="8"/>
  <c r="H375" i="8"/>
  <c r="E375" i="8"/>
  <c r="D375" i="8"/>
  <c r="C375" i="8"/>
  <c r="I376" i="8"/>
  <c r="H376" i="8"/>
  <c r="E376" i="8"/>
  <c r="D376" i="8"/>
  <c r="C376" i="8"/>
  <c r="I377" i="8"/>
  <c r="BC377" i="8" s="1"/>
  <c r="H377" i="8"/>
  <c r="E377" i="8"/>
  <c r="D377" i="8"/>
  <c r="C377" i="8"/>
  <c r="I378" i="8"/>
  <c r="H378" i="8"/>
  <c r="E378" i="8"/>
  <c r="D378" i="8"/>
  <c r="C378" i="8"/>
  <c r="AS379" i="8"/>
  <c r="AE379" i="8"/>
  <c r="AE376" i="8"/>
  <c r="AS376" i="8"/>
  <c r="AE377" i="8"/>
  <c r="AS377" i="8"/>
  <c r="AR377" i="8" s="1"/>
  <c r="AU377" i="8" s="1"/>
  <c r="AV377" i="8" s="1"/>
  <c r="AW377" i="8" s="1"/>
  <c r="AE378" i="8"/>
  <c r="AS378" i="8"/>
  <c r="AR378" i="8" s="1"/>
  <c r="E380" i="8"/>
  <c r="I380" i="8"/>
  <c r="C380" i="8"/>
  <c r="H380" i="8"/>
  <c r="H387" i="8"/>
  <c r="E387" i="8"/>
  <c r="I387" i="8"/>
  <c r="H389" i="8"/>
  <c r="D389" i="8"/>
  <c r="E389" i="8"/>
  <c r="C389" i="8"/>
  <c r="I389" i="8"/>
  <c r="AT396" i="8"/>
  <c r="AQ379" i="8"/>
  <c r="BD379" i="8" s="1"/>
  <c r="AP379" i="8"/>
  <c r="AK379" i="8"/>
  <c r="AK382" i="8"/>
  <c r="AQ382" i="8"/>
  <c r="AP382" i="8"/>
  <c r="AK384" i="8"/>
  <c r="AQ384" i="8"/>
  <c r="BD384" i="8" s="1"/>
  <c r="AP384" i="8"/>
  <c r="AK386" i="8"/>
  <c r="AQ386" i="8"/>
  <c r="AP386" i="8"/>
  <c r="AK387" i="8"/>
  <c r="AQ387" i="8"/>
  <c r="AP387" i="8"/>
  <c r="AK389" i="8"/>
  <c r="AQ389" i="8"/>
  <c r="AP389" i="8"/>
  <c r="AQ399" i="8"/>
  <c r="AP399" i="8"/>
  <c r="AK399" i="8"/>
  <c r="AT378" i="8"/>
  <c r="AK381" i="8"/>
  <c r="AQ381" i="8"/>
  <c r="AP381" i="8"/>
  <c r="I383" i="8"/>
  <c r="E383" i="8"/>
  <c r="D383" i="8"/>
  <c r="H383" i="8"/>
  <c r="I385" i="8"/>
  <c r="E385" i="8"/>
  <c r="H385" i="8"/>
  <c r="D385" i="8"/>
  <c r="I390" i="8"/>
  <c r="H390" i="8"/>
  <c r="D390" i="8"/>
  <c r="C390" i="8"/>
  <c r="E390" i="8"/>
  <c r="AT363" i="8"/>
  <c r="E363" i="8"/>
  <c r="I363" i="8"/>
  <c r="H363" i="8"/>
  <c r="BC352" i="8"/>
  <c r="BC342" i="8"/>
  <c r="AU342" i="8"/>
  <c r="AV342" i="8" s="1"/>
  <c r="AW342" i="8" s="1"/>
  <c r="BD336" i="8"/>
  <c r="BD328" i="8"/>
  <c r="BD320" i="8"/>
  <c r="BC346" i="8"/>
  <c r="BC331" i="8"/>
  <c r="BC330" i="8"/>
  <c r="BC345" i="8"/>
  <c r="BC338" i="8"/>
  <c r="BC322" i="8"/>
  <c r="BC337" i="8"/>
  <c r="BC351" i="8"/>
  <c r="BC343" i="8"/>
  <c r="AU325" i="8"/>
  <c r="AV325" i="8" s="1"/>
  <c r="AW325" i="8" s="1"/>
  <c r="BC323" i="8"/>
  <c r="AP311" i="8"/>
  <c r="AQ311" i="8"/>
  <c r="AK311" i="8"/>
  <c r="E311" i="8"/>
  <c r="H311" i="8"/>
  <c r="I311" i="8"/>
  <c r="AT306" i="8"/>
  <c r="AP303" i="8"/>
  <c r="AQ303" i="8"/>
  <c r="AK303" i="8"/>
  <c r="E303" i="8"/>
  <c r="H303" i="8"/>
  <c r="I303" i="8"/>
  <c r="BC347" i="8"/>
  <c r="BC333" i="8"/>
  <c r="AU333" i="8"/>
  <c r="AV333" i="8" s="1"/>
  <c r="AW333" i="8" s="1"/>
  <c r="AP306" i="8"/>
  <c r="AQ306" i="8"/>
  <c r="AK306" i="8"/>
  <c r="E306" i="8"/>
  <c r="H306" i="8"/>
  <c r="I306" i="8"/>
  <c r="D306" i="8"/>
  <c r="BC341" i="8"/>
  <c r="BC334" i="8"/>
  <c r="AU334" i="8"/>
  <c r="AV334" i="8" s="1"/>
  <c r="AW334" i="8" s="1"/>
  <c r="BC318" i="8"/>
  <c r="BC317" i="8"/>
  <c r="AU317" i="8"/>
  <c r="AV317" i="8" s="1"/>
  <c r="AW317" i="8" s="1"/>
  <c r="AQ312" i="8"/>
  <c r="AK312" i="8"/>
  <c r="AP312" i="8"/>
  <c r="E312" i="8"/>
  <c r="H312" i="8"/>
  <c r="I312" i="8"/>
  <c r="D312" i="8"/>
  <c r="AT307" i="8"/>
  <c r="AP304" i="8"/>
  <c r="AQ304" i="8"/>
  <c r="AK304" i="8"/>
  <c r="E304" i="8"/>
  <c r="H304" i="8"/>
  <c r="I304" i="8"/>
  <c r="D304" i="8"/>
  <c r="AT310" i="8"/>
  <c r="AP307" i="8"/>
  <c r="AK307" i="8"/>
  <c r="AQ307" i="8"/>
  <c r="E307" i="8"/>
  <c r="H307" i="8"/>
  <c r="I307" i="8"/>
  <c r="AT302" i="8"/>
  <c r="AP299" i="8"/>
  <c r="AK299" i="8"/>
  <c r="AQ299" i="8"/>
  <c r="E299" i="8"/>
  <c r="H299" i="8"/>
  <c r="I299" i="8"/>
  <c r="E298" i="8"/>
  <c r="H298" i="8"/>
  <c r="I298" i="8"/>
  <c r="BC339" i="8"/>
  <c r="BC326" i="8"/>
  <c r="AP310" i="8"/>
  <c r="AK310" i="8"/>
  <c r="AQ310" i="8"/>
  <c r="E310" i="8"/>
  <c r="H310" i="8"/>
  <c r="I310" i="8"/>
  <c r="AP302" i="8"/>
  <c r="AK302" i="8"/>
  <c r="AQ302" i="8"/>
  <c r="E302" i="8"/>
  <c r="H302" i="8"/>
  <c r="I302" i="8"/>
  <c r="D302" i="8"/>
  <c r="AP305" i="8"/>
  <c r="AQ305" i="8"/>
  <c r="AK305" i="8"/>
  <c r="E305" i="8"/>
  <c r="H305" i="8"/>
  <c r="I305" i="8"/>
  <c r="D305" i="8"/>
  <c r="AS301" i="8"/>
  <c r="AE301" i="8"/>
  <c r="AT301" i="8"/>
  <c r="AP301" i="8"/>
  <c r="AK301" i="8"/>
  <c r="AQ301" i="8"/>
  <c r="E301" i="8"/>
  <c r="H301" i="8"/>
  <c r="I301" i="8"/>
  <c r="AE294" i="8"/>
  <c r="AS294" i="8"/>
  <c r="AR294" i="8" s="1"/>
  <c r="AT294" i="8"/>
  <c r="E294" i="8"/>
  <c r="I294" i="8"/>
  <c r="BD294" i="8" s="1"/>
  <c r="H294" i="8"/>
  <c r="D294" i="8"/>
  <c r="C294" i="8"/>
  <c r="AS289" i="8"/>
  <c r="AE289" i="8"/>
  <c r="AS288" i="8"/>
  <c r="AE288" i="8"/>
  <c r="AS287" i="8"/>
  <c r="AE287" i="8"/>
  <c r="AS286" i="8"/>
  <c r="AE286" i="8"/>
  <c r="AS285" i="8"/>
  <c r="AE285" i="8"/>
  <c r="AS284" i="8"/>
  <c r="AE284" i="8"/>
  <c r="AT308" i="8"/>
  <c r="AS308" i="8"/>
  <c r="AE308" i="8"/>
  <c r="AP308" i="8"/>
  <c r="AK308" i="8"/>
  <c r="AQ308" i="8"/>
  <c r="E308" i="8"/>
  <c r="H308" i="8"/>
  <c r="I308" i="8"/>
  <c r="AE296" i="8"/>
  <c r="AS296" i="8"/>
  <c r="AT296" i="8"/>
  <c r="E296" i="8"/>
  <c r="I296" i="8"/>
  <c r="H296" i="8"/>
  <c r="D296" i="8"/>
  <c r="C296" i="8"/>
  <c r="AE295" i="8"/>
  <c r="AS295" i="8"/>
  <c r="AT295" i="8"/>
  <c r="E295" i="8"/>
  <c r="I295" i="8"/>
  <c r="H295" i="8"/>
  <c r="D295" i="8"/>
  <c r="C295" i="8"/>
  <c r="AE290" i="8"/>
  <c r="AS290" i="8"/>
  <c r="AT300" i="8"/>
  <c r="AS300" i="8"/>
  <c r="AE300" i="8"/>
  <c r="AP300" i="8"/>
  <c r="AK300" i="8"/>
  <c r="AQ300" i="8"/>
  <c r="E300" i="8"/>
  <c r="H300" i="8"/>
  <c r="I300" i="8"/>
  <c r="AQ296" i="8"/>
  <c r="AK296" i="8"/>
  <c r="AP296" i="8"/>
  <c r="AK295" i="8"/>
  <c r="AQ295" i="8"/>
  <c r="AP295" i="8"/>
  <c r="I290" i="8"/>
  <c r="H290" i="8"/>
  <c r="E290" i="8"/>
  <c r="D290" i="8"/>
  <c r="AK293" i="8"/>
  <c r="AQ293" i="8"/>
  <c r="AP293" i="8"/>
  <c r="AS291" i="8"/>
  <c r="AR291" i="8" s="1"/>
  <c r="AU291" i="8" s="1"/>
  <c r="AV291" i="8" s="1"/>
  <c r="AW291" i="8" s="1"/>
  <c r="AE291" i="8"/>
  <c r="E291" i="8"/>
  <c r="I291" i="8"/>
  <c r="BD291" i="8" s="1"/>
  <c r="H291" i="8"/>
  <c r="C291" i="8"/>
  <c r="AK289" i="8"/>
  <c r="AQ289" i="8"/>
  <c r="AP289" i="8"/>
  <c r="AK288" i="8"/>
  <c r="AQ288" i="8"/>
  <c r="AP288" i="8"/>
  <c r="AK287" i="8"/>
  <c r="AQ287" i="8"/>
  <c r="AP287" i="8"/>
  <c r="AK286" i="8"/>
  <c r="AQ286" i="8"/>
  <c r="BD286" i="8" s="1"/>
  <c r="AP286" i="8"/>
  <c r="AK285" i="8"/>
  <c r="AQ285" i="8"/>
  <c r="BD285" i="8" s="1"/>
  <c r="AP285" i="8"/>
  <c r="AK284" i="8"/>
  <c r="AQ284" i="8"/>
  <c r="BD284" i="8" s="1"/>
  <c r="AP284" i="8"/>
  <c r="AS297" i="8"/>
  <c r="AE297" i="8"/>
  <c r="AT297" i="8"/>
  <c r="E297" i="8"/>
  <c r="D297" i="8"/>
  <c r="I297" i="8"/>
  <c r="BC297" i="8" s="1"/>
  <c r="H297" i="8"/>
  <c r="C297" i="8"/>
  <c r="AT293" i="8"/>
  <c r="AS292" i="8"/>
  <c r="AR292" i="8" s="1"/>
  <c r="AU292" i="8" s="1"/>
  <c r="AV292" i="8" s="1"/>
  <c r="AW292" i="8" s="1"/>
  <c r="AE292" i="8"/>
  <c r="E292" i="8"/>
  <c r="I292" i="8"/>
  <c r="H292" i="8"/>
  <c r="D292" i="8"/>
  <c r="AK290" i="8"/>
  <c r="AQ290" i="8"/>
  <c r="AP290" i="8"/>
  <c r="AS309" i="8"/>
  <c r="AE309" i="8"/>
  <c r="AT309" i="8"/>
  <c r="AP309" i="8"/>
  <c r="AK309" i="8"/>
  <c r="AQ309" i="8"/>
  <c r="E309" i="8"/>
  <c r="H309" i="8"/>
  <c r="I309" i="8"/>
  <c r="AS293" i="8"/>
  <c r="AE293" i="8"/>
  <c r="E293" i="8"/>
  <c r="I293" i="8"/>
  <c r="H293" i="8"/>
  <c r="AT279" i="8"/>
  <c r="AE279" i="8"/>
  <c r="AS279" i="8"/>
  <c r="AT271" i="8"/>
  <c r="AE271" i="8"/>
  <c r="AS271" i="8"/>
  <c r="AT280" i="8"/>
  <c r="AE280" i="8"/>
  <c r="AS280" i="8"/>
  <c r="AR280" i="8" s="1"/>
  <c r="H277" i="8"/>
  <c r="I277" i="8"/>
  <c r="E277" i="8"/>
  <c r="AK273" i="8"/>
  <c r="AQ273" i="8"/>
  <c r="AP273" i="8"/>
  <c r="AT272" i="8"/>
  <c r="AE272" i="8"/>
  <c r="AS272" i="8"/>
  <c r="AR272" i="8" s="1"/>
  <c r="H269" i="8"/>
  <c r="E269" i="8"/>
  <c r="I269" i="8"/>
  <c r="AK261" i="8"/>
  <c r="AQ261" i="8"/>
  <c r="AP261" i="8"/>
  <c r="E260" i="8"/>
  <c r="H260" i="8"/>
  <c r="I260" i="8"/>
  <c r="C260" i="8"/>
  <c r="AT273" i="8"/>
  <c r="AE273" i="8"/>
  <c r="AS273" i="8"/>
  <c r="AT281" i="8"/>
  <c r="AK281" i="8"/>
  <c r="AP281" i="8"/>
  <c r="AQ281" i="8"/>
  <c r="AS281" i="8"/>
  <c r="AE281" i="8"/>
  <c r="AT274" i="8"/>
  <c r="AS274" i="8"/>
  <c r="AR274" i="8" s="1"/>
  <c r="AE274" i="8"/>
  <c r="AT275" i="8"/>
  <c r="AS275" i="8"/>
  <c r="AR275" i="8" s="1"/>
  <c r="AE275" i="8"/>
  <c r="AT267" i="8"/>
  <c r="AS267" i="8"/>
  <c r="AR267" i="8" s="1"/>
  <c r="AE267" i="8"/>
  <c r="AK277" i="8"/>
  <c r="AQ277" i="8"/>
  <c r="AP277" i="8"/>
  <c r="AT276" i="8"/>
  <c r="AS276" i="8"/>
  <c r="AR276" i="8" s="1"/>
  <c r="AE276" i="8"/>
  <c r="H273" i="8"/>
  <c r="I273" i="8"/>
  <c r="E273" i="8"/>
  <c r="D273" i="8"/>
  <c r="H281" i="8"/>
  <c r="I281" i="8"/>
  <c r="E281" i="8"/>
  <c r="AT277" i="8"/>
  <c r="AS277" i="8"/>
  <c r="AE277" i="8"/>
  <c r="H274" i="8"/>
  <c r="I274" i="8"/>
  <c r="E274" i="8"/>
  <c r="C274" i="8"/>
  <c r="AT269" i="8"/>
  <c r="AS269" i="8"/>
  <c r="AR269" i="8" s="1"/>
  <c r="AE269" i="8"/>
  <c r="AT265" i="8"/>
  <c r="D261" i="8"/>
  <c r="C261" i="8"/>
  <c r="I261" i="8"/>
  <c r="E261" i="8"/>
  <c r="H261" i="8"/>
  <c r="AE259" i="8"/>
  <c r="AS259" i="8"/>
  <c r="AR259" i="8" s="1"/>
  <c r="AE258" i="8"/>
  <c r="AS258" i="8"/>
  <c r="AE257" i="8"/>
  <c r="AS257" i="8"/>
  <c r="AN257" i="8" s="1"/>
  <c r="AO257" i="8" s="1"/>
  <c r="AE256" i="8"/>
  <c r="AS256" i="8"/>
  <c r="AR256" i="8" s="1"/>
  <c r="AU256" i="8" s="1"/>
  <c r="AV256" i="8" s="1"/>
  <c r="AW256" i="8" s="1"/>
  <c r="AE255" i="8"/>
  <c r="AS255" i="8"/>
  <c r="AR255" i="8" s="1"/>
  <c r="AU255" i="8" s="1"/>
  <c r="AV255" i="8" s="1"/>
  <c r="AW255" i="8" s="1"/>
  <c r="AS254" i="8"/>
  <c r="AE254" i="8"/>
  <c r="AS253" i="8"/>
  <c r="AR253" i="8" s="1"/>
  <c r="AU253" i="8" s="1"/>
  <c r="AV253" i="8" s="1"/>
  <c r="AW253" i="8" s="1"/>
  <c r="AE253" i="8"/>
  <c r="AS252" i="8"/>
  <c r="AR252" i="8" s="1"/>
  <c r="AE252" i="8"/>
  <c r="AS251" i="8"/>
  <c r="AN251" i="8" s="1"/>
  <c r="AO251" i="8" s="1"/>
  <c r="AE251" i="8"/>
  <c r="AS250" i="8"/>
  <c r="AE250" i="8"/>
  <c r="AS249" i="8"/>
  <c r="AR249" i="8" s="1"/>
  <c r="AU249" i="8" s="1"/>
  <c r="AV249" i="8" s="1"/>
  <c r="AW249" i="8" s="1"/>
  <c r="AE249" i="8"/>
  <c r="AS248" i="8"/>
  <c r="AR248" i="8" s="1"/>
  <c r="AU248" i="8" s="1"/>
  <c r="AV248" i="8" s="1"/>
  <c r="AW248" i="8" s="1"/>
  <c r="AE248" i="8"/>
  <c r="AS247" i="8"/>
  <c r="AR247" i="8" s="1"/>
  <c r="AU247" i="8" s="1"/>
  <c r="AV247" i="8" s="1"/>
  <c r="AW247" i="8" s="1"/>
  <c r="AE247" i="8"/>
  <c r="AT283" i="8"/>
  <c r="AK283" i="8"/>
  <c r="AQ283" i="8"/>
  <c r="BD283" i="8" s="1"/>
  <c r="AP283" i="8"/>
  <c r="AS283" i="8"/>
  <c r="AE283" i="8"/>
  <c r="AT282" i="8"/>
  <c r="AK282" i="8"/>
  <c r="AQ282" i="8"/>
  <c r="BD282" i="8" s="1"/>
  <c r="AP282" i="8"/>
  <c r="AS282" i="8"/>
  <c r="AE282" i="8"/>
  <c r="AK279" i="8"/>
  <c r="AP279" i="8"/>
  <c r="AQ279" i="8"/>
  <c r="BD279" i="8" s="1"/>
  <c r="AT278" i="8"/>
  <c r="AE278" i="8"/>
  <c r="AS278" i="8"/>
  <c r="AR278" i="8" s="1"/>
  <c r="H275" i="8"/>
  <c r="I275" i="8"/>
  <c r="E275" i="8"/>
  <c r="AK271" i="8"/>
  <c r="AP271" i="8"/>
  <c r="AQ271" i="8"/>
  <c r="BD271" i="8" s="1"/>
  <c r="AT270" i="8"/>
  <c r="AE270" i="8"/>
  <c r="AS270" i="8"/>
  <c r="AR270" i="8" s="1"/>
  <c r="H267" i="8"/>
  <c r="I267" i="8"/>
  <c r="E267" i="8"/>
  <c r="BC253" i="8"/>
  <c r="BC251" i="8"/>
  <c r="BC249" i="8"/>
  <c r="BC247" i="8"/>
  <c r="AS246" i="8"/>
  <c r="AR246" i="8" s="1"/>
  <c r="AU246" i="8" s="1"/>
  <c r="AV246" i="8" s="1"/>
  <c r="AW246" i="8" s="1"/>
  <c r="AE246" i="8"/>
  <c r="AQ241" i="8"/>
  <c r="AK241" i="8"/>
  <c r="AP241" i="8"/>
  <c r="AT240" i="8"/>
  <c r="BC265" i="8"/>
  <c r="BC262" i="8"/>
  <c r="BC257" i="8"/>
  <c r="BC256" i="8"/>
  <c r="BC255" i="8"/>
  <c r="BC243" i="8"/>
  <c r="AS241" i="8"/>
  <c r="AE241" i="8"/>
  <c r="AE240" i="8"/>
  <c r="AS240" i="8"/>
  <c r="AK268" i="8"/>
  <c r="AQ268" i="8"/>
  <c r="AP268" i="8"/>
  <c r="H268" i="8"/>
  <c r="C268" i="8"/>
  <c r="I268" i="8"/>
  <c r="E268" i="8"/>
  <c r="D268" i="8"/>
  <c r="AS268" i="8"/>
  <c r="AE268" i="8"/>
  <c r="AU263" i="8"/>
  <c r="AV263" i="8" s="1"/>
  <c r="AW263" i="8" s="1"/>
  <c r="BC263" i="8"/>
  <c r="BC258" i="8"/>
  <c r="BC254" i="8"/>
  <c r="BC252" i="8"/>
  <c r="BC250" i="8"/>
  <c r="AE242" i="8"/>
  <c r="AS242" i="8"/>
  <c r="AN238" i="8"/>
  <c r="AO238" i="8" s="1"/>
  <c r="BC238" i="8"/>
  <c r="BC237" i="8"/>
  <c r="BC236" i="8"/>
  <c r="AS243" i="8"/>
  <c r="AN243" i="8" s="1"/>
  <c r="AO243" i="8" s="1"/>
  <c r="AE243" i="8"/>
  <c r="D241" i="8"/>
  <c r="H241" i="8"/>
  <c r="E241" i="8"/>
  <c r="C241" i="8"/>
  <c r="I241" i="8"/>
  <c r="C266" i="8"/>
  <c r="I266" i="8"/>
  <c r="H266" i="8"/>
  <c r="E266" i="8"/>
  <c r="AT266" i="8"/>
  <c r="AK266" i="8"/>
  <c r="AQ266" i="8"/>
  <c r="AP266" i="8"/>
  <c r="AS266" i="8"/>
  <c r="AE266" i="8"/>
  <c r="AT264" i="8"/>
  <c r="AK264" i="8"/>
  <c r="AQ264" i="8"/>
  <c r="BD264" i="8" s="1"/>
  <c r="AP264" i="8"/>
  <c r="AE264" i="8"/>
  <c r="AS264" i="8"/>
  <c r="BC259" i="8"/>
  <c r="AT239" i="8"/>
  <c r="AQ239" i="8"/>
  <c r="AP239" i="8"/>
  <c r="AK239" i="8"/>
  <c r="D239" i="8"/>
  <c r="E239" i="8"/>
  <c r="I239" i="8"/>
  <c r="H239" i="8"/>
  <c r="C239" i="8"/>
  <c r="BC246" i="8"/>
  <c r="AT244" i="8"/>
  <c r="AQ244" i="8"/>
  <c r="AK244" i="8"/>
  <c r="AP244" i="8"/>
  <c r="D244" i="8"/>
  <c r="C244" i="8"/>
  <c r="I244" i="8"/>
  <c r="H244" i="8"/>
  <c r="E244" i="8"/>
  <c r="AS244" i="8"/>
  <c r="AE244" i="8"/>
  <c r="AT245" i="8"/>
  <c r="AQ245" i="8"/>
  <c r="BD245" i="8" s="1"/>
  <c r="AK245" i="8"/>
  <c r="AP245" i="8"/>
  <c r="AS245" i="8"/>
  <c r="AE245" i="8"/>
  <c r="BC242" i="8"/>
  <c r="AQ215" i="8"/>
  <c r="AP215" i="8"/>
  <c r="AK215" i="8"/>
  <c r="AQ214" i="8"/>
  <c r="BD214" i="8" s="1"/>
  <c r="AP214" i="8"/>
  <c r="AK214" i="8"/>
  <c r="AQ213" i="8"/>
  <c r="BD213" i="8" s="1"/>
  <c r="AP213" i="8"/>
  <c r="AK213" i="8"/>
  <c r="AQ212" i="8"/>
  <c r="AP212" i="8"/>
  <c r="AK212" i="8"/>
  <c r="AQ211" i="8"/>
  <c r="BD211" i="8" s="1"/>
  <c r="AP211" i="8"/>
  <c r="AK211" i="8"/>
  <c r="AQ210" i="8"/>
  <c r="BD210" i="8" s="1"/>
  <c r="AP210" i="8"/>
  <c r="AK210" i="8"/>
  <c r="AQ209" i="8"/>
  <c r="BD209" i="8" s="1"/>
  <c r="AP209" i="8"/>
  <c r="AK209" i="8"/>
  <c r="AQ208" i="8"/>
  <c r="AP208" i="8"/>
  <c r="AK208" i="8"/>
  <c r="AQ207" i="8"/>
  <c r="AP207" i="8"/>
  <c r="AK207" i="8"/>
  <c r="AQ206" i="8"/>
  <c r="BD206" i="8" s="1"/>
  <c r="AP206" i="8"/>
  <c r="AK206" i="8"/>
  <c r="AQ205" i="8"/>
  <c r="BD205" i="8" s="1"/>
  <c r="AP205" i="8"/>
  <c r="AK205" i="8"/>
  <c r="AQ204" i="8"/>
  <c r="BD204" i="8" s="1"/>
  <c r="AP204" i="8"/>
  <c r="AK204" i="8"/>
  <c r="AQ203" i="8"/>
  <c r="BD203" i="8" s="1"/>
  <c r="AP203" i="8"/>
  <c r="AK203" i="8"/>
  <c r="AQ202" i="8"/>
  <c r="BD202" i="8" s="1"/>
  <c r="AP202" i="8"/>
  <c r="AK202" i="8"/>
  <c r="AQ201" i="8"/>
  <c r="BD201" i="8" s="1"/>
  <c r="AP201" i="8"/>
  <c r="AK201" i="8"/>
  <c r="AQ200" i="8"/>
  <c r="BD200" i="8" s="1"/>
  <c r="AP200" i="8"/>
  <c r="AK200" i="8"/>
  <c r="AQ199" i="8"/>
  <c r="BD199" i="8" s="1"/>
  <c r="AP199" i="8"/>
  <c r="AK199" i="8"/>
  <c r="AQ198" i="8"/>
  <c r="BD198" i="8" s="1"/>
  <c r="AP198" i="8"/>
  <c r="AK198" i="8"/>
  <c r="AQ197" i="8"/>
  <c r="BD197" i="8" s="1"/>
  <c r="AP197" i="8"/>
  <c r="AK197" i="8"/>
  <c r="AQ196" i="8"/>
  <c r="BD196" i="8" s="1"/>
  <c r="AP196" i="8"/>
  <c r="AK196" i="8"/>
  <c r="AP195" i="8"/>
  <c r="AK195" i="8"/>
  <c r="AQ195" i="8"/>
  <c r="BD195" i="8" s="1"/>
  <c r="AP194" i="8"/>
  <c r="AK194" i="8"/>
  <c r="AQ194" i="8"/>
  <c r="BD194" i="8" s="1"/>
  <c r="AP193" i="8"/>
  <c r="AQ193" i="8"/>
  <c r="BD193" i="8" s="1"/>
  <c r="AK193" i="8"/>
  <c r="AP192" i="8"/>
  <c r="AQ192" i="8"/>
  <c r="BD192" i="8" s="1"/>
  <c r="AK192" i="8"/>
  <c r="AP191" i="8"/>
  <c r="AK191" i="8"/>
  <c r="AQ191" i="8"/>
  <c r="BD191" i="8" s="1"/>
  <c r="AP190" i="8"/>
  <c r="AK190" i="8"/>
  <c r="AQ190" i="8"/>
  <c r="AP189" i="8"/>
  <c r="AQ189" i="8"/>
  <c r="BD189" i="8" s="1"/>
  <c r="AK189" i="8"/>
  <c r="AP188" i="8"/>
  <c r="AQ188" i="8"/>
  <c r="AK188" i="8"/>
  <c r="AP187" i="8"/>
  <c r="AK187" i="8"/>
  <c r="AQ187" i="8"/>
  <c r="AP186" i="8"/>
  <c r="AK186" i="8"/>
  <c r="AQ186" i="8"/>
  <c r="AP185" i="8"/>
  <c r="AK185" i="8"/>
  <c r="AQ185" i="8"/>
  <c r="BD185" i="8" s="1"/>
  <c r="AP184" i="8"/>
  <c r="AK184" i="8"/>
  <c r="AQ184" i="8"/>
  <c r="BD184" i="8" s="1"/>
  <c r="AP183" i="8"/>
  <c r="AQ183" i="8"/>
  <c r="BD183" i="8" s="1"/>
  <c r="AK183" i="8"/>
  <c r="AP182" i="8"/>
  <c r="AQ182" i="8"/>
  <c r="AK182" i="8"/>
  <c r="AP181" i="8"/>
  <c r="AK181" i="8"/>
  <c r="AQ181" i="8"/>
  <c r="AP180" i="8"/>
  <c r="AK180" i="8"/>
  <c r="AQ180" i="8"/>
  <c r="AP179" i="8"/>
  <c r="AQ179" i="8"/>
  <c r="BD179" i="8" s="1"/>
  <c r="AK179" i="8"/>
  <c r="AP178" i="8"/>
  <c r="AQ178" i="8"/>
  <c r="BD178" i="8" s="1"/>
  <c r="AK178" i="8"/>
  <c r="BC225" i="8"/>
  <c r="AS177" i="8"/>
  <c r="AR177" i="8" s="1"/>
  <c r="AU177" i="8" s="1"/>
  <c r="AV177" i="8" s="1"/>
  <c r="AW177" i="8" s="1"/>
  <c r="AE177" i="8"/>
  <c r="I175" i="8"/>
  <c r="H175" i="8"/>
  <c r="E175" i="8"/>
  <c r="D175" i="8"/>
  <c r="BC228" i="8"/>
  <c r="AN228" i="8"/>
  <c r="AO228" i="8" s="1"/>
  <c r="AR228" i="8" s="1"/>
  <c r="AU228" i="8" s="1"/>
  <c r="AV228" i="8" s="1"/>
  <c r="AW228" i="8" s="1"/>
  <c r="BC217" i="8"/>
  <c r="AK173" i="8"/>
  <c r="AQ173" i="8"/>
  <c r="AP173" i="8"/>
  <c r="AT167" i="8"/>
  <c r="H167" i="8"/>
  <c r="E167" i="8"/>
  <c r="D167" i="8"/>
  <c r="C167" i="8"/>
  <c r="I167" i="8"/>
  <c r="BD167" i="8" s="1"/>
  <c r="AE167" i="8"/>
  <c r="AS167" i="8"/>
  <c r="AR167" i="8" s="1"/>
  <c r="AK165" i="8"/>
  <c r="AQ165" i="8"/>
  <c r="AP165" i="8"/>
  <c r="AT159" i="8"/>
  <c r="H159" i="8"/>
  <c r="E159" i="8"/>
  <c r="D159" i="8"/>
  <c r="C159" i="8"/>
  <c r="I159" i="8"/>
  <c r="BD159" i="8" s="1"/>
  <c r="AE159" i="8"/>
  <c r="AS159" i="8"/>
  <c r="AT153" i="8"/>
  <c r="AS153" i="8"/>
  <c r="AE153" i="8"/>
  <c r="AK147" i="8"/>
  <c r="AQ147" i="8"/>
  <c r="AP147" i="8"/>
  <c r="AT146" i="8"/>
  <c r="AE146" i="8"/>
  <c r="AS146" i="8"/>
  <c r="AK145" i="8"/>
  <c r="AQ145" i="8"/>
  <c r="BD145" i="8" s="1"/>
  <c r="AP145" i="8"/>
  <c r="AK137" i="8"/>
  <c r="AQ137" i="8"/>
  <c r="BD137" i="8" s="1"/>
  <c r="AP137" i="8"/>
  <c r="AT172" i="8"/>
  <c r="H172" i="8"/>
  <c r="E172" i="8"/>
  <c r="D172" i="8"/>
  <c r="I172" i="8"/>
  <c r="BC172" i="8" s="1"/>
  <c r="C172" i="8"/>
  <c r="AE172" i="8"/>
  <c r="AS172" i="8"/>
  <c r="AR172" i="8" s="1"/>
  <c r="AT164" i="8"/>
  <c r="H164" i="8"/>
  <c r="E164" i="8"/>
  <c r="D164" i="8"/>
  <c r="I164" i="8"/>
  <c r="BD164" i="8" s="1"/>
  <c r="C164" i="8"/>
  <c r="AE164" i="8"/>
  <c r="AS164" i="8"/>
  <c r="AR164" i="8" s="1"/>
  <c r="AT154" i="8"/>
  <c r="AS154" i="8"/>
  <c r="AE154" i="8"/>
  <c r="AT147" i="8"/>
  <c r="AE147" i="8"/>
  <c r="AS147" i="8"/>
  <c r="AT169" i="8"/>
  <c r="H169" i="8"/>
  <c r="E169" i="8"/>
  <c r="D169" i="8"/>
  <c r="I169" i="8"/>
  <c r="C169" i="8"/>
  <c r="AE169" i="8"/>
  <c r="AS169" i="8"/>
  <c r="BC176" i="8"/>
  <c r="AT174" i="8"/>
  <c r="H174" i="8"/>
  <c r="E174" i="8"/>
  <c r="D174" i="8"/>
  <c r="I174" i="8"/>
  <c r="BC174" i="8" s="1"/>
  <c r="C174" i="8"/>
  <c r="AS174" i="8"/>
  <c r="AR174" i="8" s="1"/>
  <c r="AE174" i="8"/>
  <c r="AT166" i="8"/>
  <c r="H166" i="8"/>
  <c r="E166" i="8"/>
  <c r="D166" i="8"/>
  <c r="I166" i="8"/>
  <c r="BD166" i="8" s="1"/>
  <c r="C166" i="8"/>
  <c r="AS166" i="8"/>
  <c r="AR166" i="8" s="1"/>
  <c r="AE166" i="8"/>
  <c r="AT156" i="8"/>
  <c r="AE156" i="8"/>
  <c r="AS156" i="8"/>
  <c r="AT148" i="8"/>
  <c r="AS148" i="8"/>
  <c r="AE148" i="8"/>
  <c r="H143" i="8"/>
  <c r="D143" i="8"/>
  <c r="C143" i="8"/>
  <c r="I143" i="8"/>
  <c r="BC143" i="8" s="1"/>
  <c r="E143" i="8"/>
  <c r="AT171" i="8"/>
  <c r="H171" i="8"/>
  <c r="E171" i="8"/>
  <c r="D171" i="8"/>
  <c r="I171" i="8"/>
  <c r="BC171" i="8" s="1"/>
  <c r="C171" i="8"/>
  <c r="AS171" i="8"/>
  <c r="AR171" i="8" s="1"/>
  <c r="AE171" i="8"/>
  <c r="AK169" i="8"/>
  <c r="AQ169" i="8"/>
  <c r="AP169" i="8"/>
  <c r="AT163" i="8"/>
  <c r="H163" i="8"/>
  <c r="E163" i="8"/>
  <c r="D163" i="8"/>
  <c r="I163" i="8"/>
  <c r="BD163" i="8" s="1"/>
  <c r="C163" i="8"/>
  <c r="AS163" i="8"/>
  <c r="AR163" i="8" s="1"/>
  <c r="AE163" i="8"/>
  <c r="AT157" i="8"/>
  <c r="AE157" i="8"/>
  <c r="AS157" i="8"/>
  <c r="H153" i="8"/>
  <c r="D153" i="8"/>
  <c r="E153" i="8"/>
  <c r="I153" i="8"/>
  <c r="BC153" i="8" s="1"/>
  <c r="C153" i="8"/>
  <c r="AT149" i="8"/>
  <c r="AS149" i="8"/>
  <c r="AE149" i="8"/>
  <c r="H147" i="8"/>
  <c r="I147" i="8"/>
  <c r="E147" i="8"/>
  <c r="BC177" i="8"/>
  <c r="AT168" i="8"/>
  <c r="H168" i="8"/>
  <c r="E168" i="8"/>
  <c r="D168" i="8"/>
  <c r="I168" i="8"/>
  <c r="C168" i="8"/>
  <c r="AE168" i="8"/>
  <c r="AS168" i="8"/>
  <c r="AT173" i="8"/>
  <c r="H173" i="8"/>
  <c r="E173" i="8"/>
  <c r="D173" i="8"/>
  <c r="I173" i="8"/>
  <c r="C173" i="8"/>
  <c r="AE173" i="8"/>
  <c r="AS173" i="8"/>
  <c r="AT165" i="8"/>
  <c r="H165" i="8"/>
  <c r="E165" i="8"/>
  <c r="D165" i="8"/>
  <c r="C165" i="8"/>
  <c r="I165" i="8"/>
  <c r="AE165" i="8"/>
  <c r="AS165" i="8"/>
  <c r="AT170" i="8"/>
  <c r="H170" i="8"/>
  <c r="E170" i="8"/>
  <c r="D170" i="8"/>
  <c r="C170" i="8"/>
  <c r="I170" i="8"/>
  <c r="BD170" i="8" s="1"/>
  <c r="AE170" i="8"/>
  <c r="AS170" i="8"/>
  <c r="AR170" i="8" s="1"/>
  <c r="AK168" i="8"/>
  <c r="AQ168" i="8"/>
  <c r="AP168" i="8"/>
  <c r="AT162" i="8"/>
  <c r="H162" i="8"/>
  <c r="E162" i="8"/>
  <c r="D162" i="8"/>
  <c r="C162" i="8"/>
  <c r="I162" i="8"/>
  <c r="BC162" i="8" s="1"/>
  <c r="AS162" i="8"/>
  <c r="AR162" i="8" s="1"/>
  <c r="AE162" i="8"/>
  <c r="H156" i="8"/>
  <c r="D156" i="8"/>
  <c r="E156" i="8"/>
  <c r="I156" i="8"/>
  <c r="BD156" i="8" s="1"/>
  <c r="C156" i="8"/>
  <c r="AT152" i="8"/>
  <c r="AS152" i="8"/>
  <c r="AE152" i="8"/>
  <c r="H148" i="8"/>
  <c r="D148" i="8"/>
  <c r="E148" i="8"/>
  <c r="I148" i="8"/>
  <c r="BC148" i="8" s="1"/>
  <c r="C148" i="8"/>
  <c r="AK146" i="8"/>
  <c r="AQ146" i="8"/>
  <c r="BD146" i="8" s="1"/>
  <c r="AP146" i="8"/>
  <c r="AT143" i="8"/>
  <c r="AN143" i="8" s="1"/>
  <c r="AO143" i="8" s="1"/>
  <c r="AR143" i="8" s="1"/>
  <c r="AU143" i="8" s="1"/>
  <c r="AV143" i="8" s="1"/>
  <c r="AW143" i="8" s="1"/>
  <c r="AK150" i="8"/>
  <c r="AQ150" i="8"/>
  <c r="AP150" i="8"/>
  <c r="AK140" i="8"/>
  <c r="AP140" i="8"/>
  <c r="AQ140" i="8"/>
  <c r="I140" i="8"/>
  <c r="H140" i="8"/>
  <c r="E140" i="8"/>
  <c r="AT140" i="8"/>
  <c r="AE140" i="8"/>
  <c r="AS140" i="8"/>
  <c r="BC136" i="8"/>
  <c r="AR136" i="8"/>
  <c r="AU136" i="8" s="1"/>
  <c r="AV136" i="8" s="1"/>
  <c r="AW136" i="8" s="1"/>
  <c r="AK160" i="8"/>
  <c r="AQ160" i="8"/>
  <c r="AP160" i="8"/>
  <c r="AT160" i="8"/>
  <c r="H160" i="8"/>
  <c r="E160" i="8"/>
  <c r="D160" i="8"/>
  <c r="I160" i="8"/>
  <c r="C160" i="8"/>
  <c r="AE160" i="8"/>
  <c r="AS160" i="8"/>
  <c r="BC157" i="8"/>
  <c r="C139" i="8"/>
  <c r="I139" i="8"/>
  <c r="BD139" i="8" s="1"/>
  <c r="H139" i="8"/>
  <c r="E139" i="8"/>
  <c r="AT139" i="8"/>
  <c r="AS139" i="8"/>
  <c r="AR139" i="8" s="1"/>
  <c r="AE139" i="8"/>
  <c r="H151" i="8"/>
  <c r="D151" i="8"/>
  <c r="C151" i="8"/>
  <c r="E151" i="8"/>
  <c r="I151" i="8"/>
  <c r="H150" i="8"/>
  <c r="D150" i="8"/>
  <c r="I150" i="8"/>
  <c r="C150" i="8"/>
  <c r="E150" i="8"/>
  <c r="AT150" i="8"/>
  <c r="AS150" i="8"/>
  <c r="AE150" i="8"/>
  <c r="AK155" i="8"/>
  <c r="AQ155" i="8"/>
  <c r="BD155" i="8" s="1"/>
  <c r="AP155" i="8"/>
  <c r="AT155" i="8"/>
  <c r="AS155" i="8"/>
  <c r="AE155" i="8"/>
  <c r="I111" i="8"/>
  <c r="BD111" i="8" s="1"/>
  <c r="H111" i="8"/>
  <c r="E111" i="8"/>
  <c r="D111" i="8"/>
  <c r="C111" i="8"/>
  <c r="I110" i="8"/>
  <c r="BC110" i="8" s="1"/>
  <c r="H110" i="8"/>
  <c r="E110" i="8"/>
  <c r="D110" i="8"/>
  <c r="C110" i="8"/>
  <c r="I109" i="8"/>
  <c r="BD109" i="8" s="1"/>
  <c r="H109" i="8"/>
  <c r="E109" i="8"/>
  <c r="D109" i="8"/>
  <c r="C109" i="8"/>
  <c r="I108" i="8"/>
  <c r="BD108" i="8" s="1"/>
  <c r="H108" i="8"/>
  <c r="E108" i="8"/>
  <c r="D108" i="8"/>
  <c r="C108" i="8"/>
  <c r="I107" i="8"/>
  <c r="BC107" i="8" s="1"/>
  <c r="H107" i="8"/>
  <c r="E107" i="8"/>
  <c r="D107" i="8"/>
  <c r="C107" i="8"/>
  <c r="I106" i="8"/>
  <c r="H106" i="8"/>
  <c r="E106" i="8"/>
  <c r="D106" i="8"/>
  <c r="C106" i="8"/>
  <c r="I105" i="8"/>
  <c r="BC105" i="8" s="1"/>
  <c r="H105" i="8"/>
  <c r="E105" i="8"/>
  <c r="D105" i="8"/>
  <c r="C105" i="8"/>
  <c r="I104" i="8"/>
  <c r="H104" i="8"/>
  <c r="E104" i="8"/>
  <c r="D104" i="8"/>
  <c r="C104" i="8"/>
  <c r="I103" i="8"/>
  <c r="H103" i="8"/>
  <c r="E103" i="8"/>
  <c r="D103" i="8"/>
  <c r="C103" i="8"/>
  <c r="I102" i="8"/>
  <c r="BC102" i="8" s="1"/>
  <c r="H102" i="8"/>
  <c r="E102" i="8"/>
  <c r="D102" i="8"/>
  <c r="C102" i="8"/>
  <c r="I101" i="8"/>
  <c r="H101" i="8"/>
  <c r="E101" i="8"/>
  <c r="D101" i="8"/>
  <c r="C101" i="8"/>
  <c r="I100" i="8"/>
  <c r="BD100" i="8" s="1"/>
  <c r="H100" i="8"/>
  <c r="E100" i="8"/>
  <c r="D100" i="8"/>
  <c r="C100" i="8"/>
  <c r="I99" i="8"/>
  <c r="BC99" i="8" s="1"/>
  <c r="H99" i="8"/>
  <c r="E99" i="8"/>
  <c r="D99" i="8"/>
  <c r="C99" i="8"/>
  <c r="I98" i="8"/>
  <c r="H98" i="8"/>
  <c r="E98" i="8"/>
  <c r="D98" i="8"/>
  <c r="C98" i="8"/>
  <c r="I97" i="8"/>
  <c r="BC97" i="8" s="1"/>
  <c r="H97" i="8"/>
  <c r="E97" i="8"/>
  <c r="D97" i="8"/>
  <c r="C97" i="8"/>
  <c r="I96" i="8"/>
  <c r="H96" i="8"/>
  <c r="E96" i="8"/>
  <c r="D96" i="8"/>
  <c r="C96" i="8"/>
  <c r="I95" i="8"/>
  <c r="H95" i="8"/>
  <c r="E95" i="8"/>
  <c r="D95" i="8"/>
  <c r="C95" i="8"/>
  <c r="I94" i="8"/>
  <c r="BD94" i="8" s="1"/>
  <c r="H94" i="8"/>
  <c r="E94" i="8"/>
  <c r="D94" i="8"/>
  <c r="C94" i="8"/>
  <c r="I93" i="8"/>
  <c r="BD93" i="8" s="1"/>
  <c r="H93" i="8"/>
  <c r="E93" i="8"/>
  <c r="D93" i="8"/>
  <c r="C93" i="8"/>
  <c r="I92" i="8"/>
  <c r="H92" i="8"/>
  <c r="E92" i="8"/>
  <c r="D92" i="8"/>
  <c r="C92" i="8"/>
  <c r="I91" i="8"/>
  <c r="BC91" i="8" s="1"/>
  <c r="H91" i="8"/>
  <c r="E91" i="8"/>
  <c r="D91" i="8"/>
  <c r="C91" i="8"/>
  <c r="I90" i="8"/>
  <c r="BD90" i="8" s="1"/>
  <c r="H90" i="8"/>
  <c r="E90" i="8"/>
  <c r="D90" i="8"/>
  <c r="C90" i="8"/>
  <c r="I89" i="8"/>
  <c r="BD89" i="8" s="1"/>
  <c r="H89" i="8"/>
  <c r="E89" i="8"/>
  <c r="D89" i="8"/>
  <c r="C89" i="8"/>
  <c r="I88" i="8"/>
  <c r="H88" i="8"/>
  <c r="E88" i="8"/>
  <c r="D88" i="8"/>
  <c r="C88" i="8"/>
  <c r="I87" i="8"/>
  <c r="E87" i="8"/>
  <c r="D87" i="8"/>
  <c r="H87" i="8"/>
  <c r="C87" i="8"/>
  <c r="I86" i="8"/>
  <c r="BC86" i="8" s="1"/>
  <c r="E86" i="8"/>
  <c r="D86" i="8"/>
  <c r="H86" i="8"/>
  <c r="C86" i="8"/>
  <c r="I85" i="8"/>
  <c r="BC85" i="8" s="1"/>
  <c r="E85" i="8"/>
  <c r="D85" i="8"/>
  <c r="H85" i="8"/>
  <c r="C85" i="8"/>
  <c r="I84" i="8"/>
  <c r="BC84" i="8" s="1"/>
  <c r="E84" i="8"/>
  <c r="D84" i="8"/>
  <c r="H84" i="8"/>
  <c r="C84" i="8"/>
  <c r="I83" i="8"/>
  <c r="BC83" i="8" s="1"/>
  <c r="E83" i="8"/>
  <c r="D83" i="8"/>
  <c r="C83" i="8"/>
  <c r="H83" i="8"/>
  <c r="I82" i="8"/>
  <c r="E82" i="8"/>
  <c r="D82" i="8"/>
  <c r="H82" i="8"/>
  <c r="C82" i="8"/>
  <c r="I81" i="8"/>
  <c r="BC81" i="8" s="1"/>
  <c r="E81" i="8"/>
  <c r="D81" i="8"/>
  <c r="C81" i="8"/>
  <c r="H81" i="8"/>
  <c r="I80" i="8"/>
  <c r="E80" i="8"/>
  <c r="D80" i="8"/>
  <c r="H80" i="8"/>
  <c r="C80" i="8"/>
  <c r="I79" i="8"/>
  <c r="E79" i="8"/>
  <c r="D79" i="8"/>
  <c r="H79" i="8"/>
  <c r="C79" i="8"/>
  <c r="BC149" i="8"/>
  <c r="AK161" i="8"/>
  <c r="AQ161" i="8"/>
  <c r="AP161" i="8"/>
  <c r="AT161" i="8"/>
  <c r="H161" i="8"/>
  <c r="E161" i="8"/>
  <c r="D161" i="8"/>
  <c r="I161" i="8"/>
  <c r="C161" i="8"/>
  <c r="AS161" i="8"/>
  <c r="AE161" i="8"/>
  <c r="BC154" i="8"/>
  <c r="AK151" i="8"/>
  <c r="AQ151" i="8"/>
  <c r="AP151" i="8"/>
  <c r="AT151" i="8"/>
  <c r="AS151" i="8"/>
  <c r="AE151" i="8"/>
  <c r="BC130" i="8"/>
  <c r="BC126" i="8"/>
  <c r="H158" i="8"/>
  <c r="D158" i="8"/>
  <c r="I158" i="8"/>
  <c r="BD158" i="8" s="1"/>
  <c r="C158" i="8"/>
  <c r="E158" i="8"/>
  <c r="AT158" i="8"/>
  <c r="AS158" i="8"/>
  <c r="AE158" i="8"/>
  <c r="AT144" i="8"/>
  <c r="AK144" i="8"/>
  <c r="AQ144" i="8"/>
  <c r="AP144" i="8"/>
  <c r="C144" i="8"/>
  <c r="I144" i="8"/>
  <c r="E144" i="8"/>
  <c r="H144" i="8"/>
  <c r="AS144" i="8"/>
  <c r="AE144" i="8"/>
  <c r="AT111" i="8"/>
  <c r="AR111" i="8"/>
  <c r="AT110" i="8"/>
  <c r="AT109" i="8"/>
  <c r="AR109" i="8"/>
  <c r="AT108" i="8"/>
  <c r="AR108" i="8"/>
  <c r="AT107" i="8"/>
  <c r="AR107" i="8"/>
  <c r="AT106" i="8"/>
  <c r="AR106" i="8"/>
  <c r="AT105" i="8"/>
  <c r="AR105" i="8"/>
  <c r="AT104" i="8"/>
  <c r="AR104" i="8"/>
  <c r="AT103" i="8"/>
  <c r="AT102" i="8"/>
  <c r="AR102" i="8"/>
  <c r="AT101" i="8"/>
  <c r="AR101" i="8"/>
  <c r="AT100" i="8"/>
  <c r="AR100" i="8"/>
  <c r="AT99" i="8"/>
  <c r="AR99" i="8"/>
  <c r="AT98" i="8"/>
  <c r="AR98" i="8"/>
  <c r="AT97" i="8"/>
  <c r="AR97" i="8"/>
  <c r="AT96" i="8"/>
  <c r="AR96" i="8"/>
  <c r="AT95" i="8"/>
  <c r="AR95" i="8"/>
  <c r="AT94" i="8"/>
  <c r="AR94" i="8"/>
  <c r="AT93" i="8"/>
  <c r="AR93" i="8"/>
  <c r="AT92" i="8"/>
  <c r="AT91" i="8"/>
  <c r="AR91" i="8"/>
  <c r="AT90" i="8"/>
  <c r="AR90" i="8"/>
  <c r="AT89" i="8"/>
  <c r="AR89" i="8"/>
  <c r="AT88" i="8"/>
  <c r="AT87" i="8"/>
  <c r="AR87" i="8"/>
  <c r="AT86" i="8"/>
  <c r="AT85" i="8"/>
  <c r="AR85" i="8"/>
  <c r="AT84" i="8"/>
  <c r="AR84" i="8"/>
  <c r="AT83" i="8"/>
  <c r="AR83" i="8"/>
  <c r="AR82" i="8"/>
  <c r="AT82" i="8"/>
  <c r="AR81" i="8"/>
  <c r="AT81" i="8"/>
  <c r="AR80" i="8"/>
  <c r="AT80" i="8"/>
  <c r="AR79" i="8"/>
  <c r="AT79" i="8"/>
  <c r="AR78" i="8"/>
  <c r="AT78" i="8"/>
  <c r="AT77" i="8"/>
  <c r="AT76" i="8"/>
  <c r="AR76" i="8"/>
  <c r="AT75" i="8"/>
  <c r="AR75" i="8"/>
  <c r="AR74" i="8"/>
  <c r="AT74" i="8"/>
  <c r="AT73" i="8"/>
  <c r="AR73" i="8"/>
  <c r="BC116" i="8"/>
  <c r="AQ72" i="8"/>
  <c r="AP72" i="8"/>
  <c r="AK72" i="8"/>
  <c r="E59" i="8"/>
  <c r="D59" i="8"/>
  <c r="I59" i="8"/>
  <c r="H59" i="8"/>
  <c r="E58" i="8"/>
  <c r="D58" i="8"/>
  <c r="I58" i="8"/>
  <c r="H58" i="8"/>
  <c r="E57" i="8"/>
  <c r="D57" i="8"/>
  <c r="I57" i="8"/>
  <c r="H57" i="8"/>
  <c r="E56" i="8"/>
  <c r="D56" i="8"/>
  <c r="I56" i="8"/>
  <c r="H56" i="8"/>
  <c r="E55" i="8"/>
  <c r="D55" i="8"/>
  <c r="I55" i="8"/>
  <c r="H55" i="8"/>
  <c r="E54" i="8"/>
  <c r="D54" i="8"/>
  <c r="I54" i="8"/>
  <c r="H54" i="8"/>
  <c r="E53" i="8"/>
  <c r="D53" i="8"/>
  <c r="I53" i="8"/>
  <c r="H53" i="8"/>
  <c r="E52" i="8"/>
  <c r="D52" i="8"/>
  <c r="I52" i="8"/>
  <c r="H52" i="8"/>
  <c r="E51" i="8"/>
  <c r="D51" i="8"/>
  <c r="I51" i="8"/>
  <c r="H51" i="8"/>
  <c r="E50" i="8"/>
  <c r="D50" i="8"/>
  <c r="I50" i="8"/>
  <c r="H50" i="8"/>
  <c r="E49" i="8"/>
  <c r="D49" i="8"/>
  <c r="I49" i="8"/>
  <c r="H49" i="8"/>
  <c r="E48" i="8"/>
  <c r="I48" i="8"/>
  <c r="H48" i="8"/>
  <c r="D48" i="8"/>
  <c r="E47" i="8"/>
  <c r="I47" i="8"/>
  <c r="H47" i="8"/>
  <c r="E46" i="8"/>
  <c r="I46" i="8"/>
  <c r="H46" i="8"/>
  <c r="D46" i="8"/>
  <c r="E45" i="8"/>
  <c r="I45" i="8"/>
  <c r="H45" i="8"/>
  <c r="E44" i="8"/>
  <c r="I44" i="8"/>
  <c r="H44" i="8"/>
  <c r="D44" i="8"/>
  <c r="E43" i="8"/>
  <c r="I43" i="8"/>
  <c r="H43" i="8"/>
  <c r="E42" i="8"/>
  <c r="I42" i="8"/>
  <c r="H42" i="8"/>
  <c r="D42" i="8"/>
  <c r="E41" i="8"/>
  <c r="I41" i="8"/>
  <c r="H41" i="8"/>
  <c r="D41" i="8"/>
  <c r="E40" i="8"/>
  <c r="I40" i="8"/>
  <c r="H40" i="8"/>
  <c r="E39" i="8"/>
  <c r="I39" i="8"/>
  <c r="H39" i="8"/>
  <c r="E38" i="8"/>
  <c r="I38" i="8"/>
  <c r="H38" i="8"/>
  <c r="D38" i="8"/>
  <c r="E37" i="8"/>
  <c r="I37" i="8"/>
  <c r="H37" i="8"/>
  <c r="E36" i="8"/>
  <c r="I36" i="8"/>
  <c r="H36" i="8"/>
  <c r="D36" i="8"/>
  <c r="E35" i="8"/>
  <c r="H35" i="8"/>
  <c r="I35" i="8"/>
  <c r="D35" i="8"/>
  <c r="E34" i="8"/>
  <c r="H34" i="8"/>
  <c r="I34" i="8"/>
  <c r="D34" i="8"/>
  <c r="E33" i="8"/>
  <c r="H33" i="8"/>
  <c r="I33" i="8"/>
  <c r="BC119" i="8"/>
  <c r="AT72" i="8"/>
  <c r="AE71" i="8"/>
  <c r="AS71" i="8"/>
  <c r="AT71" i="8"/>
  <c r="AE70" i="8"/>
  <c r="AS70" i="8"/>
  <c r="AT70" i="8"/>
  <c r="AE69" i="8"/>
  <c r="AS69" i="8"/>
  <c r="AT69" i="8"/>
  <c r="AE68" i="8"/>
  <c r="AS68" i="8"/>
  <c r="AT68" i="8"/>
  <c r="AE67" i="8"/>
  <c r="AS67" i="8"/>
  <c r="AT67" i="8"/>
  <c r="AE66" i="8"/>
  <c r="AS66" i="8"/>
  <c r="AT66" i="8"/>
  <c r="AE65" i="8"/>
  <c r="AS65" i="8"/>
  <c r="AT65" i="8"/>
  <c r="AE64" i="8"/>
  <c r="AS64" i="8"/>
  <c r="AT64" i="8"/>
  <c r="AE63" i="8"/>
  <c r="AS63" i="8"/>
  <c r="AT63" i="8"/>
  <c r="AE62" i="8"/>
  <c r="AS62" i="8"/>
  <c r="AT62" i="8"/>
  <c r="BC117" i="8"/>
  <c r="AQ59" i="8"/>
  <c r="AP59" i="8"/>
  <c r="AK59" i="8"/>
  <c r="AQ58" i="8"/>
  <c r="AP58" i="8"/>
  <c r="AK58" i="8"/>
  <c r="AQ57" i="8"/>
  <c r="AP57" i="8"/>
  <c r="AK57" i="8"/>
  <c r="AQ56" i="8"/>
  <c r="AP56" i="8"/>
  <c r="AK56" i="8"/>
  <c r="AQ55" i="8"/>
  <c r="AP55" i="8"/>
  <c r="AK55" i="8"/>
  <c r="AQ54" i="8"/>
  <c r="AP54" i="8"/>
  <c r="AK54" i="8"/>
  <c r="AQ53" i="8"/>
  <c r="AP53" i="8"/>
  <c r="AK53" i="8"/>
  <c r="AQ52" i="8"/>
  <c r="AP52" i="8"/>
  <c r="AK52" i="8"/>
  <c r="AQ51" i="8"/>
  <c r="AP51" i="8"/>
  <c r="AK51" i="8"/>
  <c r="AQ50" i="8"/>
  <c r="AP50" i="8"/>
  <c r="AK50" i="8"/>
  <c r="AQ49" i="8"/>
  <c r="AP49" i="8"/>
  <c r="AK49" i="8"/>
  <c r="AQ48" i="8"/>
  <c r="AP48" i="8"/>
  <c r="AK48" i="8"/>
  <c r="AP47" i="8"/>
  <c r="AK47" i="8"/>
  <c r="AQ47" i="8"/>
  <c r="AP46" i="8"/>
  <c r="AK46" i="8"/>
  <c r="AQ46" i="8"/>
  <c r="AP45" i="8"/>
  <c r="AK45" i="8"/>
  <c r="AQ45" i="8"/>
  <c r="AP44" i="8"/>
  <c r="AK44" i="8"/>
  <c r="AQ44" i="8"/>
  <c r="AP43" i="8"/>
  <c r="AK43" i="8"/>
  <c r="AQ43" i="8"/>
  <c r="AP42" i="8"/>
  <c r="AK42" i="8"/>
  <c r="AQ42" i="8"/>
  <c r="AP41" i="8"/>
  <c r="AK41" i="8"/>
  <c r="AQ41" i="8"/>
  <c r="AP40" i="8"/>
  <c r="AK40" i="8"/>
  <c r="AQ40" i="8"/>
  <c r="AP39" i="8"/>
  <c r="AK39" i="8"/>
  <c r="AQ39" i="8"/>
  <c r="AP38" i="8"/>
  <c r="AK38" i="8"/>
  <c r="AQ38" i="8"/>
  <c r="AP37" i="8"/>
  <c r="AK37" i="8"/>
  <c r="AQ37" i="8"/>
  <c r="AP36" i="8"/>
  <c r="AK36" i="8"/>
  <c r="AQ36" i="8"/>
  <c r="AP35" i="8"/>
  <c r="AK35" i="8"/>
  <c r="AQ35" i="8"/>
  <c r="AP34" i="8"/>
  <c r="AK34" i="8"/>
  <c r="AQ34" i="8"/>
  <c r="AP33" i="8"/>
  <c r="AK33" i="8"/>
  <c r="AQ33" i="8"/>
  <c r="AU115" i="8"/>
  <c r="AV115" i="8" s="1"/>
  <c r="AW115" i="8" s="1"/>
  <c r="D72" i="8"/>
  <c r="H72" i="8"/>
  <c r="E72" i="8"/>
  <c r="C72" i="8"/>
  <c r="I72" i="8"/>
  <c r="D71" i="8"/>
  <c r="H71" i="8"/>
  <c r="E71" i="8"/>
  <c r="C71" i="8"/>
  <c r="I71" i="8"/>
  <c r="D70" i="8"/>
  <c r="H70" i="8"/>
  <c r="E70" i="8"/>
  <c r="C70" i="8"/>
  <c r="I70" i="8"/>
  <c r="D69" i="8"/>
  <c r="H69" i="8"/>
  <c r="E69" i="8"/>
  <c r="C69" i="8"/>
  <c r="I69" i="8"/>
  <c r="D68" i="8"/>
  <c r="H68" i="8"/>
  <c r="E68" i="8"/>
  <c r="C68" i="8"/>
  <c r="I68" i="8"/>
  <c r="D67" i="8"/>
  <c r="H67" i="8"/>
  <c r="E67" i="8"/>
  <c r="C67" i="8"/>
  <c r="I67" i="8"/>
  <c r="D66" i="8"/>
  <c r="H66" i="8"/>
  <c r="E66" i="8"/>
  <c r="C66" i="8"/>
  <c r="I66" i="8"/>
  <c r="D65" i="8"/>
  <c r="H65" i="8"/>
  <c r="E65" i="8"/>
  <c r="C65" i="8"/>
  <c r="I65" i="8"/>
  <c r="D64" i="8"/>
  <c r="H64" i="8"/>
  <c r="E64" i="8"/>
  <c r="C64" i="8"/>
  <c r="I64" i="8"/>
  <c r="D63" i="8"/>
  <c r="H63" i="8"/>
  <c r="E63" i="8"/>
  <c r="C63" i="8"/>
  <c r="I63" i="8"/>
  <c r="D62" i="8"/>
  <c r="H62" i="8"/>
  <c r="E62" i="8"/>
  <c r="C62" i="8"/>
  <c r="I62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BC120" i="8"/>
  <c r="AQ71" i="8"/>
  <c r="AP71" i="8"/>
  <c r="AK71" i="8"/>
  <c r="AQ70" i="8"/>
  <c r="BD70" i="8" s="1"/>
  <c r="AP70" i="8"/>
  <c r="AK70" i="8"/>
  <c r="AQ69" i="8"/>
  <c r="AP69" i="8"/>
  <c r="AK69" i="8"/>
  <c r="AQ68" i="8"/>
  <c r="AP68" i="8"/>
  <c r="AK68" i="8"/>
  <c r="AQ67" i="8"/>
  <c r="AP67" i="8"/>
  <c r="AK67" i="8"/>
  <c r="AQ66" i="8"/>
  <c r="AP66" i="8"/>
  <c r="AK66" i="8"/>
  <c r="AQ65" i="8"/>
  <c r="AP65" i="8"/>
  <c r="AK65" i="8"/>
  <c r="AQ64" i="8"/>
  <c r="AP64" i="8"/>
  <c r="AK64" i="8"/>
  <c r="AQ63" i="8"/>
  <c r="AP63" i="8"/>
  <c r="AK63" i="8"/>
  <c r="AQ62" i="8"/>
  <c r="BD62" i="8" s="1"/>
  <c r="AP62" i="8"/>
  <c r="AK62" i="8"/>
  <c r="AS61" i="8"/>
  <c r="AR61" i="8" s="1"/>
  <c r="AU61" i="8" s="1"/>
  <c r="AV61" i="8" s="1"/>
  <c r="AW61" i="8" s="1"/>
  <c r="AE61" i="8"/>
  <c r="AS60" i="8"/>
  <c r="AE60" i="8"/>
  <c r="AS59" i="8"/>
  <c r="AE59" i="8"/>
  <c r="AS58" i="8"/>
  <c r="AE58" i="8"/>
  <c r="AS57" i="8"/>
  <c r="AE57" i="8"/>
  <c r="AS56" i="8"/>
  <c r="AE56" i="8"/>
  <c r="AS55" i="8"/>
  <c r="AE55" i="8"/>
  <c r="AS54" i="8"/>
  <c r="AE54" i="8"/>
  <c r="AS53" i="8"/>
  <c r="AE53" i="8"/>
  <c r="AS52" i="8"/>
  <c r="AE52" i="8"/>
  <c r="AS51" i="8"/>
  <c r="AE51" i="8"/>
  <c r="AS50" i="8"/>
  <c r="AE50" i="8"/>
  <c r="AS49" i="8"/>
  <c r="AE49" i="8"/>
  <c r="AS48" i="8"/>
  <c r="AE48" i="8"/>
  <c r="AS47" i="8"/>
  <c r="AE47" i="8"/>
  <c r="AS46" i="8"/>
  <c r="AE46" i="8"/>
  <c r="AS45" i="8"/>
  <c r="AE45" i="8"/>
  <c r="AS44" i="8"/>
  <c r="AE44" i="8"/>
  <c r="AS43" i="8"/>
  <c r="AE43" i="8"/>
  <c r="AS42" i="8"/>
  <c r="AE42" i="8"/>
  <c r="AS41" i="8"/>
  <c r="AE41" i="8"/>
  <c r="AS40" i="8"/>
  <c r="AE40" i="8"/>
  <c r="AS39" i="8"/>
  <c r="AE39" i="8"/>
  <c r="AS38" i="8"/>
  <c r="AE38" i="8"/>
  <c r="AS37" i="8"/>
  <c r="AE37" i="8"/>
  <c r="AS36" i="8"/>
  <c r="AE36" i="8"/>
  <c r="AS35" i="8"/>
  <c r="AE35" i="8"/>
  <c r="AS34" i="8"/>
  <c r="AE34" i="8"/>
  <c r="AS33" i="8"/>
  <c r="AE33" i="8"/>
  <c r="BC76" i="8"/>
  <c r="BC74" i="8"/>
  <c r="AS27" i="8"/>
  <c r="AR27" i="8" s="1"/>
  <c r="AE27" i="8"/>
  <c r="AT27" i="8"/>
  <c r="E27" i="8"/>
  <c r="H27" i="8"/>
  <c r="D27" i="8"/>
  <c r="C27" i="8"/>
  <c r="I27" i="8"/>
  <c r="BD27" i="8" s="1"/>
  <c r="AK12" i="8"/>
  <c r="AQ12" i="8"/>
  <c r="BD12" i="8" s="1"/>
  <c r="AP12" i="8"/>
  <c r="AT11" i="8"/>
  <c r="AE11" i="8"/>
  <c r="AS11" i="8"/>
  <c r="BC75" i="8"/>
  <c r="BC60" i="8"/>
  <c r="AS28" i="8"/>
  <c r="AR28" i="8" s="1"/>
  <c r="AE28" i="8"/>
  <c r="AT28" i="8"/>
  <c r="E28" i="8"/>
  <c r="H28" i="8"/>
  <c r="I28" i="8"/>
  <c r="D28" i="8"/>
  <c r="C28" i="8"/>
  <c r="AS20" i="8"/>
  <c r="AR20" i="8" s="1"/>
  <c r="AE20" i="8"/>
  <c r="AT20" i="8"/>
  <c r="E20" i="8"/>
  <c r="H20" i="8"/>
  <c r="I20" i="8"/>
  <c r="BC20" i="8" s="1"/>
  <c r="D20" i="8"/>
  <c r="C20" i="8"/>
  <c r="AK13" i="8"/>
  <c r="AQ13" i="8"/>
  <c r="AP13" i="8"/>
  <c r="AT12" i="8"/>
  <c r="AE12" i="8"/>
  <c r="AS12" i="8"/>
  <c r="AK7" i="8"/>
  <c r="AQ7" i="8"/>
  <c r="AP7" i="8"/>
  <c r="AS21" i="8"/>
  <c r="AR21" i="8" s="1"/>
  <c r="AE21" i="8"/>
  <c r="AT21" i="8"/>
  <c r="E21" i="8"/>
  <c r="H21" i="8"/>
  <c r="I21" i="8"/>
  <c r="BD21" i="8" s="1"/>
  <c r="D21" i="8"/>
  <c r="C21" i="8"/>
  <c r="AS19" i="8"/>
  <c r="AR19" i="8" s="1"/>
  <c r="AE19" i="8"/>
  <c r="AT19" i="8"/>
  <c r="AT13" i="8"/>
  <c r="AE13" i="8"/>
  <c r="AS13" i="8"/>
  <c r="AT7" i="8"/>
  <c r="AS31" i="8"/>
  <c r="AE31" i="8"/>
  <c r="AT31" i="8"/>
  <c r="AP31" i="8"/>
  <c r="AK31" i="8"/>
  <c r="AQ31" i="8"/>
  <c r="E31" i="8"/>
  <c r="H31" i="8"/>
  <c r="I31" i="8"/>
  <c r="D31" i="8"/>
  <c r="AS29" i="8"/>
  <c r="AE29" i="8"/>
  <c r="AT29" i="8"/>
  <c r="AP29" i="8"/>
  <c r="AK29" i="8"/>
  <c r="AQ29" i="8"/>
  <c r="E29" i="8"/>
  <c r="H29" i="8"/>
  <c r="I29" i="8"/>
  <c r="D29" i="8"/>
  <c r="AS22" i="8"/>
  <c r="AR22" i="8" s="1"/>
  <c r="AE22" i="8"/>
  <c r="AT22" i="8"/>
  <c r="E22" i="8"/>
  <c r="H22" i="8"/>
  <c r="I22" i="8"/>
  <c r="BC22" i="8" s="1"/>
  <c r="D22" i="8"/>
  <c r="AK15" i="8"/>
  <c r="AQ15" i="8"/>
  <c r="AP15" i="8"/>
  <c r="AT14" i="8"/>
  <c r="AS14" i="8"/>
  <c r="AR14" i="8" s="1"/>
  <c r="AE14" i="8"/>
  <c r="H8" i="8"/>
  <c r="E8" i="8"/>
  <c r="C8" i="8"/>
  <c r="I8" i="8"/>
  <c r="AQ5" i="8"/>
  <c r="BD5" i="8" s="1"/>
  <c r="AP5" i="8"/>
  <c r="AK5" i="8"/>
  <c r="AS37" i="7"/>
  <c r="AS36" i="7"/>
  <c r="AS35" i="7"/>
  <c r="AS34" i="7"/>
  <c r="AS33" i="7"/>
  <c r="AS32" i="7"/>
  <c r="AS31" i="7"/>
  <c r="AS30" i="7"/>
  <c r="AS29" i="7"/>
  <c r="AS28" i="7"/>
  <c r="AS27" i="7"/>
  <c r="AS26" i="7"/>
  <c r="AS25" i="7"/>
  <c r="AS23" i="8"/>
  <c r="AE23" i="8"/>
  <c r="AT23" i="8"/>
  <c r="E23" i="8"/>
  <c r="H23" i="8"/>
  <c r="I23" i="8"/>
  <c r="AT15" i="8"/>
  <c r="AS15" i="8"/>
  <c r="AE15" i="8"/>
  <c r="AS24" i="8"/>
  <c r="AE24" i="8"/>
  <c r="AT24" i="8"/>
  <c r="E24" i="8"/>
  <c r="H24" i="8"/>
  <c r="I24" i="8"/>
  <c r="AT16" i="8"/>
  <c r="AS16" i="8"/>
  <c r="AR16" i="8" s="1"/>
  <c r="AE16" i="8"/>
  <c r="H13" i="8"/>
  <c r="I13" i="8"/>
  <c r="E13" i="8"/>
  <c r="D13" i="8"/>
  <c r="C13" i="8"/>
  <c r="I10" i="8"/>
  <c r="H10" i="8"/>
  <c r="E10" i="8"/>
  <c r="D10" i="8"/>
  <c r="C10" i="8"/>
  <c r="AT6" i="8"/>
  <c r="AR6" i="8"/>
  <c r="AS25" i="8"/>
  <c r="AE25" i="8"/>
  <c r="AT25" i="8"/>
  <c r="E25" i="8"/>
  <c r="H25" i="8"/>
  <c r="C25" i="8"/>
  <c r="I25" i="8"/>
  <c r="AK23" i="8"/>
  <c r="AQ23" i="8"/>
  <c r="AP23" i="8"/>
  <c r="H19" i="8"/>
  <c r="I19" i="8"/>
  <c r="BC19" i="8" s="1"/>
  <c r="E19" i="8"/>
  <c r="D19" i="8"/>
  <c r="C19" i="8"/>
  <c r="AK18" i="8"/>
  <c r="AP18" i="8"/>
  <c r="AQ18" i="8"/>
  <c r="BD18" i="8" s="1"/>
  <c r="AT17" i="8"/>
  <c r="AS17" i="8"/>
  <c r="AR17" i="8" s="1"/>
  <c r="AE17" i="8"/>
  <c r="H14" i="8"/>
  <c r="I14" i="8"/>
  <c r="E14" i="8"/>
  <c r="D14" i="8"/>
  <c r="AK8" i="8"/>
  <c r="AQ8" i="8"/>
  <c r="AP8" i="8"/>
  <c r="I7" i="8"/>
  <c r="H7" i="8"/>
  <c r="E7" i="8"/>
  <c r="C7" i="8"/>
  <c r="BC61" i="8"/>
  <c r="AS32" i="8"/>
  <c r="AE32" i="8"/>
  <c r="AT32" i="8"/>
  <c r="AP32" i="8"/>
  <c r="AK32" i="8"/>
  <c r="AQ32" i="8"/>
  <c r="E32" i="8"/>
  <c r="H32" i="8"/>
  <c r="I32" i="8"/>
  <c r="AE30" i="8"/>
  <c r="AS30" i="8"/>
  <c r="AT30" i="8"/>
  <c r="AP30" i="8"/>
  <c r="AK30" i="8"/>
  <c r="AQ30" i="8"/>
  <c r="E30" i="8"/>
  <c r="H30" i="8"/>
  <c r="I30" i="8"/>
  <c r="AS26" i="8"/>
  <c r="AE26" i="8"/>
  <c r="AT26" i="8"/>
  <c r="E26" i="8"/>
  <c r="H26" i="8"/>
  <c r="I26" i="8"/>
  <c r="AK24" i="8"/>
  <c r="AQ24" i="8"/>
  <c r="AP24" i="8"/>
  <c r="AT18" i="8"/>
  <c r="AE18" i="8"/>
  <c r="AS18" i="8"/>
  <c r="H15" i="8"/>
  <c r="I15" i="8"/>
  <c r="E15" i="8"/>
  <c r="AK11" i="8"/>
  <c r="AP11" i="8"/>
  <c r="AQ11" i="8"/>
  <c r="BD11" i="8" s="1"/>
  <c r="AT8" i="8"/>
  <c r="AS5" i="8"/>
  <c r="AE5" i="8"/>
  <c r="E37" i="7"/>
  <c r="D37" i="7"/>
  <c r="T37" i="7" s="1"/>
  <c r="I37" i="7"/>
  <c r="BB37" i="7" s="1"/>
  <c r="E36" i="7"/>
  <c r="D36" i="7"/>
  <c r="S36" i="7" s="1"/>
  <c r="I36" i="7"/>
  <c r="BB36" i="7" s="1"/>
  <c r="H36" i="7"/>
  <c r="E35" i="7"/>
  <c r="D35" i="7"/>
  <c r="V35" i="7" s="1"/>
  <c r="I35" i="7"/>
  <c r="BC35" i="7" s="1"/>
  <c r="H35" i="7"/>
  <c r="E34" i="7"/>
  <c r="D34" i="7"/>
  <c r="R34" i="7" s="1"/>
  <c r="I34" i="7"/>
  <c r="BC34" i="7" s="1"/>
  <c r="H34" i="7"/>
  <c r="E33" i="7"/>
  <c r="D33" i="7"/>
  <c r="R33" i="7" s="1"/>
  <c r="AZ33" i="7" s="1"/>
  <c r="I33" i="7"/>
  <c r="BB33" i="7" s="1"/>
  <c r="H33" i="7"/>
  <c r="E32" i="7"/>
  <c r="D32" i="7"/>
  <c r="W32" i="7" s="1"/>
  <c r="I32" i="7"/>
  <c r="BB32" i="7" s="1"/>
  <c r="H32" i="7"/>
  <c r="E31" i="7"/>
  <c r="I31" i="7"/>
  <c r="H31" i="7"/>
  <c r="D31" i="7"/>
  <c r="T31" i="7" s="1"/>
  <c r="E30" i="7"/>
  <c r="I30" i="7"/>
  <c r="BB30" i="7" s="1"/>
  <c r="H30" i="7"/>
  <c r="D30" i="7"/>
  <c r="V30" i="7" s="1"/>
  <c r="E29" i="7"/>
  <c r="I29" i="7"/>
  <c r="BB29" i="7" s="1"/>
  <c r="H29" i="7"/>
  <c r="D29" i="7"/>
  <c r="R29" i="7" s="1"/>
  <c r="E28" i="7"/>
  <c r="I28" i="7"/>
  <c r="BB28" i="7" s="1"/>
  <c r="H28" i="7"/>
  <c r="D28" i="7"/>
  <c r="T28" i="7" s="1"/>
  <c r="E27" i="7"/>
  <c r="I27" i="7"/>
  <c r="BB27" i="7" s="1"/>
  <c r="H27" i="7"/>
  <c r="D27" i="7"/>
  <c r="W27" i="7" s="1"/>
  <c r="E26" i="7"/>
  <c r="I26" i="7"/>
  <c r="BB26" i="7" s="1"/>
  <c r="H26" i="7"/>
  <c r="D26" i="7"/>
  <c r="R26" i="7" s="1"/>
  <c r="I25" i="7"/>
  <c r="BB25" i="7" s="1"/>
  <c r="H25" i="7"/>
  <c r="E25" i="7"/>
  <c r="D25" i="7"/>
  <c r="R25" i="7" s="1"/>
  <c r="AJ22" i="7"/>
  <c r="AP22" i="7"/>
  <c r="AO22" i="7"/>
  <c r="S21" i="7"/>
  <c r="R21" i="7"/>
  <c r="U21" i="7" s="1"/>
  <c r="W21" i="7"/>
  <c r="V21" i="7"/>
  <c r="T21" i="7"/>
  <c r="I18" i="7"/>
  <c r="H18" i="7"/>
  <c r="E18" i="7"/>
  <c r="D18" i="7"/>
  <c r="C18" i="7"/>
  <c r="T35" i="7"/>
  <c r="I23" i="7"/>
  <c r="H23" i="7"/>
  <c r="E23" i="7"/>
  <c r="AS23" i="7"/>
  <c r="I19" i="7"/>
  <c r="H19" i="7"/>
  <c r="E19" i="7"/>
  <c r="C19" i="7"/>
  <c r="AS19" i="7"/>
  <c r="H17" i="7"/>
  <c r="I17" i="7"/>
  <c r="E17" i="7"/>
  <c r="D17" i="7"/>
  <c r="C17" i="7"/>
  <c r="AJ15" i="7"/>
  <c r="D19" i="5" s="1"/>
  <c r="AP15" i="7"/>
  <c r="AO15" i="7"/>
  <c r="D21" i="5" s="1"/>
  <c r="H15" i="7"/>
  <c r="I15" i="7"/>
  <c r="E15" i="7"/>
  <c r="D15" i="7"/>
  <c r="C15" i="7"/>
  <c r="AJ13" i="7"/>
  <c r="AP13" i="7"/>
  <c r="AO13" i="7"/>
  <c r="H13" i="7"/>
  <c r="I13" i="7"/>
  <c r="E13" i="7"/>
  <c r="D13" i="7"/>
  <c r="C13" i="7"/>
  <c r="AJ11" i="7"/>
  <c r="AP11" i="7"/>
  <c r="AO11" i="7"/>
  <c r="H11" i="7"/>
  <c r="I11" i="7"/>
  <c r="E11" i="7"/>
  <c r="D11" i="7"/>
  <c r="C11" i="7"/>
  <c r="AJ9" i="7"/>
  <c r="AP9" i="7"/>
  <c r="AO9" i="7"/>
  <c r="H9" i="7"/>
  <c r="I9" i="7"/>
  <c r="E9" i="7"/>
  <c r="D9" i="7"/>
  <c r="C9" i="7"/>
  <c r="AJ7" i="7"/>
  <c r="AP7" i="7"/>
  <c r="AO7" i="7"/>
  <c r="H7" i="7"/>
  <c r="I7" i="7"/>
  <c r="E7" i="7"/>
  <c r="D7" i="7"/>
  <c r="C7" i="7"/>
  <c r="AJ5" i="7"/>
  <c r="AP5" i="7"/>
  <c r="AO5" i="7"/>
  <c r="H5" i="7"/>
  <c r="I5" i="7"/>
  <c r="E5" i="7"/>
  <c r="D5" i="7"/>
  <c r="V5" i="7" s="1"/>
  <c r="S24" i="7"/>
  <c r="R24" i="7"/>
  <c r="AZ24" i="7" s="1"/>
  <c r="V24" i="7"/>
  <c r="T24" i="7"/>
  <c r="W24" i="7"/>
  <c r="S20" i="7"/>
  <c r="R20" i="7"/>
  <c r="AZ20" i="7" s="1"/>
  <c r="V20" i="7"/>
  <c r="T20" i="7"/>
  <c r="W20" i="7"/>
  <c r="I22" i="7"/>
  <c r="H22" i="7"/>
  <c r="E22" i="7"/>
  <c r="AS22" i="7"/>
  <c r="AJ18" i="7"/>
  <c r="AP18" i="7"/>
  <c r="AO18" i="7"/>
  <c r="R23" i="7"/>
  <c r="AZ23" i="7" s="1"/>
  <c r="W23" i="7"/>
  <c r="V23" i="7"/>
  <c r="T23" i="7"/>
  <c r="I21" i="7"/>
  <c r="H21" i="7"/>
  <c r="E21" i="7"/>
  <c r="AS21" i="7"/>
  <c r="AJ16" i="7"/>
  <c r="AP16" i="7"/>
  <c r="AO16" i="7"/>
  <c r="H16" i="7"/>
  <c r="C16" i="7"/>
  <c r="I16" i="7"/>
  <c r="E16" i="7"/>
  <c r="AJ14" i="7"/>
  <c r="AP14" i="7"/>
  <c r="AO14" i="7"/>
  <c r="H14" i="7"/>
  <c r="C14" i="7"/>
  <c r="I14" i="7"/>
  <c r="E14" i="7"/>
  <c r="AJ12" i="7"/>
  <c r="AP12" i="7"/>
  <c r="AO12" i="7"/>
  <c r="H12" i="7"/>
  <c r="C12" i="7"/>
  <c r="I12" i="7"/>
  <c r="E12" i="7"/>
  <c r="AJ10" i="7"/>
  <c r="AP10" i="7"/>
  <c r="AO10" i="7"/>
  <c r="H10" i="7"/>
  <c r="C10" i="7"/>
  <c r="I10" i="7"/>
  <c r="E10" i="7"/>
  <c r="AJ8" i="7"/>
  <c r="AP8" i="7"/>
  <c r="AO8" i="7"/>
  <c r="H8" i="7"/>
  <c r="C8" i="7"/>
  <c r="I8" i="7"/>
  <c r="E8" i="7"/>
  <c r="AJ6" i="7"/>
  <c r="AP6" i="7"/>
  <c r="AO6" i="7"/>
  <c r="H6" i="7"/>
  <c r="C6" i="7"/>
  <c r="I6" i="7"/>
  <c r="E6" i="7"/>
  <c r="AJ23" i="7"/>
  <c r="AP23" i="7"/>
  <c r="AO23" i="7"/>
  <c r="T22" i="7"/>
  <c r="I24" i="7"/>
  <c r="H24" i="7"/>
  <c r="E24" i="7"/>
  <c r="AS24" i="7"/>
  <c r="I20" i="7"/>
  <c r="BC20" i="7" s="1"/>
  <c r="H20" i="7"/>
  <c r="E20" i="7"/>
  <c r="AS20" i="7"/>
  <c r="N69" i="13"/>
  <c r="J69" i="13"/>
  <c r="N57" i="13"/>
  <c r="AQ64" i="4" s="1"/>
  <c r="BD64" i="4" s="1"/>
  <c r="J57" i="13"/>
  <c r="N65" i="13"/>
  <c r="J65" i="13"/>
  <c r="N61" i="13"/>
  <c r="J61" i="13"/>
  <c r="J34" i="13"/>
  <c r="AP71" i="4" s="1"/>
  <c r="N34" i="13"/>
  <c r="AQ71" i="4" s="1"/>
  <c r="BD71" i="4" s="1"/>
  <c r="N49" i="13"/>
  <c r="J49" i="13"/>
  <c r="N24" i="13"/>
  <c r="J24" i="13"/>
  <c r="N45" i="13"/>
  <c r="J45" i="13"/>
  <c r="N41" i="13"/>
  <c r="AQ77" i="4" s="1"/>
  <c r="BD77" i="4" s="1"/>
  <c r="J41" i="13"/>
  <c r="AP40" i="4" s="1"/>
  <c r="J23" i="13"/>
  <c r="N23" i="13"/>
  <c r="J19" i="13"/>
  <c r="N19" i="13"/>
  <c r="J15" i="13"/>
  <c r="AP75" i="4" s="1"/>
  <c r="N15" i="13"/>
  <c r="AQ43" i="4" s="1"/>
  <c r="BD43" i="4" s="1"/>
  <c r="J11" i="13"/>
  <c r="N11" i="13"/>
  <c r="J7" i="13"/>
  <c r="N7" i="13"/>
  <c r="J50" i="13"/>
  <c r="N50" i="13"/>
  <c r="N37" i="13"/>
  <c r="AQ50" i="4" s="1"/>
  <c r="BD50" i="4" s="1"/>
  <c r="J37" i="13"/>
  <c r="AP76" i="4" s="1"/>
  <c r="J46" i="13"/>
  <c r="AP10" i="4" s="1"/>
  <c r="N46" i="13"/>
  <c r="AQ10" i="4" s="1"/>
  <c r="BD10" i="4" s="1"/>
  <c r="J42" i="13"/>
  <c r="N42" i="13"/>
  <c r="N73" i="13"/>
  <c r="AQ62" i="4" s="1"/>
  <c r="BD62" i="4" s="1"/>
  <c r="J73" i="13"/>
  <c r="AP58" i="4" s="1"/>
  <c r="J38" i="13"/>
  <c r="N38" i="13"/>
  <c r="J30" i="13"/>
  <c r="AP70" i="4" s="1"/>
  <c r="N30" i="13"/>
  <c r="AQ70" i="4" s="1"/>
  <c r="BD70" i="4" s="1"/>
  <c r="N22" i="13"/>
  <c r="J22" i="13"/>
  <c r="N14" i="13"/>
  <c r="J14" i="13"/>
  <c r="N6" i="13"/>
  <c r="J6" i="13"/>
  <c r="N53" i="13"/>
  <c r="J53" i="13"/>
  <c r="Y6" i="15"/>
  <c r="Z6" i="15" s="1"/>
  <c r="AA6" i="15" s="1"/>
  <c r="AB6" i="15" s="1"/>
  <c r="AC6" i="15" s="1"/>
  <c r="AD6" i="15" s="1"/>
  <c r="AE6" i="15" s="1"/>
  <c r="X1" i="15"/>
  <c r="N18" i="13"/>
  <c r="AQ55" i="4" s="1"/>
  <c r="BD55" i="4" s="1"/>
  <c r="J18" i="13"/>
  <c r="AP55" i="4" s="1"/>
  <c r="N10" i="13"/>
  <c r="J10" i="13"/>
  <c r="E400" i="8"/>
  <c r="D400" i="8"/>
  <c r="E399" i="8"/>
  <c r="D399" i="8"/>
  <c r="E398" i="8"/>
  <c r="D398" i="8"/>
  <c r="DX37" i="15"/>
  <c r="DP37" i="15"/>
  <c r="DH37" i="15"/>
  <c r="CZ37" i="15"/>
  <c r="CR37" i="15"/>
  <c r="CJ37" i="15"/>
  <c r="CB37" i="15"/>
  <c r="BT37" i="15"/>
  <c r="BL37" i="15"/>
  <c r="BD37" i="15"/>
  <c r="AV37" i="15"/>
  <c r="AN37" i="15"/>
  <c r="AF37" i="15"/>
  <c r="X37" i="15"/>
  <c r="P37" i="15"/>
  <c r="DW37" i="15"/>
  <c r="DO37" i="15"/>
  <c r="DG37" i="15"/>
  <c r="CY37" i="15"/>
  <c r="CQ37" i="15"/>
  <c r="CI37" i="15"/>
  <c r="CA37" i="15"/>
  <c r="BS37" i="15"/>
  <c r="BK37" i="15"/>
  <c r="BC37" i="15"/>
  <c r="AU37" i="15"/>
  <c r="AM37" i="15"/>
  <c r="AE37" i="15"/>
  <c r="W37" i="15"/>
  <c r="O37" i="15"/>
  <c r="DV37" i="15"/>
  <c r="DN37" i="15"/>
  <c r="DF37" i="15"/>
  <c r="CX37" i="15"/>
  <c r="CP37" i="15"/>
  <c r="CH37" i="15"/>
  <c r="BZ37" i="15"/>
  <c r="BR37" i="15"/>
  <c r="BJ37" i="15"/>
  <c r="BB37" i="15"/>
  <c r="AT37" i="15"/>
  <c r="AL37" i="15"/>
  <c r="AD37" i="15"/>
  <c r="V37" i="15"/>
  <c r="N37" i="15"/>
  <c r="DU37" i="15"/>
  <c r="DM37" i="15"/>
  <c r="DE37" i="15"/>
  <c r="CW37" i="15"/>
  <c r="CO37" i="15"/>
  <c r="CG37" i="15"/>
  <c r="BY37" i="15"/>
  <c r="BQ37" i="15"/>
  <c r="BI37" i="15"/>
  <c r="BA37" i="15"/>
  <c r="AS37" i="15"/>
  <c r="AK37" i="15"/>
  <c r="AC37" i="15"/>
  <c r="U37" i="15"/>
  <c r="M37" i="15"/>
  <c r="DT37" i="15"/>
  <c r="DL37" i="15"/>
  <c r="DD37" i="15"/>
  <c r="CV37" i="15"/>
  <c r="CN37" i="15"/>
  <c r="CF37" i="15"/>
  <c r="BX37" i="15"/>
  <c r="BP37" i="15"/>
  <c r="BH37" i="15"/>
  <c r="AZ37" i="15"/>
  <c r="AR37" i="15"/>
  <c r="AJ37" i="15"/>
  <c r="AB37" i="15"/>
  <c r="T37" i="15"/>
  <c r="L37" i="15"/>
  <c r="B10" i="15"/>
  <c r="B9" i="15"/>
  <c r="DR37" i="15"/>
  <c r="DJ37" i="15"/>
  <c r="DB37" i="15"/>
  <c r="CT37" i="15"/>
  <c r="CL37" i="15"/>
  <c r="CD37" i="15"/>
  <c r="BV37" i="15"/>
  <c r="BN37" i="15"/>
  <c r="BF37" i="15"/>
  <c r="AX37" i="15"/>
  <c r="AP37" i="15"/>
  <c r="AH37" i="15"/>
  <c r="Z37" i="15"/>
  <c r="R37" i="15"/>
  <c r="J37" i="15"/>
  <c r="DS37" i="15"/>
  <c r="CM37" i="15"/>
  <c r="BG37" i="15"/>
  <c r="AA37" i="15"/>
  <c r="DQ37" i="15"/>
  <c r="CK37" i="15"/>
  <c r="BE37" i="15"/>
  <c r="Y37" i="15"/>
  <c r="DK37" i="15"/>
  <c r="CE37" i="15"/>
  <c r="AY37" i="15"/>
  <c r="S37" i="15"/>
  <c r="DI37" i="15"/>
  <c r="CC37" i="15"/>
  <c r="AW37" i="15"/>
  <c r="Q37" i="15"/>
  <c r="DC37" i="15"/>
  <c r="BW37" i="15"/>
  <c r="AQ37" i="15"/>
  <c r="K37" i="15"/>
  <c r="DA37" i="15"/>
  <c r="BU37" i="15"/>
  <c r="AO37" i="15"/>
  <c r="C37" i="15"/>
  <c r="CU37" i="15"/>
  <c r="BO37" i="15"/>
  <c r="AI37" i="15"/>
  <c r="CS37" i="15"/>
  <c r="BM37" i="15"/>
  <c r="AG37" i="15"/>
  <c r="AR331" i="8" l="1"/>
  <c r="BD188" i="8"/>
  <c r="AR130" i="8"/>
  <c r="AU130" i="8" s="1"/>
  <c r="AV130" i="8" s="1"/>
  <c r="AW130" i="8" s="1"/>
  <c r="BD178" i="4"/>
  <c r="BD271" i="4"/>
  <c r="AR313" i="4"/>
  <c r="AU313" i="4" s="1"/>
  <c r="AV313" i="4" s="1"/>
  <c r="AW313" i="4" s="1"/>
  <c r="AR114" i="8"/>
  <c r="BD337" i="8"/>
  <c r="AR117" i="8"/>
  <c r="AU117" i="8" s="1"/>
  <c r="AV117" i="8" s="1"/>
  <c r="AW117" i="8" s="1"/>
  <c r="AR321" i="8"/>
  <c r="AU321" i="8" s="1"/>
  <c r="AV321" i="8" s="1"/>
  <c r="AW321" i="8" s="1"/>
  <c r="BD306" i="4"/>
  <c r="AR123" i="8"/>
  <c r="AU123" i="8" s="1"/>
  <c r="AV123" i="8" s="1"/>
  <c r="AW123" i="8" s="1"/>
  <c r="AR361" i="4"/>
  <c r="AR192" i="4"/>
  <c r="BD101" i="4"/>
  <c r="BD127" i="8"/>
  <c r="BC276" i="8"/>
  <c r="BC335" i="4"/>
  <c r="AR341" i="4"/>
  <c r="AR142" i="8"/>
  <c r="AU361" i="4"/>
  <c r="AV361" i="4" s="1"/>
  <c r="AW361" i="4" s="1"/>
  <c r="AU347" i="8"/>
  <c r="AV347" i="8" s="1"/>
  <c r="AW347" i="8" s="1"/>
  <c r="BD212" i="4"/>
  <c r="AU339" i="8"/>
  <c r="AV339" i="8" s="1"/>
  <c r="AW339" i="8" s="1"/>
  <c r="AR188" i="4"/>
  <c r="BD231" i="8"/>
  <c r="AR134" i="8"/>
  <c r="AU134" i="8" s="1"/>
  <c r="AV134" i="8" s="1"/>
  <c r="AW134" i="8" s="1"/>
  <c r="BD216" i="4"/>
  <c r="AR119" i="8"/>
  <c r="AU114" i="8"/>
  <c r="AV114" i="8" s="1"/>
  <c r="AW114" i="8" s="1"/>
  <c r="AR387" i="4"/>
  <c r="AU284" i="4"/>
  <c r="AV284" i="4" s="1"/>
  <c r="AW284" i="4" s="1"/>
  <c r="AU277" i="4"/>
  <c r="AV277" i="4" s="1"/>
  <c r="AW277" i="4" s="1"/>
  <c r="AU113" i="8"/>
  <c r="AV113" i="8" s="1"/>
  <c r="AW113" i="8" s="1"/>
  <c r="BD242" i="8"/>
  <c r="AR149" i="4"/>
  <c r="BD229" i="4"/>
  <c r="BD134" i="4"/>
  <c r="AR239" i="4"/>
  <c r="BC115" i="8"/>
  <c r="BD351" i="4"/>
  <c r="BC321" i="8"/>
  <c r="AR315" i="8"/>
  <c r="BD182" i="8"/>
  <c r="BD340" i="4"/>
  <c r="BD280" i="4"/>
  <c r="AR120" i="8"/>
  <c r="BD354" i="4"/>
  <c r="AR351" i="8"/>
  <c r="AU351" i="8" s="1"/>
  <c r="AV351" i="8" s="1"/>
  <c r="AW351" i="8" s="1"/>
  <c r="BD316" i="8"/>
  <c r="BD60" i="8"/>
  <c r="AR338" i="8"/>
  <c r="AU338" i="8" s="1"/>
  <c r="AV338" i="8" s="1"/>
  <c r="AW338" i="8" s="1"/>
  <c r="BD257" i="8"/>
  <c r="AU82" i="8"/>
  <c r="AV82" i="8" s="1"/>
  <c r="AW82" i="8" s="1"/>
  <c r="AU374" i="8"/>
  <c r="AV374" i="8" s="1"/>
  <c r="AW374" i="8" s="1"/>
  <c r="AU105" i="8"/>
  <c r="AV105" i="8" s="1"/>
  <c r="AW105" i="8" s="1"/>
  <c r="AU109" i="8"/>
  <c r="AV109" i="8" s="1"/>
  <c r="AW109" i="8" s="1"/>
  <c r="V25" i="7"/>
  <c r="BD358" i="8"/>
  <c r="AU172" i="8"/>
  <c r="AV172" i="8" s="1"/>
  <c r="AW172" i="8" s="1"/>
  <c r="BF9" i="2"/>
  <c r="BX9" i="2"/>
  <c r="DL9" i="2"/>
  <c r="AU171" i="8"/>
  <c r="AV171" i="8" s="1"/>
  <c r="AW171" i="8" s="1"/>
  <c r="AU364" i="8"/>
  <c r="AV364" i="8" s="1"/>
  <c r="AW364" i="8" s="1"/>
  <c r="R27" i="7"/>
  <c r="U27" i="7" s="1"/>
  <c r="BD371" i="8"/>
  <c r="BD367" i="8"/>
  <c r="AR160" i="4"/>
  <c r="BP9" i="2"/>
  <c r="CB9" i="2"/>
  <c r="CH9" i="2"/>
  <c r="AT9" i="2"/>
  <c r="K9" i="2"/>
  <c r="W9" i="2"/>
  <c r="AA9" i="2"/>
  <c r="DX9" i="2"/>
  <c r="BD289" i="8"/>
  <c r="BZ9" i="2"/>
  <c r="I9" i="2"/>
  <c r="CR9" i="2"/>
  <c r="AU93" i="8"/>
  <c r="AV93" i="8" s="1"/>
  <c r="AW93" i="8" s="1"/>
  <c r="AU101" i="8"/>
  <c r="AV101" i="8" s="1"/>
  <c r="AW101" i="8" s="1"/>
  <c r="BC93" i="8"/>
  <c r="T29" i="7"/>
  <c r="AR360" i="4"/>
  <c r="AR399" i="4"/>
  <c r="AR337" i="4"/>
  <c r="T32" i="7"/>
  <c r="W29" i="7"/>
  <c r="AR200" i="8"/>
  <c r="AR239" i="8"/>
  <c r="AU378" i="8"/>
  <c r="AV378" i="8" s="1"/>
  <c r="AW378" i="8" s="1"/>
  <c r="BC374" i="4"/>
  <c r="BD37" i="8"/>
  <c r="AR13" i="8"/>
  <c r="BD67" i="8"/>
  <c r="R32" i="7"/>
  <c r="AZ32" i="7" s="1"/>
  <c r="AR302" i="8"/>
  <c r="AU302" i="8" s="1"/>
  <c r="AV302" i="8" s="1"/>
  <c r="AW302" i="8" s="1"/>
  <c r="AU375" i="8"/>
  <c r="AV375" i="8" s="1"/>
  <c r="AW375" i="8" s="1"/>
  <c r="AR395" i="4"/>
  <c r="AU120" i="8"/>
  <c r="AV120" i="8" s="1"/>
  <c r="AW120" i="8" s="1"/>
  <c r="BD33" i="8"/>
  <c r="V36" i="7"/>
  <c r="T25" i="7"/>
  <c r="V29" i="7"/>
  <c r="AR66" i="8"/>
  <c r="AU66" i="8" s="1"/>
  <c r="AV66" i="8" s="1"/>
  <c r="AW66" i="8" s="1"/>
  <c r="BD232" i="4"/>
  <c r="AR318" i="8"/>
  <c r="AU318" i="8" s="1"/>
  <c r="AV318" i="8" s="1"/>
  <c r="AW318" i="8" s="1"/>
  <c r="AR329" i="4"/>
  <c r="AU329" i="4" s="1"/>
  <c r="AV329" i="4" s="1"/>
  <c r="AW329" i="4" s="1"/>
  <c r="V28" i="7"/>
  <c r="T33" i="7"/>
  <c r="R28" i="7"/>
  <c r="U28" i="7" s="1"/>
  <c r="W33" i="7"/>
  <c r="AR7" i="8"/>
  <c r="AU7" i="8" s="1"/>
  <c r="AV7" i="8" s="1"/>
  <c r="AW7" i="8" s="1"/>
  <c r="AU299" i="4"/>
  <c r="AV299" i="4" s="1"/>
  <c r="AW299" i="4" s="1"/>
  <c r="EA9" i="2"/>
  <c r="T9" i="2"/>
  <c r="DZ9" i="2"/>
  <c r="BC114" i="4"/>
  <c r="S35" i="7"/>
  <c r="AN152" i="8"/>
  <c r="AO152" i="8" s="1"/>
  <c r="AR152" i="8" s="1"/>
  <c r="AU152" i="8" s="1"/>
  <c r="AV152" i="8" s="1"/>
  <c r="AW152" i="8" s="1"/>
  <c r="AR222" i="4"/>
  <c r="AU222" i="4" s="1"/>
  <c r="AV222" i="4" s="1"/>
  <c r="AW222" i="4" s="1"/>
  <c r="AR231" i="4"/>
  <c r="BD135" i="8"/>
  <c r="R9" i="2"/>
  <c r="AR9" i="2"/>
  <c r="BD114" i="4"/>
  <c r="BD23" i="8"/>
  <c r="AU85" i="8"/>
  <c r="AV85" i="8" s="1"/>
  <c r="AW85" i="8" s="1"/>
  <c r="AU90" i="8"/>
  <c r="AV90" i="8" s="1"/>
  <c r="AW90" i="8" s="1"/>
  <c r="AU170" i="8"/>
  <c r="AV170" i="8" s="1"/>
  <c r="AW170" i="8" s="1"/>
  <c r="AU275" i="8"/>
  <c r="AV275" i="8" s="1"/>
  <c r="AW275" i="8" s="1"/>
  <c r="AR176" i="8"/>
  <c r="AU163" i="8"/>
  <c r="AV163" i="8" s="1"/>
  <c r="AW163" i="8" s="1"/>
  <c r="AR72" i="8"/>
  <c r="AU104" i="8"/>
  <c r="AV104" i="8" s="1"/>
  <c r="AW104" i="8" s="1"/>
  <c r="U20" i="7"/>
  <c r="AR20" i="7" s="1"/>
  <c r="AQ20" i="7" s="1"/>
  <c r="AT20" i="7" s="1"/>
  <c r="AU20" i="7" s="1"/>
  <c r="AV20" i="7" s="1"/>
  <c r="AR71" i="8"/>
  <c r="BD376" i="8"/>
  <c r="BD210" i="4"/>
  <c r="AR302" i="4"/>
  <c r="AU346" i="4"/>
  <c r="AV346" i="4" s="1"/>
  <c r="AW346" i="4" s="1"/>
  <c r="AR387" i="8"/>
  <c r="S33" i="7"/>
  <c r="AU6" i="8"/>
  <c r="AV6" i="8" s="1"/>
  <c r="AW6" i="8" s="1"/>
  <c r="AU74" i="8"/>
  <c r="AV74" i="8" s="1"/>
  <c r="AW74" i="8" s="1"/>
  <c r="AU87" i="8"/>
  <c r="AV87" i="8" s="1"/>
  <c r="AW87" i="8" s="1"/>
  <c r="AU96" i="8"/>
  <c r="AV96" i="8" s="1"/>
  <c r="AW96" i="8" s="1"/>
  <c r="BD151" i="8"/>
  <c r="AN148" i="8"/>
  <c r="AO148" i="8" s="1"/>
  <c r="AU280" i="8"/>
  <c r="AV280" i="8" s="1"/>
  <c r="AW280" i="8" s="1"/>
  <c r="BD393" i="8"/>
  <c r="BD400" i="8"/>
  <c r="BD89" i="4"/>
  <c r="BD226" i="8"/>
  <c r="BD230" i="8"/>
  <c r="AG9" i="2"/>
  <c r="CY9" i="2"/>
  <c r="AP9" i="2"/>
  <c r="DJ9" i="2"/>
  <c r="AY9" i="2"/>
  <c r="DT9" i="2"/>
  <c r="CA9" i="2"/>
  <c r="AK9" i="2"/>
  <c r="N9" i="2"/>
  <c r="DN9" i="2"/>
  <c r="CN9" i="2"/>
  <c r="BN9" i="2"/>
  <c r="DI9" i="2"/>
  <c r="AR116" i="8"/>
  <c r="AU116" i="8" s="1"/>
  <c r="AV116" i="8" s="1"/>
  <c r="AW116" i="8" s="1"/>
  <c r="AR349" i="8"/>
  <c r="AU216" i="4"/>
  <c r="AV216" i="4" s="1"/>
  <c r="AW216" i="4" s="1"/>
  <c r="BC110" i="4"/>
  <c r="AU280" i="4"/>
  <c r="AV280" i="4" s="1"/>
  <c r="AW280" i="4" s="1"/>
  <c r="BD389" i="4"/>
  <c r="AO9" i="2"/>
  <c r="DH9" i="2"/>
  <c r="AX9" i="2"/>
  <c r="DS9" i="2"/>
  <c r="BH9" i="2"/>
  <c r="EC9" i="2"/>
  <c r="CJ9" i="2"/>
  <c r="AS9" i="2"/>
  <c r="V9" i="2"/>
  <c r="DW9" i="2"/>
  <c r="DF9" i="2"/>
  <c r="CX9" i="2"/>
  <c r="V33" i="7"/>
  <c r="AR68" i="8"/>
  <c r="AU97" i="8"/>
  <c r="AV97" i="8" s="1"/>
  <c r="AW97" i="8" s="1"/>
  <c r="AN153" i="8"/>
  <c r="AO153" i="8" s="1"/>
  <c r="AR188" i="8"/>
  <c r="AR204" i="8"/>
  <c r="AU204" i="8" s="1"/>
  <c r="AV204" i="8" s="1"/>
  <c r="AW204" i="8" s="1"/>
  <c r="AR212" i="8"/>
  <c r="BD399" i="8"/>
  <c r="AR314" i="4"/>
  <c r="AU102" i="4"/>
  <c r="AV102" i="4" s="1"/>
  <c r="AW102" i="4" s="1"/>
  <c r="AU307" i="4"/>
  <c r="AV307" i="4" s="1"/>
  <c r="AW307" i="4" s="1"/>
  <c r="D21" i="2"/>
  <c r="AW9" i="2"/>
  <c r="DR9" i="2"/>
  <c r="BG9" i="2"/>
  <c r="EB9" i="2"/>
  <c r="BQ9" i="2"/>
  <c r="L9" i="2"/>
  <c r="DC9" i="2"/>
  <c r="BA9" i="2"/>
  <c r="AL9" i="2"/>
  <c r="O9" i="2"/>
  <c r="DO9" i="2"/>
  <c r="DP9" i="2"/>
  <c r="AR343" i="8"/>
  <c r="AU343" i="8" s="1"/>
  <c r="AV343" i="8" s="1"/>
  <c r="AW343" i="8" s="1"/>
  <c r="AU27" i="8"/>
  <c r="AV27" i="8" s="1"/>
  <c r="AW27" i="8" s="1"/>
  <c r="AR63" i="8"/>
  <c r="AU162" i="8"/>
  <c r="AV162" i="8" s="1"/>
  <c r="AW162" i="8" s="1"/>
  <c r="AR199" i="8"/>
  <c r="AR207" i="8"/>
  <c r="AU207" i="8" s="1"/>
  <c r="AV207" i="8" s="1"/>
  <c r="AW207" i="8" s="1"/>
  <c r="AR215" i="8"/>
  <c r="AR304" i="8"/>
  <c r="AR391" i="8"/>
  <c r="AU315" i="8"/>
  <c r="AV315" i="8" s="1"/>
  <c r="AW315" i="8" s="1"/>
  <c r="AR350" i="8"/>
  <c r="AU350" i="8" s="1"/>
  <c r="AV350" i="8" s="1"/>
  <c r="AW350" i="8" s="1"/>
  <c r="AU28" i="8"/>
  <c r="AV28" i="8" s="1"/>
  <c r="AW28" i="8" s="1"/>
  <c r="AR12" i="8"/>
  <c r="BC5" i="7"/>
  <c r="BC7" i="7"/>
  <c r="BC9" i="7"/>
  <c r="BC11" i="7"/>
  <c r="BC13" i="7"/>
  <c r="R35" i="7"/>
  <c r="U35" i="7" s="1"/>
  <c r="AU17" i="8"/>
  <c r="AV17" i="8" s="1"/>
  <c r="AW17" i="8" s="1"/>
  <c r="BD38" i="8"/>
  <c r="AR40" i="8"/>
  <c r="AU40" i="8" s="1"/>
  <c r="AV40" i="8" s="1"/>
  <c r="AW40" i="8" s="1"/>
  <c r="BD46" i="8"/>
  <c r="AR56" i="8"/>
  <c r="BC108" i="8"/>
  <c r="AU80" i="8"/>
  <c r="AV80" i="8" s="1"/>
  <c r="AW80" i="8" s="1"/>
  <c r="AU84" i="8"/>
  <c r="AV84" i="8" s="1"/>
  <c r="AW84" i="8" s="1"/>
  <c r="AU94" i="8"/>
  <c r="AV94" i="8" s="1"/>
  <c r="AW94" i="8" s="1"/>
  <c r="AU98" i="8"/>
  <c r="AV98" i="8" s="1"/>
  <c r="AW98" i="8" s="1"/>
  <c r="AU102" i="8"/>
  <c r="AV102" i="8" s="1"/>
  <c r="AW102" i="8" s="1"/>
  <c r="AU106" i="8"/>
  <c r="AV106" i="8" s="1"/>
  <c r="AW106" i="8" s="1"/>
  <c r="AN157" i="8"/>
  <c r="AO157" i="8" s="1"/>
  <c r="AR157" i="8" s="1"/>
  <c r="AU157" i="8" s="1"/>
  <c r="AV157" i="8" s="1"/>
  <c r="AW157" i="8" s="1"/>
  <c r="AR303" i="8"/>
  <c r="BD370" i="8"/>
  <c r="BD369" i="8"/>
  <c r="BO9" i="2"/>
  <c r="J9" i="2"/>
  <c r="BY9" i="2"/>
  <c r="S9" i="2"/>
  <c r="CI9" i="2"/>
  <c r="AJ9" i="2"/>
  <c r="DU9" i="2"/>
  <c r="CL9" i="2"/>
  <c r="BB9" i="2"/>
  <c r="AM9" i="2"/>
  <c r="X9" i="2"/>
  <c r="EE9" i="2"/>
  <c r="BD142" i="4"/>
  <c r="BD345" i="4"/>
  <c r="DD9" i="2"/>
  <c r="CD9" i="2"/>
  <c r="AU9" i="2"/>
  <c r="AF9" i="2"/>
  <c r="CC9" i="2"/>
  <c r="AU309" i="4"/>
  <c r="AV309" i="4" s="1"/>
  <c r="AW309" i="4" s="1"/>
  <c r="W37" i="7"/>
  <c r="BC364" i="8"/>
  <c r="AU231" i="8"/>
  <c r="AV231" i="8" s="1"/>
  <c r="AW231" i="8" s="1"/>
  <c r="Q9" i="2"/>
  <c r="CG9" i="2"/>
  <c r="Z9" i="2"/>
  <c r="CQ9" i="2"/>
  <c r="AI9" i="2"/>
  <c r="DB9" i="2"/>
  <c r="AZ9" i="2"/>
  <c r="M9" i="2"/>
  <c r="DM9" i="2"/>
  <c r="CM9" i="2"/>
  <c r="BC9" i="2"/>
  <c r="AV9" i="2"/>
  <c r="CS9" i="2"/>
  <c r="BC18" i="7"/>
  <c r="AU78" i="8"/>
  <c r="AV78" i="8" s="1"/>
  <c r="AW78" i="8" s="1"/>
  <c r="AU95" i="8"/>
  <c r="AV95" i="8" s="1"/>
  <c r="AW95" i="8" s="1"/>
  <c r="AU99" i="8"/>
  <c r="AV99" i="8" s="1"/>
  <c r="AW99" i="8" s="1"/>
  <c r="AU272" i="8"/>
  <c r="AV272" i="8" s="1"/>
  <c r="AW272" i="8" s="1"/>
  <c r="BD93" i="4"/>
  <c r="AU265" i="8"/>
  <c r="AV265" i="8" s="1"/>
  <c r="AW265" i="8" s="1"/>
  <c r="AU196" i="4"/>
  <c r="AV196" i="4" s="1"/>
  <c r="AW196" i="4" s="1"/>
  <c r="AU334" i="4"/>
  <c r="AV334" i="4" s="1"/>
  <c r="AW334" i="4" s="1"/>
  <c r="AR135" i="8"/>
  <c r="AR110" i="8"/>
  <c r="Y9" i="2"/>
  <c r="CP9" i="2"/>
  <c r="AH9" i="2"/>
  <c r="CZ9" i="2"/>
  <c r="AQ9" i="2"/>
  <c r="DK9" i="2"/>
  <c r="BR9" i="2"/>
  <c r="U9" i="2"/>
  <c r="DV9" i="2"/>
  <c r="DE9" i="2"/>
  <c r="CE9" i="2"/>
  <c r="BD9" i="2"/>
  <c r="DA9" i="2"/>
  <c r="AU291" i="4"/>
  <c r="AV291" i="4" s="1"/>
  <c r="AW291" i="4" s="1"/>
  <c r="BD269" i="4"/>
  <c r="AU331" i="8"/>
  <c r="AV331" i="8" s="1"/>
  <c r="AW331" i="8" s="1"/>
  <c r="AR223" i="8"/>
  <c r="AR301" i="4"/>
  <c r="AU301" i="4" s="1"/>
  <c r="AV301" i="4" s="1"/>
  <c r="AW301" i="4" s="1"/>
  <c r="AU300" i="4"/>
  <c r="AV300" i="4" s="1"/>
  <c r="AW300" i="4" s="1"/>
  <c r="AR222" i="8"/>
  <c r="AU222" i="8" s="1"/>
  <c r="AV222" i="8" s="1"/>
  <c r="AW222" i="8" s="1"/>
  <c r="AU349" i="8"/>
  <c r="AV349" i="8" s="1"/>
  <c r="AW349" i="8" s="1"/>
  <c r="AR147" i="4"/>
  <c r="AR263" i="4"/>
  <c r="AR114" i="4"/>
  <c r="AU114" i="4" s="1"/>
  <c r="AV114" i="4" s="1"/>
  <c r="AW114" i="4" s="1"/>
  <c r="AR113" i="4"/>
  <c r="AR158" i="4"/>
  <c r="AR269" i="4"/>
  <c r="AR281" i="4"/>
  <c r="AU281" i="4" s="1"/>
  <c r="AV281" i="4" s="1"/>
  <c r="AW281" i="4" s="1"/>
  <c r="AU355" i="4"/>
  <c r="AV355" i="4" s="1"/>
  <c r="AW355" i="4" s="1"/>
  <c r="BD204" i="4"/>
  <c r="BC204" i="4"/>
  <c r="AR54" i="8"/>
  <c r="AR51" i="8"/>
  <c r="AR36" i="8"/>
  <c r="BC167" i="8"/>
  <c r="BD293" i="8"/>
  <c r="AR300" i="8"/>
  <c r="AU200" i="4"/>
  <c r="AV200" i="4" s="1"/>
  <c r="AW200" i="4" s="1"/>
  <c r="BD171" i="4"/>
  <c r="BD380" i="4"/>
  <c r="BD176" i="4"/>
  <c r="AR346" i="8"/>
  <c r="AU346" i="8" s="1"/>
  <c r="AV346" i="8" s="1"/>
  <c r="AW346" i="8" s="1"/>
  <c r="AU121" i="8"/>
  <c r="AV121" i="8" s="1"/>
  <c r="AW121" i="8" s="1"/>
  <c r="BD310" i="4"/>
  <c r="S28" i="7"/>
  <c r="AR35" i="8"/>
  <c r="AR379" i="8"/>
  <c r="AR55" i="8"/>
  <c r="BD212" i="8"/>
  <c r="AR289" i="8"/>
  <c r="AR295" i="8"/>
  <c r="AU295" i="8" s="1"/>
  <c r="AV295" i="8" s="1"/>
  <c r="AW295" i="8" s="1"/>
  <c r="BC10" i="7"/>
  <c r="V32" i="7"/>
  <c r="S29" i="7"/>
  <c r="AZ27" i="7"/>
  <c r="AR26" i="8"/>
  <c r="AR5" i="8"/>
  <c r="BD29" i="8"/>
  <c r="BD63" i="8"/>
  <c r="BD71" i="8"/>
  <c r="AR39" i="8"/>
  <c r="AR47" i="8"/>
  <c r="BD52" i="8"/>
  <c r="AU139" i="8"/>
  <c r="AV139" i="8" s="1"/>
  <c r="AW139" i="8" s="1"/>
  <c r="BD160" i="8"/>
  <c r="AR194" i="8"/>
  <c r="AR282" i="8"/>
  <c r="AU259" i="8"/>
  <c r="AV259" i="8" s="1"/>
  <c r="AW259" i="8" s="1"/>
  <c r="BD273" i="8"/>
  <c r="BD287" i="8"/>
  <c r="AR293" i="8"/>
  <c r="AR305" i="8"/>
  <c r="AR353" i="8"/>
  <c r="BD338" i="4"/>
  <c r="S84" i="4"/>
  <c r="AR255" i="4"/>
  <c r="BD253" i="4"/>
  <c r="AR314" i="8"/>
  <c r="AR245" i="8"/>
  <c r="AR392" i="8"/>
  <c r="AR44" i="8"/>
  <c r="U23" i="7"/>
  <c r="AR11" i="8"/>
  <c r="AU11" i="8" s="1"/>
  <c r="AV11" i="8" s="1"/>
  <c r="AW11" i="8" s="1"/>
  <c r="AU20" i="8"/>
  <c r="AV20" i="8" s="1"/>
  <c r="AW20" i="8" s="1"/>
  <c r="BD45" i="8"/>
  <c r="AR169" i="8"/>
  <c r="AR273" i="8"/>
  <c r="AR296" i="8"/>
  <c r="BC349" i="8"/>
  <c r="V84" i="4"/>
  <c r="BD246" i="4"/>
  <c r="AR341" i="8"/>
  <c r="AU341" i="8" s="1"/>
  <c r="AV341" i="8" s="1"/>
  <c r="AW341" i="8" s="1"/>
  <c r="AR65" i="8"/>
  <c r="AR310" i="8"/>
  <c r="AR363" i="8"/>
  <c r="V26" i="7"/>
  <c r="W28" i="7"/>
  <c r="AR52" i="8"/>
  <c r="BD244" i="8"/>
  <c r="BC23" i="7"/>
  <c r="T34" i="7"/>
  <c r="W30" i="7"/>
  <c r="BD13" i="8"/>
  <c r="AR48" i="8"/>
  <c r="BD50" i="8"/>
  <c r="BD58" i="8"/>
  <c r="BC89" i="8"/>
  <c r="AR179" i="8"/>
  <c r="BD187" i="8"/>
  <c r="AR203" i="8"/>
  <c r="BD296" i="8"/>
  <c r="BD387" i="8"/>
  <c r="AR385" i="8"/>
  <c r="W84" i="4"/>
  <c r="AR257" i="4"/>
  <c r="AU257" i="4" s="1"/>
  <c r="AV257" i="4" s="1"/>
  <c r="AW257" i="4" s="1"/>
  <c r="BD94" i="4"/>
  <c r="BC346" i="4"/>
  <c r="AU176" i="8"/>
  <c r="AV176" i="8" s="1"/>
  <c r="AW176" i="8" s="1"/>
  <c r="BD146" i="4"/>
  <c r="BD220" i="4"/>
  <c r="BD106" i="4"/>
  <c r="T26" i="7"/>
  <c r="AR386" i="8"/>
  <c r="AU386" i="8" s="1"/>
  <c r="AV386" i="8" s="1"/>
  <c r="AW386" i="8" s="1"/>
  <c r="AU164" i="8"/>
  <c r="AV164" i="8" s="1"/>
  <c r="AW164" i="8" s="1"/>
  <c r="S34" i="7"/>
  <c r="V27" i="7"/>
  <c r="V34" i="7"/>
  <c r="AU22" i="8"/>
  <c r="AV22" i="8" s="1"/>
  <c r="AW22" i="8" s="1"/>
  <c r="BD7" i="8"/>
  <c r="BD35" i="8"/>
  <c r="AR59" i="8"/>
  <c r="AU59" i="8" s="1"/>
  <c r="AV59" i="8" s="1"/>
  <c r="AW59" i="8" s="1"/>
  <c r="BD190" i="8"/>
  <c r="AR279" i="8"/>
  <c r="AU252" i="8"/>
  <c r="AV252" i="8" s="1"/>
  <c r="AW252" i="8" s="1"/>
  <c r="BD281" i="8"/>
  <c r="BD382" i="8"/>
  <c r="AU365" i="8"/>
  <c r="AV365" i="8" s="1"/>
  <c r="AW365" i="8" s="1"/>
  <c r="AR396" i="8"/>
  <c r="AU286" i="4"/>
  <c r="AV286" i="4" s="1"/>
  <c r="AW286" i="4" s="1"/>
  <c r="AR359" i="4"/>
  <c r="BC326" i="4"/>
  <c r="BD370" i="4"/>
  <c r="BD121" i="4"/>
  <c r="AR348" i="4"/>
  <c r="AR272" i="4"/>
  <c r="AU272" i="4" s="1"/>
  <c r="AV272" i="4" s="1"/>
  <c r="AW272" i="4" s="1"/>
  <c r="AR294" i="4"/>
  <c r="AR118" i="8"/>
  <c r="AU118" i="8" s="1"/>
  <c r="AV118" i="8" s="1"/>
  <c r="AW118" i="8" s="1"/>
  <c r="AZ34" i="7"/>
  <c r="U34" i="7"/>
  <c r="AZ25" i="7"/>
  <c r="U25" i="7"/>
  <c r="AZ29" i="7"/>
  <c r="U29" i="7"/>
  <c r="AU21" i="8"/>
  <c r="AV21" i="8" s="1"/>
  <c r="AW21" i="8" s="1"/>
  <c r="AN158" i="8"/>
  <c r="AO158" i="8" s="1"/>
  <c r="AR158" i="8" s="1"/>
  <c r="AU158" i="8" s="1"/>
  <c r="AV158" i="8" s="1"/>
  <c r="AW158" i="8" s="1"/>
  <c r="S25" i="7"/>
  <c r="J251" i="8"/>
  <c r="BB35" i="7"/>
  <c r="AR23" i="8"/>
  <c r="BD43" i="8"/>
  <c r="BD53" i="8"/>
  <c r="AU91" i="8"/>
  <c r="AV91" i="8" s="1"/>
  <c r="AW91" i="8" s="1"/>
  <c r="BC158" i="8"/>
  <c r="AR137" i="8"/>
  <c r="AR181" i="8"/>
  <c r="BD305" i="8"/>
  <c r="AR360" i="8"/>
  <c r="V31" i="7"/>
  <c r="AR32" i="8"/>
  <c r="AR41" i="8"/>
  <c r="AR49" i="8"/>
  <c r="AR67" i="8"/>
  <c r="W26" i="7"/>
  <c r="BC16" i="7"/>
  <c r="W34" i="7"/>
  <c r="S30" i="7"/>
  <c r="AZ28" i="7"/>
  <c r="BC139" i="8"/>
  <c r="AR38" i="8"/>
  <c r="AU38" i="8" s="1"/>
  <c r="AV38" i="8" s="1"/>
  <c r="AW38" i="8" s="1"/>
  <c r="BD41" i="8"/>
  <c r="AR46" i="8"/>
  <c r="AU79" i="8"/>
  <c r="AV79" i="8" s="1"/>
  <c r="AW79" i="8" s="1"/>
  <c r="AU83" i="8"/>
  <c r="AV83" i="8" s="1"/>
  <c r="AW83" i="8" s="1"/>
  <c r="AR160" i="8"/>
  <c r="AU166" i="8"/>
  <c r="AV166" i="8" s="1"/>
  <c r="AW166" i="8" s="1"/>
  <c r="AU174" i="8"/>
  <c r="AV174" i="8" s="1"/>
  <c r="AW174" i="8" s="1"/>
  <c r="AN154" i="8"/>
  <c r="AO154" i="8" s="1"/>
  <c r="AR154" i="8" s="1"/>
  <c r="AU154" i="8" s="1"/>
  <c r="AV154" i="8" s="1"/>
  <c r="AW154" i="8" s="1"/>
  <c r="AR187" i="8"/>
  <c r="AR195" i="8"/>
  <c r="AR198" i="8"/>
  <c r="AR206" i="8"/>
  <c r="BD208" i="8"/>
  <c r="AR214" i="8"/>
  <c r="BD239" i="8"/>
  <c r="AR277" i="8"/>
  <c r="AU277" i="8" s="1"/>
  <c r="AV277" i="8" s="1"/>
  <c r="AW277" i="8" s="1"/>
  <c r="AR308" i="8"/>
  <c r="BD304" i="8"/>
  <c r="AR312" i="8"/>
  <c r="AR399" i="8"/>
  <c r="AR380" i="8"/>
  <c r="AR368" i="8"/>
  <c r="AR356" i="8"/>
  <c r="AR397" i="8"/>
  <c r="BD391" i="8"/>
  <c r="AR394" i="8"/>
  <c r="J15" i="4"/>
  <c r="BC233" i="4"/>
  <c r="AR88" i="8"/>
  <c r="AU76" i="8"/>
  <c r="AV76" i="8" s="1"/>
  <c r="AW76" i="8" s="1"/>
  <c r="AR168" i="8"/>
  <c r="AR161" i="8"/>
  <c r="AU161" i="8" s="1"/>
  <c r="AV161" i="8" s="1"/>
  <c r="AW161" i="8" s="1"/>
  <c r="J12" i="7"/>
  <c r="AR30" i="8"/>
  <c r="AR18" i="8"/>
  <c r="AR37" i="8"/>
  <c r="BD144" i="8"/>
  <c r="BD308" i="8"/>
  <c r="AR381" i="8"/>
  <c r="BD390" i="8"/>
  <c r="AR57" i="8"/>
  <c r="BD56" i="8"/>
  <c r="BC14" i="7"/>
  <c r="W25" i="7"/>
  <c r="BB34" i="7"/>
  <c r="T30" i="7"/>
  <c r="AZ35" i="7"/>
  <c r="AR24" i="8"/>
  <c r="AU24" i="8" s="1"/>
  <c r="AV24" i="8" s="1"/>
  <c r="AW24" i="8" s="1"/>
  <c r="AR62" i="8"/>
  <c r="AR70" i="8"/>
  <c r="BC94" i="8"/>
  <c r="BD36" i="8"/>
  <c r="BD54" i="8"/>
  <c r="BC109" i="8"/>
  <c r="AU75" i="8"/>
  <c r="AV75" i="8" s="1"/>
  <c r="AW75" i="8" s="1"/>
  <c r="AU89" i="8"/>
  <c r="AV89" i="8" s="1"/>
  <c r="AW89" i="8" s="1"/>
  <c r="AR201" i="8"/>
  <c r="AR209" i="8"/>
  <c r="AR268" i="8"/>
  <c r="AR271" i="8"/>
  <c r="BD261" i="8"/>
  <c r="AR290" i="8"/>
  <c r="AR284" i="8"/>
  <c r="AR286" i="8"/>
  <c r="AU286" i="8" s="1"/>
  <c r="AV286" i="8" s="1"/>
  <c r="AW286" i="8" s="1"/>
  <c r="BD295" i="8"/>
  <c r="BD300" i="8"/>
  <c r="AR307" i="8"/>
  <c r="BD312" i="8"/>
  <c r="AR306" i="8"/>
  <c r="BD372" i="8"/>
  <c r="AR359" i="8"/>
  <c r="AR383" i="4"/>
  <c r="AU383" i="4" s="1"/>
  <c r="AV383" i="4" s="1"/>
  <c r="AW383" i="4" s="1"/>
  <c r="AR10" i="8"/>
  <c r="BC293" i="4"/>
  <c r="AR338" i="4"/>
  <c r="BD249" i="4"/>
  <c r="AR267" i="4"/>
  <c r="AR145" i="4"/>
  <c r="BD144" i="4"/>
  <c r="BD376" i="4"/>
  <c r="AR318" i="4"/>
  <c r="AR320" i="8"/>
  <c r="AU269" i="8"/>
  <c r="AV269" i="8" s="1"/>
  <c r="AW269" i="8" s="1"/>
  <c r="AR309" i="8"/>
  <c r="AR311" i="8"/>
  <c r="BD386" i="8"/>
  <c r="AR393" i="8"/>
  <c r="AR400" i="8"/>
  <c r="AU292" i="4"/>
  <c r="AV292" i="4" s="1"/>
  <c r="AW292" i="4" s="1"/>
  <c r="AR168" i="4"/>
  <c r="AR368" i="4"/>
  <c r="AU358" i="4"/>
  <c r="AV358" i="4" s="1"/>
  <c r="AW358" i="4" s="1"/>
  <c r="BD166" i="4"/>
  <c r="BD157" i="4"/>
  <c r="AU311" i="4"/>
  <c r="AV311" i="4" s="1"/>
  <c r="AW311" i="4" s="1"/>
  <c r="AU295" i="4"/>
  <c r="AV295" i="4" s="1"/>
  <c r="AW295" i="4" s="1"/>
  <c r="BD242" i="4"/>
  <c r="AR172" i="4"/>
  <c r="AU288" i="4"/>
  <c r="AV288" i="4" s="1"/>
  <c r="AW288" i="4" s="1"/>
  <c r="BD219" i="4"/>
  <c r="BC19" i="7"/>
  <c r="AR249" i="4"/>
  <c r="BD381" i="4"/>
  <c r="BD396" i="4"/>
  <c r="S11" i="4"/>
  <c r="V9" i="4"/>
  <c r="AN258" i="8"/>
  <c r="AO258" i="8" s="1"/>
  <c r="AR258" i="8" s="1"/>
  <c r="AU258" i="8" s="1"/>
  <c r="AV258" i="8" s="1"/>
  <c r="AW258" i="8" s="1"/>
  <c r="BD102" i="8"/>
  <c r="AR8" i="8"/>
  <c r="AR15" i="8"/>
  <c r="AR29" i="8"/>
  <c r="AU19" i="8"/>
  <c r="AV19" i="8" s="1"/>
  <c r="AW19" i="8" s="1"/>
  <c r="BD68" i="8"/>
  <c r="AR34" i="8"/>
  <c r="AR42" i="8"/>
  <c r="AR50" i="8"/>
  <c r="AR53" i="8"/>
  <c r="BD55" i="8"/>
  <c r="AR58" i="8"/>
  <c r="AU73" i="8"/>
  <c r="AV73" i="8" s="1"/>
  <c r="AW73" i="8" s="1"/>
  <c r="AU81" i="8"/>
  <c r="AV81" i="8" s="1"/>
  <c r="AW81" i="8" s="1"/>
  <c r="AU107" i="8"/>
  <c r="AV107" i="8" s="1"/>
  <c r="AW107" i="8" s="1"/>
  <c r="BD161" i="8"/>
  <c r="AN159" i="8"/>
  <c r="AO159" i="8" s="1"/>
  <c r="AR159" i="8" s="1"/>
  <c r="AU159" i="8" s="1"/>
  <c r="AV159" i="8" s="1"/>
  <c r="AW159" i="8" s="1"/>
  <c r="AR165" i="8"/>
  <c r="AR244" i="8"/>
  <c r="AU270" i="8"/>
  <c r="AV270" i="8" s="1"/>
  <c r="AW270" i="8" s="1"/>
  <c r="AR283" i="8"/>
  <c r="AU283" i="8" s="1"/>
  <c r="AV283" i="8" s="1"/>
  <c r="AW283" i="8" s="1"/>
  <c r="AR301" i="8"/>
  <c r="AR370" i="8"/>
  <c r="AR369" i="8"/>
  <c r="AR357" i="8"/>
  <c r="AR362" i="8"/>
  <c r="AR395" i="8"/>
  <c r="AR93" i="4"/>
  <c r="BD314" i="4"/>
  <c r="AU283" i="4"/>
  <c r="AV283" i="4" s="1"/>
  <c r="AW283" i="4" s="1"/>
  <c r="BD91" i="4"/>
  <c r="AR211" i="4"/>
  <c r="S57" i="4"/>
  <c r="BA60" i="4"/>
  <c r="BD213" i="4"/>
  <c r="BD384" i="4"/>
  <c r="AR112" i="8"/>
  <c r="AU112" i="8" s="1"/>
  <c r="AV112" i="8" s="1"/>
  <c r="AW112" i="8" s="1"/>
  <c r="J28" i="8"/>
  <c r="AR180" i="8"/>
  <c r="BD150" i="8"/>
  <c r="AR266" i="8"/>
  <c r="AR389" i="8"/>
  <c r="AR373" i="8"/>
  <c r="AR366" i="8"/>
  <c r="BD383" i="8"/>
  <c r="AR388" i="8"/>
  <c r="J12" i="4"/>
  <c r="J115" i="4"/>
  <c r="AR195" i="4"/>
  <c r="J283" i="4"/>
  <c r="BC320" i="4"/>
  <c r="AU110" i="4"/>
  <c r="AV110" i="4" s="1"/>
  <c r="AW110" i="4" s="1"/>
  <c r="AR297" i="8"/>
  <c r="AU297" i="8" s="1"/>
  <c r="AV297" i="8" s="1"/>
  <c r="AW297" i="8" s="1"/>
  <c r="BD375" i="4"/>
  <c r="AR233" i="8"/>
  <c r="BC92" i="8"/>
  <c r="AU119" i="8"/>
  <c r="AV119" i="8" s="1"/>
  <c r="AW119" i="8" s="1"/>
  <c r="J322" i="8"/>
  <c r="AU223" i="8"/>
  <c r="AV223" i="8" s="1"/>
  <c r="AW223" i="8" s="1"/>
  <c r="AU293" i="4"/>
  <c r="AV293" i="4" s="1"/>
  <c r="AW293" i="4" s="1"/>
  <c r="BD125" i="4"/>
  <c r="BD84" i="8"/>
  <c r="BD120" i="4"/>
  <c r="AR238" i="8"/>
  <c r="BD95" i="4"/>
  <c r="AR156" i="4"/>
  <c r="AU285" i="4"/>
  <c r="AV285" i="4" s="1"/>
  <c r="AW285" i="4" s="1"/>
  <c r="AR298" i="8"/>
  <c r="AU298" i="8" s="1"/>
  <c r="AV298" i="8" s="1"/>
  <c r="AW298" i="8" s="1"/>
  <c r="BC224" i="8"/>
  <c r="BD86" i="8"/>
  <c r="AR60" i="8"/>
  <c r="AU60" i="8" s="1"/>
  <c r="AV60" i="8" s="1"/>
  <c r="AW60" i="8" s="1"/>
  <c r="AR126" i="8"/>
  <c r="AU126" i="8" s="1"/>
  <c r="AV126" i="8" s="1"/>
  <c r="AW126" i="8" s="1"/>
  <c r="BC240" i="8"/>
  <c r="BC357" i="4"/>
  <c r="BD357" i="4"/>
  <c r="AU111" i="8"/>
  <c r="AV111" i="8" s="1"/>
  <c r="AW111" i="8" s="1"/>
  <c r="AR140" i="8"/>
  <c r="AU140" i="8" s="1"/>
  <c r="AV140" i="8" s="1"/>
  <c r="AW140" i="8" s="1"/>
  <c r="U33" i="7"/>
  <c r="AR31" i="8"/>
  <c r="AR45" i="8"/>
  <c r="AU108" i="8"/>
  <c r="AV108" i="8" s="1"/>
  <c r="AW108" i="8" s="1"/>
  <c r="BC164" i="8"/>
  <c r="AN149" i="8"/>
  <c r="AO149" i="8" s="1"/>
  <c r="AR149" i="8" s="1"/>
  <c r="AU149" i="8" s="1"/>
  <c r="AV149" i="8" s="1"/>
  <c r="AW149" i="8" s="1"/>
  <c r="BD147" i="8"/>
  <c r="AU294" i="8"/>
  <c r="AV294" i="8" s="1"/>
  <c r="AW294" i="8" s="1"/>
  <c r="AR384" i="8"/>
  <c r="R30" i="7"/>
  <c r="AZ30" i="7" s="1"/>
  <c r="AR33" i="8"/>
  <c r="AR64" i="8"/>
  <c r="BD69" i="8"/>
  <c r="AR43" i="8"/>
  <c r="AU100" i="8"/>
  <c r="AV100" i="8" s="1"/>
  <c r="AW100" i="8" s="1"/>
  <c r="AU167" i="8"/>
  <c r="AV167" i="8" s="1"/>
  <c r="AW167" i="8" s="1"/>
  <c r="AR173" i="8"/>
  <c r="AR184" i="8"/>
  <c r="AR241" i="8"/>
  <c r="BD277" i="8"/>
  <c r="AR281" i="8"/>
  <c r="AR288" i="8"/>
  <c r="AR382" i="8"/>
  <c r="AR376" i="8"/>
  <c r="AU376" i="8" s="1"/>
  <c r="AV376" i="8" s="1"/>
  <c r="AW376" i="8" s="1"/>
  <c r="AR383" i="8"/>
  <c r="AR398" i="8"/>
  <c r="BD251" i="4"/>
  <c r="AR392" i="4"/>
  <c r="AR203" i="4"/>
  <c r="AU203" i="4" s="1"/>
  <c r="AV203" i="4" s="1"/>
  <c r="AW203" i="4" s="1"/>
  <c r="AU98" i="4"/>
  <c r="AV98" i="4" s="1"/>
  <c r="AW98" i="4" s="1"/>
  <c r="AR151" i="4"/>
  <c r="AU230" i="4"/>
  <c r="AV230" i="4" s="1"/>
  <c r="AW230" i="4" s="1"/>
  <c r="R76" i="4"/>
  <c r="U76" i="4" s="1"/>
  <c r="BD191" i="4"/>
  <c r="BC355" i="4"/>
  <c r="BD394" i="4"/>
  <c r="BD104" i="4"/>
  <c r="AU150" i="4"/>
  <c r="AV150" i="4" s="1"/>
  <c r="AW150" i="4" s="1"/>
  <c r="BD274" i="4"/>
  <c r="AU345" i="8"/>
  <c r="AV345" i="8" s="1"/>
  <c r="AW345" i="8" s="1"/>
  <c r="AR175" i="8"/>
  <c r="BD218" i="8"/>
  <c r="BC101" i="8"/>
  <c r="AR254" i="8"/>
  <c r="AU254" i="8" s="1"/>
  <c r="AV254" i="8" s="1"/>
  <c r="AW254" i="8" s="1"/>
  <c r="BD369" i="4"/>
  <c r="U26" i="7"/>
  <c r="AZ26" i="7"/>
  <c r="AE11" i="4"/>
  <c r="BB11" i="4"/>
  <c r="AR251" i="8"/>
  <c r="AU251" i="8" s="1"/>
  <c r="AV251" i="8" s="1"/>
  <c r="AW251" i="8" s="1"/>
  <c r="BA53" i="4"/>
  <c r="U53" i="4"/>
  <c r="AR261" i="4"/>
  <c r="AU261" i="4" s="1"/>
  <c r="AV261" i="4" s="1"/>
  <c r="AW261" i="4" s="1"/>
  <c r="AE13" i="4"/>
  <c r="BB13" i="4"/>
  <c r="AZ22" i="7"/>
  <c r="U22" i="7"/>
  <c r="AE79" i="4"/>
  <c r="BB79" i="4"/>
  <c r="AE7" i="4"/>
  <c r="BB7" i="4"/>
  <c r="AR199" i="4"/>
  <c r="BA67" i="4"/>
  <c r="U67" i="4"/>
  <c r="J21" i="7"/>
  <c r="J104" i="8"/>
  <c r="U24" i="7"/>
  <c r="J32" i="7"/>
  <c r="J15" i="8"/>
  <c r="J10" i="8"/>
  <c r="J31" i="8"/>
  <c r="J44" i="8"/>
  <c r="J82" i="8"/>
  <c r="J98" i="8"/>
  <c r="J148" i="8"/>
  <c r="J365" i="8"/>
  <c r="J394" i="8"/>
  <c r="J398" i="8"/>
  <c r="BC35" i="4"/>
  <c r="J240" i="4"/>
  <c r="AS275" i="4"/>
  <c r="AR275" i="4" s="1"/>
  <c r="AE275" i="4"/>
  <c r="BC344" i="4"/>
  <c r="AR344" i="4"/>
  <c r="AU344" i="4" s="1"/>
  <c r="AV344" i="4" s="1"/>
  <c r="AW344" i="4" s="1"/>
  <c r="BC123" i="8"/>
  <c r="J123" i="8"/>
  <c r="J85" i="4"/>
  <c r="J325" i="8"/>
  <c r="J97" i="4"/>
  <c r="J152" i="4"/>
  <c r="BC157" i="4"/>
  <c r="J334" i="4"/>
  <c r="AE316" i="4"/>
  <c r="AS316" i="4"/>
  <c r="AR316" i="4" s="1"/>
  <c r="AU316" i="4" s="1"/>
  <c r="AV316" i="4" s="1"/>
  <c r="AW316" i="4" s="1"/>
  <c r="BC193" i="4"/>
  <c r="BC247" i="4"/>
  <c r="AE40" i="4"/>
  <c r="BD97" i="4"/>
  <c r="BC213" i="4"/>
  <c r="J24" i="7"/>
  <c r="J26" i="8"/>
  <c r="BC98" i="8"/>
  <c r="J51" i="8"/>
  <c r="J59" i="8"/>
  <c r="J87" i="8"/>
  <c r="J103" i="8"/>
  <c r="J160" i="8"/>
  <c r="J168" i="8"/>
  <c r="AR190" i="8"/>
  <c r="J307" i="8"/>
  <c r="BC325" i="8"/>
  <c r="J385" i="8"/>
  <c r="J375" i="8"/>
  <c r="BF9" i="3"/>
  <c r="AJ9" i="3"/>
  <c r="CV9" i="3"/>
  <c r="EC9" i="3"/>
  <c r="AL9" i="3"/>
  <c r="G9" i="3"/>
  <c r="BS9" i="3"/>
  <c r="DA9" i="3"/>
  <c r="J10" i="4"/>
  <c r="AS101" i="4"/>
  <c r="AE101" i="4"/>
  <c r="J217" i="4"/>
  <c r="BC210" i="4"/>
  <c r="J315" i="8"/>
  <c r="W48" i="4"/>
  <c r="T48" i="4"/>
  <c r="S48" i="4"/>
  <c r="V48" i="4"/>
  <c r="R48" i="4"/>
  <c r="BC129" i="4"/>
  <c r="J150" i="4"/>
  <c r="J202" i="4"/>
  <c r="J367" i="4"/>
  <c r="J206" i="4"/>
  <c r="BC206" i="4"/>
  <c r="BD206" i="4"/>
  <c r="J228" i="4"/>
  <c r="AE262" i="4"/>
  <c r="AS262" i="4"/>
  <c r="AR262" i="4" s="1"/>
  <c r="J6" i="8"/>
  <c r="BD98" i="8"/>
  <c r="J95" i="4"/>
  <c r="J223" i="4"/>
  <c r="J329" i="8"/>
  <c r="J58" i="4"/>
  <c r="J149" i="4"/>
  <c r="BC111" i="4"/>
  <c r="BC27" i="4"/>
  <c r="AE242" i="4"/>
  <c r="AS242" i="4"/>
  <c r="AR242" i="4" s="1"/>
  <c r="AU242" i="4" s="1"/>
  <c r="AV242" i="4" s="1"/>
  <c r="AW242" i="4" s="1"/>
  <c r="BC376" i="4"/>
  <c r="AB6" i="6"/>
  <c r="AC6" i="6" s="1"/>
  <c r="AD6" i="6" s="1"/>
  <c r="AE6" i="6" s="1"/>
  <c r="AF6" i="6" s="1"/>
  <c r="AG6" i="6" s="1"/>
  <c r="AH6" i="6" s="1"/>
  <c r="AA1" i="6"/>
  <c r="J152" i="8"/>
  <c r="BD103" i="8"/>
  <c r="J379" i="8"/>
  <c r="W53" i="4"/>
  <c r="BD314" i="8"/>
  <c r="J181" i="8"/>
  <c r="J75" i="8"/>
  <c r="J336" i="8"/>
  <c r="J327" i="8"/>
  <c r="BC132" i="8"/>
  <c r="AR132" i="8"/>
  <c r="AU132" i="8" s="1"/>
  <c r="AV132" i="8" s="1"/>
  <c r="AW132" i="8" s="1"/>
  <c r="J180" i="8"/>
  <c r="BB24" i="7"/>
  <c r="BC12" i="7"/>
  <c r="S27" i="7"/>
  <c r="BD65" i="8"/>
  <c r="AR24" i="7"/>
  <c r="S31" i="7"/>
  <c r="J31" i="7"/>
  <c r="BD30" i="8"/>
  <c r="S26" i="7"/>
  <c r="S22" i="7"/>
  <c r="BB31" i="7"/>
  <c r="T36" i="7"/>
  <c r="BC6" i="7"/>
  <c r="J14" i="7"/>
  <c r="W31" i="7"/>
  <c r="V37" i="7"/>
  <c r="J5" i="7"/>
  <c r="J7" i="7"/>
  <c r="J9" i="7"/>
  <c r="J11" i="7"/>
  <c r="J13" i="7"/>
  <c r="J15" i="7"/>
  <c r="J17" i="7"/>
  <c r="W35" i="7"/>
  <c r="AR35" i="7" s="1"/>
  <c r="AM35" i="7" s="1"/>
  <c r="AN35" i="7" s="1"/>
  <c r="BC22" i="7"/>
  <c r="J26" i="7"/>
  <c r="J30" i="7"/>
  <c r="U32" i="7"/>
  <c r="AR32" i="7" s="1"/>
  <c r="AQ32" i="7" s="1"/>
  <c r="AT32" i="7" s="1"/>
  <c r="AU32" i="7" s="1"/>
  <c r="AV32" i="7" s="1"/>
  <c r="J37" i="7"/>
  <c r="BD32" i="8"/>
  <c r="BD8" i="8"/>
  <c r="J19" i="8"/>
  <c r="J23" i="8"/>
  <c r="J22" i="8"/>
  <c r="J29" i="8"/>
  <c r="J20" i="8"/>
  <c r="BD66" i="8"/>
  <c r="J68" i="8"/>
  <c r="BD34" i="8"/>
  <c r="BD42" i="8"/>
  <c r="J41" i="8"/>
  <c r="J50" i="8"/>
  <c r="J52" i="8"/>
  <c r="J54" i="8"/>
  <c r="J56" i="8"/>
  <c r="J58" i="8"/>
  <c r="BC111" i="8"/>
  <c r="AR103" i="8"/>
  <c r="AU103" i="8" s="1"/>
  <c r="AV103" i="8" s="1"/>
  <c r="AW103" i="8" s="1"/>
  <c r="AN156" i="8"/>
  <c r="AO156" i="8" s="1"/>
  <c r="AR156" i="8" s="1"/>
  <c r="AU156" i="8" s="1"/>
  <c r="AV156" i="8" s="1"/>
  <c r="AW156" i="8" s="1"/>
  <c r="J83" i="8"/>
  <c r="J91" i="8"/>
  <c r="J99" i="8"/>
  <c r="J107" i="8"/>
  <c r="J150" i="8"/>
  <c r="BC159" i="8"/>
  <c r="BC163" i="8"/>
  <c r="BC166" i="8"/>
  <c r="BD169" i="8"/>
  <c r="BD181" i="8"/>
  <c r="AR189" i="8"/>
  <c r="AR197" i="8"/>
  <c r="AU197" i="8" s="1"/>
  <c r="AV197" i="8" s="1"/>
  <c r="AW197" i="8" s="1"/>
  <c r="AR205" i="8"/>
  <c r="BD207" i="8"/>
  <c r="AR213" i="8"/>
  <c r="AU213" i="8" s="1"/>
  <c r="AV213" i="8" s="1"/>
  <c r="AW213" i="8" s="1"/>
  <c r="BD215" i="8"/>
  <c r="BD266" i="8"/>
  <c r="J241" i="8"/>
  <c r="BD268" i="8"/>
  <c r="J281" i="8"/>
  <c r="AU276" i="8"/>
  <c r="AV276" i="8" s="1"/>
  <c r="AW276" i="8" s="1"/>
  <c r="AR285" i="8"/>
  <c r="BD288" i="8"/>
  <c r="J300" i="8"/>
  <c r="J296" i="8"/>
  <c r="BD301" i="8"/>
  <c r="J305" i="8"/>
  <c r="AR299" i="8"/>
  <c r="BC375" i="8"/>
  <c r="J390" i="8"/>
  <c r="J383" i="8"/>
  <c r="BD380" i="8"/>
  <c r="AR354" i="8"/>
  <c r="J395" i="8"/>
  <c r="J392" i="8"/>
  <c r="BD396" i="8"/>
  <c r="J382" i="8"/>
  <c r="BD388" i="8"/>
  <c r="BD398" i="8"/>
  <c r="CJ9" i="3"/>
  <c r="DX9" i="3"/>
  <c r="CZ9" i="3"/>
  <c r="AV9" i="3"/>
  <c r="EQ9" i="3"/>
  <c r="Z9" i="3"/>
  <c r="CL9" i="3"/>
  <c r="EX9" i="3"/>
  <c r="BP9" i="3"/>
  <c r="EB9" i="3"/>
  <c r="AK9" i="3"/>
  <c r="CW9" i="3"/>
  <c r="F9" i="3"/>
  <c r="BR9" i="3"/>
  <c r="ED9" i="3"/>
  <c r="AM9" i="3"/>
  <c r="CY9" i="3"/>
  <c r="I9" i="3"/>
  <c r="BU9" i="3"/>
  <c r="EG9" i="3"/>
  <c r="BA58" i="4"/>
  <c r="U58" i="4"/>
  <c r="BC64" i="4"/>
  <c r="BC77" i="4"/>
  <c r="AQ58" i="4"/>
  <c r="BD58" i="4" s="1"/>
  <c r="BC88" i="4"/>
  <c r="BC105" i="4"/>
  <c r="BD133" i="4"/>
  <c r="BD186" i="4"/>
  <c r="J182" i="4"/>
  <c r="BD198" i="4"/>
  <c r="BC221" i="4"/>
  <c r="BC265" i="4"/>
  <c r="AE382" i="4"/>
  <c r="AS382" i="4"/>
  <c r="AR382" i="4" s="1"/>
  <c r="AU382" i="4" s="1"/>
  <c r="AV382" i="4" s="1"/>
  <c r="AW382" i="4" s="1"/>
  <c r="J248" i="8"/>
  <c r="J234" i="8"/>
  <c r="AQ40" i="4"/>
  <c r="BD40" i="4" s="1"/>
  <c r="J51" i="4"/>
  <c r="J21" i="4"/>
  <c r="T61" i="4"/>
  <c r="S61" i="4"/>
  <c r="R61" i="4"/>
  <c r="W61" i="4"/>
  <c r="V61" i="4"/>
  <c r="J70" i="4"/>
  <c r="J73" i="4"/>
  <c r="J91" i="4"/>
  <c r="J159" i="4"/>
  <c r="AE206" i="4"/>
  <c r="AS206" i="4"/>
  <c r="AR206" i="4" s="1"/>
  <c r="AU206" i="4" s="1"/>
  <c r="AV206" i="4" s="1"/>
  <c r="AW206" i="4" s="1"/>
  <c r="J247" i="4"/>
  <c r="J210" i="4"/>
  <c r="AS198" i="4"/>
  <c r="AE198" i="4"/>
  <c r="BC211" i="4"/>
  <c r="AU211" i="4"/>
  <c r="AV211" i="4" s="1"/>
  <c r="AW211" i="4" s="1"/>
  <c r="BD259" i="4"/>
  <c r="BD264" i="4"/>
  <c r="J314" i="4"/>
  <c r="AE370" i="4"/>
  <c r="AS370" i="4"/>
  <c r="J182" i="8"/>
  <c r="BD78" i="8"/>
  <c r="J223" i="8"/>
  <c r="J82" i="4"/>
  <c r="J84" i="4"/>
  <c r="R84" i="4"/>
  <c r="J120" i="4"/>
  <c r="J164" i="4"/>
  <c r="AE240" i="4"/>
  <c r="AS240" i="4"/>
  <c r="AR240" i="4" s="1"/>
  <c r="AU240" i="4" s="1"/>
  <c r="AV240" i="4" s="1"/>
  <c r="AW240" i="4" s="1"/>
  <c r="BC215" i="4"/>
  <c r="AR215" i="4"/>
  <c r="AU215" i="4" s="1"/>
  <c r="AV215" i="4" s="1"/>
  <c r="AW215" i="4" s="1"/>
  <c r="AE221" i="4"/>
  <c r="AS221" i="4"/>
  <c r="AR221" i="4" s="1"/>
  <c r="AU221" i="4" s="1"/>
  <c r="AV221" i="4" s="1"/>
  <c r="AW221" i="4" s="1"/>
  <c r="AE252" i="4"/>
  <c r="AS252" i="4"/>
  <c r="AR252" i="4" s="1"/>
  <c r="AU252" i="4" s="1"/>
  <c r="AV252" i="4" s="1"/>
  <c r="AW252" i="4" s="1"/>
  <c r="J260" i="4"/>
  <c r="J293" i="4"/>
  <c r="AS363" i="4"/>
  <c r="AE363" i="4"/>
  <c r="BD25" i="8"/>
  <c r="BD19" i="8"/>
  <c r="BC36" i="4"/>
  <c r="J56" i="4"/>
  <c r="AE57" i="4"/>
  <c r="AS57" i="4"/>
  <c r="AE12" i="4"/>
  <c r="J38" i="4"/>
  <c r="AE44" i="4"/>
  <c r="J100" i="4"/>
  <c r="J101" i="4"/>
  <c r="J148" i="4"/>
  <c r="BC132" i="4"/>
  <c r="J227" i="4"/>
  <c r="J317" i="4"/>
  <c r="J386" i="4"/>
  <c r="J388" i="4"/>
  <c r="BD297" i="8"/>
  <c r="AU26" i="8"/>
  <c r="AV26" i="8" s="1"/>
  <c r="AW26" i="8" s="1"/>
  <c r="BC26" i="8"/>
  <c r="J27" i="4"/>
  <c r="AE107" i="4"/>
  <c r="AS107" i="4"/>
  <c r="AR107" i="4" s="1"/>
  <c r="AU107" i="4" s="1"/>
  <c r="AV107" i="4" s="1"/>
  <c r="AW107" i="4" s="1"/>
  <c r="W76" i="4"/>
  <c r="BC96" i="4"/>
  <c r="J123" i="4"/>
  <c r="BC153" i="4"/>
  <c r="AR153" i="4"/>
  <c r="AU153" i="4" s="1"/>
  <c r="AV153" i="4" s="1"/>
  <c r="AW153" i="4" s="1"/>
  <c r="AE214" i="4"/>
  <c r="AS214" i="4"/>
  <c r="BC177" i="4"/>
  <c r="BD241" i="4"/>
  <c r="AU255" i="4"/>
  <c r="AV255" i="4" s="1"/>
  <c r="AW255" i="4" s="1"/>
  <c r="BC255" i="4"/>
  <c r="BD278" i="4"/>
  <c r="J375" i="4"/>
  <c r="BC364" i="4"/>
  <c r="J36" i="4"/>
  <c r="BC32" i="4"/>
  <c r="J9" i="4"/>
  <c r="BA20" i="4"/>
  <c r="U20" i="4"/>
  <c r="AS20" i="4" s="1"/>
  <c r="BA76" i="4"/>
  <c r="J104" i="4"/>
  <c r="BC90" i="4"/>
  <c r="AR90" i="4"/>
  <c r="AU90" i="4" s="1"/>
  <c r="AV90" i="4" s="1"/>
  <c r="AW90" i="4" s="1"/>
  <c r="AE112" i="4"/>
  <c r="AS112" i="4"/>
  <c r="AR112" i="4" s="1"/>
  <c r="AU112" i="4" s="1"/>
  <c r="AV112" i="4" s="1"/>
  <c r="AW112" i="4" s="1"/>
  <c r="BD149" i="4"/>
  <c r="AS127" i="4"/>
  <c r="AE127" i="4"/>
  <c r="AE124" i="4"/>
  <c r="AS124" i="4"/>
  <c r="BC256" i="4"/>
  <c r="J189" i="4"/>
  <c r="J229" i="4"/>
  <c r="AE308" i="4"/>
  <c r="AS308" i="4"/>
  <c r="AR308" i="4" s="1"/>
  <c r="AU308" i="4" s="1"/>
  <c r="AV308" i="4" s="1"/>
  <c r="AW308" i="4" s="1"/>
  <c r="BD341" i="4"/>
  <c r="AE378" i="4"/>
  <c r="AS378" i="4"/>
  <c r="AR378" i="4" s="1"/>
  <c r="AU378" i="4" s="1"/>
  <c r="AV378" i="4" s="1"/>
  <c r="AW378" i="4" s="1"/>
  <c r="J23" i="4"/>
  <c r="U8" i="4"/>
  <c r="BA8" i="4"/>
  <c r="R34" i="4"/>
  <c r="W34" i="4"/>
  <c r="V34" i="4"/>
  <c r="T34" i="4"/>
  <c r="S34" i="4"/>
  <c r="BA45" i="4"/>
  <c r="J92" i="4"/>
  <c r="R71" i="4"/>
  <c r="W71" i="4"/>
  <c r="V71" i="4"/>
  <c r="T71" i="4"/>
  <c r="S71" i="4"/>
  <c r="BC68" i="4"/>
  <c r="J169" i="4"/>
  <c r="BC260" i="4"/>
  <c r="AU156" i="4"/>
  <c r="AV156" i="4" s="1"/>
  <c r="AW156" i="4" s="1"/>
  <c r="BC156" i="4"/>
  <c r="BD181" i="4"/>
  <c r="BD262" i="4"/>
  <c r="BC331" i="4"/>
  <c r="AS376" i="4"/>
  <c r="AR376" i="4" s="1"/>
  <c r="AU376" i="4" s="1"/>
  <c r="AV376" i="4" s="1"/>
  <c r="AW376" i="4" s="1"/>
  <c r="AE376" i="4"/>
  <c r="J400" i="4"/>
  <c r="BC18" i="4"/>
  <c r="AE80" i="4"/>
  <c r="AS80" i="4"/>
  <c r="AS100" i="4"/>
  <c r="AR100" i="4" s="1"/>
  <c r="AU100" i="4" s="1"/>
  <c r="AV100" i="4" s="1"/>
  <c r="AW100" i="4" s="1"/>
  <c r="AE100" i="4"/>
  <c r="J143" i="4"/>
  <c r="AS123" i="4"/>
  <c r="AE123" i="4"/>
  <c r="AS139" i="4"/>
  <c r="AR139" i="4" s="1"/>
  <c r="AU139" i="4" s="1"/>
  <c r="AV139" i="4" s="1"/>
  <c r="AW139" i="4" s="1"/>
  <c r="AE139" i="4"/>
  <c r="AE210" i="4"/>
  <c r="AS210" i="4"/>
  <c r="AR210" i="4" s="1"/>
  <c r="AU210" i="4" s="1"/>
  <c r="AV210" i="4" s="1"/>
  <c r="AW210" i="4" s="1"/>
  <c r="BC184" i="4"/>
  <c r="AU184" i="4"/>
  <c r="AV184" i="4" s="1"/>
  <c r="AW184" i="4" s="1"/>
  <c r="AE182" i="4"/>
  <c r="AS182" i="4"/>
  <c r="AR182" i="4" s="1"/>
  <c r="AU182" i="4" s="1"/>
  <c r="AV182" i="4" s="1"/>
  <c r="AW182" i="4" s="1"/>
  <c r="BD236" i="4"/>
  <c r="AE259" i="4"/>
  <c r="AS259" i="4"/>
  <c r="BC243" i="4"/>
  <c r="AS282" i="4"/>
  <c r="AR282" i="4" s="1"/>
  <c r="AE282" i="4"/>
  <c r="BD385" i="4"/>
  <c r="AU387" i="4"/>
  <c r="AV387" i="4" s="1"/>
  <c r="AW387" i="4" s="1"/>
  <c r="BC387" i="4"/>
  <c r="J380" i="4"/>
  <c r="BD298" i="8"/>
  <c r="BC316" i="8"/>
  <c r="AR316" i="8"/>
  <c r="AU316" i="8" s="1"/>
  <c r="AV316" i="8" s="1"/>
  <c r="AW316" i="8" s="1"/>
  <c r="BD224" i="8"/>
  <c r="J113" i="8"/>
  <c r="BC113" i="8"/>
  <c r="BD83" i="8"/>
  <c r="J238" i="8"/>
  <c r="BC79" i="4"/>
  <c r="BC21" i="4"/>
  <c r="BC55" i="4"/>
  <c r="AQ75" i="4"/>
  <c r="BD75" i="4" s="1"/>
  <c r="T9" i="4"/>
  <c r="J357" i="8"/>
  <c r="AR243" i="8"/>
  <c r="AU243" i="8" s="1"/>
  <c r="AV243" i="8" s="1"/>
  <c r="AW243" i="8" s="1"/>
  <c r="J222" i="8"/>
  <c r="J219" i="8"/>
  <c r="AR133" i="8"/>
  <c r="AU133" i="8" s="1"/>
  <c r="AV133" i="8" s="1"/>
  <c r="AW133" i="8" s="1"/>
  <c r="BD118" i="8"/>
  <c r="BD112" i="8"/>
  <c r="BC37" i="7"/>
  <c r="J343" i="8"/>
  <c r="J259" i="8"/>
  <c r="J230" i="8"/>
  <c r="J326" i="8"/>
  <c r="AU274" i="8"/>
  <c r="AV274" i="8" s="1"/>
  <c r="AW274" i="8" s="1"/>
  <c r="BC274" i="8"/>
  <c r="BC328" i="8"/>
  <c r="AR328" i="8"/>
  <c r="AU328" i="8" s="1"/>
  <c r="AV328" i="8" s="1"/>
  <c r="AW328" i="8" s="1"/>
  <c r="J203" i="8"/>
  <c r="BC129" i="8"/>
  <c r="AR129" i="8"/>
  <c r="AU129" i="8" s="1"/>
  <c r="AV129" i="8" s="1"/>
  <c r="AW129" i="8" s="1"/>
  <c r="BD14" i="8"/>
  <c r="AB12" i="6"/>
  <c r="CN12" i="6"/>
  <c r="AK12" i="6"/>
  <c r="CW12" i="6"/>
  <c r="AT12" i="6"/>
  <c r="DF12" i="6"/>
  <c r="J242" i="8"/>
  <c r="J346" i="8"/>
  <c r="V37" i="4"/>
  <c r="S67" i="4"/>
  <c r="W83" i="4"/>
  <c r="J11" i="8"/>
  <c r="J253" i="8"/>
  <c r="R13" i="4"/>
  <c r="AR129" i="4"/>
  <c r="AU129" i="4" s="1"/>
  <c r="AV129" i="4" s="1"/>
  <c r="AW129" i="4" s="1"/>
  <c r="J18" i="8"/>
  <c r="E10" i="6"/>
  <c r="CT10" i="6" s="1"/>
  <c r="BQ9" i="6"/>
  <c r="J28" i="4"/>
  <c r="AP43" i="4"/>
  <c r="J62" i="4"/>
  <c r="BA57" i="4"/>
  <c r="J105" i="4"/>
  <c r="J124" i="4"/>
  <c r="J147" i="4"/>
  <c r="BD161" i="4"/>
  <c r="BD148" i="4"/>
  <c r="J194" i="4"/>
  <c r="J199" i="4"/>
  <c r="J257" i="4"/>
  <c r="BC248" i="4"/>
  <c r="J265" i="4"/>
  <c r="BC372" i="4"/>
  <c r="AE389" i="4"/>
  <c r="AS389" i="4"/>
  <c r="AR389" i="4" s="1"/>
  <c r="AU389" i="4" s="1"/>
  <c r="AV389" i="4" s="1"/>
  <c r="AW389" i="4" s="1"/>
  <c r="J324" i="8"/>
  <c r="J178" i="8"/>
  <c r="BC31" i="7"/>
  <c r="J330" i="8"/>
  <c r="BA66" i="4"/>
  <c r="U66" i="4"/>
  <c r="BA70" i="4"/>
  <c r="U70" i="4"/>
  <c r="AE62" i="4"/>
  <c r="BC17" i="4"/>
  <c r="BC9" i="4"/>
  <c r="BC41" i="4"/>
  <c r="BC83" i="4"/>
  <c r="S53" i="4"/>
  <c r="J76" i="8"/>
  <c r="J384" i="8"/>
  <c r="J333" i="8"/>
  <c r="AR344" i="8"/>
  <c r="AU344" i="8" s="1"/>
  <c r="AV344" i="8" s="1"/>
  <c r="AW344" i="8" s="1"/>
  <c r="BC344" i="8"/>
  <c r="J361" i="8"/>
  <c r="AU260" i="8"/>
  <c r="AV260" i="8" s="1"/>
  <c r="AW260" i="8" s="1"/>
  <c r="J157" i="8"/>
  <c r="BD325" i="8"/>
  <c r="S79" i="4"/>
  <c r="J355" i="8"/>
  <c r="J276" i="8"/>
  <c r="AR218" i="8"/>
  <c r="AU138" i="8"/>
  <c r="AV138" i="8" s="1"/>
  <c r="AW138" i="8" s="1"/>
  <c r="BC138" i="8"/>
  <c r="J191" i="8"/>
  <c r="J146" i="8"/>
  <c r="J73" i="8"/>
  <c r="J77" i="8"/>
  <c r="BC36" i="7"/>
  <c r="BD73" i="8"/>
  <c r="J192" i="8"/>
  <c r="J194" i="8"/>
  <c r="BD99" i="8"/>
  <c r="J60" i="8"/>
  <c r="BC32" i="7"/>
  <c r="BC73" i="8"/>
  <c r="BC17" i="7"/>
  <c r="BD248" i="8"/>
  <c r="J353" i="8"/>
  <c r="W37" i="4"/>
  <c r="T67" i="4"/>
  <c r="R83" i="4"/>
  <c r="J278" i="8"/>
  <c r="R7" i="4"/>
  <c r="S13" i="4"/>
  <c r="BD105" i="8"/>
  <c r="AR69" i="8"/>
  <c r="AU69" i="8" s="1"/>
  <c r="AV69" i="8" s="1"/>
  <c r="AW69" i="8" s="1"/>
  <c r="J48" i="8"/>
  <c r="J80" i="8"/>
  <c r="BD80" i="8"/>
  <c r="J96" i="8"/>
  <c r="J169" i="8"/>
  <c r="J267" i="8"/>
  <c r="J274" i="8"/>
  <c r="J290" i="8"/>
  <c r="J302" i="8"/>
  <c r="J298" i="8"/>
  <c r="J306" i="8"/>
  <c r="J374" i="8"/>
  <c r="BC374" i="8"/>
  <c r="J35" i="4"/>
  <c r="BC58" i="4"/>
  <c r="BC133" i="4"/>
  <c r="AR133" i="4"/>
  <c r="AU133" i="4" s="1"/>
  <c r="AV133" i="4" s="1"/>
  <c r="AW133" i="4" s="1"/>
  <c r="BC169" i="4"/>
  <c r="BC127" i="4"/>
  <c r="BD152" i="4"/>
  <c r="AE189" i="4"/>
  <c r="AS189" i="4"/>
  <c r="BC198" i="4"/>
  <c r="J225" i="4"/>
  <c r="BC205" i="4"/>
  <c r="AS215" i="4"/>
  <c r="AE215" i="4"/>
  <c r="AS233" i="4"/>
  <c r="AR233" i="4" s="1"/>
  <c r="AU233" i="4" s="1"/>
  <c r="AV233" i="4" s="1"/>
  <c r="AW233" i="4" s="1"/>
  <c r="AE233" i="4"/>
  <c r="J301" i="4"/>
  <c r="AS352" i="4"/>
  <c r="AR352" i="4" s="1"/>
  <c r="AU352" i="4" s="1"/>
  <c r="AV352" i="4" s="1"/>
  <c r="AW352" i="4" s="1"/>
  <c r="AE352" i="4"/>
  <c r="J350" i="8"/>
  <c r="AN229" i="8"/>
  <c r="AO229" i="8" s="1"/>
  <c r="AR229" i="8" s="1"/>
  <c r="AU229" i="8" s="1"/>
  <c r="AV229" i="8" s="1"/>
  <c r="AW229" i="8" s="1"/>
  <c r="BC229" i="8"/>
  <c r="AR9" i="8"/>
  <c r="AU9" i="8" s="1"/>
  <c r="AV9" i="8" s="1"/>
  <c r="AW9" i="8" s="1"/>
  <c r="J11" i="4"/>
  <c r="BC40" i="4"/>
  <c r="V85" i="4"/>
  <c r="T85" i="4"/>
  <c r="S85" i="4"/>
  <c r="R85" i="4"/>
  <c r="W85" i="4"/>
  <c r="AE128" i="4"/>
  <c r="AS128" i="4"/>
  <c r="AE186" i="4"/>
  <c r="AS186" i="4"/>
  <c r="AR186" i="4" s="1"/>
  <c r="AU186" i="4" s="1"/>
  <c r="AV186" i="4" s="1"/>
  <c r="AW186" i="4" s="1"/>
  <c r="BC259" i="4"/>
  <c r="AR259" i="4"/>
  <c r="AU259" i="4" s="1"/>
  <c r="AV259" i="4" s="1"/>
  <c r="AW259" i="4" s="1"/>
  <c r="J233" i="4"/>
  <c r="J297" i="4"/>
  <c r="J338" i="4"/>
  <c r="J320" i="4"/>
  <c r="J396" i="4"/>
  <c r="J122" i="8"/>
  <c r="J16" i="8"/>
  <c r="T41" i="4"/>
  <c r="S41" i="4"/>
  <c r="R41" i="4"/>
  <c r="W41" i="4"/>
  <c r="V41" i="4"/>
  <c r="AE50" i="4"/>
  <c r="J18" i="4"/>
  <c r="AE116" i="4"/>
  <c r="AS116" i="4"/>
  <c r="AE92" i="4"/>
  <c r="AS92" i="4"/>
  <c r="AR92" i="4" s="1"/>
  <c r="AU92" i="4" s="1"/>
  <c r="AV92" i="4" s="1"/>
  <c r="AW92" i="4" s="1"/>
  <c r="BC76" i="4"/>
  <c r="BC128" i="4"/>
  <c r="J190" i="4"/>
  <c r="J266" i="4"/>
  <c r="J258" i="4"/>
  <c r="BC258" i="4"/>
  <c r="AE217" i="4"/>
  <c r="AS217" i="4"/>
  <c r="AR217" i="4" s="1"/>
  <c r="AU217" i="4" s="1"/>
  <c r="AV217" i="4" s="1"/>
  <c r="AW217" i="4" s="1"/>
  <c r="J276" i="4"/>
  <c r="AS237" i="4"/>
  <c r="AR237" i="4" s="1"/>
  <c r="AU237" i="4" s="1"/>
  <c r="AV237" i="4" s="1"/>
  <c r="AW237" i="4" s="1"/>
  <c r="AE237" i="4"/>
  <c r="J365" i="4"/>
  <c r="J393" i="4"/>
  <c r="J207" i="8"/>
  <c r="J121" i="8"/>
  <c r="BC25" i="8"/>
  <c r="U12" i="4"/>
  <c r="AS12" i="4" s="1"/>
  <c r="AR12" i="4" s="1"/>
  <c r="AU12" i="4" s="1"/>
  <c r="AV12" i="4" s="1"/>
  <c r="AW12" i="4" s="1"/>
  <c r="BA12" i="4"/>
  <c r="R38" i="4"/>
  <c r="W38" i="4"/>
  <c r="V38" i="4"/>
  <c r="T38" i="4"/>
  <c r="S38" i="4"/>
  <c r="J79" i="4"/>
  <c r="BC109" i="4"/>
  <c r="AE119" i="4"/>
  <c r="AS119" i="4"/>
  <c r="AR119" i="4" s="1"/>
  <c r="AU119" i="4" s="1"/>
  <c r="AV119" i="4" s="1"/>
  <c r="AW119" i="4" s="1"/>
  <c r="J137" i="4"/>
  <c r="AR127" i="4"/>
  <c r="AU127" i="4" s="1"/>
  <c r="AV127" i="4" s="1"/>
  <c r="AW127" i="4" s="1"/>
  <c r="J179" i="4"/>
  <c r="J319" i="4"/>
  <c r="AS339" i="4"/>
  <c r="AR339" i="4" s="1"/>
  <c r="AU339" i="4" s="1"/>
  <c r="AV339" i="4" s="1"/>
  <c r="AW339" i="4" s="1"/>
  <c r="AE339" i="4"/>
  <c r="AR384" i="4"/>
  <c r="AU384" i="4" s="1"/>
  <c r="AV384" i="4" s="1"/>
  <c r="AW384" i="4" s="1"/>
  <c r="J390" i="4"/>
  <c r="BC390" i="4"/>
  <c r="BD350" i="8"/>
  <c r="J288" i="8"/>
  <c r="J186" i="8"/>
  <c r="BD6" i="8"/>
  <c r="J243" i="8"/>
  <c r="W27" i="4"/>
  <c r="V27" i="4"/>
  <c r="T27" i="4"/>
  <c r="S27" i="4"/>
  <c r="R27" i="4"/>
  <c r="W43" i="4"/>
  <c r="V43" i="4"/>
  <c r="T43" i="4"/>
  <c r="S43" i="4"/>
  <c r="R43" i="4"/>
  <c r="BC53" i="4"/>
  <c r="J26" i="4"/>
  <c r="AP85" i="4"/>
  <c r="AR143" i="4"/>
  <c r="J165" i="4"/>
  <c r="BC165" i="4"/>
  <c r="J256" i="4"/>
  <c r="AE270" i="4"/>
  <c r="AS270" i="4"/>
  <c r="AR270" i="4" s="1"/>
  <c r="AU270" i="4" s="1"/>
  <c r="AV270" i="4" s="1"/>
  <c r="AW270" i="4" s="1"/>
  <c r="J362" i="4"/>
  <c r="BC8" i="4"/>
  <c r="J33" i="4"/>
  <c r="J55" i="4"/>
  <c r="AP50" i="4"/>
  <c r="BC70" i="4"/>
  <c r="BC95" i="4"/>
  <c r="J132" i="4"/>
  <c r="BC149" i="4"/>
  <c r="AU149" i="4"/>
  <c r="AV149" i="4" s="1"/>
  <c r="AW149" i="4" s="1"/>
  <c r="J160" i="4"/>
  <c r="BD179" i="4"/>
  <c r="AE194" i="4"/>
  <c r="AS194" i="4"/>
  <c r="AR194" i="4" s="1"/>
  <c r="AU194" i="4" s="1"/>
  <c r="AV194" i="4" s="1"/>
  <c r="AW194" i="4" s="1"/>
  <c r="J284" i="4"/>
  <c r="J305" i="4"/>
  <c r="W23" i="4"/>
  <c r="V23" i="4"/>
  <c r="T23" i="4"/>
  <c r="S23" i="4"/>
  <c r="R23" i="4"/>
  <c r="BC65" i="4"/>
  <c r="R75" i="4"/>
  <c r="W75" i="4"/>
  <c r="V75" i="4"/>
  <c r="T75" i="4"/>
  <c r="S75" i="4"/>
  <c r="AE88" i="4"/>
  <c r="AS88" i="4"/>
  <c r="BC158" i="4"/>
  <c r="AU158" i="4"/>
  <c r="AV158" i="4" s="1"/>
  <c r="AW158" i="4" s="1"/>
  <c r="BC144" i="4"/>
  <c r="J174" i="4"/>
  <c r="J167" i="4"/>
  <c r="BC167" i="4"/>
  <c r="AE256" i="4"/>
  <c r="AS256" i="4"/>
  <c r="AR256" i="4" s="1"/>
  <c r="AU256" i="4" s="1"/>
  <c r="AV256" i="4" s="1"/>
  <c r="AW256" i="4" s="1"/>
  <c r="J259" i="4"/>
  <c r="J272" i="4"/>
  <c r="BC272" i="4"/>
  <c r="BD272" i="4"/>
  <c r="AS372" i="4"/>
  <c r="AR372" i="4" s="1"/>
  <c r="AU372" i="4" s="1"/>
  <c r="AV372" i="4" s="1"/>
  <c r="AW372" i="4" s="1"/>
  <c r="AE372" i="4"/>
  <c r="BD347" i="4"/>
  <c r="J378" i="4"/>
  <c r="BD379" i="4"/>
  <c r="BC384" i="4"/>
  <c r="W36" i="7"/>
  <c r="J10" i="7"/>
  <c r="T27" i="7"/>
  <c r="AR27" i="7" s="1"/>
  <c r="AQ27" i="7" s="1"/>
  <c r="AT27" i="7" s="1"/>
  <c r="AU27" i="7" s="1"/>
  <c r="AV27" i="7" s="1"/>
  <c r="S32" i="7"/>
  <c r="AR34" i="7"/>
  <c r="AQ34" i="7" s="1"/>
  <c r="AT34" i="7" s="1"/>
  <c r="AU34" i="7" s="1"/>
  <c r="AV34" i="7" s="1"/>
  <c r="BC6" i="8"/>
  <c r="AR21" i="7"/>
  <c r="AQ21" i="7" s="1"/>
  <c r="AT21" i="7" s="1"/>
  <c r="AU21" i="7" s="1"/>
  <c r="AV21" i="7" s="1"/>
  <c r="J29" i="7"/>
  <c r="BD24" i="8"/>
  <c r="BC82" i="8"/>
  <c r="AR25" i="8"/>
  <c r="AU25" i="8" s="1"/>
  <c r="AV25" i="8" s="1"/>
  <c r="AW25" i="8" s="1"/>
  <c r="BD64" i="8"/>
  <c r="AU110" i="8"/>
  <c r="AV110" i="8" s="1"/>
  <c r="AW110" i="8" s="1"/>
  <c r="J62" i="8"/>
  <c r="J70" i="8"/>
  <c r="BC87" i="8"/>
  <c r="BC96" i="8"/>
  <c r="BC104" i="8"/>
  <c r="BD40" i="8"/>
  <c r="J33" i="8"/>
  <c r="J35" i="8"/>
  <c r="J37" i="8"/>
  <c r="J46" i="8"/>
  <c r="BC121" i="8"/>
  <c r="AR92" i="8"/>
  <c r="J144" i="8"/>
  <c r="BC156" i="8"/>
  <c r="J85" i="8"/>
  <c r="J93" i="8"/>
  <c r="J101" i="8"/>
  <c r="J109" i="8"/>
  <c r="J162" i="8"/>
  <c r="BD168" i="8"/>
  <c r="AR148" i="8"/>
  <c r="AU148" i="8" s="1"/>
  <c r="AV148" i="8" s="1"/>
  <c r="AW148" i="8" s="1"/>
  <c r="J172" i="8"/>
  <c r="AR153" i="8"/>
  <c r="AU153" i="8" s="1"/>
  <c r="AV153" i="8" s="1"/>
  <c r="AW153" i="8" s="1"/>
  <c r="J167" i="8"/>
  <c r="BD173" i="8"/>
  <c r="AR211" i="8"/>
  <c r="AU211" i="8" s="1"/>
  <c r="AV211" i="8" s="1"/>
  <c r="AW211" i="8" s="1"/>
  <c r="J262" i="8"/>
  <c r="BD241" i="8"/>
  <c r="AR261" i="8"/>
  <c r="AU261" i="8" s="1"/>
  <c r="AV261" i="8" s="1"/>
  <c r="AW261" i="8" s="1"/>
  <c r="J292" i="8"/>
  <c r="BC292" i="8"/>
  <c r="J297" i="8"/>
  <c r="BC298" i="8"/>
  <c r="BD310" i="8"/>
  <c r="BC329" i="8"/>
  <c r="J331" i="8"/>
  <c r="BC365" i="8"/>
  <c r="BD381" i="8"/>
  <c r="BD389" i="8"/>
  <c r="J387" i="8"/>
  <c r="J377" i="8"/>
  <c r="J386" i="8"/>
  <c r="AR371" i="8"/>
  <c r="J370" i="8"/>
  <c r="J369" i="8"/>
  <c r="BD368" i="8"/>
  <c r="J367" i="8"/>
  <c r="AR355" i="8"/>
  <c r="AU355" i="8" s="1"/>
  <c r="AV355" i="8" s="1"/>
  <c r="AW355" i="8" s="1"/>
  <c r="J391" i="8"/>
  <c r="BD397" i="8"/>
  <c r="BD392" i="8"/>
  <c r="EV9" i="3"/>
  <c r="BO9" i="3"/>
  <c r="K9" i="3"/>
  <c r="DH9" i="3"/>
  <c r="BG9" i="3"/>
  <c r="AP9" i="3"/>
  <c r="DB9" i="3"/>
  <c r="T9" i="3"/>
  <c r="CF9" i="3"/>
  <c r="ER9" i="3"/>
  <c r="BA9" i="3"/>
  <c r="DM9" i="3"/>
  <c r="V9" i="3"/>
  <c r="CH9" i="3"/>
  <c r="ET9" i="3"/>
  <c r="BC9" i="3"/>
  <c r="DO9" i="3"/>
  <c r="Y9" i="3"/>
  <c r="CK9" i="3"/>
  <c r="EW9" i="3"/>
  <c r="W35" i="4"/>
  <c r="V35" i="4"/>
  <c r="T35" i="4"/>
  <c r="S35" i="4"/>
  <c r="R35" i="4"/>
  <c r="BC45" i="4"/>
  <c r="J60" i="4"/>
  <c r="V65" i="4"/>
  <c r="T65" i="4"/>
  <c r="S65" i="4"/>
  <c r="R65" i="4"/>
  <c r="W65" i="4"/>
  <c r="J88" i="4"/>
  <c r="BD88" i="4"/>
  <c r="J139" i="4"/>
  <c r="J158" i="4"/>
  <c r="AE177" i="4"/>
  <c r="AS177" i="4"/>
  <c r="AR177" i="4" s="1"/>
  <c r="AU177" i="4" s="1"/>
  <c r="AV177" i="4" s="1"/>
  <c r="AW177" i="4" s="1"/>
  <c r="AE258" i="4"/>
  <c r="AS258" i="4"/>
  <c r="AR258" i="4" s="1"/>
  <c r="AU258" i="4" s="1"/>
  <c r="AV258" i="4" s="1"/>
  <c r="AW258" i="4" s="1"/>
  <c r="BC314" i="4"/>
  <c r="AU314" i="4"/>
  <c r="AV314" i="4" s="1"/>
  <c r="AW314" i="4" s="1"/>
  <c r="BD349" i="4"/>
  <c r="J316" i="4"/>
  <c r="BC383" i="4"/>
  <c r="BC392" i="4"/>
  <c r="AU392" i="4"/>
  <c r="AV392" i="4" s="1"/>
  <c r="AW392" i="4" s="1"/>
  <c r="J397" i="4"/>
  <c r="J349" i="8"/>
  <c r="BD221" i="8"/>
  <c r="J216" i="8"/>
  <c r="J132" i="8"/>
  <c r="BD85" i="8"/>
  <c r="J270" i="8"/>
  <c r="J32" i="4"/>
  <c r="J30" i="4"/>
  <c r="J65" i="4"/>
  <c r="J93" i="4"/>
  <c r="AE72" i="4"/>
  <c r="AS72" i="4"/>
  <c r="BC190" i="4"/>
  <c r="AS135" i="4"/>
  <c r="AR135" i="4" s="1"/>
  <c r="AU135" i="4" s="1"/>
  <c r="AV135" i="4" s="1"/>
  <c r="AW135" i="4" s="1"/>
  <c r="AE135" i="4"/>
  <c r="BC119" i="4"/>
  <c r="BD195" i="4"/>
  <c r="J163" i="4"/>
  <c r="BC163" i="4"/>
  <c r="BC240" i="4"/>
  <c r="J226" i="4"/>
  <c r="J254" i="4"/>
  <c r="BD297" i="4"/>
  <c r="BC328" i="4"/>
  <c r="J344" i="4"/>
  <c r="BD371" i="4"/>
  <c r="J381" i="4"/>
  <c r="BC272" i="8"/>
  <c r="J272" i="8"/>
  <c r="J245" i="8"/>
  <c r="T25" i="4"/>
  <c r="S25" i="4"/>
  <c r="R25" i="4"/>
  <c r="W25" i="4"/>
  <c r="V25" i="4"/>
  <c r="R18" i="4"/>
  <c r="W18" i="4"/>
  <c r="V18" i="4"/>
  <c r="T18" i="4"/>
  <c r="S18" i="4"/>
  <c r="T49" i="4"/>
  <c r="J68" i="4"/>
  <c r="J107" i="4"/>
  <c r="BC125" i="4"/>
  <c r="AR125" i="4"/>
  <c r="AU125" i="4" s="1"/>
  <c r="AV125" i="4" s="1"/>
  <c r="AW125" i="4" s="1"/>
  <c r="J162" i="4"/>
  <c r="AR180" i="4"/>
  <c r="AU180" i="4" s="1"/>
  <c r="AV180" i="4" s="1"/>
  <c r="AW180" i="4" s="1"/>
  <c r="J244" i="4"/>
  <c r="BD244" i="4"/>
  <c r="J274" i="4"/>
  <c r="AR328" i="4"/>
  <c r="AU328" i="4" s="1"/>
  <c r="AV328" i="4" s="1"/>
  <c r="AW328" i="4" s="1"/>
  <c r="J377" i="4"/>
  <c r="AS371" i="4"/>
  <c r="AR371" i="4" s="1"/>
  <c r="AU371" i="4" s="1"/>
  <c r="AV371" i="4" s="1"/>
  <c r="AW371" i="4" s="1"/>
  <c r="AE371" i="4"/>
  <c r="BD363" i="4"/>
  <c r="J398" i="4"/>
  <c r="J250" i="8"/>
  <c r="BC77" i="8"/>
  <c r="BD10" i="8"/>
  <c r="J78" i="4"/>
  <c r="BC22" i="4"/>
  <c r="J41" i="4"/>
  <c r="AE47" i="4"/>
  <c r="BC120" i="4"/>
  <c r="J140" i="4"/>
  <c r="BC166" i="4"/>
  <c r="BD132" i="4"/>
  <c r="BC171" i="4"/>
  <c r="J191" i="4"/>
  <c r="BD226" i="4"/>
  <c r="J214" i="4"/>
  <c r="J271" i="4"/>
  <c r="BD316" i="4"/>
  <c r="J315" i="4"/>
  <c r="J288" i="4"/>
  <c r="J193" i="8"/>
  <c r="BC114" i="8"/>
  <c r="J114" i="8"/>
  <c r="BD82" i="8"/>
  <c r="J189" i="8"/>
  <c r="J228" i="8"/>
  <c r="W64" i="4"/>
  <c r="V64" i="4"/>
  <c r="T64" i="4"/>
  <c r="S64" i="4"/>
  <c r="R64" i="4"/>
  <c r="R26" i="4"/>
  <c r="W26" i="4"/>
  <c r="V26" i="4"/>
  <c r="T26" i="4"/>
  <c r="S26" i="4"/>
  <c r="BB44" i="4"/>
  <c r="AQ85" i="4"/>
  <c r="BD85" i="4" s="1"/>
  <c r="BD96" i="4"/>
  <c r="BD163" i="4"/>
  <c r="AS166" i="4"/>
  <c r="AR166" i="4" s="1"/>
  <c r="AU166" i="4" s="1"/>
  <c r="AV166" i="4" s="1"/>
  <c r="AW166" i="4" s="1"/>
  <c r="AE166" i="4"/>
  <c r="BC131" i="4"/>
  <c r="BC136" i="4"/>
  <c r="J207" i="4"/>
  <c r="BC209" i="4"/>
  <c r="BD177" i="4"/>
  <c r="BC241" i="4"/>
  <c r="AE246" i="4"/>
  <c r="AS246" i="4"/>
  <c r="AR246" i="4" s="1"/>
  <c r="AU246" i="4" s="1"/>
  <c r="AV246" i="4" s="1"/>
  <c r="AW246" i="4" s="1"/>
  <c r="BC298" i="4"/>
  <c r="BC44" i="4"/>
  <c r="V51" i="4"/>
  <c r="S51" i="4"/>
  <c r="W51" i="4"/>
  <c r="T51" i="4"/>
  <c r="R51" i="4"/>
  <c r="C10" i="3"/>
  <c r="U46" i="4"/>
  <c r="C11" i="3" s="1"/>
  <c r="BA46" i="4"/>
  <c r="BC7" i="4"/>
  <c r="AE45" i="4"/>
  <c r="AS45" i="4"/>
  <c r="BC82" i="4"/>
  <c r="J67" i="4"/>
  <c r="AS154" i="4"/>
  <c r="AR154" i="4" s="1"/>
  <c r="AU154" i="4" s="1"/>
  <c r="AV154" i="4" s="1"/>
  <c r="AW154" i="4" s="1"/>
  <c r="AE154" i="4"/>
  <c r="AE140" i="4"/>
  <c r="AS140" i="4"/>
  <c r="AR140" i="4" s="1"/>
  <c r="AU140" i="4" s="1"/>
  <c r="AV140" i="4" s="1"/>
  <c r="AW140" i="4" s="1"/>
  <c r="BC179" i="4"/>
  <c r="AR179" i="4"/>
  <c r="AU179" i="4" s="1"/>
  <c r="AV179" i="4" s="1"/>
  <c r="AW179" i="4" s="1"/>
  <c r="BD256" i="4"/>
  <c r="AS207" i="4"/>
  <c r="AE207" i="4"/>
  <c r="BC197" i="4"/>
  <c r="BC253" i="4"/>
  <c r="J246" i="4"/>
  <c r="BC246" i="4"/>
  <c r="BD305" i="4"/>
  <c r="AS276" i="4"/>
  <c r="AR276" i="4" s="1"/>
  <c r="AU276" i="4" s="1"/>
  <c r="AV276" i="4" s="1"/>
  <c r="AW276" i="4" s="1"/>
  <c r="AE276" i="4"/>
  <c r="AS351" i="4"/>
  <c r="AR351" i="4" s="1"/>
  <c r="AU351" i="4" s="1"/>
  <c r="AV351" i="4" s="1"/>
  <c r="AW351" i="4" s="1"/>
  <c r="AE351" i="4"/>
  <c r="J336" i="4"/>
  <c r="J376" i="4"/>
  <c r="BC380" i="4"/>
  <c r="R6" i="4"/>
  <c r="W6" i="4"/>
  <c r="V6" i="4"/>
  <c r="T6" i="4"/>
  <c r="S6" i="4"/>
  <c r="AP51" i="4"/>
  <c r="AE52" i="4"/>
  <c r="J76" i="4"/>
  <c r="BC97" i="4"/>
  <c r="AR97" i="4"/>
  <c r="AU97" i="4" s="1"/>
  <c r="AV97" i="4" s="1"/>
  <c r="AW97" i="4" s="1"/>
  <c r="R87" i="4"/>
  <c r="W87" i="4"/>
  <c r="V87" i="4"/>
  <c r="T87" i="4"/>
  <c r="S87" i="4"/>
  <c r="BC94" i="4"/>
  <c r="AR94" i="4"/>
  <c r="AU94" i="4" s="1"/>
  <c r="AV94" i="4" s="1"/>
  <c r="AW94" i="4" s="1"/>
  <c r="BC107" i="4"/>
  <c r="BD141" i="4"/>
  <c r="AR171" i="4"/>
  <c r="AU171" i="4" s="1"/>
  <c r="AV171" i="4" s="1"/>
  <c r="AW171" i="4" s="1"/>
  <c r="J161" i="4"/>
  <c r="BC219" i="4"/>
  <c r="AR219" i="4"/>
  <c r="AU219" i="4" s="1"/>
  <c r="AV219" i="4" s="1"/>
  <c r="AW219" i="4" s="1"/>
  <c r="J211" i="4"/>
  <c r="J328" i="4"/>
  <c r="AS342" i="4"/>
  <c r="AR342" i="4" s="1"/>
  <c r="AU342" i="4" s="1"/>
  <c r="AV342" i="4" s="1"/>
  <c r="AW342" i="4" s="1"/>
  <c r="AE342" i="4"/>
  <c r="BC347" i="4"/>
  <c r="AR347" i="4"/>
  <c r="AU347" i="4" s="1"/>
  <c r="AV347" i="4" s="1"/>
  <c r="AW347" i="4" s="1"/>
  <c r="BC379" i="4"/>
  <c r="BD386" i="4"/>
  <c r="AS394" i="4"/>
  <c r="AR394" i="4" s="1"/>
  <c r="AU394" i="4" s="1"/>
  <c r="AV394" i="4" s="1"/>
  <c r="AW394" i="4" s="1"/>
  <c r="AE394" i="4"/>
  <c r="BC52" i="4"/>
  <c r="AE28" i="4"/>
  <c r="J87" i="4"/>
  <c r="BC161" i="4"/>
  <c r="AR197" i="4"/>
  <c r="AU197" i="4" s="1"/>
  <c r="AV197" i="4" s="1"/>
  <c r="AW197" i="4" s="1"/>
  <c r="BC176" i="4"/>
  <c r="AU176" i="4"/>
  <c r="AV176" i="4" s="1"/>
  <c r="AW176" i="4" s="1"/>
  <c r="AE202" i="4"/>
  <c r="AS202" i="4"/>
  <c r="AR202" i="4" s="1"/>
  <c r="AU202" i="4" s="1"/>
  <c r="AV202" i="4" s="1"/>
  <c r="AW202" i="4" s="1"/>
  <c r="BC244" i="4"/>
  <c r="BC274" i="4"/>
  <c r="AE312" i="4"/>
  <c r="AS312" i="4"/>
  <c r="AR312" i="4" s="1"/>
  <c r="AU312" i="4" s="1"/>
  <c r="AV312" i="4" s="1"/>
  <c r="AW312" i="4" s="1"/>
  <c r="J368" i="4"/>
  <c r="BD372" i="4"/>
  <c r="BC385" i="4"/>
  <c r="J252" i="8"/>
  <c r="J246" i="8"/>
  <c r="J116" i="8"/>
  <c r="J128" i="8"/>
  <c r="J227" i="8"/>
  <c r="BD22" i="8"/>
  <c r="J263" i="8"/>
  <c r="J356" i="8"/>
  <c r="J12" i="8"/>
  <c r="U78" i="4"/>
  <c r="AS78" i="4" s="1"/>
  <c r="AR78" i="4" s="1"/>
  <c r="AU78" i="4" s="1"/>
  <c r="AV78" i="4" s="1"/>
  <c r="AW78" i="4" s="1"/>
  <c r="BA78" i="4"/>
  <c r="BA86" i="4"/>
  <c r="U86" i="4"/>
  <c r="BC37" i="4"/>
  <c r="BC29" i="4"/>
  <c r="T53" i="4"/>
  <c r="J138" i="8"/>
  <c r="J255" i="8"/>
  <c r="J240" i="8"/>
  <c r="BD377" i="8"/>
  <c r="AE33" i="4"/>
  <c r="J285" i="8"/>
  <c r="BC141" i="8"/>
  <c r="AN141" i="8"/>
  <c r="AO141" i="8" s="1"/>
  <c r="BC127" i="8"/>
  <c r="AR127" i="8"/>
  <c r="AU127" i="8" s="1"/>
  <c r="AV127" i="8" s="1"/>
  <c r="AW127" i="8" s="1"/>
  <c r="BC118" i="8"/>
  <c r="J142" i="8"/>
  <c r="J284" i="8"/>
  <c r="J286" i="8"/>
  <c r="J5" i="8"/>
  <c r="T79" i="4"/>
  <c r="J354" i="8"/>
  <c r="AU278" i="8"/>
  <c r="AV278" i="8" s="1"/>
  <c r="AW278" i="8" s="1"/>
  <c r="BC278" i="8"/>
  <c r="J149" i="8"/>
  <c r="BD126" i="8"/>
  <c r="J352" i="8"/>
  <c r="BD254" i="8"/>
  <c r="AR236" i="8"/>
  <c r="AU236" i="8" s="1"/>
  <c r="AV236" i="8" s="1"/>
  <c r="AW236" i="8" s="1"/>
  <c r="J179" i="8"/>
  <c r="BD104" i="8"/>
  <c r="AU14" i="8"/>
  <c r="AV14" i="8" s="1"/>
  <c r="AW14" i="8" s="1"/>
  <c r="BC14" i="8"/>
  <c r="BD76" i="8"/>
  <c r="BD276" i="8"/>
  <c r="J360" i="8"/>
  <c r="R37" i="4"/>
  <c r="V67" i="4"/>
  <c r="W5" i="7"/>
  <c r="S7" i="4"/>
  <c r="T13" i="4"/>
  <c r="BD324" i="8"/>
  <c r="DI10" i="1"/>
  <c r="CS10" i="1"/>
  <c r="CK10" i="1"/>
  <c r="CC10" i="1"/>
  <c r="BU10" i="1"/>
  <c r="BM10" i="1"/>
  <c r="AW10" i="1"/>
  <c r="AG10" i="1"/>
  <c r="Y10" i="1"/>
  <c r="Q10" i="1"/>
  <c r="I10" i="1"/>
  <c r="DP10" i="1"/>
  <c r="CZ10" i="1"/>
  <c r="CJ10" i="1"/>
  <c r="CB10" i="1"/>
  <c r="BT10" i="1"/>
  <c r="BL10" i="1"/>
  <c r="BD10" i="1"/>
  <c r="AN10" i="1"/>
  <c r="X10" i="1"/>
  <c r="P10" i="1"/>
  <c r="H10" i="1"/>
  <c r="DO10" i="1"/>
  <c r="DG10" i="1"/>
  <c r="CQ10" i="1"/>
  <c r="CA10" i="1"/>
  <c r="BS10" i="1"/>
  <c r="BK10" i="1"/>
  <c r="BC10" i="1"/>
  <c r="AU10" i="1"/>
  <c r="AE10" i="1"/>
  <c r="O10" i="1"/>
  <c r="G10" i="1"/>
  <c r="DN10" i="1"/>
  <c r="DF10" i="1"/>
  <c r="CX10" i="1"/>
  <c r="CH10" i="1"/>
  <c r="BR10" i="1"/>
  <c r="BJ10" i="1"/>
  <c r="BB10" i="1"/>
  <c r="AT10" i="1"/>
  <c r="AL10" i="1"/>
  <c r="V10" i="1"/>
  <c r="F10" i="1"/>
  <c r="DM10" i="1"/>
  <c r="DE10" i="1"/>
  <c r="CW10" i="1"/>
  <c r="CO10" i="1"/>
  <c r="BY10" i="1"/>
  <c r="BI10" i="1"/>
  <c r="BA10" i="1"/>
  <c r="AS10" i="1"/>
  <c r="AK10" i="1"/>
  <c r="AC10" i="1"/>
  <c r="M10" i="1"/>
  <c r="E10" i="1"/>
  <c r="DQ10" i="1" s="1"/>
  <c r="DT10" i="1"/>
  <c r="DL10" i="1"/>
  <c r="DD10" i="1"/>
  <c r="CV10" i="1"/>
  <c r="CN10" i="1"/>
  <c r="BX10" i="1"/>
  <c r="BP10" i="1"/>
  <c r="BH10" i="1"/>
  <c r="AZ10" i="1"/>
  <c r="AR10" i="1"/>
  <c r="AJ10" i="1"/>
  <c r="AB10" i="1"/>
  <c r="L10" i="1"/>
  <c r="DS10" i="1"/>
  <c r="DK10" i="1"/>
  <c r="DC10" i="1"/>
  <c r="CU10" i="1"/>
  <c r="CM10" i="1"/>
  <c r="CE10" i="1"/>
  <c r="BO10" i="1"/>
  <c r="BG10" i="1"/>
  <c r="AY10" i="1"/>
  <c r="AQ10" i="1"/>
  <c r="AI10" i="1"/>
  <c r="AA10" i="1"/>
  <c r="S10" i="1"/>
  <c r="DR10" i="1"/>
  <c r="DJ10" i="1"/>
  <c r="DB10" i="1"/>
  <c r="CT10" i="1"/>
  <c r="CL10" i="1"/>
  <c r="CD10" i="1"/>
  <c r="BV10" i="1"/>
  <c r="BF10" i="1"/>
  <c r="AX10" i="1"/>
  <c r="AP10" i="1"/>
  <c r="AH10" i="1"/>
  <c r="Z10" i="1"/>
  <c r="R10" i="1"/>
  <c r="J10" i="1"/>
  <c r="R11" i="4"/>
  <c r="T5" i="4"/>
  <c r="S5" i="4"/>
  <c r="D10" i="2" s="1"/>
  <c r="V5" i="4"/>
  <c r="W5" i="4"/>
  <c r="R5" i="4"/>
  <c r="C10" i="2" s="1"/>
  <c r="BC28" i="4"/>
  <c r="BC26" i="4"/>
  <c r="BC43" i="4"/>
  <c r="BC15" i="4"/>
  <c r="U28" i="4"/>
  <c r="AS28" i="4" s="1"/>
  <c r="AR28" i="4" s="1"/>
  <c r="AU28" i="4" s="1"/>
  <c r="AV28" i="4" s="1"/>
  <c r="AW28" i="4" s="1"/>
  <c r="BA28" i="4"/>
  <c r="J64" i="4"/>
  <c r="AE108" i="4"/>
  <c r="AS108" i="4"/>
  <c r="AR108" i="4" s="1"/>
  <c r="AU108" i="4" s="1"/>
  <c r="AV108" i="4" s="1"/>
  <c r="AW108" i="4" s="1"/>
  <c r="W63" i="4"/>
  <c r="V63" i="4"/>
  <c r="T63" i="4"/>
  <c r="S63" i="4"/>
  <c r="R63" i="4"/>
  <c r="J116" i="4"/>
  <c r="BC194" i="4"/>
  <c r="BC188" i="4"/>
  <c r="AU188" i="4"/>
  <c r="AV188" i="4" s="1"/>
  <c r="AW188" i="4" s="1"/>
  <c r="J209" i="4"/>
  <c r="BD248" i="4"/>
  <c r="AS273" i="4"/>
  <c r="AR273" i="4" s="1"/>
  <c r="AU273" i="4" s="1"/>
  <c r="AV273" i="4" s="1"/>
  <c r="AW273" i="4" s="1"/>
  <c r="AE273" i="4"/>
  <c r="J285" i="4"/>
  <c r="BC318" i="4"/>
  <c r="AU318" i="4"/>
  <c r="AV318" i="4" s="1"/>
  <c r="AW318" i="4" s="1"/>
  <c r="BD398" i="4"/>
  <c r="J341" i="8"/>
  <c r="J316" i="8"/>
  <c r="AR232" i="8"/>
  <c r="AU232" i="8" s="1"/>
  <c r="AV232" i="8" s="1"/>
  <c r="AW232" i="8" s="1"/>
  <c r="BC232" i="8"/>
  <c r="J254" i="8"/>
  <c r="J236" i="8"/>
  <c r="BD292" i="8"/>
  <c r="BC63" i="4"/>
  <c r="BC33" i="4"/>
  <c r="BC75" i="4"/>
  <c r="V53" i="4"/>
  <c r="BD216" i="8"/>
  <c r="J271" i="8"/>
  <c r="BA33" i="4"/>
  <c r="U33" i="4"/>
  <c r="AS33" i="4" s="1"/>
  <c r="AR242" i="8"/>
  <c r="AU242" i="8" s="1"/>
  <c r="AV242" i="8" s="1"/>
  <c r="AW242" i="8" s="1"/>
  <c r="J231" i="8"/>
  <c r="BC231" i="8"/>
  <c r="AR257" i="8"/>
  <c r="AU257" i="8" s="1"/>
  <c r="AV257" i="8" s="1"/>
  <c r="AW257" i="8" s="1"/>
  <c r="AR224" i="8"/>
  <c r="AU224" i="8" s="1"/>
  <c r="AV224" i="8" s="1"/>
  <c r="AW224" i="8" s="1"/>
  <c r="AU135" i="8"/>
  <c r="AV135" i="8" s="1"/>
  <c r="AW135" i="8" s="1"/>
  <c r="BD92" i="8"/>
  <c r="J119" i="8"/>
  <c r="BD119" i="8"/>
  <c r="V79" i="4"/>
  <c r="BC336" i="8"/>
  <c r="AR336" i="8"/>
  <c r="AU336" i="8" s="1"/>
  <c r="AV336" i="8" s="1"/>
  <c r="AW336" i="8" s="1"/>
  <c r="J283" i="8"/>
  <c r="J206" i="8"/>
  <c r="BC124" i="8"/>
  <c r="AR124" i="8"/>
  <c r="AU124" i="8" s="1"/>
  <c r="AV124" i="8" s="1"/>
  <c r="AW124" i="8" s="1"/>
  <c r="BD101" i="8"/>
  <c r="BC24" i="7"/>
  <c r="AR241" i="4"/>
  <c r="AU241" i="4" s="1"/>
  <c r="AV241" i="4" s="1"/>
  <c r="AW241" i="4" s="1"/>
  <c r="AR340" i="8"/>
  <c r="AU340" i="8" s="1"/>
  <c r="AV340" i="8" s="1"/>
  <c r="AW340" i="8" s="1"/>
  <c r="BC340" i="8"/>
  <c r="J317" i="8"/>
  <c r="J210" i="8"/>
  <c r="J279" i="8"/>
  <c r="J155" i="8"/>
  <c r="AR219" i="8"/>
  <c r="AU219" i="8" s="1"/>
  <c r="AV219" i="8" s="1"/>
  <c r="AW219" i="8" s="1"/>
  <c r="CD12" i="6"/>
  <c r="AI12" i="6"/>
  <c r="CU12" i="6"/>
  <c r="AZ12" i="6"/>
  <c r="DM12" i="6"/>
  <c r="BI12" i="6"/>
  <c r="F12" i="6"/>
  <c r="BR12" i="6"/>
  <c r="BD20" i="8"/>
  <c r="J362" i="8"/>
  <c r="S37" i="4"/>
  <c r="W67" i="4"/>
  <c r="S5" i="7"/>
  <c r="T7" i="4"/>
  <c r="V21" i="4"/>
  <c r="BI9" i="2"/>
  <c r="ED9" i="2"/>
  <c r="BJ9" i="2"/>
  <c r="EF9" i="2"/>
  <c r="BK9" i="2"/>
  <c r="EH9" i="2"/>
  <c r="BL9" i="2"/>
  <c r="H9" i="2"/>
  <c r="BW9" i="2"/>
  <c r="BE9" i="2"/>
  <c r="DQ9" i="2"/>
  <c r="BD333" i="8"/>
  <c r="AP13" i="6"/>
  <c r="BU13" i="6"/>
  <c r="DJ13" i="6"/>
  <c r="AB13" i="6"/>
  <c r="BR13" i="6"/>
  <c r="DH13" i="6"/>
  <c r="Z13" i="6"/>
  <c r="BE13" i="6"/>
  <c r="CJ13" i="6"/>
  <c r="X13" i="6"/>
  <c r="CH13" i="6"/>
  <c r="V13" i="6"/>
  <c r="E13" i="6"/>
  <c r="C14" i="6" s="1"/>
  <c r="G13" i="6"/>
  <c r="AS13" i="6"/>
  <c r="AE13" i="6"/>
  <c r="AK13" i="6"/>
  <c r="AC13" i="6"/>
  <c r="BQ12" i="6"/>
  <c r="N12" i="6"/>
  <c r="BZ12" i="6"/>
  <c r="BD116" i="8"/>
  <c r="BD374" i="8"/>
  <c r="T5" i="7"/>
  <c r="V7" i="4"/>
  <c r="W21" i="4"/>
  <c r="BS9" i="2"/>
  <c r="F9" i="2"/>
  <c r="BT9" i="2"/>
  <c r="G9" i="2"/>
  <c r="BV9" i="2"/>
  <c r="P9" i="2"/>
  <c r="CF9" i="2"/>
  <c r="BM9" i="2"/>
  <c r="DY9" i="2"/>
  <c r="AR26" i="7"/>
  <c r="J39" i="8"/>
  <c r="J8" i="7"/>
  <c r="BC15" i="7"/>
  <c r="D22" i="5"/>
  <c r="J30" i="8"/>
  <c r="J67" i="8"/>
  <c r="J106" i="8"/>
  <c r="J269" i="8"/>
  <c r="BD269" i="8"/>
  <c r="J311" i="8"/>
  <c r="J366" i="8"/>
  <c r="J371" i="4"/>
  <c r="J29" i="4"/>
  <c r="R30" i="4"/>
  <c r="W30" i="4"/>
  <c r="V30" i="4"/>
  <c r="T30" i="4"/>
  <c r="S30" i="4"/>
  <c r="J173" i="4"/>
  <c r="AE260" i="4"/>
  <c r="AS260" i="4"/>
  <c r="AR260" i="4" s="1"/>
  <c r="AU260" i="4" s="1"/>
  <c r="AV260" i="4" s="1"/>
  <c r="AW260" i="4" s="1"/>
  <c r="J333" i="4"/>
  <c r="BC370" i="4"/>
  <c r="J395" i="4"/>
  <c r="J379" i="4"/>
  <c r="J98" i="4"/>
  <c r="J312" i="4"/>
  <c r="J17" i="4"/>
  <c r="J383" i="4"/>
  <c r="J145" i="4"/>
  <c r="BC115" i="4"/>
  <c r="AE225" i="4"/>
  <c r="AS225" i="4"/>
  <c r="AR225" i="4" s="1"/>
  <c r="AU225" i="4" s="1"/>
  <c r="AV225" i="4" s="1"/>
  <c r="AW225" i="4" s="1"/>
  <c r="BC245" i="4"/>
  <c r="J8" i="8"/>
  <c r="J42" i="8"/>
  <c r="J55" i="8"/>
  <c r="J95" i="8"/>
  <c r="J111" i="8"/>
  <c r="J174" i="8"/>
  <c r="J268" i="8"/>
  <c r="J273" i="8"/>
  <c r="BD302" i="8"/>
  <c r="J373" i="8"/>
  <c r="J388" i="8"/>
  <c r="J50" i="4"/>
  <c r="J72" i="4"/>
  <c r="AE165" i="4"/>
  <c r="AS165" i="4"/>
  <c r="AR165" i="4" s="1"/>
  <c r="AU165" i="4" s="1"/>
  <c r="AV165" i="4" s="1"/>
  <c r="AW165" i="4" s="1"/>
  <c r="BC135" i="4"/>
  <c r="BC251" i="4"/>
  <c r="J289" i="8"/>
  <c r="BD174" i="8"/>
  <c r="J309" i="4"/>
  <c r="BC371" i="4"/>
  <c r="AS366" i="4"/>
  <c r="AR366" i="4" s="1"/>
  <c r="AU366" i="4" s="1"/>
  <c r="AV366" i="4" s="1"/>
  <c r="AW366" i="4" s="1"/>
  <c r="AE366" i="4"/>
  <c r="AE84" i="4"/>
  <c r="BC92" i="4"/>
  <c r="J198" i="4"/>
  <c r="J52" i="4"/>
  <c r="J61" i="4"/>
  <c r="BC302" i="4"/>
  <c r="AU302" i="4"/>
  <c r="AV302" i="4" s="1"/>
  <c r="AW302" i="4" s="1"/>
  <c r="AS354" i="4"/>
  <c r="AR354" i="4" s="1"/>
  <c r="AU354" i="4" s="1"/>
  <c r="AV354" i="4" s="1"/>
  <c r="AW354" i="4" s="1"/>
  <c r="AE354" i="4"/>
  <c r="AE152" i="4"/>
  <c r="AS152" i="4"/>
  <c r="AR152" i="4" s="1"/>
  <c r="AU152" i="4" s="1"/>
  <c r="AV152" i="4" s="1"/>
  <c r="AW152" i="4" s="1"/>
  <c r="BC261" i="4"/>
  <c r="BC276" i="4"/>
  <c r="J347" i="4"/>
  <c r="AE374" i="4"/>
  <c r="AS374" i="4"/>
  <c r="AR374" i="4" s="1"/>
  <c r="AU374" i="4" s="1"/>
  <c r="AV374" i="4" s="1"/>
  <c r="AW374" i="4" s="1"/>
  <c r="BC396" i="4"/>
  <c r="AU396" i="4"/>
  <c r="AV396" i="4" s="1"/>
  <c r="AW396" i="4" s="1"/>
  <c r="E12" i="1"/>
  <c r="C13" i="1" s="1"/>
  <c r="BP12" i="1"/>
  <c r="DS12" i="1"/>
  <c r="BG12" i="1"/>
  <c r="DJ12" i="1"/>
  <c r="AX12" i="1"/>
  <c r="DA12" i="1"/>
  <c r="AO12" i="1"/>
  <c r="CR12" i="1"/>
  <c r="AF12" i="1"/>
  <c r="CI12" i="1"/>
  <c r="W12" i="1"/>
  <c r="BZ12" i="1"/>
  <c r="N12" i="1"/>
  <c r="AE46" i="4"/>
  <c r="BC39" i="4"/>
  <c r="BC99" i="4"/>
  <c r="J133" i="4"/>
  <c r="BC294" i="4"/>
  <c r="AU294" i="4"/>
  <c r="AV294" i="4" s="1"/>
  <c r="AW294" i="4" s="1"/>
  <c r="J49" i="4"/>
  <c r="U40" i="4"/>
  <c r="AS40" i="4" s="1"/>
  <c r="BA40" i="4"/>
  <c r="J273" i="4"/>
  <c r="BC309" i="4"/>
  <c r="BD46" i="4"/>
  <c r="D22" i="3"/>
  <c r="J264" i="4"/>
  <c r="BD362" i="4"/>
  <c r="BC389" i="4"/>
  <c r="J141" i="8"/>
  <c r="J185" i="8"/>
  <c r="BC33" i="7"/>
  <c r="BC280" i="8"/>
  <c r="J280" i="8"/>
  <c r="BC28" i="8"/>
  <c r="AZ21" i="7"/>
  <c r="J24" i="8"/>
  <c r="J69" i="8"/>
  <c r="AU92" i="8"/>
  <c r="AV92" i="8" s="1"/>
  <c r="AW92" i="8" s="1"/>
  <c r="BD51" i="8"/>
  <c r="BD59" i="8"/>
  <c r="J47" i="8"/>
  <c r="BD72" i="8"/>
  <c r="J84" i="8"/>
  <c r="J92" i="8"/>
  <c r="J100" i="8"/>
  <c r="J108" i="8"/>
  <c r="AU175" i="8"/>
  <c r="AV175" i="8" s="1"/>
  <c r="AW175" i="8" s="1"/>
  <c r="J171" i="8"/>
  <c r="BD180" i="8"/>
  <c r="AR185" i="8"/>
  <c r="J293" i="8"/>
  <c r="J301" i="8"/>
  <c r="J304" i="8"/>
  <c r="BD306" i="8"/>
  <c r="BC320" i="8"/>
  <c r="AU320" i="8"/>
  <c r="AV320" i="8" s="1"/>
  <c r="AW320" i="8" s="1"/>
  <c r="J389" i="8"/>
  <c r="J378" i="8"/>
  <c r="J368" i="8"/>
  <c r="BC378" i="8"/>
  <c r="J393" i="8"/>
  <c r="BD394" i="8"/>
  <c r="J400" i="8"/>
  <c r="AF9" i="3"/>
  <c r="H9" i="3"/>
  <c r="DC9" i="3"/>
  <c r="AY9" i="3"/>
  <c r="EY9" i="3"/>
  <c r="BN9" i="3"/>
  <c r="DZ9" i="3"/>
  <c r="AR9" i="3"/>
  <c r="DD9" i="3"/>
  <c r="M9" i="3"/>
  <c r="BY9" i="3"/>
  <c r="EK9" i="3"/>
  <c r="AT9" i="3"/>
  <c r="DF9" i="3"/>
  <c r="O9" i="3"/>
  <c r="CA9" i="3"/>
  <c r="EM9" i="3"/>
  <c r="AW9" i="3"/>
  <c r="DI9" i="3"/>
  <c r="J20" i="4"/>
  <c r="V69" i="4"/>
  <c r="T69" i="4"/>
  <c r="S69" i="4"/>
  <c r="R69" i="4"/>
  <c r="W69" i="4"/>
  <c r="BC72" i="4"/>
  <c r="AE173" i="4"/>
  <c r="AS173" i="4"/>
  <c r="AR173" i="4" s="1"/>
  <c r="AU173" i="4" s="1"/>
  <c r="AV173" i="4" s="1"/>
  <c r="AW173" i="4" s="1"/>
  <c r="J324" i="4"/>
  <c r="J359" i="4"/>
  <c r="J366" i="4"/>
  <c r="BC366" i="4"/>
  <c r="BD395" i="4"/>
  <c r="AR227" i="8"/>
  <c r="AU227" i="8" s="1"/>
  <c r="AV227" i="8" s="1"/>
  <c r="AW227" i="8" s="1"/>
  <c r="BC227" i="8"/>
  <c r="J112" i="8"/>
  <c r="AU10" i="8"/>
  <c r="AV10" i="8" s="1"/>
  <c r="AW10" i="8" s="1"/>
  <c r="BC10" i="8"/>
  <c r="J196" i="8"/>
  <c r="J7" i="4"/>
  <c r="J13" i="4"/>
  <c r="J69" i="4"/>
  <c r="J75" i="4"/>
  <c r="J135" i="4"/>
  <c r="AE170" i="4"/>
  <c r="AS170" i="4"/>
  <c r="AR170" i="4" s="1"/>
  <c r="AR205" i="4"/>
  <c r="AU205" i="4" s="1"/>
  <c r="AV205" i="4" s="1"/>
  <c r="AW205" i="4" s="1"/>
  <c r="J270" i="4"/>
  <c r="BD270" i="4"/>
  <c r="J238" i="4"/>
  <c r="BC238" i="4"/>
  <c r="BD324" i="4"/>
  <c r="J341" i="4"/>
  <c r="AE345" i="4"/>
  <c r="AS345" i="4"/>
  <c r="AR345" i="4" s="1"/>
  <c r="AU345" i="4" s="1"/>
  <c r="AV345" i="4" s="1"/>
  <c r="AW345" i="4" s="1"/>
  <c r="BD359" i="4"/>
  <c r="AR362" i="4"/>
  <c r="BC391" i="4"/>
  <c r="J384" i="4"/>
  <c r="J348" i="8"/>
  <c r="BC222" i="8"/>
  <c r="J188" i="8"/>
  <c r="BC9" i="8"/>
  <c r="J9" i="8"/>
  <c r="BD9" i="8"/>
  <c r="BD172" i="8"/>
  <c r="W31" i="4"/>
  <c r="V31" i="4"/>
  <c r="T31" i="4"/>
  <c r="S31" i="4"/>
  <c r="R31" i="4"/>
  <c r="J47" i="4"/>
  <c r="J369" i="4"/>
  <c r="J361" i="4"/>
  <c r="J342" i="4"/>
  <c r="J356" i="4"/>
  <c r="J353" i="4"/>
  <c r="J280" i="4"/>
  <c r="J279" i="4"/>
  <c r="J322" i="4"/>
  <c r="J326" i="4"/>
  <c r="J212" i="4"/>
  <c r="J204" i="4"/>
  <c r="J208" i="4"/>
  <c r="J216" i="4"/>
  <c r="J146" i="4"/>
  <c r="J142" i="4"/>
  <c r="J138" i="4"/>
  <c r="J134" i="4"/>
  <c r="J130" i="4"/>
  <c r="J126" i="4"/>
  <c r="J122" i="4"/>
  <c r="J154" i="4"/>
  <c r="J168" i="4"/>
  <c r="J110" i="4"/>
  <c r="J118" i="4"/>
  <c r="J5" i="4"/>
  <c r="J172" i="4"/>
  <c r="J303" i="4"/>
  <c r="J327" i="4"/>
  <c r="J188" i="4"/>
  <c r="J180" i="4"/>
  <c r="J306" i="4"/>
  <c r="J321" i="4"/>
  <c r="J310" i="4"/>
  <c r="J106" i="4"/>
  <c r="J94" i="4"/>
  <c r="J277" i="4"/>
  <c r="J329" i="4"/>
  <c r="J352" i="4"/>
  <c r="J360" i="4"/>
  <c r="J192" i="4"/>
  <c r="J176" i="4"/>
  <c r="J184" i="4"/>
  <c r="J290" i="4"/>
  <c r="J357" i="4"/>
  <c r="J286" i="4"/>
  <c r="J307" i="4"/>
  <c r="J90" i="4"/>
  <c r="J201" i="4"/>
  <c r="J197" i="4"/>
  <c r="J224" i="4"/>
  <c r="J232" i="4"/>
  <c r="J323" i="4"/>
  <c r="J200" i="4"/>
  <c r="J234" i="4"/>
  <c r="J299" i="4"/>
  <c r="J291" i="4"/>
  <c r="J325" i="4"/>
  <c r="J330" i="4"/>
  <c r="J287" i="4"/>
  <c r="J340" i="4"/>
  <c r="J354" i="4"/>
  <c r="J346" i="4"/>
  <c r="J114" i="4"/>
  <c r="J298" i="4"/>
  <c r="J345" i="4"/>
  <c r="J281" i="4"/>
  <c r="J337" i="4"/>
  <c r="J311" i="4"/>
  <c r="J99" i="4"/>
  <c r="J103" i="4"/>
  <c r="J220" i="4"/>
  <c r="J230" i="4"/>
  <c r="J294" i="4"/>
  <c r="J302" i="4"/>
  <c r="J295" i="4"/>
  <c r="AE24" i="4"/>
  <c r="W49" i="4"/>
  <c r="AR105" i="4"/>
  <c r="AU105" i="4" s="1"/>
  <c r="AV105" i="4" s="1"/>
  <c r="AW105" i="4" s="1"/>
  <c r="J109" i="4"/>
  <c r="J156" i="4"/>
  <c r="BD165" i="4"/>
  <c r="BC162" i="4"/>
  <c r="J203" i="4"/>
  <c r="AU168" i="4"/>
  <c r="AV168" i="4" s="1"/>
  <c r="AW168" i="4" s="1"/>
  <c r="BC168" i="4"/>
  <c r="BD173" i="4"/>
  <c r="J252" i="4"/>
  <c r="BD252" i="4"/>
  <c r="BD273" i="4"/>
  <c r="J282" i="4"/>
  <c r="BC315" i="4"/>
  <c r="J331" i="4"/>
  <c r="AR335" i="8"/>
  <c r="AU335" i="8" s="1"/>
  <c r="AV335" i="8" s="1"/>
  <c r="AW335" i="8" s="1"/>
  <c r="BC335" i="8"/>
  <c r="J358" i="8"/>
  <c r="BD106" i="8"/>
  <c r="J16" i="4"/>
  <c r="BC20" i="4"/>
  <c r="BC30" i="4"/>
  <c r="BC31" i="4"/>
  <c r="BA80" i="4"/>
  <c r="BC121" i="4"/>
  <c r="J144" i="4"/>
  <c r="AS131" i="4"/>
  <c r="AR131" i="4" s="1"/>
  <c r="AU131" i="4" s="1"/>
  <c r="AV131" i="4" s="1"/>
  <c r="AW131" i="4" s="1"/>
  <c r="AE131" i="4"/>
  <c r="J170" i="4"/>
  <c r="J195" i="4"/>
  <c r="BC257" i="4"/>
  <c r="AR274" i="4"/>
  <c r="AU274" i="4" s="1"/>
  <c r="AV274" i="4" s="1"/>
  <c r="AW274" i="4" s="1"/>
  <c r="AE254" i="4"/>
  <c r="AS254" i="4"/>
  <c r="AR254" i="4" s="1"/>
  <c r="AU254" i="4" s="1"/>
  <c r="AV254" i="4" s="1"/>
  <c r="AW254" i="4" s="1"/>
  <c r="AR391" i="4"/>
  <c r="AU391" i="4" s="1"/>
  <c r="AV391" i="4" s="1"/>
  <c r="AW391" i="4" s="1"/>
  <c r="AS398" i="4"/>
  <c r="AR398" i="4" s="1"/>
  <c r="AU398" i="4" s="1"/>
  <c r="AV398" i="4" s="1"/>
  <c r="AW398" i="4" s="1"/>
  <c r="AE398" i="4"/>
  <c r="J195" i="8"/>
  <c r="J61" i="8"/>
  <c r="J217" i="8"/>
  <c r="J282" i="8"/>
  <c r="AQ16" i="4"/>
  <c r="BD16" i="4" s="1"/>
  <c r="AE32" i="4"/>
  <c r="BC69" i="4"/>
  <c r="J96" i="4"/>
  <c r="S76" i="4"/>
  <c r="AR88" i="4"/>
  <c r="AU88" i="4" s="1"/>
  <c r="AV88" i="4" s="1"/>
  <c r="AW88" i="4" s="1"/>
  <c r="BC80" i="4"/>
  <c r="J121" i="4"/>
  <c r="BC139" i="4"/>
  <c r="BD170" i="4"/>
  <c r="AR198" i="4"/>
  <c r="AU198" i="4" s="1"/>
  <c r="AV198" i="4" s="1"/>
  <c r="AW198" i="4" s="1"/>
  <c r="J261" i="4"/>
  <c r="BC222" i="4"/>
  <c r="AE236" i="4"/>
  <c r="AS236" i="4"/>
  <c r="AR236" i="4" s="1"/>
  <c r="AU236" i="4" s="1"/>
  <c r="AV236" i="4" s="1"/>
  <c r="AW236" i="4" s="1"/>
  <c r="BD276" i="4"/>
  <c r="BD267" i="4"/>
  <c r="J268" i="4"/>
  <c r="BD268" i="4"/>
  <c r="BC301" i="4"/>
  <c r="BC381" i="4"/>
  <c r="BC399" i="4"/>
  <c r="AU399" i="4"/>
  <c r="AV399" i="4" s="1"/>
  <c r="AW399" i="4" s="1"/>
  <c r="T17" i="4"/>
  <c r="S17" i="4"/>
  <c r="R17" i="4"/>
  <c r="W17" i="4"/>
  <c r="V17" i="4"/>
  <c r="J14" i="4"/>
  <c r="BC48" i="4"/>
  <c r="BC86" i="4"/>
  <c r="AR72" i="4"/>
  <c r="AU72" i="4" s="1"/>
  <c r="J83" i="4"/>
  <c r="AE132" i="4"/>
  <c r="AS132" i="4"/>
  <c r="AR132" i="4" s="1"/>
  <c r="AU132" i="4" s="1"/>
  <c r="AV132" i="4" s="1"/>
  <c r="AW132" i="4" s="1"/>
  <c r="AR128" i="4"/>
  <c r="AU128" i="4" s="1"/>
  <c r="AV128" i="4" s="1"/>
  <c r="AW128" i="4" s="1"/>
  <c r="BC140" i="4"/>
  <c r="J196" i="4"/>
  <c r="AU275" i="4"/>
  <c r="AV275" i="4" s="1"/>
  <c r="AW275" i="4" s="1"/>
  <c r="BC275" i="4"/>
  <c r="J275" i="4"/>
  <c r="AE238" i="4"/>
  <c r="AS238" i="4"/>
  <c r="AR238" i="4" s="1"/>
  <c r="AU238" i="4" s="1"/>
  <c r="AV238" i="4" s="1"/>
  <c r="AW238" i="4" s="1"/>
  <c r="J358" i="4"/>
  <c r="J318" i="4"/>
  <c r="J339" i="4"/>
  <c r="AA1" i="2"/>
  <c r="AB6" i="2"/>
  <c r="AC6" i="2" s="1"/>
  <c r="AD6" i="2" s="1"/>
  <c r="AE6" i="2" s="1"/>
  <c r="AF6" i="2" s="1"/>
  <c r="AG6" i="2" s="1"/>
  <c r="AH6" i="2" s="1"/>
  <c r="J57" i="4"/>
  <c r="AR99" i="4"/>
  <c r="AU99" i="4" s="1"/>
  <c r="AV99" i="4" s="1"/>
  <c r="AW99" i="4" s="1"/>
  <c r="AP62" i="4"/>
  <c r="BC104" i="4"/>
  <c r="J128" i="4"/>
  <c r="BD145" i="4"/>
  <c r="AE155" i="4"/>
  <c r="AS155" i="4"/>
  <c r="AR155" i="4" s="1"/>
  <c r="AU155" i="4" s="1"/>
  <c r="AV155" i="4" s="1"/>
  <c r="AW155" i="4" s="1"/>
  <c r="AR144" i="4"/>
  <c r="AU144" i="4" s="1"/>
  <c r="AV144" i="4" s="1"/>
  <c r="AW144" i="4" s="1"/>
  <c r="BC225" i="4"/>
  <c r="J193" i="4"/>
  <c r="BD235" i="4"/>
  <c r="BC319" i="4"/>
  <c r="BC350" i="4"/>
  <c r="AU350" i="4"/>
  <c r="AV350" i="4" s="1"/>
  <c r="AW350" i="4" s="1"/>
  <c r="AE381" i="4"/>
  <c r="AS381" i="4"/>
  <c r="J391" i="4"/>
  <c r="T11" i="4"/>
  <c r="J19" i="4"/>
  <c r="BB32" i="4"/>
  <c r="BC10" i="4"/>
  <c r="BC46" i="4"/>
  <c r="D19" i="3"/>
  <c r="BA72" i="4"/>
  <c r="AR162" i="4"/>
  <c r="AU162" i="4" s="1"/>
  <c r="AV162" i="4" s="1"/>
  <c r="AW162" i="4" s="1"/>
  <c r="AE169" i="4"/>
  <c r="AS169" i="4"/>
  <c r="AR169" i="4" s="1"/>
  <c r="AU169" i="4" s="1"/>
  <c r="AV169" i="4" s="1"/>
  <c r="AW169" i="4" s="1"/>
  <c r="BC180" i="4"/>
  <c r="BD266" i="4"/>
  <c r="BC282" i="4"/>
  <c r="AU282" i="4"/>
  <c r="AV282" i="4" s="1"/>
  <c r="AW282" i="4" s="1"/>
  <c r="J231" i="4"/>
  <c r="J304" i="4"/>
  <c r="BD318" i="4"/>
  <c r="AS331" i="4"/>
  <c r="AR331" i="4" s="1"/>
  <c r="AU331" i="4" s="1"/>
  <c r="AV331" i="4" s="1"/>
  <c r="AW331" i="4" s="1"/>
  <c r="AE331" i="4"/>
  <c r="J373" i="4"/>
  <c r="BC388" i="4"/>
  <c r="AR388" i="4"/>
  <c r="AU388" i="4" s="1"/>
  <c r="AV388" i="4" s="1"/>
  <c r="AW388" i="4" s="1"/>
  <c r="J218" i="8"/>
  <c r="J74" i="8"/>
  <c r="BC30" i="7"/>
  <c r="BD123" i="8"/>
  <c r="J256" i="8"/>
  <c r="AE78" i="4"/>
  <c r="AS70" i="4"/>
  <c r="AE70" i="4"/>
  <c r="BA62" i="4"/>
  <c r="U62" i="4"/>
  <c r="AS62" i="4" s="1"/>
  <c r="U74" i="4"/>
  <c r="AS74" i="4" s="1"/>
  <c r="AR74" i="4" s="1"/>
  <c r="AU74" i="4" s="1"/>
  <c r="BA74" i="4"/>
  <c r="BD47" i="4"/>
  <c r="D22" i="2"/>
  <c r="BC47" i="4"/>
  <c r="D19" i="2"/>
  <c r="BC13" i="4"/>
  <c r="J347" i="8"/>
  <c r="BD87" i="8"/>
  <c r="BD246" i="8"/>
  <c r="J338" i="8"/>
  <c r="W9" i="4"/>
  <c r="J265" i="8"/>
  <c r="J204" i="8"/>
  <c r="J201" i="8"/>
  <c r="BD110" i="8"/>
  <c r="J120" i="8"/>
  <c r="BB19" i="7"/>
  <c r="BC131" i="8"/>
  <c r="J131" i="8"/>
  <c r="BD175" i="8"/>
  <c r="BD91" i="8"/>
  <c r="BD365" i="8"/>
  <c r="R79" i="4"/>
  <c r="J337" i="8"/>
  <c r="BC218" i="8"/>
  <c r="AU218" i="8"/>
  <c r="AV218" i="8" s="1"/>
  <c r="AW218" i="8" s="1"/>
  <c r="BD132" i="8"/>
  <c r="BD124" i="8"/>
  <c r="AR122" i="8"/>
  <c r="AU122" i="8" s="1"/>
  <c r="AV122" i="8" s="1"/>
  <c r="AW122" i="8" s="1"/>
  <c r="BD340" i="8"/>
  <c r="AR313" i="8"/>
  <c r="AU313" i="8" s="1"/>
  <c r="AV313" i="8" s="1"/>
  <c r="AW313" i="8" s="1"/>
  <c r="BC313" i="8"/>
  <c r="BD240" i="8"/>
  <c r="J130" i="8"/>
  <c r="BB21" i="7"/>
  <c r="BK12" i="6"/>
  <c r="CQ12" i="6"/>
  <c r="P12" i="6"/>
  <c r="CB12" i="6"/>
  <c r="Y12" i="6"/>
  <c r="CK12" i="6"/>
  <c r="AH12" i="6"/>
  <c r="CT12" i="6"/>
  <c r="AY12" i="6"/>
  <c r="DL12" i="6"/>
  <c r="BP12" i="6"/>
  <c r="M12" i="6"/>
  <c r="BY12" i="6"/>
  <c r="V12" i="6"/>
  <c r="CH12" i="6"/>
  <c r="BD149" i="8"/>
  <c r="BD378" i="8"/>
  <c r="S83" i="4"/>
  <c r="R5" i="7"/>
  <c r="BD171" i="8"/>
  <c r="BD343" i="8"/>
  <c r="R21" i="4"/>
  <c r="CO9" i="2"/>
  <c r="BU9" i="2"/>
  <c r="EG9" i="2"/>
  <c r="BD329" i="8"/>
  <c r="J65" i="8"/>
  <c r="AR33" i="7"/>
  <c r="AQ33" i="7" s="1"/>
  <c r="AT33" i="7" s="1"/>
  <c r="AU33" i="7" s="1"/>
  <c r="AV33" i="7" s="1"/>
  <c r="J90" i="8"/>
  <c r="J166" i="8"/>
  <c r="J275" i="8"/>
  <c r="BC275" i="8"/>
  <c r="J117" i="4"/>
  <c r="J255" i="4"/>
  <c r="BC221" i="8"/>
  <c r="J24" i="4"/>
  <c r="AS245" i="4"/>
  <c r="AE245" i="4"/>
  <c r="AE111" i="4"/>
  <c r="AS111" i="4"/>
  <c r="AR111" i="4" s="1"/>
  <c r="AU111" i="4" s="1"/>
  <c r="AV111" i="4" s="1"/>
  <c r="AW111" i="4" s="1"/>
  <c r="BC173" i="4"/>
  <c r="J235" i="4"/>
  <c r="J313" i="8"/>
  <c r="J181" i="4"/>
  <c r="AE274" i="4"/>
  <c r="AS274" i="4"/>
  <c r="J296" i="4"/>
  <c r="J343" i="4"/>
  <c r="BC343" i="4"/>
  <c r="AS393" i="4"/>
  <c r="AR393" i="4" s="1"/>
  <c r="AU393" i="4" s="1"/>
  <c r="AV393" i="4" s="1"/>
  <c r="AW393" i="4" s="1"/>
  <c r="AE393" i="4"/>
  <c r="AR332" i="8"/>
  <c r="AU332" i="8" s="1"/>
  <c r="AV332" i="8" s="1"/>
  <c r="AW332" i="8" s="1"/>
  <c r="BC332" i="8"/>
  <c r="J215" i="8"/>
  <c r="BC85" i="4"/>
  <c r="J112" i="4"/>
  <c r="BC112" i="4"/>
  <c r="J155" i="4"/>
  <c r="BD155" i="4"/>
  <c r="BC155" i="4"/>
  <c r="BC50" i="4"/>
  <c r="BC375" i="4"/>
  <c r="AE68" i="4"/>
  <c r="AS68" i="4"/>
  <c r="J6" i="7"/>
  <c r="J28" i="7"/>
  <c r="J64" i="8"/>
  <c r="J53" i="8"/>
  <c r="J299" i="8"/>
  <c r="DR9" i="3"/>
  <c r="BQ9" i="3"/>
  <c r="EE9" i="3"/>
  <c r="W15" i="4"/>
  <c r="V15" i="4"/>
  <c r="T15" i="4"/>
  <c r="S15" i="4"/>
  <c r="R15" i="4"/>
  <c r="BC116" i="4"/>
  <c r="AE185" i="4"/>
  <c r="AS185" i="4"/>
  <c r="BD343" i="4"/>
  <c r="J8" i="4"/>
  <c r="U47" i="4"/>
  <c r="AR109" i="4"/>
  <c r="AU109" i="4" s="1"/>
  <c r="AV109" i="4" s="1"/>
  <c r="AW109" i="4" s="1"/>
  <c r="AR116" i="4"/>
  <c r="AU116" i="4" s="1"/>
  <c r="AV116" i="4" s="1"/>
  <c r="AW116" i="4" s="1"/>
  <c r="BD240" i="4"/>
  <c r="J314" i="8"/>
  <c r="J31" i="4"/>
  <c r="J102" i="4"/>
  <c r="AS265" i="4"/>
  <c r="AE265" i="4"/>
  <c r="J53" i="4"/>
  <c r="U44" i="4"/>
  <c r="BA44" i="4"/>
  <c r="BC101" i="4"/>
  <c r="J183" i="4"/>
  <c r="AE190" i="4"/>
  <c r="AS190" i="4"/>
  <c r="AR190" i="4" s="1"/>
  <c r="AU190" i="4" s="1"/>
  <c r="AV190" i="4" s="1"/>
  <c r="AW190" i="4" s="1"/>
  <c r="J136" i="4"/>
  <c r="BD136" i="4"/>
  <c r="AU164" i="4"/>
  <c r="AV164" i="4" s="1"/>
  <c r="AW164" i="4" s="1"/>
  <c r="BC164" i="4"/>
  <c r="J218" i="4"/>
  <c r="BD218" i="4"/>
  <c r="BC218" i="4"/>
  <c r="AS271" i="4"/>
  <c r="AR271" i="4" s="1"/>
  <c r="AU271" i="4" s="1"/>
  <c r="AV271" i="4" s="1"/>
  <c r="AW271" i="4" s="1"/>
  <c r="AE271" i="4"/>
  <c r="BC12" i="4"/>
  <c r="AR101" i="4"/>
  <c r="AU101" i="4" s="1"/>
  <c r="AV101" i="4" s="1"/>
  <c r="AW101" i="4" s="1"/>
  <c r="BC74" i="4"/>
  <c r="AE178" i="4"/>
  <c r="AS178" i="4"/>
  <c r="AR178" i="4" s="1"/>
  <c r="AU178" i="4" s="1"/>
  <c r="AV178" i="4" s="1"/>
  <c r="AW178" i="4" s="1"/>
  <c r="AS324" i="4"/>
  <c r="AR324" i="4" s="1"/>
  <c r="AU324" i="4" s="1"/>
  <c r="AV324" i="4" s="1"/>
  <c r="AW324" i="4" s="1"/>
  <c r="AE324" i="4"/>
  <c r="BC51" i="4"/>
  <c r="BC54" i="4"/>
  <c r="AE120" i="4"/>
  <c r="AS120" i="4"/>
  <c r="AR120" i="4" s="1"/>
  <c r="AU120" i="4" s="1"/>
  <c r="AV120" i="4" s="1"/>
  <c r="AW120" i="4" s="1"/>
  <c r="BC202" i="4"/>
  <c r="J394" i="4"/>
  <c r="J129" i="4"/>
  <c r="AU160" i="4"/>
  <c r="AV160" i="4" s="1"/>
  <c r="AW160" i="4" s="1"/>
  <c r="BC160" i="4"/>
  <c r="AR213" i="4"/>
  <c r="AU213" i="4" s="1"/>
  <c r="AV213" i="4" s="1"/>
  <c r="AW213" i="4" s="1"/>
  <c r="AS328" i="4"/>
  <c r="AE328" i="4"/>
  <c r="J220" i="8"/>
  <c r="BC25" i="4"/>
  <c r="J211" i="8"/>
  <c r="J200" i="8"/>
  <c r="BD88" i="8"/>
  <c r="BC21" i="7"/>
  <c r="R37" i="7"/>
  <c r="J35" i="7"/>
  <c r="J32" i="8"/>
  <c r="R36" i="7"/>
  <c r="S37" i="7"/>
  <c r="J27" i="7"/>
  <c r="BD31" i="8"/>
  <c r="BC80" i="8"/>
  <c r="AU88" i="8"/>
  <c r="AV88" i="8" s="1"/>
  <c r="AW88" i="8" s="1"/>
  <c r="J66" i="8"/>
  <c r="BC100" i="8"/>
  <c r="BD44" i="8"/>
  <c r="J34" i="8"/>
  <c r="J38" i="8"/>
  <c r="J45" i="8"/>
  <c r="AR86" i="8"/>
  <c r="AU86" i="8" s="1"/>
  <c r="AV86" i="8" s="1"/>
  <c r="AW86" i="8" s="1"/>
  <c r="J161" i="8"/>
  <c r="J81" i="8"/>
  <c r="J89" i="8"/>
  <c r="J97" i="8"/>
  <c r="J105" i="8"/>
  <c r="J139" i="8"/>
  <c r="J140" i="8"/>
  <c r="J170" i="8"/>
  <c r="BC175" i="8"/>
  <c r="J153" i="8"/>
  <c r="BC170" i="8"/>
  <c r="J159" i="8"/>
  <c r="BD165" i="8"/>
  <c r="J175" i="8"/>
  <c r="J244" i="8"/>
  <c r="J266" i="8"/>
  <c r="AU238" i="8"/>
  <c r="AV238" i="8" s="1"/>
  <c r="AW238" i="8" s="1"/>
  <c r="AR240" i="8"/>
  <c r="AU240" i="8" s="1"/>
  <c r="AV240" i="8" s="1"/>
  <c r="AW240" i="8" s="1"/>
  <c r="J261" i="8"/>
  <c r="J277" i="8"/>
  <c r="BD309" i="8"/>
  <c r="BD290" i="8"/>
  <c r="AR287" i="8"/>
  <c r="J308" i="8"/>
  <c r="AU314" i="8"/>
  <c r="AV314" i="8" s="1"/>
  <c r="AW314" i="8" s="1"/>
  <c r="J312" i="8"/>
  <c r="BC315" i="8"/>
  <c r="J320" i="8"/>
  <c r="BC350" i="8"/>
  <c r="J363" i="8"/>
  <c r="BD373" i="8"/>
  <c r="J381" i="8"/>
  <c r="AR367" i="8"/>
  <c r="AU367" i="8" s="1"/>
  <c r="AV367" i="8" s="1"/>
  <c r="AW367" i="8" s="1"/>
  <c r="AR361" i="8"/>
  <c r="AR390" i="8"/>
  <c r="AU390" i="8" s="1"/>
  <c r="AV390" i="8" s="1"/>
  <c r="AW390" i="8" s="1"/>
  <c r="J396" i="8"/>
  <c r="BL9" i="3"/>
  <c r="AN9" i="3"/>
  <c r="EI9" i="3"/>
  <c r="CE9" i="3"/>
  <c r="J9" i="3"/>
  <c r="BV9" i="3"/>
  <c r="EH9" i="3"/>
  <c r="AZ9" i="3"/>
  <c r="DL9" i="3"/>
  <c r="U9" i="3"/>
  <c r="CG9" i="3"/>
  <c r="ES9" i="3"/>
  <c r="BB9" i="3"/>
  <c r="DN9" i="3"/>
  <c r="W9" i="3"/>
  <c r="CI9" i="3"/>
  <c r="EU9" i="3"/>
  <c r="BE9" i="3"/>
  <c r="DQ9" i="3"/>
  <c r="R10" i="4"/>
  <c r="W10" i="4"/>
  <c r="V10" i="4"/>
  <c r="T10" i="4"/>
  <c r="S10" i="4"/>
  <c r="AE16" i="4"/>
  <c r="J42" i="4"/>
  <c r="AP77" i="4"/>
  <c r="BC93" i="4"/>
  <c r="AU93" i="4"/>
  <c r="AV93" i="4" s="1"/>
  <c r="AW93" i="4" s="1"/>
  <c r="BC175" i="4"/>
  <c r="AR175" i="4"/>
  <c r="AU175" i="4" s="1"/>
  <c r="AV175" i="4" s="1"/>
  <c r="AW175" i="4" s="1"/>
  <c r="J213" i="4"/>
  <c r="J249" i="4"/>
  <c r="AE193" i="4"/>
  <c r="AS193" i="4"/>
  <c r="AR193" i="4" s="1"/>
  <c r="AU193" i="4" s="1"/>
  <c r="AV193" i="4" s="1"/>
  <c r="AW193" i="4" s="1"/>
  <c r="AE248" i="4"/>
  <c r="AS248" i="4"/>
  <c r="AR248" i="4" s="1"/>
  <c r="AU248" i="4" s="1"/>
  <c r="AV248" i="4" s="1"/>
  <c r="AW248" i="4" s="1"/>
  <c r="BC185" i="4"/>
  <c r="J237" i="4"/>
  <c r="J241" i="4"/>
  <c r="AS253" i="4"/>
  <c r="AR253" i="4" s="1"/>
  <c r="AU253" i="4" s="1"/>
  <c r="AV253" i="4" s="1"/>
  <c r="AW253" i="4" s="1"/>
  <c r="AE253" i="4"/>
  <c r="AR247" i="4"/>
  <c r="AU247" i="4" s="1"/>
  <c r="AV247" i="4" s="1"/>
  <c r="AW247" i="4" s="1"/>
  <c r="J364" i="4"/>
  <c r="J399" i="4"/>
  <c r="J332" i="8"/>
  <c r="J340" i="8"/>
  <c r="BC125" i="8"/>
  <c r="BC29" i="7"/>
  <c r="AA1" i="1"/>
  <c r="AB6" i="1"/>
  <c r="AC6" i="1" s="1"/>
  <c r="AD6" i="1" s="1"/>
  <c r="AE6" i="1" s="1"/>
  <c r="AF6" i="1" s="1"/>
  <c r="AG6" i="1" s="1"/>
  <c r="AH6" i="1" s="1"/>
  <c r="BC24" i="4"/>
  <c r="R14" i="4"/>
  <c r="W14" i="4"/>
  <c r="V14" i="4"/>
  <c r="D12" i="2" s="1"/>
  <c r="T14" i="4"/>
  <c r="D11" i="2" s="1"/>
  <c r="S14" i="4"/>
  <c r="BC60" i="4"/>
  <c r="AE36" i="4"/>
  <c r="J48" i="4"/>
  <c r="W59" i="4"/>
  <c r="V59" i="4"/>
  <c r="T59" i="4"/>
  <c r="S59" i="4"/>
  <c r="R59" i="4"/>
  <c r="J111" i="4"/>
  <c r="J125" i="4"/>
  <c r="J141" i="4"/>
  <c r="AE136" i="4"/>
  <c r="AS136" i="4"/>
  <c r="AR136" i="4" s="1"/>
  <c r="AU136" i="4" s="1"/>
  <c r="AV136" i="4" s="1"/>
  <c r="AW136" i="4" s="1"/>
  <c r="J166" i="4"/>
  <c r="J250" i="4"/>
  <c r="J242" i="4"/>
  <c r="J239" i="4"/>
  <c r="AR265" i="4"/>
  <c r="AU265" i="4" s="1"/>
  <c r="AV265" i="4" s="1"/>
  <c r="AW265" i="4" s="1"/>
  <c r="BC264" i="4"/>
  <c r="BC324" i="4"/>
  <c r="J363" i="4"/>
  <c r="J190" i="8"/>
  <c r="J78" i="8"/>
  <c r="BD26" i="8"/>
  <c r="J225" i="8"/>
  <c r="J258" i="8"/>
  <c r="BB84" i="4"/>
  <c r="U50" i="4"/>
  <c r="AS50" i="4" s="1"/>
  <c r="BA50" i="4"/>
  <c r="BC38" i="4"/>
  <c r="BC11" i="4"/>
  <c r="U24" i="4"/>
  <c r="AS24" i="4" s="1"/>
  <c r="AR24" i="4" s="1"/>
  <c r="AU24" i="4" s="1"/>
  <c r="AV24" i="4" s="1"/>
  <c r="AW24" i="4" s="1"/>
  <c r="BA24" i="4"/>
  <c r="R49" i="4"/>
  <c r="BC73" i="4"/>
  <c r="BD190" i="4"/>
  <c r="AE159" i="4"/>
  <c r="AS159" i="4"/>
  <c r="AR159" i="4" s="1"/>
  <c r="AU159" i="4" s="1"/>
  <c r="AV159" i="4" s="1"/>
  <c r="AW159" i="4" s="1"/>
  <c r="BD183" i="4"/>
  <c r="BC201" i="4"/>
  <c r="BD250" i="4"/>
  <c r="BC189" i="4"/>
  <c r="J177" i="4"/>
  <c r="AE266" i="4"/>
  <c r="AS266" i="4"/>
  <c r="AR266" i="4" s="1"/>
  <c r="AU266" i="4" s="1"/>
  <c r="AV266" i="4" s="1"/>
  <c r="AW266" i="4" s="1"/>
  <c r="BC273" i="4"/>
  <c r="J350" i="4"/>
  <c r="AU337" i="4"/>
  <c r="AV337" i="4" s="1"/>
  <c r="AW337" i="4" s="1"/>
  <c r="BC337" i="4"/>
  <c r="BC367" i="4"/>
  <c r="BD397" i="4"/>
  <c r="J229" i="8"/>
  <c r="J208" i="8"/>
  <c r="BD95" i="8"/>
  <c r="BB16" i="4"/>
  <c r="W56" i="4"/>
  <c r="V56" i="4"/>
  <c r="T56" i="4"/>
  <c r="S56" i="4"/>
  <c r="R56" i="4"/>
  <c r="BC42" i="4"/>
  <c r="J127" i="4"/>
  <c r="BC151" i="4"/>
  <c r="AU151" i="4"/>
  <c r="AV151" i="4" s="1"/>
  <c r="AW151" i="4" s="1"/>
  <c r="J175" i="4"/>
  <c r="AR185" i="4"/>
  <c r="AU185" i="4" s="1"/>
  <c r="AV185" i="4" s="1"/>
  <c r="AW185" i="4" s="1"/>
  <c r="BC207" i="4"/>
  <c r="AE244" i="4"/>
  <c r="AS244" i="4"/>
  <c r="AR244" i="4" s="1"/>
  <c r="AU244" i="4" s="1"/>
  <c r="AV244" i="4" s="1"/>
  <c r="AW244" i="4" s="1"/>
  <c r="J267" i="4"/>
  <c r="J289" i="4"/>
  <c r="AE304" i="4"/>
  <c r="AS304" i="4"/>
  <c r="AR304" i="4" s="1"/>
  <c r="AU304" i="4" s="1"/>
  <c r="AV304" i="4" s="1"/>
  <c r="AW304" i="4" s="1"/>
  <c r="BC324" i="8"/>
  <c r="AR324" i="8"/>
  <c r="AU324" i="8" s="1"/>
  <c r="AV324" i="8" s="1"/>
  <c r="AW324" i="8" s="1"/>
  <c r="BC327" i="8"/>
  <c r="AR327" i="8"/>
  <c r="AU327" i="8" s="1"/>
  <c r="AV327" i="8" s="1"/>
  <c r="AW327" i="8" s="1"/>
  <c r="BD148" i="8"/>
  <c r="J197" i="8"/>
  <c r="BD275" i="8"/>
  <c r="BC16" i="4"/>
  <c r="BC19" i="4"/>
  <c r="BA32" i="4"/>
  <c r="U32" i="4"/>
  <c r="T76" i="4"/>
  <c r="AS104" i="4"/>
  <c r="AR104" i="4" s="1"/>
  <c r="AU104" i="4" s="1"/>
  <c r="AV104" i="4" s="1"/>
  <c r="AW104" i="4" s="1"/>
  <c r="AE104" i="4"/>
  <c r="BD113" i="4"/>
  <c r="BC170" i="4"/>
  <c r="AU170" i="4"/>
  <c r="AV170" i="4" s="1"/>
  <c r="AW170" i="4" s="1"/>
  <c r="AU249" i="4"/>
  <c r="AV249" i="4" s="1"/>
  <c r="AW249" i="4" s="1"/>
  <c r="BC249" i="4"/>
  <c r="BC267" i="4"/>
  <c r="AU267" i="4"/>
  <c r="AV267" i="4" s="1"/>
  <c r="AW267" i="4" s="1"/>
  <c r="J335" i="4"/>
  <c r="J25" i="4"/>
  <c r="AP48" i="4"/>
  <c r="AE60" i="4"/>
  <c r="AS60" i="4"/>
  <c r="AR60" i="4" s="1"/>
  <c r="AU60" i="4" s="1"/>
  <c r="BC66" i="4"/>
  <c r="BC87" i="4"/>
  <c r="AR123" i="4"/>
  <c r="AU123" i="4" s="1"/>
  <c r="AV123" i="4" s="1"/>
  <c r="AW123" i="4" s="1"/>
  <c r="BC226" i="4"/>
  <c r="J263" i="4"/>
  <c r="BD275" i="4"/>
  <c r="AR245" i="4"/>
  <c r="AU245" i="4" s="1"/>
  <c r="AV245" i="4" s="1"/>
  <c r="AW245" i="4" s="1"/>
  <c r="AE264" i="4"/>
  <c r="AS264" i="4"/>
  <c r="AR264" i="4" s="1"/>
  <c r="AU264" i="4" s="1"/>
  <c r="AV264" i="4" s="1"/>
  <c r="AW264" i="4" s="1"/>
  <c r="J292" i="4"/>
  <c r="BD301" i="4"/>
  <c r="BC341" i="4"/>
  <c r="AU341" i="4"/>
  <c r="AV341" i="4" s="1"/>
  <c r="AW341" i="4" s="1"/>
  <c r="J355" i="4"/>
  <c r="AR381" i="4"/>
  <c r="AU381" i="4" s="1"/>
  <c r="AV381" i="4" s="1"/>
  <c r="AW381" i="4" s="1"/>
  <c r="AS397" i="4"/>
  <c r="AR397" i="4" s="1"/>
  <c r="AU397" i="4" s="1"/>
  <c r="AV397" i="4" s="1"/>
  <c r="AW397" i="4" s="1"/>
  <c r="AE397" i="4"/>
  <c r="J39" i="4"/>
  <c r="BC81" i="4"/>
  <c r="AS91" i="4"/>
  <c r="AR91" i="4" s="1"/>
  <c r="AU91" i="4" s="1"/>
  <c r="AV91" i="4" s="1"/>
  <c r="AW91" i="4" s="1"/>
  <c r="AE91" i="4"/>
  <c r="J108" i="4"/>
  <c r="BC108" i="4"/>
  <c r="AE96" i="4"/>
  <c r="AS96" i="4"/>
  <c r="AR96" i="4" s="1"/>
  <c r="AU96" i="4" s="1"/>
  <c r="AV96" i="4" s="1"/>
  <c r="AW96" i="4" s="1"/>
  <c r="BC145" i="4"/>
  <c r="AU145" i="4"/>
  <c r="AV145" i="4" s="1"/>
  <c r="AW145" i="4" s="1"/>
  <c r="BC154" i="4"/>
  <c r="BC147" i="4"/>
  <c r="AU147" i="4"/>
  <c r="AV147" i="4" s="1"/>
  <c r="AW147" i="4" s="1"/>
  <c r="AE157" i="4"/>
  <c r="AS157" i="4"/>
  <c r="AR157" i="4" s="1"/>
  <c r="AU157" i="4" s="1"/>
  <c r="AV157" i="4" s="1"/>
  <c r="AW157" i="4" s="1"/>
  <c r="AU199" i="4"/>
  <c r="AV199" i="4" s="1"/>
  <c r="AW199" i="4" s="1"/>
  <c r="BC199" i="4"/>
  <c r="AR207" i="4"/>
  <c r="AU207" i="4" s="1"/>
  <c r="AV207" i="4" s="1"/>
  <c r="AW207" i="4" s="1"/>
  <c r="BC181" i="4"/>
  <c r="J248" i="4"/>
  <c r="BC262" i="4"/>
  <c r="AU262" i="4"/>
  <c r="AV262" i="4" s="1"/>
  <c r="AW262" i="4" s="1"/>
  <c r="BC235" i="4"/>
  <c r="AR235" i="4"/>
  <c r="AU235" i="4" s="1"/>
  <c r="AV235" i="4" s="1"/>
  <c r="AW235" i="4" s="1"/>
  <c r="J243" i="4"/>
  <c r="J370" i="4"/>
  <c r="AE390" i="4"/>
  <c r="AS390" i="4"/>
  <c r="AR390" i="4" s="1"/>
  <c r="AU390" i="4" s="1"/>
  <c r="AV390" i="4" s="1"/>
  <c r="AW390" i="4" s="1"/>
  <c r="J385" i="4"/>
  <c r="V11" i="4"/>
  <c r="W19" i="4"/>
  <c r="V19" i="4"/>
  <c r="T19" i="4"/>
  <c r="S19" i="4"/>
  <c r="R19" i="4"/>
  <c r="BB57" i="4"/>
  <c r="J46" i="4"/>
  <c r="BC34" i="4"/>
  <c r="AE55" i="4"/>
  <c r="AS55" i="4"/>
  <c r="AR55" i="4" s="1"/>
  <c r="AU55" i="4" s="1"/>
  <c r="J22" i="4"/>
  <c r="BD117" i="4"/>
  <c r="BD137" i="4"/>
  <c r="BD187" i="4"/>
  <c r="J215" i="4"/>
  <c r="BC192" i="4"/>
  <c r="AU192" i="4"/>
  <c r="AV192" i="4" s="1"/>
  <c r="AW192" i="4" s="1"/>
  <c r="BC266" i="4"/>
  <c r="AE213" i="4"/>
  <c r="AS213" i="4"/>
  <c r="J221" i="4"/>
  <c r="BC217" i="4"/>
  <c r="BC237" i="4"/>
  <c r="AE250" i="4"/>
  <c r="AS250" i="4"/>
  <c r="AR250" i="4" s="1"/>
  <c r="AU250" i="4" s="1"/>
  <c r="AV250" i="4" s="1"/>
  <c r="AW250" i="4" s="1"/>
  <c r="BD282" i="4"/>
  <c r="J332" i="4"/>
  <c r="BC332" i="4"/>
  <c r="BC362" i="4"/>
  <c r="AU362" i="4"/>
  <c r="AV362" i="4" s="1"/>
  <c r="AW362" i="4" s="1"/>
  <c r="BC356" i="4"/>
  <c r="J318" i="8"/>
  <c r="J126" i="8"/>
  <c r="BD28" i="8"/>
  <c r="J137" i="8"/>
  <c r="BD250" i="8"/>
  <c r="J235" i="8"/>
  <c r="BD97" i="8"/>
  <c r="AE82" i="4"/>
  <c r="BC5" i="4"/>
  <c r="AR121" i="4"/>
  <c r="AU121" i="4" s="1"/>
  <c r="AV121" i="4" s="1"/>
  <c r="AW121" i="4" s="1"/>
  <c r="AR380" i="4"/>
  <c r="AU380" i="4" s="1"/>
  <c r="AV380" i="4" s="1"/>
  <c r="AW380" i="4" s="1"/>
  <c r="J199" i="8"/>
  <c r="J351" i="8"/>
  <c r="BD114" i="8"/>
  <c r="BD375" i="8"/>
  <c r="R9" i="4"/>
  <c r="J359" i="8"/>
  <c r="BC233" i="8"/>
  <c r="AU233" i="8"/>
  <c r="AV233" i="8" s="1"/>
  <c r="AW233" i="8" s="1"/>
  <c r="BD162" i="8"/>
  <c r="J209" i="8"/>
  <c r="BD153" i="8"/>
  <c r="BD107" i="8"/>
  <c r="J118" i="8"/>
  <c r="AR367" i="4"/>
  <c r="AU367" i="4" s="1"/>
  <c r="AV367" i="4" s="1"/>
  <c r="AW367" i="4" s="1"/>
  <c r="BD122" i="8"/>
  <c r="BD274" i="8"/>
  <c r="J257" i="8"/>
  <c r="J124" i="8"/>
  <c r="J127" i="8"/>
  <c r="BD313" i="8"/>
  <c r="T83" i="4"/>
  <c r="J264" i="8"/>
  <c r="V13" i="4"/>
  <c r="S21" i="4"/>
  <c r="BD267" i="8"/>
  <c r="J328" i="8"/>
  <c r="AR141" i="8"/>
  <c r="AU141" i="8" s="1"/>
  <c r="AV141" i="8" s="1"/>
  <c r="AW141" i="8" s="1"/>
  <c r="J33" i="7"/>
  <c r="J88" i="8"/>
  <c r="J163" i="8"/>
  <c r="J25" i="7"/>
  <c r="J36" i="7"/>
  <c r="J27" i="8"/>
  <c r="BC27" i="8"/>
  <c r="J151" i="8"/>
  <c r="J165" i="8"/>
  <c r="AR264" i="8"/>
  <c r="J309" i="8"/>
  <c r="J303" i="8"/>
  <c r="J364" i="8"/>
  <c r="J397" i="8"/>
  <c r="V81" i="4"/>
  <c r="T81" i="4"/>
  <c r="S81" i="4"/>
  <c r="R81" i="4"/>
  <c r="W81" i="4"/>
  <c r="J278" i="4"/>
  <c r="BC395" i="4"/>
  <c r="AU395" i="4"/>
  <c r="AV395" i="4" s="1"/>
  <c r="AW395" i="4" s="1"/>
  <c r="BB17" i="7"/>
  <c r="J77" i="4"/>
  <c r="BC91" i="4"/>
  <c r="J153" i="4"/>
  <c r="AU195" i="4"/>
  <c r="AV195" i="4" s="1"/>
  <c r="AW195" i="4" s="1"/>
  <c r="BC195" i="4"/>
  <c r="BC203" i="4"/>
  <c r="AB6" i="5"/>
  <c r="AC6" i="5" s="1"/>
  <c r="AD6" i="5" s="1"/>
  <c r="AE6" i="5" s="1"/>
  <c r="AF6" i="5" s="1"/>
  <c r="AG6" i="5" s="1"/>
  <c r="AH6" i="5" s="1"/>
  <c r="AA1" i="5"/>
  <c r="J40" i="4"/>
  <c r="J86" i="4"/>
  <c r="J131" i="4"/>
  <c r="J222" i="4"/>
  <c r="BC363" i="4"/>
  <c r="AR363" i="4"/>
  <c r="AU363" i="4" s="1"/>
  <c r="AV363" i="4" s="1"/>
  <c r="AW363" i="4" s="1"/>
  <c r="AU263" i="4"/>
  <c r="AV263" i="4" s="1"/>
  <c r="AW263" i="4" s="1"/>
  <c r="BC263" i="4"/>
  <c r="AE386" i="4"/>
  <c r="AS386" i="4"/>
  <c r="AR386" i="4" s="1"/>
  <c r="AU386" i="4" s="1"/>
  <c r="AV386" i="4" s="1"/>
  <c r="AW386" i="4" s="1"/>
  <c r="V77" i="4"/>
  <c r="T77" i="4"/>
  <c r="S77" i="4"/>
  <c r="R77" i="4"/>
  <c r="W77" i="4"/>
  <c r="J63" i="4"/>
  <c r="J54" i="4"/>
  <c r="J45" i="4"/>
  <c r="BC84" i="4"/>
  <c r="BC141" i="4"/>
  <c r="AR141" i="4"/>
  <c r="AU141" i="4" s="1"/>
  <c r="AV141" i="4" s="1"/>
  <c r="AW141" i="4" s="1"/>
  <c r="BC269" i="4"/>
  <c r="AU269" i="4"/>
  <c r="AV269" i="4" s="1"/>
  <c r="AW269" i="4" s="1"/>
  <c r="J372" i="4"/>
  <c r="AS379" i="4"/>
  <c r="AR379" i="4" s="1"/>
  <c r="AU379" i="4" s="1"/>
  <c r="AV379" i="4" s="1"/>
  <c r="AW379" i="4" s="1"/>
  <c r="AE379" i="4"/>
  <c r="BC386" i="4"/>
  <c r="AR28" i="7"/>
  <c r="AQ28" i="7" s="1"/>
  <c r="AT28" i="7" s="1"/>
  <c r="AU28" i="7" s="1"/>
  <c r="AV28" i="7" s="1"/>
  <c r="J23" i="7"/>
  <c r="J14" i="8"/>
  <c r="J72" i="8"/>
  <c r="BC90" i="8"/>
  <c r="BD48" i="8"/>
  <c r="J40" i="8"/>
  <c r="J49" i="8"/>
  <c r="J57" i="8"/>
  <c r="AR77" i="8"/>
  <c r="AU77" i="8" s="1"/>
  <c r="AV77" i="8" s="1"/>
  <c r="AW77" i="8" s="1"/>
  <c r="J79" i="8"/>
  <c r="BD79" i="8"/>
  <c r="J156" i="8"/>
  <c r="J143" i="8"/>
  <c r="BD143" i="8"/>
  <c r="J239" i="8"/>
  <c r="AN250" i="8"/>
  <c r="AO250" i="8" s="1"/>
  <c r="AR250" i="8" s="1"/>
  <c r="AU250" i="8" s="1"/>
  <c r="AV250" i="8" s="1"/>
  <c r="AW250" i="8" s="1"/>
  <c r="BD385" i="8"/>
  <c r="CX9" i="3"/>
  <c r="AO9" i="3"/>
  <c r="J37" i="4"/>
  <c r="BB68" i="4"/>
  <c r="BC100" i="4"/>
  <c r="J119" i="4"/>
  <c r="AE251" i="4"/>
  <c r="AS251" i="4"/>
  <c r="AR251" i="4" s="1"/>
  <c r="AU251" i="4" s="1"/>
  <c r="AV251" i="4" s="1"/>
  <c r="AW251" i="4" s="1"/>
  <c r="BC57" i="4"/>
  <c r="AR57" i="4"/>
  <c r="AU57" i="4" s="1"/>
  <c r="BC214" i="4"/>
  <c r="BC359" i="4"/>
  <c r="AU359" i="4"/>
  <c r="AV359" i="4" s="1"/>
  <c r="AW359" i="4" s="1"/>
  <c r="AU338" i="4"/>
  <c r="AV338" i="4" s="1"/>
  <c r="AW338" i="4" s="1"/>
  <c r="BC338" i="4"/>
  <c r="BC89" i="4"/>
  <c r="AR89" i="4"/>
  <c r="AU89" i="4" s="1"/>
  <c r="AV89" i="4" s="1"/>
  <c r="AW89" i="4" s="1"/>
  <c r="AE144" i="4"/>
  <c r="AS144" i="4"/>
  <c r="J308" i="4"/>
  <c r="J374" i="4"/>
  <c r="BC61" i="4"/>
  <c r="J113" i="4"/>
  <c r="J178" i="4"/>
  <c r="AE218" i="4"/>
  <c r="AS218" i="4"/>
  <c r="AR218" i="4" s="1"/>
  <c r="AU218" i="4" s="1"/>
  <c r="AV218" i="4" s="1"/>
  <c r="AW218" i="4" s="1"/>
  <c r="AU360" i="4"/>
  <c r="AV360" i="4" s="1"/>
  <c r="AW360" i="4" s="1"/>
  <c r="BC360" i="4"/>
  <c r="J186" i="4"/>
  <c r="J313" i="4"/>
  <c r="BA54" i="4"/>
  <c r="U54" i="4"/>
  <c r="AS54" i="4" s="1"/>
  <c r="AR54" i="4" s="1"/>
  <c r="AU54" i="4" s="1"/>
  <c r="AE115" i="4"/>
  <c r="AS115" i="4"/>
  <c r="AR115" i="4" s="1"/>
  <c r="AU115" i="4" s="1"/>
  <c r="AV115" i="4" s="1"/>
  <c r="AW115" i="4" s="1"/>
  <c r="BD202" i="4"/>
  <c r="BD313" i="4"/>
  <c r="BC352" i="4"/>
  <c r="J232" i="8"/>
  <c r="BC25" i="7"/>
  <c r="J344" i="8"/>
  <c r="AR237" i="8"/>
  <c r="AU237" i="8" s="1"/>
  <c r="AV237" i="8" s="1"/>
  <c r="AW237" i="8" s="1"/>
  <c r="V22" i="7"/>
  <c r="AR23" i="7"/>
  <c r="AM23" i="7" s="1"/>
  <c r="AN23" i="7" s="1"/>
  <c r="R31" i="7"/>
  <c r="J25" i="8"/>
  <c r="BD15" i="8"/>
  <c r="J21" i="8"/>
  <c r="BC21" i="8"/>
  <c r="W22" i="7"/>
  <c r="J7" i="8"/>
  <c r="J20" i="7"/>
  <c r="BB20" i="7"/>
  <c r="BC8" i="7"/>
  <c r="J16" i="7"/>
  <c r="J22" i="7"/>
  <c r="J19" i="7"/>
  <c r="J18" i="7"/>
  <c r="J34" i="7"/>
  <c r="J13" i="8"/>
  <c r="BC88" i="8"/>
  <c r="J63" i="8"/>
  <c r="J71" i="8"/>
  <c r="BD39" i="8"/>
  <c r="BD47" i="8"/>
  <c r="BD49" i="8"/>
  <c r="BD57" i="8"/>
  <c r="BC79" i="8"/>
  <c r="BC106" i="8"/>
  <c r="J36" i="8"/>
  <c r="J43" i="8"/>
  <c r="BC95" i="8"/>
  <c r="BC103" i="8"/>
  <c r="J158" i="8"/>
  <c r="J86" i="8"/>
  <c r="J94" i="8"/>
  <c r="J102" i="8"/>
  <c r="J110" i="8"/>
  <c r="BD140" i="8"/>
  <c r="J173" i="8"/>
  <c r="J147" i="8"/>
  <c r="J164" i="8"/>
  <c r="BC152" i="8"/>
  <c r="AR178" i="8"/>
  <c r="AU178" i="8" s="1"/>
  <c r="AV178" i="8" s="1"/>
  <c r="AW178" i="8" s="1"/>
  <c r="BD186" i="8"/>
  <c r="AR202" i="8"/>
  <c r="AU202" i="8" s="1"/>
  <c r="AV202" i="8" s="1"/>
  <c r="AW202" i="8" s="1"/>
  <c r="AR210" i="8"/>
  <c r="BC269" i="8"/>
  <c r="J291" i="8"/>
  <c r="BC291" i="8"/>
  <c r="J295" i="8"/>
  <c r="J294" i="8"/>
  <c r="BC294" i="8"/>
  <c r="BC314" i="8"/>
  <c r="J310" i="8"/>
  <c r="BD299" i="8"/>
  <c r="BD307" i="8"/>
  <c r="BD303" i="8"/>
  <c r="BD311" i="8"/>
  <c r="J380" i="8"/>
  <c r="J376" i="8"/>
  <c r="J372" i="8"/>
  <c r="AR372" i="8"/>
  <c r="AU372" i="8" s="1"/>
  <c r="AV372" i="8" s="1"/>
  <c r="AW372" i="8" s="1"/>
  <c r="J371" i="8"/>
  <c r="BD363" i="8"/>
  <c r="BD366" i="8"/>
  <c r="BD395" i="8"/>
  <c r="J399" i="8"/>
  <c r="CR9" i="3"/>
  <c r="BT9" i="3"/>
  <c r="P9" i="3"/>
  <c r="DK9" i="3"/>
  <c r="R9" i="3"/>
  <c r="CD9" i="3"/>
  <c r="EP9" i="3"/>
  <c r="BH9" i="3"/>
  <c r="DT9" i="3"/>
  <c r="AC9" i="3"/>
  <c r="CO9" i="3"/>
  <c r="FA9" i="3"/>
  <c r="BJ9" i="3"/>
  <c r="DV9" i="3"/>
  <c r="AE9" i="3"/>
  <c r="CQ9" i="3"/>
  <c r="FC9" i="3"/>
  <c r="BM9" i="3"/>
  <c r="T29" i="4"/>
  <c r="S29" i="4"/>
  <c r="R29" i="4"/>
  <c r="W29" i="4"/>
  <c r="V29" i="4"/>
  <c r="AS58" i="4"/>
  <c r="AR58" i="4" s="1"/>
  <c r="AU58" i="4" s="1"/>
  <c r="AE58" i="4"/>
  <c r="BA16" i="4"/>
  <c r="U16" i="4"/>
  <c r="AS16" i="4" s="1"/>
  <c r="R42" i="4"/>
  <c r="W42" i="4"/>
  <c r="V42" i="4"/>
  <c r="T42" i="4"/>
  <c r="S42" i="4"/>
  <c r="BC152" i="4"/>
  <c r="J245" i="4"/>
  <c r="AE181" i="4"/>
  <c r="AS181" i="4"/>
  <c r="AR181" i="4" s="1"/>
  <c r="AU181" i="4" s="1"/>
  <c r="AV181" i="4" s="1"/>
  <c r="AW181" i="4" s="1"/>
  <c r="AS229" i="4"/>
  <c r="AR229" i="4" s="1"/>
  <c r="AU229" i="4" s="1"/>
  <c r="AV229" i="4" s="1"/>
  <c r="AW229" i="4" s="1"/>
  <c r="AE229" i="4"/>
  <c r="AS319" i="4"/>
  <c r="AR319" i="4" s="1"/>
  <c r="AU319" i="4" s="1"/>
  <c r="AV319" i="4" s="1"/>
  <c r="AW319" i="4" s="1"/>
  <c r="AE319" i="4"/>
  <c r="J349" i="4"/>
  <c r="AS364" i="4"/>
  <c r="AR364" i="4" s="1"/>
  <c r="AU364" i="4" s="1"/>
  <c r="AV364" i="4" s="1"/>
  <c r="AW364" i="4" s="1"/>
  <c r="AE364" i="4"/>
  <c r="AE375" i="4"/>
  <c r="AS375" i="4"/>
  <c r="AR375" i="4" s="1"/>
  <c r="AU375" i="4" s="1"/>
  <c r="AV375" i="4" s="1"/>
  <c r="AW375" i="4" s="1"/>
  <c r="J382" i="4"/>
  <c r="BC382" i="4"/>
  <c r="J221" i="8"/>
  <c r="BC26" i="7"/>
  <c r="J6" i="4"/>
  <c r="BC23" i="4"/>
  <c r="BA36" i="4"/>
  <c r="U36" i="4"/>
  <c r="AS36" i="4" s="1"/>
  <c r="AR36" i="4" s="1"/>
  <c r="AU36" i="4" s="1"/>
  <c r="AV36" i="4" s="1"/>
  <c r="AW36" i="4" s="1"/>
  <c r="J81" i="4"/>
  <c r="J89" i="4"/>
  <c r="BC143" i="4"/>
  <c r="AU143" i="4"/>
  <c r="AV143" i="4" s="1"/>
  <c r="AW143" i="4" s="1"/>
  <c r="BC124" i="4"/>
  <c r="J157" i="4"/>
  <c r="BC182" i="4"/>
  <c r="AR189" i="4"/>
  <c r="AU189" i="4" s="1"/>
  <c r="AV189" i="4" s="1"/>
  <c r="AW189" i="4" s="1"/>
  <c r="AE243" i="4"/>
  <c r="AS243" i="4"/>
  <c r="AR243" i="4" s="1"/>
  <c r="AU243" i="4" s="1"/>
  <c r="AV243" i="4" s="1"/>
  <c r="AW243" i="4" s="1"/>
  <c r="J269" i="4"/>
  <c r="BC271" i="4"/>
  <c r="AS315" i="4"/>
  <c r="AR315" i="4" s="1"/>
  <c r="AU315" i="4" s="1"/>
  <c r="AV315" i="4" s="1"/>
  <c r="AW315" i="4" s="1"/>
  <c r="AE315" i="4"/>
  <c r="AS356" i="4"/>
  <c r="AR356" i="4" s="1"/>
  <c r="AU356" i="4" s="1"/>
  <c r="AV356" i="4" s="1"/>
  <c r="AW356" i="4" s="1"/>
  <c r="AE356" i="4"/>
  <c r="BC319" i="8"/>
  <c r="AR319" i="8"/>
  <c r="AU319" i="8" s="1"/>
  <c r="AV319" i="8" s="1"/>
  <c r="AW319" i="8" s="1"/>
  <c r="AN235" i="8"/>
  <c r="AO235" i="8" s="1"/>
  <c r="AR235" i="8" s="1"/>
  <c r="AU235" i="8" s="1"/>
  <c r="AV235" i="8" s="1"/>
  <c r="AW235" i="8" s="1"/>
  <c r="BC235" i="8"/>
  <c r="J187" i="8"/>
  <c r="BD81" i="8"/>
  <c r="BD220" i="8"/>
  <c r="BD159" i="4"/>
  <c r="BD167" i="4"/>
  <c r="BC183" i="4"/>
  <c r="AR183" i="4"/>
  <c r="AU183" i="4" s="1"/>
  <c r="AV183" i="4" s="1"/>
  <c r="AW183" i="4" s="1"/>
  <c r="BC250" i="4"/>
  <c r="J236" i="4"/>
  <c r="J251" i="4"/>
  <c r="J300" i="4"/>
  <c r="AU368" i="4"/>
  <c r="AV368" i="4" s="1"/>
  <c r="AW368" i="4" s="1"/>
  <c r="BC368" i="4"/>
  <c r="BD367" i="4"/>
  <c r="BC393" i="4"/>
  <c r="BC400" i="4"/>
  <c r="AR400" i="4"/>
  <c r="AU400" i="4" s="1"/>
  <c r="AV400" i="4" s="1"/>
  <c r="AW400" i="4" s="1"/>
  <c r="BC397" i="4"/>
  <c r="J321" i="8"/>
  <c r="J287" i="8"/>
  <c r="J212" i="8"/>
  <c r="J129" i="8"/>
  <c r="J115" i="8"/>
  <c r="J176" i="8"/>
  <c r="BC14" i="4"/>
  <c r="J44" i="4"/>
  <c r="AU103" i="4"/>
  <c r="AV103" i="4" s="1"/>
  <c r="AW103" i="4" s="1"/>
  <c r="BC103" i="4"/>
  <c r="J59" i="4"/>
  <c r="BD109" i="4"/>
  <c r="AR124" i="4"/>
  <c r="AU124" i="4" s="1"/>
  <c r="AV124" i="4" s="1"/>
  <c r="AW124" i="4" s="1"/>
  <c r="J187" i="4"/>
  <c r="J219" i="4"/>
  <c r="J205" i="4"/>
  <c r="AE174" i="4"/>
  <c r="AS174" i="4"/>
  <c r="AR174" i="4" s="1"/>
  <c r="AU174" i="4" s="1"/>
  <c r="AV174" i="4" s="1"/>
  <c r="AW174" i="4" s="1"/>
  <c r="BC270" i="4"/>
  <c r="AR370" i="4"/>
  <c r="AU370" i="4" s="1"/>
  <c r="AV370" i="4" s="1"/>
  <c r="AW370" i="4" s="1"/>
  <c r="J351" i="4"/>
  <c r="BD315" i="8"/>
  <c r="BD134" i="8"/>
  <c r="J134" i="8"/>
  <c r="AU142" i="8"/>
  <c r="AV142" i="8" s="1"/>
  <c r="AW142" i="8" s="1"/>
  <c r="BC142" i="8"/>
  <c r="BC128" i="8"/>
  <c r="AR128" i="8"/>
  <c r="AU128" i="8" s="1"/>
  <c r="AV128" i="8" s="1"/>
  <c r="AW128" i="8" s="1"/>
  <c r="J145" i="8"/>
  <c r="AB6" i="3"/>
  <c r="AC6" i="3" s="1"/>
  <c r="AD6" i="3" s="1"/>
  <c r="AE6" i="3" s="1"/>
  <c r="AF6" i="3" s="1"/>
  <c r="AG6" i="3" s="1"/>
  <c r="AH6" i="3" s="1"/>
  <c r="AA1" i="3"/>
  <c r="BC6" i="4"/>
  <c r="J80" i="4"/>
  <c r="BC150" i="4"/>
  <c r="BC113" i="4"/>
  <c r="AU113" i="4"/>
  <c r="AV113" i="4" s="1"/>
  <c r="AW113" i="4" s="1"/>
  <c r="BD153" i="4"/>
  <c r="BC123" i="4"/>
  <c r="BC191" i="4"/>
  <c r="AR191" i="4"/>
  <c r="AU191" i="4" s="1"/>
  <c r="AV191" i="4" s="1"/>
  <c r="AW191" i="4" s="1"/>
  <c r="J171" i="4"/>
  <c r="J185" i="4"/>
  <c r="BC231" i="4"/>
  <c r="AU231" i="4"/>
  <c r="AV231" i="4" s="1"/>
  <c r="AW231" i="4" s="1"/>
  <c r="BC278" i="4"/>
  <c r="AU278" i="4"/>
  <c r="AV278" i="4" s="1"/>
  <c r="AW278" i="4" s="1"/>
  <c r="AR298" i="4"/>
  <c r="AU298" i="4" s="1"/>
  <c r="AV298" i="4" s="1"/>
  <c r="AW298" i="4" s="1"/>
  <c r="AU348" i="4"/>
  <c r="AV348" i="4" s="1"/>
  <c r="AW348" i="4" s="1"/>
  <c r="BC348" i="4"/>
  <c r="J387" i="4"/>
  <c r="BD399" i="4"/>
  <c r="J43" i="4"/>
  <c r="BB46" i="4"/>
  <c r="AE20" i="4"/>
  <c r="J74" i="4"/>
  <c r="BC78" i="4"/>
  <c r="AR80" i="4"/>
  <c r="AU80" i="4" s="1"/>
  <c r="AV80" i="4" s="1"/>
  <c r="AW80" i="4" s="1"/>
  <c r="AE161" i="4"/>
  <c r="AS161" i="4"/>
  <c r="AR161" i="4" s="1"/>
  <c r="AU161" i="4" s="1"/>
  <c r="AV161" i="4" s="1"/>
  <c r="AW161" i="4" s="1"/>
  <c r="BD140" i="4"/>
  <c r="J253" i="4"/>
  <c r="J262" i="4"/>
  <c r="BD378" i="4"/>
  <c r="J392" i="4"/>
  <c r="W39" i="4"/>
  <c r="V39" i="4"/>
  <c r="T39" i="4"/>
  <c r="S39" i="4"/>
  <c r="R39" i="4"/>
  <c r="BC56" i="4"/>
  <c r="AE8" i="4"/>
  <c r="AS8" i="4"/>
  <c r="AR8" i="4" s="1"/>
  <c r="AU8" i="4" s="1"/>
  <c r="AV8" i="4" s="1"/>
  <c r="AW8" i="4" s="1"/>
  <c r="J34" i="4"/>
  <c r="BA52" i="4"/>
  <c r="U52" i="4"/>
  <c r="AS52" i="4" s="1"/>
  <c r="AR52" i="4" s="1"/>
  <c r="AU52" i="4" s="1"/>
  <c r="BC62" i="4"/>
  <c r="J151" i="4"/>
  <c r="BD254" i="4"/>
  <c r="BD225" i="4"/>
  <c r="AU239" i="4"/>
  <c r="AV239" i="4" s="1"/>
  <c r="AW239" i="4" s="1"/>
  <c r="BC239" i="4"/>
  <c r="BD331" i="4"/>
  <c r="J348" i="4"/>
  <c r="AE385" i="4"/>
  <c r="AS385" i="4"/>
  <c r="AR385" i="4" s="1"/>
  <c r="AU385" i="4" s="1"/>
  <c r="AV385" i="4" s="1"/>
  <c r="AW385" i="4" s="1"/>
  <c r="V73" i="4"/>
  <c r="T73" i="4"/>
  <c r="S73" i="4"/>
  <c r="R73" i="4"/>
  <c r="W73" i="4"/>
  <c r="BC49" i="4"/>
  <c r="AE54" i="4"/>
  <c r="R22" i="4"/>
  <c r="W22" i="4"/>
  <c r="V22" i="4"/>
  <c r="T22" i="4"/>
  <c r="S22" i="4"/>
  <c r="J66" i="4"/>
  <c r="AS95" i="4"/>
  <c r="AR95" i="4" s="1"/>
  <c r="AU95" i="4" s="1"/>
  <c r="AV95" i="4" s="1"/>
  <c r="AW95" i="4" s="1"/>
  <c r="AE95" i="4"/>
  <c r="J71" i="4"/>
  <c r="BC117" i="4"/>
  <c r="AU117" i="4"/>
  <c r="AV117" i="4" s="1"/>
  <c r="AW117" i="4" s="1"/>
  <c r="BC137" i="4"/>
  <c r="AR137" i="4"/>
  <c r="AU137" i="4" s="1"/>
  <c r="AV137" i="4" s="1"/>
  <c r="AW137" i="4" s="1"/>
  <c r="AE148" i="4"/>
  <c r="AS148" i="4"/>
  <c r="AR148" i="4" s="1"/>
  <c r="AU148" i="4" s="1"/>
  <c r="AV148" i="4" s="1"/>
  <c r="AW148" i="4" s="1"/>
  <c r="BC148" i="4"/>
  <c r="BC187" i="4"/>
  <c r="AR187" i="4"/>
  <c r="AU187" i="4" s="1"/>
  <c r="AV187" i="4" s="1"/>
  <c r="AW187" i="4" s="1"/>
  <c r="AE209" i="4"/>
  <c r="AS209" i="4"/>
  <c r="AR209" i="4" s="1"/>
  <c r="AU209" i="4" s="1"/>
  <c r="AV209" i="4" s="1"/>
  <c r="AW209" i="4" s="1"/>
  <c r="BC172" i="4"/>
  <c r="AU172" i="4"/>
  <c r="AV172" i="4" s="1"/>
  <c r="AW172" i="4" s="1"/>
  <c r="AS201" i="4"/>
  <c r="AR201" i="4" s="1"/>
  <c r="AU201" i="4" s="1"/>
  <c r="AV201" i="4" s="1"/>
  <c r="AW201" i="4" s="1"/>
  <c r="AE201" i="4"/>
  <c r="BD243" i="4"/>
  <c r="BC317" i="4"/>
  <c r="AE320" i="4"/>
  <c r="AS320" i="4"/>
  <c r="AR320" i="4" s="1"/>
  <c r="AU320" i="4" s="1"/>
  <c r="AV320" i="4" s="1"/>
  <c r="J389" i="4"/>
  <c r="BD387" i="4"/>
  <c r="BD388" i="4"/>
  <c r="AR348" i="8"/>
  <c r="AU348" i="8" s="1"/>
  <c r="AV348" i="8" s="1"/>
  <c r="AW348" i="8" s="1"/>
  <c r="BC348" i="8"/>
  <c r="J334" i="8"/>
  <c r="J335" i="8"/>
  <c r="J319" i="8"/>
  <c r="J224" i="8"/>
  <c r="J214" i="8"/>
  <c r="J202" i="8"/>
  <c r="J205" i="8"/>
  <c r="J133" i="8"/>
  <c r="BD96" i="8"/>
  <c r="J249" i="8"/>
  <c r="BD16" i="8"/>
  <c r="J184" i="8"/>
  <c r="J323" i="8"/>
  <c r="J198" i="8"/>
  <c r="BA82" i="4"/>
  <c r="U82" i="4"/>
  <c r="AS82" i="4" s="1"/>
  <c r="AR82" i="4" s="1"/>
  <c r="AU82" i="4" s="1"/>
  <c r="AS86" i="4"/>
  <c r="AR86" i="4" s="1"/>
  <c r="AU86" i="4" s="1"/>
  <c r="AV86" i="4" s="1"/>
  <c r="AW86" i="4" s="1"/>
  <c r="AE86" i="4"/>
  <c r="AE74" i="4"/>
  <c r="AS66" i="4"/>
  <c r="AR66" i="4" s="1"/>
  <c r="AU66" i="4" s="1"/>
  <c r="AV66" i="4" s="1"/>
  <c r="AW66" i="4" s="1"/>
  <c r="AE66" i="4"/>
  <c r="BC67" i="4"/>
  <c r="BC71" i="4"/>
  <c r="BC59" i="4"/>
  <c r="BD348" i="8"/>
  <c r="J154" i="8"/>
  <c r="J345" i="8"/>
  <c r="J342" i="8"/>
  <c r="BD260" i="8"/>
  <c r="J237" i="8"/>
  <c r="J213" i="8"/>
  <c r="J136" i="8"/>
  <c r="BC267" i="8"/>
  <c r="AU267" i="8"/>
  <c r="AV267" i="8" s="1"/>
  <c r="AW267" i="8" s="1"/>
  <c r="J177" i="8"/>
  <c r="AR226" i="8"/>
  <c r="AU226" i="8" s="1"/>
  <c r="AV226" i="8" s="1"/>
  <c r="AW226" i="8" s="1"/>
  <c r="BC226" i="8"/>
  <c r="AN230" i="8"/>
  <c r="AO230" i="8" s="1"/>
  <c r="AR230" i="8" s="1"/>
  <c r="AU230" i="8" s="1"/>
  <c r="AV230" i="8" s="1"/>
  <c r="AW230" i="8" s="1"/>
  <c r="BC230" i="8"/>
  <c r="AR221" i="8"/>
  <c r="AU221" i="8" s="1"/>
  <c r="AV221" i="8" s="1"/>
  <c r="AW221" i="8" s="1"/>
  <c r="J183" i="8"/>
  <c r="J117" i="8"/>
  <c r="J17" i="8"/>
  <c r="BC17" i="8"/>
  <c r="BC28" i="7"/>
  <c r="AR214" i="4"/>
  <c r="AU214" i="4" s="1"/>
  <c r="AV214" i="4" s="1"/>
  <c r="AW214" i="4" s="1"/>
  <c r="BD265" i="8"/>
  <c r="J233" i="8"/>
  <c r="J226" i="8"/>
  <c r="J125" i="8"/>
  <c r="BD129" i="8"/>
  <c r="BC135" i="8"/>
  <c r="J135" i="8"/>
  <c r="BC16" i="8"/>
  <c r="AU16" i="8"/>
  <c r="AV16" i="8" s="1"/>
  <c r="AW16" i="8" s="1"/>
  <c r="BS12" i="6"/>
  <c r="CY12" i="6"/>
  <c r="AF12" i="6"/>
  <c r="CR12" i="6"/>
  <c r="AO12" i="6"/>
  <c r="DA12" i="6"/>
  <c r="AX12" i="6"/>
  <c r="DK12" i="6"/>
  <c r="BO12" i="6"/>
  <c r="T12" i="6"/>
  <c r="CF12" i="6"/>
  <c r="AC12" i="6"/>
  <c r="CO12" i="6"/>
  <c r="AL12" i="6"/>
  <c r="CX12" i="6"/>
  <c r="BD141" i="8"/>
  <c r="BD344" i="8"/>
  <c r="J247" i="8"/>
  <c r="AB9" i="2"/>
  <c r="CT9" i="2"/>
  <c r="AC9" i="2"/>
  <c r="CU9" i="2"/>
  <c r="AD9" i="2"/>
  <c r="CV9" i="2"/>
  <c r="AE9" i="2"/>
  <c r="CW9" i="2"/>
  <c r="AN9" i="2"/>
  <c r="DG9" i="2"/>
  <c r="BC27" i="7"/>
  <c r="J339" i="8"/>
  <c r="AR125" i="8"/>
  <c r="AU125" i="8" s="1"/>
  <c r="AV125" i="8" s="1"/>
  <c r="AW125" i="8" s="1"/>
  <c r="BB23" i="7"/>
  <c r="R6" i="7"/>
  <c r="W6" i="7"/>
  <c r="V6" i="7"/>
  <c r="T6" i="7"/>
  <c r="S6" i="7"/>
  <c r="BB6" i="7"/>
  <c r="R8" i="7"/>
  <c r="W8" i="7"/>
  <c r="V8" i="7"/>
  <c r="T8" i="7"/>
  <c r="S8" i="7"/>
  <c r="BB8" i="7"/>
  <c r="R10" i="7"/>
  <c r="W10" i="7"/>
  <c r="V10" i="7"/>
  <c r="T10" i="7"/>
  <c r="S10" i="7"/>
  <c r="BB10" i="7"/>
  <c r="R12" i="7"/>
  <c r="W12" i="7"/>
  <c r="V12" i="7"/>
  <c r="T12" i="7"/>
  <c r="S12" i="7"/>
  <c r="BB12" i="7"/>
  <c r="R14" i="7"/>
  <c r="W14" i="7"/>
  <c r="V14" i="7"/>
  <c r="T14" i="7"/>
  <c r="S14" i="7"/>
  <c r="BB14" i="7"/>
  <c r="R16" i="7"/>
  <c r="W16" i="7"/>
  <c r="V16" i="7"/>
  <c r="T16" i="7"/>
  <c r="S16" i="7"/>
  <c r="BB16" i="7"/>
  <c r="BB18" i="7"/>
  <c r="BB5" i="7"/>
  <c r="R7" i="7"/>
  <c r="T7" i="7"/>
  <c r="S7" i="7"/>
  <c r="W7" i="7"/>
  <c r="V7" i="7"/>
  <c r="BB7" i="7"/>
  <c r="R9" i="7"/>
  <c r="T9" i="7"/>
  <c r="S9" i="7"/>
  <c r="W9" i="7"/>
  <c r="V9" i="7"/>
  <c r="BB9" i="7"/>
  <c r="R11" i="7"/>
  <c r="T11" i="7"/>
  <c r="S11" i="7"/>
  <c r="W11" i="7"/>
  <c r="V11" i="7"/>
  <c r="BB11" i="7"/>
  <c r="R13" i="7"/>
  <c r="T13" i="7"/>
  <c r="S13" i="7"/>
  <c r="W13" i="7"/>
  <c r="V13" i="7"/>
  <c r="BB13" i="7"/>
  <c r="R15" i="7"/>
  <c r="T15" i="7"/>
  <c r="D11" i="5" s="1"/>
  <c r="S15" i="7"/>
  <c r="D10" i="5" s="1"/>
  <c r="W15" i="7"/>
  <c r="V15" i="7"/>
  <c r="D12" i="5" s="1"/>
  <c r="BB15" i="7"/>
  <c r="R17" i="7"/>
  <c r="T17" i="7"/>
  <c r="S17" i="7"/>
  <c r="W17" i="7"/>
  <c r="V17" i="7"/>
  <c r="S19" i="7"/>
  <c r="R19" i="7"/>
  <c r="W19" i="7"/>
  <c r="V19" i="7"/>
  <c r="T19" i="7"/>
  <c r="S18" i="7"/>
  <c r="R18" i="7"/>
  <c r="V18" i="7"/>
  <c r="T18" i="7"/>
  <c r="W18" i="7"/>
  <c r="BB22" i="7"/>
  <c r="BC11" i="8"/>
  <c r="BC24" i="8"/>
  <c r="BC30" i="8"/>
  <c r="AU30" i="8"/>
  <c r="AV30" i="8" s="1"/>
  <c r="AW30" i="8" s="1"/>
  <c r="BC32" i="8"/>
  <c r="AU32" i="8"/>
  <c r="AV32" i="8" s="1"/>
  <c r="AW32" i="8" s="1"/>
  <c r="AU8" i="8"/>
  <c r="AV8" i="8" s="1"/>
  <c r="AW8" i="8" s="1"/>
  <c r="BC8" i="8"/>
  <c r="BC18" i="8"/>
  <c r="AU18" i="8"/>
  <c r="AV18" i="8" s="1"/>
  <c r="AW18" i="8" s="1"/>
  <c r="BC23" i="8"/>
  <c r="AU23" i="8"/>
  <c r="AV23" i="8" s="1"/>
  <c r="AW23" i="8" s="1"/>
  <c r="BC5" i="8"/>
  <c r="AU5" i="8"/>
  <c r="AV5" i="8" s="1"/>
  <c r="AW5" i="8" s="1"/>
  <c r="BC15" i="8"/>
  <c r="AU15" i="8"/>
  <c r="AV15" i="8" s="1"/>
  <c r="AW15" i="8" s="1"/>
  <c r="BC29" i="8"/>
  <c r="AU29" i="8"/>
  <c r="AV29" i="8" s="1"/>
  <c r="AW29" i="8" s="1"/>
  <c r="BC31" i="8"/>
  <c r="AU31" i="8"/>
  <c r="AV31" i="8" s="1"/>
  <c r="AW31" i="8" s="1"/>
  <c r="BC7" i="8"/>
  <c r="BC13" i="8"/>
  <c r="AU13" i="8"/>
  <c r="AV13" i="8" s="1"/>
  <c r="AW13" i="8" s="1"/>
  <c r="BC12" i="8"/>
  <c r="AU12" i="8"/>
  <c r="AV12" i="8" s="1"/>
  <c r="AW12" i="8" s="1"/>
  <c r="AU62" i="8"/>
  <c r="AV62" i="8" s="1"/>
  <c r="AW62" i="8" s="1"/>
  <c r="BC62" i="8"/>
  <c r="AU63" i="8"/>
  <c r="AV63" i="8" s="1"/>
  <c r="AW63" i="8" s="1"/>
  <c r="BC63" i="8"/>
  <c r="AU64" i="8"/>
  <c r="AV64" i="8" s="1"/>
  <c r="AW64" i="8" s="1"/>
  <c r="BC64" i="8"/>
  <c r="AU65" i="8"/>
  <c r="AV65" i="8" s="1"/>
  <c r="AW65" i="8" s="1"/>
  <c r="BC65" i="8"/>
  <c r="BC66" i="8"/>
  <c r="AU67" i="8"/>
  <c r="AV67" i="8" s="1"/>
  <c r="AW67" i="8" s="1"/>
  <c r="BC67" i="8"/>
  <c r="AU68" i="8"/>
  <c r="AV68" i="8" s="1"/>
  <c r="AW68" i="8" s="1"/>
  <c r="BC68" i="8"/>
  <c r="BC69" i="8"/>
  <c r="AU70" i="8"/>
  <c r="AV70" i="8" s="1"/>
  <c r="AW70" i="8" s="1"/>
  <c r="BC70" i="8"/>
  <c r="AU71" i="8"/>
  <c r="AV71" i="8" s="1"/>
  <c r="AW71" i="8" s="1"/>
  <c r="BC71" i="8"/>
  <c r="BC33" i="8"/>
  <c r="AU33" i="8"/>
  <c r="AV33" i="8" s="1"/>
  <c r="AW33" i="8" s="1"/>
  <c r="BC34" i="8"/>
  <c r="AU34" i="8"/>
  <c r="AV34" i="8" s="1"/>
  <c r="AW34" i="8" s="1"/>
  <c r="BC35" i="8"/>
  <c r="AU35" i="8"/>
  <c r="AV35" i="8" s="1"/>
  <c r="AW35" i="8" s="1"/>
  <c r="BC36" i="8"/>
  <c r="AU36" i="8"/>
  <c r="AV36" i="8" s="1"/>
  <c r="AW36" i="8" s="1"/>
  <c r="BC37" i="8"/>
  <c r="AU37" i="8"/>
  <c r="AV37" i="8" s="1"/>
  <c r="AW37" i="8" s="1"/>
  <c r="BC38" i="8"/>
  <c r="BC39" i="8"/>
  <c r="AU39" i="8"/>
  <c r="AV39" i="8" s="1"/>
  <c r="AW39" i="8" s="1"/>
  <c r="BC40" i="8"/>
  <c r="BC41" i="8"/>
  <c r="AU41" i="8"/>
  <c r="AV41" i="8" s="1"/>
  <c r="AW41" i="8" s="1"/>
  <c r="BC42" i="8"/>
  <c r="AU42" i="8"/>
  <c r="AV42" i="8" s="1"/>
  <c r="AW42" i="8" s="1"/>
  <c r="BC43" i="8"/>
  <c r="AU43" i="8"/>
  <c r="AV43" i="8" s="1"/>
  <c r="AW43" i="8" s="1"/>
  <c r="BC44" i="8"/>
  <c r="AU44" i="8"/>
  <c r="AV44" i="8" s="1"/>
  <c r="AW44" i="8" s="1"/>
  <c r="BC45" i="8"/>
  <c r="AU45" i="8"/>
  <c r="AV45" i="8" s="1"/>
  <c r="AW45" i="8" s="1"/>
  <c r="BC46" i="8"/>
  <c r="AU46" i="8"/>
  <c r="AV46" i="8" s="1"/>
  <c r="AW46" i="8" s="1"/>
  <c r="BC47" i="8"/>
  <c r="AU47" i="8"/>
  <c r="AV47" i="8" s="1"/>
  <c r="AW47" i="8" s="1"/>
  <c r="BC48" i="8"/>
  <c r="AU48" i="8"/>
  <c r="AV48" i="8" s="1"/>
  <c r="AW48" i="8" s="1"/>
  <c r="BC49" i="8"/>
  <c r="AU49" i="8"/>
  <c r="AV49" i="8" s="1"/>
  <c r="AW49" i="8" s="1"/>
  <c r="BC50" i="8"/>
  <c r="AU50" i="8"/>
  <c r="AV50" i="8" s="1"/>
  <c r="AW50" i="8" s="1"/>
  <c r="BC51" i="8"/>
  <c r="AU51" i="8"/>
  <c r="AV51" i="8" s="1"/>
  <c r="AW51" i="8" s="1"/>
  <c r="BC52" i="8"/>
  <c r="AU52" i="8"/>
  <c r="AV52" i="8" s="1"/>
  <c r="AW52" i="8" s="1"/>
  <c r="BC53" i="8"/>
  <c r="AU53" i="8"/>
  <c r="AV53" i="8" s="1"/>
  <c r="AW53" i="8" s="1"/>
  <c r="BC54" i="8"/>
  <c r="AU54" i="8"/>
  <c r="AV54" i="8" s="1"/>
  <c r="AW54" i="8" s="1"/>
  <c r="BC55" i="8"/>
  <c r="AU55" i="8"/>
  <c r="AV55" i="8" s="1"/>
  <c r="AW55" i="8" s="1"/>
  <c r="BC56" i="8"/>
  <c r="AU56" i="8"/>
  <c r="AV56" i="8" s="1"/>
  <c r="AW56" i="8" s="1"/>
  <c r="BC57" i="8"/>
  <c r="AU57" i="8"/>
  <c r="AV57" i="8" s="1"/>
  <c r="AW57" i="8" s="1"/>
  <c r="BC58" i="8"/>
  <c r="AU58" i="8"/>
  <c r="AV58" i="8" s="1"/>
  <c r="AW58" i="8" s="1"/>
  <c r="BC59" i="8"/>
  <c r="AU72" i="8"/>
  <c r="AV72" i="8" s="1"/>
  <c r="AW72" i="8" s="1"/>
  <c r="BC72" i="8"/>
  <c r="BC144" i="8"/>
  <c r="AN144" i="8"/>
  <c r="AO144" i="8" s="1"/>
  <c r="AR144" i="8" s="1"/>
  <c r="AU144" i="8" s="1"/>
  <c r="AV144" i="8" s="1"/>
  <c r="AW144" i="8" s="1"/>
  <c r="BC151" i="8"/>
  <c r="AN151" i="8"/>
  <c r="AO151" i="8" s="1"/>
  <c r="AR151" i="8" s="1"/>
  <c r="AU151" i="8" s="1"/>
  <c r="AV151" i="8" s="1"/>
  <c r="AW151" i="8" s="1"/>
  <c r="BC161" i="8"/>
  <c r="BC155" i="8"/>
  <c r="AN155" i="8"/>
  <c r="AO155" i="8" s="1"/>
  <c r="AR155" i="8" s="1"/>
  <c r="AU155" i="8" s="1"/>
  <c r="AV155" i="8" s="1"/>
  <c r="AW155" i="8" s="1"/>
  <c r="BC160" i="8"/>
  <c r="AU160" i="8"/>
  <c r="AV160" i="8" s="1"/>
  <c r="AW160" i="8" s="1"/>
  <c r="BC140" i="8"/>
  <c r="BC150" i="8"/>
  <c r="AN150" i="8"/>
  <c r="AO150" i="8" s="1"/>
  <c r="AR150" i="8" s="1"/>
  <c r="AU150" i="8" s="1"/>
  <c r="AV150" i="8" s="1"/>
  <c r="AW150" i="8" s="1"/>
  <c r="BC146" i="8"/>
  <c r="AN146" i="8"/>
  <c r="AO146" i="8" s="1"/>
  <c r="AR146" i="8" s="1"/>
  <c r="AU146" i="8" s="1"/>
  <c r="AV146" i="8" s="1"/>
  <c r="AW146" i="8" s="1"/>
  <c r="BC168" i="8"/>
  <c r="AU168" i="8"/>
  <c r="AV168" i="8" s="1"/>
  <c r="AW168" i="8" s="1"/>
  <c r="BC169" i="8"/>
  <c r="AU169" i="8"/>
  <c r="AV169" i="8" s="1"/>
  <c r="AW169" i="8" s="1"/>
  <c r="AU137" i="8"/>
  <c r="AV137" i="8" s="1"/>
  <c r="AW137" i="8" s="1"/>
  <c r="BC137" i="8"/>
  <c r="AN145" i="8"/>
  <c r="AO145" i="8" s="1"/>
  <c r="AR145" i="8" s="1"/>
  <c r="AU145" i="8" s="1"/>
  <c r="AV145" i="8" s="1"/>
  <c r="AW145" i="8" s="1"/>
  <c r="BC145" i="8"/>
  <c r="BC147" i="8"/>
  <c r="AN147" i="8"/>
  <c r="AO147" i="8" s="1"/>
  <c r="AR147" i="8" s="1"/>
  <c r="AU147" i="8" s="1"/>
  <c r="AV147" i="8" s="1"/>
  <c r="AW147" i="8" s="1"/>
  <c r="BC165" i="8"/>
  <c r="AU165" i="8"/>
  <c r="AV165" i="8" s="1"/>
  <c r="AW165" i="8" s="1"/>
  <c r="BC173" i="8"/>
  <c r="AU173" i="8"/>
  <c r="AV173" i="8" s="1"/>
  <c r="AW173" i="8" s="1"/>
  <c r="BC178" i="8"/>
  <c r="BC179" i="8"/>
  <c r="AU179" i="8"/>
  <c r="AV179" i="8" s="1"/>
  <c r="AW179" i="8" s="1"/>
  <c r="BC180" i="8"/>
  <c r="AU180" i="8"/>
  <c r="AV180" i="8" s="1"/>
  <c r="AW180" i="8" s="1"/>
  <c r="AU181" i="8"/>
  <c r="AV181" i="8" s="1"/>
  <c r="AW181" i="8" s="1"/>
  <c r="BC181" i="8"/>
  <c r="BC182" i="8"/>
  <c r="AR182" i="8"/>
  <c r="AU182" i="8" s="1"/>
  <c r="AV182" i="8" s="1"/>
  <c r="AW182" i="8" s="1"/>
  <c r="BC183" i="8"/>
  <c r="AR183" i="8"/>
  <c r="AU183" i="8" s="1"/>
  <c r="AV183" i="8" s="1"/>
  <c r="AW183" i="8" s="1"/>
  <c r="BC184" i="8"/>
  <c r="AU184" i="8"/>
  <c r="AV184" i="8" s="1"/>
  <c r="AW184" i="8" s="1"/>
  <c r="AU185" i="8"/>
  <c r="AV185" i="8" s="1"/>
  <c r="AW185" i="8" s="1"/>
  <c r="BC185" i="8"/>
  <c r="AN186" i="8"/>
  <c r="AO186" i="8" s="1"/>
  <c r="AR186" i="8" s="1"/>
  <c r="AU186" i="8" s="1"/>
  <c r="AV186" i="8" s="1"/>
  <c r="AW186" i="8" s="1"/>
  <c r="BC186" i="8"/>
  <c r="AU187" i="8"/>
  <c r="AV187" i="8" s="1"/>
  <c r="AW187" i="8" s="1"/>
  <c r="BC187" i="8"/>
  <c r="AU188" i="8"/>
  <c r="AV188" i="8" s="1"/>
  <c r="AW188" i="8" s="1"/>
  <c r="BC188" i="8"/>
  <c r="AU189" i="8"/>
  <c r="AV189" i="8" s="1"/>
  <c r="AW189" i="8" s="1"/>
  <c r="BC189" i="8"/>
  <c r="BC190" i="8"/>
  <c r="AU190" i="8"/>
  <c r="AV190" i="8" s="1"/>
  <c r="AW190" i="8" s="1"/>
  <c r="AN191" i="8"/>
  <c r="AO191" i="8" s="1"/>
  <c r="AR191" i="8" s="1"/>
  <c r="AU191" i="8" s="1"/>
  <c r="AV191" i="8" s="1"/>
  <c r="AW191" i="8" s="1"/>
  <c r="BC191" i="8"/>
  <c r="AN192" i="8"/>
  <c r="AO192" i="8" s="1"/>
  <c r="AR192" i="8" s="1"/>
  <c r="AU192" i="8" s="1"/>
  <c r="AV192" i="8" s="1"/>
  <c r="AW192" i="8" s="1"/>
  <c r="BC192" i="8"/>
  <c r="AN193" i="8"/>
  <c r="AO193" i="8" s="1"/>
  <c r="AR193" i="8" s="1"/>
  <c r="AU193" i="8" s="1"/>
  <c r="AV193" i="8" s="1"/>
  <c r="AW193" i="8" s="1"/>
  <c r="BC193" i="8"/>
  <c r="BC194" i="8"/>
  <c r="AU194" i="8"/>
  <c r="AV194" i="8" s="1"/>
  <c r="AW194" i="8" s="1"/>
  <c r="AU195" i="8"/>
  <c r="AV195" i="8" s="1"/>
  <c r="AW195" i="8" s="1"/>
  <c r="BC195" i="8"/>
  <c r="BC196" i="8"/>
  <c r="AR196" i="8"/>
  <c r="AU196" i="8" s="1"/>
  <c r="AV196" i="8" s="1"/>
  <c r="AW196" i="8" s="1"/>
  <c r="BC197" i="8"/>
  <c r="BC198" i="8"/>
  <c r="AU198" i="8"/>
  <c r="AV198" i="8" s="1"/>
  <c r="AW198" i="8" s="1"/>
  <c r="BC199" i="8"/>
  <c r="AU199" i="8"/>
  <c r="AV199" i="8" s="1"/>
  <c r="AW199" i="8" s="1"/>
  <c r="BC200" i="8"/>
  <c r="AU200" i="8"/>
  <c r="AV200" i="8" s="1"/>
  <c r="AW200" i="8" s="1"/>
  <c r="BC201" i="8"/>
  <c r="AU201" i="8"/>
  <c r="AV201" i="8" s="1"/>
  <c r="AW201" i="8" s="1"/>
  <c r="BC202" i="8"/>
  <c r="BC203" i="8"/>
  <c r="AU203" i="8"/>
  <c r="AV203" i="8" s="1"/>
  <c r="AW203" i="8" s="1"/>
  <c r="BC204" i="8"/>
  <c r="BC205" i="8"/>
  <c r="AU205" i="8"/>
  <c r="AV205" i="8" s="1"/>
  <c r="AW205" i="8" s="1"/>
  <c r="BC206" i="8"/>
  <c r="AU206" i="8"/>
  <c r="AV206" i="8" s="1"/>
  <c r="AW206" i="8" s="1"/>
  <c r="BC207" i="8"/>
  <c r="AN208" i="8"/>
  <c r="AO208" i="8" s="1"/>
  <c r="AR208" i="8" s="1"/>
  <c r="AU208" i="8" s="1"/>
  <c r="AV208" i="8" s="1"/>
  <c r="AW208" i="8" s="1"/>
  <c r="BC208" i="8"/>
  <c r="BC209" i="8"/>
  <c r="AU209" i="8"/>
  <c r="AV209" i="8" s="1"/>
  <c r="AW209" i="8" s="1"/>
  <c r="BC210" i="8"/>
  <c r="AU210" i="8"/>
  <c r="AV210" i="8" s="1"/>
  <c r="AW210" i="8" s="1"/>
  <c r="BC211" i="8"/>
  <c r="BC212" i="8"/>
  <c r="AU212" i="8"/>
  <c r="AV212" i="8" s="1"/>
  <c r="AW212" i="8" s="1"/>
  <c r="BC213" i="8"/>
  <c r="BC214" i="8"/>
  <c r="AU214" i="8"/>
  <c r="AV214" i="8" s="1"/>
  <c r="AW214" i="8" s="1"/>
  <c r="BC215" i="8"/>
  <c r="AU215" i="8"/>
  <c r="AV215" i="8" s="1"/>
  <c r="AW215" i="8" s="1"/>
  <c r="AU245" i="8"/>
  <c r="AV245" i="8" s="1"/>
  <c r="AW245" i="8" s="1"/>
  <c r="BC245" i="8"/>
  <c r="AU244" i="8"/>
  <c r="AV244" i="8" s="1"/>
  <c r="AW244" i="8" s="1"/>
  <c r="BC244" i="8"/>
  <c r="BC239" i="8"/>
  <c r="AU239" i="8"/>
  <c r="AV239" i="8" s="1"/>
  <c r="AW239" i="8" s="1"/>
  <c r="BC264" i="8"/>
  <c r="AU264" i="8"/>
  <c r="AV264" i="8" s="1"/>
  <c r="AW264" i="8" s="1"/>
  <c r="BC266" i="8"/>
  <c r="AU266" i="8"/>
  <c r="AV266" i="8" s="1"/>
  <c r="AW266" i="8" s="1"/>
  <c r="BC268" i="8"/>
  <c r="AU268" i="8"/>
  <c r="AV268" i="8" s="1"/>
  <c r="AW268" i="8" s="1"/>
  <c r="BC241" i="8"/>
  <c r="AU241" i="8"/>
  <c r="AV241" i="8" s="1"/>
  <c r="AW241" i="8" s="1"/>
  <c r="BC271" i="8"/>
  <c r="AU271" i="8"/>
  <c r="AV271" i="8" s="1"/>
  <c r="AW271" i="8" s="1"/>
  <c r="BC279" i="8"/>
  <c r="AU279" i="8"/>
  <c r="AV279" i="8" s="1"/>
  <c r="AW279" i="8" s="1"/>
  <c r="BC282" i="8"/>
  <c r="AU282" i="8"/>
  <c r="AV282" i="8" s="1"/>
  <c r="AW282" i="8" s="1"/>
  <c r="BC283" i="8"/>
  <c r="BC277" i="8"/>
  <c r="BC281" i="8"/>
  <c r="AU281" i="8"/>
  <c r="AV281" i="8" s="1"/>
  <c r="AW281" i="8" s="1"/>
  <c r="J260" i="8"/>
  <c r="BC260" i="8"/>
  <c r="BC261" i="8"/>
  <c r="BC273" i="8"/>
  <c r="AU273" i="8"/>
  <c r="AV273" i="8" s="1"/>
  <c r="AW273" i="8" s="1"/>
  <c r="BC309" i="8"/>
  <c r="AU309" i="8"/>
  <c r="AV309" i="8" s="1"/>
  <c r="AW309" i="8" s="1"/>
  <c r="AU290" i="8"/>
  <c r="AV290" i="8" s="1"/>
  <c r="AW290" i="8" s="1"/>
  <c r="BC290" i="8"/>
  <c r="BC284" i="8"/>
  <c r="AU284" i="8"/>
  <c r="AV284" i="8" s="1"/>
  <c r="AW284" i="8" s="1"/>
  <c r="BC285" i="8"/>
  <c r="AU285" i="8"/>
  <c r="AV285" i="8" s="1"/>
  <c r="AW285" i="8" s="1"/>
  <c r="BC286" i="8"/>
  <c r="BC287" i="8"/>
  <c r="AU287" i="8"/>
  <c r="AV287" i="8" s="1"/>
  <c r="AW287" i="8" s="1"/>
  <c r="BC288" i="8"/>
  <c r="AU288" i="8"/>
  <c r="AV288" i="8" s="1"/>
  <c r="AW288" i="8" s="1"/>
  <c r="BC289" i="8"/>
  <c r="AU289" i="8"/>
  <c r="AV289" i="8" s="1"/>
  <c r="AU293" i="8"/>
  <c r="AV293" i="8" s="1"/>
  <c r="AW293" i="8" s="1"/>
  <c r="BC293" i="8"/>
  <c r="BC295" i="8"/>
  <c r="BC296" i="8"/>
  <c r="AU296" i="8"/>
  <c r="AV296" i="8" s="1"/>
  <c r="AW296" i="8" s="1"/>
  <c r="BC300" i="8"/>
  <c r="AU300" i="8"/>
  <c r="AV300" i="8" s="1"/>
  <c r="AW300" i="8" s="1"/>
  <c r="BC308" i="8"/>
  <c r="AU308" i="8"/>
  <c r="AV308" i="8" s="1"/>
  <c r="AW308" i="8" s="1"/>
  <c r="BC301" i="8"/>
  <c r="AU301" i="8"/>
  <c r="AV301" i="8" s="1"/>
  <c r="AW301" i="8" s="1"/>
  <c r="BC305" i="8"/>
  <c r="AU305" i="8"/>
  <c r="AV305" i="8" s="1"/>
  <c r="AW305" i="8" s="1"/>
  <c r="BC302" i="8"/>
  <c r="BC310" i="8"/>
  <c r="AU310" i="8"/>
  <c r="AV310" i="8" s="1"/>
  <c r="AW310" i="8" s="1"/>
  <c r="BC299" i="8"/>
  <c r="AU299" i="8"/>
  <c r="AV299" i="8" s="1"/>
  <c r="AW299" i="8" s="1"/>
  <c r="BC307" i="8"/>
  <c r="AU307" i="8"/>
  <c r="AV307" i="8" s="1"/>
  <c r="AW307" i="8" s="1"/>
  <c r="BC304" i="8"/>
  <c r="AU304" i="8"/>
  <c r="AV304" i="8" s="1"/>
  <c r="AW304" i="8" s="1"/>
  <c r="AU312" i="8"/>
  <c r="AV312" i="8" s="1"/>
  <c r="AW312" i="8" s="1"/>
  <c r="BC312" i="8"/>
  <c r="BC306" i="8"/>
  <c r="AU306" i="8"/>
  <c r="AV306" i="8" s="1"/>
  <c r="AW306" i="8" s="1"/>
  <c r="BC303" i="8"/>
  <c r="AU303" i="8"/>
  <c r="AV303" i="8" s="1"/>
  <c r="AW303" i="8" s="1"/>
  <c r="BC311" i="8"/>
  <c r="AU311" i="8"/>
  <c r="AV311" i="8" s="1"/>
  <c r="AW311" i="8" s="1"/>
  <c r="BC381" i="8"/>
  <c r="AU381" i="8"/>
  <c r="AV381" i="8" s="1"/>
  <c r="AW381" i="8" s="1"/>
  <c r="BC399" i="8"/>
  <c r="AU399" i="8"/>
  <c r="AV399" i="8" s="1"/>
  <c r="AW399" i="8" s="1"/>
  <c r="BC389" i="8"/>
  <c r="AU389" i="8"/>
  <c r="AV389" i="8" s="1"/>
  <c r="AW389" i="8" s="1"/>
  <c r="BC387" i="8"/>
  <c r="AU387" i="8"/>
  <c r="AV387" i="8" s="1"/>
  <c r="AW387" i="8" s="1"/>
  <c r="BC386" i="8"/>
  <c r="AU384" i="8"/>
  <c r="AV384" i="8" s="1"/>
  <c r="AW384" i="8" s="1"/>
  <c r="BC384" i="8"/>
  <c r="AU382" i="8"/>
  <c r="AV382" i="8" s="1"/>
  <c r="AW382" i="8" s="1"/>
  <c r="BC382" i="8"/>
  <c r="AU379" i="8"/>
  <c r="AV379" i="8" s="1"/>
  <c r="AW379" i="8" s="1"/>
  <c r="BC379" i="8"/>
  <c r="BC376" i="8"/>
  <c r="BC373" i="8"/>
  <c r="AU373" i="8"/>
  <c r="AV373" i="8" s="1"/>
  <c r="AW373" i="8" s="1"/>
  <c r="BC372" i="8"/>
  <c r="BC371" i="8"/>
  <c r="AU371" i="8"/>
  <c r="AV371" i="8" s="1"/>
  <c r="AW371" i="8" s="1"/>
  <c r="AU380" i="8"/>
  <c r="AV380" i="8" s="1"/>
  <c r="AW380" i="8" s="1"/>
  <c r="BC380" i="8"/>
  <c r="BC370" i="8"/>
  <c r="AU370" i="8"/>
  <c r="AV370" i="8" s="1"/>
  <c r="AW370" i="8" s="1"/>
  <c r="BC369" i="8"/>
  <c r="AU369" i="8"/>
  <c r="AV369" i="8" s="1"/>
  <c r="AW369" i="8" s="1"/>
  <c r="BC368" i="8"/>
  <c r="AU368" i="8"/>
  <c r="AV368" i="8" s="1"/>
  <c r="AW368" i="8" s="1"/>
  <c r="BC390" i="8"/>
  <c r="BC367" i="8"/>
  <c r="BC363" i="8"/>
  <c r="AU363" i="8"/>
  <c r="AV363" i="8" s="1"/>
  <c r="AW363" i="8" s="1"/>
  <c r="BC366" i="8"/>
  <c r="AU366" i="8"/>
  <c r="AV366" i="8" s="1"/>
  <c r="AW366" i="8" s="1"/>
  <c r="AU353" i="8"/>
  <c r="AV353" i="8" s="1"/>
  <c r="AW353" i="8" s="1"/>
  <c r="BC353" i="8"/>
  <c r="BC354" i="8"/>
  <c r="AU354" i="8"/>
  <c r="AV354" i="8" s="1"/>
  <c r="AW354" i="8" s="1"/>
  <c r="BC355" i="8"/>
  <c r="BC356" i="8"/>
  <c r="AU356" i="8"/>
  <c r="AV356" i="8" s="1"/>
  <c r="AW356" i="8" s="1"/>
  <c r="AU357" i="8"/>
  <c r="AV357" i="8" s="1"/>
  <c r="AW357" i="8" s="1"/>
  <c r="BC357" i="8"/>
  <c r="BC358" i="8"/>
  <c r="AR358" i="8"/>
  <c r="AU358" i="8" s="1"/>
  <c r="AV358" i="8" s="1"/>
  <c r="AW358" i="8" s="1"/>
  <c r="BC359" i="8"/>
  <c r="AU359" i="8"/>
  <c r="AV359" i="8" s="1"/>
  <c r="AW359" i="8" s="1"/>
  <c r="AU360" i="8"/>
  <c r="AV360" i="8" s="1"/>
  <c r="AW360" i="8" s="1"/>
  <c r="BC360" i="8"/>
  <c r="BC361" i="8"/>
  <c r="AU361" i="8"/>
  <c r="AV361" i="8" s="1"/>
  <c r="AW361" i="8" s="1"/>
  <c r="BC362" i="8"/>
  <c r="AU362" i="8"/>
  <c r="AV362" i="8" s="1"/>
  <c r="AW362" i="8" s="1"/>
  <c r="AU397" i="8"/>
  <c r="AV397" i="8" s="1"/>
  <c r="AW397" i="8" s="1"/>
  <c r="BC397" i="8"/>
  <c r="BC395" i="8"/>
  <c r="AU395" i="8"/>
  <c r="AV395" i="8" s="1"/>
  <c r="AW395" i="8" s="1"/>
  <c r="BC393" i="8"/>
  <c r="AU393" i="8"/>
  <c r="AV393" i="8" s="1"/>
  <c r="AW393" i="8" s="1"/>
  <c r="BC391" i="8"/>
  <c r="AU391" i="8"/>
  <c r="AV391" i="8" s="1"/>
  <c r="AW391" i="8" s="1"/>
  <c r="AU400" i="8"/>
  <c r="AV400" i="8" s="1"/>
  <c r="AW400" i="8" s="1"/>
  <c r="BC400" i="8"/>
  <c r="AU396" i="8"/>
  <c r="AV396" i="8" s="1"/>
  <c r="AW396" i="8" s="1"/>
  <c r="BC396" i="8"/>
  <c r="AU394" i="8"/>
  <c r="AV394" i="8" s="1"/>
  <c r="AW394" i="8" s="1"/>
  <c r="BC394" i="8"/>
  <c r="AU392" i="8"/>
  <c r="AV392" i="8" s="1"/>
  <c r="AW392" i="8" s="1"/>
  <c r="BC392" i="8"/>
  <c r="AU383" i="8"/>
  <c r="AV383" i="8" s="1"/>
  <c r="AW383" i="8" s="1"/>
  <c r="BC383" i="8"/>
  <c r="AU385" i="8"/>
  <c r="AV385" i="8" s="1"/>
  <c r="AW385" i="8" s="1"/>
  <c r="BC385" i="8"/>
  <c r="BC388" i="8"/>
  <c r="AU388" i="8"/>
  <c r="AV388" i="8" s="1"/>
  <c r="AW388" i="8" s="1"/>
  <c r="AU398" i="8"/>
  <c r="AV398" i="8" s="1"/>
  <c r="AW398" i="8" s="1"/>
  <c r="BC398" i="8"/>
  <c r="AE1" i="15"/>
  <c r="AF6" i="15"/>
  <c r="AG6" i="15" s="1"/>
  <c r="AH6" i="15" s="1"/>
  <c r="AI6" i="15" s="1"/>
  <c r="AJ6" i="15" s="1"/>
  <c r="AK6" i="15" s="1"/>
  <c r="AL6" i="15" s="1"/>
  <c r="AS46" i="4" l="1"/>
  <c r="AR46" i="4" s="1"/>
  <c r="AU46" i="4" s="1"/>
  <c r="AV46" i="4" s="1"/>
  <c r="AW46" i="4" s="1"/>
  <c r="U30" i="7"/>
  <c r="AR30" i="7" s="1"/>
  <c r="AQ30" i="7" s="1"/>
  <c r="AT30" i="7" s="1"/>
  <c r="AU30" i="7" s="1"/>
  <c r="AV30" i="7" s="1"/>
  <c r="AR29" i="7"/>
  <c r="AQ29" i="7" s="1"/>
  <c r="AT29" i="7" s="1"/>
  <c r="AU29" i="7" s="1"/>
  <c r="AV29" i="7" s="1"/>
  <c r="AR22" i="7"/>
  <c r="AQ22" i="7" s="1"/>
  <c r="AT22" i="7" s="1"/>
  <c r="AU22" i="7" s="1"/>
  <c r="AV22" i="7" s="1"/>
  <c r="E10" i="2"/>
  <c r="CR10" i="2" s="1"/>
  <c r="AS47" i="4"/>
  <c r="AR47" i="4" s="1"/>
  <c r="AR25" i="7"/>
  <c r="AM25" i="7" s="1"/>
  <c r="AN25" i="7" s="1"/>
  <c r="AQ25" i="7" s="1"/>
  <c r="AT25" i="7" s="1"/>
  <c r="AU25" i="7" s="1"/>
  <c r="AV25" i="7" s="1"/>
  <c r="AW52" i="4"/>
  <c r="AV52" i="4"/>
  <c r="AW72" i="4"/>
  <c r="AV72" i="4"/>
  <c r="AV54" i="4"/>
  <c r="AW54" i="4"/>
  <c r="AW55" i="4"/>
  <c r="AV55" i="4"/>
  <c r="AW74" i="4"/>
  <c r="AV74" i="4"/>
  <c r="AW58" i="4"/>
  <c r="AV58" i="4"/>
  <c r="AW82" i="4"/>
  <c r="AV82" i="4"/>
  <c r="BA22" i="4"/>
  <c r="U22" i="4"/>
  <c r="AS22" i="4" s="1"/>
  <c r="BA14" i="4"/>
  <c r="U14" i="4"/>
  <c r="AS14" i="4" s="1"/>
  <c r="AR14" i="4" s="1"/>
  <c r="AU14" i="4" s="1"/>
  <c r="AZ37" i="7"/>
  <c r="U37" i="7"/>
  <c r="AR37" i="7" s="1"/>
  <c r="AQ37" i="7" s="1"/>
  <c r="AT37" i="7" s="1"/>
  <c r="U12" i="7"/>
  <c r="AR12" i="7" s="1"/>
  <c r="AQ12" i="7" s="1"/>
  <c r="AT12" i="7" s="1"/>
  <c r="AU12" i="7" s="1"/>
  <c r="AV12" i="7" s="1"/>
  <c r="AZ12" i="7"/>
  <c r="U13" i="6"/>
  <c r="BC13" i="6"/>
  <c r="AG13" i="6"/>
  <c r="DD13" i="6"/>
  <c r="AV13" i="6"/>
  <c r="F13" i="6"/>
  <c r="CM13" i="6"/>
  <c r="I13" i="6"/>
  <c r="CP13" i="6"/>
  <c r="BL13" i="6"/>
  <c r="BA18" i="4"/>
  <c r="U18" i="4"/>
  <c r="AS18" i="4" s="1"/>
  <c r="AR18" i="4" s="1"/>
  <c r="AU18" i="4" s="1"/>
  <c r="AV18" i="4" s="1"/>
  <c r="AW18" i="4" s="1"/>
  <c r="AE75" i="4"/>
  <c r="BB75" i="4"/>
  <c r="AE61" i="4"/>
  <c r="BB61" i="4"/>
  <c r="U56" i="4"/>
  <c r="AS56" i="4" s="1"/>
  <c r="AR56" i="4" s="1"/>
  <c r="AU56" i="4" s="1"/>
  <c r="BA56" i="4"/>
  <c r="AH1" i="1"/>
  <c r="AI6" i="1"/>
  <c r="AJ6" i="1" s="1"/>
  <c r="AK6" i="1" s="1"/>
  <c r="AL6" i="1" s="1"/>
  <c r="AM6" i="1" s="1"/>
  <c r="AN6" i="1" s="1"/>
  <c r="AO6" i="1" s="1"/>
  <c r="CX12" i="1"/>
  <c r="AU12" i="1"/>
  <c r="DG12" i="1"/>
  <c r="BD12" i="1"/>
  <c r="DP12" i="1"/>
  <c r="BM12" i="1"/>
  <c r="J12" i="1"/>
  <c r="BV12" i="1"/>
  <c r="S12" i="1"/>
  <c r="CE12" i="1"/>
  <c r="AB12" i="1"/>
  <c r="CN12" i="1"/>
  <c r="AC12" i="1"/>
  <c r="CO12" i="1"/>
  <c r="U6" i="7"/>
  <c r="AZ6" i="7"/>
  <c r="AE22" i="4"/>
  <c r="BB22" i="4"/>
  <c r="AE42" i="4"/>
  <c r="BB42" i="4"/>
  <c r="BA29" i="4"/>
  <c r="U29" i="4"/>
  <c r="AS29" i="4" s="1"/>
  <c r="AR29" i="4" s="1"/>
  <c r="AU29" i="4" s="1"/>
  <c r="AV29" i="4" s="1"/>
  <c r="AW29" i="4" s="1"/>
  <c r="AE56" i="4"/>
  <c r="BB56" i="4"/>
  <c r="AE14" i="4"/>
  <c r="BB14" i="4"/>
  <c r="BA17" i="4"/>
  <c r="U17" i="4"/>
  <c r="BA69" i="4"/>
  <c r="U69" i="4"/>
  <c r="F12" i="1"/>
  <c r="BR12" i="1"/>
  <c r="O12" i="1"/>
  <c r="CA12" i="1"/>
  <c r="X12" i="1"/>
  <c r="CJ12" i="1"/>
  <c r="AG12" i="1"/>
  <c r="CS12" i="1"/>
  <c r="AP12" i="1"/>
  <c r="DB12" i="1"/>
  <c r="AY12" i="1"/>
  <c r="DK12" i="1"/>
  <c r="BH12" i="1"/>
  <c r="DT12" i="1"/>
  <c r="BI12" i="1"/>
  <c r="BA30" i="4"/>
  <c r="U30" i="4"/>
  <c r="CW13" i="6"/>
  <c r="CI13" i="6"/>
  <c r="BI13" i="6"/>
  <c r="CS13" i="6"/>
  <c r="BW13" i="6"/>
  <c r="BX13" i="6"/>
  <c r="AT13" i="6"/>
  <c r="P13" i="6"/>
  <c r="CV13" i="6"/>
  <c r="BG13" i="6"/>
  <c r="R13" i="6"/>
  <c r="CZ13" i="6"/>
  <c r="BJ13" i="6"/>
  <c r="AF13" i="6"/>
  <c r="DL13" i="6"/>
  <c r="AS67" i="4"/>
  <c r="AN67" i="4" s="1"/>
  <c r="AO67" i="4" s="1"/>
  <c r="AE67" i="4"/>
  <c r="BB67" i="4"/>
  <c r="AN33" i="4"/>
  <c r="AO33" i="4" s="1"/>
  <c r="AR33" i="4" s="1"/>
  <c r="AU33" i="4" s="1"/>
  <c r="AV33" i="4" s="1"/>
  <c r="AW33" i="4" s="1"/>
  <c r="U63" i="4"/>
  <c r="BA63" i="4"/>
  <c r="U51" i="4"/>
  <c r="AS51" i="4" s="1"/>
  <c r="AR51" i="4" s="1"/>
  <c r="AU51" i="4" s="1"/>
  <c r="BA51" i="4"/>
  <c r="AE26" i="4"/>
  <c r="BB26" i="4"/>
  <c r="U65" i="4"/>
  <c r="BA65" i="4"/>
  <c r="U23" i="4"/>
  <c r="BA23" i="4"/>
  <c r="AE43" i="4"/>
  <c r="BB43" i="4"/>
  <c r="BW10" i="6"/>
  <c r="DC10" i="6"/>
  <c r="AZ10" i="6"/>
  <c r="DL10" i="6"/>
  <c r="BI10" i="6"/>
  <c r="F10" i="6"/>
  <c r="BR10" i="6"/>
  <c r="O10" i="6"/>
  <c r="CA10" i="6"/>
  <c r="X10" i="6"/>
  <c r="CJ10" i="6"/>
  <c r="AG10" i="6"/>
  <c r="CS10" i="6"/>
  <c r="AP10" i="6"/>
  <c r="DB10" i="6"/>
  <c r="AE83" i="4"/>
  <c r="BB83" i="4"/>
  <c r="BA71" i="4"/>
  <c r="U71" i="4"/>
  <c r="AN20" i="4"/>
  <c r="AO20" i="4" s="1"/>
  <c r="AR20" i="4" s="1"/>
  <c r="AU20" i="4" s="1"/>
  <c r="AV20" i="4" s="1"/>
  <c r="AW20" i="4" s="1"/>
  <c r="AS44" i="4"/>
  <c r="AE53" i="4"/>
  <c r="AS53" i="4"/>
  <c r="AR53" i="4" s="1"/>
  <c r="AU53" i="4" s="1"/>
  <c r="BB53" i="4"/>
  <c r="BA48" i="4"/>
  <c r="U48" i="4"/>
  <c r="AR16" i="4"/>
  <c r="AU16" i="4" s="1"/>
  <c r="AV16" i="4" s="1"/>
  <c r="AW16" i="4" s="1"/>
  <c r="DT13" i="1"/>
  <c r="DL13" i="1"/>
  <c r="CN13" i="1"/>
  <c r="BH13" i="1"/>
  <c r="AZ13" i="1"/>
  <c r="AB13" i="1"/>
  <c r="DK13" i="1"/>
  <c r="DC13" i="1"/>
  <c r="CE13" i="1"/>
  <c r="AY13" i="1"/>
  <c r="AQ13" i="1"/>
  <c r="S13" i="1"/>
  <c r="DB13" i="1"/>
  <c r="CT13" i="1"/>
  <c r="BV13" i="1"/>
  <c r="AP13" i="1"/>
  <c r="AH13" i="1"/>
  <c r="J13" i="1"/>
  <c r="CS13" i="1"/>
  <c r="CK13" i="1"/>
  <c r="BM13" i="1"/>
  <c r="AG13" i="1"/>
  <c r="Y13" i="1"/>
  <c r="DP13" i="1"/>
  <c r="CJ13" i="1"/>
  <c r="CB13" i="1"/>
  <c r="BD13" i="1"/>
  <c r="X13" i="1"/>
  <c r="P13" i="1"/>
  <c r="DG13" i="1"/>
  <c r="CA13" i="1"/>
  <c r="BS13" i="1"/>
  <c r="AU13" i="1"/>
  <c r="O13" i="1"/>
  <c r="G13" i="1"/>
  <c r="CX13" i="1"/>
  <c r="CP13" i="1"/>
  <c r="BR13" i="1"/>
  <c r="BJ13" i="1"/>
  <c r="AL13" i="1"/>
  <c r="AD13" i="1"/>
  <c r="F13" i="1"/>
  <c r="DM13" i="1"/>
  <c r="CO13" i="1"/>
  <c r="CG13" i="1"/>
  <c r="BI13" i="1"/>
  <c r="BA13" i="1"/>
  <c r="AC13" i="1"/>
  <c r="U13" i="1"/>
  <c r="E13" i="1"/>
  <c r="C14" i="1" s="1"/>
  <c r="BQ12" i="1"/>
  <c r="AE21" i="4"/>
  <c r="BB21" i="4"/>
  <c r="U26" i="4"/>
  <c r="AS26" i="4" s="1"/>
  <c r="AR26" i="4" s="1"/>
  <c r="AU26" i="4" s="1"/>
  <c r="AV26" i="4" s="1"/>
  <c r="AW26" i="4" s="1"/>
  <c r="BA26" i="4"/>
  <c r="BA27" i="4"/>
  <c r="U27" i="4"/>
  <c r="AS27" i="4" s="1"/>
  <c r="AR27" i="4" s="1"/>
  <c r="AU27" i="4" s="1"/>
  <c r="AV27" i="4" s="1"/>
  <c r="AW27" i="4" s="1"/>
  <c r="U83" i="4"/>
  <c r="AS83" i="4" s="1"/>
  <c r="AR83" i="4" s="1"/>
  <c r="AU83" i="4" s="1"/>
  <c r="AV83" i="4" s="1"/>
  <c r="AW83" i="4" s="1"/>
  <c r="BA83" i="4"/>
  <c r="S10" i="6"/>
  <c r="AY10" i="6"/>
  <c r="BH10" i="6"/>
  <c r="DT10" i="6"/>
  <c r="BQ10" i="6"/>
  <c r="N10" i="6"/>
  <c r="BZ10" i="6"/>
  <c r="W10" i="6"/>
  <c r="CI10" i="6"/>
  <c r="AF10" i="6"/>
  <c r="CR10" i="6"/>
  <c r="AO10" i="6"/>
  <c r="DA10" i="6"/>
  <c r="AX10" i="6"/>
  <c r="DJ10" i="6"/>
  <c r="AZ7" i="7"/>
  <c r="U7" i="7"/>
  <c r="AR7" i="7" s="1"/>
  <c r="U10" i="7"/>
  <c r="AR10" i="7" s="1"/>
  <c r="AQ10" i="7" s="1"/>
  <c r="AT10" i="7" s="1"/>
  <c r="AU10" i="7" s="1"/>
  <c r="AV10" i="7" s="1"/>
  <c r="AZ10" i="7"/>
  <c r="U81" i="4"/>
  <c r="AS81" i="4" s="1"/>
  <c r="AR81" i="4" s="1"/>
  <c r="AU81" i="4" s="1"/>
  <c r="AV81" i="4" s="1"/>
  <c r="AW81" i="4" s="1"/>
  <c r="BA81" i="4"/>
  <c r="AE19" i="4"/>
  <c r="BB19" i="4"/>
  <c r="BA21" i="4"/>
  <c r="U21" i="4"/>
  <c r="AS21" i="4" s="1"/>
  <c r="U31" i="4"/>
  <c r="BA31" i="4"/>
  <c r="V12" i="1"/>
  <c r="CH12" i="1"/>
  <c r="AE12" i="1"/>
  <c r="CQ12" i="1"/>
  <c r="AN12" i="1"/>
  <c r="CZ12" i="1"/>
  <c r="AW12" i="1"/>
  <c r="DI12" i="1"/>
  <c r="BF12" i="1"/>
  <c r="DR12" i="1"/>
  <c r="BO12" i="1"/>
  <c r="L12" i="1"/>
  <c r="BX12" i="1"/>
  <c r="M12" i="1"/>
  <c r="BY12" i="1"/>
  <c r="CQ13" i="6"/>
  <c r="AM13" i="6"/>
  <c r="DE13" i="6"/>
  <c r="BS13" i="6"/>
  <c r="DC13" i="6"/>
  <c r="L13" i="6"/>
  <c r="CT13" i="6"/>
  <c r="BO13" i="6"/>
  <c r="AJ13" i="6"/>
  <c r="DR13" i="6"/>
  <c r="CC13" i="6"/>
  <c r="AN13" i="6"/>
  <c r="DT13" i="6"/>
  <c r="CE13" i="6"/>
  <c r="AZ13" i="6"/>
  <c r="BA5" i="4"/>
  <c r="U5" i="4"/>
  <c r="AS5" i="4" s="1"/>
  <c r="AR5" i="4" s="1"/>
  <c r="AU5" i="4" s="1"/>
  <c r="AV5" i="4" s="1"/>
  <c r="AW5" i="4" s="1"/>
  <c r="AE6" i="4"/>
  <c r="BB6" i="4"/>
  <c r="AE51" i="4"/>
  <c r="BB51" i="4"/>
  <c r="U64" i="4"/>
  <c r="AS64" i="4" s="1"/>
  <c r="AR64" i="4" s="1"/>
  <c r="AU64" i="4" s="1"/>
  <c r="AV64" i="4" s="1"/>
  <c r="AW64" i="4" s="1"/>
  <c r="BA64" i="4"/>
  <c r="AE18" i="4"/>
  <c r="BB18" i="4"/>
  <c r="CE10" i="6"/>
  <c r="DK10" i="6"/>
  <c r="BP10" i="6"/>
  <c r="M10" i="6"/>
  <c r="BY10" i="6"/>
  <c r="V10" i="6"/>
  <c r="CH10" i="6"/>
  <c r="AE10" i="6"/>
  <c r="CQ10" i="6"/>
  <c r="AN10" i="6"/>
  <c r="CZ10" i="6"/>
  <c r="AW10" i="6"/>
  <c r="DI10" i="6"/>
  <c r="BF10" i="6"/>
  <c r="DR10" i="6"/>
  <c r="U84" i="4"/>
  <c r="AS84" i="4" s="1"/>
  <c r="AR84" i="4" s="1"/>
  <c r="AU84" i="4" s="1"/>
  <c r="AV84" i="4" s="1"/>
  <c r="AW84" i="4" s="1"/>
  <c r="BA84" i="4"/>
  <c r="AE23" i="4"/>
  <c r="AS23" i="4"/>
  <c r="AR23" i="4" s="1"/>
  <c r="AU23" i="4" s="1"/>
  <c r="AV23" i="4" s="1"/>
  <c r="AW23" i="4" s="1"/>
  <c r="BB23" i="4"/>
  <c r="BA43" i="4"/>
  <c r="U43" i="4"/>
  <c r="AE38" i="4"/>
  <c r="BB38" i="4"/>
  <c r="AE41" i="4"/>
  <c r="BB41" i="4"/>
  <c r="BG10" i="6"/>
  <c r="CM10" i="6"/>
  <c r="T10" i="6"/>
  <c r="CF10" i="6"/>
  <c r="AC10" i="6"/>
  <c r="CO10" i="6"/>
  <c r="AL10" i="6"/>
  <c r="CX10" i="6"/>
  <c r="AU10" i="6"/>
  <c r="DG10" i="6"/>
  <c r="BD10" i="6"/>
  <c r="DP10" i="6"/>
  <c r="BM10" i="6"/>
  <c r="J10" i="6"/>
  <c r="BV10" i="6"/>
  <c r="BA61" i="4"/>
  <c r="U61" i="4"/>
  <c r="AS61" i="4" s="1"/>
  <c r="AR61" i="4" s="1"/>
  <c r="AU61" i="4" s="1"/>
  <c r="AQ23" i="7"/>
  <c r="AT23" i="7" s="1"/>
  <c r="AU23" i="7" s="1"/>
  <c r="AV23" i="7" s="1"/>
  <c r="U8" i="7"/>
  <c r="AR8" i="7" s="1"/>
  <c r="AQ8" i="7" s="1"/>
  <c r="AT8" i="7" s="1"/>
  <c r="AU8" i="7" s="1"/>
  <c r="AV8" i="7" s="1"/>
  <c r="AZ8" i="7"/>
  <c r="BA42" i="4"/>
  <c r="U42" i="4"/>
  <c r="AS42" i="4" s="1"/>
  <c r="AR42" i="4" s="1"/>
  <c r="AU42" i="4" s="1"/>
  <c r="AV42" i="4" s="1"/>
  <c r="AW42" i="4" s="1"/>
  <c r="U9" i="7"/>
  <c r="AR9" i="7" s="1"/>
  <c r="AQ9" i="7" s="1"/>
  <c r="AT9" i="7" s="1"/>
  <c r="AU9" i="7" s="1"/>
  <c r="AV9" i="7" s="1"/>
  <c r="AZ9" i="7"/>
  <c r="AI6" i="3"/>
  <c r="AJ6" i="3" s="1"/>
  <c r="AK6" i="3" s="1"/>
  <c r="AL6" i="3" s="1"/>
  <c r="AM6" i="3" s="1"/>
  <c r="AN6" i="3" s="1"/>
  <c r="AO6" i="3" s="1"/>
  <c r="AH1" i="3"/>
  <c r="AW60" i="4"/>
  <c r="AV60" i="4"/>
  <c r="AN68" i="4"/>
  <c r="AO68" i="4" s="1"/>
  <c r="AR68" i="4" s="1"/>
  <c r="AU68" i="4" s="1"/>
  <c r="AV68" i="4" s="1"/>
  <c r="AW68" i="4" s="1"/>
  <c r="CP12" i="1"/>
  <c r="CY12" i="1"/>
  <c r="DH12" i="1"/>
  <c r="DQ12" i="1"/>
  <c r="K12" i="1"/>
  <c r="T12" i="1"/>
  <c r="CF12" i="1"/>
  <c r="CG12" i="1"/>
  <c r="AE35" i="4"/>
  <c r="BB35" i="4"/>
  <c r="CP10" i="6"/>
  <c r="AZ11" i="7"/>
  <c r="U11" i="7"/>
  <c r="AR11" i="7" s="1"/>
  <c r="AQ11" i="7" s="1"/>
  <c r="AT11" i="7" s="1"/>
  <c r="AU11" i="7" s="1"/>
  <c r="AV11" i="7" s="1"/>
  <c r="U14" i="7"/>
  <c r="AR14" i="7" s="1"/>
  <c r="AQ14" i="7" s="1"/>
  <c r="AT14" i="7" s="1"/>
  <c r="AU14" i="7" s="1"/>
  <c r="AV14" i="7" s="1"/>
  <c r="AZ14" i="7"/>
  <c r="AR62" i="4"/>
  <c r="AU62" i="4" s="1"/>
  <c r="AV62" i="4" s="1"/>
  <c r="AW62" i="4" s="1"/>
  <c r="AU13" i="6"/>
  <c r="Q13" i="6"/>
  <c r="BA75" i="4"/>
  <c r="U75" i="4"/>
  <c r="AS75" i="4" s="1"/>
  <c r="AZ13" i="7"/>
  <c r="U13" i="7"/>
  <c r="AR13" i="7" s="1"/>
  <c r="AQ13" i="7" s="1"/>
  <c r="AT13" i="7" s="1"/>
  <c r="AU13" i="7" s="1"/>
  <c r="AV13" i="7" s="1"/>
  <c r="U16" i="7"/>
  <c r="AR16" i="7" s="1"/>
  <c r="AQ16" i="7" s="1"/>
  <c r="AT16" i="7" s="1"/>
  <c r="AU16" i="7" s="1"/>
  <c r="AV16" i="7" s="1"/>
  <c r="AZ16" i="7"/>
  <c r="U39" i="4"/>
  <c r="AS39" i="4" s="1"/>
  <c r="AR39" i="4" s="1"/>
  <c r="AU39" i="4" s="1"/>
  <c r="AV39" i="4" s="1"/>
  <c r="AW39" i="4" s="1"/>
  <c r="BA39" i="4"/>
  <c r="CL10" i="2"/>
  <c r="AW10" i="2"/>
  <c r="EC10" i="2"/>
  <c r="CD10" i="2"/>
  <c r="AC10" i="2"/>
  <c r="DK10" i="2"/>
  <c r="BK10" i="2"/>
  <c r="K10" i="2"/>
  <c r="CS10" i="2"/>
  <c r="BC10" i="2"/>
  <c r="M10" i="2"/>
  <c r="CU10" i="2"/>
  <c r="AL10" i="2"/>
  <c r="CX10" i="2"/>
  <c r="AF10" i="2"/>
  <c r="AE15" i="4"/>
  <c r="BB15" i="4"/>
  <c r="U5" i="7"/>
  <c r="AR5" i="7" s="1"/>
  <c r="AQ5" i="7" s="1"/>
  <c r="AT5" i="7" s="1"/>
  <c r="AU5" i="7" s="1"/>
  <c r="AV5" i="7" s="1"/>
  <c r="AZ5" i="7"/>
  <c r="AU47" i="4"/>
  <c r="AV47" i="4" s="1"/>
  <c r="AW47" i="4" s="1"/>
  <c r="AT12" i="1"/>
  <c r="DF12" i="1"/>
  <c r="BC12" i="1"/>
  <c r="DO12" i="1"/>
  <c r="BL12" i="1"/>
  <c r="I12" i="1"/>
  <c r="BU12" i="1"/>
  <c r="R12" i="1"/>
  <c r="CD12" i="1"/>
  <c r="AA12" i="1"/>
  <c r="CM12" i="1"/>
  <c r="AJ12" i="1"/>
  <c r="CV12" i="1"/>
  <c r="AK12" i="1"/>
  <c r="CW12" i="1"/>
  <c r="CG13" i="6"/>
  <c r="M13" i="6"/>
  <c r="BA13" i="6"/>
  <c r="O13" i="6"/>
  <c r="AQ13" i="6"/>
  <c r="AR13" i="6"/>
  <c r="N13" i="6"/>
  <c r="CU13" i="6"/>
  <c r="BP13" i="6"/>
  <c r="AA13" i="6"/>
  <c r="DI13" i="6"/>
  <c r="BT13" i="6"/>
  <c r="AD13" i="6"/>
  <c r="DK13" i="6"/>
  <c r="CF13" i="6"/>
  <c r="BQ10" i="1"/>
  <c r="N10" i="1"/>
  <c r="BZ10" i="1"/>
  <c r="W10" i="1"/>
  <c r="CI10" i="1"/>
  <c r="AF10" i="1"/>
  <c r="CR10" i="1"/>
  <c r="AO10" i="1"/>
  <c r="DA10" i="1"/>
  <c r="BA37" i="4"/>
  <c r="U37" i="4"/>
  <c r="AS37" i="4" s="1"/>
  <c r="AR37" i="4" s="1"/>
  <c r="AU37" i="4" s="1"/>
  <c r="AV37" i="4" s="1"/>
  <c r="AW37" i="4" s="1"/>
  <c r="AE25" i="4"/>
  <c r="BB25" i="4"/>
  <c r="AE27" i="4"/>
  <c r="BB27" i="4"/>
  <c r="BA38" i="4"/>
  <c r="U38" i="4"/>
  <c r="AS38" i="4" s="1"/>
  <c r="AR38" i="4" s="1"/>
  <c r="AU38" i="4" s="1"/>
  <c r="AV38" i="4" s="1"/>
  <c r="AW38" i="4" s="1"/>
  <c r="BA41" i="4"/>
  <c r="U41" i="4"/>
  <c r="AS41" i="4" s="1"/>
  <c r="AR41" i="4" s="1"/>
  <c r="AU41" i="4" s="1"/>
  <c r="AV41" i="4" s="1"/>
  <c r="AW41" i="4" s="1"/>
  <c r="DS10" i="6"/>
  <c r="AI10" i="6"/>
  <c r="AB10" i="6"/>
  <c r="CN10" i="6"/>
  <c r="AK10" i="6"/>
  <c r="CW10" i="6"/>
  <c r="AT10" i="6"/>
  <c r="DF10" i="6"/>
  <c r="BC10" i="6"/>
  <c r="DO10" i="6"/>
  <c r="BL10" i="6"/>
  <c r="I10" i="6"/>
  <c r="BU10" i="6"/>
  <c r="R10" i="6"/>
  <c r="CD10" i="6"/>
  <c r="BA13" i="4"/>
  <c r="U13" i="4"/>
  <c r="AS13" i="4" s="1"/>
  <c r="AR13" i="4" s="1"/>
  <c r="AU13" i="4" s="1"/>
  <c r="AV13" i="4" s="1"/>
  <c r="AW13" i="4" s="1"/>
  <c r="AS48" i="4"/>
  <c r="AR48" i="4" s="1"/>
  <c r="AU48" i="4" s="1"/>
  <c r="AE48" i="4"/>
  <c r="BB48" i="4"/>
  <c r="AN45" i="4"/>
  <c r="AO45" i="4" s="1"/>
  <c r="AR45" i="4" s="1"/>
  <c r="AU45" i="4" s="1"/>
  <c r="AV45" i="4" s="1"/>
  <c r="AW45" i="4" s="1"/>
  <c r="AM26" i="7"/>
  <c r="AN26" i="7" s="1"/>
  <c r="AQ26" i="7" s="1"/>
  <c r="AT26" i="7" s="1"/>
  <c r="AU26" i="7" s="1"/>
  <c r="AV26" i="7" s="1"/>
  <c r="AZ19" i="7"/>
  <c r="U19" i="7"/>
  <c r="AR19" i="7" s="1"/>
  <c r="AQ19" i="7" s="1"/>
  <c r="AT19" i="7" s="1"/>
  <c r="AU19" i="7" s="1"/>
  <c r="AV19" i="7" s="1"/>
  <c r="AE39" i="4"/>
  <c r="BB39" i="4"/>
  <c r="AE81" i="4"/>
  <c r="BB81" i="4"/>
  <c r="U15" i="4"/>
  <c r="AS15" i="4" s="1"/>
  <c r="AR15" i="4" s="1"/>
  <c r="AU15" i="4" s="1"/>
  <c r="BA15" i="4"/>
  <c r="AE77" i="4"/>
  <c r="BB77" i="4"/>
  <c r="AH1" i="5"/>
  <c r="AI6" i="5"/>
  <c r="AJ6" i="5" s="1"/>
  <c r="AK6" i="5" s="1"/>
  <c r="AL6" i="5" s="1"/>
  <c r="AM6" i="5" s="1"/>
  <c r="AN6" i="5" s="1"/>
  <c r="AO6" i="5" s="1"/>
  <c r="BA59" i="4"/>
  <c r="U59" i="4"/>
  <c r="AS59" i="4" s="1"/>
  <c r="AR59" i="4" s="1"/>
  <c r="AU59" i="4" s="1"/>
  <c r="AE49" i="4"/>
  <c r="BB49" i="4"/>
  <c r="AD12" i="1"/>
  <c r="AM12" i="1"/>
  <c r="AV12" i="1"/>
  <c r="BE12" i="1"/>
  <c r="BN12" i="1"/>
  <c r="BW12" i="1"/>
  <c r="U12" i="1"/>
  <c r="AE5" i="4"/>
  <c r="BB5" i="4"/>
  <c r="BA6" i="4"/>
  <c r="U6" i="4"/>
  <c r="AS6" i="4" s="1"/>
  <c r="AR6" i="4" s="1"/>
  <c r="AU6" i="4" s="1"/>
  <c r="AV6" i="4" s="1"/>
  <c r="AW6" i="4" s="1"/>
  <c r="AA10" i="6"/>
  <c r="L10" i="6"/>
  <c r="BX10" i="6"/>
  <c r="U10" i="6"/>
  <c r="CG10" i="6"/>
  <c r="AD10" i="6"/>
  <c r="AM10" i="6"/>
  <c r="CY10" i="6"/>
  <c r="AV10" i="6"/>
  <c r="DH10" i="6"/>
  <c r="BE10" i="6"/>
  <c r="DQ10" i="6"/>
  <c r="BN10" i="6"/>
  <c r="U77" i="4"/>
  <c r="AS77" i="4" s="1"/>
  <c r="AR77" i="4" s="1"/>
  <c r="AU77" i="4" s="1"/>
  <c r="BA77" i="4"/>
  <c r="BA9" i="4"/>
  <c r="U9" i="4"/>
  <c r="AS9" i="4" s="1"/>
  <c r="AR9" i="4" s="1"/>
  <c r="AU9" i="4" s="1"/>
  <c r="AV9" i="4" s="1"/>
  <c r="AW9" i="4" s="1"/>
  <c r="CY13" i="6"/>
  <c r="DO13" i="6"/>
  <c r="DN13" i="6"/>
  <c r="AH13" i="6"/>
  <c r="DP13" i="6"/>
  <c r="CK13" i="6"/>
  <c r="BF13" i="6"/>
  <c r="CX13" i="6"/>
  <c r="S13" i="6"/>
  <c r="DA13" i="6"/>
  <c r="BV13" i="6"/>
  <c r="C10" i="5"/>
  <c r="U15" i="7"/>
  <c r="C11" i="5" s="1"/>
  <c r="AZ15" i="7"/>
  <c r="AE73" i="4"/>
  <c r="BB73" i="4"/>
  <c r="AZ31" i="7"/>
  <c r="U31" i="7"/>
  <c r="AR31" i="7" s="1"/>
  <c r="AQ31" i="7" s="1"/>
  <c r="AT31" i="7" s="1"/>
  <c r="AU31" i="7" s="1"/>
  <c r="AV31" i="7" s="1"/>
  <c r="AV57" i="4"/>
  <c r="AW57" i="4"/>
  <c r="U19" i="4"/>
  <c r="AS19" i="4" s="1"/>
  <c r="AR19" i="4" s="1"/>
  <c r="AU19" i="4" s="1"/>
  <c r="AV19" i="4" s="1"/>
  <c r="AW19" i="4" s="1"/>
  <c r="BA19" i="4"/>
  <c r="AE10" i="4"/>
  <c r="BB10" i="4"/>
  <c r="AZ36" i="7"/>
  <c r="U36" i="7"/>
  <c r="AR36" i="7" s="1"/>
  <c r="AQ36" i="7" s="1"/>
  <c r="AT36" i="7" s="1"/>
  <c r="AU36" i="7" s="1"/>
  <c r="AV36" i="7" s="1"/>
  <c r="AE31" i="4"/>
  <c r="AS31" i="4"/>
  <c r="AR31" i="4" s="1"/>
  <c r="AU31" i="4" s="1"/>
  <c r="AV31" i="4" s="1"/>
  <c r="AW31" i="4" s="1"/>
  <c r="BB31" i="4"/>
  <c r="BB12" i="1"/>
  <c r="DN12" i="1"/>
  <c r="BK12" i="1"/>
  <c r="H12" i="1"/>
  <c r="BT12" i="1"/>
  <c r="Q12" i="1"/>
  <c r="CC12" i="1"/>
  <c r="Z12" i="1"/>
  <c r="CL12" i="1"/>
  <c r="AI12" i="1"/>
  <c r="CU12" i="1"/>
  <c r="AR12" i="1"/>
  <c r="DD12" i="1"/>
  <c r="AS12" i="1"/>
  <c r="DE12" i="1"/>
  <c r="DG13" i="6"/>
  <c r="BY13" i="6"/>
  <c r="DM13" i="6"/>
  <c r="CA13" i="6"/>
  <c r="BB13" i="6"/>
  <c r="BD13" i="6"/>
  <c r="Y13" i="6"/>
  <c r="DF13" i="6"/>
  <c r="CB13" i="6"/>
  <c r="AL13" i="6"/>
  <c r="DS13" i="6"/>
  <c r="CD13" i="6"/>
  <c r="AO13" i="6"/>
  <c r="J13" i="6"/>
  <c r="CR13" i="6"/>
  <c r="AE87" i="4"/>
  <c r="BB87" i="4"/>
  <c r="E11" i="3"/>
  <c r="DW11" i="3" s="1"/>
  <c r="AE64" i="4"/>
  <c r="BB64" i="4"/>
  <c r="BA25" i="4"/>
  <c r="U25" i="4"/>
  <c r="AS25" i="4" s="1"/>
  <c r="AR25" i="4" s="1"/>
  <c r="AU25" i="4" s="1"/>
  <c r="AV25" i="4" s="1"/>
  <c r="AW25" i="4" s="1"/>
  <c r="AE85" i="4"/>
  <c r="BB85" i="4"/>
  <c r="AN70" i="4"/>
  <c r="AO70" i="4" s="1"/>
  <c r="AR70" i="4" s="1"/>
  <c r="AU70" i="4" s="1"/>
  <c r="AV70" i="4" s="1"/>
  <c r="AW70" i="4" s="1"/>
  <c r="BO10" i="6"/>
  <c r="CU10" i="6"/>
  <c r="AJ10" i="6"/>
  <c r="CV10" i="6"/>
  <c r="AS10" i="6"/>
  <c r="DE10" i="6"/>
  <c r="BB10" i="6"/>
  <c r="DN10" i="6"/>
  <c r="BK10" i="6"/>
  <c r="H10" i="6"/>
  <c r="BT10" i="6"/>
  <c r="Q10" i="6"/>
  <c r="CC10" i="6"/>
  <c r="Z10" i="6"/>
  <c r="CL10" i="6"/>
  <c r="AE34" i="4"/>
  <c r="BB34" i="4"/>
  <c r="AQ35" i="7"/>
  <c r="AT35" i="7" s="1"/>
  <c r="AU35" i="7" s="1"/>
  <c r="AV35" i="7" s="1"/>
  <c r="AI6" i="6"/>
  <c r="AJ6" i="6" s="1"/>
  <c r="AK6" i="6" s="1"/>
  <c r="AL6" i="6" s="1"/>
  <c r="AM6" i="6" s="1"/>
  <c r="AN6" i="6" s="1"/>
  <c r="AO6" i="6" s="1"/>
  <c r="AH1" i="6"/>
  <c r="AM24" i="7"/>
  <c r="AN24" i="7" s="1"/>
  <c r="AQ24" i="7" s="1"/>
  <c r="AT24" i="7" s="1"/>
  <c r="AU24" i="7" s="1"/>
  <c r="AV24" i="7" s="1"/>
  <c r="DS14" i="6"/>
  <c r="CM14" i="6"/>
  <c r="BG14" i="6"/>
  <c r="DR14" i="6"/>
  <c r="CL14" i="6"/>
  <c r="BF14" i="6"/>
  <c r="DQ14" i="6"/>
  <c r="CK14" i="6"/>
  <c r="BE14" i="6"/>
  <c r="DP14" i="6"/>
  <c r="CJ14" i="6"/>
  <c r="BD14" i="6"/>
  <c r="DC14" i="6"/>
  <c r="BW14" i="6"/>
  <c r="AQ14" i="6"/>
  <c r="CG14" i="6"/>
  <c r="AA14" i="6"/>
  <c r="DJ14" i="6"/>
  <c r="BA14" i="6"/>
  <c r="Z14" i="6"/>
  <c r="P14" i="6"/>
  <c r="E14" i="6"/>
  <c r="C15" i="6" s="1"/>
  <c r="CD14" i="6"/>
  <c r="AI14" i="6"/>
  <c r="O14" i="6"/>
  <c r="DA14" i="6"/>
  <c r="BV14" i="6"/>
  <c r="AH14" i="6"/>
  <c r="M14" i="6"/>
  <c r="BU14" i="6"/>
  <c r="AS14" i="6"/>
  <c r="AG14" i="6"/>
  <c r="K14" i="6"/>
  <c r="BT14" i="6"/>
  <c r="AF14" i="6"/>
  <c r="U14" i="6"/>
  <c r="J14" i="6"/>
  <c r="BL14" i="6"/>
  <c r="AE14" i="6"/>
  <c r="I14" i="6"/>
  <c r="BK14" i="6"/>
  <c r="AN14" i="6"/>
  <c r="R14" i="6"/>
  <c r="DM14" i="6"/>
  <c r="DF14" i="6"/>
  <c r="AT14" i="6"/>
  <c r="DD14" i="6"/>
  <c r="CV14" i="6"/>
  <c r="AB14" i="6"/>
  <c r="BZ14" i="6"/>
  <c r="DT14" i="6"/>
  <c r="AL14" i="6"/>
  <c r="CH14" i="6"/>
  <c r="BJ14" i="6"/>
  <c r="N14" i="6"/>
  <c r="BH14" i="6"/>
  <c r="BR14" i="6"/>
  <c r="BP14" i="6"/>
  <c r="BB14" i="6"/>
  <c r="AZ14" i="6"/>
  <c r="CX14" i="6"/>
  <c r="AJ14" i="6"/>
  <c r="T14" i="6"/>
  <c r="BZ13" i="6"/>
  <c r="AX13" i="6"/>
  <c r="AE37" i="4"/>
  <c r="BB37" i="4"/>
  <c r="AZ18" i="7"/>
  <c r="U18" i="7"/>
  <c r="AR18" i="7" s="1"/>
  <c r="AQ18" i="7" s="1"/>
  <c r="AT18" i="7" s="1"/>
  <c r="AU18" i="7" s="1"/>
  <c r="AV18" i="7" s="1"/>
  <c r="U49" i="4"/>
  <c r="AS49" i="4" s="1"/>
  <c r="AR49" i="4" s="1"/>
  <c r="AU49" i="4" s="1"/>
  <c r="BA49" i="4"/>
  <c r="AN50" i="4"/>
  <c r="AO50" i="4" s="1"/>
  <c r="AR50" i="4" s="1"/>
  <c r="AU50" i="4" s="1"/>
  <c r="AE9" i="4"/>
  <c r="BB9" i="4"/>
  <c r="AL12" i="1"/>
  <c r="BQ13" i="6"/>
  <c r="BH13" i="6"/>
  <c r="AE63" i="4"/>
  <c r="AS63" i="4"/>
  <c r="AR63" i="4" s="1"/>
  <c r="AU63" i="4" s="1"/>
  <c r="AV63" i="4" s="1"/>
  <c r="AW63" i="4" s="1"/>
  <c r="BB63" i="4"/>
  <c r="AZ17" i="7"/>
  <c r="U17" i="7"/>
  <c r="AR17" i="7" s="1"/>
  <c r="AQ17" i="7" s="1"/>
  <c r="AT17" i="7" s="1"/>
  <c r="AU17" i="7" s="1"/>
  <c r="AV17" i="7" s="1"/>
  <c r="AR6" i="7"/>
  <c r="U73" i="4"/>
  <c r="AS73" i="4" s="1"/>
  <c r="AR73" i="4" s="1"/>
  <c r="AU73" i="4" s="1"/>
  <c r="BA73" i="4"/>
  <c r="AR40" i="4"/>
  <c r="AU40" i="4" s="1"/>
  <c r="AV40" i="4" s="1"/>
  <c r="AW40" i="4" s="1"/>
  <c r="AE29" i="4"/>
  <c r="BB29" i="4"/>
  <c r="AE59" i="4"/>
  <c r="BB59" i="4"/>
  <c r="U10" i="4"/>
  <c r="AS10" i="4" s="1"/>
  <c r="AR10" i="4" s="1"/>
  <c r="AU10" i="4" s="1"/>
  <c r="AV10" i="4" s="1"/>
  <c r="AW10" i="4" s="1"/>
  <c r="BA10" i="4"/>
  <c r="BA79" i="4"/>
  <c r="U79" i="4"/>
  <c r="AS79" i="4" s="1"/>
  <c r="AR79" i="4" s="1"/>
  <c r="AU79" i="4" s="1"/>
  <c r="AI6" i="2"/>
  <c r="AJ6" i="2" s="1"/>
  <c r="AK6" i="2" s="1"/>
  <c r="AL6" i="2" s="1"/>
  <c r="AM6" i="2" s="1"/>
  <c r="AN6" i="2" s="1"/>
  <c r="AO6" i="2" s="1"/>
  <c r="AH1" i="2"/>
  <c r="AS17" i="4"/>
  <c r="AR17" i="4" s="1"/>
  <c r="AU17" i="4" s="1"/>
  <c r="AV17" i="4" s="1"/>
  <c r="AW17" i="4" s="1"/>
  <c r="AE17" i="4"/>
  <c r="BB17" i="4"/>
  <c r="AS32" i="4"/>
  <c r="AN32" i="4" s="1"/>
  <c r="AO32" i="4" s="1"/>
  <c r="AE69" i="4"/>
  <c r="AS69" i="4"/>
  <c r="BB69" i="4"/>
  <c r="BJ12" i="1"/>
  <c r="G12" i="1"/>
  <c r="BS12" i="1"/>
  <c r="P12" i="1"/>
  <c r="CB12" i="1"/>
  <c r="Y12" i="1"/>
  <c r="CK12" i="1"/>
  <c r="AH12" i="1"/>
  <c r="CT12" i="1"/>
  <c r="AQ12" i="1"/>
  <c r="DC12" i="1"/>
  <c r="AZ12" i="1"/>
  <c r="DL12" i="1"/>
  <c r="BA12" i="1"/>
  <c r="DM12" i="1"/>
  <c r="AS30" i="4"/>
  <c r="AE30" i="4"/>
  <c r="BB30" i="4"/>
  <c r="CO13" i="6"/>
  <c r="W13" i="6"/>
  <c r="BK13" i="6"/>
  <c r="K13" i="6"/>
  <c r="BM13" i="6"/>
  <c r="BN13" i="6"/>
  <c r="AI13" i="6"/>
  <c r="DQ13" i="6"/>
  <c r="CL13" i="6"/>
  <c r="AW13" i="6"/>
  <c r="H13" i="6"/>
  <c r="CN13" i="6"/>
  <c r="AY13" i="6"/>
  <c r="T13" i="6"/>
  <c r="DB13" i="6"/>
  <c r="U11" i="4"/>
  <c r="AS11" i="4" s="1"/>
  <c r="AR11" i="4" s="1"/>
  <c r="AU11" i="4" s="1"/>
  <c r="AV11" i="4" s="1"/>
  <c r="AW11" i="4" s="1"/>
  <c r="BA11" i="4"/>
  <c r="BN10" i="1"/>
  <c r="K10" i="1"/>
  <c r="BW10" i="1"/>
  <c r="T10" i="1"/>
  <c r="CF10" i="1"/>
  <c r="U10" i="1"/>
  <c r="CG10" i="1"/>
  <c r="AD10" i="1"/>
  <c r="CP10" i="1"/>
  <c r="AM10" i="1"/>
  <c r="CY10" i="1"/>
  <c r="AV10" i="1"/>
  <c r="DH10" i="1"/>
  <c r="BE10" i="1"/>
  <c r="BA87" i="4"/>
  <c r="U87" i="4"/>
  <c r="AS87" i="4" s="1"/>
  <c r="AR87" i="4" s="1"/>
  <c r="AU87" i="4" s="1"/>
  <c r="AV87" i="4" s="1"/>
  <c r="AW87" i="4" s="1"/>
  <c r="E10" i="3"/>
  <c r="EI10" i="3" s="1"/>
  <c r="AE65" i="4"/>
  <c r="AS65" i="4"/>
  <c r="AR65" i="4" s="1"/>
  <c r="AU65" i="4" s="1"/>
  <c r="AV65" i="4" s="1"/>
  <c r="AW65" i="4" s="1"/>
  <c r="BB65" i="4"/>
  <c r="U35" i="4"/>
  <c r="BA35" i="4"/>
  <c r="BA85" i="4"/>
  <c r="U85" i="4"/>
  <c r="AS85" i="4" s="1"/>
  <c r="AR85" i="4" s="1"/>
  <c r="AU85" i="4" s="1"/>
  <c r="AV85" i="4" s="1"/>
  <c r="AW85" i="4" s="1"/>
  <c r="U7" i="4"/>
  <c r="AS7" i="4" s="1"/>
  <c r="AR7" i="4" s="1"/>
  <c r="AU7" i="4" s="1"/>
  <c r="AV7" i="4" s="1"/>
  <c r="AW7" i="4" s="1"/>
  <c r="BA7" i="4"/>
  <c r="K10" i="6"/>
  <c r="AQ10" i="6"/>
  <c r="AR10" i="6"/>
  <c r="DD10" i="6"/>
  <c r="BA10" i="6"/>
  <c r="DM10" i="6"/>
  <c r="BJ10" i="6"/>
  <c r="G10" i="6"/>
  <c r="BS10" i="6"/>
  <c r="P10" i="6"/>
  <c r="CB10" i="6"/>
  <c r="Y10" i="6"/>
  <c r="CK10" i="6"/>
  <c r="AH10" i="6"/>
  <c r="AS71" i="4"/>
  <c r="AE71" i="4"/>
  <c r="BB71" i="4"/>
  <c r="BA34" i="4"/>
  <c r="U34" i="4"/>
  <c r="AS34" i="4" s="1"/>
  <c r="AE76" i="4"/>
  <c r="AS76" i="4"/>
  <c r="BB76" i="4"/>
  <c r="AL1" i="15"/>
  <c r="AM6" i="15"/>
  <c r="AN6" i="15" s="1"/>
  <c r="AO6" i="15" s="1"/>
  <c r="AP6" i="15" s="1"/>
  <c r="AQ6" i="15" s="1"/>
  <c r="AR6" i="15" s="1"/>
  <c r="AS6" i="15" s="1"/>
  <c r="P10" i="2" l="1"/>
  <c r="BJ10" i="2"/>
  <c r="CY10" i="2"/>
  <c r="H10" i="2"/>
  <c r="T10" i="2"/>
  <c r="BU10" i="2"/>
  <c r="S10" i="2"/>
  <c r="BA10" i="2"/>
  <c r="AA10" i="2"/>
  <c r="CM10" i="2"/>
  <c r="BD10" i="2"/>
  <c r="DX10" i="2"/>
  <c r="DA10" i="2"/>
  <c r="CV10" i="2"/>
  <c r="W10" i="2"/>
  <c r="EA10" i="2"/>
  <c r="BH10" i="2"/>
  <c r="DY10" i="2"/>
  <c r="DW10" i="2"/>
  <c r="BF10" i="2"/>
  <c r="EG10" i="2"/>
  <c r="BY10" i="2"/>
  <c r="AX10" i="2"/>
  <c r="BM10" i="2"/>
  <c r="BX10" i="2"/>
  <c r="R10" i="2"/>
  <c r="CZ10" i="2"/>
  <c r="BT10" i="2"/>
  <c r="G10" i="2"/>
  <c r="EH10" i="2"/>
  <c r="ED10" i="2"/>
  <c r="AD10" i="2"/>
  <c r="DF10" i="2"/>
  <c r="EF10" i="2"/>
  <c r="CE10" i="2"/>
  <c r="BO10" i="2"/>
  <c r="AZ10" i="2"/>
  <c r="DZ10" i="2"/>
  <c r="EE10" i="2"/>
  <c r="CH10" i="2"/>
  <c r="DD10" i="2"/>
  <c r="EB10" i="2"/>
  <c r="DC11" i="3"/>
  <c r="AE11" i="3"/>
  <c r="AI11" i="3"/>
  <c r="H11" i="3"/>
  <c r="AL11" i="3"/>
  <c r="D23" i="2"/>
  <c r="DD11" i="3"/>
  <c r="DC10" i="2"/>
  <c r="CB10" i="2"/>
  <c r="AE10" i="2"/>
  <c r="AT10" i="2"/>
  <c r="BP10" i="2"/>
  <c r="DI10" i="2"/>
  <c r="AY10" i="2"/>
  <c r="AG10" i="2"/>
  <c r="BL10" i="2"/>
  <c r="AM10" i="2"/>
  <c r="DL10" i="2"/>
  <c r="AV10" i="2"/>
  <c r="DS10" i="2"/>
  <c r="CI10" i="2"/>
  <c r="AK10" i="3"/>
  <c r="CA10" i="3"/>
  <c r="DY11" i="3"/>
  <c r="CJ10" i="2"/>
  <c r="AP10" i="2"/>
  <c r="BR10" i="2"/>
  <c r="DJ10" i="2"/>
  <c r="AR10" i="2"/>
  <c r="AN10" i="2"/>
  <c r="DV10" i="2"/>
  <c r="CC10" i="2"/>
  <c r="AO10" i="2"/>
  <c r="N10" i="2"/>
  <c r="AJ10" i="2"/>
  <c r="I10" i="2"/>
  <c r="DE10" i="2"/>
  <c r="O10" i="2"/>
  <c r="CF10" i="2"/>
  <c r="CO10" i="2"/>
  <c r="EK10" i="3"/>
  <c r="EM10" i="3"/>
  <c r="CB10" i="3"/>
  <c r="DQ11" i="3"/>
  <c r="BZ10" i="2"/>
  <c r="DT10" i="2"/>
  <c r="AI10" i="2"/>
  <c r="BG10" i="2"/>
  <c r="BV10" i="2"/>
  <c r="CK10" i="2"/>
  <c r="BE10" i="2"/>
  <c r="DN10" i="2"/>
  <c r="AK10" i="2"/>
  <c r="L10" i="2"/>
  <c r="CP10" i="2"/>
  <c r="Q10" i="2"/>
  <c r="DM10" i="2"/>
  <c r="DP10" i="2"/>
  <c r="CN10" i="2"/>
  <c r="EX10" i="3"/>
  <c r="AM10" i="3"/>
  <c r="CG10" i="3"/>
  <c r="BI10" i="3"/>
  <c r="DX10" i="3"/>
  <c r="EA11" i="3"/>
  <c r="F10" i="2"/>
  <c r="AB10" i="2"/>
  <c r="BN10" i="2"/>
  <c r="CA10" i="2"/>
  <c r="BI10" i="2"/>
  <c r="BW10" i="2"/>
  <c r="AH10" i="2"/>
  <c r="V10" i="2"/>
  <c r="AU10" i="2"/>
  <c r="U10" i="2"/>
  <c r="DQ10" i="2"/>
  <c r="Z10" i="2"/>
  <c r="DB10" i="2"/>
  <c r="X10" i="2"/>
  <c r="CW10" i="2"/>
  <c r="C11" i="2"/>
  <c r="E11" i="2" s="1"/>
  <c r="EB11" i="2" s="1"/>
  <c r="AS10" i="2"/>
  <c r="BQ10" i="2"/>
  <c r="CG10" i="2"/>
  <c r="DH10" i="2"/>
  <c r="BS10" i="2"/>
  <c r="CQ10" i="2"/>
  <c r="AQ10" i="2"/>
  <c r="Y10" i="2"/>
  <c r="DR10" i="2"/>
  <c r="J10" i="2"/>
  <c r="DO10" i="2"/>
  <c r="CT10" i="2"/>
  <c r="DU10" i="2"/>
  <c r="BB10" i="2"/>
  <c r="DG10" i="2"/>
  <c r="ED10" i="3"/>
  <c r="AR10" i="3"/>
  <c r="BU10" i="3"/>
  <c r="EZ10" i="3"/>
  <c r="AA10" i="3"/>
  <c r="DK11" i="3"/>
  <c r="CM10" i="3"/>
  <c r="AP11" i="3"/>
  <c r="DM11" i="3"/>
  <c r="AR11" i="3"/>
  <c r="AD10" i="3"/>
  <c r="EG10" i="3"/>
  <c r="AW11" i="3"/>
  <c r="CN11" i="3"/>
  <c r="CN10" i="3"/>
  <c r="P10" i="3"/>
  <c r="EA10" i="3"/>
  <c r="FA11" i="3"/>
  <c r="BF11" i="3"/>
  <c r="DE11" i="3"/>
  <c r="EH10" i="3"/>
  <c r="CP10" i="3"/>
  <c r="AO10" i="3"/>
  <c r="BJ11" i="3"/>
  <c r="AU11" i="3"/>
  <c r="DA11" i="3"/>
  <c r="DO11" i="3"/>
  <c r="AB11" i="3"/>
  <c r="BF10" i="3"/>
  <c r="AP10" i="3"/>
  <c r="DJ10" i="3"/>
  <c r="DT10" i="3"/>
  <c r="BR10" i="3"/>
  <c r="O10" i="3"/>
  <c r="DG10" i="3"/>
  <c r="BL10" i="3"/>
  <c r="I10" i="3"/>
  <c r="BO10" i="3"/>
  <c r="CL10" i="3"/>
  <c r="DB10" i="3"/>
  <c r="U10" i="3"/>
  <c r="AJ10" i="3"/>
  <c r="EJ10" i="3"/>
  <c r="BZ10" i="3"/>
  <c r="AE10" i="3"/>
  <c r="DW10" i="3"/>
  <c r="BT10" i="3"/>
  <c r="Y10" i="3"/>
  <c r="DQ10" i="3"/>
  <c r="CE10" i="3"/>
  <c r="AS11" i="3"/>
  <c r="CW11" i="3"/>
  <c r="DI11" i="3"/>
  <c r="CS11" i="3"/>
  <c r="EZ11" i="3"/>
  <c r="AR15" i="7"/>
  <c r="AQ15" i="7" s="1"/>
  <c r="AT15" i="7" s="1"/>
  <c r="AU15" i="7" s="1"/>
  <c r="AV15" i="7" s="1"/>
  <c r="AU10" i="3"/>
  <c r="BN10" i="3"/>
  <c r="M10" i="3"/>
  <c r="ES10" i="3"/>
  <c r="BH10" i="3"/>
  <c r="F10" i="3"/>
  <c r="DF10" i="3"/>
  <c r="FC10" i="3"/>
  <c r="CR10" i="3"/>
  <c r="AW10" i="3"/>
  <c r="EW10" i="3"/>
  <c r="CU10" i="3"/>
  <c r="DZ10" i="3"/>
  <c r="BY10" i="3"/>
  <c r="AC10" i="3"/>
  <c r="BX10" i="3"/>
  <c r="N10" i="3"/>
  <c r="DV10" i="3"/>
  <c r="BK10" i="3"/>
  <c r="H10" i="3"/>
  <c r="DH10" i="3"/>
  <c r="BE10" i="3"/>
  <c r="S10" i="3"/>
  <c r="DK10" i="3"/>
  <c r="BA11" i="3"/>
  <c r="BN11" i="3"/>
  <c r="AY11" i="3"/>
  <c r="BB11" i="3"/>
  <c r="BM11" i="3"/>
  <c r="EI11" i="3"/>
  <c r="DS11" i="3"/>
  <c r="BQ10" i="3"/>
  <c r="AX10" i="3"/>
  <c r="DU10" i="3"/>
  <c r="CV10" i="3"/>
  <c r="AT10" i="3"/>
  <c r="EL10" i="3"/>
  <c r="CQ10" i="3"/>
  <c r="AF10" i="3"/>
  <c r="EF10" i="3"/>
  <c r="CK10" i="3"/>
  <c r="AI10" i="3"/>
  <c r="EQ10" i="3"/>
  <c r="EC10" i="3"/>
  <c r="DD10" i="3"/>
  <c r="DA10" i="3"/>
  <c r="Z10" i="3"/>
  <c r="CD10" i="3"/>
  <c r="L10" i="3"/>
  <c r="BJ10" i="3"/>
  <c r="FB10" i="3"/>
  <c r="CY10" i="3"/>
  <c r="AV10" i="3"/>
  <c r="EN10" i="3"/>
  <c r="AY10" i="3"/>
  <c r="EY10" i="3"/>
  <c r="AB10" i="3"/>
  <c r="DI10" i="3"/>
  <c r="AW51" i="4"/>
  <c r="AV51" i="4"/>
  <c r="AW79" i="4"/>
  <c r="AV79" i="4"/>
  <c r="AW77" i="4"/>
  <c r="AV77" i="4"/>
  <c r="AW73" i="4"/>
  <c r="AV73" i="4"/>
  <c r="AV49" i="4"/>
  <c r="AW49" i="4"/>
  <c r="AW15" i="4"/>
  <c r="AV15" i="4"/>
  <c r="AV61" i="4"/>
  <c r="AW61" i="4"/>
  <c r="C12" i="3"/>
  <c r="AV11" i="3"/>
  <c r="G11" i="3"/>
  <c r="EP11" i="3"/>
  <c r="CP11" i="3"/>
  <c r="CH11" i="3"/>
  <c r="EU11" i="3"/>
  <c r="EM11" i="3"/>
  <c r="N11" i="3"/>
  <c r="EX11" i="3"/>
  <c r="BP11" i="3"/>
  <c r="DR10" i="3"/>
  <c r="CW10" i="3"/>
  <c r="AS10" i="3"/>
  <c r="EP10" i="3"/>
  <c r="CO10" i="3"/>
  <c r="AZ10" i="3"/>
  <c r="DL10" i="3"/>
  <c r="V10" i="3"/>
  <c r="CH10" i="3"/>
  <c r="ET10" i="3"/>
  <c r="BC10" i="3"/>
  <c r="DO10" i="3"/>
  <c r="X10" i="3"/>
  <c r="CJ10" i="3"/>
  <c r="EV10" i="3"/>
  <c r="BM10" i="3"/>
  <c r="DY10" i="3"/>
  <c r="AQ10" i="3"/>
  <c r="DC10" i="3"/>
  <c r="DL14" i="6"/>
  <c r="V14" i="6"/>
  <c r="CF14" i="6"/>
  <c r="CO14" i="6"/>
  <c r="S14" i="6"/>
  <c r="AP14" i="6"/>
  <c r="CZ14" i="6"/>
  <c r="Y14" i="6"/>
  <c r="AK14" i="6"/>
  <c r="BI14" i="6"/>
  <c r="CS14" i="6"/>
  <c r="DE14" i="6"/>
  <c r="DG14" i="6"/>
  <c r="DH14" i="6"/>
  <c r="DI14" i="6"/>
  <c r="BS11" i="3"/>
  <c r="M11" i="3"/>
  <c r="DP11" i="3"/>
  <c r="CO11" i="3"/>
  <c r="W11" i="3"/>
  <c r="CM11" i="3"/>
  <c r="AO11" i="3"/>
  <c r="DH11" i="3"/>
  <c r="AH11" i="3"/>
  <c r="CZ11" i="3"/>
  <c r="AA11" i="3"/>
  <c r="CR11" i="3"/>
  <c r="T11" i="3"/>
  <c r="CJ11" i="3"/>
  <c r="AD11" i="3"/>
  <c r="CU11" i="3"/>
  <c r="CF11" i="3"/>
  <c r="ER11" i="3"/>
  <c r="AS13" i="1"/>
  <c r="DE13" i="1"/>
  <c r="BB13" i="1"/>
  <c r="DN13" i="1"/>
  <c r="BK13" i="1"/>
  <c r="H13" i="1"/>
  <c r="BT13" i="1"/>
  <c r="Q13" i="1"/>
  <c r="CC13" i="1"/>
  <c r="Z13" i="1"/>
  <c r="CL13" i="1"/>
  <c r="AI13" i="1"/>
  <c r="CU13" i="1"/>
  <c r="AR13" i="1"/>
  <c r="DD13" i="1"/>
  <c r="AS43" i="4"/>
  <c r="AN43" i="4" s="1"/>
  <c r="AO43" i="4" s="1"/>
  <c r="AR67" i="4"/>
  <c r="AU67" i="4" s="1"/>
  <c r="AV67" i="4" s="1"/>
  <c r="AW67" i="4" s="1"/>
  <c r="AN30" i="4"/>
  <c r="AO30" i="4" s="1"/>
  <c r="AR30" i="4" s="1"/>
  <c r="AU30" i="4" s="1"/>
  <c r="AV30" i="4" s="1"/>
  <c r="AW30" i="4" s="1"/>
  <c r="AO1" i="1"/>
  <c r="AP6" i="1"/>
  <c r="AQ6" i="1" s="1"/>
  <c r="AR6" i="1" s="1"/>
  <c r="AS6" i="1" s="1"/>
  <c r="AT6" i="1" s="1"/>
  <c r="AU6" i="1" s="1"/>
  <c r="AV6" i="1" s="1"/>
  <c r="AW59" i="4"/>
  <c r="AV59" i="4"/>
  <c r="AW14" i="4"/>
  <c r="AV14" i="4"/>
  <c r="AH10" i="3"/>
  <c r="J10" i="3"/>
  <c r="DE10" i="3"/>
  <c r="BA10" i="3"/>
  <c r="FA10" i="3"/>
  <c r="BP10" i="3"/>
  <c r="EB10" i="3"/>
  <c r="AL10" i="3"/>
  <c r="CX10" i="3"/>
  <c r="G10" i="3"/>
  <c r="BS10" i="3"/>
  <c r="EE10" i="3"/>
  <c r="AN10" i="3"/>
  <c r="CZ10" i="3"/>
  <c r="Q10" i="3"/>
  <c r="CC10" i="3"/>
  <c r="EO10" i="3"/>
  <c r="BG10" i="3"/>
  <c r="DS10" i="3"/>
  <c r="BX14" i="6"/>
  <c r="DN14" i="6"/>
  <c r="L14" i="6"/>
  <c r="CP14" i="6"/>
  <c r="H14" i="6"/>
  <c r="AO14" i="6"/>
  <c r="CR14" i="6"/>
  <c r="X14" i="6"/>
  <c r="AY14" i="6"/>
  <c r="CE14" i="6"/>
  <c r="DK14" i="6"/>
  <c r="DO14" i="6"/>
  <c r="AU14" i="6"/>
  <c r="AV14" i="6"/>
  <c r="AW14" i="6"/>
  <c r="AC11" i="3"/>
  <c r="EN11" i="3"/>
  <c r="CB11" i="3"/>
  <c r="U11" i="3"/>
  <c r="AF11" i="3"/>
  <c r="AM11" i="3"/>
  <c r="DF11" i="3"/>
  <c r="BE11" i="3"/>
  <c r="DZ11" i="3"/>
  <c r="AX11" i="3"/>
  <c r="DR11" i="3"/>
  <c r="AQ11" i="3"/>
  <c r="DJ11" i="3"/>
  <c r="AJ11" i="3"/>
  <c r="DB11" i="3"/>
  <c r="AT11" i="3"/>
  <c r="DN11" i="3"/>
  <c r="CV11" i="3"/>
  <c r="AW48" i="4"/>
  <c r="AV48" i="4"/>
  <c r="AN69" i="4"/>
  <c r="AO69" i="4" s="1"/>
  <c r="AR69" i="4" s="1"/>
  <c r="AU69" i="4" s="1"/>
  <c r="AV69" i="4" s="1"/>
  <c r="AW69" i="4" s="1"/>
  <c r="AV37" i="7"/>
  <c r="AU37" i="7"/>
  <c r="BM14" i="1"/>
  <c r="DP14" i="1"/>
  <c r="CJ14" i="1"/>
  <c r="BD14" i="1"/>
  <c r="X14" i="1"/>
  <c r="DG14" i="1"/>
  <c r="CA14" i="1"/>
  <c r="AU14" i="1"/>
  <c r="O14" i="1"/>
  <c r="CX14" i="1"/>
  <c r="BR14" i="1"/>
  <c r="AL14" i="1"/>
  <c r="F14" i="1"/>
  <c r="CO14" i="1"/>
  <c r="BI14" i="1"/>
  <c r="AC14" i="1"/>
  <c r="E14" i="1"/>
  <c r="C15" i="1" s="1"/>
  <c r="DT14" i="1"/>
  <c r="CN14" i="1"/>
  <c r="BP14" i="1"/>
  <c r="BH14" i="1"/>
  <c r="AB14" i="1"/>
  <c r="BQ13" i="1"/>
  <c r="N13" i="1"/>
  <c r="BZ13" i="1"/>
  <c r="W13" i="1"/>
  <c r="CI13" i="1"/>
  <c r="AF13" i="1"/>
  <c r="CR13" i="1"/>
  <c r="AO13" i="1"/>
  <c r="DA13" i="1"/>
  <c r="AX13" i="1"/>
  <c r="DJ13" i="1"/>
  <c r="BG13" i="1"/>
  <c r="DS13" i="1"/>
  <c r="BP13" i="1"/>
  <c r="AN71" i="4"/>
  <c r="AO71" i="4" s="1"/>
  <c r="AR71" i="4" s="1"/>
  <c r="AU71" i="4" s="1"/>
  <c r="AV71" i="4" s="1"/>
  <c r="AW71" i="4" s="1"/>
  <c r="AW56" i="4"/>
  <c r="AV56" i="4"/>
  <c r="AP6" i="2"/>
  <c r="AQ6" i="2" s="1"/>
  <c r="AR6" i="2" s="1"/>
  <c r="AS6" i="2" s="1"/>
  <c r="AT6" i="2" s="1"/>
  <c r="AU6" i="2" s="1"/>
  <c r="AV6" i="2" s="1"/>
  <c r="AO1" i="2"/>
  <c r="CT10" i="3"/>
  <c r="BV10" i="3"/>
  <c r="R10" i="3"/>
  <c r="DM10" i="3"/>
  <c r="T10" i="3"/>
  <c r="CF10" i="3"/>
  <c r="ER10" i="3"/>
  <c r="BB10" i="3"/>
  <c r="DN10" i="3"/>
  <c r="W10" i="3"/>
  <c r="CI10" i="3"/>
  <c r="EU10" i="3"/>
  <c r="BD10" i="3"/>
  <c r="DP10" i="3"/>
  <c r="AG10" i="3"/>
  <c r="CS10" i="3"/>
  <c r="K10" i="3"/>
  <c r="BW10" i="3"/>
  <c r="AD14" i="6"/>
  <c r="F14" i="6"/>
  <c r="CN14" i="6"/>
  <c r="AR14" i="6"/>
  <c r="AC14" i="6"/>
  <c r="CQ14" i="6"/>
  <c r="W14" i="6"/>
  <c r="AX14" i="6"/>
  <c r="DB14" i="6"/>
  <c r="G14" i="6"/>
  <c r="BC14" i="6"/>
  <c r="BN14" i="6"/>
  <c r="BO14" i="6"/>
  <c r="BQ14" i="6"/>
  <c r="BS14" i="6"/>
  <c r="CT11" i="3"/>
  <c r="AN11" i="3"/>
  <c r="EW11" i="3"/>
  <c r="CK11" i="3"/>
  <c r="CX11" i="3"/>
  <c r="BC11" i="3"/>
  <c r="DX11" i="3"/>
  <c r="I11" i="3"/>
  <c r="BW11" i="3"/>
  <c r="ES11" i="3"/>
  <c r="BO11" i="3"/>
  <c r="EK11" i="3"/>
  <c r="BG11" i="3"/>
  <c r="EC11" i="3"/>
  <c r="AZ11" i="3"/>
  <c r="DU11" i="3"/>
  <c r="BK11" i="3"/>
  <c r="EF11" i="3"/>
  <c r="DL11" i="3"/>
  <c r="AN75" i="4"/>
  <c r="AO75" i="4" s="1"/>
  <c r="AR75" i="4" s="1"/>
  <c r="AU75" i="4" s="1"/>
  <c r="AN21" i="4"/>
  <c r="AO21" i="4" s="1"/>
  <c r="AR21" i="4" s="1"/>
  <c r="AU21" i="4" s="1"/>
  <c r="AV21" i="4" s="1"/>
  <c r="AW21" i="4" s="1"/>
  <c r="M13" i="1"/>
  <c r="BY13" i="1"/>
  <c r="V13" i="1"/>
  <c r="CH13" i="1"/>
  <c r="AE13" i="1"/>
  <c r="CQ13" i="1"/>
  <c r="AN13" i="1"/>
  <c r="CZ13" i="1"/>
  <c r="AW13" i="1"/>
  <c r="DI13" i="1"/>
  <c r="BF13" i="1"/>
  <c r="DR13" i="1"/>
  <c r="BO13" i="1"/>
  <c r="L13" i="1"/>
  <c r="BX13" i="1"/>
  <c r="DP15" i="6"/>
  <c r="DF15" i="6"/>
  <c r="BN15" i="6"/>
  <c r="AT15" i="6"/>
  <c r="AH15" i="6"/>
  <c r="X15" i="6"/>
  <c r="CS15" i="6"/>
  <c r="BX15" i="6"/>
  <c r="BM15" i="6"/>
  <c r="BC15" i="6"/>
  <c r="L15" i="6"/>
  <c r="DB15" i="6"/>
  <c r="CR15" i="6"/>
  <c r="CH15" i="6"/>
  <c r="AP15" i="6"/>
  <c r="V15" i="6"/>
  <c r="J15" i="6"/>
  <c r="DL15" i="6"/>
  <c r="BU15" i="6"/>
  <c r="AZ15" i="6"/>
  <c r="AO15" i="6"/>
  <c r="AE15" i="6"/>
  <c r="CZ15" i="6"/>
  <c r="CD15" i="6"/>
  <c r="BT15" i="6"/>
  <c r="BJ15" i="6"/>
  <c r="R15" i="6"/>
  <c r="DG15" i="6"/>
  <c r="CB15" i="6"/>
  <c r="AW15" i="6"/>
  <c r="AV15" i="6"/>
  <c r="CX15" i="6"/>
  <c r="BS15" i="6"/>
  <c r="AU15" i="6"/>
  <c r="BR15" i="6"/>
  <c r="O15" i="6"/>
  <c r="DR15" i="6"/>
  <c r="CN15" i="6"/>
  <c r="DQ15" i="6"/>
  <c r="BH15" i="6"/>
  <c r="AJ15" i="6"/>
  <c r="F15" i="6"/>
  <c r="AB15" i="6"/>
  <c r="CC15" i="6"/>
  <c r="BE15" i="6"/>
  <c r="Z15" i="6"/>
  <c r="C29" i="6"/>
  <c r="K15" i="6"/>
  <c r="BA15" i="6"/>
  <c r="C27" i="6"/>
  <c r="BO15" i="6"/>
  <c r="BG15" i="6"/>
  <c r="AK15" i="6"/>
  <c r="DK15" i="6"/>
  <c r="AY15" i="6"/>
  <c r="E15" i="6"/>
  <c r="BZ15" i="6" s="1"/>
  <c r="S15" i="6"/>
  <c r="CO15" i="6"/>
  <c r="CM15" i="6"/>
  <c r="CG15" i="6"/>
  <c r="BY15" i="6"/>
  <c r="AC15" i="6"/>
  <c r="U15" i="6"/>
  <c r="M15" i="6"/>
  <c r="DC15" i="6"/>
  <c r="Q14" i="6"/>
  <c r="BM14" i="6"/>
  <c r="BY14" i="6"/>
  <c r="CA14" i="6"/>
  <c r="CB14" i="6"/>
  <c r="CC14" i="6"/>
  <c r="AO1" i="6"/>
  <c r="AP6" i="6"/>
  <c r="AQ6" i="6" s="1"/>
  <c r="AR6" i="6" s="1"/>
  <c r="AS6" i="6" s="1"/>
  <c r="AT6" i="6" s="1"/>
  <c r="AU6" i="6" s="1"/>
  <c r="AV6" i="6" s="1"/>
  <c r="EE11" i="3"/>
  <c r="BV11" i="3"/>
  <c r="P11" i="3"/>
  <c r="DV11" i="3"/>
  <c r="EH11" i="3"/>
  <c r="BL11" i="3"/>
  <c r="EG11" i="3"/>
  <c r="Q11" i="3"/>
  <c r="CG11" i="3"/>
  <c r="FB11" i="3"/>
  <c r="J11" i="3"/>
  <c r="BY11" i="3"/>
  <c r="ET11" i="3"/>
  <c r="BQ11" i="3"/>
  <c r="EL11" i="3"/>
  <c r="BI11" i="3"/>
  <c r="ED11" i="3"/>
  <c r="F11" i="3"/>
  <c r="BT11" i="3"/>
  <c r="EO11" i="3"/>
  <c r="BH11" i="3"/>
  <c r="DT11" i="3"/>
  <c r="E11" i="5"/>
  <c r="DD11" i="5" s="1"/>
  <c r="AO1" i="3"/>
  <c r="AP6" i="3"/>
  <c r="AQ6" i="3" s="1"/>
  <c r="AR6" i="3" s="1"/>
  <c r="AS6" i="3" s="1"/>
  <c r="AT6" i="3" s="1"/>
  <c r="AU6" i="3" s="1"/>
  <c r="AV6" i="3" s="1"/>
  <c r="I11" i="2"/>
  <c r="AM13" i="1"/>
  <c r="CY13" i="1"/>
  <c r="AV13" i="1"/>
  <c r="DH13" i="1"/>
  <c r="BE13" i="1"/>
  <c r="DQ13" i="1"/>
  <c r="BN13" i="1"/>
  <c r="K13" i="1"/>
  <c r="BW13" i="1"/>
  <c r="T13" i="1"/>
  <c r="CF13" i="1"/>
  <c r="AN76" i="4"/>
  <c r="AO76" i="4" s="1"/>
  <c r="AR76" i="4" s="1"/>
  <c r="AU76" i="4" s="1"/>
  <c r="AV50" i="4"/>
  <c r="AW50" i="4"/>
  <c r="BZ11" i="3"/>
  <c r="CC11" i="3"/>
  <c r="AO1" i="5"/>
  <c r="AP6" i="5"/>
  <c r="AQ6" i="5" s="1"/>
  <c r="AR6" i="5" s="1"/>
  <c r="AS6" i="5" s="1"/>
  <c r="AT6" i="5" s="1"/>
  <c r="AU6" i="5" s="1"/>
  <c r="AV6" i="5" s="1"/>
  <c r="DY11" i="2"/>
  <c r="AM7" i="7"/>
  <c r="AN7" i="7" s="1"/>
  <c r="AQ7" i="7" s="1"/>
  <c r="AT7" i="7" s="1"/>
  <c r="AU7" i="7" s="1"/>
  <c r="AV7" i="7" s="1"/>
  <c r="AN44" i="4"/>
  <c r="AO44" i="4" s="1"/>
  <c r="AR44" i="4" s="1"/>
  <c r="AU44" i="4" s="1"/>
  <c r="AV44" i="4" s="1"/>
  <c r="AW44" i="4" s="1"/>
  <c r="AM6" i="7"/>
  <c r="AN6" i="7" s="1"/>
  <c r="AQ6" i="7" s="1"/>
  <c r="AT6" i="7" s="1"/>
  <c r="AU6" i="7" s="1"/>
  <c r="AV6" i="7" s="1"/>
  <c r="AN22" i="4"/>
  <c r="AO22" i="4" s="1"/>
  <c r="AR22" i="4" s="1"/>
  <c r="AU22" i="4" s="1"/>
  <c r="AV22" i="4" s="1"/>
  <c r="AW22" i="4" s="1"/>
  <c r="AR32" i="4"/>
  <c r="AU32" i="4" s="1"/>
  <c r="AV32" i="4" s="1"/>
  <c r="AW32" i="4" s="1"/>
  <c r="DG11" i="3"/>
  <c r="X11" i="3"/>
  <c r="BU11" i="3"/>
  <c r="Y11" i="3"/>
  <c r="R11" i="3"/>
  <c r="FC11" i="3"/>
  <c r="K11" i="3"/>
  <c r="BR11" i="3"/>
  <c r="EB11" i="3"/>
  <c r="E10" i="5"/>
  <c r="CE10" i="5" s="1"/>
  <c r="AN34" i="4"/>
  <c r="AO34" i="4" s="1"/>
  <c r="AR34" i="4" s="1"/>
  <c r="AU34" i="4" s="1"/>
  <c r="AV34" i="4" s="1"/>
  <c r="AW34" i="4" s="1"/>
  <c r="AM14" i="6"/>
  <c r="CI14" i="6"/>
  <c r="CT14" i="6"/>
  <c r="CU14" i="6"/>
  <c r="CW14" i="6"/>
  <c r="CY14" i="6"/>
  <c r="AK11" i="3"/>
  <c r="EQ11" i="3"/>
  <c r="CE11" i="3"/>
  <c r="BD11" i="3"/>
  <c r="O11" i="3"/>
  <c r="CD11" i="3"/>
  <c r="EY11" i="3"/>
  <c r="AG11" i="3"/>
  <c r="CY11" i="3"/>
  <c r="Z11" i="3"/>
  <c r="CQ11" i="3"/>
  <c r="S11" i="3"/>
  <c r="CI11" i="3"/>
  <c r="L11" i="3"/>
  <c r="CA11" i="3"/>
  <c r="EV11" i="3"/>
  <c r="V11" i="3"/>
  <c r="CL11" i="3"/>
  <c r="BX11" i="3"/>
  <c r="EJ11" i="3"/>
  <c r="AS35" i="4"/>
  <c r="BI11" i="2"/>
  <c r="CW11" i="2"/>
  <c r="EG11" i="2"/>
  <c r="T11" i="2"/>
  <c r="AK13" i="1"/>
  <c r="CW13" i="1"/>
  <c r="AT13" i="1"/>
  <c r="DF13" i="1"/>
  <c r="BC13" i="1"/>
  <c r="DO13" i="1"/>
  <c r="BL13" i="1"/>
  <c r="I13" i="1"/>
  <c r="BU13" i="1"/>
  <c r="R13" i="1"/>
  <c r="CD13" i="1"/>
  <c r="AA13" i="1"/>
  <c r="CM13" i="1"/>
  <c r="AJ13" i="1"/>
  <c r="CV13" i="1"/>
  <c r="AV53" i="4"/>
  <c r="AW53" i="4"/>
  <c r="AS1" i="15"/>
  <c r="AT6" i="15"/>
  <c r="AU6" i="15" s="1"/>
  <c r="AV6" i="15" s="1"/>
  <c r="AW6" i="15" s="1"/>
  <c r="AX6" i="15" s="1"/>
  <c r="AY6" i="15" s="1"/>
  <c r="AZ6" i="15" s="1"/>
  <c r="AF11" i="2" l="1"/>
  <c r="R11" i="2"/>
  <c r="BN11" i="2"/>
  <c r="S11" i="2"/>
  <c r="CG11" i="2"/>
  <c r="DK11" i="2"/>
  <c r="CZ11" i="2"/>
  <c r="BP11" i="2"/>
  <c r="BB11" i="2"/>
  <c r="X11" i="2"/>
  <c r="Z11" i="2"/>
  <c r="DF11" i="2"/>
  <c r="DN11" i="2"/>
  <c r="AH11" i="2"/>
  <c r="AT11" i="2"/>
  <c r="BK11" i="2"/>
  <c r="DU11" i="2"/>
  <c r="CB11" i="2"/>
  <c r="CF11" i="2"/>
  <c r="DR11" i="2"/>
  <c r="CJ11" i="2"/>
  <c r="AX11" i="2"/>
  <c r="N11" i="2"/>
  <c r="AN11" i="2"/>
  <c r="CM11" i="2"/>
  <c r="CR11" i="2"/>
  <c r="DQ11" i="2"/>
  <c r="DB11" i="2"/>
  <c r="BM11" i="2"/>
  <c r="CO11" i="2"/>
  <c r="CY11" i="2"/>
  <c r="CC11" i="2"/>
  <c r="BO11" i="2"/>
  <c r="BF11" i="2"/>
  <c r="AO11" i="2"/>
  <c r="AA11" i="2"/>
  <c r="DD11" i="2"/>
  <c r="BU11" i="2"/>
  <c r="AG11" i="2"/>
  <c r="D23" i="5"/>
  <c r="DH11" i="2"/>
  <c r="P11" i="2"/>
  <c r="CS11" i="2"/>
  <c r="AV11" i="2"/>
  <c r="CD11" i="2"/>
  <c r="DX11" i="2"/>
  <c r="DE11" i="2"/>
  <c r="BA11" i="2"/>
  <c r="BY10" i="5"/>
  <c r="DJ11" i="2"/>
  <c r="BX11" i="2"/>
  <c r="DS11" i="2"/>
  <c r="CX11" i="2"/>
  <c r="AI11" i="2"/>
  <c r="AJ11" i="5"/>
  <c r="DT11" i="2"/>
  <c r="W11" i="2"/>
  <c r="BE11" i="2"/>
  <c r="AE11" i="2"/>
  <c r="CY11" i="5"/>
  <c r="L11" i="2"/>
  <c r="C12" i="2"/>
  <c r="E12" i="2" s="1"/>
  <c r="C13" i="2" s="1"/>
  <c r="AL11" i="2"/>
  <c r="DZ11" i="2"/>
  <c r="CF11" i="5"/>
  <c r="BH11" i="2"/>
  <c r="DO11" i="2"/>
  <c r="AM11" i="2"/>
  <c r="DM11" i="2"/>
  <c r="G11" i="2"/>
  <c r="DA11" i="2"/>
  <c r="J11" i="2"/>
  <c r="O11" i="2"/>
  <c r="DL11" i="2"/>
  <c r="AF11" i="5"/>
  <c r="CP11" i="2"/>
  <c r="DC11" i="2"/>
  <c r="BL11" i="2"/>
  <c r="Y11" i="2"/>
  <c r="DV11" i="2"/>
  <c r="BV11" i="2"/>
  <c r="CV11" i="2"/>
  <c r="DW11" i="2"/>
  <c r="AJ11" i="2"/>
  <c r="DP11" i="2"/>
  <c r="EC11" i="2"/>
  <c r="BY11" i="2"/>
  <c r="AD11" i="2"/>
  <c r="CE11" i="2"/>
  <c r="BZ11" i="2"/>
  <c r="DG11" i="2"/>
  <c r="BJ11" i="2"/>
  <c r="AU11" i="2"/>
  <c r="BD11" i="2"/>
  <c r="ED11" i="2"/>
  <c r="CK11" i="2"/>
  <c r="F11" i="2"/>
  <c r="CT11" i="2"/>
  <c r="AS11" i="2"/>
  <c r="AQ11" i="2"/>
  <c r="BR11" i="2"/>
  <c r="EF11" i="2"/>
  <c r="AC11" i="2"/>
  <c r="BW11" i="2"/>
  <c r="CL11" i="2"/>
  <c r="AZ11" i="2"/>
  <c r="EH11" i="2"/>
  <c r="CU11" i="2"/>
  <c r="V11" i="2"/>
  <c r="EE11" i="2"/>
  <c r="BG11" i="2"/>
  <c r="CN11" i="2"/>
  <c r="Q11" i="2"/>
  <c r="AK11" i="2"/>
  <c r="H11" i="2"/>
  <c r="EA11" i="2"/>
  <c r="AY11" i="2"/>
  <c r="BC11" i="2"/>
  <c r="CI11" i="2"/>
  <c r="DI11" i="2"/>
  <c r="CQ11" i="2"/>
  <c r="AR11" i="2"/>
  <c r="AP11" i="2"/>
  <c r="AB11" i="2"/>
  <c r="CA11" i="2"/>
  <c r="U11" i="2"/>
  <c r="BQ11" i="2"/>
  <c r="BS11" i="2"/>
  <c r="AW11" i="2"/>
  <c r="M11" i="2"/>
  <c r="K11" i="2"/>
  <c r="BT11" i="2"/>
  <c r="CH11" i="2"/>
  <c r="BC11" i="5"/>
  <c r="Z10" i="5"/>
  <c r="DN11" i="5"/>
  <c r="BL10" i="5"/>
  <c r="AA10" i="5"/>
  <c r="V11" i="5"/>
  <c r="CY10" i="5"/>
  <c r="F11" i="5"/>
  <c r="O11" i="5"/>
  <c r="DK11" i="5"/>
  <c r="AM10" i="5"/>
  <c r="DF11" i="5"/>
  <c r="N11" i="5"/>
  <c r="Y11" i="5"/>
  <c r="DT11" i="5"/>
  <c r="DP10" i="5"/>
  <c r="CT11" i="5"/>
  <c r="DH11" i="5"/>
  <c r="BM11" i="5"/>
  <c r="CA10" i="5"/>
  <c r="BF11" i="5"/>
  <c r="CP11" i="5"/>
  <c r="DI11" i="5"/>
  <c r="CB11" i="5"/>
  <c r="AS11" i="5"/>
  <c r="AA11" i="5"/>
  <c r="BR10" i="5"/>
  <c r="BJ11" i="5"/>
  <c r="CO11" i="5"/>
  <c r="BW11" i="5"/>
  <c r="X10" i="5"/>
  <c r="BJ10" i="5"/>
  <c r="DB10" i="5"/>
  <c r="CC10" i="5"/>
  <c r="CM10" i="5"/>
  <c r="CT10" i="5"/>
  <c r="V10" i="5"/>
  <c r="AO10" i="5"/>
  <c r="BS10" i="5"/>
  <c r="DL10" i="5"/>
  <c r="AK10" i="5"/>
  <c r="DQ10" i="5"/>
  <c r="CR11" i="5"/>
  <c r="AL11" i="5"/>
  <c r="CZ11" i="5"/>
  <c r="BN11" i="5"/>
  <c r="AD11" i="5"/>
  <c r="BQ11" i="5"/>
  <c r="AM11" i="5"/>
  <c r="DO11" i="5"/>
  <c r="CK11" i="5"/>
  <c r="AY11" i="5"/>
  <c r="T11" i="5"/>
  <c r="CV11" i="5"/>
  <c r="DO10" i="5"/>
  <c r="AN10" i="5"/>
  <c r="AX10" i="5"/>
  <c r="CD10" i="5"/>
  <c r="H10" i="5"/>
  <c r="AT10" i="5"/>
  <c r="K10" i="5"/>
  <c r="CJ11" i="5"/>
  <c r="BT11" i="5"/>
  <c r="BY11" i="5"/>
  <c r="AU11" i="5"/>
  <c r="Q11" i="5"/>
  <c r="CS11" i="5"/>
  <c r="BG11" i="5"/>
  <c r="AB11" i="5"/>
  <c r="DL11" i="5"/>
  <c r="AH11" i="5"/>
  <c r="CX11" i="5"/>
  <c r="AP11" i="5"/>
  <c r="Z11" i="5"/>
  <c r="DJ11" i="5"/>
  <c r="CW11" i="5"/>
  <c r="BS11" i="5"/>
  <c r="AG11" i="5"/>
  <c r="DQ11" i="5"/>
  <c r="CE11" i="5"/>
  <c r="AZ11" i="5"/>
  <c r="BD11" i="5"/>
  <c r="DR11" i="5"/>
  <c r="BL11" i="5"/>
  <c r="AV11" i="5"/>
  <c r="AC11" i="5"/>
  <c r="DE11" i="5"/>
  <c r="CA11" i="5"/>
  <c r="AW11" i="5"/>
  <c r="K11" i="5"/>
  <c r="CM11" i="5"/>
  <c r="BH11" i="5"/>
  <c r="J10" i="5"/>
  <c r="AV10" i="5"/>
  <c r="CL10" i="5"/>
  <c r="DH10" i="5"/>
  <c r="Y10" i="5"/>
  <c r="BK10" i="5"/>
  <c r="DD10" i="5"/>
  <c r="BG10" i="5"/>
  <c r="T10" i="5"/>
  <c r="BE10" i="5"/>
  <c r="CW10" i="5"/>
  <c r="DT10" i="5"/>
  <c r="AH10" i="5"/>
  <c r="BV10" i="5"/>
  <c r="DN10" i="5"/>
  <c r="BO10" i="5"/>
  <c r="AL10" i="5"/>
  <c r="BZ10" i="5"/>
  <c r="DR10" i="5"/>
  <c r="F10" i="5"/>
  <c r="AR10" i="5"/>
  <c r="CG10" i="5"/>
  <c r="BM10" i="5"/>
  <c r="BW10" i="5"/>
  <c r="M11" i="5"/>
  <c r="BZ11" i="5"/>
  <c r="R11" i="5"/>
  <c r="DB11" i="5"/>
  <c r="BR11" i="5"/>
  <c r="AK11" i="5"/>
  <c r="G11" i="5"/>
  <c r="CI11" i="5"/>
  <c r="BE11" i="5"/>
  <c r="S11" i="5"/>
  <c r="DC11" i="5"/>
  <c r="BP11" i="5"/>
  <c r="CI10" i="5"/>
  <c r="M10" i="5"/>
  <c r="AF10" i="5"/>
  <c r="BI10" i="5"/>
  <c r="CZ10" i="5"/>
  <c r="AB10" i="5"/>
  <c r="DI10" i="5"/>
  <c r="DS10" i="5"/>
  <c r="BB11" i="5"/>
  <c r="P11" i="5"/>
  <c r="CD11" i="5"/>
  <c r="X11" i="5"/>
  <c r="J11" i="5"/>
  <c r="BI11" i="5"/>
  <c r="W11" i="5"/>
  <c r="DG11" i="5"/>
  <c r="CC11" i="5"/>
  <c r="AQ11" i="5"/>
  <c r="DS11" i="5"/>
  <c r="CN11" i="5"/>
  <c r="AW76" i="4"/>
  <c r="AV76" i="4"/>
  <c r="AW75" i="4"/>
  <c r="AV75" i="4"/>
  <c r="L10" i="5"/>
  <c r="CJ10" i="5"/>
  <c r="AW10" i="5"/>
  <c r="CB10" i="5"/>
  <c r="AG10" i="5"/>
  <c r="DJ10" i="5"/>
  <c r="BT10" i="5"/>
  <c r="DM10" i="5"/>
  <c r="CK10" i="5"/>
  <c r="AI10" i="5"/>
  <c r="CU10" i="5"/>
  <c r="AI15" i="6"/>
  <c r="CE15" i="6"/>
  <c r="DS15" i="6"/>
  <c r="BW15" i="6"/>
  <c r="BF15" i="6"/>
  <c r="G15" i="6"/>
  <c r="CV15" i="6"/>
  <c r="CA15" i="6"/>
  <c r="AD15" i="6"/>
  <c r="DJ15" i="6"/>
  <c r="CF15" i="6"/>
  <c r="BB15" i="6"/>
  <c r="W15" i="6"/>
  <c r="DD15" i="6"/>
  <c r="AJ14" i="1"/>
  <c r="CV14" i="1"/>
  <c r="AK14" i="1"/>
  <c r="CW14" i="1"/>
  <c r="AT14" i="1"/>
  <c r="DF14" i="1"/>
  <c r="BC14" i="1"/>
  <c r="DO14" i="1"/>
  <c r="BL14" i="1"/>
  <c r="I14" i="1"/>
  <c r="BU14" i="1"/>
  <c r="R14" i="1"/>
  <c r="CD14" i="1"/>
  <c r="AA14" i="1"/>
  <c r="CM14" i="1"/>
  <c r="E12" i="3"/>
  <c r="C13" i="3" s="1"/>
  <c r="BX10" i="5"/>
  <c r="BD10" i="5"/>
  <c r="U10" i="5"/>
  <c r="CV10" i="5"/>
  <c r="BF10" i="5"/>
  <c r="N10" i="5"/>
  <c r="CN10" i="5"/>
  <c r="AP10" i="5"/>
  <c r="G10" i="5"/>
  <c r="CF10" i="5"/>
  <c r="AS10" i="5"/>
  <c r="I10" i="5"/>
  <c r="CH10" i="5"/>
  <c r="CS10" i="5"/>
  <c r="AQ10" i="5"/>
  <c r="DC10" i="5"/>
  <c r="AV1" i="5"/>
  <c r="AW6" i="5"/>
  <c r="AX6" i="5" s="1"/>
  <c r="AY6" i="5" s="1"/>
  <c r="AZ6" i="5" s="1"/>
  <c r="BA6" i="5" s="1"/>
  <c r="BB6" i="5" s="1"/>
  <c r="BC6" i="5" s="1"/>
  <c r="C16" i="6"/>
  <c r="CQ27" i="6"/>
  <c r="BK27" i="6"/>
  <c r="AE27" i="6"/>
  <c r="DP27" i="6"/>
  <c r="CJ27" i="6"/>
  <c r="BD27" i="6"/>
  <c r="X27" i="6"/>
  <c r="DO27" i="6"/>
  <c r="CI27" i="6"/>
  <c r="BC27" i="6"/>
  <c r="W27" i="6"/>
  <c r="DH27" i="6"/>
  <c r="CB27" i="6"/>
  <c r="AV27" i="6"/>
  <c r="P27" i="6"/>
  <c r="DG27" i="6"/>
  <c r="CA27" i="6"/>
  <c r="AU27" i="6"/>
  <c r="O27" i="6"/>
  <c r="CZ27" i="6"/>
  <c r="BT27" i="6"/>
  <c r="AN27" i="6"/>
  <c r="H27" i="6"/>
  <c r="CY27" i="6"/>
  <c r="BS27" i="6"/>
  <c r="AM27" i="6"/>
  <c r="G27" i="6"/>
  <c r="CR27" i="6"/>
  <c r="BL27" i="6"/>
  <c r="AF27" i="6"/>
  <c r="AN29" i="6"/>
  <c r="CZ29" i="6"/>
  <c r="W29" i="6"/>
  <c r="BW27" i="6"/>
  <c r="K27" i="6"/>
  <c r="CL27" i="6"/>
  <c r="Z27" i="6"/>
  <c r="DI27" i="6"/>
  <c r="AW27" i="6"/>
  <c r="BJ27" i="6"/>
  <c r="BY27" i="6"/>
  <c r="M27" i="6"/>
  <c r="CN27" i="6"/>
  <c r="AB27" i="6"/>
  <c r="CE29" i="6"/>
  <c r="BV29" i="6"/>
  <c r="BG29" i="6"/>
  <c r="DE29" i="6"/>
  <c r="AH29" i="6"/>
  <c r="BX29" i="6"/>
  <c r="I29" i="6"/>
  <c r="AT29" i="6"/>
  <c r="CX29" i="6"/>
  <c r="AC29" i="6"/>
  <c r="BQ29" i="6"/>
  <c r="DL29" i="6"/>
  <c r="BK29" i="6"/>
  <c r="CG29" i="6"/>
  <c r="BO27" i="6"/>
  <c r="CD27" i="6"/>
  <c r="R27" i="6"/>
  <c r="DA27" i="6"/>
  <c r="AO27" i="6"/>
  <c r="DN27" i="6"/>
  <c r="BB27" i="6"/>
  <c r="BQ27" i="6"/>
  <c r="CF27" i="6"/>
  <c r="T27" i="6"/>
  <c r="BW29" i="6"/>
  <c r="BN29" i="6"/>
  <c r="AY29" i="6"/>
  <c r="CS29" i="6"/>
  <c r="Z29" i="6"/>
  <c r="BM29" i="6"/>
  <c r="DI29" i="6"/>
  <c r="AL29" i="6"/>
  <c r="CN29" i="6"/>
  <c r="U29" i="6"/>
  <c r="BH29" i="6"/>
  <c r="BT29" i="6"/>
  <c r="AE29" i="6"/>
  <c r="AV29" i="6"/>
  <c r="DS27" i="6"/>
  <c r="BG27" i="6"/>
  <c r="BV27" i="6"/>
  <c r="J27" i="6"/>
  <c r="CS27" i="6"/>
  <c r="AG27" i="6"/>
  <c r="DF27" i="6"/>
  <c r="AT27" i="6"/>
  <c r="BI27" i="6"/>
  <c r="BX27" i="6"/>
  <c r="L27" i="6"/>
  <c r="DR29" i="6"/>
  <c r="DP29" i="6"/>
  <c r="AQ29" i="6"/>
  <c r="CI29" i="6"/>
  <c r="R29" i="6"/>
  <c r="BE29" i="6"/>
  <c r="CY29" i="6"/>
  <c r="AD29" i="6"/>
  <c r="CB29" i="6"/>
  <c r="M29" i="6"/>
  <c r="AZ29" i="6"/>
  <c r="DM29" i="6"/>
  <c r="AM29" i="6"/>
  <c r="CQ29" i="6"/>
  <c r="P29" i="6"/>
  <c r="DK27" i="6"/>
  <c r="AY27" i="6"/>
  <c r="BN27" i="6"/>
  <c r="CK27" i="6"/>
  <c r="Y27" i="6"/>
  <c r="CX27" i="6"/>
  <c r="AL27" i="6"/>
  <c r="DM27" i="6"/>
  <c r="BA27" i="6"/>
  <c r="BP27" i="6"/>
  <c r="DS29" i="6"/>
  <c r="DJ29" i="6"/>
  <c r="DF29" i="6"/>
  <c r="AI29" i="6"/>
  <c r="BY29" i="6"/>
  <c r="J29" i="6"/>
  <c r="AW29" i="6"/>
  <c r="CO29" i="6"/>
  <c r="V29" i="6"/>
  <c r="BR29" i="6"/>
  <c r="DQ29" i="6"/>
  <c r="AR29" i="6"/>
  <c r="BU29" i="6"/>
  <c r="AF29" i="6"/>
  <c r="BC29" i="6"/>
  <c r="CE27" i="6"/>
  <c r="S27" i="6"/>
  <c r="CT27" i="6"/>
  <c r="AH27" i="6"/>
  <c r="DQ27" i="6"/>
  <c r="BE27" i="6"/>
  <c r="BR27" i="6"/>
  <c r="F27" i="6"/>
  <c r="CG27" i="6"/>
  <c r="U27" i="6"/>
  <c r="CV27" i="6"/>
  <c r="AJ27" i="6"/>
  <c r="CM29" i="6"/>
  <c r="CD29" i="6"/>
  <c r="BP29" i="6"/>
  <c r="DO29" i="6"/>
  <c r="AP29" i="6"/>
  <c r="CH29" i="6"/>
  <c r="Q29" i="6"/>
  <c r="BB29" i="6"/>
  <c r="DH29" i="6"/>
  <c r="AK29" i="6"/>
  <c r="CA29" i="6"/>
  <c r="L29" i="6"/>
  <c r="BL29" i="6"/>
  <c r="AA27" i="6"/>
  <c r="AX27" i="6"/>
  <c r="CC27" i="6"/>
  <c r="AR27" i="6"/>
  <c r="CJ29" i="6"/>
  <c r="DN29" i="6"/>
  <c r="BJ29" i="6"/>
  <c r="CW29" i="6"/>
  <c r="BD29" i="6"/>
  <c r="AP27" i="6"/>
  <c r="BU27" i="6"/>
  <c r="CP27" i="6"/>
  <c r="DK29" i="6"/>
  <c r="BZ29" i="6"/>
  <c r="DD29" i="6"/>
  <c r="N29" i="6"/>
  <c r="CK29" i="6"/>
  <c r="X29" i="6"/>
  <c r="BM27" i="6"/>
  <c r="CH27" i="6"/>
  <c r="DE27" i="6"/>
  <c r="DC29" i="6"/>
  <c r="AA29" i="6"/>
  <c r="CR29" i="6"/>
  <c r="F29" i="6"/>
  <c r="AJ29" i="6"/>
  <c r="CP29" i="6"/>
  <c r="DC27" i="6"/>
  <c r="Q27" i="6"/>
  <c r="BZ27" i="6"/>
  <c r="CW27" i="6"/>
  <c r="DT27" i="6"/>
  <c r="CU29" i="6"/>
  <c r="S29" i="6"/>
  <c r="AO29" i="6"/>
  <c r="DT29" i="6"/>
  <c r="AB29" i="6"/>
  <c r="CF29" i="6"/>
  <c r="H29" i="6"/>
  <c r="CU27" i="6"/>
  <c r="DR27" i="6"/>
  <c r="I27" i="6"/>
  <c r="AD27" i="6"/>
  <c r="CO27" i="6"/>
  <c r="DL27" i="6"/>
  <c r="DB29" i="6"/>
  <c r="K29" i="6"/>
  <c r="AG29" i="6"/>
  <c r="BI29" i="6"/>
  <c r="T29" i="6"/>
  <c r="AU29" i="6"/>
  <c r="CM27" i="6"/>
  <c r="DJ27" i="6"/>
  <c r="V27" i="6"/>
  <c r="AS27" i="6"/>
  <c r="DD27" i="6"/>
  <c r="CT29" i="6"/>
  <c r="BO29" i="6"/>
  <c r="Y29" i="6"/>
  <c r="BA29" i="6"/>
  <c r="G29" i="6"/>
  <c r="O29" i="6"/>
  <c r="AQ27" i="6"/>
  <c r="DB27" i="6"/>
  <c r="N27" i="6"/>
  <c r="AK27" i="6"/>
  <c r="BH27" i="6"/>
  <c r="CL29" i="6"/>
  <c r="BF29" i="6"/>
  <c r="CC29" i="6"/>
  <c r="AS29" i="6"/>
  <c r="DA29" i="6"/>
  <c r="AI27" i="6"/>
  <c r="BF27" i="6"/>
  <c r="AC27" i="6"/>
  <c r="AZ27" i="6"/>
  <c r="CV29" i="6"/>
  <c r="AX29" i="6"/>
  <c r="BS29" i="6"/>
  <c r="DG29" i="6"/>
  <c r="AS15" i="6"/>
  <c r="CK15" i="6"/>
  <c r="AL15" i="6"/>
  <c r="DT15" i="6"/>
  <c r="CY15" i="6"/>
  <c r="AN15" i="6"/>
  <c r="I15" i="6"/>
  <c r="CQ15" i="6"/>
  <c r="BL15" i="6"/>
  <c r="AG15" i="6"/>
  <c r="DO15" i="6"/>
  <c r="CJ15" i="6"/>
  <c r="AR14" i="1"/>
  <c r="DD14" i="1"/>
  <c r="AS14" i="1"/>
  <c r="DE14" i="1"/>
  <c r="BB14" i="1"/>
  <c r="DN14" i="1"/>
  <c r="BK14" i="1"/>
  <c r="H14" i="1"/>
  <c r="BT14" i="1"/>
  <c r="Q14" i="1"/>
  <c r="CC14" i="1"/>
  <c r="Z14" i="1"/>
  <c r="CL14" i="1"/>
  <c r="AI14" i="1"/>
  <c r="CU14" i="1"/>
  <c r="AV1" i="1"/>
  <c r="AW6" i="1"/>
  <c r="AX6" i="1" s="1"/>
  <c r="AY6" i="1" s="1"/>
  <c r="AZ6" i="1" s="1"/>
  <c r="BA6" i="1" s="1"/>
  <c r="BB6" i="1" s="1"/>
  <c r="BC6" i="1" s="1"/>
  <c r="AN35" i="4"/>
  <c r="AO35" i="4" s="1"/>
  <c r="AR35" i="4" s="1"/>
  <c r="AU35" i="4" s="1"/>
  <c r="AV35" i="4" s="1"/>
  <c r="AW35" i="4" s="1"/>
  <c r="AU10" i="5"/>
  <c r="AJ10" i="5"/>
  <c r="BN10" i="5"/>
  <c r="AD10" i="5"/>
  <c r="DF10" i="5"/>
  <c r="BQ10" i="5"/>
  <c r="W10" i="5"/>
  <c r="CX10" i="5"/>
  <c r="AZ10" i="5"/>
  <c r="P10" i="5"/>
  <c r="CP10" i="5"/>
  <c r="BB10" i="5"/>
  <c r="R10" i="5"/>
  <c r="CR10" i="5"/>
  <c r="DA10" i="5"/>
  <c r="AY10" i="5"/>
  <c r="DK10" i="5"/>
  <c r="BV11" i="5"/>
  <c r="DP11" i="5"/>
  <c r="AN11" i="5"/>
  <c r="CH11" i="5"/>
  <c r="H11" i="5"/>
  <c r="AX11" i="5"/>
  <c r="BA11" i="5"/>
  <c r="DM11" i="5"/>
  <c r="AE11" i="5"/>
  <c r="CQ11" i="5"/>
  <c r="I11" i="5"/>
  <c r="BU11" i="5"/>
  <c r="AI11" i="5"/>
  <c r="CU11" i="5"/>
  <c r="AR11" i="5"/>
  <c r="AQ15" i="6"/>
  <c r="BQ15" i="6"/>
  <c r="DE15" i="6"/>
  <c r="BI15" i="6"/>
  <c r="DI15" i="6"/>
  <c r="BP15" i="6"/>
  <c r="P15" i="6"/>
  <c r="Y15" i="6"/>
  <c r="AX15" i="6"/>
  <c r="T15" i="6"/>
  <c r="DA15" i="6"/>
  <c r="BV15" i="6"/>
  <c r="AR15" i="6"/>
  <c r="N15" i="6"/>
  <c r="CT15" i="6"/>
  <c r="AZ14" i="1"/>
  <c r="DL14" i="1"/>
  <c r="BA14" i="1"/>
  <c r="DM14" i="1"/>
  <c r="BJ14" i="1"/>
  <c r="G14" i="1"/>
  <c r="BS14" i="1"/>
  <c r="P14" i="1"/>
  <c r="CB14" i="1"/>
  <c r="Y14" i="1"/>
  <c r="CK14" i="1"/>
  <c r="AH14" i="1"/>
  <c r="CT14" i="1"/>
  <c r="AQ14" i="1"/>
  <c r="DC14" i="1"/>
  <c r="AW6" i="6"/>
  <c r="AX6" i="6" s="1"/>
  <c r="AY6" i="6" s="1"/>
  <c r="AZ6" i="6" s="1"/>
  <c r="BA6" i="6" s="1"/>
  <c r="BB6" i="6" s="1"/>
  <c r="BC6" i="6" s="1"/>
  <c r="AV1" i="6"/>
  <c r="AV1" i="2"/>
  <c r="AW6" i="2"/>
  <c r="AX6" i="2" s="1"/>
  <c r="AY6" i="2" s="1"/>
  <c r="AZ6" i="2" s="1"/>
  <c r="BA6" i="2" s="1"/>
  <c r="BB6" i="2" s="1"/>
  <c r="BC6" i="2" s="1"/>
  <c r="AG14" i="1"/>
  <c r="CS14" i="1"/>
  <c r="AP14" i="1"/>
  <c r="DB14" i="1"/>
  <c r="AY14" i="1"/>
  <c r="DK14" i="1"/>
  <c r="DR15" i="1"/>
  <c r="DJ15" i="1"/>
  <c r="DB15" i="1"/>
  <c r="CL15" i="1"/>
  <c r="CD15" i="1"/>
  <c r="BV15" i="1"/>
  <c r="BN15" i="1"/>
  <c r="BF15" i="1"/>
  <c r="AX15" i="1"/>
  <c r="AP15" i="1"/>
  <c r="Z15" i="1"/>
  <c r="R15" i="1"/>
  <c r="J15" i="1"/>
  <c r="DQ15" i="1"/>
  <c r="DI15" i="1"/>
  <c r="DA15" i="1"/>
  <c r="CS15" i="1"/>
  <c r="CC15" i="1"/>
  <c r="BU15" i="1"/>
  <c r="BM15" i="1"/>
  <c r="BE15" i="1"/>
  <c r="AW15" i="1"/>
  <c r="AO15" i="1"/>
  <c r="AG15" i="1"/>
  <c r="Q15" i="1"/>
  <c r="I15" i="1"/>
  <c r="DP15" i="1"/>
  <c r="DH15" i="1"/>
  <c r="CZ15" i="1"/>
  <c r="CR15" i="1"/>
  <c r="CJ15" i="1"/>
  <c r="BT15" i="1"/>
  <c r="BL15" i="1"/>
  <c r="BD15" i="1"/>
  <c r="AV15" i="1"/>
  <c r="AN15" i="1"/>
  <c r="AF15" i="1"/>
  <c r="X15" i="1"/>
  <c r="H15" i="1"/>
  <c r="DO15" i="1"/>
  <c r="DG15" i="1"/>
  <c r="CY15" i="1"/>
  <c r="CQ15" i="1"/>
  <c r="CI15" i="1"/>
  <c r="CA15" i="1"/>
  <c r="BK15" i="1"/>
  <c r="BC15" i="1"/>
  <c r="AU15" i="1"/>
  <c r="AM15" i="1"/>
  <c r="AE15" i="1"/>
  <c r="W15" i="1"/>
  <c r="O15" i="1"/>
  <c r="DN15" i="1"/>
  <c r="DF15" i="1"/>
  <c r="CX15" i="1"/>
  <c r="CP15" i="1"/>
  <c r="CH15" i="1"/>
  <c r="BZ15" i="1"/>
  <c r="BR15" i="1"/>
  <c r="BB15" i="1"/>
  <c r="AT15" i="1"/>
  <c r="AL15" i="1"/>
  <c r="AD15" i="1"/>
  <c r="V15" i="1"/>
  <c r="N15" i="1"/>
  <c r="F15" i="1"/>
  <c r="C29" i="1"/>
  <c r="C27" i="1"/>
  <c r="DM15" i="1"/>
  <c r="DE15" i="1"/>
  <c r="CW15" i="1"/>
  <c r="CO15" i="1"/>
  <c r="CG15" i="1"/>
  <c r="BY15" i="1"/>
  <c r="BI15" i="1"/>
  <c r="BA15" i="1"/>
  <c r="AS15" i="1"/>
  <c r="AK15" i="1"/>
  <c r="AC15" i="1"/>
  <c r="U15" i="1"/>
  <c r="M15" i="1"/>
  <c r="E15" i="1"/>
  <c r="DT15" i="1"/>
  <c r="DL15" i="1"/>
  <c r="DD15" i="1"/>
  <c r="CV15" i="1"/>
  <c r="CN15" i="1"/>
  <c r="CF15" i="1"/>
  <c r="BX15" i="1"/>
  <c r="BP15" i="1"/>
  <c r="BH15" i="1"/>
  <c r="AZ15" i="1"/>
  <c r="AR15" i="1"/>
  <c r="AJ15" i="1"/>
  <c r="AB15" i="1"/>
  <c r="T15" i="1"/>
  <c r="L15" i="1"/>
  <c r="DS15" i="1"/>
  <c r="DK15" i="1"/>
  <c r="DC15" i="1"/>
  <c r="CU15" i="1"/>
  <c r="CM15" i="1"/>
  <c r="CE15" i="1"/>
  <c r="BW15" i="1"/>
  <c r="BO15" i="1"/>
  <c r="BG15" i="1"/>
  <c r="AY15" i="1"/>
  <c r="AQ15" i="1"/>
  <c r="AI15" i="1"/>
  <c r="AA15" i="1"/>
  <c r="S15" i="1"/>
  <c r="K15" i="1"/>
  <c r="BQ14" i="1"/>
  <c r="N14" i="1"/>
  <c r="BZ14" i="1"/>
  <c r="W14" i="1"/>
  <c r="CI14" i="1"/>
  <c r="AF14" i="1"/>
  <c r="CR14" i="1"/>
  <c r="AO14" i="1"/>
  <c r="DA14" i="1"/>
  <c r="AX14" i="1"/>
  <c r="DJ14" i="1"/>
  <c r="BG14" i="1"/>
  <c r="DS14" i="1"/>
  <c r="AW6" i="3"/>
  <c r="AX6" i="3" s="1"/>
  <c r="AY6" i="3" s="1"/>
  <c r="AZ6" i="3" s="1"/>
  <c r="BA6" i="3" s="1"/>
  <c r="BB6" i="3" s="1"/>
  <c r="BC6" i="3" s="1"/>
  <c r="AV1" i="3"/>
  <c r="L14" i="1"/>
  <c r="BX14" i="1"/>
  <c r="M14" i="1"/>
  <c r="BY14" i="1"/>
  <c r="V14" i="1"/>
  <c r="CH14" i="1"/>
  <c r="AE14" i="1"/>
  <c r="CQ14" i="1"/>
  <c r="AN14" i="1"/>
  <c r="CZ14" i="1"/>
  <c r="AW14" i="1"/>
  <c r="DI14" i="1"/>
  <c r="BF14" i="1"/>
  <c r="DR14" i="1"/>
  <c r="BO14" i="1"/>
  <c r="AR43" i="4"/>
  <c r="AU43" i="4" s="1"/>
  <c r="AV43" i="4" s="1"/>
  <c r="AW43" i="4" s="1"/>
  <c r="AC10" i="5"/>
  <c r="DE10" i="5"/>
  <c r="BP10" i="5"/>
  <c r="AE10" i="5"/>
  <c r="DG10" i="5"/>
  <c r="BH10" i="5"/>
  <c r="O10" i="5"/>
  <c r="CO10" i="5"/>
  <c r="BA10" i="5"/>
  <c r="Q10" i="5"/>
  <c r="CQ10" i="5"/>
  <c r="BC10" i="5"/>
  <c r="BU10" i="5"/>
  <c r="S10" i="5"/>
  <c r="C12" i="5"/>
  <c r="AT11" i="5"/>
  <c r="CL11" i="5"/>
  <c r="U11" i="5"/>
  <c r="CG11" i="5"/>
  <c r="BK11" i="5"/>
  <c r="AO11" i="5"/>
  <c r="DA11" i="5"/>
  <c r="BO11" i="5"/>
  <c r="L11" i="5"/>
  <c r="BX11" i="5"/>
  <c r="AA15" i="6"/>
  <c r="CU15" i="6"/>
  <c r="CW15" i="6"/>
  <c r="DM15" i="6"/>
  <c r="DH15" i="6"/>
  <c r="CL15" i="6"/>
  <c r="AM15" i="6"/>
  <c r="Q15" i="6"/>
  <c r="H15" i="6"/>
  <c r="CP15" i="6"/>
  <c r="BK15" i="6"/>
  <c r="AF15" i="6"/>
  <c r="DN15" i="6"/>
  <c r="CI15" i="6"/>
  <c r="BD15" i="6"/>
  <c r="T14" i="1"/>
  <c r="CF14" i="1"/>
  <c r="U14" i="1"/>
  <c r="CG14" i="1"/>
  <c r="AD14" i="1"/>
  <c r="CP14" i="1"/>
  <c r="AM14" i="1"/>
  <c r="CY14" i="1"/>
  <c r="AV14" i="1"/>
  <c r="DH14" i="1"/>
  <c r="BE14" i="1"/>
  <c r="DQ14" i="1"/>
  <c r="BN14" i="1"/>
  <c r="K14" i="1"/>
  <c r="BW14" i="1"/>
  <c r="J14" i="1"/>
  <c r="BV14" i="1"/>
  <c r="S14" i="1"/>
  <c r="CE14" i="1"/>
  <c r="AZ1" i="15"/>
  <c r="BA6" i="15"/>
  <c r="BB6" i="15" s="1"/>
  <c r="BC6" i="15" s="1"/>
  <c r="BD6" i="15" s="1"/>
  <c r="BE6" i="15" s="1"/>
  <c r="BF6" i="15" s="1"/>
  <c r="BG6" i="15" s="1"/>
  <c r="BZ12" i="3" l="1"/>
  <c r="AA12" i="3"/>
  <c r="BL12" i="3"/>
  <c r="CP12" i="2"/>
  <c r="CC12" i="3"/>
  <c r="Q12" i="2"/>
  <c r="EZ12" i="3"/>
  <c r="S12" i="2"/>
  <c r="DR12" i="3"/>
  <c r="DG12" i="2"/>
  <c r="N12" i="3"/>
  <c r="DC12" i="3"/>
  <c r="BJ12" i="3"/>
  <c r="EH12" i="3"/>
  <c r="CP12" i="3"/>
  <c r="CB12" i="3"/>
  <c r="BV12" i="2"/>
  <c r="CV12" i="3"/>
  <c r="EV12" i="3"/>
  <c r="CL12" i="3"/>
  <c r="AC12" i="3"/>
  <c r="EA12" i="3"/>
  <c r="DL12" i="3"/>
  <c r="EG12" i="3"/>
  <c r="AS12" i="3"/>
  <c r="EO12" i="3"/>
  <c r="BN12" i="3"/>
  <c r="AO12" i="3"/>
  <c r="W12" i="3"/>
  <c r="AY12" i="3"/>
  <c r="AG12" i="3"/>
  <c r="R12" i="3"/>
  <c r="J12" i="3"/>
  <c r="CX12" i="3"/>
  <c r="CH12" i="3"/>
  <c r="BK12" i="3"/>
  <c r="CJ12" i="3"/>
  <c r="AJ12" i="3"/>
  <c r="CM12" i="3"/>
  <c r="BD12" i="3"/>
  <c r="DZ12" i="3"/>
  <c r="DJ12" i="3"/>
  <c r="CI12" i="3"/>
  <c r="BC12" i="2"/>
  <c r="CC12" i="2"/>
  <c r="DT12" i="3"/>
  <c r="DE12" i="3"/>
  <c r="H12" i="3"/>
  <c r="BM12" i="3"/>
  <c r="EI12" i="3"/>
  <c r="DS12" i="3"/>
  <c r="CQ12" i="3"/>
  <c r="BG12" i="2"/>
  <c r="X12" i="3"/>
  <c r="EP12" i="3"/>
  <c r="Q12" i="3"/>
  <c r="DF12" i="3"/>
  <c r="AW12" i="3"/>
  <c r="AH12" i="3"/>
  <c r="EU12" i="3"/>
  <c r="CU12" i="2"/>
  <c r="EE12" i="2"/>
  <c r="CJ12" i="2"/>
  <c r="DX12" i="3"/>
  <c r="DM12" i="3"/>
  <c r="BV12" i="3"/>
  <c r="AV12" i="3"/>
  <c r="U12" i="3"/>
  <c r="M12" i="3"/>
  <c r="F12" i="3"/>
  <c r="EW12" i="3"/>
  <c r="DW12" i="3"/>
  <c r="DI12" i="2"/>
  <c r="EF12" i="3"/>
  <c r="CE12" i="3"/>
  <c r="BE12" i="3"/>
  <c r="AN12" i="3"/>
  <c r="AF12" i="3"/>
  <c r="Y12" i="3"/>
  <c r="O12" i="3"/>
  <c r="EM12" i="3"/>
  <c r="AK12" i="2"/>
  <c r="BN12" i="2"/>
  <c r="CW12" i="2"/>
  <c r="L12" i="2"/>
  <c r="DB12" i="2"/>
  <c r="Z12" i="2"/>
  <c r="AD12" i="2"/>
  <c r="BX12" i="2"/>
  <c r="DB12" i="3"/>
  <c r="I12" i="3"/>
  <c r="AR12" i="3"/>
  <c r="EX12" i="3"/>
  <c r="DY12" i="3"/>
  <c r="BW12" i="3"/>
  <c r="BF12" i="3"/>
  <c r="AX12" i="3"/>
  <c r="AQ12" i="3"/>
  <c r="AE12" i="3"/>
  <c r="FC12" i="3"/>
  <c r="O12" i="2"/>
  <c r="AX12" i="2"/>
  <c r="X12" i="2"/>
  <c r="CS12" i="3"/>
  <c r="BU12" i="3"/>
  <c r="CD12" i="3"/>
  <c r="BT12" i="3"/>
  <c r="AK12" i="3"/>
  <c r="EQ12" i="3"/>
  <c r="DQ12" i="3"/>
  <c r="DI12" i="3"/>
  <c r="DA12" i="3"/>
  <c r="CT12" i="3"/>
  <c r="CA12" i="3"/>
  <c r="E13" i="2"/>
  <c r="C14" i="2" s="1"/>
  <c r="BQ12" i="2"/>
  <c r="BJ12" i="2"/>
  <c r="DV12" i="2"/>
  <c r="BD12" i="2"/>
  <c r="DP12" i="2"/>
  <c r="AW12" i="2"/>
  <c r="AR12" i="2"/>
  <c r="CT12" i="2"/>
  <c r="R12" i="2"/>
  <c r="BK12" i="2"/>
  <c r="DC12" i="2"/>
  <c r="G12" i="2"/>
  <c r="AE12" i="2"/>
  <c r="U12" i="2"/>
  <c r="CG12" i="2"/>
  <c r="N12" i="2"/>
  <c r="BZ12" i="2"/>
  <c r="H12" i="2"/>
  <c r="BT12" i="2"/>
  <c r="EF12" i="2"/>
  <c r="BM12" i="2"/>
  <c r="DY12" i="2"/>
  <c r="BH12" i="2"/>
  <c r="DT12" i="2"/>
  <c r="DO12" i="2"/>
  <c r="AM12" i="2"/>
  <c r="CE12" i="2"/>
  <c r="DZ12" i="2"/>
  <c r="AA12" i="2"/>
  <c r="AY12" i="2"/>
  <c r="AC12" i="2"/>
  <c r="CO12" i="2"/>
  <c r="V12" i="2"/>
  <c r="CH12" i="2"/>
  <c r="P12" i="2"/>
  <c r="CB12" i="2"/>
  <c r="I12" i="2"/>
  <c r="BU12" i="2"/>
  <c r="EG12" i="2"/>
  <c r="BP12" i="2"/>
  <c r="EB12" i="2"/>
  <c r="BC1" i="3"/>
  <c r="BD6" i="3"/>
  <c r="BE6" i="3" s="1"/>
  <c r="BF6" i="3" s="1"/>
  <c r="BG6" i="3" s="1"/>
  <c r="BH6" i="3" s="1"/>
  <c r="BI6" i="3" s="1"/>
  <c r="BJ6" i="3" s="1"/>
  <c r="AI12" i="2"/>
  <c r="CD12" i="2"/>
  <c r="DW12" i="2"/>
  <c r="AU12" i="2"/>
  <c r="BS12" i="2"/>
  <c r="CQ12" i="2"/>
  <c r="AS12" i="2"/>
  <c r="DE12" i="2"/>
  <c r="AL12" i="2"/>
  <c r="CX12" i="2"/>
  <c r="AF12" i="2"/>
  <c r="CR12" i="2"/>
  <c r="Y12" i="2"/>
  <c r="CK12" i="2"/>
  <c r="T12" i="2"/>
  <c r="CF12" i="2"/>
  <c r="ER12" i="3"/>
  <c r="BO12" i="3"/>
  <c r="EJ12" i="3"/>
  <c r="BG12" i="3"/>
  <c r="EB12" i="3"/>
  <c r="AZ12" i="3"/>
  <c r="DU12" i="3"/>
  <c r="AM12" i="3"/>
  <c r="CY12" i="3"/>
  <c r="BO12" i="2"/>
  <c r="E13" i="3"/>
  <c r="C14" i="3" s="1"/>
  <c r="DN12" i="3"/>
  <c r="Z12" i="3"/>
  <c r="CU12" i="3"/>
  <c r="S12" i="3"/>
  <c r="CN12" i="3"/>
  <c r="K12" i="3"/>
  <c r="CF12" i="3"/>
  <c r="FA12" i="3"/>
  <c r="BX12" i="3"/>
  <c r="ES12" i="3"/>
  <c r="BP12" i="3"/>
  <c r="EK12" i="3"/>
  <c r="BI12" i="3"/>
  <c r="ED12" i="3"/>
  <c r="AU12" i="3"/>
  <c r="DG12" i="3"/>
  <c r="BD6" i="6"/>
  <c r="BE6" i="6" s="1"/>
  <c r="BF6" i="6" s="1"/>
  <c r="BG6" i="6" s="1"/>
  <c r="BH6" i="6" s="1"/>
  <c r="BI6" i="6" s="1"/>
  <c r="BJ6" i="6" s="1"/>
  <c r="BC1" i="6"/>
  <c r="BD6" i="1"/>
  <c r="BE6" i="1" s="1"/>
  <c r="BF6" i="1" s="1"/>
  <c r="BG6" i="1" s="1"/>
  <c r="BH6" i="1" s="1"/>
  <c r="BI6" i="1" s="1"/>
  <c r="BJ6" i="1" s="1"/>
  <c r="BC1" i="1"/>
  <c r="E12" i="5"/>
  <c r="C13" i="5" s="1"/>
  <c r="K12" i="2"/>
  <c r="BF12" i="2"/>
  <c r="CY12" i="2"/>
  <c r="W12" i="2"/>
  <c r="CM12" i="2"/>
  <c r="DK12" i="2"/>
  <c r="BA12" i="2"/>
  <c r="DM12" i="2"/>
  <c r="AT12" i="2"/>
  <c r="DF12" i="2"/>
  <c r="AN12" i="2"/>
  <c r="CZ12" i="2"/>
  <c r="AG12" i="2"/>
  <c r="CS12" i="2"/>
  <c r="AB12" i="2"/>
  <c r="CN12" i="2"/>
  <c r="AH12" i="2"/>
  <c r="CA12" i="2"/>
  <c r="DS12" i="2"/>
  <c r="AQ12" i="2"/>
  <c r="CL12" i="2"/>
  <c r="DJ12" i="2"/>
  <c r="EH12" i="2"/>
  <c r="BI12" i="2"/>
  <c r="DU12" i="2"/>
  <c r="BB12" i="2"/>
  <c r="DN12" i="2"/>
  <c r="AV12" i="2"/>
  <c r="DH12" i="2"/>
  <c r="AO12" i="2"/>
  <c r="DA12" i="2"/>
  <c r="AJ12" i="2"/>
  <c r="CV12" i="2"/>
  <c r="C16" i="1"/>
  <c r="AI27" i="1"/>
  <c r="CU27" i="1"/>
  <c r="AZ27" i="1"/>
  <c r="DL27" i="1"/>
  <c r="AS27" i="1"/>
  <c r="DE27" i="1"/>
  <c r="F27" i="1"/>
  <c r="BR27" i="1"/>
  <c r="G27" i="1"/>
  <c r="BS27" i="1"/>
  <c r="AN27" i="1"/>
  <c r="CZ27" i="1"/>
  <c r="I27" i="1"/>
  <c r="BU27" i="1"/>
  <c r="AH27" i="1"/>
  <c r="CT27" i="1"/>
  <c r="AQ27" i="1"/>
  <c r="DC27" i="1"/>
  <c r="BH27" i="1"/>
  <c r="DT27" i="1"/>
  <c r="BA27" i="1"/>
  <c r="DM27" i="1"/>
  <c r="N27" i="1"/>
  <c r="BZ27" i="1"/>
  <c r="O27" i="1"/>
  <c r="CA27" i="1"/>
  <c r="AV27" i="1"/>
  <c r="DH27" i="1"/>
  <c r="Q27" i="1"/>
  <c r="CC27" i="1"/>
  <c r="AP27" i="1"/>
  <c r="DB27" i="1"/>
  <c r="AY27" i="1"/>
  <c r="DK27" i="1"/>
  <c r="BP27" i="1"/>
  <c r="BI27" i="1"/>
  <c r="V27" i="1"/>
  <c r="CH27" i="1"/>
  <c r="W27" i="1"/>
  <c r="CI27" i="1"/>
  <c r="BD27" i="1"/>
  <c r="DP27" i="1"/>
  <c r="Y27" i="1"/>
  <c r="CK27" i="1"/>
  <c r="AX27" i="1"/>
  <c r="DJ27" i="1"/>
  <c r="BG27" i="1"/>
  <c r="DS27" i="1"/>
  <c r="L27" i="1"/>
  <c r="BX27" i="1"/>
  <c r="BQ27" i="1"/>
  <c r="AD27" i="1"/>
  <c r="CP27" i="1"/>
  <c r="AE27" i="1"/>
  <c r="CQ27" i="1"/>
  <c r="BL27" i="1"/>
  <c r="AG27" i="1"/>
  <c r="CS27" i="1"/>
  <c r="BF27" i="1"/>
  <c r="DR27" i="1"/>
  <c r="BO27" i="1"/>
  <c r="T27" i="1"/>
  <c r="CF27" i="1"/>
  <c r="M27" i="1"/>
  <c r="BY27" i="1"/>
  <c r="AL27" i="1"/>
  <c r="CX27" i="1"/>
  <c r="AM27" i="1"/>
  <c r="CY27" i="1"/>
  <c r="H27" i="1"/>
  <c r="BT27" i="1"/>
  <c r="AO27" i="1"/>
  <c r="DA27" i="1"/>
  <c r="BN27" i="1"/>
  <c r="K27" i="1"/>
  <c r="BW27" i="1"/>
  <c r="AB27" i="1"/>
  <c r="CN27" i="1"/>
  <c r="U27" i="1"/>
  <c r="CG27" i="1"/>
  <c r="AT27" i="1"/>
  <c r="DF27" i="1"/>
  <c r="AU27" i="1"/>
  <c r="DG27" i="1"/>
  <c r="P27" i="1"/>
  <c r="CB27" i="1"/>
  <c r="AW27" i="1"/>
  <c r="DI27" i="1"/>
  <c r="J27" i="1"/>
  <c r="BV27" i="1"/>
  <c r="S27" i="1"/>
  <c r="CE27" i="1"/>
  <c r="AJ27" i="1"/>
  <c r="CV27" i="1"/>
  <c r="AC27" i="1"/>
  <c r="CO27" i="1"/>
  <c r="BB27" i="1"/>
  <c r="DN27" i="1"/>
  <c r="BC27" i="1"/>
  <c r="DO27" i="1"/>
  <c r="X27" i="1"/>
  <c r="CJ27" i="1"/>
  <c r="BE27" i="1"/>
  <c r="DQ27" i="1"/>
  <c r="R27" i="1"/>
  <c r="CD27" i="1"/>
  <c r="AA27" i="1"/>
  <c r="CM27" i="1"/>
  <c r="AR27" i="1"/>
  <c r="DD27" i="1"/>
  <c r="AK27" i="1"/>
  <c r="CW27" i="1"/>
  <c r="BJ27" i="1"/>
  <c r="BK27" i="1"/>
  <c r="AF27" i="1"/>
  <c r="CR27" i="1"/>
  <c r="BM27" i="1"/>
  <c r="Z27" i="1"/>
  <c r="CL27" i="1"/>
  <c r="DB29" i="1"/>
  <c r="AP29" i="1"/>
  <c r="CS29" i="1"/>
  <c r="AG29" i="1"/>
  <c r="CJ29" i="1"/>
  <c r="X29" i="1"/>
  <c r="CI29" i="1"/>
  <c r="W29" i="1"/>
  <c r="BZ29" i="1"/>
  <c r="N29" i="1"/>
  <c r="BQ29" i="1"/>
  <c r="DT29" i="1"/>
  <c r="BH29" i="1"/>
  <c r="DK29" i="1"/>
  <c r="AY29" i="1"/>
  <c r="CD29" i="1"/>
  <c r="BU29" i="1"/>
  <c r="BL29" i="1"/>
  <c r="BK29" i="1"/>
  <c r="DN29" i="1"/>
  <c r="BB29" i="1"/>
  <c r="AS29" i="1"/>
  <c r="AJ29" i="1"/>
  <c r="AA29" i="1"/>
  <c r="CT29" i="1"/>
  <c r="AH29" i="1"/>
  <c r="CK29" i="1"/>
  <c r="Y29" i="1"/>
  <c r="CB29" i="1"/>
  <c r="P29" i="1"/>
  <c r="CA29" i="1"/>
  <c r="O29" i="1"/>
  <c r="BR29" i="1"/>
  <c r="F29" i="1"/>
  <c r="BI29" i="1"/>
  <c r="DL29" i="1"/>
  <c r="AZ29" i="1"/>
  <c r="DC29" i="1"/>
  <c r="AQ29" i="1"/>
  <c r="J29" i="1"/>
  <c r="DF29" i="1"/>
  <c r="AK29" i="1"/>
  <c r="AB29" i="1"/>
  <c r="S29" i="1"/>
  <c r="CL29" i="1"/>
  <c r="Z29" i="1"/>
  <c r="CC29" i="1"/>
  <c r="Q29" i="1"/>
  <c r="BT29" i="1"/>
  <c r="H29" i="1"/>
  <c r="BS29" i="1"/>
  <c r="G29" i="1"/>
  <c r="BJ29" i="1"/>
  <c r="DM29" i="1"/>
  <c r="BA29" i="1"/>
  <c r="DD29" i="1"/>
  <c r="AR29" i="1"/>
  <c r="CU29" i="1"/>
  <c r="AI29" i="1"/>
  <c r="R29" i="1"/>
  <c r="I29" i="1"/>
  <c r="DE29" i="1"/>
  <c r="CV29" i="1"/>
  <c r="CM29" i="1"/>
  <c r="BV29" i="1"/>
  <c r="BM29" i="1"/>
  <c r="DP29" i="1"/>
  <c r="BD29" i="1"/>
  <c r="DO29" i="1"/>
  <c r="BC29" i="1"/>
  <c r="AT29" i="1"/>
  <c r="CW29" i="1"/>
  <c r="CN29" i="1"/>
  <c r="CE29" i="1"/>
  <c r="BN29" i="1"/>
  <c r="DQ29" i="1"/>
  <c r="BE29" i="1"/>
  <c r="DH29" i="1"/>
  <c r="AV29" i="1"/>
  <c r="DG29" i="1"/>
  <c r="AU29" i="1"/>
  <c r="CX29" i="1"/>
  <c r="AL29" i="1"/>
  <c r="CO29" i="1"/>
  <c r="AC29" i="1"/>
  <c r="CF29" i="1"/>
  <c r="T29" i="1"/>
  <c r="BW29" i="1"/>
  <c r="K29" i="1"/>
  <c r="DR29" i="1"/>
  <c r="BF29" i="1"/>
  <c r="DI29" i="1"/>
  <c r="AW29" i="1"/>
  <c r="CZ29" i="1"/>
  <c r="AN29" i="1"/>
  <c r="CY29" i="1"/>
  <c r="AM29" i="1"/>
  <c r="CP29" i="1"/>
  <c r="AD29" i="1"/>
  <c r="CG29" i="1"/>
  <c r="U29" i="1"/>
  <c r="BX29" i="1"/>
  <c r="L29" i="1"/>
  <c r="BO29" i="1"/>
  <c r="DJ29" i="1"/>
  <c r="AX29" i="1"/>
  <c r="DA29" i="1"/>
  <c r="AO29" i="1"/>
  <c r="CR29" i="1"/>
  <c r="AF29" i="1"/>
  <c r="CQ29" i="1"/>
  <c r="AE29" i="1"/>
  <c r="CH29" i="1"/>
  <c r="V29" i="1"/>
  <c r="BY29" i="1"/>
  <c r="M29" i="1"/>
  <c r="BP29" i="1"/>
  <c r="DS29" i="1"/>
  <c r="BG29" i="1"/>
  <c r="BQ15" i="1"/>
  <c r="BJ15" i="1"/>
  <c r="G15" i="1"/>
  <c r="BS15" i="1"/>
  <c r="P15" i="1"/>
  <c r="CB15" i="1"/>
  <c r="Y15" i="1"/>
  <c r="CK15" i="1"/>
  <c r="AH15" i="1"/>
  <c r="CT15" i="1"/>
  <c r="DL16" i="6"/>
  <c r="CZ16" i="6"/>
  <c r="BT16" i="6"/>
  <c r="AD16" i="6"/>
  <c r="T16" i="6"/>
  <c r="CO16" i="6"/>
  <c r="CD16" i="6"/>
  <c r="AX16" i="6"/>
  <c r="G16" i="6"/>
  <c r="DT16" i="6"/>
  <c r="CB16" i="6"/>
  <c r="BR16" i="6"/>
  <c r="AL16" i="6"/>
  <c r="DG16" i="6"/>
  <c r="BQ16" i="6"/>
  <c r="BF16" i="6"/>
  <c r="Z16" i="6"/>
  <c r="E16" i="6"/>
  <c r="C17" i="6" s="1"/>
  <c r="CV16" i="6"/>
  <c r="BD16" i="6"/>
  <c r="AT16" i="6"/>
  <c r="N16" i="6"/>
  <c r="L16" i="6"/>
  <c r="DO16" i="6"/>
  <c r="AH16" i="6"/>
  <c r="BK16" i="6"/>
  <c r="AF16" i="6"/>
  <c r="CH16" i="6"/>
  <c r="DE16" i="6"/>
  <c r="CG16" i="6"/>
  <c r="DD16" i="6"/>
  <c r="BA16" i="6"/>
  <c r="DB16" i="6"/>
  <c r="BX16" i="6"/>
  <c r="M16" i="6"/>
  <c r="BV16" i="6"/>
  <c r="CE16" i="6"/>
  <c r="BE16" i="6"/>
  <c r="AW16" i="6"/>
  <c r="DS16" i="6"/>
  <c r="AI16" i="6"/>
  <c r="DK16" i="6"/>
  <c r="AQ16" i="6"/>
  <c r="CC16" i="6"/>
  <c r="I16" i="6"/>
  <c r="AA16" i="6"/>
  <c r="BM16" i="6"/>
  <c r="DI16" i="6"/>
  <c r="CS16" i="6"/>
  <c r="AY16" i="6"/>
  <c r="CU16" i="6"/>
  <c r="BH12" i="3"/>
  <c r="BQ12" i="3"/>
  <c r="AP12" i="3"/>
  <c r="EY12" i="3"/>
  <c r="AI12" i="3"/>
  <c r="DD12" i="3"/>
  <c r="AB12" i="3"/>
  <c r="CW12" i="3"/>
  <c r="T12" i="3"/>
  <c r="CO12" i="3"/>
  <c r="L12" i="3"/>
  <c r="CG12" i="3"/>
  <c r="FB12" i="3"/>
  <c r="BY12" i="3"/>
  <c r="ET12" i="3"/>
  <c r="BR12" i="3"/>
  <c r="EN12" i="3"/>
  <c r="BC12" i="3"/>
  <c r="DO12" i="3"/>
  <c r="EC12" i="2"/>
  <c r="DD12" i="2"/>
  <c r="BD6" i="5"/>
  <c r="BE6" i="5" s="1"/>
  <c r="BF6" i="5" s="1"/>
  <c r="BG6" i="5" s="1"/>
  <c r="BH6" i="5" s="1"/>
  <c r="BI6" i="5" s="1"/>
  <c r="BJ6" i="5" s="1"/>
  <c r="BC1" i="5"/>
  <c r="BW12" i="2"/>
  <c r="DR12" i="2"/>
  <c r="AP12" i="2"/>
  <c r="CI12" i="2"/>
  <c r="EA12" i="2"/>
  <c r="J12" i="2"/>
  <c r="M12" i="2"/>
  <c r="BY12" i="2"/>
  <c r="F12" i="2"/>
  <c r="BR12" i="2"/>
  <c r="ED12" i="2"/>
  <c r="BL12" i="2"/>
  <c r="DX12" i="2"/>
  <c r="BE12" i="2"/>
  <c r="DQ12" i="2"/>
  <c r="AZ12" i="2"/>
  <c r="DL12" i="2"/>
  <c r="BD6" i="2"/>
  <c r="BE6" i="2" s="1"/>
  <c r="BF6" i="2" s="1"/>
  <c r="BG6" i="2" s="1"/>
  <c r="BH6" i="2" s="1"/>
  <c r="BI6" i="2" s="1"/>
  <c r="BJ6" i="2" s="1"/>
  <c r="BC1" i="2"/>
  <c r="EC12" i="3"/>
  <c r="EL12" i="3"/>
  <c r="DK12" i="3"/>
  <c r="BB12" i="3"/>
  <c r="BA12" i="3"/>
  <c r="DV12" i="3"/>
  <c r="AT12" i="3"/>
  <c r="DP12" i="3"/>
  <c r="AL12" i="3"/>
  <c r="DH12" i="3"/>
  <c r="AD12" i="3"/>
  <c r="CZ12" i="3"/>
  <c r="V12" i="3"/>
  <c r="CR12" i="3"/>
  <c r="P12" i="3"/>
  <c r="CK12" i="3"/>
  <c r="G12" i="3"/>
  <c r="BS12" i="3"/>
  <c r="EE12" i="3"/>
  <c r="BH6" i="15"/>
  <c r="BI6" i="15" s="1"/>
  <c r="BJ6" i="15" s="1"/>
  <c r="BK6" i="15" s="1"/>
  <c r="BL6" i="15" s="1"/>
  <c r="BM6" i="15" s="1"/>
  <c r="BN6" i="15" s="1"/>
  <c r="BG1" i="15"/>
  <c r="AL13" i="3" l="1"/>
  <c r="BV13" i="2"/>
  <c r="BD13" i="2"/>
  <c r="BB13" i="2"/>
  <c r="CM13" i="2"/>
  <c r="AQ13" i="2"/>
  <c r="CQ13" i="2"/>
  <c r="H13" i="2"/>
  <c r="X13" i="2"/>
  <c r="EE13" i="2"/>
  <c r="K13" i="2"/>
  <c r="BO13" i="2"/>
  <c r="Y13" i="2"/>
  <c r="DL13" i="2"/>
  <c r="N13" i="2"/>
  <c r="CC13" i="2"/>
  <c r="CU13" i="2"/>
  <c r="CP13" i="2"/>
  <c r="CB13" i="2"/>
  <c r="DN13" i="2"/>
  <c r="CZ13" i="2"/>
  <c r="AM13" i="2"/>
  <c r="DK13" i="2"/>
  <c r="S13" i="2"/>
  <c r="AL13" i="2"/>
  <c r="CA13" i="2"/>
  <c r="DY13" i="2"/>
  <c r="EF13" i="2"/>
  <c r="CE13" i="2"/>
  <c r="AT13" i="2"/>
  <c r="CI13" i="2"/>
  <c r="EG13" i="2"/>
  <c r="CD13" i="2"/>
  <c r="BP13" i="2"/>
  <c r="BX13" i="2"/>
  <c r="AR13" i="2"/>
  <c r="G13" i="2"/>
  <c r="AG13" i="2"/>
  <c r="BA13" i="2"/>
  <c r="O13" i="2"/>
  <c r="AO13" i="2"/>
  <c r="Z13" i="2"/>
  <c r="DD13" i="3"/>
  <c r="DA13" i="2"/>
  <c r="DU13" i="2"/>
  <c r="DR13" i="2"/>
  <c r="ED13" i="3"/>
  <c r="DH13" i="2"/>
  <c r="AF13" i="2"/>
  <c r="AJ13" i="2"/>
  <c r="DT13" i="2"/>
  <c r="CJ13" i="2"/>
  <c r="BZ13" i="2"/>
  <c r="W13" i="2"/>
  <c r="CY13" i="2"/>
  <c r="BM13" i="2"/>
  <c r="J13" i="2"/>
  <c r="DZ13" i="2"/>
  <c r="EB13" i="2"/>
  <c r="AZ13" i="2"/>
  <c r="BG13" i="2"/>
  <c r="T13" i="2"/>
  <c r="DD13" i="2"/>
  <c r="CH13" i="2"/>
  <c r="AE13" i="2"/>
  <c r="DG13" i="2"/>
  <c r="BU13" i="2"/>
  <c r="R13" i="2"/>
  <c r="EH13" i="2"/>
  <c r="W13" i="3"/>
  <c r="AB13" i="2"/>
  <c r="L13" i="2"/>
  <c r="CV13" i="2"/>
  <c r="BL13" i="2"/>
  <c r="V13" i="2"/>
  <c r="CX13" i="2"/>
  <c r="AU13" i="2"/>
  <c r="I13" i="2"/>
  <c r="CK13" i="2"/>
  <c r="BF13" i="2"/>
  <c r="M13" i="2"/>
  <c r="CR13" i="3"/>
  <c r="CN13" i="2"/>
  <c r="AI13" i="2"/>
  <c r="DS13" i="2"/>
  <c r="DX13" i="2"/>
  <c r="AD13" i="2"/>
  <c r="DF13" i="2"/>
  <c r="BS13" i="2"/>
  <c r="Q13" i="2"/>
  <c r="CS13" i="2"/>
  <c r="BN13" i="2"/>
  <c r="AS13" i="2"/>
  <c r="DU13" i="3"/>
  <c r="DV13" i="3"/>
  <c r="CF13" i="3"/>
  <c r="AD12" i="5"/>
  <c r="ES13" i="3"/>
  <c r="BR12" i="5"/>
  <c r="DW13" i="3"/>
  <c r="FB13" i="3"/>
  <c r="DM13" i="2"/>
  <c r="BG12" i="5"/>
  <c r="AH13" i="3"/>
  <c r="T13" i="3"/>
  <c r="CY13" i="3"/>
  <c r="AZ13" i="3"/>
  <c r="DA13" i="3"/>
  <c r="R13" i="3"/>
  <c r="CO13" i="3"/>
  <c r="BY13" i="3"/>
  <c r="EV13" i="3"/>
  <c r="EO13" i="3"/>
  <c r="AB13" i="3"/>
  <c r="DG13" i="3"/>
  <c r="CQ13" i="3"/>
  <c r="AQ13" i="3"/>
  <c r="DS12" i="5"/>
  <c r="EU13" i="3"/>
  <c r="H13" i="3"/>
  <c r="AT13" i="3"/>
  <c r="AD13" i="3"/>
  <c r="EK13" i="3"/>
  <c r="AY13" i="3"/>
  <c r="BP12" i="5"/>
  <c r="N13" i="3"/>
  <c r="CC13" i="3"/>
  <c r="CN13" i="3"/>
  <c r="BX13" i="3"/>
  <c r="ET13" i="3"/>
  <c r="BO13" i="3"/>
  <c r="CL13" i="2"/>
  <c r="BI13" i="2"/>
  <c r="CI13" i="3"/>
  <c r="Y13" i="3"/>
  <c r="J13" i="3"/>
  <c r="CG13" i="3"/>
  <c r="F13" i="3"/>
  <c r="EA13" i="3"/>
  <c r="CG13" i="2"/>
  <c r="BY13" i="2"/>
  <c r="BZ12" i="5"/>
  <c r="AH13" i="2"/>
  <c r="CT13" i="2"/>
  <c r="U13" i="2"/>
  <c r="CO13" i="2"/>
  <c r="CH12" i="5"/>
  <c r="EF13" i="3"/>
  <c r="BA13" i="3"/>
  <c r="CW13" i="3"/>
  <c r="FA13" i="3"/>
  <c r="V13" i="3"/>
  <c r="BI13" i="3"/>
  <c r="DC13" i="3"/>
  <c r="AA13" i="2"/>
  <c r="AY13" i="2"/>
  <c r="BW13" i="2"/>
  <c r="DP13" i="2"/>
  <c r="AN13" i="2"/>
  <c r="CF13" i="2"/>
  <c r="EA13" i="2"/>
  <c r="BJ13" i="2"/>
  <c r="DV13" i="2"/>
  <c r="BC13" i="2"/>
  <c r="DO13" i="2"/>
  <c r="AW13" i="2"/>
  <c r="DI13" i="2"/>
  <c r="AP13" i="2"/>
  <c r="DB13" i="2"/>
  <c r="AC13" i="2"/>
  <c r="CW13" i="2"/>
  <c r="AF13" i="3"/>
  <c r="CT13" i="3"/>
  <c r="DO13" i="3"/>
  <c r="L13" i="3"/>
  <c r="BP13" i="3"/>
  <c r="CA13" i="3"/>
  <c r="DK13" i="3"/>
  <c r="AV13" i="2"/>
  <c r="BT13" i="2"/>
  <c r="CR13" i="2"/>
  <c r="P13" i="2"/>
  <c r="BH13" i="2"/>
  <c r="DC13" i="2"/>
  <c r="F13" i="2"/>
  <c r="BR13" i="2"/>
  <c r="ED13" i="2"/>
  <c r="BK13" i="2"/>
  <c r="DW13" i="2"/>
  <c r="BE13" i="2"/>
  <c r="DQ13" i="2"/>
  <c r="AX13" i="2"/>
  <c r="DJ13" i="2"/>
  <c r="AK13" i="2"/>
  <c r="DE13" i="2"/>
  <c r="BK6" i="5"/>
  <c r="BL6" i="5" s="1"/>
  <c r="BM6" i="5" s="1"/>
  <c r="BN6" i="5" s="1"/>
  <c r="BO6" i="5" s="1"/>
  <c r="BP6" i="5" s="1"/>
  <c r="BQ6" i="5" s="1"/>
  <c r="BJ1" i="5"/>
  <c r="U16" i="6"/>
  <c r="X16" i="6"/>
  <c r="CK16" i="6"/>
  <c r="BO16" i="6"/>
  <c r="AO16" i="6"/>
  <c r="BW16" i="6"/>
  <c r="S16" i="6"/>
  <c r="AS16" i="6"/>
  <c r="BB16" i="6"/>
  <c r="CQ16" i="6"/>
  <c r="AJ16" i="6"/>
  <c r="DP16" i="6"/>
  <c r="AU16" i="6"/>
  <c r="BH16" i="6"/>
  <c r="BS16" i="6"/>
  <c r="H16" i="6"/>
  <c r="CP16" i="6"/>
  <c r="CJ12" i="5"/>
  <c r="F12" i="5"/>
  <c r="N12" i="5"/>
  <c r="V12" i="5"/>
  <c r="AQ12" i="5"/>
  <c r="DC12" i="5"/>
  <c r="AZ12" i="5"/>
  <c r="DL12" i="5"/>
  <c r="BA12" i="5"/>
  <c r="DM12" i="5"/>
  <c r="BK12" i="5"/>
  <c r="I12" i="5"/>
  <c r="BU12" i="5"/>
  <c r="R12" i="5"/>
  <c r="CD12" i="5"/>
  <c r="AX13" i="3"/>
  <c r="BH13" i="3"/>
  <c r="BQ13" i="3"/>
  <c r="AS13" i="3"/>
  <c r="AR13" i="3"/>
  <c r="DM13" i="3"/>
  <c r="AK13" i="3"/>
  <c r="DF13" i="3"/>
  <c r="AC13" i="3"/>
  <c r="CX13" i="3"/>
  <c r="U13" i="3"/>
  <c r="CP13" i="3"/>
  <c r="M13" i="3"/>
  <c r="CH13" i="3"/>
  <c r="FC13" i="3"/>
  <c r="BR13" i="3"/>
  <c r="EM13" i="3"/>
  <c r="BG13" i="3"/>
  <c r="DS13" i="3"/>
  <c r="DP12" i="5"/>
  <c r="AL12" i="5"/>
  <c r="AT12" i="5"/>
  <c r="BB12" i="5"/>
  <c r="AY12" i="5"/>
  <c r="DK12" i="5"/>
  <c r="BH12" i="5"/>
  <c r="DT12" i="5"/>
  <c r="BI12" i="5"/>
  <c r="G12" i="5"/>
  <c r="BS12" i="5"/>
  <c r="Q12" i="5"/>
  <c r="CC12" i="5"/>
  <c r="Z12" i="5"/>
  <c r="CL12" i="5"/>
  <c r="BK6" i="6"/>
  <c r="BL6" i="6" s="1"/>
  <c r="BM6" i="6" s="1"/>
  <c r="BN6" i="6" s="1"/>
  <c r="BO6" i="6" s="1"/>
  <c r="BP6" i="6" s="1"/>
  <c r="BQ6" i="6" s="1"/>
  <c r="BJ1" i="6"/>
  <c r="E14" i="3"/>
  <c r="C15" i="3" s="1"/>
  <c r="DT13" i="3"/>
  <c r="EC13" i="3"/>
  <c r="EL13" i="3"/>
  <c r="DN13" i="3"/>
  <c r="BJ13" i="3"/>
  <c r="EE13" i="3"/>
  <c r="BC13" i="3"/>
  <c r="DX13" i="3"/>
  <c r="AU13" i="3"/>
  <c r="DP13" i="3"/>
  <c r="AM13" i="3"/>
  <c r="DH13" i="3"/>
  <c r="AE13" i="3"/>
  <c r="CZ13" i="3"/>
  <c r="O13" i="3"/>
  <c r="CJ13" i="3"/>
  <c r="K13" i="3"/>
  <c r="BW13" i="3"/>
  <c r="EI13" i="3"/>
  <c r="E13" i="5"/>
  <c r="C14" i="5" s="1"/>
  <c r="BQ12" i="5"/>
  <c r="O12" i="5"/>
  <c r="CA12" i="5"/>
  <c r="Y12" i="5"/>
  <c r="CK12" i="5"/>
  <c r="AH12" i="5"/>
  <c r="CT12" i="5"/>
  <c r="DC16" i="6"/>
  <c r="AR16" i="6"/>
  <c r="V16" i="6"/>
  <c r="CI16" i="6"/>
  <c r="AP16" i="6"/>
  <c r="BP16" i="6"/>
  <c r="CA16" i="6"/>
  <c r="F16" i="6"/>
  <c r="CN16" i="6"/>
  <c r="R16" i="6"/>
  <c r="CY16" i="6"/>
  <c r="AN16" i="6"/>
  <c r="BJ12" i="5"/>
  <c r="CX12" i="5"/>
  <c r="DF12" i="5"/>
  <c r="DN12" i="5"/>
  <c r="BO12" i="5"/>
  <c r="L12" i="5"/>
  <c r="BX12" i="5"/>
  <c r="M12" i="5"/>
  <c r="BY12" i="5"/>
  <c r="W12" i="5"/>
  <c r="CI12" i="5"/>
  <c r="AG12" i="5"/>
  <c r="CS12" i="5"/>
  <c r="AP12" i="5"/>
  <c r="DB12" i="5"/>
  <c r="AO13" i="3"/>
  <c r="Q13" i="3"/>
  <c r="Z13" i="3"/>
  <c r="AJ13" i="3"/>
  <c r="EX13" i="3"/>
  <c r="BS13" i="3"/>
  <c r="EN13" i="3"/>
  <c r="BL13" i="3"/>
  <c r="EG13" i="3"/>
  <c r="BD13" i="3"/>
  <c r="DY13" i="3"/>
  <c r="AV13" i="3"/>
  <c r="DQ13" i="3"/>
  <c r="AN13" i="3"/>
  <c r="DI13" i="3"/>
  <c r="X13" i="3"/>
  <c r="CS13" i="3"/>
  <c r="S13" i="3"/>
  <c r="CE13" i="3"/>
  <c r="EQ13" i="3"/>
  <c r="BK6" i="2"/>
  <c r="BL6" i="2" s="1"/>
  <c r="BM6" i="2" s="1"/>
  <c r="BN6" i="2" s="1"/>
  <c r="BO6" i="2" s="1"/>
  <c r="BP6" i="2" s="1"/>
  <c r="BQ6" i="2" s="1"/>
  <c r="BJ1" i="2"/>
  <c r="CX17" i="6"/>
  <c r="CN17" i="6"/>
  <c r="CD17" i="6"/>
  <c r="BH17" i="6"/>
  <c r="CB17" i="6"/>
  <c r="BQ17" i="6"/>
  <c r="BG17" i="6"/>
  <c r="AK17" i="6"/>
  <c r="CV17" i="6"/>
  <c r="CL17" i="6"/>
  <c r="BZ17" i="6"/>
  <c r="BF17" i="6"/>
  <c r="N17" i="6"/>
  <c r="DP17" i="6"/>
  <c r="DE17" i="6"/>
  <c r="CJ17" i="6"/>
  <c r="AS17" i="6"/>
  <c r="AI17" i="6"/>
  <c r="X17" i="6"/>
  <c r="DN17" i="6"/>
  <c r="BX17" i="6"/>
  <c r="BN17" i="6"/>
  <c r="BB17" i="6"/>
  <c r="AH17" i="6"/>
  <c r="DC17" i="6"/>
  <c r="CR17" i="6"/>
  <c r="CG17" i="6"/>
  <c r="BL17" i="6"/>
  <c r="U17" i="6"/>
  <c r="K17" i="6"/>
  <c r="DL17" i="6"/>
  <c r="CP17" i="6"/>
  <c r="AZ17" i="6"/>
  <c r="AP17" i="6"/>
  <c r="AD17" i="6"/>
  <c r="J17" i="6"/>
  <c r="AB17" i="6"/>
  <c r="BT17" i="6"/>
  <c r="S17" i="6"/>
  <c r="R17" i="6"/>
  <c r="H17" i="6"/>
  <c r="DK17" i="6"/>
  <c r="AN17" i="6"/>
  <c r="CZ17" i="6"/>
  <c r="E17" i="6"/>
  <c r="DJ17" i="6" s="1"/>
  <c r="DO17" i="6"/>
  <c r="BC17" i="6"/>
  <c r="DQ17" i="6"/>
  <c r="DG17" i="6"/>
  <c r="DI17" i="6"/>
  <c r="CY17" i="6"/>
  <c r="AM17" i="6"/>
  <c r="DA17" i="6"/>
  <c r="CQ17" i="6"/>
  <c r="BU17" i="6"/>
  <c r="BK17" i="6"/>
  <c r="AG17" i="6"/>
  <c r="G17" i="6"/>
  <c r="Q17" i="6"/>
  <c r="CA17" i="6"/>
  <c r="BS17" i="6"/>
  <c r="CK17" i="6"/>
  <c r="W17" i="6"/>
  <c r="O17" i="6"/>
  <c r="P16" i="6"/>
  <c r="AC16" i="6"/>
  <c r="AZ16" i="6"/>
  <c r="DH16" i="1"/>
  <c r="CZ16" i="1"/>
  <c r="CR16" i="1"/>
  <c r="CB16" i="1"/>
  <c r="AV16" i="1"/>
  <c r="AN16" i="1"/>
  <c r="AF16" i="1"/>
  <c r="P16" i="1"/>
  <c r="CQ16" i="1"/>
  <c r="CI16" i="1"/>
  <c r="CA16" i="1"/>
  <c r="BK16" i="1"/>
  <c r="AE16" i="1"/>
  <c r="W16" i="1"/>
  <c r="O16" i="1"/>
  <c r="DF16" i="1"/>
  <c r="BZ16" i="1"/>
  <c r="BR16" i="1"/>
  <c r="BJ16" i="1"/>
  <c r="AT16" i="1"/>
  <c r="N16" i="1"/>
  <c r="F16" i="1"/>
  <c r="DM16" i="1"/>
  <c r="DE16" i="1"/>
  <c r="CO16" i="1"/>
  <c r="BI16" i="1"/>
  <c r="BA16" i="1"/>
  <c r="AS16" i="1"/>
  <c r="AC16" i="1"/>
  <c r="E16" i="1"/>
  <c r="C17" i="1" s="1"/>
  <c r="DT16" i="1"/>
  <c r="DL16" i="1"/>
  <c r="DD16" i="1"/>
  <c r="CV16" i="1"/>
  <c r="CN16" i="1"/>
  <c r="CF16" i="1"/>
  <c r="BX16" i="1"/>
  <c r="BP16" i="1"/>
  <c r="BH16" i="1"/>
  <c r="AZ16" i="1"/>
  <c r="AR16" i="1"/>
  <c r="AJ16" i="1"/>
  <c r="AB16" i="1"/>
  <c r="T16" i="1"/>
  <c r="L16" i="1"/>
  <c r="DS16" i="1"/>
  <c r="DK16" i="1"/>
  <c r="DC16" i="1"/>
  <c r="CU16" i="1"/>
  <c r="CM16" i="1"/>
  <c r="CE16" i="1"/>
  <c r="BW16" i="1"/>
  <c r="BO16" i="1"/>
  <c r="BG16" i="1"/>
  <c r="AY16" i="1"/>
  <c r="AQ16" i="1"/>
  <c r="AI16" i="1"/>
  <c r="AA16" i="1"/>
  <c r="S16" i="1"/>
  <c r="K16" i="1"/>
  <c r="DR16" i="1"/>
  <c r="DJ16" i="1"/>
  <c r="DB16" i="1"/>
  <c r="CT16" i="1"/>
  <c r="CL16" i="1"/>
  <c r="CD16" i="1"/>
  <c r="BV16" i="1"/>
  <c r="BN16" i="1"/>
  <c r="BF16" i="1"/>
  <c r="AX16" i="1"/>
  <c r="AP16" i="1"/>
  <c r="AH16" i="1"/>
  <c r="Z16" i="1"/>
  <c r="R16" i="1"/>
  <c r="J16" i="1"/>
  <c r="DQ16" i="1"/>
  <c r="DI16" i="1"/>
  <c r="DA16" i="1"/>
  <c r="CS16" i="1"/>
  <c r="CK16" i="1"/>
  <c r="CC16" i="1"/>
  <c r="BU16" i="1"/>
  <c r="BM16" i="1"/>
  <c r="BE16" i="1"/>
  <c r="AW16" i="1"/>
  <c r="AO16" i="1"/>
  <c r="AG16" i="1"/>
  <c r="Y16" i="1"/>
  <c r="Q16" i="1"/>
  <c r="I16" i="1"/>
  <c r="CP12" i="5"/>
  <c r="H12" i="5"/>
  <c r="P12" i="5"/>
  <c r="K12" i="5"/>
  <c r="BW12" i="5"/>
  <c r="T12" i="5"/>
  <c r="CF12" i="5"/>
  <c r="U12" i="5"/>
  <c r="CG12" i="5"/>
  <c r="AE12" i="5"/>
  <c r="CQ12" i="5"/>
  <c r="AO12" i="5"/>
  <c r="DA12" i="5"/>
  <c r="AX12" i="5"/>
  <c r="DJ12" i="5"/>
  <c r="BZ13" i="3"/>
  <c r="BB13" i="3"/>
  <c r="BK13" i="3"/>
  <c r="BT13" i="3"/>
  <c r="G13" i="3"/>
  <c r="CB13" i="3"/>
  <c r="EW13" i="3"/>
  <c r="BU13" i="3"/>
  <c r="EP13" i="3"/>
  <c r="BM13" i="3"/>
  <c r="EH13" i="3"/>
  <c r="BE13" i="3"/>
  <c r="DZ13" i="3"/>
  <c r="AW13" i="3"/>
  <c r="DR13" i="3"/>
  <c r="AG13" i="3"/>
  <c r="DB13" i="3"/>
  <c r="AA13" i="3"/>
  <c r="CM13" i="3"/>
  <c r="EY13" i="3"/>
  <c r="AE16" i="6"/>
  <c r="DN16" i="6"/>
  <c r="BN16" i="6"/>
  <c r="BZ16" i="6"/>
  <c r="CL16" i="6"/>
  <c r="CX16" i="6"/>
  <c r="DJ16" i="6"/>
  <c r="BU16" i="6"/>
  <c r="K16" i="6"/>
  <c r="Q16" i="6"/>
  <c r="BG16" i="6"/>
  <c r="Y16" i="6"/>
  <c r="DA16" i="6"/>
  <c r="AG16" i="6"/>
  <c r="DQ16" i="6"/>
  <c r="CT16" i="6"/>
  <c r="BY16" i="6"/>
  <c r="BC16" i="6"/>
  <c r="J16" i="6"/>
  <c r="CR16" i="6"/>
  <c r="CJ16" i="6"/>
  <c r="O16" i="6"/>
  <c r="CW16" i="6"/>
  <c r="AB16" i="6"/>
  <c r="DH16" i="6"/>
  <c r="AM16" i="6"/>
  <c r="BJ16" i="6"/>
  <c r="AF12" i="5"/>
  <c r="AN12" i="5"/>
  <c r="AV12" i="5"/>
  <c r="S12" i="5"/>
  <c r="CE12" i="5"/>
  <c r="AB12" i="5"/>
  <c r="CN12" i="5"/>
  <c r="AC12" i="5"/>
  <c r="CO12" i="5"/>
  <c r="AM12" i="5"/>
  <c r="CY12" i="5"/>
  <c r="AW12" i="5"/>
  <c r="DI12" i="5"/>
  <c r="BF12" i="5"/>
  <c r="DR12" i="5"/>
  <c r="DJ13" i="3"/>
  <c r="CL13" i="3"/>
  <c r="CV13" i="3"/>
  <c r="DE13" i="3"/>
  <c r="P13" i="3"/>
  <c r="CK13" i="3"/>
  <c r="I13" i="3"/>
  <c r="CD13" i="3"/>
  <c r="EZ13" i="3"/>
  <c r="BV13" i="3"/>
  <c r="ER13" i="3"/>
  <c r="BN13" i="3"/>
  <c r="EJ13" i="3"/>
  <c r="BF13" i="3"/>
  <c r="EB13" i="3"/>
  <c r="AP13" i="3"/>
  <c r="DL13" i="3"/>
  <c r="AI13" i="3"/>
  <c r="CU13" i="3"/>
  <c r="X12" i="5"/>
  <c r="BL12" i="5"/>
  <c r="BT12" i="5"/>
  <c r="CB12" i="5"/>
  <c r="AA12" i="5"/>
  <c r="CM12" i="5"/>
  <c r="AJ12" i="5"/>
  <c r="CV12" i="5"/>
  <c r="AK12" i="5"/>
  <c r="CW12" i="5"/>
  <c r="AU12" i="5"/>
  <c r="DG12" i="5"/>
  <c r="BE12" i="5"/>
  <c r="DQ12" i="5"/>
  <c r="BN12" i="5"/>
  <c r="CM16" i="6"/>
  <c r="W16" i="6"/>
  <c r="DM16" i="6"/>
  <c r="BL16" i="6"/>
  <c r="DF16" i="6"/>
  <c r="AK16" i="6"/>
  <c r="DR16" i="6"/>
  <c r="AV16" i="6"/>
  <c r="BI16" i="6"/>
  <c r="CF16" i="6"/>
  <c r="BD12" i="5"/>
  <c r="CR12" i="5"/>
  <c r="CZ12" i="5"/>
  <c r="DH12" i="5"/>
  <c r="AI12" i="5"/>
  <c r="CU12" i="5"/>
  <c r="AR12" i="5"/>
  <c r="DD12" i="5"/>
  <c r="AS12" i="5"/>
  <c r="DE12" i="5"/>
  <c r="BC12" i="5"/>
  <c r="DO12" i="5"/>
  <c r="BM12" i="5"/>
  <c r="J12" i="5"/>
  <c r="BV12" i="5"/>
  <c r="BK6" i="1"/>
  <c r="BL6" i="1" s="1"/>
  <c r="BM6" i="1" s="1"/>
  <c r="BN6" i="1" s="1"/>
  <c r="BO6" i="1" s="1"/>
  <c r="BP6" i="1" s="1"/>
  <c r="BQ6" i="1" s="1"/>
  <c r="BJ1" i="1"/>
  <c r="BK6" i="3"/>
  <c r="BL6" i="3" s="1"/>
  <c r="BM6" i="3" s="1"/>
  <c r="BN6" i="3" s="1"/>
  <c r="BO6" i="3" s="1"/>
  <c r="BP6" i="3" s="1"/>
  <c r="BQ6" i="3" s="1"/>
  <c r="BJ1" i="3"/>
  <c r="E14" i="2"/>
  <c r="C15" i="2" s="1"/>
  <c r="BQ13" i="2"/>
  <c r="EC13" i="2"/>
  <c r="BO6" i="15"/>
  <c r="BP6" i="15" s="1"/>
  <c r="BQ6" i="15" s="1"/>
  <c r="BR6" i="15" s="1"/>
  <c r="BS6" i="15" s="1"/>
  <c r="BT6" i="15" s="1"/>
  <c r="BU6" i="15" s="1"/>
  <c r="BN1" i="15"/>
  <c r="DM14" i="3" l="1"/>
  <c r="CU14" i="3"/>
  <c r="CM14" i="3"/>
  <c r="AW14" i="2"/>
  <c r="EG14" i="2"/>
  <c r="AL13" i="5"/>
  <c r="CT14" i="3"/>
  <c r="CC14" i="2"/>
  <c r="CI13" i="5"/>
  <c r="DU14" i="2"/>
  <c r="AF14" i="2"/>
  <c r="AF13" i="5"/>
  <c r="CN14" i="3"/>
  <c r="U14" i="2"/>
  <c r="S14" i="2"/>
  <c r="AO14" i="2"/>
  <c r="CZ14" i="2"/>
  <c r="CG14" i="2"/>
  <c r="CK14" i="2"/>
  <c r="AD14" i="2"/>
  <c r="M14" i="2"/>
  <c r="BP14" i="2"/>
  <c r="AJ14" i="2"/>
  <c r="CT14" i="2"/>
  <c r="R13" i="5"/>
  <c r="BI14" i="2"/>
  <c r="DE14" i="2"/>
  <c r="BC14" i="2"/>
  <c r="AA14" i="2"/>
  <c r="DG14" i="2"/>
  <c r="CM14" i="2"/>
  <c r="AR14" i="2"/>
  <c r="I14" i="2"/>
  <c r="AN14" i="2"/>
  <c r="CH14" i="2"/>
  <c r="DD14" i="2"/>
  <c r="AP14" i="2"/>
  <c r="AO13" i="5"/>
  <c r="BE14" i="2"/>
  <c r="AV14" i="2"/>
  <c r="AI14" i="2"/>
  <c r="G13" i="5"/>
  <c r="CO14" i="3"/>
  <c r="DI14" i="2"/>
  <c r="AM14" i="2"/>
  <c r="Z14" i="2"/>
  <c r="N14" i="2"/>
  <c r="CD13" i="5"/>
  <c r="EC14" i="2"/>
  <c r="AU14" i="2"/>
  <c r="AH14" i="2"/>
  <c r="V14" i="2"/>
  <c r="CM13" i="5"/>
  <c r="CY14" i="3"/>
  <c r="T14" i="2"/>
  <c r="BM14" i="2"/>
  <c r="EB14" i="2"/>
  <c r="BU14" i="2"/>
  <c r="Q14" i="2"/>
  <c r="CI14" i="2"/>
  <c r="CB14" i="2"/>
  <c r="BV14" i="2"/>
  <c r="BO14" i="2"/>
  <c r="BJ14" i="2"/>
  <c r="DM13" i="5"/>
  <c r="CX13" i="5"/>
  <c r="CH14" i="3"/>
  <c r="DD14" i="3"/>
  <c r="EF14" i="3"/>
  <c r="DX14" i="3"/>
  <c r="DY14" i="3"/>
  <c r="DZ14" i="3"/>
  <c r="N14" i="3"/>
  <c r="EE14" i="3"/>
  <c r="DL14" i="2"/>
  <c r="BH14" i="2"/>
  <c r="CY14" i="2"/>
  <c r="CR14" i="2"/>
  <c r="CL14" i="2"/>
  <c r="CE14" i="2"/>
  <c r="BZ14" i="2"/>
  <c r="AF14" i="3"/>
  <c r="Q14" i="3"/>
  <c r="F14" i="3"/>
  <c r="EZ14" i="3"/>
  <c r="ER14" i="3"/>
  <c r="ES14" i="3"/>
  <c r="L14" i="3"/>
  <c r="AY14" i="3"/>
  <c r="ED14" i="3"/>
  <c r="CF14" i="2"/>
  <c r="Y14" i="2"/>
  <c r="BQ14" i="2"/>
  <c r="L14" i="2"/>
  <c r="CW14" i="2"/>
  <c r="DO14" i="2"/>
  <c r="DH14" i="2"/>
  <c r="DB14" i="2"/>
  <c r="CU14" i="2"/>
  <c r="CP14" i="2"/>
  <c r="AA13" i="5"/>
  <c r="CR13" i="5"/>
  <c r="DA14" i="3"/>
  <c r="CL14" i="3"/>
  <c r="Y14" i="3"/>
  <c r="R14" i="3"/>
  <c r="S14" i="3"/>
  <c r="T14" i="3"/>
  <c r="BF14" i="3"/>
  <c r="DT14" i="3"/>
  <c r="BA14" i="3"/>
  <c r="P14" i="3"/>
  <c r="I14" i="3"/>
  <c r="J14" i="3"/>
  <c r="K14" i="3"/>
  <c r="U14" i="3"/>
  <c r="CJ14" i="3"/>
  <c r="DA14" i="2"/>
  <c r="AS14" i="2"/>
  <c r="CN14" i="2"/>
  <c r="CS14" i="2"/>
  <c r="W14" i="2"/>
  <c r="P14" i="2"/>
  <c r="J14" i="2"/>
  <c r="EH14" i="2"/>
  <c r="EA14" i="2"/>
  <c r="DV14" i="2"/>
  <c r="EX14" i="3"/>
  <c r="CR14" i="3"/>
  <c r="BI14" i="3"/>
  <c r="BB14" i="3"/>
  <c r="BD14" i="3"/>
  <c r="BE14" i="3"/>
  <c r="CG14" i="3"/>
  <c r="G14" i="3"/>
  <c r="BP14" i="3"/>
  <c r="AJ13" i="5"/>
  <c r="DA13" i="5"/>
  <c r="AR14" i="3"/>
  <c r="Z14" i="3"/>
  <c r="CB14" i="3"/>
  <c r="BU14" i="3"/>
  <c r="BV14" i="3"/>
  <c r="BW14" i="3"/>
  <c r="CP14" i="3"/>
  <c r="AM14" i="3"/>
  <c r="CV13" i="5"/>
  <c r="CC14" i="3"/>
  <c r="BJ14" i="3"/>
  <c r="CK14" i="3"/>
  <c r="CD14" i="3"/>
  <c r="CE14" i="3"/>
  <c r="CF14" i="3"/>
  <c r="EA14" i="3"/>
  <c r="BS14" i="3"/>
  <c r="CO13" i="5"/>
  <c r="BA13" i="5"/>
  <c r="J13" i="5"/>
  <c r="BV13" i="5"/>
  <c r="S13" i="5"/>
  <c r="CE13" i="5"/>
  <c r="AB13" i="5"/>
  <c r="CN13" i="5"/>
  <c r="AD13" i="5"/>
  <c r="CP13" i="5"/>
  <c r="CA13" i="5"/>
  <c r="X13" i="5"/>
  <c r="CJ13" i="5"/>
  <c r="AG13" i="5"/>
  <c r="CS13" i="5"/>
  <c r="EV14" i="3"/>
  <c r="BX14" i="3"/>
  <c r="EW14" i="3"/>
  <c r="BQ14" i="3"/>
  <c r="EO14" i="3"/>
  <c r="BC14" i="3"/>
  <c r="DO14" i="3"/>
  <c r="ET14" i="3"/>
  <c r="C29" i="3"/>
  <c r="C27" i="3"/>
  <c r="D23" i="3" s="1"/>
  <c r="E15" i="3"/>
  <c r="DR15" i="3" s="1"/>
  <c r="BZ14" i="3"/>
  <c r="EY14" i="3"/>
  <c r="BK14" i="3"/>
  <c r="DW14" i="3"/>
  <c r="FB14" i="3"/>
  <c r="AM13" i="5"/>
  <c r="U13" i="5"/>
  <c r="Z13" i="5"/>
  <c r="CL13" i="5"/>
  <c r="AI13" i="5"/>
  <c r="CU13" i="5"/>
  <c r="AR13" i="5"/>
  <c r="DD13" i="5"/>
  <c r="AT13" i="5"/>
  <c r="DF13" i="5"/>
  <c r="CQ13" i="5"/>
  <c r="AN13" i="5"/>
  <c r="CZ13" i="5"/>
  <c r="AW13" i="5"/>
  <c r="DI13" i="5"/>
  <c r="AG14" i="2"/>
  <c r="BY14" i="2"/>
  <c r="DT14" i="2"/>
  <c r="BK14" i="2"/>
  <c r="DW14" i="2"/>
  <c r="BD14" i="2"/>
  <c r="DP14" i="2"/>
  <c r="AX14" i="2"/>
  <c r="DJ14" i="2"/>
  <c r="AQ14" i="2"/>
  <c r="DC14" i="2"/>
  <c r="AL14" i="2"/>
  <c r="CX14" i="2"/>
  <c r="BQ1" i="1"/>
  <c r="BR6" i="1"/>
  <c r="BS6" i="1" s="1"/>
  <c r="BT6" i="1" s="1"/>
  <c r="BU6" i="1" s="1"/>
  <c r="BV6" i="1" s="1"/>
  <c r="BW6" i="1" s="1"/>
  <c r="BX6" i="1" s="1"/>
  <c r="E17" i="1"/>
  <c r="BR17" i="1" s="1"/>
  <c r="BP17" i="1"/>
  <c r="DS17" i="1"/>
  <c r="BG17" i="1"/>
  <c r="DJ17" i="1"/>
  <c r="AX17" i="1"/>
  <c r="DA17" i="1"/>
  <c r="AO17" i="1"/>
  <c r="CR17" i="1"/>
  <c r="AF17" i="1"/>
  <c r="DO17" i="1"/>
  <c r="CI17" i="1"/>
  <c r="BC17" i="1"/>
  <c r="W17" i="1"/>
  <c r="BQ16" i="1"/>
  <c r="V16" i="1"/>
  <c r="CH16" i="1"/>
  <c r="AM16" i="1"/>
  <c r="CY16" i="1"/>
  <c r="BD16" i="1"/>
  <c r="DP16" i="1"/>
  <c r="CS17" i="6"/>
  <c r="I17" i="6"/>
  <c r="AW17" i="6"/>
  <c r="BM17" i="6"/>
  <c r="AX17" i="6"/>
  <c r="CE17" i="6"/>
  <c r="BJ17" i="6"/>
  <c r="AF17" i="6"/>
  <c r="DM17" i="6"/>
  <c r="CH17" i="6"/>
  <c r="BD17" i="6"/>
  <c r="Z17" i="6"/>
  <c r="DF17" i="6"/>
  <c r="CM17" i="6"/>
  <c r="CW13" i="5"/>
  <c r="BI13" i="5"/>
  <c r="AH13" i="5"/>
  <c r="CT13" i="5"/>
  <c r="AQ13" i="5"/>
  <c r="DC13" i="5"/>
  <c r="AZ13" i="5"/>
  <c r="DL13" i="5"/>
  <c r="BB13" i="5"/>
  <c r="DN13" i="5"/>
  <c r="CY13" i="5"/>
  <c r="AV13" i="5"/>
  <c r="DH13" i="5"/>
  <c r="BE13" i="5"/>
  <c r="DQ13" i="5"/>
  <c r="AO14" i="3"/>
  <c r="FA14" i="3"/>
  <c r="DV14" i="3"/>
  <c r="EG14" i="3"/>
  <c r="AH14" i="3"/>
  <c r="DC14" i="3"/>
  <c r="AA14" i="3"/>
  <c r="CV14" i="3"/>
  <c r="AB14" i="3"/>
  <c r="CW14" i="3"/>
  <c r="AC14" i="3"/>
  <c r="CX14" i="3"/>
  <c r="AD14" i="3"/>
  <c r="CZ14" i="3"/>
  <c r="X14" i="3"/>
  <c r="CS14" i="3"/>
  <c r="O14" i="3"/>
  <c r="CA14" i="3"/>
  <c r="EM14" i="3"/>
  <c r="BQ1" i="6"/>
  <c r="BR6" i="6"/>
  <c r="BS6" i="6" s="1"/>
  <c r="BT6" i="6" s="1"/>
  <c r="BU6" i="6" s="1"/>
  <c r="BV6" i="6" s="1"/>
  <c r="BW6" i="6" s="1"/>
  <c r="BX6" i="6" s="1"/>
  <c r="C27" i="2"/>
  <c r="E15" i="2"/>
  <c r="EE15" i="2" s="1"/>
  <c r="C29" i="2"/>
  <c r="AC14" i="2"/>
  <c r="BA14" i="2"/>
  <c r="CV14" i="2"/>
  <c r="G14" i="2"/>
  <c r="BS14" i="2"/>
  <c r="EE14" i="2"/>
  <c r="BL14" i="2"/>
  <c r="DX14" i="2"/>
  <c r="BF14" i="2"/>
  <c r="DR14" i="2"/>
  <c r="AY14" i="2"/>
  <c r="DK14" i="2"/>
  <c r="AT14" i="2"/>
  <c r="DF14" i="2"/>
  <c r="M16" i="1"/>
  <c r="BY16" i="1"/>
  <c r="AD16" i="1"/>
  <c r="CP16" i="1"/>
  <c r="AU16" i="1"/>
  <c r="DG16" i="1"/>
  <c r="BL16" i="1"/>
  <c r="C31" i="6"/>
  <c r="C18" i="6"/>
  <c r="BS31" i="6"/>
  <c r="CY31" i="6"/>
  <c r="P31" i="6"/>
  <c r="DD31" i="6"/>
  <c r="AT31" i="6"/>
  <c r="BE31" i="6"/>
  <c r="I31" i="6"/>
  <c r="BV31" i="6"/>
  <c r="AG31" i="6"/>
  <c r="J31" i="6"/>
  <c r="AC31" i="6"/>
  <c r="W31" i="6"/>
  <c r="U31" i="6"/>
  <c r="DL31" i="6"/>
  <c r="BY31" i="6"/>
  <c r="BI31" i="6"/>
  <c r="V31" i="6"/>
  <c r="CV31" i="6"/>
  <c r="BN31" i="6"/>
  <c r="DG31" i="6"/>
  <c r="CB31" i="6"/>
  <c r="AV31" i="6"/>
  <c r="CR31" i="6"/>
  <c r="CQ31" i="6"/>
  <c r="CP31" i="6"/>
  <c r="AN31" i="6"/>
  <c r="DH31" i="6"/>
  <c r="Q31" i="6"/>
  <c r="BA31" i="6"/>
  <c r="DB31" i="6"/>
  <c r="BG31" i="6"/>
  <c r="DE31" i="6"/>
  <c r="AD31" i="6"/>
  <c r="DN31" i="6"/>
  <c r="BP31" i="6"/>
  <c r="CK31" i="6"/>
  <c r="BR31" i="6"/>
  <c r="AE31" i="6"/>
  <c r="CU31" i="6"/>
  <c r="CT31" i="6"/>
  <c r="BC31" i="6"/>
  <c r="BQ31" i="6"/>
  <c r="AF31" i="6"/>
  <c r="CO31" i="6"/>
  <c r="AK31" i="6"/>
  <c r="CF31" i="6"/>
  <c r="L31" i="6"/>
  <c r="S31" i="6"/>
  <c r="CM31" i="6"/>
  <c r="CE31" i="6"/>
  <c r="CS31" i="6"/>
  <c r="DT31" i="6"/>
  <c r="AB31" i="6"/>
  <c r="CN31" i="6"/>
  <c r="AM31" i="6"/>
  <c r="DQ31" i="6"/>
  <c r="DJ31" i="6"/>
  <c r="O31" i="6"/>
  <c r="BL31" i="6"/>
  <c r="Y31" i="6"/>
  <c r="DA31" i="6"/>
  <c r="CZ31" i="6"/>
  <c r="CL31" i="6"/>
  <c r="AA31" i="6"/>
  <c r="BU31" i="6"/>
  <c r="BK31" i="6"/>
  <c r="M31" i="6"/>
  <c r="AY31" i="6"/>
  <c r="Z31" i="6"/>
  <c r="AL31" i="6"/>
  <c r="CX31" i="6"/>
  <c r="AW31" i="6"/>
  <c r="F31" i="6"/>
  <c r="DR31" i="6"/>
  <c r="BT31" i="6"/>
  <c r="AQ31" i="6"/>
  <c r="N31" i="6"/>
  <c r="DK31" i="6"/>
  <c r="X31" i="6"/>
  <c r="DM31" i="6"/>
  <c r="R31" i="6"/>
  <c r="CJ31" i="6"/>
  <c r="H31" i="6"/>
  <c r="DS31" i="6"/>
  <c r="BJ31" i="6"/>
  <c r="AJ31" i="6"/>
  <c r="BZ31" i="6"/>
  <c r="CH31" i="6"/>
  <c r="DI31" i="6"/>
  <c r="BH31" i="6"/>
  <c r="G31" i="6"/>
  <c r="CC31" i="6"/>
  <c r="BF31" i="6"/>
  <c r="BX31" i="6"/>
  <c r="AR31" i="6"/>
  <c r="AP31" i="6"/>
  <c r="AI31" i="6"/>
  <c r="AS31" i="6"/>
  <c r="BB31" i="6"/>
  <c r="DO31" i="6"/>
  <c r="BW31" i="6"/>
  <c r="AU31" i="6"/>
  <c r="AX31" i="6"/>
  <c r="BD31" i="6"/>
  <c r="AZ31" i="6"/>
  <c r="CW31" i="6"/>
  <c r="AH31" i="6"/>
  <c r="CG31" i="6"/>
  <c r="K31" i="6"/>
  <c r="AO31" i="6"/>
  <c r="BM31" i="6"/>
  <c r="CI31" i="6"/>
  <c r="DF31" i="6"/>
  <c r="DP31" i="6"/>
  <c r="T31" i="6"/>
  <c r="DC31" i="6"/>
  <c r="BO31" i="6"/>
  <c r="CA31" i="6"/>
  <c r="CD31" i="6"/>
  <c r="P17" i="6"/>
  <c r="AC17" i="6"/>
  <c r="BV17" i="6"/>
  <c r="AQ17" i="6"/>
  <c r="L17" i="6"/>
  <c r="CT17" i="6"/>
  <c r="BO17" i="6"/>
  <c r="AJ17" i="6"/>
  <c r="DR17" i="6"/>
  <c r="CW17" i="6"/>
  <c r="AE13" i="5"/>
  <c r="M13" i="5"/>
  <c r="W13" i="5"/>
  <c r="AP13" i="5"/>
  <c r="DB13" i="5"/>
  <c r="AY13" i="5"/>
  <c r="DK13" i="5"/>
  <c r="BH13" i="5"/>
  <c r="DT13" i="5"/>
  <c r="BJ13" i="5"/>
  <c r="AU13" i="5"/>
  <c r="DG13" i="5"/>
  <c r="BD13" i="5"/>
  <c r="DP13" i="5"/>
  <c r="BM13" i="5"/>
  <c r="BY14" i="3"/>
  <c r="M14" i="3"/>
  <c r="V14" i="3"/>
  <c r="AI14" i="3"/>
  <c r="AQ14" i="3"/>
  <c r="DL14" i="3"/>
  <c r="AJ14" i="3"/>
  <c r="DE14" i="3"/>
  <c r="AK14" i="3"/>
  <c r="DF14" i="3"/>
  <c r="AL14" i="3"/>
  <c r="DH14" i="3"/>
  <c r="AN14" i="3"/>
  <c r="DI14" i="3"/>
  <c r="AG14" i="3"/>
  <c r="DB14" i="3"/>
  <c r="W14" i="3"/>
  <c r="CI14" i="3"/>
  <c r="EU14" i="3"/>
  <c r="BQ1" i="3"/>
  <c r="BR6" i="3"/>
  <c r="BS6" i="3" s="1"/>
  <c r="BT6" i="3" s="1"/>
  <c r="BU6" i="3" s="1"/>
  <c r="BV6" i="3" s="1"/>
  <c r="BW6" i="3" s="1"/>
  <c r="BX6" i="3" s="1"/>
  <c r="DY14" i="2"/>
  <c r="AB14" i="2"/>
  <c r="AZ14" i="2"/>
  <c r="BX14" i="2"/>
  <c r="DQ14" i="2"/>
  <c r="O14" i="2"/>
  <c r="CA14" i="2"/>
  <c r="H14" i="2"/>
  <c r="BT14" i="2"/>
  <c r="EF14" i="2"/>
  <c r="BN14" i="2"/>
  <c r="DZ14" i="2"/>
  <c r="BG14" i="2"/>
  <c r="DS14" i="2"/>
  <c r="BB14" i="2"/>
  <c r="DN14" i="2"/>
  <c r="U16" i="1"/>
  <c r="CG16" i="1"/>
  <c r="AL16" i="1"/>
  <c r="CX16" i="1"/>
  <c r="BC16" i="1"/>
  <c r="DO16" i="1"/>
  <c r="H16" i="1"/>
  <c r="BT16" i="1"/>
  <c r="CI17" i="6"/>
  <c r="AE17" i="6"/>
  <c r="AU17" i="6"/>
  <c r="AL17" i="6"/>
  <c r="AY17" i="6"/>
  <c r="CO17" i="6"/>
  <c r="CF17" i="6"/>
  <c r="BA17" i="6"/>
  <c r="V17" i="6"/>
  <c r="DD17" i="6"/>
  <c r="BY17" i="6"/>
  <c r="AT17" i="6"/>
  <c r="AA17" i="6"/>
  <c r="DH17" i="6"/>
  <c r="BR6" i="2"/>
  <c r="BS6" i="2" s="1"/>
  <c r="BT6" i="2" s="1"/>
  <c r="BU6" i="2" s="1"/>
  <c r="BV6" i="2" s="1"/>
  <c r="BW6" i="2" s="1"/>
  <c r="BX6" i="2" s="1"/>
  <c r="BQ1" i="2"/>
  <c r="CG13" i="5"/>
  <c r="AS13" i="5"/>
  <c r="BQ13" i="5"/>
  <c r="AX13" i="5"/>
  <c r="DJ13" i="5"/>
  <c r="BG13" i="5"/>
  <c r="DS13" i="5"/>
  <c r="BP13" i="5"/>
  <c r="F13" i="5"/>
  <c r="BR13" i="5"/>
  <c r="BC13" i="5"/>
  <c r="DO13" i="5"/>
  <c r="BL13" i="5"/>
  <c r="I13" i="5"/>
  <c r="BU13" i="5"/>
  <c r="DJ14" i="3"/>
  <c r="AX14" i="3"/>
  <c r="BG14" i="3"/>
  <c r="BT14" i="3"/>
  <c r="AZ14" i="3"/>
  <c r="DU14" i="3"/>
  <c r="AS14" i="3"/>
  <c r="DN14" i="3"/>
  <c r="AT14" i="3"/>
  <c r="DP14" i="3"/>
  <c r="AV14" i="3"/>
  <c r="DQ14" i="3"/>
  <c r="AW14" i="3"/>
  <c r="DR14" i="3"/>
  <c r="AP14" i="3"/>
  <c r="DK14" i="3"/>
  <c r="AE14" i="3"/>
  <c r="CQ14" i="3"/>
  <c r="FC14" i="3"/>
  <c r="E14" i="5"/>
  <c r="C15" i="5" s="1"/>
  <c r="DE13" i="5"/>
  <c r="AC13" i="5"/>
  <c r="BF13" i="5"/>
  <c r="DR13" i="5"/>
  <c r="BO13" i="5"/>
  <c r="L13" i="5"/>
  <c r="BX13" i="5"/>
  <c r="N13" i="5"/>
  <c r="BZ13" i="5"/>
  <c r="BK13" i="5"/>
  <c r="H13" i="5"/>
  <c r="BT13" i="5"/>
  <c r="Q13" i="5"/>
  <c r="CC13" i="5"/>
  <c r="CO14" i="2"/>
  <c r="DM14" i="2"/>
  <c r="AK14" i="2"/>
  <c r="AE14" i="2"/>
  <c r="CQ14" i="2"/>
  <c r="X14" i="2"/>
  <c r="CJ14" i="2"/>
  <c r="R14" i="2"/>
  <c r="CD14" i="2"/>
  <c r="K14" i="2"/>
  <c r="BW14" i="2"/>
  <c r="F14" i="2"/>
  <c r="BR14" i="2"/>
  <c r="ED14" i="2"/>
  <c r="AK16" i="1"/>
  <c r="CW16" i="1"/>
  <c r="BB16" i="1"/>
  <c r="DN16" i="1"/>
  <c r="G16" i="1"/>
  <c r="BS16" i="1"/>
  <c r="X16" i="1"/>
  <c r="CJ16" i="1"/>
  <c r="CC17" i="6"/>
  <c r="Y17" i="6"/>
  <c r="AO17" i="6"/>
  <c r="BE17" i="6"/>
  <c r="F17" i="6"/>
  <c r="BI17" i="6"/>
  <c r="T17" i="6"/>
  <c r="DB17" i="6"/>
  <c r="BW17" i="6"/>
  <c r="AR17" i="6"/>
  <c r="M17" i="6"/>
  <c r="CU17" i="6"/>
  <c r="BP17" i="6"/>
  <c r="AV17" i="6"/>
  <c r="BR17" i="6"/>
  <c r="AK13" i="5"/>
  <c r="O13" i="5"/>
  <c r="BY13" i="5"/>
  <c r="BN13" i="5"/>
  <c r="K13" i="5"/>
  <c r="BW13" i="5"/>
  <c r="T13" i="5"/>
  <c r="CF13" i="5"/>
  <c r="V13" i="5"/>
  <c r="CH13" i="5"/>
  <c r="BS13" i="5"/>
  <c r="P13" i="5"/>
  <c r="CB13" i="5"/>
  <c r="Y13" i="5"/>
  <c r="CK13" i="5"/>
  <c r="EN14" i="3"/>
  <c r="H14" i="3"/>
  <c r="DS14" i="3"/>
  <c r="EB14" i="3"/>
  <c r="EQ14" i="3"/>
  <c r="BR14" i="3"/>
  <c r="EP14" i="3"/>
  <c r="BL14" i="3"/>
  <c r="EH14" i="3"/>
  <c r="BM14" i="3"/>
  <c r="EI14" i="3"/>
  <c r="BN14" i="3"/>
  <c r="EJ14" i="3"/>
  <c r="BO14" i="3"/>
  <c r="EK14" i="3"/>
  <c r="BH14" i="3"/>
  <c r="EC14" i="3"/>
  <c r="AU14" i="3"/>
  <c r="DG14" i="3"/>
  <c r="EL14" i="3"/>
  <c r="BR6" i="5"/>
  <c r="BS6" i="5" s="1"/>
  <c r="BT6" i="5" s="1"/>
  <c r="BU6" i="5" s="1"/>
  <c r="BV6" i="5" s="1"/>
  <c r="BW6" i="5" s="1"/>
  <c r="BX6" i="5" s="1"/>
  <c r="BQ1" i="5"/>
  <c r="BV6" i="15"/>
  <c r="BW6" i="15" s="1"/>
  <c r="BX6" i="15" s="1"/>
  <c r="BY6" i="15" s="1"/>
  <c r="BZ6" i="15" s="1"/>
  <c r="CA6" i="15" s="1"/>
  <c r="CB6" i="15" s="1"/>
  <c r="BU1" i="15"/>
  <c r="FB15" i="3" l="1"/>
  <c r="DL15" i="3"/>
  <c r="M15" i="3"/>
  <c r="CZ15" i="3"/>
  <c r="DN15" i="3"/>
  <c r="BE15" i="3"/>
  <c r="BJ15" i="3"/>
  <c r="CS15" i="3"/>
  <c r="EJ15" i="3"/>
  <c r="T15" i="3"/>
  <c r="EL15" i="3"/>
  <c r="AN15" i="3"/>
  <c r="AF15" i="3"/>
  <c r="DV15" i="3"/>
  <c r="AR15" i="3"/>
  <c r="CI15" i="3"/>
  <c r="BL15" i="3"/>
  <c r="CJ15" i="3"/>
  <c r="AO14" i="5"/>
  <c r="AZ15" i="3"/>
  <c r="EU15" i="3"/>
  <c r="AT15" i="3"/>
  <c r="AD15" i="3"/>
  <c r="CP15" i="3"/>
  <c r="V15" i="3"/>
  <c r="BP15" i="3"/>
  <c r="DJ14" i="5"/>
  <c r="H15" i="3"/>
  <c r="BM15" i="3"/>
  <c r="ET15" i="3"/>
  <c r="AL15" i="3"/>
  <c r="EN15" i="3"/>
  <c r="BN15" i="2"/>
  <c r="DG15" i="3"/>
  <c r="AE14" i="5"/>
  <c r="EV15" i="3"/>
  <c r="DW15" i="3"/>
  <c r="Y14" i="5"/>
  <c r="DQ15" i="2"/>
  <c r="DJ15" i="3"/>
  <c r="K14" i="5"/>
  <c r="CN14" i="5"/>
  <c r="CF15" i="3"/>
  <c r="EF15" i="3"/>
  <c r="W15" i="3"/>
  <c r="BB15" i="3"/>
  <c r="BD15" i="3"/>
  <c r="O15" i="3"/>
  <c r="DH15" i="3"/>
  <c r="DM15" i="3"/>
  <c r="AX15" i="3"/>
  <c r="AU14" i="5"/>
  <c r="CC14" i="5"/>
  <c r="AQ14" i="5"/>
  <c r="AC14" i="5"/>
  <c r="H14" i="5"/>
  <c r="AS15" i="3"/>
  <c r="BC15" i="3"/>
  <c r="DE15" i="3"/>
  <c r="DD15" i="3"/>
  <c r="BZ15" i="3"/>
  <c r="BQ15" i="3"/>
  <c r="AW15" i="3"/>
  <c r="FC15" i="3"/>
  <c r="EH15" i="3"/>
  <c r="DA14" i="5"/>
  <c r="BG14" i="5"/>
  <c r="AS14" i="5"/>
  <c r="AN14" i="5"/>
  <c r="BI15" i="3"/>
  <c r="BG15" i="3"/>
  <c r="DQ14" i="5"/>
  <c r="CU14" i="5"/>
  <c r="CO14" i="5"/>
  <c r="BT14" i="5"/>
  <c r="BT15" i="3"/>
  <c r="DY15" i="3"/>
  <c r="EK15" i="3"/>
  <c r="AG15" i="3"/>
  <c r="DX15" i="3"/>
  <c r="EB15" i="3"/>
  <c r="EW15" i="3"/>
  <c r="DI15" i="3"/>
  <c r="BO15" i="3"/>
  <c r="AH14" i="5"/>
  <c r="DS14" i="5"/>
  <c r="DE14" i="5"/>
  <c r="CZ14" i="5"/>
  <c r="FA15" i="3"/>
  <c r="DC15" i="3"/>
  <c r="L14" i="5"/>
  <c r="AX14" i="5"/>
  <c r="AR14" i="5"/>
  <c r="CH14" i="5"/>
  <c r="J15" i="3"/>
  <c r="Q14" i="5"/>
  <c r="CL14" i="5"/>
  <c r="BX14" i="5"/>
  <c r="CX14" i="5"/>
  <c r="CX15" i="3"/>
  <c r="BA15" i="3"/>
  <c r="R15" i="3"/>
  <c r="BY15" i="2"/>
  <c r="AY15" i="2"/>
  <c r="BE14" i="5"/>
  <c r="BN14" i="5"/>
  <c r="BW14" i="5"/>
  <c r="DD14" i="5"/>
  <c r="V14" i="5"/>
  <c r="BK14" i="5"/>
  <c r="DP14" i="5"/>
  <c r="AK15" i="2"/>
  <c r="CL15" i="2"/>
  <c r="DK15" i="2"/>
  <c r="CA15" i="3"/>
  <c r="P15" i="3"/>
  <c r="DT15" i="3"/>
  <c r="BS15" i="3"/>
  <c r="AE15" i="3"/>
  <c r="EG15" i="3"/>
  <c r="BW15" i="3"/>
  <c r="AH15" i="3"/>
  <c r="EP15" i="3"/>
  <c r="AL14" i="5"/>
  <c r="CQ14" i="5"/>
  <c r="DR15" i="2"/>
  <c r="DJ15" i="2"/>
  <c r="AZ15" i="2"/>
  <c r="CW15" i="3"/>
  <c r="AB15" i="3"/>
  <c r="ED15" i="3"/>
  <c r="CC15" i="3"/>
  <c r="AO15" i="3"/>
  <c r="ES15" i="3"/>
  <c r="CU15" i="3"/>
  <c r="AP15" i="3"/>
  <c r="CK14" i="5"/>
  <c r="CT14" i="5"/>
  <c r="DC14" i="5"/>
  <c r="M14" i="5"/>
  <c r="BB14" i="5"/>
  <c r="DG14" i="5"/>
  <c r="CD15" i="2"/>
  <c r="EH15" i="2"/>
  <c r="DL15" i="2"/>
  <c r="AP15" i="2"/>
  <c r="BL15" i="2"/>
  <c r="AU15" i="2"/>
  <c r="BY15" i="3"/>
  <c r="BX15" i="3"/>
  <c r="N15" i="3"/>
  <c r="CV15" i="3"/>
  <c r="Y15" i="3"/>
  <c r="DQ15" i="3"/>
  <c r="AV15" i="3"/>
  <c r="EZ15" i="3"/>
  <c r="DU15" i="3"/>
  <c r="BK15" i="3"/>
  <c r="K15" i="3"/>
  <c r="DS15" i="3"/>
  <c r="BV15" i="3"/>
  <c r="DV15" i="2"/>
  <c r="DX15" i="2"/>
  <c r="DG15" i="2"/>
  <c r="DO15" i="3"/>
  <c r="CH15" i="3"/>
  <c r="X15" i="3"/>
  <c r="DF15" i="3"/>
  <c r="AK15" i="3"/>
  <c r="EC15" i="3"/>
  <c r="BH15" i="3"/>
  <c r="AC15" i="3"/>
  <c r="EE15" i="3"/>
  <c r="BU15" i="3"/>
  <c r="AI15" i="3"/>
  <c r="EA15" i="3"/>
  <c r="CD15" i="3"/>
  <c r="Z14" i="5"/>
  <c r="AI14" i="5"/>
  <c r="BP14" i="5"/>
  <c r="BY14" i="5"/>
  <c r="DN14" i="5"/>
  <c r="BD14" i="5"/>
  <c r="BE15" i="2"/>
  <c r="ER15" i="3"/>
  <c r="L15" i="3"/>
  <c r="CR15" i="3"/>
  <c r="AJ15" i="3"/>
  <c r="DP15" i="3"/>
  <c r="AU15" i="3"/>
  <c r="EM15" i="3"/>
  <c r="BR15" i="3"/>
  <c r="AM15" i="3"/>
  <c r="EO15" i="3"/>
  <c r="CG15" i="3"/>
  <c r="AQ15" i="3"/>
  <c r="EI15" i="3"/>
  <c r="CT15" i="3"/>
  <c r="AG14" i="5"/>
  <c r="CS14" i="5"/>
  <c r="AP14" i="5"/>
  <c r="DB14" i="5"/>
  <c r="AY14" i="5"/>
  <c r="DK14" i="5"/>
  <c r="CF14" i="5"/>
  <c r="U14" i="5"/>
  <c r="CG14" i="5"/>
  <c r="AD14" i="5"/>
  <c r="CP14" i="5"/>
  <c r="AM14" i="5"/>
  <c r="CY14" i="5"/>
  <c r="AV14" i="5"/>
  <c r="DH14" i="5"/>
  <c r="M15" i="2"/>
  <c r="BF15" i="2"/>
  <c r="CX15" i="2"/>
  <c r="Z15" i="2"/>
  <c r="AX15" i="2"/>
  <c r="BV15" i="2"/>
  <c r="AN15" i="2"/>
  <c r="CZ15" i="2"/>
  <c r="AG15" i="2"/>
  <c r="CS15" i="2"/>
  <c r="AA15" i="2"/>
  <c r="CM15" i="2"/>
  <c r="AB15" i="2"/>
  <c r="CN15" i="2"/>
  <c r="W15" i="2"/>
  <c r="CI15" i="2"/>
  <c r="BY6" i="6"/>
  <c r="BZ6" i="6" s="1"/>
  <c r="CA6" i="6" s="1"/>
  <c r="CB6" i="6" s="1"/>
  <c r="CC6" i="6" s="1"/>
  <c r="CD6" i="6" s="1"/>
  <c r="CE6" i="6" s="1"/>
  <c r="BX1" i="6"/>
  <c r="BK17" i="1"/>
  <c r="H17" i="1"/>
  <c r="BT17" i="1"/>
  <c r="Q17" i="1"/>
  <c r="CC17" i="1"/>
  <c r="Z17" i="1"/>
  <c r="CL17" i="1"/>
  <c r="AI17" i="1"/>
  <c r="CU17" i="1"/>
  <c r="AR17" i="1"/>
  <c r="DD17" i="1"/>
  <c r="AS17" i="1"/>
  <c r="DE17" i="1"/>
  <c r="BB17" i="1"/>
  <c r="DN17" i="1"/>
  <c r="AY15" i="3"/>
  <c r="DK15" i="3"/>
  <c r="Z15" i="3"/>
  <c r="CL15" i="3"/>
  <c r="EX15" i="3"/>
  <c r="E18" i="6"/>
  <c r="C19" i="6" s="1"/>
  <c r="DA18" i="6"/>
  <c r="CK18" i="6"/>
  <c r="CA18" i="6"/>
  <c r="G18" i="6"/>
  <c r="AH15" i="2"/>
  <c r="BZ15" i="2"/>
  <c r="DU15" i="2"/>
  <c r="V15" i="2"/>
  <c r="AT15" i="2"/>
  <c r="BR15" i="2"/>
  <c r="CP15" i="2"/>
  <c r="AV15" i="2"/>
  <c r="DH15" i="2"/>
  <c r="AO15" i="2"/>
  <c r="DA15" i="2"/>
  <c r="AI15" i="2"/>
  <c r="CU15" i="2"/>
  <c r="AJ15" i="2"/>
  <c r="CV15" i="2"/>
  <c r="AE15" i="2"/>
  <c r="CQ15" i="2"/>
  <c r="G17" i="1"/>
  <c r="BS17" i="1"/>
  <c r="P17" i="1"/>
  <c r="CB17" i="1"/>
  <c r="Y17" i="1"/>
  <c r="CK17" i="1"/>
  <c r="AH17" i="1"/>
  <c r="CT17" i="1"/>
  <c r="AQ17" i="1"/>
  <c r="DC17" i="1"/>
  <c r="AZ17" i="1"/>
  <c r="DL17" i="1"/>
  <c r="BA17" i="1"/>
  <c r="DM17" i="1"/>
  <c r="BJ17" i="1"/>
  <c r="BY6" i="1"/>
  <c r="BZ6" i="1" s="1"/>
  <c r="CA6" i="1" s="1"/>
  <c r="CB6" i="1" s="1"/>
  <c r="CC6" i="1" s="1"/>
  <c r="CD6" i="1" s="1"/>
  <c r="CE6" i="1" s="1"/>
  <c r="BX1" i="1"/>
  <c r="AB14" i="5"/>
  <c r="AW14" i="5"/>
  <c r="DI14" i="5"/>
  <c r="BF14" i="5"/>
  <c r="DR14" i="5"/>
  <c r="BO14" i="5"/>
  <c r="AJ14" i="5"/>
  <c r="CV14" i="5"/>
  <c r="AK14" i="5"/>
  <c r="CW14" i="5"/>
  <c r="AT14" i="5"/>
  <c r="DF14" i="5"/>
  <c r="BC14" i="5"/>
  <c r="DO14" i="5"/>
  <c r="BL14" i="5"/>
  <c r="BB15" i="2"/>
  <c r="CW15" i="2"/>
  <c r="U15" i="2"/>
  <c r="AS15" i="2"/>
  <c r="BQ15" i="2"/>
  <c r="CO15" i="2"/>
  <c r="DM15" i="2"/>
  <c r="BD15" i="2"/>
  <c r="DP15" i="2"/>
  <c r="AW15" i="2"/>
  <c r="DI15" i="2"/>
  <c r="AQ15" i="2"/>
  <c r="DC15" i="2"/>
  <c r="AR15" i="2"/>
  <c r="DD15" i="2"/>
  <c r="AM15" i="2"/>
  <c r="CY15" i="2"/>
  <c r="O17" i="1"/>
  <c r="CA17" i="1"/>
  <c r="X17" i="1"/>
  <c r="CJ17" i="1"/>
  <c r="AG17" i="1"/>
  <c r="CS17" i="1"/>
  <c r="AP17" i="1"/>
  <c r="DB17" i="1"/>
  <c r="AY17" i="1"/>
  <c r="DK17" i="1"/>
  <c r="BH17" i="1"/>
  <c r="DT17" i="1"/>
  <c r="BI17" i="1"/>
  <c r="F17" i="1"/>
  <c r="DB15" i="3"/>
  <c r="BY6" i="5"/>
  <c r="BZ6" i="5" s="1"/>
  <c r="CA6" i="5" s="1"/>
  <c r="CB6" i="5" s="1"/>
  <c r="CC6" i="5" s="1"/>
  <c r="CD6" i="5" s="1"/>
  <c r="CE6" i="5" s="1"/>
  <c r="BX1" i="5"/>
  <c r="C18" i="1"/>
  <c r="C31" i="1"/>
  <c r="CT31" i="1"/>
  <c r="AH31" i="1"/>
  <c r="CC31" i="1"/>
  <c r="Q31" i="1"/>
  <c r="BL31" i="1"/>
  <c r="DG31" i="1"/>
  <c r="AU31" i="1"/>
  <c r="CP31" i="1"/>
  <c r="AD31" i="1"/>
  <c r="BY31" i="1"/>
  <c r="M31" i="1"/>
  <c r="DT31" i="1"/>
  <c r="BH31" i="1"/>
  <c r="DC31" i="1"/>
  <c r="AQ31" i="1"/>
  <c r="CL31" i="1"/>
  <c r="BU31" i="1"/>
  <c r="I31" i="1"/>
  <c r="DP31" i="1"/>
  <c r="BD31" i="1"/>
  <c r="AM31" i="1"/>
  <c r="V31" i="1"/>
  <c r="DL31" i="1"/>
  <c r="CU31" i="1"/>
  <c r="AG31" i="1"/>
  <c r="BK31" i="1"/>
  <c r="AC31" i="1"/>
  <c r="BX31" i="1"/>
  <c r="Z31" i="1"/>
  <c r="CY31" i="1"/>
  <c r="CH31" i="1"/>
  <c r="BQ31" i="1"/>
  <c r="AZ31" i="1"/>
  <c r="AI31" i="1"/>
  <c r="BG31" i="1"/>
  <c r="CD31" i="1"/>
  <c r="R31" i="1"/>
  <c r="BM31" i="1"/>
  <c r="DH31" i="1"/>
  <c r="AV31" i="1"/>
  <c r="CQ31" i="1"/>
  <c r="AE31" i="1"/>
  <c r="BZ31" i="1"/>
  <c r="N31" i="1"/>
  <c r="BI31" i="1"/>
  <c r="DD31" i="1"/>
  <c r="AR31" i="1"/>
  <c r="CM31" i="1"/>
  <c r="AA31" i="1"/>
  <c r="DR31" i="1"/>
  <c r="BS31" i="1"/>
  <c r="G31" i="1"/>
  <c r="CW31" i="1"/>
  <c r="AK31" i="1"/>
  <c r="BV31" i="1"/>
  <c r="J31" i="1"/>
  <c r="DQ31" i="1"/>
  <c r="BE31" i="1"/>
  <c r="CZ31" i="1"/>
  <c r="AN31" i="1"/>
  <c r="CI31" i="1"/>
  <c r="W31" i="1"/>
  <c r="BR31" i="1"/>
  <c r="F31" i="1"/>
  <c r="DM31" i="1"/>
  <c r="BA31" i="1"/>
  <c r="CV31" i="1"/>
  <c r="AJ31" i="1"/>
  <c r="CE31" i="1"/>
  <c r="S31" i="1"/>
  <c r="BN31" i="1"/>
  <c r="DI31" i="1"/>
  <c r="AW31" i="1"/>
  <c r="CR31" i="1"/>
  <c r="AF31" i="1"/>
  <c r="CA31" i="1"/>
  <c r="O31" i="1"/>
  <c r="BJ31" i="1"/>
  <c r="DE31" i="1"/>
  <c r="AS31" i="1"/>
  <c r="CN31" i="1"/>
  <c r="AB31" i="1"/>
  <c r="BW31" i="1"/>
  <c r="K31" i="1"/>
  <c r="AO31" i="1"/>
  <c r="BB31" i="1"/>
  <c r="BO31" i="1"/>
  <c r="P31" i="1"/>
  <c r="CO31" i="1"/>
  <c r="BF31" i="1"/>
  <c r="DA31" i="1"/>
  <c r="CJ31" i="1"/>
  <c r="X31" i="1"/>
  <c r="DN31" i="1"/>
  <c r="CF31" i="1"/>
  <c r="T31" i="1"/>
  <c r="DJ31" i="1"/>
  <c r="CS31" i="1"/>
  <c r="CB31" i="1"/>
  <c r="DF31" i="1"/>
  <c r="AT31" i="1"/>
  <c r="L31" i="1"/>
  <c r="DB31" i="1"/>
  <c r="AP31" i="1"/>
  <c r="CK31" i="1"/>
  <c r="Y31" i="1"/>
  <c r="BT31" i="1"/>
  <c r="H31" i="1"/>
  <c r="DO31" i="1"/>
  <c r="BC31" i="1"/>
  <c r="CX31" i="1"/>
  <c r="AL31" i="1"/>
  <c r="CG31" i="1"/>
  <c r="U31" i="1"/>
  <c r="BP31" i="1"/>
  <c r="DK31" i="1"/>
  <c r="AY31" i="1"/>
  <c r="AX31" i="1"/>
  <c r="DS31" i="1"/>
  <c r="BQ17" i="1"/>
  <c r="N17" i="1"/>
  <c r="BZ17" i="1"/>
  <c r="T14" i="5"/>
  <c r="BM14" i="5"/>
  <c r="J14" i="5"/>
  <c r="BV14" i="5"/>
  <c r="S14" i="5"/>
  <c r="CE14" i="5"/>
  <c r="AZ14" i="5"/>
  <c r="DL14" i="5"/>
  <c r="BA14" i="5"/>
  <c r="DM14" i="5"/>
  <c r="BJ14" i="5"/>
  <c r="G14" i="5"/>
  <c r="BS14" i="5"/>
  <c r="P14" i="5"/>
  <c r="CB14" i="5"/>
  <c r="BX1" i="3"/>
  <c r="BY6" i="3"/>
  <c r="BZ6" i="3" s="1"/>
  <c r="CA6" i="3" s="1"/>
  <c r="CB6" i="3" s="1"/>
  <c r="CC6" i="3" s="1"/>
  <c r="CD6" i="3" s="1"/>
  <c r="CE6" i="3" s="1"/>
  <c r="CT15" i="2"/>
  <c r="R15" i="2"/>
  <c r="BJ15" i="2"/>
  <c r="CH15" i="2"/>
  <c r="DF15" i="2"/>
  <c r="ED15" i="2"/>
  <c r="H15" i="2"/>
  <c r="BT15" i="2"/>
  <c r="EF15" i="2"/>
  <c r="BM15" i="2"/>
  <c r="DY15" i="2"/>
  <c r="BG15" i="2"/>
  <c r="DS15" i="2"/>
  <c r="BH15" i="2"/>
  <c r="DT15" i="2"/>
  <c r="BC15" i="2"/>
  <c r="DO15" i="2"/>
  <c r="AE17" i="1"/>
  <c r="CQ17" i="1"/>
  <c r="AN17" i="1"/>
  <c r="CZ17" i="1"/>
  <c r="AW17" i="1"/>
  <c r="DI17" i="1"/>
  <c r="BF17" i="1"/>
  <c r="DR17" i="1"/>
  <c r="BO17" i="1"/>
  <c r="L17" i="1"/>
  <c r="BX17" i="1"/>
  <c r="M17" i="1"/>
  <c r="BY17" i="1"/>
  <c r="V17" i="1"/>
  <c r="CH17" i="1"/>
  <c r="CB15" i="3"/>
  <c r="G15" i="3"/>
  <c r="CO15" i="3"/>
  <c r="I15" i="3"/>
  <c r="CQ15" i="3"/>
  <c r="S15" i="3"/>
  <c r="CE15" i="3"/>
  <c r="EQ15" i="3"/>
  <c r="BF15" i="3"/>
  <c r="I14" i="5"/>
  <c r="BU14" i="5"/>
  <c r="R14" i="5"/>
  <c r="CD14" i="5"/>
  <c r="AA14" i="5"/>
  <c r="CM14" i="5"/>
  <c r="BH14" i="5"/>
  <c r="DT14" i="5"/>
  <c r="BI14" i="5"/>
  <c r="F14" i="5"/>
  <c r="BR14" i="5"/>
  <c r="O14" i="5"/>
  <c r="CA14" i="5"/>
  <c r="X14" i="5"/>
  <c r="CJ14" i="5"/>
  <c r="BX1" i="2"/>
  <c r="BY6" i="2"/>
  <c r="BZ6" i="2" s="1"/>
  <c r="CA6" i="2" s="1"/>
  <c r="CB6" i="2" s="1"/>
  <c r="CC6" i="2" s="1"/>
  <c r="CD6" i="2" s="1"/>
  <c r="CE6" i="2" s="1"/>
  <c r="DN15" i="2"/>
  <c r="AL15" i="2"/>
  <c r="CG15" i="2"/>
  <c r="DE15" i="2"/>
  <c r="EC15" i="2"/>
  <c r="J15" i="2"/>
  <c r="P15" i="2"/>
  <c r="CB15" i="2"/>
  <c r="I15" i="2"/>
  <c r="BU15" i="2"/>
  <c r="EG15" i="2"/>
  <c r="BO15" i="2"/>
  <c r="EA15" i="2"/>
  <c r="BP15" i="2"/>
  <c r="EB15" i="2"/>
  <c r="BK15" i="2"/>
  <c r="DW15" i="2"/>
  <c r="AM17" i="1"/>
  <c r="CY17" i="1"/>
  <c r="AV17" i="1"/>
  <c r="DH17" i="1"/>
  <c r="BE17" i="1"/>
  <c r="DQ17" i="1"/>
  <c r="BN17" i="1"/>
  <c r="K17" i="1"/>
  <c r="BW17" i="1"/>
  <c r="T17" i="1"/>
  <c r="CF17" i="1"/>
  <c r="U17" i="1"/>
  <c r="CG17" i="1"/>
  <c r="AD17" i="1"/>
  <c r="CP17" i="1"/>
  <c r="C16" i="3"/>
  <c r="DB27" i="3"/>
  <c r="AP27" i="3"/>
  <c r="EW27" i="3"/>
  <c r="CK27" i="3"/>
  <c r="Y27" i="3"/>
  <c r="EL27" i="3"/>
  <c r="BZ27" i="3"/>
  <c r="N27" i="3"/>
  <c r="EB27" i="3"/>
  <c r="BP27" i="3"/>
  <c r="DK27" i="3"/>
  <c r="AY27" i="3"/>
  <c r="O27" i="3"/>
  <c r="M27" i="3"/>
  <c r="FC27" i="3"/>
  <c r="G27" i="3"/>
  <c r="X27" i="3"/>
  <c r="AS27" i="3"/>
  <c r="AN27" i="3"/>
  <c r="W27" i="3"/>
  <c r="EN27" i="3"/>
  <c r="DQ27" i="3"/>
  <c r="CW27" i="3"/>
  <c r="CR27" i="3"/>
  <c r="DX27" i="3"/>
  <c r="DW27" i="3"/>
  <c r="CB27" i="3"/>
  <c r="U27" i="3"/>
  <c r="EX27" i="3"/>
  <c r="CL27" i="3"/>
  <c r="Z27" i="3"/>
  <c r="EG27" i="3"/>
  <c r="BU27" i="3"/>
  <c r="I27" i="3"/>
  <c r="DV27" i="3"/>
  <c r="BJ27" i="3"/>
  <c r="DL27" i="3"/>
  <c r="AZ27" i="3"/>
  <c r="CU27" i="3"/>
  <c r="AI27" i="3"/>
  <c r="EM27" i="3"/>
  <c r="EK27" i="3"/>
  <c r="DM27" i="3"/>
  <c r="EE27" i="3"/>
  <c r="EV27" i="3"/>
  <c r="DU27" i="3"/>
  <c r="EP27" i="3"/>
  <c r="CD27" i="3"/>
  <c r="R27" i="3"/>
  <c r="DY27" i="3"/>
  <c r="BM27" i="3"/>
  <c r="DN27" i="3"/>
  <c r="BB27" i="3"/>
  <c r="DD27" i="3"/>
  <c r="AR27" i="3"/>
  <c r="EY27" i="3"/>
  <c r="CM27" i="3"/>
  <c r="AA27" i="3"/>
  <c r="DP27" i="3"/>
  <c r="DO27" i="3"/>
  <c r="CQ27" i="3"/>
  <c r="DH27" i="3"/>
  <c r="EC27" i="3"/>
  <c r="EU27" i="3"/>
  <c r="ES27" i="3"/>
  <c r="CY27" i="3"/>
  <c r="EH27" i="3"/>
  <c r="BV27" i="3"/>
  <c r="J27" i="3"/>
  <c r="BE27" i="3"/>
  <c r="DF27" i="3"/>
  <c r="AT27" i="3"/>
  <c r="CV27" i="3"/>
  <c r="AJ27" i="3"/>
  <c r="EQ27" i="3"/>
  <c r="CE27" i="3"/>
  <c r="S27" i="3"/>
  <c r="BT27" i="3"/>
  <c r="CO27" i="3"/>
  <c r="DZ27" i="3"/>
  <c r="BN27" i="3"/>
  <c r="DI27" i="3"/>
  <c r="AW27" i="3"/>
  <c r="CX27" i="3"/>
  <c r="AL27" i="3"/>
  <c r="EZ27" i="3"/>
  <c r="CN27" i="3"/>
  <c r="AB27" i="3"/>
  <c r="EI27" i="3"/>
  <c r="BW27" i="3"/>
  <c r="K27" i="3"/>
  <c r="CA27" i="3"/>
  <c r="BY27" i="3"/>
  <c r="BA27" i="3"/>
  <c r="BS27" i="3"/>
  <c r="CJ27" i="3"/>
  <c r="DE27" i="3"/>
  <c r="CZ27" i="3"/>
  <c r="BI27" i="3"/>
  <c r="DR27" i="3"/>
  <c r="BF27" i="3"/>
  <c r="DA27" i="3"/>
  <c r="AO27" i="3"/>
  <c r="FB27" i="3"/>
  <c r="CP27" i="3"/>
  <c r="AD27" i="3"/>
  <c r="ER27" i="3"/>
  <c r="CF27" i="3"/>
  <c r="T27" i="3"/>
  <c r="EA27" i="3"/>
  <c r="BO27" i="3"/>
  <c r="BD27" i="3"/>
  <c r="BC27" i="3"/>
  <c r="AE27" i="3"/>
  <c r="AV27" i="3"/>
  <c r="BQ27" i="3"/>
  <c r="CG27" i="3"/>
  <c r="AM27" i="3"/>
  <c r="CI27" i="3"/>
  <c r="DJ27" i="3"/>
  <c r="AX27" i="3"/>
  <c r="CS27" i="3"/>
  <c r="AG27" i="3"/>
  <c r="ET27" i="3"/>
  <c r="CH27" i="3"/>
  <c r="V27" i="3"/>
  <c r="EJ27" i="3"/>
  <c r="BX27" i="3"/>
  <c r="L27" i="3"/>
  <c r="DS27" i="3"/>
  <c r="BG27" i="3"/>
  <c r="AK27" i="3"/>
  <c r="AF27" i="3"/>
  <c r="H27" i="3"/>
  <c r="AC27" i="3"/>
  <c r="AU27" i="3"/>
  <c r="BL27" i="3"/>
  <c r="BK27" i="3"/>
  <c r="P27" i="3"/>
  <c r="CT27" i="3"/>
  <c r="AH27" i="3"/>
  <c r="EO27" i="3"/>
  <c r="CC27" i="3"/>
  <c r="Q27" i="3"/>
  <c r="ED27" i="3"/>
  <c r="BR27" i="3"/>
  <c r="F27" i="3"/>
  <c r="DT27" i="3"/>
  <c r="BH27" i="3"/>
  <c r="DC27" i="3"/>
  <c r="AQ27" i="3"/>
  <c r="EF27" i="3"/>
  <c r="FA27" i="3"/>
  <c r="DG27" i="3"/>
  <c r="CY29" i="3"/>
  <c r="AM29" i="3"/>
  <c r="ED29" i="3"/>
  <c r="BR29" i="3"/>
  <c r="F29" i="3"/>
  <c r="CU29" i="3"/>
  <c r="AI29" i="3"/>
  <c r="DQ29" i="3"/>
  <c r="BE29" i="3"/>
  <c r="EN29" i="3"/>
  <c r="CB29" i="3"/>
  <c r="P29" i="3"/>
  <c r="AC29" i="3"/>
  <c r="AB29" i="3"/>
  <c r="ES29" i="3"/>
  <c r="ER29" i="3"/>
  <c r="DT29" i="3"/>
  <c r="CV29" i="3"/>
  <c r="BX29" i="3"/>
  <c r="FC29" i="3"/>
  <c r="CQ29" i="3"/>
  <c r="AE29" i="3"/>
  <c r="DV29" i="3"/>
  <c r="BJ29" i="3"/>
  <c r="EY29" i="3"/>
  <c r="CM29" i="3"/>
  <c r="AA29" i="3"/>
  <c r="DI29" i="3"/>
  <c r="AW29" i="3"/>
  <c r="EF29" i="3"/>
  <c r="BT29" i="3"/>
  <c r="H29" i="3"/>
  <c r="J29" i="3"/>
  <c r="EX29" i="3"/>
  <c r="DZ29" i="3"/>
  <c r="DU29" i="3"/>
  <c r="CW29" i="3"/>
  <c r="BY29" i="3"/>
  <c r="BA29" i="3"/>
  <c r="EU29" i="3"/>
  <c r="CI29" i="3"/>
  <c r="W29" i="3"/>
  <c r="DN29" i="3"/>
  <c r="BB29" i="3"/>
  <c r="EQ29" i="3"/>
  <c r="CE29" i="3"/>
  <c r="S29" i="3"/>
  <c r="DA29" i="3"/>
  <c r="AO29" i="3"/>
  <c r="DX29" i="3"/>
  <c r="BL29" i="3"/>
  <c r="FA29" i="3"/>
  <c r="EZ29" i="3"/>
  <c r="EB29" i="3"/>
  <c r="DD29" i="3"/>
  <c r="DB29" i="3"/>
  <c r="CD29" i="3"/>
  <c r="BF29" i="3"/>
  <c r="AH29" i="3"/>
  <c r="EM29" i="3"/>
  <c r="CA29" i="3"/>
  <c r="O29" i="3"/>
  <c r="DF29" i="3"/>
  <c r="AT29" i="3"/>
  <c r="EI29" i="3"/>
  <c r="BW29" i="3"/>
  <c r="K29" i="3"/>
  <c r="CS29" i="3"/>
  <c r="AG29" i="3"/>
  <c r="DP29" i="3"/>
  <c r="BD29" i="3"/>
  <c r="EH29" i="3"/>
  <c r="EC29" i="3"/>
  <c r="DE29" i="3"/>
  <c r="CG29" i="3"/>
  <c r="CF29" i="3"/>
  <c r="BH29" i="3"/>
  <c r="AJ29" i="3"/>
  <c r="L29" i="3"/>
  <c r="EE29" i="3"/>
  <c r="BS29" i="3"/>
  <c r="G29" i="3"/>
  <c r="CX29" i="3"/>
  <c r="AL29" i="3"/>
  <c r="EA29" i="3"/>
  <c r="BO29" i="3"/>
  <c r="EW29" i="3"/>
  <c r="CK29" i="3"/>
  <c r="Y29" i="3"/>
  <c r="DH29" i="3"/>
  <c r="AV29" i="3"/>
  <c r="DL29" i="3"/>
  <c r="DJ29" i="3"/>
  <c r="CL29" i="3"/>
  <c r="BN29" i="3"/>
  <c r="BI29" i="3"/>
  <c r="AK29" i="3"/>
  <c r="M29" i="3"/>
  <c r="DW29" i="3"/>
  <c r="BK29" i="3"/>
  <c r="FB29" i="3"/>
  <c r="CP29" i="3"/>
  <c r="AD29" i="3"/>
  <c r="DS29" i="3"/>
  <c r="BG29" i="3"/>
  <c r="EO29" i="3"/>
  <c r="CC29" i="3"/>
  <c r="Q29" i="3"/>
  <c r="CZ29" i="3"/>
  <c r="AN29" i="3"/>
  <c r="CO29" i="3"/>
  <c r="CN29" i="3"/>
  <c r="BP29" i="3"/>
  <c r="AR29" i="3"/>
  <c r="AP29" i="3"/>
  <c r="R29" i="3"/>
  <c r="EJ29" i="3"/>
  <c r="DO29" i="3"/>
  <c r="BC29" i="3"/>
  <c r="ET29" i="3"/>
  <c r="CH29" i="3"/>
  <c r="V29" i="3"/>
  <c r="DK29" i="3"/>
  <c r="AY29" i="3"/>
  <c r="EG29" i="3"/>
  <c r="BU29" i="3"/>
  <c r="I29" i="3"/>
  <c r="CR29" i="3"/>
  <c r="AF29" i="3"/>
  <c r="BV29" i="3"/>
  <c r="BQ29" i="3"/>
  <c r="AS29" i="3"/>
  <c r="U29" i="3"/>
  <c r="T29" i="3"/>
  <c r="EK29" i="3"/>
  <c r="DM29" i="3"/>
  <c r="DG29" i="3"/>
  <c r="AU29" i="3"/>
  <c r="EL29" i="3"/>
  <c r="BZ29" i="3"/>
  <c r="N29" i="3"/>
  <c r="DC29" i="3"/>
  <c r="AQ29" i="3"/>
  <c r="DY29" i="3"/>
  <c r="BM29" i="3"/>
  <c r="EV29" i="3"/>
  <c r="CJ29" i="3"/>
  <c r="X29" i="3"/>
  <c r="AZ29" i="3"/>
  <c r="AX29" i="3"/>
  <c r="Z29" i="3"/>
  <c r="EP29" i="3"/>
  <c r="DR29" i="3"/>
  <c r="CT29" i="3"/>
  <c r="CK15" i="3"/>
  <c r="F15" i="3"/>
  <c r="CN15" i="3"/>
  <c r="Q15" i="3"/>
  <c r="CY15" i="3"/>
  <c r="U15" i="3"/>
  <c r="DA15" i="3"/>
  <c r="AA15" i="3"/>
  <c r="CM15" i="3"/>
  <c r="EY15" i="3"/>
  <c r="BN15" i="3"/>
  <c r="DZ15" i="3"/>
  <c r="E15" i="5"/>
  <c r="CQ15" i="5" s="1"/>
  <c r="C27" i="5"/>
  <c r="C29" i="5"/>
  <c r="BQ14" i="5"/>
  <c r="N14" i="5"/>
  <c r="BZ14" i="5"/>
  <c r="W14" i="5"/>
  <c r="CI14" i="5"/>
  <c r="AF14" i="5"/>
  <c r="CR14" i="5"/>
  <c r="N15" i="2"/>
  <c r="BI15" i="2"/>
  <c r="DB15" i="2"/>
  <c r="DZ15" i="2"/>
  <c r="F15" i="2"/>
  <c r="AD15" i="2"/>
  <c r="X15" i="2"/>
  <c r="CJ15" i="2"/>
  <c r="Q15" i="2"/>
  <c r="CC15" i="2"/>
  <c r="K15" i="2"/>
  <c r="BW15" i="2"/>
  <c r="L15" i="2"/>
  <c r="BX15" i="2"/>
  <c r="G15" i="2"/>
  <c r="BS15" i="2"/>
  <c r="AU17" i="1"/>
  <c r="DG17" i="1"/>
  <c r="BD17" i="1"/>
  <c r="DP17" i="1"/>
  <c r="BM17" i="1"/>
  <c r="J17" i="1"/>
  <c r="BV17" i="1"/>
  <c r="S17" i="1"/>
  <c r="CE17" i="1"/>
  <c r="AB17" i="1"/>
  <c r="CN17" i="1"/>
  <c r="AC17" i="1"/>
  <c r="CO17" i="1"/>
  <c r="AL17" i="1"/>
  <c r="CX17" i="1"/>
  <c r="C16" i="2"/>
  <c r="CT27" i="2"/>
  <c r="AH27" i="2"/>
  <c r="CX27" i="2"/>
  <c r="AL27" i="2"/>
  <c r="DE27" i="2"/>
  <c r="AS27" i="2"/>
  <c r="DX27" i="2"/>
  <c r="Y27" i="2"/>
  <c r="CS27" i="2"/>
  <c r="AR27" i="2"/>
  <c r="DP27" i="2"/>
  <c r="Q27" i="2"/>
  <c r="CB27" i="2"/>
  <c r="AZ27" i="2"/>
  <c r="K27" i="2"/>
  <c r="AV27" i="2"/>
  <c r="BW27" i="2"/>
  <c r="W27" i="2"/>
  <c r="CL27" i="2"/>
  <c r="Z27" i="2"/>
  <c r="CP27" i="2"/>
  <c r="AD27" i="2"/>
  <c r="CW27" i="2"/>
  <c r="AK27" i="2"/>
  <c r="DK27" i="2"/>
  <c r="L27" i="2"/>
  <c r="CF27" i="2"/>
  <c r="EE27" i="2"/>
  <c r="AF27" i="2"/>
  <c r="DC27" i="2"/>
  <c r="BO27" i="2"/>
  <c r="AN27" i="2"/>
  <c r="EG27" i="2"/>
  <c r="X27" i="2"/>
  <c r="CD27" i="2"/>
  <c r="R27" i="2"/>
  <c r="CH27" i="2"/>
  <c r="V27" i="2"/>
  <c r="CO27" i="2"/>
  <c r="AC27" i="2"/>
  <c r="CY27" i="2"/>
  <c r="BT27" i="2"/>
  <c r="DQ27" i="2"/>
  <c r="S27" i="2"/>
  <c r="CQ27" i="2"/>
  <c r="BC27" i="2"/>
  <c r="DY27" i="2"/>
  <c r="AA27" i="2"/>
  <c r="CI27" i="2"/>
  <c r="EH27" i="2"/>
  <c r="BV27" i="2"/>
  <c r="J27" i="2"/>
  <c r="BZ27" i="2"/>
  <c r="N27" i="2"/>
  <c r="CG27" i="2"/>
  <c r="U27" i="2"/>
  <c r="CK27" i="2"/>
  <c r="BG27" i="2"/>
  <c r="DD27" i="2"/>
  <c r="G27" i="2"/>
  <c r="CC27" i="2"/>
  <c r="AO27" i="2"/>
  <c r="DL27" i="2"/>
  <c r="O27" i="2"/>
  <c r="CV27" i="2"/>
  <c r="AI27" i="2"/>
  <c r="DZ27" i="2"/>
  <c r="BN27" i="2"/>
  <c r="ED27" i="2"/>
  <c r="BR27" i="2"/>
  <c r="F27" i="2"/>
  <c r="BY27" i="2"/>
  <c r="M27" i="2"/>
  <c r="BX27" i="2"/>
  <c r="AU27" i="2"/>
  <c r="CR27" i="2"/>
  <c r="BP27" i="2"/>
  <c r="EA27" i="2"/>
  <c r="AB27" i="2"/>
  <c r="CZ27" i="2"/>
  <c r="AW27" i="2"/>
  <c r="CJ27" i="2"/>
  <c r="DR27" i="2"/>
  <c r="BF27" i="2"/>
  <c r="DV27" i="2"/>
  <c r="BJ27" i="2"/>
  <c r="EC27" i="2"/>
  <c r="BQ27" i="2"/>
  <c r="BL27" i="2"/>
  <c r="EF27" i="2"/>
  <c r="AG27" i="2"/>
  <c r="CE27" i="2"/>
  <c r="BD27" i="2"/>
  <c r="DO27" i="2"/>
  <c r="P27" i="2"/>
  <c r="CM27" i="2"/>
  <c r="DH27" i="2"/>
  <c r="AJ27" i="2"/>
  <c r="DJ27" i="2"/>
  <c r="AX27" i="2"/>
  <c r="DN27" i="2"/>
  <c r="BB27" i="2"/>
  <c r="DU27" i="2"/>
  <c r="BI27" i="2"/>
  <c r="AY27" i="2"/>
  <c r="DS27" i="2"/>
  <c r="T27" i="2"/>
  <c r="BS27" i="2"/>
  <c r="AQ27" i="2"/>
  <c r="DA27" i="2"/>
  <c r="CA27" i="2"/>
  <c r="DI27" i="2"/>
  <c r="BH27" i="2"/>
  <c r="DT27" i="2"/>
  <c r="DB27" i="2"/>
  <c r="AP27" i="2"/>
  <c r="DF27" i="2"/>
  <c r="AT27" i="2"/>
  <c r="DM27" i="2"/>
  <c r="BA27" i="2"/>
  <c r="AM27" i="2"/>
  <c r="DG27" i="2"/>
  <c r="H27" i="2"/>
  <c r="BE27" i="2"/>
  <c r="EB27" i="2"/>
  <c r="AE27" i="2"/>
  <c r="CN27" i="2"/>
  <c r="BM27" i="2"/>
  <c r="BK27" i="2"/>
  <c r="I27" i="2"/>
  <c r="CU27" i="2"/>
  <c r="DW27" i="2"/>
  <c r="BU27" i="2"/>
  <c r="BH29" i="2"/>
  <c r="DX29" i="2"/>
  <c r="BS29" i="2"/>
  <c r="CX29" i="2"/>
  <c r="EC29" i="2"/>
  <c r="CV29" i="2"/>
  <c r="AF29" i="2"/>
  <c r="CC29" i="2"/>
  <c r="DL29" i="2"/>
  <c r="AZ29" i="2"/>
  <c r="DP29" i="2"/>
  <c r="BD29" i="2"/>
  <c r="DW29" i="2"/>
  <c r="BK29" i="2"/>
  <c r="ED29" i="2"/>
  <c r="AG29" i="2"/>
  <c r="BN29" i="2"/>
  <c r="CL29" i="2"/>
  <c r="DJ29" i="2"/>
  <c r="K29" i="2"/>
  <c r="AW29" i="2"/>
  <c r="CG29" i="2"/>
  <c r="CD29" i="2"/>
  <c r="CP29" i="2"/>
  <c r="AR29" i="2"/>
  <c r="DH29" i="2"/>
  <c r="DO29" i="2"/>
  <c r="BC29" i="2"/>
  <c r="DR29" i="2"/>
  <c r="BA29" i="2"/>
  <c r="BY29" i="2"/>
  <c r="CW29" i="2"/>
  <c r="AI29" i="2"/>
  <c r="BU29" i="2"/>
  <c r="AD29" i="2"/>
  <c r="DN29" i="2"/>
  <c r="AJ29" i="2"/>
  <c r="AO29" i="2"/>
  <c r="V29" i="2"/>
  <c r="CO29" i="2"/>
  <c r="CY29" i="2"/>
  <c r="DI29" i="2"/>
  <c r="Q29" i="2"/>
  <c r="DD29" i="2"/>
  <c r="AV29" i="2"/>
  <c r="S29" i="2"/>
  <c r="EH29" i="2"/>
  <c r="AQ29" i="2"/>
  <c r="CS29" i="2"/>
  <c r="CN29" i="2"/>
  <c r="AM29" i="2"/>
  <c r="AA29" i="2"/>
  <c r="AT29" i="2"/>
  <c r="CF29" i="2"/>
  <c r="T29" i="2"/>
  <c r="CJ29" i="2"/>
  <c r="X29" i="2"/>
  <c r="CQ29" i="2"/>
  <c r="AE29" i="2"/>
  <c r="CE29" i="2"/>
  <c r="DM29" i="2"/>
  <c r="N29" i="2"/>
  <c r="AL29" i="2"/>
  <c r="BJ29" i="2"/>
  <c r="CU29" i="2"/>
  <c r="EG29" i="2"/>
  <c r="AH29" i="2"/>
  <c r="AC29" i="2"/>
  <c r="DC29" i="2"/>
  <c r="BX29" i="2"/>
  <c r="DA29" i="2"/>
  <c r="Z29" i="2"/>
  <c r="CH29" i="2"/>
  <c r="U29" i="2"/>
  <c r="BE29" i="2"/>
  <c r="Y29" i="2"/>
  <c r="BB29" i="2"/>
  <c r="AU29" i="2"/>
  <c r="CR29" i="2"/>
  <c r="DZ29" i="2"/>
  <c r="AY29" i="2"/>
  <c r="J29" i="2"/>
  <c r="AP29" i="2"/>
  <c r="L29" i="2"/>
  <c r="CB29" i="2"/>
  <c r="P29" i="2"/>
  <c r="CI29" i="2"/>
  <c r="W29" i="2"/>
  <c r="BR29" i="2"/>
  <c r="DY29" i="2"/>
  <c r="AX29" i="2"/>
  <c r="DS29" i="2"/>
  <c r="DQ29" i="2"/>
  <c r="DT29" i="2"/>
  <c r="BL29" i="2"/>
  <c r="EE29" i="2"/>
  <c r="G29" i="2"/>
  <c r="AS29" i="2"/>
  <c r="BZ29" i="2"/>
  <c r="DV29" i="2"/>
  <c r="BI29" i="2"/>
  <c r="CT29" i="2"/>
  <c r="R29" i="2"/>
  <c r="AN29" i="2"/>
  <c r="CK29" i="2"/>
  <c r="BG29" i="2"/>
  <c r="BO29" i="2"/>
  <c r="BW29" i="2"/>
  <c r="EB29" i="2"/>
  <c r="BP29" i="2"/>
  <c r="EF29" i="2"/>
  <c r="BT29" i="2"/>
  <c r="H29" i="2"/>
  <c r="CA29" i="2"/>
  <c r="O29" i="2"/>
  <c r="BF29" i="2"/>
  <c r="CM29" i="2"/>
  <c r="DK29" i="2"/>
  <c r="M29" i="2"/>
  <c r="AK29" i="2"/>
  <c r="BV29" i="2"/>
  <c r="DF29" i="2"/>
  <c r="I29" i="2"/>
  <c r="BQ29" i="2"/>
  <c r="DB29" i="2"/>
  <c r="CZ29" i="2"/>
  <c r="DG29" i="2"/>
  <c r="DE29" i="2"/>
  <c r="F29" i="2"/>
  <c r="BM29" i="2"/>
  <c r="DU29" i="2"/>
  <c r="EA29" i="2"/>
  <c r="AB29" i="2"/>
  <c r="AC15" i="2"/>
  <c r="BA15" i="2"/>
  <c r="AF15" i="2"/>
  <c r="CR15" i="2"/>
  <c r="Y15" i="2"/>
  <c r="CK15" i="2"/>
  <c r="S15" i="2"/>
  <c r="CE15" i="2"/>
  <c r="T15" i="2"/>
  <c r="CF15" i="2"/>
  <c r="O15" i="2"/>
  <c r="CA15" i="2"/>
  <c r="BL17" i="1"/>
  <c r="I17" i="1"/>
  <c r="BU17" i="1"/>
  <c r="R17" i="1"/>
  <c r="CD17" i="1"/>
  <c r="AA17" i="1"/>
  <c r="CM17" i="1"/>
  <c r="AJ17" i="1"/>
  <c r="CV17" i="1"/>
  <c r="AK17" i="1"/>
  <c r="CW17" i="1"/>
  <c r="AT17" i="1"/>
  <c r="DF17" i="1"/>
  <c r="CC6" i="15"/>
  <c r="CD6" i="15" s="1"/>
  <c r="CE6" i="15" s="1"/>
  <c r="CF6" i="15" s="1"/>
  <c r="CG6" i="15" s="1"/>
  <c r="CH6" i="15" s="1"/>
  <c r="CI6" i="15" s="1"/>
  <c r="CB1" i="15"/>
  <c r="DR15" i="5" l="1"/>
  <c r="AV15" i="5"/>
  <c r="DH15" i="5"/>
  <c r="AW15" i="5"/>
  <c r="CU15" i="5"/>
  <c r="CB15" i="5"/>
  <c r="BO15" i="5"/>
  <c r="CC15" i="5"/>
  <c r="AK15" i="5"/>
  <c r="BF15" i="5"/>
  <c r="AT15" i="5"/>
  <c r="P15" i="5"/>
  <c r="CL15" i="5"/>
  <c r="DF15" i="5"/>
  <c r="DI15" i="5"/>
  <c r="BC15" i="5"/>
  <c r="Z15" i="5"/>
  <c r="AJ15" i="5"/>
  <c r="DO15" i="5"/>
  <c r="CV15" i="5"/>
  <c r="Q15" i="5"/>
  <c r="AI15" i="5"/>
  <c r="CW15" i="5"/>
  <c r="X15" i="5"/>
  <c r="CJ15" i="5"/>
  <c r="Y15" i="5"/>
  <c r="CK15" i="5"/>
  <c r="AH15" i="5"/>
  <c r="CT15" i="5"/>
  <c r="AQ15" i="5"/>
  <c r="DC15" i="5"/>
  <c r="AR15" i="5"/>
  <c r="DD15" i="5"/>
  <c r="AS15" i="5"/>
  <c r="DE15" i="5"/>
  <c r="BB15" i="5"/>
  <c r="DN15" i="5"/>
  <c r="BK15" i="5"/>
  <c r="E16" i="3"/>
  <c r="C17" i="3" s="1"/>
  <c r="O18" i="6"/>
  <c r="DH18" i="6"/>
  <c r="CY18" i="6"/>
  <c r="DO18" i="6"/>
  <c r="P18" i="6"/>
  <c r="AB18" i="6"/>
  <c r="DK18" i="6"/>
  <c r="CE18" i="6"/>
  <c r="AZ18" i="6"/>
  <c r="U18" i="6"/>
  <c r="DC18" i="6"/>
  <c r="BX18" i="6"/>
  <c r="AS18" i="6"/>
  <c r="N18" i="6"/>
  <c r="CV18" i="6"/>
  <c r="CF6" i="6"/>
  <c r="CG6" i="6" s="1"/>
  <c r="CH6" i="6" s="1"/>
  <c r="CI6" i="6" s="1"/>
  <c r="CJ6" i="6" s="1"/>
  <c r="CK6" i="6" s="1"/>
  <c r="CL6" i="6" s="1"/>
  <c r="CE1" i="6"/>
  <c r="AF15" i="5"/>
  <c r="CR15" i="5"/>
  <c r="AG15" i="5"/>
  <c r="CS15" i="5"/>
  <c r="AP15" i="5"/>
  <c r="DB15" i="5"/>
  <c r="AY15" i="5"/>
  <c r="DK15" i="5"/>
  <c r="AZ15" i="5"/>
  <c r="DL15" i="5"/>
  <c r="BA15" i="5"/>
  <c r="DM15" i="5"/>
  <c r="BJ15" i="5"/>
  <c r="G15" i="5"/>
  <c r="BS15" i="5"/>
  <c r="CE1" i="2"/>
  <c r="CF6" i="2"/>
  <c r="CG6" i="2" s="1"/>
  <c r="CH6" i="2" s="1"/>
  <c r="CI6" i="2" s="1"/>
  <c r="CJ6" i="2" s="1"/>
  <c r="CK6" i="2" s="1"/>
  <c r="CL6" i="2" s="1"/>
  <c r="CF6" i="5"/>
  <c r="CG6" i="5" s="1"/>
  <c r="CH6" i="5" s="1"/>
  <c r="CI6" i="5" s="1"/>
  <c r="CJ6" i="5" s="1"/>
  <c r="CK6" i="5" s="1"/>
  <c r="CL6" i="5" s="1"/>
  <c r="CE1" i="5"/>
  <c r="BM18" i="6"/>
  <c r="BE18" i="6"/>
  <c r="AG18" i="6"/>
  <c r="AW18" i="6"/>
  <c r="CW18" i="6"/>
  <c r="AL18" i="6"/>
  <c r="H18" i="6"/>
  <c r="CO18" i="6"/>
  <c r="BJ18" i="6"/>
  <c r="AF18" i="6"/>
  <c r="DN18" i="6"/>
  <c r="CH18" i="6"/>
  <c r="BD18" i="6"/>
  <c r="Z18" i="6"/>
  <c r="DF18" i="6"/>
  <c r="E16" i="2"/>
  <c r="C17" i="2" s="1"/>
  <c r="AN15" i="5"/>
  <c r="CZ15" i="5"/>
  <c r="AO15" i="5"/>
  <c r="DA15" i="5"/>
  <c r="AX15" i="5"/>
  <c r="DJ15" i="5"/>
  <c r="BG15" i="5"/>
  <c r="DS15" i="5"/>
  <c r="BH15" i="5"/>
  <c r="DT15" i="5"/>
  <c r="BI15" i="5"/>
  <c r="F15" i="5"/>
  <c r="BR15" i="5"/>
  <c r="O15" i="5"/>
  <c r="CA15" i="5"/>
  <c r="CE1" i="1"/>
  <c r="CF6" i="1"/>
  <c r="CG6" i="1" s="1"/>
  <c r="CH6" i="1" s="1"/>
  <c r="CI6" i="1" s="1"/>
  <c r="CJ6" i="1" s="1"/>
  <c r="CK6" i="1" s="1"/>
  <c r="CL6" i="1" s="1"/>
  <c r="W18" i="6"/>
  <c r="DQ18" i="6"/>
  <c r="CS18" i="6"/>
  <c r="DI18" i="6"/>
  <c r="AA18" i="6"/>
  <c r="AX18" i="6"/>
  <c r="S18" i="6"/>
  <c r="CZ18" i="6"/>
  <c r="BV18" i="6"/>
  <c r="AQ18" i="6"/>
  <c r="L18" i="6"/>
  <c r="CT18" i="6"/>
  <c r="BO18" i="6"/>
  <c r="AJ18" i="6"/>
  <c r="DT18" i="6"/>
  <c r="CF6" i="3"/>
  <c r="CG6" i="3" s="1"/>
  <c r="CH6" i="3" s="1"/>
  <c r="CI6" i="3" s="1"/>
  <c r="CJ6" i="3" s="1"/>
  <c r="CK6" i="3" s="1"/>
  <c r="CL6" i="3" s="1"/>
  <c r="CE1" i="3"/>
  <c r="CI18" i="6"/>
  <c r="BU18" i="6"/>
  <c r="AE18" i="6"/>
  <c r="AU18" i="6"/>
  <c r="BG18" i="6"/>
  <c r="DJ18" i="6"/>
  <c r="BH18" i="6"/>
  <c r="AC18" i="6"/>
  <c r="DL18" i="6"/>
  <c r="CF18" i="6"/>
  <c r="BA18" i="6"/>
  <c r="V18" i="6"/>
  <c r="DD18" i="6"/>
  <c r="BY18" i="6"/>
  <c r="AT18" i="6"/>
  <c r="BP15" i="5"/>
  <c r="BQ15" i="5"/>
  <c r="W15" i="5"/>
  <c r="BD15" i="5"/>
  <c r="DP15" i="5"/>
  <c r="BE15" i="5"/>
  <c r="DQ15" i="5"/>
  <c r="BN15" i="5"/>
  <c r="K15" i="5"/>
  <c r="BW15" i="5"/>
  <c r="L15" i="5"/>
  <c r="BX15" i="5"/>
  <c r="M15" i="5"/>
  <c r="BY15" i="5"/>
  <c r="V15" i="5"/>
  <c r="CH15" i="5"/>
  <c r="AE15" i="5"/>
  <c r="DP18" i="6"/>
  <c r="BS18" i="6"/>
  <c r="CQ18" i="6"/>
  <c r="DG18" i="6"/>
  <c r="BQ18" i="6"/>
  <c r="AK18" i="6"/>
  <c r="BR18" i="6"/>
  <c r="AN18" i="6"/>
  <c r="J18" i="6"/>
  <c r="CP18" i="6"/>
  <c r="BL18" i="6"/>
  <c r="AH18" i="6"/>
  <c r="DR18" i="6"/>
  <c r="CJ18" i="6"/>
  <c r="BF18" i="6"/>
  <c r="C16" i="5"/>
  <c r="I27" i="5"/>
  <c r="BO27" i="5"/>
  <c r="DT27" i="5"/>
  <c r="BH27" i="5"/>
  <c r="CE27" i="5"/>
  <c r="S27" i="5"/>
  <c r="DB27" i="5"/>
  <c r="AP27" i="5"/>
  <c r="BM27" i="5"/>
  <c r="CJ27" i="5"/>
  <c r="X27" i="5"/>
  <c r="AK27" i="5"/>
  <c r="M27" i="5"/>
  <c r="DG27" i="5"/>
  <c r="BQ27" i="5"/>
  <c r="V27" i="5"/>
  <c r="CA27" i="5"/>
  <c r="K27" i="5"/>
  <c r="DQ27" i="5"/>
  <c r="CB27" i="5"/>
  <c r="N27" i="5"/>
  <c r="DM27" i="5"/>
  <c r="CO27" i="5"/>
  <c r="AT27" i="5"/>
  <c r="BI27" i="5"/>
  <c r="BR27" i="5"/>
  <c r="DL27" i="5"/>
  <c r="AZ27" i="5"/>
  <c r="BW27" i="5"/>
  <c r="CT27" i="5"/>
  <c r="AH27" i="5"/>
  <c r="BE27" i="5"/>
  <c r="P27" i="5"/>
  <c r="CY27" i="5"/>
  <c r="CP27" i="5"/>
  <c r="CV27" i="5"/>
  <c r="AJ27" i="5"/>
  <c r="DS27" i="5"/>
  <c r="BG27" i="5"/>
  <c r="CD27" i="5"/>
  <c r="R27" i="5"/>
  <c r="DA27" i="5"/>
  <c r="AO27" i="5"/>
  <c r="BL27" i="5"/>
  <c r="DN27" i="5"/>
  <c r="BS27" i="5"/>
  <c r="AU27" i="5"/>
  <c r="BJ27" i="5"/>
  <c r="O27" i="5"/>
  <c r="CN27" i="5"/>
  <c r="AB27" i="5"/>
  <c r="DK27" i="5"/>
  <c r="AY27" i="5"/>
  <c r="BV27" i="5"/>
  <c r="J27" i="5"/>
  <c r="CS27" i="5"/>
  <c r="AG27" i="5"/>
  <c r="DP27" i="5"/>
  <c r="BD27" i="5"/>
  <c r="DO27" i="5"/>
  <c r="CQ27" i="5"/>
  <c r="BA27" i="5"/>
  <c r="AC27" i="5"/>
  <c r="DE27" i="5"/>
  <c r="AM27" i="5"/>
  <c r="CM27" i="5"/>
  <c r="AX27" i="5"/>
  <c r="BC27" i="5"/>
  <c r="AE27" i="5"/>
  <c r="CI27" i="5"/>
  <c r="DD27" i="5"/>
  <c r="AR27" i="5"/>
  <c r="Z27" i="5"/>
  <c r="DI27" i="5"/>
  <c r="AW27" i="5"/>
  <c r="BT27" i="5"/>
  <c r="W27" i="5"/>
  <c r="AL27" i="5"/>
  <c r="CF27" i="5"/>
  <c r="T27" i="5"/>
  <c r="DC27" i="5"/>
  <c r="AQ27" i="5"/>
  <c r="BN27" i="5"/>
  <c r="CK27" i="5"/>
  <c r="Y27" i="5"/>
  <c r="DH27" i="5"/>
  <c r="AV27" i="5"/>
  <c r="CW27" i="5"/>
  <c r="BY27" i="5"/>
  <c r="AD27" i="5"/>
  <c r="F27" i="5"/>
  <c r="CH27" i="5"/>
  <c r="U27" i="5"/>
  <c r="BP27" i="5"/>
  <c r="AA27" i="5"/>
  <c r="AF27" i="5"/>
  <c r="AS27" i="5"/>
  <c r="CX27" i="5"/>
  <c r="CL27" i="5"/>
  <c r="H27" i="5"/>
  <c r="CG27" i="5"/>
  <c r="BX27" i="5"/>
  <c r="L27" i="5"/>
  <c r="CU27" i="5"/>
  <c r="AI27" i="5"/>
  <c r="DR27" i="5"/>
  <c r="BF27" i="5"/>
  <c r="CC27" i="5"/>
  <c r="Q27" i="5"/>
  <c r="CZ27" i="5"/>
  <c r="AN27" i="5"/>
  <c r="BZ27" i="5"/>
  <c r="BB27" i="5"/>
  <c r="G27" i="5"/>
  <c r="DF27" i="5"/>
  <c r="BK27" i="5"/>
  <c r="DJ27" i="5"/>
  <c r="BU27" i="5"/>
  <c r="CR27" i="5"/>
  <c r="CJ29" i="5"/>
  <c r="DO29" i="5"/>
  <c r="BC29" i="5"/>
  <c r="CH29" i="5"/>
  <c r="V29" i="5"/>
  <c r="BI29" i="5"/>
  <c r="CM29" i="5"/>
  <c r="AA29" i="5"/>
  <c r="BN29" i="5"/>
  <c r="BU29" i="5"/>
  <c r="K29" i="5"/>
  <c r="BH29" i="5"/>
  <c r="P29" i="5"/>
  <c r="BX29" i="5"/>
  <c r="F29" i="5"/>
  <c r="CB29" i="5"/>
  <c r="AU29" i="5"/>
  <c r="DM29" i="5"/>
  <c r="BF29" i="5"/>
  <c r="AC29" i="5"/>
  <c r="DI29" i="5"/>
  <c r="CE29" i="5"/>
  <c r="BT29" i="5"/>
  <c r="CY29" i="5"/>
  <c r="AM29" i="5"/>
  <c r="BR29" i="5"/>
  <c r="DE29" i="5"/>
  <c r="AS29" i="5"/>
  <c r="BW29" i="5"/>
  <c r="DJ29" i="5"/>
  <c r="AX29" i="5"/>
  <c r="U29" i="5"/>
  <c r="BM29" i="5"/>
  <c r="Q29" i="5"/>
  <c r="DD29" i="5"/>
  <c r="AZ29" i="5"/>
  <c r="Y29" i="5"/>
  <c r="BL29" i="5"/>
  <c r="AE29" i="5"/>
  <c r="CW29" i="5"/>
  <c r="BO29" i="5"/>
  <c r="AP29" i="5"/>
  <c r="AG29" i="5"/>
  <c r="X29" i="5"/>
  <c r="CA29" i="5"/>
  <c r="CG29" i="5"/>
  <c r="AY29" i="5"/>
  <c r="Z29" i="5"/>
  <c r="CK29" i="5"/>
  <c r="G29" i="5"/>
  <c r="CQ29" i="5"/>
  <c r="BJ29" i="5"/>
  <c r="AK29" i="5"/>
  <c r="DB29" i="5"/>
  <c r="L29" i="5"/>
  <c r="I29" i="5"/>
  <c r="M29" i="5"/>
  <c r="AV29" i="5"/>
  <c r="DP29" i="5"/>
  <c r="BD29" i="5"/>
  <c r="CI29" i="5"/>
  <c r="DN29" i="5"/>
  <c r="BB29" i="5"/>
  <c r="CO29" i="5"/>
  <c r="DS29" i="5"/>
  <c r="BG29" i="5"/>
  <c r="CT29" i="5"/>
  <c r="AH29" i="5"/>
  <c r="CV29" i="5"/>
  <c r="S29" i="5"/>
  <c r="DQ29" i="5"/>
  <c r="CF29" i="5"/>
  <c r="AW29" i="5"/>
  <c r="DH29" i="5"/>
  <c r="DF29" i="5"/>
  <c r="AT29" i="5"/>
  <c r="DK29" i="5"/>
  <c r="CL29" i="5"/>
  <c r="J29" i="5"/>
  <c r="W29" i="5"/>
  <c r="BP29" i="5"/>
  <c r="CZ29" i="5"/>
  <c r="AN29" i="5"/>
  <c r="BS29" i="5"/>
  <c r="CX29" i="5"/>
  <c r="AL29" i="5"/>
  <c r="BY29" i="5"/>
  <c r="DC29" i="5"/>
  <c r="AQ29" i="5"/>
  <c r="CD29" i="5"/>
  <c r="R29" i="5"/>
  <c r="AJ29" i="5"/>
  <c r="DT29" i="5"/>
  <c r="BE29" i="5"/>
  <c r="CC29" i="5"/>
  <c r="DL29" i="5"/>
  <c r="DG29" i="5"/>
  <c r="BZ29" i="5"/>
  <c r="BA29" i="5"/>
  <c r="DR29" i="5"/>
  <c r="AO29" i="5"/>
  <c r="CS29" i="5"/>
  <c r="H29" i="5"/>
  <c r="N29" i="5"/>
  <c r="CR29" i="5"/>
  <c r="AF29" i="5"/>
  <c r="BK29" i="5"/>
  <c r="CP29" i="5"/>
  <c r="AD29" i="5"/>
  <c r="BQ29" i="5"/>
  <c r="CU29" i="5"/>
  <c r="AI29" i="5"/>
  <c r="BV29" i="5"/>
  <c r="DA29" i="5"/>
  <c r="T29" i="5"/>
  <c r="CN29" i="5"/>
  <c r="AB29" i="5"/>
  <c r="O29" i="5"/>
  <c r="AR29" i="5"/>
  <c r="N15" i="5"/>
  <c r="BZ15" i="5"/>
  <c r="CI15" i="5"/>
  <c r="BL15" i="5"/>
  <c r="BM15" i="5"/>
  <c r="J15" i="5"/>
  <c r="BV15" i="5"/>
  <c r="S15" i="5"/>
  <c r="CE15" i="5"/>
  <c r="T15" i="5"/>
  <c r="CF15" i="5"/>
  <c r="U15" i="5"/>
  <c r="CG15" i="5"/>
  <c r="AD15" i="5"/>
  <c r="CP15" i="5"/>
  <c r="AM15" i="5"/>
  <c r="CY15" i="5"/>
  <c r="I18" i="6"/>
  <c r="CC18" i="6"/>
  <c r="Y18" i="6"/>
  <c r="AO18" i="6"/>
  <c r="CB18" i="6"/>
  <c r="AV18" i="6"/>
  <c r="CD18" i="6"/>
  <c r="AY18" i="6"/>
  <c r="T18" i="6"/>
  <c r="DB18" i="6"/>
  <c r="BW18" i="6"/>
  <c r="AR18" i="6"/>
  <c r="M18" i="6"/>
  <c r="CU18" i="6"/>
  <c r="BP18" i="6"/>
  <c r="H15" i="5"/>
  <c r="BT15" i="5"/>
  <c r="I15" i="5"/>
  <c r="BU15" i="5"/>
  <c r="R15" i="5"/>
  <c r="CD15" i="5"/>
  <c r="AA15" i="5"/>
  <c r="CM15" i="5"/>
  <c r="AB15" i="5"/>
  <c r="CN15" i="5"/>
  <c r="AC15" i="5"/>
  <c r="CO15" i="5"/>
  <c r="AL15" i="5"/>
  <c r="CX15" i="5"/>
  <c r="AU15" i="5"/>
  <c r="DG15" i="5"/>
  <c r="AV19" i="6"/>
  <c r="DG19" i="6"/>
  <c r="AE19" i="6"/>
  <c r="DC19" i="6"/>
  <c r="AA19" i="6"/>
  <c r="DA19" i="6"/>
  <c r="Y19" i="6"/>
  <c r="CZ19" i="6"/>
  <c r="X19" i="6"/>
  <c r="CY19" i="6"/>
  <c r="W19" i="6"/>
  <c r="CU19" i="6"/>
  <c r="S19" i="6"/>
  <c r="CS19" i="6"/>
  <c r="DJ19" i="6"/>
  <c r="AL19" i="6"/>
  <c r="DB19" i="6"/>
  <c r="AD19" i="6"/>
  <c r="CT19" i="6"/>
  <c r="V19" i="6"/>
  <c r="CL19" i="6"/>
  <c r="N19" i="6"/>
  <c r="E19" i="6"/>
  <c r="C20" i="6" s="1"/>
  <c r="BF19" i="6"/>
  <c r="CW19" i="6"/>
  <c r="CV19" i="6"/>
  <c r="DE19" i="6"/>
  <c r="BI19" i="6"/>
  <c r="DN19" i="6"/>
  <c r="AS19" i="6"/>
  <c r="CD19" i="6"/>
  <c r="DL19" i="6"/>
  <c r="DD19" i="6"/>
  <c r="BH19" i="6"/>
  <c r="F18" i="6"/>
  <c r="CN18" i="6"/>
  <c r="BI18" i="6"/>
  <c r="AD18" i="6"/>
  <c r="DM18" i="6"/>
  <c r="CG18" i="6"/>
  <c r="BB18" i="6"/>
  <c r="X18" i="6"/>
  <c r="DE18" i="6"/>
  <c r="BZ18" i="6"/>
  <c r="DD18" i="1"/>
  <c r="CF18" i="1"/>
  <c r="AR18" i="1"/>
  <c r="T18" i="1"/>
  <c r="CU18" i="1"/>
  <c r="BW18" i="1"/>
  <c r="AI18" i="1"/>
  <c r="K18" i="1"/>
  <c r="CL18" i="1"/>
  <c r="BN18" i="1"/>
  <c r="Z18" i="1"/>
  <c r="DQ18" i="1"/>
  <c r="CC18" i="1"/>
  <c r="BE18" i="1"/>
  <c r="Q18" i="1"/>
  <c r="DH18" i="1"/>
  <c r="BT18" i="1"/>
  <c r="AV18" i="1"/>
  <c r="H18" i="1"/>
  <c r="CY18" i="1"/>
  <c r="BK18" i="1"/>
  <c r="AM18" i="1"/>
  <c r="DN18" i="1"/>
  <c r="CP18" i="1"/>
  <c r="BB18" i="1"/>
  <c r="AD18" i="1"/>
  <c r="DE18" i="1"/>
  <c r="CG18" i="1"/>
  <c r="AS18" i="1"/>
  <c r="U18" i="1"/>
  <c r="E18" i="1"/>
  <c r="C19" i="1" s="1"/>
  <c r="Q18" i="6"/>
  <c r="BK18" i="6"/>
  <c r="AM18" i="6"/>
  <c r="BC18" i="6"/>
  <c r="CM18" i="6"/>
  <c r="R18" i="6"/>
  <c r="CX18" i="6"/>
  <c r="BT18" i="6"/>
  <c r="AP18" i="6"/>
  <c r="K18" i="6"/>
  <c r="CR18" i="6"/>
  <c r="BN18" i="6"/>
  <c r="AI18" i="6"/>
  <c r="DS18" i="6"/>
  <c r="CL18" i="6"/>
  <c r="CI1" i="15"/>
  <c r="CJ6" i="15"/>
  <c r="CK6" i="15" s="1"/>
  <c r="CL6" i="15" s="1"/>
  <c r="CM6" i="15" s="1"/>
  <c r="CN6" i="15" s="1"/>
  <c r="CO6" i="15" s="1"/>
  <c r="CP6" i="15" s="1"/>
  <c r="O16" i="3" l="1"/>
  <c r="CS16" i="3"/>
  <c r="H16" i="3"/>
  <c r="DO16" i="3"/>
  <c r="CE16" i="3"/>
  <c r="EU16" i="3"/>
  <c r="AP16" i="3"/>
  <c r="AJ16" i="3"/>
  <c r="BP16" i="3"/>
  <c r="EB16" i="3"/>
  <c r="DI16" i="3"/>
  <c r="Y16" i="3"/>
  <c r="AO16" i="3"/>
  <c r="AG16" i="3"/>
  <c r="G16" i="3"/>
  <c r="EP16" i="3"/>
  <c r="CK16" i="3"/>
  <c r="AX16" i="3"/>
  <c r="EV16" i="3"/>
  <c r="DQ16" i="3"/>
  <c r="CZ16" i="3"/>
  <c r="AT16" i="3"/>
  <c r="DV16" i="3"/>
  <c r="DX16" i="3"/>
  <c r="BN16" i="3"/>
  <c r="AC16" i="2"/>
  <c r="CW16" i="2"/>
  <c r="CX16" i="2"/>
  <c r="DE16" i="2"/>
  <c r="Q16" i="2"/>
  <c r="AQ16" i="2"/>
  <c r="BS16" i="3"/>
  <c r="J16" i="3"/>
  <c r="DN16" i="2"/>
  <c r="CC16" i="2"/>
  <c r="DC16" i="3"/>
  <c r="CI16" i="3"/>
  <c r="CU16" i="3"/>
  <c r="AV16" i="3"/>
  <c r="EN16" i="3"/>
  <c r="CC16" i="3"/>
  <c r="R16" i="3"/>
  <c r="DJ16" i="3"/>
  <c r="AY16" i="3"/>
  <c r="T16" i="3"/>
  <c r="AH16" i="3"/>
  <c r="F16" i="3"/>
  <c r="ED16" i="3"/>
  <c r="DG16" i="3"/>
  <c r="BF16" i="3"/>
  <c r="EX16" i="3"/>
  <c r="CM16" i="3"/>
  <c r="AB16" i="3"/>
  <c r="EF16" i="3"/>
  <c r="BU16" i="3"/>
  <c r="AF16" i="3"/>
  <c r="BD16" i="3"/>
  <c r="N16" i="3"/>
  <c r="EL16" i="3"/>
  <c r="DB16" i="2"/>
  <c r="AQ16" i="3"/>
  <c r="AI16" i="3"/>
  <c r="EA16" i="3"/>
  <c r="CB16" i="3"/>
  <c r="AA16" i="3"/>
  <c r="DS16" i="3"/>
  <c r="BH16" i="3"/>
  <c r="EZ16" i="3"/>
  <c r="CQ16" i="3"/>
  <c r="BV16" i="3"/>
  <c r="BX16" i="3"/>
  <c r="BJ16" i="3"/>
  <c r="AK16" i="3"/>
  <c r="DY16" i="3"/>
  <c r="AU16" i="3"/>
  <c r="EM16" i="3"/>
  <c r="CV16" i="3"/>
  <c r="AM16" i="3"/>
  <c r="EE16" i="3"/>
  <c r="BT16" i="3"/>
  <c r="I16" i="3"/>
  <c r="DA16" i="3"/>
  <c r="CR16" i="3"/>
  <c r="CJ16" i="3"/>
  <c r="BR16" i="3"/>
  <c r="BI16" i="3"/>
  <c r="AN16" i="2"/>
  <c r="BW16" i="3"/>
  <c r="BC16" i="3"/>
  <c r="BE16" i="3"/>
  <c r="P16" i="3"/>
  <c r="DH16" i="3"/>
  <c r="AW16" i="3"/>
  <c r="EO16" i="3"/>
  <c r="CD16" i="3"/>
  <c r="S16" i="3"/>
  <c r="EG16" i="3"/>
  <c r="DB16" i="3"/>
  <c r="DP16" i="3"/>
  <c r="BZ16" i="3"/>
  <c r="CW16" i="3"/>
  <c r="BQ16" i="2"/>
  <c r="CZ16" i="2"/>
  <c r="K16" i="3"/>
  <c r="EI16" i="3"/>
  <c r="CA16" i="3"/>
  <c r="Z16" i="3"/>
  <c r="DR16" i="3"/>
  <c r="BG16" i="3"/>
  <c r="EY16" i="3"/>
  <c r="CN16" i="3"/>
  <c r="AE16" i="3"/>
  <c r="FC16" i="3"/>
  <c r="DL16" i="3"/>
  <c r="EJ16" i="3"/>
  <c r="DF16" i="3"/>
  <c r="DU16" i="3"/>
  <c r="AK18" i="1"/>
  <c r="CW18" i="1"/>
  <c r="AT18" i="1"/>
  <c r="DF18" i="1"/>
  <c r="BC18" i="1"/>
  <c r="DO18" i="1"/>
  <c r="BL18" i="1"/>
  <c r="I18" i="1"/>
  <c r="BU18" i="1"/>
  <c r="R18" i="1"/>
  <c r="CD18" i="1"/>
  <c r="AA18" i="1"/>
  <c r="CM18" i="1"/>
  <c r="AJ18" i="1"/>
  <c r="CV18" i="1"/>
  <c r="BN19" i="6"/>
  <c r="BJ19" i="6"/>
  <c r="AZ19" i="6"/>
  <c r="DF19" i="6"/>
  <c r="Z19" i="6"/>
  <c r="AH19" i="6"/>
  <c r="AP19" i="6"/>
  <c r="AX19" i="6"/>
  <c r="Q19" i="6"/>
  <c r="G19" i="6"/>
  <c r="H19" i="6"/>
  <c r="I19" i="6"/>
  <c r="K19" i="6"/>
  <c r="O19" i="6"/>
  <c r="AF19" i="6"/>
  <c r="AT16" i="2"/>
  <c r="F16" i="2"/>
  <c r="EH16" i="2"/>
  <c r="CT16" i="2"/>
  <c r="BZ16" i="2"/>
  <c r="CD16" i="2"/>
  <c r="CG16" i="2"/>
  <c r="CH16" i="2"/>
  <c r="AF16" i="2"/>
  <c r="CR16" i="2"/>
  <c r="I16" i="2"/>
  <c r="BU16" i="2"/>
  <c r="EG16" i="2"/>
  <c r="AI16" i="2"/>
  <c r="CU16" i="2"/>
  <c r="L16" i="2"/>
  <c r="BX16" i="2"/>
  <c r="AU16" i="2"/>
  <c r="DG16" i="2"/>
  <c r="BA16" i="3"/>
  <c r="DM16" i="3"/>
  <c r="DC16" i="2"/>
  <c r="T16" i="2"/>
  <c r="CF16" i="2"/>
  <c r="BC16" i="2"/>
  <c r="DO16" i="2"/>
  <c r="CL1" i="5"/>
  <c r="CM6" i="5"/>
  <c r="CN6" i="5" s="1"/>
  <c r="CO6" i="5" s="1"/>
  <c r="CP6" i="5" s="1"/>
  <c r="CQ6" i="5" s="1"/>
  <c r="CR6" i="5" s="1"/>
  <c r="CS6" i="5" s="1"/>
  <c r="BA18" i="1"/>
  <c r="DM18" i="1"/>
  <c r="BJ18" i="1"/>
  <c r="BS18" i="1"/>
  <c r="P18" i="1"/>
  <c r="CB18" i="1"/>
  <c r="Y18" i="1"/>
  <c r="CK18" i="1"/>
  <c r="AH18" i="1"/>
  <c r="CT18" i="1"/>
  <c r="AQ18" i="1"/>
  <c r="DC18" i="1"/>
  <c r="AZ18" i="1"/>
  <c r="DL18" i="1"/>
  <c r="F19" i="6"/>
  <c r="BR19" i="6"/>
  <c r="R19" i="6"/>
  <c r="DR19" i="6"/>
  <c r="L19" i="6"/>
  <c r="T19" i="6"/>
  <c r="AB19" i="6"/>
  <c r="AG19" i="6"/>
  <c r="AI19" i="6"/>
  <c r="AM19" i="6"/>
  <c r="AN19" i="6"/>
  <c r="AO19" i="6"/>
  <c r="AQ19" i="6"/>
  <c r="AU19" i="6"/>
  <c r="BL19" i="6"/>
  <c r="CL16" i="2"/>
  <c r="AX16" i="2"/>
  <c r="J16" i="2"/>
  <c r="DR16" i="2"/>
  <c r="DU16" i="2"/>
  <c r="DV16" i="2"/>
  <c r="DZ16" i="2"/>
  <c r="AV16" i="2"/>
  <c r="DH16" i="2"/>
  <c r="Y16" i="2"/>
  <c r="CK16" i="2"/>
  <c r="AY16" i="2"/>
  <c r="DK16" i="2"/>
  <c r="AB16" i="2"/>
  <c r="CN16" i="2"/>
  <c r="BK16" i="2"/>
  <c r="DW16" i="2"/>
  <c r="CM6" i="2"/>
  <c r="CN6" i="2" s="1"/>
  <c r="CO6" i="2" s="1"/>
  <c r="CP6" i="2" s="1"/>
  <c r="CQ6" i="2" s="1"/>
  <c r="CR6" i="2" s="1"/>
  <c r="CS6" i="2" s="1"/>
  <c r="CL1" i="2"/>
  <c r="E17" i="3"/>
  <c r="DH17" i="3" s="1"/>
  <c r="BQ16" i="3"/>
  <c r="EC16" i="3"/>
  <c r="G18" i="1"/>
  <c r="BI18" i="1"/>
  <c r="F18" i="1"/>
  <c r="BR18" i="1"/>
  <c r="O18" i="1"/>
  <c r="CA18" i="1"/>
  <c r="X18" i="1"/>
  <c r="CJ18" i="1"/>
  <c r="AG18" i="1"/>
  <c r="CS18" i="1"/>
  <c r="AP18" i="1"/>
  <c r="DB18" i="1"/>
  <c r="AY18" i="1"/>
  <c r="DK18" i="1"/>
  <c r="BH18" i="1"/>
  <c r="DT18" i="1"/>
  <c r="BV19" i="6"/>
  <c r="BA19" i="6"/>
  <c r="AJ19" i="6"/>
  <c r="BP19" i="6"/>
  <c r="BX19" i="6"/>
  <c r="CF19" i="6"/>
  <c r="CN19" i="6"/>
  <c r="AW19" i="6"/>
  <c r="AY19" i="6"/>
  <c r="BC19" i="6"/>
  <c r="BD19" i="6"/>
  <c r="BE19" i="6"/>
  <c r="BG19" i="6"/>
  <c r="BK19" i="6"/>
  <c r="CB19" i="6"/>
  <c r="DF16" i="2"/>
  <c r="BR16" i="2"/>
  <c r="AD16" i="2"/>
  <c r="BD16" i="2"/>
  <c r="DP16" i="2"/>
  <c r="AG16" i="2"/>
  <c r="CS16" i="2"/>
  <c r="BG16" i="2"/>
  <c r="DS16" i="2"/>
  <c r="AJ16" i="2"/>
  <c r="CV16" i="2"/>
  <c r="G16" i="2"/>
  <c r="BS16" i="2"/>
  <c r="EE16" i="2"/>
  <c r="V16" i="3"/>
  <c r="CH16" i="3"/>
  <c r="ET16" i="3"/>
  <c r="M16" i="3"/>
  <c r="BY16" i="3"/>
  <c r="EK16" i="3"/>
  <c r="BQ18" i="1"/>
  <c r="BZ18" i="1"/>
  <c r="CI18" i="1"/>
  <c r="CR18" i="1"/>
  <c r="DA18" i="1"/>
  <c r="DS18" i="1"/>
  <c r="DM20" i="6"/>
  <c r="BQ20" i="6"/>
  <c r="E20" i="6"/>
  <c r="C21" i="6" s="1"/>
  <c r="DL20" i="6"/>
  <c r="BP20" i="6"/>
  <c r="DH20" i="6"/>
  <c r="CR20" i="6"/>
  <c r="AV20" i="6"/>
  <c r="CP20" i="6"/>
  <c r="BZ20" i="6"/>
  <c r="AD20" i="6"/>
  <c r="BY20" i="6"/>
  <c r="BI20" i="6"/>
  <c r="M20" i="6"/>
  <c r="BX20" i="6"/>
  <c r="BH20" i="6"/>
  <c r="L20" i="6"/>
  <c r="BT20" i="6"/>
  <c r="BD20" i="6"/>
  <c r="H20" i="6"/>
  <c r="CH20" i="6"/>
  <c r="BR20" i="6"/>
  <c r="V20" i="6"/>
  <c r="AA20" i="6"/>
  <c r="CD20" i="6"/>
  <c r="I20" i="6"/>
  <c r="BW20" i="6"/>
  <c r="BE20" i="6"/>
  <c r="DJ20" i="6"/>
  <c r="J20" i="6"/>
  <c r="O20" i="6"/>
  <c r="BF20" i="6"/>
  <c r="BS20" i="6"/>
  <c r="DR20" i="6"/>
  <c r="DA20" i="6"/>
  <c r="DK20" i="6"/>
  <c r="AY20" i="6"/>
  <c r="CS20" i="6"/>
  <c r="CY20" i="6"/>
  <c r="AM20" i="6"/>
  <c r="CL20" i="6"/>
  <c r="W20" i="6"/>
  <c r="BV20" i="6"/>
  <c r="DQ20" i="6"/>
  <c r="AQ20" i="6"/>
  <c r="M19" i="6"/>
  <c r="U19" i="6"/>
  <c r="AC19" i="6"/>
  <c r="BM19" i="6"/>
  <c r="BO19" i="6"/>
  <c r="BS19" i="6"/>
  <c r="BT19" i="6"/>
  <c r="BU19" i="6"/>
  <c r="BW19" i="6"/>
  <c r="CA19" i="6"/>
  <c r="CR19" i="6"/>
  <c r="E16" i="5"/>
  <c r="C17" i="5" s="1"/>
  <c r="EC16" i="2"/>
  <c r="CO16" i="2"/>
  <c r="BA16" i="2"/>
  <c r="M16" i="2"/>
  <c r="BL16" i="2"/>
  <c r="DX16" i="2"/>
  <c r="AO16" i="2"/>
  <c r="DA16" i="2"/>
  <c r="BO16" i="2"/>
  <c r="EA16" i="2"/>
  <c r="AR16" i="2"/>
  <c r="DD16" i="2"/>
  <c r="O16" i="2"/>
  <c r="CA16" i="2"/>
  <c r="CM6" i="6"/>
  <c r="CN6" i="6" s="1"/>
  <c r="CO6" i="6" s="1"/>
  <c r="CP6" i="6" s="1"/>
  <c r="CQ6" i="6" s="1"/>
  <c r="CR6" i="6" s="1"/>
  <c r="CS6" i="6" s="1"/>
  <c r="CL1" i="6"/>
  <c r="DK16" i="3"/>
  <c r="AZ16" i="3"/>
  <c r="EH16" i="3"/>
  <c r="L16" i="3"/>
  <c r="CT16" i="3"/>
  <c r="AD16" i="3"/>
  <c r="CP16" i="3"/>
  <c r="FB16" i="3"/>
  <c r="U16" i="3"/>
  <c r="CG16" i="3"/>
  <c r="ES16" i="3"/>
  <c r="CS19" i="1"/>
  <c r="BU19" i="1"/>
  <c r="AG19" i="1"/>
  <c r="I19" i="1"/>
  <c r="CJ19" i="1"/>
  <c r="BL19" i="1"/>
  <c r="X19" i="1"/>
  <c r="DO19" i="1"/>
  <c r="CA19" i="1"/>
  <c r="BC19" i="1"/>
  <c r="O19" i="1"/>
  <c r="DF19" i="1"/>
  <c r="BR19" i="1"/>
  <c r="AT19" i="1"/>
  <c r="F19" i="1"/>
  <c r="CW19" i="1"/>
  <c r="BI19" i="1"/>
  <c r="AK19" i="1"/>
  <c r="E19" i="1"/>
  <c r="C20" i="1" s="1"/>
  <c r="DT19" i="1"/>
  <c r="CV19" i="1"/>
  <c r="BP19" i="1"/>
  <c r="BH19" i="1"/>
  <c r="AJ19" i="1"/>
  <c r="DS19" i="1"/>
  <c r="DK19" i="1"/>
  <c r="CM19" i="1"/>
  <c r="BG19" i="1"/>
  <c r="AY19" i="1"/>
  <c r="AA19" i="1"/>
  <c r="DJ19" i="1"/>
  <c r="DB19" i="1"/>
  <c r="CD19" i="1"/>
  <c r="AX19" i="1"/>
  <c r="AP19" i="1"/>
  <c r="R19" i="1"/>
  <c r="N18" i="1"/>
  <c r="W18" i="1"/>
  <c r="AF18" i="1"/>
  <c r="AO18" i="1"/>
  <c r="AX18" i="1"/>
  <c r="DJ18" i="1"/>
  <c r="BG18" i="1"/>
  <c r="BP18" i="1"/>
  <c r="M18" i="1"/>
  <c r="BY18" i="1"/>
  <c r="V18" i="1"/>
  <c r="CH18" i="1"/>
  <c r="AE18" i="1"/>
  <c r="CQ18" i="1"/>
  <c r="AN18" i="1"/>
  <c r="CZ18" i="1"/>
  <c r="AW18" i="1"/>
  <c r="DI18" i="1"/>
  <c r="BF18" i="1"/>
  <c r="DR18" i="1"/>
  <c r="BO18" i="1"/>
  <c r="L18" i="1"/>
  <c r="BX18" i="1"/>
  <c r="BB19" i="6"/>
  <c r="AR19" i="6"/>
  <c r="AK19" i="6"/>
  <c r="BQ19" i="6"/>
  <c r="BY19" i="6"/>
  <c r="CG19" i="6"/>
  <c r="CO19" i="6"/>
  <c r="CC19" i="6"/>
  <c r="CE19" i="6"/>
  <c r="CI19" i="6"/>
  <c r="CJ19" i="6"/>
  <c r="CK19" i="6"/>
  <c r="CM19" i="6"/>
  <c r="CQ19" i="6"/>
  <c r="DH19" i="6"/>
  <c r="CM6" i="3"/>
  <c r="CN6" i="3" s="1"/>
  <c r="CO6" i="3" s="1"/>
  <c r="CP6" i="3" s="1"/>
  <c r="CQ6" i="3" s="1"/>
  <c r="CR6" i="3" s="1"/>
  <c r="CS6" i="3" s="1"/>
  <c r="CL1" i="3"/>
  <c r="CL1" i="1"/>
  <c r="CM6" i="1"/>
  <c r="CN6" i="1" s="1"/>
  <c r="CO6" i="1" s="1"/>
  <c r="CP6" i="1" s="1"/>
  <c r="CQ6" i="1" s="1"/>
  <c r="CR6" i="1" s="1"/>
  <c r="CS6" i="1" s="1"/>
  <c r="DJ16" i="2"/>
  <c r="BV16" i="2"/>
  <c r="AH16" i="2"/>
  <c r="N16" i="2"/>
  <c r="R16" i="2"/>
  <c r="U16" i="2"/>
  <c r="V16" i="2"/>
  <c r="H16" i="2"/>
  <c r="BT16" i="2"/>
  <c r="EF16" i="2"/>
  <c r="AW16" i="2"/>
  <c r="DI16" i="2"/>
  <c r="K16" i="2"/>
  <c r="BW16" i="2"/>
  <c r="AZ16" i="2"/>
  <c r="DL16" i="2"/>
  <c r="W16" i="2"/>
  <c r="CI16" i="2"/>
  <c r="DW16" i="3"/>
  <c r="BL16" i="3"/>
  <c r="ER16" i="3"/>
  <c r="X16" i="3"/>
  <c r="DD16" i="3"/>
  <c r="AL16" i="3"/>
  <c r="CX16" i="3"/>
  <c r="AC16" i="3"/>
  <c r="CO16" i="3"/>
  <c r="FA16" i="3"/>
  <c r="E17" i="2"/>
  <c r="DO17" i="2" s="1"/>
  <c r="ED16" i="2"/>
  <c r="BB16" i="2"/>
  <c r="AK16" i="2"/>
  <c r="AL16" i="2"/>
  <c r="AP16" i="2"/>
  <c r="AS16" i="2"/>
  <c r="P16" i="2"/>
  <c r="CB16" i="2"/>
  <c r="BE16" i="2"/>
  <c r="S16" i="2"/>
  <c r="CE16" i="2"/>
  <c r="BH16" i="2"/>
  <c r="DT16" i="2"/>
  <c r="AE16" i="2"/>
  <c r="CQ16" i="2"/>
  <c r="CP16" i="2"/>
  <c r="DQ16" i="2"/>
  <c r="AC18" i="1"/>
  <c r="CO18" i="1"/>
  <c r="AL18" i="1"/>
  <c r="CX18" i="1"/>
  <c r="AU18" i="1"/>
  <c r="DG18" i="1"/>
  <c r="BD18" i="1"/>
  <c r="DP18" i="1"/>
  <c r="BM18" i="1"/>
  <c r="J18" i="1"/>
  <c r="BV18" i="1"/>
  <c r="S18" i="1"/>
  <c r="CE18" i="1"/>
  <c r="AB18" i="1"/>
  <c r="CN18" i="1"/>
  <c r="DM19" i="6"/>
  <c r="DT19" i="6"/>
  <c r="J19" i="6"/>
  <c r="AT19" i="6"/>
  <c r="BZ19" i="6"/>
  <c r="CH19" i="6"/>
  <c r="CP19" i="6"/>
  <c r="CX19" i="6"/>
  <c r="DI19" i="6"/>
  <c r="DK19" i="6"/>
  <c r="DO19" i="6"/>
  <c r="DP19" i="6"/>
  <c r="DQ19" i="6"/>
  <c r="DS19" i="6"/>
  <c r="P19" i="6"/>
  <c r="Z16" i="2"/>
  <c r="DM16" i="2"/>
  <c r="BY16" i="2"/>
  <c r="BF16" i="2"/>
  <c r="BI16" i="2"/>
  <c r="BJ16" i="2"/>
  <c r="BN16" i="2"/>
  <c r="X16" i="2"/>
  <c r="CJ16" i="2"/>
  <c r="BM16" i="2"/>
  <c r="DY16" i="2"/>
  <c r="AA16" i="2"/>
  <c r="CM16" i="2"/>
  <c r="BP16" i="2"/>
  <c r="EB16" i="2"/>
  <c r="AM16" i="2"/>
  <c r="CY16" i="2"/>
  <c r="W16" i="3"/>
  <c r="BM16" i="3"/>
  <c r="BO16" i="3"/>
  <c r="EW16" i="3"/>
  <c r="CL16" i="3"/>
  <c r="Q16" i="3"/>
  <c r="CY16" i="3"/>
  <c r="AN16" i="3"/>
  <c r="DT16" i="3"/>
  <c r="BK16" i="3"/>
  <c r="EQ16" i="3"/>
  <c r="CF16" i="3"/>
  <c r="AR16" i="3"/>
  <c r="DZ16" i="3"/>
  <c r="BB16" i="3"/>
  <c r="DN16" i="3"/>
  <c r="AS16" i="3"/>
  <c r="DE16" i="3"/>
  <c r="CP1" i="15"/>
  <c r="CQ6" i="15"/>
  <c r="CR6" i="15" s="1"/>
  <c r="CS6" i="15" s="1"/>
  <c r="CT6" i="15" s="1"/>
  <c r="CU6" i="15" s="1"/>
  <c r="CV6" i="15" s="1"/>
  <c r="CW6" i="15" s="1"/>
  <c r="CN17" i="3" l="1"/>
  <c r="BZ17" i="3"/>
  <c r="AL17" i="3"/>
  <c r="CD17" i="3"/>
  <c r="EF17" i="3"/>
  <c r="Z17" i="3"/>
  <c r="BI17" i="3"/>
  <c r="AT17" i="3"/>
  <c r="CF17" i="3"/>
  <c r="ED17" i="3"/>
  <c r="AR17" i="3"/>
  <c r="EY17" i="3"/>
  <c r="DB17" i="3"/>
  <c r="BX16" i="5"/>
  <c r="AB17" i="3"/>
  <c r="DW17" i="3"/>
  <c r="EQ17" i="3"/>
  <c r="AQ17" i="3"/>
  <c r="S17" i="3"/>
  <c r="BA17" i="3"/>
  <c r="N17" i="3"/>
  <c r="BS17" i="3"/>
  <c r="CT17" i="3"/>
  <c r="ER17" i="3"/>
  <c r="AX17" i="3"/>
  <c r="AC17" i="3"/>
  <c r="T17" i="3"/>
  <c r="DC17" i="3"/>
  <c r="Q17" i="3"/>
  <c r="BP17" i="3"/>
  <c r="BR17" i="3"/>
  <c r="AM17" i="3"/>
  <c r="AZ17" i="3"/>
  <c r="L17" i="3"/>
  <c r="DQ17" i="3"/>
  <c r="V16" i="5"/>
  <c r="DF17" i="3"/>
  <c r="CV17" i="3"/>
  <c r="DJ17" i="3"/>
  <c r="CO17" i="3"/>
  <c r="DL17" i="3"/>
  <c r="EP17" i="3"/>
  <c r="X16" i="5"/>
  <c r="DR17" i="3"/>
  <c r="F17" i="3"/>
  <c r="DV17" i="3"/>
  <c r="DK17" i="3"/>
  <c r="DX17" i="3"/>
  <c r="EC17" i="3"/>
  <c r="EC17" i="2"/>
  <c r="AD16" i="5"/>
  <c r="DY17" i="2"/>
  <c r="H16" i="5"/>
  <c r="BF17" i="3"/>
  <c r="R17" i="3"/>
  <c r="CX17" i="3"/>
  <c r="AY17" i="3"/>
  <c r="J17" i="3"/>
  <c r="AE17" i="3"/>
  <c r="BN17" i="3"/>
  <c r="I17" i="3"/>
  <c r="CZ16" i="5"/>
  <c r="R16" i="5"/>
  <c r="BK17" i="3"/>
  <c r="AI17" i="3"/>
  <c r="EA17" i="3"/>
  <c r="BV16" i="5"/>
  <c r="AJ17" i="3"/>
  <c r="CL17" i="3"/>
  <c r="BH17" i="3"/>
  <c r="G17" i="3"/>
  <c r="CY17" i="3"/>
  <c r="CP17" i="3"/>
  <c r="BW17" i="3"/>
  <c r="AS17" i="3"/>
  <c r="AP17" i="3"/>
  <c r="U17" i="3"/>
  <c r="FA17" i="3"/>
  <c r="W17" i="3"/>
  <c r="DG17" i="3"/>
  <c r="DZ17" i="3"/>
  <c r="N16" i="5"/>
  <c r="AW16" i="5"/>
  <c r="BB17" i="3"/>
  <c r="DO17" i="3"/>
  <c r="AW17" i="3"/>
  <c r="DN16" i="5"/>
  <c r="AY16" i="5"/>
  <c r="EK17" i="3"/>
  <c r="O16" i="5"/>
  <c r="DC16" i="5"/>
  <c r="EX17" i="3"/>
  <c r="CE17" i="3"/>
  <c r="AD17" i="3"/>
  <c r="EL17" i="3"/>
  <c r="EM17" i="3"/>
  <c r="M17" i="3"/>
  <c r="AU17" i="3"/>
  <c r="AV17" i="3"/>
  <c r="F16" i="5"/>
  <c r="CX16" i="5"/>
  <c r="CI16" i="5"/>
  <c r="CR16" i="5"/>
  <c r="J16" i="5"/>
  <c r="AQ16" i="5"/>
  <c r="BP16" i="5"/>
  <c r="DE16" i="5"/>
  <c r="DE17" i="3"/>
  <c r="CA17" i="3"/>
  <c r="DI17" i="3"/>
  <c r="DP17" i="3"/>
  <c r="G16" i="5"/>
  <c r="P16" i="5"/>
  <c r="AG16" i="5"/>
  <c r="BN16" i="5"/>
  <c r="CU16" i="5"/>
  <c r="DT16" i="5"/>
  <c r="AL16" i="5"/>
  <c r="BC16" i="5"/>
  <c r="AF16" i="5"/>
  <c r="BE16" i="5"/>
  <c r="CD16" i="5"/>
  <c r="DK16" i="5"/>
  <c r="U16" i="5"/>
  <c r="AO17" i="3"/>
  <c r="AN17" i="3"/>
  <c r="BB16" i="5"/>
  <c r="BK16" i="5"/>
  <c r="AN16" i="5"/>
  <c r="BM16" i="5"/>
  <c r="CL16" i="5"/>
  <c r="DS16" i="5"/>
  <c r="AC16" i="5"/>
  <c r="BJ16" i="5"/>
  <c r="BS16" i="5"/>
  <c r="CB16" i="5"/>
  <c r="DI16" i="5"/>
  <c r="S16" i="5"/>
  <c r="AZ16" i="5"/>
  <c r="CG16" i="5"/>
  <c r="DM17" i="3"/>
  <c r="BX17" i="3"/>
  <c r="BC17" i="3"/>
  <c r="BG17" i="3"/>
  <c r="BE17" i="3"/>
  <c r="BD17" i="3"/>
  <c r="CP16" i="5"/>
  <c r="CA16" i="5"/>
  <c r="CJ16" i="5"/>
  <c r="DQ16" i="5"/>
  <c r="AI16" i="5"/>
  <c r="BH16" i="5"/>
  <c r="CW16" i="5"/>
  <c r="DY17" i="3"/>
  <c r="CH17" i="3"/>
  <c r="CU17" i="3"/>
  <c r="BQ17" i="3"/>
  <c r="DA17" i="3"/>
  <c r="BL17" i="3"/>
  <c r="DZ17" i="2"/>
  <c r="ED17" i="2"/>
  <c r="DW17" i="2"/>
  <c r="Z17" i="2"/>
  <c r="BV17" i="2"/>
  <c r="P17" i="2"/>
  <c r="Q17" i="2"/>
  <c r="S17" i="2"/>
  <c r="T17" i="2"/>
  <c r="O17" i="2"/>
  <c r="CO16" i="5"/>
  <c r="DR17" i="2"/>
  <c r="CG17" i="2"/>
  <c r="AT17" i="2"/>
  <c r="CP17" i="2"/>
  <c r="X17" i="2"/>
  <c r="Y17" i="2"/>
  <c r="AA17" i="2"/>
  <c r="AB17" i="2"/>
  <c r="W17" i="2"/>
  <c r="DB17" i="2"/>
  <c r="BQ17" i="2"/>
  <c r="DM17" i="2"/>
  <c r="AF17" i="2"/>
  <c r="AG17" i="2"/>
  <c r="AI17" i="2"/>
  <c r="AJ17" i="2"/>
  <c r="AE17" i="2"/>
  <c r="DX17" i="2"/>
  <c r="F17" i="2"/>
  <c r="BY17" i="2"/>
  <c r="BL17" i="2"/>
  <c r="BM17" i="2"/>
  <c r="BO17" i="2"/>
  <c r="BP17" i="2"/>
  <c r="BK17" i="2"/>
  <c r="DP16" i="5"/>
  <c r="BU16" i="5"/>
  <c r="Z16" i="5"/>
  <c r="DB16" i="5"/>
  <c r="BG16" i="5"/>
  <c r="L16" i="5"/>
  <c r="CN16" i="5"/>
  <c r="AK16" i="5"/>
  <c r="DM16" i="5"/>
  <c r="CJ17" i="3"/>
  <c r="AL17" i="2"/>
  <c r="V17" i="2"/>
  <c r="AX17" i="2"/>
  <c r="DN17" i="2"/>
  <c r="CB17" i="2"/>
  <c r="CC17" i="2"/>
  <c r="CE17" i="2"/>
  <c r="CF17" i="2"/>
  <c r="CA17" i="2"/>
  <c r="BR16" i="5"/>
  <c r="W16" i="5"/>
  <c r="CQ16" i="5"/>
  <c r="BD16" i="5"/>
  <c r="I16" i="5"/>
  <c r="CC16" i="5"/>
  <c r="AP16" i="5"/>
  <c r="DJ16" i="5"/>
  <c r="BO16" i="5"/>
  <c r="AB16" i="5"/>
  <c r="CV16" i="5"/>
  <c r="AS16" i="5"/>
  <c r="DU17" i="3"/>
  <c r="BM17" i="3"/>
  <c r="EW17" i="3"/>
  <c r="CR17" i="3"/>
  <c r="BI17" i="2"/>
  <c r="AS17" i="2"/>
  <c r="BR17" i="2"/>
  <c r="N17" i="2"/>
  <c r="CJ17" i="2"/>
  <c r="CK17" i="2"/>
  <c r="CM17" i="2"/>
  <c r="CN17" i="2"/>
  <c r="CI17" i="2"/>
  <c r="BZ16" i="5"/>
  <c r="AE16" i="5"/>
  <c r="CY16" i="5"/>
  <c r="BL16" i="5"/>
  <c r="Q16" i="5"/>
  <c r="CK16" i="5"/>
  <c r="AX16" i="5"/>
  <c r="DR16" i="5"/>
  <c r="BW16" i="5"/>
  <c r="AJ16" i="5"/>
  <c r="DD16" i="5"/>
  <c r="BA16" i="5"/>
  <c r="BJ17" i="3"/>
  <c r="EZ17" i="3"/>
  <c r="CG17" i="3"/>
  <c r="V17" i="3"/>
  <c r="DD17" i="3"/>
  <c r="BO17" i="3"/>
  <c r="AA17" i="3"/>
  <c r="EE17" i="3"/>
  <c r="BU17" i="3"/>
  <c r="X17" i="3"/>
  <c r="CZ17" i="3"/>
  <c r="CX17" i="2"/>
  <c r="AD17" i="2"/>
  <c r="EA17" i="2"/>
  <c r="CD17" i="2"/>
  <c r="EB17" i="2"/>
  <c r="CO17" i="2"/>
  <c r="AK17" i="2"/>
  <c r="CR17" i="2"/>
  <c r="CS17" i="2"/>
  <c r="CU17" i="2"/>
  <c r="CV17" i="2"/>
  <c r="CQ17" i="2"/>
  <c r="CH16" i="5"/>
  <c r="AM16" i="5"/>
  <c r="DO16" i="5"/>
  <c r="BT16" i="5"/>
  <c r="Y16" i="5"/>
  <c r="CS16" i="5"/>
  <c r="BF16" i="5"/>
  <c r="K16" i="5"/>
  <c r="CE16" i="5"/>
  <c r="AR16" i="5"/>
  <c r="DL16" i="5"/>
  <c r="BI16" i="5"/>
  <c r="EI17" i="3"/>
  <c r="BV17" i="3"/>
  <c r="K17" i="3"/>
  <c r="CQ17" i="3"/>
  <c r="AH17" i="3"/>
  <c r="DN17" i="3"/>
  <c r="CI17" i="3"/>
  <c r="AK17" i="3"/>
  <c r="ES17" i="3"/>
  <c r="CC17" i="3"/>
  <c r="AF17" i="3"/>
  <c r="AH19" i="1"/>
  <c r="CT19" i="1"/>
  <c r="AQ19" i="1"/>
  <c r="DC19" i="1"/>
  <c r="AZ19" i="1"/>
  <c r="DL19" i="1"/>
  <c r="BA19" i="1"/>
  <c r="DM19" i="1"/>
  <c r="BJ19" i="1"/>
  <c r="G19" i="1"/>
  <c r="BS19" i="1"/>
  <c r="P19" i="1"/>
  <c r="CB19" i="1"/>
  <c r="Y19" i="1"/>
  <c r="CK19" i="1"/>
  <c r="CA20" i="6"/>
  <c r="CU20" i="6"/>
  <c r="DB20" i="6"/>
  <c r="AW20" i="6"/>
  <c r="BN20" i="6"/>
  <c r="BO20" i="6"/>
  <c r="R20" i="6"/>
  <c r="BB20" i="6"/>
  <c r="AN20" i="6"/>
  <c r="AR20" i="6"/>
  <c r="AS20" i="6"/>
  <c r="BJ20" i="6"/>
  <c r="CB20" i="6"/>
  <c r="CV20" i="6"/>
  <c r="CW20" i="6"/>
  <c r="CT6" i="6"/>
  <c r="CU6" i="6" s="1"/>
  <c r="CV6" i="6" s="1"/>
  <c r="CW6" i="6" s="1"/>
  <c r="CX6" i="6" s="1"/>
  <c r="CY6" i="6" s="1"/>
  <c r="CZ6" i="6" s="1"/>
  <c r="CS1" i="6"/>
  <c r="DF20" i="1"/>
  <c r="BR20" i="1"/>
  <c r="BJ20" i="1"/>
  <c r="AT20" i="1"/>
  <c r="F20" i="1"/>
  <c r="DM20" i="1"/>
  <c r="CW20" i="1"/>
  <c r="BI20" i="1"/>
  <c r="BA20" i="1"/>
  <c r="AK20" i="1"/>
  <c r="E20" i="1"/>
  <c r="C21" i="1" s="1"/>
  <c r="DT20" i="1"/>
  <c r="DL20" i="1"/>
  <c r="CV20" i="1"/>
  <c r="BP20" i="1"/>
  <c r="BH20" i="1"/>
  <c r="AZ20" i="1"/>
  <c r="AJ20" i="1"/>
  <c r="DS20" i="1"/>
  <c r="DK20" i="1"/>
  <c r="DC20" i="1"/>
  <c r="CM20" i="1"/>
  <c r="BG20" i="1"/>
  <c r="AY20" i="1"/>
  <c r="AQ20" i="1"/>
  <c r="AA20" i="1"/>
  <c r="DJ20" i="1"/>
  <c r="DB20" i="1"/>
  <c r="CT20" i="1"/>
  <c r="CD20" i="1"/>
  <c r="AX20" i="1"/>
  <c r="AP20" i="1"/>
  <c r="AH20" i="1"/>
  <c r="R20" i="1"/>
  <c r="DA20" i="1"/>
  <c r="CS20" i="1"/>
  <c r="CK20" i="1"/>
  <c r="BU20" i="1"/>
  <c r="AO20" i="1"/>
  <c r="AG20" i="1"/>
  <c r="Y20" i="1"/>
  <c r="I20" i="1"/>
  <c r="CZ20" i="1"/>
  <c r="CR20" i="1"/>
  <c r="CJ20" i="1"/>
  <c r="CB20" i="1"/>
  <c r="BL20" i="1"/>
  <c r="AN20" i="1"/>
  <c r="AF20" i="1"/>
  <c r="X20" i="1"/>
  <c r="P20" i="1"/>
  <c r="DO20" i="1"/>
  <c r="CQ20" i="1"/>
  <c r="CI20" i="1"/>
  <c r="CA20" i="1"/>
  <c r="BS20" i="1"/>
  <c r="BC20" i="1"/>
  <c r="AE20" i="1"/>
  <c r="W20" i="1"/>
  <c r="O20" i="1"/>
  <c r="G20" i="1"/>
  <c r="BQ19" i="1"/>
  <c r="N19" i="1"/>
  <c r="BZ19" i="1"/>
  <c r="W19" i="1"/>
  <c r="CI19" i="1"/>
  <c r="AF19" i="1"/>
  <c r="CR19" i="1"/>
  <c r="AO19" i="1"/>
  <c r="DA19" i="1"/>
  <c r="E21" i="6"/>
  <c r="C22" i="6" s="1"/>
  <c r="AE21" i="6"/>
  <c r="AI21" i="6"/>
  <c r="CL17" i="2"/>
  <c r="M17" i="2"/>
  <c r="AN17" i="2"/>
  <c r="CZ17" i="2"/>
  <c r="AO17" i="2"/>
  <c r="DA17" i="2"/>
  <c r="AQ17" i="2"/>
  <c r="DD17" i="2"/>
  <c r="AM17" i="2"/>
  <c r="CY17" i="2"/>
  <c r="CS1" i="1"/>
  <c r="CT6" i="1"/>
  <c r="CU6" i="1" s="1"/>
  <c r="CV6" i="1" s="1"/>
  <c r="CW6" i="1" s="1"/>
  <c r="CX6" i="1" s="1"/>
  <c r="CY6" i="1" s="1"/>
  <c r="CZ6" i="1" s="1"/>
  <c r="BF19" i="1"/>
  <c r="DR19" i="1"/>
  <c r="BO19" i="1"/>
  <c r="L19" i="1"/>
  <c r="BX19" i="1"/>
  <c r="M19" i="1"/>
  <c r="BY19" i="1"/>
  <c r="V19" i="1"/>
  <c r="CH19" i="1"/>
  <c r="AE19" i="1"/>
  <c r="CQ19" i="1"/>
  <c r="AN19" i="1"/>
  <c r="CZ19" i="1"/>
  <c r="AW19" i="1"/>
  <c r="DI19" i="1"/>
  <c r="AO20" i="6"/>
  <c r="Q20" i="6"/>
  <c r="CT20" i="6"/>
  <c r="BC20" i="6"/>
  <c r="CK20" i="6"/>
  <c r="CE20" i="6"/>
  <c r="BM20" i="6"/>
  <c r="CM20" i="6"/>
  <c r="CX20" i="6"/>
  <c r="CJ20" i="6"/>
  <c r="CN20" i="6"/>
  <c r="CO20" i="6"/>
  <c r="DF20" i="6"/>
  <c r="T20" i="6"/>
  <c r="U20" i="6"/>
  <c r="U17" i="2"/>
  <c r="DJ17" i="2"/>
  <c r="DC17" i="2"/>
  <c r="AP17" i="2"/>
  <c r="CH17" i="2"/>
  <c r="DF17" i="2"/>
  <c r="EF17" i="2"/>
  <c r="AH17" i="2"/>
  <c r="BZ17" i="2"/>
  <c r="AV17" i="2"/>
  <c r="DH17" i="2"/>
  <c r="AW17" i="2"/>
  <c r="DI17" i="2"/>
  <c r="AY17" i="2"/>
  <c r="DK17" i="2"/>
  <c r="AZ17" i="2"/>
  <c r="DL17" i="2"/>
  <c r="AU17" i="2"/>
  <c r="DG17" i="2"/>
  <c r="BN19" i="1"/>
  <c r="K19" i="1"/>
  <c r="BW19" i="1"/>
  <c r="T19" i="1"/>
  <c r="CF19" i="1"/>
  <c r="U19" i="1"/>
  <c r="CG19" i="1"/>
  <c r="AD19" i="1"/>
  <c r="CP19" i="1"/>
  <c r="AM19" i="1"/>
  <c r="CY19" i="1"/>
  <c r="AV19" i="1"/>
  <c r="DH19" i="1"/>
  <c r="BE19" i="1"/>
  <c r="DQ19" i="1"/>
  <c r="E17" i="5"/>
  <c r="CB17" i="5" s="1"/>
  <c r="BQ16" i="5"/>
  <c r="AX20" i="6"/>
  <c r="CC20" i="6"/>
  <c r="DG20" i="6"/>
  <c r="DO20" i="6"/>
  <c r="AU20" i="6"/>
  <c r="Y20" i="6"/>
  <c r="S20" i="6"/>
  <c r="AE20" i="6"/>
  <c r="DN20" i="6"/>
  <c r="CZ20" i="6"/>
  <c r="DD20" i="6"/>
  <c r="DE20" i="6"/>
  <c r="P20" i="6"/>
  <c r="AJ20" i="6"/>
  <c r="AK20" i="6"/>
  <c r="C31" i="3"/>
  <c r="C18" i="3"/>
  <c r="ER31" i="3"/>
  <c r="CF31" i="3"/>
  <c r="T31" i="3"/>
  <c r="EI31" i="3"/>
  <c r="BW31" i="3"/>
  <c r="K31" i="3"/>
  <c r="CR31" i="3"/>
  <c r="AF31" i="3"/>
  <c r="DV31" i="3"/>
  <c r="BJ31" i="3"/>
  <c r="FA31" i="3"/>
  <c r="CO31" i="3"/>
  <c r="AC31" i="3"/>
  <c r="DZ31" i="3"/>
  <c r="BM31" i="3"/>
  <c r="AO31" i="3"/>
  <c r="EO31" i="3"/>
  <c r="CT31" i="3"/>
  <c r="BC31" i="3"/>
  <c r="AE31" i="3"/>
  <c r="EX31" i="3"/>
  <c r="EJ31" i="3"/>
  <c r="BX31" i="3"/>
  <c r="L31" i="3"/>
  <c r="EA31" i="3"/>
  <c r="BO31" i="3"/>
  <c r="EV31" i="3"/>
  <c r="CJ31" i="3"/>
  <c r="X31" i="3"/>
  <c r="DN31" i="3"/>
  <c r="BB31" i="3"/>
  <c r="ES31" i="3"/>
  <c r="CG31" i="3"/>
  <c r="U31" i="3"/>
  <c r="DG31" i="3"/>
  <c r="AP31" i="3"/>
  <c r="R31" i="3"/>
  <c r="DR31" i="3"/>
  <c r="CA31" i="3"/>
  <c r="AG31" i="3"/>
  <c r="I31" i="3"/>
  <c r="EE31" i="3"/>
  <c r="EB31" i="3"/>
  <c r="BP31" i="3"/>
  <c r="DS31" i="3"/>
  <c r="BG31" i="3"/>
  <c r="EN31" i="3"/>
  <c r="CB31" i="3"/>
  <c r="P31" i="3"/>
  <c r="DF31" i="3"/>
  <c r="AT31" i="3"/>
  <c r="EK31" i="3"/>
  <c r="BY31" i="3"/>
  <c r="M31" i="3"/>
  <c r="CK31" i="3"/>
  <c r="W31" i="3"/>
  <c r="CY31" i="3"/>
  <c r="BE31" i="3"/>
  <c r="J31" i="3"/>
  <c r="FC31" i="3"/>
  <c r="DI31" i="3"/>
  <c r="DT31" i="3"/>
  <c r="BH31" i="3"/>
  <c r="DK31" i="3"/>
  <c r="AY31" i="3"/>
  <c r="EF31" i="3"/>
  <c r="BT31" i="3"/>
  <c r="H31" i="3"/>
  <c r="CX31" i="3"/>
  <c r="AL31" i="3"/>
  <c r="EC31" i="3"/>
  <c r="BQ31" i="3"/>
  <c r="BN31" i="3"/>
  <c r="EP31" i="3"/>
  <c r="CC31" i="3"/>
  <c r="AH31" i="3"/>
  <c r="EG31" i="3"/>
  <c r="CL31" i="3"/>
  <c r="DL31" i="3"/>
  <c r="AZ31" i="3"/>
  <c r="DC31" i="3"/>
  <c r="AQ31" i="3"/>
  <c r="DX31" i="3"/>
  <c r="BL31" i="3"/>
  <c r="FB31" i="3"/>
  <c r="CP31" i="3"/>
  <c r="AD31" i="3"/>
  <c r="DU31" i="3"/>
  <c r="BI31" i="3"/>
  <c r="AU31" i="3"/>
  <c r="EU31" i="3"/>
  <c r="DW31" i="3"/>
  <c r="BF31" i="3"/>
  <c r="O31" i="3"/>
  <c r="EH31" i="3"/>
  <c r="DJ31" i="3"/>
  <c r="BS31" i="3"/>
  <c r="DD31" i="3"/>
  <c r="AR31" i="3"/>
  <c r="CU31" i="3"/>
  <c r="AI31" i="3"/>
  <c r="DP31" i="3"/>
  <c r="BD31" i="3"/>
  <c r="ET31" i="3"/>
  <c r="CH31" i="3"/>
  <c r="V31" i="3"/>
  <c r="DM31" i="3"/>
  <c r="BA31" i="3"/>
  <c r="Y31" i="3"/>
  <c r="DY31" i="3"/>
  <c r="DA31" i="3"/>
  <c r="AM31" i="3"/>
  <c r="DO31" i="3"/>
  <c r="CQ31" i="3"/>
  <c r="AW31" i="3"/>
  <c r="CV31" i="3"/>
  <c r="AJ31" i="3"/>
  <c r="EY31" i="3"/>
  <c r="CM31" i="3"/>
  <c r="AA31" i="3"/>
  <c r="DH31" i="3"/>
  <c r="AV31" i="3"/>
  <c r="EL31" i="3"/>
  <c r="BZ31" i="3"/>
  <c r="N31" i="3"/>
  <c r="DE31" i="3"/>
  <c r="AS31" i="3"/>
  <c r="DB31" i="3"/>
  <c r="CD31" i="3"/>
  <c r="Q31" i="3"/>
  <c r="EM31" i="3"/>
  <c r="CS31" i="3"/>
  <c r="BU31" i="3"/>
  <c r="Z31" i="3"/>
  <c r="EZ31" i="3"/>
  <c r="CN31" i="3"/>
  <c r="AB31" i="3"/>
  <c r="EQ31" i="3"/>
  <c r="CE31" i="3"/>
  <c r="S31" i="3"/>
  <c r="CZ31" i="3"/>
  <c r="AN31" i="3"/>
  <c r="ED31" i="3"/>
  <c r="BR31" i="3"/>
  <c r="F31" i="3"/>
  <c r="CW31" i="3"/>
  <c r="AK31" i="3"/>
  <c r="EW31" i="3"/>
  <c r="CI31" i="3"/>
  <c r="BK31" i="3"/>
  <c r="DQ31" i="3"/>
  <c r="BV31" i="3"/>
  <c r="AX31" i="3"/>
  <c r="G31" i="3"/>
  <c r="CM17" i="3"/>
  <c r="Y17" i="3"/>
  <c r="CK17" i="3"/>
  <c r="H17" i="3"/>
  <c r="BT17" i="3"/>
  <c r="EJ17" i="3"/>
  <c r="BN17" i="2"/>
  <c r="BF17" i="2"/>
  <c r="AR17" i="2"/>
  <c r="R17" i="2"/>
  <c r="BJ17" i="2"/>
  <c r="DE17" i="2"/>
  <c r="EE17" i="2"/>
  <c r="J17" i="2"/>
  <c r="BB17" i="2"/>
  <c r="CW17" i="2"/>
  <c r="BD17" i="2"/>
  <c r="DP17" i="2"/>
  <c r="BE17" i="2"/>
  <c r="DQ17" i="2"/>
  <c r="BG17" i="2"/>
  <c r="DU17" i="2"/>
  <c r="BH17" i="2"/>
  <c r="DV17" i="2"/>
  <c r="BC17" i="2"/>
  <c r="J19" i="1"/>
  <c r="BV19" i="1"/>
  <c r="S19" i="1"/>
  <c r="CE19" i="1"/>
  <c r="AB19" i="1"/>
  <c r="CN19" i="1"/>
  <c r="AC19" i="1"/>
  <c r="CO19" i="1"/>
  <c r="AL19" i="1"/>
  <c r="CX19" i="1"/>
  <c r="AU19" i="1"/>
  <c r="DG19" i="1"/>
  <c r="BD19" i="1"/>
  <c r="DP19" i="1"/>
  <c r="BM19" i="1"/>
  <c r="AT16" i="5"/>
  <c r="DF16" i="5"/>
  <c r="AU16" i="5"/>
  <c r="DG16" i="5"/>
  <c r="AV16" i="5"/>
  <c r="DH16" i="5"/>
  <c r="AO16" i="5"/>
  <c r="DA16" i="5"/>
  <c r="AH16" i="5"/>
  <c r="CT16" i="5"/>
  <c r="AA16" i="5"/>
  <c r="CM16" i="5"/>
  <c r="T16" i="5"/>
  <c r="CF16" i="5"/>
  <c r="M16" i="5"/>
  <c r="BY16" i="5"/>
  <c r="BK20" i="6"/>
  <c r="Z20" i="6"/>
  <c r="AG20" i="6"/>
  <c r="AH20" i="6"/>
  <c r="DS20" i="6"/>
  <c r="DC20" i="6"/>
  <c r="CI20" i="6"/>
  <c r="CQ20" i="6"/>
  <c r="F20" i="6"/>
  <c r="DP20" i="6"/>
  <c r="DT20" i="6"/>
  <c r="N20" i="6"/>
  <c r="AF20" i="6"/>
  <c r="AZ20" i="6"/>
  <c r="BA20" i="6"/>
  <c r="EB17" i="3"/>
  <c r="BY17" i="3"/>
  <c r="O17" i="3"/>
  <c r="CW17" i="3"/>
  <c r="AG17" i="3"/>
  <c r="CS17" i="3"/>
  <c r="P17" i="3"/>
  <c r="CB17" i="3"/>
  <c r="ET17" i="3"/>
  <c r="CS1" i="3"/>
  <c r="CT6" i="3"/>
  <c r="CU6" i="3" s="1"/>
  <c r="CV6" i="3" s="1"/>
  <c r="CW6" i="3" s="1"/>
  <c r="CX6" i="3" s="1"/>
  <c r="CY6" i="3" s="1"/>
  <c r="CZ6" i="3" s="1"/>
  <c r="CS1" i="5"/>
  <c r="CT6" i="5"/>
  <c r="CU6" i="5" s="1"/>
  <c r="CV6" i="5" s="1"/>
  <c r="CW6" i="5" s="1"/>
  <c r="CX6" i="5" s="1"/>
  <c r="CY6" i="5" s="1"/>
  <c r="CZ6" i="5" s="1"/>
  <c r="C18" i="2"/>
  <c r="C31" i="2"/>
  <c r="DV31" i="2"/>
  <c r="BJ31" i="2"/>
  <c r="EH31" i="2"/>
  <c r="BV31" i="2"/>
  <c r="J31" i="2"/>
  <c r="CC31" i="2"/>
  <c r="Q31" i="2"/>
  <c r="AZ31" i="2"/>
  <c r="CU31" i="2"/>
  <c r="EE31" i="2"/>
  <c r="AF31" i="2"/>
  <c r="BQ31" i="2"/>
  <c r="CO31" i="2"/>
  <c r="EA31" i="2"/>
  <c r="AB31" i="2"/>
  <c r="L31" i="2"/>
  <c r="DH31" i="2"/>
  <c r="DN31" i="2"/>
  <c r="BB31" i="2"/>
  <c r="DZ31" i="2"/>
  <c r="BN31" i="2"/>
  <c r="EG31" i="2"/>
  <c r="BU31" i="2"/>
  <c r="I31" i="2"/>
  <c r="AM31" i="2"/>
  <c r="CG31" i="2"/>
  <c r="DS31" i="2"/>
  <c r="T31" i="2"/>
  <c r="BD31" i="2"/>
  <c r="CB31" i="2"/>
  <c r="DM31" i="2"/>
  <c r="O31" i="2"/>
  <c r="BI31" i="2"/>
  <c r="DF31" i="2"/>
  <c r="AT31" i="2"/>
  <c r="DR31" i="2"/>
  <c r="BF31" i="2"/>
  <c r="DY31" i="2"/>
  <c r="BM31" i="2"/>
  <c r="DX31" i="2"/>
  <c r="AA31" i="2"/>
  <c r="BT31" i="2"/>
  <c r="DE31" i="2"/>
  <c r="G31" i="2"/>
  <c r="AR31" i="2"/>
  <c r="BP31" i="2"/>
  <c r="CZ31" i="2"/>
  <c r="K31" i="2"/>
  <c r="CX31" i="2"/>
  <c r="AL31" i="2"/>
  <c r="DJ31" i="2"/>
  <c r="AX31" i="2"/>
  <c r="DQ31" i="2"/>
  <c r="BE31" i="2"/>
  <c r="DL31" i="2"/>
  <c r="M31" i="2"/>
  <c r="BH31" i="2"/>
  <c r="CR31" i="2"/>
  <c r="EC31" i="2"/>
  <c r="AE31" i="2"/>
  <c r="BC31" i="2"/>
  <c r="CN31" i="2"/>
  <c r="CW31" i="2"/>
  <c r="CV31" i="2"/>
  <c r="CJ31" i="2"/>
  <c r="CI31" i="2"/>
  <c r="DW31" i="2"/>
  <c r="CP31" i="2"/>
  <c r="AD31" i="2"/>
  <c r="DB31" i="2"/>
  <c r="AP31" i="2"/>
  <c r="DI31" i="2"/>
  <c r="AW31" i="2"/>
  <c r="CY31" i="2"/>
  <c r="AU31" i="2"/>
  <c r="CF31" i="2"/>
  <c r="DP31" i="2"/>
  <c r="S31" i="2"/>
  <c r="AQ31" i="2"/>
  <c r="CA31" i="2"/>
  <c r="AY31" i="2"/>
  <c r="AV31" i="2"/>
  <c r="AK31" i="2"/>
  <c r="AJ31" i="2"/>
  <c r="BX31" i="2"/>
  <c r="DU31" i="2"/>
  <c r="CH31" i="2"/>
  <c r="V31" i="2"/>
  <c r="CT31" i="2"/>
  <c r="AH31" i="2"/>
  <c r="DA31" i="2"/>
  <c r="AO31" i="2"/>
  <c r="CM31" i="2"/>
  <c r="EF31" i="2"/>
  <c r="AI31" i="2"/>
  <c r="BS31" i="2"/>
  <c r="DD31" i="2"/>
  <c r="EB31" i="2"/>
  <c r="AC31" i="2"/>
  <c r="BO31" i="2"/>
  <c r="X31" i="2"/>
  <c r="BW31" i="2"/>
  <c r="W31" i="2"/>
  <c r="BZ31" i="2"/>
  <c r="N31" i="2"/>
  <c r="CL31" i="2"/>
  <c r="Z31" i="2"/>
  <c r="CS31" i="2"/>
  <c r="AG31" i="2"/>
  <c r="BY31" i="2"/>
  <c r="DT31" i="2"/>
  <c r="U31" i="2"/>
  <c r="BG31" i="2"/>
  <c r="CQ31" i="2"/>
  <c r="DO31" i="2"/>
  <c r="P31" i="2"/>
  <c r="BA31" i="2"/>
  <c r="DK31" i="2"/>
  <c r="ED31" i="2"/>
  <c r="BR31" i="2"/>
  <c r="F31" i="2"/>
  <c r="CD31" i="2"/>
  <c r="R31" i="2"/>
  <c r="CK31" i="2"/>
  <c r="Y31" i="2"/>
  <c r="BL31" i="2"/>
  <c r="DG31" i="2"/>
  <c r="H31" i="2"/>
  <c r="AS31" i="2"/>
  <c r="CE31" i="2"/>
  <c r="DC31" i="2"/>
  <c r="AN31" i="2"/>
  <c r="BK31" i="2"/>
  <c r="AC17" i="2"/>
  <c r="BA17" i="2"/>
  <c r="CT17" i="2"/>
  <c r="H17" i="2"/>
  <c r="BT17" i="2"/>
  <c r="I17" i="2"/>
  <c r="BU17" i="2"/>
  <c r="K17" i="2"/>
  <c r="BW17" i="2"/>
  <c r="L17" i="2"/>
  <c r="BX17" i="2"/>
  <c r="G17" i="2"/>
  <c r="BS17" i="2"/>
  <c r="Z19" i="1"/>
  <c r="CL19" i="1"/>
  <c r="AI19" i="1"/>
  <c r="CU19" i="1"/>
  <c r="AR19" i="1"/>
  <c r="DD19" i="1"/>
  <c r="AS19" i="1"/>
  <c r="DE19" i="1"/>
  <c r="BB19" i="1"/>
  <c r="DN19" i="1"/>
  <c r="BK19" i="1"/>
  <c r="H19" i="1"/>
  <c r="BT19" i="1"/>
  <c r="Q19" i="1"/>
  <c r="CC19" i="1"/>
  <c r="K20" i="6"/>
  <c r="AI20" i="6"/>
  <c r="AP20" i="6"/>
  <c r="BG20" i="6"/>
  <c r="G20" i="6"/>
  <c r="DI20" i="6"/>
  <c r="BU20" i="6"/>
  <c r="AL20" i="6"/>
  <c r="X20" i="6"/>
  <c r="AB20" i="6"/>
  <c r="AC20" i="6"/>
  <c r="AT20" i="6"/>
  <c r="BL20" i="6"/>
  <c r="CF20" i="6"/>
  <c r="CG20" i="6"/>
  <c r="CT6" i="2"/>
  <c r="CU6" i="2" s="1"/>
  <c r="CV6" i="2" s="1"/>
  <c r="CW6" i="2" s="1"/>
  <c r="CX6" i="2" s="1"/>
  <c r="CY6" i="2" s="1"/>
  <c r="CZ6" i="2" s="1"/>
  <c r="CS1" i="2"/>
  <c r="CW1" i="15"/>
  <c r="CX6" i="15"/>
  <c r="CY6" i="15" s="1"/>
  <c r="CZ6" i="15" s="1"/>
  <c r="DA6" i="15" s="1"/>
  <c r="DB6" i="15" s="1"/>
  <c r="DC6" i="15" s="1"/>
  <c r="DD6" i="15" s="1"/>
  <c r="AP17" i="5" l="1"/>
  <c r="CZ1" i="2"/>
  <c r="DA6" i="2"/>
  <c r="DB6" i="2" s="1"/>
  <c r="DC6" i="2" s="1"/>
  <c r="DD6" i="2" s="1"/>
  <c r="DE6" i="2" s="1"/>
  <c r="DF6" i="2" s="1"/>
  <c r="DG6" i="2" s="1"/>
  <c r="BK17" i="5"/>
  <c r="V17" i="5"/>
  <c r="DC17" i="5"/>
  <c r="BN17" i="5"/>
  <c r="Y17" i="5"/>
  <c r="DF17" i="5"/>
  <c r="BP17" i="5"/>
  <c r="AA17" i="5"/>
  <c r="DI17" i="5"/>
  <c r="BS17" i="5"/>
  <c r="AD17" i="5"/>
  <c r="DK17" i="5"/>
  <c r="BY17" i="5"/>
  <c r="AN17" i="5"/>
  <c r="CZ17" i="5"/>
  <c r="CH21" i="6"/>
  <c r="CG21" i="6"/>
  <c r="DK21" i="6"/>
  <c r="F21" i="6"/>
  <c r="AL21" i="6"/>
  <c r="AT21" i="6"/>
  <c r="DN21" i="6"/>
  <c r="BS21" i="6"/>
  <c r="BF21" i="6"/>
  <c r="CN21" i="6"/>
  <c r="CR21" i="6"/>
  <c r="DI21" i="6"/>
  <c r="T21" i="6"/>
  <c r="X21" i="6"/>
  <c r="Y21" i="6"/>
  <c r="E18" i="3"/>
  <c r="C19" i="3" s="1"/>
  <c r="BV17" i="5"/>
  <c r="AG17" i="5"/>
  <c r="DN17" i="5"/>
  <c r="BX17" i="5"/>
  <c r="AI17" i="5"/>
  <c r="DQ17" i="5"/>
  <c r="CA17" i="5"/>
  <c r="AL17" i="5"/>
  <c r="DS17" i="5"/>
  <c r="CD17" i="5"/>
  <c r="AO17" i="5"/>
  <c r="U17" i="5"/>
  <c r="CG17" i="5"/>
  <c r="AV17" i="5"/>
  <c r="DH17" i="5"/>
  <c r="AU22" i="6"/>
  <c r="DF22" i="6"/>
  <c r="AD22" i="6"/>
  <c r="DB22" i="6"/>
  <c r="Z22" i="6"/>
  <c r="CZ22" i="6"/>
  <c r="X22" i="6"/>
  <c r="CY22" i="6"/>
  <c r="W22" i="6"/>
  <c r="CX22" i="6"/>
  <c r="V22" i="6"/>
  <c r="CT22" i="6"/>
  <c r="R22" i="6"/>
  <c r="BL22" i="6"/>
  <c r="BM22" i="6"/>
  <c r="DL22" i="6"/>
  <c r="DE22" i="6"/>
  <c r="AK22" i="6"/>
  <c r="CG22" i="6"/>
  <c r="BP22" i="6"/>
  <c r="DI22" i="6"/>
  <c r="AC22" i="6"/>
  <c r="E22" i="6"/>
  <c r="C23" i="6" s="1"/>
  <c r="AA22" i="6"/>
  <c r="CS22" i="6"/>
  <c r="CK22" i="6"/>
  <c r="Y22" i="6"/>
  <c r="BX22" i="6"/>
  <c r="BU22" i="6"/>
  <c r="I22" i="6"/>
  <c r="BH22" i="6"/>
  <c r="AW22" i="6"/>
  <c r="CV22" i="6"/>
  <c r="T22" i="6"/>
  <c r="BR21" i="6"/>
  <c r="CX21" i="6"/>
  <c r="DF21" i="6"/>
  <c r="BK21" i="6"/>
  <c r="S21" i="6"/>
  <c r="BV21" i="6"/>
  <c r="DD21" i="6"/>
  <c r="DH21" i="6"/>
  <c r="R21" i="6"/>
  <c r="AJ21" i="6"/>
  <c r="AN21" i="6"/>
  <c r="AO21" i="6"/>
  <c r="DA6" i="6"/>
  <c r="DB6" i="6" s="1"/>
  <c r="DC6" i="6" s="1"/>
  <c r="DD6" i="6" s="1"/>
  <c r="DE6" i="6" s="1"/>
  <c r="DF6" i="6" s="1"/>
  <c r="DG6" i="6" s="1"/>
  <c r="CZ1" i="6"/>
  <c r="E18" i="2"/>
  <c r="C19" i="2" s="1"/>
  <c r="CF17" i="5"/>
  <c r="AQ17" i="5"/>
  <c r="F17" i="5"/>
  <c r="CI17" i="5"/>
  <c r="AT17" i="5"/>
  <c r="H17" i="5"/>
  <c r="CL17" i="5"/>
  <c r="AW17" i="5"/>
  <c r="J17" i="5"/>
  <c r="CN17" i="5"/>
  <c r="AY17" i="5"/>
  <c r="AC17" i="5"/>
  <c r="CO17" i="5"/>
  <c r="BD17" i="5"/>
  <c r="DP17" i="5"/>
  <c r="BQ21" i="6"/>
  <c r="CU21" i="6"/>
  <c r="AD21" i="6"/>
  <c r="O21" i="6"/>
  <c r="AU21" i="6"/>
  <c r="BC21" i="6"/>
  <c r="K21" i="6"/>
  <c r="CE21" i="6"/>
  <c r="CL21" i="6"/>
  <c r="DT21" i="6"/>
  <c r="Q21" i="6"/>
  <c r="AH21" i="6"/>
  <c r="AZ21" i="6"/>
  <c r="BD21" i="6"/>
  <c r="BE21" i="6"/>
  <c r="DK21" i="1"/>
  <c r="DC21" i="1"/>
  <c r="CU21" i="1"/>
  <c r="CE21" i="1"/>
  <c r="BO21" i="1"/>
  <c r="AY21" i="1"/>
  <c r="AQ21" i="1"/>
  <c r="AI21" i="1"/>
  <c r="S21" i="1"/>
  <c r="DR21" i="1"/>
  <c r="DB21" i="1"/>
  <c r="CT21" i="1"/>
  <c r="CL21" i="1"/>
  <c r="BV21" i="1"/>
  <c r="BN21" i="1"/>
  <c r="BF21" i="1"/>
  <c r="AP21" i="1"/>
  <c r="AH21" i="1"/>
  <c r="Z21" i="1"/>
  <c r="J21" i="1"/>
  <c r="DQ21" i="1"/>
  <c r="DI21" i="1"/>
  <c r="CS21" i="1"/>
  <c r="CK21" i="1"/>
  <c r="CC21" i="1"/>
  <c r="BM21" i="1"/>
  <c r="BE21" i="1"/>
  <c r="AW21" i="1"/>
  <c r="AG21" i="1"/>
  <c r="Y21" i="1"/>
  <c r="Q21" i="1"/>
  <c r="DP21" i="1"/>
  <c r="DH21" i="1"/>
  <c r="CZ21" i="1"/>
  <c r="CJ21" i="1"/>
  <c r="CB21" i="1"/>
  <c r="BT21" i="1"/>
  <c r="BD21" i="1"/>
  <c r="AV21" i="1"/>
  <c r="AN21" i="1"/>
  <c r="X21" i="1"/>
  <c r="P21" i="1"/>
  <c r="H21" i="1"/>
  <c r="DG21" i="1"/>
  <c r="CY21" i="1"/>
  <c r="CQ21" i="1"/>
  <c r="CA21" i="1"/>
  <c r="BS21" i="1"/>
  <c r="BK21" i="1"/>
  <c r="AU21" i="1"/>
  <c r="AM21" i="1"/>
  <c r="AE21" i="1"/>
  <c r="O21" i="1"/>
  <c r="G21" i="1"/>
  <c r="DN21" i="1"/>
  <c r="CX21" i="1"/>
  <c r="CP21" i="1"/>
  <c r="CH21" i="1"/>
  <c r="BR21" i="1"/>
  <c r="BJ21" i="1"/>
  <c r="BB21" i="1"/>
  <c r="AL21" i="1"/>
  <c r="AD21" i="1"/>
  <c r="V21" i="1"/>
  <c r="F21" i="1"/>
  <c r="DM21" i="1"/>
  <c r="DE21" i="1"/>
  <c r="CO21" i="1"/>
  <c r="CG21" i="1"/>
  <c r="BY21" i="1"/>
  <c r="BI21" i="1"/>
  <c r="BA21" i="1"/>
  <c r="AS21" i="1"/>
  <c r="AC21" i="1"/>
  <c r="U21" i="1"/>
  <c r="M21" i="1"/>
  <c r="E21" i="1"/>
  <c r="C22" i="1" s="1"/>
  <c r="DT21" i="1"/>
  <c r="DL21" i="1"/>
  <c r="DD21" i="1"/>
  <c r="CN21" i="1"/>
  <c r="CF21" i="1"/>
  <c r="BX21" i="1"/>
  <c r="BP21" i="1"/>
  <c r="BH21" i="1"/>
  <c r="AZ21" i="1"/>
  <c r="AR21" i="1"/>
  <c r="AB21" i="1"/>
  <c r="T21" i="1"/>
  <c r="L21" i="1"/>
  <c r="BQ20" i="1"/>
  <c r="N20" i="1"/>
  <c r="BZ20" i="1"/>
  <c r="CZ1" i="5"/>
  <c r="DA6" i="5"/>
  <c r="DB6" i="5" s="1"/>
  <c r="DC6" i="5" s="1"/>
  <c r="DD6" i="5" s="1"/>
  <c r="DE6" i="5" s="1"/>
  <c r="DF6" i="5" s="1"/>
  <c r="DG6" i="5" s="1"/>
  <c r="L17" i="5"/>
  <c r="CQ17" i="5"/>
  <c r="BB17" i="5"/>
  <c r="N17" i="5"/>
  <c r="CT17" i="5"/>
  <c r="BE17" i="5"/>
  <c r="P17" i="5"/>
  <c r="CV17" i="5"/>
  <c r="BG17" i="5"/>
  <c r="R17" i="5"/>
  <c r="CY17" i="5"/>
  <c r="BJ17" i="5"/>
  <c r="AK17" i="5"/>
  <c r="CW17" i="5"/>
  <c r="BL17" i="5"/>
  <c r="CZ1" i="1"/>
  <c r="DA6" i="1"/>
  <c r="DB6" i="1" s="1"/>
  <c r="DC6" i="1" s="1"/>
  <c r="DD6" i="1" s="1"/>
  <c r="DE6" i="1" s="1"/>
  <c r="DF6" i="1" s="1"/>
  <c r="DG6" i="1" s="1"/>
  <c r="CP21" i="6"/>
  <c r="N21" i="6"/>
  <c r="CQ21" i="6"/>
  <c r="CA21" i="6"/>
  <c r="DG21" i="6"/>
  <c r="DO21" i="6"/>
  <c r="BW21" i="6"/>
  <c r="DB21" i="6"/>
  <c r="L21" i="6"/>
  <c r="P21" i="6"/>
  <c r="AG21" i="6"/>
  <c r="AX21" i="6"/>
  <c r="BP21" i="6"/>
  <c r="BT21" i="6"/>
  <c r="BU21" i="6"/>
  <c r="AW20" i="1"/>
  <c r="DI20" i="1"/>
  <c r="BF20" i="1"/>
  <c r="DR20" i="1"/>
  <c r="BO20" i="1"/>
  <c r="L20" i="1"/>
  <c r="BX20" i="1"/>
  <c r="M20" i="1"/>
  <c r="BY20" i="1"/>
  <c r="V20" i="1"/>
  <c r="CH20" i="1"/>
  <c r="T17" i="5"/>
  <c r="DB17" i="5"/>
  <c r="BM17" i="5"/>
  <c r="W17" i="5"/>
  <c r="DD17" i="5"/>
  <c r="BO17" i="5"/>
  <c r="Z17" i="5"/>
  <c r="DG17" i="5"/>
  <c r="BR17" i="5"/>
  <c r="AB17" i="5"/>
  <c r="DJ17" i="5"/>
  <c r="BU17" i="5"/>
  <c r="AS17" i="5"/>
  <c r="DE17" i="5"/>
  <c r="BT17" i="5"/>
  <c r="AQ21" i="6"/>
  <c r="AM21" i="6"/>
  <c r="M21" i="6"/>
  <c r="AA21" i="6"/>
  <c r="BG21" i="6"/>
  <c r="BO21" i="6"/>
  <c r="BA21" i="6"/>
  <c r="DR21" i="6"/>
  <c r="AB21" i="6"/>
  <c r="AF21" i="6"/>
  <c r="AW21" i="6"/>
  <c r="BN21" i="6"/>
  <c r="CF21" i="6"/>
  <c r="CJ21" i="6"/>
  <c r="CK21" i="6"/>
  <c r="AM20" i="1"/>
  <c r="CY20" i="1"/>
  <c r="AV20" i="1"/>
  <c r="DH20" i="1"/>
  <c r="BE20" i="1"/>
  <c r="DQ20" i="1"/>
  <c r="BN20" i="1"/>
  <c r="K20" i="1"/>
  <c r="BW20" i="1"/>
  <c r="T20" i="1"/>
  <c r="CF20" i="1"/>
  <c r="U20" i="1"/>
  <c r="CG20" i="1"/>
  <c r="AD20" i="1"/>
  <c r="CP20" i="1"/>
  <c r="DA6" i="3"/>
  <c r="DB6" i="3" s="1"/>
  <c r="DC6" i="3" s="1"/>
  <c r="DD6" i="3" s="1"/>
  <c r="DE6" i="3" s="1"/>
  <c r="DF6" i="3" s="1"/>
  <c r="DG6" i="3" s="1"/>
  <c r="CZ1" i="3"/>
  <c r="AE17" i="5"/>
  <c r="DL17" i="5"/>
  <c r="BW17" i="5"/>
  <c r="AH17" i="5"/>
  <c r="DO17" i="5"/>
  <c r="BZ17" i="5"/>
  <c r="AJ17" i="5"/>
  <c r="DR17" i="5"/>
  <c r="CC17" i="5"/>
  <c r="AM17" i="5"/>
  <c r="DT17" i="5"/>
  <c r="CE17" i="5"/>
  <c r="BA17" i="5"/>
  <c r="DM17" i="5"/>
  <c r="BY21" i="6"/>
  <c r="DC21" i="6"/>
  <c r="BZ21" i="6"/>
  <c r="CM21" i="6"/>
  <c r="DS21" i="6"/>
  <c r="AS21" i="6"/>
  <c r="DM21" i="6"/>
  <c r="J21" i="6"/>
  <c r="AR21" i="6"/>
  <c r="AV21" i="6"/>
  <c r="BM21" i="6"/>
  <c r="CD21" i="6"/>
  <c r="CV21" i="6"/>
  <c r="CZ21" i="6"/>
  <c r="DA21" i="6"/>
  <c r="AU20" i="1"/>
  <c r="DG20" i="1"/>
  <c r="BD20" i="1"/>
  <c r="DP20" i="1"/>
  <c r="BM20" i="1"/>
  <c r="J20" i="1"/>
  <c r="BV20" i="1"/>
  <c r="S20" i="1"/>
  <c r="CE20" i="1"/>
  <c r="AB20" i="1"/>
  <c r="CN20" i="1"/>
  <c r="AC20" i="1"/>
  <c r="CO20" i="1"/>
  <c r="AL20" i="1"/>
  <c r="CX20" i="1"/>
  <c r="C31" i="5"/>
  <c r="C18" i="5"/>
  <c r="BL31" i="5"/>
  <c r="DO31" i="5"/>
  <c r="BC31" i="5"/>
  <c r="DF31" i="5"/>
  <c r="AT31" i="5"/>
  <c r="CW31" i="5"/>
  <c r="AK31" i="5"/>
  <c r="CM31" i="5"/>
  <c r="AA31" i="5"/>
  <c r="CD31" i="5"/>
  <c r="R31" i="5"/>
  <c r="AR31" i="5"/>
  <c r="AJ31" i="5"/>
  <c r="T31" i="5"/>
  <c r="CK31" i="5"/>
  <c r="CF31" i="5"/>
  <c r="DP31" i="5"/>
  <c r="BD31" i="5"/>
  <c r="DG31" i="5"/>
  <c r="AU31" i="5"/>
  <c r="CX31" i="5"/>
  <c r="AL31" i="5"/>
  <c r="CO31" i="5"/>
  <c r="AC31" i="5"/>
  <c r="CE31" i="5"/>
  <c r="S31" i="5"/>
  <c r="BV31" i="5"/>
  <c r="J31" i="5"/>
  <c r="L31" i="5"/>
  <c r="CS31" i="5"/>
  <c r="DH31" i="5"/>
  <c r="AV31" i="5"/>
  <c r="CY31" i="5"/>
  <c r="AM31" i="5"/>
  <c r="CP31" i="5"/>
  <c r="AD31" i="5"/>
  <c r="CG31" i="5"/>
  <c r="U31" i="5"/>
  <c r="BW31" i="5"/>
  <c r="K31" i="5"/>
  <c r="BN31" i="5"/>
  <c r="DI31" i="5"/>
  <c r="DA31" i="5"/>
  <c r="BM31" i="5"/>
  <c r="CZ31" i="5"/>
  <c r="AN31" i="5"/>
  <c r="CQ31" i="5"/>
  <c r="AE31" i="5"/>
  <c r="CH31" i="5"/>
  <c r="V31" i="5"/>
  <c r="BY31" i="5"/>
  <c r="M31" i="5"/>
  <c r="BO31" i="5"/>
  <c r="DR31" i="5"/>
  <c r="BF31" i="5"/>
  <c r="CC31" i="5"/>
  <c r="BU31" i="5"/>
  <c r="AG31" i="5"/>
  <c r="CR31" i="5"/>
  <c r="AF31" i="5"/>
  <c r="CI31" i="5"/>
  <c r="W31" i="5"/>
  <c r="BZ31" i="5"/>
  <c r="N31" i="5"/>
  <c r="BQ31" i="5"/>
  <c r="DS31" i="5"/>
  <c r="BG31" i="5"/>
  <c r="DJ31" i="5"/>
  <c r="AX31" i="5"/>
  <c r="AW31" i="5"/>
  <c r="AO31" i="5"/>
  <c r="BH31" i="5"/>
  <c r="BE31" i="5"/>
  <c r="DT31" i="5"/>
  <c r="CJ31" i="5"/>
  <c r="X31" i="5"/>
  <c r="CA31" i="5"/>
  <c r="O31" i="5"/>
  <c r="BR31" i="5"/>
  <c r="F31" i="5"/>
  <c r="BI31" i="5"/>
  <c r="DK31" i="5"/>
  <c r="AY31" i="5"/>
  <c r="DB31" i="5"/>
  <c r="AP31" i="5"/>
  <c r="Q31" i="5"/>
  <c r="I31" i="5"/>
  <c r="AZ31" i="5"/>
  <c r="DQ31" i="5"/>
  <c r="CB31" i="5"/>
  <c r="P31" i="5"/>
  <c r="BS31" i="5"/>
  <c r="G31" i="5"/>
  <c r="BJ31" i="5"/>
  <c r="DM31" i="5"/>
  <c r="BA31" i="5"/>
  <c r="DC31" i="5"/>
  <c r="AQ31" i="5"/>
  <c r="CT31" i="5"/>
  <c r="AH31" i="5"/>
  <c r="DD31" i="5"/>
  <c r="CV31" i="5"/>
  <c r="AB31" i="5"/>
  <c r="DL31" i="5"/>
  <c r="BT31" i="5"/>
  <c r="H31" i="5"/>
  <c r="BK31" i="5"/>
  <c r="DN31" i="5"/>
  <c r="BB31" i="5"/>
  <c r="DE31" i="5"/>
  <c r="AS31" i="5"/>
  <c r="CU31" i="5"/>
  <c r="AI31" i="5"/>
  <c r="CL31" i="5"/>
  <c r="Z31" i="5"/>
  <c r="BX31" i="5"/>
  <c r="BP31" i="5"/>
  <c r="Y31" i="5"/>
  <c r="CN31" i="5"/>
  <c r="CH17" i="5"/>
  <c r="AR17" i="5"/>
  <c r="G17" i="5"/>
  <c r="CK17" i="5"/>
  <c r="AU17" i="5"/>
  <c r="I17" i="5"/>
  <c r="CM17" i="5"/>
  <c r="AX17" i="5"/>
  <c r="K17" i="5"/>
  <c r="CP17" i="5"/>
  <c r="BI17" i="5"/>
  <c r="X17" i="5"/>
  <c r="CJ17" i="5"/>
  <c r="W21" i="6"/>
  <c r="V21" i="6"/>
  <c r="CY21" i="6"/>
  <c r="AC21" i="6"/>
  <c r="AK21" i="6"/>
  <c r="DE21" i="6"/>
  <c r="BJ21" i="6"/>
  <c r="Z21" i="6"/>
  <c r="BH21" i="6"/>
  <c r="BL21" i="6"/>
  <c r="CC21" i="6"/>
  <c r="CT21" i="6"/>
  <c r="DL21" i="6"/>
  <c r="DP21" i="6"/>
  <c r="DQ21" i="6"/>
  <c r="AZ17" i="5"/>
  <c r="M17" i="5"/>
  <c r="CS17" i="5"/>
  <c r="BC17" i="5"/>
  <c r="O17" i="5"/>
  <c r="CU17" i="5"/>
  <c r="BF17" i="5"/>
  <c r="Q17" i="5"/>
  <c r="CX17" i="5"/>
  <c r="BH17" i="5"/>
  <c r="S17" i="5"/>
  <c r="DA17" i="5"/>
  <c r="BQ17" i="5"/>
  <c r="AF17" i="5"/>
  <c r="CR17" i="5"/>
  <c r="U21" i="6"/>
  <c r="AY21" i="6"/>
  <c r="CI21" i="6"/>
  <c r="BI21" i="6"/>
  <c r="CO21" i="6"/>
  <c r="CW21" i="6"/>
  <c r="BB21" i="6"/>
  <c r="G21" i="6"/>
  <c r="AP21" i="6"/>
  <c r="BX21" i="6"/>
  <c r="CB21" i="6"/>
  <c r="CS21" i="6"/>
  <c r="DJ21" i="6"/>
  <c r="H21" i="6"/>
  <c r="I21" i="6"/>
  <c r="BK20" i="1"/>
  <c r="H20" i="1"/>
  <c r="BT20" i="1"/>
  <c r="Q20" i="1"/>
  <c r="CC20" i="1"/>
  <c r="Z20" i="1"/>
  <c r="CL20" i="1"/>
  <c r="AI20" i="1"/>
  <c r="CU20" i="1"/>
  <c r="AR20" i="1"/>
  <c r="DD20" i="1"/>
  <c r="AS20" i="1"/>
  <c r="DE20" i="1"/>
  <c r="BB20" i="1"/>
  <c r="DN20" i="1"/>
  <c r="DE6" i="15"/>
  <c r="DF6" i="15" s="1"/>
  <c r="DG6" i="15" s="1"/>
  <c r="DH6" i="15" s="1"/>
  <c r="DI6" i="15" s="1"/>
  <c r="DJ6" i="15" s="1"/>
  <c r="DK6" i="15" s="1"/>
  <c r="DD1" i="15"/>
  <c r="V18" i="2" l="1"/>
  <c r="CQ18" i="2"/>
  <c r="AP18" i="2"/>
  <c r="DF18" i="2"/>
  <c r="EH18" i="2"/>
  <c r="EB18" i="2"/>
  <c r="BE18" i="2"/>
  <c r="CC18" i="2"/>
  <c r="F18" i="2"/>
  <c r="BU18" i="2"/>
  <c r="DC18" i="3"/>
  <c r="CX18" i="2"/>
  <c r="ED18" i="2"/>
  <c r="AC18" i="2"/>
  <c r="DR18" i="2"/>
  <c r="AX18" i="2"/>
  <c r="AE18" i="2"/>
  <c r="DQ18" i="3"/>
  <c r="N18" i="2"/>
  <c r="BM18" i="2"/>
  <c r="L18" i="2"/>
  <c r="I18" i="3"/>
  <c r="AH18" i="2"/>
  <c r="CK18" i="2"/>
  <c r="T18" i="2"/>
  <c r="AY18" i="3"/>
  <c r="EP18" i="3"/>
  <c r="AV18" i="3"/>
  <c r="DW18" i="3"/>
  <c r="CL18" i="3"/>
  <c r="EA18" i="3"/>
  <c r="AW18" i="3"/>
  <c r="CQ18" i="3"/>
  <c r="BS18" i="3"/>
  <c r="BG18" i="3"/>
  <c r="EV18" i="3"/>
  <c r="P18" i="3"/>
  <c r="BT18" i="3"/>
  <c r="CR18" i="3"/>
  <c r="BU18" i="3"/>
  <c r="K18" i="3"/>
  <c r="BC18" i="3"/>
  <c r="AL18" i="3"/>
  <c r="G18" i="3"/>
  <c r="CT18" i="3"/>
  <c r="CY18" i="3"/>
  <c r="DZ18" i="3"/>
  <c r="AT18" i="3"/>
  <c r="J18" i="3"/>
  <c r="DJ18" i="3"/>
  <c r="EN18" i="3"/>
  <c r="L18" i="3"/>
  <c r="X18" i="3"/>
  <c r="DX18" i="3"/>
  <c r="Q18" i="3"/>
  <c r="T18" i="3"/>
  <c r="BW18" i="2"/>
  <c r="AQ18" i="3"/>
  <c r="AH18" i="3"/>
  <c r="DI18" i="3"/>
  <c r="BM18" i="3"/>
  <c r="DB18" i="3"/>
  <c r="BF18" i="2"/>
  <c r="DV18" i="2"/>
  <c r="BN18" i="2"/>
  <c r="DI18" i="2"/>
  <c r="CS18" i="2"/>
  <c r="DD18" i="2"/>
  <c r="G18" i="2"/>
  <c r="BG18" i="2"/>
  <c r="BC18" i="2"/>
  <c r="BZ18" i="2"/>
  <c r="R18" i="2"/>
  <c r="DB18" i="2"/>
  <c r="Z18" i="2"/>
  <c r="CP18" i="2"/>
  <c r="AR18" i="2"/>
  <c r="AK18" i="2"/>
  <c r="CY18" i="2"/>
  <c r="CT18" i="2"/>
  <c r="BJ18" i="2"/>
  <c r="DY18" i="2"/>
  <c r="AW18" i="2"/>
  <c r="DJ18" i="2"/>
  <c r="AZ18" i="2"/>
  <c r="BI18" i="2"/>
  <c r="X18" i="2"/>
  <c r="EJ18" i="3"/>
  <c r="Q18" i="2"/>
  <c r="CD18" i="2"/>
  <c r="Y18" i="2"/>
  <c r="BR18" i="2"/>
  <c r="J18" i="2"/>
  <c r="BX18" i="2"/>
  <c r="CO18" i="2"/>
  <c r="BL18" i="2"/>
  <c r="AL18" i="2"/>
  <c r="DA18" i="2"/>
  <c r="AT18" i="2"/>
  <c r="CL18" i="2"/>
  <c r="BB18" i="2"/>
  <c r="CF18" i="2"/>
  <c r="DU18" i="2"/>
  <c r="CB18" i="2"/>
  <c r="R18" i="3"/>
  <c r="EU18" i="3"/>
  <c r="BW18" i="3"/>
  <c r="AA18" i="3"/>
  <c r="AU18" i="3"/>
  <c r="CV18" i="2"/>
  <c r="AS18" i="2"/>
  <c r="W18" i="2"/>
  <c r="DO18" i="2"/>
  <c r="CJ18" i="2"/>
  <c r="CE18" i="2"/>
  <c r="CA18" i="3"/>
  <c r="AO18" i="3"/>
  <c r="EY18" i="3"/>
  <c r="DP18" i="3"/>
  <c r="CS18" i="3"/>
  <c r="BJ18" i="3"/>
  <c r="AJ18" i="3"/>
  <c r="U18" i="3"/>
  <c r="EE18" i="2"/>
  <c r="CR18" i="2"/>
  <c r="CM18" i="2"/>
  <c r="DG18" i="3"/>
  <c r="BZ18" i="3"/>
  <c r="AZ18" i="3"/>
  <c r="AS18" i="3"/>
  <c r="EG18" i="2"/>
  <c r="AJ18" i="2"/>
  <c r="DL18" i="2"/>
  <c r="BY18" i="2"/>
  <c r="AM18" i="2"/>
  <c r="P18" i="2"/>
  <c r="DX18" i="2"/>
  <c r="DS18" i="2"/>
  <c r="BK18" i="3"/>
  <c r="Y18" i="3"/>
  <c r="EI18" i="3"/>
  <c r="CZ18" i="3"/>
  <c r="BN18" i="3"/>
  <c r="AE18" i="3"/>
  <c r="FC18" i="3"/>
  <c r="DR18" i="3"/>
  <c r="CX18" i="3"/>
  <c r="BX18" i="3"/>
  <c r="CG18" i="3"/>
  <c r="K18" i="2"/>
  <c r="EE18" i="3"/>
  <c r="DH18" i="3"/>
  <c r="BV18" i="3"/>
  <c r="AM18" i="3"/>
  <c r="EW18" i="3"/>
  <c r="DK18" i="3"/>
  <c r="CB18" i="3"/>
  <c r="BD18" i="3"/>
  <c r="H18" i="3"/>
  <c r="EF18" i="3"/>
  <c r="DF18" i="3"/>
  <c r="CF18" i="3"/>
  <c r="DE18" i="3"/>
  <c r="CW18" i="2"/>
  <c r="BS18" i="2"/>
  <c r="AF18" i="2"/>
  <c r="S18" i="2"/>
  <c r="DS18" i="3"/>
  <c r="CJ18" i="3"/>
  <c r="AX18" i="3"/>
  <c r="O18" i="3"/>
  <c r="DY18" i="3"/>
  <c r="DA18" i="3"/>
  <c r="BO18" i="3"/>
  <c r="S18" i="3"/>
  <c r="EQ18" i="3"/>
  <c r="DV18" i="3"/>
  <c r="CV18" i="3"/>
  <c r="ES18" i="3"/>
  <c r="AD18" i="2"/>
  <c r="BV18" i="2"/>
  <c r="BP18" i="2"/>
  <c r="M18" i="2"/>
  <c r="DE18" i="2"/>
  <c r="CI18" i="2"/>
  <c r="AV18" i="2"/>
  <c r="AA18" i="2"/>
  <c r="CD18" i="3"/>
  <c r="W18" i="3"/>
  <c r="EG18" i="3"/>
  <c r="CU18" i="3"/>
  <c r="BL18" i="3"/>
  <c r="Z18" i="3"/>
  <c r="EX18" i="3"/>
  <c r="DO18" i="3"/>
  <c r="CC18" i="3"/>
  <c r="AG18" i="3"/>
  <c r="N18" i="3"/>
  <c r="EL18" i="3"/>
  <c r="DL18" i="3"/>
  <c r="AO22" i="6"/>
  <c r="BI22" i="6"/>
  <c r="BY22" i="6"/>
  <c r="CO22" i="6"/>
  <c r="CW22" i="6"/>
  <c r="BW22" i="6"/>
  <c r="DD22" i="6"/>
  <c r="DM22" i="6"/>
  <c r="CR22" i="6"/>
  <c r="F22" i="6"/>
  <c r="G22" i="6"/>
  <c r="H22" i="6"/>
  <c r="J22" i="6"/>
  <c r="N22" i="6"/>
  <c r="AE22" i="6"/>
  <c r="AD18" i="3"/>
  <c r="CP18" i="3"/>
  <c r="FB18" i="3"/>
  <c r="BP18" i="3"/>
  <c r="EB18" i="3"/>
  <c r="AK18" i="3"/>
  <c r="CW18" i="3"/>
  <c r="DH6" i="6"/>
  <c r="DI6" i="6" s="1"/>
  <c r="DJ6" i="6" s="1"/>
  <c r="DK6" i="6" s="1"/>
  <c r="DL6" i="6" s="1"/>
  <c r="DM6" i="6" s="1"/>
  <c r="DN6" i="6" s="1"/>
  <c r="DG1" i="6"/>
  <c r="CU23" i="6"/>
  <c r="S23" i="6"/>
  <c r="CA23" i="6"/>
  <c r="DE23" i="6"/>
  <c r="BI23" i="6"/>
  <c r="DD23" i="6"/>
  <c r="BH23" i="6"/>
  <c r="DC23" i="6"/>
  <c r="BG23" i="6"/>
  <c r="CY23" i="6"/>
  <c r="BC23" i="6"/>
  <c r="CW23" i="6"/>
  <c r="BA23" i="6"/>
  <c r="E23" i="6"/>
  <c r="AI23" i="6" s="1"/>
  <c r="CF23" i="6"/>
  <c r="AJ23" i="6"/>
  <c r="DF23" i="6"/>
  <c r="DB23" i="6"/>
  <c r="AG23" i="6"/>
  <c r="CX23" i="6"/>
  <c r="CT23" i="6"/>
  <c r="Y23" i="6"/>
  <c r="CP23" i="6"/>
  <c r="CL23" i="6"/>
  <c r="Q23" i="6"/>
  <c r="CH23" i="6"/>
  <c r="CD23" i="6"/>
  <c r="I23" i="6"/>
  <c r="BB23" i="6"/>
  <c r="AX23" i="6"/>
  <c r="CR23" i="6"/>
  <c r="AW23" i="6"/>
  <c r="DP23" i="6"/>
  <c r="DH23" i="6"/>
  <c r="CZ23" i="6"/>
  <c r="DQ23" i="6"/>
  <c r="DI23" i="6"/>
  <c r="BM23" i="6"/>
  <c r="DR23" i="6"/>
  <c r="AI22" i="6"/>
  <c r="S22" i="6"/>
  <c r="BE22" i="6"/>
  <c r="DH22" i="6"/>
  <c r="AH22" i="6"/>
  <c r="AL22" i="6"/>
  <c r="AM22" i="6"/>
  <c r="AN22" i="6"/>
  <c r="AP22" i="6"/>
  <c r="AT22" i="6"/>
  <c r="BK22" i="6"/>
  <c r="ER18" i="3"/>
  <c r="BA18" i="3"/>
  <c r="DM18" i="3"/>
  <c r="DQ22" i="1"/>
  <c r="CS22" i="1"/>
  <c r="BU22" i="1"/>
  <c r="BE22" i="1"/>
  <c r="AG22" i="1"/>
  <c r="I22" i="1"/>
  <c r="DH22" i="1"/>
  <c r="CJ22" i="1"/>
  <c r="BL22" i="1"/>
  <c r="AV22" i="1"/>
  <c r="X22" i="1"/>
  <c r="DO22" i="1"/>
  <c r="CY22" i="1"/>
  <c r="CA22" i="1"/>
  <c r="BC22" i="1"/>
  <c r="AM22" i="1"/>
  <c r="O22" i="1"/>
  <c r="DF22" i="1"/>
  <c r="CP22" i="1"/>
  <c r="BR22" i="1"/>
  <c r="AT22" i="1"/>
  <c r="AD22" i="1"/>
  <c r="F22" i="1"/>
  <c r="CW22" i="1"/>
  <c r="CG22" i="1"/>
  <c r="BI22" i="1"/>
  <c r="AK22" i="1"/>
  <c r="U22" i="1"/>
  <c r="E22" i="1"/>
  <c r="C23" i="1" s="1"/>
  <c r="DT22" i="1"/>
  <c r="CV22" i="1"/>
  <c r="CF22" i="1"/>
  <c r="BP22" i="1"/>
  <c r="BH22" i="1"/>
  <c r="AJ22" i="1"/>
  <c r="T22" i="1"/>
  <c r="DS22" i="1"/>
  <c r="DK22" i="1"/>
  <c r="CM22" i="1"/>
  <c r="BW22" i="1"/>
  <c r="BG22" i="1"/>
  <c r="AY22" i="1"/>
  <c r="AA22" i="1"/>
  <c r="K22" i="1"/>
  <c r="DJ22" i="1"/>
  <c r="DB22" i="1"/>
  <c r="CD22" i="1"/>
  <c r="BN22" i="1"/>
  <c r="AX22" i="1"/>
  <c r="AP22" i="1"/>
  <c r="R22" i="1"/>
  <c r="BQ21" i="1"/>
  <c r="N21" i="1"/>
  <c r="BZ21" i="1"/>
  <c r="W21" i="1"/>
  <c r="CI21" i="1"/>
  <c r="AF21" i="1"/>
  <c r="CR21" i="1"/>
  <c r="AO21" i="1"/>
  <c r="DA21" i="1"/>
  <c r="AX21" i="1"/>
  <c r="DJ21" i="1"/>
  <c r="BG21" i="1"/>
  <c r="DS21" i="1"/>
  <c r="DN18" i="2"/>
  <c r="BH18" i="2"/>
  <c r="DT18" i="2"/>
  <c r="BA18" i="2"/>
  <c r="DM18" i="2"/>
  <c r="AU18" i="2"/>
  <c r="DG18" i="2"/>
  <c r="AN18" i="2"/>
  <c r="CZ18" i="2"/>
  <c r="AI18" i="2"/>
  <c r="CU18" i="2"/>
  <c r="AR22" i="6"/>
  <c r="BQ22" i="6"/>
  <c r="DS22" i="6"/>
  <c r="CC22" i="6"/>
  <c r="AS22" i="6"/>
  <c r="CN22" i="6"/>
  <c r="AQ22" i="6"/>
  <c r="P22" i="6"/>
  <c r="AX22" i="6"/>
  <c r="BB22" i="6"/>
  <c r="BC22" i="6"/>
  <c r="BD22" i="6"/>
  <c r="BF22" i="6"/>
  <c r="BJ22" i="6"/>
  <c r="CA22" i="6"/>
  <c r="BB18" i="3"/>
  <c r="DN18" i="3"/>
  <c r="AB18" i="3"/>
  <c r="CN18" i="3"/>
  <c r="EZ18" i="3"/>
  <c r="BI18" i="3"/>
  <c r="DU18" i="3"/>
  <c r="DH18" i="2"/>
  <c r="AQ18" i="2"/>
  <c r="DC18" i="2"/>
  <c r="AY22" i="6"/>
  <c r="BO22" i="6"/>
  <c r="K22" i="6"/>
  <c r="U22" i="6"/>
  <c r="DQ22" i="6"/>
  <c r="DA22" i="6"/>
  <c r="DC22" i="6"/>
  <c r="AF22" i="6"/>
  <c r="BN22" i="6"/>
  <c r="BR22" i="6"/>
  <c r="BS22" i="6"/>
  <c r="BT22" i="6"/>
  <c r="BV22" i="6"/>
  <c r="BZ22" i="6"/>
  <c r="CQ22" i="6"/>
  <c r="E19" i="3"/>
  <c r="C20" i="3" s="1"/>
  <c r="BQ18" i="3"/>
  <c r="EC18" i="3"/>
  <c r="K21" i="1"/>
  <c r="BW21" i="1"/>
  <c r="E19" i="2"/>
  <c r="C20" i="2" s="1"/>
  <c r="BQ18" i="2"/>
  <c r="EC18" i="2"/>
  <c r="BK18" i="2"/>
  <c r="DW18" i="2"/>
  <c r="BD18" i="2"/>
  <c r="DP18" i="2"/>
  <c r="AY18" i="2"/>
  <c r="DK18" i="2"/>
  <c r="DK22" i="6"/>
  <c r="L22" i="6"/>
  <c r="CF22" i="6"/>
  <c r="CE22" i="6"/>
  <c r="BG22" i="6"/>
  <c r="CM22" i="6"/>
  <c r="AZ22" i="6"/>
  <c r="AV22" i="6"/>
  <c r="CD22" i="6"/>
  <c r="CH22" i="6"/>
  <c r="CI22" i="6"/>
  <c r="CJ22" i="6"/>
  <c r="CL22" i="6"/>
  <c r="CP22" i="6"/>
  <c r="DG22" i="6"/>
  <c r="BF18" i="3"/>
  <c r="F18" i="3"/>
  <c r="BR18" i="3"/>
  <c r="ED18" i="3"/>
  <c r="AR18" i="3"/>
  <c r="DD18" i="3"/>
  <c r="M18" i="3"/>
  <c r="BY18" i="3"/>
  <c r="EK18" i="3"/>
  <c r="DH6" i="1"/>
  <c r="DI6" i="1" s="1"/>
  <c r="DJ6" i="1" s="1"/>
  <c r="DK6" i="1" s="1"/>
  <c r="DL6" i="1" s="1"/>
  <c r="DM6" i="1" s="1"/>
  <c r="DN6" i="1" s="1"/>
  <c r="DG1" i="1"/>
  <c r="DH6" i="2"/>
  <c r="DI6" i="2" s="1"/>
  <c r="DJ6" i="2" s="1"/>
  <c r="DK6" i="2" s="1"/>
  <c r="DL6" i="2" s="1"/>
  <c r="DM6" i="2" s="1"/>
  <c r="DN6" i="2" s="1"/>
  <c r="DG1" i="2"/>
  <c r="DG1" i="3"/>
  <c r="DH6" i="3"/>
  <c r="DI6" i="3" s="1"/>
  <c r="DJ6" i="3" s="1"/>
  <c r="DK6" i="3" s="1"/>
  <c r="DL6" i="3" s="1"/>
  <c r="DM6" i="3" s="1"/>
  <c r="DN6" i="3" s="1"/>
  <c r="E18" i="5"/>
  <c r="C19" i="5" s="1"/>
  <c r="DH6" i="5"/>
  <c r="DI6" i="5" s="1"/>
  <c r="DJ6" i="5" s="1"/>
  <c r="DK6" i="5" s="1"/>
  <c r="DL6" i="5" s="1"/>
  <c r="DM6" i="5" s="1"/>
  <c r="DN6" i="5" s="1"/>
  <c r="DG1" i="5"/>
  <c r="AJ21" i="1"/>
  <c r="CV21" i="1"/>
  <c r="AK21" i="1"/>
  <c r="CW21" i="1"/>
  <c r="AT21" i="1"/>
  <c r="DF21" i="1"/>
  <c r="BC21" i="1"/>
  <c r="DO21" i="1"/>
  <c r="BL21" i="1"/>
  <c r="I21" i="1"/>
  <c r="BU21" i="1"/>
  <c r="R21" i="1"/>
  <c r="CD21" i="1"/>
  <c r="AA21" i="1"/>
  <c r="CM21" i="1"/>
  <c r="DQ18" i="2"/>
  <c r="AO18" i="2"/>
  <c r="CH18" i="2"/>
  <c r="DZ18" i="2"/>
  <c r="I18" i="2"/>
  <c r="AG18" i="2"/>
  <c r="AB18" i="2"/>
  <c r="CN18" i="2"/>
  <c r="U18" i="2"/>
  <c r="CG18" i="2"/>
  <c r="O18" i="2"/>
  <c r="CA18" i="2"/>
  <c r="H18" i="2"/>
  <c r="BT18" i="2"/>
  <c r="EF18" i="2"/>
  <c r="BO18" i="2"/>
  <c r="EA18" i="2"/>
  <c r="AG22" i="6"/>
  <c r="DT22" i="6"/>
  <c r="M22" i="6"/>
  <c r="AB22" i="6"/>
  <c r="AJ22" i="6"/>
  <c r="Q22" i="6"/>
  <c r="CU22" i="6"/>
  <c r="BA22" i="6"/>
  <c r="CB22" i="6"/>
  <c r="DJ22" i="6"/>
  <c r="DN22" i="6"/>
  <c r="DO22" i="6"/>
  <c r="DP22" i="6"/>
  <c r="DR22" i="6"/>
  <c r="O22" i="6"/>
  <c r="BE18" i="3"/>
  <c r="AF18" i="3"/>
  <c r="CI18" i="3"/>
  <c r="AI18" i="3"/>
  <c r="EH18" i="3"/>
  <c r="CK18" i="3"/>
  <c r="AN18" i="3"/>
  <c r="EM18" i="3"/>
  <c r="CM18" i="3"/>
  <c r="AP18" i="3"/>
  <c r="EO18" i="3"/>
  <c r="CE18" i="3"/>
  <c r="V18" i="3"/>
  <c r="CH18" i="3"/>
  <c r="ET18" i="3"/>
  <c r="BH18" i="3"/>
  <c r="DT18" i="3"/>
  <c r="AC18" i="3"/>
  <c r="CO18" i="3"/>
  <c r="FA18" i="3"/>
  <c r="DL6" i="15"/>
  <c r="DM6" i="15" s="1"/>
  <c r="DN6" i="15" s="1"/>
  <c r="DO6" i="15" s="1"/>
  <c r="DP6" i="15" s="1"/>
  <c r="DQ6" i="15" s="1"/>
  <c r="DR6" i="15" s="1"/>
  <c r="DK1" i="15"/>
  <c r="DS19" i="2" l="1"/>
  <c r="P19" i="2"/>
  <c r="AS19" i="2"/>
  <c r="BN19" i="2"/>
  <c r="DU19" i="2"/>
  <c r="DB19" i="2"/>
  <c r="BY18" i="5"/>
  <c r="CE19" i="2"/>
  <c r="AD18" i="5"/>
  <c r="DE19" i="2"/>
  <c r="CF19" i="2"/>
  <c r="BZ19" i="2"/>
  <c r="EC19" i="2"/>
  <c r="DN19" i="2"/>
  <c r="AG19" i="2"/>
  <c r="BS19" i="2"/>
  <c r="DQ18" i="5"/>
  <c r="BU18" i="5"/>
  <c r="DM18" i="5"/>
  <c r="S18" i="5"/>
  <c r="AF18" i="5"/>
  <c r="H18" i="5"/>
  <c r="DG18" i="5"/>
  <c r="CI18" i="5"/>
  <c r="BV18" i="5"/>
  <c r="CK18" i="5"/>
  <c r="P18" i="5"/>
  <c r="Q18" i="5"/>
  <c r="AQ18" i="5"/>
  <c r="AZ18" i="5"/>
  <c r="BB18" i="5"/>
  <c r="CO19" i="2"/>
  <c r="DA19" i="2"/>
  <c r="DT19" i="2"/>
  <c r="DG19" i="2"/>
  <c r="AS18" i="5"/>
  <c r="U18" i="5"/>
  <c r="DR18" i="5"/>
  <c r="CT18" i="5"/>
  <c r="CJ18" i="5"/>
  <c r="O18" i="5"/>
  <c r="AC18" i="5"/>
  <c r="AE18" i="5"/>
  <c r="AY18" i="5"/>
  <c r="BH18" i="5"/>
  <c r="BJ18" i="5"/>
  <c r="I19" i="2"/>
  <c r="S19" i="2"/>
  <c r="N19" i="2"/>
  <c r="EE19" i="2"/>
  <c r="BE18" i="5"/>
  <c r="AG18" i="5"/>
  <c r="I18" i="5"/>
  <c r="DH18" i="5"/>
  <c r="CW18" i="5"/>
  <c r="Z18" i="5"/>
  <c r="AO18" i="5"/>
  <c r="AP18" i="5"/>
  <c r="BO18" i="5"/>
  <c r="BX18" i="5"/>
  <c r="BZ18" i="5"/>
  <c r="DM19" i="2"/>
  <c r="BG19" i="2"/>
  <c r="BB19" i="2"/>
  <c r="AP19" i="2"/>
  <c r="AQ19" i="3"/>
  <c r="BS18" i="5"/>
  <c r="AU18" i="5"/>
  <c r="W18" i="5"/>
  <c r="J18" i="5"/>
  <c r="Y18" i="5"/>
  <c r="AN18" i="5"/>
  <c r="BC18" i="5"/>
  <c r="CC18" i="5"/>
  <c r="CE18" i="5"/>
  <c r="CN18" i="5"/>
  <c r="CP18" i="5"/>
  <c r="AH18" i="5"/>
  <c r="DL18" i="5"/>
  <c r="R18" i="5"/>
  <c r="CS18" i="5"/>
  <c r="BK18" i="5"/>
  <c r="AB18" i="5"/>
  <c r="CD18" i="5"/>
  <c r="BF18" i="5"/>
  <c r="AM18" i="5"/>
  <c r="BA18" i="5"/>
  <c r="BN18" i="5"/>
  <c r="CQ18" i="5"/>
  <c r="DC18" i="5"/>
  <c r="CR18" i="5"/>
  <c r="BT18" i="5"/>
  <c r="AV18" i="5"/>
  <c r="AK18" i="5"/>
  <c r="AX18" i="5"/>
  <c r="BM18" i="5"/>
  <c r="DA18" i="5"/>
  <c r="DP18" i="5"/>
  <c r="DK18" i="5"/>
  <c r="DT18" i="5"/>
  <c r="CB19" i="2"/>
  <c r="T19" i="2"/>
  <c r="G19" i="2"/>
  <c r="DZ19" i="2"/>
  <c r="X18" i="5"/>
  <c r="DN18" i="5"/>
  <c r="G18" i="5"/>
  <c r="DE18" i="5"/>
  <c r="CG18" i="5"/>
  <c r="BI18" i="5"/>
  <c r="AW18" i="5"/>
  <c r="BL18" i="5"/>
  <c r="CA18" i="5"/>
  <c r="DO18" i="5"/>
  <c r="K18" i="5"/>
  <c r="L18" i="5"/>
  <c r="N18" i="5"/>
  <c r="BQ19" i="2"/>
  <c r="BI19" i="2"/>
  <c r="BH19" i="2"/>
  <c r="AU19" i="2"/>
  <c r="E19" i="5"/>
  <c r="C20" i="5" s="1"/>
  <c r="DB18" i="5"/>
  <c r="BG18" i="5"/>
  <c r="DS18" i="5"/>
  <c r="BP18" i="5"/>
  <c r="F18" i="5"/>
  <c r="BR18" i="5"/>
  <c r="CJ19" i="2"/>
  <c r="DH19" i="2"/>
  <c r="EF19" i="2"/>
  <c r="M19" i="2"/>
  <c r="BE19" i="2"/>
  <c r="CZ19" i="2"/>
  <c r="K19" i="2"/>
  <c r="BW19" i="2"/>
  <c r="L19" i="2"/>
  <c r="BX19" i="2"/>
  <c r="F19" i="2"/>
  <c r="BR19" i="2"/>
  <c r="ED19" i="2"/>
  <c r="BK19" i="2"/>
  <c r="DW19" i="2"/>
  <c r="BF19" i="2"/>
  <c r="DR19" i="2"/>
  <c r="AC19" i="3"/>
  <c r="ER19" i="3"/>
  <c r="CW19" i="3"/>
  <c r="BG19" i="3"/>
  <c r="U19" i="3"/>
  <c r="EI19" i="3"/>
  <c r="CN19" i="3"/>
  <c r="AY19" i="3"/>
  <c r="M19" i="3"/>
  <c r="DZ19" i="3"/>
  <c r="CU19" i="3"/>
  <c r="AN19" i="3"/>
  <c r="CZ19" i="3"/>
  <c r="CC19" i="3"/>
  <c r="EO19" i="3"/>
  <c r="BB19" i="3"/>
  <c r="DN19" i="3"/>
  <c r="W19" i="3"/>
  <c r="CI19" i="3"/>
  <c r="EU19" i="3"/>
  <c r="BF22" i="1"/>
  <c r="DR22" i="1"/>
  <c r="BO22" i="1"/>
  <c r="L22" i="1"/>
  <c r="BX22" i="1"/>
  <c r="M22" i="1"/>
  <c r="BY22" i="1"/>
  <c r="V22" i="1"/>
  <c r="CH22" i="1"/>
  <c r="AE22" i="1"/>
  <c r="CQ22" i="1"/>
  <c r="AN22" i="1"/>
  <c r="CZ22" i="1"/>
  <c r="AW22" i="1"/>
  <c r="DI22" i="1"/>
  <c r="BE23" i="6"/>
  <c r="BD23" i="6"/>
  <c r="BZ23" i="6"/>
  <c r="DA23" i="6"/>
  <c r="R23" i="6"/>
  <c r="Z23" i="6"/>
  <c r="AH23" i="6"/>
  <c r="AP23" i="6"/>
  <c r="BP23" i="6"/>
  <c r="CG23" i="6"/>
  <c r="CI23" i="6"/>
  <c r="CM23" i="6"/>
  <c r="CN23" i="6"/>
  <c r="CO23" i="6"/>
  <c r="DG23" i="6"/>
  <c r="E20" i="3"/>
  <c r="C21" i="3" s="1"/>
  <c r="DM19" i="3"/>
  <c r="BV19" i="3"/>
  <c r="AI19" i="3"/>
  <c r="EY19" i="3"/>
  <c r="DD19" i="3"/>
  <c r="BM19" i="3"/>
  <c r="AA19" i="3"/>
  <c r="EP19" i="3"/>
  <c r="DK19" i="3"/>
  <c r="AV19" i="3"/>
  <c r="DH19" i="3"/>
  <c r="CK19" i="3"/>
  <c r="EW19" i="3"/>
  <c r="BJ19" i="3"/>
  <c r="DV19" i="3"/>
  <c r="AE19" i="3"/>
  <c r="CQ19" i="3"/>
  <c r="FC19" i="3"/>
  <c r="DO6" i="6"/>
  <c r="DP6" i="6" s="1"/>
  <c r="DQ6" i="6" s="1"/>
  <c r="DR6" i="6" s="1"/>
  <c r="DS6" i="6" s="1"/>
  <c r="DT6" i="6" s="1"/>
  <c r="DN1" i="6"/>
  <c r="BW18" i="5"/>
  <c r="T18" i="5"/>
  <c r="CF18" i="5"/>
  <c r="V18" i="5"/>
  <c r="CH18" i="5"/>
  <c r="DO6" i="2"/>
  <c r="DP6" i="2" s="1"/>
  <c r="DQ6" i="2" s="1"/>
  <c r="DR6" i="2" s="1"/>
  <c r="DS6" i="2" s="1"/>
  <c r="DT6" i="2" s="1"/>
  <c r="DU6" i="2" s="1"/>
  <c r="DN1" i="2"/>
  <c r="DY19" i="2"/>
  <c r="H19" i="2"/>
  <c r="AF19" i="2"/>
  <c r="BD19" i="2"/>
  <c r="CW19" i="2"/>
  <c r="U19" i="2"/>
  <c r="AA19" i="2"/>
  <c r="CM19" i="2"/>
  <c r="AB19" i="2"/>
  <c r="CN19" i="2"/>
  <c r="V19" i="2"/>
  <c r="CH19" i="2"/>
  <c r="O19" i="2"/>
  <c r="CA19" i="2"/>
  <c r="J19" i="2"/>
  <c r="BV19" i="2"/>
  <c r="EH19" i="2"/>
  <c r="BE19" i="3"/>
  <c r="S19" i="3"/>
  <c r="EC19" i="3"/>
  <c r="CL19" i="3"/>
  <c r="AW19" i="3"/>
  <c r="K19" i="3"/>
  <c r="DT19" i="3"/>
  <c r="BY19" i="3"/>
  <c r="AO19" i="3"/>
  <c r="Q19" i="3"/>
  <c r="EA19" i="3"/>
  <c r="BD19" i="3"/>
  <c r="DP19" i="3"/>
  <c r="CS19" i="3"/>
  <c r="F19" i="3"/>
  <c r="BR19" i="3"/>
  <c r="ED19" i="3"/>
  <c r="AM19" i="3"/>
  <c r="CY19" i="3"/>
  <c r="J22" i="1"/>
  <c r="BV22" i="1"/>
  <c r="S22" i="1"/>
  <c r="CE22" i="1"/>
  <c r="AB22" i="1"/>
  <c r="CN22" i="1"/>
  <c r="AC22" i="1"/>
  <c r="CO22" i="1"/>
  <c r="AL22" i="1"/>
  <c r="CX22" i="1"/>
  <c r="AU22" i="1"/>
  <c r="DG22" i="1"/>
  <c r="BD22" i="1"/>
  <c r="DP22" i="1"/>
  <c r="BM22" i="1"/>
  <c r="AN23" i="6"/>
  <c r="BJ23" i="6"/>
  <c r="BN23" i="6"/>
  <c r="DJ23" i="6"/>
  <c r="V23" i="6"/>
  <c r="AD23" i="6"/>
  <c r="AL23" i="6"/>
  <c r="AT23" i="6"/>
  <c r="CV23" i="6"/>
  <c r="DM23" i="6"/>
  <c r="DO23" i="6"/>
  <c r="DS23" i="6"/>
  <c r="DT23" i="6"/>
  <c r="O23" i="6"/>
  <c r="E20" i="2"/>
  <c r="C21" i="2" s="1"/>
  <c r="AC19" i="2"/>
  <c r="BA19" i="2"/>
  <c r="BY19" i="2"/>
  <c r="DQ19" i="2"/>
  <c r="AO19" i="2"/>
  <c r="AI19" i="2"/>
  <c r="CU19" i="2"/>
  <c r="AJ19" i="2"/>
  <c r="CV19" i="2"/>
  <c r="AD19" i="2"/>
  <c r="CP19" i="2"/>
  <c r="W19" i="2"/>
  <c r="CI19" i="2"/>
  <c r="R19" i="2"/>
  <c r="CD19" i="2"/>
  <c r="BP19" i="3"/>
  <c r="AG19" i="3"/>
  <c r="ES19" i="3"/>
  <c r="DB19" i="3"/>
  <c r="BH19" i="3"/>
  <c r="Y19" i="3"/>
  <c r="EJ19" i="3"/>
  <c r="CO19" i="3"/>
  <c r="AZ19" i="3"/>
  <c r="AB19" i="3"/>
  <c r="EQ19" i="3"/>
  <c r="BL19" i="3"/>
  <c r="DX19" i="3"/>
  <c r="DA19" i="3"/>
  <c r="N19" i="3"/>
  <c r="BZ19" i="3"/>
  <c r="EL19" i="3"/>
  <c r="AU19" i="3"/>
  <c r="DG19" i="3"/>
  <c r="CR35" i="6"/>
  <c r="BB35" i="6"/>
  <c r="L35" i="6"/>
  <c r="CJ33" i="6"/>
  <c r="AT33" i="6"/>
  <c r="CI35" i="6"/>
  <c r="AS35" i="6"/>
  <c r="DQ33" i="6"/>
  <c r="CA33" i="6"/>
  <c r="AK33" i="6"/>
  <c r="CH35" i="6"/>
  <c r="AR35" i="6"/>
  <c r="DP33" i="6"/>
  <c r="BZ33" i="6"/>
  <c r="AJ33" i="6"/>
  <c r="DO35" i="6"/>
  <c r="BY35" i="6"/>
  <c r="AG35" i="6"/>
  <c r="DG33" i="6"/>
  <c r="BQ33" i="6"/>
  <c r="Y33" i="6"/>
  <c r="DN35" i="6"/>
  <c r="BX35" i="6"/>
  <c r="AF35" i="6"/>
  <c r="DF33" i="6"/>
  <c r="BP33" i="6"/>
  <c r="X33" i="6"/>
  <c r="DE35" i="6"/>
  <c r="BM35" i="6"/>
  <c r="W35" i="6"/>
  <c r="CW33" i="6"/>
  <c r="BE33" i="6"/>
  <c r="O33" i="6"/>
  <c r="DD35" i="6"/>
  <c r="BL35" i="6"/>
  <c r="V35" i="6"/>
  <c r="CV33" i="6"/>
  <c r="BD33" i="6"/>
  <c r="N33" i="6"/>
  <c r="CK33" i="6"/>
  <c r="AU33" i="6"/>
  <c r="C33" i="6"/>
  <c r="CS35" i="6"/>
  <c r="BC35" i="6"/>
  <c r="M35" i="6"/>
  <c r="CP37" i="6"/>
  <c r="BU37" i="6"/>
  <c r="DK37" i="6"/>
  <c r="AY37" i="6"/>
  <c r="DB37" i="6"/>
  <c r="AP37" i="6"/>
  <c r="CJ37" i="6"/>
  <c r="DO37" i="6"/>
  <c r="AG37" i="6"/>
  <c r="BL37" i="6"/>
  <c r="CO37" i="6"/>
  <c r="G37" i="6"/>
  <c r="AV37" i="6"/>
  <c r="CK37" i="6"/>
  <c r="DS35" i="6"/>
  <c r="BG35" i="6"/>
  <c r="DJ35" i="6"/>
  <c r="AX35" i="6"/>
  <c r="CX35" i="6"/>
  <c r="P35" i="6"/>
  <c r="BE35" i="6"/>
  <c r="CJ35" i="6"/>
  <c r="DM35" i="6"/>
  <c r="AE35" i="6"/>
  <c r="BJ35" i="6"/>
  <c r="CO35" i="6"/>
  <c r="G35" i="6"/>
  <c r="BO33" i="6"/>
  <c r="DR33" i="6"/>
  <c r="BF33" i="6"/>
  <c r="CZ33" i="6"/>
  <c r="T33" i="6"/>
  <c r="AM33" i="6"/>
  <c r="BR33" i="6"/>
  <c r="CS33" i="6"/>
  <c r="M33" i="6"/>
  <c r="DN33" i="6"/>
  <c r="AF33" i="6"/>
  <c r="AO33" i="6"/>
  <c r="AZ37" i="6"/>
  <c r="AE37" i="6"/>
  <c r="BK37" i="6"/>
  <c r="DC37" i="6"/>
  <c r="AQ37" i="6"/>
  <c r="CT37" i="6"/>
  <c r="AH37" i="6"/>
  <c r="BZ37" i="6"/>
  <c r="DE37" i="6"/>
  <c r="W37" i="6"/>
  <c r="BB37" i="6"/>
  <c r="CC37" i="6"/>
  <c r="DT37" i="6"/>
  <c r="AL37" i="6"/>
  <c r="CA37" i="6"/>
  <c r="DK35" i="6"/>
  <c r="AY35" i="6"/>
  <c r="DB35" i="6"/>
  <c r="AP35" i="6"/>
  <c r="CN35" i="6"/>
  <c r="F35" i="6"/>
  <c r="AU35" i="6"/>
  <c r="BZ35" i="6"/>
  <c r="DA35" i="6"/>
  <c r="U35" i="6"/>
  <c r="AZ35" i="6"/>
  <c r="CC35" i="6"/>
  <c r="DS33" i="6"/>
  <c r="BG33" i="6"/>
  <c r="DJ33" i="6"/>
  <c r="AX33" i="6"/>
  <c r="CP33" i="6"/>
  <c r="H33" i="6"/>
  <c r="DI33" i="6"/>
  <c r="AC33" i="6"/>
  <c r="BH33" i="6"/>
  <c r="CI33" i="6"/>
  <c r="DD33" i="6"/>
  <c r="V33" i="6"/>
  <c r="DM33" i="6"/>
  <c r="AE33" i="6"/>
  <c r="CZ37" i="6"/>
  <c r="H37" i="6"/>
  <c r="DL37" i="6"/>
  <c r="U37" i="6"/>
  <c r="CU37" i="6"/>
  <c r="AI37" i="6"/>
  <c r="CL37" i="6"/>
  <c r="Z37" i="6"/>
  <c r="BP37" i="6"/>
  <c r="CS37" i="6"/>
  <c r="M37" i="6"/>
  <c r="AR37" i="6"/>
  <c r="BS37" i="6"/>
  <c r="DH37" i="6"/>
  <c r="AB37" i="6"/>
  <c r="BQ37" i="6"/>
  <c r="DC35" i="6"/>
  <c r="AQ35" i="6"/>
  <c r="CT35" i="6"/>
  <c r="AH35" i="6"/>
  <c r="CB35" i="6"/>
  <c r="DQ35" i="6"/>
  <c r="AK35" i="6"/>
  <c r="BP35" i="6"/>
  <c r="CQ35" i="6"/>
  <c r="I35" i="6"/>
  <c r="AN35" i="6"/>
  <c r="BS35" i="6"/>
  <c r="DK33" i="6"/>
  <c r="AY33" i="6"/>
  <c r="DB33" i="6"/>
  <c r="AP33" i="6"/>
  <c r="CF33" i="6"/>
  <c r="CY33" i="6"/>
  <c r="Q33" i="6"/>
  <c r="AV33" i="6"/>
  <c r="BY33" i="6"/>
  <c r="CR33" i="6"/>
  <c r="L33" i="6"/>
  <c r="DA33" i="6"/>
  <c r="U33" i="6"/>
  <c r="BJ37" i="6"/>
  <c r="CG37" i="6"/>
  <c r="BT37" i="6"/>
  <c r="CM37" i="6"/>
  <c r="AA37" i="6"/>
  <c r="CD37" i="6"/>
  <c r="R37" i="6"/>
  <c r="BD37" i="6"/>
  <c r="CI37" i="6"/>
  <c r="DN37" i="6"/>
  <c r="AF37" i="6"/>
  <c r="BI37" i="6"/>
  <c r="CX37" i="6"/>
  <c r="P37" i="6"/>
  <c r="BE37" i="6"/>
  <c r="CU35" i="6"/>
  <c r="AI35" i="6"/>
  <c r="CL35" i="6"/>
  <c r="Z35" i="6"/>
  <c r="BR35" i="6"/>
  <c r="DG35" i="6"/>
  <c r="Y35" i="6"/>
  <c r="BD35" i="6"/>
  <c r="CG35" i="6"/>
  <c r="DL35" i="6"/>
  <c r="AD35" i="6"/>
  <c r="BI35" i="6"/>
  <c r="DC33" i="6"/>
  <c r="AQ33" i="6"/>
  <c r="CT33" i="6"/>
  <c r="AH33" i="6"/>
  <c r="BT33" i="6"/>
  <c r="CO33" i="6"/>
  <c r="G33" i="6"/>
  <c r="DT33" i="6"/>
  <c r="AL33" i="6"/>
  <c r="BM33" i="6"/>
  <c r="CH33" i="6"/>
  <c r="CQ33" i="6"/>
  <c r="I33" i="6"/>
  <c r="C35" i="6"/>
  <c r="T37" i="6"/>
  <c r="AO37" i="6"/>
  <c r="AD37" i="6"/>
  <c r="CQ37" i="6"/>
  <c r="CF37" i="6"/>
  <c r="BA37" i="6"/>
  <c r="AN37" i="6"/>
  <c r="I37" i="6"/>
  <c r="DM37" i="6"/>
  <c r="DA37" i="6"/>
  <c r="DS37" i="6"/>
  <c r="BG37" i="6"/>
  <c r="DJ37" i="6"/>
  <c r="AX37" i="6"/>
  <c r="CV37" i="6"/>
  <c r="N37" i="6"/>
  <c r="AS37" i="6"/>
  <c r="BX37" i="6"/>
  <c r="CY37" i="6"/>
  <c r="Q37" i="6"/>
  <c r="BH37" i="6"/>
  <c r="CW37" i="6"/>
  <c r="O37" i="6"/>
  <c r="BO35" i="6"/>
  <c r="DR35" i="6"/>
  <c r="BF35" i="6"/>
  <c r="DH35" i="6"/>
  <c r="AB35" i="6"/>
  <c r="BQ35" i="6"/>
  <c r="CV35" i="6"/>
  <c r="N35" i="6"/>
  <c r="AO35" i="6"/>
  <c r="BT35" i="6"/>
  <c r="CY35" i="6"/>
  <c r="Q35" i="6"/>
  <c r="BW33" i="6"/>
  <c r="K33" i="6"/>
  <c r="BN33" i="6"/>
  <c r="DL33" i="6"/>
  <c r="AD33" i="6"/>
  <c r="AW33" i="6"/>
  <c r="CB33" i="6"/>
  <c r="DE33" i="6"/>
  <c r="W33" i="6"/>
  <c r="AR33" i="6"/>
  <c r="BA33" i="6"/>
  <c r="K37" i="6"/>
  <c r="AT37" i="6"/>
  <c r="CH37" i="6"/>
  <c r="CB37" i="6"/>
  <c r="CM35" i="6"/>
  <c r="BN35" i="6"/>
  <c r="CK35" i="6"/>
  <c r="BU35" i="6"/>
  <c r="DI35" i="6"/>
  <c r="AA33" i="6"/>
  <c r="BJ33" i="6"/>
  <c r="AG33" i="6"/>
  <c r="BL33" i="6"/>
  <c r="CG33" i="6"/>
  <c r="C37" i="6"/>
  <c r="DR37" i="6"/>
  <c r="AJ37" i="6"/>
  <c r="V37" i="6"/>
  <c r="BR37" i="6"/>
  <c r="CE35" i="6"/>
  <c r="R35" i="6"/>
  <c r="CA35" i="6"/>
  <c r="BK35" i="6"/>
  <c r="AW35" i="6"/>
  <c r="S33" i="6"/>
  <c r="AZ33" i="6"/>
  <c r="CC33" i="6"/>
  <c r="BB33" i="6"/>
  <c r="BU33" i="6"/>
  <c r="BV37" i="6"/>
  <c r="X37" i="6"/>
  <c r="L37" i="6"/>
  <c r="F37" i="6"/>
  <c r="BW35" i="6"/>
  <c r="J35" i="6"/>
  <c r="O35" i="6"/>
  <c r="BA35" i="6"/>
  <c r="AM35" i="6"/>
  <c r="CL33" i="6"/>
  <c r="AN33" i="6"/>
  <c r="BS33" i="6"/>
  <c r="DH33" i="6"/>
  <c r="BK33" i="6"/>
  <c r="BN37" i="6"/>
  <c r="BY37" i="6"/>
  <c r="DI37" i="6"/>
  <c r="DQ37" i="6"/>
  <c r="AA35" i="6"/>
  <c r="DT35" i="6"/>
  <c r="DP35" i="6"/>
  <c r="CZ35" i="6"/>
  <c r="AC35" i="6"/>
  <c r="CD33" i="6"/>
  <c r="BI33" i="6"/>
  <c r="CX33" i="6"/>
  <c r="CE37" i="6"/>
  <c r="BF37" i="6"/>
  <c r="BM37" i="6"/>
  <c r="AW37" i="6"/>
  <c r="DG37" i="6"/>
  <c r="S35" i="6"/>
  <c r="BH35" i="6"/>
  <c r="DF35" i="6"/>
  <c r="CP35" i="6"/>
  <c r="CU33" i="6"/>
  <c r="BV33" i="6"/>
  <c r="CN33" i="6"/>
  <c r="BW37" i="6"/>
  <c r="J37" i="6"/>
  <c r="BC37" i="6"/>
  <c r="AM37" i="6"/>
  <c r="AU37" i="6"/>
  <c r="K35" i="6"/>
  <c r="AV35" i="6"/>
  <c r="AT35" i="6"/>
  <c r="CF35" i="6"/>
  <c r="CM33" i="6"/>
  <c r="Z33" i="6"/>
  <c r="AB33" i="6"/>
  <c r="DO33" i="6"/>
  <c r="BO37" i="6"/>
  <c r="DP37" i="6"/>
  <c r="DD37" i="6"/>
  <c r="AC37" i="6"/>
  <c r="AK37" i="6"/>
  <c r="CD35" i="6"/>
  <c r="AL35" i="6"/>
  <c r="AJ35" i="6"/>
  <c r="T35" i="6"/>
  <c r="CE33" i="6"/>
  <c r="R33" i="6"/>
  <c r="P33" i="6"/>
  <c r="BC33" i="6"/>
  <c r="S37" i="6"/>
  <c r="DF37" i="6"/>
  <c r="CR37" i="6"/>
  <c r="CN37" i="6"/>
  <c r="Y37" i="6"/>
  <c r="BV35" i="6"/>
  <c r="CW35" i="6"/>
  <c r="X35" i="6"/>
  <c r="H35" i="6"/>
  <c r="AI33" i="6"/>
  <c r="J33" i="6"/>
  <c r="F33" i="6"/>
  <c r="AS33" i="6"/>
  <c r="BX33" i="6"/>
  <c r="C24" i="6"/>
  <c r="G23" i="6"/>
  <c r="K23" i="6"/>
  <c r="L23" i="6"/>
  <c r="M23" i="6"/>
  <c r="AE23" i="6"/>
  <c r="AY23" i="6"/>
  <c r="DI18" i="5"/>
  <c r="CY18" i="5"/>
  <c r="CL18" i="5"/>
  <c r="CB18" i="5"/>
  <c r="BD18" i="5"/>
  <c r="AA18" i="5"/>
  <c r="CM18" i="5"/>
  <c r="AJ18" i="5"/>
  <c r="CV18" i="5"/>
  <c r="AL18" i="5"/>
  <c r="CX18" i="5"/>
  <c r="DO6" i="1"/>
  <c r="DP6" i="1" s="1"/>
  <c r="DQ6" i="1" s="1"/>
  <c r="DR6" i="1" s="1"/>
  <c r="DS6" i="1" s="1"/>
  <c r="DT6" i="1" s="1"/>
  <c r="DN1" i="1"/>
  <c r="Y19" i="2"/>
  <c r="AW19" i="2"/>
  <c r="BU19" i="2"/>
  <c r="CS19" i="2"/>
  <c r="Q19" i="2"/>
  <c r="BL19" i="2"/>
  <c r="AQ19" i="2"/>
  <c r="DC19" i="2"/>
  <c r="AR19" i="2"/>
  <c r="DD19" i="2"/>
  <c r="AL19" i="2"/>
  <c r="CX19" i="2"/>
  <c r="AE19" i="2"/>
  <c r="CQ19" i="2"/>
  <c r="Z19" i="2"/>
  <c r="CL19" i="2"/>
  <c r="CF19" i="3"/>
  <c r="AR19" i="3"/>
  <c r="I19" i="3"/>
  <c r="DR19" i="3"/>
  <c r="BW19" i="3"/>
  <c r="AJ19" i="3"/>
  <c r="EZ19" i="3"/>
  <c r="DE19" i="3"/>
  <c r="BN19" i="3"/>
  <c r="AP19" i="3"/>
  <c r="H19" i="3"/>
  <c r="BT19" i="3"/>
  <c r="EF19" i="3"/>
  <c r="DI19" i="3"/>
  <c r="V19" i="3"/>
  <c r="CH19" i="3"/>
  <c r="ET19" i="3"/>
  <c r="BC19" i="3"/>
  <c r="DO19" i="3"/>
  <c r="Z22" i="1"/>
  <c r="CL22" i="1"/>
  <c r="AI22" i="1"/>
  <c r="CU22" i="1"/>
  <c r="AR22" i="1"/>
  <c r="DD22" i="1"/>
  <c r="AS22" i="1"/>
  <c r="DE22" i="1"/>
  <c r="BB22" i="1"/>
  <c r="DN22" i="1"/>
  <c r="BK22" i="1"/>
  <c r="H22" i="1"/>
  <c r="BT22" i="1"/>
  <c r="Q22" i="1"/>
  <c r="CC22" i="1"/>
  <c r="F23" i="6"/>
  <c r="J23" i="6"/>
  <c r="BV23" i="6"/>
  <c r="DN23" i="6"/>
  <c r="H23" i="6"/>
  <c r="P23" i="6"/>
  <c r="X23" i="6"/>
  <c r="DL23" i="6"/>
  <c r="U23" i="6"/>
  <c r="W23" i="6"/>
  <c r="AA23" i="6"/>
  <c r="AB23" i="6"/>
  <c r="AC23" i="6"/>
  <c r="AU23" i="6"/>
  <c r="BO23" i="6"/>
  <c r="M18" i="5"/>
  <c r="DJ18" i="5"/>
  <c r="CZ18" i="5"/>
  <c r="CO18" i="5"/>
  <c r="BQ18" i="5"/>
  <c r="AI18" i="5"/>
  <c r="CU18" i="5"/>
  <c r="AR18" i="5"/>
  <c r="DD18" i="5"/>
  <c r="AT18" i="5"/>
  <c r="DF18" i="5"/>
  <c r="X19" i="2"/>
  <c r="AV19" i="2"/>
  <c r="BT19" i="2"/>
  <c r="CR19" i="2"/>
  <c r="DP19" i="2"/>
  <c r="AN19" i="2"/>
  <c r="CG19" i="2"/>
  <c r="AY19" i="2"/>
  <c r="DK19" i="2"/>
  <c r="AZ19" i="2"/>
  <c r="DL19" i="2"/>
  <c r="AT19" i="2"/>
  <c r="DF19" i="2"/>
  <c r="AM19" i="2"/>
  <c r="CY19" i="2"/>
  <c r="AH19" i="2"/>
  <c r="CT19" i="2"/>
  <c r="CV19" i="3"/>
  <c r="BF19" i="3"/>
  <c r="T19" i="3"/>
  <c r="EH19" i="3"/>
  <c r="CM19" i="3"/>
  <c r="AX19" i="3"/>
  <c r="L19" i="3"/>
  <c r="DU19" i="3"/>
  <c r="CD19" i="3"/>
  <c r="BA19" i="3"/>
  <c r="P19" i="3"/>
  <c r="CB19" i="3"/>
  <c r="EN19" i="3"/>
  <c r="DQ19" i="3"/>
  <c r="AD19" i="3"/>
  <c r="CP19" i="3"/>
  <c r="FB19" i="3"/>
  <c r="BK19" i="3"/>
  <c r="DW19" i="3"/>
  <c r="AH22" i="1"/>
  <c r="CT22" i="1"/>
  <c r="AQ22" i="1"/>
  <c r="DC22" i="1"/>
  <c r="AZ22" i="1"/>
  <c r="DL22" i="1"/>
  <c r="BA22" i="1"/>
  <c r="DM22" i="1"/>
  <c r="BJ22" i="1"/>
  <c r="G22" i="1"/>
  <c r="BS22" i="1"/>
  <c r="P22" i="1"/>
  <c r="CB22" i="1"/>
  <c r="Y22" i="1"/>
  <c r="CK22" i="1"/>
  <c r="AV23" i="6"/>
  <c r="BR23" i="6"/>
  <c r="AF23" i="6"/>
  <c r="BL23" i="6"/>
  <c r="BT23" i="6"/>
  <c r="CB23" i="6"/>
  <c r="CJ23" i="6"/>
  <c r="T23" i="6"/>
  <c r="AK23" i="6"/>
  <c r="AM23" i="6"/>
  <c r="AQ23" i="6"/>
  <c r="AR23" i="6"/>
  <c r="AS23" i="6"/>
  <c r="BK23" i="6"/>
  <c r="CE23" i="6"/>
  <c r="DO6" i="5"/>
  <c r="DP6" i="5" s="1"/>
  <c r="DQ6" i="5" s="1"/>
  <c r="DR6" i="5" s="1"/>
  <c r="DS6" i="5" s="1"/>
  <c r="DT6" i="5" s="1"/>
  <c r="DN1" i="5"/>
  <c r="DL19" i="3"/>
  <c r="BQ19" i="3"/>
  <c r="AH19" i="3"/>
  <c r="EX19" i="3"/>
  <c r="DC19" i="3"/>
  <c r="BI19" i="3"/>
  <c r="Z19" i="3"/>
  <c r="EK19" i="3"/>
  <c r="CT19" i="3"/>
  <c r="BO19" i="3"/>
  <c r="X19" i="3"/>
  <c r="CJ19" i="3"/>
  <c r="EV19" i="3"/>
  <c r="DY19" i="3"/>
  <c r="AL19" i="3"/>
  <c r="CX19" i="3"/>
  <c r="G19" i="3"/>
  <c r="BS19" i="3"/>
  <c r="EE19" i="3"/>
  <c r="DO6" i="3"/>
  <c r="DP6" i="3" s="1"/>
  <c r="DQ6" i="3" s="1"/>
  <c r="DR6" i="3" s="1"/>
  <c r="DS6" i="3" s="1"/>
  <c r="DT6" i="3" s="1"/>
  <c r="DU6" i="3" s="1"/>
  <c r="DN1" i="3"/>
  <c r="BM19" i="2"/>
  <c r="CK19" i="2"/>
  <c r="DI19" i="2"/>
  <c r="EG19" i="2"/>
  <c r="AK19" i="2"/>
  <c r="CC19" i="2"/>
  <c r="DX19" i="2"/>
  <c r="BO19" i="2"/>
  <c r="EA19" i="2"/>
  <c r="BP19" i="2"/>
  <c r="EB19" i="2"/>
  <c r="BJ19" i="2"/>
  <c r="DV19" i="2"/>
  <c r="BC19" i="2"/>
  <c r="DO19" i="2"/>
  <c r="AX19" i="2"/>
  <c r="DJ19" i="2"/>
  <c r="R19" i="3"/>
  <c r="EB19" i="3"/>
  <c r="CG19" i="3"/>
  <c r="AS19" i="3"/>
  <c r="J19" i="3"/>
  <c r="DS19" i="3"/>
  <c r="BX19" i="3"/>
  <c r="AK19" i="3"/>
  <c r="FA19" i="3"/>
  <c r="DJ19" i="3"/>
  <c r="CE19" i="3"/>
  <c r="AF19" i="3"/>
  <c r="CR19" i="3"/>
  <c r="BU19" i="3"/>
  <c r="EG19" i="3"/>
  <c r="AT19" i="3"/>
  <c r="DF19" i="3"/>
  <c r="O19" i="3"/>
  <c r="CA19" i="3"/>
  <c r="EM19" i="3"/>
  <c r="DN23" i="1"/>
  <c r="DF23" i="1"/>
  <c r="CP23" i="1"/>
  <c r="BR23" i="1"/>
  <c r="BJ23" i="1"/>
  <c r="BB23" i="1"/>
  <c r="AT23" i="1"/>
  <c r="AD23" i="1"/>
  <c r="F23" i="1"/>
  <c r="DM23" i="1"/>
  <c r="DE23" i="1"/>
  <c r="CW23" i="1"/>
  <c r="CG23" i="1"/>
  <c r="BI23" i="1"/>
  <c r="BA23" i="1"/>
  <c r="AS23" i="1"/>
  <c r="AK23" i="1"/>
  <c r="U23" i="1"/>
  <c r="E23" i="1"/>
  <c r="DT23" i="1"/>
  <c r="DL23" i="1"/>
  <c r="DD23" i="1"/>
  <c r="CV23" i="1"/>
  <c r="CF23" i="1"/>
  <c r="BP23" i="1"/>
  <c r="BH23" i="1"/>
  <c r="AZ23" i="1"/>
  <c r="AR23" i="1"/>
  <c r="AJ23" i="1"/>
  <c r="T23" i="1"/>
  <c r="DS23" i="1"/>
  <c r="DK23" i="1"/>
  <c r="DC23" i="1"/>
  <c r="CU23" i="1"/>
  <c r="CM23" i="1"/>
  <c r="BW23" i="1"/>
  <c r="BG23" i="1"/>
  <c r="AY23" i="1"/>
  <c r="AQ23" i="1"/>
  <c r="AI23" i="1"/>
  <c r="AA23" i="1"/>
  <c r="K23" i="1"/>
  <c r="DR23" i="1"/>
  <c r="DJ23" i="1"/>
  <c r="DB23" i="1"/>
  <c r="CT23" i="1"/>
  <c r="CL23" i="1"/>
  <c r="CD23" i="1"/>
  <c r="BN23" i="1"/>
  <c r="BF23" i="1"/>
  <c r="AX23" i="1"/>
  <c r="AP23" i="1"/>
  <c r="AH23" i="1"/>
  <c r="Z23" i="1"/>
  <c r="R23" i="1"/>
  <c r="DQ23" i="1"/>
  <c r="DI23" i="1"/>
  <c r="DA23" i="1"/>
  <c r="CS23" i="1"/>
  <c r="CK23" i="1"/>
  <c r="CC23" i="1"/>
  <c r="BU23" i="1"/>
  <c r="BE23" i="1"/>
  <c r="AW23" i="1"/>
  <c r="AO23" i="1"/>
  <c r="AG23" i="1"/>
  <c r="Y23" i="1"/>
  <c r="Q23" i="1"/>
  <c r="I23" i="1"/>
  <c r="DH23" i="1"/>
  <c r="CZ23" i="1"/>
  <c r="CR23" i="1"/>
  <c r="CJ23" i="1"/>
  <c r="CB23" i="1"/>
  <c r="BT23" i="1"/>
  <c r="BL23" i="1"/>
  <c r="AV23" i="1"/>
  <c r="AN23" i="1"/>
  <c r="AF23" i="1"/>
  <c r="X23" i="1"/>
  <c r="P23" i="1"/>
  <c r="H23" i="1"/>
  <c r="DO23" i="1"/>
  <c r="CY23" i="1"/>
  <c r="CQ23" i="1"/>
  <c r="CI23" i="1"/>
  <c r="CA23" i="1"/>
  <c r="BS23" i="1"/>
  <c r="BK23" i="1"/>
  <c r="BC23" i="1"/>
  <c r="AM23" i="1"/>
  <c r="AE23" i="1"/>
  <c r="W23" i="1"/>
  <c r="O23" i="1"/>
  <c r="G23" i="1"/>
  <c r="BQ22" i="1"/>
  <c r="N22" i="1"/>
  <c r="BZ22" i="1"/>
  <c r="W22" i="1"/>
  <c r="CI22" i="1"/>
  <c r="AF22" i="1"/>
  <c r="CR22" i="1"/>
  <c r="AO22" i="1"/>
  <c r="DA22" i="1"/>
  <c r="N23" i="6"/>
  <c r="BF23" i="6"/>
  <c r="AO23" i="6"/>
  <c r="BU23" i="6"/>
  <c r="CC23" i="6"/>
  <c r="CK23" i="6"/>
  <c r="CS23" i="6"/>
  <c r="AZ23" i="6"/>
  <c r="BQ23" i="6"/>
  <c r="BS23" i="6"/>
  <c r="BW23" i="6"/>
  <c r="BX23" i="6"/>
  <c r="BY23" i="6"/>
  <c r="CQ23" i="6"/>
  <c r="DK23" i="6"/>
  <c r="DS6" i="15"/>
  <c r="DT6" i="15" s="1"/>
  <c r="DU6" i="15" s="1"/>
  <c r="DV6" i="15" s="1"/>
  <c r="DW6" i="15" s="1"/>
  <c r="DX6" i="15" s="1"/>
  <c r="DR1" i="15"/>
  <c r="CN19" i="5" l="1"/>
  <c r="DN19" i="5"/>
  <c r="BX19" i="5"/>
  <c r="DP19" i="5"/>
  <c r="AZ19" i="5"/>
  <c r="CY19" i="5"/>
  <c r="AH19" i="5"/>
  <c r="AT19" i="5"/>
  <c r="BY19" i="5"/>
  <c r="F19" i="5"/>
  <c r="S19" i="5"/>
  <c r="CX19" i="5"/>
  <c r="AE19" i="5"/>
  <c r="AX19" i="5"/>
  <c r="DM19" i="5"/>
  <c r="CV19" i="5"/>
  <c r="BJ19" i="5"/>
  <c r="DB19" i="5"/>
  <c r="DG19" i="5"/>
  <c r="K19" i="5"/>
  <c r="AM20" i="2"/>
  <c r="DD20" i="2"/>
  <c r="EF20" i="2"/>
  <c r="DZ20" i="2"/>
  <c r="AD20" i="2"/>
  <c r="CH20" i="3"/>
  <c r="I19" i="5"/>
  <c r="BH20" i="2"/>
  <c r="DX20" i="2"/>
  <c r="L20" i="2"/>
  <c r="AY20" i="2"/>
  <c r="ED20" i="2"/>
  <c r="CP20" i="3"/>
  <c r="CB20" i="2"/>
  <c r="G20" i="2"/>
  <c r="R20" i="2"/>
  <c r="BG20" i="2"/>
  <c r="Y20" i="2"/>
  <c r="BK20" i="3"/>
  <c r="DT20" i="2"/>
  <c r="AB20" i="2"/>
  <c r="Z20" i="2"/>
  <c r="CE20" i="2"/>
  <c r="DY20" i="2"/>
  <c r="T20" i="2"/>
  <c r="AV20" i="2"/>
  <c r="AP20" i="2"/>
  <c r="O20" i="2"/>
  <c r="DW20" i="2"/>
  <c r="BS20" i="2"/>
  <c r="AX20" i="2"/>
  <c r="M20" i="2"/>
  <c r="AJ20" i="2"/>
  <c r="AR20" i="2"/>
  <c r="BT20" i="2"/>
  <c r="DB20" i="2"/>
  <c r="AK20" i="2"/>
  <c r="P20" i="2"/>
  <c r="BL20" i="2"/>
  <c r="CQ20" i="2"/>
  <c r="DJ20" i="2"/>
  <c r="F20" i="2"/>
  <c r="CA20" i="2"/>
  <c r="BK20" i="2"/>
  <c r="X20" i="2"/>
  <c r="DH20" i="2"/>
  <c r="BC20" i="2"/>
  <c r="BF20" i="2"/>
  <c r="K20" i="2"/>
  <c r="CU20" i="2"/>
  <c r="AS20" i="2"/>
  <c r="AL20" i="2"/>
  <c r="AG20" i="2"/>
  <c r="CV20" i="2"/>
  <c r="CF20" i="2"/>
  <c r="AU20" i="2"/>
  <c r="EE20" i="2"/>
  <c r="BX20" i="2"/>
  <c r="BN20" i="2"/>
  <c r="S20" i="2"/>
  <c r="DC20" i="2"/>
  <c r="BY20" i="2"/>
  <c r="BR20" i="2"/>
  <c r="BM20" i="2"/>
  <c r="AJ20" i="3"/>
  <c r="AS19" i="5"/>
  <c r="CG19" i="5"/>
  <c r="AF19" i="5"/>
  <c r="AO19" i="5"/>
  <c r="AY19" i="5"/>
  <c r="CZ20" i="2"/>
  <c r="CJ20" i="2"/>
  <c r="AE20" i="2"/>
  <c r="CR20" i="2"/>
  <c r="CD20" i="2"/>
  <c r="AI20" i="2"/>
  <c r="DK20" i="2"/>
  <c r="CO20" i="2"/>
  <c r="CH20" i="2"/>
  <c r="CC20" i="2"/>
  <c r="CI19" i="5"/>
  <c r="DL19" i="5"/>
  <c r="O19" i="5"/>
  <c r="AD19" i="5"/>
  <c r="BF19" i="5"/>
  <c r="DF19" i="5"/>
  <c r="AV19" i="5"/>
  <c r="BE19" i="5"/>
  <c r="BO19" i="5"/>
  <c r="DG20" i="2"/>
  <c r="AZ20" i="2"/>
  <c r="DO20" i="2"/>
  <c r="CL20" i="2"/>
  <c r="AQ20" i="2"/>
  <c r="DS20" i="2"/>
  <c r="CW20" i="2"/>
  <c r="CP20" i="2"/>
  <c r="CK20" i="2"/>
  <c r="BC20" i="3"/>
  <c r="DJ19" i="5"/>
  <c r="N19" i="5"/>
  <c r="AC19" i="5"/>
  <c r="BC19" i="5"/>
  <c r="BR19" i="5"/>
  <c r="DT19" i="5"/>
  <c r="BD19" i="5"/>
  <c r="BM19" i="5"/>
  <c r="BW19" i="5"/>
  <c r="DE20" i="2"/>
  <c r="CX20" i="2"/>
  <c r="CS20" i="2"/>
  <c r="AB20" i="3"/>
  <c r="L19" i="5"/>
  <c r="M19" i="5"/>
  <c r="AB19" i="5"/>
  <c r="BB19" i="5"/>
  <c r="BQ19" i="5"/>
  <c r="DE19" i="5"/>
  <c r="J19" i="5"/>
  <c r="BL19" i="5"/>
  <c r="BU19" i="5"/>
  <c r="CE19" i="5"/>
  <c r="EZ20" i="3"/>
  <c r="W19" i="5"/>
  <c r="Z19" i="5"/>
  <c r="AM19" i="5"/>
  <c r="CA19" i="5"/>
  <c r="CD19" i="5"/>
  <c r="G19" i="5"/>
  <c r="BI19" i="5"/>
  <c r="CR19" i="5"/>
  <c r="DA19" i="5"/>
  <c r="DK19" i="5"/>
  <c r="DR20" i="2"/>
  <c r="BW20" i="2"/>
  <c r="AC20" i="2"/>
  <c r="V20" i="2"/>
  <c r="Q20" i="2"/>
  <c r="DU20" i="3"/>
  <c r="AK19" i="5"/>
  <c r="AL19" i="5"/>
  <c r="BN19" i="5"/>
  <c r="CO19" i="5"/>
  <c r="CP19" i="5"/>
  <c r="U19" i="5"/>
  <c r="CH19" i="5"/>
  <c r="DH19" i="5"/>
  <c r="DQ19" i="5"/>
  <c r="DU1" i="3"/>
  <c r="DV6" i="3"/>
  <c r="DW6" i="3" s="1"/>
  <c r="DX6" i="3" s="1"/>
  <c r="DY6" i="3" s="1"/>
  <c r="DZ6" i="3" s="1"/>
  <c r="EA6" i="3" s="1"/>
  <c r="EB6" i="3" s="1"/>
  <c r="BR20" i="3"/>
  <c r="AM20" i="3"/>
  <c r="L20" i="3"/>
  <c r="EJ20" i="3"/>
  <c r="DE20" i="3"/>
  <c r="BZ20" i="3"/>
  <c r="AU20" i="3"/>
  <c r="T20" i="3"/>
  <c r="ER20" i="3"/>
  <c r="DM20" i="3"/>
  <c r="AX20" i="3"/>
  <c r="DJ20" i="3"/>
  <c r="AA20" i="3"/>
  <c r="CM20" i="3"/>
  <c r="EY20" i="3"/>
  <c r="BL20" i="3"/>
  <c r="DX20" i="3"/>
  <c r="AO20" i="3"/>
  <c r="DA20" i="3"/>
  <c r="E21" i="3"/>
  <c r="C22" i="3" s="1"/>
  <c r="EC20" i="3"/>
  <c r="BF20" i="3"/>
  <c r="DR20" i="3"/>
  <c r="AI20" i="3"/>
  <c r="CU20" i="3"/>
  <c r="H20" i="3"/>
  <c r="BT20" i="3"/>
  <c r="EF20" i="3"/>
  <c r="AW20" i="3"/>
  <c r="DI20" i="3"/>
  <c r="DV6" i="2"/>
  <c r="DW6" i="2" s="1"/>
  <c r="DX6" i="2" s="1"/>
  <c r="DY6" i="2" s="1"/>
  <c r="DZ6" i="2" s="1"/>
  <c r="EA6" i="2" s="1"/>
  <c r="EB6" i="2" s="1"/>
  <c r="DU1" i="2"/>
  <c r="CX20" i="3"/>
  <c r="BS20" i="3"/>
  <c r="AR20" i="3"/>
  <c r="M20" i="3"/>
  <c r="EK20" i="3"/>
  <c r="DF20" i="3"/>
  <c r="CA20" i="3"/>
  <c r="AZ20" i="3"/>
  <c r="U20" i="3"/>
  <c r="ES20" i="3"/>
  <c r="BN20" i="3"/>
  <c r="DZ20" i="3"/>
  <c r="AQ20" i="3"/>
  <c r="DC20" i="3"/>
  <c r="P20" i="3"/>
  <c r="CB20" i="3"/>
  <c r="EN20" i="3"/>
  <c r="BE20" i="3"/>
  <c r="DQ20" i="3"/>
  <c r="BA20" i="2"/>
  <c r="DM20" i="2"/>
  <c r="AT20" i="2"/>
  <c r="DF20" i="2"/>
  <c r="AO20" i="2"/>
  <c r="DA20" i="2"/>
  <c r="DN20" i="3"/>
  <c r="CI20" i="3"/>
  <c r="BH20" i="3"/>
  <c r="AC20" i="3"/>
  <c r="FA20" i="3"/>
  <c r="DV20" i="3"/>
  <c r="CQ20" i="3"/>
  <c r="BP20" i="3"/>
  <c r="AK20" i="3"/>
  <c r="J20" i="3"/>
  <c r="BV20" i="3"/>
  <c r="EH20" i="3"/>
  <c r="AY20" i="3"/>
  <c r="DK20" i="3"/>
  <c r="X20" i="3"/>
  <c r="CJ20" i="3"/>
  <c r="EV20" i="3"/>
  <c r="BM20" i="3"/>
  <c r="DY20" i="3"/>
  <c r="V19" i="5"/>
  <c r="H19" i="5"/>
  <c r="BT19" i="5"/>
  <c r="Q19" i="5"/>
  <c r="CC19" i="5"/>
  <c r="AA19" i="5"/>
  <c r="CM19" i="5"/>
  <c r="C24" i="1"/>
  <c r="C37" i="1"/>
  <c r="C35" i="1"/>
  <c r="C33" i="1"/>
  <c r="AQ33" i="1"/>
  <c r="DC33" i="1"/>
  <c r="AY35" i="1"/>
  <c r="DK35" i="1"/>
  <c r="BG37" i="1"/>
  <c r="DS37" i="1"/>
  <c r="BH33" i="1"/>
  <c r="DT33" i="1"/>
  <c r="BP35" i="1"/>
  <c r="L37" i="1"/>
  <c r="BX37" i="1"/>
  <c r="BI33" i="1"/>
  <c r="M35" i="1"/>
  <c r="BY35" i="1"/>
  <c r="AC37" i="1"/>
  <c r="CO37" i="1"/>
  <c r="N33" i="1"/>
  <c r="BZ33" i="1"/>
  <c r="V35" i="1"/>
  <c r="CH35" i="1"/>
  <c r="AD37" i="1"/>
  <c r="CP37" i="1"/>
  <c r="O33" i="1"/>
  <c r="CA33" i="1"/>
  <c r="W35" i="1"/>
  <c r="CI35" i="1"/>
  <c r="AE37" i="1"/>
  <c r="CQ37" i="1"/>
  <c r="AV33" i="1"/>
  <c r="DH33" i="1"/>
  <c r="BD35" i="1"/>
  <c r="DP35" i="1"/>
  <c r="BL37" i="1"/>
  <c r="Q33" i="1"/>
  <c r="CC33" i="1"/>
  <c r="Y35" i="1"/>
  <c r="CK35" i="1"/>
  <c r="AG37" i="1"/>
  <c r="CS37" i="1"/>
  <c r="AP33" i="1"/>
  <c r="DB33" i="1"/>
  <c r="BF35" i="1"/>
  <c r="DR35" i="1"/>
  <c r="BN37" i="1"/>
  <c r="AY33" i="1"/>
  <c r="DK33" i="1"/>
  <c r="BG35" i="1"/>
  <c r="DS35" i="1"/>
  <c r="BO37" i="1"/>
  <c r="BP33" i="1"/>
  <c r="L35" i="1"/>
  <c r="BX35" i="1"/>
  <c r="T37" i="1"/>
  <c r="CF37" i="1"/>
  <c r="BQ33" i="1"/>
  <c r="U35" i="1"/>
  <c r="CG35" i="1"/>
  <c r="AK37" i="1"/>
  <c r="CW37" i="1"/>
  <c r="V33" i="1"/>
  <c r="CH33" i="1"/>
  <c r="AD35" i="1"/>
  <c r="CP35" i="1"/>
  <c r="AL37" i="1"/>
  <c r="CX37" i="1"/>
  <c r="W33" i="1"/>
  <c r="CI33" i="1"/>
  <c r="AE35" i="1"/>
  <c r="CQ35" i="1"/>
  <c r="AM37" i="1"/>
  <c r="CY37" i="1"/>
  <c r="BD33" i="1"/>
  <c r="DP33" i="1"/>
  <c r="BL35" i="1"/>
  <c r="H37" i="1"/>
  <c r="BT37" i="1"/>
  <c r="Y33" i="1"/>
  <c r="CK33" i="1"/>
  <c r="AG35" i="1"/>
  <c r="CS35" i="1"/>
  <c r="AO37" i="1"/>
  <c r="DA37" i="1"/>
  <c r="AX33" i="1"/>
  <c r="DJ33" i="1"/>
  <c r="BN35" i="1"/>
  <c r="J37" i="1"/>
  <c r="BV37" i="1"/>
  <c r="DR33" i="1"/>
  <c r="BG33" i="1"/>
  <c r="DS33" i="1"/>
  <c r="BO35" i="1"/>
  <c r="K37" i="1"/>
  <c r="BW37" i="1"/>
  <c r="L33" i="1"/>
  <c r="BX33" i="1"/>
  <c r="T35" i="1"/>
  <c r="CF35" i="1"/>
  <c r="AB37" i="1"/>
  <c r="CN37" i="1"/>
  <c r="M33" i="1"/>
  <c r="BY33" i="1"/>
  <c r="AC35" i="1"/>
  <c r="CO35" i="1"/>
  <c r="AS37" i="1"/>
  <c r="DE37" i="1"/>
  <c r="AD33" i="1"/>
  <c r="CP33" i="1"/>
  <c r="AL35" i="1"/>
  <c r="CX35" i="1"/>
  <c r="AT37" i="1"/>
  <c r="DF37" i="1"/>
  <c r="AE33" i="1"/>
  <c r="CQ33" i="1"/>
  <c r="AM35" i="1"/>
  <c r="CY35" i="1"/>
  <c r="AU37" i="1"/>
  <c r="DG37" i="1"/>
  <c r="BL33" i="1"/>
  <c r="H35" i="1"/>
  <c r="BT35" i="1"/>
  <c r="P37" i="1"/>
  <c r="CB37" i="1"/>
  <c r="AG33" i="1"/>
  <c r="CS33" i="1"/>
  <c r="AO35" i="1"/>
  <c r="DA35" i="1"/>
  <c r="AW37" i="1"/>
  <c r="DI37" i="1"/>
  <c r="BF33" i="1"/>
  <c r="J35" i="1"/>
  <c r="BV35" i="1"/>
  <c r="R37" i="1"/>
  <c r="CD37" i="1"/>
  <c r="DR37" i="1"/>
  <c r="BO33" i="1"/>
  <c r="K35" i="1"/>
  <c r="BW35" i="1"/>
  <c r="S37" i="1"/>
  <c r="CE37" i="1"/>
  <c r="T33" i="1"/>
  <c r="CF33" i="1"/>
  <c r="AB35" i="1"/>
  <c r="CN35" i="1"/>
  <c r="AJ37" i="1"/>
  <c r="CV37" i="1"/>
  <c r="U33" i="1"/>
  <c r="CG33" i="1"/>
  <c r="AK35" i="1"/>
  <c r="CW35" i="1"/>
  <c r="BA37" i="1"/>
  <c r="DM37" i="1"/>
  <c r="AL33" i="1"/>
  <c r="CX33" i="1"/>
  <c r="AT35" i="1"/>
  <c r="DF35" i="1"/>
  <c r="BB37" i="1"/>
  <c r="DN37" i="1"/>
  <c r="AM33" i="1"/>
  <c r="CY33" i="1"/>
  <c r="AU35" i="1"/>
  <c r="DG35" i="1"/>
  <c r="BC37" i="1"/>
  <c r="DO37" i="1"/>
  <c r="H33" i="1"/>
  <c r="BT33" i="1"/>
  <c r="P35" i="1"/>
  <c r="CB35" i="1"/>
  <c r="X37" i="1"/>
  <c r="CJ37" i="1"/>
  <c r="AO33" i="1"/>
  <c r="DA33" i="1"/>
  <c r="AW35" i="1"/>
  <c r="DI35" i="1"/>
  <c r="BE37" i="1"/>
  <c r="DQ37" i="1"/>
  <c r="BN33" i="1"/>
  <c r="R35" i="1"/>
  <c r="CD35" i="1"/>
  <c r="Z37" i="1"/>
  <c r="CL37" i="1"/>
  <c r="K33" i="1"/>
  <c r="BW33" i="1"/>
  <c r="S35" i="1"/>
  <c r="CE35" i="1"/>
  <c r="AA37" i="1"/>
  <c r="CM37" i="1"/>
  <c r="AB33" i="1"/>
  <c r="CN33" i="1"/>
  <c r="AJ35" i="1"/>
  <c r="CV35" i="1"/>
  <c r="AR37" i="1"/>
  <c r="DD37" i="1"/>
  <c r="AC33" i="1"/>
  <c r="CO33" i="1"/>
  <c r="AS35" i="1"/>
  <c r="DE35" i="1"/>
  <c r="BI37" i="1"/>
  <c r="AT33" i="1"/>
  <c r="DF33" i="1"/>
  <c r="BB35" i="1"/>
  <c r="DN35" i="1"/>
  <c r="BJ37" i="1"/>
  <c r="AU33" i="1"/>
  <c r="DG33" i="1"/>
  <c r="BC35" i="1"/>
  <c r="DO35" i="1"/>
  <c r="BK37" i="1"/>
  <c r="P33" i="1"/>
  <c r="CB33" i="1"/>
  <c r="X35" i="1"/>
  <c r="CJ35" i="1"/>
  <c r="AF37" i="1"/>
  <c r="CR37" i="1"/>
  <c r="AW33" i="1"/>
  <c r="DI33" i="1"/>
  <c r="BE35" i="1"/>
  <c r="DQ35" i="1"/>
  <c r="BM37" i="1"/>
  <c r="J33" i="1"/>
  <c r="BV33" i="1"/>
  <c r="Z35" i="1"/>
  <c r="CL35" i="1"/>
  <c r="AH37" i="1"/>
  <c r="CT37" i="1"/>
  <c r="S33" i="1"/>
  <c r="CE33" i="1"/>
  <c r="AA35" i="1"/>
  <c r="CM35" i="1"/>
  <c r="AI37" i="1"/>
  <c r="CU37" i="1"/>
  <c r="AJ33" i="1"/>
  <c r="CV33" i="1"/>
  <c r="AR35" i="1"/>
  <c r="DD35" i="1"/>
  <c r="AZ37" i="1"/>
  <c r="DL37" i="1"/>
  <c r="AK33" i="1"/>
  <c r="CW33" i="1"/>
  <c r="BA35" i="1"/>
  <c r="DM35" i="1"/>
  <c r="BQ37" i="1"/>
  <c r="BB33" i="1"/>
  <c r="DN33" i="1"/>
  <c r="BJ35" i="1"/>
  <c r="F37" i="1"/>
  <c r="BR37" i="1"/>
  <c r="BC33" i="1"/>
  <c r="DO33" i="1"/>
  <c r="BK35" i="1"/>
  <c r="G37" i="1"/>
  <c r="BS37" i="1"/>
  <c r="X33" i="1"/>
  <c r="CJ33" i="1"/>
  <c r="AF35" i="1"/>
  <c r="CR35" i="1"/>
  <c r="AN37" i="1"/>
  <c r="CZ37" i="1"/>
  <c r="BE33" i="1"/>
  <c r="DQ33" i="1"/>
  <c r="BM35" i="1"/>
  <c r="I37" i="1"/>
  <c r="BU37" i="1"/>
  <c r="R33" i="1"/>
  <c r="CD33" i="1"/>
  <c r="AH35" i="1"/>
  <c r="CT35" i="1"/>
  <c r="AP37" i="1"/>
  <c r="DB37" i="1"/>
  <c r="AA33" i="1"/>
  <c r="CM33" i="1"/>
  <c r="AI35" i="1"/>
  <c r="CU35" i="1"/>
  <c r="AQ37" i="1"/>
  <c r="DC37" i="1"/>
  <c r="AR33" i="1"/>
  <c r="DD33" i="1"/>
  <c r="AZ35" i="1"/>
  <c r="DL35" i="1"/>
  <c r="BH37" i="1"/>
  <c r="DT37" i="1"/>
  <c r="AS33" i="1"/>
  <c r="DE33" i="1"/>
  <c r="BI35" i="1"/>
  <c r="M37" i="1"/>
  <c r="BY37" i="1"/>
  <c r="BJ33" i="1"/>
  <c r="F35" i="1"/>
  <c r="BR35" i="1"/>
  <c r="N37" i="1"/>
  <c r="BZ37" i="1"/>
  <c r="BK33" i="1"/>
  <c r="G35" i="1"/>
  <c r="BS35" i="1"/>
  <c r="O37" i="1"/>
  <c r="CA37" i="1"/>
  <c r="AF33" i="1"/>
  <c r="CR33" i="1"/>
  <c r="AN35" i="1"/>
  <c r="CZ35" i="1"/>
  <c r="AV37" i="1"/>
  <c r="DH37" i="1"/>
  <c r="BM33" i="1"/>
  <c r="I35" i="1"/>
  <c r="BU35" i="1"/>
  <c r="Q37" i="1"/>
  <c r="CC37" i="1"/>
  <c r="Z33" i="1"/>
  <c r="CL33" i="1"/>
  <c r="AP35" i="1"/>
  <c r="DB35" i="1"/>
  <c r="AX37" i="1"/>
  <c r="DJ37" i="1"/>
  <c r="AI33" i="1"/>
  <c r="CU33" i="1"/>
  <c r="AQ35" i="1"/>
  <c r="DC35" i="1"/>
  <c r="AY37" i="1"/>
  <c r="DK37" i="1"/>
  <c r="AZ33" i="1"/>
  <c r="DL33" i="1"/>
  <c r="BH35" i="1"/>
  <c r="DT35" i="1"/>
  <c r="BP37" i="1"/>
  <c r="BA33" i="1"/>
  <c r="DM33" i="1"/>
  <c r="BQ35" i="1"/>
  <c r="U37" i="1"/>
  <c r="CG37" i="1"/>
  <c r="F33" i="1"/>
  <c r="BR33" i="1"/>
  <c r="N35" i="1"/>
  <c r="BZ35" i="1"/>
  <c r="V37" i="1"/>
  <c r="CH37" i="1"/>
  <c r="G33" i="1"/>
  <c r="BS33" i="1"/>
  <c r="O35" i="1"/>
  <c r="CA35" i="1"/>
  <c r="W37" i="1"/>
  <c r="CI37" i="1"/>
  <c r="AN33" i="1"/>
  <c r="CZ33" i="1"/>
  <c r="AV35" i="1"/>
  <c r="DH35" i="1"/>
  <c r="BD37" i="1"/>
  <c r="DP37" i="1"/>
  <c r="I33" i="1"/>
  <c r="BU33" i="1"/>
  <c r="Q35" i="1"/>
  <c r="CC35" i="1"/>
  <c r="Y37" i="1"/>
  <c r="CK37" i="1"/>
  <c r="AH33" i="1"/>
  <c r="CT33" i="1"/>
  <c r="AX35" i="1"/>
  <c r="DJ35" i="1"/>
  <c r="BF37" i="1"/>
  <c r="BQ23" i="1"/>
  <c r="N23" i="1"/>
  <c r="BZ23" i="1"/>
  <c r="BD20" i="2"/>
  <c r="CY20" i="2"/>
  <c r="W20" i="2"/>
  <c r="BP20" i="2"/>
  <c r="CN20" i="2"/>
  <c r="DL20" i="2"/>
  <c r="J20" i="2"/>
  <c r="BV20" i="2"/>
  <c r="EH20" i="2"/>
  <c r="BO20" i="2"/>
  <c r="EA20" i="2"/>
  <c r="BI20" i="2"/>
  <c r="DU20" i="2"/>
  <c r="BB20" i="2"/>
  <c r="DN20" i="2"/>
  <c r="AW20" i="2"/>
  <c r="DI20" i="2"/>
  <c r="F20" i="3"/>
  <c r="ED20" i="3"/>
  <c r="CY20" i="3"/>
  <c r="BX20" i="3"/>
  <c r="AS20" i="3"/>
  <c r="N20" i="3"/>
  <c r="EL20" i="3"/>
  <c r="DG20" i="3"/>
  <c r="CF20" i="3"/>
  <c r="BA20" i="3"/>
  <c r="R20" i="3"/>
  <c r="CD20" i="3"/>
  <c r="EP20" i="3"/>
  <c r="BG20" i="3"/>
  <c r="DS20" i="3"/>
  <c r="AF20" i="3"/>
  <c r="CR20" i="3"/>
  <c r="I20" i="3"/>
  <c r="BU20" i="3"/>
  <c r="EG20" i="3"/>
  <c r="E20" i="5"/>
  <c r="C21" i="5" s="1"/>
  <c r="DD19" i="5"/>
  <c r="CF19" i="5"/>
  <c r="BH19" i="5"/>
  <c r="AJ19" i="5"/>
  <c r="P19" i="5"/>
  <c r="CB19" i="5"/>
  <c r="Y19" i="5"/>
  <c r="CK19" i="5"/>
  <c r="AI19" i="5"/>
  <c r="CU19" i="5"/>
  <c r="BO23" i="1"/>
  <c r="L23" i="1"/>
  <c r="BX23" i="1"/>
  <c r="M23" i="1"/>
  <c r="BY23" i="1"/>
  <c r="V23" i="1"/>
  <c r="CH23" i="1"/>
  <c r="E21" i="2"/>
  <c r="C22" i="2" s="1"/>
  <c r="BQ20" i="2"/>
  <c r="EC20" i="2"/>
  <c r="BJ20" i="2"/>
  <c r="DV20" i="2"/>
  <c r="BE20" i="2"/>
  <c r="DQ20" i="2"/>
  <c r="V20" i="3"/>
  <c r="ET20" i="3"/>
  <c r="DO20" i="3"/>
  <c r="CN20" i="3"/>
  <c r="BI20" i="3"/>
  <c r="AD20" i="3"/>
  <c r="FB20" i="3"/>
  <c r="DW20" i="3"/>
  <c r="CV20" i="3"/>
  <c r="BQ20" i="3"/>
  <c r="Z20" i="3"/>
  <c r="CL20" i="3"/>
  <c r="EX20" i="3"/>
  <c r="BO20" i="3"/>
  <c r="EA20" i="3"/>
  <c r="AN20" i="3"/>
  <c r="CZ20" i="3"/>
  <c r="Q20" i="3"/>
  <c r="CC20" i="3"/>
  <c r="EO20" i="3"/>
  <c r="BK19" i="5"/>
  <c r="BA19" i="5"/>
  <c r="AP19" i="5"/>
  <c r="R19" i="5"/>
  <c r="DO19" i="5"/>
  <c r="CQ19" i="5"/>
  <c r="BS19" i="5"/>
  <c r="AU19" i="5"/>
  <c r="X19" i="5"/>
  <c r="CJ19" i="5"/>
  <c r="AG19" i="5"/>
  <c r="CS19" i="5"/>
  <c r="AQ19" i="5"/>
  <c r="DC19" i="5"/>
  <c r="AL20" i="3"/>
  <c r="G20" i="3"/>
  <c r="EE20" i="3"/>
  <c r="DD20" i="3"/>
  <c r="BY20" i="3"/>
  <c r="AT20" i="3"/>
  <c r="O20" i="3"/>
  <c r="EM20" i="3"/>
  <c r="DL20" i="3"/>
  <c r="CG20" i="3"/>
  <c r="AH20" i="3"/>
  <c r="CT20" i="3"/>
  <c r="K20" i="3"/>
  <c r="BW20" i="3"/>
  <c r="EI20" i="3"/>
  <c r="AV20" i="3"/>
  <c r="DH20" i="3"/>
  <c r="Y20" i="3"/>
  <c r="CK20" i="3"/>
  <c r="EW20" i="3"/>
  <c r="AU23" i="1"/>
  <c r="DG23" i="1"/>
  <c r="BD23" i="1"/>
  <c r="DP23" i="1"/>
  <c r="BM23" i="1"/>
  <c r="J23" i="1"/>
  <c r="BV23" i="1"/>
  <c r="S23" i="1"/>
  <c r="CE23" i="1"/>
  <c r="AB23" i="1"/>
  <c r="CN23" i="1"/>
  <c r="AC23" i="1"/>
  <c r="CO23" i="1"/>
  <c r="AL23" i="1"/>
  <c r="CX23" i="1"/>
  <c r="BQ24" i="6"/>
  <c r="Z24" i="6"/>
  <c r="I24" i="6"/>
  <c r="CK24" i="6"/>
  <c r="Y24" i="6"/>
  <c r="E24" i="6"/>
  <c r="C25" i="6" s="1"/>
  <c r="DB24" i="6"/>
  <c r="CG24" i="6"/>
  <c r="AP24" i="6"/>
  <c r="CD24" i="6"/>
  <c r="BI24" i="6"/>
  <c r="AO24" i="6"/>
  <c r="R24" i="6"/>
  <c r="CC24" i="6"/>
  <c r="Q24" i="6"/>
  <c r="CT24" i="6"/>
  <c r="BY24" i="6"/>
  <c r="BE24" i="6"/>
  <c r="M24" i="6"/>
  <c r="BV24" i="6"/>
  <c r="BA24" i="6"/>
  <c r="AG24" i="6"/>
  <c r="K24" i="6"/>
  <c r="CO24" i="6"/>
  <c r="AC24" i="6"/>
  <c r="J24" i="6"/>
  <c r="DL24" i="6"/>
  <c r="AZ24" i="6"/>
  <c r="AQ24" i="6"/>
  <c r="CA24" i="6"/>
  <c r="O24" i="6"/>
  <c r="BR24" i="6"/>
  <c r="F24" i="6"/>
  <c r="AR24" i="6"/>
  <c r="P24" i="6"/>
  <c r="BS24" i="6"/>
  <c r="BJ24" i="6"/>
  <c r="AA24" i="6"/>
  <c r="CN24" i="6"/>
  <c r="DO24" i="6"/>
  <c r="BC24" i="6"/>
  <c r="BD24" i="6"/>
  <c r="BP24" i="6"/>
  <c r="CH24" i="6"/>
  <c r="BT24" i="6"/>
  <c r="H24" i="6"/>
  <c r="DN24" i="6"/>
  <c r="AB24" i="6"/>
  <c r="BW24" i="6"/>
  <c r="AN24" i="6"/>
  <c r="AE24" i="6"/>
  <c r="AJ24" i="6"/>
  <c r="CE24" i="6"/>
  <c r="T24" i="6"/>
  <c r="DM24" i="6"/>
  <c r="BX24" i="6"/>
  <c r="L24" i="6"/>
  <c r="BO24" i="6"/>
  <c r="AV24" i="6"/>
  <c r="CP24" i="6"/>
  <c r="AD24" i="6"/>
  <c r="DS24" i="6"/>
  <c r="DT24" i="6"/>
  <c r="DK24" i="6"/>
  <c r="AF24" i="6"/>
  <c r="CI24" i="6"/>
  <c r="W24" i="6"/>
  <c r="BZ24" i="6"/>
  <c r="G24" i="6"/>
  <c r="CF24" i="6"/>
  <c r="DP24" i="6"/>
  <c r="DG24" i="6"/>
  <c r="CX24" i="6"/>
  <c r="V24" i="6"/>
  <c r="DP20" i="2"/>
  <c r="AN20" i="2"/>
  <c r="CI20" i="2"/>
  <c r="EB20" i="2"/>
  <c r="H20" i="2"/>
  <c r="AF20" i="2"/>
  <c r="AH20" i="2"/>
  <c r="CT20" i="2"/>
  <c r="AA20" i="2"/>
  <c r="CM20" i="2"/>
  <c r="U20" i="2"/>
  <c r="CG20" i="2"/>
  <c r="N20" i="2"/>
  <c r="BZ20" i="2"/>
  <c r="I20" i="2"/>
  <c r="BU20" i="2"/>
  <c r="EG20" i="2"/>
  <c r="BB20" i="3"/>
  <c r="W20" i="3"/>
  <c r="EU20" i="3"/>
  <c r="DT20" i="3"/>
  <c r="CO20" i="3"/>
  <c r="BJ20" i="3"/>
  <c r="AE20" i="3"/>
  <c r="FC20" i="3"/>
  <c r="EB20" i="3"/>
  <c r="CW20" i="3"/>
  <c r="AP20" i="3"/>
  <c r="DB20" i="3"/>
  <c r="S20" i="3"/>
  <c r="CE20" i="3"/>
  <c r="EQ20" i="3"/>
  <c r="BD20" i="3"/>
  <c r="DP20" i="3"/>
  <c r="AG20" i="3"/>
  <c r="CS20" i="3"/>
  <c r="CW19" i="5"/>
  <c r="CL19" i="5"/>
  <c r="BZ19" i="5"/>
  <c r="BP19" i="5"/>
  <c r="AR19" i="5"/>
  <c r="T19" i="5"/>
  <c r="DR19" i="5"/>
  <c r="CT19" i="5"/>
  <c r="BV19" i="5"/>
  <c r="AN19" i="5"/>
  <c r="CZ19" i="5"/>
  <c r="AW19" i="5"/>
  <c r="DI19" i="5"/>
  <c r="BG19" i="5"/>
  <c r="DS19" i="5"/>
  <c r="G21" i="3" l="1"/>
  <c r="BZ21" i="3"/>
  <c r="S21" i="3"/>
  <c r="AB20" i="5"/>
  <c r="DU21" i="3"/>
  <c r="AO20" i="5"/>
  <c r="EL21" i="3"/>
  <c r="BW20" i="5"/>
  <c r="AS21" i="3"/>
  <c r="AM21" i="3"/>
  <c r="CG21" i="3"/>
  <c r="BO20" i="5"/>
  <c r="X21" i="3"/>
  <c r="DM21" i="3"/>
  <c r="CL20" i="5"/>
  <c r="CO21" i="3"/>
  <c r="BK20" i="5"/>
  <c r="EU21" i="3"/>
  <c r="AE21" i="3"/>
  <c r="AI21" i="3"/>
  <c r="BN20" i="5"/>
  <c r="BM20" i="5"/>
  <c r="EM21" i="3"/>
  <c r="EQ21" i="3"/>
  <c r="CZ21" i="3"/>
  <c r="P21" i="3"/>
  <c r="AR21" i="3"/>
  <c r="BC20" i="5"/>
  <c r="BP20" i="5"/>
  <c r="CB21" i="3"/>
  <c r="CC21" i="3"/>
  <c r="EO21" i="3"/>
  <c r="J20" i="5"/>
  <c r="DM20" i="5"/>
  <c r="AX20" i="5"/>
  <c r="AM20" i="5"/>
  <c r="CK20" i="5"/>
  <c r="BG20" i="5"/>
  <c r="AG20" i="5"/>
  <c r="BH20" i="5"/>
  <c r="CO20" i="5"/>
  <c r="DH20" i="5"/>
  <c r="H21" i="3"/>
  <c r="BY21" i="3"/>
  <c r="CP21" i="3"/>
  <c r="FC21" i="3"/>
  <c r="BA21" i="3"/>
  <c r="ET21" i="3"/>
  <c r="EA21" i="3"/>
  <c r="AO21" i="3"/>
  <c r="EP21" i="3"/>
  <c r="DJ20" i="5"/>
  <c r="BS20" i="5"/>
  <c r="AP20" i="5"/>
  <c r="CM20" i="5"/>
  <c r="CC20" i="5"/>
  <c r="CN20" i="5"/>
  <c r="AL20" i="5"/>
  <c r="W21" i="3"/>
  <c r="BT21" i="3"/>
  <c r="DE21" i="3"/>
  <c r="O21" i="3"/>
  <c r="AF21" i="3"/>
  <c r="CW21" i="3"/>
  <c r="AA21" i="3"/>
  <c r="EY21" i="3"/>
  <c r="DA21" i="3"/>
  <c r="AI20" i="5"/>
  <c r="CI20" i="5"/>
  <c r="BF20" i="5"/>
  <c r="O20" i="5"/>
  <c r="CS20" i="5"/>
  <c r="DD20" i="5"/>
  <c r="BJ20" i="5"/>
  <c r="AY20" i="5"/>
  <c r="I20" i="5"/>
  <c r="BV20" i="5"/>
  <c r="AU20" i="5"/>
  <c r="DI20" i="5"/>
  <c r="DL20" i="5"/>
  <c r="CX20" i="5"/>
  <c r="BC21" i="3"/>
  <c r="DP21" i="3"/>
  <c r="N21" i="3"/>
  <c r="AU21" i="3"/>
  <c r="DH21" i="3"/>
  <c r="V21" i="3"/>
  <c r="BO21" i="3"/>
  <c r="BP21" i="3"/>
  <c r="R21" i="3"/>
  <c r="H20" i="5"/>
  <c r="CY21" i="3"/>
  <c r="EF21" i="3"/>
  <c r="AT21" i="3"/>
  <c r="BK21" i="3"/>
  <c r="DX21" i="3"/>
  <c r="BB21" i="3"/>
  <c r="CE21" i="3"/>
  <c r="DD21" i="3"/>
  <c r="BF21" i="3"/>
  <c r="R20" i="5"/>
  <c r="CE20" i="5"/>
  <c r="BE20" i="5"/>
  <c r="K20" i="5"/>
  <c r="CA20" i="5"/>
  <c r="AR20" i="5"/>
  <c r="AC20" i="5"/>
  <c r="AV20" i="5"/>
  <c r="EE21" i="3"/>
  <c r="EV21" i="3"/>
  <c r="BJ21" i="3"/>
  <c r="DG21" i="3"/>
  <c r="EN21" i="3"/>
  <c r="BR21" i="3"/>
  <c r="CM21" i="3"/>
  <c r="EB21" i="3"/>
  <c r="CD21" i="3"/>
  <c r="AH20" i="5"/>
  <c r="G20" i="5"/>
  <c r="BU20" i="5"/>
  <c r="AQ20" i="5"/>
  <c r="CQ20" i="5"/>
  <c r="AZ20" i="5"/>
  <c r="BA20" i="5"/>
  <c r="BT20" i="5"/>
  <c r="CH21" i="3"/>
  <c r="CU21" i="3"/>
  <c r="Q21" i="3"/>
  <c r="DR21" i="3"/>
  <c r="AC21" i="2"/>
  <c r="BW21" i="2"/>
  <c r="ED21" i="2"/>
  <c r="BI21" i="2"/>
  <c r="V21" i="2"/>
  <c r="AF21" i="2"/>
  <c r="CZ21" i="2"/>
  <c r="AO21" i="2"/>
  <c r="DL21" i="2"/>
  <c r="AY21" i="2"/>
  <c r="DZ21" i="2"/>
  <c r="BP21" i="2"/>
  <c r="O21" i="2"/>
  <c r="CD21" i="2"/>
  <c r="CO21" i="2"/>
  <c r="CK21" i="2"/>
  <c r="AS20" i="5"/>
  <c r="DE20" i="5"/>
  <c r="BB20" i="5"/>
  <c r="DN20" i="5"/>
  <c r="BL20" i="5"/>
  <c r="DL24" i="1"/>
  <c r="CN24" i="1"/>
  <c r="AZ24" i="1"/>
  <c r="AB24" i="1"/>
  <c r="DC24" i="1"/>
  <c r="CE24" i="1"/>
  <c r="AQ24" i="1"/>
  <c r="S24" i="1"/>
  <c r="CT24" i="1"/>
  <c r="BV24" i="1"/>
  <c r="AH24" i="1"/>
  <c r="J24" i="1"/>
  <c r="CK24" i="1"/>
  <c r="BM24" i="1"/>
  <c r="Y24" i="1"/>
  <c r="DP24" i="1"/>
  <c r="CB24" i="1"/>
  <c r="BD24" i="1"/>
  <c r="P24" i="1"/>
  <c r="DG24" i="1"/>
  <c r="BS24" i="1"/>
  <c r="AU24" i="1"/>
  <c r="G24" i="1"/>
  <c r="CX24" i="1"/>
  <c r="BJ24" i="1"/>
  <c r="AL24" i="1"/>
  <c r="DM24" i="1"/>
  <c r="CO24" i="1"/>
  <c r="BA24" i="1"/>
  <c r="AC24" i="1"/>
  <c r="E24" i="1"/>
  <c r="C25" i="1" s="1"/>
  <c r="BH21" i="3"/>
  <c r="DT21" i="3"/>
  <c r="AG21" i="3"/>
  <c r="CS21" i="3"/>
  <c r="J21" i="3"/>
  <c r="BV21" i="3"/>
  <c r="EH21" i="3"/>
  <c r="E22" i="2"/>
  <c r="C23" i="2" s="1"/>
  <c r="AX21" i="2"/>
  <c r="CX21" i="2"/>
  <c r="N21" i="2"/>
  <c r="CH21" i="2"/>
  <c r="AS21" i="2"/>
  <c r="AN21" i="2"/>
  <c r="DK21" i="2"/>
  <c r="AW21" i="2"/>
  <c r="DW21" i="2"/>
  <c r="BG21" i="2"/>
  <c r="L21" i="2"/>
  <c r="BZ21" i="2"/>
  <c r="W21" i="2"/>
  <c r="CN21" i="2"/>
  <c r="CW21" i="2"/>
  <c r="CS21" i="2"/>
  <c r="E25" i="6"/>
  <c r="AV25" i="6" s="1"/>
  <c r="CE25" i="6"/>
  <c r="AS25" i="6"/>
  <c r="AG25" i="6"/>
  <c r="AO25" i="6"/>
  <c r="BW25" i="6"/>
  <c r="AC25" i="6"/>
  <c r="CV25" i="6"/>
  <c r="CF25" i="6"/>
  <c r="AW24" i="6"/>
  <c r="Z21" i="2"/>
  <c r="BR21" i="2"/>
  <c r="EB21" i="2"/>
  <c r="AK21" i="2"/>
  <c r="DH21" i="2"/>
  <c r="BN21" i="2"/>
  <c r="AV21" i="2"/>
  <c r="DV21" i="2"/>
  <c r="BE21" i="2"/>
  <c r="EH21" i="2"/>
  <c r="BO21" i="2"/>
  <c r="T21" i="2"/>
  <c r="CJ21" i="2"/>
  <c r="AE21" i="2"/>
  <c r="CY21" i="2"/>
  <c r="DE21" i="2"/>
  <c r="DA21" i="2"/>
  <c r="DT20" i="5"/>
  <c r="BI20" i="5"/>
  <c r="F20" i="5"/>
  <c r="BR20" i="5"/>
  <c r="P20" i="5"/>
  <c r="CB20" i="5"/>
  <c r="L21" i="3"/>
  <c r="BX21" i="3"/>
  <c r="EJ21" i="3"/>
  <c r="AW21" i="3"/>
  <c r="DI21" i="3"/>
  <c r="Z21" i="3"/>
  <c r="CL21" i="3"/>
  <c r="EX21" i="3"/>
  <c r="AT21" i="2"/>
  <c r="CV21" i="2"/>
  <c r="M21" i="2"/>
  <c r="BF21" i="2"/>
  <c r="U21" i="2"/>
  <c r="CM21" i="2"/>
  <c r="BD21" i="2"/>
  <c r="EF21" i="2"/>
  <c r="BM21" i="2"/>
  <c r="K21" i="2"/>
  <c r="BX21" i="2"/>
  <c r="AB21" i="2"/>
  <c r="CU21" i="2"/>
  <c r="AM21" i="2"/>
  <c r="DJ21" i="2"/>
  <c r="DM21" i="2"/>
  <c r="DI21" i="2"/>
  <c r="E21" i="5"/>
  <c r="C22" i="5" s="1"/>
  <c r="BQ20" i="5"/>
  <c r="N20" i="5"/>
  <c r="BZ20" i="5"/>
  <c r="X20" i="5"/>
  <c r="CJ20" i="5"/>
  <c r="E22" i="3"/>
  <c r="C23" i="3" s="1"/>
  <c r="EC21" i="3"/>
  <c r="CX21" i="3"/>
  <c r="AQ21" i="3"/>
  <c r="DC21" i="3"/>
  <c r="T21" i="3"/>
  <c r="CF21" i="3"/>
  <c r="ER21" i="3"/>
  <c r="BE21" i="3"/>
  <c r="DQ21" i="3"/>
  <c r="AH21" i="3"/>
  <c r="CT21" i="3"/>
  <c r="BK24" i="6"/>
  <c r="CR24" i="6"/>
  <c r="AM24" i="6"/>
  <c r="CQ24" i="6"/>
  <c r="BG24" i="6"/>
  <c r="CV24" i="6"/>
  <c r="BL24" i="6"/>
  <c r="CB24" i="6"/>
  <c r="X24" i="6"/>
  <c r="AX24" i="6"/>
  <c r="CS24" i="6"/>
  <c r="AK24" i="6"/>
  <c r="DA24" i="6"/>
  <c r="AS24" i="6"/>
  <c r="CL24" i="6"/>
  <c r="BQ21" i="2"/>
  <c r="DX21" i="2"/>
  <c r="AH21" i="2"/>
  <c r="CB21" i="2"/>
  <c r="AP21" i="2"/>
  <c r="DR21" i="2"/>
  <c r="BL21" i="2"/>
  <c r="I21" i="2"/>
  <c r="BV21" i="2"/>
  <c r="S21" i="2"/>
  <c r="CI21" i="2"/>
  <c r="AJ21" i="2"/>
  <c r="DF21" i="2"/>
  <c r="AU21" i="2"/>
  <c r="DT21" i="2"/>
  <c r="DU21" i="2"/>
  <c r="DQ21" i="2"/>
  <c r="CD20" i="5"/>
  <c r="CU20" i="5"/>
  <c r="CY20" i="5"/>
  <c r="DA20" i="5"/>
  <c r="DB20" i="5"/>
  <c r="DC20" i="5"/>
  <c r="DG20" i="5"/>
  <c r="L20" i="5"/>
  <c r="BX20" i="5"/>
  <c r="M20" i="5"/>
  <c r="BY20" i="5"/>
  <c r="V20" i="5"/>
  <c r="CH20" i="5"/>
  <c r="AF20" i="5"/>
  <c r="CR20" i="5"/>
  <c r="BS21" i="3"/>
  <c r="AN21" i="3"/>
  <c r="M21" i="3"/>
  <c r="EK21" i="3"/>
  <c r="DF21" i="3"/>
  <c r="CA21" i="3"/>
  <c r="AV21" i="3"/>
  <c r="U21" i="3"/>
  <c r="ES21" i="3"/>
  <c r="DN21" i="3"/>
  <c r="AY21" i="3"/>
  <c r="DK21" i="3"/>
  <c r="AB21" i="3"/>
  <c r="CN21" i="3"/>
  <c r="EZ21" i="3"/>
  <c r="BM21" i="3"/>
  <c r="DY21" i="3"/>
  <c r="AP21" i="3"/>
  <c r="DB21" i="3"/>
  <c r="CM24" i="6"/>
  <c r="AY24" i="6"/>
  <c r="CY24" i="6"/>
  <c r="AU24" i="6"/>
  <c r="DE24" i="6"/>
  <c r="CU24" i="6"/>
  <c r="S24" i="6"/>
  <c r="AI24" i="6"/>
  <c r="CJ24" i="6"/>
  <c r="BU24" i="6"/>
  <c r="DR24" i="6"/>
  <c r="BF24" i="6"/>
  <c r="U24" i="6"/>
  <c r="BN24" i="6"/>
  <c r="DJ24" i="6"/>
  <c r="CR21" i="2"/>
  <c r="J21" i="2"/>
  <c r="BB21" i="2"/>
  <c r="DG21" i="2"/>
  <c r="BJ21" i="2"/>
  <c r="H21" i="2"/>
  <c r="BT21" i="2"/>
  <c r="Q21" i="2"/>
  <c r="CF21" i="2"/>
  <c r="AA21" i="2"/>
  <c r="CT21" i="2"/>
  <c r="AR21" i="2"/>
  <c r="DP21" i="2"/>
  <c r="BC21" i="2"/>
  <c r="EE21" i="2"/>
  <c r="EC21" i="2"/>
  <c r="DY21" i="2"/>
  <c r="CT20" i="5"/>
  <c r="DK20" i="5"/>
  <c r="DO20" i="5"/>
  <c r="DQ20" i="5"/>
  <c r="DR20" i="5"/>
  <c r="DS20" i="5"/>
  <c r="Q20" i="5"/>
  <c r="T20" i="5"/>
  <c r="CF20" i="5"/>
  <c r="U20" i="5"/>
  <c r="CG20" i="5"/>
  <c r="AD20" i="5"/>
  <c r="CP20" i="5"/>
  <c r="AN20" i="5"/>
  <c r="CZ20" i="5"/>
  <c r="EB1" i="2"/>
  <c r="EC6" i="2"/>
  <c r="ED6" i="2" s="1"/>
  <c r="EE6" i="2" s="1"/>
  <c r="EF6" i="2" s="1"/>
  <c r="EG6" i="2" s="1"/>
  <c r="EH6" i="2" s="1"/>
  <c r="CI21" i="3"/>
  <c r="BD21" i="3"/>
  <c r="AC21" i="3"/>
  <c r="FA21" i="3"/>
  <c r="DV21" i="3"/>
  <c r="CQ21" i="3"/>
  <c r="BL21" i="3"/>
  <c r="AK21" i="3"/>
  <c r="F21" i="3"/>
  <c r="ED21" i="3"/>
  <c r="BG21" i="3"/>
  <c r="DS21" i="3"/>
  <c r="AJ21" i="3"/>
  <c r="CV21" i="3"/>
  <c r="I21" i="3"/>
  <c r="BU21" i="3"/>
  <c r="EG21" i="3"/>
  <c r="AX21" i="3"/>
  <c r="DJ21" i="3"/>
  <c r="DS21" i="2"/>
  <c r="AD21" i="2"/>
  <c r="CA21" i="2"/>
  <c r="R21" i="2"/>
  <c r="CL21" i="2"/>
  <c r="P21" i="2"/>
  <c r="CE21" i="2"/>
  <c r="Y21" i="2"/>
  <c r="CQ21" i="2"/>
  <c r="AI21" i="2"/>
  <c r="DD21" i="2"/>
  <c r="AZ21" i="2"/>
  <c r="EA21" i="2"/>
  <c r="BK21" i="2"/>
  <c r="BY21" i="2"/>
  <c r="BU21" i="2"/>
  <c r="EG21" i="2"/>
  <c r="EB1" i="3"/>
  <c r="EC6" i="3"/>
  <c r="ED6" i="3" s="1"/>
  <c r="EE6" i="3" s="1"/>
  <c r="EF6" i="3" s="1"/>
  <c r="EG6" i="3" s="1"/>
  <c r="EH6" i="3" s="1"/>
  <c r="EI6" i="3" s="1"/>
  <c r="AL24" i="6"/>
  <c r="N24" i="6"/>
  <c r="BH24" i="6"/>
  <c r="DH24" i="6"/>
  <c r="DF24" i="6"/>
  <c r="AT24" i="6"/>
  <c r="CZ24" i="6"/>
  <c r="BB24" i="6"/>
  <c r="DD24" i="6"/>
  <c r="DC24" i="6"/>
  <c r="DQ24" i="6"/>
  <c r="AH24" i="6"/>
  <c r="CW24" i="6"/>
  <c r="BM24" i="6"/>
  <c r="DI24" i="6"/>
  <c r="F21" i="2"/>
  <c r="BA21" i="2"/>
  <c r="DC21" i="2"/>
  <c r="AL21" i="2"/>
  <c r="DN21" i="2"/>
  <c r="X21" i="2"/>
  <c r="CP21" i="2"/>
  <c r="AG21" i="2"/>
  <c r="DB21" i="2"/>
  <c r="AQ21" i="2"/>
  <c r="DO21" i="2"/>
  <c r="BH21" i="2"/>
  <c r="G21" i="2"/>
  <c r="BS21" i="2"/>
  <c r="CG21" i="2"/>
  <c r="CC21" i="2"/>
  <c r="S20" i="5"/>
  <c r="W20" i="5"/>
  <c r="Y20" i="5"/>
  <c r="Z20" i="5"/>
  <c r="AA20" i="5"/>
  <c r="AE20" i="5"/>
  <c r="AW20" i="5"/>
  <c r="AJ20" i="5"/>
  <c r="CV20" i="5"/>
  <c r="AK20" i="5"/>
  <c r="CW20" i="5"/>
  <c r="AT20" i="5"/>
  <c r="DF20" i="5"/>
  <c r="BD20" i="5"/>
  <c r="DP20" i="5"/>
  <c r="DO21" i="3"/>
  <c r="CJ21" i="3"/>
  <c r="BI21" i="3"/>
  <c r="AD21" i="3"/>
  <c r="FB21" i="3"/>
  <c r="DW21" i="3"/>
  <c r="CR21" i="3"/>
  <c r="BQ21" i="3"/>
  <c r="AL21" i="3"/>
  <c r="K21" i="3"/>
  <c r="BW21" i="3"/>
  <c r="EI21" i="3"/>
  <c r="AZ21" i="3"/>
  <c r="DL21" i="3"/>
  <c r="Y21" i="3"/>
  <c r="CK21" i="3"/>
  <c r="EW21" i="3"/>
  <c r="BN21" i="3"/>
  <c r="DZ21" i="3"/>
  <c r="CR22" i="2" l="1"/>
  <c r="CR22" i="3"/>
  <c r="AB22" i="2"/>
  <c r="DF22" i="2"/>
  <c r="AV21" i="5"/>
  <c r="EF22" i="2"/>
  <c r="ED22" i="2"/>
  <c r="BB22" i="2"/>
  <c r="J22" i="2"/>
  <c r="CY22" i="2"/>
  <c r="AR22" i="2"/>
  <c r="AK22" i="2"/>
  <c r="BZ22" i="2"/>
  <c r="DZ22" i="2"/>
  <c r="BD22" i="2"/>
  <c r="AA22" i="2"/>
  <c r="AI22" i="2"/>
  <c r="BG22" i="2"/>
  <c r="AJ22" i="3"/>
  <c r="DL22" i="3"/>
  <c r="DS22" i="3"/>
  <c r="CK22" i="3"/>
  <c r="F22" i="3"/>
  <c r="DV22" i="2"/>
  <c r="EA22" i="2"/>
  <c r="DQ22" i="2"/>
  <c r="AN22" i="2"/>
  <c r="CA22" i="2"/>
  <c r="J22" i="3"/>
  <c r="DJ22" i="3"/>
  <c r="O22" i="3"/>
  <c r="BI22" i="3"/>
  <c r="EH22" i="3"/>
  <c r="EP22" i="3"/>
  <c r="BK22" i="3"/>
  <c r="BJ22" i="2"/>
  <c r="W22" i="2"/>
  <c r="CV22" i="2"/>
  <c r="M22" i="2"/>
  <c r="BW22" i="3"/>
  <c r="EQ22" i="3"/>
  <c r="CY22" i="3"/>
  <c r="DC22" i="3"/>
  <c r="EV22" i="3"/>
  <c r="DO22" i="3"/>
  <c r="S22" i="2"/>
  <c r="N22" i="2"/>
  <c r="BN22" i="2"/>
  <c r="AL22" i="2"/>
  <c r="BE22" i="2"/>
  <c r="CC22" i="3"/>
  <c r="V22" i="3"/>
  <c r="AH22" i="3"/>
  <c r="CP22" i="3"/>
  <c r="AS22" i="3"/>
  <c r="DK22" i="2"/>
  <c r="BL22" i="2"/>
  <c r="BP22" i="2"/>
  <c r="AZ22" i="2"/>
  <c r="AE21" i="5"/>
  <c r="Q22" i="2"/>
  <c r="AV22" i="3"/>
  <c r="AY22" i="3"/>
  <c r="AT22" i="3"/>
  <c r="EM22" i="3"/>
  <c r="DE22" i="3"/>
  <c r="AO21" i="5"/>
  <c r="AX22" i="2"/>
  <c r="CE22" i="2"/>
  <c r="CN22" i="2"/>
  <c r="BS22" i="2"/>
  <c r="CH22" i="2"/>
  <c r="BC22" i="2"/>
  <c r="DP22" i="2"/>
  <c r="CL22" i="2"/>
  <c r="AV22" i="2"/>
  <c r="T22" i="2"/>
  <c r="AC22" i="2"/>
  <c r="BU22" i="2"/>
  <c r="BV22" i="3"/>
  <c r="AG22" i="3"/>
  <c r="BT22" i="3"/>
  <c r="ED22" i="3"/>
  <c r="BX22" i="3"/>
  <c r="CZ22" i="2"/>
  <c r="AD22" i="2"/>
  <c r="AM22" i="2"/>
  <c r="K22" i="2"/>
  <c r="DC22" i="2"/>
  <c r="BX22" i="2"/>
  <c r="O22" i="2"/>
  <c r="DG22" i="2"/>
  <c r="BR22" i="2"/>
  <c r="BV22" i="2"/>
  <c r="BY22" i="2"/>
  <c r="DB22" i="3"/>
  <c r="AW22" i="3"/>
  <c r="CZ22" i="3"/>
  <c r="ET22" i="3"/>
  <c r="CN22" i="3"/>
  <c r="X22" i="2"/>
  <c r="CJ22" i="2"/>
  <c r="BO22" i="2"/>
  <c r="V22" i="2"/>
  <c r="DN22" i="2"/>
  <c r="CI22" i="2"/>
  <c r="Z22" i="2"/>
  <c r="DR22" i="2"/>
  <c r="CX22" i="2"/>
  <c r="CF22" i="2"/>
  <c r="CG22" i="2"/>
  <c r="R22" i="2"/>
  <c r="CD22" i="2"/>
  <c r="DT22" i="2"/>
  <c r="CP22" i="2"/>
  <c r="AF22" i="2"/>
  <c r="DX22" i="2"/>
  <c r="CT22" i="2"/>
  <c r="AJ22" i="2"/>
  <c r="F22" i="2"/>
  <c r="DH22" i="2"/>
  <c r="DB22" i="2"/>
  <c r="CW22" i="2"/>
  <c r="BT22" i="2"/>
  <c r="DJ22" i="2"/>
  <c r="G22" i="2"/>
  <c r="EE22" i="2"/>
  <c r="AQ22" i="2"/>
  <c r="L22" i="2"/>
  <c r="DD22" i="2"/>
  <c r="BF22" i="2"/>
  <c r="P22" i="2"/>
  <c r="DS22" i="2"/>
  <c r="EH22" i="2"/>
  <c r="I22" i="2"/>
  <c r="Z22" i="3"/>
  <c r="CM22" i="3"/>
  <c r="EN22" i="3"/>
  <c r="BN22" i="3"/>
  <c r="X22" i="3"/>
  <c r="DQ22" i="3"/>
  <c r="DF22" i="3"/>
  <c r="CA22" i="3"/>
  <c r="AZ22" i="3"/>
  <c r="U22" i="3"/>
  <c r="F21" i="5"/>
  <c r="CQ22" i="2"/>
  <c r="BI22" i="2"/>
  <c r="AG22" i="2"/>
  <c r="DR22" i="3"/>
  <c r="P22" i="3"/>
  <c r="BM22" i="3"/>
  <c r="S22" i="3"/>
  <c r="DP22" i="3"/>
  <c r="AD22" i="3"/>
  <c r="FB22" i="3"/>
  <c r="DW22" i="3"/>
  <c r="CV22" i="3"/>
  <c r="CG22" i="3"/>
  <c r="DA21" i="5"/>
  <c r="CO22" i="2"/>
  <c r="CS22" i="2"/>
  <c r="EX22" i="3"/>
  <c r="BL22" i="3"/>
  <c r="DY22" i="3"/>
  <c r="CU22" i="3"/>
  <c r="AO22" i="3"/>
  <c r="BR22" i="3"/>
  <c r="AM22" i="3"/>
  <c r="L22" i="3"/>
  <c r="EJ22" i="3"/>
  <c r="DU22" i="3"/>
  <c r="BZ21" i="5"/>
  <c r="BK22" i="2"/>
  <c r="U22" i="2"/>
  <c r="DU22" i="2"/>
  <c r="EG22" i="2"/>
  <c r="AQ22" i="3"/>
  <c r="CB22" i="3"/>
  <c r="R22" i="3"/>
  <c r="EA22" i="3"/>
  <c r="BU22" i="3"/>
  <c r="CH22" i="3"/>
  <c r="BC22" i="3"/>
  <c r="AB22" i="3"/>
  <c r="EZ22" i="3"/>
  <c r="ES22" i="3"/>
  <c r="DP21" i="5"/>
  <c r="BK21" i="5"/>
  <c r="AX21" i="5"/>
  <c r="DJ21" i="5"/>
  <c r="BG21" i="5"/>
  <c r="DS21" i="5"/>
  <c r="BP21" i="5"/>
  <c r="BQ21" i="5"/>
  <c r="AQ25" i="6"/>
  <c r="CQ25" i="6"/>
  <c r="P25" i="6"/>
  <c r="BF22" i="3"/>
  <c r="AA22" i="3"/>
  <c r="EY22" i="3"/>
  <c r="DX22" i="3"/>
  <c r="DI22" i="3"/>
  <c r="CT22" i="3"/>
  <c r="CE22" i="3"/>
  <c r="BD22" i="3"/>
  <c r="Y22" i="3"/>
  <c r="EW22" i="3"/>
  <c r="BJ22" i="3"/>
  <c r="DV22" i="3"/>
  <c r="AE22" i="3"/>
  <c r="CQ22" i="3"/>
  <c r="FC22" i="3"/>
  <c r="BP22" i="3"/>
  <c r="EB22" i="3"/>
  <c r="AK22" i="3"/>
  <c r="CW22" i="3"/>
  <c r="BT21" i="5"/>
  <c r="DO21" i="5"/>
  <c r="AM21" i="5"/>
  <c r="CZ21" i="5"/>
  <c r="AU21" i="5"/>
  <c r="CP21" i="5"/>
  <c r="BE21" i="5"/>
  <c r="DQ21" i="5"/>
  <c r="BN21" i="5"/>
  <c r="K21" i="5"/>
  <c r="BW21" i="5"/>
  <c r="T21" i="5"/>
  <c r="CF21" i="5"/>
  <c r="U21" i="5"/>
  <c r="CG21" i="5"/>
  <c r="AW25" i="6"/>
  <c r="DA25" i="6"/>
  <c r="DQ25" i="6"/>
  <c r="CG25" i="6"/>
  <c r="L25" i="6"/>
  <c r="AP25" i="6"/>
  <c r="BB25" i="6"/>
  <c r="DL25" i="6"/>
  <c r="AA25" i="6"/>
  <c r="CC25" i="6"/>
  <c r="N25" i="6"/>
  <c r="X25" i="6"/>
  <c r="BL25" i="6"/>
  <c r="BT25" i="6"/>
  <c r="CB25" i="6"/>
  <c r="CM22" i="2"/>
  <c r="AP22" i="2"/>
  <c r="DW22" i="2"/>
  <c r="BA22" i="2"/>
  <c r="DM22" i="2"/>
  <c r="AW22" i="2"/>
  <c r="DI22" i="2"/>
  <c r="AS24" i="1"/>
  <c r="DE24" i="1"/>
  <c r="BB24" i="1"/>
  <c r="DN24" i="1"/>
  <c r="BK24" i="1"/>
  <c r="H24" i="1"/>
  <c r="BT24" i="1"/>
  <c r="Q24" i="1"/>
  <c r="CC24" i="1"/>
  <c r="Z24" i="1"/>
  <c r="CL24" i="1"/>
  <c r="AI24" i="1"/>
  <c r="CU24" i="1"/>
  <c r="AR24" i="1"/>
  <c r="DD24" i="1"/>
  <c r="CQ21" i="5"/>
  <c r="O21" i="5"/>
  <c r="BJ21" i="5"/>
  <c r="W21" i="5"/>
  <c r="BR21" i="5"/>
  <c r="DH21" i="5"/>
  <c r="BM21" i="5"/>
  <c r="J21" i="5"/>
  <c r="BV21" i="5"/>
  <c r="S21" i="5"/>
  <c r="CE21" i="5"/>
  <c r="AB21" i="5"/>
  <c r="CN21" i="5"/>
  <c r="AC21" i="5"/>
  <c r="CO21" i="5"/>
  <c r="DJ25" i="6"/>
  <c r="K25" i="6"/>
  <c r="BO25" i="6"/>
  <c r="DF25" i="6"/>
  <c r="BX25" i="6"/>
  <c r="DB25" i="6"/>
  <c r="DN25" i="6"/>
  <c r="BA25" i="6"/>
  <c r="CM25" i="6"/>
  <c r="Z25" i="6"/>
  <c r="BZ25" i="6"/>
  <c r="BD25" i="6"/>
  <c r="CR25" i="6"/>
  <c r="CZ25" i="6"/>
  <c r="DH25" i="6"/>
  <c r="CL22" i="3"/>
  <c r="BG22" i="3"/>
  <c r="AF22" i="3"/>
  <c r="Q22" i="3"/>
  <c r="EO22" i="3"/>
  <c r="DZ22" i="3"/>
  <c r="DK22" i="3"/>
  <c r="CJ22" i="3"/>
  <c r="BE22" i="3"/>
  <c r="N22" i="3"/>
  <c r="BZ22" i="3"/>
  <c r="EL22" i="3"/>
  <c r="AU22" i="3"/>
  <c r="DG22" i="3"/>
  <c r="T22" i="3"/>
  <c r="CF22" i="3"/>
  <c r="ER22" i="3"/>
  <c r="BA22" i="3"/>
  <c r="DM22" i="3"/>
  <c r="DN21" i="5"/>
  <c r="AL21" i="5"/>
  <c r="CB21" i="5"/>
  <c r="AT21" i="5"/>
  <c r="CJ21" i="5"/>
  <c r="I21" i="5"/>
  <c r="BU21" i="5"/>
  <c r="R21" i="5"/>
  <c r="CD21" i="5"/>
  <c r="AA21" i="5"/>
  <c r="CM21" i="5"/>
  <c r="AJ21" i="5"/>
  <c r="CV21" i="5"/>
  <c r="AK21" i="5"/>
  <c r="CW21" i="5"/>
  <c r="CN25" i="6"/>
  <c r="U25" i="6"/>
  <c r="T25" i="6"/>
  <c r="BF25" i="6"/>
  <c r="M25" i="6"/>
  <c r="AY25" i="6"/>
  <c r="BM25" i="6"/>
  <c r="DM25" i="6"/>
  <c r="BH25" i="6"/>
  <c r="CL25" i="6"/>
  <c r="Y25" i="6"/>
  <c r="CJ25" i="6"/>
  <c r="G25" i="6"/>
  <c r="O25" i="6"/>
  <c r="W25" i="6"/>
  <c r="E23" i="2"/>
  <c r="CZ23" i="2" s="1"/>
  <c r="BQ22" i="2"/>
  <c r="EC22" i="2"/>
  <c r="BM22" i="2"/>
  <c r="DY22" i="2"/>
  <c r="BI24" i="1"/>
  <c r="F24" i="1"/>
  <c r="BR24" i="1"/>
  <c r="O24" i="1"/>
  <c r="CA24" i="1"/>
  <c r="X24" i="1"/>
  <c r="CJ24" i="1"/>
  <c r="AG24" i="1"/>
  <c r="CS24" i="1"/>
  <c r="AP24" i="1"/>
  <c r="DB24" i="1"/>
  <c r="AY24" i="1"/>
  <c r="DK24" i="1"/>
  <c r="BH24" i="1"/>
  <c r="DT24" i="1"/>
  <c r="EJ6" i="3"/>
  <c r="EK6" i="3" s="1"/>
  <c r="EL6" i="3" s="1"/>
  <c r="EM6" i="3" s="1"/>
  <c r="EN6" i="3" s="1"/>
  <c r="EO6" i="3" s="1"/>
  <c r="EP6" i="3" s="1"/>
  <c r="EI1" i="3"/>
  <c r="N21" i="5"/>
  <c r="BD21" i="5"/>
  <c r="CY21" i="5"/>
  <c r="BL21" i="5"/>
  <c r="DG21" i="5"/>
  <c r="Q21" i="5"/>
  <c r="CC21" i="5"/>
  <c r="Z21" i="5"/>
  <c r="CL21" i="5"/>
  <c r="AI21" i="5"/>
  <c r="CU21" i="5"/>
  <c r="AR21" i="5"/>
  <c r="DD21" i="5"/>
  <c r="AS21" i="5"/>
  <c r="DE21" i="5"/>
  <c r="AD25" i="6"/>
  <c r="AT25" i="6"/>
  <c r="AK25" i="6"/>
  <c r="DS25" i="6"/>
  <c r="BY25" i="6"/>
  <c r="DK25" i="6"/>
  <c r="J25" i="6"/>
  <c r="BJ25" i="6"/>
  <c r="DT25" i="6"/>
  <c r="AI25" i="6"/>
  <c r="CK25" i="6"/>
  <c r="DP25" i="6"/>
  <c r="AM25" i="6"/>
  <c r="AU25" i="6"/>
  <c r="BC25" i="6"/>
  <c r="BV25" i="1"/>
  <c r="J25" i="1"/>
  <c r="BM25" i="1"/>
  <c r="DP25" i="1"/>
  <c r="BD25" i="1"/>
  <c r="DG25" i="1"/>
  <c r="AU25" i="1"/>
  <c r="CX25" i="1"/>
  <c r="AL25" i="1"/>
  <c r="CO25" i="1"/>
  <c r="AC25" i="1"/>
  <c r="E25" i="1"/>
  <c r="DR25" i="1" s="1"/>
  <c r="CN25" i="1"/>
  <c r="BP25" i="1"/>
  <c r="AB25" i="1"/>
  <c r="DS25" i="1"/>
  <c r="CE25" i="1"/>
  <c r="BG25" i="1"/>
  <c r="S25" i="1"/>
  <c r="BQ24" i="1"/>
  <c r="N24" i="1"/>
  <c r="BZ24" i="1"/>
  <c r="W24" i="1"/>
  <c r="CI24" i="1"/>
  <c r="AF24" i="1"/>
  <c r="CR24" i="1"/>
  <c r="AO24" i="1"/>
  <c r="DA24" i="1"/>
  <c r="AX24" i="1"/>
  <c r="DJ24" i="1"/>
  <c r="BG24" i="1"/>
  <c r="DS24" i="1"/>
  <c r="BP24" i="1"/>
  <c r="E23" i="3"/>
  <c r="DW23" i="3" s="1"/>
  <c r="BQ22" i="3"/>
  <c r="EC22" i="3"/>
  <c r="AF21" i="5"/>
  <c r="CA21" i="5"/>
  <c r="V21" i="5"/>
  <c r="CI21" i="5"/>
  <c r="G21" i="5"/>
  <c r="Y21" i="5"/>
  <c r="CK21" i="5"/>
  <c r="AH21" i="5"/>
  <c r="CT21" i="5"/>
  <c r="AQ21" i="5"/>
  <c r="DC21" i="5"/>
  <c r="AZ21" i="5"/>
  <c r="DL21" i="5"/>
  <c r="BA21" i="5"/>
  <c r="DM21" i="5"/>
  <c r="BE25" i="6"/>
  <c r="DI25" i="6"/>
  <c r="CX25" i="6"/>
  <c r="AJ25" i="6"/>
  <c r="V25" i="6"/>
  <c r="AR25" i="6"/>
  <c r="BV25" i="6"/>
  <c r="I25" i="6"/>
  <c r="BI25" i="6"/>
  <c r="CU25" i="6"/>
  <c r="AH25" i="6"/>
  <c r="AE25" i="6"/>
  <c r="BS25" i="6"/>
  <c r="CA25" i="6"/>
  <c r="CI25" i="6"/>
  <c r="CC22" i="2"/>
  <c r="M24" i="1"/>
  <c r="BY24" i="1"/>
  <c r="V24" i="1"/>
  <c r="CH24" i="1"/>
  <c r="AE24" i="1"/>
  <c r="CQ24" i="1"/>
  <c r="AN24" i="1"/>
  <c r="CZ24" i="1"/>
  <c r="AW24" i="1"/>
  <c r="DI24" i="1"/>
  <c r="BF24" i="1"/>
  <c r="DR24" i="1"/>
  <c r="BO24" i="1"/>
  <c r="L24" i="1"/>
  <c r="BX24" i="1"/>
  <c r="AX22" i="3"/>
  <c r="AI22" i="3"/>
  <c r="H22" i="3"/>
  <c r="EF22" i="3"/>
  <c r="DA22" i="3"/>
  <c r="AL22" i="3"/>
  <c r="CX22" i="3"/>
  <c r="G22" i="3"/>
  <c r="BS22" i="3"/>
  <c r="EE22" i="3"/>
  <c r="AR22" i="3"/>
  <c r="DD22" i="3"/>
  <c r="M22" i="3"/>
  <c r="BY22" i="3"/>
  <c r="EK22" i="3"/>
  <c r="H21" i="5"/>
  <c r="BC21" i="5"/>
  <c r="CX21" i="5"/>
  <c r="AN21" i="5"/>
  <c r="DF21" i="5"/>
  <c r="AD21" i="5"/>
  <c r="AG21" i="5"/>
  <c r="CS21" i="5"/>
  <c r="AP21" i="5"/>
  <c r="DB21" i="5"/>
  <c r="AY21" i="5"/>
  <c r="DK21" i="5"/>
  <c r="BH21" i="5"/>
  <c r="DT21" i="5"/>
  <c r="BI21" i="5"/>
  <c r="DR25" i="6"/>
  <c r="BG25" i="6"/>
  <c r="AX25" i="6"/>
  <c r="CO25" i="6"/>
  <c r="CH25" i="6"/>
  <c r="DD25" i="6"/>
  <c r="S25" i="6"/>
  <c r="BU25" i="6"/>
  <c r="F25" i="6"/>
  <c r="BP25" i="6"/>
  <c r="CT25" i="6"/>
  <c r="BK25" i="6"/>
  <c r="CY25" i="6"/>
  <c r="DG25" i="6"/>
  <c r="DO25" i="6"/>
  <c r="Y22" i="2"/>
  <c r="CK22" i="2"/>
  <c r="U24" i="1"/>
  <c r="CG24" i="1"/>
  <c r="AD24" i="1"/>
  <c r="CP24" i="1"/>
  <c r="AM24" i="1"/>
  <c r="CY24" i="1"/>
  <c r="AV24" i="1"/>
  <c r="DH24" i="1"/>
  <c r="BE24" i="1"/>
  <c r="DQ24" i="1"/>
  <c r="BN24" i="1"/>
  <c r="K24" i="1"/>
  <c r="BW24" i="1"/>
  <c r="T24" i="1"/>
  <c r="CF24" i="1"/>
  <c r="E22" i="5"/>
  <c r="C23" i="5" s="1"/>
  <c r="R25" i="6"/>
  <c r="BR25" i="6"/>
  <c r="H25" i="6"/>
  <c r="AP22" i="3"/>
  <c r="K22" i="3"/>
  <c r="EI22" i="3"/>
  <c r="DH22" i="3"/>
  <c r="CS22" i="3"/>
  <c r="CD22" i="3"/>
  <c r="BO22" i="3"/>
  <c r="AN22" i="3"/>
  <c r="I22" i="3"/>
  <c r="EG22" i="3"/>
  <c r="BB22" i="3"/>
  <c r="DN22" i="3"/>
  <c r="W22" i="3"/>
  <c r="CI22" i="3"/>
  <c r="EU22" i="3"/>
  <c r="BH22" i="3"/>
  <c r="DT22" i="3"/>
  <c r="AC22" i="3"/>
  <c r="CO22" i="3"/>
  <c r="FA22" i="3"/>
  <c r="BB21" i="5"/>
  <c r="CR21" i="5"/>
  <c r="P21" i="5"/>
  <c r="CH21" i="5"/>
  <c r="X21" i="5"/>
  <c r="BS21" i="5"/>
  <c r="AW21" i="5"/>
  <c r="DI21" i="5"/>
  <c r="BF21" i="5"/>
  <c r="DR21" i="5"/>
  <c r="BO21" i="5"/>
  <c r="L21" i="5"/>
  <c r="BX21" i="5"/>
  <c r="M21" i="5"/>
  <c r="BY21" i="5"/>
  <c r="CW25" i="6"/>
  <c r="AL25" i="6"/>
  <c r="CP25" i="6"/>
  <c r="AB25" i="6"/>
  <c r="BN25" i="6"/>
  <c r="CS25" i="6"/>
  <c r="DE25" i="6"/>
  <c r="AZ25" i="6"/>
  <c r="CD25" i="6"/>
  <c r="Q25" i="6"/>
  <c r="BQ25" i="6"/>
  <c r="DC25" i="6"/>
  <c r="AF25" i="6"/>
  <c r="AN25" i="6"/>
  <c r="AT22" i="2"/>
  <c r="AY22" i="2"/>
  <c r="BH22" i="2"/>
  <c r="H22" i="2"/>
  <c r="CU22" i="2"/>
  <c r="BW22" i="2"/>
  <c r="AH22" i="2"/>
  <c r="DO22" i="2"/>
  <c r="AU22" i="2"/>
  <c r="EB22" i="2"/>
  <c r="CB22" i="2"/>
  <c r="AE22" i="2"/>
  <c r="DL22" i="2"/>
  <c r="AS22" i="2"/>
  <c r="DE22" i="2"/>
  <c r="AO22" i="2"/>
  <c r="DA22" i="2"/>
  <c r="AK24" i="1"/>
  <c r="CW24" i="1"/>
  <c r="AT24" i="1"/>
  <c r="DF24" i="1"/>
  <c r="BC24" i="1"/>
  <c r="DO24" i="1"/>
  <c r="BL24" i="1"/>
  <c r="I24" i="1"/>
  <c r="BU24" i="1"/>
  <c r="R24" i="1"/>
  <c r="CD24" i="1"/>
  <c r="AA24" i="1"/>
  <c r="CM24" i="1"/>
  <c r="AJ24" i="1"/>
  <c r="CV24" i="1"/>
  <c r="CO23" i="3" l="1"/>
  <c r="AR23" i="3"/>
  <c r="DH23" i="3"/>
  <c r="CZ22" i="5"/>
  <c r="DR22" i="5"/>
  <c r="FC23" i="3"/>
  <c r="CU23" i="3"/>
  <c r="U23" i="2"/>
  <c r="BW23" i="2"/>
  <c r="BO22" i="5"/>
  <c r="N22" i="5"/>
  <c r="BI22" i="5"/>
  <c r="DB23" i="2"/>
  <c r="BH23" i="2"/>
  <c r="DK23" i="2"/>
  <c r="H23" i="2"/>
  <c r="CE23" i="2"/>
  <c r="AJ22" i="5"/>
  <c r="CQ22" i="5"/>
  <c r="AI23" i="2"/>
  <c r="DF23" i="2"/>
  <c r="AK23" i="2"/>
  <c r="I23" i="2"/>
  <c r="BC23" i="2"/>
  <c r="BG23" i="2"/>
  <c r="V22" i="5"/>
  <c r="BQ22" i="5"/>
  <c r="EG23" i="2"/>
  <c r="DE23" i="2"/>
  <c r="ED23" i="2"/>
  <c r="DL22" i="5"/>
  <c r="BA23" i="2"/>
  <c r="N23" i="2"/>
  <c r="CY23" i="2"/>
  <c r="CF23" i="2"/>
  <c r="W23" i="2"/>
  <c r="F23" i="2"/>
  <c r="CJ23" i="2"/>
  <c r="AE22" i="5"/>
  <c r="EK23" i="3"/>
  <c r="S23" i="2"/>
  <c r="BY23" i="2"/>
  <c r="BQ23" i="2"/>
  <c r="DY23" i="2"/>
  <c r="AN22" i="5"/>
  <c r="AJ23" i="3"/>
  <c r="BF22" i="5"/>
  <c r="BA23" i="3"/>
  <c r="AP23" i="2"/>
  <c r="DM23" i="2"/>
  <c r="BZ23" i="2"/>
  <c r="AC23" i="2"/>
  <c r="AF23" i="2"/>
  <c r="DT23" i="3"/>
  <c r="EW23" i="3"/>
  <c r="EE23" i="2"/>
  <c r="DX23" i="2"/>
  <c r="CK23" i="3"/>
  <c r="CP23" i="2"/>
  <c r="DA23" i="2"/>
  <c r="BV23" i="2"/>
  <c r="AS23" i="2"/>
  <c r="DZ23" i="2"/>
  <c r="CU23" i="2"/>
  <c r="BF23" i="2"/>
  <c r="AW23" i="2"/>
  <c r="R23" i="2"/>
  <c r="DU23" i="2"/>
  <c r="DN23" i="2"/>
  <c r="BX23" i="2"/>
  <c r="X23" i="2"/>
  <c r="DP23" i="2"/>
  <c r="AW22" i="5"/>
  <c r="BN23" i="3"/>
  <c r="Z23" i="3"/>
  <c r="BJ23" i="3"/>
  <c r="J23" i="2"/>
  <c r="BK23" i="2"/>
  <c r="AO23" i="2"/>
  <c r="BN23" i="2"/>
  <c r="Y23" i="2"/>
  <c r="DQ23" i="2"/>
  <c r="CW23" i="2"/>
  <c r="BR23" i="2"/>
  <c r="AM23" i="2"/>
  <c r="AG23" i="2"/>
  <c r="L23" i="2"/>
  <c r="CN23" i="2"/>
  <c r="BD23" i="2"/>
  <c r="EF23" i="2"/>
  <c r="DI22" i="5"/>
  <c r="DJ23" i="3"/>
  <c r="EX23" i="3"/>
  <c r="DV23" i="3"/>
  <c r="DG23" i="2"/>
  <c r="CC23" i="2"/>
  <c r="AX23" i="2"/>
  <c r="AQ23" i="2"/>
  <c r="T23" i="2"/>
  <c r="CV23" i="2"/>
  <c r="BL23" i="2"/>
  <c r="AY23" i="3"/>
  <c r="DS23" i="3"/>
  <c r="AE23" i="3"/>
  <c r="CG23" i="2"/>
  <c r="CQ23" i="2"/>
  <c r="AD23" i="2"/>
  <c r="DV23" i="2"/>
  <c r="CI23" i="2"/>
  <c r="BE23" i="2"/>
  <c r="O23" i="2"/>
  <c r="DR23" i="2"/>
  <c r="CM23" i="2"/>
  <c r="CD23" i="2"/>
  <c r="BB23" i="2"/>
  <c r="AB23" i="2"/>
  <c r="DT23" i="2"/>
  <c r="BT23" i="2"/>
  <c r="AV23" i="3"/>
  <c r="CQ23" i="3"/>
  <c r="DW23" i="2"/>
  <c r="EH23" i="2"/>
  <c r="BU23" i="2"/>
  <c r="M23" i="2"/>
  <c r="CT23" i="2"/>
  <c r="BO23" i="2"/>
  <c r="Z23" i="2"/>
  <c r="EC23" i="2"/>
  <c r="CX23" i="2"/>
  <c r="CO23" i="2"/>
  <c r="BM23" i="2"/>
  <c r="AJ23" i="2"/>
  <c r="EB23" i="2"/>
  <c r="CB23" i="2"/>
  <c r="M23" i="3"/>
  <c r="CF23" i="3"/>
  <c r="Y23" i="3"/>
  <c r="AY23" i="2"/>
  <c r="BJ23" i="2"/>
  <c r="AE23" i="2"/>
  <c r="AH23" i="2"/>
  <c r="DO23" i="2"/>
  <c r="CK23" i="2"/>
  <c r="AU23" i="2"/>
  <c r="Q23" i="2"/>
  <c r="G23" i="2"/>
  <c r="DJ23" i="2"/>
  <c r="CH23" i="2"/>
  <c r="BP23" i="2"/>
  <c r="P23" i="2"/>
  <c r="CR23" i="2"/>
  <c r="E23" i="5"/>
  <c r="CJ23" i="5" s="1"/>
  <c r="AZ22" i="5"/>
  <c r="G22" i="5"/>
  <c r="BS22" i="5"/>
  <c r="P22" i="5"/>
  <c r="CB22" i="5"/>
  <c r="Y22" i="5"/>
  <c r="AH22" i="5"/>
  <c r="CT22" i="5"/>
  <c r="AQ22" i="5"/>
  <c r="DC22" i="5"/>
  <c r="AL22" i="5"/>
  <c r="DD22" i="5"/>
  <c r="AT22" i="5"/>
  <c r="CO22" i="5"/>
  <c r="M22" i="5"/>
  <c r="W22" i="5"/>
  <c r="CI22" i="5"/>
  <c r="AF22" i="5"/>
  <c r="CR22" i="5"/>
  <c r="AO22" i="5"/>
  <c r="DA22" i="5"/>
  <c r="AX22" i="5"/>
  <c r="DJ22" i="5"/>
  <c r="BG22" i="5"/>
  <c r="DS22" i="5"/>
  <c r="AB23" i="3"/>
  <c r="EZ23" i="3"/>
  <c r="DU23" i="3"/>
  <c r="CT23" i="3"/>
  <c r="CE23" i="3"/>
  <c r="BP23" i="3"/>
  <c r="AK23" i="3"/>
  <c r="J23" i="3"/>
  <c r="EH23" i="3"/>
  <c r="DC23" i="3"/>
  <c r="AN23" i="3"/>
  <c r="CZ23" i="3"/>
  <c r="Q23" i="3"/>
  <c r="CC23" i="3"/>
  <c r="EO23" i="3"/>
  <c r="BB23" i="3"/>
  <c r="DN23" i="3"/>
  <c r="W23" i="3"/>
  <c r="CI23" i="3"/>
  <c r="EU23" i="3"/>
  <c r="K25" i="1"/>
  <c r="BW25" i="1"/>
  <c r="T25" i="1"/>
  <c r="CF25" i="1"/>
  <c r="U25" i="1"/>
  <c r="CG25" i="1"/>
  <c r="AD25" i="1"/>
  <c r="CP25" i="1"/>
  <c r="AM25" i="1"/>
  <c r="CY25" i="1"/>
  <c r="AV25" i="1"/>
  <c r="DH25" i="1"/>
  <c r="BE25" i="1"/>
  <c r="DQ25" i="1"/>
  <c r="BN25" i="1"/>
  <c r="AK22" i="5"/>
  <c r="CF22" i="5"/>
  <c r="AS22" i="5"/>
  <c r="CN22" i="5"/>
  <c r="L22" i="5"/>
  <c r="BB22" i="5"/>
  <c r="AM22" i="5"/>
  <c r="CY22" i="5"/>
  <c r="AV22" i="5"/>
  <c r="DH22" i="5"/>
  <c r="BE22" i="5"/>
  <c r="DQ22" i="5"/>
  <c r="BN22" i="5"/>
  <c r="K22" i="5"/>
  <c r="BW22" i="5"/>
  <c r="BH23" i="3"/>
  <c r="AC23" i="3"/>
  <c r="FA23" i="3"/>
  <c r="DZ23" i="3"/>
  <c r="DK23" i="3"/>
  <c r="CV23" i="3"/>
  <c r="BQ23" i="3"/>
  <c r="AP23" i="3"/>
  <c r="K23" i="3"/>
  <c r="EI23" i="3"/>
  <c r="BD23" i="3"/>
  <c r="DP23" i="3"/>
  <c r="AG23" i="3"/>
  <c r="CS23" i="3"/>
  <c r="F23" i="3"/>
  <c r="BR23" i="3"/>
  <c r="ED23" i="3"/>
  <c r="AM23" i="3"/>
  <c r="CY23" i="3"/>
  <c r="AA25" i="1"/>
  <c r="CM25" i="1"/>
  <c r="AJ25" i="1"/>
  <c r="CV25" i="1"/>
  <c r="AK25" i="1"/>
  <c r="CW25" i="1"/>
  <c r="AT25" i="1"/>
  <c r="DF25" i="1"/>
  <c r="BC25" i="1"/>
  <c r="DO25" i="1"/>
  <c r="BL25" i="1"/>
  <c r="I25" i="1"/>
  <c r="BU25" i="1"/>
  <c r="R25" i="1"/>
  <c r="CD25" i="1"/>
  <c r="BH22" i="5"/>
  <c r="CX22" i="5"/>
  <c r="BP22" i="5"/>
  <c r="DF22" i="5"/>
  <c r="AD22" i="5"/>
  <c r="BY22" i="5"/>
  <c r="AU22" i="5"/>
  <c r="DG22" i="5"/>
  <c r="BD22" i="5"/>
  <c r="DP22" i="5"/>
  <c r="BM22" i="5"/>
  <c r="J22" i="5"/>
  <c r="BV22" i="5"/>
  <c r="S22" i="5"/>
  <c r="CE22" i="5"/>
  <c r="BX23" i="3"/>
  <c r="AS23" i="3"/>
  <c r="R23" i="3"/>
  <c r="EP23" i="3"/>
  <c r="EA23" i="3"/>
  <c r="DL23" i="3"/>
  <c r="CG23" i="3"/>
  <c r="BF23" i="3"/>
  <c r="AA23" i="3"/>
  <c r="EY23" i="3"/>
  <c r="BL23" i="3"/>
  <c r="DX23" i="3"/>
  <c r="AO23" i="3"/>
  <c r="DA23" i="3"/>
  <c r="N23" i="3"/>
  <c r="BZ23" i="3"/>
  <c r="EL23" i="3"/>
  <c r="AU23" i="3"/>
  <c r="DG23" i="3"/>
  <c r="AI25" i="1"/>
  <c r="CU25" i="1"/>
  <c r="AR25" i="1"/>
  <c r="DD25" i="1"/>
  <c r="AS25" i="1"/>
  <c r="DE25" i="1"/>
  <c r="BB25" i="1"/>
  <c r="DN25" i="1"/>
  <c r="BK25" i="1"/>
  <c r="H25" i="1"/>
  <c r="BT25" i="1"/>
  <c r="Q25" i="1"/>
  <c r="CC25" i="1"/>
  <c r="Z25" i="1"/>
  <c r="CL25" i="1"/>
  <c r="BZ22" i="5"/>
  <c r="U22" i="5"/>
  <c r="CH22" i="5"/>
  <c r="F22" i="5"/>
  <c r="BA22" i="5"/>
  <c r="CV22" i="5"/>
  <c r="BC22" i="5"/>
  <c r="DO22" i="5"/>
  <c r="BL22" i="5"/>
  <c r="I22" i="5"/>
  <c r="BU22" i="5"/>
  <c r="R22" i="5"/>
  <c r="CD22" i="5"/>
  <c r="AA22" i="5"/>
  <c r="CM22" i="5"/>
  <c r="CN23" i="3"/>
  <c r="BI23" i="3"/>
  <c r="AH23" i="3"/>
  <c r="S23" i="3"/>
  <c r="EQ23" i="3"/>
  <c r="EB23" i="3"/>
  <c r="CW23" i="3"/>
  <c r="BV23" i="3"/>
  <c r="AQ23" i="3"/>
  <c r="H23" i="3"/>
  <c r="BT23" i="3"/>
  <c r="EF23" i="3"/>
  <c r="AW23" i="3"/>
  <c r="DI23" i="3"/>
  <c r="V23" i="3"/>
  <c r="CH23" i="3"/>
  <c r="ET23" i="3"/>
  <c r="BC23" i="3"/>
  <c r="DO23" i="3"/>
  <c r="AQ25" i="1"/>
  <c r="DC25" i="1"/>
  <c r="AZ25" i="1"/>
  <c r="DL25" i="1"/>
  <c r="BA25" i="1"/>
  <c r="DM25" i="1"/>
  <c r="BJ25" i="1"/>
  <c r="G25" i="1"/>
  <c r="BS25" i="1"/>
  <c r="P25" i="1"/>
  <c r="CB25" i="1"/>
  <c r="Y25" i="1"/>
  <c r="CK25" i="1"/>
  <c r="AH25" i="1"/>
  <c r="CT25" i="1"/>
  <c r="AT23" i="2"/>
  <c r="EA23" i="2"/>
  <c r="CA23" i="2"/>
  <c r="AA23" i="2"/>
  <c r="DI23" i="2"/>
  <c r="BI23" i="2"/>
  <c r="K23" i="2"/>
  <c r="CS23" i="2"/>
  <c r="AR23" i="2"/>
  <c r="DD23" i="2"/>
  <c r="AN23" i="2"/>
  <c r="CW22" i="5"/>
  <c r="AR22" i="5"/>
  <c r="DE22" i="5"/>
  <c r="AC22" i="5"/>
  <c r="BX22" i="5"/>
  <c r="DN22" i="5"/>
  <c r="BK22" i="5"/>
  <c r="H22" i="5"/>
  <c r="BT22" i="5"/>
  <c r="Q22" i="5"/>
  <c r="CC22" i="5"/>
  <c r="Z22" i="5"/>
  <c r="CL22" i="5"/>
  <c r="AI22" i="5"/>
  <c r="CU22" i="5"/>
  <c r="DD23" i="3"/>
  <c r="BY23" i="3"/>
  <c r="AX23" i="3"/>
  <c r="AI23" i="3"/>
  <c r="T23" i="3"/>
  <c r="ER23" i="3"/>
  <c r="DM23" i="3"/>
  <c r="CL23" i="3"/>
  <c r="BG23" i="3"/>
  <c r="P23" i="3"/>
  <c r="CB23" i="3"/>
  <c r="EN23" i="3"/>
  <c r="BE23" i="3"/>
  <c r="DQ23" i="3"/>
  <c r="AD23" i="3"/>
  <c r="CP23" i="3"/>
  <c r="FB23" i="3"/>
  <c r="BK23" i="3"/>
  <c r="AY25" i="1"/>
  <c r="DK25" i="1"/>
  <c r="BH25" i="1"/>
  <c r="DT25" i="1"/>
  <c r="BI25" i="1"/>
  <c r="F25" i="1"/>
  <c r="BR25" i="1"/>
  <c r="O25" i="1"/>
  <c r="CA25" i="1"/>
  <c r="X25" i="1"/>
  <c r="CJ25" i="1"/>
  <c r="AG25" i="1"/>
  <c r="CS25" i="1"/>
  <c r="AP25" i="1"/>
  <c r="DB25" i="1"/>
  <c r="C24" i="2"/>
  <c r="C35" i="2"/>
  <c r="C37" i="2"/>
  <c r="C33" i="2"/>
  <c r="DX35" i="2"/>
  <c r="CV37" i="2"/>
  <c r="AJ37" i="2"/>
  <c r="CZ37" i="2"/>
  <c r="AN37" i="2"/>
  <c r="DG37" i="2"/>
  <c r="AU37" i="2"/>
  <c r="DF37" i="2"/>
  <c r="I37" i="2"/>
  <c r="AQ37" i="2"/>
  <c r="BO37" i="2"/>
  <c r="CM37" i="2"/>
  <c r="DK37" i="2"/>
  <c r="M37" i="2"/>
  <c r="AK37" i="2"/>
  <c r="BV37" i="2"/>
  <c r="CS37" i="2"/>
  <c r="DB35" i="2"/>
  <c r="AP35" i="2"/>
  <c r="DF35" i="2"/>
  <c r="AT35" i="2"/>
  <c r="DM35" i="2"/>
  <c r="BA35" i="2"/>
  <c r="CZ35" i="2"/>
  <c r="DW35" i="2"/>
  <c r="X35" i="2"/>
  <c r="BH35" i="2"/>
  <c r="CS35" i="2"/>
  <c r="EE35" i="2"/>
  <c r="AF35" i="2"/>
  <c r="BP35" i="2"/>
  <c r="CN35" i="2"/>
  <c r="AM35" i="2"/>
  <c r="L35" i="2"/>
  <c r="CN37" i="2"/>
  <c r="AB37" i="2"/>
  <c r="CR37" i="2"/>
  <c r="AF37" i="2"/>
  <c r="CY37" i="2"/>
  <c r="AM37" i="2"/>
  <c r="CT37" i="2"/>
  <c r="EC37" i="2"/>
  <c r="AD37" i="2"/>
  <c r="BB37" i="2"/>
  <c r="BZ37" i="2"/>
  <c r="CX37" i="2"/>
  <c r="DV37" i="2"/>
  <c r="Y37" i="2"/>
  <c r="BI37" i="2"/>
  <c r="CT35" i="2"/>
  <c r="AH35" i="2"/>
  <c r="CX35" i="2"/>
  <c r="AL35" i="2"/>
  <c r="DE35" i="2"/>
  <c r="AS35" i="2"/>
  <c r="CM35" i="2"/>
  <c r="DI35" i="2"/>
  <c r="K35" i="2"/>
  <c r="AV35" i="2"/>
  <c r="CF35" i="2"/>
  <c r="DQ35" i="2"/>
  <c r="S35" i="2"/>
  <c r="BD35" i="2"/>
  <c r="CB35" i="2"/>
  <c r="F37" i="2"/>
  <c r="BL35" i="2"/>
  <c r="CK35" i="2"/>
  <c r="DK35" i="2"/>
  <c r="CF37" i="2"/>
  <c r="T37" i="2"/>
  <c r="CJ37" i="2"/>
  <c r="X37" i="2"/>
  <c r="CQ37" i="2"/>
  <c r="AE37" i="2"/>
  <c r="CG37" i="2"/>
  <c r="DQ37" i="2"/>
  <c r="R37" i="2"/>
  <c r="AP37" i="2"/>
  <c r="BN37" i="2"/>
  <c r="CL37" i="2"/>
  <c r="DJ37" i="2"/>
  <c r="K37" i="2"/>
  <c r="AW37" i="2"/>
  <c r="CL35" i="2"/>
  <c r="Z35" i="2"/>
  <c r="CP35" i="2"/>
  <c r="AD35" i="2"/>
  <c r="CW35" i="2"/>
  <c r="AK35" i="2"/>
  <c r="CA35" i="2"/>
  <c r="CV35" i="2"/>
  <c r="EG35" i="2"/>
  <c r="AI35" i="2"/>
  <c r="BT35" i="2"/>
  <c r="DD35" i="2"/>
  <c r="G35" i="2"/>
  <c r="AQ35" i="2"/>
  <c r="BO35" i="2"/>
  <c r="DE37" i="2"/>
  <c r="AG37" i="2"/>
  <c r="BF37" i="2"/>
  <c r="BX37" i="2"/>
  <c r="L37" i="2"/>
  <c r="CB37" i="2"/>
  <c r="P37" i="2"/>
  <c r="CI37" i="2"/>
  <c r="W37" i="2"/>
  <c r="BU37" i="2"/>
  <c r="DC37" i="2"/>
  <c r="EA37" i="2"/>
  <c r="AC37" i="2"/>
  <c r="BA37" i="2"/>
  <c r="BY37" i="2"/>
  <c r="CW37" i="2"/>
  <c r="EH37" i="2"/>
  <c r="AI37" i="2"/>
  <c r="CD35" i="2"/>
  <c r="R35" i="2"/>
  <c r="CH35" i="2"/>
  <c r="V35" i="2"/>
  <c r="CO35" i="2"/>
  <c r="AC35" i="2"/>
  <c r="BM35" i="2"/>
  <c r="CJ35" i="2"/>
  <c r="DT35" i="2"/>
  <c r="W35" i="2"/>
  <c r="BG35" i="2"/>
  <c r="CR35" i="2"/>
  <c r="EB35" i="2"/>
  <c r="AE35" i="2"/>
  <c r="BC35" i="2"/>
  <c r="ED37" i="2"/>
  <c r="CY35" i="2"/>
  <c r="EB37" i="2"/>
  <c r="BP37" i="2"/>
  <c r="EF37" i="2"/>
  <c r="BT37" i="2"/>
  <c r="H37" i="2"/>
  <c r="CA37" i="2"/>
  <c r="O37" i="2"/>
  <c r="BG37" i="2"/>
  <c r="CP37" i="2"/>
  <c r="DN37" i="2"/>
  <c r="Q37" i="2"/>
  <c r="AO37" i="2"/>
  <c r="BM37" i="2"/>
  <c r="CK37" i="2"/>
  <c r="DU37" i="2"/>
  <c r="V37" i="2"/>
  <c r="EH35" i="2"/>
  <c r="BV35" i="2"/>
  <c r="J35" i="2"/>
  <c r="BZ35" i="2"/>
  <c r="N35" i="2"/>
  <c r="CG35" i="2"/>
  <c r="U35" i="2"/>
  <c r="AZ35" i="2"/>
  <c r="BW35" i="2"/>
  <c r="DH35" i="2"/>
  <c r="I35" i="2"/>
  <c r="AU35" i="2"/>
  <c r="CE35" i="2"/>
  <c r="DP35" i="2"/>
  <c r="Q35" i="2"/>
  <c r="AO35" i="2"/>
  <c r="AY35" i="2"/>
  <c r="CE37" i="2"/>
  <c r="BR37" i="2"/>
  <c r="DT37" i="2"/>
  <c r="BH37" i="2"/>
  <c r="DX37" i="2"/>
  <c r="BL37" i="2"/>
  <c r="EE37" i="2"/>
  <c r="BS37" i="2"/>
  <c r="G37" i="2"/>
  <c r="AT37" i="2"/>
  <c r="CD37" i="2"/>
  <c r="DB37" i="2"/>
  <c r="DZ37" i="2"/>
  <c r="AA37" i="2"/>
  <c r="AY37" i="2"/>
  <c r="BW37" i="2"/>
  <c r="DI37" i="2"/>
  <c r="J37" i="2"/>
  <c r="DZ35" i="2"/>
  <c r="BN35" i="2"/>
  <c r="ED35" i="2"/>
  <c r="BR35" i="2"/>
  <c r="F35" i="2"/>
  <c r="BY35" i="2"/>
  <c r="M35" i="2"/>
  <c r="AN35" i="2"/>
  <c r="BK35" i="2"/>
  <c r="CU35" i="2"/>
  <c r="EF35" i="2"/>
  <c r="AG35" i="2"/>
  <c r="BS35" i="2"/>
  <c r="DC35" i="2"/>
  <c r="EA35" i="2"/>
  <c r="AB35" i="2"/>
  <c r="S37" i="2"/>
  <c r="DL37" i="2"/>
  <c r="AZ37" i="2"/>
  <c r="DP37" i="2"/>
  <c r="BD37" i="2"/>
  <c r="DW37" i="2"/>
  <c r="BK37" i="2"/>
  <c r="EG37" i="2"/>
  <c r="AH37" i="2"/>
  <c r="BQ37" i="2"/>
  <c r="CO37" i="2"/>
  <c r="DM37" i="2"/>
  <c r="N37" i="2"/>
  <c r="AL37" i="2"/>
  <c r="BJ37" i="2"/>
  <c r="CU37" i="2"/>
  <c r="DR35" i="2"/>
  <c r="BF35" i="2"/>
  <c r="DV35" i="2"/>
  <c r="BJ35" i="2"/>
  <c r="EC35" i="2"/>
  <c r="BQ35" i="2"/>
  <c r="DY35" i="2"/>
  <c r="AA35" i="2"/>
  <c r="AW35" i="2"/>
  <c r="CI35" i="2"/>
  <c r="DS35" i="2"/>
  <c r="T35" i="2"/>
  <c r="BE35" i="2"/>
  <c r="CQ35" i="2"/>
  <c r="DO35" i="2"/>
  <c r="P35" i="2"/>
  <c r="DR37" i="2"/>
  <c r="BX35" i="2"/>
  <c r="DD37" i="2"/>
  <c r="AR37" i="2"/>
  <c r="DH37" i="2"/>
  <c r="AV37" i="2"/>
  <c r="DO37" i="2"/>
  <c r="BC37" i="2"/>
  <c r="DS37" i="2"/>
  <c r="U37" i="2"/>
  <c r="BE37" i="2"/>
  <c r="CC37" i="2"/>
  <c r="DA37" i="2"/>
  <c r="DY37" i="2"/>
  <c r="Z37" i="2"/>
  <c r="AX37" i="2"/>
  <c r="CH37" i="2"/>
  <c r="Y35" i="2"/>
  <c r="DJ35" i="2"/>
  <c r="AX35" i="2"/>
  <c r="DN35" i="2"/>
  <c r="BB35" i="2"/>
  <c r="DU35" i="2"/>
  <c r="BI35" i="2"/>
  <c r="DL35" i="2"/>
  <c r="O35" i="2"/>
  <c r="AJ35" i="2"/>
  <c r="BU35" i="2"/>
  <c r="DG35" i="2"/>
  <c r="H35" i="2"/>
  <c r="AR35" i="2"/>
  <c r="CC35" i="2"/>
  <c r="DA35" i="2"/>
  <c r="AS37" i="2"/>
  <c r="CJ33" i="2"/>
  <c r="X33" i="2"/>
  <c r="CV33" i="2"/>
  <c r="AJ33" i="2"/>
  <c r="DC33" i="2"/>
  <c r="AQ33" i="2"/>
  <c r="CS33" i="2"/>
  <c r="BN33" i="2"/>
  <c r="DM33" i="2"/>
  <c r="N33" i="2"/>
  <c r="CK33" i="2"/>
  <c r="AW33" i="2"/>
  <c r="DU33" i="2"/>
  <c r="V33" i="2"/>
  <c r="DE33" i="2"/>
  <c r="AP33" i="2"/>
  <c r="CB33" i="2"/>
  <c r="P33" i="2"/>
  <c r="CN33" i="2"/>
  <c r="AB33" i="2"/>
  <c r="CU33" i="2"/>
  <c r="AI33" i="2"/>
  <c r="CG33" i="2"/>
  <c r="BB33" i="2"/>
  <c r="CY33" i="2"/>
  <c r="BY33" i="2"/>
  <c r="EH33" i="2"/>
  <c r="AK33" i="2"/>
  <c r="DG33" i="2"/>
  <c r="I33" i="2"/>
  <c r="BE33" i="2"/>
  <c r="EF33" i="2"/>
  <c r="BT33" i="2"/>
  <c r="H33" i="2"/>
  <c r="CF33" i="2"/>
  <c r="T33" i="2"/>
  <c r="CM33" i="2"/>
  <c r="AA33" i="2"/>
  <c r="BS33" i="2"/>
  <c r="EC33" i="2"/>
  <c r="AO33" i="2"/>
  <c r="CL33" i="2"/>
  <c r="BK33" i="2"/>
  <c r="DV33" i="2"/>
  <c r="W33" i="2"/>
  <c r="CT33" i="2"/>
  <c r="DO33" i="2"/>
  <c r="F33" i="2"/>
  <c r="CQ33" i="2"/>
  <c r="DX33" i="2"/>
  <c r="BL33" i="2"/>
  <c r="BX33" i="2"/>
  <c r="L33" i="2"/>
  <c r="CE33" i="2"/>
  <c r="S33" i="2"/>
  <c r="BF33" i="2"/>
  <c r="DZ33" i="2"/>
  <c r="AC33" i="2"/>
  <c r="BZ33" i="2"/>
  <c r="AX33" i="2"/>
  <c r="DI33" i="2"/>
  <c r="J33" i="2"/>
  <c r="CH33" i="2"/>
  <c r="DQ33" i="2"/>
  <c r="BQ33" i="2"/>
  <c r="AS33" i="2"/>
  <c r="ED33" i="2"/>
  <c r="DP33" i="2"/>
  <c r="BD33" i="2"/>
  <c r="EB33" i="2"/>
  <c r="BP33" i="2"/>
  <c r="BW33" i="2"/>
  <c r="K33" i="2"/>
  <c r="AT33" i="2"/>
  <c r="DN33" i="2"/>
  <c r="O33" i="2"/>
  <c r="BM33" i="2"/>
  <c r="AL33" i="2"/>
  <c r="CW33" i="2"/>
  <c r="BU33" i="2"/>
  <c r="BR33" i="2"/>
  <c r="Q33" i="2"/>
  <c r="CC33" i="2"/>
  <c r="DH33" i="2"/>
  <c r="AV33" i="2"/>
  <c r="DT33" i="2"/>
  <c r="BH33" i="2"/>
  <c r="EA33" i="2"/>
  <c r="BO33" i="2"/>
  <c r="EE33" i="2"/>
  <c r="AG33" i="2"/>
  <c r="DA33" i="2"/>
  <c r="BA33" i="2"/>
  <c r="DW33" i="2"/>
  <c r="Y33" i="2"/>
  <c r="CI33" i="2"/>
  <c r="BI33" i="2"/>
  <c r="R33" i="2"/>
  <c r="DB33" i="2"/>
  <c r="CD33" i="2"/>
  <c r="AD33" i="2"/>
  <c r="CZ33" i="2"/>
  <c r="AN33" i="2"/>
  <c r="DL33" i="2"/>
  <c r="AZ33" i="2"/>
  <c r="DS33" i="2"/>
  <c r="BG33" i="2"/>
  <c r="DR33" i="2"/>
  <c r="U33" i="2"/>
  <c r="CO33" i="2"/>
  <c r="AM33" i="2"/>
  <c r="DJ33" i="2"/>
  <c r="M33" i="2"/>
  <c r="BV33" i="2"/>
  <c r="AU33" i="2"/>
  <c r="BC33" i="2"/>
  <c r="AE33" i="2"/>
  <c r="CR33" i="2"/>
  <c r="AF33" i="2"/>
  <c r="DD33" i="2"/>
  <c r="AR33" i="2"/>
  <c r="DK33" i="2"/>
  <c r="AY33" i="2"/>
  <c r="DF33" i="2"/>
  <c r="G33" i="2"/>
  <c r="CA33" i="2"/>
  <c r="DY33" i="2"/>
  <c r="Z33" i="2"/>
  <c r="CX33" i="2"/>
  <c r="BJ33" i="2"/>
  <c r="EG33" i="2"/>
  <c r="AH33" i="2"/>
  <c r="CP33" i="2"/>
  <c r="CL23" i="2"/>
  <c r="AL23" i="2"/>
  <c r="DS23" i="2"/>
  <c r="BS23" i="2"/>
  <c r="V23" i="2"/>
  <c r="DC23" i="2"/>
  <c r="AZ23" i="2"/>
  <c r="DL23" i="2"/>
  <c r="AV23" i="2"/>
  <c r="DH23" i="2"/>
  <c r="DT22" i="5"/>
  <c r="BJ22" i="5"/>
  <c r="CP22" i="5"/>
  <c r="CK22" i="5"/>
  <c r="C35" i="3"/>
  <c r="C33" i="3"/>
  <c r="C37" i="3"/>
  <c r="C24" i="3"/>
  <c r="DK37" i="3"/>
  <c r="AY37" i="3"/>
  <c r="EH37" i="3"/>
  <c r="BV37" i="3"/>
  <c r="J37" i="3"/>
  <c r="CY37" i="3"/>
  <c r="AM37" i="3"/>
  <c r="EC37" i="3"/>
  <c r="BQ37" i="3"/>
  <c r="EZ37" i="3"/>
  <c r="CN37" i="3"/>
  <c r="AB37" i="3"/>
  <c r="AW37" i="3"/>
  <c r="BR37" i="3"/>
  <c r="BM37" i="3"/>
  <c r="AO37" i="3"/>
  <c r="Q37" i="3"/>
  <c r="EG37" i="3"/>
  <c r="EY35" i="3"/>
  <c r="AJ35" i="3"/>
  <c r="CE35" i="3"/>
  <c r="CF35" i="3"/>
  <c r="DF35" i="3"/>
  <c r="AT35" i="3"/>
  <c r="EK35" i="3"/>
  <c r="BY35" i="3"/>
  <c r="M35" i="3"/>
  <c r="CT35" i="3"/>
  <c r="AH35" i="3"/>
  <c r="DP35" i="3"/>
  <c r="BD35" i="3"/>
  <c r="EU35" i="3"/>
  <c r="CI35" i="3"/>
  <c r="W35" i="3"/>
  <c r="AY35" i="3"/>
  <c r="AG35" i="3"/>
  <c r="BX35" i="3"/>
  <c r="DC37" i="3"/>
  <c r="AQ37" i="3"/>
  <c r="DZ37" i="3"/>
  <c r="BN37" i="3"/>
  <c r="FC37" i="3"/>
  <c r="CQ37" i="3"/>
  <c r="AE37" i="3"/>
  <c r="DU37" i="3"/>
  <c r="BI37" i="3"/>
  <c r="ER37" i="3"/>
  <c r="CF37" i="3"/>
  <c r="T37" i="3"/>
  <c r="AD37" i="3"/>
  <c r="AV37" i="3"/>
  <c r="AT37" i="3"/>
  <c r="V37" i="3"/>
  <c r="EN37" i="3"/>
  <c r="EL37" i="3"/>
  <c r="DN37" i="3"/>
  <c r="BG35" i="3"/>
  <c r="DA35" i="3"/>
  <c r="DC35" i="3"/>
  <c r="Y35" i="3"/>
  <c r="AA35" i="3"/>
  <c r="CX35" i="3"/>
  <c r="AL35" i="3"/>
  <c r="EC35" i="3"/>
  <c r="BQ35" i="3"/>
  <c r="EX35" i="3"/>
  <c r="CL35" i="3"/>
  <c r="Z35" i="3"/>
  <c r="DH35" i="3"/>
  <c r="AV35" i="3"/>
  <c r="EM35" i="3"/>
  <c r="CA35" i="3"/>
  <c r="O35" i="3"/>
  <c r="BU35" i="3"/>
  <c r="AZ35" i="3"/>
  <c r="CU35" i="3"/>
  <c r="CU37" i="3"/>
  <c r="AI37" i="3"/>
  <c r="DR37" i="3"/>
  <c r="BF37" i="3"/>
  <c r="EU37" i="3"/>
  <c r="CI37" i="3"/>
  <c r="W37" i="3"/>
  <c r="DM37" i="3"/>
  <c r="BA37" i="3"/>
  <c r="EJ37" i="3"/>
  <c r="BX37" i="3"/>
  <c r="L37" i="3"/>
  <c r="H37" i="3"/>
  <c r="Y37" i="3"/>
  <c r="X37" i="3"/>
  <c r="EO37" i="3"/>
  <c r="DQ37" i="3"/>
  <c r="DP37" i="3"/>
  <c r="CR37" i="3"/>
  <c r="CC35" i="3"/>
  <c r="DT35" i="3"/>
  <c r="DY35" i="3"/>
  <c r="AR35" i="3"/>
  <c r="AW35" i="3"/>
  <c r="FB35" i="3"/>
  <c r="CP35" i="3"/>
  <c r="AD35" i="3"/>
  <c r="DU35" i="3"/>
  <c r="BI35" i="3"/>
  <c r="EP35" i="3"/>
  <c r="CD35" i="3"/>
  <c r="R35" i="3"/>
  <c r="CZ35" i="3"/>
  <c r="AN35" i="3"/>
  <c r="EE35" i="3"/>
  <c r="BS35" i="3"/>
  <c r="G35" i="3"/>
  <c r="CN35" i="3"/>
  <c r="BW35" i="3"/>
  <c r="DQ35" i="3"/>
  <c r="EY37" i="3"/>
  <c r="CM37" i="3"/>
  <c r="AA37" i="3"/>
  <c r="DJ37" i="3"/>
  <c r="AX37" i="3"/>
  <c r="EM37" i="3"/>
  <c r="CA37" i="3"/>
  <c r="O37" i="3"/>
  <c r="DE37" i="3"/>
  <c r="AS37" i="3"/>
  <c r="EB37" i="3"/>
  <c r="BP37" i="3"/>
  <c r="FB37" i="3"/>
  <c r="F37" i="3"/>
  <c r="ET37" i="3"/>
  <c r="DV37" i="3"/>
  <c r="CX37" i="3"/>
  <c r="CS37" i="3"/>
  <c r="BU37" i="3"/>
  <c r="CV35" i="3"/>
  <c r="EQ35" i="3"/>
  <c r="ER35" i="3"/>
  <c r="BO35" i="3"/>
  <c r="BP35" i="3"/>
  <c r="ET35" i="3"/>
  <c r="CH35" i="3"/>
  <c r="V35" i="3"/>
  <c r="DM35" i="3"/>
  <c r="BA35" i="3"/>
  <c r="EH35" i="3"/>
  <c r="BV35" i="3"/>
  <c r="J35" i="3"/>
  <c r="CR35" i="3"/>
  <c r="AF35" i="3"/>
  <c r="DW35" i="3"/>
  <c r="BK35" i="3"/>
  <c r="DK35" i="3"/>
  <c r="CS35" i="3"/>
  <c r="EJ35" i="3"/>
  <c r="EQ37" i="3"/>
  <c r="CE37" i="3"/>
  <c r="S37" i="3"/>
  <c r="DB37" i="3"/>
  <c r="AP37" i="3"/>
  <c r="EE37" i="3"/>
  <c r="BS37" i="3"/>
  <c r="G37" i="3"/>
  <c r="CW37" i="3"/>
  <c r="AK37" i="3"/>
  <c r="DT37" i="3"/>
  <c r="BH37" i="3"/>
  <c r="EF37" i="3"/>
  <c r="EW37" i="3"/>
  <c r="EV37" i="3"/>
  <c r="DX37" i="3"/>
  <c r="CZ37" i="3"/>
  <c r="CB37" i="3"/>
  <c r="BZ37" i="3"/>
  <c r="BB37" i="3"/>
  <c r="DS35" i="3"/>
  <c r="CK35" i="3"/>
  <c r="CM35" i="3"/>
  <c r="EL35" i="3"/>
  <c r="BZ35" i="3"/>
  <c r="N35" i="3"/>
  <c r="DE35" i="3"/>
  <c r="AS35" i="3"/>
  <c r="DZ35" i="3"/>
  <c r="BN35" i="3"/>
  <c r="EV35" i="3"/>
  <c r="CJ35" i="3"/>
  <c r="X35" i="3"/>
  <c r="DO35" i="3"/>
  <c r="BC35" i="3"/>
  <c r="EG35" i="3"/>
  <c r="DL35" i="3"/>
  <c r="EI37" i="3"/>
  <c r="BW37" i="3"/>
  <c r="K37" i="3"/>
  <c r="CT37" i="3"/>
  <c r="AH37" i="3"/>
  <c r="DW37" i="3"/>
  <c r="BK37" i="3"/>
  <c r="FA37" i="3"/>
  <c r="CO37" i="3"/>
  <c r="AC37" i="3"/>
  <c r="DL37" i="3"/>
  <c r="AZ37" i="3"/>
  <c r="DI37" i="3"/>
  <c r="ED37" i="3"/>
  <c r="DY37" i="3"/>
  <c r="DA37" i="3"/>
  <c r="CC37" i="3"/>
  <c r="BE37" i="3"/>
  <c r="BD37" i="3"/>
  <c r="AF37" i="3"/>
  <c r="EO35" i="3"/>
  <c r="S35" i="3"/>
  <c r="T35" i="3"/>
  <c r="DD35" i="3"/>
  <c r="DI35" i="3"/>
  <c r="ED35" i="3"/>
  <c r="BR35" i="3"/>
  <c r="F35" i="3"/>
  <c r="CW35" i="3"/>
  <c r="AK35" i="3"/>
  <c r="DR35" i="3"/>
  <c r="BF35" i="3"/>
  <c r="EN35" i="3"/>
  <c r="CB35" i="3"/>
  <c r="P35" i="3"/>
  <c r="DG35" i="3"/>
  <c r="AU35" i="3"/>
  <c r="EZ35" i="3"/>
  <c r="EI35" i="3"/>
  <c r="L35" i="3"/>
  <c r="EA37" i="3"/>
  <c r="BO37" i="3"/>
  <c r="EX37" i="3"/>
  <c r="CL37" i="3"/>
  <c r="Z37" i="3"/>
  <c r="DO37" i="3"/>
  <c r="BC37" i="3"/>
  <c r="ES37" i="3"/>
  <c r="CG37" i="3"/>
  <c r="U37" i="3"/>
  <c r="DD37" i="3"/>
  <c r="AR37" i="3"/>
  <c r="CP37" i="3"/>
  <c r="DH37" i="3"/>
  <c r="DF37" i="3"/>
  <c r="CH37" i="3"/>
  <c r="BJ37" i="3"/>
  <c r="AL37" i="3"/>
  <c r="AG37" i="3"/>
  <c r="I37" i="3"/>
  <c r="AO35" i="3"/>
  <c r="AQ35" i="3"/>
  <c r="EA35" i="3"/>
  <c r="EB35" i="3"/>
  <c r="DV35" i="3"/>
  <c r="BJ35" i="3"/>
  <c r="FA35" i="3"/>
  <c r="CO35" i="3"/>
  <c r="AC35" i="3"/>
  <c r="DJ35" i="3"/>
  <c r="AX35" i="3"/>
  <c r="EF35" i="3"/>
  <c r="BT35" i="3"/>
  <c r="H35" i="3"/>
  <c r="CY35" i="3"/>
  <c r="AM35" i="3"/>
  <c r="I35" i="3"/>
  <c r="AI35" i="3"/>
  <c r="DS37" i="3"/>
  <c r="BG37" i="3"/>
  <c r="EP37" i="3"/>
  <c r="CD37" i="3"/>
  <c r="R37" i="3"/>
  <c r="DG37" i="3"/>
  <c r="AU37" i="3"/>
  <c r="EK37" i="3"/>
  <c r="BY37" i="3"/>
  <c r="M37" i="3"/>
  <c r="CV37" i="3"/>
  <c r="AJ37" i="3"/>
  <c r="BT37" i="3"/>
  <c r="CK37" i="3"/>
  <c r="CJ37" i="3"/>
  <c r="BL37" i="3"/>
  <c r="AN37" i="3"/>
  <c r="P37" i="3"/>
  <c r="N37" i="3"/>
  <c r="Q35" i="3"/>
  <c r="BH35" i="3"/>
  <c r="BM35" i="3"/>
  <c r="EW35" i="3"/>
  <c r="DN35" i="3"/>
  <c r="BB35" i="3"/>
  <c r="ES35" i="3"/>
  <c r="CG35" i="3"/>
  <c r="U35" i="3"/>
  <c r="DB35" i="3"/>
  <c r="AP35" i="3"/>
  <c r="DX35" i="3"/>
  <c r="BL35" i="3"/>
  <c r="FC35" i="3"/>
  <c r="CQ35" i="3"/>
  <c r="AE35" i="3"/>
  <c r="AB35" i="3"/>
  <c r="K35" i="3"/>
  <c r="BE35" i="3"/>
  <c r="EO33" i="3"/>
  <c r="CC33" i="3"/>
  <c r="Q33" i="3"/>
  <c r="DX33" i="3"/>
  <c r="BL33" i="3"/>
  <c r="DM33" i="3"/>
  <c r="BA33" i="3"/>
  <c r="DC33" i="3"/>
  <c r="AQ33" i="3"/>
  <c r="EX33" i="3"/>
  <c r="CL33" i="3"/>
  <c r="Z33" i="3"/>
  <c r="AM33" i="3"/>
  <c r="AL33" i="3"/>
  <c r="L33" i="3"/>
  <c r="AD33" i="3"/>
  <c r="AU33" i="3"/>
  <c r="BP33" i="3"/>
  <c r="V33" i="3"/>
  <c r="DT33" i="3"/>
  <c r="BZ33" i="3"/>
  <c r="ED33" i="3"/>
  <c r="BU33" i="3"/>
  <c r="CU33" i="3"/>
  <c r="DY33" i="3"/>
  <c r="BM33" i="3"/>
  <c r="DH33" i="3"/>
  <c r="AV33" i="3"/>
  <c r="CW33" i="3"/>
  <c r="AK33" i="3"/>
  <c r="EY33" i="3"/>
  <c r="CM33" i="3"/>
  <c r="AA33" i="3"/>
  <c r="EH33" i="3"/>
  <c r="BV33" i="3"/>
  <c r="J33" i="3"/>
  <c r="DO33" i="3"/>
  <c r="EJ33" i="3"/>
  <c r="FB33" i="3"/>
  <c r="F33" i="3"/>
  <c r="W33" i="3"/>
  <c r="ET33" i="3"/>
  <c r="DQ33" i="3"/>
  <c r="BE33" i="3"/>
  <c r="CZ33" i="3"/>
  <c r="AN33" i="3"/>
  <c r="FA33" i="3"/>
  <c r="CO33" i="3"/>
  <c r="AC33" i="3"/>
  <c r="EQ33" i="3"/>
  <c r="CE33" i="3"/>
  <c r="S33" i="3"/>
  <c r="DZ33" i="3"/>
  <c r="BN33" i="3"/>
  <c r="ER33" i="3"/>
  <c r="EM33" i="3"/>
  <c r="CV33" i="3"/>
  <c r="DN33" i="3"/>
  <c r="EE33" i="3"/>
  <c r="EZ33" i="3"/>
  <c r="DW33" i="3"/>
  <c r="DI33" i="3"/>
  <c r="AW33" i="3"/>
  <c r="CR33" i="3"/>
  <c r="AF33" i="3"/>
  <c r="CG33" i="3"/>
  <c r="U33" i="3"/>
  <c r="EI33" i="3"/>
  <c r="BW33" i="3"/>
  <c r="K33" i="3"/>
  <c r="DR33" i="3"/>
  <c r="BF33" i="3"/>
  <c r="DV33" i="3"/>
  <c r="CQ33" i="3"/>
  <c r="DA33" i="3"/>
  <c r="AO33" i="3"/>
  <c r="EV33" i="3"/>
  <c r="CJ33" i="3"/>
  <c r="X33" i="3"/>
  <c r="EK33" i="3"/>
  <c r="BY33" i="3"/>
  <c r="M33" i="3"/>
  <c r="EA33" i="3"/>
  <c r="BO33" i="3"/>
  <c r="DJ33" i="3"/>
  <c r="AX33" i="3"/>
  <c r="CY33" i="3"/>
  <c r="CX33" i="3"/>
  <c r="BC33" i="3"/>
  <c r="BX33" i="3"/>
  <c r="CP33" i="3"/>
  <c r="DG33" i="3"/>
  <c r="EB33" i="3"/>
  <c r="CH33" i="3"/>
  <c r="CS33" i="3"/>
  <c r="AG33" i="3"/>
  <c r="EN33" i="3"/>
  <c r="CB33" i="3"/>
  <c r="P33" i="3"/>
  <c r="EC33" i="3"/>
  <c r="BQ33" i="3"/>
  <c r="DS33" i="3"/>
  <c r="BG33" i="3"/>
  <c r="DB33" i="3"/>
  <c r="AP33" i="3"/>
  <c r="CF33" i="3"/>
  <c r="CA33" i="3"/>
  <c r="AJ33" i="3"/>
  <c r="BB33" i="3"/>
  <c r="BS33" i="3"/>
  <c r="CN33" i="3"/>
  <c r="DF33" i="3"/>
  <c r="BK33" i="3"/>
  <c r="EW33" i="3"/>
  <c r="CK33" i="3"/>
  <c r="Y33" i="3"/>
  <c r="EF33" i="3"/>
  <c r="BT33" i="3"/>
  <c r="H33" i="3"/>
  <c r="DU33" i="3"/>
  <c r="BI33" i="3"/>
  <c r="DK33" i="3"/>
  <c r="AY33" i="3"/>
  <c r="CT33" i="3"/>
  <c r="AH33" i="3"/>
  <c r="BJ33" i="3"/>
  <c r="BH33" i="3"/>
  <c r="N33" i="3"/>
  <c r="AE33" i="3"/>
  <c r="AZ33" i="3"/>
  <c r="BR33" i="3"/>
  <c r="CI33" i="3"/>
  <c r="AR33" i="3"/>
  <c r="EG33" i="3"/>
  <c r="I33" i="3"/>
  <c r="DP33" i="3"/>
  <c r="BD33" i="3"/>
  <c r="DE33" i="3"/>
  <c r="AS33" i="3"/>
  <c r="AI33" i="3"/>
  <c r="EP33" i="3"/>
  <c r="CD33" i="3"/>
  <c r="R33" i="3"/>
  <c r="T33" i="3"/>
  <c r="O33" i="3"/>
  <c r="EL33" i="3"/>
  <c r="FC33" i="3"/>
  <c r="G33" i="3"/>
  <c r="AB33" i="3"/>
  <c r="AT33" i="3"/>
  <c r="ES33" i="3"/>
  <c r="DL33" i="3"/>
  <c r="EU33" i="3"/>
  <c r="DD33" i="3"/>
  <c r="EC23" i="3"/>
  <c r="DB23" i="3"/>
  <c r="BW23" i="3"/>
  <c r="X23" i="3"/>
  <c r="CJ23" i="3"/>
  <c r="EV23" i="3"/>
  <c r="BM23" i="3"/>
  <c r="DY23" i="3"/>
  <c r="AL23" i="3"/>
  <c r="CX23" i="3"/>
  <c r="G23" i="3"/>
  <c r="BS23" i="3"/>
  <c r="EE23" i="3"/>
  <c r="BQ25" i="1"/>
  <c r="N25" i="1"/>
  <c r="BZ25" i="1"/>
  <c r="W25" i="1"/>
  <c r="CI25" i="1"/>
  <c r="AF25" i="1"/>
  <c r="CR25" i="1"/>
  <c r="AO25" i="1"/>
  <c r="DA25" i="1"/>
  <c r="AX25" i="1"/>
  <c r="DJ25" i="1"/>
  <c r="T22" i="5"/>
  <c r="CG22" i="5"/>
  <c r="AB22" i="5"/>
  <c r="BR22" i="5"/>
  <c r="DM22" i="5"/>
  <c r="O22" i="5"/>
  <c r="CA22" i="5"/>
  <c r="X22" i="5"/>
  <c r="CJ22" i="5"/>
  <c r="AG22" i="5"/>
  <c r="CS22" i="5"/>
  <c r="AP22" i="5"/>
  <c r="DB22" i="5"/>
  <c r="AY22" i="5"/>
  <c r="DK22" i="5"/>
  <c r="L23" i="3"/>
  <c r="EJ23" i="3"/>
  <c r="DE23" i="3"/>
  <c r="CD23" i="3"/>
  <c r="BO23" i="3"/>
  <c r="AZ23" i="3"/>
  <c r="U23" i="3"/>
  <c r="ES23" i="3"/>
  <c r="DR23" i="3"/>
  <c r="CM23" i="3"/>
  <c r="AF23" i="3"/>
  <c r="CR23" i="3"/>
  <c r="I23" i="3"/>
  <c r="BU23" i="3"/>
  <c r="EG23" i="3"/>
  <c r="AT23" i="3"/>
  <c r="DF23" i="3"/>
  <c r="O23" i="3"/>
  <c r="CA23" i="3"/>
  <c r="EM23" i="3"/>
  <c r="BO25" i="1"/>
  <c r="L25" i="1"/>
  <c r="BX25" i="1"/>
  <c r="M25" i="1"/>
  <c r="BY25" i="1"/>
  <c r="V25" i="1"/>
  <c r="CH25" i="1"/>
  <c r="AE25" i="1"/>
  <c r="CQ25" i="1"/>
  <c r="AN25" i="1"/>
  <c r="CZ25" i="1"/>
  <c r="AW25" i="1"/>
  <c r="DI25" i="1"/>
  <c r="BF25" i="1"/>
  <c r="EQ6" i="3"/>
  <c r="ER6" i="3" s="1"/>
  <c r="ES6" i="3" s="1"/>
  <c r="ET6" i="3" s="1"/>
  <c r="EU6" i="3" s="1"/>
  <c r="EV6" i="3" s="1"/>
  <c r="EW6" i="3" s="1"/>
  <c r="EP1" i="3"/>
  <c r="S23" i="5" l="1"/>
  <c r="DE23" i="5"/>
  <c r="CY23" i="5"/>
  <c r="CP23" i="5"/>
  <c r="CK23" i="5"/>
  <c r="AX23" i="5"/>
  <c r="K23" i="5"/>
  <c r="DR23" i="5"/>
  <c r="AR23" i="5"/>
  <c r="DT23" i="5"/>
  <c r="CW23" i="5"/>
  <c r="BR23" i="5"/>
  <c r="BS23" i="5"/>
  <c r="CB23" i="5"/>
  <c r="AP23" i="5"/>
  <c r="Z23" i="5"/>
  <c r="CM23" i="5"/>
  <c r="BW23" i="5"/>
  <c r="BG23" i="5"/>
  <c r="BH23" i="5"/>
  <c r="U23" i="5"/>
  <c r="DM23" i="5"/>
  <c r="DF23" i="5"/>
  <c r="DO23" i="5"/>
  <c r="BM23" i="5"/>
  <c r="AW23" i="5"/>
  <c r="DJ23" i="5"/>
  <c r="DQ23" i="5"/>
  <c r="CD23" i="5"/>
  <c r="BP23" i="5"/>
  <c r="AK23" i="5"/>
  <c r="F23" i="5"/>
  <c r="DN23" i="5"/>
  <c r="H23" i="5"/>
  <c r="CE23" i="5"/>
  <c r="BO23" i="5"/>
  <c r="AG23" i="5"/>
  <c r="Q23" i="5"/>
  <c r="DA23" i="5"/>
  <c r="CF23" i="5"/>
  <c r="AS23" i="5"/>
  <c r="AD23" i="5"/>
  <c r="G23" i="5"/>
  <c r="P23" i="5"/>
  <c r="DC23" i="5"/>
  <c r="BU23" i="5"/>
  <c r="AH23" i="5"/>
  <c r="AO23" i="5"/>
  <c r="AZ23" i="5"/>
  <c r="DH23" i="5"/>
  <c r="DB23" i="5"/>
  <c r="CL23" i="5"/>
  <c r="BV23" i="5"/>
  <c r="AI23" i="5"/>
  <c r="DS23" i="5"/>
  <c r="CV23" i="5"/>
  <c r="BA23" i="5"/>
  <c r="AT23" i="5"/>
  <c r="AM23" i="5"/>
  <c r="AV23" i="5"/>
  <c r="Y23" i="5"/>
  <c r="DI23" i="5"/>
  <c r="CS23" i="5"/>
  <c r="BF23" i="5"/>
  <c r="T23" i="5"/>
  <c r="DD23" i="5"/>
  <c r="BI23" i="5"/>
  <c r="BB23" i="5"/>
  <c r="BC23" i="5"/>
  <c r="BL23" i="5"/>
  <c r="AQ23" i="5"/>
  <c r="AA23" i="5"/>
  <c r="DK23" i="5"/>
  <c r="CC23" i="5"/>
  <c r="AJ23" i="5"/>
  <c r="DL23" i="5"/>
  <c r="CG23" i="5"/>
  <c r="BJ23" i="5"/>
  <c r="BK23" i="5"/>
  <c r="BT23" i="5"/>
  <c r="EW1" i="3"/>
  <c r="EX6" i="3"/>
  <c r="EY6" i="3" s="1"/>
  <c r="EZ6" i="3" s="1"/>
  <c r="FA6" i="3" s="1"/>
  <c r="FB6" i="3" s="1"/>
  <c r="FC6" i="3" s="1"/>
  <c r="E24" i="3"/>
  <c r="C25" i="3" s="1"/>
  <c r="O23" i="5"/>
  <c r="CA23" i="5"/>
  <c r="X23" i="5"/>
  <c r="EV40" i="3"/>
  <c r="EN40" i="3"/>
  <c r="EF40" i="3"/>
  <c r="DX40" i="3"/>
  <c r="DP40" i="3"/>
  <c r="DH40" i="3"/>
  <c r="CZ40" i="3"/>
  <c r="CR40" i="3"/>
  <c r="CJ40" i="3"/>
  <c r="CB40" i="3"/>
  <c r="BT40" i="3"/>
  <c r="BL40" i="3"/>
  <c r="BD40" i="3"/>
  <c r="AV40" i="3"/>
  <c r="AN40" i="3"/>
  <c r="AF40" i="3"/>
  <c r="X40" i="3"/>
  <c r="P40" i="3"/>
  <c r="H40" i="3"/>
  <c r="FC40" i="3"/>
  <c r="EU40" i="3"/>
  <c r="EM40" i="3"/>
  <c r="EE40" i="3"/>
  <c r="DW40" i="3"/>
  <c r="DO40" i="3"/>
  <c r="DG40" i="3"/>
  <c r="CY40" i="3"/>
  <c r="CQ40" i="3"/>
  <c r="CI40" i="3"/>
  <c r="CA40" i="3"/>
  <c r="BS40" i="3"/>
  <c r="BK40" i="3"/>
  <c r="BC40" i="3"/>
  <c r="AU40" i="3"/>
  <c r="AM40" i="3"/>
  <c r="AE40" i="3"/>
  <c r="W40" i="3"/>
  <c r="O40" i="3"/>
  <c r="G40" i="3"/>
  <c r="FA40" i="3"/>
  <c r="ES40" i="3"/>
  <c r="EK40" i="3"/>
  <c r="EC40" i="3"/>
  <c r="DU40" i="3"/>
  <c r="DM40" i="3"/>
  <c r="DE40" i="3"/>
  <c r="CW40" i="3"/>
  <c r="CO40" i="3"/>
  <c r="CG40" i="3"/>
  <c r="BY40" i="3"/>
  <c r="BQ40" i="3"/>
  <c r="BI40" i="3"/>
  <c r="BA40" i="3"/>
  <c r="AS40" i="3"/>
  <c r="AK40" i="3"/>
  <c r="AC40" i="3"/>
  <c r="U40" i="3"/>
  <c r="M40" i="3"/>
  <c r="EZ40" i="3"/>
  <c r="ER40" i="3"/>
  <c r="EJ40" i="3"/>
  <c r="EB40" i="3"/>
  <c r="DT40" i="3"/>
  <c r="DL40" i="3"/>
  <c r="DD40" i="3"/>
  <c r="CV40" i="3"/>
  <c r="CN40" i="3"/>
  <c r="CF40" i="3"/>
  <c r="BX40" i="3"/>
  <c r="BP40" i="3"/>
  <c r="BH40" i="3"/>
  <c r="AZ40" i="3"/>
  <c r="AR40" i="3"/>
  <c r="AJ40" i="3"/>
  <c r="AB40" i="3"/>
  <c r="T40" i="3"/>
  <c r="L40" i="3"/>
  <c r="EX40" i="3"/>
  <c r="EP40" i="3"/>
  <c r="EH40" i="3"/>
  <c r="DZ40" i="3"/>
  <c r="DR40" i="3"/>
  <c r="DJ40" i="3"/>
  <c r="DB40" i="3"/>
  <c r="CT40" i="3"/>
  <c r="CL40" i="3"/>
  <c r="CD40" i="3"/>
  <c r="BV40" i="3"/>
  <c r="BN40" i="3"/>
  <c r="BF40" i="3"/>
  <c r="AX40" i="3"/>
  <c r="AP40" i="3"/>
  <c r="AH40" i="3"/>
  <c r="Z40" i="3"/>
  <c r="R40" i="3"/>
  <c r="J40" i="3"/>
  <c r="EW40" i="3"/>
  <c r="EO40" i="3"/>
  <c r="EG40" i="3"/>
  <c r="DY40" i="3"/>
  <c r="DQ40" i="3"/>
  <c r="DI40" i="3"/>
  <c r="DA40" i="3"/>
  <c r="CS40" i="3"/>
  <c r="CK40" i="3"/>
  <c r="CC40" i="3"/>
  <c r="BU40" i="3"/>
  <c r="BM40" i="3"/>
  <c r="BE40" i="3"/>
  <c r="AW40" i="3"/>
  <c r="AO40" i="3"/>
  <c r="AG40" i="3"/>
  <c r="Y40" i="3"/>
  <c r="Q40" i="3"/>
  <c r="I40" i="3"/>
  <c r="FB40" i="3"/>
  <c r="DV40" i="3"/>
  <c r="CP40" i="3"/>
  <c r="BJ40" i="3"/>
  <c r="AD40" i="3"/>
  <c r="EY40" i="3"/>
  <c r="DS40" i="3"/>
  <c r="CM40" i="3"/>
  <c r="BG40" i="3"/>
  <c r="AA40" i="3"/>
  <c r="ET40" i="3"/>
  <c r="DN40" i="3"/>
  <c r="CH40" i="3"/>
  <c r="BB40" i="3"/>
  <c r="V40" i="3"/>
  <c r="EQ40" i="3"/>
  <c r="DK40" i="3"/>
  <c r="CE40" i="3"/>
  <c r="AY40" i="3"/>
  <c r="S40" i="3"/>
  <c r="EL40" i="3"/>
  <c r="DF40" i="3"/>
  <c r="BZ40" i="3"/>
  <c r="AT40" i="3"/>
  <c r="N40" i="3"/>
  <c r="EI40" i="3"/>
  <c r="DC40" i="3"/>
  <c r="BW40" i="3"/>
  <c r="AQ40" i="3"/>
  <c r="K40" i="3"/>
  <c r="ED40" i="3"/>
  <c r="CX40" i="3"/>
  <c r="BR40" i="3"/>
  <c r="AL40" i="3"/>
  <c r="F40" i="3"/>
  <c r="EA40" i="3"/>
  <c r="CU40" i="3"/>
  <c r="BO40" i="3"/>
  <c r="AI40" i="3"/>
  <c r="ED40" i="2"/>
  <c r="DV40" i="2"/>
  <c r="DN40" i="2"/>
  <c r="DF40" i="2"/>
  <c r="CX40" i="2"/>
  <c r="CP40" i="2"/>
  <c r="CH40" i="2"/>
  <c r="BZ40" i="2"/>
  <c r="BR40" i="2"/>
  <c r="BJ40" i="2"/>
  <c r="BB40" i="2"/>
  <c r="AT40" i="2"/>
  <c r="AL40" i="2"/>
  <c r="AD40" i="2"/>
  <c r="V40" i="2"/>
  <c r="N40" i="2"/>
  <c r="F40" i="2"/>
  <c r="EB40" i="2"/>
  <c r="DT40" i="2"/>
  <c r="DL40" i="2"/>
  <c r="DD40" i="2"/>
  <c r="CV40" i="2"/>
  <c r="CN40" i="2"/>
  <c r="CF40" i="2"/>
  <c r="BX40" i="2"/>
  <c r="EH40" i="2"/>
  <c r="DZ40" i="2"/>
  <c r="DR40" i="2"/>
  <c r="DJ40" i="2"/>
  <c r="DB40" i="2"/>
  <c r="CT40" i="2"/>
  <c r="CL40" i="2"/>
  <c r="CD40" i="2"/>
  <c r="BV40" i="2"/>
  <c r="BN40" i="2"/>
  <c r="BF40" i="2"/>
  <c r="AX40" i="2"/>
  <c r="AP40" i="2"/>
  <c r="AH40" i="2"/>
  <c r="Z40" i="2"/>
  <c r="R40" i="2"/>
  <c r="J40" i="2"/>
  <c r="EG40" i="2"/>
  <c r="DY40" i="2"/>
  <c r="DQ40" i="2"/>
  <c r="DI40" i="2"/>
  <c r="DA40" i="2"/>
  <c r="CS40" i="2"/>
  <c r="CK40" i="2"/>
  <c r="CC40" i="2"/>
  <c r="BU40" i="2"/>
  <c r="BM40" i="2"/>
  <c r="BE40" i="2"/>
  <c r="AW40" i="2"/>
  <c r="AO40" i="2"/>
  <c r="AG40" i="2"/>
  <c r="Y40" i="2"/>
  <c r="Q40" i="2"/>
  <c r="I40" i="2"/>
  <c r="EE40" i="2"/>
  <c r="DW40" i="2"/>
  <c r="DO40" i="2"/>
  <c r="DG40" i="2"/>
  <c r="CY40" i="2"/>
  <c r="CQ40" i="2"/>
  <c r="DP40" i="2"/>
  <c r="CU40" i="2"/>
  <c r="CB40" i="2"/>
  <c r="BO40" i="2"/>
  <c r="BA40" i="2"/>
  <c r="AN40" i="2"/>
  <c r="AB40" i="2"/>
  <c r="O40" i="2"/>
  <c r="EF40" i="2"/>
  <c r="DK40" i="2"/>
  <c r="CO40" i="2"/>
  <c r="BY40" i="2"/>
  <c r="BK40" i="2"/>
  <c r="AY40" i="2"/>
  <c r="AK40" i="2"/>
  <c r="X40" i="2"/>
  <c r="L40" i="2"/>
  <c r="EC40" i="2"/>
  <c r="DH40" i="2"/>
  <c r="CM40" i="2"/>
  <c r="BW40" i="2"/>
  <c r="BI40" i="2"/>
  <c r="AV40" i="2"/>
  <c r="AJ40" i="2"/>
  <c r="W40" i="2"/>
  <c r="K40" i="2"/>
  <c r="EA40" i="2"/>
  <c r="DE40" i="2"/>
  <c r="CJ40" i="2"/>
  <c r="BT40" i="2"/>
  <c r="BH40" i="2"/>
  <c r="AU40" i="2"/>
  <c r="AI40" i="2"/>
  <c r="U40" i="2"/>
  <c r="H40" i="2"/>
  <c r="DX40" i="2"/>
  <c r="DC40" i="2"/>
  <c r="CI40" i="2"/>
  <c r="BS40" i="2"/>
  <c r="BG40" i="2"/>
  <c r="AS40" i="2"/>
  <c r="AF40" i="2"/>
  <c r="T40" i="2"/>
  <c r="G40" i="2"/>
  <c r="DU40" i="2"/>
  <c r="CZ40" i="2"/>
  <c r="CG40" i="2"/>
  <c r="BQ40" i="2"/>
  <c r="BD40" i="2"/>
  <c r="AR40" i="2"/>
  <c r="AE40" i="2"/>
  <c r="S40" i="2"/>
  <c r="DS40" i="2"/>
  <c r="CW40" i="2"/>
  <c r="CE40" i="2"/>
  <c r="BP40" i="2"/>
  <c r="BC40" i="2"/>
  <c r="AQ40" i="2"/>
  <c r="AC40" i="2"/>
  <c r="P40" i="2"/>
  <c r="M40" i="2"/>
  <c r="DM40" i="2"/>
  <c r="CR40" i="2"/>
  <c r="CA40" i="2"/>
  <c r="BL40" i="2"/>
  <c r="AZ40" i="2"/>
  <c r="AM40" i="2"/>
  <c r="AA40" i="2"/>
  <c r="C35" i="5"/>
  <c r="C33" i="5"/>
  <c r="C24" i="5"/>
  <c r="C37" i="5"/>
  <c r="CR37" i="5"/>
  <c r="AF37" i="5"/>
  <c r="CJ35" i="5"/>
  <c r="X35" i="5"/>
  <c r="DS37" i="5"/>
  <c r="AX37" i="5"/>
  <c r="CS35" i="5"/>
  <c r="W35" i="5"/>
  <c r="BF37" i="5"/>
  <c r="DA35" i="5"/>
  <c r="AE35" i="5"/>
  <c r="BN37" i="5"/>
  <c r="DI35" i="5"/>
  <c r="AM35" i="5"/>
  <c r="BV37" i="5"/>
  <c r="DQ35" i="5"/>
  <c r="AU35" i="5"/>
  <c r="CM37" i="5"/>
  <c r="Q37" i="5"/>
  <c r="BK35" i="5"/>
  <c r="DF37" i="5"/>
  <c r="AH37" i="5"/>
  <c r="CC35" i="5"/>
  <c r="G35" i="5"/>
  <c r="CX37" i="5"/>
  <c r="W37" i="5"/>
  <c r="BM35" i="5"/>
  <c r="BZ37" i="5"/>
  <c r="BC35" i="5"/>
  <c r="CD37" i="5"/>
  <c r="CJ37" i="5"/>
  <c r="X37" i="5"/>
  <c r="CB35" i="5"/>
  <c r="P35" i="5"/>
  <c r="DN37" i="5"/>
  <c r="AO37" i="5"/>
  <c r="CI35" i="5"/>
  <c r="N35" i="5"/>
  <c r="AW37" i="5"/>
  <c r="CQ35" i="5"/>
  <c r="V35" i="5"/>
  <c r="BE37" i="5"/>
  <c r="CY35" i="5"/>
  <c r="AD35" i="5"/>
  <c r="BM37" i="5"/>
  <c r="DG35" i="5"/>
  <c r="AL35" i="5"/>
  <c r="CC37" i="5"/>
  <c r="G37" i="5"/>
  <c r="BB35" i="5"/>
  <c r="CV37" i="5"/>
  <c r="Y37" i="5"/>
  <c r="BS35" i="5"/>
  <c r="DE37" i="5"/>
  <c r="BK37" i="5"/>
  <c r="DC35" i="5"/>
  <c r="AB35" i="5"/>
  <c r="CN35" i="5"/>
  <c r="AJ37" i="5"/>
  <c r="DO35" i="5"/>
  <c r="CB37" i="5"/>
  <c r="P37" i="5"/>
  <c r="BT35" i="5"/>
  <c r="H35" i="5"/>
  <c r="DD37" i="5"/>
  <c r="AE37" i="5"/>
  <c r="BZ35" i="5"/>
  <c r="DM37" i="5"/>
  <c r="AM37" i="5"/>
  <c r="CH35" i="5"/>
  <c r="M35" i="5"/>
  <c r="AU37" i="5"/>
  <c r="CP35" i="5"/>
  <c r="U35" i="5"/>
  <c r="BC37" i="5"/>
  <c r="CX35" i="5"/>
  <c r="AC35" i="5"/>
  <c r="BS37" i="5"/>
  <c r="DN35" i="5"/>
  <c r="AS35" i="5"/>
  <c r="CL37" i="5"/>
  <c r="O37" i="5"/>
  <c r="BJ35" i="5"/>
  <c r="BQ37" i="5"/>
  <c r="AA37" i="5"/>
  <c r="BR35" i="5"/>
  <c r="CK37" i="5"/>
  <c r="J35" i="5"/>
  <c r="AZ35" i="5"/>
  <c r="O35" i="5"/>
  <c r="BT37" i="5"/>
  <c r="H37" i="5"/>
  <c r="BL35" i="5"/>
  <c r="DO37" i="5"/>
  <c r="CT37" i="5"/>
  <c r="V37" i="5"/>
  <c r="BQ35" i="5"/>
  <c r="DC37" i="5"/>
  <c r="AD37" i="5"/>
  <c r="BY35" i="5"/>
  <c r="DL37" i="5"/>
  <c r="AL37" i="5"/>
  <c r="CG35" i="5"/>
  <c r="L35" i="5"/>
  <c r="AT37" i="5"/>
  <c r="CO35" i="5"/>
  <c r="T35" i="5"/>
  <c r="BJ37" i="5"/>
  <c r="DE35" i="5"/>
  <c r="AJ35" i="5"/>
  <c r="CA37" i="5"/>
  <c r="F37" i="5"/>
  <c r="BA35" i="5"/>
  <c r="AG37" i="5"/>
  <c r="DF35" i="5"/>
  <c r="AH35" i="5"/>
  <c r="AY37" i="5"/>
  <c r="BU37" i="5"/>
  <c r="DQ37" i="5"/>
  <c r="BL37" i="5"/>
  <c r="DP35" i="5"/>
  <c r="BD35" i="5"/>
  <c r="DG37" i="5"/>
  <c r="CH37" i="5"/>
  <c r="M37" i="5"/>
  <c r="BH35" i="5"/>
  <c r="CS37" i="5"/>
  <c r="U37" i="5"/>
  <c r="BP35" i="5"/>
  <c r="DB37" i="5"/>
  <c r="AC37" i="5"/>
  <c r="BX35" i="5"/>
  <c r="DK37" i="5"/>
  <c r="AK37" i="5"/>
  <c r="CF35" i="5"/>
  <c r="K35" i="5"/>
  <c r="BA37" i="5"/>
  <c r="CV35" i="5"/>
  <c r="AA35" i="5"/>
  <c r="BR37" i="5"/>
  <c r="DM35" i="5"/>
  <c r="AR35" i="5"/>
  <c r="DL35" i="5"/>
  <c r="BV35" i="5"/>
  <c r="CN37" i="5"/>
  <c r="N37" i="5"/>
  <c r="CK35" i="5"/>
  <c r="I37" i="5"/>
  <c r="DP37" i="5"/>
  <c r="BD37" i="5"/>
  <c r="DH35" i="5"/>
  <c r="AV35" i="5"/>
  <c r="CY37" i="5"/>
  <c r="BY37" i="5"/>
  <c r="DT35" i="5"/>
  <c r="AY35" i="5"/>
  <c r="CG37" i="5"/>
  <c r="L37" i="5"/>
  <c r="BG35" i="5"/>
  <c r="CP37" i="5"/>
  <c r="T37" i="5"/>
  <c r="BO35" i="5"/>
  <c r="DA37" i="5"/>
  <c r="AB37" i="5"/>
  <c r="BW35" i="5"/>
  <c r="DT37" i="5"/>
  <c r="AR37" i="5"/>
  <c r="CM35" i="5"/>
  <c r="R35" i="5"/>
  <c r="BI37" i="5"/>
  <c r="DD35" i="5"/>
  <c r="AI35" i="5"/>
  <c r="CA35" i="5"/>
  <c r="AK35" i="5"/>
  <c r="BB37" i="5"/>
  <c r="CT35" i="5"/>
  <c r="AS37" i="5"/>
  <c r="AT35" i="5"/>
  <c r="DH37" i="5"/>
  <c r="AV37" i="5"/>
  <c r="CZ35" i="5"/>
  <c r="AN35" i="5"/>
  <c r="CQ37" i="5"/>
  <c r="BP37" i="5"/>
  <c r="DK35" i="5"/>
  <c r="AP35" i="5"/>
  <c r="BX37" i="5"/>
  <c r="DS35" i="5"/>
  <c r="AX35" i="5"/>
  <c r="CF37" i="5"/>
  <c r="K37" i="5"/>
  <c r="BF35" i="5"/>
  <c r="CO37" i="5"/>
  <c r="S37" i="5"/>
  <c r="BN35" i="5"/>
  <c r="DI37" i="5"/>
  <c r="AI37" i="5"/>
  <c r="CD35" i="5"/>
  <c r="I35" i="5"/>
  <c r="AZ37" i="5"/>
  <c r="CU35" i="5"/>
  <c r="Z35" i="5"/>
  <c r="AQ35" i="5"/>
  <c r="CU37" i="5"/>
  <c r="R37" i="5"/>
  <c r="BI35" i="5"/>
  <c r="CE35" i="5"/>
  <c r="DJ37" i="5"/>
  <c r="CZ37" i="5"/>
  <c r="AN37" i="5"/>
  <c r="CR35" i="5"/>
  <c r="AF35" i="5"/>
  <c r="CI37" i="5"/>
  <c r="BG37" i="5"/>
  <c r="DB35" i="5"/>
  <c r="AG35" i="5"/>
  <c r="BO37" i="5"/>
  <c r="DJ35" i="5"/>
  <c r="AO35" i="5"/>
  <c r="BW37" i="5"/>
  <c r="DR35" i="5"/>
  <c r="AW35" i="5"/>
  <c r="CE37" i="5"/>
  <c r="J37" i="5"/>
  <c r="BE35" i="5"/>
  <c r="CW37" i="5"/>
  <c r="Z37" i="5"/>
  <c r="BU35" i="5"/>
  <c r="DR37" i="5"/>
  <c r="AQ37" i="5"/>
  <c r="CL35" i="5"/>
  <c r="Q35" i="5"/>
  <c r="F35" i="5"/>
  <c r="BH37" i="5"/>
  <c r="CW35" i="5"/>
  <c r="Y35" i="5"/>
  <c r="AP37" i="5"/>
  <c r="S35" i="5"/>
  <c r="DL33" i="5"/>
  <c r="U33" i="5"/>
  <c r="X33" i="5"/>
  <c r="DC33" i="5"/>
  <c r="AN33" i="5"/>
  <c r="CS33" i="5"/>
  <c r="AE33" i="5"/>
  <c r="CH33" i="5"/>
  <c r="V33" i="5"/>
  <c r="BY33" i="5"/>
  <c r="M33" i="5"/>
  <c r="BG33" i="5"/>
  <c r="DE33" i="5"/>
  <c r="AP33" i="5"/>
  <c r="CF33" i="5"/>
  <c r="L33" i="5"/>
  <c r="DD33" i="5"/>
  <c r="CU33" i="5"/>
  <c r="BH33" i="5"/>
  <c r="AF33" i="5"/>
  <c r="BU33" i="5"/>
  <c r="O33" i="5"/>
  <c r="AB33" i="5"/>
  <c r="CT33" i="5"/>
  <c r="CI33" i="5"/>
  <c r="W33" i="5"/>
  <c r="BZ33" i="5"/>
  <c r="N33" i="5"/>
  <c r="BQ33" i="5"/>
  <c r="DO33" i="5"/>
  <c r="AY33" i="5"/>
  <c r="CV33" i="5"/>
  <c r="AH33" i="5"/>
  <c r="AZ33" i="5"/>
  <c r="CX33" i="5"/>
  <c r="BI33" i="5"/>
  <c r="AO33" i="5"/>
  <c r="DH33" i="5"/>
  <c r="CB33" i="5"/>
  <c r="P33" i="5"/>
  <c r="BS33" i="5"/>
  <c r="G33" i="5"/>
  <c r="BJ33" i="5"/>
  <c r="DR33" i="5"/>
  <c r="BA33" i="5"/>
  <c r="CW33" i="5"/>
  <c r="AI33" i="5"/>
  <c r="CD33" i="5"/>
  <c r="R33" i="5"/>
  <c r="CC33" i="5"/>
  <c r="I33" i="5"/>
  <c r="AG33" i="5"/>
  <c r="BM33" i="5"/>
  <c r="CZ33" i="5"/>
  <c r="BT33" i="5"/>
  <c r="H33" i="5"/>
  <c r="BK33" i="5"/>
  <c r="DS33" i="5"/>
  <c r="BB33" i="5"/>
  <c r="DI33" i="5"/>
  <c r="AS33" i="5"/>
  <c r="CN33" i="5"/>
  <c r="AA33" i="5"/>
  <c r="BV33" i="5"/>
  <c r="J33" i="5"/>
  <c r="AW33" i="5"/>
  <c r="AM33" i="5"/>
  <c r="CQ33" i="5"/>
  <c r="AD33" i="5"/>
  <c r="CG33" i="5"/>
  <c r="DN33" i="5"/>
  <c r="Y33" i="5"/>
  <c r="DP33" i="5"/>
  <c r="CA33" i="5"/>
  <c r="BR33" i="5"/>
  <c r="F33" i="5"/>
  <c r="DF33" i="5"/>
  <c r="CM33" i="5"/>
  <c r="Z33" i="5"/>
  <c r="T33" i="5"/>
  <c r="DM33" i="5"/>
  <c r="CR33" i="5"/>
  <c r="BL33" i="5"/>
  <c r="DT33" i="5"/>
  <c r="BC33" i="5"/>
  <c r="DJ33" i="5"/>
  <c r="AT33" i="5"/>
  <c r="CY33" i="5"/>
  <c r="AK33" i="5"/>
  <c r="CE33" i="5"/>
  <c r="S33" i="5"/>
  <c r="BN33" i="5"/>
  <c r="CL33" i="5"/>
  <c r="Q33" i="5"/>
  <c r="DG33" i="5"/>
  <c r="BP33" i="5"/>
  <c r="AV33" i="5"/>
  <c r="BO33" i="5"/>
  <c r="AR33" i="5"/>
  <c r="CK33" i="5"/>
  <c r="CJ33" i="5"/>
  <c r="BD33" i="5"/>
  <c r="DK33" i="5"/>
  <c r="AU33" i="5"/>
  <c r="DA33" i="5"/>
  <c r="AL33" i="5"/>
  <c r="CP33" i="5"/>
  <c r="AC33" i="5"/>
  <c r="BW33" i="5"/>
  <c r="K33" i="5"/>
  <c r="BF33" i="5"/>
  <c r="BE33" i="5"/>
  <c r="BX33" i="5"/>
  <c r="AJ33" i="5"/>
  <c r="DB33" i="5"/>
  <c r="AX33" i="5"/>
  <c r="DQ33" i="5"/>
  <c r="CO33" i="5"/>
  <c r="AQ33" i="5"/>
  <c r="BQ23" i="5"/>
  <c r="N23" i="5"/>
  <c r="BZ23" i="5"/>
  <c r="W23" i="5"/>
  <c r="CI23" i="5"/>
  <c r="AF23" i="5"/>
  <c r="CR23" i="5"/>
  <c r="E24" i="2"/>
  <c r="C25" i="2" s="1"/>
  <c r="J23" i="5"/>
  <c r="BE23" i="5"/>
  <c r="CU23" i="5"/>
  <c r="L23" i="5"/>
  <c r="BX23" i="5"/>
  <c r="M23" i="5"/>
  <c r="BY23" i="5"/>
  <c r="V23" i="5"/>
  <c r="CH23" i="5"/>
  <c r="AE23" i="5"/>
  <c r="CQ23" i="5"/>
  <c r="AN23" i="5"/>
  <c r="CZ23" i="5"/>
  <c r="BN23" i="5"/>
  <c r="I23" i="5"/>
  <c r="AY23" i="5"/>
  <c r="CT23" i="5"/>
  <c r="R23" i="5"/>
  <c r="AB23" i="5"/>
  <c r="CN23" i="5"/>
  <c r="AC23" i="5"/>
  <c r="CO23" i="5"/>
  <c r="AL23" i="5"/>
  <c r="CX23" i="5"/>
  <c r="AU23" i="5"/>
  <c r="DG23" i="5"/>
  <c r="BD23" i="5"/>
  <c r="DP23" i="5"/>
  <c r="DY24" i="2" l="1"/>
  <c r="AF24" i="2"/>
  <c r="Z24" i="2"/>
  <c r="BZ24" i="2"/>
  <c r="W24" i="2"/>
  <c r="AK24" i="2"/>
  <c r="AW24" i="2"/>
  <c r="CY24" i="2"/>
  <c r="AY24" i="2"/>
  <c r="BG24" i="2"/>
  <c r="DQ24" i="2"/>
  <c r="CM24" i="2"/>
  <c r="AL24" i="2"/>
  <c r="ED24" i="2"/>
  <c r="DT24" i="2"/>
  <c r="AX24" i="2"/>
  <c r="G24" i="2"/>
  <c r="X24" i="2"/>
  <c r="U24" i="2"/>
  <c r="CW24" i="2"/>
  <c r="CU24" i="2"/>
  <c r="AN24" i="2"/>
  <c r="M24" i="2"/>
  <c r="CC24" i="2"/>
  <c r="DR24" i="2"/>
  <c r="BN24" i="2"/>
  <c r="AJ24" i="2"/>
  <c r="CZ24" i="2"/>
  <c r="BK24" i="2"/>
  <c r="CP24" i="2"/>
  <c r="AH24" i="2"/>
  <c r="CA24" i="2"/>
  <c r="AR24" i="2"/>
  <c r="DH24" i="2"/>
  <c r="DJ24" i="2"/>
  <c r="F24" i="2"/>
  <c r="AU24" i="2"/>
  <c r="CO24" i="2"/>
  <c r="AZ24" i="2"/>
  <c r="DP24" i="2"/>
  <c r="DW24" i="2"/>
  <c r="R24" i="2"/>
  <c r="BI24" i="2"/>
  <c r="DA24" i="2"/>
  <c r="BH24" i="2"/>
  <c r="DF24" i="3"/>
  <c r="CP24" i="3"/>
  <c r="DX24" i="3"/>
  <c r="CI24" i="3"/>
  <c r="BO24" i="3"/>
  <c r="Q24" i="3"/>
  <c r="DR24" i="3"/>
  <c r="AE24" i="2"/>
  <c r="BS24" i="2"/>
  <c r="BU24" i="2"/>
  <c r="DI24" i="2"/>
  <c r="DN24" i="2"/>
  <c r="DC24" i="2"/>
  <c r="CN24" i="2"/>
  <c r="AV24" i="2"/>
  <c r="CK24" i="2"/>
  <c r="N24" i="2"/>
  <c r="AP24" i="2"/>
  <c r="AS24" i="2"/>
  <c r="CG24" i="2"/>
  <c r="CH24" i="2"/>
  <c r="DV24" i="2"/>
  <c r="AA24" i="2"/>
  <c r="DK24" i="2"/>
  <c r="CV24" i="2"/>
  <c r="BD24" i="2"/>
  <c r="AM24" i="2"/>
  <c r="BM24" i="2"/>
  <c r="BC24" i="2"/>
  <c r="BE24" i="2"/>
  <c r="CS24" i="2"/>
  <c r="EG24" i="2"/>
  <c r="EH24" i="2"/>
  <c r="AI24" i="2"/>
  <c r="DS24" i="2"/>
  <c r="DD24" i="2"/>
  <c r="CJ24" i="2"/>
  <c r="CL24" i="2"/>
  <c r="BY24" i="2"/>
  <c r="BQ24" i="2"/>
  <c r="DE24" i="2"/>
  <c r="DF24" i="2"/>
  <c r="J24" i="2"/>
  <c r="O24" i="2"/>
  <c r="AQ24" i="2"/>
  <c r="AB24" i="2"/>
  <c r="DL24" i="2"/>
  <c r="CR24" i="2"/>
  <c r="H24" i="3"/>
  <c r="DC24" i="3"/>
  <c r="BE24" i="3"/>
  <c r="AE24" i="3"/>
  <c r="U24" i="3"/>
  <c r="BD24" i="3"/>
  <c r="EA24" i="3"/>
  <c r="CC24" i="3"/>
  <c r="BK24" i="3"/>
  <c r="CW24" i="3"/>
  <c r="EF24" i="3"/>
  <c r="T24" i="3"/>
  <c r="DQ24" i="3"/>
  <c r="CA24" i="3"/>
  <c r="ES24" i="3"/>
  <c r="AC24" i="3"/>
  <c r="AR24" i="3"/>
  <c r="EO24" i="3"/>
  <c r="FC24" i="3"/>
  <c r="BR24" i="3"/>
  <c r="DE24" i="3"/>
  <c r="CF24" i="3"/>
  <c r="AH24" i="3"/>
  <c r="AF24" i="3"/>
  <c r="DN24" i="3"/>
  <c r="FA24" i="3"/>
  <c r="DD24" i="3"/>
  <c r="BF24" i="3"/>
  <c r="BJ24" i="3"/>
  <c r="AV24" i="3"/>
  <c r="AM24" i="3"/>
  <c r="AQ24" i="3"/>
  <c r="ER24" i="3"/>
  <c r="CT24" i="3"/>
  <c r="E25" i="3"/>
  <c r="FA25" i="3" s="1"/>
  <c r="EC24" i="3"/>
  <c r="CX24" i="3"/>
  <c r="BS24" i="3"/>
  <c r="AN24" i="3"/>
  <c r="M24" i="3"/>
  <c r="EK24" i="3"/>
  <c r="BG24" i="3"/>
  <c r="DS24" i="3"/>
  <c r="AJ24" i="3"/>
  <c r="CV24" i="3"/>
  <c r="I24" i="3"/>
  <c r="BU24" i="3"/>
  <c r="EG24" i="3"/>
  <c r="AX24" i="3"/>
  <c r="DJ24" i="3"/>
  <c r="E24" i="5"/>
  <c r="C25" i="5" s="1"/>
  <c r="E25" i="2"/>
  <c r="CB25" i="2" s="1"/>
  <c r="DB24" i="2"/>
  <c r="BR24" i="2"/>
  <c r="AG24" i="2"/>
  <c r="EE24" i="2"/>
  <c r="CT24" i="2"/>
  <c r="BJ24" i="2"/>
  <c r="AC24" i="2"/>
  <c r="DZ24" i="2"/>
  <c r="BO24" i="2"/>
  <c r="EA24" i="2"/>
  <c r="BP24" i="2"/>
  <c r="EB24" i="2"/>
  <c r="BL24" i="2"/>
  <c r="DX24" i="2"/>
  <c r="CX24" i="2"/>
  <c r="DM24" i="2"/>
  <c r="Q24" i="2"/>
  <c r="DO24" i="2"/>
  <c r="CD24" i="2"/>
  <c r="AT24" i="2"/>
  <c r="I24" i="2"/>
  <c r="DG24" i="2"/>
  <c r="BV24" i="2"/>
  <c r="AO24" i="2"/>
  <c r="K24" i="2"/>
  <c r="BW24" i="2"/>
  <c r="L24" i="2"/>
  <c r="BX24" i="2"/>
  <c r="H24" i="2"/>
  <c r="BT24" i="2"/>
  <c r="EF24" i="2"/>
  <c r="BA24" i="2"/>
  <c r="Y24" i="2"/>
  <c r="AD24" i="2"/>
  <c r="EC24" i="2"/>
  <c r="CQ24" i="2"/>
  <c r="BF24" i="2"/>
  <c r="V24" i="2"/>
  <c r="DU24" i="2"/>
  <c r="CI24" i="2"/>
  <c r="BB24" i="2"/>
  <c r="S24" i="2"/>
  <c r="CE24" i="2"/>
  <c r="T24" i="2"/>
  <c r="CF24" i="2"/>
  <c r="P24" i="2"/>
  <c r="CB24" i="2"/>
  <c r="DV24" i="3"/>
  <c r="CQ24" i="3"/>
  <c r="BL24" i="3"/>
  <c r="AK24" i="3"/>
  <c r="F24" i="3"/>
  <c r="ED24" i="3"/>
  <c r="CY24" i="3"/>
  <c r="BT24" i="3"/>
  <c r="AS24" i="3"/>
  <c r="K24" i="3"/>
  <c r="BW24" i="3"/>
  <c r="EI24" i="3"/>
  <c r="AZ24" i="3"/>
  <c r="DL24" i="3"/>
  <c r="Y24" i="3"/>
  <c r="CK24" i="3"/>
  <c r="EW24" i="3"/>
  <c r="BN24" i="3"/>
  <c r="DZ24" i="3"/>
  <c r="N24" i="3"/>
  <c r="EL24" i="3"/>
  <c r="DG24" i="3"/>
  <c r="CB24" i="3"/>
  <c r="BA24" i="3"/>
  <c r="V24" i="3"/>
  <c r="ET24" i="3"/>
  <c r="DO24" i="3"/>
  <c r="CJ24" i="3"/>
  <c r="BI24" i="3"/>
  <c r="S24" i="3"/>
  <c r="CE24" i="3"/>
  <c r="EQ24" i="3"/>
  <c r="BH24" i="3"/>
  <c r="DT24" i="3"/>
  <c r="AG24" i="3"/>
  <c r="CS24" i="3"/>
  <c r="J24" i="3"/>
  <c r="BV24" i="3"/>
  <c r="EH24" i="3"/>
  <c r="AD24" i="3"/>
  <c r="FB24" i="3"/>
  <c r="DW24" i="3"/>
  <c r="CR24" i="3"/>
  <c r="BQ24" i="3"/>
  <c r="AL24" i="3"/>
  <c r="G24" i="3"/>
  <c r="EE24" i="3"/>
  <c r="CZ24" i="3"/>
  <c r="BY24" i="3"/>
  <c r="AA24" i="3"/>
  <c r="CM24" i="3"/>
  <c r="EY24" i="3"/>
  <c r="BP24" i="3"/>
  <c r="EB24" i="3"/>
  <c r="AO24" i="3"/>
  <c r="DA24" i="3"/>
  <c r="R24" i="3"/>
  <c r="CD24" i="3"/>
  <c r="EP24" i="3"/>
  <c r="AT24" i="3"/>
  <c r="O24" i="3"/>
  <c r="EM24" i="3"/>
  <c r="DH24" i="3"/>
  <c r="CG24" i="3"/>
  <c r="BB24" i="3"/>
  <c r="W24" i="3"/>
  <c r="EU24" i="3"/>
  <c r="DP24" i="3"/>
  <c r="CO24" i="3"/>
  <c r="AI24" i="3"/>
  <c r="CU24" i="3"/>
  <c r="L24" i="3"/>
  <c r="BX24" i="3"/>
  <c r="EJ24" i="3"/>
  <c r="AW24" i="3"/>
  <c r="DI24" i="3"/>
  <c r="Z24" i="3"/>
  <c r="CL24" i="3"/>
  <c r="EX24" i="3"/>
  <c r="BZ24" i="3"/>
  <c r="AU24" i="3"/>
  <c r="P24" i="3"/>
  <c r="EN24" i="3"/>
  <c r="DM24" i="3"/>
  <c r="CH24" i="3"/>
  <c r="BC24" i="3"/>
  <c r="X24" i="3"/>
  <c r="EV24" i="3"/>
  <c r="DU24" i="3"/>
  <c r="AY24" i="3"/>
  <c r="DK24" i="3"/>
  <c r="AB24" i="3"/>
  <c r="CN24" i="3"/>
  <c r="EZ24" i="3"/>
  <c r="BM24" i="3"/>
  <c r="DY24" i="3"/>
  <c r="AP24" i="3"/>
  <c r="DB24" i="3"/>
  <c r="H24" i="5" l="1"/>
  <c r="CQ24" i="5"/>
  <c r="Q24" i="5"/>
  <c r="O24" i="5"/>
  <c r="AV24" i="5"/>
  <c r="R24" i="5"/>
  <c r="BC24" i="5"/>
  <c r="BE24" i="5"/>
  <c r="BM24" i="5"/>
  <c r="CZ24" i="5"/>
  <c r="CI24" i="5"/>
  <c r="CS24" i="5"/>
  <c r="DI24" i="5"/>
  <c r="CB24" i="5"/>
  <c r="CJ24" i="5"/>
  <c r="FC25" i="3"/>
  <c r="Y24" i="5"/>
  <c r="DO24" i="5"/>
  <c r="CC24" i="5"/>
  <c r="BF24" i="5"/>
  <c r="DZ25" i="3"/>
  <c r="BS24" i="5"/>
  <c r="AG24" i="5"/>
  <c r="W24" i="5"/>
  <c r="DJ25" i="3"/>
  <c r="CU25" i="3"/>
  <c r="BT24" i="5"/>
  <c r="AM24" i="5"/>
  <c r="AU24" i="5"/>
  <c r="BT25" i="3"/>
  <c r="CQ25" i="3"/>
  <c r="BE25" i="3"/>
  <c r="AP25" i="3"/>
  <c r="DJ24" i="5"/>
  <c r="AA25" i="3"/>
  <c r="DS24" i="5"/>
  <c r="P25" i="3"/>
  <c r="EQ25" i="3"/>
  <c r="BQ25" i="2"/>
  <c r="BF25" i="2"/>
  <c r="DU25" i="2"/>
  <c r="AX25" i="2"/>
  <c r="DY25" i="2"/>
  <c r="AQ25" i="2"/>
  <c r="AR25" i="2"/>
  <c r="AN25" i="2"/>
  <c r="BO24" i="5"/>
  <c r="BX24" i="5"/>
  <c r="CW24" i="5"/>
  <c r="DV25" i="3"/>
  <c r="CA25" i="2"/>
  <c r="CS25" i="2"/>
  <c r="W25" i="2"/>
  <c r="CK25" i="2"/>
  <c r="AE25" i="2"/>
  <c r="BO25" i="2"/>
  <c r="BP25" i="2"/>
  <c r="BL25" i="2"/>
  <c r="CD24" i="5"/>
  <c r="CM24" i="5"/>
  <c r="CV24" i="5"/>
  <c r="F24" i="5"/>
  <c r="AE25" i="3"/>
  <c r="BB25" i="2"/>
  <c r="CC25" i="2"/>
  <c r="EE25" i="2"/>
  <c r="BJ25" i="2"/>
  <c r="DW25" i="2"/>
  <c r="BR25" i="2"/>
  <c r="CM25" i="2"/>
  <c r="CN25" i="2"/>
  <c r="CJ25" i="2"/>
  <c r="DB24" i="5"/>
  <c r="DK24" i="5"/>
  <c r="DT24" i="5"/>
  <c r="V24" i="5"/>
  <c r="DA25" i="2"/>
  <c r="EC25" i="2"/>
  <c r="I25" i="2"/>
  <c r="BV25" i="2"/>
  <c r="N25" i="2"/>
  <c r="CD25" i="2"/>
  <c r="CU25" i="2"/>
  <c r="CV25" i="2"/>
  <c r="CR25" i="2"/>
  <c r="AT24" i="5"/>
  <c r="AO25" i="2"/>
  <c r="V25" i="2"/>
  <c r="CI25" i="2"/>
  <c r="Z25" i="2"/>
  <c r="CQ25" i="2"/>
  <c r="DC25" i="2"/>
  <c r="DD25" i="2"/>
  <c r="CZ25" i="2"/>
  <c r="DR24" i="5"/>
  <c r="L24" i="5"/>
  <c r="M24" i="5"/>
  <c r="BR24" i="5"/>
  <c r="AJ25" i="3"/>
  <c r="DB25" i="2"/>
  <c r="CP25" i="2"/>
  <c r="BI25" i="2"/>
  <c r="DV25" i="2"/>
  <c r="BM25" i="2"/>
  <c r="ED25" i="2"/>
  <c r="EA25" i="2"/>
  <c r="EB25" i="2"/>
  <c r="DX25" i="2"/>
  <c r="AA24" i="5"/>
  <c r="AJ24" i="5"/>
  <c r="AK24" i="5"/>
  <c r="CH24" i="5"/>
  <c r="CV25" i="3"/>
  <c r="DN25" i="2"/>
  <c r="AG25" i="2"/>
  <c r="CT25" i="2"/>
  <c r="Y25" i="2"/>
  <c r="CY25" i="2"/>
  <c r="AA25" i="2"/>
  <c r="AB25" i="2"/>
  <c r="X25" i="2"/>
  <c r="AP24" i="5"/>
  <c r="AY24" i="5"/>
  <c r="BH24" i="5"/>
  <c r="BI24" i="5"/>
  <c r="DF24" i="5"/>
  <c r="Q25" i="2"/>
  <c r="AT25" i="2"/>
  <c r="DG25" i="2"/>
  <c r="AL25" i="2"/>
  <c r="DM25" i="2"/>
  <c r="AI25" i="2"/>
  <c r="AJ25" i="2"/>
  <c r="AF25" i="2"/>
  <c r="AX24" i="5"/>
  <c r="BG24" i="5"/>
  <c r="BP24" i="5"/>
  <c r="BY24" i="5"/>
  <c r="BJ25" i="3"/>
  <c r="E25" i="5"/>
  <c r="DT25" i="5" s="1"/>
  <c r="BQ24" i="5"/>
  <c r="N24" i="5"/>
  <c r="BZ24" i="5"/>
  <c r="BM25" i="3"/>
  <c r="AX25" i="3"/>
  <c r="AI25" i="3"/>
  <c r="H25" i="3"/>
  <c r="EH25" i="3"/>
  <c r="DQ25" i="3"/>
  <c r="DB25" i="3"/>
  <c r="CM25" i="3"/>
  <c r="CB25" i="3"/>
  <c r="AD25" i="3"/>
  <c r="CP25" i="3"/>
  <c r="FB25" i="3"/>
  <c r="BK25" i="3"/>
  <c r="DW25" i="3"/>
  <c r="EW25" i="3"/>
  <c r="BP25" i="3"/>
  <c r="EB25" i="3"/>
  <c r="AK25" i="3"/>
  <c r="CW25" i="3"/>
  <c r="CC25" i="3"/>
  <c r="BN25" i="3"/>
  <c r="AY25" i="3"/>
  <c r="X25" i="3"/>
  <c r="I25" i="3"/>
  <c r="EI25" i="3"/>
  <c r="DR25" i="3"/>
  <c r="DC25" i="3"/>
  <c r="CR25" i="3"/>
  <c r="AL25" i="3"/>
  <c r="CX25" i="3"/>
  <c r="G25" i="3"/>
  <c r="BS25" i="3"/>
  <c r="EE25" i="3"/>
  <c r="L25" i="3"/>
  <c r="BX25" i="3"/>
  <c r="EJ25" i="3"/>
  <c r="AS25" i="3"/>
  <c r="DE25" i="3"/>
  <c r="DO25" i="2"/>
  <c r="CO25" i="2"/>
  <c r="BS25" i="2"/>
  <c r="AH25" i="2"/>
  <c r="EG25" i="2"/>
  <c r="CW25" i="2"/>
  <c r="BK25" i="2"/>
  <c r="AM25" i="2"/>
  <c r="F25" i="2"/>
  <c r="DE25" i="2"/>
  <c r="AY25" i="2"/>
  <c r="DK25" i="2"/>
  <c r="AZ25" i="2"/>
  <c r="DL25" i="2"/>
  <c r="AV25" i="2"/>
  <c r="DH25" i="2"/>
  <c r="CK24" i="5"/>
  <c r="I24" i="5"/>
  <c r="BD24" i="5"/>
  <c r="CY24" i="5"/>
  <c r="AO24" i="5"/>
  <c r="DG24" i="5"/>
  <c r="BN24" i="5"/>
  <c r="K24" i="5"/>
  <c r="BW24" i="5"/>
  <c r="T24" i="5"/>
  <c r="CF24" i="5"/>
  <c r="U24" i="5"/>
  <c r="CG24" i="5"/>
  <c r="AD24" i="5"/>
  <c r="CP24" i="5"/>
  <c r="CS25" i="3"/>
  <c r="CD25" i="3"/>
  <c r="BO25" i="3"/>
  <c r="AN25" i="3"/>
  <c r="Y25" i="3"/>
  <c r="J25" i="3"/>
  <c r="EN25" i="3"/>
  <c r="DS25" i="3"/>
  <c r="DH25" i="3"/>
  <c r="AT25" i="3"/>
  <c r="DF25" i="3"/>
  <c r="O25" i="3"/>
  <c r="CA25" i="3"/>
  <c r="EM25" i="3"/>
  <c r="T25" i="3"/>
  <c r="CF25" i="3"/>
  <c r="ER25" i="3"/>
  <c r="BA25" i="3"/>
  <c r="DM25" i="3"/>
  <c r="BC25" i="2"/>
  <c r="AC25" i="2"/>
  <c r="AP25" i="2"/>
  <c r="CG25" i="2"/>
  <c r="AU25" i="2"/>
  <c r="J25" i="2"/>
  <c r="DI25" i="2"/>
  <c r="BY25" i="2"/>
  <c r="BA25" i="2"/>
  <c r="R25" i="2"/>
  <c r="DQ25" i="2"/>
  <c r="BG25" i="2"/>
  <c r="DS25" i="2"/>
  <c r="BH25" i="2"/>
  <c r="DT25" i="2"/>
  <c r="BD25" i="2"/>
  <c r="DP25" i="2"/>
  <c r="DH24" i="5"/>
  <c r="AF24" i="5"/>
  <c r="CA24" i="5"/>
  <c r="DQ24" i="5"/>
  <c r="BL24" i="5"/>
  <c r="J24" i="5"/>
  <c r="BV24" i="5"/>
  <c r="S24" i="5"/>
  <c r="CE24" i="5"/>
  <c r="AB24" i="5"/>
  <c r="CN24" i="5"/>
  <c r="AC24" i="5"/>
  <c r="CO24" i="5"/>
  <c r="AL24" i="5"/>
  <c r="CX24" i="5"/>
  <c r="DI25" i="3"/>
  <c r="CT25" i="3"/>
  <c r="CE25" i="3"/>
  <c r="BD25" i="3"/>
  <c r="AO25" i="3"/>
  <c r="Z25" i="3"/>
  <c r="K25" i="3"/>
  <c r="EP25" i="3"/>
  <c r="DX25" i="3"/>
  <c r="BB25" i="3"/>
  <c r="DN25" i="3"/>
  <c r="W25" i="3"/>
  <c r="CI25" i="3"/>
  <c r="EU25" i="3"/>
  <c r="AB25" i="3"/>
  <c r="CN25" i="3"/>
  <c r="EZ25" i="3"/>
  <c r="BI25" i="3"/>
  <c r="DU25" i="3"/>
  <c r="BQ25" i="3"/>
  <c r="EC25" i="3"/>
  <c r="O25" i="2"/>
  <c r="DZ25" i="2"/>
  <c r="G25" i="2"/>
  <c r="DF25" i="2"/>
  <c r="BU25" i="2"/>
  <c r="AK25" i="2"/>
  <c r="EH25" i="2"/>
  <c r="CX25" i="2"/>
  <c r="BZ25" i="2"/>
  <c r="AS25" i="2"/>
  <c r="K25" i="2"/>
  <c r="BW25" i="2"/>
  <c r="L25" i="2"/>
  <c r="BX25" i="2"/>
  <c r="H25" i="2"/>
  <c r="BT25" i="2"/>
  <c r="EF25" i="2"/>
  <c r="AE24" i="5"/>
  <c r="BU24" i="5"/>
  <c r="DP24" i="5"/>
  <c r="AN24" i="5"/>
  <c r="DA24" i="5"/>
  <c r="Z24" i="5"/>
  <c r="CL24" i="5"/>
  <c r="AI24" i="5"/>
  <c r="CU24" i="5"/>
  <c r="AR24" i="5"/>
  <c r="DD24" i="5"/>
  <c r="AS24" i="5"/>
  <c r="DE24" i="5"/>
  <c r="BB24" i="5"/>
  <c r="DN24" i="5"/>
  <c r="Q25" i="3"/>
  <c r="EV25" i="3"/>
  <c r="EA25" i="3"/>
  <c r="DK25" i="3"/>
  <c r="CJ25" i="3"/>
  <c r="BU25" i="3"/>
  <c r="BF25" i="3"/>
  <c r="AQ25" i="3"/>
  <c r="AF25" i="3"/>
  <c r="F25" i="3"/>
  <c r="BR25" i="3"/>
  <c r="ED25" i="3"/>
  <c r="AM25" i="3"/>
  <c r="CY25" i="3"/>
  <c r="DY25" i="3"/>
  <c r="AR25" i="3"/>
  <c r="DD25" i="3"/>
  <c r="M25" i="3"/>
  <c r="BY25" i="3"/>
  <c r="EK25" i="3"/>
  <c r="BN25" i="2"/>
  <c r="AD25" i="2"/>
  <c r="U25" i="2"/>
  <c r="DR25" i="2"/>
  <c r="CH25" i="2"/>
  <c r="AW25" i="2"/>
  <c r="M25" i="2"/>
  <c r="DJ25" i="2"/>
  <c r="CL25" i="2"/>
  <c r="BE25" i="2"/>
  <c r="S25" i="2"/>
  <c r="CE25" i="2"/>
  <c r="T25" i="2"/>
  <c r="CF25" i="2"/>
  <c r="P25" i="2"/>
  <c r="G24" i="5"/>
  <c r="AW24" i="5"/>
  <c r="CR24" i="5"/>
  <c r="P24" i="5"/>
  <c r="BK24" i="5"/>
  <c r="X24" i="5"/>
  <c r="AH24" i="5"/>
  <c r="CT24" i="5"/>
  <c r="AQ24" i="5"/>
  <c r="DC24" i="5"/>
  <c r="AZ24" i="5"/>
  <c r="DL24" i="5"/>
  <c r="BA24" i="5"/>
  <c r="DM24" i="5"/>
  <c r="BJ24" i="5"/>
  <c r="AG25" i="3"/>
  <c r="R25" i="3"/>
  <c r="EX25" i="3"/>
  <c r="EF25" i="3"/>
  <c r="CZ25" i="3"/>
  <c r="CK25" i="3"/>
  <c r="BV25" i="3"/>
  <c r="BG25" i="3"/>
  <c r="AV25" i="3"/>
  <c r="N25" i="3"/>
  <c r="BZ25" i="3"/>
  <c r="EL25" i="3"/>
  <c r="AU25" i="3"/>
  <c r="DG25" i="3"/>
  <c r="EG25" i="3"/>
  <c r="AZ25" i="3"/>
  <c r="DL25" i="3"/>
  <c r="U25" i="3"/>
  <c r="CG25" i="3"/>
  <c r="ES25" i="3"/>
  <c r="AW25" i="3"/>
  <c r="AH25" i="3"/>
  <c r="S25" i="3"/>
  <c r="EY25" i="3"/>
  <c r="DP25" i="3"/>
  <c r="DA25" i="3"/>
  <c r="CL25" i="3"/>
  <c r="BW25" i="3"/>
  <c r="BL25" i="3"/>
  <c r="V25" i="3"/>
  <c r="CH25" i="3"/>
  <c r="ET25" i="3"/>
  <c r="BC25" i="3"/>
  <c r="DO25" i="3"/>
  <c r="EO25" i="3"/>
  <c r="BH25" i="3"/>
  <c r="DT25" i="3"/>
  <c r="AC25" i="3"/>
  <c r="CO25" i="3"/>
  <c r="DO25" i="5" l="1"/>
  <c r="BJ25" i="5"/>
  <c r="AD25" i="5"/>
  <c r="BY25" i="5"/>
  <c r="G25" i="5"/>
  <c r="BB25" i="5"/>
  <c r="CW25" i="5"/>
  <c r="AM25" i="5"/>
  <c r="DE25" i="5"/>
  <c r="AC25" i="5"/>
  <c r="AF25" i="5"/>
  <c r="CR25" i="5"/>
  <c r="AO25" i="5"/>
  <c r="DA25" i="5"/>
  <c r="AX25" i="5"/>
  <c r="DJ25" i="5"/>
  <c r="BG25" i="5"/>
  <c r="DS25" i="5"/>
  <c r="BP25" i="5"/>
  <c r="AU25" i="5"/>
  <c r="AN25" i="5"/>
  <c r="CZ25" i="5"/>
  <c r="AW25" i="5"/>
  <c r="DI25" i="5"/>
  <c r="BF25" i="5"/>
  <c r="DR25" i="5"/>
  <c r="BO25" i="5"/>
  <c r="L25" i="5"/>
  <c r="BX25" i="5"/>
  <c r="BA25" i="5"/>
  <c r="CQ25" i="5"/>
  <c r="O25" i="5"/>
  <c r="CG25" i="5"/>
  <c r="W25" i="5"/>
  <c r="BR25" i="5"/>
  <c r="AV25" i="5"/>
  <c r="DH25" i="5"/>
  <c r="BE25" i="5"/>
  <c r="DQ25" i="5"/>
  <c r="BN25" i="5"/>
  <c r="K25" i="5"/>
  <c r="BW25" i="5"/>
  <c r="T25" i="5"/>
  <c r="CF25" i="5"/>
  <c r="BS25" i="5"/>
  <c r="DN25" i="5"/>
  <c r="AL25" i="5"/>
  <c r="CY25" i="5"/>
  <c r="AT25" i="5"/>
  <c r="CO25" i="5"/>
  <c r="BD25" i="5"/>
  <c r="DP25" i="5"/>
  <c r="BM25" i="5"/>
  <c r="J25" i="5"/>
  <c r="BV25" i="5"/>
  <c r="S25" i="5"/>
  <c r="CE25" i="5"/>
  <c r="AB25" i="5"/>
  <c r="CN25" i="5"/>
  <c r="CP25" i="5"/>
  <c r="N25" i="5"/>
  <c r="BI25" i="5"/>
  <c r="V25" i="5"/>
  <c r="BQ25" i="5"/>
  <c r="DG25" i="5"/>
  <c r="BL25" i="5"/>
  <c r="I25" i="5"/>
  <c r="BU25" i="5"/>
  <c r="R25" i="5"/>
  <c r="CD25" i="5"/>
  <c r="AA25" i="5"/>
  <c r="CM25" i="5"/>
  <c r="AJ25" i="5"/>
  <c r="CV25" i="5"/>
  <c r="DM25" i="5"/>
  <c r="AK25" i="5"/>
  <c r="CA25" i="5"/>
  <c r="AS25" i="5"/>
  <c r="CI25" i="5"/>
  <c r="H25" i="5"/>
  <c r="BT25" i="5"/>
  <c r="Q25" i="5"/>
  <c r="CC25" i="5"/>
  <c r="Z25" i="5"/>
  <c r="CL25" i="5"/>
  <c r="AI25" i="5"/>
  <c r="CU25" i="5"/>
  <c r="AR25" i="5"/>
  <c r="DD25" i="5"/>
  <c r="M25" i="5"/>
  <c r="BC25" i="5"/>
  <c r="CX25" i="5"/>
  <c r="BK25" i="5"/>
  <c r="DF25" i="5"/>
  <c r="P25" i="5"/>
  <c r="CB25" i="5"/>
  <c r="Y25" i="5"/>
  <c r="CK25" i="5"/>
  <c r="AH25" i="5"/>
  <c r="CT25" i="5"/>
  <c r="AQ25" i="5"/>
  <c r="DC25" i="5"/>
  <c r="AZ25" i="5"/>
  <c r="DL25" i="5"/>
  <c r="AE25" i="5"/>
  <c r="BZ25" i="5"/>
  <c r="U25" i="5"/>
  <c r="CH25" i="5"/>
  <c r="F25" i="5"/>
  <c r="X25" i="5"/>
  <c r="CJ25" i="5"/>
  <c r="AG25" i="5"/>
  <c r="CS25" i="5"/>
  <c r="AP25" i="5"/>
  <c r="DB25" i="5"/>
  <c r="AY25" i="5"/>
  <c r="DK25" i="5"/>
  <c r="BH2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  <author>BALLATORE Emilie</author>
  </authors>
  <commentList>
    <comment ref="AT3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ZHAO Tengda:
Transit time : OVS ou terrestre</t>
        </r>
      </text>
    </comment>
    <comment ref="AU3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ZHAO Tengda:
Lead Time SI2C</t>
        </r>
      </text>
    </comment>
    <comment ref="AV3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ZHAO Tengda:
VTT Total</t>
        </r>
      </text>
    </comment>
    <comment ref="C4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 xml:space="preserve">ZHAO Tengda:
special case
</t>
        </r>
      </text>
    </comment>
    <comment ref="Q4" authorId="0" shapeId="0" xr:uid="{00000000-0006-0000-0300-000005000000}">
      <text>
        <r>
          <rPr>
            <sz val="11"/>
            <color theme="1"/>
            <rFont val="Calibri"/>
            <family val="2"/>
            <scheme val="minor"/>
          </rPr>
          <t>ZHAO Tengda:
Donc Si AILN SI2C =  Day ILN Order = Mardi = 9</t>
        </r>
      </text>
    </comment>
    <comment ref="R4" authorId="1" shapeId="0" xr:uid="{00000000-0006-0000-0300-000006000000}">
      <text>
        <r>
          <rPr>
            <sz val="11"/>
            <color theme="1"/>
            <rFont val="Calibri"/>
            <family val="2"/>
            <scheme val="minor"/>
          </rPr>
          <t xml:space="preserve">KERHOAS Delphine:
supplier period
Delivery time to ILN = nbre de jour  soit 7 ou 14 =&gt; semaine complet </t>
        </r>
      </text>
    </comment>
    <comment ref="S4" authorId="0" shapeId="0" xr:uid="{00000000-0006-0000-0300-000007000000}">
      <text>
        <r>
          <rPr>
            <sz val="11"/>
            <color theme="1"/>
            <rFont val="Calibri"/>
            <family val="2"/>
            <scheme val="minor"/>
          </rPr>
          <t xml:space="preserve">ZHAO Tengda:
Time of recept est Durée 5 </t>
        </r>
      </text>
    </comment>
    <comment ref="T4" authorId="0" shapeId="0" xr:uid="{00000000-0006-0000-0300-000008000000}">
      <text>
        <r>
          <rPr>
            <sz val="11"/>
            <color theme="1"/>
            <rFont val="Calibri"/>
            <family val="2"/>
            <scheme val="minor"/>
          </rPr>
          <t>ZHAO Tengda:
Packaging est toujour 7</t>
        </r>
      </text>
    </comment>
    <comment ref="U4" authorId="0" shapeId="0" xr:uid="{00000000-0006-0000-0300-000009000000}">
      <text>
        <r>
          <rPr>
            <sz val="11"/>
            <color theme="1"/>
            <rFont val="Calibri"/>
            <family val="2"/>
            <scheme val="minor"/>
          </rPr>
          <t>ZHAO Tengda:
c'est jour</t>
        </r>
      </text>
    </comment>
    <comment ref="V4" authorId="0" shapeId="0" xr:uid="{00000000-0006-0000-0300-00000A000000}">
      <text>
        <r>
          <rPr>
            <sz val="11"/>
            <color theme="1"/>
            <rFont val="Calibri"/>
            <family val="2"/>
            <scheme val="minor"/>
          </rPr>
          <t>ZHAO Tengda:
c'est une durée</t>
        </r>
      </text>
    </comment>
    <comment ref="X4" authorId="0" shapeId="0" xr:uid="{00000000-0006-0000-0300-00000B000000}">
      <text>
        <r>
          <rPr>
            <sz val="11"/>
            <color theme="1"/>
            <rFont val="Calibri"/>
            <family val="2"/>
            <scheme val="minor"/>
          </rPr>
          <t xml:space="preserve">ZHAO Tengda:
</t>
        </r>
      </text>
    </comment>
    <comment ref="Z4" authorId="0" shapeId="0" xr:uid="{00000000-0006-0000-0300-00000C000000}">
      <text>
        <r>
          <rPr>
            <sz val="11"/>
            <color theme="1"/>
            <rFont val="Calibri"/>
            <family val="2"/>
            <scheme val="minor"/>
          </rPr>
          <t>ZHAO Tengda:
jaune flux double</t>
        </r>
      </text>
    </comment>
    <comment ref="AK4" authorId="0" shapeId="0" xr:uid="{00000000-0006-0000-0300-00000D000000}">
      <text>
        <r>
          <rPr>
            <sz val="11"/>
            <color theme="1"/>
            <rFont val="Calibri"/>
            <family val="2"/>
            <scheme val="minor"/>
          </rPr>
          <t xml:space="preserve">ZHAO Tengda:
clé POD?
</t>
        </r>
      </text>
    </comment>
    <comment ref="X50" authorId="2" shapeId="0" xr:uid="{00000000-0006-0000-0300-00000E000000}">
      <text>
        <r>
          <rPr>
            <sz val="11"/>
            <color theme="1"/>
            <rFont val="Calibri"/>
            <family val="2"/>
            <scheme val="minor"/>
          </rPr>
          <t>BALLATORE Emilie:
A ajouter dans le tableau de Carolina</t>
        </r>
      </text>
    </comment>
    <comment ref="L220" authorId="0" shapeId="0" xr:uid="{00000000-0006-0000-0300-00000F000000}">
      <text>
        <r>
          <rPr>
            <sz val="11"/>
            <color theme="1"/>
            <rFont val="Calibri"/>
            <family val="2"/>
            <scheme val="minor"/>
          </rPr>
          <t>ZHAO Tengda:
il n'y pas cette flux dans VTT mais dans Loguide
on a flux sans PFI</t>
        </r>
      </text>
    </comment>
    <comment ref="L250" authorId="0" shapeId="0" xr:uid="{00000000-0006-0000-0300-000010000000}">
      <text>
        <r>
          <rPr>
            <sz val="11"/>
            <color theme="1"/>
            <rFont val="Calibri"/>
            <family val="2"/>
            <scheme val="minor"/>
          </rPr>
          <t>ZHAO Tengda:
il n'y pas cette flux dans VTT mais dans Loguide
on a flux sans PFI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</authors>
  <commentList>
    <comment ref="AS3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ZHAO Tengda:
Transit time : OVS ou terrestre</t>
        </r>
      </text>
    </comment>
    <comment ref="AT3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ZHAO Tengda:
Lead Time SI2C</t>
        </r>
      </text>
    </comment>
    <comment ref="AU3" authorId="0" shapeId="0" xr:uid="{00000000-0006-0000-0600-000003000000}">
      <text>
        <r>
          <rPr>
            <sz val="11"/>
            <color theme="1"/>
            <rFont val="Calibri"/>
            <family val="2"/>
            <scheme val="minor"/>
          </rPr>
          <t>ZHAO Tengda:
VTT Total</t>
        </r>
      </text>
    </comment>
    <comment ref="C4" authorId="0" shapeId="0" xr:uid="{00000000-0006-0000-0600-000004000000}">
      <text>
        <r>
          <rPr>
            <sz val="11"/>
            <color theme="1"/>
            <rFont val="Calibri"/>
            <family val="2"/>
            <scheme val="minor"/>
          </rPr>
          <t xml:space="preserve">ZHAO Tengda:
special case
</t>
        </r>
      </text>
    </comment>
    <comment ref="Q4" authorId="0" shapeId="0" xr:uid="{00000000-0006-0000-0600-000005000000}">
      <text>
        <r>
          <rPr>
            <sz val="11"/>
            <color theme="1"/>
            <rFont val="Calibri"/>
            <family val="2"/>
            <scheme val="minor"/>
          </rPr>
          <t>ZHAO Tengda:
Donc Si AILN SI2C =  Day ILN Order = Mardi = 9</t>
        </r>
      </text>
    </comment>
    <comment ref="R4" authorId="1" shapeId="0" xr:uid="{00000000-0006-0000-0600-000006000000}">
      <text>
        <r>
          <rPr>
            <sz val="11"/>
            <color theme="1"/>
            <rFont val="Calibri"/>
            <family val="2"/>
            <scheme val="minor"/>
          </rPr>
          <t xml:space="preserve">KERHOAS Delphine:
supplier period
Delivery time to ILN = nbre de jour  soit 7 ou 14 =&gt; semaine complet </t>
        </r>
      </text>
    </comment>
    <comment ref="S4" authorId="0" shapeId="0" xr:uid="{00000000-0006-0000-0600-000007000000}">
      <text>
        <r>
          <rPr>
            <sz val="11"/>
            <color theme="1"/>
            <rFont val="Calibri"/>
            <family val="2"/>
            <scheme val="minor"/>
          </rPr>
          <t xml:space="preserve">ZHAO Tengda:
Time of recept est Durée 5 </t>
        </r>
      </text>
    </comment>
    <comment ref="T4" authorId="0" shapeId="0" xr:uid="{00000000-0006-0000-0600-000008000000}">
      <text>
        <r>
          <rPr>
            <sz val="11"/>
            <color theme="1"/>
            <rFont val="Calibri"/>
            <family val="2"/>
            <scheme val="minor"/>
          </rPr>
          <t>ZHAO Tengda:
Packaging est toujour 7</t>
        </r>
      </text>
    </comment>
    <comment ref="U4" authorId="0" shapeId="0" xr:uid="{00000000-0006-0000-0600-000009000000}">
      <text>
        <r>
          <rPr>
            <sz val="11"/>
            <color theme="1"/>
            <rFont val="Calibri"/>
            <family val="2"/>
            <scheme val="minor"/>
          </rPr>
          <t>ZHAO Tengda:
c'est jour</t>
        </r>
      </text>
    </comment>
    <comment ref="V4" authorId="0" shapeId="0" xr:uid="{00000000-0006-0000-0600-00000A000000}">
      <text>
        <r>
          <rPr>
            <sz val="11"/>
            <color theme="1"/>
            <rFont val="Calibri"/>
            <family val="2"/>
            <scheme val="minor"/>
          </rPr>
          <t>ZHAO Tengda:
c'est une durée</t>
        </r>
      </text>
    </comment>
    <comment ref="X4" authorId="0" shapeId="0" xr:uid="{00000000-0006-0000-0600-00000B000000}">
      <text>
        <r>
          <rPr>
            <sz val="11"/>
            <color theme="1"/>
            <rFont val="Calibri"/>
            <family val="2"/>
            <scheme val="minor"/>
          </rPr>
          <t xml:space="preserve">ZHAO Tengda:
</t>
        </r>
      </text>
    </comment>
    <comment ref="Z4" authorId="0" shapeId="0" xr:uid="{00000000-0006-0000-0600-00000C000000}">
      <text>
        <r>
          <rPr>
            <sz val="11"/>
            <color theme="1"/>
            <rFont val="Calibri"/>
            <family val="2"/>
            <scheme val="minor"/>
          </rPr>
          <t>ZHAO Tengda:
jaune flux double</t>
        </r>
      </text>
    </comment>
    <comment ref="AJ4" authorId="0" shapeId="0" xr:uid="{00000000-0006-0000-0600-00000D000000}">
      <text>
        <r>
          <rPr>
            <sz val="11"/>
            <color theme="1"/>
            <rFont val="Calibri"/>
            <family val="2"/>
            <scheme val="minor"/>
          </rPr>
          <t xml:space="preserve">ZHAO Tengda:
clé POD?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</authors>
  <commentList>
    <comment ref="AT3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ZHAO Tengda:
Transit time : OVS ou terrestre</t>
        </r>
      </text>
    </comment>
    <comment ref="AU3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>ZHAO Tengda:
Lead Time SI2C</t>
        </r>
      </text>
    </comment>
    <comment ref="AV3" authorId="0" shapeId="0" xr:uid="{00000000-0006-0000-0700-000003000000}">
      <text>
        <r>
          <rPr>
            <sz val="11"/>
            <color theme="1"/>
            <rFont val="Calibri"/>
            <family val="2"/>
            <scheme val="minor"/>
          </rPr>
          <t>ZHAO Tengda:
VTT Total</t>
        </r>
      </text>
    </comment>
    <comment ref="C4" authorId="0" shapeId="0" xr:uid="{00000000-0006-0000-0700-000004000000}">
      <text>
        <r>
          <rPr>
            <sz val="11"/>
            <color theme="1"/>
            <rFont val="Calibri"/>
            <family val="2"/>
            <scheme val="minor"/>
          </rPr>
          <t xml:space="preserve">ZHAO Tengda:
special case
</t>
        </r>
      </text>
    </comment>
    <comment ref="Q4" authorId="0" shapeId="0" xr:uid="{00000000-0006-0000-0700-000005000000}">
      <text>
        <r>
          <rPr>
            <sz val="11"/>
            <color theme="1"/>
            <rFont val="Calibri"/>
            <family val="2"/>
            <scheme val="minor"/>
          </rPr>
          <t>ZHAO Tengda:
Donc Si AILN SI2C =  Day ILN Order = Mardi = 9</t>
        </r>
      </text>
    </comment>
    <comment ref="R4" authorId="1" shapeId="0" xr:uid="{00000000-0006-0000-0700-000006000000}">
      <text>
        <r>
          <rPr>
            <sz val="11"/>
            <color theme="1"/>
            <rFont val="Calibri"/>
            <family val="2"/>
            <scheme val="minor"/>
          </rPr>
          <t xml:space="preserve">KERHOAS Delphine:
supplier period
Delivery time to ILN = nbre de jour  soit 7 ou 14 =&gt; semaine complet </t>
        </r>
      </text>
    </comment>
    <comment ref="S4" authorId="0" shapeId="0" xr:uid="{00000000-0006-0000-0700-000007000000}">
      <text>
        <r>
          <rPr>
            <sz val="11"/>
            <color theme="1"/>
            <rFont val="Calibri"/>
            <family val="2"/>
            <scheme val="minor"/>
          </rPr>
          <t xml:space="preserve">ZHAO Tengda:
Time of recept est Durée 5 </t>
        </r>
      </text>
    </comment>
    <comment ref="T4" authorId="0" shapeId="0" xr:uid="{00000000-0006-0000-0700-000008000000}">
      <text>
        <r>
          <rPr>
            <sz val="11"/>
            <color theme="1"/>
            <rFont val="Calibri"/>
            <family val="2"/>
            <scheme val="minor"/>
          </rPr>
          <t>ZHAO Tengda:
Packaging est toujour 7</t>
        </r>
      </text>
    </comment>
    <comment ref="U4" authorId="0" shapeId="0" xr:uid="{00000000-0006-0000-0700-000009000000}">
      <text>
        <r>
          <rPr>
            <sz val="11"/>
            <color theme="1"/>
            <rFont val="Calibri"/>
            <family val="2"/>
            <scheme val="minor"/>
          </rPr>
          <t>ZHAO Tengda:
c'est jour</t>
        </r>
      </text>
    </comment>
    <comment ref="V4" authorId="0" shapeId="0" xr:uid="{00000000-0006-0000-0700-00000A000000}">
      <text>
        <r>
          <rPr>
            <sz val="11"/>
            <color theme="1"/>
            <rFont val="Calibri"/>
            <family val="2"/>
            <scheme val="minor"/>
          </rPr>
          <t>ZHAO Tengda:
c'est une durée</t>
        </r>
      </text>
    </comment>
    <comment ref="X4" authorId="0" shapeId="0" xr:uid="{00000000-0006-0000-0700-00000B000000}">
      <text>
        <r>
          <rPr>
            <sz val="11"/>
            <color theme="1"/>
            <rFont val="Calibri"/>
            <family val="2"/>
            <scheme val="minor"/>
          </rPr>
          <t xml:space="preserve">ZHAO Tengda:
</t>
        </r>
      </text>
    </comment>
    <comment ref="Z4" authorId="0" shapeId="0" xr:uid="{00000000-0006-0000-0700-00000C000000}">
      <text>
        <r>
          <rPr>
            <sz val="11"/>
            <color theme="1"/>
            <rFont val="Calibri"/>
            <family val="2"/>
            <scheme val="minor"/>
          </rPr>
          <t>ZHAO Tengda:
jaune flux double</t>
        </r>
      </text>
    </comment>
    <comment ref="AK4" authorId="0" shapeId="0" xr:uid="{00000000-0006-0000-0700-00000D000000}">
      <text>
        <r>
          <rPr>
            <sz val="11"/>
            <color theme="1"/>
            <rFont val="Calibri"/>
            <family val="2"/>
            <scheme val="minor"/>
          </rPr>
          <t xml:space="preserve">ZHAO Tengda:
clé POD?
</t>
        </r>
      </text>
    </comment>
    <comment ref="L192" authorId="0" shapeId="0" xr:uid="{00000000-0006-0000-0700-00000E000000}">
      <text>
        <r>
          <rPr>
            <sz val="11"/>
            <color theme="1"/>
            <rFont val="Calibri"/>
            <family val="2"/>
            <scheme val="minor"/>
          </rPr>
          <t>ZHAO Tengda:
il n'y pas cette flux dans VTT mais dans Loguide
on a flux sans PFI</t>
        </r>
      </text>
    </comment>
    <comment ref="L193" authorId="0" shapeId="0" xr:uid="{00000000-0006-0000-0700-00000F000000}">
      <text>
        <r>
          <rPr>
            <sz val="11"/>
            <color theme="1"/>
            <rFont val="Calibri"/>
            <family val="2"/>
            <scheme val="minor"/>
          </rPr>
          <t>ZHAO Tengda:
il n'y pas cette flux dans VTT mais dans Loguide
on a flux sans PFI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  <author>KERHOAS Delphine</author>
  </authors>
  <commentList>
    <comment ref="I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ZHAO Tengda:
Donc Si AILN SI2C =  Day ILN Order = Mardi = 9</t>
        </r>
      </text>
    </comment>
    <comment ref="J1" authorId="1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 xml:space="preserve">KERHOAS Delphine:
supplier period
Delivery time to ILN = nbre de jour  soit 7 ou 14 =&gt; semaine complet </t>
        </r>
      </text>
    </comment>
    <comment ref="K1" authorId="0" shapeId="0" xr:uid="{00000000-0006-0000-0B00-000003000000}">
      <text>
        <r>
          <rPr>
            <sz val="11"/>
            <color theme="1"/>
            <rFont val="Calibri"/>
            <family val="2"/>
            <scheme val="minor"/>
          </rPr>
          <t xml:space="preserve">ZHAO Tengda:
Time of recept est Durée 5 </t>
        </r>
      </text>
    </comment>
    <comment ref="L1" authorId="0" shapeId="0" xr:uid="{00000000-0006-0000-0B00-000004000000}">
      <text>
        <r>
          <rPr>
            <sz val="11"/>
            <color theme="1"/>
            <rFont val="Calibri"/>
            <family val="2"/>
            <scheme val="minor"/>
          </rPr>
          <t>ZHAO Tengda:
Packaging est toujour 7</t>
        </r>
      </text>
    </comment>
    <comment ref="M1" authorId="0" shapeId="0" xr:uid="{00000000-0006-0000-0B00-000005000000}">
      <text>
        <r>
          <rPr>
            <sz val="11"/>
            <color theme="1"/>
            <rFont val="Calibri"/>
            <family val="2"/>
            <scheme val="minor"/>
          </rPr>
          <t>ZHAO Tengda:
c'est jour</t>
        </r>
      </text>
    </comment>
    <comment ref="N1" authorId="0" shapeId="0" xr:uid="{00000000-0006-0000-0B00-000006000000}">
      <text>
        <r>
          <rPr>
            <sz val="11"/>
            <color theme="1"/>
            <rFont val="Calibri"/>
            <family val="2"/>
            <scheme val="minor"/>
          </rPr>
          <t>ZHAO Tengda:
c'est une durée</t>
        </r>
      </text>
    </comment>
    <comment ref="N2" authorId="0" shapeId="0" xr:uid="{00000000-0006-0000-0B00-000007000000}">
      <text>
        <r>
          <rPr>
            <sz val="11"/>
            <color theme="1"/>
            <rFont val="Calibri"/>
            <family val="2"/>
            <scheme val="minor"/>
          </rPr>
          <t xml:space="preserve">ZHAO Tengda:
Moyen
</t>
        </r>
      </text>
    </comment>
    <comment ref="P2" authorId="0" shapeId="0" xr:uid="{00000000-0006-0000-0B00-000008000000}">
      <text>
        <r>
          <rPr>
            <sz val="11"/>
            <color theme="1"/>
            <rFont val="Calibri"/>
            <family val="2"/>
            <scheme val="minor"/>
          </rPr>
          <t xml:space="preserve">ZHAO Tengda:
Max temps
</t>
        </r>
      </text>
    </comment>
    <comment ref="C89" authorId="0" shapeId="0" xr:uid="{00000000-0006-0000-0B00-000009000000}">
      <text>
        <r>
          <rPr>
            <sz val="11"/>
            <color theme="1"/>
            <rFont val="Calibri"/>
            <family val="2"/>
            <scheme val="minor"/>
          </rPr>
          <t>ZHAO Tengda:
?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</authors>
  <commentList>
    <comment ref="F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 xml:space="preserve">ZHAO Tengda:
clé POD?
</t>
        </r>
      </text>
    </comment>
    <comment ref="F2" authorId="0" shapeId="0" xr:uid="{00000000-0006-0000-0C00-000002000000}">
      <text>
        <r>
          <rPr>
            <sz val="11"/>
            <color theme="1"/>
            <rFont val="Calibri"/>
            <family val="2"/>
            <scheme val="minor"/>
          </rPr>
          <t>ZHAO Tengda:
prend les moyen des colone C pour code client dans decalage</t>
        </r>
      </text>
    </comment>
    <comment ref="E16" authorId="0" shapeId="0" xr:uid="{00000000-0006-0000-0C00-000003000000}">
      <text>
        <r>
          <rPr>
            <sz val="11"/>
            <color theme="1"/>
            <rFont val="Calibri"/>
            <family val="2"/>
            <scheme val="minor"/>
          </rPr>
          <t xml:space="preserve">ZHAO Tengda:
ajouter flux avec Magasin Dacia
</t>
        </r>
      </text>
    </comment>
    <comment ref="E17" authorId="0" shapeId="0" xr:uid="{00000000-0006-0000-0C00-000004000000}">
      <text>
        <r>
          <rPr>
            <sz val="11"/>
            <color theme="1"/>
            <rFont val="Calibri"/>
            <family val="2"/>
            <scheme val="minor"/>
          </rPr>
          <t xml:space="preserve">ZHAO Tengda:
ajouter flux avec Magasin Dacia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 Tengda</author>
  </authors>
  <commentList>
    <comment ref="I2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ZHAO Tengda:
CDD commande à fournisseur
PFI commande à ILN</t>
        </r>
      </text>
    </comment>
    <comment ref="K2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 xml:space="preserve">ZHAO Tengda:
source ILN
</t>
        </r>
      </text>
    </comment>
    <comment ref="B3" authorId="0" shapeId="0" xr:uid="{00000000-0006-0000-0D00-000003000000}">
      <text>
        <r>
          <rPr>
            <sz val="11"/>
            <color theme="1"/>
            <rFont val="Calibri"/>
            <family val="2"/>
            <scheme val="minor"/>
          </rPr>
          <t>ZHAO Tengda:
prend les moyen des colone C pour code client dans decalage</t>
        </r>
      </text>
    </comment>
    <comment ref="H3" authorId="0" shapeId="0" xr:uid="{00000000-0006-0000-0D00-000004000000}">
      <text>
        <r>
          <rPr>
            <sz val="11"/>
            <color theme="1"/>
            <rFont val="Calibri"/>
            <family val="2"/>
            <scheme val="minor"/>
          </rPr>
          <t>ZHAO Tengda:
prend les moyen des colone C pour code client dans decalage</t>
        </r>
      </text>
    </comment>
    <comment ref="K15" authorId="0" shapeId="0" xr:uid="{00000000-0006-0000-0D00-000005000000}">
      <text>
        <r>
          <rPr>
            <sz val="11"/>
            <color theme="1"/>
            <rFont val="Calibri"/>
            <family val="2"/>
            <scheme val="minor"/>
          </rPr>
          <t xml:space="preserve">ZHAO Tengda:
dimanche =7
not use = 0
</t>
        </r>
      </text>
    </comment>
  </commentList>
</comments>
</file>

<file path=xl/sharedStrings.xml><?xml version="1.0" encoding="utf-8"?>
<sst xmlns="http://schemas.openxmlformats.org/spreadsheetml/2006/main" count="5204" uniqueCount="659">
  <si>
    <t xml:space="preserve">AILN : </t>
  </si>
  <si>
    <t>ILN FR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</si>
  <si>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</si>
  <si>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</si>
  <si>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</si>
  <si>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</si>
  <si>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</si>
  <si>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</si>
  <si>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</si>
  <si>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</si>
  <si>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</si>
  <si>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</si>
  <si>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</si>
  <si>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</si>
  <si>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</si>
  <si>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</si>
  <si>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</si>
  <si>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</si>
  <si>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</si>
  <si>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 xml:space="preserve">Shipper : </t>
  </si>
  <si>
    <t>GETRAG    MODUG</t>
  </si>
  <si>
    <t>L</t>
  </si>
  <si>
    <t>M</t>
  </si>
  <si>
    <t>J</t>
  </si>
  <si>
    <t>V</t>
  </si>
  <si>
    <t>S</t>
  </si>
  <si>
    <t>D</t>
  </si>
  <si>
    <t>Mo</t>
  </si>
  <si>
    <t>Tu</t>
  </si>
  <si>
    <t>We</t>
  </si>
  <si>
    <t>Th</t>
  </si>
  <si>
    <t>Fr</t>
  </si>
  <si>
    <t>Sa</t>
  </si>
  <si>
    <t>Su</t>
  </si>
  <si>
    <t>CDD / PFI :</t>
  </si>
  <si>
    <t>Consignee :</t>
  </si>
  <si>
    <t>RKM</t>
  </si>
  <si>
    <t>ID :</t>
  </si>
  <si>
    <t>Day</t>
  </si>
  <si>
    <t>Day+</t>
  </si>
  <si>
    <t>Final Day</t>
  </si>
  <si>
    <t>Day Customer Order</t>
  </si>
  <si>
    <t>Packaging préparation &amp; loading</t>
  </si>
  <si>
    <t>Transport ILN to POL</t>
  </si>
  <si>
    <t>First Day to POL</t>
  </si>
  <si>
    <t>Cut off</t>
  </si>
  <si>
    <t>ETD</t>
  </si>
  <si>
    <t>Transit time (ETD =&gt; ETA)</t>
  </si>
  <si>
    <t>Days security 1</t>
  </si>
  <si>
    <t>Days security 2</t>
  </si>
  <si>
    <t>Customs clearence</t>
  </si>
  <si>
    <t>Validity :</t>
  </si>
  <si>
    <t>Transport to plant</t>
  </si>
  <si>
    <t xml:space="preserve">Rounding </t>
  </si>
  <si>
    <t>Due Date</t>
  </si>
  <si>
    <t>Manufacturing</t>
  </si>
  <si>
    <t>Parts Vanning</t>
  </si>
  <si>
    <t>Exped fnr GPI</t>
  </si>
  <si>
    <t>Transit Time</t>
  </si>
  <si>
    <t>Leadtime SI2C</t>
  </si>
  <si>
    <t>Customer Leadtime</t>
  </si>
  <si>
    <t>SIT</t>
  </si>
  <si>
    <t>Days flexibility 1</t>
  </si>
  <si>
    <t>Days flexibility 2</t>
  </si>
  <si>
    <t>Stock In Transit</t>
  </si>
  <si>
    <t>Customer safety STOCK</t>
  </si>
  <si>
    <t>Week 18</t>
  </si>
  <si>
    <t>Week 19</t>
  </si>
  <si>
    <t>Week 20</t>
  </si>
  <si>
    <t>Week 21</t>
  </si>
  <si>
    <t>Week 22</t>
  </si>
  <si>
    <t>ID</t>
  </si>
  <si>
    <t>Key</t>
  </si>
  <si>
    <t>FLUX</t>
  </si>
  <si>
    <t>Order PLANT</t>
  </si>
  <si>
    <t>ILN</t>
  </si>
  <si>
    <t>Maritime</t>
  </si>
  <si>
    <t xml:space="preserve">Import PFI/CDD/Direct </t>
  </si>
  <si>
    <t>Calculs</t>
  </si>
  <si>
    <t>Consignee - Plant</t>
  </si>
  <si>
    <t>Shipper</t>
  </si>
  <si>
    <t>CARRIER</t>
  </si>
  <si>
    <t>PFI/CDD</t>
  </si>
  <si>
    <t>Nb of days</t>
  </si>
  <si>
    <t>schema</t>
  </si>
  <si>
    <t>DATA ILN</t>
  </si>
  <si>
    <t>check ID</t>
  </si>
  <si>
    <t>DATA BTO</t>
  </si>
  <si>
    <t>DATA Consignee</t>
  </si>
  <si>
    <t>For fill log guideline</t>
  </si>
  <si>
    <t>Key(ILN - shipper - plant)</t>
  </si>
  <si>
    <t>Key(Compte ILN - shipper - POL - plant)</t>
  </si>
  <si>
    <t>Key(Compte ILN - shipper - POL)</t>
  </si>
  <si>
    <t>Key(POL - carrier - POD)</t>
  </si>
  <si>
    <t>Key(ID-Actif)</t>
  </si>
  <si>
    <t>Key(POD -PFI- Usine)</t>
  </si>
  <si>
    <t>log guidelines Key</t>
  </si>
  <si>
    <t>Plant-ILN-shipper-POL-Carrier-POD-PFI</t>
  </si>
  <si>
    <t>Duplicates</t>
  </si>
  <si>
    <t>Country</t>
  </si>
  <si>
    <t>Name Site</t>
  </si>
  <si>
    <t>Compte Consignee</t>
  </si>
  <si>
    <t>Name ILN</t>
  </si>
  <si>
    <t>Compte ILN</t>
  </si>
  <si>
    <t>Day ILN Order</t>
  </si>
  <si>
    <t>Delivery time to ILN/Shipper</t>
  </si>
  <si>
    <t>Time of Recept in ILN</t>
  </si>
  <si>
    <t>First Receipt Days</t>
  </si>
  <si>
    <t>Name Shipper</t>
  </si>
  <si>
    <t>Compte Shipper</t>
  </si>
  <si>
    <t>POL</t>
  </si>
  <si>
    <t>Carrier</t>
  </si>
  <si>
    <t>Day Cut Off</t>
  </si>
  <si>
    <t>Day ETD</t>
  </si>
  <si>
    <t>Wished ETD ILN</t>
  </si>
  <si>
    <t>Transit time</t>
  </si>
  <si>
    <t>POD</t>
  </si>
  <si>
    <t>Time for security</t>
  </si>
  <si>
    <t>Time for security2 buffer</t>
  </si>
  <si>
    <t>Pilot</t>
  </si>
  <si>
    <t>Cust.</t>
  </si>
  <si>
    <t>Name PFI/CDD</t>
  </si>
  <si>
    <t>Code PFI</t>
  </si>
  <si>
    <t>Leadtime train</t>
  </si>
  <si>
    <t>Buffer train</t>
  </si>
  <si>
    <t>Trpt POD &gt; PFI</t>
  </si>
  <si>
    <t>Trpt POD/PFI vers Usine</t>
  </si>
  <si>
    <t>Round.</t>
  </si>
  <si>
    <t>Transit Time2</t>
  </si>
  <si>
    <t>Cust. Leadtime</t>
  </si>
  <si>
    <t>X-flows</t>
  </si>
  <si>
    <t>Expiration Date</t>
  </si>
  <si>
    <t>Error Order</t>
  </si>
  <si>
    <t>Error ILN</t>
  </si>
  <si>
    <t>Error BTO</t>
  </si>
  <si>
    <t>Error Consignee</t>
  </si>
  <si>
    <t>Error Transport</t>
  </si>
  <si>
    <t>Comments</t>
  </si>
  <si>
    <t>CORMECANICA</t>
  </si>
  <si>
    <t>Nissan Thailande</t>
  </si>
  <si>
    <t>Mexique CVC</t>
  </si>
  <si>
    <t>ILN Chennai</t>
  </si>
  <si>
    <t>ILN Pune</t>
  </si>
  <si>
    <t>Nissan BRESIL</t>
  </si>
  <si>
    <t>ILN VLL</t>
  </si>
  <si>
    <t>SEVILLE</t>
  </si>
  <si>
    <t>MEXIQUE AGV</t>
  </si>
  <si>
    <t>MALAYSIA TCM</t>
  </si>
  <si>
    <t>ILN Bursa</t>
  </si>
  <si>
    <t>Curitiba CVP</t>
  </si>
  <si>
    <t>SFK Freight Forwarder</t>
  </si>
  <si>
    <t>Magna Shanghai</t>
  </si>
  <si>
    <t>SOVAB</t>
  </si>
  <si>
    <t>CDD FR</t>
  </si>
  <si>
    <t>Curitiba CMO</t>
  </si>
  <si>
    <t>ILN Tanger</t>
  </si>
  <si>
    <t>DACIA MECA</t>
  </si>
  <si>
    <t>ILN Curitiba</t>
  </si>
  <si>
    <t>Magasin Dacia</t>
  </si>
  <si>
    <t>ILN Busan</t>
  </si>
  <si>
    <t>CACIA</t>
  </si>
  <si>
    <t>PFI VLL</t>
  </si>
  <si>
    <t>SEVILLA</t>
  </si>
  <si>
    <t>MOTORES</t>
  </si>
  <si>
    <t>OYAK MEKA</t>
  </si>
  <si>
    <t>ILN Mioveni</t>
  </si>
  <si>
    <t>CDD VLL</t>
  </si>
  <si>
    <t>OYAK MONT</t>
  </si>
  <si>
    <t>CURITIBA CMO</t>
  </si>
  <si>
    <t>CORDOBA</t>
  </si>
  <si>
    <t>RENAULT CLEON</t>
  </si>
  <si>
    <t>KWE Shanghai</t>
  </si>
  <si>
    <t>VALL MONTAGE</t>
  </si>
  <si>
    <t>Jatco Mexique</t>
  </si>
  <si>
    <t>Aichikikai Japon</t>
  </si>
  <si>
    <t>PALENCIA</t>
  </si>
  <si>
    <t>SOFASA</t>
  </si>
  <si>
    <t>Jatco Japon</t>
  </si>
  <si>
    <t>SOMACA</t>
  </si>
  <si>
    <t>TANGER</t>
  </si>
  <si>
    <t>DACIA MONT</t>
  </si>
  <si>
    <t>REVOZ</t>
  </si>
  <si>
    <t>CURITIBA CVP</t>
  </si>
  <si>
    <t xml:space="preserve">ILN Chine </t>
  </si>
  <si>
    <t>CLEON</t>
  </si>
  <si>
    <t>MAUBEUGE</t>
  </si>
  <si>
    <t>ALPINE</t>
  </si>
  <si>
    <t>FLINS</t>
  </si>
  <si>
    <t>ILN Honmoku</t>
  </si>
  <si>
    <t>DOUAI</t>
  </si>
  <si>
    <t>CHENNAI Vehicule</t>
  </si>
  <si>
    <t>ILN Mexique</t>
  </si>
  <si>
    <t>Projet</t>
  </si>
  <si>
    <t>NSL Shanghai</t>
  </si>
  <si>
    <t>Key(ID-Next)</t>
  </si>
  <si>
    <t>Compte Site</t>
  </si>
  <si>
    <t xml:space="preserve">Comments </t>
  </si>
  <si>
    <t>Start date</t>
  </si>
  <si>
    <t>AE11</t>
  </si>
  <si>
    <t>CDD VLL(for NSL)</t>
  </si>
  <si>
    <t>From 01/07/23</t>
  </si>
  <si>
    <t>SANDOUVILLE</t>
  </si>
  <si>
    <t>From 01/12/23</t>
  </si>
  <si>
    <t>ORAN</t>
  </si>
  <si>
    <t>ILN Cordoba</t>
  </si>
  <si>
    <t>AK15</t>
  </si>
  <si>
    <t xml:space="preserve">NCIC Shanghai </t>
  </si>
  <si>
    <t>AK15-1</t>
  </si>
  <si>
    <t>AK6</t>
  </si>
  <si>
    <t>FAL1-DKK</t>
  </si>
  <si>
    <t>Asia South America East Coast 2</t>
  </si>
  <si>
    <t>CURITIBA CVU</t>
  </si>
  <si>
    <t>AE55</t>
  </si>
  <si>
    <t>FAL1-LEH</t>
  </si>
  <si>
    <t>CARROCERIAS</t>
  </si>
  <si>
    <t>RM MIOVENI</t>
  </si>
  <si>
    <t>Pas actif</t>
  </si>
  <si>
    <t>PFI FR</t>
  </si>
  <si>
    <t>PFI Mioveni</t>
  </si>
  <si>
    <t>Plant</t>
  </si>
  <si>
    <t>Name Plant in OFO</t>
  </si>
  <si>
    <t>Code</t>
  </si>
  <si>
    <t>AILN</t>
  </si>
  <si>
    <t>Liste PFI/CDD</t>
  </si>
  <si>
    <t>compte SI2C</t>
  </si>
  <si>
    <t>Libellé</t>
  </si>
  <si>
    <t>Renault Plant</t>
  </si>
  <si>
    <t>STE AUTOMOB. ALPINE RENAULT</t>
  </si>
  <si>
    <t>FRANCE</t>
  </si>
  <si>
    <t>Cacia</t>
  </si>
  <si>
    <t>FR</t>
  </si>
  <si>
    <t>AG2</t>
  </si>
  <si>
    <t>NISMEX_AGUAS_PLANT_2</t>
  </si>
  <si>
    <t>Mexico</t>
  </si>
  <si>
    <t>Arkas</t>
  </si>
  <si>
    <t>Delphine</t>
  </si>
  <si>
    <t>ACI Le mans</t>
  </si>
  <si>
    <t>RG UM LE MANS</t>
  </si>
  <si>
    <t>CLEON AILN FRANCE RENAULT CLEON</t>
  </si>
  <si>
    <t>AGV</t>
  </si>
  <si>
    <t>NISMEX AGUASCALIENTE</t>
  </si>
  <si>
    <t>CMA-CGM</t>
  </si>
  <si>
    <t>Julien</t>
  </si>
  <si>
    <t>PORTUGAL</t>
  </si>
  <si>
    <t>Delhi</t>
  </si>
  <si>
    <t>AVT</t>
  </si>
  <si>
    <t>RENAULT RUSSIA CJSC</t>
  </si>
  <si>
    <t>Russia</t>
  </si>
  <si>
    <t>Hamburg Süd</t>
  </si>
  <si>
    <t>Anthony</t>
  </si>
  <si>
    <t>VALLADOLID CARROCERIAS</t>
  </si>
  <si>
    <t>SPAIN</t>
  </si>
  <si>
    <t>CHE</t>
  </si>
  <si>
    <t>NISSAN CHENNAI</t>
  </si>
  <si>
    <t>India</t>
  </si>
  <si>
    <t>Hapag-Lloyd</t>
  </si>
  <si>
    <t>Max</t>
  </si>
  <si>
    <t>CHENNAI Powertrain</t>
  </si>
  <si>
    <t>CHENNAI POWERTRAIN (NISSAN)</t>
  </si>
  <si>
    <t>INDIA</t>
  </si>
  <si>
    <t>CMC</t>
  </si>
  <si>
    <t>CORMECANICA SA</t>
  </si>
  <si>
    <t>Chile</t>
  </si>
  <si>
    <t>Hyundai</t>
  </si>
  <si>
    <t>Emmanuelle SFK</t>
  </si>
  <si>
    <t>Chennai Vehicule</t>
  </si>
  <si>
    <t>ILN Delhi</t>
  </si>
  <si>
    <t>PFI Tanger</t>
  </si>
  <si>
    <t>GITI RADIAL TIRE ANHUI COMPANY LTD (CNFQG)</t>
  </si>
  <si>
    <t>CME</t>
  </si>
  <si>
    <t>CURITIBA MOTEURS</t>
  </si>
  <si>
    <t>Brazil</t>
  </si>
  <si>
    <t>Maersk</t>
  </si>
  <si>
    <t>GITI RADIAL TIRE ANHUI COMPANY LTD (CNNGB)</t>
  </si>
  <si>
    <t>CVC</t>
  </si>
  <si>
    <t>NISMEX CUERNAVACA</t>
  </si>
  <si>
    <t>MSC</t>
  </si>
  <si>
    <t>CORDOBA - SANTA ISABEL</t>
  </si>
  <si>
    <t>ARGENTINA</t>
  </si>
  <si>
    <t>GITI RADIAL TIRE ANHUI COMPANY LTD (CNSHA)</t>
  </si>
  <si>
    <t>CVP</t>
  </si>
  <si>
    <t>CUR. V. PARTICULIERS</t>
  </si>
  <si>
    <t>ONE</t>
  </si>
  <si>
    <t>CHILE</t>
  </si>
  <si>
    <t>ILN Moscou</t>
  </si>
  <si>
    <t>GITI RADIAL TIRE ANHUI COMPANY LTD (CNXAM-MACAS)</t>
  </si>
  <si>
    <t>CVU</t>
  </si>
  <si>
    <t>CUR. V. UTILITAIRES</t>
  </si>
  <si>
    <t>Yang-Ming</t>
  </si>
  <si>
    <t>CURITIBA MECANIQUE</t>
  </si>
  <si>
    <t>BRAZIL</t>
  </si>
  <si>
    <t>GITI RADIAL TIRE ANHUI COMPANY LTD (CNXAM-MAPTM)</t>
  </si>
  <si>
    <t>FSI</t>
  </si>
  <si>
    <t>FABRICA S ISABEL ARG</t>
  </si>
  <si>
    <t>Argentina</t>
  </si>
  <si>
    <t>Safmarine</t>
  </si>
  <si>
    <t>CURITIBA VP</t>
  </si>
  <si>
    <t>HANKOOK TIRE INDONESIA</t>
  </si>
  <si>
    <t>MED</t>
  </si>
  <si>
    <t>SOFASA MEDELLIN</t>
  </si>
  <si>
    <t>Colombia</t>
  </si>
  <si>
    <t>CURITIBA VU</t>
  </si>
  <si>
    <t>HIGHLY MARELLI MALAYSIA SDN. BHD.</t>
  </si>
  <si>
    <t>NAF</t>
  </si>
  <si>
    <t>NISSAN_NAF_S_AFRICA</t>
  </si>
  <si>
    <t>South Africa</t>
  </si>
  <si>
    <t>PITESTI MECANIQUE</t>
  </si>
  <si>
    <t>ROMANIA</t>
  </si>
  <si>
    <t>NAR</t>
  </si>
  <si>
    <t>NISSAN ARGENTINE</t>
  </si>
  <si>
    <t>PITESTI MONTAGE</t>
  </si>
  <si>
    <t>NCIC Guangzhou</t>
  </si>
  <si>
    <t>NP2</t>
  </si>
  <si>
    <t>NIS PWT THAILANDE FZ</t>
  </si>
  <si>
    <t>Thailand</t>
  </si>
  <si>
    <t>DFMIEC</t>
  </si>
  <si>
    <t>CHINA</t>
  </si>
  <si>
    <t>NPT</t>
  </si>
  <si>
    <t>NIS POWERTRAIN THAI</t>
  </si>
  <si>
    <t>REC DOUAI</t>
  </si>
  <si>
    <t>RNP</t>
  </si>
  <si>
    <t>RNAIPL_POWERTRAIN</t>
  </si>
  <si>
    <t>DRAC</t>
  </si>
  <si>
    <t>RSM</t>
  </si>
  <si>
    <t>RENAULT SAMSUNG MOT.</t>
  </si>
  <si>
    <t>Korea</t>
  </si>
  <si>
    <t>USINE DE FLINS ELISABETHVILLE</t>
  </si>
  <si>
    <t>TGI (Russia)</t>
  </si>
  <si>
    <t>SHI</t>
  </si>
  <si>
    <t>SHIYANG VEHICULE</t>
  </si>
  <si>
    <t>China</t>
  </si>
  <si>
    <t>IZHEVSK</t>
  </si>
  <si>
    <t>Cormecanica</t>
  </si>
  <si>
    <t>xxxxxx</t>
  </si>
  <si>
    <t>RO</t>
  </si>
  <si>
    <t>CURITIBA Assembly</t>
  </si>
  <si>
    <t>JSC AVTOVAZ TOGLIATTI</t>
  </si>
  <si>
    <t>CMO</t>
  </si>
  <si>
    <t>CURITIBA Powertrain</t>
  </si>
  <si>
    <t>CURITIBA Utilities</t>
  </si>
  <si>
    <t>MOSCOU</t>
  </si>
  <si>
    <t>INDE NAVA SHEVA</t>
  </si>
  <si>
    <t>CHENNAI VEHICLE (NISSAN)</t>
  </si>
  <si>
    <t>SOM</t>
  </si>
  <si>
    <t>MAROC SOMACA</t>
  </si>
  <si>
    <t>Morocco</t>
  </si>
  <si>
    <t>AVTOVAZ IZHEVSK VEH</t>
  </si>
  <si>
    <t>RUSSIA</t>
  </si>
  <si>
    <t>NSA</t>
  </si>
  <si>
    <t>ROSSLYN SOUTH AFRICA</t>
  </si>
  <si>
    <t>JAPAN</t>
  </si>
  <si>
    <t>RENAULT KOREA MOTORS CO</t>
  </si>
  <si>
    <t>JAPAN NGO</t>
  </si>
  <si>
    <t>AVF</t>
  </si>
  <si>
    <t>RENAULT RUSSIA Assembly</t>
  </si>
  <si>
    <t>JAPAN NHM</t>
  </si>
  <si>
    <t>NISSAN MOTOR CO LTD</t>
  </si>
  <si>
    <t>Magna Nanchang</t>
  </si>
  <si>
    <t>MPR</t>
  </si>
  <si>
    <t>RENAULT RUSSIA MPR</t>
  </si>
  <si>
    <t>JAPAN NJK</t>
  </si>
  <si>
    <t>ARG</t>
  </si>
  <si>
    <t>CORBOBA</t>
  </si>
  <si>
    <t>AVTOVAZ TOGLIATTI PWT</t>
  </si>
  <si>
    <t>TNG</t>
  </si>
  <si>
    <t>RENAULT TANGER TECHNOLOGIE</t>
  </si>
  <si>
    <t>KARSAN</t>
  </si>
  <si>
    <t>KARSAN OTOMOTIV</t>
  </si>
  <si>
    <t>TURKEY</t>
  </si>
  <si>
    <t>SFR</t>
  </si>
  <si>
    <t>SOFRASTOCK</t>
  </si>
  <si>
    <t>France</t>
  </si>
  <si>
    <t xml:space="preserve">MALAYSIA </t>
  </si>
  <si>
    <t>NISSAN AILN LOGISTICA CRAGEA</t>
  </si>
  <si>
    <t>COL</t>
  </si>
  <si>
    <t>SOFASA COLUMBIA</t>
  </si>
  <si>
    <t>REC MAUBEUGE</t>
  </si>
  <si>
    <t>ALG</t>
  </si>
  <si>
    <t>ORAN ALGERIE</t>
  </si>
  <si>
    <t>Algeria</t>
  </si>
  <si>
    <t>MEXIQUE CVC</t>
  </si>
  <si>
    <t>CUERNAVACA (NISSAN)</t>
  </si>
  <si>
    <t>MEXICO</t>
  </si>
  <si>
    <t>CHENNAI Assembly</t>
  </si>
  <si>
    <t>MAF MOSKVICH</t>
  </si>
  <si>
    <t>ROBERT BOSCH  MALAYSIA  SDN BHD</t>
  </si>
  <si>
    <t>CHM</t>
  </si>
  <si>
    <t>VALLADOLID MOTORES</t>
  </si>
  <si>
    <t>BUM</t>
  </si>
  <si>
    <t>OYAK Mecanique</t>
  </si>
  <si>
    <t>Turkey</t>
  </si>
  <si>
    <t>NISSAN AFS</t>
  </si>
  <si>
    <t>ROSSLYN (NISSAN)</t>
  </si>
  <si>
    <t>SOUTH AFRICA</t>
  </si>
  <si>
    <t>SFK</t>
  </si>
  <si>
    <t>AVZ</t>
  </si>
  <si>
    <t>AVTOVAZ Montage Assembly</t>
  </si>
  <si>
    <t>STA</t>
  </si>
  <si>
    <t>NISSAN BRESIL</t>
  </si>
  <si>
    <t>NISSAN DO BRASIL AUTOMOVEIS</t>
  </si>
  <si>
    <t>AVM</t>
  </si>
  <si>
    <t>AVTOVAZ Powertrain</t>
  </si>
  <si>
    <t>NISSAN Egypt</t>
  </si>
  <si>
    <t>EGYPT</t>
  </si>
  <si>
    <t>IZV</t>
  </si>
  <si>
    <t>NISSAN ROSSL</t>
  </si>
  <si>
    <t>TESA HAMBURG - TESA CONVERTING CENT</t>
  </si>
  <si>
    <t>RVZ</t>
  </si>
  <si>
    <t>Slovenia</t>
  </si>
  <si>
    <t>VAZ MEKA</t>
  </si>
  <si>
    <t>NISSAN Thailande</t>
  </si>
  <si>
    <t>NPT - NISSAN POWERTRAIN CO.,LTD.</t>
  </si>
  <si>
    <t>THAILAND</t>
  </si>
  <si>
    <t>VE-J</t>
  </si>
  <si>
    <t>BU</t>
  </si>
  <si>
    <t>Somaca</t>
  </si>
  <si>
    <t>VAZ MONT</t>
  </si>
  <si>
    <t>ORAN MONTAGE</t>
  </si>
  <si>
    <t>ALGERIA</t>
  </si>
  <si>
    <t>Vietnam</t>
  </si>
  <si>
    <t>TAN</t>
  </si>
  <si>
    <t>Tanger</t>
  </si>
  <si>
    <t>OYAK RENAULT MEKANIK</t>
  </si>
  <si>
    <t>Valeo CN</t>
  </si>
  <si>
    <t>Oran</t>
  </si>
  <si>
    <t>OYAK BURSA</t>
  </si>
  <si>
    <t>EV affordable</t>
  </si>
  <si>
    <t>Cordoba</t>
  </si>
  <si>
    <t>PALENCIA MONTAGE</t>
  </si>
  <si>
    <t>linlong serbie</t>
  </si>
  <si>
    <t>SFK_187</t>
  </si>
  <si>
    <t>RCO</t>
  </si>
  <si>
    <t>Colombie</t>
  </si>
  <si>
    <t>REVOZ (NOVOMESTO)</t>
  </si>
  <si>
    <t>SLOVENIA</t>
  </si>
  <si>
    <t>Magna Italie</t>
  </si>
  <si>
    <t>CVP / CMO / CVU</t>
  </si>
  <si>
    <t>Curitiba</t>
  </si>
  <si>
    <t>RENAULT KOREA MOTORS CO LTD</t>
  </si>
  <si>
    <t>KOREA</t>
  </si>
  <si>
    <t>RSG</t>
  </si>
  <si>
    <t>Corée</t>
  </si>
  <si>
    <t>RENAULT MECANIQUE ROUMANIE SA</t>
  </si>
  <si>
    <t>Yazaki Colombia</t>
  </si>
  <si>
    <t>xxxxx</t>
  </si>
  <si>
    <t>HIN / HIK</t>
  </si>
  <si>
    <t>Chennai</t>
  </si>
  <si>
    <t>SANDOUVILLE LE HAVRE</t>
  </si>
  <si>
    <t>Minth  serbie</t>
  </si>
  <si>
    <t>Afrique du Sud</t>
  </si>
  <si>
    <t>E-DRIVE</t>
  </si>
  <si>
    <t>COLOMBIA</t>
  </si>
  <si>
    <t>MOROCCO</t>
  </si>
  <si>
    <t>BATILLY (SOVAB)</t>
  </si>
  <si>
    <t>S.T.A. RUITZ</t>
  </si>
  <si>
    <t>TANGER MONTAGE</t>
  </si>
  <si>
    <t>VALLADOLID MONTAJE</t>
  </si>
  <si>
    <t>AVTOVAZ TOGLIATTI VEH</t>
  </si>
  <si>
    <t>NMT - NISSAN POWERTRAIN CO.,LTD.</t>
  </si>
  <si>
    <t>AGUASCALIENTES (NISSAN)</t>
  </si>
  <si>
    <t>Name</t>
  </si>
  <si>
    <t>Clé(ID-Status)</t>
  </si>
  <si>
    <t>ID Group</t>
  </si>
  <si>
    <t>From</t>
  </si>
  <si>
    <t>To</t>
  </si>
  <si>
    <t>Day
Cut Off</t>
  </si>
  <si>
    <t>Time for security2-buffer</t>
  </si>
  <si>
    <t>Status</t>
  </si>
  <si>
    <t>Customer safety stock</t>
  </si>
  <si>
    <t>NO</t>
  </si>
  <si>
    <t>INENR</t>
  </si>
  <si>
    <t>CLSAI</t>
  </si>
  <si>
    <t>Marc-Aurele</t>
  </si>
  <si>
    <t xml:space="preserve">GT2025 New VTT ; Perf to check in 3 months </t>
  </si>
  <si>
    <t>Renault &gt; Horse</t>
  </si>
  <si>
    <t>RAS</t>
  </si>
  <si>
    <t>INNSA</t>
  </si>
  <si>
    <t>Perf to check in 3 month</t>
  </si>
  <si>
    <t>JPMOJ</t>
  </si>
  <si>
    <t>KRPUS</t>
  </si>
  <si>
    <t>GT2025 New VTT</t>
  </si>
  <si>
    <t>Nissan &gt; Renault</t>
  </si>
  <si>
    <t>NEW</t>
  </si>
  <si>
    <t>JPYOK</t>
  </si>
  <si>
    <t>ROCND</t>
  </si>
  <si>
    <t>MXLZC</t>
  </si>
  <si>
    <t>Hapag Lloyd</t>
  </si>
  <si>
    <t>JATCO MEXICO</t>
  </si>
  <si>
    <t>JPNGO</t>
  </si>
  <si>
    <t>BRPNG</t>
  </si>
  <si>
    <t>AK JAPAN</t>
  </si>
  <si>
    <t>Nissan &gt; Horse</t>
  </si>
  <si>
    <t>ESVLC</t>
  </si>
  <si>
    <t>JPSMZ</t>
  </si>
  <si>
    <t>COBUN</t>
  </si>
  <si>
    <t>JATCO JAPAN</t>
  </si>
  <si>
    <t>MACAS</t>
  </si>
  <si>
    <t>MAPTM</t>
  </si>
  <si>
    <t>SIKOP</t>
  </si>
  <si>
    <t>JATCO JAPAN service change with CMA</t>
  </si>
  <si>
    <t>TRIZT</t>
  </si>
  <si>
    <t>Update CMA 15/04/25</t>
  </si>
  <si>
    <t>MXATM</t>
  </si>
  <si>
    <t>COCTG</t>
  </si>
  <si>
    <t>Evergreen</t>
  </si>
  <si>
    <t>FRLEH</t>
  </si>
  <si>
    <t>NISSAN JAPAN</t>
  </si>
  <si>
    <t>ESALG</t>
  </si>
  <si>
    <t>ARBUE</t>
  </si>
  <si>
    <t>ras</t>
  </si>
  <si>
    <t>TRGEM</t>
  </si>
  <si>
    <t>RAS (-)</t>
  </si>
  <si>
    <t>Service change Hapag : TT increase from 42 to 49</t>
  </si>
  <si>
    <t>CNSHA</t>
  </si>
  <si>
    <t>ATTENTION +7J</t>
  </si>
  <si>
    <t>-7 Jrs</t>
  </si>
  <si>
    <t>NEw</t>
  </si>
  <si>
    <t>FRDKK</t>
  </si>
  <si>
    <t>INMAA</t>
  </si>
  <si>
    <t>GT2025</t>
  </si>
  <si>
    <t>THLCH</t>
  </si>
  <si>
    <t>Renault &gt; Nissan</t>
  </si>
  <si>
    <t>MXVER</t>
  </si>
  <si>
    <t>YES</t>
  </si>
  <si>
    <t>BRRIO</t>
  </si>
  <si>
    <t>Horse &gt; Nissan</t>
  </si>
  <si>
    <t>MYPKG</t>
  </si>
  <si>
    <t>Horse &gt; Renault</t>
  </si>
  <si>
    <t>GT2025 - secu pour passage rosario</t>
  </si>
  <si>
    <t>NO (potential -1W)</t>
  </si>
  <si>
    <t>Jocelyn</t>
  </si>
  <si>
    <t>???</t>
  </si>
  <si>
    <t>MXZLO</t>
  </si>
  <si>
    <t>New ID for Horse</t>
  </si>
  <si>
    <t xml:space="preserve">Renault &gt; Horse </t>
  </si>
  <si>
    <t>Clé(Compte ILN - shipper - POL - plant)</t>
  </si>
  <si>
    <t>Clé(Compte ILN - shipper - POL)</t>
  </si>
  <si>
    <t xml:space="preserve"> Name ILN</t>
  </si>
  <si>
    <t>Name of shipper</t>
  </si>
  <si>
    <t>Name Consignee</t>
  </si>
  <si>
    <t>comments</t>
  </si>
  <si>
    <t>Colone E amélie(source ILN)</t>
  </si>
  <si>
    <t>Colone I amélie(source ILN)</t>
  </si>
  <si>
    <t>moyen</t>
  </si>
  <si>
    <t>Colone K Tengda(source fiche VTT data colone V</t>
  </si>
  <si>
    <t>plus grande</t>
  </si>
  <si>
    <t>Nissan AFS</t>
  </si>
  <si>
    <t>Colone L nom shipper emmanuelle</t>
  </si>
  <si>
    <t>Curitiba CVU</t>
  </si>
  <si>
    <t>INMUN</t>
  </si>
  <si>
    <t xml:space="preserve">30/10 : passage 14 ald 21 suite demande ILN VLL </t>
  </si>
  <si>
    <t>MYTPP</t>
  </si>
  <si>
    <t>MYPEN</t>
  </si>
  <si>
    <t>MYPGU</t>
  </si>
  <si>
    <t>CNFUG</t>
  </si>
  <si>
    <t>IDJKT</t>
  </si>
  <si>
    <t>INKAT</t>
  </si>
  <si>
    <t>ARROS</t>
  </si>
  <si>
    <t>Hamburg Sud</t>
  </si>
  <si>
    <t>BEANR</t>
  </si>
  <si>
    <t>ITGIT</t>
  </si>
  <si>
    <t>Correcting to be in link and standard with other flow</t>
  </si>
  <si>
    <t>ILN Shanghai A</t>
  </si>
  <si>
    <t>PTLEI</t>
  </si>
  <si>
    <t>CNXMN</t>
  </si>
  <si>
    <t>CNNGB</t>
  </si>
  <si>
    <t>CNKHN</t>
  </si>
  <si>
    <t>BRSSZ</t>
  </si>
  <si>
    <t>USUI</t>
  </si>
  <si>
    <t>Faurecia</t>
  </si>
  <si>
    <t>ZAPLZ</t>
  </si>
  <si>
    <t>NGK</t>
  </si>
  <si>
    <t>CNSHA/CNNGB</t>
  </si>
  <si>
    <t>Sandouville</t>
  </si>
  <si>
    <t>CNDLC</t>
  </si>
  <si>
    <t>Linlong serbie</t>
  </si>
  <si>
    <t>HRRJK</t>
  </si>
  <si>
    <t>Motores</t>
  </si>
  <si>
    <t>POE Spain</t>
  </si>
  <si>
    <t>ITSAL</t>
  </si>
  <si>
    <t>ajout 7 jrs appro fnr car passage PFI mioveni</t>
  </si>
  <si>
    <t>ajout 7 jrs appro fnr car passage PFI Valladolid</t>
  </si>
  <si>
    <t>Clé(POD-PFI-Usine)</t>
  </si>
  <si>
    <t>Clé(POD-PFI)</t>
  </si>
  <si>
    <t>Clé(POD-Compte site )</t>
  </si>
  <si>
    <t>Clé(PFI-site)</t>
  </si>
  <si>
    <t>type PFI/CDD</t>
  </si>
  <si>
    <t>CLVAP</t>
  </si>
  <si>
    <t>CNWUH</t>
  </si>
  <si>
    <t>EGALY</t>
  </si>
  <si>
    <t>Nissan Egypt</t>
  </si>
  <si>
    <t>Malaysia TCM</t>
  </si>
  <si>
    <t>TRGEB</t>
  </si>
  <si>
    <t>ZADUR</t>
  </si>
  <si>
    <t>DZORN</t>
  </si>
  <si>
    <t>DZAZW</t>
  </si>
  <si>
    <t>POD vers Usine (direct)</t>
  </si>
  <si>
    <t>POD vers PFI</t>
  </si>
  <si>
    <t>PFI vers Usine</t>
  </si>
  <si>
    <t>Clé POD-Code Plant</t>
  </si>
  <si>
    <t>Name Plant</t>
  </si>
  <si>
    <t>Code Plant</t>
  </si>
  <si>
    <t>Trpt direct vers Usine</t>
  </si>
  <si>
    <t>Clé POD-Code PFI</t>
  </si>
  <si>
    <t xml:space="preserve">Name PFI </t>
  </si>
  <si>
    <t>Transport</t>
  </si>
  <si>
    <t>Clé Code PFI - Code Usine</t>
  </si>
  <si>
    <t>PFI Import</t>
  </si>
  <si>
    <t xml:space="preserve">Code PFI </t>
  </si>
  <si>
    <t>Usine arrivée</t>
  </si>
  <si>
    <t>Moyenne preavis GPI - 1J  ( Hors flux SFK)</t>
  </si>
  <si>
    <t>France (Dieppe)</t>
  </si>
  <si>
    <t>France (Cleon)</t>
  </si>
  <si>
    <t>France (Douai)</t>
  </si>
  <si>
    <t>France (Flins)</t>
  </si>
  <si>
    <t>France (Maubeuge)</t>
  </si>
  <si>
    <t>Spain (Palencia)</t>
  </si>
  <si>
    <t>France (Sandouville)</t>
  </si>
  <si>
    <t>Spain (Sevilla)</t>
  </si>
  <si>
    <t>Buffer for train</t>
  </si>
  <si>
    <t>France (Batilly)</t>
  </si>
  <si>
    <t>France (STA)</t>
  </si>
  <si>
    <t>Day Cut off</t>
  </si>
  <si>
    <t>Day ETD1</t>
  </si>
  <si>
    <t>Day ETD2</t>
  </si>
  <si>
    <t>Spain (Valladolid)</t>
  </si>
  <si>
    <t>train</t>
  </si>
  <si>
    <t>Portugal (Cacia)</t>
  </si>
  <si>
    <t>Morocco (Somaca)</t>
  </si>
  <si>
    <t>Morocco (Tangier)</t>
  </si>
  <si>
    <t>Russia (Togliatti)</t>
  </si>
  <si>
    <t>Russia (Moscow)</t>
  </si>
  <si>
    <t>Spain ( Motores)</t>
  </si>
  <si>
    <t>Day : when it start</t>
  </si>
  <si>
    <t>Day+ : Duration</t>
  </si>
  <si>
    <t>Final Day : when it finish</t>
  </si>
  <si>
    <t>where the data is</t>
  </si>
  <si>
    <t xml:space="preserve"> The key is 'Compte Site'</t>
  </si>
  <si>
    <t>/</t>
  </si>
  <si>
    <t>-</t>
  </si>
  <si>
    <t>Data in 'Order' sheet</t>
  </si>
  <si>
    <t xml:space="preserve"> The key is 'Compte ILN'</t>
  </si>
  <si>
    <t>Data in 'Data ILN' sheet</t>
  </si>
  <si>
    <t xml:space="preserve"> The key is 'ILN - shipper - POL - plant' (special case) or 'ILN - shipper - POL'</t>
  </si>
  <si>
    <t>The key is 'ILN - shipper - POL - plant' (special case) or 'ILN - shipper - POL'</t>
  </si>
  <si>
    <t xml:space="preserve"> Calculated in VTT</t>
  </si>
  <si>
    <t xml:space="preserve"> The key is 'ID - Actif/Next'</t>
  </si>
  <si>
    <t>Data in 'DATA BTO' sheet</t>
  </si>
  <si>
    <t xml:space="preserve"> The key is 'ID Actif/Next'</t>
  </si>
  <si>
    <t xml:space="preserve"> The key is 'POD - PFI - Usine' ('DATA Consignee')</t>
  </si>
  <si>
    <t>Data in 'DATA Consignee' and 'Transport' sheet</t>
  </si>
  <si>
    <t xml:space="preserve"> The key is 'POD - PFI - Usine' ('Transport') 'POD - PFI'</t>
  </si>
  <si>
    <t xml:space="preserve"> The key is 'POD - PFI - Usine' ('Transport') 'POD - Usine' and 'PFI - Usine'</t>
  </si>
  <si>
    <t>Data in 'VTT' sheet</t>
  </si>
  <si>
    <t>FRLEH &gt; CLSAI</t>
  </si>
  <si>
    <t>Time of recept in AILN</t>
  </si>
  <si>
    <t/>
  </si>
  <si>
    <t>ILN FR-Actif</t>
  </si>
  <si>
    <t>60-Actif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</si>
</sst>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[$-40C]d\-mmm;@"/>
    <numFmt numFmtId="165" formatCode="0000000000"/>
    <numFmt numFmtId="166" formatCode="00000000"/>
    <numFmt numFmtId="167" formatCode="00########"/>
    <numFmt numFmtId="168" formatCode="########"/>
    <numFmt numFmtId="169" formatCode="_-* #,##0.00\ _€_-;\-* #,##0.00\ _€_-;_-* &quot;-&quot;??\ _€_-;_-@_-"/>
    <numFmt numFmtId="170" formatCode="_-&quot;L.&quot;\ * #,##0_-;\-&quot;L.&quot;\ * #,##0_-;_-&quot;L.&quot;\ * &quot;-&quot;_-;_-@_-"/>
    <numFmt numFmtId="171" formatCode="_-&quot;L.&quot;\ * #,##0.00_-;\-&quot;L.&quot;\ * #,##0.00_-;_-&quot;L.&quot;\ * &quot;-&quot;??_-;_-@_-"/>
    <numFmt numFmtId="172" formatCode="_-* #,##0.00\ _l_e_i_-;\-* #,##0.00\ _l_e_i_-;_-* &quot;-&quot;??\ _l_e_i_-;_-@_-"/>
  </numFmts>
  <fonts count="9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22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name val="Calibri"/>
      <family val="2"/>
      <scheme val="minor"/>
    </font>
    <font>
      <sz val="7"/>
      <name val="Arial"/>
      <family val="2"/>
    </font>
    <font>
      <sz val="7"/>
      <color theme="1"/>
      <name val="Calibri"/>
      <family val="2"/>
      <scheme val="minor"/>
    </font>
    <font>
      <b/>
      <sz val="7"/>
      <color theme="0"/>
      <name val="Arial"/>
      <family val="2"/>
    </font>
    <font>
      <b/>
      <sz val="7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6"/>
      <name val="Arial"/>
      <family val="2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6"/>
      <color theme="0"/>
      <name val="Calibri"/>
      <family val="2"/>
      <scheme val="minor"/>
    </font>
    <font>
      <sz val="6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1"/>
      <name val="Calibri"/>
      <family val="2"/>
      <scheme val="minor"/>
    </font>
    <font>
      <b/>
      <sz val="6"/>
      <name val="Calibri"/>
      <family val="2"/>
      <scheme val="minor"/>
    </font>
    <font>
      <sz val="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0"/>
      <name val="Arial"/>
      <family val="2"/>
      <charset val="238"/>
    </font>
    <font>
      <sz val="10"/>
      <name val="Arial CE"/>
      <family val="2"/>
      <charset val="238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0"/>
      <name val="Courier"/>
      <family val="3"/>
    </font>
    <font>
      <sz val="10"/>
      <name val="Helv"/>
    </font>
    <font>
      <sz val="10"/>
      <name val="Tms Rmn"/>
    </font>
    <font>
      <b/>
      <sz val="11"/>
      <color indexed="8"/>
      <name val="Calibri"/>
      <family val="2"/>
    </font>
    <font>
      <sz val="11"/>
      <color indexed="60"/>
      <name val="Calibri"/>
      <family val="2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63"/>
      <name val="Calibri"/>
      <family val="2"/>
      <charset val="238"/>
    </font>
    <font>
      <b/>
      <sz val="18"/>
      <color indexed="56"/>
      <name val="Cambria"/>
      <family val="2"/>
      <charset val="238"/>
    </font>
    <font>
      <b/>
      <sz val="11"/>
      <color indexed="8"/>
      <name val="Calibri"/>
      <family val="2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7"/>
      <name val="Arial"/>
      <family val="1"/>
    </font>
    <font>
      <b/>
      <sz val="6"/>
      <name val="Arial"/>
      <family val="2"/>
    </font>
    <font>
      <b/>
      <sz val="6"/>
      <name val="Times New Roman"/>
      <family val="1"/>
    </font>
    <font>
      <sz val="7"/>
      <color theme="0"/>
      <name val="Arial"/>
      <family val="2"/>
    </font>
    <font>
      <b/>
      <i/>
      <sz val="7"/>
      <name val="Arial"/>
      <family val="2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</fonts>
  <fills count="9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57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57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5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F41C8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/>
      <bottom style="medium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</borders>
  <cellStyleXfs count="366">
    <xf numFmtId="0" fontId="0" fillId="0" borderId="0"/>
    <xf numFmtId="0" fontId="2" fillId="0" borderId="0"/>
    <xf numFmtId="169" fontId="24" fillId="0" borderId="0"/>
    <xf numFmtId="0" fontId="2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6" fillId="26" borderId="0"/>
    <xf numFmtId="0" fontId="26" fillId="27" borderId="0"/>
    <xf numFmtId="0" fontId="26" fillId="28" borderId="0"/>
    <xf numFmtId="0" fontId="26" fillId="29" borderId="0"/>
    <xf numFmtId="0" fontId="26" fillId="30" borderId="0"/>
    <xf numFmtId="0" fontId="26" fillId="31" borderId="0"/>
    <xf numFmtId="0" fontId="26" fillId="26" borderId="0"/>
    <xf numFmtId="0" fontId="26" fillId="27" borderId="0"/>
    <xf numFmtId="0" fontId="26" fillId="28" borderId="0"/>
    <xf numFmtId="0" fontId="26" fillId="29" borderId="0"/>
    <xf numFmtId="0" fontId="26" fillId="30" borderId="0"/>
    <xf numFmtId="0" fontId="26" fillId="31" borderId="0"/>
    <xf numFmtId="0" fontId="26" fillId="32" borderId="0"/>
    <xf numFmtId="0" fontId="26" fillId="33" borderId="0"/>
    <xf numFmtId="0" fontId="26" fillId="34" borderId="0"/>
    <xf numFmtId="0" fontId="26" fillId="29" borderId="0"/>
    <xf numFmtId="0" fontId="26" fillId="32" borderId="0"/>
    <xf numFmtId="0" fontId="26" fillId="35" borderId="0"/>
    <xf numFmtId="0" fontId="26" fillId="32" borderId="0"/>
    <xf numFmtId="0" fontId="26" fillId="33" borderId="0"/>
    <xf numFmtId="0" fontId="26" fillId="34" borderId="0"/>
    <xf numFmtId="0" fontId="26" fillId="29" borderId="0"/>
    <xf numFmtId="0" fontId="26" fillId="32" borderId="0"/>
    <xf numFmtId="0" fontId="26" fillId="35" borderId="0"/>
    <xf numFmtId="0" fontId="27" fillId="36" borderId="0"/>
    <xf numFmtId="0" fontId="27" fillId="33" borderId="0"/>
    <xf numFmtId="0" fontId="27" fillId="34" borderId="0"/>
    <xf numFmtId="0" fontId="27" fillId="37" borderId="0"/>
    <xf numFmtId="0" fontId="27" fillId="38" borderId="0"/>
    <xf numFmtId="0" fontId="27" fillId="39" borderId="0"/>
    <xf numFmtId="0" fontId="27" fillId="36" borderId="0"/>
    <xf numFmtId="0" fontId="27" fillId="33" borderId="0"/>
    <xf numFmtId="0" fontId="27" fillId="34" borderId="0"/>
    <xf numFmtId="0" fontId="27" fillId="37" borderId="0"/>
    <xf numFmtId="0" fontId="27" fillId="38" borderId="0"/>
    <xf numFmtId="0" fontId="27" fillId="39" borderId="0"/>
    <xf numFmtId="0" fontId="28" fillId="31" borderId="45"/>
    <xf numFmtId="0" fontId="29" fillId="28" borderId="0"/>
    <xf numFmtId="0" fontId="30" fillId="40" borderId="45"/>
    <xf numFmtId="0" fontId="31" fillId="41" borderId="46"/>
    <xf numFmtId="0" fontId="32" fillId="0" borderId="47"/>
    <xf numFmtId="0" fontId="33" fillId="0" borderId="0"/>
    <xf numFmtId="0" fontId="34" fillId="0" borderId="48"/>
    <xf numFmtId="0" fontId="35" fillId="0" borderId="49"/>
    <xf numFmtId="0" fontId="36" fillId="0" borderId="50"/>
    <xf numFmtId="0" fontId="36" fillId="0" borderId="0"/>
    <xf numFmtId="0" fontId="2" fillId="0" borderId="0"/>
    <xf numFmtId="0" fontId="31" fillId="41" borderId="46"/>
    <xf numFmtId="0" fontId="36" fillId="0" borderId="0"/>
    <xf numFmtId="0" fontId="27" fillId="42" borderId="0"/>
    <xf numFmtId="0" fontId="27" fillId="43" borderId="0"/>
    <xf numFmtId="0" fontId="27" fillId="44" borderId="0"/>
    <xf numFmtId="0" fontId="27" fillId="37" borderId="0"/>
    <xf numFmtId="0" fontId="27" fillId="38" borderId="0"/>
    <xf numFmtId="0" fontId="27" fillId="45" borderId="0"/>
    <xf numFmtId="0" fontId="28" fillId="31" borderId="45"/>
    <xf numFmtId="44" fontId="2" fillId="0" borderId="0"/>
    <xf numFmtId="0" fontId="37" fillId="0" borderId="0"/>
    <xf numFmtId="0" fontId="32" fillId="0" borderId="47"/>
    <xf numFmtId="0" fontId="38" fillId="27" borderId="0"/>
    <xf numFmtId="0" fontId="39" fillId="46" borderId="44"/>
    <xf numFmtId="0" fontId="27" fillId="42" borderId="0"/>
    <xf numFmtId="0" fontId="27" fillId="43" borderId="0"/>
    <xf numFmtId="0" fontId="27" fillId="44" borderId="0"/>
    <xf numFmtId="0" fontId="27" fillId="37" borderId="0"/>
    <xf numFmtId="0" fontId="27" fillId="38" borderId="0"/>
    <xf numFmtId="0" fontId="27" fillId="45" borderId="0"/>
    <xf numFmtId="0" fontId="29" fillId="28" borderId="0"/>
    <xf numFmtId="0" fontId="40" fillId="0" borderId="0">
      <alignment horizontal="left"/>
    </xf>
    <xf numFmtId="0" fontId="41" fillId="40" borderId="51"/>
    <xf numFmtId="0" fontId="42" fillId="0" borderId="0"/>
    <xf numFmtId="43" fontId="2" fillId="0" borderId="0"/>
    <xf numFmtId="44" fontId="2" fillId="0" borderId="0"/>
    <xf numFmtId="0" fontId="40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" fillId="0" borderId="0"/>
    <xf numFmtId="0" fontId="44" fillId="0" borderId="0"/>
    <xf numFmtId="0" fontId="2" fillId="0" borderId="0"/>
    <xf numFmtId="0" fontId="26" fillId="0" borderId="0"/>
    <xf numFmtId="0" fontId="26" fillId="0" borderId="0"/>
    <xf numFmtId="0" fontId="26" fillId="0" borderId="0"/>
    <xf numFmtId="0" fontId="24" fillId="0" borderId="0"/>
    <xf numFmtId="0" fontId="26" fillId="0" borderId="0"/>
    <xf numFmtId="0" fontId="2" fillId="0" borderId="0"/>
    <xf numFmtId="0" fontId="45" fillId="0" borderId="0"/>
    <xf numFmtId="0" fontId="2" fillId="0" borderId="0"/>
    <xf numFmtId="0" fontId="40" fillId="0" borderId="0"/>
    <xf numFmtId="0" fontId="2" fillId="46" borderId="44"/>
    <xf numFmtId="0" fontId="46" fillId="0" borderId="52"/>
    <xf numFmtId="0" fontId="40" fillId="0" borderId="0"/>
    <xf numFmtId="9" fontId="2" fillId="0" borderId="0"/>
    <xf numFmtId="0" fontId="38" fillId="27" borderId="0"/>
    <xf numFmtId="0" fontId="41" fillId="40" borderId="51"/>
    <xf numFmtId="0" fontId="47" fillId="47" borderId="0"/>
    <xf numFmtId="0" fontId="2" fillId="0" borderId="0"/>
    <xf numFmtId="0" fontId="2" fillId="0" borderId="0"/>
    <xf numFmtId="0" fontId="30" fillId="40" borderId="45"/>
    <xf numFmtId="0" fontId="37" fillId="0" borderId="0"/>
    <xf numFmtId="0" fontId="42" fillId="0" borderId="0"/>
    <xf numFmtId="0" fontId="33" fillId="0" borderId="0"/>
    <xf numFmtId="0" fontId="34" fillId="0" borderId="48"/>
    <xf numFmtId="0" fontId="35" fillId="0" borderId="49"/>
    <xf numFmtId="0" fontId="36" fillId="0" borderId="50"/>
    <xf numFmtId="0" fontId="40" fillId="0" borderId="0">
      <alignment horizontal="left"/>
    </xf>
    <xf numFmtId="170" fontId="2" fillId="0" borderId="0"/>
    <xf numFmtId="171" fontId="2" fillId="0" borderId="0"/>
    <xf numFmtId="0" fontId="2" fillId="0" borderId="0"/>
    <xf numFmtId="44" fontId="2" fillId="0" borderId="0"/>
    <xf numFmtId="0" fontId="40" fillId="0" borderId="0"/>
    <xf numFmtId="0" fontId="40" fillId="0" borderId="0"/>
    <xf numFmtId="0" fontId="2" fillId="0" borderId="0"/>
    <xf numFmtId="0" fontId="24" fillId="0" borderId="0"/>
    <xf numFmtId="169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42" borderId="0"/>
    <xf numFmtId="0" fontId="50" fillId="43" borderId="0"/>
    <xf numFmtId="0" fontId="50" fillId="44" borderId="0"/>
    <xf numFmtId="0" fontId="50" fillId="37" borderId="0"/>
    <xf numFmtId="0" fontId="50" fillId="38" borderId="0"/>
    <xf numFmtId="0" fontId="50" fillId="45" borderId="0"/>
    <xf numFmtId="0" fontId="51" fillId="27" borderId="0"/>
    <xf numFmtId="0" fontId="52" fillId="41" borderId="46"/>
    <xf numFmtId="0" fontId="2" fillId="0" borderId="0"/>
    <xf numFmtId="0" fontId="48" fillId="24" borderId="0"/>
    <xf numFmtId="44" fontId="2" fillId="0" borderId="0"/>
    <xf numFmtId="0" fontId="53" fillId="0" borderId="0"/>
    <xf numFmtId="0" fontId="54" fillId="28" borderId="0"/>
    <xf numFmtId="0" fontId="55" fillId="0" borderId="48"/>
    <xf numFmtId="0" fontId="56" fillId="0" borderId="49"/>
    <xf numFmtId="0" fontId="57" fillId="0" borderId="50"/>
    <xf numFmtId="0" fontId="57" fillId="0" borderId="0"/>
    <xf numFmtId="44" fontId="2" fillId="0" borderId="0"/>
    <xf numFmtId="0" fontId="58" fillId="47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2" fillId="46" borderId="44"/>
    <xf numFmtId="0" fontId="59" fillId="40" borderId="51"/>
    <xf numFmtId="9" fontId="2" fillId="0" borderId="0"/>
    <xf numFmtId="0" fontId="2" fillId="0" borderId="0"/>
    <xf numFmtId="0" fontId="60" fillId="0" borderId="0"/>
    <xf numFmtId="0" fontId="61" fillId="0" borderId="52"/>
    <xf numFmtId="0" fontId="2" fillId="0" borderId="0"/>
    <xf numFmtId="0" fontId="49" fillId="25" borderId="0"/>
    <xf numFmtId="0" fontId="2" fillId="0" borderId="0"/>
    <xf numFmtId="0" fontId="25" fillId="0" borderId="0"/>
    <xf numFmtId="38" fontId="25" fillId="0" borderId="0">
      <alignment vertical="center"/>
    </xf>
    <xf numFmtId="9" fontId="25" fillId="0" borderId="0">
      <alignment vertical="center"/>
    </xf>
    <xf numFmtId="169" fontId="25" fillId="0" borderId="0"/>
    <xf numFmtId="0" fontId="62" fillId="0" borderId="0"/>
    <xf numFmtId="169" fontId="24" fillId="0" borderId="0"/>
    <xf numFmtId="0" fontId="2" fillId="0" borderId="0"/>
    <xf numFmtId="0" fontId="2" fillId="0" borderId="0"/>
    <xf numFmtId="43" fontId="24" fillId="0" borderId="0"/>
    <xf numFmtId="0" fontId="24" fillId="0" borderId="0"/>
    <xf numFmtId="0" fontId="63" fillId="0" borderId="0"/>
    <xf numFmtId="9" fontId="63" fillId="0" borderId="0"/>
    <xf numFmtId="0" fontId="24" fillId="0" borderId="0"/>
    <xf numFmtId="44" fontId="24" fillId="0" borderId="0"/>
    <xf numFmtId="0" fontId="2" fillId="0" borderId="0"/>
    <xf numFmtId="169" fontId="2" fillId="0" borderId="0"/>
    <xf numFmtId="9" fontId="2" fillId="0" borderId="0"/>
    <xf numFmtId="169" fontId="24" fillId="0" borderId="0"/>
    <xf numFmtId="43" fontId="24" fillId="0" borderId="0"/>
    <xf numFmtId="0" fontId="2" fillId="0" borderId="0"/>
    <xf numFmtId="44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0" fontId="24" fillId="0" borderId="0"/>
    <xf numFmtId="43" fontId="24" fillId="0" borderId="0"/>
    <xf numFmtId="43" fontId="24" fillId="0" borderId="0"/>
    <xf numFmtId="169" fontId="24" fillId="0" borderId="0"/>
    <xf numFmtId="169" fontId="24" fillId="0" borderId="0"/>
    <xf numFmtId="169" fontId="24" fillId="0" borderId="0"/>
    <xf numFmtId="9" fontId="24" fillId="0" borderId="0"/>
    <xf numFmtId="43" fontId="24" fillId="0" borderId="0"/>
    <xf numFmtId="43" fontId="24" fillId="0" borderId="0"/>
    <xf numFmtId="0" fontId="86" fillId="0" borderId="0">
      <alignment vertical="top"/>
      <protection locked="0"/>
    </xf>
    <xf numFmtId="0" fontId="87" fillId="0" borderId="0"/>
    <xf numFmtId="0" fontId="24" fillId="0" borderId="0"/>
    <xf numFmtId="0" fontId="24" fillId="0" borderId="0"/>
    <xf numFmtId="0" fontId="24" fillId="0" borderId="0"/>
    <xf numFmtId="40" fontId="87" fillId="0" borderId="0"/>
    <xf numFmtId="44" fontId="2" fillId="0" borderId="0"/>
    <xf numFmtId="44" fontId="2" fillId="0" borderId="0"/>
    <xf numFmtId="44" fontId="2" fillId="0" borderId="0"/>
    <xf numFmtId="44" fontId="2" fillId="0" borderId="0"/>
    <xf numFmtId="0" fontId="25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0" fontId="2" fillId="0" borderId="0"/>
    <xf numFmtId="0" fontId="24" fillId="0" borderId="0"/>
    <xf numFmtId="0" fontId="88" fillId="0" borderId="0">
      <alignment vertical="center"/>
    </xf>
    <xf numFmtId="0" fontId="63" fillId="0" borderId="0"/>
    <xf numFmtId="0" fontId="84" fillId="0" borderId="0"/>
    <xf numFmtId="43" fontId="24" fillId="0" borderId="0"/>
    <xf numFmtId="43" fontId="24" fillId="0" borderId="0"/>
    <xf numFmtId="44" fontId="2" fillId="0" borderId="0"/>
    <xf numFmtId="44" fontId="2" fillId="0" borderId="0"/>
    <xf numFmtId="44" fontId="2" fillId="0" borderId="0"/>
    <xf numFmtId="44" fontId="2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0" fontId="85" fillId="0" borderId="0"/>
    <xf numFmtId="43" fontId="24" fillId="0" borderId="0"/>
    <xf numFmtId="43" fontId="24" fillId="0" borderId="0"/>
    <xf numFmtId="44" fontId="2" fillId="0" borderId="0"/>
    <xf numFmtId="44" fontId="2" fillId="0" borderId="0"/>
    <xf numFmtId="44" fontId="2" fillId="0" borderId="0"/>
    <xf numFmtId="44" fontId="2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4" fontId="2" fillId="0" borderId="0"/>
    <xf numFmtId="44" fontId="2" fillId="0" borderId="0"/>
    <xf numFmtId="44" fontId="2" fillId="0" borderId="0"/>
    <xf numFmtId="44" fontId="2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0" fontId="24" fillId="66" borderId="0"/>
    <xf numFmtId="0" fontId="24" fillId="70" borderId="0"/>
    <xf numFmtId="0" fontId="24" fillId="74" borderId="0"/>
    <xf numFmtId="0" fontId="24" fillId="78" borderId="0"/>
    <xf numFmtId="0" fontId="24" fillId="82" borderId="0"/>
    <xf numFmtId="0" fontId="24" fillId="86" borderId="0"/>
    <xf numFmtId="0" fontId="24" fillId="67" borderId="0"/>
    <xf numFmtId="0" fontId="24" fillId="71" borderId="0"/>
    <xf numFmtId="0" fontId="24" fillId="75" borderId="0"/>
    <xf numFmtId="0" fontId="24" fillId="79" borderId="0"/>
    <xf numFmtId="0" fontId="24" fillId="83" borderId="0"/>
    <xf numFmtId="0" fontId="24" fillId="87" borderId="0"/>
    <xf numFmtId="0" fontId="83" fillId="68" borderId="0"/>
    <xf numFmtId="0" fontId="83" fillId="72" borderId="0"/>
    <xf numFmtId="0" fontId="83" fillId="76" borderId="0"/>
    <xf numFmtId="0" fontId="83" fillId="80" borderId="0"/>
    <xf numFmtId="0" fontId="83" fillId="84" borderId="0"/>
    <xf numFmtId="0" fontId="83" fillId="88" borderId="0"/>
    <xf numFmtId="0" fontId="83" fillId="65" borderId="0"/>
    <xf numFmtId="0" fontId="83" fillId="69" borderId="0"/>
    <xf numFmtId="0" fontId="83" fillId="73" borderId="0"/>
    <xf numFmtId="0" fontId="83" fillId="77" borderId="0"/>
    <xf numFmtId="0" fontId="83" fillId="81" borderId="0"/>
    <xf numFmtId="0" fontId="83" fillId="85" borderId="0"/>
    <xf numFmtId="0" fontId="77" fillId="24" borderId="0"/>
    <xf numFmtId="0" fontId="80" fillId="62" borderId="102"/>
    <xf numFmtId="0" fontId="1" fillId="63" borderId="105"/>
    <xf numFmtId="172" fontId="24" fillId="0" borderId="0"/>
    <xf numFmtId="0" fontId="82" fillId="0" borderId="0"/>
    <xf numFmtId="0" fontId="76" fillId="60" borderId="0"/>
    <xf numFmtId="0" fontId="73" fillId="0" borderId="99"/>
    <xf numFmtId="0" fontId="74" fillId="0" borderId="100"/>
    <xf numFmtId="0" fontId="75" fillId="0" borderId="101"/>
    <xf numFmtId="0" fontId="75" fillId="0" borderId="0"/>
    <xf numFmtId="0" fontId="78" fillId="61" borderId="102"/>
    <xf numFmtId="0" fontId="81" fillId="0" borderId="104"/>
    <xf numFmtId="0" fontId="89" fillId="25" borderId="0"/>
    <xf numFmtId="0" fontId="24" fillId="0" borderId="0"/>
    <xf numFmtId="0" fontId="85" fillId="0" borderId="0"/>
    <xf numFmtId="0" fontId="24" fillId="64" borderId="106"/>
    <xf numFmtId="0" fontId="79" fillId="62" borderId="103"/>
    <xf numFmtId="0" fontId="90" fillId="0" borderId="0"/>
    <xf numFmtId="0" fontId="5" fillId="0" borderId="107"/>
    <xf numFmtId="0" fontId="64" fillId="0" borderId="0"/>
    <xf numFmtId="169" fontId="24" fillId="0" borderId="0"/>
    <xf numFmtId="44" fontId="2" fillId="0" borderId="0"/>
    <xf numFmtId="44" fontId="2" fillId="0" borderId="0"/>
    <xf numFmtId="44" fontId="2" fillId="0" borderId="0"/>
    <xf numFmtId="44" fontId="2" fillId="0" borderId="0"/>
    <xf numFmtId="43" fontId="24" fillId="0" borderId="0"/>
    <xf numFmtId="44" fontId="24" fillId="0" borderId="0"/>
    <xf numFmtId="43" fontId="24" fillId="0" borderId="0"/>
    <xf numFmtId="44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  <xf numFmtId="43" fontId="24" fillId="0" borderId="0"/>
  </cellStyleXfs>
  <cellXfs count="629">
    <xf numFmtId="0" fontId="0" fillId="0" borderId="0" xfId="0"/>
    <xf numFmtId="0" fontId="0" fillId="0" borderId="0" xfId="0" applyAlignment="1">
      <alignment vertical="center"/>
    </xf>
    <xf numFmtId="0" fontId="0" fillId="19" borderId="3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1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19" borderId="12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19" xfId="0" applyBorder="1"/>
    <xf numFmtId="0" fontId="0" fillId="0" borderId="1" xfId="0" applyBorder="1" applyAlignment="1" applyProtection="1">
      <alignment horizontal="left" vertical="center"/>
      <protection locked="0"/>
    </xf>
    <xf numFmtId="0" fontId="7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8" fillId="0" borderId="20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7" borderId="21" xfId="1" applyFont="1" applyFill="1" applyBorder="1" applyAlignment="1">
      <alignment horizontal="center" vertical="center"/>
    </xf>
    <xf numFmtId="0" fontId="8" fillId="7" borderId="22" xfId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9" borderId="9" xfId="1" applyFont="1" applyFill="1" applyBorder="1" applyAlignment="1">
      <alignment vertical="center"/>
    </xf>
    <xf numFmtId="0" fontId="8" fillId="0" borderId="9" xfId="1" applyFont="1" applyBorder="1" applyAlignment="1">
      <alignment horizontal="center" vertical="center"/>
    </xf>
    <xf numFmtId="0" fontId="8" fillId="14" borderId="9" xfId="1" applyFont="1" applyFill="1" applyBorder="1" applyAlignment="1">
      <alignment horizontal="center" vertical="center"/>
    </xf>
    <xf numFmtId="1" fontId="8" fillId="0" borderId="9" xfId="1" applyNumberFormat="1" applyFont="1" applyBorder="1" applyAlignment="1">
      <alignment horizontal="center" vertical="center"/>
    </xf>
    <xf numFmtId="0" fontId="10" fillId="5" borderId="9" xfId="1" applyFont="1" applyFill="1" applyBorder="1" applyAlignment="1">
      <alignment vertical="center"/>
    </xf>
    <xf numFmtId="0" fontId="10" fillId="13" borderId="9" xfId="1" applyFont="1" applyFill="1" applyBorder="1" applyAlignment="1">
      <alignment vertical="center"/>
    </xf>
    <xf numFmtId="0" fontId="10" fillId="11" borderId="9" xfId="1" applyFont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0" fillId="12" borderId="9" xfId="1" applyFont="1" applyFill="1" applyBorder="1" applyAlignment="1">
      <alignment vertical="center"/>
    </xf>
    <xf numFmtId="14" fontId="11" fillId="0" borderId="0" xfId="0" applyNumberFormat="1" applyFont="1" applyAlignment="1">
      <alignment horizontal="center" vertical="center"/>
    </xf>
    <xf numFmtId="0" fontId="10" fillId="10" borderId="9" xfId="1" applyFont="1" applyFill="1" applyBorder="1" applyAlignment="1">
      <alignment vertical="center"/>
    </xf>
    <xf numFmtId="0" fontId="10" fillId="0" borderId="0" xfId="1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13" fillId="0" borderId="11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3" fillId="7" borderId="1" xfId="1" applyFont="1" applyFill="1" applyBorder="1" applyAlignment="1">
      <alignment horizontal="center" vertical="center"/>
    </xf>
    <xf numFmtId="0" fontId="13" fillId="7" borderId="3" xfId="1" applyFont="1" applyFill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3" fillId="0" borderId="24" xfId="1" applyFont="1" applyBorder="1" applyAlignment="1">
      <alignment horizontal="center" vertical="center"/>
    </xf>
    <xf numFmtId="0" fontId="13" fillId="0" borderId="19" xfId="1" applyFont="1" applyBorder="1" applyAlignment="1">
      <alignment horizontal="center" vertical="center"/>
    </xf>
    <xf numFmtId="0" fontId="13" fillId="0" borderId="18" xfId="1" applyFont="1" applyBorder="1" applyAlignment="1">
      <alignment horizontal="center" vertical="center"/>
    </xf>
    <xf numFmtId="0" fontId="13" fillId="0" borderId="15" xfId="1" applyFont="1" applyBorder="1" applyAlignment="1">
      <alignment horizontal="center" vertical="center"/>
    </xf>
    <xf numFmtId="0" fontId="13" fillId="0" borderId="15" xfId="1" applyFont="1" applyBorder="1" applyAlignment="1">
      <alignment horizontal="center" vertical="center" wrapText="1"/>
    </xf>
    <xf numFmtId="164" fontId="17" fillId="23" borderId="1" xfId="1" applyNumberFormat="1" applyFont="1" applyFill="1" applyBorder="1" applyAlignment="1" applyProtection="1">
      <alignment horizontal="center" vertical="center" textRotation="90"/>
      <protection locked="0"/>
    </xf>
    <xf numFmtId="164" fontId="22" fillId="0" borderId="1" xfId="1" applyNumberFormat="1" applyFont="1" applyBorder="1" applyAlignment="1">
      <alignment horizontal="center" vertical="center" textRotation="90"/>
    </xf>
    <xf numFmtId="164" fontId="23" fillId="7" borderId="42" xfId="1" applyNumberFormat="1" applyFont="1" applyFill="1" applyBorder="1" applyAlignment="1">
      <alignment horizontal="center" vertical="center" textRotation="90"/>
    </xf>
    <xf numFmtId="164" fontId="23" fillId="7" borderId="43" xfId="1" applyNumberFormat="1" applyFont="1" applyFill="1" applyBorder="1" applyAlignment="1">
      <alignment horizontal="center" vertical="center" textRotation="90"/>
    </xf>
    <xf numFmtId="0" fontId="8" fillId="0" borderId="0" xfId="1" applyFont="1" applyAlignment="1">
      <alignment horizontal="center" vertical="center"/>
    </xf>
    <xf numFmtId="4" fontId="0" fillId="0" borderId="0" xfId="0" applyNumberFormat="1"/>
    <xf numFmtId="0" fontId="0" fillId="0" borderId="0" xfId="0" applyAlignment="1">
      <alignment horizontal="center"/>
    </xf>
    <xf numFmtId="0" fontId="1" fillId="21" borderId="40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/>
    </xf>
    <xf numFmtId="0" fontId="0" fillId="0" borderId="9" xfId="0" applyBorder="1"/>
    <xf numFmtId="0" fontId="0" fillId="0" borderId="11" xfId="0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12" fillId="18" borderId="0" xfId="1" applyFont="1" applyFill="1" applyAlignment="1" applyProtection="1">
      <alignment horizontal="center" vertical="center" wrapText="1"/>
      <protection locked="0"/>
    </xf>
    <xf numFmtId="0" fontId="0" fillId="0" borderId="12" xfId="0" applyBorder="1"/>
    <xf numFmtId="0" fontId="0" fillId="0" borderId="28" xfId="0" applyBorder="1" applyAlignment="1">
      <alignment horizontal="center"/>
    </xf>
    <xf numFmtId="0" fontId="0" fillId="19" borderId="53" xfId="0" applyFill="1" applyBorder="1" applyAlignment="1">
      <alignment horizontal="center" vertical="center"/>
    </xf>
    <xf numFmtId="0" fontId="0" fillId="19" borderId="62" xfId="0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1" fillId="21" borderId="41" xfId="0" applyFont="1" applyFill="1" applyBorder="1" applyAlignment="1">
      <alignment horizontal="center" vertical="center" wrapText="1"/>
    </xf>
    <xf numFmtId="0" fontId="0" fillId="0" borderId="18" xfId="0" applyBorder="1"/>
    <xf numFmtId="0" fontId="0" fillId="50" borderId="4" xfId="0" applyFill="1" applyBorder="1"/>
    <xf numFmtId="0" fontId="0" fillId="50" borderId="54" xfId="0" applyFill="1" applyBorder="1"/>
    <xf numFmtId="0" fontId="0" fillId="0" borderId="2" xfId="0" applyBorder="1" applyAlignment="1" applyProtection="1">
      <alignment horizontal="center"/>
      <protection locked="0"/>
    </xf>
    <xf numFmtId="0" fontId="10" fillId="9" borderId="15" xfId="1" applyFont="1" applyFill="1" applyBorder="1" applyAlignment="1">
      <alignment vertical="center"/>
    </xf>
    <xf numFmtId="0" fontId="8" fillId="14" borderId="25" xfId="1" applyFont="1" applyFill="1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left" vertical="center"/>
    </xf>
    <xf numFmtId="0" fontId="5" fillId="21" borderId="28" xfId="0" applyFont="1" applyFill="1" applyBorder="1"/>
    <xf numFmtId="0" fontId="5" fillId="21" borderId="53" xfId="0" applyFont="1" applyFill="1" applyBorder="1"/>
    <xf numFmtId="0" fontId="0" fillId="0" borderId="24" xfId="0" applyBorder="1"/>
    <xf numFmtId="0" fontId="0" fillId="0" borderId="65" xfId="0" applyBorder="1"/>
    <xf numFmtId="0" fontId="0" fillId="0" borderId="25" xfId="0" applyBorder="1"/>
    <xf numFmtId="0" fontId="0" fillId="0" borderId="11" xfId="0" applyBorder="1" applyAlignment="1">
      <alignment horizontal="left"/>
    </xf>
    <xf numFmtId="0" fontId="0" fillId="0" borderId="24" xfId="0" applyBorder="1" applyAlignment="1">
      <alignment horizontal="left"/>
    </xf>
    <xf numFmtId="0" fontId="5" fillId="21" borderId="64" xfId="0" applyFont="1" applyFill="1" applyBorder="1"/>
    <xf numFmtId="0" fontId="0" fillId="19" borderId="19" xfId="0" applyFill="1" applyBorder="1" applyAlignment="1">
      <alignment horizontal="center"/>
    </xf>
    <xf numFmtId="0" fontId="0" fillId="50" borderId="72" xfId="0" applyFill="1" applyBorder="1"/>
    <xf numFmtId="0" fontId="0" fillId="50" borderId="19" xfId="0" applyFill="1" applyBorder="1"/>
    <xf numFmtId="0" fontId="0" fillId="19" borderId="4" xfId="0" applyFill="1" applyBorder="1"/>
    <xf numFmtId="0" fontId="0" fillId="19" borderId="72" xfId="0" applyFill="1" applyBorder="1"/>
    <xf numFmtId="0" fontId="1" fillId="10" borderId="59" xfId="0" applyFont="1" applyFill="1" applyBorder="1" applyAlignment="1">
      <alignment horizontal="center" vertical="center" wrapText="1"/>
    </xf>
    <xf numFmtId="0" fontId="1" fillId="10" borderId="60" xfId="0" applyFont="1" applyFill="1" applyBorder="1" applyAlignment="1">
      <alignment horizontal="center" vertical="center" wrapText="1"/>
    </xf>
    <xf numFmtId="0" fontId="1" fillId="10" borderId="58" xfId="0" applyFont="1" applyFill="1" applyBorder="1" applyAlignment="1">
      <alignment horizontal="center" vertical="center" wrapText="1"/>
    </xf>
    <xf numFmtId="0" fontId="1" fillId="6" borderId="58" xfId="0" applyFont="1" applyFill="1" applyBorder="1" applyAlignment="1">
      <alignment horizontal="center" vertical="center" wrapText="1"/>
    </xf>
    <xf numFmtId="0" fontId="1" fillId="10" borderId="66" xfId="0" applyFont="1" applyFill="1" applyBorder="1" applyAlignment="1">
      <alignment horizontal="center" vertical="center" wrapText="1"/>
    </xf>
    <xf numFmtId="0" fontId="0" fillId="52" borderId="1" xfId="0" applyFill="1" applyBorder="1"/>
    <xf numFmtId="14" fontId="6" fillId="0" borderId="0" xfId="0" applyNumberFormat="1" applyFont="1" applyAlignment="1">
      <alignment horizontal="center" vertical="center"/>
    </xf>
    <xf numFmtId="0" fontId="4" fillId="2" borderId="73" xfId="0" applyFont="1" applyFill="1" applyBorder="1" applyAlignment="1">
      <alignment horizontal="center" vertical="center"/>
    </xf>
    <xf numFmtId="0" fontId="65" fillId="7" borderId="22" xfId="1" applyFont="1" applyFill="1" applyBorder="1" applyAlignment="1">
      <alignment horizontal="center" vertical="center"/>
    </xf>
    <xf numFmtId="0" fontId="64" fillId="0" borderId="11" xfId="0" applyFont="1" applyBorder="1"/>
    <xf numFmtId="0" fontId="0" fillId="0" borderId="3" xfId="0" applyBorder="1" applyAlignment="1">
      <alignment horizontal="center"/>
    </xf>
    <xf numFmtId="0" fontId="64" fillId="0" borderId="24" xfId="0" applyFont="1" applyBorder="1"/>
    <xf numFmtId="0" fontId="0" fillId="20" borderId="1" xfId="0" applyFill="1" applyBorder="1"/>
    <xf numFmtId="0" fontId="0" fillId="55" borderId="1" xfId="0" applyFill="1" applyBorder="1"/>
    <xf numFmtId="0" fontId="0" fillId="55" borderId="1" xfId="0" applyFill="1" applyBorder="1" applyAlignment="1">
      <alignment horizontal="left" vertical="center"/>
    </xf>
    <xf numFmtId="0" fontId="0" fillId="55" borderId="0" xfId="0" applyFill="1"/>
    <xf numFmtId="0" fontId="0" fillId="0" borderId="19" xfId="0" applyBorder="1" applyAlignment="1" applyProtection="1">
      <alignment horizontal="center" vertical="center"/>
      <protection locked="0"/>
    </xf>
    <xf numFmtId="0" fontId="0" fillId="50" borderId="18" xfId="0" applyFill="1" applyBorder="1"/>
    <xf numFmtId="0" fontId="0" fillId="19" borderId="67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19" xfId="0" applyFill="1" applyBorder="1" applyAlignment="1">
      <alignment horizontal="center" vertical="center"/>
    </xf>
    <xf numFmtId="0" fontId="0" fillId="19" borderId="65" xfId="0" applyFill="1" applyBorder="1" applyAlignment="1">
      <alignment horizontal="center" vertical="center"/>
    </xf>
    <xf numFmtId="0" fontId="0" fillId="19" borderId="67" xfId="0" applyFill="1" applyBorder="1" applyAlignment="1">
      <alignment horizontal="center" vertical="center"/>
    </xf>
    <xf numFmtId="0" fontId="0" fillId="0" borderId="56" xfId="0" applyBorder="1"/>
    <xf numFmtId="0" fontId="0" fillId="0" borderId="78" xfId="0" applyBorder="1"/>
    <xf numFmtId="0" fontId="1" fillId="2" borderId="40" xfId="0" applyFont="1" applyFill="1" applyBorder="1" applyAlignment="1">
      <alignment horizontal="center" vertical="center" wrapText="1"/>
    </xf>
    <xf numFmtId="0" fontId="1" fillId="2" borderId="72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center" vertical="center"/>
      <protection locked="0"/>
    </xf>
    <xf numFmtId="0" fontId="0" fillId="50" borderId="65" xfId="0" applyFill="1" applyBorder="1"/>
    <xf numFmtId="0" fontId="0" fillId="0" borderId="67" xfId="0" applyBorder="1"/>
    <xf numFmtId="0" fontId="0" fillId="19" borderId="4" xfId="0" applyFill="1" applyBorder="1" applyAlignment="1">
      <alignment horizontal="center"/>
    </xf>
    <xf numFmtId="0" fontId="0" fillId="19" borderId="72" xfId="0" applyFill="1" applyBorder="1" applyAlignment="1">
      <alignment horizontal="center"/>
    </xf>
    <xf numFmtId="0" fontId="1" fillId="6" borderId="19" xfId="0" applyFont="1" applyFill="1" applyBorder="1" applyAlignment="1">
      <alignment horizontal="center" vertical="center" wrapText="1"/>
    </xf>
    <xf numFmtId="0" fontId="1" fillId="10" borderId="67" xfId="0" applyFont="1" applyFill="1" applyBorder="1" applyAlignment="1">
      <alignment horizontal="center" vertical="center" wrapText="1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14" fontId="0" fillId="0" borderId="16" xfId="0" applyNumberFormat="1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50" borderId="2" xfId="0" applyFill="1" applyBorder="1"/>
    <xf numFmtId="0" fontId="20" fillId="23" borderId="15" xfId="1" applyFont="1" applyFill="1" applyBorder="1" applyAlignment="1" applyProtection="1">
      <alignment horizontal="center" vertical="center"/>
      <protection locked="0"/>
    </xf>
    <xf numFmtId="0" fontId="0" fillId="50" borderId="1" xfId="0" applyFill="1" applyBorder="1"/>
    <xf numFmtId="0" fontId="0" fillId="50" borderId="12" xfId="0" applyFill="1" applyBorder="1"/>
    <xf numFmtId="14" fontId="0" fillId="0" borderId="2" xfId="0" applyNumberFormat="1" applyBorder="1" applyAlignment="1" applyProtection="1">
      <alignment horizontal="center" vertical="center"/>
      <protection locked="0"/>
    </xf>
    <xf numFmtId="0" fontId="1" fillId="2" borderId="13" xfId="0" applyFont="1" applyFill="1" applyBorder="1" applyAlignment="1">
      <alignment horizontal="center" vertical="center" wrapText="1"/>
    </xf>
    <xf numFmtId="0" fontId="1" fillId="10" borderId="61" xfId="0" applyFont="1" applyFill="1" applyBorder="1" applyAlignment="1">
      <alignment horizontal="center" vertical="center" wrapText="1"/>
    </xf>
    <xf numFmtId="0" fontId="1" fillId="10" borderId="41" xfId="0" applyFont="1" applyFill="1" applyBorder="1" applyAlignment="1">
      <alignment horizontal="center" vertical="center" wrapText="1"/>
    </xf>
    <xf numFmtId="0" fontId="1" fillId="6" borderId="60" xfId="0" applyFont="1" applyFill="1" applyBorder="1" applyAlignment="1">
      <alignment horizontal="center" vertical="center" wrapText="1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0" fillId="0" borderId="2" xfId="0" applyBorder="1"/>
    <xf numFmtId="0" fontId="1" fillId="2" borderId="10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60" xfId="0" applyFont="1" applyFill="1" applyBorder="1" applyAlignment="1">
      <alignment horizontal="center" vertical="center" wrapText="1"/>
    </xf>
    <xf numFmtId="0" fontId="1" fillId="2" borderId="90" xfId="0" applyFont="1" applyFill="1" applyBorder="1" applyAlignment="1">
      <alignment horizontal="center" vertical="center" wrapText="1"/>
    </xf>
    <xf numFmtId="0" fontId="1" fillId="2" borderId="91" xfId="0" applyFont="1" applyFill="1" applyBorder="1" applyAlignment="1">
      <alignment horizontal="center" vertical="center" wrapText="1"/>
    </xf>
    <xf numFmtId="0" fontId="1" fillId="2" borderId="93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1" borderId="68" xfId="0" applyFont="1" applyFill="1" applyBorder="1" applyAlignment="1">
      <alignment vertical="center" wrapText="1"/>
    </xf>
    <xf numFmtId="0" fontId="1" fillId="21" borderId="54" xfId="0" applyFont="1" applyFill="1" applyBorder="1" applyAlignment="1">
      <alignment horizontal="center" vertical="center" wrapText="1"/>
    </xf>
    <xf numFmtId="0" fontId="1" fillId="21" borderId="26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88" xfId="0" applyFont="1" applyFill="1" applyBorder="1" applyAlignment="1">
      <alignment horizontal="center" vertical="center" wrapText="1"/>
    </xf>
    <xf numFmtId="0" fontId="1" fillId="21" borderId="69" xfId="0" applyFont="1" applyFill="1" applyBorder="1" applyAlignment="1">
      <alignment vertical="center" wrapText="1"/>
    </xf>
    <xf numFmtId="0" fontId="1" fillId="21" borderId="80" xfId="0" applyFont="1" applyFill="1" applyBorder="1" applyAlignment="1">
      <alignment horizontal="center" vertical="center" wrapText="1"/>
    </xf>
    <xf numFmtId="0" fontId="1" fillId="2" borderId="92" xfId="0" applyFont="1" applyFill="1" applyBorder="1" applyAlignment="1">
      <alignment horizontal="center" vertical="center" wrapText="1"/>
    </xf>
    <xf numFmtId="0" fontId="1" fillId="2" borderId="71" xfId="0" applyFont="1" applyFill="1" applyBorder="1" applyAlignment="1">
      <alignment horizontal="center" vertical="center" wrapText="1"/>
    </xf>
    <xf numFmtId="0" fontId="1" fillId="2" borderId="84" xfId="0" applyFont="1" applyFill="1" applyBorder="1" applyAlignment="1">
      <alignment horizontal="center" vertical="center" wrapText="1"/>
    </xf>
    <xf numFmtId="0" fontId="1" fillId="2" borderId="70" xfId="0" applyFont="1" applyFill="1" applyBorder="1" applyAlignment="1">
      <alignment horizontal="center" vertical="center" wrapText="1"/>
    </xf>
    <xf numFmtId="0" fontId="0" fillId="22" borderId="28" xfId="0" applyFill="1" applyBorder="1" applyAlignment="1">
      <alignment vertical="center" wrapText="1"/>
    </xf>
    <xf numFmtId="0" fontId="0" fillId="22" borderId="27" xfId="0" applyFill="1" applyBorder="1" applyAlignment="1">
      <alignment horizontal="left" vertical="center" wrapText="1"/>
    </xf>
    <xf numFmtId="0" fontId="0" fillId="22" borderId="54" xfId="0" applyFill="1" applyBorder="1" applyAlignment="1">
      <alignment horizontal="left" vertical="center" wrapText="1"/>
    </xf>
    <xf numFmtId="0" fontId="0" fillId="0" borderId="26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0" borderId="53" xfId="0" applyBorder="1" applyAlignment="1">
      <alignment horizontal="left" vertical="center"/>
    </xf>
    <xf numFmtId="0" fontId="0" fillId="22" borderId="2" xfId="0" applyFill="1" applyBorder="1" applyAlignment="1">
      <alignment horizontal="left" vertical="center" wrapText="1"/>
    </xf>
    <xf numFmtId="0" fontId="0" fillId="22" borderId="4" xfId="0" applyFill="1" applyBorder="1" applyAlignment="1">
      <alignment horizontal="left" vertical="center" wrapText="1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2" borderId="2" xfId="0" applyFill="1" applyBorder="1" applyAlignment="1">
      <alignment vertical="center" wrapText="1"/>
    </xf>
    <xf numFmtId="0" fontId="0" fillId="48" borderId="2" xfId="0" applyFill="1" applyBorder="1" applyAlignment="1">
      <alignment vertical="center" wrapText="1"/>
    </xf>
    <xf numFmtId="0" fontId="0" fillId="48" borderId="4" xfId="0" applyFill="1" applyBorder="1" applyAlignment="1">
      <alignment horizontal="center" vertical="center" wrapText="1"/>
    </xf>
    <xf numFmtId="0" fontId="0" fillId="48" borderId="16" xfId="0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4" fontId="0" fillId="48" borderId="2" xfId="0" applyNumberFormat="1" applyFill="1" applyBorder="1" applyAlignment="1">
      <alignment horizontal="center"/>
    </xf>
    <xf numFmtId="0" fontId="0" fillId="48" borderId="1" xfId="0" applyFill="1" applyBorder="1" applyAlignment="1">
      <alignment horizontal="center" vertical="center"/>
    </xf>
    <xf numFmtId="4" fontId="0" fillId="48" borderId="1" xfId="0" applyNumberFormat="1" applyFill="1" applyBorder="1"/>
    <xf numFmtId="0" fontId="0" fillId="22" borderId="4" xfId="0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22" borderId="23" xfId="0" applyFill="1" applyBorder="1" applyAlignment="1">
      <alignment vertical="center" wrapText="1"/>
    </xf>
    <xf numFmtId="0" fontId="0" fillId="22" borderId="18" xfId="0" applyFill="1" applyBorder="1" applyAlignment="1">
      <alignment vertical="center" wrapText="1"/>
    </xf>
    <xf numFmtId="0" fontId="0" fillId="22" borderId="72" xfId="0" applyFill="1" applyBorder="1" applyAlignment="1">
      <alignment vertical="center" wrapText="1"/>
    </xf>
    <xf numFmtId="0" fontId="0" fillId="0" borderId="18" xfId="0" applyBorder="1" applyAlignment="1">
      <alignment horizontal="center" vertical="center"/>
    </xf>
    <xf numFmtId="0" fontId="0" fillId="22" borderId="16" xfId="0" applyFill="1" applyBorder="1" applyAlignment="1">
      <alignment vertical="center" wrapText="1"/>
    </xf>
    <xf numFmtId="0" fontId="0" fillId="0" borderId="78" xfId="0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22" borderId="28" xfId="0" applyFill="1" applyBorder="1" applyAlignment="1">
      <alignment vertical="center"/>
    </xf>
    <xf numFmtId="0" fontId="0" fillId="22" borderId="23" xfId="0" applyFill="1" applyBorder="1" applyAlignment="1">
      <alignment vertical="center"/>
    </xf>
    <xf numFmtId="0" fontId="0" fillId="0" borderId="79" xfId="0" applyBorder="1" applyAlignment="1">
      <alignment horizontal="center" vertical="center"/>
    </xf>
    <xf numFmtId="0" fontId="0" fillId="22" borderId="79" xfId="0" applyFill="1" applyBorder="1" applyAlignment="1">
      <alignment vertical="center" wrapText="1"/>
    </xf>
    <xf numFmtId="0" fontId="0" fillId="0" borderId="72" xfId="0" applyBorder="1" applyAlignment="1">
      <alignment horizontal="center" vertical="center"/>
    </xf>
    <xf numFmtId="0" fontId="0" fillId="0" borderId="18" xfId="0" applyBorder="1" applyAlignment="1">
      <alignment vertical="center" wrapText="1"/>
    </xf>
    <xf numFmtId="0" fontId="0" fillId="0" borderId="79" xfId="0" applyBorder="1" applyAlignment="1">
      <alignment vertical="center" wrapText="1"/>
    </xf>
    <xf numFmtId="0" fontId="0" fillId="0" borderId="72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1" fillId="21" borderId="73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1" borderId="82" xfId="0" applyFont="1" applyFill="1" applyBorder="1" applyAlignment="1">
      <alignment horizontal="center" vertical="center" wrapText="1"/>
    </xf>
    <xf numFmtId="0" fontId="1" fillId="21" borderId="57" xfId="0" applyFont="1" applyFill="1" applyBorder="1" applyAlignment="1">
      <alignment horizontal="center" vertical="center" wrapText="1"/>
    </xf>
    <xf numFmtId="0" fontId="1" fillId="2" borderId="86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1" fillId="2" borderId="83" xfId="0" applyFont="1" applyFill="1" applyBorder="1" applyAlignment="1">
      <alignment horizontal="center" vertical="center" wrapText="1"/>
    </xf>
    <xf numFmtId="0" fontId="1" fillId="2" borderId="89" xfId="0" applyFont="1" applyFill="1" applyBorder="1" applyAlignment="1">
      <alignment horizontal="center" vertical="center" wrapText="1"/>
    </xf>
    <xf numFmtId="0" fontId="1" fillId="2" borderId="6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0" borderId="5" xfId="0" applyBorder="1"/>
    <xf numFmtId="0" fontId="0" fillId="0" borderId="1" xfId="0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64" fillId="0" borderId="0" xfId="0" applyFont="1"/>
    <xf numFmtId="0" fontId="0" fillId="0" borderId="2" xfId="0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8" xfId="0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16" borderId="6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16" borderId="4" xfId="0" applyFill="1" applyBorder="1"/>
    <xf numFmtId="0" fontId="1" fillId="2" borderId="19" xfId="0" applyFont="1" applyFill="1" applyBorder="1" applyAlignment="1">
      <alignment horizontal="center" vertical="center" wrapText="1"/>
    </xf>
    <xf numFmtId="0" fontId="1" fillId="2" borderId="67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left" vertical="center" wrapText="1"/>
    </xf>
    <xf numFmtId="0" fontId="0" fillId="0" borderId="65" xfId="0" applyBorder="1" applyAlignment="1">
      <alignment horizontal="center"/>
    </xf>
    <xf numFmtId="0" fontId="1" fillId="2" borderId="68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64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4" fontId="0" fillId="0" borderId="1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48" borderId="4" xfId="0" applyFill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19" borderId="11" xfId="0" applyNumberFormat="1" applyFill="1" applyBorder="1"/>
    <xf numFmtId="4" fontId="0" fillId="0" borderId="1" xfId="0" applyNumberFormat="1" applyBorder="1"/>
    <xf numFmtId="3" fontId="0" fillId="0" borderId="9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9" xfId="0" applyBorder="1" applyAlignment="1">
      <alignment horizontal="center"/>
    </xf>
    <xf numFmtId="4" fontId="0" fillId="48" borderId="11" xfId="0" applyNumberFormat="1" applyFill="1" applyBorder="1"/>
    <xf numFmtId="3" fontId="0" fillId="48" borderId="9" xfId="0" applyNumberFormat="1" applyFill="1" applyBorder="1" applyAlignment="1">
      <alignment horizontal="center"/>
    </xf>
    <xf numFmtId="4" fontId="0" fillId="0" borderId="1" xfId="0" applyNumberFormat="1" applyBorder="1" applyAlignment="1">
      <alignment horizontal="center" vertical="center"/>
    </xf>
    <xf numFmtId="0" fontId="0" fillId="48" borderId="2" xfId="0" applyFill="1" applyBorder="1" applyAlignment="1">
      <alignment horizontal="center" vertical="center"/>
    </xf>
    <xf numFmtId="0" fontId="0" fillId="48" borderId="11" xfId="0" applyFill="1" applyBorder="1" applyAlignment="1">
      <alignment horizontal="left" vertical="center"/>
    </xf>
    <xf numFmtId="0" fontId="0" fillId="48" borderId="9" xfId="0" applyFill="1" applyBorder="1" applyAlignment="1">
      <alignment horizontal="center"/>
    </xf>
    <xf numFmtId="0" fontId="0" fillId="48" borderId="11" xfId="0" applyFill="1" applyBorder="1" applyAlignment="1">
      <alignment horizontal="center" vertical="center"/>
    </xf>
    <xf numFmtId="0" fontId="0" fillId="48" borderId="1" xfId="0" applyFill="1" applyBorder="1"/>
    <xf numFmtId="4" fontId="0" fillId="19" borderId="66" xfId="0" applyNumberFormat="1" applyFill="1" applyBorder="1"/>
    <xf numFmtId="4" fontId="0" fillId="0" borderId="18" xfId="0" applyNumberFormat="1" applyBorder="1" applyAlignment="1">
      <alignment horizontal="center"/>
    </xf>
    <xf numFmtId="4" fontId="0" fillId="19" borderId="24" xfId="0" applyNumberFormat="1" applyFill="1" applyBorder="1"/>
    <xf numFmtId="0" fontId="0" fillId="0" borderId="25" xfId="0" applyBorder="1" applyAlignment="1">
      <alignment horizontal="center"/>
    </xf>
    <xf numFmtId="4" fontId="0" fillId="0" borderId="19" xfId="0" applyNumberFormat="1" applyBorder="1"/>
    <xf numFmtId="3" fontId="0" fillId="0" borderId="65" xfId="0" applyNumberFormat="1" applyBorder="1" applyAlignment="1">
      <alignment horizontal="center"/>
    </xf>
    <xf numFmtId="0" fontId="0" fillId="0" borderId="25" xfId="0" applyBorder="1" applyAlignment="1">
      <alignment horizontal="center" vertical="center" wrapText="1"/>
    </xf>
    <xf numFmtId="0" fontId="0" fillId="0" borderId="19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79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1" fillId="6" borderId="18" xfId="0" applyFont="1" applyFill="1" applyBorder="1" applyAlignment="1">
      <alignment horizontal="center" vertical="center" wrapText="1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7" borderId="24" xfId="0" applyFill="1" applyBorder="1" applyAlignment="1">
      <alignment horizontal="center" vertical="center"/>
    </xf>
    <xf numFmtId="0" fontId="0" fillId="19" borderId="18" xfId="0" applyFill="1" applyBorder="1" applyAlignment="1">
      <alignment horizontal="center" vertical="center"/>
    </xf>
    <xf numFmtId="0" fontId="66" fillId="0" borderId="78" xfId="1" applyFont="1" applyBorder="1" applyAlignment="1">
      <alignment horizontal="left" vertical="center" wrapText="1"/>
    </xf>
    <xf numFmtId="0" fontId="66" fillId="0" borderId="0" xfId="1" applyFont="1" applyAlignment="1">
      <alignment vertical="center" wrapText="1"/>
    </xf>
    <xf numFmtId="0" fontId="67" fillId="0" borderId="87" xfId="1" applyFont="1" applyBorder="1" applyAlignment="1">
      <alignment vertical="center" wrapText="1"/>
    </xf>
    <xf numFmtId="0" fontId="8" fillId="0" borderId="78" xfId="1" applyFont="1" applyBorder="1" applyAlignment="1">
      <alignment horizontal="left" vertical="center"/>
    </xf>
    <xf numFmtId="0" fontId="8" fillId="55" borderId="87" xfId="1" applyFont="1" applyFill="1" applyBorder="1" applyAlignment="1">
      <alignment horizontal="center" vertical="center"/>
    </xf>
    <xf numFmtId="0" fontId="69" fillId="0" borderId="78" xfId="1" applyFont="1" applyBorder="1" applyAlignment="1">
      <alignment horizontal="left" vertical="center"/>
    </xf>
    <xf numFmtId="0" fontId="8" fillId="0" borderId="78" xfId="1" applyFont="1" applyBorder="1" applyAlignment="1">
      <alignment horizontal="center" vertical="center"/>
    </xf>
    <xf numFmtId="0" fontId="8" fillId="0" borderId="0" xfId="1" applyFont="1" applyAlignment="1">
      <alignment horizontal="left" vertical="center"/>
    </xf>
    <xf numFmtId="0" fontId="69" fillId="0" borderId="0" xfId="1" applyFont="1" applyAlignment="1">
      <alignment horizontal="left" vertical="center"/>
    </xf>
    <xf numFmtId="0" fontId="9" fillId="0" borderId="78" xfId="0" applyFont="1" applyBorder="1" applyAlignment="1">
      <alignment horizontal="left" vertical="center"/>
    </xf>
    <xf numFmtId="0" fontId="9" fillId="0" borderId="87" xfId="0" applyFont="1" applyBorder="1" applyAlignment="1">
      <alignment vertical="center"/>
    </xf>
    <xf numFmtId="0" fontId="4" fillId="9" borderId="20" xfId="0" applyFont="1" applyFill="1" applyBorder="1" applyAlignment="1">
      <alignment horizontal="left" vertical="center"/>
    </xf>
    <xf numFmtId="0" fontId="4" fillId="9" borderId="87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left" vertical="center"/>
    </xf>
    <xf numFmtId="0" fontId="6" fillId="0" borderId="87" xfId="0" applyFont="1" applyBorder="1" applyAlignment="1">
      <alignment horizontal="center" vertical="center"/>
    </xf>
    <xf numFmtId="0" fontId="4" fillId="56" borderId="20" xfId="0" applyFont="1" applyFill="1" applyBorder="1" applyAlignment="1">
      <alignment horizontal="left" vertical="center"/>
    </xf>
    <xf numFmtId="0" fontId="4" fillId="56" borderId="87" xfId="0" applyFont="1" applyFill="1" applyBorder="1" applyAlignment="1">
      <alignment horizontal="center" vertical="center"/>
    </xf>
    <xf numFmtId="0" fontId="4" fillId="13" borderId="20" xfId="0" applyFont="1" applyFill="1" applyBorder="1" applyAlignment="1">
      <alignment horizontal="left" vertical="center"/>
    </xf>
    <xf numFmtId="0" fontId="4" fillId="13" borderId="87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87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left" vertical="center"/>
    </xf>
    <xf numFmtId="0" fontId="4" fillId="6" borderId="87" xfId="0" applyFont="1" applyFill="1" applyBorder="1" applyAlignment="1">
      <alignment horizontal="center" vertical="center"/>
    </xf>
    <xf numFmtId="0" fontId="0" fillId="0" borderId="78" xfId="0" applyBorder="1" applyAlignment="1">
      <alignment horizontal="left"/>
    </xf>
    <xf numFmtId="0" fontId="0" fillId="0" borderId="87" xfId="0" applyBorder="1"/>
    <xf numFmtId="0" fontId="4" fillId="53" borderId="92" xfId="0" applyFont="1" applyFill="1" applyBorder="1" applyAlignment="1">
      <alignment horizontal="left" vertical="center"/>
    </xf>
    <xf numFmtId="0" fontId="4" fillId="53" borderId="63" xfId="0" applyFont="1" applyFill="1" applyBorder="1" applyAlignment="1">
      <alignment horizontal="center" vertical="center"/>
    </xf>
    <xf numFmtId="0" fontId="4" fillId="53" borderId="96" xfId="0" applyFont="1" applyFill="1" applyBorder="1" applyAlignment="1">
      <alignment horizontal="center" vertical="center"/>
    </xf>
    <xf numFmtId="0" fontId="4" fillId="53" borderId="98" xfId="0" applyFont="1" applyFill="1" applyBorder="1" applyAlignment="1">
      <alignment horizontal="center" vertical="center"/>
    </xf>
    <xf numFmtId="14" fontId="1" fillId="2" borderId="13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58" borderId="1" xfId="0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1" fillId="59" borderId="1" xfId="0" applyFont="1" applyFill="1" applyBorder="1" applyAlignment="1">
      <alignment horizontal="center" vertical="center" wrapText="1"/>
    </xf>
    <xf numFmtId="0" fontId="1" fillId="59" borderId="65" xfId="0" applyFont="1" applyFill="1" applyBorder="1" applyAlignment="1">
      <alignment horizontal="center" vertical="center" wrapText="1"/>
    </xf>
    <xf numFmtId="14" fontId="0" fillId="19" borderId="2" xfId="0" applyNumberFormat="1" applyFill="1" applyBorder="1" applyAlignment="1">
      <alignment horizontal="center"/>
    </xf>
    <xf numFmtId="0" fontId="1" fillId="21" borderId="5" xfId="0" applyFont="1" applyFill="1" applyBorder="1" applyAlignment="1">
      <alignment horizontal="center" vertical="center" wrapText="1"/>
    </xf>
    <xf numFmtId="0" fontId="1" fillId="21" borderId="7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59" borderId="7" xfId="0" applyFont="1" applyFill="1" applyBorder="1" applyAlignment="1">
      <alignment horizontal="center" vertical="center" wrapText="1"/>
    </xf>
    <xf numFmtId="0" fontId="1" fillId="21" borderId="6" xfId="0" applyFont="1" applyFill="1" applyBorder="1" applyAlignment="1">
      <alignment horizontal="center" vertical="center"/>
    </xf>
    <xf numFmtId="0" fontId="1" fillId="21" borderId="58" xfId="0" applyFont="1" applyFill="1" applyBorder="1" applyAlignment="1">
      <alignment horizontal="center" vertical="center" wrapText="1"/>
    </xf>
    <xf numFmtId="0" fontId="1" fillId="21" borderId="59" xfId="0" applyFont="1" applyFill="1" applyBorder="1" applyAlignment="1">
      <alignment horizontal="center" vertical="center" wrapText="1"/>
    </xf>
    <xf numFmtId="0" fontId="1" fillId="21" borderId="60" xfId="0" applyFont="1" applyFill="1" applyBorder="1" applyAlignment="1">
      <alignment horizontal="center" vertical="center" wrapText="1"/>
    </xf>
    <xf numFmtId="14" fontId="0" fillId="0" borderId="56" xfId="0" applyNumberFormat="1" applyBorder="1"/>
    <xf numFmtId="14" fontId="0" fillId="0" borderId="0" xfId="0" applyNumberFormat="1"/>
    <xf numFmtId="164" fontId="17" fillId="23" borderId="1" xfId="1" applyNumberFormat="1" applyFont="1" applyFill="1" applyBorder="1" applyAlignment="1">
      <alignment horizontal="center" vertical="center" textRotation="90"/>
    </xf>
    <xf numFmtId="0" fontId="0" fillId="16" borderId="25" xfId="0" applyFill="1" applyBorder="1"/>
    <xf numFmtId="0" fontId="1" fillId="2" borderId="8" xfId="0" applyFont="1" applyFill="1" applyBorder="1" applyAlignment="1">
      <alignment horizontal="center" vertical="center" wrapText="1"/>
    </xf>
    <xf numFmtId="0" fontId="0" fillId="16" borderId="9" xfId="0" applyFill="1" applyBorder="1"/>
    <xf numFmtId="0" fontId="0" fillId="16" borderId="81" xfId="0" applyFill="1" applyBorder="1"/>
    <xf numFmtId="0" fontId="0" fillId="16" borderId="17" xfId="0" applyFill="1" applyBorder="1"/>
    <xf numFmtId="0" fontId="0" fillId="16" borderId="41" xfId="0" applyFill="1" applyBorder="1"/>
    <xf numFmtId="0" fontId="0" fillId="19" borderId="41" xfId="0" applyFill="1" applyBorder="1"/>
    <xf numFmtId="14" fontId="0" fillId="19" borderId="18" xfId="0" applyNumberFormat="1" applyFill="1" applyBorder="1" applyAlignment="1">
      <alignment horizontal="center"/>
    </xf>
    <xf numFmtId="0" fontId="0" fillId="0" borderId="82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19" borderId="9" xfId="0" applyFill="1" applyBorder="1" applyAlignment="1">
      <alignment horizontal="center" vertical="center"/>
    </xf>
    <xf numFmtId="0" fontId="0" fillId="19" borderId="25" xfId="0" applyFill="1" applyBorder="1" applyAlignment="1">
      <alignment horizontal="center" vertical="center"/>
    </xf>
    <xf numFmtId="0" fontId="0" fillId="0" borderId="24" xfId="0" applyBorder="1" applyAlignment="1" applyProtection="1">
      <alignment horizontal="left" vertical="center"/>
      <protection locked="0"/>
    </xf>
    <xf numFmtId="0" fontId="64" fillId="0" borderId="79" xfId="0" applyFont="1" applyBorder="1"/>
    <xf numFmtId="0" fontId="0" fillId="55" borderId="19" xfId="0" applyFill="1" applyBorder="1"/>
    <xf numFmtId="0" fontId="0" fillId="0" borderId="1" xfId="0" applyBorder="1" applyAlignment="1" applyProtection="1">
      <alignment horizontal="center"/>
      <protection locked="0"/>
    </xf>
    <xf numFmtId="0" fontId="1" fillId="6" borderId="19" xfId="0" applyFont="1" applyFill="1" applyBorder="1" applyAlignment="1" applyProtection="1">
      <alignment horizontal="center" vertical="center" wrapText="1"/>
      <protection locked="0"/>
    </xf>
    <xf numFmtId="0" fontId="1" fillId="6" borderId="58" xfId="0" applyFont="1" applyFill="1" applyBorder="1" applyAlignment="1" applyProtection="1">
      <alignment horizontal="center" vertical="center" wrapText="1"/>
      <protection locked="0"/>
    </xf>
    <xf numFmtId="0" fontId="1" fillId="6" borderId="18" xfId="0" applyFont="1" applyFill="1" applyBorder="1" applyAlignment="1" applyProtection="1">
      <alignment horizontal="center" vertical="center" wrapText="1"/>
      <protection locked="0"/>
    </xf>
    <xf numFmtId="0" fontId="1" fillId="6" borderId="60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4" fontId="0" fillId="0" borderId="1" xfId="0" applyNumberFormat="1" applyBorder="1" applyProtection="1">
      <protection locked="0"/>
    </xf>
    <xf numFmtId="4" fontId="0" fillId="0" borderId="73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0" fontId="0" fillId="0" borderId="19" xfId="0" applyBorder="1" applyProtection="1"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50" borderId="72" xfId="0" applyFill="1" applyBorder="1" applyAlignment="1">
      <alignment horizontal="center"/>
    </xf>
    <xf numFmtId="0" fontId="0" fillId="16" borderId="72" xfId="0" applyFill="1" applyBorder="1"/>
    <xf numFmtId="0" fontId="0" fillId="20" borderId="19" xfId="0" applyFill="1" applyBorder="1"/>
    <xf numFmtId="0" fontId="0" fillId="0" borderId="1" xfId="0" applyBorder="1" applyAlignment="1">
      <alignment vertical="center"/>
    </xf>
    <xf numFmtId="49" fontId="0" fillId="54" borderId="1" xfId="0" applyNumberFormat="1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6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24" xfId="0" applyBorder="1" applyProtection="1">
      <protection locked="0"/>
    </xf>
    <xf numFmtId="0" fontId="0" fillId="50" borderId="15" xfId="0" applyFill="1" applyBorder="1"/>
    <xf numFmtId="0" fontId="0" fillId="19" borderId="40" xfId="0" applyFill="1" applyBorder="1"/>
    <xf numFmtId="0" fontId="0" fillId="19" borderId="8" xfId="0" applyFill="1" applyBorder="1" applyAlignment="1">
      <alignment horizontal="center"/>
    </xf>
    <xf numFmtId="0" fontId="0" fillId="50" borderId="5" xfId="0" applyFill="1" applyBorder="1" applyAlignment="1">
      <alignment vertical="center"/>
    </xf>
    <xf numFmtId="0" fontId="0" fillId="19" borderId="62" xfId="0" applyFill="1" applyBorder="1" applyAlignment="1">
      <alignment horizontal="center"/>
    </xf>
    <xf numFmtId="0" fontId="0" fillId="19" borderId="53" xfId="0" applyFill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0" fillId="19" borderId="64" xfId="0" applyFill="1" applyBorder="1" applyAlignment="1">
      <alignment horizontal="center"/>
    </xf>
    <xf numFmtId="0" fontId="0" fillId="19" borderId="27" xfId="0" applyFill="1" applyBorder="1" applyAlignment="1">
      <alignment horizontal="center"/>
    </xf>
    <xf numFmtId="0" fontId="0" fillId="19" borderId="64" xfId="0" applyFill="1" applyBorder="1" applyAlignment="1">
      <alignment horizontal="center" vertical="center"/>
    </xf>
    <xf numFmtId="0" fontId="0" fillId="19" borderId="40" xfId="0" applyFill="1" applyBorder="1" applyAlignment="1">
      <alignment horizontal="center"/>
    </xf>
    <xf numFmtId="14" fontId="0" fillId="19" borderId="5" xfId="0" applyNumberFormat="1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0" fillId="19" borderId="6" xfId="0" applyFill="1" applyBorder="1" applyAlignment="1">
      <alignment horizontal="center"/>
    </xf>
    <xf numFmtId="0" fontId="0" fillId="50" borderId="9" xfId="0" applyFill="1" applyBorder="1"/>
    <xf numFmtId="0" fontId="0" fillId="19" borderId="9" xfId="0" applyFill="1" applyBorder="1" applyAlignment="1">
      <alignment horizontal="center"/>
    </xf>
    <xf numFmtId="0" fontId="0" fillId="50" borderId="2" xfId="0" applyFill="1" applyBorder="1" applyAlignment="1">
      <alignment vertical="center"/>
    </xf>
    <xf numFmtId="0" fontId="0" fillId="50" borderId="2" xfId="0" applyFill="1" applyBorder="1" applyAlignment="1">
      <alignment horizontal="left" vertical="center"/>
    </xf>
    <xf numFmtId="0" fontId="0" fillId="19" borderId="16" xfId="0" applyFill="1" applyBorder="1" applyAlignment="1">
      <alignment horizontal="center"/>
    </xf>
    <xf numFmtId="0" fontId="0" fillId="19" borderId="79" xfId="0" applyFill="1" applyBorder="1" applyAlignment="1">
      <alignment horizontal="center"/>
    </xf>
    <xf numFmtId="0" fontId="0" fillId="50" borderId="18" xfId="0" applyFill="1" applyBorder="1" applyAlignment="1">
      <alignment vertical="center"/>
    </xf>
    <xf numFmtId="0" fontId="0" fillId="19" borderId="59" xfId="0" applyFill="1" applyBorder="1" applyAlignment="1">
      <alignment horizontal="center"/>
    </xf>
    <xf numFmtId="0" fontId="0" fillId="19" borderId="60" xfId="0" applyFill="1" applyBorder="1" applyAlignment="1">
      <alignment horizontal="center"/>
    </xf>
    <xf numFmtId="0" fontId="0" fillId="50" borderId="4" xfId="0" applyFill="1" applyBorder="1" applyAlignment="1">
      <alignment horizontal="center"/>
    </xf>
    <xf numFmtId="0" fontId="0" fillId="19" borderId="21" xfId="0" applyFill="1" applyBorder="1" applyAlignment="1">
      <alignment horizontal="center"/>
    </xf>
    <xf numFmtId="0" fontId="71" fillId="0" borderId="0" xfId="0" applyFont="1"/>
    <xf numFmtId="0" fontId="0" fillId="22" borderId="11" xfId="0" applyFill="1" applyBorder="1" applyAlignment="1">
      <alignment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22" borderId="16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6" borderId="6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19" borderId="1" xfId="0" applyFill="1" applyBorder="1" applyAlignment="1">
      <alignment vertical="center"/>
    </xf>
    <xf numFmtId="0" fontId="0" fillId="19" borderId="4" xfId="0" applyFill="1" applyBorder="1" applyAlignment="1">
      <alignment vertical="center"/>
    </xf>
    <xf numFmtId="14" fontId="0" fillId="0" borderId="4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9" borderId="72" xfId="0" applyFill="1" applyBorder="1" applyAlignment="1">
      <alignment vertical="center"/>
    </xf>
    <xf numFmtId="14" fontId="0" fillId="0" borderId="7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9" borderId="24" xfId="0" applyFill="1" applyBorder="1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0" fontId="0" fillId="19" borderId="2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16" borderId="2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85" fillId="55" borderId="1" xfId="0" applyFont="1" applyFill="1" applyBorder="1" applyAlignment="1" applyProtection="1">
      <alignment horizontal="center" vertical="center"/>
      <protection locked="0"/>
    </xf>
    <xf numFmtId="0" fontId="0" fillId="7" borderId="24" xfId="0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4" fontId="0" fillId="8" borderId="4" xfId="0" applyNumberFormat="1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9" borderId="0" xfId="0" applyFill="1" applyAlignment="1">
      <alignment vertical="center"/>
    </xf>
    <xf numFmtId="14" fontId="0" fillId="0" borderId="0" xfId="0" applyNumberFormat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 applyProtection="1">
      <alignment wrapText="1"/>
      <protection locked="0"/>
    </xf>
    <xf numFmtId="0" fontId="0" fillId="50" borderId="54" xfId="0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50" borderId="18" xfId="0" applyFill="1" applyBorder="1" applyAlignment="1">
      <alignment horizontal="left" vertical="center"/>
    </xf>
    <xf numFmtId="0" fontId="0" fillId="0" borderId="19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/>
      <protection locked="0"/>
    </xf>
    <xf numFmtId="4" fontId="0" fillId="0" borderId="3" xfId="0" applyNumberFormat="1" applyBorder="1" applyAlignment="1" applyProtection="1">
      <alignment horizontal="center"/>
      <protection locked="0"/>
    </xf>
    <xf numFmtId="0" fontId="0" fillId="0" borderId="73" xfId="0" applyBorder="1" applyAlignment="1" applyProtection="1">
      <alignment horizontal="center" vertical="center"/>
      <protection locked="0"/>
    </xf>
    <xf numFmtId="4" fontId="0" fillId="0" borderId="1" xfId="0" applyNumberFormat="1" applyBorder="1" applyAlignment="1" applyProtection="1">
      <alignment horizontal="center"/>
      <protection locked="0"/>
    </xf>
    <xf numFmtId="0" fontId="4" fillId="6" borderId="0" xfId="0" applyFont="1" applyFill="1" applyAlignment="1">
      <alignment horizontal="center" vertical="center"/>
    </xf>
    <xf numFmtId="0" fontId="4" fillId="6" borderId="23" xfId="0" applyFont="1" applyFill="1" applyBorder="1" applyAlignment="1">
      <alignment horizontal="center" vertical="center"/>
    </xf>
    <xf numFmtId="0" fontId="4" fillId="56" borderId="0" xfId="0" applyFont="1" applyFill="1" applyAlignment="1">
      <alignment horizontal="center" vertical="center"/>
    </xf>
    <xf numFmtId="0" fontId="4" fillId="56" borderId="23" xfId="0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13" borderId="2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3" xfId="0" applyFont="1" applyFill="1" applyBorder="1" applyAlignment="1">
      <alignment horizontal="center" vertical="center"/>
    </xf>
    <xf numFmtId="0" fontId="15" fillId="15" borderId="32" xfId="1" applyFont="1" applyFill="1" applyBorder="1" applyAlignment="1">
      <alignment horizontal="center" vertical="center"/>
    </xf>
    <xf numFmtId="0" fontId="12" fillId="15" borderId="30" xfId="1" applyFont="1" applyFill="1" applyBorder="1" applyAlignment="1">
      <alignment horizontal="center" vertical="center" wrapText="1"/>
    </xf>
    <xf numFmtId="165" fontId="0" fillId="0" borderId="0" xfId="0" applyNumberFormat="1"/>
    <xf numFmtId="165" fontId="0" fillId="0" borderId="0" xfId="0" applyNumberFormat="1" applyAlignment="1">
      <alignment vertical="center"/>
    </xf>
    <xf numFmtId="165" fontId="1" fillId="10" borderId="59" xfId="0" applyNumberFormat="1" applyFont="1" applyFill="1" applyBorder="1" applyAlignment="1">
      <alignment horizontal="center" vertical="center" wrapText="1"/>
    </xf>
    <xf numFmtId="165" fontId="1" fillId="10" borderId="67" xfId="0" applyNumberFormat="1" applyFont="1" applyFill="1" applyBorder="1" applyAlignment="1">
      <alignment horizontal="center" vertical="center" wrapText="1"/>
    </xf>
    <xf numFmtId="165" fontId="1" fillId="10" borderId="69" xfId="0" applyNumberFormat="1" applyFont="1" applyFill="1" applyBorder="1" applyAlignment="1">
      <alignment horizontal="center" vertical="center" wrapText="1"/>
    </xf>
    <xf numFmtId="167" fontId="0" fillId="19" borderId="11" xfId="0" applyNumberFormat="1" applyFill="1" applyBorder="1" applyAlignment="1">
      <alignment horizontal="center"/>
    </xf>
    <xf numFmtId="165" fontId="0" fillId="19" borderId="1" xfId="0" applyNumberFormat="1" applyFill="1" applyBorder="1" applyAlignment="1">
      <alignment horizontal="center"/>
    </xf>
    <xf numFmtId="165" fontId="0" fillId="19" borderId="12" xfId="0" applyNumberFormat="1" applyFill="1" applyBorder="1" applyAlignment="1">
      <alignment horizontal="center"/>
    </xf>
    <xf numFmtId="165" fontId="0" fillId="19" borderId="11" xfId="0" applyNumberFormat="1" applyFill="1" applyBorder="1" applyAlignment="1">
      <alignment horizontal="center" vertical="center"/>
    </xf>
    <xf numFmtId="165" fontId="0" fillId="19" borderId="19" xfId="0" applyNumberFormat="1" applyFill="1" applyBorder="1" applyAlignment="1">
      <alignment horizontal="center"/>
    </xf>
    <xf numFmtId="165" fontId="0" fillId="19" borderId="67" xfId="0" applyNumberFormat="1" applyFill="1" applyBorder="1" applyAlignment="1">
      <alignment horizontal="center"/>
    </xf>
    <xf numFmtId="165" fontId="0" fillId="19" borderId="19" xfId="0" applyNumberFormat="1" applyFill="1" applyBorder="1" applyAlignment="1">
      <alignment horizontal="center" vertical="center"/>
    </xf>
    <xf numFmtId="165" fontId="0" fillId="19" borderId="65" xfId="0" applyNumberFormat="1" applyFill="1" applyBorder="1" applyAlignment="1">
      <alignment horizontal="center"/>
    </xf>
    <xf numFmtId="165" fontId="0" fillId="19" borderId="24" xfId="0" applyNumberForma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/>
    </xf>
    <xf numFmtId="165" fontId="0" fillId="19" borderId="1" xfId="0" applyNumberFormat="1" applyFill="1" applyBorder="1" applyAlignment="1">
      <alignment horizontal="center" vertical="center"/>
    </xf>
    <xf numFmtId="165" fontId="0" fillId="0" borderId="67" xfId="0" applyNumberFormat="1" applyBorder="1" applyAlignment="1">
      <alignment horizontal="center"/>
    </xf>
    <xf numFmtId="167" fontId="0" fillId="19" borderId="1" xfId="0" applyNumberFormat="1" applyFill="1" applyBorder="1" applyAlignment="1">
      <alignment horizontal="center"/>
    </xf>
    <xf numFmtId="167" fontId="0" fillId="19" borderId="19" xfId="0" applyNumberFormat="1" applyFill="1" applyBorder="1" applyAlignment="1">
      <alignment horizontal="center"/>
    </xf>
    <xf numFmtId="165" fontId="0" fillId="19" borderId="17" xfId="0" applyNumberFormat="1" applyFill="1" applyBorder="1" applyAlignment="1">
      <alignment horizontal="center"/>
    </xf>
    <xf numFmtId="165" fontId="0" fillId="19" borderId="81" xfId="0" applyNumberFormat="1" applyFill="1" applyBorder="1" applyAlignment="1">
      <alignment horizontal="center"/>
    </xf>
    <xf numFmtId="165" fontId="0" fillId="19" borderId="11" xfId="0" applyNumberFormat="1" applyFill="1" applyBorder="1" applyAlignment="1">
      <alignment horizontal="center"/>
    </xf>
    <xf numFmtId="165" fontId="0" fillId="19" borderId="53" xfId="0" applyNumberFormat="1" applyFill="1" applyBorder="1" applyAlignment="1">
      <alignment horizontal="center"/>
    </xf>
    <xf numFmtId="165" fontId="0" fillId="19" borderId="29" xfId="0" applyNumberFormat="1" applyFill="1" applyBorder="1" applyAlignment="1">
      <alignment horizontal="center"/>
    </xf>
    <xf numFmtId="165" fontId="0" fillId="19" borderId="28" xfId="0" applyNumberFormat="1" applyFill="1" applyBorder="1" applyAlignment="1">
      <alignment horizontal="center" vertic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1" fillId="2" borderId="6" xfId="0" applyNumberFormat="1" applyFont="1" applyFill="1" applyBorder="1" applyAlignment="1">
      <alignment horizontal="center" vertical="center" wrapText="1"/>
    </xf>
    <xf numFmtId="165" fontId="0" fillId="54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right"/>
    </xf>
    <xf numFmtId="165" fontId="0" fillId="0" borderId="12" xfId="0" applyNumberFormat="1" applyBorder="1"/>
    <xf numFmtId="165" fontId="0" fillId="0" borderId="12" xfId="0" quotePrefix="1" applyNumberFormat="1" applyBorder="1"/>
    <xf numFmtId="165" fontId="0" fillId="0" borderId="1" xfId="0" applyNumberFormat="1" applyBorder="1" applyAlignment="1">
      <alignment horizontal="right"/>
    </xf>
    <xf numFmtId="165" fontId="0" fillId="0" borderId="12" xfId="0" applyNumberFormat="1" applyBorder="1" applyAlignment="1">
      <alignment horizontal="right"/>
    </xf>
    <xf numFmtId="165" fontId="0" fillId="0" borderId="1" xfId="0" applyNumberFormat="1" applyBorder="1"/>
    <xf numFmtId="165" fontId="0" fillId="48" borderId="1" xfId="0" applyNumberFormat="1" applyFill="1" applyBorder="1" applyAlignment="1">
      <alignment horizontal="right"/>
    </xf>
    <xf numFmtId="165" fontId="0" fillId="0" borderId="65" xfId="0" applyNumberFormat="1" applyBorder="1"/>
    <xf numFmtId="168" fontId="0" fillId="52" borderId="1" xfId="0" applyNumberFormat="1" applyFill="1" applyBorder="1" applyAlignment="1">
      <alignment horizontal="right"/>
    </xf>
    <xf numFmtId="165" fontId="0" fillId="0" borderId="19" xfId="0" applyNumberFormat="1" applyBorder="1" applyAlignment="1">
      <alignment horizontal="right"/>
    </xf>
    <xf numFmtId="165" fontId="0" fillId="0" borderId="1" xfId="0" applyNumberFormat="1" applyBorder="1" applyAlignment="1">
      <alignment horizontal="center"/>
    </xf>
    <xf numFmtId="165" fontId="0" fillId="54" borderId="1" xfId="0" quotePrefix="1" applyNumberFormat="1" applyFill="1" applyBorder="1" applyAlignment="1">
      <alignment horizontal="center"/>
    </xf>
    <xf numFmtId="165" fontId="0" fillId="48" borderId="12" xfId="0" applyNumberFormat="1" applyFill="1" applyBorder="1" applyAlignment="1">
      <alignment horizontal="right"/>
    </xf>
    <xf numFmtId="165" fontId="0" fillId="54" borderId="12" xfId="0" quotePrefix="1" applyNumberFormat="1" applyFill="1" applyBorder="1"/>
    <xf numFmtId="165" fontId="0" fillId="54" borderId="65" xfId="0" quotePrefix="1" applyNumberFormat="1" applyFill="1" applyBorder="1"/>
    <xf numFmtId="165" fontId="0" fillId="0" borderId="1" xfId="0" quotePrefix="1" applyNumberFormat="1" applyBorder="1"/>
    <xf numFmtId="165" fontId="0" fillId="0" borderId="65" xfId="0" quotePrefix="1" applyNumberFormat="1" applyBorder="1"/>
    <xf numFmtId="165" fontId="0" fillId="48" borderId="0" xfId="0" applyNumberFormat="1" applyFill="1"/>
    <xf numFmtId="166" fontId="0" fillId="54" borderId="1" xfId="0" applyNumberFormat="1" applyFill="1" applyBorder="1" applyAlignment="1">
      <alignment horizontal="center"/>
    </xf>
    <xf numFmtId="165" fontId="0" fillId="48" borderId="12" xfId="0" applyNumberFormat="1" applyFill="1" applyBorder="1"/>
    <xf numFmtId="165" fontId="0" fillId="54" borderId="19" xfId="0" applyNumberFormat="1" applyFill="1" applyBorder="1" applyAlignment="1">
      <alignment horizontal="center"/>
    </xf>
    <xf numFmtId="165" fontId="1" fillId="2" borderId="21" xfId="0" applyNumberFormat="1" applyFont="1" applyFill="1" applyBorder="1" applyAlignment="1">
      <alignment horizontal="center" vertical="center" wrapText="1"/>
    </xf>
    <xf numFmtId="165" fontId="1" fillId="2" borderId="93" xfId="0" applyNumberFormat="1" applyFont="1" applyFill="1" applyBorder="1" applyAlignment="1">
      <alignment horizontal="center" vertical="center" wrapText="1"/>
    </xf>
    <xf numFmtId="165" fontId="0" fillId="19" borderId="53" xfId="0" applyNumberFormat="1" applyFill="1" applyBorder="1" applyAlignment="1">
      <alignment horizontal="center" vertical="center"/>
    </xf>
    <xf numFmtId="165" fontId="0" fillId="48" borderId="1" xfId="0" applyNumberFormat="1" applyFill="1" applyBorder="1" applyAlignment="1">
      <alignment horizontal="center" vertical="center"/>
    </xf>
    <xf numFmtId="165" fontId="1" fillId="2" borderId="28" xfId="0" applyNumberFormat="1" applyFont="1" applyFill="1" applyBorder="1" applyAlignment="1">
      <alignment horizontal="center" vertical="center" wrapText="1"/>
    </xf>
    <xf numFmtId="165" fontId="1" fillId="2" borderId="39" xfId="0" applyNumberFormat="1" applyFont="1" applyFill="1" applyBorder="1" applyAlignment="1">
      <alignment horizontal="center" vertical="center" wrapText="1"/>
    </xf>
    <xf numFmtId="165" fontId="1" fillId="2" borderId="53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5" fontId="0" fillId="19" borderId="12" xfId="0" applyNumberFormat="1" applyFill="1" applyBorder="1" applyAlignment="1">
      <alignment horizontal="center" vertical="center"/>
    </xf>
    <xf numFmtId="0" fontId="19" fillId="6" borderId="0" xfId="1" applyFont="1" applyFill="1" applyAlignment="1">
      <alignment horizontal="right" vertical="center"/>
    </xf>
    <xf numFmtId="0" fontId="9" fillId="0" borderId="0" xfId="0" applyFont="1" applyAlignment="1">
      <alignment vertical="center"/>
    </xf>
    <xf numFmtId="0" fontId="4" fillId="6" borderId="23" xfId="0" applyFont="1" applyFill="1" applyBorder="1" applyAlignment="1">
      <alignment horizontal="center" vertical="center"/>
    </xf>
    <xf numFmtId="0" fontId="0" fillId="0" borderId="23" xfId="0" applyBorder="1"/>
    <xf numFmtId="0" fontId="19" fillId="53" borderId="0" xfId="1" applyFont="1" applyFill="1" applyAlignment="1">
      <alignment horizontal="right" vertical="center"/>
    </xf>
    <xf numFmtId="0" fontId="4" fillId="53" borderId="23" xfId="0" applyFont="1" applyFill="1" applyBorder="1" applyAlignment="1">
      <alignment horizontal="center" vertical="center"/>
    </xf>
    <xf numFmtId="0" fontId="19" fillId="56" borderId="0" xfId="1" applyFont="1" applyFill="1" applyAlignment="1">
      <alignment horizontal="right" vertical="center"/>
    </xf>
    <xf numFmtId="0" fontId="4" fillId="56" borderId="23" xfId="0" applyFont="1" applyFill="1" applyBorder="1" applyAlignment="1">
      <alignment horizontal="center" vertical="center"/>
    </xf>
    <xf numFmtId="0" fontId="19" fillId="13" borderId="0" xfId="1" applyFont="1" applyFill="1" applyAlignment="1">
      <alignment horizontal="right" vertical="center"/>
    </xf>
    <xf numFmtId="0" fontId="4" fillId="13" borderId="23" xfId="0" applyFont="1" applyFill="1" applyBorder="1" applyAlignment="1">
      <alignment horizontal="center" vertical="center"/>
    </xf>
    <xf numFmtId="0" fontId="19" fillId="8" borderId="0" xfId="1" applyFont="1" applyFill="1" applyAlignment="1">
      <alignment horizontal="right" vertical="center"/>
    </xf>
    <xf numFmtId="0" fontId="4" fillId="8" borderId="23" xfId="0" applyFont="1" applyFill="1" applyBorder="1" applyAlignment="1">
      <alignment horizontal="center" vertical="center"/>
    </xf>
    <xf numFmtId="165" fontId="16" fillId="15" borderId="108" xfId="1" applyNumberFormat="1" applyFont="1" applyFill="1" applyBorder="1" applyAlignment="1">
      <alignment horizontal="center" vertical="center"/>
    </xf>
    <xf numFmtId="0" fontId="0" fillId="0" borderId="75" xfId="0" applyBorder="1"/>
    <xf numFmtId="0" fontId="0" fillId="0" borderId="76" xfId="0" applyBorder="1"/>
    <xf numFmtId="165" fontId="16" fillId="15" borderId="32" xfId="1" applyNumberFormat="1" applyFont="1" applyFill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21" fillId="16" borderId="25" xfId="0" applyFont="1" applyFill="1" applyBorder="1" applyAlignment="1">
      <alignment horizontal="center" vertical="center" textRotation="90"/>
    </xf>
    <xf numFmtId="0" fontId="14" fillId="17" borderId="0" xfId="0" applyFont="1" applyFill="1" applyAlignment="1">
      <alignment horizontal="center" vertical="center" wrapText="1"/>
    </xf>
    <xf numFmtId="0" fontId="19" fillId="9" borderId="0" xfId="1" applyFont="1" applyFill="1" applyAlignment="1">
      <alignment horizontal="right" vertical="center"/>
    </xf>
    <xf numFmtId="0" fontId="4" fillId="9" borderId="23" xfId="0" applyFont="1" applyFill="1" applyBorder="1" applyAlignment="1">
      <alignment horizontal="center" vertical="center"/>
    </xf>
    <xf numFmtId="0" fontId="18" fillId="15" borderId="4" xfId="1" applyFont="1" applyFill="1" applyBorder="1" applyAlignment="1">
      <alignment horizontal="center" vertical="center"/>
    </xf>
    <xf numFmtId="0" fontId="0" fillId="0" borderId="9" xfId="0" applyBorder="1"/>
    <xf numFmtId="0" fontId="0" fillId="0" borderId="17" xfId="0" applyBorder="1"/>
    <xf numFmtId="0" fontId="15" fillId="15" borderId="74" xfId="1" applyFont="1" applyFill="1" applyBorder="1" applyAlignment="1">
      <alignment horizontal="center" vertical="center"/>
    </xf>
    <xf numFmtId="0" fontId="0" fillId="0" borderId="36" xfId="0" applyBorder="1"/>
    <xf numFmtId="0" fontId="12" fillId="18" borderId="109" xfId="1" applyFont="1" applyFill="1" applyBorder="1" applyAlignment="1" applyProtection="1">
      <alignment horizontal="center" vertical="center" wrapText="1"/>
      <protection locked="0"/>
    </xf>
    <xf numFmtId="0" fontId="0" fillId="0" borderId="94" xfId="0" applyBorder="1" applyProtection="1">
      <protection locked="0"/>
    </xf>
    <xf numFmtId="165" fontId="16" fillId="15" borderId="76" xfId="1" applyNumberFormat="1" applyFont="1" applyFill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17" fillId="15" borderId="14" xfId="1" applyFont="1" applyFill="1" applyBorder="1" applyAlignment="1">
      <alignment horizontal="center" vertical="center"/>
    </xf>
    <xf numFmtId="0" fontId="0" fillId="0" borderId="8" xfId="0" applyBorder="1"/>
    <xf numFmtId="0" fontId="0" fillId="0" borderId="14" xfId="0" applyBorder="1"/>
    <xf numFmtId="0" fontId="18" fillId="15" borderId="17" xfId="1" applyFont="1" applyFill="1" applyBorder="1" applyAlignment="1">
      <alignment horizontal="center" vertical="center"/>
    </xf>
    <xf numFmtId="0" fontId="15" fillId="15" borderId="108" xfId="1" applyFont="1" applyFill="1" applyBorder="1" applyAlignment="1">
      <alignment horizontal="center" vertical="center"/>
    </xf>
    <xf numFmtId="0" fontId="0" fillId="0" borderId="33" xfId="0" applyBorder="1"/>
    <xf numFmtId="0" fontId="12" fillId="15" borderId="110" xfId="1" applyFont="1" applyFill="1" applyBorder="1" applyAlignment="1">
      <alignment horizontal="center" vertical="center" wrapText="1"/>
    </xf>
    <xf numFmtId="0" fontId="0" fillId="0" borderId="31" xfId="0" applyBorder="1"/>
    <xf numFmtId="0" fontId="12" fillId="51" borderId="108" xfId="1" applyFont="1" applyFill="1" applyBorder="1" applyAlignment="1">
      <alignment horizontal="center" vertical="center" wrapText="1"/>
    </xf>
    <xf numFmtId="0" fontId="20" fillId="5" borderId="0" xfId="1" applyFont="1" applyFill="1" applyAlignment="1">
      <alignment horizontal="right" vertical="center"/>
    </xf>
    <xf numFmtId="0" fontId="4" fillId="5" borderId="23" xfId="0" applyFont="1" applyFill="1" applyBorder="1" applyAlignment="1">
      <alignment horizontal="center" vertical="center"/>
    </xf>
    <xf numFmtId="0" fontId="72" fillId="5" borderId="0" xfId="1" applyFont="1" applyFill="1" applyAlignment="1">
      <alignment horizontal="right" vertical="center"/>
    </xf>
    <xf numFmtId="0" fontId="3" fillId="3" borderId="57" xfId="1" applyFont="1" applyFill="1" applyBorder="1" applyAlignment="1">
      <alignment horizontal="center" vertical="center" wrapText="1"/>
    </xf>
    <xf numFmtId="0" fontId="0" fillId="0" borderId="73" xfId="0" applyBorder="1"/>
    <xf numFmtId="0" fontId="4" fillId="2" borderId="18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4" xfId="0" applyBorder="1"/>
    <xf numFmtId="0" fontId="3" fillId="9" borderId="82" xfId="1" applyFont="1" applyFill="1" applyBorder="1" applyAlignment="1">
      <alignment horizontal="center" vertical="center"/>
    </xf>
    <xf numFmtId="0" fontId="0" fillId="0" borderId="56" xfId="0" applyBorder="1"/>
    <xf numFmtId="0" fontId="0" fillId="0" borderId="57" xfId="0" applyBorder="1"/>
    <xf numFmtId="0" fontId="4" fillId="2" borderId="84" xfId="0" applyFont="1" applyFill="1" applyBorder="1" applyAlignment="1">
      <alignment horizontal="center" vertical="center"/>
    </xf>
    <xf numFmtId="0" fontId="0" fillId="0" borderId="84" xfId="0" applyBorder="1"/>
    <xf numFmtId="0" fontId="4" fillId="2" borderId="85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4" fillId="2" borderId="86" xfId="0" applyFont="1" applyFill="1" applyBorder="1" applyAlignment="1">
      <alignment horizontal="center" vertical="center"/>
    </xf>
    <xf numFmtId="0" fontId="3" fillId="11" borderId="55" xfId="1" applyFont="1" applyFill="1" applyBorder="1" applyAlignment="1">
      <alignment horizontal="center" vertical="center" wrapText="1"/>
    </xf>
    <xf numFmtId="0" fontId="3" fillId="57" borderId="40" xfId="1" applyFont="1" applyFill="1" applyBorder="1" applyAlignment="1">
      <alignment horizontal="center" vertical="center"/>
    </xf>
    <xf numFmtId="0" fontId="3" fillId="6" borderId="82" xfId="1" applyFont="1" applyFill="1" applyBorder="1" applyAlignment="1">
      <alignment horizontal="center" vertical="center" wrapText="1"/>
    </xf>
    <xf numFmtId="0" fontId="3" fillId="21" borderId="57" xfId="0" applyFont="1" applyFill="1" applyBorder="1" applyAlignment="1">
      <alignment horizontal="center" vertical="center"/>
    </xf>
    <xf numFmtId="0" fontId="3" fillId="49" borderId="39" xfId="0" applyFont="1" applyFill="1" applyBorder="1" applyAlignment="1">
      <alignment horizontal="center" vertical="center"/>
    </xf>
    <xf numFmtId="0" fontId="0" fillId="0" borderId="77" xfId="0" applyBorder="1"/>
    <xf numFmtId="0" fontId="1" fillId="2" borderId="82" xfId="0" applyFont="1" applyFill="1" applyBorder="1" applyAlignment="1">
      <alignment horizontal="center" vertical="center" wrapText="1"/>
    </xf>
    <xf numFmtId="0" fontId="1" fillId="58" borderId="7" xfId="0" applyFont="1" applyFill="1" applyBorder="1" applyAlignment="1">
      <alignment horizontal="center" vertical="center" wrapText="1"/>
    </xf>
    <xf numFmtId="0" fontId="0" fillId="0" borderId="10" xfId="0" applyBorder="1"/>
    <xf numFmtId="0" fontId="16" fillId="15" borderId="108" xfId="1" applyFont="1" applyFill="1" applyBorder="1" applyAlignment="1">
      <alignment horizontal="center" vertical="center"/>
    </xf>
    <xf numFmtId="0" fontId="16" fillId="15" borderId="32" xfId="1" applyFont="1" applyFill="1" applyBorder="1" applyAlignment="1">
      <alignment horizontal="center" vertical="center"/>
    </xf>
    <xf numFmtId="0" fontId="12" fillId="18" borderId="108" xfId="1" applyFont="1" applyFill="1" applyBorder="1" applyAlignment="1" applyProtection="1">
      <alignment horizontal="center" vertical="center" wrapText="1"/>
      <protection locked="0"/>
    </xf>
    <xf numFmtId="0" fontId="0" fillId="0" borderId="33" xfId="0" applyBorder="1" applyProtection="1">
      <protection locked="0"/>
    </xf>
    <xf numFmtId="0" fontId="16" fillId="15" borderId="76" xfId="1" applyFont="1" applyFill="1" applyBorder="1" applyAlignment="1">
      <alignment horizontal="center" vertical="center"/>
    </xf>
    <xf numFmtId="0" fontId="12" fillId="51" borderId="108" xfId="1" applyFont="1" applyFill="1" applyBorder="1" applyAlignment="1" applyProtection="1">
      <alignment horizontal="center" vertical="center" wrapText="1"/>
      <protection locked="0"/>
    </xf>
    <xf numFmtId="0" fontId="70" fillId="0" borderId="96" xfId="0" applyFont="1" applyBorder="1" applyAlignment="1">
      <alignment horizontal="center" vertical="center"/>
    </xf>
    <xf numFmtId="0" fontId="0" fillId="0" borderId="0" xfId="0"/>
    <xf numFmtId="0" fontId="0" fillId="0" borderId="96" xfId="0" applyBorder="1"/>
    <xf numFmtId="0" fontId="70" fillId="0" borderId="0" xfId="0" applyFon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70" fillId="0" borderId="96" xfId="0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12" fillId="15" borderId="111" xfId="1" applyFont="1" applyFill="1" applyBorder="1" applyAlignment="1">
      <alignment horizontal="center" vertical="center" wrapText="1"/>
    </xf>
    <xf numFmtId="0" fontId="16" fillId="15" borderId="39" xfId="1" applyFont="1" applyFill="1" applyBorder="1" applyAlignment="1">
      <alignment horizontal="center" vertical="center"/>
    </xf>
    <xf numFmtId="0" fontId="0" fillId="0" borderId="78" xfId="0" applyBorder="1"/>
    <xf numFmtId="0" fontId="7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0" fillId="0" borderId="95" xfId="0" applyBorder="1"/>
    <xf numFmtId="0" fontId="0" fillId="0" borderId="97" xfId="0" applyBorder="1"/>
    <xf numFmtId="0" fontId="68" fillId="58" borderId="87" xfId="1" applyFont="1" applyFill="1" applyBorder="1" applyAlignment="1">
      <alignment horizontal="center" vertical="center" wrapText="1"/>
    </xf>
    <xf numFmtId="0" fontId="0" fillId="0" borderId="87" xfId="0" applyBorder="1"/>
    <xf numFmtId="0" fontId="68" fillId="13" borderId="87" xfId="1" applyFont="1" applyFill="1" applyBorder="1" applyAlignment="1">
      <alignment horizontal="center" vertical="center" wrapText="1"/>
    </xf>
    <xf numFmtId="0" fontId="8" fillId="11" borderId="87" xfId="1" applyFont="1" applyFill="1" applyBorder="1" applyAlignment="1">
      <alignment horizontal="center" vertical="center" wrapText="1"/>
    </xf>
    <xf numFmtId="0" fontId="68" fillId="6" borderId="87" xfId="1" applyFont="1" applyFill="1" applyBorder="1" applyAlignment="1">
      <alignment horizontal="center" vertical="center"/>
    </xf>
    <xf numFmtId="0" fontId="10" fillId="89" borderId="9" xfId="1" applyFont="1" applyFill="1" applyBorder="1" applyAlignment="1">
      <alignment vertical="center"/>
    </xf>
    <xf numFmtId="0" fontId="21" fillId="48" borderId="18" xfId="0" applyFont="1" applyFill="1" applyBorder="1" applyAlignment="1" applyProtection="1">
      <alignment horizontal="center" vertical="center" wrapText="1"/>
      <protection locked="0"/>
    </xf>
    <xf numFmtId="0" fontId="21" fillId="48" borderId="67" xfId="0" applyFont="1" applyFill="1" applyBorder="1" applyAlignment="1">
      <alignment horizontal="center" vertical="center" wrapText="1"/>
    </xf>
  </cellXfs>
  <cellStyles count="366">
    <cellStyle name="?Ⅱ_x001b__x0005_@?" xfId="4" xr:uid="{00000000-0005-0000-0000-000004000000}"/>
    <cellStyle name="?Ⅱ_x001b__x0005_@? 2" xfId="135" xr:uid="{00000000-0005-0000-0000-000087000000}"/>
    <cellStyle name="_Grille Tarifaire (2)" xfId="5" xr:uid="{00000000-0005-0000-0000-000005000000}"/>
    <cellStyle name="_Grille Tarifaire (2) 2" xfId="136" xr:uid="{00000000-0005-0000-0000-000088000000}"/>
    <cellStyle name="_grilles CAT fev 2013" xfId="6" xr:uid="{00000000-0005-0000-0000-000006000000}"/>
    <cellStyle name="_grilles CAT fev 2013 2" xfId="140" xr:uid="{00000000-0005-0000-0000-00008C000000}"/>
    <cellStyle name="_Grilles tarifaires emballages 2012-en cours" xfId="7" xr:uid="{00000000-0005-0000-0000-000007000000}"/>
    <cellStyle name="_Grilles tarifaires emballages 2012-en cours 2" xfId="141" xr:uid="{00000000-0005-0000-0000-00008D000000}"/>
    <cellStyle name="_Grilles tarifaires pieces 2012-en cours" xfId="8" xr:uid="{00000000-0005-0000-0000-000008000000}"/>
    <cellStyle name="_Grilles tarifaires pieces 2012-en cours 2" xfId="142" xr:uid="{00000000-0005-0000-0000-00008E000000}"/>
    <cellStyle name="_Grilles tarifaires YUSEN CZ-à paramétrer CDG" xfId="9" xr:uid="{00000000-0005-0000-0000-000009000000}"/>
    <cellStyle name="_Grilles tarifaires YUSEN CZ-à paramétrer CDG 2" xfId="137" xr:uid="{00000000-0005-0000-0000-000089000000}"/>
    <cellStyle name="_Grilles tarifaires YUSEN HONGRIE-à paramétrer CDG" xfId="10" xr:uid="{00000000-0005-0000-0000-00000A000000}"/>
    <cellStyle name="_Grilles tarifaires YUSEN HONGRIE-à paramétrer CDG 2" xfId="138" xr:uid="{00000000-0005-0000-0000-00008A000000}"/>
    <cellStyle name="_Nouvelle Grille Tarifaire 2012 (2)" xfId="11" xr:uid="{00000000-0005-0000-0000-00000B000000}"/>
    <cellStyle name="_Nouvelle Grille Tarifaire 2012 (2) 2" xfId="139" xr:uid="{00000000-0005-0000-0000-00008B000000}"/>
    <cellStyle name="20% - 1. jelölőszín" xfId="12" xr:uid="{00000000-0005-0000-0000-00000C000000}"/>
    <cellStyle name="20% - 2. jelölőszín" xfId="13" xr:uid="{00000000-0005-0000-0000-00000D000000}"/>
    <cellStyle name="20% - 3. jelölőszín" xfId="14" xr:uid="{00000000-0005-0000-0000-00000E000000}"/>
    <cellStyle name="20% - 4. jelölőszín" xfId="15" xr:uid="{00000000-0005-0000-0000-00000F000000}"/>
    <cellStyle name="20% - 5. jelölőszín" xfId="16" xr:uid="{00000000-0005-0000-0000-000010000000}"/>
    <cellStyle name="20% - 6. jelölőszín" xfId="17" xr:uid="{00000000-0005-0000-0000-000011000000}"/>
    <cellStyle name="20% - Accent1 2" xfId="304" xr:uid="{00000000-0005-0000-0000-000030010000}"/>
    <cellStyle name="20% - Accent2 2" xfId="305" xr:uid="{00000000-0005-0000-0000-000031010000}"/>
    <cellStyle name="20% - Accent3 2" xfId="306" xr:uid="{00000000-0005-0000-0000-000032010000}"/>
    <cellStyle name="20% - Accent4 2" xfId="307" xr:uid="{00000000-0005-0000-0000-000033010000}"/>
    <cellStyle name="20% - Accent5 2" xfId="308" xr:uid="{00000000-0005-0000-0000-000034010000}"/>
    <cellStyle name="20% - Accent6 2" xfId="309" xr:uid="{00000000-0005-0000-0000-000035010000}"/>
    <cellStyle name="20% - Énfasis1" xfId="18" xr:uid="{00000000-0005-0000-0000-000012000000}"/>
    <cellStyle name="20% - Énfasis2" xfId="19" xr:uid="{00000000-0005-0000-0000-000013000000}"/>
    <cellStyle name="20% - Énfasis3" xfId="20" xr:uid="{00000000-0005-0000-0000-000014000000}"/>
    <cellStyle name="20% - Énfasis4" xfId="21" xr:uid="{00000000-0005-0000-0000-000015000000}"/>
    <cellStyle name="20% - Énfasis5" xfId="22" xr:uid="{00000000-0005-0000-0000-000016000000}"/>
    <cellStyle name="20% - Énfasis6" xfId="23" xr:uid="{00000000-0005-0000-0000-000017000000}"/>
    <cellStyle name="40% - 1. jelölőszín" xfId="24" xr:uid="{00000000-0005-0000-0000-000018000000}"/>
    <cellStyle name="40% - 2. jelölőszín" xfId="25" xr:uid="{00000000-0005-0000-0000-000019000000}"/>
    <cellStyle name="40% - 3. jelölőszín" xfId="26" xr:uid="{00000000-0005-0000-0000-00001A000000}"/>
    <cellStyle name="40% - 4. jelölőszín" xfId="27" xr:uid="{00000000-0005-0000-0000-00001B000000}"/>
    <cellStyle name="40% - 5. jelölőszín" xfId="28" xr:uid="{00000000-0005-0000-0000-00001C000000}"/>
    <cellStyle name="40% - 6. jelölőszín" xfId="29" xr:uid="{00000000-0005-0000-0000-00001D000000}"/>
    <cellStyle name="40% - Accent1 2" xfId="310" xr:uid="{00000000-0005-0000-0000-000036010000}"/>
    <cellStyle name="40% - Accent2 2" xfId="311" xr:uid="{00000000-0005-0000-0000-000037010000}"/>
    <cellStyle name="40% - Accent3 2" xfId="312" xr:uid="{00000000-0005-0000-0000-000038010000}"/>
    <cellStyle name="40% - Accent4 2" xfId="313" xr:uid="{00000000-0005-0000-0000-000039010000}"/>
    <cellStyle name="40% - Accent5 2" xfId="314" xr:uid="{00000000-0005-0000-0000-00003A010000}"/>
    <cellStyle name="40% - Accent6 2" xfId="315" xr:uid="{00000000-0005-0000-0000-00003B010000}"/>
    <cellStyle name="40% - Énfasis1" xfId="30" xr:uid="{00000000-0005-0000-0000-00001E000000}"/>
    <cellStyle name="40% - Énfasis2" xfId="31" xr:uid="{00000000-0005-0000-0000-00001F000000}"/>
    <cellStyle name="40% - Énfasis3" xfId="32" xr:uid="{00000000-0005-0000-0000-000020000000}"/>
    <cellStyle name="40% - Énfasis4" xfId="33" xr:uid="{00000000-0005-0000-0000-000021000000}"/>
    <cellStyle name="40% - Énfasis5" xfId="34" xr:uid="{00000000-0005-0000-0000-000022000000}"/>
    <cellStyle name="40% - Énfasis6" xfId="35" xr:uid="{00000000-0005-0000-0000-000023000000}"/>
    <cellStyle name="60% - 1. jelölőszín" xfId="36" xr:uid="{00000000-0005-0000-0000-000024000000}"/>
    <cellStyle name="60% - 2. jelölőszín" xfId="37" xr:uid="{00000000-0005-0000-0000-000025000000}"/>
    <cellStyle name="60% - 3. jelölőszín" xfId="38" xr:uid="{00000000-0005-0000-0000-000026000000}"/>
    <cellStyle name="60% - 4. jelölőszín" xfId="39" xr:uid="{00000000-0005-0000-0000-000027000000}"/>
    <cellStyle name="60% - 5. jelölőszín" xfId="40" xr:uid="{00000000-0005-0000-0000-000028000000}"/>
    <cellStyle name="60% - 6. jelölőszín" xfId="41" xr:uid="{00000000-0005-0000-0000-000029000000}"/>
    <cellStyle name="60% - Accent1 2" xfId="316" xr:uid="{00000000-0005-0000-0000-00003C010000}"/>
    <cellStyle name="60% - Accent2 2" xfId="317" xr:uid="{00000000-0005-0000-0000-00003D010000}"/>
    <cellStyle name="60% - Accent3 2" xfId="318" xr:uid="{00000000-0005-0000-0000-00003E010000}"/>
    <cellStyle name="60% - Accent4 2" xfId="319" xr:uid="{00000000-0005-0000-0000-00003F010000}"/>
    <cellStyle name="60% - Accent5 2" xfId="320" xr:uid="{00000000-0005-0000-0000-000040010000}"/>
    <cellStyle name="60% - Accent6 2" xfId="321" xr:uid="{00000000-0005-0000-0000-000041010000}"/>
    <cellStyle name="60% - Énfasis1" xfId="42" xr:uid="{00000000-0005-0000-0000-00002A000000}"/>
    <cellStyle name="60% - Énfasis2" xfId="43" xr:uid="{00000000-0005-0000-0000-00002B000000}"/>
    <cellStyle name="60% - Énfasis3" xfId="44" xr:uid="{00000000-0005-0000-0000-00002C000000}"/>
    <cellStyle name="60% - Énfasis4" xfId="45" xr:uid="{00000000-0005-0000-0000-00002D000000}"/>
    <cellStyle name="60% - Énfasis5" xfId="46" xr:uid="{00000000-0005-0000-0000-00002E000000}"/>
    <cellStyle name="60% - Énfasis6" xfId="47" xr:uid="{00000000-0005-0000-0000-00002F000000}"/>
    <cellStyle name="Accent1 2" xfId="143" xr:uid="{00000000-0005-0000-0000-00008F000000}"/>
    <cellStyle name="Accent1 2 2" xfId="322" xr:uid="{00000000-0005-0000-0000-000042010000}"/>
    <cellStyle name="Accent2 2" xfId="144" xr:uid="{00000000-0005-0000-0000-000090000000}"/>
    <cellStyle name="Accent2 2 2" xfId="323" xr:uid="{00000000-0005-0000-0000-000043010000}"/>
    <cellStyle name="Accent3 2" xfId="145" xr:uid="{00000000-0005-0000-0000-000091000000}"/>
    <cellStyle name="Accent3 2 2" xfId="324" xr:uid="{00000000-0005-0000-0000-000044010000}"/>
    <cellStyle name="Accent4 2" xfId="146" xr:uid="{00000000-0005-0000-0000-000092000000}"/>
    <cellStyle name="Accent4 2 2" xfId="325" xr:uid="{00000000-0005-0000-0000-000045010000}"/>
    <cellStyle name="Accent5 2" xfId="147" xr:uid="{00000000-0005-0000-0000-000093000000}"/>
    <cellStyle name="Accent5 2 2" xfId="326" xr:uid="{00000000-0005-0000-0000-000046010000}"/>
    <cellStyle name="Accent6 2" xfId="148" xr:uid="{00000000-0005-0000-0000-000094000000}"/>
    <cellStyle name="Accent6 2 2" xfId="327" xr:uid="{00000000-0005-0000-0000-000047010000}"/>
    <cellStyle name="AutoFormat-Optionen 2" xfId="238" xr:uid="{00000000-0005-0000-0000-0000EE000000}"/>
    <cellStyle name="Bad 2" xfId="149" xr:uid="{00000000-0005-0000-0000-000095000000}"/>
    <cellStyle name="Bad 2 2" xfId="152" xr:uid="{00000000-0005-0000-0000-000098000000}"/>
    <cellStyle name="Bad 2 3" xfId="328" xr:uid="{00000000-0005-0000-0000-000048010000}"/>
    <cellStyle name="Bevitel" xfId="48" xr:uid="{00000000-0005-0000-0000-000030000000}"/>
    <cellStyle name="Buena" xfId="49" xr:uid="{00000000-0005-0000-0000-000031000000}"/>
    <cellStyle name="Calculation 2" xfId="329" xr:uid="{00000000-0005-0000-0000-000049010000}"/>
    <cellStyle name="Cálculo" xfId="50" xr:uid="{00000000-0005-0000-0000-000032000000}"/>
    <cellStyle name="Celda de comprobación" xfId="51" xr:uid="{00000000-0005-0000-0000-000033000000}"/>
    <cellStyle name="Celda vinculada" xfId="52" xr:uid="{00000000-0005-0000-0000-000034000000}"/>
    <cellStyle name="Check Cell 2" xfId="150" xr:uid="{00000000-0005-0000-0000-000096000000}"/>
    <cellStyle name="Check Cell 2 2" xfId="330" xr:uid="{00000000-0005-0000-0000-00004A010000}"/>
    <cellStyle name="Cím" xfId="53" xr:uid="{00000000-0005-0000-0000-000035000000}"/>
    <cellStyle name="Címsor 1" xfId="54" xr:uid="{00000000-0005-0000-0000-000036000000}"/>
    <cellStyle name="Címsor 2" xfId="55" xr:uid="{00000000-0005-0000-0000-000037000000}"/>
    <cellStyle name="Címsor 3" xfId="56" xr:uid="{00000000-0005-0000-0000-000038000000}"/>
    <cellStyle name="Címsor 4" xfId="57" xr:uid="{00000000-0005-0000-0000-000039000000}"/>
    <cellStyle name="Comma 2" xfId="191" xr:uid="{00000000-0005-0000-0000-0000BF000000}"/>
    <cellStyle name="Comma 2 2" xfId="331" xr:uid="{00000000-0005-0000-0000-00004B010000}"/>
    <cellStyle name="CULBUTEUR/BASCULE" xfId="182" xr:uid="{00000000-0005-0000-0000-0000B6000000}"/>
    <cellStyle name="CULBUTEUR/BASCULE 2" xfId="183" xr:uid="{00000000-0005-0000-0000-0000B7000000}"/>
    <cellStyle name="Dezimal [0]" xfId="58" xr:uid="{00000000-0005-0000-0000-00003A000000}"/>
    <cellStyle name="Dezimal [0] 2" xfId="151" xr:uid="{00000000-0005-0000-0000-000097000000}"/>
    <cellStyle name="Ellenőrzőcella" xfId="59" xr:uid="{00000000-0005-0000-0000-00003B000000}"/>
    <cellStyle name="Encabezado 4" xfId="60" xr:uid="{00000000-0005-0000-0000-00003C000000}"/>
    <cellStyle name="Énfasis1" xfId="61" xr:uid="{00000000-0005-0000-0000-00003D000000}"/>
    <cellStyle name="Énfasis2" xfId="62" xr:uid="{00000000-0005-0000-0000-00003E000000}"/>
    <cellStyle name="Énfasis3" xfId="63" xr:uid="{00000000-0005-0000-0000-00003F000000}"/>
    <cellStyle name="Énfasis4" xfId="64" xr:uid="{00000000-0005-0000-0000-000040000000}"/>
    <cellStyle name="Énfasis5" xfId="65" xr:uid="{00000000-0005-0000-0000-000041000000}"/>
    <cellStyle name="Énfasis6" xfId="66" xr:uid="{00000000-0005-0000-0000-000042000000}"/>
    <cellStyle name="Entrada" xfId="67" xr:uid="{00000000-0005-0000-0000-000043000000}"/>
    <cellStyle name="Euro" xfId="68" xr:uid="{00000000-0005-0000-0000-000044000000}"/>
    <cellStyle name="Euro 2" xfId="153" xr:uid="{00000000-0005-0000-0000-000099000000}"/>
    <cellStyle name="Euro 2 2" xfId="221" xr:uid="{00000000-0005-0000-0000-0000DD000000}"/>
    <cellStyle name="Euro 2 2 2" xfId="247" xr:uid="{00000000-0005-0000-0000-0000F7000000}"/>
    <cellStyle name="Euro 2 2 2 2" xfId="288" xr:uid="{00000000-0005-0000-0000-000020010000}"/>
    <cellStyle name="Euro 2 2 3" xfId="268" xr:uid="{00000000-0005-0000-0000-00000C010000}"/>
    <cellStyle name="Euro 2 3" xfId="351" xr:uid="{00000000-0005-0000-0000-00005F010000}"/>
    <cellStyle name="Euro 3" xfId="219" xr:uid="{00000000-0005-0000-0000-0000DB000000}"/>
    <cellStyle name="Euro 3 2" xfId="245" xr:uid="{00000000-0005-0000-0000-0000F5000000}"/>
    <cellStyle name="Euro 3 2 2" xfId="286" xr:uid="{00000000-0005-0000-0000-00001E010000}"/>
    <cellStyle name="Euro 3 3" xfId="266" xr:uid="{00000000-0005-0000-0000-00000A010000}"/>
    <cellStyle name="Euro 4" xfId="349" xr:uid="{00000000-0005-0000-0000-00005D010000}"/>
    <cellStyle name="Explanatory Text 2" xfId="154" xr:uid="{00000000-0005-0000-0000-00009A000000}"/>
    <cellStyle name="Explanatory Text 2 2" xfId="332" xr:uid="{00000000-0005-0000-0000-00004C010000}"/>
    <cellStyle name="Figyelmeztetés" xfId="69" xr:uid="{00000000-0005-0000-0000-000045000000}"/>
    <cellStyle name="Good 2" xfId="155" xr:uid="{00000000-0005-0000-0000-00009B000000}"/>
    <cellStyle name="Good 2 2" xfId="333" xr:uid="{00000000-0005-0000-0000-00004D010000}"/>
    <cellStyle name="Heading 1 2" xfId="156" xr:uid="{00000000-0005-0000-0000-00009C000000}"/>
    <cellStyle name="Heading 1 2 2" xfId="334" xr:uid="{00000000-0005-0000-0000-00004E010000}"/>
    <cellStyle name="Heading 2 2" xfId="157" xr:uid="{00000000-0005-0000-0000-00009D000000}"/>
    <cellStyle name="Heading 2 2 2" xfId="335" xr:uid="{00000000-0005-0000-0000-00004F010000}"/>
    <cellStyle name="Heading 3 2" xfId="158" xr:uid="{00000000-0005-0000-0000-00009E000000}"/>
    <cellStyle name="Heading 3 2 2" xfId="336" xr:uid="{00000000-0005-0000-0000-000050010000}"/>
    <cellStyle name="Heading 4 2" xfId="159" xr:uid="{00000000-0005-0000-0000-00009F000000}"/>
    <cellStyle name="Heading 4 2 2" xfId="337" xr:uid="{00000000-0005-0000-0000-000051010000}"/>
    <cellStyle name="Hivatkozott cella" xfId="70" xr:uid="{00000000-0005-0000-0000-000046000000}"/>
    <cellStyle name="Incorrecto" xfId="71" xr:uid="{00000000-0005-0000-0000-000047000000}"/>
    <cellStyle name="Input 2" xfId="338" xr:uid="{00000000-0005-0000-0000-000052010000}"/>
    <cellStyle name="Jegyzet" xfId="72" xr:uid="{00000000-0005-0000-0000-000048000000}"/>
    <cellStyle name="Jelölőszín (1)" xfId="73" xr:uid="{00000000-0005-0000-0000-000049000000}"/>
    <cellStyle name="Jelölőszín (2)" xfId="74" xr:uid="{00000000-0005-0000-0000-00004A000000}"/>
    <cellStyle name="Jelölőszín (3)" xfId="75" xr:uid="{00000000-0005-0000-0000-00004B000000}"/>
    <cellStyle name="Jelölőszín (4)" xfId="76" xr:uid="{00000000-0005-0000-0000-00004C000000}"/>
    <cellStyle name="Jelölőszín (5)" xfId="77" xr:uid="{00000000-0005-0000-0000-00004D000000}"/>
    <cellStyle name="Jelölőszín (6)" xfId="78" xr:uid="{00000000-0005-0000-0000-00004E000000}"/>
    <cellStyle name="Jó" xfId="79" xr:uid="{00000000-0005-0000-0000-00004F000000}"/>
    <cellStyle name="Kategoria Pilota danych" xfId="80" xr:uid="{00000000-0005-0000-0000-000050000000}"/>
    <cellStyle name="Kimenet" xfId="81" xr:uid="{00000000-0005-0000-0000-000051000000}"/>
    <cellStyle name="Lien hypertexte 2" xfId="213" xr:uid="{00000000-0005-0000-0000-0000D5000000}"/>
    <cellStyle name="Linked Cell 2" xfId="339" xr:uid="{00000000-0005-0000-0000-000053010000}"/>
    <cellStyle name="Magyarázó szöveg" xfId="82" xr:uid="{00000000-0005-0000-0000-000052000000}"/>
    <cellStyle name="Migliaia_Foglio1" xfId="83" xr:uid="{00000000-0005-0000-0000-000053000000}"/>
    <cellStyle name="Milliers [0] 2" xfId="177" xr:uid="{00000000-0005-0000-0000-0000B1000000}"/>
    <cellStyle name="Milliers 10" xfId="184" xr:uid="{00000000-0005-0000-0000-0000B8000000}"/>
    <cellStyle name="Milliers 10 2" xfId="225" xr:uid="{00000000-0005-0000-0000-0000E1000000}"/>
    <cellStyle name="Milliers 10 2 2" xfId="250" xr:uid="{00000000-0005-0000-0000-0000FA000000}"/>
    <cellStyle name="Milliers 10 2 2 2" xfId="291" xr:uid="{00000000-0005-0000-0000-000023010000}"/>
    <cellStyle name="Milliers 10 2 3" xfId="271" xr:uid="{00000000-0005-0000-0000-00000F010000}"/>
    <cellStyle name="Milliers 10 3" xfId="353" xr:uid="{00000000-0005-0000-0000-000061010000}"/>
    <cellStyle name="Milliers 11" xfId="203" xr:uid="{00000000-0005-0000-0000-0000CB000000}"/>
    <cellStyle name="Milliers 11 2" xfId="235" xr:uid="{00000000-0005-0000-0000-0000EB000000}"/>
    <cellStyle name="Milliers 11 2 2" xfId="260" xr:uid="{00000000-0005-0000-0000-000004010000}"/>
    <cellStyle name="Milliers 11 2 2 2" xfId="301" xr:uid="{00000000-0005-0000-0000-00002D010000}"/>
    <cellStyle name="Milliers 11 2 3" xfId="281" xr:uid="{00000000-0005-0000-0000-000019010000}"/>
    <cellStyle name="Milliers 11 3" xfId="363" xr:uid="{00000000-0005-0000-0000-00006B010000}"/>
    <cellStyle name="Milliers 12" xfId="201" xr:uid="{00000000-0005-0000-0000-0000C9000000}"/>
    <cellStyle name="Milliers 12 2" xfId="233" xr:uid="{00000000-0005-0000-0000-0000E9000000}"/>
    <cellStyle name="Milliers 12 2 2" xfId="258" xr:uid="{00000000-0005-0000-0000-000002010000}"/>
    <cellStyle name="Milliers 12 2 2 2" xfId="299" xr:uid="{00000000-0005-0000-0000-00002B010000}"/>
    <cellStyle name="Milliers 12 2 3" xfId="279" xr:uid="{00000000-0005-0000-0000-000017010000}"/>
    <cellStyle name="Milliers 12 3" xfId="361" xr:uid="{00000000-0005-0000-0000-000069010000}"/>
    <cellStyle name="Milliers 13" xfId="197" xr:uid="{00000000-0005-0000-0000-0000C5000000}"/>
    <cellStyle name="Milliers 13 2" xfId="229" xr:uid="{00000000-0005-0000-0000-0000E5000000}"/>
    <cellStyle name="Milliers 13 2 2" xfId="254" xr:uid="{00000000-0005-0000-0000-0000FE000000}"/>
    <cellStyle name="Milliers 13 2 2 2" xfId="295" xr:uid="{00000000-0005-0000-0000-000027010000}"/>
    <cellStyle name="Milliers 13 2 3" xfId="275" xr:uid="{00000000-0005-0000-0000-000013010000}"/>
    <cellStyle name="Milliers 13 3" xfId="357" xr:uid="{00000000-0005-0000-0000-000065010000}"/>
    <cellStyle name="Milliers 14" xfId="205" xr:uid="{00000000-0005-0000-0000-0000CD000000}"/>
    <cellStyle name="Milliers 14 2" xfId="236" xr:uid="{00000000-0005-0000-0000-0000EC000000}"/>
    <cellStyle name="Milliers 14 2 2" xfId="261" xr:uid="{00000000-0005-0000-0000-000005010000}"/>
    <cellStyle name="Milliers 14 2 2 2" xfId="302" xr:uid="{00000000-0005-0000-0000-00002E010000}"/>
    <cellStyle name="Milliers 14 2 3" xfId="282" xr:uid="{00000000-0005-0000-0000-00001A010000}"/>
    <cellStyle name="Milliers 14 3" xfId="243" xr:uid="{00000000-0005-0000-0000-0000F3000000}"/>
    <cellStyle name="Milliers 14 3 2" xfId="284" xr:uid="{00000000-0005-0000-0000-00001C010000}"/>
    <cellStyle name="Milliers 14 4" xfId="264" xr:uid="{00000000-0005-0000-0000-000008010000}"/>
    <cellStyle name="Milliers 14 5" xfId="364" xr:uid="{00000000-0005-0000-0000-00006C010000}"/>
    <cellStyle name="Milliers 14 6" xfId="211" xr:uid="{00000000-0005-0000-0000-0000D3000000}"/>
    <cellStyle name="Milliers 15" xfId="206" xr:uid="{00000000-0005-0000-0000-0000CE000000}"/>
    <cellStyle name="Milliers 15 2" xfId="237" xr:uid="{00000000-0005-0000-0000-0000ED000000}"/>
    <cellStyle name="Milliers 15 2 2" xfId="262" xr:uid="{00000000-0005-0000-0000-000006010000}"/>
    <cellStyle name="Milliers 15 2 2 2" xfId="303" xr:uid="{00000000-0005-0000-0000-00002F010000}"/>
    <cellStyle name="Milliers 15 2 3" xfId="283" xr:uid="{00000000-0005-0000-0000-00001B010000}"/>
    <cellStyle name="Milliers 15 3" xfId="244" xr:uid="{00000000-0005-0000-0000-0000F4000000}"/>
    <cellStyle name="Milliers 15 3 2" xfId="285" xr:uid="{00000000-0005-0000-0000-00001D010000}"/>
    <cellStyle name="Milliers 15 4" xfId="265" xr:uid="{00000000-0005-0000-0000-000009010000}"/>
    <cellStyle name="Milliers 15 5" xfId="365" xr:uid="{00000000-0005-0000-0000-00006D010000}"/>
    <cellStyle name="Milliers 15 6" xfId="212" xr:uid="{00000000-0005-0000-0000-0000D4000000}"/>
    <cellStyle name="Milliers 16" xfId="2" xr:uid="{00000000-0005-0000-0000-000002000000}"/>
    <cellStyle name="Milliers 16 2" xfId="348" xr:uid="{00000000-0005-0000-0000-00005C010000}"/>
    <cellStyle name="Milliers 16 3" xfId="218" xr:uid="{00000000-0005-0000-0000-0000DA000000}"/>
    <cellStyle name="Milliers 17" xfId="181" xr:uid="{00000000-0005-0000-0000-0000B5000000}"/>
    <cellStyle name="Milliers 18" xfId="207" xr:uid="{00000000-0005-0000-0000-0000CF000000}"/>
    <cellStyle name="Milliers 19" xfId="208" xr:uid="{00000000-0005-0000-0000-0000D0000000}"/>
    <cellStyle name="Milliers 2" xfId="131" xr:uid="{00000000-0005-0000-0000-000083000000}"/>
    <cellStyle name="Milliers 20" xfId="209" xr:uid="{00000000-0005-0000-0000-0000D1000000}"/>
    <cellStyle name="Milliers 3" xfId="179" xr:uid="{00000000-0005-0000-0000-0000B3000000}"/>
    <cellStyle name="Milliers 4" xfId="193" xr:uid="{00000000-0005-0000-0000-0000C1000000}"/>
    <cellStyle name="Milliers 5" xfId="194" xr:uid="{00000000-0005-0000-0000-0000C2000000}"/>
    <cellStyle name="Milliers 5 2" xfId="227" xr:uid="{00000000-0005-0000-0000-0000E3000000}"/>
    <cellStyle name="Milliers 5 2 2" xfId="252" xr:uid="{00000000-0005-0000-0000-0000FC000000}"/>
    <cellStyle name="Milliers 5 2 2 2" xfId="293" xr:uid="{00000000-0005-0000-0000-000025010000}"/>
    <cellStyle name="Milliers 5 2 3" xfId="273" xr:uid="{00000000-0005-0000-0000-000011010000}"/>
    <cellStyle name="Milliers 5 3" xfId="355" xr:uid="{00000000-0005-0000-0000-000063010000}"/>
    <cellStyle name="Milliers 6" xfId="200" xr:uid="{00000000-0005-0000-0000-0000C8000000}"/>
    <cellStyle name="Milliers 6 2" xfId="232" xr:uid="{00000000-0005-0000-0000-0000E8000000}"/>
    <cellStyle name="Milliers 6 2 2" xfId="257" xr:uid="{00000000-0005-0000-0000-000001010000}"/>
    <cellStyle name="Milliers 6 2 2 2" xfId="298" xr:uid="{00000000-0005-0000-0000-00002A010000}"/>
    <cellStyle name="Milliers 6 2 3" xfId="278" xr:uid="{00000000-0005-0000-0000-000016010000}"/>
    <cellStyle name="Milliers 6 3" xfId="360" xr:uid="{00000000-0005-0000-0000-000068010000}"/>
    <cellStyle name="Milliers 7" xfId="199" xr:uid="{00000000-0005-0000-0000-0000C7000000}"/>
    <cellStyle name="Milliers 7 2" xfId="231" xr:uid="{00000000-0005-0000-0000-0000E7000000}"/>
    <cellStyle name="Milliers 7 2 2" xfId="256" xr:uid="{00000000-0005-0000-0000-000000010000}"/>
    <cellStyle name="Milliers 7 2 2 2" xfId="297" xr:uid="{00000000-0005-0000-0000-000029010000}"/>
    <cellStyle name="Milliers 7 2 3" xfId="277" xr:uid="{00000000-0005-0000-0000-000015010000}"/>
    <cellStyle name="Milliers 7 3" xfId="359" xr:uid="{00000000-0005-0000-0000-000067010000}"/>
    <cellStyle name="Milliers 8" xfId="202" xr:uid="{00000000-0005-0000-0000-0000CA000000}"/>
    <cellStyle name="Milliers 8 2" xfId="234" xr:uid="{00000000-0005-0000-0000-0000EA000000}"/>
    <cellStyle name="Milliers 8 2 2" xfId="259" xr:uid="{00000000-0005-0000-0000-000003010000}"/>
    <cellStyle name="Milliers 8 2 2 2" xfId="300" xr:uid="{00000000-0005-0000-0000-00002C010000}"/>
    <cellStyle name="Milliers 8 2 3" xfId="280" xr:uid="{00000000-0005-0000-0000-000018010000}"/>
    <cellStyle name="Milliers 8 3" xfId="362" xr:uid="{00000000-0005-0000-0000-00006A010000}"/>
    <cellStyle name="Milliers 9" xfId="198" xr:uid="{00000000-0005-0000-0000-0000C6000000}"/>
    <cellStyle name="Milliers 9 2" xfId="230" xr:uid="{00000000-0005-0000-0000-0000E6000000}"/>
    <cellStyle name="Milliers 9 2 2" xfId="255" xr:uid="{00000000-0005-0000-0000-0000FF000000}"/>
    <cellStyle name="Milliers 9 2 2 2" xfId="296" xr:uid="{00000000-0005-0000-0000-000028010000}"/>
    <cellStyle name="Milliers 9 2 3" xfId="276" xr:uid="{00000000-0005-0000-0000-000014010000}"/>
    <cellStyle name="Milliers 9 3" xfId="358" xr:uid="{00000000-0005-0000-0000-000066010000}"/>
    <cellStyle name="Monétaire 2" xfId="84" xr:uid="{00000000-0005-0000-0000-000054000000}"/>
    <cellStyle name="Monétaire 2 2" xfId="160" xr:uid="{00000000-0005-0000-0000-0000A0000000}"/>
    <cellStyle name="Monétaire 2 2 2" xfId="222" xr:uid="{00000000-0005-0000-0000-0000DE000000}"/>
    <cellStyle name="Monétaire 2 2 2 2" xfId="248" xr:uid="{00000000-0005-0000-0000-0000F8000000}"/>
    <cellStyle name="Monétaire 2 2 2 2 2" xfId="289" xr:uid="{00000000-0005-0000-0000-000021010000}"/>
    <cellStyle name="Monétaire 2 2 2 3" xfId="269" xr:uid="{00000000-0005-0000-0000-00000D010000}"/>
    <cellStyle name="Monétaire 2 2 3" xfId="352" xr:uid="{00000000-0005-0000-0000-000060010000}"/>
    <cellStyle name="Monétaire 2 3" xfId="189" xr:uid="{00000000-0005-0000-0000-0000BD000000}"/>
    <cellStyle name="Monétaire 2 3 2" xfId="226" xr:uid="{00000000-0005-0000-0000-0000E2000000}"/>
    <cellStyle name="Monétaire 2 3 2 2" xfId="251" xr:uid="{00000000-0005-0000-0000-0000FB000000}"/>
    <cellStyle name="Monétaire 2 3 2 2 2" xfId="292" xr:uid="{00000000-0005-0000-0000-000024010000}"/>
    <cellStyle name="Monétaire 2 3 2 3" xfId="272" xr:uid="{00000000-0005-0000-0000-000010010000}"/>
    <cellStyle name="Monétaire 2 3 3" xfId="354" xr:uid="{00000000-0005-0000-0000-000062010000}"/>
    <cellStyle name="Monétaire 2 4" xfId="220" xr:uid="{00000000-0005-0000-0000-0000DC000000}"/>
    <cellStyle name="Monétaire 2 4 2" xfId="246" xr:uid="{00000000-0005-0000-0000-0000F6000000}"/>
    <cellStyle name="Monétaire 2 4 2 2" xfId="287" xr:uid="{00000000-0005-0000-0000-00001F010000}"/>
    <cellStyle name="Monétaire 2 4 3" xfId="267" xr:uid="{00000000-0005-0000-0000-00000B010000}"/>
    <cellStyle name="Monétaire 2 5" xfId="350" xr:uid="{00000000-0005-0000-0000-00005E010000}"/>
    <cellStyle name="Monétaire 3" xfId="196" xr:uid="{00000000-0005-0000-0000-0000C4000000}"/>
    <cellStyle name="Monétaire 3 2" xfId="228" xr:uid="{00000000-0005-0000-0000-0000E4000000}"/>
    <cellStyle name="Monétaire 3 2 2" xfId="253" xr:uid="{00000000-0005-0000-0000-0000FD000000}"/>
    <cellStyle name="Monétaire 3 2 2 2" xfId="294" xr:uid="{00000000-0005-0000-0000-000026010000}"/>
    <cellStyle name="Monétaire 3 2 3" xfId="274" xr:uid="{00000000-0005-0000-0000-000012010000}"/>
    <cellStyle name="Monétaire 3 3" xfId="356" xr:uid="{00000000-0005-0000-0000-000064010000}"/>
    <cellStyle name="Monétaire 4" xfId="224" xr:uid="{00000000-0005-0000-0000-0000E0000000}"/>
    <cellStyle name="Monétaire 4 2" xfId="249" xr:uid="{00000000-0005-0000-0000-0000F9000000}"/>
    <cellStyle name="Monétaire 4 2 2" xfId="290" xr:uid="{00000000-0005-0000-0000-000022010000}"/>
    <cellStyle name="Monétaire 4 3" xfId="270" xr:uid="{00000000-0005-0000-0000-00000E010000}"/>
    <cellStyle name="Narożnik Pilota danych" xfId="85" xr:uid="{00000000-0005-0000-0000-000055000000}"/>
    <cellStyle name="Neutral 2" xfId="161" xr:uid="{00000000-0005-0000-0000-0000A1000000}"/>
    <cellStyle name="Neutral 2 2" xfId="174" xr:uid="{00000000-0005-0000-0000-0000AE000000}"/>
    <cellStyle name="Neutral 2 3" xfId="340" xr:uid="{00000000-0005-0000-0000-000054010000}"/>
    <cellStyle name="No-definido" xfId="86" xr:uid="{00000000-0005-0000-0000-000056000000}"/>
    <cellStyle name="Normal" xfId="0" builtinId="0"/>
    <cellStyle name="Normal 10" xfId="87" xr:uid="{00000000-0005-0000-0000-000057000000}"/>
    <cellStyle name="Normal 10 2" xfId="195" xr:uid="{00000000-0005-0000-0000-0000C3000000}"/>
    <cellStyle name="Normal 10 3" xfId="185" xr:uid="{00000000-0005-0000-0000-0000B9000000}"/>
    <cellStyle name="Normal 11" xfId="88" xr:uid="{00000000-0005-0000-0000-000058000000}"/>
    <cellStyle name="Normal 12" xfId="89" xr:uid="{00000000-0005-0000-0000-000059000000}"/>
    <cellStyle name="Normal 13" xfId="90" xr:uid="{00000000-0005-0000-0000-00005A000000}"/>
    <cellStyle name="Normal 14" xfId="214" xr:uid="{00000000-0005-0000-0000-0000D6000000}"/>
    <cellStyle name="Normal 15" xfId="242" xr:uid="{00000000-0005-0000-0000-0000F2000000}"/>
    <cellStyle name="Normal 16" xfId="263" xr:uid="{00000000-0005-0000-0000-000007010000}"/>
    <cellStyle name="Normal 17" xfId="91" xr:uid="{00000000-0005-0000-0000-00005B000000}"/>
    <cellStyle name="Normal 18" xfId="92" xr:uid="{00000000-0005-0000-0000-00005C000000}"/>
    <cellStyle name="Normal 19" xfId="93" xr:uid="{00000000-0005-0000-0000-00005D000000}"/>
    <cellStyle name="Normal 2" xfId="1" xr:uid="{00000000-0005-0000-0000-000001000000}"/>
    <cellStyle name="Normal 2 2" xfId="94" xr:uid="{00000000-0005-0000-0000-00005E000000}"/>
    <cellStyle name="Normal 2 2 2" xfId="95" xr:uid="{00000000-0005-0000-0000-00005F000000}"/>
    <cellStyle name="Normal 2 2 2 2" xfId="241" xr:uid="{00000000-0005-0000-0000-0000F1000000}"/>
    <cellStyle name="Normal 2 2 3" xfId="163" xr:uid="{00000000-0005-0000-0000-0000A3000000}"/>
    <cellStyle name="Normal 2 2 4" xfId="162" xr:uid="{00000000-0005-0000-0000-0000A2000000}"/>
    <cellStyle name="Normal 2 3" xfId="96" xr:uid="{00000000-0005-0000-0000-000060000000}"/>
    <cellStyle name="Normal 2 3 2" xfId="164" xr:uid="{00000000-0005-0000-0000-0000A4000000}"/>
    <cellStyle name="Normal 2 4" xfId="341" xr:uid="{00000000-0005-0000-0000-000055010000}"/>
    <cellStyle name="Normal 20" xfId="97" xr:uid="{00000000-0005-0000-0000-000061000000}"/>
    <cellStyle name="Normal 21" xfId="98" xr:uid="{00000000-0005-0000-0000-000062000000}"/>
    <cellStyle name="Normal 3" xfId="99" xr:uid="{00000000-0005-0000-0000-000063000000}"/>
    <cellStyle name="Normal 3 2" xfId="132" xr:uid="{00000000-0005-0000-0000-000084000000}"/>
    <cellStyle name="Normal 3 2 2" xfId="204" xr:uid="{00000000-0005-0000-0000-0000CC000000}"/>
    <cellStyle name="Normal 3 2 2 2 2 2" xfId="216" xr:uid="{00000000-0005-0000-0000-0000D8000000}"/>
    <cellStyle name="Normal 3 2 2 3 2" xfId="215" xr:uid="{00000000-0005-0000-0000-0000D7000000}"/>
    <cellStyle name="Normal 3 2 2 4" xfId="217" xr:uid="{00000000-0005-0000-0000-0000D9000000}"/>
    <cellStyle name="Normal 3 3" xfId="186" xr:uid="{00000000-0005-0000-0000-0000BA000000}"/>
    <cellStyle name="Normal 3 3 2" xfId="239" xr:uid="{00000000-0005-0000-0000-0000EF000000}"/>
    <cellStyle name="Normal 4" xfId="100" xr:uid="{00000000-0005-0000-0000-000064000000}"/>
    <cellStyle name="Normal 4 2" xfId="130" xr:uid="{00000000-0005-0000-0000-000082000000}"/>
    <cellStyle name="Normal 4 3" xfId="190" xr:uid="{00000000-0005-0000-0000-0000BE000000}"/>
    <cellStyle name="Normal 5" xfId="129" xr:uid="{00000000-0005-0000-0000-000081000000}"/>
    <cellStyle name="Normal 5 2" xfId="165" xr:uid="{00000000-0005-0000-0000-0000A5000000}"/>
    <cellStyle name="Normal 5 3" xfId="342" xr:uid="{00000000-0005-0000-0000-000056010000}"/>
    <cellStyle name="Normal 6" xfId="101" xr:uid="{00000000-0005-0000-0000-000065000000}"/>
    <cellStyle name="Normal 6 2" xfId="188" xr:uid="{00000000-0005-0000-0000-0000BC000000}"/>
    <cellStyle name="Normal 7" xfId="133" xr:uid="{00000000-0005-0000-0000-000085000000}"/>
    <cellStyle name="Normal 7 2" xfId="166" xr:uid="{00000000-0005-0000-0000-0000A6000000}"/>
    <cellStyle name="Normal 8" xfId="134" xr:uid="{00000000-0005-0000-0000-000086000000}"/>
    <cellStyle name="Normal 8 2" xfId="175" xr:uid="{00000000-0005-0000-0000-0000AF000000}"/>
    <cellStyle name="Normal 9" xfId="176" xr:uid="{00000000-0005-0000-0000-0000B0000000}"/>
    <cellStyle name="Normal 9 2" xfId="223" xr:uid="{00000000-0005-0000-0000-0000DF000000}"/>
    <cellStyle name="Normál_Munka1" xfId="102" xr:uid="{00000000-0005-0000-0000-000066000000}"/>
    <cellStyle name="Normale_BDGWKFEB" xfId="103" xr:uid="{00000000-0005-0000-0000-000067000000}"/>
    <cellStyle name="normální_Transport demand" xfId="104" xr:uid="{00000000-0005-0000-0000-000068000000}"/>
    <cellStyle name="Normalny_14 04 2008" xfId="105" xr:uid="{00000000-0005-0000-0000-000069000000}"/>
    <cellStyle name="Notas" xfId="106" xr:uid="{00000000-0005-0000-0000-00006A000000}"/>
    <cellStyle name="Notas 2" xfId="167" xr:uid="{00000000-0005-0000-0000-0000A7000000}"/>
    <cellStyle name="Note 2" xfId="343" xr:uid="{00000000-0005-0000-0000-000057010000}"/>
    <cellStyle name="Összesen" xfId="107" xr:uid="{00000000-0005-0000-0000-00006B000000}"/>
    <cellStyle name="Output 2" xfId="168" xr:uid="{00000000-0005-0000-0000-0000A8000000}"/>
    <cellStyle name="Output 2 2" xfId="344" xr:uid="{00000000-0005-0000-0000-000058010000}"/>
    <cellStyle name="Pole Pilota danych" xfId="108" xr:uid="{00000000-0005-0000-0000-00006C000000}"/>
    <cellStyle name="Pourcentage 2" xfId="109" xr:uid="{00000000-0005-0000-0000-00006D000000}"/>
    <cellStyle name="Pourcentage 2 2" xfId="169" xr:uid="{00000000-0005-0000-0000-0000A9000000}"/>
    <cellStyle name="Pourcentage 2 3" xfId="187" xr:uid="{00000000-0005-0000-0000-0000BB000000}"/>
    <cellStyle name="Pourcentage 3" xfId="178" xr:uid="{00000000-0005-0000-0000-0000B2000000}"/>
    <cellStyle name="Pourcentage 3 2" xfId="192" xr:uid="{00000000-0005-0000-0000-0000C0000000}"/>
    <cellStyle name="Pourcentage 4" xfId="210" xr:uid="{00000000-0005-0000-0000-0000D2000000}"/>
    <cellStyle name="Rossz" xfId="110" xr:uid="{00000000-0005-0000-0000-00006E000000}"/>
    <cellStyle name="Salida" xfId="111" xr:uid="{00000000-0005-0000-0000-00006F000000}"/>
    <cellStyle name="Semleges" xfId="112" xr:uid="{00000000-0005-0000-0000-000070000000}"/>
    <cellStyle name="Standard 2" xfId="3" xr:uid="{00000000-0005-0000-0000-000003000000}"/>
    <cellStyle name="Standard 2 2" xfId="180" xr:uid="{00000000-0005-0000-0000-0000B4000000}"/>
    <cellStyle name="Standard_Mappe1" xfId="113" xr:uid="{00000000-0005-0000-0000-000071000000}"/>
    <cellStyle name="Style 1" xfId="114" xr:uid="{00000000-0005-0000-0000-000072000000}"/>
    <cellStyle name="Style 1 2" xfId="170" xr:uid="{00000000-0005-0000-0000-0000AA000000}"/>
    <cellStyle name="Számítás" xfId="115" xr:uid="{00000000-0005-0000-0000-000073000000}"/>
    <cellStyle name="Texto de advertencia" xfId="116" xr:uid="{00000000-0005-0000-0000-000074000000}"/>
    <cellStyle name="Texto explicativo" xfId="117" xr:uid="{00000000-0005-0000-0000-000075000000}"/>
    <cellStyle name="Title 2" xfId="171" xr:uid="{00000000-0005-0000-0000-0000AB000000}"/>
    <cellStyle name="Title 2 2" xfId="345" xr:uid="{00000000-0005-0000-0000-000059010000}"/>
    <cellStyle name="Título" xfId="118" xr:uid="{00000000-0005-0000-0000-000076000000}"/>
    <cellStyle name="Título 1" xfId="119" xr:uid="{00000000-0005-0000-0000-000077000000}"/>
    <cellStyle name="Título 2" xfId="120" xr:uid="{00000000-0005-0000-0000-000078000000}"/>
    <cellStyle name="Título 3" xfId="121" xr:uid="{00000000-0005-0000-0000-000079000000}"/>
    <cellStyle name="Total 2" xfId="172" xr:uid="{00000000-0005-0000-0000-0000AC000000}"/>
    <cellStyle name="Total 2 2" xfId="346" xr:uid="{00000000-0005-0000-0000-00005A010000}"/>
    <cellStyle name="Tytuł Pilota danych" xfId="122" xr:uid="{00000000-0005-0000-0000-00007A000000}"/>
    <cellStyle name="Valuta (0)_Foglio1" xfId="123" xr:uid="{00000000-0005-0000-0000-00007B000000}"/>
    <cellStyle name="Valuta_Foglio1" xfId="124" xr:uid="{00000000-0005-0000-0000-00007C000000}"/>
    <cellStyle name="Währung [0]" xfId="125" xr:uid="{00000000-0005-0000-0000-00007D000000}"/>
    <cellStyle name="Währung [0] 2" xfId="173" xr:uid="{00000000-0005-0000-0000-0000AD000000}"/>
    <cellStyle name="Währung_Tarif Vollgut NEU TEST" xfId="126" xr:uid="{00000000-0005-0000-0000-00007E000000}"/>
    <cellStyle name="Warning Text 2" xfId="347" xr:uid="{00000000-0005-0000-0000-00005B010000}"/>
    <cellStyle name="Wartość Pilota danych" xfId="127" xr:uid="{00000000-0005-0000-0000-00007F000000}"/>
    <cellStyle name="Wynik Pilota danych" xfId="128" xr:uid="{00000000-0005-0000-0000-000080000000}"/>
    <cellStyle name="標準 2" xfId="240" xr:uid="{00000000-0005-0000-0000-0000F0000000}"/>
  </cellStyles>
  <dxfs count="521"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</font>
      <fill>
        <patternFill patternType="solid">
          <fgColor rgb="FFFFC000"/>
          <bgColor theme="9" tint="-0.24994659260841701"/>
        </patternFill>
      </fill>
    </dxf>
    <dxf>
      <font>
        <b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>
          <fgColor indexed="64"/>
          <bgColor auto="1"/>
        </patternFill>
      </fill>
      <alignment horizontal="center" vertical="center"/>
      <protection locked="1" hidden="0"/>
    </dxf>
    <dxf>
      <border outline="0">
        <bottom style="thin">
          <color indexed="64"/>
        </bottom>
      </border>
    </dxf>
    <dxf>
      <protection locked="1" hidden="0"/>
    </dxf>
    <dxf>
      <numFmt numFmtId="3" formatCode="#,##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4" formatCode="#,##0.00"/>
      <fill>
        <patternFill>
          <fgColor indexed="64"/>
          <bgColor indexed="65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4" formatCode="#,##0.00"/>
      <fill>
        <patternFill>
          <fgColor indexed="64"/>
          <bgColor indexed="65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4" formatCode="#,##0.00"/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numFmt numFmtId="0" formatCode="General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vertic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fill>
        <patternFill>
          <fgColor indexed="64"/>
          <bgColor auto="1"/>
        </patternFill>
      </fill>
      <alignment horizont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 vertical="center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  <protection locked="1" hidden="0"/>
    </dxf>
    <dxf>
      <numFmt numFmtId="0" formatCode="General"/>
      <alignment horizontal="center" vertical="center" wrapText="1"/>
      <border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center" vertical="center" wrapText="1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/>
      <border>
        <left/>
        <right style="thin">
          <color indexed="64"/>
        </right>
        <top/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2"/>
        </patternFill>
      </fill>
      <alignment horizontal="center" vertical="center"/>
      <protection locked="1" hidden="0"/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protection locked="1" hidden="0"/>
    </dxf>
    <dxf>
      <protection locked="1" hidden="0"/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  <protection locked="1" hidden="0"/>
    </dxf>
    <dxf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0" formatCode="General"/>
      <fill>
        <patternFill>
          <fgColor indexed="64"/>
          <bgColor auto="1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/>
        <vertical style="thin">
          <color indexed="64"/>
        </vertical>
      </border>
      <protection locked="1" hidden="0"/>
    </dxf>
    <dxf>
      <numFmt numFmtId="0" formatCode="General"/>
      <fill>
        <patternFill>
          <fgColor indexed="64"/>
          <bgColor auto="1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 tint="-9.9978637043366805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protection locked="1" hidden="0"/>
    </dxf>
    <dxf>
      <alignment horizontal="center" vertical="center"/>
      <protection locked="1" hidden="0"/>
    </dxf>
    <dxf>
      <protection locked="1" hidden="0"/>
    </dxf>
    <dxf>
      <alignment horizontal="general" vertical="center"/>
      <protection locked="1" hidden="0"/>
    </dxf>
    <dxf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9" formatCode="dd/mm/yyyy"/>
      <alignment horizontal="center" vertic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9" formatCode="dd/mm/yyyy"/>
      <alignment horizontal="center" vertic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theme="2"/>
        </patternFill>
      </fill>
      <alignment horizontal="general" vertic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protection locked="1" hidden="0"/>
    </dxf>
    <dxf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>
        <bottom style="medium">
          <color indexed="64"/>
        </bottom>
      </border>
    </dxf>
    <dxf>
      <protection locked="1" hidden="0"/>
    </dxf>
    <dxf>
      <numFmt numFmtId="165" formatCode="0000000000"/>
      <alignment horizontal="general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protection locked="1" hidden="0"/>
    </dxf>
    <dxf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protection locked="1" hidden="0"/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000000000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numFmt numFmtId="165" formatCode="0000000000"/>
      <alignment horizontal="righ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numFmt numFmtId="0" formatCode="General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000000000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>
          <fgColor indexed="64"/>
          <bgColor indexed="65"/>
        </patternFill>
      </fill>
      <alignment horizontal="center" vertical="center"/>
      <border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right style="medium">
          <color rgb="FF000000"/>
        </right>
      </border>
    </dxf>
    <dxf>
      <fill>
        <patternFill patternType="solid">
          <fgColor rgb="FF000000"/>
          <bgColor rgb="FFE7E6E6"/>
        </patternFill>
      </fill>
      <alignment horizontal="center" vertical="bottom"/>
      <protection locked="1" hidden="0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protection locked="1" hidden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FF0000"/>
      </font>
    </dxf>
    <dxf>
      <font>
        <strike/>
        <color rgb="FFFF0000"/>
      </font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indexed="65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/>
      <border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indexed="64"/>
          <bgColor indexed="65"/>
        </patternFill>
      </fill>
      <alignment horizontal="center" vertical="center"/>
      <border>
        <left style="medium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fill>
        <patternFill>
          <fgColor indexed="64"/>
          <bgColor theme="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rgb="FF000000"/>
        </right>
      </border>
    </dxf>
    <dxf>
      <fill>
        <patternFill patternType="solid">
          <fgColor rgb="FF000000"/>
          <bgColor rgb="FFE7E6E6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</dxf>
    <dxf>
      <font>
        <color rgb="FFFF0000"/>
      </font>
    </dxf>
    <dxf>
      <font>
        <strike/>
        <color rgb="FFFF0000"/>
      </font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</font>
      <fill>
        <patternFill patternType="solid">
          <fgColor rgb="FFFFC000"/>
          <bgColor theme="9" tint="-0.24994659260841701"/>
        </patternFill>
      </fill>
    </dxf>
    <dxf>
      <font>
        <b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</font>
      <fill>
        <patternFill patternType="solid">
          <fgColor rgb="FFFFC000"/>
          <bgColor theme="9" tint="-0.24994659260841701"/>
        </patternFill>
      </fill>
    </dxf>
    <dxf>
      <font>
        <b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center"/>
      <border>
        <left/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5" formatCode="0000000000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>
          <fgColor indexed="64"/>
          <bgColor indexed="65"/>
        </patternFill>
      </fill>
      <alignment horizontal="center" vertical="center"/>
      <border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########"/>
      <fill>
        <patternFill patternType="solid">
          <fgColor indexed="64"/>
          <bgColor theme="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theme="2"/>
        </patternFill>
      </fill>
      <alignment horizontal="center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>
          <fgColor indexed="64"/>
          <bgColor theme="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right style="medium">
          <color indexed="64"/>
        </right>
      </border>
    </dxf>
    <dxf>
      <fill>
        <patternFill patternType="solid">
          <fgColor indexed="64"/>
          <bgColor theme="2"/>
        </patternFill>
      </fill>
      <alignment horizontal="center" vertical="bottom"/>
      <protection locked="1" hidden="0"/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wrapText="1"/>
      <protection locked="1" hidden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theme="5" tint="-0.24994659260841701"/>
          <bgColor theme="5" tint="-0.24994659260841701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</font>
      <fill>
        <patternFill patternType="solid">
          <fgColor rgb="FFFFC000"/>
          <bgColor theme="9" tint="-0.24994659260841701"/>
        </patternFill>
      </fill>
    </dxf>
    <dxf>
      <font>
        <b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theme="5" tint="-0.24994659260841701"/>
          <bgColor theme="5" tint="-0.24994659260841701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</font>
      <fill>
        <patternFill patternType="solid">
          <fgColor rgb="FFFFC000"/>
          <bgColor theme="9" tint="-0.24994659260841701"/>
        </patternFill>
      </fill>
    </dxf>
    <dxf>
      <font>
        <b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-0.499984740745262"/>
        <name val="Cambria"/>
        <family val="1"/>
      </font>
      <fill>
        <patternFill patternType="solid">
          <fgColor rgb="FFFFC000"/>
          <bgColor theme="4" tint="-0.49998474074526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9" tint="-0.24994659260841701"/>
        <name val="Cambria"/>
        <family val="1"/>
      </font>
      <fill>
        <patternFill patternType="solid">
          <fgColor rgb="FFFFC000"/>
          <bgColor theme="9" tint="-0.24994659260841701"/>
        </patternFill>
      </fill>
    </dxf>
    <dxf>
      <font>
        <b/>
        <color theme="0" tint="-4.9989318521683403E-2"/>
      </font>
      <fill>
        <patternFill>
          <bgColor rgb="FFFF0000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theme="0" tint="-0.499984740745262"/>
        <name val="Cambria"/>
        <family val="1"/>
      </font>
      <fill>
        <patternFill patternType="solid">
          <fgColor rgb="FFFFC000"/>
          <bgColor theme="0" tint="-0.499984740745262"/>
        </patternFill>
      </fill>
    </dxf>
    <dxf>
      <font>
        <color theme="5" tint="-0.24994659260841701"/>
        <name val="Cambria"/>
        <family val="1"/>
      </font>
      <fill>
        <patternFill patternType="solid">
          <fgColor rgb="FFFFC000"/>
          <bgColor theme="5" tint="-0.24994659260841701"/>
        </patternFill>
      </fill>
    </dxf>
    <dxf>
      <font>
        <color rgb="FFC00000"/>
        <name val="Cambria"/>
        <family val="1"/>
      </font>
      <fill>
        <patternFill patternType="solid">
          <fgColor rgb="FFFFC000"/>
          <bgColor rgb="FFC00000"/>
        </patternFill>
      </fill>
    </dxf>
    <dxf>
      <font>
        <color rgb="FF7030A0"/>
        <name val="Cambria"/>
        <family val="1"/>
      </font>
      <fill>
        <patternFill patternType="solid">
          <fgColor rgb="FFFFC000"/>
          <bgColor rgb="FF7030A0"/>
        </patternFill>
      </fill>
    </dxf>
    <dxf>
      <font>
        <color rgb="FFFFC000"/>
        <name val="Cambria"/>
        <family val="1"/>
      </font>
      <fill>
        <patternFill patternType="solid">
          <fgColor rgb="FFFFC000"/>
          <bgColor rgb="FFFFC000"/>
        </patternFill>
      </fill>
    </dxf>
    <dxf>
      <font>
        <color theme="9" tint="-0.24994659260841701"/>
        <name val="Cambria"/>
        <family val="1"/>
      </font>
      <fill>
        <patternFill patternType="solid">
          <fgColor theme="7" tint="-0.24994659260841701"/>
          <bgColor theme="9" tint="-0.24994659260841701"/>
        </patternFill>
      </fill>
    </dxf>
    <dxf>
      <font>
        <color theme="7" tint="-0.24994659260841701"/>
        <name val="Cambria"/>
        <family val="1"/>
      </font>
      <fill>
        <patternFill patternType="solid">
          <fgColor theme="7" tint="-0.24994659260841701"/>
          <bgColor theme="7" tint="-0.24994659260841701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rgb="FF0070C0"/>
        <name val="Cambria"/>
        <family val="1"/>
      </font>
      <fill>
        <patternFill patternType="solid">
          <fgColor rgb="FFFFC000"/>
          <bgColor rgb="FF0070C0"/>
        </patternFill>
      </fill>
    </dxf>
    <dxf>
      <font>
        <color theme="4" tint="0.39994506668294322"/>
        <name val="Cambria"/>
        <family val="1"/>
      </font>
      <fill>
        <patternFill patternType="solid">
          <fgColor rgb="FFFFC000"/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ouperenault.sharepoint.com/sites/toolvtt/Shared%20Documents/Archive/2024/Tool%20VTT%2020240318%20v2%20-%20Copi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ma actif"/>
      <sheetName val="schema by ID actif"/>
      <sheetName val="VTT actif"/>
      <sheetName val="schema project"/>
      <sheetName val="schema by ID project"/>
      <sheetName val="VTT project"/>
      <sheetName val="Plant_AILN"/>
      <sheetName val="Order"/>
      <sheetName val="DATA BTO"/>
      <sheetName val="DATA ILN"/>
      <sheetName val="DATA Consignee"/>
      <sheetName val="Transport"/>
      <sheetName val="Notice"/>
      <sheetName val="Tool VTT 20240318 v2 - Cop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4:BE400" totalsRowShown="0" headerRowDxfId="413" dataDxfId="412" tableBorderDxfId="411">
  <autoFilter ref="B4:BE400" xr:uid="{00000000-0009-0000-0100-000001000000}"/>
  <tableColumns count="56">
    <tableColumn id="47" xr3:uid="{00000000-0010-0000-0000-00002F000000}" name="Key(ILN - shipper - plant)" dataDxfId="410">
      <calculatedColumnFormula>_xlfn.CONCAT(Tableau1[[#This Row],[Name ILN]],"-",Tableau1[[#This Row],[Name Shipper]],"-",Tableau1[[#This Row],[Name Site]])</calculatedColumnFormula>
    </tableColumn>
    <tableColumn id="1" xr3:uid="{00000000-0010-0000-0000-000001000000}" name="Key(Compte ILN - shipper - POL - plant)" dataDxfId="409">
      <calculatedColumnFormula>_xlfn.CONCAT(Tableau1[[#This Row],[Compte ILN]],"-",Tableau1[[#This Row],[Compte Shipper]],"-",Tableau1[[#This Row],[POL]],"-",Tableau1[[#This Row],[Compte Consignee]])</calculatedColumnFormula>
    </tableColumn>
    <tableColumn id="2" xr3:uid="{00000000-0010-0000-0000-000002000000}" name="Key(Compte ILN - shipper - POL)" dataDxfId="408">
      <calculatedColumnFormula>_xlfn.CONCAT(Tableau1[[#This Row],[Compte ILN]],"-",Tableau1[[#This Row],[Compte Shipper]],"-",Tableau1[[#This Row],[POL]])</calculatedColumnFormula>
    </tableColumn>
    <tableColumn id="3" xr3:uid="{00000000-0010-0000-0000-000003000000}" name="Key(POL - carrier - POD)" dataDxfId="407">
      <calculatedColumnFormula>_xlfn.CONCAT(Tableau1[[#This Row],[POL]],"-",Tableau1[[#This Row],[Carrier]],"-",Tableau1[[#This Row],[POD]])</calculatedColumnFormula>
    </tableColumn>
    <tableColumn id="4" xr3:uid="{00000000-0010-0000-0000-000004000000}" name="Key(ID-Actif)" dataDxfId="406">
      <calculatedColumnFormula>_xlfn.CONCAT(Tableau1[[#This Row],[ID]],"-","Actif")</calculatedColumnFormula>
    </tableColumn>
    <tableColumn id="5" xr3:uid="{00000000-0010-0000-0000-000005000000}" name="Key(POD -PFI- Usine)" dataDxfId="405">
      <calculatedColumnFormula>_xlfn.CONCAT(Tableau1[[#This Row],[POD]],"-",Tableau1[[#This Row],[Code PFI]],"-",Tableau1[[#This Row],[Compte Consignee]])</calculatedColumnFormula>
    </tableColumn>
    <tableColumn id="6" xr3:uid="{00000000-0010-0000-0000-000006000000}" name="log guidelines Key" dataDxfId="404">
      <calculatedColumnFormula>_xlfn.CONCAT(IF(Tableau1[[#This Row],[Name ILN]]=Tableau1[[#This Row],[Name Shipper]],Tableau1[[#This Row],[Name ILN]],Tableau1[[#This Row],[Compte Shipper]]),Tableau1[[#This Row],[POL]],Tableau1[[#This Row],[Name Site]])</calculatedColumnFormula>
    </tableColumn>
    <tableColumn id="7" xr3:uid="{00000000-0010-0000-0000-000007000000}" name="Plant-ILN-shipper-POL-Carrier-POD-PFI" dataDxfId="403">
      <calculatedColumnFormula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calculatedColumnFormula>
    </tableColumn>
    <tableColumn id="49" xr3:uid="{00000000-0010-0000-0000-000031000000}" name="Duplicates" dataDxfId="402">
      <calculatedColumnFormula>IF(COUNTIF(I:I,Tableau1[[#This Row],[Plant-ILN-shipper-POL-Carrier-POD-PFI]])=1,"Non","Oui")</calculatedColumnFormula>
    </tableColumn>
    <tableColumn id="8" xr3:uid="{00000000-0010-0000-0000-000008000000}" name="Country" dataDxfId="401">
      <calculatedColumnFormula>VLOOKUP(Tableau1[[#This Row],[Name Site]],Plant_AILN!A:D,4,FALSE)</calculatedColumnFormula>
    </tableColumn>
    <tableColumn id="9" xr3:uid="{00000000-0010-0000-0000-000009000000}" name="Name Site" dataDxfId="400"/>
    <tableColumn id="10" xr3:uid="{00000000-0010-0000-0000-00000A000000}" name="Compte Consignee" dataDxfId="399">
      <calculatedColumnFormula>VLOOKUP(Tableau1[[#This Row],[Name Site]],Plant_AILN!A:C,3,FALSE)</calculatedColumnFormula>
    </tableColumn>
    <tableColumn id="11" xr3:uid="{00000000-0010-0000-0000-00000B000000}" name="Day Customer Order" dataDxfId="398">
      <calculatedColumnFormula>VLOOKUP(Tableau1[[#This Row],[Compte Consignee]],Order!C:D,2,FALSE)</calculatedColumnFormula>
    </tableColumn>
    <tableColumn id="12" xr3:uid="{00000000-0010-0000-0000-00000C000000}" name="Name ILN" dataDxfId="397"/>
    <tableColumn id="13" xr3:uid="{00000000-0010-0000-0000-00000D000000}" name="Compte ILN" dataDxfId="396">
      <calculatedColumnFormula>VLOOKUP(Tableau1[[#This Row],[Name ILN]],Plant_AILN!F:G,2,FALSE)</calculatedColumnFormula>
    </tableColumn>
    <tableColumn id="14" xr3:uid="{00000000-0010-0000-0000-00000E000000}" name="Day ILN Order" dataDxfId="395">
      <calculatedColumnFormula>VLOOKUP(Tableau1[[#This Row],[Compte ILN]],'DATA ILN'!D:I,6,FALSE)</calculatedColumnFormula>
    </tableColumn>
    <tableColumn id="15" xr3:uid="{00000000-0010-0000-0000-00000F000000}" name="Delivery time to ILN/Shipper" dataDxfId="394">
      <calculatedColumnFormula>IFERROR(VLOOKUP(Tableau1[[#This Row],[Key(Compte ILN - shipper - POL - plant)]],'DATA ILN'!A:J,10,FALSE),VLOOKUP(Tableau1[[#This Row],[Key(Compte ILN - shipper - POL)]],'DATA ILN'!B:J,9,FALSE))</calculatedColumnFormula>
    </tableColumn>
    <tableColumn id="16" xr3:uid="{00000000-0010-0000-0000-000010000000}" name="Time of Recept in ILN" dataDxfId="393">
      <calculatedColumnFormula>IFERROR(VLOOKUP(Tableau1[[#This Row],[Key(Compte ILN - shipper - POL - plant)]],'DATA ILN'!A:K,11,FALSE),VLOOKUP(Tableau1[[#This Row],[Key(Compte ILN - shipper - POL)]],'DATA ILN'!B:K,10,FALSE))</calculatedColumnFormula>
    </tableColumn>
    <tableColumn id="17" xr3:uid="{00000000-0010-0000-0000-000011000000}" name="Packaging préparation &amp; loading" dataDxfId="392">
      <calculatedColumnFormula>IFERROR(VLOOKUP(Tableau1[[#This Row],[Key(Compte ILN - shipper - POL - plant)]],'DATA ILN'!A:L,12,FALSE),VLOOKUP(Tableau1[[#This Row],[Key(Compte ILN - shipper - POL)]],'DATA ILN'!B:L,11,FALSE))</calculatedColumnFormula>
    </tableColumn>
    <tableColumn id="18" xr3:uid="{00000000-0010-0000-0000-000012000000}" name="First Receipt Days" dataDxfId="391">
      <calculatedColumnFormula>Tableau1[[#This Row],[Day ILN Order]]+Tableau1[[#This Row],[Delivery time to ILN/Shipper]]-1</calculatedColumnFormula>
    </tableColumn>
    <tableColumn id="19" xr3:uid="{00000000-0010-0000-0000-000013000000}" name="Transport ILN to POL" dataDxfId="390">
      <calculatedColumnFormula>IFERROR(VLOOKUP(Tableau1[[#This Row],[Key(Compte ILN - shipper - POL - plant)]],'DATA ILN'!A:N,14,FALSE),VLOOKUP(Tableau1[[#This Row],[Key(Compte ILN - shipper - POL)]],'DATA ILN'!B:N,13,FALSE))</calculatedColumnFormula>
    </tableColumn>
    <tableColumn id="20" xr3:uid="{00000000-0010-0000-0000-000014000000}" name="First Day to POL" dataDxfId="389">
      <calculatedColumnFormula>IFERROR(VLOOKUP(Tableau1[[#This Row],[Key(Compte ILN - shipper - POL - plant)]],'DATA ILN'!A:P,16,FALSE),VLOOKUP(Tableau1[[#This Row],[Key(Compte ILN - shipper - POL)]],'DATA ILN'!B:P,15,FALSE))</calculatedColumnFormula>
    </tableColumn>
    <tableColumn id="21" xr3:uid="{00000000-0010-0000-0000-000015000000}" name="Name Shipper" dataDxfId="388"/>
    <tableColumn id="22" xr3:uid="{00000000-0010-0000-0000-000016000000}" name="Compte Shipper" dataDxfId="387">
      <calculatedColumnFormula>IFERROR(VLOOKUP(Tableau1[[#This Row],[Name Shipper]],Plant_AILN!L:M,2,FALSE),0)</calculatedColumnFormula>
    </tableColumn>
    <tableColumn id="23" xr3:uid="{00000000-0010-0000-0000-000017000000}" name="ID" dataDxfId="386"/>
    <tableColumn id="24" xr3:uid="{00000000-0010-0000-0000-000018000000}" name="POL" dataDxfId="385">
      <calculatedColumnFormula>VLOOKUP(Tableau1[[#This Row],[Key(ID-Actif)]],'DATA BTO'!A:N,5,FALSE)</calculatedColumnFormula>
    </tableColumn>
    <tableColumn id="25" xr3:uid="{00000000-0010-0000-0000-000019000000}" name="Carrier" dataDxfId="384">
      <calculatedColumnFormula>VLOOKUP(Tableau1[[#This Row],[Key(ID-Actif)]],'DATA BTO'!A:N,6,FALSE)</calculatedColumnFormula>
    </tableColumn>
    <tableColumn id="26" xr3:uid="{00000000-0010-0000-0000-00001A000000}" name="Day Cut Off" dataDxfId="383">
      <calculatedColumnFormula>VLOOKUP(Tableau1[[#This Row],[Key(ID-Actif)]],'DATA BTO'!A:N,7,FALSE)</calculatedColumnFormula>
    </tableColumn>
    <tableColumn id="27" xr3:uid="{00000000-0010-0000-0000-00001B000000}" name="Day ETD" dataDxfId="382">
      <calculatedColumnFormula>VLOOKUP(Tableau1[[#This Row],[Key(ID-Actif)]],'DATA BTO'!A:N,8,FALSE)</calculatedColumnFormula>
    </tableColumn>
    <tableColumn id="58" xr3:uid="{00000000-0010-0000-0000-00003A000000}" name="Wished ETD ILN" dataDxfId="381">
      <calculatedColumnFormula>IF(Tableau1[[#This Row],[First Day to POL]]&lt;=Tableau1[[#This Row],[Day Cut Off]],Tableau1[[#This Row],[Day ETD]],Tableau1[[#This Row],[Day ETD]]+7)</calculatedColumnFormula>
    </tableColumn>
    <tableColumn id="28" xr3:uid="{00000000-0010-0000-0000-00001C000000}" name="Transit time" dataDxfId="380">
      <calculatedColumnFormula>VLOOKUP(Tableau1[[#This Row],[Key(ID-Actif)]],'DATA BTO'!A:N,9,FALSE)</calculatedColumnFormula>
    </tableColumn>
    <tableColumn id="29" xr3:uid="{00000000-0010-0000-0000-00001D000000}" name="POD" dataDxfId="379">
      <calculatedColumnFormula>VLOOKUP(Tableau1[[#This Row],[Key(ID-Actif)]],'DATA BTO'!A:N,10,FALSE)</calculatedColumnFormula>
    </tableColumn>
    <tableColumn id="30" xr3:uid="{00000000-0010-0000-0000-00001E000000}" name="Time for security" dataDxfId="378">
      <calculatedColumnFormula>VLOOKUP(Tableau1[[#This Row],[Key(ID-Actif)]],'DATA BTO'!A:N,11,FALSE)</calculatedColumnFormula>
    </tableColumn>
    <tableColumn id="31" xr3:uid="{00000000-0010-0000-0000-00001F000000}" name="Time for security2 buffer" dataDxfId="377">
      <calculatedColumnFormula>VLOOKUP(Tableau1[[#This Row],[Key(ID-Actif)]],'DATA BTO'!A:N,12,FALSE)</calculatedColumnFormula>
    </tableColumn>
    <tableColumn id="32" xr3:uid="{00000000-0010-0000-0000-000020000000}" name="Pilot" dataDxfId="376">
      <calculatedColumnFormula>VLOOKUP(Tableau1[[#This Row],[Key(ID-Actif)]],'DATA BTO'!A:N,14,FALSE)</calculatedColumnFormula>
    </tableColumn>
    <tableColumn id="33" xr3:uid="{00000000-0010-0000-0000-000021000000}" name="Cust." dataDxfId="375">
      <calculatedColumnFormula>VLOOKUP(Tableau1[[#This Row],[Key(POD -PFI- Usine)]],'DATA Consignee'!A:F,6,FALSE)</calculatedColumnFormula>
    </tableColumn>
    <tableColumn id="34" xr3:uid="{00000000-0010-0000-0000-000022000000}" name="Name PFI/CDD" dataDxfId="374"/>
    <tableColumn id="35" xr3:uid="{00000000-0010-0000-0000-000023000000}" name="Code PFI" dataDxfId="373">
      <calculatedColumnFormula>IF(Tableau1[[#This Row],[Name PFI/CDD]]="","-",VLOOKUP(Tableau1[[#This Row],[Name PFI/CDD]],Plant_AILN!I:J,2,FALSE))</calculatedColumnFormula>
    </tableColumn>
    <tableColumn id="38" xr3:uid="{00000000-0010-0000-0000-000026000000}" name="Leadtime train" dataDxfId="372">
      <calculatedColumnFormula>IF(COUNTIF(buffer_train[AILN],Tableau1[[#This Row],[Name PFI/CDD]])&gt;0,Tableau1[[#This Row],[First Receipt Days]]+Tableau1[[#This Row],[Cust.]]+Tableau1[[#This Row],[Parts Vanning]]+Tableau1[[#This Row],[Transit Time2]],"-")</calculatedColumnFormula>
    </tableColumn>
    <tableColumn id="37" xr3:uid="{00000000-0010-0000-0000-000025000000}" name="Buffer train" dataDxfId="371">
      <calculatedColumnFormula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calculatedColumnFormula>
    </tableColumn>
    <tableColumn id="36" xr3:uid="{00000000-0010-0000-0000-000024000000}" name="Trpt POD &gt; PFI" dataDxfId="370">
      <calculatedColumnFormula>VLOOKUP(Tableau1[[#This Row],[Key(POD -PFI- Usine)]],'DATA Consignee'!A:J,10,FALSE)</calculatedColumnFormula>
    </tableColumn>
    <tableColumn id="39" xr3:uid="{00000000-0010-0000-0000-000027000000}" name="Trpt POD/PFI vers Usine" dataDxfId="369">
      <calculatedColumnFormula>VLOOKUP(Tableau1[[#This Row],[Key(POD -PFI- Usine)]],'DATA Consignee'!A:N,14,FALSE)</calculatedColumnFormula>
    </tableColumn>
    <tableColumn id="41" xr3:uid="{00000000-0010-0000-0000-000029000000}" name="Round." dataDxfId="368">
      <calculatedColumnFormula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calculatedColumnFormula>
    </tableColumn>
    <tableColumn id="42" xr3:uid="{00000000-0010-0000-0000-00002A000000}" name="Parts Vanning" dataDxfId="367">
      <calculatedColumnFormula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calculatedColumnFormula>
    </tableColumn>
    <tableColumn id="43" xr3:uid="{00000000-0010-0000-0000-00002B000000}" name="Transit Time2" dataDxfId="366">
      <calculatedColumnFormula>Tableau1[[#This Row],[Transit time]]+Tableau1[[#This Row],[Time for security]]+Tableau1[[#This Row],[Time for security2 buffer]]</calculatedColumnFormula>
    </tableColumn>
    <tableColumn id="44" xr3:uid="{00000000-0010-0000-0000-00002C000000}" name="Leadtime SI2C" dataDxfId="365">
      <calculatedColumnFormula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calculatedColumnFormula>
    </tableColumn>
    <tableColumn id="45" xr3:uid="{00000000-0010-0000-0000-00002D000000}" name="Cust. Leadtime" dataDxfId="364">
      <calculatedColumnFormula>Tableau1[[#This Row],[Leadtime SI2C]]+Tableau1[[#This Row],[First Receipt Days]]-Tableau1[[#This Row],[Day Customer Order]]+1</calculatedColumnFormula>
    </tableColumn>
    <tableColumn id="50" xr3:uid="{00000000-0010-0000-0000-000032000000}" name="SIT" dataDxfId="363">
      <calculatedColumnFormula>IF(Tableau1[[#This Row],[Name ILN]]&lt;&gt;"SFK Freight Forwarder",Tableau1[[#This Row],[Cust. Leadtime]],Tableau1[[#This Row],[Leadtime SI2C]])</calculatedColumnFormula>
    </tableColumn>
    <tableColumn id="46" xr3:uid="{00000000-0010-0000-0000-00002E000000}" name="X-flows" dataDxfId="362">
      <calculatedColumnFormula>VLOOKUP(Tableau1[[#This Row],[ID]],'DATA BTO'!B:P,15,FALSE)</calculatedColumnFormula>
    </tableColumn>
    <tableColumn id="48" xr3:uid="{00000000-0010-0000-0000-000030000000}" name="Expiration Date" dataDxfId="361">
      <calculatedColumnFormula>IFERROR(VLOOKUP(Tableau1[[#This Row],[Key(ID-Actif)]],'DATA BTO'!A:N,4,FALSE),VLOOKUP(Tableau1[[#This Row],[ID]],'DATA BTO'!B:N,3,FALSE))</calculatedColumnFormula>
    </tableColumn>
    <tableColumn id="51" xr3:uid="{00000000-0010-0000-0000-000033000000}" name="Error Order" dataDxfId="360">
      <calculatedColumnFormula>IF(ISNUMBER(Tableau1[[#This Row],[Day Customer Order]]),"-","Please Check 'Name' information in 'Order' Sheet to make sure they have information")</calculatedColumnFormula>
    </tableColumn>
    <tableColumn id="52" xr3:uid="{00000000-0010-0000-0000-000034000000}" name="Error ILN" dataDxfId="359">
      <calculatedColumnFormula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calculatedColumnFormula>
    </tableColumn>
    <tableColumn id="53" xr3:uid="{00000000-0010-0000-0000-000035000000}" name="Error BTO" dataDxfId="358">
      <calculatedColumnFormula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calculatedColumnFormula>
    </tableColumn>
    <tableColumn id="54" xr3:uid="{00000000-0010-0000-0000-000036000000}" name="Error Consignee" dataDxfId="357">
      <calculatedColumnFormula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calculatedColumnFormula>
    </tableColumn>
    <tableColumn id="55" xr3:uid="{00000000-0010-0000-0000-000037000000}" name="Error Transport" dataDxfId="356">
      <calculatedColumnFormula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calculatedColumnFormula>
    </tableColumn>
    <tableColumn id="40" xr3:uid="{00000000-0010-0000-0000-000028000000}" name="Comments" dataDxfId="3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1" displayName="Tableau21" ref="B4:BC37" totalsRowShown="0" headerRowDxfId="306" dataDxfId="305" tableBorderDxfId="304">
  <autoFilter ref="B4:BC37" xr:uid="{00000000-0009-0000-0100-000002000000}"/>
  <tableColumns count="54">
    <tableColumn id="47" xr3:uid="{00000000-0010-0000-0100-00002F000000}" name="Key(ILN - shipper - plant)" dataDxfId="303">
      <calculatedColumnFormula>_xlfn.CONCAT(Tableau21[[#This Row],[Name ILN]],"-",Tableau21[[#This Row],[Name Shipper]],"-",Tableau21[[#This Row],[Name Site]])</calculatedColumnFormula>
    </tableColumn>
    <tableColumn id="1" xr3:uid="{00000000-0010-0000-0100-000001000000}" name="Key(Compte ILN - shipper - POL - plant)" dataDxfId="302">
      <calculatedColumnFormula>_xlfn.CONCAT(Tableau21[[#This Row],[Compte ILN]],"-",Tableau21[[#This Row],[Compte Shipper]],"-",Tableau21[[#This Row],[POL]],"-",Tableau21[[#This Row],[Compte Site]])</calculatedColumnFormula>
    </tableColumn>
    <tableColumn id="2" xr3:uid="{00000000-0010-0000-0100-000002000000}" name="Key(Compte ILN - shipper - POL)" dataDxfId="301">
      <calculatedColumnFormula>_xlfn.CONCAT(Tableau21[[#This Row],[Compte ILN]],"-",Tableau21[[#This Row],[Compte Shipper]],"-",Tableau21[[#This Row],[POL]])</calculatedColumnFormula>
    </tableColumn>
    <tableColumn id="3" xr3:uid="{00000000-0010-0000-0100-000003000000}" name="Key(POL - carrier - POD)" dataDxfId="300">
      <calculatedColumnFormula>_xlfn.CONCAT(Tableau21[[#This Row],[POL]],"-",Tableau21[[#This Row],[Carrier]],"-",Tableau21[[#This Row],[POD]])</calculatedColumnFormula>
    </tableColumn>
    <tableColumn id="4" xr3:uid="{00000000-0010-0000-0100-000004000000}" name="Key(ID-Next)" dataDxfId="299">
      <calculatedColumnFormula>_xlfn.CONCAT(Tableau21[[#This Row],[ID]],"-","Next")</calculatedColumnFormula>
    </tableColumn>
    <tableColumn id="5" xr3:uid="{00000000-0010-0000-0100-000005000000}" name="Key(POD -PFI- Usine)" dataDxfId="298">
      <calculatedColumnFormula>_xlfn.CONCAT(Tableau21[[#This Row],[POD]],"-",Tableau21[[#This Row],[Code PFI]],"-",Tableau21[[#This Row],[Compte Site]])</calculatedColumnFormula>
    </tableColumn>
    <tableColumn id="6" xr3:uid="{00000000-0010-0000-0100-000006000000}" name="log guidelines Key" dataDxfId="297">
      <calculatedColumnFormula>_xlfn.CONCAT(IF(Tableau21[[#This Row],[Name ILN]]=Tableau21[[#This Row],[Name Shipper]],Tableau21[[#This Row],[Name ILN]],Tableau21[[#This Row],[Compte Shipper]]),Tableau21[[#This Row],[POL]],Tableau21[[#This Row],[Name Site]])</calculatedColumnFormula>
    </tableColumn>
    <tableColumn id="7" xr3:uid="{00000000-0010-0000-0100-000007000000}" name="Plant-ILN-shipper-POL-Carrier-POD-PFI" dataDxfId="296">
      <calculatedColumnFormula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calculatedColumnFormula>
    </tableColumn>
    <tableColumn id="49" xr3:uid="{00000000-0010-0000-0100-000031000000}" name="Duplicates" dataDxfId="295">
      <calculatedColumnFormula>IF(COUNTIF(I:I,Tableau21[[#This Row],[Plant-ILN-shipper-POL-Carrier-POD-PFI]])=1,"Non","Oui")</calculatedColumnFormula>
    </tableColumn>
    <tableColumn id="8" xr3:uid="{00000000-0010-0000-0100-000008000000}" name="Country" dataDxfId="294">
      <calculatedColumnFormula>VLOOKUP(Tableau21[[#This Row],[Name Site]],Plant_AILN!A:D,4,FALSE)</calculatedColumnFormula>
    </tableColumn>
    <tableColumn id="9" xr3:uid="{00000000-0010-0000-0100-000009000000}" name="Name Site" dataDxfId="293"/>
    <tableColumn id="10" xr3:uid="{00000000-0010-0000-0100-00000A000000}" name="Compte Site" dataDxfId="292">
      <calculatedColumnFormula>VLOOKUP(Tableau21[[#This Row],[Name Site]],Plant_AILN!A:C,3,FALSE)</calculatedColumnFormula>
    </tableColumn>
    <tableColumn id="11" xr3:uid="{00000000-0010-0000-0100-00000B000000}" name="Day Customer Order" dataDxfId="291">
      <calculatedColumnFormula>VLOOKUP(Tableau21[[#This Row],[Compte Site]],Order!C:D,2,FALSE)</calculatedColumnFormula>
    </tableColumn>
    <tableColumn id="12" xr3:uid="{00000000-0010-0000-0100-00000C000000}" name="Name ILN" dataDxfId="290"/>
    <tableColumn id="13" xr3:uid="{00000000-0010-0000-0100-00000D000000}" name="Compte ILN" dataDxfId="289">
      <calculatedColumnFormula>VLOOKUP(Tableau21[[#This Row],[Name ILN]],Plant_AILN!F:G,2,FALSE)</calculatedColumnFormula>
    </tableColumn>
    <tableColumn id="14" xr3:uid="{00000000-0010-0000-0100-00000E000000}" name="Day ILN Order" dataDxfId="288">
      <calculatedColumnFormula>VLOOKUP(Tableau21[[#This Row],[Compte ILN]],'DATA ILN'!D:I,6,FALSE)</calculatedColumnFormula>
    </tableColumn>
    <tableColumn id="15" xr3:uid="{00000000-0010-0000-0100-00000F000000}" name="Delivery time to ILN/Shipper" dataDxfId="287">
      <calculatedColumnFormula>IFERROR(VLOOKUP(Tableau21[[#This Row],[Key(Compte ILN - shipper - POL - plant)]],'DATA ILN'!A:J,10,FALSE),VLOOKUP(Tableau21[[#This Row],[Key(Compte ILN - shipper - POL)]],'DATA ILN'!B:J,9,FALSE))</calculatedColumnFormula>
    </tableColumn>
    <tableColumn id="16" xr3:uid="{00000000-0010-0000-0100-000010000000}" name="Time of Recept in ILN" dataDxfId="286">
      <calculatedColumnFormula>IFERROR(VLOOKUP(Tableau21[[#This Row],[Key(Compte ILN - shipper - POL - plant)]],'DATA ILN'!A:K,11,FALSE),VLOOKUP(Tableau21[[#This Row],[Key(Compte ILN - shipper - POL)]],'DATA ILN'!B:K,10,FALSE))</calculatedColumnFormula>
    </tableColumn>
    <tableColumn id="17" xr3:uid="{00000000-0010-0000-0100-000011000000}" name="Packaging préparation &amp; loading" dataDxfId="285">
      <calculatedColumnFormula>IFERROR(VLOOKUP(Tableau21[[#This Row],[Key(Compte ILN - shipper - POL - plant)]],'DATA ILN'!A:L,12,FALSE),VLOOKUP(Tableau21[[#This Row],[Key(Compte ILN - shipper - POL)]],'DATA ILN'!B:L,11,FALSE))</calculatedColumnFormula>
    </tableColumn>
    <tableColumn id="18" xr3:uid="{00000000-0010-0000-0100-000012000000}" name="First Receipt Days" dataDxfId="284">
      <calculatedColumnFormula>Tableau21[[#This Row],[Day ILN Order]]+Tableau21[[#This Row],[Delivery time to ILN/Shipper]]-1</calculatedColumnFormula>
    </tableColumn>
    <tableColumn id="19" xr3:uid="{00000000-0010-0000-0100-000013000000}" name="Transport ILN to POL" dataDxfId="283">
      <calculatedColumnFormula>IFERROR(VLOOKUP(Tableau21[[#This Row],[Key(Compte ILN - shipper - POL - plant)]],'DATA ILN'!A:N,14,FALSE),VLOOKUP(Tableau21[[#This Row],[Key(Compte ILN - shipper - POL)]],'DATA ILN'!B:N,13,FALSE))</calculatedColumnFormula>
    </tableColumn>
    <tableColumn id="20" xr3:uid="{00000000-0010-0000-0100-000014000000}" name="First Day to POL" dataDxfId="282">
      <calculatedColumnFormula>IFERROR(VLOOKUP(Tableau21[[#This Row],[Key(Compte ILN - shipper - POL - plant)]],'DATA ILN'!A:P,16,FALSE),VLOOKUP(Tableau21[[#This Row],[Key(Compte ILN - shipper - POL)]],'DATA ILN'!B:P,15,FALSE))</calculatedColumnFormula>
    </tableColumn>
    <tableColumn id="21" xr3:uid="{00000000-0010-0000-0100-000015000000}" name="Name Shipper" dataDxfId="281"/>
    <tableColumn id="22" xr3:uid="{00000000-0010-0000-0100-000016000000}" name="Compte Shipper" dataDxfId="280">
      <calculatedColumnFormula>IFERROR(VLOOKUP(Tableau21[[#This Row],[Name Shipper]],Plant_AILN!L:M,2,FALSE),0)</calculatedColumnFormula>
    </tableColumn>
    <tableColumn id="23" xr3:uid="{00000000-0010-0000-0100-000017000000}" name="ID" dataDxfId="279"/>
    <tableColumn id="24" xr3:uid="{00000000-0010-0000-0100-000018000000}" name="POL" dataDxfId="278">
      <calculatedColumnFormula>IFERROR(VLOOKUP(Tableau21[[#This Row],[Key(ID-Next)]],'DATA BTO'!A:N,5,FALSE),VLOOKUP(_xlfn.CONCAT(Tableau21[[#This Row],[ID]],"-","Actif"),'DATA BTO'!A:N,5,FALSE))</calculatedColumnFormula>
    </tableColumn>
    <tableColumn id="25" xr3:uid="{00000000-0010-0000-0100-000019000000}" name="Carrier" dataDxfId="277">
      <calculatedColumnFormula>IFERROR(VLOOKUP(Tableau21[[#This Row],[Key(ID-Next)]],'DATA BTO'!A:N,6,FALSE),VLOOKUP(_xlfn.CONCAT(Tableau21[[#This Row],[ID]],"-","Actif"),'DATA BTO'!A:N,6,FALSE))</calculatedColumnFormula>
    </tableColumn>
    <tableColumn id="26" xr3:uid="{00000000-0010-0000-0100-00001A000000}" name="Day Cut Off" dataDxfId="276">
      <calculatedColumnFormula>IFERROR(VLOOKUP(Tableau21[[#This Row],[Key(ID-Next)]],'DATA BTO'!A:N,7,FALSE),VLOOKUP(_xlfn.CONCAT(Tableau21[[#This Row],[ID]],"-","Actif"),'DATA BTO'!A:N,7,FALSE))</calculatedColumnFormula>
    </tableColumn>
    <tableColumn id="27" xr3:uid="{00000000-0010-0000-0100-00001B000000}" name="Day ETD" dataDxfId="275">
      <calculatedColumnFormula>IFERROR(VLOOKUP(Tableau21[[#This Row],[Key(ID-Next)]],'DATA BTO'!A:N,8,FALSE),VLOOKUP(_xlfn.CONCAT(Tableau21[[#This Row],[ID]],"-","Actif"),'DATA BTO'!A:N,8,FALSE))</calculatedColumnFormula>
    </tableColumn>
    <tableColumn id="28" xr3:uid="{00000000-0010-0000-0100-00001C000000}" name="Transit time" dataDxfId="274">
      <calculatedColumnFormula>IFERROR(VLOOKUP(Tableau21[[#This Row],[Key(ID-Next)]],'DATA BTO'!A:N,9,FALSE),VLOOKUP(_xlfn.CONCAT(Tableau21[[#This Row],[ID]],"-","Actif"),'DATA BTO'!A:N,9,FALSE))</calculatedColumnFormula>
    </tableColumn>
    <tableColumn id="29" xr3:uid="{00000000-0010-0000-0100-00001D000000}" name="POD" dataDxfId="273">
      <calculatedColumnFormula>IFERROR(VLOOKUP(Tableau21[[#This Row],[Key(ID-Next)]],'DATA BTO'!A:N,10,FALSE),VLOOKUP(_xlfn.CONCAT(Tableau21[[#This Row],[ID]],"-","Actif"),'DATA BTO'!A:N,10,FALSE))</calculatedColumnFormula>
    </tableColumn>
    <tableColumn id="30" xr3:uid="{00000000-0010-0000-0100-00001E000000}" name="Time for security" dataDxfId="272">
      <calculatedColumnFormula>IFERROR(VLOOKUP(Tableau21[[#This Row],[Key(ID-Next)]],'DATA BTO'!A:N,11,FALSE),VLOOKUP(_xlfn.CONCAT(Tableau21[[#This Row],[ID]],"-","Actif"),'DATA BTO'!A:N,11,FALSE))</calculatedColumnFormula>
    </tableColumn>
    <tableColumn id="31" xr3:uid="{00000000-0010-0000-0100-00001F000000}" name="Time for security2 buffer" dataDxfId="271">
      <calculatedColumnFormula>IFERROR(VLOOKUP(Tableau21[[#This Row],[Key(ID-Next)]],'DATA BTO'!A:N,12,FALSE),VLOOKUP(_xlfn.CONCAT(Tableau21[[#This Row],[ID]],"-","Actif"),'DATA BTO'!A:N,12,FALSE))</calculatedColumnFormula>
    </tableColumn>
    <tableColumn id="32" xr3:uid="{00000000-0010-0000-0100-000020000000}" name="Pilot" dataDxfId="270">
      <calculatedColumnFormula>IFERROR(VLOOKUP(Tableau21[[#This Row],[Key(ID-Next)]],'DATA BTO'!A:N,14,FALSE),VLOOKUP(_xlfn.CONCAT(Tableau21[[#This Row],[ID]],"-","Actif"),'DATA BTO'!A:N,14,FALSE))</calculatedColumnFormula>
    </tableColumn>
    <tableColumn id="33" xr3:uid="{00000000-0010-0000-0100-000021000000}" name="Cust." dataDxfId="269">
      <calculatedColumnFormula>VLOOKUP(Tableau21[[#This Row],[Key(POD -PFI- Usine)]],'DATA Consignee'!A:F,6,FALSE)</calculatedColumnFormula>
    </tableColumn>
    <tableColumn id="34" xr3:uid="{00000000-0010-0000-0100-000022000000}" name="Name PFI/CDD" dataDxfId="268"/>
    <tableColumn id="35" xr3:uid="{00000000-0010-0000-0100-000023000000}" name="Code PFI" dataDxfId="267">
      <calculatedColumnFormula>IF(Tableau21[[#This Row],[Name PFI/CDD]]="","-",VLOOKUP(Tableau21[[#This Row],[Name PFI/CDD]],Plant_AILN!I:J,2,FALSE))</calculatedColumnFormula>
    </tableColumn>
    <tableColumn id="38" xr3:uid="{00000000-0010-0000-0100-000026000000}" name="Leadtime train" dataDxfId="266">
      <calculatedColumnFormula>IF(COUNTIF(buffer_train[AILN],Tableau21[[#This Row],[Name PFI/CDD]])&gt;0,Tableau21[[#This Row],[First Receipt Days]]+Tableau21[[#This Row],[Cust.]]+Tableau21[[#This Row],[Parts Vanning]]+Tableau21[[#This Row],[Transit Time2]],"-")</calculatedColumnFormula>
    </tableColumn>
    <tableColumn id="37" xr3:uid="{00000000-0010-0000-0100-000025000000}" name="Buffer train" dataDxfId="265">
      <calculatedColumnFormula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calculatedColumnFormula>
    </tableColumn>
    <tableColumn id="36" xr3:uid="{00000000-0010-0000-0100-000024000000}" name="Trpt POD &gt; PFI" dataDxfId="264">
      <calculatedColumnFormula>VLOOKUP(Tableau21[[#This Row],[Key(POD -PFI- Usine)]],'DATA Consignee'!A:J,10,FALSE)</calculatedColumnFormula>
    </tableColumn>
    <tableColumn id="39" xr3:uid="{00000000-0010-0000-0100-000027000000}" name="Trpt POD/PFI vers Usine" dataDxfId="263">
      <calculatedColumnFormula>VLOOKUP(Tableau21[[#This Row],[Key(POD -PFI- Usine)]],'DATA Consignee'!A:N,14,FALSE)</calculatedColumnFormula>
    </tableColumn>
    <tableColumn id="41" xr3:uid="{00000000-0010-0000-0100-000029000000}" name="Round." dataDxfId="262">
      <calculatedColumnFormula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calculatedColumnFormula>
    </tableColumn>
    <tableColumn id="42" xr3:uid="{00000000-0010-0000-0100-00002A000000}" name="Parts Vanning" dataDxfId="261">
      <calculatedColumnFormula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calculatedColumnFormula>
    </tableColumn>
    <tableColumn id="43" xr3:uid="{00000000-0010-0000-0100-00002B000000}" name="Transit Time2" dataDxfId="260">
      <calculatedColumnFormula>Tableau21[[#This Row],[Transit time]]+Tableau21[[#This Row],[Time for security]]+Tableau21[[#This Row],[Time for security2 buffer]]</calculatedColumnFormula>
    </tableColumn>
    <tableColumn id="44" xr3:uid="{00000000-0010-0000-0100-00002C000000}" name="Leadtime SI2C" dataDxfId="259">
      <calculatedColumnFormula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calculatedColumnFormula>
    </tableColumn>
    <tableColumn id="45" xr3:uid="{00000000-0010-0000-0100-00002D000000}" name="Cust. Leadtime" dataDxfId="258">
      <calculatedColumnFormula>Tableau21[[#This Row],[Leadtime SI2C]]+Tableau21[[#This Row],[First Receipt Days]]-Tableau21[[#This Row],[Day Customer Order]]+1</calculatedColumnFormula>
    </tableColumn>
    <tableColumn id="50" xr3:uid="{00000000-0010-0000-0100-000032000000}" name="SIT" dataDxfId="257">
      <calculatedColumnFormula>IF(Tableau21[[#This Row],[Name ILN]]&lt;&gt;"SFK Freight Forwarder",Tableau21[[#This Row],[Cust. Leadtime]],Tableau21[[#This Row],[Leadtime SI2C]])</calculatedColumnFormula>
    </tableColumn>
    <tableColumn id="46" xr3:uid="{00000000-0010-0000-0100-00002E000000}" name="Comments " dataDxfId="256"/>
    <tableColumn id="48" xr3:uid="{00000000-0010-0000-0100-000030000000}" name="Start date" dataDxfId="255">
      <calculatedColumnFormula>IFERROR(VLOOKUP(Tableau21[[#This Row],[Key(ID-Next)]],'DATA BTO'!A:N,3,FALSE),VLOOKUP(Tableau21[[#This Row],[ID]],'DATA BTO'!B:N,2,FALSE))</calculatedColumnFormula>
    </tableColumn>
    <tableColumn id="51" xr3:uid="{00000000-0010-0000-0100-000033000000}" name="Error Order" dataDxfId="254">
      <calculatedColumnFormula>IF(ISNUMBER(Tableau21[[#This Row],[Day Customer Order]]),"-","Please Check 'Name' information in 'Order' Sheet to make sure they have information")</calculatedColumnFormula>
    </tableColumn>
    <tableColumn id="52" xr3:uid="{00000000-0010-0000-0100-000034000000}" name="Error ILN" dataDxfId="253">
      <calculatedColumnFormula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calculatedColumnFormula>
    </tableColumn>
    <tableColumn id="53" xr3:uid="{00000000-0010-0000-0100-000035000000}" name="Error BTO" dataDxfId="252">
      <calculatedColumnFormula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calculatedColumnFormula>
    </tableColumn>
    <tableColumn id="54" xr3:uid="{00000000-0010-0000-0100-000036000000}" name="Error Consignee" dataDxfId="251">
      <calculatedColumnFormula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calculatedColumnFormula>
    </tableColumn>
    <tableColumn id="55" xr3:uid="{00000000-0010-0000-0100-000037000000}" name="Error Transport" dataDxfId="250">
      <calculatedColumnFormula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118" displayName="Tableau118" ref="B4:BE400" totalsRowShown="0" headerRowDxfId="229" dataDxfId="228" tableBorderDxfId="227">
  <autoFilter ref="B4:BE400" xr:uid="{00000000-0009-0000-0100-000003000000}"/>
  <tableColumns count="56">
    <tableColumn id="47" xr3:uid="{00000000-0010-0000-0200-00002F000000}" name="Key(ILN - shipper - plant)" dataDxfId="226">
      <calculatedColumnFormula>_xlfn.CONCAT(Tableau118[[#This Row],[Name ILN]],"-",Tableau118[[#This Row],[Name Shipper]],"-",Tableau118[[#This Row],[Name Site]])</calculatedColumnFormula>
    </tableColumn>
    <tableColumn id="1" xr3:uid="{00000000-0010-0000-0200-000001000000}" name="Key(Compte ILN - shipper - POL - plant)" dataDxfId="225">
      <calculatedColumnFormula>_xlfn.CONCAT(Tableau118[[#This Row],[Compte ILN]],"-",Tableau118[[#This Row],[Compte Shipper]],"-",Tableau118[[#This Row],[POL]],"-",Tableau118[[#This Row],[Compte Site]])</calculatedColumnFormula>
    </tableColumn>
    <tableColumn id="2" xr3:uid="{00000000-0010-0000-0200-000002000000}" name="Key(Compte ILN - shipper - POL)" dataDxfId="224">
      <calculatedColumnFormula>_xlfn.CONCAT(Tableau118[[#This Row],[Compte ILN]],"-",Tableau118[[#This Row],[Compte Shipper]],"-",Tableau118[[#This Row],[POL]])</calculatedColumnFormula>
    </tableColumn>
    <tableColumn id="3" xr3:uid="{00000000-0010-0000-0200-000003000000}" name="Key(POL - carrier - POD)" dataDxfId="223">
      <calculatedColumnFormula>_xlfn.CONCAT(Tableau118[[#This Row],[POL]],"-",Tableau118[[#This Row],[Carrier]],"-",Tableau118[[#This Row],[POD]])</calculatedColumnFormula>
    </tableColumn>
    <tableColumn id="4" xr3:uid="{00000000-0010-0000-0200-000004000000}" name="Key(ID-Actif)" dataDxfId="222">
      <calculatedColumnFormula>_xlfn.CONCAT(Tableau118[[#This Row],[ID]],"-","Next")</calculatedColumnFormula>
    </tableColumn>
    <tableColumn id="5" xr3:uid="{00000000-0010-0000-0200-000005000000}" name="Key(POD -PFI- Usine)" dataDxfId="221">
      <calculatedColumnFormula>_xlfn.CONCAT(Tableau118[[#This Row],[POD]],"-",Tableau118[[#This Row],[Code PFI]],"-",Tableau118[[#This Row],[Compte Site]])</calculatedColumnFormula>
    </tableColumn>
    <tableColumn id="6" xr3:uid="{00000000-0010-0000-0200-000006000000}" name="log guidelines Key" dataDxfId="220">
      <calculatedColumnFormula>_xlfn.CONCAT(IF(Tableau118[[#This Row],[Name ILN]]=Tableau118[[#This Row],[Name Shipper]],Tableau118[[#This Row],[Name ILN]],Tableau118[[#This Row],[Compte Shipper]]),Tableau118[[#This Row],[POL]],Tableau118[[#This Row],[Name Site]])</calculatedColumnFormula>
    </tableColumn>
    <tableColumn id="7" xr3:uid="{00000000-0010-0000-0200-000007000000}" name="Plant-ILN-shipper-POL-Carrier-POD-PFI" dataDxfId="219">
      <calculatedColumnFormula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calculatedColumnFormula>
    </tableColumn>
    <tableColumn id="49" xr3:uid="{00000000-0010-0000-0200-000031000000}" name="Duplicates" dataDxfId="218">
      <calculatedColumnFormula>IF(COUNTIF(I:I,Tableau118[[#This Row],[Plant-ILN-shipper-POL-Carrier-POD-PFI]])=1,"Non","Oui")</calculatedColumnFormula>
    </tableColumn>
    <tableColumn id="8" xr3:uid="{00000000-0010-0000-0200-000008000000}" name="Country" dataDxfId="217">
      <calculatedColumnFormula>VLOOKUP(Tableau118[[#This Row],[Name Site]],Plant_AILN!A:D,4,FALSE)</calculatedColumnFormula>
    </tableColumn>
    <tableColumn id="9" xr3:uid="{00000000-0010-0000-0200-000009000000}" name="Name Site" dataDxfId="216"/>
    <tableColumn id="10" xr3:uid="{00000000-0010-0000-0200-00000A000000}" name="Compte Site" dataDxfId="215"/>
    <tableColumn id="11" xr3:uid="{00000000-0010-0000-0200-00000B000000}" name="Day Customer Order" dataDxfId="214"/>
    <tableColumn id="12" xr3:uid="{00000000-0010-0000-0200-00000C000000}" name="Name ILN" dataDxfId="213"/>
    <tableColumn id="13" xr3:uid="{00000000-0010-0000-0200-00000D000000}" name="Compte ILN" dataDxfId="212"/>
    <tableColumn id="14" xr3:uid="{00000000-0010-0000-0200-00000E000000}" name="Day ILN Order" dataDxfId="211"/>
    <tableColumn id="15" xr3:uid="{00000000-0010-0000-0200-00000F000000}" name="Delivery time to ILN/Shipper" dataDxfId="210"/>
    <tableColumn id="16" xr3:uid="{00000000-0010-0000-0200-000010000000}" name="Time of Recept in ILN" dataDxfId="209"/>
    <tableColumn id="17" xr3:uid="{00000000-0010-0000-0200-000011000000}" name="Packaging préparation &amp; loading" dataDxfId="208"/>
    <tableColumn id="18" xr3:uid="{00000000-0010-0000-0200-000012000000}" name="First Receipt Days" dataDxfId="207"/>
    <tableColumn id="19" xr3:uid="{00000000-0010-0000-0200-000013000000}" name="Transport ILN to POL" dataDxfId="206"/>
    <tableColumn id="20" xr3:uid="{00000000-0010-0000-0200-000014000000}" name="First Day to POL" dataDxfId="205"/>
    <tableColumn id="21" xr3:uid="{00000000-0010-0000-0200-000015000000}" name="Name Shipper" dataDxfId="204"/>
    <tableColumn id="22" xr3:uid="{00000000-0010-0000-0200-000016000000}" name="Compte Shipper" dataDxfId="203">
      <calculatedColumnFormula>IFERROR(VLOOKUP(Tableau118[[#This Row],[Name Shipper]],Plant_AILN!L:M,2,FALSE),0)</calculatedColumnFormula>
    </tableColumn>
    <tableColumn id="23" xr3:uid="{00000000-0010-0000-0200-000017000000}" name="ID" dataDxfId="202"/>
    <tableColumn id="24" xr3:uid="{00000000-0010-0000-0200-000018000000}" name="POL" dataDxfId="201">
      <calculatedColumnFormula>VLOOKUP(Tableau118[[#This Row],[Key(ID-Actif)]],'DATA BTO'!A:N,5,FALSE)</calculatedColumnFormula>
    </tableColumn>
    <tableColumn id="25" xr3:uid="{00000000-0010-0000-0200-000019000000}" name="Carrier" dataDxfId="200">
      <calculatedColumnFormula>VLOOKUP(Tableau118[[#This Row],[Key(ID-Actif)]],'DATA BTO'!A:N,6,FALSE)</calculatedColumnFormula>
    </tableColumn>
    <tableColumn id="26" xr3:uid="{00000000-0010-0000-0200-00001A000000}" name="Day Cut Off" dataDxfId="199">
      <calculatedColumnFormula>VLOOKUP(Tableau118[[#This Row],[Key(ID-Actif)]],'DATA BTO'!A:N,7,FALSE)</calculatedColumnFormula>
    </tableColumn>
    <tableColumn id="27" xr3:uid="{00000000-0010-0000-0200-00001B000000}" name="Day ETD" dataDxfId="198">
      <calculatedColumnFormula>VLOOKUP(Tableau118[[#This Row],[Key(ID-Actif)]],'DATA BTO'!A:N,8,FALSE)</calculatedColumnFormula>
    </tableColumn>
    <tableColumn id="58" xr3:uid="{00000000-0010-0000-0200-00003A000000}" name="Wished ETD ILN" dataDxfId="197">
      <calculatedColumnFormula>IF(Tableau118[[#This Row],[First Day to POL]]&lt;=Tableau118[[#This Row],[Day Cut Off]],Tableau118[[#This Row],[Day ETD]],Tableau118[[#This Row],[Day ETD]]+7)</calculatedColumnFormula>
    </tableColumn>
    <tableColumn id="28" xr3:uid="{00000000-0010-0000-0200-00001C000000}" name="Transit time" dataDxfId="196">
      <calculatedColumnFormula>VLOOKUP(Tableau118[[#This Row],[Key(ID-Actif)]],'DATA BTO'!A:N,9,FALSE)</calculatedColumnFormula>
    </tableColumn>
    <tableColumn id="29" xr3:uid="{00000000-0010-0000-0200-00001D000000}" name="POD" dataDxfId="195">
      <calculatedColumnFormula>VLOOKUP(Tableau118[[#This Row],[Key(ID-Actif)]],'DATA BTO'!A:N,10,FALSE)</calculatedColumnFormula>
    </tableColumn>
    <tableColumn id="30" xr3:uid="{00000000-0010-0000-0200-00001E000000}" name="Time for security" dataDxfId="194">
      <calculatedColumnFormula>VLOOKUP(Tableau118[[#This Row],[Key(ID-Actif)]],'DATA BTO'!A:N,11,FALSE)</calculatedColumnFormula>
    </tableColumn>
    <tableColumn id="31" xr3:uid="{00000000-0010-0000-0200-00001F000000}" name="Time for security2 buffer" dataDxfId="193">
      <calculatedColumnFormula>VLOOKUP(Tableau118[[#This Row],[Key(ID-Actif)]],'DATA BTO'!A:N,12,FALSE)</calculatedColumnFormula>
    </tableColumn>
    <tableColumn id="32" xr3:uid="{00000000-0010-0000-0200-000020000000}" name="Pilot" dataDxfId="192">
      <calculatedColumnFormula>VLOOKUP(Tableau118[[#This Row],[Key(ID-Actif)]],'DATA BTO'!A:N,14,FALSE)</calculatedColumnFormula>
    </tableColumn>
    <tableColumn id="33" xr3:uid="{00000000-0010-0000-0200-000021000000}" name="Cust." dataDxfId="191">
      <calculatedColumnFormula>VLOOKUP(Tableau118[[#This Row],[Key(POD -PFI- Usine)]],'DATA Consignee'!A:F,6,FALSE)</calculatedColumnFormula>
    </tableColumn>
    <tableColumn id="34" xr3:uid="{00000000-0010-0000-0200-000022000000}" name="Name PFI/CDD" dataDxfId="190"/>
    <tableColumn id="35" xr3:uid="{00000000-0010-0000-0200-000023000000}" name="Code PFI" dataDxfId="189">
      <calculatedColumnFormula>IF(Tableau118[[#This Row],[Name PFI/CDD]]="","-",VLOOKUP(Tableau118[[#This Row],[Name PFI/CDD]],Plant_AILN!I:J,2,FALSE))</calculatedColumnFormula>
    </tableColumn>
    <tableColumn id="38" xr3:uid="{00000000-0010-0000-0200-000026000000}" name="Leadtime train" dataDxfId="188">
      <calculatedColumnFormula>IF(COUNTIF(buffer_train[AILN],Tableau118[[#This Row],[Name PFI/CDD]])&gt;0,Tableau118[[#This Row],[First Receipt Days]]+Tableau118[[#This Row],[Cust.]]+Tableau118[[#This Row],[Parts Vanning]]+Tableau118[[#This Row],[Transit Time2]],"-")</calculatedColumnFormula>
    </tableColumn>
    <tableColumn id="37" xr3:uid="{00000000-0010-0000-0200-000025000000}" name="Buffer train" dataDxfId="187">
      <calculatedColumnFormula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calculatedColumnFormula>
    </tableColumn>
    <tableColumn id="36" xr3:uid="{00000000-0010-0000-0200-000024000000}" name="Trpt POD &gt; PFI" dataDxfId="186">
      <calculatedColumnFormula>VLOOKUP(Tableau118[[#This Row],[Key(POD -PFI- Usine)]],'DATA Consignee'!A:J,10,FALSE)</calculatedColumnFormula>
    </tableColumn>
    <tableColumn id="39" xr3:uid="{00000000-0010-0000-0200-000027000000}" name="Trpt POD/PFI vers Usine" dataDxfId="185">
      <calculatedColumnFormula>VLOOKUP(Tableau118[[#This Row],[Key(POD -PFI- Usine)]],'DATA Consignee'!A:N,14,FALSE)</calculatedColumnFormula>
    </tableColumn>
    <tableColumn id="41" xr3:uid="{00000000-0010-0000-0200-000029000000}" name="Round." dataDxfId="184">
      <calculatedColumnFormula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calculatedColumnFormula>
    </tableColumn>
    <tableColumn id="42" xr3:uid="{00000000-0010-0000-0200-00002A000000}" name="Parts Vanning" dataDxfId="183">
      <calculatedColumnFormula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calculatedColumnFormula>
    </tableColumn>
    <tableColumn id="43" xr3:uid="{00000000-0010-0000-0200-00002B000000}" name="Transit Time2" dataDxfId="182">
      <calculatedColumnFormula>Tableau118[[#This Row],[Transit time]]+Tableau118[[#This Row],[Time for security]]+Tableau118[[#This Row],[Time for security2 buffer]]</calculatedColumnFormula>
    </tableColumn>
    <tableColumn id="44" xr3:uid="{00000000-0010-0000-0200-00002C000000}" name="Leadtime SI2C" dataDxfId="181">
      <calculatedColumnFormula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calculatedColumnFormula>
    </tableColumn>
    <tableColumn id="45" xr3:uid="{00000000-0010-0000-0200-00002D000000}" name="Cust. Leadtime" dataDxfId="180">
      <calculatedColumnFormula>Tableau118[[#This Row],[Leadtime SI2C]]+Tableau118[[#This Row],[First Receipt Days]]-Tableau118[[#This Row],[Day Customer Order]]+1</calculatedColumnFormula>
    </tableColumn>
    <tableColumn id="50" xr3:uid="{00000000-0010-0000-0200-000032000000}" name="SIT" dataDxfId="179">
      <calculatedColumnFormula>IF(Tableau118[[#This Row],[Name ILN]]&lt;&gt;"SFK Freight Forwarder",Tableau118[[#This Row],[Cust. Leadtime]],Tableau118[[#This Row],[Leadtime SI2C]])</calculatedColumnFormula>
    </tableColumn>
    <tableColumn id="46" xr3:uid="{00000000-0010-0000-0200-00002E000000}" name="X-flows" dataDxfId="178">
      <calculatedColumnFormula>VLOOKUP(Tableau118[[#This Row],[ID]],'DATA BTO'!B:P,15,FALSE)</calculatedColumnFormula>
    </tableColumn>
    <tableColumn id="48" xr3:uid="{00000000-0010-0000-0200-000030000000}" name="Expiration Date" dataDxfId="177">
      <calculatedColumnFormula>IFERROR(VLOOKUP(Tableau118[[#This Row],[Key(ID-Actif)]],'DATA BTO'!A:N,4,FALSE),VLOOKUP(Tableau118[[#This Row],[ID]],'DATA BTO'!B:N,3,FALSE))</calculatedColumnFormula>
    </tableColumn>
    <tableColumn id="51" xr3:uid="{00000000-0010-0000-0200-000033000000}" name="Error Order" dataDxfId="176">
      <calculatedColumnFormula>IF(ISNUMBER(Tableau118[[#This Row],[Day Customer Order]]),"-","Please Check 'Name' information in 'Order' Sheet to make sure they have information")</calculatedColumnFormula>
    </tableColumn>
    <tableColumn id="52" xr3:uid="{00000000-0010-0000-0200-000034000000}" name="Error ILN" dataDxfId="175">
      <calculatedColumnFormula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calculatedColumnFormula>
    </tableColumn>
    <tableColumn id="53" xr3:uid="{00000000-0010-0000-0200-000035000000}" name="Error BTO" dataDxfId="174">
      <calculatedColumnFormula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calculatedColumnFormula>
    </tableColumn>
    <tableColumn id="54" xr3:uid="{00000000-0010-0000-0200-000036000000}" name="Error Consignee" dataDxfId="173">
      <calculatedColumnFormula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calculatedColumnFormula>
    </tableColumn>
    <tableColumn id="55" xr3:uid="{00000000-0010-0000-0200-000037000000}" name="Error Transport" dataDxfId="172">
      <calculatedColumnFormula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calculatedColumnFormula>
    </tableColumn>
    <tableColumn id="40" xr3:uid="{00000000-0010-0000-0200-000028000000}" name="Comments" dataDxfId="17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10" displayName="Tableau10" ref="A1:D59" totalsRowShown="0" headerRowDxfId="170" headerRowBorderDxfId="169" tableBorderDxfId="168">
  <autoFilter ref="A1:D59" xr:uid="{00000000-0009-0000-0100-000004000000}"/>
  <tableColumns count="4">
    <tableColumn id="1" xr3:uid="{00000000-0010-0000-0300-000001000000}" name="Plant" dataDxfId="167"/>
    <tableColumn id="2" xr3:uid="{00000000-0010-0000-0300-000002000000}" name="Name Plant in OFO" dataDxfId="166"/>
    <tableColumn id="3" xr3:uid="{00000000-0010-0000-0300-000003000000}" name="Code" dataDxfId="165"/>
    <tableColumn id="4" xr3:uid="{00000000-0010-0000-0300-000004000000}" name="Country" dataDxfId="16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au11" displayName="Tableau11" ref="F1:G22" totalsRowShown="0" headerRowDxfId="163" headerRowBorderDxfId="162" tableBorderDxfId="161">
  <autoFilter ref="F1:G22" xr:uid="{00000000-0009-0000-0100-000005000000}"/>
  <sortState xmlns:xlrd2="http://schemas.microsoft.com/office/spreadsheetml/2017/richdata2" ref="F2:G19">
    <sortCondition ref="F1:F19"/>
  </sortState>
  <tableColumns count="2">
    <tableColumn id="1" xr3:uid="{00000000-0010-0000-0400-000001000000}" name="AILN" dataDxfId="160"/>
    <tableColumn id="2" xr3:uid="{00000000-0010-0000-0400-000002000000}" name="Code" dataDxfId="1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au12" displayName="Tableau12" ref="I1:J10" totalsRowShown="0" headerRowDxfId="158" headerRowBorderDxfId="157" tableBorderDxfId="156" totalsRowBorderDxfId="155">
  <autoFilter ref="I1:J10" xr:uid="{00000000-0009-0000-0100-000006000000}"/>
  <sortState xmlns:xlrd2="http://schemas.microsoft.com/office/spreadsheetml/2017/richdata2" ref="I2:J8">
    <sortCondition ref="I1:I8"/>
  </sortState>
  <tableColumns count="2">
    <tableColumn id="1" xr3:uid="{00000000-0010-0000-0500-000001000000}" name="Liste PFI/CDD" dataDxfId="154"/>
    <tableColumn id="2" xr3:uid="{00000000-0010-0000-0500-000002000000}" name="Code" dataDxfId="1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au14" displayName="Tableau14" ref="N1:Q48" totalsRowShown="0" headerRowDxfId="152" headerRowBorderDxfId="151" tableBorderDxfId="150" totalsRowBorderDxfId="149">
  <autoFilter ref="N1:Q48" xr:uid="{00000000-0009-0000-0100-000007000000}"/>
  <tableColumns count="4">
    <tableColumn id="1" xr3:uid="{00000000-0010-0000-0600-000001000000}" name="AILN" dataDxfId="148"/>
    <tableColumn id="2" xr3:uid="{00000000-0010-0000-0600-000002000000}" name="compte SI2C" dataDxfId="147"/>
    <tableColumn id="3" xr3:uid="{00000000-0010-0000-0600-000003000000}" name="Libellé" dataDxfId="146"/>
    <tableColumn id="4" xr3:uid="{00000000-0010-0000-0600-000004000000}" name="Country" dataDxfId="14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au15" displayName="Tableau15" ref="S1:S12" totalsRowShown="0" headerRowDxfId="144" headerRowBorderDxfId="143" tableBorderDxfId="142" totalsRowBorderDxfId="141">
  <autoFilter ref="S1:S12" xr:uid="{00000000-0009-0000-0100-000008000000}"/>
  <tableColumns count="1">
    <tableColumn id="1" xr3:uid="{00000000-0010-0000-0700-000001000000}" name="Carrier" dataDxfId="1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16" displayName="Tableau16" ref="U1:U6" totalsRowShown="0" headerRowDxfId="139" headerRowBorderDxfId="138" tableBorderDxfId="137" totalsRowBorderDxfId="136">
  <autoFilter ref="U1:U6" xr:uid="{00000000-0009-0000-0100-000009000000}"/>
  <tableColumns count="1">
    <tableColumn id="1" xr3:uid="{00000000-0010-0000-0800-000001000000}" name="Pilot" dataDxfId="13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13" displayName="Tableau13" ref="L1:M55" totalsRowShown="0" headerRowDxfId="134" headerRowBorderDxfId="133" tableBorderDxfId="132" totalsRowBorderDxfId="131">
  <autoFilter ref="L1:M55" xr:uid="{00000000-0009-0000-0100-00000A000000}"/>
  <tableColumns count="2">
    <tableColumn id="1" xr3:uid="{00000000-0010-0000-0900-000001000000}" name="Shipper" dataDxfId="130"/>
    <tableColumn id="2" xr3:uid="{00000000-0010-0000-0900-000002000000}" name="Code" dataDxfId="12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6" displayName="Tableau6" ref="A1:D55" totalsRowShown="0" headerRowDxfId="128" dataDxfId="126" headerRowBorderDxfId="127" tableBorderDxfId="125">
  <autoFilter ref="A1:D55" xr:uid="{00000000-0009-0000-0100-00000B000000}"/>
  <sortState xmlns:xlrd2="http://schemas.microsoft.com/office/spreadsheetml/2017/richdata2" ref="A52:D53">
    <sortCondition ref="A1:A54"/>
  </sortState>
  <tableColumns count="4">
    <tableColumn id="1" xr3:uid="{00000000-0010-0000-0A00-000001000000}" name="Country" dataDxfId="124"/>
    <tableColumn id="2" xr3:uid="{00000000-0010-0000-0A00-000002000000}" name="Name" dataDxfId="123"/>
    <tableColumn id="3" xr3:uid="{00000000-0010-0000-0A00-000003000000}" name="Compte Site" dataDxfId="122">
      <calculatedColumnFormula>VLOOKUP(Tableau6[[#This Row],[Name]],Tableau10[],3,FALSE)</calculatedColumnFormula>
    </tableColumn>
    <tableColumn id="4" xr3:uid="{00000000-0010-0000-0A00-000004000000}" name="Day Customer Order" dataDxfId="1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au8" displayName="Tableau8" ref="A1:R78" totalsRowShown="0" headerRowDxfId="120" dataDxfId="119" tableBorderDxfId="118">
  <autoFilter ref="A1:R78" xr:uid="{00000000-0009-0000-0100-00000C000000}"/>
  <tableColumns count="18">
    <tableColumn id="1" xr3:uid="{00000000-0010-0000-0B00-000001000000}" name="Clé(ID-Status)" dataDxfId="117">
      <calculatedColumnFormula>_xlfn.CONCAT(B2,"-",M2)</calculatedColumnFormula>
    </tableColumn>
    <tableColumn id="2" xr3:uid="{00000000-0010-0000-0B00-000002000000}" name="ID Group" dataDxfId="116"/>
    <tableColumn id="3" xr3:uid="{00000000-0010-0000-0B00-000003000000}" name="From" dataDxfId="115"/>
    <tableColumn id="4" xr3:uid="{00000000-0010-0000-0B00-000004000000}" name="To" dataDxfId="114"/>
    <tableColumn id="5" xr3:uid="{00000000-0010-0000-0B00-000005000000}" name="POL" dataDxfId="113"/>
    <tableColumn id="6" xr3:uid="{00000000-0010-0000-0B00-000006000000}" name="Carrier" dataDxfId="112"/>
    <tableColumn id="7" xr3:uid="{00000000-0010-0000-0B00-000007000000}" name="Day_x000a_Cut Off" dataDxfId="111"/>
    <tableColumn id="8" xr3:uid="{00000000-0010-0000-0B00-000008000000}" name="Day ETD" dataDxfId="110"/>
    <tableColumn id="9" xr3:uid="{00000000-0010-0000-0B00-000009000000}" name="Transit time" dataDxfId="109"/>
    <tableColumn id="10" xr3:uid="{00000000-0010-0000-0B00-00000A000000}" name="POD" dataDxfId="108"/>
    <tableColumn id="11" xr3:uid="{00000000-0010-0000-0B00-00000B000000}" name="Time for security" dataDxfId="107"/>
    <tableColumn id="12" xr3:uid="{00000000-0010-0000-0B00-00000C000000}" name="Time for security2-buffer" dataDxfId="106"/>
    <tableColumn id="13" xr3:uid="{00000000-0010-0000-0B00-00000D000000}" name="Status" dataDxfId="105">
      <calculatedColumnFormula>IF(AND(C2&lt;TODAY(),D2&gt;TODAY()),"Actif",IF(C2&gt;TODAY(),"Next","Inactif"))</calculatedColumnFormula>
    </tableColumn>
    <tableColumn id="14" xr3:uid="{00000000-0010-0000-0B00-00000E000000}" name="Pilot" dataDxfId="104"/>
    <tableColumn id="15" xr3:uid="{00000000-0010-0000-0B00-00000F000000}" name="Comments " dataDxfId="103"/>
    <tableColumn id="16" xr3:uid="{00000000-0010-0000-0B00-000010000000}" name="X-flows" dataDxfId="102"/>
    <tableColumn id="17" xr3:uid="{00000000-0010-0000-0B00-000011000000}" name="Customer safety stock" dataDxfId="101"/>
    <tableColumn id="18" xr3:uid="{00000000-0010-0000-0B00-000012000000}" name="NO" dataDxfId="10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au2" displayName="Tableau2" ref="A1:Q233" totalsRowShown="0" headerRowDxfId="99" dataDxfId="97" headerRowBorderDxfId="98" tableBorderDxfId="96">
  <autoFilter ref="A1:Q233" xr:uid="{00000000-0009-0000-0100-00000D000000}"/>
  <tableColumns count="17">
    <tableColumn id="1" xr3:uid="{00000000-0010-0000-0C00-000001000000}" name="Clé(Compte ILN - shipper - POL - plant)" dataDxfId="95">
      <calculatedColumnFormula>_xlfn.CONCAT(Tableau2[[#This Row],[Compte ILN]],"-",Tableau2[[#This Row],[Compte Shipper]],"-",Tableau2[[#This Row],[POL]],"-",Tableau2[[#This Row],[Compte Consignee]])</calculatedColumnFormula>
    </tableColumn>
    <tableColumn id="14" xr3:uid="{00000000-0010-0000-0C00-00000E000000}" name="Clé(Compte ILN - shipper - POL)" dataDxfId="94">
      <calculatedColumnFormula>IF(Tableau2[[#This Row],[Name Consignee]]="",_xlfn.CONCAT(Tableau2[[#This Row],[Compte ILN]],"-",Tableau2[[#This Row],[Compte Shipper]],"-",Tableau2[[#This Row],[POL]]),"-")</calculatedColumnFormula>
    </tableColumn>
    <tableColumn id="2" xr3:uid="{00000000-0010-0000-0C00-000002000000}" name=" Name ILN" dataDxfId="93"/>
    <tableColumn id="3" xr3:uid="{00000000-0010-0000-0C00-000003000000}" name="Compte ILN" dataDxfId="92">
      <calculatedColumnFormula>VLOOKUP(Tableau2[[#This Row],[ Name ILN]],Plant_AILN!F:G,2,FALSE)</calculatedColumnFormula>
    </tableColumn>
    <tableColumn id="18" xr3:uid="{00000000-0010-0000-0C00-000012000000}" name="Name of shipper" dataDxfId="91"/>
    <tableColumn id="17" xr3:uid="{00000000-0010-0000-0C00-000011000000}" name="Compte Shipper" dataDxfId="90">
      <calculatedColumnFormula>IFERROR(VLOOKUP(Tableau2[[#This Row],[Name of shipper]],Plant_AILN!L:M,2,FALSE),0)</calculatedColumnFormula>
    </tableColumn>
    <tableColumn id="16" xr3:uid="{00000000-0010-0000-0C00-000010000000}" name="Name Consignee" dataDxfId="89"/>
    <tableColumn id="15" xr3:uid="{00000000-0010-0000-0C00-00000F000000}" name="Compte Consignee" dataDxfId="88">
      <calculatedColumnFormula>IF(Tableau2[[#This Row],[Name Consignee]]=0,"",VLOOKUP(Tableau2[[#This Row],[Name Consignee]],Plant_AILN!A:C,3,FALSE))</calculatedColumnFormula>
    </tableColumn>
    <tableColumn id="4" xr3:uid="{00000000-0010-0000-0C00-000004000000}" name="Day ILN Order" dataDxfId="87"/>
    <tableColumn id="5" xr3:uid="{00000000-0010-0000-0C00-000005000000}" name="Delivery time to ILN/Shipper" dataDxfId="86"/>
    <tableColumn id="6" xr3:uid="{00000000-0010-0000-0C00-000006000000}" name="Time of Recept in ILN" dataDxfId="85"/>
    <tableColumn id="7" xr3:uid="{00000000-0010-0000-0C00-000007000000}" name="Packaging préparation &amp; loading" dataDxfId="84"/>
    <tableColumn id="8" xr3:uid="{00000000-0010-0000-0C00-000008000000}" name="First Receipt Days" dataDxfId="83">
      <calculatedColumnFormula>Tableau2[[#This Row],[Delivery time to ILN/Shipper]]+Tableau2[[#This Row],[Day ILN Order]]-1</calculatedColumnFormula>
    </tableColumn>
    <tableColumn id="9" xr3:uid="{00000000-0010-0000-0C00-000009000000}" name="Transport ILN to POL" dataDxfId="82"/>
    <tableColumn id="10" xr3:uid="{00000000-0010-0000-0C00-00000A000000}" name="POL" dataDxfId="81"/>
    <tableColumn id="11" xr3:uid="{00000000-0010-0000-0C00-00000B000000}" name="First Day to POL" dataDxfId="80"/>
    <tableColumn id="12" xr3:uid="{00000000-0010-0000-0C00-00000C000000}" name="comments" dataDxfId="7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au3" displayName="Tableau3" ref="A1:N100" totalsRowShown="0" headerRowDxfId="78" dataDxfId="76" headerRowBorderDxfId="77" tableBorderDxfId="75">
  <autoFilter ref="A1:N100" xr:uid="{00000000-0009-0000-0100-00000E000000}"/>
  <tableColumns count="14">
    <tableColumn id="1" xr3:uid="{00000000-0010-0000-0D00-000001000000}" name="Clé(POD-PFI-Usine)" dataDxfId="74">
      <calculatedColumnFormula>_xlfn.CONCAT(Tableau3[[#This Row],[POD]],"-",Tableau3[[#This Row],[Code PFI]],"-",Tableau3[[#This Row],[Compte Consignee]])</calculatedColumnFormula>
    </tableColumn>
    <tableColumn id="14" xr3:uid="{00000000-0010-0000-0D00-00000E000000}" name="Clé(POD-PFI)" dataDxfId="73">
      <calculatedColumnFormula>_xlfn.CONCAT(Tableau3[[#This Row],[POD]],"-",Tableau3[[#This Row],[Code PFI]])</calculatedColumnFormula>
    </tableColumn>
    <tableColumn id="2" xr3:uid="{00000000-0010-0000-0D00-000002000000}" name="Clé(POD-Compte site )" dataDxfId="72">
      <calculatedColumnFormula>IF(Tableau3[[#This Row],[Name PFI/CDD]]="",_xlfn.CONCAT(Tableau3[[#This Row],[POD]],"-",Tableau3[[#This Row],[Compte Consignee]]),"-")</calculatedColumnFormula>
    </tableColumn>
    <tableColumn id="3" xr3:uid="{00000000-0010-0000-0D00-000003000000}" name="Clé(PFI-site)" dataDxfId="71">
      <calculatedColumnFormula>_xlfn.CONCAT(Tableau3[[#This Row],[Code PFI]],"-",Tableau3[[#This Row],[Compte Consignee]])</calculatedColumnFormula>
    </tableColumn>
    <tableColumn id="4" xr3:uid="{00000000-0010-0000-0D00-000004000000}" name="POD" dataDxfId="70"/>
    <tableColumn id="5" xr3:uid="{00000000-0010-0000-0D00-000005000000}" name="Cust." dataDxfId="69"/>
    <tableColumn id="6" xr3:uid="{00000000-0010-0000-0D00-000006000000}" name="Name PFI/CDD" dataDxfId="68"/>
    <tableColumn id="7" xr3:uid="{00000000-0010-0000-0D00-000007000000}" name="Code PFI" dataDxfId="67">
      <calculatedColumnFormula>IF(Tableau3[[#This Row],[Name PFI/CDD]]&lt;&gt;"",VLOOKUP(Tableau3[[#This Row],[Name PFI/CDD]],Plant_AILN!I:J,2,FALSE),"-")</calculatedColumnFormula>
    </tableColumn>
    <tableColumn id="8" xr3:uid="{00000000-0010-0000-0D00-000008000000}" name="type PFI/CDD" dataDxfId="66">
      <calculatedColumnFormula>IF(Tableau3[[#This Row],[Code PFI]]="-","Direct","PFI/CDD")</calculatedColumnFormula>
    </tableColumn>
    <tableColumn id="9" xr3:uid="{00000000-0010-0000-0D00-000009000000}" name="Trpt POD &gt; PFI" dataDxfId="65">
      <calculatedColumnFormula>IFERROR(IF(Tableau3[[#This Row],[type PFI/CDD]]="Direct",0,VLOOKUP(Tableau3[[#This Row],[Clé(POD-PFI)]],Transport!G:K,5,FALSE)),"")</calculatedColumnFormula>
    </tableColumn>
    <tableColumn id="10" xr3:uid="{00000000-0010-0000-0D00-00000A000000}" name="Country" dataDxfId="64">
      <calculatedColumnFormula>VLOOKUP(Tableau3[[#This Row],[Name Consignee]],Tableau10[],4,FALSE)</calculatedColumnFormula>
    </tableColumn>
    <tableColumn id="11" xr3:uid="{00000000-0010-0000-0D00-00000B000000}" name="Name Consignee" dataDxfId="63"/>
    <tableColumn id="12" xr3:uid="{00000000-0010-0000-0D00-00000C000000}" name="Compte Consignee" dataDxfId="62">
      <calculatedColumnFormula>VLOOKUP(Tableau3[[#This Row],[Name Consignee]],Tableau10[],3,FALSE)</calculatedColumnFormula>
    </tableColumn>
    <tableColumn id="13" xr3:uid="{00000000-0010-0000-0D00-00000D000000}" name="Trpt POD/PFI vers Usine" dataDxfId="61">
      <calculatedColumnFormula>IFERROR(IF(Tableau3[[#This Row],[type PFI/CDD]]="Direct",VLOOKUP(Tableau3[[#This Row],[Clé(POD-Compte site )]],Transport!A:E,5,FALSE),VLOOKUP(Tableau3[[#This Row],[Clé(PFI-site)]],Transport!M:S,7,FALSE)),"No information")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au4" displayName="Tableau4" ref="A2:E61" totalsRowShown="0" headerRowDxfId="60" dataDxfId="58" headerRowBorderDxfId="59" tableBorderDxfId="57">
  <autoFilter ref="A2:E61" xr:uid="{00000000-0009-0000-0100-00000F000000}"/>
  <tableColumns count="5">
    <tableColumn id="1" xr3:uid="{00000000-0010-0000-0E00-000001000000}" name="Clé POD-Code Plant" dataDxfId="56">
      <calculatedColumnFormula>_xlfn.CONCAT(Tableau4[[#This Row],[POD]],"-",Tableau4[[#This Row],[Code Plant]])</calculatedColumnFormula>
    </tableColumn>
    <tableColumn id="2" xr3:uid="{00000000-0010-0000-0E00-000002000000}" name="POD" dataDxfId="55"/>
    <tableColumn id="3" xr3:uid="{00000000-0010-0000-0E00-000003000000}" name="Name Plant" dataDxfId="54"/>
    <tableColumn id="4" xr3:uid="{00000000-0010-0000-0E00-000004000000}" name="Code Plant" dataDxfId="53">
      <calculatedColumnFormula>VLOOKUP(Tableau4[[#This Row],[Name Plant]],Plant_AILN!A:C,3,FALSE)</calculatedColumnFormula>
    </tableColumn>
    <tableColumn id="5" xr3:uid="{00000000-0010-0000-0E00-000005000000}" name="Trpt direct vers Usine" dataDxfId="5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au5" displayName="Tableau5" ref="G2:K10" totalsRowShown="0" headerRowDxfId="51" dataDxfId="49" headerRowBorderDxfId="50" tableBorderDxfId="48">
  <autoFilter ref="G2:K10" xr:uid="{00000000-0009-0000-0100-000010000000}"/>
  <tableColumns count="5">
    <tableColumn id="1" xr3:uid="{00000000-0010-0000-0F00-000001000000}" name="Clé POD-Code PFI" dataDxfId="47">
      <calculatedColumnFormula>_xlfn.CONCAT(Tableau5[[#This Row],[POD]],"-",Tableau5[[#This Row],[Code PFI]])</calculatedColumnFormula>
    </tableColumn>
    <tableColumn id="2" xr3:uid="{00000000-0010-0000-0F00-000002000000}" name="POD" dataDxfId="46"/>
    <tableColumn id="3" xr3:uid="{00000000-0010-0000-0F00-000003000000}" name="Name PFI " dataDxfId="45"/>
    <tableColumn id="4" xr3:uid="{00000000-0010-0000-0F00-000004000000}" name="Code PFI" dataDxfId="44">
      <calculatedColumnFormula>VLOOKUP(Tableau5[[#This Row],[Name PFI ]],Plant_AILN!I:J,2,FALSE)</calculatedColumnFormula>
    </tableColumn>
    <tableColumn id="5" xr3:uid="{00000000-0010-0000-0F00-000005000000}" name="Transport" dataDxfId="43">
      <calculatedColumnFormula>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au7" displayName="Tableau7" ref="M2:S49" totalsRowShown="0" headerRowDxfId="42" dataDxfId="40" headerRowBorderDxfId="41" tableBorderDxfId="39">
  <autoFilter ref="M2:S49" xr:uid="{00000000-0009-0000-0100-000011000000}"/>
  <tableColumns count="7">
    <tableColumn id="1" xr3:uid="{00000000-0010-0000-1000-000001000000}" name="Clé Code PFI - Code Usine" dataDxfId="38">
      <calculatedColumnFormula>_xlfn.CONCAT(Tableau7[[#This Row],[Code PFI ]],"-",Tableau7[[#This Row],[Compte Consignee]])</calculatedColumnFormula>
    </tableColumn>
    <tableColumn id="2" xr3:uid="{00000000-0010-0000-1000-000002000000}" name="PFI Import" dataDxfId="37"/>
    <tableColumn id="3" xr3:uid="{00000000-0010-0000-1000-000003000000}" name="Code PFI " dataDxfId="36">
      <calculatedColumnFormula>VLOOKUP(Tableau7[[#This Row],[PFI Import]],Plant_AILN!I:J,2,FALSE)</calculatedColumnFormula>
    </tableColumn>
    <tableColumn id="4" xr3:uid="{00000000-0010-0000-1000-000004000000}" name="Usine arrivée" dataDxfId="35"/>
    <tableColumn id="5" xr3:uid="{00000000-0010-0000-1000-000005000000}" name="Name Consignee" dataDxfId="34"/>
    <tableColumn id="6" xr3:uid="{00000000-0010-0000-1000-000006000000}" name="Compte Consignee" dataDxfId="33">
      <calculatedColumnFormula>VLOOKUP(Tableau7[[#This Row],[Name Consignee]],Plant_AILN!A:C,3,FALSE)</calculatedColumnFormula>
    </tableColumn>
    <tableColumn id="7" xr3:uid="{00000000-0010-0000-1000-000007000000}" name="Moyenne preavis GPI - 1J  ( Hors flux SFK)" dataDxfId="3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buffer_train" displayName="buffer_train" ref="G15:K18" totalsRowShown="0" headerRowDxfId="31" dataDxfId="29" headerRowBorderDxfId="30" tableBorderDxfId="28" totalsRowBorderDxfId="27">
  <autoFilter ref="G15:K18" xr:uid="{00000000-0009-0000-0100-000012000000}"/>
  <tableColumns count="5">
    <tableColumn id="1" xr3:uid="{00000000-0010-0000-1100-000001000000}" name="AILN" dataDxfId="26"/>
    <tableColumn id="2" xr3:uid="{00000000-0010-0000-1100-000002000000}" name="Transport" dataDxfId="25"/>
    <tableColumn id="3" xr3:uid="{00000000-0010-0000-1100-000003000000}" name="Day Cut off" dataDxfId="24"/>
    <tableColumn id="4" xr3:uid="{00000000-0010-0000-1100-000004000000}" name="Day ETD1" dataDxfId="23"/>
    <tableColumn id="5" xr3:uid="{00000000-0010-0000-1100-000005000000}" name="Day ETD2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4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vmlDrawing" Target="../drawings/vmlDrawing6.vml"/><Relationship Id="rId6" Type="http://schemas.openxmlformats.org/officeDocument/2006/relationships/comments" Target="../comments6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7030A0"/>
  </sheetPr>
  <dimension ref="A1:DT37"/>
  <sheetViews>
    <sheetView zoomScaleNormal="100" workbookViewId="0">
      <selection activeCell="B5" sqref="B5"/>
    </sheetView>
  </sheetViews>
  <sheetFormatPr baseColWidth="10" defaultColWidth="11.44140625" defaultRowHeight="14.4"/>
  <cols>
    <col min="1" max="1" width="12.44140625" customWidth="1"/>
    <col min="2" max="2" width="21.44140625" bestFit="1" customWidth="1"/>
    <col min="3" max="3" width="7.44140625" customWidth="1"/>
    <col min="4" max="5" width="6.44140625" customWidth="1"/>
    <col min="6" max="124" width="1.44140625" customWidth="1"/>
  </cols>
  <sheetData>
    <row r="1" spans="1:124" s="11" customFormat="1" ht="9" customHeight="1">
      <c r="A1" s="570" t="s">
        <v>0</v>
      </c>
      <c r="B1" s="561" t="s">
        <v>1</v>
      </c>
      <c r="C1" s="546" t="str">
        <f>_xlfn.XLOOKUP(A25,'VTT actif'!B:B,'VTT actif'!P:P,"-",0)</f>
        <v>-</v>
      </c>
      <c r="D1" s="550"/>
      <c r="E1" s="551"/>
      <c r="F1" s="566" t="str">
        <f>"W"&amp;WEEKNUM(F6)</f>
        <v>W12</v>
      </c>
      <c r="G1" s="567"/>
      <c r="H1" s="567"/>
      <c r="I1" s="567"/>
      <c r="J1" s="567"/>
      <c r="K1" s="567"/>
      <c r="L1" s="568"/>
      <c r="M1" s="566" t="str">
        <f>"W"&amp;WEEKNUM(M6)</f>
        <v>W13</v>
      </c>
      <c r="N1" s="567"/>
      <c r="O1" s="567"/>
      <c r="P1" s="567"/>
      <c r="Q1" s="567"/>
      <c r="R1" s="567"/>
      <c r="S1" s="568"/>
      <c r="T1" s="566" t="str">
        <f>"W"&amp;WEEKNUM(T6)</f>
        <v>W14</v>
      </c>
      <c r="U1" s="567"/>
      <c r="V1" s="567"/>
      <c r="W1" s="567"/>
      <c r="X1" s="567"/>
      <c r="Y1" s="567"/>
      <c r="Z1" s="568"/>
      <c r="AA1" s="566" t="str">
        <f>"W"&amp;WEEKNUM(AA6)</f>
        <v>W15</v>
      </c>
      <c r="AB1" s="567"/>
      <c r="AC1" s="567"/>
      <c r="AD1" s="567"/>
      <c r="AE1" s="567"/>
      <c r="AF1" s="567"/>
      <c r="AG1" s="568"/>
      <c r="AH1" s="566" t="str">
        <f>"W"&amp;WEEKNUM(AH6)</f>
        <v>W16</v>
      </c>
      <c r="AI1" s="567"/>
      <c r="AJ1" s="567"/>
      <c r="AK1" s="567"/>
      <c r="AL1" s="567"/>
      <c r="AM1" s="567"/>
      <c r="AN1" s="568"/>
      <c r="AO1" s="566" t="str">
        <f>"W"&amp;WEEKNUM(AO6)</f>
        <v>W17</v>
      </c>
      <c r="AP1" s="567"/>
      <c r="AQ1" s="567"/>
      <c r="AR1" s="567"/>
      <c r="AS1" s="567"/>
      <c r="AT1" s="567"/>
      <c r="AU1" s="568"/>
      <c r="AV1" s="566" t="str">
        <f>"W"&amp;WEEKNUM(AV6)</f>
        <v>W18</v>
      </c>
      <c r="AW1" s="567"/>
      <c r="AX1" s="567"/>
      <c r="AY1" s="567"/>
      <c r="AZ1" s="567"/>
      <c r="BA1" s="567"/>
      <c r="BB1" s="568"/>
      <c r="BC1" s="566" t="str">
        <f>"W"&amp;WEEKNUM(BC6)</f>
        <v>W19</v>
      </c>
      <c r="BD1" s="567"/>
      <c r="BE1" s="567"/>
      <c r="BF1" s="567"/>
      <c r="BG1" s="567"/>
      <c r="BH1" s="567"/>
      <c r="BI1" s="568"/>
      <c r="BJ1" s="566" t="str">
        <f>"W"&amp;WEEKNUM(BJ6)</f>
        <v>W20</v>
      </c>
      <c r="BK1" s="567"/>
      <c r="BL1" s="567"/>
      <c r="BM1" s="567"/>
      <c r="BN1" s="567"/>
      <c r="BO1" s="567"/>
      <c r="BP1" s="568"/>
      <c r="BQ1" s="566" t="str">
        <f>"W"&amp;WEEKNUM(BQ6)</f>
        <v>W21</v>
      </c>
      <c r="BR1" s="567"/>
      <c r="BS1" s="567"/>
      <c r="BT1" s="567"/>
      <c r="BU1" s="567"/>
      <c r="BV1" s="567"/>
      <c r="BW1" s="568"/>
      <c r="BX1" s="566" t="str">
        <f>"W"&amp;WEEKNUM(BX6)</f>
        <v>W22</v>
      </c>
      <c r="BY1" s="567"/>
      <c r="BZ1" s="567"/>
      <c r="CA1" s="567"/>
      <c r="CB1" s="567"/>
      <c r="CC1" s="567"/>
      <c r="CD1" s="568"/>
      <c r="CE1" s="566" t="str">
        <f>"W"&amp;WEEKNUM(CE6)</f>
        <v>W23</v>
      </c>
      <c r="CF1" s="567"/>
      <c r="CG1" s="567"/>
      <c r="CH1" s="567"/>
      <c r="CI1" s="567"/>
      <c r="CJ1" s="567"/>
      <c r="CK1" s="568"/>
      <c r="CL1" s="566" t="str">
        <f>"W"&amp;WEEKNUM(CL6)</f>
        <v>W24</v>
      </c>
      <c r="CM1" s="567"/>
      <c r="CN1" s="567"/>
      <c r="CO1" s="567"/>
      <c r="CP1" s="567"/>
      <c r="CQ1" s="567"/>
      <c r="CR1" s="568"/>
      <c r="CS1" s="566" t="str">
        <f>"W"&amp;WEEKNUM(CS6)</f>
        <v>W25</v>
      </c>
      <c r="CT1" s="567"/>
      <c r="CU1" s="567"/>
      <c r="CV1" s="567"/>
      <c r="CW1" s="567"/>
      <c r="CX1" s="567"/>
      <c r="CY1" s="568"/>
      <c r="CZ1" s="566" t="str">
        <f>"W"&amp;WEEKNUM(CZ6)</f>
        <v>W26</v>
      </c>
      <c r="DA1" s="567"/>
      <c r="DB1" s="567"/>
      <c r="DC1" s="567"/>
      <c r="DD1" s="567"/>
      <c r="DE1" s="567"/>
      <c r="DF1" s="568"/>
      <c r="DG1" s="566" t="str">
        <f>"W"&amp;WEEKNUM(DG6)</f>
        <v>W27</v>
      </c>
      <c r="DH1" s="567"/>
      <c r="DI1" s="567"/>
      <c r="DJ1" s="567"/>
      <c r="DK1" s="567"/>
      <c r="DL1" s="567"/>
      <c r="DM1" s="568"/>
      <c r="DN1" s="566" t="str">
        <f>"W"&amp;WEEKNUM(DN6)</f>
        <v>W28</v>
      </c>
      <c r="DO1" s="567"/>
      <c r="DP1" s="567"/>
      <c r="DQ1" s="567"/>
      <c r="DR1" s="567"/>
      <c r="DS1" s="567"/>
      <c r="DT1" s="568"/>
    </row>
    <row r="2" spans="1:124" s="11" customFormat="1" ht="9" customHeight="1" thickBot="1">
      <c r="A2" s="571"/>
      <c r="B2" s="562"/>
      <c r="C2" s="560"/>
      <c r="D2" s="564"/>
      <c r="E2" s="565"/>
      <c r="F2" s="569" t="s">
        <v>2</v>
      </c>
      <c r="G2" s="557"/>
      <c r="H2" s="557"/>
      <c r="I2" s="557"/>
      <c r="J2" s="557"/>
      <c r="K2" s="557"/>
      <c r="L2" s="558"/>
      <c r="M2" s="556" t="s">
        <v>3</v>
      </c>
      <c r="N2" s="557"/>
      <c r="O2" s="557"/>
      <c r="P2" s="557"/>
      <c r="Q2" s="557"/>
      <c r="R2" s="557"/>
      <c r="S2" s="558"/>
      <c r="T2" s="556" t="s">
        <v>4</v>
      </c>
      <c r="U2" s="557"/>
      <c r="V2" s="557"/>
      <c r="W2" s="557"/>
      <c r="X2" s="557"/>
      <c r="Y2" s="557"/>
      <c r="Z2" s="558"/>
      <c r="AA2" s="556" t="s">
        <v>5</v>
      </c>
      <c r="AB2" s="557"/>
      <c r="AC2" s="557"/>
      <c r="AD2" s="557"/>
      <c r="AE2" s="557"/>
      <c r="AF2" s="557"/>
      <c r="AG2" s="558"/>
      <c r="AH2" s="556" t="s">
        <v>6</v>
      </c>
      <c r="AI2" s="557"/>
      <c r="AJ2" s="557"/>
      <c r="AK2" s="557"/>
      <c r="AL2" s="557"/>
      <c r="AM2" s="557"/>
      <c r="AN2" s="558"/>
      <c r="AO2" s="556" t="s">
        <v>7</v>
      </c>
      <c r="AP2" s="557"/>
      <c r="AQ2" s="557"/>
      <c r="AR2" s="557"/>
      <c r="AS2" s="557"/>
      <c r="AT2" s="557"/>
      <c r="AU2" s="558"/>
      <c r="AV2" s="556" t="s">
        <v>8</v>
      </c>
      <c r="AW2" s="557"/>
      <c r="AX2" s="557"/>
      <c r="AY2" s="557"/>
      <c r="AZ2" s="557"/>
      <c r="BA2" s="557"/>
      <c r="BB2" s="558"/>
      <c r="BC2" s="556" t="s">
        <v>9</v>
      </c>
      <c r="BD2" s="557"/>
      <c r="BE2" s="557"/>
      <c r="BF2" s="557"/>
      <c r="BG2" s="557"/>
      <c r="BH2" s="557"/>
      <c r="BI2" s="558"/>
      <c r="BJ2" s="556" t="s">
        <v>10</v>
      </c>
      <c r="BK2" s="557"/>
      <c r="BL2" s="557"/>
      <c r="BM2" s="557"/>
      <c r="BN2" s="557"/>
      <c r="BO2" s="557"/>
      <c r="BP2" s="558"/>
      <c r="BQ2" s="556" t="s">
        <v>11</v>
      </c>
      <c r="BR2" s="557"/>
      <c r="BS2" s="557"/>
      <c r="BT2" s="557"/>
      <c r="BU2" s="557"/>
      <c r="BV2" s="557"/>
      <c r="BW2" s="558"/>
      <c r="BX2" s="556" t="s">
        <v>12</v>
      </c>
      <c r="BY2" s="557"/>
      <c r="BZ2" s="557"/>
      <c r="CA2" s="557"/>
      <c r="CB2" s="557"/>
      <c r="CC2" s="557"/>
      <c r="CD2" s="558"/>
      <c r="CE2" s="556" t="s">
        <v>13</v>
      </c>
      <c r="CF2" s="557"/>
      <c r="CG2" s="557"/>
      <c r="CH2" s="557"/>
      <c r="CI2" s="557"/>
      <c r="CJ2" s="557"/>
      <c r="CK2" s="558"/>
      <c r="CL2" s="556" t="s">
        <v>14</v>
      </c>
      <c r="CM2" s="557"/>
      <c r="CN2" s="557"/>
      <c r="CO2" s="557"/>
      <c r="CP2" s="557"/>
      <c r="CQ2" s="557"/>
      <c r="CR2" s="558"/>
      <c r="CS2" s="556" t="s">
        <v>15</v>
      </c>
      <c r="CT2" s="557"/>
      <c r="CU2" s="557"/>
      <c r="CV2" s="557"/>
      <c r="CW2" s="557"/>
      <c r="CX2" s="557"/>
      <c r="CY2" s="558"/>
      <c r="CZ2" s="556" t="s">
        <v>16</v>
      </c>
      <c r="DA2" s="557"/>
      <c r="DB2" s="557"/>
      <c r="DC2" s="557"/>
      <c r="DD2" s="557"/>
      <c r="DE2" s="557"/>
      <c r="DF2" s="558"/>
      <c r="DG2" s="556" t="s">
        <v>17</v>
      </c>
      <c r="DH2" s="557"/>
      <c r="DI2" s="557"/>
      <c r="DJ2" s="557"/>
      <c r="DK2" s="557"/>
      <c r="DL2" s="557"/>
      <c r="DM2" s="558"/>
      <c r="DN2" s="556" t="s">
        <v>18</v>
      </c>
      <c r="DO2" s="557"/>
      <c r="DP2" s="557"/>
      <c r="DQ2" s="557"/>
      <c r="DR2" s="557"/>
      <c r="DS2" s="557"/>
      <c r="DT2" s="558"/>
    </row>
    <row r="3" spans="1:124" s="12" customFormat="1" ht="9" customHeight="1">
      <c r="A3" s="559" t="s">
        <v>19</v>
      </c>
      <c r="B3" s="561" t="s">
        <v>20</v>
      </c>
      <c r="C3" s="563" t="str">
        <f>_xlfn.XLOOKUP(A25,'VTT actif'!B:B,'VTT actif'!Y:Y,"-",0)</f>
        <v>-</v>
      </c>
      <c r="D3" s="550"/>
      <c r="E3" s="551"/>
      <c r="F3" s="32" t="s">
        <v>21</v>
      </c>
      <c r="G3" s="33" t="s">
        <v>22</v>
      </c>
      <c r="H3" s="33" t="s">
        <v>22</v>
      </c>
      <c r="I3" s="33" t="s">
        <v>23</v>
      </c>
      <c r="J3" s="33" t="s">
        <v>24</v>
      </c>
      <c r="K3" s="34" t="s">
        <v>25</v>
      </c>
      <c r="L3" s="35" t="s">
        <v>26</v>
      </c>
      <c r="M3" s="36" t="s">
        <v>21</v>
      </c>
      <c r="N3" s="33" t="s">
        <v>22</v>
      </c>
      <c r="O3" s="33" t="s">
        <v>22</v>
      </c>
      <c r="P3" s="33" t="s">
        <v>23</v>
      </c>
      <c r="Q3" s="33" t="s">
        <v>24</v>
      </c>
      <c r="R3" s="34" t="s">
        <v>25</v>
      </c>
      <c r="S3" s="35" t="s">
        <v>26</v>
      </c>
      <c r="T3" s="36" t="s">
        <v>21</v>
      </c>
      <c r="U3" s="33" t="s">
        <v>22</v>
      </c>
      <c r="V3" s="33" t="s">
        <v>22</v>
      </c>
      <c r="W3" s="33" t="s">
        <v>23</v>
      </c>
      <c r="X3" s="33" t="s">
        <v>24</v>
      </c>
      <c r="Y3" s="34" t="s">
        <v>25</v>
      </c>
      <c r="Z3" s="35" t="s">
        <v>26</v>
      </c>
      <c r="AA3" s="36" t="s">
        <v>21</v>
      </c>
      <c r="AB3" s="33" t="s">
        <v>22</v>
      </c>
      <c r="AC3" s="33" t="s">
        <v>22</v>
      </c>
      <c r="AD3" s="33" t="s">
        <v>23</v>
      </c>
      <c r="AE3" s="33" t="s">
        <v>24</v>
      </c>
      <c r="AF3" s="34" t="s">
        <v>25</v>
      </c>
      <c r="AG3" s="35" t="s">
        <v>26</v>
      </c>
      <c r="AH3" s="36" t="s">
        <v>21</v>
      </c>
      <c r="AI3" s="33" t="s">
        <v>22</v>
      </c>
      <c r="AJ3" s="33" t="s">
        <v>22</v>
      </c>
      <c r="AK3" s="33" t="s">
        <v>23</v>
      </c>
      <c r="AL3" s="33" t="s">
        <v>24</v>
      </c>
      <c r="AM3" s="34" t="s">
        <v>25</v>
      </c>
      <c r="AN3" s="35" t="s">
        <v>26</v>
      </c>
      <c r="AO3" s="36" t="s">
        <v>21</v>
      </c>
      <c r="AP3" s="33" t="s">
        <v>22</v>
      </c>
      <c r="AQ3" s="33" t="s">
        <v>22</v>
      </c>
      <c r="AR3" s="33" t="s">
        <v>23</v>
      </c>
      <c r="AS3" s="33" t="s">
        <v>24</v>
      </c>
      <c r="AT3" s="34" t="s">
        <v>25</v>
      </c>
      <c r="AU3" s="35" t="s">
        <v>26</v>
      </c>
      <c r="AV3" s="36" t="s">
        <v>21</v>
      </c>
      <c r="AW3" s="33" t="s">
        <v>22</v>
      </c>
      <c r="AX3" s="33" t="s">
        <v>22</v>
      </c>
      <c r="AY3" s="33" t="s">
        <v>23</v>
      </c>
      <c r="AZ3" s="33" t="s">
        <v>24</v>
      </c>
      <c r="BA3" s="34" t="s">
        <v>25</v>
      </c>
      <c r="BB3" s="35" t="s">
        <v>26</v>
      </c>
      <c r="BC3" s="36" t="s">
        <v>21</v>
      </c>
      <c r="BD3" s="33" t="s">
        <v>22</v>
      </c>
      <c r="BE3" s="33" t="s">
        <v>22</v>
      </c>
      <c r="BF3" s="33" t="s">
        <v>23</v>
      </c>
      <c r="BG3" s="33" t="s">
        <v>24</v>
      </c>
      <c r="BH3" s="34" t="s">
        <v>25</v>
      </c>
      <c r="BI3" s="35" t="s">
        <v>26</v>
      </c>
      <c r="BJ3" s="36" t="s">
        <v>21</v>
      </c>
      <c r="BK3" s="33" t="s">
        <v>22</v>
      </c>
      <c r="BL3" s="33" t="s">
        <v>22</v>
      </c>
      <c r="BM3" s="33" t="s">
        <v>23</v>
      </c>
      <c r="BN3" s="33" t="s">
        <v>24</v>
      </c>
      <c r="BO3" s="34" t="s">
        <v>25</v>
      </c>
      <c r="BP3" s="35" t="s">
        <v>26</v>
      </c>
      <c r="BQ3" s="36" t="s">
        <v>21</v>
      </c>
      <c r="BR3" s="33" t="s">
        <v>22</v>
      </c>
      <c r="BS3" s="33" t="s">
        <v>22</v>
      </c>
      <c r="BT3" s="33" t="s">
        <v>23</v>
      </c>
      <c r="BU3" s="33" t="s">
        <v>24</v>
      </c>
      <c r="BV3" s="34" t="s">
        <v>25</v>
      </c>
      <c r="BW3" s="35" t="s">
        <v>26</v>
      </c>
      <c r="BX3" s="36" t="s">
        <v>21</v>
      </c>
      <c r="BY3" s="33" t="s">
        <v>22</v>
      </c>
      <c r="BZ3" s="33" t="s">
        <v>22</v>
      </c>
      <c r="CA3" s="33" t="s">
        <v>23</v>
      </c>
      <c r="CB3" s="33" t="s">
        <v>24</v>
      </c>
      <c r="CC3" s="34" t="s">
        <v>25</v>
      </c>
      <c r="CD3" s="35" t="s">
        <v>26</v>
      </c>
      <c r="CE3" s="36" t="s">
        <v>21</v>
      </c>
      <c r="CF3" s="33" t="s">
        <v>22</v>
      </c>
      <c r="CG3" s="33" t="s">
        <v>22</v>
      </c>
      <c r="CH3" s="33" t="s">
        <v>23</v>
      </c>
      <c r="CI3" s="33" t="s">
        <v>24</v>
      </c>
      <c r="CJ3" s="34" t="s">
        <v>25</v>
      </c>
      <c r="CK3" s="35" t="s">
        <v>26</v>
      </c>
      <c r="CL3" s="36" t="s">
        <v>21</v>
      </c>
      <c r="CM3" s="33" t="s">
        <v>22</v>
      </c>
      <c r="CN3" s="33" t="s">
        <v>22</v>
      </c>
      <c r="CO3" s="33" t="s">
        <v>23</v>
      </c>
      <c r="CP3" s="33" t="s">
        <v>24</v>
      </c>
      <c r="CQ3" s="34" t="s">
        <v>25</v>
      </c>
      <c r="CR3" s="35" t="s">
        <v>26</v>
      </c>
      <c r="CS3" s="36" t="s">
        <v>21</v>
      </c>
      <c r="CT3" s="33" t="s">
        <v>22</v>
      </c>
      <c r="CU3" s="33" t="s">
        <v>22</v>
      </c>
      <c r="CV3" s="33" t="s">
        <v>23</v>
      </c>
      <c r="CW3" s="33" t="s">
        <v>24</v>
      </c>
      <c r="CX3" s="34" t="s">
        <v>25</v>
      </c>
      <c r="CY3" s="35" t="s">
        <v>26</v>
      </c>
      <c r="CZ3" s="36" t="s">
        <v>21</v>
      </c>
      <c r="DA3" s="33" t="s">
        <v>22</v>
      </c>
      <c r="DB3" s="33" t="s">
        <v>22</v>
      </c>
      <c r="DC3" s="33" t="s">
        <v>23</v>
      </c>
      <c r="DD3" s="33" t="s">
        <v>24</v>
      </c>
      <c r="DE3" s="34" t="s">
        <v>25</v>
      </c>
      <c r="DF3" s="35" t="s">
        <v>26</v>
      </c>
      <c r="DG3" s="36" t="s">
        <v>21</v>
      </c>
      <c r="DH3" s="33" t="s">
        <v>22</v>
      </c>
      <c r="DI3" s="33" t="s">
        <v>22</v>
      </c>
      <c r="DJ3" s="33" t="s">
        <v>23</v>
      </c>
      <c r="DK3" s="33" t="s">
        <v>24</v>
      </c>
      <c r="DL3" s="34" t="s">
        <v>25</v>
      </c>
      <c r="DM3" s="35" t="s">
        <v>26</v>
      </c>
      <c r="DN3" s="36" t="s">
        <v>21</v>
      </c>
      <c r="DO3" s="33" t="s">
        <v>22</v>
      </c>
      <c r="DP3" s="33" t="s">
        <v>22</v>
      </c>
      <c r="DQ3" s="33" t="s">
        <v>23</v>
      </c>
      <c r="DR3" s="33" t="s">
        <v>24</v>
      </c>
      <c r="DS3" s="34" t="s">
        <v>25</v>
      </c>
      <c r="DT3" s="35" t="s">
        <v>26</v>
      </c>
    </row>
    <row r="4" spans="1:124" s="12" customFormat="1" ht="9" customHeight="1" thickBot="1">
      <c r="A4" s="560"/>
      <c r="B4" s="562"/>
      <c r="C4" s="564"/>
      <c r="D4" s="564"/>
      <c r="E4" s="565"/>
      <c r="F4" s="32" t="s">
        <v>27</v>
      </c>
      <c r="G4" s="33" t="s">
        <v>28</v>
      </c>
      <c r="H4" s="33" t="s">
        <v>29</v>
      </c>
      <c r="I4" s="33" t="s">
        <v>30</v>
      </c>
      <c r="J4" s="33" t="s">
        <v>31</v>
      </c>
      <c r="K4" s="34" t="s">
        <v>32</v>
      </c>
      <c r="L4" s="35" t="s">
        <v>33</v>
      </c>
      <c r="M4" s="36" t="s">
        <v>27</v>
      </c>
      <c r="N4" s="33" t="s">
        <v>28</v>
      </c>
      <c r="O4" s="33" t="s">
        <v>29</v>
      </c>
      <c r="P4" s="33" t="s">
        <v>30</v>
      </c>
      <c r="Q4" s="33" t="s">
        <v>31</v>
      </c>
      <c r="R4" s="34" t="s">
        <v>32</v>
      </c>
      <c r="S4" s="35" t="s">
        <v>33</v>
      </c>
      <c r="T4" s="36" t="s">
        <v>27</v>
      </c>
      <c r="U4" s="33" t="s">
        <v>28</v>
      </c>
      <c r="V4" s="33" t="s">
        <v>29</v>
      </c>
      <c r="W4" s="33" t="s">
        <v>30</v>
      </c>
      <c r="X4" s="33" t="s">
        <v>31</v>
      </c>
      <c r="Y4" s="34" t="s">
        <v>32</v>
      </c>
      <c r="Z4" s="35" t="s">
        <v>33</v>
      </c>
      <c r="AA4" s="36" t="s">
        <v>27</v>
      </c>
      <c r="AB4" s="33" t="s">
        <v>28</v>
      </c>
      <c r="AC4" s="33" t="s">
        <v>29</v>
      </c>
      <c r="AD4" s="33" t="s">
        <v>30</v>
      </c>
      <c r="AE4" s="33" t="s">
        <v>31</v>
      </c>
      <c r="AF4" s="34" t="s">
        <v>32</v>
      </c>
      <c r="AG4" s="35" t="s">
        <v>33</v>
      </c>
      <c r="AH4" s="36" t="s">
        <v>27</v>
      </c>
      <c r="AI4" s="33" t="s">
        <v>28</v>
      </c>
      <c r="AJ4" s="33" t="s">
        <v>29</v>
      </c>
      <c r="AK4" s="33" t="s">
        <v>30</v>
      </c>
      <c r="AL4" s="33" t="s">
        <v>31</v>
      </c>
      <c r="AM4" s="34" t="s">
        <v>32</v>
      </c>
      <c r="AN4" s="35" t="s">
        <v>33</v>
      </c>
      <c r="AO4" s="36" t="s">
        <v>27</v>
      </c>
      <c r="AP4" s="33" t="s">
        <v>28</v>
      </c>
      <c r="AQ4" s="33" t="s">
        <v>29</v>
      </c>
      <c r="AR4" s="33" t="s">
        <v>30</v>
      </c>
      <c r="AS4" s="33" t="s">
        <v>31</v>
      </c>
      <c r="AT4" s="34" t="s">
        <v>32</v>
      </c>
      <c r="AU4" s="35" t="s">
        <v>33</v>
      </c>
      <c r="AV4" s="36" t="s">
        <v>27</v>
      </c>
      <c r="AW4" s="33" t="s">
        <v>28</v>
      </c>
      <c r="AX4" s="33" t="s">
        <v>29</v>
      </c>
      <c r="AY4" s="33" t="s">
        <v>30</v>
      </c>
      <c r="AZ4" s="33" t="s">
        <v>31</v>
      </c>
      <c r="BA4" s="34" t="s">
        <v>32</v>
      </c>
      <c r="BB4" s="35" t="s">
        <v>33</v>
      </c>
      <c r="BC4" s="36" t="s">
        <v>27</v>
      </c>
      <c r="BD4" s="33" t="s">
        <v>28</v>
      </c>
      <c r="BE4" s="33" t="s">
        <v>29</v>
      </c>
      <c r="BF4" s="33" t="s">
        <v>30</v>
      </c>
      <c r="BG4" s="33" t="s">
        <v>31</v>
      </c>
      <c r="BH4" s="34" t="s">
        <v>32</v>
      </c>
      <c r="BI4" s="35" t="s">
        <v>33</v>
      </c>
      <c r="BJ4" s="36" t="s">
        <v>27</v>
      </c>
      <c r="BK4" s="33" t="s">
        <v>28</v>
      </c>
      <c r="BL4" s="33" t="s">
        <v>29</v>
      </c>
      <c r="BM4" s="33" t="s">
        <v>30</v>
      </c>
      <c r="BN4" s="33" t="s">
        <v>31</v>
      </c>
      <c r="BO4" s="34" t="s">
        <v>32</v>
      </c>
      <c r="BP4" s="35" t="s">
        <v>33</v>
      </c>
      <c r="BQ4" s="36" t="s">
        <v>27</v>
      </c>
      <c r="BR4" s="33" t="s">
        <v>28</v>
      </c>
      <c r="BS4" s="33" t="s">
        <v>29</v>
      </c>
      <c r="BT4" s="33" t="s">
        <v>30</v>
      </c>
      <c r="BU4" s="33" t="s">
        <v>31</v>
      </c>
      <c r="BV4" s="34" t="s">
        <v>32</v>
      </c>
      <c r="BW4" s="35" t="s">
        <v>33</v>
      </c>
      <c r="BX4" s="36" t="s">
        <v>27</v>
      </c>
      <c r="BY4" s="33" t="s">
        <v>28</v>
      </c>
      <c r="BZ4" s="33" t="s">
        <v>29</v>
      </c>
      <c r="CA4" s="33" t="s">
        <v>30</v>
      </c>
      <c r="CB4" s="33" t="s">
        <v>31</v>
      </c>
      <c r="CC4" s="34" t="s">
        <v>32</v>
      </c>
      <c r="CD4" s="35" t="s">
        <v>33</v>
      </c>
      <c r="CE4" s="36" t="s">
        <v>27</v>
      </c>
      <c r="CF4" s="33" t="s">
        <v>28</v>
      </c>
      <c r="CG4" s="33" t="s">
        <v>29</v>
      </c>
      <c r="CH4" s="33" t="s">
        <v>30</v>
      </c>
      <c r="CI4" s="33" t="s">
        <v>31</v>
      </c>
      <c r="CJ4" s="34" t="s">
        <v>32</v>
      </c>
      <c r="CK4" s="35" t="s">
        <v>33</v>
      </c>
      <c r="CL4" s="36" t="s">
        <v>27</v>
      </c>
      <c r="CM4" s="33" t="s">
        <v>28</v>
      </c>
      <c r="CN4" s="33" t="s">
        <v>29</v>
      </c>
      <c r="CO4" s="33" t="s">
        <v>30</v>
      </c>
      <c r="CP4" s="33" t="s">
        <v>31</v>
      </c>
      <c r="CQ4" s="34" t="s">
        <v>32</v>
      </c>
      <c r="CR4" s="35" t="s">
        <v>33</v>
      </c>
      <c r="CS4" s="36" t="s">
        <v>27</v>
      </c>
      <c r="CT4" s="33" t="s">
        <v>28</v>
      </c>
      <c r="CU4" s="33" t="s">
        <v>29</v>
      </c>
      <c r="CV4" s="33" t="s">
        <v>30</v>
      </c>
      <c r="CW4" s="33" t="s">
        <v>31</v>
      </c>
      <c r="CX4" s="34" t="s">
        <v>32</v>
      </c>
      <c r="CY4" s="35" t="s">
        <v>33</v>
      </c>
      <c r="CZ4" s="36" t="s">
        <v>27</v>
      </c>
      <c r="DA4" s="33" t="s">
        <v>28</v>
      </c>
      <c r="DB4" s="33" t="s">
        <v>29</v>
      </c>
      <c r="DC4" s="33" t="s">
        <v>30</v>
      </c>
      <c r="DD4" s="33" t="s">
        <v>31</v>
      </c>
      <c r="DE4" s="34" t="s">
        <v>32</v>
      </c>
      <c r="DF4" s="35" t="s">
        <v>33</v>
      </c>
      <c r="DG4" s="36" t="s">
        <v>27</v>
      </c>
      <c r="DH4" s="33" t="s">
        <v>28</v>
      </c>
      <c r="DI4" s="33" t="s">
        <v>29</v>
      </c>
      <c r="DJ4" s="33" t="s">
        <v>30</v>
      </c>
      <c r="DK4" s="33" t="s">
        <v>31</v>
      </c>
      <c r="DL4" s="34" t="s">
        <v>32</v>
      </c>
      <c r="DM4" s="35" t="s">
        <v>33</v>
      </c>
      <c r="DN4" s="36" t="s">
        <v>27</v>
      </c>
      <c r="DO4" s="33" t="s">
        <v>28</v>
      </c>
      <c r="DP4" s="33" t="s">
        <v>29</v>
      </c>
      <c r="DQ4" s="33" t="s">
        <v>30</v>
      </c>
      <c r="DR4" s="33" t="s">
        <v>31</v>
      </c>
      <c r="DS4" s="34" t="s">
        <v>32</v>
      </c>
      <c r="DT4" s="35" t="s">
        <v>33</v>
      </c>
    </row>
    <row r="5" spans="1:124" s="12" customFormat="1" ht="15.6" customHeight="1" thickTop="1" thickBot="1">
      <c r="A5" s="473" t="s">
        <v>34</v>
      </c>
      <c r="B5" s="473" t="str">
        <f>_xlfn.XLOOKUP(A25,'VTT actif'!B:B,'VTT actif'!AL:AL,"-",0)</f>
        <v>-</v>
      </c>
      <c r="C5" s="546" t="str">
        <f>_xlfn.XLOOKUP(A25,'VTT actif'!B:B,'VTT actif'!AM:AM,"-",0)</f>
        <v>-</v>
      </c>
      <c r="D5" s="547"/>
      <c r="E5" s="548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33.75" customHeight="1">
      <c r="A6" s="473" t="s">
        <v>35</v>
      </c>
      <c r="B6" s="56" t="s">
        <v>36</v>
      </c>
      <c r="C6" s="549" t="str">
        <f>_xlfn.XLOOKUP(A25,'VTT actif'!B:B,'VTT actif'!M:M,"-",0)</f>
        <v>-</v>
      </c>
      <c r="D6" s="550"/>
      <c r="E6" s="551"/>
      <c r="F6" s="339">
        <v>45369</v>
      </c>
      <c r="G6" s="43">
        <f t="shared" ref="G6:AL6" si="0">F6+1</f>
        <v>45370</v>
      </c>
      <c r="H6" s="43">
        <f t="shared" si="0"/>
        <v>45371</v>
      </c>
      <c r="I6" s="43">
        <f t="shared" si="0"/>
        <v>45372</v>
      </c>
      <c r="J6" s="43">
        <f t="shared" si="0"/>
        <v>45373</v>
      </c>
      <c r="K6" s="44">
        <f t="shared" si="0"/>
        <v>45374</v>
      </c>
      <c r="L6" s="45">
        <f t="shared" si="0"/>
        <v>45375</v>
      </c>
      <c r="M6" s="43">
        <f t="shared" si="0"/>
        <v>45376</v>
      </c>
      <c r="N6" s="43">
        <f t="shared" si="0"/>
        <v>45377</v>
      </c>
      <c r="O6" s="43">
        <f t="shared" si="0"/>
        <v>45378</v>
      </c>
      <c r="P6" s="43">
        <f t="shared" si="0"/>
        <v>45379</v>
      </c>
      <c r="Q6" s="43">
        <f t="shared" si="0"/>
        <v>45380</v>
      </c>
      <c r="R6" s="44">
        <f t="shared" si="0"/>
        <v>45381</v>
      </c>
      <c r="S6" s="45">
        <f t="shared" si="0"/>
        <v>45382</v>
      </c>
      <c r="T6" s="43">
        <f t="shared" si="0"/>
        <v>45383</v>
      </c>
      <c r="U6" s="43">
        <f t="shared" si="0"/>
        <v>45384</v>
      </c>
      <c r="V6" s="43">
        <f t="shared" si="0"/>
        <v>45385</v>
      </c>
      <c r="W6" s="43">
        <f t="shared" si="0"/>
        <v>45386</v>
      </c>
      <c r="X6" s="43">
        <f t="shared" si="0"/>
        <v>45387</v>
      </c>
      <c r="Y6" s="44">
        <f t="shared" si="0"/>
        <v>45388</v>
      </c>
      <c r="Z6" s="45">
        <f t="shared" si="0"/>
        <v>45389</v>
      </c>
      <c r="AA6" s="43">
        <f t="shared" si="0"/>
        <v>45390</v>
      </c>
      <c r="AB6" s="43">
        <f t="shared" si="0"/>
        <v>45391</v>
      </c>
      <c r="AC6" s="43">
        <f t="shared" si="0"/>
        <v>45392</v>
      </c>
      <c r="AD6" s="43">
        <f t="shared" si="0"/>
        <v>45393</v>
      </c>
      <c r="AE6" s="43">
        <f t="shared" si="0"/>
        <v>45394</v>
      </c>
      <c r="AF6" s="44">
        <f t="shared" si="0"/>
        <v>45395</v>
      </c>
      <c r="AG6" s="45">
        <f t="shared" si="0"/>
        <v>45396</v>
      </c>
      <c r="AH6" s="43">
        <f t="shared" si="0"/>
        <v>45397</v>
      </c>
      <c r="AI6" s="43">
        <f t="shared" si="0"/>
        <v>45398</v>
      </c>
      <c r="AJ6" s="43">
        <f t="shared" si="0"/>
        <v>45399</v>
      </c>
      <c r="AK6" s="43">
        <f t="shared" si="0"/>
        <v>45400</v>
      </c>
      <c r="AL6" s="43">
        <f t="shared" si="0"/>
        <v>45401</v>
      </c>
      <c r="AM6" s="44">
        <f t="shared" ref="AM6:BR6" si="1">AL6+1</f>
        <v>45402</v>
      </c>
      <c r="AN6" s="45">
        <f t="shared" si="1"/>
        <v>45403</v>
      </c>
      <c r="AO6" s="43">
        <f t="shared" si="1"/>
        <v>45404</v>
      </c>
      <c r="AP6" s="43">
        <f t="shared" si="1"/>
        <v>45405</v>
      </c>
      <c r="AQ6" s="43">
        <f t="shared" si="1"/>
        <v>45406</v>
      </c>
      <c r="AR6" s="43">
        <f t="shared" si="1"/>
        <v>45407</v>
      </c>
      <c r="AS6" s="43">
        <f t="shared" si="1"/>
        <v>45408</v>
      </c>
      <c r="AT6" s="44">
        <f t="shared" si="1"/>
        <v>45409</v>
      </c>
      <c r="AU6" s="45">
        <f t="shared" si="1"/>
        <v>45410</v>
      </c>
      <c r="AV6" s="43">
        <f t="shared" si="1"/>
        <v>45411</v>
      </c>
      <c r="AW6" s="43">
        <f t="shared" si="1"/>
        <v>45412</v>
      </c>
      <c r="AX6" s="43">
        <f t="shared" si="1"/>
        <v>45413</v>
      </c>
      <c r="AY6" s="43">
        <f t="shared" si="1"/>
        <v>45414</v>
      </c>
      <c r="AZ6" s="43">
        <f t="shared" si="1"/>
        <v>45415</v>
      </c>
      <c r="BA6" s="44">
        <f t="shared" si="1"/>
        <v>45416</v>
      </c>
      <c r="BB6" s="45">
        <f t="shared" si="1"/>
        <v>45417</v>
      </c>
      <c r="BC6" s="43">
        <f t="shared" si="1"/>
        <v>45418</v>
      </c>
      <c r="BD6" s="43">
        <f t="shared" si="1"/>
        <v>45419</v>
      </c>
      <c r="BE6" s="43">
        <f t="shared" si="1"/>
        <v>45420</v>
      </c>
      <c r="BF6" s="43">
        <f t="shared" si="1"/>
        <v>45421</v>
      </c>
      <c r="BG6" s="43">
        <f t="shared" si="1"/>
        <v>45422</v>
      </c>
      <c r="BH6" s="44">
        <f t="shared" si="1"/>
        <v>45423</v>
      </c>
      <c r="BI6" s="45">
        <f t="shared" si="1"/>
        <v>45424</v>
      </c>
      <c r="BJ6" s="43">
        <f t="shared" si="1"/>
        <v>45425</v>
      </c>
      <c r="BK6" s="43">
        <f t="shared" si="1"/>
        <v>45426</v>
      </c>
      <c r="BL6" s="43">
        <f t="shared" si="1"/>
        <v>45427</v>
      </c>
      <c r="BM6" s="43">
        <f t="shared" si="1"/>
        <v>45428</v>
      </c>
      <c r="BN6" s="43">
        <f t="shared" si="1"/>
        <v>45429</v>
      </c>
      <c r="BO6" s="44">
        <f t="shared" si="1"/>
        <v>45430</v>
      </c>
      <c r="BP6" s="45">
        <f t="shared" si="1"/>
        <v>45431</v>
      </c>
      <c r="BQ6" s="43">
        <f t="shared" si="1"/>
        <v>45432</v>
      </c>
      <c r="BR6" s="43">
        <f t="shared" si="1"/>
        <v>45433</v>
      </c>
      <c r="BS6" s="43">
        <f t="shared" ref="BS6:CX6" si="2">BR6+1</f>
        <v>45434</v>
      </c>
      <c r="BT6" s="43">
        <f t="shared" si="2"/>
        <v>45435</v>
      </c>
      <c r="BU6" s="43">
        <f t="shared" si="2"/>
        <v>45436</v>
      </c>
      <c r="BV6" s="44">
        <f t="shared" si="2"/>
        <v>45437</v>
      </c>
      <c r="BW6" s="45">
        <f t="shared" si="2"/>
        <v>45438</v>
      </c>
      <c r="BX6" s="43">
        <f t="shared" si="2"/>
        <v>45439</v>
      </c>
      <c r="BY6" s="43">
        <f t="shared" si="2"/>
        <v>45440</v>
      </c>
      <c r="BZ6" s="43">
        <f t="shared" si="2"/>
        <v>45441</v>
      </c>
      <c r="CA6" s="43">
        <f t="shared" si="2"/>
        <v>45442</v>
      </c>
      <c r="CB6" s="43">
        <f t="shared" si="2"/>
        <v>45443</v>
      </c>
      <c r="CC6" s="44">
        <f t="shared" si="2"/>
        <v>45444</v>
      </c>
      <c r="CD6" s="45">
        <f t="shared" si="2"/>
        <v>45445</v>
      </c>
      <c r="CE6" s="43">
        <f t="shared" si="2"/>
        <v>45446</v>
      </c>
      <c r="CF6" s="43">
        <f t="shared" si="2"/>
        <v>45447</v>
      </c>
      <c r="CG6" s="43">
        <f t="shared" si="2"/>
        <v>45448</v>
      </c>
      <c r="CH6" s="43">
        <f t="shared" si="2"/>
        <v>45449</v>
      </c>
      <c r="CI6" s="43">
        <f t="shared" si="2"/>
        <v>45450</v>
      </c>
      <c r="CJ6" s="44">
        <f t="shared" si="2"/>
        <v>45451</v>
      </c>
      <c r="CK6" s="45">
        <f t="shared" si="2"/>
        <v>45452</v>
      </c>
      <c r="CL6" s="43">
        <f t="shared" si="2"/>
        <v>45453</v>
      </c>
      <c r="CM6" s="43">
        <f t="shared" si="2"/>
        <v>45454</v>
      </c>
      <c r="CN6" s="43">
        <f t="shared" si="2"/>
        <v>45455</v>
      </c>
      <c r="CO6" s="43">
        <f t="shared" si="2"/>
        <v>45456</v>
      </c>
      <c r="CP6" s="43">
        <f t="shared" si="2"/>
        <v>45457</v>
      </c>
      <c r="CQ6" s="44">
        <f t="shared" si="2"/>
        <v>45458</v>
      </c>
      <c r="CR6" s="45">
        <f t="shared" si="2"/>
        <v>45459</v>
      </c>
      <c r="CS6" s="43">
        <f t="shared" si="2"/>
        <v>45460</v>
      </c>
      <c r="CT6" s="43">
        <f t="shared" si="2"/>
        <v>45461</v>
      </c>
      <c r="CU6" s="43">
        <f t="shared" si="2"/>
        <v>45462</v>
      </c>
      <c r="CV6" s="43">
        <f t="shared" si="2"/>
        <v>45463</v>
      </c>
      <c r="CW6" s="43">
        <f t="shared" si="2"/>
        <v>45464</v>
      </c>
      <c r="CX6" s="44">
        <f t="shared" si="2"/>
        <v>45465</v>
      </c>
      <c r="CY6" s="45">
        <f t="shared" ref="CY6:DT6" si="3">CX6+1</f>
        <v>45466</v>
      </c>
      <c r="CZ6" s="43">
        <f t="shared" si="3"/>
        <v>45467</v>
      </c>
      <c r="DA6" s="43">
        <f t="shared" si="3"/>
        <v>45468</v>
      </c>
      <c r="DB6" s="43">
        <f t="shared" si="3"/>
        <v>45469</v>
      </c>
      <c r="DC6" s="43">
        <f t="shared" si="3"/>
        <v>45470</v>
      </c>
      <c r="DD6" s="43">
        <f t="shared" si="3"/>
        <v>45471</v>
      </c>
      <c r="DE6" s="44">
        <f t="shared" si="3"/>
        <v>45472</v>
      </c>
      <c r="DF6" s="45">
        <f t="shared" si="3"/>
        <v>45473</v>
      </c>
      <c r="DG6" s="43">
        <f t="shared" si="3"/>
        <v>45474</v>
      </c>
      <c r="DH6" s="43">
        <f t="shared" si="3"/>
        <v>45475</v>
      </c>
      <c r="DI6" s="43">
        <f t="shared" si="3"/>
        <v>45476</v>
      </c>
      <c r="DJ6" s="43">
        <f t="shared" si="3"/>
        <v>45477</v>
      </c>
      <c r="DK6" s="43">
        <f t="shared" si="3"/>
        <v>45478</v>
      </c>
      <c r="DL6" s="44">
        <f t="shared" si="3"/>
        <v>45479</v>
      </c>
      <c r="DM6" s="45">
        <f t="shared" si="3"/>
        <v>45480</v>
      </c>
      <c r="DN6" s="43">
        <f t="shared" si="3"/>
        <v>45481</v>
      </c>
      <c r="DO6" s="43">
        <f t="shared" si="3"/>
        <v>45482</v>
      </c>
      <c r="DP6" s="43">
        <f t="shared" si="3"/>
        <v>45483</v>
      </c>
      <c r="DQ6" s="43">
        <f t="shared" si="3"/>
        <v>45484</v>
      </c>
      <c r="DR6" s="43">
        <f t="shared" si="3"/>
        <v>45485</v>
      </c>
      <c r="DS6" s="44">
        <f t="shared" si="3"/>
        <v>45486</v>
      </c>
      <c r="DT6" s="45">
        <f t="shared" si="3"/>
        <v>45487</v>
      </c>
    </row>
    <row r="7" spans="1:124" s="17" customFormat="1" ht="17.25" customHeight="1" thickTop="1">
      <c r="A7" s="473" t="s">
        <v>37</v>
      </c>
      <c r="B7" s="473" t="str">
        <f>_xlfn.XLOOKUP(A25,'VTT actif'!B:B,'VTT actif'!Z:Z,"-",0)</f>
        <v>-</v>
      </c>
      <c r="C7" s="40" t="s">
        <v>38</v>
      </c>
      <c r="D7" s="40" t="s">
        <v>39</v>
      </c>
      <c r="E7" s="41" t="s">
        <v>40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6" customHeight="1">
      <c r="A8" s="552" t="str">
        <f>_xlfn.XLOOKUP(A25,'VTT actif'!B:B,'VTT actif'!AA:AA,"-",0)&amp;" &gt; "&amp;_xlfn.XLOOKUP(A25,'VTT actif'!B:B,'VTT actif'!AG:AG,"-",0)</f>
        <v>- &gt; -</v>
      </c>
      <c r="B8" s="67" t="s">
        <v>41</v>
      </c>
      <c r="C8" s="19" t="str">
        <f>_xlfn.XLOOKUP(A25,'VTT actif'!B:B,'VTT actif'!N:N,"-",0)</f>
        <v>-</v>
      </c>
      <c r="D8" s="68">
        <v>0</v>
      </c>
      <c r="E8" s="19" t="e">
        <f>(C8+D8)</f>
        <v>#VALUE!</v>
      </c>
      <c r="F8" s="13" t="e">
        <f t="shared" ref="F8:O17" si="4">IF(AND(F$5&gt;=$C8,F$5&lt;=$E8),1,"")</f>
        <v>#VALUE!</v>
      </c>
      <c r="G8" s="14" t="e">
        <f t="shared" si="4"/>
        <v>#VALUE!</v>
      </c>
      <c r="H8" s="14" t="e">
        <f t="shared" si="4"/>
        <v>#VALUE!</v>
      </c>
      <c r="I8" s="14" t="e">
        <f t="shared" si="4"/>
        <v>#VALUE!</v>
      </c>
      <c r="J8" s="14" t="e">
        <f t="shared" si="4"/>
        <v>#VALUE!</v>
      </c>
      <c r="K8" s="15" t="e">
        <f t="shared" si="4"/>
        <v>#VALUE!</v>
      </c>
      <c r="L8" s="16" t="e">
        <f t="shared" si="4"/>
        <v>#VALUE!</v>
      </c>
      <c r="M8" s="13" t="e">
        <f t="shared" si="4"/>
        <v>#VALUE!</v>
      </c>
      <c r="N8" s="14" t="e">
        <f t="shared" si="4"/>
        <v>#VALUE!</v>
      </c>
      <c r="O8" s="14" t="e">
        <f t="shared" si="4"/>
        <v>#VALUE!</v>
      </c>
      <c r="P8" s="14" t="e">
        <f t="shared" ref="P8:Y17" si="5">IF(AND(P$5&gt;=$C8,P$5&lt;=$E8),1,"")</f>
        <v>#VALUE!</v>
      </c>
      <c r="Q8" s="14" t="e">
        <f t="shared" si="5"/>
        <v>#VALUE!</v>
      </c>
      <c r="R8" s="15" t="e">
        <f t="shared" si="5"/>
        <v>#VALUE!</v>
      </c>
      <c r="S8" s="16" t="e">
        <f t="shared" si="5"/>
        <v>#VALUE!</v>
      </c>
      <c r="T8" s="13" t="e">
        <f t="shared" si="5"/>
        <v>#VALUE!</v>
      </c>
      <c r="U8" s="14" t="e">
        <f t="shared" si="5"/>
        <v>#VALUE!</v>
      </c>
      <c r="V8" s="14" t="e">
        <f t="shared" si="5"/>
        <v>#VALUE!</v>
      </c>
      <c r="W8" s="14" t="e">
        <f t="shared" si="5"/>
        <v>#VALUE!</v>
      </c>
      <c r="X8" s="14" t="e">
        <f t="shared" si="5"/>
        <v>#VALUE!</v>
      </c>
      <c r="Y8" s="15" t="e">
        <f t="shared" si="5"/>
        <v>#VALUE!</v>
      </c>
      <c r="Z8" s="16" t="e">
        <f t="shared" ref="Z8:AI17" si="6">IF(AND(Z$5&gt;=$C8,Z$5&lt;=$E8),1,"")</f>
        <v>#VALUE!</v>
      </c>
      <c r="AA8" s="13" t="e">
        <f t="shared" si="6"/>
        <v>#VALUE!</v>
      </c>
      <c r="AB8" s="14" t="e">
        <f t="shared" si="6"/>
        <v>#VALUE!</v>
      </c>
      <c r="AC8" s="14" t="e">
        <f t="shared" si="6"/>
        <v>#VALUE!</v>
      </c>
      <c r="AD8" s="14" t="e">
        <f t="shared" si="6"/>
        <v>#VALUE!</v>
      </c>
      <c r="AE8" s="14" t="e">
        <f t="shared" si="6"/>
        <v>#VALUE!</v>
      </c>
      <c r="AF8" s="15" t="e">
        <f t="shared" si="6"/>
        <v>#VALUE!</v>
      </c>
      <c r="AG8" s="16" t="e">
        <f t="shared" si="6"/>
        <v>#VALUE!</v>
      </c>
      <c r="AH8" s="13" t="e">
        <f t="shared" si="6"/>
        <v>#VALUE!</v>
      </c>
      <c r="AI8" s="14" t="e">
        <f t="shared" si="6"/>
        <v>#VALUE!</v>
      </c>
      <c r="AJ8" s="14" t="e">
        <f t="shared" ref="AJ8:AS17" si="7">IF(AND(AJ$5&gt;=$C8,AJ$5&lt;=$E8),1,"")</f>
        <v>#VALUE!</v>
      </c>
      <c r="AK8" s="14" t="e">
        <f t="shared" si="7"/>
        <v>#VALUE!</v>
      </c>
      <c r="AL8" s="14" t="e">
        <f t="shared" si="7"/>
        <v>#VALUE!</v>
      </c>
      <c r="AM8" s="15" t="e">
        <f t="shared" si="7"/>
        <v>#VALUE!</v>
      </c>
      <c r="AN8" s="16" t="e">
        <f t="shared" si="7"/>
        <v>#VALUE!</v>
      </c>
      <c r="AO8" s="13" t="e">
        <f t="shared" si="7"/>
        <v>#VALUE!</v>
      </c>
      <c r="AP8" s="14" t="e">
        <f t="shared" si="7"/>
        <v>#VALUE!</v>
      </c>
      <c r="AQ8" s="14" t="e">
        <f t="shared" si="7"/>
        <v>#VALUE!</v>
      </c>
      <c r="AR8" s="14" t="e">
        <f t="shared" si="7"/>
        <v>#VALUE!</v>
      </c>
      <c r="AS8" s="14" t="e">
        <f t="shared" si="7"/>
        <v>#VALUE!</v>
      </c>
      <c r="AT8" s="15" t="e">
        <f t="shared" ref="AT8:BC17" si="8">IF(AND(AT$5&gt;=$C8,AT$5&lt;=$E8),1,"")</f>
        <v>#VALUE!</v>
      </c>
      <c r="AU8" s="16" t="e">
        <f t="shared" si="8"/>
        <v>#VALUE!</v>
      </c>
      <c r="AV8" s="13" t="e">
        <f t="shared" si="8"/>
        <v>#VALUE!</v>
      </c>
      <c r="AW8" s="14" t="e">
        <f t="shared" si="8"/>
        <v>#VALUE!</v>
      </c>
      <c r="AX8" s="14" t="e">
        <f t="shared" si="8"/>
        <v>#VALUE!</v>
      </c>
      <c r="AY8" s="14" t="e">
        <f t="shared" si="8"/>
        <v>#VALUE!</v>
      </c>
      <c r="AZ8" s="14" t="e">
        <f t="shared" si="8"/>
        <v>#VALUE!</v>
      </c>
      <c r="BA8" s="15" t="e">
        <f t="shared" si="8"/>
        <v>#VALUE!</v>
      </c>
      <c r="BB8" s="16" t="e">
        <f t="shared" si="8"/>
        <v>#VALUE!</v>
      </c>
      <c r="BC8" s="13" t="e">
        <f t="shared" si="8"/>
        <v>#VALUE!</v>
      </c>
      <c r="BD8" s="14" t="e">
        <f t="shared" ref="BD8:BM17" si="9">IF(AND(BD$5&gt;=$C8,BD$5&lt;=$E8),1,"")</f>
        <v>#VALUE!</v>
      </c>
      <c r="BE8" s="14" t="e">
        <f t="shared" si="9"/>
        <v>#VALUE!</v>
      </c>
      <c r="BF8" s="14" t="e">
        <f t="shared" si="9"/>
        <v>#VALUE!</v>
      </c>
      <c r="BG8" s="14" t="e">
        <f t="shared" si="9"/>
        <v>#VALUE!</v>
      </c>
      <c r="BH8" s="15" t="e">
        <f t="shared" si="9"/>
        <v>#VALUE!</v>
      </c>
      <c r="BI8" s="16" t="e">
        <f t="shared" si="9"/>
        <v>#VALUE!</v>
      </c>
      <c r="BJ8" s="13" t="e">
        <f t="shared" si="9"/>
        <v>#VALUE!</v>
      </c>
      <c r="BK8" s="14" t="e">
        <f t="shared" si="9"/>
        <v>#VALUE!</v>
      </c>
      <c r="BL8" s="14" t="e">
        <f t="shared" si="9"/>
        <v>#VALUE!</v>
      </c>
      <c r="BM8" s="14" t="e">
        <f t="shared" si="9"/>
        <v>#VALUE!</v>
      </c>
      <c r="BN8" s="14" t="e">
        <f t="shared" ref="BN8:BW17" si="10">IF(AND(BN$5&gt;=$C8,BN$5&lt;=$E8),1,"")</f>
        <v>#VALUE!</v>
      </c>
      <c r="BO8" s="15" t="e">
        <f t="shared" si="10"/>
        <v>#VALUE!</v>
      </c>
      <c r="BP8" s="16" t="e">
        <f t="shared" si="10"/>
        <v>#VALUE!</v>
      </c>
      <c r="BQ8" s="13" t="e">
        <f t="shared" si="10"/>
        <v>#VALUE!</v>
      </c>
      <c r="BR8" s="14" t="e">
        <f t="shared" si="10"/>
        <v>#VALUE!</v>
      </c>
      <c r="BS8" s="14" t="e">
        <f t="shared" si="10"/>
        <v>#VALUE!</v>
      </c>
      <c r="BT8" s="14" t="e">
        <f t="shared" si="10"/>
        <v>#VALUE!</v>
      </c>
      <c r="BU8" s="14" t="e">
        <f t="shared" si="10"/>
        <v>#VALUE!</v>
      </c>
      <c r="BV8" s="15" t="e">
        <f t="shared" si="10"/>
        <v>#VALUE!</v>
      </c>
      <c r="BW8" s="16" t="e">
        <f t="shared" si="10"/>
        <v>#VALUE!</v>
      </c>
      <c r="BX8" s="13" t="e">
        <f t="shared" ref="BX8:CG17" si="11">IF(AND(BX$5&gt;=$C8,BX$5&lt;=$E8),1,"")</f>
        <v>#VALUE!</v>
      </c>
      <c r="BY8" s="14" t="e">
        <f t="shared" si="11"/>
        <v>#VALUE!</v>
      </c>
      <c r="BZ8" s="14" t="e">
        <f t="shared" si="11"/>
        <v>#VALUE!</v>
      </c>
      <c r="CA8" s="14" t="e">
        <f t="shared" si="11"/>
        <v>#VALUE!</v>
      </c>
      <c r="CB8" s="14" t="e">
        <f t="shared" si="11"/>
        <v>#VALUE!</v>
      </c>
      <c r="CC8" s="15" t="e">
        <f t="shared" si="11"/>
        <v>#VALUE!</v>
      </c>
      <c r="CD8" s="16" t="e">
        <f t="shared" si="11"/>
        <v>#VALUE!</v>
      </c>
      <c r="CE8" s="13" t="e">
        <f t="shared" si="11"/>
        <v>#VALUE!</v>
      </c>
      <c r="CF8" s="14" t="e">
        <f t="shared" si="11"/>
        <v>#VALUE!</v>
      </c>
      <c r="CG8" s="14" t="e">
        <f t="shared" si="11"/>
        <v>#VALUE!</v>
      </c>
      <c r="CH8" s="14" t="e">
        <f t="shared" ref="CH8:CQ17" si="12">IF(AND(CH$5&gt;=$C8,CH$5&lt;=$E8),1,"")</f>
        <v>#VALUE!</v>
      </c>
      <c r="CI8" s="14" t="e">
        <f t="shared" si="12"/>
        <v>#VALUE!</v>
      </c>
      <c r="CJ8" s="15" t="e">
        <f t="shared" si="12"/>
        <v>#VALUE!</v>
      </c>
      <c r="CK8" s="16" t="e">
        <f t="shared" si="12"/>
        <v>#VALUE!</v>
      </c>
      <c r="CL8" s="13" t="e">
        <f t="shared" si="12"/>
        <v>#VALUE!</v>
      </c>
      <c r="CM8" s="14" t="e">
        <f t="shared" si="12"/>
        <v>#VALUE!</v>
      </c>
      <c r="CN8" s="14" t="e">
        <f t="shared" si="12"/>
        <v>#VALUE!</v>
      </c>
      <c r="CO8" s="14" t="e">
        <f t="shared" si="12"/>
        <v>#VALUE!</v>
      </c>
      <c r="CP8" s="14" t="e">
        <f t="shared" si="12"/>
        <v>#VALUE!</v>
      </c>
      <c r="CQ8" s="15" t="e">
        <f t="shared" si="12"/>
        <v>#VALUE!</v>
      </c>
      <c r="CR8" s="16" t="e">
        <f t="shared" ref="CR8:DA17" si="13">IF(AND(CR$5&gt;=$C8,CR$5&lt;=$E8),1,"")</f>
        <v>#VALUE!</v>
      </c>
      <c r="CS8" s="13" t="e">
        <f t="shared" si="13"/>
        <v>#VALUE!</v>
      </c>
      <c r="CT8" s="14" t="e">
        <f t="shared" si="13"/>
        <v>#VALUE!</v>
      </c>
      <c r="CU8" s="14" t="e">
        <f t="shared" si="13"/>
        <v>#VALUE!</v>
      </c>
      <c r="CV8" s="14" t="e">
        <f t="shared" si="13"/>
        <v>#VALUE!</v>
      </c>
      <c r="CW8" s="14" t="e">
        <f t="shared" si="13"/>
        <v>#VALUE!</v>
      </c>
      <c r="CX8" s="15" t="e">
        <f t="shared" si="13"/>
        <v>#VALUE!</v>
      </c>
      <c r="CY8" s="16" t="e">
        <f t="shared" si="13"/>
        <v>#VALUE!</v>
      </c>
      <c r="CZ8" s="13" t="e">
        <f t="shared" si="13"/>
        <v>#VALUE!</v>
      </c>
      <c r="DA8" s="14" t="e">
        <f t="shared" si="13"/>
        <v>#VALUE!</v>
      </c>
      <c r="DB8" s="14" t="e">
        <f t="shared" ref="DB8:DK17" si="14">IF(AND(DB$5&gt;=$C8,DB$5&lt;=$E8),1,"")</f>
        <v>#VALUE!</v>
      </c>
      <c r="DC8" s="14" t="e">
        <f t="shared" si="14"/>
        <v>#VALUE!</v>
      </c>
      <c r="DD8" s="14" t="e">
        <f t="shared" si="14"/>
        <v>#VALUE!</v>
      </c>
      <c r="DE8" s="15" t="e">
        <f t="shared" si="14"/>
        <v>#VALUE!</v>
      </c>
      <c r="DF8" s="16" t="e">
        <f t="shared" si="14"/>
        <v>#VALUE!</v>
      </c>
      <c r="DG8" s="13" t="e">
        <f t="shared" si="14"/>
        <v>#VALUE!</v>
      </c>
      <c r="DH8" s="14" t="e">
        <f t="shared" si="14"/>
        <v>#VALUE!</v>
      </c>
      <c r="DI8" s="14" t="e">
        <f t="shared" si="14"/>
        <v>#VALUE!</v>
      </c>
      <c r="DJ8" s="14" t="e">
        <f t="shared" si="14"/>
        <v>#VALUE!</v>
      </c>
      <c r="DK8" s="14" t="e">
        <f t="shared" si="14"/>
        <v>#VALUE!</v>
      </c>
      <c r="DL8" s="15" t="e">
        <f t="shared" ref="DL8:DT17" si="15">IF(AND(DL$5&gt;=$C8,DL$5&lt;=$E8),1,"")</f>
        <v>#VALUE!</v>
      </c>
      <c r="DM8" s="16" t="e">
        <f t="shared" si="15"/>
        <v>#VALUE!</v>
      </c>
      <c r="DN8" s="13" t="e">
        <f t="shared" si="15"/>
        <v>#VALUE!</v>
      </c>
      <c r="DO8" s="14" t="e">
        <f t="shared" si="15"/>
        <v>#VALUE!</v>
      </c>
      <c r="DP8" s="14" t="e">
        <f t="shared" si="15"/>
        <v>#VALUE!</v>
      </c>
      <c r="DQ8" s="14" t="e">
        <f t="shared" si="15"/>
        <v>#VALUE!</v>
      </c>
      <c r="DR8" s="14" t="e">
        <f t="shared" si="15"/>
        <v>#VALUE!</v>
      </c>
      <c r="DS8" s="15" t="e">
        <f t="shared" si="15"/>
        <v>#VALUE!</v>
      </c>
      <c r="DT8" s="16" t="e">
        <f t="shared" si="15"/>
        <v>#VALUE!</v>
      </c>
    </row>
    <row r="9" spans="1:124" s="17" customFormat="1" ht="9.6" customHeight="1">
      <c r="A9" s="535"/>
      <c r="B9" s="67" t="str">
        <f>IF(B1="SFK Freight Forwarder","","Day ILN Order")</f>
        <v>Day ILN Order</v>
      </c>
      <c r="C9" s="19" t="str">
        <f>IF(B1="SFK Freight Forwarder",0,_xlfn.XLOOKUP(A25,'VTT actif'!B:B,'VTT actif'!Q:Q,"-",0))</f>
        <v>-</v>
      </c>
      <c r="D9" s="68">
        <v>0</v>
      </c>
      <c r="E9" s="19" t="e">
        <f>(C9+D9)</f>
        <v>#VALUE!</v>
      </c>
      <c r="F9" s="13" t="e">
        <f t="shared" si="4"/>
        <v>#VALUE!</v>
      </c>
      <c r="G9" s="14" t="e">
        <f t="shared" si="4"/>
        <v>#VALUE!</v>
      </c>
      <c r="H9" s="14" t="e">
        <f t="shared" si="4"/>
        <v>#VALUE!</v>
      </c>
      <c r="I9" s="14" t="e">
        <f t="shared" si="4"/>
        <v>#VALUE!</v>
      </c>
      <c r="J9" s="14" t="e">
        <f t="shared" si="4"/>
        <v>#VALUE!</v>
      </c>
      <c r="K9" s="15" t="e">
        <f t="shared" si="4"/>
        <v>#VALUE!</v>
      </c>
      <c r="L9" s="16" t="e">
        <f t="shared" si="4"/>
        <v>#VALUE!</v>
      </c>
      <c r="M9" s="13" t="e">
        <f t="shared" si="4"/>
        <v>#VALUE!</v>
      </c>
      <c r="N9" s="14" t="e">
        <f t="shared" si="4"/>
        <v>#VALUE!</v>
      </c>
      <c r="O9" s="14" t="e">
        <f t="shared" si="4"/>
        <v>#VALUE!</v>
      </c>
      <c r="P9" s="14" t="e">
        <f t="shared" si="5"/>
        <v>#VALUE!</v>
      </c>
      <c r="Q9" s="14" t="e">
        <f t="shared" si="5"/>
        <v>#VALUE!</v>
      </c>
      <c r="R9" s="15" t="e">
        <f t="shared" si="5"/>
        <v>#VALUE!</v>
      </c>
      <c r="S9" s="16" t="e">
        <f t="shared" si="5"/>
        <v>#VALUE!</v>
      </c>
      <c r="T9" s="13" t="e">
        <f t="shared" si="5"/>
        <v>#VALUE!</v>
      </c>
      <c r="U9" s="14" t="e">
        <f t="shared" si="5"/>
        <v>#VALUE!</v>
      </c>
      <c r="V9" s="14" t="e">
        <f t="shared" si="5"/>
        <v>#VALUE!</v>
      </c>
      <c r="W9" s="14" t="e">
        <f t="shared" si="5"/>
        <v>#VALUE!</v>
      </c>
      <c r="X9" s="14" t="e">
        <f t="shared" si="5"/>
        <v>#VALUE!</v>
      </c>
      <c r="Y9" s="15" t="e">
        <f t="shared" si="5"/>
        <v>#VALUE!</v>
      </c>
      <c r="Z9" s="16" t="e">
        <f t="shared" si="6"/>
        <v>#VALUE!</v>
      </c>
      <c r="AA9" s="13" t="e">
        <f t="shared" si="6"/>
        <v>#VALUE!</v>
      </c>
      <c r="AB9" s="14" t="e">
        <f t="shared" si="6"/>
        <v>#VALUE!</v>
      </c>
      <c r="AC9" s="14" t="e">
        <f t="shared" si="6"/>
        <v>#VALUE!</v>
      </c>
      <c r="AD9" s="14" t="e">
        <f t="shared" si="6"/>
        <v>#VALUE!</v>
      </c>
      <c r="AE9" s="14" t="e">
        <f t="shared" si="6"/>
        <v>#VALUE!</v>
      </c>
      <c r="AF9" s="15" t="e">
        <f t="shared" si="6"/>
        <v>#VALUE!</v>
      </c>
      <c r="AG9" s="16" t="e">
        <f t="shared" si="6"/>
        <v>#VALUE!</v>
      </c>
      <c r="AH9" s="13" t="e">
        <f t="shared" si="6"/>
        <v>#VALUE!</v>
      </c>
      <c r="AI9" s="14" t="e">
        <f t="shared" si="6"/>
        <v>#VALUE!</v>
      </c>
      <c r="AJ9" s="14" t="e">
        <f t="shared" si="7"/>
        <v>#VALUE!</v>
      </c>
      <c r="AK9" s="14" t="e">
        <f t="shared" si="7"/>
        <v>#VALUE!</v>
      </c>
      <c r="AL9" s="14" t="e">
        <f t="shared" si="7"/>
        <v>#VALUE!</v>
      </c>
      <c r="AM9" s="15" t="e">
        <f t="shared" si="7"/>
        <v>#VALUE!</v>
      </c>
      <c r="AN9" s="16" t="e">
        <f t="shared" si="7"/>
        <v>#VALUE!</v>
      </c>
      <c r="AO9" s="13" t="e">
        <f t="shared" si="7"/>
        <v>#VALUE!</v>
      </c>
      <c r="AP9" s="14" t="e">
        <f t="shared" si="7"/>
        <v>#VALUE!</v>
      </c>
      <c r="AQ9" s="14" t="e">
        <f t="shared" si="7"/>
        <v>#VALUE!</v>
      </c>
      <c r="AR9" s="14" t="e">
        <f t="shared" si="7"/>
        <v>#VALUE!</v>
      </c>
      <c r="AS9" s="14" t="e">
        <f t="shared" si="7"/>
        <v>#VALUE!</v>
      </c>
      <c r="AT9" s="15" t="e">
        <f t="shared" si="8"/>
        <v>#VALUE!</v>
      </c>
      <c r="AU9" s="16" t="e">
        <f t="shared" si="8"/>
        <v>#VALUE!</v>
      </c>
      <c r="AV9" s="13" t="e">
        <f t="shared" si="8"/>
        <v>#VALUE!</v>
      </c>
      <c r="AW9" s="14" t="e">
        <f t="shared" si="8"/>
        <v>#VALUE!</v>
      </c>
      <c r="AX9" s="14" t="e">
        <f t="shared" si="8"/>
        <v>#VALUE!</v>
      </c>
      <c r="AY9" s="14" t="e">
        <f t="shared" si="8"/>
        <v>#VALUE!</v>
      </c>
      <c r="AZ9" s="14" t="e">
        <f t="shared" si="8"/>
        <v>#VALUE!</v>
      </c>
      <c r="BA9" s="15" t="e">
        <f t="shared" si="8"/>
        <v>#VALUE!</v>
      </c>
      <c r="BB9" s="16" t="e">
        <f t="shared" si="8"/>
        <v>#VALUE!</v>
      </c>
      <c r="BC9" s="13" t="e">
        <f t="shared" si="8"/>
        <v>#VALUE!</v>
      </c>
      <c r="BD9" s="14" t="e">
        <f t="shared" si="9"/>
        <v>#VALUE!</v>
      </c>
      <c r="BE9" s="14" t="e">
        <f t="shared" si="9"/>
        <v>#VALUE!</v>
      </c>
      <c r="BF9" s="14" t="e">
        <f t="shared" si="9"/>
        <v>#VALUE!</v>
      </c>
      <c r="BG9" s="14" t="e">
        <f t="shared" si="9"/>
        <v>#VALUE!</v>
      </c>
      <c r="BH9" s="15" t="e">
        <f t="shared" si="9"/>
        <v>#VALUE!</v>
      </c>
      <c r="BI9" s="16" t="e">
        <f t="shared" si="9"/>
        <v>#VALUE!</v>
      </c>
      <c r="BJ9" s="13" t="e">
        <f t="shared" si="9"/>
        <v>#VALUE!</v>
      </c>
      <c r="BK9" s="14" t="e">
        <f t="shared" si="9"/>
        <v>#VALUE!</v>
      </c>
      <c r="BL9" s="14" t="e">
        <f t="shared" si="9"/>
        <v>#VALUE!</v>
      </c>
      <c r="BM9" s="14" t="e">
        <f t="shared" si="9"/>
        <v>#VALUE!</v>
      </c>
      <c r="BN9" s="14" t="e">
        <f t="shared" si="10"/>
        <v>#VALUE!</v>
      </c>
      <c r="BO9" s="15" t="e">
        <f t="shared" si="10"/>
        <v>#VALUE!</v>
      </c>
      <c r="BP9" s="16" t="e">
        <f t="shared" si="10"/>
        <v>#VALUE!</v>
      </c>
      <c r="BQ9" s="13" t="e">
        <f t="shared" si="10"/>
        <v>#VALUE!</v>
      </c>
      <c r="BR9" s="14" t="e">
        <f t="shared" si="10"/>
        <v>#VALUE!</v>
      </c>
      <c r="BS9" s="14" t="e">
        <f t="shared" si="10"/>
        <v>#VALUE!</v>
      </c>
      <c r="BT9" s="14" t="e">
        <f t="shared" si="10"/>
        <v>#VALUE!</v>
      </c>
      <c r="BU9" s="14" t="e">
        <f t="shared" si="10"/>
        <v>#VALUE!</v>
      </c>
      <c r="BV9" s="15" t="e">
        <f t="shared" si="10"/>
        <v>#VALUE!</v>
      </c>
      <c r="BW9" s="16" t="e">
        <f t="shared" si="10"/>
        <v>#VALUE!</v>
      </c>
      <c r="BX9" s="13" t="e">
        <f t="shared" si="11"/>
        <v>#VALUE!</v>
      </c>
      <c r="BY9" s="14" t="e">
        <f t="shared" si="11"/>
        <v>#VALUE!</v>
      </c>
      <c r="BZ9" s="14" t="e">
        <f t="shared" si="11"/>
        <v>#VALUE!</v>
      </c>
      <c r="CA9" s="14" t="e">
        <f t="shared" si="11"/>
        <v>#VALUE!</v>
      </c>
      <c r="CB9" s="14" t="e">
        <f t="shared" si="11"/>
        <v>#VALUE!</v>
      </c>
      <c r="CC9" s="15" t="e">
        <f t="shared" si="11"/>
        <v>#VALUE!</v>
      </c>
      <c r="CD9" s="16" t="e">
        <f t="shared" si="11"/>
        <v>#VALUE!</v>
      </c>
      <c r="CE9" s="13" t="e">
        <f t="shared" si="11"/>
        <v>#VALUE!</v>
      </c>
      <c r="CF9" s="14" t="e">
        <f t="shared" si="11"/>
        <v>#VALUE!</v>
      </c>
      <c r="CG9" s="14" t="e">
        <f t="shared" si="11"/>
        <v>#VALUE!</v>
      </c>
      <c r="CH9" s="14" t="e">
        <f t="shared" si="12"/>
        <v>#VALUE!</v>
      </c>
      <c r="CI9" s="14" t="e">
        <f t="shared" si="12"/>
        <v>#VALUE!</v>
      </c>
      <c r="CJ9" s="15" t="e">
        <f t="shared" si="12"/>
        <v>#VALUE!</v>
      </c>
      <c r="CK9" s="16" t="e">
        <f t="shared" si="12"/>
        <v>#VALUE!</v>
      </c>
      <c r="CL9" s="13" t="e">
        <f t="shared" si="12"/>
        <v>#VALUE!</v>
      </c>
      <c r="CM9" s="14" t="e">
        <f t="shared" si="12"/>
        <v>#VALUE!</v>
      </c>
      <c r="CN9" s="14" t="e">
        <f t="shared" si="12"/>
        <v>#VALUE!</v>
      </c>
      <c r="CO9" s="14" t="e">
        <f t="shared" si="12"/>
        <v>#VALUE!</v>
      </c>
      <c r="CP9" s="14" t="e">
        <f t="shared" si="12"/>
        <v>#VALUE!</v>
      </c>
      <c r="CQ9" s="15" t="e">
        <f t="shared" si="12"/>
        <v>#VALUE!</v>
      </c>
      <c r="CR9" s="16" t="e">
        <f t="shared" si="13"/>
        <v>#VALUE!</v>
      </c>
      <c r="CS9" s="13" t="e">
        <f t="shared" si="13"/>
        <v>#VALUE!</v>
      </c>
      <c r="CT9" s="14" t="e">
        <f t="shared" si="13"/>
        <v>#VALUE!</v>
      </c>
      <c r="CU9" s="14" t="e">
        <f t="shared" si="13"/>
        <v>#VALUE!</v>
      </c>
      <c r="CV9" s="14" t="e">
        <f t="shared" si="13"/>
        <v>#VALUE!</v>
      </c>
      <c r="CW9" s="14" t="e">
        <f t="shared" si="13"/>
        <v>#VALUE!</v>
      </c>
      <c r="CX9" s="15" t="e">
        <f t="shared" si="13"/>
        <v>#VALUE!</v>
      </c>
      <c r="CY9" s="16" t="e">
        <f t="shared" si="13"/>
        <v>#VALUE!</v>
      </c>
      <c r="CZ9" s="13" t="e">
        <f t="shared" si="13"/>
        <v>#VALUE!</v>
      </c>
      <c r="DA9" s="14" t="e">
        <f t="shared" si="13"/>
        <v>#VALUE!</v>
      </c>
      <c r="DB9" s="14" t="e">
        <f t="shared" si="14"/>
        <v>#VALUE!</v>
      </c>
      <c r="DC9" s="14" t="e">
        <f t="shared" si="14"/>
        <v>#VALUE!</v>
      </c>
      <c r="DD9" s="14" t="e">
        <f t="shared" si="14"/>
        <v>#VALUE!</v>
      </c>
      <c r="DE9" s="15" t="e">
        <f t="shared" si="14"/>
        <v>#VALUE!</v>
      </c>
      <c r="DF9" s="16" t="e">
        <f t="shared" si="14"/>
        <v>#VALUE!</v>
      </c>
      <c r="DG9" s="13" t="e">
        <f t="shared" si="14"/>
        <v>#VALUE!</v>
      </c>
      <c r="DH9" s="14" t="e">
        <f t="shared" si="14"/>
        <v>#VALUE!</v>
      </c>
      <c r="DI9" s="14" t="e">
        <f t="shared" si="14"/>
        <v>#VALUE!</v>
      </c>
      <c r="DJ9" s="14" t="e">
        <f t="shared" si="14"/>
        <v>#VALUE!</v>
      </c>
      <c r="DK9" s="14" t="e">
        <f t="shared" si="14"/>
        <v>#VALUE!</v>
      </c>
      <c r="DL9" s="15" t="e">
        <f t="shared" si="15"/>
        <v>#VALUE!</v>
      </c>
      <c r="DM9" s="16" t="e">
        <f t="shared" si="15"/>
        <v>#VALUE!</v>
      </c>
      <c r="DN9" s="13" t="e">
        <f t="shared" si="15"/>
        <v>#VALUE!</v>
      </c>
      <c r="DO9" s="14" t="e">
        <f t="shared" si="15"/>
        <v>#VALUE!</v>
      </c>
      <c r="DP9" s="14" t="e">
        <f t="shared" si="15"/>
        <v>#VALUE!</v>
      </c>
      <c r="DQ9" s="14" t="e">
        <f t="shared" si="15"/>
        <v>#VALUE!</v>
      </c>
      <c r="DR9" s="14" t="e">
        <f t="shared" si="15"/>
        <v>#VALUE!</v>
      </c>
      <c r="DS9" s="15" t="e">
        <f t="shared" si="15"/>
        <v>#VALUE!</v>
      </c>
      <c r="DT9" s="16" t="e">
        <f t="shared" si="15"/>
        <v>#VALUE!</v>
      </c>
    </row>
    <row r="10" spans="1:124" s="17" customFormat="1" ht="9.6" customHeight="1">
      <c r="A10" s="535"/>
      <c r="B10" s="67" t="str">
        <f>IF(B1="SFK Freight Forwarder","","Time of recept in AILN")</f>
        <v>Time of recept in AILN</v>
      </c>
      <c r="C10" s="19" t="e">
        <f>IF(B1="SFK Freight Forwarder",0,_xlfn.XLOOKUP(A25,'VTT actif'!B:B,'VTT actif'!R:R,"-",0)+E9-1)</f>
        <v>#VALUE!</v>
      </c>
      <c r="D10" s="19" t="str">
        <f>IF(B1="SFK Freight Forwarder",0,_xlfn.XLOOKUP(A25,'VTT actif'!B:B,'VTT actif'!S:S,"-",0))</f>
        <v>-</v>
      </c>
      <c r="E10" s="19" t="e">
        <f>IF(B1="SFK Freight Forwarder",0,(C10+D10)-1)</f>
        <v>#VALUE!</v>
      </c>
      <c r="F10" s="13" t="e">
        <f t="shared" si="4"/>
        <v>#VALUE!</v>
      </c>
      <c r="G10" s="14" t="e">
        <f t="shared" si="4"/>
        <v>#VALUE!</v>
      </c>
      <c r="H10" s="14" t="e">
        <f t="shared" si="4"/>
        <v>#VALUE!</v>
      </c>
      <c r="I10" s="14" t="e">
        <f t="shared" si="4"/>
        <v>#VALUE!</v>
      </c>
      <c r="J10" s="14" t="e">
        <f t="shared" si="4"/>
        <v>#VALUE!</v>
      </c>
      <c r="K10" s="15" t="e">
        <f t="shared" si="4"/>
        <v>#VALUE!</v>
      </c>
      <c r="L10" s="16" t="e">
        <f t="shared" si="4"/>
        <v>#VALUE!</v>
      </c>
      <c r="M10" s="13" t="e">
        <f t="shared" si="4"/>
        <v>#VALUE!</v>
      </c>
      <c r="N10" s="14" t="e">
        <f t="shared" si="4"/>
        <v>#VALUE!</v>
      </c>
      <c r="O10" s="14" t="e">
        <f t="shared" si="4"/>
        <v>#VALUE!</v>
      </c>
      <c r="P10" s="14" t="e">
        <f t="shared" si="5"/>
        <v>#VALUE!</v>
      </c>
      <c r="Q10" s="14" t="e">
        <f t="shared" si="5"/>
        <v>#VALUE!</v>
      </c>
      <c r="R10" s="15" t="e">
        <f t="shared" si="5"/>
        <v>#VALUE!</v>
      </c>
      <c r="S10" s="16" t="e">
        <f t="shared" si="5"/>
        <v>#VALUE!</v>
      </c>
      <c r="T10" s="13" t="e">
        <f t="shared" si="5"/>
        <v>#VALUE!</v>
      </c>
      <c r="U10" s="14" t="e">
        <f t="shared" si="5"/>
        <v>#VALUE!</v>
      </c>
      <c r="V10" s="14" t="e">
        <f t="shared" si="5"/>
        <v>#VALUE!</v>
      </c>
      <c r="W10" s="14" t="e">
        <f t="shared" si="5"/>
        <v>#VALUE!</v>
      </c>
      <c r="X10" s="14" t="e">
        <f t="shared" si="5"/>
        <v>#VALUE!</v>
      </c>
      <c r="Y10" s="15" t="e">
        <f t="shared" si="5"/>
        <v>#VALUE!</v>
      </c>
      <c r="Z10" s="16" t="e">
        <f t="shared" si="6"/>
        <v>#VALUE!</v>
      </c>
      <c r="AA10" s="13" t="e">
        <f t="shared" si="6"/>
        <v>#VALUE!</v>
      </c>
      <c r="AB10" s="14" t="e">
        <f t="shared" si="6"/>
        <v>#VALUE!</v>
      </c>
      <c r="AC10" s="14" t="e">
        <f t="shared" si="6"/>
        <v>#VALUE!</v>
      </c>
      <c r="AD10" s="14" t="e">
        <f t="shared" si="6"/>
        <v>#VALUE!</v>
      </c>
      <c r="AE10" s="14" t="e">
        <f t="shared" si="6"/>
        <v>#VALUE!</v>
      </c>
      <c r="AF10" s="15" t="e">
        <f t="shared" si="6"/>
        <v>#VALUE!</v>
      </c>
      <c r="AG10" s="16" t="e">
        <f t="shared" si="6"/>
        <v>#VALUE!</v>
      </c>
      <c r="AH10" s="13" t="e">
        <f t="shared" si="6"/>
        <v>#VALUE!</v>
      </c>
      <c r="AI10" s="14" t="e">
        <f t="shared" si="6"/>
        <v>#VALUE!</v>
      </c>
      <c r="AJ10" s="14" t="e">
        <f t="shared" si="7"/>
        <v>#VALUE!</v>
      </c>
      <c r="AK10" s="14" t="e">
        <f t="shared" si="7"/>
        <v>#VALUE!</v>
      </c>
      <c r="AL10" s="14" t="e">
        <f t="shared" si="7"/>
        <v>#VALUE!</v>
      </c>
      <c r="AM10" s="15" t="e">
        <f t="shared" si="7"/>
        <v>#VALUE!</v>
      </c>
      <c r="AN10" s="16" t="e">
        <f t="shared" si="7"/>
        <v>#VALUE!</v>
      </c>
      <c r="AO10" s="13" t="e">
        <f t="shared" si="7"/>
        <v>#VALUE!</v>
      </c>
      <c r="AP10" s="14" t="e">
        <f t="shared" si="7"/>
        <v>#VALUE!</v>
      </c>
      <c r="AQ10" s="14" t="e">
        <f t="shared" si="7"/>
        <v>#VALUE!</v>
      </c>
      <c r="AR10" s="14" t="e">
        <f t="shared" si="7"/>
        <v>#VALUE!</v>
      </c>
      <c r="AS10" s="14" t="e">
        <f t="shared" si="7"/>
        <v>#VALUE!</v>
      </c>
      <c r="AT10" s="15" t="e">
        <f t="shared" si="8"/>
        <v>#VALUE!</v>
      </c>
      <c r="AU10" s="16" t="e">
        <f t="shared" si="8"/>
        <v>#VALUE!</v>
      </c>
      <c r="AV10" s="13" t="e">
        <f t="shared" si="8"/>
        <v>#VALUE!</v>
      </c>
      <c r="AW10" s="14" t="e">
        <f t="shared" si="8"/>
        <v>#VALUE!</v>
      </c>
      <c r="AX10" s="14" t="e">
        <f t="shared" si="8"/>
        <v>#VALUE!</v>
      </c>
      <c r="AY10" s="14" t="e">
        <f t="shared" si="8"/>
        <v>#VALUE!</v>
      </c>
      <c r="AZ10" s="14" t="e">
        <f t="shared" si="8"/>
        <v>#VALUE!</v>
      </c>
      <c r="BA10" s="15" t="e">
        <f t="shared" si="8"/>
        <v>#VALUE!</v>
      </c>
      <c r="BB10" s="16" t="e">
        <f t="shared" si="8"/>
        <v>#VALUE!</v>
      </c>
      <c r="BC10" s="13" t="e">
        <f t="shared" si="8"/>
        <v>#VALUE!</v>
      </c>
      <c r="BD10" s="14" t="e">
        <f t="shared" si="9"/>
        <v>#VALUE!</v>
      </c>
      <c r="BE10" s="14" t="e">
        <f t="shared" si="9"/>
        <v>#VALUE!</v>
      </c>
      <c r="BF10" s="14" t="e">
        <f t="shared" si="9"/>
        <v>#VALUE!</v>
      </c>
      <c r="BG10" s="14" t="e">
        <f t="shared" si="9"/>
        <v>#VALUE!</v>
      </c>
      <c r="BH10" s="15" t="e">
        <f t="shared" si="9"/>
        <v>#VALUE!</v>
      </c>
      <c r="BI10" s="16" t="e">
        <f t="shared" si="9"/>
        <v>#VALUE!</v>
      </c>
      <c r="BJ10" s="13" t="e">
        <f t="shared" si="9"/>
        <v>#VALUE!</v>
      </c>
      <c r="BK10" s="14" t="e">
        <f t="shared" si="9"/>
        <v>#VALUE!</v>
      </c>
      <c r="BL10" s="14" t="e">
        <f t="shared" si="9"/>
        <v>#VALUE!</v>
      </c>
      <c r="BM10" s="14" t="e">
        <f t="shared" si="9"/>
        <v>#VALUE!</v>
      </c>
      <c r="BN10" s="14" t="e">
        <f t="shared" si="10"/>
        <v>#VALUE!</v>
      </c>
      <c r="BO10" s="15" t="e">
        <f t="shared" si="10"/>
        <v>#VALUE!</v>
      </c>
      <c r="BP10" s="16" t="e">
        <f t="shared" si="10"/>
        <v>#VALUE!</v>
      </c>
      <c r="BQ10" s="13" t="e">
        <f t="shared" si="10"/>
        <v>#VALUE!</v>
      </c>
      <c r="BR10" s="14" t="e">
        <f t="shared" si="10"/>
        <v>#VALUE!</v>
      </c>
      <c r="BS10" s="14" t="e">
        <f t="shared" si="10"/>
        <v>#VALUE!</v>
      </c>
      <c r="BT10" s="14" t="e">
        <f t="shared" si="10"/>
        <v>#VALUE!</v>
      </c>
      <c r="BU10" s="14" t="e">
        <f t="shared" si="10"/>
        <v>#VALUE!</v>
      </c>
      <c r="BV10" s="15" t="e">
        <f t="shared" si="10"/>
        <v>#VALUE!</v>
      </c>
      <c r="BW10" s="16" t="e">
        <f t="shared" si="10"/>
        <v>#VALUE!</v>
      </c>
      <c r="BX10" s="13" t="e">
        <f t="shared" si="11"/>
        <v>#VALUE!</v>
      </c>
      <c r="BY10" s="14" t="e">
        <f t="shared" si="11"/>
        <v>#VALUE!</v>
      </c>
      <c r="BZ10" s="14" t="e">
        <f t="shared" si="11"/>
        <v>#VALUE!</v>
      </c>
      <c r="CA10" s="14" t="e">
        <f t="shared" si="11"/>
        <v>#VALUE!</v>
      </c>
      <c r="CB10" s="14" t="e">
        <f t="shared" si="11"/>
        <v>#VALUE!</v>
      </c>
      <c r="CC10" s="15" t="e">
        <f t="shared" si="11"/>
        <v>#VALUE!</v>
      </c>
      <c r="CD10" s="16" t="e">
        <f t="shared" si="11"/>
        <v>#VALUE!</v>
      </c>
      <c r="CE10" s="13" t="e">
        <f t="shared" si="11"/>
        <v>#VALUE!</v>
      </c>
      <c r="CF10" s="14" t="e">
        <f t="shared" si="11"/>
        <v>#VALUE!</v>
      </c>
      <c r="CG10" s="14" t="e">
        <f t="shared" si="11"/>
        <v>#VALUE!</v>
      </c>
      <c r="CH10" s="14" t="e">
        <f t="shared" si="12"/>
        <v>#VALUE!</v>
      </c>
      <c r="CI10" s="14" t="e">
        <f t="shared" si="12"/>
        <v>#VALUE!</v>
      </c>
      <c r="CJ10" s="15" t="e">
        <f t="shared" si="12"/>
        <v>#VALUE!</v>
      </c>
      <c r="CK10" s="16" t="e">
        <f t="shared" si="12"/>
        <v>#VALUE!</v>
      </c>
      <c r="CL10" s="13" t="e">
        <f t="shared" si="12"/>
        <v>#VALUE!</v>
      </c>
      <c r="CM10" s="14" t="e">
        <f t="shared" si="12"/>
        <v>#VALUE!</v>
      </c>
      <c r="CN10" s="14" t="e">
        <f t="shared" si="12"/>
        <v>#VALUE!</v>
      </c>
      <c r="CO10" s="14" t="e">
        <f t="shared" si="12"/>
        <v>#VALUE!</v>
      </c>
      <c r="CP10" s="14" t="e">
        <f t="shared" si="12"/>
        <v>#VALUE!</v>
      </c>
      <c r="CQ10" s="15" t="e">
        <f t="shared" si="12"/>
        <v>#VALUE!</v>
      </c>
      <c r="CR10" s="16" t="e">
        <f t="shared" si="13"/>
        <v>#VALUE!</v>
      </c>
      <c r="CS10" s="13" t="e">
        <f t="shared" si="13"/>
        <v>#VALUE!</v>
      </c>
      <c r="CT10" s="14" t="e">
        <f t="shared" si="13"/>
        <v>#VALUE!</v>
      </c>
      <c r="CU10" s="14" t="e">
        <f t="shared" si="13"/>
        <v>#VALUE!</v>
      </c>
      <c r="CV10" s="14" t="e">
        <f t="shared" si="13"/>
        <v>#VALUE!</v>
      </c>
      <c r="CW10" s="14" t="e">
        <f t="shared" si="13"/>
        <v>#VALUE!</v>
      </c>
      <c r="CX10" s="15" t="e">
        <f t="shared" si="13"/>
        <v>#VALUE!</v>
      </c>
      <c r="CY10" s="16" t="e">
        <f t="shared" si="13"/>
        <v>#VALUE!</v>
      </c>
      <c r="CZ10" s="13" t="e">
        <f t="shared" si="13"/>
        <v>#VALUE!</v>
      </c>
      <c r="DA10" s="14" t="e">
        <f t="shared" si="13"/>
        <v>#VALUE!</v>
      </c>
      <c r="DB10" s="14" t="e">
        <f t="shared" si="14"/>
        <v>#VALUE!</v>
      </c>
      <c r="DC10" s="14" t="e">
        <f t="shared" si="14"/>
        <v>#VALUE!</v>
      </c>
      <c r="DD10" s="14" t="e">
        <f t="shared" si="14"/>
        <v>#VALUE!</v>
      </c>
      <c r="DE10" s="15" t="e">
        <f t="shared" si="14"/>
        <v>#VALUE!</v>
      </c>
      <c r="DF10" s="16" t="e">
        <f t="shared" si="14"/>
        <v>#VALUE!</v>
      </c>
      <c r="DG10" s="13" t="e">
        <f t="shared" si="14"/>
        <v>#VALUE!</v>
      </c>
      <c r="DH10" s="14" t="e">
        <f t="shared" si="14"/>
        <v>#VALUE!</v>
      </c>
      <c r="DI10" s="14" t="e">
        <f t="shared" si="14"/>
        <v>#VALUE!</v>
      </c>
      <c r="DJ10" s="14" t="e">
        <f t="shared" si="14"/>
        <v>#VALUE!</v>
      </c>
      <c r="DK10" s="14" t="e">
        <f t="shared" si="14"/>
        <v>#VALUE!</v>
      </c>
      <c r="DL10" s="15" t="e">
        <f t="shared" si="15"/>
        <v>#VALUE!</v>
      </c>
      <c r="DM10" s="16" t="e">
        <f t="shared" si="15"/>
        <v>#VALUE!</v>
      </c>
      <c r="DN10" s="13" t="e">
        <f t="shared" si="15"/>
        <v>#VALUE!</v>
      </c>
      <c r="DO10" s="14" t="e">
        <f t="shared" si="15"/>
        <v>#VALUE!</v>
      </c>
      <c r="DP10" s="14" t="e">
        <f t="shared" si="15"/>
        <v>#VALUE!</v>
      </c>
      <c r="DQ10" s="14" t="e">
        <f t="shared" si="15"/>
        <v>#VALUE!</v>
      </c>
      <c r="DR10" s="14" t="e">
        <f t="shared" si="15"/>
        <v>#VALUE!</v>
      </c>
      <c r="DS10" s="15" t="e">
        <f t="shared" si="15"/>
        <v>#VALUE!</v>
      </c>
      <c r="DT10" s="16" t="e">
        <f t="shared" si="15"/>
        <v>#VALUE!</v>
      </c>
    </row>
    <row r="11" spans="1:124" s="17" customFormat="1" ht="9.6" customHeight="1">
      <c r="A11" s="535"/>
      <c r="B11" s="18" t="s">
        <v>42</v>
      </c>
      <c r="C11" s="19" t="e">
        <f>_xlfn.XLOOKUP(A25,'VTT actif'!B:B,'VTT actif'!U:U,"-",0)+1</f>
        <v>#VALUE!</v>
      </c>
      <c r="D11" s="19" t="str">
        <f>_xlfn.XLOOKUP(A25,'VTT actif'!B:B,'VTT actif'!T:T,"-",0)</f>
        <v>-</v>
      </c>
      <c r="E11" s="19" t="e">
        <f>(C11+D11)-1</f>
        <v>#VALUE!</v>
      </c>
      <c r="F11" s="13" t="e">
        <f t="shared" si="4"/>
        <v>#VALUE!</v>
      </c>
      <c r="G11" s="14" t="e">
        <f t="shared" si="4"/>
        <v>#VALUE!</v>
      </c>
      <c r="H11" s="14" t="e">
        <f t="shared" si="4"/>
        <v>#VALUE!</v>
      </c>
      <c r="I11" s="14" t="e">
        <f t="shared" si="4"/>
        <v>#VALUE!</v>
      </c>
      <c r="J11" s="14" t="e">
        <f t="shared" si="4"/>
        <v>#VALUE!</v>
      </c>
      <c r="K11" s="15" t="e">
        <f t="shared" si="4"/>
        <v>#VALUE!</v>
      </c>
      <c r="L11" s="16" t="e">
        <f t="shared" si="4"/>
        <v>#VALUE!</v>
      </c>
      <c r="M11" s="13" t="e">
        <f t="shared" si="4"/>
        <v>#VALUE!</v>
      </c>
      <c r="N11" s="14" t="e">
        <f t="shared" si="4"/>
        <v>#VALUE!</v>
      </c>
      <c r="O11" s="14" t="e">
        <f t="shared" si="4"/>
        <v>#VALUE!</v>
      </c>
      <c r="P11" s="14" t="e">
        <f t="shared" si="5"/>
        <v>#VALUE!</v>
      </c>
      <c r="Q11" s="14" t="e">
        <f t="shared" si="5"/>
        <v>#VALUE!</v>
      </c>
      <c r="R11" s="15" t="e">
        <f t="shared" si="5"/>
        <v>#VALUE!</v>
      </c>
      <c r="S11" s="16" t="e">
        <f t="shared" si="5"/>
        <v>#VALUE!</v>
      </c>
      <c r="T11" s="13" t="e">
        <f t="shared" si="5"/>
        <v>#VALUE!</v>
      </c>
      <c r="U11" s="14" t="e">
        <f t="shared" si="5"/>
        <v>#VALUE!</v>
      </c>
      <c r="V11" s="14" t="e">
        <f t="shared" si="5"/>
        <v>#VALUE!</v>
      </c>
      <c r="W11" s="14" t="e">
        <f t="shared" si="5"/>
        <v>#VALUE!</v>
      </c>
      <c r="X11" s="14" t="e">
        <f t="shared" si="5"/>
        <v>#VALUE!</v>
      </c>
      <c r="Y11" s="15" t="e">
        <f t="shared" si="5"/>
        <v>#VALUE!</v>
      </c>
      <c r="Z11" s="16" t="e">
        <f t="shared" si="6"/>
        <v>#VALUE!</v>
      </c>
      <c r="AA11" s="13" t="e">
        <f t="shared" si="6"/>
        <v>#VALUE!</v>
      </c>
      <c r="AB11" s="14" t="e">
        <f t="shared" si="6"/>
        <v>#VALUE!</v>
      </c>
      <c r="AC11" s="14" t="e">
        <f t="shared" si="6"/>
        <v>#VALUE!</v>
      </c>
      <c r="AD11" s="14" t="e">
        <f t="shared" si="6"/>
        <v>#VALUE!</v>
      </c>
      <c r="AE11" s="14" t="e">
        <f t="shared" si="6"/>
        <v>#VALUE!</v>
      </c>
      <c r="AF11" s="15" t="e">
        <f t="shared" si="6"/>
        <v>#VALUE!</v>
      </c>
      <c r="AG11" s="16" t="e">
        <f t="shared" si="6"/>
        <v>#VALUE!</v>
      </c>
      <c r="AH11" s="13" t="e">
        <f t="shared" si="6"/>
        <v>#VALUE!</v>
      </c>
      <c r="AI11" s="14" t="e">
        <f t="shared" si="6"/>
        <v>#VALUE!</v>
      </c>
      <c r="AJ11" s="14" t="e">
        <f t="shared" si="7"/>
        <v>#VALUE!</v>
      </c>
      <c r="AK11" s="14" t="e">
        <f t="shared" si="7"/>
        <v>#VALUE!</v>
      </c>
      <c r="AL11" s="14" t="e">
        <f t="shared" si="7"/>
        <v>#VALUE!</v>
      </c>
      <c r="AM11" s="15" t="e">
        <f t="shared" si="7"/>
        <v>#VALUE!</v>
      </c>
      <c r="AN11" s="16" t="e">
        <f t="shared" si="7"/>
        <v>#VALUE!</v>
      </c>
      <c r="AO11" s="13" t="e">
        <f t="shared" si="7"/>
        <v>#VALUE!</v>
      </c>
      <c r="AP11" s="14" t="e">
        <f t="shared" si="7"/>
        <v>#VALUE!</v>
      </c>
      <c r="AQ11" s="14" t="e">
        <f t="shared" si="7"/>
        <v>#VALUE!</v>
      </c>
      <c r="AR11" s="14" t="e">
        <f t="shared" si="7"/>
        <v>#VALUE!</v>
      </c>
      <c r="AS11" s="14" t="e">
        <f t="shared" si="7"/>
        <v>#VALUE!</v>
      </c>
      <c r="AT11" s="15" t="e">
        <f t="shared" si="8"/>
        <v>#VALUE!</v>
      </c>
      <c r="AU11" s="16" t="e">
        <f t="shared" si="8"/>
        <v>#VALUE!</v>
      </c>
      <c r="AV11" s="13" t="e">
        <f t="shared" si="8"/>
        <v>#VALUE!</v>
      </c>
      <c r="AW11" s="14" t="e">
        <f t="shared" si="8"/>
        <v>#VALUE!</v>
      </c>
      <c r="AX11" s="14" t="e">
        <f t="shared" si="8"/>
        <v>#VALUE!</v>
      </c>
      <c r="AY11" s="14" t="e">
        <f t="shared" si="8"/>
        <v>#VALUE!</v>
      </c>
      <c r="AZ11" s="14" t="e">
        <f t="shared" si="8"/>
        <v>#VALUE!</v>
      </c>
      <c r="BA11" s="15" t="e">
        <f t="shared" si="8"/>
        <v>#VALUE!</v>
      </c>
      <c r="BB11" s="16" t="e">
        <f t="shared" si="8"/>
        <v>#VALUE!</v>
      </c>
      <c r="BC11" s="13" t="e">
        <f t="shared" si="8"/>
        <v>#VALUE!</v>
      </c>
      <c r="BD11" s="14" t="e">
        <f t="shared" si="9"/>
        <v>#VALUE!</v>
      </c>
      <c r="BE11" s="14" t="e">
        <f t="shared" si="9"/>
        <v>#VALUE!</v>
      </c>
      <c r="BF11" s="14" t="e">
        <f t="shared" si="9"/>
        <v>#VALUE!</v>
      </c>
      <c r="BG11" s="14" t="e">
        <f t="shared" si="9"/>
        <v>#VALUE!</v>
      </c>
      <c r="BH11" s="15" t="e">
        <f t="shared" si="9"/>
        <v>#VALUE!</v>
      </c>
      <c r="BI11" s="16" t="e">
        <f t="shared" si="9"/>
        <v>#VALUE!</v>
      </c>
      <c r="BJ11" s="13" t="e">
        <f t="shared" si="9"/>
        <v>#VALUE!</v>
      </c>
      <c r="BK11" s="14" t="e">
        <f t="shared" si="9"/>
        <v>#VALUE!</v>
      </c>
      <c r="BL11" s="14" t="e">
        <f t="shared" si="9"/>
        <v>#VALUE!</v>
      </c>
      <c r="BM11" s="14" t="e">
        <f t="shared" si="9"/>
        <v>#VALUE!</v>
      </c>
      <c r="BN11" s="14" t="e">
        <f t="shared" si="10"/>
        <v>#VALUE!</v>
      </c>
      <c r="BO11" s="15" t="e">
        <f t="shared" si="10"/>
        <v>#VALUE!</v>
      </c>
      <c r="BP11" s="16" t="e">
        <f t="shared" si="10"/>
        <v>#VALUE!</v>
      </c>
      <c r="BQ11" s="13" t="e">
        <f t="shared" si="10"/>
        <v>#VALUE!</v>
      </c>
      <c r="BR11" s="14" t="e">
        <f t="shared" si="10"/>
        <v>#VALUE!</v>
      </c>
      <c r="BS11" s="14" t="e">
        <f t="shared" si="10"/>
        <v>#VALUE!</v>
      </c>
      <c r="BT11" s="14" t="e">
        <f t="shared" si="10"/>
        <v>#VALUE!</v>
      </c>
      <c r="BU11" s="14" t="e">
        <f t="shared" si="10"/>
        <v>#VALUE!</v>
      </c>
      <c r="BV11" s="15" t="e">
        <f t="shared" si="10"/>
        <v>#VALUE!</v>
      </c>
      <c r="BW11" s="16" t="e">
        <f t="shared" si="10"/>
        <v>#VALUE!</v>
      </c>
      <c r="BX11" s="13" t="e">
        <f t="shared" si="11"/>
        <v>#VALUE!</v>
      </c>
      <c r="BY11" s="14" t="e">
        <f t="shared" si="11"/>
        <v>#VALUE!</v>
      </c>
      <c r="BZ11" s="14" t="e">
        <f t="shared" si="11"/>
        <v>#VALUE!</v>
      </c>
      <c r="CA11" s="14" t="e">
        <f t="shared" si="11"/>
        <v>#VALUE!</v>
      </c>
      <c r="CB11" s="14" t="e">
        <f t="shared" si="11"/>
        <v>#VALUE!</v>
      </c>
      <c r="CC11" s="15" t="e">
        <f t="shared" si="11"/>
        <v>#VALUE!</v>
      </c>
      <c r="CD11" s="16" t="e">
        <f t="shared" si="11"/>
        <v>#VALUE!</v>
      </c>
      <c r="CE11" s="13" t="e">
        <f t="shared" si="11"/>
        <v>#VALUE!</v>
      </c>
      <c r="CF11" s="14" t="e">
        <f t="shared" si="11"/>
        <v>#VALUE!</v>
      </c>
      <c r="CG11" s="14" t="e">
        <f t="shared" si="11"/>
        <v>#VALUE!</v>
      </c>
      <c r="CH11" s="14" t="e">
        <f t="shared" si="12"/>
        <v>#VALUE!</v>
      </c>
      <c r="CI11" s="14" t="e">
        <f t="shared" si="12"/>
        <v>#VALUE!</v>
      </c>
      <c r="CJ11" s="15" t="e">
        <f t="shared" si="12"/>
        <v>#VALUE!</v>
      </c>
      <c r="CK11" s="16" t="e">
        <f t="shared" si="12"/>
        <v>#VALUE!</v>
      </c>
      <c r="CL11" s="13" t="e">
        <f t="shared" si="12"/>
        <v>#VALUE!</v>
      </c>
      <c r="CM11" s="14" t="e">
        <f t="shared" si="12"/>
        <v>#VALUE!</v>
      </c>
      <c r="CN11" s="14" t="e">
        <f t="shared" si="12"/>
        <v>#VALUE!</v>
      </c>
      <c r="CO11" s="14" t="e">
        <f t="shared" si="12"/>
        <v>#VALUE!</v>
      </c>
      <c r="CP11" s="14" t="e">
        <f t="shared" si="12"/>
        <v>#VALUE!</v>
      </c>
      <c r="CQ11" s="15" t="e">
        <f t="shared" si="12"/>
        <v>#VALUE!</v>
      </c>
      <c r="CR11" s="16" t="e">
        <f t="shared" si="13"/>
        <v>#VALUE!</v>
      </c>
      <c r="CS11" s="13" t="e">
        <f t="shared" si="13"/>
        <v>#VALUE!</v>
      </c>
      <c r="CT11" s="14" t="e">
        <f t="shared" si="13"/>
        <v>#VALUE!</v>
      </c>
      <c r="CU11" s="14" t="e">
        <f t="shared" si="13"/>
        <v>#VALUE!</v>
      </c>
      <c r="CV11" s="14" t="e">
        <f t="shared" si="13"/>
        <v>#VALUE!</v>
      </c>
      <c r="CW11" s="14" t="e">
        <f t="shared" si="13"/>
        <v>#VALUE!</v>
      </c>
      <c r="CX11" s="15" t="e">
        <f t="shared" si="13"/>
        <v>#VALUE!</v>
      </c>
      <c r="CY11" s="16" t="e">
        <f t="shared" si="13"/>
        <v>#VALUE!</v>
      </c>
      <c r="CZ11" s="13" t="e">
        <f t="shared" si="13"/>
        <v>#VALUE!</v>
      </c>
      <c r="DA11" s="14" t="e">
        <f t="shared" si="13"/>
        <v>#VALUE!</v>
      </c>
      <c r="DB11" s="14" t="e">
        <f t="shared" si="14"/>
        <v>#VALUE!</v>
      </c>
      <c r="DC11" s="14" t="e">
        <f t="shared" si="14"/>
        <v>#VALUE!</v>
      </c>
      <c r="DD11" s="14" t="e">
        <f t="shared" si="14"/>
        <v>#VALUE!</v>
      </c>
      <c r="DE11" s="15" t="e">
        <f t="shared" si="14"/>
        <v>#VALUE!</v>
      </c>
      <c r="DF11" s="16" t="e">
        <f t="shared" si="14"/>
        <v>#VALUE!</v>
      </c>
      <c r="DG11" s="13" t="e">
        <f t="shared" si="14"/>
        <v>#VALUE!</v>
      </c>
      <c r="DH11" s="14" t="e">
        <f t="shared" si="14"/>
        <v>#VALUE!</v>
      </c>
      <c r="DI11" s="14" t="e">
        <f t="shared" si="14"/>
        <v>#VALUE!</v>
      </c>
      <c r="DJ11" s="14" t="e">
        <f t="shared" si="14"/>
        <v>#VALUE!</v>
      </c>
      <c r="DK11" s="14" t="e">
        <f t="shared" si="14"/>
        <v>#VALUE!</v>
      </c>
      <c r="DL11" s="15" t="e">
        <f t="shared" si="15"/>
        <v>#VALUE!</v>
      </c>
      <c r="DM11" s="16" t="e">
        <f t="shared" si="15"/>
        <v>#VALUE!</v>
      </c>
      <c r="DN11" s="13" t="e">
        <f t="shared" si="15"/>
        <v>#VALUE!</v>
      </c>
      <c r="DO11" s="14" t="e">
        <f t="shared" si="15"/>
        <v>#VALUE!</v>
      </c>
      <c r="DP11" s="14" t="e">
        <f t="shared" si="15"/>
        <v>#VALUE!</v>
      </c>
      <c r="DQ11" s="14" t="e">
        <f t="shared" si="15"/>
        <v>#VALUE!</v>
      </c>
      <c r="DR11" s="14" t="e">
        <f t="shared" si="15"/>
        <v>#VALUE!</v>
      </c>
      <c r="DS11" s="15" t="e">
        <f t="shared" si="15"/>
        <v>#VALUE!</v>
      </c>
      <c r="DT11" s="16" t="e">
        <f t="shared" si="15"/>
        <v>#VALUE!</v>
      </c>
    </row>
    <row r="12" spans="1:124" s="17" customFormat="1" ht="9.6" customHeight="1">
      <c r="A12" s="535"/>
      <c r="B12" s="18" t="s">
        <v>43</v>
      </c>
      <c r="C12" s="19" t="e">
        <f>E11+1</f>
        <v>#VALUE!</v>
      </c>
      <c r="D12" s="19" t="str">
        <f>_xlfn.XLOOKUP(A25,'VTT actif'!B:B,'VTT actif'!V:V,"-",0)</f>
        <v>-</v>
      </c>
      <c r="E12" s="21" t="e">
        <f>(C12+D12)-1</f>
        <v>#VALUE!</v>
      </c>
      <c r="F12" s="13" t="e">
        <f t="shared" si="4"/>
        <v>#VALUE!</v>
      </c>
      <c r="G12" s="14" t="e">
        <f t="shared" si="4"/>
        <v>#VALUE!</v>
      </c>
      <c r="H12" s="14" t="e">
        <f t="shared" si="4"/>
        <v>#VALUE!</v>
      </c>
      <c r="I12" s="14" t="e">
        <f t="shared" si="4"/>
        <v>#VALUE!</v>
      </c>
      <c r="J12" s="14" t="e">
        <f t="shared" si="4"/>
        <v>#VALUE!</v>
      </c>
      <c r="K12" s="15" t="e">
        <f t="shared" si="4"/>
        <v>#VALUE!</v>
      </c>
      <c r="L12" s="16" t="e">
        <f t="shared" si="4"/>
        <v>#VALUE!</v>
      </c>
      <c r="M12" s="13" t="e">
        <f t="shared" si="4"/>
        <v>#VALUE!</v>
      </c>
      <c r="N12" s="14" t="e">
        <f t="shared" si="4"/>
        <v>#VALUE!</v>
      </c>
      <c r="O12" s="14" t="e">
        <f t="shared" si="4"/>
        <v>#VALUE!</v>
      </c>
      <c r="P12" s="14" t="e">
        <f t="shared" si="5"/>
        <v>#VALUE!</v>
      </c>
      <c r="Q12" s="14" t="e">
        <f t="shared" si="5"/>
        <v>#VALUE!</v>
      </c>
      <c r="R12" s="15" t="e">
        <f t="shared" si="5"/>
        <v>#VALUE!</v>
      </c>
      <c r="S12" s="16" t="e">
        <f t="shared" si="5"/>
        <v>#VALUE!</v>
      </c>
      <c r="T12" s="13" t="e">
        <f t="shared" si="5"/>
        <v>#VALUE!</v>
      </c>
      <c r="U12" s="14" t="e">
        <f t="shared" si="5"/>
        <v>#VALUE!</v>
      </c>
      <c r="V12" s="14" t="e">
        <f t="shared" si="5"/>
        <v>#VALUE!</v>
      </c>
      <c r="W12" s="14" t="e">
        <f t="shared" si="5"/>
        <v>#VALUE!</v>
      </c>
      <c r="X12" s="14" t="e">
        <f t="shared" si="5"/>
        <v>#VALUE!</v>
      </c>
      <c r="Y12" s="15" t="e">
        <f t="shared" si="5"/>
        <v>#VALUE!</v>
      </c>
      <c r="Z12" s="16" t="e">
        <f t="shared" si="6"/>
        <v>#VALUE!</v>
      </c>
      <c r="AA12" s="13" t="e">
        <f t="shared" si="6"/>
        <v>#VALUE!</v>
      </c>
      <c r="AB12" s="14" t="e">
        <f t="shared" si="6"/>
        <v>#VALUE!</v>
      </c>
      <c r="AC12" s="14" t="e">
        <f t="shared" si="6"/>
        <v>#VALUE!</v>
      </c>
      <c r="AD12" s="14" t="e">
        <f t="shared" si="6"/>
        <v>#VALUE!</v>
      </c>
      <c r="AE12" s="14" t="e">
        <f t="shared" si="6"/>
        <v>#VALUE!</v>
      </c>
      <c r="AF12" s="15" t="e">
        <f t="shared" si="6"/>
        <v>#VALUE!</v>
      </c>
      <c r="AG12" s="16" t="e">
        <f t="shared" si="6"/>
        <v>#VALUE!</v>
      </c>
      <c r="AH12" s="13" t="e">
        <f t="shared" si="6"/>
        <v>#VALUE!</v>
      </c>
      <c r="AI12" s="14" t="e">
        <f t="shared" si="6"/>
        <v>#VALUE!</v>
      </c>
      <c r="AJ12" s="14" t="e">
        <f t="shared" si="7"/>
        <v>#VALUE!</v>
      </c>
      <c r="AK12" s="14" t="e">
        <f t="shared" si="7"/>
        <v>#VALUE!</v>
      </c>
      <c r="AL12" s="14" t="e">
        <f t="shared" si="7"/>
        <v>#VALUE!</v>
      </c>
      <c r="AM12" s="15" t="e">
        <f t="shared" si="7"/>
        <v>#VALUE!</v>
      </c>
      <c r="AN12" s="16" t="e">
        <f t="shared" si="7"/>
        <v>#VALUE!</v>
      </c>
      <c r="AO12" s="13" t="e">
        <f t="shared" si="7"/>
        <v>#VALUE!</v>
      </c>
      <c r="AP12" s="14" t="e">
        <f t="shared" si="7"/>
        <v>#VALUE!</v>
      </c>
      <c r="AQ12" s="14" t="e">
        <f t="shared" si="7"/>
        <v>#VALUE!</v>
      </c>
      <c r="AR12" s="14" t="e">
        <f t="shared" si="7"/>
        <v>#VALUE!</v>
      </c>
      <c r="AS12" s="14" t="e">
        <f t="shared" si="7"/>
        <v>#VALUE!</v>
      </c>
      <c r="AT12" s="15" t="e">
        <f t="shared" si="8"/>
        <v>#VALUE!</v>
      </c>
      <c r="AU12" s="16" t="e">
        <f t="shared" si="8"/>
        <v>#VALUE!</v>
      </c>
      <c r="AV12" s="13" t="e">
        <f t="shared" si="8"/>
        <v>#VALUE!</v>
      </c>
      <c r="AW12" s="14" t="e">
        <f t="shared" si="8"/>
        <v>#VALUE!</v>
      </c>
      <c r="AX12" s="14" t="e">
        <f t="shared" si="8"/>
        <v>#VALUE!</v>
      </c>
      <c r="AY12" s="14" t="e">
        <f t="shared" si="8"/>
        <v>#VALUE!</v>
      </c>
      <c r="AZ12" s="14" t="e">
        <f t="shared" si="8"/>
        <v>#VALUE!</v>
      </c>
      <c r="BA12" s="15" t="e">
        <f t="shared" si="8"/>
        <v>#VALUE!</v>
      </c>
      <c r="BB12" s="16" t="e">
        <f t="shared" si="8"/>
        <v>#VALUE!</v>
      </c>
      <c r="BC12" s="13" t="e">
        <f t="shared" si="8"/>
        <v>#VALUE!</v>
      </c>
      <c r="BD12" s="14" t="e">
        <f t="shared" si="9"/>
        <v>#VALUE!</v>
      </c>
      <c r="BE12" s="14" t="e">
        <f t="shared" si="9"/>
        <v>#VALUE!</v>
      </c>
      <c r="BF12" s="14" t="e">
        <f t="shared" si="9"/>
        <v>#VALUE!</v>
      </c>
      <c r="BG12" s="14" t="e">
        <f t="shared" si="9"/>
        <v>#VALUE!</v>
      </c>
      <c r="BH12" s="15" t="e">
        <f t="shared" si="9"/>
        <v>#VALUE!</v>
      </c>
      <c r="BI12" s="16" t="e">
        <f t="shared" si="9"/>
        <v>#VALUE!</v>
      </c>
      <c r="BJ12" s="13" t="e">
        <f t="shared" si="9"/>
        <v>#VALUE!</v>
      </c>
      <c r="BK12" s="14" t="e">
        <f t="shared" si="9"/>
        <v>#VALUE!</v>
      </c>
      <c r="BL12" s="14" t="e">
        <f t="shared" si="9"/>
        <v>#VALUE!</v>
      </c>
      <c r="BM12" s="14" t="e">
        <f t="shared" si="9"/>
        <v>#VALUE!</v>
      </c>
      <c r="BN12" s="14" t="e">
        <f t="shared" si="10"/>
        <v>#VALUE!</v>
      </c>
      <c r="BO12" s="15" t="e">
        <f t="shared" si="10"/>
        <v>#VALUE!</v>
      </c>
      <c r="BP12" s="16" t="e">
        <f t="shared" si="10"/>
        <v>#VALUE!</v>
      </c>
      <c r="BQ12" s="13" t="e">
        <f t="shared" si="10"/>
        <v>#VALUE!</v>
      </c>
      <c r="BR12" s="14" t="e">
        <f t="shared" si="10"/>
        <v>#VALUE!</v>
      </c>
      <c r="BS12" s="14" t="e">
        <f t="shared" si="10"/>
        <v>#VALUE!</v>
      </c>
      <c r="BT12" s="14" t="e">
        <f t="shared" si="10"/>
        <v>#VALUE!</v>
      </c>
      <c r="BU12" s="14" t="e">
        <f t="shared" si="10"/>
        <v>#VALUE!</v>
      </c>
      <c r="BV12" s="15" t="e">
        <f t="shared" si="10"/>
        <v>#VALUE!</v>
      </c>
      <c r="BW12" s="16" t="e">
        <f t="shared" si="10"/>
        <v>#VALUE!</v>
      </c>
      <c r="BX12" s="13" t="e">
        <f t="shared" si="11"/>
        <v>#VALUE!</v>
      </c>
      <c r="BY12" s="14" t="e">
        <f t="shared" si="11"/>
        <v>#VALUE!</v>
      </c>
      <c r="BZ12" s="14" t="e">
        <f t="shared" si="11"/>
        <v>#VALUE!</v>
      </c>
      <c r="CA12" s="14" t="e">
        <f t="shared" si="11"/>
        <v>#VALUE!</v>
      </c>
      <c r="CB12" s="14" t="e">
        <f t="shared" si="11"/>
        <v>#VALUE!</v>
      </c>
      <c r="CC12" s="15" t="e">
        <f t="shared" si="11"/>
        <v>#VALUE!</v>
      </c>
      <c r="CD12" s="16" t="e">
        <f t="shared" si="11"/>
        <v>#VALUE!</v>
      </c>
      <c r="CE12" s="13" t="e">
        <f t="shared" si="11"/>
        <v>#VALUE!</v>
      </c>
      <c r="CF12" s="14" t="e">
        <f t="shared" si="11"/>
        <v>#VALUE!</v>
      </c>
      <c r="CG12" s="14" t="e">
        <f t="shared" si="11"/>
        <v>#VALUE!</v>
      </c>
      <c r="CH12" s="14" t="e">
        <f t="shared" si="12"/>
        <v>#VALUE!</v>
      </c>
      <c r="CI12" s="14" t="e">
        <f t="shared" si="12"/>
        <v>#VALUE!</v>
      </c>
      <c r="CJ12" s="15" t="e">
        <f t="shared" si="12"/>
        <v>#VALUE!</v>
      </c>
      <c r="CK12" s="16" t="e">
        <f t="shared" si="12"/>
        <v>#VALUE!</v>
      </c>
      <c r="CL12" s="13" t="e">
        <f t="shared" si="12"/>
        <v>#VALUE!</v>
      </c>
      <c r="CM12" s="14" t="e">
        <f t="shared" si="12"/>
        <v>#VALUE!</v>
      </c>
      <c r="CN12" s="14" t="e">
        <f t="shared" si="12"/>
        <v>#VALUE!</v>
      </c>
      <c r="CO12" s="14" t="e">
        <f t="shared" si="12"/>
        <v>#VALUE!</v>
      </c>
      <c r="CP12" s="14" t="e">
        <f t="shared" si="12"/>
        <v>#VALUE!</v>
      </c>
      <c r="CQ12" s="15" t="e">
        <f t="shared" si="12"/>
        <v>#VALUE!</v>
      </c>
      <c r="CR12" s="16" t="e">
        <f t="shared" si="13"/>
        <v>#VALUE!</v>
      </c>
      <c r="CS12" s="13" t="e">
        <f t="shared" si="13"/>
        <v>#VALUE!</v>
      </c>
      <c r="CT12" s="14" t="e">
        <f t="shared" si="13"/>
        <v>#VALUE!</v>
      </c>
      <c r="CU12" s="14" t="e">
        <f t="shared" si="13"/>
        <v>#VALUE!</v>
      </c>
      <c r="CV12" s="14" t="e">
        <f t="shared" si="13"/>
        <v>#VALUE!</v>
      </c>
      <c r="CW12" s="14" t="e">
        <f t="shared" si="13"/>
        <v>#VALUE!</v>
      </c>
      <c r="CX12" s="15" t="e">
        <f t="shared" si="13"/>
        <v>#VALUE!</v>
      </c>
      <c r="CY12" s="16" t="e">
        <f t="shared" si="13"/>
        <v>#VALUE!</v>
      </c>
      <c r="CZ12" s="13" t="e">
        <f t="shared" si="13"/>
        <v>#VALUE!</v>
      </c>
      <c r="DA12" s="14" t="e">
        <f t="shared" si="13"/>
        <v>#VALUE!</v>
      </c>
      <c r="DB12" s="14" t="e">
        <f t="shared" si="14"/>
        <v>#VALUE!</v>
      </c>
      <c r="DC12" s="14" t="e">
        <f t="shared" si="14"/>
        <v>#VALUE!</v>
      </c>
      <c r="DD12" s="14" t="e">
        <f t="shared" si="14"/>
        <v>#VALUE!</v>
      </c>
      <c r="DE12" s="15" t="e">
        <f t="shared" si="14"/>
        <v>#VALUE!</v>
      </c>
      <c r="DF12" s="16" t="e">
        <f t="shared" si="14"/>
        <v>#VALUE!</v>
      </c>
      <c r="DG12" s="13" t="e">
        <f t="shared" si="14"/>
        <v>#VALUE!</v>
      </c>
      <c r="DH12" s="14" t="e">
        <f t="shared" si="14"/>
        <v>#VALUE!</v>
      </c>
      <c r="DI12" s="14" t="e">
        <f t="shared" si="14"/>
        <v>#VALUE!</v>
      </c>
      <c r="DJ12" s="14" t="e">
        <f t="shared" si="14"/>
        <v>#VALUE!</v>
      </c>
      <c r="DK12" s="14" t="e">
        <f t="shared" si="14"/>
        <v>#VALUE!</v>
      </c>
      <c r="DL12" s="15" t="e">
        <f t="shared" si="15"/>
        <v>#VALUE!</v>
      </c>
      <c r="DM12" s="16" t="e">
        <f t="shared" si="15"/>
        <v>#VALUE!</v>
      </c>
      <c r="DN12" s="13" t="e">
        <f t="shared" si="15"/>
        <v>#VALUE!</v>
      </c>
      <c r="DO12" s="14" t="e">
        <f t="shared" si="15"/>
        <v>#VALUE!</v>
      </c>
      <c r="DP12" s="14" t="e">
        <f t="shared" si="15"/>
        <v>#VALUE!</v>
      </c>
      <c r="DQ12" s="14" t="e">
        <f t="shared" si="15"/>
        <v>#VALUE!</v>
      </c>
      <c r="DR12" s="14" t="e">
        <f t="shared" si="15"/>
        <v>#VALUE!</v>
      </c>
      <c r="DS12" s="15" t="e">
        <f t="shared" si="15"/>
        <v>#VALUE!</v>
      </c>
      <c r="DT12" s="16" t="e">
        <f t="shared" si="15"/>
        <v>#VALUE!</v>
      </c>
    </row>
    <row r="13" spans="1:124" s="17" customFormat="1" ht="9.6" customHeight="1">
      <c r="A13" s="535"/>
      <c r="B13" s="22" t="s">
        <v>44</v>
      </c>
      <c r="C13" s="19" t="e">
        <f>IF(AND(_xlfn.XLOOKUP(A25,'VTT actif'!B:B,'VTT actif'!W:W,"-",0)=7,INT(E12/7)=E12/7),E12,IF((ROUNDDOWN(E12/7,0)*7+_xlfn.XLOOKUP(A25,'VTT actif'!B:B,'VTT actif'!W:W,"-",0))&lt;E12,(ROUNDDOWN(E12/7,0)*7+_xlfn.XLOOKUP(A25,'VTT actif'!B:B,'VTT actif'!W:W,"-",0))+7,(ROUNDDOWN(E12/7,0)*7+_xlfn.XLOOKUP(A25,'VTT actif'!B:B,'VTT actif'!W:W,"-",0))))</f>
        <v>#VALUE!</v>
      </c>
      <c r="D13" s="20">
        <v>0</v>
      </c>
      <c r="E13" s="19" t="e">
        <f>C13+D13</f>
        <v>#VALUE!</v>
      </c>
      <c r="F13" s="13" t="e">
        <f t="shared" si="4"/>
        <v>#VALUE!</v>
      </c>
      <c r="G13" s="14" t="e">
        <f t="shared" si="4"/>
        <v>#VALUE!</v>
      </c>
      <c r="H13" s="14" t="e">
        <f t="shared" si="4"/>
        <v>#VALUE!</v>
      </c>
      <c r="I13" s="14" t="e">
        <f t="shared" si="4"/>
        <v>#VALUE!</v>
      </c>
      <c r="J13" s="14" t="e">
        <f t="shared" si="4"/>
        <v>#VALUE!</v>
      </c>
      <c r="K13" s="15" t="e">
        <f t="shared" si="4"/>
        <v>#VALUE!</v>
      </c>
      <c r="L13" s="16" t="e">
        <f t="shared" si="4"/>
        <v>#VALUE!</v>
      </c>
      <c r="M13" s="13" t="e">
        <f t="shared" si="4"/>
        <v>#VALUE!</v>
      </c>
      <c r="N13" s="14" t="e">
        <f t="shared" si="4"/>
        <v>#VALUE!</v>
      </c>
      <c r="O13" s="14" t="e">
        <f t="shared" si="4"/>
        <v>#VALUE!</v>
      </c>
      <c r="P13" s="14" t="e">
        <f t="shared" si="5"/>
        <v>#VALUE!</v>
      </c>
      <c r="Q13" s="14" t="e">
        <f t="shared" si="5"/>
        <v>#VALUE!</v>
      </c>
      <c r="R13" s="15" t="e">
        <f t="shared" si="5"/>
        <v>#VALUE!</v>
      </c>
      <c r="S13" s="16" t="e">
        <f t="shared" si="5"/>
        <v>#VALUE!</v>
      </c>
      <c r="T13" s="13" t="e">
        <f t="shared" si="5"/>
        <v>#VALUE!</v>
      </c>
      <c r="U13" s="14" t="e">
        <f t="shared" si="5"/>
        <v>#VALUE!</v>
      </c>
      <c r="V13" s="14" t="e">
        <f t="shared" si="5"/>
        <v>#VALUE!</v>
      </c>
      <c r="W13" s="14" t="e">
        <f t="shared" si="5"/>
        <v>#VALUE!</v>
      </c>
      <c r="X13" s="14" t="e">
        <f t="shared" si="5"/>
        <v>#VALUE!</v>
      </c>
      <c r="Y13" s="15" t="e">
        <f t="shared" si="5"/>
        <v>#VALUE!</v>
      </c>
      <c r="Z13" s="16" t="e">
        <f t="shared" si="6"/>
        <v>#VALUE!</v>
      </c>
      <c r="AA13" s="13" t="e">
        <f t="shared" si="6"/>
        <v>#VALUE!</v>
      </c>
      <c r="AB13" s="14" t="e">
        <f t="shared" si="6"/>
        <v>#VALUE!</v>
      </c>
      <c r="AC13" s="14" t="e">
        <f t="shared" si="6"/>
        <v>#VALUE!</v>
      </c>
      <c r="AD13" s="14" t="e">
        <f t="shared" si="6"/>
        <v>#VALUE!</v>
      </c>
      <c r="AE13" s="14" t="e">
        <f t="shared" si="6"/>
        <v>#VALUE!</v>
      </c>
      <c r="AF13" s="15" t="e">
        <f t="shared" si="6"/>
        <v>#VALUE!</v>
      </c>
      <c r="AG13" s="16" t="e">
        <f t="shared" si="6"/>
        <v>#VALUE!</v>
      </c>
      <c r="AH13" s="13" t="e">
        <f t="shared" si="6"/>
        <v>#VALUE!</v>
      </c>
      <c r="AI13" s="14" t="e">
        <f t="shared" si="6"/>
        <v>#VALUE!</v>
      </c>
      <c r="AJ13" s="14" t="e">
        <f t="shared" si="7"/>
        <v>#VALUE!</v>
      </c>
      <c r="AK13" s="14" t="e">
        <f t="shared" si="7"/>
        <v>#VALUE!</v>
      </c>
      <c r="AL13" s="14" t="e">
        <f t="shared" si="7"/>
        <v>#VALUE!</v>
      </c>
      <c r="AM13" s="15" t="e">
        <f t="shared" si="7"/>
        <v>#VALUE!</v>
      </c>
      <c r="AN13" s="16" t="e">
        <f t="shared" si="7"/>
        <v>#VALUE!</v>
      </c>
      <c r="AO13" s="13" t="e">
        <f t="shared" si="7"/>
        <v>#VALUE!</v>
      </c>
      <c r="AP13" s="14" t="e">
        <f t="shared" si="7"/>
        <v>#VALUE!</v>
      </c>
      <c r="AQ13" s="14" t="e">
        <f t="shared" si="7"/>
        <v>#VALUE!</v>
      </c>
      <c r="AR13" s="14" t="e">
        <f t="shared" si="7"/>
        <v>#VALUE!</v>
      </c>
      <c r="AS13" s="14" t="e">
        <f t="shared" si="7"/>
        <v>#VALUE!</v>
      </c>
      <c r="AT13" s="15" t="e">
        <f t="shared" si="8"/>
        <v>#VALUE!</v>
      </c>
      <c r="AU13" s="16" t="e">
        <f t="shared" si="8"/>
        <v>#VALUE!</v>
      </c>
      <c r="AV13" s="13" t="e">
        <f t="shared" si="8"/>
        <v>#VALUE!</v>
      </c>
      <c r="AW13" s="14" t="e">
        <f t="shared" si="8"/>
        <v>#VALUE!</v>
      </c>
      <c r="AX13" s="14" t="e">
        <f t="shared" si="8"/>
        <v>#VALUE!</v>
      </c>
      <c r="AY13" s="14" t="e">
        <f t="shared" si="8"/>
        <v>#VALUE!</v>
      </c>
      <c r="AZ13" s="14" t="e">
        <f t="shared" si="8"/>
        <v>#VALUE!</v>
      </c>
      <c r="BA13" s="15" t="e">
        <f t="shared" si="8"/>
        <v>#VALUE!</v>
      </c>
      <c r="BB13" s="16" t="e">
        <f t="shared" si="8"/>
        <v>#VALUE!</v>
      </c>
      <c r="BC13" s="13" t="e">
        <f t="shared" si="8"/>
        <v>#VALUE!</v>
      </c>
      <c r="BD13" s="14" t="e">
        <f t="shared" si="9"/>
        <v>#VALUE!</v>
      </c>
      <c r="BE13" s="14" t="e">
        <f t="shared" si="9"/>
        <v>#VALUE!</v>
      </c>
      <c r="BF13" s="14" t="e">
        <f t="shared" si="9"/>
        <v>#VALUE!</v>
      </c>
      <c r="BG13" s="14" t="e">
        <f t="shared" si="9"/>
        <v>#VALUE!</v>
      </c>
      <c r="BH13" s="15" t="e">
        <f t="shared" si="9"/>
        <v>#VALUE!</v>
      </c>
      <c r="BI13" s="16" t="e">
        <f t="shared" si="9"/>
        <v>#VALUE!</v>
      </c>
      <c r="BJ13" s="13" t="e">
        <f t="shared" si="9"/>
        <v>#VALUE!</v>
      </c>
      <c r="BK13" s="14" t="e">
        <f t="shared" si="9"/>
        <v>#VALUE!</v>
      </c>
      <c r="BL13" s="14" t="e">
        <f t="shared" si="9"/>
        <v>#VALUE!</v>
      </c>
      <c r="BM13" s="14" t="e">
        <f t="shared" si="9"/>
        <v>#VALUE!</v>
      </c>
      <c r="BN13" s="14" t="e">
        <f t="shared" si="10"/>
        <v>#VALUE!</v>
      </c>
      <c r="BO13" s="15" t="e">
        <f t="shared" si="10"/>
        <v>#VALUE!</v>
      </c>
      <c r="BP13" s="16" t="e">
        <f t="shared" si="10"/>
        <v>#VALUE!</v>
      </c>
      <c r="BQ13" s="13" t="e">
        <f t="shared" si="10"/>
        <v>#VALUE!</v>
      </c>
      <c r="BR13" s="14" t="e">
        <f t="shared" si="10"/>
        <v>#VALUE!</v>
      </c>
      <c r="BS13" s="14" t="e">
        <f t="shared" si="10"/>
        <v>#VALUE!</v>
      </c>
      <c r="BT13" s="14" t="e">
        <f t="shared" si="10"/>
        <v>#VALUE!</v>
      </c>
      <c r="BU13" s="14" t="e">
        <f t="shared" si="10"/>
        <v>#VALUE!</v>
      </c>
      <c r="BV13" s="15" t="e">
        <f t="shared" si="10"/>
        <v>#VALUE!</v>
      </c>
      <c r="BW13" s="16" t="e">
        <f t="shared" si="10"/>
        <v>#VALUE!</v>
      </c>
      <c r="BX13" s="13" t="e">
        <f t="shared" si="11"/>
        <v>#VALUE!</v>
      </c>
      <c r="BY13" s="14" t="e">
        <f t="shared" si="11"/>
        <v>#VALUE!</v>
      </c>
      <c r="BZ13" s="14" t="e">
        <f t="shared" si="11"/>
        <v>#VALUE!</v>
      </c>
      <c r="CA13" s="14" t="e">
        <f t="shared" si="11"/>
        <v>#VALUE!</v>
      </c>
      <c r="CB13" s="14" t="e">
        <f t="shared" si="11"/>
        <v>#VALUE!</v>
      </c>
      <c r="CC13" s="15" t="e">
        <f t="shared" si="11"/>
        <v>#VALUE!</v>
      </c>
      <c r="CD13" s="16" t="e">
        <f t="shared" si="11"/>
        <v>#VALUE!</v>
      </c>
      <c r="CE13" s="13" t="e">
        <f t="shared" si="11"/>
        <v>#VALUE!</v>
      </c>
      <c r="CF13" s="14" t="e">
        <f t="shared" si="11"/>
        <v>#VALUE!</v>
      </c>
      <c r="CG13" s="14" t="e">
        <f t="shared" si="11"/>
        <v>#VALUE!</v>
      </c>
      <c r="CH13" s="14" t="e">
        <f t="shared" si="12"/>
        <v>#VALUE!</v>
      </c>
      <c r="CI13" s="14" t="e">
        <f t="shared" si="12"/>
        <v>#VALUE!</v>
      </c>
      <c r="CJ13" s="15" t="e">
        <f t="shared" si="12"/>
        <v>#VALUE!</v>
      </c>
      <c r="CK13" s="16" t="e">
        <f t="shared" si="12"/>
        <v>#VALUE!</v>
      </c>
      <c r="CL13" s="13" t="e">
        <f t="shared" si="12"/>
        <v>#VALUE!</v>
      </c>
      <c r="CM13" s="14" t="e">
        <f t="shared" si="12"/>
        <v>#VALUE!</v>
      </c>
      <c r="CN13" s="14" t="e">
        <f t="shared" si="12"/>
        <v>#VALUE!</v>
      </c>
      <c r="CO13" s="14" t="e">
        <f t="shared" si="12"/>
        <v>#VALUE!</v>
      </c>
      <c r="CP13" s="14" t="e">
        <f t="shared" si="12"/>
        <v>#VALUE!</v>
      </c>
      <c r="CQ13" s="15" t="e">
        <f t="shared" si="12"/>
        <v>#VALUE!</v>
      </c>
      <c r="CR13" s="16" t="e">
        <f t="shared" si="13"/>
        <v>#VALUE!</v>
      </c>
      <c r="CS13" s="13" t="e">
        <f t="shared" si="13"/>
        <v>#VALUE!</v>
      </c>
      <c r="CT13" s="14" t="e">
        <f t="shared" si="13"/>
        <v>#VALUE!</v>
      </c>
      <c r="CU13" s="14" t="e">
        <f t="shared" si="13"/>
        <v>#VALUE!</v>
      </c>
      <c r="CV13" s="14" t="e">
        <f t="shared" si="13"/>
        <v>#VALUE!</v>
      </c>
      <c r="CW13" s="14" t="e">
        <f t="shared" si="13"/>
        <v>#VALUE!</v>
      </c>
      <c r="CX13" s="15" t="e">
        <f t="shared" si="13"/>
        <v>#VALUE!</v>
      </c>
      <c r="CY13" s="16" t="e">
        <f t="shared" si="13"/>
        <v>#VALUE!</v>
      </c>
      <c r="CZ13" s="13" t="e">
        <f t="shared" si="13"/>
        <v>#VALUE!</v>
      </c>
      <c r="DA13" s="14" t="e">
        <f t="shared" si="13"/>
        <v>#VALUE!</v>
      </c>
      <c r="DB13" s="14" t="e">
        <f t="shared" si="14"/>
        <v>#VALUE!</v>
      </c>
      <c r="DC13" s="14" t="e">
        <f t="shared" si="14"/>
        <v>#VALUE!</v>
      </c>
      <c r="DD13" s="14" t="e">
        <f t="shared" si="14"/>
        <v>#VALUE!</v>
      </c>
      <c r="DE13" s="15" t="e">
        <f t="shared" si="14"/>
        <v>#VALUE!</v>
      </c>
      <c r="DF13" s="16" t="e">
        <f t="shared" si="14"/>
        <v>#VALUE!</v>
      </c>
      <c r="DG13" s="13" t="e">
        <f t="shared" si="14"/>
        <v>#VALUE!</v>
      </c>
      <c r="DH13" s="14" t="e">
        <f t="shared" si="14"/>
        <v>#VALUE!</v>
      </c>
      <c r="DI13" s="14" t="e">
        <f t="shared" si="14"/>
        <v>#VALUE!</v>
      </c>
      <c r="DJ13" s="14" t="e">
        <f t="shared" si="14"/>
        <v>#VALUE!</v>
      </c>
      <c r="DK13" s="14" t="e">
        <f t="shared" si="14"/>
        <v>#VALUE!</v>
      </c>
      <c r="DL13" s="15" t="e">
        <f t="shared" si="15"/>
        <v>#VALUE!</v>
      </c>
      <c r="DM13" s="16" t="e">
        <f t="shared" si="15"/>
        <v>#VALUE!</v>
      </c>
      <c r="DN13" s="13" t="e">
        <f t="shared" si="15"/>
        <v>#VALUE!</v>
      </c>
      <c r="DO13" s="14" t="e">
        <f t="shared" si="15"/>
        <v>#VALUE!</v>
      </c>
      <c r="DP13" s="14" t="e">
        <f t="shared" si="15"/>
        <v>#VALUE!</v>
      </c>
      <c r="DQ13" s="14" t="e">
        <f t="shared" si="15"/>
        <v>#VALUE!</v>
      </c>
      <c r="DR13" s="14" t="e">
        <f t="shared" si="15"/>
        <v>#VALUE!</v>
      </c>
      <c r="DS13" s="15" t="e">
        <f t="shared" si="15"/>
        <v>#VALUE!</v>
      </c>
      <c r="DT13" s="16" t="e">
        <f t="shared" si="15"/>
        <v>#VALUE!</v>
      </c>
    </row>
    <row r="14" spans="1:124" s="17" customFormat="1" ht="9.6" customHeight="1">
      <c r="A14" s="535"/>
      <c r="B14" s="22" t="s">
        <v>45</v>
      </c>
      <c r="C14" s="19" t="e">
        <f>IF((ROUNDDOWN(E13/7,0)*7+_xlfn.XLOOKUP(A25,'VTT actif'!B:B,'VTT actif'!AC:AC,"-",0))&lt;E13,(ROUNDDOWN(E13/7,0)*7+_xlfn.XLOOKUP(A25,'VTT actif'!B:B,'VTT actif'!AC:AC,"-",0))+7,(ROUNDDOWN(E13/7,0)*7+_xlfn.XLOOKUP(A25,'VTT actif'!B:B,'VTT actif'!AC:AC,"-",0)))</f>
        <v>#VALUE!</v>
      </c>
      <c r="D14" s="20">
        <v>0</v>
      </c>
      <c r="E14" s="19" t="e">
        <f>C14+D14</f>
        <v>#VALUE!</v>
      </c>
      <c r="F14" s="13" t="e">
        <f t="shared" si="4"/>
        <v>#VALUE!</v>
      </c>
      <c r="G14" s="14" t="e">
        <f t="shared" si="4"/>
        <v>#VALUE!</v>
      </c>
      <c r="H14" s="14" t="e">
        <f t="shared" si="4"/>
        <v>#VALUE!</v>
      </c>
      <c r="I14" s="14" t="e">
        <f t="shared" si="4"/>
        <v>#VALUE!</v>
      </c>
      <c r="J14" s="14" t="e">
        <f t="shared" si="4"/>
        <v>#VALUE!</v>
      </c>
      <c r="K14" s="15" t="e">
        <f t="shared" si="4"/>
        <v>#VALUE!</v>
      </c>
      <c r="L14" s="16" t="e">
        <f t="shared" si="4"/>
        <v>#VALUE!</v>
      </c>
      <c r="M14" s="13" t="e">
        <f t="shared" si="4"/>
        <v>#VALUE!</v>
      </c>
      <c r="N14" s="14" t="e">
        <f t="shared" si="4"/>
        <v>#VALUE!</v>
      </c>
      <c r="O14" s="14" t="e">
        <f t="shared" si="4"/>
        <v>#VALUE!</v>
      </c>
      <c r="P14" s="14" t="e">
        <f t="shared" si="5"/>
        <v>#VALUE!</v>
      </c>
      <c r="Q14" s="14" t="e">
        <f t="shared" si="5"/>
        <v>#VALUE!</v>
      </c>
      <c r="R14" s="15" t="e">
        <f t="shared" si="5"/>
        <v>#VALUE!</v>
      </c>
      <c r="S14" s="16" t="e">
        <f t="shared" si="5"/>
        <v>#VALUE!</v>
      </c>
      <c r="T14" s="13" t="e">
        <f t="shared" si="5"/>
        <v>#VALUE!</v>
      </c>
      <c r="U14" s="14" t="e">
        <f t="shared" si="5"/>
        <v>#VALUE!</v>
      </c>
      <c r="V14" s="14" t="e">
        <f t="shared" si="5"/>
        <v>#VALUE!</v>
      </c>
      <c r="W14" s="14" t="e">
        <f t="shared" si="5"/>
        <v>#VALUE!</v>
      </c>
      <c r="X14" s="14" t="e">
        <f t="shared" si="5"/>
        <v>#VALUE!</v>
      </c>
      <c r="Y14" s="15" t="e">
        <f t="shared" si="5"/>
        <v>#VALUE!</v>
      </c>
      <c r="Z14" s="16" t="e">
        <f t="shared" si="6"/>
        <v>#VALUE!</v>
      </c>
      <c r="AA14" s="13" t="e">
        <f t="shared" si="6"/>
        <v>#VALUE!</v>
      </c>
      <c r="AB14" s="14" t="e">
        <f t="shared" si="6"/>
        <v>#VALUE!</v>
      </c>
      <c r="AC14" s="14" t="e">
        <f t="shared" si="6"/>
        <v>#VALUE!</v>
      </c>
      <c r="AD14" s="14" t="e">
        <f t="shared" si="6"/>
        <v>#VALUE!</v>
      </c>
      <c r="AE14" s="14" t="e">
        <f t="shared" si="6"/>
        <v>#VALUE!</v>
      </c>
      <c r="AF14" s="15" t="e">
        <f t="shared" si="6"/>
        <v>#VALUE!</v>
      </c>
      <c r="AG14" s="16" t="e">
        <f t="shared" si="6"/>
        <v>#VALUE!</v>
      </c>
      <c r="AH14" s="13" t="e">
        <f t="shared" si="6"/>
        <v>#VALUE!</v>
      </c>
      <c r="AI14" s="14" t="e">
        <f t="shared" si="6"/>
        <v>#VALUE!</v>
      </c>
      <c r="AJ14" s="14" t="e">
        <f t="shared" si="7"/>
        <v>#VALUE!</v>
      </c>
      <c r="AK14" s="14" t="e">
        <f t="shared" si="7"/>
        <v>#VALUE!</v>
      </c>
      <c r="AL14" s="14" t="e">
        <f t="shared" si="7"/>
        <v>#VALUE!</v>
      </c>
      <c r="AM14" s="15" t="e">
        <f t="shared" si="7"/>
        <v>#VALUE!</v>
      </c>
      <c r="AN14" s="16" t="e">
        <f t="shared" si="7"/>
        <v>#VALUE!</v>
      </c>
      <c r="AO14" s="13" t="e">
        <f t="shared" si="7"/>
        <v>#VALUE!</v>
      </c>
      <c r="AP14" s="14" t="e">
        <f t="shared" si="7"/>
        <v>#VALUE!</v>
      </c>
      <c r="AQ14" s="14" t="e">
        <f t="shared" si="7"/>
        <v>#VALUE!</v>
      </c>
      <c r="AR14" s="14" t="e">
        <f t="shared" si="7"/>
        <v>#VALUE!</v>
      </c>
      <c r="AS14" s="14" t="e">
        <f t="shared" si="7"/>
        <v>#VALUE!</v>
      </c>
      <c r="AT14" s="15" t="e">
        <f t="shared" si="8"/>
        <v>#VALUE!</v>
      </c>
      <c r="AU14" s="16" t="e">
        <f t="shared" si="8"/>
        <v>#VALUE!</v>
      </c>
      <c r="AV14" s="13" t="e">
        <f t="shared" si="8"/>
        <v>#VALUE!</v>
      </c>
      <c r="AW14" s="14" t="e">
        <f t="shared" si="8"/>
        <v>#VALUE!</v>
      </c>
      <c r="AX14" s="14" t="e">
        <f t="shared" si="8"/>
        <v>#VALUE!</v>
      </c>
      <c r="AY14" s="14" t="e">
        <f t="shared" si="8"/>
        <v>#VALUE!</v>
      </c>
      <c r="AZ14" s="14" t="e">
        <f t="shared" si="8"/>
        <v>#VALUE!</v>
      </c>
      <c r="BA14" s="15" t="e">
        <f t="shared" si="8"/>
        <v>#VALUE!</v>
      </c>
      <c r="BB14" s="16" t="e">
        <f t="shared" si="8"/>
        <v>#VALUE!</v>
      </c>
      <c r="BC14" s="13" t="e">
        <f t="shared" si="8"/>
        <v>#VALUE!</v>
      </c>
      <c r="BD14" s="14" t="e">
        <f t="shared" si="9"/>
        <v>#VALUE!</v>
      </c>
      <c r="BE14" s="14" t="e">
        <f t="shared" si="9"/>
        <v>#VALUE!</v>
      </c>
      <c r="BF14" s="14" t="e">
        <f t="shared" si="9"/>
        <v>#VALUE!</v>
      </c>
      <c r="BG14" s="14" t="e">
        <f t="shared" si="9"/>
        <v>#VALUE!</v>
      </c>
      <c r="BH14" s="15" t="e">
        <f t="shared" si="9"/>
        <v>#VALUE!</v>
      </c>
      <c r="BI14" s="16" t="e">
        <f t="shared" si="9"/>
        <v>#VALUE!</v>
      </c>
      <c r="BJ14" s="13" t="e">
        <f t="shared" si="9"/>
        <v>#VALUE!</v>
      </c>
      <c r="BK14" s="14" t="e">
        <f t="shared" si="9"/>
        <v>#VALUE!</v>
      </c>
      <c r="BL14" s="14" t="e">
        <f t="shared" si="9"/>
        <v>#VALUE!</v>
      </c>
      <c r="BM14" s="14" t="e">
        <f t="shared" si="9"/>
        <v>#VALUE!</v>
      </c>
      <c r="BN14" s="14" t="e">
        <f t="shared" si="10"/>
        <v>#VALUE!</v>
      </c>
      <c r="BO14" s="15" t="e">
        <f t="shared" si="10"/>
        <v>#VALUE!</v>
      </c>
      <c r="BP14" s="16" t="e">
        <f t="shared" si="10"/>
        <v>#VALUE!</v>
      </c>
      <c r="BQ14" s="13" t="e">
        <f t="shared" si="10"/>
        <v>#VALUE!</v>
      </c>
      <c r="BR14" s="14" t="e">
        <f t="shared" si="10"/>
        <v>#VALUE!</v>
      </c>
      <c r="BS14" s="14" t="e">
        <f t="shared" si="10"/>
        <v>#VALUE!</v>
      </c>
      <c r="BT14" s="14" t="e">
        <f t="shared" si="10"/>
        <v>#VALUE!</v>
      </c>
      <c r="BU14" s="14" t="e">
        <f t="shared" si="10"/>
        <v>#VALUE!</v>
      </c>
      <c r="BV14" s="15" t="e">
        <f t="shared" si="10"/>
        <v>#VALUE!</v>
      </c>
      <c r="BW14" s="16" t="e">
        <f t="shared" si="10"/>
        <v>#VALUE!</v>
      </c>
      <c r="BX14" s="13" t="e">
        <f t="shared" si="11"/>
        <v>#VALUE!</v>
      </c>
      <c r="BY14" s="14" t="e">
        <f t="shared" si="11"/>
        <v>#VALUE!</v>
      </c>
      <c r="BZ14" s="14" t="e">
        <f t="shared" si="11"/>
        <v>#VALUE!</v>
      </c>
      <c r="CA14" s="14" t="e">
        <f t="shared" si="11"/>
        <v>#VALUE!</v>
      </c>
      <c r="CB14" s="14" t="e">
        <f t="shared" si="11"/>
        <v>#VALUE!</v>
      </c>
      <c r="CC14" s="15" t="e">
        <f t="shared" si="11"/>
        <v>#VALUE!</v>
      </c>
      <c r="CD14" s="16" t="e">
        <f t="shared" si="11"/>
        <v>#VALUE!</v>
      </c>
      <c r="CE14" s="13" t="e">
        <f t="shared" si="11"/>
        <v>#VALUE!</v>
      </c>
      <c r="CF14" s="14" t="e">
        <f t="shared" si="11"/>
        <v>#VALUE!</v>
      </c>
      <c r="CG14" s="14" t="e">
        <f t="shared" si="11"/>
        <v>#VALUE!</v>
      </c>
      <c r="CH14" s="14" t="e">
        <f t="shared" si="12"/>
        <v>#VALUE!</v>
      </c>
      <c r="CI14" s="14" t="e">
        <f t="shared" si="12"/>
        <v>#VALUE!</v>
      </c>
      <c r="CJ14" s="15" t="e">
        <f t="shared" si="12"/>
        <v>#VALUE!</v>
      </c>
      <c r="CK14" s="16" t="e">
        <f t="shared" si="12"/>
        <v>#VALUE!</v>
      </c>
      <c r="CL14" s="13" t="e">
        <f t="shared" si="12"/>
        <v>#VALUE!</v>
      </c>
      <c r="CM14" s="14" t="e">
        <f t="shared" si="12"/>
        <v>#VALUE!</v>
      </c>
      <c r="CN14" s="14" t="e">
        <f t="shared" si="12"/>
        <v>#VALUE!</v>
      </c>
      <c r="CO14" s="14" t="e">
        <f t="shared" si="12"/>
        <v>#VALUE!</v>
      </c>
      <c r="CP14" s="14" t="e">
        <f t="shared" si="12"/>
        <v>#VALUE!</v>
      </c>
      <c r="CQ14" s="15" t="e">
        <f t="shared" si="12"/>
        <v>#VALUE!</v>
      </c>
      <c r="CR14" s="16" t="e">
        <f t="shared" si="13"/>
        <v>#VALUE!</v>
      </c>
      <c r="CS14" s="13" t="e">
        <f t="shared" si="13"/>
        <v>#VALUE!</v>
      </c>
      <c r="CT14" s="14" t="e">
        <f t="shared" si="13"/>
        <v>#VALUE!</v>
      </c>
      <c r="CU14" s="14" t="e">
        <f t="shared" si="13"/>
        <v>#VALUE!</v>
      </c>
      <c r="CV14" s="14" t="e">
        <f t="shared" si="13"/>
        <v>#VALUE!</v>
      </c>
      <c r="CW14" s="14" t="e">
        <f t="shared" si="13"/>
        <v>#VALUE!</v>
      </c>
      <c r="CX14" s="15" t="e">
        <f t="shared" si="13"/>
        <v>#VALUE!</v>
      </c>
      <c r="CY14" s="16" t="e">
        <f t="shared" si="13"/>
        <v>#VALUE!</v>
      </c>
      <c r="CZ14" s="13" t="e">
        <f t="shared" si="13"/>
        <v>#VALUE!</v>
      </c>
      <c r="DA14" s="14" t="e">
        <f t="shared" si="13"/>
        <v>#VALUE!</v>
      </c>
      <c r="DB14" s="14" t="e">
        <f t="shared" si="14"/>
        <v>#VALUE!</v>
      </c>
      <c r="DC14" s="14" t="e">
        <f t="shared" si="14"/>
        <v>#VALUE!</v>
      </c>
      <c r="DD14" s="14" t="e">
        <f t="shared" si="14"/>
        <v>#VALUE!</v>
      </c>
      <c r="DE14" s="15" t="e">
        <f t="shared" si="14"/>
        <v>#VALUE!</v>
      </c>
      <c r="DF14" s="16" t="e">
        <f t="shared" si="14"/>
        <v>#VALUE!</v>
      </c>
      <c r="DG14" s="13" t="e">
        <f t="shared" si="14"/>
        <v>#VALUE!</v>
      </c>
      <c r="DH14" s="14" t="e">
        <f t="shared" si="14"/>
        <v>#VALUE!</v>
      </c>
      <c r="DI14" s="14" t="e">
        <f t="shared" si="14"/>
        <v>#VALUE!</v>
      </c>
      <c r="DJ14" s="14" t="e">
        <f t="shared" si="14"/>
        <v>#VALUE!</v>
      </c>
      <c r="DK14" s="14" t="e">
        <f t="shared" si="14"/>
        <v>#VALUE!</v>
      </c>
      <c r="DL14" s="15" t="e">
        <f t="shared" si="15"/>
        <v>#VALUE!</v>
      </c>
      <c r="DM14" s="16" t="e">
        <f t="shared" si="15"/>
        <v>#VALUE!</v>
      </c>
      <c r="DN14" s="13" t="e">
        <f t="shared" si="15"/>
        <v>#VALUE!</v>
      </c>
      <c r="DO14" s="14" t="e">
        <f t="shared" si="15"/>
        <v>#VALUE!</v>
      </c>
      <c r="DP14" s="14" t="e">
        <f t="shared" si="15"/>
        <v>#VALUE!</v>
      </c>
      <c r="DQ14" s="14" t="e">
        <f t="shared" si="15"/>
        <v>#VALUE!</v>
      </c>
      <c r="DR14" s="14" t="e">
        <f t="shared" si="15"/>
        <v>#VALUE!</v>
      </c>
      <c r="DS14" s="15" t="e">
        <f t="shared" si="15"/>
        <v>#VALUE!</v>
      </c>
      <c r="DT14" s="16" t="e">
        <f t="shared" si="15"/>
        <v>#VALUE!</v>
      </c>
    </row>
    <row r="15" spans="1:124" s="17" customFormat="1" ht="9.6" customHeight="1">
      <c r="A15" s="535"/>
      <c r="B15" s="22" t="s">
        <v>46</v>
      </c>
      <c r="C15" s="19" t="e">
        <f>E14+_xlfn.XLOOKUP(A25,'VTT actif'!B:B,'VTT actif'!AD:AD,"-",0)-_xlfn.XLOOKUP(A25,'VTT actif'!B:B,'VTT actif'!AC:AC,"-",0)</f>
        <v>#VALUE!</v>
      </c>
      <c r="D15" s="20">
        <v>0</v>
      </c>
      <c r="E15" s="19" t="e">
        <f>C15+D15</f>
        <v>#VALUE!</v>
      </c>
      <c r="F15" s="13" t="e">
        <f t="shared" si="4"/>
        <v>#VALUE!</v>
      </c>
      <c r="G15" s="14" t="e">
        <f t="shared" si="4"/>
        <v>#VALUE!</v>
      </c>
      <c r="H15" s="14" t="e">
        <f t="shared" si="4"/>
        <v>#VALUE!</v>
      </c>
      <c r="I15" s="14" t="e">
        <f t="shared" si="4"/>
        <v>#VALUE!</v>
      </c>
      <c r="J15" s="14" t="e">
        <f t="shared" si="4"/>
        <v>#VALUE!</v>
      </c>
      <c r="K15" s="15" t="e">
        <f t="shared" si="4"/>
        <v>#VALUE!</v>
      </c>
      <c r="L15" s="16" t="e">
        <f t="shared" si="4"/>
        <v>#VALUE!</v>
      </c>
      <c r="M15" s="13" t="e">
        <f t="shared" si="4"/>
        <v>#VALUE!</v>
      </c>
      <c r="N15" s="14" t="e">
        <f t="shared" si="4"/>
        <v>#VALUE!</v>
      </c>
      <c r="O15" s="14" t="e">
        <f t="shared" si="4"/>
        <v>#VALUE!</v>
      </c>
      <c r="P15" s="14" t="e">
        <f t="shared" si="5"/>
        <v>#VALUE!</v>
      </c>
      <c r="Q15" s="14" t="e">
        <f t="shared" si="5"/>
        <v>#VALUE!</v>
      </c>
      <c r="R15" s="15" t="e">
        <f t="shared" si="5"/>
        <v>#VALUE!</v>
      </c>
      <c r="S15" s="16" t="e">
        <f t="shared" si="5"/>
        <v>#VALUE!</v>
      </c>
      <c r="T15" s="13" t="e">
        <f t="shared" si="5"/>
        <v>#VALUE!</v>
      </c>
      <c r="U15" s="14" t="e">
        <f t="shared" si="5"/>
        <v>#VALUE!</v>
      </c>
      <c r="V15" s="14" t="e">
        <f t="shared" si="5"/>
        <v>#VALUE!</v>
      </c>
      <c r="W15" s="14" t="e">
        <f t="shared" si="5"/>
        <v>#VALUE!</v>
      </c>
      <c r="X15" s="14" t="e">
        <f t="shared" si="5"/>
        <v>#VALUE!</v>
      </c>
      <c r="Y15" s="15" t="e">
        <f t="shared" si="5"/>
        <v>#VALUE!</v>
      </c>
      <c r="Z15" s="16" t="e">
        <f t="shared" si="6"/>
        <v>#VALUE!</v>
      </c>
      <c r="AA15" s="13" t="e">
        <f t="shared" si="6"/>
        <v>#VALUE!</v>
      </c>
      <c r="AB15" s="14" t="e">
        <f t="shared" si="6"/>
        <v>#VALUE!</v>
      </c>
      <c r="AC15" s="14" t="e">
        <f t="shared" si="6"/>
        <v>#VALUE!</v>
      </c>
      <c r="AD15" s="14" t="e">
        <f t="shared" si="6"/>
        <v>#VALUE!</v>
      </c>
      <c r="AE15" s="14" t="e">
        <f t="shared" si="6"/>
        <v>#VALUE!</v>
      </c>
      <c r="AF15" s="15" t="e">
        <f t="shared" si="6"/>
        <v>#VALUE!</v>
      </c>
      <c r="AG15" s="16" t="e">
        <f t="shared" si="6"/>
        <v>#VALUE!</v>
      </c>
      <c r="AH15" s="13" t="e">
        <f t="shared" si="6"/>
        <v>#VALUE!</v>
      </c>
      <c r="AI15" s="14" t="e">
        <f t="shared" si="6"/>
        <v>#VALUE!</v>
      </c>
      <c r="AJ15" s="14" t="e">
        <f t="shared" si="7"/>
        <v>#VALUE!</v>
      </c>
      <c r="AK15" s="14" t="e">
        <f t="shared" si="7"/>
        <v>#VALUE!</v>
      </c>
      <c r="AL15" s="14" t="e">
        <f t="shared" si="7"/>
        <v>#VALUE!</v>
      </c>
      <c r="AM15" s="15" t="e">
        <f t="shared" si="7"/>
        <v>#VALUE!</v>
      </c>
      <c r="AN15" s="16" t="e">
        <f t="shared" si="7"/>
        <v>#VALUE!</v>
      </c>
      <c r="AO15" s="13" t="e">
        <f t="shared" si="7"/>
        <v>#VALUE!</v>
      </c>
      <c r="AP15" s="14" t="e">
        <f t="shared" si="7"/>
        <v>#VALUE!</v>
      </c>
      <c r="AQ15" s="14" t="e">
        <f t="shared" si="7"/>
        <v>#VALUE!</v>
      </c>
      <c r="AR15" s="14" t="e">
        <f t="shared" si="7"/>
        <v>#VALUE!</v>
      </c>
      <c r="AS15" s="14" t="e">
        <f t="shared" si="7"/>
        <v>#VALUE!</v>
      </c>
      <c r="AT15" s="15" t="e">
        <f t="shared" si="8"/>
        <v>#VALUE!</v>
      </c>
      <c r="AU15" s="16" t="e">
        <f t="shared" si="8"/>
        <v>#VALUE!</v>
      </c>
      <c r="AV15" s="13" t="e">
        <f t="shared" si="8"/>
        <v>#VALUE!</v>
      </c>
      <c r="AW15" s="14" t="e">
        <f t="shared" si="8"/>
        <v>#VALUE!</v>
      </c>
      <c r="AX15" s="14" t="e">
        <f t="shared" si="8"/>
        <v>#VALUE!</v>
      </c>
      <c r="AY15" s="14" t="e">
        <f t="shared" si="8"/>
        <v>#VALUE!</v>
      </c>
      <c r="AZ15" s="14" t="e">
        <f t="shared" si="8"/>
        <v>#VALUE!</v>
      </c>
      <c r="BA15" s="15" t="e">
        <f t="shared" si="8"/>
        <v>#VALUE!</v>
      </c>
      <c r="BB15" s="16" t="e">
        <f t="shared" si="8"/>
        <v>#VALUE!</v>
      </c>
      <c r="BC15" s="13" t="e">
        <f t="shared" si="8"/>
        <v>#VALUE!</v>
      </c>
      <c r="BD15" s="14" t="e">
        <f t="shared" si="9"/>
        <v>#VALUE!</v>
      </c>
      <c r="BE15" s="14" t="e">
        <f t="shared" si="9"/>
        <v>#VALUE!</v>
      </c>
      <c r="BF15" s="14" t="e">
        <f t="shared" si="9"/>
        <v>#VALUE!</v>
      </c>
      <c r="BG15" s="14" t="e">
        <f t="shared" si="9"/>
        <v>#VALUE!</v>
      </c>
      <c r="BH15" s="15" t="e">
        <f t="shared" si="9"/>
        <v>#VALUE!</v>
      </c>
      <c r="BI15" s="16" t="e">
        <f t="shared" si="9"/>
        <v>#VALUE!</v>
      </c>
      <c r="BJ15" s="13" t="e">
        <f t="shared" si="9"/>
        <v>#VALUE!</v>
      </c>
      <c r="BK15" s="14" t="e">
        <f t="shared" si="9"/>
        <v>#VALUE!</v>
      </c>
      <c r="BL15" s="14" t="e">
        <f t="shared" si="9"/>
        <v>#VALUE!</v>
      </c>
      <c r="BM15" s="14" t="e">
        <f t="shared" si="9"/>
        <v>#VALUE!</v>
      </c>
      <c r="BN15" s="14" t="e">
        <f t="shared" si="10"/>
        <v>#VALUE!</v>
      </c>
      <c r="BO15" s="15" t="e">
        <f t="shared" si="10"/>
        <v>#VALUE!</v>
      </c>
      <c r="BP15" s="16" t="e">
        <f t="shared" si="10"/>
        <v>#VALUE!</v>
      </c>
      <c r="BQ15" s="13" t="e">
        <f t="shared" si="10"/>
        <v>#VALUE!</v>
      </c>
      <c r="BR15" s="14" t="e">
        <f t="shared" si="10"/>
        <v>#VALUE!</v>
      </c>
      <c r="BS15" s="14" t="e">
        <f t="shared" si="10"/>
        <v>#VALUE!</v>
      </c>
      <c r="BT15" s="14" t="e">
        <f t="shared" si="10"/>
        <v>#VALUE!</v>
      </c>
      <c r="BU15" s="14" t="e">
        <f t="shared" si="10"/>
        <v>#VALUE!</v>
      </c>
      <c r="BV15" s="15" t="e">
        <f t="shared" si="10"/>
        <v>#VALUE!</v>
      </c>
      <c r="BW15" s="16" t="e">
        <f t="shared" si="10"/>
        <v>#VALUE!</v>
      </c>
      <c r="BX15" s="13" t="e">
        <f t="shared" si="11"/>
        <v>#VALUE!</v>
      </c>
      <c r="BY15" s="14" t="e">
        <f t="shared" si="11"/>
        <v>#VALUE!</v>
      </c>
      <c r="BZ15" s="14" t="e">
        <f t="shared" si="11"/>
        <v>#VALUE!</v>
      </c>
      <c r="CA15" s="14" t="e">
        <f t="shared" si="11"/>
        <v>#VALUE!</v>
      </c>
      <c r="CB15" s="14" t="e">
        <f t="shared" si="11"/>
        <v>#VALUE!</v>
      </c>
      <c r="CC15" s="15" t="e">
        <f t="shared" si="11"/>
        <v>#VALUE!</v>
      </c>
      <c r="CD15" s="16" t="e">
        <f t="shared" si="11"/>
        <v>#VALUE!</v>
      </c>
      <c r="CE15" s="13" t="e">
        <f t="shared" si="11"/>
        <v>#VALUE!</v>
      </c>
      <c r="CF15" s="14" t="e">
        <f t="shared" si="11"/>
        <v>#VALUE!</v>
      </c>
      <c r="CG15" s="14" t="e">
        <f t="shared" si="11"/>
        <v>#VALUE!</v>
      </c>
      <c r="CH15" s="14" t="e">
        <f t="shared" si="12"/>
        <v>#VALUE!</v>
      </c>
      <c r="CI15" s="14" t="e">
        <f t="shared" si="12"/>
        <v>#VALUE!</v>
      </c>
      <c r="CJ15" s="15" t="e">
        <f t="shared" si="12"/>
        <v>#VALUE!</v>
      </c>
      <c r="CK15" s="16" t="e">
        <f t="shared" si="12"/>
        <v>#VALUE!</v>
      </c>
      <c r="CL15" s="13" t="e">
        <f t="shared" si="12"/>
        <v>#VALUE!</v>
      </c>
      <c r="CM15" s="14" t="e">
        <f t="shared" si="12"/>
        <v>#VALUE!</v>
      </c>
      <c r="CN15" s="14" t="e">
        <f t="shared" si="12"/>
        <v>#VALUE!</v>
      </c>
      <c r="CO15" s="14" t="e">
        <f t="shared" si="12"/>
        <v>#VALUE!</v>
      </c>
      <c r="CP15" s="14" t="e">
        <f t="shared" si="12"/>
        <v>#VALUE!</v>
      </c>
      <c r="CQ15" s="15" t="e">
        <f t="shared" si="12"/>
        <v>#VALUE!</v>
      </c>
      <c r="CR15" s="16" t="e">
        <f t="shared" si="13"/>
        <v>#VALUE!</v>
      </c>
      <c r="CS15" s="13" t="e">
        <f t="shared" si="13"/>
        <v>#VALUE!</v>
      </c>
      <c r="CT15" s="14" t="e">
        <f t="shared" si="13"/>
        <v>#VALUE!</v>
      </c>
      <c r="CU15" s="14" t="e">
        <f t="shared" si="13"/>
        <v>#VALUE!</v>
      </c>
      <c r="CV15" s="14" t="e">
        <f t="shared" si="13"/>
        <v>#VALUE!</v>
      </c>
      <c r="CW15" s="14" t="e">
        <f t="shared" si="13"/>
        <v>#VALUE!</v>
      </c>
      <c r="CX15" s="15" t="e">
        <f t="shared" si="13"/>
        <v>#VALUE!</v>
      </c>
      <c r="CY15" s="16" t="e">
        <f t="shared" si="13"/>
        <v>#VALUE!</v>
      </c>
      <c r="CZ15" s="13" t="e">
        <f t="shared" si="13"/>
        <v>#VALUE!</v>
      </c>
      <c r="DA15" s="14" t="e">
        <f t="shared" si="13"/>
        <v>#VALUE!</v>
      </c>
      <c r="DB15" s="14" t="e">
        <f t="shared" si="14"/>
        <v>#VALUE!</v>
      </c>
      <c r="DC15" s="14" t="e">
        <f t="shared" si="14"/>
        <v>#VALUE!</v>
      </c>
      <c r="DD15" s="14" t="e">
        <f t="shared" si="14"/>
        <v>#VALUE!</v>
      </c>
      <c r="DE15" s="15" t="e">
        <f t="shared" si="14"/>
        <v>#VALUE!</v>
      </c>
      <c r="DF15" s="16" t="e">
        <f t="shared" si="14"/>
        <v>#VALUE!</v>
      </c>
      <c r="DG15" s="13" t="e">
        <f t="shared" si="14"/>
        <v>#VALUE!</v>
      </c>
      <c r="DH15" s="14" t="e">
        <f t="shared" si="14"/>
        <v>#VALUE!</v>
      </c>
      <c r="DI15" s="14" t="e">
        <f t="shared" si="14"/>
        <v>#VALUE!</v>
      </c>
      <c r="DJ15" s="14" t="e">
        <f t="shared" si="14"/>
        <v>#VALUE!</v>
      </c>
      <c r="DK15" s="14" t="e">
        <f t="shared" si="14"/>
        <v>#VALUE!</v>
      </c>
      <c r="DL15" s="15" t="e">
        <f t="shared" si="15"/>
        <v>#VALUE!</v>
      </c>
      <c r="DM15" s="16" t="e">
        <f t="shared" si="15"/>
        <v>#VALUE!</v>
      </c>
      <c r="DN15" s="13" t="e">
        <f t="shared" si="15"/>
        <v>#VALUE!</v>
      </c>
      <c r="DO15" s="14" t="e">
        <f t="shared" si="15"/>
        <v>#VALUE!</v>
      </c>
      <c r="DP15" s="14" t="e">
        <f t="shared" si="15"/>
        <v>#VALUE!</v>
      </c>
      <c r="DQ15" s="14" t="e">
        <f t="shared" si="15"/>
        <v>#VALUE!</v>
      </c>
      <c r="DR15" s="14" t="e">
        <f t="shared" si="15"/>
        <v>#VALUE!</v>
      </c>
      <c r="DS15" s="15" t="e">
        <f t="shared" si="15"/>
        <v>#VALUE!</v>
      </c>
      <c r="DT15" s="16" t="e">
        <f t="shared" si="15"/>
        <v>#VALUE!</v>
      </c>
    </row>
    <row r="16" spans="1:124" s="17" customFormat="1" ht="9.6" customHeight="1">
      <c r="A16" s="535"/>
      <c r="B16" s="23" t="s">
        <v>47</v>
      </c>
      <c r="C16" s="19" t="e">
        <f>E15</f>
        <v>#VALUE!</v>
      </c>
      <c r="D16" s="19" t="str">
        <f>_xlfn.XLOOKUP(A25,'VTT actif'!B:B,'VTT actif'!AF:AF,"-",0)</f>
        <v>-</v>
      </c>
      <c r="E16" s="19" t="e">
        <f>(C16+D16)-1</f>
        <v>#VALUE!</v>
      </c>
      <c r="F16" s="13" t="e">
        <f t="shared" si="4"/>
        <v>#VALUE!</v>
      </c>
      <c r="G16" s="14" t="e">
        <f t="shared" si="4"/>
        <v>#VALUE!</v>
      </c>
      <c r="H16" s="14" t="e">
        <f t="shared" si="4"/>
        <v>#VALUE!</v>
      </c>
      <c r="I16" s="14" t="e">
        <f t="shared" si="4"/>
        <v>#VALUE!</v>
      </c>
      <c r="J16" s="14" t="e">
        <f t="shared" si="4"/>
        <v>#VALUE!</v>
      </c>
      <c r="K16" s="15" t="e">
        <f t="shared" si="4"/>
        <v>#VALUE!</v>
      </c>
      <c r="L16" s="16" t="e">
        <f t="shared" si="4"/>
        <v>#VALUE!</v>
      </c>
      <c r="M16" s="13" t="e">
        <f t="shared" si="4"/>
        <v>#VALUE!</v>
      </c>
      <c r="N16" s="14" t="e">
        <f t="shared" si="4"/>
        <v>#VALUE!</v>
      </c>
      <c r="O16" s="14" t="e">
        <f t="shared" si="4"/>
        <v>#VALUE!</v>
      </c>
      <c r="P16" s="14" t="e">
        <f t="shared" si="5"/>
        <v>#VALUE!</v>
      </c>
      <c r="Q16" s="14" t="e">
        <f t="shared" si="5"/>
        <v>#VALUE!</v>
      </c>
      <c r="R16" s="15" t="e">
        <f t="shared" si="5"/>
        <v>#VALUE!</v>
      </c>
      <c r="S16" s="16" t="e">
        <f t="shared" si="5"/>
        <v>#VALUE!</v>
      </c>
      <c r="T16" s="13" t="e">
        <f t="shared" si="5"/>
        <v>#VALUE!</v>
      </c>
      <c r="U16" s="14" t="e">
        <f t="shared" si="5"/>
        <v>#VALUE!</v>
      </c>
      <c r="V16" s="14" t="e">
        <f t="shared" si="5"/>
        <v>#VALUE!</v>
      </c>
      <c r="W16" s="14" t="e">
        <f t="shared" si="5"/>
        <v>#VALUE!</v>
      </c>
      <c r="X16" s="14" t="e">
        <f t="shared" si="5"/>
        <v>#VALUE!</v>
      </c>
      <c r="Y16" s="15" t="e">
        <f t="shared" si="5"/>
        <v>#VALUE!</v>
      </c>
      <c r="Z16" s="16" t="e">
        <f t="shared" si="6"/>
        <v>#VALUE!</v>
      </c>
      <c r="AA16" s="13" t="e">
        <f t="shared" si="6"/>
        <v>#VALUE!</v>
      </c>
      <c r="AB16" s="14" t="e">
        <f t="shared" si="6"/>
        <v>#VALUE!</v>
      </c>
      <c r="AC16" s="14" t="e">
        <f t="shared" si="6"/>
        <v>#VALUE!</v>
      </c>
      <c r="AD16" s="14" t="e">
        <f t="shared" si="6"/>
        <v>#VALUE!</v>
      </c>
      <c r="AE16" s="14" t="e">
        <f t="shared" si="6"/>
        <v>#VALUE!</v>
      </c>
      <c r="AF16" s="15" t="e">
        <f t="shared" si="6"/>
        <v>#VALUE!</v>
      </c>
      <c r="AG16" s="16" t="e">
        <f t="shared" si="6"/>
        <v>#VALUE!</v>
      </c>
      <c r="AH16" s="13" t="e">
        <f t="shared" si="6"/>
        <v>#VALUE!</v>
      </c>
      <c r="AI16" s="14" t="e">
        <f t="shared" si="6"/>
        <v>#VALUE!</v>
      </c>
      <c r="AJ16" s="14" t="e">
        <f t="shared" si="7"/>
        <v>#VALUE!</v>
      </c>
      <c r="AK16" s="14" t="e">
        <f t="shared" si="7"/>
        <v>#VALUE!</v>
      </c>
      <c r="AL16" s="14" t="e">
        <f t="shared" si="7"/>
        <v>#VALUE!</v>
      </c>
      <c r="AM16" s="15" t="e">
        <f t="shared" si="7"/>
        <v>#VALUE!</v>
      </c>
      <c r="AN16" s="16" t="e">
        <f t="shared" si="7"/>
        <v>#VALUE!</v>
      </c>
      <c r="AO16" s="13" t="e">
        <f t="shared" si="7"/>
        <v>#VALUE!</v>
      </c>
      <c r="AP16" s="14" t="e">
        <f t="shared" si="7"/>
        <v>#VALUE!</v>
      </c>
      <c r="AQ16" s="14" t="e">
        <f t="shared" si="7"/>
        <v>#VALUE!</v>
      </c>
      <c r="AR16" s="14" t="e">
        <f t="shared" si="7"/>
        <v>#VALUE!</v>
      </c>
      <c r="AS16" s="14" t="e">
        <f t="shared" si="7"/>
        <v>#VALUE!</v>
      </c>
      <c r="AT16" s="15" t="e">
        <f t="shared" si="8"/>
        <v>#VALUE!</v>
      </c>
      <c r="AU16" s="16" t="e">
        <f t="shared" si="8"/>
        <v>#VALUE!</v>
      </c>
      <c r="AV16" s="13" t="e">
        <f t="shared" si="8"/>
        <v>#VALUE!</v>
      </c>
      <c r="AW16" s="14" t="e">
        <f t="shared" si="8"/>
        <v>#VALUE!</v>
      </c>
      <c r="AX16" s="14" t="e">
        <f t="shared" si="8"/>
        <v>#VALUE!</v>
      </c>
      <c r="AY16" s="14" t="e">
        <f t="shared" si="8"/>
        <v>#VALUE!</v>
      </c>
      <c r="AZ16" s="14" t="e">
        <f t="shared" si="8"/>
        <v>#VALUE!</v>
      </c>
      <c r="BA16" s="15" t="e">
        <f t="shared" si="8"/>
        <v>#VALUE!</v>
      </c>
      <c r="BB16" s="16" t="e">
        <f t="shared" si="8"/>
        <v>#VALUE!</v>
      </c>
      <c r="BC16" s="13" t="e">
        <f t="shared" si="8"/>
        <v>#VALUE!</v>
      </c>
      <c r="BD16" s="14" t="e">
        <f t="shared" si="9"/>
        <v>#VALUE!</v>
      </c>
      <c r="BE16" s="14" t="e">
        <f t="shared" si="9"/>
        <v>#VALUE!</v>
      </c>
      <c r="BF16" s="14" t="e">
        <f t="shared" si="9"/>
        <v>#VALUE!</v>
      </c>
      <c r="BG16" s="14" t="e">
        <f t="shared" si="9"/>
        <v>#VALUE!</v>
      </c>
      <c r="BH16" s="15" t="e">
        <f t="shared" si="9"/>
        <v>#VALUE!</v>
      </c>
      <c r="BI16" s="16" t="e">
        <f t="shared" si="9"/>
        <v>#VALUE!</v>
      </c>
      <c r="BJ16" s="13" t="e">
        <f t="shared" si="9"/>
        <v>#VALUE!</v>
      </c>
      <c r="BK16" s="14" t="e">
        <f t="shared" si="9"/>
        <v>#VALUE!</v>
      </c>
      <c r="BL16" s="14" t="e">
        <f t="shared" si="9"/>
        <v>#VALUE!</v>
      </c>
      <c r="BM16" s="14" t="e">
        <f t="shared" si="9"/>
        <v>#VALUE!</v>
      </c>
      <c r="BN16" s="14" t="e">
        <f t="shared" si="10"/>
        <v>#VALUE!</v>
      </c>
      <c r="BO16" s="15" t="e">
        <f t="shared" si="10"/>
        <v>#VALUE!</v>
      </c>
      <c r="BP16" s="16" t="e">
        <f t="shared" si="10"/>
        <v>#VALUE!</v>
      </c>
      <c r="BQ16" s="13" t="e">
        <f t="shared" si="10"/>
        <v>#VALUE!</v>
      </c>
      <c r="BR16" s="14" t="e">
        <f t="shared" si="10"/>
        <v>#VALUE!</v>
      </c>
      <c r="BS16" s="14" t="e">
        <f t="shared" si="10"/>
        <v>#VALUE!</v>
      </c>
      <c r="BT16" s="14" t="e">
        <f t="shared" si="10"/>
        <v>#VALUE!</v>
      </c>
      <c r="BU16" s="14" t="e">
        <f t="shared" si="10"/>
        <v>#VALUE!</v>
      </c>
      <c r="BV16" s="15" t="e">
        <f t="shared" si="10"/>
        <v>#VALUE!</v>
      </c>
      <c r="BW16" s="16" t="e">
        <f t="shared" si="10"/>
        <v>#VALUE!</v>
      </c>
      <c r="BX16" s="13" t="e">
        <f t="shared" si="11"/>
        <v>#VALUE!</v>
      </c>
      <c r="BY16" s="14" t="e">
        <f t="shared" si="11"/>
        <v>#VALUE!</v>
      </c>
      <c r="BZ16" s="14" t="e">
        <f t="shared" si="11"/>
        <v>#VALUE!</v>
      </c>
      <c r="CA16" s="14" t="e">
        <f t="shared" si="11"/>
        <v>#VALUE!</v>
      </c>
      <c r="CB16" s="14" t="e">
        <f t="shared" si="11"/>
        <v>#VALUE!</v>
      </c>
      <c r="CC16" s="15" t="e">
        <f t="shared" si="11"/>
        <v>#VALUE!</v>
      </c>
      <c r="CD16" s="16" t="e">
        <f t="shared" si="11"/>
        <v>#VALUE!</v>
      </c>
      <c r="CE16" s="13" t="e">
        <f t="shared" si="11"/>
        <v>#VALUE!</v>
      </c>
      <c r="CF16" s="14" t="e">
        <f t="shared" si="11"/>
        <v>#VALUE!</v>
      </c>
      <c r="CG16" s="14" t="e">
        <f t="shared" si="11"/>
        <v>#VALUE!</v>
      </c>
      <c r="CH16" s="14" t="e">
        <f t="shared" si="12"/>
        <v>#VALUE!</v>
      </c>
      <c r="CI16" s="14" t="e">
        <f t="shared" si="12"/>
        <v>#VALUE!</v>
      </c>
      <c r="CJ16" s="15" t="e">
        <f t="shared" si="12"/>
        <v>#VALUE!</v>
      </c>
      <c r="CK16" s="16" t="e">
        <f t="shared" si="12"/>
        <v>#VALUE!</v>
      </c>
      <c r="CL16" s="13" t="e">
        <f t="shared" si="12"/>
        <v>#VALUE!</v>
      </c>
      <c r="CM16" s="14" t="e">
        <f t="shared" si="12"/>
        <v>#VALUE!</v>
      </c>
      <c r="CN16" s="14" t="e">
        <f t="shared" si="12"/>
        <v>#VALUE!</v>
      </c>
      <c r="CO16" s="14" t="e">
        <f t="shared" si="12"/>
        <v>#VALUE!</v>
      </c>
      <c r="CP16" s="14" t="e">
        <f t="shared" si="12"/>
        <v>#VALUE!</v>
      </c>
      <c r="CQ16" s="15" t="e">
        <f t="shared" si="12"/>
        <v>#VALUE!</v>
      </c>
      <c r="CR16" s="16" t="e">
        <f t="shared" si="13"/>
        <v>#VALUE!</v>
      </c>
      <c r="CS16" s="13" t="e">
        <f t="shared" si="13"/>
        <v>#VALUE!</v>
      </c>
      <c r="CT16" s="14" t="e">
        <f t="shared" si="13"/>
        <v>#VALUE!</v>
      </c>
      <c r="CU16" s="14" t="e">
        <f t="shared" si="13"/>
        <v>#VALUE!</v>
      </c>
      <c r="CV16" s="14" t="e">
        <f t="shared" si="13"/>
        <v>#VALUE!</v>
      </c>
      <c r="CW16" s="14" t="e">
        <f t="shared" si="13"/>
        <v>#VALUE!</v>
      </c>
      <c r="CX16" s="15" t="e">
        <f t="shared" si="13"/>
        <v>#VALUE!</v>
      </c>
      <c r="CY16" s="16" t="e">
        <f t="shared" si="13"/>
        <v>#VALUE!</v>
      </c>
      <c r="CZ16" s="13" t="e">
        <f t="shared" si="13"/>
        <v>#VALUE!</v>
      </c>
      <c r="DA16" s="14" t="e">
        <f t="shared" si="13"/>
        <v>#VALUE!</v>
      </c>
      <c r="DB16" s="14" t="e">
        <f t="shared" si="14"/>
        <v>#VALUE!</v>
      </c>
      <c r="DC16" s="14" t="e">
        <f t="shared" si="14"/>
        <v>#VALUE!</v>
      </c>
      <c r="DD16" s="14" t="e">
        <f t="shared" si="14"/>
        <v>#VALUE!</v>
      </c>
      <c r="DE16" s="15" t="e">
        <f t="shared" si="14"/>
        <v>#VALUE!</v>
      </c>
      <c r="DF16" s="16" t="e">
        <f t="shared" si="14"/>
        <v>#VALUE!</v>
      </c>
      <c r="DG16" s="13" t="e">
        <f t="shared" si="14"/>
        <v>#VALUE!</v>
      </c>
      <c r="DH16" s="14" t="e">
        <f t="shared" si="14"/>
        <v>#VALUE!</v>
      </c>
      <c r="DI16" s="14" t="e">
        <f t="shared" si="14"/>
        <v>#VALUE!</v>
      </c>
      <c r="DJ16" s="14" t="e">
        <f t="shared" si="14"/>
        <v>#VALUE!</v>
      </c>
      <c r="DK16" s="14" t="e">
        <f t="shared" si="14"/>
        <v>#VALUE!</v>
      </c>
      <c r="DL16" s="15" t="e">
        <f t="shared" si="15"/>
        <v>#VALUE!</v>
      </c>
      <c r="DM16" s="16" t="e">
        <f t="shared" si="15"/>
        <v>#VALUE!</v>
      </c>
      <c r="DN16" s="13" t="e">
        <f t="shared" si="15"/>
        <v>#VALUE!</v>
      </c>
      <c r="DO16" s="14" t="e">
        <f t="shared" si="15"/>
        <v>#VALUE!</v>
      </c>
      <c r="DP16" s="14" t="e">
        <f t="shared" si="15"/>
        <v>#VALUE!</v>
      </c>
      <c r="DQ16" s="14" t="e">
        <f t="shared" si="15"/>
        <v>#VALUE!</v>
      </c>
      <c r="DR16" s="14" t="e">
        <f t="shared" si="15"/>
        <v>#VALUE!</v>
      </c>
      <c r="DS16" s="15" t="e">
        <f t="shared" si="15"/>
        <v>#VALUE!</v>
      </c>
      <c r="DT16" s="16" t="e">
        <f t="shared" si="15"/>
        <v>#VALUE!</v>
      </c>
    </row>
    <row r="17" spans="1:124" s="17" customFormat="1" ht="9.6" customHeight="1">
      <c r="A17" s="535"/>
      <c r="B17" s="23" t="s">
        <v>48</v>
      </c>
      <c r="C17" s="19" t="e">
        <f t="shared" ref="C17:C25" si="16">E16+1</f>
        <v>#VALUE!</v>
      </c>
      <c r="D17" s="19" t="str">
        <f>_xlfn.XLOOKUP(A25,'VTT actif'!B:B,'VTT actif'!AH:AH,"-",0)</f>
        <v>-</v>
      </c>
      <c r="E17" s="19" t="e">
        <f>(C17+D17)-1</f>
        <v>#VALUE!</v>
      </c>
      <c r="F17" s="13" t="e">
        <f t="shared" si="4"/>
        <v>#VALUE!</v>
      </c>
      <c r="G17" s="14" t="e">
        <f t="shared" si="4"/>
        <v>#VALUE!</v>
      </c>
      <c r="H17" s="14" t="e">
        <f t="shared" si="4"/>
        <v>#VALUE!</v>
      </c>
      <c r="I17" s="14" t="e">
        <f t="shared" si="4"/>
        <v>#VALUE!</v>
      </c>
      <c r="J17" s="14" t="e">
        <f t="shared" si="4"/>
        <v>#VALUE!</v>
      </c>
      <c r="K17" s="15" t="e">
        <f t="shared" si="4"/>
        <v>#VALUE!</v>
      </c>
      <c r="L17" s="16" t="e">
        <f t="shared" si="4"/>
        <v>#VALUE!</v>
      </c>
      <c r="M17" s="13" t="e">
        <f t="shared" si="4"/>
        <v>#VALUE!</v>
      </c>
      <c r="N17" s="14" t="e">
        <f t="shared" si="4"/>
        <v>#VALUE!</v>
      </c>
      <c r="O17" s="14" t="e">
        <f t="shared" si="4"/>
        <v>#VALUE!</v>
      </c>
      <c r="P17" s="14" t="e">
        <f t="shared" si="5"/>
        <v>#VALUE!</v>
      </c>
      <c r="Q17" s="14" t="e">
        <f t="shared" si="5"/>
        <v>#VALUE!</v>
      </c>
      <c r="R17" s="15" t="e">
        <f t="shared" si="5"/>
        <v>#VALUE!</v>
      </c>
      <c r="S17" s="16" t="e">
        <f t="shared" si="5"/>
        <v>#VALUE!</v>
      </c>
      <c r="T17" s="13" t="e">
        <f t="shared" si="5"/>
        <v>#VALUE!</v>
      </c>
      <c r="U17" s="14" t="e">
        <f t="shared" si="5"/>
        <v>#VALUE!</v>
      </c>
      <c r="V17" s="14" t="e">
        <f t="shared" si="5"/>
        <v>#VALUE!</v>
      </c>
      <c r="W17" s="14" t="e">
        <f t="shared" si="5"/>
        <v>#VALUE!</v>
      </c>
      <c r="X17" s="14" t="e">
        <f t="shared" si="5"/>
        <v>#VALUE!</v>
      </c>
      <c r="Y17" s="15" t="e">
        <f t="shared" si="5"/>
        <v>#VALUE!</v>
      </c>
      <c r="Z17" s="16" t="e">
        <f t="shared" si="6"/>
        <v>#VALUE!</v>
      </c>
      <c r="AA17" s="13" t="e">
        <f t="shared" si="6"/>
        <v>#VALUE!</v>
      </c>
      <c r="AB17" s="14" t="e">
        <f t="shared" si="6"/>
        <v>#VALUE!</v>
      </c>
      <c r="AC17" s="14" t="e">
        <f t="shared" si="6"/>
        <v>#VALUE!</v>
      </c>
      <c r="AD17" s="14" t="e">
        <f t="shared" si="6"/>
        <v>#VALUE!</v>
      </c>
      <c r="AE17" s="14" t="e">
        <f t="shared" si="6"/>
        <v>#VALUE!</v>
      </c>
      <c r="AF17" s="15" t="e">
        <f t="shared" si="6"/>
        <v>#VALUE!</v>
      </c>
      <c r="AG17" s="16" t="e">
        <f t="shared" si="6"/>
        <v>#VALUE!</v>
      </c>
      <c r="AH17" s="13" t="e">
        <f t="shared" si="6"/>
        <v>#VALUE!</v>
      </c>
      <c r="AI17" s="14" t="e">
        <f t="shared" si="6"/>
        <v>#VALUE!</v>
      </c>
      <c r="AJ17" s="14" t="e">
        <f t="shared" si="7"/>
        <v>#VALUE!</v>
      </c>
      <c r="AK17" s="14" t="e">
        <f t="shared" si="7"/>
        <v>#VALUE!</v>
      </c>
      <c r="AL17" s="14" t="e">
        <f t="shared" si="7"/>
        <v>#VALUE!</v>
      </c>
      <c r="AM17" s="15" t="e">
        <f t="shared" si="7"/>
        <v>#VALUE!</v>
      </c>
      <c r="AN17" s="16" t="e">
        <f t="shared" si="7"/>
        <v>#VALUE!</v>
      </c>
      <c r="AO17" s="13" t="e">
        <f t="shared" si="7"/>
        <v>#VALUE!</v>
      </c>
      <c r="AP17" s="14" t="e">
        <f t="shared" si="7"/>
        <v>#VALUE!</v>
      </c>
      <c r="AQ17" s="14" t="e">
        <f t="shared" si="7"/>
        <v>#VALUE!</v>
      </c>
      <c r="AR17" s="14" t="e">
        <f t="shared" si="7"/>
        <v>#VALUE!</v>
      </c>
      <c r="AS17" s="14" t="e">
        <f t="shared" si="7"/>
        <v>#VALUE!</v>
      </c>
      <c r="AT17" s="15" t="e">
        <f t="shared" si="8"/>
        <v>#VALUE!</v>
      </c>
      <c r="AU17" s="16" t="e">
        <f t="shared" si="8"/>
        <v>#VALUE!</v>
      </c>
      <c r="AV17" s="13" t="e">
        <f t="shared" si="8"/>
        <v>#VALUE!</v>
      </c>
      <c r="AW17" s="14" t="e">
        <f t="shared" si="8"/>
        <v>#VALUE!</v>
      </c>
      <c r="AX17" s="14" t="e">
        <f t="shared" si="8"/>
        <v>#VALUE!</v>
      </c>
      <c r="AY17" s="14" t="e">
        <f t="shared" si="8"/>
        <v>#VALUE!</v>
      </c>
      <c r="AZ17" s="14" t="e">
        <f t="shared" si="8"/>
        <v>#VALUE!</v>
      </c>
      <c r="BA17" s="15" t="e">
        <f t="shared" si="8"/>
        <v>#VALUE!</v>
      </c>
      <c r="BB17" s="16" t="e">
        <f t="shared" si="8"/>
        <v>#VALUE!</v>
      </c>
      <c r="BC17" s="13" t="e">
        <f t="shared" si="8"/>
        <v>#VALUE!</v>
      </c>
      <c r="BD17" s="14" t="e">
        <f t="shared" si="9"/>
        <v>#VALUE!</v>
      </c>
      <c r="BE17" s="14" t="e">
        <f t="shared" si="9"/>
        <v>#VALUE!</v>
      </c>
      <c r="BF17" s="14" t="e">
        <f t="shared" si="9"/>
        <v>#VALUE!</v>
      </c>
      <c r="BG17" s="14" t="e">
        <f t="shared" si="9"/>
        <v>#VALUE!</v>
      </c>
      <c r="BH17" s="15" t="e">
        <f t="shared" si="9"/>
        <v>#VALUE!</v>
      </c>
      <c r="BI17" s="16" t="e">
        <f t="shared" si="9"/>
        <v>#VALUE!</v>
      </c>
      <c r="BJ17" s="13" t="e">
        <f t="shared" si="9"/>
        <v>#VALUE!</v>
      </c>
      <c r="BK17" s="14" t="e">
        <f t="shared" si="9"/>
        <v>#VALUE!</v>
      </c>
      <c r="BL17" s="14" t="e">
        <f t="shared" si="9"/>
        <v>#VALUE!</v>
      </c>
      <c r="BM17" s="14" t="e">
        <f t="shared" si="9"/>
        <v>#VALUE!</v>
      </c>
      <c r="BN17" s="14" t="e">
        <f t="shared" si="10"/>
        <v>#VALUE!</v>
      </c>
      <c r="BO17" s="15" t="e">
        <f t="shared" si="10"/>
        <v>#VALUE!</v>
      </c>
      <c r="BP17" s="16" t="e">
        <f t="shared" si="10"/>
        <v>#VALUE!</v>
      </c>
      <c r="BQ17" s="13" t="e">
        <f t="shared" si="10"/>
        <v>#VALUE!</v>
      </c>
      <c r="BR17" s="14" t="e">
        <f t="shared" si="10"/>
        <v>#VALUE!</v>
      </c>
      <c r="BS17" s="14" t="e">
        <f t="shared" si="10"/>
        <v>#VALUE!</v>
      </c>
      <c r="BT17" s="14" t="e">
        <f t="shared" si="10"/>
        <v>#VALUE!</v>
      </c>
      <c r="BU17" s="14" t="e">
        <f t="shared" si="10"/>
        <v>#VALUE!</v>
      </c>
      <c r="BV17" s="15" t="e">
        <f t="shared" si="10"/>
        <v>#VALUE!</v>
      </c>
      <c r="BW17" s="16" t="e">
        <f t="shared" si="10"/>
        <v>#VALUE!</v>
      </c>
      <c r="BX17" s="13" t="e">
        <f t="shared" si="11"/>
        <v>#VALUE!</v>
      </c>
      <c r="BY17" s="14" t="e">
        <f t="shared" si="11"/>
        <v>#VALUE!</v>
      </c>
      <c r="BZ17" s="14" t="e">
        <f t="shared" si="11"/>
        <v>#VALUE!</v>
      </c>
      <c r="CA17" s="14" t="e">
        <f t="shared" si="11"/>
        <v>#VALUE!</v>
      </c>
      <c r="CB17" s="14" t="e">
        <f t="shared" si="11"/>
        <v>#VALUE!</v>
      </c>
      <c r="CC17" s="15" t="e">
        <f t="shared" si="11"/>
        <v>#VALUE!</v>
      </c>
      <c r="CD17" s="16" t="e">
        <f t="shared" si="11"/>
        <v>#VALUE!</v>
      </c>
      <c r="CE17" s="13" t="e">
        <f t="shared" si="11"/>
        <v>#VALUE!</v>
      </c>
      <c r="CF17" s="14" t="e">
        <f t="shared" si="11"/>
        <v>#VALUE!</v>
      </c>
      <c r="CG17" s="14" t="e">
        <f t="shared" si="11"/>
        <v>#VALUE!</v>
      </c>
      <c r="CH17" s="14" t="e">
        <f t="shared" si="12"/>
        <v>#VALUE!</v>
      </c>
      <c r="CI17" s="14" t="e">
        <f t="shared" si="12"/>
        <v>#VALUE!</v>
      </c>
      <c r="CJ17" s="15" t="e">
        <f t="shared" si="12"/>
        <v>#VALUE!</v>
      </c>
      <c r="CK17" s="16" t="e">
        <f t="shared" si="12"/>
        <v>#VALUE!</v>
      </c>
      <c r="CL17" s="13" t="e">
        <f t="shared" si="12"/>
        <v>#VALUE!</v>
      </c>
      <c r="CM17" s="14" t="e">
        <f t="shared" si="12"/>
        <v>#VALUE!</v>
      </c>
      <c r="CN17" s="14" t="e">
        <f t="shared" si="12"/>
        <v>#VALUE!</v>
      </c>
      <c r="CO17" s="14" t="e">
        <f t="shared" si="12"/>
        <v>#VALUE!</v>
      </c>
      <c r="CP17" s="14" t="e">
        <f t="shared" si="12"/>
        <v>#VALUE!</v>
      </c>
      <c r="CQ17" s="15" t="e">
        <f t="shared" si="12"/>
        <v>#VALUE!</v>
      </c>
      <c r="CR17" s="16" t="e">
        <f t="shared" si="13"/>
        <v>#VALUE!</v>
      </c>
      <c r="CS17" s="13" t="e">
        <f t="shared" si="13"/>
        <v>#VALUE!</v>
      </c>
      <c r="CT17" s="14" t="e">
        <f t="shared" si="13"/>
        <v>#VALUE!</v>
      </c>
      <c r="CU17" s="14" t="e">
        <f t="shared" si="13"/>
        <v>#VALUE!</v>
      </c>
      <c r="CV17" s="14" t="e">
        <f t="shared" si="13"/>
        <v>#VALUE!</v>
      </c>
      <c r="CW17" s="14" t="e">
        <f t="shared" si="13"/>
        <v>#VALUE!</v>
      </c>
      <c r="CX17" s="15" t="e">
        <f t="shared" si="13"/>
        <v>#VALUE!</v>
      </c>
      <c r="CY17" s="16" t="e">
        <f t="shared" si="13"/>
        <v>#VALUE!</v>
      </c>
      <c r="CZ17" s="13" t="e">
        <f t="shared" si="13"/>
        <v>#VALUE!</v>
      </c>
      <c r="DA17" s="14" t="e">
        <f t="shared" si="13"/>
        <v>#VALUE!</v>
      </c>
      <c r="DB17" s="14" t="e">
        <f t="shared" si="14"/>
        <v>#VALUE!</v>
      </c>
      <c r="DC17" s="14" t="e">
        <f t="shared" si="14"/>
        <v>#VALUE!</v>
      </c>
      <c r="DD17" s="14" t="e">
        <f t="shared" si="14"/>
        <v>#VALUE!</v>
      </c>
      <c r="DE17" s="15" t="e">
        <f t="shared" si="14"/>
        <v>#VALUE!</v>
      </c>
      <c r="DF17" s="16" t="e">
        <f t="shared" si="14"/>
        <v>#VALUE!</v>
      </c>
      <c r="DG17" s="13" t="e">
        <f t="shared" si="14"/>
        <v>#VALUE!</v>
      </c>
      <c r="DH17" s="14" t="e">
        <f t="shared" si="14"/>
        <v>#VALUE!</v>
      </c>
      <c r="DI17" s="14" t="e">
        <f t="shared" si="14"/>
        <v>#VALUE!</v>
      </c>
      <c r="DJ17" s="14" t="e">
        <f t="shared" si="14"/>
        <v>#VALUE!</v>
      </c>
      <c r="DK17" s="14" t="e">
        <f t="shared" si="14"/>
        <v>#VALUE!</v>
      </c>
      <c r="DL17" s="15" t="e">
        <f t="shared" si="15"/>
        <v>#VALUE!</v>
      </c>
      <c r="DM17" s="16" t="e">
        <f t="shared" si="15"/>
        <v>#VALUE!</v>
      </c>
      <c r="DN17" s="13" t="e">
        <f t="shared" si="15"/>
        <v>#VALUE!</v>
      </c>
      <c r="DO17" s="14" t="e">
        <f t="shared" si="15"/>
        <v>#VALUE!</v>
      </c>
      <c r="DP17" s="14" t="e">
        <f t="shared" si="15"/>
        <v>#VALUE!</v>
      </c>
      <c r="DQ17" s="14" t="e">
        <f t="shared" si="15"/>
        <v>#VALUE!</v>
      </c>
      <c r="DR17" s="14" t="e">
        <f t="shared" si="15"/>
        <v>#VALUE!</v>
      </c>
      <c r="DS17" s="15" t="e">
        <f t="shared" si="15"/>
        <v>#VALUE!</v>
      </c>
      <c r="DT17" s="16" t="e">
        <f t="shared" si="15"/>
        <v>#VALUE!</v>
      </c>
    </row>
    <row r="18" spans="1:124" s="17" customFormat="1" ht="9.6" customHeight="1">
      <c r="A18" s="535"/>
      <c r="B18" s="26" t="s">
        <v>49</v>
      </c>
      <c r="C18" s="19" t="e">
        <f t="shared" si="16"/>
        <v>#VALUE!</v>
      </c>
      <c r="D18" s="19" t="str">
        <f>_xlfn.XLOOKUP(A25,'VTT actif'!B:B,'VTT actif'!AI:AI,"-",0)</f>
        <v>-</v>
      </c>
      <c r="E18" s="19" t="e">
        <f>(C18+D18)-1</f>
        <v>#VALUE!</v>
      </c>
      <c r="F18" s="13" t="e">
        <f t="shared" ref="F18:O25" si="17">IF(AND(F$5&gt;=$C18,F$5&lt;=$E18),1,"")</f>
        <v>#VALUE!</v>
      </c>
      <c r="G18" s="14" t="e">
        <f t="shared" si="17"/>
        <v>#VALUE!</v>
      </c>
      <c r="H18" s="14" t="e">
        <f t="shared" si="17"/>
        <v>#VALUE!</v>
      </c>
      <c r="I18" s="14" t="e">
        <f t="shared" si="17"/>
        <v>#VALUE!</v>
      </c>
      <c r="J18" s="14" t="e">
        <f t="shared" si="17"/>
        <v>#VALUE!</v>
      </c>
      <c r="K18" s="15" t="e">
        <f t="shared" si="17"/>
        <v>#VALUE!</v>
      </c>
      <c r="L18" s="16" t="e">
        <f t="shared" si="17"/>
        <v>#VALUE!</v>
      </c>
      <c r="M18" s="13" t="e">
        <f t="shared" si="17"/>
        <v>#VALUE!</v>
      </c>
      <c r="N18" s="14" t="e">
        <f t="shared" si="17"/>
        <v>#VALUE!</v>
      </c>
      <c r="O18" s="14" t="e">
        <f t="shared" si="17"/>
        <v>#VALUE!</v>
      </c>
      <c r="P18" s="14" t="e">
        <f t="shared" ref="P18:Y25" si="18">IF(AND(P$5&gt;=$C18,P$5&lt;=$E18),1,"")</f>
        <v>#VALUE!</v>
      </c>
      <c r="Q18" s="14" t="e">
        <f t="shared" si="18"/>
        <v>#VALUE!</v>
      </c>
      <c r="R18" s="15" t="e">
        <f t="shared" si="18"/>
        <v>#VALUE!</v>
      </c>
      <c r="S18" s="16" t="e">
        <f t="shared" si="18"/>
        <v>#VALUE!</v>
      </c>
      <c r="T18" s="13" t="e">
        <f t="shared" si="18"/>
        <v>#VALUE!</v>
      </c>
      <c r="U18" s="14" t="e">
        <f t="shared" si="18"/>
        <v>#VALUE!</v>
      </c>
      <c r="V18" s="14" t="e">
        <f t="shared" si="18"/>
        <v>#VALUE!</v>
      </c>
      <c r="W18" s="14" t="e">
        <f t="shared" si="18"/>
        <v>#VALUE!</v>
      </c>
      <c r="X18" s="14" t="e">
        <f t="shared" si="18"/>
        <v>#VALUE!</v>
      </c>
      <c r="Y18" s="15" t="e">
        <f t="shared" si="18"/>
        <v>#VALUE!</v>
      </c>
      <c r="Z18" s="16" t="e">
        <f t="shared" ref="Z18:AI25" si="19">IF(AND(Z$5&gt;=$C18,Z$5&lt;=$E18),1,"")</f>
        <v>#VALUE!</v>
      </c>
      <c r="AA18" s="13" t="e">
        <f t="shared" si="19"/>
        <v>#VALUE!</v>
      </c>
      <c r="AB18" s="14" t="e">
        <f t="shared" si="19"/>
        <v>#VALUE!</v>
      </c>
      <c r="AC18" s="14" t="e">
        <f t="shared" si="19"/>
        <v>#VALUE!</v>
      </c>
      <c r="AD18" s="14" t="e">
        <f t="shared" si="19"/>
        <v>#VALUE!</v>
      </c>
      <c r="AE18" s="14" t="e">
        <f t="shared" si="19"/>
        <v>#VALUE!</v>
      </c>
      <c r="AF18" s="15" t="e">
        <f t="shared" si="19"/>
        <v>#VALUE!</v>
      </c>
      <c r="AG18" s="16" t="e">
        <f t="shared" si="19"/>
        <v>#VALUE!</v>
      </c>
      <c r="AH18" s="13" t="e">
        <f t="shared" si="19"/>
        <v>#VALUE!</v>
      </c>
      <c r="AI18" s="14" t="e">
        <f t="shared" si="19"/>
        <v>#VALUE!</v>
      </c>
      <c r="AJ18" s="14" t="e">
        <f t="shared" ref="AJ18:AS25" si="20">IF(AND(AJ$5&gt;=$C18,AJ$5&lt;=$E18),1,"")</f>
        <v>#VALUE!</v>
      </c>
      <c r="AK18" s="14" t="e">
        <f t="shared" si="20"/>
        <v>#VALUE!</v>
      </c>
      <c r="AL18" s="14" t="e">
        <f t="shared" si="20"/>
        <v>#VALUE!</v>
      </c>
      <c r="AM18" s="15" t="e">
        <f t="shared" si="20"/>
        <v>#VALUE!</v>
      </c>
      <c r="AN18" s="16" t="e">
        <f t="shared" si="20"/>
        <v>#VALUE!</v>
      </c>
      <c r="AO18" s="13" t="e">
        <f t="shared" si="20"/>
        <v>#VALUE!</v>
      </c>
      <c r="AP18" s="14" t="e">
        <f t="shared" si="20"/>
        <v>#VALUE!</v>
      </c>
      <c r="AQ18" s="14" t="e">
        <f t="shared" si="20"/>
        <v>#VALUE!</v>
      </c>
      <c r="AR18" s="14" t="e">
        <f t="shared" si="20"/>
        <v>#VALUE!</v>
      </c>
      <c r="AS18" s="14" t="e">
        <f t="shared" si="20"/>
        <v>#VALUE!</v>
      </c>
      <c r="AT18" s="15" t="e">
        <f t="shared" ref="AT18:BC25" si="21">IF(AND(AT$5&gt;=$C18,AT$5&lt;=$E18),1,"")</f>
        <v>#VALUE!</v>
      </c>
      <c r="AU18" s="16" t="e">
        <f t="shared" si="21"/>
        <v>#VALUE!</v>
      </c>
      <c r="AV18" s="13" t="e">
        <f t="shared" si="21"/>
        <v>#VALUE!</v>
      </c>
      <c r="AW18" s="14" t="e">
        <f t="shared" si="21"/>
        <v>#VALUE!</v>
      </c>
      <c r="AX18" s="14" t="e">
        <f t="shared" si="21"/>
        <v>#VALUE!</v>
      </c>
      <c r="AY18" s="14" t="e">
        <f t="shared" si="21"/>
        <v>#VALUE!</v>
      </c>
      <c r="AZ18" s="14" t="e">
        <f t="shared" si="21"/>
        <v>#VALUE!</v>
      </c>
      <c r="BA18" s="15" t="e">
        <f t="shared" si="21"/>
        <v>#VALUE!</v>
      </c>
      <c r="BB18" s="16" t="e">
        <f t="shared" si="21"/>
        <v>#VALUE!</v>
      </c>
      <c r="BC18" s="13" t="e">
        <f t="shared" si="21"/>
        <v>#VALUE!</v>
      </c>
      <c r="BD18" s="14" t="e">
        <f t="shared" ref="BD18:BM25" si="22">IF(AND(BD$5&gt;=$C18,BD$5&lt;=$E18),1,"")</f>
        <v>#VALUE!</v>
      </c>
      <c r="BE18" s="14" t="e">
        <f t="shared" si="22"/>
        <v>#VALUE!</v>
      </c>
      <c r="BF18" s="14" t="e">
        <f t="shared" si="22"/>
        <v>#VALUE!</v>
      </c>
      <c r="BG18" s="14" t="e">
        <f t="shared" si="22"/>
        <v>#VALUE!</v>
      </c>
      <c r="BH18" s="15" t="e">
        <f t="shared" si="22"/>
        <v>#VALUE!</v>
      </c>
      <c r="BI18" s="16" t="e">
        <f t="shared" si="22"/>
        <v>#VALUE!</v>
      </c>
      <c r="BJ18" s="13" t="e">
        <f t="shared" si="22"/>
        <v>#VALUE!</v>
      </c>
      <c r="BK18" s="14" t="e">
        <f t="shared" si="22"/>
        <v>#VALUE!</v>
      </c>
      <c r="BL18" s="14" t="e">
        <f t="shared" si="22"/>
        <v>#VALUE!</v>
      </c>
      <c r="BM18" s="14" t="e">
        <f t="shared" si="22"/>
        <v>#VALUE!</v>
      </c>
      <c r="BN18" s="14" t="e">
        <f t="shared" ref="BN18:BW25" si="23">IF(AND(BN$5&gt;=$C18,BN$5&lt;=$E18),1,"")</f>
        <v>#VALUE!</v>
      </c>
      <c r="BO18" s="15" t="e">
        <f t="shared" si="23"/>
        <v>#VALUE!</v>
      </c>
      <c r="BP18" s="16" t="e">
        <f t="shared" si="23"/>
        <v>#VALUE!</v>
      </c>
      <c r="BQ18" s="13" t="e">
        <f t="shared" si="23"/>
        <v>#VALUE!</v>
      </c>
      <c r="BR18" s="14" t="e">
        <f t="shared" si="23"/>
        <v>#VALUE!</v>
      </c>
      <c r="BS18" s="14" t="e">
        <f t="shared" si="23"/>
        <v>#VALUE!</v>
      </c>
      <c r="BT18" s="14" t="e">
        <f t="shared" si="23"/>
        <v>#VALUE!</v>
      </c>
      <c r="BU18" s="14" t="e">
        <f t="shared" si="23"/>
        <v>#VALUE!</v>
      </c>
      <c r="BV18" s="15" t="e">
        <f t="shared" si="23"/>
        <v>#VALUE!</v>
      </c>
      <c r="BW18" s="16" t="e">
        <f t="shared" si="23"/>
        <v>#VALUE!</v>
      </c>
      <c r="BX18" s="13" t="e">
        <f t="shared" ref="BX18:CG25" si="24">IF(AND(BX$5&gt;=$C18,BX$5&lt;=$E18),1,"")</f>
        <v>#VALUE!</v>
      </c>
      <c r="BY18" s="14" t="e">
        <f t="shared" si="24"/>
        <v>#VALUE!</v>
      </c>
      <c r="BZ18" s="14" t="e">
        <f t="shared" si="24"/>
        <v>#VALUE!</v>
      </c>
      <c r="CA18" s="14" t="e">
        <f t="shared" si="24"/>
        <v>#VALUE!</v>
      </c>
      <c r="CB18" s="14" t="e">
        <f t="shared" si="24"/>
        <v>#VALUE!</v>
      </c>
      <c r="CC18" s="15" t="e">
        <f t="shared" si="24"/>
        <v>#VALUE!</v>
      </c>
      <c r="CD18" s="16" t="e">
        <f t="shared" si="24"/>
        <v>#VALUE!</v>
      </c>
      <c r="CE18" s="13" t="e">
        <f t="shared" si="24"/>
        <v>#VALUE!</v>
      </c>
      <c r="CF18" s="14" t="e">
        <f t="shared" si="24"/>
        <v>#VALUE!</v>
      </c>
      <c r="CG18" s="14" t="e">
        <f t="shared" si="24"/>
        <v>#VALUE!</v>
      </c>
      <c r="CH18" s="14" t="e">
        <f t="shared" ref="CH18:CQ25" si="25">IF(AND(CH$5&gt;=$C18,CH$5&lt;=$E18),1,"")</f>
        <v>#VALUE!</v>
      </c>
      <c r="CI18" s="14" t="e">
        <f t="shared" si="25"/>
        <v>#VALUE!</v>
      </c>
      <c r="CJ18" s="15" t="e">
        <f t="shared" si="25"/>
        <v>#VALUE!</v>
      </c>
      <c r="CK18" s="16" t="e">
        <f t="shared" si="25"/>
        <v>#VALUE!</v>
      </c>
      <c r="CL18" s="13" t="e">
        <f t="shared" si="25"/>
        <v>#VALUE!</v>
      </c>
      <c r="CM18" s="14" t="e">
        <f t="shared" si="25"/>
        <v>#VALUE!</v>
      </c>
      <c r="CN18" s="14" t="e">
        <f t="shared" si="25"/>
        <v>#VALUE!</v>
      </c>
      <c r="CO18" s="14" t="e">
        <f t="shared" si="25"/>
        <v>#VALUE!</v>
      </c>
      <c r="CP18" s="14" t="e">
        <f t="shared" si="25"/>
        <v>#VALUE!</v>
      </c>
      <c r="CQ18" s="15" t="e">
        <f t="shared" si="25"/>
        <v>#VALUE!</v>
      </c>
      <c r="CR18" s="16" t="e">
        <f t="shared" ref="CR18:DA25" si="26">IF(AND(CR$5&gt;=$C18,CR$5&lt;=$E18),1,"")</f>
        <v>#VALUE!</v>
      </c>
      <c r="CS18" s="13" t="e">
        <f t="shared" si="26"/>
        <v>#VALUE!</v>
      </c>
      <c r="CT18" s="14" t="e">
        <f t="shared" si="26"/>
        <v>#VALUE!</v>
      </c>
      <c r="CU18" s="14" t="e">
        <f t="shared" si="26"/>
        <v>#VALUE!</v>
      </c>
      <c r="CV18" s="14" t="e">
        <f t="shared" si="26"/>
        <v>#VALUE!</v>
      </c>
      <c r="CW18" s="14" t="e">
        <f t="shared" si="26"/>
        <v>#VALUE!</v>
      </c>
      <c r="CX18" s="15" t="e">
        <f t="shared" si="26"/>
        <v>#VALUE!</v>
      </c>
      <c r="CY18" s="16" t="e">
        <f t="shared" si="26"/>
        <v>#VALUE!</v>
      </c>
      <c r="CZ18" s="13" t="e">
        <f t="shared" si="26"/>
        <v>#VALUE!</v>
      </c>
      <c r="DA18" s="14" t="e">
        <f t="shared" si="26"/>
        <v>#VALUE!</v>
      </c>
      <c r="DB18" s="14" t="e">
        <f t="shared" ref="DB18:DK25" si="27">IF(AND(DB$5&gt;=$C18,DB$5&lt;=$E18),1,"")</f>
        <v>#VALUE!</v>
      </c>
      <c r="DC18" s="14" t="e">
        <f t="shared" si="27"/>
        <v>#VALUE!</v>
      </c>
      <c r="DD18" s="14" t="e">
        <f t="shared" si="27"/>
        <v>#VALUE!</v>
      </c>
      <c r="DE18" s="15" t="e">
        <f t="shared" si="27"/>
        <v>#VALUE!</v>
      </c>
      <c r="DF18" s="16" t="e">
        <f t="shared" si="27"/>
        <v>#VALUE!</v>
      </c>
      <c r="DG18" s="13" t="e">
        <f t="shared" si="27"/>
        <v>#VALUE!</v>
      </c>
      <c r="DH18" s="14" t="e">
        <f t="shared" si="27"/>
        <v>#VALUE!</v>
      </c>
      <c r="DI18" s="14" t="e">
        <f t="shared" si="27"/>
        <v>#VALUE!</v>
      </c>
      <c r="DJ18" s="14" t="e">
        <f t="shared" si="27"/>
        <v>#VALUE!</v>
      </c>
      <c r="DK18" s="14" t="e">
        <f t="shared" si="27"/>
        <v>#VALUE!</v>
      </c>
      <c r="DL18" s="15" t="e">
        <f t="shared" ref="DL18:DT25" si="28">IF(AND(DL$5&gt;=$C18,DL$5&lt;=$E18),1,"")</f>
        <v>#VALUE!</v>
      </c>
      <c r="DM18" s="16" t="e">
        <f t="shared" si="28"/>
        <v>#VALUE!</v>
      </c>
      <c r="DN18" s="13" t="e">
        <f t="shared" si="28"/>
        <v>#VALUE!</v>
      </c>
      <c r="DO18" s="14" t="e">
        <f t="shared" si="28"/>
        <v>#VALUE!</v>
      </c>
      <c r="DP18" s="14" t="e">
        <f t="shared" si="28"/>
        <v>#VALUE!</v>
      </c>
      <c r="DQ18" s="14" t="e">
        <f t="shared" si="28"/>
        <v>#VALUE!</v>
      </c>
      <c r="DR18" s="14" t="e">
        <f t="shared" si="28"/>
        <v>#VALUE!</v>
      </c>
      <c r="DS18" s="15" t="e">
        <f t="shared" si="28"/>
        <v>#VALUE!</v>
      </c>
      <c r="DT18" s="16" t="e">
        <f t="shared" si="28"/>
        <v>#VALUE!</v>
      </c>
    </row>
    <row r="19" spans="1:124" s="17" customFormat="1" ht="9.6" customHeight="1">
      <c r="A19" s="553" t="str">
        <f>_xlfn.XLOOKUP(A25,'VTT actif'!B:B,'VTT actif'!AB:AB,"-",0)</f>
        <v>-</v>
      </c>
      <c r="B19" s="24" t="s">
        <v>50</v>
      </c>
      <c r="C19" s="19" t="e">
        <f t="shared" si="16"/>
        <v>#VALUE!</v>
      </c>
      <c r="D19" s="19" t="str">
        <f>_xlfn.XLOOKUP(A25,'VTT actif'!B:B,'VTT actif'!AK:AK,"-",0)</f>
        <v>-</v>
      </c>
      <c r="E19" s="19" t="e">
        <f>C19-1+D19</f>
        <v>#VALUE!</v>
      </c>
      <c r="F19" s="13" t="e">
        <f t="shared" si="17"/>
        <v>#VALUE!</v>
      </c>
      <c r="G19" s="14" t="e">
        <f t="shared" si="17"/>
        <v>#VALUE!</v>
      </c>
      <c r="H19" s="14" t="e">
        <f t="shared" si="17"/>
        <v>#VALUE!</v>
      </c>
      <c r="I19" s="14" t="e">
        <f t="shared" si="17"/>
        <v>#VALUE!</v>
      </c>
      <c r="J19" s="14" t="e">
        <f t="shared" si="17"/>
        <v>#VALUE!</v>
      </c>
      <c r="K19" s="15" t="e">
        <f t="shared" si="17"/>
        <v>#VALUE!</v>
      </c>
      <c r="L19" s="16" t="e">
        <f t="shared" si="17"/>
        <v>#VALUE!</v>
      </c>
      <c r="M19" s="13" t="e">
        <f t="shared" si="17"/>
        <v>#VALUE!</v>
      </c>
      <c r="N19" s="14" t="e">
        <f t="shared" si="17"/>
        <v>#VALUE!</v>
      </c>
      <c r="O19" s="14" t="e">
        <f t="shared" si="17"/>
        <v>#VALUE!</v>
      </c>
      <c r="P19" s="14" t="e">
        <f t="shared" si="18"/>
        <v>#VALUE!</v>
      </c>
      <c r="Q19" s="14" t="e">
        <f t="shared" si="18"/>
        <v>#VALUE!</v>
      </c>
      <c r="R19" s="15" t="e">
        <f t="shared" si="18"/>
        <v>#VALUE!</v>
      </c>
      <c r="S19" s="16" t="e">
        <f t="shared" si="18"/>
        <v>#VALUE!</v>
      </c>
      <c r="T19" s="13" t="e">
        <f t="shared" si="18"/>
        <v>#VALUE!</v>
      </c>
      <c r="U19" s="14" t="e">
        <f t="shared" si="18"/>
        <v>#VALUE!</v>
      </c>
      <c r="V19" s="14" t="e">
        <f t="shared" si="18"/>
        <v>#VALUE!</v>
      </c>
      <c r="W19" s="14" t="e">
        <f t="shared" si="18"/>
        <v>#VALUE!</v>
      </c>
      <c r="X19" s="14" t="e">
        <f t="shared" si="18"/>
        <v>#VALUE!</v>
      </c>
      <c r="Y19" s="15" t="e">
        <f t="shared" si="18"/>
        <v>#VALUE!</v>
      </c>
      <c r="Z19" s="16" t="e">
        <f t="shared" si="19"/>
        <v>#VALUE!</v>
      </c>
      <c r="AA19" s="13" t="e">
        <f t="shared" si="19"/>
        <v>#VALUE!</v>
      </c>
      <c r="AB19" s="14" t="e">
        <f t="shared" si="19"/>
        <v>#VALUE!</v>
      </c>
      <c r="AC19" s="14" t="e">
        <f t="shared" si="19"/>
        <v>#VALUE!</v>
      </c>
      <c r="AD19" s="14" t="e">
        <f t="shared" si="19"/>
        <v>#VALUE!</v>
      </c>
      <c r="AE19" s="14" t="e">
        <f t="shared" si="19"/>
        <v>#VALUE!</v>
      </c>
      <c r="AF19" s="15" t="e">
        <f t="shared" si="19"/>
        <v>#VALUE!</v>
      </c>
      <c r="AG19" s="16" t="e">
        <f t="shared" si="19"/>
        <v>#VALUE!</v>
      </c>
      <c r="AH19" s="13" t="e">
        <f t="shared" si="19"/>
        <v>#VALUE!</v>
      </c>
      <c r="AI19" s="14" t="e">
        <f t="shared" si="19"/>
        <v>#VALUE!</v>
      </c>
      <c r="AJ19" s="14" t="e">
        <f t="shared" si="20"/>
        <v>#VALUE!</v>
      </c>
      <c r="AK19" s="14" t="e">
        <f t="shared" si="20"/>
        <v>#VALUE!</v>
      </c>
      <c r="AL19" s="14" t="e">
        <f t="shared" si="20"/>
        <v>#VALUE!</v>
      </c>
      <c r="AM19" s="15" t="e">
        <f t="shared" si="20"/>
        <v>#VALUE!</v>
      </c>
      <c r="AN19" s="16" t="e">
        <f t="shared" si="20"/>
        <v>#VALUE!</v>
      </c>
      <c r="AO19" s="13" t="e">
        <f t="shared" si="20"/>
        <v>#VALUE!</v>
      </c>
      <c r="AP19" s="14" t="e">
        <f t="shared" si="20"/>
        <v>#VALUE!</v>
      </c>
      <c r="AQ19" s="14" t="e">
        <f t="shared" si="20"/>
        <v>#VALUE!</v>
      </c>
      <c r="AR19" s="14" t="e">
        <f t="shared" si="20"/>
        <v>#VALUE!</v>
      </c>
      <c r="AS19" s="14" t="e">
        <f t="shared" si="20"/>
        <v>#VALUE!</v>
      </c>
      <c r="AT19" s="15" t="e">
        <f t="shared" si="21"/>
        <v>#VALUE!</v>
      </c>
      <c r="AU19" s="16" t="e">
        <f t="shared" si="21"/>
        <v>#VALUE!</v>
      </c>
      <c r="AV19" s="13" t="e">
        <f t="shared" si="21"/>
        <v>#VALUE!</v>
      </c>
      <c r="AW19" s="14" t="e">
        <f t="shared" si="21"/>
        <v>#VALUE!</v>
      </c>
      <c r="AX19" s="14" t="e">
        <f t="shared" si="21"/>
        <v>#VALUE!</v>
      </c>
      <c r="AY19" s="14" t="e">
        <f t="shared" si="21"/>
        <v>#VALUE!</v>
      </c>
      <c r="AZ19" s="14" t="e">
        <f t="shared" si="21"/>
        <v>#VALUE!</v>
      </c>
      <c r="BA19" s="15" t="e">
        <f t="shared" si="21"/>
        <v>#VALUE!</v>
      </c>
      <c r="BB19" s="16" t="e">
        <f t="shared" si="21"/>
        <v>#VALUE!</v>
      </c>
      <c r="BC19" s="13" t="e">
        <f t="shared" si="21"/>
        <v>#VALUE!</v>
      </c>
      <c r="BD19" s="14" t="e">
        <f t="shared" si="22"/>
        <v>#VALUE!</v>
      </c>
      <c r="BE19" s="14" t="e">
        <f t="shared" si="22"/>
        <v>#VALUE!</v>
      </c>
      <c r="BF19" s="14" t="e">
        <f t="shared" si="22"/>
        <v>#VALUE!</v>
      </c>
      <c r="BG19" s="14" t="e">
        <f t="shared" si="22"/>
        <v>#VALUE!</v>
      </c>
      <c r="BH19" s="15" t="e">
        <f t="shared" si="22"/>
        <v>#VALUE!</v>
      </c>
      <c r="BI19" s="16" t="e">
        <f t="shared" si="22"/>
        <v>#VALUE!</v>
      </c>
      <c r="BJ19" s="13" t="e">
        <f t="shared" si="22"/>
        <v>#VALUE!</v>
      </c>
      <c r="BK19" s="14" t="e">
        <f t="shared" si="22"/>
        <v>#VALUE!</v>
      </c>
      <c r="BL19" s="14" t="e">
        <f t="shared" si="22"/>
        <v>#VALUE!</v>
      </c>
      <c r="BM19" s="14" t="e">
        <f t="shared" si="22"/>
        <v>#VALUE!</v>
      </c>
      <c r="BN19" s="14" t="e">
        <f t="shared" si="23"/>
        <v>#VALUE!</v>
      </c>
      <c r="BO19" s="15" t="e">
        <f t="shared" si="23"/>
        <v>#VALUE!</v>
      </c>
      <c r="BP19" s="16" t="e">
        <f t="shared" si="23"/>
        <v>#VALUE!</v>
      </c>
      <c r="BQ19" s="13" t="e">
        <f t="shared" si="23"/>
        <v>#VALUE!</v>
      </c>
      <c r="BR19" s="14" t="e">
        <f t="shared" si="23"/>
        <v>#VALUE!</v>
      </c>
      <c r="BS19" s="14" t="e">
        <f t="shared" si="23"/>
        <v>#VALUE!</v>
      </c>
      <c r="BT19" s="14" t="e">
        <f t="shared" si="23"/>
        <v>#VALUE!</v>
      </c>
      <c r="BU19" s="14" t="e">
        <f t="shared" si="23"/>
        <v>#VALUE!</v>
      </c>
      <c r="BV19" s="15" t="e">
        <f t="shared" si="23"/>
        <v>#VALUE!</v>
      </c>
      <c r="BW19" s="16" t="e">
        <f t="shared" si="23"/>
        <v>#VALUE!</v>
      </c>
      <c r="BX19" s="13" t="e">
        <f t="shared" si="24"/>
        <v>#VALUE!</v>
      </c>
      <c r="BY19" s="14" t="e">
        <f t="shared" si="24"/>
        <v>#VALUE!</v>
      </c>
      <c r="BZ19" s="14" t="e">
        <f t="shared" si="24"/>
        <v>#VALUE!</v>
      </c>
      <c r="CA19" s="14" t="e">
        <f t="shared" si="24"/>
        <v>#VALUE!</v>
      </c>
      <c r="CB19" s="14" t="e">
        <f t="shared" si="24"/>
        <v>#VALUE!</v>
      </c>
      <c r="CC19" s="15" t="e">
        <f t="shared" si="24"/>
        <v>#VALUE!</v>
      </c>
      <c r="CD19" s="16" t="e">
        <f t="shared" si="24"/>
        <v>#VALUE!</v>
      </c>
      <c r="CE19" s="13" t="e">
        <f t="shared" si="24"/>
        <v>#VALUE!</v>
      </c>
      <c r="CF19" s="14" t="e">
        <f t="shared" si="24"/>
        <v>#VALUE!</v>
      </c>
      <c r="CG19" s="14" t="e">
        <f t="shared" si="24"/>
        <v>#VALUE!</v>
      </c>
      <c r="CH19" s="14" t="e">
        <f t="shared" si="25"/>
        <v>#VALUE!</v>
      </c>
      <c r="CI19" s="14" t="e">
        <f t="shared" si="25"/>
        <v>#VALUE!</v>
      </c>
      <c r="CJ19" s="15" t="e">
        <f t="shared" si="25"/>
        <v>#VALUE!</v>
      </c>
      <c r="CK19" s="16" t="e">
        <f t="shared" si="25"/>
        <v>#VALUE!</v>
      </c>
      <c r="CL19" s="13" t="e">
        <f t="shared" si="25"/>
        <v>#VALUE!</v>
      </c>
      <c r="CM19" s="14" t="e">
        <f t="shared" si="25"/>
        <v>#VALUE!</v>
      </c>
      <c r="CN19" s="14" t="e">
        <f t="shared" si="25"/>
        <v>#VALUE!</v>
      </c>
      <c r="CO19" s="14" t="e">
        <f t="shared" si="25"/>
        <v>#VALUE!</v>
      </c>
      <c r="CP19" s="14" t="e">
        <f t="shared" si="25"/>
        <v>#VALUE!</v>
      </c>
      <c r="CQ19" s="15" t="e">
        <f t="shared" si="25"/>
        <v>#VALUE!</v>
      </c>
      <c r="CR19" s="16" t="e">
        <f t="shared" si="26"/>
        <v>#VALUE!</v>
      </c>
      <c r="CS19" s="13" t="e">
        <f t="shared" si="26"/>
        <v>#VALUE!</v>
      </c>
      <c r="CT19" s="14" t="e">
        <f t="shared" si="26"/>
        <v>#VALUE!</v>
      </c>
      <c r="CU19" s="14" t="e">
        <f t="shared" si="26"/>
        <v>#VALUE!</v>
      </c>
      <c r="CV19" s="14" t="e">
        <f t="shared" si="26"/>
        <v>#VALUE!</v>
      </c>
      <c r="CW19" s="14" t="e">
        <f t="shared" si="26"/>
        <v>#VALUE!</v>
      </c>
      <c r="CX19" s="15" t="e">
        <f t="shared" si="26"/>
        <v>#VALUE!</v>
      </c>
      <c r="CY19" s="16" t="e">
        <f t="shared" si="26"/>
        <v>#VALUE!</v>
      </c>
      <c r="CZ19" s="13" t="e">
        <f t="shared" si="26"/>
        <v>#VALUE!</v>
      </c>
      <c r="DA19" s="14" t="e">
        <f t="shared" si="26"/>
        <v>#VALUE!</v>
      </c>
      <c r="DB19" s="14" t="e">
        <f t="shared" si="27"/>
        <v>#VALUE!</v>
      </c>
      <c r="DC19" s="14" t="e">
        <f t="shared" si="27"/>
        <v>#VALUE!</v>
      </c>
      <c r="DD19" s="14" t="e">
        <f t="shared" si="27"/>
        <v>#VALUE!</v>
      </c>
      <c r="DE19" s="15" t="e">
        <f t="shared" si="27"/>
        <v>#VALUE!</v>
      </c>
      <c r="DF19" s="16" t="e">
        <f t="shared" si="27"/>
        <v>#VALUE!</v>
      </c>
      <c r="DG19" s="13" t="e">
        <f t="shared" si="27"/>
        <v>#VALUE!</v>
      </c>
      <c r="DH19" s="14" t="e">
        <f t="shared" si="27"/>
        <v>#VALUE!</v>
      </c>
      <c r="DI19" s="14" t="e">
        <f t="shared" si="27"/>
        <v>#VALUE!</v>
      </c>
      <c r="DJ19" s="14" t="e">
        <f t="shared" si="27"/>
        <v>#VALUE!</v>
      </c>
      <c r="DK19" s="14" t="e">
        <f t="shared" si="27"/>
        <v>#VALUE!</v>
      </c>
      <c r="DL19" s="15" t="e">
        <f t="shared" si="28"/>
        <v>#VALUE!</v>
      </c>
      <c r="DM19" s="16" t="e">
        <f t="shared" si="28"/>
        <v>#VALUE!</v>
      </c>
      <c r="DN19" s="13" t="e">
        <f t="shared" si="28"/>
        <v>#VALUE!</v>
      </c>
      <c r="DO19" s="14" t="e">
        <f t="shared" si="28"/>
        <v>#VALUE!</v>
      </c>
      <c r="DP19" s="14" t="e">
        <f t="shared" si="28"/>
        <v>#VALUE!</v>
      </c>
      <c r="DQ19" s="14" t="e">
        <f t="shared" si="28"/>
        <v>#VALUE!</v>
      </c>
      <c r="DR19" s="14" t="e">
        <f t="shared" si="28"/>
        <v>#VALUE!</v>
      </c>
      <c r="DS19" s="15" t="e">
        <f t="shared" si="28"/>
        <v>#VALUE!</v>
      </c>
      <c r="DT19" s="16" t="e">
        <f t="shared" si="28"/>
        <v>#VALUE!</v>
      </c>
    </row>
    <row r="20" spans="1:124" s="17" customFormat="1" ht="9.6" customHeight="1">
      <c r="A20" s="535"/>
      <c r="B20" s="26" t="str">
        <f>IF(COUNTIF(buffer_train[AILN],B5)&gt;0,"Buffer Train","")</f>
        <v/>
      </c>
      <c r="C20" s="19" t="e">
        <f t="shared" si="16"/>
        <v>#VALUE!</v>
      </c>
      <c r="D20" s="19" t="str">
        <f>_xlfn.XLOOKUP(A25,'VTT actif'!B:B,'VTT actif'!AO:AO,"-",0)</f>
        <v>-</v>
      </c>
      <c r="E20" s="19" t="e">
        <f>C20-1+IF(D20="-",0,D20)</f>
        <v>#VALUE!</v>
      </c>
      <c r="F20" s="13" t="e">
        <f t="shared" si="17"/>
        <v>#VALUE!</v>
      </c>
      <c r="G20" s="14" t="e">
        <f t="shared" si="17"/>
        <v>#VALUE!</v>
      </c>
      <c r="H20" s="14" t="e">
        <f t="shared" si="17"/>
        <v>#VALUE!</v>
      </c>
      <c r="I20" s="14" t="e">
        <f t="shared" si="17"/>
        <v>#VALUE!</v>
      </c>
      <c r="J20" s="14" t="e">
        <f t="shared" si="17"/>
        <v>#VALUE!</v>
      </c>
      <c r="K20" s="15" t="e">
        <f t="shared" si="17"/>
        <v>#VALUE!</v>
      </c>
      <c r="L20" s="16" t="e">
        <f t="shared" si="17"/>
        <v>#VALUE!</v>
      </c>
      <c r="M20" s="13" t="e">
        <f t="shared" si="17"/>
        <v>#VALUE!</v>
      </c>
      <c r="N20" s="14" t="e">
        <f t="shared" si="17"/>
        <v>#VALUE!</v>
      </c>
      <c r="O20" s="14" t="e">
        <f t="shared" si="17"/>
        <v>#VALUE!</v>
      </c>
      <c r="P20" s="14" t="e">
        <f t="shared" si="18"/>
        <v>#VALUE!</v>
      </c>
      <c r="Q20" s="14" t="e">
        <f t="shared" si="18"/>
        <v>#VALUE!</v>
      </c>
      <c r="R20" s="15" t="e">
        <f t="shared" si="18"/>
        <v>#VALUE!</v>
      </c>
      <c r="S20" s="16" t="e">
        <f t="shared" si="18"/>
        <v>#VALUE!</v>
      </c>
      <c r="T20" s="13" t="e">
        <f t="shared" si="18"/>
        <v>#VALUE!</v>
      </c>
      <c r="U20" s="14" t="e">
        <f t="shared" si="18"/>
        <v>#VALUE!</v>
      </c>
      <c r="V20" s="14" t="e">
        <f t="shared" si="18"/>
        <v>#VALUE!</v>
      </c>
      <c r="W20" s="14" t="e">
        <f t="shared" si="18"/>
        <v>#VALUE!</v>
      </c>
      <c r="X20" s="14" t="e">
        <f t="shared" si="18"/>
        <v>#VALUE!</v>
      </c>
      <c r="Y20" s="15" t="e">
        <f t="shared" si="18"/>
        <v>#VALUE!</v>
      </c>
      <c r="Z20" s="16" t="e">
        <f t="shared" si="19"/>
        <v>#VALUE!</v>
      </c>
      <c r="AA20" s="13" t="e">
        <f t="shared" si="19"/>
        <v>#VALUE!</v>
      </c>
      <c r="AB20" s="14" t="e">
        <f t="shared" si="19"/>
        <v>#VALUE!</v>
      </c>
      <c r="AC20" s="14" t="e">
        <f t="shared" si="19"/>
        <v>#VALUE!</v>
      </c>
      <c r="AD20" s="14" t="e">
        <f t="shared" si="19"/>
        <v>#VALUE!</v>
      </c>
      <c r="AE20" s="14" t="e">
        <f t="shared" si="19"/>
        <v>#VALUE!</v>
      </c>
      <c r="AF20" s="15" t="e">
        <f t="shared" si="19"/>
        <v>#VALUE!</v>
      </c>
      <c r="AG20" s="16" t="e">
        <f t="shared" si="19"/>
        <v>#VALUE!</v>
      </c>
      <c r="AH20" s="13" t="e">
        <f t="shared" si="19"/>
        <v>#VALUE!</v>
      </c>
      <c r="AI20" s="14" t="e">
        <f t="shared" si="19"/>
        <v>#VALUE!</v>
      </c>
      <c r="AJ20" s="14" t="e">
        <f t="shared" si="20"/>
        <v>#VALUE!</v>
      </c>
      <c r="AK20" s="14" t="e">
        <f t="shared" si="20"/>
        <v>#VALUE!</v>
      </c>
      <c r="AL20" s="14" t="e">
        <f t="shared" si="20"/>
        <v>#VALUE!</v>
      </c>
      <c r="AM20" s="15" t="e">
        <f t="shared" si="20"/>
        <v>#VALUE!</v>
      </c>
      <c r="AN20" s="16" t="e">
        <f t="shared" si="20"/>
        <v>#VALUE!</v>
      </c>
      <c r="AO20" s="13" t="e">
        <f t="shared" si="20"/>
        <v>#VALUE!</v>
      </c>
      <c r="AP20" s="14" t="e">
        <f t="shared" si="20"/>
        <v>#VALUE!</v>
      </c>
      <c r="AQ20" s="14" t="e">
        <f t="shared" si="20"/>
        <v>#VALUE!</v>
      </c>
      <c r="AR20" s="14" t="e">
        <f t="shared" si="20"/>
        <v>#VALUE!</v>
      </c>
      <c r="AS20" s="14" t="e">
        <f t="shared" si="20"/>
        <v>#VALUE!</v>
      </c>
      <c r="AT20" s="15" t="e">
        <f t="shared" si="21"/>
        <v>#VALUE!</v>
      </c>
      <c r="AU20" s="16" t="e">
        <f t="shared" si="21"/>
        <v>#VALUE!</v>
      </c>
      <c r="AV20" s="13" t="e">
        <f t="shared" si="21"/>
        <v>#VALUE!</v>
      </c>
      <c r="AW20" s="14" t="e">
        <f t="shared" si="21"/>
        <v>#VALUE!</v>
      </c>
      <c r="AX20" s="14" t="e">
        <f t="shared" si="21"/>
        <v>#VALUE!</v>
      </c>
      <c r="AY20" s="14" t="e">
        <f t="shared" si="21"/>
        <v>#VALUE!</v>
      </c>
      <c r="AZ20" s="14" t="e">
        <f t="shared" si="21"/>
        <v>#VALUE!</v>
      </c>
      <c r="BA20" s="15" t="e">
        <f t="shared" si="21"/>
        <v>#VALUE!</v>
      </c>
      <c r="BB20" s="16" t="e">
        <f t="shared" si="21"/>
        <v>#VALUE!</v>
      </c>
      <c r="BC20" s="13" t="e">
        <f t="shared" si="21"/>
        <v>#VALUE!</v>
      </c>
      <c r="BD20" s="14" t="e">
        <f t="shared" si="22"/>
        <v>#VALUE!</v>
      </c>
      <c r="BE20" s="14" t="e">
        <f t="shared" si="22"/>
        <v>#VALUE!</v>
      </c>
      <c r="BF20" s="14" t="e">
        <f t="shared" si="22"/>
        <v>#VALUE!</v>
      </c>
      <c r="BG20" s="14" t="e">
        <f t="shared" si="22"/>
        <v>#VALUE!</v>
      </c>
      <c r="BH20" s="15" t="e">
        <f t="shared" si="22"/>
        <v>#VALUE!</v>
      </c>
      <c r="BI20" s="16" t="e">
        <f t="shared" si="22"/>
        <v>#VALUE!</v>
      </c>
      <c r="BJ20" s="13" t="e">
        <f t="shared" si="22"/>
        <v>#VALUE!</v>
      </c>
      <c r="BK20" s="14" t="e">
        <f t="shared" si="22"/>
        <v>#VALUE!</v>
      </c>
      <c r="BL20" s="14" t="e">
        <f t="shared" si="22"/>
        <v>#VALUE!</v>
      </c>
      <c r="BM20" s="14" t="e">
        <f t="shared" si="22"/>
        <v>#VALUE!</v>
      </c>
      <c r="BN20" s="14" t="e">
        <f t="shared" si="23"/>
        <v>#VALUE!</v>
      </c>
      <c r="BO20" s="15" t="e">
        <f t="shared" si="23"/>
        <v>#VALUE!</v>
      </c>
      <c r="BP20" s="16" t="e">
        <f t="shared" si="23"/>
        <v>#VALUE!</v>
      </c>
      <c r="BQ20" s="13" t="e">
        <f t="shared" si="23"/>
        <v>#VALUE!</v>
      </c>
      <c r="BR20" s="14" t="e">
        <f t="shared" si="23"/>
        <v>#VALUE!</v>
      </c>
      <c r="BS20" s="14" t="e">
        <f t="shared" si="23"/>
        <v>#VALUE!</v>
      </c>
      <c r="BT20" s="14" t="e">
        <f t="shared" si="23"/>
        <v>#VALUE!</v>
      </c>
      <c r="BU20" s="14" t="e">
        <f t="shared" si="23"/>
        <v>#VALUE!</v>
      </c>
      <c r="BV20" s="15" t="e">
        <f t="shared" si="23"/>
        <v>#VALUE!</v>
      </c>
      <c r="BW20" s="16" t="e">
        <f t="shared" si="23"/>
        <v>#VALUE!</v>
      </c>
      <c r="BX20" s="13" t="e">
        <f t="shared" si="24"/>
        <v>#VALUE!</v>
      </c>
      <c r="BY20" s="14" t="e">
        <f t="shared" si="24"/>
        <v>#VALUE!</v>
      </c>
      <c r="BZ20" s="14" t="e">
        <f t="shared" si="24"/>
        <v>#VALUE!</v>
      </c>
      <c r="CA20" s="14" t="e">
        <f t="shared" si="24"/>
        <v>#VALUE!</v>
      </c>
      <c r="CB20" s="14" t="e">
        <f t="shared" si="24"/>
        <v>#VALUE!</v>
      </c>
      <c r="CC20" s="15" t="e">
        <f t="shared" si="24"/>
        <v>#VALUE!</v>
      </c>
      <c r="CD20" s="16" t="e">
        <f t="shared" si="24"/>
        <v>#VALUE!</v>
      </c>
      <c r="CE20" s="13" t="e">
        <f t="shared" si="24"/>
        <v>#VALUE!</v>
      </c>
      <c r="CF20" s="14" t="e">
        <f t="shared" si="24"/>
        <v>#VALUE!</v>
      </c>
      <c r="CG20" s="14" t="e">
        <f t="shared" si="24"/>
        <v>#VALUE!</v>
      </c>
      <c r="CH20" s="14" t="e">
        <f t="shared" si="25"/>
        <v>#VALUE!</v>
      </c>
      <c r="CI20" s="14" t="e">
        <f t="shared" si="25"/>
        <v>#VALUE!</v>
      </c>
      <c r="CJ20" s="15" t="e">
        <f t="shared" si="25"/>
        <v>#VALUE!</v>
      </c>
      <c r="CK20" s="16" t="e">
        <f t="shared" si="25"/>
        <v>#VALUE!</v>
      </c>
      <c r="CL20" s="13" t="e">
        <f t="shared" si="25"/>
        <v>#VALUE!</v>
      </c>
      <c r="CM20" s="14" t="e">
        <f t="shared" si="25"/>
        <v>#VALUE!</v>
      </c>
      <c r="CN20" s="14" t="e">
        <f t="shared" si="25"/>
        <v>#VALUE!</v>
      </c>
      <c r="CO20" s="14" t="e">
        <f t="shared" si="25"/>
        <v>#VALUE!</v>
      </c>
      <c r="CP20" s="14" t="e">
        <f t="shared" si="25"/>
        <v>#VALUE!</v>
      </c>
      <c r="CQ20" s="15" t="e">
        <f t="shared" si="25"/>
        <v>#VALUE!</v>
      </c>
      <c r="CR20" s="16" t="e">
        <f t="shared" si="26"/>
        <v>#VALUE!</v>
      </c>
      <c r="CS20" s="13" t="e">
        <f t="shared" si="26"/>
        <v>#VALUE!</v>
      </c>
      <c r="CT20" s="14" t="e">
        <f t="shared" si="26"/>
        <v>#VALUE!</v>
      </c>
      <c r="CU20" s="14" t="e">
        <f t="shared" si="26"/>
        <v>#VALUE!</v>
      </c>
      <c r="CV20" s="14" t="e">
        <f t="shared" si="26"/>
        <v>#VALUE!</v>
      </c>
      <c r="CW20" s="14" t="e">
        <f t="shared" si="26"/>
        <v>#VALUE!</v>
      </c>
      <c r="CX20" s="15" t="e">
        <f t="shared" si="26"/>
        <v>#VALUE!</v>
      </c>
      <c r="CY20" s="16" t="e">
        <f t="shared" si="26"/>
        <v>#VALUE!</v>
      </c>
      <c r="CZ20" s="13" t="e">
        <f t="shared" si="26"/>
        <v>#VALUE!</v>
      </c>
      <c r="DA20" s="14" t="e">
        <f t="shared" si="26"/>
        <v>#VALUE!</v>
      </c>
      <c r="DB20" s="14" t="e">
        <f t="shared" si="27"/>
        <v>#VALUE!</v>
      </c>
      <c r="DC20" s="14" t="e">
        <f t="shared" si="27"/>
        <v>#VALUE!</v>
      </c>
      <c r="DD20" s="14" t="e">
        <f t="shared" si="27"/>
        <v>#VALUE!</v>
      </c>
      <c r="DE20" s="15" t="e">
        <f t="shared" si="27"/>
        <v>#VALUE!</v>
      </c>
      <c r="DF20" s="16" t="e">
        <f t="shared" si="27"/>
        <v>#VALUE!</v>
      </c>
      <c r="DG20" s="13" t="e">
        <f t="shared" si="27"/>
        <v>#VALUE!</v>
      </c>
      <c r="DH20" s="14" t="e">
        <f t="shared" si="27"/>
        <v>#VALUE!</v>
      </c>
      <c r="DI20" s="14" t="e">
        <f t="shared" si="27"/>
        <v>#VALUE!</v>
      </c>
      <c r="DJ20" s="14" t="e">
        <f t="shared" si="27"/>
        <v>#VALUE!</v>
      </c>
      <c r="DK20" s="14" t="e">
        <f t="shared" si="27"/>
        <v>#VALUE!</v>
      </c>
      <c r="DL20" s="15" t="e">
        <f t="shared" si="28"/>
        <v>#VALUE!</v>
      </c>
      <c r="DM20" s="16" t="e">
        <f t="shared" si="28"/>
        <v>#VALUE!</v>
      </c>
      <c r="DN20" s="13" t="e">
        <f t="shared" si="28"/>
        <v>#VALUE!</v>
      </c>
      <c r="DO20" s="14" t="e">
        <f t="shared" si="28"/>
        <v>#VALUE!</v>
      </c>
      <c r="DP20" s="14" t="e">
        <f t="shared" si="28"/>
        <v>#VALUE!</v>
      </c>
      <c r="DQ20" s="14" t="e">
        <f t="shared" si="28"/>
        <v>#VALUE!</v>
      </c>
      <c r="DR20" s="14" t="e">
        <f t="shared" si="28"/>
        <v>#VALUE!</v>
      </c>
      <c r="DS20" s="15" t="e">
        <f t="shared" si="28"/>
        <v>#VALUE!</v>
      </c>
      <c r="DT20" s="16" t="e">
        <f t="shared" si="28"/>
        <v>#VALUE!</v>
      </c>
    </row>
    <row r="21" spans="1:124" s="17" customFormat="1" ht="9.6" customHeight="1">
      <c r="A21" s="90"/>
      <c r="B21" s="24" t="str">
        <f>IF(B5=0,"","Transport to PFI")</f>
        <v>Transport to PFI</v>
      </c>
      <c r="C21" s="19" t="e">
        <f t="shared" si="16"/>
        <v>#VALUE!</v>
      </c>
      <c r="D21" s="19" t="str">
        <f>_xlfn.XLOOKUP(A25,'VTT actif'!B:B,'VTT actif'!AP:AP,"-",0)</f>
        <v>-</v>
      </c>
      <c r="E21" s="19" t="e">
        <f>C21-1+IF(D21="-",0,D21)</f>
        <v>#VALUE!</v>
      </c>
      <c r="F21" s="13" t="e">
        <f t="shared" si="17"/>
        <v>#VALUE!</v>
      </c>
      <c r="G21" s="14" t="e">
        <f t="shared" si="17"/>
        <v>#VALUE!</v>
      </c>
      <c r="H21" s="14" t="e">
        <f t="shared" si="17"/>
        <v>#VALUE!</v>
      </c>
      <c r="I21" s="14" t="e">
        <f t="shared" si="17"/>
        <v>#VALUE!</v>
      </c>
      <c r="J21" s="14" t="e">
        <f t="shared" si="17"/>
        <v>#VALUE!</v>
      </c>
      <c r="K21" s="15" t="e">
        <f t="shared" si="17"/>
        <v>#VALUE!</v>
      </c>
      <c r="L21" s="16" t="e">
        <f t="shared" si="17"/>
        <v>#VALUE!</v>
      </c>
      <c r="M21" s="13" t="e">
        <f t="shared" si="17"/>
        <v>#VALUE!</v>
      </c>
      <c r="N21" s="14" t="e">
        <f t="shared" si="17"/>
        <v>#VALUE!</v>
      </c>
      <c r="O21" s="14" t="e">
        <f t="shared" si="17"/>
        <v>#VALUE!</v>
      </c>
      <c r="P21" s="14" t="e">
        <f t="shared" si="18"/>
        <v>#VALUE!</v>
      </c>
      <c r="Q21" s="14" t="e">
        <f t="shared" si="18"/>
        <v>#VALUE!</v>
      </c>
      <c r="R21" s="15" t="e">
        <f t="shared" si="18"/>
        <v>#VALUE!</v>
      </c>
      <c r="S21" s="16" t="e">
        <f t="shared" si="18"/>
        <v>#VALUE!</v>
      </c>
      <c r="T21" s="13" t="e">
        <f t="shared" si="18"/>
        <v>#VALUE!</v>
      </c>
      <c r="U21" s="14" t="e">
        <f t="shared" si="18"/>
        <v>#VALUE!</v>
      </c>
      <c r="V21" s="14" t="e">
        <f t="shared" si="18"/>
        <v>#VALUE!</v>
      </c>
      <c r="W21" s="14" t="e">
        <f t="shared" si="18"/>
        <v>#VALUE!</v>
      </c>
      <c r="X21" s="14" t="e">
        <f t="shared" si="18"/>
        <v>#VALUE!</v>
      </c>
      <c r="Y21" s="15" t="e">
        <f t="shared" si="18"/>
        <v>#VALUE!</v>
      </c>
      <c r="Z21" s="16" t="e">
        <f t="shared" si="19"/>
        <v>#VALUE!</v>
      </c>
      <c r="AA21" s="13" t="e">
        <f t="shared" si="19"/>
        <v>#VALUE!</v>
      </c>
      <c r="AB21" s="14" t="e">
        <f t="shared" si="19"/>
        <v>#VALUE!</v>
      </c>
      <c r="AC21" s="14" t="e">
        <f t="shared" si="19"/>
        <v>#VALUE!</v>
      </c>
      <c r="AD21" s="14" t="e">
        <f t="shared" si="19"/>
        <v>#VALUE!</v>
      </c>
      <c r="AE21" s="14" t="e">
        <f t="shared" si="19"/>
        <v>#VALUE!</v>
      </c>
      <c r="AF21" s="15" t="e">
        <f t="shared" si="19"/>
        <v>#VALUE!</v>
      </c>
      <c r="AG21" s="16" t="e">
        <f t="shared" si="19"/>
        <v>#VALUE!</v>
      </c>
      <c r="AH21" s="13" t="e">
        <f t="shared" si="19"/>
        <v>#VALUE!</v>
      </c>
      <c r="AI21" s="14" t="e">
        <f t="shared" si="19"/>
        <v>#VALUE!</v>
      </c>
      <c r="AJ21" s="14" t="e">
        <f t="shared" si="20"/>
        <v>#VALUE!</v>
      </c>
      <c r="AK21" s="14" t="e">
        <f t="shared" si="20"/>
        <v>#VALUE!</v>
      </c>
      <c r="AL21" s="14" t="e">
        <f t="shared" si="20"/>
        <v>#VALUE!</v>
      </c>
      <c r="AM21" s="15" t="e">
        <f t="shared" si="20"/>
        <v>#VALUE!</v>
      </c>
      <c r="AN21" s="16" t="e">
        <f t="shared" si="20"/>
        <v>#VALUE!</v>
      </c>
      <c r="AO21" s="13" t="e">
        <f t="shared" si="20"/>
        <v>#VALUE!</v>
      </c>
      <c r="AP21" s="14" t="e">
        <f t="shared" si="20"/>
        <v>#VALUE!</v>
      </c>
      <c r="AQ21" s="14" t="e">
        <f t="shared" si="20"/>
        <v>#VALUE!</v>
      </c>
      <c r="AR21" s="14" t="e">
        <f t="shared" si="20"/>
        <v>#VALUE!</v>
      </c>
      <c r="AS21" s="14" t="e">
        <f t="shared" si="20"/>
        <v>#VALUE!</v>
      </c>
      <c r="AT21" s="15" t="e">
        <f t="shared" si="21"/>
        <v>#VALUE!</v>
      </c>
      <c r="AU21" s="16" t="e">
        <f t="shared" si="21"/>
        <v>#VALUE!</v>
      </c>
      <c r="AV21" s="13" t="e">
        <f t="shared" si="21"/>
        <v>#VALUE!</v>
      </c>
      <c r="AW21" s="14" t="e">
        <f t="shared" si="21"/>
        <v>#VALUE!</v>
      </c>
      <c r="AX21" s="14" t="e">
        <f t="shared" si="21"/>
        <v>#VALUE!</v>
      </c>
      <c r="AY21" s="14" t="e">
        <f t="shared" si="21"/>
        <v>#VALUE!</v>
      </c>
      <c r="AZ21" s="14" t="e">
        <f t="shared" si="21"/>
        <v>#VALUE!</v>
      </c>
      <c r="BA21" s="15" t="e">
        <f t="shared" si="21"/>
        <v>#VALUE!</v>
      </c>
      <c r="BB21" s="16" t="e">
        <f t="shared" si="21"/>
        <v>#VALUE!</v>
      </c>
      <c r="BC21" s="13" t="e">
        <f t="shared" si="21"/>
        <v>#VALUE!</v>
      </c>
      <c r="BD21" s="14" t="e">
        <f t="shared" si="22"/>
        <v>#VALUE!</v>
      </c>
      <c r="BE21" s="14" t="e">
        <f t="shared" si="22"/>
        <v>#VALUE!</v>
      </c>
      <c r="BF21" s="14" t="e">
        <f t="shared" si="22"/>
        <v>#VALUE!</v>
      </c>
      <c r="BG21" s="14" t="e">
        <f t="shared" si="22"/>
        <v>#VALUE!</v>
      </c>
      <c r="BH21" s="15" t="e">
        <f t="shared" si="22"/>
        <v>#VALUE!</v>
      </c>
      <c r="BI21" s="16" t="e">
        <f t="shared" si="22"/>
        <v>#VALUE!</v>
      </c>
      <c r="BJ21" s="13" t="e">
        <f t="shared" si="22"/>
        <v>#VALUE!</v>
      </c>
      <c r="BK21" s="14" t="e">
        <f t="shared" si="22"/>
        <v>#VALUE!</v>
      </c>
      <c r="BL21" s="14" t="e">
        <f t="shared" si="22"/>
        <v>#VALUE!</v>
      </c>
      <c r="BM21" s="14" t="e">
        <f t="shared" si="22"/>
        <v>#VALUE!</v>
      </c>
      <c r="BN21" s="14" t="e">
        <f t="shared" si="23"/>
        <v>#VALUE!</v>
      </c>
      <c r="BO21" s="15" t="e">
        <f t="shared" si="23"/>
        <v>#VALUE!</v>
      </c>
      <c r="BP21" s="16" t="e">
        <f t="shared" si="23"/>
        <v>#VALUE!</v>
      </c>
      <c r="BQ21" s="13" t="e">
        <f t="shared" si="23"/>
        <v>#VALUE!</v>
      </c>
      <c r="BR21" s="14" t="e">
        <f t="shared" si="23"/>
        <v>#VALUE!</v>
      </c>
      <c r="BS21" s="14" t="e">
        <f t="shared" si="23"/>
        <v>#VALUE!</v>
      </c>
      <c r="BT21" s="14" t="e">
        <f t="shared" si="23"/>
        <v>#VALUE!</v>
      </c>
      <c r="BU21" s="14" t="e">
        <f t="shared" si="23"/>
        <v>#VALUE!</v>
      </c>
      <c r="BV21" s="15" t="e">
        <f t="shared" si="23"/>
        <v>#VALUE!</v>
      </c>
      <c r="BW21" s="16" t="e">
        <f t="shared" si="23"/>
        <v>#VALUE!</v>
      </c>
      <c r="BX21" s="13" t="e">
        <f t="shared" si="24"/>
        <v>#VALUE!</v>
      </c>
      <c r="BY21" s="14" t="e">
        <f t="shared" si="24"/>
        <v>#VALUE!</v>
      </c>
      <c r="BZ21" s="14" t="e">
        <f t="shared" si="24"/>
        <v>#VALUE!</v>
      </c>
      <c r="CA21" s="14" t="e">
        <f t="shared" si="24"/>
        <v>#VALUE!</v>
      </c>
      <c r="CB21" s="14" t="e">
        <f t="shared" si="24"/>
        <v>#VALUE!</v>
      </c>
      <c r="CC21" s="15" t="e">
        <f t="shared" si="24"/>
        <v>#VALUE!</v>
      </c>
      <c r="CD21" s="16" t="e">
        <f t="shared" si="24"/>
        <v>#VALUE!</v>
      </c>
      <c r="CE21" s="13" t="e">
        <f t="shared" si="24"/>
        <v>#VALUE!</v>
      </c>
      <c r="CF21" s="14" t="e">
        <f t="shared" si="24"/>
        <v>#VALUE!</v>
      </c>
      <c r="CG21" s="14" t="e">
        <f t="shared" si="24"/>
        <v>#VALUE!</v>
      </c>
      <c r="CH21" s="14" t="e">
        <f t="shared" si="25"/>
        <v>#VALUE!</v>
      </c>
      <c r="CI21" s="14" t="e">
        <f t="shared" si="25"/>
        <v>#VALUE!</v>
      </c>
      <c r="CJ21" s="15" t="e">
        <f t="shared" si="25"/>
        <v>#VALUE!</v>
      </c>
      <c r="CK21" s="16" t="e">
        <f t="shared" si="25"/>
        <v>#VALUE!</v>
      </c>
      <c r="CL21" s="13" t="e">
        <f t="shared" si="25"/>
        <v>#VALUE!</v>
      </c>
      <c r="CM21" s="14" t="e">
        <f t="shared" si="25"/>
        <v>#VALUE!</v>
      </c>
      <c r="CN21" s="14" t="e">
        <f t="shared" si="25"/>
        <v>#VALUE!</v>
      </c>
      <c r="CO21" s="14" t="e">
        <f t="shared" si="25"/>
        <v>#VALUE!</v>
      </c>
      <c r="CP21" s="14" t="e">
        <f t="shared" si="25"/>
        <v>#VALUE!</v>
      </c>
      <c r="CQ21" s="15" t="e">
        <f t="shared" si="25"/>
        <v>#VALUE!</v>
      </c>
      <c r="CR21" s="16" t="e">
        <f t="shared" si="26"/>
        <v>#VALUE!</v>
      </c>
      <c r="CS21" s="13" t="e">
        <f t="shared" si="26"/>
        <v>#VALUE!</v>
      </c>
      <c r="CT21" s="14" t="e">
        <f t="shared" si="26"/>
        <v>#VALUE!</v>
      </c>
      <c r="CU21" s="14" t="e">
        <f t="shared" si="26"/>
        <v>#VALUE!</v>
      </c>
      <c r="CV21" s="14" t="e">
        <f t="shared" si="26"/>
        <v>#VALUE!</v>
      </c>
      <c r="CW21" s="14" t="e">
        <f t="shared" si="26"/>
        <v>#VALUE!</v>
      </c>
      <c r="CX21" s="15" t="e">
        <f t="shared" si="26"/>
        <v>#VALUE!</v>
      </c>
      <c r="CY21" s="16" t="e">
        <f t="shared" si="26"/>
        <v>#VALUE!</v>
      </c>
      <c r="CZ21" s="13" t="e">
        <f t="shared" si="26"/>
        <v>#VALUE!</v>
      </c>
      <c r="DA21" s="14" t="e">
        <f t="shared" si="26"/>
        <v>#VALUE!</v>
      </c>
      <c r="DB21" s="14" t="e">
        <f t="shared" si="27"/>
        <v>#VALUE!</v>
      </c>
      <c r="DC21" s="14" t="e">
        <f t="shared" si="27"/>
        <v>#VALUE!</v>
      </c>
      <c r="DD21" s="14" t="e">
        <f t="shared" si="27"/>
        <v>#VALUE!</v>
      </c>
      <c r="DE21" s="15" t="e">
        <f t="shared" si="27"/>
        <v>#VALUE!</v>
      </c>
      <c r="DF21" s="16" t="e">
        <f t="shared" si="27"/>
        <v>#VALUE!</v>
      </c>
      <c r="DG21" s="13" t="e">
        <f t="shared" si="27"/>
        <v>#VALUE!</v>
      </c>
      <c r="DH21" s="14" t="e">
        <f t="shared" si="27"/>
        <v>#VALUE!</v>
      </c>
      <c r="DI21" s="14" t="e">
        <f t="shared" si="27"/>
        <v>#VALUE!</v>
      </c>
      <c r="DJ21" s="14" t="e">
        <f t="shared" si="27"/>
        <v>#VALUE!</v>
      </c>
      <c r="DK21" s="14" t="e">
        <f t="shared" si="27"/>
        <v>#VALUE!</v>
      </c>
      <c r="DL21" s="15" t="e">
        <f t="shared" si="28"/>
        <v>#VALUE!</v>
      </c>
      <c r="DM21" s="16" t="e">
        <f t="shared" si="28"/>
        <v>#VALUE!</v>
      </c>
      <c r="DN21" s="13" t="e">
        <f t="shared" si="28"/>
        <v>#VALUE!</v>
      </c>
      <c r="DO21" s="14" t="e">
        <f t="shared" si="28"/>
        <v>#VALUE!</v>
      </c>
      <c r="DP21" s="14" t="e">
        <f t="shared" si="28"/>
        <v>#VALUE!</v>
      </c>
      <c r="DQ21" s="14" t="e">
        <f t="shared" si="28"/>
        <v>#VALUE!</v>
      </c>
      <c r="DR21" s="14" t="e">
        <f t="shared" si="28"/>
        <v>#VALUE!</v>
      </c>
      <c r="DS21" s="15" t="e">
        <f t="shared" si="28"/>
        <v>#VALUE!</v>
      </c>
      <c r="DT21" s="16" t="e">
        <f t="shared" si="28"/>
        <v>#VALUE!</v>
      </c>
    </row>
    <row r="22" spans="1:124" s="17" customFormat="1" ht="9.6" customHeight="1">
      <c r="A22" s="25" t="s">
        <v>51</v>
      </c>
      <c r="B22" s="24" t="s">
        <v>52</v>
      </c>
      <c r="C22" s="19" t="e">
        <f t="shared" si="16"/>
        <v>#VALUE!</v>
      </c>
      <c r="D22" s="19" t="str">
        <f>_xlfn.XLOOKUP(A25,'VTT actif'!B:B,'VTT actif'!AQ:AQ,"-",0)</f>
        <v>-</v>
      </c>
      <c r="E22" s="19" t="e">
        <f>C22-1+D22</f>
        <v>#VALUE!</v>
      </c>
      <c r="F22" s="13" t="e">
        <f t="shared" si="17"/>
        <v>#VALUE!</v>
      </c>
      <c r="G22" s="14" t="e">
        <f t="shared" si="17"/>
        <v>#VALUE!</v>
      </c>
      <c r="H22" s="14" t="e">
        <f t="shared" si="17"/>
        <v>#VALUE!</v>
      </c>
      <c r="I22" s="14" t="e">
        <f t="shared" si="17"/>
        <v>#VALUE!</v>
      </c>
      <c r="J22" s="14" t="e">
        <f t="shared" si="17"/>
        <v>#VALUE!</v>
      </c>
      <c r="K22" s="15" t="e">
        <f t="shared" si="17"/>
        <v>#VALUE!</v>
      </c>
      <c r="L22" s="16" t="e">
        <f t="shared" si="17"/>
        <v>#VALUE!</v>
      </c>
      <c r="M22" s="13" t="e">
        <f t="shared" si="17"/>
        <v>#VALUE!</v>
      </c>
      <c r="N22" s="14" t="e">
        <f t="shared" si="17"/>
        <v>#VALUE!</v>
      </c>
      <c r="O22" s="14" t="e">
        <f t="shared" si="17"/>
        <v>#VALUE!</v>
      </c>
      <c r="P22" s="14" t="e">
        <f t="shared" si="18"/>
        <v>#VALUE!</v>
      </c>
      <c r="Q22" s="14" t="e">
        <f t="shared" si="18"/>
        <v>#VALUE!</v>
      </c>
      <c r="R22" s="15" t="e">
        <f t="shared" si="18"/>
        <v>#VALUE!</v>
      </c>
      <c r="S22" s="16" t="e">
        <f t="shared" si="18"/>
        <v>#VALUE!</v>
      </c>
      <c r="T22" s="13" t="e">
        <f t="shared" si="18"/>
        <v>#VALUE!</v>
      </c>
      <c r="U22" s="14" t="e">
        <f t="shared" si="18"/>
        <v>#VALUE!</v>
      </c>
      <c r="V22" s="14" t="e">
        <f t="shared" si="18"/>
        <v>#VALUE!</v>
      </c>
      <c r="W22" s="14" t="e">
        <f t="shared" si="18"/>
        <v>#VALUE!</v>
      </c>
      <c r="X22" s="14" t="e">
        <f t="shared" si="18"/>
        <v>#VALUE!</v>
      </c>
      <c r="Y22" s="15" t="e">
        <f t="shared" si="18"/>
        <v>#VALUE!</v>
      </c>
      <c r="Z22" s="16" t="e">
        <f t="shared" si="19"/>
        <v>#VALUE!</v>
      </c>
      <c r="AA22" s="13" t="e">
        <f t="shared" si="19"/>
        <v>#VALUE!</v>
      </c>
      <c r="AB22" s="14" t="e">
        <f t="shared" si="19"/>
        <v>#VALUE!</v>
      </c>
      <c r="AC22" s="14" t="e">
        <f t="shared" si="19"/>
        <v>#VALUE!</v>
      </c>
      <c r="AD22" s="14" t="e">
        <f t="shared" si="19"/>
        <v>#VALUE!</v>
      </c>
      <c r="AE22" s="14" t="e">
        <f t="shared" si="19"/>
        <v>#VALUE!</v>
      </c>
      <c r="AF22" s="15" t="e">
        <f t="shared" si="19"/>
        <v>#VALUE!</v>
      </c>
      <c r="AG22" s="16" t="e">
        <f t="shared" si="19"/>
        <v>#VALUE!</v>
      </c>
      <c r="AH22" s="13" t="e">
        <f t="shared" si="19"/>
        <v>#VALUE!</v>
      </c>
      <c r="AI22" s="14" t="e">
        <f t="shared" si="19"/>
        <v>#VALUE!</v>
      </c>
      <c r="AJ22" s="14" t="e">
        <f t="shared" si="20"/>
        <v>#VALUE!</v>
      </c>
      <c r="AK22" s="14" t="e">
        <f t="shared" si="20"/>
        <v>#VALUE!</v>
      </c>
      <c r="AL22" s="14" t="e">
        <f t="shared" si="20"/>
        <v>#VALUE!</v>
      </c>
      <c r="AM22" s="15" t="e">
        <f t="shared" si="20"/>
        <v>#VALUE!</v>
      </c>
      <c r="AN22" s="16" t="e">
        <f t="shared" si="20"/>
        <v>#VALUE!</v>
      </c>
      <c r="AO22" s="13" t="e">
        <f t="shared" si="20"/>
        <v>#VALUE!</v>
      </c>
      <c r="AP22" s="14" t="e">
        <f t="shared" si="20"/>
        <v>#VALUE!</v>
      </c>
      <c r="AQ22" s="14" t="e">
        <f t="shared" si="20"/>
        <v>#VALUE!</v>
      </c>
      <c r="AR22" s="14" t="e">
        <f t="shared" si="20"/>
        <v>#VALUE!</v>
      </c>
      <c r="AS22" s="14" t="e">
        <f t="shared" si="20"/>
        <v>#VALUE!</v>
      </c>
      <c r="AT22" s="15" t="e">
        <f t="shared" si="21"/>
        <v>#VALUE!</v>
      </c>
      <c r="AU22" s="16" t="e">
        <f t="shared" si="21"/>
        <v>#VALUE!</v>
      </c>
      <c r="AV22" s="13" t="e">
        <f t="shared" si="21"/>
        <v>#VALUE!</v>
      </c>
      <c r="AW22" s="14" t="e">
        <f t="shared" si="21"/>
        <v>#VALUE!</v>
      </c>
      <c r="AX22" s="14" t="e">
        <f t="shared" si="21"/>
        <v>#VALUE!</v>
      </c>
      <c r="AY22" s="14" t="e">
        <f t="shared" si="21"/>
        <v>#VALUE!</v>
      </c>
      <c r="AZ22" s="14" t="e">
        <f t="shared" si="21"/>
        <v>#VALUE!</v>
      </c>
      <c r="BA22" s="15" t="e">
        <f t="shared" si="21"/>
        <v>#VALUE!</v>
      </c>
      <c r="BB22" s="16" t="e">
        <f t="shared" si="21"/>
        <v>#VALUE!</v>
      </c>
      <c r="BC22" s="13" t="e">
        <f t="shared" si="21"/>
        <v>#VALUE!</v>
      </c>
      <c r="BD22" s="14" t="e">
        <f t="shared" si="22"/>
        <v>#VALUE!</v>
      </c>
      <c r="BE22" s="14" t="e">
        <f t="shared" si="22"/>
        <v>#VALUE!</v>
      </c>
      <c r="BF22" s="14" t="e">
        <f t="shared" si="22"/>
        <v>#VALUE!</v>
      </c>
      <c r="BG22" s="14" t="e">
        <f t="shared" si="22"/>
        <v>#VALUE!</v>
      </c>
      <c r="BH22" s="15" t="e">
        <f t="shared" si="22"/>
        <v>#VALUE!</v>
      </c>
      <c r="BI22" s="16" t="e">
        <f t="shared" si="22"/>
        <v>#VALUE!</v>
      </c>
      <c r="BJ22" s="13" t="e">
        <f t="shared" si="22"/>
        <v>#VALUE!</v>
      </c>
      <c r="BK22" s="14" t="e">
        <f t="shared" si="22"/>
        <v>#VALUE!</v>
      </c>
      <c r="BL22" s="14" t="e">
        <f t="shared" si="22"/>
        <v>#VALUE!</v>
      </c>
      <c r="BM22" s="14" t="e">
        <f t="shared" si="22"/>
        <v>#VALUE!</v>
      </c>
      <c r="BN22" s="14" t="e">
        <f t="shared" si="23"/>
        <v>#VALUE!</v>
      </c>
      <c r="BO22" s="15" t="e">
        <f t="shared" si="23"/>
        <v>#VALUE!</v>
      </c>
      <c r="BP22" s="16" t="e">
        <f t="shared" si="23"/>
        <v>#VALUE!</v>
      </c>
      <c r="BQ22" s="13" t="e">
        <f t="shared" si="23"/>
        <v>#VALUE!</v>
      </c>
      <c r="BR22" s="14" t="e">
        <f t="shared" si="23"/>
        <v>#VALUE!</v>
      </c>
      <c r="BS22" s="14" t="e">
        <f t="shared" si="23"/>
        <v>#VALUE!</v>
      </c>
      <c r="BT22" s="14" t="e">
        <f t="shared" si="23"/>
        <v>#VALUE!</v>
      </c>
      <c r="BU22" s="14" t="e">
        <f t="shared" si="23"/>
        <v>#VALUE!</v>
      </c>
      <c r="BV22" s="15" t="e">
        <f t="shared" si="23"/>
        <v>#VALUE!</v>
      </c>
      <c r="BW22" s="16" t="e">
        <f t="shared" si="23"/>
        <v>#VALUE!</v>
      </c>
      <c r="BX22" s="13" t="e">
        <f t="shared" si="24"/>
        <v>#VALUE!</v>
      </c>
      <c r="BY22" s="14" t="e">
        <f t="shared" si="24"/>
        <v>#VALUE!</v>
      </c>
      <c r="BZ22" s="14" t="e">
        <f t="shared" si="24"/>
        <v>#VALUE!</v>
      </c>
      <c r="CA22" s="14" t="e">
        <f t="shared" si="24"/>
        <v>#VALUE!</v>
      </c>
      <c r="CB22" s="14" t="e">
        <f t="shared" si="24"/>
        <v>#VALUE!</v>
      </c>
      <c r="CC22" s="15" t="e">
        <f t="shared" si="24"/>
        <v>#VALUE!</v>
      </c>
      <c r="CD22" s="16" t="e">
        <f t="shared" si="24"/>
        <v>#VALUE!</v>
      </c>
      <c r="CE22" s="13" t="e">
        <f t="shared" si="24"/>
        <v>#VALUE!</v>
      </c>
      <c r="CF22" s="14" t="e">
        <f t="shared" si="24"/>
        <v>#VALUE!</v>
      </c>
      <c r="CG22" s="14" t="e">
        <f t="shared" si="24"/>
        <v>#VALUE!</v>
      </c>
      <c r="CH22" s="14" t="e">
        <f t="shared" si="25"/>
        <v>#VALUE!</v>
      </c>
      <c r="CI22" s="14" t="e">
        <f t="shared" si="25"/>
        <v>#VALUE!</v>
      </c>
      <c r="CJ22" s="15" t="e">
        <f t="shared" si="25"/>
        <v>#VALUE!</v>
      </c>
      <c r="CK22" s="16" t="e">
        <f t="shared" si="25"/>
        <v>#VALUE!</v>
      </c>
      <c r="CL22" s="13" t="e">
        <f t="shared" si="25"/>
        <v>#VALUE!</v>
      </c>
      <c r="CM22" s="14" t="e">
        <f t="shared" si="25"/>
        <v>#VALUE!</v>
      </c>
      <c r="CN22" s="14" t="e">
        <f t="shared" si="25"/>
        <v>#VALUE!</v>
      </c>
      <c r="CO22" s="14" t="e">
        <f t="shared" si="25"/>
        <v>#VALUE!</v>
      </c>
      <c r="CP22" s="14" t="e">
        <f t="shared" si="25"/>
        <v>#VALUE!</v>
      </c>
      <c r="CQ22" s="15" t="e">
        <f t="shared" si="25"/>
        <v>#VALUE!</v>
      </c>
      <c r="CR22" s="16" t="e">
        <f t="shared" si="26"/>
        <v>#VALUE!</v>
      </c>
      <c r="CS22" s="13" t="e">
        <f t="shared" si="26"/>
        <v>#VALUE!</v>
      </c>
      <c r="CT22" s="14" t="e">
        <f t="shared" si="26"/>
        <v>#VALUE!</v>
      </c>
      <c r="CU22" s="14" t="e">
        <f t="shared" si="26"/>
        <v>#VALUE!</v>
      </c>
      <c r="CV22" s="14" t="e">
        <f t="shared" si="26"/>
        <v>#VALUE!</v>
      </c>
      <c r="CW22" s="14" t="e">
        <f t="shared" si="26"/>
        <v>#VALUE!</v>
      </c>
      <c r="CX22" s="15" t="e">
        <f t="shared" si="26"/>
        <v>#VALUE!</v>
      </c>
      <c r="CY22" s="16" t="e">
        <f t="shared" si="26"/>
        <v>#VALUE!</v>
      </c>
      <c r="CZ22" s="13" t="e">
        <f t="shared" si="26"/>
        <v>#VALUE!</v>
      </c>
      <c r="DA22" s="14" t="e">
        <f t="shared" si="26"/>
        <v>#VALUE!</v>
      </c>
      <c r="DB22" s="14" t="e">
        <f t="shared" si="27"/>
        <v>#VALUE!</v>
      </c>
      <c r="DC22" s="14" t="e">
        <f t="shared" si="27"/>
        <v>#VALUE!</v>
      </c>
      <c r="DD22" s="14" t="e">
        <f t="shared" si="27"/>
        <v>#VALUE!</v>
      </c>
      <c r="DE22" s="15" t="e">
        <f t="shared" si="27"/>
        <v>#VALUE!</v>
      </c>
      <c r="DF22" s="16" t="e">
        <f t="shared" si="27"/>
        <v>#VALUE!</v>
      </c>
      <c r="DG22" s="13" t="e">
        <f t="shared" si="27"/>
        <v>#VALUE!</v>
      </c>
      <c r="DH22" s="14" t="e">
        <f t="shared" si="27"/>
        <v>#VALUE!</v>
      </c>
      <c r="DI22" s="14" t="e">
        <f t="shared" si="27"/>
        <v>#VALUE!</v>
      </c>
      <c r="DJ22" s="14" t="e">
        <f t="shared" si="27"/>
        <v>#VALUE!</v>
      </c>
      <c r="DK22" s="14" t="e">
        <f t="shared" si="27"/>
        <v>#VALUE!</v>
      </c>
      <c r="DL22" s="15" t="e">
        <f t="shared" si="28"/>
        <v>#VALUE!</v>
      </c>
      <c r="DM22" s="16" t="e">
        <f t="shared" si="28"/>
        <v>#VALUE!</v>
      </c>
      <c r="DN22" s="13" t="e">
        <f t="shared" si="28"/>
        <v>#VALUE!</v>
      </c>
      <c r="DO22" s="14" t="e">
        <f t="shared" si="28"/>
        <v>#VALUE!</v>
      </c>
      <c r="DP22" s="14" t="e">
        <f t="shared" si="28"/>
        <v>#VALUE!</v>
      </c>
      <c r="DQ22" s="14" t="e">
        <f t="shared" si="28"/>
        <v>#VALUE!</v>
      </c>
      <c r="DR22" s="14" t="e">
        <f t="shared" si="28"/>
        <v>#VALUE!</v>
      </c>
      <c r="DS22" s="15" t="e">
        <f t="shared" si="28"/>
        <v>#VALUE!</v>
      </c>
      <c r="DT22" s="16" t="e">
        <f t="shared" si="28"/>
        <v>#VALUE!</v>
      </c>
    </row>
    <row r="23" spans="1:124" s="17" customFormat="1" ht="9.6" customHeight="1">
      <c r="A23" s="27" t="e">
        <f ca="1">IFERROR(VLOOKUP(_xlfn.CONCAT(B7,"-","Actif"),'DATA BTO'!A:D,3,FALSE),VLOOKUP(_xlfn.CONCAT(B7,"-","Inactif"),'DATA BTO'!A:D,3,FALSE))</f>
        <v>#N/A</v>
      </c>
      <c r="B23" s="26" t="s">
        <v>53</v>
      </c>
      <c r="C23" s="19" t="e">
        <f t="shared" si="16"/>
        <v>#VALUE!</v>
      </c>
      <c r="D23" s="19" t="str">
        <f>_xlfn.XLOOKUP(A25,'VTT actif'!B:B,'VTT actif'!AR:AR,"-",0)</f>
        <v>-</v>
      </c>
      <c r="E23" s="19" t="e">
        <f>C23+D23-1</f>
        <v>#VALUE!</v>
      </c>
      <c r="F23" s="13" t="e">
        <f t="shared" si="17"/>
        <v>#VALUE!</v>
      </c>
      <c r="G23" s="14" t="e">
        <f t="shared" si="17"/>
        <v>#VALUE!</v>
      </c>
      <c r="H23" s="14" t="e">
        <f t="shared" si="17"/>
        <v>#VALUE!</v>
      </c>
      <c r="I23" s="14" t="e">
        <f t="shared" si="17"/>
        <v>#VALUE!</v>
      </c>
      <c r="J23" s="14" t="e">
        <f t="shared" si="17"/>
        <v>#VALUE!</v>
      </c>
      <c r="K23" s="15" t="e">
        <f t="shared" si="17"/>
        <v>#VALUE!</v>
      </c>
      <c r="L23" s="16" t="e">
        <f t="shared" si="17"/>
        <v>#VALUE!</v>
      </c>
      <c r="M23" s="13" t="e">
        <f t="shared" si="17"/>
        <v>#VALUE!</v>
      </c>
      <c r="N23" s="14" t="e">
        <f t="shared" si="17"/>
        <v>#VALUE!</v>
      </c>
      <c r="O23" s="14" t="e">
        <f t="shared" si="17"/>
        <v>#VALUE!</v>
      </c>
      <c r="P23" s="14" t="e">
        <f t="shared" si="18"/>
        <v>#VALUE!</v>
      </c>
      <c r="Q23" s="14" t="e">
        <f t="shared" si="18"/>
        <v>#VALUE!</v>
      </c>
      <c r="R23" s="15" t="e">
        <f t="shared" si="18"/>
        <v>#VALUE!</v>
      </c>
      <c r="S23" s="16" t="e">
        <f t="shared" si="18"/>
        <v>#VALUE!</v>
      </c>
      <c r="T23" s="13" t="e">
        <f t="shared" si="18"/>
        <v>#VALUE!</v>
      </c>
      <c r="U23" s="14" t="e">
        <f t="shared" si="18"/>
        <v>#VALUE!</v>
      </c>
      <c r="V23" s="14" t="e">
        <f t="shared" si="18"/>
        <v>#VALUE!</v>
      </c>
      <c r="W23" s="14" t="e">
        <f t="shared" si="18"/>
        <v>#VALUE!</v>
      </c>
      <c r="X23" s="14" t="e">
        <f t="shared" si="18"/>
        <v>#VALUE!</v>
      </c>
      <c r="Y23" s="15" t="e">
        <f t="shared" si="18"/>
        <v>#VALUE!</v>
      </c>
      <c r="Z23" s="16" t="e">
        <f t="shared" si="19"/>
        <v>#VALUE!</v>
      </c>
      <c r="AA23" s="13" t="e">
        <f t="shared" si="19"/>
        <v>#VALUE!</v>
      </c>
      <c r="AB23" s="14" t="e">
        <f t="shared" si="19"/>
        <v>#VALUE!</v>
      </c>
      <c r="AC23" s="14" t="e">
        <f t="shared" si="19"/>
        <v>#VALUE!</v>
      </c>
      <c r="AD23" s="14" t="e">
        <f t="shared" si="19"/>
        <v>#VALUE!</v>
      </c>
      <c r="AE23" s="14" t="e">
        <f t="shared" si="19"/>
        <v>#VALUE!</v>
      </c>
      <c r="AF23" s="15" t="e">
        <f t="shared" si="19"/>
        <v>#VALUE!</v>
      </c>
      <c r="AG23" s="16" t="e">
        <f t="shared" si="19"/>
        <v>#VALUE!</v>
      </c>
      <c r="AH23" s="13" t="e">
        <f t="shared" si="19"/>
        <v>#VALUE!</v>
      </c>
      <c r="AI23" s="14" t="e">
        <f t="shared" si="19"/>
        <v>#VALUE!</v>
      </c>
      <c r="AJ23" s="14" t="e">
        <f t="shared" si="20"/>
        <v>#VALUE!</v>
      </c>
      <c r="AK23" s="14" t="e">
        <f t="shared" si="20"/>
        <v>#VALUE!</v>
      </c>
      <c r="AL23" s="14" t="e">
        <f t="shared" si="20"/>
        <v>#VALUE!</v>
      </c>
      <c r="AM23" s="15" t="e">
        <f t="shared" si="20"/>
        <v>#VALUE!</v>
      </c>
      <c r="AN23" s="16" t="e">
        <f t="shared" si="20"/>
        <v>#VALUE!</v>
      </c>
      <c r="AO23" s="13" t="e">
        <f t="shared" si="20"/>
        <v>#VALUE!</v>
      </c>
      <c r="AP23" s="14" t="e">
        <f t="shared" si="20"/>
        <v>#VALUE!</v>
      </c>
      <c r="AQ23" s="14" t="e">
        <f t="shared" si="20"/>
        <v>#VALUE!</v>
      </c>
      <c r="AR23" s="14" t="e">
        <f t="shared" si="20"/>
        <v>#VALUE!</v>
      </c>
      <c r="AS23" s="14" t="e">
        <f t="shared" si="20"/>
        <v>#VALUE!</v>
      </c>
      <c r="AT23" s="15" t="e">
        <f t="shared" si="21"/>
        <v>#VALUE!</v>
      </c>
      <c r="AU23" s="16" t="e">
        <f t="shared" si="21"/>
        <v>#VALUE!</v>
      </c>
      <c r="AV23" s="13" t="e">
        <f t="shared" si="21"/>
        <v>#VALUE!</v>
      </c>
      <c r="AW23" s="14" t="e">
        <f t="shared" si="21"/>
        <v>#VALUE!</v>
      </c>
      <c r="AX23" s="14" t="e">
        <f t="shared" si="21"/>
        <v>#VALUE!</v>
      </c>
      <c r="AY23" s="14" t="e">
        <f t="shared" si="21"/>
        <v>#VALUE!</v>
      </c>
      <c r="AZ23" s="14" t="e">
        <f t="shared" si="21"/>
        <v>#VALUE!</v>
      </c>
      <c r="BA23" s="15" t="e">
        <f t="shared" si="21"/>
        <v>#VALUE!</v>
      </c>
      <c r="BB23" s="16" t="e">
        <f t="shared" si="21"/>
        <v>#VALUE!</v>
      </c>
      <c r="BC23" s="13" t="e">
        <f t="shared" si="21"/>
        <v>#VALUE!</v>
      </c>
      <c r="BD23" s="14" t="e">
        <f t="shared" si="22"/>
        <v>#VALUE!</v>
      </c>
      <c r="BE23" s="14" t="e">
        <f t="shared" si="22"/>
        <v>#VALUE!</v>
      </c>
      <c r="BF23" s="14" t="e">
        <f t="shared" si="22"/>
        <v>#VALUE!</v>
      </c>
      <c r="BG23" s="14" t="e">
        <f t="shared" si="22"/>
        <v>#VALUE!</v>
      </c>
      <c r="BH23" s="15" t="e">
        <f t="shared" si="22"/>
        <v>#VALUE!</v>
      </c>
      <c r="BI23" s="16" t="e">
        <f t="shared" si="22"/>
        <v>#VALUE!</v>
      </c>
      <c r="BJ23" s="13" t="e">
        <f t="shared" si="22"/>
        <v>#VALUE!</v>
      </c>
      <c r="BK23" s="14" t="e">
        <f t="shared" si="22"/>
        <v>#VALUE!</v>
      </c>
      <c r="BL23" s="14" t="e">
        <f t="shared" si="22"/>
        <v>#VALUE!</v>
      </c>
      <c r="BM23" s="14" t="e">
        <f t="shared" si="22"/>
        <v>#VALUE!</v>
      </c>
      <c r="BN23" s="14" t="e">
        <f t="shared" si="23"/>
        <v>#VALUE!</v>
      </c>
      <c r="BO23" s="15" t="e">
        <f t="shared" si="23"/>
        <v>#VALUE!</v>
      </c>
      <c r="BP23" s="16" t="e">
        <f t="shared" si="23"/>
        <v>#VALUE!</v>
      </c>
      <c r="BQ23" s="13" t="e">
        <f t="shared" si="23"/>
        <v>#VALUE!</v>
      </c>
      <c r="BR23" s="14" t="e">
        <f t="shared" si="23"/>
        <v>#VALUE!</v>
      </c>
      <c r="BS23" s="14" t="e">
        <f t="shared" si="23"/>
        <v>#VALUE!</v>
      </c>
      <c r="BT23" s="14" t="e">
        <f t="shared" si="23"/>
        <v>#VALUE!</v>
      </c>
      <c r="BU23" s="14" t="e">
        <f t="shared" si="23"/>
        <v>#VALUE!</v>
      </c>
      <c r="BV23" s="15" t="e">
        <f t="shared" si="23"/>
        <v>#VALUE!</v>
      </c>
      <c r="BW23" s="16" t="e">
        <f t="shared" si="23"/>
        <v>#VALUE!</v>
      </c>
      <c r="BX23" s="13" t="e">
        <f t="shared" si="24"/>
        <v>#VALUE!</v>
      </c>
      <c r="BY23" s="14" t="e">
        <f t="shared" si="24"/>
        <v>#VALUE!</v>
      </c>
      <c r="BZ23" s="14" t="e">
        <f t="shared" si="24"/>
        <v>#VALUE!</v>
      </c>
      <c r="CA23" s="14" t="e">
        <f t="shared" si="24"/>
        <v>#VALUE!</v>
      </c>
      <c r="CB23" s="14" t="e">
        <f t="shared" si="24"/>
        <v>#VALUE!</v>
      </c>
      <c r="CC23" s="15" t="e">
        <f t="shared" si="24"/>
        <v>#VALUE!</v>
      </c>
      <c r="CD23" s="16" t="e">
        <f t="shared" si="24"/>
        <v>#VALUE!</v>
      </c>
      <c r="CE23" s="13" t="e">
        <f t="shared" si="24"/>
        <v>#VALUE!</v>
      </c>
      <c r="CF23" s="14" t="e">
        <f t="shared" si="24"/>
        <v>#VALUE!</v>
      </c>
      <c r="CG23" s="14" t="e">
        <f t="shared" si="24"/>
        <v>#VALUE!</v>
      </c>
      <c r="CH23" s="14" t="e">
        <f t="shared" si="25"/>
        <v>#VALUE!</v>
      </c>
      <c r="CI23" s="14" t="e">
        <f t="shared" si="25"/>
        <v>#VALUE!</v>
      </c>
      <c r="CJ23" s="15" t="e">
        <f t="shared" si="25"/>
        <v>#VALUE!</v>
      </c>
      <c r="CK23" s="16" t="e">
        <f t="shared" si="25"/>
        <v>#VALUE!</v>
      </c>
      <c r="CL23" s="13" t="e">
        <f t="shared" si="25"/>
        <v>#VALUE!</v>
      </c>
      <c r="CM23" s="14" t="e">
        <f t="shared" si="25"/>
        <v>#VALUE!</v>
      </c>
      <c r="CN23" s="14" t="e">
        <f t="shared" si="25"/>
        <v>#VALUE!</v>
      </c>
      <c r="CO23" s="14" t="e">
        <f t="shared" si="25"/>
        <v>#VALUE!</v>
      </c>
      <c r="CP23" s="14" t="e">
        <f t="shared" si="25"/>
        <v>#VALUE!</v>
      </c>
      <c r="CQ23" s="15" t="e">
        <f t="shared" si="25"/>
        <v>#VALUE!</v>
      </c>
      <c r="CR23" s="16" t="e">
        <f t="shared" si="26"/>
        <v>#VALUE!</v>
      </c>
      <c r="CS23" s="13" t="e">
        <f t="shared" si="26"/>
        <v>#VALUE!</v>
      </c>
      <c r="CT23" s="14" t="e">
        <f t="shared" si="26"/>
        <v>#VALUE!</v>
      </c>
      <c r="CU23" s="14" t="e">
        <f t="shared" si="26"/>
        <v>#VALUE!</v>
      </c>
      <c r="CV23" s="14" t="e">
        <f t="shared" si="26"/>
        <v>#VALUE!</v>
      </c>
      <c r="CW23" s="14" t="e">
        <f t="shared" si="26"/>
        <v>#VALUE!</v>
      </c>
      <c r="CX23" s="15" t="e">
        <f t="shared" si="26"/>
        <v>#VALUE!</v>
      </c>
      <c r="CY23" s="16" t="e">
        <f t="shared" si="26"/>
        <v>#VALUE!</v>
      </c>
      <c r="CZ23" s="13" t="e">
        <f t="shared" si="26"/>
        <v>#VALUE!</v>
      </c>
      <c r="DA23" s="14" t="e">
        <f t="shared" si="26"/>
        <v>#VALUE!</v>
      </c>
      <c r="DB23" s="14" t="e">
        <f t="shared" si="27"/>
        <v>#VALUE!</v>
      </c>
      <c r="DC23" s="14" t="e">
        <f t="shared" si="27"/>
        <v>#VALUE!</v>
      </c>
      <c r="DD23" s="14" t="e">
        <f t="shared" si="27"/>
        <v>#VALUE!</v>
      </c>
      <c r="DE23" s="15" t="e">
        <f t="shared" si="27"/>
        <v>#VALUE!</v>
      </c>
      <c r="DF23" s="16" t="e">
        <f t="shared" si="27"/>
        <v>#VALUE!</v>
      </c>
      <c r="DG23" s="13" t="e">
        <f t="shared" si="27"/>
        <v>#VALUE!</v>
      </c>
      <c r="DH23" s="14" t="e">
        <f t="shared" si="27"/>
        <v>#VALUE!</v>
      </c>
      <c r="DI23" s="14" t="e">
        <f t="shared" si="27"/>
        <v>#VALUE!</v>
      </c>
      <c r="DJ23" s="14" t="e">
        <f t="shared" si="27"/>
        <v>#VALUE!</v>
      </c>
      <c r="DK23" s="14" t="e">
        <f t="shared" si="27"/>
        <v>#VALUE!</v>
      </c>
      <c r="DL23" s="15" t="e">
        <f t="shared" si="28"/>
        <v>#VALUE!</v>
      </c>
      <c r="DM23" s="16" t="e">
        <f t="shared" si="28"/>
        <v>#VALUE!</v>
      </c>
      <c r="DN23" s="13" t="e">
        <f t="shared" si="28"/>
        <v>#VALUE!</v>
      </c>
      <c r="DO23" s="14" t="e">
        <f t="shared" si="28"/>
        <v>#VALUE!</v>
      </c>
      <c r="DP23" s="14" t="e">
        <f t="shared" si="28"/>
        <v>#VALUE!</v>
      </c>
      <c r="DQ23" s="14" t="e">
        <f t="shared" si="28"/>
        <v>#VALUE!</v>
      </c>
      <c r="DR23" s="14" t="e">
        <f t="shared" si="28"/>
        <v>#VALUE!</v>
      </c>
      <c r="DS23" s="15" t="e">
        <f t="shared" si="28"/>
        <v>#VALUE!</v>
      </c>
      <c r="DT23" s="16" t="e">
        <f t="shared" si="28"/>
        <v>#VALUE!</v>
      </c>
    </row>
    <row r="24" spans="1:124" s="17" customFormat="1" ht="9.6" customHeight="1">
      <c r="A24" s="27" t="e">
        <f ca="1">IFERROR(VLOOKUP(_xlfn.CONCAT(B7,"-","Actif"),'DATA BTO'!A:D,4,FALSE),VLOOKUP(_xlfn.CONCAT(B7,"-","Inactif"),'DATA BTO'!A:D,4,FALSE))</f>
        <v>#N/A</v>
      </c>
      <c r="B24" s="28" t="s">
        <v>54</v>
      </c>
      <c r="C24" s="19" t="e">
        <f t="shared" si="16"/>
        <v>#VALUE!</v>
      </c>
      <c r="D24" s="20">
        <v>7</v>
      </c>
      <c r="E24" s="19" t="e">
        <f>(C24+D24)-1</f>
        <v>#VALUE!</v>
      </c>
      <c r="F24" s="13" t="e">
        <f t="shared" si="17"/>
        <v>#VALUE!</v>
      </c>
      <c r="G24" s="14" t="e">
        <f t="shared" si="17"/>
        <v>#VALUE!</v>
      </c>
      <c r="H24" s="14" t="e">
        <f t="shared" si="17"/>
        <v>#VALUE!</v>
      </c>
      <c r="I24" s="14" t="e">
        <f t="shared" si="17"/>
        <v>#VALUE!</v>
      </c>
      <c r="J24" s="14" t="e">
        <f t="shared" si="17"/>
        <v>#VALUE!</v>
      </c>
      <c r="K24" s="15" t="e">
        <f t="shared" si="17"/>
        <v>#VALUE!</v>
      </c>
      <c r="L24" s="16" t="e">
        <f t="shared" si="17"/>
        <v>#VALUE!</v>
      </c>
      <c r="M24" s="13" t="e">
        <f t="shared" si="17"/>
        <v>#VALUE!</v>
      </c>
      <c r="N24" s="14" t="e">
        <f t="shared" si="17"/>
        <v>#VALUE!</v>
      </c>
      <c r="O24" s="14" t="e">
        <f t="shared" si="17"/>
        <v>#VALUE!</v>
      </c>
      <c r="P24" s="14" t="e">
        <f t="shared" si="18"/>
        <v>#VALUE!</v>
      </c>
      <c r="Q24" s="14" t="e">
        <f t="shared" si="18"/>
        <v>#VALUE!</v>
      </c>
      <c r="R24" s="15" t="e">
        <f t="shared" si="18"/>
        <v>#VALUE!</v>
      </c>
      <c r="S24" s="16" t="e">
        <f t="shared" si="18"/>
        <v>#VALUE!</v>
      </c>
      <c r="T24" s="13" t="e">
        <f t="shared" si="18"/>
        <v>#VALUE!</v>
      </c>
      <c r="U24" s="14" t="e">
        <f t="shared" si="18"/>
        <v>#VALUE!</v>
      </c>
      <c r="V24" s="14" t="e">
        <f t="shared" si="18"/>
        <v>#VALUE!</v>
      </c>
      <c r="W24" s="14" t="e">
        <f t="shared" si="18"/>
        <v>#VALUE!</v>
      </c>
      <c r="X24" s="14" t="e">
        <f t="shared" si="18"/>
        <v>#VALUE!</v>
      </c>
      <c r="Y24" s="15" t="e">
        <f t="shared" si="18"/>
        <v>#VALUE!</v>
      </c>
      <c r="Z24" s="16" t="e">
        <f t="shared" si="19"/>
        <v>#VALUE!</v>
      </c>
      <c r="AA24" s="13" t="e">
        <f t="shared" si="19"/>
        <v>#VALUE!</v>
      </c>
      <c r="AB24" s="14" t="e">
        <f t="shared" si="19"/>
        <v>#VALUE!</v>
      </c>
      <c r="AC24" s="14" t="e">
        <f t="shared" si="19"/>
        <v>#VALUE!</v>
      </c>
      <c r="AD24" s="14" t="e">
        <f t="shared" si="19"/>
        <v>#VALUE!</v>
      </c>
      <c r="AE24" s="14" t="e">
        <f t="shared" si="19"/>
        <v>#VALUE!</v>
      </c>
      <c r="AF24" s="15" t="e">
        <f t="shared" si="19"/>
        <v>#VALUE!</v>
      </c>
      <c r="AG24" s="16" t="e">
        <f t="shared" si="19"/>
        <v>#VALUE!</v>
      </c>
      <c r="AH24" s="13" t="e">
        <f t="shared" si="19"/>
        <v>#VALUE!</v>
      </c>
      <c r="AI24" s="14" t="e">
        <f t="shared" si="19"/>
        <v>#VALUE!</v>
      </c>
      <c r="AJ24" s="14" t="e">
        <f t="shared" si="20"/>
        <v>#VALUE!</v>
      </c>
      <c r="AK24" s="14" t="e">
        <f t="shared" si="20"/>
        <v>#VALUE!</v>
      </c>
      <c r="AL24" s="14" t="e">
        <f t="shared" si="20"/>
        <v>#VALUE!</v>
      </c>
      <c r="AM24" s="15" t="e">
        <f t="shared" si="20"/>
        <v>#VALUE!</v>
      </c>
      <c r="AN24" s="16" t="e">
        <f t="shared" si="20"/>
        <v>#VALUE!</v>
      </c>
      <c r="AO24" s="13" t="e">
        <f t="shared" si="20"/>
        <v>#VALUE!</v>
      </c>
      <c r="AP24" s="14" t="e">
        <f t="shared" si="20"/>
        <v>#VALUE!</v>
      </c>
      <c r="AQ24" s="14" t="e">
        <f t="shared" si="20"/>
        <v>#VALUE!</v>
      </c>
      <c r="AR24" s="14" t="e">
        <f t="shared" si="20"/>
        <v>#VALUE!</v>
      </c>
      <c r="AS24" s="14" t="e">
        <f t="shared" si="20"/>
        <v>#VALUE!</v>
      </c>
      <c r="AT24" s="15" t="e">
        <f t="shared" si="21"/>
        <v>#VALUE!</v>
      </c>
      <c r="AU24" s="16" t="e">
        <f t="shared" si="21"/>
        <v>#VALUE!</v>
      </c>
      <c r="AV24" s="13" t="e">
        <f t="shared" si="21"/>
        <v>#VALUE!</v>
      </c>
      <c r="AW24" s="14" t="e">
        <f t="shared" si="21"/>
        <v>#VALUE!</v>
      </c>
      <c r="AX24" s="14" t="e">
        <f t="shared" si="21"/>
        <v>#VALUE!</v>
      </c>
      <c r="AY24" s="14" t="e">
        <f t="shared" si="21"/>
        <v>#VALUE!</v>
      </c>
      <c r="AZ24" s="14" t="e">
        <f t="shared" si="21"/>
        <v>#VALUE!</v>
      </c>
      <c r="BA24" s="15" t="e">
        <f t="shared" si="21"/>
        <v>#VALUE!</v>
      </c>
      <c r="BB24" s="16" t="e">
        <f t="shared" si="21"/>
        <v>#VALUE!</v>
      </c>
      <c r="BC24" s="13" t="e">
        <f t="shared" si="21"/>
        <v>#VALUE!</v>
      </c>
      <c r="BD24" s="14" t="e">
        <f t="shared" si="22"/>
        <v>#VALUE!</v>
      </c>
      <c r="BE24" s="14" t="e">
        <f t="shared" si="22"/>
        <v>#VALUE!</v>
      </c>
      <c r="BF24" s="14" t="e">
        <f t="shared" si="22"/>
        <v>#VALUE!</v>
      </c>
      <c r="BG24" s="14" t="e">
        <f t="shared" si="22"/>
        <v>#VALUE!</v>
      </c>
      <c r="BH24" s="15" t="e">
        <f t="shared" si="22"/>
        <v>#VALUE!</v>
      </c>
      <c r="BI24" s="16" t="e">
        <f t="shared" si="22"/>
        <v>#VALUE!</v>
      </c>
      <c r="BJ24" s="13" t="e">
        <f t="shared" si="22"/>
        <v>#VALUE!</v>
      </c>
      <c r="BK24" s="14" t="e">
        <f t="shared" si="22"/>
        <v>#VALUE!</v>
      </c>
      <c r="BL24" s="14" t="e">
        <f t="shared" si="22"/>
        <v>#VALUE!</v>
      </c>
      <c r="BM24" s="14" t="e">
        <f t="shared" si="22"/>
        <v>#VALUE!</v>
      </c>
      <c r="BN24" s="14" t="e">
        <f t="shared" si="23"/>
        <v>#VALUE!</v>
      </c>
      <c r="BO24" s="15" t="e">
        <f t="shared" si="23"/>
        <v>#VALUE!</v>
      </c>
      <c r="BP24" s="16" t="e">
        <f t="shared" si="23"/>
        <v>#VALUE!</v>
      </c>
      <c r="BQ24" s="13" t="e">
        <f t="shared" si="23"/>
        <v>#VALUE!</v>
      </c>
      <c r="BR24" s="14" t="e">
        <f t="shared" si="23"/>
        <v>#VALUE!</v>
      </c>
      <c r="BS24" s="14" t="e">
        <f t="shared" si="23"/>
        <v>#VALUE!</v>
      </c>
      <c r="BT24" s="14" t="e">
        <f t="shared" si="23"/>
        <v>#VALUE!</v>
      </c>
      <c r="BU24" s="14" t="e">
        <f t="shared" si="23"/>
        <v>#VALUE!</v>
      </c>
      <c r="BV24" s="15" t="e">
        <f t="shared" si="23"/>
        <v>#VALUE!</v>
      </c>
      <c r="BW24" s="16" t="e">
        <f t="shared" si="23"/>
        <v>#VALUE!</v>
      </c>
      <c r="BX24" s="13" t="e">
        <f t="shared" si="24"/>
        <v>#VALUE!</v>
      </c>
      <c r="BY24" s="14" t="e">
        <f t="shared" si="24"/>
        <v>#VALUE!</v>
      </c>
      <c r="BZ24" s="14" t="e">
        <f t="shared" si="24"/>
        <v>#VALUE!</v>
      </c>
      <c r="CA24" s="14" t="e">
        <f t="shared" si="24"/>
        <v>#VALUE!</v>
      </c>
      <c r="CB24" s="14" t="e">
        <f t="shared" si="24"/>
        <v>#VALUE!</v>
      </c>
      <c r="CC24" s="15" t="e">
        <f t="shared" si="24"/>
        <v>#VALUE!</v>
      </c>
      <c r="CD24" s="16" t="e">
        <f t="shared" si="24"/>
        <v>#VALUE!</v>
      </c>
      <c r="CE24" s="13" t="e">
        <f t="shared" si="24"/>
        <v>#VALUE!</v>
      </c>
      <c r="CF24" s="14" t="e">
        <f t="shared" si="24"/>
        <v>#VALUE!</v>
      </c>
      <c r="CG24" s="14" t="e">
        <f t="shared" si="24"/>
        <v>#VALUE!</v>
      </c>
      <c r="CH24" s="14" t="e">
        <f t="shared" si="25"/>
        <v>#VALUE!</v>
      </c>
      <c r="CI24" s="14" t="e">
        <f t="shared" si="25"/>
        <v>#VALUE!</v>
      </c>
      <c r="CJ24" s="15" t="e">
        <f t="shared" si="25"/>
        <v>#VALUE!</v>
      </c>
      <c r="CK24" s="16" t="e">
        <f t="shared" si="25"/>
        <v>#VALUE!</v>
      </c>
      <c r="CL24" s="13" t="e">
        <f t="shared" si="25"/>
        <v>#VALUE!</v>
      </c>
      <c r="CM24" s="14" t="e">
        <f t="shared" si="25"/>
        <v>#VALUE!</v>
      </c>
      <c r="CN24" s="14" t="e">
        <f t="shared" si="25"/>
        <v>#VALUE!</v>
      </c>
      <c r="CO24" s="14" t="e">
        <f t="shared" si="25"/>
        <v>#VALUE!</v>
      </c>
      <c r="CP24" s="14" t="e">
        <f t="shared" si="25"/>
        <v>#VALUE!</v>
      </c>
      <c r="CQ24" s="15" t="e">
        <f t="shared" si="25"/>
        <v>#VALUE!</v>
      </c>
      <c r="CR24" s="16" t="e">
        <f t="shared" si="26"/>
        <v>#VALUE!</v>
      </c>
      <c r="CS24" s="13" t="e">
        <f t="shared" si="26"/>
        <v>#VALUE!</v>
      </c>
      <c r="CT24" s="14" t="e">
        <f t="shared" si="26"/>
        <v>#VALUE!</v>
      </c>
      <c r="CU24" s="14" t="e">
        <f t="shared" si="26"/>
        <v>#VALUE!</v>
      </c>
      <c r="CV24" s="14" t="e">
        <f t="shared" si="26"/>
        <v>#VALUE!</v>
      </c>
      <c r="CW24" s="14" t="e">
        <f t="shared" si="26"/>
        <v>#VALUE!</v>
      </c>
      <c r="CX24" s="15" t="e">
        <f t="shared" si="26"/>
        <v>#VALUE!</v>
      </c>
      <c r="CY24" s="16" t="e">
        <f t="shared" si="26"/>
        <v>#VALUE!</v>
      </c>
      <c r="CZ24" s="13" t="e">
        <f t="shared" si="26"/>
        <v>#VALUE!</v>
      </c>
      <c r="DA24" s="14" t="e">
        <f t="shared" si="26"/>
        <v>#VALUE!</v>
      </c>
      <c r="DB24" s="14" t="e">
        <f t="shared" si="27"/>
        <v>#VALUE!</v>
      </c>
      <c r="DC24" s="14" t="e">
        <f t="shared" si="27"/>
        <v>#VALUE!</v>
      </c>
      <c r="DD24" s="14" t="e">
        <f t="shared" si="27"/>
        <v>#VALUE!</v>
      </c>
      <c r="DE24" s="15" t="e">
        <f t="shared" si="27"/>
        <v>#VALUE!</v>
      </c>
      <c r="DF24" s="16" t="e">
        <f t="shared" si="27"/>
        <v>#VALUE!</v>
      </c>
      <c r="DG24" s="13" t="e">
        <f t="shared" si="27"/>
        <v>#VALUE!</v>
      </c>
      <c r="DH24" s="14" t="e">
        <f t="shared" si="27"/>
        <v>#VALUE!</v>
      </c>
      <c r="DI24" s="14" t="e">
        <f t="shared" si="27"/>
        <v>#VALUE!</v>
      </c>
      <c r="DJ24" s="14" t="e">
        <f t="shared" si="27"/>
        <v>#VALUE!</v>
      </c>
      <c r="DK24" s="14" t="e">
        <f t="shared" si="27"/>
        <v>#VALUE!</v>
      </c>
      <c r="DL24" s="15" t="e">
        <f t="shared" si="28"/>
        <v>#VALUE!</v>
      </c>
      <c r="DM24" s="16" t="e">
        <f t="shared" si="28"/>
        <v>#VALUE!</v>
      </c>
      <c r="DN24" s="13" t="e">
        <f t="shared" si="28"/>
        <v>#VALUE!</v>
      </c>
      <c r="DO24" s="14" t="e">
        <f t="shared" si="28"/>
        <v>#VALUE!</v>
      </c>
      <c r="DP24" s="14" t="e">
        <f t="shared" si="28"/>
        <v>#VALUE!</v>
      </c>
      <c r="DQ24" s="14" t="e">
        <f t="shared" si="28"/>
        <v>#VALUE!</v>
      </c>
      <c r="DR24" s="14" t="e">
        <f t="shared" si="28"/>
        <v>#VALUE!</v>
      </c>
      <c r="DS24" s="15" t="e">
        <f t="shared" si="28"/>
        <v>#VALUE!</v>
      </c>
      <c r="DT24" s="16" t="e">
        <f t="shared" si="28"/>
        <v>#VALUE!</v>
      </c>
    </row>
    <row r="25" spans="1:124" s="17" customFormat="1" ht="9.6" customHeight="1">
      <c r="A25" s="90" t="str">
        <f>_xlfn.CONCAT(B1,"-",B3,"-",B6)</f>
        <v>ILN FR-GETRAG    MODUG-RKM</v>
      </c>
      <c r="B25" s="28" t="s">
        <v>55</v>
      </c>
      <c r="C25" s="19" t="e">
        <f t="shared" si="16"/>
        <v>#VALUE!</v>
      </c>
      <c r="D25" s="20">
        <v>7</v>
      </c>
      <c r="E25" s="19" t="e">
        <f>(C25+D25)-1</f>
        <v>#VALUE!</v>
      </c>
      <c r="F25" s="13" t="e">
        <f t="shared" si="17"/>
        <v>#VALUE!</v>
      </c>
      <c r="G25" s="14" t="e">
        <f t="shared" si="17"/>
        <v>#VALUE!</v>
      </c>
      <c r="H25" s="14" t="e">
        <f t="shared" si="17"/>
        <v>#VALUE!</v>
      </c>
      <c r="I25" s="14" t="e">
        <f t="shared" si="17"/>
        <v>#VALUE!</v>
      </c>
      <c r="J25" s="14" t="e">
        <f t="shared" si="17"/>
        <v>#VALUE!</v>
      </c>
      <c r="K25" s="15" t="e">
        <f t="shared" si="17"/>
        <v>#VALUE!</v>
      </c>
      <c r="L25" s="16" t="e">
        <f t="shared" si="17"/>
        <v>#VALUE!</v>
      </c>
      <c r="M25" s="13" t="e">
        <f t="shared" si="17"/>
        <v>#VALUE!</v>
      </c>
      <c r="N25" s="14" t="e">
        <f t="shared" si="17"/>
        <v>#VALUE!</v>
      </c>
      <c r="O25" s="14" t="e">
        <f t="shared" si="17"/>
        <v>#VALUE!</v>
      </c>
      <c r="P25" s="14" t="e">
        <f t="shared" si="18"/>
        <v>#VALUE!</v>
      </c>
      <c r="Q25" s="14" t="e">
        <f t="shared" si="18"/>
        <v>#VALUE!</v>
      </c>
      <c r="R25" s="15" t="e">
        <f t="shared" si="18"/>
        <v>#VALUE!</v>
      </c>
      <c r="S25" s="16" t="e">
        <f t="shared" si="18"/>
        <v>#VALUE!</v>
      </c>
      <c r="T25" s="13" t="e">
        <f t="shared" si="18"/>
        <v>#VALUE!</v>
      </c>
      <c r="U25" s="14" t="e">
        <f t="shared" si="18"/>
        <v>#VALUE!</v>
      </c>
      <c r="V25" s="14" t="e">
        <f t="shared" si="18"/>
        <v>#VALUE!</v>
      </c>
      <c r="W25" s="14" t="e">
        <f t="shared" si="18"/>
        <v>#VALUE!</v>
      </c>
      <c r="X25" s="14" t="e">
        <f t="shared" si="18"/>
        <v>#VALUE!</v>
      </c>
      <c r="Y25" s="15" t="e">
        <f t="shared" si="18"/>
        <v>#VALUE!</v>
      </c>
      <c r="Z25" s="16" t="e">
        <f t="shared" si="19"/>
        <v>#VALUE!</v>
      </c>
      <c r="AA25" s="13" t="e">
        <f t="shared" si="19"/>
        <v>#VALUE!</v>
      </c>
      <c r="AB25" s="14" t="e">
        <f t="shared" si="19"/>
        <v>#VALUE!</v>
      </c>
      <c r="AC25" s="14" t="e">
        <f t="shared" si="19"/>
        <v>#VALUE!</v>
      </c>
      <c r="AD25" s="14" t="e">
        <f t="shared" si="19"/>
        <v>#VALUE!</v>
      </c>
      <c r="AE25" s="14" t="e">
        <f t="shared" si="19"/>
        <v>#VALUE!</v>
      </c>
      <c r="AF25" s="15" t="e">
        <f t="shared" si="19"/>
        <v>#VALUE!</v>
      </c>
      <c r="AG25" s="16" t="e">
        <f t="shared" si="19"/>
        <v>#VALUE!</v>
      </c>
      <c r="AH25" s="13" t="e">
        <f t="shared" si="19"/>
        <v>#VALUE!</v>
      </c>
      <c r="AI25" s="14" t="e">
        <f t="shared" si="19"/>
        <v>#VALUE!</v>
      </c>
      <c r="AJ25" s="14" t="e">
        <f t="shared" si="20"/>
        <v>#VALUE!</v>
      </c>
      <c r="AK25" s="14" t="e">
        <f t="shared" si="20"/>
        <v>#VALUE!</v>
      </c>
      <c r="AL25" s="14" t="e">
        <f t="shared" si="20"/>
        <v>#VALUE!</v>
      </c>
      <c r="AM25" s="15" t="e">
        <f t="shared" si="20"/>
        <v>#VALUE!</v>
      </c>
      <c r="AN25" s="16" t="e">
        <f t="shared" si="20"/>
        <v>#VALUE!</v>
      </c>
      <c r="AO25" s="13" t="e">
        <f t="shared" si="20"/>
        <v>#VALUE!</v>
      </c>
      <c r="AP25" s="14" t="e">
        <f t="shared" si="20"/>
        <v>#VALUE!</v>
      </c>
      <c r="AQ25" s="14" t="e">
        <f t="shared" si="20"/>
        <v>#VALUE!</v>
      </c>
      <c r="AR25" s="14" t="e">
        <f t="shared" si="20"/>
        <v>#VALUE!</v>
      </c>
      <c r="AS25" s="14" t="e">
        <f t="shared" si="20"/>
        <v>#VALUE!</v>
      </c>
      <c r="AT25" s="15" t="e">
        <f t="shared" si="21"/>
        <v>#VALUE!</v>
      </c>
      <c r="AU25" s="16" t="e">
        <f t="shared" si="21"/>
        <v>#VALUE!</v>
      </c>
      <c r="AV25" s="13" t="e">
        <f t="shared" si="21"/>
        <v>#VALUE!</v>
      </c>
      <c r="AW25" s="14" t="e">
        <f t="shared" si="21"/>
        <v>#VALUE!</v>
      </c>
      <c r="AX25" s="14" t="e">
        <f t="shared" si="21"/>
        <v>#VALUE!</v>
      </c>
      <c r="AY25" s="14" t="e">
        <f t="shared" si="21"/>
        <v>#VALUE!</v>
      </c>
      <c r="AZ25" s="14" t="e">
        <f t="shared" si="21"/>
        <v>#VALUE!</v>
      </c>
      <c r="BA25" s="15" t="e">
        <f t="shared" si="21"/>
        <v>#VALUE!</v>
      </c>
      <c r="BB25" s="16" t="e">
        <f t="shared" si="21"/>
        <v>#VALUE!</v>
      </c>
      <c r="BC25" s="13" t="e">
        <f t="shared" si="21"/>
        <v>#VALUE!</v>
      </c>
      <c r="BD25" s="14" t="e">
        <f t="shared" si="22"/>
        <v>#VALUE!</v>
      </c>
      <c r="BE25" s="14" t="e">
        <f t="shared" si="22"/>
        <v>#VALUE!</v>
      </c>
      <c r="BF25" s="14" t="e">
        <f t="shared" si="22"/>
        <v>#VALUE!</v>
      </c>
      <c r="BG25" s="14" t="e">
        <f t="shared" si="22"/>
        <v>#VALUE!</v>
      </c>
      <c r="BH25" s="15" t="e">
        <f t="shared" si="22"/>
        <v>#VALUE!</v>
      </c>
      <c r="BI25" s="16" t="e">
        <f t="shared" si="22"/>
        <v>#VALUE!</v>
      </c>
      <c r="BJ25" s="13" t="e">
        <f t="shared" si="22"/>
        <v>#VALUE!</v>
      </c>
      <c r="BK25" s="14" t="e">
        <f t="shared" si="22"/>
        <v>#VALUE!</v>
      </c>
      <c r="BL25" s="14" t="e">
        <f t="shared" si="22"/>
        <v>#VALUE!</v>
      </c>
      <c r="BM25" s="14" t="e">
        <f t="shared" si="22"/>
        <v>#VALUE!</v>
      </c>
      <c r="BN25" s="14" t="e">
        <f t="shared" si="23"/>
        <v>#VALUE!</v>
      </c>
      <c r="BO25" s="15" t="e">
        <f t="shared" si="23"/>
        <v>#VALUE!</v>
      </c>
      <c r="BP25" s="16" t="e">
        <f t="shared" si="23"/>
        <v>#VALUE!</v>
      </c>
      <c r="BQ25" s="13" t="e">
        <f t="shared" si="23"/>
        <v>#VALUE!</v>
      </c>
      <c r="BR25" s="14" t="e">
        <f t="shared" si="23"/>
        <v>#VALUE!</v>
      </c>
      <c r="BS25" s="14" t="e">
        <f t="shared" si="23"/>
        <v>#VALUE!</v>
      </c>
      <c r="BT25" s="14" t="e">
        <f t="shared" si="23"/>
        <v>#VALUE!</v>
      </c>
      <c r="BU25" s="14" t="e">
        <f t="shared" si="23"/>
        <v>#VALUE!</v>
      </c>
      <c r="BV25" s="15" t="e">
        <f t="shared" si="23"/>
        <v>#VALUE!</v>
      </c>
      <c r="BW25" s="16" t="e">
        <f t="shared" si="23"/>
        <v>#VALUE!</v>
      </c>
      <c r="BX25" s="13" t="e">
        <f t="shared" si="24"/>
        <v>#VALUE!</v>
      </c>
      <c r="BY25" s="14" t="e">
        <f t="shared" si="24"/>
        <v>#VALUE!</v>
      </c>
      <c r="BZ25" s="14" t="e">
        <f t="shared" si="24"/>
        <v>#VALUE!</v>
      </c>
      <c r="CA25" s="14" t="e">
        <f t="shared" si="24"/>
        <v>#VALUE!</v>
      </c>
      <c r="CB25" s="14" t="e">
        <f t="shared" si="24"/>
        <v>#VALUE!</v>
      </c>
      <c r="CC25" s="15" t="e">
        <f t="shared" si="24"/>
        <v>#VALUE!</v>
      </c>
      <c r="CD25" s="16" t="e">
        <f t="shared" si="24"/>
        <v>#VALUE!</v>
      </c>
      <c r="CE25" s="13" t="e">
        <f t="shared" si="24"/>
        <v>#VALUE!</v>
      </c>
      <c r="CF25" s="14" t="e">
        <f t="shared" si="24"/>
        <v>#VALUE!</v>
      </c>
      <c r="CG25" s="14" t="e">
        <f t="shared" si="24"/>
        <v>#VALUE!</v>
      </c>
      <c r="CH25" s="14" t="e">
        <f t="shared" si="25"/>
        <v>#VALUE!</v>
      </c>
      <c r="CI25" s="14" t="e">
        <f t="shared" si="25"/>
        <v>#VALUE!</v>
      </c>
      <c r="CJ25" s="15" t="e">
        <f t="shared" si="25"/>
        <v>#VALUE!</v>
      </c>
      <c r="CK25" s="16" t="e">
        <f t="shared" si="25"/>
        <v>#VALUE!</v>
      </c>
      <c r="CL25" s="13" t="e">
        <f t="shared" si="25"/>
        <v>#VALUE!</v>
      </c>
      <c r="CM25" s="14" t="e">
        <f t="shared" si="25"/>
        <v>#VALUE!</v>
      </c>
      <c r="CN25" s="14" t="e">
        <f t="shared" si="25"/>
        <v>#VALUE!</v>
      </c>
      <c r="CO25" s="14" t="e">
        <f t="shared" si="25"/>
        <v>#VALUE!</v>
      </c>
      <c r="CP25" s="14" t="e">
        <f t="shared" si="25"/>
        <v>#VALUE!</v>
      </c>
      <c r="CQ25" s="15" t="e">
        <f t="shared" si="25"/>
        <v>#VALUE!</v>
      </c>
      <c r="CR25" s="16" t="e">
        <f t="shared" si="26"/>
        <v>#VALUE!</v>
      </c>
      <c r="CS25" s="13" t="e">
        <f t="shared" si="26"/>
        <v>#VALUE!</v>
      </c>
      <c r="CT25" s="14" t="e">
        <f t="shared" si="26"/>
        <v>#VALUE!</v>
      </c>
      <c r="CU25" s="14" t="e">
        <f t="shared" si="26"/>
        <v>#VALUE!</v>
      </c>
      <c r="CV25" s="14" t="e">
        <f t="shared" si="26"/>
        <v>#VALUE!</v>
      </c>
      <c r="CW25" s="14" t="e">
        <f t="shared" si="26"/>
        <v>#VALUE!</v>
      </c>
      <c r="CX25" s="15" t="e">
        <f t="shared" si="26"/>
        <v>#VALUE!</v>
      </c>
      <c r="CY25" s="16" t="e">
        <f t="shared" si="26"/>
        <v>#VALUE!</v>
      </c>
      <c r="CZ25" s="13" t="e">
        <f t="shared" si="26"/>
        <v>#VALUE!</v>
      </c>
      <c r="DA25" s="14" t="e">
        <f t="shared" si="26"/>
        <v>#VALUE!</v>
      </c>
      <c r="DB25" s="14" t="e">
        <f t="shared" si="27"/>
        <v>#VALUE!</v>
      </c>
      <c r="DC25" s="14" t="e">
        <f t="shared" si="27"/>
        <v>#VALUE!</v>
      </c>
      <c r="DD25" s="14" t="e">
        <f t="shared" si="27"/>
        <v>#VALUE!</v>
      </c>
      <c r="DE25" s="15" t="e">
        <f t="shared" si="27"/>
        <v>#VALUE!</v>
      </c>
      <c r="DF25" s="16" t="e">
        <f t="shared" si="27"/>
        <v>#VALUE!</v>
      </c>
      <c r="DG25" s="13" t="e">
        <f t="shared" si="27"/>
        <v>#VALUE!</v>
      </c>
      <c r="DH25" s="14" t="e">
        <f t="shared" si="27"/>
        <v>#VALUE!</v>
      </c>
      <c r="DI25" s="14" t="e">
        <f t="shared" si="27"/>
        <v>#VALUE!</v>
      </c>
      <c r="DJ25" s="14" t="e">
        <f t="shared" si="27"/>
        <v>#VALUE!</v>
      </c>
      <c r="DK25" s="14" t="e">
        <f t="shared" si="27"/>
        <v>#VALUE!</v>
      </c>
      <c r="DL25" s="15" t="e">
        <f t="shared" si="28"/>
        <v>#VALUE!</v>
      </c>
      <c r="DM25" s="16" t="e">
        <f t="shared" si="28"/>
        <v>#VALUE!</v>
      </c>
      <c r="DN25" s="13" t="e">
        <f t="shared" si="28"/>
        <v>#VALUE!</v>
      </c>
      <c r="DO25" s="14" t="e">
        <f t="shared" si="28"/>
        <v>#VALUE!</v>
      </c>
      <c r="DP25" s="14" t="e">
        <f t="shared" si="28"/>
        <v>#VALUE!</v>
      </c>
      <c r="DQ25" s="14" t="e">
        <f t="shared" si="28"/>
        <v>#VALUE!</v>
      </c>
      <c r="DR25" s="14" t="e">
        <f t="shared" si="28"/>
        <v>#VALUE!</v>
      </c>
      <c r="DS25" s="15" t="e">
        <f t="shared" si="28"/>
        <v>#VALUE!</v>
      </c>
      <c r="DT25" s="16" t="e">
        <f t="shared" si="28"/>
        <v>#VALUE!</v>
      </c>
    </row>
    <row r="26" spans="1:124" s="17" customFormat="1" ht="6" customHeight="1"/>
    <row r="27" spans="1:124" s="17" customFormat="1" ht="15" customHeight="1">
      <c r="A27" s="554" t="s">
        <v>56</v>
      </c>
      <c r="B27" s="535"/>
      <c r="C27" s="555" t="e">
        <f>C15-C11</f>
        <v>#VALUE!</v>
      </c>
      <c r="D27" s="535"/>
      <c r="E27" s="537"/>
      <c r="F27" s="14" t="e">
        <f t="shared" ref="F27:AK27" si="29">IF(AND(F$5&gt;=$C$11,F$5&lt;=$E$15-1),1,"")</f>
        <v>#VALUE!</v>
      </c>
      <c r="G27" s="14" t="e">
        <f t="shared" si="29"/>
        <v>#VALUE!</v>
      </c>
      <c r="H27" s="14" t="e">
        <f t="shared" si="29"/>
        <v>#VALUE!</v>
      </c>
      <c r="I27" s="14" t="e">
        <f t="shared" si="29"/>
        <v>#VALUE!</v>
      </c>
      <c r="J27" s="14" t="e">
        <f t="shared" si="29"/>
        <v>#VALUE!</v>
      </c>
      <c r="K27" s="15" t="e">
        <f t="shared" si="29"/>
        <v>#VALUE!</v>
      </c>
      <c r="L27" s="16" t="e">
        <f t="shared" si="29"/>
        <v>#VALUE!</v>
      </c>
      <c r="M27" s="13" t="e">
        <f t="shared" si="29"/>
        <v>#VALUE!</v>
      </c>
      <c r="N27" s="14" t="e">
        <f t="shared" si="29"/>
        <v>#VALUE!</v>
      </c>
      <c r="O27" s="14" t="e">
        <f t="shared" si="29"/>
        <v>#VALUE!</v>
      </c>
      <c r="P27" s="14" t="e">
        <f t="shared" si="29"/>
        <v>#VALUE!</v>
      </c>
      <c r="Q27" s="14" t="e">
        <f t="shared" si="29"/>
        <v>#VALUE!</v>
      </c>
      <c r="R27" s="15" t="e">
        <f t="shared" si="29"/>
        <v>#VALUE!</v>
      </c>
      <c r="S27" s="16" t="e">
        <f t="shared" si="29"/>
        <v>#VALUE!</v>
      </c>
      <c r="T27" s="13" t="e">
        <f t="shared" si="29"/>
        <v>#VALUE!</v>
      </c>
      <c r="U27" s="14" t="e">
        <f t="shared" si="29"/>
        <v>#VALUE!</v>
      </c>
      <c r="V27" s="14" t="e">
        <f t="shared" si="29"/>
        <v>#VALUE!</v>
      </c>
      <c r="W27" s="14" t="e">
        <f t="shared" si="29"/>
        <v>#VALUE!</v>
      </c>
      <c r="X27" s="14" t="e">
        <f t="shared" si="29"/>
        <v>#VALUE!</v>
      </c>
      <c r="Y27" s="15" t="e">
        <f t="shared" si="29"/>
        <v>#VALUE!</v>
      </c>
      <c r="Z27" s="16" t="e">
        <f t="shared" si="29"/>
        <v>#VALUE!</v>
      </c>
      <c r="AA27" s="13" t="e">
        <f t="shared" si="29"/>
        <v>#VALUE!</v>
      </c>
      <c r="AB27" s="14" t="e">
        <f t="shared" si="29"/>
        <v>#VALUE!</v>
      </c>
      <c r="AC27" s="14" t="e">
        <f t="shared" si="29"/>
        <v>#VALUE!</v>
      </c>
      <c r="AD27" s="14" t="e">
        <f t="shared" si="29"/>
        <v>#VALUE!</v>
      </c>
      <c r="AE27" s="14" t="e">
        <f t="shared" si="29"/>
        <v>#VALUE!</v>
      </c>
      <c r="AF27" s="15" t="e">
        <f t="shared" si="29"/>
        <v>#VALUE!</v>
      </c>
      <c r="AG27" s="16" t="e">
        <f t="shared" si="29"/>
        <v>#VALUE!</v>
      </c>
      <c r="AH27" s="13" t="e">
        <f t="shared" si="29"/>
        <v>#VALUE!</v>
      </c>
      <c r="AI27" s="14" t="e">
        <f t="shared" si="29"/>
        <v>#VALUE!</v>
      </c>
      <c r="AJ27" s="14" t="e">
        <f t="shared" si="29"/>
        <v>#VALUE!</v>
      </c>
      <c r="AK27" s="14" t="e">
        <f t="shared" si="29"/>
        <v>#VALUE!</v>
      </c>
      <c r="AL27" s="14" t="e">
        <f t="shared" ref="AL27:BQ27" si="30">IF(AND(AL$5&gt;=$C$11,AL$5&lt;=$E$15-1),1,"")</f>
        <v>#VALUE!</v>
      </c>
      <c r="AM27" s="15" t="e">
        <f t="shared" si="30"/>
        <v>#VALUE!</v>
      </c>
      <c r="AN27" s="16" t="e">
        <f t="shared" si="30"/>
        <v>#VALUE!</v>
      </c>
      <c r="AO27" s="13" t="e">
        <f t="shared" si="30"/>
        <v>#VALUE!</v>
      </c>
      <c r="AP27" s="14" t="e">
        <f t="shared" si="30"/>
        <v>#VALUE!</v>
      </c>
      <c r="AQ27" s="14" t="e">
        <f t="shared" si="30"/>
        <v>#VALUE!</v>
      </c>
      <c r="AR27" s="14" t="e">
        <f t="shared" si="30"/>
        <v>#VALUE!</v>
      </c>
      <c r="AS27" s="14" t="e">
        <f t="shared" si="30"/>
        <v>#VALUE!</v>
      </c>
      <c r="AT27" s="15" t="e">
        <f t="shared" si="30"/>
        <v>#VALUE!</v>
      </c>
      <c r="AU27" s="16" t="e">
        <f t="shared" si="30"/>
        <v>#VALUE!</v>
      </c>
      <c r="AV27" s="13" t="e">
        <f t="shared" si="30"/>
        <v>#VALUE!</v>
      </c>
      <c r="AW27" s="14" t="e">
        <f t="shared" si="30"/>
        <v>#VALUE!</v>
      </c>
      <c r="AX27" s="14" t="e">
        <f t="shared" si="30"/>
        <v>#VALUE!</v>
      </c>
      <c r="AY27" s="14" t="e">
        <f t="shared" si="30"/>
        <v>#VALUE!</v>
      </c>
      <c r="AZ27" s="14" t="e">
        <f t="shared" si="30"/>
        <v>#VALUE!</v>
      </c>
      <c r="BA27" s="15" t="e">
        <f t="shared" si="30"/>
        <v>#VALUE!</v>
      </c>
      <c r="BB27" s="16" t="e">
        <f t="shared" si="30"/>
        <v>#VALUE!</v>
      </c>
      <c r="BC27" s="13" t="e">
        <f t="shared" si="30"/>
        <v>#VALUE!</v>
      </c>
      <c r="BD27" s="14" t="e">
        <f t="shared" si="30"/>
        <v>#VALUE!</v>
      </c>
      <c r="BE27" s="14" t="e">
        <f t="shared" si="30"/>
        <v>#VALUE!</v>
      </c>
      <c r="BF27" s="14" t="e">
        <f t="shared" si="30"/>
        <v>#VALUE!</v>
      </c>
      <c r="BG27" s="14" t="e">
        <f t="shared" si="30"/>
        <v>#VALUE!</v>
      </c>
      <c r="BH27" s="15" t="e">
        <f t="shared" si="30"/>
        <v>#VALUE!</v>
      </c>
      <c r="BI27" s="16" t="e">
        <f t="shared" si="30"/>
        <v>#VALUE!</v>
      </c>
      <c r="BJ27" s="13" t="e">
        <f t="shared" si="30"/>
        <v>#VALUE!</v>
      </c>
      <c r="BK27" s="14" t="e">
        <f t="shared" si="30"/>
        <v>#VALUE!</v>
      </c>
      <c r="BL27" s="14" t="e">
        <f t="shared" si="30"/>
        <v>#VALUE!</v>
      </c>
      <c r="BM27" s="14" t="e">
        <f t="shared" si="30"/>
        <v>#VALUE!</v>
      </c>
      <c r="BN27" s="14" t="e">
        <f t="shared" si="30"/>
        <v>#VALUE!</v>
      </c>
      <c r="BO27" s="15" t="e">
        <f t="shared" si="30"/>
        <v>#VALUE!</v>
      </c>
      <c r="BP27" s="16" t="e">
        <f t="shared" si="30"/>
        <v>#VALUE!</v>
      </c>
      <c r="BQ27" s="13" t="e">
        <f t="shared" si="30"/>
        <v>#VALUE!</v>
      </c>
      <c r="BR27" s="14" t="e">
        <f t="shared" ref="BR27:CW27" si="31">IF(AND(BR$5&gt;=$C$11,BR$5&lt;=$E$15-1),1,"")</f>
        <v>#VALUE!</v>
      </c>
      <c r="BS27" s="14" t="e">
        <f t="shared" si="31"/>
        <v>#VALUE!</v>
      </c>
      <c r="BT27" s="14" t="e">
        <f t="shared" si="31"/>
        <v>#VALUE!</v>
      </c>
      <c r="BU27" s="14" t="e">
        <f t="shared" si="31"/>
        <v>#VALUE!</v>
      </c>
      <c r="BV27" s="15" t="e">
        <f t="shared" si="31"/>
        <v>#VALUE!</v>
      </c>
      <c r="BW27" s="16" t="e">
        <f t="shared" si="31"/>
        <v>#VALUE!</v>
      </c>
      <c r="BX27" s="13" t="e">
        <f t="shared" si="31"/>
        <v>#VALUE!</v>
      </c>
      <c r="BY27" s="14" t="e">
        <f t="shared" si="31"/>
        <v>#VALUE!</v>
      </c>
      <c r="BZ27" s="14" t="e">
        <f t="shared" si="31"/>
        <v>#VALUE!</v>
      </c>
      <c r="CA27" s="14" t="e">
        <f t="shared" si="31"/>
        <v>#VALUE!</v>
      </c>
      <c r="CB27" s="14" t="e">
        <f t="shared" si="31"/>
        <v>#VALUE!</v>
      </c>
      <c r="CC27" s="15" t="e">
        <f t="shared" si="31"/>
        <v>#VALUE!</v>
      </c>
      <c r="CD27" s="16" t="e">
        <f t="shared" si="31"/>
        <v>#VALUE!</v>
      </c>
      <c r="CE27" s="13" t="e">
        <f t="shared" si="31"/>
        <v>#VALUE!</v>
      </c>
      <c r="CF27" s="14" t="e">
        <f t="shared" si="31"/>
        <v>#VALUE!</v>
      </c>
      <c r="CG27" s="14" t="e">
        <f t="shared" si="31"/>
        <v>#VALUE!</v>
      </c>
      <c r="CH27" s="14" t="e">
        <f t="shared" si="31"/>
        <v>#VALUE!</v>
      </c>
      <c r="CI27" s="14" t="e">
        <f t="shared" si="31"/>
        <v>#VALUE!</v>
      </c>
      <c r="CJ27" s="15" t="e">
        <f t="shared" si="31"/>
        <v>#VALUE!</v>
      </c>
      <c r="CK27" s="16" t="e">
        <f t="shared" si="31"/>
        <v>#VALUE!</v>
      </c>
      <c r="CL27" s="13" t="e">
        <f t="shared" si="31"/>
        <v>#VALUE!</v>
      </c>
      <c r="CM27" s="14" t="e">
        <f t="shared" si="31"/>
        <v>#VALUE!</v>
      </c>
      <c r="CN27" s="14" t="e">
        <f t="shared" si="31"/>
        <v>#VALUE!</v>
      </c>
      <c r="CO27" s="14" t="e">
        <f t="shared" si="31"/>
        <v>#VALUE!</v>
      </c>
      <c r="CP27" s="14" t="e">
        <f t="shared" si="31"/>
        <v>#VALUE!</v>
      </c>
      <c r="CQ27" s="15" t="e">
        <f t="shared" si="31"/>
        <v>#VALUE!</v>
      </c>
      <c r="CR27" s="16" t="e">
        <f t="shared" si="31"/>
        <v>#VALUE!</v>
      </c>
      <c r="CS27" s="13" t="e">
        <f t="shared" si="31"/>
        <v>#VALUE!</v>
      </c>
      <c r="CT27" s="14" t="e">
        <f t="shared" si="31"/>
        <v>#VALUE!</v>
      </c>
      <c r="CU27" s="14" t="e">
        <f t="shared" si="31"/>
        <v>#VALUE!</v>
      </c>
      <c r="CV27" s="14" t="e">
        <f t="shared" si="31"/>
        <v>#VALUE!</v>
      </c>
      <c r="CW27" s="14" t="e">
        <f t="shared" si="31"/>
        <v>#VALUE!</v>
      </c>
      <c r="CX27" s="15" t="e">
        <f t="shared" ref="CX27:DT27" si="32">IF(AND(CX$5&gt;=$C$11,CX$5&lt;=$E$15-1),1,"")</f>
        <v>#VALUE!</v>
      </c>
      <c r="CY27" s="16" t="e">
        <f t="shared" si="32"/>
        <v>#VALUE!</v>
      </c>
      <c r="CZ27" s="13" t="e">
        <f t="shared" si="32"/>
        <v>#VALUE!</v>
      </c>
      <c r="DA27" s="14" t="e">
        <f t="shared" si="32"/>
        <v>#VALUE!</v>
      </c>
      <c r="DB27" s="14" t="e">
        <f t="shared" si="32"/>
        <v>#VALUE!</v>
      </c>
      <c r="DC27" s="14" t="e">
        <f t="shared" si="32"/>
        <v>#VALUE!</v>
      </c>
      <c r="DD27" s="14" t="e">
        <f t="shared" si="32"/>
        <v>#VALUE!</v>
      </c>
      <c r="DE27" s="15" t="e">
        <f t="shared" si="32"/>
        <v>#VALUE!</v>
      </c>
      <c r="DF27" s="16" t="e">
        <f t="shared" si="32"/>
        <v>#VALUE!</v>
      </c>
      <c r="DG27" s="13" t="e">
        <f t="shared" si="32"/>
        <v>#VALUE!</v>
      </c>
      <c r="DH27" s="14" t="e">
        <f t="shared" si="32"/>
        <v>#VALUE!</v>
      </c>
      <c r="DI27" s="14" t="e">
        <f t="shared" si="32"/>
        <v>#VALUE!</v>
      </c>
      <c r="DJ27" s="14" t="e">
        <f t="shared" si="32"/>
        <v>#VALUE!</v>
      </c>
      <c r="DK27" s="14" t="e">
        <f t="shared" si="32"/>
        <v>#VALUE!</v>
      </c>
      <c r="DL27" s="15" t="e">
        <f t="shared" si="32"/>
        <v>#VALUE!</v>
      </c>
      <c r="DM27" s="16" t="e">
        <f t="shared" si="32"/>
        <v>#VALUE!</v>
      </c>
      <c r="DN27" s="13" t="e">
        <f t="shared" si="32"/>
        <v>#VALUE!</v>
      </c>
      <c r="DO27" s="14" t="e">
        <f t="shared" si="32"/>
        <v>#VALUE!</v>
      </c>
      <c r="DP27" s="14" t="e">
        <f t="shared" si="32"/>
        <v>#VALUE!</v>
      </c>
      <c r="DQ27" s="14" t="e">
        <f t="shared" si="32"/>
        <v>#VALUE!</v>
      </c>
      <c r="DR27" s="14" t="e">
        <f t="shared" si="32"/>
        <v>#VALUE!</v>
      </c>
      <c r="DS27" s="15" t="e">
        <f t="shared" si="32"/>
        <v>#VALUE!</v>
      </c>
      <c r="DT27" s="16" t="e">
        <f t="shared" si="32"/>
        <v>#VALUE!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40" t="s">
        <v>57</v>
      </c>
      <c r="B29" s="535"/>
      <c r="C29" s="541" t="e">
        <f>C15-C12+2</f>
        <v>#VALUE!</v>
      </c>
      <c r="D29" s="535"/>
      <c r="E29" s="537"/>
      <c r="F29" s="14" t="e">
        <f t="shared" ref="F29:AK29" si="33">IF(AND(F$5&gt;=$E$11,F$5&lt;=$E$15),1,"")</f>
        <v>#VALUE!</v>
      </c>
      <c r="G29" s="14" t="e">
        <f t="shared" si="33"/>
        <v>#VALUE!</v>
      </c>
      <c r="H29" s="14" t="e">
        <f t="shared" si="33"/>
        <v>#VALUE!</v>
      </c>
      <c r="I29" s="14" t="e">
        <f t="shared" si="33"/>
        <v>#VALUE!</v>
      </c>
      <c r="J29" s="14" t="e">
        <f t="shared" si="33"/>
        <v>#VALUE!</v>
      </c>
      <c r="K29" s="15" t="e">
        <f t="shared" si="33"/>
        <v>#VALUE!</v>
      </c>
      <c r="L29" s="16" t="e">
        <f t="shared" si="33"/>
        <v>#VALUE!</v>
      </c>
      <c r="M29" s="13" t="e">
        <f t="shared" si="33"/>
        <v>#VALUE!</v>
      </c>
      <c r="N29" s="14" t="e">
        <f t="shared" si="33"/>
        <v>#VALUE!</v>
      </c>
      <c r="O29" s="14" t="e">
        <f t="shared" si="33"/>
        <v>#VALUE!</v>
      </c>
      <c r="P29" s="14" t="e">
        <f t="shared" si="33"/>
        <v>#VALUE!</v>
      </c>
      <c r="Q29" s="14" t="e">
        <f t="shared" si="33"/>
        <v>#VALUE!</v>
      </c>
      <c r="R29" s="15" t="e">
        <f t="shared" si="33"/>
        <v>#VALUE!</v>
      </c>
      <c r="S29" s="16" t="e">
        <f t="shared" si="33"/>
        <v>#VALUE!</v>
      </c>
      <c r="T29" s="13" t="e">
        <f t="shared" si="33"/>
        <v>#VALUE!</v>
      </c>
      <c r="U29" s="14" t="e">
        <f t="shared" si="33"/>
        <v>#VALUE!</v>
      </c>
      <c r="V29" s="14" t="e">
        <f t="shared" si="33"/>
        <v>#VALUE!</v>
      </c>
      <c r="W29" s="14" t="e">
        <f t="shared" si="33"/>
        <v>#VALUE!</v>
      </c>
      <c r="X29" s="14" t="e">
        <f t="shared" si="33"/>
        <v>#VALUE!</v>
      </c>
      <c r="Y29" s="15" t="e">
        <f t="shared" si="33"/>
        <v>#VALUE!</v>
      </c>
      <c r="Z29" s="16" t="e">
        <f t="shared" si="33"/>
        <v>#VALUE!</v>
      </c>
      <c r="AA29" s="13" t="e">
        <f t="shared" si="33"/>
        <v>#VALUE!</v>
      </c>
      <c r="AB29" s="14" t="e">
        <f t="shared" si="33"/>
        <v>#VALUE!</v>
      </c>
      <c r="AC29" s="14" t="e">
        <f t="shared" si="33"/>
        <v>#VALUE!</v>
      </c>
      <c r="AD29" s="14" t="e">
        <f t="shared" si="33"/>
        <v>#VALUE!</v>
      </c>
      <c r="AE29" s="14" t="e">
        <f t="shared" si="33"/>
        <v>#VALUE!</v>
      </c>
      <c r="AF29" s="15" t="e">
        <f t="shared" si="33"/>
        <v>#VALUE!</v>
      </c>
      <c r="AG29" s="16" t="e">
        <f t="shared" si="33"/>
        <v>#VALUE!</v>
      </c>
      <c r="AH29" s="13" t="e">
        <f t="shared" si="33"/>
        <v>#VALUE!</v>
      </c>
      <c r="AI29" s="14" t="e">
        <f t="shared" si="33"/>
        <v>#VALUE!</v>
      </c>
      <c r="AJ29" s="14" t="e">
        <f t="shared" si="33"/>
        <v>#VALUE!</v>
      </c>
      <c r="AK29" s="14" t="e">
        <f t="shared" si="33"/>
        <v>#VALUE!</v>
      </c>
      <c r="AL29" s="14" t="e">
        <f t="shared" ref="AL29:BQ29" si="34">IF(AND(AL$5&gt;=$E$11,AL$5&lt;=$E$15),1,"")</f>
        <v>#VALUE!</v>
      </c>
      <c r="AM29" s="15" t="e">
        <f t="shared" si="34"/>
        <v>#VALUE!</v>
      </c>
      <c r="AN29" s="16" t="e">
        <f t="shared" si="34"/>
        <v>#VALUE!</v>
      </c>
      <c r="AO29" s="13" t="e">
        <f t="shared" si="34"/>
        <v>#VALUE!</v>
      </c>
      <c r="AP29" s="14" t="e">
        <f t="shared" si="34"/>
        <v>#VALUE!</v>
      </c>
      <c r="AQ29" s="14" t="e">
        <f t="shared" si="34"/>
        <v>#VALUE!</v>
      </c>
      <c r="AR29" s="14" t="e">
        <f t="shared" si="34"/>
        <v>#VALUE!</v>
      </c>
      <c r="AS29" s="14" t="e">
        <f t="shared" si="34"/>
        <v>#VALUE!</v>
      </c>
      <c r="AT29" s="15" t="e">
        <f t="shared" si="34"/>
        <v>#VALUE!</v>
      </c>
      <c r="AU29" s="16" t="e">
        <f t="shared" si="34"/>
        <v>#VALUE!</v>
      </c>
      <c r="AV29" s="13" t="e">
        <f t="shared" si="34"/>
        <v>#VALUE!</v>
      </c>
      <c r="AW29" s="14" t="e">
        <f t="shared" si="34"/>
        <v>#VALUE!</v>
      </c>
      <c r="AX29" s="14" t="e">
        <f t="shared" si="34"/>
        <v>#VALUE!</v>
      </c>
      <c r="AY29" s="14" t="e">
        <f t="shared" si="34"/>
        <v>#VALUE!</v>
      </c>
      <c r="AZ29" s="14" t="e">
        <f t="shared" si="34"/>
        <v>#VALUE!</v>
      </c>
      <c r="BA29" s="15" t="e">
        <f t="shared" si="34"/>
        <v>#VALUE!</v>
      </c>
      <c r="BB29" s="16" t="e">
        <f t="shared" si="34"/>
        <v>#VALUE!</v>
      </c>
      <c r="BC29" s="13" t="e">
        <f t="shared" si="34"/>
        <v>#VALUE!</v>
      </c>
      <c r="BD29" s="14" t="e">
        <f t="shared" si="34"/>
        <v>#VALUE!</v>
      </c>
      <c r="BE29" s="14" t="e">
        <f t="shared" si="34"/>
        <v>#VALUE!</v>
      </c>
      <c r="BF29" s="14" t="e">
        <f t="shared" si="34"/>
        <v>#VALUE!</v>
      </c>
      <c r="BG29" s="14" t="e">
        <f t="shared" si="34"/>
        <v>#VALUE!</v>
      </c>
      <c r="BH29" s="15" t="e">
        <f t="shared" si="34"/>
        <v>#VALUE!</v>
      </c>
      <c r="BI29" s="16" t="e">
        <f t="shared" si="34"/>
        <v>#VALUE!</v>
      </c>
      <c r="BJ29" s="13" t="e">
        <f t="shared" si="34"/>
        <v>#VALUE!</v>
      </c>
      <c r="BK29" s="14" t="e">
        <f t="shared" si="34"/>
        <v>#VALUE!</v>
      </c>
      <c r="BL29" s="14" t="e">
        <f t="shared" si="34"/>
        <v>#VALUE!</v>
      </c>
      <c r="BM29" s="14" t="e">
        <f t="shared" si="34"/>
        <v>#VALUE!</v>
      </c>
      <c r="BN29" s="14" t="e">
        <f t="shared" si="34"/>
        <v>#VALUE!</v>
      </c>
      <c r="BO29" s="15" t="e">
        <f t="shared" si="34"/>
        <v>#VALUE!</v>
      </c>
      <c r="BP29" s="16" t="e">
        <f t="shared" si="34"/>
        <v>#VALUE!</v>
      </c>
      <c r="BQ29" s="13" t="e">
        <f t="shared" si="34"/>
        <v>#VALUE!</v>
      </c>
      <c r="BR29" s="14" t="e">
        <f t="shared" ref="BR29:CW29" si="35">IF(AND(BR$5&gt;=$E$11,BR$5&lt;=$E$15),1,"")</f>
        <v>#VALUE!</v>
      </c>
      <c r="BS29" s="14" t="e">
        <f t="shared" si="35"/>
        <v>#VALUE!</v>
      </c>
      <c r="BT29" s="14" t="e">
        <f t="shared" si="35"/>
        <v>#VALUE!</v>
      </c>
      <c r="BU29" s="14" t="e">
        <f t="shared" si="35"/>
        <v>#VALUE!</v>
      </c>
      <c r="BV29" s="15" t="e">
        <f t="shared" si="35"/>
        <v>#VALUE!</v>
      </c>
      <c r="BW29" s="16" t="e">
        <f t="shared" si="35"/>
        <v>#VALUE!</v>
      </c>
      <c r="BX29" s="13" t="e">
        <f t="shared" si="35"/>
        <v>#VALUE!</v>
      </c>
      <c r="BY29" s="14" t="e">
        <f t="shared" si="35"/>
        <v>#VALUE!</v>
      </c>
      <c r="BZ29" s="14" t="e">
        <f t="shared" si="35"/>
        <v>#VALUE!</v>
      </c>
      <c r="CA29" s="14" t="e">
        <f t="shared" si="35"/>
        <v>#VALUE!</v>
      </c>
      <c r="CB29" s="14" t="e">
        <f t="shared" si="35"/>
        <v>#VALUE!</v>
      </c>
      <c r="CC29" s="15" t="e">
        <f t="shared" si="35"/>
        <v>#VALUE!</v>
      </c>
      <c r="CD29" s="16" t="e">
        <f t="shared" si="35"/>
        <v>#VALUE!</v>
      </c>
      <c r="CE29" s="13" t="e">
        <f t="shared" si="35"/>
        <v>#VALUE!</v>
      </c>
      <c r="CF29" s="14" t="e">
        <f t="shared" si="35"/>
        <v>#VALUE!</v>
      </c>
      <c r="CG29" s="14" t="e">
        <f t="shared" si="35"/>
        <v>#VALUE!</v>
      </c>
      <c r="CH29" s="14" t="e">
        <f t="shared" si="35"/>
        <v>#VALUE!</v>
      </c>
      <c r="CI29" s="14" t="e">
        <f t="shared" si="35"/>
        <v>#VALUE!</v>
      </c>
      <c r="CJ29" s="15" t="e">
        <f t="shared" si="35"/>
        <v>#VALUE!</v>
      </c>
      <c r="CK29" s="16" t="e">
        <f t="shared" si="35"/>
        <v>#VALUE!</v>
      </c>
      <c r="CL29" s="13" t="e">
        <f t="shared" si="35"/>
        <v>#VALUE!</v>
      </c>
      <c r="CM29" s="14" t="e">
        <f t="shared" si="35"/>
        <v>#VALUE!</v>
      </c>
      <c r="CN29" s="14" t="e">
        <f t="shared" si="35"/>
        <v>#VALUE!</v>
      </c>
      <c r="CO29" s="14" t="e">
        <f t="shared" si="35"/>
        <v>#VALUE!</v>
      </c>
      <c r="CP29" s="14" t="e">
        <f t="shared" si="35"/>
        <v>#VALUE!</v>
      </c>
      <c r="CQ29" s="15" t="e">
        <f t="shared" si="35"/>
        <v>#VALUE!</v>
      </c>
      <c r="CR29" s="16" t="e">
        <f t="shared" si="35"/>
        <v>#VALUE!</v>
      </c>
      <c r="CS29" s="13" t="e">
        <f t="shared" si="35"/>
        <v>#VALUE!</v>
      </c>
      <c r="CT29" s="14" t="e">
        <f t="shared" si="35"/>
        <v>#VALUE!</v>
      </c>
      <c r="CU29" s="14" t="e">
        <f t="shared" si="35"/>
        <v>#VALUE!</v>
      </c>
      <c r="CV29" s="14" t="e">
        <f t="shared" si="35"/>
        <v>#VALUE!</v>
      </c>
      <c r="CW29" s="14" t="e">
        <f t="shared" si="35"/>
        <v>#VALUE!</v>
      </c>
      <c r="CX29" s="15" t="e">
        <f t="shared" ref="CX29:DT29" si="36">IF(AND(CX$5&gt;=$E$11,CX$5&lt;=$E$15),1,"")</f>
        <v>#VALUE!</v>
      </c>
      <c r="CY29" s="16" t="e">
        <f t="shared" si="36"/>
        <v>#VALUE!</v>
      </c>
      <c r="CZ29" s="13" t="e">
        <f t="shared" si="36"/>
        <v>#VALUE!</v>
      </c>
      <c r="DA29" s="14" t="e">
        <f t="shared" si="36"/>
        <v>#VALUE!</v>
      </c>
      <c r="DB29" s="14" t="e">
        <f t="shared" si="36"/>
        <v>#VALUE!</v>
      </c>
      <c r="DC29" s="14" t="e">
        <f t="shared" si="36"/>
        <v>#VALUE!</v>
      </c>
      <c r="DD29" s="14" t="e">
        <f t="shared" si="36"/>
        <v>#VALUE!</v>
      </c>
      <c r="DE29" s="15" t="e">
        <f t="shared" si="36"/>
        <v>#VALUE!</v>
      </c>
      <c r="DF29" s="16" t="e">
        <f t="shared" si="36"/>
        <v>#VALUE!</v>
      </c>
      <c r="DG29" s="13" t="e">
        <f t="shared" si="36"/>
        <v>#VALUE!</v>
      </c>
      <c r="DH29" s="14" t="e">
        <f t="shared" si="36"/>
        <v>#VALUE!</v>
      </c>
      <c r="DI29" s="14" t="e">
        <f t="shared" si="36"/>
        <v>#VALUE!</v>
      </c>
      <c r="DJ29" s="14" t="e">
        <f t="shared" si="36"/>
        <v>#VALUE!</v>
      </c>
      <c r="DK29" s="14" t="e">
        <f t="shared" si="36"/>
        <v>#VALUE!</v>
      </c>
      <c r="DL29" s="15" t="e">
        <f t="shared" si="36"/>
        <v>#VALUE!</v>
      </c>
      <c r="DM29" s="16" t="e">
        <f t="shared" si="36"/>
        <v>#VALUE!</v>
      </c>
      <c r="DN29" s="13" t="e">
        <f t="shared" si="36"/>
        <v>#VALUE!</v>
      </c>
      <c r="DO29" s="14" t="e">
        <f t="shared" si="36"/>
        <v>#VALUE!</v>
      </c>
      <c r="DP29" s="14" t="e">
        <f t="shared" si="36"/>
        <v>#VALUE!</v>
      </c>
      <c r="DQ29" s="14" t="e">
        <f t="shared" si="36"/>
        <v>#VALUE!</v>
      </c>
      <c r="DR29" s="14" t="e">
        <f t="shared" si="36"/>
        <v>#VALUE!</v>
      </c>
      <c r="DS29" s="15" t="e">
        <f t="shared" si="36"/>
        <v>#VALUE!</v>
      </c>
      <c r="DT29" s="16" t="e">
        <f t="shared" si="36"/>
        <v>#VALUE!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542" t="s">
        <v>58</v>
      </c>
      <c r="B31" s="535"/>
      <c r="C31" s="543" t="e">
        <f>E17-C16+1</f>
        <v>#VALUE!</v>
      </c>
      <c r="D31" s="535"/>
      <c r="E31" s="537"/>
      <c r="F31" s="14" t="e">
        <f t="shared" ref="F31:AK31" si="37">IF(AND(F$5&gt;=$C$16,F$5&lt;=$E$17),1,"")</f>
        <v>#VALUE!</v>
      </c>
      <c r="G31" s="14" t="e">
        <f t="shared" si="37"/>
        <v>#VALUE!</v>
      </c>
      <c r="H31" s="14" t="e">
        <f t="shared" si="37"/>
        <v>#VALUE!</v>
      </c>
      <c r="I31" s="14" t="e">
        <f t="shared" si="37"/>
        <v>#VALUE!</v>
      </c>
      <c r="J31" s="14" t="e">
        <f t="shared" si="37"/>
        <v>#VALUE!</v>
      </c>
      <c r="K31" s="15" t="e">
        <f t="shared" si="37"/>
        <v>#VALUE!</v>
      </c>
      <c r="L31" s="16" t="e">
        <f t="shared" si="37"/>
        <v>#VALUE!</v>
      </c>
      <c r="M31" s="13" t="e">
        <f t="shared" si="37"/>
        <v>#VALUE!</v>
      </c>
      <c r="N31" s="14" t="e">
        <f t="shared" si="37"/>
        <v>#VALUE!</v>
      </c>
      <c r="O31" s="14" t="e">
        <f t="shared" si="37"/>
        <v>#VALUE!</v>
      </c>
      <c r="P31" s="14" t="e">
        <f t="shared" si="37"/>
        <v>#VALUE!</v>
      </c>
      <c r="Q31" s="14" t="e">
        <f t="shared" si="37"/>
        <v>#VALUE!</v>
      </c>
      <c r="R31" s="15" t="e">
        <f t="shared" si="37"/>
        <v>#VALUE!</v>
      </c>
      <c r="S31" s="16" t="e">
        <f t="shared" si="37"/>
        <v>#VALUE!</v>
      </c>
      <c r="T31" s="13" t="e">
        <f t="shared" si="37"/>
        <v>#VALUE!</v>
      </c>
      <c r="U31" s="14" t="e">
        <f t="shared" si="37"/>
        <v>#VALUE!</v>
      </c>
      <c r="V31" s="14" t="e">
        <f t="shared" si="37"/>
        <v>#VALUE!</v>
      </c>
      <c r="W31" s="14" t="e">
        <f t="shared" si="37"/>
        <v>#VALUE!</v>
      </c>
      <c r="X31" s="14" t="e">
        <f t="shared" si="37"/>
        <v>#VALUE!</v>
      </c>
      <c r="Y31" s="15" t="e">
        <f t="shared" si="37"/>
        <v>#VALUE!</v>
      </c>
      <c r="Z31" s="16" t="e">
        <f t="shared" si="37"/>
        <v>#VALUE!</v>
      </c>
      <c r="AA31" s="13" t="e">
        <f t="shared" si="37"/>
        <v>#VALUE!</v>
      </c>
      <c r="AB31" s="14" t="e">
        <f t="shared" si="37"/>
        <v>#VALUE!</v>
      </c>
      <c r="AC31" s="14" t="e">
        <f t="shared" si="37"/>
        <v>#VALUE!</v>
      </c>
      <c r="AD31" s="14" t="e">
        <f t="shared" si="37"/>
        <v>#VALUE!</v>
      </c>
      <c r="AE31" s="14" t="e">
        <f t="shared" si="37"/>
        <v>#VALUE!</v>
      </c>
      <c r="AF31" s="15" t="e">
        <f t="shared" si="37"/>
        <v>#VALUE!</v>
      </c>
      <c r="AG31" s="16" t="e">
        <f t="shared" si="37"/>
        <v>#VALUE!</v>
      </c>
      <c r="AH31" s="13" t="e">
        <f t="shared" si="37"/>
        <v>#VALUE!</v>
      </c>
      <c r="AI31" s="14" t="e">
        <f t="shared" si="37"/>
        <v>#VALUE!</v>
      </c>
      <c r="AJ31" s="14" t="e">
        <f t="shared" si="37"/>
        <v>#VALUE!</v>
      </c>
      <c r="AK31" s="14" t="e">
        <f t="shared" si="37"/>
        <v>#VALUE!</v>
      </c>
      <c r="AL31" s="14" t="e">
        <f t="shared" ref="AL31:BQ31" si="38">IF(AND(AL$5&gt;=$C$16,AL$5&lt;=$E$17),1,"")</f>
        <v>#VALUE!</v>
      </c>
      <c r="AM31" s="15" t="e">
        <f t="shared" si="38"/>
        <v>#VALUE!</v>
      </c>
      <c r="AN31" s="16" t="e">
        <f t="shared" si="38"/>
        <v>#VALUE!</v>
      </c>
      <c r="AO31" s="13" t="e">
        <f t="shared" si="38"/>
        <v>#VALUE!</v>
      </c>
      <c r="AP31" s="14" t="e">
        <f t="shared" si="38"/>
        <v>#VALUE!</v>
      </c>
      <c r="AQ31" s="14" t="e">
        <f t="shared" si="38"/>
        <v>#VALUE!</v>
      </c>
      <c r="AR31" s="14" t="e">
        <f t="shared" si="38"/>
        <v>#VALUE!</v>
      </c>
      <c r="AS31" s="14" t="e">
        <f t="shared" si="38"/>
        <v>#VALUE!</v>
      </c>
      <c r="AT31" s="15" t="e">
        <f t="shared" si="38"/>
        <v>#VALUE!</v>
      </c>
      <c r="AU31" s="16" t="e">
        <f t="shared" si="38"/>
        <v>#VALUE!</v>
      </c>
      <c r="AV31" s="13" t="e">
        <f t="shared" si="38"/>
        <v>#VALUE!</v>
      </c>
      <c r="AW31" s="14" t="e">
        <f t="shared" si="38"/>
        <v>#VALUE!</v>
      </c>
      <c r="AX31" s="14" t="e">
        <f t="shared" si="38"/>
        <v>#VALUE!</v>
      </c>
      <c r="AY31" s="14" t="e">
        <f t="shared" si="38"/>
        <v>#VALUE!</v>
      </c>
      <c r="AZ31" s="14" t="e">
        <f t="shared" si="38"/>
        <v>#VALUE!</v>
      </c>
      <c r="BA31" s="15" t="e">
        <f t="shared" si="38"/>
        <v>#VALUE!</v>
      </c>
      <c r="BB31" s="16" t="e">
        <f t="shared" si="38"/>
        <v>#VALUE!</v>
      </c>
      <c r="BC31" s="13" t="e">
        <f t="shared" si="38"/>
        <v>#VALUE!</v>
      </c>
      <c r="BD31" s="14" t="e">
        <f t="shared" si="38"/>
        <v>#VALUE!</v>
      </c>
      <c r="BE31" s="14" t="e">
        <f t="shared" si="38"/>
        <v>#VALUE!</v>
      </c>
      <c r="BF31" s="14" t="e">
        <f t="shared" si="38"/>
        <v>#VALUE!</v>
      </c>
      <c r="BG31" s="14" t="e">
        <f t="shared" si="38"/>
        <v>#VALUE!</v>
      </c>
      <c r="BH31" s="15" t="e">
        <f t="shared" si="38"/>
        <v>#VALUE!</v>
      </c>
      <c r="BI31" s="16" t="e">
        <f t="shared" si="38"/>
        <v>#VALUE!</v>
      </c>
      <c r="BJ31" s="13" t="e">
        <f t="shared" si="38"/>
        <v>#VALUE!</v>
      </c>
      <c r="BK31" s="14" t="e">
        <f t="shared" si="38"/>
        <v>#VALUE!</v>
      </c>
      <c r="BL31" s="14" t="e">
        <f t="shared" si="38"/>
        <v>#VALUE!</v>
      </c>
      <c r="BM31" s="14" t="e">
        <f t="shared" si="38"/>
        <v>#VALUE!</v>
      </c>
      <c r="BN31" s="14" t="e">
        <f t="shared" si="38"/>
        <v>#VALUE!</v>
      </c>
      <c r="BO31" s="15" t="e">
        <f t="shared" si="38"/>
        <v>#VALUE!</v>
      </c>
      <c r="BP31" s="16" t="e">
        <f t="shared" si="38"/>
        <v>#VALUE!</v>
      </c>
      <c r="BQ31" s="13" t="e">
        <f t="shared" si="38"/>
        <v>#VALUE!</v>
      </c>
      <c r="BR31" s="14" t="e">
        <f t="shared" ref="BR31:CW31" si="39">IF(AND(BR$5&gt;=$C$16,BR$5&lt;=$E$17),1,"")</f>
        <v>#VALUE!</v>
      </c>
      <c r="BS31" s="14" t="e">
        <f t="shared" si="39"/>
        <v>#VALUE!</v>
      </c>
      <c r="BT31" s="14" t="e">
        <f t="shared" si="39"/>
        <v>#VALUE!</v>
      </c>
      <c r="BU31" s="14" t="e">
        <f t="shared" si="39"/>
        <v>#VALUE!</v>
      </c>
      <c r="BV31" s="15" t="e">
        <f t="shared" si="39"/>
        <v>#VALUE!</v>
      </c>
      <c r="BW31" s="16" t="e">
        <f t="shared" si="39"/>
        <v>#VALUE!</v>
      </c>
      <c r="BX31" s="13" t="e">
        <f t="shared" si="39"/>
        <v>#VALUE!</v>
      </c>
      <c r="BY31" s="14" t="e">
        <f t="shared" si="39"/>
        <v>#VALUE!</v>
      </c>
      <c r="BZ31" s="14" t="e">
        <f t="shared" si="39"/>
        <v>#VALUE!</v>
      </c>
      <c r="CA31" s="14" t="e">
        <f t="shared" si="39"/>
        <v>#VALUE!</v>
      </c>
      <c r="CB31" s="14" t="e">
        <f t="shared" si="39"/>
        <v>#VALUE!</v>
      </c>
      <c r="CC31" s="15" t="e">
        <f t="shared" si="39"/>
        <v>#VALUE!</v>
      </c>
      <c r="CD31" s="16" t="e">
        <f t="shared" si="39"/>
        <v>#VALUE!</v>
      </c>
      <c r="CE31" s="13" t="e">
        <f t="shared" si="39"/>
        <v>#VALUE!</v>
      </c>
      <c r="CF31" s="14" t="e">
        <f t="shared" si="39"/>
        <v>#VALUE!</v>
      </c>
      <c r="CG31" s="14" t="e">
        <f t="shared" si="39"/>
        <v>#VALUE!</v>
      </c>
      <c r="CH31" s="14" t="e">
        <f t="shared" si="39"/>
        <v>#VALUE!</v>
      </c>
      <c r="CI31" s="14" t="e">
        <f t="shared" si="39"/>
        <v>#VALUE!</v>
      </c>
      <c r="CJ31" s="15" t="e">
        <f t="shared" si="39"/>
        <v>#VALUE!</v>
      </c>
      <c r="CK31" s="16" t="e">
        <f t="shared" si="39"/>
        <v>#VALUE!</v>
      </c>
      <c r="CL31" s="13" t="e">
        <f t="shared" si="39"/>
        <v>#VALUE!</v>
      </c>
      <c r="CM31" s="14" t="e">
        <f t="shared" si="39"/>
        <v>#VALUE!</v>
      </c>
      <c r="CN31" s="14" t="e">
        <f t="shared" si="39"/>
        <v>#VALUE!</v>
      </c>
      <c r="CO31" s="14" t="e">
        <f t="shared" si="39"/>
        <v>#VALUE!</v>
      </c>
      <c r="CP31" s="14" t="e">
        <f t="shared" si="39"/>
        <v>#VALUE!</v>
      </c>
      <c r="CQ31" s="15" t="e">
        <f t="shared" si="39"/>
        <v>#VALUE!</v>
      </c>
      <c r="CR31" s="16" t="e">
        <f t="shared" si="39"/>
        <v>#VALUE!</v>
      </c>
      <c r="CS31" s="13" t="e">
        <f t="shared" si="39"/>
        <v>#VALUE!</v>
      </c>
      <c r="CT31" s="14" t="e">
        <f t="shared" si="39"/>
        <v>#VALUE!</v>
      </c>
      <c r="CU31" s="14" t="e">
        <f t="shared" si="39"/>
        <v>#VALUE!</v>
      </c>
      <c r="CV31" s="14" t="e">
        <f t="shared" si="39"/>
        <v>#VALUE!</v>
      </c>
      <c r="CW31" s="14" t="e">
        <f t="shared" si="39"/>
        <v>#VALUE!</v>
      </c>
      <c r="CX31" s="15" t="e">
        <f t="shared" ref="CX31:DT31" si="40">IF(AND(CX$5&gt;=$C$16,CX$5&lt;=$E$17),1,"")</f>
        <v>#VALUE!</v>
      </c>
      <c r="CY31" s="16" t="e">
        <f t="shared" si="40"/>
        <v>#VALUE!</v>
      </c>
      <c r="CZ31" s="13" t="e">
        <f t="shared" si="40"/>
        <v>#VALUE!</v>
      </c>
      <c r="DA31" s="14" t="e">
        <f t="shared" si="40"/>
        <v>#VALUE!</v>
      </c>
      <c r="DB31" s="14" t="e">
        <f t="shared" si="40"/>
        <v>#VALUE!</v>
      </c>
      <c r="DC31" s="14" t="e">
        <f t="shared" si="40"/>
        <v>#VALUE!</v>
      </c>
      <c r="DD31" s="14" t="e">
        <f t="shared" si="40"/>
        <v>#VALUE!</v>
      </c>
      <c r="DE31" s="15" t="e">
        <f t="shared" si="40"/>
        <v>#VALUE!</v>
      </c>
      <c r="DF31" s="16" t="e">
        <f t="shared" si="40"/>
        <v>#VALUE!</v>
      </c>
      <c r="DG31" s="13" t="e">
        <f t="shared" si="40"/>
        <v>#VALUE!</v>
      </c>
      <c r="DH31" s="14" t="e">
        <f t="shared" si="40"/>
        <v>#VALUE!</v>
      </c>
      <c r="DI31" s="14" t="e">
        <f t="shared" si="40"/>
        <v>#VALUE!</v>
      </c>
      <c r="DJ31" s="14" t="e">
        <f t="shared" si="40"/>
        <v>#VALUE!</v>
      </c>
      <c r="DK31" s="14" t="e">
        <f t="shared" si="40"/>
        <v>#VALUE!</v>
      </c>
      <c r="DL31" s="15" t="e">
        <f t="shared" si="40"/>
        <v>#VALUE!</v>
      </c>
      <c r="DM31" s="16" t="e">
        <f t="shared" si="40"/>
        <v>#VALUE!</v>
      </c>
      <c r="DN31" s="13" t="e">
        <f t="shared" si="40"/>
        <v>#VALUE!</v>
      </c>
      <c r="DO31" s="14" t="e">
        <f t="shared" si="40"/>
        <v>#VALUE!</v>
      </c>
      <c r="DP31" s="14" t="e">
        <f t="shared" si="40"/>
        <v>#VALUE!</v>
      </c>
      <c r="DQ31" s="14" t="e">
        <f t="shared" si="40"/>
        <v>#VALUE!</v>
      </c>
      <c r="DR31" s="14" t="e">
        <f t="shared" si="40"/>
        <v>#VALUE!</v>
      </c>
      <c r="DS31" s="15" t="e">
        <f t="shared" si="40"/>
        <v>#VALUE!</v>
      </c>
      <c r="DT31" s="16" t="e">
        <f t="shared" si="40"/>
        <v>#VALUE!</v>
      </c>
    </row>
    <row r="32" spans="1:124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544" t="s">
        <v>59</v>
      </c>
      <c r="B33" s="535"/>
      <c r="C33" s="545" t="e">
        <f>E23-C11+1</f>
        <v>#VALUE!</v>
      </c>
      <c r="D33" s="535"/>
      <c r="E33" s="537"/>
      <c r="F33" s="14" t="e">
        <f t="shared" ref="F33:AK33" si="41">IF(AND(F$5&gt;=$C$11,F$5&lt;=$E$23),1,"")</f>
        <v>#VALUE!</v>
      </c>
      <c r="G33" s="14" t="e">
        <f t="shared" si="41"/>
        <v>#VALUE!</v>
      </c>
      <c r="H33" s="14" t="e">
        <f t="shared" si="41"/>
        <v>#VALUE!</v>
      </c>
      <c r="I33" s="14" t="e">
        <f t="shared" si="41"/>
        <v>#VALUE!</v>
      </c>
      <c r="J33" s="14" t="e">
        <f t="shared" si="41"/>
        <v>#VALUE!</v>
      </c>
      <c r="K33" s="15" t="e">
        <f t="shared" si="41"/>
        <v>#VALUE!</v>
      </c>
      <c r="L33" s="16" t="e">
        <f t="shared" si="41"/>
        <v>#VALUE!</v>
      </c>
      <c r="M33" s="13" t="e">
        <f t="shared" si="41"/>
        <v>#VALUE!</v>
      </c>
      <c r="N33" s="14" t="e">
        <f t="shared" si="41"/>
        <v>#VALUE!</v>
      </c>
      <c r="O33" s="14" t="e">
        <f t="shared" si="41"/>
        <v>#VALUE!</v>
      </c>
      <c r="P33" s="14" t="e">
        <f t="shared" si="41"/>
        <v>#VALUE!</v>
      </c>
      <c r="Q33" s="14" t="e">
        <f t="shared" si="41"/>
        <v>#VALUE!</v>
      </c>
      <c r="R33" s="15" t="e">
        <f t="shared" si="41"/>
        <v>#VALUE!</v>
      </c>
      <c r="S33" s="16" t="e">
        <f t="shared" si="41"/>
        <v>#VALUE!</v>
      </c>
      <c r="T33" s="13" t="e">
        <f t="shared" si="41"/>
        <v>#VALUE!</v>
      </c>
      <c r="U33" s="14" t="e">
        <f t="shared" si="41"/>
        <v>#VALUE!</v>
      </c>
      <c r="V33" s="14" t="e">
        <f t="shared" si="41"/>
        <v>#VALUE!</v>
      </c>
      <c r="W33" s="14" t="e">
        <f t="shared" si="41"/>
        <v>#VALUE!</v>
      </c>
      <c r="X33" s="14" t="e">
        <f t="shared" si="41"/>
        <v>#VALUE!</v>
      </c>
      <c r="Y33" s="15" t="e">
        <f t="shared" si="41"/>
        <v>#VALUE!</v>
      </c>
      <c r="Z33" s="16" t="e">
        <f t="shared" si="41"/>
        <v>#VALUE!</v>
      </c>
      <c r="AA33" s="13" t="e">
        <f t="shared" si="41"/>
        <v>#VALUE!</v>
      </c>
      <c r="AB33" s="14" t="e">
        <f t="shared" si="41"/>
        <v>#VALUE!</v>
      </c>
      <c r="AC33" s="14" t="e">
        <f t="shared" si="41"/>
        <v>#VALUE!</v>
      </c>
      <c r="AD33" s="14" t="e">
        <f t="shared" si="41"/>
        <v>#VALUE!</v>
      </c>
      <c r="AE33" s="14" t="e">
        <f t="shared" si="41"/>
        <v>#VALUE!</v>
      </c>
      <c r="AF33" s="15" t="e">
        <f t="shared" si="41"/>
        <v>#VALUE!</v>
      </c>
      <c r="AG33" s="16" t="e">
        <f t="shared" si="41"/>
        <v>#VALUE!</v>
      </c>
      <c r="AH33" s="13" t="e">
        <f t="shared" si="41"/>
        <v>#VALUE!</v>
      </c>
      <c r="AI33" s="14" t="e">
        <f t="shared" si="41"/>
        <v>#VALUE!</v>
      </c>
      <c r="AJ33" s="14" t="e">
        <f t="shared" si="41"/>
        <v>#VALUE!</v>
      </c>
      <c r="AK33" s="14" t="e">
        <f t="shared" si="41"/>
        <v>#VALUE!</v>
      </c>
      <c r="AL33" s="14" t="e">
        <f t="shared" ref="AL33:BQ33" si="42">IF(AND(AL$5&gt;=$C$11,AL$5&lt;=$E$23),1,"")</f>
        <v>#VALUE!</v>
      </c>
      <c r="AM33" s="15" t="e">
        <f t="shared" si="42"/>
        <v>#VALUE!</v>
      </c>
      <c r="AN33" s="16" t="e">
        <f t="shared" si="42"/>
        <v>#VALUE!</v>
      </c>
      <c r="AO33" s="13" t="e">
        <f t="shared" si="42"/>
        <v>#VALUE!</v>
      </c>
      <c r="AP33" s="14" t="e">
        <f t="shared" si="42"/>
        <v>#VALUE!</v>
      </c>
      <c r="AQ33" s="14" t="e">
        <f t="shared" si="42"/>
        <v>#VALUE!</v>
      </c>
      <c r="AR33" s="14" t="e">
        <f t="shared" si="42"/>
        <v>#VALUE!</v>
      </c>
      <c r="AS33" s="14" t="e">
        <f t="shared" si="42"/>
        <v>#VALUE!</v>
      </c>
      <c r="AT33" s="15" t="e">
        <f t="shared" si="42"/>
        <v>#VALUE!</v>
      </c>
      <c r="AU33" s="16" t="e">
        <f t="shared" si="42"/>
        <v>#VALUE!</v>
      </c>
      <c r="AV33" s="13" t="e">
        <f t="shared" si="42"/>
        <v>#VALUE!</v>
      </c>
      <c r="AW33" s="14" t="e">
        <f t="shared" si="42"/>
        <v>#VALUE!</v>
      </c>
      <c r="AX33" s="14" t="e">
        <f t="shared" si="42"/>
        <v>#VALUE!</v>
      </c>
      <c r="AY33" s="14" t="e">
        <f t="shared" si="42"/>
        <v>#VALUE!</v>
      </c>
      <c r="AZ33" s="14" t="e">
        <f t="shared" si="42"/>
        <v>#VALUE!</v>
      </c>
      <c r="BA33" s="15" t="e">
        <f t="shared" si="42"/>
        <v>#VALUE!</v>
      </c>
      <c r="BB33" s="16" t="e">
        <f t="shared" si="42"/>
        <v>#VALUE!</v>
      </c>
      <c r="BC33" s="13" t="e">
        <f t="shared" si="42"/>
        <v>#VALUE!</v>
      </c>
      <c r="BD33" s="14" t="e">
        <f t="shared" si="42"/>
        <v>#VALUE!</v>
      </c>
      <c r="BE33" s="14" t="e">
        <f t="shared" si="42"/>
        <v>#VALUE!</v>
      </c>
      <c r="BF33" s="14" t="e">
        <f t="shared" si="42"/>
        <v>#VALUE!</v>
      </c>
      <c r="BG33" s="14" t="e">
        <f t="shared" si="42"/>
        <v>#VALUE!</v>
      </c>
      <c r="BH33" s="15" t="e">
        <f t="shared" si="42"/>
        <v>#VALUE!</v>
      </c>
      <c r="BI33" s="16" t="e">
        <f t="shared" si="42"/>
        <v>#VALUE!</v>
      </c>
      <c r="BJ33" s="13" t="e">
        <f t="shared" si="42"/>
        <v>#VALUE!</v>
      </c>
      <c r="BK33" s="14" t="e">
        <f t="shared" si="42"/>
        <v>#VALUE!</v>
      </c>
      <c r="BL33" s="14" t="e">
        <f t="shared" si="42"/>
        <v>#VALUE!</v>
      </c>
      <c r="BM33" s="14" t="e">
        <f t="shared" si="42"/>
        <v>#VALUE!</v>
      </c>
      <c r="BN33" s="14" t="e">
        <f t="shared" si="42"/>
        <v>#VALUE!</v>
      </c>
      <c r="BO33" s="15" t="e">
        <f t="shared" si="42"/>
        <v>#VALUE!</v>
      </c>
      <c r="BP33" s="16" t="e">
        <f t="shared" si="42"/>
        <v>#VALUE!</v>
      </c>
      <c r="BQ33" s="13" t="e">
        <f t="shared" si="42"/>
        <v>#VALUE!</v>
      </c>
      <c r="BR33" s="14" t="e">
        <f t="shared" ref="BR33:CW33" si="43">IF(AND(BR$5&gt;=$C$11,BR$5&lt;=$E$23),1,"")</f>
        <v>#VALUE!</v>
      </c>
      <c r="BS33" s="14" t="e">
        <f t="shared" si="43"/>
        <v>#VALUE!</v>
      </c>
      <c r="BT33" s="14" t="e">
        <f t="shared" si="43"/>
        <v>#VALUE!</v>
      </c>
      <c r="BU33" s="14" t="e">
        <f t="shared" si="43"/>
        <v>#VALUE!</v>
      </c>
      <c r="BV33" s="15" t="e">
        <f t="shared" si="43"/>
        <v>#VALUE!</v>
      </c>
      <c r="BW33" s="16" t="e">
        <f t="shared" si="43"/>
        <v>#VALUE!</v>
      </c>
      <c r="BX33" s="13" t="e">
        <f t="shared" si="43"/>
        <v>#VALUE!</v>
      </c>
      <c r="BY33" s="14" t="e">
        <f t="shared" si="43"/>
        <v>#VALUE!</v>
      </c>
      <c r="BZ33" s="14" t="e">
        <f t="shared" si="43"/>
        <v>#VALUE!</v>
      </c>
      <c r="CA33" s="14" t="e">
        <f t="shared" si="43"/>
        <v>#VALUE!</v>
      </c>
      <c r="CB33" s="14" t="e">
        <f t="shared" si="43"/>
        <v>#VALUE!</v>
      </c>
      <c r="CC33" s="15" t="e">
        <f t="shared" si="43"/>
        <v>#VALUE!</v>
      </c>
      <c r="CD33" s="16" t="e">
        <f t="shared" si="43"/>
        <v>#VALUE!</v>
      </c>
      <c r="CE33" s="13" t="e">
        <f t="shared" si="43"/>
        <v>#VALUE!</v>
      </c>
      <c r="CF33" s="14" t="e">
        <f t="shared" si="43"/>
        <v>#VALUE!</v>
      </c>
      <c r="CG33" s="14" t="e">
        <f t="shared" si="43"/>
        <v>#VALUE!</v>
      </c>
      <c r="CH33" s="14" t="e">
        <f t="shared" si="43"/>
        <v>#VALUE!</v>
      </c>
      <c r="CI33" s="14" t="e">
        <f t="shared" si="43"/>
        <v>#VALUE!</v>
      </c>
      <c r="CJ33" s="15" t="e">
        <f t="shared" si="43"/>
        <v>#VALUE!</v>
      </c>
      <c r="CK33" s="16" t="e">
        <f t="shared" si="43"/>
        <v>#VALUE!</v>
      </c>
      <c r="CL33" s="13" t="e">
        <f t="shared" si="43"/>
        <v>#VALUE!</v>
      </c>
      <c r="CM33" s="14" t="e">
        <f t="shared" si="43"/>
        <v>#VALUE!</v>
      </c>
      <c r="CN33" s="14" t="e">
        <f t="shared" si="43"/>
        <v>#VALUE!</v>
      </c>
      <c r="CO33" s="14" t="e">
        <f t="shared" si="43"/>
        <v>#VALUE!</v>
      </c>
      <c r="CP33" s="14" t="e">
        <f t="shared" si="43"/>
        <v>#VALUE!</v>
      </c>
      <c r="CQ33" s="15" t="e">
        <f t="shared" si="43"/>
        <v>#VALUE!</v>
      </c>
      <c r="CR33" s="16" t="e">
        <f t="shared" si="43"/>
        <v>#VALUE!</v>
      </c>
      <c r="CS33" s="13" t="e">
        <f t="shared" si="43"/>
        <v>#VALUE!</v>
      </c>
      <c r="CT33" s="14" t="e">
        <f t="shared" si="43"/>
        <v>#VALUE!</v>
      </c>
      <c r="CU33" s="14" t="e">
        <f t="shared" si="43"/>
        <v>#VALUE!</v>
      </c>
      <c r="CV33" s="14" t="e">
        <f t="shared" si="43"/>
        <v>#VALUE!</v>
      </c>
      <c r="CW33" s="14" t="e">
        <f t="shared" si="43"/>
        <v>#VALUE!</v>
      </c>
      <c r="CX33" s="15" t="e">
        <f t="shared" ref="CX33:DT33" si="44">IF(AND(CX$5&gt;=$C$11,CX$5&lt;=$E$23),1,"")</f>
        <v>#VALUE!</v>
      </c>
      <c r="CY33" s="16" t="e">
        <f t="shared" si="44"/>
        <v>#VALUE!</v>
      </c>
      <c r="CZ33" s="13" t="e">
        <f t="shared" si="44"/>
        <v>#VALUE!</v>
      </c>
      <c r="DA33" s="14" t="e">
        <f t="shared" si="44"/>
        <v>#VALUE!</v>
      </c>
      <c r="DB33" s="14" t="e">
        <f t="shared" si="44"/>
        <v>#VALUE!</v>
      </c>
      <c r="DC33" s="14" t="e">
        <f t="shared" si="44"/>
        <v>#VALUE!</v>
      </c>
      <c r="DD33" s="14" t="e">
        <f t="shared" si="44"/>
        <v>#VALUE!</v>
      </c>
      <c r="DE33" s="15" t="e">
        <f t="shared" si="44"/>
        <v>#VALUE!</v>
      </c>
      <c r="DF33" s="16" t="e">
        <f t="shared" si="44"/>
        <v>#VALUE!</v>
      </c>
      <c r="DG33" s="13" t="e">
        <f t="shared" si="44"/>
        <v>#VALUE!</v>
      </c>
      <c r="DH33" s="14" t="e">
        <f t="shared" si="44"/>
        <v>#VALUE!</v>
      </c>
      <c r="DI33" s="14" t="e">
        <f t="shared" si="44"/>
        <v>#VALUE!</v>
      </c>
      <c r="DJ33" s="14" t="e">
        <f t="shared" si="44"/>
        <v>#VALUE!</v>
      </c>
      <c r="DK33" s="14" t="e">
        <f t="shared" si="44"/>
        <v>#VALUE!</v>
      </c>
      <c r="DL33" s="15" t="e">
        <f t="shared" si="44"/>
        <v>#VALUE!</v>
      </c>
      <c r="DM33" s="16" t="e">
        <f t="shared" si="44"/>
        <v>#VALUE!</v>
      </c>
      <c r="DN33" s="13" t="e">
        <f t="shared" si="44"/>
        <v>#VALUE!</v>
      </c>
      <c r="DO33" s="14" t="e">
        <f t="shared" si="44"/>
        <v>#VALUE!</v>
      </c>
      <c r="DP33" s="14" t="e">
        <f t="shared" si="44"/>
        <v>#VALUE!</v>
      </c>
      <c r="DQ33" s="14" t="e">
        <f t="shared" si="44"/>
        <v>#VALUE!</v>
      </c>
      <c r="DR33" s="14" t="e">
        <f t="shared" si="44"/>
        <v>#VALUE!</v>
      </c>
      <c r="DS33" s="15" t="e">
        <f t="shared" si="44"/>
        <v>#VALUE!</v>
      </c>
      <c r="DT33" s="16" t="e">
        <f t="shared" si="44"/>
        <v>#VALUE!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34" t="s">
        <v>60</v>
      </c>
      <c r="B35" s="535"/>
      <c r="C35" s="536" t="e">
        <f>E23-C8+1</f>
        <v>#VALUE!</v>
      </c>
      <c r="D35" s="535"/>
      <c r="E35" s="537"/>
      <c r="F35" s="14" t="e">
        <f t="shared" ref="F35:AK35" si="45">IF(AND(F$5&gt;=$C$8,F$5&lt;=$E$23),1,"")</f>
        <v>#VALUE!</v>
      </c>
      <c r="G35" s="14" t="e">
        <f t="shared" si="45"/>
        <v>#VALUE!</v>
      </c>
      <c r="H35" s="14" t="e">
        <f t="shared" si="45"/>
        <v>#VALUE!</v>
      </c>
      <c r="I35" s="14" t="e">
        <f t="shared" si="45"/>
        <v>#VALUE!</v>
      </c>
      <c r="J35" s="14" t="e">
        <f t="shared" si="45"/>
        <v>#VALUE!</v>
      </c>
      <c r="K35" s="15" t="e">
        <f t="shared" si="45"/>
        <v>#VALUE!</v>
      </c>
      <c r="L35" s="16" t="e">
        <f t="shared" si="45"/>
        <v>#VALUE!</v>
      </c>
      <c r="M35" s="13" t="e">
        <f t="shared" si="45"/>
        <v>#VALUE!</v>
      </c>
      <c r="N35" s="14" t="e">
        <f t="shared" si="45"/>
        <v>#VALUE!</v>
      </c>
      <c r="O35" s="14" t="e">
        <f t="shared" si="45"/>
        <v>#VALUE!</v>
      </c>
      <c r="P35" s="14" t="e">
        <f t="shared" si="45"/>
        <v>#VALUE!</v>
      </c>
      <c r="Q35" s="14" t="e">
        <f t="shared" si="45"/>
        <v>#VALUE!</v>
      </c>
      <c r="R35" s="15" t="e">
        <f t="shared" si="45"/>
        <v>#VALUE!</v>
      </c>
      <c r="S35" s="16" t="e">
        <f t="shared" si="45"/>
        <v>#VALUE!</v>
      </c>
      <c r="T35" s="13" t="e">
        <f t="shared" si="45"/>
        <v>#VALUE!</v>
      </c>
      <c r="U35" s="14" t="e">
        <f t="shared" si="45"/>
        <v>#VALUE!</v>
      </c>
      <c r="V35" s="14" t="e">
        <f t="shared" si="45"/>
        <v>#VALUE!</v>
      </c>
      <c r="W35" s="14" t="e">
        <f t="shared" si="45"/>
        <v>#VALUE!</v>
      </c>
      <c r="X35" s="14" t="e">
        <f t="shared" si="45"/>
        <v>#VALUE!</v>
      </c>
      <c r="Y35" s="15" t="e">
        <f t="shared" si="45"/>
        <v>#VALUE!</v>
      </c>
      <c r="Z35" s="16" t="e">
        <f t="shared" si="45"/>
        <v>#VALUE!</v>
      </c>
      <c r="AA35" s="13" t="e">
        <f t="shared" si="45"/>
        <v>#VALUE!</v>
      </c>
      <c r="AB35" s="14" t="e">
        <f t="shared" si="45"/>
        <v>#VALUE!</v>
      </c>
      <c r="AC35" s="14" t="e">
        <f t="shared" si="45"/>
        <v>#VALUE!</v>
      </c>
      <c r="AD35" s="14" t="e">
        <f t="shared" si="45"/>
        <v>#VALUE!</v>
      </c>
      <c r="AE35" s="14" t="e">
        <f t="shared" si="45"/>
        <v>#VALUE!</v>
      </c>
      <c r="AF35" s="15" t="e">
        <f t="shared" si="45"/>
        <v>#VALUE!</v>
      </c>
      <c r="AG35" s="16" t="e">
        <f t="shared" si="45"/>
        <v>#VALUE!</v>
      </c>
      <c r="AH35" s="13" t="e">
        <f t="shared" si="45"/>
        <v>#VALUE!</v>
      </c>
      <c r="AI35" s="14" t="e">
        <f t="shared" si="45"/>
        <v>#VALUE!</v>
      </c>
      <c r="AJ35" s="14" t="e">
        <f t="shared" si="45"/>
        <v>#VALUE!</v>
      </c>
      <c r="AK35" s="14" t="e">
        <f t="shared" si="45"/>
        <v>#VALUE!</v>
      </c>
      <c r="AL35" s="14" t="e">
        <f t="shared" ref="AL35:BQ35" si="46">IF(AND(AL$5&gt;=$C$8,AL$5&lt;=$E$23),1,"")</f>
        <v>#VALUE!</v>
      </c>
      <c r="AM35" s="15" t="e">
        <f t="shared" si="46"/>
        <v>#VALUE!</v>
      </c>
      <c r="AN35" s="16" t="e">
        <f t="shared" si="46"/>
        <v>#VALUE!</v>
      </c>
      <c r="AO35" s="13" t="e">
        <f t="shared" si="46"/>
        <v>#VALUE!</v>
      </c>
      <c r="AP35" s="14" t="e">
        <f t="shared" si="46"/>
        <v>#VALUE!</v>
      </c>
      <c r="AQ35" s="14" t="e">
        <f t="shared" si="46"/>
        <v>#VALUE!</v>
      </c>
      <c r="AR35" s="14" t="e">
        <f t="shared" si="46"/>
        <v>#VALUE!</v>
      </c>
      <c r="AS35" s="14" t="e">
        <f t="shared" si="46"/>
        <v>#VALUE!</v>
      </c>
      <c r="AT35" s="15" t="e">
        <f t="shared" si="46"/>
        <v>#VALUE!</v>
      </c>
      <c r="AU35" s="16" t="e">
        <f t="shared" si="46"/>
        <v>#VALUE!</v>
      </c>
      <c r="AV35" s="13" t="e">
        <f t="shared" si="46"/>
        <v>#VALUE!</v>
      </c>
      <c r="AW35" s="14" t="e">
        <f t="shared" si="46"/>
        <v>#VALUE!</v>
      </c>
      <c r="AX35" s="14" t="e">
        <f t="shared" si="46"/>
        <v>#VALUE!</v>
      </c>
      <c r="AY35" s="14" t="e">
        <f t="shared" si="46"/>
        <v>#VALUE!</v>
      </c>
      <c r="AZ35" s="14" t="e">
        <f t="shared" si="46"/>
        <v>#VALUE!</v>
      </c>
      <c r="BA35" s="15" t="e">
        <f t="shared" si="46"/>
        <v>#VALUE!</v>
      </c>
      <c r="BB35" s="16" t="e">
        <f t="shared" si="46"/>
        <v>#VALUE!</v>
      </c>
      <c r="BC35" s="13" t="e">
        <f t="shared" si="46"/>
        <v>#VALUE!</v>
      </c>
      <c r="BD35" s="14" t="e">
        <f t="shared" si="46"/>
        <v>#VALUE!</v>
      </c>
      <c r="BE35" s="14" t="e">
        <f t="shared" si="46"/>
        <v>#VALUE!</v>
      </c>
      <c r="BF35" s="14" t="e">
        <f t="shared" si="46"/>
        <v>#VALUE!</v>
      </c>
      <c r="BG35" s="14" t="e">
        <f t="shared" si="46"/>
        <v>#VALUE!</v>
      </c>
      <c r="BH35" s="15" t="e">
        <f t="shared" si="46"/>
        <v>#VALUE!</v>
      </c>
      <c r="BI35" s="16" t="e">
        <f t="shared" si="46"/>
        <v>#VALUE!</v>
      </c>
      <c r="BJ35" s="13" t="e">
        <f t="shared" si="46"/>
        <v>#VALUE!</v>
      </c>
      <c r="BK35" s="14" t="e">
        <f t="shared" si="46"/>
        <v>#VALUE!</v>
      </c>
      <c r="BL35" s="14" t="e">
        <f t="shared" si="46"/>
        <v>#VALUE!</v>
      </c>
      <c r="BM35" s="14" t="e">
        <f t="shared" si="46"/>
        <v>#VALUE!</v>
      </c>
      <c r="BN35" s="14" t="e">
        <f t="shared" si="46"/>
        <v>#VALUE!</v>
      </c>
      <c r="BO35" s="15" t="e">
        <f t="shared" si="46"/>
        <v>#VALUE!</v>
      </c>
      <c r="BP35" s="16" t="e">
        <f t="shared" si="46"/>
        <v>#VALUE!</v>
      </c>
      <c r="BQ35" s="13" t="e">
        <f t="shared" si="46"/>
        <v>#VALUE!</v>
      </c>
      <c r="BR35" s="14" t="e">
        <f t="shared" ref="BR35:CW35" si="47">IF(AND(BR$5&gt;=$C$8,BR$5&lt;=$E$23),1,"")</f>
        <v>#VALUE!</v>
      </c>
      <c r="BS35" s="14" t="e">
        <f t="shared" si="47"/>
        <v>#VALUE!</v>
      </c>
      <c r="BT35" s="14" t="e">
        <f t="shared" si="47"/>
        <v>#VALUE!</v>
      </c>
      <c r="BU35" s="14" t="e">
        <f t="shared" si="47"/>
        <v>#VALUE!</v>
      </c>
      <c r="BV35" s="15" t="e">
        <f t="shared" si="47"/>
        <v>#VALUE!</v>
      </c>
      <c r="BW35" s="16" t="e">
        <f t="shared" si="47"/>
        <v>#VALUE!</v>
      </c>
      <c r="BX35" s="13" t="e">
        <f t="shared" si="47"/>
        <v>#VALUE!</v>
      </c>
      <c r="BY35" s="14" t="e">
        <f t="shared" si="47"/>
        <v>#VALUE!</v>
      </c>
      <c r="BZ35" s="14" t="e">
        <f t="shared" si="47"/>
        <v>#VALUE!</v>
      </c>
      <c r="CA35" s="14" t="e">
        <f t="shared" si="47"/>
        <v>#VALUE!</v>
      </c>
      <c r="CB35" s="14" t="e">
        <f t="shared" si="47"/>
        <v>#VALUE!</v>
      </c>
      <c r="CC35" s="15" t="e">
        <f t="shared" si="47"/>
        <v>#VALUE!</v>
      </c>
      <c r="CD35" s="16" t="e">
        <f t="shared" si="47"/>
        <v>#VALUE!</v>
      </c>
      <c r="CE35" s="13" t="e">
        <f t="shared" si="47"/>
        <v>#VALUE!</v>
      </c>
      <c r="CF35" s="14" t="e">
        <f t="shared" si="47"/>
        <v>#VALUE!</v>
      </c>
      <c r="CG35" s="14" t="e">
        <f t="shared" si="47"/>
        <v>#VALUE!</v>
      </c>
      <c r="CH35" s="14" t="e">
        <f t="shared" si="47"/>
        <v>#VALUE!</v>
      </c>
      <c r="CI35" s="14" t="e">
        <f t="shared" si="47"/>
        <v>#VALUE!</v>
      </c>
      <c r="CJ35" s="15" t="e">
        <f t="shared" si="47"/>
        <v>#VALUE!</v>
      </c>
      <c r="CK35" s="16" t="e">
        <f t="shared" si="47"/>
        <v>#VALUE!</v>
      </c>
      <c r="CL35" s="13" t="e">
        <f t="shared" si="47"/>
        <v>#VALUE!</v>
      </c>
      <c r="CM35" s="14" t="e">
        <f t="shared" si="47"/>
        <v>#VALUE!</v>
      </c>
      <c r="CN35" s="14" t="e">
        <f t="shared" si="47"/>
        <v>#VALUE!</v>
      </c>
      <c r="CO35" s="14" t="e">
        <f t="shared" si="47"/>
        <v>#VALUE!</v>
      </c>
      <c r="CP35" s="14" t="e">
        <f t="shared" si="47"/>
        <v>#VALUE!</v>
      </c>
      <c r="CQ35" s="15" t="e">
        <f t="shared" si="47"/>
        <v>#VALUE!</v>
      </c>
      <c r="CR35" s="16" t="e">
        <f t="shared" si="47"/>
        <v>#VALUE!</v>
      </c>
      <c r="CS35" s="13" t="e">
        <f t="shared" si="47"/>
        <v>#VALUE!</v>
      </c>
      <c r="CT35" s="14" t="e">
        <f t="shared" si="47"/>
        <v>#VALUE!</v>
      </c>
      <c r="CU35" s="14" t="e">
        <f t="shared" si="47"/>
        <v>#VALUE!</v>
      </c>
      <c r="CV35" s="14" t="e">
        <f t="shared" si="47"/>
        <v>#VALUE!</v>
      </c>
      <c r="CW35" s="14" t="e">
        <f t="shared" si="47"/>
        <v>#VALUE!</v>
      </c>
      <c r="CX35" s="15" t="e">
        <f t="shared" ref="CX35:DT35" si="48">IF(AND(CX$5&gt;=$C$8,CX$5&lt;=$E$23),1,"")</f>
        <v>#VALUE!</v>
      </c>
      <c r="CY35" s="16" t="e">
        <f t="shared" si="48"/>
        <v>#VALUE!</v>
      </c>
      <c r="CZ35" s="13" t="e">
        <f t="shared" si="48"/>
        <v>#VALUE!</v>
      </c>
      <c r="DA35" s="14" t="e">
        <f t="shared" si="48"/>
        <v>#VALUE!</v>
      </c>
      <c r="DB35" s="14" t="e">
        <f t="shared" si="48"/>
        <v>#VALUE!</v>
      </c>
      <c r="DC35" s="14" t="e">
        <f t="shared" si="48"/>
        <v>#VALUE!</v>
      </c>
      <c r="DD35" s="14" t="e">
        <f t="shared" si="48"/>
        <v>#VALUE!</v>
      </c>
      <c r="DE35" s="15" t="e">
        <f t="shared" si="48"/>
        <v>#VALUE!</v>
      </c>
      <c r="DF35" s="16" t="e">
        <f t="shared" si="48"/>
        <v>#VALUE!</v>
      </c>
      <c r="DG35" s="13" t="e">
        <f t="shared" si="48"/>
        <v>#VALUE!</v>
      </c>
      <c r="DH35" s="14" t="e">
        <f t="shared" si="48"/>
        <v>#VALUE!</v>
      </c>
      <c r="DI35" s="14" t="e">
        <f t="shared" si="48"/>
        <v>#VALUE!</v>
      </c>
      <c r="DJ35" s="14" t="e">
        <f t="shared" si="48"/>
        <v>#VALUE!</v>
      </c>
      <c r="DK35" s="14" t="e">
        <f t="shared" si="48"/>
        <v>#VALUE!</v>
      </c>
      <c r="DL35" s="15" t="e">
        <f t="shared" si="48"/>
        <v>#VALUE!</v>
      </c>
      <c r="DM35" s="16" t="e">
        <f t="shared" si="48"/>
        <v>#VALUE!</v>
      </c>
      <c r="DN35" s="13" t="e">
        <f t="shared" si="48"/>
        <v>#VALUE!</v>
      </c>
      <c r="DO35" s="14" t="e">
        <f t="shared" si="48"/>
        <v>#VALUE!</v>
      </c>
      <c r="DP35" s="14" t="e">
        <f t="shared" si="48"/>
        <v>#VALUE!</v>
      </c>
      <c r="DQ35" s="14" t="e">
        <f t="shared" si="48"/>
        <v>#VALUE!</v>
      </c>
      <c r="DR35" s="14" t="e">
        <f t="shared" si="48"/>
        <v>#VALUE!</v>
      </c>
      <c r="DS35" s="15" t="e">
        <f t="shared" si="48"/>
        <v>#VALUE!</v>
      </c>
      <c r="DT35" s="16" t="e">
        <f t="shared" si="48"/>
        <v>#VALUE!</v>
      </c>
    </row>
    <row r="36" spans="1:124" ht="2.1" customHeight="1"/>
    <row r="37" spans="1:124" s="17" customFormat="1" ht="15" customHeight="1">
      <c r="A37" s="538" t="s">
        <v>61</v>
      </c>
      <c r="B37" s="535"/>
      <c r="C37" s="539" t="e">
        <f>E23-IF(B1="SFK Freight Forwarder",C11,C8)+1</f>
        <v>#VALUE!</v>
      </c>
      <c r="D37" s="535"/>
      <c r="E37" s="537"/>
      <c r="F37" s="14" t="e">
        <f t="shared" ref="F37:AK37" si="49">IF($B$1="SFK Freight Forwarder",IF(AND(F$5&gt;=$C$11,F$5&lt;=$E$23),1,""),IF(AND(F$5&gt;=$C$8,F$5&lt;=$E$23),1,""))</f>
        <v>#VALUE!</v>
      </c>
      <c r="G37" s="14" t="e">
        <f t="shared" si="49"/>
        <v>#VALUE!</v>
      </c>
      <c r="H37" s="14" t="e">
        <f t="shared" si="49"/>
        <v>#VALUE!</v>
      </c>
      <c r="I37" s="14" t="e">
        <f t="shared" si="49"/>
        <v>#VALUE!</v>
      </c>
      <c r="J37" s="14" t="e">
        <f t="shared" si="49"/>
        <v>#VALUE!</v>
      </c>
      <c r="K37" s="15" t="e">
        <f t="shared" si="49"/>
        <v>#VALUE!</v>
      </c>
      <c r="L37" s="92" t="e">
        <f t="shared" si="49"/>
        <v>#VALUE!</v>
      </c>
      <c r="M37" s="13" t="e">
        <f t="shared" si="49"/>
        <v>#VALUE!</v>
      </c>
      <c r="N37" s="14" t="e">
        <f t="shared" si="49"/>
        <v>#VALUE!</v>
      </c>
      <c r="O37" s="14" t="e">
        <f t="shared" si="49"/>
        <v>#VALUE!</v>
      </c>
      <c r="P37" s="14" t="e">
        <f t="shared" si="49"/>
        <v>#VALUE!</v>
      </c>
      <c r="Q37" s="14" t="e">
        <f t="shared" si="49"/>
        <v>#VALUE!</v>
      </c>
      <c r="R37" s="15" t="e">
        <f t="shared" si="49"/>
        <v>#VALUE!</v>
      </c>
      <c r="S37" s="16" t="e">
        <f t="shared" si="49"/>
        <v>#VALUE!</v>
      </c>
      <c r="T37" s="13" t="e">
        <f t="shared" si="49"/>
        <v>#VALUE!</v>
      </c>
      <c r="U37" s="14" t="e">
        <f t="shared" si="49"/>
        <v>#VALUE!</v>
      </c>
      <c r="V37" s="14" t="e">
        <f t="shared" si="49"/>
        <v>#VALUE!</v>
      </c>
      <c r="W37" s="14" t="e">
        <f t="shared" si="49"/>
        <v>#VALUE!</v>
      </c>
      <c r="X37" s="14" t="e">
        <f t="shared" si="49"/>
        <v>#VALUE!</v>
      </c>
      <c r="Y37" s="15" t="e">
        <f t="shared" si="49"/>
        <v>#VALUE!</v>
      </c>
      <c r="Z37" s="16" t="e">
        <f t="shared" si="49"/>
        <v>#VALUE!</v>
      </c>
      <c r="AA37" s="13" t="e">
        <f t="shared" si="49"/>
        <v>#VALUE!</v>
      </c>
      <c r="AB37" s="14" t="e">
        <f t="shared" si="49"/>
        <v>#VALUE!</v>
      </c>
      <c r="AC37" s="14" t="e">
        <f t="shared" si="49"/>
        <v>#VALUE!</v>
      </c>
      <c r="AD37" s="14" t="e">
        <f t="shared" si="49"/>
        <v>#VALUE!</v>
      </c>
      <c r="AE37" s="14" t="e">
        <f t="shared" si="49"/>
        <v>#VALUE!</v>
      </c>
      <c r="AF37" s="15" t="e">
        <f t="shared" si="49"/>
        <v>#VALUE!</v>
      </c>
      <c r="AG37" s="16" t="e">
        <f t="shared" si="49"/>
        <v>#VALUE!</v>
      </c>
      <c r="AH37" s="13" t="e">
        <f t="shared" si="49"/>
        <v>#VALUE!</v>
      </c>
      <c r="AI37" s="14" t="e">
        <f t="shared" si="49"/>
        <v>#VALUE!</v>
      </c>
      <c r="AJ37" s="14" t="e">
        <f t="shared" si="49"/>
        <v>#VALUE!</v>
      </c>
      <c r="AK37" s="14" t="e">
        <f t="shared" si="49"/>
        <v>#VALUE!</v>
      </c>
      <c r="AL37" s="14" t="e">
        <f t="shared" ref="AL37:BQ37" si="50">IF($B$1="SFK Freight Forwarder",IF(AND(AL$5&gt;=$C$11,AL$5&lt;=$E$23),1,""),IF(AND(AL$5&gt;=$C$8,AL$5&lt;=$E$23),1,""))</f>
        <v>#VALUE!</v>
      </c>
      <c r="AM37" s="15" t="e">
        <f t="shared" si="50"/>
        <v>#VALUE!</v>
      </c>
      <c r="AN37" s="16" t="e">
        <f t="shared" si="50"/>
        <v>#VALUE!</v>
      </c>
      <c r="AO37" s="13" t="e">
        <f t="shared" si="50"/>
        <v>#VALUE!</v>
      </c>
      <c r="AP37" s="14" t="e">
        <f t="shared" si="50"/>
        <v>#VALUE!</v>
      </c>
      <c r="AQ37" s="14" t="e">
        <f t="shared" si="50"/>
        <v>#VALUE!</v>
      </c>
      <c r="AR37" s="14" t="e">
        <f t="shared" si="50"/>
        <v>#VALUE!</v>
      </c>
      <c r="AS37" s="14" t="e">
        <f t="shared" si="50"/>
        <v>#VALUE!</v>
      </c>
      <c r="AT37" s="15" t="e">
        <f t="shared" si="50"/>
        <v>#VALUE!</v>
      </c>
      <c r="AU37" s="16" t="e">
        <f t="shared" si="50"/>
        <v>#VALUE!</v>
      </c>
      <c r="AV37" s="13" t="e">
        <f t="shared" si="50"/>
        <v>#VALUE!</v>
      </c>
      <c r="AW37" s="14" t="e">
        <f t="shared" si="50"/>
        <v>#VALUE!</v>
      </c>
      <c r="AX37" s="14" t="e">
        <f t="shared" si="50"/>
        <v>#VALUE!</v>
      </c>
      <c r="AY37" s="14" t="e">
        <f t="shared" si="50"/>
        <v>#VALUE!</v>
      </c>
      <c r="AZ37" s="14" t="e">
        <f t="shared" si="50"/>
        <v>#VALUE!</v>
      </c>
      <c r="BA37" s="15" t="e">
        <f t="shared" si="50"/>
        <v>#VALUE!</v>
      </c>
      <c r="BB37" s="16" t="e">
        <f t="shared" si="50"/>
        <v>#VALUE!</v>
      </c>
      <c r="BC37" s="13" t="e">
        <f t="shared" si="50"/>
        <v>#VALUE!</v>
      </c>
      <c r="BD37" s="14" t="e">
        <f t="shared" si="50"/>
        <v>#VALUE!</v>
      </c>
      <c r="BE37" s="14" t="e">
        <f t="shared" si="50"/>
        <v>#VALUE!</v>
      </c>
      <c r="BF37" s="14" t="e">
        <f t="shared" si="50"/>
        <v>#VALUE!</v>
      </c>
      <c r="BG37" s="14" t="e">
        <f t="shared" si="50"/>
        <v>#VALUE!</v>
      </c>
      <c r="BH37" s="15" t="e">
        <f t="shared" si="50"/>
        <v>#VALUE!</v>
      </c>
      <c r="BI37" s="16" t="e">
        <f t="shared" si="50"/>
        <v>#VALUE!</v>
      </c>
      <c r="BJ37" s="13" t="e">
        <f t="shared" si="50"/>
        <v>#VALUE!</v>
      </c>
      <c r="BK37" s="14" t="e">
        <f t="shared" si="50"/>
        <v>#VALUE!</v>
      </c>
      <c r="BL37" s="14" t="e">
        <f t="shared" si="50"/>
        <v>#VALUE!</v>
      </c>
      <c r="BM37" s="14" t="e">
        <f t="shared" si="50"/>
        <v>#VALUE!</v>
      </c>
      <c r="BN37" s="14" t="e">
        <f t="shared" si="50"/>
        <v>#VALUE!</v>
      </c>
      <c r="BO37" s="15" t="e">
        <f t="shared" si="50"/>
        <v>#VALUE!</v>
      </c>
      <c r="BP37" s="16" t="e">
        <f t="shared" si="50"/>
        <v>#VALUE!</v>
      </c>
      <c r="BQ37" s="13" t="e">
        <f t="shared" si="50"/>
        <v>#VALUE!</v>
      </c>
      <c r="BR37" s="14" t="e">
        <f t="shared" ref="BR37:CW37" si="51">IF($B$1="SFK Freight Forwarder",IF(AND(BR$5&gt;=$C$11,BR$5&lt;=$E$23),1,""),IF(AND(BR$5&gt;=$C$8,BR$5&lt;=$E$23),1,""))</f>
        <v>#VALUE!</v>
      </c>
      <c r="BS37" s="14" t="e">
        <f t="shared" si="51"/>
        <v>#VALUE!</v>
      </c>
      <c r="BT37" s="14" t="e">
        <f t="shared" si="51"/>
        <v>#VALUE!</v>
      </c>
      <c r="BU37" s="14" t="e">
        <f t="shared" si="51"/>
        <v>#VALUE!</v>
      </c>
      <c r="BV37" s="15" t="e">
        <f t="shared" si="51"/>
        <v>#VALUE!</v>
      </c>
      <c r="BW37" s="16" t="e">
        <f t="shared" si="51"/>
        <v>#VALUE!</v>
      </c>
      <c r="BX37" s="13" t="e">
        <f t="shared" si="51"/>
        <v>#VALUE!</v>
      </c>
      <c r="BY37" s="14" t="e">
        <f t="shared" si="51"/>
        <v>#VALUE!</v>
      </c>
      <c r="BZ37" s="14" t="e">
        <f t="shared" si="51"/>
        <v>#VALUE!</v>
      </c>
      <c r="CA37" s="14" t="e">
        <f t="shared" si="51"/>
        <v>#VALUE!</v>
      </c>
      <c r="CB37" s="14" t="e">
        <f t="shared" si="51"/>
        <v>#VALUE!</v>
      </c>
      <c r="CC37" s="15" t="e">
        <f t="shared" si="51"/>
        <v>#VALUE!</v>
      </c>
      <c r="CD37" s="16" t="e">
        <f t="shared" si="51"/>
        <v>#VALUE!</v>
      </c>
      <c r="CE37" s="13" t="e">
        <f t="shared" si="51"/>
        <v>#VALUE!</v>
      </c>
      <c r="CF37" s="14" t="e">
        <f t="shared" si="51"/>
        <v>#VALUE!</v>
      </c>
      <c r="CG37" s="14" t="e">
        <f t="shared" si="51"/>
        <v>#VALUE!</v>
      </c>
      <c r="CH37" s="14" t="e">
        <f t="shared" si="51"/>
        <v>#VALUE!</v>
      </c>
      <c r="CI37" s="14" t="e">
        <f t="shared" si="51"/>
        <v>#VALUE!</v>
      </c>
      <c r="CJ37" s="15" t="e">
        <f t="shared" si="51"/>
        <v>#VALUE!</v>
      </c>
      <c r="CK37" s="16" t="e">
        <f t="shared" si="51"/>
        <v>#VALUE!</v>
      </c>
      <c r="CL37" s="13" t="e">
        <f t="shared" si="51"/>
        <v>#VALUE!</v>
      </c>
      <c r="CM37" s="14" t="e">
        <f t="shared" si="51"/>
        <v>#VALUE!</v>
      </c>
      <c r="CN37" s="14" t="e">
        <f t="shared" si="51"/>
        <v>#VALUE!</v>
      </c>
      <c r="CO37" s="14" t="e">
        <f t="shared" si="51"/>
        <v>#VALUE!</v>
      </c>
      <c r="CP37" s="14" t="e">
        <f t="shared" si="51"/>
        <v>#VALUE!</v>
      </c>
      <c r="CQ37" s="15" t="e">
        <f t="shared" si="51"/>
        <v>#VALUE!</v>
      </c>
      <c r="CR37" s="16" t="e">
        <f t="shared" si="51"/>
        <v>#VALUE!</v>
      </c>
      <c r="CS37" s="13" t="e">
        <f t="shared" si="51"/>
        <v>#VALUE!</v>
      </c>
      <c r="CT37" s="14" t="e">
        <f t="shared" si="51"/>
        <v>#VALUE!</v>
      </c>
      <c r="CU37" s="14" t="e">
        <f t="shared" si="51"/>
        <v>#VALUE!</v>
      </c>
      <c r="CV37" s="14" t="e">
        <f t="shared" si="51"/>
        <v>#VALUE!</v>
      </c>
      <c r="CW37" s="14" t="e">
        <f t="shared" si="51"/>
        <v>#VALUE!</v>
      </c>
      <c r="CX37" s="15" t="e">
        <f t="shared" ref="CX37:DT37" si="52">IF($B$1="SFK Freight Forwarder",IF(AND(CX$5&gt;=$C$11,CX$5&lt;=$E$23),1,""),IF(AND(CX$5&gt;=$C$8,CX$5&lt;=$E$23),1,""))</f>
        <v>#VALUE!</v>
      </c>
      <c r="CY37" s="16" t="e">
        <f t="shared" si="52"/>
        <v>#VALUE!</v>
      </c>
      <c r="CZ37" s="13" t="e">
        <f t="shared" si="52"/>
        <v>#VALUE!</v>
      </c>
      <c r="DA37" s="14" t="e">
        <f t="shared" si="52"/>
        <v>#VALUE!</v>
      </c>
      <c r="DB37" s="14" t="e">
        <f t="shared" si="52"/>
        <v>#VALUE!</v>
      </c>
      <c r="DC37" s="14" t="e">
        <f t="shared" si="52"/>
        <v>#VALUE!</v>
      </c>
      <c r="DD37" s="14" t="e">
        <f t="shared" si="52"/>
        <v>#VALUE!</v>
      </c>
      <c r="DE37" s="15" t="e">
        <f t="shared" si="52"/>
        <v>#VALUE!</v>
      </c>
      <c r="DF37" s="16" t="e">
        <f t="shared" si="52"/>
        <v>#VALUE!</v>
      </c>
      <c r="DG37" s="13" t="e">
        <f t="shared" si="52"/>
        <v>#VALUE!</v>
      </c>
      <c r="DH37" s="14" t="e">
        <f t="shared" si="52"/>
        <v>#VALUE!</v>
      </c>
      <c r="DI37" s="14" t="e">
        <f t="shared" si="52"/>
        <v>#VALUE!</v>
      </c>
      <c r="DJ37" s="14" t="e">
        <f t="shared" si="52"/>
        <v>#VALUE!</v>
      </c>
      <c r="DK37" s="14" t="e">
        <f t="shared" si="52"/>
        <v>#VALUE!</v>
      </c>
      <c r="DL37" s="15" t="e">
        <f t="shared" si="52"/>
        <v>#VALUE!</v>
      </c>
      <c r="DM37" s="16" t="e">
        <f t="shared" si="52"/>
        <v>#VALUE!</v>
      </c>
      <c r="DN37" s="13" t="e">
        <f t="shared" si="52"/>
        <v>#VALUE!</v>
      </c>
      <c r="DO37" s="14" t="e">
        <f t="shared" si="52"/>
        <v>#VALUE!</v>
      </c>
      <c r="DP37" s="14" t="e">
        <f t="shared" si="52"/>
        <v>#VALUE!</v>
      </c>
      <c r="DQ37" s="14" t="e">
        <f t="shared" si="52"/>
        <v>#VALUE!</v>
      </c>
      <c r="DR37" s="14" t="e">
        <f t="shared" si="52"/>
        <v>#VALUE!</v>
      </c>
      <c r="DS37" s="15" t="e">
        <f t="shared" si="52"/>
        <v>#VALUE!</v>
      </c>
      <c r="DT37" s="16" t="e">
        <f t="shared" si="52"/>
        <v>#VALUE!</v>
      </c>
    </row>
  </sheetData>
  <mergeCells count="56"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C5:E5"/>
    <mergeCell ref="C6:E6"/>
    <mergeCell ref="A8:A18"/>
    <mergeCell ref="A19:A20"/>
    <mergeCell ref="A27:B27"/>
    <mergeCell ref="C27:E27"/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</mergeCells>
  <conditionalFormatting sqref="F8:Q9 S8:DT10 F11:DT12 G10:Q10">
    <cfRule type="cellIs" dxfId="520" priority="15" stopIfTrue="1" operator="equal">
      <formula>1</formula>
    </cfRule>
  </conditionalFormatting>
  <conditionalFormatting sqref="F16:DT17">
    <cfRule type="cellIs" dxfId="519" priority="17" stopIfTrue="1" operator="equal">
      <formula>1</formula>
    </cfRule>
  </conditionalFormatting>
  <conditionalFormatting sqref="F31:DT31">
    <cfRule type="cellIs" dxfId="518" priority="22" stopIfTrue="1" operator="equal">
      <formula>1</formula>
    </cfRule>
  </conditionalFormatting>
  <conditionalFormatting sqref="F27:DT27">
    <cfRule type="cellIs" dxfId="517" priority="21" stopIfTrue="1" operator="equal">
      <formula>1</formula>
    </cfRule>
  </conditionalFormatting>
  <conditionalFormatting sqref="F19:DT19 F21:DT22">
    <cfRule type="cellIs" dxfId="516" priority="18" stopIfTrue="1" operator="equal">
      <formula>1</formula>
    </cfRule>
  </conditionalFormatting>
  <conditionalFormatting sqref="F24:DT25">
    <cfRule type="cellIs" dxfId="515" priority="20" stopIfTrue="1" operator="equal">
      <formula>1</formula>
    </cfRule>
  </conditionalFormatting>
  <conditionalFormatting sqref="F33:DT33">
    <cfRule type="cellIs" dxfId="514" priority="23" stopIfTrue="1" operator="equal">
      <formula>1</formula>
    </cfRule>
  </conditionalFormatting>
  <conditionalFormatting sqref="F35:DT35">
    <cfRule type="cellIs" dxfId="513" priority="24" stopIfTrue="1" operator="equal">
      <formula>1</formula>
    </cfRule>
  </conditionalFormatting>
  <conditionalFormatting sqref="F23:DT23">
    <cfRule type="cellIs" dxfId="512" priority="19" stopIfTrue="1" operator="equal">
      <formula>1</formula>
    </cfRule>
  </conditionalFormatting>
  <conditionalFormatting sqref="F13:DT15">
    <cfRule type="cellIs" dxfId="511" priority="16" stopIfTrue="1" operator="equal">
      <formula>1</formula>
    </cfRule>
  </conditionalFormatting>
  <conditionalFormatting sqref="F8:Q9 S8:DT10 F11:DT17 G10:Q10 F31:DT35 F21:DT28 F19:DT19">
    <cfRule type="containsErrors" dxfId="510" priority="14" stopIfTrue="1">
      <formula>ISERROR(F8)</formula>
    </cfRule>
  </conditionalFormatting>
  <conditionalFormatting sqref="R8:R10">
    <cfRule type="cellIs" dxfId="509" priority="13" stopIfTrue="1" operator="equal">
      <formula>1</formula>
    </cfRule>
    <cfRule type="containsErrors" dxfId="508" priority="12" stopIfTrue="1">
      <formula>ISERROR(R8)</formula>
    </cfRule>
  </conditionalFormatting>
  <conditionalFormatting sqref="A24">
    <cfRule type="cellIs" dxfId="507" priority="11" operator="lessThan">
      <formula>TODAY()</formula>
    </cfRule>
  </conditionalFormatting>
  <conditionalFormatting sqref="F37:DT37">
    <cfRule type="cellIs" dxfId="506" priority="10" stopIfTrue="1" operator="equal">
      <formula>1</formula>
    </cfRule>
    <cfRule type="containsErrors" dxfId="505" priority="9" stopIfTrue="1">
      <formula>ISERROR(F37)</formula>
    </cfRule>
  </conditionalFormatting>
  <conditionalFormatting sqref="F10">
    <cfRule type="cellIs" dxfId="504" priority="8" stopIfTrue="1" operator="equal">
      <formula>1</formula>
    </cfRule>
    <cfRule type="containsErrors" dxfId="503" priority="7" stopIfTrue="1">
      <formula>ISERROR(F10)</formula>
    </cfRule>
  </conditionalFormatting>
  <conditionalFormatting sqref="F29:DT29">
    <cfRule type="cellIs" dxfId="502" priority="6" stopIfTrue="1" operator="equal">
      <formula>1</formula>
    </cfRule>
  </conditionalFormatting>
  <conditionalFormatting sqref="F29:DT30">
    <cfRule type="containsErrors" dxfId="501" priority="5" stopIfTrue="1">
      <formula>ISERROR(F29)</formula>
    </cfRule>
  </conditionalFormatting>
  <conditionalFormatting sqref="F20:DT20">
    <cfRule type="cellIs" dxfId="500" priority="4" stopIfTrue="1" operator="equal">
      <formula>1</formula>
    </cfRule>
    <cfRule type="containsErrors" dxfId="499" priority="3" stopIfTrue="1">
      <formula>ISERROR(F20)</formula>
    </cfRule>
  </conditionalFormatting>
  <conditionalFormatting sqref="F18:DT18">
    <cfRule type="cellIs" dxfId="498" priority="2" stopIfTrue="1" operator="equal">
      <formula>1</formula>
    </cfRule>
    <cfRule type="containsErrors" dxfId="497" priority="1" stopIfTrue="1">
      <formula>ISERROR(F18)</formula>
    </cfRule>
  </conditionalFormatting>
  <dataValidations count="2">
    <dataValidation type="list" allowBlank="1" showInputMessage="1" showErrorMessage="1" sqref="B1:B2" xr:uid="{00000000-0002-0000-0000-000000000000}">
      <formula1>AILNname</formula1>
    </dataValidation>
    <dataValidation type="list" allowBlank="1" showInputMessage="1" showErrorMessage="1" sqref="B3:B4" xr:uid="{00000000-0002-0000-0000-000001000000}">
      <formula1>shippername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7030A0"/>
  </sheetPr>
  <dimension ref="A1:EH40"/>
  <sheetViews>
    <sheetView topLeftCell="A7" zoomScale="110" zoomScaleNormal="110" workbookViewId="0">
      <selection sqref="A1:E40"/>
    </sheetView>
  </sheetViews>
  <sheetFormatPr baseColWidth="10" defaultColWidth="11.44140625" defaultRowHeight="14.4"/>
  <cols>
    <col min="1" max="1" width="12.44140625" customWidth="1"/>
    <col min="2" max="2" width="21.44140625" bestFit="1" customWidth="1"/>
    <col min="3" max="3" width="7.44140625" bestFit="1" customWidth="1"/>
    <col min="4" max="5" width="6.44140625" customWidth="1"/>
    <col min="6" max="138" width="1.44140625" customWidth="1"/>
  </cols>
  <sheetData>
    <row r="1" spans="1:138" s="11" customFormat="1" ht="9" customHeight="1" thickTop="1">
      <c r="A1" s="570" t="s">
        <v>0</v>
      </c>
      <c r="B1" s="572" t="str">
        <f>_xlfn.XLOOKUP(A25,'VTT actif'!F:F,'VTT actif'!O:O,"-",0)</f>
        <v>ILN FR</v>
      </c>
      <c r="C1" s="546">
        <f>_xlfn.XLOOKUP(A25,'VTT actif'!F:F,'VTT actif'!P:P,"-",0)</f>
        <v>92000100</v>
      </c>
      <c r="D1" s="550"/>
      <c r="E1" s="551"/>
      <c r="F1" s="566" t="str">
        <f ca="1">"W"&amp;WEEKNUM(F6)</f>
        <v>W27</v>
      </c>
      <c r="G1" s="567"/>
      <c r="H1" s="567"/>
      <c r="I1" s="567"/>
      <c r="J1" s="567"/>
      <c r="K1" s="567"/>
      <c r="L1" s="568"/>
      <c r="M1" s="566" t="str">
        <f ca="1">"W"&amp;WEEKNUM(M6)</f>
        <v>W28</v>
      </c>
      <c r="N1" s="567"/>
      <c r="O1" s="567"/>
      <c r="P1" s="567"/>
      <c r="Q1" s="567"/>
      <c r="R1" s="567"/>
      <c r="S1" s="568"/>
      <c r="T1" s="566" t="str">
        <f ca="1">"W"&amp;WEEKNUM(T6)</f>
        <v>W29</v>
      </c>
      <c r="U1" s="567"/>
      <c r="V1" s="567"/>
      <c r="W1" s="567"/>
      <c r="X1" s="567"/>
      <c r="Y1" s="567"/>
      <c r="Z1" s="568"/>
      <c r="AA1" s="566" t="str">
        <f ca="1">"W"&amp;WEEKNUM(AA6)</f>
        <v>W30</v>
      </c>
      <c r="AB1" s="567"/>
      <c r="AC1" s="567"/>
      <c r="AD1" s="567"/>
      <c r="AE1" s="567"/>
      <c r="AF1" s="567"/>
      <c r="AG1" s="568"/>
      <c r="AH1" s="566" t="str">
        <f ca="1">"W"&amp;WEEKNUM(AH6)</f>
        <v>W31</v>
      </c>
      <c r="AI1" s="567"/>
      <c r="AJ1" s="567"/>
      <c r="AK1" s="567"/>
      <c r="AL1" s="567"/>
      <c r="AM1" s="567"/>
      <c r="AN1" s="568"/>
      <c r="AO1" s="566" t="str">
        <f ca="1">"W"&amp;WEEKNUM(AO6)</f>
        <v>W32</v>
      </c>
      <c r="AP1" s="567"/>
      <c r="AQ1" s="567"/>
      <c r="AR1" s="567"/>
      <c r="AS1" s="567"/>
      <c r="AT1" s="567"/>
      <c r="AU1" s="568"/>
      <c r="AV1" s="566" t="str">
        <f ca="1">"W"&amp;WEEKNUM(AV6)</f>
        <v>W33</v>
      </c>
      <c r="AW1" s="567"/>
      <c r="AX1" s="567"/>
      <c r="AY1" s="567"/>
      <c r="AZ1" s="567"/>
      <c r="BA1" s="567"/>
      <c r="BB1" s="568"/>
      <c r="BC1" s="566" t="str">
        <f ca="1">"W"&amp;WEEKNUM(BC6)</f>
        <v>W34</v>
      </c>
      <c r="BD1" s="567"/>
      <c r="BE1" s="567"/>
      <c r="BF1" s="567"/>
      <c r="BG1" s="567"/>
      <c r="BH1" s="567"/>
      <c r="BI1" s="568"/>
      <c r="BJ1" s="566" t="str">
        <f ca="1">"W"&amp;WEEKNUM(BJ6)</f>
        <v>W35</v>
      </c>
      <c r="BK1" s="567"/>
      <c r="BL1" s="567"/>
      <c r="BM1" s="567"/>
      <c r="BN1" s="567"/>
      <c r="BO1" s="567"/>
      <c r="BP1" s="568"/>
      <c r="BQ1" s="566" t="str">
        <f ca="1">"W"&amp;WEEKNUM(BQ6)</f>
        <v>W36</v>
      </c>
      <c r="BR1" s="567"/>
      <c r="BS1" s="567"/>
      <c r="BT1" s="567"/>
      <c r="BU1" s="567"/>
      <c r="BV1" s="567"/>
      <c r="BW1" s="568"/>
      <c r="BX1" s="566" t="str">
        <f ca="1">"W"&amp;WEEKNUM(BX6)</f>
        <v>W37</v>
      </c>
      <c r="BY1" s="567"/>
      <c r="BZ1" s="567"/>
      <c r="CA1" s="567"/>
      <c r="CB1" s="567"/>
      <c r="CC1" s="567"/>
      <c r="CD1" s="568"/>
      <c r="CE1" s="566" t="str">
        <f ca="1">"W"&amp;WEEKNUM(CE6)</f>
        <v>W38</v>
      </c>
      <c r="CF1" s="567"/>
      <c r="CG1" s="567"/>
      <c r="CH1" s="567"/>
      <c r="CI1" s="567"/>
      <c r="CJ1" s="567"/>
      <c r="CK1" s="568"/>
      <c r="CL1" s="566" t="str">
        <f ca="1">"W"&amp;WEEKNUM(CL6)</f>
        <v>W39</v>
      </c>
      <c r="CM1" s="567"/>
      <c r="CN1" s="567"/>
      <c r="CO1" s="567"/>
      <c r="CP1" s="567"/>
      <c r="CQ1" s="567"/>
      <c r="CR1" s="568"/>
      <c r="CS1" s="566" t="str">
        <f ca="1">"W"&amp;WEEKNUM(CS6)</f>
        <v>W40</v>
      </c>
      <c r="CT1" s="567"/>
      <c r="CU1" s="567"/>
      <c r="CV1" s="567"/>
      <c r="CW1" s="567"/>
      <c r="CX1" s="567"/>
      <c r="CY1" s="568"/>
      <c r="CZ1" s="566" t="str">
        <f ca="1">"W"&amp;WEEKNUM(CZ6)</f>
        <v>W41</v>
      </c>
      <c r="DA1" s="567"/>
      <c r="DB1" s="567"/>
      <c r="DC1" s="567"/>
      <c r="DD1" s="567"/>
      <c r="DE1" s="567"/>
      <c r="DF1" s="568"/>
      <c r="DG1" s="566" t="str">
        <f ca="1">"W"&amp;WEEKNUM(DG6)</f>
        <v>W42</v>
      </c>
      <c r="DH1" s="567"/>
      <c r="DI1" s="567"/>
      <c r="DJ1" s="567"/>
      <c r="DK1" s="567"/>
      <c r="DL1" s="567"/>
      <c r="DM1" s="568"/>
      <c r="DN1" s="566" t="str">
        <f ca="1">"W"&amp;WEEKNUM(DN6)</f>
        <v>W43</v>
      </c>
      <c r="DO1" s="567"/>
      <c r="DP1" s="567"/>
      <c r="DQ1" s="567"/>
      <c r="DR1" s="567"/>
      <c r="DS1" s="567"/>
      <c r="DT1" s="568"/>
      <c r="DU1" s="566" t="str">
        <f ca="1">"W"&amp;WEEKNUM(DU6)</f>
        <v>W44</v>
      </c>
      <c r="DV1" s="567"/>
      <c r="DW1" s="567"/>
      <c r="DX1" s="567"/>
      <c r="DY1" s="567"/>
      <c r="DZ1" s="567"/>
      <c r="EA1" s="568"/>
      <c r="EB1" s="566" t="str">
        <f ca="1">"W"&amp;WEEKNUM(EB6)</f>
        <v>W45</v>
      </c>
      <c r="EC1" s="567"/>
      <c r="ED1" s="567"/>
      <c r="EE1" s="567"/>
      <c r="EF1" s="567"/>
      <c r="EG1" s="567"/>
      <c r="EH1" s="568"/>
    </row>
    <row r="2" spans="1:138" s="11" customFormat="1" ht="9" customHeight="1" thickBot="1">
      <c r="A2" s="571"/>
      <c r="B2" s="573"/>
      <c r="C2" s="560"/>
      <c r="D2" s="564"/>
      <c r="E2" s="565"/>
      <c r="F2" s="569" t="s">
        <v>2</v>
      </c>
      <c r="G2" s="557"/>
      <c r="H2" s="557"/>
      <c r="I2" s="557"/>
      <c r="J2" s="557"/>
      <c r="K2" s="557"/>
      <c r="L2" s="558"/>
      <c r="M2" s="556" t="s">
        <v>3</v>
      </c>
      <c r="N2" s="557"/>
      <c r="O2" s="557"/>
      <c r="P2" s="557"/>
      <c r="Q2" s="557"/>
      <c r="R2" s="557"/>
      <c r="S2" s="558"/>
      <c r="T2" s="556" t="s">
        <v>4</v>
      </c>
      <c r="U2" s="557"/>
      <c r="V2" s="557"/>
      <c r="W2" s="557"/>
      <c r="X2" s="557"/>
      <c r="Y2" s="557"/>
      <c r="Z2" s="558"/>
      <c r="AA2" s="556" t="s">
        <v>5</v>
      </c>
      <c r="AB2" s="557"/>
      <c r="AC2" s="557"/>
      <c r="AD2" s="557"/>
      <c r="AE2" s="557"/>
      <c r="AF2" s="557"/>
      <c r="AG2" s="558"/>
      <c r="AH2" s="556" t="s">
        <v>6</v>
      </c>
      <c r="AI2" s="557"/>
      <c r="AJ2" s="557"/>
      <c r="AK2" s="557"/>
      <c r="AL2" s="557"/>
      <c r="AM2" s="557"/>
      <c r="AN2" s="558"/>
      <c r="AO2" s="556" t="s">
        <v>7</v>
      </c>
      <c r="AP2" s="557"/>
      <c r="AQ2" s="557"/>
      <c r="AR2" s="557"/>
      <c r="AS2" s="557"/>
      <c r="AT2" s="557"/>
      <c r="AU2" s="558"/>
      <c r="AV2" s="556" t="s">
        <v>8</v>
      </c>
      <c r="AW2" s="557"/>
      <c r="AX2" s="557"/>
      <c r="AY2" s="557"/>
      <c r="AZ2" s="557"/>
      <c r="BA2" s="557"/>
      <c r="BB2" s="558"/>
      <c r="BC2" s="556" t="s">
        <v>9</v>
      </c>
      <c r="BD2" s="557"/>
      <c r="BE2" s="557"/>
      <c r="BF2" s="557"/>
      <c r="BG2" s="557"/>
      <c r="BH2" s="557"/>
      <c r="BI2" s="558"/>
      <c r="BJ2" s="556" t="s">
        <v>10</v>
      </c>
      <c r="BK2" s="557"/>
      <c r="BL2" s="557"/>
      <c r="BM2" s="557"/>
      <c r="BN2" s="557"/>
      <c r="BO2" s="557"/>
      <c r="BP2" s="558"/>
      <c r="BQ2" s="556" t="s">
        <v>11</v>
      </c>
      <c r="BR2" s="557"/>
      <c r="BS2" s="557"/>
      <c r="BT2" s="557"/>
      <c r="BU2" s="557"/>
      <c r="BV2" s="557"/>
      <c r="BW2" s="558"/>
      <c r="BX2" s="556" t="s">
        <v>12</v>
      </c>
      <c r="BY2" s="557"/>
      <c r="BZ2" s="557"/>
      <c r="CA2" s="557"/>
      <c r="CB2" s="557"/>
      <c r="CC2" s="557"/>
      <c r="CD2" s="558"/>
      <c r="CE2" s="556" t="s">
        <v>13</v>
      </c>
      <c r="CF2" s="557"/>
      <c r="CG2" s="557"/>
      <c r="CH2" s="557"/>
      <c r="CI2" s="557"/>
      <c r="CJ2" s="557"/>
      <c r="CK2" s="558"/>
      <c r="CL2" s="556" t="s">
        <v>14</v>
      </c>
      <c r="CM2" s="557"/>
      <c r="CN2" s="557"/>
      <c r="CO2" s="557"/>
      <c r="CP2" s="557"/>
      <c r="CQ2" s="557"/>
      <c r="CR2" s="558"/>
      <c r="CS2" s="556" t="s">
        <v>15</v>
      </c>
      <c r="CT2" s="557"/>
      <c r="CU2" s="557"/>
      <c r="CV2" s="557"/>
      <c r="CW2" s="557"/>
      <c r="CX2" s="557"/>
      <c r="CY2" s="558"/>
      <c r="CZ2" s="556" t="s">
        <v>16</v>
      </c>
      <c r="DA2" s="557"/>
      <c r="DB2" s="557"/>
      <c r="DC2" s="557"/>
      <c r="DD2" s="557"/>
      <c r="DE2" s="557"/>
      <c r="DF2" s="558"/>
      <c r="DG2" s="556" t="s">
        <v>17</v>
      </c>
      <c r="DH2" s="557"/>
      <c r="DI2" s="557"/>
      <c r="DJ2" s="557"/>
      <c r="DK2" s="557"/>
      <c r="DL2" s="557"/>
      <c r="DM2" s="558"/>
      <c r="DN2" s="556" t="s">
        <v>18</v>
      </c>
      <c r="DO2" s="557"/>
      <c r="DP2" s="557"/>
      <c r="DQ2" s="557"/>
      <c r="DR2" s="557"/>
      <c r="DS2" s="557"/>
      <c r="DT2" s="558"/>
      <c r="DU2" s="556" t="s">
        <v>17</v>
      </c>
      <c r="DV2" s="557"/>
      <c r="DW2" s="557"/>
      <c r="DX2" s="557"/>
      <c r="DY2" s="557"/>
      <c r="DZ2" s="557"/>
      <c r="EA2" s="558"/>
      <c r="EB2" s="556" t="s">
        <v>18</v>
      </c>
      <c r="EC2" s="557"/>
      <c r="ED2" s="557"/>
      <c r="EE2" s="557"/>
      <c r="EF2" s="557"/>
      <c r="EG2" s="557"/>
      <c r="EH2" s="558"/>
    </row>
    <row r="3" spans="1:138" s="12" customFormat="1" ht="9" customHeight="1" thickTop="1">
      <c r="A3" s="559" t="s">
        <v>19</v>
      </c>
      <c r="B3" s="574" t="str">
        <f>_xlfn.XLOOKUP(A25,'VTT actif'!F:F,'VTT actif'!X:X,"-",0)</f>
        <v>ILN FR</v>
      </c>
      <c r="C3" s="563">
        <f>_xlfn.XLOOKUP(A25,'VTT actif'!F:F,'VTT actif'!Y:Y,"-",0)</f>
        <v>92000100</v>
      </c>
      <c r="D3" s="550"/>
      <c r="E3" s="551"/>
      <c r="F3" s="32" t="s">
        <v>21</v>
      </c>
      <c r="G3" s="33" t="s">
        <v>22</v>
      </c>
      <c r="H3" s="33" t="s">
        <v>22</v>
      </c>
      <c r="I3" s="33" t="s">
        <v>23</v>
      </c>
      <c r="J3" s="33" t="s">
        <v>24</v>
      </c>
      <c r="K3" s="34" t="s">
        <v>25</v>
      </c>
      <c r="L3" s="35" t="s">
        <v>26</v>
      </c>
      <c r="M3" s="36" t="s">
        <v>21</v>
      </c>
      <c r="N3" s="33" t="s">
        <v>22</v>
      </c>
      <c r="O3" s="33" t="s">
        <v>22</v>
      </c>
      <c r="P3" s="33" t="s">
        <v>23</v>
      </c>
      <c r="Q3" s="33" t="s">
        <v>24</v>
      </c>
      <c r="R3" s="34" t="s">
        <v>25</v>
      </c>
      <c r="S3" s="35" t="s">
        <v>26</v>
      </c>
      <c r="T3" s="36" t="s">
        <v>21</v>
      </c>
      <c r="U3" s="33" t="s">
        <v>22</v>
      </c>
      <c r="V3" s="33" t="s">
        <v>22</v>
      </c>
      <c r="W3" s="33" t="s">
        <v>23</v>
      </c>
      <c r="X3" s="33" t="s">
        <v>24</v>
      </c>
      <c r="Y3" s="34" t="s">
        <v>25</v>
      </c>
      <c r="Z3" s="35" t="s">
        <v>26</v>
      </c>
      <c r="AA3" s="36" t="s">
        <v>21</v>
      </c>
      <c r="AB3" s="33" t="s">
        <v>22</v>
      </c>
      <c r="AC3" s="33" t="s">
        <v>22</v>
      </c>
      <c r="AD3" s="33" t="s">
        <v>23</v>
      </c>
      <c r="AE3" s="33" t="s">
        <v>24</v>
      </c>
      <c r="AF3" s="34" t="s">
        <v>25</v>
      </c>
      <c r="AG3" s="35" t="s">
        <v>26</v>
      </c>
      <c r="AH3" s="36" t="s">
        <v>21</v>
      </c>
      <c r="AI3" s="33" t="s">
        <v>22</v>
      </c>
      <c r="AJ3" s="33" t="s">
        <v>22</v>
      </c>
      <c r="AK3" s="33" t="s">
        <v>23</v>
      </c>
      <c r="AL3" s="33" t="s">
        <v>24</v>
      </c>
      <c r="AM3" s="34" t="s">
        <v>25</v>
      </c>
      <c r="AN3" s="35" t="s">
        <v>26</v>
      </c>
      <c r="AO3" s="36" t="s">
        <v>21</v>
      </c>
      <c r="AP3" s="33" t="s">
        <v>22</v>
      </c>
      <c r="AQ3" s="33" t="s">
        <v>22</v>
      </c>
      <c r="AR3" s="33" t="s">
        <v>23</v>
      </c>
      <c r="AS3" s="33" t="s">
        <v>24</v>
      </c>
      <c r="AT3" s="34" t="s">
        <v>25</v>
      </c>
      <c r="AU3" s="35" t="s">
        <v>26</v>
      </c>
      <c r="AV3" s="36" t="s">
        <v>21</v>
      </c>
      <c r="AW3" s="33" t="s">
        <v>22</v>
      </c>
      <c r="AX3" s="33" t="s">
        <v>22</v>
      </c>
      <c r="AY3" s="33" t="s">
        <v>23</v>
      </c>
      <c r="AZ3" s="33" t="s">
        <v>24</v>
      </c>
      <c r="BA3" s="34" t="s">
        <v>25</v>
      </c>
      <c r="BB3" s="35" t="s">
        <v>26</v>
      </c>
      <c r="BC3" s="36" t="s">
        <v>21</v>
      </c>
      <c r="BD3" s="33" t="s">
        <v>22</v>
      </c>
      <c r="BE3" s="33" t="s">
        <v>22</v>
      </c>
      <c r="BF3" s="33" t="s">
        <v>23</v>
      </c>
      <c r="BG3" s="33" t="s">
        <v>24</v>
      </c>
      <c r="BH3" s="34" t="s">
        <v>25</v>
      </c>
      <c r="BI3" s="35" t="s">
        <v>26</v>
      </c>
      <c r="BJ3" s="36" t="s">
        <v>21</v>
      </c>
      <c r="BK3" s="33" t="s">
        <v>22</v>
      </c>
      <c r="BL3" s="33" t="s">
        <v>22</v>
      </c>
      <c r="BM3" s="33" t="s">
        <v>23</v>
      </c>
      <c r="BN3" s="33" t="s">
        <v>24</v>
      </c>
      <c r="BO3" s="34" t="s">
        <v>25</v>
      </c>
      <c r="BP3" s="35" t="s">
        <v>26</v>
      </c>
      <c r="BQ3" s="36" t="s">
        <v>21</v>
      </c>
      <c r="BR3" s="33" t="s">
        <v>22</v>
      </c>
      <c r="BS3" s="33" t="s">
        <v>22</v>
      </c>
      <c r="BT3" s="33" t="s">
        <v>23</v>
      </c>
      <c r="BU3" s="33" t="s">
        <v>24</v>
      </c>
      <c r="BV3" s="34" t="s">
        <v>25</v>
      </c>
      <c r="BW3" s="35" t="s">
        <v>26</v>
      </c>
      <c r="BX3" s="36" t="s">
        <v>21</v>
      </c>
      <c r="BY3" s="33" t="s">
        <v>22</v>
      </c>
      <c r="BZ3" s="33" t="s">
        <v>22</v>
      </c>
      <c r="CA3" s="33" t="s">
        <v>23</v>
      </c>
      <c r="CB3" s="33" t="s">
        <v>24</v>
      </c>
      <c r="CC3" s="34" t="s">
        <v>25</v>
      </c>
      <c r="CD3" s="35" t="s">
        <v>26</v>
      </c>
      <c r="CE3" s="36" t="s">
        <v>21</v>
      </c>
      <c r="CF3" s="33" t="s">
        <v>22</v>
      </c>
      <c r="CG3" s="33" t="s">
        <v>22</v>
      </c>
      <c r="CH3" s="33" t="s">
        <v>23</v>
      </c>
      <c r="CI3" s="33" t="s">
        <v>24</v>
      </c>
      <c r="CJ3" s="34" t="s">
        <v>25</v>
      </c>
      <c r="CK3" s="35" t="s">
        <v>26</v>
      </c>
      <c r="CL3" s="36" t="s">
        <v>21</v>
      </c>
      <c r="CM3" s="33" t="s">
        <v>22</v>
      </c>
      <c r="CN3" s="33" t="s">
        <v>22</v>
      </c>
      <c r="CO3" s="33" t="s">
        <v>23</v>
      </c>
      <c r="CP3" s="33" t="s">
        <v>24</v>
      </c>
      <c r="CQ3" s="34" t="s">
        <v>25</v>
      </c>
      <c r="CR3" s="35" t="s">
        <v>26</v>
      </c>
      <c r="CS3" s="36" t="s">
        <v>21</v>
      </c>
      <c r="CT3" s="33" t="s">
        <v>22</v>
      </c>
      <c r="CU3" s="33" t="s">
        <v>22</v>
      </c>
      <c r="CV3" s="33" t="s">
        <v>23</v>
      </c>
      <c r="CW3" s="33" t="s">
        <v>24</v>
      </c>
      <c r="CX3" s="34" t="s">
        <v>25</v>
      </c>
      <c r="CY3" s="35" t="s">
        <v>26</v>
      </c>
      <c r="CZ3" s="36" t="s">
        <v>21</v>
      </c>
      <c r="DA3" s="33" t="s">
        <v>22</v>
      </c>
      <c r="DB3" s="33" t="s">
        <v>22</v>
      </c>
      <c r="DC3" s="33" t="s">
        <v>23</v>
      </c>
      <c r="DD3" s="33" t="s">
        <v>24</v>
      </c>
      <c r="DE3" s="34" t="s">
        <v>25</v>
      </c>
      <c r="DF3" s="35" t="s">
        <v>26</v>
      </c>
      <c r="DG3" s="36" t="s">
        <v>21</v>
      </c>
      <c r="DH3" s="33" t="s">
        <v>22</v>
      </c>
      <c r="DI3" s="33" t="s">
        <v>22</v>
      </c>
      <c r="DJ3" s="33" t="s">
        <v>23</v>
      </c>
      <c r="DK3" s="33" t="s">
        <v>24</v>
      </c>
      <c r="DL3" s="34" t="s">
        <v>25</v>
      </c>
      <c r="DM3" s="35" t="s">
        <v>26</v>
      </c>
      <c r="DN3" s="36" t="s">
        <v>21</v>
      </c>
      <c r="DO3" s="33" t="s">
        <v>22</v>
      </c>
      <c r="DP3" s="33" t="s">
        <v>22</v>
      </c>
      <c r="DQ3" s="33" t="s">
        <v>23</v>
      </c>
      <c r="DR3" s="33" t="s">
        <v>24</v>
      </c>
      <c r="DS3" s="34" t="s">
        <v>25</v>
      </c>
      <c r="DT3" s="35" t="s">
        <v>26</v>
      </c>
      <c r="DU3" s="36" t="s">
        <v>21</v>
      </c>
      <c r="DV3" s="33" t="s">
        <v>22</v>
      </c>
      <c r="DW3" s="33" t="s">
        <v>22</v>
      </c>
      <c r="DX3" s="33" t="s">
        <v>23</v>
      </c>
      <c r="DY3" s="33" t="s">
        <v>24</v>
      </c>
      <c r="DZ3" s="34" t="s">
        <v>25</v>
      </c>
      <c r="EA3" s="35" t="s">
        <v>26</v>
      </c>
      <c r="EB3" s="36" t="s">
        <v>21</v>
      </c>
      <c r="EC3" s="33" t="s">
        <v>22</v>
      </c>
      <c r="ED3" s="33" t="s">
        <v>22</v>
      </c>
      <c r="EE3" s="33" t="s">
        <v>23</v>
      </c>
      <c r="EF3" s="33" t="s">
        <v>24</v>
      </c>
      <c r="EG3" s="34" t="s">
        <v>25</v>
      </c>
      <c r="EH3" s="35" t="s">
        <v>26</v>
      </c>
    </row>
    <row r="4" spans="1:138" s="12" customFormat="1" ht="9" customHeight="1" thickBot="1">
      <c r="A4" s="560"/>
      <c r="B4" s="571"/>
      <c r="C4" s="564"/>
      <c r="D4" s="564"/>
      <c r="E4" s="565"/>
      <c r="F4" s="32" t="s">
        <v>27</v>
      </c>
      <c r="G4" s="33" t="s">
        <v>28</v>
      </c>
      <c r="H4" s="33" t="s">
        <v>29</v>
      </c>
      <c r="I4" s="33" t="s">
        <v>30</v>
      </c>
      <c r="J4" s="33" t="s">
        <v>31</v>
      </c>
      <c r="K4" s="34" t="s">
        <v>32</v>
      </c>
      <c r="L4" s="35" t="s">
        <v>33</v>
      </c>
      <c r="M4" s="36" t="s">
        <v>27</v>
      </c>
      <c r="N4" s="33" t="s">
        <v>28</v>
      </c>
      <c r="O4" s="33" t="s">
        <v>29</v>
      </c>
      <c r="P4" s="33" t="s">
        <v>30</v>
      </c>
      <c r="Q4" s="33" t="s">
        <v>31</v>
      </c>
      <c r="R4" s="34" t="s">
        <v>32</v>
      </c>
      <c r="S4" s="35" t="s">
        <v>33</v>
      </c>
      <c r="T4" s="36" t="s">
        <v>27</v>
      </c>
      <c r="U4" s="33" t="s">
        <v>28</v>
      </c>
      <c r="V4" s="33" t="s">
        <v>29</v>
      </c>
      <c r="W4" s="33" t="s">
        <v>30</v>
      </c>
      <c r="X4" s="33" t="s">
        <v>31</v>
      </c>
      <c r="Y4" s="34" t="s">
        <v>32</v>
      </c>
      <c r="Z4" s="35" t="s">
        <v>33</v>
      </c>
      <c r="AA4" s="36" t="s">
        <v>27</v>
      </c>
      <c r="AB4" s="33" t="s">
        <v>28</v>
      </c>
      <c r="AC4" s="33" t="s">
        <v>29</v>
      </c>
      <c r="AD4" s="33" t="s">
        <v>30</v>
      </c>
      <c r="AE4" s="33" t="s">
        <v>31</v>
      </c>
      <c r="AF4" s="34" t="s">
        <v>32</v>
      </c>
      <c r="AG4" s="35" t="s">
        <v>33</v>
      </c>
      <c r="AH4" s="36" t="s">
        <v>27</v>
      </c>
      <c r="AI4" s="33" t="s">
        <v>28</v>
      </c>
      <c r="AJ4" s="33" t="s">
        <v>29</v>
      </c>
      <c r="AK4" s="33" t="s">
        <v>30</v>
      </c>
      <c r="AL4" s="33" t="s">
        <v>31</v>
      </c>
      <c r="AM4" s="34" t="s">
        <v>32</v>
      </c>
      <c r="AN4" s="35" t="s">
        <v>33</v>
      </c>
      <c r="AO4" s="36" t="s">
        <v>27</v>
      </c>
      <c r="AP4" s="33" t="s">
        <v>28</v>
      </c>
      <c r="AQ4" s="33" t="s">
        <v>29</v>
      </c>
      <c r="AR4" s="33" t="s">
        <v>30</v>
      </c>
      <c r="AS4" s="33" t="s">
        <v>31</v>
      </c>
      <c r="AT4" s="34" t="s">
        <v>32</v>
      </c>
      <c r="AU4" s="35" t="s">
        <v>33</v>
      </c>
      <c r="AV4" s="36" t="s">
        <v>27</v>
      </c>
      <c r="AW4" s="33" t="s">
        <v>28</v>
      </c>
      <c r="AX4" s="33" t="s">
        <v>29</v>
      </c>
      <c r="AY4" s="33" t="s">
        <v>30</v>
      </c>
      <c r="AZ4" s="33" t="s">
        <v>31</v>
      </c>
      <c r="BA4" s="34" t="s">
        <v>32</v>
      </c>
      <c r="BB4" s="35" t="s">
        <v>33</v>
      </c>
      <c r="BC4" s="36" t="s">
        <v>27</v>
      </c>
      <c r="BD4" s="33" t="s">
        <v>28</v>
      </c>
      <c r="BE4" s="33" t="s">
        <v>29</v>
      </c>
      <c r="BF4" s="33" t="s">
        <v>30</v>
      </c>
      <c r="BG4" s="33" t="s">
        <v>31</v>
      </c>
      <c r="BH4" s="34" t="s">
        <v>32</v>
      </c>
      <c r="BI4" s="35" t="s">
        <v>33</v>
      </c>
      <c r="BJ4" s="36" t="s">
        <v>27</v>
      </c>
      <c r="BK4" s="33" t="s">
        <v>28</v>
      </c>
      <c r="BL4" s="33" t="s">
        <v>29</v>
      </c>
      <c r="BM4" s="33" t="s">
        <v>30</v>
      </c>
      <c r="BN4" s="33" t="s">
        <v>31</v>
      </c>
      <c r="BO4" s="34" t="s">
        <v>32</v>
      </c>
      <c r="BP4" s="35" t="s">
        <v>33</v>
      </c>
      <c r="BQ4" s="36" t="s">
        <v>27</v>
      </c>
      <c r="BR4" s="33" t="s">
        <v>28</v>
      </c>
      <c r="BS4" s="33" t="s">
        <v>29</v>
      </c>
      <c r="BT4" s="33" t="s">
        <v>30</v>
      </c>
      <c r="BU4" s="33" t="s">
        <v>31</v>
      </c>
      <c r="BV4" s="34" t="s">
        <v>32</v>
      </c>
      <c r="BW4" s="35" t="s">
        <v>33</v>
      </c>
      <c r="BX4" s="36" t="s">
        <v>27</v>
      </c>
      <c r="BY4" s="33" t="s">
        <v>28</v>
      </c>
      <c r="BZ4" s="33" t="s">
        <v>29</v>
      </c>
      <c r="CA4" s="33" t="s">
        <v>30</v>
      </c>
      <c r="CB4" s="33" t="s">
        <v>31</v>
      </c>
      <c r="CC4" s="34" t="s">
        <v>32</v>
      </c>
      <c r="CD4" s="35" t="s">
        <v>33</v>
      </c>
      <c r="CE4" s="36" t="s">
        <v>27</v>
      </c>
      <c r="CF4" s="33" t="s">
        <v>28</v>
      </c>
      <c r="CG4" s="33" t="s">
        <v>29</v>
      </c>
      <c r="CH4" s="33" t="s">
        <v>30</v>
      </c>
      <c r="CI4" s="33" t="s">
        <v>31</v>
      </c>
      <c r="CJ4" s="34" t="s">
        <v>32</v>
      </c>
      <c r="CK4" s="35" t="s">
        <v>33</v>
      </c>
      <c r="CL4" s="36" t="s">
        <v>27</v>
      </c>
      <c r="CM4" s="33" t="s">
        <v>28</v>
      </c>
      <c r="CN4" s="33" t="s">
        <v>29</v>
      </c>
      <c r="CO4" s="33" t="s">
        <v>30</v>
      </c>
      <c r="CP4" s="33" t="s">
        <v>31</v>
      </c>
      <c r="CQ4" s="34" t="s">
        <v>32</v>
      </c>
      <c r="CR4" s="35" t="s">
        <v>33</v>
      </c>
      <c r="CS4" s="36" t="s">
        <v>27</v>
      </c>
      <c r="CT4" s="33" t="s">
        <v>28</v>
      </c>
      <c r="CU4" s="33" t="s">
        <v>29</v>
      </c>
      <c r="CV4" s="33" t="s">
        <v>30</v>
      </c>
      <c r="CW4" s="33" t="s">
        <v>31</v>
      </c>
      <c r="CX4" s="34" t="s">
        <v>32</v>
      </c>
      <c r="CY4" s="35" t="s">
        <v>33</v>
      </c>
      <c r="CZ4" s="36" t="s">
        <v>27</v>
      </c>
      <c r="DA4" s="33" t="s">
        <v>28</v>
      </c>
      <c r="DB4" s="33" t="s">
        <v>29</v>
      </c>
      <c r="DC4" s="33" t="s">
        <v>30</v>
      </c>
      <c r="DD4" s="33" t="s">
        <v>31</v>
      </c>
      <c r="DE4" s="34" t="s">
        <v>32</v>
      </c>
      <c r="DF4" s="35" t="s">
        <v>33</v>
      </c>
      <c r="DG4" s="36" t="s">
        <v>27</v>
      </c>
      <c r="DH4" s="33" t="s">
        <v>28</v>
      </c>
      <c r="DI4" s="33" t="s">
        <v>29</v>
      </c>
      <c r="DJ4" s="33" t="s">
        <v>30</v>
      </c>
      <c r="DK4" s="33" t="s">
        <v>31</v>
      </c>
      <c r="DL4" s="34" t="s">
        <v>32</v>
      </c>
      <c r="DM4" s="35" t="s">
        <v>33</v>
      </c>
      <c r="DN4" s="36" t="s">
        <v>27</v>
      </c>
      <c r="DO4" s="33" t="s">
        <v>28</v>
      </c>
      <c r="DP4" s="33" t="s">
        <v>29</v>
      </c>
      <c r="DQ4" s="33" t="s">
        <v>30</v>
      </c>
      <c r="DR4" s="33" t="s">
        <v>31</v>
      </c>
      <c r="DS4" s="34" t="s">
        <v>32</v>
      </c>
      <c r="DT4" s="35" t="s">
        <v>33</v>
      </c>
      <c r="DU4" s="36" t="s">
        <v>27</v>
      </c>
      <c r="DV4" s="33" t="s">
        <v>28</v>
      </c>
      <c r="DW4" s="33" t="s">
        <v>29</v>
      </c>
      <c r="DX4" s="33" t="s">
        <v>30</v>
      </c>
      <c r="DY4" s="33" t="s">
        <v>31</v>
      </c>
      <c r="DZ4" s="34" t="s">
        <v>32</v>
      </c>
      <c r="EA4" s="35" t="s">
        <v>33</v>
      </c>
      <c r="EB4" s="36" t="s">
        <v>27</v>
      </c>
      <c r="EC4" s="33" t="s">
        <v>28</v>
      </c>
      <c r="ED4" s="33" t="s">
        <v>29</v>
      </c>
      <c r="EE4" s="33" t="s">
        <v>30</v>
      </c>
      <c r="EF4" s="33" t="s">
        <v>31</v>
      </c>
      <c r="EG4" s="34" t="s">
        <v>32</v>
      </c>
      <c r="EH4" s="35" t="s">
        <v>33</v>
      </c>
    </row>
    <row r="5" spans="1:138" s="12" customFormat="1" ht="15" customHeight="1" thickTop="1" thickBot="1">
      <c r="A5" s="473" t="s">
        <v>34</v>
      </c>
      <c r="B5" s="474">
        <f>_xlfn.XLOOKUP(A25,'VTT actif'!F:F,'VTT actif'!AL:AL,"-",0)</f>
        <v>0</v>
      </c>
      <c r="C5" s="546" t="str">
        <f>_xlfn.XLOOKUP(A25,'VTT actif'!F:F,'VTT actif'!AM:AM,"-",0)</f>
        <v>-</v>
      </c>
      <c r="D5" s="547"/>
      <c r="E5" s="548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  <c r="DU5" s="38">
        <v>120</v>
      </c>
      <c r="DV5" s="38">
        <v>121</v>
      </c>
      <c r="DW5" s="38">
        <v>122</v>
      </c>
      <c r="DX5" s="38">
        <v>123</v>
      </c>
      <c r="DY5" s="38">
        <v>124</v>
      </c>
      <c r="DZ5" s="38">
        <v>125</v>
      </c>
      <c r="EA5" s="38">
        <v>126</v>
      </c>
      <c r="EB5" s="38">
        <v>127</v>
      </c>
      <c r="EC5" s="38">
        <v>128</v>
      </c>
      <c r="ED5" s="38">
        <v>129</v>
      </c>
      <c r="EE5" s="38">
        <v>130</v>
      </c>
      <c r="EF5" s="38">
        <v>131</v>
      </c>
      <c r="EG5" s="38">
        <v>132</v>
      </c>
      <c r="EH5" s="38">
        <v>133</v>
      </c>
    </row>
    <row r="6" spans="1:138" s="46" customFormat="1" ht="33" customHeight="1" thickTop="1" thickBot="1">
      <c r="A6" s="473" t="s">
        <v>35</v>
      </c>
      <c r="B6" s="474" t="str">
        <f>_xlfn.XLOOKUP(A25,'VTT actif'!F:F,'VTT actif'!L:L,"-",0)</f>
        <v>CORMECANICA</v>
      </c>
      <c r="C6" s="549">
        <f>_xlfn.XLOOKUP(A25,'VTT actif'!F:F,'VTT actif'!M:M,"-",0)</f>
        <v>90009500</v>
      </c>
      <c r="D6" s="550"/>
      <c r="E6" s="551"/>
      <c r="F6" s="339">
        <f ca="1">TODAY()-WEEKDAY(TODAY(),3)</f>
        <v>45838</v>
      </c>
      <c r="G6" s="43">
        <f t="shared" ref="G6:AL6" ca="1" si="0">F6+1</f>
        <v>45839</v>
      </c>
      <c r="H6" s="43">
        <f t="shared" ca="1" si="0"/>
        <v>45840</v>
      </c>
      <c r="I6" s="43">
        <f t="shared" ca="1" si="0"/>
        <v>45841</v>
      </c>
      <c r="J6" s="43">
        <f t="shared" ca="1" si="0"/>
        <v>45842</v>
      </c>
      <c r="K6" s="44">
        <f t="shared" ca="1" si="0"/>
        <v>45843</v>
      </c>
      <c r="L6" s="45">
        <f t="shared" ca="1" si="0"/>
        <v>45844</v>
      </c>
      <c r="M6" s="43">
        <f t="shared" ca="1" si="0"/>
        <v>45845</v>
      </c>
      <c r="N6" s="43">
        <f t="shared" ca="1" si="0"/>
        <v>45846</v>
      </c>
      <c r="O6" s="43">
        <f t="shared" ca="1" si="0"/>
        <v>45847</v>
      </c>
      <c r="P6" s="43">
        <f t="shared" ca="1" si="0"/>
        <v>45848</v>
      </c>
      <c r="Q6" s="43">
        <f t="shared" ca="1" si="0"/>
        <v>45849</v>
      </c>
      <c r="R6" s="44">
        <f t="shared" ca="1" si="0"/>
        <v>45850</v>
      </c>
      <c r="S6" s="45">
        <f t="shared" ca="1" si="0"/>
        <v>45851</v>
      </c>
      <c r="T6" s="43">
        <f t="shared" ca="1" si="0"/>
        <v>45852</v>
      </c>
      <c r="U6" s="43">
        <f t="shared" ca="1" si="0"/>
        <v>45853</v>
      </c>
      <c r="V6" s="43">
        <f t="shared" ca="1" si="0"/>
        <v>45854</v>
      </c>
      <c r="W6" s="43">
        <f t="shared" ca="1" si="0"/>
        <v>45855</v>
      </c>
      <c r="X6" s="43">
        <f t="shared" ca="1" si="0"/>
        <v>45856</v>
      </c>
      <c r="Y6" s="44">
        <f t="shared" ca="1" si="0"/>
        <v>45857</v>
      </c>
      <c r="Z6" s="45">
        <f t="shared" ca="1" si="0"/>
        <v>45858</v>
      </c>
      <c r="AA6" s="43">
        <f t="shared" ca="1" si="0"/>
        <v>45859</v>
      </c>
      <c r="AB6" s="43">
        <f t="shared" ca="1" si="0"/>
        <v>45860</v>
      </c>
      <c r="AC6" s="43">
        <f t="shared" ca="1" si="0"/>
        <v>45861</v>
      </c>
      <c r="AD6" s="43">
        <f t="shared" ca="1" si="0"/>
        <v>45862</v>
      </c>
      <c r="AE6" s="43">
        <f t="shared" ca="1" si="0"/>
        <v>45863</v>
      </c>
      <c r="AF6" s="44">
        <f t="shared" ca="1" si="0"/>
        <v>45864</v>
      </c>
      <c r="AG6" s="45">
        <f t="shared" ca="1" si="0"/>
        <v>45865</v>
      </c>
      <c r="AH6" s="43">
        <f t="shared" ca="1" si="0"/>
        <v>45866</v>
      </c>
      <c r="AI6" s="43">
        <f t="shared" ca="1" si="0"/>
        <v>45867</v>
      </c>
      <c r="AJ6" s="43">
        <f t="shared" ca="1" si="0"/>
        <v>45868</v>
      </c>
      <c r="AK6" s="43">
        <f t="shared" ca="1" si="0"/>
        <v>45869</v>
      </c>
      <c r="AL6" s="43">
        <f t="shared" ca="1" si="0"/>
        <v>45870</v>
      </c>
      <c r="AM6" s="44">
        <f t="shared" ref="AM6:BR6" ca="1" si="1">AL6+1</f>
        <v>45871</v>
      </c>
      <c r="AN6" s="45">
        <f t="shared" ca="1" si="1"/>
        <v>45872</v>
      </c>
      <c r="AO6" s="43">
        <f t="shared" ca="1" si="1"/>
        <v>45873</v>
      </c>
      <c r="AP6" s="43">
        <f t="shared" ca="1" si="1"/>
        <v>45874</v>
      </c>
      <c r="AQ6" s="43">
        <f t="shared" ca="1" si="1"/>
        <v>45875</v>
      </c>
      <c r="AR6" s="43">
        <f t="shared" ca="1" si="1"/>
        <v>45876</v>
      </c>
      <c r="AS6" s="43">
        <f t="shared" ca="1" si="1"/>
        <v>45877</v>
      </c>
      <c r="AT6" s="44">
        <f t="shared" ca="1" si="1"/>
        <v>45878</v>
      </c>
      <c r="AU6" s="45">
        <f t="shared" ca="1" si="1"/>
        <v>45879</v>
      </c>
      <c r="AV6" s="43">
        <f t="shared" ca="1" si="1"/>
        <v>45880</v>
      </c>
      <c r="AW6" s="43">
        <f t="shared" ca="1" si="1"/>
        <v>45881</v>
      </c>
      <c r="AX6" s="43">
        <f t="shared" ca="1" si="1"/>
        <v>45882</v>
      </c>
      <c r="AY6" s="43">
        <f t="shared" ca="1" si="1"/>
        <v>45883</v>
      </c>
      <c r="AZ6" s="43">
        <f t="shared" ca="1" si="1"/>
        <v>45884</v>
      </c>
      <c r="BA6" s="44">
        <f t="shared" ca="1" si="1"/>
        <v>45885</v>
      </c>
      <c r="BB6" s="45">
        <f t="shared" ca="1" si="1"/>
        <v>45886</v>
      </c>
      <c r="BC6" s="43">
        <f t="shared" ca="1" si="1"/>
        <v>45887</v>
      </c>
      <c r="BD6" s="43">
        <f t="shared" ca="1" si="1"/>
        <v>45888</v>
      </c>
      <c r="BE6" s="43">
        <f t="shared" ca="1" si="1"/>
        <v>45889</v>
      </c>
      <c r="BF6" s="43">
        <f t="shared" ca="1" si="1"/>
        <v>45890</v>
      </c>
      <c r="BG6" s="43">
        <f t="shared" ca="1" si="1"/>
        <v>45891</v>
      </c>
      <c r="BH6" s="44">
        <f t="shared" ca="1" si="1"/>
        <v>45892</v>
      </c>
      <c r="BI6" s="45">
        <f t="shared" ca="1" si="1"/>
        <v>45893</v>
      </c>
      <c r="BJ6" s="43">
        <f t="shared" ca="1" si="1"/>
        <v>45894</v>
      </c>
      <c r="BK6" s="43">
        <f t="shared" ca="1" si="1"/>
        <v>45895</v>
      </c>
      <c r="BL6" s="43">
        <f t="shared" ca="1" si="1"/>
        <v>45896</v>
      </c>
      <c r="BM6" s="43">
        <f t="shared" ca="1" si="1"/>
        <v>45897</v>
      </c>
      <c r="BN6" s="43">
        <f t="shared" ca="1" si="1"/>
        <v>45898</v>
      </c>
      <c r="BO6" s="44">
        <f t="shared" ca="1" si="1"/>
        <v>45899</v>
      </c>
      <c r="BP6" s="45">
        <f t="shared" ca="1" si="1"/>
        <v>45900</v>
      </c>
      <c r="BQ6" s="43">
        <f t="shared" ca="1" si="1"/>
        <v>45901</v>
      </c>
      <c r="BR6" s="43">
        <f t="shared" ca="1" si="1"/>
        <v>45902</v>
      </c>
      <c r="BS6" s="43">
        <f t="shared" ref="BS6:CX6" ca="1" si="2">BR6+1</f>
        <v>45903</v>
      </c>
      <c r="BT6" s="43">
        <f t="shared" ca="1" si="2"/>
        <v>45904</v>
      </c>
      <c r="BU6" s="43">
        <f t="shared" ca="1" si="2"/>
        <v>45905</v>
      </c>
      <c r="BV6" s="44">
        <f t="shared" ca="1" si="2"/>
        <v>45906</v>
      </c>
      <c r="BW6" s="45">
        <f t="shared" ca="1" si="2"/>
        <v>45907</v>
      </c>
      <c r="BX6" s="43">
        <f t="shared" ca="1" si="2"/>
        <v>45908</v>
      </c>
      <c r="BY6" s="43">
        <f t="shared" ca="1" si="2"/>
        <v>45909</v>
      </c>
      <c r="BZ6" s="43">
        <f t="shared" ca="1" si="2"/>
        <v>45910</v>
      </c>
      <c r="CA6" s="43">
        <f t="shared" ca="1" si="2"/>
        <v>45911</v>
      </c>
      <c r="CB6" s="43">
        <f t="shared" ca="1" si="2"/>
        <v>45912</v>
      </c>
      <c r="CC6" s="44">
        <f t="shared" ca="1" si="2"/>
        <v>45913</v>
      </c>
      <c r="CD6" s="45">
        <f t="shared" ca="1" si="2"/>
        <v>45914</v>
      </c>
      <c r="CE6" s="43">
        <f t="shared" ca="1" si="2"/>
        <v>45915</v>
      </c>
      <c r="CF6" s="43">
        <f t="shared" ca="1" si="2"/>
        <v>45916</v>
      </c>
      <c r="CG6" s="43">
        <f t="shared" ca="1" si="2"/>
        <v>45917</v>
      </c>
      <c r="CH6" s="43">
        <f t="shared" ca="1" si="2"/>
        <v>45918</v>
      </c>
      <c r="CI6" s="43">
        <f t="shared" ca="1" si="2"/>
        <v>45919</v>
      </c>
      <c r="CJ6" s="44">
        <f t="shared" ca="1" si="2"/>
        <v>45920</v>
      </c>
      <c r="CK6" s="45">
        <f t="shared" ca="1" si="2"/>
        <v>45921</v>
      </c>
      <c r="CL6" s="43">
        <f t="shared" ca="1" si="2"/>
        <v>45922</v>
      </c>
      <c r="CM6" s="43">
        <f t="shared" ca="1" si="2"/>
        <v>45923</v>
      </c>
      <c r="CN6" s="43">
        <f t="shared" ca="1" si="2"/>
        <v>45924</v>
      </c>
      <c r="CO6" s="43">
        <f t="shared" ca="1" si="2"/>
        <v>45925</v>
      </c>
      <c r="CP6" s="43">
        <f t="shared" ca="1" si="2"/>
        <v>45926</v>
      </c>
      <c r="CQ6" s="44">
        <f t="shared" ca="1" si="2"/>
        <v>45927</v>
      </c>
      <c r="CR6" s="45">
        <f t="shared" ca="1" si="2"/>
        <v>45928</v>
      </c>
      <c r="CS6" s="43">
        <f t="shared" ca="1" si="2"/>
        <v>45929</v>
      </c>
      <c r="CT6" s="43">
        <f t="shared" ca="1" si="2"/>
        <v>45930</v>
      </c>
      <c r="CU6" s="43">
        <f t="shared" ca="1" si="2"/>
        <v>45931</v>
      </c>
      <c r="CV6" s="43">
        <f t="shared" ca="1" si="2"/>
        <v>45932</v>
      </c>
      <c r="CW6" s="43">
        <f t="shared" ca="1" si="2"/>
        <v>45933</v>
      </c>
      <c r="CX6" s="44">
        <f t="shared" ca="1" si="2"/>
        <v>45934</v>
      </c>
      <c r="CY6" s="45">
        <f t="shared" ref="CY6:EH6" ca="1" si="3">CX6+1</f>
        <v>45935</v>
      </c>
      <c r="CZ6" s="43">
        <f t="shared" ca="1" si="3"/>
        <v>45936</v>
      </c>
      <c r="DA6" s="43">
        <f t="shared" ca="1" si="3"/>
        <v>45937</v>
      </c>
      <c r="DB6" s="43">
        <f t="shared" ca="1" si="3"/>
        <v>45938</v>
      </c>
      <c r="DC6" s="43">
        <f t="shared" ca="1" si="3"/>
        <v>45939</v>
      </c>
      <c r="DD6" s="43">
        <f t="shared" ca="1" si="3"/>
        <v>45940</v>
      </c>
      <c r="DE6" s="44">
        <f t="shared" ca="1" si="3"/>
        <v>45941</v>
      </c>
      <c r="DF6" s="45">
        <f t="shared" ca="1" si="3"/>
        <v>45942</v>
      </c>
      <c r="DG6" s="43">
        <f t="shared" ca="1" si="3"/>
        <v>45943</v>
      </c>
      <c r="DH6" s="43">
        <f t="shared" ca="1" si="3"/>
        <v>45944</v>
      </c>
      <c r="DI6" s="43">
        <f t="shared" ca="1" si="3"/>
        <v>45945</v>
      </c>
      <c r="DJ6" s="43">
        <f t="shared" ca="1" si="3"/>
        <v>45946</v>
      </c>
      <c r="DK6" s="43">
        <f t="shared" ca="1" si="3"/>
        <v>45947</v>
      </c>
      <c r="DL6" s="44">
        <f t="shared" ca="1" si="3"/>
        <v>45948</v>
      </c>
      <c r="DM6" s="45">
        <f t="shared" ca="1" si="3"/>
        <v>45949</v>
      </c>
      <c r="DN6" s="43">
        <f t="shared" ca="1" si="3"/>
        <v>45950</v>
      </c>
      <c r="DO6" s="43">
        <f t="shared" ca="1" si="3"/>
        <v>45951</v>
      </c>
      <c r="DP6" s="43">
        <f t="shared" ca="1" si="3"/>
        <v>45952</v>
      </c>
      <c r="DQ6" s="43">
        <f t="shared" ca="1" si="3"/>
        <v>45953</v>
      </c>
      <c r="DR6" s="43">
        <f t="shared" ca="1" si="3"/>
        <v>45954</v>
      </c>
      <c r="DS6" s="44">
        <f t="shared" ca="1" si="3"/>
        <v>45955</v>
      </c>
      <c r="DT6" s="45">
        <f t="shared" ca="1" si="3"/>
        <v>45956</v>
      </c>
      <c r="DU6" s="43">
        <f t="shared" ca="1" si="3"/>
        <v>45957</v>
      </c>
      <c r="DV6" s="43">
        <f t="shared" ca="1" si="3"/>
        <v>45958</v>
      </c>
      <c r="DW6" s="43">
        <f t="shared" ca="1" si="3"/>
        <v>45959</v>
      </c>
      <c r="DX6" s="43">
        <f t="shared" ca="1" si="3"/>
        <v>45960</v>
      </c>
      <c r="DY6" s="43">
        <f t="shared" ca="1" si="3"/>
        <v>45961</v>
      </c>
      <c r="DZ6" s="44">
        <f t="shared" ca="1" si="3"/>
        <v>45962</v>
      </c>
      <c r="EA6" s="45">
        <f t="shared" ca="1" si="3"/>
        <v>45963</v>
      </c>
      <c r="EB6" s="43">
        <f t="shared" ca="1" si="3"/>
        <v>45964</v>
      </c>
      <c r="EC6" s="43">
        <f t="shared" ca="1" si="3"/>
        <v>45965</v>
      </c>
      <c r="ED6" s="43">
        <f t="shared" ca="1" si="3"/>
        <v>45966</v>
      </c>
      <c r="EE6" s="43">
        <f t="shared" ca="1" si="3"/>
        <v>45967</v>
      </c>
      <c r="EF6" s="43">
        <f t="shared" ca="1" si="3"/>
        <v>45968</v>
      </c>
      <c r="EG6" s="44">
        <f t="shared" ca="1" si="3"/>
        <v>45969</v>
      </c>
      <c r="EH6" s="45">
        <f t="shared" ca="1" si="3"/>
        <v>45970</v>
      </c>
    </row>
    <row r="7" spans="1:138" s="17" customFormat="1" ht="17.25" customHeight="1" thickTop="1">
      <c r="A7" s="473" t="s">
        <v>37</v>
      </c>
      <c r="B7" s="127">
        <v>60</v>
      </c>
      <c r="C7" s="40" t="s">
        <v>38</v>
      </c>
      <c r="D7" s="40" t="s">
        <v>39</v>
      </c>
      <c r="E7" s="41" t="s">
        <v>40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  <c r="DU7" s="13"/>
      <c r="DV7" s="14"/>
      <c r="DW7" s="14"/>
      <c r="DX7" s="14"/>
      <c r="DY7" s="14"/>
      <c r="DZ7" s="15"/>
      <c r="EA7" s="16"/>
      <c r="EB7" s="13"/>
      <c r="EC7" s="14"/>
      <c r="ED7" s="14"/>
      <c r="EE7" s="14"/>
      <c r="EF7" s="14"/>
      <c r="EG7" s="15"/>
      <c r="EH7" s="16"/>
    </row>
    <row r="8" spans="1:138" s="17" customFormat="1" ht="9.6" customHeight="1">
      <c r="A8" s="552" t="str">
        <f ca="1">_xlfn.XLOOKUP(A25,'VTT actif'!F:F,'VTT actif'!AA:AA,"-",0)&amp;" &gt; "&amp;_xlfn.XLOOKUP(A25,'VTT actif'!F:F,'VTT actif'!AG:AG,"-",0)</f>
        <v>FRLEH &gt; CLSAI</v>
      </c>
      <c r="B8" s="18" t="s">
        <v>41</v>
      </c>
      <c r="C8" s="19">
        <f>_xlfn.XLOOKUP(A25,'VTT actif'!F:F,'VTT actif'!N:N,"-",0)</f>
        <v>7</v>
      </c>
      <c r="D8" s="20">
        <v>0</v>
      </c>
      <c r="E8" s="19">
        <f>(C8+D8)</f>
        <v>7</v>
      </c>
      <c r="F8" s="13" t="str">
        <f t="shared" ref="F8:O16" si="4">IF(AND(F$5&gt;=$C8,F$5&lt;=$E8),1,"")</f>
        <v/>
      </c>
      <c r="G8" s="14" t="str">
        <f t="shared" si="4"/>
        <v/>
      </c>
      <c r="H8" s="14" t="str">
        <f t="shared" si="4"/>
        <v/>
      </c>
      <c r="I8" s="14" t="str">
        <f t="shared" si="4"/>
        <v/>
      </c>
      <c r="J8" s="14" t="str">
        <f t="shared" si="4"/>
        <v/>
      </c>
      <c r="K8" s="15" t="str">
        <f t="shared" si="4"/>
        <v/>
      </c>
      <c r="L8" s="16">
        <f t="shared" si="4"/>
        <v>1</v>
      </c>
      <c r="M8" s="13" t="str">
        <f t="shared" si="4"/>
        <v/>
      </c>
      <c r="N8" s="14" t="str">
        <f t="shared" si="4"/>
        <v/>
      </c>
      <c r="O8" s="14" t="str">
        <f t="shared" si="4"/>
        <v/>
      </c>
      <c r="P8" s="14" t="str">
        <f t="shared" ref="P8:Y16" si="5">IF(AND(P$5&gt;=$C8,P$5&lt;=$E8),1,"")</f>
        <v/>
      </c>
      <c r="Q8" s="14" t="str">
        <f t="shared" si="5"/>
        <v/>
      </c>
      <c r="R8" s="15" t="str">
        <f t="shared" si="5"/>
        <v/>
      </c>
      <c r="S8" s="16" t="str">
        <f t="shared" si="5"/>
        <v/>
      </c>
      <c r="T8" s="13" t="str">
        <f t="shared" si="5"/>
        <v/>
      </c>
      <c r="U8" s="14" t="str">
        <f t="shared" si="5"/>
        <v/>
      </c>
      <c r="V8" s="14" t="str">
        <f t="shared" si="5"/>
        <v/>
      </c>
      <c r="W8" s="14" t="str">
        <f t="shared" si="5"/>
        <v/>
      </c>
      <c r="X8" s="14" t="str">
        <f t="shared" si="5"/>
        <v/>
      </c>
      <c r="Y8" s="15" t="str">
        <f t="shared" si="5"/>
        <v/>
      </c>
      <c r="Z8" s="16" t="str">
        <f t="shared" ref="Z8:AI16" si="6">IF(AND(Z$5&gt;=$C8,Z$5&lt;=$E8),1,"")</f>
        <v/>
      </c>
      <c r="AA8" s="13" t="str">
        <f t="shared" si="6"/>
        <v/>
      </c>
      <c r="AB8" s="14" t="str">
        <f t="shared" si="6"/>
        <v/>
      </c>
      <c r="AC8" s="14" t="str">
        <f t="shared" si="6"/>
        <v/>
      </c>
      <c r="AD8" s="14" t="str">
        <f t="shared" si="6"/>
        <v/>
      </c>
      <c r="AE8" s="14" t="str">
        <f t="shared" si="6"/>
        <v/>
      </c>
      <c r="AF8" s="15" t="str">
        <f t="shared" si="6"/>
        <v/>
      </c>
      <c r="AG8" s="16" t="str">
        <f t="shared" si="6"/>
        <v/>
      </c>
      <c r="AH8" s="13" t="str">
        <f t="shared" si="6"/>
        <v/>
      </c>
      <c r="AI8" s="14" t="str">
        <f t="shared" si="6"/>
        <v/>
      </c>
      <c r="AJ8" s="14" t="str">
        <f t="shared" ref="AJ8:AS16" si="7">IF(AND(AJ$5&gt;=$C8,AJ$5&lt;=$E8),1,"")</f>
        <v/>
      </c>
      <c r="AK8" s="14" t="str">
        <f t="shared" si="7"/>
        <v/>
      </c>
      <c r="AL8" s="14" t="str">
        <f t="shared" si="7"/>
        <v/>
      </c>
      <c r="AM8" s="15" t="str">
        <f t="shared" si="7"/>
        <v/>
      </c>
      <c r="AN8" s="16" t="str">
        <f t="shared" si="7"/>
        <v/>
      </c>
      <c r="AO8" s="13" t="str">
        <f t="shared" si="7"/>
        <v/>
      </c>
      <c r="AP8" s="14" t="str">
        <f t="shared" si="7"/>
        <v/>
      </c>
      <c r="AQ8" s="14" t="str">
        <f t="shared" si="7"/>
        <v/>
      </c>
      <c r="AR8" s="14" t="str">
        <f t="shared" si="7"/>
        <v/>
      </c>
      <c r="AS8" s="14" t="str">
        <f t="shared" si="7"/>
        <v/>
      </c>
      <c r="AT8" s="15" t="str">
        <f t="shared" ref="AT8:BC16" si="8">IF(AND(AT$5&gt;=$C8,AT$5&lt;=$E8),1,"")</f>
        <v/>
      </c>
      <c r="AU8" s="16" t="str">
        <f t="shared" si="8"/>
        <v/>
      </c>
      <c r="AV8" s="13" t="str">
        <f t="shared" si="8"/>
        <v/>
      </c>
      <c r="AW8" s="14" t="str">
        <f t="shared" si="8"/>
        <v/>
      </c>
      <c r="AX8" s="14" t="str">
        <f t="shared" si="8"/>
        <v/>
      </c>
      <c r="AY8" s="14" t="str">
        <f t="shared" si="8"/>
        <v/>
      </c>
      <c r="AZ8" s="14" t="str">
        <f t="shared" si="8"/>
        <v/>
      </c>
      <c r="BA8" s="15" t="str">
        <f t="shared" si="8"/>
        <v/>
      </c>
      <c r="BB8" s="16" t="str">
        <f t="shared" si="8"/>
        <v/>
      </c>
      <c r="BC8" s="13" t="str">
        <f t="shared" si="8"/>
        <v/>
      </c>
      <c r="BD8" s="14" t="str">
        <f t="shared" ref="BD8:BM16" si="9">IF(AND(BD$5&gt;=$C8,BD$5&lt;=$E8),1,"")</f>
        <v/>
      </c>
      <c r="BE8" s="14" t="str">
        <f t="shared" si="9"/>
        <v/>
      </c>
      <c r="BF8" s="14" t="str">
        <f t="shared" si="9"/>
        <v/>
      </c>
      <c r="BG8" s="14" t="str">
        <f t="shared" si="9"/>
        <v/>
      </c>
      <c r="BH8" s="15" t="str">
        <f t="shared" si="9"/>
        <v/>
      </c>
      <c r="BI8" s="16" t="str">
        <f t="shared" si="9"/>
        <v/>
      </c>
      <c r="BJ8" s="13" t="str">
        <f t="shared" si="9"/>
        <v/>
      </c>
      <c r="BK8" s="14" t="str">
        <f t="shared" si="9"/>
        <v/>
      </c>
      <c r="BL8" s="14" t="str">
        <f t="shared" si="9"/>
        <v/>
      </c>
      <c r="BM8" s="14" t="str">
        <f t="shared" si="9"/>
        <v/>
      </c>
      <c r="BN8" s="14" t="str">
        <f t="shared" ref="BN8:BW16" si="10">IF(AND(BN$5&gt;=$C8,BN$5&lt;=$E8),1,"")</f>
        <v/>
      </c>
      <c r="BO8" s="15" t="str">
        <f t="shared" si="10"/>
        <v/>
      </c>
      <c r="BP8" s="16" t="str">
        <f t="shared" si="10"/>
        <v/>
      </c>
      <c r="BQ8" s="13" t="str">
        <f t="shared" si="10"/>
        <v/>
      </c>
      <c r="BR8" s="14" t="str">
        <f t="shared" si="10"/>
        <v/>
      </c>
      <c r="BS8" s="14" t="str">
        <f t="shared" si="10"/>
        <v/>
      </c>
      <c r="BT8" s="14" t="str">
        <f t="shared" si="10"/>
        <v/>
      </c>
      <c r="BU8" s="14" t="str">
        <f t="shared" si="10"/>
        <v/>
      </c>
      <c r="BV8" s="15" t="str">
        <f t="shared" si="10"/>
        <v/>
      </c>
      <c r="BW8" s="16" t="str">
        <f t="shared" si="10"/>
        <v/>
      </c>
      <c r="BX8" s="13" t="str">
        <f t="shared" ref="BX8:CG16" si="11">IF(AND(BX$5&gt;=$C8,BX$5&lt;=$E8),1,"")</f>
        <v/>
      </c>
      <c r="BY8" s="14" t="str">
        <f t="shared" si="11"/>
        <v/>
      </c>
      <c r="BZ8" s="14" t="str">
        <f t="shared" si="11"/>
        <v/>
      </c>
      <c r="CA8" s="14" t="str">
        <f t="shared" si="11"/>
        <v/>
      </c>
      <c r="CB8" s="14" t="str">
        <f t="shared" si="11"/>
        <v/>
      </c>
      <c r="CC8" s="15" t="str">
        <f t="shared" si="11"/>
        <v/>
      </c>
      <c r="CD8" s="16" t="str">
        <f t="shared" si="11"/>
        <v/>
      </c>
      <c r="CE8" s="13" t="str">
        <f t="shared" si="11"/>
        <v/>
      </c>
      <c r="CF8" s="14" t="str">
        <f t="shared" si="11"/>
        <v/>
      </c>
      <c r="CG8" s="14" t="str">
        <f t="shared" si="11"/>
        <v/>
      </c>
      <c r="CH8" s="14" t="str">
        <f t="shared" ref="CH8:CQ16" si="12">IF(AND(CH$5&gt;=$C8,CH$5&lt;=$E8),1,"")</f>
        <v/>
      </c>
      <c r="CI8" s="14" t="str">
        <f t="shared" si="12"/>
        <v/>
      </c>
      <c r="CJ8" s="15" t="str">
        <f t="shared" si="12"/>
        <v/>
      </c>
      <c r="CK8" s="16" t="str">
        <f t="shared" si="12"/>
        <v/>
      </c>
      <c r="CL8" s="13" t="str">
        <f t="shared" si="12"/>
        <v/>
      </c>
      <c r="CM8" s="14" t="str">
        <f t="shared" si="12"/>
        <v/>
      </c>
      <c r="CN8" s="14" t="str">
        <f t="shared" si="12"/>
        <v/>
      </c>
      <c r="CO8" s="14" t="str">
        <f t="shared" si="12"/>
        <v/>
      </c>
      <c r="CP8" s="14" t="str">
        <f t="shared" si="12"/>
        <v/>
      </c>
      <c r="CQ8" s="15" t="str">
        <f t="shared" si="12"/>
        <v/>
      </c>
      <c r="CR8" s="16" t="str">
        <f t="shared" ref="CR8:DA16" si="13">IF(AND(CR$5&gt;=$C8,CR$5&lt;=$E8),1,"")</f>
        <v/>
      </c>
      <c r="CS8" s="13" t="str">
        <f t="shared" si="13"/>
        <v/>
      </c>
      <c r="CT8" s="14" t="str">
        <f t="shared" si="13"/>
        <v/>
      </c>
      <c r="CU8" s="14" t="str">
        <f t="shared" si="13"/>
        <v/>
      </c>
      <c r="CV8" s="14" t="str">
        <f t="shared" si="13"/>
        <v/>
      </c>
      <c r="CW8" s="14" t="str">
        <f t="shared" si="13"/>
        <v/>
      </c>
      <c r="CX8" s="15" t="str">
        <f t="shared" si="13"/>
        <v/>
      </c>
      <c r="CY8" s="16" t="str">
        <f t="shared" si="13"/>
        <v/>
      </c>
      <c r="CZ8" s="13" t="str">
        <f t="shared" si="13"/>
        <v/>
      </c>
      <c r="DA8" s="14" t="str">
        <f t="shared" si="13"/>
        <v/>
      </c>
      <c r="DB8" s="14" t="str">
        <f t="shared" ref="DB8:DK16" si="14">IF(AND(DB$5&gt;=$C8,DB$5&lt;=$E8),1,"")</f>
        <v/>
      </c>
      <c r="DC8" s="14" t="str">
        <f t="shared" si="14"/>
        <v/>
      </c>
      <c r="DD8" s="14" t="str">
        <f t="shared" si="14"/>
        <v/>
      </c>
      <c r="DE8" s="15" t="str">
        <f t="shared" si="14"/>
        <v/>
      </c>
      <c r="DF8" s="16" t="str">
        <f t="shared" si="14"/>
        <v/>
      </c>
      <c r="DG8" s="13" t="str">
        <f t="shared" si="14"/>
        <v/>
      </c>
      <c r="DH8" s="14" t="str">
        <f t="shared" si="14"/>
        <v/>
      </c>
      <c r="DI8" s="14" t="str">
        <f t="shared" si="14"/>
        <v/>
      </c>
      <c r="DJ8" s="14" t="str">
        <f t="shared" si="14"/>
        <v/>
      </c>
      <c r="DK8" s="14" t="str">
        <f t="shared" si="14"/>
        <v/>
      </c>
      <c r="DL8" s="15" t="str">
        <f t="shared" ref="DL8:DU16" si="15">IF(AND(DL$5&gt;=$C8,DL$5&lt;=$E8),1,"")</f>
        <v/>
      </c>
      <c r="DM8" s="16" t="str">
        <f t="shared" si="15"/>
        <v/>
      </c>
      <c r="DN8" s="13" t="str">
        <f t="shared" si="15"/>
        <v/>
      </c>
      <c r="DO8" s="14" t="str">
        <f t="shared" si="15"/>
        <v/>
      </c>
      <c r="DP8" s="14" t="str">
        <f t="shared" si="15"/>
        <v/>
      </c>
      <c r="DQ8" s="14" t="str">
        <f t="shared" si="15"/>
        <v/>
      </c>
      <c r="DR8" s="14" t="str">
        <f t="shared" si="15"/>
        <v/>
      </c>
      <c r="DS8" s="15" t="str">
        <f t="shared" si="15"/>
        <v/>
      </c>
      <c r="DT8" s="16" t="str">
        <f t="shared" si="15"/>
        <v/>
      </c>
      <c r="DU8" s="13" t="str">
        <f t="shared" si="15"/>
        <v/>
      </c>
      <c r="DV8" s="14" t="str">
        <f t="shared" ref="DV8:EH16" si="16">IF(AND(DV$5&gt;=$C8,DV$5&lt;=$E8),1,"")</f>
        <v/>
      </c>
      <c r="DW8" s="14" t="str">
        <f t="shared" si="16"/>
        <v/>
      </c>
      <c r="DX8" s="14" t="str">
        <f t="shared" si="16"/>
        <v/>
      </c>
      <c r="DY8" s="14" t="str">
        <f t="shared" si="16"/>
        <v/>
      </c>
      <c r="DZ8" s="15" t="str">
        <f t="shared" si="16"/>
        <v/>
      </c>
      <c r="EA8" s="16" t="str">
        <f t="shared" si="16"/>
        <v/>
      </c>
      <c r="EB8" s="13" t="str">
        <f t="shared" si="16"/>
        <v/>
      </c>
      <c r="EC8" s="14" t="str">
        <f t="shared" si="16"/>
        <v/>
      </c>
      <c r="ED8" s="14" t="str">
        <f t="shared" si="16"/>
        <v/>
      </c>
      <c r="EE8" s="14" t="str">
        <f t="shared" si="16"/>
        <v/>
      </c>
      <c r="EF8" s="14" t="str">
        <f t="shared" si="16"/>
        <v/>
      </c>
      <c r="EG8" s="15" t="str">
        <f t="shared" si="16"/>
        <v/>
      </c>
      <c r="EH8" s="16" t="str">
        <f t="shared" si="16"/>
        <v/>
      </c>
    </row>
    <row r="9" spans="1:138" s="17" customFormat="1" ht="9.6" customHeight="1">
      <c r="A9" s="535"/>
      <c r="B9" s="626" t="str">
        <f>IF(B1="SFK Freight Forwarder","","Day ILN Order")</f>
        <v>Day ILN Order</v>
      </c>
      <c r="C9" s="19">
        <f>IF(B1="SFK Freight Forwarder",0,_xlfn.XLOOKUP(A25,'VTT actif'!F:F,'VTT actif'!Q:Q,"-",0))</f>
        <v>9</v>
      </c>
      <c r="D9" s="20">
        <v>0</v>
      </c>
      <c r="E9" s="19">
        <f>(C9+D9)</f>
        <v>9</v>
      </c>
      <c r="F9" s="13" t="str">
        <f t="shared" si="4"/>
        <v/>
      </c>
      <c r="G9" s="14" t="str">
        <f t="shared" si="4"/>
        <v/>
      </c>
      <c r="H9" s="14" t="str">
        <f t="shared" si="4"/>
        <v/>
      </c>
      <c r="I9" s="14" t="str">
        <f t="shared" si="4"/>
        <v/>
      </c>
      <c r="J9" s="14" t="str">
        <f t="shared" si="4"/>
        <v/>
      </c>
      <c r="K9" s="15" t="str">
        <f t="shared" si="4"/>
        <v/>
      </c>
      <c r="L9" s="16" t="str">
        <f t="shared" si="4"/>
        <v/>
      </c>
      <c r="M9" s="13" t="str">
        <f t="shared" si="4"/>
        <v/>
      </c>
      <c r="N9" s="14">
        <f t="shared" si="4"/>
        <v>1</v>
      </c>
      <c r="O9" s="14" t="str">
        <f t="shared" si="4"/>
        <v/>
      </c>
      <c r="P9" s="14" t="str">
        <f t="shared" si="5"/>
        <v/>
      </c>
      <c r="Q9" s="14" t="str">
        <f t="shared" si="5"/>
        <v/>
      </c>
      <c r="R9" s="15" t="str">
        <f t="shared" si="5"/>
        <v/>
      </c>
      <c r="S9" s="16" t="str">
        <f t="shared" si="5"/>
        <v/>
      </c>
      <c r="T9" s="13" t="str">
        <f t="shared" si="5"/>
        <v/>
      </c>
      <c r="U9" s="14" t="str">
        <f t="shared" si="5"/>
        <v/>
      </c>
      <c r="V9" s="14" t="str">
        <f t="shared" si="5"/>
        <v/>
      </c>
      <c r="W9" s="14" t="str">
        <f t="shared" si="5"/>
        <v/>
      </c>
      <c r="X9" s="14" t="str">
        <f t="shared" si="5"/>
        <v/>
      </c>
      <c r="Y9" s="15" t="str">
        <f t="shared" si="5"/>
        <v/>
      </c>
      <c r="Z9" s="16" t="str">
        <f t="shared" si="6"/>
        <v/>
      </c>
      <c r="AA9" s="13" t="str">
        <f t="shared" si="6"/>
        <v/>
      </c>
      <c r="AB9" s="14" t="str">
        <f t="shared" si="6"/>
        <v/>
      </c>
      <c r="AC9" s="14" t="str">
        <f t="shared" si="6"/>
        <v/>
      </c>
      <c r="AD9" s="14" t="str">
        <f t="shared" si="6"/>
        <v/>
      </c>
      <c r="AE9" s="14" t="str">
        <f t="shared" si="6"/>
        <v/>
      </c>
      <c r="AF9" s="15" t="str">
        <f t="shared" si="6"/>
        <v/>
      </c>
      <c r="AG9" s="16" t="str">
        <f t="shared" si="6"/>
        <v/>
      </c>
      <c r="AH9" s="13" t="str">
        <f t="shared" si="6"/>
        <v/>
      </c>
      <c r="AI9" s="14" t="str">
        <f t="shared" si="6"/>
        <v/>
      </c>
      <c r="AJ9" s="14" t="str">
        <f t="shared" si="7"/>
        <v/>
      </c>
      <c r="AK9" s="14" t="str">
        <f t="shared" si="7"/>
        <v/>
      </c>
      <c r="AL9" s="14" t="str">
        <f t="shared" si="7"/>
        <v/>
      </c>
      <c r="AM9" s="15" t="str">
        <f t="shared" si="7"/>
        <v/>
      </c>
      <c r="AN9" s="16" t="str">
        <f t="shared" si="7"/>
        <v/>
      </c>
      <c r="AO9" s="13" t="str">
        <f t="shared" si="7"/>
        <v/>
      </c>
      <c r="AP9" s="14" t="str">
        <f t="shared" si="7"/>
        <v/>
      </c>
      <c r="AQ9" s="14" t="str">
        <f t="shared" si="7"/>
        <v/>
      </c>
      <c r="AR9" s="14" t="str">
        <f t="shared" si="7"/>
        <v/>
      </c>
      <c r="AS9" s="14" t="str">
        <f t="shared" si="7"/>
        <v/>
      </c>
      <c r="AT9" s="15" t="str">
        <f t="shared" si="8"/>
        <v/>
      </c>
      <c r="AU9" s="16" t="str">
        <f t="shared" si="8"/>
        <v/>
      </c>
      <c r="AV9" s="13" t="str">
        <f t="shared" si="8"/>
        <v/>
      </c>
      <c r="AW9" s="14" t="str">
        <f t="shared" si="8"/>
        <v/>
      </c>
      <c r="AX9" s="14" t="str">
        <f t="shared" si="8"/>
        <v/>
      </c>
      <c r="AY9" s="14" t="str">
        <f t="shared" si="8"/>
        <v/>
      </c>
      <c r="AZ9" s="14" t="str">
        <f t="shared" si="8"/>
        <v/>
      </c>
      <c r="BA9" s="15" t="str">
        <f t="shared" si="8"/>
        <v/>
      </c>
      <c r="BB9" s="16" t="str">
        <f t="shared" si="8"/>
        <v/>
      </c>
      <c r="BC9" s="13" t="str">
        <f t="shared" si="8"/>
        <v/>
      </c>
      <c r="BD9" s="14" t="str">
        <f t="shared" si="9"/>
        <v/>
      </c>
      <c r="BE9" s="14" t="str">
        <f t="shared" si="9"/>
        <v/>
      </c>
      <c r="BF9" s="14" t="str">
        <f t="shared" si="9"/>
        <v/>
      </c>
      <c r="BG9" s="14" t="str">
        <f t="shared" si="9"/>
        <v/>
      </c>
      <c r="BH9" s="15" t="str">
        <f t="shared" si="9"/>
        <v/>
      </c>
      <c r="BI9" s="16" t="str">
        <f t="shared" si="9"/>
        <v/>
      </c>
      <c r="BJ9" s="13" t="str">
        <f t="shared" si="9"/>
        <v/>
      </c>
      <c r="BK9" s="14" t="str">
        <f t="shared" si="9"/>
        <v/>
      </c>
      <c r="BL9" s="14" t="str">
        <f t="shared" si="9"/>
        <v/>
      </c>
      <c r="BM9" s="14" t="str">
        <f t="shared" si="9"/>
        <v/>
      </c>
      <c r="BN9" s="14" t="str">
        <f t="shared" si="10"/>
        <v/>
      </c>
      <c r="BO9" s="15" t="str">
        <f t="shared" si="10"/>
        <v/>
      </c>
      <c r="BP9" s="16" t="str">
        <f t="shared" si="10"/>
        <v/>
      </c>
      <c r="BQ9" s="13" t="str">
        <f t="shared" si="10"/>
        <v/>
      </c>
      <c r="BR9" s="14" t="str">
        <f t="shared" si="10"/>
        <v/>
      </c>
      <c r="BS9" s="14" t="str">
        <f t="shared" si="10"/>
        <v/>
      </c>
      <c r="BT9" s="14" t="str">
        <f t="shared" si="10"/>
        <v/>
      </c>
      <c r="BU9" s="14" t="str">
        <f t="shared" si="10"/>
        <v/>
      </c>
      <c r="BV9" s="15" t="str">
        <f t="shared" si="10"/>
        <v/>
      </c>
      <c r="BW9" s="16" t="str">
        <f t="shared" si="10"/>
        <v/>
      </c>
      <c r="BX9" s="13" t="str">
        <f t="shared" si="11"/>
        <v/>
      </c>
      <c r="BY9" s="14" t="str">
        <f t="shared" si="11"/>
        <v/>
      </c>
      <c r="BZ9" s="14" t="str">
        <f t="shared" si="11"/>
        <v/>
      </c>
      <c r="CA9" s="14" t="str">
        <f t="shared" si="11"/>
        <v/>
      </c>
      <c r="CB9" s="14" t="str">
        <f t="shared" si="11"/>
        <v/>
      </c>
      <c r="CC9" s="15" t="str">
        <f t="shared" si="11"/>
        <v/>
      </c>
      <c r="CD9" s="16" t="str">
        <f t="shared" si="11"/>
        <v/>
      </c>
      <c r="CE9" s="13" t="str">
        <f t="shared" si="11"/>
        <v/>
      </c>
      <c r="CF9" s="14" t="str">
        <f t="shared" si="11"/>
        <v/>
      </c>
      <c r="CG9" s="14" t="str">
        <f t="shared" si="11"/>
        <v/>
      </c>
      <c r="CH9" s="14" t="str">
        <f t="shared" si="12"/>
        <v/>
      </c>
      <c r="CI9" s="14" t="str">
        <f t="shared" si="12"/>
        <v/>
      </c>
      <c r="CJ9" s="15" t="str">
        <f t="shared" si="12"/>
        <v/>
      </c>
      <c r="CK9" s="16" t="str">
        <f t="shared" si="12"/>
        <v/>
      </c>
      <c r="CL9" s="13" t="str">
        <f t="shared" si="12"/>
        <v/>
      </c>
      <c r="CM9" s="14" t="str">
        <f t="shared" si="12"/>
        <v/>
      </c>
      <c r="CN9" s="14" t="str">
        <f t="shared" si="12"/>
        <v/>
      </c>
      <c r="CO9" s="14" t="str">
        <f t="shared" si="12"/>
        <v/>
      </c>
      <c r="CP9" s="14" t="str">
        <f t="shared" si="12"/>
        <v/>
      </c>
      <c r="CQ9" s="15" t="str">
        <f t="shared" si="12"/>
        <v/>
      </c>
      <c r="CR9" s="16" t="str">
        <f t="shared" si="13"/>
        <v/>
      </c>
      <c r="CS9" s="13" t="str">
        <f t="shared" si="13"/>
        <v/>
      </c>
      <c r="CT9" s="14" t="str">
        <f t="shared" si="13"/>
        <v/>
      </c>
      <c r="CU9" s="14" t="str">
        <f t="shared" si="13"/>
        <v/>
      </c>
      <c r="CV9" s="14" t="str">
        <f t="shared" si="13"/>
        <v/>
      </c>
      <c r="CW9" s="14" t="str">
        <f t="shared" si="13"/>
        <v/>
      </c>
      <c r="CX9" s="15" t="str">
        <f t="shared" si="13"/>
        <v/>
      </c>
      <c r="CY9" s="16" t="str">
        <f t="shared" si="13"/>
        <v/>
      </c>
      <c r="CZ9" s="13" t="str">
        <f t="shared" si="13"/>
        <v/>
      </c>
      <c r="DA9" s="14" t="str">
        <f t="shared" si="13"/>
        <v/>
      </c>
      <c r="DB9" s="14" t="str">
        <f t="shared" si="14"/>
        <v/>
      </c>
      <c r="DC9" s="14" t="str">
        <f t="shared" si="14"/>
        <v/>
      </c>
      <c r="DD9" s="14" t="str">
        <f t="shared" si="14"/>
        <v/>
      </c>
      <c r="DE9" s="15" t="str">
        <f t="shared" si="14"/>
        <v/>
      </c>
      <c r="DF9" s="16" t="str">
        <f t="shared" si="14"/>
        <v/>
      </c>
      <c r="DG9" s="13" t="str">
        <f t="shared" si="14"/>
        <v/>
      </c>
      <c r="DH9" s="14" t="str">
        <f t="shared" si="14"/>
        <v/>
      </c>
      <c r="DI9" s="14" t="str">
        <f t="shared" si="14"/>
        <v/>
      </c>
      <c r="DJ9" s="14" t="str">
        <f t="shared" si="14"/>
        <v/>
      </c>
      <c r="DK9" s="14" t="str">
        <f t="shared" si="14"/>
        <v/>
      </c>
      <c r="DL9" s="15" t="str">
        <f t="shared" si="15"/>
        <v/>
      </c>
      <c r="DM9" s="16" t="str">
        <f t="shared" si="15"/>
        <v/>
      </c>
      <c r="DN9" s="13" t="str">
        <f t="shared" si="15"/>
        <v/>
      </c>
      <c r="DO9" s="14" t="str">
        <f t="shared" si="15"/>
        <v/>
      </c>
      <c r="DP9" s="14" t="str">
        <f t="shared" si="15"/>
        <v/>
      </c>
      <c r="DQ9" s="14" t="str">
        <f t="shared" si="15"/>
        <v/>
      </c>
      <c r="DR9" s="14" t="str">
        <f t="shared" si="15"/>
        <v/>
      </c>
      <c r="DS9" s="15" t="str">
        <f t="shared" si="15"/>
        <v/>
      </c>
      <c r="DT9" s="16" t="str">
        <f t="shared" si="15"/>
        <v/>
      </c>
      <c r="DU9" s="13" t="str">
        <f t="shared" si="15"/>
        <v/>
      </c>
      <c r="DV9" s="14" t="str">
        <f t="shared" si="16"/>
        <v/>
      </c>
      <c r="DW9" s="14" t="str">
        <f t="shared" si="16"/>
        <v/>
      </c>
      <c r="DX9" s="14" t="str">
        <f t="shared" si="16"/>
        <v/>
      </c>
      <c r="DY9" s="14" t="str">
        <f t="shared" si="16"/>
        <v/>
      </c>
      <c r="DZ9" s="15" t="str">
        <f t="shared" si="16"/>
        <v/>
      </c>
      <c r="EA9" s="16" t="str">
        <f t="shared" si="16"/>
        <v/>
      </c>
      <c r="EB9" s="13" t="str">
        <f t="shared" si="16"/>
        <v/>
      </c>
      <c r="EC9" s="14" t="str">
        <f t="shared" si="16"/>
        <v/>
      </c>
      <c r="ED9" s="14" t="str">
        <f t="shared" si="16"/>
        <v/>
      </c>
      <c r="EE9" s="14" t="str">
        <f t="shared" si="16"/>
        <v/>
      </c>
      <c r="EF9" s="14" t="str">
        <f t="shared" si="16"/>
        <v/>
      </c>
      <c r="EG9" s="15" t="str">
        <f t="shared" si="16"/>
        <v/>
      </c>
      <c r="EH9" s="16" t="str">
        <f t="shared" si="16"/>
        <v/>
      </c>
    </row>
    <row r="10" spans="1:138" s="17" customFormat="1" ht="9.6" customHeight="1">
      <c r="A10" s="535"/>
      <c r="B10" s="626" t="str">
        <f>IF(B1="SFK Freight Forwarder","","Time of recept in AILN")</f>
        <v>Time of recept in AILN</v>
      </c>
      <c r="C10" s="19">
        <f ca="1">IF(B1="SFK Freight Forwarder",0,_xlfn.XLOOKUP(A25,'VTT actif'!F:F,'VTT actif'!R:R,"-",0)+E9-1)</f>
        <v>15</v>
      </c>
      <c r="D10" s="19">
        <f ca="1">IF(B1="SFK Freight Forwarder",0,_xlfn.XLOOKUP(A25,'VTT actif'!F:F,'VTT actif'!S:S,"-",0))</f>
        <v>5</v>
      </c>
      <c r="E10" s="19">
        <f ca="1">IF(B1="SFK Freight Forwarder",0,(C10+D10)-1)</f>
        <v>19</v>
      </c>
      <c r="F10" s="13" t="str">
        <f t="shared" ca="1" si="4"/>
        <v/>
      </c>
      <c r="G10" s="14" t="str">
        <f t="shared" ca="1" si="4"/>
        <v/>
      </c>
      <c r="H10" s="14" t="str">
        <f t="shared" ca="1" si="4"/>
        <v/>
      </c>
      <c r="I10" s="14" t="str">
        <f t="shared" ca="1" si="4"/>
        <v/>
      </c>
      <c r="J10" s="14" t="str">
        <f t="shared" ca="1" si="4"/>
        <v/>
      </c>
      <c r="K10" s="15" t="str">
        <f t="shared" ca="1" si="4"/>
        <v/>
      </c>
      <c r="L10" s="16" t="str">
        <f t="shared" ca="1" si="4"/>
        <v/>
      </c>
      <c r="M10" s="13" t="str">
        <f t="shared" ca="1" si="4"/>
        <v/>
      </c>
      <c r="N10" s="14" t="str">
        <f t="shared" ca="1" si="4"/>
        <v/>
      </c>
      <c r="O10" s="14" t="str">
        <f t="shared" ca="1" si="4"/>
        <v/>
      </c>
      <c r="P10" s="14" t="str">
        <f t="shared" ca="1" si="5"/>
        <v/>
      </c>
      <c r="Q10" s="14" t="str">
        <f t="shared" ca="1" si="5"/>
        <v/>
      </c>
      <c r="R10" s="15" t="str">
        <f t="shared" ca="1" si="5"/>
        <v/>
      </c>
      <c r="S10" s="16" t="str">
        <f t="shared" ca="1" si="5"/>
        <v/>
      </c>
      <c r="T10" s="13">
        <f t="shared" ca="1" si="5"/>
        <v>1</v>
      </c>
      <c r="U10" s="14">
        <f t="shared" ca="1" si="5"/>
        <v>1</v>
      </c>
      <c r="V10" s="14">
        <f t="shared" ca="1" si="5"/>
        <v>1</v>
      </c>
      <c r="W10" s="14">
        <f t="shared" ca="1" si="5"/>
        <v>1</v>
      </c>
      <c r="X10" s="14">
        <f t="shared" ca="1" si="5"/>
        <v>1</v>
      </c>
      <c r="Y10" s="15" t="str">
        <f t="shared" ca="1" si="5"/>
        <v/>
      </c>
      <c r="Z10" s="16" t="str">
        <f t="shared" ca="1" si="6"/>
        <v/>
      </c>
      <c r="AA10" s="13" t="str">
        <f t="shared" ca="1" si="6"/>
        <v/>
      </c>
      <c r="AB10" s="14" t="str">
        <f t="shared" ca="1" si="6"/>
        <v/>
      </c>
      <c r="AC10" s="14" t="str">
        <f t="shared" ca="1" si="6"/>
        <v/>
      </c>
      <c r="AD10" s="14" t="str">
        <f t="shared" ca="1" si="6"/>
        <v/>
      </c>
      <c r="AE10" s="14" t="str">
        <f t="shared" ca="1" si="6"/>
        <v/>
      </c>
      <c r="AF10" s="15" t="str">
        <f t="shared" ca="1" si="6"/>
        <v/>
      </c>
      <c r="AG10" s="16" t="str">
        <f t="shared" ca="1" si="6"/>
        <v/>
      </c>
      <c r="AH10" s="13" t="str">
        <f t="shared" ca="1" si="6"/>
        <v/>
      </c>
      <c r="AI10" s="14" t="str">
        <f t="shared" ca="1" si="6"/>
        <v/>
      </c>
      <c r="AJ10" s="14" t="str">
        <f t="shared" ca="1" si="7"/>
        <v/>
      </c>
      <c r="AK10" s="14" t="str">
        <f t="shared" ca="1" si="7"/>
        <v/>
      </c>
      <c r="AL10" s="14" t="str">
        <f t="shared" ca="1" si="7"/>
        <v/>
      </c>
      <c r="AM10" s="15" t="str">
        <f t="shared" ca="1" si="7"/>
        <v/>
      </c>
      <c r="AN10" s="16" t="str">
        <f t="shared" ca="1" si="7"/>
        <v/>
      </c>
      <c r="AO10" s="13" t="str">
        <f t="shared" ca="1" si="7"/>
        <v/>
      </c>
      <c r="AP10" s="14" t="str">
        <f t="shared" ca="1" si="7"/>
        <v/>
      </c>
      <c r="AQ10" s="14" t="str">
        <f t="shared" ca="1" si="7"/>
        <v/>
      </c>
      <c r="AR10" s="14" t="str">
        <f t="shared" ca="1" si="7"/>
        <v/>
      </c>
      <c r="AS10" s="14" t="str">
        <f t="shared" ca="1" si="7"/>
        <v/>
      </c>
      <c r="AT10" s="15" t="str">
        <f t="shared" ca="1" si="8"/>
        <v/>
      </c>
      <c r="AU10" s="16" t="str">
        <f t="shared" ca="1" si="8"/>
        <v/>
      </c>
      <c r="AV10" s="13" t="str">
        <f t="shared" ca="1" si="8"/>
        <v/>
      </c>
      <c r="AW10" s="14" t="str">
        <f t="shared" ca="1" si="8"/>
        <v/>
      </c>
      <c r="AX10" s="14" t="str">
        <f t="shared" ca="1" si="8"/>
        <v/>
      </c>
      <c r="AY10" s="14" t="str">
        <f t="shared" ca="1" si="8"/>
        <v/>
      </c>
      <c r="AZ10" s="14" t="str">
        <f t="shared" ca="1" si="8"/>
        <v/>
      </c>
      <c r="BA10" s="15" t="str">
        <f t="shared" ca="1" si="8"/>
        <v/>
      </c>
      <c r="BB10" s="16" t="str">
        <f t="shared" ca="1" si="8"/>
        <v/>
      </c>
      <c r="BC10" s="13" t="str">
        <f t="shared" ca="1" si="8"/>
        <v/>
      </c>
      <c r="BD10" s="14" t="str">
        <f t="shared" ca="1" si="9"/>
        <v/>
      </c>
      <c r="BE10" s="14" t="str">
        <f t="shared" ca="1" si="9"/>
        <v/>
      </c>
      <c r="BF10" s="14" t="str">
        <f t="shared" ca="1" si="9"/>
        <v/>
      </c>
      <c r="BG10" s="14" t="str">
        <f t="shared" ca="1" si="9"/>
        <v/>
      </c>
      <c r="BH10" s="15" t="str">
        <f t="shared" ca="1" si="9"/>
        <v/>
      </c>
      <c r="BI10" s="16" t="str">
        <f t="shared" ca="1" si="9"/>
        <v/>
      </c>
      <c r="BJ10" s="13" t="str">
        <f t="shared" ca="1" si="9"/>
        <v/>
      </c>
      <c r="BK10" s="14" t="str">
        <f t="shared" ca="1" si="9"/>
        <v/>
      </c>
      <c r="BL10" s="14" t="str">
        <f t="shared" ca="1" si="9"/>
        <v/>
      </c>
      <c r="BM10" s="14" t="str">
        <f t="shared" ca="1" si="9"/>
        <v/>
      </c>
      <c r="BN10" s="14" t="str">
        <f t="shared" ca="1" si="10"/>
        <v/>
      </c>
      <c r="BO10" s="15" t="str">
        <f t="shared" ca="1" si="10"/>
        <v/>
      </c>
      <c r="BP10" s="16" t="str">
        <f t="shared" ca="1" si="10"/>
        <v/>
      </c>
      <c r="BQ10" s="13" t="str">
        <f t="shared" ca="1" si="10"/>
        <v/>
      </c>
      <c r="BR10" s="14" t="str">
        <f t="shared" ca="1" si="10"/>
        <v/>
      </c>
      <c r="BS10" s="14" t="str">
        <f t="shared" ca="1" si="10"/>
        <v/>
      </c>
      <c r="BT10" s="14" t="str">
        <f t="shared" ca="1" si="10"/>
        <v/>
      </c>
      <c r="BU10" s="14" t="str">
        <f t="shared" ca="1" si="10"/>
        <v/>
      </c>
      <c r="BV10" s="15" t="str">
        <f t="shared" ca="1" si="10"/>
        <v/>
      </c>
      <c r="BW10" s="16" t="str">
        <f t="shared" ca="1" si="10"/>
        <v/>
      </c>
      <c r="BX10" s="13" t="str">
        <f t="shared" ca="1" si="11"/>
        <v/>
      </c>
      <c r="BY10" s="14" t="str">
        <f t="shared" ca="1" si="11"/>
        <v/>
      </c>
      <c r="BZ10" s="14" t="str">
        <f t="shared" ca="1" si="11"/>
        <v/>
      </c>
      <c r="CA10" s="14" t="str">
        <f t="shared" ca="1" si="11"/>
        <v/>
      </c>
      <c r="CB10" s="14" t="str">
        <f t="shared" ca="1" si="11"/>
        <v/>
      </c>
      <c r="CC10" s="15" t="str">
        <f t="shared" ca="1" si="11"/>
        <v/>
      </c>
      <c r="CD10" s="16" t="str">
        <f t="shared" ca="1" si="11"/>
        <v/>
      </c>
      <c r="CE10" s="13" t="str">
        <f t="shared" ca="1" si="11"/>
        <v/>
      </c>
      <c r="CF10" s="14" t="str">
        <f t="shared" ca="1" si="11"/>
        <v/>
      </c>
      <c r="CG10" s="14" t="str">
        <f t="shared" ca="1" si="11"/>
        <v/>
      </c>
      <c r="CH10" s="14" t="str">
        <f t="shared" ca="1" si="12"/>
        <v/>
      </c>
      <c r="CI10" s="14" t="str">
        <f t="shared" ca="1" si="12"/>
        <v/>
      </c>
      <c r="CJ10" s="15" t="str">
        <f t="shared" ca="1" si="12"/>
        <v/>
      </c>
      <c r="CK10" s="16" t="str">
        <f t="shared" ca="1" si="12"/>
        <v/>
      </c>
      <c r="CL10" s="13" t="str">
        <f t="shared" ca="1" si="12"/>
        <v/>
      </c>
      <c r="CM10" s="14" t="str">
        <f t="shared" ca="1" si="12"/>
        <v/>
      </c>
      <c r="CN10" s="14" t="str">
        <f t="shared" ca="1" si="12"/>
        <v/>
      </c>
      <c r="CO10" s="14" t="str">
        <f t="shared" ca="1" si="12"/>
        <v/>
      </c>
      <c r="CP10" s="14" t="str">
        <f t="shared" ca="1" si="12"/>
        <v/>
      </c>
      <c r="CQ10" s="15" t="str">
        <f t="shared" ca="1" si="12"/>
        <v/>
      </c>
      <c r="CR10" s="16" t="str">
        <f t="shared" ca="1" si="13"/>
        <v/>
      </c>
      <c r="CS10" s="13" t="str">
        <f t="shared" ca="1" si="13"/>
        <v/>
      </c>
      <c r="CT10" s="14" t="str">
        <f t="shared" ca="1" si="13"/>
        <v/>
      </c>
      <c r="CU10" s="14" t="str">
        <f t="shared" ca="1" si="13"/>
        <v/>
      </c>
      <c r="CV10" s="14" t="str">
        <f t="shared" ca="1" si="13"/>
        <v/>
      </c>
      <c r="CW10" s="14" t="str">
        <f t="shared" ca="1" si="13"/>
        <v/>
      </c>
      <c r="CX10" s="15" t="str">
        <f t="shared" ca="1" si="13"/>
        <v/>
      </c>
      <c r="CY10" s="16" t="str">
        <f t="shared" ca="1" si="13"/>
        <v/>
      </c>
      <c r="CZ10" s="13" t="str">
        <f t="shared" ca="1" si="13"/>
        <v/>
      </c>
      <c r="DA10" s="14" t="str">
        <f t="shared" ca="1" si="13"/>
        <v/>
      </c>
      <c r="DB10" s="14" t="str">
        <f t="shared" ca="1" si="14"/>
        <v/>
      </c>
      <c r="DC10" s="14" t="str">
        <f t="shared" ca="1" si="14"/>
        <v/>
      </c>
      <c r="DD10" s="14" t="str">
        <f t="shared" ca="1" si="14"/>
        <v/>
      </c>
      <c r="DE10" s="15" t="str">
        <f t="shared" ca="1" si="14"/>
        <v/>
      </c>
      <c r="DF10" s="16" t="str">
        <f t="shared" ca="1" si="14"/>
        <v/>
      </c>
      <c r="DG10" s="13" t="str">
        <f t="shared" ca="1" si="14"/>
        <v/>
      </c>
      <c r="DH10" s="14" t="str">
        <f t="shared" ca="1" si="14"/>
        <v/>
      </c>
      <c r="DI10" s="14" t="str">
        <f t="shared" ca="1" si="14"/>
        <v/>
      </c>
      <c r="DJ10" s="14" t="str">
        <f t="shared" ca="1" si="14"/>
        <v/>
      </c>
      <c r="DK10" s="14" t="str">
        <f t="shared" ca="1" si="14"/>
        <v/>
      </c>
      <c r="DL10" s="15" t="str">
        <f t="shared" ca="1" si="15"/>
        <v/>
      </c>
      <c r="DM10" s="16" t="str">
        <f t="shared" ca="1" si="15"/>
        <v/>
      </c>
      <c r="DN10" s="13" t="str">
        <f t="shared" ca="1" si="15"/>
        <v/>
      </c>
      <c r="DO10" s="14" t="str">
        <f t="shared" ca="1" si="15"/>
        <v/>
      </c>
      <c r="DP10" s="14" t="str">
        <f t="shared" ca="1" si="15"/>
        <v/>
      </c>
      <c r="DQ10" s="14" t="str">
        <f t="shared" ca="1" si="15"/>
        <v/>
      </c>
      <c r="DR10" s="14" t="str">
        <f t="shared" ca="1" si="15"/>
        <v/>
      </c>
      <c r="DS10" s="15" t="str">
        <f t="shared" ca="1" si="15"/>
        <v/>
      </c>
      <c r="DT10" s="16" t="str">
        <f t="shared" ca="1" si="15"/>
        <v/>
      </c>
      <c r="DU10" s="13" t="str">
        <f t="shared" ca="1" si="15"/>
        <v/>
      </c>
      <c r="DV10" s="14" t="str">
        <f t="shared" ca="1" si="16"/>
        <v/>
      </c>
      <c r="DW10" s="14" t="str">
        <f t="shared" ca="1" si="16"/>
        <v/>
      </c>
      <c r="DX10" s="14" t="str">
        <f t="shared" ca="1" si="16"/>
        <v/>
      </c>
      <c r="DY10" s="14" t="str">
        <f t="shared" ca="1" si="16"/>
        <v/>
      </c>
      <c r="DZ10" s="15" t="str">
        <f t="shared" ca="1" si="16"/>
        <v/>
      </c>
      <c r="EA10" s="16" t="str">
        <f t="shared" ca="1" si="16"/>
        <v/>
      </c>
      <c r="EB10" s="13" t="str">
        <f t="shared" ca="1" si="16"/>
        <v/>
      </c>
      <c r="EC10" s="14" t="str">
        <f t="shared" ca="1" si="16"/>
        <v/>
      </c>
      <c r="ED10" s="14" t="str">
        <f t="shared" ca="1" si="16"/>
        <v/>
      </c>
      <c r="EE10" s="14" t="str">
        <f t="shared" ca="1" si="16"/>
        <v/>
      </c>
      <c r="EF10" s="14" t="str">
        <f t="shared" ca="1" si="16"/>
        <v/>
      </c>
      <c r="EG10" s="15" t="str">
        <f t="shared" ca="1" si="16"/>
        <v/>
      </c>
      <c r="EH10" s="16" t="str">
        <f t="shared" ca="1" si="16"/>
        <v/>
      </c>
    </row>
    <row r="11" spans="1:138" s="17" customFormat="1" ht="9.6" customHeight="1">
      <c r="A11" s="535"/>
      <c r="B11" s="18" t="s">
        <v>42</v>
      </c>
      <c r="C11" s="19">
        <f ca="1">_xlfn.XLOOKUP(A25,'VTT actif'!F:F,'VTT actif'!U:U,"-",0)+1</f>
        <v>16</v>
      </c>
      <c r="D11" s="19">
        <f ca="1">_xlfn.XLOOKUP(A25,'VTT actif'!F:F,'VTT actif'!T:T,"-",0)</f>
        <v>7</v>
      </c>
      <c r="E11" s="19">
        <f ca="1">(C11+D11)-1</f>
        <v>22</v>
      </c>
      <c r="F11" s="13" t="str">
        <f t="shared" ca="1" si="4"/>
        <v/>
      </c>
      <c r="G11" s="14" t="str">
        <f t="shared" ca="1" si="4"/>
        <v/>
      </c>
      <c r="H11" s="14" t="str">
        <f t="shared" ca="1" si="4"/>
        <v/>
      </c>
      <c r="I11" s="14" t="str">
        <f t="shared" ca="1" si="4"/>
        <v/>
      </c>
      <c r="J11" s="14" t="str">
        <f t="shared" ca="1" si="4"/>
        <v/>
      </c>
      <c r="K11" s="15" t="str">
        <f t="shared" ca="1" si="4"/>
        <v/>
      </c>
      <c r="L11" s="16" t="str">
        <f t="shared" ca="1" si="4"/>
        <v/>
      </c>
      <c r="M11" s="13" t="str">
        <f t="shared" ca="1" si="4"/>
        <v/>
      </c>
      <c r="N11" s="14" t="str">
        <f t="shared" ca="1" si="4"/>
        <v/>
      </c>
      <c r="O11" s="14" t="str">
        <f t="shared" ca="1" si="4"/>
        <v/>
      </c>
      <c r="P11" s="14" t="str">
        <f t="shared" ca="1" si="5"/>
        <v/>
      </c>
      <c r="Q11" s="14" t="str">
        <f t="shared" ca="1" si="5"/>
        <v/>
      </c>
      <c r="R11" s="15" t="str">
        <f t="shared" ca="1" si="5"/>
        <v/>
      </c>
      <c r="S11" s="16" t="str">
        <f t="shared" ca="1" si="5"/>
        <v/>
      </c>
      <c r="T11" s="13" t="str">
        <f t="shared" ca="1" si="5"/>
        <v/>
      </c>
      <c r="U11" s="14">
        <f t="shared" ca="1" si="5"/>
        <v>1</v>
      </c>
      <c r="V11" s="14">
        <f t="shared" ca="1" si="5"/>
        <v>1</v>
      </c>
      <c r="W11" s="14">
        <f t="shared" ca="1" si="5"/>
        <v>1</v>
      </c>
      <c r="X11" s="14">
        <f t="shared" ca="1" si="5"/>
        <v>1</v>
      </c>
      <c r="Y11" s="15">
        <f t="shared" ca="1" si="5"/>
        <v>1</v>
      </c>
      <c r="Z11" s="16">
        <f t="shared" ca="1" si="6"/>
        <v>1</v>
      </c>
      <c r="AA11" s="13">
        <f t="shared" ca="1" si="6"/>
        <v>1</v>
      </c>
      <c r="AB11" s="14" t="str">
        <f t="shared" ca="1" si="6"/>
        <v/>
      </c>
      <c r="AC11" s="14" t="str">
        <f t="shared" ca="1" si="6"/>
        <v/>
      </c>
      <c r="AD11" s="14" t="str">
        <f t="shared" ca="1" si="6"/>
        <v/>
      </c>
      <c r="AE11" s="14" t="str">
        <f t="shared" ca="1" si="6"/>
        <v/>
      </c>
      <c r="AF11" s="15" t="str">
        <f t="shared" ca="1" si="6"/>
        <v/>
      </c>
      <c r="AG11" s="16" t="str">
        <f t="shared" ca="1" si="6"/>
        <v/>
      </c>
      <c r="AH11" s="13" t="str">
        <f t="shared" ca="1" si="6"/>
        <v/>
      </c>
      <c r="AI11" s="14" t="str">
        <f t="shared" ca="1" si="6"/>
        <v/>
      </c>
      <c r="AJ11" s="14" t="str">
        <f t="shared" ca="1" si="7"/>
        <v/>
      </c>
      <c r="AK11" s="14" t="str">
        <f t="shared" ca="1" si="7"/>
        <v/>
      </c>
      <c r="AL11" s="14" t="str">
        <f t="shared" ca="1" si="7"/>
        <v/>
      </c>
      <c r="AM11" s="15" t="str">
        <f t="shared" ca="1" si="7"/>
        <v/>
      </c>
      <c r="AN11" s="16" t="str">
        <f t="shared" ca="1" si="7"/>
        <v/>
      </c>
      <c r="AO11" s="13" t="str">
        <f t="shared" ca="1" si="7"/>
        <v/>
      </c>
      <c r="AP11" s="14" t="str">
        <f t="shared" ca="1" si="7"/>
        <v/>
      </c>
      <c r="AQ11" s="14" t="str">
        <f t="shared" ca="1" si="7"/>
        <v/>
      </c>
      <c r="AR11" s="14" t="str">
        <f t="shared" ca="1" si="7"/>
        <v/>
      </c>
      <c r="AS11" s="14" t="str">
        <f t="shared" ca="1" si="7"/>
        <v/>
      </c>
      <c r="AT11" s="15" t="str">
        <f t="shared" ca="1" si="8"/>
        <v/>
      </c>
      <c r="AU11" s="16" t="str">
        <f t="shared" ca="1" si="8"/>
        <v/>
      </c>
      <c r="AV11" s="13" t="str">
        <f t="shared" ca="1" si="8"/>
        <v/>
      </c>
      <c r="AW11" s="14" t="str">
        <f t="shared" ca="1" si="8"/>
        <v/>
      </c>
      <c r="AX11" s="14" t="str">
        <f t="shared" ca="1" si="8"/>
        <v/>
      </c>
      <c r="AY11" s="14" t="str">
        <f t="shared" ca="1" si="8"/>
        <v/>
      </c>
      <c r="AZ11" s="14" t="str">
        <f t="shared" ca="1" si="8"/>
        <v/>
      </c>
      <c r="BA11" s="15" t="str">
        <f t="shared" ca="1" si="8"/>
        <v/>
      </c>
      <c r="BB11" s="16" t="str">
        <f t="shared" ca="1" si="8"/>
        <v/>
      </c>
      <c r="BC11" s="13" t="str">
        <f t="shared" ca="1" si="8"/>
        <v/>
      </c>
      <c r="BD11" s="14" t="str">
        <f t="shared" ca="1" si="9"/>
        <v/>
      </c>
      <c r="BE11" s="14" t="str">
        <f t="shared" ca="1" si="9"/>
        <v/>
      </c>
      <c r="BF11" s="14" t="str">
        <f t="shared" ca="1" si="9"/>
        <v/>
      </c>
      <c r="BG11" s="14" t="str">
        <f t="shared" ca="1" si="9"/>
        <v/>
      </c>
      <c r="BH11" s="15" t="str">
        <f t="shared" ca="1" si="9"/>
        <v/>
      </c>
      <c r="BI11" s="16" t="str">
        <f t="shared" ca="1" si="9"/>
        <v/>
      </c>
      <c r="BJ11" s="13" t="str">
        <f t="shared" ca="1" si="9"/>
        <v/>
      </c>
      <c r="BK11" s="14" t="str">
        <f t="shared" ca="1" si="9"/>
        <v/>
      </c>
      <c r="BL11" s="14" t="str">
        <f t="shared" ca="1" si="9"/>
        <v/>
      </c>
      <c r="BM11" s="14" t="str">
        <f t="shared" ca="1" si="9"/>
        <v/>
      </c>
      <c r="BN11" s="14" t="str">
        <f t="shared" ca="1" si="10"/>
        <v/>
      </c>
      <c r="BO11" s="15" t="str">
        <f t="shared" ca="1" si="10"/>
        <v/>
      </c>
      <c r="BP11" s="16" t="str">
        <f t="shared" ca="1" si="10"/>
        <v/>
      </c>
      <c r="BQ11" s="13" t="str">
        <f t="shared" ca="1" si="10"/>
        <v/>
      </c>
      <c r="BR11" s="14" t="str">
        <f t="shared" ca="1" si="10"/>
        <v/>
      </c>
      <c r="BS11" s="14" t="str">
        <f t="shared" ca="1" si="10"/>
        <v/>
      </c>
      <c r="BT11" s="14" t="str">
        <f t="shared" ca="1" si="10"/>
        <v/>
      </c>
      <c r="BU11" s="14" t="str">
        <f t="shared" ca="1" si="10"/>
        <v/>
      </c>
      <c r="BV11" s="15" t="str">
        <f t="shared" ca="1" si="10"/>
        <v/>
      </c>
      <c r="BW11" s="16" t="str">
        <f t="shared" ca="1" si="10"/>
        <v/>
      </c>
      <c r="BX11" s="13" t="str">
        <f t="shared" ca="1" si="11"/>
        <v/>
      </c>
      <c r="BY11" s="14" t="str">
        <f t="shared" ca="1" si="11"/>
        <v/>
      </c>
      <c r="BZ11" s="14" t="str">
        <f t="shared" ca="1" si="11"/>
        <v/>
      </c>
      <c r="CA11" s="14" t="str">
        <f t="shared" ca="1" si="11"/>
        <v/>
      </c>
      <c r="CB11" s="14" t="str">
        <f t="shared" ca="1" si="11"/>
        <v/>
      </c>
      <c r="CC11" s="15" t="str">
        <f t="shared" ca="1" si="11"/>
        <v/>
      </c>
      <c r="CD11" s="16" t="str">
        <f t="shared" ca="1" si="11"/>
        <v/>
      </c>
      <c r="CE11" s="13" t="str">
        <f t="shared" ca="1" si="11"/>
        <v/>
      </c>
      <c r="CF11" s="14" t="str">
        <f t="shared" ca="1" si="11"/>
        <v/>
      </c>
      <c r="CG11" s="14" t="str">
        <f t="shared" ca="1" si="11"/>
        <v/>
      </c>
      <c r="CH11" s="14" t="str">
        <f t="shared" ca="1" si="12"/>
        <v/>
      </c>
      <c r="CI11" s="14" t="str">
        <f t="shared" ca="1" si="12"/>
        <v/>
      </c>
      <c r="CJ11" s="15" t="str">
        <f t="shared" ca="1" si="12"/>
        <v/>
      </c>
      <c r="CK11" s="16" t="str">
        <f t="shared" ca="1" si="12"/>
        <v/>
      </c>
      <c r="CL11" s="13" t="str">
        <f t="shared" ca="1" si="12"/>
        <v/>
      </c>
      <c r="CM11" s="14" t="str">
        <f t="shared" ca="1" si="12"/>
        <v/>
      </c>
      <c r="CN11" s="14" t="str">
        <f t="shared" ca="1" si="12"/>
        <v/>
      </c>
      <c r="CO11" s="14" t="str">
        <f t="shared" ca="1" si="12"/>
        <v/>
      </c>
      <c r="CP11" s="14" t="str">
        <f t="shared" ca="1" si="12"/>
        <v/>
      </c>
      <c r="CQ11" s="15" t="str">
        <f t="shared" ca="1" si="12"/>
        <v/>
      </c>
      <c r="CR11" s="16" t="str">
        <f t="shared" ca="1" si="13"/>
        <v/>
      </c>
      <c r="CS11" s="13" t="str">
        <f t="shared" ca="1" si="13"/>
        <v/>
      </c>
      <c r="CT11" s="14" t="str">
        <f t="shared" ca="1" si="13"/>
        <v/>
      </c>
      <c r="CU11" s="14" t="str">
        <f t="shared" ca="1" si="13"/>
        <v/>
      </c>
      <c r="CV11" s="14" t="str">
        <f t="shared" ca="1" si="13"/>
        <v/>
      </c>
      <c r="CW11" s="14" t="str">
        <f t="shared" ca="1" si="13"/>
        <v/>
      </c>
      <c r="CX11" s="15" t="str">
        <f t="shared" ca="1" si="13"/>
        <v/>
      </c>
      <c r="CY11" s="16" t="str">
        <f t="shared" ca="1" si="13"/>
        <v/>
      </c>
      <c r="CZ11" s="13" t="str">
        <f t="shared" ca="1" si="13"/>
        <v/>
      </c>
      <c r="DA11" s="14" t="str">
        <f t="shared" ca="1" si="13"/>
        <v/>
      </c>
      <c r="DB11" s="14" t="str">
        <f t="shared" ca="1" si="14"/>
        <v/>
      </c>
      <c r="DC11" s="14" t="str">
        <f t="shared" ca="1" si="14"/>
        <v/>
      </c>
      <c r="DD11" s="14" t="str">
        <f t="shared" ca="1" si="14"/>
        <v/>
      </c>
      <c r="DE11" s="15" t="str">
        <f t="shared" ca="1" si="14"/>
        <v/>
      </c>
      <c r="DF11" s="16" t="str">
        <f t="shared" ca="1" si="14"/>
        <v/>
      </c>
      <c r="DG11" s="13" t="str">
        <f t="shared" ca="1" si="14"/>
        <v/>
      </c>
      <c r="DH11" s="14" t="str">
        <f t="shared" ca="1" si="14"/>
        <v/>
      </c>
      <c r="DI11" s="14" t="str">
        <f t="shared" ca="1" si="14"/>
        <v/>
      </c>
      <c r="DJ11" s="14" t="str">
        <f t="shared" ca="1" si="14"/>
        <v/>
      </c>
      <c r="DK11" s="14" t="str">
        <f t="shared" ca="1" si="14"/>
        <v/>
      </c>
      <c r="DL11" s="15" t="str">
        <f t="shared" ca="1" si="15"/>
        <v/>
      </c>
      <c r="DM11" s="16" t="str">
        <f t="shared" ca="1" si="15"/>
        <v/>
      </c>
      <c r="DN11" s="13" t="str">
        <f t="shared" ca="1" si="15"/>
        <v/>
      </c>
      <c r="DO11" s="14" t="str">
        <f t="shared" ca="1" si="15"/>
        <v/>
      </c>
      <c r="DP11" s="14" t="str">
        <f t="shared" ca="1" si="15"/>
        <v/>
      </c>
      <c r="DQ11" s="14" t="str">
        <f t="shared" ca="1" si="15"/>
        <v/>
      </c>
      <c r="DR11" s="14" t="str">
        <f t="shared" ca="1" si="15"/>
        <v/>
      </c>
      <c r="DS11" s="15" t="str">
        <f t="shared" ca="1" si="15"/>
        <v/>
      </c>
      <c r="DT11" s="16" t="str">
        <f t="shared" ca="1" si="15"/>
        <v/>
      </c>
      <c r="DU11" s="13" t="str">
        <f t="shared" ca="1" si="15"/>
        <v/>
      </c>
      <c r="DV11" s="14" t="str">
        <f t="shared" ca="1" si="16"/>
        <v/>
      </c>
      <c r="DW11" s="14" t="str">
        <f t="shared" ca="1" si="16"/>
        <v/>
      </c>
      <c r="DX11" s="14" t="str">
        <f t="shared" ca="1" si="16"/>
        <v/>
      </c>
      <c r="DY11" s="14" t="str">
        <f t="shared" ca="1" si="16"/>
        <v/>
      </c>
      <c r="DZ11" s="15" t="str">
        <f t="shared" ca="1" si="16"/>
        <v/>
      </c>
      <c r="EA11" s="16" t="str">
        <f t="shared" ca="1" si="16"/>
        <v/>
      </c>
      <c r="EB11" s="13" t="str">
        <f t="shared" ca="1" si="16"/>
        <v/>
      </c>
      <c r="EC11" s="14" t="str">
        <f t="shared" ca="1" si="16"/>
        <v/>
      </c>
      <c r="ED11" s="14" t="str">
        <f t="shared" ca="1" si="16"/>
        <v/>
      </c>
      <c r="EE11" s="14" t="str">
        <f t="shared" ca="1" si="16"/>
        <v/>
      </c>
      <c r="EF11" s="14" t="str">
        <f t="shared" ca="1" si="16"/>
        <v/>
      </c>
      <c r="EG11" s="15" t="str">
        <f t="shared" ca="1" si="16"/>
        <v/>
      </c>
      <c r="EH11" s="16" t="str">
        <f t="shared" ca="1" si="16"/>
        <v/>
      </c>
    </row>
    <row r="12" spans="1:138" s="17" customFormat="1" ht="9.6" customHeight="1">
      <c r="A12" s="535"/>
      <c r="B12" s="18" t="s">
        <v>43</v>
      </c>
      <c r="C12" s="19">
        <f ca="1">E11+1</f>
        <v>23</v>
      </c>
      <c r="D12" s="19">
        <f ca="1">_xlfn.XLOOKUP(A25,'VTT actif'!F:F,'VTT actif'!V:V,"-",0)</f>
        <v>1</v>
      </c>
      <c r="E12" s="21">
        <f ca="1">(C12+D12)-1</f>
        <v>23</v>
      </c>
      <c r="F12" s="13" t="str">
        <f t="shared" ca="1" si="4"/>
        <v/>
      </c>
      <c r="G12" s="14" t="str">
        <f t="shared" ca="1" si="4"/>
        <v/>
      </c>
      <c r="H12" s="14" t="str">
        <f t="shared" ca="1" si="4"/>
        <v/>
      </c>
      <c r="I12" s="14" t="str">
        <f t="shared" ca="1" si="4"/>
        <v/>
      </c>
      <c r="J12" s="14" t="str">
        <f t="shared" ca="1" si="4"/>
        <v/>
      </c>
      <c r="K12" s="15" t="str">
        <f t="shared" ca="1" si="4"/>
        <v/>
      </c>
      <c r="L12" s="16" t="str">
        <f t="shared" ca="1" si="4"/>
        <v/>
      </c>
      <c r="M12" s="13" t="str">
        <f t="shared" ca="1" si="4"/>
        <v/>
      </c>
      <c r="N12" s="14" t="str">
        <f t="shared" ca="1" si="4"/>
        <v/>
      </c>
      <c r="O12" s="14" t="str">
        <f t="shared" ca="1" si="4"/>
        <v/>
      </c>
      <c r="P12" s="14" t="str">
        <f t="shared" ca="1" si="5"/>
        <v/>
      </c>
      <c r="Q12" s="14" t="str">
        <f t="shared" ca="1" si="5"/>
        <v/>
      </c>
      <c r="R12" s="15" t="str">
        <f t="shared" ca="1" si="5"/>
        <v/>
      </c>
      <c r="S12" s="16" t="str">
        <f t="shared" ca="1" si="5"/>
        <v/>
      </c>
      <c r="T12" s="13" t="str">
        <f t="shared" ca="1" si="5"/>
        <v/>
      </c>
      <c r="U12" s="14" t="str">
        <f t="shared" ca="1" si="5"/>
        <v/>
      </c>
      <c r="V12" s="14" t="str">
        <f t="shared" ca="1" si="5"/>
        <v/>
      </c>
      <c r="W12" s="14" t="str">
        <f t="shared" ca="1" si="5"/>
        <v/>
      </c>
      <c r="X12" s="14" t="str">
        <f t="shared" ca="1" si="5"/>
        <v/>
      </c>
      <c r="Y12" s="15" t="str">
        <f t="shared" ca="1" si="5"/>
        <v/>
      </c>
      <c r="Z12" s="16" t="str">
        <f t="shared" ca="1" si="6"/>
        <v/>
      </c>
      <c r="AA12" s="13" t="str">
        <f t="shared" ca="1" si="6"/>
        <v/>
      </c>
      <c r="AB12" s="14">
        <f t="shared" ca="1" si="6"/>
        <v>1</v>
      </c>
      <c r="AC12" s="14" t="str">
        <f t="shared" ca="1" si="6"/>
        <v/>
      </c>
      <c r="AD12" s="14" t="str">
        <f t="shared" ca="1" si="6"/>
        <v/>
      </c>
      <c r="AE12" s="14" t="str">
        <f t="shared" ca="1" si="6"/>
        <v/>
      </c>
      <c r="AF12" s="15" t="str">
        <f t="shared" ca="1" si="6"/>
        <v/>
      </c>
      <c r="AG12" s="16" t="str">
        <f t="shared" ca="1" si="6"/>
        <v/>
      </c>
      <c r="AH12" s="13" t="str">
        <f t="shared" ca="1" si="6"/>
        <v/>
      </c>
      <c r="AI12" s="14" t="str">
        <f t="shared" ca="1" si="6"/>
        <v/>
      </c>
      <c r="AJ12" s="14" t="str">
        <f t="shared" ca="1" si="7"/>
        <v/>
      </c>
      <c r="AK12" s="14" t="str">
        <f t="shared" ca="1" si="7"/>
        <v/>
      </c>
      <c r="AL12" s="14" t="str">
        <f t="shared" ca="1" si="7"/>
        <v/>
      </c>
      <c r="AM12" s="15" t="str">
        <f t="shared" ca="1" si="7"/>
        <v/>
      </c>
      <c r="AN12" s="16" t="str">
        <f t="shared" ca="1" si="7"/>
        <v/>
      </c>
      <c r="AO12" s="13" t="str">
        <f t="shared" ca="1" si="7"/>
        <v/>
      </c>
      <c r="AP12" s="14" t="str">
        <f t="shared" ca="1" si="7"/>
        <v/>
      </c>
      <c r="AQ12" s="14" t="str">
        <f t="shared" ca="1" si="7"/>
        <v/>
      </c>
      <c r="AR12" s="14" t="str">
        <f t="shared" ca="1" si="7"/>
        <v/>
      </c>
      <c r="AS12" s="14" t="str">
        <f t="shared" ca="1" si="7"/>
        <v/>
      </c>
      <c r="AT12" s="15" t="str">
        <f t="shared" ca="1" si="8"/>
        <v/>
      </c>
      <c r="AU12" s="16" t="str">
        <f t="shared" ca="1" si="8"/>
        <v/>
      </c>
      <c r="AV12" s="13" t="str">
        <f t="shared" ca="1" si="8"/>
        <v/>
      </c>
      <c r="AW12" s="14" t="str">
        <f t="shared" ca="1" si="8"/>
        <v/>
      </c>
      <c r="AX12" s="14" t="str">
        <f t="shared" ca="1" si="8"/>
        <v/>
      </c>
      <c r="AY12" s="14" t="str">
        <f t="shared" ca="1" si="8"/>
        <v/>
      </c>
      <c r="AZ12" s="14" t="str">
        <f t="shared" ca="1" si="8"/>
        <v/>
      </c>
      <c r="BA12" s="15" t="str">
        <f t="shared" ca="1" si="8"/>
        <v/>
      </c>
      <c r="BB12" s="16" t="str">
        <f t="shared" ca="1" si="8"/>
        <v/>
      </c>
      <c r="BC12" s="13" t="str">
        <f t="shared" ca="1" si="8"/>
        <v/>
      </c>
      <c r="BD12" s="14" t="str">
        <f t="shared" ca="1" si="9"/>
        <v/>
      </c>
      <c r="BE12" s="14" t="str">
        <f t="shared" ca="1" si="9"/>
        <v/>
      </c>
      <c r="BF12" s="14" t="str">
        <f t="shared" ca="1" si="9"/>
        <v/>
      </c>
      <c r="BG12" s="14" t="str">
        <f t="shared" ca="1" si="9"/>
        <v/>
      </c>
      <c r="BH12" s="15" t="str">
        <f t="shared" ca="1" si="9"/>
        <v/>
      </c>
      <c r="BI12" s="16" t="str">
        <f t="shared" ca="1" si="9"/>
        <v/>
      </c>
      <c r="BJ12" s="13" t="str">
        <f t="shared" ca="1" si="9"/>
        <v/>
      </c>
      <c r="BK12" s="14" t="str">
        <f t="shared" ca="1" si="9"/>
        <v/>
      </c>
      <c r="BL12" s="14" t="str">
        <f t="shared" ca="1" si="9"/>
        <v/>
      </c>
      <c r="BM12" s="14" t="str">
        <f t="shared" ca="1" si="9"/>
        <v/>
      </c>
      <c r="BN12" s="14" t="str">
        <f t="shared" ca="1" si="10"/>
        <v/>
      </c>
      <c r="BO12" s="15" t="str">
        <f t="shared" ca="1" si="10"/>
        <v/>
      </c>
      <c r="BP12" s="16" t="str">
        <f t="shared" ca="1" si="10"/>
        <v/>
      </c>
      <c r="BQ12" s="13" t="str">
        <f t="shared" ca="1" si="10"/>
        <v/>
      </c>
      <c r="BR12" s="14" t="str">
        <f t="shared" ca="1" si="10"/>
        <v/>
      </c>
      <c r="BS12" s="14" t="str">
        <f t="shared" ca="1" si="10"/>
        <v/>
      </c>
      <c r="BT12" s="14" t="str">
        <f t="shared" ca="1" si="10"/>
        <v/>
      </c>
      <c r="BU12" s="14" t="str">
        <f t="shared" ca="1" si="10"/>
        <v/>
      </c>
      <c r="BV12" s="15" t="str">
        <f t="shared" ca="1" si="10"/>
        <v/>
      </c>
      <c r="BW12" s="16" t="str">
        <f t="shared" ca="1" si="10"/>
        <v/>
      </c>
      <c r="BX12" s="13" t="str">
        <f t="shared" ca="1" si="11"/>
        <v/>
      </c>
      <c r="BY12" s="14" t="str">
        <f t="shared" ca="1" si="11"/>
        <v/>
      </c>
      <c r="BZ12" s="14" t="str">
        <f t="shared" ca="1" si="11"/>
        <v/>
      </c>
      <c r="CA12" s="14" t="str">
        <f t="shared" ca="1" si="11"/>
        <v/>
      </c>
      <c r="CB12" s="14" t="str">
        <f t="shared" ca="1" si="11"/>
        <v/>
      </c>
      <c r="CC12" s="15" t="str">
        <f t="shared" ca="1" si="11"/>
        <v/>
      </c>
      <c r="CD12" s="16" t="str">
        <f t="shared" ca="1" si="11"/>
        <v/>
      </c>
      <c r="CE12" s="13" t="str">
        <f t="shared" ca="1" si="11"/>
        <v/>
      </c>
      <c r="CF12" s="14" t="str">
        <f t="shared" ca="1" si="11"/>
        <v/>
      </c>
      <c r="CG12" s="14" t="str">
        <f t="shared" ca="1" si="11"/>
        <v/>
      </c>
      <c r="CH12" s="14" t="str">
        <f t="shared" ca="1" si="12"/>
        <v/>
      </c>
      <c r="CI12" s="14" t="str">
        <f t="shared" ca="1" si="12"/>
        <v/>
      </c>
      <c r="CJ12" s="15" t="str">
        <f t="shared" ca="1" si="12"/>
        <v/>
      </c>
      <c r="CK12" s="16" t="str">
        <f t="shared" ca="1" si="12"/>
        <v/>
      </c>
      <c r="CL12" s="13" t="str">
        <f t="shared" ca="1" si="12"/>
        <v/>
      </c>
      <c r="CM12" s="14" t="str">
        <f t="shared" ca="1" si="12"/>
        <v/>
      </c>
      <c r="CN12" s="14" t="str">
        <f t="shared" ca="1" si="12"/>
        <v/>
      </c>
      <c r="CO12" s="14" t="str">
        <f t="shared" ca="1" si="12"/>
        <v/>
      </c>
      <c r="CP12" s="14" t="str">
        <f t="shared" ca="1" si="12"/>
        <v/>
      </c>
      <c r="CQ12" s="15" t="str">
        <f t="shared" ca="1" si="12"/>
        <v/>
      </c>
      <c r="CR12" s="16" t="str">
        <f t="shared" ca="1" si="13"/>
        <v/>
      </c>
      <c r="CS12" s="13" t="str">
        <f t="shared" ca="1" si="13"/>
        <v/>
      </c>
      <c r="CT12" s="14" t="str">
        <f t="shared" ca="1" si="13"/>
        <v/>
      </c>
      <c r="CU12" s="14" t="str">
        <f t="shared" ca="1" si="13"/>
        <v/>
      </c>
      <c r="CV12" s="14" t="str">
        <f t="shared" ca="1" si="13"/>
        <v/>
      </c>
      <c r="CW12" s="14" t="str">
        <f t="shared" ca="1" si="13"/>
        <v/>
      </c>
      <c r="CX12" s="15" t="str">
        <f t="shared" ca="1" si="13"/>
        <v/>
      </c>
      <c r="CY12" s="16" t="str">
        <f t="shared" ca="1" si="13"/>
        <v/>
      </c>
      <c r="CZ12" s="13" t="str">
        <f t="shared" ca="1" si="13"/>
        <v/>
      </c>
      <c r="DA12" s="14" t="str">
        <f t="shared" ca="1" si="13"/>
        <v/>
      </c>
      <c r="DB12" s="14" t="str">
        <f t="shared" ca="1" si="14"/>
        <v/>
      </c>
      <c r="DC12" s="14" t="str">
        <f t="shared" ca="1" si="14"/>
        <v/>
      </c>
      <c r="DD12" s="14" t="str">
        <f t="shared" ca="1" si="14"/>
        <v/>
      </c>
      <c r="DE12" s="15" t="str">
        <f t="shared" ca="1" si="14"/>
        <v/>
      </c>
      <c r="DF12" s="16" t="str">
        <f t="shared" ca="1" si="14"/>
        <v/>
      </c>
      <c r="DG12" s="13" t="str">
        <f t="shared" ca="1" si="14"/>
        <v/>
      </c>
      <c r="DH12" s="14" t="str">
        <f t="shared" ca="1" si="14"/>
        <v/>
      </c>
      <c r="DI12" s="14" t="str">
        <f t="shared" ca="1" si="14"/>
        <v/>
      </c>
      <c r="DJ12" s="14" t="str">
        <f t="shared" ca="1" si="14"/>
        <v/>
      </c>
      <c r="DK12" s="14" t="str">
        <f t="shared" ca="1" si="14"/>
        <v/>
      </c>
      <c r="DL12" s="15" t="str">
        <f t="shared" ca="1" si="15"/>
        <v/>
      </c>
      <c r="DM12" s="16" t="str">
        <f t="shared" ca="1" si="15"/>
        <v/>
      </c>
      <c r="DN12" s="13" t="str">
        <f t="shared" ca="1" si="15"/>
        <v/>
      </c>
      <c r="DO12" s="14" t="str">
        <f t="shared" ca="1" si="15"/>
        <v/>
      </c>
      <c r="DP12" s="14" t="str">
        <f t="shared" ca="1" si="15"/>
        <v/>
      </c>
      <c r="DQ12" s="14" t="str">
        <f t="shared" ca="1" si="15"/>
        <v/>
      </c>
      <c r="DR12" s="14" t="str">
        <f t="shared" ca="1" si="15"/>
        <v/>
      </c>
      <c r="DS12" s="15" t="str">
        <f t="shared" ca="1" si="15"/>
        <v/>
      </c>
      <c r="DT12" s="16" t="str">
        <f t="shared" ca="1" si="15"/>
        <v/>
      </c>
      <c r="DU12" s="13" t="str">
        <f t="shared" ca="1" si="15"/>
        <v/>
      </c>
      <c r="DV12" s="14" t="str">
        <f t="shared" ca="1" si="16"/>
        <v/>
      </c>
      <c r="DW12" s="14" t="str">
        <f t="shared" ca="1" si="16"/>
        <v/>
      </c>
      <c r="DX12" s="14" t="str">
        <f t="shared" ca="1" si="16"/>
        <v/>
      </c>
      <c r="DY12" s="14" t="str">
        <f t="shared" ca="1" si="16"/>
        <v/>
      </c>
      <c r="DZ12" s="15" t="str">
        <f t="shared" ca="1" si="16"/>
        <v/>
      </c>
      <c r="EA12" s="16" t="str">
        <f t="shared" ca="1" si="16"/>
        <v/>
      </c>
      <c r="EB12" s="13" t="str">
        <f t="shared" ca="1" si="16"/>
        <v/>
      </c>
      <c r="EC12" s="14" t="str">
        <f t="shared" ca="1" si="16"/>
        <v/>
      </c>
      <c r="ED12" s="14" t="str">
        <f t="shared" ca="1" si="16"/>
        <v/>
      </c>
      <c r="EE12" s="14" t="str">
        <f t="shared" ca="1" si="16"/>
        <v/>
      </c>
      <c r="EF12" s="14" t="str">
        <f t="shared" ca="1" si="16"/>
        <v/>
      </c>
      <c r="EG12" s="15" t="str">
        <f t="shared" ca="1" si="16"/>
        <v/>
      </c>
      <c r="EH12" s="16" t="str">
        <f t="shared" ca="1" si="16"/>
        <v/>
      </c>
    </row>
    <row r="13" spans="1:138" s="17" customFormat="1" ht="9.6" customHeight="1">
      <c r="A13" s="535"/>
      <c r="B13" s="22" t="s">
        <v>44</v>
      </c>
      <c r="C13" s="19">
        <f ca="1">IF(AND(_xlfn.XLOOKUP(A25,'VTT actif'!F:F,'VTT actif'!W:W,"-",0)=7,INT(E12/7)=E12/7),E12,IF((ROUNDDOWN(E12/7,0)*7+_xlfn.XLOOKUP(A25,'VTT actif'!F:F,'VTT actif'!W:W,"-",0))&lt;E12,(ROUNDDOWN(E12/7,0)*7+_xlfn.XLOOKUP(A25,'VTT actif'!F:F,'VTT actif'!W:W,"-",0))+7,(ROUNDDOWN(E12/7,0)*7+_xlfn.XLOOKUP(A25,'VTT actif'!F:F,'VTT actif'!W:W,"-",0))))</f>
        <v>25</v>
      </c>
      <c r="D13" s="20">
        <v>0</v>
      </c>
      <c r="E13" s="19">
        <f ca="1">C13+D13</f>
        <v>25</v>
      </c>
      <c r="F13" s="13" t="str">
        <f t="shared" ca="1" si="4"/>
        <v/>
      </c>
      <c r="G13" s="14" t="str">
        <f t="shared" ca="1" si="4"/>
        <v/>
      </c>
      <c r="H13" s="14" t="str">
        <f t="shared" ca="1" si="4"/>
        <v/>
      </c>
      <c r="I13" s="14" t="str">
        <f t="shared" ca="1" si="4"/>
        <v/>
      </c>
      <c r="J13" s="14" t="str">
        <f t="shared" ca="1" si="4"/>
        <v/>
      </c>
      <c r="K13" s="15" t="str">
        <f t="shared" ca="1" si="4"/>
        <v/>
      </c>
      <c r="L13" s="16" t="str">
        <f t="shared" ca="1" si="4"/>
        <v/>
      </c>
      <c r="M13" s="13" t="str">
        <f t="shared" ca="1" si="4"/>
        <v/>
      </c>
      <c r="N13" s="14" t="str">
        <f t="shared" ca="1" si="4"/>
        <v/>
      </c>
      <c r="O13" s="14" t="str">
        <f t="shared" ca="1" si="4"/>
        <v/>
      </c>
      <c r="P13" s="14" t="str">
        <f t="shared" ca="1" si="5"/>
        <v/>
      </c>
      <c r="Q13" s="14" t="str">
        <f t="shared" ca="1" si="5"/>
        <v/>
      </c>
      <c r="R13" s="15" t="str">
        <f t="shared" ca="1" si="5"/>
        <v/>
      </c>
      <c r="S13" s="16" t="str">
        <f t="shared" ca="1" si="5"/>
        <v/>
      </c>
      <c r="T13" s="13" t="str">
        <f t="shared" ca="1" si="5"/>
        <v/>
      </c>
      <c r="U13" s="14" t="str">
        <f t="shared" ca="1" si="5"/>
        <v/>
      </c>
      <c r="V13" s="14" t="str">
        <f t="shared" ca="1" si="5"/>
        <v/>
      </c>
      <c r="W13" s="14" t="str">
        <f t="shared" ca="1" si="5"/>
        <v/>
      </c>
      <c r="X13" s="14" t="str">
        <f t="shared" ca="1" si="5"/>
        <v/>
      </c>
      <c r="Y13" s="15" t="str">
        <f t="shared" ca="1" si="5"/>
        <v/>
      </c>
      <c r="Z13" s="16" t="str">
        <f t="shared" ca="1" si="6"/>
        <v/>
      </c>
      <c r="AA13" s="13" t="str">
        <f t="shared" ca="1" si="6"/>
        <v/>
      </c>
      <c r="AB13" s="14" t="str">
        <f t="shared" ca="1" si="6"/>
        <v/>
      </c>
      <c r="AC13" s="14" t="str">
        <f t="shared" ca="1" si="6"/>
        <v/>
      </c>
      <c r="AD13" s="14">
        <f t="shared" ca="1" si="6"/>
        <v>1</v>
      </c>
      <c r="AE13" s="14" t="str">
        <f t="shared" ca="1" si="6"/>
        <v/>
      </c>
      <c r="AF13" s="15" t="str">
        <f t="shared" ca="1" si="6"/>
        <v/>
      </c>
      <c r="AG13" s="16" t="str">
        <f t="shared" ca="1" si="6"/>
        <v/>
      </c>
      <c r="AH13" s="13" t="str">
        <f t="shared" ca="1" si="6"/>
        <v/>
      </c>
      <c r="AI13" s="14" t="str">
        <f t="shared" ca="1" si="6"/>
        <v/>
      </c>
      <c r="AJ13" s="14" t="str">
        <f t="shared" ca="1" si="7"/>
        <v/>
      </c>
      <c r="AK13" s="14" t="str">
        <f t="shared" ca="1" si="7"/>
        <v/>
      </c>
      <c r="AL13" s="14" t="str">
        <f t="shared" ca="1" si="7"/>
        <v/>
      </c>
      <c r="AM13" s="15" t="str">
        <f t="shared" ca="1" si="7"/>
        <v/>
      </c>
      <c r="AN13" s="16" t="str">
        <f t="shared" ca="1" si="7"/>
        <v/>
      </c>
      <c r="AO13" s="13" t="str">
        <f t="shared" ca="1" si="7"/>
        <v/>
      </c>
      <c r="AP13" s="14" t="str">
        <f t="shared" ca="1" si="7"/>
        <v/>
      </c>
      <c r="AQ13" s="14" t="str">
        <f t="shared" ca="1" si="7"/>
        <v/>
      </c>
      <c r="AR13" s="14" t="str">
        <f t="shared" ca="1" si="7"/>
        <v/>
      </c>
      <c r="AS13" s="14" t="str">
        <f t="shared" ca="1" si="7"/>
        <v/>
      </c>
      <c r="AT13" s="15" t="str">
        <f t="shared" ca="1" si="8"/>
        <v/>
      </c>
      <c r="AU13" s="16" t="str">
        <f t="shared" ca="1" si="8"/>
        <v/>
      </c>
      <c r="AV13" s="13" t="str">
        <f t="shared" ca="1" si="8"/>
        <v/>
      </c>
      <c r="AW13" s="14" t="str">
        <f t="shared" ca="1" si="8"/>
        <v/>
      </c>
      <c r="AX13" s="14" t="str">
        <f t="shared" ca="1" si="8"/>
        <v/>
      </c>
      <c r="AY13" s="14" t="str">
        <f t="shared" ca="1" si="8"/>
        <v/>
      </c>
      <c r="AZ13" s="14" t="str">
        <f t="shared" ca="1" si="8"/>
        <v/>
      </c>
      <c r="BA13" s="15" t="str">
        <f t="shared" ca="1" si="8"/>
        <v/>
      </c>
      <c r="BB13" s="16" t="str">
        <f t="shared" ca="1" si="8"/>
        <v/>
      </c>
      <c r="BC13" s="13" t="str">
        <f t="shared" ca="1" si="8"/>
        <v/>
      </c>
      <c r="BD13" s="14" t="str">
        <f t="shared" ca="1" si="9"/>
        <v/>
      </c>
      <c r="BE13" s="14" t="str">
        <f t="shared" ca="1" si="9"/>
        <v/>
      </c>
      <c r="BF13" s="14" t="str">
        <f t="shared" ca="1" si="9"/>
        <v/>
      </c>
      <c r="BG13" s="14" t="str">
        <f t="shared" ca="1" si="9"/>
        <v/>
      </c>
      <c r="BH13" s="15" t="str">
        <f t="shared" ca="1" si="9"/>
        <v/>
      </c>
      <c r="BI13" s="16" t="str">
        <f t="shared" ca="1" si="9"/>
        <v/>
      </c>
      <c r="BJ13" s="13" t="str">
        <f t="shared" ca="1" si="9"/>
        <v/>
      </c>
      <c r="BK13" s="14" t="str">
        <f t="shared" ca="1" si="9"/>
        <v/>
      </c>
      <c r="BL13" s="14" t="str">
        <f t="shared" ca="1" si="9"/>
        <v/>
      </c>
      <c r="BM13" s="14" t="str">
        <f t="shared" ca="1" si="9"/>
        <v/>
      </c>
      <c r="BN13" s="14" t="str">
        <f t="shared" ca="1" si="10"/>
        <v/>
      </c>
      <c r="BO13" s="15" t="str">
        <f t="shared" ca="1" si="10"/>
        <v/>
      </c>
      <c r="BP13" s="16" t="str">
        <f t="shared" ca="1" si="10"/>
        <v/>
      </c>
      <c r="BQ13" s="13" t="str">
        <f t="shared" ca="1" si="10"/>
        <v/>
      </c>
      <c r="BR13" s="14" t="str">
        <f t="shared" ca="1" si="10"/>
        <v/>
      </c>
      <c r="BS13" s="14" t="str">
        <f t="shared" ca="1" si="10"/>
        <v/>
      </c>
      <c r="BT13" s="14" t="str">
        <f t="shared" ca="1" si="10"/>
        <v/>
      </c>
      <c r="BU13" s="14" t="str">
        <f t="shared" ca="1" si="10"/>
        <v/>
      </c>
      <c r="BV13" s="15" t="str">
        <f t="shared" ca="1" si="10"/>
        <v/>
      </c>
      <c r="BW13" s="16" t="str">
        <f t="shared" ca="1" si="10"/>
        <v/>
      </c>
      <c r="BX13" s="13" t="str">
        <f t="shared" ca="1" si="11"/>
        <v/>
      </c>
      <c r="BY13" s="14" t="str">
        <f t="shared" ca="1" si="11"/>
        <v/>
      </c>
      <c r="BZ13" s="14" t="str">
        <f t="shared" ca="1" si="11"/>
        <v/>
      </c>
      <c r="CA13" s="14" t="str">
        <f t="shared" ca="1" si="11"/>
        <v/>
      </c>
      <c r="CB13" s="14" t="str">
        <f t="shared" ca="1" si="11"/>
        <v/>
      </c>
      <c r="CC13" s="15" t="str">
        <f t="shared" ca="1" si="11"/>
        <v/>
      </c>
      <c r="CD13" s="16" t="str">
        <f t="shared" ca="1" si="11"/>
        <v/>
      </c>
      <c r="CE13" s="13" t="str">
        <f t="shared" ca="1" si="11"/>
        <v/>
      </c>
      <c r="CF13" s="14" t="str">
        <f t="shared" ca="1" si="11"/>
        <v/>
      </c>
      <c r="CG13" s="14" t="str">
        <f t="shared" ca="1" si="11"/>
        <v/>
      </c>
      <c r="CH13" s="14" t="str">
        <f t="shared" ca="1" si="12"/>
        <v/>
      </c>
      <c r="CI13" s="14" t="str">
        <f t="shared" ca="1" si="12"/>
        <v/>
      </c>
      <c r="CJ13" s="15" t="str">
        <f t="shared" ca="1" si="12"/>
        <v/>
      </c>
      <c r="CK13" s="16" t="str">
        <f t="shared" ca="1" si="12"/>
        <v/>
      </c>
      <c r="CL13" s="13" t="str">
        <f t="shared" ca="1" si="12"/>
        <v/>
      </c>
      <c r="CM13" s="14" t="str">
        <f t="shared" ca="1" si="12"/>
        <v/>
      </c>
      <c r="CN13" s="14" t="str">
        <f t="shared" ca="1" si="12"/>
        <v/>
      </c>
      <c r="CO13" s="14" t="str">
        <f t="shared" ca="1" si="12"/>
        <v/>
      </c>
      <c r="CP13" s="14" t="str">
        <f t="shared" ca="1" si="12"/>
        <v/>
      </c>
      <c r="CQ13" s="15" t="str">
        <f t="shared" ca="1" si="12"/>
        <v/>
      </c>
      <c r="CR13" s="16" t="str">
        <f t="shared" ca="1" si="13"/>
        <v/>
      </c>
      <c r="CS13" s="13" t="str">
        <f t="shared" ca="1" si="13"/>
        <v/>
      </c>
      <c r="CT13" s="14" t="str">
        <f t="shared" ca="1" si="13"/>
        <v/>
      </c>
      <c r="CU13" s="14" t="str">
        <f t="shared" ca="1" si="13"/>
        <v/>
      </c>
      <c r="CV13" s="14" t="str">
        <f t="shared" ca="1" si="13"/>
        <v/>
      </c>
      <c r="CW13" s="14" t="str">
        <f t="shared" ca="1" si="13"/>
        <v/>
      </c>
      <c r="CX13" s="15" t="str">
        <f t="shared" ca="1" si="13"/>
        <v/>
      </c>
      <c r="CY13" s="16" t="str">
        <f t="shared" ca="1" si="13"/>
        <v/>
      </c>
      <c r="CZ13" s="13" t="str">
        <f t="shared" ca="1" si="13"/>
        <v/>
      </c>
      <c r="DA13" s="14" t="str">
        <f t="shared" ca="1" si="13"/>
        <v/>
      </c>
      <c r="DB13" s="14" t="str">
        <f t="shared" ca="1" si="14"/>
        <v/>
      </c>
      <c r="DC13" s="14" t="str">
        <f t="shared" ca="1" si="14"/>
        <v/>
      </c>
      <c r="DD13" s="14" t="str">
        <f t="shared" ca="1" si="14"/>
        <v/>
      </c>
      <c r="DE13" s="15" t="str">
        <f t="shared" ca="1" si="14"/>
        <v/>
      </c>
      <c r="DF13" s="16" t="str">
        <f t="shared" ca="1" si="14"/>
        <v/>
      </c>
      <c r="DG13" s="13" t="str">
        <f t="shared" ca="1" si="14"/>
        <v/>
      </c>
      <c r="DH13" s="14" t="str">
        <f t="shared" ca="1" si="14"/>
        <v/>
      </c>
      <c r="DI13" s="14" t="str">
        <f t="shared" ca="1" si="14"/>
        <v/>
      </c>
      <c r="DJ13" s="14" t="str">
        <f t="shared" ca="1" si="14"/>
        <v/>
      </c>
      <c r="DK13" s="14" t="str">
        <f t="shared" ca="1" si="14"/>
        <v/>
      </c>
      <c r="DL13" s="15" t="str">
        <f t="shared" ca="1" si="15"/>
        <v/>
      </c>
      <c r="DM13" s="16" t="str">
        <f t="shared" ca="1" si="15"/>
        <v/>
      </c>
      <c r="DN13" s="13" t="str">
        <f t="shared" ca="1" si="15"/>
        <v/>
      </c>
      <c r="DO13" s="14" t="str">
        <f t="shared" ca="1" si="15"/>
        <v/>
      </c>
      <c r="DP13" s="14" t="str">
        <f t="shared" ca="1" si="15"/>
        <v/>
      </c>
      <c r="DQ13" s="14" t="str">
        <f t="shared" ca="1" si="15"/>
        <v/>
      </c>
      <c r="DR13" s="14" t="str">
        <f t="shared" ca="1" si="15"/>
        <v/>
      </c>
      <c r="DS13" s="15" t="str">
        <f t="shared" ca="1" si="15"/>
        <v/>
      </c>
      <c r="DT13" s="16" t="str">
        <f t="shared" ca="1" si="15"/>
        <v/>
      </c>
      <c r="DU13" s="13" t="str">
        <f t="shared" ca="1" si="15"/>
        <v/>
      </c>
      <c r="DV13" s="14" t="str">
        <f t="shared" ca="1" si="16"/>
        <v/>
      </c>
      <c r="DW13" s="14" t="str">
        <f t="shared" ca="1" si="16"/>
        <v/>
      </c>
      <c r="DX13" s="14" t="str">
        <f t="shared" ca="1" si="16"/>
        <v/>
      </c>
      <c r="DY13" s="14" t="str">
        <f t="shared" ca="1" si="16"/>
        <v/>
      </c>
      <c r="DZ13" s="15" t="str">
        <f t="shared" ca="1" si="16"/>
        <v/>
      </c>
      <c r="EA13" s="16" t="str">
        <f t="shared" ca="1" si="16"/>
        <v/>
      </c>
      <c r="EB13" s="13" t="str">
        <f t="shared" ca="1" si="16"/>
        <v/>
      </c>
      <c r="EC13" s="14" t="str">
        <f t="shared" ca="1" si="16"/>
        <v/>
      </c>
      <c r="ED13" s="14" t="str">
        <f t="shared" ca="1" si="16"/>
        <v/>
      </c>
      <c r="EE13" s="14" t="str">
        <f t="shared" ca="1" si="16"/>
        <v/>
      </c>
      <c r="EF13" s="14" t="str">
        <f t="shared" ca="1" si="16"/>
        <v/>
      </c>
      <c r="EG13" s="15" t="str">
        <f t="shared" ca="1" si="16"/>
        <v/>
      </c>
      <c r="EH13" s="16" t="str">
        <f t="shared" ca="1" si="16"/>
        <v/>
      </c>
    </row>
    <row r="14" spans="1:138" s="17" customFormat="1" ht="9.6" customHeight="1">
      <c r="A14" s="535"/>
      <c r="B14" s="22" t="s">
        <v>45</v>
      </c>
      <c r="C14" s="19">
        <f ca="1">IF((ROUNDDOWN(E13/7,0)*7+_xlfn.XLOOKUP(A25,'VTT actif'!F:F,'VTT actif'!AC:AC,"-",0))&lt;E13,(ROUNDDOWN(E13/7,0)*7+_xlfn.XLOOKUP(A25,'VTT actif'!F:F,'VTT actif'!AC:AC,"-",0))+7,(ROUNDDOWN(E13/7,0)*7+_xlfn.XLOOKUP(A25,'VTT actif'!F:F,'VTT actif'!AC:AC,"-",0)))</f>
        <v>26</v>
      </c>
      <c r="D14" s="20">
        <v>0</v>
      </c>
      <c r="E14" s="19">
        <f ca="1">C14+D14</f>
        <v>26</v>
      </c>
      <c r="F14" s="13" t="str">
        <f t="shared" ca="1" si="4"/>
        <v/>
      </c>
      <c r="G14" s="14" t="str">
        <f t="shared" ca="1" si="4"/>
        <v/>
      </c>
      <c r="H14" s="14" t="str">
        <f t="shared" ca="1" si="4"/>
        <v/>
      </c>
      <c r="I14" s="14" t="str">
        <f t="shared" ca="1" si="4"/>
        <v/>
      </c>
      <c r="J14" s="14" t="str">
        <f t="shared" ca="1" si="4"/>
        <v/>
      </c>
      <c r="K14" s="15" t="str">
        <f t="shared" ca="1" si="4"/>
        <v/>
      </c>
      <c r="L14" s="16" t="str">
        <f t="shared" ca="1" si="4"/>
        <v/>
      </c>
      <c r="M14" s="13" t="str">
        <f t="shared" ca="1" si="4"/>
        <v/>
      </c>
      <c r="N14" s="14" t="str">
        <f t="shared" ca="1" si="4"/>
        <v/>
      </c>
      <c r="O14" s="14" t="str">
        <f t="shared" ca="1" si="4"/>
        <v/>
      </c>
      <c r="P14" s="14" t="str">
        <f t="shared" ca="1" si="5"/>
        <v/>
      </c>
      <c r="Q14" s="14" t="str">
        <f t="shared" ca="1" si="5"/>
        <v/>
      </c>
      <c r="R14" s="15" t="str">
        <f t="shared" ca="1" si="5"/>
        <v/>
      </c>
      <c r="S14" s="16" t="str">
        <f t="shared" ca="1" si="5"/>
        <v/>
      </c>
      <c r="T14" s="13" t="str">
        <f t="shared" ca="1" si="5"/>
        <v/>
      </c>
      <c r="U14" s="14" t="str">
        <f t="shared" ca="1" si="5"/>
        <v/>
      </c>
      <c r="V14" s="14" t="str">
        <f t="shared" ca="1" si="5"/>
        <v/>
      </c>
      <c r="W14" s="14" t="str">
        <f t="shared" ca="1" si="5"/>
        <v/>
      </c>
      <c r="X14" s="14" t="str">
        <f t="shared" ca="1" si="5"/>
        <v/>
      </c>
      <c r="Y14" s="15" t="str">
        <f t="shared" ca="1" si="5"/>
        <v/>
      </c>
      <c r="Z14" s="16" t="str">
        <f t="shared" ca="1" si="6"/>
        <v/>
      </c>
      <c r="AA14" s="13" t="str">
        <f t="shared" ca="1" si="6"/>
        <v/>
      </c>
      <c r="AB14" s="14" t="str">
        <f t="shared" ca="1" si="6"/>
        <v/>
      </c>
      <c r="AC14" s="14" t="str">
        <f t="shared" ca="1" si="6"/>
        <v/>
      </c>
      <c r="AD14" s="14" t="str">
        <f t="shared" ca="1" si="6"/>
        <v/>
      </c>
      <c r="AE14" s="14">
        <f t="shared" ca="1" si="6"/>
        <v>1</v>
      </c>
      <c r="AF14" s="15" t="str">
        <f t="shared" ca="1" si="6"/>
        <v/>
      </c>
      <c r="AG14" s="16" t="str">
        <f t="shared" ca="1" si="6"/>
        <v/>
      </c>
      <c r="AH14" s="13" t="str">
        <f t="shared" ca="1" si="6"/>
        <v/>
      </c>
      <c r="AI14" s="14" t="str">
        <f t="shared" ca="1" si="6"/>
        <v/>
      </c>
      <c r="AJ14" s="14" t="str">
        <f t="shared" ca="1" si="7"/>
        <v/>
      </c>
      <c r="AK14" s="14" t="str">
        <f t="shared" ca="1" si="7"/>
        <v/>
      </c>
      <c r="AL14" s="14" t="str">
        <f t="shared" ca="1" si="7"/>
        <v/>
      </c>
      <c r="AM14" s="15" t="str">
        <f t="shared" ca="1" si="7"/>
        <v/>
      </c>
      <c r="AN14" s="16" t="str">
        <f t="shared" ca="1" si="7"/>
        <v/>
      </c>
      <c r="AO14" s="13" t="str">
        <f t="shared" ca="1" si="7"/>
        <v/>
      </c>
      <c r="AP14" s="14" t="str">
        <f t="shared" ca="1" si="7"/>
        <v/>
      </c>
      <c r="AQ14" s="14" t="str">
        <f t="shared" ca="1" si="7"/>
        <v/>
      </c>
      <c r="AR14" s="14" t="str">
        <f t="shared" ca="1" si="7"/>
        <v/>
      </c>
      <c r="AS14" s="14" t="str">
        <f t="shared" ca="1" si="7"/>
        <v/>
      </c>
      <c r="AT14" s="15" t="str">
        <f t="shared" ca="1" si="8"/>
        <v/>
      </c>
      <c r="AU14" s="16" t="str">
        <f t="shared" ca="1" si="8"/>
        <v/>
      </c>
      <c r="AV14" s="13" t="str">
        <f t="shared" ca="1" si="8"/>
        <v/>
      </c>
      <c r="AW14" s="14" t="str">
        <f t="shared" ca="1" si="8"/>
        <v/>
      </c>
      <c r="AX14" s="14" t="str">
        <f t="shared" ca="1" si="8"/>
        <v/>
      </c>
      <c r="AY14" s="14" t="str">
        <f t="shared" ca="1" si="8"/>
        <v/>
      </c>
      <c r="AZ14" s="14" t="str">
        <f t="shared" ca="1" si="8"/>
        <v/>
      </c>
      <c r="BA14" s="15" t="str">
        <f t="shared" ca="1" si="8"/>
        <v/>
      </c>
      <c r="BB14" s="16" t="str">
        <f t="shared" ca="1" si="8"/>
        <v/>
      </c>
      <c r="BC14" s="13" t="str">
        <f t="shared" ca="1" si="8"/>
        <v/>
      </c>
      <c r="BD14" s="14" t="str">
        <f t="shared" ca="1" si="9"/>
        <v/>
      </c>
      <c r="BE14" s="14" t="str">
        <f t="shared" ca="1" si="9"/>
        <v/>
      </c>
      <c r="BF14" s="14" t="str">
        <f t="shared" ca="1" si="9"/>
        <v/>
      </c>
      <c r="BG14" s="14" t="str">
        <f t="shared" ca="1" si="9"/>
        <v/>
      </c>
      <c r="BH14" s="15" t="str">
        <f t="shared" ca="1" si="9"/>
        <v/>
      </c>
      <c r="BI14" s="16" t="str">
        <f t="shared" ca="1" si="9"/>
        <v/>
      </c>
      <c r="BJ14" s="13" t="str">
        <f t="shared" ca="1" si="9"/>
        <v/>
      </c>
      <c r="BK14" s="14" t="str">
        <f t="shared" ca="1" si="9"/>
        <v/>
      </c>
      <c r="BL14" s="14" t="str">
        <f t="shared" ca="1" si="9"/>
        <v/>
      </c>
      <c r="BM14" s="14" t="str">
        <f t="shared" ca="1" si="9"/>
        <v/>
      </c>
      <c r="BN14" s="14" t="str">
        <f t="shared" ca="1" si="10"/>
        <v/>
      </c>
      <c r="BO14" s="15" t="str">
        <f t="shared" ca="1" si="10"/>
        <v/>
      </c>
      <c r="BP14" s="16" t="str">
        <f t="shared" ca="1" si="10"/>
        <v/>
      </c>
      <c r="BQ14" s="13" t="str">
        <f t="shared" ca="1" si="10"/>
        <v/>
      </c>
      <c r="BR14" s="14" t="str">
        <f t="shared" ca="1" si="10"/>
        <v/>
      </c>
      <c r="BS14" s="14" t="str">
        <f t="shared" ca="1" si="10"/>
        <v/>
      </c>
      <c r="BT14" s="14" t="str">
        <f t="shared" ca="1" si="10"/>
        <v/>
      </c>
      <c r="BU14" s="14" t="str">
        <f t="shared" ca="1" si="10"/>
        <v/>
      </c>
      <c r="BV14" s="15" t="str">
        <f t="shared" ca="1" si="10"/>
        <v/>
      </c>
      <c r="BW14" s="16" t="str">
        <f t="shared" ca="1" si="10"/>
        <v/>
      </c>
      <c r="BX14" s="13" t="str">
        <f t="shared" ca="1" si="11"/>
        <v/>
      </c>
      <c r="BY14" s="14" t="str">
        <f t="shared" ca="1" si="11"/>
        <v/>
      </c>
      <c r="BZ14" s="14" t="str">
        <f t="shared" ca="1" si="11"/>
        <v/>
      </c>
      <c r="CA14" s="14" t="str">
        <f t="shared" ca="1" si="11"/>
        <v/>
      </c>
      <c r="CB14" s="14" t="str">
        <f t="shared" ca="1" si="11"/>
        <v/>
      </c>
      <c r="CC14" s="15" t="str">
        <f t="shared" ca="1" si="11"/>
        <v/>
      </c>
      <c r="CD14" s="16" t="str">
        <f t="shared" ca="1" si="11"/>
        <v/>
      </c>
      <c r="CE14" s="13" t="str">
        <f t="shared" ca="1" si="11"/>
        <v/>
      </c>
      <c r="CF14" s="14" t="str">
        <f t="shared" ca="1" si="11"/>
        <v/>
      </c>
      <c r="CG14" s="14" t="str">
        <f t="shared" ca="1" si="11"/>
        <v/>
      </c>
      <c r="CH14" s="14" t="str">
        <f t="shared" ca="1" si="12"/>
        <v/>
      </c>
      <c r="CI14" s="14" t="str">
        <f t="shared" ca="1" si="12"/>
        <v/>
      </c>
      <c r="CJ14" s="15" t="str">
        <f t="shared" ca="1" si="12"/>
        <v/>
      </c>
      <c r="CK14" s="16" t="str">
        <f t="shared" ca="1" si="12"/>
        <v/>
      </c>
      <c r="CL14" s="13" t="str">
        <f t="shared" ca="1" si="12"/>
        <v/>
      </c>
      <c r="CM14" s="14" t="str">
        <f t="shared" ca="1" si="12"/>
        <v/>
      </c>
      <c r="CN14" s="14" t="str">
        <f t="shared" ca="1" si="12"/>
        <v/>
      </c>
      <c r="CO14" s="14" t="str">
        <f t="shared" ca="1" si="12"/>
        <v/>
      </c>
      <c r="CP14" s="14" t="str">
        <f t="shared" ca="1" si="12"/>
        <v/>
      </c>
      <c r="CQ14" s="15" t="str">
        <f t="shared" ca="1" si="12"/>
        <v/>
      </c>
      <c r="CR14" s="16" t="str">
        <f t="shared" ca="1" si="13"/>
        <v/>
      </c>
      <c r="CS14" s="13" t="str">
        <f t="shared" ca="1" si="13"/>
        <v/>
      </c>
      <c r="CT14" s="14" t="str">
        <f t="shared" ca="1" si="13"/>
        <v/>
      </c>
      <c r="CU14" s="14" t="str">
        <f t="shared" ca="1" si="13"/>
        <v/>
      </c>
      <c r="CV14" s="14" t="str">
        <f t="shared" ca="1" si="13"/>
        <v/>
      </c>
      <c r="CW14" s="14" t="str">
        <f t="shared" ca="1" si="13"/>
        <v/>
      </c>
      <c r="CX14" s="15" t="str">
        <f t="shared" ca="1" si="13"/>
        <v/>
      </c>
      <c r="CY14" s="16" t="str">
        <f t="shared" ca="1" si="13"/>
        <v/>
      </c>
      <c r="CZ14" s="13" t="str">
        <f t="shared" ca="1" si="13"/>
        <v/>
      </c>
      <c r="DA14" s="14" t="str">
        <f t="shared" ca="1" si="13"/>
        <v/>
      </c>
      <c r="DB14" s="14" t="str">
        <f t="shared" ca="1" si="14"/>
        <v/>
      </c>
      <c r="DC14" s="14" t="str">
        <f t="shared" ca="1" si="14"/>
        <v/>
      </c>
      <c r="DD14" s="14" t="str">
        <f t="shared" ca="1" si="14"/>
        <v/>
      </c>
      <c r="DE14" s="15" t="str">
        <f t="shared" ca="1" si="14"/>
        <v/>
      </c>
      <c r="DF14" s="16" t="str">
        <f t="shared" ca="1" si="14"/>
        <v/>
      </c>
      <c r="DG14" s="13" t="str">
        <f t="shared" ca="1" si="14"/>
        <v/>
      </c>
      <c r="DH14" s="14" t="str">
        <f t="shared" ca="1" si="14"/>
        <v/>
      </c>
      <c r="DI14" s="14" t="str">
        <f t="shared" ca="1" si="14"/>
        <v/>
      </c>
      <c r="DJ14" s="14" t="str">
        <f t="shared" ca="1" si="14"/>
        <v/>
      </c>
      <c r="DK14" s="14" t="str">
        <f t="shared" ca="1" si="14"/>
        <v/>
      </c>
      <c r="DL14" s="15" t="str">
        <f t="shared" ca="1" si="15"/>
        <v/>
      </c>
      <c r="DM14" s="16" t="str">
        <f t="shared" ca="1" si="15"/>
        <v/>
      </c>
      <c r="DN14" s="13" t="str">
        <f t="shared" ca="1" si="15"/>
        <v/>
      </c>
      <c r="DO14" s="14" t="str">
        <f t="shared" ca="1" si="15"/>
        <v/>
      </c>
      <c r="DP14" s="14" t="str">
        <f t="shared" ca="1" si="15"/>
        <v/>
      </c>
      <c r="DQ14" s="14" t="str">
        <f t="shared" ca="1" si="15"/>
        <v/>
      </c>
      <c r="DR14" s="14" t="str">
        <f t="shared" ca="1" si="15"/>
        <v/>
      </c>
      <c r="DS14" s="15" t="str">
        <f t="shared" ca="1" si="15"/>
        <v/>
      </c>
      <c r="DT14" s="16" t="str">
        <f t="shared" ca="1" si="15"/>
        <v/>
      </c>
      <c r="DU14" s="13" t="str">
        <f t="shared" ca="1" si="15"/>
        <v/>
      </c>
      <c r="DV14" s="14" t="str">
        <f t="shared" ca="1" si="16"/>
        <v/>
      </c>
      <c r="DW14" s="14" t="str">
        <f t="shared" ca="1" si="16"/>
        <v/>
      </c>
      <c r="DX14" s="14" t="str">
        <f t="shared" ca="1" si="16"/>
        <v/>
      </c>
      <c r="DY14" s="14" t="str">
        <f t="shared" ca="1" si="16"/>
        <v/>
      </c>
      <c r="DZ14" s="15" t="str">
        <f t="shared" ca="1" si="16"/>
        <v/>
      </c>
      <c r="EA14" s="16" t="str">
        <f t="shared" ca="1" si="16"/>
        <v/>
      </c>
      <c r="EB14" s="13" t="str">
        <f t="shared" ca="1" si="16"/>
        <v/>
      </c>
      <c r="EC14" s="14" t="str">
        <f t="shared" ca="1" si="16"/>
        <v/>
      </c>
      <c r="ED14" s="14" t="str">
        <f t="shared" ca="1" si="16"/>
        <v/>
      </c>
      <c r="EE14" s="14" t="str">
        <f t="shared" ca="1" si="16"/>
        <v/>
      </c>
      <c r="EF14" s="14" t="str">
        <f t="shared" ca="1" si="16"/>
        <v/>
      </c>
      <c r="EG14" s="15" t="str">
        <f t="shared" ca="1" si="16"/>
        <v/>
      </c>
      <c r="EH14" s="16" t="str">
        <f t="shared" ca="1" si="16"/>
        <v/>
      </c>
    </row>
    <row r="15" spans="1:138" s="17" customFormat="1" ht="9.6" customHeight="1">
      <c r="A15" s="535"/>
      <c r="B15" s="22" t="s">
        <v>46</v>
      </c>
      <c r="C15" s="19">
        <f ca="1">E14+_xlfn.XLOOKUP(A25,'VTT actif'!F:F,'VTT actif'!AD:AD,"-",0)-_xlfn.XLOOKUP(A25,'VTT actif'!F:F,'VTT actif'!AC:AC,"-",0)</f>
        <v>28</v>
      </c>
      <c r="D15" s="20">
        <v>0</v>
      </c>
      <c r="E15" s="19">
        <f ca="1">C15+D15</f>
        <v>28</v>
      </c>
      <c r="F15" s="13" t="str">
        <f t="shared" ca="1" si="4"/>
        <v/>
      </c>
      <c r="G15" s="14" t="str">
        <f t="shared" ca="1" si="4"/>
        <v/>
      </c>
      <c r="H15" s="14" t="str">
        <f t="shared" ca="1" si="4"/>
        <v/>
      </c>
      <c r="I15" s="14" t="str">
        <f t="shared" ca="1" si="4"/>
        <v/>
      </c>
      <c r="J15" s="14" t="str">
        <f t="shared" ca="1" si="4"/>
        <v/>
      </c>
      <c r="K15" s="15" t="str">
        <f t="shared" ca="1" si="4"/>
        <v/>
      </c>
      <c r="L15" s="16" t="str">
        <f t="shared" ca="1" si="4"/>
        <v/>
      </c>
      <c r="M15" s="13" t="str">
        <f t="shared" ca="1" si="4"/>
        <v/>
      </c>
      <c r="N15" s="14" t="str">
        <f t="shared" ca="1" si="4"/>
        <v/>
      </c>
      <c r="O15" s="14" t="str">
        <f t="shared" ca="1" si="4"/>
        <v/>
      </c>
      <c r="P15" s="14" t="str">
        <f t="shared" ca="1" si="5"/>
        <v/>
      </c>
      <c r="Q15" s="14" t="str">
        <f t="shared" ca="1" si="5"/>
        <v/>
      </c>
      <c r="R15" s="15" t="str">
        <f t="shared" ca="1" si="5"/>
        <v/>
      </c>
      <c r="S15" s="16" t="str">
        <f t="shared" ca="1" si="5"/>
        <v/>
      </c>
      <c r="T15" s="13" t="str">
        <f t="shared" ca="1" si="5"/>
        <v/>
      </c>
      <c r="U15" s="14" t="str">
        <f t="shared" ca="1" si="5"/>
        <v/>
      </c>
      <c r="V15" s="14" t="str">
        <f t="shared" ca="1" si="5"/>
        <v/>
      </c>
      <c r="W15" s="14" t="str">
        <f t="shared" ca="1" si="5"/>
        <v/>
      </c>
      <c r="X15" s="14" t="str">
        <f t="shared" ca="1" si="5"/>
        <v/>
      </c>
      <c r="Y15" s="15" t="str">
        <f t="shared" ca="1" si="5"/>
        <v/>
      </c>
      <c r="Z15" s="16" t="str">
        <f t="shared" ca="1" si="6"/>
        <v/>
      </c>
      <c r="AA15" s="13" t="str">
        <f t="shared" ca="1" si="6"/>
        <v/>
      </c>
      <c r="AB15" s="14" t="str">
        <f t="shared" ca="1" si="6"/>
        <v/>
      </c>
      <c r="AC15" s="14" t="str">
        <f t="shared" ca="1" si="6"/>
        <v/>
      </c>
      <c r="AD15" s="14" t="str">
        <f t="shared" ca="1" si="6"/>
        <v/>
      </c>
      <c r="AE15" s="14" t="str">
        <f t="shared" ca="1" si="6"/>
        <v/>
      </c>
      <c r="AF15" s="15" t="str">
        <f t="shared" ca="1" si="6"/>
        <v/>
      </c>
      <c r="AG15" s="16">
        <f t="shared" ca="1" si="6"/>
        <v>1</v>
      </c>
      <c r="AH15" s="13" t="str">
        <f t="shared" ca="1" si="6"/>
        <v/>
      </c>
      <c r="AI15" s="14" t="str">
        <f t="shared" ca="1" si="6"/>
        <v/>
      </c>
      <c r="AJ15" s="14" t="str">
        <f t="shared" ca="1" si="7"/>
        <v/>
      </c>
      <c r="AK15" s="14" t="str">
        <f t="shared" ca="1" si="7"/>
        <v/>
      </c>
      <c r="AL15" s="14" t="str">
        <f t="shared" ca="1" si="7"/>
        <v/>
      </c>
      <c r="AM15" s="15" t="str">
        <f t="shared" ca="1" si="7"/>
        <v/>
      </c>
      <c r="AN15" s="16" t="str">
        <f t="shared" ca="1" si="7"/>
        <v/>
      </c>
      <c r="AO15" s="13" t="str">
        <f t="shared" ca="1" si="7"/>
        <v/>
      </c>
      <c r="AP15" s="14" t="str">
        <f t="shared" ca="1" si="7"/>
        <v/>
      </c>
      <c r="AQ15" s="14" t="str">
        <f t="shared" ca="1" si="7"/>
        <v/>
      </c>
      <c r="AR15" s="14" t="str">
        <f t="shared" ca="1" si="7"/>
        <v/>
      </c>
      <c r="AS15" s="14" t="str">
        <f t="shared" ca="1" si="7"/>
        <v/>
      </c>
      <c r="AT15" s="15" t="str">
        <f t="shared" ca="1" si="8"/>
        <v/>
      </c>
      <c r="AU15" s="16" t="str">
        <f t="shared" ca="1" si="8"/>
        <v/>
      </c>
      <c r="AV15" s="13" t="str">
        <f t="shared" ca="1" si="8"/>
        <v/>
      </c>
      <c r="AW15" s="14" t="str">
        <f t="shared" ca="1" si="8"/>
        <v/>
      </c>
      <c r="AX15" s="14" t="str">
        <f t="shared" ca="1" si="8"/>
        <v/>
      </c>
      <c r="AY15" s="14" t="str">
        <f t="shared" ca="1" si="8"/>
        <v/>
      </c>
      <c r="AZ15" s="14" t="str">
        <f t="shared" ca="1" si="8"/>
        <v/>
      </c>
      <c r="BA15" s="15" t="str">
        <f t="shared" ca="1" si="8"/>
        <v/>
      </c>
      <c r="BB15" s="16" t="str">
        <f t="shared" ca="1" si="8"/>
        <v/>
      </c>
      <c r="BC15" s="13" t="str">
        <f t="shared" ca="1" si="8"/>
        <v/>
      </c>
      <c r="BD15" s="14" t="str">
        <f t="shared" ca="1" si="9"/>
        <v/>
      </c>
      <c r="BE15" s="14" t="str">
        <f t="shared" ca="1" si="9"/>
        <v/>
      </c>
      <c r="BF15" s="14" t="str">
        <f t="shared" ca="1" si="9"/>
        <v/>
      </c>
      <c r="BG15" s="14" t="str">
        <f t="shared" ca="1" si="9"/>
        <v/>
      </c>
      <c r="BH15" s="15" t="str">
        <f t="shared" ca="1" si="9"/>
        <v/>
      </c>
      <c r="BI15" s="16" t="str">
        <f t="shared" ca="1" si="9"/>
        <v/>
      </c>
      <c r="BJ15" s="13" t="str">
        <f t="shared" ca="1" si="9"/>
        <v/>
      </c>
      <c r="BK15" s="14" t="str">
        <f t="shared" ca="1" si="9"/>
        <v/>
      </c>
      <c r="BL15" s="14" t="str">
        <f t="shared" ca="1" si="9"/>
        <v/>
      </c>
      <c r="BM15" s="14" t="str">
        <f t="shared" ca="1" si="9"/>
        <v/>
      </c>
      <c r="BN15" s="14" t="str">
        <f t="shared" ca="1" si="10"/>
        <v/>
      </c>
      <c r="BO15" s="15" t="str">
        <f t="shared" ca="1" si="10"/>
        <v/>
      </c>
      <c r="BP15" s="16" t="str">
        <f t="shared" ca="1" si="10"/>
        <v/>
      </c>
      <c r="BQ15" s="13" t="str">
        <f t="shared" ca="1" si="10"/>
        <v/>
      </c>
      <c r="BR15" s="14" t="str">
        <f t="shared" ca="1" si="10"/>
        <v/>
      </c>
      <c r="BS15" s="14" t="str">
        <f t="shared" ca="1" si="10"/>
        <v/>
      </c>
      <c r="BT15" s="14" t="str">
        <f t="shared" ca="1" si="10"/>
        <v/>
      </c>
      <c r="BU15" s="14" t="str">
        <f t="shared" ca="1" si="10"/>
        <v/>
      </c>
      <c r="BV15" s="15" t="str">
        <f t="shared" ca="1" si="10"/>
        <v/>
      </c>
      <c r="BW15" s="16" t="str">
        <f t="shared" ca="1" si="10"/>
        <v/>
      </c>
      <c r="BX15" s="13" t="str">
        <f t="shared" ca="1" si="11"/>
        <v/>
      </c>
      <c r="BY15" s="14" t="str">
        <f t="shared" ca="1" si="11"/>
        <v/>
      </c>
      <c r="BZ15" s="14" t="str">
        <f t="shared" ca="1" si="11"/>
        <v/>
      </c>
      <c r="CA15" s="14" t="str">
        <f t="shared" ca="1" si="11"/>
        <v/>
      </c>
      <c r="CB15" s="14" t="str">
        <f t="shared" ca="1" si="11"/>
        <v/>
      </c>
      <c r="CC15" s="15" t="str">
        <f t="shared" ca="1" si="11"/>
        <v/>
      </c>
      <c r="CD15" s="16" t="str">
        <f t="shared" ca="1" si="11"/>
        <v/>
      </c>
      <c r="CE15" s="13" t="str">
        <f t="shared" ca="1" si="11"/>
        <v/>
      </c>
      <c r="CF15" s="14" t="str">
        <f t="shared" ca="1" si="11"/>
        <v/>
      </c>
      <c r="CG15" s="14" t="str">
        <f t="shared" ca="1" si="11"/>
        <v/>
      </c>
      <c r="CH15" s="14" t="str">
        <f t="shared" ca="1" si="12"/>
        <v/>
      </c>
      <c r="CI15" s="14" t="str">
        <f t="shared" ca="1" si="12"/>
        <v/>
      </c>
      <c r="CJ15" s="15" t="str">
        <f t="shared" ca="1" si="12"/>
        <v/>
      </c>
      <c r="CK15" s="16" t="str">
        <f t="shared" ca="1" si="12"/>
        <v/>
      </c>
      <c r="CL15" s="13" t="str">
        <f t="shared" ca="1" si="12"/>
        <v/>
      </c>
      <c r="CM15" s="14" t="str">
        <f t="shared" ca="1" si="12"/>
        <v/>
      </c>
      <c r="CN15" s="14" t="str">
        <f t="shared" ca="1" si="12"/>
        <v/>
      </c>
      <c r="CO15" s="14" t="str">
        <f t="shared" ca="1" si="12"/>
        <v/>
      </c>
      <c r="CP15" s="14" t="str">
        <f t="shared" ca="1" si="12"/>
        <v/>
      </c>
      <c r="CQ15" s="15" t="str">
        <f t="shared" ca="1" si="12"/>
        <v/>
      </c>
      <c r="CR15" s="16" t="str">
        <f t="shared" ca="1" si="13"/>
        <v/>
      </c>
      <c r="CS15" s="13" t="str">
        <f t="shared" ca="1" si="13"/>
        <v/>
      </c>
      <c r="CT15" s="14" t="str">
        <f t="shared" ca="1" si="13"/>
        <v/>
      </c>
      <c r="CU15" s="14" t="str">
        <f t="shared" ca="1" si="13"/>
        <v/>
      </c>
      <c r="CV15" s="14" t="str">
        <f t="shared" ca="1" si="13"/>
        <v/>
      </c>
      <c r="CW15" s="14" t="str">
        <f t="shared" ca="1" si="13"/>
        <v/>
      </c>
      <c r="CX15" s="15" t="str">
        <f t="shared" ca="1" si="13"/>
        <v/>
      </c>
      <c r="CY15" s="16" t="str">
        <f t="shared" ca="1" si="13"/>
        <v/>
      </c>
      <c r="CZ15" s="13" t="str">
        <f t="shared" ca="1" si="13"/>
        <v/>
      </c>
      <c r="DA15" s="14" t="str">
        <f t="shared" ca="1" si="13"/>
        <v/>
      </c>
      <c r="DB15" s="14" t="str">
        <f t="shared" ca="1" si="14"/>
        <v/>
      </c>
      <c r="DC15" s="14" t="str">
        <f t="shared" ca="1" si="14"/>
        <v/>
      </c>
      <c r="DD15" s="14" t="str">
        <f t="shared" ca="1" si="14"/>
        <v/>
      </c>
      <c r="DE15" s="15" t="str">
        <f t="shared" ca="1" si="14"/>
        <v/>
      </c>
      <c r="DF15" s="16" t="str">
        <f t="shared" ca="1" si="14"/>
        <v/>
      </c>
      <c r="DG15" s="13" t="str">
        <f t="shared" ca="1" si="14"/>
        <v/>
      </c>
      <c r="DH15" s="14" t="str">
        <f t="shared" ca="1" si="14"/>
        <v/>
      </c>
      <c r="DI15" s="14" t="str">
        <f t="shared" ca="1" si="14"/>
        <v/>
      </c>
      <c r="DJ15" s="14" t="str">
        <f t="shared" ca="1" si="14"/>
        <v/>
      </c>
      <c r="DK15" s="14" t="str">
        <f t="shared" ca="1" si="14"/>
        <v/>
      </c>
      <c r="DL15" s="15" t="str">
        <f t="shared" ca="1" si="15"/>
        <v/>
      </c>
      <c r="DM15" s="16" t="str">
        <f t="shared" ca="1" si="15"/>
        <v/>
      </c>
      <c r="DN15" s="13" t="str">
        <f t="shared" ca="1" si="15"/>
        <v/>
      </c>
      <c r="DO15" s="14" t="str">
        <f t="shared" ca="1" si="15"/>
        <v/>
      </c>
      <c r="DP15" s="14" t="str">
        <f t="shared" ca="1" si="15"/>
        <v/>
      </c>
      <c r="DQ15" s="14" t="str">
        <f t="shared" ca="1" si="15"/>
        <v/>
      </c>
      <c r="DR15" s="14" t="str">
        <f t="shared" ca="1" si="15"/>
        <v/>
      </c>
      <c r="DS15" s="15" t="str">
        <f t="shared" ca="1" si="15"/>
        <v/>
      </c>
      <c r="DT15" s="16" t="str">
        <f t="shared" ca="1" si="15"/>
        <v/>
      </c>
      <c r="DU15" s="13" t="str">
        <f t="shared" ca="1" si="15"/>
        <v/>
      </c>
      <c r="DV15" s="14" t="str">
        <f t="shared" ca="1" si="16"/>
        <v/>
      </c>
      <c r="DW15" s="14" t="str">
        <f t="shared" ca="1" si="16"/>
        <v/>
      </c>
      <c r="DX15" s="14" t="str">
        <f t="shared" ca="1" si="16"/>
        <v/>
      </c>
      <c r="DY15" s="14" t="str">
        <f t="shared" ca="1" si="16"/>
        <v/>
      </c>
      <c r="DZ15" s="15" t="str">
        <f t="shared" ca="1" si="16"/>
        <v/>
      </c>
      <c r="EA15" s="16" t="str">
        <f t="shared" ca="1" si="16"/>
        <v/>
      </c>
      <c r="EB15" s="13" t="str">
        <f t="shared" ca="1" si="16"/>
        <v/>
      </c>
      <c r="EC15" s="14" t="str">
        <f t="shared" ca="1" si="16"/>
        <v/>
      </c>
      <c r="ED15" s="14" t="str">
        <f t="shared" ca="1" si="16"/>
        <v/>
      </c>
      <c r="EE15" s="14" t="str">
        <f t="shared" ca="1" si="16"/>
        <v/>
      </c>
      <c r="EF15" s="14" t="str">
        <f t="shared" ca="1" si="16"/>
        <v/>
      </c>
      <c r="EG15" s="15" t="str">
        <f t="shared" ca="1" si="16"/>
        <v/>
      </c>
      <c r="EH15" s="16" t="str">
        <f t="shared" ca="1" si="16"/>
        <v/>
      </c>
    </row>
    <row r="16" spans="1:138" s="17" customFormat="1" ht="9.6" customHeight="1">
      <c r="A16" s="535"/>
      <c r="B16" s="23" t="s">
        <v>47</v>
      </c>
      <c r="C16" s="19">
        <f ca="1">E15</f>
        <v>28</v>
      </c>
      <c r="D16" s="19">
        <f ca="1">_xlfn.XLOOKUP(A25,'VTT actif'!F:F,'VTT actif'!AF:AF,"-",0)</f>
        <v>30</v>
      </c>
      <c r="E16" s="19">
        <f ca="1">(C16+D16)-1</f>
        <v>57</v>
      </c>
      <c r="F16" s="13" t="str">
        <f t="shared" ca="1" si="4"/>
        <v/>
      </c>
      <c r="G16" s="14" t="str">
        <f t="shared" ca="1" si="4"/>
        <v/>
      </c>
      <c r="H16" s="14" t="str">
        <f t="shared" ca="1" si="4"/>
        <v/>
      </c>
      <c r="I16" s="14" t="str">
        <f t="shared" ca="1" si="4"/>
        <v/>
      </c>
      <c r="J16" s="14" t="str">
        <f t="shared" ca="1" si="4"/>
        <v/>
      </c>
      <c r="K16" s="15" t="str">
        <f t="shared" ca="1" si="4"/>
        <v/>
      </c>
      <c r="L16" s="16" t="str">
        <f t="shared" ca="1" si="4"/>
        <v/>
      </c>
      <c r="M16" s="13" t="str">
        <f t="shared" ca="1" si="4"/>
        <v/>
      </c>
      <c r="N16" s="14" t="str">
        <f t="shared" ca="1" si="4"/>
        <v/>
      </c>
      <c r="O16" s="14" t="str">
        <f t="shared" ca="1" si="4"/>
        <v/>
      </c>
      <c r="P16" s="14" t="str">
        <f t="shared" ca="1" si="5"/>
        <v/>
      </c>
      <c r="Q16" s="14" t="str">
        <f t="shared" ca="1" si="5"/>
        <v/>
      </c>
      <c r="R16" s="15" t="str">
        <f t="shared" ca="1" si="5"/>
        <v/>
      </c>
      <c r="S16" s="16" t="str">
        <f t="shared" ca="1" si="5"/>
        <v/>
      </c>
      <c r="T16" s="13" t="str">
        <f t="shared" ca="1" si="5"/>
        <v/>
      </c>
      <c r="U16" s="14" t="str">
        <f t="shared" ca="1" si="5"/>
        <v/>
      </c>
      <c r="V16" s="14" t="str">
        <f t="shared" ca="1" si="5"/>
        <v/>
      </c>
      <c r="W16" s="14" t="str">
        <f t="shared" ca="1" si="5"/>
        <v/>
      </c>
      <c r="X16" s="14" t="str">
        <f t="shared" ca="1" si="5"/>
        <v/>
      </c>
      <c r="Y16" s="15" t="str">
        <f t="shared" ca="1" si="5"/>
        <v/>
      </c>
      <c r="Z16" s="16" t="str">
        <f t="shared" ca="1" si="6"/>
        <v/>
      </c>
      <c r="AA16" s="13" t="str">
        <f t="shared" ca="1" si="6"/>
        <v/>
      </c>
      <c r="AB16" s="14" t="str">
        <f t="shared" ca="1" si="6"/>
        <v/>
      </c>
      <c r="AC16" s="14" t="str">
        <f t="shared" ca="1" si="6"/>
        <v/>
      </c>
      <c r="AD16" s="14" t="str">
        <f t="shared" ca="1" si="6"/>
        <v/>
      </c>
      <c r="AE16" s="14" t="str">
        <f t="shared" ca="1" si="6"/>
        <v/>
      </c>
      <c r="AF16" s="15" t="str">
        <f t="shared" ca="1" si="6"/>
        <v/>
      </c>
      <c r="AG16" s="16">
        <f t="shared" ca="1" si="6"/>
        <v>1</v>
      </c>
      <c r="AH16" s="13">
        <f t="shared" ca="1" si="6"/>
        <v>1</v>
      </c>
      <c r="AI16" s="14">
        <f t="shared" ca="1" si="6"/>
        <v>1</v>
      </c>
      <c r="AJ16" s="14">
        <f t="shared" ca="1" si="7"/>
        <v>1</v>
      </c>
      <c r="AK16" s="14">
        <f t="shared" ca="1" si="7"/>
        <v>1</v>
      </c>
      <c r="AL16" s="14">
        <f t="shared" ca="1" si="7"/>
        <v>1</v>
      </c>
      <c r="AM16" s="15">
        <f t="shared" ca="1" si="7"/>
        <v>1</v>
      </c>
      <c r="AN16" s="16">
        <f t="shared" ca="1" si="7"/>
        <v>1</v>
      </c>
      <c r="AO16" s="13">
        <f t="shared" ca="1" si="7"/>
        <v>1</v>
      </c>
      <c r="AP16" s="14">
        <f t="shared" ca="1" si="7"/>
        <v>1</v>
      </c>
      <c r="AQ16" s="14">
        <f t="shared" ca="1" si="7"/>
        <v>1</v>
      </c>
      <c r="AR16" s="14">
        <f t="shared" ca="1" si="7"/>
        <v>1</v>
      </c>
      <c r="AS16" s="14">
        <f t="shared" ca="1" si="7"/>
        <v>1</v>
      </c>
      <c r="AT16" s="15">
        <f t="shared" ca="1" si="8"/>
        <v>1</v>
      </c>
      <c r="AU16" s="16">
        <f t="shared" ca="1" si="8"/>
        <v>1</v>
      </c>
      <c r="AV16" s="13">
        <f t="shared" ca="1" si="8"/>
        <v>1</v>
      </c>
      <c r="AW16" s="14">
        <f t="shared" ca="1" si="8"/>
        <v>1</v>
      </c>
      <c r="AX16" s="14">
        <f t="shared" ca="1" si="8"/>
        <v>1</v>
      </c>
      <c r="AY16" s="14">
        <f t="shared" ca="1" si="8"/>
        <v>1</v>
      </c>
      <c r="AZ16" s="14">
        <f t="shared" ca="1" si="8"/>
        <v>1</v>
      </c>
      <c r="BA16" s="15">
        <f t="shared" ca="1" si="8"/>
        <v>1</v>
      </c>
      <c r="BB16" s="16">
        <f t="shared" ca="1" si="8"/>
        <v>1</v>
      </c>
      <c r="BC16" s="13">
        <f t="shared" ca="1" si="8"/>
        <v>1</v>
      </c>
      <c r="BD16" s="14">
        <f t="shared" ca="1" si="9"/>
        <v>1</v>
      </c>
      <c r="BE16" s="14">
        <f t="shared" ca="1" si="9"/>
        <v>1</v>
      </c>
      <c r="BF16" s="14">
        <f t="shared" ca="1" si="9"/>
        <v>1</v>
      </c>
      <c r="BG16" s="14">
        <f t="shared" ca="1" si="9"/>
        <v>1</v>
      </c>
      <c r="BH16" s="15">
        <f t="shared" ca="1" si="9"/>
        <v>1</v>
      </c>
      <c r="BI16" s="16">
        <f t="shared" ca="1" si="9"/>
        <v>1</v>
      </c>
      <c r="BJ16" s="13">
        <f t="shared" ca="1" si="9"/>
        <v>1</v>
      </c>
      <c r="BK16" s="14" t="str">
        <f t="shared" ca="1" si="9"/>
        <v/>
      </c>
      <c r="BL16" s="14" t="str">
        <f t="shared" ca="1" si="9"/>
        <v/>
      </c>
      <c r="BM16" s="14" t="str">
        <f t="shared" ca="1" si="9"/>
        <v/>
      </c>
      <c r="BN16" s="14" t="str">
        <f t="shared" ca="1" si="10"/>
        <v/>
      </c>
      <c r="BO16" s="15" t="str">
        <f t="shared" ca="1" si="10"/>
        <v/>
      </c>
      <c r="BP16" s="16" t="str">
        <f t="shared" ca="1" si="10"/>
        <v/>
      </c>
      <c r="BQ16" s="13" t="str">
        <f t="shared" ca="1" si="10"/>
        <v/>
      </c>
      <c r="BR16" s="14" t="str">
        <f t="shared" ca="1" si="10"/>
        <v/>
      </c>
      <c r="BS16" s="14" t="str">
        <f t="shared" ca="1" si="10"/>
        <v/>
      </c>
      <c r="BT16" s="14" t="str">
        <f t="shared" ca="1" si="10"/>
        <v/>
      </c>
      <c r="BU16" s="14" t="str">
        <f t="shared" ca="1" si="10"/>
        <v/>
      </c>
      <c r="BV16" s="15" t="str">
        <f t="shared" ca="1" si="10"/>
        <v/>
      </c>
      <c r="BW16" s="16" t="str">
        <f t="shared" ca="1" si="10"/>
        <v/>
      </c>
      <c r="BX16" s="13" t="str">
        <f t="shared" ca="1" si="11"/>
        <v/>
      </c>
      <c r="BY16" s="14" t="str">
        <f t="shared" ca="1" si="11"/>
        <v/>
      </c>
      <c r="BZ16" s="14" t="str">
        <f t="shared" ca="1" si="11"/>
        <v/>
      </c>
      <c r="CA16" s="14" t="str">
        <f t="shared" ca="1" si="11"/>
        <v/>
      </c>
      <c r="CB16" s="14" t="str">
        <f t="shared" ca="1" si="11"/>
        <v/>
      </c>
      <c r="CC16" s="15" t="str">
        <f t="shared" ca="1" si="11"/>
        <v/>
      </c>
      <c r="CD16" s="16" t="str">
        <f t="shared" ca="1" si="11"/>
        <v/>
      </c>
      <c r="CE16" s="13" t="str">
        <f t="shared" ca="1" si="11"/>
        <v/>
      </c>
      <c r="CF16" s="14" t="str">
        <f t="shared" ca="1" si="11"/>
        <v/>
      </c>
      <c r="CG16" s="14" t="str">
        <f t="shared" ca="1" si="11"/>
        <v/>
      </c>
      <c r="CH16" s="14" t="str">
        <f t="shared" ca="1" si="12"/>
        <v/>
      </c>
      <c r="CI16" s="14" t="str">
        <f t="shared" ca="1" si="12"/>
        <v/>
      </c>
      <c r="CJ16" s="15" t="str">
        <f t="shared" ca="1" si="12"/>
        <v/>
      </c>
      <c r="CK16" s="16" t="str">
        <f t="shared" ca="1" si="12"/>
        <v/>
      </c>
      <c r="CL16" s="13" t="str">
        <f t="shared" ca="1" si="12"/>
        <v/>
      </c>
      <c r="CM16" s="14" t="str">
        <f t="shared" ca="1" si="12"/>
        <v/>
      </c>
      <c r="CN16" s="14" t="str">
        <f t="shared" ca="1" si="12"/>
        <v/>
      </c>
      <c r="CO16" s="14" t="str">
        <f t="shared" ca="1" si="12"/>
        <v/>
      </c>
      <c r="CP16" s="14" t="str">
        <f t="shared" ca="1" si="12"/>
        <v/>
      </c>
      <c r="CQ16" s="15" t="str">
        <f t="shared" ca="1" si="12"/>
        <v/>
      </c>
      <c r="CR16" s="16" t="str">
        <f t="shared" ca="1" si="13"/>
        <v/>
      </c>
      <c r="CS16" s="13" t="str">
        <f t="shared" ca="1" si="13"/>
        <v/>
      </c>
      <c r="CT16" s="14" t="str">
        <f t="shared" ca="1" si="13"/>
        <v/>
      </c>
      <c r="CU16" s="14" t="str">
        <f t="shared" ca="1" si="13"/>
        <v/>
      </c>
      <c r="CV16" s="14" t="str">
        <f t="shared" ca="1" si="13"/>
        <v/>
      </c>
      <c r="CW16" s="14" t="str">
        <f t="shared" ca="1" si="13"/>
        <v/>
      </c>
      <c r="CX16" s="15" t="str">
        <f t="shared" ca="1" si="13"/>
        <v/>
      </c>
      <c r="CY16" s="16" t="str">
        <f t="shared" ca="1" si="13"/>
        <v/>
      </c>
      <c r="CZ16" s="13" t="str">
        <f t="shared" ca="1" si="13"/>
        <v/>
      </c>
      <c r="DA16" s="14" t="str">
        <f t="shared" ca="1" si="13"/>
        <v/>
      </c>
      <c r="DB16" s="14" t="str">
        <f t="shared" ca="1" si="14"/>
        <v/>
      </c>
      <c r="DC16" s="14" t="str">
        <f t="shared" ca="1" si="14"/>
        <v/>
      </c>
      <c r="DD16" s="14" t="str">
        <f t="shared" ca="1" si="14"/>
        <v/>
      </c>
      <c r="DE16" s="15" t="str">
        <f t="shared" ca="1" si="14"/>
        <v/>
      </c>
      <c r="DF16" s="16" t="str">
        <f t="shared" ca="1" si="14"/>
        <v/>
      </c>
      <c r="DG16" s="13" t="str">
        <f t="shared" ca="1" si="14"/>
        <v/>
      </c>
      <c r="DH16" s="14" t="str">
        <f t="shared" ca="1" si="14"/>
        <v/>
      </c>
      <c r="DI16" s="14" t="str">
        <f t="shared" ca="1" si="14"/>
        <v/>
      </c>
      <c r="DJ16" s="14" t="str">
        <f t="shared" ca="1" si="14"/>
        <v/>
      </c>
      <c r="DK16" s="14" t="str">
        <f t="shared" ca="1" si="14"/>
        <v/>
      </c>
      <c r="DL16" s="15" t="str">
        <f t="shared" ca="1" si="15"/>
        <v/>
      </c>
      <c r="DM16" s="16" t="str">
        <f t="shared" ca="1" si="15"/>
        <v/>
      </c>
      <c r="DN16" s="13" t="str">
        <f t="shared" ca="1" si="15"/>
        <v/>
      </c>
      <c r="DO16" s="14" t="str">
        <f t="shared" ca="1" si="15"/>
        <v/>
      </c>
      <c r="DP16" s="14" t="str">
        <f t="shared" ca="1" si="15"/>
        <v/>
      </c>
      <c r="DQ16" s="14" t="str">
        <f t="shared" ca="1" si="15"/>
        <v/>
      </c>
      <c r="DR16" s="14" t="str">
        <f t="shared" ca="1" si="15"/>
        <v/>
      </c>
      <c r="DS16" s="15" t="str">
        <f t="shared" ca="1" si="15"/>
        <v/>
      </c>
      <c r="DT16" s="16" t="str">
        <f t="shared" ca="1" si="15"/>
        <v/>
      </c>
      <c r="DU16" s="13" t="str">
        <f t="shared" ca="1" si="15"/>
        <v/>
      </c>
      <c r="DV16" s="14" t="str">
        <f t="shared" ca="1" si="16"/>
        <v/>
      </c>
      <c r="DW16" s="14" t="str">
        <f t="shared" ca="1" si="16"/>
        <v/>
      </c>
      <c r="DX16" s="14" t="str">
        <f t="shared" ca="1" si="16"/>
        <v/>
      </c>
      <c r="DY16" s="14" t="str">
        <f t="shared" ca="1" si="16"/>
        <v/>
      </c>
      <c r="DZ16" s="15" t="str">
        <f t="shared" ca="1" si="16"/>
        <v/>
      </c>
      <c r="EA16" s="16" t="str">
        <f t="shared" ca="1" si="16"/>
        <v/>
      </c>
      <c r="EB16" s="13" t="str">
        <f t="shared" ca="1" si="16"/>
        <v/>
      </c>
      <c r="EC16" s="14" t="str">
        <f t="shared" ca="1" si="16"/>
        <v/>
      </c>
      <c r="ED16" s="14" t="str">
        <f t="shared" ca="1" si="16"/>
        <v/>
      </c>
      <c r="EE16" s="14" t="str">
        <f t="shared" ca="1" si="16"/>
        <v/>
      </c>
      <c r="EF16" s="14" t="str">
        <f t="shared" ca="1" si="16"/>
        <v/>
      </c>
      <c r="EG16" s="15" t="str">
        <f t="shared" ca="1" si="16"/>
        <v/>
      </c>
      <c r="EH16" s="16" t="str">
        <f t="shared" ca="1" si="16"/>
        <v/>
      </c>
    </row>
    <row r="17" spans="1:138" s="17" customFormat="1" ht="9.6" customHeight="1">
      <c r="A17" s="535"/>
      <c r="B17" s="23" t="s">
        <v>62</v>
      </c>
      <c r="C17" s="19">
        <f t="shared" ref="C17:C25" ca="1" si="17">E16+1</f>
        <v>58</v>
      </c>
      <c r="D17" s="19">
        <f ca="1">_xlfn.XLOOKUP(A25,'VTT actif'!F:F,'VTT actif'!AH:AH,"-",0)</f>
        <v>3</v>
      </c>
      <c r="E17" s="19">
        <f ca="1">(C17+D17)-1</f>
        <v>60</v>
      </c>
      <c r="F17" s="13" t="str">
        <f t="shared" ref="F17:O24" ca="1" si="18">IF(AND(F$5&gt;=$C17,F$5&lt;=$E17),1,"")</f>
        <v/>
      </c>
      <c r="G17" s="14" t="str">
        <f t="shared" ca="1" si="18"/>
        <v/>
      </c>
      <c r="H17" s="14" t="str">
        <f t="shared" ca="1" si="18"/>
        <v/>
      </c>
      <c r="I17" s="14" t="str">
        <f t="shared" ca="1" si="18"/>
        <v/>
      </c>
      <c r="J17" s="14" t="str">
        <f t="shared" ca="1" si="18"/>
        <v/>
      </c>
      <c r="K17" s="15" t="str">
        <f t="shared" ca="1" si="18"/>
        <v/>
      </c>
      <c r="L17" s="16" t="str">
        <f t="shared" ca="1" si="18"/>
        <v/>
      </c>
      <c r="M17" s="13" t="str">
        <f t="shared" ca="1" si="18"/>
        <v/>
      </c>
      <c r="N17" s="14" t="str">
        <f t="shared" ca="1" si="18"/>
        <v/>
      </c>
      <c r="O17" s="14" t="str">
        <f t="shared" ca="1" si="18"/>
        <v/>
      </c>
      <c r="P17" s="14" t="str">
        <f t="shared" ref="P17:Y24" ca="1" si="19">IF(AND(P$5&gt;=$C17,P$5&lt;=$E17),1,"")</f>
        <v/>
      </c>
      <c r="Q17" s="14" t="str">
        <f t="shared" ca="1" si="19"/>
        <v/>
      </c>
      <c r="R17" s="15" t="str">
        <f t="shared" ca="1" si="19"/>
        <v/>
      </c>
      <c r="S17" s="16" t="str">
        <f t="shared" ca="1" si="19"/>
        <v/>
      </c>
      <c r="T17" s="13" t="str">
        <f t="shared" ca="1" si="19"/>
        <v/>
      </c>
      <c r="U17" s="14" t="str">
        <f t="shared" ca="1" si="19"/>
        <v/>
      </c>
      <c r="V17" s="14" t="str">
        <f t="shared" ca="1" si="19"/>
        <v/>
      </c>
      <c r="W17" s="14" t="str">
        <f t="shared" ca="1" si="19"/>
        <v/>
      </c>
      <c r="X17" s="14" t="str">
        <f t="shared" ca="1" si="19"/>
        <v/>
      </c>
      <c r="Y17" s="15" t="str">
        <f t="shared" ca="1" si="19"/>
        <v/>
      </c>
      <c r="Z17" s="16" t="str">
        <f t="shared" ref="Z17:AI24" ca="1" si="20">IF(AND(Z$5&gt;=$C17,Z$5&lt;=$E17),1,"")</f>
        <v/>
      </c>
      <c r="AA17" s="13" t="str">
        <f t="shared" ca="1" si="20"/>
        <v/>
      </c>
      <c r="AB17" s="14" t="str">
        <f t="shared" ca="1" si="20"/>
        <v/>
      </c>
      <c r="AC17" s="14" t="str">
        <f t="shared" ca="1" si="20"/>
        <v/>
      </c>
      <c r="AD17" s="14" t="str">
        <f t="shared" ca="1" si="20"/>
        <v/>
      </c>
      <c r="AE17" s="14" t="str">
        <f t="shared" ca="1" si="20"/>
        <v/>
      </c>
      <c r="AF17" s="15" t="str">
        <f t="shared" ca="1" si="20"/>
        <v/>
      </c>
      <c r="AG17" s="16" t="str">
        <f t="shared" ca="1" si="20"/>
        <v/>
      </c>
      <c r="AH17" s="13" t="str">
        <f t="shared" ca="1" si="20"/>
        <v/>
      </c>
      <c r="AI17" s="14" t="str">
        <f t="shared" ca="1" si="20"/>
        <v/>
      </c>
      <c r="AJ17" s="14" t="str">
        <f t="shared" ref="AJ17:AS24" ca="1" si="21">IF(AND(AJ$5&gt;=$C17,AJ$5&lt;=$E17),1,"")</f>
        <v/>
      </c>
      <c r="AK17" s="14" t="str">
        <f t="shared" ca="1" si="21"/>
        <v/>
      </c>
      <c r="AL17" s="14" t="str">
        <f t="shared" ca="1" si="21"/>
        <v/>
      </c>
      <c r="AM17" s="15" t="str">
        <f t="shared" ca="1" si="21"/>
        <v/>
      </c>
      <c r="AN17" s="16" t="str">
        <f t="shared" ca="1" si="21"/>
        <v/>
      </c>
      <c r="AO17" s="13" t="str">
        <f t="shared" ca="1" si="21"/>
        <v/>
      </c>
      <c r="AP17" s="14" t="str">
        <f t="shared" ca="1" si="21"/>
        <v/>
      </c>
      <c r="AQ17" s="14" t="str">
        <f t="shared" ca="1" si="21"/>
        <v/>
      </c>
      <c r="AR17" s="14" t="str">
        <f t="shared" ca="1" si="21"/>
        <v/>
      </c>
      <c r="AS17" s="14" t="str">
        <f t="shared" ca="1" si="21"/>
        <v/>
      </c>
      <c r="AT17" s="15" t="str">
        <f t="shared" ref="AT17:BC24" ca="1" si="22">IF(AND(AT$5&gt;=$C17,AT$5&lt;=$E17),1,"")</f>
        <v/>
      </c>
      <c r="AU17" s="16" t="str">
        <f t="shared" ca="1" si="22"/>
        <v/>
      </c>
      <c r="AV17" s="13" t="str">
        <f t="shared" ca="1" si="22"/>
        <v/>
      </c>
      <c r="AW17" s="14" t="str">
        <f t="shared" ca="1" si="22"/>
        <v/>
      </c>
      <c r="AX17" s="14" t="str">
        <f t="shared" ca="1" si="22"/>
        <v/>
      </c>
      <c r="AY17" s="14" t="str">
        <f t="shared" ca="1" si="22"/>
        <v/>
      </c>
      <c r="AZ17" s="14" t="str">
        <f t="shared" ca="1" si="22"/>
        <v/>
      </c>
      <c r="BA17" s="15" t="str">
        <f t="shared" ca="1" si="22"/>
        <v/>
      </c>
      <c r="BB17" s="16" t="str">
        <f t="shared" ca="1" si="22"/>
        <v/>
      </c>
      <c r="BC17" s="13" t="str">
        <f t="shared" ca="1" si="22"/>
        <v/>
      </c>
      <c r="BD17" s="14" t="str">
        <f t="shared" ref="BD17:BM24" ca="1" si="23">IF(AND(BD$5&gt;=$C17,BD$5&lt;=$E17),1,"")</f>
        <v/>
      </c>
      <c r="BE17" s="14" t="str">
        <f t="shared" ca="1" si="23"/>
        <v/>
      </c>
      <c r="BF17" s="14" t="str">
        <f t="shared" ca="1" si="23"/>
        <v/>
      </c>
      <c r="BG17" s="14" t="str">
        <f t="shared" ca="1" si="23"/>
        <v/>
      </c>
      <c r="BH17" s="15" t="str">
        <f t="shared" ca="1" si="23"/>
        <v/>
      </c>
      <c r="BI17" s="16" t="str">
        <f t="shared" ca="1" si="23"/>
        <v/>
      </c>
      <c r="BJ17" s="13" t="str">
        <f t="shared" ca="1" si="23"/>
        <v/>
      </c>
      <c r="BK17" s="14">
        <f t="shared" ca="1" si="23"/>
        <v>1</v>
      </c>
      <c r="BL17" s="14">
        <f t="shared" ca="1" si="23"/>
        <v>1</v>
      </c>
      <c r="BM17" s="14">
        <f t="shared" ca="1" si="23"/>
        <v>1</v>
      </c>
      <c r="BN17" s="14" t="str">
        <f t="shared" ref="BN17:BW24" ca="1" si="24">IF(AND(BN$5&gt;=$C17,BN$5&lt;=$E17),1,"")</f>
        <v/>
      </c>
      <c r="BO17" s="15" t="str">
        <f t="shared" ca="1" si="24"/>
        <v/>
      </c>
      <c r="BP17" s="16" t="str">
        <f t="shared" ca="1" si="24"/>
        <v/>
      </c>
      <c r="BQ17" s="13" t="str">
        <f t="shared" ca="1" si="24"/>
        <v/>
      </c>
      <c r="BR17" s="14" t="str">
        <f t="shared" ca="1" si="24"/>
        <v/>
      </c>
      <c r="BS17" s="14" t="str">
        <f t="shared" ca="1" si="24"/>
        <v/>
      </c>
      <c r="BT17" s="14" t="str">
        <f t="shared" ca="1" si="24"/>
        <v/>
      </c>
      <c r="BU17" s="14" t="str">
        <f t="shared" ca="1" si="24"/>
        <v/>
      </c>
      <c r="BV17" s="15" t="str">
        <f t="shared" ca="1" si="24"/>
        <v/>
      </c>
      <c r="BW17" s="16" t="str">
        <f t="shared" ca="1" si="24"/>
        <v/>
      </c>
      <c r="BX17" s="13" t="str">
        <f t="shared" ref="BX17:CG24" ca="1" si="25">IF(AND(BX$5&gt;=$C17,BX$5&lt;=$E17),1,"")</f>
        <v/>
      </c>
      <c r="BY17" s="14" t="str">
        <f t="shared" ca="1" si="25"/>
        <v/>
      </c>
      <c r="BZ17" s="14" t="str">
        <f t="shared" ca="1" si="25"/>
        <v/>
      </c>
      <c r="CA17" s="14" t="str">
        <f t="shared" ca="1" si="25"/>
        <v/>
      </c>
      <c r="CB17" s="14" t="str">
        <f t="shared" ca="1" si="25"/>
        <v/>
      </c>
      <c r="CC17" s="15" t="str">
        <f t="shared" ca="1" si="25"/>
        <v/>
      </c>
      <c r="CD17" s="16" t="str">
        <f t="shared" ca="1" si="25"/>
        <v/>
      </c>
      <c r="CE17" s="13" t="str">
        <f t="shared" ca="1" si="25"/>
        <v/>
      </c>
      <c r="CF17" s="14" t="str">
        <f t="shared" ca="1" si="25"/>
        <v/>
      </c>
      <c r="CG17" s="14" t="str">
        <f t="shared" ca="1" si="25"/>
        <v/>
      </c>
      <c r="CH17" s="14" t="str">
        <f t="shared" ref="CH17:CQ24" ca="1" si="26">IF(AND(CH$5&gt;=$C17,CH$5&lt;=$E17),1,"")</f>
        <v/>
      </c>
      <c r="CI17" s="14" t="str">
        <f t="shared" ca="1" si="26"/>
        <v/>
      </c>
      <c r="CJ17" s="15" t="str">
        <f t="shared" ca="1" si="26"/>
        <v/>
      </c>
      <c r="CK17" s="16" t="str">
        <f t="shared" ca="1" si="26"/>
        <v/>
      </c>
      <c r="CL17" s="13" t="str">
        <f t="shared" ca="1" si="26"/>
        <v/>
      </c>
      <c r="CM17" s="14" t="str">
        <f t="shared" ca="1" si="26"/>
        <v/>
      </c>
      <c r="CN17" s="14" t="str">
        <f t="shared" ca="1" si="26"/>
        <v/>
      </c>
      <c r="CO17" s="14" t="str">
        <f t="shared" ca="1" si="26"/>
        <v/>
      </c>
      <c r="CP17" s="14" t="str">
        <f t="shared" ca="1" si="26"/>
        <v/>
      </c>
      <c r="CQ17" s="15" t="str">
        <f t="shared" ca="1" si="26"/>
        <v/>
      </c>
      <c r="CR17" s="16" t="str">
        <f t="shared" ref="CR17:DA24" ca="1" si="27">IF(AND(CR$5&gt;=$C17,CR$5&lt;=$E17),1,"")</f>
        <v/>
      </c>
      <c r="CS17" s="13" t="str">
        <f t="shared" ca="1" si="27"/>
        <v/>
      </c>
      <c r="CT17" s="14" t="str">
        <f t="shared" ca="1" si="27"/>
        <v/>
      </c>
      <c r="CU17" s="14" t="str">
        <f t="shared" ca="1" si="27"/>
        <v/>
      </c>
      <c r="CV17" s="14" t="str">
        <f t="shared" ca="1" si="27"/>
        <v/>
      </c>
      <c r="CW17" s="14" t="str">
        <f t="shared" ca="1" si="27"/>
        <v/>
      </c>
      <c r="CX17" s="15" t="str">
        <f t="shared" ca="1" si="27"/>
        <v/>
      </c>
      <c r="CY17" s="16" t="str">
        <f t="shared" ca="1" si="27"/>
        <v/>
      </c>
      <c r="CZ17" s="13" t="str">
        <f t="shared" ca="1" si="27"/>
        <v/>
      </c>
      <c r="DA17" s="14" t="str">
        <f t="shared" ca="1" si="27"/>
        <v/>
      </c>
      <c r="DB17" s="14" t="str">
        <f t="shared" ref="DB17:DK24" ca="1" si="28">IF(AND(DB$5&gt;=$C17,DB$5&lt;=$E17),1,"")</f>
        <v/>
      </c>
      <c r="DC17" s="14" t="str">
        <f t="shared" ca="1" si="28"/>
        <v/>
      </c>
      <c r="DD17" s="14" t="str">
        <f t="shared" ca="1" si="28"/>
        <v/>
      </c>
      <c r="DE17" s="15" t="str">
        <f t="shared" ca="1" si="28"/>
        <v/>
      </c>
      <c r="DF17" s="16" t="str">
        <f t="shared" ca="1" si="28"/>
        <v/>
      </c>
      <c r="DG17" s="13" t="str">
        <f t="shared" ca="1" si="28"/>
        <v/>
      </c>
      <c r="DH17" s="14" t="str">
        <f t="shared" ca="1" si="28"/>
        <v/>
      </c>
      <c r="DI17" s="14" t="str">
        <f t="shared" ca="1" si="28"/>
        <v/>
      </c>
      <c r="DJ17" s="14" t="str">
        <f t="shared" ca="1" si="28"/>
        <v/>
      </c>
      <c r="DK17" s="14" t="str">
        <f t="shared" ca="1" si="28"/>
        <v/>
      </c>
      <c r="DL17" s="15" t="str">
        <f t="shared" ref="DL17:DR24" ca="1" si="29">IF(AND(DL$5&gt;=$C17,DL$5&lt;=$E17),1,"")</f>
        <v/>
      </c>
      <c r="DM17" s="16" t="str">
        <f t="shared" ca="1" si="29"/>
        <v/>
      </c>
      <c r="DN17" s="13" t="str">
        <f t="shared" ca="1" si="29"/>
        <v/>
      </c>
      <c r="DO17" s="14" t="str">
        <f t="shared" ca="1" si="29"/>
        <v/>
      </c>
      <c r="DP17" s="14" t="str">
        <f t="shared" ca="1" si="29"/>
        <v/>
      </c>
      <c r="DQ17" s="14" t="str">
        <f t="shared" ca="1" si="29"/>
        <v/>
      </c>
      <c r="DR17" s="14" t="str">
        <f t="shared" ca="1" si="29"/>
        <v/>
      </c>
      <c r="DS17" s="15"/>
      <c r="DT17" s="16"/>
      <c r="DU17" s="13" t="str">
        <f t="shared" ref="DU17:EF24" ca="1" si="30">IF(AND(DU$5&gt;=$C17,DU$5&lt;=$E17),1,"")</f>
        <v/>
      </c>
      <c r="DV17" s="14" t="str">
        <f t="shared" ca="1" si="30"/>
        <v/>
      </c>
      <c r="DW17" s="14" t="str">
        <f t="shared" ca="1" si="30"/>
        <v/>
      </c>
      <c r="DX17" s="14" t="str">
        <f t="shared" ca="1" si="30"/>
        <v/>
      </c>
      <c r="DY17" s="14" t="str">
        <f t="shared" ca="1" si="30"/>
        <v/>
      </c>
      <c r="DZ17" s="15" t="str">
        <f t="shared" ca="1" si="30"/>
        <v/>
      </c>
      <c r="EA17" s="16" t="str">
        <f t="shared" ca="1" si="30"/>
        <v/>
      </c>
      <c r="EB17" s="13" t="str">
        <f t="shared" ca="1" si="30"/>
        <v/>
      </c>
      <c r="EC17" s="14" t="str">
        <f t="shared" ca="1" si="30"/>
        <v/>
      </c>
      <c r="ED17" s="14" t="str">
        <f t="shared" ca="1" si="30"/>
        <v/>
      </c>
      <c r="EE17" s="14" t="str">
        <f t="shared" ca="1" si="30"/>
        <v/>
      </c>
      <c r="EF17" s="14" t="str">
        <f t="shared" ca="1" si="30"/>
        <v/>
      </c>
      <c r="EG17" s="15"/>
      <c r="EH17" s="16"/>
    </row>
    <row r="18" spans="1:138" s="17" customFormat="1" ht="9.6" customHeight="1">
      <c r="A18" s="535"/>
      <c r="B18" s="26" t="s">
        <v>63</v>
      </c>
      <c r="C18" s="19">
        <f t="shared" ca="1" si="17"/>
        <v>61</v>
      </c>
      <c r="D18" s="19">
        <f ca="1">_xlfn.XLOOKUP(A25,'VTT actif'!F:F,'VTT actif'!AI:AI,"-",0)</f>
        <v>0</v>
      </c>
      <c r="E18" s="19">
        <f ca="1">(C18+D18)-1</f>
        <v>60</v>
      </c>
      <c r="F18" s="13" t="str">
        <f t="shared" ca="1" si="18"/>
        <v/>
      </c>
      <c r="G18" s="14" t="str">
        <f t="shared" ca="1" si="18"/>
        <v/>
      </c>
      <c r="H18" s="14" t="str">
        <f t="shared" ca="1" si="18"/>
        <v/>
      </c>
      <c r="I18" s="14" t="str">
        <f t="shared" ca="1" si="18"/>
        <v/>
      </c>
      <c r="J18" s="14" t="str">
        <f t="shared" ca="1" si="18"/>
        <v/>
      </c>
      <c r="K18" s="15" t="str">
        <f t="shared" ca="1" si="18"/>
        <v/>
      </c>
      <c r="L18" s="16" t="str">
        <f t="shared" ca="1" si="18"/>
        <v/>
      </c>
      <c r="M18" s="13" t="str">
        <f t="shared" ca="1" si="18"/>
        <v/>
      </c>
      <c r="N18" s="14" t="str">
        <f t="shared" ca="1" si="18"/>
        <v/>
      </c>
      <c r="O18" s="14" t="str">
        <f t="shared" ca="1" si="18"/>
        <v/>
      </c>
      <c r="P18" s="14" t="str">
        <f t="shared" ca="1" si="19"/>
        <v/>
      </c>
      <c r="Q18" s="14" t="str">
        <f t="shared" ca="1" si="19"/>
        <v/>
      </c>
      <c r="R18" s="15" t="str">
        <f t="shared" ca="1" si="19"/>
        <v/>
      </c>
      <c r="S18" s="16" t="str">
        <f t="shared" ca="1" si="19"/>
        <v/>
      </c>
      <c r="T18" s="13" t="str">
        <f t="shared" ca="1" si="19"/>
        <v/>
      </c>
      <c r="U18" s="14" t="str">
        <f t="shared" ca="1" si="19"/>
        <v/>
      </c>
      <c r="V18" s="14" t="str">
        <f t="shared" ca="1" si="19"/>
        <v/>
      </c>
      <c r="W18" s="14" t="str">
        <f t="shared" ca="1" si="19"/>
        <v/>
      </c>
      <c r="X18" s="14" t="str">
        <f t="shared" ca="1" si="19"/>
        <v/>
      </c>
      <c r="Y18" s="15" t="str">
        <f t="shared" ca="1" si="19"/>
        <v/>
      </c>
      <c r="Z18" s="16" t="str">
        <f t="shared" ca="1" si="20"/>
        <v/>
      </c>
      <c r="AA18" s="13" t="str">
        <f t="shared" ca="1" si="20"/>
        <v/>
      </c>
      <c r="AB18" s="14" t="str">
        <f t="shared" ca="1" si="20"/>
        <v/>
      </c>
      <c r="AC18" s="14" t="str">
        <f t="shared" ca="1" si="20"/>
        <v/>
      </c>
      <c r="AD18" s="14" t="str">
        <f t="shared" ca="1" si="20"/>
        <v/>
      </c>
      <c r="AE18" s="14" t="str">
        <f t="shared" ca="1" si="20"/>
        <v/>
      </c>
      <c r="AF18" s="15" t="str">
        <f t="shared" ca="1" si="20"/>
        <v/>
      </c>
      <c r="AG18" s="16" t="str">
        <f t="shared" ca="1" si="20"/>
        <v/>
      </c>
      <c r="AH18" s="13" t="str">
        <f t="shared" ca="1" si="20"/>
        <v/>
      </c>
      <c r="AI18" s="14" t="str">
        <f t="shared" ca="1" si="20"/>
        <v/>
      </c>
      <c r="AJ18" s="14" t="str">
        <f t="shared" ca="1" si="21"/>
        <v/>
      </c>
      <c r="AK18" s="14" t="str">
        <f t="shared" ca="1" si="21"/>
        <v/>
      </c>
      <c r="AL18" s="14" t="str">
        <f t="shared" ca="1" si="21"/>
        <v/>
      </c>
      <c r="AM18" s="15" t="str">
        <f t="shared" ca="1" si="21"/>
        <v/>
      </c>
      <c r="AN18" s="16" t="str">
        <f t="shared" ca="1" si="21"/>
        <v/>
      </c>
      <c r="AO18" s="13" t="str">
        <f t="shared" ca="1" si="21"/>
        <v/>
      </c>
      <c r="AP18" s="14" t="str">
        <f t="shared" ca="1" si="21"/>
        <v/>
      </c>
      <c r="AQ18" s="14" t="str">
        <f t="shared" ca="1" si="21"/>
        <v/>
      </c>
      <c r="AR18" s="14" t="str">
        <f t="shared" ca="1" si="21"/>
        <v/>
      </c>
      <c r="AS18" s="14" t="str">
        <f t="shared" ca="1" si="21"/>
        <v/>
      </c>
      <c r="AT18" s="15" t="str">
        <f t="shared" ca="1" si="22"/>
        <v/>
      </c>
      <c r="AU18" s="16" t="str">
        <f t="shared" ca="1" si="22"/>
        <v/>
      </c>
      <c r="AV18" s="13" t="str">
        <f t="shared" ca="1" si="22"/>
        <v/>
      </c>
      <c r="AW18" s="14" t="str">
        <f t="shared" ca="1" si="22"/>
        <v/>
      </c>
      <c r="AX18" s="14" t="str">
        <f t="shared" ca="1" si="22"/>
        <v/>
      </c>
      <c r="AY18" s="14" t="str">
        <f t="shared" ca="1" si="22"/>
        <v/>
      </c>
      <c r="AZ18" s="14" t="str">
        <f t="shared" ca="1" si="22"/>
        <v/>
      </c>
      <c r="BA18" s="15" t="str">
        <f t="shared" ca="1" si="22"/>
        <v/>
      </c>
      <c r="BB18" s="16" t="str">
        <f t="shared" ca="1" si="22"/>
        <v/>
      </c>
      <c r="BC18" s="13" t="str">
        <f t="shared" ca="1" si="22"/>
        <v/>
      </c>
      <c r="BD18" s="14" t="str">
        <f t="shared" ca="1" si="23"/>
        <v/>
      </c>
      <c r="BE18" s="14" t="str">
        <f t="shared" ca="1" si="23"/>
        <v/>
      </c>
      <c r="BF18" s="14" t="str">
        <f t="shared" ca="1" si="23"/>
        <v/>
      </c>
      <c r="BG18" s="14" t="str">
        <f t="shared" ca="1" si="23"/>
        <v/>
      </c>
      <c r="BH18" s="15" t="str">
        <f t="shared" ca="1" si="23"/>
        <v/>
      </c>
      <c r="BI18" s="16" t="str">
        <f t="shared" ca="1" si="23"/>
        <v/>
      </c>
      <c r="BJ18" s="13" t="str">
        <f t="shared" ca="1" si="23"/>
        <v/>
      </c>
      <c r="BK18" s="14" t="str">
        <f t="shared" ca="1" si="23"/>
        <v/>
      </c>
      <c r="BL18" s="14" t="str">
        <f t="shared" ca="1" si="23"/>
        <v/>
      </c>
      <c r="BM18" s="14" t="str">
        <f t="shared" ca="1" si="23"/>
        <v/>
      </c>
      <c r="BN18" s="14" t="str">
        <f t="shared" ca="1" si="24"/>
        <v/>
      </c>
      <c r="BO18" s="15" t="str">
        <f t="shared" ca="1" si="24"/>
        <v/>
      </c>
      <c r="BP18" s="16" t="str">
        <f t="shared" ca="1" si="24"/>
        <v/>
      </c>
      <c r="BQ18" s="13" t="str">
        <f t="shared" ca="1" si="24"/>
        <v/>
      </c>
      <c r="BR18" s="14" t="str">
        <f t="shared" ca="1" si="24"/>
        <v/>
      </c>
      <c r="BS18" s="14" t="str">
        <f t="shared" ca="1" si="24"/>
        <v/>
      </c>
      <c r="BT18" s="14" t="str">
        <f t="shared" ca="1" si="24"/>
        <v/>
      </c>
      <c r="BU18" s="14" t="str">
        <f t="shared" ca="1" si="24"/>
        <v/>
      </c>
      <c r="BV18" s="15" t="str">
        <f t="shared" ca="1" si="24"/>
        <v/>
      </c>
      <c r="BW18" s="16" t="str">
        <f t="shared" ca="1" si="24"/>
        <v/>
      </c>
      <c r="BX18" s="13" t="str">
        <f t="shared" ca="1" si="25"/>
        <v/>
      </c>
      <c r="BY18" s="14" t="str">
        <f t="shared" ca="1" si="25"/>
        <v/>
      </c>
      <c r="BZ18" s="14" t="str">
        <f t="shared" ca="1" si="25"/>
        <v/>
      </c>
      <c r="CA18" s="14" t="str">
        <f t="shared" ca="1" si="25"/>
        <v/>
      </c>
      <c r="CB18" s="14" t="str">
        <f t="shared" ca="1" si="25"/>
        <v/>
      </c>
      <c r="CC18" s="15" t="str">
        <f t="shared" ca="1" si="25"/>
        <v/>
      </c>
      <c r="CD18" s="16" t="str">
        <f t="shared" ca="1" si="25"/>
        <v/>
      </c>
      <c r="CE18" s="13" t="str">
        <f t="shared" ca="1" si="25"/>
        <v/>
      </c>
      <c r="CF18" s="14" t="str">
        <f t="shared" ca="1" si="25"/>
        <v/>
      </c>
      <c r="CG18" s="14" t="str">
        <f t="shared" ca="1" si="25"/>
        <v/>
      </c>
      <c r="CH18" s="14" t="str">
        <f t="shared" ca="1" si="26"/>
        <v/>
      </c>
      <c r="CI18" s="14" t="str">
        <f t="shared" ca="1" si="26"/>
        <v/>
      </c>
      <c r="CJ18" s="15" t="str">
        <f t="shared" ca="1" si="26"/>
        <v/>
      </c>
      <c r="CK18" s="16" t="str">
        <f t="shared" ca="1" si="26"/>
        <v/>
      </c>
      <c r="CL18" s="13" t="str">
        <f t="shared" ca="1" si="26"/>
        <v/>
      </c>
      <c r="CM18" s="14" t="str">
        <f t="shared" ca="1" si="26"/>
        <v/>
      </c>
      <c r="CN18" s="14" t="str">
        <f t="shared" ca="1" si="26"/>
        <v/>
      </c>
      <c r="CO18" s="14" t="str">
        <f t="shared" ca="1" si="26"/>
        <v/>
      </c>
      <c r="CP18" s="14" t="str">
        <f t="shared" ca="1" si="26"/>
        <v/>
      </c>
      <c r="CQ18" s="15" t="str">
        <f t="shared" ca="1" si="26"/>
        <v/>
      </c>
      <c r="CR18" s="16" t="str">
        <f t="shared" ca="1" si="27"/>
        <v/>
      </c>
      <c r="CS18" s="13" t="str">
        <f t="shared" ca="1" si="27"/>
        <v/>
      </c>
      <c r="CT18" s="14" t="str">
        <f t="shared" ca="1" si="27"/>
        <v/>
      </c>
      <c r="CU18" s="14" t="str">
        <f t="shared" ca="1" si="27"/>
        <v/>
      </c>
      <c r="CV18" s="14" t="str">
        <f t="shared" ca="1" si="27"/>
        <v/>
      </c>
      <c r="CW18" s="14" t="str">
        <f t="shared" ca="1" si="27"/>
        <v/>
      </c>
      <c r="CX18" s="15" t="str">
        <f t="shared" ca="1" si="27"/>
        <v/>
      </c>
      <c r="CY18" s="16" t="str">
        <f t="shared" ca="1" si="27"/>
        <v/>
      </c>
      <c r="CZ18" s="13" t="str">
        <f t="shared" ca="1" si="27"/>
        <v/>
      </c>
      <c r="DA18" s="14" t="str">
        <f t="shared" ca="1" si="27"/>
        <v/>
      </c>
      <c r="DB18" s="14" t="str">
        <f t="shared" ca="1" si="28"/>
        <v/>
      </c>
      <c r="DC18" s="14" t="str">
        <f t="shared" ca="1" si="28"/>
        <v/>
      </c>
      <c r="DD18" s="14" t="str">
        <f t="shared" ca="1" si="28"/>
        <v/>
      </c>
      <c r="DE18" s="15" t="str">
        <f t="shared" ca="1" si="28"/>
        <v/>
      </c>
      <c r="DF18" s="16" t="str">
        <f t="shared" ca="1" si="28"/>
        <v/>
      </c>
      <c r="DG18" s="13" t="str">
        <f t="shared" ca="1" si="28"/>
        <v/>
      </c>
      <c r="DH18" s="14" t="str">
        <f t="shared" ca="1" si="28"/>
        <v/>
      </c>
      <c r="DI18" s="14" t="str">
        <f t="shared" ca="1" si="28"/>
        <v/>
      </c>
      <c r="DJ18" s="14" t="str">
        <f t="shared" ca="1" si="28"/>
        <v/>
      </c>
      <c r="DK18" s="14" t="str">
        <f t="shared" ca="1" si="28"/>
        <v/>
      </c>
      <c r="DL18" s="15" t="str">
        <f t="shared" ca="1" si="29"/>
        <v/>
      </c>
      <c r="DM18" s="16" t="str">
        <f t="shared" ca="1" si="29"/>
        <v/>
      </c>
      <c r="DN18" s="13" t="str">
        <f t="shared" ca="1" si="29"/>
        <v/>
      </c>
      <c r="DO18" s="14" t="str">
        <f t="shared" ca="1" si="29"/>
        <v/>
      </c>
      <c r="DP18" s="14" t="str">
        <f t="shared" ca="1" si="29"/>
        <v/>
      </c>
      <c r="DQ18" s="14" t="str">
        <f t="shared" ca="1" si="29"/>
        <v/>
      </c>
      <c r="DR18" s="14" t="str">
        <f t="shared" ca="1" si="29"/>
        <v/>
      </c>
      <c r="DS18" s="15" t="str">
        <f t="shared" ref="DS18:DT24" ca="1" si="31">IF(AND(DS$5&gt;=$C18,DS$5&lt;=$E18),1,"")</f>
        <v/>
      </c>
      <c r="DT18" s="16" t="str">
        <f t="shared" ca="1" si="31"/>
        <v/>
      </c>
      <c r="DU18" s="13" t="str">
        <f t="shared" ca="1" si="30"/>
        <v/>
      </c>
      <c r="DV18" s="14" t="str">
        <f t="shared" ca="1" si="30"/>
        <v/>
      </c>
      <c r="DW18" s="14" t="str">
        <f t="shared" ca="1" si="30"/>
        <v/>
      </c>
      <c r="DX18" s="14" t="str">
        <f t="shared" ca="1" si="30"/>
        <v/>
      </c>
      <c r="DY18" s="14" t="str">
        <f t="shared" ca="1" si="30"/>
        <v/>
      </c>
      <c r="DZ18" s="15" t="str">
        <f t="shared" ca="1" si="30"/>
        <v/>
      </c>
      <c r="EA18" s="16" t="str">
        <f t="shared" ca="1" si="30"/>
        <v/>
      </c>
      <c r="EB18" s="13" t="str">
        <f t="shared" ca="1" si="30"/>
        <v/>
      </c>
      <c r="EC18" s="14" t="str">
        <f t="shared" ca="1" si="30"/>
        <v/>
      </c>
      <c r="ED18" s="14" t="str">
        <f t="shared" ca="1" si="30"/>
        <v/>
      </c>
      <c r="EE18" s="14" t="str">
        <f t="shared" ca="1" si="30"/>
        <v/>
      </c>
      <c r="EF18" s="14" t="str">
        <f t="shared" ca="1" si="30"/>
        <v/>
      </c>
      <c r="EG18" s="15" t="str">
        <f t="shared" ref="EG18:EH24" ca="1" si="32">IF(AND(EG$5&gt;=$C18,EG$5&lt;=$E18),1,"")</f>
        <v/>
      </c>
      <c r="EH18" s="16" t="str">
        <f t="shared" ca="1" si="32"/>
        <v/>
      </c>
    </row>
    <row r="19" spans="1:138" s="17" customFormat="1" ht="9.6" customHeight="1">
      <c r="A19" s="553" t="str">
        <f ca="1">_xlfn.XLOOKUP(A25,'VTT actif'!F:F,'VTT actif'!AB:AB,"-",0)</f>
        <v>Hapag Lloyd</v>
      </c>
      <c r="B19" s="24" t="s">
        <v>50</v>
      </c>
      <c r="C19" s="19">
        <f t="shared" ca="1" si="17"/>
        <v>61</v>
      </c>
      <c r="D19" s="19">
        <f ca="1">_xlfn.XLOOKUP(A25,'VTT actif'!F:F,'VTT actif'!AK:AK,"-",0)</f>
        <v>2</v>
      </c>
      <c r="E19" s="19">
        <f ca="1">C19-1+D19</f>
        <v>62</v>
      </c>
      <c r="F19" s="13" t="str">
        <f t="shared" ca="1" si="18"/>
        <v/>
      </c>
      <c r="G19" s="14" t="str">
        <f t="shared" ca="1" si="18"/>
        <v/>
      </c>
      <c r="H19" s="14" t="str">
        <f t="shared" ca="1" si="18"/>
        <v/>
      </c>
      <c r="I19" s="14" t="str">
        <f t="shared" ca="1" si="18"/>
        <v/>
      </c>
      <c r="J19" s="14" t="str">
        <f t="shared" ca="1" si="18"/>
        <v/>
      </c>
      <c r="K19" s="15" t="str">
        <f t="shared" ca="1" si="18"/>
        <v/>
      </c>
      <c r="L19" s="16" t="str">
        <f t="shared" ca="1" si="18"/>
        <v/>
      </c>
      <c r="M19" s="13" t="str">
        <f t="shared" ca="1" si="18"/>
        <v/>
      </c>
      <c r="N19" s="14" t="str">
        <f t="shared" ca="1" si="18"/>
        <v/>
      </c>
      <c r="O19" s="14" t="str">
        <f t="shared" ca="1" si="18"/>
        <v/>
      </c>
      <c r="P19" s="14" t="str">
        <f t="shared" ca="1" si="19"/>
        <v/>
      </c>
      <c r="Q19" s="14" t="str">
        <f t="shared" ca="1" si="19"/>
        <v/>
      </c>
      <c r="R19" s="15" t="str">
        <f t="shared" ca="1" si="19"/>
        <v/>
      </c>
      <c r="S19" s="16" t="str">
        <f t="shared" ca="1" si="19"/>
        <v/>
      </c>
      <c r="T19" s="13" t="str">
        <f t="shared" ca="1" si="19"/>
        <v/>
      </c>
      <c r="U19" s="14" t="str">
        <f t="shared" ca="1" si="19"/>
        <v/>
      </c>
      <c r="V19" s="14" t="str">
        <f t="shared" ca="1" si="19"/>
        <v/>
      </c>
      <c r="W19" s="14" t="str">
        <f t="shared" ca="1" si="19"/>
        <v/>
      </c>
      <c r="X19" s="14" t="str">
        <f t="shared" ca="1" si="19"/>
        <v/>
      </c>
      <c r="Y19" s="15" t="str">
        <f t="shared" ca="1" si="19"/>
        <v/>
      </c>
      <c r="Z19" s="16" t="str">
        <f t="shared" ca="1" si="20"/>
        <v/>
      </c>
      <c r="AA19" s="13" t="str">
        <f t="shared" ca="1" si="20"/>
        <v/>
      </c>
      <c r="AB19" s="14" t="str">
        <f t="shared" ca="1" si="20"/>
        <v/>
      </c>
      <c r="AC19" s="14" t="str">
        <f t="shared" ca="1" si="20"/>
        <v/>
      </c>
      <c r="AD19" s="14" t="str">
        <f t="shared" ca="1" si="20"/>
        <v/>
      </c>
      <c r="AE19" s="14" t="str">
        <f t="shared" ca="1" si="20"/>
        <v/>
      </c>
      <c r="AF19" s="15" t="str">
        <f t="shared" ca="1" si="20"/>
        <v/>
      </c>
      <c r="AG19" s="16" t="str">
        <f t="shared" ca="1" si="20"/>
        <v/>
      </c>
      <c r="AH19" s="13" t="str">
        <f t="shared" ca="1" si="20"/>
        <v/>
      </c>
      <c r="AI19" s="14" t="str">
        <f t="shared" ca="1" si="20"/>
        <v/>
      </c>
      <c r="AJ19" s="14" t="str">
        <f t="shared" ca="1" si="21"/>
        <v/>
      </c>
      <c r="AK19" s="14" t="str">
        <f t="shared" ca="1" si="21"/>
        <v/>
      </c>
      <c r="AL19" s="14" t="str">
        <f t="shared" ca="1" si="21"/>
        <v/>
      </c>
      <c r="AM19" s="15" t="str">
        <f t="shared" ca="1" si="21"/>
        <v/>
      </c>
      <c r="AN19" s="16" t="str">
        <f t="shared" ca="1" si="21"/>
        <v/>
      </c>
      <c r="AO19" s="13" t="str">
        <f t="shared" ca="1" si="21"/>
        <v/>
      </c>
      <c r="AP19" s="14" t="str">
        <f t="shared" ca="1" si="21"/>
        <v/>
      </c>
      <c r="AQ19" s="14" t="str">
        <f t="shared" ca="1" si="21"/>
        <v/>
      </c>
      <c r="AR19" s="14" t="str">
        <f t="shared" ca="1" si="21"/>
        <v/>
      </c>
      <c r="AS19" s="14" t="str">
        <f t="shared" ca="1" si="21"/>
        <v/>
      </c>
      <c r="AT19" s="15" t="str">
        <f t="shared" ca="1" si="22"/>
        <v/>
      </c>
      <c r="AU19" s="16" t="str">
        <f t="shared" ca="1" si="22"/>
        <v/>
      </c>
      <c r="AV19" s="13" t="str">
        <f t="shared" ca="1" si="22"/>
        <v/>
      </c>
      <c r="AW19" s="14" t="str">
        <f t="shared" ca="1" si="22"/>
        <v/>
      </c>
      <c r="AX19" s="14" t="str">
        <f t="shared" ca="1" si="22"/>
        <v/>
      </c>
      <c r="AY19" s="14" t="str">
        <f t="shared" ca="1" si="22"/>
        <v/>
      </c>
      <c r="AZ19" s="14" t="str">
        <f t="shared" ca="1" si="22"/>
        <v/>
      </c>
      <c r="BA19" s="15" t="str">
        <f t="shared" ca="1" si="22"/>
        <v/>
      </c>
      <c r="BB19" s="16" t="str">
        <f t="shared" ca="1" si="22"/>
        <v/>
      </c>
      <c r="BC19" s="13" t="str">
        <f t="shared" ca="1" si="22"/>
        <v/>
      </c>
      <c r="BD19" s="14" t="str">
        <f t="shared" ca="1" si="23"/>
        <v/>
      </c>
      <c r="BE19" s="14" t="str">
        <f t="shared" ca="1" si="23"/>
        <v/>
      </c>
      <c r="BF19" s="14" t="str">
        <f t="shared" ca="1" si="23"/>
        <v/>
      </c>
      <c r="BG19" s="14" t="str">
        <f t="shared" ca="1" si="23"/>
        <v/>
      </c>
      <c r="BH19" s="15" t="str">
        <f t="shared" ca="1" si="23"/>
        <v/>
      </c>
      <c r="BI19" s="16" t="str">
        <f t="shared" ca="1" si="23"/>
        <v/>
      </c>
      <c r="BJ19" s="13" t="str">
        <f t="shared" ca="1" si="23"/>
        <v/>
      </c>
      <c r="BK19" s="14" t="str">
        <f t="shared" ca="1" si="23"/>
        <v/>
      </c>
      <c r="BL19" s="14" t="str">
        <f t="shared" ca="1" si="23"/>
        <v/>
      </c>
      <c r="BM19" s="14" t="str">
        <f t="shared" ca="1" si="23"/>
        <v/>
      </c>
      <c r="BN19" s="14">
        <f t="shared" ca="1" si="24"/>
        <v>1</v>
      </c>
      <c r="BO19" s="15">
        <f t="shared" ca="1" si="24"/>
        <v>1</v>
      </c>
      <c r="BP19" s="16" t="str">
        <f t="shared" ca="1" si="24"/>
        <v/>
      </c>
      <c r="BQ19" s="13" t="str">
        <f t="shared" ca="1" si="24"/>
        <v/>
      </c>
      <c r="BR19" s="14" t="str">
        <f t="shared" ca="1" si="24"/>
        <v/>
      </c>
      <c r="BS19" s="14" t="str">
        <f t="shared" ca="1" si="24"/>
        <v/>
      </c>
      <c r="BT19" s="14" t="str">
        <f t="shared" ca="1" si="24"/>
        <v/>
      </c>
      <c r="BU19" s="14" t="str">
        <f t="shared" ca="1" si="24"/>
        <v/>
      </c>
      <c r="BV19" s="15" t="str">
        <f t="shared" ca="1" si="24"/>
        <v/>
      </c>
      <c r="BW19" s="16" t="str">
        <f t="shared" ca="1" si="24"/>
        <v/>
      </c>
      <c r="BX19" s="13" t="str">
        <f t="shared" ca="1" si="25"/>
        <v/>
      </c>
      <c r="BY19" s="14" t="str">
        <f t="shared" ca="1" si="25"/>
        <v/>
      </c>
      <c r="BZ19" s="14" t="str">
        <f t="shared" ca="1" si="25"/>
        <v/>
      </c>
      <c r="CA19" s="14" t="str">
        <f t="shared" ca="1" si="25"/>
        <v/>
      </c>
      <c r="CB19" s="14" t="str">
        <f t="shared" ca="1" si="25"/>
        <v/>
      </c>
      <c r="CC19" s="15" t="str">
        <f t="shared" ca="1" si="25"/>
        <v/>
      </c>
      <c r="CD19" s="16" t="str">
        <f t="shared" ca="1" si="25"/>
        <v/>
      </c>
      <c r="CE19" s="13" t="str">
        <f t="shared" ca="1" si="25"/>
        <v/>
      </c>
      <c r="CF19" s="14" t="str">
        <f t="shared" ca="1" si="25"/>
        <v/>
      </c>
      <c r="CG19" s="14" t="str">
        <f t="shared" ca="1" si="25"/>
        <v/>
      </c>
      <c r="CH19" s="14" t="str">
        <f t="shared" ca="1" si="26"/>
        <v/>
      </c>
      <c r="CI19" s="14" t="str">
        <f t="shared" ca="1" si="26"/>
        <v/>
      </c>
      <c r="CJ19" s="15" t="str">
        <f t="shared" ca="1" si="26"/>
        <v/>
      </c>
      <c r="CK19" s="16" t="str">
        <f t="shared" ca="1" si="26"/>
        <v/>
      </c>
      <c r="CL19" s="13" t="str">
        <f t="shared" ca="1" si="26"/>
        <v/>
      </c>
      <c r="CM19" s="14" t="str">
        <f t="shared" ca="1" si="26"/>
        <v/>
      </c>
      <c r="CN19" s="14" t="str">
        <f t="shared" ca="1" si="26"/>
        <v/>
      </c>
      <c r="CO19" s="14" t="str">
        <f t="shared" ca="1" si="26"/>
        <v/>
      </c>
      <c r="CP19" s="14" t="str">
        <f t="shared" ca="1" si="26"/>
        <v/>
      </c>
      <c r="CQ19" s="15" t="str">
        <f t="shared" ca="1" si="26"/>
        <v/>
      </c>
      <c r="CR19" s="16" t="str">
        <f t="shared" ca="1" si="27"/>
        <v/>
      </c>
      <c r="CS19" s="13" t="str">
        <f t="shared" ca="1" si="27"/>
        <v/>
      </c>
      <c r="CT19" s="14" t="str">
        <f t="shared" ca="1" si="27"/>
        <v/>
      </c>
      <c r="CU19" s="14" t="str">
        <f t="shared" ca="1" si="27"/>
        <v/>
      </c>
      <c r="CV19" s="14" t="str">
        <f t="shared" ca="1" si="27"/>
        <v/>
      </c>
      <c r="CW19" s="14" t="str">
        <f t="shared" ca="1" si="27"/>
        <v/>
      </c>
      <c r="CX19" s="15" t="str">
        <f t="shared" ca="1" si="27"/>
        <v/>
      </c>
      <c r="CY19" s="16" t="str">
        <f t="shared" ca="1" si="27"/>
        <v/>
      </c>
      <c r="CZ19" s="13" t="str">
        <f t="shared" ca="1" si="27"/>
        <v/>
      </c>
      <c r="DA19" s="14" t="str">
        <f t="shared" ca="1" si="27"/>
        <v/>
      </c>
      <c r="DB19" s="14" t="str">
        <f t="shared" ca="1" si="28"/>
        <v/>
      </c>
      <c r="DC19" s="14" t="str">
        <f t="shared" ca="1" si="28"/>
        <v/>
      </c>
      <c r="DD19" s="14" t="str">
        <f t="shared" ca="1" si="28"/>
        <v/>
      </c>
      <c r="DE19" s="15" t="str">
        <f t="shared" ca="1" si="28"/>
        <v/>
      </c>
      <c r="DF19" s="16" t="str">
        <f t="shared" ca="1" si="28"/>
        <v/>
      </c>
      <c r="DG19" s="13" t="str">
        <f t="shared" ca="1" si="28"/>
        <v/>
      </c>
      <c r="DH19" s="14" t="str">
        <f t="shared" ca="1" si="28"/>
        <v/>
      </c>
      <c r="DI19" s="14" t="str">
        <f t="shared" ca="1" si="28"/>
        <v/>
      </c>
      <c r="DJ19" s="14" t="str">
        <f t="shared" ca="1" si="28"/>
        <v/>
      </c>
      <c r="DK19" s="14" t="str">
        <f t="shared" ca="1" si="28"/>
        <v/>
      </c>
      <c r="DL19" s="15" t="str">
        <f t="shared" ca="1" si="29"/>
        <v/>
      </c>
      <c r="DM19" s="16" t="str">
        <f t="shared" ca="1" si="29"/>
        <v/>
      </c>
      <c r="DN19" s="13" t="str">
        <f t="shared" ca="1" si="29"/>
        <v/>
      </c>
      <c r="DO19" s="14" t="str">
        <f t="shared" ca="1" si="29"/>
        <v/>
      </c>
      <c r="DP19" s="14" t="str">
        <f t="shared" ca="1" si="29"/>
        <v/>
      </c>
      <c r="DQ19" s="14" t="str">
        <f t="shared" ca="1" si="29"/>
        <v/>
      </c>
      <c r="DR19" s="14" t="str">
        <f t="shared" ca="1" si="29"/>
        <v/>
      </c>
      <c r="DS19" s="15" t="str">
        <f t="shared" ca="1" si="31"/>
        <v/>
      </c>
      <c r="DT19" s="16" t="str">
        <f t="shared" ca="1" si="31"/>
        <v/>
      </c>
      <c r="DU19" s="13" t="str">
        <f t="shared" ca="1" si="30"/>
        <v/>
      </c>
      <c r="DV19" s="14" t="str">
        <f t="shared" ca="1" si="30"/>
        <v/>
      </c>
      <c r="DW19" s="14" t="str">
        <f t="shared" ca="1" si="30"/>
        <v/>
      </c>
      <c r="DX19" s="14" t="str">
        <f t="shared" ca="1" si="30"/>
        <v/>
      </c>
      <c r="DY19" s="14" t="str">
        <f t="shared" ca="1" si="30"/>
        <v/>
      </c>
      <c r="DZ19" s="15" t="str">
        <f t="shared" ca="1" si="30"/>
        <v/>
      </c>
      <c r="EA19" s="16" t="str">
        <f t="shared" ca="1" si="30"/>
        <v/>
      </c>
      <c r="EB19" s="13" t="str">
        <f t="shared" ca="1" si="30"/>
        <v/>
      </c>
      <c r="EC19" s="14" t="str">
        <f t="shared" ca="1" si="30"/>
        <v/>
      </c>
      <c r="ED19" s="14" t="str">
        <f t="shared" ca="1" si="30"/>
        <v/>
      </c>
      <c r="EE19" s="14" t="str">
        <f t="shared" ca="1" si="30"/>
        <v/>
      </c>
      <c r="EF19" s="14" t="str">
        <f t="shared" ca="1" si="30"/>
        <v/>
      </c>
      <c r="EG19" s="15" t="str">
        <f t="shared" ca="1" si="32"/>
        <v/>
      </c>
      <c r="EH19" s="16" t="str">
        <f t="shared" ca="1" si="32"/>
        <v/>
      </c>
    </row>
    <row r="20" spans="1:138" s="17" customFormat="1" ht="9.6" customHeight="1">
      <c r="A20" s="535"/>
      <c r="B20" s="26" t="str">
        <f>IF(COUNTIF(buffer_train[AILN],B5)&gt;0,"Buffer Train","")</f>
        <v/>
      </c>
      <c r="C20" s="19">
        <f t="shared" ca="1" si="17"/>
        <v>63</v>
      </c>
      <c r="D20" s="19" t="str">
        <f>_xlfn.XLOOKUP(A25,'VTT actif'!F:F,'VTT actif'!AO:AO,"-",0)</f>
        <v>-</v>
      </c>
      <c r="E20" s="19">
        <f ca="1">C20-1+IF(D20="-",0,D20)</f>
        <v>62</v>
      </c>
      <c r="F20" s="13" t="str">
        <f t="shared" ca="1" si="18"/>
        <v/>
      </c>
      <c r="G20" s="14" t="str">
        <f t="shared" ca="1" si="18"/>
        <v/>
      </c>
      <c r="H20" s="14" t="str">
        <f t="shared" ca="1" si="18"/>
        <v/>
      </c>
      <c r="I20" s="14" t="str">
        <f t="shared" ca="1" si="18"/>
        <v/>
      </c>
      <c r="J20" s="14" t="str">
        <f t="shared" ca="1" si="18"/>
        <v/>
      </c>
      <c r="K20" s="15" t="str">
        <f t="shared" ca="1" si="18"/>
        <v/>
      </c>
      <c r="L20" s="16" t="str">
        <f t="shared" ca="1" si="18"/>
        <v/>
      </c>
      <c r="M20" s="13" t="str">
        <f t="shared" ca="1" si="18"/>
        <v/>
      </c>
      <c r="N20" s="14" t="str">
        <f t="shared" ca="1" si="18"/>
        <v/>
      </c>
      <c r="O20" s="14" t="str">
        <f t="shared" ca="1" si="18"/>
        <v/>
      </c>
      <c r="P20" s="14" t="str">
        <f t="shared" ca="1" si="19"/>
        <v/>
      </c>
      <c r="Q20" s="14" t="str">
        <f t="shared" ca="1" si="19"/>
        <v/>
      </c>
      <c r="R20" s="15" t="str">
        <f t="shared" ca="1" si="19"/>
        <v/>
      </c>
      <c r="S20" s="16" t="str">
        <f t="shared" ca="1" si="19"/>
        <v/>
      </c>
      <c r="T20" s="13" t="str">
        <f t="shared" ca="1" si="19"/>
        <v/>
      </c>
      <c r="U20" s="14" t="str">
        <f t="shared" ca="1" si="19"/>
        <v/>
      </c>
      <c r="V20" s="14" t="str">
        <f t="shared" ca="1" si="19"/>
        <v/>
      </c>
      <c r="W20" s="14" t="str">
        <f t="shared" ca="1" si="19"/>
        <v/>
      </c>
      <c r="X20" s="14" t="str">
        <f t="shared" ca="1" si="19"/>
        <v/>
      </c>
      <c r="Y20" s="15" t="str">
        <f t="shared" ca="1" si="19"/>
        <v/>
      </c>
      <c r="Z20" s="16" t="str">
        <f t="shared" ca="1" si="20"/>
        <v/>
      </c>
      <c r="AA20" s="13" t="str">
        <f t="shared" ca="1" si="20"/>
        <v/>
      </c>
      <c r="AB20" s="14" t="str">
        <f t="shared" ca="1" si="20"/>
        <v/>
      </c>
      <c r="AC20" s="14" t="str">
        <f t="shared" ca="1" si="20"/>
        <v/>
      </c>
      <c r="AD20" s="14" t="str">
        <f t="shared" ca="1" si="20"/>
        <v/>
      </c>
      <c r="AE20" s="14" t="str">
        <f t="shared" ca="1" si="20"/>
        <v/>
      </c>
      <c r="AF20" s="15" t="str">
        <f t="shared" ca="1" si="20"/>
        <v/>
      </c>
      <c r="AG20" s="16" t="str">
        <f t="shared" ca="1" si="20"/>
        <v/>
      </c>
      <c r="AH20" s="13" t="str">
        <f t="shared" ca="1" si="20"/>
        <v/>
      </c>
      <c r="AI20" s="14" t="str">
        <f t="shared" ca="1" si="20"/>
        <v/>
      </c>
      <c r="AJ20" s="14" t="str">
        <f t="shared" ca="1" si="21"/>
        <v/>
      </c>
      <c r="AK20" s="14" t="str">
        <f t="shared" ca="1" si="21"/>
        <v/>
      </c>
      <c r="AL20" s="14" t="str">
        <f t="shared" ca="1" si="21"/>
        <v/>
      </c>
      <c r="AM20" s="15" t="str">
        <f t="shared" ca="1" si="21"/>
        <v/>
      </c>
      <c r="AN20" s="16" t="str">
        <f t="shared" ca="1" si="21"/>
        <v/>
      </c>
      <c r="AO20" s="13" t="str">
        <f t="shared" ca="1" si="21"/>
        <v/>
      </c>
      <c r="AP20" s="14" t="str">
        <f t="shared" ca="1" si="21"/>
        <v/>
      </c>
      <c r="AQ20" s="14" t="str">
        <f t="shared" ca="1" si="21"/>
        <v/>
      </c>
      <c r="AR20" s="14" t="str">
        <f t="shared" ca="1" si="21"/>
        <v/>
      </c>
      <c r="AS20" s="14" t="str">
        <f t="shared" ca="1" si="21"/>
        <v/>
      </c>
      <c r="AT20" s="15" t="str">
        <f t="shared" ca="1" si="22"/>
        <v/>
      </c>
      <c r="AU20" s="16" t="str">
        <f t="shared" ca="1" si="22"/>
        <v/>
      </c>
      <c r="AV20" s="13" t="str">
        <f t="shared" ca="1" si="22"/>
        <v/>
      </c>
      <c r="AW20" s="14" t="str">
        <f t="shared" ca="1" si="22"/>
        <v/>
      </c>
      <c r="AX20" s="14" t="str">
        <f t="shared" ca="1" si="22"/>
        <v/>
      </c>
      <c r="AY20" s="14" t="str">
        <f t="shared" ca="1" si="22"/>
        <v/>
      </c>
      <c r="AZ20" s="14" t="str">
        <f t="shared" ca="1" si="22"/>
        <v/>
      </c>
      <c r="BA20" s="15" t="str">
        <f t="shared" ca="1" si="22"/>
        <v/>
      </c>
      <c r="BB20" s="16" t="str">
        <f t="shared" ca="1" si="22"/>
        <v/>
      </c>
      <c r="BC20" s="13" t="str">
        <f t="shared" ca="1" si="22"/>
        <v/>
      </c>
      <c r="BD20" s="14" t="str">
        <f t="shared" ca="1" si="23"/>
        <v/>
      </c>
      <c r="BE20" s="14" t="str">
        <f t="shared" ca="1" si="23"/>
        <v/>
      </c>
      <c r="BF20" s="14" t="str">
        <f t="shared" ca="1" si="23"/>
        <v/>
      </c>
      <c r="BG20" s="14" t="str">
        <f t="shared" ca="1" si="23"/>
        <v/>
      </c>
      <c r="BH20" s="15" t="str">
        <f t="shared" ca="1" si="23"/>
        <v/>
      </c>
      <c r="BI20" s="16" t="str">
        <f t="shared" ca="1" si="23"/>
        <v/>
      </c>
      <c r="BJ20" s="13" t="str">
        <f t="shared" ca="1" si="23"/>
        <v/>
      </c>
      <c r="BK20" s="14" t="str">
        <f t="shared" ca="1" si="23"/>
        <v/>
      </c>
      <c r="BL20" s="14" t="str">
        <f t="shared" ca="1" si="23"/>
        <v/>
      </c>
      <c r="BM20" s="14" t="str">
        <f t="shared" ca="1" si="23"/>
        <v/>
      </c>
      <c r="BN20" s="14" t="str">
        <f t="shared" ca="1" si="24"/>
        <v/>
      </c>
      <c r="BO20" s="15" t="str">
        <f t="shared" ca="1" si="24"/>
        <v/>
      </c>
      <c r="BP20" s="16" t="str">
        <f t="shared" ca="1" si="24"/>
        <v/>
      </c>
      <c r="BQ20" s="13" t="str">
        <f t="shared" ca="1" si="24"/>
        <v/>
      </c>
      <c r="BR20" s="14" t="str">
        <f t="shared" ca="1" si="24"/>
        <v/>
      </c>
      <c r="BS20" s="14" t="str">
        <f t="shared" ca="1" si="24"/>
        <v/>
      </c>
      <c r="BT20" s="14" t="str">
        <f t="shared" ca="1" si="24"/>
        <v/>
      </c>
      <c r="BU20" s="14" t="str">
        <f t="shared" ca="1" si="24"/>
        <v/>
      </c>
      <c r="BV20" s="15" t="str">
        <f t="shared" ca="1" si="24"/>
        <v/>
      </c>
      <c r="BW20" s="16" t="str">
        <f t="shared" ca="1" si="24"/>
        <v/>
      </c>
      <c r="BX20" s="13" t="str">
        <f t="shared" ca="1" si="25"/>
        <v/>
      </c>
      <c r="BY20" s="14" t="str">
        <f t="shared" ca="1" si="25"/>
        <v/>
      </c>
      <c r="BZ20" s="14" t="str">
        <f t="shared" ca="1" si="25"/>
        <v/>
      </c>
      <c r="CA20" s="14" t="str">
        <f t="shared" ca="1" si="25"/>
        <v/>
      </c>
      <c r="CB20" s="14" t="str">
        <f t="shared" ca="1" si="25"/>
        <v/>
      </c>
      <c r="CC20" s="15" t="str">
        <f t="shared" ca="1" si="25"/>
        <v/>
      </c>
      <c r="CD20" s="16" t="str">
        <f t="shared" ca="1" si="25"/>
        <v/>
      </c>
      <c r="CE20" s="13" t="str">
        <f t="shared" ca="1" si="25"/>
        <v/>
      </c>
      <c r="CF20" s="14" t="str">
        <f t="shared" ca="1" si="25"/>
        <v/>
      </c>
      <c r="CG20" s="14" t="str">
        <f t="shared" ca="1" si="25"/>
        <v/>
      </c>
      <c r="CH20" s="14" t="str">
        <f t="shared" ca="1" si="26"/>
        <v/>
      </c>
      <c r="CI20" s="14" t="str">
        <f t="shared" ca="1" si="26"/>
        <v/>
      </c>
      <c r="CJ20" s="15" t="str">
        <f t="shared" ca="1" si="26"/>
        <v/>
      </c>
      <c r="CK20" s="16" t="str">
        <f t="shared" ca="1" si="26"/>
        <v/>
      </c>
      <c r="CL20" s="13" t="str">
        <f t="shared" ca="1" si="26"/>
        <v/>
      </c>
      <c r="CM20" s="14" t="str">
        <f t="shared" ca="1" si="26"/>
        <v/>
      </c>
      <c r="CN20" s="14" t="str">
        <f t="shared" ca="1" si="26"/>
        <v/>
      </c>
      <c r="CO20" s="14" t="str">
        <f t="shared" ca="1" si="26"/>
        <v/>
      </c>
      <c r="CP20" s="14" t="str">
        <f t="shared" ca="1" si="26"/>
        <v/>
      </c>
      <c r="CQ20" s="15" t="str">
        <f t="shared" ca="1" si="26"/>
        <v/>
      </c>
      <c r="CR20" s="16" t="str">
        <f t="shared" ca="1" si="27"/>
        <v/>
      </c>
      <c r="CS20" s="13" t="str">
        <f t="shared" ca="1" si="27"/>
        <v/>
      </c>
      <c r="CT20" s="14" t="str">
        <f t="shared" ca="1" si="27"/>
        <v/>
      </c>
      <c r="CU20" s="14" t="str">
        <f t="shared" ca="1" si="27"/>
        <v/>
      </c>
      <c r="CV20" s="14" t="str">
        <f t="shared" ca="1" si="27"/>
        <v/>
      </c>
      <c r="CW20" s="14" t="str">
        <f t="shared" ca="1" si="27"/>
        <v/>
      </c>
      <c r="CX20" s="15" t="str">
        <f t="shared" ca="1" si="27"/>
        <v/>
      </c>
      <c r="CY20" s="16" t="str">
        <f t="shared" ca="1" si="27"/>
        <v/>
      </c>
      <c r="CZ20" s="13" t="str">
        <f t="shared" ca="1" si="27"/>
        <v/>
      </c>
      <c r="DA20" s="14" t="str">
        <f t="shared" ca="1" si="27"/>
        <v/>
      </c>
      <c r="DB20" s="14" t="str">
        <f t="shared" ca="1" si="28"/>
        <v/>
      </c>
      <c r="DC20" s="14" t="str">
        <f t="shared" ca="1" si="28"/>
        <v/>
      </c>
      <c r="DD20" s="14" t="str">
        <f t="shared" ca="1" si="28"/>
        <v/>
      </c>
      <c r="DE20" s="15" t="str">
        <f t="shared" ca="1" si="28"/>
        <v/>
      </c>
      <c r="DF20" s="16" t="str">
        <f t="shared" ca="1" si="28"/>
        <v/>
      </c>
      <c r="DG20" s="13" t="str">
        <f t="shared" ca="1" si="28"/>
        <v/>
      </c>
      <c r="DH20" s="14" t="str">
        <f t="shared" ca="1" si="28"/>
        <v/>
      </c>
      <c r="DI20" s="14" t="str">
        <f t="shared" ca="1" si="28"/>
        <v/>
      </c>
      <c r="DJ20" s="14" t="str">
        <f t="shared" ca="1" si="28"/>
        <v/>
      </c>
      <c r="DK20" s="14" t="str">
        <f t="shared" ca="1" si="28"/>
        <v/>
      </c>
      <c r="DL20" s="15" t="str">
        <f t="shared" ca="1" si="29"/>
        <v/>
      </c>
      <c r="DM20" s="16" t="str">
        <f t="shared" ca="1" si="29"/>
        <v/>
      </c>
      <c r="DN20" s="13" t="str">
        <f t="shared" ca="1" si="29"/>
        <v/>
      </c>
      <c r="DO20" s="14" t="str">
        <f t="shared" ca="1" si="29"/>
        <v/>
      </c>
      <c r="DP20" s="14" t="str">
        <f t="shared" ca="1" si="29"/>
        <v/>
      </c>
      <c r="DQ20" s="14" t="str">
        <f t="shared" ca="1" si="29"/>
        <v/>
      </c>
      <c r="DR20" s="14" t="str">
        <f t="shared" ca="1" si="29"/>
        <v/>
      </c>
      <c r="DS20" s="15" t="str">
        <f t="shared" ca="1" si="31"/>
        <v/>
      </c>
      <c r="DT20" s="16" t="str">
        <f t="shared" ca="1" si="31"/>
        <v/>
      </c>
      <c r="DU20" s="13" t="str">
        <f t="shared" ca="1" si="30"/>
        <v/>
      </c>
      <c r="DV20" s="14" t="str">
        <f t="shared" ca="1" si="30"/>
        <v/>
      </c>
      <c r="DW20" s="14" t="str">
        <f t="shared" ca="1" si="30"/>
        <v/>
      </c>
      <c r="DX20" s="14" t="str">
        <f t="shared" ca="1" si="30"/>
        <v/>
      </c>
      <c r="DY20" s="14" t="str">
        <f t="shared" ca="1" si="30"/>
        <v/>
      </c>
      <c r="DZ20" s="15" t="str">
        <f t="shared" ca="1" si="30"/>
        <v/>
      </c>
      <c r="EA20" s="16" t="str">
        <f t="shared" ca="1" si="30"/>
        <v/>
      </c>
      <c r="EB20" s="13" t="str">
        <f t="shared" ca="1" si="30"/>
        <v/>
      </c>
      <c r="EC20" s="14" t="str">
        <f t="shared" ca="1" si="30"/>
        <v/>
      </c>
      <c r="ED20" s="14" t="str">
        <f t="shared" ca="1" si="30"/>
        <v/>
      </c>
      <c r="EE20" s="14" t="str">
        <f t="shared" ca="1" si="30"/>
        <v/>
      </c>
      <c r="EF20" s="14" t="str">
        <f t="shared" ca="1" si="30"/>
        <v/>
      </c>
      <c r="EG20" s="15" t="str">
        <f t="shared" ca="1" si="32"/>
        <v/>
      </c>
      <c r="EH20" s="16" t="str">
        <f t="shared" ca="1" si="32"/>
        <v/>
      </c>
    </row>
    <row r="21" spans="1:138" s="17" customFormat="1" ht="9.6" customHeight="1">
      <c r="A21" s="90" t="str">
        <f>_xlfn.CONCAT(B3,"-","Actif")</f>
        <v>ILN FR-Actif</v>
      </c>
      <c r="B21" s="24" t="str">
        <f>IF(B5=0,"","Transport to PFI")</f>
        <v/>
      </c>
      <c r="C21" s="19">
        <f t="shared" ca="1" si="17"/>
        <v>63</v>
      </c>
      <c r="D21" s="19">
        <f ca="1">_xlfn.XLOOKUP(A25,'VTT actif'!F:F,'VTT actif'!AP:AP,"-",0)</f>
        <v>0</v>
      </c>
      <c r="E21" s="19">
        <f ca="1">C21-1+IF(D21="-",0,D21)</f>
        <v>62</v>
      </c>
      <c r="F21" s="13" t="str">
        <f t="shared" ca="1" si="18"/>
        <v/>
      </c>
      <c r="G21" s="14" t="str">
        <f t="shared" ca="1" si="18"/>
        <v/>
      </c>
      <c r="H21" s="14" t="str">
        <f t="shared" ca="1" si="18"/>
        <v/>
      </c>
      <c r="I21" s="14" t="str">
        <f t="shared" ca="1" si="18"/>
        <v/>
      </c>
      <c r="J21" s="14" t="str">
        <f t="shared" ca="1" si="18"/>
        <v/>
      </c>
      <c r="K21" s="15" t="str">
        <f t="shared" ca="1" si="18"/>
        <v/>
      </c>
      <c r="L21" s="16" t="str">
        <f t="shared" ca="1" si="18"/>
        <v/>
      </c>
      <c r="M21" s="13" t="str">
        <f t="shared" ca="1" si="18"/>
        <v/>
      </c>
      <c r="N21" s="14" t="str">
        <f t="shared" ca="1" si="18"/>
        <v/>
      </c>
      <c r="O21" s="14" t="str">
        <f t="shared" ca="1" si="18"/>
        <v/>
      </c>
      <c r="P21" s="14" t="str">
        <f t="shared" ca="1" si="19"/>
        <v/>
      </c>
      <c r="Q21" s="14" t="str">
        <f t="shared" ca="1" si="19"/>
        <v/>
      </c>
      <c r="R21" s="15" t="str">
        <f t="shared" ca="1" si="19"/>
        <v/>
      </c>
      <c r="S21" s="16" t="str">
        <f t="shared" ca="1" si="19"/>
        <v/>
      </c>
      <c r="T21" s="13" t="str">
        <f t="shared" ca="1" si="19"/>
        <v/>
      </c>
      <c r="U21" s="14" t="str">
        <f t="shared" ca="1" si="19"/>
        <v/>
      </c>
      <c r="V21" s="14" t="str">
        <f t="shared" ca="1" si="19"/>
        <v/>
      </c>
      <c r="W21" s="14" t="str">
        <f t="shared" ca="1" si="19"/>
        <v/>
      </c>
      <c r="X21" s="14" t="str">
        <f t="shared" ca="1" si="19"/>
        <v/>
      </c>
      <c r="Y21" s="15" t="str">
        <f t="shared" ca="1" si="19"/>
        <v/>
      </c>
      <c r="Z21" s="16" t="str">
        <f t="shared" ca="1" si="20"/>
        <v/>
      </c>
      <c r="AA21" s="13" t="str">
        <f t="shared" ca="1" si="20"/>
        <v/>
      </c>
      <c r="AB21" s="14" t="str">
        <f t="shared" ca="1" si="20"/>
        <v/>
      </c>
      <c r="AC21" s="14" t="str">
        <f t="shared" ca="1" si="20"/>
        <v/>
      </c>
      <c r="AD21" s="14" t="str">
        <f t="shared" ca="1" si="20"/>
        <v/>
      </c>
      <c r="AE21" s="14" t="str">
        <f t="shared" ca="1" si="20"/>
        <v/>
      </c>
      <c r="AF21" s="15" t="str">
        <f t="shared" ca="1" si="20"/>
        <v/>
      </c>
      <c r="AG21" s="16" t="str">
        <f t="shared" ca="1" si="20"/>
        <v/>
      </c>
      <c r="AH21" s="13" t="str">
        <f t="shared" ca="1" si="20"/>
        <v/>
      </c>
      <c r="AI21" s="14" t="str">
        <f t="shared" ca="1" si="20"/>
        <v/>
      </c>
      <c r="AJ21" s="14" t="str">
        <f t="shared" ca="1" si="21"/>
        <v/>
      </c>
      <c r="AK21" s="14" t="str">
        <f t="shared" ca="1" si="21"/>
        <v/>
      </c>
      <c r="AL21" s="14" t="str">
        <f t="shared" ca="1" si="21"/>
        <v/>
      </c>
      <c r="AM21" s="15" t="str">
        <f t="shared" ca="1" si="21"/>
        <v/>
      </c>
      <c r="AN21" s="16" t="str">
        <f t="shared" ca="1" si="21"/>
        <v/>
      </c>
      <c r="AO21" s="13" t="str">
        <f t="shared" ca="1" si="21"/>
        <v/>
      </c>
      <c r="AP21" s="14" t="str">
        <f t="shared" ca="1" si="21"/>
        <v/>
      </c>
      <c r="AQ21" s="14" t="str">
        <f t="shared" ca="1" si="21"/>
        <v/>
      </c>
      <c r="AR21" s="14" t="str">
        <f t="shared" ca="1" si="21"/>
        <v/>
      </c>
      <c r="AS21" s="14" t="str">
        <f t="shared" ca="1" si="21"/>
        <v/>
      </c>
      <c r="AT21" s="15" t="str">
        <f t="shared" ca="1" si="22"/>
        <v/>
      </c>
      <c r="AU21" s="16" t="str">
        <f t="shared" ca="1" si="22"/>
        <v/>
      </c>
      <c r="AV21" s="13" t="str">
        <f t="shared" ca="1" si="22"/>
        <v/>
      </c>
      <c r="AW21" s="14" t="str">
        <f t="shared" ca="1" si="22"/>
        <v/>
      </c>
      <c r="AX21" s="14" t="str">
        <f t="shared" ca="1" si="22"/>
        <v/>
      </c>
      <c r="AY21" s="14" t="str">
        <f t="shared" ca="1" si="22"/>
        <v/>
      </c>
      <c r="AZ21" s="14" t="str">
        <f t="shared" ca="1" si="22"/>
        <v/>
      </c>
      <c r="BA21" s="15" t="str">
        <f t="shared" ca="1" si="22"/>
        <v/>
      </c>
      <c r="BB21" s="16" t="str">
        <f t="shared" ca="1" si="22"/>
        <v/>
      </c>
      <c r="BC21" s="13" t="str">
        <f t="shared" ca="1" si="22"/>
        <v/>
      </c>
      <c r="BD21" s="14" t="str">
        <f t="shared" ca="1" si="23"/>
        <v/>
      </c>
      <c r="BE21" s="14" t="str">
        <f t="shared" ca="1" si="23"/>
        <v/>
      </c>
      <c r="BF21" s="14" t="str">
        <f t="shared" ca="1" si="23"/>
        <v/>
      </c>
      <c r="BG21" s="14" t="str">
        <f t="shared" ca="1" si="23"/>
        <v/>
      </c>
      <c r="BH21" s="15" t="str">
        <f t="shared" ca="1" si="23"/>
        <v/>
      </c>
      <c r="BI21" s="16" t="str">
        <f t="shared" ca="1" si="23"/>
        <v/>
      </c>
      <c r="BJ21" s="13" t="str">
        <f t="shared" ca="1" si="23"/>
        <v/>
      </c>
      <c r="BK21" s="14" t="str">
        <f t="shared" ca="1" si="23"/>
        <v/>
      </c>
      <c r="BL21" s="14" t="str">
        <f t="shared" ca="1" si="23"/>
        <v/>
      </c>
      <c r="BM21" s="14" t="str">
        <f t="shared" ca="1" si="23"/>
        <v/>
      </c>
      <c r="BN21" s="14" t="str">
        <f t="shared" ca="1" si="24"/>
        <v/>
      </c>
      <c r="BO21" s="15" t="str">
        <f t="shared" ca="1" si="24"/>
        <v/>
      </c>
      <c r="BP21" s="16" t="str">
        <f t="shared" ca="1" si="24"/>
        <v/>
      </c>
      <c r="BQ21" s="13" t="str">
        <f t="shared" ca="1" si="24"/>
        <v/>
      </c>
      <c r="BR21" s="14" t="str">
        <f t="shared" ca="1" si="24"/>
        <v/>
      </c>
      <c r="BS21" s="14" t="str">
        <f t="shared" ca="1" si="24"/>
        <v/>
      </c>
      <c r="BT21" s="14" t="str">
        <f t="shared" ca="1" si="24"/>
        <v/>
      </c>
      <c r="BU21" s="14" t="str">
        <f t="shared" ca="1" si="24"/>
        <v/>
      </c>
      <c r="BV21" s="15" t="str">
        <f t="shared" ca="1" si="24"/>
        <v/>
      </c>
      <c r="BW21" s="16" t="str">
        <f t="shared" ca="1" si="24"/>
        <v/>
      </c>
      <c r="BX21" s="13" t="str">
        <f t="shared" ca="1" si="25"/>
        <v/>
      </c>
      <c r="BY21" s="14" t="str">
        <f t="shared" ca="1" si="25"/>
        <v/>
      </c>
      <c r="BZ21" s="14" t="str">
        <f t="shared" ca="1" si="25"/>
        <v/>
      </c>
      <c r="CA21" s="14" t="str">
        <f t="shared" ca="1" si="25"/>
        <v/>
      </c>
      <c r="CB21" s="14" t="str">
        <f t="shared" ca="1" si="25"/>
        <v/>
      </c>
      <c r="CC21" s="15" t="str">
        <f t="shared" ca="1" si="25"/>
        <v/>
      </c>
      <c r="CD21" s="16" t="str">
        <f t="shared" ca="1" si="25"/>
        <v/>
      </c>
      <c r="CE21" s="13" t="str">
        <f t="shared" ca="1" si="25"/>
        <v/>
      </c>
      <c r="CF21" s="14" t="str">
        <f t="shared" ca="1" si="25"/>
        <v/>
      </c>
      <c r="CG21" s="14" t="str">
        <f t="shared" ca="1" si="25"/>
        <v/>
      </c>
      <c r="CH21" s="14" t="str">
        <f t="shared" ca="1" si="26"/>
        <v/>
      </c>
      <c r="CI21" s="14" t="str">
        <f t="shared" ca="1" si="26"/>
        <v/>
      </c>
      <c r="CJ21" s="15" t="str">
        <f t="shared" ca="1" si="26"/>
        <v/>
      </c>
      <c r="CK21" s="16" t="str">
        <f t="shared" ca="1" si="26"/>
        <v/>
      </c>
      <c r="CL21" s="13" t="str">
        <f t="shared" ca="1" si="26"/>
        <v/>
      </c>
      <c r="CM21" s="14" t="str">
        <f t="shared" ca="1" si="26"/>
        <v/>
      </c>
      <c r="CN21" s="14" t="str">
        <f t="shared" ca="1" si="26"/>
        <v/>
      </c>
      <c r="CO21" s="14" t="str">
        <f t="shared" ca="1" si="26"/>
        <v/>
      </c>
      <c r="CP21" s="14" t="str">
        <f t="shared" ca="1" si="26"/>
        <v/>
      </c>
      <c r="CQ21" s="15" t="str">
        <f t="shared" ca="1" si="26"/>
        <v/>
      </c>
      <c r="CR21" s="16" t="str">
        <f t="shared" ca="1" si="27"/>
        <v/>
      </c>
      <c r="CS21" s="13" t="str">
        <f t="shared" ca="1" si="27"/>
        <v/>
      </c>
      <c r="CT21" s="14" t="str">
        <f t="shared" ca="1" si="27"/>
        <v/>
      </c>
      <c r="CU21" s="14" t="str">
        <f t="shared" ca="1" si="27"/>
        <v/>
      </c>
      <c r="CV21" s="14" t="str">
        <f t="shared" ca="1" si="27"/>
        <v/>
      </c>
      <c r="CW21" s="14" t="str">
        <f t="shared" ca="1" si="27"/>
        <v/>
      </c>
      <c r="CX21" s="15" t="str">
        <f t="shared" ca="1" si="27"/>
        <v/>
      </c>
      <c r="CY21" s="16" t="str">
        <f t="shared" ca="1" si="27"/>
        <v/>
      </c>
      <c r="CZ21" s="13" t="str">
        <f t="shared" ca="1" si="27"/>
        <v/>
      </c>
      <c r="DA21" s="14" t="str">
        <f t="shared" ca="1" si="27"/>
        <v/>
      </c>
      <c r="DB21" s="14" t="str">
        <f t="shared" ca="1" si="28"/>
        <v/>
      </c>
      <c r="DC21" s="14" t="str">
        <f t="shared" ca="1" si="28"/>
        <v/>
      </c>
      <c r="DD21" s="14" t="str">
        <f t="shared" ca="1" si="28"/>
        <v/>
      </c>
      <c r="DE21" s="15" t="str">
        <f t="shared" ca="1" si="28"/>
        <v/>
      </c>
      <c r="DF21" s="16" t="str">
        <f t="shared" ca="1" si="28"/>
        <v/>
      </c>
      <c r="DG21" s="13" t="str">
        <f t="shared" ca="1" si="28"/>
        <v/>
      </c>
      <c r="DH21" s="14" t="str">
        <f t="shared" ca="1" si="28"/>
        <v/>
      </c>
      <c r="DI21" s="14" t="str">
        <f t="shared" ca="1" si="28"/>
        <v/>
      </c>
      <c r="DJ21" s="14" t="str">
        <f t="shared" ca="1" si="28"/>
        <v/>
      </c>
      <c r="DK21" s="14" t="str">
        <f t="shared" ca="1" si="28"/>
        <v/>
      </c>
      <c r="DL21" s="15" t="str">
        <f t="shared" ca="1" si="29"/>
        <v/>
      </c>
      <c r="DM21" s="16" t="str">
        <f t="shared" ca="1" si="29"/>
        <v/>
      </c>
      <c r="DN21" s="13" t="str">
        <f t="shared" ca="1" si="29"/>
        <v/>
      </c>
      <c r="DO21" s="14" t="str">
        <f t="shared" ca="1" si="29"/>
        <v/>
      </c>
      <c r="DP21" s="14" t="str">
        <f t="shared" ca="1" si="29"/>
        <v/>
      </c>
      <c r="DQ21" s="14" t="str">
        <f t="shared" ca="1" si="29"/>
        <v/>
      </c>
      <c r="DR21" s="14" t="str">
        <f t="shared" ca="1" si="29"/>
        <v/>
      </c>
      <c r="DS21" s="15" t="str">
        <f t="shared" ca="1" si="31"/>
        <v/>
      </c>
      <c r="DT21" s="16" t="str">
        <f t="shared" ca="1" si="31"/>
        <v/>
      </c>
      <c r="DU21" s="13" t="str">
        <f t="shared" ca="1" si="30"/>
        <v/>
      </c>
      <c r="DV21" s="14" t="str">
        <f t="shared" ca="1" si="30"/>
        <v/>
      </c>
      <c r="DW21" s="14" t="str">
        <f t="shared" ca="1" si="30"/>
        <v/>
      </c>
      <c r="DX21" s="14" t="str">
        <f t="shared" ca="1" si="30"/>
        <v/>
      </c>
      <c r="DY21" s="14" t="str">
        <f t="shared" ca="1" si="30"/>
        <v/>
      </c>
      <c r="DZ21" s="15" t="str">
        <f t="shared" ca="1" si="30"/>
        <v/>
      </c>
      <c r="EA21" s="16" t="str">
        <f t="shared" ca="1" si="30"/>
        <v/>
      </c>
      <c r="EB21" s="13" t="str">
        <f t="shared" ca="1" si="30"/>
        <v/>
      </c>
      <c r="EC21" s="14" t="str">
        <f t="shared" ca="1" si="30"/>
        <v/>
      </c>
      <c r="ED21" s="14" t="str">
        <f t="shared" ca="1" si="30"/>
        <v/>
      </c>
      <c r="EE21" s="14" t="str">
        <f t="shared" ca="1" si="30"/>
        <v/>
      </c>
      <c r="EF21" s="14" t="str">
        <f t="shared" ca="1" si="30"/>
        <v/>
      </c>
      <c r="EG21" s="15" t="str">
        <f t="shared" ca="1" si="32"/>
        <v/>
      </c>
      <c r="EH21" s="16" t="str">
        <f t="shared" ca="1" si="32"/>
        <v/>
      </c>
    </row>
    <row r="22" spans="1:138" s="17" customFormat="1" ht="9.6" customHeight="1">
      <c r="A22" s="25" t="s">
        <v>51</v>
      </c>
      <c r="B22" s="24" t="s">
        <v>52</v>
      </c>
      <c r="C22" s="19">
        <f t="shared" ca="1" si="17"/>
        <v>63</v>
      </c>
      <c r="D22" s="19">
        <f ca="1">_xlfn.XLOOKUP(A25,'VTT actif'!F:F,'VTT actif'!AQ:AQ,"-",0)</f>
        <v>2</v>
      </c>
      <c r="E22" s="19">
        <f ca="1">C22-1+D22</f>
        <v>64</v>
      </c>
      <c r="F22" s="13" t="str">
        <f t="shared" ca="1" si="18"/>
        <v/>
      </c>
      <c r="G22" s="14" t="str">
        <f t="shared" ca="1" si="18"/>
        <v/>
      </c>
      <c r="H22" s="14" t="str">
        <f t="shared" ca="1" si="18"/>
        <v/>
      </c>
      <c r="I22" s="14" t="str">
        <f t="shared" ca="1" si="18"/>
        <v/>
      </c>
      <c r="J22" s="14" t="str">
        <f t="shared" ca="1" si="18"/>
        <v/>
      </c>
      <c r="K22" s="15" t="str">
        <f t="shared" ca="1" si="18"/>
        <v/>
      </c>
      <c r="L22" s="16" t="str">
        <f t="shared" ca="1" si="18"/>
        <v/>
      </c>
      <c r="M22" s="13" t="str">
        <f t="shared" ca="1" si="18"/>
        <v/>
      </c>
      <c r="N22" s="14" t="str">
        <f t="shared" ca="1" si="18"/>
        <v/>
      </c>
      <c r="O22" s="14" t="str">
        <f t="shared" ca="1" si="18"/>
        <v/>
      </c>
      <c r="P22" s="14" t="str">
        <f t="shared" ca="1" si="19"/>
        <v/>
      </c>
      <c r="Q22" s="14" t="str">
        <f t="shared" ca="1" si="19"/>
        <v/>
      </c>
      <c r="R22" s="15" t="str">
        <f t="shared" ca="1" si="19"/>
        <v/>
      </c>
      <c r="S22" s="16" t="str">
        <f t="shared" ca="1" si="19"/>
        <v/>
      </c>
      <c r="T22" s="13" t="str">
        <f t="shared" ca="1" si="19"/>
        <v/>
      </c>
      <c r="U22" s="14" t="str">
        <f t="shared" ca="1" si="19"/>
        <v/>
      </c>
      <c r="V22" s="14" t="str">
        <f t="shared" ca="1" si="19"/>
        <v/>
      </c>
      <c r="W22" s="14" t="str">
        <f t="shared" ca="1" si="19"/>
        <v/>
      </c>
      <c r="X22" s="14" t="str">
        <f t="shared" ca="1" si="19"/>
        <v/>
      </c>
      <c r="Y22" s="15" t="str">
        <f t="shared" ca="1" si="19"/>
        <v/>
      </c>
      <c r="Z22" s="16" t="str">
        <f t="shared" ca="1" si="20"/>
        <v/>
      </c>
      <c r="AA22" s="13" t="str">
        <f t="shared" ca="1" si="20"/>
        <v/>
      </c>
      <c r="AB22" s="14" t="str">
        <f t="shared" ca="1" si="20"/>
        <v/>
      </c>
      <c r="AC22" s="14" t="str">
        <f t="shared" ca="1" si="20"/>
        <v/>
      </c>
      <c r="AD22" s="14" t="str">
        <f t="shared" ca="1" si="20"/>
        <v/>
      </c>
      <c r="AE22" s="14" t="str">
        <f t="shared" ca="1" si="20"/>
        <v/>
      </c>
      <c r="AF22" s="15" t="str">
        <f t="shared" ca="1" si="20"/>
        <v/>
      </c>
      <c r="AG22" s="16" t="str">
        <f t="shared" ca="1" si="20"/>
        <v/>
      </c>
      <c r="AH22" s="13" t="str">
        <f t="shared" ca="1" si="20"/>
        <v/>
      </c>
      <c r="AI22" s="14" t="str">
        <f t="shared" ca="1" si="20"/>
        <v/>
      </c>
      <c r="AJ22" s="14" t="str">
        <f t="shared" ca="1" si="21"/>
        <v/>
      </c>
      <c r="AK22" s="14" t="str">
        <f t="shared" ca="1" si="21"/>
        <v/>
      </c>
      <c r="AL22" s="14" t="str">
        <f t="shared" ca="1" si="21"/>
        <v/>
      </c>
      <c r="AM22" s="15" t="str">
        <f t="shared" ca="1" si="21"/>
        <v/>
      </c>
      <c r="AN22" s="16" t="str">
        <f t="shared" ca="1" si="21"/>
        <v/>
      </c>
      <c r="AO22" s="13" t="str">
        <f t="shared" ca="1" si="21"/>
        <v/>
      </c>
      <c r="AP22" s="14" t="str">
        <f t="shared" ca="1" si="21"/>
        <v/>
      </c>
      <c r="AQ22" s="14" t="str">
        <f t="shared" ca="1" si="21"/>
        <v/>
      </c>
      <c r="AR22" s="14" t="str">
        <f t="shared" ca="1" si="21"/>
        <v/>
      </c>
      <c r="AS22" s="14" t="str">
        <f t="shared" ca="1" si="21"/>
        <v/>
      </c>
      <c r="AT22" s="15" t="str">
        <f t="shared" ca="1" si="22"/>
        <v/>
      </c>
      <c r="AU22" s="16" t="str">
        <f t="shared" ca="1" si="22"/>
        <v/>
      </c>
      <c r="AV22" s="13" t="str">
        <f t="shared" ca="1" si="22"/>
        <v/>
      </c>
      <c r="AW22" s="14" t="str">
        <f t="shared" ca="1" si="22"/>
        <v/>
      </c>
      <c r="AX22" s="14" t="str">
        <f t="shared" ca="1" si="22"/>
        <v/>
      </c>
      <c r="AY22" s="14" t="str">
        <f t="shared" ca="1" si="22"/>
        <v/>
      </c>
      <c r="AZ22" s="14" t="str">
        <f t="shared" ca="1" si="22"/>
        <v/>
      </c>
      <c r="BA22" s="15" t="str">
        <f t="shared" ca="1" si="22"/>
        <v/>
      </c>
      <c r="BB22" s="16" t="str">
        <f t="shared" ca="1" si="22"/>
        <v/>
      </c>
      <c r="BC22" s="13" t="str">
        <f t="shared" ca="1" si="22"/>
        <v/>
      </c>
      <c r="BD22" s="14" t="str">
        <f t="shared" ca="1" si="23"/>
        <v/>
      </c>
      <c r="BE22" s="14" t="str">
        <f t="shared" ca="1" si="23"/>
        <v/>
      </c>
      <c r="BF22" s="14" t="str">
        <f t="shared" ca="1" si="23"/>
        <v/>
      </c>
      <c r="BG22" s="14" t="str">
        <f t="shared" ca="1" si="23"/>
        <v/>
      </c>
      <c r="BH22" s="15" t="str">
        <f t="shared" ca="1" si="23"/>
        <v/>
      </c>
      <c r="BI22" s="16" t="str">
        <f t="shared" ca="1" si="23"/>
        <v/>
      </c>
      <c r="BJ22" s="13" t="str">
        <f t="shared" ca="1" si="23"/>
        <v/>
      </c>
      <c r="BK22" s="14" t="str">
        <f t="shared" ca="1" si="23"/>
        <v/>
      </c>
      <c r="BL22" s="14" t="str">
        <f t="shared" ca="1" si="23"/>
        <v/>
      </c>
      <c r="BM22" s="14" t="str">
        <f t="shared" ca="1" si="23"/>
        <v/>
      </c>
      <c r="BN22" s="14" t="str">
        <f t="shared" ca="1" si="24"/>
        <v/>
      </c>
      <c r="BO22" s="15" t="str">
        <f t="shared" ca="1" si="24"/>
        <v/>
      </c>
      <c r="BP22" s="16">
        <f t="shared" ca="1" si="24"/>
        <v>1</v>
      </c>
      <c r="BQ22" s="13">
        <f t="shared" ca="1" si="24"/>
        <v>1</v>
      </c>
      <c r="BR22" s="14" t="str">
        <f t="shared" ca="1" si="24"/>
        <v/>
      </c>
      <c r="BS22" s="14" t="str">
        <f t="shared" ca="1" si="24"/>
        <v/>
      </c>
      <c r="BT22" s="14" t="str">
        <f t="shared" ca="1" si="24"/>
        <v/>
      </c>
      <c r="BU22" s="14" t="str">
        <f t="shared" ca="1" si="24"/>
        <v/>
      </c>
      <c r="BV22" s="15" t="str">
        <f t="shared" ca="1" si="24"/>
        <v/>
      </c>
      <c r="BW22" s="16" t="str">
        <f t="shared" ca="1" si="24"/>
        <v/>
      </c>
      <c r="BX22" s="13" t="str">
        <f t="shared" ca="1" si="25"/>
        <v/>
      </c>
      <c r="BY22" s="14" t="str">
        <f t="shared" ca="1" si="25"/>
        <v/>
      </c>
      <c r="BZ22" s="14" t="str">
        <f t="shared" ca="1" si="25"/>
        <v/>
      </c>
      <c r="CA22" s="14" t="str">
        <f t="shared" ca="1" si="25"/>
        <v/>
      </c>
      <c r="CB22" s="14" t="str">
        <f t="shared" ca="1" si="25"/>
        <v/>
      </c>
      <c r="CC22" s="15" t="str">
        <f t="shared" ca="1" si="25"/>
        <v/>
      </c>
      <c r="CD22" s="16" t="str">
        <f t="shared" ca="1" si="25"/>
        <v/>
      </c>
      <c r="CE22" s="13" t="str">
        <f t="shared" ca="1" si="25"/>
        <v/>
      </c>
      <c r="CF22" s="14" t="str">
        <f t="shared" ca="1" si="25"/>
        <v/>
      </c>
      <c r="CG22" s="14" t="str">
        <f t="shared" ca="1" si="25"/>
        <v/>
      </c>
      <c r="CH22" s="14" t="str">
        <f t="shared" ca="1" si="26"/>
        <v/>
      </c>
      <c r="CI22" s="14" t="str">
        <f t="shared" ca="1" si="26"/>
        <v/>
      </c>
      <c r="CJ22" s="15" t="str">
        <f t="shared" ca="1" si="26"/>
        <v/>
      </c>
      <c r="CK22" s="16" t="str">
        <f t="shared" ca="1" si="26"/>
        <v/>
      </c>
      <c r="CL22" s="13" t="str">
        <f t="shared" ca="1" si="26"/>
        <v/>
      </c>
      <c r="CM22" s="14" t="str">
        <f t="shared" ca="1" si="26"/>
        <v/>
      </c>
      <c r="CN22" s="14" t="str">
        <f t="shared" ca="1" si="26"/>
        <v/>
      </c>
      <c r="CO22" s="14" t="str">
        <f t="shared" ca="1" si="26"/>
        <v/>
      </c>
      <c r="CP22" s="14" t="str">
        <f t="shared" ca="1" si="26"/>
        <v/>
      </c>
      <c r="CQ22" s="15" t="str">
        <f t="shared" ca="1" si="26"/>
        <v/>
      </c>
      <c r="CR22" s="16" t="str">
        <f t="shared" ca="1" si="27"/>
        <v/>
      </c>
      <c r="CS22" s="13" t="str">
        <f t="shared" ca="1" si="27"/>
        <v/>
      </c>
      <c r="CT22" s="14" t="str">
        <f t="shared" ca="1" si="27"/>
        <v/>
      </c>
      <c r="CU22" s="14" t="str">
        <f t="shared" ca="1" si="27"/>
        <v/>
      </c>
      <c r="CV22" s="14" t="str">
        <f t="shared" ca="1" si="27"/>
        <v/>
      </c>
      <c r="CW22" s="14" t="str">
        <f t="shared" ca="1" si="27"/>
        <v/>
      </c>
      <c r="CX22" s="15" t="str">
        <f t="shared" ca="1" si="27"/>
        <v/>
      </c>
      <c r="CY22" s="16" t="str">
        <f t="shared" ca="1" si="27"/>
        <v/>
      </c>
      <c r="CZ22" s="13" t="str">
        <f t="shared" ca="1" si="27"/>
        <v/>
      </c>
      <c r="DA22" s="14" t="str">
        <f t="shared" ca="1" si="27"/>
        <v/>
      </c>
      <c r="DB22" s="14" t="str">
        <f t="shared" ca="1" si="28"/>
        <v/>
      </c>
      <c r="DC22" s="14" t="str">
        <f t="shared" ca="1" si="28"/>
        <v/>
      </c>
      <c r="DD22" s="14" t="str">
        <f t="shared" ca="1" si="28"/>
        <v/>
      </c>
      <c r="DE22" s="15" t="str">
        <f t="shared" ca="1" si="28"/>
        <v/>
      </c>
      <c r="DF22" s="16" t="str">
        <f t="shared" ca="1" si="28"/>
        <v/>
      </c>
      <c r="DG22" s="13" t="str">
        <f t="shared" ca="1" si="28"/>
        <v/>
      </c>
      <c r="DH22" s="14" t="str">
        <f t="shared" ca="1" si="28"/>
        <v/>
      </c>
      <c r="DI22" s="14" t="str">
        <f t="shared" ca="1" si="28"/>
        <v/>
      </c>
      <c r="DJ22" s="14" t="str">
        <f t="shared" ca="1" si="28"/>
        <v/>
      </c>
      <c r="DK22" s="14" t="str">
        <f t="shared" ca="1" si="28"/>
        <v/>
      </c>
      <c r="DL22" s="15" t="str">
        <f t="shared" ca="1" si="29"/>
        <v/>
      </c>
      <c r="DM22" s="16" t="str">
        <f t="shared" ca="1" si="29"/>
        <v/>
      </c>
      <c r="DN22" s="13" t="str">
        <f t="shared" ca="1" si="29"/>
        <v/>
      </c>
      <c r="DO22" s="14" t="str">
        <f t="shared" ca="1" si="29"/>
        <v/>
      </c>
      <c r="DP22" s="14" t="str">
        <f t="shared" ca="1" si="29"/>
        <v/>
      </c>
      <c r="DQ22" s="14" t="str">
        <f t="shared" ca="1" si="29"/>
        <v/>
      </c>
      <c r="DR22" s="14" t="str">
        <f t="shared" ca="1" si="29"/>
        <v/>
      </c>
      <c r="DS22" s="15" t="str">
        <f t="shared" ca="1" si="31"/>
        <v/>
      </c>
      <c r="DT22" s="16" t="str">
        <f t="shared" ca="1" si="31"/>
        <v/>
      </c>
      <c r="DU22" s="13" t="str">
        <f t="shared" ca="1" si="30"/>
        <v/>
      </c>
      <c r="DV22" s="14" t="str">
        <f t="shared" ca="1" si="30"/>
        <v/>
      </c>
      <c r="DW22" s="14" t="str">
        <f t="shared" ca="1" si="30"/>
        <v/>
      </c>
      <c r="DX22" s="14" t="str">
        <f t="shared" ca="1" si="30"/>
        <v/>
      </c>
      <c r="DY22" s="14" t="str">
        <f t="shared" ca="1" si="30"/>
        <v/>
      </c>
      <c r="DZ22" s="15" t="str">
        <f t="shared" ca="1" si="30"/>
        <v/>
      </c>
      <c r="EA22" s="16" t="str">
        <f t="shared" ca="1" si="30"/>
        <v/>
      </c>
      <c r="EB22" s="13" t="str">
        <f t="shared" ca="1" si="30"/>
        <v/>
      </c>
      <c r="EC22" s="14" t="str">
        <f t="shared" ca="1" si="30"/>
        <v/>
      </c>
      <c r="ED22" s="14" t="str">
        <f t="shared" ca="1" si="30"/>
        <v/>
      </c>
      <c r="EE22" s="14" t="str">
        <f t="shared" ca="1" si="30"/>
        <v/>
      </c>
      <c r="EF22" s="14" t="str">
        <f t="shared" ca="1" si="30"/>
        <v/>
      </c>
      <c r="EG22" s="15" t="str">
        <f t="shared" ca="1" si="32"/>
        <v/>
      </c>
      <c r="EH22" s="16" t="str">
        <f t="shared" ca="1" si="32"/>
        <v/>
      </c>
    </row>
    <row r="23" spans="1:138" s="17" customFormat="1" ht="9.6" customHeight="1">
      <c r="A23" s="27">
        <f ca="1">IFERROR(VLOOKUP(_xlfn.CONCAT(B7,"-","Actif"),'DATA BTO'!A:D,3,FALSE),VLOOKUP(_xlfn.CONCAT(B7,"-","Inactif"),'DATA BTO'!A:D,3,FALSE))</f>
        <v>45778</v>
      </c>
      <c r="B23" s="26" t="s">
        <v>53</v>
      </c>
      <c r="C23" s="19">
        <f t="shared" ca="1" si="17"/>
        <v>65</v>
      </c>
      <c r="D23" s="19">
        <f ca="1">_xlfn.XLOOKUP(A25,'VTT actif'!F:F,'VTT actif'!AR:AR,"-",0)</f>
        <v>6</v>
      </c>
      <c r="E23" s="19">
        <f ca="1">C23+D23-1</f>
        <v>70</v>
      </c>
      <c r="F23" s="13" t="str">
        <f t="shared" ca="1" si="18"/>
        <v/>
      </c>
      <c r="G23" s="14" t="str">
        <f t="shared" ca="1" si="18"/>
        <v/>
      </c>
      <c r="H23" s="14" t="str">
        <f t="shared" ca="1" si="18"/>
        <v/>
      </c>
      <c r="I23" s="14" t="str">
        <f t="shared" ca="1" si="18"/>
        <v/>
      </c>
      <c r="J23" s="14" t="str">
        <f t="shared" ca="1" si="18"/>
        <v/>
      </c>
      <c r="K23" s="15" t="str">
        <f t="shared" ca="1" si="18"/>
        <v/>
      </c>
      <c r="L23" s="16" t="str">
        <f t="shared" ca="1" si="18"/>
        <v/>
      </c>
      <c r="M23" s="13" t="str">
        <f t="shared" ca="1" si="18"/>
        <v/>
      </c>
      <c r="N23" s="14" t="str">
        <f t="shared" ca="1" si="18"/>
        <v/>
      </c>
      <c r="O23" s="14" t="str">
        <f t="shared" ca="1" si="18"/>
        <v/>
      </c>
      <c r="P23" s="14" t="str">
        <f t="shared" ca="1" si="19"/>
        <v/>
      </c>
      <c r="Q23" s="14" t="str">
        <f t="shared" ca="1" si="19"/>
        <v/>
      </c>
      <c r="R23" s="15" t="str">
        <f t="shared" ca="1" si="19"/>
        <v/>
      </c>
      <c r="S23" s="16" t="str">
        <f t="shared" ca="1" si="19"/>
        <v/>
      </c>
      <c r="T23" s="13" t="str">
        <f t="shared" ca="1" si="19"/>
        <v/>
      </c>
      <c r="U23" s="14" t="str">
        <f t="shared" ca="1" si="19"/>
        <v/>
      </c>
      <c r="V23" s="14" t="str">
        <f t="shared" ca="1" si="19"/>
        <v/>
      </c>
      <c r="W23" s="14" t="str">
        <f t="shared" ca="1" si="19"/>
        <v/>
      </c>
      <c r="X23" s="14" t="str">
        <f t="shared" ca="1" si="19"/>
        <v/>
      </c>
      <c r="Y23" s="15" t="str">
        <f t="shared" ca="1" si="19"/>
        <v/>
      </c>
      <c r="Z23" s="16" t="str">
        <f t="shared" ca="1" si="20"/>
        <v/>
      </c>
      <c r="AA23" s="13" t="str">
        <f t="shared" ca="1" si="20"/>
        <v/>
      </c>
      <c r="AB23" s="14" t="str">
        <f t="shared" ca="1" si="20"/>
        <v/>
      </c>
      <c r="AC23" s="14" t="str">
        <f t="shared" ca="1" si="20"/>
        <v/>
      </c>
      <c r="AD23" s="14" t="str">
        <f t="shared" ca="1" si="20"/>
        <v/>
      </c>
      <c r="AE23" s="14" t="str">
        <f t="shared" ca="1" si="20"/>
        <v/>
      </c>
      <c r="AF23" s="15" t="str">
        <f t="shared" ca="1" si="20"/>
        <v/>
      </c>
      <c r="AG23" s="16" t="str">
        <f t="shared" ca="1" si="20"/>
        <v/>
      </c>
      <c r="AH23" s="13" t="str">
        <f t="shared" ca="1" si="20"/>
        <v/>
      </c>
      <c r="AI23" s="14" t="str">
        <f t="shared" ca="1" si="20"/>
        <v/>
      </c>
      <c r="AJ23" s="14" t="str">
        <f t="shared" ca="1" si="21"/>
        <v/>
      </c>
      <c r="AK23" s="14" t="str">
        <f t="shared" ca="1" si="21"/>
        <v/>
      </c>
      <c r="AL23" s="14" t="str">
        <f t="shared" ca="1" si="21"/>
        <v/>
      </c>
      <c r="AM23" s="15" t="str">
        <f t="shared" ca="1" si="21"/>
        <v/>
      </c>
      <c r="AN23" s="16" t="str">
        <f t="shared" ca="1" si="21"/>
        <v/>
      </c>
      <c r="AO23" s="13" t="str">
        <f t="shared" ca="1" si="21"/>
        <v/>
      </c>
      <c r="AP23" s="14" t="str">
        <f t="shared" ca="1" si="21"/>
        <v/>
      </c>
      <c r="AQ23" s="14" t="str">
        <f t="shared" ca="1" si="21"/>
        <v/>
      </c>
      <c r="AR23" s="14" t="str">
        <f t="shared" ca="1" si="21"/>
        <v/>
      </c>
      <c r="AS23" s="14" t="str">
        <f t="shared" ca="1" si="21"/>
        <v/>
      </c>
      <c r="AT23" s="15" t="str">
        <f t="shared" ca="1" si="22"/>
        <v/>
      </c>
      <c r="AU23" s="16" t="str">
        <f t="shared" ca="1" si="22"/>
        <v/>
      </c>
      <c r="AV23" s="13" t="str">
        <f t="shared" ca="1" si="22"/>
        <v/>
      </c>
      <c r="AW23" s="14" t="str">
        <f t="shared" ca="1" si="22"/>
        <v/>
      </c>
      <c r="AX23" s="14" t="str">
        <f t="shared" ca="1" si="22"/>
        <v/>
      </c>
      <c r="AY23" s="14" t="str">
        <f t="shared" ca="1" si="22"/>
        <v/>
      </c>
      <c r="AZ23" s="14" t="str">
        <f t="shared" ca="1" si="22"/>
        <v/>
      </c>
      <c r="BA23" s="15" t="str">
        <f t="shared" ca="1" si="22"/>
        <v/>
      </c>
      <c r="BB23" s="16" t="str">
        <f t="shared" ca="1" si="22"/>
        <v/>
      </c>
      <c r="BC23" s="13" t="str">
        <f t="shared" ca="1" si="22"/>
        <v/>
      </c>
      <c r="BD23" s="14" t="str">
        <f t="shared" ca="1" si="23"/>
        <v/>
      </c>
      <c r="BE23" s="14" t="str">
        <f t="shared" ca="1" si="23"/>
        <v/>
      </c>
      <c r="BF23" s="14" t="str">
        <f t="shared" ca="1" si="23"/>
        <v/>
      </c>
      <c r="BG23" s="14" t="str">
        <f t="shared" ca="1" si="23"/>
        <v/>
      </c>
      <c r="BH23" s="15" t="str">
        <f t="shared" ca="1" si="23"/>
        <v/>
      </c>
      <c r="BI23" s="16" t="str">
        <f t="shared" ca="1" si="23"/>
        <v/>
      </c>
      <c r="BJ23" s="13" t="str">
        <f t="shared" ca="1" si="23"/>
        <v/>
      </c>
      <c r="BK23" s="14" t="str">
        <f t="shared" ca="1" si="23"/>
        <v/>
      </c>
      <c r="BL23" s="14" t="str">
        <f t="shared" ca="1" si="23"/>
        <v/>
      </c>
      <c r="BM23" s="14" t="str">
        <f t="shared" ca="1" si="23"/>
        <v/>
      </c>
      <c r="BN23" s="14" t="str">
        <f t="shared" ca="1" si="24"/>
        <v/>
      </c>
      <c r="BO23" s="15" t="str">
        <f t="shared" ca="1" si="24"/>
        <v/>
      </c>
      <c r="BP23" s="16" t="str">
        <f t="shared" ca="1" si="24"/>
        <v/>
      </c>
      <c r="BQ23" s="13" t="str">
        <f t="shared" ca="1" si="24"/>
        <v/>
      </c>
      <c r="BR23" s="14">
        <f t="shared" ca="1" si="24"/>
        <v>1</v>
      </c>
      <c r="BS23" s="14">
        <f t="shared" ca="1" si="24"/>
        <v>1</v>
      </c>
      <c r="BT23" s="14">
        <f t="shared" ca="1" si="24"/>
        <v>1</v>
      </c>
      <c r="BU23" s="14">
        <f t="shared" ca="1" si="24"/>
        <v>1</v>
      </c>
      <c r="BV23" s="15">
        <f t="shared" ca="1" si="24"/>
        <v>1</v>
      </c>
      <c r="BW23" s="16">
        <f t="shared" ca="1" si="24"/>
        <v>1</v>
      </c>
      <c r="BX23" s="13" t="str">
        <f t="shared" ca="1" si="25"/>
        <v/>
      </c>
      <c r="BY23" s="14" t="str">
        <f t="shared" ca="1" si="25"/>
        <v/>
      </c>
      <c r="BZ23" s="14" t="str">
        <f t="shared" ca="1" si="25"/>
        <v/>
      </c>
      <c r="CA23" s="14" t="str">
        <f t="shared" ca="1" si="25"/>
        <v/>
      </c>
      <c r="CB23" s="14" t="str">
        <f t="shared" ca="1" si="25"/>
        <v/>
      </c>
      <c r="CC23" s="15" t="str">
        <f t="shared" ca="1" si="25"/>
        <v/>
      </c>
      <c r="CD23" s="16" t="str">
        <f t="shared" ca="1" si="25"/>
        <v/>
      </c>
      <c r="CE23" s="13" t="str">
        <f t="shared" ca="1" si="25"/>
        <v/>
      </c>
      <c r="CF23" s="14" t="str">
        <f t="shared" ca="1" si="25"/>
        <v/>
      </c>
      <c r="CG23" s="14" t="str">
        <f t="shared" ca="1" si="25"/>
        <v/>
      </c>
      <c r="CH23" s="14" t="str">
        <f t="shared" ca="1" si="26"/>
        <v/>
      </c>
      <c r="CI23" s="14" t="str">
        <f t="shared" ca="1" si="26"/>
        <v/>
      </c>
      <c r="CJ23" s="15" t="str">
        <f t="shared" ca="1" si="26"/>
        <v/>
      </c>
      <c r="CK23" s="16" t="str">
        <f t="shared" ca="1" si="26"/>
        <v/>
      </c>
      <c r="CL23" s="13" t="str">
        <f t="shared" ca="1" si="26"/>
        <v/>
      </c>
      <c r="CM23" s="14" t="str">
        <f t="shared" ca="1" si="26"/>
        <v/>
      </c>
      <c r="CN23" s="14" t="str">
        <f t="shared" ca="1" si="26"/>
        <v/>
      </c>
      <c r="CO23" s="14" t="str">
        <f t="shared" ca="1" si="26"/>
        <v/>
      </c>
      <c r="CP23" s="14" t="str">
        <f t="shared" ca="1" si="26"/>
        <v/>
      </c>
      <c r="CQ23" s="15" t="str">
        <f t="shared" ca="1" si="26"/>
        <v/>
      </c>
      <c r="CR23" s="16" t="str">
        <f t="shared" ca="1" si="27"/>
        <v/>
      </c>
      <c r="CS23" s="13" t="str">
        <f t="shared" ca="1" si="27"/>
        <v/>
      </c>
      <c r="CT23" s="14" t="str">
        <f t="shared" ca="1" si="27"/>
        <v/>
      </c>
      <c r="CU23" s="14" t="str">
        <f t="shared" ca="1" si="27"/>
        <v/>
      </c>
      <c r="CV23" s="14" t="str">
        <f t="shared" ca="1" si="27"/>
        <v/>
      </c>
      <c r="CW23" s="14" t="str">
        <f t="shared" ca="1" si="27"/>
        <v/>
      </c>
      <c r="CX23" s="15" t="str">
        <f t="shared" ca="1" si="27"/>
        <v/>
      </c>
      <c r="CY23" s="16" t="str">
        <f t="shared" ca="1" si="27"/>
        <v/>
      </c>
      <c r="CZ23" s="13" t="str">
        <f t="shared" ca="1" si="27"/>
        <v/>
      </c>
      <c r="DA23" s="14" t="str">
        <f t="shared" ca="1" si="27"/>
        <v/>
      </c>
      <c r="DB23" s="14" t="str">
        <f t="shared" ca="1" si="28"/>
        <v/>
      </c>
      <c r="DC23" s="14" t="str">
        <f t="shared" ca="1" si="28"/>
        <v/>
      </c>
      <c r="DD23" s="14" t="str">
        <f t="shared" ca="1" si="28"/>
        <v/>
      </c>
      <c r="DE23" s="15" t="str">
        <f t="shared" ca="1" si="28"/>
        <v/>
      </c>
      <c r="DF23" s="16" t="str">
        <f t="shared" ca="1" si="28"/>
        <v/>
      </c>
      <c r="DG23" s="13" t="str">
        <f t="shared" ca="1" si="28"/>
        <v/>
      </c>
      <c r="DH23" s="14" t="str">
        <f t="shared" ca="1" si="28"/>
        <v/>
      </c>
      <c r="DI23" s="14" t="str">
        <f t="shared" ca="1" si="28"/>
        <v/>
      </c>
      <c r="DJ23" s="14" t="str">
        <f t="shared" ca="1" si="28"/>
        <v/>
      </c>
      <c r="DK23" s="14" t="str">
        <f t="shared" ca="1" si="28"/>
        <v/>
      </c>
      <c r="DL23" s="15" t="str">
        <f t="shared" ca="1" si="29"/>
        <v/>
      </c>
      <c r="DM23" s="16" t="str">
        <f t="shared" ca="1" si="29"/>
        <v/>
      </c>
      <c r="DN23" s="13" t="str">
        <f t="shared" ca="1" si="29"/>
        <v/>
      </c>
      <c r="DO23" s="14" t="str">
        <f t="shared" ca="1" si="29"/>
        <v/>
      </c>
      <c r="DP23" s="14" t="str">
        <f t="shared" ca="1" si="29"/>
        <v/>
      </c>
      <c r="DQ23" s="14" t="str">
        <f t="shared" ca="1" si="29"/>
        <v/>
      </c>
      <c r="DR23" s="14" t="str">
        <f t="shared" ca="1" si="29"/>
        <v/>
      </c>
      <c r="DS23" s="15" t="str">
        <f t="shared" ca="1" si="31"/>
        <v/>
      </c>
      <c r="DT23" s="16" t="str">
        <f t="shared" ca="1" si="31"/>
        <v/>
      </c>
      <c r="DU23" s="13" t="str">
        <f t="shared" ca="1" si="30"/>
        <v/>
      </c>
      <c r="DV23" s="14" t="str">
        <f t="shared" ca="1" si="30"/>
        <v/>
      </c>
      <c r="DW23" s="14" t="str">
        <f t="shared" ca="1" si="30"/>
        <v/>
      </c>
      <c r="DX23" s="14" t="str">
        <f t="shared" ca="1" si="30"/>
        <v/>
      </c>
      <c r="DY23" s="14" t="str">
        <f t="shared" ca="1" si="30"/>
        <v/>
      </c>
      <c r="DZ23" s="15" t="str">
        <f t="shared" ca="1" si="30"/>
        <v/>
      </c>
      <c r="EA23" s="16" t="str">
        <f t="shared" ca="1" si="30"/>
        <v/>
      </c>
      <c r="EB23" s="13" t="str">
        <f t="shared" ca="1" si="30"/>
        <v/>
      </c>
      <c r="EC23" s="14" t="str">
        <f t="shared" ca="1" si="30"/>
        <v/>
      </c>
      <c r="ED23" s="14" t="str">
        <f t="shared" ca="1" si="30"/>
        <v/>
      </c>
      <c r="EE23" s="14" t="str">
        <f t="shared" ca="1" si="30"/>
        <v/>
      </c>
      <c r="EF23" s="14" t="str">
        <f t="shared" ca="1" si="30"/>
        <v/>
      </c>
      <c r="EG23" s="15" t="str">
        <f t="shared" ca="1" si="32"/>
        <v/>
      </c>
      <c r="EH23" s="16" t="str">
        <f t="shared" ca="1" si="32"/>
        <v/>
      </c>
    </row>
    <row r="24" spans="1:138" s="17" customFormat="1" ht="9.6" customHeight="1">
      <c r="A24" s="27">
        <f ca="1">IFERROR(VLOOKUP(_xlfn.CONCAT(B7,"-","Actif"),'DATA BTO'!A:D,4,FALSE),VLOOKUP(_xlfn.CONCAT(B7,"-","Inactif"),'DATA BTO'!A:D,4,FALSE))</f>
        <v>46142</v>
      </c>
      <c r="B24" s="28" t="s">
        <v>54</v>
      </c>
      <c r="C24" s="19">
        <f t="shared" ca="1" si="17"/>
        <v>71</v>
      </c>
      <c r="D24" s="20">
        <v>7</v>
      </c>
      <c r="E24" s="19">
        <f ca="1">(C24+D24)-1</f>
        <v>77</v>
      </c>
      <c r="F24" s="13" t="str">
        <f t="shared" ca="1" si="18"/>
        <v/>
      </c>
      <c r="G24" s="14" t="str">
        <f t="shared" ca="1" si="18"/>
        <v/>
      </c>
      <c r="H24" s="14" t="str">
        <f t="shared" ca="1" si="18"/>
        <v/>
      </c>
      <c r="I24" s="14" t="str">
        <f t="shared" ca="1" si="18"/>
        <v/>
      </c>
      <c r="J24" s="14" t="str">
        <f t="shared" ca="1" si="18"/>
        <v/>
      </c>
      <c r="K24" s="15" t="str">
        <f t="shared" ca="1" si="18"/>
        <v/>
      </c>
      <c r="L24" s="16" t="str">
        <f t="shared" ca="1" si="18"/>
        <v/>
      </c>
      <c r="M24" s="13" t="str">
        <f t="shared" ca="1" si="18"/>
        <v/>
      </c>
      <c r="N24" s="14" t="str">
        <f t="shared" ca="1" si="18"/>
        <v/>
      </c>
      <c r="O24" s="14" t="str">
        <f t="shared" ca="1" si="18"/>
        <v/>
      </c>
      <c r="P24" s="14" t="str">
        <f t="shared" ca="1" si="19"/>
        <v/>
      </c>
      <c r="Q24" s="14" t="str">
        <f t="shared" ca="1" si="19"/>
        <v/>
      </c>
      <c r="R24" s="15" t="str">
        <f t="shared" ca="1" si="19"/>
        <v/>
      </c>
      <c r="S24" s="16" t="str">
        <f t="shared" ca="1" si="19"/>
        <v/>
      </c>
      <c r="T24" s="13" t="str">
        <f t="shared" ca="1" si="19"/>
        <v/>
      </c>
      <c r="U24" s="14" t="str">
        <f t="shared" ca="1" si="19"/>
        <v/>
      </c>
      <c r="V24" s="14" t="str">
        <f t="shared" ca="1" si="19"/>
        <v/>
      </c>
      <c r="W24" s="14" t="str">
        <f t="shared" ca="1" si="19"/>
        <v/>
      </c>
      <c r="X24" s="14" t="str">
        <f t="shared" ca="1" si="19"/>
        <v/>
      </c>
      <c r="Y24" s="15" t="str">
        <f t="shared" ca="1" si="19"/>
        <v/>
      </c>
      <c r="Z24" s="16" t="str">
        <f t="shared" ca="1" si="20"/>
        <v/>
      </c>
      <c r="AA24" s="13" t="str">
        <f t="shared" ca="1" si="20"/>
        <v/>
      </c>
      <c r="AB24" s="14" t="str">
        <f t="shared" ca="1" si="20"/>
        <v/>
      </c>
      <c r="AC24" s="14" t="str">
        <f t="shared" ca="1" si="20"/>
        <v/>
      </c>
      <c r="AD24" s="14" t="str">
        <f t="shared" ca="1" si="20"/>
        <v/>
      </c>
      <c r="AE24" s="14" t="str">
        <f t="shared" ca="1" si="20"/>
        <v/>
      </c>
      <c r="AF24" s="15" t="str">
        <f t="shared" ca="1" si="20"/>
        <v/>
      </c>
      <c r="AG24" s="16" t="str">
        <f t="shared" ca="1" si="20"/>
        <v/>
      </c>
      <c r="AH24" s="13" t="str">
        <f t="shared" ca="1" si="20"/>
        <v/>
      </c>
      <c r="AI24" s="14" t="str">
        <f t="shared" ca="1" si="20"/>
        <v/>
      </c>
      <c r="AJ24" s="14" t="str">
        <f t="shared" ca="1" si="21"/>
        <v/>
      </c>
      <c r="AK24" s="14" t="str">
        <f t="shared" ca="1" si="21"/>
        <v/>
      </c>
      <c r="AL24" s="14" t="str">
        <f t="shared" ca="1" si="21"/>
        <v/>
      </c>
      <c r="AM24" s="15" t="str">
        <f t="shared" ca="1" si="21"/>
        <v/>
      </c>
      <c r="AN24" s="16" t="str">
        <f t="shared" ca="1" si="21"/>
        <v/>
      </c>
      <c r="AO24" s="13" t="str">
        <f t="shared" ca="1" si="21"/>
        <v/>
      </c>
      <c r="AP24" s="14" t="str">
        <f t="shared" ca="1" si="21"/>
        <v/>
      </c>
      <c r="AQ24" s="14" t="str">
        <f t="shared" ca="1" si="21"/>
        <v/>
      </c>
      <c r="AR24" s="14" t="str">
        <f t="shared" ca="1" si="21"/>
        <v/>
      </c>
      <c r="AS24" s="14" t="str">
        <f t="shared" ca="1" si="21"/>
        <v/>
      </c>
      <c r="AT24" s="15" t="str">
        <f t="shared" ca="1" si="22"/>
        <v/>
      </c>
      <c r="AU24" s="16" t="str">
        <f t="shared" ca="1" si="22"/>
        <v/>
      </c>
      <c r="AV24" s="13" t="str">
        <f t="shared" ca="1" si="22"/>
        <v/>
      </c>
      <c r="AW24" s="14" t="str">
        <f t="shared" ca="1" si="22"/>
        <v/>
      </c>
      <c r="AX24" s="14" t="str">
        <f t="shared" ca="1" si="22"/>
        <v/>
      </c>
      <c r="AY24" s="14" t="str">
        <f t="shared" ca="1" si="22"/>
        <v/>
      </c>
      <c r="AZ24" s="14" t="str">
        <f t="shared" ca="1" si="22"/>
        <v/>
      </c>
      <c r="BA24" s="15" t="str">
        <f t="shared" ca="1" si="22"/>
        <v/>
      </c>
      <c r="BB24" s="16" t="str">
        <f t="shared" ca="1" si="22"/>
        <v/>
      </c>
      <c r="BC24" s="13" t="str">
        <f t="shared" ca="1" si="22"/>
        <v/>
      </c>
      <c r="BD24" s="14" t="str">
        <f t="shared" ca="1" si="23"/>
        <v/>
      </c>
      <c r="BE24" s="14" t="str">
        <f t="shared" ca="1" si="23"/>
        <v/>
      </c>
      <c r="BF24" s="14" t="str">
        <f t="shared" ca="1" si="23"/>
        <v/>
      </c>
      <c r="BG24" s="14" t="str">
        <f t="shared" ca="1" si="23"/>
        <v/>
      </c>
      <c r="BH24" s="15" t="str">
        <f t="shared" ca="1" si="23"/>
        <v/>
      </c>
      <c r="BI24" s="16" t="str">
        <f t="shared" ca="1" si="23"/>
        <v/>
      </c>
      <c r="BJ24" s="13" t="str">
        <f t="shared" ca="1" si="23"/>
        <v/>
      </c>
      <c r="BK24" s="14" t="str">
        <f t="shared" ca="1" si="23"/>
        <v/>
      </c>
      <c r="BL24" s="14" t="str">
        <f t="shared" ca="1" si="23"/>
        <v/>
      </c>
      <c r="BM24" s="14" t="str">
        <f t="shared" ca="1" si="23"/>
        <v/>
      </c>
      <c r="BN24" s="14" t="str">
        <f t="shared" ca="1" si="24"/>
        <v/>
      </c>
      <c r="BO24" s="15" t="str">
        <f t="shared" ca="1" si="24"/>
        <v/>
      </c>
      <c r="BP24" s="16" t="str">
        <f t="shared" ca="1" si="24"/>
        <v/>
      </c>
      <c r="BQ24" s="13" t="str">
        <f t="shared" ca="1" si="24"/>
        <v/>
      </c>
      <c r="BR24" s="14" t="str">
        <f t="shared" ca="1" si="24"/>
        <v/>
      </c>
      <c r="BS24" s="14" t="str">
        <f t="shared" ca="1" si="24"/>
        <v/>
      </c>
      <c r="BT24" s="14" t="str">
        <f t="shared" ca="1" si="24"/>
        <v/>
      </c>
      <c r="BU24" s="14" t="str">
        <f t="shared" ca="1" si="24"/>
        <v/>
      </c>
      <c r="BV24" s="15" t="str">
        <f t="shared" ca="1" si="24"/>
        <v/>
      </c>
      <c r="BW24" s="16" t="str">
        <f t="shared" ca="1" si="24"/>
        <v/>
      </c>
      <c r="BX24" s="13">
        <f t="shared" ca="1" si="25"/>
        <v>1</v>
      </c>
      <c r="BY24" s="14">
        <f t="shared" ca="1" si="25"/>
        <v>1</v>
      </c>
      <c r="BZ24" s="14">
        <f t="shared" ca="1" si="25"/>
        <v>1</v>
      </c>
      <c r="CA24" s="14">
        <f t="shared" ca="1" si="25"/>
        <v>1</v>
      </c>
      <c r="CB24" s="14">
        <f t="shared" ca="1" si="25"/>
        <v>1</v>
      </c>
      <c r="CC24" s="15">
        <f t="shared" ca="1" si="25"/>
        <v>1</v>
      </c>
      <c r="CD24" s="16">
        <f t="shared" ca="1" si="25"/>
        <v>1</v>
      </c>
      <c r="CE24" s="13" t="str">
        <f t="shared" ca="1" si="25"/>
        <v/>
      </c>
      <c r="CF24" s="14" t="str">
        <f t="shared" ca="1" si="25"/>
        <v/>
      </c>
      <c r="CG24" s="14" t="str">
        <f t="shared" ca="1" si="25"/>
        <v/>
      </c>
      <c r="CH24" s="14" t="str">
        <f t="shared" ca="1" si="26"/>
        <v/>
      </c>
      <c r="CI24" s="14" t="str">
        <f t="shared" ca="1" si="26"/>
        <v/>
      </c>
      <c r="CJ24" s="15" t="str">
        <f t="shared" ca="1" si="26"/>
        <v/>
      </c>
      <c r="CK24" s="16" t="str">
        <f t="shared" ca="1" si="26"/>
        <v/>
      </c>
      <c r="CL24" s="13" t="str">
        <f t="shared" ca="1" si="26"/>
        <v/>
      </c>
      <c r="CM24" s="14" t="str">
        <f t="shared" ca="1" si="26"/>
        <v/>
      </c>
      <c r="CN24" s="14" t="str">
        <f t="shared" ca="1" si="26"/>
        <v/>
      </c>
      <c r="CO24" s="14" t="str">
        <f t="shared" ca="1" si="26"/>
        <v/>
      </c>
      <c r="CP24" s="14" t="str">
        <f t="shared" ca="1" si="26"/>
        <v/>
      </c>
      <c r="CQ24" s="15" t="str">
        <f t="shared" ca="1" si="26"/>
        <v/>
      </c>
      <c r="CR24" s="16" t="str">
        <f t="shared" ca="1" si="27"/>
        <v/>
      </c>
      <c r="CS24" s="13" t="str">
        <f t="shared" ca="1" si="27"/>
        <v/>
      </c>
      <c r="CT24" s="14" t="str">
        <f t="shared" ca="1" si="27"/>
        <v/>
      </c>
      <c r="CU24" s="14" t="str">
        <f t="shared" ca="1" si="27"/>
        <v/>
      </c>
      <c r="CV24" s="14" t="str">
        <f t="shared" ca="1" si="27"/>
        <v/>
      </c>
      <c r="CW24" s="14" t="str">
        <f t="shared" ca="1" si="27"/>
        <v/>
      </c>
      <c r="CX24" s="15" t="str">
        <f t="shared" ca="1" si="27"/>
        <v/>
      </c>
      <c r="CY24" s="16" t="str">
        <f t="shared" ca="1" si="27"/>
        <v/>
      </c>
      <c r="CZ24" s="13" t="str">
        <f t="shared" ca="1" si="27"/>
        <v/>
      </c>
      <c r="DA24" s="14" t="str">
        <f t="shared" ca="1" si="27"/>
        <v/>
      </c>
      <c r="DB24" s="14" t="str">
        <f t="shared" ca="1" si="28"/>
        <v/>
      </c>
      <c r="DC24" s="14" t="str">
        <f t="shared" ca="1" si="28"/>
        <v/>
      </c>
      <c r="DD24" s="14" t="str">
        <f t="shared" ca="1" si="28"/>
        <v/>
      </c>
      <c r="DE24" s="15" t="str">
        <f t="shared" ca="1" si="28"/>
        <v/>
      </c>
      <c r="DF24" s="16" t="str">
        <f t="shared" ca="1" si="28"/>
        <v/>
      </c>
      <c r="DG24" s="13" t="str">
        <f t="shared" ca="1" si="28"/>
        <v/>
      </c>
      <c r="DH24" s="14" t="str">
        <f t="shared" ca="1" si="28"/>
        <v/>
      </c>
      <c r="DI24" s="14" t="str">
        <f t="shared" ca="1" si="28"/>
        <v/>
      </c>
      <c r="DJ24" s="14" t="str">
        <f t="shared" ca="1" si="28"/>
        <v/>
      </c>
      <c r="DK24" s="14" t="str">
        <f t="shared" ca="1" si="28"/>
        <v/>
      </c>
      <c r="DL24" s="15" t="str">
        <f t="shared" ca="1" si="29"/>
        <v/>
      </c>
      <c r="DM24" s="16" t="str">
        <f t="shared" ca="1" si="29"/>
        <v/>
      </c>
      <c r="DN24" s="13" t="str">
        <f t="shared" ca="1" si="29"/>
        <v/>
      </c>
      <c r="DO24" s="14" t="str">
        <f t="shared" ca="1" si="29"/>
        <v/>
      </c>
      <c r="DP24" s="14" t="str">
        <f t="shared" ca="1" si="29"/>
        <v/>
      </c>
      <c r="DQ24" s="14" t="str">
        <f t="shared" ca="1" si="29"/>
        <v/>
      </c>
      <c r="DR24" s="14" t="str">
        <f t="shared" ca="1" si="29"/>
        <v/>
      </c>
      <c r="DS24" s="15" t="str">
        <f t="shared" ca="1" si="31"/>
        <v/>
      </c>
      <c r="DT24" s="16" t="str">
        <f t="shared" ca="1" si="31"/>
        <v/>
      </c>
      <c r="DU24" s="13" t="str">
        <f t="shared" ca="1" si="30"/>
        <v/>
      </c>
      <c r="DV24" s="14" t="str">
        <f t="shared" ca="1" si="30"/>
        <v/>
      </c>
      <c r="DW24" s="14" t="str">
        <f t="shared" ca="1" si="30"/>
        <v/>
      </c>
      <c r="DX24" s="14" t="str">
        <f t="shared" ca="1" si="30"/>
        <v/>
      </c>
      <c r="DY24" s="14" t="str">
        <f t="shared" ca="1" si="30"/>
        <v/>
      </c>
      <c r="DZ24" s="15" t="str">
        <f t="shared" ca="1" si="30"/>
        <v/>
      </c>
      <c r="EA24" s="16" t="str">
        <f t="shared" ca="1" si="30"/>
        <v/>
      </c>
      <c r="EB24" s="13" t="str">
        <f t="shared" ca="1" si="30"/>
        <v/>
      </c>
      <c r="EC24" s="14" t="str">
        <f t="shared" ca="1" si="30"/>
        <v/>
      </c>
      <c r="ED24" s="14" t="str">
        <f t="shared" ca="1" si="30"/>
        <v/>
      </c>
      <c r="EE24" s="14" t="str">
        <f t="shared" ca="1" si="30"/>
        <v/>
      </c>
      <c r="EF24" s="14" t="str">
        <f t="shared" ca="1" si="30"/>
        <v/>
      </c>
      <c r="EG24" s="15" t="str">
        <f t="shared" ca="1" si="32"/>
        <v/>
      </c>
      <c r="EH24" s="16" t="str">
        <f t="shared" ca="1" si="32"/>
        <v/>
      </c>
    </row>
    <row r="25" spans="1:138" s="17" customFormat="1" ht="9.6" customHeight="1">
      <c r="A25" s="90" t="str">
        <f>_xlfn.CONCAT(B7,"-","Actif")</f>
        <v>60-Actif</v>
      </c>
      <c r="B25" s="28" t="s">
        <v>55</v>
      </c>
      <c r="C25" s="19">
        <f t="shared" ca="1" si="17"/>
        <v>78</v>
      </c>
      <c r="D25" s="20">
        <v>7</v>
      </c>
      <c r="E25" s="19">
        <f ca="1">(C25+D25+C40)-1</f>
        <v>91</v>
      </c>
      <c r="F25" s="13" t="str">
        <f t="shared" ref="F25:AK25" ca="1" si="33">IF(AND(F$5&gt;=$C25+$C$40,F$5&lt;=$E25),1,"")</f>
        <v/>
      </c>
      <c r="G25" s="14" t="str">
        <f t="shared" ca="1" si="33"/>
        <v/>
      </c>
      <c r="H25" s="14" t="str">
        <f t="shared" ca="1" si="33"/>
        <v/>
      </c>
      <c r="I25" s="14" t="str">
        <f t="shared" ca="1" si="33"/>
        <v/>
      </c>
      <c r="J25" s="14" t="str">
        <f t="shared" ca="1" si="33"/>
        <v/>
      </c>
      <c r="K25" s="15" t="str">
        <f t="shared" ca="1" si="33"/>
        <v/>
      </c>
      <c r="L25" s="16" t="str">
        <f t="shared" ca="1" si="33"/>
        <v/>
      </c>
      <c r="M25" s="13" t="str">
        <f t="shared" ca="1" si="33"/>
        <v/>
      </c>
      <c r="N25" s="14" t="str">
        <f t="shared" ca="1" si="33"/>
        <v/>
      </c>
      <c r="O25" s="14" t="str">
        <f t="shared" ca="1" si="33"/>
        <v/>
      </c>
      <c r="P25" s="14" t="str">
        <f t="shared" ca="1" si="33"/>
        <v/>
      </c>
      <c r="Q25" s="14" t="str">
        <f t="shared" ca="1" si="33"/>
        <v/>
      </c>
      <c r="R25" s="15" t="str">
        <f t="shared" ca="1" si="33"/>
        <v/>
      </c>
      <c r="S25" s="16" t="str">
        <f t="shared" ca="1" si="33"/>
        <v/>
      </c>
      <c r="T25" s="13" t="str">
        <f t="shared" ca="1" si="33"/>
        <v/>
      </c>
      <c r="U25" s="14" t="str">
        <f t="shared" ca="1" si="33"/>
        <v/>
      </c>
      <c r="V25" s="14" t="str">
        <f t="shared" ca="1" si="33"/>
        <v/>
      </c>
      <c r="W25" s="14" t="str">
        <f t="shared" ca="1" si="33"/>
        <v/>
      </c>
      <c r="X25" s="14" t="str">
        <f t="shared" ca="1" si="33"/>
        <v/>
      </c>
      <c r="Y25" s="15" t="str">
        <f t="shared" ca="1" si="33"/>
        <v/>
      </c>
      <c r="Z25" s="16" t="str">
        <f t="shared" ca="1" si="33"/>
        <v/>
      </c>
      <c r="AA25" s="13" t="str">
        <f t="shared" ca="1" si="33"/>
        <v/>
      </c>
      <c r="AB25" s="14" t="str">
        <f t="shared" ca="1" si="33"/>
        <v/>
      </c>
      <c r="AC25" s="14" t="str">
        <f t="shared" ca="1" si="33"/>
        <v/>
      </c>
      <c r="AD25" s="14" t="str">
        <f t="shared" ca="1" si="33"/>
        <v/>
      </c>
      <c r="AE25" s="14" t="str">
        <f t="shared" ca="1" si="33"/>
        <v/>
      </c>
      <c r="AF25" s="15" t="str">
        <f t="shared" ca="1" si="33"/>
        <v/>
      </c>
      <c r="AG25" s="16" t="str">
        <f t="shared" ca="1" si="33"/>
        <v/>
      </c>
      <c r="AH25" s="13" t="str">
        <f t="shared" ca="1" si="33"/>
        <v/>
      </c>
      <c r="AI25" s="14" t="str">
        <f t="shared" ca="1" si="33"/>
        <v/>
      </c>
      <c r="AJ25" s="14" t="str">
        <f t="shared" ca="1" si="33"/>
        <v/>
      </c>
      <c r="AK25" s="14" t="str">
        <f t="shared" ca="1" si="33"/>
        <v/>
      </c>
      <c r="AL25" s="14" t="str">
        <f t="shared" ref="AL25:BQ25" ca="1" si="34">IF(AND(AL$5&gt;=$C25+$C$40,AL$5&lt;=$E25),1,"")</f>
        <v/>
      </c>
      <c r="AM25" s="15" t="str">
        <f t="shared" ca="1" si="34"/>
        <v/>
      </c>
      <c r="AN25" s="16" t="str">
        <f t="shared" ca="1" si="34"/>
        <v/>
      </c>
      <c r="AO25" s="13" t="str">
        <f t="shared" ca="1" si="34"/>
        <v/>
      </c>
      <c r="AP25" s="14" t="str">
        <f t="shared" ca="1" si="34"/>
        <v/>
      </c>
      <c r="AQ25" s="14" t="str">
        <f t="shared" ca="1" si="34"/>
        <v/>
      </c>
      <c r="AR25" s="14" t="str">
        <f t="shared" ca="1" si="34"/>
        <v/>
      </c>
      <c r="AS25" s="14" t="str">
        <f t="shared" ca="1" si="34"/>
        <v/>
      </c>
      <c r="AT25" s="15" t="str">
        <f t="shared" ca="1" si="34"/>
        <v/>
      </c>
      <c r="AU25" s="16" t="str">
        <f t="shared" ca="1" si="34"/>
        <v/>
      </c>
      <c r="AV25" s="13" t="str">
        <f t="shared" ca="1" si="34"/>
        <v/>
      </c>
      <c r="AW25" s="14" t="str">
        <f t="shared" ca="1" si="34"/>
        <v/>
      </c>
      <c r="AX25" s="14" t="str">
        <f t="shared" ca="1" si="34"/>
        <v/>
      </c>
      <c r="AY25" s="14" t="str">
        <f t="shared" ca="1" si="34"/>
        <v/>
      </c>
      <c r="AZ25" s="14" t="str">
        <f t="shared" ca="1" si="34"/>
        <v/>
      </c>
      <c r="BA25" s="15" t="str">
        <f t="shared" ca="1" si="34"/>
        <v/>
      </c>
      <c r="BB25" s="16" t="str">
        <f t="shared" ca="1" si="34"/>
        <v/>
      </c>
      <c r="BC25" s="13" t="str">
        <f t="shared" ca="1" si="34"/>
        <v/>
      </c>
      <c r="BD25" s="14" t="str">
        <f t="shared" ca="1" si="34"/>
        <v/>
      </c>
      <c r="BE25" s="14" t="str">
        <f t="shared" ca="1" si="34"/>
        <v/>
      </c>
      <c r="BF25" s="14" t="str">
        <f t="shared" ca="1" si="34"/>
        <v/>
      </c>
      <c r="BG25" s="14" t="str">
        <f t="shared" ca="1" si="34"/>
        <v/>
      </c>
      <c r="BH25" s="15" t="str">
        <f t="shared" ca="1" si="34"/>
        <v/>
      </c>
      <c r="BI25" s="16" t="str">
        <f t="shared" ca="1" si="34"/>
        <v/>
      </c>
      <c r="BJ25" s="13" t="str">
        <f t="shared" ca="1" si="34"/>
        <v/>
      </c>
      <c r="BK25" s="14" t="str">
        <f t="shared" ca="1" si="34"/>
        <v/>
      </c>
      <c r="BL25" s="14" t="str">
        <f t="shared" ca="1" si="34"/>
        <v/>
      </c>
      <c r="BM25" s="14" t="str">
        <f t="shared" ca="1" si="34"/>
        <v/>
      </c>
      <c r="BN25" s="14" t="str">
        <f t="shared" ca="1" si="34"/>
        <v/>
      </c>
      <c r="BO25" s="15" t="str">
        <f t="shared" ca="1" si="34"/>
        <v/>
      </c>
      <c r="BP25" s="16" t="str">
        <f t="shared" ca="1" si="34"/>
        <v/>
      </c>
      <c r="BQ25" s="13" t="str">
        <f t="shared" ca="1" si="34"/>
        <v/>
      </c>
      <c r="BR25" s="14" t="str">
        <f t="shared" ref="BR25:CW25" ca="1" si="35">IF(AND(BR$5&gt;=$C25+$C$40,BR$5&lt;=$E25),1,"")</f>
        <v/>
      </c>
      <c r="BS25" s="14" t="str">
        <f t="shared" ca="1" si="35"/>
        <v/>
      </c>
      <c r="BT25" s="14" t="str">
        <f t="shared" ca="1" si="35"/>
        <v/>
      </c>
      <c r="BU25" s="14" t="str">
        <f t="shared" ca="1" si="35"/>
        <v/>
      </c>
      <c r="BV25" s="15" t="str">
        <f t="shared" ca="1" si="35"/>
        <v/>
      </c>
      <c r="BW25" s="16" t="str">
        <f t="shared" ca="1" si="35"/>
        <v/>
      </c>
      <c r="BX25" s="13" t="str">
        <f t="shared" ca="1" si="35"/>
        <v/>
      </c>
      <c r="BY25" s="14" t="str">
        <f t="shared" ca="1" si="35"/>
        <v/>
      </c>
      <c r="BZ25" s="14" t="str">
        <f t="shared" ca="1" si="35"/>
        <v/>
      </c>
      <c r="CA25" s="14" t="str">
        <f t="shared" ca="1" si="35"/>
        <v/>
      </c>
      <c r="CB25" s="14" t="str">
        <f t="shared" ca="1" si="35"/>
        <v/>
      </c>
      <c r="CC25" s="15" t="str">
        <f t="shared" ca="1" si="35"/>
        <v/>
      </c>
      <c r="CD25" s="16" t="str">
        <f t="shared" ca="1" si="35"/>
        <v/>
      </c>
      <c r="CE25" s="13" t="str">
        <f t="shared" ca="1" si="35"/>
        <v/>
      </c>
      <c r="CF25" s="14" t="str">
        <f t="shared" ca="1" si="35"/>
        <v/>
      </c>
      <c r="CG25" s="14" t="str">
        <f t="shared" ca="1" si="35"/>
        <v/>
      </c>
      <c r="CH25" s="14" t="str">
        <f t="shared" ca="1" si="35"/>
        <v/>
      </c>
      <c r="CI25" s="14" t="str">
        <f t="shared" ca="1" si="35"/>
        <v/>
      </c>
      <c r="CJ25" s="15" t="str">
        <f t="shared" ca="1" si="35"/>
        <v/>
      </c>
      <c r="CK25" s="16" t="str">
        <f t="shared" ca="1" si="35"/>
        <v/>
      </c>
      <c r="CL25" s="13">
        <f t="shared" ca="1" si="35"/>
        <v>1</v>
      </c>
      <c r="CM25" s="14">
        <f t="shared" ca="1" si="35"/>
        <v>1</v>
      </c>
      <c r="CN25" s="14">
        <f t="shared" ca="1" si="35"/>
        <v>1</v>
      </c>
      <c r="CO25" s="14">
        <f t="shared" ca="1" si="35"/>
        <v>1</v>
      </c>
      <c r="CP25" s="14">
        <f t="shared" ca="1" si="35"/>
        <v>1</v>
      </c>
      <c r="CQ25" s="15">
        <f t="shared" ca="1" si="35"/>
        <v>1</v>
      </c>
      <c r="CR25" s="16">
        <f t="shared" ca="1" si="35"/>
        <v>1</v>
      </c>
      <c r="CS25" s="13" t="str">
        <f t="shared" ca="1" si="35"/>
        <v/>
      </c>
      <c r="CT25" s="14" t="str">
        <f t="shared" ca="1" si="35"/>
        <v/>
      </c>
      <c r="CU25" s="14" t="str">
        <f t="shared" ca="1" si="35"/>
        <v/>
      </c>
      <c r="CV25" s="14" t="str">
        <f t="shared" ca="1" si="35"/>
        <v/>
      </c>
      <c r="CW25" s="14" t="str">
        <f t="shared" ca="1" si="35"/>
        <v/>
      </c>
      <c r="CX25" s="15" t="str">
        <f t="shared" ref="CX25:EH25" ca="1" si="36">IF(AND(CX$5&gt;=$C25+$C$40,CX$5&lt;=$E25),1,"")</f>
        <v/>
      </c>
      <c r="CY25" s="16" t="str">
        <f t="shared" ca="1" si="36"/>
        <v/>
      </c>
      <c r="CZ25" s="13" t="str">
        <f t="shared" ca="1" si="36"/>
        <v/>
      </c>
      <c r="DA25" s="14" t="str">
        <f t="shared" ca="1" si="36"/>
        <v/>
      </c>
      <c r="DB25" s="14" t="str">
        <f t="shared" ca="1" si="36"/>
        <v/>
      </c>
      <c r="DC25" s="14" t="str">
        <f t="shared" ca="1" si="36"/>
        <v/>
      </c>
      <c r="DD25" s="14" t="str">
        <f t="shared" ca="1" si="36"/>
        <v/>
      </c>
      <c r="DE25" s="15" t="str">
        <f t="shared" ca="1" si="36"/>
        <v/>
      </c>
      <c r="DF25" s="16" t="str">
        <f t="shared" ca="1" si="36"/>
        <v/>
      </c>
      <c r="DG25" s="13" t="str">
        <f t="shared" ca="1" si="36"/>
        <v/>
      </c>
      <c r="DH25" s="14" t="str">
        <f t="shared" ca="1" si="36"/>
        <v/>
      </c>
      <c r="DI25" s="14" t="str">
        <f t="shared" ca="1" si="36"/>
        <v/>
      </c>
      <c r="DJ25" s="14" t="str">
        <f t="shared" ca="1" si="36"/>
        <v/>
      </c>
      <c r="DK25" s="14" t="str">
        <f t="shared" ca="1" si="36"/>
        <v/>
      </c>
      <c r="DL25" s="15" t="str">
        <f t="shared" ca="1" si="36"/>
        <v/>
      </c>
      <c r="DM25" s="16" t="str">
        <f t="shared" ca="1" si="36"/>
        <v/>
      </c>
      <c r="DN25" s="13" t="str">
        <f t="shared" ca="1" si="36"/>
        <v/>
      </c>
      <c r="DO25" s="14" t="str">
        <f t="shared" ca="1" si="36"/>
        <v/>
      </c>
      <c r="DP25" s="14" t="str">
        <f t="shared" ca="1" si="36"/>
        <v/>
      </c>
      <c r="DQ25" s="14" t="str">
        <f t="shared" ca="1" si="36"/>
        <v/>
      </c>
      <c r="DR25" s="14" t="str">
        <f t="shared" ca="1" si="36"/>
        <v/>
      </c>
      <c r="DS25" s="15" t="str">
        <f t="shared" ca="1" si="36"/>
        <v/>
      </c>
      <c r="DT25" s="16" t="str">
        <f t="shared" ca="1" si="36"/>
        <v/>
      </c>
      <c r="DU25" s="13" t="str">
        <f t="shared" ca="1" si="36"/>
        <v/>
      </c>
      <c r="DV25" s="14" t="str">
        <f t="shared" ca="1" si="36"/>
        <v/>
      </c>
      <c r="DW25" s="14" t="str">
        <f t="shared" ca="1" si="36"/>
        <v/>
      </c>
      <c r="DX25" s="14" t="str">
        <f t="shared" ca="1" si="36"/>
        <v/>
      </c>
      <c r="DY25" s="14" t="str">
        <f t="shared" ca="1" si="36"/>
        <v/>
      </c>
      <c r="DZ25" s="15" t="str">
        <f t="shared" ca="1" si="36"/>
        <v/>
      </c>
      <c r="EA25" s="16" t="str">
        <f t="shared" ca="1" si="36"/>
        <v/>
      </c>
      <c r="EB25" s="13" t="str">
        <f t="shared" ca="1" si="36"/>
        <v/>
      </c>
      <c r="EC25" s="14" t="str">
        <f t="shared" ca="1" si="36"/>
        <v/>
      </c>
      <c r="ED25" s="14" t="str">
        <f t="shared" ca="1" si="36"/>
        <v/>
      </c>
      <c r="EE25" s="14" t="str">
        <f t="shared" ca="1" si="36"/>
        <v/>
      </c>
      <c r="EF25" s="14" t="str">
        <f t="shared" ca="1" si="36"/>
        <v/>
      </c>
      <c r="EG25" s="15" t="str">
        <f t="shared" ca="1" si="36"/>
        <v/>
      </c>
      <c r="EH25" s="16" t="str">
        <f t="shared" ca="1" si="36"/>
        <v/>
      </c>
    </row>
    <row r="26" spans="1:138" s="17" customFormat="1" ht="6" customHeight="1"/>
    <row r="27" spans="1:138" s="17" customFormat="1" ht="15" customHeight="1">
      <c r="A27" s="554" t="s">
        <v>56</v>
      </c>
      <c r="B27" s="535"/>
      <c r="C27" s="555">
        <f ca="1">C15-C11</f>
        <v>12</v>
      </c>
      <c r="D27" s="535"/>
      <c r="E27" s="537"/>
      <c r="F27" s="14" t="str">
        <f t="shared" ref="F27:AK27" ca="1" si="37">IF(AND(F$5&gt;=$C$11,F$5&lt;=$E$15-1),1,"")</f>
        <v/>
      </c>
      <c r="G27" s="14" t="str">
        <f t="shared" ca="1" si="37"/>
        <v/>
      </c>
      <c r="H27" s="14" t="str">
        <f t="shared" ca="1" si="37"/>
        <v/>
      </c>
      <c r="I27" s="14" t="str">
        <f t="shared" ca="1" si="37"/>
        <v/>
      </c>
      <c r="J27" s="14" t="str">
        <f t="shared" ca="1" si="37"/>
        <v/>
      </c>
      <c r="K27" s="15" t="str">
        <f t="shared" ca="1" si="37"/>
        <v/>
      </c>
      <c r="L27" s="16" t="str">
        <f t="shared" ca="1" si="37"/>
        <v/>
      </c>
      <c r="M27" s="13" t="str">
        <f t="shared" ca="1" si="37"/>
        <v/>
      </c>
      <c r="N27" s="14" t="str">
        <f t="shared" ca="1" si="37"/>
        <v/>
      </c>
      <c r="O27" s="14" t="str">
        <f t="shared" ca="1" si="37"/>
        <v/>
      </c>
      <c r="P27" s="14" t="str">
        <f t="shared" ca="1" si="37"/>
        <v/>
      </c>
      <c r="Q27" s="14" t="str">
        <f t="shared" ca="1" si="37"/>
        <v/>
      </c>
      <c r="R27" s="15" t="str">
        <f t="shared" ca="1" si="37"/>
        <v/>
      </c>
      <c r="S27" s="16" t="str">
        <f t="shared" ca="1" si="37"/>
        <v/>
      </c>
      <c r="T27" s="13" t="str">
        <f t="shared" ca="1" si="37"/>
        <v/>
      </c>
      <c r="U27" s="14">
        <f t="shared" ca="1" si="37"/>
        <v>1</v>
      </c>
      <c r="V27" s="14">
        <f t="shared" ca="1" si="37"/>
        <v>1</v>
      </c>
      <c r="W27" s="14">
        <f t="shared" ca="1" si="37"/>
        <v>1</v>
      </c>
      <c r="X27" s="14">
        <f t="shared" ca="1" si="37"/>
        <v>1</v>
      </c>
      <c r="Y27" s="15">
        <f t="shared" ca="1" si="37"/>
        <v>1</v>
      </c>
      <c r="Z27" s="16">
        <f t="shared" ca="1" si="37"/>
        <v>1</v>
      </c>
      <c r="AA27" s="13">
        <f t="shared" ca="1" si="37"/>
        <v>1</v>
      </c>
      <c r="AB27" s="14">
        <f t="shared" ca="1" si="37"/>
        <v>1</v>
      </c>
      <c r="AC27" s="14">
        <f t="shared" ca="1" si="37"/>
        <v>1</v>
      </c>
      <c r="AD27" s="14">
        <f t="shared" ca="1" si="37"/>
        <v>1</v>
      </c>
      <c r="AE27" s="14">
        <f t="shared" ca="1" si="37"/>
        <v>1</v>
      </c>
      <c r="AF27" s="15">
        <f t="shared" ca="1" si="37"/>
        <v>1</v>
      </c>
      <c r="AG27" s="16" t="str">
        <f t="shared" ca="1" si="37"/>
        <v/>
      </c>
      <c r="AH27" s="13" t="str">
        <f t="shared" ca="1" si="37"/>
        <v/>
      </c>
      <c r="AI27" s="14" t="str">
        <f t="shared" ca="1" si="37"/>
        <v/>
      </c>
      <c r="AJ27" s="14" t="str">
        <f t="shared" ca="1" si="37"/>
        <v/>
      </c>
      <c r="AK27" s="14" t="str">
        <f t="shared" ca="1" si="37"/>
        <v/>
      </c>
      <c r="AL27" s="14" t="str">
        <f t="shared" ref="AL27:BQ27" ca="1" si="38">IF(AND(AL$5&gt;=$C$11,AL$5&lt;=$E$15-1),1,"")</f>
        <v/>
      </c>
      <c r="AM27" s="15" t="str">
        <f t="shared" ca="1" si="38"/>
        <v/>
      </c>
      <c r="AN27" s="16" t="str">
        <f t="shared" ca="1" si="38"/>
        <v/>
      </c>
      <c r="AO27" s="13" t="str">
        <f t="shared" ca="1" si="38"/>
        <v/>
      </c>
      <c r="AP27" s="14" t="str">
        <f t="shared" ca="1" si="38"/>
        <v/>
      </c>
      <c r="AQ27" s="14" t="str">
        <f t="shared" ca="1" si="38"/>
        <v/>
      </c>
      <c r="AR27" s="14" t="str">
        <f t="shared" ca="1" si="38"/>
        <v/>
      </c>
      <c r="AS27" s="14" t="str">
        <f t="shared" ca="1" si="38"/>
        <v/>
      </c>
      <c r="AT27" s="15" t="str">
        <f t="shared" ca="1" si="38"/>
        <v/>
      </c>
      <c r="AU27" s="16" t="str">
        <f t="shared" ca="1" si="38"/>
        <v/>
      </c>
      <c r="AV27" s="13" t="str">
        <f t="shared" ca="1" si="38"/>
        <v/>
      </c>
      <c r="AW27" s="14" t="str">
        <f t="shared" ca="1" si="38"/>
        <v/>
      </c>
      <c r="AX27" s="14" t="str">
        <f t="shared" ca="1" si="38"/>
        <v/>
      </c>
      <c r="AY27" s="14" t="str">
        <f t="shared" ca="1" si="38"/>
        <v/>
      </c>
      <c r="AZ27" s="14" t="str">
        <f t="shared" ca="1" si="38"/>
        <v/>
      </c>
      <c r="BA27" s="15" t="str">
        <f t="shared" ca="1" si="38"/>
        <v/>
      </c>
      <c r="BB27" s="16" t="str">
        <f t="shared" ca="1" si="38"/>
        <v/>
      </c>
      <c r="BC27" s="13" t="str">
        <f t="shared" ca="1" si="38"/>
        <v/>
      </c>
      <c r="BD27" s="14" t="str">
        <f t="shared" ca="1" si="38"/>
        <v/>
      </c>
      <c r="BE27" s="14" t="str">
        <f t="shared" ca="1" si="38"/>
        <v/>
      </c>
      <c r="BF27" s="14" t="str">
        <f t="shared" ca="1" si="38"/>
        <v/>
      </c>
      <c r="BG27" s="14" t="str">
        <f t="shared" ca="1" si="38"/>
        <v/>
      </c>
      <c r="BH27" s="15" t="str">
        <f t="shared" ca="1" si="38"/>
        <v/>
      </c>
      <c r="BI27" s="16" t="str">
        <f t="shared" ca="1" si="38"/>
        <v/>
      </c>
      <c r="BJ27" s="13" t="str">
        <f t="shared" ca="1" si="38"/>
        <v/>
      </c>
      <c r="BK27" s="14" t="str">
        <f t="shared" ca="1" si="38"/>
        <v/>
      </c>
      <c r="BL27" s="14" t="str">
        <f t="shared" ca="1" si="38"/>
        <v/>
      </c>
      <c r="BM27" s="14" t="str">
        <f t="shared" ca="1" si="38"/>
        <v/>
      </c>
      <c r="BN27" s="14" t="str">
        <f t="shared" ca="1" si="38"/>
        <v/>
      </c>
      <c r="BO27" s="15" t="str">
        <f t="shared" ca="1" si="38"/>
        <v/>
      </c>
      <c r="BP27" s="16" t="str">
        <f t="shared" ca="1" si="38"/>
        <v/>
      </c>
      <c r="BQ27" s="13" t="str">
        <f t="shared" ca="1" si="38"/>
        <v/>
      </c>
      <c r="BR27" s="14" t="str">
        <f t="shared" ref="BR27:CW27" ca="1" si="39">IF(AND(BR$5&gt;=$C$11,BR$5&lt;=$E$15-1),1,"")</f>
        <v/>
      </c>
      <c r="BS27" s="14" t="str">
        <f t="shared" ca="1" si="39"/>
        <v/>
      </c>
      <c r="BT27" s="14" t="str">
        <f t="shared" ca="1" si="39"/>
        <v/>
      </c>
      <c r="BU27" s="14" t="str">
        <f t="shared" ca="1" si="39"/>
        <v/>
      </c>
      <c r="BV27" s="15" t="str">
        <f t="shared" ca="1" si="39"/>
        <v/>
      </c>
      <c r="BW27" s="16" t="str">
        <f t="shared" ca="1" si="39"/>
        <v/>
      </c>
      <c r="BX27" s="13" t="str">
        <f t="shared" ca="1" si="39"/>
        <v/>
      </c>
      <c r="BY27" s="14" t="str">
        <f t="shared" ca="1" si="39"/>
        <v/>
      </c>
      <c r="BZ27" s="14" t="str">
        <f t="shared" ca="1" si="39"/>
        <v/>
      </c>
      <c r="CA27" s="14" t="str">
        <f t="shared" ca="1" si="39"/>
        <v/>
      </c>
      <c r="CB27" s="14" t="str">
        <f t="shared" ca="1" si="39"/>
        <v/>
      </c>
      <c r="CC27" s="15" t="str">
        <f t="shared" ca="1" si="39"/>
        <v/>
      </c>
      <c r="CD27" s="16" t="str">
        <f t="shared" ca="1" si="39"/>
        <v/>
      </c>
      <c r="CE27" s="13" t="str">
        <f t="shared" ca="1" si="39"/>
        <v/>
      </c>
      <c r="CF27" s="14" t="str">
        <f t="shared" ca="1" si="39"/>
        <v/>
      </c>
      <c r="CG27" s="14" t="str">
        <f t="shared" ca="1" si="39"/>
        <v/>
      </c>
      <c r="CH27" s="14" t="str">
        <f t="shared" ca="1" si="39"/>
        <v/>
      </c>
      <c r="CI27" s="14" t="str">
        <f t="shared" ca="1" si="39"/>
        <v/>
      </c>
      <c r="CJ27" s="15" t="str">
        <f t="shared" ca="1" si="39"/>
        <v/>
      </c>
      <c r="CK27" s="16" t="str">
        <f t="shared" ca="1" si="39"/>
        <v/>
      </c>
      <c r="CL27" s="13" t="str">
        <f t="shared" ca="1" si="39"/>
        <v/>
      </c>
      <c r="CM27" s="14" t="str">
        <f t="shared" ca="1" si="39"/>
        <v/>
      </c>
      <c r="CN27" s="14" t="str">
        <f t="shared" ca="1" si="39"/>
        <v/>
      </c>
      <c r="CO27" s="14" t="str">
        <f t="shared" ca="1" si="39"/>
        <v/>
      </c>
      <c r="CP27" s="14" t="str">
        <f t="shared" ca="1" si="39"/>
        <v/>
      </c>
      <c r="CQ27" s="15" t="str">
        <f t="shared" ca="1" si="39"/>
        <v/>
      </c>
      <c r="CR27" s="16" t="str">
        <f t="shared" ca="1" si="39"/>
        <v/>
      </c>
      <c r="CS27" s="13" t="str">
        <f t="shared" ca="1" si="39"/>
        <v/>
      </c>
      <c r="CT27" s="14" t="str">
        <f t="shared" ca="1" si="39"/>
        <v/>
      </c>
      <c r="CU27" s="14" t="str">
        <f t="shared" ca="1" si="39"/>
        <v/>
      </c>
      <c r="CV27" s="14" t="str">
        <f t="shared" ca="1" si="39"/>
        <v/>
      </c>
      <c r="CW27" s="14" t="str">
        <f t="shared" ca="1" si="39"/>
        <v/>
      </c>
      <c r="CX27" s="15" t="str">
        <f t="shared" ref="CX27:EH27" ca="1" si="40">IF(AND(CX$5&gt;=$C$11,CX$5&lt;=$E$15-1),1,"")</f>
        <v/>
      </c>
      <c r="CY27" s="16" t="str">
        <f t="shared" ca="1" si="40"/>
        <v/>
      </c>
      <c r="CZ27" s="13" t="str">
        <f t="shared" ca="1" si="40"/>
        <v/>
      </c>
      <c r="DA27" s="14" t="str">
        <f t="shared" ca="1" si="40"/>
        <v/>
      </c>
      <c r="DB27" s="14" t="str">
        <f t="shared" ca="1" si="40"/>
        <v/>
      </c>
      <c r="DC27" s="14" t="str">
        <f t="shared" ca="1" si="40"/>
        <v/>
      </c>
      <c r="DD27" s="14" t="str">
        <f t="shared" ca="1" si="40"/>
        <v/>
      </c>
      <c r="DE27" s="15" t="str">
        <f t="shared" ca="1" si="40"/>
        <v/>
      </c>
      <c r="DF27" s="16" t="str">
        <f t="shared" ca="1" si="40"/>
        <v/>
      </c>
      <c r="DG27" s="13" t="str">
        <f t="shared" ca="1" si="40"/>
        <v/>
      </c>
      <c r="DH27" s="14" t="str">
        <f t="shared" ca="1" si="40"/>
        <v/>
      </c>
      <c r="DI27" s="14" t="str">
        <f t="shared" ca="1" si="40"/>
        <v/>
      </c>
      <c r="DJ27" s="14" t="str">
        <f t="shared" ca="1" si="40"/>
        <v/>
      </c>
      <c r="DK27" s="14" t="str">
        <f t="shared" ca="1" si="40"/>
        <v/>
      </c>
      <c r="DL27" s="15" t="str">
        <f t="shared" ca="1" si="40"/>
        <v/>
      </c>
      <c r="DM27" s="16" t="str">
        <f t="shared" ca="1" si="40"/>
        <v/>
      </c>
      <c r="DN27" s="13" t="str">
        <f t="shared" ca="1" si="40"/>
        <v/>
      </c>
      <c r="DO27" s="14" t="str">
        <f t="shared" ca="1" si="40"/>
        <v/>
      </c>
      <c r="DP27" s="14" t="str">
        <f t="shared" ca="1" si="40"/>
        <v/>
      </c>
      <c r="DQ27" s="14" t="str">
        <f t="shared" ca="1" si="40"/>
        <v/>
      </c>
      <c r="DR27" s="14" t="str">
        <f t="shared" ca="1" si="40"/>
        <v/>
      </c>
      <c r="DS27" s="15" t="str">
        <f t="shared" ca="1" si="40"/>
        <v/>
      </c>
      <c r="DT27" s="16" t="str">
        <f t="shared" ca="1" si="40"/>
        <v/>
      </c>
      <c r="DU27" s="13" t="str">
        <f t="shared" ca="1" si="40"/>
        <v/>
      </c>
      <c r="DV27" s="14" t="str">
        <f t="shared" ca="1" si="40"/>
        <v/>
      </c>
      <c r="DW27" s="14" t="str">
        <f t="shared" ca="1" si="40"/>
        <v/>
      </c>
      <c r="DX27" s="14" t="str">
        <f t="shared" ca="1" si="40"/>
        <v/>
      </c>
      <c r="DY27" s="14" t="str">
        <f t="shared" ca="1" si="40"/>
        <v/>
      </c>
      <c r="DZ27" s="15" t="str">
        <f t="shared" ca="1" si="40"/>
        <v/>
      </c>
      <c r="EA27" s="16" t="str">
        <f t="shared" ca="1" si="40"/>
        <v/>
      </c>
      <c r="EB27" s="13" t="str">
        <f t="shared" ca="1" si="40"/>
        <v/>
      </c>
      <c r="EC27" s="14" t="str">
        <f t="shared" ca="1" si="40"/>
        <v/>
      </c>
      <c r="ED27" s="14" t="str">
        <f t="shared" ca="1" si="40"/>
        <v/>
      </c>
      <c r="EE27" s="14" t="str">
        <f t="shared" ca="1" si="40"/>
        <v/>
      </c>
      <c r="EF27" s="14" t="str">
        <f t="shared" ca="1" si="40"/>
        <v/>
      </c>
      <c r="EG27" s="15" t="str">
        <f t="shared" ca="1" si="40"/>
        <v/>
      </c>
      <c r="EH27" s="16" t="str">
        <f t="shared" ca="1" si="40"/>
        <v/>
      </c>
    </row>
    <row r="28" spans="1:138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  <c r="DU28" s="13"/>
      <c r="DV28" s="14"/>
      <c r="DW28" s="14"/>
      <c r="DX28" s="14"/>
      <c r="DY28" s="14"/>
      <c r="DZ28" s="15"/>
      <c r="EA28" s="16"/>
      <c r="EB28" s="13"/>
      <c r="EC28" s="14"/>
      <c r="ED28" s="14"/>
      <c r="EE28" s="14"/>
      <c r="EF28" s="14"/>
      <c r="EG28" s="15"/>
      <c r="EH28" s="16"/>
    </row>
    <row r="29" spans="1:138" s="17" customFormat="1" ht="15" customHeight="1">
      <c r="A29" s="540" t="s">
        <v>57</v>
      </c>
      <c r="B29" s="535"/>
      <c r="C29" s="541">
        <f ca="1">C15-C12+2</f>
        <v>7</v>
      </c>
      <c r="D29" s="535"/>
      <c r="E29" s="537"/>
      <c r="F29" s="14" t="str">
        <f t="shared" ref="F29:AK29" ca="1" si="41">IF(AND(F$5&gt;=$E$11,F$5&lt;=$E$15),1,"")</f>
        <v/>
      </c>
      <c r="G29" s="14" t="str">
        <f t="shared" ca="1" si="41"/>
        <v/>
      </c>
      <c r="H29" s="14" t="str">
        <f t="shared" ca="1" si="41"/>
        <v/>
      </c>
      <c r="I29" s="14" t="str">
        <f t="shared" ca="1" si="41"/>
        <v/>
      </c>
      <c r="J29" s="14" t="str">
        <f t="shared" ca="1" si="41"/>
        <v/>
      </c>
      <c r="K29" s="15" t="str">
        <f t="shared" ca="1" si="41"/>
        <v/>
      </c>
      <c r="L29" s="16" t="str">
        <f t="shared" ca="1" si="41"/>
        <v/>
      </c>
      <c r="M29" s="13" t="str">
        <f t="shared" ca="1" si="41"/>
        <v/>
      </c>
      <c r="N29" s="14" t="str">
        <f t="shared" ca="1" si="41"/>
        <v/>
      </c>
      <c r="O29" s="14" t="str">
        <f t="shared" ca="1" si="41"/>
        <v/>
      </c>
      <c r="P29" s="14" t="str">
        <f t="shared" ca="1" si="41"/>
        <v/>
      </c>
      <c r="Q29" s="14" t="str">
        <f t="shared" ca="1" si="41"/>
        <v/>
      </c>
      <c r="R29" s="15" t="str">
        <f t="shared" ca="1" si="41"/>
        <v/>
      </c>
      <c r="S29" s="16" t="str">
        <f t="shared" ca="1" si="41"/>
        <v/>
      </c>
      <c r="T29" s="13" t="str">
        <f t="shared" ca="1" si="41"/>
        <v/>
      </c>
      <c r="U29" s="14" t="str">
        <f t="shared" ca="1" si="41"/>
        <v/>
      </c>
      <c r="V29" s="14" t="str">
        <f t="shared" ca="1" si="41"/>
        <v/>
      </c>
      <c r="W29" s="14" t="str">
        <f t="shared" ca="1" si="41"/>
        <v/>
      </c>
      <c r="X29" s="14" t="str">
        <f t="shared" ca="1" si="41"/>
        <v/>
      </c>
      <c r="Y29" s="15" t="str">
        <f t="shared" ca="1" si="41"/>
        <v/>
      </c>
      <c r="Z29" s="16" t="str">
        <f t="shared" ca="1" si="41"/>
        <v/>
      </c>
      <c r="AA29" s="13">
        <f t="shared" ca="1" si="41"/>
        <v>1</v>
      </c>
      <c r="AB29" s="14">
        <f t="shared" ca="1" si="41"/>
        <v>1</v>
      </c>
      <c r="AC29" s="14">
        <f t="shared" ca="1" si="41"/>
        <v>1</v>
      </c>
      <c r="AD29" s="14">
        <f t="shared" ca="1" si="41"/>
        <v>1</v>
      </c>
      <c r="AE29" s="14">
        <f t="shared" ca="1" si="41"/>
        <v>1</v>
      </c>
      <c r="AF29" s="15">
        <f t="shared" ca="1" si="41"/>
        <v>1</v>
      </c>
      <c r="AG29" s="16">
        <f t="shared" ca="1" si="41"/>
        <v>1</v>
      </c>
      <c r="AH29" s="13" t="str">
        <f t="shared" ca="1" si="41"/>
        <v/>
      </c>
      <c r="AI29" s="14" t="str">
        <f t="shared" ca="1" si="41"/>
        <v/>
      </c>
      <c r="AJ29" s="14" t="str">
        <f t="shared" ca="1" si="41"/>
        <v/>
      </c>
      <c r="AK29" s="14" t="str">
        <f t="shared" ca="1" si="41"/>
        <v/>
      </c>
      <c r="AL29" s="14" t="str">
        <f t="shared" ref="AL29:BQ29" ca="1" si="42">IF(AND(AL$5&gt;=$E$11,AL$5&lt;=$E$15),1,"")</f>
        <v/>
      </c>
      <c r="AM29" s="15" t="str">
        <f t="shared" ca="1" si="42"/>
        <v/>
      </c>
      <c r="AN29" s="16" t="str">
        <f t="shared" ca="1" si="42"/>
        <v/>
      </c>
      <c r="AO29" s="13" t="str">
        <f t="shared" ca="1" si="42"/>
        <v/>
      </c>
      <c r="AP29" s="14" t="str">
        <f t="shared" ca="1" si="42"/>
        <v/>
      </c>
      <c r="AQ29" s="14" t="str">
        <f t="shared" ca="1" si="42"/>
        <v/>
      </c>
      <c r="AR29" s="14" t="str">
        <f t="shared" ca="1" si="42"/>
        <v/>
      </c>
      <c r="AS29" s="14" t="str">
        <f t="shared" ca="1" si="42"/>
        <v/>
      </c>
      <c r="AT29" s="15" t="str">
        <f t="shared" ca="1" si="42"/>
        <v/>
      </c>
      <c r="AU29" s="16" t="str">
        <f t="shared" ca="1" si="42"/>
        <v/>
      </c>
      <c r="AV29" s="13" t="str">
        <f t="shared" ca="1" si="42"/>
        <v/>
      </c>
      <c r="AW29" s="14" t="str">
        <f t="shared" ca="1" si="42"/>
        <v/>
      </c>
      <c r="AX29" s="14" t="str">
        <f t="shared" ca="1" si="42"/>
        <v/>
      </c>
      <c r="AY29" s="14" t="str">
        <f t="shared" ca="1" si="42"/>
        <v/>
      </c>
      <c r="AZ29" s="14" t="str">
        <f t="shared" ca="1" si="42"/>
        <v/>
      </c>
      <c r="BA29" s="15" t="str">
        <f t="shared" ca="1" si="42"/>
        <v/>
      </c>
      <c r="BB29" s="16" t="str">
        <f t="shared" ca="1" si="42"/>
        <v/>
      </c>
      <c r="BC29" s="13" t="str">
        <f t="shared" ca="1" si="42"/>
        <v/>
      </c>
      <c r="BD29" s="14" t="str">
        <f t="shared" ca="1" si="42"/>
        <v/>
      </c>
      <c r="BE29" s="14" t="str">
        <f t="shared" ca="1" si="42"/>
        <v/>
      </c>
      <c r="BF29" s="14" t="str">
        <f t="shared" ca="1" si="42"/>
        <v/>
      </c>
      <c r="BG29" s="14" t="str">
        <f t="shared" ca="1" si="42"/>
        <v/>
      </c>
      <c r="BH29" s="15" t="str">
        <f t="shared" ca="1" si="42"/>
        <v/>
      </c>
      <c r="BI29" s="16" t="str">
        <f t="shared" ca="1" si="42"/>
        <v/>
      </c>
      <c r="BJ29" s="13" t="str">
        <f t="shared" ca="1" si="42"/>
        <v/>
      </c>
      <c r="BK29" s="14" t="str">
        <f t="shared" ca="1" si="42"/>
        <v/>
      </c>
      <c r="BL29" s="14" t="str">
        <f t="shared" ca="1" si="42"/>
        <v/>
      </c>
      <c r="BM29" s="14" t="str">
        <f t="shared" ca="1" si="42"/>
        <v/>
      </c>
      <c r="BN29" s="14" t="str">
        <f t="shared" ca="1" si="42"/>
        <v/>
      </c>
      <c r="BO29" s="15" t="str">
        <f t="shared" ca="1" si="42"/>
        <v/>
      </c>
      <c r="BP29" s="16" t="str">
        <f t="shared" ca="1" si="42"/>
        <v/>
      </c>
      <c r="BQ29" s="13" t="str">
        <f t="shared" ca="1" si="42"/>
        <v/>
      </c>
      <c r="BR29" s="14" t="str">
        <f t="shared" ref="BR29:CW29" ca="1" si="43">IF(AND(BR$5&gt;=$E$11,BR$5&lt;=$E$15),1,"")</f>
        <v/>
      </c>
      <c r="BS29" s="14" t="str">
        <f t="shared" ca="1" si="43"/>
        <v/>
      </c>
      <c r="BT29" s="14" t="str">
        <f t="shared" ca="1" si="43"/>
        <v/>
      </c>
      <c r="BU29" s="14" t="str">
        <f t="shared" ca="1" si="43"/>
        <v/>
      </c>
      <c r="BV29" s="15" t="str">
        <f t="shared" ca="1" si="43"/>
        <v/>
      </c>
      <c r="BW29" s="16" t="str">
        <f t="shared" ca="1" si="43"/>
        <v/>
      </c>
      <c r="BX29" s="13" t="str">
        <f t="shared" ca="1" si="43"/>
        <v/>
      </c>
      <c r="BY29" s="14" t="str">
        <f t="shared" ca="1" si="43"/>
        <v/>
      </c>
      <c r="BZ29" s="14" t="str">
        <f t="shared" ca="1" si="43"/>
        <v/>
      </c>
      <c r="CA29" s="14" t="str">
        <f t="shared" ca="1" si="43"/>
        <v/>
      </c>
      <c r="CB29" s="14" t="str">
        <f t="shared" ca="1" si="43"/>
        <v/>
      </c>
      <c r="CC29" s="15" t="str">
        <f t="shared" ca="1" si="43"/>
        <v/>
      </c>
      <c r="CD29" s="16" t="str">
        <f t="shared" ca="1" si="43"/>
        <v/>
      </c>
      <c r="CE29" s="13" t="str">
        <f t="shared" ca="1" si="43"/>
        <v/>
      </c>
      <c r="CF29" s="14" t="str">
        <f t="shared" ca="1" si="43"/>
        <v/>
      </c>
      <c r="CG29" s="14" t="str">
        <f t="shared" ca="1" si="43"/>
        <v/>
      </c>
      <c r="CH29" s="14" t="str">
        <f t="shared" ca="1" si="43"/>
        <v/>
      </c>
      <c r="CI29" s="14" t="str">
        <f t="shared" ca="1" si="43"/>
        <v/>
      </c>
      <c r="CJ29" s="15" t="str">
        <f t="shared" ca="1" si="43"/>
        <v/>
      </c>
      <c r="CK29" s="16" t="str">
        <f t="shared" ca="1" si="43"/>
        <v/>
      </c>
      <c r="CL29" s="13" t="str">
        <f t="shared" ca="1" si="43"/>
        <v/>
      </c>
      <c r="CM29" s="14" t="str">
        <f t="shared" ca="1" si="43"/>
        <v/>
      </c>
      <c r="CN29" s="14" t="str">
        <f t="shared" ca="1" si="43"/>
        <v/>
      </c>
      <c r="CO29" s="14" t="str">
        <f t="shared" ca="1" si="43"/>
        <v/>
      </c>
      <c r="CP29" s="14" t="str">
        <f t="shared" ca="1" si="43"/>
        <v/>
      </c>
      <c r="CQ29" s="15" t="str">
        <f t="shared" ca="1" si="43"/>
        <v/>
      </c>
      <c r="CR29" s="16" t="str">
        <f t="shared" ca="1" si="43"/>
        <v/>
      </c>
      <c r="CS29" s="13" t="str">
        <f t="shared" ca="1" si="43"/>
        <v/>
      </c>
      <c r="CT29" s="14" t="str">
        <f t="shared" ca="1" si="43"/>
        <v/>
      </c>
      <c r="CU29" s="14" t="str">
        <f t="shared" ca="1" si="43"/>
        <v/>
      </c>
      <c r="CV29" s="14" t="str">
        <f t="shared" ca="1" si="43"/>
        <v/>
      </c>
      <c r="CW29" s="14" t="str">
        <f t="shared" ca="1" si="43"/>
        <v/>
      </c>
      <c r="CX29" s="15" t="str">
        <f t="shared" ref="CX29:EH29" ca="1" si="44">IF(AND(CX$5&gt;=$E$11,CX$5&lt;=$E$15),1,"")</f>
        <v/>
      </c>
      <c r="CY29" s="16" t="str">
        <f t="shared" ca="1" si="44"/>
        <v/>
      </c>
      <c r="CZ29" s="13" t="str">
        <f t="shared" ca="1" si="44"/>
        <v/>
      </c>
      <c r="DA29" s="14" t="str">
        <f t="shared" ca="1" si="44"/>
        <v/>
      </c>
      <c r="DB29" s="14" t="str">
        <f t="shared" ca="1" si="44"/>
        <v/>
      </c>
      <c r="DC29" s="14" t="str">
        <f t="shared" ca="1" si="44"/>
        <v/>
      </c>
      <c r="DD29" s="14" t="str">
        <f t="shared" ca="1" si="44"/>
        <v/>
      </c>
      <c r="DE29" s="15" t="str">
        <f t="shared" ca="1" si="44"/>
        <v/>
      </c>
      <c r="DF29" s="16" t="str">
        <f t="shared" ca="1" si="44"/>
        <v/>
      </c>
      <c r="DG29" s="13" t="str">
        <f t="shared" ca="1" si="44"/>
        <v/>
      </c>
      <c r="DH29" s="14" t="str">
        <f t="shared" ca="1" si="44"/>
        <v/>
      </c>
      <c r="DI29" s="14" t="str">
        <f t="shared" ca="1" si="44"/>
        <v/>
      </c>
      <c r="DJ29" s="14" t="str">
        <f t="shared" ca="1" si="44"/>
        <v/>
      </c>
      <c r="DK29" s="14" t="str">
        <f t="shared" ca="1" si="44"/>
        <v/>
      </c>
      <c r="DL29" s="15" t="str">
        <f t="shared" ca="1" si="44"/>
        <v/>
      </c>
      <c r="DM29" s="16" t="str">
        <f t="shared" ca="1" si="44"/>
        <v/>
      </c>
      <c r="DN29" s="13" t="str">
        <f t="shared" ca="1" si="44"/>
        <v/>
      </c>
      <c r="DO29" s="14" t="str">
        <f t="shared" ca="1" si="44"/>
        <v/>
      </c>
      <c r="DP29" s="14" t="str">
        <f t="shared" ca="1" si="44"/>
        <v/>
      </c>
      <c r="DQ29" s="14" t="str">
        <f t="shared" ca="1" si="44"/>
        <v/>
      </c>
      <c r="DR29" s="14" t="str">
        <f t="shared" ca="1" si="44"/>
        <v/>
      </c>
      <c r="DS29" s="15" t="str">
        <f t="shared" ca="1" si="44"/>
        <v/>
      </c>
      <c r="DT29" s="16" t="str">
        <f t="shared" ca="1" si="44"/>
        <v/>
      </c>
      <c r="DU29" s="13" t="str">
        <f t="shared" ca="1" si="44"/>
        <v/>
      </c>
      <c r="DV29" s="14" t="str">
        <f t="shared" ca="1" si="44"/>
        <v/>
      </c>
      <c r="DW29" s="14" t="str">
        <f t="shared" ca="1" si="44"/>
        <v/>
      </c>
      <c r="DX29" s="14" t="str">
        <f t="shared" ca="1" si="44"/>
        <v/>
      </c>
      <c r="DY29" s="14" t="str">
        <f t="shared" ca="1" si="44"/>
        <v/>
      </c>
      <c r="DZ29" s="15" t="str">
        <f t="shared" ca="1" si="44"/>
        <v/>
      </c>
      <c r="EA29" s="16" t="str">
        <f t="shared" ca="1" si="44"/>
        <v/>
      </c>
      <c r="EB29" s="13" t="str">
        <f t="shared" ca="1" si="44"/>
        <v/>
      </c>
      <c r="EC29" s="14" t="str">
        <f t="shared" ca="1" si="44"/>
        <v/>
      </c>
      <c r="ED29" s="14" t="str">
        <f t="shared" ca="1" si="44"/>
        <v/>
      </c>
      <c r="EE29" s="14" t="str">
        <f t="shared" ca="1" si="44"/>
        <v/>
      </c>
      <c r="EF29" s="14" t="str">
        <f t="shared" ca="1" si="44"/>
        <v/>
      </c>
      <c r="EG29" s="15" t="str">
        <f t="shared" ca="1" si="44"/>
        <v/>
      </c>
      <c r="EH29" s="16" t="str">
        <f t="shared" ca="1" si="44"/>
        <v/>
      </c>
    </row>
    <row r="30" spans="1:138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  <c r="DU30" s="13"/>
      <c r="DV30" s="14"/>
      <c r="DW30" s="14"/>
      <c r="DX30" s="14"/>
      <c r="DY30" s="14"/>
      <c r="DZ30" s="15"/>
      <c r="EA30" s="16"/>
      <c r="EB30" s="13"/>
      <c r="EC30" s="14"/>
      <c r="ED30" s="14"/>
      <c r="EE30" s="14"/>
      <c r="EF30" s="14"/>
      <c r="EG30" s="15"/>
      <c r="EH30" s="16"/>
    </row>
    <row r="31" spans="1:138" s="17" customFormat="1" ht="15" customHeight="1">
      <c r="A31" s="542" t="s">
        <v>58</v>
      </c>
      <c r="B31" s="535"/>
      <c r="C31" s="543">
        <f ca="1">E17-C16+1</f>
        <v>33</v>
      </c>
      <c r="D31" s="535"/>
      <c r="E31" s="537"/>
      <c r="F31" s="14" t="str">
        <f t="shared" ref="F31:AK31" ca="1" si="45">IF(AND(F$5&gt;=$C$16,F$5&lt;=$E$17),1,"")</f>
        <v/>
      </c>
      <c r="G31" s="14" t="str">
        <f t="shared" ca="1" si="45"/>
        <v/>
      </c>
      <c r="H31" s="14" t="str">
        <f t="shared" ca="1" si="45"/>
        <v/>
      </c>
      <c r="I31" s="14" t="str">
        <f t="shared" ca="1" si="45"/>
        <v/>
      </c>
      <c r="J31" s="14" t="str">
        <f t="shared" ca="1" si="45"/>
        <v/>
      </c>
      <c r="K31" s="15" t="str">
        <f t="shared" ca="1" si="45"/>
        <v/>
      </c>
      <c r="L31" s="16" t="str">
        <f t="shared" ca="1" si="45"/>
        <v/>
      </c>
      <c r="M31" s="13" t="str">
        <f t="shared" ca="1" si="45"/>
        <v/>
      </c>
      <c r="N31" s="14" t="str">
        <f t="shared" ca="1" si="45"/>
        <v/>
      </c>
      <c r="O31" s="14" t="str">
        <f t="shared" ca="1" si="45"/>
        <v/>
      </c>
      <c r="P31" s="14" t="str">
        <f t="shared" ca="1" si="45"/>
        <v/>
      </c>
      <c r="Q31" s="14" t="str">
        <f t="shared" ca="1" si="45"/>
        <v/>
      </c>
      <c r="R31" s="15" t="str">
        <f t="shared" ca="1" si="45"/>
        <v/>
      </c>
      <c r="S31" s="16" t="str">
        <f t="shared" ca="1" si="45"/>
        <v/>
      </c>
      <c r="T31" s="13" t="str">
        <f t="shared" ca="1" si="45"/>
        <v/>
      </c>
      <c r="U31" s="14" t="str">
        <f t="shared" ca="1" si="45"/>
        <v/>
      </c>
      <c r="V31" s="14" t="str">
        <f t="shared" ca="1" si="45"/>
        <v/>
      </c>
      <c r="W31" s="14" t="str">
        <f t="shared" ca="1" si="45"/>
        <v/>
      </c>
      <c r="X31" s="14" t="str">
        <f t="shared" ca="1" si="45"/>
        <v/>
      </c>
      <c r="Y31" s="15" t="str">
        <f t="shared" ca="1" si="45"/>
        <v/>
      </c>
      <c r="Z31" s="16" t="str">
        <f t="shared" ca="1" si="45"/>
        <v/>
      </c>
      <c r="AA31" s="13" t="str">
        <f t="shared" ca="1" si="45"/>
        <v/>
      </c>
      <c r="AB31" s="14" t="str">
        <f t="shared" ca="1" si="45"/>
        <v/>
      </c>
      <c r="AC31" s="14" t="str">
        <f t="shared" ca="1" si="45"/>
        <v/>
      </c>
      <c r="AD31" s="14" t="str">
        <f t="shared" ca="1" si="45"/>
        <v/>
      </c>
      <c r="AE31" s="14" t="str">
        <f t="shared" ca="1" si="45"/>
        <v/>
      </c>
      <c r="AF31" s="15" t="str">
        <f t="shared" ca="1" si="45"/>
        <v/>
      </c>
      <c r="AG31" s="16">
        <f t="shared" ca="1" si="45"/>
        <v>1</v>
      </c>
      <c r="AH31" s="13">
        <f t="shared" ca="1" si="45"/>
        <v>1</v>
      </c>
      <c r="AI31" s="14">
        <f t="shared" ca="1" si="45"/>
        <v>1</v>
      </c>
      <c r="AJ31" s="14">
        <f t="shared" ca="1" si="45"/>
        <v>1</v>
      </c>
      <c r="AK31" s="14">
        <f t="shared" ca="1" si="45"/>
        <v>1</v>
      </c>
      <c r="AL31" s="14">
        <f t="shared" ref="AL31:BQ31" ca="1" si="46">IF(AND(AL$5&gt;=$C$16,AL$5&lt;=$E$17),1,"")</f>
        <v>1</v>
      </c>
      <c r="AM31" s="15">
        <f t="shared" ca="1" si="46"/>
        <v>1</v>
      </c>
      <c r="AN31" s="16">
        <f t="shared" ca="1" si="46"/>
        <v>1</v>
      </c>
      <c r="AO31" s="13">
        <f t="shared" ca="1" si="46"/>
        <v>1</v>
      </c>
      <c r="AP31" s="14">
        <f t="shared" ca="1" si="46"/>
        <v>1</v>
      </c>
      <c r="AQ31" s="14">
        <f t="shared" ca="1" si="46"/>
        <v>1</v>
      </c>
      <c r="AR31" s="14">
        <f t="shared" ca="1" si="46"/>
        <v>1</v>
      </c>
      <c r="AS31" s="14">
        <f t="shared" ca="1" si="46"/>
        <v>1</v>
      </c>
      <c r="AT31" s="15">
        <f t="shared" ca="1" si="46"/>
        <v>1</v>
      </c>
      <c r="AU31" s="16">
        <f t="shared" ca="1" si="46"/>
        <v>1</v>
      </c>
      <c r="AV31" s="13">
        <f t="shared" ca="1" si="46"/>
        <v>1</v>
      </c>
      <c r="AW31" s="14">
        <f t="shared" ca="1" si="46"/>
        <v>1</v>
      </c>
      <c r="AX31" s="14">
        <f t="shared" ca="1" si="46"/>
        <v>1</v>
      </c>
      <c r="AY31" s="14">
        <f t="shared" ca="1" si="46"/>
        <v>1</v>
      </c>
      <c r="AZ31" s="14">
        <f t="shared" ca="1" si="46"/>
        <v>1</v>
      </c>
      <c r="BA31" s="15">
        <f t="shared" ca="1" si="46"/>
        <v>1</v>
      </c>
      <c r="BB31" s="16">
        <f t="shared" ca="1" si="46"/>
        <v>1</v>
      </c>
      <c r="BC31" s="13">
        <f t="shared" ca="1" si="46"/>
        <v>1</v>
      </c>
      <c r="BD31" s="14">
        <f t="shared" ca="1" si="46"/>
        <v>1</v>
      </c>
      <c r="BE31" s="14">
        <f t="shared" ca="1" si="46"/>
        <v>1</v>
      </c>
      <c r="BF31" s="14">
        <f t="shared" ca="1" si="46"/>
        <v>1</v>
      </c>
      <c r="BG31" s="14">
        <f t="shared" ca="1" si="46"/>
        <v>1</v>
      </c>
      <c r="BH31" s="15">
        <f t="shared" ca="1" si="46"/>
        <v>1</v>
      </c>
      <c r="BI31" s="16">
        <f t="shared" ca="1" si="46"/>
        <v>1</v>
      </c>
      <c r="BJ31" s="13">
        <f t="shared" ca="1" si="46"/>
        <v>1</v>
      </c>
      <c r="BK31" s="14">
        <f t="shared" ca="1" si="46"/>
        <v>1</v>
      </c>
      <c r="BL31" s="14">
        <f t="shared" ca="1" si="46"/>
        <v>1</v>
      </c>
      <c r="BM31" s="14">
        <f t="shared" ca="1" si="46"/>
        <v>1</v>
      </c>
      <c r="BN31" s="14" t="str">
        <f t="shared" ca="1" si="46"/>
        <v/>
      </c>
      <c r="BO31" s="15" t="str">
        <f t="shared" ca="1" si="46"/>
        <v/>
      </c>
      <c r="BP31" s="16" t="str">
        <f t="shared" ca="1" si="46"/>
        <v/>
      </c>
      <c r="BQ31" s="13" t="str">
        <f t="shared" ca="1" si="46"/>
        <v/>
      </c>
      <c r="BR31" s="14" t="str">
        <f t="shared" ref="BR31:CW31" ca="1" si="47">IF(AND(BR$5&gt;=$C$16,BR$5&lt;=$E$17),1,"")</f>
        <v/>
      </c>
      <c r="BS31" s="14" t="str">
        <f t="shared" ca="1" si="47"/>
        <v/>
      </c>
      <c r="BT31" s="14" t="str">
        <f t="shared" ca="1" si="47"/>
        <v/>
      </c>
      <c r="BU31" s="14" t="str">
        <f t="shared" ca="1" si="47"/>
        <v/>
      </c>
      <c r="BV31" s="15" t="str">
        <f t="shared" ca="1" si="47"/>
        <v/>
      </c>
      <c r="BW31" s="16" t="str">
        <f t="shared" ca="1" si="47"/>
        <v/>
      </c>
      <c r="BX31" s="13" t="str">
        <f t="shared" ca="1" si="47"/>
        <v/>
      </c>
      <c r="BY31" s="14" t="str">
        <f t="shared" ca="1" si="47"/>
        <v/>
      </c>
      <c r="BZ31" s="14" t="str">
        <f t="shared" ca="1" si="47"/>
        <v/>
      </c>
      <c r="CA31" s="14" t="str">
        <f t="shared" ca="1" si="47"/>
        <v/>
      </c>
      <c r="CB31" s="14" t="str">
        <f t="shared" ca="1" si="47"/>
        <v/>
      </c>
      <c r="CC31" s="15" t="str">
        <f t="shared" ca="1" si="47"/>
        <v/>
      </c>
      <c r="CD31" s="16" t="str">
        <f t="shared" ca="1" si="47"/>
        <v/>
      </c>
      <c r="CE31" s="13" t="str">
        <f t="shared" ca="1" si="47"/>
        <v/>
      </c>
      <c r="CF31" s="14" t="str">
        <f t="shared" ca="1" si="47"/>
        <v/>
      </c>
      <c r="CG31" s="14" t="str">
        <f t="shared" ca="1" si="47"/>
        <v/>
      </c>
      <c r="CH31" s="14" t="str">
        <f t="shared" ca="1" si="47"/>
        <v/>
      </c>
      <c r="CI31" s="14" t="str">
        <f t="shared" ca="1" si="47"/>
        <v/>
      </c>
      <c r="CJ31" s="15" t="str">
        <f t="shared" ca="1" si="47"/>
        <v/>
      </c>
      <c r="CK31" s="16" t="str">
        <f t="shared" ca="1" si="47"/>
        <v/>
      </c>
      <c r="CL31" s="13" t="str">
        <f t="shared" ca="1" si="47"/>
        <v/>
      </c>
      <c r="CM31" s="14" t="str">
        <f t="shared" ca="1" si="47"/>
        <v/>
      </c>
      <c r="CN31" s="14" t="str">
        <f t="shared" ca="1" si="47"/>
        <v/>
      </c>
      <c r="CO31" s="14" t="str">
        <f t="shared" ca="1" si="47"/>
        <v/>
      </c>
      <c r="CP31" s="14" t="str">
        <f t="shared" ca="1" si="47"/>
        <v/>
      </c>
      <c r="CQ31" s="15" t="str">
        <f t="shared" ca="1" si="47"/>
        <v/>
      </c>
      <c r="CR31" s="16" t="str">
        <f t="shared" ca="1" si="47"/>
        <v/>
      </c>
      <c r="CS31" s="13" t="str">
        <f t="shared" ca="1" si="47"/>
        <v/>
      </c>
      <c r="CT31" s="14" t="str">
        <f t="shared" ca="1" si="47"/>
        <v/>
      </c>
      <c r="CU31" s="14" t="str">
        <f t="shared" ca="1" si="47"/>
        <v/>
      </c>
      <c r="CV31" s="14" t="str">
        <f t="shared" ca="1" si="47"/>
        <v/>
      </c>
      <c r="CW31" s="14" t="str">
        <f t="shared" ca="1" si="47"/>
        <v/>
      </c>
      <c r="CX31" s="15" t="str">
        <f t="shared" ref="CX31:EH31" ca="1" si="48">IF(AND(CX$5&gt;=$C$16,CX$5&lt;=$E$17),1,"")</f>
        <v/>
      </c>
      <c r="CY31" s="16" t="str">
        <f t="shared" ca="1" si="48"/>
        <v/>
      </c>
      <c r="CZ31" s="13" t="str">
        <f t="shared" ca="1" si="48"/>
        <v/>
      </c>
      <c r="DA31" s="14" t="str">
        <f t="shared" ca="1" si="48"/>
        <v/>
      </c>
      <c r="DB31" s="14" t="str">
        <f t="shared" ca="1" si="48"/>
        <v/>
      </c>
      <c r="DC31" s="14" t="str">
        <f t="shared" ca="1" si="48"/>
        <v/>
      </c>
      <c r="DD31" s="14" t="str">
        <f t="shared" ca="1" si="48"/>
        <v/>
      </c>
      <c r="DE31" s="15" t="str">
        <f t="shared" ca="1" si="48"/>
        <v/>
      </c>
      <c r="DF31" s="16" t="str">
        <f t="shared" ca="1" si="48"/>
        <v/>
      </c>
      <c r="DG31" s="13" t="str">
        <f t="shared" ca="1" si="48"/>
        <v/>
      </c>
      <c r="DH31" s="14" t="str">
        <f t="shared" ca="1" si="48"/>
        <v/>
      </c>
      <c r="DI31" s="14" t="str">
        <f t="shared" ca="1" si="48"/>
        <v/>
      </c>
      <c r="DJ31" s="14" t="str">
        <f t="shared" ca="1" si="48"/>
        <v/>
      </c>
      <c r="DK31" s="14" t="str">
        <f t="shared" ca="1" si="48"/>
        <v/>
      </c>
      <c r="DL31" s="15" t="str">
        <f t="shared" ca="1" si="48"/>
        <v/>
      </c>
      <c r="DM31" s="16" t="str">
        <f t="shared" ca="1" si="48"/>
        <v/>
      </c>
      <c r="DN31" s="13" t="str">
        <f t="shared" ca="1" si="48"/>
        <v/>
      </c>
      <c r="DO31" s="14" t="str">
        <f t="shared" ca="1" si="48"/>
        <v/>
      </c>
      <c r="DP31" s="14" t="str">
        <f t="shared" ca="1" si="48"/>
        <v/>
      </c>
      <c r="DQ31" s="14" t="str">
        <f t="shared" ca="1" si="48"/>
        <v/>
      </c>
      <c r="DR31" s="14" t="str">
        <f t="shared" ca="1" si="48"/>
        <v/>
      </c>
      <c r="DS31" s="15" t="str">
        <f t="shared" ca="1" si="48"/>
        <v/>
      </c>
      <c r="DT31" s="16" t="str">
        <f t="shared" ca="1" si="48"/>
        <v/>
      </c>
      <c r="DU31" s="13" t="str">
        <f t="shared" ca="1" si="48"/>
        <v/>
      </c>
      <c r="DV31" s="14" t="str">
        <f t="shared" ca="1" si="48"/>
        <v/>
      </c>
      <c r="DW31" s="14" t="str">
        <f t="shared" ca="1" si="48"/>
        <v/>
      </c>
      <c r="DX31" s="14" t="str">
        <f t="shared" ca="1" si="48"/>
        <v/>
      </c>
      <c r="DY31" s="14" t="str">
        <f t="shared" ca="1" si="48"/>
        <v/>
      </c>
      <c r="DZ31" s="15" t="str">
        <f t="shared" ca="1" si="48"/>
        <v/>
      </c>
      <c r="EA31" s="16" t="str">
        <f t="shared" ca="1" si="48"/>
        <v/>
      </c>
      <c r="EB31" s="13" t="str">
        <f t="shared" ca="1" si="48"/>
        <v/>
      </c>
      <c r="EC31" s="14" t="str">
        <f t="shared" ca="1" si="48"/>
        <v/>
      </c>
      <c r="ED31" s="14" t="str">
        <f t="shared" ca="1" si="48"/>
        <v/>
      </c>
      <c r="EE31" s="14" t="str">
        <f t="shared" ca="1" si="48"/>
        <v/>
      </c>
      <c r="EF31" s="14" t="str">
        <f t="shared" ca="1" si="48"/>
        <v/>
      </c>
      <c r="EG31" s="15" t="str">
        <f t="shared" ca="1" si="48"/>
        <v/>
      </c>
      <c r="EH31" s="16" t="str">
        <f t="shared" ca="1" si="48"/>
        <v/>
      </c>
    </row>
    <row r="32" spans="1:138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  <c r="DU32" s="13"/>
      <c r="DV32" s="14"/>
      <c r="DW32" s="14"/>
      <c r="DX32" s="14"/>
      <c r="DY32" s="14"/>
      <c r="DZ32" s="15"/>
      <c r="EA32" s="16"/>
      <c r="EB32" s="13"/>
      <c r="EC32" s="14"/>
      <c r="ED32" s="14"/>
      <c r="EE32" s="14"/>
      <c r="EF32" s="14"/>
      <c r="EG32" s="15"/>
      <c r="EH32" s="16"/>
    </row>
    <row r="33" spans="1:138" s="17" customFormat="1" ht="15" customHeight="1">
      <c r="A33" s="544" t="s">
        <v>59</v>
      </c>
      <c r="B33" s="535"/>
      <c r="C33" s="545">
        <f ca="1">E23-C11+1</f>
        <v>55</v>
      </c>
      <c r="D33" s="535"/>
      <c r="E33" s="537"/>
      <c r="F33" s="14" t="str">
        <f t="shared" ref="F33:AK33" ca="1" si="49">IF(AND(F$5&gt;=$C$11,F$5&lt;=$E$23),1,"")</f>
        <v/>
      </c>
      <c r="G33" s="14" t="str">
        <f t="shared" ca="1" si="49"/>
        <v/>
      </c>
      <c r="H33" s="14" t="str">
        <f t="shared" ca="1" si="49"/>
        <v/>
      </c>
      <c r="I33" s="14" t="str">
        <f t="shared" ca="1" si="49"/>
        <v/>
      </c>
      <c r="J33" s="14" t="str">
        <f t="shared" ca="1" si="49"/>
        <v/>
      </c>
      <c r="K33" s="15" t="str">
        <f t="shared" ca="1" si="49"/>
        <v/>
      </c>
      <c r="L33" s="16" t="str">
        <f t="shared" ca="1" si="49"/>
        <v/>
      </c>
      <c r="M33" s="13" t="str">
        <f t="shared" ca="1" si="49"/>
        <v/>
      </c>
      <c r="N33" s="14" t="str">
        <f t="shared" ca="1" si="49"/>
        <v/>
      </c>
      <c r="O33" s="14" t="str">
        <f t="shared" ca="1" si="49"/>
        <v/>
      </c>
      <c r="P33" s="14" t="str">
        <f t="shared" ca="1" si="49"/>
        <v/>
      </c>
      <c r="Q33" s="14" t="str">
        <f t="shared" ca="1" si="49"/>
        <v/>
      </c>
      <c r="R33" s="15" t="str">
        <f t="shared" ca="1" si="49"/>
        <v/>
      </c>
      <c r="S33" s="16" t="str">
        <f t="shared" ca="1" si="49"/>
        <v/>
      </c>
      <c r="T33" s="13" t="str">
        <f t="shared" ca="1" si="49"/>
        <v/>
      </c>
      <c r="U33" s="14">
        <f t="shared" ca="1" si="49"/>
        <v>1</v>
      </c>
      <c r="V33" s="14">
        <f t="shared" ca="1" si="49"/>
        <v>1</v>
      </c>
      <c r="W33" s="14">
        <f t="shared" ca="1" si="49"/>
        <v>1</v>
      </c>
      <c r="X33" s="14">
        <f t="shared" ca="1" si="49"/>
        <v>1</v>
      </c>
      <c r="Y33" s="15">
        <f t="shared" ca="1" si="49"/>
        <v>1</v>
      </c>
      <c r="Z33" s="16">
        <f t="shared" ca="1" si="49"/>
        <v>1</v>
      </c>
      <c r="AA33" s="13">
        <f t="shared" ca="1" si="49"/>
        <v>1</v>
      </c>
      <c r="AB33" s="14">
        <f t="shared" ca="1" si="49"/>
        <v>1</v>
      </c>
      <c r="AC33" s="14">
        <f t="shared" ca="1" si="49"/>
        <v>1</v>
      </c>
      <c r="AD33" s="14">
        <f t="shared" ca="1" si="49"/>
        <v>1</v>
      </c>
      <c r="AE33" s="14">
        <f t="shared" ca="1" si="49"/>
        <v>1</v>
      </c>
      <c r="AF33" s="15">
        <f t="shared" ca="1" si="49"/>
        <v>1</v>
      </c>
      <c r="AG33" s="16">
        <f t="shared" ca="1" si="49"/>
        <v>1</v>
      </c>
      <c r="AH33" s="13">
        <f t="shared" ca="1" si="49"/>
        <v>1</v>
      </c>
      <c r="AI33" s="14">
        <f t="shared" ca="1" si="49"/>
        <v>1</v>
      </c>
      <c r="AJ33" s="14">
        <f t="shared" ca="1" si="49"/>
        <v>1</v>
      </c>
      <c r="AK33" s="14">
        <f t="shared" ca="1" si="49"/>
        <v>1</v>
      </c>
      <c r="AL33" s="14">
        <f t="shared" ref="AL33:BQ33" ca="1" si="50">IF(AND(AL$5&gt;=$C$11,AL$5&lt;=$E$23),1,"")</f>
        <v>1</v>
      </c>
      <c r="AM33" s="15">
        <f t="shared" ca="1" si="50"/>
        <v>1</v>
      </c>
      <c r="AN33" s="16">
        <f t="shared" ca="1" si="50"/>
        <v>1</v>
      </c>
      <c r="AO33" s="13">
        <f t="shared" ca="1" si="50"/>
        <v>1</v>
      </c>
      <c r="AP33" s="14">
        <f t="shared" ca="1" si="50"/>
        <v>1</v>
      </c>
      <c r="AQ33" s="14">
        <f t="shared" ca="1" si="50"/>
        <v>1</v>
      </c>
      <c r="AR33" s="14">
        <f t="shared" ca="1" si="50"/>
        <v>1</v>
      </c>
      <c r="AS33" s="14">
        <f t="shared" ca="1" si="50"/>
        <v>1</v>
      </c>
      <c r="AT33" s="15">
        <f t="shared" ca="1" si="50"/>
        <v>1</v>
      </c>
      <c r="AU33" s="16">
        <f t="shared" ca="1" si="50"/>
        <v>1</v>
      </c>
      <c r="AV33" s="13">
        <f t="shared" ca="1" si="50"/>
        <v>1</v>
      </c>
      <c r="AW33" s="14">
        <f t="shared" ca="1" si="50"/>
        <v>1</v>
      </c>
      <c r="AX33" s="14">
        <f t="shared" ca="1" si="50"/>
        <v>1</v>
      </c>
      <c r="AY33" s="14">
        <f t="shared" ca="1" si="50"/>
        <v>1</v>
      </c>
      <c r="AZ33" s="14">
        <f t="shared" ca="1" si="50"/>
        <v>1</v>
      </c>
      <c r="BA33" s="15">
        <f t="shared" ca="1" si="50"/>
        <v>1</v>
      </c>
      <c r="BB33" s="16">
        <f t="shared" ca="1" si="50"/>
        <v>1</v>
      </c>
      <c r="BC33" s="13">
        <f t="shared" ca="1" si="50"/>
        <v>1</v>
      </c>
      <c r="BD33" s="14">
        <f t="shared" ca="1" si="50"/>
        <v>1</v>
      </c>
      <c r="BE33" s="14">
        <f t="shared" ca="1" si="50"/>
        <v>1</v>
      </c>
      <c r="BF33" s="14">
        <f t="shared" ca="1" si="50"/>
        <v>1</v>
      </c>
      <c r="BG33" s="14">
        <f t="shared" ca="1" si="50"/>
        <v>1</v>
      </c>
      <c r="BH33" s="15">
        <f t="shared" ca="1" si="50"/>
        <v>1</v>
      </c>
      <c r="BI33" s="16">
        <f t="shared" ca="1" si="50"/>
        <v>1</v>
      </c>
      <c r="BJ33" s="13">
        <f t="shared" ca="1" si="50"/>
        <v>1</v>
      </c>
      <c r="BK33" s="14">
        <f t="shared" ca="1" si="50"/>
        <v>1</v>
      </c>
      <c r="BL33" s="14">
        <f t="shared" ca="1" si="50"/>
        <v>1</v>
      </c>
      <c r="BM33" s="14">
        <f t="shared" ca="1" si="50"/>
        <v>1</v>
      </c>
      <c r="BN33" s="14">
        <f t="shared" ca="1" si="50"/>
        <v>1</v>
      </c>
      <c r="BO33" s="15">
        <f t="shared" ca="1" si="50"/>
        <v>1</v>
      </c>
      <c r="BP33" s="16">
        <f t="shared" ca="1" si="50"/>
        <v>1</v>
      </c>
      <c r="BQ33" s="13">
        <f t="shared" ca="1" si="50"/>
        <v>1</v>
      </c>
      <c r="BR33" s="14">
        <f t="shared" ref="BR33:CW33" ca="1" si="51">IF(AND(BR$5&gt;=$C$11,BR$5&lt;=$E$23),1,"")</f>
        <v>1</v>
      </c>
      <c r="BS33" s="14">
        <f t="shared" ca="1" si="51"/>
        <v>1</v>
      </c>
      <c r="BT33" s="14">
        <f t="shared" ca="1" si="51"/>
        <v>1</v>
      </c>
      <c r="BU33" s="14">
        <f t="shared" ca="1" si="51"/>
        <v>1</v>
      </c>
      <c r="BV33" s="15">
        <f t="shared" ca="1" si="51"/>
        <v>1</v>
      </c>
      <c r="BW33" s="16">
        <f t="shared" ca="1" si="51"/>
        <v>1</v>
      </c>
      <c r="BX33" s="13" t="str">
        <f t="shared" ca="1" si="51"/>
        <v/>
      </c>
      <c r="BY33" s="14" t="str">
        <f t="shared" ca="1" si="51"/>
        <v/>
      </c>
      <c r="BZ33" s="14" t="str">
        <f t="shared" ca="1" si="51"/>
        <v/>
      </c>
      <c r="CA33" s="14" t="str">
        <f t="shared" ca="1" si="51"/>
        <v/>
      </c>
      <c r="CB33" s="14" t="str">
        <f t="shared" ca="1" si="51"/>
        <v/>
      </c>
      <c r="CC33" s="15" t="str">
        <f t="shared" ca="1" si="51"/>
        <v/>
      </c>
      <c r="CD33" s="16" t="str">
        <f t="shared" ca="1" si="51"/>
        <v/>
      </c>
      <c r="CE33" s="13" t="str">
        <f t="shared" ca="1" si="51"/>
        <v/>
      </c>
      <c r="CF33" s="14" t="str">
        <f t="shared" ca="1" si="51"/>
        <v/>
      </c>
      <c r="CG33" s="14" t="str">
        <f t="shared" ca="1" si="51"/>
        <v/>
      </c>
      <c r="CH33" s="14" t="str">
        <f t="shared" ca="1" si="51"/>
        <v/>
      </c>
      <c r="CI33" s="14" t="str">
        <f t="shared" ca="1" si="51"/>
        <v/>
      </c>
      <c r="CJ33" s="15" t="str">
        <f t="shared" ca="1" si="51"/>
        <v/>
      </c>
      <c r="CK33" s="16" t="str">
        <f t="shared" ca="1" si="51"/>
        <v/>
      </c>
      <c r="CL33" s="13" t="str">
        <f t="shared" ca="1" si="51"/>
        <v/>
      </c>
      <c r="CM33" s="14" t="str">
        <f t="shared" ca="1" si="51"/>
        <v/>
      </c>
      <c r="CN33" s="14" t="str">
        <f t="shared" ca="1" si="51"/>
        <v/>
      </c>
      <c r="CO33" s="14" t="str">
        <f t="shared" ca="1" si="51"/>
        <v/>
      </c>
      <c r="CP33" s="14" t="str">
        <f t="shared" ca="1" si="51"/>
        <v/>
      </c>
      <c r="CQ33" s="15" t="str">
        <f t="shared" ca="1" si="51"/>
        <v/>
      </c>
      <c r="CR33" s="16" t="str">
        <f t="shared" ca="1" si="51"/>
        <v/>
      </c>
      <c r="CS33" s="13" t="str">
        <f t="shared" ca="1" si="51"/>
        <v/>
      </c>
      <c r="CT33" s="14" t="str">
        <f t="shared" ca="1" si="51"/>
        <v/>
      </c>
      <c r="CU33" s="14" t="str">
        <f t="shared" ca="1" si="51"/>
        <v/>
      </c>
      <c r="CV33" s="14" t="str">
        <f t="shared" ca="1" si="51"/>
        <v/>
      </c>
      <c r="CW33" s="14" t="str">
        <f t="shared" ca="1" si="51"/>
        <v/>
      </c>
      <c r="CX33" s="15" t="str">
        <f t="shared" ref="CX33:EH33" ca="1" si="52">IF(AND(CX$5&gt;=$C$11,CX$5&lt;=$E$23),1,"")</f>
        <v/>
      </c>
      <c r="CY33" s="16" t="str">
        <f t="shared" ca="1" si="52"/>
        <v/>
      </c>
      <c r="CZ33" s="13" t="str">
        <f t="shared" ca="1" si="52"/>
        <v/>
      </c>
      <c r="DA33" s="14" t="str">
        <f t="shared" ca="1" si="52"/>
        <v/>
      </c>
      <c r="DB33" s="14" t="str">
        <f t="shared" ca="1" si="52"/>
        <v/>
      </c>
      <c r="DC33" s="14" t="str">
        <f t="shared" ca="1" si="52"/>
        <v/>
      </c>
      <c r="DD33" s="14" t="str">
        <f t="shared" ca="1" si="52"/>
        <v/>
      </c>
      <c r="DE33" s="15" t="str">
        <f t="shared" ca="1" si="52"/>
        <v/>
      </c>
      <c r="DF33" s="16" t="str">
        <f t="shared" ca="1" si="52"/>
        <v/>
      </c>
      <c r="DG33" s="13" t="str">
        <f t="shared" ca="1" si="52"/>
        <v/>
      </c>
      <c r="DH33" s="14" t="str">
        <f t="shared" ca="1" si="52"/>
        <v/>
      </c>
      <c r="DI33" s="14" t="str">
        <f t="shared" ca="1" si="52"/>
        <v/>
      </c>
      <c r="DJ33" s="14" t="str">
        <f t="shared" ca="1" si="52"/>
        <v/>
      </c>
      <c r="DK33" s="14" t="str">
        <f t="shared" ca="1" si="52"/>
        <v/>
      </c>
      <c r="DL33" s="15" t="str">
        <f t="shared" ca="1" si="52"/>
        <v/>
      </c>
      <c r="DM33" s="16" t="str">
        <f t="shared" ca="1" si="52"/>
        <v/>
      </c>
      <c r="DN33" s="13" t="str">
        <f t="shared" ca="1" si="52"/>
        <v/>
      </c>
      <c r="DO33" s="14" t="str">
        <f t="shared" ca="1" si="52"/>
        <v/>
      </c>
      <c r="DP33" s="14" t="str">
        <f t="shared" ca="1" si="52"/>
        <v/>
      </c>
      <c r="DQ33" s="14" t="str">
        <f t="shared" ca="1" si="52"/>
        <v/>
      </c>
      <c r="DR33" s="14" t="str">
        <f t="shared" ca="1" si="52"/>
        <v/>
      </c>
      <c r="DS33" s="15" t="str">
        <f t="shared" ca="1" si="52"/>
        <v/>
      </c>
      <c r="DT33" s="16" t="str">
        <f t="shared" ca="1" si="52"/>
        <v/>
      </c>
      <c r="DU33" s="13" t="str">
        <f t="shared" ca="1" si="52"/>
        <v/>
      </c>
      <c r="DV33" s="14" t="str">
        <f t="shared" ca="1" si="52"/>
        <v/>
      </c>
      <c r="DW33" s="14" t="str">
        <f t="shared" ca="1" si="52"/>
        <v/>
      </c>
      <c r="DX33" s="14" t="str">
        <f t="shared" ca="1" si="52"/>
        <v/>
      </c>
      <c r="DY33" s="14" t="str">
        <f t="shared" ca="1" si="52"/>
        <v/>
      </c>
      <c r="DZ33" s="15" t="str">
        <f t="shared" ca="1" si="52"/>
        <v/>
      </c>
      <c r="EA33" s="16" t="str">
        <f t="shared" ca="1" si="52"/>
        <v/>
      </c>
      <c r="EB33" s="13" t="str">
        <f t="shared" ca="1" si="52"/>
        <v/>
      </c>
      <c r="EC33" s="14" t="str">
        <f t="shared" ca="1" si="52"/>
        <v/>
      </c>
      <c r="ED33" s="14" t="str">
        <f t="shared" ca="1" si="52"/>
        <v/>
      </c>
      <c r="EE33" s="14" t="str">
        <f t="shared" ca="1" si="52"/>
        <v/>
      </c>
      <c r="EF33" s="14" t="str">
        <f t="shared" ca="1" si="52"/>
        <v/>
      </c>
      <c r="EG33" s="15" t="str">
        <f t="shared" ca="1" si="52"/>
        <v/>
      </c>
      <c r="EH33" s="16" t="str">
        <f t="shared" ca="1" si="52"/>
        <v/>
      </c>
    </row>
    <row r="34" spans="1:138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  <c r="DU34" s="13"/>
      <c r="DV34" s="14"/>
      <c r="DW34" s="14"/>
      <c r="DX34" s="14"/>
      <c r="DY34" s="14"/>
      <c r="DZ34" s="15"/>
      <c r="EA34" s="16"/>
      <c r="EB34" s="13"/>
      <c r="EC34" s="14"/>
      <c r="ED34" s="14"/>
      <c r="EE34" s="14"/>
      <c r="EF34" s="14"/>
      <c r="EG34" s="15"/>
      <c r="EH34" s="16"/>
    </row>
    <row r="35" spans="1:138" s="17" customFormat="1" ht="15" customHeight="1">
      <c r="A35" s="534" t="s">
        <v>60</v>
      </c>
      <c r="B35" s="535"/>
      <c r="C35" s="536">
        <f ca="1">E23-C8+1</f>
        <v>64</v>
      </c>
      <c r="D35" s="535"/>
      <c r="E35" s="537"/>
      <c r="F35" s="14" t="str">
        <f t="shared" ref="F35:AK35" ca="1" si="53">IF(AND(F$5&gt;=$C$8,F$5&lt;=$E$23),1,"")</f>
        <v/>
      </c>
      <c r="G35" s="14" t="str">
        <f t="shared" ca="1" si="53"/>
        <v/>
      </c>
      <c r="H35" s="14" t="str">
        <f t="shared" ca="1" si="53"/>
        <v/>
      </c>
      <c r="I35" s="14" t="str">
        <f t="shared" ca="1" si="53"/>
        <v/>
      </c>
      <c r="J35" s="14" t="str">
        <f t="shared" ca="1" si="53"/>
        <v/>
      </c>
      <c r="K35" s="15" t="str">
        <f t="shared" ca="1" si="53"/>
        <v/>
      </c>
      <c r="L35" s="16">
        <f t="shared" ca="1" si="53"/>
        <v>1</v>
      </c>
      <c r="M35" s="13">
        <f t="shared" ca="1" si="53"/>
        <v>1</v>
      </c>
      <c r="N35" s="14">
        <f t="shared" ca="1" si="53"/>
        <v>1</v>
      </c>
      <c r="O35" s="14">
        <f t="shared" ca="1" si="53"/>
        <v>1</v>
      </c>
      <c r="P35" s="14">
        <f t="shared" ca="1" si="53"/>
        <v>1</v>
      </c>
      <c r="Q35" s="14">
        <f t="shared" ca="1" si="53"/>
        <v>1</v>
      </c>
      <c r="R35" s="15">
        <f t="shared" ca="1" si="53"/>
        <v>1</v>
      </c>
      <c r="S35" s="16">
        <f t="shared" ca="1" si="53"/>
        <v>1</v>
      </c>
      <c r="T35" s="13">
        <f t="shared" ca="1" si="53"/>
        <v>1</v>
      </c>
      <c r="U35" s="14">
        <f t="shared" ca="1" si="53"/>
        <v>1</v>
      </c>
      <c r="V35" s="14">
        <f t="shared" ca="1" si="53"/>
        <v>1</v>
      </c>
      <c r="W35" s="14">
        <f t="shared" ca="1" si="53"/>
        <v>1</v>
      </c>
      <c r="X35" s="14">
        <f t="shared" ca="1" si="53"/>
        <v>1</v>
      </c>
      <c r="Y35" s="15">
        <f t="shared" ca="1" si="53"/>
        <v>1</v>
      </c>
      <c r="Z35" s="16">
        <f t="shared" ca="1" si="53"/>
        <v>1</v>
      </c>
      <c r="AA35" s="13">
        <f t="shared" ca="1" si="53"/>
        <v>1</v>
      </c>
      <c r="AB35" s="14">
        <f t="shared" ca="1" si="53"/>
        <v>1</v>
      </c>
      <c r="AC35" s="14">
        <f t="shared" ca="1" si="53"/>
        <v>1</v>
      </c>
      <c r="AD35" s="14">
        <f t="shared" ca="1" si="53"/>
        <v>1</v>
      </c>
      <c r="AE35" s="14">
        <f t="shared" ca="1" si="53"/>
        <v>1</v>
      </c>
      <c r="AF35" s="15">
        <f t="shared" ca="1" si="53"/>
        <v>1</v>
      </c>
      <c r="AG35" s="16">
        <f t="shared" ca="1" si="53"/>
        <v>1</v>
      </c>
      <c r="AH35" s="13">
        <f t="shared" ca="1" si="53"/>
        <v>1</v>
      </c>
      <c r="AI35" s="14">
        <f t="shared" ca="1" si="53"/>
        <v>1</v>
      </c>
      <c r="AJ35" s="14">
        <f t="shared" ca="1" si="53"/>
        <v>1</v>
      </c>
      <c r="AK35" s="14">
        <f t="shared" ca="1" si="53"/>
        <v>1</v>
      </c>
      <c r="AL35" s="14">
        <f t="shared" ref="AL35:BQ35" ca="1" si="54">IF(AND(AL$5&gt;=$C$8,AL$5&lt;=$E$23),1,"")</f>
        <v>1</v>
      </c>
      <c r="AM35" s="15">
        <f t="shared" ca="1" si="54"/>
        <v>1</v>
      </c>
      <c r="AN35" s="16">
        <f t="shared" ca="1" si="54"/>
        <v>1</v>
      </c>
      <c r="AO35" s="13">
        <f t="shared" ca="1" si="54"/>
        <v>1</v>
      </c>
      <c r="AP35" s="14">
        <f t="shared" ca="1" si="54"/>
        <v>1</v>
      </c>
      <c r="AQ35" s="14">
        <f t="shared" ca="1" si="54"/>
        <v>1</v>
      </c>
      <c r="AR35" s="14">
        <f t="shared" ca="1" si="54"/>
        <v>1</v>
      </c>
      <c r="AS35" s="14">
        <f t="shared" ca="1" si="54"/>
        <v>1</v>
      </c>
      <c r="AT35" s="15">
        <f t="shared" ca="1" si="54"/>
        <v>1</v>
      </c>
      <c r="AU35" s="16">
        <f t="shared" ca="1" si="54"/>
        <v>1</v>
      </c>
      <c r="AV35" s="13">
        <f t="shared" ca="1" si="54"/>
        <v>1</v>
      </c>
      <c r="AW35" s="14">
        <f t="shared" ca="1" si="54"/>
        <v>1</v>
      </c>
      <c r="AX35" s="14">
        <f t="shared" ca="1" si="54"/>
        <v>1</v>
      </c>
      <c r="AY35" s="14">
        <f t="shared" ca="1" si="54"/>
        <v>1</v>
      </c>
      <c r="AZ35" s="14">
        <f t="shared" ca="1" si="54"/>
        <v>1</v>
      </c>
      <c r="BA35" s="15">
        <f t="shared" ca="1" si="54"/>
        <v>1</v>
      </c>
      <c r="BB35" s="16">
        <f t="shared" ca="1" si="54"/>
        <v>1</v>
      </c>
      <c r="BC35" s="13">
        <f t="shared" ca="1" si="54"/>
        <v>1</v>
      </c>
      <c r="BD35" s="14">
        <f t="shared" ca="1" si="54"/>
        <v>1</v>
      </c>
      <c r="BE35" s="14">
        <f t="shared" ca="1" si="54"/>
        <v>1</v>
      </c>
      <c r="BF35" s="14">
        <f t="shared" ca="1" si="54"/>
        <v>1</v>
      </c>
      <c r="BG35" s="14">
        <f t="shared" ca="1" si="54"/>
        <v>1</v>
      </c>
      <c r="BH35" s="15">
        <f t="shared" ca="1" si="54"/>
        <v>1</v>
      </c>
      <c r="BI35" s="16">
        <f t="shared" ca="1" si="54"/>
        <v>1</v>
      </c>
      <c r="BJ35" s="13">
        <f t="shared" ca="1" si="54"/>
        <v>1</v>
      </c>
      <c r="BK35" s="14">
        <f t="shared" ca="1" si="54"/>
        <v>1</v>
      </c>
      <c r="BL35" s="14">
        <f t="shared" ca="1" si="54"/>
        <v>1</v>
      </c>
      <c r="BM35" s="14">
        <f t="shared" ca="1" si="54"/>
        <v>1</v>
      </c>
      <c r="BN35" s="14">
        <f t="shared" ca="1" si="54"/>
        <v>1</v>
      </c>
      <c r="BO35" s="15">
        <f t="shared" ca="1" si="54"/>
        <v>1</v>
      </c>
      <c r="BP35" s="16">
        <f t="shared" ca="1" si="54"/>
        <v>1</v>
      </c>
      <c r="BQ35" s="13">
        <f t="shared" ca="1" si="54"/>
        <v>1</v>
      </c>
      <c r="BR35" s="14">
        <f t="shared" ref="BR35:CW35" ca="1" si="55">IF(AND(BR$5&gt;=$C$8,BR$5&lt;=$E$23),1,"")</f>
        <v>1</v>
      </c>
      <c r="BS35" s="14">
        <f t="shared" ca="1" si="55"/>
        <v>1</v>
      </c>
      <c r="BT35" s="14">
        <f t="shared" ca="1" si="55"/>
        <v>1</v>
      </c>
      <c r="BU35" s="14">
        <f t="shared" ca="1" si="55"/>
        <v>1</v>
      </c>
      <c r="BV35" s="15">
        <f t="shared" ca="1" si="55"/>
        <v>1</v>
      </c>
      <c r="BW35" s="16">
        <f t="shared" ca="1" si="55"/>
        <v>1</v>
      </c>
      <c r="BX35" s="13" t="str">
        <f t="shared" ca="1" si="55"/>
        <v/>
      </c>
      <c r="BY35" s="14" t="str">
        <f t="shared" ca="1" si="55"/>
        <v/>
      </c>
      <c r="BZ35" s="14" t="str">
        <f t="shared" ca="1" si="55"/>
        <v/>
      </c>
      <c r="CA35" s="14" t="str">
        <f t="shared" ca="1" si="55"/>
        <v/>
      </c>
      <c r="CB35" s="14" t="str">
        <f t="shared" ca="1" si="55"/>
        <v/>
      </c>
      <c r="CC35" s="15" t="str">
        <f t="shared" ca="1" si="55"/>
        <v/>
      </c>
      <c r="CD35" s="16" t="str">
        <f t="shared" ca="1" si="55"/>
        <v/>
      </c>
      <c r="CE35" s="13" t="str">
        <f t="shared" ca="1" si="55"/>
        <v/>
      </c>
      <c r="CF35" s="14" t="str">
        <f t="shared" ca="1" si="55"/>
        <v/>
      </c>
      <c r="CG35" s="14" t="str">
        <f t="shared" ca="1" si="55"/>
        <v/>
      </c>
      <c r="CH35" s="14" t="str">
        <f t="shared" ca="1" si="55"/>
        <v/>
      </c>
      <c r="CI35" s="14" t="str">
        <f t="shared" ca="1" si="55"/>
        <v/>
      </c>
      <c r="CJ35" s="15" t="str">
        <f t="shared" ca="1" si="55"/>
        <v/>
      </c>
      <c r="CK35" s="16" t="str">
        <f t="shared" ca="1" si="55"/>
        <v/>
      </c>
      <c r="CL35" s="13" t="str">
        <f t="shared" ca="1" si="55"/>
        <v/>
      </c>
      <c r="CM35" s="14" t="str">
        <f t="shared" ca="1" si="55"/>
        <v/>
      </c>
      <c r="CN35" s="14" t="str">
        <f t="shared" ca="1" si="55"/>
        <v/>
      </c>
      <c r="CO35" s="14" t="str">
        <f t="shared" ca="1" si="55"/>
        <v/>
      </c>
      <c r="CP35" s="14" t="str">
        <f t="shared" ca="1" si="55"/>
        <v/>
      </c>
      <c r="CQ35" s="15" t="str">
        <f t="shared" ca="1" si="55"/>
        <v/>
      </c>
      <c r="CR35" s="16" t="str">
        <f t="shared" ca="1" si="55"/>
        <v/>
      </c>
      <c r="CS35" s="13" t="str">
        <f t="shared" ca="1" si="55"/>
        <v/>
      </c>
      <c r="CT35" s="14" t="str">
        <f t="shared" ca="1" si="55"/>
        <v/>
      </c>
      <c r="CU35" s="14" t="str">
        <f t="shared" ca="1" si="55"/>
        <v/>
      </c>
      <c r="CV35" s="14" t="str">
        <f t="shared" ca="1" si="55"/>
        <v/>
      </c>
      <c r="CW35" s="14" t="str">
        <f t="shared" ca="1" si="55"/>
        <v/>
      </c>
      <c r="CX35" s="15" t="str">
        <f t="shared" ref="CX35:EH35" ca="1" si="56">IF(AND(CX$5&gt;=$C$8,CX$5&lt;=$E$23),1,"")</f>
        <v/>
      </c>
      <c r="CY35" s="16" t="str">
        <f t="shared" ca="1" si="56"/>
        <v/>
      </c>
      <c r="CZ35" s="13" t="str">
        <f t="shared" ca="1" si="56"/>
        <v/>
      </c>
      <c r="DA35" s="14" t="str">
        <f t="shared" ca="1" si="56"/>
        <v/>
      </c>
      <c r="DB35" s="14" t="str">
        <f t="shared" ca="1" si="56"/>
        <v/>
      </c>
      <c r="DC35" s="14" t="str">
        <f t="shared" ca="1" si="56"/>
        <v/>
      </c>
      <c r="DD35" s="14" t="str">
        <f t="shared" ca="1" si="56"/>
        <v/>
      </c>
      <c r="DE35" s="15" t="str">
        <f t="shared" ca="1" si="56"/>
        <v/>
      </c>
      <c r="DF35" s="16" t="str">
        <f t="shared" ca="1" si="56"/>
        <v/>
      </c>
      <c r="DG35" s="13" t="str">
        <f t="shared" ca="1" si="56"/>
        <v/>
      </c>
      <c r="DH35" s="14" t="str">
        <f t="shared" ca="1" si="56"/>
        <v/>
      </c>
      <c r="DI35" s="14" t="str">
        <f t="shared" ca="1" si="56"/>
        <v/>
      </c>
      <c r="DJ35" s="14" t="str">
        <f t="shared" ca="1" si="56"/>
        <v/>
      </c>
      <c r="DK35" s="14" t="str">
        <f t="shared" ca="1" si="56"/>
        <v/>
      </c>
      <c r="DL35" s="15" t="str">
        <f t="shared" ca="1" si="56"/>
        <v/>
      </c>
      <c r="DM35" s="16" t="str">
        <f t="shared" ca="1" si="56"/>
        <v/>
      </c>
      <c r="DN35" s="13" t="str">
        <f t="shared" ca="1" si="56"/>
        <v/>
      </c>
      <c r="DO35" s="14" t="str">
        <f t="shared" ca="1" si="56"/>
        <v/>
      </c>
      <c r="DP35" s="14" t="str">
        <f t="shared" ca="1" si="56"/>
        <v/>
      </c>
      <c r="DQ35" s="14" t="str">
        <f t="shared" ca="1" si="56"/>
        <v/>
      </c>
      <c r="DR35" s="14" t="str">
        <f t="shared" ca="1" si="56"/>
        <v/>
      </c>
      <c r="DS35" s="15" t="str">
        <f t="shared" ca="1" si="56"/>
        <v/>
      </c>
      <c r="DT35" s="16" t="str">
        <f t="shared" ca="1" si="56"/>
        <v/>
      </c>
      <c r="DU35" s="13" t="str">
        <f t="shared" ca="1" si="56"/>
        <v/>
      </c>
      <c r="DV35" s="14" t="str">
        <f t="shared" ca="1" si="56"/>
        <v/>
      </c>
      <c r="DW35" s="14" t="str">
        <f t="shared" ca="1" si="56"/>
        <v/>
      </c>
      <c r="DX35" s="14" t="str">
        <f t="shared" ca="1" si="56"/>
        <v/>
      </c>
      <c r="DY35" s="14" t="str">
        <f t="shared" ca="1" si="56"/>
        <v/>
      </c>
      <c r="DZ35" s="15" t="str">
        <f t="shared" ca="1" si="56"/>
        <v/>
      </c>
      <c r="EA35" s="16" t="str">
        <f t="shared" ca="1" si="56"/>
        <v/>
      </c>
      <c r="EB35" s="13" t="str">
        <f t="shared" ca="1" si="56"/>
        <v/>
      </c>
      <c r="EC35" s="14" t="str">
        <f t="shared" ca="1" si="56"/>
        <v/>
      </c>
      <c r="ED35" s="14" t="str">
        <f t="shared" ca="1" si="56"/>
        <v/>
      </c>
      <c r="EE35" s="14" t="str">
        <f t="shared" ca="1" si="56"/>
        <v/>
      </c>
      <c r="EF35" s="14" t="str">
        <f t="shared" ca="1" si="56"/>
        <v/>
      </c>
      <c r="EG35" s="15" t="str">
        <f t="shared" ca="1" si="56"/>
        <v/>
      </c>
      <c r="EH35" s="16" t="str">
        <f t="shared" ca="1" si="56"/>
        <v/>
      </c>
    </row>
    <row r="36" spans="1:138" ht="2.1" customHeight="1"/>
    <row r="37" spans="1:138" s="17" customFormat="1" ht="15" customHeight="1">
      <c r="A37" s="538" t="s">
        <v>64</v>
      </c>
      <c r="B37" s="535"/>
      <c r="C37" s="539">
        <f ca="1">E23-IF(B1="SFK Freight Forwarder",C11,C8)+1</f>
        <v>64</v>
      </c>
      <c r="D37" s="535"/>
      <c r="E37" s="537"/>
      <c r="F37" s="14" t="str">
        <f t="shared" ref="F37:AK37" ca="1" si="57">IF($B$1="SFK Freight Forwarder",IF(AND(F$5&gt;=$C$11,F$5&lt;=$E$23),1,""),IF(AND(F$5&gt;=$C$8,F$5&lt;=$E$23),1,""))</f>
        <v/>
      </c>
      <c r="G37" s="14" t="str">
        <f t="shared" ca="1" si="57"/>
        <v/>
      </c>
      <c r="H37" s="14" t="str">
        <f t="shared" ca="1" si="57"/>
        <v/>
      </c>
      <c r="I37" s="14" t="str">
        <f t="shared" ca="1" si="57"/>
        <v/>
      </c>
      <c r="J37" s="14" t="str">
        <f t="shared" ca="1" si="57"/>
        <v/>
      </c>
      <c r="K37" s="15" t="str">
        <f t="shared" ca="1" si="57"/>
        <v/>
      </c>
      <c r="L37" s="92">
        <f t="shared" ca="1" si="57"/>
        <v>1</v>
      </c>
      <c r="M37" s="13">
        <f t="shared" ca="1" si="57"/>
        <v>1</v>
      </c>
      <c r="N37" s="14">
        <f t="shared" ca="1" si="57"/>
        <v>1</v>
      </c>
      <c r="O37" s="14">
        <f t="shared" ca="1" si="57"/>
        <v>1</v>
      </c>
      <c r="P37" s="14">
        <f t="shared" ca="1" si="57"/>
        <v>1</v>
      </c>
      <c r="Q37" s="14">
        <f t="shared" ca="1" si="57"/>
        <v>1</v>
      </c>
      <c r="R37" s="15">
        <f t="shared" ca="1" si="57"/>
        <v>1</v>
      </c>
      <c r="S37" s="16">
        <f t="shared" ca="1" si="57"/>
        <v>1</v>
      </c>
      <c r="T37" s="13">
        <f t="shared" ca="1" si="57"/>
        <v>1</v>
      </c>
      <c r="U37" s="14">
        <f t="shared" ca="1" si="57"/>
        <v>1</v>
      </c>
      <c r="V37" s="14">
        <f t="shared" ca="1" si="57"/>
        <v>1</v>
      </c>
      <c r="W37" s="14">
        <f t="shared" ca="1" si="57"/>
        <v>1</v>
      </c>
      <c r="X37" s="14">
        <f t="shared" ca="1" si="57"/>
        <v>1</v>
      </c>
      <c r="Y37" s="15">
        <f t="shared" ca="1" si="57"/>
        <v>1</v>
      </c>
      <c r="Z37" s="16">
        <f t="shared" ca="1" si="57"/>
        <v>1</v>
      </c>
      <c r="AA37" s="13">
        <f t="shared" ca="1" si="57"/>
        <v>1</v>
      </c>
      <c r="AB37" s="14">
        <f t="shared" ca="1" si="57"/>
        <v>1</v>
      </c>
      <c r="AC37" s="14">
        <f t="shared" ca="1" si="57"/>
        <v>1</v>
      </c>
      <c r="AD37" s="14">
        <f t="shared" ca="1" si="57"/>
        <v>1</v>
      </c>
      <c r="AE37" s="14">
        <f t="shared" ca="1" si="57"/>
        <v>1</v>
      </c>
      <c r="AF37" s="15">
        <f t="shared" ca="1" si="57"/>
        <v>1</v>
      </c>
      <c r="AG37" s="16">
        <f t="shared" ca="1" si="57"/>
        <v>1</v>
      </c>
      <c r="AH37" s="13">
        <f t="shared" ca="1" si="57"/>
        <v>1</v>
      </c>
      <c r="AI37" s="14">
        <f t="shared" ca="1" si="57"/>
        <v>1</v>
      </c>
      <c r="AJ37" s="14">
        <f t="shared" ca="1" si="57"/>
        <v>1</v>
      </c>
      <c r="AK37" s="14">
        <f t="shared" ca="1" si="57"/>
        <v>1</v>
      </c>
      <c r="AL37" s="14">
        <f t="shared" ref="AL37:BQ37" ca="1" si="58">IF($B$1="SFK Freight Forwarder",IF(AND(AL$5&gt;=$C$11,AL$5&lt;=$E$23),1,""),IF(AND(AL$5&gt;=$C$8,AL$5&lt;=$E$23),1,""))</f>
        <v>1</v>
      </c>
      <c r="AM37" s="15">
        <f t="shared" ca="1" si="58"/>
        <v>1</v>
      </c>
      <c r="AN37" s="16">
        <f t="shared" ca="1" si="58"/>
        <v>1</v>
      </c>
      <c r="AO37" s="13">
        <f t="shared" ca="1" si="58"/>
        <v>1</v>
      </c>
      <c r="AP37" s="14">
        <f t="shared" ca="1" si="58"/>
        <v>1</v>
      </c>
      <c r="AQ37" s="14">
        <f t="shared" ca="1" si="58"/>
        <v>1</v>
      </c>
      <c r="AR37" s="14">
        <f t="shared" ca="1" si="58"/>
        <v>1</v>
      </c>
      <c r="AS37" s="14">
        <f t="shared" ca="1" si="58"/>
        <v>1</v>
      </c>
      <c r="AT37" s="15">
        <f t="shared" ca="1" si="58"/>
        <v>1</v>
      </c>
      <c r="AU37" s="16">
        <f t="shared" ca="1" si="58"/>
        <v>1</v>
      </c>
      <c r="AV37" s="13">
        <f t="shared" ca="1" si="58"/>
        <v>1</v>
      </c>
      <c r="AW37" s="14">
        <f t="shared" ca="1" si="58"/>
        <v>1</v>
      </c>
      <c r="AX37" s="14">
        <f t="shared" ca="1" si="58"/>
        <v>1</v>
      </c>
      <c r="AY37" s="14">
        <f t="shared" ca="1" si="58"/>
        <v>1</v>
      </c>
      <c r="AZ37" s="14">
        <f t="shared" ca="1" si="58"/>
        <v>1</v>
      </c>
      <c r="BA37" s="15">
        <f t="shared" ca="1" si="58"/>
        <v>1</v>
      </c>
      <c r="BB37" s="16">
        <f t="shared" ca="1" si="58"/>
        <v>1</v>
      </c>
      <c r="BC37" s="13">
        <f t="shared" ca="1" si="58"/>
        <v>1</v>
      </c>
      <c r="BD37" s="14">
        <f t="shared" ca="1" si="58"/>
        <v>1</v>
      </c>
      <c r="BE37" s="14">
        <f t="shared" ca="1" si="58"/>
        <v>1</v>
      </c>
      <c r="BF37" s="14">
        <f t="shared" ca="1" si="58"/>
        <v>1</v>
      </c>
      <c r="BG37" s="14">
        <f t="shared" ca="1" si="58"/>
        <v>1</v>
      </c>
      <c r="BH37" s="15">
        <f t="shared" ca="1" si="58"/>
        <v>1</v>
      </c>
      <c r="BI37" s="16">
        <f t="shared" ca="1" si="58"/>
        <v>1</v>
      </c>
      <c r="BJ37" s="13">
        <f t="shared" ca="1" si="58"/>
        <v>1</v>
      </c>
      <c r="BK37" s="14">
        <f t="shared" ca="1" si="58"/>
        <v>1</v>
      </c>
      <c r="BL37" s="14">
        <f t="shared" ca="1" si="58"/>
        <v>1</v>
      </c>
      <c r="BM37" s="14">
        <f t="shared" ca="1" si="58"/>
        <v>1</v>
      </c>
      <c r="BN37" s="14">
        <f t="shared" ca="1" si="58"/>
        <v>1</v>
      </c>
      <c r="BO37" s="15">
        <f t="shared" ca="1" si="58"/>
        <v>1</v>
      </c>
      <c r="BP37" s="16">
        <f t="shared" ca="1" si="58"/>
        <v>1</v>
      </c>
      <c r="BQ37" s="13">
        <f t="shared" ca="1" si="58"/>
        <v>1</v>
      </c>
      <c r="BR37" s="14">
        <f t="shared" ref="BR37:CW37" ca="1" si="59">IF($B$1="SFK Freight Forwarder",IF(AND(BR$5&gt;=$C$11,BR$5&lt;=$E$23),1,""),IF(AND(BR$5&gt;=$C$8,BR$5&lt;=$E$23),1,""))</f>
        <v>1</v>
      </c>
      <c r="BS37" s="14">
        <f t="shared" ca="1" si="59"/>
        <v>1</v>
      </c>
      <c r="BT37" s="14">
        <f t="shared" ca="1" si="59"/>
        <v>1</v>
      </c>
      <c r="BU37" s="14">
        <f t="shared" ca="1" si="59"/>
        <v>1</v>
      </c>
      <c r="BV37" s="15">
        <f t="shared" ca="1" si="59"/>
        <v>1</v>
      </c>
      <c r="BW37" s="16">
        <f t="shared" ca="1" si="59"/>
        <v>1</v>
      </c>
      <c r="BX37" s="13" t="str">
        <f t="shared" ca="1" si="59"/>
        <v/>
      </c>
      <c r="BY37" s="14" t="str">
        <f t="shared" ca="1" si="59"/>
        <v/>
      </c>
      <c r="BZ37" s="14" t="str">
        <f t="shared" ca="1" si="59"/>
        <v/>
      </c>
      <c r="CA37" s="14" t="str">
        <f t="shared" ca="1" si="59"/>
        <v/>
      </c>
      <c r="CB37" s="14" t="str">
        <f t="shared" ca="1" si="59"/>
        <v/>
      </c>
      <c r="CC37" s="15" t="str">
        <f t="shared" ca="1" si="59"/>
        <v/>
      </c>
      <c r="CD37" s="16" t="str">
        <f t="shared" ca="1" si="59"/>
        <v/>
      </c>
      <c r="CE37" s="13" t="str">
        <f t="shared" ca="1" si="59"/>
        <v/>
      </c>
      <c r="CF37" s="14" t="str">
        <f t="shared" ca="1" si="59"/>
        <v/>
      </c>
      <c r="CG37" s="14" t="str">
        <f t="shared" ca="1" si="59"/>
        <v/>
      </c>
      <c r="CH37" s="14" t="str">
        <f t="shared" ca="1" si="59"/>
        <v/>
      </c>
      <c r="CI37" s="14" t="str">
        <f t="shared" ca="1" si="59"/>
        <v/>
      </c>
      <c r="CJ37" s="15" t="str">
        <f t="shared" ca="1" si="59"/>
        <v/>
      </c>
      <c r="CK37" s="16" t="str">
        <f t="shared" ca="1" si="59"/>
        <v/>
      </c>
      <c r="CL37" s="13" t="str">
        <f t="shared" ca="1" si="59"/>
        <v/>
      </c>
      <c r="CM37" s="14" t="str">
        <f t="shared" ca="1" si="59"/>
        <v/>
      </c>
      <c r="CN37" s="14" t="str">
        <f t="shared" ca="1" si="59"/>
        <v/>
      </c>
      <c r="CO37" s="14" t="str">
        <f t="shared" ca="1" si="59"/>
        <v/>
      </c>
      <c r="CP37" s="14" t="str">
        <f t="shared" ca="1" si="59"/>
        <v/>
      </c>
      <c r="CQ37" s="15" t="str">
        <f t="shared" ca="1" si="59"/>
        <v/>
      </c>
      <c r="CR37" s="16" t="str">
        <f t="shared" ca="1" si="59"/>
        <v/>
      </c>
      <c r="CS37" s="13" t="str">
        <f t="shared" ca="1" si="59"/>
        <v/>
      </c>
      <c r="CT37" s="14" t="str">
        <f t="shared" ca="1" si="59"/>
        <v/>
      </c>
      <c r="CU37" s="14" t="str">
        <f t="shared" ca="1" si="59"/>
        <v/>
      </c>
      <c r="CV37" s="14" t="str">
        <f t="shared" ca="1" si="59"/>
        <v/>
      </c>
      <c r="CW37" s="14" t="str">
        <f t="shared" ca="1" si="59"/>
        <v/>
      </c>
      <c r="CX37" s="15" t="str">
        <f t="shared" ref="CX37:EH37" ca="1" si="60">IF($B$1="SFK Freight Forwarder",IF(AND(CX$5&gt;=$C$11,CX$5&lt;=$E$23),1,""),IF(AND(CX$5&gt;=$C$8,CX$5&lt;=$E$23),1,""))</f>
        <v/>
      </c>
      <c r="CY37" s="16" t="str">
        <f t="shared" ca="1" si="60"/>
        <v/>
      </c>
      <c r="CZ37" s="13" t="str">
        <f t="shared" ca="1" si="60"/>
        <v/>
      </c>
      <c r="DA37" s="14" t="str">
        <f t="shared" ca="1" si="60"/>
        <v/>
      </c>
      <c r="DB37" s="14" t="str">
        <f t="shared" ca="1" si="60"/>
        <v/>
      </c>
      <c r="DC37" s="14" t="str">
        <f t="shared" ca="1" si="60"/>
        <v/>
      </c>
      <c r="DD37" s="14" t="str">
        <f t="shared" ca="1" si="60"/>
        <v/>
      </c>
      <c r="DE37" s="15" t="str">
        <f t="shared" ca="1" si="60"/>
        <v/>
      </c>
      <c r="DF37" s="16" t="str">
        <f t="shared" ca="1" si="60"/>
        <v/>
      </c>
      <c r="DG37" s="13" t="str">
        <f t="shared" ca="1" si="60"/>
        <v/>
      </c>
      <c r="DH37" s="14" t="str">
        <f t="shared" ca="1" si="60"/>
        <v/>
      </c>
      <c r="DI37" s="14" t="str">
        <f t="shared" ca="1" si="60"/>
        <v/>
      </c>
      <c r="DJ37" s="14" t="str">
        <f t="shared" ca="1" si="60"/>
        <v/>
      </c>
      <c r="DK37" s="14" t="str">
        <f t="shared" ca="1" si="60"/>
        <v/>
      </c>
      <c r="DL37" s="15" t="str">
        <f t="shared" ca="1" si="60"/>
        <v/>
      </c>
      <c r="DM37" s="16" t="str">
        <f t="shared" ca="1" si="60"/>
        <v/>
      </c>
      <c r="DN37" s="13" t="str">
        <f t="shared" ca="1" si="60"/>
        <v/>
      </c>
      <c r="DO37" s="14" t="str">
        <f t="shared" ca="1" si="60"/>
        <v/>
      </c>
      <c r="DP37" s="14" t="str">
        <f t="shared" ca="1" si="60"/>
        <v/>
      </c>
      <c r="DQ37" s="14" t="str">
        <f t="shared" ca="1" si="60"/>
        <v/>
      </c>
      <c r="DR37" s="14" t="str">
        <f t="shared" ca="1" si="60"/>
        <v/>
      </c>
      <c r="DS37" s="15" t="str">
        <f t="shared" ca="1" si="60"/>
        <v/>
      </c>
      <c r="DT37" s="16" t="str">
        <f t="shared" ca="1" si="60"/>
        <v/>
      </c>
      <c r="DU37" s="13" t="str">
        <f t="shared" ca="1" si="60"/>
        <v/>
      </c>
      <c r="DV37" s="14" t="str">
        <f t="shared" ca="1" si="60"/>
        <v/>
      </c>
      <c r="DW37" s="14" t="str">
        <f t="shared" ca="1" si="60"/>
        <v/>
      </c>
      <c r="DX37" s="14" t="str">
        <f t="shared" ca="1" si="60"/>
        <v/>
      </c>
      <c r="DY37" s="14" t="str">
        <f t="shared" ca="1" si="60"/>
        <v/>
      </c>
      <c r="DZ37" s="15" t="str">
        <f t="shared" ca="1" si="60"/>
        <v/>
      </c>
      <c r="EA37" s="16" t="str">
        <f t="shared" ca="1" si="60"/>
        <v/>
      </c>
      <c r="EB37" s="13" t="str">
        <f t="shared" ca="1" si="60"/>
        <v/>
      </c>
      <c r="EC37" s="14" t="str">
        <f t="shared" ca="1" si="60"/>
        <v/>
      </c>
      <c r="ED37" s="14" t="str">
        <f t="shared" ca="1" si="60"/>
        <v/>
      </c>
      <c r="EE37" s="14" t="str">
        <f t="shared" ca="1" si="60"/>
        <v/>
      </c>
      <c r="EF37" s="14" t="str">
        <f t="shared" ca="1" si="60"/>
        <v/>
      </c>
      <c r="EG37" s="15" t="str">
        <f t="shared" ca="1" si="60"/>
        <v/>
      </c>
      <c r="EH37" s="16" t="str">
        <f t="shared" ca="1" si="60"/>
        <v/>
      </c>
    </row>
    <row r="38" spans="1:138" ht="2.25" customHeight="1"/>
    <row r="39" spans="1:138" ht="2.1" customHeight="1"/>
    <row r="40" spans="1:138" s="17" customFormat="1" ht="15.75" customHeight="1">
      <c r="A40" s="575" t="s">
        <v>65</v>
      </c>
      <c r="B40" s="535"/>
      <c r="C40" s="576">
        <f ca="1">VLOOKUP(B7&amp;"-Actif",'DATA BTO'!A:Q,17,FALSE)</f>
        <v>7</v>
      </c>
      <c r="D40" s="535"/>
      <c r="E40" s="537"/>
      <c r="F40" s="14" t="str">
        <f ca="1">IF(AND(F$5&gt;$C$35+$C$8+$D$24-1,F$5&lt;=(VLOOKUP($B$7&amp;"-Actif",'DATA BTO'!$A:$Q,17,FALSE)+$C$35+$D$24)+$C$8-1),1,"")</f>
        <v/>
      </c>
      <c r="G40" s="14" t="str">
        <f ca="1">IF(AND(G$5&gt;$C$35+$C$8+$D$24-1,G$5&lt;=(VLOOKUP($B$7&amp;"-Actif",'DATA BTO'!$A:$Q,17,FALSE)+$C$35+$D$24)+$C$8-1),1,"")</f>
        <v/>
      </c>
      <c r="H40" s="14" t="str">
        <f ca="1">IF(AND(H$5&gt;$C$35+$C$8+$D$24-1,H$5&lt;=(VLOOKUP($B$7&amp;"-Actif",'DATA BTO'!$A:$Q,17,FALSE)+$C$35+$D$24)+$C$8-1),1,"")</f>
        <v/>
      </c>
      <c r="I40" s="14" t="str">
        <f ca="1">IF(AND(I$5&gt;$C$35+$C$8+$D$24-1,I$5&lt;=(VLOOKUP($B$7&amp;"-Actif",'DATA BTO'!$A:$Q,17,FALSE)+$C$35+$D$24)+$C$8-1),1,"")</f>
        <v/>
      </c>
      <c r="J40" s="14" t="str">
        <f ca="1">IF(AND(J$5&gt;$C$35+$C$8+$D$24-1,J$5&lt;=(VLOOKUP($B$7&amp;"-Actif",'DATA BTO'!$A:$Q,17,FALSE)+$C$35+$D$24)+$C$8-1),1,"")</f>
        <v/>
      </c>
      <c r="K40" s="15" t="str">
        <f ca="1">IF(AND(K$5&gt;$C$35+$C$8+$D$24-1,K$5&lt;=(VLOOKUP($B$7&amp;"-Actif",'DATA BTO'!$A:$Q,17,FALSE)+$C$35+$D$24)+$C$8-1),1,"")</f>
        <v/>
      </c>
      <c r="L40" s="92" t="str">
        <f ca="1">IF(AND(L$5&gt;$C$35+$C$8+$D$24-1,L$5&lt;=(VLOOKUP($B$7&amp;"-Actif",'DATA BTO'!$A:$Q,17,FALSE)+$C$35+$D$24)+$C$8-1),1,"")</f>
        <v/>
      </c>
      <c r="M40" s="13" t="str">
        <f ca="1">IF(AND(M$5&gt;$C$35+$C$8+$D$24-1,M$5&lt;=(VLOOKUP($B$7&amp;"-Actif",'DATA BTO'!$A:$Q,17,FALSE)+$C$35+$D$24)+$C$8-1),1,"")</f>
        <v/>
      </c>
      <c r="N40" s="14" t="str">
        <f ca="1">IF(AND(N$5&gt;$C$35+$C$8+$D$24-1,N$5&lt;=(VLOOKUP($B$7&amp;"-Actif",'DATA BTO'!$A:$Q,17,FALSE)+$C$35+$D$24)+$C$8-1),1,"")</f>
        <v/>
      </c>
      <c r="O40" s="14" t="str">
        <f ca="1">IF(AND(O$5&gt;$C$35+$C$8+$D$24-1,O$5&lt;=(VLOOKUP($B$7&amp;"-Actif",'DATA BTO'!$A:$Q,17,FALSE)+$C$35+$D$24)+$C$8-1),1,"")</f>
        <v/>
      </c>
      <c r="P40" s="14" t="str">
        <f ca="1">IF(AND(P$5&gt;$C$35+$C$8+$D$24-1,P$5&lt;=(VLOOKUP($B$7&amp;"-Actif",'DATA BTO'!$A:$Q,17,FALSE)+$C$35+$D$24)+$C$8-1),1,"")</f>
        <v/>
      </c>
      <c r="Q40" s="14" t="str">
        <f ca="1">IF(AND(Q$5&gt;$C$35+$C$8+$D$24-1,Q$5&lt;=(VLOOKUP($B$7&amp;"-Actif",'DATA BTO'!$A:$Q,17,FALSE)+$C$35+$D$24)+$C$8-1),1,"")</f>
        <v/>
      </c>
      <c r="R40" s="15" t="str">
        <f ca="1">IF(AND(R$5&gt;$C$35+$C$8+$D$24-1,R$5&lt;=(VLOOKUP($B$7&amp;"-Actif",'DATA BTO'!$A:$Q,17,FALSE)+$C$35+$D$24)+$C$8-1),1,"")</f>
        <v/>
      </c>
      <c r="S40" s="16" t="str">
        <f ca="1">IF(AND(S$5&gt;$C$35+$C$8+$D$24-1,S$5&lt;=(VLOOKUP($B$7&amp;"-Actif",'DATA BTO'!$A:$Q,17,FALSE)+$C$35+$D$24)+$C$8-1),1,"")</f>
        <v/>
      </c>
      <c r="T40" s="13" t="str">
        <f ca="1">IF(AND(T$5&gt;$C$35+$C$8+$D$24-1,T$5&lt;=(VLOOKUP($B$7&amp;"-Actif",'DATA BTO'!$A:$Q,17,FALSE)+$C$35+$D$24)+$C$8-1),1,"")</f>
        <v/>
      </c>
      <c r="U40" s="14" t="str">
        <f ca="1">IF(AND(U$5&gt;$C$35+$C$8+$D$24-1,U$5&lt;=(VLOOKUP($B$7&amp;"-Actif",'DATA BTO'!$A:$Q,17,FALSE)+$C$35+$D$24)+$C$8-1),1,"")</f>
        <v/>
      </c>
      <c r="V40" s="14" t="str">
        <f ca="1">IF(AND(V$5&gt;$C$35+$C$8+$D$24-1,V$5&lt;=(VLOOKUP($B$7&amp;"-Actif",'DATA BTO'!$A:$Q,17,FALSE)+$C$35+$D$24)+$C$8-1),1,"")</f>
        <v/>
      </c>
      <c r="W40" s="14" t="str">
        <f ca="1">IF(AND(W$5&gt;$C$35+$C$8+$D$24-1,W$5&lt;=(VLOOKUP($B$7&amp;"-Actif",'DATA BTO'!$A:$Q,17,FALSE)+$C$35+$D$24)+$C$8-1),1,"")</f>
        <v/>
      </c>
      <c r="X40" s="14" t="str">
        <f ca="1">IF(AND(X$5&gt;$C$35+$C$8+$D$24-1,X$5&lt;=(VLOOKUP($B$7&amp;"-Actif",'DATA BTO'!$A:$Q,17,FALSE)+$C$35+$D$24)+$C$8-1),1,"")</f>
        <v/>
      </c>
      <c r="Y40" s="15" t="str">
        <f ca="1">IF(AND(Y$5&gt;$C$35+$C$8+$D$24-1,Y$5&lt;=(VLOOKUP($B$7&amp;"-Actif",'DATA BTO'!$A:$Q,17,FALSE)+$C$35+$D$24)+$C$8-1),1,"")</f>
        <v/>
      </c>
      <c r="Z40" s="16" t="str">
        <f ca="1">IF(AND(Z$5&gt;$C$35+$C$8+$D$24-1,Z$5&lt;=(VLOOKUP($B$7&amp;"-Actif",'DATA BTO'!$A:$Q,17,FALSE)+$C$35+$D$24)+$C$8-1),1,"")</f>
        <v/>
      </c>
      <c r="AA40" s="13" t="str">
        <f ca="1">IF(AND(AA$5&gt;$C$35+$C$8+$D$24-1,AA$5&lt;=(VLOOKUP($B$7&amp;"-Actif",'DATA BTO'!$A:$Q,17,FALSE)+$C$35+$D$24)+$C$8-1),1,"")</f>
        <v/>
      </c>
      <c r="AB40" s="14" t="str">
        <f ca="1">IF(AND(AB$5&gt;$C$35+$C$8+$D$24-1,AB$5&lt;=(VLOOKUP($B$7&amp;"-Actif",'DATA BTO'!$A:$Q,17,FALSE)+$C$35+$D$24)+$C$8-1),1,"")</f>
        <v/>
      </c>
      <c r="AC40" s="14" t="str">
        <f ca="1">IF(AND(AC$5&gt;$C$35+$C$8+$D$24-1,AC$5&lt;=(VLOOKUP($B$7&amp;"-Actif",'DATA BTO'!$A:$Q,17,FALSE)+$C$35+$D$24)+$C$8-1),1,"")</f>
        <v/>
      </c>
      <c r="AD40" s="14" t="str">
        <f ca="1">IF(AND(AD$5&gt;$C$35+$C$8+$D$24-1,AD$5&lt;=(VLOOKUP($B$7&amp;"-Actif",'DATA BTO'!$A:$Q,17,FALSE)+$C$35+$D$24)+$C$8-1),1,"")</f>
        <v/>
      </c>
      <c r="AE40" s="14" t="str">
        <f ca="1">IF(AND(AE$5&gt;$C$35+$C$8+$D$24-1,AE$5&lt;=(VLOOKUP($B$7&amp;"-Actif",'DATA BTO'!$A:$Q,17,FALSE)+$C$35+$D$24)+$C$8-1),1,"")</f>
        <v/>
      </c>
      <c r="AF40" s="15" t="str">
        <f ca="1">IF(AND(AF$5&gt;$C$35+$C$8+$D$24-1,AF$5&lt;=(VLOOKUP($B$7&amp;"-Actif",'DATA BTO'!$A:$Q,17,FALSE)+$C$35+$D$24)+$C$8-1),1,"")</f>
        <v/>
      </c>
      <c r="AG40" s="16" t="str">
        <f ca="1">IF(AND(AG$5&gt;$C$35+$C$8+$D$24-1,AG$5&lt;=(VLOOKUP($B$7&amp;"-Actif",'DATA BTO'!$A:$Q,17,FALSE)+$C$35+$D$24)+$C$8-1),1,"")</f>
        <v/>
      </c>
      <c r="AH40" s="13" t="str">
        <f ca="1">IF(AND(AH$5&gt;$C$35+$C$8+$D$24-1,AH$5&lt;=(VLOOKUP($B$7&amp;"-Actif",'DATA BTO'!$A:$Q,17,FALSE)+$C$35+$D$24)+$C$8-1),1,"")</f>
        <v/>
      </c>
      <c r="AI40" s="14" t="str">
        <f ca="1">IF(AND(AI$5&gt;$C$35+$C$8+$D$24-1,AI$5&lt;=(VLOOKUP($B$7&amp;"-Actif",'DATA BTO'!$A:$Q,17,FALSE)+$C$35+$D$24)+$C$8-1),1,"")</f>
        <v/>
      </c>
      <c r="AJ40" s="14" t="str">
        <f ca="1">IF(AND(AJ$5&gt;$C$35+$C$8+$D$24-1,AJ$5&lt;=(VLOOKUP($B$7&amp;"-Actif",'DATA BTO'!$A:$Q,17,FALSE)+$C$35+$D$24)+$C$8-1),1,"")</f>
        <v/>
      </c>
      <c r="AK40" s="14" t="str">
        <f ca="1">IF(AND(AK$5&gt;$C$35+$C$8+$D$24-1,AK$5&lt;=(VLOOKUP($B$7&amp;"-Actif",'DATA BTO'!$A:$Q,17,FALSE)+$C$35+$D$24)+$C$8-1),1,"")</f>
        <v/>
      </c>
      <c r="AL40" s="14" t="str">
        <f ca="1">IF(AND(AL$5&gt;$C$35+$C$8+$D$24-1,AL$5&lt;=(VLOOKUP($B$7&amp;"-Actif",'DATA BTO'!$A:$Q,17,FALSE)+$C$35+$D$24)+$C$8-1),1,"")</f>
        <v/>
      </c>
      <c r="AM40" s="15" t="str">
        <f ca="1">IF(AND(AM$5&gt;$C$35+$C$8+$D$24-1,AM$5&lt;=(VLOOKUP($B$7&amp;"-Actif",'DATA BTO'!$A:$Q,17,FALSE)+$C$35+$D$24)+$C$8-1),1,"")</f>
        <v/>
      </c>
      <c r="AN40" s="16" t="str">
        <f ca="1">IF(AND(AN$5&gt;$C$35+$C$8+$D$24-1,AN$5&lt;=(VLOOKUP($B$7&amp;"-Actif",'DATA BTO'!$A:$Q,17,FALSE)+$C$35+$D$24)+$C$8-1),1,"")</f>
        <v/>
      </c>
      <c r="AO40" s="13" t="str">
        <f ca="1">IF(AND(AO$5&gt;$C$35+$C$8+$D$24-1,AO$5&lt;=(VLOOKUP($B$7&amp;"-Actif",'DATA BTO'!$A:$Q,17,FALSE)+$C$35+$D$24)+$C$8-1),1,"")</f>
        <v/>
      </c>
      <c r="AP40" s="14" t="str">
        <f ca="1">IF(AND(AP$5&gt;$C$35+$C$8+$D$24-1,AP$5&lt;=(VLOOKUP($B$7&amp;"-Actif",'DATA BTO'!$A:$Q,17,FALSE)+$C$35+$D$24)+$C$8-1),1,"")</f>
        <v/>
      </c>
      <c r="AQ40" s="14" t="str">
        <f ca="1">IF(AND(AQ$5&gt;$C$35+$C$8+$D$24-1,AQ$5&lt;=(VLOOKUP($B$7&amp;"-Actif",'DATA BTO'!$A:$Q,17,FALSE)+$C$35+$D$24)+$C$8-1),1,"")</f>
        <v/>
      </c>
      <c r="AR40" s="14" t="str">
        <f ca="1">IF(AND(AR$5&gt;$C$35+$C$8+$D$24-1,AR$5&lt;=(VLOOKUP($B$7&amp;"-Actif",'DATA BTO'!$A:$Q,17,FALSE)+$C$35+$D$24)+$C$8-1),1,"")</f>
        <v/>
      </c>
      <c r="AS40" s="14" t="str">
        <f ca="1">IF(AND(AS$5&gt;$C$35+$C$8+$D$24-1,AS$5&lt;=(VLOOKUP($B$7&amp;"-Actif",'DATA BTO'!$A:$Q,17,FALSE)+$C$35+$D$24)+$C$8-1),1,"")</f>
        <v/>
      </c>
      <c r="AT40" s="15" t="str">
        <f ca="1">IF(AND(AT$5&gt;$C$35+$C$8+$D$24-1,AT$5&lt;=(VLOOKUP($B$7&amp;"-Actif",'DATA BTO'!$A:$Q,17,FALSE)+$C$35+$D$24)+$C$8-1),1,"")</f>
        <v/>
      </c>
      <c r="AU40" s="16" t="str">
        <f ca="1">IF(AND(AU$5&gt;$C$35+$C$8+$D$24-1,AU$5&lt;=(VLOOKUP($B$7&amp;"-Actif",'DATA BTO'!$A:$Q,17,FALSE)+$C$35+$D$24)+$C$8-1),1,"")</f>
        <v/>
      </c>
      <c r="AV40" s="13" t="str">
        <f ca="1">IF(AND(AV$5&gt;$C$35+$C$8+$D$24-1,AV$5&lt;=(VLOOKUP($B$7&amp;"-Actif",'DATA BTO'!$A:$Q,17,FALSE)+$C$35+$D$24)+$C$8-1),1,"")</f>
        <v/>
      </c>
      <c r="AW40" s="14" t="str">
        <f ca="1">IF(AND(AW$5&gt;$C$35+$C$8+$D$24-1,AW$5&lt;=(VLOOKUP($B$7&amp;"-Actif",'DATA BTO'!$A:$Q,17,FALSE)+$C$35+$D$24)+$C$8-1),1,"")</f>
        <v/>
      </c>
      <c r="AX40" s="14" t="str">
        <f ca="1">IF(AND(AX$5&gt;$C$35+$C$8+$D$24-1,AX$5&lt;=(VLOOKUP($B$7&amp;"-Actif",'DATA BTO'!$A:$Q,17,FALSE)+$C$35+$D$24)+$C$8-1),1,"")</f>
        <v/>
      </c>
      <c r="AY40" s="14" t="str">
        <f ca="1">IF(AND(AY$5&gt;$C$35+$C$8+$D$24-1,AY$5&lt;=(VLOOKUP($B$7&amp;"-Actif",'DATA BTO'!$A:$Q,17,FALSE)+$C$35+$D$24)+$C$8-1),1,"")</f>
        <v/>
      </c>
      <c r="AZ40" s="14" t="str">
        <f ca="1">IF(AND(AZ$5&gt;$C$35+$C$8+$D$24-1,AZ$5&lt;=(VLOOKUP($B$7&amp;"-Actif",'DATA BTO'!$A:$Q,17,FALSE)+$C$35+$D$24)+$C$8-1),1,"")</f>
        <v/>
      </c>
      <c r="BA40" s="15" t="str">
        <f ca="1">IF(AND(BA$5&gt;$C$35+$C$8+$D$24-1,BA$5&lt;=(VLOOKUP($B$7&amp;"-Actif",'DATA BTO'!$A:$Q,17,FALSE)+$C$35+$D$24)+$C$8-1),1,"")</f>
        <v/>
      </c>
      <c r="BB40" s="16" t="str">
        <f ca="1">IF(AND(BB$5&gt;$C$35+$C$8+$D$24-1,BB$5&lt;=(VLOOKUP($B$7&amp;"-Actif",'DATA BTO'!$A:$Q,17,FALSE)+$C$35+$D$24)+$C$8-1),1,"")</f>
        <v/>
      </c>
      <c r="BC40" s="13" t="str">
        <f ca="1">IF(AND(BC$5&gt;$C$35+$C$8+$D$24-1,BC$5&lt;=(VLOOKUP($B$7&amp;"-Actif",'DATA BTO'!$A:$Q,17,FALSE)+$C$35+$D$24)+$C$8-1),1,"")</f>
        <v/>
      </c>
      <c r="BD40" s="14" t="str">
        <f ca="1">IF(AND(BD$5&gt;$C$35+$C$8+$D$24-1,BD$5&lt;=(VLOOKUP($B$7&amp;"-Actif",'DATA BTO'!$A:$Q,17,FALSE)+$C$35+$D$24)+$C$8-1),1,"")</f>
        <v/>
      </c>
      <c r="BE40" s="14" t="str">
        <f ca="1">IF(AND(BE$5&gt;$C$35+$C$8+$D$24-1,BE$5&lt;=(VLOOKUP($B$7&amp;"-Actif",'DATA BTO'!$A:$Q,17,FALSE)+$C$35+$D$24)+$C$8-1),1,"")</f>
        <v/>
      </c>
      <c r="BF40" s="14" t="str">
        <f ca="1">IF(AND(BF$5&gt;$C$35+$C$8+$D$24-1,BF$5&lt;=(VLOOKUP($B$7&amp;"-Actif",'DATA BTO'!$A:$Q,17,FALSE)+$C$35+$D$24)+$C$8-1),1,"")</f>
        <v/>
      </c>
      <c r="BG40" s="14" t="str">
        <f ca="1">IF(AND(BG$5&gt;$C$35+$C$8+$D$24-1,BG$5&lt;=(VLOOKUP($B$7&amp;"-Actif",'DATA BTO'!$A:$Q,17,FALSE)+$C$35+$D$24)+$C$8-1),1,"")</f>
        <v/>
      </c>
      <c r="BH40" s="15" t="str">
        <f ca="1">IF(AND(BH$5&gt;$C$35+$C$8+$D$24-1,BH$5&lt;=(VLOOKUP($B$7&amp;"-Actif",'DATA BTO'!$A:$Q,17,FALSE)+$C$35+$D$24)+$C$8-1),1,"")</f>
        <v/>
      </c>
      <c r="BI40" s="16" t="str">
        <f ca="1">IF(AND(BI$5&gt;$C$35+$C$8+$D$24-1,BI$5&lt;=(VLOOKUP($B$7&amp;"-Actif",'DATA BTO'!$A:$Q,17,FALSE)+$C$35+$D$24)+$C$8-1),1,"")</f>
        <v/>
      </c>
      <c r="BJ40" s="13" t="str">
        <f ca="1">IF(AND(BJ$5&gt;$C$35+$C$8+$D$24-1,BJ$5&lt;=(VLOOKUP($B$7&amp;"-Actif",'DATA BTO'!$A:$Q,17,FALSE)+$C$35+$D$24)+$C$8-1),1,"")</f>
        <v/>
      </c>
      <c r="BK40" s="14" t="str">
        <f ca="1">IF(AND(BK$5&gt;$C$35+$C$8+$D$24-1,BK$5&lt;=(VLOOKUP($B$7&amp;"-Actif",'DATA BTO'!$A:$Q,17,FALSE)+$C$35+$D$24)+$C$8-1),1,"")</f>
        <v/>
      </c>
      <c r="BL40" s="14" t="str">
        <f ca="1">IF(AND(BL$5&gt;$C$35+$C$8+$D$24-1,BL$5&lt;=(VLOOKUP($B$7&amp;"-Actif",'DATA BTO'!$A:$Q,17,FALSE)+$C$35+$D$24)+$C$8-1),1,"")</f>
        <v/>
      </c>
      <c r="BM40" s="14" t="str">
        <f ca="1">IF(AND(BM$5&gt;$C$35+$C$8+$D$24-1,BM$5&lt;=(VLOOKUP($B$7&amp;"-Actif",'DATA BTO'!$A:$Q,17,FALSE)+$C$35+$D$24)+$C$8-1),1,"")</f>
        <v/>
      </c>
      <c r="BN40" s="14" t="str">
        <f ca="1">IF(AND(BN$5&gt;$C$35+$C$8+$D$24-1,BN$5&lt;=(VLOOKUP($B$7&amp;"-Actif",'DATA BTO'!$A:$Q,17,FALSE)+$C$35+$D$24)+$C$8-1),1,"")</f>
        <v/>
      </c>
      <c r="BO40" s="15" t="str">
        <f ca="1">IF(AND(BO$5&gt;$C$35+$C$8+$D$24-1,BO$5&lt;=(VLOOKUP($B$7&amp;"-Actif",'DATA BTO'!$A:$Q,17,FALSE)+$C$35+$D$24)+$C$8-1),1,"")</f>
        <v/>
      </c>
      <c r="BP40" s="16" t="str">
        <f ca="1">IF(AND(BP$5&gt;$C$35+$C$8+$D$24-1,BP$5&lt;=(VLOOKUP($B$7&amp;"-Actif",'DATA BTO'!$A:$Q,17,FALSE)+$C$35+$D$24)+$C$8-1),1,"")</f>
        <v/>
      </c>
      <c r="BQ40" s="13" t="str">
        <f ca="1">IF(AND(BQ$5&gt;$C$35+$C$8+$D$24-1,BQ$5&lt;=(VLOOKUP($B$7&amp;"-Actif",'DATA BTO'!$A:$Q,17,FALSE)+$C$35+$D$24)+$C$8-1),1,"")</f>
        <v/>
      </c>
      <c r="BR40" s="14" t="str">
        <f ca="1">IF(AND(BR$5&gt;$C$35+$C$8+$D$24-1,BR$5&lt;=(VLOOKUP($B$7&amp;"-Actif",'DATA BTO'!$A:$Q,17,FALSE)+$C$35+$D$24)+$C$8-1),1,"")</f>
        <v/>
      </c>
      <c r="BS40" s="14" t="str">
        <f ca="1">IF(AND(BS$5&gt;$C$35+$C$8+$D$24-1,BS$5&lt;=(VLOOKUP($B$7&amp;"-Actif",'DATA BTO'!$A:$Q,17,FALSE)+$C$35+$D$24)+$C$8-1),1,"")</f>
        <v/>
      </c>
      <c r="BT40" s="14" t="str">
        <f ca="1">IF(AND(BT$5&gt;$C$35+$C$8+$D$24-1,BT$5&lt;=(VLOOKUP($B$7&amp;"-Actif",'DATA BTO'!$A:$Q,17,FALSE)+$C$35+$D$24)+$C$8-1),1,"")</f>
        <v/>
      </c>
      <c r="BU40" s="14" t="str">
        <f ca="1">IF(AND(BU$5&gt;$C$35+$C$8+$D$24-1,BU$5&lt;=(VLOOKUP($B$7&amp;"-Actif",'DATA BTO'!$A:$Q,17,FALSE)+$C$35+$D$24)+$C$8-1),1,"")</f>
        <v/>
      </c>
      <c r="BV40" s="15" t="str">
        <f ca="1">IF(AND(BV$5&gt;$C$35+$C$8+$D$24-1,BV$5&lt;=(VLOOKUP($B$7&amp;"-Actif",'DATA BTO'!$A:$Q,17,FALSE)+$C$35+$D$24)+$C$8-1),1,"")</f>
        <v/>
      </c>
      <c r="BW40" s="16" t="str">
        <f ca="1">IF(AND(BW$5&gt;$C$35+$C$8+$D$24-1,BW$5&lt;=(VLOOKUP($B$7&amp;"-Actif",'DATA BTO'!$A:$Q,17,FALSE)+$C$35+$D$24)+$C$8-1),1,"")</f>
        <v/>
      </c>
      <c r="BX40" s="13" t="str">
        <f ca="1">IF(AND(BX$5&gt;$C$35+$C$8+$D$24-1,BX$5&lt;=(VLOOKUP($B$7&amp;"-Actif",'DATA BTO'!$A:$Q,17,FALSE)+$C$35+$D$24)+$C$8-1),1,"")</f>
        <v/>
      </c>
      <c r="BY40" s="14" t="str">
        <f ca="1">IF(AND(BY$5&gt;$C$35+$C$8+$D$24-1,BY$5&lt;=(VLOOKUP($B$7&amp;"-Actif",'DATA BTO'!$A:$Q,17,FALSE)+$C$35+$D$24)+$C$8-1),1,"")</f>
        <v/>
      </c>
      <c r="BZ40" s="14" t="str">
        <f ca="1">IF(AND(BZ$5&gt;$C$35+$C$8+$D$24-1,BZ$5&lt;=(VLOOKUP($B$7&amp;"-Actif",'DATA BTO'!$A:$Q,17,FALSE)+$C$35+$D$24)+$C$8-1),1,"")</f>
        <v/>
      </c>
      <c r="CA40" s="14" t="str">
        <f ca="1">IF(AND(CA$5&gt;$C$35+$C$8+$D$24-1,CA$5&lt;=(VLOOKUP($B$7&amp;"-Actif",'DATA BTO'!$A:$Q,17,FALSE)+$C$35+$D$24)+$C$8-1),1,"")</f>
        <v/>
      </c>
      <c r="CB40" s="14" t="str">
        <f ca="1">IF(AND(CB$5&gt;$C$35+$C$8+$D$24-1,CB$5&lt;=(VLOOKUP($B$7&amp;"-Actif",'DATA BTO'!$A:$Q,17,FALSE)+$C$35+$D$24)+$C$8-1),1,"")</f>
        <v/>
      </c>
      <c r="CC40" s="15" t="str">
        <f ca="1">IF(AND(CC$5&gt;$C$35+$C$8+$D$24-1,CC$5&lt;=(VLOOKUP($B$7&amp;"-Actif",'DATA BTO'!$A:$Q,17,FALSE)+$C$35+$D$24)+$C$8-1),1,"")</f>
        <v/>
      </c>
      <c r="CD40" s="16" t="str">
        <f ca="1">IF(AND(CD$5&gt;$C$35+$C$8+$D$24-1,CD$5&lt;=(VLOOKUP($B$7&amp;"-Actif",'DATA BTO'!$A:$Q,17,FALSE)+$C$35+$D$24)+$C$8-1),1,"")</f>
        <v/>
      </c>
      <c r="CE40" s="13">
        <f ca="1">IF(AND(CE$5&gt;$C$35+$C$8+$D$24-1,CE$5&lt;=(VLOOKUP($B$7&amp;"-Actif",'DATA BTO'!$A:$Q,17,FALSE)+$C$35+$D$24)+$C$8-1),1,"")</f>
        <v>1</v>
      </c>
      <c r="CF40" s="14">
        <f ca="1">IF(AND(CF$5&gt;$C$35+$C$8+$D$24-1,CF$5&lt;=(VLOOKUP($B$7&amp;"-Actif",'DATA BTO'!$A:$Q,17,FALSE)+$C$35+$D$24)+$C$8-1),1,"")</f>
        <v>1</v>
      </c>
      <c r="CG40" s="14">
        <f ca="1">IF(AND(CG$5&gt;$C$35+$C$8+$D$24-1,CG$5&lt;=(VLOOKUP($B$7&amp;"-Actif",'DATA BTO'!$A:$Q,17,FALSE)+$C$35+$D$24)+$C$8-1),1,"")</f>
        <v>1</v>
      </c>
      <c r="CH40" s="14">
        <f ca="1">IF(AND(CH$5&gt;$C$35+$C$8+$D$24-1,CH$5&lt;=(VLOOKUP($B$7&amp;"-Actif",'DATA BTO'!$A:$Q,17,FALSE)+$C$35+$D$24)+$C$8-1),1,"")</f>
        <v>1</v>
      </c>
      <c r="CI40" s="14">
        <f ca="1">IF(AND(CI$5&gt;$C$35+$C$8+$D$24-1,CI$5&lt;=(VLOOKUP($B$7&amp;"-Actif",'DATA BTO'!$A:$Q,17,FALSE)+$C$35+$D$24)+$C$8-1),1,"")</f>
        <v>1</v>
      </c>
      <c r="CJ40" s="15">
        <f ca="1">IF(AND(CJ$5&gt;$C$35+$C$8+$D$24-1,CJ$5&lt;=(VLOOKUP($B$7&amp;"-Actif",'DATA BTO'!$A:$Q,17,FALSE)+$C$35+$D$24)+$C$8-1),1,"")</f>
        <v>1</v>
      </c>
      <c r="CK40" s="16">
        <f ca="1">IF(AND(CK$5&gt;$C$35+$C$8+$D$24-1,CK$5&lt;=(VLOOKUP($B$7&amp;"-Actif",'DATA BTO'!$A:$Q,17,FALSE)+$C$35+$D$24)+$C$8-1),1,"")</f>
        <v>1</v>
      </c>
      <c r="CL40" s="13" t="str">
        <f ca="1">IF(AND(CL$5&gt;$C$35+$C$8+$D$24-1,CL$5&lt;=(VLOOKUP($B$7&amp;"-Actif",'DATA BTO'!$A:$Q,17,FALSE)+$C$35+$D$24)+$C$8-1),1,"")</f>
        <v/>
      </c>
      <c r="CM40" s="14" t="str">
        <f ca="1">IF(AND(CM$5&gt;$C$35+$C$8+$D$24-1,CM$5&lt;=(VLOOKUP($B$7&amp;"-Actif",'DATA BTO'!$A:$Q,17,FALSE)+$C$35+$D$24)+$C$8-1),1,"")</f>
        <v/>
      </c>
      <c r="CN40" s="14" t="str">
        <f ca="1">IF(AND(CN$5&gt;$C$35+$C$8+$D$24-1,CN$5&lt;=(VLOOKUP($B$7&amp;"-Actif",'DATA BTO'!$A:$Q,17,FALSE)+$C$35+$D$24)+$C$8-1),1,"")</f>
        <v/>
      </c>
      <c r="CO40" s="14" t="str">
        <f ca="1">IF(AND(CO$5&gt;$C$35+$C$8+$D$24-1,CO$5&lt;=(VLOOKUP($B$7&amp;"-Actif",'DATA BTO'!$A:$Q,17,FALSE)+$C$35+$D$24)+$C$8-1),1,"")</f>
        <v/>
      </c>
      <c r="CP40" s="14" t="str">
        <f ca="1">IF(AND(CP$5&gt;$C$35+$C$8+$D$24-1,CP$5&lt;=(VLOOKUP($B$7&amp;"-Actif",'DATA BTO'!$A:$Q,17,FALSE)+$C$35+$D$24)+$C$8-1),1,"")</f>
        <v/>
      </c>
      <c r="CQ40" s="15" t="str">
        <f ca="1">IF(AND(CQ$5&gt;$C$35+$C$8+$D$24-1,CQ$5&lt;=(VLOOKUP($B$7&amp;"-Actif",'DATA BTO'!$A:$Q,17,FALSE)+$C$35+$D$24)+$C$8-1),1,"")</f>
        <v/>
      </c>
      <c r="CR40" s="16" t="str">
        <f ca="1">IF(AND(CR$5&gt;$C$35+$C$8+$D$24-1,CR$5&lt;=(VLOOKUP($B$7&amp;"-Actif",'DATA BTO'!$A:$Q,17,FALSE)+$C$35+$D$24)+$C$8-1),1,"")</f>
        <v/>
      </c>
      <c r="CS40" s="13" t="str">
        <f ca="1">IF(AND(CS$5&gt;$C$35+$C$8+$D$24-1,CS$5&lt;=(VLOOKUP($B$7&amp;"-Actif",'DATA BTO'!$A:$Q,17,FALSE)+$C$35+$D$24)+$C$8-1),1,"")</f>
        <v/>
      </c>
      <c r="CT40" s="14" t="str">
        <f ca="1">IF(AND(CT$5&gt;$C$35+$C$8+$D$24-1,CT$5&lt;=(VLOOKUP($B$7&amp;"-Actif",'DATA BTO'!$A:$Q,17,FALSE)+$C$35+$D$24)+$C$8-1),1,"")</f>
        <v/>
      </c>
      <c r="CU40" s="14" t="str">
        <f ca="1">IF(AND(CU$5&gt;$C$35+$C$8+$D$24-1,CU$5&lt;=(VLOOKUP($B$7&amp;"-Actif",'DATA BTO'!$A:$Q,17,FALSE)+$C$35+$D$24)+$C$8-1),1,"")</f>
        <v/>
      </c>
      <c r="CV40" s="14" t="str">
        <f ca="1">IF(AND(CV$5&gt;$C$35+$C$8+$D$24-1,CV$5&lt;=(VLOOKUP($B$7&amp;"-Actif",'DATA BTO'!$A:$Q,17,FALSE)+$C$35+$D$24)+$C$8-1),1,"")</f>
        <v/>
      </c>
      <c r="CW40" s="14" t="str">
        <f ca="1">IF(AND(CW$5&gt;$C$35+$C$8+$D$24-1,CW$5&lt;=(VLOOKUP($B$7&amp;"-Actif",'DATA BTO'!$A:$Q,17,FALSE)+$C$35+$D$24)+$C$8-1),1,"")</f>
        <v/>
      </c>
      <c r="CX40" s="15" t="str">
        <f ca="1">IF(AND(CX$5&gt;$C$35+$C$8+$D$24-1,CX$5&lt;=(VLOOKUP($B$7&amp;"-Actif",'DATA BTO'!$A:$Q,17,FALSE)+$C$35+$D$24)+$C$8-1),1,"")</f>
        <v/>
      </c>
      <c r="CY40" s="16" t="str">
        <f ca="1">IF(AND(CY$5&gt;$C$35+$C$8+$D$24-1,CY$5&lt;=(VLOOKUP($B$7&amp;"-Actif",'DATA BTO'!$A:$Q,17,FALSE)+$C$35+$D$24)+$C$8-1),1,"")</f>
        <v/>
      </c>
      <c r="CZ40" s="13" t="str">
        <f ca="1">IF(AND(CZ$5&gt;$C$35+$C$8+$D$24-1,CZ$5&lt;=(VLOOKUP($B$7&amp;"-Actif",'DATA BTO'!$A:$Q,17,FALSE)+$C$35+$D$24)+$C$8-1),1,"")</f>
        <v/>
      </c>
      <c r="DA40" s="14" t="str">
        <f ca="1">IF(AND(DA$5&gt;$C$35+$C$8+$D$24-1,DA$5&lt;=(VLOOKUP($B$7&amp;"-Actif",'DATA BTO'!$A:$Q,17,FALSE)+$C$35+$D$24)+$C$8-1),1,"")</f>
        <v/>
      </c>
      <c r="DB40" s="14" t="str">
        <f ca="1">IF(AND(DB$5&gt;$C$35+$C$8+$D$24-1,DB$5&lt;=(VLOOKUP($B$7&amp;"-Actif",'DATA BTO'!$A:$Q,17,FALSE)+$C$35+$D$24)+$C$8-1),1,"")</f>
        <v/>
      </c>
      <c r="DC40" s="14" t="str">
        <f ca="1">IF(AND(DC$5&gt;$C$35+$C$8+$D$24-1,DC$5&lt;=(VLOOKUP($B$7&amp;"-Actif",'DATA BTO'!$A:$Q,17,FALSE)+$C$35+$D$24)+$C$8-1),1,"")</f>
        <v/>
      </c>
      <c r="DD40" s="14" t="str">
        <f ca="1">IF(AND(DD$5&gt;$C$35+$C$8+$D$24-1,DD$5&lt;=(VLOOKUP($B$7&amp;"-Actif",'DATA BTO'!$A:$Q,17,FALSE)+$C$35+$D$24)+$C$8-1),1,"")</f>
        <v/>
      </c>
      <c r="DE40" s="15" t="str">
        <f ca="1">IF(AND(DE$5&gt;$C$35+$C$8+$D$24-1,DE$5&lt;=(VLOOKUP($B$7&amp;"-Actif",'DATA BTO'!$A:$Q,17,FALSE)+$C$35+$D$24)+$C$8-1),1,"")</f>
        <v/>
      </c>
      <c r="DF40" s="16" t="str">
        <f ca="1">IF(AND(DF$5&gt;$C$35+$C$8+$D$24-1,DF$5&lt;=(VLOOKUP($B$7&amp;"-Actif",'DATA BTO'!$A:$Q,17,FALSE)+$C$35+$D$24)+$C$8-1),1,"")</f>
        <v/>
      </c>
      <c r="DG40" s="13" t="str">
        <f ca="1">IF(AND(DG$5&gt;$C$35+$C$8+$D$24-1,DG$5&lt;=(VLOOKUP($B$7&amp;"-Actif",'DATA BTO'!$A:$Q,17,FALSE)+$C$35+$D$24)+$C$8-1),1,"")</f>
        <v/>
      </c>
      <c r="DH40" s="14" t="str">
        <f ca="1">IF(AND(DH$5&gt;$C$35+$C$8+$D$24-1,DH$5&lt;=(VLOOKUP($B$7&amp;"-Actif",'DATA BTO'!$A:$Q,17,FALSE)+$C$35+$D$24)+$C$8-1),1,"")</f>
        <v/>
      </c>
      <c r="DI40" s="14" t="str">
        <f ca="1">IF(AND(DI$5&gt;$C$35+$C$8+$D$24-1,DI$5&lt;=(VLOOKUP($B$7&amp;"-Actif",'DATA BTO'!$A:$Q,17,FALSE)+$C$35+$D$24)+$C$8-1),1,"")</f>
        <v/>
      </c>
      <c r="DJ40" s="14" t="str">
        <f ca="1">IF(AND(DJ$5&gt;$C$35+$C$8+$D$24-1,DJ$5&lt;=(VLOOKUP($B$7&amp;"-Actif",'DATA BTO'!$A:$Q,17,FALSE)+$C$35+$D$24)+$C$8-1),1,"")</f>
        <v/>
      </c>
      <c r="DK40" s="14" t="str">
        <f ca="1">IF(AND(DK$5&gt;$C$35+$C$8+$D$24-1,DK$5&lt;=(VLOOKUP($B$7&amp;"-Actif",'DATA BTO'!$A:$Q,17,FALSE)+$C$35+$D$24)+$C$8-1),1,"")</f>
        <v/>
      </c>
      <c r="DL40" s="15" t="str">
        <f ca="1">IF(AND(DL$5&gt;$C$35+$C$8+$D$24-1,DL$5&lt;=(VLOOKUP($B$7&amp;"-Actif",'DATA BTO'!$A:$Q,17,FALSE)+$C$35+$D$24)+$C$8-1),1,"")</f>
        <v/>
      </c>
      <c r="DM40" s="16" t="str">
        <f ca="1">IF(AND(DM$5&gt;$C$35+$C$8+$D$24-1,DM$5&lt;=(VLOOKUP($B$7&amp;"-Actif",'DATA BTO'!$A:$Q,17,FALSE)+$C$35+$D$24)+$C$8-1),1,"")</f>
        <v/>
      </c>
      <c r="DN40" s="13" t="str">
        <f ca="1">IF(AND(DN$5&gt;$C$35+$C$8+$D$24-1,DN$5&lt;=(VLOOKUP($B$7&amp;"-Actif",'DATA BTO'!$A:$Q,17,FALSE)+$C$35+$D$24)+$C$8-1),1,"")</f>
        <v/>
      </c>
      <c r="DO40" s="14" t="str">
        <f ca="1">IF(AND(DO$5&gt;$C$35+$C$8+$D$24-1,DO$5&lt;=(VLOOKUP($B$7&amp;"-Actif",'DATA BTO'!$A:$Q,17,FALSE)+$C$35+$D$24)+$C$8-1),1,"")</f>
        <v/>
      </c>
      <c r="DP40" s="14" t="str">
        <f ca="1">IF(AND(DP$5&gt;$C$35+$C$8+$D$24-1,DP$5&lt;=(VLOOKUP($B$7&amp;"-Actif",'DATA BTO'!$A:$Q,17,FALSE)+$C$35+$D$24)+$C$8-1),1,"")</f>
        <v/>
      </c>
      <c r="DQ40" s="14" t="str">
        <f ca="1">IF(AND(DQ$5&gt;$C$35+$C$8+$D$24-1,DQ$5&lt;=(VLOOKUP($B$7&amp;"-Actif",'DATA BTO'!$A:$Q,17,FALSE)+$C$35+$D$24)+$C$8-1),1,"")</f>
        <v/>
      </c>
      <c r="DR40" s="14" t="str">
        <f ca="1">IF(AND(DR$5&gt;$C$35+$C$8+$D$24-1,DR$5&lt;=(VLOOKUP($B$7&amp;"-Actif",'DATA BTO'!$A:$Q,17,FALSE)+$C$35+$D$24)+$C$8-1),1,"")</f>
        <v/>
      </c>
      <c r="DS40" s="15" t="str">
        <f ca="1">IF(AND(DS$5&gt;$C$35+$C$8+$D$24-1,DS$5&lt;=(VLOOKUP($B$7&amp;"-Actif",'DATA BTO'!$A:$Q,17,FALSE)+$C$35+$D$24)+$C$8-1),1,"")</f>
        <v/>
      </c>
      <c r="DT40" s="16" t="str">
        <f ca="1">IF(AND(DT$5&gt;$C$35+$C$8+$D$24-1,DT$5&lt;=(VLOOKUP($B$7&amp;"-Actif",'DATA BTO'!$A:$Q,17,FALSE)+$C$35+$D$24)+$C$8-1),1,"")</f>
        <v/>
      </c>
      <c r="DU40" s="13" t="str">
        <f ca="1">IF(AND(DU$5&gt;$C$35+$C$8+$D$24-1,DU$5&lt;=(VLOOKUP($B$7&amp;"-Actif",'DATA BTO'!$A:$Q,17,FALSE)+$C$35+$D$24)+$C$8-1),1,"")</f>
        <v/>
      </c>
      <c r="DV40" s="14" t="str">
        <f ca="1">IF(AND(DV$5&gt;$C$35+$C$8+$D$24-1,DV$5&lt;=(VLOOKUP($B$7&amp;"-Actif",'DATA BTO'!$A:$Q,17,FALSE)+$C$35+$D$24)+$C$8-1),1,"")</f>
        <v/>
      </c>
      <c r="DW40" s="14" t="str">
        <f ca="1">IF(AND(DW$5&gt;$C$35+$C$8+$D$24-1,DW$5&lt;=(VLOOKUP($B$7&amp;"-Actif",'DATA BTO'!$A:$Q,17,FALSE)+$C$35+$D$24)+$C$8-1),1,"")</f>
        <v/>
      </c>
      <c r="DX40" s="14" t="str">
        <f ca="1">IF(AND(DX$5&gt;$C$35+$C$8+$D$24-1,DX$5&lt;=(VLOOKUP($B$7&amp;"-Actif",'DATA BTO'!$A:$Q,17,FALSE)+$C$35+$D$24)+$C$8-1),1,"")</f>
        <v/>
      </c>
      <c r="DY40" s="14" t="str">
        <f ca="1">IF(AND(DY$5&gt;$C$35+$C$8+$D$24-1,DY$5&lt;=(VLOOKUP($B$7&amp;"-Actif",'DATA BTO'!$A:$Q,17,FALSE)+$C$35+$D$24)+$C$8-1),1,"")</f>
        <v/>
      </c>
      <c r="DZ40" s="15" t="str">
        <f ca="1">IF(AND(DZ$5&gt;$C$35+$C$8+$D$24-1,DZ$5&lt;=(VLOOKUP($B$7&amp;"-Actif",'DATA BTO'!$A:$Q,17,FALSE)+$C$35+$D$24)+$C$8-1),1,"")</f>
        <v/>
      </c>
      <c r="EA40" s="16" t="str">
        <f ca="1">IF(AND(EA$5&gt;$C$35+$C$8+$D$24-1,EA$5&lt;=(VLOOKUP($B$7&amp;"-Actif",'DATA BTO'!$A:$Q,17,FALSE)+$C$35+$D$24)+$C$8-1),1,"")</f>
        <v/>
      </c>
      <c r="EB40" s="13" t="str">
        <f ca="1">IF(AND(EB$5&gt;$C$35+$C$8+$D$24-1,EB$5&lt;=(VLOOKUP($B$7&amp;"-Actif",'DATA BTO'!$A:$Q,17,FALSE)+$C$35+$D$24)+$C$8-1),1,"")</f>
        <v/>
      </c>
      <c r="EC40" s="14" t="str">
        <f ca="1">IF(AND(EC$5&gt;$C$35+$C$8+$D$24-1,EC$5&lt;=(VLOOKUP($B$7&amp;"-Actif",'DATA BTO'!$A:$Q,17,FALSE)+$C$35+$D$24)+$C$8-1),1,"")</f>
        <v/>
      </c>
      <c r="ED40" s="14" t="str">
        <f ca="1">IF(AND(ED$5&gt;$C$35+$C$8+$D$24-1,ED$5&lt;=(VLOOKUP($B$7&amp;"-Actif",'DATA BTO'!$A:$Q,17,FALSE)+$C$35+$D$24)+$C$8-1),1,"")</f>
        <v/>
      </c>
      <c r="EE40" s="14" t="str">
        <f ca="1">IF(AND(EE$5&gt;$C$35+$C$8+$D$24-1,EE$5&lt;=(VLOOKUP($B$7&amp;"-Actif",'DATA BTO'!$A:$Q,17,FALSE)+$C$35+$D$24)+$C$8-1),1,"")</f>
        <v/>
      </c>
      <c r="EF40" s="14" t="str">
        <f ca="1">IF(AND(EF$5&gt;$C$35+$C$8+$D$24-1,EF$5&lt;=(VLOOKUP($B$7&amp;"-Actif",'DATA BTO'!$A:$Q,17,FALSE)+$C$35+$D$24)+$C$8-1),1,"")</f>
        <v/>
      </c>
      <c r="EG40" s="15" t="str">
        <f ca="1">IF(AND(EG$5&gt;$C$35+$C$8+$D$24-1,EG$5&lt;=(VLOOKUP($B$7&amp;"-Actif",'DATA BTO'!$A:$Q,17,FALSE)+$C$35+$D$24)+$C$8-1),1,"")</f>
        <v/>
      </c>
      <c r="EH40" s="16" t="str">
        <f ca="1">IF(AND(EH$5&gt;$C$35+$C$8+$D$24-1,EH$5&lt;=(VLOOKUP($B$7&amp;"-Actif",'DATA BTO'!$A:$Q,17,FALSE)+$C$35+$D$24)+$C$8-1),1,"")</f>
        <v/>
      </c>
    </row>
  </sheetData>
  <mergeCells count="62">
    <mergeCell ref="A37:B37"/>
    <mergeCell ref="C37:E37"/>
    <mergeCell ref="A40:B40"/>
    <mergeCell ref="C40:E40"/>
    <mergeCell ref="A31:B31"/>
    <mergeCell ref="C31:E31"/>
    <mergeCell ref="A33:B33"/>
    <mergeCell ref="C33:E33"/>
    <mergeCell ref="A35:B35"/>
    <mergeCell ref="C35:E35"/>
    <mergeCell ref="A8:A18"/>
    <mergeCell ref="A19:A20"/>
    <mergeCell ref="A27:B27"/>
    <mergeCell ref="C27:E27"/>
    <mergeCell ref="A29:B29"/>
    <mergeCell ref="C29:E29"/>
    <mergeCell ref="EB2:EH2"/>
    <mergeCell ref="A3:A4"/>
    <mergeCell ref="B3:B4"/>
    <mergeCell ref="C3:E4"/>
    <mergeCell ref="C5:E5"/>
    <mergeCell ref="DN2:DT2"/>
    <mergeCell ref="DU2:EA2"/>
    <mergeCell ref="C6:E6"/>
    <mergeCell ref="CL2:CR2"/>
    <mergeCell ref="CS2:CY2"/>
    <mergeCell ref="CZ2:DF2"/>
    <mergeCell ref="DG2:DM2"/>
    <mergeCell ref="AV2:BB2"/>
    <mergeCell ref="BC2:BI2"/>
    <mergeCell ref="BJ2:BP2"/>
    <mergeCell ref="BQ2:BW2"/>
    <mergeCell ref="BX2:CD2"/>
    <mergeCell ref="CE2:CK2"/>
    <mergeCell ref="DG1:DM1"/>
    <mergeCell ref="DN1:DT1"/>
    <mergeCell ref="DU1:EA1"/>
    <mergeCell ref="EB1:EH1"/>
    <mergeCell ref="F2:L2"/>
    <mergeCell ref="M2:S2"/>
    <mergeCell ref="T2:Z2"/>
    <mergeCell ref="AA2:AG2"/>
    <mergeCell ref="AH2:AN2"/>
    <mergeCell ref="AO2:AU2"/>
    <mergeCell ref="BQ1:BW1"/>
    <mergeCell ref="BX1:CD1"/>
    <mergeCell ref="CE1:CK1"/>
    <mergeCell ref="CL1:CR1"/>
    <mergeCell ref="CS1:CY1"/>
    <mergeCell ref="CZ1:DF1"/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</mergeCells>
  <conditionalFormatting sqref="F11:DT12 S8:DT10 F8:Q10">
    <cfRule type="cellIs" dxfId="496" priority="22" stopIfTrue="1" operator="equal">
      <formula>1</formula>
    </cfRule>
  </conditionalFormatting>
  <conditionalFormatting sqref="F16:DT17">
    <cfRule type="cellIs" dxfId="495" priority="24" stopIfTrue="1" operator="equal">
      <formula>1</formula>
    </cfRule>
  </conditionalFormatting>
  <conditionalFormatting sqref="F31:EH31">
    <cfRule type="cellIs" dxfId="494" priority="29" stopIfTrue="1" operator="equal">
      <formula>1</formula>
    </cfRule>
  </conditionalFormatting>
  <conditionalFormatting sqref="F27:EH27">
    <cfRule type="cellIs" dxfId="493" priority="28" stopIfTrue="1" operator="equal">
      <formula>1</formula>
    </cfRule>
  </conditionalFormatting>
  <conditionalFormatting sqref="F19:EH19 F21:EH22">
    <cfRule type="cellIs" dxfId="492" priority="25" stopIfTrue="1" operator="equal">
      <formula>1</formula>
    </cfRule>
  </conditionalFormatting>
  <conditionalFormatting sqref="F24:DT25">
    <cfRule type="cellIs" dxfId="491" priority="27" stopIfTrue="1" operator="equal">
      <formula>1</formula>
    </cfRule>
  </conditionalFormatting>
  <conditionalFormatting sqref="F33:EH33">
    <cfRule type="cellIs" dxfId="490" priority="30" stopIfTrue="1" operator="equal">
      <formula>1</formula>
    </cfRule>
  </conditionalFormatting>
  <conditionalFormatting sqref="F35:EH35">
    <cfRule type="cellIs" dxfId="489" priority="31" stopIfTrue="1" operator="equal">
      <formula>1</formula>
    </cfRule>
  </conditionalFormatting>
  <conditionalFormatting sqref="F23:EH23">
    <cfRule type="cellIs" dxfId="488" priority="26" stopIfTrue="1" operator="equal">
      <formula>1</formula>
    </cfRule>
  </conditionalFormatting>
  <conditionalFormatting sqref="F13:DT15">
    <cfRule type="cellIs" dxfId="487" priority="23" stopIfTrue="1" operator="equal">
      <formula>1</formula>
    </cfRule>
  </conditionalFormatting>
  <conditionalFormatting sqref="F11:DT17 S8:DT10 F8:Q10 DU8:EH17 F31:EH35 F21:EH28 F19:EH19">
    <cfRule type="containsErrors" dxfId="486" priority="21" stopIfTrue="1">
      <formula>ISERROR(F8)</formula>
    </cfRule>
  </conditionalFormatting>
  <conditionalFormatting sqref="R8:R10">
    <cfRule type="cellIs" dxfId="485" priority="20" stopIfTrue="1" operator="equal">
      <formula>1</formula>
    </cfRule>
    <cfRule type="containsErrors" dxfId="484" priority="19" stopIfTrue="1">
      <formula>ISERROR(R8)</formula>
    </cfRule>
  </conditionalFormatting>
  <conditionalFormatting sqref="A24">
    <cfRule type="cellIs" dxfId="483" priority="18" operator="lessThan">
      <formula>TODAY()</formula>
    </cfRule>
  </conditionalFormatting>
  <conditionalFormatting sqref="F37:EH37">
    <cfRule type="cellIs" dxfId="482" priority="17" stopIfTrue="1" operator="equal">
      <formula>1</formula>
    </cfRule>
    <cfRule type="containsErrors" dxfId="481" priority="16" stopIfTrue="1">
      <formula>ISERROR(F37)</formula>
    </cfRule>
  </conditionalFormatting>
  <conditionalFormatting sqref="F29:EH29">
    <cfRule type="cellIs" dxfId="480" priority="15" stopIfTrue="1" operator="equal">
      <formula>1</formula>
    </cfRule>
  </conditionalFormatting>
  <conditionalFormatting sqref="F29:DT30">
    <cfRule type="containsErrors" dxfId="479" priority="14" stopIfTrue="1">
      <formula>ISERROR(F29)</formula>
    </cfRule>
  </conditionalFormatting>
  <conditionalFormatting sqref="F20:EH20">
    <cfRule type="cellIs" dxfId="478" priority="13" stopIfTrue="1" operator="equal">
      <formula>1</formula>
    </cfRule>
    <cfRule type="containsErrors" dxfId="477" priority="12" stopIfTrue="1">
      <formula>ISERROR(F20)</formula>
    </cfRule>
  </conditionalFormatting>
  <conditionalFormatting sqref="F18:EH18">
    <cfRule type="cellIs" dxfId="476" priority="11" stopIfTrue="1" operator="equal">
      <formula>1</formula>
    </cfRule>
    <cfRule type="containsErrors" dxfId="475" priority="10" stopIfTrue="1">
      <formula>ISERROR(F18)</formula>
    </cfRule>
  </conditionalFormatting>
  <conditionalFormatting sqref="G40:EH40">
    <cfRule type="cellIs" dxfId="474" priority="9" stopIfTrue="1" operator="equal">
      <formula>1</formula>
    </cfRule>
    <cfRule type="containsErrors" dxfId="473" priority="8" stopIfTrue="1">
      <formula>ISERROR(G40)</formula>
    </cfRule>
  </conditionalFormatting>
  <conditionalFormatting sqref="F40">
    <cfRule type="cellIs" dxfId="472" priority="7" stopIfTrue="1" operator="equal">
      <formula>1</formula>
    </cfRule>
    <cfRule type="containsErrors" dxfId="471" priority="6" stopIfTrue="1">
      <formula>ISERROR(F40)</formula>
    </cfRule>
  </conditionalFormatting>
  <conditionalFormatting sqref="DU8:EH12">
    <cfRule type="cellIs" dxfId="470" priority="2" stopIfTrue="1" operator="equal">
      <formula>1</formula>
    </cfRule>
  </conditionalFormatting>
  <conditionalFormatting sqref="DU16:EH17">
    <cfRule type="cellIs" dxfId="469" priority="4" stopIfTrue="1" operator="equal">
      <formula>1</formula>
    </cfRule>
  </conditionalFormatting>
  <conditionalFormatting sqref="DU24:EH25">
    <cfRule type="cellIs" dxfId="468" priority="5" stopIfTrue="1" operator="equal">
      <formula>1</formula>
    </cfRule>
  </conditionalFormatting>
  <conditionalFormatting sqref="DU13:EH15">
    <cfRule type="cellIs" dxfId="467" priority="3" stopIfTrue="1" operator="equal">
      <formula>1</formula>
    </cfRule>
  </conditionalFormatting>
  <conditionalFormatting sqref="DU29:EH30">
    <cfRule type="containsErrors" dxfId="466" priority="1" stopIfTrue="1">
      <formula>ISERROR(DU29)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6262-D096-4F52-B260-F67A57810D22}">
  <sheetPr>
    <tabColor rgb="FF7030A0"/>
  </sheetPr>
  <dimension ref="A1:E40"/>
  <sheetViews>
    <sheetView tabSelected="1" workbookViewId="0">
      <selection activeCell="D10" sqref="D10"/>
    </sheetView>
  </sheetViews>
  <sheetFormatPr baseColWidth="10" defaultRowHeight="14.4"/>
  <cols>
    <col min="1" max="1" width="12.88671875" customWidth="1"/>
    <col min="2" max="2" width="27.44140625" bestFit="1" customWidth="1"/>
    <col min="3" max="3" width="9" bestFit="1" customWidth="1"/>
    <col min="4" max="4" width="5.109375" bestFit="1" customWidth="1"/>
    <col min="5" max="5" width="8.33203125" bestFit="1" customWidth="1"/>
  </cols>
  <sheetData>
    <row r="1" spans="1:5">
      <c r="A1" t="s">
        <v>0</v>
      </c>
      <c r="B1" t="s">
        <v>1</v>
      </c>
      <c r="C1">
        <v>92000100</v>
      </c>
    </row>
    <row r="3" spans="1:5">
      <c r="A3" t="s">
        <v>19</v>
      </c>
      <c r="B3" t="s">
        <v>1</v>
      </c>
      <c r="C3">
        <v>92000100</v>
      </c>
    </row>
    <row r="5" spans="1:5">
      <c r="A5" t="s">
        <v>34</v>
      </c>
      <c r="B5">
        <v>0</v>
      </c>
      <c r="C5" t="s">
        <v>639</v>
      </c>
    </row>
    <row r="6" spans="1:5">
      <c r="A6" t="s">
        <v>35</v>
      </c>
      <c r="B6" t="s">
        <v>138</v>
      </c>
      <c r="C6">
        <v>90009500</v>
      </c>
    </row>
    <row r="7" spans="1:5">
      <c r="A7" t="s">
        <v>37</v>
      </c>
      <c r="B7">
        <v>60</v>
      </c>
      <c r="C7" t="s">
        <v>38</v>
      </c>
      <c r="D7" t="s">
        <v>39</v>
      </c>
      <c r="E7" t="s">
        <v>40</v>
      </c>
    </row>
    <row r="8" spans="1:5">
      <c r="A8" t="s">
        <v>654</v>
      </c>
      <c r="B8" s="8" t="s">
        <v>41</v>
      </c>
      <c r="C8" s="8">
        <v>7</v>
      </c>
      <c r="D8" s="8">
        <v>0</v>
      </c>
      <c r="E8" s="8">
        <v>7</v>
      </c>
    </row>
    <row r="9" spans="1:5">
      <c r="B9" s="8" t="s">
        <v>104</v>
      </c>
      <c r="C9" s="8">
        <v>9</v>
      </c>
      <c r="D9" s="8">
        <v>0</v>
      </c>
      <c r="E9" s="8">
        <v>9</v>
      </c>
    </row>
    <row r="10" spans="1:5">
      <c r="B10" s="8" t="s">
        <v>655</v>
      </c>
      <c r="C10" s="8">
        <v>15</v>
      </c>
      <c r="D10" s="8">
        <v>5</v>
      </c>
      <c r="E10" s="8">
        <v>19</v>
      </c>
    </row>
    <row r="11" spans="1:5">
      <c r="B11" s="8" t="s">
        <v>42</v>
      </c>
      <c r="C11" s="8">
        <v>16</v>
      </c>
      <c r="D11" s="8">
        <v>7</v>
      </c>
      <c r="E11" s="8">
        <v>22</v>
      </c>
    </row>
    <row r="12" spans="1:5">
      <c r="B12" s="8" t="s">
        <v>43</v>
      </c>
      <c r="C12" s="8">
        <v>23</v>
      </c>
      <c r="D12" s="8">
        <v>1</v>
      </c>
      <c r="E12" s="8">
        <v>23</v>
      </c>
    </row>
    <row r="13" spans="1:5">
      <c r="B13" s="8" t="s">
        <v>44</v>
      </c>
      <c r="C13" s="8">
        <v>25</v>
      </c>
      <c r="D13" s="8">
        <v>0</v>
      </c>
      <c r="E13" s="8">
        <v>25</v>
      </c>
    </row>
    <row r="14" spans="1:5">
      <c r="B14" s="8" t="s">
        <v>45</v>
      </c>
      <c r="C14" s="8">
        <v>26</v>
      </c>
      <c r="D14" s="8">
        <v>0</v>
      </c>
      <c r="E14" s="8">
        <v>26</v>
      </c>
    </row>
    <row r="15" spans="1:5">
      <c r="B15" s="8" t="s">
        <v>46</v>
      </c>
      <c r="C15" s="8">
        <v>28</v>
      </c>
      <c r="D15" s="8">
        <v>0</v>
      </c>
      <c r="E15" s="8">
        <v>28</v>
      </c>
    </row>
    <row r="16" spans="1:5">
      <c r="B16" s="8" t="s">
        <v>47</v>
      </c>
      <c r="C16" s="8">
        <v>28</v>
      </c>
      <c r="D16" s="8">
        <v>30</v>
      </c>
      <c r="E16" s="8">
        <v>57</v>
      </c>
    </row>
    <row r="17" spans="1:5">
      <c r="B17" s="8" t="s">
        <v>62</v>
      </c>
      <c r="C17" s="8">
        <v>58</v>
      </c>
      <c r="D17" s="8">
        <v>3</v>
      </c>
      <c r="E17" s="8">
        <v>60</v>
      </c>
    </row>
    <row r="18" spans="1:5">
      <c r="B18" s="8" t="s">
        <v>63</v>
      </c>
      <c r="C18" s="8">
        <v>61</v>
      </c>
      <c r="D18" s="8">
        <v>0</v>
      </c>
      <c r="E18" s="8">
        <v>60</v>
      </c>
    </row>
    <row r="19" spans="1:5">
      <c r="A19" t="s">
        <v>486</v>
      </c>
      <c r="B19" s="8" t="s">
        <v>50</v>
      </c>
      <c r="C19" s="8">
        <v>61</v>
      </c>
      <c r="D19" s="8">
        <v>2</v>
      </c>
      <c r="E19" s="8">
        <v>62</v>
      </c>
    </row>
    <row r="20" spans="1:5">
      <c r="B20" s="8" t="s">
        <v>656</v>
      </c>
      <c r="C20" s="8">
        <v>63</v>
      </c>
      <c r="D20" s="8" t="s">
        <v>639</v>
      </c>
      <c r="E20" s="8">
        <v>62</v>
      </c>
    </row>
    <row r="21" spans="1:5">
      <c r="A21" t="s">
        <v>657</v>
      </c>
      <c r="B21" s="8" t="s">
        <v>656</v>
      </c>
      <c r="C21" s="8">
        <v>63</v>
      </c>
      <c r="D21" s="8">
        <v>0</v>
      </c>
      <c r="E21" s="8">
        <v>62</v>
      </c>
    </row>
    <row r="22" spans="1:5">
      <c r="A22" t="s">
        <v>51</v>
      </c>
      <c r="B22" s="8" t="s">
        <v>52</v>
      </c>
      <c r="C22" s="8">
        <v>63</v>
      </c>
      <c r="D22" s="8">
        <v>2</v>
      </c>
      <c r="E22" s="8">
        <v>64</v>
      </c>
    </row>
    <row r="23" spans="1:5">
      <c r="B23" s="8" t="s">
        <v>53</v>
      </c>
      <c r="C23" s="8">
        <v>65</v>
      </c>
      <c r="D23" s="8">
        <v>6</v>
      </c>
      <c r="E23" s="8">
        <v>70</v>
      </c>
    </row>
    <row r="24" spans="1:5">
      <c r="B24" s="8" t="s">
        <v>54</v>
      </c>
      <c r="C24" s="8">
        <v>71</v>
      </c>
      <c r="D24" s="8">
        <v>7</v>
      </c>
      <c r="E24" s="8">
        <v>77</v>
      </c>
    </row>
    <row r="25" spans="1:5">
      <c r="A25" t="s">
        <v>658</v>
      </c>
      <c r="B25" s="8" t="s">
        <v>55</v>
      </c>
      <c r="C25" s="8">
        <v>78</v>
      </c>
      <c r="D25" s="8">
        <v>7</v>
      </c>
      <c r="E25" s="8">
        <v>91</v>
      </c>
    </row>
    <row r="27" spans="1:5">
      <c r="A27" t="s">
        <v>56</v>
      </c>
      <c r="C27">
        <v>12</v>
      </c>
    </row>
    <row r="29" spans="1:5">
      <c r="A29" t="s">
        <v>57</v>
      </c>
      <c r="C29">
        <v>7</v>
      </c>
    </row>
    <row r="31" spans="1:5">
      <c r="A31" t="s">
        <v>58</v>
      </c>
      <c r="C31">
        <v>33</v>
      </c>
    </row>
    <row r="33" spans="1:3">
      <c r="A33" t="s">
        <v>59</v>
      </c>
      <c r="C33">
        <v>55</v>
      </c>
    </row>
    <row r="35" spans="1:3">
      <c r="A35" t="s">
        <v>60</v>
      </c>
      <c r="C35">
        <v>64</v>
      </c>
    </row>
    <row r="37" spans="1:3">
      <c r="A37" t="s">
        <v>64</v>
      </c>
      <c r="C37">
        <v>64</v>
      </c>
    </row>
    <row r="40" spans="1:3">
      <c r="A40" t="s">
        <v>65</v>
      </c>
      <c r="C40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030A0"/>
  </sheetPr>
  <dimension ref="A1:FC41"/>
  <sheetViews>
    <sheetView zoomScale="115" zoomScaleNormal="115" workbookViewId="0">
      <selection activeCell="B7" sqref="B7"/>
    </sheetView>
  </sheetViews>
  <sheetFormatPr baseColWidth="10" defaultColWidth="11.44140625" defaultRowHeight="14.4"/>
  <cols>
    <col min="1" max="1" width="12.44140625" customWidth="1"/>
    <col min="2" max="2" width="21.44140625" bestFit="1" customWidth="1"/>
    <col min="3" max="3" width="7.44140625" bestFit="1" customWidth="1"/>
    <col min="4" max="5" width="6.44140625" customWidth="1"/>
    <col min="6" max="159" width="1.44140625" customWidth="1"/>
  </cols>
  <sheetData>
    <row r="1" spans="1:159" s="11" customFormat="1" ht="9" customHeight="1" thickTop="1">
      <c r="A1" s="570" t="s">
        <v>0</v>
      </c>
      <c r="B1" s="572" t="str">
        <f>_xlfn.XLOOKUP(A25,'VTT actif'!F:F,'VTT actif'!O:O,"-",0)</f>
        <v>KWE Shanghai</v>
      </c>
      <c r="C1" s="546">
        <f>_xlfn.XLOOKUP(A25,'VTT actif'!F:F,'VTT actif'!P:P,"-",0)</f>
        <v>26037000</v>
      </c>
      <c r="D1" s="550"/>
      <c r="E1" s="551"/>
      <c r="F1" s="566" t="str">
        <f ca="1">"W"&amp;WEEKNUM(F6)</f>
        <v>W27</v>
      </c>
      <c r="G1" s="567"/>
      <c r="H1" s="567"/>
      <c r="I1" s="567"/>
      <c r="J1" s="567"/>
      <c r="K1" s="567"/>
      <c r="L1" s="568"/>
      <c r="M1" s="566" t="str">
        <f ca="1">"W"&amp;WEEKNUM(M6)</f>
        <v>W28</v>
      </c>
      <c r="N1" s="567"/>
      <c r="O1" s="567"/>
      <c r="P1" s="567"/>
      <c r="Q1" s="567"/>
      <c r="R1" s="567"/>
      <c r="S1" s="568"/>
      <c r="T1" s="566" t="str">
        <f ca="1">"W"&amp;WEEKNUM(T6)</f>
        <v>W29</v>
      </c>
      <c r="U1" s="567"/>
      <c r="V1" s="567"/>
      <c r="W1" s="567"/>
      <c r="X1" s="567"/>
      <c r="Y1" s="567"/>
      <c r="Z1" s="568"/>
      <c r="AA1" s="566" t="str">
        <f ca="1">"W"&amp;WEEKNUM(AA6)</f>
        <v>W30</v>
      </c>
      <c r="AB1" s="567"/>
      <c r="AC1" s="567"/>
      <c r="AD1" s="567"/>
      <c r="AE1" s="567"/>
      <c r="AF1" s="567"/>
      <c r="AG1" s="568"/>
      <c r="AH1" s="566" t="str">
        <f ca="1">"W"&amp;WEEKNUM(AH6)</f>
        <v>W31</v>
      </c>
      <c r="AI1" s="567"/>
      <c r="AJ1" s="567"/>
      <c r="AK1" s="567"/>
      <c r="AL1" s="567"/>
      <c r="AM1" s="567"/>
      <c r="AN1" s="568"/>
      <c r="AO1" s="566" t="str">
        <f ca="1">"W"&amp;WEEKNUM(AO6)</f>
        <v>W32</v>
      </c>
      <c r="AP1" s="567"/>
      <c r="AQ1" s="567"/>
      <c r="AR1" s="567"/>
      <c r="AS1" s="567"/>
      <c r="AT1" s="567"/>
      <c r="AU1" s="568"/>
      <c r="AV1" s="566" t="str">
        <f ca="1">"W"&amp;WEEKNUM(AV6)</f>
        <v>W33</v>
      </c>
      <c r="AW1" s="567"/>
      <c r="AX1" s="567"/>
      <c r="AY1" s="567"/>
      <c r="AZ1" s="567"/>
      <c r="BA1" s="567"/>
      <c r="BB1" s="568"/>
      <c r="BC1" s="566" t="str">
        <f ca="1">"W"&amp;WEEKNUM(BC6)</f>
        <v>W34</v>
      </c>
      <c r="BD1" s="567"/>
      <c r="BE1" s="567"/>
      <c r="BF1" s="567"/>
      <c r="BG1" s="567"/>
      <c r="BH1" s="567"/>
      <c r="BI1" s="568"/>
      <c r="BJ1" s="566" t="str">
        <f ca="1">"W"&amp;WEEKNUM(BJ6)</f>
        <v>W35</v>
      </c>
      <c r="BK1" s="567"/>
      <c r="BL1" s="567"/>
      <c r="BM1" s="567"/>
      <c r="BN1" s="567"/>
      <c r="BO1" s="567"/>
      <c r="BP1" s="568"/>
      <c r="BQ1" s="566" t="str">
        <f ca="1">"W"&amp;WEEKNUM(BQ6)</f>
        <v>W36</v>
      </c>
      <c r="BR1" s="567"/>
      <c r="BS1" s="567"/>
      <c r="BT1" s="567"/>
      <c r="BU1" s="567"/>
      <c r="BV1" s="567"/>
      <c r="BW1" s="568"/>
      <c r="BX1" s="566" t="str">
        <f ca="1">"W"&amp;WEEKNUM(BX6)</f>
        <v>W37</v>
      </c>
      <c r="BY1" s="567"/>
      <c r="BZ1" s="567"/>
      <c r="CA1" s="567"/>
      <c r="CB1" s="567"/>
      <c r="CC1" s="567"/>
      <c r="CD1" s="568"/>
      <c r="CE1" s="566" t="str">
        <f ca="1">"W"&amp;WEEKNUM(CE6)</f>
        <v>W38</v>
      </c>
      <c r="CF1" s="567"/>
      <c r="CG1" s="567"/>
      <c r="CH1" s="567"/>
      <c r="CI1" s="567"/>
      <c r="CJ1" s="567"/>
      <c r="CK1" s="568"/>
      <c r="CL1" s="566" t="str">
        <f ca="1">"W"&amp;WEEKNUM(CL6)</f>
        <v>W39</v>
      </c>
      <c r="CM1" s="567"/>
      <c r="CN1" s="567"/>
      <c r="CO1" s="567"/>
      <c r="CP1" s="567"/>
      <c r="CQ1" s="567"/>
      <c r="CR1" s="568"/>
      <c r="CS1" s="566" t="str">
        <f ca="1">"W"&amp;WEEKNUM(CS6)</f>
        <v>W40</v>
      </c>
      <c r="CT1" s="567"/>
      <c r="CU1" s="567"/>
      <c r="CV1" s="567"/>
      <c r="CW1" s="567"/>
      <c r="CX1" s="567"/>
      <c r="CY1" s="568"/>
      <c r="CZ1" s="566" t="str">
        <f ca="1">"W"&amp;WEEKNUM(CZ6)</f>
        <v>W41</v>
      </c>
      <c r="DA1" s="567"/>
      <c r="DB1" s="567"/>
      <c r="DC1" s="567"/>
      <c r="DD1" s="567"/>
      <c r="DE1" s="567"/>
      <c r="DF1" s="568"/>
      <c r="DG1" s="566" t="str">
        <f ca="1">"W"&amp;WEEKNUM(DG6)</f>
        <v>W42</v>
      </c>
      <c r="DH1" s="567"/>
      <c r="DI1" s="567"/>
      <c r="DJ1" s="567"/>
      <c r="DK1" s="567"/>
      <c r="DL1" s="567"/>
      <c r="DM1" s="568"/>
      <c r="DN1" s="566" t="str">
        <f ca="1">"W"&amp;WEEKNUM(DN6)</f>
        <v>W43</v>
      </c>
      <c r="DO1" s="567"/>
      <c r="DP1" s="567"/>
      <c r="DQ1" s="567"/>
      <c r="DR1" s="567"/>
      <c r="DS1" s="567"/>
      <c r="DT1" s="568"/>
      <c r="DU1" s="566" t="str">
        <f ca="1">"W"&amp;WEEKNUM(DU6)</f>
        <v>W44</v>
      </c>
      <c r="DV1" s="567"/>
      <c r="DW1" s="567"/>
      <c r="DX1" s="567"/>
      <c r="DY1" s="567"/>
      <c r="DZ1" s="567"/>
      <c r="EA1" s="568"/>
      <c r="EB1" s="566" t="str">
        <f ca="1">"W"&amp;WEEKNUM(EB6)</f>
        <v>W45</v>
      </c>
      <c r="EC1" s="567"/>
      <c r="ED1" s="567"/>
      <c r="EE1" s="567"/>
      <c r="EF1" s="567"/>
      <c r="EG1" s="567"/>
      <c r="EH1" s="568"/>
      <c r="EI1" s="566" t="str">
        <f ca="1">"W"&amp;WEEKNUM(EI6)</f>
        <v>W46</v>
      </c>
      <c r="EJ1" s="567"/>
      <c r="EK1" s="567"/>
      <c r="EL1" s="567"/>
      <c r="EM1" s="567"/>
      <c r="EN1" s="567"/>
      <c r="EO1" s="568"/>
      <c r="EP1" s="566" t="str">
        <f ca="1">"W"&amp;WEEKNUM(EP6)</f>
        <v>W47</v>
      </c>
      <c r="EQ1" s="567"/>
      <c r="ER1" s="567"/>
      <c r="ES1" s="567"/>
      <c r="ET1" s="567"/>
      <c r="EU1" s="567"/>
      <c r="EV1" s="568"/>
      <c r="EW1" s="566" t="str">
        <f ca="1">"W"&amp;WEEKNUM(EW6)</f>
        <v>W48</v>
      </c>
      <c r="EX1" s="567"/>
      <c r="EY1" s="567"/>
      <c r="EZ1" s="567"/>
      <c r="FA1" s="567"/>
      <c r="FB1" s="567"/>
      <c r="FC1" s="568"/>
    </row>
    <row r="2" spans="1:159" s="11" customFormat="1" ht="9" customHeight="1" thickBot="1">
      <c r="A2" s="571"/>
      <c r="B2" s="573"/>
      <c r="C2" s="560"/>
      <c r="D2" s="564"/>
      <c r="E2" s="565"/>
      <c r="F2" s="569" t="s">
        <v>2</v>
      </c>
      <c r="G2" s="557"/>
      <c r="H2" s="557"/>
      <c r="I2" s="557"/>
      <c r="J2" s="557"/>
      <c r="K2" s="557"/>
      <c r="L2" s="558"/>
      <c r="M2" s="556" t="s">
        <v>3</v>
      </c>
      <c r="N2" s="557"/>
      <c r="O2" s="557"/>
      <c r="P2" s="557"/>
      <c r="Q2" s="557"/>
      <c r="R2" s="557"/>
      <c r="S2" s="558"/>
      <c r="T2" s="556" t="s">
        <v>4</v>
      </c>
      <c r="U2" s="557"/>
      <c r="V2" s="557"/>
      <c r="W2" s="557"/>
      <c r="X2" s="557"/>
      <c r="Y2" s="557"/>
      <c r="Z2" s="558"/>
      <c r="AA2" s="556" t="s">
        <v>5</v>
      </c>
      <c r="AB2" s="557"/>
      <c r="AC2" s="557"/>
      <c r="AD2" s="557"/>
      <c r="AE2" s="557"/>
      <c r="AF2" s="557"/>
      <c r="AG2" s="558"/>
      <c r="AH2" s="556" t="s">
        <v>6</v>
      </c>
      <c r="AI2" s="557"/>
      <c r="AJ2" s="557"/>
      <c r="AK2" s="557"/>
      <c r="AL2" s="557"/>
      <c r="AM2" s="557"/>
      <c r="AN2" s="558"/>
      <c r="AO2" s="556" t="s">
        <v>7</v>
      </c>
      <c r="AP2" s="557"/>
      <c r="AQ2" s="557"/>
      <c r="AR2" s="557"/>
      <c r="AS2" s="557"/>
      <c r="AT2" s="557"/>
      <c r="AU2" s="558"/>
      <c r="AV2" s="556" t="s">
        <v>8</v>
      </c>
      <c r="AW2" s="557"/>
      <c r="AX2" s="557"/>
      <c r="AY2" s="557"/>
      <c r="AZ2" s="557"/>
      <c r="BA2" s="557"/>
      <c r="BB2" s="558"/>
      <c r="BC2" s="556" t="s">
        <v>9</v>
      </c>
      <c r="BD2" s="557"/>
      <c r="BE2" s="557"/>
      <c r="BF2" s="557"/>
      <c r="BG2" s="557"/>
      <c r="BH2" s="557"/>
      <c r="BI2" s="558"/>
      <c r="BJ2" s="556" t="s">
        <v>10</v>
      </c>
      <c r="BK2" s="557"/>
      <c r="BL2" s="557"/>
      <c r="BM2" s="557"/>
      <c r="BN2" s="557"/>
      <c r="BO2" s="557"/>
      <c r="BP2" s="558"/>
      <c r="BQ2" s="556" t="s">
        <v>11</v>
      </c>
      <c r="BR2" s="557"/>
      <c r="BS2" s="557"/>
      <c r="BT2" s="557"/>
      <c r="BU2" s="557"/>
      <c r="BV2" s="557"/>
      <c r="BW2" s="558"/>
      <c r="BX2" s="556" t="s">
        <v>12</v>
      </c>
      <c r="BY2" s="557"/>
      <c r="BZ2" s="557"/>
      <c r="CA2" s="557"/>
      <c r="CB2" s="557"/>
      <c r="CC2" s="557"/>
      <c r="CD2" s="558"/>
      <c r="CE2" s="556" t="s">
        <v>13</v>
      </c>
      <c r="CF2" s="557"/>
      <c r="CG2" s="557"/>
      <c r="CH2" s="557"/>
      <c r="CI2" s="557"/>
      <c r="CJ2" s="557"/>
      <c r="CK2" s="558"/>
      <c r="CL2" s="556" t="s">
        <v>14</v>
      </c>
      <c r="CM2" s="557"/>
      <c r="CN2" s="557"/>
      <c r="CO2" s="557"/>
      <c r="CP2" s="557"/>
      <c r="CQ2" s="557"/>
      <c r="CR2" s="558"/>
      <c r="CS2" s="556" t="s">
        <v>15</v>
      </c>
      <c r="CT2" s="557"/>
      <c r="CU2" s="557"/>
      <c r="CV2" s="557"/>
      <c r="CW2" s="557"/>
      <c r="CX2" s="557"/>
      <c r="CY2" s="558"/>
      <c r="CZ2" s="556" t="s">
        <v>16</v>
      </c>
      <c r="DA2" s="557"/>
      <c r="DB2" s="557"/>
      <c r="DC2" s="557"/>
      <c r="DD2" s="557"/>
      <c r="DE2" s="557"/>
      <c r="DF2" s="558"/>
      <c r="DG2" s="556" t="s">
        <v>17</v>
      </c>
      <c r="DH2" s="557"/>
      <c r="DI2" s="557"/>
      <c r="DJ2" s="557"/>
      <c r="DK2" s="557"/>
      <c r="DL2" s="557"/>
      <c r="DM2" s="558"/>
      <c r="DN2" s="556" t="s">
        <v>18</v>
      </c>
      <c r="DO2" s="557"/>
      <c r="DP2" s="557"/>
      <c r="DQ2" s="557"/>
      <c r="DR2" s="557"/>
      <c r="DS2" s="557"/>
      <c r="DT2" s="558"/>
      <c r="DU2" s="556" t="s">
        <v>66</v>
      </c>
      <c r="DV2" s="557"/>
      <c r="DW2" s="557"/>
      <c r="DX2" s="557"/>
      <c r="DY2" s="557"/>
      <c r="DZ2" s="557"/>
      <c r="EA2" s="558"/>
      <c r="EB2" s="556" t="s">
        <v>67</v>
      </c>
      <c r="EC2" s="557"/>
      <c r="ED2" s="557"/>
      <c r="EE2" s="557"/>
      <c r="EF2" s="557"/>
      <c r="EG2" s="557"/>
      <c r="EH2" s="558"/>
      <c r="EI2" s="556" t="s">
        <v>68</v>
      </c>
      <c r="EJ2" s="557"/>
      <c r="EK2" s="557"/>
      <c r="EL2" s="557"/>
      <c r="EM2" s="557"/>
      <c r="EN2" s="557"/>
      <c r="EO2" s="558"/>
      <c r="EP2" s="556" t="s">
        <v>69</v>
      </c>
      <c r="EQ2" s="557"/>
      <c r="ER2" s="557"/>
      <c r="ES2" s="557"/>
      <c r="ET2" s="557"/>
      <c r="EU2" s="557"/>
      <c r="EV2" s="558"/>
      <c r="EW2" s="556" t="s">
        <v>70</v>
      </c>
      <c r="EX2" s="557"/>
      <c r="EY2" s="557"/>
      <c r="EZ2" s="557"/>
      <c r="FA2" s="557"/>
      <c r="FB2" s="557"/>
      <c r="FC2" s="558"/>
    </row>
    <row r="3" spans="1:159" s="12" customFormat="1" ht="9" customHeight="1" thickTop="1">
      <c r="A3" s="559" t="s">
        <v>19</v>
      </c>
      <c r="B3" s="574" t="str">
        <f>_xlfn.XLOOKUP(A25,'VTT actif'!F:F,'VTT actif'!X:X,"-",0)</f>
        <v>KWE Shanghai</v>
      </c>
      <c r="C3" s="563">
        <f>_xlfn.XLOOKUP(A25,'VTT actif'!F:F,'VTT actif'!Y:Y,"-",0)</f>
        <v>26037000</v>
      </c>
      <c r="D3" s="550"/>
      <c r="E3" s="551"/>
      <c r="F3" s="32" t="s">
        <v>21</v>
      </c>
      <c r="G3" s="33" t="s">
        <v>22</v>
      </c>
      <c r="H3" s="33" t="s">
        <v>22</v>
      </c>
      <c r="I3" s="33" t="s">
        <v>23</v>
      </c>
      <c r="J3" s="33" t="s">
        <v>24</v>
      </c>
      <c r="K3" s="34" t="s">
        <v>25</v>
      </c>
      <c r="L3" s="35" t="s">
        <v>26</v>
      </c>
      <c r="M3" s="36" t="s">
        <v>21</v>
      </c>
      <c r="N3" s="33" t="s">
        <v>22</v>
      </c>
      <c r="O3" s="33" t="s">
        <v>22</v>
      </c>
      <c r="P3" s="33" t="s">
        <v>23</v>
      </c>
      <c r="Q3" s="33" t="s">
        <v>24</v>
      </c>
      <c r="R3" s="34" t="s">
        <v>25</v>
      </c>
      <c r="S3" s="35" t="s">
        <v>26</v>
      </c>
      <c r="T3" s="36" t="s">
        <v>21</v>
      </c>
      <c r="U3" s="33" t="s">
        <v>22</v>
      </c>
      <c r="V3" s="33" t="s">
        <v>22</v>
      </c>
      <c r="W3" s="33" t="s">
        <v>23</v>
      </c>
      <c r="X3" s="33" t="s">
        <v>24</v>
      </c>
      <c r="Y3" s="34" t="s">
        <v>25</v>
      </c>
      <c r="Z3" s="35" t="s">
        <v>26</v>
      </c>
      <c r="AA3" s="36" t="s">
        <v>21</v>
      </c>
      <c r="AB3" s="33" t="s">
        <v>22</v>
      </c>
      <c r="AC3" s="33" t="s">
        <v>22</v>
      </c>
      <c r="AD3" s="33" t="s">
        <v>23</v>
      </c>
      <c r="AE3" s="33" t="s">
        <v>24</v>
      </c>
      <c r="AF3" s="34" t="s">
        <v>25</v>
      </c>
      <c r="AG3" s="35" t="s">
        <v>26</v>
      </c>
      <c r="AH3" s="36" t="s">
        <v>21</v>
      </c>
      <c r="AI3" s="33" t="s">
        <v>22</v>
      </c>
      <c r="AJ3" s="33" t="s">
        <v>22</v>
      </c>
      <c r="AK3" s="33" t="s">
        <v>23</v>
      </c>
      <c r="AL3" s="33" t="s">
        <v>24</v>
      </c>
      <c r="AM3" s="34" t="s">
        <v>25</v>
      </c>
      <c r="AN3" s="35" t="s">
        <v>26</v>
      </c>
      <c r="AO3" s="36" t="s">
        <v>21</v>
      </c>
      <c r="AP3" s="33" t="s">
        <v>22</v>
      </c>
      <c r="AQ3" s="33" t="s">
        <v>22</v>
      </c>
      <c r="AR3" s="33" t="s">
        <v>23</v>
      </c>
      <c r="AS3" s="33" t="s">
        <v>24</v>
      </c>
      <c r="AT3" s="34" t="s">
        <v>25</v>
      </c>
      <c r="AU3" s="35" t="s">
        <v>26</v>
      </c>
      <c r="AV3" s="36" t="s">
        <v>21</v>
      </c>
      <c r="AW3" s="33" t="s">
        <v>22</v>
      </c>
      <c r="AX3" s="33" t="s">
        <v>22</v>
      </c>
      <c r="AY3" s="33" t="s">
        <v>23</v>
      </c>
      <c r="AZ3" s="33" t="s">
        <v>24</v>
      </c>
      <c r="BA3" s="34" t="s">
        <v>25</v>
      </c>
      <c r="BB3" s="35" t="s">
        <v>26</v>
      </c>
      <c r="BC3" s="36" t="s">
        <v>21</v>
      </c>
      <c r="BD3" s="33" t="s">
        <v>22</v>
      </c>
      <c r="BE3" s="33" t="s">
        <v>22</v>
      </c>
      <c r="BF3" s="33" t="s">
        <v>23</v>
      </c>
      <c r="BG3" s="33" t="s">
        <v>24</v>
      </c>
      <c r="BH3" s="34" t="s">
        <v>25</v>
      </c>
      <c r="BI3" s="35" t="s">
        <v>26</v>
      </c>
      <c r="BJ3" s="36" t="s">
        <v>21</v>
      </c>
      <c r="BK3" s="33" t="s">
        <v>22</v>
      </c>
      <c r="BL3" s="33" t="s">
        <v>22</v>
      </c>
      <c r="BM3" s="33" t="s">
        <v>23</v>
      </c>
      <c r="BN3" s="33" t="s">
        <v>24</v>
      </c>
      <c r="BO3" s="34" t="s">
        <v>25</v>
      </c>
      <c r="BP3" s="35" t="s">
        <v>26</v>
      </c>
      <c r="BQ3" s="36" t="s">
        <v>21</v>
      </c>
      <c r="BR3" s="33" t="s">
        <v>22</v>
      </c>
      <c r="BS3" s="33" t="s">
        <v>22</v>
      </c>
      <c r="BT3" s="33" t="s">
        <v>23</v>
      </c>
      <c r="BU3" s="33" t="s">
        <v>24</v>
      </c>
      <c r="BV3" s="34" t="s">
        <v>25</v>
      </c>
      <c r="BW3" s="35" t="s">
        <v>26</v>
      </c>
      <c r="BX3" s="36" t="s">
        <v>21</v>
      </c>
      <c r="BY3" s="33" t="s">
        <v>22</v>
      </c>
      <c r="BZ3" s="33" t="s">
        <v>22</v>
      </c>
      <c r="CA3" s="33" t="s">
        <v>23</v>
      </c>
      <c r="CB3" s="33" t="s">
        <v>24</v>
      </c>
      <c r="CC3" s="34" t="s">
        <v>25</v>
      </c>
      <c r="CD3" s="35" t="s">
        <v>26</v>
      </c>
      <c r="CE3" s="36" t="s">
        <v>21</v>
      </c>
      <c r="CF3" s="33" t="s">
        <v>22</v>
      </c>
      <c r="CG3" s="33" t="s">
        <v>22</v>
      </c>
      <c r="CH3" s="33" t="s">
        <v>23</v>
      </c>
      <c r="CI3" s="33" t="s">
        <v>24</v>
      </c>
      <c r="CJ3" s="34" t="s">
        <v>25</v>
      </c>
      <c r="CK3" s="35" t="s">
        <v>26</v>
      </c>
      <c r="CL3" s="36" t="s">
        <v>21</v>
      </c>
      <c r="CM3" s="33" t="s">
        <v>22</v>
      </c>
      <c r="CN3" s="33" t="s">
        <v>22</v>
      </c>
      <c r="CO3" s="33" t="s">
        <v>23</v>
      </c>
      <c r="CP3" s="33" t="s">
        <v>24</v>
      </c>
      <c r="CQ3" s="34" t="s">
        <v>25</v>
      </c>
      <c r="CR3" s="35" t="s">
        <v>26</v>
      </c>
      <c r="CS3" s="36" t="s">
        <v>21</v>
      </c>
      <c r="CT3" s="33" t="s">
        <v>22</v>
      </c>
      <c r="CU3" s="33" t="s">
        <v>22</v>
      </c>
      <c r="CV3" s="33" t="s">
        <v>23</v>
      </c>
      <c r="CW3" s="33" t="s">
        <v>24</v>
      </c>
      <c r="CX3" s="34" t="s">
        <v>25</v>
      </c>
      <c r="CY3" s="35" t="s">
        <v>26</v>
      </c>
      <c r="CZ3" s="36" t="s">
        <v>21</v>
      </c>
      <c r="DA3" s="33" t="s">
        <v>22</v>
      </c>
      <c r="DB3" s="33" t="s">
        <v>22</v>
      </c>
      <c r="DC3" s="33" t="s">
        <v>23</v>
      </c>
      <c r="DD3" s="33" t="s">
        <v>24</v>
      </c>
      <c r="DE3" s="34" t="s">
        <v>25</v>
      </c>
      <c r="DF3" s="35" t="s">
        <v>26</v>
      </c>
      <c r="DG3" s="36" t="s">
        <v>21</v>
      </c>
      <c r="DH3" s="33" t="s">
        <v>22</v>
      </c>
      <c r="DI3" s="33" t="s">
        <v>22</v>
      </c>
      <c r="DJ3" s="33" t="s">
        <v>23</v>
      </c>
      <c r="DK3" s="33" t="s">
        <v>24</v>
      </c>
      <c r="DL3" s="34" t="s">
        <v>25</v>
      </c>
      <c r="DM3" s="35" t="s">
        <v>26</v>
      </c>
      <c r="DN3" s="36" t="s">
        <v>21</v>
      </c>
      <c r="DO3" s="33" t="s">
        <v>22</v>
      </c>
      <c r="DP3" s="33" t="s">
        <v>22</v>
      </c>
      <c r="DQ3" s="33" t="s">
        <v>23</v>
      </c>
      <c r="DR3" s="33" t="s">
        <v>24</v>
      </c>
      <c r="DS3" s="34" t="s">
        <v>25</v>
      </c>
      <c r="DT3" s="35" t="s">
        <v>26</v>
      </c>
      <c r="DU3" s="36" t="s">
        <v>21</v>
      </c>
      <c r="DV3" s="33" t="s">
        <v>22</v>
      </c>
      <c r="DW3" s="33" t="s">
        <v>22</v>
      </c>
      <c r="DX3" s="33" t="s">
        <v>23</v>
      </c>
      <c r="DY3" s="33" t="s">
        <v>24</v>
      </c>
      <c r="DZ3" s="34" t="s">
        <v>25</v>
      </c>
      <c r="EA3" s="35" t="s">
        <v>26</v>
      </c>
      <c r="EB3" s="36" t="s">
        <v>21</v>
      </c>
      <c r="EC3" s="33" t="s">
        <v>22</v>
      </c>
      <c r="ED3" s="33" t="s">
        <v>22</v>
      </c>
      <c r="EE3" s="33" t="s">
        <v>23</v>
      </c>
      <c r="EF3" s="33" t="s">
        <v>24</v>
      </c>
      <c r="EG3" s="34" t="s">
        <v>25</v>
      </c>
      <c r="EH3" s="35" t="s">
        <v>26</v>
      </c>
      <c r="EI3" s="36" t="s">
        <v>21</v>
      </c>
      <c r="EJ3" s="33" t="s">
        <v>22</v>
      </c>
      <c r="EK3" s="33" t="s">
        <v>22</v>
      </c>
      <c r="EL3" s="33" t="s">
        <v>23</v>
      </c>
      <c r="EM3" s="33" t="s">
        <v>24</v>
      </c>
      <c r="EN3" s="34" t="s">
        <v>25</v>
      </c>
      <c r="EO3" s="35" t="s">
        <v>26</v>
      </c>
      <c r="EP3" s="36" t="s">
        <v>21</v>
      </c>
      <c r="EQ3" s="33" t="s">
        <v>22</v>
      </c>
      <c r="ER3" s="33" t="s">
        <v>22</v>
      </c>
      <c r="ES3" s="33" t="s">
        <v>23</v>
      </c>
      <c r="ET3" s="33" t="s">
        <v>24</v>
      </c>
      <c r="EU3" s="34" t="s">
        <v>25</v>
      </c>
      <c r="EV3" s="35" t="s">
        <v>26</v>
      </c>
      <c r="EW3" s="36" t="s">
        <v>21</v>
      </c>
      <c r="EX3" s="33" t="s">
        <v>22</v>
      </c>
      <c r="EY3" s="33" t="s">
        <v>22</v>
      </c>
      <c r="EZ3" s="33" t="s">
        <v>23</v>
      </c>
      <c r="FA3" s="33" t="s">
        <v>24</v>
      </c>
      <c r="FB3" s="34" t="s">
        <v>25</v>
      </c>
      <c r="FC3" s="35" t="s">
        <v>26</v>
      </c>
    </row>
    <row r="4" spans="1:159" s="12" customFormat="1" ht="9" customHeight="1" thickBot="1">
      <c r="A4" s="560"/>
      <c r="B4" s="571"/>
      <c r="C4" s="564"/>
      <c r="D4" s="564"/>
      <c r="E4" s="565"/>
      <c r="F4" s="32" t="s">
        <v>27</v>
      </c>
      <c r="G4" s="33" t="s">
        <v>28</v>
      </c>
      <c r="H4" s="33" t="s">
        <v>29</v>
      </c>
      <c r="I4" s="33" t="s">
        <v>30</v>
      </c>
      <c r="J4" s="33" t="s">
        <v>31</v>
      </c>
      <c r="K4" s="34" t="s">
        <v>32</v>
      </c>
      <c r="L4" s="35" t="s">
        <v>33</v>
      </c>
      <c r="M4" s="36" t="s">
        <v>27</v>
      </c>
      <c r="N4" s="33" t="s">
        <v>28</v>
      </c>
      <c r="O4" s="33" t="s">
        <v>29</v>
      </c>
      <c r="P4" s="33" t="s">
        <v>30</v>
      </c>
      <c r="Q4" s="33" t="s">
        <v>31</v>
      </c>
      <c r="R4" s="34" t="s">
        <v>32</v>
      </c>
      <c r="S4" s="35" t="s">
        <v>33</v>
      </c>
      <c r="T4" s="36" t="s">
        <v>27</v>
      </c>
      <c r="U4" s="33" t="s">
        <v>28</v>
      </c>
      <c r="V4" s="33" t="s">
        <v>29</v>
      </c>
      <c r="W4" s="33" t="s">
        <v>30</v>
      </c>
      <c r="X4" s="33" t="s">
        <v>31</v>
      </c>
      <c r="Y4" s="34" t="s">
        <v>32</v>
      </c>
      <c r="Z4" s="35" t="s">
        <v>33</v>
      </c>
      <c r="AA4" s="36" t="s">
        <v>27</v>
      </c>
      <c r="AB4" s="33" t="s">
        <v>28</v>
      </c>
      <c r="AC4" s="33" t="s">
        <v>29</v>
      </c>
      <c r="AD4" s="33" t="s">
        <v>30</v>
      </c>
      <c r="AE4" s="33" t="s">
        <v>31</v>
      </c>
      <c r="AF4" s="34" t="s">
        <v>32</v>
      </c>
      <c r="AG4" s="35" t="s">
        <v>33</v>
      </c>
      <c r="AH4" s="36" t="s">
        <v>27</v>
      </c>
      <c r="AI4" s="33" t="s">
        <v>28</v>
      </c>
      <c r="AJ4" s="33" t="s">
        <v>29</v>
      </c>
      <c r="AK4" s="33" t="s">
        <v>30</v>
      </c>
      <c r="AL4" s="33" t="s">
        <v>31</v>
      </c>
      <c r="AM4" s="34" t="s">
        <v>32</v>
      </c>
      <c r="AN4" s="35" t="s">
        <v>33</v>
      </c>
      <c r="AO4" s="36" t="s">
        <v>27</v>
      </c>
      <c r="AP4" s="33" t="s">
        <v>28</v>
      </c>
      <c r="AQ4" s="33" t="s">
        <v>29</v>
      </c>
      <c r="AR4" s="33" t="s">
        <v>30</v>
      </c>
      <c r="AS4" s="33" t="s">
        <v>31</v>
      </c>
      <c r="AT4" s="34" t="s">
        <v>32</v>
      </c>
      <c r="AU4" s="35" t="s">
        <v>33</v>
      </c>
      <c r="AV4" s="36" t="s">
        <v>27</v>
      </c>
      <c r="AW4" s="33" t="s">
        <v>28</v>
      </c>
      <c r="AX4" s="33" t="s">
        <v>29</v>
      </c>
      <c r="AY4" s="33" t="s">
        <v>30</v>
      </c>
      <c r="AZ4" s="33" t="s">
        <v>31</v>
      </c>
      <c r="BA4" s="34" t="s">
        <v>32</v>
      </c>
      <c r="BB4" s="35" t="s">
        <v>33</v>
      </c>
      <c r="BC4" s="36" t="s">
        <v>27</v>
      </c>
      <c r="BD4" s="33" t="s">
        <v>28</v>
      </c>
      <c r="BE4" s="33" t="s">
        <v>29</v>
      </c>
      <c r="BF4" s="33" t="s">
        <v>30</v>
      </c>
      <c r="BG4" s="33" t="s">
        <v>31</v>
      </c>
      <c r="BH4" s="34" t="s">
        <v>32</v>
      </c>
      <c r="BI4" s="35" t="s">
        <v>33</v>
      </c>
      <c r="BJ4" s="36" t="s">
        <v>27</v>
      </c>
      <c r="BK4" s="33" t="s">
        <v>28</v>
      </c>
      <c r="BL4" s="33" t="s">
        <v>29</v>
      </c>
      <c r="BM4" s="33" t="s">
        <v>30</v>
      </c>
      <c r="BN4" s="33" t="s">
        <v>31</v>
      </c>
      <c r="BO4" s="34" t="s">
        <v>32</v>
      </c>
      <c r="BP4" s="35" t="s">
        <v>33</v>
      </c>
      <c r="BQ4" s="36" t="s">
        <v>27</v>
      </c>
      <c r="BR4" s="33" t="s">
        <v>28</v>
      </c>
      <c r="BS4" s="33" t="s">
        <v>29</v>
      </c>
      <c r="BT4" s="33" t="s">
        <v>30</v>
      </c>
      <c r="BU4" s="33" t="s">
        <v>31</v>
      </c>
      <c r="BV4" s="34" t="s">
        <v>32</v>
      </c>
      <c r="BW4" s="35" t="s">
        <v>33</v>
      </c>
      <c r="BX4" s="36" t="s">
        <v>27</v>
      </c>
      <c r="BY4" s="33" t="s">
        <v>28</v>
      </c>
      <c r="BZ4" s="33" t="s">
        <v>29</v>
      </c>
      <c r="CA4" s="33" t="s">
        <v>30</v>
      </c>
      <c r="CB4" s="33" t="s">
        <v>31</v>
      </c>
      <c r="CC4" s="34" t="s">
        <v>32</v>
      </c>
      <c r="CD4" s="35" t="s">
        <v>33</v>
      </c>
      <c r="CE4" s="36" t="s">
        <v>27</v>
      </c>
      <c r="CF4" s="33" t="s">
        <v>28</v>
      </c>
      <c r="CG4" s="33" t="s">
        <v>29</v>
      </c>
      <c r="CH4" s="33" t="s">
        <v>30</v>
      </c>
      <c r="CI4" s="33" t="s">
        <v>31</v>
      </c>
      <c r="CJ4" s="34" t="s">
        <v>32</v>
      </c>
      <c r="CK4" s="35" t="s">
        <v>33</v>
      </c>
      <c r="CL4" s="36" t="s">
        <v>27</v>
      </c>
      <c r="CM4" s="33" t="s">
        <v>28</v>
      </c>
      <c r="CN4" s="33" t="s">
        <v>29</v>
      </c>
      <c r="CO4" s="33" t="s">
        <v>30</v>
      </c>
      <c r="CP4" s="33" t="s">
        <v>31</v>
      </c>
      <c r="CQ4" s="34" t="s">
        <v>32</v>
      </c>
      <c r="CR4" s="35" t="s">
        <v>33</v>
      </c>
      <c r="CS4" s="36" t="s">
        <v>27</v>
      </c>
      <c r="CT4" s="33" t="s">
        <v>28</v>
      </c>
      <c r="CU4" s="33" t="s">
        <v>29</v>
      </c>
      <c r="CV4" s="33" t="s">
        <v>30</v>
      </c>
      <c r="CW4" s="33" t="s">
        <v>31</v>
      </c>
      <c r="CX4" s="34" t="s">
        <v>32</v>
      </c>
      <c r="CY4" s="35" t="s">
        <v>33</v>
      </c>
      <c r="CZ4" s="36" t="s">
        <v>27</v>
      </c>
      <c r="DA4" s="33" t="s">
        <v>28</v>
      </c>
      <c r="DB4" s="33" t="s">
        <v>29</v>
      </c>
      <c r="DC4" s="33" t="s">
        <v>30</v>
      </c>
      <c r="DD4" s="33" t="s">
        <v>31</v>
      </c>
      <c r="DE4" s="34" t="s">
        <v>32</v>
      </c>
      <c r="DF4" s="35" t="s">
        <v>33</v>
      </c>
      <c r="DG4" s="36" t="s">
        <v>27</v>
      </c>
      <c r="DH4" s="33" t="s">
        <v>28</v>
      </c>
      <c r="DI4" s="33" t="s">
        <v>29</v>
      </c>
      <c r="DJ4" s="33" t="s">
        <v>30</v>
      </c>
      <c r="DK4" s="33" t="s">
        <v>31</v>
      </c>
      <c r="DL4" s="34" t="s">
        <v>32</v>
      </c>
      <c r="DM4" s="35" t="s">
        <v>33</v>
      </c>
      <c r="DN4" s="36" t="s">
        <v>27</v>
      </c>
      <c r="DO4" s="33" t="s">
        <v>28</v>
      </c>
      <c r="DP4" s="33" t="s">
        <v>29</v>
      </c>
      <c r="DQ4" s="33" t="s">
        <v>30</v>
      </c>
      <c r="DR4" s="33" t="s">
        <v>31</v>
      </c>
      <c r="DS4" s="34" t="s">
        <v>32</v>
      </c>
      <c r="DT4" s="35" t="s">
        <v>33</v>
      </c>
      <c r="DU4" s="36" t="s">
        <v>27</v>
      </c>
      <c r="DV4" s="33" t="s">
        <v>28</v>
      </c>
      <c r="DW4" s="33" t="s">
        <v>29</v>
      </c>
      <c r="DX4" s="33" t="s">
        <v>30</v>
      </c>
      <c r="DY4" s="33" t="s">
        <v>31</v>
      </c>
      <c r="DZ4" s="34" t="s">
        <v>32</v>
      </c>
      <c r="EA4" s="35" t="s">
        <v>33</v>
      </c>
      <c r="EB4" s="36" t="s">
        <v>27</v>
      </c>
      <c r="EC4" s="33" t="s">
        <v>28</v>
      </c>
      <c r="ED4" s="33" t="s">
        <v>29</v>
      </c>
      <c r="EE4" s="33" t="s">
        <v>30</v>
      </c>
      <c r="EF4" s="33" t="s">
        <v>31</v>
      </c>
      <c r="EG4" s="34" t="s">
        <v>32</v>
      </c>
      <c r="EH4" s="35" t="s">
        <v>33</v>
      </c>
      <c r="EI4" s="36" t="s">
        <v>27</v>
      </c>
      <c r="EJ4" s="33" t="s">
        <v>28</v>
      </c>
      <c r="EK4" s="33" t="s">
        <v>29</v>
      </c>
      <c r="EL4" s="33" t="s">
        <v>30</v>
      </c>
      <c r="EM4" s="33" t="s">
        <v>31</v>
      </c>
      <c r="EN4" s="34" t="s">
        <v>32</v>
      </c>
      <c r="EO4" s="35" t="s">
        <v>33</v>
      </c>
      <c r="EP4" s="36" t="s">
        <v>27</v>
      </c>
      <c r="EQ4" s="33" t="s">
        <v>28</v>
      </c>
      <c r="ER4" s="33" t="s">
        <v>29</v>
      </c>
      <c r="ES4" s="33" t="s">
        <v>30</v>
      </c>
      <c r="ET4" s="33" t="s">
        <v>31</v>
      </c>
      <c r="EU4" s="34" t="s">
        <v>32</v>
      </c>
      <c r="EV4" s="35" t="s">
        <v>33</v>
      </c>
      <c r="EW4" s="36" t="s">
        <v>27</v>
      </c>
      <c r="EX4" s="33" t="s">
        <v>28</v>
      </c>
      <c r="EY4" s="33" t="s">
        <v>29</v>
      </c>
      <c r="EZ4" s="33" t="s">
        <v>30</v>
      </c>
      <c r="FA4" s="33" t="s">
        <v>31</v>
      </c>
      <c r="FB4" s="34" t="s">
        <v>32</v>
      </c>
      <c r="FC4" s="35" t="s">
        <v>33</v>
      </c>
    </row>
    <row r="5" spans="1:159" s="12" customFormat="1" ht="15" customHeight="1" thickTop="1" thickBot="1">
      <c r="A5" s="473" t="s">
        <v>34</v>
      </c>
      <c r="B5" s="474">
        <f>_xlfn.XLOOKUP(A25,'VTT actif'!F:F,'VTT actif'!AL:AL,"-",0)</f>
        <v>0</v>
      </c>
      <c r="C5" s="546" t="str">
        <f>_xlfn.XLOOKUP(A25,'VTT actif'!F:F,'VTT actif'!AM:AM,"-",0)</f>
        <v>-</v>
      </c>
      <c r="D5" s="547"/>
      <c r="E5" s="548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  <c r="DU5" s="38">
        <v>120</v>
      </c>
      <c r="DV5" s="38">
        <v>121</v>
      </c>
      <c r="DW5" s="38">
        <v>122</v>
      </c>
      <c r="DX5" s="38">
        <v>123</v>
      </c>
      <c r="DY5" s="38">
        <v>124</v>
      </c>
      <c r="DZ5" s="38">
        <v>125</v>
      </c>
      <c r="EA5" s="38">
        <v>126</v>
      </c>
      <c r="EB5" s="38">
        <v>127</v>
      </c>
      <c r="EC5" s="38">
        <v>128</v>
      </c>
      <c r="ED5" s="38">
        <v>129</v>
      </c>
      <c r="EE5" s="38">
        <v>130</v>
      </c>
      <c r="EF5" s="38">
        <v>131</v>
      </c>
      <c r="EG5" s="38">
        <v>132</v>
      </c>
      <c r="EH5" s="38">
        <v>133</v>
      </c>
      <c r="EI5" s="38">
        <v>134</v>
      </c>
      <c r="EJ5" s="38">
        <v>135</v>
      </c>
      <c r="EK5" s="38">
        <v>136</v>
      </c>
      <c r="EL5" s="38">
        <v>137</v>
      </c>
      <c r="EM5" s="38">
        <v>138</v>
      </c>
      <c r="EN5" s="38">
        <v>139</v>
      </c>
      <c r="EO5" s="38">
        <v>140</v>
      </c>
      <c r="EP5" s="38">
        <v>141</v>
      </c>
      <c r="EQ5" s="38">
        <v>142</v>
      </c>
      <c r="ER5" s="38">
        <v>143</v>
      </c>
      <c r="ES5" s="38">
        <v>144</v>
      </c>
      <c r="ET5" s="38">
        <v>145</v>
      </c>
      <c r="EU5" s="38">
        <v>146</v>
      </c>
      <c r="EV5" s="38">
        <v>147</v>
      </c>
      <c r="EW5" s="38">
        <v>148</v>
      </c>
      <c r="EX5" s="38">
        <v>149</v>
      </c>
      <c r="EY5" s="38">
        <v>150</v>
      </c>
      <c r="EZ5" s="38">
        <v>151</v>
      </c>
      <c r="FA5" s="38">
        <v>152</v>
      </c>
      <c r="FB5" s="38">
        <v>153</v>
      </c>
      <c r="FC5" s="38">
        <v>154</v>
      </c>
    </row>
    <row r="6" spans="1:159" s="46" customFormat="1" ht="33" customHeight="1" thickTop="1" thickBot="1">
      <c r="A6" s="473" t="s">
        <v>35</v>
      </c>
      <c r="B6" s="474" t="str">
        <f>_xlfn.XLOOKUP(A25,'VTT actif'!F:F,'VTT actif'!L:L,"-",0)</f>
        <v>CURITIBA CMO</v>
      </c>
      <c r="C6" s="549">
        <f>_xlfn.XLOOKUP(A25,'VTT actif'!F:F,'VTT actif'!M:M,"-",0)</f>
        <v>90018600</v>
      </c>
      <c r="D6" s="550"/>
      <c r="E6" s="551"/>
      <c r="F6" s="339">
        <f ca="1">TODAY()-WEEKDAY(TODAY(),3)</f>
        <v>45838</v>
      </c>
      <c r="G6" s="43">
        <f t="shared" ref="G6:AL6" ca="1" si="0">F6+1</f>
        <v>45839</v>
      </c>
      <c r="H6" s="43">
        <f t="shared" ca="1" si="0"/>
        <v>45840</v>
      </c>
      <c r="I6" s="43">
        <f t="shared" ca="1" si="0"/>
        <v>45841</v>
      </c>
      <c r="J6" s="43">
        <f t="shared" ca="1" si="0"/>
        <v>45842</v>
      </c>
      <c r="K6" s="44">
        <f t="shared" ca="1" si="0"/>
        <v>45843</v>
      </c>
      <c r="L6" s="45">
        <f t="shared" ca="1" si="0"/>
        <v>45844</v>
      </c>
      <c r="M6" s="43">
        <f t="shared" ca="1" si="0"/>
        <v>45845</v>
      </c>
      <c r="N6" s="43">
        <f t="shared" ca="1" si="0"/>
        <v>45846</v>
      </c>
      <c r="O6" s="43">
        <f t="shared" ca="1" si="0"/>
        <v>45847</v>
      </c>
      <c r="P6" s="43">
        <f t="shared" ca="1" si="0"/>
        <v>45848</v>
      </c>
      <c r="Q6" s="43">
        <f t="shared" ca="1" si="0"/>
        <v>45849</v>
      </c>
      <c r="R6" s="44">
        <f t="shared" ca="1" si="0"/>
        <v>45850</v>
      </c>
      <c r="S6" s="45">
        <f t="shared" ca="1" si="0"/>
        <v>45851</v>
      </c>
      <c r="T6" s="43">
        <f t="shared" ca="1" si="0"/>
        <v>45852</v>
      </c>
      <c r="U6" s="43">
        <f t="shared" ca="1" si="0"/>
        <v>45853</v>
      </c>
      <c r="V6" s="43">
        <f t="shared" ca="1" si="0"/>
        <v>45854</v>
      </c>
      <c r="W6" s="43">
        <f t="shared" ca="1" si="0"/>
        <v>45855</v>
      </c>
      <c r="X6" s="43">
        <f t="shared" ca="1" si="0"/>
        <v>45856</v>
      </c>
      <c r="Y6" s="44">
        <f t="shared" ca="1" si="0"/>
        <v>45857</v>
      </c>
      <c r="Z6" s="45">
        <f t="shared" ca="1" si="0"/>
        <v>45858</v>
      </c>
      <c r="AA6" s="43">
        <f t="shared" ca="1" si="0"/>
        <v>45859</v>
      </c>
      <c r="AB6" s="43">
        <f t="shared" ca="1" si="0"/>
        <v>45860</v>
      </c>
      <c r="AC6" s="43">
        <f t="shared" ca="1" si="0"/>
        <v>45861</v>
      </c>
      <c r="AD6" s="43">
        <f t="shared" ca="1" si="0"/>
        <v>45862</v>
      </c>
      <c r="AE6" s="43">
        <f t="shared" ca="1" si="0"/>
        <v>45863</v>
      </c>
      <c r="AF6" s="44">
        <f t="shared" ca="1" si="0"/>
        <v>45864</v>
      </c>
      <c r="AG6" s="45">
        <f t="shared" ca="1" si="0"/>
        <v>45865</v>
      </c>
      <c r="AH6" s="43">
        <f t="shared" ca="1" si="0"/>
        <v>45866</v>
      </c>
      <c r="AI6" s="43">
        <f t="shared" ca="1" si="0"/>
        <v>45867</v>
      </c>
      <c r="AJ6" s="43">
        <f t="shared" ca="1" si="0"/>
        <v>45868</v>
      </c>
      <c r="AK6" s="43">
        <f t="shared" ca="1" si="0"/>
        <v>45869</v>
      </c>
      <c r="AL6" s="43">
        <f t="shared" ca="1" si="0"/>
        <v>45870</v>
      </c>
      <c r="AM6" s="44">
        <f t="shared" ref="AM6:BR6" ca="1" si="1">AL6+1</f>
        <v>45871</v>
      </c>
      <c r="AN6" s="45">
        <f t="shared" ca="1" si="1"/>
        <v>45872</v>
      </c>
      <c r="AO6" s="43">
        <f t="shared" ca="1" si="1"/>
        <v>45873</v>
      </c>
      <c r="AP6" s="43">
        <f t="shared" ca="1" si="1"/>
        <v>45874</v>
      </c>
      <c r="AQ6" s="43">
        <f t="shared" ca="1" si="1"/>
        <v>45875</v>
      </c>
      <c r="AR6" s="43">
        <f t="shared" ca="1" si="1"/>
        <v>45876</v>
      </c>
      <c r="AS6" s="43">
        <f t="shared" ca="1" si="1"/>
        <v>45877</v>
      </c>
      <c r="AT6" s="44">
        <f t="shared" ca="1" si="1"/>
        <v>45878</v>
      </c>
      <c r="AU6" s="45">
        <f t="shared" ca="1" si="1"/>
        <v>45879</v>
      </c>
      <c r="AV6" s="43">
        <f t="shared" ca="1" si="1"/>
        <v>45880</v>
      </c>
      <c r="AW6" s="43">
        <f t="shared" ca="1" si="1"/>
        <v>45881</v>
      </c>
      <c r="AX6" s="43">
        <f t="shared" ca="1" si="1"/>
        <v>45882</v>
      </c>
      <c r="AY6" s="43">
        <f t="shared" ca="1" si="1"/>
        <v>45883</v>
      </c>
      <c r="AZ6" s="43">
        <f t="shared" ca="1" si="1"/>
        <v>45884</v>
      </c>
      <c r="BA6" s="44">
        <f t="shared" ca="1" si="1"/>
        <v>45885</v>
      </c>
      <c r="BB6" s="45">
        <f t="shared" ca="1" si="1"/>
        <v>45886</v>
      </c>
      <c r="BC6" s="43">
        <f t="shared" ca="1" si="1"/>
        <v>45887</v>
      </c>
      <c r="BD6" s="43">
        <f t="shared" ca="1" si="1"/>
        <v>45888</v>
      </c>
      <c r="BE6" s="43">
        <f t="shared" ca="1" si="1"/>
        <v>45889</v>
      </c>
      <c r="BF6" s="43">
        <f t="shared" ca="1" si="1"/>
        <v>45890</v>
      </c>
      <c r="BG6" s="43">
        <f t="shared" ca="1" si="1"/>
        <v>45891</v>
      </c>
      <c r="BH6" s="44">
        <f t="shared" ca="1" si="1"/>
        <v>45892</v>
      </c>
      <c r="BI6" s="45">
        <f t="shared" ca="1" si="1"/>
        <v>45893</v>
      </c>
      <c r="BJ6" s="43">
        <f t="shared" ca="1" si="1"/>
        <v>45894</v>
      </c>
      <c r="BK6" s="43">
        <f t="shared" ca="1" si="1"/>
        <v>45895</v>
      </c>
      <c r="BL6" s="43">
        <f t="shared" ca="1" si="1"/>
        <v>45896</v>
      </c>
      <c r="BM6" s="43">
        <f t="shared" ca="1" si="1"/>
        <v>45897</v>
      </c>
      <c r="BN6" s="43">
        <f t="shared" ca="1" si="1"/>
        <v>45898</v>
      </c>
      <c r="BO6" s="44">
        <f t="shared" ca="1" si="1"/>
        <v>45899</v>
      </c>
      <c r="BP6" s="45">
        <f t="shared" ca="1" si="1"/>
        <v>45900</v>
      </c>
      <c r="BQ6" s="43">
        <f t="shared" ca="1" si="1"/>
        <v>45901</v>
      </c>
      <c r="BR6" s="43">
        <f t="shared" ca="1" si="1"/>
        <v>45902</v>
      </c>
      <c r="BS6" s="43">
        <f t="shared" ref="BS6:CX6" ca="1" si="2">BR6+1</f>
        <v>45903</v>
      </c>
      <c r="BT6" s="43">
        <f t="shared" ca="1" si="2"/>
        <v>45904</v>
      </c>
      <c r="BU6" s="43">
        <f t="shared" ca="1" si="2"/>
        <v>45905</v>
      </c>
      <c r="BV6" s="44">
        <f t="shared" ca="1" si="2"/>
        <v>45906</v>
      </c>
      <c r="BW6" s="45">
        <f t="shared" ca="1" si="2"/>
        <v>45907</v>
      </c>
      <c r="BX6" s="43">
        <f t="shared" ca="1" si="2"/>
        <v>45908</v>
      </c>
      <c r="BY6" s="43">
        <f t="shared" ca="1" si="2"/>
        <v>45909</v>
      </c>
      <c r="BZ6" s="43">
        <f t="shared" ca="1" si="2"/>
        <v>45910</v>
      </c>
      <c r="CA6" s="43">
        <f t="shared" ca="1" si="2"/>
        <v>45911</v>
      </c>
      <c r="CB6" s="43">
        <f t="shared" ca="1" si="2"/>
        <v>45912</v>
      </c>
      <c r="CC6" s="44">
        <f t="shared" ca="1" si="2"/>
        <v>45913</v>
      </c>
      <c r="CD6" s="45">
        <f t="shared" ca="1" si="2"/>
        <v>45914</v>
      </c>
      <c r="CE6" s="43">
        <f t="shared" ca="1" si="2"/>
        <v>45915</v>
      </c>
      <c r="CF6" s="43">
        <f t="shared" ca="1" si="2"/>
        <v>45916</v>
      </c>
      <c r="CG6" s="43">
        <f t="shared" ca="1" si="2"/>
        <v>45917</v>
      </c>
      <c r="CH6" s="43">
        <f t="shared" ca="1" si="2"/>
        <v>45918</v>
      </c>
      <c r="CI6" s="43">
        <f t="shared" ca="1" si="2"/>
        <v>45919</v>
      </c>
      <c r="CJ6" s="44">
        <f t="shared" ca="1" si="2"/>
        <v>45920</v>
      </c>
      <c r="CK6" s="45">
        <f t="shared" ca="1" si="2"/>
        <v>45921</v>
      </c>
      <c r="CL6" s="43">
        <f t="shared" ca="1" si="2"/>
        <v>45922</v>
      </c>
      <c r="CM6" s="43">
        <f t="shared" ca="1" si="2"/>
        <v>45923</v>
      </c>
      <c r="CN6" s="43">
        <f t="shared" ca="1" si="2"/>
        <v>45924</v>
      </c>
      <c r="CO6" s="43">
        <f t="shared" ca="1" si="2"/>
        <v>45925</v>
      </c>
      <c r="CP6" s="43">
        <f t="shared" ca="1" si="2"/>
        <v>45926</v>
      </c>
      <c r="CQ6" s="44">
        <f t="shared" ca="1" si="2"/>
        <v>45927</v>
      </c>
      <c r="CR6" s="45">
        <f t="shared" ca="1" si="2"/>
        <v>45928</v>
      </c>
      <c r="CS6" s="43">
        <f t="shared" ca="1" si="2"/>
        <v>45929</v>
      </c>
      <c r="CT6" s="43">
        <f t="shared" ca="1" si="2"/>
        <v>45930</v>
      </c>
      <c r="CU6" s="43">
        <f t="shared" ca="1" si="2"/>
        <v>45931</v>
      </c>
      <c r="CV6" s="43">
        <f t="shared" ca="1" si="2"/>
        <v>45932</v>
      </c>
      <c r="CW6" s="43">
        <f t="shared" ca="1" si="2"/>
        <v>45933</v>
      </c>
      <c r="CX6" s="44">
        <f t="shared" ca="1" si="2"/>
        <v>45934</v>
      </c>
      <c r="CY6" s="45">
        <f t="shared" ref="CY6:ED6" ca="1" si="3">CX6+1</f>
        <v>45935</v>
      </c>
      <c r="CZ6" s="43">
        <f t="shared" ca="1" si="3"/>
        <v>45936</v>
      </c>
      <c r="DA6" s="43">
        <f t="shared" ca="1" si="3"/>
        <v>45937</v>
      </c>
      <c r="DB6" s="43">
        <f t="shared" ca="1" si="3"/>
        <v>45938</v>
      </c>
      <c r="DC6" s="43">
        <f t="shared" ca="1" si="3"/>
        <v>45939</v>
      </c>
      <c r="DD6" s="43">
        <f t="shared" ca="1" si="3"/>
        <v>45940</v>
      </c>
      <c r="DE6" s="44">
        <f t="shared" ca="1" si="3"/>
        <v>45941</v>
      </c>
      <c r="DF6" s="45">
        <f t="shared" ca="1" si="3"/>
        <v>45942</v>
      </c>
      <c r="DG6" s="43">
        <f t="shared" ca="1" si="3"/>
        <v>45943</v>
      </c>
      <c r="DH6" s="43">
        <f t="shared" ca="1" si="3"/>
        <v>45944</v>
      </c>
      <c r="DI6" s="43">
        <f t="shared" ca="1" si="3"/>
        <v>45945</v>
      </c>
      <c r="DJ6" s="43">
        <f t="shared" ca="1" si="3"/>
        <v>45946</v>
      </c>
      <c r="DK6" s="43">
        <f t="shared" ca="1" si="3"/>
        <v>45947</v>
      </c>
      <c r="DL6" s="44">
        <f t="shared" ca="1" si="3"/>
        <v>45948</v>
      </c>
      <c r="DM6" s="45">
        <f t="shared" ca="1" si="3"/>
        <v>45949</v>
      </c>
      <c r="DN6" s="43">
        <f t="shared" ca="1" si="3"/>
        <v>45950</v>
      </c>
      <c r="DO6" s="43">
        <f t="shared" ca="1" si="3"/>
        <v>45951</v>
      </c>
      <c r="DP6" s="43">
        <f t="shared" ca="1" si="3"/>
        <v>45952</v>
      </c>
      <c r="DQ6" s="43">
        <f t="shared" ca="1" si="3"/>
        <v>45953</v>
      </c>
      <c r="DR6" s="43">
        <f t="shared" ca="1" si="3"/>
        <v>45954</v>
      </c>
      <c r="DS6" s="44">
        <f t="shared" ca="1" si="3"/>
        <v>45955</v>
      </c>
      <c r="DT6" s="45">
        <f t="shared" ca="1" si="3"/>
        <v>45956</v>
      </c>
      <c r="DU6" s="43">
        <f t="shared" ca="1" si="3"/>
        <v>45957</v>
      </c>
      <c r="DV6" s="43">
        <f t="shared" ca="1" si="3"/>
        <v>45958</v>
      </c>
      <c r="DW6" s="43">
        <f t="shared" ca="1" si="3"/>
        <v>45959</v>
      </c>
      <c r="DX6" s="43">
        <f t="shared" ca="1" si="3"/>
        <v>45960</v>
      </c>
      <c r="DY6" s="43">
        <f t="shared" ca="1" si="3"/>
        <v>45961</v>
      </c>
      <c r="DZ6" s="44">
        <f t="shared" ca="1" si="3"/>
        <v>45962</v>
      </c>
      <c r="EA6" s="45">
        <f t="shared" ca="1" si="3"/>
        <v>45963</v>
      </c>
      <c r="EB6" s="43">
        <f t="shared" ca="1" si="3"/>
        <v>45964</v>
      </c>
      <c r="EC6" s="43">
        <f t="shared" ca="1" si="3"/>
        <v>45965</v>
      </c>
      <c r="ED6" s="43">
        <f t="shared" ca="1" si="3"/>
        <v>45966</v>
      </c>
      <c r="EE6" s="43">
        <f t="shared" ref="EE6:FC6" ca="1" si="4">ED6+1</f>
        <v>45967</v>
      </c>
      <c r="EF6" s="43">
        <f t="shared" ca="1" si="4"/>
        <v>45968</v>
      </c>
      <c r="EG6" s="44">
        <f t="shared" ca="1" si="4"/>
        <v>45969</v>
      </c>
      <c r="EH6" s="45">
        <f t="shared" ca="1" si="4"/>
        <v>45970</v>
      </c>
      <c r="EI6" s="43">
        <f t="shared" ca="1" si="4"/>
        <v>45971</v>
      </c>
      <c r="EJ6" s="43">
        <f t="shared" ca="1" si="4"/>
        <v>45972</v>
      </c>
      <c r="EK6" s="43">
        <f t="shared" ca="1" si="4"/>
        <v>45973</v>
      </c>
      <c r="EL6" s="43">
        <f t="shared" ca="1" si="4"/>
        <v>45974</v>
      </c>
      <c r="EM6" s="43">
        <f t="shared" ca="1" si="4"/>
        <v>45975</v>
      </c>
      <c r="EN6" s="44">
        <f t="shared" ca="1" si="4"/>
        <v>45976</v>
      </c>
      <c r="EO6" s="45">
        <f t="shared" ca="1" si="4"/>
        <v>45977</v>
      </c>
      <c r="EP6" s="43">
        <f t="shared" ca="1" si="4"/>
        <v>45978</v>
      </c>
      <c r="EQ6" s="43">
        <f t="shared" ca="1" si="4"/>
        <v>45979</v>
      </c>
      <c r="ER6" s="43">
        <f t="shared" ca="1" si="4"/>
        <v>45980</v>
      </c>
      <c r="ES6" s="43">
        <f t="shared" ca="1" si="4"/>
        <v>45981</v>
      </c>
      <c r="ET6" s="43">
        <f t="shared" ca="1" si="4"/>
        <v>45982</v>
      </c>
      <c r="EU6" s="44">
        <f t="shared" ca="1" si="4"/>
        <v>45983</v>
      </c>
      <c r="EV6" s="45">
        <f t="shared" ca="1" si="4"/>
        <v>45984</v>
      </c>
      <c r="EW6" s="43">
        <f t="shared" ca="1" si="4"/>
        <v>45985</v>
      </c>
      <c r="EX6" s="43">
        <f t="shared" ca="1" si="4"/>
        <v>45986</v>
      </c>
      <c r="EY6" s="43">
        <f t="shared" ca="1" si="4"/>
        <v>45987</v>
      </c>
      <c r="EZ6" s="43">
        <f t="shared" ca="1" si="4"/>
        <v>45988</v>
      </c>
      <c r="FA6" s="43">
        <f t="shared" ca="1" si="4"/>
        <v>45989</v>
      </c>
      <c r="FB6" s="44">
        <f t="shared" ca="1" si="4"/>
        <v>45990</v>
      </c>
      <c r="FC6" s="45">
        <f t="shared" ca="1" si="4"/>
        <v>45991</v>
      </c>
    </row>
    <row r="7" spans="1:159" s="17" customFormat="1" ht="17.25" customHeight="1" thickTop="1">
      <c r="A7" s="473" t="s">
        <v>71</v>
      </c>
      <c r="B7" s="127">
        <v>931</v>
      </c>
      <c r="C7" s="40" t="s">
        <v>38</v>
      </c>
      <c r="D7" s="40" t="s">
        <v>39</v>
      </c>
      <c r="E7" s="41" t="s">
        <v>40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  <c r="DU7" s="13"/>
      <c r="DV7" s="14"/>
      <c r="DW7" s="14"/>
      <c r="DX7" s="14"/>
      <c r="DY7" s="14"/>
      <c r="DZ7" s="15"/>
      <c r="EA7" s="16"/>
      <c r="EB7" s="13"/>
      <c r="EC7" s="14"/>
      <c r="ED7" s="14"/>
      <c r="EE7" s="14"/>
      <c r="EF7" s="14"/>
      <c r="EG7" s="15"/>
      <c r="EH7" s="16"/>
      <c r="EI7" s="13"/>
      <c r="EJ7" s="14"/>
      <c r="EK7" s="14"/>
      <c r="EL7" s="14"/>
      <c r="EM7" s="14"/>
      <c r="EN7" s="15"/>
      <c r="EO7" s="16"/>
      <c r="EP7" s="13"/>
      <c r="EQ7" s="14"/>
      <c r="ER7" s="14"/>
      <c r="ES7" s="14"/>
      <c r="ET7" s="14"/>
      <c r="EU7" s="15"/>
      <c r="EV7" s="16"/>
      <c r="EW7" s="13"/>
      <c r="EX7" s="14"/>
      <c r="EY7" s="14"/>
      <c r="EZ7" s="14"/>
      <c r="FA7" s="14"/>
      <c r="FB7" s="15"/>
      <c r="FC7" s="16"/>
    </row>
    <row r="8" spans="1:159" s="17" customFormat="1" ht="9.6" customHeight="1">
      <c r="A8" s="552" t="str">
        <f ca="1">_xlfn.XLOOKUP(B7&amp;"-"&amp;"Next",'DATA BTO'!A:A,'DATA BTO'!E:E,"-",0)&amp;" &gt; "&amp;_xlfn.XLOOKUP(B7&amp;"-"&amp;"Next",'DATA BTO'!A:A,'DATA BTO'!J:J,"-",0)</f>
        <v>- &gt; -</v>
      </c>
      <c r="B8" s="18"/>
      <c r="C8" s="19">
        <f>_xlfn.XLOOKUP(A25,'VTT actif'!F:F,'VTT actif'!N:N,"-",0)</f>
        <v>7</v>
      </c>
      <c r="D8" s="20">
        <v>0</v>
      </c>
      <c r="E8" s="19">
        <f>(C8+D8)</f>
        <v>7</v>
      </c>
      <c r="F8" s="13" t="str">
        <f t="shared" ref="F8:O16" si="5">IF(AND(F$5&gt;=$C8,F$5&lt;=$E8),1,"")</f>
        <v/>
      </c>
      <c r="G8" s="14" t="str">
        <f t="shared" si="5"/>
        <v/>
      </c>
      <c r="H8" s="14" t="str">
        <f t="shared" si="5"/>
        <v/>
      </c>
      <c r="I8" s="14" t="str">
        <f t="shared" si="5"/>
        <v/>
      </c>
      <c r="J8" s="14" t="str">
        <f t="shared" si="5"/>
        <v/>
      </c>
      <c r="K8" s="15" t="str">
        <f t="shared" si="5"/>
        <v/>
      </c>
      <c r="L8" s="16">
        <f t="shared" si="5"/>
        <v>1</v>
      </c>
      <c r="M8" s="13" t="str">
        <f t="shared" si="5"/>
        <v/>
      </c>
      <c r="N8" s="14" t="str">
        <f t="shared" si="5"/>
        <v/>
      </c>
      <c r="O8" s="14" t="str">
        <f t="shared" si="5"/>
        <v/>
      </c>
      <c r="P8" s="14" t="str">
        <f t="shared" ref="P8:Y16" si="6">IF(AND(P$5&gt;=$C8,P$5&lt;=$E8),1,"")</f>
        <v/>
      </c>
      <c r="Q8" s="14" t="str">
        <f t="shared" si="6"/>
        <v/>
      </c>
      <c r="R8" s="15" t="str">
        <f t="shared" si="6"/>
        <v/>
      </c>
      <c r="S8" s="16" t="str">
        <f t="shared" si="6"/>
        <v/>
      </c>
      <c r="T8" s="13" t="str">
        <f t="shared" si="6"/>
        <v/>
      </c>
      <c r="U8" s="14" t="str">
        <f t="shared" si="6"/>
        <v/>
      </c>
      <c r="V8" s="14" t="str">
        <f t="shared" si="6"/>
        <v/>
      </c>
      <c r="W8" s="14" t="str">
        <f t="shared" si="6"/>
        <v/>
      </c>
      <c r="X8" s="14" t="str">
        <f t="shared" si="6"/>
        <v/>
      </c>
      <c r="Y8" s="15" t="str">
        <f t="shared" si="6"/>
        <v/>
      </c>
      <c r="Z8" s="16" t="str">
        <f t="shared" ref="Z8:AI16" si="7">IF(AND(Z$5&gt;=$C8,Z$5&lt;=$E8),1,"")</f>
        <v/>
      </c>
      <c r="AA8" s="13" t="str">
        <f t="shared" si="7"/>
        <v/>
      </c>
      <c r="AB8" s="14" t="str">
        <f t="shared" si="7"/>
        <v/>
      </c>
      <c r="AC8" s="14" t="str">
        <f t="shared" si="7"/>
        <v/>
      </c>
      <c r="AD8" s="14" t="str">
        <f t="shared" si="7"/>
        <v/>
      </c>
      <c r="AE8" s="14" t="str">
        <f t="shared" si="7"/>
        <v/>
      </c>
      <c r="AF8" s="15" t="str">
        <f t="shared" si="7"/>
        <v/>
      </c>
      <c r="AG8" s="16" t="str">
        <f t="shared" si="7"/>
        <v/>
      </c>
      <c r="AH8" s="13" t="str">
        <f t="shared" si="7"/>
        <v/>
      </c>
      <c r="AI8" s="14" t="str">
        <f t="shared" si="7"/>
        <v/>
      </c>
      <c r="AJ8" s="14" t="str">
        <f t="shared" ref="AJ8:AS16" si="8">IF(AND(AJ$5&gt;=$C8,AJ$5&lt;=$E8),1,"")</f>
        <v/>
      </c>
      <c r="AK8" s="14" t="str">
        <f t="shared" si="8"/>
        <v/>
      </c>
      <c r="AL8" s="14" t="str">
        <f t="shared" si="8"/>
        <v/>
      </c>
      <c r="AM8" s="15" t="str">
        <f t="shared" si="8"/>
        <v/>
      </c>
      <c r="AN8" s="16" t="str">
        <f t="shared" si="8"/>
        <v/>
      </c>
      <c r="AO8" s="13" t="str">
        <f t="shared" si="8"/>
        <v/>
      </c>
      <c r="AP8" s="14" t="str">
        <f t="shared" si="8"/>
        <v/>
      </c>
      <c r="AQ8" s="14" t="str">
        <f t="shared" si="8"/>
        <v/>
      </c>
      <c r="AR8" s="14" t="str">
        <f t="shared" si="8"/>
        <v/>
      </c>
      <c r="AS8" s="14" t="str">
        <f t="shared" si="8"/>
        <v/>
      </c>
      <c r="AT8" s="15" t="str">
        <f t="shared" ref="AT8:BC16" si="9">IF(AND(AT$5&gt;=$C8,AT$5&lt;=$E8),1,"")</f>
        <v/>
      </c>
      <c r="AU8" s="16" t="str">
        <f t="shared" si="9"/>
        <v/>
      </c>
      <c r="AV8" s="13" t="str">
        <f t="shared" si="9"/>
        <v/>
      </c>
      <c r="AW8" s="14" t="str">
        <f t="shared" si="9"/>
        <v/>
      </c>
      <c r="AX8" s="14" t="str">
        <f t="shared" si="9"/>
        <v/>
      </c>
      <c r="AY8" s="14" t="str">
        <f t="shared" si="9"/>
        <v/>
      </c>
      <c r="AZ8" s="14" t="str">
        <f t="shared" si="9"/>
        <v/>
      </c>
      <c r="BA8" s="15" t="str">
        <f t="shared" si="9"/>
        <v/>
      </c>
      <c r="BB8" s="16" t="str">
        <f t="shared" si="9"/>
        <v/>
      </c>
      <c r="BC8" s="13" t="str">
        <f t="shared" si="9"/>
        <v/>
      </c>
      <c r="BD8" s="14" t="str">
        <f t="shared" ref="BD8:BM16" si="10">IF(AND(BD$5&gt;=$C8,BD$5&lt;=$E8),1,"")</f>
        <v/>
      </c>
      <c r="BE8" s="14" t="str">
        <f t="shared" si="10"/>
        <v/>
      </c>
      <c r="BF8" s="14" t="str">
        <f t="shared" si="10"/>
        <v/>
      </c>
      <c r="BG8" s="14" t="str">
        <f t="shared" si="10"/>
        <v/>
      </c>
      <c r="BH8" s="15" t="str">
        <f t="shared" si="10"/>
        <v/>
      </c>
      <c r="BI8" s="16" t="str">
        <f t="shared" si="10"/>
        <v/>
      </c>
      <c r="BJ8" s="13" t="str">
        <f t="shared" si="10"/>
        <v/>
      </c>
      <c r="BK8" s="14" t="str">
        <f t="shared" si="10"/>
        <v/>
      </c>
      <c r="BL8" s="14" t="str">
        <f t="shared" si="10"/>
        <v/>
      </c>
      <c r="BM8" s="14" t="str">
        <f t="shared" si="10"/>
        <v/>
      </c>
      <c r="BN8" s="14" t="str">
        <f t="shared" ref="BN8:BW16" si="11">IF(AND(BN$5&gt;=$C8,BN$5&lt;=$E8),1,"")</f>
        <v/>
      </c>
      <c r="BO8" s="15" t="str">
        <f t="shared" si="11"/>
        <v/>
      </c>
      <c r="BP8" s="16" t="str">
        <f t="shared" si="11"/>
        <v/>
      </c>
      <c r="BQ8" s="13" t="str">
        <f t="shared" si="11"/>
        <v/>
      </c>
      <c r="BR8" s="14" t="str">
        <f t="shared" si="11"/>
        <v/>
      </c>
      <c r="BS8" s="14" t="str">
        <f t="shared" si="11"/>
        <v/>
      </c>
      <c r="BT8" s="14" t="str">
        <f t="shared" si="11"/>
        <v/>
      </c>
      <c r="BU8" s="14" t="str">
        <f t="shared" si="11"/>
        <v/>
      </c>
      <c r="BV8" s="15" t="str">
        <f t="shared" si="11"/>
        <v/>
      </c>
      <c r="BW8" s="16" t="str">
        <f t="shared" si="11"/>
        <v/>
      </c>
      <c r="BX8" s="13" t="str">
        <f t="shared" ref="BX8:CG16" si="12">IF(AND(BX$5&gt;=$C8,BX$5&lt;=$E8),1,"")</f>
        <v/>
      </c>
      <c r="BY8" s="14" t="str">
        <f t="shared" si="12"/>
        <v/>
      </c>
      <c r="BZ8" s="14" t="str">
        <f t="shared" si="12"/>
        <v/>
      </c>
      <c r="CA8" s="14" t="str">
        <f t="shared" si="12"/>
        <v/>
      </c>
      <c r="CB8" s="14" t="str">
        <f t="shared" si="12"/>
        <v/>
      </c>
      <c r="CC8" s="15" t="str">
        <f t="shared" si="12"/>
        <v/>
      </c>
      <c r="CD8" s="16" t="str">
        <f t="shared" si="12"/>
        <v/>
      </c>
      <c r="CE8" s="13" t="str">
        <f t="shared" si="12"/>
        <v/>
      </c>
      <c r="CF8" s="14" t="str">
        <f t="shared" si="12"/>
        <v/>
      </c>
      <c r="CG8" s="14" t="str">
        <f t="shared" si="12"/>
        <v/>
      </c>
      <c r="CH8" s="14" t="str">
        <f t="shared" ref="CH8:CQ16" si="13">IF(AND(CH$5&gt;=$C8,CH$5&lt;=$E8),1,"")</f>
        <v/>
      </c>
      <c r="CI8" s="14" t="str">
        <f t="shared" si="13"/>
        <v/>
      </c>
      <c r="CJ8" s="15" t="str">
        <f t="shared" si="13"/>
        <v/>
      </c>
      <c r="CK8" s="16" t="str">
        <f t="shared" si="13"/>
        <v/>
      </c>
      <c r="CL8" s="13" t="str">
        <f t="shared" si="13"/>
        <v/>
      </c>
      <c r="CM8" s="14" t="str">
        <f t="shared" si="13"/>
        <v/>
      </c>
      <c r="CN8" s="14" t="str">
        <f t="shared" si="13"/>
        <v/>
      </c>
      <c r="CO8" s="14" t="str">
        <f t="shared" si="13"/>
        <v/>
      </c>
      <c r="CP8" s="14" t="str">
        <f t="shared" si="13"/>
        <v/>
      </c>
      <c r="CQ8" s="15" t="str">
        <f t="shared" si="13"/>
        <v/>
      </c>
      <c r="CR8" s="16" t="str">
        <f t="shared" ref="CR8:DA16" si="14">IF(AND(CR$5&gt;=$C8,CR$5&lt;=$E8),1,"")</f>
        <v/>
      </c>
      <c r="CS8" s="13" t="str">
        <f t="shared" si="14"/>
        <v/>
      </c>
      <c r="CT8" s="14" t="str">
        <f t="shared" si="14"/>
        <v/>
      </c>
      <c r="CU8" s="14" t="str">
        <f t="shared" si="14"/>
        <v/>
      </c>
      <c r="CV8" s="14" t="str">
        <f t="shared" si="14"/>
        <v/>
      </c>
      <c r="CW8" s="14" t="str">
        <f t="shared" si="14"/>
        <v/>
      </c>
      <c r="CX8" s="15" t="str">
        <f t="shared" si="14"/>
        <v/>
      </c>
      <c r="CY8" s="16" t="str">
        <f t="shared" si="14"/>
        <v/>
      </c>
      <c r="CZ8" s="13" t="str">
        <f t="shared" si="14"/>
        <v/>
      </c>
      <c r="DA8" s="14" t="str">
        <f t="shared" si="14"/>
        <v/>
      </c>
      <c r="DB8" s="14" t="str">
        <f t="shared" ref="DB8:DK16" si="15">IF(AND(DB$5&gt;=$C8,DB$5&lt;=$E8),1,"")</f>
        <v/>
      </c>
      <c r="DC8" s="14" t="str">
        <f t="shared" si="15"/>
        <v/>
      </c>
      <c r="DD8" s="14" t="str">
        <f t="shared" si="15"/>
        <v/>
      </c>
      <c r="DE8" s="15" t="str">
        <f t="shared" si="15"/>
        <v/>
      </c>
      <c r="DF8" s="16" t="str">
        <f t="shared" si="15"/>
        <v/>
      </c>
      <c r="DG8" s="13" t="str">
        <f t="shared" si="15"/>
        <v/>
      </c>
      <c r="DH8" s="14" t="str">
        <f t="shared" si="15"/>
        <v/>
      </c>
      <c r="DI8" s="14" t="str">
        <f t="shared" si="15"/>
        <v/>
      </c>
      <c r="DJ8" s="14" t="str">
        <f t="shared" si="15"/>
        <v/>
      </c>
      <c r="DK8" s="14" t="str">
        <f t="shared" si="15"/>
        <v/>
      </c>
      <c r="DL8" s="15" t="str">
        <f t="shared" ref="DL8:DU16" si="16">IF(AND(DL$5&gt;=$C8,DL$5&lt;=$E8),1,"")</f>
        <v/>
      </c>
      <c r="DM8" s="16" t="str">
        <f t="shared" si="16"/>
        <v/>
      </c>
      <c r="DN8" s="13" t="str">
        <f t="shared" si="16"/>
        <v/>
      </c>
      <c r="DO8" s="14" t="str">
        <f t="shared" si="16"/>
        <v/>
      </c>
      <c r="DP8" s="14" t="str">
        <f t="shared" si="16"/>
        <v/>
      </c>
      <c r="DQ8" s="14" t="str">
        <f t="shared" si="16"/>
        <v/>
      </c>
      <c r="DR8" s="14" t="str">
        <f t="shared" si="16"/>
        <v/>
      </c>
      <c r="DS8" s="15" t="str">
        <f t="shared" si="16"/>
        <v/>
      </c>
      <c r="DT8" s="16" t="str">
        <f t="shared" si="16"/>
        <v/>
      </c>
      <c r="DU8" s="13" t="str">
        <f t="shared" si="16"/>
        <v/>
      </c>
      <c r="DV8" s="14" t="str">
        <f t="shared" ref="DV8:EE16" si="17">IF(AND(DV$5&gt;=$C8,DV$5&lt;=$E8),1,"")</f>
        <v/>
      </c>
      <c r="DW8" s="14" t="str">
        <f t="shared" si="17"/>
        <v/>
      </c>
      <c r="DX8" s="14" t="str">
        <f t="shared" si="17"/>
        <v/>
      </c>
      <c r="DY8" s="14" t="str">
        <f t="shared" si="17"/>
        <v/>
      </c>
      <c r="DZ8" s="15" t="str">
        <f t="shared" si="17"/>
        <v/>
      </c>
      <c r="EA8" s="16" t="str">
        <f t="shared" si="17"/>
        <v/>
      </c>
      <c r="EB8" s="13" t="str">
        <f t="shared" si="17"/>
        <v/>
      </c>
      <c r="EC8" s="14" t="str">
        <f t="shared" si="17"/>
        <v/>
      </c>
      <c r="ED8" s="14" t="str">
        <f t="shared" si="17"/>
        <v/>
      </c>
      <c r="EE8" s="14" t="str">
        <f t="shared" si="17"/>
        <v/>
      </c>
      <c r="EF8" s="14" t="str">
        <f t="shared" ref="EF8:EO16" si="18">IF(AND(EF$5&gt;=$C8,EF$5&lt;=$E8),1,"")</f>
        <v/>
      </c>
      <c r="EG8" s="15" t="str">
        <f t="shared" si="18"/>
        <v/>
      </c>
      <c r="EH8" s="16" t="str">
        <f t="shared" si="18"/>
        <v/>
      </c>
      <c r="EI8" s="13" t="str">
        <f t="shared" si="18"/>
        <v/>
      </c>
      <c r="EJ8" s="14" t="str">
        <f t="shared" si="18"/>
        <v/>
      </c>
      <c r="EK8" s="14" t="str">
        <f t="shared" si="18"/>
        <v/>
      </c>
      <c r="EL8" s="14" t="str">
        <f t="shared" si="18"/>
        <v/>
      </c>
      <c r="EM8" s="14" t="str">
        <f t="shared" si="18"/>
        <v/>
      </c>
      <c r="EN8" s="15" t="str">
        <f t="shared" si="18"/>
        <v/>
      </c>
      <c r="EO8" s="16" t="str">
        <f t="shared" si="18"/>
        <v/>
      </c>
      <c r="EP8" s="13" t="str">
        <f t="shared" ref="EP8:FC16" si="19">IF(AND(EP$5&gt;=$C8,EP$5&lt;=$E8),1,"")</f>
        <v/>
      </c>
      <c r="EQ8" s="14" t="str">
        <f t="shared" si="19"/>
        <v/>
      </c>
      <c r="ER8" s="14" t="str">
        <f t="shared" si="19"/>
        <v/>
      </c>
      <c r="ES8" s="14" t="str">
        <f t="shared" si="19"/>
        <v/>
      </c>
      <c r="ET8" s="14" t="str">
        <f t="shared" si="19"/>
        <v/>
      </c>
      <c r="EU8" s="15" t="str">
        <f t="shared" si="19"/>
        <v/>
      </c>
      <c r="EV8" s="16" t="str">
        <f t="shared" si="19"/>
        <v/>
      </c>
      <c r="EW8" s="13" t="str">
        <f t="shared" si="19"/>
        <v/>
      </c>
      <c r="EX8" s="14" t="str">
        <f t="shared" si="19"/>
        <v/>
      </c>
      <c r="EY8" s="14" t="str">
        <f t="shared" si="19"/>
        <v/>
      </c>
      <c r="EZ8" s="14" t="str">
        <f t="shared" si="19"/>
        <v/>
      </c>
      <c r="FA8" s="14" t="str">
        <f t="shared" si="19"/>
        <v/>
      </c>
      <c r="FB8" s="15" t="str">
        <f t="shared" si="19"/>
        <v/>
      </c>
      <c r="FC8" s="16" t="str">
        <f t="shared" si="19"/>
        <v/>
      </c>
    </row>
    <row r="9" spans="1:159" s="17" customFormat="1" ht="9.6" customHeight="1">
      <c r="A9" s="535"/>
      <c r="B9" s="18" t="str">
        <f>IF(B1="SFK Freight Forwarder","","Day ILN Order")</f>
        <v>Day ILN Order</v>
      </c>
      <c r="C9" s="19">
        <f>IF(B1="SFK Freight Forwarder",0,_xlfn.XLOOKUP(A25,'VTT actif'!F:F,'VTT actif'!Q:Q,"-",0))</f>
        <v>9</v>
      </c>
      <c r="D9" s="20">
        <v>0</v>
      </c>
      <c r="E9" s="19">
        <f>(C9+D9)</f>
        <v>9</v>
      </c>
      <c r="F9" s="13" t="str">
        <f t="shared" si="5"/>
        <v/>
      </c>
      <c r="G9" s="14" t="str">
        <f t="shared" si="5"/>
        <v/>
      </c>
      <c r="H9" s="14" t="str">
        <f t="shared" si="5"/>
        <v/>
      </c>
      <c r="I9" s="14" t="str">
        <f t="shared" si="5"/>
        <v/>
      </c>
      <c r="J9" s="14" t="str">
        <f t="shared" si="5"/>
        <v/>
      </c>
      <c r="K9" s="15" t="str">
        <f t="shared" si="5"/>
        <v/>
      </c>
      <c r="L9" s="16" t="str">
        <f t="shared" si="5"/>
        <v/>
      </c>
      <c r="M9" s="13" t="str">
        <f t="shared" si="5"/>
        <v/>
      </c>
      <c r="N9" s="14">
        <f t="shared" si="5"/>
        <v>1</v>
      </c>
      <c r="O9" s="14" t="str">
        <f t="shared" si="5"/>
        <v/>
      </c>
      <c r="P9" s="14" t="str">
        <f t="shared" si="6"/>
        <v/>
      </c>
      <c r="Q9" s="14" t="str">
        <f t="shared" si="6"/>
        <v/>
      </c>
      <c r="R9" s="15" t="str">
        <f t="shared" si="6"/>
        <v/>
      </c>
      <c r="S9" s="16" t="str">
        <f t="shared" si="6"/>
        <v/>
      </c>
      <c r="T9" s="13" t="str">
        <f t="shared" si="6"/>
        <v/>
      </c>
      <c r="U9" s="14" t="str">
        <f t="shared" si="6"/>
        <v/>
      </c>
      <c r="V9" s="14" t="str">
        <f t="shared" si="6"/>
        <v/>
      </c>
      <c r="W9" s="14" t="str">
        <f t="shared" si="6"/>
        <v/>
      </c>
      <c r="X9" s="14" t="str">
        <f t="shared" si="6"/>
        <v/>
      </c>
      <c r="Y9" s="15" t="str">
        <f t="shared" si="6"/>
        <v/>
      </c>
      <c r="Z9" s="16" t="str">
        <f t="shared" si="7"/>
        <v/>
      </c>
      <c r="AA9" s="13" t="str">
        <f t="shared" si="7"/>
        <v/>
      </c>
      <c r="AB9" s="14" t="str">
        <f t="shared" si="7"/>
        <v/>
      </c>
      <c r="AC9" s="14" t="str">
        <f t="shared" si="7"/>
        <v/>
      </c>
      <c r="AD9" s="14" t="str">
        <f t="shared" si="7"/>
        <v/>
      </c>
      <c r="AE9" s="14" t="str">
        <f t="shared" si="7"/>
        <v/>
      </c>
      <c r="AF9" s="15" t="str">
        <f t="shared" si="7"/>
        <v/>
      </c>
      <c r="AG9" s="16" t="str">
        <f t="shared" si="7"/>
        <v/>
      </c>
      <c r="AH9" s="13" t="str">
        <f t="shared" si="7"/>
        <v/>
      </c>
      <c r="AI9" s="14" t="str">
        <f t="shared" si="7"/>
        <v/>
      </c>
      <c r="AJ9" s="14" t="str">
        <f t="shared" si="8"/>
        <v/>
      </c>
      <c r="AK9" s="14" t="str">
        <f t="shared" si="8"/>
        <v/>
      </c>
      <c r="AL9" s="14" t="str">
        <f t="shared" si="8"/>
        <v/>
      </c>
      <c r="AM9" s="15" t="str">
        <f t="shared" si="8"/>
        <v/>
      </c>
      <c r="AN9" s="16" t="str">
        <f t="shared" si="8"/>
        <v/>
      </c>
      <c r="AO9" s="13" t="str">
        <f t="shared" si="8"/>
        <v/>
      </c>
      <c r="AP9" s="14" t="str">
        <f t="shared" si="8"/>
        <v/>
      </c>
      <c r="AQ9" s="14" t="str">
        <f t="shared" si="8"/>
        <v/>
      </c>
      <c r="AR9" s="14" t="str">
        <f t="shared" si="8"/>
        <v/>
      </c>
      <c r="AS9" s="14" t="str">
        <f t="shared" si="8"/>
        <v/>
      </c>
      <c r="AT9" s="15" t="str">
        <f t="shared" si="9"/>
        <v/>
      </c>
      <c r="AU9" s="16" t="str">
        <f t="shared" si="9"/>
        <v/>
      </c>
      <c r="AV9" s="13" t="str">
        <f t="shared" si="9"/>
        <v/>
      </c>
      <c r="AW9" s="14" t="str">
        <f t="shared" si="9"/>
        <v/>
      </c>
      <c r="AX9" s="14" t="str">
        <f t="shared" si="9"/>
        <v/>
      </c>
      <c r="AY9" s="14" t="str">
        <f t="shared" si="9"/>
        <v/>
      </c>
      <c r="AZ9" s="14" t="str">
        <f t="shared" si="9"/>
        <v/>
      </c>
      <c r="BA9" s="15" t="str">
        <f t="shared" si="9"/>
        <v/>
      </c>
      <c r="BB9" s="16" t="str">
        <f t="shared" si="9"/>
        <v/>
      </c>
      <c r="BC9" s="13" t="str">
        <f t="shared" si="9"/>
        <v/>
      </c>
      <c r="BD9" s="14" t="str">
        <f t="shared" si="10"/>
        <v/>
      </c>
      <c r="BE9" s="14" t="str">
        <f t="shared" si="10"/>
        <v/>
      </c>
      <c r="BF9" s="14" t="str">
        <f t="shared" si="10"/>
        <v/>
      </c>
      <c r="BG9" s="14" t="str">
        <f t="shared" si="10"/>
        <v/>
      </c>
      <c r="BH9" s="15" t="str">
        <f t="shared" si="10"/>
        <v/>
      </c>
      <c r="BI9" s="16" t="str">
        <f t="shared" si="10"/>
        <v/>
      </c>
      <c r="BJ9" s="13" t="str">
        <f t="shared" si="10"/>
        <v/>
      </c>
      <c r="BK9" s="14" t="str">
        <f t="shared" si="10"/>
        <v/>
      </c>
      <c r="BL9" s="14" t="str">
        <f t="shared" si="10"/>
        <v/>
      </c>
      <c r="BM9" s="14" t="str">
        <f t="shared" si="10"/>
        <v/>
      </c>
      <c r="BN9" s="14" t="str">
        <f t="shared" si="11"/>
        <v/>
      </c>
      <c r="BO9" s="15" t="str">
        <f t="shared" si="11"/>
        <v/>
      </c>
      <c r="BP9" s="16" t="str">
        <f t="shared" si="11"/>
        <v/>
      </c>
      <c r="BQ9" s="13" t="str">
        <f t="shared" si="11"/>
        <v/>
      </c>
      <c r="BR9" s="14" t="str">
        <f t="shared" si="11"/>
        <v/>
      </c>
      <c r="BS9" s="14" t="str">
        <f t="shared" si="11"/>
        <v/>
      </c>
      <c r="BT9" s="14" t="str">
        <f t="shared" si="11"/>
        <v/>
      </c>
      <c r="BU9" s="14" t="str">
        <f t="shared" si="11"/>
        <v/>
      </c>
      <c r="BV9" s="15" t="str">
        <f t="shared" si="11"/>
        <v/>
      </c>
      <c r="BW9" s="16" t="str">
        <f t="shared" si="11"/>
        <v/>
      </c>
      <c r="BX9" s="13" t="str">
        <f t="shared" si="12"/>
        <v/>
      </c>
      <c r="BY9" s="14" t="str">
        <f t="shared" si="12"/>
        <v/>
      </c>
      <c r="BZ9" s="14" t="str">
        <f t="shared" si="12"/>
        <v/>
      </c>
      <c r="CA9" s="14" t="str">
        <f t="shared" si="12"/>
        <v/>
      </c>
      <c r="CB9" s="14" t="str">
        <f t="shared" si="12"/>
        <v/>
      </c>
      <c r="CC9" s="15" t="str">
        <f t="shared" si="12"/>
        <v/>
      </c>
      <c r="CD9" s="16" t="str">
        <f t="shared" si="12"/>
        <v/>
      </c>
      <c r="CE9" s="13" t="str">
        <f t="shared" si="12"/>
        <v/>
      </c>
      <c r="CF9" s="14" t="str">
        <f t="shared" si="12"/>
        <v/>
      </c>
      <c r="CG9" s="14" t="str">
        <f t="shared" si="12"/>
        <v/>
      </c>
      <c r="CH9" s="14" t="str">
        <f t="shared" si="13"/>
        <v/>
      </c>
      <c r="CI9" s="14" t="str">
        <f t="shared" si="13"/>
        <v/>
      </c>
      <c r="CJ9" s="15" t="str">
        <f t="shared" si="13"/>
        <v/>
      </c>
      <c r="CK9" s="16" t="str">
        <f t="shared" si="13"/>
        <v/>
      </c>
      <c r="CL9" s="13" t="str">
        <f t="shared" si="13"/>
        <v/>
      </c>
      <c r="CM9" s="14" t="str">
        <f t="shared" si="13"/>
        <v/>
      </c>
      <c r="CN9" s="14" t="str">
        <f t="shared" si="13"/>
        <v/>
      </c>
      <c r="CO9" s="14" t="str">
        <f t="shared" si="13"/>
        <v/>
      </c>
      <c r="CP9" s="14" t="str">
        <f t="shared" si="13"/>
        <v/>
      </c>
      <c r="CQ9" s="15" t="str">
        <f t="shared" si="13"/>
        <v/>
      </c>
      <c r="CR9" s="16" t="str">
        <f t="shared" si="14"/>
        <v/>
      </c>
      <c r="CS9" s="13" t="str">
        <f t="shared" si="14"/>
        <v/>
      </c>
      <c r="CT9" s="14" t="str">
        <f t="shared" si="14"/>
        <v/>
      </c>
      <c r="CU9" s="14" t="str">
        <f t="shared" si="14"/>
        <v/>
      </c>
      <c r="CV9" s="14" t="str">
        <f t="shared" si="14"/>
        <v/>
      </c>
      <c r="CW9" s="14" t="str">
        <f t="shared" si="14"/>
        <v/>
      </c>
      <c r="CX9" s="15" t="str">
        <f t="shared" si="14"/>
        <v/>
      </c>
      <c r="CY9" s="16" t="str">
        <f t="shared" si="14"/>
        <v/>
      </c>
      <c r="CZ9" s="13" t="str">
        <f t="shared" si="14"/>
        <v/>
      </c>
      <c r="DA9" s="14" t="str">
        <f t="shared" si="14"/>
        <v/>
      </c>
      <c r="DB9" s="14" t="str">
        <f t="shared" si="15"/>
        <v/>
      </c>
      <c r="DC9" s="14" t="str">
        <f t="shared" si="15"/>
        <v/>
      </c>
      <c r="DD9" s="14" t="str">
        <f t="shared" si="15"/>
        <v/>
      </c>
      <c r="DE9" s="15" t="str">
        <f t="shared" si="15"/>
        <v/>
      </c>
      <c r="DF9" s="16" t="str">
        <f t="shared" si="15"/>
        <v/>
      </c>
      <c r="DG9" s="13" t="str">
        <f t="shared" si="15"/>
        <v/>
      </c>
      <c r="DH9" s="14" t="str">
        <f t="shared" si="15"/>
        <v/>
      </c>
      <c r="DI9" s="14" t="str">
        <f t="shared" si="15"/>
        <v/>
      </c>
      <c r="DJ9" s="14" t="str">
        <f t="shared" si="15"/>
        <v/>
      </c>
      <c r="DK9" s="14" t="str">
        <f t="shared" si="15"/>
        <v/>
      </c>
      <c r="DL9" s="15" t="str">
        <f t="shared" si="16"/>
        <v/>
      </c>
      <c r="DM9" s="16" t="str">
        <f t="shared" si="16"/>
        <v/>
      </c>
      <c r="DN9" s="13" t="str">
        <f t="shared" si="16"/>
        <v/>
      </c>
      <c r="DO9" s="14" t="str">
        <f t="shared" si="16"/>
        <v/>
      </c>
      <c r="DP9" s="14" t="str">
        <f t="shared" si="16"/>
        <v/>
      </c>
      <c r="DQ9" s="14" t="str">
        <f t="shared" si="16"/>
        <v/>
      </c>
      <c r="DR9" s="14" t="str">
        <f t="shared" si="16"/>
        <v/>
      </c>
      <c r="DS9" s="15" t="str">
        <f t="shared" si="16"/>
        <v/>
      </c>
      <c r="DT9" s="16" t="str">
        <f t="shared" si="16"/>
        <v/>
      </c>
      <c r="DU9" s="13" t="str">
        <f t="shared" si="16"/>
        <v/>
      </c>
      <c r="DV9" s="14" t="str">
        <f t="shared" si="17"/>
        <v/>
      </c>
      <c r="DW9" s="14" t="str">
        <f t="shared" si="17"/>
        <v/>
      </c>
      <c r="DX9" s="14" t="str">
        <f t="shared" si="17"/>
        <v/>
      </c>
      <c r="DY9" s="14" t="str">
        <f t="shared" si="17"/>
        <v/>
      </c>
      <c r="DZ9" s="15" t="str">
        <f t="shared" si="17"/>
        <v/>
      </c>
      <c r="EA9" s="16" t="str">
        <f t="shared" si="17"/>
        <v/>
      </c>
      <c r="EB9" s="13" t="str">
        <f t="shared" si="17"/>
        <v/>
      </c>
      <c r="EC9" s="14" t="str">
        <f t="shared" si="17"/>
        <v/>
      </c>
      <c r="ED9" s="14" t="str">
        <f t="shared" si="17"/>
        <v/>
      </c>
      <c r="EE9" s="14" t="str">
        <f t="shared" si="17"/>
        <v/>
      </c>
      <c r="EF9" s="14" t="str">
        <f t="shared" si="18"/>
        <v/>
      </c>
      <c r="EG9" s="15" t="str">
        <f t="shared" si="18"/>
        <v/>
      </c>
      <c r="EH9" s="16" t="str">
        <f t="shared" si="18"/>
        <v/>
      </c>
      <c r="EI9" s="13" t="str">
        <f t="shared" si="18"/>
        <v/>
      </c>
      <c r="EJ9" s="14" t="str">
        <f t="shared" si="18"/>
        <v/>
      </c>
      <c r="EK9" s="14" t="str">
        <f t="shared" si="18"/>
        <v/>
      </c>
      <c r="EL9" s="14" t="str">
        <f t="shared" si="18"/>
        <v/>
      </c>
      <c r="EM9" s="14" t="str">
        <f t="shared" si="18"/>
        <v/>
      </c>
      <c r="EN9" s="15" t="str">
        <f t="shared" si="18"/>
        <v/>
      </c>
      <c r="EO9" s="16" t="str">
        <f t="shared" si="18"/>
        <v/>
      </c>
      <c r="EP9" s="13" t="str">
        <f t="shared" si="19"/>
        <v/>
      </c>
      <c r="EQ9" s="14" t="str">
        <f t="shared" si="19"/>
        <v/>
      </c>
      <c r="ER9" s="14" t="str">
        <f t="shared" si="19"/>
        <v/>
      </c>
      <c r="ES9" s="14" t="str">
        <f t="shared" si="19"/>
        <v/>
      </c>
      <c r="ET9" s="14" t="str">
        <f t="shared" si="19"/>
        <v/>
      </c>
      <c r="EU9" s="15" t="str">
        <f t="shared" si="19"/>
        <v/>
      </c>
      <c r="EV9" s="16" t="str">
        <f t="shared" si="19"/>
        <v/>
      </c>
      <c r="EW9" s="13" t="str">
        <f t="shared" si="19"/>
        <v/>
      </c>
      <c r="EX9" s="14" t="str">
        <f t="shared" si="19"/>
        <v/>
      </c>
      <c r="EY9" s="14" t="str">
        <f t="shared" si="19"/>
        <v/>
      </c>
      <c r="EZ9" s="14" t="str">
        <f t="shared" si="19"/>
        <v/>
      </c>
      <c r="FA9" s="14" t="str">
        <f t="shared" si="19"/>
        <v/>
      </c>
      <c r="FB9" s="15" t="str">
        <f t="shared" si="19"/>
        <v/>
      </c>
      <c r="FC9" s="16" t="str">
        <f t="shared" si="19"/>
        <v/>
      </c>
    </row>
    <row r="10" spans="1:159" s="17" customFormat="1" ht="9.6" customHeight="1">
      <c r="A10" s="535"/>
      <c r="B10" s="18" t="str">
        <f>IF(B1="SFK Freight Forwarder","","Time of recept in AILN")</f>
        <v>Time of recept in AILN</v>
      </c>
      <c r="C10" s="19">
        <f ca="1">IF(B1="SFK Freight Forwarder",0,_xlfn.XLOOKUP(A25,'VTT actif'!F:F,'VTT actif'!R:R,"-",0)+E9-1)</f>
        <v>22</v>
      </c>
      <c r="D10" s="19">
        <f ca="1">IF(B1="SFK Freight Forwarder",0,_xlfn.XLOOKUP(A25,'VTT actif'!F:F,'VTT actif'!S:S,"-",0))</f>
        <v>5</v>
      </c>
      <c r="E10" s="19">
        <f ca="1">IF(B1="SFK Freight Forwarder",0,(C10+D10)-1)</f>
        <v>26</v>
      </c>
      <c r="F10" s="13" t="str">
        <f t="shared" ca="1" si="5"/>
        <v/>
      </c>
      <c r="G10" s="14" t="str">
        <f t="shared" ca="1" si="5"/>
        <v/>
      </c>
      <c r="H10" s="14" t="str">
        <f t="shared" ca="1" si="5"/>
        <v/>
      </c>
      <c r="I10" s="14" t="str">
        <f t="shared" ca="1" si="5"/>
        <v/>
      </c>
      <c r="J10" s="14" t="str">
        <f t="shared" ca="1" si="5"/>
        <v/>
      </c>
      <c r="K10" s="15" t="str">
        <f t="shared" ca="1" si="5"/>
        <v/>
      </c>
      <c r="L10" s="16" t="str">
        <f t="shared" ca="1" si="5"/>
        <v/>
      </c>
      <c r="M10" s="13" t="str">
        <f t="shared" ca="1" si="5"/>
        <v/>
      </c>
      <c r="N10" s="14" t="str">
        <f t="shared" ca="1" si="5"/>
        <v/>
      </c>
      <c r="O10" s="14" t="str">
        <f t="shared" ca="1" si="5"/>
        <v/>
      </c>
      <c r="P10" s="14" t="str">
        <f t="shared" ca="1" si="6"/>
        <v/>
      </c>
      <c r="Q10" s="14" t="str">
        <f t="shared" ca="1" si="6"/>
        <v/>
      </c>
      <c r="R10" s="15" t="str">
        <f t="shared" ca="1" si="6"/>
        <v/>
      </c>
      <c r="S10" s="16" t="str">
        <f t="shared" ca="1" si="6"/>
        <v/>
      </c>
      <c r="T10" s="13" t="str">
        <f t="shared" ca="1" si="6"/>
        <v/>
      </c>
      <c r="U10" s="14" t="str">
        <f t="shared" ca="1" si="6"/>
        <v/>
      </c>
      <c r="V10" s="14" t="str">
        <f t="shared" ca="1" si="6"/>
        <v/>
      </c>
      <c r="W10" s="14" t="str">
        <f t="shared" ca="1" si="6"/>
        <v/>
      </c>
      <c r="X10" s="14" t="str">
        <f t="shared" ca="1" si="6"/>
        <v/>
      </c>
      <c r="Y10" s="15" t="str">
        <f t="shared" ca="1" si="6"/>
        <v/>
      </c>
      <c r="Z10" s="16" t="str">
        <f t="shared" ca="1" si="7"/>
        <v/>
      </c>
      <c r="AA10" s="13">
        <f t="shared" ca="1" si="7"/>
        <v>1</v>
      </c>
      <c r="AB10" s="14">
        <f t="shared" ca="1" si="7"/>
        <v>1</v>
      </c>
      <c r="AC10" s="14">
        <f t="shared" ca="1" si="7"/>
        <v>1</v>
      </c>
      <c r="AD10" s="14">
        <f t="shared" ca="1" si="7"/>
        <v>1</v>
      </c>
      <c r="AE10" s="14">
        <f t="shared" ca="1" si="7"/>
        <v>1</v>
      </c>
      <c r="AF10" s="15" t="str">
        <f t="shared" ca="1" si="7"/>
        <v/>
      </c>
      <c r="AG10" s="16" t="str">
        <f t="shared" ca="1" si="7"/>
        <v/>
      </c>
      <c r="AH10" s="13" t="str">
        <f t="shared" ca="1" si="7"/>
        <v/>
      </c>
      <c r="AI10" s="14" t="str">
        <f t="shared" ca="1" si="7"/>
        <v/>
      </c>
      <c r="AJ10" s="14" t="str">
        <f t="shared" ca="1" si="8"/>
        <v/>
      </c>
      <c r="AK10" s="14" t="str">
        <f t="shared" ca="1" si="8"/>
        <v/>
      </c>
      <c r="AL10" s="14" t="str">
        <f t="shared" ca="1" si="8"/>
        <v/>
      </c>
      <c r="AM10" s="15" t="str">
        <f t="shared" ca="1" si="8"/>
        <v/>
      </c>
      <c r="AN10" s="16" t="str">
        <f t="shared" ca="1" si="8"/>
        <v/>
      </c>
      <c r="AO10" s="13" t="str">
        <f t="shared" ca="1" si="8"/>
        <v/>
      </c>
      <c r="AP10" s="14" t="str">
        <f t="shared" ca="1" si="8"/>
        <v/>
      </c>
      <c r="AQ10" s="14" t="str">
        <f t="shared" ca="1" si="8"/>
        <v/>
      </c>
      <c r="AR10" s="14" t="str">
        <f t="shared" ca="1" si="8"/>
        <v/>
      </c>
      <c r="AS10" s="14" t="str">
        <f t="shared" ca="1" si="8"/>
        <v/>
      </c>
      <c r="AT10" s="15" t="str">
        <f t="shared" ca="1" si="9"/>
        <v/>
      </c>
      <c r="AU10" s="16" t="str">
        <f t="shared" ca="1" si="9"/>
        <v/>
      </c>
      <c r="AV10" s="13" t="str">
        <f t="shared" ca="1" si="9"/>
        <v/>
      </c>
      <c r="AW10" s="14" t="str">
        <f t="shared" ca="1" si="9"/>
        <v/>
      </c>
      <c r="AX10" s="14" t="str">
        <f t="shared" ca="1" si="9"/>
        <v/>
      </c>
      <c r="AY10" s="14" t="str">
        <f t="shared" ca="1" si="9"/>
        <v/>
      </c>
      <c r="AZ10" s="14" t="str">
        <f t="shared" ca="1" si="9"/>
        <v/>
      </c>
      <c r="BA10" s="15" t="str">
        <f t="shared" ca="1" si="9"/>
        <v/>
      </c>
      <c r="BB10" s="16" t="str">
        <f t="shared" ca="1" si="9"/>
        <v/>
      </c>
      <c r="BC10" s="13" t="str">
        <f t="shared" ca="1" si="9"/>
        <v/>
      </c>
      <c r="BD10" s="14" t="str">
        <f t="shared" ca="1" si="10"/>
        <v/>
      </c>
      <c r="BE10" s="14" t="str">
        <f t="shared" ca="1" si="10"/>
        <v/>
      </c>
      <c r="BF10" s="14" t="str">
        <f t="shared" ca="1" si="10"/>
        <v/>
      </c>
      <c r="BG10" s="14" t="str">
        <f t="shared" ca="1" si="10"/>
        <v/>
      </c>
      <c r="BH10" s="15" t="str">
        <f t="shared" ca="1" si="10"/>
        <v/>
      </c>
      <c r="BI10" s="16" t="str">
        <f t="shared" ca="1" si="10"/>
        <v/>
      </c>
      <c r="BJ10" s="13" t="str">
        <f t="shared" ca="1" si="10"/>
        <v/>
      </c>
      <c r="BK10" s="14" t="str">
        <f t="shared" ca="1" si="10"/>
        <v/>
      </c>
      <c r="BL10" s="14" t="str">
        <f t="shared" ca="1" si="10"/>
        <v/>
      </c>
      <c r="BM10" s="14" t="str">
        <f t="shared" ca="1" si="10"/>
        <v/>
      </c>
      <c r="BN10" s="14" t="str">
        <f t="shared" ca="1" si="11"/>
        <v/>
      </c>
      <c r="BO10" s="15" t="str">
        <f t="shared" ca="1" si="11"/>
        <v/>
      </c>
      <c r="BP10" s="16" t="str">
        <f t="shared" ca="1" si="11"/>
        <v/>
      </c>
      <c r="BQ10" s="13" t="str">
        <f t="shared" ca="1" si="11"/>
        <v/>
      </c>
      <c r="BR10" s="14" t="str">
        <f t="shared" ca="1" si="11"/>
        <v/>
      </c>
      <c r="BS10" s="14" t="str">
        <f t="shared" ca="1" si="11"/>
        <v/>
      </c>
      <c r="BT10" s="14" t="str">
        <f t="shared" ca="1" si="11"/>
        <v/>
      </c>
      <c r="BU10" s="14" t="str">
        <f t="shared" ca="1" si="11"/>
        <v/>
      </c>
      <c r="BV10" s="15" t="str">
        <f t="shared" ca="1" si="11"/>
        <v/>
      </c>
      <c r="BW10" s="16" t="str">
        <f t="shared" ca="1" si="11"/>
        <v/>
      </c>
      <c r="BX10" s="13" t="str">
        <f t="shared" ca="1" si="12"/>
        <v/>
      </c>
      <c r="BY10" s="14" t="str">
        <f t="shared" ca="1" si="12"/>
        <v/>
      </c>
      <c r="BZ10" s="14" t="str">
        <f t="shared" ca="1" si="12"/>
        <v/>
      </c>
      <c r="CA10" s="14" t="str">
        <f t="shared" ca="1" si="12"/>
        <v/>
      </c>
      <c r="CB10" s="14" t="str">
        <f t="shared" ca="1" si="12"/>
        <v/>
      </c>
      <c r="CC10" s="15" t="str">
        <f t="shared" ca="1" si="12"/>
        <v/>
      </c>
      <c r="CD10" s="16" t="str">
        <f t="shared" ca="1" si="12"/>
        <v/>
      </c>
      <c r="CE10" s="13" t="str">
        <f t="shared" ca="1" si="12"/>
        <v/>
      </c>
      <c r="CF10" s="14" t="str">
        <f t="shared" ca="1" si="12"/>
        <v/>
      </c>
      <c r="CG10" s="14" t="str">
        <f t="shared" ca="1" si="12"/>
        <v/>
      </c>
      <c r="CH10" s="14" t="str">
        <f t="shared" ca="1" si="13"/>
        <v/>
      </c>
      <c r="CI10" s="14" t="str">
        <f t="shared" ca="1" si="13"/>
        <v/>
      </c>
      <c r="CJ10" s="15" t="str">
        <f t="shared" ca="1" si="13"/>
        <v/>
      </c>
      <c r="CK10" s="16" t="str">
        <f t="shared" ca="1" si="13"/>
        <v/>
      </c>
      <c r="CL10" s="13" t="str">
        <f t="shared" ca="1" si="13"/>
        <v/>
      </c>
      <c r="CM10" s="14" t="str">
        <f t="shared" ca="1" si="13"/>
        <v/>
      </c>
      <c r="CN10" s="14" t="str">
        <f t="shared" ca="1" si="13"/>
        <v/>
      </c>
      <c r="CO10" s="14" t="str">
        <f t="shared" ca="1" si="13"/>
        <v/>
      </c>
      <c r="CP10" s="14" t="str">
        <f t="shared" ca="1" si="13"/>
        <v/>
      </c>
      <c r="CQ10" s="15" t="str">
        <f t="shared" ca="1" si="13"/>
        <v/>
      </c>
      <c r="CR10" s="16" t="str">
        <f t="shared" ca="1" si="14"/>
        <v/>
      </c>
      <c r="CS10" s="13" t="str">
        <f t="shared" ca="1" si="14"/>
        <v/>
      </c>
      <c r="CT10" s="14" t="str">
        <f t="shared" ca="1" si="14"/>
        <v/>
      </c>
      <c r="CU10" s="14" t="str">
        <f t="shared" ca="1" si="14"/>
        <v/>
      </c>
      <c r="CV10" s="14" t="str">
        <f t="shared" ca="1" si="14"/>
        <v/>
      </c>
      <c r="CW10" s="14" t="str">
        <f t="shared" ca="1" si="14"/>
        <v/>
      </c>
      <c r="CX10" s="15" t="str">
        <f t="shared" ca="1" si="14"/>
        <v/>
      </c>
      <c r="CY10" s="16" t="str">
        <f t="shared" ca="1" si="14"/>
        <v/>
      </c>
      <c r="CZ10" s="13" t="str">
        <f t="shared" ca="1" si="14"/>
        <v/>
      </c>
      <c r="DA10" s="14" t="str">
        <f t="shared" ca="1" si="14"/>
        <v/>
      </c>
      <c r="DB10" s="14" t="str">
        <f t="shared" ca="1" si="15"/>
        <v/>
      </c>
      <c r="DC10" s="14" t="str">
        <f t="shared" ca="1" si="15"/>
        <v/>
      </c>
      <c r="DD10" s="14" t="str">
        <f t="shared" ca="1" si="15"/>
        <v/>
      </c>
      <c r="DE10" s="15" t="str">
        <f t="shared" ca="1" si="15"/>
        <v/>
      </c>
      <c r="DF10" s="16" t="str">
        <f t="shared" ca="1" si="15"/>
        <v/>
      </c>
      <c r="DG10" s="13" t="str">
        <f t="shared" ca="1" si="15"/>
        <v/>
      </c>
      <c r="DH10" s="14" t="str">
        <f t="shared" ca="1" si="15"/>
        <v/>
      </c>
      <c r="DI10" s="14" t="str">
        <f t="shared" ca="1" si="15"/>
        <v/>
      </c>
      <c r="DJ10" s="14" t="str">
        <f t="shared" ca="1" si="15"/>
        <v/>
      </c>
      <c r="DK10" s="14" t="str">
        <f t="shared" ca="1" si="15"/>
        <v/>
      </c>
      <c r="DL10" s="15" t="str">
        <f t="shared" ca="1" si="16"/>
        <v/>
      </c>
      <c r="DM10" s="16" t="str">
        <f t="shared" ca="1" si="16"/>
        <v/>
      </c>
      <c r="DN10" s="13" t="str">
        <f t="shared" ca="1" si="16"/>
        <v/>
      </c>
      <c r="DO10" s="14" t="str">
        <f t="shared" ca="1" si="16"/>
        <v/>
      </c>
      <c r="DP10" s="14" t="str">
        <f t="shared" ca="1" si="16"/>
        <v/>
      </c>
      <c r="DQ10" s="14" t="str">
        <f t="shared" ca="1" si="16"/>
        <v/>
      </c>
      <c r="DR10" s="14" t="str">
        <f t="shared" ca="1" si="16"/>
        <v/>
      </c>
      <c r="DS10" s="15" t="str">
        <f t="shared" ca="1" si="16"/>
        <v/>
      </c>
      <c r="DT10" s="16" t="str">
        <f t="shared" ca="1" si="16"/>
        <v/>
      </c>
      <c r="DU10" s="13" t="str">
        <f t="shared" ca="1" si="16"/>
        <v/>
      </c>
      <c r="DV10" s="14" t="str">
        <f t="shared" ca="1" si="17"/>
        <v/>
      </c>
      <c r="DW10" s="14" t="str">
        <f t="shared" ca="1" si="17"/>
        <v/>
      </c>
      <c r="DX10" s="14" t="str">
        <f t="shared" ca="1" si="17"/>
        <v/>
      </c>
      <c r="DY10" s="14" t="str">
        <f t="shared" ca="1" si="17"/>
        <v/>
      </c>
      <c r="DZ10" s="15" t="str">
        <f t="shared" ca="1" si="17"/>
        <v/>
      </c>
      <c r="EA10" s="16" t="str">
        <f t="shared" ca="1" si="17"/>
        <v/>
      </c>
      <c r="EB10" s="13" t="str">
        <f t="shared" ca="1" si="17"/>
        <v/>
      </c>
      <c r="EC10" s="14" t="str">
        <f t="shared" ca="1" si="17"/>
        <v/>
      </c>
      <c r="ED10" s="14" t="str">
        <f t="shared" ca="1" si="17"/>
        <v/>
      </c>
      <c r="EE10" s="14" t="str">
        <f t="shared" ca="1" si="17"/>
        <v/>
      </c>
      <c r="EF10" s="14" t="str">
        <f t="shared" ca="1" si="18"/>
        <v/>
      </c>
      <c r="EG10" s="15" t="str">
        <f t="shared" ca="1" si="18"/>
        <v/>
      </c>
      <c r="EH10" s="16" t="str">
        <f t="shared" ca="1" si="18"/>
        <v/>
      </c>
      <c r="EI10" s="13" t="str">
        <f t="shared" ca="1" si="18"/>
        <v/>
      </c>
      <c r="EJ10" s="14" t="str">
        <f t="shared" ca="1" si="18"/>
        <v/>
      </c>
      <c r="EK10" s="14" t="str">
        <f t="shared" ca="1" si="18"/>
        <v/>
      </c>
      <c r="EL10" s="14" t="str">
        <f t="shared" ca="1" si="18"/>
        <v/>
      </c>
      <c r="EM10" s="14" t="str">
        <f t="shared" ca="1" si="18"/>
        <v/>
      </c>
      <c r="EN10" s="15" t="str">
        <f t="shared" ca="1" si="18"/>
        <v/>
      </c>
      <c r="EO10" s="16" t="str">
        <f t="shared" ca="1" si="18"/>
        <v/>
      </c>
      <c r="EP10" s="13" t="str">
        <f t="shared" ca="1" si="19"/>
        <v/>
      </c>
      <c r="EQ10" s="14" t="str">
        <f t="shared" ca="1" si="19"/>
        <v/>
      </c>
      <c r="ER10" s="14" t="str">
        <f t="shared" ca="1" si="19"/>
        <v/>
      </c>
      <c r="ES10" s="14" t="str">
        <f t="shared" ca="1" si="19"/>
        <v/>
      </c>
      <c r="ET10" s="14" t="str">
        <f t="shared" ca="1" si="19"/>
        <v/>
      </c>
      <c r="EU10" s="15" t="str">
        <f t="shared" ca="1" si="19"/>
        <v/>
      </c>
      <c r="EV10" s="16" t="str">
        <f t="shared" ca="1" si="19"/>
        <v/>
      </c>
      <c r="EW10" s="13" t="str">
        <f t="shared" ca="1" si="19"/>
        <v/>
      </c>
      <c r="EX10" s="14" t="str">
        <f t="shared" ca="1" si="19"/>
        <v/>
      </c>
      <c r="EY10" s="14" t="str">
        <f t="shared" ca="1" si="19"/>
        <v/>
      </c>
      <c r="EZ10" s="14" t="str">
        <f t="shared" ca="1" si="19"/>
        <v/>
      </c>
      <c r="FA10" s="14" t="str">
        <f t="shared" ca="1" si="19"/>
        <v/>
      </c>
      <c r="FB10" s="15" t="str">
        <f t="shared" ca="1" si="19"/>
        <v/>
      </c>
      <c r="FC10" s="16" t="str">
        <f t="shared" ca="1" si="19"/>
        <v/>
      </c>
    </row>
    <row r="11" spans="1:159" s="17" customFormat="1" ht="9.6" customHeight="1">
      <c r="A11" s="535"/>
      <c r="B11" s="18" t="s">
        <v>42</v>
      </c>
      <c r="C11" s="19">
        <f ca="1">_xlfn.XLOOKUP(A25,'VTT actif'!F:F,'VTT actif'!U:U,"-",0)+1</f>
        <v>23</v>
      </c>
      <c r="D11" s="19">
        <f ca="1">_xlfn.XLOOKUP(A25,'VTT actif'!F:F,'VTT actif'!T:T,"-",0)</f>
        <v>7</v>
      </c>
      <c r="E11" s="19">
        <f ca="1">(C11+D11)-1</f>
        <v>29</v>
      </c>
      <c r="F11" s="13" t="str">
        <f t="shared" ca="1" si="5"/>
        <v/>
      </c>
      <c r="G11" s="14" t="str">
        <f t="shared" ca="1" si="5"/>
        <v/>
      </c>
      <c r="H11" s="14" t="str">
        <f t="shared" ca="1" si="5"/>
        <v/>
      </c>
      <c r="I11" s="14" t="str">
        <f t="shared" ca="1" si="5"/>
        <v/>
      </c>
      <c r="J11" s="14" t="str">
        <f t="shared" ca="1" si="5"/>
        <v/>
      </c>
      <c r="K11" s="15" t="str">
        <f t="shared" ca="1" si="5"/>
        <v/>
      </c>
      <c r="L11" s="16" t="str">
        <f t="shared" ca="1" si="5"/>
        <v/>
      </c>
      <c r="M11" s="13" t="str">
        <f t="shared" ca="1" si="5"/>
        <v/>
      </c>
      <c r="N11" s="14" t="str">
        <f t="shared" ca="1" si="5"/>
        <v/>
      </c>
      <c r="O11" s="14" t="str">
        <f t="shared" ca="1" si="5"/>
        <v/>
      </c>
      <c r="P11" s="14" t="str">
        <f t="shared" ca="1" si="6"/>
        <v/>
      </c>
      <c r="Q11" s="14" t="str">
        <f t="shared" ca="1" si="6"/>
        <v/>
      </c>
      <c r="R11" s="15" t="str">
        <f t="shared" ca="1" si="6"/>
        <v/>
      </c>
      <c r="S11" s="16" t="str">
        <f t="shared" ca="1" si="6"/>
        <v/>
      </c>
      <c r="T11" s="13" t="str">
        <f t="shared" ca="1" si="6"/>
        <v/>
      </c>
      <c r="U11" s="14" t="str">
        <f t="shared" ca="1" si="6"/>
        <v/>
      </c>
      <c r="V11" s="14" t="str">
        <f t="shared" ca="1" si="6"/>
        <v/>
      </c>
      <c r="W11" s="14" t="str">
        <f t="shared" ca="1" si="6"/>
        <v/>
      </c>
      <c r="X11" s="14" t="str">
        <f t="shared" ca="1" si="6"/>
        <v/>
      </c>
      <c r="Y11" s="15" t="str">
        <f t="shared" ca="1" si="6"/>
        <v/>
      </c>
      <c r="Z11" s="16" t="str">
        <f t="shared" ca="1" si="7"/>
        <v/>
      </c>
      <c r="AA11" s="13" t="str">
        <f t="shared" ca="1" si="7"/>
        <v/>
      </c>
      <c r="AB11" s="14">
        <f t="shared" ca="1" si="7"/>
        <v>1</v>
      </c>
      <c r="AC11" s="14">
        <f t="shared" ca="1" si="7"/>
        <v>1</v>
      </c>
      <c r="AD11" s="14">
        <f t="shared" ca="1" si="7"/>
        <v>1</v>
      </c>
      <c r="AE11" s="14">
        <f t="shared" ca="1" si="7"/>
        <v>1</v>
      </c>
      <c r="AF11" s="15">
        <f t="shared" ca="1" si="7"/>
        <v>1</v>
      </c>
      <c r="AG11" s="16">
        <f t="shared" ca="1" si="7"/>
        <v>1</v>
      </c>
      <c r="AH11" s="13">
        <f t="shared" ca="1" si="7"/>
        <v>1</v>
      </c>
      <c r="AI11" s="14" t="str">
        <f t="shared" ca="1" si="7"/>
        <v/>
      </c>
      <c r="AJ11" s="14" t="str">
        <f t="shared" ca="1" si="8"/>
        <v/>
      </c>
      <c r="AK11" s="14" t="str">
        <f t="shared" ca="1" si="8"/>
        <v/>
      </c>
      <c r="AL11" s="14" t="str">
        <f t="shared" ca="1" si="8"/>
        <v/>
      </c>
      <c r="AM11" s="15" t="str">
        <f t="shared" ca="1" si="8"/>
        <v/>
      </c>
      <c r="AN11" s="16" t="str">
        <f t="shared" ca="1" si="8"/>
        <v/>
      </c>
      <c r="AO11" s="13" t="str">
        <f t="shared" ca="1" si="8"/>
        <v/>
      </c>
      <c r="AP11" s="14" t="str">
        <f t="shared" ca="1" si="8"/>
        <v/>
      </c>
      <c r="AQ11" s="14" t="str">
        <f t="shared" ca="1" si="8"/>
        <v/>
      </c>
      <c r="AR11" s="14" t="str">
        <f t="shared" ca="1" si="8"/>
        <v/>
      </c>
      <c r="AS11" s="14" t="str">
        <f t="shared" ca="1" si="8"/>
        <v/>
      </c>
      <c r="AT11" s="15" t="str">
        <f t="shared" ca="1" si="9"/>
        <v/>
      </c>
      <c r="AU11" s="16" t="str">
        <f t="shared" ca="1" si="9"/>
        <v/>
      </c>
      <c r="AV11" s="13" t="str">
        <f t="shared" ca="1" si="9"/>
        <v/>
      </c>
      <c r="AW11" s="14" t="str">
        <f t="shared" ca="1" si="9"/>
        <v/>
      </c>
      <c r="AX11" s="14" t="str">
        <f t="shared" ca="1" si="9"/>
        <v/>
      </c>
      <c r="AY11" s="14" t="str">
        <f t="shared" ca="1" si="9"/>
        <v/>
      </c>
      <c r="AZ11" s="14" t="str">
        <f t="shared" ca="1" si="9"/>
        <v/>
      </c>
      <c r="BA11" s="15" t="str">
        <f t="shared" ca="1" si="9"/>
        <v/>
      </c>
      <c r="BB11" s="16" t="str">
        <f t="shared" ca="1" si="9"/>
        <v/>
      </c>
      <c r="BC11" s="13" t="str">
        <f t="shared" ca="1" si="9"/>
        <v/>
      </c>
      <c r="BD11" s="14" t="str">
        <f t="shared" ca="1" si="10"/>
        <v/>
      </c>
      <c r="BE11" s="14" t="str">
        <f t="shared" ca="1" si="10"/>
        <v/>
      </c>
      <c r="BF11" s="14" t="str">
        <f t="shared" ca="1" si="10"/>
        <v/>
      </c>
      <c r="BG11" s="14" t="str">
        <f t="shared" ca="1" si="10"/>
        <v/>
      </c>
      <c r="BH11" s="15" t="str">
        <f t="shared" ca="1" si="10"/>
        <v/>
      </c>
      <c r="BI11" s="16" t="str">
        <f t="shared" ca="1" si="10"/>
        <v/>
      </c>
      <c r="BJ11" s="13" t="str">
        <f t="shared" ca="1" si="10"/>
        <v/>
      </c>
      <c r="BK11" s="14" t="str">
        <f t="shared" ca="1" si="10"/>
        <v/>
      </c>
      <c r="BL11" s="14" t="str">
        <f t="shared" ca="1" si="10"/>
        <v/>
      </c>
      <c r="BM11" s="14" t="str">
        <f t="shared" ca="1" si="10"/>
        <v/>
      </c>
      <c r="BN11" s="14" t="str">
        <f t="shared" ca="1" si="11"/>
        <v/>
      </c>
      <c r="BO11" s="15" t="str">
        <f t="shared" ca="1" si="11"/>
        <v/>
      </c>
      <c r="BP11" s="16" t="str">
        <f t="shared" ca="1" si="11"/>
        <v/>
      </c>
      <c r="BQ11" s="13" t="str">
        <f t="shared" ca="1" si="11"/>
        <v/>
      </c>
      <c r="BR11" s="14" t="str">
        <f t="shared" ca="1" si="11"/>
        <v/>
      </c>
      <c r="BS11" s="14" t="str">
        <f t="shared" ca="1" si="11"/>
        <v/>
      </c>
      <c r="BT11" s="14" t="str">
        <f t="shared" ca="1" si="11"/>
        <v/>
      </c>
      <c r="BU11" s="14" t="str">
        <f t="shared" ca="1" si="11"/>
        <v/>
      </c>
      <c r="BV11" s="15" t="str">
        <f t="shared" ca="1" si="11"/>
        <v/>
      </c>
      <c r="BW11" s="16" t="str">
        <f t="shared" ca="1" si="11"/>
        <v/>
      </c>
      <c r="BX11" s="13" t="str">
        <f t="shared" ca="1" si="12"/>
        <v/>
      </c>
      <c r="BY11" s="14" t="str">
        <f t="shared" ca="1" si="12"/>
        <v/>
      </c>
      <c r="BZ11" s="14" t="str">
        <f t="shared" ca="1" si="12"/>
        <v/>
      </c>
      <c r="CA11" s="14" t="str">
        <f t="shared" ca="1" si="12"/>
        <v/>
      </c>
      <c r="CB11" s="14" t="str">
        <f t="shared" ca="1" si="12"/>
        <v/>
      </c>
      <c r="CC11" s="15" t="str">
        <f t="shared" ca="1" si="12"/>
        <v/>
      </c>
      <c r="CD11" s="16" t="str">
        <f t="shared" ca="1" si="12"/>
        <v/>
      </c>
      <c r="CE11" s="13" t="str">
        <f t="shared" ca="1" si="12"/>
        <v/>
      </c>
      <c r="CF11" s="14" t="str">
        <f t="shared" ca="1" si="12"/>
        <v/>
      </c>
      <c r="CG11" s="14" t="str">
        <f t="shared" ca="1" si="12"/>
        <v/>
      </c>
      <c r="CH11" s="14" t="str">
        <f t="shared" ca="1" si="13"/>
        <v/>
      </c>
      <c r="CI11" s="14" t="str">
        <f t="shared" ca="1" si="13"/>
        <v/>
      </c>
      <c r="CJ11" s="15" t="str">
        <f t="shared" ca="1" si="13"/>
        <v/>
      </c>
      <c r="CK11" s="16" t="str">
        <f t="shared" ca="1" si="13"/>
        <v/>
      </c>
      <c r="CL11" s="13" t="str">
        <f t="shared" ca="1" si="13"/>
        <v/>
      </c>
      <c r="CM11" s="14" t="str">
        <f t="shared" ca="1" si="13"/>
        <v/>
      </c>
      <c r="CN11" s="14" t="str">
        <f t="shared" ca="1" si="13"/>
        <v/>
      </c>
      <c r="CO11" s="14" t="str">
        <f t="shared" ca="1" si="13"/>
        <v/>
      </c>
      <c r="CP11" s="14" t="str">
        <f t="shared" ca="1" si="13"/>
        <v/>
      </c>
      <c r="CQ11" s="15" t="str">
        <f t="shared" ca="1" si="13"/>
        <v/>
      </c>
      <c r="CR11" s="16" t="str">
        <f t="shared" ca="1" si="14"/>
        <v/>
      </c>
      <c r="CS11" s="13" t="str">
        <f t="shared" ca="1" si="14"/>
        <v/>
      </c>
      <c r="CT11" s="14" t="str">
        <f t="shared" ca="1" si="14"/>
        <v/>
      </c>
      <c r="CU11" s="14" t="str">
        <f t="shared" ca="1" si="14"/>
        <v/>
      </c>
      <c r="CV11" s="14" t="str">
        <f t="shared" ca="1" si="14"/>
        <v/>
      </c>
      <c r="CW11" s="14" t="str">
        <f t="shared" ca="1" si="14"/>
        <v/>
      </c>
      <c r="CX11" s="15" t="str">
        <f t="shared" ca="1" si="14"/>
        <v/>
      </c>
      <c r="CY11" s="16" t="str">
        <f t="shared" ca="1" si="14"/>
        <v/>
      </c>
      <c r="CZ11" s="13" t="str">
        <f t="shared" ca="1" si="14"/>
        <v/>
      </c>
      <c r="DA11" s="14" t="str">
        <f t="shared" ca="1" si="14"/>
        <v/>
      </c>
      <c r="DB11" s="14" t="str">
        <f t="shared" ca="1" si="15"/>
        <v/>
      </c>
      <c r="DC11" s="14" t="str">
        <f t="shared" ca="1" si="15"/>
        <v/>
      </c>
      <c r="DD11" s="14" t="str">
        <f t="shared" ca="1" si="15"/>
        <v/>
      </c>
      <c r="DE11" s="15" t="str">
        <f t="shared" ca="1" si="15"/>
        <v/>
      </c>
      <c r="DF11" s="16" t="str">
        <f t="shared" ca="1" si="15"/>
        <v/>
      </c>
      <c r="DG11" s="13" t="str">
        <f t="shared" ca="1" si="15"/>
        <v/>
      </c>
      <c r="DH11" s="14" t="str">
        <f t="shared" ca="1" si="15"/>
        <v/>
      </c>
      <c r="DI11" s="14" t="str">
        <f t="shared" ca="1" si="15"/>
        <v/>
      </c>
      <c r="DJ11" s="14" t="str">
        <f t="shared" ca="1" si="15"/>
        <v/>
      </c>
      <c r="DK11" s="14" t="str">
        <f t="shared" ca="1" si="15"/>
        <v/>
      </c>
      <c r="DL11" s="15" t="str">
        <f t="shared" ca="1" si="16"/>
        <v/>
      </c>
      <c r="DM11" s="16" t="str">
        <f t="shared" ca="1" si="16"/>
        <v/>
      </c>
      <c r="DN11" s="13" t="str">
        <f t="shared" ca="1" si="16"/>
        <v/>
      </c>
      <c r="DO11" s="14" t="str">
        <f t="shared" ca="1" si="16"/>
        <v/>
      </c>
      <c r="DP11" s="14" t="str">
        <f t="shared" ca="1" si="16"/>
        <v/>
      </c>
      <c r="DQ11" s="14" t="str">
        <f t="shared" ca="1" si="16"/>
        <v/>
      </c>
      <c r="DR11" s="14" t="str">
        <f t="shared" ca="1" si="16"/>
        <v/>
      </c>
      <c r="DS11" s="15" t="str">
        <f t="shared" ca="1" si="16"/>
        <v/>
      </c>
      <c r="DT11" s="16" t="str">
        <f t="shared" ca="1" si="16"/>
        <v/>
      </c>
      <c r="DU11" s="13" t="str">
        <f t="shared" ca="1" si="16"/>
        <v/>
      </c>
      <c r="DV11" s="14" t="str">
        <f t="shared" ca="1" si="17"/>
        <v/>
      </c>
      <c r="DW11" s="14" t="str">
        <f t="shared" ca="1" si="17"/>
        <v/>
      </c>
      <c r="DX11" s="14" t="str">
        <f t="shared" ca="1" si="17"/>
        <v/>
      </c>
      <c r="DY11" s="14" t="str">
        <f t="shared" ca="1" si="17"/>
        <v/>
      </c>
      <c r="DZ11" s="15" t="str">
        <f t="shared" ca="1" si="17"/>
        <v/>
      </c>
      <c r="EA11" s="16" t="str">
        <f t="shared" ca="1" si="17"/>
        <v/>
      </c>
      <c r="EB11" s="13" t="str">
        <f t="shared" ca="1" si="17"/>
        <v/>
      </c>
      <c r="EC11" s="14" t="str">
        <f t="shared" ca="1" si="17"/>
        <v/>
      </c>
      <c r="ED11" s="14" t="str">
        <f t="shared" ca="1" si="17"/>
        <v/>
      </c>
      <c r="EE11" s="14" t="str">
        <f t="shared" ca="1" si="17"/>
        <v/>
      </c>
      <c r="EF11" s="14" t="str">
        <f t="shared" ca="1" si="18"/>
        <v/>
      </c>
      <c r="EG11" s="15" t="str">
        <f t="shared" ca="1" si="18"/>
        <v/>
      </c>
      <c r="EH11" s="16" t="str">
        <f t="shared" ca="1" si="18"/>
        <v/>
      </c>
      <c r="EI11" s="13" t="str">
        <f t="shared" ca="1" si="18"/>
        <v/>
      </c>
      <c r="EJ11" s="14" t="str">
        <f t="shared" ca="1" si="18"/>
        <v/>
      </c>
      <c r="EK11" s="14" t="str">
        <f t="shared" ca="1" si="18"/>
        <v/>
      </c>
      <c r="EL11" s="14" t="str">
        <f t="shared" ca="1" si="18"/>
        <v/>
      </c>
      <c r="EM11" s="14" t="str">
        <f t="shared" ca="1" si="18"/>
        <v/>
      </c>
      <c r="EN11" s="15" t="str">
        <f t="shared" ca="1" si="18"/>
        <v/>
      </c>
      <c r="EO11" s="16" t="str">
        <f t="shared" ca="1" si="18"/>
        <v/>
      </c>
      <c r="EP11" s="13" t="str">
        <f t="shared" ca="1" si="19"/>
        <v/>
      </c>
      <c r="EQ11" s="14" t="str">
        <f t="shared" ca="1" si="19"/>
        <v/>
      </c>
      <c r="ER11" s="14" t="str">
        <f t="shared" ca="1" si="19"/>
        <v/>
      </c>
      <c r="ES11" s="14" t="str">
        <f t="shared" ca="1" si="19"/>
        <v/>
      </c>
      <c r="ET11" s="14" t="str">
        <f t="shared" ca="1" si="19"/>
        <v/>
      </c>
      <c r="EU11" s="15" t="str">
        <f t="shared" ca="1" si="19"/>
        <v/>
      </c>
      <c r="EV11" s="16" t="str">
        <f t="shared" ca="1" si="19"/>
        <v/>
      </c>
      <c r="EW11" s="13" t="str">
        <f t="shared" ca="1" si="19"/>
        <v/>
      </c>
      <c r="EX11" s="14" t="str">
        <f t="shared" ca="1" si="19"/>
        <v/>
      </c>
      <c r="EY11" s="14" t="str">
        <f t="shared" ca="1" si="19"/>
        <v/>
      </c>
      <c r="EZ11" s="14" t="str">
        <f t="shared" ca="1" si="19"/>
        <v/>
      </c>
      <c r="FA11" s="14" t="str">
        <f t="shared" ca="1" si="19"/>
        <v/>
      </c>
      <c r="FB11" s="15" t="str">
        <f t="shared" ca="1" si="19"/>
        <v/>
      </c>
      <c r="FC11" s="16" t="str">
        <f t="shared" ca="1" si="19"/>
        <v/>
      </c>
    </row>
    <row r="12" spans="1:159" s="17" customFormat="1" ht="9.6" customHeight="1">
      <c r="A12" s="535"/>
      <c r="B12" s="18" t="s">
        <v>43</v>
      </c>
      <c r="C12" s="19">
        <f ca="1">E11+1</f>
        <v>30</v>
      </c>
      <c r="D12" s="19">
        <f ca="1">_xlfn.XLOOKUP(A25,'VTT actif'!F:F,'VTT actif'!V:V,"-",0)</f>
        <v>1</v>
      </c>
      <c r="E12" s="21">
        <f ca="1">(C12+D12)-1</f>
        <v>30</v>
      </c>
      <c r="F12" s="13" t="str">
        <f t="shared" ca="1" si="5"/>
        <v/>
      </c>
      <c r="G12" s="14" t="str">
        <f t="shared" ca="1" si="5"/>
        <v/>
      </c>
      <c r="H12" s="14" t="str">
        <f t="shared" ca="1" si="5"/>
        <v/>
      </c>
      <c r="I12" s="14" t="str">
        <f t="shared" ca="1" si="5"/>
        <v/>
      </c>
      <c r="J12" s="14" t="str">
        <f t="shared" ca="1" si="5"/>
        <v/>
      </c>
      <c r="K12" s="15" t="str">
        <f t="shared" ca="1" si="5"/>
        <v/>
      </c>
      <c r="L12" s="16" t="str">
        <f t="shared" ca="1" si="5"/>
        <v/>
      </c>
      <c r="M12" s="13" t="str">
        <f t="shared" ca="1" si="5"/>
        <v/>
      </c>
      <c r="N12" s="14" t="str">
        <f t="shared" ca="1" si="5"/>
        <v/>
      </c>
      <c r="O12" s="14" t="str">
        <f t="shared" ca="1" si="5"/>
        <v/>
      </c>
      <c r="P12" s="14" t="str">
        <f t="shared" ca="1" si="6"/>
        <v/>
      </c>
      <c r="Q12" s="14" t="str">
        <f t="shared" ca="1" si="6"/>
        <v/>
      </c>
      <c r="R12" s="15" t="str">
        <f t="shared" ca="1" si="6"/>
        <v/>
      </c>
      <c r="S12" s="16" t="str">
        <f t="shared" ca="1" si="6"/>
        <v/>
      </c>
      <c r="T12" s="13" t="str">
        <f t="shared" ca="1" si="6"/>
        <v/>
      </c>
      <c r="U12" s="14" t="str">
        <f t="shared" ca="1" si="6"/>
        <v/>
      </c>
      <c r="V12" s="14" t="str">
        <f t="shared" ca="1" si="6"/>
        <v/>
      </c>
      <c r="W12" s="14" t="str">
        <f t="shared" ca="1" si="6"/>
        <v/>
      </c>
      <c r="X12" s="14" t="str">
        <f t="shared" ca="1" si="6"/>
        <v/>
      </c>
      <c r="Y12" s="15" t="str">
        <f t="shared" ca="1" si="6"/>
        <v/>
      </c>
      <c r="Z12" s="16" t="str">
        <f t="shared" ca="1" si="7"/>
        <v/>
      </c>
      <c r="AA12" s="13" t="str">
        <f t="shared" ca="1" si="7"/>
        <v/>
      </c>
      <c r="AB12" s="14" t="str">
        <f t="shared" ca="1" si="7"/>
        <v/>
      </c>
      <c r="AC12" s="14" t="str">
        <f t="shared" ca="1" si="7"/>
        <v/>
      </c>
      <c r="AD12" s="14" t="str">
        <f t="shared" ca="1" si="7"/>
        <v/>
      </c>
      <c r="AE12" s="14" t="str">
        <f t="shared" ca="1" si="7"/>
        <v/>
      </c>
      <c r="AF12" s="15" t="str">
        <f t="shared" ca="1" si="7"/>
        <v/>
      </c>
      <c r="AG12" s="16" t="str">
        <f t="shared" ca="1" si="7"/>
        <v/>
      </c>
      <c r="AH12" s="13" t="str">
        <f t="shared" ca="1" si="7"/>
        <v/>
      </c>
      <c r="AI12" s="14">
        <f t="shared" ca="1" si="7"/>
        <v>1</v>
      </c>
      <c r="AJ12" s="14" t="str">
        <f t="shared" ca="1" si="8"/>
        <v/>
      </c>
      <c r="AK12" s="14" t="str">
        <f t="shared" ca="1" si="8"/>
        <v/>
      </c>
      <c r="AL12" s="14" t="str">
        <f t="shared" ca="1" si="8"/>
        <v/>
      </c>
      <c r="AM12" s="15" t="str">
        <f t="shared" ca="1" si="8"/>
        <v/>
      </c>
      <c r="AN12" s="16" t="str">
        <f t="shared" ca="1" si="8"/>
        <v/>
      </c>
      <c r="AO12" s="13" t="str">
        <f t="shared" ca="1" si="8"/>
        <v/>
      </c>
      <c r="AP12" s="14" t="str">
        <f t="shared" ca="1" si="8"/>
        <v/>
      </c>
      <c r="AQ12" s="14" t="str">
        <f t="shared" ca="1" si="8"/>
        <v/>
      </c>
      <c r="AR12" s="14" t="str">
        <f t="shared" ca="1" si="8"/>
        <v/>
      </c>
      <c r="AS12" s="14" t="str">
        <f t="shared" ca="1" si="8"/>
        <v/>
      </c>
      <c r="AT12" s="15" t="str">
        <f t="shared" ca="1" si="9"/>
        <v/>
      </c>
      <c r="AU12" s="16" t="str">
        <f t="shared" ca="1" si="9"/>
        <v/>
      </c>
      <c r="AV12" s="13" t="str">
        <f t="shared" ca="1" si="9"/>
        <v/>
      </c>
      <c r="AW12" s="14" t="str">
        <f t="shared" ca="1" si="9"/>
        <v/>
      </c>
      <c r="AX12" s="14" t="str">
        <f t="shared" ca="1" si="9"/>
        <v/>
      </c>
      <c r="AY12" s="14" t="str">
        <f t="shared" ca="1" si="9"/>
        <v/>
      </c>
      <c r="AZ12" s="14" t="str">
        <f t="shared" ca="1" si="9"/>
        <v/>
      </c>
      <c r="BA12" s="15" t="str">
        <f t="shared" ca="1" si="9"/>
        <v/>
      </c>
      <c r="BB12" s="16" t="str">
        <f t="shared" ca="1" si="9"/>
        <v/>
      </c>
      <c r="BC12" s="13" t="str">
        <f t="shared" ca="1" si="9"/>
        <v/>
      </c>
      <c r="BD12" s="14" t="str">
        <f t="shared" ca="1" si="10"/>
        <v/>
      </c>
      <c r="BE12" s="14" t="str">
        <f t="shared" ca="1" si="10"/>
        <v/>
      </c>
      <c r="BF12" s="14" t="str">
        <f t="shared" ca="1" si="10"/>
        <v/>
      </c>
      <c r="BG12" s="14" t="str">
        <f t="shared" ca="1" si="10"/>
        <v/>
      </c>
      <c r="BH12" s="15" t="str">
        <f t="shared" ca="1" si="10"/>
        <v/>
      </c>
      <c r="BI12" s="16" t="str">
        <f t="shared" ca="1" si="10"/>
        <v/>
      </c>
      <c r="BJ12" s="13" t="str">
        <f t="shared" ca="1" si="10"/>
        <v/>
      </c>
      <c r="BK12" s="14" t="str">
        <f t="shared" ca="1" si="10"/>
        <v/>
      </c>
      <c r="BL12" s="14" t="str">
        <f t="shared" ca="1" si="10"/>
        <v/>
      </c>
      <c r="BM12" s="14" t="str">
        <f t="shared" ca="1" si="10"/>
        <v/>
      </c>
      <c r="BN12" s="14" t="str">
        <f t="shared" ca="1" si="11"/>
        <v/>
      </c>
      <c r="BO12" s="15" t="str">
        <f t="shared" ca="1" si="11"/>
        <v/>
      </c>
      <c r="BP12" s="16" t="str">
        <f t="shared" ca="1" si="11"/>
        <v/>
      </c>
      <c r="BQ12" s="13" t="str">
        <f t="shared" ca="1" si="11"/>
        <v/>
      </c>
      <c r="BR12" s="14" t="str">
        <f t="shared" ca="1" si="11"/>
        <v/>
      </c>
      <c r="BS12" s="14" t="str">
        <f t="shared" ca="1" si="11"/>
        <v/>
      </c>
      <c r="BT12" s="14" t="str">
        <f t="shared" ca="1" si="11"/>
        <v/>
      </c>
      <c r="BU12" s="14" t="str">
        <f t="shared" ca="1" si="11"/>
        <v/>
      </c>
      <c r="BV12" s="15" t="str">
        <f t="shared" ca="1" si="11"/>
        <v/>
      </c>
      <c r="BW12" s="16" t="str">
        <f t="shared" ca="1" si="11"/>
        <v/>
      </c>
      <c r="BX12" s="13" t="str">
        <f t="shared" ca="1" si="12"/>
        <v/>
      </c>
      <c r="BY12" s="14" t="str">
        <f t="shared" ca="1" si="12"/>
        <v/>
      </c>
      <c r="BZ12" s="14" t="str">
        <f t="shared" ca="1" si="12"/>
        <v/>
      </c>
      <c r="CA12" s="14" t="str">
        <f t="shared" ca="1" si="12"/>
        <v/>
      </c>
      <c r="CB12" s="14" t="str">
        <f t="shared" ca="1" si="12"/>
        <v/>
      </c>
      <c r="CC12" s="15" t="str">
        <f t="shared" ca="1" si="12"/>
        <v/>
      </c>
      <c r="CD12" s="16" t="str">
        <f t="shared" ca="1" si="12"/>
        <v/>
      </c>
      <c r="CE12" s="13" t="str">
        <f t="shared" ca="1" si="12"/>
        <v/>
      </c>
      <c r="CF12" s="14" t="str">
        <f t="shared" ca="1" si="12"/>
        <v/>
      </c>
      <c r="CG12" s="14" t="str">
        <f t="shared" ca="1" si="12"/>
        <v/>
      </c>
      <c r="CH12" s="14" t="str">
        <f t="shared" ca="1" si="13"/>
        <v/>
      </c>
      <c r="CI12" s="14" t="str">
        <f t="shared" ca="1" si="13"/>
        <v/>
      </c>
      <c r="CJ12" s="15" t="str">
        <f t="shared" ca="1" si="13"/>
        <v/>
      </c>
      <c r="CK12" s="16" t="str">
        <f t="shared" ca="1" si="13"/>
        <v/>
      </c>
      <c r="CL12" s="13" t="str">
        <f t="shared" ca="1" si="13"/>
        <v/>
      </c>
      <c r="CM12" s="14" t="str">
        <f t="shared" ca="1" si="13"/>
        <v/>
      </c>
      <c r="CN12" s="14" t="str">
        <f t="shared" ca="1" si="13"/>
        <v/>
      </c>
      <c r="CO12" s="14" t="str">
        <f t="shared" ca="1" si="13"/>
        <v/>
      </c>
      <c r="CP12" s="14" t="str">
        <f t="shared" ca="1" si="13"/>
        <v/>
      </c>
      <c r="CQ12" s="15" t="str">
        <f t="shared" ca="1" si="13"/>
        <v/>
      </c>
      <c r="CR12" s="16" t="str">
        <f t="shared" ca="1" si="14"/>
        <v/>
      </c>
      <c r="CS12" s="13" t="str">
        <f t="shared" ca="1" si="14"/>
        <v/>
      </c>
      <c r="CT12" s="14" t="str">
        <f t="shared" ca="1" si="14"/>
        <v/>
      </c>
      <c r="CU12" s="14" t="str">
        <f t="shared" ca="1" si="14"/>
        <v/>
      </c>
      <c r="CV12" s="14" t="str">
        <f t="shared" ca="1" si="14"/>
        <v/>
      </c>
      <c r="CW12" s="14" t="str">
        <f t="shared" ca="1" si="14"/>
        <v/>
      </c>
      <c r="CX12" s="15" t="str">
        <f t="shared" ca="1" si="14"/>
        <v/>
      </c>
      <c r="CY12" s="16" t="str">
        <f t="shared" ca="1" si="14"/>
        <v/>
      </c>
      <c r="CZ12" s="13" t="str">
        <f t="shared" ca="1" si="14"/>
        <v/>
      </c>
      <c r="DA12" s="14" t="str">
        <f t="shared" ca="1" si="14"/>
        <v/>
      </c>
      <c r="DB12" s="14" t="str">
        <f t="shared" ca="1" si="15"/>
        <v/>
      </c>
      <c r="DC12" s="14" t="str">
        <f t="shared" ca="1" si="15"/>
        <v/>
      </c>
      <c r="DD12" s="14" t="str">
        <f t="shared" ca="1" si="15"/>
        <v/>
      </c>
      <c r="DE12" s="15" t="str">
        <f t="shared" ca="1" si="15"/>
        <v/>
      </c>
      <c r="DF12" s="16" t="str">
        <f t="shared" ca="1" si="15"/>
        <v/>
      </c>
      <c r="DG12" s="13" t="str">
        <f t="shared" ca="1" si="15"/>
        <v/>
      </c>
      <c r="DH12" s="14" t="str">
        <f t="shared" ca="1" si="15"/>
        <v/>
      </c>
      <c r="DI12" s="14" t="str">
        <f t="shared" ca="1" si="15"/>
        <v/>
      </c>
      <c r="DJ12" s="14" t="str">
        <f t="shared" ca="1" si="15"/>
        <v/>
      </c>
      <c r="DK12" s="14" t="str">
        <f t="shared" ca="1" si="15"/>
        <v/>
      </c>
      <c r="DL12" s="15" t="str">
        <f t="shared" ca="1" si="16"/>
        <v/>
      </c>
      <c r="DM12" s="16" t="str">
        <f t="shared" ca="1" si="16"/>
        <v/>
      </c>
      <c r="DN12" s="13" t="str">
        <f t="shared" ca="1" si="16"/>
        <v/>
      </c>
      <c r="DO12" s="14" t="str">
        <f t="shared" ca="1" si="16"/>
        <v/>
      </c>
      <c r="DP12" s="14" t="str">
        <f t="shared" ca="1" si="16"/>
        <v/>
      </c>
      <c r="DQ12" s="14" t="str">
        <f t="shared" ca="1" si="16"/>
        <v/>
      </c>
      <c r="DR12" s="14" t="str">
        <f t="shared" ca="1" si="16"/>
        <v/>
      </c>
      <c r="DS12" s="15" t="str">
        <f t="shared" ca="1" si="16"/>
        <v/>
      </c>
      <c r="DT12" s="16" t="str">
        <f t="shared" ca="1" si="16"/>
        <v/>
      </c>
      <c r="DU12" s="13" t="str">
        <f t="shared" ca="1" si="16"/>
        <v/>
      </c>
      <c r="DV12" s="14" t="str">
        <f t="shared" ca="1" si="17"/>
        <v/>
      </c>
      <c r="DW12" s="14" t="str">
        <f t="shared" ca="1" si="17"/>
        <v/>
      </c>
      <c r="DX12" s="14" t="str">
        <f t="shared" ca="1" si="17"/>
        <v/>
      </c>
      <c r="DY12" s="14" t="str">
        <f t="shared" ca="1" si="17"/>
        <v/>
      </c>
      <c r="DZ12" s="15" t="str">
        <f t="shared" ca="1" si="17"/>
        <v/>
      </c>
      <c r="EA12" s="16" t="str">
        <f t="shared" ca="1" si="17"/>
        <v/>
      </c>
      <c r="EB12" s="13" t="str">
        <f t="shared" ca="1" si="17"/>
        <v/>
      </c>
      <c r="EC12" s="14" t="str">
        <f t="shared" ca="1" si="17"/>
        <v/>
      </c>
      <c r="ED12" s="14" t="str">
        <f t="shared" ca="1" si="17"/>
        <v/>
      </c>
      <c r="EE12" s="14" t="str">
        <f t="shared" ca="1" si="17"/>
        <v/>
      </c>
      <c r="EF12" s="14" t="str">
        <f t="shared" ca="1" si="18"/>
        <v/>
      </c>
      <c r="EG12" s="15" t="str">
        <f t="shared" ca="1" si="18"/>
        <v/>
      </c>
      <c r="EH12" s="16" t="str">
        <f t="shared" ca="1" si="18"/>
        <v/>
      </c>
      <c r="EI12" s="13" t="str">
        <f t="shared" ca="1" si="18"/>
        <v/>
      </c>
      <c r="EJ12" s="14" t="str">
        <f t="shared" ca="1" si="18"/>
        <v/>
      </c>
      <c r="EK12" s="14" t="str">
        <f t="shared" ca="1" si="18"/>
        <v/>
      </c>
      <c r="EL12" s="14" t="str">
        <f t="shared" ca="1" si="18"/>
        <v/>
      </c>
      <c r="EM12" s="14" t="str">
        <f t="shared" ca="1" si="18"/>
        <v/>
      </c>
      <c r="EN12" s="15" t="str">
        <f t="shared" ca="1" si="18"/>
        <v/>
      </c>
      <c r="EO12" s="16" t="str">
        <f t="shared" ca="1" si="18"/>
        <v/>
      </c>
      <c r="EP12" s="13" t="str">
        <f t="shared" ca="1" si="19"/>
        <v/>
      </c>
      <c r="EQ12" s="14" t="str">
        <f t="shared" ca="1" si="19"/>
        <v/>
      </c>
      <c r="ER12" s="14" t="str">
        <f t="shared" ca="1" si="19"/>
        <v/>
      </c>
      <c r="ES12" s="14" t="str">
        <f t="shared" ca="1" si="19"/>
        <v/>
      </c>
      <c r="ET12" s="14" t="str">
        <f t="shared" ca="1" si="19"/>
        <v/>
      </c>
      <c r="EU12" s="15" t="str">
        <f t="shared" ca="1" si="19"/>
        <v/>
      </c>
      <c r="EV12" s="16" t="str">
        <f t="shared" ca="1" si="19"/>
        <v/>
      </c>
      <c r="EW12" s="13" t="str">
        <f t="shared" ca="1" si="19"/>
        <v/>
      </c>
      <c r="EX12" s="14" t="str">
        <f t="shared" ca="1" si="19"/>
        <v/>
      </c>
      <c r="EY12" s="14" t="str">
        <f t="shared" ca="1" si="19"/>
        <v/>
      </c>
      <c r="EZ12" s="14" t="str">
        <f t="shared" ca="1" si="19"/>
        <v/>
      </c>
      <c r="FA12" s="14" t="str">
        <f t="shared" ca="1" si="19"/>
        <v/>
      </c>
      <c r="FB12" s="15" t="str">
        <f t="shared" ca="1" si="19"/>
        <v/>
      </c>
      <c r="FC12" s="16" t="str">
        <f t="shared" ca="1" si="19"/>
        <v/>
      </c>
    </row>
    <row r="13" spans="1:159" s="17" customFormat="1" ht="9.6" customHeight="1">
      <c r="A13" s="535"/>
      <c r="B13" s="22" t="s">
        <v>44</v>
      </c>
      <c r="C13" s="19">
        <f ca="1">IF(AND(_xlfn.XLOOKUP(A25,'VTT actif'!F:F,'VTT actif'!W:W,"-",0)=7,INT(E12/7)=E12/7),E12,IF((ROUNDDOWN(E12/7,0)*7+_xlfn.XLOOKUP(A25,'VTT actif'!F:F,'VTT actif'!W:W,"-",0))&lt;E12,(ROUNDDOWN(E12/7,0)*7+_xlfn.XLOOKUP(A25,'VTT actif'!F:F,'VTT actif'!W:W,"-",0))+7,(ROUNDDOWN(E12/7,0)*7+_xlfn.XLOOKUP(A25,'VTT actif'!F:F,'VTT actif'!W:W,"-",0))))</f>
        <v>30</v>
      </c>
      <c r="D13" s="20">
        <v>0</v>
      </c>
      <c r="E13" s="19">
        <f ca="1">C13+D13</f>
        <v>30</v>
      </c>
      <c r="F13" s="13" t="str">
        <f t="shared" ca="1" si="5"/>
        <v/>
      </c>
      <c r="G13" s="14" t="str">
        <f t="shared" ca="1" si="5"/>
        <v/>
      </c>
      <c r="H13" s="14" t="str">
        <f t="shared" ca="1" si="5"/>
        <v/>
      </c>
      <c r="I13" s="14" t="str">
        <f t="shared" ca="1" si="5"/>
        <v/>
      </c>
      <c r="J13" s="14" t="str">
        <f t="shared" ca="1" si="5"/>
        <v/>
      </c>
      <c r="K13" s="15" t="str">
        <f t="shared" ca="1" si="5"/>
        <v/>
      </c>
      <c r="L13" s="16" t="str">
        <f t="shared" ca="1" si="5"/>
        <v/>
      </c>
      <c r="M13" s="13" t="str">
        <f t="shared" ca="1" si="5"/>
        <v/>
      </c>
      <c r="N13" s="14" t="str">
        <f t="shared" ca="1" si="5"/>
        <v/>
      </c>
      <c r="O13" s="14" t="str">
        <f t="shared" ca="1" si="5"/>
        <v/>
      </c>
      <c r="P13" s="14" t="str">
        <f t="shared" ca="1" si="6"/>
        <v/>
      </c>
      <c r="Q13" s="14" t="str">
        <f t="shared" ca="1" si="6"/>
        <v/>
      </c>
      <c r="R13" s="15" t="str">
        <f t="shared" ca="1" si="6"/>
        <v/>
      </c>
      <c r="S13" s="16" t="str">
        <f t="shared" ca="1" si="6"/>
        <v/>
      </c>
      <c r="T13" s="13" t="str">
        <f t="shared" ca="1" si="6"/>
        <v/>
      </c>
      <c r="U13" s="14" t="str">
        <f t="shared" ca="1" si="6"/>
        <v/>
      </c>
      <c r="V13" s="14" t="str">
        <f t="shared" ca="1" si="6"/>
        <v/>
      </c>
      <c r="W13" s="14" t="str">
        <f t="shared" ca="1" si="6"/>
        <v/>
      </c>
      <c r="X13" s="14" t="str">
        <f t="shared" ca="1" si="6"/>
        <v/>
      </c>
      <c r="Y13" s="15" t="str">
        <f t="shared" ca="1" si="6"/>
        <v/>
      </c>
      <c r="Z13" s="16" t="str">
        <f t="shared" ca="1" si="7"/>
        <v/>
      </c>
      <c r="AA13" s="13" t="str">
        <f t="shared" ca="1" si="7"/>
        <v/>
      </c>
      <c r="AB13" s="14" t="str">
        <f t="shared" ca="1" si="7"/>
        <v/>
      </c>
      <c r="AC13" s="14" t="str">
        <f t="shared" ca="1" si="7"/>
        <v/>
      </c>
      <c r="AD13" s="14" t="str">
        <f t="shared" ca="1" si="7"/>
        <v/>
      </c>
      <c r="AE13" s="14" t="str">
        <f t="shared" ca="1" si="7"/>
        <v/>
      </c>
      <c r="AF13" s="15" t="str">
        <f t="shared" ca="1" si="7"/>
        <v/>
      </c>
      <c r="AG13" s="16" t="str">
        <f t="shared" ca="1" si="7"/>
        <v/>
      </c>
      <c r="AH13" s="13" t="str">
        <f t="shared" ca="1" si="7"/>
        <v/>
      </c>
      <c r="AI13" s="14">
        <f t="shared" ca="1" si="7"/>
        <v>1</v>
      </c>
      <c r="AJ13" s="14" t="str">
        <f t="shared" ca="1" si="8"/>
        <v/>
      </c>
      <c r="AK13" s="14" t="str">
        <f t="shared" ca="1" si="8"/>
        <v/>
      </c>
      <c r="AL13" s="14" t="str">
        <f t="shared" ca="1" si="8"/>
        <v/>
      </c>
      <c r="AM13" s="15" t="str">
        <f t="shared" ca="1" si="8"/>
        <v/>
      </c>
      <c r="AN13" s="16" t="str">
        <f t="shared" ca="1" si="8"/>
        <v/>
      </c>
      <c r="AO13" s="13" t="str">
        <f t="shared" ca="1" si="8"/>
        <v/>
      </c>
      <c r="AP13" s="14" t="str">
        <f t="shared" ca="1" si="8"/>
        <v/>
      </c>
      <c r="AQ13" s="14" t="str">
        <f t="shared" ca="1" si="8"/>
        <v/>
      </c>
      <c r="AR13" s="14" t="str">
        <f t="shared" ca="1" si="8"/>
        <v/>
      </c>
      <c r="AS13" s="14" t="str">
        <f t="shared" ca="1" si="8"/>
        <v/>
      </c>
      <c r="AT13" s="15" t="str">
        <f t="shared" ca="1" si="9"/>
        <v/>
      </c>
      <c r="AU13" s="16" t="str">
        <f t="shared" ca="1" si="9"/>
        <v/>
      </c>
      <c r="AV13" s="13" t="str">
        <f t="shared" ca="1" si="9"/>
        <v/>
      </c>
      <c r="AW13" s="14" t="str">
        <f t="shared" ca="1" si="9"/>
        <v/>
      </c>
      <c r="AX13" s="14" t="str">
        <f t="shared" ca="1" si="9"/>
        <v/>
      </c>
      <c r="AY13" s="14" t="str">
        <f t="shared" ca="1" si="9"/>
        <v/>
      </c>
      <c r="AZ13" s="14" t="str">
        <f t="shared" ca="1" si="9"/>
        <v/>
      </c>
      <c r="BA13" s="15" t="str">
        <f t="shared" ca="1" si="9"/>
        <v/>
      </c>
      <c r="BB13" s="16" t="str">
        <f t="shared" ca="1" si="9"/>
        <v/>
      </c>
      <c r="BC13" s="13" t="str">
        <f t="shared" ca="1" si="9"/>
        <v/>
      </c>
      <c r="BD13" s="14" t="str">
        <f t="shared" ca="1" si="10"/>
        <v/>
      </c>
      <c r="BE13" s="14" t="str">
        <f t="shared" ca="1" si="10"/>
        <v/>
      </c>
      <c r="BF13" s="14" t="str">
        <f t="shared" ca="1" si="10"/>
        <v/>
      </c>
      <c r="BG13" s="14" t="str">
        <f t="shared" ca="1" si="10"/>
        <v/>
      </c>
      <c r="BH13" s="15" t="str">
        <f t="shared" ca="1" si="10"/>
        <v/>
      </c>
      <c r="BI13" s="16" t="str">
        <f t="shared" ca="1" si="10"/>
        <v/>
      </c>
      <c r="BJ13" s="13" t="str">
        <f t="shared" ca="1" si="10"/>
        <v/>
      </c>
      <c r="BK13" s="14" t="str">
        <f t="shared" ca="1" si="10"/>
        <v/>
      </c>
      <c r="BL13" s="14" t="str">
        <f t="shared" ca="1" si="10"/>
        <v/>
      </c>
      <c r="BM13" s="14" t="str">
        <f t="shared" ca="1" si="10"/>
        <v/>
      </c>
      <c r="BN13" s="14" t="str">
        <f t="shared" ca="1" si="11"/>
        <v/>
      </c>
      <c r="BO13" s="15" t="str">
        <f t="shared" ca="1" si="11"/>
        <v/>
      </c>
      <c r="BP13" s="16" t="str">
        <f t="shared" ca="1" si="11"/>
        <v/>
      </c>
      <c r="BQ13" s="13" t="str">
        <f t="shared" ca="1" si="11"/>
        <v/>
      </c>
      <c r="BR13" s="14" t="str">
        <f t="shared" ca="1" si="11"/>
        <v/>
      </c>
      <c r="BS13" s="14" t="str">
        <f t="shared" ca="1" si="11"/>
        <v/>
      </c>
      <c r="BT13" s="14" t="str">
        <f t="shared" ca="1" si="11"/>
        <v/>
      </c>
      <c r="BU13" s="14" t="str">
        <f t="shared" ca="1" si="11"/>
        <v/>
      </c>
      <c r="BV13" s="15" t="str">
        <f t="shared" ca="1" si="11"/>
        <v/>
      </c>
      <c r="BW13" s="16" t="str">
        <f t="shared" ca="1" si="11"/>
        <v/>
      </c>
      <c r="BX13" s="13" t="str">
        <f t="shared" ca="1" si="12"/>
        <v/>
      </c>
      <c r="BY13" s="14" t="str">
        <f t="shared" ca="1" si="12"/>
        <v/>
      </c>
      <c r="BZ13" s="14" t="str">
        <f t="shared" ca="1" si="12"/>
        <v/>
      </c>
      <c r="CA13" s="14" t="str">
        <f t="shared" ca="1" si="12"/>
        <v/>
      </c>
      <c r="CB13" s="14" t="str">
        <f t="shared" ca="1" si="12"/>
        <v/>
      </c>
      <c r="CC13" s="15" t="str">
        <f t="shared" ca="1" si="12"/>
        <v/>
      </c>
      <c r="CD13" s="16" t="str">
        <f t="shared" ca="1" si="12"/>
        <v/>
      </c>
      <c r="CE13" s="13" t="str">
        <f t="shared" ca="1" si="12"/>
        <v/>
      </c>
      <c r="CF13" s="14" t="str">
        <f t="shared" ca="1" si="12"/>
        <v/>
      </c>
      <c r="CG13" s="14" t="str">
        <f t="shared" ca="1" si="12"/>
        <v/>
      </c>
      <c r="CH13" s="14" t="str">
        <f t="shared" ca="1" si="13"/>
        <v/>
      </c>
      <c r="CI13" s="14" t="str">
        <f t="shared" ca="1" si="13"/>
        <v/>
      </c>
      <c r="CJ13" s="15" t="str">
        <f t="shared" ca="1" si="13"/>
        <v/>
      </c>
      <c r="CK13" s="16" t="str">
        <f t="shared" ca="1" si="13"/>
        <v/>
      </c>
      <c r="CL13" s="13" t="str">
        <f t="shared" ca="1" si="13"/>
        <v/>
      </c>
      <c r="CM13" s="14" t="str">
        <f t="shared" ca="1" si="13"/>
        <v/>
      </c>
      <c r="CN13" s="14" t="str">
        <f t="shared" ca="1" si="13"/>
        <v/>
      </c>
      <c r="CO13" s="14" t="str">
        <f t="shared" ca="1" si="13"/>
        <v/>
      </c>
      <c r="CP13" s="14" t="str">
        <f t="shared" ca="1" si="13"/>
        <v/>
      </c>
      <c r="CQ13" s="15" t="str">
        <f t="shared" ca="1" si="13"/>
        <v/>
      </c>
      <c r="CR13" s="16" t="str">
        <f t="shared" ca="1" si="14"/>
        <v/>
      </c>
      <c r="CS13" s="13" t="str">
        <f t="shared" ca="1" si="14"/>
        <v/>
      </c>
      <c r="CT13" s="14" t="str">
        <f t="shared" ca="1" si="14"/>
        <v/>
      </c>
      <c r="CU13" s="14" t="str">
        <f t="shared" ca="1" si="14"/>
        <v/>
      </c>
      <c r="CV13" s="14" t="str">
        <f t="shared" ca="1" si="14"/>
        <v/>
      </c>
      <c r="CW13" s="14" t="str">
        <f t="shared" ca="1" si="14"/>
        <v/>
      </c>
      <c r="CX13" s="15" t="str">
        <f t="shared" ca="1" si="14"/>
        <v/>
      </c>
      <c r="CY13" s="16" t="str">
        <f t="shared" ca="1" si="14"/>
        <v/>
      </c>
      <c r="CZ13" s="13" t="str">
        <f t="shared" ca="1" si="14"/>
        <v/>
      </c>
      <c r="DA13" s="14" t="str">
        <f t="shared" ca="1" si="14"/>
        <v/>
      </c>
      <c r="DB13" s="14" t="str">
        <f t="shared" ca="1" si="15"/>
        <v/>
      </c>
      <c r="DC13" s="14" t="str">
        <f t="shared" ca="1" si="15"/>
        <v/>
      </c>
      <c r="DD13" s="14" t="str">
        <f t="shared" ca="1" si="15"/>
        <v/>
      </c>
      <c r="DE13" s="15" t="str">
        <f t="shared" ca="1" si="15"/>
        <v/>
      </c>
      <c r="DF13" s="16" t="str">
        <f t="shared" ca="1" si="15"/>
        <v/>
      </c>
      <c r="DG13" s="13" t="str">
        <f t="shared" ca="1" si="15"/>
        <v/>
      </c>
      <c r="DH13" s="14" t="str">
        <f t="shared" ca="1" si="15"/>
        <v/>
      </c>
      <c r="DI13" s="14" t="str">
        <f t="shared" ca="1" si="15"/>
        <v/>
      </c>
      <c r="DJ13" s="14" t="str">
        <f t="shared" ca="1" si="15"/>
        <v/>
      </c>
      <c r="DK13" s="14" t="str">
        <f t="shared" ca="1" si="15"/>
        <v/>
      </c>
      <c r="DL13" s="15" t="str">
        <f t="shared" ca="1" si="16"/>
        <v/>
      </c>
      <c r="DM13" s="16" t="str">
        <f t="shared" ca="1" si="16"/>
        <v/>
      </c>
      <c r="DN13" s="13" t="str">
        <f t="shared" ca="1" si="16"/>
        <v/>
      </c>
      <c r="DO13" s="14" t="str">
        <f t="shared" ca="1" si="16"/>
        <v/>
      </c>
      <c r="DP13" s="14" t="str">
        <f t="shared" ca="1" si="16"/>
        <v/>
      </c>
      <c r="DQ13" s="14" t="str">
        <f t="shared" ca="1" si="16"/>
        <v/>
      </c>
      <c r="DR13" s="14" t="str">
        <f t="shared" ca="1" si="16"/>
        <v/>
      </c>
      <c r="DS13" s="15" t="str">
        <f t="shared" ca="1" si="16"/>
        <v/>
      </c>
      <c r="DT13" s="16" t="str">
        <f t="shared" ca="1" si="16"/>
        <v/>
      </c>
      <c r="DU13" s="13" t="str">
        <f t="shared" ca="1" si="16"/>
        <v/>
      </c>
      <c r="DV13" s="14" t="str">
        <f t="shared" ca="1" si="17"/>
        <v/>
      </c>
      <c r="DW13" s="14" t="str">
        <f t="shared" ca="1" si="17"/>
        <v/>
      </c>
      <c r="DX13" s="14" t="str">
        <f t="shared" ca="1" si="17"/>
        <v/>
      </c>
      <c r="DY13" s="14" t="str">
        <f t="shared" ca="1" si="17"/>
        <v/>
      </c>
      <c r="DZ13" s="15" t="str">
        <f t="shared" ca="1" si="17"/>
        <v/>
      </c>
      <c r="EA13" s="16" t="str">
        <f t="shared" ca="1" si="17"/>
        <v/>
      </c>
      <c r="EB13" s="13" t="str">
        <f t="shared" ca="1" si="17"/>
        <v/>
      </c>
      <c r="EC13" s="14" t="str">
        <f t="shared" ca="1" si="17"/>
        <v/>
      </c>
      <c r="ED13" s="14" t="str">
        <f t="shared" ca="1" si="17"/>
        <v/>
      </c>
      <c r="EE13" s="14" t="str">
        <f t="shared" ca="1" si="17"/>
        <v/>
      </c>
      <c r="EF13" s="14" t="str">
        <f t="shared" ca="1" si="18"/>
        <v/>
      </c>
      <c r="EG13" s="15" t="str">
        <f t="shared" ca="1" si="18"/>
        <v/>
      </c>
      <c r="EH13" s="16" t="str">
        <f t="shared" ca="1" si="18"/>
        <v/>
      </c>
      <c r="EI13" s="13" t="str">
        <f t="shared" ca="1" si="18"/>
        <v/>
      </c>
      <c r="EJ13" s="14" t="str">
        <f t="shared" ca="1" si="18"/>
        <v/>
      </c>
      <c r="EK13" s="14" t="str">
        <f t="shared" ca="1" si="18"/>
        <v/>
      </c>
      <c r="EL13" s="14" t="str">
        <f t="shared" ca="1" si="18"/>
        <v/>
      </c>
      <c r="EM13" s="14" t="str">
        <f t="shared" ca="1" si="18"/>
        <v/>
      </c>
      <c r="EN13" s="15" t="str">
        <f t="shared" ca="1" si="18"/>
        <v/>
      </c>
      <c r="EO13" s="16" t="str">
        <f t="shared" ca="1" si="18"/>
        <v/>
      </c>
      <c r="EP13" s="13" t="str">
        <f t="shared" ca="1" si="19"/>
        <v/>
      </c>
      <c r="EQ13" s="14" t="str">
        <f t="shared" ca="1" si="19"/>
        <v/>
      </c>
      <c r="ER13" s="14" t="str">
        <f t="shared" ca="1" si="19"/>
        <v/>
      </c>
      <c r="ES13" s="14" t="str">
        <f t="shared" ca="1" si="19"/>
        <v/>
      </c>
      <c r="ET13" s="14" t="str">
        <f t="shared" ca="1" si="19"/>
        <v/>
      </c>
      <c r="EU13" s="15" t="str">
        <f t="shared" ca="1" si="19"/>
        <v/>
      </c>
      <c r="EV13" s="16" t="str">
        <f t="shared" ca="1" si="19"/>
        <v/>
      </c>
      <c r="EW13" s="13" t="str">
        <f t="shared" ca="1" si="19"/>
        <v/>
      </c>
      <c r="EX13" s="14" t="str">
        <f t="shared" ca="1" si="19"/>
        <v/>
      </c>
      <c r="EY13" s="14" t="str">
        <f t="shared" ca="1" si="19"/>
        <v/>
      </c>
      <c r="EZ13" s="14" t="str">
        <f t="shared" ca="1" si="19"/>
        <v/>
      </c>
      <c r="FA13" s="14" t="str">
        <f t="shared" ca="1" si="19"/>
        <v/>
      </c>
      <c r="FB13" s="15" t="str">
        <f t="shared" ca="1" si="19"/>
        <v/>
      </c>
      <c r="FC13" s="16" t="str">
        <f t="shared" ca="1" si="19"/>
        <v/>
      </c>
    </row>
    <row r="14" spans="1:159" s="17" customFormat="1" ht="9.6" customHeight="1">
      <c r="A14" s="535"/>
      <c r="B14" s="22" t="s">
        <v>45</v>
      </c>
      <c r="C14" s="19" t="e">
        <f ca="1">IF((ROUNDDOWN(E13/7,0)*7+_xlfn.XLOOKUP(B7&amp;"-"&amp;"Next",'DATA BTO'!A:A,'DATA BTO'!G:G,"-",0))&lt;E13,(ROUNDDOWN(E13/7,0)*7+_xlfn.XLOOKUP(B7&amp;"-"&amp;"Next",'DATA BTO'!A:A,'DATA BTO'!G:G,"-",0))+7,(ROUNDDOWN(E13/7,0)*7+_xlfn.XLOOKUP(B7&amp;"-"&amp;"Next",'DATA BTO'!A:A,'DATA BTO'!G:G,"-",0)))</f>
        <v>#VALUE!</v>
      </c>
      <c r="D14" s="20">
        <v>0</v>
      </c>
      <c r="E14" s="19" t="e">
        <f ca="1">C14+D14</f>
        <v>#VALUE!</v>
      </c>
      <c r="F14" s="13" t="e">
        <f t="shared" ca="1" si="5"/>
        <v>#VALUE!</v>
      </c>
      <c r="G14" s="14" t="e">
        <f t="shared" ca="1" si="5"/>
        <v>#VALUE!</v>
      </c>
      <c r="H14" s="14" t="e">
        <f t="shared" ca="1" si="5"/>
        <v>#VALUE!</v>
      </c>
      <c r="I14" s="14" t="e">
        <f t="shared" ca="1" si="5"/>
        <v>#VALUE!</v>
      </c>
      <c r="J14" s="14" t="e">
        <f t="shared" ca="1" si="5"/>
        <v>#VALUE!</v>
      </c>
      <c r="K14" s="15" t="e">
        <f t="shared" ca="1" si="5"/>
        <v>#VALUE!</v>
      </c>
      <c r="L14" s="16" t="e">
        <f t="shared" ca="1" si="5"/>
        <v>#VALUE!</v>
      </c>
      <c r="M14" s="13" t="e">
        <f t="shared" ca="1" si="5"/>
        <v>#VALUE!</v>
      </c>
      <c r="N14" s="14" t="e">
        <f t="shared" ca="1" si="5"/>
        <v>#VALUE!</v>
      </c>
      <c r="O14" s="14" t="e">
        <f t="shared" ca="1" si="5"/>
        <v>#VALUE!</v>
      </c>
      <c r="P14" s="14" t="e">
        <f t="shared" ca="1" si="6"/>
        <v>#VALUE!</v>
      </c>
      <c r="Q14" s="14" t="e">
        <f t="shared" ca="1" si="6"/>
        <v>#VALUE!</v>
      </c>
      <c r="R14" s="15" t="e">
        <f t="shared" ca="1" si="6"/>
        <v>#VALUE!</v>
      </c>
      <c r="S14" s="16" t="e">
        <f t="shared" ca="1" si="6"/>
        <v>#VALUE!</v>
      </c>
      <c r="T14" s="13" t="e">
        <f t="shared" ca="1" si="6"/>
        <v>#VALUE!</v>
      </c>
      <c r="U14" s="14" t="e">
        <f t="shared" ca="1" si="6"/>
        <v>#VALUE!</v>
      </c>
      <c r="V14" s="14" t="e">
        <f t="shared" ca="1" si="6"/>
        <v>#VALUE!</v>
      </c>
      <c r="W14" s="14" t="e">
        <f t="shared" ca="1" si="6"/>
        <v>#VALUE!</v>
      </c>
      <c r="X14" s="14" t="e">
        <f t="shared" ca="1" si="6"/>
        <v>#VALUE!</v>
      </c>
      <c r="Y14" s="15" t="e">
        <f t="shared" ca="1" si="6"/>
        <v>#VALUE!</v>
      </c>
      <c r="Z14" s="16" t="e">
        <f t="shared" ca="1" si="7"/>
        <v>#VALUE!</v>
      </c>
      <c r="AA14" s="13" t="e">
        <f t="shared" ca="1" si="7"/>
        <v>#VALUE!</v>
      </c>
      <c r="AB14" s="14" t="e">
        <f t="shared" ca="1" si="7"/>
        <v>#VALUE!</v>
      </c>
      <c r="AC14" s="14" t="e">
        <f t="shared" ca="1" si="7"/>
        <v>#VALUE!</v>
      </c>
      <c r="AD14" s="14" t="e">
        <f t="shared" ca="1" si="7"/>
        <v>#VALUE!</v>
      </c>
      <c r="AE14" s="14" t="e">
        <f t="shared" ca="1" si="7"/>
        <v>#VALUE!</v>
      </c>
      <c r="AF14" s="15" t="e">
        <f t="shared" ca="1" si="7"/>
        <v>#VALUE!</v>
      </c>
      <c r="AG14" s="16" t="e">
        <f t="shared" ca="1" si="7"/>
        <v>#VALUE!</v>
      </c>
      <c r="AH14" s="13" t="e">
        <f t="shared" ca="1" si="7"/>
        <v>#VALUE!</v>
      </c>
      <c r="AI14" s="14" t="e">
        <f t="shared" ca="1" si="7"/>
        <v>#VALUE!</v>
      </c>
      <c r="AJ14" s="14" t="e">
        <f t="shared" ca="1" si="8"/>
        <v>#VALUE!</v>
      </c>
      <c r="AK14" s="14" t="e">
        <f t="shared" ca="1" si="8"/>
        <v>#VALUE!</v>
      </c>
      <c r="AL14" s="14" t="e">
        <f t="shared" ca="1" si="8"/>
        <v>#VALUE!</v>
      </c>
      <c r="AM14" s="15" t="e">
        <f t="shared" ca="1" si="8"/>
        <v>#VALUE!</v>
      </c>
      <c r="AN14" s="16" t="e">
        <f t="shared" ca="1" si="8"/>
        <v>#VALUE!</v>
      </c>
      <c r="AO14" s="13" t="e">
        <f t="shared" ca="1" si="8"/>
        <v>#VALUE!</v>
      </c>
      <c r="AP14" s="14" t="e">
        <f t="shared" ca="1" si="8"/>
        <v>#VALUE!</v>
      </c>
      <c r="AQ14" s="14" t="e">
        <f t="shared" ca="1" si="8"/>
        <v>#VALUE!</v>
      </c>
      <c r="AR14" s="14" t="e">
        <f t="shared" ca="1" si="8"/>
        <v>#VALUE!</v>
      </c>
      <c r="AS14" s="14" t="e">
        <f t="shared" ca="1" si="8"/>
        <v>#VALUE!</v>
      </c>
      <c r="AT14" s="15" t="e">
        <f t="shared" ca="1" si="9"/>
        <v>#VALUE!</v>
      </c>
      <c r="AU14" s="16" t="e">
        <f t="shared" ca="1" si="9"/>
        <v>#VALUE!</v>
      </c>
      <c r="AV14" s="13" t="e">
        <f t="shared" ca="1" si="9"/>
        <v>#VALUE!</v>
      </c>
      <c r="AW14" s="14" t="e">
        <f t="shared" ca="1" si="9"/>
        <v>#VALUE!</v>
      </c>
      <c r="AX14" s="14" t="e">
        <f t="shared" ca="1" si="9"/>
        <v>#VALUE!</v>
      </c>
      <c r="AY14" s="14" t="e">
        <f t="shared" ca="1" si="9"/>
        <v>#VALUE!</v>
      </c>
      <c r="AZ14" s="14" t="e">
        <f t="shared" ca="1" si="9"/>
        <v>#VALUE!</v>
      </c>
      <c r="BA14" s="15" t="e">
        <f t="shared" ca="1" si="9"/>
        <v>#VALUE!</v>
      </c>
      <c r="BB14" s="16" t="e">
        <f t="shared" ca="1" si="9"/>
        <v>#VALUE!</v>
      </c>
      <c r="BC14" s="13" t="e">
        <f t="shared" ca="1" si="9"/>
        <v>#VALUE!</v>
      </c>
      <c r="BD14" s="14" t="e">
        <f t="shared" ca="1" si="10"/>
        <v>#VALUE!</v>
      </c>
      <c r="BE14" s="14" t="e">
        <f t="shared" ca="1" si="10"/>
        <v>#VALUE!</v>
      </c>
      <c r="BF14" s="14" t="e">
        <f t="shared" ca="1" si="10"/>
        <v>#VALUE!</v>
      </c>
      <c r="BG14" s="14" t="e">
        <f t="shared" ca="1" si="10"/>
        <v>#VALUE!</v>
      </c>
      <c r="BH14" s="15" t="e">
        <f t="shared" ca="1" si="10"/>
        <v>#VALUE!</v>
      </c>
      <c r="BI14" s="16" t="e">
        <f t="shared" ca="1" si="10"/>
        <v>#VALUE!</v>
      </c>
      <c r="BJ14" s="13" t="e">
        <f t="shared" ca="1" si="10"/>
        <v>#VALUE!</v>
      </c>
      <c r="BK14" s="14" t="e">
        <f t="shared" ca="1" si="10"/>
        <v>#VALUE!</v>
      </c>
      <c r="BL14" s="14" t="e">
        <f t="shared" ca="1" si="10"/>
        <v>#VALUE!</v>
      </c>
      <c r="BM14" s="14" t="e">
        <f t="shared" ca="1" si="10"/>
        <v>#VALUE!</v>
      </c>
      <c r="BN14" s="14" t="e">
        <f t="shared" ca="1" si="11"/>
        <v>#VALUE!</v>
      </c>
      <c r="BO14" s="15" t="e">
        <f t="shared" ca="1" si="11"/>
        <v>#VALUE!</v>
      </c>
      <c r="BP14" s="16" t="e">
        <f t="shared" ca="1" si="11"/>
        <v>#VALUE!</v>
      </c>
      <c r="BQ14" s="13" t="e">
        <f t="shared" ca="1" si="11"/>
        <v>#VALUE!</v>
      </c>
      <c r="BR14" s="14" t="e">
        <f t="shared" ca="1" si="11"/>
        <v>#VALUE!</v>
      </c>
      <c r="BS14" s="14" t="e">
        <f t="shared" ca="1" si="11"/>
        <v>#VALUE!</v>
      </c>
      <c r="BT14" s="14" t="e">
        <f t="shared" ca="1" si="11"/>
        <v>#VALUE!</v>
      </c>
      <c r="BU14" s="14" t="e">
        <f t="shared" ca="1" si="11"/>
        <v>#VALUE!</v>
      </c>
      <c r="BV14" s="15" t="e">
        <f t="shared" ca="1" si="11"/>
        <v>#VALUE!</v>
      </c>
      <c r="BW14" s="16" t="e">
        <f t="shared" ca="1" si="11"/>
        <v>#VALUE!</v>
      </c>
      <c r="BX14" s="13" t="e">
        <f t="shared" ca="1" si="12"/>
        <v>#VALUE!</v>
      </c>
      <c r="BY14" s="14" t="e">
        <f t="shared" ca="1" si="12"/>
        <v>#VALUE!</v>
      </c>
      <c r="BZ14" s="14" t="e">
        <f t="shared" ca="1" si="12"/>
        <v>#VALUE!</v>
      </c>
      <c r="CA14" s="14" t="e">
        <f t="shared" ca="1" si="12"/>
        <v>#VALUE!</v>
      </c>
      <c r="CB14" s="14" t="e">
        <f t="shared" ca="1" si="12"/>
        <v>#VALUE!</v>
      </c>
      <c r="CC14" s="15" t="e">
        <f t="shared" ca="1" si="12"/>
        <v>#VALUE!</v>
      </c>
      <c r="CD14" s="16" t="e">
        <f t="shared" ca="1" si="12"/>
        <v>#VALUE!</v>
      </c>
      <c r="CE14" s="13" t="e">
        <f t="shared" ca="1" si="12"/>
        <v>#VALUE!</v>
      </c>
      <c r="CF14" s="14" t="e">
        <f t="shared" ca="1" si="12"/>
        <v>#VALUE!</v>
      </c>
      <c r="CG14" s="14" t="e">
        <f t="shared" ca="1" si="12"/>
        <v>#VALUE!</v>
      </c>
      <c r="CH14" s="14" t="e">
        <f t="shared" ca="1" si="13"/>
        <v>#VALUE!</v>
      </c>
      <c r="CI14" s="14" t="e">
        <f t="shared" ca="1" si="13"/>
        <v>#VALUE!</v>
      </c>
      <c r="CJ14" s="15" t="e">
        <f t="shared" ca="1" si="13"/>
        <v>#VALUE!</v>
      </c>
      <c r="CK14" s="16" t="e">
        <f t="shared" ca="1" si="13"/>
        <v>#VALUE!</v>
      </c>
      <c r="CL14" s="13" t="e">
        <f t="shared" ca="1" si="13"/>
        <v>#VALUE!</v>
      </c>
      <c r="CM14" s="14" t="e">
        <f t="shared" ca="1" si="13"/>
        <v>#VALUE!</v>
      </c>
      <c r="CN14" s="14" t="e">
        <f t="shared" ca="1" si="13"/>
        <v>#VALUE!</v>
      </c>
      <c r="CO14" s="14" t="e">
        <f t="shared" ca="1" si="13"/>
        <v>#VALUE!</v>
      </c>
      <c r="CP14" s="14" t="e">
        <f t="shared" ca="1" si="13"/>
        <v>#VALUE!</v>
      </c>
      <c r="CQ14" s="15" t="e">
        <f t="shared" ca="1" si="13"/>
        <v>#VALUE!</v>
      </c>
      <c r="CR14" s="16" t="e">
        <f t="shared" ca="1" si="14"/>
        <v>#VALUE!</v>
      </c>
      <c r="CS14" s="13" t="e">
        <f t="shared" ca="1" si="14"/>
        <v>#VALUE!</v>
      </c>
      <c r="CT14" s="14" t="e">
        <f t="shared" ca="1" si="14"/>
        <v>#VALUE!</v>
      </c>
      <c r="CU14" s="14" t="e">
        <f t="shared" ca="1" si="14"/>
        <v>#VALUE!</v>
      </c>
      <c r="CV14" s="14" t="e">
        <f t="shared" ca="1" si="14"/>
        <v>#VALUE!</v>
      </c>
      <c r="CW14" s="14" t="e">
        <f t="shared" ca="1" si="14"/>
        <v>#VALUE!</v>
      </c>
      <c r="CX14" s="15" t="e">
        <f t="shared" ca="1" si="14"/>
        <v>#VALUE!</v>
      </c>
      <c r="CY14" s="16" t="e">
        <f t="shared" ca="1" si="14"/>
        <v>#VALUE!</v>
      </c>
      <c r="CZ14" s="13" t="e">
        <f t="shared" ca="1" si="14"/>
        <v>#VALUE!</v>
      </c>
      <c r="DA14" s="14" t="e">
        <f t="shared" ca="1" si="14"/>
        <v>#VALUE!</v>
      </c>
      <c r="DB14" s="14" t="e">
        <f t="shared" ca="1" si="15"/>
        <v>#VALUE!</v>
      </c>
      <c r="DC14" s="14" t="e">
        <f t="shared" ca="1" si="15"/>
        <v>#VALUE!</v>
      </c>
      <c r="DD14" s="14" t="e">
        <f t="shared" ca="1" si="15"/>
        <v>#VALUE!</v>
      </c>
      <c r="DE14" s="15" t="e">
        <f t="shared" ca="1" si="15"/>
        <v>#VALUE!</v>
      </c>
      <c r="DF14" s="16" t="e">
        <f t="shared" ca="1" si="15"/>
        <v>#VALUE!</v>
      </c>
      <c r="DG14" s="13" t="e">
        <f t="shared" ca="1" si="15"/>
        <v>#VALUE!</v>
      </c>
      <c r="DH14" s="14" t="e">
        <f t="shared" ca="1" si="15"/>
        <v>#VALUE!</v>
      </c>
      <c r="DI14" s="14" t="e">
        <f t="shared" ca="1" si="15"/>
        <v>#VALUE!</v>
      </c>
      <c r="DJ14" s="14" t="e">
        <f t="shared" ca="1" si="15"/>
        <v>#VALUE!</v>
      </c>
      <c r="DK14" s="14" t="e">
        <f t="shared" ca="1" si="15"/>
        <v>#VALUE!</v>
      </c>
      <c r="DL14" s="15" t="e">
        <f t="shared" ca="1" si="16"/>
        <v>#VALUE!</v>
      </c>
      <c r="DM14" s="16" t="e">
        <f t="shared" ca="1" si="16"/>
        <v>#VALUE!</v>
      </c>
      <c r="DN14" s="13" t="e">
        <f t="shared" ca="1" si="16"/>
        <v>#VALUE!</v>
      </c>
      <c r="DO14" s="14" t="e">
        <f t="shared" ca="1" si="16"/>
        <v>#VALUE!</v>
      </c>
      <c r="DP14" s="14" t="e">
        <f t="shared" ca="1" si="16"/>
        <v>#VALUE!</v>
      </c>
      <c r="DQ14" s="14" t="e">
        <f t="shared" ca="1" si="16"/>
        <v>#VALUE!</v>
      </c>
      <c r="DR14" s="14" t="e">
        <f t="shared" ca="1" si="16"/>
        <v>#VALUE!</v>
      </c>
      <c r="DS14" s="15" t="e">
        <f t="shared" ca="1" si="16"/>
        <v>#VALUE!</v>
      </c>
      <c r="DT14" s="16" t="e">
        <f t="shared" ca="1" si="16"/>
        <v>#VALUE!</v>
      </c>
      <c r="DU14" s="13" t="e">
        <f t="shared" ca="1" si="16"/>
        <v>#VALUE!</v>
      </c>
      <c r="DV14" s="14" t="e">
        <f t="shared" ca="1" si="17"/>
        <v>#VALUE!</v>
      </c>
      <c r="DW14" s="14" t="e">
        <f t="shared" ca="1" si="17"/>
        <v>#VALUE!</v>
      </c>
      <c r="DX14" s="14" t="e">
        <f t="shared" ca="1" si="17"/>
        <v>#VALUE!</v>
      </c>
      <c r="DY14" s="14" t="e">
        <f t="shared" ca="1" si="17"/>
        <v>#VALUE!</v>
      </c>
      <c r="DZ14" s="15" t="e">
        <f t="shared" ca="1" si="17"/>
        <v>#VALUE!</v>
      </c>
      <c r="EA14" s="16" t="e">
        <f t="shared" ca="1" si="17"/>
        <v>#VALUE!</v>
      </c>
      <c r="EB14" s="13" t="e">
        <f t="shared" ca="1" si="17"/>
        <v>#VALUE!</v>
      </c>
      <c r="EC14" s="14" t="e">
        <f t="shared" ca="1" si="17"/>
        <v>#VALUE!</v>
      </c>
      <c r="ED14" s="14" t="e">
        <f t="shared" ca="1" si="17"/>
        <v>#VALUE!</v>
      </c>
      <c r="EE14" s="14" t="e">
        <f t="shared" ca="1" si="17"/>
        <v>#VALUE!</v>
      </c>
      <c r="EF14" s="14" t="e">
        <f t="shared" ca="1" si="18"/>
        <v>#VALUE!</v>
      </c>
      <c r="EG14" s="15" t="e">
        <f t="shared" ca="1" si="18"/>
        <v>#VALUE!</v>
      </c>
      <c r="EH14" s="16" t="e">
        <f t="shared" ca="1" si="18"/>
        <v>#VALUE!</v>
      </c>
      <c r="EI14" s="13" t="e">
        <f t="shared" ca="1" si="18"/>
        <v>#VALUE!</v>
      </c>
      <c r="EJ14" s="14" t="e">
        <f t="shared" ca="1" si="18"/>
        <v>#VALUE!</v>
      </c>
      <c r="EK14" s="14" t="e">
        <f t="shared" ca="1" si="18"/>
        <v>#VALUE!</v>
      </c>
      <c r="EL14" s="14" t="e">
        <f t="shared" ca="1" si="18"/>
        <v>#VALUE!</v>
      </c>
      <c r="EM14" s="14" t="e">
        <f t="shared" ca="1" si="18"/>
        <v>#VALUE!</v>
      </c>
      <c r="EN14" s="15" t="e">
        <f t="shared" ca="1" si="18"/>
        <v>#VALUE!</v>
      </c>
      <c r="EO14" s="16" t="e">
        <f t="shared" ca="1" si="18"/>
        <v>#VALUE!</v>
      </c>
      <c r="EP14" s="13" t="e">
        <f t="shared" ca="1" si="19"/>
        <v>#VALUE!</v>
      </c>
      <c r="EQ14" s="14" t="e">
        <f t="shared" ca="1" si="19"/>
        <v>#VALUE!</v>
      </c>
      <c r="ER14" s="14" t="e">
        <f t="shared" ca="1" si="19"/>
        <v>#VALUE!</v>
      </c>
      <c r="ES14" s="14" t="e">
        <f t="shared" ca="1" si="19"/>
        <v>#VALUE!</v>
      </c>
      <c r="ET14" s="14" t="e">
        <f t="shared" ca="1" si="19"/>
        <v>#VALUE!</v>
      </c>
      <c r="EU14" s="15" t="e">
        <f t="shared" ca="1" si="19"/>
        <v>#VALUE!</v>
      </c>
      <c r="EV14" s="16" t="e">
        <f t="shared" ca="1" si="19"/>
        <v>#VALUE!</v>
      </c>
      <c r="EW14" s="13" t="e">
        <f t="shared" ca="1" si="19"/>
        <v>#VALUE!</v>
      </c>
      <c r="EX14" s="14" t="e">
        <f t="shared" ca="1" si="19"/>
        <v>#VALUE!</v>
      </c>
      <c r="EY14" s="14" t="e">
        <f t="shared" ca="1" si="19"/>
        <v>#VALUE!</v>
      </c>
      <c r="EZ14" s="14" t="e">
        <f t="shared" ca="1" si="19"/>
        <v>#VALUE!</v>
      </c>
      <c r="FA14" s="14" t="e">
        <f t="shared" ca="1" si="19"/>
        <v>#VALUE!</v>
      </c>
      <c r="FB14" s="15" t="e">
        <f t="shared" ca="1" si="19"/>
        <v>#VALUE!</v>
      </c>
      <c r="FC14" s="16" t="e">
        <f t="shared" ca="1" si="19"/>
        <v>#VALUE!</v>
      </c>
    </row>
    <row r="15" spans="1:159" s="17" customFormat="1" ht="9.6" customHeight="1">
      <c r="A15" s="535"/>
      <c r="B15" s="22" t="s">
        <v>46</v>
      </c>
      <c r="C15" s="19" t="e">
        <f ca="1">E14+_xlfn.XLOOKUP(B7&amp;"-"&amp;"Next",'DATA BTO'!A:A,'DATA BTO'!H:H,"-",0)-_xlfn.XLOOKUP(B7&amp;"-"&amp;"Next",'DATA BTO'!A:A,'DATA BTO'!G:G,"-",0)</f>
        <v>#VALUE!</v>
      </c>
      <c r="D15" s="20">
        <v>0</v>
      </c>
      <c r="E15" s="19" t="e">
        <f ca="1">C15+D15</f>
        <v>#VALUE!</v>
      </c>
      <c r="F15" s="13" t="e">
        <f t="shared" ca="1" si="5"/>
        <v>#VALUE!</v>
      </c>
      <c r="G15" s="14" t="e">
        <f t="shared" ca="1" si="5"/>
        <v>#VALUE!</v>
      </c>
      <c r="H15" s="14" t="e">
        <f t="shared" ca="1" si="5"/>
        <v>#VALUE!</v>
      </c>
      <c r="I15" s="14" t="e">
        <f t="shared" ca="1" si="5"/>
        <v>#VALUE!</v>
      </c>
      <c r="J15" s="14" t="e">
        <f t="shared" ca="1" si="5"/>
        <v>#VALUE!</v>
      </c>
      <c r="K15" s="15" t="e">
        <f t="shared" ca="1" si="5"/>
        <v>#VALUE!</v>
      </c>
      <c r="L15" s="16" t="e">
        <f t="shared" ca="1" si="5"/>
        <v>#VALUE!</v>
      </c>
      <c r="M15" s="13" t="e">
        <f t="shared" ca="1" si="5"/>
        <v>#VALUE!</v>
      </c>
      <c r="N15" s="14" t="e">
        <f t="shared" ca="1" si="5"/>
        <v>#VALUE!</v>
      </c>
      <c r="O15" s="14" t="e">
        <f t="shared" ca="1" si="5"/>
        <v>#VALUE!</v>
      </c>
      <c r="P15" s="14" t="e">
        <f t="shared" ca="1" si="6"/>
        <v>#VALUE!</v>
      </c>
      <c r="Q15" s="14" t="e">
        <f t="shared" ca="1" si="6"/>
        <v>#VALUE!</v>
      </c>
      <c r="R15" s="15" t="e">
        <f t="shared" ca="1" si="6"/>
        <v>#VALUE!</v>
      </c>
      <c r="S15" s="16" t="e">
        <f t="shared" ca="1" si="6"/>
        <v>#VALUE!</v>
      </c>
      <c r="T15" s="13" t="e">
        <f t="shared" ca="1" si="6"/>
        <v>#VALUE!</v>
      </c>
      <c r="U15" s="14" t="e">
        <f t="shared" ca="1" si="6"/>
        <v>#VALUE!</v>
      </c>
      <c r="V15" s="14" t="e">
        <f t="shared" ca="1" si="6"/>
        <v>#VALUE!</v>
      </c>
      <c r="W15" s="14" t="e">
        <f t="shared" ca="1" si="6"/>
        <v>#VALUE!</v>
      </c>
      <c r="X15" s="14" t="e">
        <f t="shared" ca="1" si="6"/>
        <v>#VALUE!</v>
      </c>
      <c r="Y15" s="15" t="e">
        <f t="shared" ca="1" si="6"/>
        <v>#VALUE!</v>
      </c>
      <c r="Z15" s="16" t="e">
        <f t="shared" ca="1" si="7"/>
        <v>#VALUE!</v>
      </c>
      <c r="AA15" s="13" t="e">
        <f t="shared" ca="1" si="7"/>
        <v>#VALUE!</v>
      </c>
      <c r="AB15" s="14" t="e">
        <f t="shared" ca="1" si="7"/>
        <v>#VALUE!</v>
      </c>
      <c r="AC15" s="14" t="e">
        <f t="shared" ca="1" si="7"/>
        <v>#VALUE!</v>
      </c>
      <c r="AD15" s="14" t="e">
        <f t="shared" ca="1" si="7"/>
        <v>#VALUE!</v>
      </c>
      <c r="AE15" s="14" t="e">
        <f t="shared" ca="1" si="7"/>
        <v>#VALUE!</v>
      </c>
      <c r="AF15" s="15" t="e">
        <f t="shared" ca="1" si="7"/>
        <v>#VALUE!</v>
      </c>
      <c r="AG15" s="16" t="e">
        <f t="shared" ca="1" si="7"/>
        <v>#VALUE!</v>
      </c>
      <c r="AH15" s="13" t="e">
        <f t="shared" ca="1" si="7"/>
        <v>#VALUE!</v>
      </c>
      <c r="AI15" s="14" t="e">
        <f t="shared" ca="1" si="7"/>
        <v>#VALUE!</v>
      </c>
      <c r="AJ15" s="14" t="e">
        <f t="shared" ca="1" si="8"/>
        <v>#VALUE!</v>
      </c>
      <c r="AK15" s="14" t="e">
        <f t="shared" ca="1" si="8"/>
        <v>#VALUE!</v>
      </c>
      <c r="AL15" s="14" t="e">
        <f t="shared" ca="1" si="8"/>
        <v>#VALUE!</v>
      </c>
      <c r="AM15" s="15" t="e">
        <f t="shared" ca="1" si="8"/>
        <v>#VALUE!</v>
      </c>
      <c r="AN15" s="16" t="e">
        <f t="shared" ca="1" si="8"/>
        <v>#VALUE!</v>
      </c>
      <c r="AO15" s="13" t="e">
        <f t="shared" ca="1" si="8"/>
        <v>#VALUE!</v>
      </c>
      <c r="AP15" s="14" t="e">
        <f t="shared" ca="1" si="8"/>
        <v>#VALUE!</v>
      </c>
      <c r="AQ15" s="14" t="e">
        <f t="shared" ca="1" si="8"/>
        <v>#VALUE!</v>
      </c>
      <c r="AR15" s="14" t="e">
        <f t="shared" ca="1" si="8"/>
        <v>#VALUE!</v>
      </c>
      <c r="AS15" s="14" t="e">
        <f t="shared" ca="1" si="8"/>
        <v>#VALUE!</v>
      </c>
      <c r="AT15" s="15" t="e">
        <f t="shared" ca="1" si="9"/>
        <v>#VALUE!</v>
      </c>
      <c r="AU15" s="16" t="e">
        <f t="shared" ca="1" si="9"/>
        <v>#VALUE!</v>
      </c>
      <c r="AV15" s="13" t="e">
        <f t="shared" ca="1" si="9"/>
        <v>#VALUE!</v>
      </c>
      <c r="AW15" s="14" t="e">
        <f t="shared" ca="1" si="9"/>
        <v>#VALUE!</v>
      </c>
      <c r="AX15" s="14" t="e">
        <f t="shared" ca="1" si="9"/>
        <v>#VALUE!</v>
      </c>
      <c r="AY15" s="14" t="e">
        <f t="shared" ca="1" si="9"/>
        <v>#VALUE!</v>
      </c>
      <c r="AZ15" s="14" t="e">
        <f t="shared" ca="1" si="9"/>
        <v>#VALUE!</v>
      </c>
      <c r="BA15" s="15" t="e">
        <f t="shared" ca="1" si="9"/>
        <v>#VALUE!</v>
      </c>
      <c r="BB15" s="16" t="e">
        <f t="shared" ca="1" si="9"/>
        <v>#VALUE!</v>
      </c>
      <c r="BC15" s="13" t="e">
        <f t="shared" ca="1" si="9"/>
        <v>#VALUE!</v>
      </c>
      <c r="BD15" s="14" t="e">
        <f t="shared" ca="1" si="10"/>
        <v>#VALUE!</v>
      </c>
      <c r="BE15" s="14" t="e">
        <f t="shared" ca="1" si="10"/>
        <v>#VALUE!</v>
      </c>
      <c r="BF15" s="14" t="e">
        <f t="shared" ca="1" si="10"/>
        <v>#VALUE!</v>
      </c>
      <c r="BG15" s="14" t="e">
        <f t="shared" ca="1" si="10"/>
        <v>#VALUE!</v>
      </c>
      <c r="BH15" s="15" t="e">
        <f t="shared" ca="1" si="10"/>
        <v>#VALUE!</v>
      </c>
      <c r="BI15" s="16" t="e">
        <f t="shared" ca="1" si="10"/>
        <v>#VALUE!</v>
      </c>
      <c r="BJ15" s="13" t="e">
        <f t="shared" ca="1" si="10"/>
        <v>#VALUE!</v>
      </c>
      <c r="BK15" s="14" t="e">
        <f t="shared" ca="1" si="10"/>
        <v>#VALUE!</v>
      </c>
      <c r="BL15" s="14" t="e">
        <f t="shared" ca="1" si="10"/>
        <v>#VALUE!</v>
      </c>
      <c r="BM15" s="14" t="e">
        <f t="shared" ca="1" si="10"/>
        <v>#VALUE!</v>
      </c>
      <c r="BN15" s="14" t="e">
        <f t="shared" ca="1" si="11"/>
        <v>#VALUE!</v>
      </c>
      <c r="BO15" s="15" t="e">
        <f t="shared" ca="1" si="11"/>
        <v>#VALUE!</v>
      </c>
      <c r="BP15" s="16" t="e">
        <f t="shared" ca="1" si="11"/>
        <v>#VALUE!</v>
      </c>
      <c r="BQ15" s="13" t="e">
        <f t="shared" ca="1" si="11"/>
        <v>#VALUE!</v>
      </c>
      <c r="BR15" s="14" t="e">
        <f t="shared" ca="1" si="11"/>
        <v>#VALUE!</v>
      </c>
      <c r="BS15" s="14" t="e">
        <f t="shared" ca="1" si="11"/>
        <v>#VALUE!</v>
      </c>
      <c r="BT15" s="14" t="e">
        <f t="shared" ca="1" si="11"/>
        <v>#VALUE!</v>
      </c>
      <c r="BU15" s="14" t="e">
        <f t="shared" ca="1" si="11"/>
        <v>#VALUE!</v>
      </c>
      <c r="BV15" s="15" t="e">
        <f t="shared" ca="1" si="11"/>
        <v>#VALUE!</v>
      </c>
      <c r="BW15" s="16" t="e">
        <f t="shared" ca="1" si="11"/>
        <v>#VALUE!</v>
      </c>
      <c r="BX15" s="13" t="e">
        <f t="shared" ca="1" si="12"/>
        <v>#VALUE!</v>
      </c>
      <c r="BY15" s="14" t="e">
        <f t="shared" ca="1" si="12"/>
        <v>#VALUE!</v>
      </c>
      <c r="BZ15" s="14" t="e">
        <f t="shared" ca="1" si="12"/>
        <v>#VALUE!</v>
      </c>
      <c r="CA15" s="14" t="e">
        <f t="shared" ca="1" si="12"/>
        <v>#VALUE!</v>
      </c>
      <c r="CB15" s="14" t="e">
        <f t="shared" ca="1" si="12"/>
        <v>#VALUE!</v>
      </c>
      <c r="CC15" s="15" t="e">
        <f t="shared" ca="1" si="12"/>
        <v>#VALUE!</v>
      </c>
      <c r="CD15" s="16" t="e">
        <f t="shared" ca="1" si="12"/>
        <v>#VALUE!</v>
      </c>
      <c r="CE15" s="13" t="e">
        <f t="shared" ca="1" si="12"/>
        <v>#VALUE!</v>
      </c>
      <c r="CF15" s="14" t="e">
        <f t="shared" ca="1" si="12"/>
        <v>#VALUE!</v>
      </c>
      <c r="CG15" s="14" t="e">
        <f t="shared" ca="1" si="12"/>
        <v>#VALUE!</v>
      </c>
      <c r="CH15" s="14" t="e">
        <f t="shared" ca="1" si="13"/>
        <v>#VALUE!</v>
      </c>
      <c r="CI15" s="14" t="e">
        <f t="shared" ca="1" si="13"/>
        <v>#VALUE!</v>
      </c>
      <c r="CJ15" s="15" t="e">
        <f t="shared" ca="1" si="13"/>
        <v>#VALUE!</v>
      </c>
      <c r="CK15" s="16" t="e">
        <f t="shared" ca="1" si="13"/>
        <v>#VALUE!</v>
      </c>
      <c r="CL15" s="13" t="e">
        <f t="shared" ca="1" si="13"/>
        <v>#VALUE!</v>
      </c>
      <c r="CM15" s="14" t="e">
        <f t="shared" ca="1" si="13"/>
        <v>#VALUE!</v>
      </c>
      <c r="CN15" s="14" t="e">
        <f t="shared" ca="1" si="13"/>
        <v>#VALUE!</v>
      </c>
      <c r="CO15" s="14" t="e">
        <f t="shared" ca="1" si="13"/>
        <v>#VALUE!</v>
      </c>
      <c r="CP15" s="14" t="e">
        <f t="shared" ca="1" si="13"/>
        <v>#VALUE!</v>
      </c>
      <c r="CQ15" s="15" t="e">
        <f t="shared" ca="1" si="13"/>
        <v>#VALUE!</v>
      </c>
      <c r="CR15" s="16" t="e">
        <f t="shared" ca="1" si="14"/>
        <v>#VALUE!</v>
      </c>
      <c r="CS15" s="13" t="e">
        <f t="shared" ca="1" si="14"/>
        <v>#VALUE!</v>
      </c>
      <c r="CT15" s="14" t="e">
        <f t="shared" ca="1" si="14"/>
        <v>#VALUE!</v>
      </c>
      <c r="CU15" s="14" t="e">
        <f t="shared" ca="1" si="14"/>
        <v>#VALUE!</v>
      </c>
      <c r="CV15" s="14" t="e">
        <f t="shared" ca="1" si="14"/>
        <v>#VALUE!</v>
      </c>
      <c r="CW15" s="14" t="e">
        <f t="shared" ca="1" si="14"/>
        <v>#VALUE!</v>
      </c>
      <c r="CX15" s="15" t="e">
        <f t="shared" ca="1" si="14"/>
        <v>#VALUE!</v>
      </c>
      <c r="CY15" s="16" t="e">
        <f t="shared" ca="1" si="14"/>
        <v>#VALUE!</v>
      </c>
      <c r="CZ15" s="13" t="e">
        <f t="shared" ca="1" si="14"/>
        <v>#VALUE!</v>
      </c>
      <c r="DA15" s="14" t="e">
        <f t="shared" ca="1" si="14"/>
        <v>#VALUE!</v>
      </c>
      <c r="DB15" s="14" t="e">
        <f t="shared" ca="1" si="15"/>
        <v>#VALUE!</v>
      </c>
      <c r="DC15" s="14" t="e">
        <f t="shared" ca="1" si="15"/>
        <v>#VALUE!</v>
      </c>
      <c r="DD15" s="14" t="e">
        <f t="shared" ca="1" si="15"/>
        <v>#VALUE!</v>
      </c>
      <c r="DE15" s="15" t="e">
        <f t="shared" ca="1" si="15"/>
        <v>#VALUE!</v>
      </c>
      <c r="DF15" s="16" t="e">
        <f t="shared" ca="1" si="15"/>
        <v>#VALUE!</v>
      </c>
      <c r="DG15" s="13" t="e">
        <f t="shared" ca="1" si="15"/>
        <v>#VALUE!</v>
      </c>
      <c r="DH15" s="14" t="e">
        <f t="shared" ca="1" si="15"/>
        <v>#VALUE!</v>
      </c>
      <c r="DI15" s="14" t="e">
        <f t="shared" ca="1" si="15"/>
        <v>#VALUE!</v>
      </c>
      <c r="DJ15" s="14" t="e">
        <f t="shared" ca="1" si="15"/>
        <v>#VALUE!</v>
      </c>
      <c r="DK15" s="14" t="e">
        <f t="shared" ca="1" si="15"/>
        <v>#VALUE!</v>
      </c>
      <c r="DL15" s="15" t="e">
        <f t="shared" ca="1" si="16"/>
        <v>#VALUE!</v>
      </c>
      <c r="DM15" s="16" t="e">
        <f t="shared" ca="1" si="16"/>
        <v>#VALUE!</v>
      </c>
      <c r="DN15" s="13" t="e">
        <f t="shared" ca="1" si="16"/>
        <v>#VALUE!</v>
      </c>
      <c r="DO15" s="14" t="e">
        <f t="shared" ca="1" si="16"/>
        <v>#VALUE!</v>
      </c>
      <c r="DP15" s="14" t="e">
        <f t="shared" ca="1" si="16"/>
        <v>#VALUE!</v>
      </c>
      <c r="DQ15" s="14" t="e">
        <f t="shared" ca="1" si="16"/>
        <v>#VALUE!</v>
      </c>
      <c r="DR15" s="14" t="e">
        <f t="shared" ca="1" si="16"/>
        <v>#VALUE!</v>
      </c>
      <c r="DS15" s="15" t="e">
        <f t="shared" ca="1" si="16"/>
        <v>#VALUE!</v>
      </c>
      <c r="DT15" s="16" t="e">
        <f t="shared" ca="1" si="16"/>
        <v>#VALUE!</v>
      </c>
      <c r="DU15" s="13" t="e">
        <f t="shared" ca="1" si="16"/>
        <v>#VALUE!</v>
      </c>
      <c r="DV15" s="14" t="e">
        <f t="shared" ca="1" si="17"/>
        <v>#VALUE!</v>
      </c>
      <c r="DW15" s="14" t="e">
        <f t="shared" ca="1" si="17"/>
        <v>#VALUE!</v>
      </c>
      <c r="DX15" s="14" t="e">
        <f t="shared" ca="1" si="17"/>
        <v>#VALUE!</v>
      </c>
      <c r="DY15" s="14" t="e">
        <f t="shared" ca="1" si="17"/>
        <v>#VALUE!</v>
      </c>
      <c r="DZ15" s="15" t="e">
        <f t="shared" ca="1" si="17"/>
        <v>#VALUE!</v>
      </c>
      <c r="EA15" s="16" t="e">
        <f t="shared" ca="1" si="17"/>
        <v>#VALUE!</v>
      </c>
      <c r="EB15" s="13" t="e">
        <f t="shared" ca="1" si="17"/>
        <v>#VALUE!</v>
      </c>
      <c r="EC15" s="14" t="e">
        <f t="shared" ca="1" si="17"/>
        <v>#VALUE!</v>
      </c>
      <c r="ED15" s="14" t="e">
        <f t="shared" ca="1" si="17"/>
        <v>#VALUE!</v>
      </c>
      <c r="EE15" s="14" t="e">
        <f t="shared" ca="1" si="17"/>
        <v>#VALUE!</v>
      </c>
      <c r="EF15" s="14" t="e">
        <f t="shared" ca="1" si="18"/>
        <v>#VALUE!</v>
      </c>
      <c r="EG15" s="15" t="e">
        <f t="shared" ca="1" si="18"/>
        <v>#VALUE!</v>
      </c>
      <c r="EH15" s="16" t="e">
        <f t="shared" ca="1" si="18"/>
        <v>#VALUE!</v>
      </c>
      <c r="EI15" s="13" t="e">
        <f t="shared" ca="1" si="18"/>
        <v>#VALUE!</v>
      </c>
      <c r="EJ15" s="14" t="e">
        <f t="shared" ca="1" si="18"/>
        <v>#VALUE!</v>
      </c>
      <c r="EK15" s="14" t="e">
        <f t="shared" ca="1" si="18"/>
        <v>#VALUE!</v>
      </c>
      <c r="EL15" s="14" t="e">
        <f t="shared" ca="1" si="18"/>
        <v>#VALUE!</v>
      </c>
      <c r="EM15" s="14" t="e">
        <f t="shared" ca="1" si="18"/>
        <v>#VALUE!</v>
      </c>
      <c r="EN15" s="15" t="e">
        <f t="shared" ca="1" si="18"/>
        <v>#VALUE!</v>
      </c>
      <c r="EO15" s="16" t="e">
        <f t="shared" ca="1" si="18"/>
        <v>#VALUE!</v>
      </c>
      <c r="EP15" s="13" t="e">
        <f t="shared" ca="1" si="19"/>
        <v>#VALUE!</v>
      </c>
      <c r="EQ15" s="14" t="e">
        <f t="shared" ca="1" si="19"/>
        <v>#VALUE!</v>
      </c>
      <c r="ER15" s="14" t="e">
        <f t="shared" ca="1" si="19"/>
        <v>#VALUE!</v>
      </c>
      <c r="ES15" s="14" t="e">
        <f t="shared" ca="1" si="19"/>
        <v>#VALUE!</v>
      </c>
      <c r="ET15" s="14" t="e">
        <f t="shared" ca="1" si="19"/>
        <v>#VALUE!</v>
      </c>
      <c r="EU15" s="15" t="e">
        <f t="shared" ca="1" si="19"/>
        <v>#VALUE!</v>
      </c>
      <c r="EV15" s="16" t="e">
        <f t="shared" ca="1" si="19"/>
        <v>#VALUE!</v>
      </c>
      <c r="EW15" s="13" t="e">
        <f t="shared" ca="1" si="19"/>
        <v>#VALUE!</v>
      </c>
      <c r="EX15" s="14" t="e">
        <f t="shared" ca="1" si="19"/>
        <v>#VALUE!</v>
      </c>
      <c r="EY15" s="14" t="e">
        <f t="shared" ca="1" si="19"/>
        <v>#VALUE!</v>
      </c>
      <c r="EZ15" s="14" t="e">
        <f t="shared" ca="1" si="19"/>
        <v>#VALUE!</v>
      </c>
      <c r="FA15" s="14" t="e">
        <f t="shared" ca="1" si="19"/>
        <v>#VALUE!</v>
      </c>
      <c r="FB15" s="15" t="e">
        <f t="shared" ca="1" si="19"/>
        <v>#VALUE!</v>
      </c>
      <c r="FC15" s="16" t="e">
        <f t="shared" ca="1" si="19"/>
        <v>#VALUE!</v>
      </c>
    </row>
    <row r="16" spans="1:159" s="17" customFormat="1" ht="9.6" customHeight="1">
      <c r="A16" s="535"/>
      <c r="B16" s="23" t="s">
        <v>47</v>
      </c>
      <c r="C16" s="19" t="e">
        <f ca="1">E15</f>
        <v>#VALUE!</v>
      </c>
      <c r="D16" s="19" t="str">
        <f ca="1">_xlfn.XLOOKUP(B7&amp;"-"&amp;"Next",'DATA BTO'!A:A,'DATA BTO'!I:I,"-",0)</f>
        <v>-</v>
      </c>
      <c r="E16" s="19" t="e">
        <f ca="1">(C16+D16)-1</f>
        <v>#VALUE!</v>
      </c>
      <c r="F16" s="13" t="e">
        <f t="shared" ca="1" si="5"/>
        <v>#VALUE!</v>
      </c>
      <c r="G16" s="14" t="e">
        <f t="shared" ca="1" si="5"/>
        <v>#VALUE!</v>
      </c>
      <c r="H16" s="14" t="e">
        <f t="shared" ca="1" si="5"/>
        <v>#VALUE!</v>
      </c>
      <c r="I16" s="14" t="e">
        <f t="shared" ca="1" si="5"/>
        <v>#VALUE!</v>
      </c>
      <c r="J16" s="14" t="e">
        <f t="shared" ca="1" si="5"/>
        <v>#VALUE!</v>
      </c>
      <c r="K16" s="15" t="e">
        <f t="shared" ca="1" si="5"/>
        <v>#VALUE!</v>
      </c>
      <c r="L16" s="16" t="e">
        <f t="shared" ca="1" si="5"/>
        <v>#VALUE!</v>
      </c>
      <c r="M16" s="13" t="e">
        <f t="shared" ca="1" si="5"/>
        <v>#VALUE!</v>
      </c>
      <c r="N16" s="14" t="e">
        <f t="shared" ca="1" si="5"/>
        <v>#VALUE!</v>
      </c>
      <c r="O16" s="14" t="e">
        <f t="shared" ca="1" si="5"/>
        <v>#VALUE!</v>
      </c>
      <c r="P16" s="14" t="e">
        <f t="shared" ca="1" si="6"/>
        <v>#VALUE!</v>
      </c>
      <c r="Q16" s="14" t="e">
        <f t="shared" ca="1" si="6"/>
        <v>#VALUE!</v>
      </c>
      <c r="R16" s="15" t="e">
        <f t="shared" ca="1" si="6"/>
        <v>#VALUE!</v>
      </c>
      <c r="S16" s="16" t="e">
        <f t="shared" ca="1" si="6"/>
        <v>#VALUE!</v>
      </c>
      <c r="T16" s="13" t="e">
        <f t="shared" ca="1" si="6"/>
        <v>#VALUE!</v>
      </c>
      <c r="U16" s="14" t="e">
        <f t="shared" ca="1" si="6"/>
        <v>#VALUE!</v>
      </c>
      <c r="V16" s="14" t="e">
        <f t="shared" ca="1" si="6"/>
        <v>#VALUE!</v>
      </c>
      <c r="W16" s="14" t="e">
        <f t="shared" ca="1" si="6"/>
        <v>#VALUE!</v>
      </c>
      <c r="X16" s="14" t="e">
        <f t="shared" ca="1" si="6"/>
        <v>#VALUE!</v>
      </c>
      <c r="Y16" s="15" t="e">
        <f t="shared" ca="1" si="6"/>
        <v>#VALUE!</v>
      </c>
      <c r="Z16" s="16" t="e">
        <f t="shared" ca="1" si="7"/>
        <v>#VALUE!</v>
      </c>
      <c r="AA16" s="13" t="e">
        <f t="shared" ca="1" si="7"/>
        <v>#VALUE!</v>
      </c>
      <c r="AB16" s="14" t="e">
        <f t="shared" ca="1" si="7"/>
        <v>#VALUE!</v>
      </c>
      <c r="AC16" s="14" t="e">
        <f t="shared" ca="1" si="7"/>
        <v>#VALUE!</v>
      </c>
      <c r="AD16" s="14" t="e">
        <f t="shared" ca="1" si="7"/>
        <v>#VALUE!</v>
      </c>
      <c r="AE16" s="14" t="e">
        <f t="shared" ca="1" si="7"/>
        <v>#VALUE!</v>
      </c>
      <c r="AF16" s="15" t="e">
        <f t="shared" ca="1" si="7"/>
        <v>#VALUE!</v>
      </c>
      <c r="AG16" s="16" t="e">
        <f t="shared" ca="1" si="7"/>
        <v>#VALUE!</v>
      </c>
      <c r="AH16" s="13" t="e">
        <f t="shared" ca="1" si="7"/>
        <v>#VALUE!</v>
      </c>
      <c r="AI16" s="14" t="e">
        <f t="shared" ca="1" si="7"/>
        <v>#VALUE!</v>
      </c>
      <c r="AJ16" s="14" t="e">
        <f t="shared" ca="1" si="8"/>
        <v>#VALUE!</v>
      </c>
      <c r="AK16" s="14" t="e">
        <f t="shared" ca="1" si="8"/>
        <v>#VALUE!</v>
      </c>
      <c r="AL16" s="14" t="e">
        <f t="shared" ca="1" si="8"/>
        <v>#VALUE!</v>
      </c>
      <c r="AM16" s="15" t="e">
        <f t="shared" ca="1" si="8"/>
        <v>#VALUE!</v>
      </c>
      <c r="AN16" s="16" t="e">
        <f t="shared" ca="1" si="8"/>
        <v>#VALUE!</v>
      </c>
      <c r="AO16" s="13" t="e">
        <f t="shared" ca="1" si="8"/>
        <v>#VALUE!</v>
      </c>
      <c r="AP16" s="14" t="e">
        <f t="shared" ca="1" si="8"/>
        <v>#VALUE!</v>
      </c>
      <c r="AQ16" s="14" t="e">
        <f t="shared" ca="1" si="8"/>
        <v>#VALUE!</v>
      </c>
      <c r="AR16" s="14" t="e">
        <f t="shared" ca="1" si="8"/>
        <v>#VALUE!</v>
      </c>
      <c r="AS16" s="14" t="e">
        <f t="shared" ca="1" si="8"/>
        <v>#VALUE!</v>
      </c>
      <c r="AT16" s="15" t="e">
        <f t="shared" ca="1" si="9"/>
        <v>#VALUE!</v>
      </c>
      <c r="AU16" s="16" t="e">
        <f t="shared" ca="1" si="9"/>
        <v>#VALUE!</v>
      </c>
      <c r="AV16" s="13" t="e">
        <f t="shared" ca="1" si="9"/>
        <v>#VALUE!</v>
      </c>
      <c r="AW16" s="14" t="e">
        <f t="shared" ca="1" si="9"/>
        <v>#VALUE!</v>
      </c>
      <c r="AX16" s="14" t="e">
        <f t="shared" ca="1" si="9"/>
        <v>#VALUE!</v>
      </c>
      <c r="AY16" s="14" t="e">
        <f t="shared" ca="1" si="9"/>
        <v>#VALUE!</v>
      </c>
      <c r="AZ16" s="14" t="e">
        <f t="shared" ca="1" si="9"/>
        <v>#VALUE!</v>
      </c>
      <c r="BA16" s="15" t="e">
        <f t="shared" ca="1" si="9"/>
        <v>#VALUE!</v>
      </c>
      <c r="BB16" s="16" t="e">
        <f t="shared" ca="1" si="9"/>
        <v>#VALUE!</v>
      </c>
      <c r="BC16" s="13" t="e">
        <f t="shared" ca="1" si="9"/>
        <v>#VALUE!</v>
      </c>
      <c r="BD16" s="14" t="e">
        <f t="shared" ca="1" si="10"/>
        <v>#VALUE!</v>
      </c>
      <c r="BE16" s="14" t="e">
        <f t="shared" ca="1" si="10"/>
        <v>#VALUE!</v>
      </c>
      <c r="BF16" s="14" t="e">
        <f t="shared" ca="1" si="10"/>
        <v>#VALUE!</v>
      </c>
      <c r="BG16" s="14" t="e">
        <f t="shared" ca="1" si="10"/>
        <v>#VALUE!</v>
      </c>
      <c r="BH16" s="15" t="e">
        <f t="shared" ca="1" si="10"/>
        <v>#VALUE!</v>
      </c>
      <c r="BI16" s="16" t="e">
        <f t="shared" ca="1" si="10"/>
        <v>#VALUE!</v>
      </c>
      <c r="BJ16" s="13" t="e">
        <f t="shared" ca="1" si="10"/>
        <v>#VALUE!</v>
      </c>
      <c r="BK16" s="14" t="e">
        <f t="shared" ca="1" si="10"/>
        <v>#VALUE!</v>
      </c>
      <c r="BL16" s="14" t="e">
        <f t="shared" ca="1" si="10"/>
        <v>#VALUE!</v>
      </c>
      <c r="BM16" s="14" t="e">
        <f t="shared" ca="1" si="10"/>
        <v>#VALUE!</v>
      </c>
      <c r="BN16" s="14" t="e">
        <f t="shared" ca="1" si="11"/>
        <v>#VALUE!</v>
      </c>
      <c r="BO16" s="15" t="e">
        <f t="shared" ca="1" si="11"/>
        <v>#VALUE!</v>
      </c>
      <c r="BP16" s="16" t="e">
        <f t="shared" ca="1" si="11"/>
        <v>#VALUE!</v>
      </c>
      <c r="BQ16" s="13" t="e">
        <f t="shared" ca="1" si="11"/>
        <v>#VALUE!</v>
      </c>
      <c r="BR16" s="14" t="e">
        <f t="shared" ca="1" si="11"/>
        <v>#VALUE!</v>
      </c>
      <c r="BS16" s="14" t="e">
        <f t="shared" ca="1" si="11"/>
        <v>#VALUE!</v>
      </c>
      <c r="BT16" s="14" t="e">
        <f t="shared" ca="1" si="11"/>
        <v>#VALUE!</v>
      </c>
      <c r="BU16" s="14" t="e">
        <f t="shared" ca="1" si="11"/>
        <v>#VALUE!</v>
      </c>
      <c r="BV16" s="15" t="e">
        <f t="shared" ca="1" si="11"/>
        <v>#VALUE!</v>
      </c>
      <c r="BW16" s="16" t="e">
        <f t="shared" ca="1" si="11"/>
        <v>#VALUE!</v>
      </c>
      <c r="BX16" s="13" t="e">
        <f t="shared" ca="1" si="12"/>
        <v>#VALUE!</v>
      </c>
      <c r="BY16" s="14" t="e">
        <f t="shared" ca="1" si="12"/>
        <v>#VALUE!</v>
      </c>
      <c r="BZ16" s="14" t="e">
        <f t="shared" ca="1" si="12"/>
        <v>#VALUE!</v>
      </c>
      <c r="CA16" s="14" t="e">
        <f t="shared" ca="1" si="12"/>
        <v>#VALUE!</v>
      </c>
      <c r="CB16" s="14" t="e">
        <f t="shared" ca="1" si="12"/>
        <v>#VALUE!</v>
      </c>
      <c r="CC16" s="15" t="e">
        <f t="shared" ca="1" si="12"/>
        <v>#VALUE!</v>
      </c>
      <c r="CD16" s="16" t="e">
        <f t="shared" ca="1" si="12"/>
        <v>#VALUE!</v>
      </c>
      <c r="CE16" s="13" t="e">
        <f t="shared" ca="1" si="12"/>
        <v>#VALUE!</v>
      </c>
      <c r="CF16" s="14" t="e">
        <f t="shared" ca="1" si="12"/>
        <v>#VALUE!</v>
      </c>
      <c r="CG16" s="14" t="e">
        <f t="shared" ca="1" si="12"/>
        <v>#VALUE!</v>
      </c>
      <c r="CH16" s="14" t="e">
        <f t="shared" ca="1" si="13"/>
        <v>#VALUE!</v>
      </c>
      <c r="CI16" s="14" t="e">
        <f t="shared" ca="1" si="13"/>
        <v>#VALUE!</v>
      </c>
      <c r="CJ16" s="15" t="e">
        <f t="shared" ca="1" si="13"/>
        <v>#VALUE!</v>
      </c>
      <c r="CK16" s="16" t="e">
        <f t="shared" ca="1" si="13"/>
        <v>#VALUE!</v>
      </c>
      <c r="CL16" s="13" t="e">
        <f t="shared" ca="1" si="13"/>
        <v>#VALUE!</v>
      </c>
      <c r="CM16" s="14" t="e">
        <f t="shared" ca="1" si="13"/>
        <v>#VALUE!</v>
      </c>
      <c r="CN16" s="14" t="e">
        <f t="shared" ca="1" si="13"/>
        <v>#VALUE!</v>
      </c>
      <c r="CO16" s="14" t="e">
        <f t="shared" ca="1" si="13"/>
        <v>#VALUE!</v>
      </c>
      <c r="CP16" s="14" t="e">
        <f t="shared" ca="1" si="13"/>
        <v>#VALUE!</v>
      </c>
      <c r="CQ16" s="15" t="e">
        <f t="shared" ca="1" si="13"/>
        <v>#VALUE!</v>
      </c>
      <c r="CR16" s="16" t="e">
        <f t="shared" ca="1" si="14"/>
        <v>#VALUE!</v>
      </c>
      <c r="CS16" s="13" t="e">
        <f t="shared" ca="1" si="14"/>
        <v>#VALUE!</v>
      </c>
      <c r="CT16" s="14" t="e">
        <f t="shared" ca="1" si="14"/>
        <v>#VALUE!</v>
      </c>
      <c r="CU16" s="14" t="e">
        <f t="shared" ca="1" si="14"/>
        <v>#VALUE!</v>
      </c>
      <c r="CV16" s="14" t="e">
        <f t="shared" ca="1" si="14"/>
        <v>#VALUE!</v>
      </c>
      <c r="CW16" s="14" t="e">
        <f t="shared" ca="1" si="14"/>
        <v>#VALUE!</v>
      </c>
      <c r="CX16" s="15" t="e">
        <f t="shared" ca="1" si="14"/>
        <v>#VALUE!</v>
      </c>
      <c r="CY16" s="16" t="e">
        <f t="shared" ca="1" si="14"/>
        <v>#VALUE!</v>
      </c>
      <c r="CZ16" s="13" t="e">
        <f t="shared" ca="1" si="14"/>
        <v>#VALUE!</v>
      </c>
      <c r="DA16" s="14" t="e">
        <f t="shared" ca="1" si="14"/>
        <v>#VALUE!</v>
      </c>
      <c r="DB16" s="14" t="e">
        <f t="shared" ca="1" si="15"/>
        <v>#VALUE!</v>
      </c>
      <c r="DC16" s="14" t="e">
        <f t="shared" ca="1" si="15"/>
        <v>#VALUE!</v>
      </c>
      <c r="DD16" s="14" t="e">
        <f t="shared" ca="1" si="15"/>
        <v>#VALUE!</v>
      </c>
      <c r="DE16" s="15" t="e">
        <f t="shared" ca="1" si="15"/>
        <v>#VALUE!</v>
      </c>
      <c r="DF16" s="16" t="e">
        <f t="shared" ca="1" si="15"/>
        <v>#VALUE!</v>
      </c>
      <c r="DG16" s="13" t="e">
        <f t="shared" ca="1" si="15"/>
        <v>#VALUE!</v>
      </c>
      <c r="DH16" s="14" t="e">
        <f t="shared" ca="1" si="15"/>
        <v>#VALUE!</v>
      </c>
      <c r="DI16" s="14" t="e">
        <f t="shared" ca="1" si="15"/>
        <v>#VALUE!</v>
      </c>
      <c r="DJ16" s="14" t="e">
        <f t="shared" ca="1" si="15"/>
        <v>#VALUE!</v>
      </c>
      <c r="DK16" s="14" t="e">
        <f t="shared" ca="1" si="15"/>
        <v>#VALUE!</v>
      </c>
      <c r="DL16" s="15" t="e">
        <f t="shared" ca="1" si="16"/>
        <v>#VALUE!</v>
      </c>
      <c r="DM16" s="16" t="e">
        <f t="shared" ca="1" si="16"/>
        <v>#VALUE!</v>
      </c>
      <c r="DN16" s="13" t="e">
        <f t="shared" ca="1" si="16"/>
        <v>#VALUE!</v>
      </c>
      <c r="DO16" s="14" t="e">
        <f t="shared" ca="1" si="16"/>
        <v>#VALUE!</v>
      </c>
      <c r="DP16" s="14" t="e">
        <f t="shared" ca="1" si="16"/>
        <v>#VALUE!</v>
      </c>
      <c r="DQ16" s="14" t="e">
        <f t="shared" ca="1" si="16"/>
        <v>#VALUE!</v>
      </c>
      <c r="DR16" s="14" t="e">
        <f t="shared" ca="1" si="16"/>
        <v>#VALUE!</v>
      </c>
      <c r="DS16" s="15" t="e">
        <f t="shared" ca="1" si="16"/>
        <v>#VALUE!</v>
      </c>
      <c r="DT16" s="16" t="e">
        <f t="shared" ca="1" si="16"/>
        <v>#VALUE!</v>
      </c>
      <c r="DU16" s="13" t="e">
        <f t="shared" ca="1" si="16"/>
        <v>#VALUE!</v>
      </c>
      <c r="DV16" s="14" t="e">
        <f t="shared" ca="1" si="17"/>
        <v>#VALUE!</v>
      </c>
      <c r="DW16" s="14" t="e">
        <f t="shared" ca="1" si="17"/>
        <v>#VALUE!</v>
      </c>
      <c r="DX16" s="14" t="e">
        <f t="shared" ca="1" si="17"/>
        <v>#VALUE!</v>
      </c>
      <c r="DY16" s="14" t="e">
        <f t="shared" ca="1" si="17"/>
        <v>#VALUE!</v>
      </c>
      <c r="DZ16" s="15" t="e">
        <f t="shared" ca="1" si="17"/>
        <v>#VALUE!</v>
      </c>
      <c r="EA16" s="16" t="e">
        <f t="shared" ca="1" si="17"/>
        <v>#VALUE!</v>
      </c>
      <c r="EB16" s="13" t="e">
        <f t="shared" ca="1" si="17"/>
        <v>#VALUE!</v>
      </c>
      <c r="EC16" s="14" t="e">
        <f t="shared" ca="1" si="17"/>
        <v>#VALUE!</v>
      </c>
      <c r="ED16" s="14" t="e">
        <f t="shared" ca="1" si="17"/>
        <v>#VALUE!</v>
      </c>
      <c r="EE16" s="14" t="e">
        <f t="shared" ca="1" si="17"/>
        <v>#VALUE!</v>
      </c>
      <c r="EF16" s="14" t="e">
        <f t="shared" ca="1" si="18"/>
        <v>#VALUE!</v>
      </c>
      <c r="EG16" s="15" t="e">
        <f t="shared" ca="1" si="18"/>
        <v>#VALUE!</v>
      </c>
      <c r="EH16" s="16" t="e">
        <f t="shared" ca="1" si="18"/>
        <v>#VALUE!</v>
      </c>
      <c r="EI16" s="13" t="e">
        <f t="shared" ca="1" si="18"/>
        <v>#VALUE!</v>
      </c>
      <c r="EJ16" s="14" t="e">
        <f t="shared" ca="1" si="18"/>
        <v>#VALUE!</v>
      </c>
      <c r="EK16" s="14" t="e">
        <f t="shared" ca="1" si="18"/>
        <v>#VALUE!</v>
      </c>
      <c r="EL16" s="14" t="e">
        <f t="shared" ca="1" si="18"/>
        <v>#VALUE!</v>
      </c>
      <c r="EM16" s="14" t="e">
        <f t="shared" ca="1" si="18"/>
        <v>#VALUE!</v>
      </c>
      <c r="EN16" s="15" t="e">
        <f t="shared" ca="1" si="18"/>
        <v>#VALUE!</v>
      </c>
      <c r="EO16" s="16" t="e">
        <f t="shared" ca="1" si="18"/>
        <v>#VALUE!</v>
      </c>
      <c r="EP16" s="13" t="e">
        <f t="shared" ca="1" si="19"/>
        <v>#VALUE!</v>
      </c>
      <c r="EQ16" s="14" t="e">
        <f t="shared" ca="1" si="19"/>
        <v>#VALUE!</v>
      </c>
      <c r="ER16" s="14" t="e">
        <f t="shared" ca="1" si="19"/>
        <v>#VALUE!</v>
      </c>
      <c r="ES16" s="14" t="e">
        <f t="shared" ca="1" si="19"/>
        <v>#VALUE!</v>
      </c>
      <c r="ET16" s="14" t="e">
        <f t="shared" ca="1" si="19"/>
        <v>#VALUE!</v>
      </c>
      <c r="EU16" s="15" t="e">
        <f t="shared" ca="1" si="19"/>
        <v>#VALUE!</v>
      </c>
      <c r="EV16" s="16" t="e">
        <f t="shared" ca="1" si="19"/>
        <v>#VALUE!</v>
      </c>
      <c r="EW16" s="13" t="e">
        <f t="shared" ca="1" si="19"/>
        <v>#VALUE!</v>
      </c>
      <c r="EX16" s="14" t="e">
        <f t="shared" ca="1" si="19"/>
        <v>#VALUE!</v>
      </c>
      <c r="EY16" s="14" t="e">
        <f t="shared" ca="1" si="19"/>
        <v>#VALUE!</v>
      </c>
      <c r="EZ16" s="14" t="e">
        <f t="shared" ca="1" si="19"/>
        <v>#VALUE!</v>
      </c>
      <c r="FA16" s="14" t="e">
        <f t="shared" ca="1" si="19"/>
        <v>#VALUE!</v>
      </c>
      <c r="FB16" s="15" t="e">
        <f t="shared" ca="1" si="19"/>
        <v>#VALUE!</v>
      </c>
      <c r="FC16" s="16" t="e">
        <f t="shared" ca="1" si="19"/>
        <v>#VALUE!</v>
      </c>
    </row>
    <row r="17" spans="1:159" s="17" customFormat="1" ht="9.6" customHeight="1">
      <c r="A17" s="535"/>
      <c r="B17" s="23" t="s">
        <v>62</v>
      </c>
      <c r="C17" s="19" t="e">
        <f t="shared" ref="C17:C25" ca="1" si="20">E16+1</f>
        <v>#VALUE!</v>
      </c>
      <c r="D17" s="19" t="str">
        <f ca="1">_xlfn.XLOOKUP(B7&amp;"-"&amp;"Next",'DATA BTO'!A:A,'DATA BTO'!K:K,"-",0)</f>
        <v>-</v>
      </c>
      <c r="E17" s="19" t="e">
        <f ca="1">(C17+D17)-1</f>
        <v>#VALUE!</v>
      </c>
      <c r="F17" s="13" t="e">
        <f t="shared" ref="F17:O24" ca="1" si="21">IF(AND(F$5&gt;=$C17,F$5&lt;=$E17),1,"")</f>
        <v>#VALUE!</v>
      </c>
      <c r="G17" s="14" t="e">
        <f t="shared" ca="1" si="21"/>
        <v>#VALUE!</v>
      </c>
      <c r="H17" s="14" t="e">
        <f t="shared" ca="1" si="21"/>
        <v>#VALUE!</v>
      </c>
      <c r="I17" s="14" t="e">
        <f t="shared" ca="1" si="21"/>
        <v>#VALUE!</v>
      </c>
      <c r="J17" s="14" t="e">
        <f t="shared" ca="1" si="21"/>
        <v>#VALUE!</v>
      </c>
      <c r="K17" s="15" t="e">
        <f t="shared" ca="1" si="21"/>
        <v>#VALUE!</v>
      </c>
      <c r="L17" s="16" t="e">
        <f t="shared" ca="1" si="21"/>
        <v>#VALUE!</v>
      </c>
      <c r="M17" s="13" t="e">
        <f t="shared" ca="1" si="21"/>
        <v>#VALUE!</v>
      </c>
      <c r="N17" s="14" t="e">
        <f t="shared" ca="1" si="21"/>
        <v>#VALUE!</v>
      </c>
      <c r="O17" s="14" t="e">
        <f t="shared" ca="1" si="21"/>
        <v>#VALUE!</v>
      </c>
      <c r="P17" s="14" t="e">
        <f t="shared" ref="P17:Y24" ca="1" si="22">IF(AND(P$5&gt;=$C17,P$5&lt;=$E17),1,"")</f>
        <v>#VALUE!</v>
      </c>
      <c r="Q17" s="14" t="e">
        <f t="shared" ca="1" si="22"/>
        <v>#VALUE!</v>
      </c>
      <c r="R17" s="15" t="e">
        <f t="shared" ca="1" si="22"/>
        <v>#VALUE!</v>
      </c>
      <c r="S17" s="16" t="e">
        <f t="shared" ca="1" si="22"/>
        <v>#VALUE!</v>
      </c>
      <c r="T17" s="13" t="e">
        <f t="shared" ca="1" si="22"/>
        <v>#VALUE!</v>
      </c>
      <c r="U17" s="14" t="e">
        <f t="shared" ca="1" si="22"/>
        <v>#VALUE!</v>
      </c>
      <c r="V17" s="14" t="e">
        <f t="shared" ca="1" si="22"/>
        <v>#VALUE!</v>
      </c>
      <c r="W17" s="14" t="e">
        <f t="shared" ca="1" si="22"/>
        <v>#VALUE!</v>
      </c>
      <c r="X17" s="14" t="e">
        <f t="shared" ca="1" si="22"/>
        <v>#VALUE!</v>
      </c>
      <c r="Y17" s="15" t="e">
        <f t="shared" ca="1" si="22"/>
        <v>#VALUE!</v>
      </c>
      <c r="Z17" s="16" t="e">
        <f t="shared" ref="Z17:AI24" ca="1" si="23">IF(AND(Z$5&gt;=$C17,Z$5&lt;=$E17),1,"")</f>
        <v>#VALUE!</v>
      </c>
      <c r="AA17" s="13" t="e">
        <f t="shared" ca="1" si="23"/>
        <v>#VALUE!</v>
      </c>
      <c r="AB17" s="14" t="e">
        <f t="shared" ca="1" si="23"/>
        <v>#VALUE!</v>
      </c>
      <c r="AC17" s="14" t="e">
        <f t="shared" ca="1" si="23"/>
        <v>#VALUE!</v>
      </c>
      <c r="AD17" s="14" t="e">
        <f t="shared" ca="1" si="23"/>
        <v>#VALUE!</v>
      </c>
      <c r="AE17" s="14" t="e">
        <f t="shared" ca="1" si="23"/>
        <v>#VALUE!</v>
      </c>
      <c r="AF17" s="15" t="e">
        <f t="shared" ca="1" si="23"/>
        <v>#VALUE!</v>
      </c>
      <c r="AG17" s="16" t="e">
        <f t="shared" ca="1" si="23"/>
        <v>#VALUE!</v>
      </c>
      <c r="AH17" s="13" t="e">
        <f t="shared" ca="1" si="23"/>
        <v>#VALUE!</v>
      </c>
      <c r="AI17" s="14" t="e">
        <f t="shared" ca="1" si="23"/>
        <v>#VALUE!</v>
      </c>
      <c r="AJ17" s="14" t="e">
        <f t="shared" ref="AJ17:AS24" ca="1" si="24">IF(AND(AJ$5&gt;=$C17,AJ$5&lt;=$E17),1,"")</f>
        <v>#VALUE!</v>
      </c>
      <c r="AK17" s="14" t="e">
        <f t="shared" ca="1" si="24"/>
        <v>#VALUE!</v>
      </c>
      <c r="AL17" s="14" t="e">
        <f t="shared" ca="1" si="24"/>
        <v>#VALUE!</v>
      </c>
      <c r="AM17" s="15" t="e">
        <f t="shared" ca="1" si="24"/>
        <v>#VALUE!</v>
      </c>
      <c r="AN17" s="16" t="e">
        <f t="shared" ca="1" si="24"/>
        <v>#VALUE!</v>
      </c>
      <c r="AO17" s="13" t="e">
        <f t="shared" ca="1" si="24"/>
        <v>#VALUE!</v>
      </c>
      <c r="AP17" s="14" t="e">
        <f t="shared" ca="1" si="24"/>
        <v>#VALUE!</v>
      </c>
      <c r="AQ17" s="14" t="e">
        <f t="shared" ca="1" si="24"/>
        <v>#VALUE!</v>
      </c>
      <c r="AR17" s="14" t="e">
        <f t="shared" ca="1" si="24"/>
        <v>#VALUE!</v>
      </c>
      <c r="AS17" s="14" t="e">
        <f t="shared" ca="1" si="24"/>
        <v>#VALUE!</v>
      </c>
      <c r="AT17" s="15" t="e">
        <f t="shared" ref="AT17:BC24" ca="1" si="25">IF(AND(AT$5&gt;=$C17,AT$5&lt;=$E17),1,"")</f>
        <v>#VALUE!</v>
      </c>
      <c r="AU17" s="16" t="e">
        <f t="shared" ca="1" si="25"/>
        <v>#VALUE!</v>
      </c>
      <c r="AV17" s="13" t="e">
        <f t="shared" ca="1" si="25"/>
        <v>#VALUE!</v>
      </c>
      <c r="AW17" s="14" t="e">
        <f t="shared" ca="1" si="25"/>
        <v>#VALUE!</v>
      </c>
      <c r="AX17" s="14" t="e">
        <f t="shared" ca="1" si="25"/>
        <v>#VALUE!</v>
      </c>
      <c r="AY17" s="14" t="e">
        <f t="shared" ca="1" si="25"/>
        <v>#VALUE!</v>
      </c>
      <c r="AZ17" s="14" t="e">
        <f t="shared" ca="1" si="25"/>
        <v>#VALUE!</v>
      </c>
      <c r="BA17" s="15" t="e">
        <f t="shared" ca="1" si="25"/>
        <v>#VALUE!</v>
      </c>
      <c r="BB17" s="16" t="e">
        <f t="shared" ca="1" si="25"/>
        <v>#VALUE!</v>
      </c>
      <c r="BC17" s="13" t="e">
        <f t="shared" ca="1" si="25"/>
        <v>#VALUE!</v>
      </c>
      <c r="BD17" s="14" t="e">
        <f t="shared" ref="BD17:BM24" ca="1" si="26">IF(AND(BD$5&gt;=$C17,BD$5&lt;=$E17),1,"")</f>
        <v>#VALUE!</v>
      </c>
      <c r="BE17" s="14" t="e">
        <f t="shared" ca="1" si="26"/>
        <v>#VALUE!</v>
      </c>
      <c r="BF17" s="14" t="e">
        <f t="shared" ca="1" si="26"/>
        <v>#VALUE!</v>
      </c>
      <c r="BG17" s="14" t="e">
        <f t="shared" ca="1" si="26"/>
        <v>#VALUE!</v>
      </c>
      <c r="BH17" s="15" t="e">
        <f t="shared" ca="1" si="26"/>
        <v>#VALUE!</v>
      </c>
      <c r="BI17" s="16" t="e">
        <f t="shared" ca="1" si="26"/>
        <v>#VALUE!</v>
      </c>
      <c r="BJ17" s="13" t="e">
        <f t="shared" ca="1" si="26"/>
        <v>#VALUE!</v>
      </c>
      <c r="BK17" s="14" t="e">
        <f t="shared" ca="1" si="26"/>
        <v>#VALUE!</v>
      </c>
      <c r="BL17" s="14" t="e">
        <f t="shared" ca="1" si="26"/>
        <v>#VALUE!</v>
      </c>
      <c r="BM17" s="14" t="e">
        <f t="shared" ca="1" si="26"/>
        <v>#VALUE!</v>
      </c>
      <c r="BN17" s="14" t="e">
        <f t="shared" ref="BN17:BW24" ca="1" si="27">IF(AND(BN$5&gt;=$C17,BN$5&lt;=$E17),1,"")</f>
        <v>#VALUE!</v>
      </c>
      <c r="BO17" s="15" t="e">
        <f t="shared" ca="1" si="27"/>
        <v>#VALUE!</v>
      </c>
      <c r="BP17" s="16" t="e">
        <f t="shared" ca="1" si="27"/>
        <v>#VALUE!</v>
      </c>
      <c r="BQ17" s="13" t="e">
        <f t="shared" ca="1" si="27"/>
        <v>#VALUE!</v>
      </c>
      <c r="BR17" s="14" t="e">
        <f t="shared" ca="1" si="27"/>
        <v>#VALUE!</v>
      </c>
      <c r="BS17" s="14" t="e">
        <f t="shared" ca="1" si="27"/>
        <v>#VALUE!</v>
      </c>
      <c r="BT17" s="14" t="e">
        <f t="shared" ca="1" si="27"/>
        <v>#VALUE!</v>
      </c>
      <c r="BU17" s="14" t="e">
        <f t="shared" ca="1" si="27"/>
        <v>#VALUE!</v>
      </c>
      <c r="BV17" s="15" t="e">
        <f t="shared" ca="1" si="27"/>
        <v>#VALUE!</v>
      </c>
      <c r="BW17" s="16" t="e">
        <f t="shared" ca="1" si="27"/>
        <v>#VALUE!</v>
      </c>
      <c r="BX17" s="13" t="e">
        <f t="shared" ref="BX17:CG24" ca="1" si="28">IF(AND(BX$5&gt;=$C17,BX$5&lt;=$E17),1,"")</f>
        <v>#VALUE!</v>
      </c>
      <c r="BY17" s="14" t="e">
        <f t="shared" ca="1" si="28"/>
        <v>#VALUE!</v>
      </c>
      <c r="BZ17" s="14" t="e">
        <f t="shared" ca="1" si="28"/>
        <v>#VALUE!</v>
      </c>
      <c r="CA17" s="14" t="e">
        <f t="shared" ca="1" si="28"/>
        <v>#VALUE!</v>
      </c>
      <c r="CB17" s="14" t="e">
        <f t="shared" ca="1" si="28"/>
        <v>#VALUE!</v>
      </c>
      <c r="CC17" s="15" t="e">
        <f t="shared" ca="1" si="28"/>
        <v>#VALUE!</v>
      </c>
      <c r="CD17" s="16" t="e">
        <f t="shared" ca="1" si="28"/>
        <v>#VALUE!</v>
      </c>
      <c r="CE17" s="13" t="e">
        <f t="shared" ca="1" si="28"/>
        <v>#VALUE!</v>
      </c>
      <c r="CF17" s="14" t="e">
        <f t="shared" ca="1" si="28"/>
        <v>#VALUE!</v>
      </c>
      <c r="CG17" s="14" t="e">
        <f t="shared" ca="1" si="28"/>
        <v>#VALUE!</v>
      </c>
      <c r="CH17" s="14" t="e">
        <f t="shared" ref="CH17:CQ24" ca="1" si="29">IF(AND(CH$5&gt;=$C17,CH$5&lt;=$E17),1,"")</f>
        <v>#VALUE!</v>
      </c>
      <c r="CI17" s="14" t="e">
        <f t="shared" ca="1" si="29"/>
        <v>#VALUE!</v>
      </c>
      <c r="CJ17" s="15" t="e">
        <f t="shared" ca="1" si="29"/>
        <v>#VALUE!</v>
      </c>
      <c r="CK17" s="16" t="e">
        <f t="shared" ca="1" si="29"/>
        <v>#VALUE!</v>
      </c>
      <c r="CL17" s="13" t="e">
        <f t="shared" ca="1" si="29"/>
        <v>#VALUE!</v>
      </c>
      <c r="CM17" s="14" t="e">
        <f t="shared" ca="1" si="29"/>
        <v>#VALUE!</v>
      </c>
      <c r="CN17" s="14" t="e">
        <f t="shared" ca="1" si="29"/>
        <v>#VALUE!</v>
      </c>
      <c r="CO17" s="14" t="e">
        <f t="shared" ca="1" si="29"/>
        <v>#VALUE!</v>
      </c>
      <c r="CP17" s="14" t="e">
        <f t="shared" ca="1" si="29"/>
        <v>#VALUE!</v>
      </c>
      <c r="CQ17" s="15" t="e">
        <f t="shared" ca="1" si="29"/>
        <v>#VALUE!</v>
      </c>
      <c r="CR17" s="16" t="e">
        <f t="shared" ref="CR17:DA24" ca="1" si="30">IF(AND(CR$5&gt;=$C17,CR$5&lt;=$E17),1,"")</f>
        <v>#VALUE!</v>
      </c>
      <c r="CS17" s="13" t="e">
        <f t="shared" ca="1" si="30"/>
        <v>#VALUE!</v>
      </c>
      <c r="CT17" s="14" t="e">
        <f t="shared" ca="1" si="30"/>
        <v>#VALUE!</v>
      </c>
      <c r="CU17" s="14" t="e">
        <f t="shared" ca="1" si="30"/>
        <v>#VALUE!</v>
      </c>
      <c r="CV17" s="14" t="e">
        <f t="shared" ca="1" si="30"/>
        <v>#VALUE!</v>
      </c>
      <c r="CW17" s="14" t="e">
        <f t="shared" ca="1" si="30"/>
        <v>#VALUE!</v>
      </c>
      <c r="CX17" s="15" t="e">
        <f t="shared" ca="1" si="30"/>
        <v>#VALUE!</v>
      </c>
      <c r="CY17" s="16" t="e">
        <f t="shared" ca="1" si="30"/>
        <v>#VALUE!</v>
      </c>
      <c r="CZ17" s="13" t="e">
        <f t="shared" ca="1" si="30"/>
        <v>#VALUE!</v>
      </c>
      <c r="DA17" s="14" t="e">
        <f t="shared" ca="1" si="30"/>
        <v>#VALUE!</v>
      </c>
      <c r="DB17" s="14" t="e">
        <f t="shared" ref="DB17:DK24" ca="1" si="31">IF(AND(DB$5&gt;=$C17,DB$5&lt;=$E17),1,"")</f>
        <v>#VALUE!</v>
      </c>
      <c r="DC17" s="14" t="e">
        <f t="shared" ca="1" si="31"/>
        <v>#VALUE!</v>
      </c>
      <c r="DD17" s="14" t="e">
        <f t="shared" ca="1" si="31"/>
        <v>#VALUE!</v>
      </c>
      <c r="DE17" s="15" t="e">
        <f t="shared" ca="1" si="31"/>
        <v>#VALUE!</v>
      </c>
      <c r="DF17" s="16" t="e">
        <f t="shared" ca="1" si="31"/>
        <v>#VALUE!</v>
      </c>
      <c r="DG17" s="13" t="e">
        <f t="shared" ca="1" si="31"/>
        <v>#VALUE!</v>
      </c>
      <c r="DH17" s="14" t="e">
        <f t="shared" ca="1" si="31"/>
        <v>#VALUE!</v>
      </c>
      <c r="DI17" s="14" t="e">
        <f t="shared" ca="1" si="31"/>
        <v>#VALUE!</v>
      </c>
      <c r="DJ17" s="14" t="e">
        <f t="shared" ca="1" si="31"/>
        <v>#VALUE!</v>
      </c>
      <c r="DK17" s="14" t="e">
        <f t="shared" ca="1" si="31"/>
        <v>#VALUE!</v>
      </c>
      <c r="DL17" s="15" t="e">
        <f t="shared" ref="DL17:DR24" ca="1" si="32">IF(AND(DL$5&gt;=$C17,DL$5&lt;=$E17),1,"")</f>
        <v>#VALUE!</v>
      </c>
      <c r="DM17" s="16" t="e">
        <f t="shared" ca="1" si="32"/>
        <v>#VALUE!</v>
      </c>
      <c r="DN17" s="13" t="e">
        <f t="shared" ca="1" si="32"/>
        <v>#VALUE!</v>
      </c>
      <c r="DO17" s="14" t="e">
        <f t="shared" ca="1" si="32"/>
        <v>#VALUE!</v>
      </c>
      <c r="DP17" s="14" t="e">
        <f t="shared" ca="1" si="32"/>
        <v>#VALUE!</v>
      </c>
      <c r="DQ17" s="14" t="e">
        <f t="shared" ca="1" si="32"/>
        <v>#VALUE!</v>
      </c>
      <c r="DR17" s="14" t="e">
        <f t="shared" ca="1" si="32"/>
        <v>#VALUE!</v>
      </c>
      <c r="DS17" s="15"/>
      <c r="DT17" s="16"/>
      <c r="DU17" s="13" t="e">
        <f t="shared" ref="DU17:EF24" ca="1" si="33">IF(AND(DU$5&gt;=$C17,DU$5&lt;=$E17),1,"")</f>
        <v>#VALUE!</v>
      </c>
      <c r="DV17" s="14" t="e">
        <f t="shared" ca="1" si="33"/>
        <v>#VALUE!</v>
      </c>
      <c r="DW17" s="14" t="e">
        <f t="shared" ca="1" si="33"/>
        <v>#VALUE!</v>
      </c>
      <c r="DX17" s="14" t="e">
        <f t="shared" ca="1" si="33"/>
        <v>#VALUE!</v>
      </c>
      <c r="DY17" s="14" t="e">
        <f t="shared" ca="1" si="33"/>
        <v>#VALUE!</v>
      </c>
      <c r="DZ17" s="15" t="e">
        <f t="shared" ca="1" si="33"/>
        <v>#VALUE!</v>
      </c>
      <c r="EA17" s="16" t="e">
        <f t="shared" ca="1" si="33"/>
        <v>#VALUE!</v>
      </c>
      <c r="EB17" s="13" t="e">
        <f t="shared" ca="1" si="33"/>
        <v>#VALUE!</v>
      </c>
      <c r="EC17" s="14" t="e">
        <f t="shared" ca="1" si="33"/>
        <v>#VALUE!</v>
      </c>
      <c r="ED17" s="14" t="e">
        <f t="shared" ca="1" si="33"/>
        <v>#VALUE!</v>
      </c>
      <c r="EE17" s="14" t="e">
        <f t="shared" ca="1" si="33"/>
        <v>#VALUE!</v>
      </c>
      <c r="EF17" s="14" t="e">
        <f t="shared" ca="1" si="33"/>
        <v>#VALUE!</v>
      </c>
      <c r="EG17" s="15"/>
      <c r="EH17" s="16"/>
      <c r="EI17" s="13" t="e">
        <f t="shared" ref="EI17:EM24" ca="1" si="34">IF(AND(EI$5&gt;=$C17,EI$5&lt;=$E17),1,"")</f>
        <v>#VALUE!</v>
      </c>
      <c r="EJ17" s="14" t="e">
        <f t="shared" ca="1" si="34"/>
        <v>#VALUE!</v>
      </c>
      <c r="EK17" s="14" t="e">
        <f t="shared" ca="1" si="34"/>
        <v>#VALUE!</v>
      </c>
      <c r="EL17" s="14" t="e">
        <f t="shared" ca="1" si="34"/>
        <v>#VALUE!</v>
      </c>
      <c r="EM17" s="14" t="e">
        <f t="shared" ca="1" si="34"/>
        <v>#VALUE!</v>
      </c>
      <c r="EN17" s="15"/>
      <c r="EO17" s="16"/>
      <c r="EP17" s="13" t="e">
        <f t="shared" ref="EP17:ET24" ca="1" si="35">IF(AND(EP$5&gt;=$C17,EP$5&lt;=$E17),1,"")</f>
        <v>#VALUE!</v>
      </c>
      <c r="EQ17" s="14" t="e">
        <f t="shared" ca="1" si="35"/>
        <v>#VALUE!</v>
      </c>
      <c r="ER17" s="14" t="e">
        <f t="shared" ca="1" si="35"/>
        <v>#VALUE!</v>
      </c>
      <c r="ES17" s="14" t="e">
        <f t="shared" ca="1" si="35"/>
        <v>#VALUE!</v>
      </c>
      <c r="ET17" s="14" t="e">
        <f t="shared" ca="1" si="35"/>
        <v>#VALUE!</v>
      </c>
      <c r="EU17" s="15"/>
      <c r="EV17" s="16"/>
      <c r="EW17" s="13" t="e">
        <f t="shared" ref="EW17:FA24" ca="1" si="36">IF(AND(EW$5&gt;=$C17,EW$5&lt;=$E17),1,"")</f>
        <v>#VALUE!</v>
      </c>
      <c r="EX17" s="14" t="e">
        <f t="shared" ca="1" si="36"/>
        <v>#VALUE!</v>
      </c>
      <c r="EY17" s="14" t="e">
        <f t="shared" ca="1" si="36"/>
        <v>#VALUE!</v>
      </c>
      <c r="EZ17" s="14" t="e">
        <f t="shared" ca="1" si="36"/>
        <v>#VALUE!</v>
      </c>
      <c r="FA17" s="14" t="e">
        <f t="shared" ca="1" si="36"/>
        <v>#VALUE!</v>
      </c>
      <c r="FB17" s="15"/>
      <c r="FC17" s="16"/>
    </row>
    <row r="18" spans="1:159" s="17" customFormat="1" ht="9.6" customHeight="1">
      <c r="A18" s="535"/>
      <c r="B18" s="26" t="s">
        <v>63</v>
      </c>
      <c r="C18" s="19" t="e">
        <f t="shared" ca="1" si="20"/>
        <v>#VALUE!</v>
      </c>
      <c r="D18" s="19" t="str">
        <f ca="1">_xlfn.XLOOKUP(B7&amp;"-"&amp;"Next",'DATA BTO'!A:A,'DATA BTO'!L:L,"-",0)</f>
        <v>-</v>
      </c>
      <c r="E18" s="19" t="e">
        <f ca="1">(C18+D18)-1</f>
        <v>#VALUE!</v>
      </c>
      <c r="F18" s="13" t="e">
        <f t="shared" ca="1" si="21"/>
        <v>#VALUE!</v>
      </c>
      <c r="G18" s="14" t="e">
        <f t="shared" ca="1" si="21"/>
        <v>#VALUE!</v>
      </c>
      <c r="H18" s="14" t="e">
        <f t="shared" ca="1" si="21"/>
        <v>#VALUE!</v>
      </c>
      <c r="I18" s="14" t="e">
        <f t="shared" ca="1" si="21"/>
        <v>#VALUE!</v>
      </c>
      <c r="J18" s="14" t="e">
        <f t="shared" ca="1" si="21"/>
        <v>#VALUE!</v>
      </c>
      <c r="K18" s="15" t="e">
        <f t="shared" ca="1" si="21"/>
        <v>#VALUE!</v>
      </c>
      <c r="L18" s="16" t="e">
        <f t="shared" ca="1" si="21"/>
        <v>#VALUE!</v>
      </c>
      <c r="M18" s="13" t="e">
        <f t="shared" ca="1" si="21"/>
        <v>#VALUE!</v>
      </c>
      <c r="N18" s="14" t="e">
        <f t="shared" ca="1" si="21"/>
        <v>#VALUE!</v>
      </c>
      <c r="O18" s="14" t="e">
        <f t="shared" ca="1" si="21"/>
        <v>#VALUE!</v>
      </c>
      <c r="P18" s="14" t="e">
        <f t="shared" ca="1" si="22"/>
        <v>#VALUE!</v>
      </c>
      <c r="Q18" s="14" t="e">
        <f t="shared" ca="1" si="22"/>
        <v>#VALUE!</v>
      </c>
      <c r="R18" s="15" t="e">
        <f t="shared" ca="1" si="22"/>
        <v>#VALUE!</v>
      </c>
      <c r="S18" s="16" t="e">
        <f t="shared" ca="1" si="22"/>
        <v>#VALUE!</v>
      </c>
      <c r="T18" s="13" t="e">
        <f t="shared" ca="1" si="22"/>
        <v>#VALUE!</v>
      </c>
      <c r="U18" s="14" t="e">
        <f t="shared" ca="1" si="22"/>
        <v>#VALUE!</v>
      </c>
      <c r="V18" s="14" t="e">
        <f t="shared" ca="1" si="22"/>
        <v>#VALUE!</v>
      </c>
      <c r="W18" s="14" t="e">
        <f t="shared" ca="1" si="22"/>
        <v>#VALUE!</v>
      </c>
      <c r="X18" s="14" t="e">
        <f t="shared" ca="1" si="22"/>
        <v>#VALUE!</v>
      </c>
      <c r="Y18" s="15" t="e">
        <f t="shared" ca="1" si="22"/>
        <v>#VALUE!</v>
      </c>
      <c r="Z18" s="16" t="e">
        <f t="shared" ca="1" si="23"/>
        <v>#VALUE!</v>
      </c>
      <c r="AA18" s="13" t="e">
        <f t="shared" ca="1" si="23"/>
        <v>#VALUE!</v>
      </c>
      <c r="AB18" s="14" t="e">
        <f t="shared" ca="1" si="23"/>
        <v>#VALUE!</v>
      </c>
      <c r="AC18" s="14" t="e">
        <f t="shared" ca="1" si="23"/>
        <v>#VALUE!</v>
      </c>
      <c r="AD18" s="14" t="e">
        <f t="shared" ca="1" si="23"/>
        <v>#VALUE!</v>
      </c>
      <c r="AE18" s="14" t="e">
        <f t="shared" ca="1" si="23"/>
        <v>#VALUE!</v>
      </c>
      <c r="AF18" s="15" t="e">
        <f t="shared" ca="1" si="23"/>
        <v>#VALUE!</v>
      </c>
      <c r="AG18" s="16" t="e">
        <f t="shared" ca="1" si="23"/>
        <v>#VALUE!</v>
      </c>
      <c r="AH18" s="13" t="e">
        <f t="shared" ca="1" si="23"/>
        <v>#VALUE!</v>
      </c>
      <c r="AI18" s="14" t="e">
        <f t="shared" ca="1" si="23"/>
        <v>#VALUE!</v>
      </c>
      <c r="AJ18" s="14" t="e">
        <f t="shared" ca="1" si="24"/>
        <v>#VALUE!</v>
      </c>
      <c r="AK18" s="14" t="e">
        <f t="shared" ca="1" si="24"/>
        <v>#VALUE!</v>
      </c>
      <c r="AL18" s="14" t="e">
        <f t="shared" ca="1" si="24"/>
        <v>#VALUE!</v>
      </c>
      <c r="AM18" s="15" t="e">
        <f t="shared" ca="1" si="24"/>
        <v>#VALUE!</v>
      </c>
      <c r="AN18" s="16" t="e">
        <f t="shared" ca="1" si="24"/>
        <v>#VALUE!</v>
      </c>
      <c r="AO18" s="13" t="e">
        <f t="shared" ca="1" si="24"/>
        <v>#VALUE!</v>
      </c>
      <c r="AP18" s="14" t="e">
        <f t="shared" ca="1" si="24"/>
        <v>#VALUE!</v>
      </c>
      <c r="AQ18" s="14" t="e">
        <f t="shared" ca="1" si="24"/>
        <v>#VALUE!</v>
      </c>
      <c r="AR18" s="14" t="e">
        <f t="shared" ca="1" si="24"/>
        <v>#VALUE!</v>
      </c>
      <c r="AS18" s="14" t="e">
        <f t="shared" ca="1" si="24"/>
        <v>#VALUE!</v>
      </c>
      <c r="AT18" s="15" t="e">
        <f t="shared" ca="1" si="25"/>
        <v>#VALUE!</v>
      </c>
      <c r="AU18" s="16" t="e">
        <f t="shared" ca="1" si="25"/>
        <v>#VALUE!</v>
      </c>
      <c r="AV18" s="13" t="e">
        <f t="shared" ca="1" si="25"/>
        <v>#VALUE!</v>
      </c>
      <c r="AW18" s="14" t="e">
        <f t="shared" ca="1" si="25"/>
        <v>#VALUE!</v>
      </c>
      <c r="AX18" s="14" t="e">
        <f t="shared" ca="1" si="25"/>
        <v>#VALUE!</v>
      </c>
      <c r="AY18" s="14" t="e">
        <f t="shared" ca="1" si="25"/>
        <v>#VALUE!</v>
      </c>
      <c r="AZ18" s="14" t="e">
        <f t="shared" ca="1" si="25"/>
        <v>#VALUE!</v>
      </c>
      <c r="BA18" s="15" t="e">
        <f t="shared" ca="1" si="25"/>
        <v>#VALUE!</v>
      </c>
      <c r="BB18" s="16" t="e">
        <f t="shared" ca="1" si="25"/>
        <v>#VALUE!</v>
      </c>
      <c r="BC18" s="13" t="e">
        <f t="shared" ca="1" si="25"/>
        <v>#VALUE!</v>
      </c>
      <c r="BD18" s="14" t="e">
        <f t="shared" ca="1" si="26"/>
        <v>#VALUE!</v>
      </c>
      <c r="BE18" s="14" t="e">
        <f t="shared" ca="1" si="26"/>
        <v>#VALUE!</v>
      </c>
      <c r="BF18" s="14" t="e">
        <f t="shared" ca="1" si="26"/>
        <v>#VALUE!</v>
      </c>
      <c r="BG18" s="14" t="e">
        <f t="shared" ca="1" si="26"/>
        <v>#VALUE!</v>
      </c>
      <c r="BH18" s="15" t="e">
        <f t="shared" ca="1" si="26"/>
        <v>#VALUE!</v>
      </c>
      <c r="BI18" s="16" t="e">
        <f t="shared" ca="1" si="26"/>
        <v>#VALUE!</v>
      </c>
      <c r="BJ18" s="13" t="e">
        <f t="shared" ca="1" si="26"/>
        <v>#VALUE!</v>
      </c>
      <c r="BK18" s="14" t="e">
        <f t="shared" ca="1" si="26"/>
        <v>#VALUE!</v>
      </c>
      <c r="BL18" s="14" t="e">
        <f t="shared" ca="1" si="26"/>
        <v>#VALUE!</v>
      </c>
      <c r="BM18" s="14" t="e">
        <f t="shared" ca="1" si="26"/>
        <v>#VALUE!</v>
      </c>
      <c r="BN18" s="14" t="e">
        <f t="shared" ca="1" si="27"/>
        <v>#VALUE!</v>
      </c>
      <c r="BO18" s="15" t="e">
        <f t="shared" ca="1" si="27"/>
        <v>#VALUE!</v>
      </c>
      <c r="BP18" s="16" t="e">
        <f t="shared" ca="1" si="27"/>
        <v>#VALUE!</v>
      </c>
      <c r="BQ18" s="13" t="e">
        <f t="shared" ca="1" si="27"/>
        <v>#VALUE!</v>
      </c>
      <c r="BR18" s="14" t="e">
        <f t="shared" ca="1" si="27"/>
        <v>#VALUE!</v>
      </c>
      <c r="BS18" s="14" t="e">
        <f t="shared" ca="1" si="27"/>
        <v>#VALUE!</v>
      </c>
      <c r="BT18" s="14" t="e">
        <f t="shared" ca="1" si="27"/>
        <v>#VALUE!</v>
      </c>
      <c r="BU18" s="14" t="e">
        <f t="shared" ca="1" si="27"/>
        <v>#VALUE!</v>
      </c>
      <c r="BV18" s="15" t="e">
        <f t="shared" ca="1" si="27"/>
        <v>#VALUE!</v>
      </c>
      <c r="BW18" s="16" t="e">
        <f t="shared" ca="1" si="27"/>
        <v>#VALUE!</v>
      </c>
      <c r="BX18" s="13" t="e">
        <f t="shared" ca="1" si="28"/>
        <v>#VALUE!</v>
      </c>
      <c r="BY18" s="14" t="e">
        <f t="shared" ca="1" si="28"/>
        <v>#VALUE!</v>
      </c>
      <c r="BZ18" s="14" t="e">
        <f t="shared" ca="1" si="28"/>
        <v>#VALUE!</v>
      </c>
      <c r="CA18" s="14" t="e">
        <f t="shared" ca="1" si="28"/>
        <v>#VALUE!</v>
      </c>
      <c r="CB18" s="14" t="e">
        <f t="shared" ca="1" si="28"/>
        <v>#VALUE!</v>
      </c>
      <c r="CC18" s="15" t="e">
        <f t="shared" ca="1" si="28"/>
        <v>#VALUE!</v>
      </c>
      <c r="CD18" s="16" t="e">
        <f t="shared" ca="1" si="28"/>
        <v>#VALUE!</v>
      </c>
      <c r="CE18" s="13" t="e">
        <f t="shared" ca="1" si="28"/>
        <v>#VALUE!</v>
      </c>
      <c r="CF18" s="14" t="e">
        <f t="shared" ca="1" si="28"/>
        <v>#VALUE!</v>
      </c>
      <c r="CG18" s="14" t="e">
        <f t="shared" ca="1" si="28"/>
        <v>#VALUE!</v>
      </c>
      <c r="CH18" s="14" t="e">
        <f t="shared" ca="1" si="29"/>
        <v>#VALUE!</v>
      </c>
      <c r="CI18" s="14" t="e">
        <f t="shared" ca="1" si="29"/>
        <v>#VALUE!</v>
      </c>
      <c r="CJ18" s="15" t="e">
        <f t="shared" ca="1" si="29"/>
        <v>#VALUE!</v>
      </c>
      <c r="CK18" s="16" t="e">
        <f t="shared" ca="1" si="29"/>
        <v>#VALUE!</v>
      </c>
      <c r="CL18" s="13" t="e">
        <f t="shared" ca="1" si="29"/>
        <v>#VALUE!</v>
      </c>
      <c r="CM18" s="14" t="e">
        <f t="shared" ca="1" si="29"/>
        <v>#VALUE!</v>
      </c>
      <c r="CN18" s="14" t="e">
        <f t="shared" ca="1" si="29"/>
        <v>#VALUE!</v>
      </c>
      <c r="CO18" s="14" t="e">
        <f t="shared" ca="1" si="29"/>
        <v>#VALUE!</v>
      </c>
      <c r="CP18" s="14" t="e">
        <f t="shared" ca="1" si="29"/>
        <v>#VALUE!</v>
      </c>
      <c r="CQ18" s="15" t="e">
        <f t="shared" ca="1" si="29"/>
        <v>#VALUE!</v>
      </c>
      <c r="CR18" s="16" t="e">
        <f t="shared" ca="1" si="30"/>
        <v>#VALUE!</v>
      </c>
      <c r="CS18" s="13" t="e">
        <f t="shared" ca="1" si="30"/>
        <v>#VALUE!</v>
      </c>
      <c r="CT18" s="14" t="e">
        <f t="shared" ca="1" si="30"/>
        <v>#VALUE!</v>
      </c>
      <c r="CU18" s="14" t="e">
        <f t="shared" ca="1" si="30"/>
        <v>#VALUE!</v>
      </c>
      <c r="CV18" s="14" t="e">
        <f t="shared" ca="1" si="30"/>
        <v>#VALUE!</v>
      </c>
      <c r="CW18" s="14" t="e">
        <f t="shared" ca="1" si="30"/>
        <v>#VALUE!</v>
      </c>
      <c r="CX18" s="15" t="e">
        <f t="shared" ca="1" si="30"/>
        <v>#VALUE!</v>
      </c>
      <c r="CY18" s="16" t="e">
        <f t="shared" ca="1" si="30"/>
        <v>#VALUE!</v>
      </c>
      <c r="CZ18" s="13" t="e">
        <f t="shared" ca="1" si="30"/>
        <v>#VALUE!</v>
      </c>
      <c r="DA18" s="14" t="e">
        <f t="shared" ca="1" si="30"/>
        <v>#VALUE!</v>
      </c>
      <c r="DB18" s="14" t="e">
        <f t="shared" ca="1" si="31"/>
        <v>#VALUE!</v>
      </c>
      <c r="DC18" s="14" t="e">
        <f t="shared" ca="1" si="31"/>
        <v>#VALUE!</v>
      </c>
      <c r="DD18" s="14" t="e">
        <f t="shared" ca="1" si="31"/>
        <v>#VALUE!</v>
      </c>
      <c r="DE18" s="15" t="e">
        <f t="shared" ca="1" si="31"/>
        <v>#VALUE!</v>
      </c>
      <c r="DF18" s="16" t="e">
        <f t="shared" ca="1" si="31"/>
        <v>#VALUE!</v>
      </c>
      <c r="DG18" s="13" t="e">
        <f t="shared" ca="1" si="31"/>
        <v>#VALUE!</v>
      </c>
      <c r="DH18" s="14" t="e">
        <f t="shared" ca="1" si="31"/>
        <v>#VALUE!</v>
      </c>
      <c r="DI18" s="14" t="e">
        <f t="shared" ca="1" si="31"/>
        <v>#VALUE!</v>
      </c>
      <c r="DJ18" s="14" t="e">
        <f t="shared" ca="1" si="31"/>
        <v>#VALUE!</v>
      </c>
      <c r="DK18" s="14" t="e">
        <f t="shared" ca="1" si="31"/>
        <v>#VALUE!</v>
      </c>
      <c r="DL18" s="15" t="e">
        <f t="shared" ca="1" si="32"/>
        <v>#VALUE!</v>
      </c>
      <c r="DM18" s="16" t="e">
        <f t="shared" ca="1" si="32"/>
        <v>#VALUE!</v>
      </c>
      <c r="DN18" s="13" t="e">
        <f t="shared" ca="1" si="32"/>
        <v>#VALUE!</v>
      </c>
      <c r="DO18" s="14" t="e">
        <f t="shared" ca="1" si="32"/>
        <v>#VALUE!</v>
      </c>
      <c r="DP18" s="14" t="e">
        <f t="shared" ca="1" si="32"/>
        <v>#VALUE!</v>
      </c>
      <c r="DQ18" s="14" t="e">
        <f t="shared" ca="1" si="32"/>
        <v>#VALUE!</v>
      </c>
      <c r="DR18" s="14" t="e">
        <f t="shared" ca="1" si="32"/>
        <v>#VALUE!</v>
      </c>
      <c r="DS18" s="15" t="e">
        <f t="shared" ref="DS18:DT24" ca="1" si="37">IF(AND(DS$5&gt;=$C18,DS$5&lt;=$E18),1,"")</f>
        <v>#VALUE!</v>
      </c>
      <c r="DT18" s="16" t="e">
        <f t="shared" ca="1" si="37"/>
        <v>#VALUE!</v>
      </c>
      <c r="DU18" s="13" t="e">
        <f t="shared" ca="1" si="33"/>
        <v>#VALUE!</v>
      </c>
      <c r="DV18" s="14" t="e">
        <f t="shared" ca="1" si="33"/>
        <v>#VALUE!</v>
      </c>
      <c r="DW18" s="14" t="e">
        <f t="shared" ca="1" si="33"/>
        <v>#VALUE!</v>
      </c>
      <c r="DX18" s="14" t="e">
        <f t="shared" ca="1" si="33"/>
        <v>#VALUE!</v>
      </c>
      <c r="DY18" s="14" t="e">
        <f t="shared" ca="1" si="33"/>
        <v>#VALUE!</v>
      </c>
      <c r="DZ18" s="15" t="e">
        <f t="shared" ca="1" si="33"/>
        <v>#VALUE!</v>
      </c>
      <c r="EA18" s="16" t="e">
        <f t="shared" ca="1" si="33"/>
        <v>#VALUE!</v>
      </c>
      <c r="EB18" s="13" t="e">
        <f t="shared" ca="1" si="33"/>
        <v>#VALUE!</v>
      </c>
      <c r="EC18" s="14" t="e">
        <f t="shared" ca="1" si="33"/>
        <v>#VALUE!</v>
      </c>
      <c r="ED18" s="14" t="e">
        <f t="shared" ca="1" si="33"/>
        <v>#VALUE!</v>
      </c>
      <c r="EE18" s="14" t="e">
        <f t="shared" ca="1" si="33"/>
        <v>#VALUE!</v>
      </c>
      <c r="EF18" s="14" t="e">
        <f t="shared" ca="1" si="33"/>
        <v>#VALUE!</v>
      </c>
      <c r="EG18" s="15" t="e">
        <f t="shared" ref="EG18:EH24" ca="1" si="38">IF(AND(EG$5&gt;=$C18,EG$5&lt;=$E18),1,"")</f>
        <v>#VALUE!</v>
      </c>
      <c r="EH18" s="16" t="e">
        <f t="shared" ca="1" si="38"/>
        <v>#VALUE!</v>
      </c>
      <c r="EI18" s="13" t="e">
        <f t="shared" ca="1" si="34"/>
        <v>#VALUE!</v>
      </c>
      <c r="EJ18" s="14" t="e">
        <f t="shared" ca="1" si="34"/>
        <v>#VALUE!</v>
      </c>
      <c r="EK18" s="14" t="e">
        <f t="shared" ca="1" si="34"/>
        <v>#VALUE!</v>
      </c>
      <c r="EL18" s="14" t="e">
        <f t="shared" ca="1" si="34"/>
        <v>#VALUE!</v>
      </c>
      <c r="EM18" s="14" t="e">
        <f t="shared" ca="1" si="34"/>
        <v>#VALUE!</v>
      </c>
      <c r="EN18" s="15" t="e">
        <f t="shared" ref="EN18:EO24" ca="1" si="39">IF(AND(EN$5&gt;=$C18,EN$5&lt;=$E18),1,"")</f>
        <v>#VALUE!</v>
      </c>
      <c r="EO18" s="16" t="e">
        <f t="shared" ca="1" si="39"/>
        <v>#VALUE!</v>
      </c>
      <c r="EP18" s="13" t="e">
        <f t="shared" ca="1" si="35"/>
        <v>#VALUE!</v>
      </c>
      <c r="EQ18" s="14" t="e">
        <f t="shared" ca="1" si="35"/>
        <v>#VALUE!</v>
      </c>
      <c r="ER18" s="14" t="e">
        <f t="shared" ca="1" si="35"/>
        <v>#VALUE!</v>
      </c>
      <c r="ES18" s="14" t="e">
        <f t="shared" ca="1" si="35"/>
        <v>#VALUE!</v>
      </c>
      <c r="ET18" s="14" t="e">
        <f t="shared" ca="1" si="35"/>
        <v>#VALUE!</v>
      </c>
      <c r="EU18" s="15" t="e">
        <f t="shared" ref="EU18:EV24" ca="1" si="40">IF(AND(EU$5&gt;=$C18,EU$5&lt;=$E18),1,"")</f>
        <v>#VALUE!</v>
      </c>
      <c r="EV18" s="16" t="e">
        <f t="shared" ca="1" si="40"/>
        <v>#VALUE!</v>
      </c>
      <c r="EW18" s="13" t="e">
        <f t="shared" ca="1" si="36"/>
        <v>#VALUE!</v>
      </c>
      <c r="EX18" s="14" t="e">
        <f t="shared" ca="1" si="36"/>
        <v>#VALUE!</v>
      </c>
      <c r="EY18" s="14" t="e">
        <f t="shared" ca="1" si="36"/>
        <v>#VALUE!</v>
      </c>
      <c r="EZ18" s="14" t="e">
        <f t="shared" ca="1" si="36"/>
        <v>#VALUE!</v>
      </c>
      <c r="FA18" s="14" t="e">
        <f t="shared" ca="1" si="36"/>
        <v>#VALUE!</v>
      </c>
      <c r="FB18" s="15" t="e">
        <f t="shared" ref="FB18:FC24" ca="1" si="41">IF(AND(FB$5&gt;=$C18,FB$5&lt;=$E18),1,"")</f>
        <v>#VALUE!</v>
      </c>
      <c r="FC18" s="16" t="e">
        <f t="shared" ca="1" si="41"/>
        <v>#VALUE!</v>
      </c>
    </row>
    <row r="19" spans="1:159" s="17" customFormat="1" ht="9.6" customHeight="1">
      <c r="A19" s="553" t="str">
        <f ca="1">_xlfn.XLOOKUP(B7&amp;"-"&amp;"Next",'DATA BTO'!A:A,'DATA BTO'!F:F,"-",0)</f>
        <v>-</v>
      </c>
      <c r="B19" s="24" t="s">
        <v>50</v>
      </c>
      <c r="C19" s="19" t="e">
        <f t="shared" ca="1" si="20"/>
        <v>#VALUE!</v>
      </c>
      <c r="D19" s="19">
        <f ca="1">_xlfn.XLOOKUP(A25,'VTT actif'!F:F,'VTT actif'!AK:AK,"-",0)</f>
        <v>2</v>
      </c>
      <c r="E19" s="19" t="e">
        <f ca="1">C19-1+D19</f>
        <v>#VALUE!</v>
      </c>
      <c r="F19" s="13" t="e">
        <f t="shared" ca="1" si="21"/>
        <v>#VALUE!</v>
      </c>
      <c r="G19" s="14" t="e">
        <f t="shared" ca="1" si="21"/>
        <v>#VALUE!</v>
      </c>
      <c r="H19" s="14" t="e">
        <f t="shared" ca="1" si="21"/>
        <v>#VALUE!</v>
      </c>
      <c r="I19" s="14" t="e">
        <f t="shared" ca="1" si="21"/>
        <v>#VALUE!</v>
      </c>
      <c r="J19" s="14" t="e">
        <f t="shared" ca="1" si="21"/>
        <v>#VALUE!</v>
      </c>
      <c r="K19" s="15" t="e">
        <f t="shared" ca="1" si="21"/>
        <v>#VALUE!</v>
      </c>
      <c r="L19" s="16" t="e">
        <f t="shared" ca="1" si="21"/>
        <v>#VALUE!</v>
      </c>
      <c r="M19" s="13" t="e">
        <f t="shared" ca="1" si="21"/>
        <v>#VALUE!</v>
      </c>
      <c r="N19" s="14" t="e">
        <f t="shared" ca="1" si="21"/>
        <v>#VALUE!</v>
      </c>
      <c r="O19" s="14" t="e">
        <f t="shared" ca="1" si="21"/>
        <v>#VALUE!</v>
      </c>
      <c r="P19" s="14" t="e">
        <f t="shared" ca="1" si="22"/>
        <v>#VALUE!</v>
      </c>
      <c r="Q19" s="14" t="e">
        <f t="shared" ca="1" si="22"/>
        <v>#VALUE!</v>
      </c>
      <c r="R19" s="15" t="e">
        <f t="shared" ca="1" si="22"/>
        <v>#VALUE!</v>
      </c>
      <c r="S19" s="16" t="e">
        <f t="shared" ca="1" si="22"/>
        <v>#VALUE!</v>
      </c>
      <c r="T19" s="13" t="e">
        <f t="shared" ca="1" si="22"/>
        <v>#VALUE!</v>
      </c>
      <c r="U19" s="14" t="e">
        <f t="shared" ca="1" si="22"/>
        <v>#VALUE!</v>
      </c>
      <c r="V19" s="14" t="e">
        <f t="shared" ca="1" si="22"/>
        <v>#VALUE!</v>
      </c>
      <c r="W19" s="14" t="e">
        <f t="shared" ca="1" si="22"/>
        <v>#VALUE!</v>
      </c>
      <c r="X19" s="14" t="e">
        <f t="shared" ca="1" si="22"/>
        <v>#VALUE!</v>
      </c>
      <c r="Y19" s="15" t="e">
        <f t="shared" ca="1" si="22"/>
        <v>#VALUE!</v>
      </c>
      <c r="Z19" s="16" t="e">
        <f t="shared" ca="1" si="23"/>
        <v>#VALUE!</v>
      </c>
      <c r="AA19" s="13" t="e">
        <f t="shared" ca="1" si="23"/>
        <v>#VALUE!</v>
      </c>
      <c r="AB19" s="14" t="e">
        <f t="shared" ca="1" si="23"/>
        <v>#VALUE!</v>
      </c>
      <c r="AC19" s="14" t="e">
        <f t="shared" ca="1" si="23"/>
        <v>#VALUE!</v>
      </c>
      <c r="AD19" s="14" t="e">
        <f t="shared" ca="1" si="23"/>
        <v>#VALUE!</v>
      </c>
      <c r="AE19" s="14" t="e">
        <f t="shared" ca="1" si="23"/>
        <v>#VALUE!</v>
      </c>
      <c r="AF19" s="15" t="e">
        <f t="shared" ca="1" si="23"/>
        <v>#VALUE!</v>
      </c>
      <c r="AG19" s="16" t="e">
        <f t="shared" ca="1" si="23"/>
        <v>#VALUE!</v>
      </c>
      <c r="AH19" s="13" t="e">
        <f t="shared" ca="1" si="23"/>
        <v>#VALUE!</v>
      </c>
      <c r="AI19" s="14" t="e">
        <f t="shared" ca="1" si="23"/>
        <v>#VALUE!</v>
      </c>
      <c r="AJ19" s="14" t="e">
        <f t="shared" ca="1" si="24"/>
        <v>#VALUE!</v>
      </c>
      <c r="AK19" s="14" t="e">
        <f t="shared" ca="1" si="24"/>
        <v>#VALUE!</v>
      </c>
      <c r="AL19" s="14" t="e">
        <f t="shared" ca="1" si="24"/>
        <v>#VALUE!</v>
      </c>
      <c r="AM19" s="15" t="e">
        <f t="shared" ca="1" si="24"/>
        <v>#VALUE!</v>
      </c>
      <c r="AN19" s="16" t="e">
        <f t="shared" ca="1" si="24"/>
        <v>#VALUE!</v>
      </c>
      <c r="AO19" s="13" t="e">
        <f t="shared" ca="1" si="24"/>
        <v>#VALUE!</v>
      </c>
      <c r="AP19" s="14" t="e">
        <f t="shared" ca="1" si="24"/>
        <v>#VALUE!</v>
      </c>
      <c r="AQ19" s="14" t="e">
        <f t="shared" ca="1" si="24"/>
        <v>#VALUE!</v>
      </c>
      <c r="AR19" s="14" t="e">
        <f t="shared" ca="1" si="24"/>
        <v>#VALUE!</v>
      </c>
      <c r="AS19" s="14" t="e">
        <f t="shared" ca="1" si="24"/>
        <v>#VALUE!</v>
      </c>
      <c r="AT19" s="15" t="e">
        <f t="shared" ca="1" si="25"/>
        <v>#VALUE!</v>
      </c>
      <c r="AU19" s="16" t="e">
        <f t="shared" ca="1" si="25"/>
        <v>#VALUE!</v>
      </c>
      <c r="AV19" s="13" t="e">
        <f t="shared" ca="1" si="25"/>
        <v>#VALUE!</v>
      </c>
      <c r="AW19" s="14" t="e">
        <f t="shared" ca="1" si="25"/>
        <v>#VALUE!</v>
      </c>
      <c r="AX19" s="14" t="e">
        <f t="shared" ca="1" si="25"/>
        <v>#VALUE!</v>
      </c>
      <c r="AY19" s="14" t="e">
        <f t="shared" ca="1" si="25"/>
        <v>#VALUE!</v>
      </c>
      <c r="AZ19" s="14" t="e">
        <f t="shared" ca="1" si="25"/>
        <v>#VALUE!</v>
      </c>
      <c r="BA19" s="15" t="e">
        <f t="shared" ca="1" si="25"/>
        <v>#VALUE!</v>
      </c>
      <c r="BB19" s="16" t="e">
        <f t="shared" ca="1" si="25"/>
        <v>#VALUE!</v>
      </c>
      <c r="BC19" s="13" t="e">
        <f t="shared" ca="1" si="25"/>
        <v>#VALUE!</v>
      </c>
      <c r="BD19" s="14" t="e">
        <f t="shared" ca="1" si="26"/>
        <v>#VALUE!</v>
      </c>
      <c r="BE19" s="14" t="e">
        <f t="shared" ca="1" si="26"/>
        <v>#VALUE!</v>
      </c>
      <c r="BF19" s="14" t="e">
        <f t="shared" ca="1" si="26"/>
        <v>#VALUE!</v>
      </c>
      <c r="BG19" s="14" t="e">
        <f t="shared" ca="1" si="26"/>
        <v>#VALUE!</v>
      </c>
      <c r="BH19" s="15" t="e">
        <f t="shared" ca="1" si="26"/>
        <v>#VALUE!</v>
      </c>
      <c r="BI19" s="16" t="e">
        <f t="shared" ca="1" si="26"/>
        <v>#VALUE!</v>
      </c>
      <c r="BJ19" s="13" t="e">
        <f t="shared" ca="1" si="26"/>
        <v>#VALUE!</v>
      </c>
      <c r="BK19" s="14" t="e">
        <f t="shared" ca="1" si="26"/>
        <v>#VALUE!</v>
      </c>
      <c r="BL19" s="14" t="e">
        <f t="shared" ca="1" si="26"/>
        <v>#VALUE!</v>
      </c>
      <c r="BM19" s="14" t="e">
        <f t="shared" ca="1" si="26"/>
        <v>#VALUE!</v>
      </c>
      <c r="BN19" s="14" t="e">
        <f t="shared" ca="1" si="27"/>
        <v>#VALUE!</v>
      </c>
      <c r="BO19" s="15" t="e">
        <f t="shared" ca="1" si="27"/>
        <v>#VALUE!</v>
      </c>
      <c r="BP19" s="16" t="e">
        <f t="shared" ca="1" si="27"/>
        <v>#VALUE!</v>
      </c>
      <c r="BQ19" s="13" t="e">
        <f t="shared" ca="1" si="27"/>
        <v>#VALUE!</v>
      </c>
      <c r="BR19" s="14" t="e">
        <f t="shared" ca="1" si="27"/>
        <v>#VALUE!</v>
      </c>
      <c r="BS19" s="14" t="e">
        <f t="shared" ca="1" si="27"/>
        <v>#VALUE!</v>
      </c>
      <c r="BT19" s="14" t="e">
        <f t="shared" ca="1" si="27"/>
        <v>#VALUE!</v>
      </c>
      <c r="BU19" s="14" t="e">
        <f t="shared" ca="1" si="27"/>
        <v>#VALUE!</v>
      </c>
      <c r="BV19" s="15" t="e">
        <f t="shared" ca="1" si="27"/>
        <v>#VALUE!</v>
      </c>
      <c r="BW19" s="16" t="e">
        <f t="shared" ca="1" si="27"/>
        <v>#VALUE!</v>
      </c>
      <c r="BX19" s="13" t="e">
        <f t="shared" ca="1" si="28"/>
        <v>#VALUE!</v>
      </c>
      <c r="BY19" s="14" t="e">
        <f t="shared" ca="1" si="28"/>
        <v>#VALUE!</v>
      </c>
      <c r="BZ19" s="14" t="e">
        <f t="shared" ca="1" si="28"/>
        <v>#VALUE!</v>
      </c>
      <c r="CA19" s="14" t="e">
        <f t="shared" ca="1" si="28"/>
        <v>#VALUE!</v>
      </c>
      <c r="CB19" s="14" t="e">
        <f t="shared" ca="1" si="28"/>
        <v>#VALUE!</v>
      </c>
      <c r="CC19" s="15" t="e">
        <f t="shared" ca="1" si="28"/>
        <v>#VALUE!</v>
      </c>
      <c r="CD19" s="16" t="e">
        <f t="shared" ca="1" si="28"/>
        <v>#VALUE!</v>
      </c>
      <c r="CE19" s="13" t="e">
        <f t="shared" ca="1" si="28"/>
        <v>#VALUE!</v>
      </c>
      <c r="CF19" s="14" t="e">
        <f t="shared" ca="1" si="28"/>
        <v>#VALUE!</v>
      </c>
      <c r="CG19" s="14" t="e">
        <f t="shared" ca="1" si="28"/>
        <v>#VALUE!</v>
      </c>
      <c r="CH19" s="14" t="e">
        <f t="shared" ca="1" si="29"/>
        <v>#VALUE!</v>
      </c>
      <c r="CI19" s="14" t="e">
        <f t="shared" ca="1" si="29"/>
        <v>#VALUE!</v>
      </c>
      <c r="CJ19" s="15" t="e">
        <f t="shared" ca="1" si="29"/>
        <v>#VALUE!</v>
      </c>
      <c r="CK19" s="16" t="e">
        <f t="shared" ca="1" si="29"/>
        <v>#VALUE!</v>
      </c>
      <c r="CL19" s="13" t="e">
        <f t="shared" ca="1" si="29"/>
        <v>#VALUE!</v>
      </c>
      <c r="CM19" s="14" t="e">
        <f t="shared" ca="1" si="29"/>
        <v>#VALUE!</v>
      </c>
      <c r="CN19" s="14" t="e">
        <f t="shared" ca="1" si="29"/>
        <v>#VALUE!</v>
      </c>
      <c r="CO19" s="14" t="e">
        <f t="shared" ca="1" si="29"/>
        <v>#VALUE!</v>
      </c>
      <c r="CP19" s="14" t="e">
        <f t="shared" ca="1" si="29"/>
        <v>#VALUE!</v>
      </c>
      <c r="CQ19" s="15" t="e">
        <f t="shared" ca="1" si="29"/>
        <v>#VALUE!</v>
      </c>
      <c r="CR19" s="16" t="e">
        <f t="shared" ca="1" si="30"/>
        <v>#VALUE!</v>
      </c>
      <c r="CS19" s="13" t="e">
        <f t="shared" ca="1" si="30"/>
        <v>#VALUE!</v>
      </c>
      <c r="CT19" s="14" t="e">
        <f t="shared" ca="1" si="30"/>
        <v>#VALUE!</v>
      </c>
      <c r="CU19" s="14" t="e">
        <f t="shared" ca="1" si="30"/>
        <v>#VALUE!</v>
      </c>
      <c r="CV19" s="14" t="e">
        <f t="shared" ca="1" si="30"/>
        <v>#VALUE!</v>
      </c>
      <c r="CW19" s="14" t="e">
        <f t="shared" ca="1" si="30"/>
        <v>#VALUE!</v>
      </c>
      <c r="CX19" s="15" t="e">
        <f t="shared" ca="1" si="30"/>
        <v>#VALUE!</v>
      </c>
      <c r="CY19" s="16" t="e">
        <f t="shared" ca="1" si="30"/>
        <v>#VALUE!</v>
      </c>
      <c r="CZ19" s="13" t="e">
        <f t="shared" ca="1" si="30"/>
        <v>#VALUE!</v>
      </c>
      <c r="DA19" s="14" t="e">
        <f t="shared" ca="1" si="30"/>
        <v>#VALUE!</v>
      </c>
      <c r="DB19" s="14" t="e">
        <f t="shared" ca="1" si="31"/>
        <v>#VALUE!</v>
      </c>
      <c r="DC19" s="14" t="e">
        <f t="shared" ca="1" si="31"/>
        <v>#VALUE!</v>
      </c>
      <c r="DD19" s="14" t="e">
        <f t="shared" ca="1" si="31"/>
        <v>#VALUE!</v>
      </c>
      <c r="DE19" s="15" t="e">
        <f t="shared" ca="1" si="31"/>
        <v>#VALUE!</v>
      </c>
      <c r="DF19" s="16" t="e">
        <f t="shared" ca="1" si="31"/>
        <v>#VALUE!</v>
      </c>
      <c r="DG19" s="13" t="e">
        <f t="shared" ca="1" si="31"/>
        <v>#VALUE!</v>
      </c>
      <c r="DH19" s="14" t="e">
        <f t="shared" ca="1" si="31"/>
        <v>#VALUE!</v>
      </c>
      <c r="DI19" s="14" t="e">
        <f t="shared" ca="1" si="31"/>
        <v>#VALUE!</v>
      </c>
      <c r="DJ19" s="14" t="e">
        <f t="shared" ca="1" si="31"/>
        <v>#VALUE!</v>
      </c>
      <c r="DK19" s="14" t="e">
        <f t="shared" ca="1" si="31"/>
        <v>#VALUE!</v>
      </c>
      <c r="DL19" s="15" t="e">
        <f t="shared" ca="1" si="32"/>
        <v>#VALUE!</v>
      </c>
      <c r="DM19" s="16" t="e">
        <f t="shared" ca="1" si="32"/>
        <v>#VALUE!</v>
      </c>
      <c r="DN19" s="13" t="e">
        <f t="shared" ca="1" si="32"/>
        <v>#VALUE!</v>
      </c>
      <c r="DO19" s="14" t="e">
        <f t="shared" ca="1" si="32"/>
        <v>#VALUE!</v>
      </c>
      <c r="DP19" s="14" t="e">
        <f t="shared" ca="1" si="32"/>
        <v>#VALUE!</v>
      </c>
      <c r="DQ19" s="14" t="e">
        <f t="shared" ca="1" si="32"/>
        <v>#VALUE!</v>
      </c>
      <c r="DR19" s="14" t="e">
        <f t="shared" ca="1" si="32"/>
        <v>#VALUE!</v>
      </c>
      <c r="DS19" s="15" t="e">
        <f t="shared" ca="1" si="37"/>
        <v>#VALUE!</v>
      </c>
      <c r="DT19" s="16" t="e">
        <f t="shared" ca="1" si="37"/>
        <v>#VALUE!</v>
      </c>
      <c r="DU19" s="13" t="e">
        <f t="shared" ca="1" si="33"/>
        <v>#VALUE!</v>
      </c>
      <c r="DV19" s="14" t="e">
        <f t="shared" ca="1" si="33"/>
        <v>#VALUE!</v>
      </c>
      <c r="DW19" s="14" t="e">
        <f t="shared" ca="1" si="33"/>
        <v>#VALUE!</v>
      </c>
      <c r="DX19" s="14" t="e">
        <f t="shared" ca="1" si="33"/>
        <v>#VALUE!</v>
      </c>
      <c r="DY19" s="14" t="e">
        <f t="shared" ca="1" si="33"/>
        <v>#VALUE!</v>
      </c>
      <c r="DZ19" s="15" t="e">
        <f t="shared" ca="1" si="33"/>
        <v>#VALUE!</v>
      </c>
      <c r="EA19" s="16" t="e">
        <f t="shared" ca="1" si="33"/>
        <v>#VALUE!</v>
      </c>
      <c r="EB19" s="13" t="e">
        <f t="shared" ca="1" si="33"/>
        <v>#VALUE!</v>
      </c>
      <c r="EC19" s="14" t="e">
        <f t="shared" ca="1" si="33"/>
        <v>#VALUE!</v>
      </c>
      <c r="ED19" s="14" t="e">
        <f t="shared" ca="1" si="33"/>
        <v>#VALUE!</v>
      </c>
      <c r="EE19" s="14" t="e">
        <f t="shared" ca="1" si="33"/>
        <v>#VALUE!</v>
      </c>
      <c r="EF19" s="14" t="e">
        <f t="shared" ca="1" si="33"/>
        <v>#VALUE!</v>
      </c>
      <c r="EG19" s="15" t="e">
        <f t="shared" ca="1" si="38"/>
        <v>#VALUE!</v>
      </c>
      <c r="EH19" s="16" t="e">
        <f t="shared" ca="1" si="38"/>
        <v>#VALUE!</v>
      </c>
      <c r="EI19" s="13" t="e">
        <f t="shared" ca="1" si="34"/>
        <v>#VALUE!</v>
      </c>
      <c r="EJ19" s="14" t="e">
        <f t="shared" ca="1" si="34"/>
        <v>#VALUE!</v>
      </c>
      <c r="EK19" s="14" t="e">
        <f t="shared" ca="1" si="34"/>
        <v>#VALUE!</v>
      </c>
      <c r="EL19" s="14" t="e">
        <f t="shared" ca="1" si="34"/>
        <v>#VALUE!</v>
      </c>
      <c r="EM19" s="14" t="e">
        <f t="shared" ca="1" si="34"/>
        <v>#VALUE!</v>
      </c>
      <c r="EN19" s="15" t="e">
        <f t="shared" ca="1" si="39"/>
        <v>#VALUE!</v>
      </c>
      <c r="EO19" s="16" t="e">
        <f t="shared" ca="1" si="39"/>
        <v>#VALUE!</v>
      </c>
      <c r="EP19" s="13" t="e">
        <f t="shared" ca="1" si="35"/>
        <v>#VALUE!</v>
      </c>
      <c r="EQ19" s="14" t="e">
        <f t="shared" ca="1" si="35"/>
        <v>#VALUE!</v>
      </c>
      <c r="ER19" s="14" t="e">
        <f t="shared" ca="1" si="35"/>
        <v>#VALUE!</v>
      </c>
      <c r="ES19" s="14" t="e">
        <f t="shared" ca="1" si="35"/>
        <v>#VALUE!</v>
      </c>
      <c r="ET19" s="14" t="e">
        <f t="shared" ca="1" si="35"/>
        <v>#VALUE!</v>
      </c>
      <c r="EU19" s="15" t="e">
        <f t="shared" ca="1" si="40"/>
        <v>#VALUE!</v>
      </c>
      <c r="EV19" s="16" t="e">
        <f t="shared" ca="1" si="40"/>
        <v>#VALUE!</v>
      </c>
      <c r="EW19" s="13" t="e">
        <f t="shared" ca="1" si="36"/>
        <v>#VALUE!</v>
      </c>
      <c r="EX19" s="14" t="e">
        <f t="shared" ca="1" si="36"/>
        <v>#VALUE!</v>
      </c>
      <c r="EY19" s="14" t="e">
        <f t="shared" ca="1" si="36"/>
        <v>#VALUE!</v>
      </c>
      <c r="EZ19" s="14" t="e">
        <f t="shared" ca="1" si="36"/>
        <v>#VALUE!</v>
      </c>
      <c r="FA19" s="14" t="e">
        <f t="shared" ca="1" si="36"/>
        <v>#VALUE!</v>
      </c>
      <c r="FB19" s="15" t="e">
        <f t="shared" ca="1" si="41"/>
        <v>#VALUE!</v>
      </c>
      <c r="FC19" s="16" t="e">
        <f t="shared" ca="1" si="41"/>
        <v>#VALUE!</v>
      </c>
    </row>
    <row r="20" spans="1:159" s="17" customFormat="1" ht="9.6" customHeight="1">
      <c r="A20" s="535"/>
      <c r="B20" s="26" t="str">
        <f>IF(COUNTIF(buffer_train[AILN],B5)&gt;0,"Buffer Train","")</f>
        <v/>
      </c>
      <c r="C20" s="19" t="e">
        <f t="shared" ca="1" si="20"/>
        <v>#VALUE!</v>
      </c>
      <c r="D20" s="21" t="str">
        <f>_xlfn.XLOOKUP(A25,'VTT actif'!F:F,'VTT actif'!AO:AO,"-",0)</f>
        <v>-</v>
      </c>
      <c r="E20" s="19" t="e">
        <f ca="1">C20-1+IF(D20="-",0,D20)</f>
        <v>#VALUE!</v>
      </c>
      <c r="F20" s="13" t="e">
        <f t="shared" ca="1" si="21"/>
        <v>#VALUE!</v>
      </c>
      <c r="G20" s="14" t="e">
        <f t="shared" ca="1" si="21"/>
        <v>#VALUE!</v>
      </c>
      <c r="H20" s="14" t="e">
        <f t="shared" ca="1" si="21"/>
        <v>#VALUE!</v>
      </c>
      <c r="I20" s="14" t="e">
        <f t="shared" ca="1" si="21"/>
        <v>#VALUE!</v>
      </c>
      <c r="J20" s="14" t="e">
        <f t="shared" ca="1" si="21"/>
        <v>#VALUE!</v>
      </c>
      <c r="K20" s="15" t="e">
        <f t="shared" ca="1" si="21"/>
        <v>#VALUE!</v>
      </c>
      <c r="L20" s="16" t="e">
        <f t="shared" ca="1" si="21"/>
        <v>#VALUE!</v>
      </c>
      <c r="M20" s="13" t="e">
        <f t="shared" ca="1" si="21"/>
        <v>#VALUE!</v>
      </c>
      <c r="N20" s="14" t="e">
        <f t="shared" ca="1" si="21"/>
        <v>#VALUE!</v>
      </c>
      <c r="O20" s="14" t="e">
        <f t="shared" ca="1" si="21"/>
        <v>#VALUE!</v>
      </c>
      <c r="P20" s="14" t="e">
        <f t="shared" ca="1" si="22"/>
        <v>#VALUE!</v>
      </c>
      <c r="Q20" s="14" t="e">
        <f t="shared" ca="1" si="22"/>
        <v>#VALUE!</v>
      </c>
      <c r="R20" s="15" t="e">
        <f t="shared" ca="1" si="22"/>
        <v>#VALUE!</v>
      </c>
      <c r="S20" s="16" t="e">
        <f t="shared" ca="1" si="22"/>
        <v>#VALUE!</v>
      </c>
      <c r="T20" s="13" t="e">
        <f t="shared" ca="1" si="22"/>
        <v>#VALUE!</v>
      </c>
      <c r="U20" s="14" t="e">
        <f t="shared" ca="1" si="22"/>
        <v>#VALUE!</v>
      </c>
      <c r="V20" s="14" t="e">
        <f t="shared" ca="1" si="22"/>
        <v>#VALUE!</v>
      </c>
      <c r="W20" s="14" t="e">
        <f t="shared" ca="1" si="22"/>
        <v>#VALUE!</v>
      </c>
      <c r="X20" s="14" t="e">
        <f t="shared" ca="1" si="22"/>
        <v>#VALUE!</v>
      </c>
      <c r="Y20" s="15" t="e">
        <f t="shared" ca="1" si="22"/>
        <v>#VALUE!</v>
      </c>
      <c r="Z20" s="16" t="e">
        <f t="shared" ca="1" si="23"/>
        <v>#VALUE!</v>
      </c>
      <c r="AA20" s="13" t="e">
        <f t="shared" ca="1" si="23"/>
        <v>#VALUE!</v>
      </c>
      <c r="AB20" s="14" t="e">
        <f t="shared" ca="1" si="23"/>
        <v>#VALUE!</v>
      </c>
      <c r="AC20" s="14" t="e">
        <f t="shared" ca="1" si="23"/>
        <v>#VALUE!</v>
      </c>
      <c r="AD20" s="14" t="e">
        <f t="shared" ca="1" si="23"/>
        <v>#VALUE!</v>
      </c>
      <c r="AE20" s="14" t="e">
        <f t="shared" ca="1" si="23"/>
        <v>#VALUE!</v>
      </c>
      <c r="AF20" s="15" t="e">
        <f t="shared" ca="1" si="23"/>
        <v>#VALUE!</v>
      </c>
      <c r="AG20" s="16" t="e">
        <f t="shared" ca="1" si="23"/>
        <v>#VALUE!</v>
      </c>
      <c r="AH20" s="13" t="e">
        <f t="shared" ca="1" si="23"/>
        <v>#VALUE!</v>
      </c>
      <c r="AI20" s="14" t="e">
        <f t="shared" ca="1" si="23"/>
        <v>#VALUE!</v>
      </c>
      <c r="AJ20" s="14" t="e">
        <f t="shared" ca="1" si="24"/>
        <v>#VALUE!</v>
      </c>
      <c r="AK20" s="14" t="e">
        <f t="shared" ca="1" si="24"/>
        <v>#VALUE!</v>
      </c>
      <c r="AL20" s="14" t="e">
        <f t="shared" ca="1" si="24"/>
        <v>#VALUE!</v>
      </c>
      <c r="AM20" s="15" t="e">
        <f t="shared" ca="1" si="24"/>
        <v>#VALUE!</v>
      </c>
      <c r="AN20" s="16" t="e">
        <f t="shared" ca="1" si="24"/>
        <v>#VALUE!</v>
      </c>
      <c r="AO20" s="13" t="e">
        <f t="shared" ca="1" si="24"/>
        <v>#VALUE!</v>
      </c>
      <c r="AP20" s="14" t="e">
        <f t="shared" ca="1" si="24"/>
        <v>#VALUE!</v>
      </c>
      <c r="AQ20" s="14" t="e">
        <f t="shared" ca="1" si="24"/>
        <v>#VALUE!</v>
      </c>
      <c r="AR20" s="14" t="e">
        <f t="shared" ca="1" si="24"/>
        <v>#VALUE!</v>
      </c>
      <c r="AS20" s="14" t="e">
        <f t="shared" ca="1" si="24"/>
        <v>#VALUE!</v>
      </c>
      <c r="AT20" s="15" t="e">
        <f t="shared" ca="1" si="25"/>
        <v>#VALUE!</v>
      </c>
      <c r="AU20" s="16" t="e">
        <f t="shared" ca="1" si="25"/>
        <v>#VALUE!</v>
      </c>
      <c r="AV20" s="13" t="e">
        <f t="shared" ca="1" si="25"/>
        <v>#VALUE!</v>
      </c>
      <c r="AW20" s="14" t="e">
        <f t="shared" ca="1" si="25"/>
        <v>#VALUE!</v>
      </c>
      <c r="AX20" s="14" t="e">
        <f t="shared" ca="1" si="25"/>
        <v>#VALUE!</v>
      </c>
      <c r="AY20" s="14" t="e">
        <f t="shared" ca="1" si="25"/>
        <v>#VALUE!</v>
      </c>
      <c r="AZ20" s="14" t="e">
        <f t="shared" ca="1" si="25"/>
        <v>#VALUE!</v>
      </c>
      <c r="BA20" s="15" t="e">
        <f t="shared" ca="1" si="25"/>
        <v>#VALUE!</v>
      </c>
      <c r="BB20" s="16" t="e">
        <f t="shared" ca="1" si="25"/>
        <v>#VALUE!</v>
      </c>
      <c r="BC20" s="13" t="e">
        <f t="shared" ca="1" si="25"/>
        <v>#VALUE!</v>
      </c>
      <c r="BD20" s="14" t="e">
        <f t="shared" ca="1" si="26"/>
        <v>#VALUE!</v>
      </c>
      <c r="BE20" s="14" t="e">
        <f t="shared" ca="1" si="26"/>
        <v>#VALUE!</v>
      </c>
      <c r="BF20" s="14" t="e">
        <f t="shared" ca="1" si="26"/>
        <v>#VALUE!</v>
      </c>
      <c r="BG20" s="14" t="e">
        <f t="shared" ca="1" si="26"/>
        <v>#VALUE!</v>
      </c>
      <c r="BH20" s="15" t="e">
        <f t="shared" ca="1" si="26"/>
        <v>#VALUE!</v>
      </c>
      <c r="BI20" s="16" t="e">
        <f t="shared" ca="1" si="26"/>
        <v>#VALUE!</v>
      </c>
      <c r="BJ20" s="13" t="e">
        <f t="shared" ca="1" si="26"/>
        <v>#VALUE!</v>
      </c>
      <c r="BK20" s="14" t="e">
        <f t="shared" ca="1" si="26"/>
        <v>#VALUE!</v>
      </c>
      <c r="BL20" s="14" t="e">
        <f t="shared" ca="1" si="26"/>
        <v>#VALUE!</v>
      </c>
      <c r="BM20" s="14" t="e">
        <f t="shared" ca="1" si="26"/>
        <v>#VALUE!</v>
      </c>
      <c r="BN20" s="14" t="e">
        <f t="shared" ca="1" si="27"/>
        <v>#VALUE!</v>
      </c>
      <c r="BO20" s="15" t="e">
        <f t="shared" ca="1" si="27"/>
        <v>#VALUE!</v>
      </c>
      <c r="BP20" s="16" t="e">
        <f t="shared" ca="1" si="27"/>
        <v>#VALUE!</v>
      </c>
      <c r="BQ20" s="13" t="e">
        <f t="shared" ca="1" si="27"/>
        <v>#VALUE!</v>
      </c>
      <c r="BR20" s="14" t="e">
        <f t="shared" ca="1" si="27"/>
        <v>#VALUE!</v>
      </c>
      <c r="BS20" s="14" t="e">
        <f t="shared" ca="1" si="27"/>
        <v>#VALUE!</v>
      </c>
      <c r="BT20" s="14" t="e">
        <f t="shared" ca="1" si="27"/>
        <v>#VALUE!</v>
      </c>
      <c r="BU20" s="14" t="e">
        <f t="shared" ca="1" si="27"/>
        <v>#VALUE!</v>
      </c>
      <c r="BV20" s="15" t="e">
        <f t="shared" ca="1" si="27"/>
        <v>#VALUE!</v>
      </c>
      <c r="BW20" s="16" t="e">
        <f t="shared" ca="1" si="27"/>
        <v>#VALUE!</v>
      </c>
      <c r="BX20" s="13" t="e">
        <f t="shared" ca="1" si="28"/>
        <v>#VALUE!</v>
      </c>
      <c r="BY20" s="14" t="e">
        <f t="shared" ca="1" si="28"/>
        <v>#VALUE!</v>
      </c>
      <c r="BZ20" s="14" t="e">
        <f t="shared" ca="1" si="28"/>
        <v>#VALUE!</v>
      </c>
      <c r="CA20" s="14" t="e">
        <f t="shared" ca="1" si="28"/>
        <v>#VALUE!</v>
      </c>
      <c r="CB20" s="14" t="e">
        <f t="shared" ca="1" si="28"/>
        <v>#VALUE!</v>
      </c>
      <c r="CC20" s="15" t="e">
        <f t="shared" ca="1" si="28"/>
        <v>#VALUE!</v>
      </c>
      <c r="CD20" s="16" t="e">
        <f t="shared" ca="1" si="28"/>
        <v>#VALUE!</v>
      </c>
      <c r="CE20" s="13" t="e">
        <f t="shared" ca="1" si="28"/>
        <v>#VALUE!</v>
      </c>
      <c r="CF20" s="14" t="e">
        <f t="shared" ca="1" si="28"/>
        <v>#VALUE!</v>
      </c>
      <c r="CG20" s="14" t="e">
        <f t="shared" ca="1" si="28"/>
        <v>#VALUE!</v>
      </c>
      <c r="CH20" s="14" t="e">
        <f t="shared" ca="1" si="29"/>
        <v>#VALUE!</v>
      </c>
      <c r="CI20" s="14" t="e">
        <f t="shared" ca="1" si="29"/>
        <v>#VALUE!</v>
      </c>
      <c r="CJ20" s="15" t="e">
        <f t="shared" ca="1" si="29"/>
        <v>#VALUE!</v>
      </c>
      <c r="CK20" s="16" t="e">
        <f t="shared" ca="1" si="29"/>
        <v>#VALUE!</v>
      </c>
      <c r="CL20" s="13" t="e">
        <f t="shared" ca="1" si="29"/>
        <v>#VALUE!</v>
      </c>
      <c r="CM20" s="14" t="e">
        <f t="shared" ca="1" si="29"/>
        <v>#VALUE!</v>
      </c>
      <c r="CN20" s="14" t="e">
        <f t="shared" ca="1" si="29"/>
        <v>#VALUE!</v>
      </c>
      <c r="CO20" s="14" t="e">
        <f t="shared" ca="1" si="29"/>
        <v>#VALUE!</v>
      </c>
      <c r="CP20" s="14" t="e">
        <f t="shared" ca="1" si="29"/>
        <v>#VALUE!</v>
      </c>
      <c r="CQ20" s="15" t="e">
        <f t="shared" ca="1" si="29"/>
        <v>#VALUE!</v>
      </c>
      <c r="CR20" s="16" t="e">
        <f t="shared" ca="1" si="30"/>
        <v>#VALUE!</v>
      </c>
      <c r="CS20" s="13" t="e">
        <f t="shared" ca="1" si="30"/>
        <v>#VALUE!</v>
      </c>
      <c r="CT20" s="14" t="e">
        <f t="shared" ca="1" si="30"/>
        <v>#VALUE!</v>
      </c>
      <c r="CU20" s="14" t="e">
        <f t="shared" ca="1" si="30"/>
        <v>#VALUE!</v>
      </c>
      <c r="CV20" s="14" t="e">
        <f t="shared" ca="1" si="30"/>
        <v>#VALUE!</v>
      </c>
      <c r="CW20" s="14" t="e">
        <f t="shared" ca="1" si="30"/>
        <v>#VALUE!</v>
      </c>
      <c r="CX20" s="15" t="e">
        <f t="shared" ca="1" si="30"/>
        <v>#VALUE!</v>
      </c>
      <c r="CY20" s="16" t="e">
        <f t="shared" ca="1" si="30"/>
        <v>#VALUE!</v>
      </c>
      <c r="CZ20" s="13" t="e">
        <f t="shared" ca="1" si="30"/>
        <v>#VALUE!</v>
      </c>
      <c r="DA20" s="14" t="e">
        <f t="shared" ca="1" si="30"/>
        <v>#VALUE!</v>
      </c>
      <c r="DB20" s="14" t="e">
        <f t="shared" ca="1" si="31"/>
        <v>#VALUE!</v>
      </c>
      <c r="DC20" s="14" t="e">
        <f t="shared" ca="1" si="31"/>
        <v>#VALUE!</v>
      </c>
      <c r="DD20" s="14" t="e">
        <f t="shared" ca="1" si="31"/>
        <v>#VALUE!</v>
      </c>
      <c r="DE20" s="15" t="e">
        <f t="shared" ca="1" si="31"/>
        <v>#VALUE!</v>
      </c>
      <c r="DF20" s="16" t="e">
        <f t="shared" ca="1" si="31"/>
        <v>#VALUE!</v>
      </c>
      <c r="DG20" s="13" t="e">
        <f t="shared" ca="1" si="31"/>
        <v>#VALUE!</v>
      </c>
      <c r="DH20" s="14" t="e">
        <f t="shared" ca="1" si="31"/>
        <v>#VALUE!</v>
      </c>
      <c r="DI20" s="14" t="e">
        <f t="shared" ca="1" si="31"/>
        <v>#VALUE!</v>
      </c>
      <c r="DJ20" s="14" t="e">
        <f t="shared" ca="1" si="31"/>
        <v>#VALUE!</v>
      </c>
      <c r="DK20" s="14" t="e">
        <f t="shared" ca="1" si="31"/>
        <v>#VALUE!</v>
      </c>
      <c r="DL20" s="15" t="e">
        <f t="shared" ca="1" si="32"/>
        <v>#VALUE!</v>
      </c>
      <c r="DM20" s="16" t="e">
        <f t="shared" ca="1" si="32"/>
        <v>#VALUE!</v>
      </c>
      <c r="DN20" s="13" t="e">
        <f t="shared" ca="1" si="32"/>
        <v>#VALUE!</v>
      </c>
      <c r="DO20" s="14" t="e">
        <f t="shared" ca="1" si="32"/>
        <v>#VALUE!</v>
      </c>
      <c r="DP20" s="14" t="e">
        <f t="shared" ca="1" si="32"/>
        <v>#VALUE!</v>
      </c>
      <c r="DQ20" s="14" t="e">
        <f t="shared" ca="1" si="32"/>
        <v>#VALUE!</v>
      </c>
      <c r="DR20" s="14" t="e">
        <f t="shared" ca="1" si="32"/>
        <v>#VALUE!</v>
      </c>
      <c r="DS20" s="15" t="e">
        <f t="shared" ca="1" si="37"/>
        <v>#VALUE!</v>
      </c>
      <c r="DT20" s="16" t="e">
        <f t="shared" ca="1" si="37"/>
        <v>#VALUE!</v>
      </c>
      <c r="DU20" s="13" t="e">
        <f t="shared" ca="1" si="33"/>
        <v>#VALUE!</v>
      </c>
      <c r="DV20" s="14" t="e">
        <f t="shared" ca="1" si="33"/>
        <v>#VALUE!</v>
      </c>
      <c r="DW20" s="14" t="e">
        <f t="shared" ca="1" si="33"/>
        <v>#VALUE!</v>
      </c>
      <c r="DX20" s="14" t="e">
        <f t="shared" ca="1" si="33"/>
        <v>#VALUE!</v>
      </c>
      <c r="DY20" s="14" t="e">
        <f t="shared" ca="1" si="33"/>
        <v>#VALUE!</v>
      </c>
      <c r="DZ20" s="15" t="e">
        <f t="shared" ca="1" si="33"/>
        <v>#VALUE!</v>
      </c>
      <c r="EA20" s="16" t="e">
        <f t="shared" ca="1" si="33"/>
        <v>#VALUE!</v>
      </c>
      <c r="EB20" s="13" t="e">
        <f t="shared" ca="1" si="33"/>
        <v>#VALUE!</v>
      </c>
      <c r="EC20" s="14" t="e">
        <f t="shared" ca="1" si="33"/>
        <v>#VALUE!</v>
      </c>
      <c r="ED20" s="14" t="e">
        <f t="shared" ca="1" si="33"/>
        <v>#VALUE!</v>
      </c>
      <c r="EE20" s="14" t="e">
        <f t="shared" ca="1" si="33"/>
        <v>#VALUE!</v>
      </c>
      <c r="EF20" s="14" t="e">
        <f t="shared" ca="1" si="33"/>
        <v>#VALUE!</v>
      </c>
      <c r="EG20" s="15" t="e">
        <f t="shared" ca="1" si="38"/>
        <v>#VALUE!</v>
      </c>
      <c r="EH20" s="16" t="e">
        <f t="shared" ca="1" si="38"/>
        <v>#VALUE!</v>
      </c>
      <c r="EI20" s="13" t="e">
        <f t="shared" ca="1" si="34"/>
        <v>#VALUE!</v>
      </c>
      <c r="EJ20" s="14" t="e">
        <f t="shared" ca="1" si="34"/>
        <v>#VALUE!</v>
      </c>
      <c r="EK20" s="14" t="e">
        <f t="shared" ca="1" si="34"/>
        <v>#VALUE!</v>
      </c>
      <c r="EL20" s="14" t="e">
        <f t="shared" ca="1" si="34"/>
        <v>#VALUE!</v>
      </c>
      <c r="EM20" s="14" t="e">
        <f t="shared" ca="1" si="34"/>
        <v>#VALUE!</v>
      </c>
      <c r="EN20" s="15" t="e">
        <f t="shared" ca="1" si="39"/>
        <v>#VALUE!</v>
      </c>
      <c r="EO20" s="16" t="e">
        <f t="shared" ca="1" si="39"/>
        <v>#VALUE!</v>
      </c>
      <c r="EP20" s="13" t="e">
        <f t="shared" ca="1" si="35"/>
        <v>#VALUE!</v>
      </c>
      <c r="EQ20" s="14" t="e">
        <f t="shared" ca="1" si="35"/>
        <v>#VALUE!</v>
      </c>
      <c r="ER20" s="14" t="e">
        <f t="shared" ca="1" si="35"/>
        <v>#VALUE!</v>
      </c>
      <c r="ES20" s="14" t="e">
        <f t="shared" ca="1" si="35"/>
        <v>#VALUE!</v>
      </c>
      <c r="ET20" s="14" t="e">
        <f t="shared" ca="1" si="35"/>
        <v>#VALUE!</v>
      </c>
      <c r="EU20" s="15" t="e">
        <f t="shared" ca="1" si="40"/>
        <v>#VALUE!</v>
      </c>
      <c r="EV20" s="16" t="e">
        <f t="shared" ca="1" si="40"/>
        <v>#VALUE!</v>
      </c>
      <c r="EW20" s="13" t="e">
        <f t="shared" ca="1" si="36"/>
        <v>#VALUE!</v>
      </c>
      <c r="EX20" s="14" t="e">
        <f t="shared" ca="1" si="36"/>
        <v>#VALUE!</v>
      </c>
      <c r="EY20" s="14" t="e">
        <f t="shared" ca="1" si="36"/>
        <v>#VALUE!</v>
      </c>
      <c r="EZ20" s="14" t="e">
        <f t="shared" ca="1" si="36"/>
        <v>#VALUE!</v>
      </c>
      <c r="FA20" s="14" t="e">
        <f t="shared" ca="1" si="36"/>
        <v>#VALUE!</v>
      </c>
      <c r="FB20" s="15" t="e">
        <f t="shared" ca="1" si="41"/>
        <v>#VALUE!</v>
      </c>
      <c r="FC20" s="16" t="e">
        <f t="shared" ca="1" si="41"/>
        <v>#VALUE!</v>
      </c>
    </row>
    <row r="21" spans="1:159" s="17" customFormat="1" ht="9.6" customHeight="1">
      <c r="A21" s="90" t="str">
        <f>_xlfn.CONCAT(B3,"-","Actif")</f>
        <v>KWE Shanghai-Actif</v>
      </c>
      <c r="B21" s="24" t="str">
        <f>IF(B5=0,"","Transport to PFI")</f>
        <v/>
      </c>
      <c r="C21" s="19" t="e">
        <f t="shared" ca="1" si="20"/>
        <v>#VALUE!</v>
      </c>
      <c r="D21" s="19">
        <f ca="1">_xlfn.XLOOKUP(A25,'VTT actif'!F:F,'VTT actif'!AP:AP,"0",0)</f>
        <v>0</v>
      </c>
      <c r="E21" s="19" t="e">
        <f ca="1">C21-1+IF(D21="-",0,D21)</f>
        <v>#VALUE!</v>
      </c>
      <c r="F21" s="13" t="e">
        <f t="shared" ca="1" si="21"/>
        <v>#VALUE!</v>
      </c>
      <c r="G21" s="14" t="e">
        <f t="shared" ca="1" si="21"/>
        <v>#VALUE!</v>
      </c>
      <c r="H21" s="14" t="e">
        <f t="shared" ca="1" si="21"/>
        <v>#VALUE!</v>
      </c>
      <c r="I21" s="14" t="e">
        <f t="shared" ca="1" si="21"/>
        <v>#VALUE!</v>
      </c>
      <c r="J21" s="14" t="e">
        <f t="shared" ca="1" si="21"/>
        <v>#VALUE!</v>
      </c>
      <c r="K21" s="15" t="e">
        <f t="shared" ca="1" si="21"/>
        <v>#VALUE!</v>
      </c>
      <c r="L21" s="16" t="e">
        <f t="shared" ca="1" si="21"/>
        <v>#VALUE!</v>
      </c>
      <c r="M21" s="13" t="e">
        <f t="shared" ca="1" si="21"/>
        <v>#VALUE!</v>
      </c>
      <c r="N21" s="14" t="e">
        <f t="shared" ca="1" si="21"/>
        <v>#VALUE!</v>
      </c>
      <c r="O21" s="14" t="e">
        <f t="shared" ca="1" si="21"/>
        <v>#VALUE!</v>
      </c>
      <c r="P21" s="14" t="e">
        <f t="shared" ca="1" si="22"/>
        <v>#VALUE!</v>
      </c>
      <c r="Q21" s="14" t="e">
        <f t="shared" ca="1" si="22"/>
        <v>#VALUE!</v>
      </c>
      <c r="R21" s="15" t="e">
        <f t="shared" ca="1" si="22"/>
        <v>#VALUE!</v>
      </c>
      <c r="S21" s="16" t="e">
        <f t="shared" ca="1" si="22"/>
        <v>#VALUE!</v>
      </c>
      <c r="T21" s="13" t="e">
        <f t="shared" ca="1" si="22"/>
        <v>#VALUE!</v>
      </c>
      <c r="U21" s="14" t="e">
        <f t="shared" ca="1" si="22"/>
        <v>#VALUE!</v>
      </c>
      <c r="V21" s="14" t="e">
        <f t="shared" ca="1" si="22"/>
        <v>#VALUE!</v>
      </c>
      <c r="W21" s="14" t="e">
        <f t="shared" ca="1" si="22"/>
        <v>#VALUE!</v>
      </c>
      <c r="X21" s="14" t="e">
        <f t="shared" ca="1" si="22"/>
        <v>#VALUE!</v>
      </c>
      <c r="Y21" s="15" t="e">
        <f t="shared" ca="1" si="22"/>
        <v>#VALUE!</v>
      </c>
      <c r="Z21" s="16" t="e">
        <f t="shared" ca="1" si="23"/>
        <v>#VALUE!</v>
      </c>
      <c r="AA21" s="13" t="e">
        <f t="shared" ca="1" si="23"/>
        <v>#VALUE!</v>
      </c>
      <c r="AB21" s="14" t="e">
        <f t="shared" ca="1" si="23"/>
        <v>#VALUE!</v>
      </c>
      <c r="AC21" s="14" t="e">
        <f t="shared" ca="1" si="23"/>
        <v>#VALUE!</v>
      </c>
      <c r="AD21" s="14" t="e">
        <f t="shared" ca="1" si="23"/>
        <v>#VALUE!</v>
      </c>
      <c r="AE21" s="14" t="e">
        <f t="shared" ca="1" si="23"/>
        <v>#VALUE!</v>
      </c>
      <c r="AF21" s="15" t="e">
        <f t="shared" ca="1" si="23"/>
        <v>#VALUE!</v>
      </c>
      <c r="AG21" s="16" t="e">
        <f t="shared" ca="1" si="23"/>
        <v>#VALUE!</v>
      </c>
      <c r="AH21" s="13" t="e">
        <f t="shared" ca="1" si="23"/>
        <v>#VALUE!</v>
      </c>
      <c r="AI21" s="14" t="e">
        <f t="shared" ca="1" si="23"/>
        <v>#VALUE!</v>
      </c>
      <c r="AJ21" s="14" t="e">
        <f t="shared" ca="1" si="24"/>
        <v>#VALUE!</v>
      </c>
      <c r="AK21" s="14" t="e">
        <f t="shared" ca="1" si="24"/>
        <v>#VALUE!</v>
      </c>
      <c r="AL21" s="14" t="e">
        <f t="shared" ca="1" si="24"/>
        <v>#VALUE!</v>
      </c>
      <c r="AM21" s="15" t="e">
        <f t="shared" ca="1" si="24"/>
        <v>#VALUE!</v>
      </c>
      <c r="AN21" s="16" t="e">
        <f t="shared" ca="1" si="24"/>
        <v>#VALUE!</v>
      </c>
      <c r="AO21" s="13" t="e">
        <f t="shared" ca="1" si="24"/>
        <v>#VALUE!</v>
      </c>
      <c r="AP21" s="14" t="e">
        <f t="shared" ca="1" si="24"/>
        <v>#VALUE!</v>
      </c>
      <c r="AQ21" s="14" t="e">
        <f t="shared" ca="1" si="24"/>
        <v>#VALUE!</v>
      </c>
      <c r="AR21" s="14" t="e">
        <f t="shared" ca="1" si="24"/>
        <v>#VALUE!</v>
      </c>
      <c r="AS21" s="14" t="e">
        <f t="shared" ca="1" si="24"/>
        <v>#VALUE!</v>
      </c>
      <c r="AT21" s="15" t="e">
        <f t="shared" ca="1" si="25"/>
        <v>#VALUE!</v>
      </c>
      <c r="AU21" s="16" t="e">
        <f t="shared" ca="1" si="25"/>
        <v>#VALUE!</v>
      </c>
      <c r="AV21" s="13" t="e">
        <f t="shared" ca="1" si="25"/>
        <v>#VALUE!</v>
      </c>
      <c r="AW21" s="14" t="e">
        <f t="shared" ca="1" si="25"/>
        <v>#VALUE!</v>
      </c>
      <c r="AX21" s="14" t="e">
        <f t="shared" ca="1" si="25"/>
        <v>#VALUE!</v>
      </c>
      <c r="AY21" s="14" t="e">
        <f t="shared" ca="1" si="25"/>
        <v>#VALUE!</v>
      </c>
      <c r="AZ21" s="14" t="e">
        <f t="shared" ca="1" si="25"/>
        <v>#VALUE!</v>
      </c>
      <c r="BA21" s="15" t="e">
        <f t="shared" ca="1" si="25"/>
        <v>#VALUE!</v>
      </c>
      <c r="BB21" s="16" t="e">
        <f t="shared" ca="1" si="25"/>
        <v>#VALUE!</v>
      </c>
      <c r="BC21" s="13" t="e">
        <f t="shared" ca="1" si="25"/>
        <v>#VALUE!</v>
      </c>
      <c r="BD21" s="14" t="e">
        <f t="shared" ca="1" si="26"/>
        <v>#VALUE!</v>
      </c>
      <c r="BE21" s="14" t="e">
        <f t="shared" ca="1" si="26"/>
        <v>#VALUE!</v>
      </c>
      <c r="BF21" s="14" t="e">
        <f t="shared" ca="1" si="26"/>
        <v>#VALUE!</v>
      </c>
      <c r="BG21" s="14" t="e">
        <f t="shared" ca="1" si="26"/>
        <v>#VALUE!</v>
      </c>
      <c r="BH21" s="15" t="e">
        <f t="shared" ca="1" si="26"/>
        <v>#VALUE!</v>
      </c>
      <c r="BI21" s="16" t="e">
        <f t="shared" ca="1" si="26"/>
        <v>#VALUE!</v>
      </c>
      <c r="BJ21" s="13" t="e">
        <f t="shared" ca="1" si="26"/>
        <v>#VALUE!</v>
      </c>
      <c r="BK21" s="14" t="e">
        <f t="shared" ca="1" si="26"/>
        <v>#VALUE!</v>
      </c>
      <c r="BL21" s="14" t="e">
        <f t="shared" ca="1" si="26"/>
        <v>#VALUE!</v>
      </c>
      <c r="BM21" s="14" t="e">
        <f t="shared" ca="1" si="26"/>
        <v>#VALUE!</v>
      </c>
      <c r="BN21" s="14" t="e">
        <f t="shared" ca="1" si="27"/>
        <v>#VALUE!</v>
      </c>
      <c r="BO21" s="15" t="e">
        <f t="shared" ca="1" si="27"/>
        <v>#VALUE!</v>
      </c>
      <c r="BP21" s="16" t="e">
        <f t="shared" ca="1" si="27"/>
        <v>#VALUE!</v>
      </c>
      <c r="BQ21" s="13" t="e">
        <f t="shared" ca="1" si="27"/>
        <v>#VALUE!</v>
      </c>
      <c r="BR21" s="14" t="e">
        <f t="shared" ca="1" si="27"/>
        <v>#VALUE!</v>
      </c>
      <c r="BS21" s="14" t="e">
        <f t="shared" ca="1" si="27"/>
        <v>#VALUE!</v>
      </c>
      <c r="BT21" s="14" t="e">
        <f t="shared" ca="1" si="27"/>
        <v>#VALUE!</v>
      </c>
      <c r="BU21" s="14" t="e">
        <f t="shared" ca="1" si="27"/>
        <v>#VALUE!</v>
      </c>
      <c r="BV21" s="15" t="e">
        <f t="shared" ca="1" si="27"/>
        <v>#VALUE!</v>
      </c>
      <c r="BW21" s="16" t="e">
        <f t="shared" ca="1" si="27"/>
        <v>#VALUE!</v>
      </c>
      <c r="BX21" s="13" t="e">
        <f t="shared" ca="1" si="28"/>
        <v>#VALUE!</v>
      </c>
      <c r="BY21" s="14" t="e">
        <f t="shared" ca="1" si="28"/>
        <v>#VALUE!</v>
      </c>
      <c r="BZ21" s="14" t="e">
        <f t="shared" ca="1" si="28"/>
        <v>#VALUE!</v>
      </c>
      <c r="CA21" s="14" t="e">
        <f t="shared" ca="1" si="28"/>
        <v>#VALUE!</v>
      </c>
      <c r="CB21" s="14" t="e">
        <f t="shared" ca="1" si="28"/>
        <v>#VALUE!</v>
      </c>
      <c r="CC21" s="15" t="e">
        <f t="shared" ca="1" si="28"/>
        <v>#VALUE!</v>
      </c>
      <c r="CD21" s="16" t="e">
        <f t="shared" ca="1" si="28"/>
        <v>#VALUE!</v>
      </c>
      <c r="CE21" s="13" t="e">
        <f t="shared" ca="1" si="28"/>
        <v>#VALUE!</v>
      </c>
      <c r="CF21" s="14" t="e">
        <f t="shared" ca="1" si="28"/>
        <v>#VALUE!</v>
      </c>
      <c r="CG21" s="14" t="e">
        <f t="shared" ca="1" si="28"/>
        <v>#VALUE!</v>
      </c>
      <c r="CH21" s="14" t="e">
        <f t="shared" ca="1" si="29"/>
        <v>#VALUE!</v>
      </c>
      <c r="CI21" s="14" t="e">
        <f t="shared" ca="1" si="29"/>
        <v>#VALUE!</v>
      </c>
      <c r="CJ21" s="15" t="e">
        <f t="shared" ca="1" si="29"/>
        <v>#VALUE!</v>
      </c>
      <c r="CK21" s="16" t="e">
        <f t="shared" ca="1" si="29"/>
        <v>#VALUE!</v>
      </c>
      <c r="CL21" s="13" t="e">
        <f t="shared" ca="1" si="29"/>
        <v>#VALUE!</v>
      </c>
      <c r="CM21" s="14" t="e">
        <f t="shared" ca="1" si="29"/>
        <v>#VALUE!</v>
      </c>
      <c r="CN21" s="14" t="e">
        <f t="shared" ca="1" si="29"/>
        <v>#VALUE!</v>
      </c>
      <c r="CO21" s="14" t="e">
        <f t="shared" ca="1" si="29"/>
        <v>#VALUE!</v>
      </c>
      <c r="CP21" s="14" t="e">
        <f t="shared" ca="1" si="29"/>
        <v>#VALUE!</v>
      </c>
      <c r="CQ21" s="15" t="e">
        <f t="shared" ca="1" si="29"/>
        <v>#VALUE!</v>
      </c>
      <c r="CR21" s="16" t="e">
        <f t="shared" ca="1" si="30"/>
        <v>#VALUE!</v>
      </c>
      <c r="CS21" s="13" t="e">
        <f t="shared" ca="1" si="30"/>
        <v>#VALUE!</v>
      </c>
      <c r="CT21" s="14" t="e">
        <f t="shared" ca="1" si="30"/>
        <v>#VALUE!</v>
      </c>
      <c r="CU21" s="14" t="e">
        <f t="shared" ca="1" si="30"/>
        <v>#VALUE!</v>
      </c>
      <c r="CV21" s="14" t="e">
        <f t="shared" ca="1" si="30"/>
        <v>#VALUE!</v>
      </c>
      <c r="CW21" s="14" t="e">
        <f t="shared" ca="1" si="30"/>
        <v>#VALUE!</v>
      </c>
      <c r="CX21" s="15" t="e">
        <f t="shared" ca="1" si="30"/>
        <v>#VALUE!</v>
      </c>
      <c r="CY21" s="16" t="e">
        <f t="shared" ca="1" si="30"/>
        <v>#VALUE!</v>
      </c>
      <c r="CZ21" s="13" t="e">
        <f t="shared" ca="1" si="30"/>
        <v>#VALUE!</v>
      </c>
      <c r="DA21" s="14" t="e">
        <f t="shared" ca="1" si="30"/>
        <v>#VALUE!</v>
      </c>
      <c r="DB21" s="14" t="e">
        <f t="shared" ca="1" si="31"/>
        <v>#VALUE!</v>
      </c>
      <c r="DC21" s="14" t="e">
        <f t="shared" ca="1" si="31"/>
        <v>#VALUE!</v>
      </c>
      <c r="DD21" s="14" t="e">
        <f t="shared" ca="1" si="31"/>
        <v>#VALUE!</v>
      </c>
      <c r="DE21" s="15" t="e">
        <f t="shared" ca="1" si="31"/>
        <v>#VALUE!</v>
      </c>
      <c r="DF21" s="16" t="e">
        <f t="shared" ca="1" si="31"/>
        <v>#VALUE!</v>
      </c>
      <c r="DG21" s="13" t="e">
        <f t="shared" ca="1" si="31"/>
        <v>#VALUE!</v>
      </c>
      <c r="DH21" s="14" t="e">
        <f t="shared" ca="1" si="31"/>
        <v>#VALUE!</v>
      </c>
      <c r="DI21" s="14" t="e">
        <f t="shared" ca="1" si="31"/>
        <v>#VALUE!</v>
      </c>
      <c r="DJ21" s="14" t="e">
        <f t="shared" ca="1" si="31"/>
        <v>#VALUE!</v>
      </c>
      <c r="DK21" s="14" t="e">
        <f t="shared" ca="1" si="31"/>
        <v>#VALUE!</v>
      </c>
      <c r="DL21" s="15" t="e">
        <f t="shared" ca="1" si="32"/>
        <v>#VALUE!</v>
      </c>
      <c r="DM21" s="16" t="e">
        <f t="shared" ca="1" si="32"/>
        <v>#VALUE!</v>
      </c>
      <c r="DN21" s="13" t="e">
        <f t="shared" ca="1" si="32"/>
        <v>#VALUE!</v>
      </c>
      <c r="DO21" s="14" t="e">
        <f t="shared" ca="1" si="32"/>
        <v>#VALUE!</v>
      </c>
      <c r="DP21" s="14" t="e">
        <f t="shared" ca="1" si="32"/>
        <v>#VALUE!</v>
      </c>
      <c r="DQ21" s="14" t="e">
        <f t="shared" ca="1" si="32"/>
        <v>#VALUE!</v>
      </c>
      <c r="DR21" s="14" t="e">
        <f t="shared" ca="1" si="32"/>
        <v>#VALUE!</v>
      </c>
      <c r="DS21" s="15" t="e">
        <f t="shared" ca="1" si="37"/>
        <v>#VALUE!</v>
      </c>
      <c r="DT21" s="16" t="e">
        <f t="shared" ca="1" si="37"/>
        <v>#VALUE!</v>
      </c>
      <c r="DU21" s="13" t="e">
        <f t="shared" ca="1" si="33"/>
        <v>#VALUE!</v>
      </c>
      <c r="DV21" s="14" t="e">
        <f t="shared" ca="1" si="33"/>
        <v>#VALUE!</v>
      </c>
      <c r="DW21" s="14" t="e">
        <f t="shared" ca="1" si="33"/>
        <v>#VALUE!</v>
      </c>
      <c r="DX21" s="14" t="e">
        <f t="shared" ca="1" si="33"/>
        <v>#VALUE!</v>
      </c>
      <c r="DY21" s="14" t="e">
        <f t="shared" ca="1" si="33"/>
        <v>#VALUE!</v>
      </c>
      <c r="DZ21" s="15" t="e">
        <f t="shared" ca="1" si="33"/>
        <v>#VALUE!</v>
      </c>
      <c r="EA21" s="16" t="e">
        <f t="shared" ca="1" si="33"/>
        <v>#VALUE!</v>
      </c>
      <c r="EB21" s="13" t="e">
        <f t="shared" ca="1" si="33"/>
        <v>#VALUE!</v>
      </c>
      <c r="EC21" s="14" t="e">
        <f t="shared" ca="1" si="33"/>
        <v>#VALUE!</v>
      </c>
      <c r="ED21" s="14" t="e">
        <f t="shared" ca="1" si="33"/>
        <v>#VALUE!</v>
      </c>
      <c r="EE21" s="14" t="e">
        <f t="shared" ca="1" si="33"/>
        <v>#VALUE!</v>
      </c>
      <c r="EF21" s="14" t="e">
        <f t="shared" ca="1" si="33"/>
        <v>#VALUE!</v>
      </c>
      <c r="EG21" s="15" t="e">
        <f t="shared" ca="1" si="38"/>
        <v>#VALUE!</v>
      </c>
      <c r="EH21" s="16" t="e">
        <f t="shared" ca="1" si="38"/>
        <v>#VALUE!</v>
      </c>
      <c r="EI21" s="13" t="e">
        <f t="shared" ca="1" si="34"/>
        <v>#VALUE!</v>
      </c>
      <c r="EJ21" s="14" t="e">
        <f t="shared" ca="1" si="34"/>
        <v>#VALUE!</v>
      </c>
      <c r="EK21" s="14" t="e">
        <f t="shared" ca="1" si="34"/>
        <v>#VALUE!</v>
      </c>
      <c r="EL21" s="14" t="e">
        <f t="shared" ca="1" si="34"/>
        <v>#VALUE!</v>
      </c>
      <c r="EM21" s="14" t="e">
        <f t="shared" ca="1" si="34"/>
        <v>#VALUE!</v>
      </c>
      <c r="EN21" s="15" t="e">
        <f t="shared" ca="1" si="39"/>
        <v>#VALUE!</v>
      </c>
      <c r="EO21" s="16" t="e">
        <f t="shared" ca="1" si="39"/>
        <v>#VALUE!</v>
      </c>
      <c r="EP21" s="13" t="e">
        <f t="shared" ca="1" si="35"/>
        <v>#VALUE!</v>
      </c>
      <c r="EQ21" s="14" t="e">
        <f t="shared" ca="1" si="35"/>
        <v>#VALUE!</v>
      </c>
      <c r="ER21" s="14" t="e">
        <f t="shared" ca="1" si="35"/>
        <v>#VALUE!</v>
      </c>
      <c r="ES21" s="14" t="e">
        <f t="shared" ca="1" si="35"/>
        <v>#VALUE!</v>
      </c>
      <c r="ET21" s="14" t="e">
        <f t="shared" ca="1" si="35"/>
        <v>#VALUE!</v>
      </c>
      <c r="EU21" s="15" t="e">
        <f t="shared" ca="1" si="40"/>
        <v>#VALUE!</v>
      </c>
      <c r="EV21" s="16" t="e">
        <f t="shared" ca="1" si="40"/>
        <v>#VALUE!</v>
      </c>
      <c r="EW21" s="13" t="e">
        <f t="shared" ca="1" si="36"/>
        <v>#VALUE!</v>
      </c>
      <c r="EX21" s="14" t="e">
        <f t="shared" ca="1" si="36"/>
        <v>#VALUE!</v>
      </c>
      <c r="EY21" s="14" t="e">
        <f t="shared" ca="1" si="36"/>
        <v>#VALUE!</v>
      </c>
      <c r="EZ21" s="14" t="e">
        <f t="shared" ca="1" si="36"/>
        <v>#VALUE!</v>
      </c>
      <c r="FA21" s="14" t="e">
        <f t="shared" ca="1" si="36"/>
        <v>#VALUE!</v>
      </c>
      <c r="FB21" s="15" t="e">
        <f t="shared" ca="1" si="41"/>
        <v>#VALUE!</v>
      </c>
      <c r="FC21" s="16" t="e">
        <f t="shared" ca="1" si="41"/>
        <v>#VALUE!</v>
      </c>
    </row>
    <row r="22" spans="1:159" s="17" customFormat="1" ht="9.6" customHeight="1">
      <c r="A22" s="25" t="s">
        <v>51</v>
      </c>
      <c r="B22" s="24" t="s">
        <v>52</v>
      </c>
      <c r="C22" s="19" t="e">
        <f t="shared" ca="1" si="20"/>
        <v>#VALUE!</v>
      </c>
      <c r="D22" s="19">
        <f ca="1">_xlfn.XLOOKUP(A25,'VTT actif'!F:F,'VTT actif'!AQ:AQ,"-",0)</f>
        <v>2</v>
      </c>
      <c r="E22" s="19" t="e">
        <f ca="1">C22-1+D22</f>
        <v>#VALUE!</v>
      </c>
      <c r="F22" s="13" t="e">
        <f t="shared" ca="1" si="21"/>
        <v>#VALUE!</v>
      </c>
      <c r="G22" s="14" t="e">
        <f t="shared" ca="1" si="21"/>
        <v>#VALUE!</v>
      </c>
      <c r="H22" s="14" t="e">
        <f t="shared" ca="1" si="21"/>
        <v>#VALUE!</v>
      </c>
      <c r="I22" s="14" t="e">
        <f t="shared" ca="1" si="21"/>
        <v>#VALUE!</v>
      </c>
      <c r="J22" s="14" t="e">
        <f t="shared" ca="1" si="21"/>
        <v>#VALUE!</v>
      </c>
      <c r="K22" s="15" t="e">
        <f t="shared" ca="1" si="21"/>
        <v>#VALUE!</v>
      </c>
      <c r="L22" s="16" t="e">
        <f t="shared" ca="1" si="21"/>
        <v>#VALUE!</v>
      </c>
      <c r="M22" s="13" t="e">
        <f t="shared" ca="1" si="21"/>
        <v>#VALUE!</v>
      </c>
      <c r="N22" s="14" t="e">
        <f t="shared" ca="1" si="21"/>
        <v>#VALUE!</v>
      </c>
      <c r="O22" s="14" t="e">
        <f t="shared" ca="1" si="21"/>
        <v>#VALUE!</v>
      </c>
      <c r="P22" s="14" t="e">
        <f t="shared" ca="1" si="22"/>
        <v>#VALUE!</v>
      </c>
      <c r="Q22" s="14" t="e">
        <f t="shared" ca="1" si="22"/>
        <v>#VALUE!</v>
      </c>
      <c r="R22" s="15" t="e">
        <f t="shared" ca="1" si="22"/>
        <v>#VALUE!</v>
      </c>
      <c r="S22" s="16" t="e">
        <f t="shared" ca="1" si="22"/>
        <v>#VALUE!</v>
      </c>
      <c r="T22" s="13" t="e">
        <f t="shared" ca="1" si="22"/>
        <v>#VALUE!</v>
      </c>
      <c r="U22" s="14" t="e">
        <f t="shared" ca="1" si="22"/>
        <v>#VALUE!</v>
      </c>
      <c r="V22" s="14" t="e">
        <f t="shared" ca="1" si="22"/>
        <v>#VALUE!</v>
      </c>
      <c r="W22" s="14" t="e">
        <f t="shared" ca="1" si="22"/>
        <v>#VALUE!</v>
      </c>
      <c r="X22" s="14" t="e">
        <f t="shared" ca="1" si="22"/>
        <v>#VALUE!</v>
      </c>
      <c r="Y22" s="15" t="e">
        <f t="shared" ca="1" si="22"/>
        <v>#VALUE!</v>
      </c>
      <c r="Z22" s="16" t="e">
        <f t="shared" ca="1" si="23"/>
        <v>#VALUE!</v>
      </c>
      <c r="AA22" s="13" t="e">
        <f t="shared" ca="1" si="23"/>
        <v>#VALUE!</v>
      </c>
      <c r="AB22" s="14" t="e">
        <f t="shared" ca="1" si="23"/>
        <v>#VALUE!</v>
      </c>
      <c r="AC22" s="14" t="e">
        <f t="shared" ca="1" si="23"/>
        <v>#VALUE!</v>
      </c>
      <c r="AD22" s="14" t="e">
        <f t="shared" ca="1" si="23"/>
        <v>#VALUE!</v>
      </c>
      <c r="AE22" s="14" t="e">
        <f t="shared" ca="1" si="23"/>
        <v>#VALUE!</v>
      </c>
      <c r="AF22" s="15" t="e">
        <f t="shared" ca="1" si="23"/>
        <v>#VALUE!</v>
      </c>
      <c r="AG22" s="16" t="e">
        <f t="shared" ca="1" si="23"/>
        <v>#VALUE!</v>
      </c>
      <c r="AH22" s="13" t="e">
        <f t="shared" ca="1" si="23"/>
        <v>#VALUE!</v>
      </c>
      <c r="AI22" s="14" t="e">
        <f t="shared" ca="1" si="23"/>
        <v>#VALUE!</v>
      </c>
      <c r="AJ22" s="14" t="e">
        <f t="shared" ca="1" si="24"/>
        <v>#VALUE!</v>
      </c>
      <c r="AK22" s="14" t="e">
        <f t="shared" ca="1" si="24"/>
        <v>#VALUE!</v>
      </c>
      <c r="AL22" s="14" t="e">
        <f t="shared" ca="1" si="24"/>
        <v>#VALUE!</v>
      </c>
      <c r="AM22" s="15" t="e">
        <f t="shared" ca="1" si="24"/>
        <v>#VALUE!</v>
      </c>
      <c r="AN22" s="16" t="e">
        <f t="shared" ca="1" si="24"/>
        <v>#VALUE!</v>
      </c>
      <c r="AO22" s="13" t="e">
        <f t="shared" ca="1" si="24"/>
        <v>#VALUE!</v>
      </c>
      <c r="AP22" s="14" t="e">
        <f t="shared" ca="1" si="24"/>
        <v>#VALUE!</v>
      </c>
      <c r="AQ22" s="14" t="e">
        <f t="shared" ca="1" si="24"/>
        <v>#VALUE!</v>
      </c>
      <c r="AR22" s="14" t="e">
        <f t="shared" ca="1" si="24"/>
        <v>#VALUE!</v>
      </c>
      <c r="AS22" s="14" t="e">
        <f t="shared" ca="1" si="24"/>
        <v>#VALUE!</v>
      </c>
      <c r="AT22" s="15" t="e">
        <f t="shared" ca="1" si="25"/>
        <v>#VALUE!</v>
      </c>
      <c r="AU22" s="16" t="e">
        <f t="shared" ca="1" si="25"/>
        <v>#VALUE!</v>
      </c>
      <c r="AV22" s="13" t="e">
        <f t="shared" ca="1" si="25"/>
        <v>#VALUE!</v>
      </c>
      <c r="AW22" s="14" t="e">
        <f t="shared" ca="1" si="25"/>
        <v>#VALUE!</v>
      </c>
      <c r="AX22" s="14" t="e">
        <f t="shared" ca="1" si="25"/>
        <v>#VALUE!</v>
      </c>
      <c r="AY22" s="14" t="e">
        <f t="shared" ca="1" si="25"/>
        <v>#VALUE!</v>
      </c>
      <c r="AZ22" s="14" t="e">
        <f t="shared" ca="1" si="25"/>
        <v>#VALUE!</v>
      </c>
      <c r="BA22" s="15" t="e">
        <f t="shared" ca="1" si="25"/>
        <v>#VALUE!</v>
      </c>
      <c r="BB22" s="16" t="e">
        <f t="shared" ca="1" si="25"/>
        <v>#VALUE!</v>
      </c>
      <c r="BC22" s="13" t="e">
        <f t="shared" ca="1" si="25"/>
        <v>#VALUE!</v>
      </c>
      <c r="BD22" s="14" t="e">
        <f t="shared" ca="1" si="26"/>
        <v>#VALUE!</v>
      </c>
      <c r="BE22" s="14" t="e">
        <f t="shared" ca="1" si="26"/>
        <v>#VALUE!</v>
      </c>
      <c r="BF22" s="14" t="e">
        <f t="shared" ca="1" si="26"/>
        <v>#VALUE!</v>
      </c>
      <c r="BG22" s="14" t="e">
        <f t="shared" ca="1" si="26"/>
        <v>#VALUE!</v>
      </c>
      <c r="BH22" s="15" t="e">
        <f t="shared" ca="1" si="26"/>
        <v>#VALUE!</v>
      </c>
      <c r="BI22" s="16" t="e">
        <f t="shared" ca="1" si="26"/>
        <v>#VALUE!</v>
      </c>
      <c r="BJ22" s="13" t="e">
        <f t="shared" ca="1" si="26"/>
        <v>#VALUE!</v>
      </c>
      <c r="BK22" s="14" t="e">
        <f t="shared" ca="1" si="26"/>
        <v>#VALUE!</v>
      </c>
      <c r="BL22" s="14" t="e">
        <f t="shared" ca="1" si="26"/>
        <v>#VALUE!</v>
      </c>
      <c r="BM22" s="14" t="e">
        <f t="shared" ca="1" si="26"/>
        <v>#VALUE!</v>
      </c>
      <c r="BN22" s="14" t="e">
        <f t="shared" ca="1" si="27"/>
        <v>#VALUE!</v>
      </c>
      <c r="BO22" s="15" t="e">
        <f t="shared" ca="1" si="27"/>
        <v>#VALUE!</v>
      </c>
      <c r="BP22" s="16" t="e">
        <f t="shared" ca="1" si="27"/>
        <v>#VALUE!</v>
      </c>
      <c r="BQ22" s="13" t="e">
        <f t="shared" ca="1" si="27"/>
        <v>#VALUE!</v>
      </c>
      <c r="BR22" s="14" t="e">
        <f t="shared" ca="1" si="27"/>
        <v>#VALUE!</v>
      </c>
      <c r="BS22" s="14" t="e">
        <f t="shared" ca="1" si="27"/>
        <v>#VALUE!</v>
      </c>
      <c r="BT22" s="14" t="e">
        <f t="shared" ca="1" si="27"/>
        <v>#VALUE!</v>
      </c>
      <c r="BU22" s="14" t="e">
        <f t="shared" ca="1" si="27"/>
        <v>#VALUE!</v>
      </c>
      <c r="BV22" s="15" t="e">
        <f t="shared" ca="1" si="27"/>
        <v>#VALUE!</v>
      </c>
      <c r="BW22" s="16" t="e">
        <f t="shared" ca="1" si="27"/>
        <v>#VALUE!</v>
      </c>
      <c r="BX22" s="13" t="e">
        <f t="shared" ca="1" si="28"/>
        <v>#VALUE!</v>
      </c>
      <c r="BY22" s="14" t="e">
        <f t="shared" ca="1" si="28"/>
        <v>#VALUE!</v>
      </c>
      <c r="BZ22" s="14" t="e">
        <f t="shared" ca="1" si="28"/>
        <v>#VALUE!</v>
      </c>
      <c r="CA22" s="14" t="e">
        <f t="shared" ca="1" si="28"/>
        <v>#VALUE!</v>
      </c>
      <c r="CB22" s="14" t="e">
        <f t="shared" ca="1" si="28"/>
        <v>#VALUE!</v>
      </c>
      <c r="CC22" s="15" t="e">
        <f t="shared" ca="1" si="28"/>
        <v>#VALUE!</v>
      </c>
      <c r="CD22" s="16" t="e">
        <f t="shared" ca="1" si="28"/>
        <v>#VALUE!</v>
      </c>
      <c r="CE22" s="13" t="e">
        <f t="shared" ca="1" si="28"/>
        <v>#VALUE!</v>
      </c>
      <c r="CF22" s="14" t="e">
        <f t="shared" ca="1" si="28"/>
        <v>#VALUE!</v>
      </c>
      <c r="CG22" s="14" t="e">
        <f t="shared" ca="1" si="28"/>
        <v>#VALUE!</v>
      </c>
      <c r="CH22" s="14" t="e">
        <f t="shared" ca="1" si="29"/>
        <v>#VALUE!</v>
      </c>
      <c r="CI22" s="14" t="e">
        <f t="shared" ca="1" si="29"/>
        <v>#VALUE!</v>
      </c>
      <c r="CJ22" s="15" t="e">
        <f t="shared" ca="1" si="29"/>
        <v>#VALUE!</v>
      </c>
      <c r="CK22" s="16" t="e">
        <f t="shared" ca="1" si="29"/>
        <v>#VALUE!</v>
      </c>
      <c r="CL22" s="13" t="e">
        <f t="shared" ca="1" si="29"/>
        <v>#VALUE!</v>
      </c>
      <c r="CM22" s="14" t="e">
        <f t="shared" ca="1" si="29"/>
        <v>#VALUE!</v>
      </c>
      <c r="CN22" s="14" t="e">
        <f t="shared" ca="1" si="29"/>
        <v>#VALUE!</v>
      </c>
      <c r="CO22" s="14" t="e">
        <f t="shared" ca="1" si="29"/>
        <v>#VALUE!</v>
      </c>
      <c r="CP22" s="14" t="e">
        <f t="shared" ca="1" si="29"/>
        <v>#VALUE!</v>
      </c>
      <c r="CQ22" s="15" t="e">
        <f t="shared" ca="1" si="29"/>
        <v>#VALUE!</v>
      </c>
      <c r="CR22" s="16" t="e">
        <f t="shared" ca="1" si="30"/>
        <v>#VALUE!</v>
      </c>
      <c r="CS22" s="13" t="e">
        <f t="shared" ca="1" si="30"/>
        <v>#VALUE!</v>
      </c>
      <c r="CT22" s="14" t="e">
        <f t="shared" ca="1" si="30"/>
        <v>#VALUE!</v>
      </c>
      <c r="CU22" s="14" t="e">
        <f t="shared" ca="1" si="30"/>
        <v>#VALUE!</v>
      </c>
      <c r="CV22" s="14" t="e">
        <f t="shared" ca="1" si="30"/>
        <v>#VALUE!</v>
      </c>
      <c r="CW22" s="14" t="e">
        <f t="shared" ca="1" si="30"/>
        <v>#VALUE!</v>
      </c>
      <c r="CX22" s="15" t="e">
        <f t="shared" ca="1" si="30"/>
        <v>#VALUE!</v>
      </c>
      <c r="CY22" s="16" t="e">
        <f t="shared" ca="1" si="30"/>
        <v>#VALUE!</v>
      </c>
      <c r="CZ22" s="13" t="e">
        <f t="shared" ca="1" si="30"/>
        <v>#VALUE!</v>
      </c>
      <c r="DA22" s="14" t="e">
        <f t="shared" ca="1" si="30"/>
        <v>#VALUE!</v>
      </c>
      <c r="DB22" s="14" t="e">
        <f t="shared" ca="1" si="31"/>
        <v>#VALUE!</v>
      </c>
      <c r="DC22" s="14" t="e">
        <f t="shared" ca="1" si="31"/>
        <v>#VALUE!</v>
      </c>
      <c r="DD22" s="14" t="e">
        <f t="shared" ca="1" si="31"/>
        <v>#VALUE!</v>
      </c>
      <c r="DE22" s="15" t="e">
        <f t="shared" ca="1" si="31"/>
        <v>#VALUE!</v>
      </c>
      <c r="DF22" s="16" t="e">
        <f t="shared" ca="1" si="31"/>
        <v>#VALUE!</v>
      </c>
      <c r="DG22" s="13" t="e">
        <f t="shared" ca="1" si="31"/>
        <v>#VALUE!</v>
      </c>
      <c r="DH22" s="14" t="e">
        <f t="shared" ca="1" si="31"/>
        <v>#VALUE!</v>
      </c>
      <c r="DI22" s="14" t="e">
        <f t="shared" ca="1" si="31"/>
        <v>#VALUE!</v>
      </c>
      <c r="DJ22" s="14" t="e">
        <f t="shared" ca="1" si="31"/>
        <v>#VALUE!</v>
      </c>
      <c r="DK22" s="14" t="e">
        <f t="shared" ca="1" si="31"/>
        <v>#VALUE!</v>
      </c>
      <c r="DL22" s="15" t="e">
        <f t="shared" ca="1" si="32"/>
        <v>#VALUE!</v>
      </c>
      <c r="DM22" s="16" t="e">
        <f t="shared" ca="1" si="32"/>
        <v>#VALUE!</v>
      </c>
      <c r="DN22" s="13" t="e">
        <f t="shared" ca="1" si="32"/>
        <v>#VALUE!</v>
      </c>
      <c r="DO22" s="14" t="e">
        <f t="shared" ca="1" si="32"/>
        <v>#VALUE!</v>
      </c>
      <c r="DP22" s="14" t="e">
        <f t="shared" ca="1" si="32"/>
        <v>#VALUE!</v>
      </c>
      <c r="DQ22" s="14" t="e">
        <f t="shared" ca="1" si="32"/>
        <v>#VALUE!</v>
      </c>
      <c r="DR22" s="14" t="e">
        <f t="shared" ca="1" si="32"/>
        <v>#VALUE!</v>
      </c>
      <c r="DS22" s="15" t="e">
        <f t="shared" ca="1" si="37"/>
        <v>#VALUE!</v>
      </c>
      <c r="DT22" s="16" t="e">
        <f t="shared" ca="1" si="37"/>
        <v>#VALUE!</v>
      </c>
      <c r="DU22" s="13" t="e">
        <f t="shared" ca="1" si="33"/>
        <v>#VALUE!</v>
      </c>
      <c r="DV22" s="14" t="e">
        <f t="shared" ca="1" si="33"/>
        <v>#VALUE!</v>
      </c>
      <c r="DW22" s="14" t="e">
        <f t="shared" ca="1" si="33"/>
        <v>#VALUE!</v>
      </c>
      <c r="DX22" s="14" t="e">
        <f t="shared" ca="1" si="33"/>
        <v>#VALUE!</v>
      </c>
      <c r="DY22" s="14" t="e">
        <f t="shared" ca="1" si="33"/>
        <v>#VALUE!</v>
      </c>
      <c r="DZ22" s="15" t="e">
        <f t="shared" ca="1" si="33"/>
        <v>#VALUE!</v>
      </c>
      <c r="EA22" s="16" t="e">
        <f t="shared" ca="1" si="33"/>
        <v>#VALUE!</v>
      </c>
      <c r="EB22" s="13" t="e">
        <f t="shared" ca="1" si="33"/>
        <v>#VALUE!</v>
      </c>
      <c r="EC22" s="14" t="e">
        <f t="shared" ca="1" si="33"/>
        <v>#VALUE!</v>
      </c>
      <c r="ED22" s="14" t="e">
        <f t="shared" ca="1" si="33"/>
        <v>#VALUE!</v>
      </c>
      <c r="EE22" s="14" t="e">
        <f t="shared" ca="1" si="33"/>
        <v>#VALUE!</v>
      </c>
      <c r="EF22" s="14" t="e">
        <f t="shared" ca="1" si="33"/>
        <v>#VALUE!</v>
      </c>
      <c r="EG22" s="15" t="e">
        <f t="shared" ca="1" si="38"/>
        <v>#VALUE!</v>
      </c>
      <c r="EH22" s="16" t="e">
        <f t="shared" ca="1" si="38"/>
        <v>#VALUE!</v>
      </c>
      <c r="EI22" s="13" t="e">
        <f t="shared" ca="1" si="34"/>
        <v>#VALUE!</v>
      </c>
      <c r="EJ22" s="14" t="e">
        <f t="shared" ca="1" si="34"/>
        <v>#VALUE!</v>
      </c>
      <c r="EK22" s="14" t="e">
        <f t="shared" ca="1" si="34"/>
        <v>#VALUE!</v>
      </c>
      <c r="EL22" s="14" t="e">
        <f t="shared" ca="1" si="34"/>
        <v>#VALUE!</v>
      </c>
      <c r="EM22" s="14" t="e">
        <f t="shared" ca="1" si="34"/>
        <v>#VALUE!</v>
      </c>
      <c r="EN22" s="15" t="e">
        <f t="shared" ca="1" si="39"/>
        <v>#VALUE!</v>
      </c>
      <c r="EO22" s="16" t="e">
        <f t="shared" ca="1" si="39"/>
        <v>#VALUE!</v>
      </c>
      <c r="EP22" s="13" t="e">
        <f t="shared" ca="1" si="35"/>
        <v>#VALUE!</v>
      </c>
      <c r="EQ22" s="14" t="e">
        <f t="shared" ca="1" si="35"/>
        <v>#VALUE!</v>
      </c>
      <c r="ER22" s="14" t="e">
        <f t="shared" ca="1" si="35"/>
        <v>#VALUE!</v>
      </c>
      <c r="ES22" s="14" t="e">
        <f t="shared" ca="1" si="35"/>
        <v>#VALUE!</v>
      </c>
      <c r="ET22" s="14" t="e">
        <f t="shared" ca="1" si="35"/>
        <v>#VALUE!</v>
      </c>
      <c r="EU22" s="15" t="e">
        <f t="shared" ca="1" si="40"/>
        <v>#VALUE!</v>
      </c>
      <c r="EV22" s="16" t="e">
        <f t="shared" ca="1" si="40"/>
        <v>#VALUE!</v>
      </c>
      <c r="EW22" s="13" t="e">
        <f t="shared" ca="1" si="36"/>
        <v>#VALUE!</v>
      </c>
      <c r="EX22" s="14" t="e">
        <f t="shared" ca="1" si="36"/>
        <v>#VALUE!</v>
      </c>
      <c r="EY22" s="14" t="e">
        <f t="shared" ca="1" si="36"/>
        <v>#VALUE!</v>
      </c>
      <c r="EZ22" s="14" t="e">
        <f t="shared" ca="1" si="36"/>
        <v>#VALUE!</v>
      </c>
      <c r="FA22" s="14" t="e">
        <f t="shared" ca="1" si="36"/>
        <v>#VALUE!</v>
      </c>
      <c r="FB22" s="15" t="e">
        <f t="shared" ca="1" si="41"/>
        <v>#VALUE!</v>
      </c>
      <c r="FC22" s="16" t="e">
        <f t="shared" ca="1" si="41"/>
        <v>#VALUE!</v>
      </c>
    </row>
    <row r="23" spans="1:159" s="17" customFormat="1" ht="9.6" customHeight="1">
      <c r="A23" s="27" t="e">
        <f ca="1">IFERROR(VLOOKUP(_xlfn.CONCAT(B7,"-","Next"),'DATA BTO'!A:D,3,FALSE),VLOOKUP(_xlfn.CONCAT(B7,"-","Inactif"),'DATA BTO'!A:D,3,FALSE))</f>
        <v>#N/A</v>
      </c>
      <c r="B23" s="26" t="s">
        <v>53</v>
      </c>
      <c r="C23" s="19" t="e">
        <f t="shared" ca="1" si="20"/>
        <v>#VALUE!</v>
      </c>
      <c r="D23" s="19" t="e">
        <f ca="1">IFERROR(IF((7-MOD(D22+D19+D17+15+D16+C27+D21+D20,7))=7,0,7-MOD(D22+D19+D17+15+D16+C27+D21+D20,7)),IF((7-MOD(D22+D19+D17+15+D16+C27+D21,7))=7,0,7-MOD(D22+D19+D17+15+D16+C27+D21,7)))</f>
        <v>#VALUE!</v>
      </c>
      <c r="E23" s="19" t="e">
        <f ca="1">C23+D23-1</f>
        <v>#VALUE!</v>
      </c>
      <c r="F23" s="13" t="e">
        <f t="shared" ca="1" si="21"/>
        <v>#VALUE!</v>
      </c>
      <c r="G23" s="14" t="e">
        <f t="shared" ca="1" si="21"/>
        <v>#VALUE!</v>
      </c>
      <c r="H23" s="14" t="e">
        <f t="shared" ca="1" si="21"/>
        <v>#VALUE!</v>
      </c>
      <c r="I23" s="14" t="e">
        <f t="shared" ca="1" si="21"/>
        <v>#VALUE!</v>
      </c>
      <c r="J23" s="14" t="e">
        <f t="shared" ca="1" si="21"/>
        <v>#VALUE!</v>
      </c>
      <c r="K23" s="15" t="e">
        <f t="shared" ca="1" si="21"/>
        <v>#VALUE!</v>
      </c>
      <c r="L23" s="16" t="e">
        <f t="shared" ca="1" si="21"/>
        <v>#VALUE!</v>
      </c>
      <c r="M23" s="13" t="e">
        <f t="shared" ca="1" si="21"/>
        <v>#VALUE!</v>
      </c>
      <c r="N23" s="14" t="e">
        <f t="shared" ca="1" si="21"/>
        <v>#VALUE!</v>
      </c>
      <c r="O23" s="14" t="e">
        <f t="shared" ca="1" si="21"/>
        <v>#VALUE!</v>
      </c>
      <c r="P23" s="14" t="e">
        <f t="shared" ca="1" si="22"/>
        <v>#VALUE!</v>
      </c>
      <c r="Q23" s="14" t="e">
        <f t="shared" ca="1" si="22"/>
        <v>#VALUE!</v>
      </c>
      <c r="R23" s="15" t="e">
        <f t="shared" ca="1" si="22"/>
        <v>#VALUE!</v>
      </c>
      <c r="S23" s="16" t="e">
        <f t="shared" ca="1" si="22"/>
        <v>#VALUE!</v>
      </c>
      <c r="T23" s="13" t="e">
        <f t="shared" ca="1" si="22"/>
        <v>#VALUE!</v>
      </c>
      <c r="U23" s="14" t="e">
        <f t="shared" ca="1" si="22"/>
        <v>#VALUE!</v>
      </c>
      <c r="V23" s="14" t="e">
        <f t="shared" ca="1" si="22"/>
        <v>#VALUE!</v>
      </c>
      <c r="W23" s="14" t="e">
        <f t="shared" ca="1" si="22"/>
        <v>#VALUE!</v>
      </c>
      <c r="X23" s="14" t="e">
        <f t="shared" ca="1" si="22"/>
        <v>#VALUE!</v>
      </c>
      <c r="Y23" s="15" t="e">
        <f t="shared" ca="1" si="22"/>
        <v>#VALUE!</v>
      </c>
      <c r="Z23" s="16" t="e">
        <f t="shared" ca="1" si="23"/>
        <v>#VALUE!</v>
      </c>
      <c r="AA23" s="13" t="e">
        <f t="shared" ca="1" si="23"/>
        <v>#VALUE!</v>
      </c>
      <c r="AB23" s="14" t="e">
        <f t="shared" ca="1" si="23"/>
        <v>#VALUE!</v>
      </c>
      <c r="AC23" s="14" t="e">
        <f t="shared" ca="1" si="23"/>
        <v>#VALUE!</v>
      </c>
      <c r="AD23" s="14" t="e">
        <f t="shared" ca="1" si="23"/>
        <v>#VALUE!</v>
      </c>
      <c r="AE23" s="14" t="e">
        <f t="shared" ca="1" si="23"/>
        <v>#VALUE!</v>
      </c>
      <c r="AF23" s="15" t="e">
        <f t="shared" ca="1" si="23"/>
        <v>#VALUE!</v>
      </c>
      <c r="AG23" s="16" t="e">
        <f t="shared" ca="1" si="23"/>
        <v>#VALUE!</v>
      </c>
      <c r="AH23" s="13" t="e">
        <f t="shared" ca="1" si="23"/>
        <v>#VALUE!</v>
      </c>
      <c r="AI23" s="14" t="e">
        <f t="shared" ca="1" si="23"/>
        <v>#VALUE!</v>
      </c>
      <c r="AJ23" s="14" t="e">
        <f t="shared" ca="1" si="24"/>
        <v>#VALUE!</v>
      </c>
      <c r="AK23" s="14" t="e">
        <f t="shared" ca="1" si="24"/>
        <v>#VALUE!</v>
      </c>
      <c r="AL23" s="14" t="e">
        <f t="shared" ca="1" si="24"/>
        <v>#VALUE!</v>
      </c>
      <c r="AM23" s="15" t="e">
        <f t="shared" ca="1" si="24"/>
        <v>#VALUE!</v>
      </c>
      <c r="AN23" s="16" t="e">
        <f t="shared" ca="1" si="24"/>
        <v>#VALUE!</v>
      </c>
      <c r="AO23" s="13" t="e">
        <f t="shared" ca="1" si="24"/>
        <v>#VALUE!</v>
      </c>
      <c r="AP23" s="14" t="e">
        <f t="shared" ca="1" si="24"/>
        <v>#VALUE!</v>
      </c>
      <c r="AQ23" s="14" t="e">
        <f t="shared" ca="1" si="24"/>
        <v>#VALUE!</v>
      </c>
      <c r="AR23" s="14" t="e">
        <f t="shared" ca="1" si="24"/>
        <v>#VALUE!</v>
      </c>
      <c r="AS23" s="14" t="e">
        <f t="shared" ca="1" si="24"/>
        <v>#VALUE!</v>
      </c>
      <c r="AT23" s="15" t="e">
        <f t="shared" ca="1" si="25"/>
        <v>#VALUE!</v>
      </c>
      <c r="AU23" s="16" t="e">
        <f t="shared" ca="1" si="25"/>
        <v>#VALUE!</v>
      </c>
      <c r="AV23" s="13" t="e">
        <f t="shared" ca="1" si="25"/>
        <v>#VALUE!</v>
      </c>
      <c r="AW23" s="14" t="e">
        <f t="shared" ca="1" si="25"/>
        <v>#VALUE!</v>
      </c>
      <c r="AX23" s="14" t="e">
        <f t="shared" ca="1" si="25"/>
        <v>#VALUE!</v>
      </c>
      <c r="AY23" s="14" t="e">
        <f t="shared" ca="1" si="25"/>
        <v>#VALUE!</v>
      </c>
      <c r="AZ23" s="14" t="e">
        <f t="shared" ca="1" si="25"/>
        <v>#VALUE!</v>
      </c>
      <c r="BA23" s="15" t="e">
        <f t="shared" ca="1" si="25"/>
        <v>#VALUE!</v>
      </c>
      <c r="BB23" s="16" t="e">
        <f t="shared" ca="1" si="25"/>
        <v>#VALUE!</v>
      </c>
      <c r="BC23" s="13" t="e">
        <f t="shared" ca="1" si="25"/>
        <v>#VALUE!</v>
      </c>
      <c r="BD23" s="14" t="e">
        <f t="shared" ca="1" si="26"/>
        <v>#VALUE!</v>
      </c>
      <c r="BE23" s="14" t="e">
        <f t="shared" ca="1" si="26"/>
        <v>#VALUE!</v>
      </c>
      <c r="BF23" s="14" t="e">
        <f t="shared" ca="1" si="26"/>
        <v>#VALUE!</v>
      </c>
      <c r="BG23" s="14" t="e">
        <f t="shared" ca="1" si="26"/>
        <v>#VALUE!</v>
      </c>
      <c r="BH23" s="15" t="e">
        <f t="shared" ca="1" si="26"/>
        <v>#VALUE!</v>
      </c>
      <c r="BI23" s="16" t="e">
        <f t="shared" ca="1" si="26"/>
        <v>#VALUE!</v>
      </c>
      <c r="BJ23" s="13" t="e">
        <f t="shared" ca="1" si="26"/>
        <v>#VALUE!</v>
      </c>
      <c r="BK23" s="14" t="e">
        <f t="shared" ca="1" si="26"/>
        <v>#VALUE!</v>
      </c>
      <c r="BL23" s="14" t="e">
        <f t="shared" ca="1" si="26"/>
        <v>#VALUE!</v>
      </c>
      <c r="BM23" s="14" t="e">
        <f t="shared" ca="1" si="26"/>
        <v>#VALUE!</v>
      </c>
      <c r="BN23" s="14" t="e">
        <f t="shared" ca="1" si="27"/>
        <v>#VALUE!</v>
      </c>
      <c r="BO23" s="15" t="e">
        <f t="shared" ca="1" si="27"/>
        <v>#VALUE!</v>
      </c>
      <c r="BP23" s="16" t="e">
        <f t="shared" ca="1" si="27"/>
        <v>#VALUE!</v>
      </c>
      <c r="BQ23" s="13" t="e">
        <f t="shared" ca="1" si="27"/>
        <v>#VALUE!</v>
      </c>
      <c r="BR23" s="14" t="e">
        <f t="shared" ca="1" si="27"/>
        <v>#VALUE!</v>
      </c>
      <c r="BS23" s="14" t="e">
        <f t="shared" ca="1" si="27"/>
        <v>#VALUE!</v>
      </c>
      <c r="BT23" s="14" t="e">
        <f t="shared" ca="1" si="27"/>
        <v>#VALUE!</v>
      </c>
      <c r="BU23" s="14" t="e">
        <f t="shared" ca="1" si="27"/>
        <v>#VALUE!</v>
      </c>
      <c r="BV23" s="15" t="e">
        <f t="shared" ca="1" si="27"/>
        <v>#VALUE!</v>
      </c>
      <c r="BW23" s="16" t="e">
        <f t="shared" ca="1" si="27"/>
        <v>#VALUE!</v>
      </c>
      <c r="BX23" s="13" t="e">
        <f t="shared" ca="1" si="28"/>
        <v>#VALUE!</v>
      </c>
      <c r="BY23" s="14" t="e">
        <f t="shared" ca="1" si="28"/>
        <v>#VALUE!</v>
      </c>
      <c r="BZ23" s="14" t="e">
        <f t="shared" ca="1" si="28"/>
        <v>#VALUE!</v>
      </c>
      <c r="CA23" s="14" t="e">
        <f t="shared" ca="1" si="28"/>
        <v>#VALUE!</v>
      </c>
      <c r="CB23" s="14" t="e">
        <f t="shared" ca="1" si="28"/>
        <v>#VALUE!</v>
      </c>
      <c r="CC23" s="15" t="e">
        <f t="shared" ca="1" si="28"/>
        <v>#VALUE!</v>
      </c>
      <c r="CD23" s="16" t="e">
        <f t="shared" ca="1" si="28"/>
        <v>#VALUE!</v>
      </c>
      <c r="CE23" s="13" t="e">
        <f t="shared" ca="1" si="28"/>
        <v>#VALUE!</v>
      </c>
      <c r="CF23" s="14" t="e">
        <f t="shared" ca="1" si="28"/>
        <v>#VALUE!</v>
      </c>
      <c r="CG23" s="14" t="e">
        <f t="shared" ca="1" si="28"/>
        <v>#VALUE!</v>
      </c>
      <c r="CH23" s="14" t="e">
        <f t="shared" ca="1" si="29"/>
        <v>#VALUE!</v>
      </c>
      <c r="CI23" s="14" t="e">
        <f t="shared" ca="1" si="29"/>
        <v>#VALUE!</v>
      </c>
      <c r="CJ23" s="15" t="e">
        <f t="shared" ca="1" si="29"/>
        <v>#VALUE!</v>
      </c>
      <c r="CK23" s="16" t="e">
        <f t="shared" ca="1" si="29"/>
        <v>#VALUE!</v>
      </c>
      <c r="CL23" s="13" t="e">
        <f t="shared" ca="1" si="29"/>
        <v>#VALUE!</v>
      </c>
      <c r="CM23" s="14" t="e">
        <f t="shared" ca="1" si="29"/>
        <v>#VALUE!</v>
      </c>
      <c r="CN23" s="14" t="e">
        <f t="shared" ca="1" si="29"/>
        <v>#VALUE!</v>
      </c>
      <c r="CO23" s="14" t="e">
        <f t="shared" ca="1" si="29"/>
        <v>#VALUE!</v>
      </c>
      <c r="CP23" s="14" t="e">
        <f t="shared" ca="1" si="29"/>
        <v>#VALUE!</v>
      </c>
      <c r="CQ23" s="15" t="e">
        <f t="shared" ca="1" si="29"/>
        <v>#VALUE!</v>
      </c>
      <c r="CR23" s="16" t="e">
        <f t="shared" ca="1" si="30"/>
        <v>#VALUE!</v>
      </c>
      <c r="CS23" s="13" t="e">
        <f t="shared" ca="1" si="30"/>
        <v>#VALUE!</v>
      </c>
      <c r="CT23" s="14" t="e">
        <f t="shared" ca="1" si="30"/>
        <v>#VALUE!</v>
      </c>
      <c r="CU23" s="14" t="e">
        <f t="shared" ca="1" si="30"/>
        <v>#VALUE!</v>
      </c>
      <c r="CV23" s="14" t="e">
        <f t="shared" ca="1" si="30"/>
        <v>#VALUE!</v>
      </c>
      <c r="CW23" s="14" t="e">
        <f t="shared" ca="1" si="30"/>
        <v>#VALUE!</v>
      </c>
      <c r="CX23" s="15" t="e">
        <f t="shared" ca="1" si="30"/>
        <v>#VALUE!</v>
      </c>
      <c r="CY23" s="16" t="e">
        <f t="shared" ca="1" si="30"/>
        <v>#VALUE!</v>
      </c>
      <c r="CZ23" s="13" t="e">
        <f t="shared" ca="1" si="30"/>
        <v>#VALUE!</v>
      </c>
      <c r="DA23" s="14" t="e">
        <f t="shared" ca="1" si="30"/>
        <v>#VALUE!</v>
      </c>
      <c r="DB23" s="14" t="e">
        <f t="shared" ca="1" si="31"/>
        <v>#VALUE!</v>
      </c>
      <c r="DC23" s="14" t="e">
        <f t="shared" ca="1" si="31"/>
        <v>#VALUE!</v>
      </c>
      <c r="DD23" s="14" t="e">
        <f t="shared" ca="1" si="31"/>
        <v>#VALUE!</v>
      </c>
      <c r="DE23" s="15" t="e">
        <f t="shared" ca="1" si="31"/>
        <v>#VALUE!</v>
      </c>
      <c r="DF23" s="16" t="e">
        <f t="shared" ca="1" si="31"/>
        <v>#VALUE!</v>
      </c>
      <c r="DG23" s="13" t="e">
        <f t="shared" ca="1" si="31"/>
        <v>#VALUE!</v>
      </c>
      <c r="DH23" s="14" t="e">
        <f t="shared" ca="1" si="31"/>
        <v>#VALUE!</v>
      </c>
      <c r="DI23" s="14" t="e">
        <f t="shared" ca="1" si="31"/>
        <v>#VALUE!</v>
      </c>
      <c r="DJ23" s="14" t="e">
        <f t="shared" ca="1" si="31"/>
        <v>#VALUE!</v>
      </c>
      <c r="DK23" s="14" t="e">
        <f t="shared" ca="1" si="31"/>
        <v>#VALUE!</v>
      </c>
      <c r="DL23" s="15" t="e">
        <f t="shared" ca="1" si="32"/>
        <v>#VALUE!</v>
      </c>
      <c r="DM23" s="16" t="e">
        <f t="shared" ca="1" si="32"/>
        <v>#VALUE!</v>
      </c>
      <c r="DN23" s="13" t="e">
        <f t="shared" ca="1" si="32"/>
        <v>#VALUE!</v>
      </c>
      <c r="DO23" s="14" t="e">
        <f t="shared" ca="1" si="32"/>
        <v>#VALUE!</v>
      </c>
      <c r="DP23" s="14" t="e">
        <f t="shared" ca="1" si="32"/>
        <v>#VALUE!</v>
      </c>
      <c r="DQ23" s="14" t="e">
        <f t="shared" ca="1" si="32"/>
        <v>#VALUE!</v>
      </c>
      <c r="DR23" s="14" t="e">
        <f t="shared" ca="1" si="32"/>
        <v>#VALUE!</v>
      </c>
      <c r="DS23" s="15" t="e">
        <f t="shared" ca="1" si="37"/>
        <v>#VALUE!</v>
      </c>
      <c r="DT23" s="16" t="e">
        <f t="shared" ca="1" si="37"/>
        <v>#VALUE!</v>
      </c>
      <c r="DU23" s="13" t="e">
        <f t="shared" ca="1" si="33"/>
        <v>#VALUE!</v>
      </c>
      <c r="DV23" s="14" t="e">
        <f t="shared" ca="1" si="33"/>
        <v>#VALUE!</v>
      </c>
      <c r="DW23" s="14" t="e">
        <f t="shared" ca="1" si="33"/>
        <v>#VALUE!</v>
      </c>
      <c r="DX23" s="14" t="e">
        <f t="shared" ca="1" si="33"/>
        <v>#VALUE!</v>
      </c>
      <c r="DY23" s="14" t="e">
        <f t="shared" ca="1" si="33"/>
        <v>#VALUE!</v>
      </c>
      <c r="DZ23" s="15" t="e">
        <f t="shared" ca="1" si="33"/>
        <v>#VALUE!</v>
      </c>
      <c r="EA23" s="16" t="e">
        <f t="shared" ca="1" si="33"/>
        <v>#VALUE!</v>
      </c>
      <c r="EB23" s="13" t="e">
        <f t="shared" ca="1" si="33"/>
        <v>#VALUE!</v>
      </c>
      <c r="EC23" s="14" t="e">
        <f t="shared" ca="1" si="33"/>
        <v>#VALUE!</v>
      </c>
      <c r="ED23" s="14" t="e">
        <f t="shared" ca="1" si="33"/>
        <v>#VALUE!</v>
      </c>
      <c r="EE23" s="14" t="e">
        <f t="shared" ca="1" si="33"/>
        <v>#VALUE!</v>
      </c>
      <c r="EF23" s="14" t="e">
        <f t="shared" ca="1" si="33"/>
        <v>#VALUE!</v>
      </c>
      <c r="EG23" s="15" t="e">
        <f t="shared" ca="1" si="38"/>
        <v>#VALUE!</v>
      </c>
      <c r="EH23" s="16" t="e">
        <f t="shared" ca="1" si="38"/>
        <v>#VALUE!</v>
      </c>
      <c r="EI23" s="13" t="e">
        <f t="shared" ca="1" si="34"/>
        <v>#VALUE!</v>
      </c>
      <c r="EJ23" s="14" t="e">
        <f t="shared" ca="1" si="34"/>
        <v>#VALUE!</v>
      </c>
      <c r="EK23" s="14" t="e">
        <f t="shared" ca="1" si="34"/>
        <v>#VALUE!</v>
      </c>
      <c r="EL23" s="14" t="e">
        <f t="shared" ca="1" si="34"/>
        <v>#VALUE!</v>
      </c>
      <c r="EM23" s="14" t="e">
        <f t="shared" ca="1" si="34"/>
        <v>#VALUE!</v>
      </c>
      <c r="EN23" s="15" t="e">
        <f t="shared" ca="1" si="39"/>
        <v>#VALUE!</v>
      </c>
      <c r="EO23" s="16" t="e">
        <f t="shared" ca="1" si="39"/>
        <v>#VALUE!</v>
      </c>
      <c r="EP23" s="13" t="e">
        <f t="shared" ca="1" si="35"/>
        <v>#VALUE!</v>
      </c>
      <c r="EQ23" s="14" t="e">
        <f t="shared" ca="1" si="35"/>
        <v>#VALUE!</v>
      </c>
      <c r="ER23" s="14" t="e">
        <f t="shared" ca="1" si="35"/>
        <v>#VALUE!</v>
      </c>
      <c r="ES23" s="14" t="e">
        <f t="shared" ca="1" si="35"/>
        <v>#VALUE!</v>
      </c>
      <c r="ET23" s="14" t="e">
        <f t="shared" ca="1" si="35"/>
        <v>#VALUE!</v>
      </c>
      <c r="EU23" s="15" t="e">
        <f t="shared" ca="1" si="40"/>
        <v>#VALUE!</v>
      </c>
      <c r="EV23" s="16" t="e">
        <f t="shared" ca="1" si="40"/>
        <v>#VALUE!</v>
      </c>
      <c r="EW23" s="13" t="e">
        <f t="shared" ca="1" si="36"/>
        <v>#VALUE!</v>
      </c>
      <c r="EX23" s="14" t="e">
        <f t="shared" ca="1" si="36"/>
        <v>#VALUE!</v>
      </c>
      <c r="EY23" s="14" t="e">
        <f t="shared" ca="1" si="36"/>
        <v>#VALUE!</v>
      </c>
      <c r="EZ23" s="14" t="e">
        <f t="shared" ca="1" si="36"/>
        <v>#VALUE!</v>
      </c>
      <c r="FA23" s="14" t="e">
        <f t="shared" ca="1" si="36"/>
        <v>#VALUE!</v>
      </c>
      <c r="FB23" s="15" t="e">
        <f t="shared" ca="1" si="41"/>
        <v>#VALUE!</v>
      </c>
      <c r="FC23" s="16" t="e">
        <f t="shared" ca="1" si="41"/>
        <v>#VALUE!</v>
      </c>
    </row>
    <row r="24" spans="1:159" s="17" customFormat="1" ht="9.6" customHeight="1">
      <c r="A24" s="27" t="e">
        <f ca="1">IFERROR(VLOOKUP(_xlfn.CONCAT(B7,"-","Next"),'DATA BTO'!A:D,4,FALSE),VLOOKUP(_xlfn.CONCAT(B7,"-","Inactif"),'DATA BTO'!A:D,4,FALSE))</f>
        <v>#N/A</v>
      </c>
      <c r="B24" s="28" t="s">
        <v>54</v>
      </c>
      <c r="C24" s="19" t="e">
        <f t="shared" ca="1" si="20"/>
        <v>#VALUE!</v>
      </c>
      <c r="D24" s="20">
        <v>7</v>
      </c>
      <c r="E24" s="19" t="e">
        <f ca="1">(C24+D24)-1</f>
        <v>#VALUE!</v>
      </c>
      <c r="F24" s="13" t="e">
        <f t="shared" ca="1" si="21"/>
        <v>#VALUE!</v>
      </c>
      <c r="G24" s="14" t="e">
        <f t="shared" ca="1" si="21"/>
        <v>#VALUE!</v>
      </c>
      <c r="H24" s="14" t="e">
        <f t="shared" ca="1" si="21"/>
        <v>#VALUE!</v>
      </c>
      <c r="I24" s="14" t="e">
        <f t="shared" ca="1" si="21"/>
        <v>#VALUE!</v>
      </c>
      <c r="J24" s="14" t="e">
        <f t="shared" ca="1" si="21"/>
        <v>#VALUE!</v>
      </c>
      <c r="K24" s="15" t="e">
        <f t="shared" ca="1" si="21"/>
        <v>#VALUE!</v>
      </c>
      <c r="L24" s="16" t="e">
        <f t="shared" ca="1" si="21"/>
        <v>#VALUE!</v>
      </c>
      <c r="M24" s="13" t="e">
        <f t="shared" ca="1" si="21"/>
        <v>#VALUE!</v>
      </c>
      <c r="N24" s="14" t="e">
        <f t="shared" ca="1" si="21"/>
        <v>#VALUE!</v>
      </c>
      <c r="O24" s="14" t="e">
        <f t="shared" ca="1" si="21"/>
        <v>#VALUE!</v>
      </c>
      <c r="P24" s="14" t="e">
        <f t="shared" ca="1" si="22"/>
        <v>#VALUE!</v>
      </c>
      <c r="Q24" s="14" t="e">
        <f t="shared" ca="1" si="22"/>
        <v>#VALUE!</v>
      </c>
      <c r="R24" s="15" t="e">
        <f t="shared" ca="1" si="22"/>
        <v>#VALUE!</v>
      </c>
      <c r="S24" s="16" t="e">
        <f t="shared" ca="1" si="22"/>
        <v>#VALUE!</v>
      </c>
      <c r="T24" s="13" t="e">
        <f t="shared" ca="1" si="22"/>
        <v>#VALUE!</v>
      </c>
      <c r="U24" s="14" t="e">
        <f t="shared" ca="1" si="22"/>
        <v>#VALUE!</v>
      </c>
      <c r="V24" s="14" t="e">
        <f t="shared" ca="1" si="22"/>
        <v>#VALUE!</v>
      </c>
      <c r="W24" s="14" t="e">
        <f t="shared" ca="1" si="22"/>
        <v>#VALUE!</v>
      </c>
      <c r="X24" s="14" t="e">
        <f t="shared" ca="1" si="22"/>
        <v>#VALUE!</v>
      </c>
      <c r="Y24" s="15" t="e">
        <f t="shared" ca="1" si="22"/>
        <v>#VALUE!</v>
      </c>
      <c r="Z24" s="16" t="e">
        <f t="shared" ca="1" si="23"/>
        <v>#VALUE!</v>
      </c>
      <c r="AA24" s="13" t="e">
        <f t="shared" ca="1" si="23"/>
        <v>#VALUE!</v>
      </c>
      <c r="AB24" s="14" t="e">
        <f t="shared" ca="1" si="23"/>
        <v>#VALUE!</v>
      </c>
      <c r="AC24" s="14" t="e">
        <f t="shared" ca="1" si="23"/>
        <v>#VALUE!</v>
      </c>
      <c r="AD24" s="14" t="e">
        <f t="shared" ca="1" si="23"/>
        <v>#VALUE!</v>
      </c>
      <c r="AE24" s="14" t="e">
        <f t="shared" ca="1" si="23"/>
        <v>#VALUE!</v>
      </c>
      <c r="AF24" s="15" t="e">
        <f t="shared" ca="1" si="23"/>
        <v>#VALUE!</v>
      </c>
      <c r="AG24" s="16" t="e">
        <f t="shared" ca="1" si="23"/>
        <v>#VALUE!</v>
      </c>
      <c r="AH24" s="13" t="e">
        <f t="shared" ca="1" si="23"/>
        <v>#VALUE!</v>
      </c>
      <c r="AI24" s="14" t="e">
        <f t="shared" ca="1" si="23"/>
        <v>#VALUE!</v>
      </c>
      <c r="AJ24" s="14" t="e">
        <f t="shared" ca="1" si="24"/>
        <v>#VALUE!</v>
      </c>
      <c r="AK24" s="14" t="e">
        <f t="shared" ca="1" si="24"/>
        <v>#VALUE!</v>
      </c>
      <c r="AL24" s="14" t="e">
        <f t="shared" ca="1" si="24"/>
        <v>#VALUE!</v>
      </c>
      <c r="AM24" s="15" t="e">
        <f t="shared" ca="1" si="24"/>
        <v>#VALUE!</v>
      </c>
      <c r="AN24" s="16" t="e">
        <f t="shared" ca="1" si="24"/>
        <v>#VALUE!</v>
      </c>
      <c r="AO24" s="13" t="e">
        <f t="shared" ca="1" si="24"/>
        <v>#VALUE!</v>
      </c>
      <c r="AP24" s="14" t="e">
        <f t="shared" ca="1" si="24"/>
        <v>#VALUE!</v>
      </c>
      <c r="AQ24" s="14" t="e">
        <f t="shared" ca="1" si="24"/>
        <v>#VALUE!</v>
      </c>
      <c r="AR24" s="14" t="e">
        <f t="shared" ca="1" si="24"/>
        <v>#VALUE!</v>
      </c>
      <c r="AS24" s="14" t="e">
        <f t="shared" ca="1" si="24"/>
        <v>#VALUE!</v>
      </c>
      <c r="AT24" s="15" t="e">
        <f t="shared" ca="1" si="25"/>
        <v>#VALUE!</v>
      </c>
      <c r="AU24" s="16" t="e">
        <f t="shared" ca="1" si="25"/>
        <v>#VALUE!</v>
      </c>
      <c r="AV24" s="13" t="e">
        <f t="shared" ca="1" si="25"/>
        <v>#VALUE!</v>
      </c>
      <c r="AW24" s="14" t="e">
        <f t="shared" ca="1" si="25"/>
        <v>#VALUE!</v>
      </c>
      <c r="AX24" s="14" t="e">
        <f t="shared" ca="1" si="25"/>
        <v>#VALUE!</v>
      </c>
      <c r="AY24" s="14" t="e">
        <f t="shared" ca="1" si="25"/>
        <v>#VALUE!</v>
      </c>
      <c r="AZ24" s="14" t="e">
        <f t="shared" ca="1" si="25"/>
        <v>#VALUE!</v>
      </c>
      <c r="BA24" s="15" t="e">
        <f t="shared" ca="1" si="25"/>
        <v>#VALUE!</v>
      </c>
      <c r="BB24" s="16" t="e">
        <f t="shared" ca="1" si="25"/>
        <v>#VALUE!</v>
      </c>
      <c r="BC24" s="13" t="e">
        <f t="shared" ca="1" si="25"/>
        <v>#VALUE!</v>
      </c>
      <c r="BD24" s="14" t="e">
        <f t="shared" ca="1" si="26"/>
        <v>#VALUE!</v>
      </c>
      <c r="BE24" s="14" t="e">
        <f t="shared" ca="1" si="26"/>
        <v>#VALUE!</v>
      </c>
      <c r="BF24" s="14" t="e">
        <f t="shared" ca="1" si="26"/>
        <v>#VALUE!</v>
      </c>
      <c r="BG24" s="14" t="e">
        <f t="shared" ca="1" si="26"/>
        <v>#VALUE!</v>
      </c>
      <c r="BH24" s="15" t="e">
        <f t="shared" ca="1" si="26"/>
        <v>#VALUE!</v>
      </c>
      <c r="BI24" s="16" t="e">
        <f t="shared" ca="1" si="26"/>
        <v>#VALUE!</v>
      </c>
      <c r="BJ24" s="13" t="e">
        <f t="shared" ca="1" si="26"/>
        <v>#VALUE!</v>
      </c>
      <c r="BK24" s="14" t="e">
        <f t="shared" ca="1" si="26"/>
        <v>#VALUE!</v>
      </c>
      <c r="BL24" s="14" t="e">
        <f t="shared" ca="1" si="26"/>
        <v>#VALUE!</v>
      </c>
      <c r="BM24" s="14" t="e">
        <f t="shared" ca="1" si="26"/>
        <v>#VALUE!</v>
      </c>
      <c r="BN24" s="14" t="e">
        <f t="shared" ca="1" si="27"/>
        <v>#VALUE!</v>
      </c>
      <c r="BO24" s="15" t="e">
        <f t="shared" ca="1" si="27"/>
        <v>#VALUE!</v>
      </c>
      <c r="BP24" s="16" t="e">
        <f t="shared" ca="1" si="27"/>
        <v>#VALUE!</v>
      </c>
      <c r="BQ24" s="13" t="e">
        <f t="shared" ca="1" si="27"/>
        <v>#VALUE!</v>
      </c>
      <c r="BR24" s="14" t="e">
        <f t="shared" ca="1" si="27"/>
        <v>#VALUE!</v>
      </c>
      <c r="BS24" s="14" t="e">
        <f t="shared" ca="1" si="27"/>
        <v>#VALUE!</v>
      </c>
      <c r="BT24" s="14" t="e">
        <f t="shared" ca="1" si="27"/>
        <v>#VALUE!</v>
      </c>
      <c r="BU24" s="14" t="e">
        <f t="shared" ca="1" si="27"/>
        <v>#VALUE!</v>
      </c>
      <c r="BV24" s="15" t="e">
        <f t="shared" ca="1" si="27"/>
        <v>#VALUE!</v>
      </c>
      <c r="BW24" s="16" t="e">
        <f t="shared" ca="1" si="27"/>
        <v>#VALUE!</v>
      </c>
      <c r="BX24" s="13" t="e">
        <f t="shared" ca="1" si="28"/>
        <v>#VALUE!</v>
      </c>
      <c r="BY24" s="14" t="e">
        <f t="shared" ca="1" si="28"/>
        <v>#VALUE!</v>
      </c>
      <c r="BZ24" s="14" t="e">
        <f t="shared" ca="1" si="28"/>
        <v>#VALUE!</v>
      </c>
      <c r="CA24" s="14" t="e">
        <f t="shared" ca="1" si="28"/>
        <v>#VALUE!</v>
      </c>
      <c r="CB24" s="14" t="e">
        <f t="shared" ca="1" si="28"/>
        <v>#VALUE!</v>
      </c>
      <c r="CC24" s="15" t="e">
        <f t="shared" ca="1" si="28"/>
        <v>#VALUE!</v>
      </c>
      <c r="CD24" s="16" t="e">
        <f t="shared" ca="1" si="28"/>
        <v>#VALUE!</v>
      </c>
      <c r="CE24" s="13" t="e">
        <f t="shared" ca="1" si="28"/>
        <v>#VALUE!</v>
      </c>
      <c r="CF24" s="14" t="e">
        <f t="shared" ca="1" si="28"/>
        <v>#VALUE!</v>
      </c>
      <c r="CG24" s="14" t="e">
        <f t="shared" ca="1" si="28"/>
        <v>#VALUE!</v>
      </c>
      <c r="CH24" s="14" t="e">
        <f t="shared" ca="1" si="29"/>
        <v>#VALUE!</v>
      </c>
      <c r="CI24" s="14" t="e">
        <f t="shared" ca="1" si="29"/>
        <v>#VALUE!</v>
      </c>
      <c r="CJ24" s="15" t="e">
        <f t="shared" ca="1" si="29"/>
        <v>#VALUE!</v>
      </c>
      <c r="CK24" s="16" t="e">
        <f t="shared" ca="1" si="29"/>
        <v>#VALUE!</v>
      </c>
      <c r="CL24" s="13" t="e">
        <f t="shared" ca="1" si="29"/>
        <v>#VALUE!</v>
      </c>
      <c r="CM24" s="14" t="e">
        <f t="shared" ca="1" si="29"/>
        <v>#VALUE!</v>
      </c>
      <c r="CN24" s="14" t="e">
        <f t="shared" ca="1" si="29"/>
        <v>#VALUE!</v>
      </c>
      <c r="CO24" s="14" t="e">
        <f t="shared" ca="1" si="29"/>
        <v>#VALUE!</v>
      </c>
      <c r="CP24" s="14" t="e">
        <f t="shared" ca="1" si="29"/>
        <v>#VALUE!</v>
      </c>
      <c r="CQ24" s="15" t="e">
        <f t="shared" ca="1" si="29"/>
        <v>#VALUE!</v>
      </c>
      <c r="CR24" s="16" t="e">
        <f t="shared" ca="1" si="30"/>
        <v>#VALUE!</v>
      </c>
      <c r="CS24" s="13" t="e">
        <f t="shared" ca="1" si="30"/>
        <v>#VALUE!</v>
      </c>
      <c r="CT24" s="14" t="e">
        <f t="shared" ca="1" si="30"/>
        <v>#VALUE!</v>
      </c>
      <c r="CU24" s="14" t="e">
        <f t="shared" ca="1" si="30"/>
        <v>#VALUE!</v>
      </c>
      <c r="CV24" s="14" t="e">
        <f t="shared" ca="1" si="30"/>
        <v>#VALUE!</v>
      </c>
      <c r="CW24" s="14" t="e">
        <f t="shared" ca="1" si="30"/>
        <v>#VALUE!</v>
      </c>
      <c r="CX24" s="15" t="e">
        <f t="shared" ca="1" si="30"/>
        <v>#VALUE!</v>
      </c>
      <c r="CY24" s="16" t="e">
        <f t="shared" ca="1" si="30"/>
        <v>#VALUE!</v>
      </c>
      <c r="CZ24" s="13" t="e">
        <f t="shared" ca="1" si="30"/>
        <v>#VALUE!</v>
      </c>
      <c r="DA24" s="14" t="e">
        <f t="shared" ca="1" si="30"/>
        <v>#VALUE!</v>
      </c>
      <c r="DB24" s="14" t="e">
        <f t="shared" ca="1" si="31"/>
        <v>#VALUE!</v>
      </c>
      <c r="DC24" s="14" t="e">
        <f t="shared" ca="1" si="31"/>
        <v>#VALUE!</v>
      </c>
      <c r="DD24" s="14" t="e">
        <f t="shared" ca="1" si="31"/>
        <v>#VALUE!</v>
      </c>
      <c r="DE24" s="15" t="e">
        <f t="shared" ca="1" si="31"/>
        <v>#VALUE!</v>
      </c>
      <c r="DF24" s="16" t="e">
        <f t="shared" ca="1" si="31"/>
        <v>#VALUE!</v>
      </c>
      <c r="DG24" s="13" t="e">
        <f t="shared" ca="1" si="31"/>
        <v>#VALUE!</v>
      </c>
      <c r="DH24" s="14" t="e">
        <f t="shared" ca="1" si="31"/>
        <v>#VALUE!</v>
      </c>
      <c r="DI24" s="14" t="e">
        <f t="shared" ca="1" si="31"/>
        <v>#VALUE!</v>
      </c>
      <c r="DJ24" s="14" t="e">
        <f t="shared" ca="1" si="31"/>
        <v>#VALUE!</v>
      </c>
      <c r="DK24" s="14" t="e">
        <f t="shared" ca="1" si="31"/>
        <v>#VALUE!</v>
      </c>
      <c r="DL24" s="15" t="e">
        <f t="shared" ca="1" si="32"/>
        <v>#VALUE!</v>
      </c>
      <c r="DM24" s="16" t="e">
        <f t="shared" ca="1" si="32"/>
        <v>#VALUE!</v>
      </c>
      <c r="DN24" s="13" t="e">
        <f t="shared" ca="1" si="32"/>
        <v>#VALUE!</v>
      </c>
      <c r="DO24" s="14" t="e">
        <f t="shared" ca="1" si="32"/>
        <v>#VALUE!</v>
      </c>
      <c r="DP24" s="14" t="e">
        <f t="shared" ca="1" si="32"/>
        <v>#VALUE!</v>
      </c>
      <c r="DQ24" s="14" t="e">
        <f t="shared" ca="1" si="32"/>
        <v>#VALUE!</v>
      </c>
      <c r="DR24" s="14" t="e">
        <f t="shared" ca="1" si="32"/>
        <v>#VALUE!</v>
      </c>
      <c r="DS24" s="15" t="e">
        <f t="shared" ca="1" si="37"/>
        <v>#VALUE!</v>
      </c>
      <c r="DT24" s="16" t="e">
        <f t="shared" ca="1" si="37"/>
        <v>#VALUE!</v>
      </c>
      <c r="DU24" s="13" t="e">
        <f t="shared" ca="1" si="33"/>
        <v>#VALUE!</v>
      </c>
      <c r="DV24" s="14" t="e">
        <f t="shared" ca="1" si="33"/>
        <v>#VALUE!</v>
      </c>
      <c r="DW24" s="14" t="e">
        <f t="shared" ca="1" si="33"/>
        <v>#VALUE!</v>
      </c>
      <c r="DX24" s="14" t="e">
        <f t="shared" ca="1" si="33"/>
        <v>#VALUE!</v>
      </c>
      <c r="DY24" s="14" t="e">
        <f t="shared" ca="1" si="33"/>
        <v>#VALUE!</v>
      </c>
      <c r="DZ24" s="15" t="e">
        <f t="shared" ca="1" si="33"/>
        <v>#VALUE!</v>
      </c>
      <c r="EA24" s="16" t="e">
        <f t="shared" ca="1" si="33"/>
        <v>#VALUE!</v>
      </c>
      <c r="EB24" s="13" t="e">
        <f t="shared" ca="1" si="33"/>
        <v>#VALUE!</v>
      </c>
      <c r="EC24" s="14" t="e">
        <f t="shared" ca="1" si="33"/>
        <v>#VALUE!</v>
      </c>
      <c r="ED24" s="14" t="e">
        <f t="shared" ca="1" si="33"/>
        <v>#VALUE!</v>
      </c>
      <c r="EE24" s="14" t="e">
        <f t="shared" ca="1" si="33"/>
        <v>#VALUE!</v>
      </c>
      <c r="EF24" s="14" t="e">
        <f t="shared" ca="1" si="33"/>
        <v>#VALUE!</v>
      </c>
      <c r="EG24" s="15" t="e">
        <f t="shared" ca="1" si="38"/>
        <v>#VALUE!</v>
      </c>
      <c r="EH24" s="16" t="e">
        <f t="shared" ca="1" si="38"/>
        <v>#VALUE!</v>
      </c>
      <c r="EI24" s="13" t="e">
        <f t="shared" ca="1" si="34"/>
        <v>#VALUE!</v>
      </c>
      <c r="EJ24" s="14" t="e">
        <f t="shared" ca="1" si="34"/>
        <v>#VALUE!</v>
      </c>
      <c r="EK24" s="14" t="e">
        <f t="shared" ca="1" si="34"/>
        <v>#VALUE!</v>
      </c>
      <c r="EL24" s="14" t="e">
        <f t="shared" ca="1" si="34"/>
        <v>#VALUE!</v>
      </c>
      <c r="EM24" s="14" t="e">
        <f t="shared" ca="1" si="34"/>
        <v>#VALUE!</v>
      </c>
      <c r="EN24" s="15" t="e">
        <f t="shared" ca="1" si="39"/>
        <v>#VALUE!</v>
      </c>
      <c r="EO24" s="16" t="e">
        <f t="shared" ca="1" si="39"/>
        <v>#VALUE!</v>
      </c>
      <c r="EP24" s="13" t="e">
        <f t="shared" ca="1" si="35"/>
        <v>#VALUE!</v>
      </c>
      <c r="EQ24" s="14" t="e">
        <f t="shared" ca="1" si="35"/>
        <v>#VALUE!</v>
      </c>
      <c r="ER24" s="14" t="e">
        <f t="shared" ca="1" si="35"/>
        <v>#VALUE!</v>
      </c>
      <c r="ES24" s="14" t="e">
        <f t="shared" ca="1" si="35"/>
        <v>#VALUE!</v>
      </c>
      <c r="ET24" s="14" t="e">
        <f t="shared" ca="1" si="35"/>
        <v>#VALUE!</v>
      </c>
      <c r="EU24" s="15" t="e">
        <f t="shared" ca="1" si="40"/>
        <v>#VALUE!</v>
      </c>
      <c r="EV24" s="16" t="e">
        <f t="shared" ca="1" si="40"/>
        <v>#VALUE!</v>
      </c>
      <c r="EW24" s="13" t="e">
        <f t="shared" ca="1" si="36"/>
        <v>#VALUE!</v>
      </c>
      <c r="EX24" s="14" t="e">
        <f t="shared" ca="1" si="36"/>
        <v>#VALUE!</v>
      </c>
      <c r="EY24" s="14" t="e">
        <f t="shared" ca="1" si="36"/>
        <v>#VALUE!</v>
      </c>
      <c r="EZ24" s="14" t="e">
        <f t="shared" ca="1" si="36"/>
        <v>#VALUE!</v>
      </c>
      <c r="FA24" s="14" t="e">
        <f t="shared" ca="1" si="36"/>
        <v>#VALUE!</v>
      </c>
      <c r="FB24" s="15" t="e">
        <f t="shared" ca="1" si="41"/>
        <v>#VALUE!</v>
      </c>
      <c r="FC24" s="16" t="e">
        <f t="shared" ca="1" si="41"/>
        <v>#VALUE!</v>
      </c>
    </row>
    <row r="25" spans="1:159" s="17" customFormat="1" ht="9.6" customHeight="1">
      <c r="A25" s="90" t="str">
        <f>_xlfn.CONCAT(B7,"-","Actif")</f>
        <v>931-Actif</v>
      </c>
      <c r="B25" s="28" t="s">
        <v>55</v>
      </c>
      <c r="C25" s="19" t="e">
        <f t="shared" ca="1" si="20"/>
        <v>#VALUE!</v>
      </c>
      <c r="D25" s="20">
        <v>7</v>
      </c>
      <c r="E25" s="19" t="e">
        <f ca="1">(C25+D25+C40)-1</f>
        <v>#VALUE!</v>
      </c>
      <c r="F25" s="13" t="e">
        <f t="shared" ref="F25:AK25" ca="1" si="42">IF(AND(F$5&gt;=$C25+$C$40,F$5&lt;=$E25),1,"")</f>
        <v>#VALUE!</v>
      </c>
      <c r="G25" s="14" t="e">
        <f t="shared" ca="1" si="42"/>
        <v>#VALUE!</v>
      </c>
      <c r="H25" s="14" t="e">
        <f t="shared" ca="1" si="42"/>
        <v>#VALUE!</v>
      </c>
      <c r="I25" s="14" t="e">
        <f t="shared" ca="1" si="42"/>
        <v>#VALUE!</v>
      </c>
      <c r="J25" s="14" t="e">
        <f t="shared" ca="1" si="42"/>
        <v>#VALUE!</v>
      </c>
      <c r="K25" s="15" t="e">
        <f t="shared" ca="1" si="42"/>
        <v>#VALUE!</v>
      </c>
      <c r="L25" s="16" t="e">
        <f t="shared" ca="1" si="42"/>
        <v>#VALUE!</v>
      </c>
      <c r="M25" s="13" t="e">
        <f t="shared" ca="1" si="42"/>
        <v>#VALUE!</v>
      </c>
      <c r="N25" s="14" t="e">
        <f t="shared" ca="1" si="42"/>
        <v>#VALUE!</v>
      </c>
      <c r="O25" s="14" t="e">
        <f t="shared" ca="1" si="42"/>
        <v>#VALUE!</v>
      </c>
      <c r="P25" s="14" t="e">
        <f t="shared" ca="1" si="42"/>
        <v>#VALUE!</v>
      </c>
      <c r="Q25" s="14" t="e">
        <f t="shared" ca="1" si="42"/>
        <v>#VALUE!</v>
      </c>
      <c r="R25" s="15" t="e">
        <f t="shared" ca="1" si="42"/>
        <v>#VALUE!</v>
      </c>
      <c r="S25" s="16" t="e">
        <f t="shared" ca="1" si="42"/>
        <v>#VALUE!</v>
      </c>
      <c r="T25" s="13" t="e">
        <f t="shared" ca="1" si="42"/>
        <v>#VALUE!</v>
      </c>
      <c r="U25" s="14" t="e">
        <f t="shared" ca="1" si="42"/>
        <v>#VALUE!</v>
      </c>
      <c r="V25" s="14" t="e">
        <f t="shared" ca="1" si="42"/>
        <v>#VALUE!</v>
      </c>
      <c r="W25" s="14" t="e">
        <f t="shared" ca="1" si="42"/>
        <v>#VALUE!</v>
      </c>
      <c r="X25" s="14" t="e">
        <f t="shared" ca="1" si="42"/>
        <v>#VALUE!</v>
      </c>
      <c r="Y25" s="15" t="e">
        <f t="shared" ca="1" si="42"/>
        <v>#VALUE!</v>
      </c>
      <c r="Z25" s="16" t="e">
        <f t="shared" ca="1" si="42"/>
        <v>#VALUE!</v>
      </c>
      <c r="AA25" s="13" t="e">
        <f t="shared" ca="1" si="42"/>
        <v>#VALUE!</v>
      </c>
      <c r="AB25" s="14" t="e">
        <f t="shared" ca="1" si="42"/>
        <v>#VALUE!</v>
      </c>
      <c r="AC25" s="14" t="e">
        <f t="shared" ca="1" si="42"/>
        <v>#VALUE!</v>
      </c>
      <c r="AD25" s="14" t="e">
        <f t="shared" ca="1" si="42"/>
        <v>#VALUE!</v>
      </c>
      <c r="AE25" s="14" t="e">
        <f t="shared" ca="1" si="42"/>
        <v>#VALUE!</v>
      </c>
      <c r="AF25" s="15" t="e">
        <f t="shared" ca="1" si="42"/>
        <v>#VALUE!</v>
      </c>
      <c r="AG25" s="16" t="e">
        <f t="shared" ca="1" si="42"/>
        <v>#VALUE!</v>
      </c>
      <c r="AH25" s="13" t="e">
        <f t="shared" ca="1" si="42"/>
        <v>#VALUE!</v>
      </c>
      <c r="AI25" s="14" t="e">
        <f t="shared" ca="1" si="42"/>
        <v>#VALUE!</v>
      </c>
      <c r="AJ25" s="14" t="e">
        <f t="shared" ca="1" si="42"/>
        <v>#VALUE!</v>
      </c>
      <c r="AK25" s="14" t="e">
        <f t="shared" ca="1" si="42"/>
        <v>#VALUE!</v>
      </c>
      <c r="AL25" s="14" t="e">
        <f t="shared" ref="AL25:BQ25" ca="1" si="43">IF(AND(AL$5&gt;=$C25+$C$40,AL$5&lt;=$E25),1,"")</f>
        <v>#VALUE!</v>
      </c>
      <c r="AM25" s="15" t="e">
        <f t="shared" ca="1" si="43"/>
        <v>#VALUE!</v>
      </c>
      <c r="AN25" s="16" t="e">
        <f t="shared" ca="1" si="43"/>
        <v>#VALUE!</v>
      </c>
      <c r="AO25" s="13" t="e">
        <f t="shared" ca="1" si="43"/>
        <v>#VALUE!</v>
      </c>
      <c r="AP25" s="14" t="e">
        <f t="shared" ca="1" si="43"/>
        <v>#VALUE!</v>
      </c>
      <c r="AQ25" s="14" t="e">
        <f t="shared" ca="1" si="43"/>
        <v>#VALUE!</v>
      </c>
      <c r="AR25" s="14" t="e">
        <f t="shared" ca="1" si="43"/>
        <v>#VALUE!</v>
      </c>
      <c r="AS25" s="14" t="e">
        <f t="shared" ca="1" si="43"/>
        <v>#VALUE!</v>
      </c>
      <c r="AT25" s="15" t="e">
        <f t="shared" ca="1" si="43"/>
        <v>#VALUE!</v>
      </c>
      <c r="AU25" s="16" t="e">
        <f t="shared" ca="1" si="43"/>
        <v>#VALUE!</v>
      </c>
      <c r="AV25" s="13" t="e">
        <f t="shared" ca="1" si="43"/>
        <v>#VALUE!</v>
      </c>
      <c r="AW25" s="14" t="e">
        <f t="shared" ca="1" si="43"/>
        <v>#VALUE!</v>
      </c>
      <c r="AX25" s="14" t="e">
        <f t="shared" ca="1" si="43"/>
        <v>#VALUE!</v>
      </c>
      <c r="AY25" s="14" t="e">
        <f t="shared" ca="1" si="43"/>
        <v>#VALUE!</v>
      </c>
      <c r="AZ25" s="14" t="e">
        <f t="shared" ca="1" si="43"/>
        <v>#VALUE!</v>
      </c>
      <c r="BA25" s="15" t="e">
        <f t="shared" ca="1" si="43"/>
        <v>#VALUE!</v>
      </c>
      <c r="BB25" s="16" t="e">
        <f t="shared" ca="1" si="43"/>
        <v>#VALUE!</v>
      </c>
      <c r="BC25" s="13" t="e">
        <f t="shared" ca="1" si="43"/>
        <v>#VALUE!</v>
      </c>
      <c r="BD25" s="14" t="e">
        <f t="shared" ca="1" si="43"/>
        <v>#VALUE!</v>
      </c>
      <c r="BE25" s="14" t="e">
        <f t="shared" ca="1" si="43"/>
        <v>#VALUE!</v>
      </c>
      <c r="BF25" s="14" t="e">
        <f t="shared" ca="1" si="43"/>
        <v>#VALUE!</v>
      </c>
      <c r="BG25" s="14" t="e">
        <f t="shared" ca="1" si="43"/>
        <v>#VALUE!</v>
      </c>
      <c r="BH25" s="15" t="e">
        <f t="shared" ca="1" si="43"/>
        <v>#VALUE!</v>
      </c>
      <c r="BI25" s="16" t="e">
        <f t="shared" ca="1" si="43"/>
        <v>#VALUE!</v>
      </c>
      <c r="BJ25" s="13" t="e">
        <f t="shared" ca="1" si="43"/>
        <v>#VALUE!</v>
      </c>
      <c r="BK25" s="14" t="e">
        <f t="shared" ca="1" si="43"/>
        <v>#VALUE!</v>
      </c>
      <c r="BL25" s="14" t="e">
        <f t="shared" ca="1" si="43"/>
        <v>#VALUE!</v>
      </c>
      <c r="BM25" s="14" t="e">
        <f t="shared" ca="1" si="43"/>
        <v>#VALUE!</v>
      </c>
      <c r="BN25" s="14" t="e">
        <f t="shared" ca="1" si="43"/>
        <v>#VALUE!</v>
      </c>
      <c r="BO25" s="15" t="e">
        <f t="shared" ca="1" si="43"/>
        <v>#VALUE!</v>
      </c>
      <c r="BP25" s="16" t="e">
        <f t="shared" ca="1" si="43"/>
        <v>#VALUE!</v>
      </c>
      <c r="BQ25" s="13" t="e">
        <f t="shared" ca="1" si="43"/>
        <v>#VALUE!</v>
      </c>
      <c r="BR25" s="14" t="e">
        <f t="shared" ref="BR25:CW25" ca="1" si="44">IF(AND(BR$5&gt;=$C25+$C$40,BR$5&lt;=$E25),1,"")</f>
        <v>#VALUE!</v>
      </c>
      <c r="BS25" s="14" t="e">
        <f t="shared" ca="1" si="44"/>
        <v>#VALUE!</v>
      </c>
      <c r="BT25" s="14" t="e">
        <f t="shared" ca="1" si="44"/>
        <v>#VALUE!</v>
      </c>
      <c r="BU25" s="14" t="e">
        <f t="shared" ca="1" si="44"/>
        <v>#VALUE!</v>
      </c>
      <c r="BV25" s="15" t="e">
        <f t="shared" ca="1" si="44"/>
        <v>#VALUE!</v>
      </c>
      <c r="BW25" s="16" t="e">
        <f t="shared" ca="1" si="44"/>
        <v>#VALUE!</v>
      </c>
      <c r="BX25" s="13" t="e">
        <f t="shared" ca="1" si="44"/>
        <v>#VALUE!</v>
      </c>
      <c r="BY25" s="14" t="e">
        <f t="shared" ca="1" si="44"/>
        <v>#VALUE!</v>
      </c>
      <c r="BZ25" s="14" t="e">
        <f t="shared" ca="1" si="44"/>
        <v>#VALUE!</v>
      </c>
      <c r="CA25" s="14" t="e">
        <f t="shared" ca="1" si="44"/>
        <v>#VALUE!</v>
      </c>
      <c r="CB25" s="14" t="e">
        <f t="shared" ca="1" si="44"/>
        <v>#VALUE!</v>
      </c>
      <c r="CC25" s="15" t="e">
        <f t="shared" ca="1" si="44"/>
        <v>#VALUE!</v>
      </c>
      <c r="CD25" s="16" t="e">
        <f t="shared" ca="1" si="44"/>
        <v>#VALUE!</v>
      </c>
      <c r="CE25" s="13" t="e">
        <f t="shared" ca="1" si="44"/>
        <v>#VALUE!</v>
      </c>
      <c r="CF25" s="14" t="e">
        <f t="shared" ca="1" si="44"/>
        <v>#VALUE!</v>
      </c>
      <c r="CG25" s="14" t="e">
        <f t="shared" ca="1" si="44"/>
        <v>#VALUE!</v>
      </c>
      <c r="CH25" s="14" t="e">
        <f t="shared" ca="1" si="44"/>
        <v>#VALUE!</v>
      </c>
      <c r="CI25" s="14" t="e">
        <f t="shared" ca="1" si="44"/>
        <v>#VALUE!</v>
      </c>
      <c r="CJ25" s="15" t="e">
        <f t="shared" ca="1" si="44"/>
        <v>#VALUE!</v>
      </c>
      <c r="CK25" s="16" t="e">
        <f t="shared" ca="1" si="44"/>
        <v>#VALUE!</v>
      </c>
      <c r="CL25" s="13" t="e">
        <f t="shared" ca="1" si="44"/>
        <v>#VALUE!</v>
      </c>
      <c r="CM25" s="14" t="e">
        <f t="shared" ca="1" si="44"/>
        <v>#VALUE!</v>
      </c>
      <c r="CN25" s="14" t="e">
        <f t="shared" ca="1" si="44"/>
        <v>#VALUE!</v>
      </c>
      <c r="CO25" s="14" t="e">
        <f t="shared" ca="1" si="44"/>
        <v>#VALUE!</v>
      </c>
      <c r="CP25" s="14" t="e">
        <f t="shared" ca="1" si="44"/>
        <v>#VALUE!</v>
      </c>
      <c r="CQ25" s="15" t="e">
        <f t="shared" ca="1" si="44"/>
        <v>#VALUE!</v>
      </c>
      <c r="CR25" s="16" t="e">
        <f t="shared" ca="1" si="44"/>
        <v>#VALUE!</v>
      </c>
      <c r="CS25" s="13" t="e">
        <f t="shared" ca="1" si="44"/>
        <v>#VALUE!</v>
      </c>
      <c r="CT25" s="14" t="e">
        <f t="shared" ca="1" si="44"/>
        <v>#VALUE!</v>
      </c>
      <c r="CU25" s="14" t="e">
        <f t="shared" ca="1" si="44"/>
        <v>#VALUE!</v>
      </c>
      <c r="CV25" s="14" t="e">
        <f t="shared" ca="1" si="44"/>
        <v>#VALUE!</v>
      </c>
      <c r="CW25" s="14" t="e">
        <f t="shared" ca="1" si="44"/>
        <v>#VALUE!</v>
      </c>
      <c r="CX25" s="15" t="e">
        <f t="shared" ref="CX25:EC25" ca="1" si="45">IF(AND(CX$5&gt;=$C25+$C$40,CX$5&lt;=$E25),1,"")</f>
        <v>#VALUE!</v>
      </c>
      <c r="CY25" s="16" t="e">
        <f t="shared" ca="1" si="45"/>
        <v>#VALUE!</v>
      </c>
      <c r="CZ25" s="13" t="e">
        <f t="shared" ca="1" si="45"/>
        <v>#VALUE!</v>
      </c>
      <c r="DA25" s="14" t="e">
        <f t="shared" ca="1" si="45"/>
        <v>#VALUE!</v>
      </c>
      <c r="DB25" s="14" t="e">
        <f t="shared" ca="1" si="45"/>
        <v>#VALUE!</v>
      </c>
      <c r="DC25" s="14" t="e">
        <f t="shared" ca="1" si="45"/>
        <v>#VALUE!</v>
      </c>
      <c r="DD25" s="14" t="e">
        <f t="shared" ca="1" si="45"/>
        <v>#VALUE!</v>
      </c>
      <c r="DE25" s="15" t="e">
        <f t="shared" ca="1" si="45"/>
        <v>#VALUE!</v>
      </c>
      <c r="DF25" s="16" t="e">
        <f t="shared" ca="1" si="45"/>
        <v>#VALUE!</v>
      </c>
      <c r="DG25" s="13" t="e">
        <f t="shared" ca="1" si="45"/>
        <v>#VALUE!</v>
      </c>
      <c r="DH25" s="14" t="e">
        <f t="shared" ca="1" si="45"/>
        <v>#VALUE!</v>
      </c>
      <c r="DI25" s="14" t="e">
        <f t="shared" ca="1" si="45"/>
        <v>#VALUE!</v>
      </c>
      <c r="DJ25" s="14" t="e">
        <f t="shared" ca="1" si="45"/>
        <v>#VALUE!</v>
      </c>
      <c r="DK25" s="14" t="e">
        <f t="shared" ca="1" si="45"/>
        <v>#VALUE!</v>
      </c>
      <c r="DL25" s="15" t="e">
        <f t="shared" ca="1" si="45"/>
        <v>#VALUE!</v>
      </c>
      <c r="DM25" s="16" t="e">
        <f t="shared" ca="1" si="45"/>
        <v>#VALUE!</v>
      </c>
      <c r="DN25" s="13" t="e">
        <f t="shared" ca="1" si="45"/>
        <v>#VALUE!</v>
      </c>
      <c r="DO25" s="14" t="e">
        <f t="shared" ca="1" si="45"/>
        <v>#VALUE!</v>
      </c>
      <c r="DP25" s="14" t="e">
        <f t="shared" ca="1" si="45"/>
        <v>#VALUE!</v>
      </c>
      <c r="DQ25" s="14" t="e">
        <f t="shared" ca="1" si="45"/>
        <v>#VALUE!</v>
      </c>
      <c r="DR25" s="14" t="e">
        <f t="shared" ca="1" si="45"/>
        <v>#VALUE!</v>
      </c>
      <c r="DS25" s="15" t="e">
        <f t="shared" ca="1" si="45"/>
        <v>#VALUE!</v>
      </c>
      <c r="DT25" s="16" t="e">
        <f t="shared" ca="1" si="45"/>
        <v>#VALUE!</v>
      </c>
      <c r="DU25" s="13" t="e">
        <f t="shared" ca="1" si="45"/>
        <v>#VALUE!</v>
      </c>
      <c r="DV25" s="14" t="e">
        <f t="shared" ca="1" si="45"/>
        <v>#VALUE!</v>
      </c>
      <c r="DW25" s="14" t="e">
        <f t="shared" ca="1" si="45"/>
        <v>#VALUE!</v>
      </c>
      <c r="DX25" s="14" t="e">
        <f t="shared" ca="1" si="45"/>
        <v>#VALUE!</v>
      </c>
      <c r="DY25" s="14" t="e">
        <f t="shared" ca="1" si="45"/>
        <v>#VALUE!</v>
      </c>
      <c r="DZ25" s="15" t="e">
        <f t="shared" ca="1" si="45"/>
        <v>#VALUE!</v>
      </c>
      <c r="EA25" s="16" t="e">
        <f t="shared" ca="1" si="45"/>
        <v>#VALUE!</v>
      </c>
      <c r="EB25" s="13" t="e">
        <f t="shared" ca="1" si="45"/>
        <v>#VALUE!</v>
      </c>
      <c r="EC25" s="14" t="e">
        <f t="shared" ca="1" si="45"/>
        <v>#VALUE!</v>
      </c>
      <c r="ED25" s="14" t="e">
        <f t="shared" ref="ED25:FC25" ca="1" si="46">IF(AND(ED$5&gt;=$C25+$C$40,ED$5&lt;=$E25),1,"")</f>
        <v>#VALUE!</v>
      </c>
      <c r="EE25" s="14" t="e">
        <f t="shared" ca="1" si="46"/>
        <v>#VALUE!</v>
      </c>
      <c r="EF25" s="14" t="e">
        <f t="shared" ca="1" si="46"/>
        <v>#VALUE!</v>
      </c>
      <c r="EG25" s="15" t="e">
        <f t="shared" ca="1" si="46"/>
        <v>#VALUE!</v>
      </c>
      <c r="EH25" s="16" t="e">
        <f t="shared" ca="1" si="46"/>
        <v>#VALUE!</v>
      </c>
      <c r="EI25" s="13" t="e">
        <f t="shared" ca="1" si="46"/>
        <v>#VALUE!</v>
      </c>
      <c r="EJ25" s="14" t="e">
        <f t="shared" ca="1" si="46"/>
        <v>#VALUE!</v>
      </c>
      <c r="EK25" s="14" t="e">
        <f t="shared" ca="1" si="46"/>
        <v>#VALUE!</v>
      </c>
      <c r="EL25" s="14" t="e">
        <f t="shared" ca="1" si="46"/>
        <v>#VALUE!</v>
      </c>
      <c r="EM25" s="14" t="e">
        <f t="shared" ca="1" si="46"/>
        <v>#VALUE!</v>
      </c>
      <c r="EN25" s="15" t="e">
        <f t="shared" ca="1" si="46"/>
        <v>#VALUE!</v>
      </c>
      <c r="EO25" s="16" t="e">
        <f t="shared" ca="1" si="46"/>
        <v>#VALUE!</v>
      </c>
      <c r="EP25" s="13" t="e">
        <f t="shared" ca="1" si="46"/>
        <v>#VALUE!</v>
      </c>
      <c r="EQ25" s="14" t="e">
        <f t="shared" ca="1" si="46"/>
        <v>#VALUE!</v>
      </c>
      <c r="ER25" s="14" t="e">
        <f t="shared" ca="1" si="46"/>
        <v>#VALUE!</v>
      </c>
      <c r="ES25" s="14" t="e">
        <f t="shared" ca="1" si="46"/>
        <v>#VALUE!</v>
      </c>
      <c r="ET25" s="14" t="e">
        <f t="shared" ca="1" si="46"/>
        <v>#VALUE!</v>
      </c>
      <c r="EU25" s="15" t="e">
        <f t="shared" ca="1" si="46"/>
        <v>#VALUE!</v>
      </c>
      <c r="EV25" s="16" t="e">
        <f t="shared" ca="1" si="46"/>
        <v>#VALUE!</v>
      </c>
      <c r="EW25" s="13" t="e">
        <f t="shared" ca="1" si="46"/>
        <v>#VALUE!</v>
      </c>
      <c r="EX25" s="14" t="e">
        <f t="shared" ca="1" si="46"/>
        <v>#VALUE!</v>
      </c>
      <c r="EY25" s="14" t="e">
        <f t="shared" ca="1" si="46"/>
        <v>#VALUE!</v>
      </c>
      <c r="EZ25" s="14" t="e">
        <f t="shared" ca="1" si="46"/>
        <v>#VALUE!</v>
      </c>
      <c r="FA25" s="14" t="e">
        <f t="shared" ca="1" si="46"/>
        <v>#VALUE!</v>
      </c>
      <c r="FB25" s="15" t="e">
        <f t="shared" ca="1" si="46"/>
        <v>#VALUE!</v>
      </c>
      <c r="FC25" s="16" t="e">
        <f t="shared" ca="1" si="46"/>
        <v>#VALUE!</v>
      </c>
    </row>
    <row r="26" spans="1:159" s="17" customFormat="1" ht="6" customHeight="1"/>
    <row r="27" spans="1:159" s="17" customFormat="1" ht="15" customHeight="1">
      <c r="A27" s="554" t="s">
        <v>56</v>
      </c>
      <c r="B27" s="535"/>
      <c r="C27" s="555" t="e">
        <f ca="1">C15-C11</f>
        <v>#VALUE!</v>
      </c>
      <c r="D27" s="535"/>
      <c r="E27" s="537"/>
      <c r="F27" s="14" t="e">
        <f t="shared" ref="F27:AK27" ca="1" si="47">IF(AND(F$5&gt;=$C$11,F$5&lt;=$E$15-1),1,"")</f>
        <v>#VALUE!</v>
      </c>
      <c r="G27" s="14" t="e">
        <f t="shared" ca="1" si="47"/>
        <v>#VALUE!</v>
      </c>
      <c r="H27" s="14" t="e">
        <f t="shared" ca="1" si="47"/>
        <v>#VALUE!</v>
      </c>
      <c r="I27" s="14" t="e">
        <f t="shared" ca="1" si="47"/>
        <v>#VALUE!</v>
      </c>
      <c r="J27" s="14" t="e">
        <f t="shared" ca="1" si="47"/>
        <v>#VALUE!</v>
      </c>
      <c r="K27" s="15" t="e">
        <f t="shared" ca="1" si="47"/>
        <v>#VALUE!</v>
      </c>
      <c r="L27" s="16" t="e">
        <f t="shared" ca="1" si="47"/>
        <v>#VALUE!</v>
      </c>
      <c r="M27" s="13" t="e">
        <f t="shared" ca="1" si="47"/>
        <v>#VALUE!</v>
      </c>
      <c r="N27" s="14" t="e">
        <f t="shared" ca="1" si="47"/>
        <v>#VALUE!</v>
      </c>
      <c r="O27" s="14" t="e">
        <f t="shared" ca="1" si="47"/>
        <v>#VALUE!</v>
      </c>
      <c r="P27" s="14" t="e">
        <f t="shared" ca="1" si="47"/>
        <v>#VALUE!</v>
      </c>
      <c r="Q27" s="14" t="e">
        <f t="shared" ca="1" si="47"/>
        <v>#VALUE!</v>
      </c>
      <c r="R27" s="15" t="e">
        <f t="shared" ca="1" si="47"/>
        <v>#VALUE!</v>
      </c>
      <c r="S27" s="16" t="e">
        <f t="shared" ca="1" si="47"/>
        <v>#VALUE!</v>
      </c>
      <c r="T27" s="13" t="e">
        <f t="shared" ca="1" si="47"/>
        <v>#VALUE!</v>
      </c>
      <c r="U27" s="14" t="e">
        <f t="shared" ca="1" si="47"/>
        <v>#VALUE!</v>
      </c>
      <c r="V27" s="14" t="e">
        <f t="shared" ca="1" si="47"/>
        <v>#VALUE!</v>
      </c>
      <c r="W27" s="14" t="e">
        <f t="shared" ca="1" si="47"/>
        <v>#VALUE!</v>
      </c>
      <c r="X27" s="14" t="e">
        <f t="shared" ca="1" si="47"/>
        <v>#VALUE!</v>
      </c>
      <c r="Y27" s="15" t="e">
        <f t="shared" ca="1" si="47"/>
        <v>#VALUE!</v>
      </c>
      <c r="Z27" s="16" t="e">
        <f t="shared" ca="1" si="47"/>
        <v>#VALUE!</v>
      </c>
      <c r="AA27" s="13" t="e">
        <f t="shared" ca="1" si="47"/>
        <v>#VALUE!</v>
      </c>
      <c r="AB27" s="14" t="e">
        <f t="shared" ca="1" si="47"/>
        <v>#VALUE!</v>
      </c>
      <c r="AC27" s="14" t="e">
        <f t="shared" ca="1" si="47"/>
        <v>#VALUE!</v>
      </c>
      <c r="AD27" s="14" t="e">
        <f t="shared" ca="1" si="47"/>
        <v>#VALUE!</v>
      </c>
      <c r="AE27" s="14" t="e">
        <f t="shared" ca="1" si="47"/>
        <v>#VALUE!</v>
      </c>
      <c r="AF27" s="15" t="e">
        <f t="shared" ca="1" si="47"/>
        <v>#VALUE!</v>
      </c>
      <c r="AG27" s="16" t="e">
        <f t="shared" ca="1" si="47"/>
        <v>#VALUE!</v>
      </c>
      <c r="AH27" s="13" t="e">
        <f t="shared" ca="1" si="47"/>
        <v>#VALUE!</v>
      </c>
      <c r="AI27" s="14" t="e">
        <f t="shared" ca="1" si="47"/>
        <v>#VALUE!</v>
      </c>
      <c r="AJ27" s="14" t="e">
        <f t="shared" ca="1" si="47"/>
        <v>#VALUE!</v>
      </c>
      <c r="AK27" s="14" t="e">
        <f t="shared" ca="1" si="47"/>
        <v>#VALUE!</v>
      </c>
      <c r="AL27" s="14" t="e">
        <f t="shared" ref="AL27:BQ27" ca="1" si="48">IF(AND(AL$5&gt;=$C$11,AL$5&lt;=$E$15-1),1,"")</f>
        <v>#VALUE!</v>
      </c>
      <c r="AM27" s="15" t="e">
        <f t="shared" ca="1" si="48"/>
        <v>#VALUE!</v>
      </c>
      <c r="AN27" s="16" t="e">
        <f t="shared" ca="1" si="48"/>
        <v>#VALUE!</v>
      </c>
      <c r="AO27" s="13" t="e">
        <f t="shared" ca="1" si="48"/>
        <v>#VALUE!</v>
      </c>
      <c r="AP27" s="14" t="e">
        <f t="shared" ca="1" si="48"/>
        <v>#VALUE!</v>
      </c>
      <c r="AQ27" s="14" t="e">
        <f t="shared" ca="1" si="48"/>
        <v>#VALUE!</v>
      </c>
      <c r="AR27" s="14" t="e">
        <f t="shared" ca="1" si="48"/>
        <v>#VALUE!</v>
      </c>
      <c r="AS27" s="14" t="e">
        <f t="shared" ca="1" si="48"/>
        <v>#VALUE!</v>
      </c>
      <c r="AT27" s="15" t="e">
        <f t="shared" ca="1" si="48"/>
        <v>#VALUE!</v>
      </c>
      <c r="AU27" s="16" t="e">
        <f t="shared" ca="1" si="48"/>
        <v>#VALUE!</v>
      </c>
      <c r="AV27" s="13" t="e">
        <f t="shared" ca="1" si="48"/>
        <v>#VALUE!</v>
      </c>
      <c r="AW27" s="14" t="e">
        <f t="shared" ca="1" si="48"/>
        <v>#VALUE!</v>
      </c>
      <c r="AX27" s="14" t="e">
        <f t="shared" ca="1" si="48"/>
        <v>#VALUE!</v>
      </c>
      <c r="AY27" s="14" t="e">
        <f t="shared" ca="1" si="48"/>
        <v>#VALUE!</v>
      </c>
      <c r="AZ27" s="14" t="e">
        <f t="shared" ca="1" si="48"/>
        <v>#VALUE!</v>
      </c>
      <c r="BA27" s="15" t="e">
        <f t="shared" ca="1" si="48"/>
        <v>#VALUE!</v>
      </c>
      <c r="BB27" s="16" t="e">
        <f t="shared" ca="1" si="48"/>
        <v>#VALUE!</v>
      </c>
      <c r="BC27" s="13" t="e">
        <f t="shared" ca="1" si="48"/>
        <v>#VALUE!</v>
      </c>
      <c r="BD27" s="14" t="e">
        <f t="shared" ca="1" si="48"/>
        <v>#VALUE!</v>
      </c>
      <c r="BE27" s="14" t="e">
        <f t="shared" ca="1" si="48"/>
        <v>#VALUE!</v>
      </c>
      <c r="BF27" s="14" t="e">
        <f t="shared" ca="1" si="48"/>
        <v>#VALUE!</v>
      </c>
      <c r="BG27" s="14" t="e">
        <f t="shared" ca="1" si="48"/>
        <v>#VALUE!</v>
      </c>
      <c r="BH27" s="15" t="e">
        <f t="shared" ca="1" si="48"/>
        <v>#VALUE!</v>
      </c>
      <c r="BI27" s="16" t="e">
        <f t="shared" ca="1" si="48"/>
        <v>#VALUE!</v>
      </c>
      <c r="BJ27" s="13" t="e">
        <f t="shared" ca="1" si="48"/>
        <v>#VALUE!</v>
      </c>
      <c r="BK27" s="14" t="e">
        <f t="shared" ca="1" si="48"/>
        <v>#VALUE!</v>
      </c>
      <c r="BL27" s="14" t="e">
        <f t="shared" ca="1" si="48"/>
        <v>#VALUE!</v>
      </c>
      <c r="BM27" s="14" t="e">
        <f t="shared" ca="1" si="48"/>
        <v>#VALUE!</v>
      </c>
      <c r="BN27" s="14" t="e">
        <f t="shared" ca="1" si="48"/>
        <v>#VALUE!</v>
      </c>
      <c r="BO27" s="15" t="e">
        <f t="shared" ca="1" si="48"/>
        <v>#VALUE!</v>
      </c>
      <c r="BP27" s="16" t="e">
        <f t="shared" ca="1" si="48"/>
        <v>#VALUE!</v>
      </c>
      <c r="BQ27" s="13" t="e">
        <f t="shared" ca="1" si="48"/>
        <v>#VALUE!</v>
      </c>
      <c r="BR27" s="14" t="e">
        <f t="shared" ref="BR27:CW27" ca="1" si="49">IF(AND(BR$5&gt;=$C$11,BR$5&lt;=$E$15-1),1,"")</f>
        <v>#VALUE!</v>
      </c>
      <c r="BS27" s="14" t="e">
        <f t="shared" ca="1" si="49"/>
        <v>#VALUE!</v>
      </c>
      <c r="BT27" s="14" t="e">
        <f t="shared" ca="1" si="49"/>
        <v>#VALUE!</v>
      </c>
      <c r="BU27" s="14" t="e">
        <f t="shared" ca="1" si="49"/>
        <v>#VALUE!</v>
      </c>
      <c r="BV27" s="15" t="e">
        <f t="shared" ca="1" si="49"/>
        <v>#VALUE!</v>
      </c>
      <c r="BW27" s="16" t="e">
        <f t="shared" ca="1" si="49"/>
        <v>#VALUE!</v>
      </c>
      <c r="BX27" s="13" t="e">
        <f t="shared" ca="1" si="49"/>
        <v>#VALUE!</v>
      </c>
      <c r="BY27" s="14" t="e">
        <f t="shared" ca="1" si="49"/>
        <v>#VALUE!</v>
      </c>
      <c r="BZ27" s="14" t="e">
        <f t="shared" ca="1" si="49"/>
        <v>#VALUE!</v>
      </c>
      <c r="CA27" s="14" t="e">
        <f t="shared" ca="1" si="49"/>
        <v>#VALUE!</v>
      </c>
      <c r="CB27" s="14" t="e">
        <f t="shared" ca="1" si="49"/>
        <v>#VALUE!</v>
      </c>
      <c r="CC27" s="15" t="e">
        <f t="shared" ca="1" si="49"/>
        <v>#VALUE!</v>
      </c>
      <c r="CD27" s="16" t="e">
        <f t="shared" ca="1" si="49"/>
        <v>#VALUE!</v>
      </c>
      <c r="CE27" s="13" t="e">
        <f t="shared" ca="1" si="49"/>
        <v>#VALUE!</v>
      </c>
      <c r="CF27" s="14" t="e">
        <f t="shared" ca="1" si="49"/>
        <v>#VALUE!</v>
      </c>
      <c r="CG27" s="14" t="e">
        <f t="shared" ca="1" si="49"/>
        <v>#VALUE!</v>
      </c>
      <c r="CH27" s="14" t="e">
        <f t="shared" ca="1" si="49"/>
        <v>#VALUE!</v>
      </c>
      <c r="CI27" s="14" t="e">
        <f t="shared" ca="1" si="49"/>
        <v>#VALUE!</v>
      </c>
      <c r="CJ27" s="15" t="e">
        <f t="shared" ca="1" si="49"/>
        <v>#VALUE!</v>
      </c>
      <c r="CK27" s="16" t="e">
        <f t="shared" ca="1" si="49"/>
        <v>#VALUE!</v>
      </c>
      <c r="CL27" s="13" t="e">
        <f t="shared" ca="1" si="49"/>
        <v>#VALUE!</v>
      </c>
      <c r="CM27" s="14" t="e">
        <f t="shared" ca="1" si="49"/>
        <v>#VALUE!</v>
      </c>
      <c r="CN27" s="14" t="e">
        <f t="shared" ca="1" si="49"/>
        <v>#VALUE!</v>
      </c>
      <c r="CO27" s="14" t="e">
        <f t="shared" ca="1" si="49"/>
        <v>#VALUE!</v>
      </c>
      <c r="CP27" s="14" t="e">
        <f t="shared" ca="1" si="49"/>
        <v>#VALUE!</v>
      </c>
      <c r="CQ27" s="15" t="e">
        <f t="shared" ca="1" si="49"/>
        <v>#VALUE!</v>
      </c>
      <c r="CR27" s="16" t="e">
        <f t="shared" ca="1" si="49"/>
        <v>#VALUE!</v>
      </c>
      <c r="CS27" s="13" t="e">
        <f t="shared" ca="1" si="49"/>
        <v>#VALUE!</v>
      </c>
      <c r="CT27" s="14" t="e">
        <f t="shared" ca="1" si="49"/>
        <v>#VALUE!</v>
      </c>
      <c r="CU27" s="14" t="e">
        <f t="shared" ca="1" si="49"/>
        <v>#VALUE!</v>
      </c>
      <c r="CV27" s="14" t="e">
        <f t="shared" ca="1" si="49"/>
        <v>#VALUE!</v>
      </c>
      <c r="CW27" s="14" t="e">
        <f t="shared" ca="1" si="49"/>
        <v>#VALUE!</v>
      </c>
      <c r="CX27" s="15" t="e">
        <f t="shared" ref="CX27:EC27" ca="1" si="50">IF(AND(CX$5&gt;=$C$11,CX$5&lt;=$E$15-1),1,"")</f>
        <v>#VALUE!</v>
      </c>
      <c r="CY27" s="16" t="e">
        <f t="shared" ca="1" si="50"/>
        <v>#VALUE!</v>
      </c>
      <c r="CZ27" s="13" t="e">
        <f t="shared" ca="1" si="50"/>
        <v>#VALUE!</v>
      </c>
      <c r="DA27" s="14" t="e">
        <f t="shared" ca="1" si="50"/>
        <v>#VALUE!</v>
      </c>
      <c r="DB27" s="14" t="e">
        <f t="shared" ca="1" si="50"/>
        <v>#VALUE!</v>
      </c>
      <c r="DC27" s="14" t="e">
        <f t="shared" ca="1" si="50"/>
        <v>#VALUE!</v>
      </c>
      <c r="DD27" s="14" t="e">
        <f t="shared" ca="1" si="50"/>
        <v>#VALUE!</v>
      </c>
      <c r="DE27" s="15" t="e">
        <f t="shared" ca="1" si="50"/>
        <v>#VALUE!</v>
      </c>
      <c r="DF27" s="16" t="e">
        <f t="shared" ca="1" si="50"/>
        <v>#VALUE!</v>
      </c>
      <c r="DG27" s="13" t="e">
        <f t="shared" ca="1" si="50"/>
        <v>#VALUE!</v>
      </c>
      <c r="DH27" s="14" t="e">
        <f t="shared" ca="1" si="50"/>
        <v>#VALUE!</v>
      </c>
      <c r="DI27" s="14" t="e">
        <f t="shared" ca="1" si="50"/>
        <v>#VALUE!</v>
      </c>
      <c r="DJ27" s="14" t="e">
        <f t="shared" ca="1" si="50"/>
        <v>#VALUE!</v>
      </c>
      <c r="DK27" s="14" t="e">
        <f t="shared" ca="1" si="50"/>
        <v>#VALUE!</v>
      </c>
      <c r="DL27" s="15" t="e">
        <f t="shared" ca="1" si="50"/>
        <v>#VALUE!</v>
      </c>
      <c r="DM27" s="16" t="e">
        <f t="shared" ca="1" si="50"/>
        <v>#VALUE!</v>
      </c>
      <c r="DN27" s="13" t="e">
        <f t="shared" ca="1" si="50"/>
        <v>#VALUE!</v>
      </c>
      <c r="DO27" s="14" t="e">
        <f t="shared" ca="1" si="50"/>
        <v>#VALUE!</v>
      </c>
      <c r="DP27" s="14" t="e">
        <f t="shared" ca="1" si="50"/>
        <v>#VALUE!</v>
      </c>
      <c r="DQ27" s="14" t="e">
        <f t="shared" ca="1" si="50"/>
        <v>#VALUE!</v>
      </c>
      <c r="DR27" s="14" t="e">
        <f t="shared" ca="1" si="50"/>
        <v>#VALUE!</v>
      </c>
      <c r="DS27" s="15" t="e">
        <f t="shared" ca="1" si="50"/>
        <v>#VALUE!</v>
      </c>
      <c r="DT27" s="16" t="e">
        <f t="shared" ca="1" si="50"/>
        <v>#VALUE!</v>
      </c>
      <c r="DU27" s="13" t="e">
        <f t="shared" ca="1" si="50"/>
        <v>#VALUE!</v>
      </c>
      <c r="DV27" s="14" t="e">
        <f t="shared" ca="1" si="50"/>
        <v>#VALUE!</v>
      </c>
      <c r="DW27" s="14" t="e">
        <f t="shared" ca="1" si="50"/>
        <v>#VALUE!</v>
      </c>
      <c r="DX27" s="14" t="e">
        <f t="shared" ca="1" si="50"/>
        <v>#VALUE!</v>
      </c>
      <c r="DY27" s="14" t="e">
        <f t="shared" ca="1" si="50"/>
        <v>#VALUE!</v>
      </c>
      <c r="DZ27" s="15" t="e">
        <f t="shared" ca="1" si="50"/>
        <v>#VALUE!</v>
      </c>
      <c r="EA27" s="16" t="e">
        <f t="shared" ca="1" si="50"/>
        <v>#VALUE!</v>
      </c>
      <c r="EB27" s="13" t="e">
        <f t="shared" ca="1" si="50"/>
        <v>#VALUE!</v>
      </c>
      <c r="EC27" s="14" t="e">
        <f t="shared" ca="1" si="50"/>
        <v>#VALUE!</v>
      </c>
      <c r="ED27" s="14" t="e">
        <f t="shared" ref="ED27:FC27" ca="1" si="51">IF(AND(ED$5&gt;=$C$11,ED$5&lt;=$E$15-1),1,"")</f>
        <v>#VALUE!</v>
      </c>
      <c r="EE27" s="14" t="e">
        <f t="shared" ca="1" si="51"/>
        <v>#VALUE!</v>
      </c>
      <c r="EF27" s="14" t="e">
        <f t="shared" ca="1" si="51"/>
        <v>#VALUE!</v>
      </c>
      <c r="EG27" s="15" t="e">
        <f t="shared" ca="1" si="51"/>
        <v>#VALUE!</v>
      </c>
      <c r="EH27" s="16" t="e">
        <f t="shared" ca="1" si="51"/>
        <v>#VALUE!</v>
      </c>
      <c r="EI27" s="13" t="e">
        <f t="shared" ca="1" si="51"/>
        <v>#VALUE!</v>
      </c>
      <c r="EJ27" s="14" t="e">
        <f t="shared" ca="1" si="51"/>
        <v>#VALUE!</v>
      </c>
      <c r="EK27" s="14" t="e">
        <f t="shared" ca="1" si="51"/>
        <v>#VALUE!</v>
      </c>
      <c r="EL27" s="14" t="e">
        <f t="shared" ca="1" si="51"/>
        <v>#VALUE!</v>
      </c>
      <c r="EM27" s="14" t="e">
        <f t="shared" ca="1" si="51"/>
        <v>#VALUE!</v>
      </c>
      <c r="EN27" s="15" t="e">
        <f t="shared" ca="1" si="51"/>
        <v>#VALUE!</v>
      </c>
      <c r="EO27" s="16" t="e">
        <f t="shared" ca="1" si="51"/>
        <v>#VALUE!</v>
      </c>
      <c r="EP27" s="13" t="e">
        <f t="shared" ca="1" si="51"/>
        <v>#VALUE!</v>
      </c>
      <c r="EQ27" s="14" t="e">
        <f t="shared" ca="1" si="51"/>
        <v>#VALUE!</v>
      </c>
      <c r="ER27" s="14" t="e">
        <f t="shared" ca="1" si="51"/>
        <v>#VALUE!</v>
      </c>
      <c r="ES27" s="14" t="e">
        <f t="shared" ca="1" si="51"/>
        <v>#VALUE!</v>
      </c>
      <c r="ET27" s="14" t="e">
        <f t="shared" ca="1" si="51"/>
        <v>#VALUE!</v>
      </c>
      <c r="EU27" s="15" t="e">
        <f t="shared" ca="1" si="51"/>
        <v>#VALUE!</v>
      </c>
      <c r="EV27" s="16" t="e">
        <f t="shared" ca="1" si="51"/>
        <v>#VALUE!</v>
      </c>
      <c r="EW27" s="13" t="e">
        <f t="shared" ca="1" si="51"/>
        <v>#VALUE!</v>
      </c>
      <c r="EX27" s="14" t="e">
        <f t="shared" ca="1" si="51"/>
        <v>#VALUE!</v>
      </c>
      <c r="EY27" s="14" t="e">
        <f t="shared" ca="1" si="51"/>
        <v>#VALUE!</v>
      </c>
      <c r="EZ27" s="14" t="e">
        <f t="shared" ca="1" si="51"/>
        <v>#VALUE!</v>
      </c>
      <c r="FA27" s="14" t="e">
        <f t="shared" ca="1" si="51"/>
        <v>#VALUE!</v>
      </c>
      <c r="FB27" s="15" t="e">
        <f t="shared" ca="1" si="51"/>
        <v>#VALUE!</v>
      </c>
      <c r="FC27" s="16" t="e">
        <f t="shared" ca="1" si="51"/>
        <v>#VALUE!</v>
      </c>
    </row>
    <row r="28" spans="1:159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  <c r="DU28" s="13"/>
      <c r="DV28" s="14"/>
      <c r="DW28" s="14"/>
      <c r="DX28" s="14"/>
      <c r="DY28" s="14"/>
      <c r="DZ28" s="15"/>
      <c r="EA28" s="16"/>
      <c r="EB28" s="13"/>
      <c r="EC28" s="14"/>
      <c r="ED28" s="14"/>
      <c r="EE28" s="14"/>
      <c r="EF28" s="14"/>
      <c r="EG28" s="15"/>
      <c r="EH28" s="16"/>
      <c r="EI28" s="13"/>
      <c r="EJ28" s="14"/>
      <c r="EK28" s="14"/>
      <c r="EL28" s="14"/>
      <c r="EM28" s="14"/>
      <c r="EN28" s="15"/>
      <c r="EO28" s="16"/>
      <c r="EP28" s="13"/>
      <c r="EQ28" s="14"/>
      <c r="ER28" s="14"/>
      <c r="ES28" s="14"/>
      <c r="ET28" s="14"/>
      <c r="EU28" s="15"/>
      <c r="EV28" s="16"/>
      <c r="EW28" s="13"/>
      <c r="EX28" s="14"/>
      <c r="EY28" s="14"/>
      <c r="EZ28" s="14"/>
      <c r="FA28" s="14"/>
      <c r="FB28" s="15"/>
      <c r="FC28" s="16"/>
    </row>
    <row r="29" spans="1:159" s="17" customFormat="1" ht="15" customHeight="1">
      <c r="A29" s="540" t="s">
        <v>57</v>
      </c>
      <c r="B29" s="535"/>
      <c r="C29" s="541" t="e">
        <f ca="1">C15-C12+2</f>
        <v>#VALUE!</v>
      </c>
      <c r="D29" s="535"/>
      <c r="E29" s="537"/>
      <c r="F29" s="14" t="e">
        <f t="shared" ref="F29:AK29" ca="1" si="52">IF(AND(F$5&gt;=$E$11,F$5&lt;=$E$15),1,"")</f>
        <v>#VALUE!</v>
      </c>
      <c r="G29" s="14" t="e">
        <f t="shared" ca="1" si="52"/>
        <v>#VALUE!</v>
      </c>
      <c r="H29" s="14" t="e">
        <f t="shared" ca="1" si="52"/>
        <v>#VALUE!</v>
      </c>
      <c r="I29" s="14" t="e">
        <f t="shared" ca="1" si="52"/>
        <v>#VALUE!</v>
      </c>
      <c r="J29" s="14" t="e">
        <f t="shared" ca="1" si="52"/>
        <v>#VALUE!</v>
      </c>
      <c r="K29" s="15" t="e">
        <f t="shared" ca="1" si="52"/>
        <v>#VALUE!</v>
      </c>
      <c r="L29" s="16" t="e">
        <f t="shared" ca="1" si="52"/>
        <v>#VALUE!</v>
      </c>
      <c r="M29" s="13" t="e">
        <f t="shared" ca="1" si="52"/>
        <v>#VALUE!</v>
      </c>
      <c r="N29" s="14" t="e">
        <f t="shared" ca="1" si="52"/>
        <v>#VALUE!</v>
      </c>
      <c r="O29" s="14" t="e">
        <f t="shared" ca="1" si="52"/>
        <v>#VALUE!</v>
      </c>
      <c r="P29" s="14" t="e">
        <f t="shared" ca="1" si="52"/>
        <v>#VALUE!</v>
      </c>
      <c r="Q29" s="14" t="e">
        <f t="shared" ca="1" si="52"/>
        <v>#VALUE!</v>
      </c>
      <c r="R29" s="15" t="e">
        <f t="shared" ca="1" si="52"/>
        <v>#VALUE!</v>
      </c>
      <c r="S29" s="16" t="e">
        <f t="shared" ca="1" si="52"/>
        <v>#VALUE!</v>
      </c>
      <c r="T29" s="13" t="e">
        <f t="shared" ca="1" si="52"/>
        <v>#VALUE!</v>
      </c>
      <c r="U29" s="14" t="e">
        <f t="shared" ca="1" si="52"/>
        <v>#VALUE!</v>
      </c>
      <c r="V29" s="14" t="e">
        <f t="shared" ca="1" si="52"/>
        <v>#VALUE!</v>
      </c>
      <c r="W29" s="14" t="e">
        <f t="shared" ca="1" si="52"/>
        <v>#VALUE!</v>
      </c>
      <c r="X29" s="14" t="e">
        <f t="shared" ca="1" si="52"/>
        <v>#VALUE!</v>
      </c>
      <c r="Y29" s="15" t="e">
        <f t="shared" ca="1" si="52"/>
        <v>#VALUE!</v>
      </c>
      <c r="Z29" s="16" t="e">
        <f t="shared" ca="1" si="52"/>
        <v>#VALUE!</v>
      </c>
      <c r="AA29" s="13" t="e">
        <f t="shared" ca="1" si="52"/>
        <v>#VALUE!</v>
      </c>
      <c r="AB29" s="14" t="e">
        <f t="shared" ca="1" si="52"/>
        <v>#VALUE!</v>
      </c>
      <c r="AC29" s="14" t="e">
        <f t="shared" ca="1" si="52"/>
        <v>#VALUE!</v>
      </c>
      <c r="AD29" s="14" t="e">
        <f t="shared" ca="1" si="52"/>
        <v>#VALUE!</v>
      </c>
      <c r="AE29" s="14" t="e">
        <f t="shared" ca="1" si="52"/>
        <v>#VALUE!</v>
      </c>
      <c r="AF29" s="15" t="e">
        <f t="shared" ca="1" si="52"/>
        <v>#VALUE!</v>
      </c>
      <c r="AG29" s="16" t="e">
        <f t="shared" ca="1" si="52"/>
        <v>#VALUE!</v>
      </c>
      <c r="AH29" s="13" t="e">
        <f t="shared" ca="1" si="52"/>
        <v>#VALUE!</v>
      </c>
      <c r="AI29" s="14" t="e">
        <f t="shared" ca="1" si="52"/>
        <v>#VALUE!</v>
      </c>
      <c r="AJ29" s="14" t="e">
        <f t="shared" ca="1" si="52"/>
        <v>#VALUE!</v>
      </c>
      <c r="AK29" s="14" t="e">
        <f t="shared" ca="1" si="52"/>
        <v>#VALUE!</v>
      </c>
      <c r="AL29" s="14" t="e">
        <f t="shared" ref="AL29:BQ29" ca="1" si="53">IF(AND(AL$5&gt;=$E$11,AL$5&lt;=$E$15),1,"")</f>
        <v>#VALUE!</v>
      </c>
      <c r="AM29" s="15" t="e">
        <f t="shared" ca="1" si="53"/>
        <v>#VALUE!</v>
      </c>
      <c r="AN29" s="16" t="e">
        <f t="shared" ca="1" si="53"/>
        <v>#VALUE!</v>
      </c>
      <c r="AO29" s="13" t="e">
        <f t="shared" ca="1" si="53"/>
        <v>#VALUE!</v>
      </c>
      <c r="AP29" s="14" t="e">
        <f t="shared" ca="1" si="53"/>
        <v>#VALUE!</v>
      </c>
      <c r="AQ29" s="14" t="e">
        <f t="shared" ca="1" si="53"/>
        <v>#VALUE!</v>
      </c>
      <c r="AR29" s="14" t="e">
        <f t="shared" ca="1" si="53"/>
        <v>#VALUE!</v>
      </c>
      <c r="AS29" s="14" t="e">
        <f t="shared" ca="1" si="53"/>
        <v>#VALUE!</v>
      </c>
      <c r="AT29" s="15" t="e">
        <f t="shared" ca="1" si="53"/>
        <v>#VALUE!</v>
      </c>
      <c r="AU29" s="16" t="e">
        <f t="shared" ca="1" si="53"/>
        <v>#VALUE!</v>
      </c>
      <c r="AV29" s="13" t="e">
        <f t="shared" ca="1" si="53"/>
        <v>#VALUE!</v>
      </c>
      <c r="AW29" s="14" t="e">
        <f t="shared" ca="1" si="53"/>
        <v>#VALUE!</v>
      </c>
      <c r="AX29" s="14" t="e">
        <f t="shared" ca="1" si="53"/>
        <v>#VALUE!</v>
      </c>
      <c r="AY29" s="14" t="e">
        <f t="shared" ca="1" si="53"/>
        <v>#VALUE!</v>
      </c>
      <c r="AZ29" s="14" t="e">
        <f t="shared" ca="1" si="53"/>
        <v>#VALUE!</v>
      </c>
      <c r="BA29" s="15" t="e">
        <f t="shared" ca="1" si="53"/>
        <v>#VALUE!</v>
      </c>
      <c r="BB29" s="16" t="e">
        <f t="shared" ca="1" si="53"/>
        <v>#VALUE!</v>
      </c>
      <c r="BC29" s="13" t="e">
        <f t="shared" ca="1" si="53"/>
        <v>#VALUE!</v>
      </c>
      <c r="BD29" s="14" t="e">
        <f t="shared" ca="1" si="53"/>
        <v>#VALUE!</v>
      </c>
      <c r="BE29" s="14" t="e">
        <f t="shared" ca="1" si="53"/>
        <v>#VALUE!</v>
      </c>
      <c r="BF29" s="14" t="e">
        <f t="shared" ca="1" si="53"/>
        <v>#VALUE!</v>
      </c>
      <c r="BG29" s="14" t="e">
        <f t="shared" ca="1" si="53"/>
        <v>#VALUE!</v>
      </c>
      <c r="BH29" s="15" t="e">
        <f t="shared" ca="1" si="53"/>
        <v>#VALUE!</v>
      </c>
      <c r="BI29" s="16" t="e">
        <f t="shared" ca="1" si="53"/>
        <v>#VALUE!</v>
      </c>
      <c r="BJ29" s="13" t="e">
        <f t="shared" ca="1" si="53"/>
        <v>#VALUE!</v>
      </c>
      <c r="BK29" s="14" t="e">
        <f t="shared" ca="1" si="53"/>
        <v>#VALUE!</v>
      </c>
      <c r="BL29" s="14" t="e">
        <f t="shared" ca="1" si="53"/>
        <v>#VALUE!</v>
      </c>
      <c r="BM29" s="14" t="e">
        <f t="shared" ca="1" si="53"/>
        <v>#VALUE!</v>
      </c>
      <c r="BN29" s="14" t="e">
        <f t="shared" ca="1" si="53"/>
        <v>#VALUE!</v>
      </c>
      <c r="BO29" s="15" t="e">
        <f t="shared" ca="1" si="53"/>
        <v>#VALUE!</v>
      </c>
      <c r="BP29" s="16" t="e">
        <f t="shared" ca="1" si="53"/>
        <v>#VALUE!</v>
      </c>
      <c r="BQ29" s="13" t="e">
        <f t="shared" ca="1" si="53"/>
        <v>#VALUE!</v>
      </c>
      <c r="BR29" s="14" t="e">
        <f t="shared" ref="BR29:CW29" ca="1" si="54">IF(AND(BR$5&gt;=$E$11,BR$5&lt;=$E$15),1,"")</f>
        <v>#VALUE!</v>
      </c>
      <c r="BS29" s="14" t="e">
        <f t="shared" ca="1" si="54"/>
        <v>#VALUE!</v>
      </c>
      <c r="BT29" s="14" t="e">
        <f t="shared" ca="1" si="54"/>
        <v>#VALUE!</v>
      </c>
      <c r="BU29" s="14" t="e">
        <f t="shared" ca="1" si="54"/>
        <v>#VALUE!</v>
      </c>
      <c r="BV29" s="15" t="e">
        <f t="shared" ca="1" si="54"/>
        <v>#VALUE!</v>
      </c>
      <c r="BW29" s="16" t="e">
        <f t="shared" ca="1" si="54"/>
        <v>#VALUE!</v>
      </c>
      <c r="BX29" s="13" t="e">
        <f t="shared" ca="1" si="54"/>
        <v>#VALUE!</v>
      </c>
      <c r="BY29" s="14" t="e">
        <f t="shared" ca="1" si="54"/>
        <v>#VALUE!</v>
      </c>
      <c r="BZ29" s="14" t="e">
        <f t="shared" ca="1" si="54"/>
        <v>#VALUE!</v>
      </c>
      <c r="CA29" s="14" t="e">
        <f t="shared" ca="1" si="54"/>
        <v>#VALUE!</v>
      </c>
      <c r="CB29" s="14" t="e">
        <f t="shared" ca="1" si="54"/>
        <v>#VALUE!</v>
      </c>
      <c r="CC29" s="15" t="e">
        <f t="shared" ca="1" si="54"/>
        <v>#VALUE!</v>
      </c>
      <c r="CD29" s="16" t="e">
        <f t="shared" ca="1" si="54"/>
        <v>#VALUE!</v>
      </c>
      <c r="CE29" s="13" t="e">
        <f t="shared" ca="1" si="54"/>
        <v>#VALUE!</v>
      </c>
      <c r="CF29" s="14" t="e">
        <f t="shared" ca="1" si="54"/>
        <v>#VALUE!</v>
      </c>
      <c r="CG29" s="14" t="e">
        <f t="shared" ca="1" si="54"/>
        <v>#VALUE!</v>
      </c>
      <c r="CH29" s="14" t="e">
        <f t="shared" ca="1" si="54"/>
        <v>#VALUE!</v>
      </c>
      <c r="CI29" s="14" t="e">
        <f t="shared" ca="1" si="54"/>
        <v>#VALUE!</v>
      </c>
      <c r="CJ29" s="15" t="e">
        <f t="shared" ca="1" si="54"/>
        <v>#VALUE!</v>
      </c>
      <c r="CK29" s="16" t="e">
        <f t="shared" ca="1" si="54"/>
        <v>#VALUE!</v>
      </c>
      <c r="CL29" s="13" t="e">
        <f t="shared" ca="1" si="54"/>
        <v>#VALUE!</v>
      </c>
      <c r="CM29" s="14" t="e">
        <f t="shared" ca="1" si="54"/>
        <v>#VALUE!</v>
      </c>
      <c r="CN29" s="14" t="e">
        <f t="shared" ca="1" si="54"/>
        <v>#VALUE!</v>
      </c>
      <c r="CO29" s="14" t="e">
        <f t="shared" ca="1" si="54"/>
        <v>#VALUE!</v>
      </c>
      <c r="CP29" s="14" t="e">
        <f t="shared" ca="1" si="54"/>
        <v>#VALUE!</v>
      </c>
      <c r="CQ29" s="15" t="e">
        <f t="shared" ca="1" si="54"/>
        <v>#VALUE!</v>
      </c>
      <c r="CR29" s="16" t="e">
        <f t="shared" ca="1" si="54"/>
        <v>#VALUE!</v>
      </c>
      <c r="CS29" s="13" t="e">
        <f t="shared" ca="1" si="54"/>
        <v>#VALUE!</v>
      </c>
      <c r="CT29" s="14" t="e">
        <f t="shared" ca="1" si="54"/>
        <v>#VALUE!</v>
      </c>
      <c r="CU29" s="14" t="e">
        <f t="shared" ca="1" si="54"/>
        <v>#VALUE!</v>
      </c>
      <c r="CV29" s="14" t="e">
        <f t="shared" ca="1" si="54"/>
        <v>#VALUE!</v>
      </c>
      <c r="CW29" s="14" t="e">
        <f t="shared" ca="1" si="54"/>
        <v>#VALUE!</v>
      </c>
      <c r="CX29" s="15" t="e">
        <f t="shared" ref="CX29:EC29" ca="1" si="55">IF(AND(CX$5&gt;=$E$11,CX$5&lt;=$E$15),1,"")</f>
        <v>#VALUE!</v>
      </c>
      <c r="CY29" s="16" t="e">
        <f t="shared" ca="1" si="55"/>
        <v>#VALUE!</v>
      </c>
      <c r="CZ29" s="13" t="e">
        <f t="shared" ca="1" si="55"/>
        <v>#VALUE!</v>
      </c>
      <c r="DA29" s="14" t="e">
        <f t="shared" ca="1" si="55"/>
        <v>#VALUE!</v>
      </c>
      <c r="DB29" s="14" t="e">
        <f t="shared" ca="1" si="55"/>
        <v>#VALUE!</v>
      </c>
      <c r="DC29" s="14" t="e">
        <f t="shared" ca="1" si="55"/>
        <v>#VALUE!</v>
      </c>
      <c r="DD29" s="14" t="e">
        <f t="shared" ca="1" si="55"/>
        <v>#VALUE!</v>
      </c>
      <c r="DE29" s="15" t="e">
        <f t="shared" ca="1" si="55"/>
        <v>#VALUE!</v>
      </c>
      <c r="DF29" s="16" t="e">
        <f t="shared" ca="1" si="55"/>
        <v>#VALUE!</v>
      </c>
      <c r="DG29" s="13" t="e">
        <f t="shared" ca="1" si="55"/>
        <v>#VALUE!</v>
      </c>
      <c r="DH29" s="14" t="e">
        <f t="shared" ca="1" si="55"/>
        <v>#VALUE!</v>
      </c>
      <c r="DI29" s="14" t="e">
        <f t="shared" ca="1" si="55"/>
        <v>#VALUE!</v>
      </c>
      <c r="DJ29" s="14" t="e">
        <f t="shared" ca="1" si="55"/>
        <v>#VALUE!</v>
      </c>
      <c r="DK29" s="14" t="e">
        <f t="shared" ca="1" si="55"/>
        <v>#VALUE!</v>
      </c>
      <c r="DL29" s="15" t="e">
        <f t="shared" ca="1" si="55"/>
        <v>#VALUE!</v>
      </c>
      <c r="DM29" s="16" t="e">
        <f t="shared" ca="1" si="55"/>
        <v>#VALUE!</v>
      </c>
      <c r="DN29" s="13" t="e">
        <f t="shared" ca="1" si="55"/>
        <v>#VALUE!</v>
      </c>
      <c r="DO29" s="14" t="e">
        <f t="shared" ca="1" si="55"/>
        <v>#VALUE!</v>
      </c>
      <c r="DP29" s="14" t="e">
        <f t="shared" ca="1" si="55"/>
        <v>#VALUE!</v>
      </c>
      <c r="DQ29" s="14" t="e">
        <f t="shared" ca="1" si="55"/>
        <v>#VALUE!</v>
      </c>
      <c r="DR29" s="14" t="e">
        <f t="shared" ca="1" si="55"/>
        <v>#VALUE!</v>
      </c>
      <c r="DS29" s="15" t="e">
        <f t="shared" ca="1" si="55"/>
        <v>#VALUE!</v>
      </c>
      <c r="DT29" s="16" t="e">
        <f t="shared" ca="1" si="55"/>
        <v>#VALUE!</v>
      </c>
      <c r="DU29" s="13" t="e">
        <f t="shared" ca="1" si="55"/>
        <v>#VALUE!</v>
      </c>
      <c r="DV29" s="14" t="e">
        <f t="shared" ca="1" si="55"/>
        <v>#VALUE!</v>
      </c>
      <c r="DW29" s="14" t="e">
        <f t="shared" ca="1" si="55"/>
        <v>#VALUE!</v>
      </c>
      <c r="DX29" s="14" t="e">
        <f t="shared" ca="1" si="55"/>
        <v>#VALUE!</v>
      </c>
      <c r="DY29" s="14" t="e">
        <f t="shared" ca="1" si="55"/>
        <v>#VALUE!</v>
      </c>
      <c r="DZ29" s="15" t="e">
        <f t="shared" ca="1" si="55"/>
        <v>#VALUE!</v>
      </c>
      <c r="EA29" s="16" t="e">
        <f t="shared" ca="1" si="55"/>
        <v>#VALUE!</v>
      </c>
      <c r="EB29" s="13" t="e">
        <f t="shared" ca="1" si="55"/>
        <v>#VALUE!</v>
      </c>
      <c r="EC29" s="14" t="e">
        <f t="shared" ca="1" si="55"/>
        <v>#VALUE!</v>
      </c>
      <c r="ED29" s="14" t="e">
        <f t="shared" ref="ED29:FC29" ca="1" si="56">IF(AND(ED$5&gt;=$E$11,ED$5&lt;=$E$15),1,"")</f>
        <v>#VALUE!</v>
      </c>
      <c r="EE29" s="14" t="e">
        <f t="shared" ca="1" si="56"/>
        <v>#VALUE!</v>
      </c>
      <c r="EF29" s="14" t="e">
        <f t="shared" ca="1" si="56"/>
        <v>#VALUE!</v>
      </c>
      <c r="EG29" s="15" t="e">
        <f t="shared" ca="1" si="56"/>
        <v>#VALUE!</v>
      </c>
      <c r="EH29" s="16" t="e">
        <f t="shared" ca="1" si="56"/>
        <v>#VALUE!</v>
      </c>
      <c r="EI29" s="13" t="e">
        <f t="shared" ca="1" si="56"/>
        <v>#VALUE!</v>
      </c>
      <c r="EJ29" s="14" t="e">
        <f t="shared" ca="1" si="56"/>
        <v>#VALUE!</v>
      </c>
      <c r="EK29" s="14" t="e">
        <f t="shared" ca="1" si="56"/>
        <v>#VALUE!</v>
      </c>
      <c r="EL29" s="14" t="e">
        <f t="shared" ca="1" si="56"/>
        <v>#VALUE!</v>
      </c>
      <c r="EM29" s="14" t="e">
        <f t="shared" ca="1" si="56"/>
        <v>#VALUE!</v>
      </c>
      <c r="EN29" s="15" t="e">
        <f t="shared" ca="1" si="56"/>
        <v>#VALUE!</v>
      </c>
      <c r="EO29" s="16" t="e">
        <f t="shared" ca="1" si="56"/>
        <v>#VALUE!</v>
      </c>
      <c r="EP29" s="13" t="e">
        <f t="shared" ca="1" si="56"/>
        <v>#VALUE!</v>
      </c>
      <c r="EQ29" s="14" t="e">
        <f t="shared" ca="1" si="56"/>
        <v>#VALUE!</v>
      </c>
      <c r="ER29" s="14" t="e">
        <f t="shared" ca="1" si="56"/>
        <v>#VALUE!</v>
      </c>
      <c r="ES29" s="14" t="e">
        <f t="shared" ca="1" si="56"/>
        <v>#VALUE!</v>
      </c>
      <c r="ET29" s="14" t="e">
        <f t="shared" ca="1" si="56"/>
        <v>#VALUE!</v>
      </c>
      <c r="EU29" s="15" t="e">
        <f t="shared" ca="1" si="56"/>
        <v>#VALUE!</v>
      </c>
      <c r="EV29" s="16" t="e">
        <f t="shared" ca="1" si="56"/>
        <v>#VALUE!</v>
      </c>
      <c r="EW29" s="13" t="e">
        <f t="shared" ca="1" si="56"/>
        <v>#VALUE!</v>
      </c>
      <c r="EX29" s="14" t="e">
        <f t="shared" ca="1" si="56"/>
        <v>#VALUE!</v>
      </c>
      <c r="EY29" s="14" t="e">
        <f t="shared" ca="1" si="56"/>
        <v>#VALUE!</v>
      </c>
      <c r="EZ29" s="14" t="e">
        <f t="shared" ca="1" si="56"/>
        <v>#VALUE!</v>
      </c>
      <c r="FA29" s="14" t="e">
        <f t="shared" ca="1" si="56"/>
        <v>#VALUE!</v>
      </c>
      <c r="FB29" s="15" t="e">
        <f t="shared" ca="1" si="56"/>
        <v>#VALUE!</v>
      </c>
      <c r="FC29" s="16" t="e">
        <f t="shared" ca="1" si="56"/>
        <v>#VALUE!</v>
      </c>
    </row>
    <row r="30" spans="1:159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  <c r="DU30" s="13"/>
      <c r="DV30" s="14"/>
      <c r="DW30" s="14"/>
      <c r="DX30" s="14"/>
      <c r="DY30" s="14"/>
      <c r="DZ30" s="15"/>
      <c r="EA30" s="16"/>
      <c r="EB30" s="13"/>
      <c r="EC30" s="14"/>
      <c r="ED30" s="14"/>
      <c r="EE30" s="14"/>
      <c r="EF30" s="14"/>
      <c r="EG30" s="15"/>
      <c r="EH30" s="16"/>
      <c r="EI30" s="13"/>
      <c r="EJ30" s="14"/>
      <c r="EK30" s="14"/>
      <c r="EL30" s="14"/>
      <c r="EM30" s="14"/>
      <c r="EN30" s="15"/>
      <c r="EO30" s="16"/>
      <c r="EP30" s="13"/>
      <c r="EQ30" s="14"/>
      <c r="ER30" s="14"/>
      <c r="ES30" s="14"/>
      <c r="ET30" s="14"/>
      <c r="EU30" s="15"/>
      <c r="EV30" s="16"/>
      <c r="EW30" s="13"/>
      <c r="EX30" s="14"/>
      <c r="EY30" s="14"/>
      <c r="EZ30" s="14"/>
      <c r="FA30" s="14"/>
      <c r="FB30" s="15"/>
      <c r="FC30" s="16"/>
    </row>
    <row r="31" spans="1:159" s="17" customFormat="1" ht="15" customHeight="1">
      <c r="A31" s="542" t="s">
        <v>58</v>
      </c>
      <c r="B31" s="535"/>
      <c r="C31" s="543" t="e">
        <f ca="1">E17-C16+1</f>
        <v>#VALUE!</v>
      </c>
      <c r="D31" s="535"/>
      <c r="E31" s="537"/>
      <c r="F31" s="14" t="e">
        <f t="shared" ref="F31:AK31" ca="1" si="57">IF(AND(F$5&gt;=$C$16,F$5&lt;=$E$17),1,"")</f>
        <v>#VALUE!</v>
      </c>
      <c r="G31" s="14" t="e">
        <f t="shared" ca="1" si="57"/>
        <v>#VALUE!</v>
      </c>
      <c r="H31" s="14" t="e">
        <f t="shared" ca="1" si="57"/>
        <v>#VALUE!</v>
      </c>
      <c r="I31" s="14" t="e">
        <f t="shared" ca="1" si="57"/>
        <v>#VALUE!</v>
      </c>
      <c r="J31" s="14" t="e">
        <f t="shared" ca="1" si="57"/>
        <v>#VALUE!</v>
      </c>
      <c r="K31" s="15" t="e">
        <f t="shared" ca="1" si="57"/>
        <v>#VALUE!</v>
      </c>
      <c r="L31" s="16" t="e">
        <f t="shared" ca="1" si="57"/>
        <v>#VALUE!</v>
      </c>
      <c r="M31" s="13" t="e">
        <f t="shared" ca="1" si="57"/>
        <v>#VALUE!</v>
      </c>
      <c r="N31" s="14" t="e">
        <f t="shared" ca="1" si="57"/>
        <v>#VALUE!</v>
      </c>
      <c r="O31" s="14" t="e">
        <f t="shared" ca="1" si="57"/>
        <v>#VALUE!</v>
      </c>
      <c r="P31" s="14" t="e">
        <f t="shared" ca="1" si="57"/>
        <v>#VALUE!</v>
      </c>
      <c r="Q31" s="14" t="e">
        <f t="shared" ca="1" si="57"/>
        <v>#VALUE!</v>
      </c>
      <c r="R31" s="15" t="e">
        <f t="shared" ca="1" si="57"/>
        <v>#VALUE!</v>
      </c>
      <c r="S31" s="16" t="e">
        <f t="shared" ca="1" si="57"/>
        <v>#VALUE!</v>
      </c>
      <c r="T31" s="13" t="e">
        <f t="shared" ca="1" si="57"/>
        <v>#VALUE!</v>
      </c>
      <c r="U31" s="14" t="e">
        <f t="shared" ca="1" si="57"/>
        <v>#VALUE!</v>
      </c>
      <c r="V31" s="14" t="e">
        <f t="shared" ca="1" si="57"/>
        <v>#VALUE!</v>
      </c>
      <c r="W31" s="14" t="e">
        <f t="shared" ca="1" si="57"/>
        <v>#VALUE!</v>
      </c>
      <c r="X31" s="14" t="e">
        <f t="shared" ca="1" si="57"/>
        <v>#VALUE!</v>
      </c>
      <c r="Y31" s="15" t="e">
        <f t="shared" ca="1" si="57"/>
        <v>#VALUE!</v>
      </c>
      <c r="Z31" s="16" t="e">
        <f t="shared" ca="1" si="57"/>
        <v>#VALUE!</v>
      </c>
      <c r="AA31" s="13" t="e">
        <f t="shared" ca="1" si="57"/>
        <v>#VALUE!</v>
      </c>
      <c r="AB31" s="14" t="e">
        <f t="shared" ca="1" si="57"/>
        <v>#VALUE!</v>
      </c>
      <c r="AC31" s="14" t="e">
        <f t="shared" ca="1" si="57"/>
        <v>#VALUE!</v>
      </c>
      <c r="AD31" s="14" t="e">
        <f t="shared" ca="1" si="57"/>
        <v>#VALUE!</v>
      </c>
      <c r="AE31" s="14" t="e">
        <f t="shared" ca="1" si="57"/>
        <v>#VALUE!</v>
      </c>
      <c r="AF31" s="15" t="e">
        <f t="shared" ca="1" si="57"/>
        <v>#VALUE!</v>
      </c>
      <c r="AG31" s="16" t="e">
        <f t="shared" ca="1" si="57"/>
        <v>#VALUE!</v>
      </c>
      <c r="AH31" s="13" t="e">
        <f t="shared" ca="1" si="57"/>
        <v>#VALUE!</v>
      </c>
      <c r="AI31" s="14" t="e">
        <f t="shared" ca="1" si="57"/>
        <v>#VALUE!</v>
      </c>
      <c r="AJ31" s="14" t="e">
        <f t="shared" ca="1" si="57"/>
        <v>#VALUE!</v>
      </c>
      <c r="AK31" s="14" t="e">
        <f t="shared" ca="1" si="57"/>
        <v>#VALUE!</v>
      </c>
      <c r="AL31" s="14" t="e">
        <f t="shared" ref="AL31:BQ31" ca="1" si="58">IF(AND(AL$5&gt;=$C$16,AL$5&lt;=$E$17),1,"")</f>
        <v>#VALUE!</v>
      </c>
      <c r="AM31" s="15" t="e">
        <f t="shared" ca="1" si="58"/>
        <v>#VALUE!</v>
      </c>
      <c r="AN31" s="16" t="e">
        <f t="shared" ca="1" si="58"/>
        <v>#VALUE!</v>
      </c>
      <c r="AO31" s="13" t="e">
        <f t="shared" ca="1" si="58"/>
        <v>#VALUE!</v>
      </c>
      <c r="AP31" s="14" t="e">
        <f t="shared" ca="1" si="58"/>
        <v>#VALUE!</v>
      </c>
      <c r="AQ31" s="14" t="e">
        <f t="shared" ca="1" si="58"/>
        <v>#VALUE!</v>
      </c>
      <c r="AR31" s="14" t="e">
        <f t="shared" ca="1" si="58"/>
        <v>#VALUE!</v>
      </c>
      <c r="AS31" s="14" t="e">
        <f t="shared" ca="1" si="58"/>
        <v>#VALUE!</v>
      </c>
      <c r="AT31" s="15" t="e">
        <f t="shared" ca="1" si="58"/>
        <v>#VALUE!</v>
      </c>
      <c r="AU31" s="16" t="e">
        <f t="shared" ca="1" si="58"/>
        <v>#VALUE!</v>
      </c>
      <c r="AV31" s="13" t="e">
        <f t="shared" ca="1" si="58"/>
        <v>#VALUE!</v>
      </c>
      <c r="AW31" s="14" t="e">
        <f t="shared" ca="1" si="58"/>
        <v>#VALUE!</v>
      </c>
      <c r="AX31" s="14" t="e">
        <f t="shared" ca="1" si="58"/>
        <v>#VALUE!</v>
      </c>
      <c r="AY31" s="14" t="e">
        <f t="shared" ca="1" si="58"/>
        <v>#VALUE!</v>
      </c>
      <c r="AZ31" s="14" t="e">
        <f t="shared" ca="1" si="58"/>
        <v>#VALUE!</v>
      </c>
      <c r="BA31" s="15" t="e">
        <f t="shared" ca="1" si="58"/>
        <v>#VALUE!</v>
      </c>
      <c r="BB31" s="16" t="e">
        <f t="shared" ca="1" si="58"/>
        <v>#VALUE!</v>
      </c>
      <c r="BC31" s="13" t="e">
        <f t="shared" ca="1" si="58"/>
        <v>#VALUE!</v>
      </c>
      <c r="BD31" s="14" t="e">
        <f t="shared" ca="1" si="58"/>
        <v>#VALUE!</v>
      </c>
      <c r="BE31" s="14" t="e">
        <f t="shared" ca="1" si="58"/>
        <v>#VALUE!</v>
      </c>
      <c r="BF31" s="14" t="e">
        <f t="shared" ca="1" si="58"/>
        <v>#VALUE!</v>
      </c>
      <c r="BG31" s="14" t="e">
        <f t="shared" ca="1" si="58"/>
        <v>#VALUE!</v>
      </c>
      <c r="BH31" s="15" t="e">
        <f t="shared" ca="1" si="58"/>
        <v>#VALUE!</v>
      </c>
      <c r="BI31" s="16" t="e">
        <f t="shared" ca="1" si="58"/>
        <v>#VALUE!</v>
      </c>
      <c r="BJ31" s="13" t="e">
        <f t="shared" ca="1" si="58"/>
        <v>#VALUE!</v>
      </c>
      <c r="BK31" s="14" t="e">
        <f t="shared" ca="1" si="58"/>
        <v>#VALUE!</v>
      </c>
      <c r="BL31" s="14" t="e">
        <f t="shared" ca="1" si="58"/>
        <v>#VALUE!</v>
      </c>
      <c r="BM31" s="14" t="e">
        <f t="shared" ca="1" si="58"/>
        <v>#VALUE!</v>
      </c>
      <c r="BN31" s="14" t="e">
        <f t="shared" ca="1" si="58"/>
        <v>#VALUE!</v>
      </c>
      <c r="BO31" s="15" t="e">
        <f t="shared" ca="1" si="58"/>
        <v>#VALUE!</v>
      </c>
      <c r="BP31" s="16" t="e">
        <f t="shared" ca="1" si="58"/>
        <v>#VALUE!</v>
      </c>
      <c r="BQ31" s="13" t="e">
        <f t="shared" ca="1" si="58"/>
        <v>#VALUE!</v>
      </c>
      <c r="BR31" s="14" t="e">
        <f t="shared" ref="BR31:CW31" ca="1" si="59">IF(AND(BR$5&gt;=$C$16,BR$5&lt;=$E$17),1,"")</f>
        <v>#VALUE!</v>
      </c>
      <c r="BS31" s="14" t="e">
        <f t="shared" ca="1" si="59"/>
        <v>#VALUE!</v>
      </c>
      <c r="BT31" s="14" t="e">
        <f t="shared" ca="1" si="59"/>
        <v>#VALUE!</v>
      </c>
      <c r="BU31" s="14" t="e">
        <f t="shared" ca="1" si="59"/>
        <v>#VALUE!</v>
      </c>
      <c r="BV31" s="15" t="e">
        <f t="shared" ca="1" si="59"/>
        <v>#VALUE!</v>
      </c>
      <c r="BW31" s="16" t="e">
        <f t="shared" ca="1" si="59"/>
        <v>#VALUE!</v>
      </c>
      <c r="BX31" s="13" t="e">
        <f t="shared" ca="1" si="59"/>
        <v>#VALUE!</v>
      </c>
      <c r="BY31" s="14" t="e">
        <f t="shared" ca="1" si="59"/>
        <v>#VALUE!</v>
      </c>
      <c r="BZ31" s="14" t="e">
        <f t="shared" ca="1" si="59"/>
        <v>#VALUE!</v>
      </c>
      <c r="CA31" s="14" t="e">
        <f t="shared" ca="1" si="59"/>
        <v>#VALUE!</v>
      </c>
      <c r="CB31" s="14" t="e">
        <f t="shared" ca="1" si="59"/>
        <v>#VALUE!</v>
      </c>
      <c r="CC31" s="15" t="e">
        <f t="shared" ca="1" si="59"/>
        <v>#VALUE!</v>
      </c>
      <c r="CD31" s="16" t="e">
        <f t="shared" ca="1" si="59"/>
        <v>#VALUE!</v>
      </c>
      <c r="CE31" s="13" t="e">
        <f t="shared" ca="1" si="59"/>
        <v>#VALUE!</v>
      </c>
      <c r="CF31" s="14" t="e">
        <f t="shared" ca="1" si="59"/>
        <v>#VALUE!</v>
      </c>
      <c r="CG31" s="14" t="e">
        <f t="shared" ca="1" si="59"/>
        <v>#VALUE!</v>
      </c>
      <c r="CH31" s="14" t="e">
        <f t="shared" ca="1" si="59"/>
        <v>#VALUE!</v>
      </c>
      <c r="CI31" s="14" t="e">
        <f t="shared" ca="1" si="59"/>
        <v>#VALUE!</v>
      </c>
      <c r="CJ31" s="15" t="e">
        <f t="shared" ca="1" si="59"/>
        <v>#VALUE!</v>
      </c>
      <c r="CK31" s="16" t="e">
        <f t="shared" ca="1" si="59"/>
        <v>#VALUE!</v>
      </c>
      <c r="CL31" s="13" t="e">
        <f t="shared" ca="1" si="59"/>
        <v>#VALUE!</v>
      </c>
      <c r="CM31" s="14" t="e">
        <f t="shared" ca="1" si="59"/>
        <v>#VALUE!</v>
      </c>
      <c r="CN31" s="14" t="e">
        <f t="shared" ca="1" si="59"/>
        <v>#VALUE!</v>
      </c>
      <c r="CO31" s="14" t="e">
        <f t="shared" ca="1" si="59"/>
        <v>#VALUE!</v>
      </c>
      <c r="CP31" s="14" t="e">
        <f t="shared" ca="1" si="59"/>
        <v>#VALUE!</v>
      </c>
      <c r="CQ31" s="15" t="e">
        <f t="shared" ca="1" si="59"/>
        <v>#VALUE!</v>
      </c>
      <c r="CR31" s="16" t="e">
        <f t="shared" ca="1" si="59"/>
        <v>#VALUE!</v>
      </c>
      <c r="CS31" s="13" t="e">
        <f t="shared" ca="1" si="59"/>
        <v>#VALUE!</v>
      </c>
      <c r="CT31" s="14" t="e">
        <f t="shared" ca="1" si="59"/>
        <v>#VALUE!</v>
      </c>
      <c r="CU31" s="14" t="e">
        <f t="shared" ca="1" si="59"/>
        <v>#VALUE!</v>
      </c>
      <c r="CV31" s="14" t="e">
        <f t="shared" ca="1" si="59"/>
        <v>#VALUE!</v>
      </c>
      <c r="CW31" s="14" t="e">
        <f t="shared" ca="1" si="59"/>
        <v>#VALUE!</v>
      </c>
      <c r="CX31" s="15" t="e">
        <f t="shared" ref="CX31:EC31" ca="1" si="60">IF(AND(CX$5&gt;=$C$16,CX$5&lt;=$E$17),1,"")</f>
        <v>#VALUE!</v>
      </c>
      <c r="CY31" s="16" t="e">
        <f t="shared" ca="1" si="60"/>
        <v>#VALUE!</v>
      </c>
      <c r="CZ31" s="13" t="e">
        <f t="shared" ca="1" si="60"/>
        <v>#VALUE!</v>
      </c>
      <c r="DA31" s="14" t="e">
        <f t="shared" ca="1" si="60"/>
        <v>#VALUE!</v>
      </c>
      <c r="DB31" s="14" t="e">
        <f t="shared" ca="1" si="60"/>
        <v>#VALUE!</v>
      </c>
      <c r="DC31" s="14" t="e">
        <f t="shared" ca="1" si="60"/>
        <v>#VALUE!</v>
      </c>
      <c r="DD31" s="14" t="e">
        <f t="shared" ca="1" si="60"/>
        <v>#VALUE!</v>
      </c>
      <c r="DE31" s="15" t="e">
        <f t="shared" ca="1" si="60"/>
        <v>#VALUE!</v>
      </c>
      <c r="DF31" s="16" t="e">
        <f t="shared" ca="1" si="60"/>
        <v>#VALUE!</v>
      </c>
      <c r="DG31" s="13" t="e">
        <f t="shared" ca="1" si="60"/>
        <v>#VALUE!</v>
      </c>
      <c r="DH31" s="14" t="e">
        <f t="shared" ca="1" si="60"/>
        <v>#VALUE!</v>
      </c>
      <c r="DI31" s="14" t="e">
        <f t="shared" ca="1" si="60"/>
        <v>#VALUE!</v>
      </c>
      <c r="DJ31" s="14" t="e">
        <f t="shared" ca="1" si="60"/>
        <v>#VALUE!</v>
      </c>
      <c r="DK31" s="14" t="e">
        <f t="shared" ca="1" si="60"/>
        <v>#VALUE!</v>
      </c>
      <c r="DL31" s="15" t="e">
        <f t="shared" ca="1" si="60"/>
        <v>#VALUE!</v>
      </c>
      <c r="DM31" s="16" t="e">
        <f t="shared" ca="1" si="60"/>
        <v>#VALUE!</v>
      </c>
      <c r="DN31" s="13" t="e">
        <f t="shared" ca="1" si="60"/>
        <v>#VALUE!</v>
      </c>
      <c r="DO31" s="14" t="e">
        <f t="shared" ca="1" si="60"/>
        <v>#VALUE!</v>
      </c>
      <c r="DP31" s="14" t="e">
        <f t="shared" ca="1" si="60"/>
        <v>#VALUE!</v>
      </c>
      <c r="DQ31" s="14" t="e">
        <f t="shared" ca="1" si="60"/>
        <v>#VALUE!</v>
      </c>
      <c r="DR31" s="14" t="e">
        <f t="shared" ca="1" si="60"/>
        <v>#VALUE!</v>
      </c>
      <c r="DS31" s="15" t="e">
        <f t="shared" ca="1" si="60"/>
        <v>#VALUE!</v>
      </c>
      <c r="DT31" s="16" t="e">
        <f t="shared" ca="1" si="60"/>
        <v>#VALUE!</v>
      </c>
      <c r="DU31" s="13" t="e">
        <f t="shared" ca="1" si="60"/>
        <v>#VALUE!</v>
      </c>
      <c r="DV31" s="14" t="e">
        <f t="shared" ca="1" si="60"/>
        <v>#VALUE!</v>
      </c>
      <c r="DW31" s="14" t="e">
        <f t="shared" ca="1" si="60"/>
        <v>#VALUE!</v>
      </c>
      <c r="DX31" s="14" t="e">
        <f t="shared" ca="1" si="60"/>
        <v>#VALUE!</v>
      </c>
      <c r="DY31" s="14" t="e">
        <f t="shared" ca="1" si="60"/>
        <v>#VALUE!</v>
      </c>
      <c r="DZ31" s="15" t="e">
        <f t="shared" ca="1" si="60"/>
        <v>#VALUE!</v>
      </c>
      <c r="EA31" s="16" t="e">
        <f t="shared" ca="1" si="60"/>
        <v>#VALUE!</v>
      </c>
      <c r="EB31" s="13" t="e">
        <f t="shared" ca="1" si="60"/>
        <v>#VALUE!</v>
      </c>
      <c r="EC31" s="14" t="e">
        <f t="shared" ca="1" si="60"/>
        <v>#VALUE!</v>
      </c>
      <c r="ED31" s="14" t="e">
        <f t="shared" ref="ED31:FC31" ca="1" si="61">IF(AND(ED$5&gt;=$C$16,ED$5&lt;=$E$17),1,"")</f>
        <v>#VALUE!</v>
      </c>
      <c r="EE31" s="14" t="e">
        <f t="shared" ca="1" si="61"/>
        <v>#VALUE!</v>
      </c>
      <c r="EF31" s="14" t="e">
        <f t="shared" ca="1" si="61"/>
        <v>#VALUE!</v>
      </c>
      <c r="EG31" s="15" t="e">
        <f t="shared" ca="1" si="61"/>
        <v>#VALUE!</v>
      </c>
      <c r="EH31" s="16" t="e">
        <f t="shared" ca="1" si="61"/>
        <v>#VALUE!</v>
      </c>
      <c r="EI31" s="13" t="e">
        <f t="shared" ca="1" si="61"/>
        <v>#VALUE!</v>
      </c>
      <c r="EJ31" s="14" t="e">
        <f t="shared" ca="1" si="61"/>
        <v>#VALUE!</v>
      </c>
      <c r="EK31" s="14" t="e">
        <f t="shared" ca="1" si="61"/>
        <v>#VALUE!</v>
      </c>
      <c r="EL31" s="14" t="e">
        <f t="shared" ca="1" si="61"/>
        <v>#VALUE!</v>
      </c>
      <c r="EM31" s="14" t="e">
        <f t="shared" ca="1" si="61"/>
        <v>#VALUE!</v>
      </c>
      <c r="EN31" s="15" t="e">
        <f t="shared" ca="1" si="61"/>
        <v>#VALUE!</v>
      </c>
      <c r="EO31" s="16" t="e">
        <f t="shared" ca="1" si="61"/>
        <v>#VALUE!</v>
      </c>
      <c r="EP31" s="13" t="e">
        <f t="shared" ca="1" si="61"/>
        <v>#VALUE!</v>
      </c>
      <c r="EQ31" s="14" t="e">
        <f t="shared" ca="1" si="61"/>
        <v>#VALUE!</v>
      </c>
      <c r="ER31" s="14" t="e">
        <f t="shared" ca="1" si="61"/>
        <v>#VALUE!</v>
      </c>
      <c r="ES31" s="14" t="e">
        <f t="shared" ca="1" si="61"/>
        <v>#VALUE!</v>
      </c>
      <c r="ET31" s="14" t="e">
        <f t="shared" ca="1" si="61"/>
        <v>#VALUE!</v>
      </c>
      <c r="EU31" s="15" t="e">
        <f t="shared" ca="1" si="61"/>
        <v>#VALUE!</v>
      </c>
      <c r="EV31" s="16" t="e">
        <f t="shared" ca="1" si="61"/>
        <v>#VALUE!</v>
      </c>
      <c r="EW31" s="13" t="e">
        <f t="shared" ca="1" si="61"/>
        <v>#VALUE!</v>
      </c>
      <c r="EX31" s="14" t="e">
        <f t="shared" ca="1" si="61"/>
        <v>#VALUE!</v>
      </c>
      <c r="EY31" s="14" t="e">
        <f t="shared" ca="1" si="61"/>
        <v>#VALUE!</v>
      </c>
      <c r="EZ31" s="14" t="e">
        <f t="shared" ca="1" si="61"/>
        <v>#VALUE!</v>
      </c>
      <c r="FA31" s="14" t="e">
        <f t="shared" ca="1" si="61"/>
        <v>#VALUE!</v>
      </c>
      <c r="FB31" s="15" t="e">
        <f t="shared" ca="1" si="61"/>
        <v>#VALUE!</v>
      </c>
      <c r="FC31" s="16" t="e">
        <f t="shared" ca="1" si="61"/>
        <v>#VALUE!</v>
      </c>
    </row>
    <row r="32" spans="1:159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  <c r="DU32" s="13"/>
      <c r="DV32" s="14"/>
      <c r="DW32" s="14"/>
      <c r="DX32" s="14"/>
      <c r="DY32" s="14"/>
      <c r="DZ32" s="15"/>
      <c r="EA32" s="16"/>
      <c r="EB32" s="13"/>
      <c r="EC32" s="14"/>
      <c r="ED32" s="14"/>
      <c r="EE32" s="14"/>
      <c r="EF32" s="14"/>
      <c r="EG32" s="15"/>
      <c r="EH32" s="16"/>
      <c r="EI32" s="13"/>
      <c r="EJ32" s="14"/>
      <c r="EK32" s="14"/>
      <c r="EL32" s="14"/>
      <c r="EM32" s="14"/>
      <c r="EN32" s="15"/>
      <c r="EO32" s="16"/>
      <c r="EP32" s="13"/>
      <c r="EQ32" s="14"/>
      <c r="ER32" s="14"/>
      <c r="ES32" s="14"/>
      <c r="ET32" s="14"/>
      <c r="EU32" s="15"/>
      <c r="EV32" s="16"/>
      <c r="EW32" s="13"/>
      <c r="EX32" s="14"/>
      <c r="EY32" s="14"/>
      <c r="EZ32" s="14"/>
      <c r="FA32" s="14"/>
      <c r="FB32" s="15"/>
      <c r="FC32" s="16"/>
    </row>
    <row r="33" spans="1:159" s="17" customFormat="1" ht="15" customHeight="1">
      <c r="A33" s="544" t="s">
        <v>59</v>
      </c>
      <c r="B33" s="535"/>
      <c r="C33" s="545" t="e">
        <f ca="1">E23-C11+1</f>
        <v>#VALUE!</v>
      </c>
      <c r="D33" s="535"/>
      <c r="E33" s="537"/>
      <c r="F33" s="14" t="e">
        <f t="shared" ref="F33:AK33" ca="1" si="62">IF(AND(F$5&gt;=$C$11,F$5&lt;=$E$23),1,"")</f>
        <v>#VALUE!</v>
      </c>
      <c r="G33" s="14" t="e">
        <f t="shared" ca="1" si="62"/>
        <v>#VALUE!</v>
      </c>
      <c r="H33" s="14" t="e">
        <f t="shared" ca="1" si="62"/>
        <v>#VALUE!</v>
      </c>
      <c r="I33" s="14" t="e">
        <f t="shared" ca="1" si="62"/>
        <v>#VALUE!</v>
      </c>
      <c r="J33" s="14" t="e">
        <f t="shared" ca="1" si="62"/>
        <v>#VALUE!</v>
      </c>
      <c r="K33" s="15" t="e">
        <f t="shared" ca="1" si="62"/>
        <v>#VALUE!</v>
      </c>
      <c r="L33" s="16" t="e">
        <f t="shared" ca="1" si="62"/>
        <v>#VALUE!</v>
      </c>
      <c r="M33" s="13" t="e">
        <f t="shared" ca="1" si="62"/>
        <v>#VALUE!</v>
      </c>
      <c r="N33" s="14" t="e">
        <f t="shared" ca="1" si="62"/>
        <v>#VALUE!</v>
      </c>
      <c r="O33" s="14" t="e">
        <f t="shared" ca="1" si="62"/>
        <v>#VALUE!</v>
      </c>
      <c r="P33" s="14" t="e">
        <f t="shared" ca="1" si="62"/>
        <v>#VALUE!</v>
      </c>
      <c r="Q33" s="14" t="e">
        <f t="shared" ca="1" si="62"/>
        <v>#VALUE!</v>
      </c>
      <c r="R33" s="15" t="e">
        <f t="shared" ca="1" si="62"/>
        <v>#VALUE!</v>
      </c>
      <c r="S33" s="16" t="e">
        <f t="shared" ca="1" si="62"/>
        <v>#VALUE!</v>
      </c>
      <c r="T33" s="13" t="e">
        <f t="shared" ca="1" si="62"/>
        <v>#VALUE!</v>
      </c>
      <c r="U33" s="14" t="e">
        <f t="shared" ca="1" si="62"/>
        <v>#VALUE!</v>
      </c>
      <c r="V33" s="14" t="e">
        <f t="shared" ca="1" si="62"/>
        <v>#VALUE!</v>
      </c>
      <c r="W33" s="14" t="e">
        <f t="shared" ca="1" si="62"/>
        <v>#VALUE!</v>
      </c>
      <c r="X33" s="14" t="e">
        <f t="shared" ca="1" si="62"/>
        <v>#VALUE!</v>
      </c>
      <c r="Y33" s="15" t="e">
        <f t="shared" ca="1" si="62"/>
        <v>#VALUE!</v>
      </c>
      <c r="Z33" s="16" t="e">
        <f t="shared" ca="1" si="62"/>
        <v>#VALUE!</v>
      </c>
      <c r="AA33" s="13" t="e">
        <f t="shared" ca="1" si="62"/>
        <v>#VALUE!</v>
      </c>
      <c r="AB33" s="14" t="e">
        <f t="shared" ca="1" si="62"/>
        <v>#VALUE!</v>
      </c>
      <c r="AC33" s="14" t="e">
        <f t="shared" ca="1" si="62"/>
        <v>#VALUE!</v>
      </c>
      <c r="AD33" s="14" t="e">
        <f t="shared" ca="1" si="62"/>
        <v>#VALUE!</v>
      </c>
      <c r="AE33" s="14" t="e">
        <f t="shared" ca="1" si="62"/>
        <v>#VALUE!</v>
      </c>
      <c r="AF33" s="15" t="e">
        <f t="shared" ca="1" si="62"/>
        <v>#VALUE!</v>
      </c>
      <c r="AG33" s="16" t="e">
        <f t="shared" ca="1" si="62"/>
        <v>#VALUE!</v>
      </c>
      <c r="AH33" s="13" t="e">
        <f t="shared" ca="1" si="62"/>
        <v>#VALUE!</v>
      </c>
      <c r="AI33" s="14" t="e">
        <f t="shared" ca="1" si="62"/>
        <v>#VALUE!</v>
      </c>
      <c r="AJ33" s="14" t="e">
        <f t="shared" ca="1" si="62"/>
        <v>#VALUE!</v>
      </c>
      <c r="AK33" s="14" t="e">
        <f t="shared" ca="1" si="62"/>
        <v>#VALUE!</v>
      </c>
      <c r="AL33" s="14" t="e">
        <f t="shared" ref="AL33:BQ33" ca="1" si="63">IF(AND(AL$5&gt;=$C$11,AL$5&lt;=$E$23),1,"")</f>
        <v>#VALUE!</v>
      </c>
      <c r="AM33" s="15" t="e">
        <f t="shared" ca="1" si="63"/>
        <v>#VALUE!</v>
      </c>
      <c r="AN33" s="16" t="e">
        <f t="shared" ca="1" si="63"/>
        <v>#VALUE!</v>
      </c>
      <c r="AO33" s="13" t="e">
        <f t="shared" ca="1" si="63"/>
        <v>#VALUE!</v>
      </c>
      <c r="AP33" s="14" t="e">
        <f t="shared" ca="1" si="63"/>
        <v>#VALUE!</v>
      </c>
      <c r="AQ33" s="14" t="e">
        <f t="shared" ca="1" si="63"/>
        <v>#VALUE!</v>
      </c>
      <c r="AR33" s="14" t="e">
        <f t="shared" ca="1" si="63"/>
        <v>#VALUE!</v>
      </c>
      <c r="AS33" s="14" t="e">
        <f t="shared" ca="1" si="63"/>
        <v>#VALUE!</v>
      </c>
      <c r="AT33" s="15" t="e">
        <f t="shared" ca="1" si="63"/>
        <v>#VALUE!</v>
      </c>
      <c r="AU33" s="16" t="e">
        <f t="shared" ca="1" si="63"/>
        <v>#VALUE!</v>
      </c>
      <c r="AV33" s="13" t="e">
        <f t="shared" ca="1" si="63"/>
        <v>#VALUE!</v>
      </c>
      <c r="AW33" s="14" t="e">
        <f t="shared" ca="1" si="63"/>
        <v>#VALUE!</v>
      </c>
      <c r="AX33" s="14" t="e">
        <f t="shared" ca="1" si="63"/>
        <v>#VALUE!</v>
      </c>
      <c r="AY33" s="14" t="e">
        <f t="shared" ca="1" si="63"/>
        <v>#VALUE!</v>
      </c>
      <c r="AZ33" s="14" t="e">
        <f t="shared" ca="1" si="63"/>
        <v>#VALUE!</v>
      </c>
      <c r="BA33" s="15" t="e">
        <f t="shared" ca="1" si="63"/>
        <v>#VALUE!</v>
      </c>
      <c r="BB33" s="16" t="e">
        <f t="shared" ca="1" si="63"/>
        <v>#VALUE!</v>
      </c>
      <c r="BC33" s="13" t="e">
        <f t="shared" ca="1" si="63"/>
        <v>#VALUE!</v>
      </c>
      <c r="BD33" s="14" t="e">
        <f t="shared" ca="1" si="63"/>
        <v>#VALUE!</v>
      </c>
      <c r="BE33" s="14" t="e">
        <f t="shared" ca="1" si="63"/>
        <v>#VALUE!</v>
      </c>
      <c r="BF33" s="14" t="e">
        <f t="shared" ca="1" si="63"/>
        <v>#VALUE!</v>
      </c>
      <c r="BG33" s="14" t="e">
        <f t="shared" ca="1" si="63"/>
        <v>#VALUE!</v>
      </c>
      <c r="BH33" s="15" t="e">
        <f t="shared" ca="1" si="63"/>
        <v>#VALUE!</v>
      </c>
      <c r="BI33" s="16" t="e">
        <f t="shared" ca="1" si="63"/>
        <v>#VALUE!</v>
      </c>
      <c r="BJ33" s="13" t="e">
        <f t="shared" ca="1" si="63"/>
        <v>#VALUE!</v>
      </c>
      <c r="BK33" s="14" t="e">
        <f t="shared" ca="1" si="63"/>
        <v>#VALUE!</v>
      </c>
      <c r="BL33" s="14" t="e">
        <f t="shared" ca="1" si="63"/>
        <v>#VALUE!</v>
      </c>
      <c r="BM33" s="14" t="e">
        <f t="shared" ca="1" si="63"/>
        <v>#VALUE!</v>
      </c>
      <c r="BN33" s="14" t="e">
        <f t="shared" ca="1" si="63"/>
        <v>#VALUE!</v>
      </c>
      <c r="BO33" s="15" t="e">
        <f t="shared" ca="1" si="63"/>
        <v>#VALUE!</v>
      </c>
      <c r="BP33" s="16" t="e">
        <f t="shared" ca="1" si="63"/>
        <v>#VALUE!</v>
      </c>
      <c r="BQ33" s="13" t="e">
        <f t="shared" ca="1" si="63"/>
        <v>#VALUE!</v>
      </c>
      <c r="BR33" s="14" t="e">
        <f t="shared" ref="BR33:CW33" ca="1" si="64">IF(AND(BR$5&gt;=$C$11,BR$5&lt;=$E$23),1,"")</f>
        <v>#VALUE!</v>
      </c>
      <c r="BS33" s="14" t="e">
        <f t="shared" ca="1" si="64"/>
        <v>#VALUE!</v>
      </c>
      <c r="BT33" s="14" t="e">
        <f t="shared" ca="1" si="64"/>
        <v>#VALUE!</v>
      </c>
      <c r="BU33" s="14" t="e">
        <f t="shared" ca="1" si="64"/>
        <v>#VALUE!</v>
      </c>
      <c r="BV33" s="15" t="e">
        <f t="shared" ca="1" si="64"/>
        <v>#VALUE!</v>
      </c>
      <c r="BW33" s="16" t="e">
        <f t="shared" ca="1" si="64"/>
        <v>#VALUE!</v>
      </c>
      <c r="BX33" s="13" t="e">
        <f t="shared" ca="1" si="64"/>
        <v>#VALUE!</v>
      </c>
      <c r="BY33" s="14" t="e">
        <f t="shared" ca="1" si="64"/>
        <v>#VALUE!</v>
      </c>
      <c r="BZ33" s="14" t="e">
        <f t="shared" ca="1" si="64"/>
        <v>#VALUE!</v>
      </c>
      <c r="CA33" s="14" t="e">
        <f t="shared" ca="1" si="64"/>
        <v>#VALUE!</v>
      </c>
      <c r="CB33" s="14" t="e">
        <f t="shared" ca="1" si="64"/>
        <v>#VALUE!</v>
      </c>
      <c r="CC33" s="15" t="e">
        <f t="shared" ca="1" si="64"/>
        <v>#VALUE!</v>
      </c>
      <c r="CD33" s="16" t="e">
        <f t="shared" ca="1" si="64"/>
        <v>#VALUE!</v>
      </c>
      <c r="CE33" s="13" t="e">
        <f t="shared" ca="1" si="64"/>
        <v>#VALUE!</v>
      </c>
      <c r="CF33" s="14" t="e">
        <f t="shared" ca="1" si="64"/>
        <v>#VALUE!</v>
      </c>
      <c r="CG33" s="14" t="e">
        <f t="shared" ca="1" si="64"/>
        <v>#VALUE!</v>
      </c>
      <c r="CH33" s="14" t="e">
        <f t="shared" ca="1" si="64"/>
        <v>#VALUE!</v>
      </c>
      <c r="CI33" s="14" t="e">
        <f t="shared" ca="1" si="64"/>
        <v>#VALUE!</v>
      </c>
      <c r="CJ33" s="15" t="e">
        <f t="shared" ca="1" si="64"/>
        <v>#VALUE!</v>
      </c>
      <c r="CK33" s="16" t="e">
        <f t="shared" ca="1" si="64"/>
        <v>#VALUE!</v>
      </c>
      <c r="CL33" s="13" t="e">
        <f t="shared" ca="1" si="64"/>
        <v>#VALUE!</v>
      </c>
      <c r="CM33" s="14" t="e">
        <f t="shared" ca="1" si="64"/>
        <v>#VALUE!</v>
      </c>
      <c r="CN33" s="14" t="e">
        <f t="shared" ca="1" si="64"/>
        <v>#VALUE!</v>
      </c>
      <c r="CO33" s="14" t="e">
        <f t="shared" ca="1" si="64"/>
        <v>#VALUE!</v>
      </c>
      <c r="CP33" s="14" t="e">
        <f t="shared" ca="1" si="64"/>
        <v>#VALUE!</v>
      </c>
      <c r="CQ33" s="15" t="e">
        <f t="shared" ca="1" si="64"/>
        <v>#VALUE!</v>
      </c>
      <c r="CR33" s="16" t="e">
        <f t="shared" ca="1" si="64"/>
        <v>#VALUE!</v>
      </c>
      <c r="CS33" s="13" t="e">
        <f t="shared" ca="1" si="64"/>
        <v>#VALUE!</v>
      </c>
      <c r="CT33" s="14" t="e">
        <f t="shared" ca="1" si="64"/>
        <v>#VALUE!</v>
      </c>
      <c r="CU33" s="14" t="e">
        <f t="shared" ca="1" si="64"/>
        <v>#VALUE!</v>
      </c>
      <c r="CV33" s="14" t="e">
        <f t="shared" ca="1" si="64"/>
        <v>#VALUE!</v>
      </c>
      <c r="CW33" s="14" t="e">
        <f t="shared" ca="1" si="64"/>
        <v>#VALUE!</v>
      </c>
      <c r="CX33" s="15" t="e">
        <f t="shared" ref="CX33:EC33" ca="1" si="65">IF(AND(CX$5&gt;=$C$11,CX$5&lt;=$E$23),1,"")</f>
        <v>#VALUE!</v>
      </c>
      <c r="CY33" s="16" t="e">
        <f t="shared" ca="1" si="65"/>
        <v>#VALUE!</v>
      </c>
      <c r="CZ33" s="13" t="e">
        <f t="shared" ca="1" si="65"/>
        <v>#VALUE!</v>
      </c>
      <c r="DA33" s="14" t="e">
        <f t="shared" ca="1" si="65"/>
        <v>#VALUE!</v>
      </c>
      <c r="DB33" s="14" t="e">
        <f t="shared" ca="1" si="65"/>
        <v>#VALUE!</v>
      </c>
      <c r="DC33" s="14" t="e">
        <f t="shared" ca="1" si="65"/>
        <v>#VALUE!</v>
      </c>
      <c r="DD33" s="14" t="e">
        <f t="shared" ca="1" si="65"/>
        <v>#VALUE!</v>
      </c>
      <c r="DE33" s="15" t="e">
        <f t="shared" ca="1" si="65"/>
        <v>#VALUE!</v>
      </c>
      <c r="DF33" s="16" t="e">
        <f t="shared" ca="1" si="65"/>
        <v>#VALUE!</v>
      </c>
      <c r="DG33" s="13" t="e">
        <f t="shared" ca="1" si="65"/>
        <v>#VALUE!</v>
      </c>
      <c r="DH33" s="14" t="e">
        <f t="shared" ca="1" si="65"/>
        <v>#VALUE!</v>
      </c>
      <c r="DI33" s="14" t="e">
        <f t="shared" ca="1" si="65"/>
        <v>#VALUE!</v>
      </c>
      <c r="DJ33" s="14" t="e">
        <f t="shared" ca="1" si="65"/>
        <v>#VALUE!</v>
      </c>
      <c r="DK33" s="14" t="e">
        <f t="shared" ca="1" si="65"/>
        <v>#VALUE!</v>
      </c>
      <c r="DL33" s="15" t="e">
        <f t="shared" ca="1" si="65"/>
        <v>#VALUE!</v>
      </c>
      <c r="DM33" s="16" t="e">
        <f t="shared" ca="1" si="65"/>
        <v>#VALUE!</v>
      </c>
      <c r="DN33" s="13" t="e">
        <f t="shared" ca="1" si="65"/>
        <v>#VALUE!</v>
      </c>
      <c r="DO33" s="14" t="e">
        <f t="shared" ca="1" si="65"/>
        <v>#VALUE!</v>
      </c>
      <c r="DP33" s="14" t="e">
        <f t="shared" ca="1" si="65"/>
        <v>#VALUE!</v>
      </c>
      <c r="DQ33" s="14" t="e">
        <f t="shared" ca="1" si="65"/>
        <v>#VALUE!</v>
      </c>
      <c r="DR33" s="14" t="e">
        <f t="shared" ca="1" si="65"/>
        <v>#VALUE!</v>
      </c>
      <c r="DS33" s="15" t="e">
        <f t="shared" ca="1" si="65"/>
        <v>#VALUE!</v>
      </c>
      <c r="DT33" s="16" t="e">
        <f t="shared" ca="1" si="65"/>
        <v>#VALUE!</v>
      </c>
      <c r="DU33" s="13" t="e">
        <f t="shared" ca="1" si="65"/>
        <v>#VALUE!</v>
      </c>
      <c r="DV33" s="14" t="e">
        <f t="shared" ca="1" si="65"/>
        <v>#VALUE!</v>
      </c>
      <c r="DW33" s="14" t="e">
        <f t="shared" ca="1" si="65"/>
        <v>#VALUE!</v>
      </c>
      <c r="DX33" s="14" t="e">
        <f t="shared" ca="1" si="65"/>
        <v>#VALUE!</v>
      </c>
      <c r="DY33" s="14" t="e">
        <f t="shared" ca="1" si="65"/>
        <v>#VALUE!</v>
      </c>
      <c r="DZ33" s="15" t="e">
        <f t="shared" ca="1" si="65"/>
        <v>#VALUE!</v>
      </c>
      <c r="EA33" s="16" t="e">
        <f t="shared" ca="1" si="65"/>
        <v>#VALUE!</v>
      </c>
      <c r="EB33" s="13" t="e">
        <f t="shared" ca="1" si="65"/>
        <v>#VALUE!</v>
      </c>
      <c r="EC33" s="14" t="e">
        <f t="shared" ca="1" si="65"/>
        <v>#VALUE!</v>
      </c>
      <c r="ED33" s="14" t="e">
        <f t="shared" ref="ED33:FC33" ca="1" si="66">IF(AND(ED$5&gt;=$C$11,ED$5&lt;=$E$23),1,"")</f>
        <v>#VALUE!</v>
      </c>
      <c r="EE33" s="14" t="e">
        <f t="shared" ca="1" si="66"/>
        <v>#VALUE!</v>
      </c>
      <c r="EF33" s="14" t="e">
        <f t="shared" ca="1" si="66"/>
        <v>#VALUE!</v>
      </c>
      <c r="EG33" s="15" t="e">
        <f t="shared" ca="1" si="66"/>
        <v>#VALUE!</v>
      </c>
      <c r="EH33" s="16" t="e">
        <f t="shared" ca="1" si="66"/>
        <v>#VALUE!</v>
      </c>
      <c r="EI33" s="13" t="e">
        <f t="shared" ca="1" si="66"/>
        <v>#VALUE!</v>
      </c>
      <c r="EJ33" s="14" t="e">
        <f t="shared" ca="1" si="66"/>
        <v>#VALUE!</v>
      </c>
      <c r="EK33" s="14" t="e">
        <f t="shared" ca="1" si="66"/>
        <v>#VALUE!</v>
      </c>
      <c r="EL33" s="14" t="e">
        <f t="shared" ca="1" si="66"/>
        <v>#VALUE!</v>
      </c>
      <c r="EM33" s="14" t="e">
        <f t="shared" ca="1" si="66"/>
        <v>#VALUE!</v>
      </c>
      <c r="EN33" s="15" t="e">
        <f t="shared" ca="1" si="66"/>
        <v>#VALUE!</v>
      </c>
      <c r="EO33" s="16" t="e">
        <f t="shared" ca="1" si="66"/>
        <v>#VALUE!</v>
      </c>
      <c r="EP33" s="13" t="e">
        <f t="shared" ca="1" si="66"/>
        <v>#VALUE!</v>
      </c>
      <c r="EQ33" s="14" t="e">
        <f t="shared" ca="1" si="66"/>
        <v>#VALUE!</v>
      </c>
      <c r="ER33" s="14" t="e">
        <f t="shared" ca="1" si="66"/>
        <v>#VALUE!</v>
      </c>
      <c r="ES33" s="14" t="e">
        <f t="shared" ca="1" si="66"/>
        <v>#VALUE!</v>
      </c>
      <c r="ET33" s="14" t="e">
        <f t="shared" ca="1" si="66"/>
        <v>#VALUE!</v>
      </c>
      <c r="EU33" s="15" t="e">
        <f t="shared" ca="1" si="66"/>
        <v>#VALUE!</v>
      </c>
      <c r="EV33" s="16" t="e">
        <f t="shared" ca="1" si="66"/>
        <v>#VALUE!</v>
      </c>
      <c r="EW33" s="13" t="e">
        <f t="shared" ca="1" si="66"/>
        <v>#VALUE!</v>
      </c>
      <c r="EX33" s="14" t="e">
        <f t="shared" ca="1" si="66"/>
        <v>#VALUE!</v>
      </c>
      <c r="EY33" s="14" t="e">
        <f t="shared" ca="1" si="66"/>
        <v>#VALUE!</v>
      </c>
      <c r="EZ33" s="14" t="e">
        <f t="shared" ca="1" si="66"/>
        <v>#VALUE!</v>
      </c>
      <c r="FA33" s="14" t="e">
        <f t="shared" ca="1" si="66"/>
        <v>#VALUE!</v>
      </c>
      <c r="FB33" s="15" t="e">
        <f t="shared" ca="1" si="66"/>
        <v>#VALUE!</v>
      </c>
      <c r="FC33" s="16" t="e">
        <f t="shared" ca="1" si="66"/>
        <v>#VALUE!</v>
      </c>
    </row>
    <row r="34" spans="1:159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  <c r="DU34" s="13"/>
      <c r="DV34" s="14"/>
      <c r="DW34" s="14"/>
      <c r="DX34" s="14"/>
      <c r="DY34" s="14"/>
      <c r="DZ34" s="15"/>
      <c r="EA34" s="16"/>
      <c r="EB34" s="13"/>
      <c r="EC34" s="14"/>
      <c r="ED34" s="14"/>
      <c r="EE34" s="14"/>
      <c r="EF34" s="14"/>
      <c r="EG34" s="15"/>
      <c r="EH34" s="16"/>
      <c r="EI34" s="13"/>
      <c r="EJ34" s="14"/>
      <c r="EK34" s="14"/>
      <c r="EL34" s="14"/>
      <c r="EM34" s="14"/>
      <c r="EN34" s="15"/>
      <c r="EO34" s="16"/>
      <c r="EP34" s="13"/>
      <c r="EQ34" s="14"/>
      <c r="ER34" s="14"/>
      <c r="ES34" s="14"/>
      <c r="ET34" s="14"/>
      <c r="EU34" s="15"/>
      <c r="EV34" s="16"/>
      <c r="EW34" s="13"/>
      <c r="EX34" s="14"/>
      <c r="EY34" s="14"/>
      <c r="EZ34" s="14"/>
      <c r="FA34" s="14"/>
      <c r="FB34" s="15"/>
      <c r="FC34" s="16"/>
    </row>
    <row r="35" spans="1:159" s="17" customFormat="1" ht="15" customHeight="1">
      <c r="A35" s="534" t="s">
        <v>60</v>
      </c>
      <c r="B35" s="535"/>
      <c r="C35" s="536" t="e">
        <f ca="1">E23-C8+1</f>
        <v>#VALUE!</v>
      </c>
      <c r="D35" s="535"/>
      <c r="E35" s="537"/>
      <c r="F35" s="14" t="e">
        <f t="shared" ref="F35:AK35" ca="1" si="67">IF(AND(F$5&gt;=$C$8,F$5&lt;=$E$23),1,"")</f>
        <v>#VALUE!</v>
      </c>
      <c r="G35" s="14" t="e">
        <f t="shared" ca="1" si="67"/>
        <v>#VALUE!</v>
      </c>
      <c r="H35" s="14" t="e">
        <f t="shared" ca="1" si="67"/>
        <v>#VALUE!</v>
      </c>
      <c r="I35" s="14" t="e">
        <f t="shared" ca="1" si="67"/>
        <v>#VALUE!</v>
      </c>
      <c r="J35" s="14" t="e">
        <f t="shared" ca="1" si="67"/>
        <v>#VALUE!</v>
      </c>
      <c r="K35" s="15" t="e">
        <f t="shared" ca="1" si="67"/>
        <v>#VALUE!</v>
      </c>
      <c r="L35" s="16" t="e">
        <f t="shared" ca="1" si="67"/>
        <v>#VALUE!</v>
      </c>
      <c r="M35" s="13" t="e">
        <f t="shared" ca="1" si="67"/>
        <v>#VALUE!</v>
      </c>
      <c r="N35" s="14" t="e">
        <f t="shared" ca="1" si="67"/>
        <v>#VALUE!</v>
      </c>
      <c r="O35" s="14" t="e">
        <f t="shared" ca="1" si="67"/>
        <v>#VALUE!</v>
      </c>
      <c r="P35" s="14" t="e">
        <f t="shared" ca="1" si="67"/>
        <v>#VALUE!</v>
      </c>
      <c r="Q35" s="14" t="e">
        <f t="shared" ca="1" si="67"/>
        <v>#VALUE!</v>
      </c>
      <c r="R35" s="15" t="e">
        <f t="shared" ca="1" si="67"/>
        <v>#VALUE!</v>
      </c>
      <c r="S35" s="16" t="e">
        <f t="shared" ca="1" si="67"/>
        <v>#VALUE!</v>
      </c>
      <c r="T35" s="13" t="e">
        <f t="shared" ca="1" si="67"/>
        <v>#VALUE!</v>
      </c>
      <c r="U35" s="14" t="e">
        <f t="shared" ca="1" si="67"/>
        <v>#VALUE!</v>
      </c>
      <c r="V35" s="14" t="e">
        <f t="shared" ca="1" si="67"/>
        <v>#VALUE!</v>
      </c>
      <c r="W35" s="14" t="e">
        <f t="shared" ca="1" si="67"/>
        <v>#VALUE!</v>
      </c>
      <c r="X35" s="14" t="e">
        <f t="shared" ca="1" si="67"/>
        <v>#VALUE!</v>
      </c>
      <c r="Y35" s="15" t="e">
        <f t="shared" ca="1" si="67"/>
        <v>#VALUE!</v>
      </c>
      <c r="Z35" s="16" t="e">
        <f t="shared" ca="1" si="67"/>
        <v>#VALUE!</v>
      </c>
      <c r="AA35" s="13" t="e">
        <f t="shared" ca="1" si="67"/>
        <v>#VALUE!</v>
      </c>
      <c r="AB35" s="14" t="e">
        <f t="shared" ca="1" si="67"/>
        <v>#VALUE!</v>
      </c>
      <c r="AC35" s="14" t="e">
        <f t="shared" ca="1" si="67"/>
        <v>#VALUE!</v>
      </c>
      <c r="AD35" s="14" t="e">
        <f t="shared" ca="1" si="67"/>
        <v>#VALUE!</v>
      </c>
      <c r="AE35" s="14" t="e">
        <f t="shared" ca="1" si="67"/>
        <v>#VALUE!</v>
      </c>
      <c r="AF35" s="15" t="e">
        <f t="shared" ca="1" si="67"/>
        <v>#VALUE!</v>
      </c>
      <c r="AG35" s="16" t="e">
        <f t="shared" ca="1" si="67"/>
        <v>#VALUE!</v>
      </c>
      <c r="AH35" s="13" t="e">
        <f t="shared" ca="1" si="67"/>
        <v>#VALUE!</v>
      </c>
      <c r="AI35" s="14" t="e">
        <f t="shared" ca="1" si="67"/>
        <v>#VALUE!</v>
      </c>
      <c r="AJ35" s="14" t="e">
        <f t="shared" ca="1" si="67"/>
        <v>#VALUE!</v>
      </c>
      <c r="AK35" s="14" t="e">
        <f t="shared" ca="1" si="67"/>
        <v>#VALUE!</v>
      </c>
      <c r="AL35" s="14" t="e">
        <f t="shared" ref="AL35:BQ35" ca="1" si="68">IF(AND(AL$5&gt;=$C$8,AL$5&lt;=$E$23),1,"")</f>
        <v>#VALUE!</v>
      </c>
      <c r="AM35" s="15" t="e">
        <f t="shared" ca="1" si="68"/>
        <v>#VALUE!</v>
      </c>
      <c r="AN35" s="16" t="e">
        <f t="shared" ca="1" si="68"/>
        <v>#VALUE!</v>
      </c>
      <c r="AO35" s="13" t="e">
        <f t="shared" ca="1" si="68"/>
        <v>#VALUE!</v>
      </c>
      <c r="AP35" s="14" t="e">
        <f t="shared" ca="1" si="68"/>
        <v>#VALUE!</v>
      </c>
      <c r="AQ35" s="14" t="e">
        <f t="shared" ca="1" si="68"/>
        <v>#VALUE!</v>
      </c>
      <c r="AR35" s="14" t="e">
        <f t="shared" ca="1" si="68"/>
        <v>#VALUE!</v>
      </c>
      <c r="AS35" s="14" t="e">
        <f t="shared" ca="1" si="68"/>
        <v>#VALUE!</v>
      </c>
      <c r="AT35" s="15" t="e">
        <f t="shared" ca="1" si="68"/>
        <v>#VALUE!</v>
      </c>
      <c r="AU35" s="16" t="e">
        <f t="shared" ca="1" si="68"/>
        <v>#VALUE!</v>
      </c>
      <c r="AV35" s="13" t="e">
        <f t="shared" ca="1" si="68"/>
        <v>#VALUE!</v>
      </c>
      <c r="AW35" s="14" t="e">
        <f t="shared" ca="1" si="68"/>
        <v>#VALUE!</v>
      </c>
      <c r="AX35" s="14" t="e">
        <f t="shared" ca="1" si="68"/>
        <v>#VALUE!</v>
      </c>
      <c r="AY35" s="14" t="e">
        <f t="shared" ca="1" si="68"/>
        <v>#VALUE!</v>
      </c>
      <c r="AZ35" s="14" t="e">
        <f t="shared" ca="1" si="68"/>
        <v>#VALUE!</v>
      </c>
      <c r="BA35" s="15" t="e">
        <f t="shared" ca="1" si="68"/>
        <v>#VALUE!</v>
      </c>
      <c r="BB35" s="16" t="e">
        <f t="shared" ca="1" si="68"/>
        <v>#VALUE!</v>
      </c>
      <c r="BC35" s="13" t="e">
        <f t="shared" ca="1" si="68"/>
        <v>#VALUE!</v>
      </c>
      <c r="BD35" s="14" t="e">
        <f t="shared" ca="1" si="68"/>
        <v>#VALUE!</v>
      </c>
      <c r="BE35" s="14" t="e">
        <f t="shared" ca="1" si="68"/>
        <v>#VALUE!</v>
      </c>
      <c r="BF35" s="14" t="e">
        <f t="shared" ca="1" si="68"/>
        <v>#VALUE!</v>
      </c>
      <c r="BG35" s="14" t="e">
        <f t="shared" ca="1" si="68"/>
        <v>#VALUE!</v>
      </c>
      <c r="BH35" s="15" t="e">
        <f t="shared" ca="1" si="68"/>
        <v>#VALUE!</v>
      </c>
      <c r="BI35" s="16" t="e">
        <f t="shared" ca="1" si="68"/>
        <v>#VALUE!</v>
      </c>
      <c r="BJ35" s="13" t="e">
        <f t="shared" ca="1" si="68"/>
        <v>#VALUE!</v>
      </c>
      <c r="BK35" s="14" t="e">
        <f t="shared" ca="1" si="68"/>
        <v>#VALUE!</v>
      </c>
      <c r="BL35" s="14" t="e">
        <f t="shared" ca="1" si="68"/>
        <v>#VALUE!</v>
      </c>
      <c r="BM35" s="14" t="e">
        <f t="shared" ca="1" si="68"/>
        <v>#VALUE!</v>
      </c>
      <c r="BN35" s="14" t="e">
        <f t="shared" ca="1" si="68"/>
        <v>#VALUE!</v>
      </c>
      <c r="BO35" s="15" t="e">
        <f t="shared" ca="1" si="68"/>
        <v>#VALUE!</v>
      </c>
      <c r="BP35" s="16" t="e">
        <f t="shared" ca="1" si="68"/>
        <v>#VALUE!</v>
      </c>
      <c r="BQ35" s="13" t="e">
        <f t="shared" ca="1" si="68"/>
        <v>#VALUE!</v>
      </c>
      <c r="BR35" s="14" t="e">
        <f t="shared" ref="BR35:CW35" ca="1" si="69">IF(AND(BR$5&gt;=$C$8,BR$5&lt;=$E$23),1,"")</f>
        <v>#VALUE!</v>
      </c>
      <c r="BS35" s="14" t="e">
        <f t="shared" ca="1" si="69"/>
        <v>#VALUE!</v>
      </c>
      <c r="BT35" s="14" t="e">
        <f t="shared" ca="1" si="69"/>
        <v>#VALUE!</v>
      </c>
      <c r="BU35" s="14" t="e">
        <f t="shared" ca="1" si="69"/>
        <v>#VALUE!</v>
      </c>
      <c r="BV35" s="15" t="e">
        <f t="shared" ca="1" si="69"/>
        <v>#VALUE!</v>
      </c>
      <c r="BW35" s="16" t="e">
        <f t="shared" ca="1" si="69"/>
        <v>#VALUE!</v>
      </c>
      <c r="BX35" s="13" t="e">
        <f t="shared" ca="1" si="69"/>
        <v>#VALUE!</v>
      </c>
      <c r="BY35" s="14" t="e">
        <f t="shared" ca="1" si="69"/>
        <v>#VALUE!</v>
      </c>
      <c r="BZ35" s="14" t="e">
        <f t="shared" ca="1" si="69"/>
        <v>#VALUE!</v>
      </c>
      <c r="CA35" s="14" t="e">
        <f t="shared" ca="1" si="69"/>
        <v>#VALUE!</v>
      </c>
      <c r="CB35" s="14" t="e">
        <f t="shared" ca="1" si="69"/>
        <v>#VALUE!</v>
      </c>
      <c r="CC35" s="15" t="e">
        <f t="shared" ca="1" si="69"/>
        <v>#VALUE!</v>
      </c>
      <c r="CD35" s="16" t="e">
        <f t="shared" ca="1" si="69"/>
        <v>#VALUE!</v>
      </c>
      <c r="CE35" s="13" t="e">
        <f t="shared" ca="1" si="69"/>
        <v>#VALUE!</v>
      </c>
      <c r="CF35" s="14" t="e">
        <f t="shared" ca="1" si="69"/>
        <v>#VALUE!</v>
      </c>
      <c r="CG35" s="14" t="e">
        <f t="shared" ca="1" si="69"/>
        <v>#VALUE!</v>
      </c>
      <c r="CH35" s="14" t="e">
        <f t="shared" ca="1" si="69"/>
        <v>#VALUE!</v>
      </c>
      <c r="CI35" s="14" t="e">
        <f t="shared" ca="1" si="69"/>
        <v>#VALUE!</v>
      </c>
      <c r="CJ35" s="15" t="e">
        <f t="shared" ca="1" si="69"/>
        <v>#VALUE!</v>
      </c>
      <c r="CK35" s="16" t="e">
        <f t="shared" ca="1" si="69"/>
        <v>#VALUE!</v>
      </c>
      <c r="CL35" s="13" t="e">
        <f t="shared" ca="1" si="69"/>
        <v>#VALUE!</v>
      </c>
      <c r="CM35" s="14" t="e">
        <f t="shared" ca="1" si="69"/>
        <v>#VALUE!</v>
      </c>
      <c r="CN35" s="14" t="e">
        <f t="shared" ca="1" si="69"/>
        <v>#VALUE!</v>
      </c>
      <c r="CO35" s="14" t="e">
        <f t="shared" ca="1" si="69"/>
        <v>#VALUE!</v>
      </c>
      <c r="CP35" s="14" t="e">
        <f t="shared" ca="1" si="69"/>
        <v>#VALUE!</v>
      </c>
      <c r="CQ35" s="15" t="e">
        <f t="shared" ca="1" si="69"/>
        <v>#VALUE!</v>
      </c>
      <c r="CR35" s="16" t="e">
        <f t="shared" ca="1" si="69"/>
        <v>#VALUE!</v>
      </c>
      <c r="CS35" s="13" t="e">
        <f t="shared" ca="1" si="69"/>
        <v>#VALUE!</v>
      </c>
      <c r="CT35" s="14" t="e">
        <f t="shared" ca="1" si="69"/>
        <v>#VALUE!</v>
      </c>
      <c r="CU35" s="14" t="e">
        <f t="shared" ca="1" si="69"/>
        <v>#VALUE!</v>
      </c>
      <c r="CV35" s="14" t="e">
        <f t="shared" ca="1" si="69"/>
        <v>#VALUE!</v>
      </c>
      <c r="CW35" s="14" t="e">
        <f t="shared" ca="1" si="69"/>
        <v>#VALUE!</v>
      </c>
      <c r="CX35" s="15" t="e">
        <f t="shared" ref="CX35:EC35" ca="1" si="70">IF(AND(CX$5&gt;=$C$8,CX$5&lt;=$E$23),1,"")</f>
        <v>#VALUE!</v>
      </c>
      <c r="CY35" s="16" t="e">
        <f t="shared" ca="1" si="70"/>
        <v>#VALUE!</v>
      </c>
      <c r="CZ35" s="13" t="e">
        <f t="shared" ca="1" si="70"/>
        <v>#VALUE!</v>
      </c>
      <c r="DA35" s="14" t="e">
        <f t="shared" ca="1" si="70"/>
        <v>#VALUE!</v>
      </c>
      <c r="DB35" s="14" t="e">
        <f t="shared" ca="1" si="70"/>
        <v>#VALUE!</v>
      </c>
      <c r="DC35" s="14" t="e">
        <f t="shared" ca="1" si="70"/>
        <v>#VALUE!</v>
      </c>
      <c r="DD35" s="14" t="e">
        <f t="shared" ca="1" si="70"/>
        <v>#VALUE!</v>
      </c>
      <c r="DE35" s="15" t="e">
        <f t="shared" ca="1" si="70"/>
        <v>#VALUE!</v>
      </c>
      <c r="DF35" s="16" t="e">
        <f t="shared" ca="1" si="70"/>
        <v>#VALUE!</v>
      </c>
      <c r="DG35" s="13" t="e">
        <f t="shared" ca="1" si="70"/>
        <v>#VALUE!</v>
      </c>
      <c r="DH35" s="14" t="e">
        <f t="shared" ca="1" si="70"/>
        <v>#VALUE!</v>
      </c>
      <c r="DI35" s="14" t="e">
        <f t="shared" ca="1" si="70"/>
        <v>#VALUE!</v>
      </c>
      <c r="DJ35" s="14" t="e">
        <f t="shared" ca="1" si="70"/>
        <v>#VALUE!</v>
      </c>
      <c r="DK35" s="14" t="e">
        <f t="shared" ca="1" si="70"/>
        <v>#VALUE!</v>
      </c>
      <c r="DL35" s="15" t="e">
        <f t="shared" ca="1" si="70"/>
        <v>#VALUE!</v>
      </c>
      <c r="DM35" s="16" t="e">
        <f t="shared" ca="1" si="70"/>
        <v>#VALUE!</v>
      </c>
      <c r="DN35" s="13" t="e">
        <f t="shared" ca="1" si="70"/>
        <v>#VALUE!</v>
      </c>
      <c r="DO35" s="14" t="e">
        <f t="shared" ca="1" si="70"/>
        <v>#VALUE!</v>
      </c>
      <c r="DP35" s="14" t="e">
        <f t="shared" ca="1" si="70"/>
        <v>#VALUE!</v>
      </c>
      <c r="DQ35" s="14" t="e">
        <f t="shared" ca="1" si="70"/>
        <v>#VALUE!</v>
      </c>
      <c r="DR35" s="14" t="e">
        <f t="shared" ca="1" si="70"/>
        <v>#VALUE!</v>
      </c>
      <c r="DS35" s="15" t="e">
        <f t="shared" ca="1" si="70"/>
        <v>#VALUE!</v>
      </c>
      <c r="DT35" s="16" t="e">
        <f t="shared" ca="1" si="70"/>
        <v>#VALUE!</v>
      </c>
      <c r="DU35" s="13" t="e">
        <f t="shared" ca="1" si="70"/>
        <v>#VALUE!</v>
      </c>
      <c r="DV35" s="14" t="e">
        <f t="shared" ca="1" si="70"/>
        <v>#VALUE!</v>
      </c>
      <c r="DW35" s="14" t="e">
        <f t="shared" ca="1" si="70"/>
        <v>#VALUE!</v>
      </c>
      <c r="DX35" s="14" t="e">
        <f t="shared" ca="1" si="70"/>
        <v>#VALUE!</v>
      </c>
      <c r="DY35" s="14" t="e">
        <f t="shared" ca="1" si="70"/>
        <v>#VALUE!</v>
      </c>
      <c r="DZ35" s="15" t="e">
        <f t="shared" ca="1" si="70"/>
        <v>#VALUE!</v>
      </c>
      <c r="EA35" s="16" t="e">
        <f t="shared" ca="1" si="70"/>
        <v>#VALUE!</v>
      </c>
      <c r="EB35" s="13" t="e">
        <f t="shared" ca="1" si="70"/>
        <v>#VALUE!</v>
      </c>
      <c r="EC35" s="14" t="e">
        <f t="shared" ca="1" si="70"/>
        <v>#VALUE!</v>
      </c>
      <c r="ED35" s="14" t="e">
        <f t="shared" ref="ED35:FC35" ca="1" si="71">IF(AND(ED$5&gt;=$C$8,ED$5&lt;=$E$23),1,"")</f>
        <v>#VALUE!</v>
      </c>
      <c r="EE35" s="14" t="e">
        <f t="shared" ca="1" si="71"/>
        <v>#VALUE!</v>
      </c>
      <c r="EF35" s="14" t="e">
        <f t="shared" ca="1" si="71"/>
        <v>#VALUE!</v>
      </c>
      <c r="EG35" s="15" t="e">
        <f t="shared" ca="1" si="71"/>
        <v>#VALUE!</v>
      </c>
      <c r="EH35" s="16" t="e">
        <f t="shared" ca="1" si="71"/>
        <v>#VALUE!</v>
      </c>
      <c r="EI35" s="13" t="e">
        <f t="shared" ca="1" si="71"/>
        <v>#VALUE!</v>
      </c>
      <c r="EJ35" s="14" t="e">
        <f t="shared" ca="1" si="71"/>
        <v>#VALUE!</v>
      </c>
      <c r="EK35" s="14" t="e">
        <f t="shared" ca="1" si="71"/>
        <v>#VALUE!</v>
      </c>
      <c r="EL35" s="14" t="e">
        <f t="shared" ca="1" si="71"/>
        <v>#VALUE!</v>
      </c>
      <c r="EM35" s="14" t="e">
        <f t="shared" ca="1" si="71"/>
        <v>#VALUE!</v>
      </c>
      <c r="EN35" s="15" t="e">
        <f t="shared" ca="1" si="71"/>
        <v>#VALUE!</v>
      </c>
      <c r="EO35" s="16" t="e">
        <f t="shared" ca="1" si="71"/>
        <v>#VALUE!</v>
      </c>
      <c r="EP35" s="13" t="e">
        <f t="shared" ca="1" si="71"/>
        <v>#VALUE!</v>
      </c>
      <c r="EQ35" s="14" t="e">
        <f t="shared" ca="1" si="71"/>
        <v>#VALUE!</v>
      </c>
      <c r="ER35" s="14" t="e">
        <f t="shared" ca="1" si="71"/>
        <v>#VALUE!</v>
      </c>
      <c r="ES35" s="14" t="e">
        <f t="shared" ca="1" si="71"/>
        <v>#VALUE!</v>
      </c>
      <c r="ET35" s="14" t="e">
        <f t="shared" ca="1" si="71"/>
        <v>#VALUE!</v>
      </c>
      <c r="EU35" s="15" t="e">
        <f t="shared" ca="1" si="71"/>
        <v>#VALUE!</v>
      </c>
      <c r="EV35" s="16" t="e">
        <f t="shared" ca="1" si="71"/>
        <v>#VALUE!</v>
      </c>
      <c r="EW35" s="13" t="e">
        <f t="shared" ca="1" si="71"/>
        <v>#VALUE!</v>
      </c>
      <c r="EX35" s="14" t="e">
        <f t="shared" ca="1" si="71"/>
        <v>#VALUE!</v>
      </c>
      <c r="EY35" s="14" t="e">
        <f t="shared" ca="1" si="71"/>
        <v>#VALUE!</v>
      </c>
      <c r="EZ35" s="14" t="e">
        <f t="shared" ca="1" si="71"/>
        <v>#VALUE!</v>
      </c>
      <c r="FA35" s="14" t="e">
        <f t="shared" ca="1" si="71"/>
        <v>#VALUE!</v>
      </c>
      <c r="FB35" s="15" t="e">
        <f t="shared" ca="1" si="71"/>
        <v>#VALUE!</v>
      </c>
      <c r="FC35" s="16" t="e">
        <f t="shared" ca="1" si="71"/>
        <v>#VALUE!</v>
      </c>
    </row>
    <row r="36" spans="1:159" ht="2.1" customHeight="1"/>
    <row r="37" spans="1:159" s="17" customFormat="1" ht="15" customHeight="1">
      <c r="A37" s="538" t="s">
        <v>64</v>
      </c>
      <c r="B37" s="535"/>
      <c r="C37" s="539" t="e">
        <f ca="1">E23-IF(B1="SFK Freight Forwarder",C11,C8)+1</f>
        <v>#VALUE!</v>
      </c>
      <c r="D37" s="535"/>
      <c r="E37" s="537"/>
      <c r="F37" s="14" t="e">
        <f t="shared" ref="F37:AK37" ca="1" si="72">IF($B$1="SFK Freight Forwarder",IF(AND(F$5&gt;=$C$11,F$5&lt;=$E$23),1,""),IF(AND(F$5&gt;=$C$8,F$5&lt;=$E$23),1,""))</f>
        <v>#VALUE!</v>
      </c>
      <c r="G37" s="14" t="e">
        <f t="shared" ca="1" si="72"/>
        <v>#VALUE!</v>
      </c>
      <c r="H37" s="14" t="e">
        <f t="shared" ca="1" si="72"/>
        <v>#VALUE!</v>
      </c>
      <c r="I37" s="14" t="e">
        <f t="shared" ca="1" si="72"/>
        <v>#VALUE!</v>
      </c>
      <c r="J37" s="14" t="e">
        <f t="shared" ca="1" si="72"/>
        <v>#VALUE!</v>
      </c>
      <c r="K37" s="15" t="e">
        <f t="shared" ca="1" si="72"/>
        <v>#VALUE!</v>
      </c>
      <c r="L37" s="92" t="e">
        <f t="shared" ca="1" si="72"/>
        <v>#VALUE!</v>
      </c>
      <c r="M37" s="13" t="e">
        <f t="shared" ca="1" si="72"/>
        <v>#VALUE!</v>
      </c>
      <c r="N37" s="14" t="e">
        <f t="shared" ca="1" si="72"/>
        <v>#VALUE!</v>
      </c>
      <c r="O37" s="14" t="e">
        <f t="shared" ca="1" si="72"/>
        <v>#VALUE!</v>
      </c>
      <c r="P37" s="14" t="e">
        <f t="shared" ca="1" si="72"/>
        <v>#VALUE!</v>
      </c>
      <c r="Q37" s="14" t="e">
        <f t="shared" ca="1" si="72"/>
        <v>#VALUE!</v>
      </c>
      <c r="R37" s="15" t="e">
        <f t="shared" ca="1" si="72"/>
        <v>#VALUE!</v>
      </c>
      <c r="S37" s="16" t="e">
        <f t="shared" ca="1" si="72"/>
        <v>#VALUE!</v>
      </c>
      <c r="T37" s="13" t="e">
        <f t="shared" ca="1" si="72"/>
        <v>#VALUE!</v>
      </c>
      <c r="U37" s="14" t="e">
        <f t="shared" ca="1" si="72"/>
        <v>#VALUE!</v>
      </c>
      <c r="V37" s="14" t="e">
        <f t="shared" ca="1" si="72"/>
        <v>#VALUE!</v>
      </c>
      <c r="W37" s="14" t="e">
        <f t="shared" ca="1" si="72"/>
        <v>#VALUE!</v>
      </c>
      <c r="X37" s="14" t="e">
        <f t="shared" ca="1" si="72"/>
        <v>#VALUE!</v>
      </c>
      <c r="Y37" s="15" t="e">
        <f t="shared" ca="1" si="72"/>
        <v>#VALUE!</v>
      </c>
      <c r="Z37" s="16" t="e">
        <f t="shared" ca="1" si="72"/>
        <v>#VALUE!</v>
      </c>
      <c r="AA37" s="13" t="e">
        <f t="shared" ca="1" si="72"/>
        <v>#VALUE!</v>
      </c>
      <c r="AB37" s="14" t="e">
        <f t="shared" ca="1" si="72"/>
        <v>#VALUE!</v>
      </c>
      <c r="AC37" s="14" t="e">
        <f t="shared" ca="1" si="72"/>
        <v>#VALUE!</v>
      </c>
      <c r="AD37" s="14" t="e">
        <f t="shared" ca="1" si="72"/>
        <v>#VALUE!</v>
      </c>
      <c r="AE37" s="14" t="e">
        <f t="shared" ca="1" si="72"/>
        <v>#VALUE!</v>
      </c>
      <c r="AF37" s="15" t="e">
        <f t="shared" ca="1" si="72"/>
        <v>#VALUE!</v>
      </c>
      <c r="AG37" s="16" t="e">
        <f t="shared" ca="1" si="72"/>
        <v>#VALUE!</v>
      </c>
      <c r="AH37" s="13" t="e">
        <f t="shared" ca="1" si="72"/>
        <v>#VALUE!</v>
      </c>
      <c r="AI37" s="14" t="e">
        <f t="shared" ca="1" si="72"/>
        <v>#VALUE!</v>
      </c>
      <c r="AJ37" s="14" t="e">
        <f t="shared" ca="1" si="72"/>
        <v>#VALUE!</v>
      </c>
      <c r="AK37" s="14" t="e">
        <f t="shared" ca="1" si="72"/>
        <v>#VALUE!</v>
      </c>
      <c r="AL37" s="14" t="e">
        <f t="shared" ref="AL37:BQ37" ca="1" si="73">IF($B$1="SFK Freight Forwarder",IF(AND(AL$5&gt;=$C$11,AL$5&lt;=$E$23),1,""),IF(AND(AL$5&gt;=$C$8,AL$5&lt;=$E$23),1,""))</f>
        <v>#VALUE!</v>
      </c>
      <c r="AM37" s="15" t="e">
        <f t="shared" ca="1" si="73"/>
        <v>#VALUE!</v>
      </c>
      <c r="AN37" s="16" t="e">
        <f t="shared" ca="1" si="73"/>
        <v>#VALUE!</v>
      </c>
      <c r="AO37" s="13" t="e">
        <f t="shared" ca="1" si="73"/>
        <v>#VALUE!</v>
      </c>
      <c r="AP37" s="14" t="e">
        <f t="shared" ca="1" si="73"/>
        <v>#VALUE!</v>
      </c>
      <c r="AQ37" s="14" t="e">
        <f t="shared" ca="1" si="73"/>
        <v>#VALUE!</v>
      </c>
      <c r="AR37" s="14" t="e">
        <f t="shared" ca="1" si="73"/>
        <v>#VALUE!</v>
      </c>
      <c r="AS37" s="14" t="e">
        <f t="shared" ca="1" si="73"/>
        <v>#VALUE!</v>
      </c>
      <c r="AT37" s="15" t="e">
        <f t="shared" ca="1" si="73"/>
        <v>#VALUE!</v>
      </c>
      <c r="AU37" s="16" t="e">
        <f t="shared" ca="1" si="73"/>
        <v>#VALUE!</v>
      </c>
      <c r="AV37" s="13" t="e">
        <f t="shared" ca="1" si="73"/>
        <v>#VALUE!</v>
      </c>
      <c r="AW37" s="14" t="e">
        <f t="shared" ca="1" si="73"/>
        <v>#VALUE!</v>
      </c>
      <c r="AX37" s="14" t="e">
        <f t="shared" ca="1" si="73"/>
        <v>#VALUE!</v>
      </c>
      <c r="AY37" s="14" t="e">
        <f t="shared" ca="1" si="73"/>
        <v>#VALUE!</v>
      </c>
      <c r="AZ37" s="14" t="e">
        <f t="shared" ca="1" si="73"/>
        <v>#VALUE!</v>
      </c>
      <c r="BA37" s="15" t="e">
        <f t="shared" ca="1" si="73"/>
        <v>#VALUE!</v>
      </c>
      <c r="BB37" s="16" t="e">
        <f t="shared" ca="1" si="73"/>
        <v>#VALUE!</v>
      </c>
      <c r="BC37" s="13" t="e">
        <f t="shared" ca="1" si="73"/>
        <v>#VALUE!</v>
      </c>
      <c r="BD37" s="14" t="e">
        <f t="shared" ca="1" si="73"/>
        <v>#VALUE!</v>
      </c>
      <c r="BE37" s="14" t="e">
        <f t="shared" ca="1" si="73"/>
        <v>#VALUE!</v>
      </c>
      <c r="BF37" s="14" t="e">
        <f t="shared" ca="1" si="73"/>
        <v>#VALUE!</v>
      </c>
      <c r="BG37" s="14" t="e">
        <f t="shared" ca="1" si="73"/>
        <v>#VALUE!</v>
      </c>
      <c r="BH37" s="15" t="e">
        <f t="shared" ca="1" si="73"/>
        <v>#VALUE!</v>
      </c>
      <c r="BI37" s="16" t="e">
        <f t="shared" ca="1" si="73"/>
        <v>#VALUE!</v>
      </c>
      <c r="BJ37" s="13" t="e">
        <f t="shared" ca="1" si="73"/>
        <v>#VALUE!</v>
      </c>
      <c r="BK37" s="14" t="e">
        <f t="shared" ca="1" si="73"/>
        <v>#VALUE!</v>
      </c>
      <c r="BL37" s="14" t="e">
        <f t="shared" ca="1" si="73"/>
        <v>#VALUE!</v>
      </c>
      <c r="BM37" s="14" t="e">
        <f t="shared" ca="1" si="73"/>
        <v>#VALUE!</v>
      </c>
      <c r="BN37" s="14" t="e">
        <f t="shared" ca="1" si="73"/>
        <v>#VALUE!</v>
      </c>
      <c r="BO37" s="15" t="e">
        <f t="shared" ca="1" si="73"/>
        <v>#VALUE!</v>
      </c>
      <c r="BP37" s="16" t="e">
        <f t="shared" ca="1" si="73"/>
        <v>#VALUE!</v>
      </c>
      <c r="BQ37" s="13" t="e">
        <f t="shared" ca="1" si="73"/>
        <v>#VALUE!</v>
      </c>
      <c r="BR37" s="14" t="e">
        <f t="shared" ref="BR37:CW37" ca="1" si="74">IF($B$1="SFK Freight Forwarder",IF(AND(BR$5&gt;=$C$11,BR$5&lt;=$E$23),1,""),IF(AND(BR$5&gt;=$C$8,BR$5&lt;=$E$23),1,""))</f>
        <v>#VALUE!</v>
      </c>
      <c r="BS37" s="14" t="e">
        <f t="shared" ca="1" si="74"/>
        <v>#VALUE!</v>
      </c>
      <c r="BT37" s="14" t="e">
        <f t="shared" ca="1" si="74"/>
        <v>#VALUE!</v>
      </c>
      <c r="BU37" s="14" t="e">
        <f t="shared" ca="1" si="74"/>
        <v>#VALUE!</v>
      </c>
      <c r="BV37" s="15" t="e">
        <f t="shared" ca="1" si="74"/>
        <v>#VALUE!</v>
      </c>
      <c r="BW37" s="16" t="e">
        <f t="shared" ca="1" si="74"/>
        <v>#VALUE!</v>
      </c>
      <c r="BX37" s="13" t="e">
        <f t="shared" ca="1" si="74"/>
        <v>#VALUE!</v>
      </c>
      <c r="BY37" s="14" t="e">
        <f t="shared" ca="1" si="74"/>
        <v>#VALUE!</v>
      </c>
      <c r="BZ37" s="14" t="e">
        <f t="shared" ca="1" si="74"/>
        <v>#VALUE!</v>
      </c>
      <c r="CA37" s="14" t="e">
        <f t="shared" ca="1" si="74"/>
        <v>#VALUE!</v>
      </c>
      <c r="CB37" s="14" t="e">
        <f t="shared" ca="1" si="74"/>
        <v>#VALUE!</v>
      </c>
      <c r="CC37" s="15" t="e">
        <f t="shared" ca="1" si="74"/>
        <v>#VALUE!</v>
      </c>
      <c r="CD37" s="16" t="e">
        <f t="shared" ca="1" si="74"/>
        <v>#VALUE!</v>
      </c>
      <c r="CE37" s="13" t="e">
        <f t="shared" ca="1" si="74"/>
        <v>#VALUE!</v>
      </c>
      <c r="CF37" s="14" t="e">
        <f t="shared" ca="1" si="74"/>
        <v>#VALUE!</v>
      </c>
      <c r="CG37" s="14" t="e">
        <f t="shared" ca="1" si="74"/>
        <v>#VALUE!</v>
      </c>
      <c r="CH37" s="14" t="e">
        <f t="shared" ca="1" si="74"/>
        <v>#VALUE!</v>
      </c>
      <c r="CI37" s="14" t="e">
        <f t="shared" ca="1" si="74"/>
        <v>#VALUE!</v>
      </c>
      <c r="CJ37" s="15" t="e">
        <f t="shared" ca="1" si="74"/>
        <v>#VALUE!</v>
      </c>
      <c r="CK37" s="16" t="e">
        <f t="shared" ca="1" si="74"/>
        <v>#VALUE!</v>
      </c>
      <c r="CL37" s="13" t="e">
        <f t="shared" ca="1" si="74"/>
        <v>#VALUE!</v>
      </c>
      <c r="CM37" s="14" t="e">
        <f t="shared" ca="1" si="74"/>
        <v>#VALUE!</v>
      </c>
      <c r="CN37" s="14" t="e">
        <f t="shared" ca="1" si="74"/>
        <v>#VALUE!</v>
      </c>
      <c r="CO37" s="14" t="e">
        <f t="shared" ca="1" si="74"/>
        <v>#VALUE!</v>
      </c>
      <c r="CP37" s="14" t="e">
        <f t="shared" ca="1" si="74"/>
        <v>#VALUE!</v>
      </c>
      <c r="CQ37" s="15" t="e">
        <f t="shared" ca="1" si="74"/>
        <v>#VALUE!</v>
      </c>
      <c r="CR37" s="16" t="e">
        <f t="shared" ca="1" si="74"/>
        <v>#VALUE!</v>
      </c>
      <c r="CS37" s="13" t="e">
        <f t="shared" ca="1" si="74"/>
        <v>#VALUE!</v>
      </c>
      <c r="CT37" s="14" t="e">
        <f t="shared" ca="1" si="74"/>
        <v>#VALUE!</v>
      </c>
      <c r="CU37" s="14" t="e">
        <f t="shared" ca="1" si="74"/>
        <v>#VALUE!</v>
      </c>
      <c r="CV37" s="14" t="e">
        <f t="shared" ca="1" si="74"/>
        <v>#VALUE!</v>
      </c>
      <c r="CW37" s="14" t="e">
        <f t="shared" ca="1" si="74"/>
        <v>#VALUE!</v>
      </c>
      <c r="CX37" s="15" t="e">
        <f t="shared" ref="CX37:EC37" ca="1" si="75">IF($B$1="SFK Freight Forwarder",IF(AND(CX$5&gt;=$C$11,CX$5&lt;=$E$23),1,""),IF(AND(CX$5&gt;=$C$8,CX$5&lt;=$E$23),1,""))</f>
        <v>#VALUE!</v>
      </c>
      <c r="CY37" s="16" t="e">
        <f t="shared" ca="1" si="75"/>
        <v>#VALUE!</v>
      </c>
      <c r="CZ37" s="13" t="e">
        <f t="shared" ca="1" si="75"/>
        <v>#VALUE!</v>
      </c>
      <c r="DA37" s="14" t="e">
        <f t="shared" ca="1" si="75"/>
        <v>#VALUE!</v>
      </c>
      <c r="DB37" s="14" t="e">
        <f t="shared" ca="1" si="75"/>
        <v>#VALUE!</v>
      </c>
      <c r="DC37" s="14" t="e">
        <f t="shared" ca="1" si="75"/>
        <v>#VALUE!</v>
      </c>
      <c r="DD37" s="14" t="e">
        <f t="shared" ca="1" si="75"/>
        <v>#VALUE!</v>
      </c>
      <c r="DE37" s="15" t="e">
        <f t="shared" ca="1" si="75"/>
        <v>#VALUE!</v>
      </c>
      <c r="DF37" s="16" t="e">
        <f t="shared" ca="1" si="75"/>
        <v>#VALUE!</v>
      </c>
      <c r="DG37" s="13" t="e">
        <f t="shared" ca="1" si="75"/>
        <v>#VALUE!</v>
      </c>
      <c r="DH37" s="14" t="e">
        <f t="shared" ca="1" si="75"/>
        <v>#VALUE!</v>
      </c>
      <c r="DI37" s="14" t="e">
        <f t="shared" ca="1" si="75"/>
        <v>#VALUE!</v>
      </c>
      <c r="DJ37" s="14" t="e">
        <f t="shared" ca="1" si="75"/>
        <v>#VALUE!</v>
      </c>
      <c r="DK37" s="14" t="e">
        <f t="shared" ca="1" si="75"/>
        <v>#VALUE!</v>
      </c>
      <c r="DL37" s="15" t="e">
        <f t="shared" ca="1" si="75"/>
        <v>#VALUE!</v>
      </c>
      <c r="DM37" s="16" t="e">
        <f t="shared" ca="1" si="75"/>
        <v>#VALUE!</v>
      </c>
      <c r="DN37" s="13" t="e">
        <f t="shared" ca="1" si="75"/>
        <v>#VALUE!</v>
      </c>
      <c r="DO37" s="14" t="e">
        <f t="shared" ca="1" si="75"/>
        <v>#VALUE!</v>
      </c>
      <c r="DP37" s="14" t="e">
        <f t="shared" ca="1" si="75"/>
        <v>#VALUE!</v>
      </c>
      <c r="DQ37" s="14" t="e">
        <f t="shared" ca="1" si="75"/>
        <v>#VALUE!</v>
      </c>
      <c r="DR37" s="14" t="e">
        <f t="shared" ca="1" si="75"/>
        <v>#VALUE!</v>
      </c>
      <c r="DS37" s="15" t="e">
        <f t="shared" ca="1" si="75"/>
        <v>#VALUE!</v>
      </c>
      <c r="DT37" s="16" t="e">
        <f t="shared" ca="1" si="75"/>
        <v>#VALUE!</v>
      </c>
      <c r="DU37" s="13" t="e">
        <f t="shared" ca="1" si="75"/>
        <v>#VALUE!</v>
      </c>
      <c r="DV37" s="14" t="e">
        <f t="shared" ca="1" si="75"/>
        <v>#VALUE!</v>
      </c>
      <c r="DW37" s="14" t="e">
        <f t="shared" ca="1" si="75"/>
        <v>#VALUE!</v>
      </c>
      <c r="DX37" s="14" t="e">
        <f t="shared" ca="1" si="75"/>
        <v>#VALUE!</v>
      </c>
      <c r="DY37" s="14" t="e">
        <f t="shared" ca="1" si="75"/>
        <v>#VALUE!</v>
      </c>
      <c r="DZ37" s="15" t="e">
        <f t="shared" ca="1" si="75"/>
        <v>#VALUE!</v>
      </c>
      <c r="EA37" s="16" t="e">
        <f t="shared" ca="1" si="75"/>
        <v>#VALUE!</v>
      </c>
      <c r="EB37" s="13" t="e">
        <f t="shared" ca="1" si="75"/>
        <v>#VALUE!</v>
      </c>
      <c r="EC37" s="14" t="e">
        <f t="shared" ca="1" si="75"/>
        <v>#VALUE!</v>
      </c>
      <c r="ED37" s="14" t="e">
        <f t="shared" ref="ED37:FC37" ca="1" si="76">IF($B$1="SFK Freight Forwarder",IF(AND(ED$5&gt;=$C$11,ED$5&lt;=$E$23),1,""),IF(AND(ED$5&gt;=$C$8,ED$5&lt;=$E$23),1,""))</f>
        <v>#VALUE!</v>
      </c>
      <c r="EE37" s="14" t="e">
        <f t="shared" ca="1" si="76"/>
        <v>#VALUE!</v>
      </c>
      <c r="EF37" s="14" t="e">
        <f t="shared" ca="1" si="76"/>
        <v>#VALUE!</v>
      </c>
      <c r="EG37" s="15" t="e">
        <f t="shared" ca="1" si="76"/>
        <v>#VALUE!</v>
      </c>
      <c r="EH37" s="16" t="e">
        <f t="shared" ca="1" si="76"/>
        <v>#VALUE!</v>
      </c>
      <c r="EI37" s="13" t="e">
        <f t="shared" ca="1" si="76"/>
        <v>#VALUE!</v>
      </c>
      <c r="EJ37" s="14" t="e">
        <f t="shared" ca="1" si="76"/>
        <v>#VALUE!</v>
      </c>
      <c r="EK37" s="14" t="e">
        <f t="shared" ca="1" si="76"/>
        <v>#VALUE!</v>
      </c>
      <c r="EL37" s="14" t="e">
        <f t="shared" ca="1" si="76"/>
        <v>#VALUE!</v>
      </c>
      <c r="EM37" s="14" t="e">
        <f t="shared" ca="1" si="76"/>
        <v>#VALUE!</v>
      </c>
      <c r="EN37" s="15" t="e">
        <f t="shared" ca="1" si="76"/>
        <v>#VALUE!</v>
      </c>
      <c r="EO37" s="16" t="e">
        <f t="shared" ca="1" si="76"/>
        <v>#VALUE!</v>
      </c>
      <c r="EP37" s="13" t="e">
        <f t="shared" ca="1" si="76"/>
        <v>#VALUE!</v>
      </c>
      <c r="EQ37" s="14" t="e">
        <f t="shared" ca="1" si="76"/>
        <v>#VALUE!</v>
      </c>
      <c r="ER37" s="14" t="e">
        <f t="shared" ca="1" si="76"/>
        <v>#VALUE!</v>
      </c>
      <c r="ES37" s="14" t="e">
        <f t="shared" ca="1" si="76"/>
        <v>#VALUE!</v>
      </c>
      <c r="ET37" s="14" t="e">
        <f t="shared" ca="1" si="76"/>
        <v>#VALUE!</v>
      </c>
      <c r="EU37" s="15" t="e">
        <f t="shared" ca="1" si="76"/>
        <v>#VALUE!</v>
      </c>
      <c r="EV37" s="16" t="e">
        <f t="shared" ca="1" si="76"/>
        <v>#VALUE!</v>
      </c>
      <c r="EW37" s="13" t="e">
        <f t="shared" ca="1" si="76"/>
        <v>#VALUE!</v>
      </c>
      <c r="EX37" s="14" t="e">
        <f t="shared" ca="1" si="76"/>
        <v>#VALUE!</v>
      </c>
      <c r="EY37" s="14" t="e">
        <f t="shared" ca="1" si="76"/>
        <v>#VALUE!</v>
      </c>
      <c r="EZ37" s="14" t="e">
        <f t="shared" ca="1" si="76"/>
        <v>#VALUE!</v>
      </c>
      <c r="FA37" s="14" t="e">
        <f t="shared" ca="1" si="76"/>
        <v>#VALUE!</v>
      </c>
      <c r="FB37" s="15" t="e">
        <f t="shared" ca="1" si="76"/>
        <v>#VALUE!</v>
      </c>
      <c r="FC37" s="16" t="e">
        <f t="shared" ca="1" si="76"/>
        <v>#VALUE!</v>
      </c>
    </row>
    <row r="38" spans="1:159" ht="2.25" customHeight="1"/>
    <row r="39" spans="1:159" ht="2.1" customHeight="1"/>
    <row r="40" spans="1:159" s="17" customFormat="1" ht="15.75" customHeight="1">
      <c r="A40" s="577" t="s">
        <v>65</v>
      </c>
      <c r="B40" s="535"/>
      <c r="C40" s="576" t="str">
        <f ca="1">_xlfn.XLOOKUP(B7&amp;"-"&amp;"Next",'DATA BTO'!A:A,'DATA BTO'!Q:Q,"-",0)</f>
        <v>-</v>
      </c>
      <c r="D40" s="535"/>
      <c r="E40" s="537"/>
      <c r="F40" s="14" t="e">
        <f ca="1">IF(AND(F$5&gt;$C$35+$C$8+$D$24-1,F$5&lt;=(_xlfn.XLOOKUP($B$7&amp;"-"&amp;"Next",'DATA BTO'!$A:$A,'DATA BTO'!$Q:$Q,"-",0)+$C$35+$D$24)+$C$8-1),1,"")</f>
        <v>#VALUE!</v>
      </c>
      <c r="G40" s="14" t="e">
        <f ca="1">IF(AND(G$5&gt;$C$35+$C$8+$D$24-1,G$5&lt;=(_xlfn.XLOOKUP($B$7&amp;"-"&amp;"Next",'DATA BTO'!$A:$A,'DATA BTO'!$Q:$Q,"-",0)+$C$35+$D$24)+$C$8-1),1,"")</f>
        <v>#VALUE!</v>
      </c>
      <c r="H40" s="14" t="e">
        <f ca="1">IF(AND(H$5&gt;$C$35+$C$8+$D$24-1,H$5&lt;=(_xlfn.XLOOKUP($B$7&amp;"-"&amp;"Next",'DATA BTO'!$A:$A,'DATA BTO'!$Q:$Q,"-",0)+$C$35+$D$24)+$C$8-1),1,"")</f>
        <v>#VALUE!</v>
      </c>
      <c r="I40" s="14" t="e">
        <f ca="1">IF(AND(I$5&gt;$C$35+$C$8+$D$24-1,I$5&lt;=(_xlfn.XLOOKUP($B$7&amp;"-"&amp;"Next",'DATA BTO'!$A:$A,'DATA BTO'!$Q:$Q,"-",0)+$C$35+$D$24)+$C$8-1),1,"")</f>
        <v>#VALUE!</v>
      </c>
      <c r="J40" s="14" t="e">
        <f ca="1">IF(AND(J$5&gt;$C$35+$C$8+$D$24-1,J$5&lt;=(_xlfn.XLOOKUP($B$7&amp;"-"&amp;"Next",'DATA BTO'!$A:$A,'DATA BTO'!$Q:$Q,"-",0)+$C$35+$D$24)+$C$8-1),1,"")</f>
        <v>#VALUE!</v>
      </c>
      <c r="K40" s="15" t="e">
        <f ca="1">IF(AND(K$5&gt;$C$35+$C$8+$D$24-1,K$5&lt;=(_xlfn.XLOOKUP($B$7&amp;"-"&amp;"Next",'DATA BTO'!$A:$A,'DATA BTO'!$Q:$Q,"-",0)+$C$35+$D$24)+$C$8-1),1,"")</f>
        <v>#VALUE!</v>
      </c>
      <c r="L40" s="92" t="e">
        <f ca="1">IF(AND(L$5&gt;$C$35+$C$8+$D$24-1,L$5&lt;=(_xlfn.XLOOKUP($B$7&amp;"-"&amp;"Next",'DATA BTO'!$A:$A,'DATA BTO'!$Q:$Q,"-",0)+$C$35+$D$24)+$C$8-1),1,"")</f>
        <v>#VALUE!</v>
      </c>
      <c r="M40" s="13" t="e">
        <f ca="1">IF(AND(M$5&gt;$C$35+$C$8+$D$24-1,M$5&lt;=(_xlfn.XLOOKUP($B$7&amp;"-"&amp;"Next",'DATA BTO'!$A:$A,'DATA BTO'!$Q:$Q,"-",0)+$C$35+$D$24)+$C$8-1),1,"")</f>
        <v>#VALUE!</v>
      </c>
      <c r="N40" s="14" t="e">
        <f ca="1">IF(AND(N$5&gt;$C$35+$C$8+$D$24-1,N$5&lt;=(_xlfn.XLOOKUP($B$7&amp;"-"&amp;"Next",'DATA BTO'!$A:$A,'DATA BTO'!$Q:$Q,"-",0)+$C$35+$D$24)+$C$8-1),1,"")</f>
        <v>#VALUE!</v>
      </c>
      <c r="O40" s="14" t="e">
        <f ca="1">IF(AND(O$5&gt;$C$35+$C$8+$D$24-1,O$5&lt;=(_xlfn.XLOOKUP($B$7&amp;"-"&amp;"Next",'DATA BTO'!$A:$A,'DATA BTO'!$Q:$Q,"-",0)+$C$35+$D$24)+$C$8-1),1,"")</f>
        <v>#VALUE!</v>
      </c>
      <c r="P40" s="14" t="e">
        <f ca="1">IF(AND(P$5&gt;$C$35+$C$8+$D$24-1,P$5&lt;=(_xlfn.XLOOKUP($B$7&amp;"-"&amp;"Next",'DATA BTO'!$A:$A,'DATA BTO'!$Q:$Q,"-",0)+$C$35+$D$24)+$C$8-1),1,"")</f>
        <v>#VALUE!</v>
      </c>
      <c r="Q40" s="14" t="e">
        <f ca="1">IF(AND(Q$5&gt;$C$35+$C$8+$D$24-1,Q$5&lt;=(_xlfn.XLOOKUP($B$7&amp;"-"&amp;"Next",'DATA BTO'!$A:$A,'DATA BTO'!$Q:$Q,"-",0)+$C$35+$D$24)+$C$8-1),1,"")</f>
        <v>#VALUE!</v>
      </c>
      <c r="R40" s="15" t="e">
        <f ca="1">IF(AND(R$5&gt;$C$35+$C$8+$D$24-1,R$5&lt;=(_xlfn.XLOOKUP($B$7&amp;"-"&amp;"Next",'DATA BTO'!$A:$A,'DATA BTO'!$Q:$Q,"-",0)+$C$35+$D$24)+$C$8-1),1,"")</f>
        <v>#VALUE!</v>
      </c>
      <c r="S40" s="16" t="e">
        <f ca="1">IF(AND(S$5&gt;$C$35+$C$8+$D$24-1,S$5&lt;=(_xlfn.XLOOKUP($B$7&amp;"-"&amp;"Next",'DATA BTO'!$A:$A,'DATA BTO'!$Q:$Q,"-",0)+$C$35+$D$24)+$C$8-1),1,"")</f>
        <v>#VALUE!</v>
      </c>
      <c r="T40" s="13" t="e">
        <f ca="1">IF(AND(T$5&gt;$C$35+$C$8+$D$24-1,T$5&lt;=(_xlfn.XLOOKUP($B$7&amp;"-"&amp;"Next",'DATA BTO'!$A:$A,'DATA BTO'!$Q:$Q,"-",0)+$C$35+$D$24)+$C$8-1),1,"")</f>
        <v>#VALUE!</v>
      </c>
      <c r="U40" s="14" t="e">
        <f ca="1">IF(AND(U$5&gt;$C$35+$C$8+$D$24-1,U$5&lt;=(_xlfn.XLOOKUP($B$7&amp;"-"&amp;"Next",'DATA BTO'!$A:$A,'DATA BTO'!$Q:$Q,"-",0)+$C$35+$D$24)+$C$8-1),1,"")</f>
        <v>#VALUE!</v>
      </c>
      <c r="V40" s="14" t="e">
        <f ca="1">IF(AND(V$5&gt;$C$35+$C$8+$D$24-1,V$5&lt;=(_xlfn.XLOOKUP($B$7&amp;"-"&amp;"Next",'DATA BTO'!$A:$A,'DATA BTO'!$Q:$Q,"-",0)+$C$35+$D$24)+$C$8-1),1,"")</f>
        <v>#VALUE!</v>
      </c>
      <c r="W40" s="14" t="e">
        <f ca="1">IF(AND(W$5&gt;$C$35+$C$8+$D$24-1,W$5&lt;=(_xlfn.XLOOKUP($B$7&amp;"-"&amp;"Next",'DATA BTO'!$A:$A,'DATA BTO'!$Q:$Q,"-",0)+$C$35+$D$24)+$C$8-1),1,"")</f>
        <v>#VALUE!</v>
      </c>
      <c r="X40" s="14" t="e">
        <f ca="1">IF(AND(X$5&gt;$C$35+$C$8+$D$24-1,X$5&lt;=(_xlfn.XLOOKUP($B$7&amp;"-"&amp;"Next",'DATA BTO'!$A:$A,'DATA BTO'!$Q:$Q,"-",0)+$C$35+$D$24)+$C$8-1),1,"")</f>
        <v>#VALUE!</v>
      </c>
      <c r="Y40" s="15" t="e">
        <f ca="1">IF(AND(Y$5&gt;$C$35+$C$8+$D$24-1,Y$5&lt;=(_xlfn.XLOOKUP($B$7&amp;"-"&amp;"Next",'DATA BTO'!$A:$A,'DATA BTO'!$Q:$Q,"-",0)+$C$35+$D$24)+$C$8-1),1,"")</f>
        <v>#VALUE!</v>
      </c>
      <c r="Z40" s="16" t="e">
        <f ca="1">IF(AND(Z$5&gt;$C$35+$C$8+$D$24-1,Z$5&lt;=(_xlfn.XLOOKUP($B$7&amp;"-"&amp;"Next",'DATA BTO'!$A:$A,'DATA BTO'!$Q:$Q,"-",0)+$C$35+$D$24)+$C$8-1),1,"")</f>
        <v>#VALUE!</v>
      </c>
      <c r="AA40" s="13" t="e">
        <f ca="1">IF(AND(AA$5&gt;$C$35+$C$8+$D$24-1,AA$5&lt;=(_xlfn.XLOOKUP($B$7&amp;"-"&amp;"Next",'DATA BTO'!$A:$A,'DATA BTO'!$Q:$Q,"-",0)+$C$35+$D$24)+$C$8-1),1,"")</f>
        <v>#VALUE!</v>
      </c>
      <c r="AB40" s="14" t="e">
        <f ca="1">IF(AND(AB$5&gt;$C$35+$C$8+$D$24-1,AB$5&lt;=(_xlfn.XLOOKUP($B$7&amp;"-"&amp;"Next",'DATA BTO'!$A:$A,'DATA BTO'!$Q:$Q,"-",0)+$C$35+$D$24)+$C$8-1),1,"")</f>
        <v>#VALUE!</v>
      </c>
      <c r="AC40" s="14" t="e">
        <f ca="1">IF(AND(AC$5&gt;$C$35+$C$8+$D$24-1,AC$5&lt;=(_xlfn.XLOOKUP($B$7&amp;"-"&amp;"Next",'DATA BTO'!$A:$A,'DATA BTO'!$Q:$Q,"-",0)+$C$35+$D$24)+$C$8-1),1,"")</f>
        <v>#VALUE!</v>
      </c>
      <c r="AD40" s="14" t="e">
        <f ca="1">IF(AND(AD$5&gt;$C$35+$C$8+$D$24-1,AD$5&lt;=(_xlfn.XLOOKUP($B$7&amp;"-"&amp;"Next",'DATA BTO'!$A:$A,'DATA BTO'!$Q:$Q,"-",0)+$C$35+$D$24)+$C$8-1),1,"")</f>
        <v>#VALUE!</v>
      </c>
      <c r="AE40" s="14" t="e">
        <f ca="1">IF(AND(AE$5&gt;$C$35+$C$8+$D$24-1,AE$5&lt;=(_xlfn.XLOOKUP($B$7&amp;"-"&amp;"Next",'DATA BTO'!$A:$A,'DATA BTO'!$Q:$Q,"-",0)+$C$35+$D$24)+$C$8-1),1,"")</f>
        <v>#VALUE!</v>
      </c>
      <c r="AF40" s="15" t="e">
        <f ca="1">IF(AND(AF$5&gt;$C$35+$C$8+$D$24-1,AF$5&lt;=(_xlfn.XLOOKUP($B$7&amp;"-"&amp;"Next",'DATA BTO'!$A:$A,'DATA BTO'!$Q:$Q,"-",0)+$C$35+$D$24)+$C$8-1),1,"")</f>
        <v>#VALUE!</v>
      </c>
      <c r="AG40" s="16" t="e">
        <f ca="1">IF(AND(AG$5&gt;$C$35+$C$8+$D$24-1,AG$5&lt;=(_xlfn.XLOOKUP($B$7&amp;"-"&amp;"Next",'DATA BTO'!$A:$A,'DATA BTO'!$Q:$Q,"-",0)+$C$35+$D$24)+$C$8-1),1,"")</f>
        <v>#VALUE!</v>
      </c>
      <c r="AH40" s="13" t="e">
        <f ca="1">IF(AND(AH$5&gt;$C$35+$C$8+$D$24-1,AH$5&lt;=(_xlfn.XLOOKUP($B$7&amp;"-"&amp;"Next",'DATA BTO'!$A:$A,'DATA BTO'!$Q:$Q,"-",0)+$C$35+$D$24)+$C$8-1),1,"")</f>
        <v>#VALUE!</v>
      </c>
      <c r="AI40" s="14" t="e">
        <f ca="1">IF(AND(AI$5&gt;$C$35+$C$8+$D$24-1,AI$5&lt;=(_xlfn.XLOOKUP($B$7&amp;"-"&amp;"Next",'DATA BTO'!$A:$A,'DATA BTO'!$Q:$Q,"-",0)+$C$35+$D$24)+$C$8-1),1,"")</f>
        <v>#VALUE!</v>
      </c>
      <c r="AJ40" s="14" t="e">
        <f ca="1">IF(AND(AJ$5&gt;$C$35+$C$8+$D$24-1,AJ$5&lt;=(_xlfn.XLOOKUP($B$7&amp;"-"&amp;"Next",'DATA BTO'!$A:$A,'DATA BTO'!$Q:$Q,"-",0)+$C$35+$D$24)+$C$8-1),1,"")</f>
        <v>#VALUE!</v>
      </c>
      <c r="AK40" s="14" t="e">
        <f ca="1">IF(AND(AK$5&gt;$C$35+$C$8+$D$24-1,AK$5&lt;=(_xlfn.XLOOKUP($B$7&amp;"-"&amp;"Next",'DATA BTO'!$A:$A,'DATA BTO'!$Q:$Q,"-",0)+$C$35+$D$24)+$C$8-1),1,"")</f>
        <v>#VALUE!</v>
      </c>
      <c r="AL40" s="14" t="e">
        <f ca="1">IF(AND(AL$5&gt;$C$35+$C$8+$D$24-1,AL$5&lt;=(_xlfn.XLOOKUP($B$7&amp;"-"&amp;"Next",'DATA BTO'!$A:$A,'DATA BTO'!$Q:$Q,"-",0)+$C$35+$D$24)+$C$8-1),1,"")</f>
        <v>#VALUE!</v>
      </c>
      <c r="AM40" s="15" t="e">
        <f ca="1">IF(AND(AM$5&gt;$C$35+$C$8+$D$24-1,AM$5&lt;=(_xlfn.XLOOKUP($B$7&amp;"-"&amp;"Next",'DATA BTO'!$A:$A,'DATA BTO'!$Q:$Q,"-",0)+$C$35+$D$24)+$C$8-1),1,"")</f>
        <v>#VALUE!</v>
      </c>
      <c r="AN40" s="16" t="e">
        <f ca="1">IF(AND(AN$5&gt;$C$35+$C$8+$D$24-1,AN$5&lt;=(_xlfn.XLOOKUP($B$7&amp;"-"&amp;"Next",'DATA BTO'!$A:$A,'DATA BTO'!$Q:$Q,"-",0)+$C$35+$D$24)+$C$8-1),1,"")</f>
        <v>#VALUE!</v>
      </c>
      <c r="AO40" s="13" t="e">
        <f ca="1">IF(AND(AO$5&gt;$C$35+$C$8+$D$24-1,AO$5&lt;=(_xlfn.XLOOKUP($B$7&amp;"-"&amp;"Next",'DATA BTO'!$A:$A,'DATA BTO'!$Q:$Q,"-",0)+$C$35+$D$24)+$C$8-1),1,"")</f>
        <v>#VALUE!</v>
      </c>
      <c r="AP40" s="14" t="e">
        <f ca="1">IF(AND(AP$5&gt;$C$35+$C$8+$D$24-1,AP$5&lt;=(_xlfn.XLOOKUP($B$7&amp;"-"&amp;"Next",'DATA BTO'!$A:$A,'DATA BTO'!$Q:$Q,"-",0)+$C$35+$D$24)+$C$8-1),1,"")</f>
        <v>#VALUE!</v>
      </c>
      <c r="AQ40" s="14" t="e">
        <f ca="1">IF(AND(AQ$5&gt;$C$35+$C$8+$D$24-1,AQ$5&lt;=(_xlfn.XLOOKUP($B$7&amp;"-"&amp;"Next",'DATA BTO'!$A:$A,'DATA BTO'!$Q:$Q,"-",0)+$C$35+$D$24)+$C$8-1),1,"")</f>
        <v>#VALUE!</v>
      </c>
      <c r="AR40" s="14" t="e">
        <f ca="1">IF(AND(AR$5&gt;$C$35+$C$8+$D$24-1,AR$5&lt;=(_xlfn.XLOOKUP($B$7&amp;"-"&amp;"Next",'DATA BTO'!$A:$A,'DATA BTO'!$Q:$Q,"-",0)+$C$35+$D$24)+$C$8-1),1,"")</f>
        <v>#VALUE!</v>
      </c>
      <c r="AS40" s="14" t="e">
        <f ca="1">IF(AND(AS$5&gt;$C$35+$C$8+$D$24-1,AS$5&lt;=(_xlfn.XLOOKUP($B$7&amp;"-"&amp;"Next",'DATA BTO'!$A:$A,'DATA BTO'!$Q:$Q,"-",0)+$C$35+$D$24)+$C$8-1),1,"")</f>
        <v>#VALUE!</v>
      </c>
      <c r="AT40" s="15" t="e">
        <f ca="1">IF(AND(AT$5&gt;$C$35+$C$8+$D$24-1,AT$5&lt;=(_xlfn.XLOOKUP($B$7&amp;"-"&amp;"Next",'DATA BTO'!$A:$A,'DATA BTO'!$Q:$Q,"-",0)+$C$35+$D$24)+$C$8-1),1,"")</f>
        <v>#VALUE!</v>
      </c>
      <c r="AU40" s="16" t="e">
        <f ca="1">IF(AND(AU$5&gt;$C$35+$C$8+$D$24-1,AU$5&lt;=(_xlfn.XLOOKUP($B$7&amp;"-"&amp;"Next",'DATA BTO'!$A:$A,'DATA BTO'!$Q:$Q,"-",0)+$C$35+$D$24)+$C$8-1),1,"")</f>
        <v>#VALUE!</v>
      </c>
      <c r="AV40" s="13" t="e">
        <f ca="1">IF(AND(AV$5&gt;$C$35+$C$8+$D$24-1,AV$5&lt;=(_xlfn.XLOOKUP($B$7&amp;"-"&amp;"Next",'DATA BTO'!$A:$A,'DATA BTO'!$Q:$Q,"-",0)+$C$35+$D$24)+$C$8-1),1,"")</f>
        <v>#VALUE!</v>
      </c>
      <c r="AW40" s="14" t="e">
        <f ca="1">IF(AND(AW$5&gt;$C$35+$C$8+$D$24-1,AW$5&lt;=(_xlfn.XLOOKUP($B$7&amp;"-"&amp;"Next",'DATA BTO'!$A:$A,'DATA BTO'!$Q:$Q,"-",0)+$C$35+$D$24)+$C$8-1),1,"")</f>
        <v>#VALUE!</v>
      </c>
      <c r="AX40" s="14" t="e">
        <f ca="1">IF(AND(AX$5&gt;$C$35+$C$8+$D$24-1,AX$5&lt;=(_xlfn.XLOOKUP($B$7&amp;"-"&amp;"Next",'DATA BTO'!$A:$A,'DATA BTO'!$Q:$Q,"-",0)+$C$35+$D$24)+$C$8-1),1,"")</f>
        <v>#VALUE!</v>
      </c>
      <c r="AY40" s="14" t="e">
        <f ca="1">IF(AND(AY$5&gt;$C$35+$C$8+$D$24-1,AY$5&lt;=(_xlfn.XLOOKUP($B$7&amp;"-"&amp;"Next",'DATA BTO'!$A:$A,'DATA BTO'!$Q:$Q,"-",0)+$C$35+$D$24)+$C$8-1),1,"")</f>
        <v>#VALUE!</v>
      </c>
      <c r="AZ40" s="14" t="e">
        <f ca="1">IF(AND(AZ$5&gt;$C$35+$C$8+$D$24-1,AZ$5&lt;=(_xlfn.XLOOKUP($B$7&amp;"-"&amp;"Next",'DATA BTO'!$A:$A,'DATA BTO'!$Q:$Q,"-",0)+$C$35+$D$24)+$C$8-1),1,"")</f>
        <v>#VALUE!</v>
      </c>
      <c r="BA40" s="15" t="e">
        <f ca="1">IF(AND(BA$5&gt;$C$35+$C$8+$D$24-1,BA$5&lt;=(_xlfn.XLOOKUP($B$7&amp;"-"&amp;"Next",'DATA BTO'!$A:$A,'DATA BTO'!$Q:$Q,"-",0)+$C$35+$D$24)+$C$8-1),1,"")</f>
        <v>#VALUE!</v>
      </c>
      <c r="BB40" s="16" t="e">
        <f ca="1">IF(AND(BB$5&gt;$C$35+$C$8+$D$24-1,BB$5&lt;=(_xlfn.XLOOKUP($B$7&amp;"-"&amp;"Next",'DATA BTO'!$A:$A,'DATA BTO'!$Q:$Q,"-",0)+$C$35+$D$24)+$C$8-1),1,"")</f>
        <v>#VALUE!</v>
      </c>
      <c r="BC40" s="13" t="e">
        <f ca="1">IF(AND(BC$5&gt;$C$35+$C$8+$D$24-1,BC$5&lt;=(_xlfn.XLOOKUP($B$7&amp;"-"&amp;"Next",'DATA BTO'!$A:$A,'DATA BTO'!$Q:$Q,"-",0)+$C$35+$D$24)+$C$8-1),1,"")</f>
        <v>#VALUE!</v>
      </c>
      <c r="BD40" s="14" t="e">
        <f ca="1">IF(AND(BD$5&gt;$C$35+$C$8+$D$24-1,BD$5&lt;=(_xlfn.XLOOKUP($B$7&amp;"-"&amp;"Next",'DATA BTO'!$A:$A,'DATA BTO'!$Q:$Q,"-",0)+$C$35+$D$24)+$C$8-1),1,"")</f>
        <v>#VALUE!</v>
      </c>
      <c r="BE40" s="14" t="e">
        <f ca="1">IF(AND(BE$5&gt;$C$35+$C$8+$D$24-1,BE$5&lt;=(_xlfn.XLOOKUP($B$7&amp;"-"&amp;"Next",'DATA BTO'!$A:$A,'DATA BTO'!$Q:$Q,"-",0)+$C$35+$D$24)+$C$8-1),1,"")</f>
        <v>#VALUE!</v>
      </c>
      <c r="BF40" s="14" t="e">
        <f ca="1">IF(AND(BF$5&gt;$C$35+$C$8+$D$24-1,BF$5&lt;=(_xlfn.XLOOKUP($B$7&amp;"-"&amp;"Next",'DATA BTO'!$A:$A,'DATA BTO'!$Q:$Q,"-",0)+$C$35+$D$24)+$C$8-1),1,"")</f>
        <v>#VALUE!</v>
      </c>
      <c r="BG40" s="14" t="e">
        <f ca="1">IF(AND(BG$5&gt;$C$35+$C$8+$D$24-1,BG$5&lt;=(_xlfn.XLOOKUP($B$7&amp;"-"&amp;"Next",'DATA BTO'!$A:$A,'DATA BTO'!$Q:$Q,"-",0)+$C$35+$D$24)+$C$8-1),1,"")</f>
        <v>#VALUE!</v>
      </c>
      <c r="BH40" s="15" t="e">
        <f ca="1">IF(AND(BH$5&gt;$C$35+$C$8+$D$24-1,BH$5&lt;=(_xlfn.XLOOKUP($B$7&amp;"-"&amp;"Next",'DATA BTO'!$A:$A,'DATA BTO'!$Q:$Q,"-",0)+$C$35+$D$24)+$C$8-1),1,"")</f>
        <v>#VALUE!</v>
      </c>
      <c r="BI40" s="16" t="e">
        <f ca="1">IF(AND(BI$5&gt;$C$35+$C$8+$D$24-1,BI$5&lt;=(_xlfn.XLOOKUP($B$7&amp;"-"&amp;"Next",'DATA BTO'!$A:$A,'DATA BTO'!$Q:$Q,"-",0)+$C$35+$D$24)+$C$8-1),1,"")</f>
        <v>#VALUE!</v>
      </c>
      <c r="BJ40" s="13" t="e">
        <f ca="1">IF(AND(BJ$5&gt;$C$35+$C$8+$D$24-1,BJ$5&lt;=(_xlfn.XLOOKUP($B$7&amp;"-"&amp;"Next",'DATA BTO'!$A:$A,'DATA BTO'!$Q:$Q,"-",0)+$C$35+$D$24)+$C$8-1),1,"")</f>
        <v>#VALUE!</v>
      </c>
      <c r="BK40" s="14" t="e">
        <f ca="1">IF(AND(BK$5&gt;$C$35+$C$8+$D$24-1,BK$5&lt;=(_xlfn.XLOOKUP($B$7&amp;"-"&amp;"Next",'DATA BTO'!$A:$A,'DATA BTO'!$Q:$Q,"-",0)+$C$35+$D$24)+$C$8-1),1,"")</f>
        <v>#VALUE!</v>
      </c>
      <c r="BL40" s="14" t="e">
        <f ca="1">IF(AND(BL$5&gt;$C$35+$C$8+$D$24-1,BL$5&lt;=(_xlfn.XLOOKUP($B$7&amp;"-"&amp;"Next",'DATA BTO'!$A:$A,'DATA BTO'!$Q:$Q,"-",0)+$C$35+$D$24)+$C$8-1),1,"")</f>
        <v>#VALUE!</v>
      </c>
      <c r="BM40" s="14" t="e">
        <f ca="1">IF(AND(BM$5&gt;$C$35+$C$8+$D$24-1,BM$5&lt;=(_xlfn.XLOOKUP($B$7&amp;"-"&amp;"Next",'DATA BTO'!$A:$A,'DATA BTO'!$Q:$Q,"-",0)+$C$35+$D$24)+$C$8-1),1,"")</f>
        <v>#VALUE!</v>
      </c>
      <c r="BN40" s="14" t="e">
        <f ca="1">IF(AND(BN$5&gt;$C$35+$C$8+$D$24-1,BN$5&lt;=(_xlfn.XLOOKUP($B$7&amp;"-"&amp;"Next",'DATA BTO'!$A:$A,'DATA BTO'!$Q:$Q,"-",0)+$C$35+$D$24)+$C$8-1),1,"")</f>
        <v>#VALUE!</v>
      </c>
      <c r="BO40" s="15" t="e">
        <f ca="1">IF(AND(BO$5&gt;$C$35+$C$8+$D$24-1,BO$5&lt;=(_xlfn.XLOOKUP($B$7&amp;"-"&amp;"Next",'DATA BTO'!$A:$A,'DATA BTO'!$Q:$Q,"-",0)+$C$35+$D$24)+$C$8-1),1,"")</f>
        <v>#VALUE!</v>
      </c>
      <c r="BP40" s="16" t="e">
        <f ca="1">IF(AND(BP$5&gt;$C$35+$C$8+$D$24-1,BP$5&lt;=(_xlfn.XLOOKUP($B$7&amp;"-"&amp;"Next",'DATA BTO'!$A:$A,'DATA BTO'!$Q:$Q,"-",0)+$C$35+$D$24)+$C$8-1),1,"")</f>
        <v>#VALUE!</v>
      </c>
      <c r="BQ40" s="13" t="e">
        <f ca="1">IF(AND(BQ$5&gt;$C$35+$C$8+$D$24-1,BQ$5&lt;=(_xlfn.XLOOKUP($B$7&amp;"-"&amp;"Next",'DATA BTO'!$A:$A,'DATA BTO'!$Q:$Q,"-",0)+$C$35+$D$24)+$C$8-1),1,"")</f>
        <v>#VALUE!</v>
      </c>
      <c r="BR40" s="14" t="e">
        <f ca="1">IF(AND(BR$5&gt;$C$35+$C$8+$D$24-1,BR$5&lt;=(_xlfn.XLOOKUP($B$7&amp;"-"&amp;"Next",'DATA BTO'!$A:$A,'DATA BTO'!$Q:$Q,"-",0)+$C$35+$D$24)+$C$8-1),1,"")</f>
        <v>#VALUE!</v>
      </c>
      <c r="BS40" s="14" t="e">
        <f ca="1">IF(AND(BS$5&gt;$C$35+$C$8+$D$24-1,BS$5&lt;=(_xlfn.XLOOKUP($B$7&amp;"-"&amp;"Next",'DATA BTO'!$A:$A,'DATA BTO'!$Q:$Q,"-",0)+$C$35+$D$24)+$C$8-1),1,"")</f>
        <v>#VALUE!</v>
      </c>
      <c r="BT40" s="14" t="e">
        <f ca="1">IF(AND(BT$5&gt;$C$35+$C$8+$D$24-1,BT$5&lt;=(_xlfn.XLOOKUP($B$7&amp;"-"&amp;"Next",'DATA BTO'!$A:$A,'DATA BTO'!$Q:$Q,"-",0)+$C$35+$D$24)+$C$8-1),1,"")</f>
        <v>#VALUE!</v>
      </c>
      <c r="BU40" s="14" t="e">
        <f ca="1">IF(AND(BU$5&gt;$C$35+$C$8+$D$24-1,BU$5&lt;=(_xlfn.XLOOKUP($B$7&amp;"-"&amp;"Next",'DATA BTO'!$A:$A,'DATA BTO'!$Q:$Q,"-",0)+$C$35+$D$24)+$C$8-1),1,"")</f>
        <v>#VALUE!</v>
      </c>
      <c r="BV40" s="15" t="e">
        <f ca="1">IF(AND(BV$5&gt;$C$35+$C$8+$D$24-1,BV$5&lt;=(_xlfn.XLOOKUP($B$7&amp;"-"&amp;"Next",'DATA BTO'!$A:$A,'DATA BTO'!$Q:$Q,"-",0)+$C$35+$D$24)+$C$8-1),1,"")</f>
        <v>#VALUE!</v>
      </c>
      <c r="BW40" s="16" t="e">
        <f ca="1">IF(AND(BW$5&gt;$C$35+$C$8+$D$24-1,BW$5&lt;=(_xlfn.XLOOKUP($B$7&amp;"-"&amp;"Next",'DATA BTO'!$A:$A,'DATA BTO'!$Q:$Q,"-",0)+$C$35+$D$24)+$C$8-1),1,"")</f>
        <v>#VALUE!</v>
      </c>
      <c r="BX40" s="13" t="e">
        <f ca="1">IF(AND(BX$5&gt;$C$35+$C$8+$D$24-1,BX$5&lt;=(_xlfn.XLOOKUP($B$7&amp;"-"&amp;"Next",'DATA BTO'!$A:$A,'DATA BTO'!$Q:$Q,"-",0)+$C$35+$D$24)+$C$8-1),1,"")</f>
        <v>#VALUE!</v>
      </c>
      <c r="BY40" s="14" t="e">
        <f ca="1">IF(AND(BY$5&gt;$C$35+$C$8+$D$24-1,BY$5&lt;=(_xlfn.XLOOKUP($B$7&amp;"-"&amp;"Next",'DATA BTO'!$A:$A,'DATA BTO'!$Q:$Q,"-",0)+$C$35+$D$24)+$C$8-1),1,"")</f>
        <v>#VALUE!</v>
      </c>
      <c r="BZ40" s="14" t="e">
        <f ca="1">IF(AND(BZ$5&gt;$C$35+$C$8+$D$24-1,BZ$5&lt;=(_xlfn.XLOOKUP($B$7&amp;"-"&amp;"Next",'DATA BTO'!$A:$A,'DATA BTO'!$Q:$Q,"-",0)+$C$35+$D$24)+$C$8-1),1,"")</f>
        <v>#VALUE!</v>
      </c>
      <c r="CA40" s="14" t="e">
        <f ca="1">IF(AND(CA$5&gt;$C$35+$C$8+$D$24-1,CA$5&lt;=(_xlfn.XLOOKUP($B$7&amp;"-"&amp;"Next",'DATA BTO'!$A:$A,'DATA BTO'!$Q:$Q,"-",0)+$C$35+$D$24)+$C$8-1),1,"")</f>
        <v>#VALUE!</v>
      </c>
      <c r="CB40" s="14" t="e">
        <f ca="1">IF(AND(CB$5&gt;$C$35+$C$8+$D$24-1,CB$5&lt;=(_xlfn.XLOOKUP($B$7&amp;"-"&amp;"Next",'DATA BTO'!$A:$A,'DATA BTO'!$Q:$Q,"-",0)+$C$35+$D$24)+$C$8-1),1,"")</f>
        <v>#VALUE!</v>
      </c>
      <c r="CC40" s="15" t="e">
        <f ca="1">IF(AND(CC$5&gt;$C$35+$C$8+$D$24-1,CC$5&lt;=(_xlfn.XLOOKUP($B$7&amp;"-"&amp;"Next",'DATA BTO'!$A:$A,'DATA BTO'!$Q:$Q,"-",0)+$C$35+$D$24)+$C$8-1),1,"")</f>
        <v>#VALUE!</v>
      </c>
      <c r="CD40" s="16" t="e">
        <f ca="1">IF(AND(CD$5&gt;$C$35+$C$8+$D$24-1,CD$5&lt;=(_xlfn.XLOOKUP($B$7&amp;"-"&amp;"Next",'DATA BTO'!$A:$A,'DATA BTO'!$Q:$Q,"-",0)+$C$35+$D$24)+$C$8-1),1,"")</f>
        <v>#VALUE!</v>
      </c>
      <c r="CE40" s="13" t="e">
        <f ca="1">IF(AND(CE$5&gt;$C$35+$C$8+$D$24-1,CE$5&lt;=(_xlfn.XLOOKUP($B$7&amp;"-"&amp;"Next",'DATA BTO'!$A:$A,'DATA BTO'!$Q:$Q,"-",0)+$C$35+$D$24)+$C$8-1),1,"")</f>
        <v>#VALUE!</v>
      </c>
      <c r="CF40" s="14" t="e">
        <f ca="1">IF(AND(CF$5&gt;$C$35+$C$8+$D$24-1,CF$5&lt;=(_xlfn.XLOOKUP($B$7&amp;"-"&amp;"Next",'DATA BTO'!$A:$A,'DATA BTO'!$Q:$Q,"-",0)+$C$35+$D$24)+$C$8-1),1,"")</f>
        <v>#VALUE!</v>
      </c>
      <c r="CG40" s="14" t="e">
        <f ca="1">IF(AND(CG$5&gt;$C$35+$C$8+$D$24-1,CG$5&lt;=(_xlfn.XLOOKUP($B$7&amp;"-"&amp;"Next",'DATA BTO'!$A:$A,'DATA BTO'!$Q:$Q,"-",0)+$C$35+$D$24)+$C$8-1),1,"")</f>
        <v>#VALUE!</v>
      </c>
      <c r="CH40" s="14" t="e">
        <f ca="1">IF(AND(CH$5&gt;$C$35+$C$8+$D$24-1,CH$5&lt;=(_xlfn.XLOOKUP($B$7&amp;"-"&amp;"Next",'DATA BTO'!$A:$A,'DATA BTO'!$Q:$Q,"-",0)+$C$35+$D$24)+$C$8-1),1,"")</f>
        <v>#VALUE!</v>
      </c>
      <c r="CI40" s="14" t="e">
        <f ca="1">IF(AND(CI$5&gt;$C$35+$C$8+$D$24-1,CI$5&lt;=(_xlfn.XLOOKUP($B$7&amp;"-"&amp;"Next",'DATA BTO'!$A:$A,'DATA BTO'!$Q:$Q,"-",0)+$C$35+$D$24)+$C$8-1),1,"")</f>
        <v>#VALUE!</v>
      </c>
      <c r="CJ40" s="15" t="e">
        <f ca="1">IF(AND(CJ$5&gt;$C$35+$C$8+$D$24-1,CJ$5&lt;=(_xlfn.XLOOKUP($B$7&amp;"-"&amp;"Next",'DATA BTO'!$A:$A,'DATA BTO'!$Q:$Q,"-",0)+$C$35+$D$24)+$C$8-1),1,"")</f>
        <v>#VALUE!</v>
      </c>
      <c r="CK40" s="16" t="e">
        <f ca="1">IF(AND(CK$5&gt;$C$35+$C$8+$D$24-1,CK$5&lt;=(_xlfn.XLOOKUP($B$7&amp;"-"&amp;"Next",'DATA BTO'!$A:$A,'DATA BTO'!$Q:$Q,"-",0)+$C$35+$D$24)+$C$8-1),1,"")</f>
        <v>#VALUE!</v>
      </c>
      <c r="CL40" s="13" t="e">
        <f ca="1">IF(AND(CL$5&gt;$C$35+$C$8+$D$24-1,CL$5&lt;=(_xlfn.XLOOKUP($B$7&amp;"-"&amp;"Next",'DATA BTO'!$A:$A,'DATA BTO'!$Q:$Q,"-",0)+$C$35+$D$24)+$C$8-1),1,"")</f>
        <v>#VALUE!</v>
      </c>
      <c r="CM40" s="14" t="e">
        <f ca="1">IF(AND(CM$5&gt;$C$35+$C$8+$D$24-1,CM$5&lt;=(_xlfn.XLOOKUP($B$7&amp;"-"&amp;"Next",'DATA BTO'!$A:$A,'DATA BTO'!$Q:$Q,"-",0)+$C$35+$D$24)+$C$8-1),1,"")</f>
        <v>#VALUE!</v>
      </c>
      <c r="CN40" s="14" t="e">
        <f ca="1">IF(AND(CN$5&gt;$C$35+$C$8+$D$24-1,CN$5&lt;=(_xlfn.XLOOKUP($B$7&amp;"-"&amp;"Next",'DATA BTO'!$A:$A,'DATA BTO'!$Q:$Q,"-",0)+$C$35+$D$24)+$C$8-1),1,"")</f>
        <v>#VALUE!</v>
      </c>
      <c r="CO40" s="14" t="e">
        <f ca="1">IF(AND(CO$5&gt;$C$35+$C$8+$D$24-1,CO$5&lt;=(_xlfn.XLOOKUP($B$7&amp;"-"&amp;"Next",'DATA BTO'!$A:$A,'DATA BTO'!$Q:$Q,"-",0)+$C$35+$D$24)+$C$8-1),1,"")</f>
        <v>#VALUE!</v>
      </c>
      <c r="CP40" s="14" t="e">
        <f ca="1">IF(AND(CP$5&gt;$C$35+$C$8+$D$24-1,CP$5&lt;=(_xlfn.XLOOKUP($B$7&amp;"-"&amp;"Next",'DATA BTO'!$A:$A,'DATA BTO'!$Q:$Q,"-",0)+$C$35+$D$24)+$C$8-1),1,"")</f>
        <v>#VALUE!</v>
      </c>
      <c r="CQ40" s="15" t="e">
        <f ca="1">IF(AND(CQ$5&gt;$C$35+$C$8+$D$24-1,CQ$5&lt;=(_xlfn.XLOOKUP($B$7&amp;"-"&amp;"Next",'DATA BTO'!$A:$A,'DATA BTO'!$Q:$Q,"-",0)+$C$35+$D$24)+$C$8-1),1,"")</f>
        <v>#VALUE!</v>
      </c>
      <c r="CR40" s="16" t="e">
        <f ca="1">IF(AND(CR$5&gt;$C$35+$C$8+$D$24-1,CR$5&lt;=(_xlfn.XLOOKUP($B$7&amp;"-"&amp;"Next",'DATA BTO'!$A:$A,'DATA BTO'!$Q:$Q,"-",0)+$C$35+$D$24)+$C$8-1),1,"")</f>
        <v>#VALUE!</v>
      </c>
      <c r="CS40" s="13" t="e">
        <f ca="1">IF(AND(CS$5&gt;$C$35+$C$8+$D$24-1,CS$5&lt;=(_xlfn.XLOOKUP($B$7&amp;"-"&amp;"Next",'DATA BTO'!$A:$A,'DATA BTO'!$Q:$Q,"-",0)+$C$35+$D$24)+$C$8-1),1,"")</f>
        <v>#VALUE!</v>
      </c>
      <c r="CT40" s="14" t="e">
        <f ca="1">IF(AND(CT$5&gt;$C$35+$C$8+$D$24-1,CT$5&lt;=(_xlfn.XLOOKUP($B$7&amp;"-"&amp;"Next",'DATA BTO'!$A:$A,'DATA BTO'!$Q:$Q,"-",0)+$C$35+$D$24)+$C$8-1),1,"")</f>
        <v>#VALUE!</v>
      </c>
      <c r="CU40" s="14" t="e">
        <f ca="1">IF(AND(CU$5&gt;$C$35+$C$8+$D$24-1,CU$5&lt;=(_xlfn.XLOOKUP($B$7&amp;"-"&amp;"Next",'DATA BTO'!$A:$A,'DATA BTO'!$Q:$Q,"-",0)+$C$35+$D$24)+$C$8-1),1,"")</f>
        <v>#VALUE!</v>
      </c>
      <c r="CV40" s="14" t="e">
        <f ca="1">IF(AND(CV$5&gt;$C$35+$C$8+$D$24-1,CV$5&lt;=(_xlfn.XLOOKUP($B$7&amp;"-"&amp;"Next",'DATA BTO'!$A:$A,'DATA BTO'!$Q:$Q,"-",0)+$C$35+$D$24)+$C$8-1),1,"")</f>
        <v>#VALUE!</v>
      </c>
      <c r="CW40" s="14" t="e">
        <f ca="1">IF(AND(CW$5&gt;$C$35+$C$8+$D$24-1,CW$5&lt;=(_xlfn.XLOOKUP($B$7&amp;"-"&amp;"Next",'DATA BTO'!$A:$A,'DATA BTO'!$Q:$Q,"-",0)+$C$35+$D$24)+$C$8-1),1,"")</f>
        <v>#VALUE!</v>
      </c>
      <c r="CX40" s="15" t="e">
        <f ca="1">IF(AND(CX$5&gt;$C$35+$C$8+$D$24-1,CX$5&lt;=(_xlfn.XLOOKUP($B$7&amp;"-"&amp;"Next",'DATA BTO'!$A:$A,'DATA BTO'!$Q:$Q,"-",0)+$C$35+$D$24)+$C$8-1),1,"")</f>
        <v>#VALUE!</v>
      </c>
      <c r="CY40" s="16" t="e">
        <f ca="1">IF(AND(CY$5&gt;$C$35+$C$8+$D$24-1,CY$5&lt;=(_xlfn.XLOOKUP($B$7&amp;"-"&amp;"Next",'DATA BTO'!$A:$A,'DATA BTO'!$Q:$Q,"-",0)+$C$35+$D$24)+$C$8-1),1,"")</f>
        <v>#VALUE!</v>
      </c>
      <c r="CZ40" s="13" t="e">
        <f ca="1">IF(AND(CZ$5&gt;$C$35+$C$8+$D$24-1,CZ$5&lt;=(_xlfn.XLOOKUP($B$7&amp;"-"&amp;"Next",'DATA BTO'!$A:$A,'DATA BTO'!$Q:$Q,"-",0)+$C$35+$D$24)+$C$8-1),1,"")</f>
        <v>#VALUE!</v>
      </c>
      <c r="DA40" s="14" t="e">
        <f ca="1">IF(AND(DA$5&gt;$C$35+$C$8+$D$24-1,DA$5&lt;=(_xlfn.XLOOKUP($B$7&amp;"-"&amp;"Next",'DATA BTO'!$A:$A,'DATA BTO'!$Q:$Q,"-",0)+$C$35+$D$24)+$C$8-1),1,"")</f>
        <v>#VALUE!</v>
      </c>
      <c r="DB40" s="14" t="e">
        <f ca="1">IF(AND(DB$5&gt;$C$35+$C$8+$D$24-1,DB$5&lt;=(_xlfn.XLOOKUP($B$7&amp;"-"&amp;"Next",'DATA BTO'!$A:$A,'DATA BTO'!$Q:$Q,"-",0)+$C$35+$D$24)+$C$8-1),1,"")</f>
        <v>#VALUE!</v>
      </c>
      <c r="DC40" s="14" t="e">
        <f ca="1">IF(AND(DC$5&gt;$C$35+$C$8+$D$24-1,DC$5&lt;=(_xlfn.XLOOKUP($B$7&amp;"-"&amp;"Next",'DATA BTO'!$A:$A,'DATA BTO'!$Q:$Q,"-",0)+$C$35+$D$24)+$C$8-1),1,"")</f>
        <v>#VALUE!</v>
      </c>
      <c r="DD40" s="14" t="e">
        <f ca="1">IF(AND(DD$5&gt;$C$35+$C$8+$D$24-1,DD$5&lt;=(_xlfn.XLOOKUP($B$7&amp;"-"&amp;"Next",'DATA BTO'!$A:$A,'DATA BTO'!$Q:$Q,"-",0)+$C$35+$D$24)+$C$8-1),1,"")</f>
        <v>#VALUE!</v>
      </c>
      <c r="DE40" s="15" t="e">
        <f ca="1">IF(AND(DE$5&gt;$C$35+$C$8+$D$24-1,DE$5&lt;=(_xlfn.XLOOKUP($B$7&amp;"-"&amp;"Next",'DATA BTO'!$A:$A,'DATA BTO'!$Q:$Q,"-",0)+$C$35+$D$24)+$C$8-1),1,"")</f>
        <v>#VALUE!</v>
      </c>
      <c r="DF40" s="16" t="e">
        <f ca="1">IF(AND(DF$5&gt;$C$35+$C$8+$D$24-1,DF$5&lt;=(_xlfn.XLOOKUP($B$7&amp;"-"&amp;"Next",'DATA BTO'!$A:$A,'DATA BTO'!$Q:$Q,"-",0)+$C$35+$D$24)+$C$8-1),1,"")</f>
        <v>#VALUE!</v>
      </c>
      <c r="DG40" s="13" t="e">
        <f ca="1">IF(AND(DG$5&gt;$C$35+$C$8+$D$24-1,DG$5&lt;=(_xlfn.XLOOKUP($B$7&amp;"-"&amp;"Next",'DATA BTO'!$A:$A,'DATA BTO'!$Q:$Q,"-",0)+$C$35+$D$24)+$C$8-1),1,"")</f>
        <v>#VALUE!</v>
      </c>
      <c r="DH40" s="14" t="e">
        <f ca="1">IF(AND(DH$5&gt;$C$35+$C$8+$D$24-1,DH$5&lt;=(_xlfn.XLOOKUP($B$7&amp;"-"&amp;"Next",'DATA BTO'!$A:$A,'DATA BTO'!$Q:$Q,"-",0)+$C$35+$D$24)+$C$8-1),1,"")</f>
        <v>#VALUE!</v>
      </c>
      <c r="DI40" s="14" t="e">
        <f ca="1">IF(AND(DI$5&gt;$C$35+$C$8+$D$24-1,DI$5&lt;=(_xlfn.XLOOKUP($B$7&amp;"-"&amp;"Next",'DATA BTO'!$A:$A,'DATA BTO'!$Q:$Q,"-",0)+$C$35+$D$24)+$C$8-1),1,"")</f>
        <v>#VALUE!</v>
      </c>
      <c r="DJ40" s="14" t="e">
        <f ca="1">IF(AND(DJ$5&gt;$C$35+$C$8+$D$24-1,DJ$5&lt;=(_xlfn.XLOOKUP($B$7&amp;"-"&amp;"Next",'DATA BTO'!$A:$A,'DATA BTO'!$Q:$Q,"-",0)+$C$35+$D$24)+$C$8-1),1,"")</f>
        <v>#VALUE!</v>
      </c>
      <c r="DK40" s="14" t="e">
        <f ca="1">IF(AND(DK$5&gt;$C$35+$C$8+$D$24-1,DK$5&lt;=(_xlfn.XLOOKUP($B$7&amp;"-"&amp;"Next",'DATA BTO'!$A:$A,'DATA BTO'!$Q:$Q,"-",0)+$C$35+$D$24)+$C$8-1),1,"")</f>
        <v>#VALUE!</v>
      </c>
      <c r="DL40" s="15" t="e">
        <f ca="1">IF(AND(DL$5&gt;$C$35+$C$8+$D$24-1,DL$5&lt;=(_xlfn.XLOOKUP($B$7&amp;"-"&amp;"Next",'DATA BTO'!$A:$A,'DATA BTO'!$Q:$Q,"-",0)+$C$35+$D$24)+$C$8-1),1,"")</f>
        <v>#VALUE!</v>
      </c>
      <c r="DM40" s="16" t="e">
        <f ca="1">IF(AND(DM$5&gt;$C$35+$C$8+$D$24-1,DM$5&lt;=(_xlfn.XLOOKUP($B$7&amp;"-"&amp;"Next",'DATA BTO'!$A:$A,'DATA BTO'!$Q:$Q,"-",0)+$C$35+$D$24)+$C$8-1),1,"")</f>
        <v>#VALUE!</v>
      </c>
      <c r="DN40" s="13" t="e">
        <f ca="1">IF(AND(DN$5&gt;$C$35+$C$8+$D$24-1,DN$5&lt;=(_xlfn.XLOOKUP($B$7&amp;"-"&amp;"Next",'DATA BTO'!$A:$A,'DATA BTO'!$Q:$Q,"-",0)+$C$35+$D$24)+$C$8-1),1,"")</f>
        <v>#VALUE!</v>
      </c>
      <c r="DO40" s="14" t="e">
        <f ca="1">IF(AND(DO$5&gt;$C$35+$C$8+$D$24-1,DO$5&lt;=(_xlfn.XLOOKUP($B$7&amp;"-"&amp;"Next",'DATA BTO'!$A:$A,'DATA BTO'!$Q:$Q,"-",0)+$C$35+$D$24)+$C$8-1),1,"")</f>
        <v>#VALUE!</v>
      </c>
      <c r="DP40" s="14" t="e">
        <f ca="1">IF(AND(DP$5&gt;$C$35+$C$8+$D$24-1,DP$5&lt;=(_xlfn.XLOOKUP($B$7&amp;"-"&amp;"Next",'DATA BTO'!$A:$A,'DATA BTO'!$Q:$Q,"-",0)+$C$35+$D$24)+$C$8-1),1,"")</f>
        <v>#VALUE!</v>
      </c>
      <c r="DQ40" s="14" t="e">
        <f ca="1">IF(AND(DQ$5&gt;$C$35+$C$8+$D$24-1,DQ$5&lt;=(_xlfn.XLOOKUP($B$7&amp;"-"&amp;"Next",'DATA BTO'!$A:$A,'DATA BTO'!$Q:$Q,"-",0)+$C$35+$D$24)+$C$8-1),1,"")</f>
        <v>#VALUE!</v>
      </c>
      <c r="DR40" s="14" t="e">
        <f ca="1">IF(AND(DR$5&gt;$C$35+$C$8+$D$24-1,DR$5&lt;=(_xlfn.XLOOKUP($B$7&amp;"-"&amp;"Next",'DATA BTO'!$A:$A,'DATA BTO'!$Q:$Q,"-",0)+$C$35+$D$24)+$C$8-1),1,"")</f>
        <v>#VALUE!</v>
      </c>
      <c r="DS40" s="15" t="e">
        <f ca="1">IF(AND(DS$5&gt;$C$35+$C$8+$D$24-1,DS$5&lt;=(_xlfn.XLOOKUP($B$7&amp;"-"&amp;"Next",'DATA BTO'!$A:$A,'DATA BTO'!$Q:$Q,"-",0)+$C$35+$D$24)+$C$8-1),1,"")</f>
        <v>#VALUE!</v>
      </c>
      <c r="DT40" s="16" t="e">
        <f ca="1">IF(AND(DT$5&gt;$C$35+$C$8+$D$24-1,DT$5&lt;=(_xlfn.XLOOKUP($B$7&amp;"-"&amp;"Next",'DATA BTO'!$A:$A,'DATA BTO'!$Q:$Q,"-",0)+$C$35+$D$24)+$C$8-1),1,"")</f>
        <v>#VALUE!</v>
      </c>
      <c r="DU40" s="13" t="e">
        <f ca="1">IF(AND(DU$5&gt;$C$35+$C$8+$D$24-1,DU$5&lt;=(_xlfn.XLOOKUP($B$7&amp;"-"&amp;"Next",'DATA BTO'!$A:$A,'DATA BTO'!$Q:$Q,"-",0)+$C$35+$D$24)+$C$8-1),1,"")</f>
        <v>#VALUE!</v>
      </c>
      <c r="DV40" s="14" t="e">
        <f ca="1">IF(AND(DV$5&gt;$C$35+$C$8+$D$24-1,DV$5&lt;=(_xlfn.XLOOKUP($B$7&amp;"-"&amp;"Next",'DATA BTO'!$A:$A,'DATA BTO'!$Q:$Q,"-",0)+$C$35+$D$24)+$C$8-1),1,"")</f>
        <v>#VALUE!</v>
      </c>
      <c r="DW40" s="14" t="e">
        <f ca="1">IF(AND(DW$5&gt;$C$35+$C$8+$D$24-1,DW$5&lt;=(_xlfn.XLOOKUP($B$7&amp;"-"&amp;"Next",'DATA BTO'!$A:$A,'DATA BTO'!$Q:$Q,"-",0)+$C$35+$D$24)+$C$8-1),1,"")</f>
        <v>#VALUE!</v>
      </c>
      <c r="DX40" s="14" t="e">
        <f ca="1">IF(AND(DX$5&gt;$C$35+$C$8+$D$24-1,DX$5&lt;=(_xlfn.XLOOKUP($B$7&amp;"-"&amp;"Next",'DATA BTO'!$A:$A,'DATA BTO'!$Q:$Q,"-",0)+$C$35+$D$24)+$C$8-1),1,"")</f>
        <v>#VALUE!</v>
      </c>
      <c r="DY40" s="14" t="e">
        <f ca="1">IF(AND(DY$5&gt;$C$35+$C$8+$D$24-1,DY$5&lt;=(_xlfn.XLOOKUP($B$7&amp;"-"&amp;"Next",'DATA BTO'!$A:$A,'DATA BTO'!$Q:$Q,"-",0)+$C$35+$D$24)+$C$8-1),1,"")</f>
        <v>#VALUE!</v>
      </c>
      <c r="DZ40" s="15" t="e">
        <f ca="1">IF(AND(DZ$5&gt;$C$35+$C$8+$D$24-1,DZ$5&lt;=(_xlfn.XLOOKUP($B$7&amp;"-"&amp;"Next",'DATA BTO'!$A:$A,'DATA BTO'!$Q:$Q,"-",0)+$C$35+$D$24)+$C$8-1),1,"")</f>
        <v>#VALUE!</v>
      </c>
      <c r="EA40" s="16" t="e">
        <f ca="1">IF(AND(EA$5&gt;$C$35+$C$8+$D$24-1,EA$5&lt;=(_xlfn.XLOOKUP($B$7&amp;"-"&amp;"Next",'DATA BTO'!$A:$A,'DATA BTO'!$Q:$Q,"-",0)+$C$35+$D$24)+$C$8-1),1,"")</f>
        <v>#VALUE!</v>
      </c>
      <c r="EB40" s="13" t="e">
        <f ca="1">IF(AND(EB$5&gt;$C$35+$C$8+$D$24-1,EB$5&lt;=(_xlfn.XLOOKUP($B$7&amp;"-"&amp;"Next",'DATA BTO'!$A:$A,'DATA BTO'!$Q:$Q,"-",0)+$C$35+$D$24)+$C$8-1),1,"")</f>
        <v>#VALUE!</v>
      </c>
      <c r="EC40" s="14" t="e">
        <f ca="1">IF(AND(EC$5&gt;$C$35+$C$8+$D$24-1,EC$5&lt;=(_xlfn.XLOOKUP($B$7&amp;"-"&amp;"Next",'DATA BTO'!$A:$A,'DATA BTO'!$Q:$Q,"-",0)+$C$35+$D$24)+$C$8-1),1,"")</f>
        <v>#VALUE!</v>
      </c>
      <c r="ED40" s="14" t="e">
        <f ca="1">IF(AND(ED$5&gt;$C$35+$C$8+$D$24-1,ED$5&lt;=(_xlfn.XLOOKUP($B$7&amp;"-"&amp;"Next",'DATA BTO'!$A:$A,'DATA BTO'!$Q:$Q,"-",0)+$C$35+$D$24)+$C$8-1),1,"")</f>
        <v>#VALUE!</v>
      </c>
      <c r="EE40" s="14" t="e">
        <f ca="1">IF(AND(EE$5&gt;$C$35+$C$8+$D$24-1,EE$5&lt;=(_xlfn.XLOOKUP($B$7&amp;"-"&amp;"Next",'DATA BTO'!$A:$A,'DATA BTO'!$Q:$Q,"-",0)+$C$35+$D$24)+$C$8-1),1,"")</f>
        <v>#VALUE!</v>
      </c>
      <c r="EF40" s="14" t="e">
        <f ca="1">IF(AND(EF$5&gt;$C$35+$C$8+$D$24-1,EF$5&lt;=(_xlfn.XLOOKUP($B$7&amp;"-"&amp;"Next",'DATA BTO'!$A:$A,'DATA BTO'!$Q:$Q,"-",0)+$C$35+$D$24)+$C$8-1),1,"")</f>
        <v>#VALUE!</v>
      </c>
      <c r="EG40" s="15" t="e">
        <f ca="1">IF(AND(EG$5&gt;$C$35+$C$8+$D$24-1,EG$5&lt;=(_xlfn.XLOOKUP($B$7&amp;"-"&amp;"Next",'DATA BTO'!$A:$A,'DATA BTO'!$Q:$Q,"-",0)+$C$35+$D$24)+$C$8-1),1,"")</f>
        <v>#VALUE!</v>
      </c>
      <c r="EH40" s="16" t="e">
        <f ca="1">IF(AND(EH$5&gt;$C$35+$C$8+$D$24-1,EH$5&lt;=(_xlfn.XLOOKUP($B$7&amp;"-"&amp;"Next",'DATA BTO'!$A:$A,'DATA BTO'!$Q:$Q,"-",0)+$C$35+$D$24)+$C$8-1),1,"")</f>
        <v>#VALUE!</v>
      </c>
      <c r="EI40" s="13" t="e">
        <f ca="1">IF(AND(EI$5&gt;$C$35+$C$8+$D$24-1,EI$5&lt;=(_xlfn.XLOOKUP($B$7&amp;"-"&amp;"Next",'DATA BTO'!$A:$A,'DATA BTO'!$Q:$Q,"-",0)+$C$35+$D$24)+$C$8-1),1,"")</f>
        <v>#VALUE!</v>
      </c>
      <c r="EJ40" s="14" t="e">
        <f ca="1">IF(AND(EJ$5&gt;$C$35+$C$8+$D$24-1,EJ$5&lt;=(_xlfn.XLOOKUP($B$7&amp;"-"&amp;"Next",'DATA BTO'!$A:$A,'DATA BTO'!$Q:$Q,"-",0)+$C$35+$D$24)+$C$8-1),1,"")</f>
        <v>#VALUE!</v>
      </c>
      <c r="EK40" s="14" t="e">
        <f ca="1">IF(AND(EK$5&gt;$C$35+$C$8+$D$24-1,EK$5&lt;=(_xlfn.XLOOKUP($B$7&amp;"-"&amp;"Next",'DATA BTO'!$A:$A,'DATA BTO'!$Q:$Q,"-",0)+$C$35+$D$24)+$C$8-1),1,"")</f>
        <v>#VALUE!</v>
      </c>
      <c r="EL40" s="14" t="e">
        <f ca="1">IF(AND(EL$5&gt;$C$35+$C$8+$D$24-1,EL$5&lt;=(_xlfn.XLOOKUP($B$7&amp;"-"&amp;"Next",'DATA BTO'!$A:$A,'DATA BTO'!$Q:$Q,"-",0)+$C$35+$D$24)+$C$8-1),1,"")</f>
        <v>#VALUE!</v>
      </c>
      <c r="EM40" s="14" t="e">
        <f ca="1">IF(AND(EM$5&gt;$C$35+$C$8+$D$24-1,EM$5&lt;=(_xlfn.XLOOKUP($B$7&amp;"-"&amp;"Next",'DATA BTO'!$A:$A,'DATA BTO'!$Q:$Q,"-",0)+$C$35+$D$24)+$C$8-1),1,"")</f>
        <v>#VALUE!</v>
      </c>
      <c r="EN40" s="15" t="e">
        <f ca="1">IF(AND(EN$5&gt;$C$35+$C$8+$D$24-1,EN$5&lt;=(_xlfn.XLOOKUP($B$7&amp;"-"&amp;"Next",'DATA BTO'!$A:$A,'DATA BTO'!$Q:$Q,"-",0)+$C$35+$D$24)+$C$8-1),1,"")</f>
        <v>#VALUE!</v>
      </c>
      <c r="EO40" s="16" t="e">
        <f ca="1">IF(AND(EO$5&gt;$C$35+$C$8+$D$24-1,EO$5&lt;=(_xlfn.XLOOKUP($B$7&amp;"-"&amp;"Next",'DATA BTO'!$A:$A,'DATA BTO'!$Q:$Q,"-",0)+$C$35+$D$24)+$C$8-1),1,"")</f>
        <v>#VALUE!</v>
      </c>
      <c r="EP40" s="13" t="e">
        <f ca="1">IF(AND(EP$5&gt;$C$35+$C$8+$D$24-1,EP$5&lt;=(_xlfn.XLOOKUP($B$7&amp;"-"&amp;"Next",'DATA BTO'!$A:$A,'DATA BTO'!$Q:$Q,"-",0)+$C$35+$D$24)+$C$8-1),1,"")</f>
        <v>#VALUE!</v>
      </c>
      <c r="EQ40" s="14" t="e">
        <f ca="1">IF(AND(EQ$5&gt;$C$35+$C$8+$D$24-1,EQ$5&lt;=(_xlfn.XLOOKUP($B$7&amp;"-"&amp;"Next",'DATA BTO'!$A:$A,'DATA BTO'!$Q:$Q,"-",0)+$C$35+$D$24)+$C$8-1),1,"")</f>
        <v>#VALUE!</v>
      </c>
      <c r="ER40" s="14" t="e">
        <f ca="1">IF(AND(ER$5&gt;$C$35+$C$8+$D$24-1,ER$5&lt;=(_xlfn.XLOOKUP($B$7&amp;"-"&amp;"Next",'DATA BTO'!$A:$A,'DATA BTO'!$Q:$Q,"-",0)+$C$35+$D$24)+$C$8-1),1,"")</f>
        <v>#VALUE!</v>
      </c>
      <c r="ES40" s="14" t="e">
        <f ca="1">IF(AND(ES$5&gt;$C$35+$C$8+$D$24-1,ES$5&lt;=(_xlfn.XLOOKUP($B$7&amp;"-"&amp;"Next",'DATA BTO'!$A:$A,'DATA BTO'!$Q:$Q,"-",0)+$C$35+$D$24)+$C$8-1),1,"")</f>
        <v>#VALUE!</v>
      </c>
      <c r="ET40" s="14" t="e">
        <f ca="1">IF(AND(ET$5&gt;$C$35+$C$8+$D$24-1,ET$5&lt;=(_xlfn.XLOOKUP($B$7&amp;"-"&amp;"Next",'DATA BTO'!$A:$A,'DATA BTO'!$Q:$Q,"-",0)+$C$35+$D$24)+$C$8-1),1,"")</f>
        <v>#VALUE!</v>
      </c>
      <c r="EU40" s="15" t="e">
        <f ca="1">IF(AND(EU$5&gt;$C$35+$C$8+$D$24-1,EU$5&lt;=(_xlfn.XLOOKUP($B$7&amp;"-"&amp;"Next",'DATA BTO'!$A:$A,'DATA BTO'!$Q:$Q,"-",0)+$C$35+$D$24)+$C$8-1),1,"")</f>
        <v>#VALUE!</v>
      </c>
      <c r="EV40" s="16" t="e">
        <f ca="1">IF(AND(EV$5&gt;$C$35+$C$8+$D$24-1,EV$5&lt;=(_xlfn.XLOOKUP($B$7&amp;"-"&amp;"Next",'DATA BTO'!$A:$A,'DATA BTO'!$Q:$Q,"-",0)+$C$35+$D$24)+$C$8-1),1,"")</f>
        <v>#VALUE!</v>
      </c>
      <c r="EW40" s="13" t="e">
        <f ca="1">IF(AND(EW$5&gt;$C$35+$C$8+$D$24-1,EW$5&lt;=(_xlfn.XLOOKUP($B$7&amp;"-"&amp;"Next",'DATA BTO'!$A:$A,'DATA BTO'!$Q:$Q,"-",0)+$C$35+$D$24)+$C$8-1),1,"")</f>
        <v>#VALUE!</v>
      </c>
      <c r="EX40" s="14" t="e">
        <f ca="1">IF(AND(EX$5&gt;$C$35+$C$8+$D$24-1,EX$5&lt;=(_xlfn.XLOOKUP($B$7&amp;"-"&amp;"Next",'DATA BTO'!$A:$A,'DATA BTO'!$Q:$Q,"-",0)+$C$35+$D$24)+$C$8-1),1,"")</f>
        <v>#VALUE!</v>
      </c>
      <c r="EY40" s="14" t="e">
        <f ca="1">IF(AND(EY$5&gt;$C$35+$C$8+$D$24-1,EY$5&lt;=(_xlfn.XLOOKUP($B$7&amp;"-"&amp;"Next",'DATA BTO'!$A:$A,'DATA BTO'!$Q:$Q,"-",0)+$C$35+$D$24)+$C$8-1),1,"")</f>
        <v>#VALUE!</v>
      </c>
      <c r="EZ40" s="14" t="e">
        <f ca="1">IF(AND(EZ$5&gt;$C$35+$C$8+$D$24-1,EZ$5&lt;=(_xlfn.XLOOKUP($B$7&amp;"-"&amp;"Next",'DATA BTO'!$A:$A,'DATA BTO'!$Q:$Q,"-",0)+$C$35+$D$24)+$C$8-1),1,"")</f>
        <v>#VALUE!</v>
      </c>
      <c r="FA40" s="14" t="e">
        <f ca="1">IF(AND(FA$5&gt;$C$35+$C$8+$D$24-1,FA$5&lt;=(_xlfn.XLOOKUP($B$7&amp;"-"&amp;"Next",'DATA BTO'!$A:$A,'DATA BTO'!$Q:$Q,"-",0)+$C$35+$D$24)+$C$8-1),1,"")</f>
        <v>#VALUE!</v>
      </c>
      <c r="FB40" s="15" t="e">
        <f ca="1">IF(AND(FB$5&gt;$C$35+$C$8+$D$24-1,FB$5&lt;=(_xlfn.XLOOKUP($B$7&amp;"-"&amp;"Next",'DATA BTO'!$A:$A,'DATA BTO'!$Q:$Q,"-",0)+$C$35+$D$24)+$C$8-1),1,"")</f>
        <v>#VALUE!</v>
      </c>
      <c r="FC40" s="16" t="e">
        <f ca="1">IF(AND(FC$5&gt;$C$35+$C$8+$D$24-1,FC$5&lt;=(_xlfn.XLOOKUP($B$7&amp;"-"&amp;"Next",'DATA BTO'!$A:$A,'DATA BTO'!$Q:$Q,"-",0)+$C$35+$D$24)+$C$8-1),1,"")</f>
        <v>#VALUE!</v>
      </c>
    </row>
    <row r="41" spans="1:159">
      <c r="D41" s="407"/>
    </row>
  </sheetData>
  <mergeCells count="68">
    <mergeCell ref="A37:B37"/>
    <mergeCell ref="C37:E37"/>
    <mergeCell ref="A40:B40"/>
    <mergeCell ref="C40:E40"/>
    <mergeCell ref="A31:B31"/>
    <mergeCell ref="C31:E31"/>
    <mergeCell ref="A33:B33"/>
    <mergeCell ref="C33:E33"/>
    <mergeCell ref="A35:B35"/>
    <mergeCell ref="C35:E35"/>
    <mergeCell ref="A8:A18"/>
    <mergeCell ref="A19:A20"/>
    <mergeCell ref="A27:B27"/>
    <mergeCell ref="C27:E27"/>
    <mergeCell ref="A29:B29"/>
    <mergeCell ref="C29:E29"/>
    <mergeCell ref="EB2:EH2"/>
    <mergeCell ref="A3:A4"/>
    <mergeCell ref="B3:B4"/>
    <mergeCell ref="C3:E4"/>
    <mergeCell ref="C5:E5"/>
    <mergeCell ref="DN2:DT2"/>
    <mergeCell ref="DU2:EA2"/>
    <mergeCell ref="C6:E6"/>
    <mergeCell ref="CL2:CR2"/>
    <mergeCell ref="CS2:CY2"/>
    <mergeCell ref="CZ2:DF2"/>
    <mergeCell ref="DG2:DM2"/>
    <mergeCell ref="AV2:BB2"/>
    <mergeCell ref="BC2:BI2"/>
    <mergeCell ref="BJ2:BP2"/>
    <mergeCell ref="BQ2:BW2"/>
    <mergeCell ref="BX2:CD2"/>
    <mergeCell ref="CE2:CK2"/>
    <mergeCell ref="DG1:DM1"/>
    <mergeCell ref="DN1:DT1"/>
    <mergeCell ref="DU1:EA1"/>
    <mergeCell ref="EB1:EH1"/>
    <mergeCell ref="F2:L2"/>
    <mergeCell ref="M2:S2"/>
    <mergeCell ref="T2:Z2"/>
    <mergeCell ref="AA2:AG2"/>
    <mergeCell ref="AH2:AN2"/>
    <mergeCell ref="AO2:AU2"/>
    <mergeCell ref="BQ1:BW1"/>
    <mergeCell ref="BX1:CD1"/>
    <mergeCell ref="CE1:CK1"/>
    <mergeCell ref="CL1:CR1"/>
    <mergeCell ref="CS1:CY1"/>
    <mergeCell ref="CZ1:DF1"/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EI1:EO1"/>
    <mergeCell ref="EP1:EV1"/>
    <mergeCell ref="EW1:FC1"/>
    <mergeCell ref="EI2:EO2"/>
    <mergeCell ref="EP2:EV2"/>
    <mergeCell ref="EW2:FC2"/>
  </mergeCells>
  <conditionalFormatting sqref="F11:DT12 S8:DT10 F8:Q10">
    <cfRule type="cellIs" dxfId="465" priority="37" stopIfTrue="1" operator="equal">
      <formula>1</formula>
    </cfRule>
  </conditionalFormatting>
  <conditionalFormatting sqref="F16:DT17">
    <cfRule type="cellIs" dxfId="464" priority="39" stopIfTrue="1" operator="equal">
      <formula>1</formula>
    </cfRule>
  </conditionalFormatting>
  <conditionalFormatting sqref="F31:FC31">
    <cfRule type="cellIs" dxfId="463" priority="44" stopIfTrue="1" operator="equal">
      <formula>1</formula>
    </cfRule>
  </conditionalFormatting>
  <conditionalFormatting sqref="F27:FC27">
    <cfRule type="cellIs" dxfId="462" priority="43" stopIfTrue="1" operator="equal">
      <formula>1</formula>
    </cfRule>
  </conditionalFormatting>
  <conditionalFormatting sqref="F19:FC19 F21:FC22">
    <cfRule type="cellIs" dxfId="461" priority="40" stopIfTrue="1" operator="equal">
      <formula>1</formula>
    </cfRule>
  </conditionalFormatting>
  <conditionalFormatting sqref="F24:DT25">
    <cfRule type="cellIs" dxfId="460" priority="42" stopIfTrue="1" operator="equal">
      <formula>1</formula>
    </cfRule>
  </conditionalFormatting>
  <conditionalFormatting sqref="F33:FC33">
    <cfRule type="cellIs" dxfId="459" priority="45" stopIfTrue="1" operator="equal">
      <formula>1</formula>
    </cfRule>
  </conditionalFormatting>
  <conditionalFormatting sqref="F35:FC35">
    <cfRule type="cellIs" dxfId="458" priority="46" stopIfTrue="1" operator="equal">
      <formula>1</formula>
    </cfRule>
  </conditionalFormatting>
  <conditionalFormatting sqref="F23:FC23">
    <cfRule type="cellIs" dxfId="457" priority="41" stopIfTrue="1" operator="equal">
      <formula>1</formula>
    </cfRule>
  </conditionalFormatting>
  <conditionalFormatting sqref="F13:DT15">
    <cfRule type="cellIs" dxfId="456" priority="38" stopIfTrue="1" operator="equal">
      <formula>1</formula>
    </cfRule>
  </conditionalFormatting>
  <conditionalFormatting sqref="F11:DT17 S8:DT10 F8:Q10 DU8:FC17 F31:FC35 F21:FC28 F19:FC19">
    <cfRule type="containsErrors" dxfId="455" priority="36" stopIfTrue="1">
      <formula>ISERROR(F8)</formula>
    </cfRule>
  </conditionalFormatting>
  <conditionalFormatting sqref="R8:R10">
    <cfRule type="cellIs" dxfId="454" priority="35" stopIfTrue="1" operator="equal">
      <formula>1</formula>
    </cfRule>
    <cfRule type="containsErrors" dxfId="453" priority="34" stopIfTrue="1">
      <formula>ISERROR(R8)</formula>
    </cfRule>
  </conditionalFormatting>
  <conditionalFormatting sqref="A24">
    <cfRule type="cellIs" dxfId="452" priority="33" operator="lessThan">
      <formula>TODAY()</formula>
    </cfRule>
  </conditionalFormatting>
  <conditionalFormatting sqref="F37:FC37">
    <cfRule type="cellIs" dxfId="451" priority="32" stopIfTrue="1" operator="equal">
      <formula>1</formula>
    </cfRule>
    <cfRule type="containsErrors" dxfId="450" priority="31" stopIfTrue="1">
      <formula>ISERROR(F37)</formula>
    </cfRule>
  </conditionalFormatting>
  <conditionalFormatting sqref="F29:FC29">
    <cfRule type="cellIs" dxfId="449" priority="30" stopIfTrue="1" operator="equal">
      <formula>1</formula>
    </cfRule>
  </conditionalFormatting>
  <conditionalFormatting sqref="F29:DT30">
    <cfRule type="containsErrors" dxfId="448" priority="29" stopIfTrue="1">
      <formula>ISERROR(F29)</formula>
    </cfRule>
  </conditionalFormatting>
  <conditionalFormatting sqref="F20:FC20">
    <cfRule type="cellIs" dxfId="447" priority="28" stopIfTrue="1" operator="equal">
      <formula>1</formula>
    </cfRule>
    <cfRule type="containsErrors" dxfId="446" priority="27" stopIfTrue="1">
      <formula>ISERROR(F20)</formula>
    </cfRule>
  </conditionalFormatting>
  <conditionalFormatting sqref="F18:FC18">
    <cfRule type="cellIs" dxfId="445" priority="26" stopIfTrue="1" operator="equal">
      <formula>1</formula>
    </cfRule>
    <cfRule type="containsErrors" dxfId="444" priority="25" stopIfTrue="1">
      <formula>ISERROR(F18)</formula>
    </cfRule>
  </conditionalFormatting>
  <conditionalFormatting sqref="G40:FC40">
    <cfRule type="cellIs" dxfId="443" priority="24" stopIfTrue="1" operator="equal">
      <formula>1</formula>
    </cfRule>
    <cfRule type="containsErrors" dxfId="442" priority="23" stopIfTrue="1">
      <formula>ISERROR(G40)</formula>
    </cfRule>
  </conditionalFormatting>
  <conditionalFormatting sqref="F40">
    <cfRule type="cellIs" dxfId="441" priority="22" stopIfTrue="1" operator="equal">
      <formula>1</formula>
    </cfRule>
    <cfRule type="containsErrors" dxfId="440" priority="21" stopIfTrue="1">
      <formula>ISERROR(F40)</formula>
    </cfRule>
  </conditionalFormatting>
  <conditionalFormatting sqref="DU8:EH12">
    <cfRule type="cellIs" dxfId="439" priority="17" stopIfTrue="1" operator="equal">
      <formula>1</formula>
    </cfRule>
  </conditionalFormatting>
  <conditionalFormatting sqref="DU16:EH17">
    <cfRule type="cellIs" dxfId="438" priority="19" stopIfTrue="1" operator="equal">
      <formula>1</formula>
    </cfRule>
  </conditionalFormatting>
  <conditionalFormatting sqref="DU24:EH25">
    <cfRule type="cellIs" dxfId="437" priority="20" stopIfTrue="1" operator="equal">
      <formula>1</formula>
    </cfRule>
  </conditionalFormatting>
  <conditionalFormatting sqref="DU13:EH15">
    <cfRule type="cellIs" dxfId="436" priority="18" stopIfTrue="1" operator="equal">
      <formula>1</formula>
    </cfRule>
  </conditionalFormatting>
  <conditionalFormatting sqref="DU29:EH30">
    <cfRule type="containsErrors" dxfId="435" priority="16" stopIfTrue="1">
      <formula>ISERROR(DU29)</formula>
    </cfRule>
  </conditionalFormatting>
  <conditionalFormatting sqref="EI8:FC12">
    <cfRule type="cellIs" dxfId="434" priority="2" stopIfTrue="1" operator="equal">
      <formula>1</formula>
    </cfRule>
  </conditionalFormatting>
  <conditionalFormatting sqref="EI16:FC17">
    <cfRule type="cellIs" dxfId="433" priority="4" stopIfTrue="1" operator="equal">
      <formula>1</formula>
    </cfRule>
  </conditionalFormatting>
  <conditionalFormatting sqref="EI24:FC25">
    <cfRule type="cellIs" dxfId="432" priority="5" stopIfTrue="1" operator="equal">
      <formula>1</formula>
    </cfRule>
  </conditionalFormatting>
  <conditionalFormatting sqref="EI13:FC15">
    <cfRule type="cellIs" dxfId="431" priority="3" stopIfTrue="1" operator="equal">
      <formula>1</formula>
    </cfRule>
  </conditionalFormatting>
  <conditionalFormatting sqref="EI29:FC30">
    <cfRule type="containsErrors" dxfId="430" priority="1" stopIfTrue="1">
      <formula>ISERROR(EI29)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7030A0"/>
  </sheetPr>
  <dimension ref="A1:BE400"/>
  <sheetViews>
    <sheetView topLeftCell="R1" zoomScale="85" zoomScaleNormal="85" workbookViewId="0">
      <pane ySplit="4" topLeftCell="A5" activePane="bottomLeft" state="frozen"/>
      <selection activeCell="I42" sqref="I42"/>
      <selection pane="bottomLeft" activeCell="AC5" sqref="AC5"/>
    </sheetView>
  </sheetViews>
  <sheetFormatPr baseColWidth="10" defaultColWidth="10.44140625" defaultRowHeight="14.4" outlineLevelCol="1"/>
  <cols>
    <col min="1" max="1" width="10.44140625" hidden="1" customWidth="1" outlineLevel="1"/>
    <col min="2" max="2" width="28" hidden="1" customWidth="1" outlineLevel="1"/>
    <col min="3" max="3" width="30.5546875" hidden="1" customWidth="1" outlineLevel="1"/>
    <col min="4" max="4" width="21" hidden="1" customWidth="1" outlineLevel="1"/>
    <col min="5" max="5" width="24.44140625" hidden="1" customWidth="1" outlineLevel="1"/>
    <col min="6" max="6" width="21.44140625" hidden="1" customWidth="1" outlineLevel="1"/>
    <col min="7" max="7" width="27.5546875" hidden="1" customWidth="1" outlineLevel="1"/>
    <col min="8" max="8" width="27.44140625" hidden="1" customWidth="1" outlineLevel="1"/>
    <col min="9" max="9" width="39.5546875" customWidth="1" collapsed="1"/>
    <col min="10" max="10" width="12.6640625" style="48" bestFit="1" customWidth="1"/>
    <col min="11" max="11" width="10.44140625" customWidth="1"/>
    <col min="12" max="12" width="15.44140625" customWidth="1"/>
    <col min="13" max="13" width="12.44140625" style="475" customWidth="1" outlineLevel="1"/>
    <col min="14" max="14" width="10.44140625" customWidth="1" outlineLevel="1"/>
    <col min="15" max="15" width="20.5546875" style="48" customWidth="1"/>
    <col min="16" max="16" width="15.44140625" style="475" customWidth="1" outlineLevel="1"/>
    <col min="17" max="23" width="10.44140625" customWidth="1" outlineLevel="1"/>
    <col min="24" max="24" width="18" customWidth="1"/>
    <col min="25" max="25" width="12.5546875" style="475" customWidth="1" outlineLevel="1"/>
    <col min="26" max="26" width="10.44140625" customWidth="1"/>
    <col min="27" max="27" width="10.44140625" customWidth="1" outlineLevel="1"/>
    <col min="28" max="28" width="12.109375" bestFit="1" customWidth="1" outlineLevel="1"/>
    <col min="29" max="36" width="10.44140625" customWidth="1" outlineLevel="1"/>
    <col min="37" max="37" width="9.5546875" customWidth="1" outlineLevel="1"/>
    <col min="38" max="38" width="10.44140625" customWidth="1"/>
    <col min="39" max="39" width="13.44140625" style="476" customWidth="1" outlineLevel="1"/>
    <col min="40" max="41" width="10.44140625" style="1" customWidth="1" outlineLevel="1"/>
    <col min="42" max="42" width="10.44140625" customWidth="1" outlineLevel="1"/>
    <col min="43" max="43" width="15.44140625" customWidth="1" outlineLevel="1"/>
    <col min="44" max="44" width="10.44140625" customWidth="1" outlineLevel="1" collapsed="1"/>
    <col min="45" max="46" width="10.44140625" customWidth="1" outlineLevel="1"/>
    <col min="47" max="49" width="10.44140625" customWidth="1"/>
    <col min="50" max="50" width="15.6640625" bestFit="1" customWidth="1"/>
    <col min="51" max="51" width="13.109375" style="338" customWidth="1"/>
    <col min="52" max="52" width="10.44140625" customWidth="1"/>
    <col min="53" max="53" width="15" customWidth="1"/>
    <col min="54" max="56" width="17.109375" customWidth="1"/>
    <col min="57" max="57" width="10.44140625" customWidth="1"/>
  </cols>
  <sheetData>
    <row r="1" spans="2:57" s="109" customFormat="1" ht="29.1" hidden="1" customHeight="1" thickBot="1">
      <c r="B1" s="594" t="s">
        <v>72</v>
      </c>
      <c r="C1" s="584"/>
      <c r="D1" s="584"/>
      <c r="E1" s="584"/>
      <c r="F1" s="584"/>
      <c r="G1" s="584"/>
      <c r="H1" s="585"/>
      <c r="I1" s="595" t="s">
        <v>73</v>
      </c>
      <c r="J1" s="596"/>
      <c r="K1" s="583" t="s">
        <v>74</v>
      </c>
      <c r="L1" s="584"/>
      <c r="M1" s="584"/>
      <c r="N1" s="585"/>
      <c r="O1" s="592" t="s">
        <v>75</v>
      </c>
      <c r="P1" s="567"/>
      <c r="Q1" s="567"/>
      <c r="R1" s="567"/>
      <c r="S1" s="567"/>
      <c r="T1" s="567"/>
      <c r="U1" s="567"/>
      <c r="V1" s="567"/>
      <c r="W1" s="567"/>
      <c r="X1" s="567"/>
      <c r="Y1" s="568"/>
      <c r="Z1" s="589" t="s">
        <v>76</v>
      </c>
      <c r="AA1" s="584"/>
      <c r="AB1" s="584"/>
      <c r="AC1" s="584"/>
      <c r="AD1" s="584"/>
      <c r="AE1" s="584"/>
      <c r="AF1" s="584"/>
      <c r="AG1" s="584"/>
      <c r="AH1" s="584"/>
      <c r="AI1" s="584"/>
      <c r="AJ1" s="61"/>
      <c r="AK1" s="591" t="s">
        <v>77</v>
      </c>
      <c r="AL1" s="584"/>
      <c r="AM1" s="584"/>
      <c r="AN1" s="584"/>
      <c r="AO1" s="584"/>
      <c r="AP1" s="584"/>
      <c r="AQ1" s="584"/>
      <c r="AR1" s="593" t="s">
        <v>78</v>
      </c>
      <c r="AS1" s="584"/>
      <c r="AT1" s="584"/>
      <c r="AU1" s="584"/>
      <c r="AV1" s="584"/>
      <c r="AW1" s="585"/>
      <c r="AX1" s="578"/>
      <c r="AY1" s="337"/>
    </row>
    <row r="2" spans="2:57" ht="16.5" hidden="1" customHeight="1" thickBot="1">
      <c r="B2" s="110"/>
      <c r="C2" s="63"/>
      <c r="D2" s="9"/>
      <c r="E2" s="9"/>
      <c r="F2" s="9"/>
      <c r="G2" s="9"/>
      <c r="H2" s="74"/>
      <c r="I2" s="597"/>
      <c r="J2" s="585"/>
      <c r="K2" s="586" t="s">
        <v>79</v>
      </c>
      <c r="L2" s="584"/>
      <c r="M2" s="584"/>
      <c r="N2" s="587"/>
      <c r="O2" s="580" t="s">
        <v>75</v>
      </c>
      <c r="P2" s="581"/>
      <c r="Q2" s="581"/>
      <c r="R2" s="582"/>
      <c r="S2" s="580" t="s">
        <v>75</v>
      </c>
      <c r="T2" s="581"/>
      <c r="U2" s="581"/>
      <c r="V2" s="582"/>
      <c r="W2" s="580" t="s">
        <v>80</v>
      </c>
      <c r="X2" s="581"/>
      <c r="Y2" s="582"/>
      <c r="Z2" s="580" t="s">
        <v>81</v>
      </c>
      <c r="AA2" s="581"/>
      <c r="AB2" s="581"/>
      <c r="AC2" s="581"/>
      <c r="AD2" s="581"/>
      <c r="AE2" s="581"/>
      <c r="AF2" s="581"/>
      <c r="AG2" s="581"/>
      <c r="AH2" s="581"/>
      <c r="AI2" s="581"/>
      <c r="AJ2" s="582"/>
      <c r="AK2" s="580" t="s">
        <v>82</v>
      </c>
      <c r="AL2" s="581"/>
      <c r="AM2" s="581"/>
      <c r="AN2" s="581"/>
      <c r="AO2" s="581"/>
      <c r="AP2" s="582"/>
      <c r="AQ2" s="588"/>
      <c r="AR2" s="587"/>
      <c r="AS2" s="590" t="s">
        <v>83</v>
      </c>
      <c r="AT2" s="584"/>
      <c r="AU2" s="584"/>
      <c r="AV2" s="587"/>
      <c r="AW2" s="91"/>
      <c r="AX2" s="579"/>
    </row>
    <row r="3" spans="2:57" ht="15.75" hidden="1" customHeight="1" thickBot="1">
      <c r="B3" s="329" t="s">
        <v>84</v>
      </c>
      <c r="C3" s="598" t="s">
        <v>85</v>
      </c>
      <c r="D3" s="599"/>
      <c r="E3" s="330" t="s">
        <v>86</v>
      </c>
      <c r="F3" s="331" t="s">
        <v>87</v>
      </c>
      <c r="G3" s="332" t="s">
        <v>88</v>
      </c>
      <c r="H3" s="333" t="s">
        <v>89</v>
      </c>
      <c r="I3" s="111">
        <v>1</v>
      </c>
      <c r="J3" s="111">
        <v>2</v>
      </c>
      <c r="K3" s="111">
        <v>3</v>
      </c>
      <c r="L3" s="111">
        <v>4</v>
      </c>
      <c r="M3" s="111">
        <v>5</v>
      </c>
      <c r="N3" s="111">
        <v>6</v>
      </c>
      <c r="O3" s="111">
        <v>7</v>
      </c>
      <c r="P3" s="111">
        <v>8</v>
      </c>
      <c r="Q3" s="111">
        <v>9</v>
      </c>
      <c r="R3" s="111">
        <v>10</v>
      </c>
      <c r="S3" s="111">
        <v>11</v>
      </c>
      <c r="T3" s="111">
        <v>12</v>
      </c>
      <c r="U3" s="111">
        <v>13</v>
      </c>
      <c r="V3" s="111">
        <v>14</v>
      </c>
      <c r="W3" s="111">
        <v>15</v>
      </c>
      <c r="X3" s="111">
        <v>16</v>
      </c>
      <c r="Y3" s="111">
        <v>17</v>
      </c>
      <c r="Z3" s="111">
        <v>18</v>
      </c>
      <c r="AA3" s="111">
        <v>19</v>
      </c>
      <c r="AB3" s="111">
        <v>20</v>
      </c>
      <c r="AC3" s="111">
        <v>21</v>
      </c>
      <c r="AD3" s="111">
        <v>22</v>
      </c>
      <c r="AE3" s="111"/>
      <c r="AF3" s="111">
        <v>23</v>
      </c>
      <c r="AG3" s="111">
        <v>24</v>
      </c>
      <c r="AH3" s="111">
        <v>25</v>
      </c>
      <c r="AI3" s="111">
        <v>26</v>
      </c>
      <c r="AJ3" s="131">
        <v>27</v>
      </c>
      <c r="AK3" s="111">
        <v>28</v>
      </c>
      <c r="AL3" s="111">
        <v>29</v>
      </c>
      <c r="AM3" s="111">
        <v>30</v>
      </c>
      <c r="AN3" s="111">
        <v>31</v>
      </c>
      <c r="AO3" s="111">
        <v>32</v>
      </c>
      <c r="AP3" s="111">
        <v>33</v>
      </c>
      <c r="AQ3" s="111">
        <v>34</v>
      </c>
      <c r="AR3" s="111">
        <v>35</v>
      </c>
      <c r="AS3" s="111">
        <v>36</v>
      </c>
      <c r="AT3" s="111">
        <v>37</v>
      </c>
      <c r="AU3" s="111">
        <v>38</v>
      </c>
      <c r="AV3" s="111">
        <v>39</v>
      </c>
      <c r="AW3" s="111">
        <v>40</v>
      </c>
      <c r="AX3" s="111">
        <v>41</v>
      </c>
    </row>
    <row r="4" spans="2:57" ht="48.6" customHeight="1" thickBot="1">
      <c r="B4" s="334" t="s">
        <v>90</v>
      </c>
      <c r="C4" s="335" t="s">
        <v>91</v>
      </c>
      <c r="D4" s="335" t="s">
        <v>92</v>
      </c>
      <c r="E4" s="335" t="s">
        <v>93</v>
      </c>
      <c r="F4" s="335" t="s">
        <v>94</v>
      </c>
      <c r="G4" s="335" t="s">
        <v>95</v>
      </c>
      <c r="H4" s="336" t="s">
        <v>96</v>
      </c>
      <c r="I4" s="112" t="s">
        <v>97</v>
      </c>
      <c r="J4" s="113" t="s">
        <v>98</v>
      </c>
      <c r="K4" s="88" t="s">
        <v>99</v>
      </c>
      <c r="L4" s="359" t="s">
        <v>100</v>
      </c>
      <c r="M4" s="477" t="s">
        <v>101</v>
      </c>
      <c r="N4" s="85" t="s">
        <v>41</v>
      </c>
      <c r="O4" s="360" t="s">
        <v>102</v>
      </c>
      <c r="P4" s="477" t="s">
        <v>103</v>
      </c>
      <c r="Q4" s="84" t="s">
        <v>104</v>
      </c>
      <c r="R4" s="85" t="s">
        <v>105</v>
      </c>
      <c r="S4" s="86" t="s">
        <v>106</v>
      </c>
      <c r="T4" s="84" t="s">
        <v>42</v>
      </c>
      <c r="U4" s="84" t="s">
        <v>107</v>
      </c>
      <c r="V4" s="85" t="s">
        <v>43</v>
      </c>
      <c r="W4" s="86" t="s">
        <v>44</v>
      </c>
      <c r="X4" s="359" t="s">
        <v>108</v>
      </c>
      <c r="Y4" s="478" t="s">
        <v>109</v>
      </c>
      <c r="Z4" s="627" t="s">
        <v>71</v>
      </c>
      <c r="AA4" s="85" t="s">
        <v>110</v>
      </c>
      <c r="AB4" s="628" t="s">
        <v>111</v>
      </c>
      <c r="AC4" s="85" t="s">
        <v>112</v>
      </c>
      <c r="AD4" s="85" t="s">
        <v>113</v>
      </c>
      <c r="AE4" s="85" t="s">
        <v>114</v>
      </c>
      <c r="AF4" s="85" t="s">
        <v>115</v>
      </c>
      <c r="AG4" s="85" t="s">
        <v>116</v>
      </c>
      <c r="AH4" s="85" t="s">
        <v>117</v>
      </c>
      <c r="AI4" s="85" t="s">
        <v>118</v>
      </c>
      <c r="AJ4" s="132" t="s">
        <v>119</v>
      </c>
      <c r="AK4" s="133" t="s">
        <v>120</v>
      </c>
      <c r="AL4" s="362" t="s">
        <v>121</v>
      </c>
      <c r="AM4" s="479" t="s">
        <v>122</v>
      </c>
      <c r="AN4" s="85" t="s">
        <v>123</v>
      </c>
      <c r="AO4" s="85" t="s">
        <v>124</v>
      </c>
      <c r="AP4" s="85" t="s">
        <v>125</v>
      </c>
      <c r="AQ4" s="85" t="s">
        <v>126</v>
      </c>
      <c r="AR4" s="85" t="s">
        <v>127</v>
      </c>
      <c r="AS4" s="85" t="s">
        <v>56</v>
      </c>
      <c r="AT4" s="85" t="s">
        <v>128</v>
      </c>
      <c r="AU4" s="85" t="s">
        <v>59</v>
      </c>
      <c r="AV4" s="85" t="s">
        <v>129</v>
      </c>
      <c r="AW4" s="85" t="s">
        <v>61</v>
      </c>
      <c r="AX4" s="85" t="s">
        <v>130</v>
      </c>
      <c r="AY4" s="322" t="s">
        <v>131</v>
      </c>
      <c r="AZ4" s="323" t="s">
        <v>132</v>
      </c>
      <c r="BA4" s="324" t="s">
        <v>133</v>
      </c>
      <c r="BB4" s="325" t="s">
        <v>134</v>
      </c>
      <c r="BC4" s="326" t="s">
        <v>135</v>
      </c>
      <c r="BD4" s="327" t="s">
        <v>136</v>
      </c>
      <c r="BE4" s="143" t="s">
        <v>137</v>
      </c>
    </row>
    <row r="5" spans="2:57">
      <c r="B5" s="65" t="str">
        <f>_xlfn.CONCAT(Tableau1[[#This Row],[Name ILN]],"-",Tableau1[[#This Row],[Name Shipper]],"-",Tableau1[[#This Row],[Name Site]])</f>
        <v>ILN FR-ILN FR-CORMECANICA</v>
      </c>
      <c r="C5" s="65" t="str">
        <f ca="1">_xlfn.CONCAT(Tableau1[[#This Row],[Compte ILN]],"-",Tableau1[[#This Row],[Compte Shipper]],"-",Tableau1[[#This Row],[POL]],"-",Tableau1[[#This Row],[Compte Consignee]])</f>
        <v>92000100-92000100-FRLEH-90009500</v>
      </c>
      <c r="D5" s="64" t="str">
        <f ca="1">_xlfn.CONCAT(Tableau1[[#This Row],[Compte ILN]],"-",Tableau1[[#This Row],[Compte Shipper]],"-",Tableau1[[#This Row],[POL]])</f>
        <v>92000100-92000100-FRLEH</v>
      </c>
      <c r="E5" s="396" t="str">
        <f ca="1">_xlfn.CONCAT(Tableau1[[#This Row],[POL]],"-",Tableau1[[#This Row],[Carrier]],"-",Tableau1[[#This Row],[POD]])</f>
        <v>FRLEH-Hapag Lloyd-CLSAI</v>
      </c>
      <c r="F5" s="64" t="str">
        <f>_xlfn.CONCAT(Tableau1[[#This Row],[ID]],"-","Actif")</f>
        <v>60-Actif</v>
      </c>
      <c r="G5" s="64" t="str">
        <f ca="1">_xlfn.CONCAT(Tableau1[[#This Row],[POD]],"-",Tableau1[[#This Row],[Code PFI]],"-",Tableau1[[#This Row],[Compte Consignee]])</f>
        <v>CLSAI---90009500</v>
      </c>
      <c r="H5" s="396" t="str">
        <f ca="1">_xlfn.CONCAT(IF(Tableau1[[#This Row],[Name ILN]]=Tableau1[[#This Row],[Name Shipper]],Tableau1[[#This Row],[Name ILN]],Tableau1[[#This Row],[Compte Shipper]]),Tableau1[[#This Row],[POL]],Tableau1[[#This Row],[Name Site]])</f>
        <v>ILN FRFRLEHCORMECANICA</v>
      </c>
      <c r="I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FR-ILN FR-60-FRLEH-Hapag Lloyd-CLSAI-</v>
      </c>
      <c r="J5" s="397" t="str">
        <f ca="1">IF(COUNTIF(I:I,Tableau1[[#This Row],[Plant-ILN-shipper-POL-Carrier-POD-PFI]])=1,"Non","Oui")</f>
        <v>Non</v>
      </c>
      <c r="K5" s="398" t="str">
        <f>VLOOKUP(Tableau1[[#This Row],[Name Site]],Plant_AILN!A:D,4,FALSE)</f>
        <v>CHILE</v>
      </c>
      <c r="L5" s="285" t="s">
        <v>138</v>
      </c>
      <c r="M5" s="480">
        <f>VLOOKUP(Tableau1[[#This Row],[Name Site]],Plant_AILN!A:C,3,FALSE)</f>
        <v>90009500</v>
      </c>
      <c r="N5" s="55">
        <f>VLOOKUP(Tableau1[[#This Row],[Compte Consignee]],Order!C:D,2,FALSE)</f>
        <v>7</v>
      </c>
      <c r="O5" s="114" t="s">
        <v>1</v>
      </c>
      <c r="P5" s="481">
        <f>VLOOKUP(Tableau1[[#This Row],[Name ILN]],Plant_AILN!F:G,2,FALSE)</f>
        <v>92000100</v>
      </c>
      <c r="Q5" s="50">
        <f>VLOOKUP(Tableau1[[#This Row],[Compte ILN]],'DATA ILN'!D:I,6,FALSE)</f>
        <v>9</v>
      </c>
      <c r="R5" s="50">
        <f ca="1">IFERROR(VLOOKUP(Tableau1[[#This Row],[Key(Compte ILN - shipper - POL - plant)]],'DATA ILN'!A:J,10,FALSE),VLOOKUP(Tableau1[[#This Row],[Key(Compte ILN - shipper - POL)]],'DATA ILN'!B:J,9,FALSE))</f>
        <v>7</v>
      </c>
      <c r="S5" s="50">
        <f ca="1">IFERROR(VLOOKUP(Tableau1[[#This Row],[Key(Compte ILN - shipper - POL - plant)]],'DATA ILN'!A:K,11,FALSE),VLOOKUP(Tableau1[[#This Row],[Key(Compte ILN - shipper - POL)]],'DATA ILN'!B:K,10,FALSE))</f>
        <v>5</v>
      </c>
      <c r="T5" s="50">
        <f ca="1">IFERROR(VLOOKUP(Tableau1[[#This Row],[Key(Compte ILN - shipper - POL - plant)]],'DATA ILN'!A:L,12,FALSE),VLOOKUP(Tableau1[[#This Row],[Key(Compte ILN - shipper - POL)]],'DATA ILN'!B:L,11,FALSE))</f>
        <v>7</v>
      </c>
      <c r="U5" s="50">
        <f ca="1">Tableau1[[#This Row],[Day ILN Order]]+Tableau1[[#This Row],[Delivery time to ILN/Shipper]]-1</f>
        <v>15</v>
      </c>
      <c r="V5" s="50">
        <f ca="1">IFERROR(VLOOKUP(Tableau1[[#This Row],[Key(Compte ILN - shipper - POL - plant)]],'DATA ILN'!A:N,14,FALSE),VLOOKUP(Tableau1[[#This Row],[Key(Compte ILN - shipper - POL)]],'DATA ILN'!B:N,13,FALSE))</f>
        <v>1</v>
      </c>
      <c r="W5" s="53">
        <f ca="1">IFERROR(VLOOKUP(Tableau1[[#This Row],[Key(Compte ILN - shipper - POL - plant)]],'DATA ILN'!A:P,16,FALSE),VLOOKUP(Tableau1[[#This Row],[Key(Compte ILN - shipper - POL)]],'DATA ILN'!B:P,15,FALSE))</f>
        <v>4</v>
      </c>
      <c r="X5" s="283" t="s">
        <v>1</v>
      </c>
      <c r="Y5" s="482">
        <f>IFERROR(VLOOKUP(Tableau1[[#This Row],[Name Shipper]],Plant_AILN!L:M,2,FALSE),0)</f>
        <v>92000100</v>
      </c>
      <c r="Z5" s="358">
        <v>60</v>
      </c>
      <c r="AA5" s="353" t="str">
        <f ca="1">VLOOKUP(Tableau1[[#This Row],[Key(ID-Actif)]],'DATA BTO'!A:N,5,FALSE)</f>
        <v>FRLEH</v>
      </c>
      <c r="AB5" s="3" t="str">
        <f ca="1">VLOOKUP(Tableau1[[#This Row],[Key(ID-Actif)]],'DATA BTO'!A:N,6,FALSE)</f>
        <v>Hapag Lloyd</v>
      </c>
      <c r="AC5" s="50">
        <f ca="1">VLOOKUP(Tableau1[[#This Row],[Key(ID-Actif)]],'DATA BTO'!A:N,7,FALSE)</f>
        <v>5</v>
      </c>
      <c r="AD5" s="50">
        <f ca="1">VLOOKUP(Tableau1[[#This Row],[Key(ID-Actif)]],'DATA BTO'!A:N,8,FALSE)</f>
        <v>7</v>
      </c>
      <c r="AE5" s="387">
        <f ca="1">IF(Tableau1[[#This Row],[First Day to POL]]&lt;=Tableau1[[#This Row],[Day Cut Off]],Tableau1[[#This Row],[Day ETD]],Tableau1[[#This Row],[Day ETD]]+7)</f>
        <v>7</v>
      </c>
      <c r="AF5" s="50">
        <f ca="1">VLOOKUP(Tableau1[[#This Row],[Key(ID-Actif)]],'DATA BTO'!A:N,9,FALSE)</f>
        <v>30</v>
      </c>
      <c r="AG5" s="3" t="str">
        <f ca="1">VLOOKUP(Tableau1[[#This Row],[Key(ID-Actif)]],'DATA BTO'!A:N,10,FALSE)</f>
        <v>CLSAI</v>
      </c>
      <c r="AH5" s="3">
        <f ca="1">VLOOKUP(Tableau1[[#This Row],[Key(ID-Actif)]],'DATA BTO'!A:N,11,FALSE)</f>
        <v>3</v>
      </c>
      <c r="AI5" s="50">
        <f ca="1">VLOOKUP(Tableau1[[#This Row],[Key(ID-Actif)]],'DATA BTO'!A:N,12,FALSE)</f>
        <v>0</v>
      </c>
      <c r="AJ5" s="53" t="str">
        <f ca="1">VLOOKUP(Tableau1[[#This Row],[Key(ID-Actif)]],'DATA BTO'!A:N,14,FALSE)</f>
        <v>Max</v>
      </c>
      <c r="AK5" s="54">
        <f ca="1">VLOOKUP(Tableau1[[#This Row],[Key(POD -PFI- Usine)]],'DATA Consignee'!A:F,6,FALSE)</f>
        <v>2</v>
      </c>
      <c r="AL5" s="125"/>
      <c r="AM5" s="483" t="str">
        <f>IF(Tableau1[[#This Row],[Name PFI/CDD]]="","-",VLOOKUP(Tableau1[[#This Row],[Name PFI/CDD]],Plant_AILN!I:J,2,FALSE))</f>
        <v>-</v>
      </c>
      <c r="AN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" s="2">
        <f ca="1">VLOOKUP(Tableau1[[#This Row],[Key(POD -PFI- Usine)]],'DATA Consignee'!A:J,10,FALSE)</f>
        <v>0</v>
      </c>
      <c r="AQ5" s="50">
        <f ca="1">VLOOKUP(Tableau1[[#This Row],[Key(POD -PFI- Usine)]],'DATA Consignee'!A:N,14,FALSE)</f>
        <v>2</v>
      </c>
      <c r="AR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5" s="50">
        <f ca="1">Tableau1[[#This Row],[Transit time]]+Tableau1[[#This Row],[Time for security]]+Tableau1[[#This Row],[Time for security2 buffer]]</f>
        <v>33</v>
      </c>
      <c r="AU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5" s="389">
        <f ca="1">Tableau1[[#This Row],[Leadtime SI2C]]+Tableau1[[#This Row],[First Receipt Days]]-Tableau1[[#This Row],[Day Customer Order]]+1</f>
        <v>64</v>
      </c>
      <c r="AW5" s="117">
        <f ca="1">IF(Tableau1[[#This Row],[Name ILN]]&lt;&gt;"SFK Freight Forwarder",Tableau1[[#This Row],[Cust. Leadtime]],Tableau1[[#This Row],[Leadtime SI2C]])</f>
        <v>64</v>
      </c>
      <c r="AX5" s="51" t="str">
        <f>VLOOKUP(Tableau1[[#This Row],[ID]],'DATA BTO'!B:P,15,FALSE)</f>
        <v>Renault &gt; Horse</v>
      </c>
      <c r="AY5" s="328">
        <f ca="1">IFERROR(VLOOKUP(Tableau1[[#This Row],[Key(ID-Actif)]],'DATA BTO'!A:N,4,FALSE),VLOOKUP(Tableau1[[#This Row],[ID]],'DATA BTO'!B:N,3,FALSE))</f>
        <v>46142</v>
      </c>
      <c r="AZ5" s="50" t="str">
        <f>IF(ISNUMBER(Tableau1[[#This Row],[Day Customer Order]]),"-","Please Check 'Name' information in 'Order' Sheet to make sure they have information")</f>
        <v>-</v>
      </c>
      <c r="BA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" s="50"/>
    </row>
    <row r="6" spans="2:57">
      <c r="B6" s="65" t="str">
        <f>_xlfn.CONCAT(Tableau1[[#This Row],[Name ILN]],"-",Tableau1[[#This Row],[Name Shipper]],"-",Tableau1[[#This Row],[Name Site]])</f>
        <v>ILN FR-ILN FR-Nissan Thailande</v>
      </c>
      <c r="C6" s="65" t="str">
        <f ca="1">_xlfn.CONCAT(Tableau1[[#This Row],[Compte ILN]],"-",Tableau1[[#This Row],[Compte Shipper]],"-",Tableau1[[#This Row],[POL]],"-",Tableau1[[#This Row],[Compte Consignee]])</f>
        <v>92000100-92000100-FRLEH-25048500</v>
      </c>
      <c r="D6" s="64" t="str">
        <f ca="1">_xlfn.CONCAT(Tableau1[[#This Row],[Compte ILN]],"-",Tableau1[[#This Row],[Compte Shipper]],"-",Tableau1[[#This Row],[POL]])</f>
        <v>92000100-92000100-FRLEH</v>
      </c>
      <c r="E6" s="396" t="str">
        <f ca="1">_xlfn.CONCAT(Tableau1[[#This Row],[POL]],"-",Tableau1[[#This Row],[Carrier]],"-",Tableau1[[#This Row],[POD]])</f>
        <v>FRLEH-Hapag Lloyd-THLCH</v>
      </c>
      <c r="F6" s="64" t="str">
        <f>_xlfn.CONCAT(Tableau1[[#This Row],[ID]],"-","Actif")</f>
        <v>83-Actif</v>
      </c>
      <c r="G6" s="64" t="str">
        <f ca="1">_xlfn.CONCAT(Tableau1[[#This Row],[POD]],"-",Tableau1[[#This Row],[Code PFI]],"-",Tableau1[[#This Row],[Compte Consignee]])</f>
        <v>THLCH---25048500</v>
      </c>
      <c r="H6" s="396" t="str">
        <f ca="1">_xlfn.CONCAT(IF(Tableau1[[#This Row],[Name ILN]]=Tableau1[[#This Row],[Name Shipper]],Tableau1[[#This Row],[Name ILN]],Tableau1[[#This Row],[Compte Shipper]]),Tableau1[[#This Row],[POL]],Tableau1[[#This Row],[Name Site]])</f>
        <v>ILN FRFRLEHNissan Thailande</v>
      </c>
      <c r="I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Nissan Thailande-ILN FR-ILN FR-83-FRLEH-Hapag Lloyd-THLCH-</v>
      </c>
      <c r="J6" s="397" t="str">
        <f ca="1">IF(COUNTIF(I:I,Tableau1[[#This Row],[Plant-ILN-shipper-POL-Carrier-POD-PFI]])=1,"Non","Oui")</f>
        <v>Non</v>
      </c>
      <c r="K6" s="398" t="str">
        <f>VLOOKUP(Tableau1[[#This Row],[Name Site]],Plant_AILN!A:D,4,FALSE)</f>
        <v>THAILAND</v>
      </c>
      <c r="L6" s="285" t="s">
        <v>139</v>
      </c>
      <c r="M6" s="480">
        <f>VLOOKUP(Tableau1[[#This Row],[Name Site]],Plant_AILN!A:C,3,FALSE)</f>
        <v>25048500</v>
      </c>
      <c r="N6" s="55">
        <f>VLOOKUP(Tableau1[[#This Row],[Compte Consignee]],Order!C:D,2,FALSE)</f>
        <v>7</v>
      </c>
      <c r="O6" s="114" t="s">
        <v>1</v>
      </c>
      <c r="P6" s="481">
        <f>VLOOKUP(Tableau1[[#This Row],[Name ILN]],Plant_AILN!F:G,2,FALSE)</f>
        <v>92000100</v>
      </c>
      <c r="Q6" s="50">
        <f>VLOOKUP(Tableau1[[#This Row],[Compte ILN]],'DATA ILN'!D:I,6,FALSE)</f>
        <v>9</v>
      </c>
      <c r="R6" s="50">
        <f ca="1">IFERROR(VLOOKUP(Tableau1[[#This Row],[Key(Compte ILN - shipper - POL - plant)]],'DATA ILN'!A:J,10,FALSE),VLOOKUP(Tableau1[[#This Row],[Key(Compte ILN - shipper - POL)]],'DATA ILN'!B:J,9,FALSE))</f>
        <v>7</v>
      </c>
      <c r="S6" s="50">
        <f ca="1">IFERROR(VLOOKUP(Tableau1[[#This Row],[Key(Compte ILN - shipper - POL - plant)]],'DATA ILN'!A:K,11,FALSE),VLOOKUP(Tableau1[[#This Row],[Key(Compte ILN - shipper - POL)]],'DATA ILN'!B:K,10,FALSE))</f>
        <v>5</v>
      </c>
      <c r="T6" s="50">
        <f ca="1">IFERROR(VLOOKUP(Tableau1[[#This Row],[Key(Compte ILN - shipper - POL - plant)]],'DATA ILN'!A:L,12,FALSE),VLOOKUP(Tableau1[[#This Row],[Key(Compte ILN - shipper - POL)]],'DATA ILN'!B:L,11,FALSE))</f>
        <v>7</v>
      </c>
      <c r="U6" s="50">
        <f ca="1">Tableau1[[#This Row],[Day ILN Order]]+Tableau1[[#This Row],[Delivery time to ILN/Shipper]]-1</f>
        <v>15</v>
      </c>
      <c r="V6" s="50">
        <f ca="1">IFERROR(VLOOKUP(Tableau1[[#This Row],[Key(Compte ILN - shipper - POL - plant)]],'DATA ILN'!A:N,14,FALSE),VLOOKUP(Tableau1[[#This Row],[Key(Compte ILN - shipper - POL)]],'DATA ILN'!B:N,13,FALSE))</f>
        <v>2</v>
      </c>
      <c r="W6" s="53">
        <f ca="1">IFERROR(VLOOKUP(Tableau1[[#This Row],[Key(Compte ILN - shipper - POL - plant)]],'DATA ILN'!A:P,16,FALSE),VLOOKUP(Tableau1[[#This Row],[Key(Compte ILN - shipper - POL)]],'DATA ILN'!B:P,15,FALSE))</f>
        <v>3</v>
      </c>
      <c r="X6" s="114" t="s">
        <v>1</v>
      </c>
      <c r="Y6" s="482">
        <f>IFERROR(VLOOKUP(Tableau1[[#This Row],[Name Shipper]],Plant_AILN!L:M,2,FALSE),0)</f>
        <v>92000100</v>
      </c>
      <c r="Z6" s="358">
        <v>83</v>
      </c>
      <c r="AA6" s="353" t="str">
        <f ca="1">VLOOKUP(Tableau1[[#This Row],[Key(ID-Actif)]],'DATA BTO'!A:N,5,FALSE)</f>
        <v>FRLEH</v>
      </c>
      <c r="AB6" s="3" t="str">
        <f ca="1">VLOOKUP(Tableau1[[#This Row],[Key(ID-Actif)]],'DATA BTO'!A:N,6,FALSE)</f>
        <v>Hapag Lloyd</v>
      </c>
      <c r="AC6" s="50">
        <f ca="1">VLOOKUP(Tableau1[[#This Row],[Key(ID-Actif)]],'DATA BTO'!A:N,7,FALSE)</f>
        <v>2</v>
      </c>
      <c r="AD6" s="50">
        <f ca="1">VLOOKUP(Tableau1[[#This Row],[Key(ID-Actif)]],'DATA BTO'!A:N,8,FALSE)</f>
        <v>5</v>
      </c>
      <c r="AE6" s="387">
        <f ca="1">IF(Tableau1[[#This Row],[First Day to POL]]&lt;=Tableau1[[#This Row],[Day Cut Off]],Tableau1[[#This Row],[Day ETD]],Tableau1[[#This Row],[Day ETD]]+7)</f>
        <v>12</v>
      </c>
      <c r="AF6" s="50">
        <f ca="1">VLOOKUP(Tableau1[[#This Row],[Key(ID-Actif)]],'DATA BTO'!A:N,9,FALSE)</f>
        <v>48</v>
      </c>
      <c r="AG6" s="3" t="str">
        <f ca="1">VLOOKUP(Tableau1[[#This Row],[Key(ID-Actif)]],'DATA BTO'!A:N,10,FALSE)</f>
        <v>THLCH</v>
      </c>
      <c r="AH6" s="3">
        <f ca="1">VLOOKUP(Tableau1[[#This Row],[Key(ID-Actif)]],'DATA BTO'!A:N,11,FALSE)</f>
        <v>3</v>
      </c>
      <c r="AI6" s="50">
        <f ca="1">VLOOKUP(Tableau1[[#This Row],[Key(ID-Actif)]],'DATA BTO'!A:N,12,FALSE)</f>
        <v>0</v>
      </c>
      <c r="AJ6" s="53" t="str">
        <f ca="1">VLOOKUP(Tableau1[[#This Row],[Key(ID-Actif)]],'DATA BTO'!A:N,14,FALSE)</f>
        <v>Max</v>
      </c>
      <c r="AK6" s="54">
        <f ca="1">VLOOKUP(Tableau1[[#This Row],[Key(POD -PFI- Usine)]],'DATA Consignee'!A:F,6,FALSE)</f>
        <v>4</v>
      </c>
      <c r="AL6" s="125"/>
      <c r="AM6" s="483" t="str">
        <f>IF(Tableau1[[#This Row],[Name PFI/CDD]]="","-",VLOOKUP(Tableau1[[#This Row],[Name PFI/CDD]],Plant_AILN!I:J,2,FALSE))</f>
        <v>-</v>
      </c>
      <c r="AN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" s="2">
        <f ca="1">VLOOKUP(Tableau1[[#This Row],[Key(POD -PFI- Usine)]],'DATA Consignee'!A:J,10,FALSE)</f>
        <v>0</v>
      </c>
      <c r="AQ6" s="50">
        <f ca="1">VLOOKUP(Tableau1[[#This Row],[Key(POD -PFI- Usine)]],'DATA Consignee'!A:N,14,FALSE)</f>
        <v>1</v>
      </c>
      <c r="AR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6" s="50">
        <f ca="1">Tableau1[[#This Row],[Transit time]]+Tableau1[[#This Row],[Time for security]]+Tableau1[[#This Row],[Time for security2 buffer]]</f>
        <v>51</v>
      </c>
      <c r="AU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6" s="389">
        <f ca="1">Tableau1[[#This Row],[Leadtime SI2C]]+Tableau1[[#This Row],[First Receipt Days]]-Tableau1[[#This Row],[Day Customer Order]]+1</f>
        <v>85</v>
      </c>
      <c r="AW6" s="117">
        <f ca="1">IF(Tableau1[[#This Row],[Name ILN]]&lt;&gt;"SFK Freight Forwarder",Tableau1[[#This Row],[Cust. Leadtime]],Tableau1[[#This Row],[Leadtime SI2C]])</f>
        <v>85</v>
      </c>
      <c r="AX6" s="51" t="str">
        <f>VLOOKUP(Tableau1[[#This Row],[ID]],'DATA BTO'!B:P,15,FALSE)</f>
        <v>Renault &gt; Nissan</v>
      </c>
      <c r="AY6" s="328">
        <f ca="1">IFERROR(VLOOKUP(Tableau1[[#This Row],[Key(ID-Actif)]],'DATA BTO'!A:N,4,FALSE),VLOOKUP(Tableau1[[#This Row],[ID]],'DATA BTO'!B:N,3,FALSE))</f>
        <v>46142</v>
      </c>
      <c r="AZ6" s="50" t="str">
        <f>IF(ISNUMBER(Tableau1[[#This Row],[Day Customer Order]]),"-","Please Check 'Name' information in 'Order' Sheet to make sure they have information")</f>
        <v>-</v>
      </c>
      <c r="BA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" s="50"/>
    </row>
    <row r="7" spans="2:57">
      <c r="B7" s="65" t="str">
        <f>_xlfn.CONCAT(Tableau1[[#This Row],[Name ILN]],"-",Tableau1[[#This Row],[Name Shipper]],"-",Tableau1[[#This Row],[Name Site]])</f>
        <v>ILN FR-ILN FR-Mexique CVC</v>
      </c>
      <c r="C7" s="65" t="str">
        <f ca="1">_xlfn.CONCAT(Tableau1[[#This Row],[Compte ILN]],"-",Tableau1[[#This Row],[Compte Shipper]],"-",Tableau1[[#This Row],[POL]],"-",Tableau1[[#This Row],[Compte Consignee]])</f>
        <v>92000100-92000100-FRLEH-90101300</v>
      </c>
      <c r="D7" s="64" t="str">
        <f ca="1">_xlfn.CONCAT(Tableau1[[#This Row],[Compte ILN]],"-",Tableau1[[#This Row],[Compte Shipper]],"-",Tableau1[[#This Row],[POL]])</f>
        <v>92000100-92000100-FRLEH</v>
      </c>
      <c r="E7" s="396" t="str">
        <f ca="1">_xlfn.CONCAT(Tableau1[[#This Row],[POL]],"-",Tableau1[[#This Row],[Carrier]],"-",Tableau1[[#This Row],[POD]])</f>
        <v>FRLEH-Hapag Lloyd-MXVER</v>
      </c>
      <c r="F7" s="64" t="str">
        <f>_xlfn.CONCAT(Tableau1[[#This Row],[ID]],"-","Actif")</f>
        <v>101-Actif</v>
      </c>
      <c r="G7" s="64" t="str">
        <f ca="1">_xlfn.CONCAT(Tableau1[[#This Row],[POD]],"-",Tableau1[[#This Row],[Code PFI]],"-",Tableau1[[#This Row],[Compte Consignee]])</f>
        <v>MXVER---90101300</v>
      </c>
      <c r="H7" s="396" t="str">
        <f ca="1">_xlfn.CONCAT(IF(Tableau1[[#This Row],[Name ILN]]=Tableau1[[#This Row],[Name Shipper]],Tableau1[[#This Row],[Name ILN]],Tableau1[[#This Row],[Compte Shipper]]),Tableau1[[#This Row],[POL]],Tableau1[[#This Row],[Name Site]])</f>
        <v>ILN FRFRLEHMexique CVC</v>
      </c>
      <c r="I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Mexique CVC-ILN FR-ILN FR-101-FRLEH-Hapag Lloyd-MXVER-</v>
      </c>
      <c r="J7" s="397" t="str">
        <f ca="1">IF(COUNTIF(I:I,Tableau1[[#This Row],[Plant-ILN-shipper-POL-Carrier-POD-PFI]])=1,"Non","Oui")</f>
        <v>Non</v>
      </c>
      <c r="K7" s="398" t="str">
        <f>VLOOKUP(Tableau1[[#This Row],[Name Site]],Plant_AILN!A:D,4,FALSE)</f>
        <v>MEXICO</v>
      </c>
      <c r="L7" s="285" t="s">
        <v>140</v>
      </c>
      <c r="M7" s="480">
        <f>VLOOKUP(Tableau1[[#This Row],[Name Site]],Plant_AILN!A:C,3,FALSE)</f>
        <v>90101300</v>
      </c>
      <c r="N7" s="55">
        <f>VLOOKUP(Tableau1[[#This Row],[Compte Consignee]],Order!C:D,2,FALSE)</f>
        <v>7</v>
      </c>
      <c r="O7" s="114" t="s">
        <v>1</v>
      </c>
      <c r="P7" s="481">
        <f>VLOOKUP(Tableau1[[#This Row],[Name ILN]],Plant_AILN!F:G,2,FALSE)</f>
        <v>92000100</v>
      </c>
      <c r="Q7" s="50">
        <f>VLOOKUP(Tableau1[[#This Row],[Compte ILN]],'DATA ILN'!D:I,6,FALSE)</f>
        <v>9</v>
      </c>
      <c r="R7" s="50">
        <f ca="1">IFERROR(VLOOKUP(Tableau1[[#This Row],[Key(Compte ILN - shipper - POL - plant)]],'DATA ILN'!A:J,10,FALSE),VLOOKUP(Tableau1[[#This Row],[Key(Compte ILN - shipper - POL)]],'DATA ILN'!B:J,9,FALSE))</f>
        <v>7</v>
      </c>
      <c r="S7" s="50">
        <f ca="1">IFERROR(VLOOKUP(Tableau1[[#This Row],[Key(Compte ILN - shipper - POL - plant)]],'DATA ILN'!A:K,11,FALSE),VLOOKUP(Tableau1[[#This Row],[Key(Compte ILN - shipper - POL)]],'DATA ILN'!B:K,10,FALSE))</f>
        <v>5</v>
      </c>
      <c r="T7" s="50">
        <f ca="1">IFERROR(VLOOKUP(Tableau1[[#This Row],[Key(Compte ILN - shipper - POL - plant)]],'DATA ILN'!A:L,12,FALSE),VLOOKUP(Tableau1[[#This Row],[Key(Compte ILN - shipper - POL)]],'DATA ILN'!B:L,11,FALSE))</f>
        <v>7</v>
      </c>
      <c r="U7" s="50">
        <f ca="1">Tableau1[[#This Row],[Day ILN Order]]+Tableau1[[#This Row],[Delivery time to ILN/Shipper]]-1</f>
        <v>15</v>
      </c>
      <c r="V7" s="50">
        <f ca="1">IFERROR(VLOOKUP(Tableau1[[#This Row],[Key(Compte ILN - shipper - POL - plant)]],'DATA ILN'!A:N,14,FALSE),VLOOKUP(Tableau1[[#This Row],[Key(Compte ILN - shipper - POL)]],'DATA ILN'!B:N,13,FALSE))</f>
        <v>2</v>
      </c>
      <c r="W7" s="53">
        <f ca="1">IFERROR(VLOOKUP(Tableau1[[#This Row],[Key(Compte ILN - shipper - POL - plant)]],'DATA ILN'!A:P,16,FALSE),VLOOKUP(Tableau1[[#This Row],[Key(Compte ILN - shipper - POL)]],'DATA ILN'!B:P,15,FALSE))</f>
        <v>3</v>
      </c>
      <c r="X7" s="283" t="s">
        <v>1</v>
      </c>
      <c r="Y7" s="482">
        <f>IFERROR(VLOOKUP(Tableau1[[#This Row],[Name Shipper]],Plant_AILN!L:M,2,FALSE),0)</f>
        <v>92000100</v>
      </c>
      <c r="Z7" s="358">
        <v>101</v>
      </c>
      <c r="AA7" s="353" t="str">
        <f ca="1">VLOOKUP(Tableau1[[#This Row],[Key(ID-Actif)]],'DATA BTO'!A:N,5,FALSE)</f>
        <v>FRLEH</v>
      </c>
      <c r="AB7" s="3" t="str">
        <f ca="1">VLOOKUP(Tableau1[[#This Row],[Key(ID-Actif)]],'DATA BTO'!A:N,6,FALSE)</f>
        <v>Hapag Lloyd</v>
      </c>
      <c r="AC7" s="50">
        <f ca="1">VLOOKUP(Tableau1[[#This Row],[Key(ID-Actif)]],'DATA BTO'!A:N,7,FALSE)</f>
        <v>4</v>
      </c>
      <c r="AD7" s="50">
        <f ca="1">VLOOKUP(Tableau1[[#This Row],[Key(ID-Actif)]],'DATA BTO'!A:N,8,FALSE)</f>
        <v>6</v>
      </c>
      <c r="AE7" s="50">
        <f ca="1">IF(Tableau1[[#This Row],[First Day to POL]]&lt;=Tableau1[[#This Row],[Day Cut Off]],Tableau1[[#This Row],[Day ETD]],Tableau1[[#This Row],[Day ETD]]+7)</f>
        <v>6</v>
      </c>
      <c r="AF7" s="50">
        <f ca="1">VLOOKUP(Tableau1[[#This Row],[Key(ID-Actif)]],'DATA BTO'!A:N,9,FALSE)</f>
        <v>30</v>
      </c>
      <c r="AG7" s="3" t="str">
        <f ca="1">VLOOKUP(Tableau1[[#This Row],[Key(ID-Actif)]],'DATA BTO'!A:N,10,FALSE)</f>
        <v>MXVER</v>
      </c>
      <c r="AH7" s="3">
        <f ca="1">VLOOKUP(Tableau1[[#This Row],[Key(ID-Actif)]],'DATA BTO'!A:N,11,FALSE)</f>
        <v>3</v>
      </c>
      <c r="AI7" s="50">
        <f ca="1">VLOOKUP(Tableau1[[#This Row],[Key(ID-Actif)]],'DATA BTO'!A:N,12,FALSE)</f>
        <v>0</v>
      </c>
      <c r="AJ7" s="53" t="str">
        <f ca="1">VLOOKUP(Tableau1[[#This Row],[Key(ID-Actif)]],'DATA BTO'!A:N,14,FALSE)</f>
        <v>Max</v>
      </c>
      <c r="AK7" s="54">
        <f ca="1">VLOOKUP(Tableau1[[#This Row],[Key(POD -PFI- Usine)]],'DATA Consignee'!A:F,6,FALSE)</f>
        <v>3</v>
      </c>
      <c r="AL7" s="125"/>
      <c r="AM7" s="483" t="str">
        <f>IF(Tableau1[[#This Row],[Name PFI/CDD]]="","-",VLOOKUP(Tableau1[[#This Row],[Name PFI/CDD]],Plant_AILN!I:J,2,FALSE))</f>
        <v>-</v>
      </c>
      <c r="AN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" s="2">
        <f ca="1">VLOOKUP(Tableau1[[#This Row],[Key(POD -PFI- Usine)]],'DATA Consignee'!A:J,10,FALSE)</f>
        <v>0</v>
      </c>
      <c r="AQ7" s="50">
        <f ca="1">VLOOKUP(Tableau1[[#This Row],[Key(POD -PFI- Usine)]],'DATA Consignee'!A:N,14,FALSE)</f>
        <v>2</v>
      </c>
      <c r="AR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7" s="50">
        <f ca="1">Tableau1[[#This Row],[Transit time]]+Tableau1[[#This Row],[Time for security]]+Tableau1[[#This Row],[Time for security2 buffer]]</f>
        <v>33</v>
      </c>
      <c r="AU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7" s="389">
        <f ca="1">Tableau1[[#This Row],[Leadtime SI2C]]+Tableau1[[#This Row],[First Receipt Days]]-Tableau1[[#This Row],[Day Customer Order]]+1</f>
        <v>64</v>
      </c>
      <c r="AW7" s="117">
        <f ca="1">IF(Tableau1[[#This Row],[Name ILN]]&lt;&gt;"SFK Freight Forwarder",Tableau1[[#This Row],[Cust. Leadtime]],Tableau1[[#This Row],[Leadtime SI2C]])</f>
        <v>64</v>
      </c>
      <c r="AX7" s="51" t="str">
        <f>VLOOKUP(Tableau1[[#This Row],[ID]],'DATA BTO'!B:P,15,FALSE)</f>
        <v>Renault &gt; Nissan</v>
      </c>
      <c r="AY7" s="328">
        <f ca="1">IFERROR(VLOOKUP(Tableau1[[#This Row],[Key(ID-Actif)]],'DATA BTO'!A:N,4,FALSE),VLOOKUP(Tableau1[[#This Row],[ID]],'DATA BTO'!B:N,3,FALSE))</f>
        <v>46142</v>
      </c>
      <c r="AZ7" s="50" t="str">
        <f>IF(ISNUMBER(Tableau1[[#This Row],[Day Customer Order]]),"-","Please Check 'Name' information in 'Order' Sheet to make sure they have information")</f>
        <v>-</v>
      </c>
      <c r="BA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" s="50"/>
    </row>
    <row r="8" spans="2:57">
      <c r="B8" s="65" t="str">
        <f>_xlfn.CONCAT(Tableau1[[#This Row],[Name ILN]],"-",Tableau1[[#This Row],[Name Shipper]],"-",Tableau1[[#This Row],[Name Site]])</f>
        <v>ILN Chennai-ILN Chennai-CORMECANICA</v>
      </c>
      <c r="C8" s="65" t="str">
        <f ca="1">_xlfn.CONCAT(Tableau1[[#This Row],[Compte ILN]],"-",Tableau1[[#This Row],[Compte Shipper]],"-",Tableau1[[#This Row],[POL]],"-",Tableau1[[#This Row],[Compte Consignee]])</f>
        <v>2533780546-2533780546-INENR-90009500</v>
      </c>
      <c r="D8" s="64" t="str">
        <f ca="1">_xlfn.CONCAT(Tableau1[[#This Row],[Compte ILN]],"-",Tableau1[[#This Row],[Compte Shipper]],"-",Tableau1[[#This Row],[POL]])</f>
        <v>2533780546-2533780546-INENR</v>
      </c>
      <c r="E8" s="396" t="str">
        <f ca="1">_xlfn.CONCAT(Tableau1[[#This Row],[POL]],"-",Tableau1[[#This Row],[Carrier]],"-",Tableau1[[#This Row],[POD]])</f>
        <v>INENR-MSC-CLSAI</v>
      </c>
      <c r="F8" s="64" t="str">
        <f>_xlfn.CONCAT(Tableau1[[#This Row],[ID]],"-","Actif")</f>
        <v>120-Actif</v>
      </c>
      <c r="G8" s="64" t="str">
        <f ca="1">_xlfn.CONCAT(Tableau1[[#This Row],[POD]],"-",Tableau1[[#This Row],[Code PFI]],"-",Tableau1[[#This Row],[Compte Consignee]])</f>
        <v>CLSAI---90009500</v>
      </c>
      <c r="H8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ChennaiINENRCORMECANICA</v>
      </c>
      <c r="I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Chennai-ILN Chennai-120-INENR-MSC-CLSAI-</v>
      </c>
      <c r="J8" s="397" t="str">
        <f ca="1">IF(COUNTIF(I:I,Tableau1[[#This Row],[Plant-ILN-shipper-POL-Carrier-POD-PFI]])=1,"Non","Oui")</f>
        <v>Non</v>
      </c>
      <c r="K8" s="398" t="str">
        <f>VLOOKUP(Tableau1[[#This Row],[Name Site]],Plant_AILN!A:D,4,FALSE)</f>
        <v>CHILE</v>
      </c>
      <c r="L8" s="285" t="s">
        <v>138</v>
      </c>
      <c r="M8" s="480">
        <f>VLOOKUP(Tableau1[[#This Row],[Name Site]],Plant_AILN!A:C,3,FALSE)</f>
        <v>90009500</v>
      </c>
      <c r="N8" s="55">
        <f>VLOOKUP(Tableau1[[#This Row],[Compte Consignee]],Order!C:D,2,FALSE)</f>
        <v>7</v>
      </c>
      <c r="O8" s="114" t="s">
        <v>141</v>
      </c>
      <c r="P8" s="481">
        <f>VLOOKUP(Tableau1[[#This Row],[Name ILN]],Plant_AILN!F:G,2,FALSE)</f>
        <v>2533780546</v>
      </c>
      <c r="Q8" s="50">
        <f>VLOOKUP(Tableau1[[#This Row],[Compte ILN]],'DATA ILN'!D:I,6,FALSE)</f>
        <v>9</v>
      </c>
      <c r="R8" s="50">
        <f ca="1">IFERROR(VLOOKUP(Tableau1[[#This Row],[Key(Compte ILN - shipper - POL - plant)]],'DATA ILN'!A:J,10,FALSE),VLOOKUP(Tableau1[[#This Row],[Key(Compte ILN - shipper - POL)]],'DATA ILN'!B:J,9,FALSE))</f>
        <v>14</v>
      </c>
      <c r="S8" s="50">
        <f ca="1">IFERROR(VLOOKUP(Tableau1[[#This Row],[Key(Compte ILN - shipper - POL - plant)]],'DATA ILN'!A:K,11,FALSE),VLOOKUP(Tableau1[[#This Row],[Key(Compte ILN - shipper - POL)]],'DATA ILN'!B:K,10,FALSE))</f>
        <v>5</v>
      </c>
      <c r="T8" s="50">
        <f ca="1">IFERROR(VLOOKUP(Tableau1[[#This Row],[Key(Compte ILN - shipper - POL - plant)]],'DATA ILN'!A:L,12,FALSE),VLOOKUP(Tableau1[[#This Row],[Key(Compte ILN - shipper - POL)]],'DATA ILN'!B:L,11,FALSE))</f>
        <v>7</v>
      </c>
      <c r="U8" s="50">
        <f ca="1">Tableau1[[#This Row],[Day ILN Order]]+Tableau1[[#This Row],[Delivery time to ILN/Shipper]]-1</f>
        <v>22</v>
      </c>
      <c r="V8" s="50">
        <f ca="1">IFERROR(VLOOKUP(Tableau1[[#This Row],[Key(Compte ILN - shipper - POL - plant)]],'DATA ILN'!A:N,14,FALSE),VLOOKUP(Tableau1[[#This Row],[Key(Compte ILN - shipper - POL)]],'DATA ILN'!B:N,13,FALSE))</f>
        <v>2</v>
      </c>
      <c r="W8" s="53">
        <f ca="1">IFERROR(VLOOKUP(Tableau1[[#This Row],[Key(Compte ILN - shipper - POL - plant)]],'DATA ILN'!A:P,16,FALSE),VLOOKUP(Tableau1[[#This Row],[Key(Compte ILN - shipper - POL)]],'DATA ILN'!B:P,15,FALSE))</f>
        <v>5</v>
      </c>
      <c r="X8" s="283" t="s">
        <v>141</v>
      </c>
      <c r="Y8" s="482">
        <f>IFERROR(VLOOKUP(Tableau1[[#This Row],[Name Shipper]],Plant_AILN!L:M,2,FALSE),0)</f>
        <v>2533780546</v>
      </c>
      <c r="Z8" s="358">
        <v>120</v>
      </c>
      <c r="AA8" s="353" t="str">
        <f ca="1">VLOOKUP(Tableau1[[#This Row],[Key(ID-Actif)]],'DATA BTO'!A:N,5,FALSE)</f>
        <v>INENR</v>
      </c>
      <c r="AB8" s="3" t="str">
        <f ca="1">VLOOKUP(Tableau1[[#This Row],[Key(ID-Actif)]],'DATA BTO'!A:N,6,FALSE)</f>
        <v>MSC</v>
      </c>
      <c r="AC8" s="50">
        <f ca="1">VLOOKUP(Tableau1[[#This Row],[Key(ID-Actif)]],'DATA BTO'!A:N,7,FALSE)</f>
        <v>5</v>
      </c>
      <c r="AD8" s="50">
        <f ca="1">VLOOKUP(Tableau1[[#This Row],[Key(ID-Actif)]],'DATA BTO'!A:N,8,FALSE)</f>
        <v>7</v>
      </c>
      <c r="AE8" s="50">
        <f ca="1">IF(Tableau1[[#This Row],[First Day to POL]]&lt;=Tableau1[[#This Row],[Day Cut Off]],Tableau1[[#This Row],[Day ETD]],Tableau1[[#This Row],[Day ETD]]+7)</f>
        <v>7</v>
      </c>
      <c r="AF8" s="50">
        <f ca="1">VLOOKUP(Tableau1[[#This Row],[Key(ID-Actif)]],'DATA BTO'!A:N,9,FALSE)</f>
        <v>66</v>
      </c>
      <c r="AG8" s="3" t="str">
        <f ca="1">VLOOKUP(Tableau1[[#This Row],[Key(ID-Actif)]],'DATA BTO'!A:N,10,FALSE)</f>
        <v>CLSAI</v>
      </c>
      <c r="AH8" s="3">
        <f ca="1">VLOOKUP(Tableau1[[#This Row],[Key(ID-Actif)]],'DATA BTO'!A:N,11,FALSE)</f>
        <v>3</v>
      </c>
      <c r="AI8" s="50">
        <f ca="1">VLOOKUP(Tableau1[[#This Row],[Key(ID-Actif)]],'DATA BTO'!A:N,12,FALSE)</f>
        <v>7</v>
      </c>
      <c r="AJ8" s="53" t="str">
        <f ca="1">VLOOKUP(Tableau1[[#This Row],[Key(ID-Actif)]],'DATA BTO'!A:N,14,FALSE)</f>
        <v>Marc-Aurele</v>
      </c>
      <c r="AK8" s="54">
        <f ca="1">VLOOKUP(Tableau1[[#This Row],[Key(POD -PFI- Usine)]],'DATA Consignee'!A:F,6,FALSE)</f>
        <v>2</v>
      </c>
      <c r="AL8" s="125"/>
      <c r="AM8" s="483" t="str">
        <f>IF(Tableau1[[#This Row],[Name PFI/CDD]]="","-",VLOOKUP(Tableau1[[#This Row],[Name PFI/CDD]],Plant_AILN!I:J,2,FALSE))</f>
        <v>-</v>
      </c>
      <c r="AN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" s="2">
        <f ca="1">VLOOKUP(Tableau1[[#This Row],[Key(POD -PFI- Usine)]],'DATA Consignee'!A:J,10,FALSE)</f>
        <v>0</v>
      </c>
      <c r="AQ8" s="50">
        <f ca="1">VLOOKUP(Tableau1[[#This Row],[Key(POD -PFI- Usine)]],'DATA Consignee'!A:N,14,FALSE)</f>
        <v>2</v>
      </c>
      <c r="AR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8" s="50">
        <f ca="1">Tableau1[[#This Row],[Transit time]]+Tableau1[[#This Row],[Time for security]]+Tableau1[[#This Row],[Time for security2 buffer]]</f>
        <v>76</v>
      </c>
      <c r="AU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8" s="389">
        <f ca="1">Tableau1[[#This Row],[Leadtime SI2C]]+Tableau1[[#This Row],[First Receipt Days]]-Tableau1[[#This Row],[Day Customer Order]]+1</f>
        <v>113</v>
      </c>
      <c r="AW8" s="117">
        <f ca="1">IF(Tableau1[[#This Row],[Name ILN]]&lt;&gt;"SFK Freight Forwarder",Tableau1[[#This Row],[Cust. Leadtime]],Tableau1[[#This Row],[Leadtime SI2C]])</f>
        <v>113</v>
      </c>
      <c r="AX8" s="51" t="str">
        <f>VLOOKUP(Tableau1[[#This Row],[ID]],'DATA BTO'!B:P,15,FALSE)</f>
        <v>Renault &gt; Horse</v>
      </c>
      <c r="AY8" s="328">
        <f ca="1">IFERROR(VLOOKUP(Tableau1[[#This Row],[Key(ID-Actif)]],'DATA BTO'!A:N,4,FALSE),VLOOKUP(Tableau1[[#This Row],[ID]],'DATA BTO'!B:N,3,FALSE))</f>
        <v>46142</v>
      </c>
      <c r="AZ8" s="50" t="str">
        <f>IF(ISNUMBER(Tableau1[[#This Row],[Day Customer Order]]),"-","Please Check 'Name' information in 'Order' Sheet to make sure they have information")</f>
        <v>-</v>
      </c>
      <c r="BA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" s="50"/>
    </row>
    <row r="9" spans="2:57">
      <c r="B9" s="65" t="str">
        <f>_xlfn.CONCAT(Tableau1[[#This Row],[Name ILN]],"-",Tableau1[[#This Row],[Name Shipper]],"-",Tableau1[[#This Row],[Name Site]])</f>
        <v>ILN Pune-ILN Pune-CORMECANICA</v>
      </c>
      <c r="C9" s="65" t="str">
        <f ca="1">_xlfn.CONCAT(Tableau1[[#This Row],[Compte ILN]],"-",Tableau1[[#This Row],[Compte Shipper]],"-",Tableau1[[#This Row],[POL]],"-",Tableau1[[#This Row],[Compte Consignee]])</f>
        <v>2533780535-2533780535-INNSA-90009500</v>
      </c>
      <c r="D9" s="64" t="str">
        <f ca="1">_xlfn.CONCAT(Tableau1[[#This Row],[Compte ILN]],"-",Tableau1[[#This Row],[Compte Shipper]],"-",Tableau1[[#This Row],[POL]])</f>
        <v>2533780535-2533780535-INNSA</v>
      </c>
      <c r="E9" s="396" t="str">
        <f ca="1">_xlfn.CONCAT(Tableau1[[#This Row],[POL]],"-",Tableau1[[#This Row],[Carrier]],"-",Tableau1[[#This Row],[POD]])</f>
        <v>INNSA-MSC-CLSAI</v>
      </c>
      <c r="F9" s="64" t="str">
        <f>_xlfn.CONCAT(Tableau1[[#This Row],[ID]],"-","Actif")</f>
        <v>121-Actif</v>
      </c>
      <c r="G9" s="64" t="str">
        <f ca="1">_xlfn.CONCAT(Tableau1[[#This Row],[POD]],"-",Tableau1[[#This Row],[Code PFI]],"-",Tableau1[[#This Row],[Compte Consignee]])</f>
        <v>CLSAI---90009500</v>
      </c>
      <c r="H9" s="396" t="str">
        <f ca="1">_xlfn.CONCAT(IF(Tableau1[[#This Row],[Name ILN]]=Tableau1[[#This Row],[Name Shipper]],Tableau1[[#This Row],[Name ILN]],Tableau1[[#This Row],[Compte Shipper]]),Tableau1[[#This Row],[POL]],Tableau1[[#This Row],[Name Site]])</f>
        <v>ILN PuneINNSACORMECANICA</v>
      </c>
      <c r="I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Pune-ILN Pune-121-INNSA-MSC-CLSAI-</v>
      </c>
      <c r="J9" s="397" t="str">
        <f ca="1">IF(COUNTIF(I:I,Tableau1[[#This Row],[Plant-ILN-shipper-POL-Carrier-POD-PFI]])=1,"Non","Oui")</f>
        <v>Non</v>
      </c>
      <c r="K9" s="398" t="str">
        <f>VLOOKUP(Tableau1[[#This Row],[Name Site]],Plant_AILN!A:D,4,FALSE)</f>
        <v>CHILE</v>
      </c>
      <c r="L9" s="285" t="s">
        <v>138</v>
      </c>
      <c r="M9" s="480">
        <f>VLOOKUP(Tableau1[[#This Row],[Name Site]],Plant_AILN!A:C,3,FALSE)</f>
        <v>90009500</v>
      </c>
      <c r="N9" s="55">
        <f>VLOOKUP(Tableau1[[#This Row],[Compte Consignee]],Order!C:D,2,FALSE)</f>
        <v>7</v>
      </c>
      <c r="O9" s="114" t="s">
        <v>142</v>
      </c>
      <c r="P9" s="481">
        <f>VLOOKUP(Tableau1[[#This Row],[Name ILN]],Plant_AILN!F:G,2,FALSE)</f>
        <v>2533780535</v>
      </c>
      <c r="Q9" s="50">
        <f>VLOOKUP(Tableau1[[#This Row],[Compte ILN]],'DATA ILN'!D:I,6,FALSE)</f>
        <v>9</v>
      </c>
      <c r="R9" s="50">
        <f ca="1">IFERROR(VLOOKUP(Tableau1[[#This Row],[Key(Compte ILN - shipper - POL - plant)]],'DATA ILN'!A:J,10,FALSE),VLOOKUP(Tableau1[[#This Row],[Key(Compte ILN - shipper - POL)]],'DATA ILN'!B:J,9,FALSE))</f>
        <v>14</v>
      </c>
      <c r="S9" s="50">
        <f ca="1">IFERROR(VLOOKUP(Tableau1[[#This Row],[Key(Compte ILN - shipper - POL - plant)]],'DATA ILN'!A:K,11,FALSE),VLOOKUP(Tableau1[[#This Row],[Key(Compte ILN - shipper - POL)]],'DATA ILN'!B:K,10,FALSE))</f>
        <v>5</v>
      </c>
      <c r="T9" s="50">
        <f ca="1">IFERROR(VLOOKUP(Tableau1[[#This Row],[Key(Compte ILN - shipper - POL - plant)]],'DATA ILN'!A:L,12,FALSE),VLOOKUP(Tableau1[[#This Row],[Key(Compte ILN - shipper - POL)]],'DATA ILN'!B:L,11,FALSE))</f>
        <v>7</v>
      </c>
      <c r="U9" s="50">
        <f ca="1">Tableau1[[#This Row],[Day ILN Order]]+Tableau1[[#This Row],[Delivery time to ILN/Shipper]]-1</f>
        <v>22</v>
      </c>
      <c r="V9" s="50">
        <f ca="1">IFERROR(VLOOKUP(Tableau1[[#This Row],[Key(Compte ILN - shipper - POL - plant)]],'DATA ILN'!A:N,14,FALSE),VLOOKUP(Tableau1[[#This Row],[Key(Compte ILN - shipper - POL)]],'DATA ILN'!B:N,13,FALSE))</f>
        <v>3</v>
      </c>
      <c r="W9" s="53">
        <f ca="1">IFERROR(VLOOKUP(Tableau1[[#This Row],[Key(Compte ILN - shipper - POL - plant)]],'DATA ILN'!A:P,16,FALSE),VLOOKUP(Tableau1[[#This Row],[Key(Compte ILN - shipper - POL)]],'DATA ILN'!B:P,15,FALSE))</f>
        <v>5</v>
      </c>
      <c r="X9" s="283" t="s">
        <v>142</v>
      </c>
      <c r="Y9" s="482">
        <f>IFERROR(VLOOKUP(Tableau1[[#This Row],[Name Shipper]],Plant_AILN!L:M,2,FALSE),0)</f>
        <v>2533780535</v>
      </c>
      <c r="Z9" s="358">
        <v>121</v>
      </c>
      <c r="AA9" s="353" t="str">
        <f ca="1">VLOOKUP(Tableau1[[#This Row],[Key(ID-Actif)]],'DATA BTO'!A:N,5,FALSE)</f>
        <v>INNSA</v>
      </c>
      <c r="AB9" s="3" t="str">
        <f ca="1">VLOOKUP(Tableau1[[#This Row],[Key(ID-Actif)]],'DATA BTO'!A:N,6,FALSE)</f>
        <v>MSC</v>
      </c>
      <c r="AC9" s="50">
        <f ca="1">VLOOKUP(Tableau1[[#This Row],[Key(ID-Actif)]],'DATA BTO'!A:N,7,FALSE)</f>
        <v>2</v>
      </c>
      <c r="AD9" s="50">
        <f ca="1">VLOOKUP(Tableau1[[#This Row],[Key(ID-Actif)]],'DATA BTO'!A:N,8,FALSE)</f>
        <v>4</v>
      </c>
      <c r="AE9" s="50">
        <f ca="1">IF(Tableau1[[#This Row],[First Day to POL]]&lt;=Tableau1[[#This Row],[Day Cut Off]],Tableau1[[#This Row],[Day ETD]],Tableau1[[#This Row],[Day ETD]]+7)</f>
        <v>11</v>
      </c>
      <c r="AF9" s="50">
        <f ca="1">VLOOKUP(Tableau1[[#This Row],[Key(ID-Actif)]],'DATA BTO'!A:N,9,FALSE)</f>
        <v>61</v>
      </c>
      <c r="AG9" s="3" t="str">
        <f ca="1">VLOOKUP(Tableau1[[#This Row],[Key(ID-Actif)]],'DATA BTO'!A:N,10,FALSE)</f>
        <v>CLSAI</v>
      </c>
      <c r="AH9" s="3">
        <f ca="1">VLOOKUP(Tableau1[[#This Row],[Key(ID-Actif)]],'DATA BTO'!A:N,11,FALSE)</f>
        <v>3</v>
      </c>
      <c r="AI9" s="50">
        <f ca="1">VLOOKUP(Tableau1[[#This Row],[Key(ID-Actif)]],'DATA BTO'!A:N,12,FALSE)</f>
        <v>7</v>
      </c>
      <c r="AJ9" s="53" t="str">
        <f ca="1">VLOOKUP(Tableau1[[#This Row],[Key(ID-Actif)]],'DATA BTO'!A:N,14,FALSE)</f>
        <v>Marc-Aurele</v>
      </c>
      <c r="AK9" s="54">
        <f ca="1">VLOOKUP(Tableau1[[#This Row],[Key(POD -PFI- Usine)]],'DATA Consignee'!A:F,6,FALSE)</f>
        <v>2</v>
      </c>
      <c r="AL9" s="125"/>
      <c r="AM9" s="483" t="str">
        <f>IF(Tableau1[[#This Row],[Name PFI/CDD]]="","-",VLOOKUP(Tableau1[[#This Row],[Name PFI/CDD]],Plant_AILN!I:J,2,FALSE))</f>
        <v>-</v>
      </c>
      <c r="AN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" s="2">
        <f ca="1">VLOOKUP(Tableau1[[#This Row],[Key(POD -PFI- Usine)]],'DATA Consignee'!A:J,10,FALSE)</f>
        <v>0</v>
      </c>
      <c r="AQ9" s="50">
        <f ca="1">VLOOKUP(Tableau1[[#This Row],[Key(POD -PFI- Usine)]],'DATA Consignee'!A:N,14,FALSE)</f>
        <v>2</v>
      </c>
      <c r="AR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9" s="50">
        <f ca="1">Tableau1[[#This Row],[Transit time]]+Tableau1[[#This Row],[Time for security]]+Tableau1[[#This Row],[Time for security2 buffer]]</f>
        <v>71</v>
      </c>
      <c r="AU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9" s="389">
        <f ca="1">Tableau1[[#This Row],[Leadtime SI2C]]+Tableau1[[#This Row],[First Receipt Days]]-Tableau1[[#This Row],[Day Customer Order]]+1</f>
        <v>113</v>
      </c>
      <c r="AW9" s="117">
        <f ca="1">IF(Tableau1[[#This Row],[Name ILN]]&lt;&gt;"SFK Freight Forwarder",Tableau1[[#This Row],[Cust. Leadtime]],Tableau1[[#This Row],[Leadtime SI2C]])</f>
        <v>113</v>
      </c>
      <c r="AX9" s="51" t="str">
        <f>VLOOKUP(Tableau1[[#This Row],[ID]],'DATA BTO'!B:P,15,FALSE)</f>
        <v>Renault &gt; Horse</v>
      </c>
      <c r="AY9" s="328">
        <f ca="1">IFERROR(VLOOKUP(Tableau1[[#This Row],[Key(ID-Actif)]],'DATA BTO'!A:N,4,FALSE),VLOOKUP(Tableau1[[#This Row],[ID]],'DATA BTO'!B:N,3,FALSE))</f>
        <v>46142</v>
      </c>
      <c r="AZ9" s="50" t="str">
        <f>IF(ISNUMBER(Tableau1[[#This Row],[Day Customer Order]]),"-","Please Check 'Name' information in 'Order' Sheet to make sure they have information")</f>
        <v>-</v>
      </c>
      <c r="BA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" s="50"/>
    </row>
    <row r="10" spans="2:57">
      <c r="B10" s="65" t="str">
        <f>_xlfn.CONCAT(Tableau1[[#This Row],[Name ILN]],"-",Tableau1[[#This Row],[Name Shipper]],"-",Tableau1[[#This Row],[Name Site]])</f>
        <v>ILN VLL-SEVILLE-Nissan BRESIL</v>
      </c>
      <c r="C10" s="65" t="str">
        <f ca="1">_xlfn.CONCAT(Tableau1[[#This Row],[Compte ILN]],"-",Tableau1[[#This Row],[Compte Shipper]],"-",Tableau1[[#This Row],[POL]],"-",Tableau1[[#This Row],[Compte Consignee]])</f>
        <v>91018400-91017500-ESALG-28750500</v>
      </c>
      <c r="D10" s="64" t="str">
        <f ca="1">_xlfn.CONCAT(Tableau1[[#This Row],[Compte ILN]],"-",Tableau1[[#This Row],[Compte Shipper]],"-",Tableau1[[#This Row],[POL]])</f>
        <v>91018400-91017500-ESALG</v>
      </c>
      <c r="E10" s="396" t="str">
        <f ca="1">_xlfn.CONCAT(Tableau1[[#This Row],[POL]],"-",Tableau1[[#This Row],[Carrier]],"-",Tableau1[[#This Row],[POD]])</f>
        <v>ESALG-Maersk-BRRIO</v>
      </c>
      <c r="F10" s="64" t="str">
        <f>_xlfn.CONCAT(Tableau1[[#This Row],[ID]],"-","Actif")</f>
        <v>225-Actif</v>
      </c>
      <c r="G10" s="64" t="str">
        <f ca="1">_xlfn.CONCAT(Tableau1[[#This Row],[POD]],"-",Tableau1[[#This Row],[Code PFI]],"-",Tableau1[[#This Row],[Compte Consignee]])</f>
        <v>BRRIO---28750500</v>
      </c>
      <c r="H10" s="396" t="str">
        <f ca="1">_xlfn.CONCAT(IF(Tableau1[[#This Row],[Name ILN]]=Tableau1[[#This Row],[Name Shipper]],Tableau1[[#This Row],[Name ILN]],Tableau1[[#This Row],[Compte Shipper]]),Tableau1[[#This Row],[POL]],Tableau1[[#This Row],[Name Site]])</f>
        <v>91017500ESALGNissan BRESIL</v>
      </c>
      <c r="I1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Nissan BRESIL-ILN VLL-SEVILLE-225-ESALG-Maersk-BRRIO-</v>
      </c>
      <c r="J10" s="397" t="str">
        <f ca="1">IF(COUNTIF(I:I,Tableau1[[#This Row],[Plant-ILN-shipper-POL-Carrier-POD-PFI]])=1,"Non","Oui")</f>
        <v>Non</v>
      </c>
      <c r="K10" s="398" t="str">
        <f>VLOOKUP(Tableau1[[#This Row],[Name Site]],Plant_AILN!A:D,4,FALSE)</f>
        <v>BRAZIL</v>
      </c>
      <c r="L10" s="285" t="s">
        <v>143</v>
      </c>
      <c r="M10" s="480">
        <f>VLOOKUP(Tableau1[[#This Row],[Name Site]],Plant_AILN!A:C,3,FALSE)</f>
        <v>28750500</v>
      </c>
      <c r="N10" s="55">
        <f>VLOOKUP(Tableau1[[#This Row],[Compte Consignee]],Order!C:D,2,FALSE)</f>
        <v>7</v>
      </c>
      <c r="O10" s="114" t="s">
        <v>144</v>
      </c>
      <c r="P10" s="481">
        <f>VLOOKUP(Tableau1[[#This Row],[Name ILN]],Plant_AILN!F:G,2,FALSE)</f>
        <v>91018400</v>
      </c>
      <c r="Q10" s="50">
        <f>VLOOKUP(Tableau1[[#This Row],[Compte ILN]],'DATA ILN'!D:I,6,FALSE)</f>
        <v>9</v>
      </c>
      <c r="R10" s="50">
        <f ca="1">IFERROR(VLOOKUP(Tableau1[[#This Row],[Key(Compte ILN - shipper - POL - plant)]],'DATA ILN'!A:J,10,FALSE),VLOOKUP(Tableau1[[#This Row],[Key(Compte ILN - shipper - POL)]],'DATA ILN'!B:J,9,FALSE))</f>
        <v>14</v>
      </c>
      <c r="S10" s="50">
        <f ca="1">IFERROR(VLOOKUP(Tableau1[[#This Row],[Key(Compte ILN - shipper - POL - plant)]],'DATA ILN'!A:K,11,FALSE),VLOOKUP(Tableau1[[#This Row],[Key(Compte ILN - shipper - POL)]],'DATA ILN'!B:K,10,FALSE))</f>
        <v>5</v>
      </c>
      <c r="T10" s="50">
        <f ca="1">IFERROR(VLOOKUP(Tableau1[[#This Row],[Key(Compte ILN - shipper - POL - plant)]],'DATA ILN'!A:L,12,FALSE),VLOOKUP(Tableau1[[#This Row],[Key(Compte ILN - shipper - POL)]],'DATA ILN'!B:L,11,FALSE))</f>
        <v>7</v>
      </c>
      <c r="U10" s="50">
        <f ca="1">Tableau1[[#This Row],[Day ILN Order]]+Tableau1[[#This Row],[Delivery time to ILN/Shipper]]-1</f>
        <v>22</v>
      </c>
      <c r="V10" s="50">
        <f ca="1">IFERROR(VLOOKUP(Tableau1[[#This Row],[Key(Compte ILN - shipper - POL - plant)]],'DATA ILN'!A:N,14,FALSE),VLOOKUP(Tableau1[[#This Row],[Key(Compte ILN - shipper - POL)]],'DATA ILN'!B:N,13,FALSE))</f>
        <v>2</v>
      </c>
      <c r="W10" s="53">
        <f ca="1">IFERROR(VLOOKUP(Tableau1[[#This Row],[Key(Compte ILN - shipper - POL - plant)]],'DATA ILN'!A:P,16,FALSE),VLOOKUP(Tableau1[[#This Row],[Key(Compte ILN - shipper - POL)]],'DATA ILN'!B:P,15,FALSE))</f>
        <v>3</v>
      </c>
      <c r="X10" s="283" t="s">
        <v>145</v>
      </c>
      <c r="Y10" s="482">
        <f>IFERROR(VLOOKUP(Tableau1[[#This Row],[Name Shipper]],Plant_AILN!L:M,2,FALSE),0)</f>
        <v>91017500</v>
      </c>
      <c r="Z10" s="358">
        <v>225</v>
      </c>
      <c r="AA10" s="353" t="str">
        <f ca="1">VLOOKUP(Tableau1[[#This Row],[Key(ID-Actif)]],'DATA BTO'!A:N,5,FALSE)</f>
        <v>ESALG</v>
      </c>
      <c r="AB10" s="3" t="str">
        <f ca="1">VLOOKUP(Tableau1[[#This Row],[Key(ID-Actif)]],'DATA BTO'!A:N,6,FALSE)</f>
        <v>Maersk</v>
      </c>
      <c r="AC10" s="50">
        <f ca="1">VLOOKUP(Tableau1[[#This Row],[Key(ID-Actif)]],'DATA BTO'!A:N,7,FALSE)</f>
        <v>2</v>
      </c>
      <c r="AD10" s="50">
        <f ca="1">VLOOKUP(Tableau1[[#This Row],[Key(ID-Actif)]],'DATA BTO'!A:N,8,FALSE)</f>
        <v>4</v>
      </c>
      <c r="AE10" s="50">
        <f ca="1">IF(Tableau1[[#This Row],[First Day to POL]]&lt;=Tableau1[[#This Row],[Day Cut Off]],Tableau1[[#This Row],[Day ETD]],Tableau1[[#This Row],[Day ETD]]+7)</f>
        <v>11</v>
      </c>
      <c r="AF10" s="50">
        <f ca="1">VLOOKUP(Tableau1[[#This Row],[Key(ID-Actif)]],'DATA BTO'!A:N,9,FALSE)</f>
        <v>23</v>
      </c>
      <c r="AG10" s="3" t="str">
        <f ca="1">VLOOKUP(Tableau1[[#This Row],[Key(ID-Actif)]],'DATA BTO'!A:N,10,FALSE)</f>
        <v>BRRIO</v>
      </c>
      <c r="AH10" s="3">
        <f ca="1">VLOOKUP(Tableau1[[#This Row],[Key(ID-Actif)]],'DATA BTO'!A:N,11,FALSE)</f>
        <v>3</v>
      </c>
      <c r="AI10" s="50">
        <f ca="1">VLOOKUP(Tableau1[[#This Row],[Key(ID-Actif)]],'DATA BTO'!A:N,12,FALSE)</f>
        <v>0</v>
      </c>
      <c r="AJ10" s="53" t="str">
        <f ca="1">VLOOKUP(Tableau1[[#This Row],[Key(ID-Actif)]],'DATA BTO'!A:N,14,FALSE)</f>
        <v>Max</v>
      </c>
      <c r="AK10" s="54">
        <f ca="1">VLOOKUP(Tableau1[[#This Row],[Key(POD -PFI- Usine)]],'DATA Consignee'!A:F,6,FALSE)</f>
        <v>4</v>
      </c>
      <c r="AL10" s="125"/>
      <c r="AM10" s="483" t="str">
        <f>IF(Tableau1[[#This Row],[Name PFI/CDD]]="","-",VLOOKUP(Tableau1[[#This Row],[Name PFI/CDD]],Plant_AILN!I:J,2,FALSE))</f>
        <v>-</v>
      </c>
      <c r="AN1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" s="2">
        <f ca="1">VLOOKUP(Tableau1[[#This Row],[Key(POD -PFI- Usine)]],'DATA Consignee'!A:J,10,FALSE)</f>
        <v>0</v>
      </c>
      <c r="AQ10" s="50">
        <f ca="1">VLOOKUP(Tableau1[[#This Row],[Key(POD -PFI- Usine)]],'DATA Consignee'!A:N,14,FALSE)</f>
        <v>4</v>
      </c>
      <c r="AR1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1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10" s="50">
        <f ca="1">Tableau1[[#This Row],[Transit time]]+Tableau1[[#This Row],[Time for security]]+Tableau1[[#This Row],[Time for security2 buffer]]</f>
        <v>26</v>
      </c>
      <c r="AU1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10" s="389">
        <f ca="1">Tableau1[[#This Row],[Leadtime SI2C]]+Tableau1[[#This Row],[First Receipt Days]]-Tableau1[[#This Row],[Day Customer Order]]+1</f>
        <v>71</v>
      </c>
      <c r="AW10" s="117">
        <f ca="1">IF(Tableau1[[#This Row],[Name ILN]]&lt;&gt;"SFK Freight Forwarder",Tableau1[[#This Row],[Cust. Leadtime]],Tableau1[[#This Row],[Leadtime SI2C]])</f>
        <v>71</v>
      </c>
      <c r="AX10" s="51" t="str">
        <f>VLOOKUP(Tableau1[[#This Row],[ID]],'DATA BTO'!B:P,15,FALSE)</f>
        <v>Horse &gt; Nissan</v>
      </c>
      <c r="AY10" s="328">
        <f ca="1">IFERROR(VLOOKUP(Tableau1[[#This Row],[Key(ID-Actif)]],'DATA BTO'!A:N,4,FALSE),VLOOKUP(Tableau1[[#This Row],[ID]],'DATA BTO'!B:N,3,FALSE))</f>
        <v>46142</v>
      </c>
      <c r="AZ10" s="50" t="str">
        <f>IF(ISNUMBER(Tableau1[[#This Row],[Day Customer Order]]),"-","Please Check 'Name' information in 'Order' Sheet to make sure they have information")</f>
        <v>-</v>
      </c>
      <c r="BA1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" s="50"/>
    </row>
    <row r="11" spans="2:57">
      <c r="B11" s="65" t="str">
        <f>_xlfn.CONCAT(Tableau1[[#This Row],[Name ILN]],"-",Tableau1[[#This Row],[Name Shipper]],"-",Tableau1[[#This Row],[Name Site]])</f>
        <v>ILN VLL-ILN VLL-CORMECANICA</v>
      </c>
      <c r="C11" s="65" t="str">
        <f ca="1">_xlfn.CONCAT(Tableau1[[#This Row],[Compte ILN]],"-",Tableau1[[#This Row],[Compte Shipper]],"-",Tableau1[[#This Row],[POL]],"-",Tableau1[[#This Row],[Compte Consignee]])</f>
        <v>91018400-91018400-ESVLC-90009500</v>
      </c>
      <c r="D11" s="64" t="str">
        <f ca="1">_xlfn.CONCAT(Tableau1[[#This Row],[Compte ILN]],"-",Tableau1[[#This Row],[Compte Shipper]],"-",Tableau1[[#This Row],[POL]])</f>
        <v>91018400-91018400-ESVLC</v>
      </c>
      <c r="E11" s="396" t="str">
        <f ca="1">_xlfn.CONCAT(Tableau1[[#This Row],[POL]],"-",Tableau1[[#This Row],[Carrier]],"-",Tableau1[[#This Row],[POD]])</f>
        <v>ESVLC-CMA-CGM-CLSAI</v>
      </c>
      <c r="F11" s="64" t="str">
        <f>_xlfn.CONCAT(Tableau1[[#This Row],[ID]],"-","Actif")</f>
        <v>233-Actif</v>
      </c>
      <c r="G11" s="64" t="str">
        <f ca="1">_xlfn.CONCAT(Tableau1[[#This Row],[POD]],"-",Tableau1[[#This Row],[Code PFI]],"-",Tableau1[[#This Row],[Compte Consignee]])</f>
        <v>CLSAI---90009500</v>
      </c>
      <c r="H11" s="396" t="str">
        <f ca="1">_xlfn.CONCAT(IF(Tableau1[[#This Row],[Name ILN]]=Tableau1[[#This Row],[Name Shipper]],Tableau1[[#This Row],[Name ILN]],Tableau1[[#This Row],[Compte Shipper]]),Tableau1[[#This Row],[POL]],Tableau1[[#This Row],[Name Site]])</f>
        <v>ILN VLLESVLCCORMECANICA</v>
      </c>
      <c r="I1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CORMECANICA-ILN VLL-ILN VLL-233-ESVLC-CMA-CGM-CLSAI-</v>
      </c>
      <c r="J11" s="397" t="str">
        <f ca="1">IF(COUNTIF(I:I,Tableau1[[#This Row],[Plant-ILN-shipper-POL-Carrier-POD-PFI]])=1,"Non","Oui")</f>
        <v>Non</v>
      </c>
      <c r="K11" s="398" t="str">
        <f>VLOOKUP(Tableau1[[#This Row],[Name Site]],Plant_AILN!A:D,4,FALSE)</f>
        <v>CHILE</v>
      </c>
      <c r="L11" s="285" t="s">
        <v>138</v>
      </c>
      <c r="M11" s="480">
        <f>VLOOKUP(Tableau1[[#This Row],[Name Site]],Plant_AILN!A:C,3,FALSE)</f>
        <v>90009500</v>
      </c>
      <c r="N11" s="55">
        <f>VLOOKUP(Tableau1[[#This Row],[Compte Consignee]],Order!C:D,2,FALSE)</f>
        <v>7</v>
      </c>
      <c r="O11" s="114" t="s">
        <v>144</v>
      </c>
      <c r="P11" s="481">
        <f>VLOOKUP(Tableau1[[#This Row],[Name ILN]],Plant_AILN!F:G,2,FALSE)</f>
        <v>91018400</v>
      </c>
      <c r="Q11" s="50">
        <f>VLOOKUP(Tableau1[[#This Row],[Compte ILN]],'DATA ILN'!D:I,6,FALSE)</f>
        <v>9</v>
      </c>
      <c r="R11" s="50">
        <f ca="1">IFERROR(VLOOKUP(Tableau1[[#This Row],[Key(Compte ILN - shipper - POL - plant)]],'DATA ILN'!A:J,10,FALSE),VLOOKUP(Tableau1[[#This Row],[Key(Compte ILN - shipper - POL)]],'DATA ILN'!B:J,9,FALSE))</f>
        <v>7</v>
      </c>
      <c r="S11" s="50">
        <f ca="1">IFERROR(VLOOKUP(Tableau1[[#This Row],[Key(Compte ILN - shipper - POL - plant)]],'DATA ILN'!A:K,11,FALSE),VLOOKUP(Tableau1[[#This Row],[Key(Compte ILN - shipper - POL)]],'DATA ILN'!B:K,10,FALSE))</f>
        <v>5</v>
      </c>
      <c r="T11" s="50">
        <f ca="1">IFERROR(VLOOKUP(Tableau1[[#This Row],[Key(Compte ILN - shipper - POL - plant)]],'DATA ILN'!A:L,12,FALSE),VLOOKUP(Tableau1[[#This Row],[Key(Compte ILN - shipper - POL)]],'DATA ILN'!B:L,11,FALSE))</f>
        <v>7</v>
      </c>
      <c r="U11" s="50">
        <f ca="1">Tableau1[[#This Row],[Day ILN Order]]+Tableau1[[#This Row],[Delivery time to ILN/Shipper]]-1</f>
        <v>15</v>
      </c>
      <c r="V11" s="50">
        <f ca="1">IFERROR(VLOOKUP(Tableau1[[#This Row],[Key(Compte ILN - shipper - POL - plant)]],'DATA ILN'!A:N,14,FALSE),VLOOKUP(Tableau1[[#This Row],[Key(Compte ILN - shipper - POL)]],'DATA ILN'!B:N,13,FALSE))</f>
        <v>2</v>
      </c>
      <c r="W11" s="53">
        <f ca="1">IFERROR(VLOOKUP(Tableau1[[#This Row],[Key(Compte ILN - shipper - POL - plant)]],'DATA ILN'!A:P,16,FALSE),VLOOKUP(Tableau1[[#This Row],[Key(Compte ILN - shipper - POL)]],'DATA ILN'!B:P,15,FALSE))</f>
        <v>5</v>
      </c>
      <c r="X11" s="283" t="s">
        <v>144</v>
      </c>
      <c r="Y11" s="482">
        <f>IFERROR(VLOOKUP(Tableau1[[#This Row],[Name Shipper]],Plant_AILN!L:M,2,FALSE),0)</f>
        <v>91018400</v>
      </c>
      <c r="Z11" s="358">
        <v>233</v>
      </c>
      <c r="AA11" s="353" t="str">
        <f ca="1">VLOOKUP(Tableau1[[#This Row],[Key(ID-Actif)]],'DATA BTO'!A:N,5,FALSE)</f>
        <v>ESVLC</v>
      </c>
      <c r="AB11" s="3" t="str">
        <f ca="1">VLOOKUP(Tableau1[[#This Row],[Key(ID-Actif)]],'DATA BTO'!A:N,6,FALSE)</f>
        <v>CMA-CGM</v>
      </c>
      <c r="AC11" s="50">
        <f ca="1">VLOOKUP(Tableau1[[#This Row],[Key(ID-Actif)]],'DATA BTO'!A:N,7,FALSE)</f>
        <v>5</v>
      </c>
      <c r="AD11" s="50">
        <f ca="1">VLOOKUP(Tableau1[[#This Row],[Key(ID-Actif)]],'DATA BTO'!A:N,8,FALSE)</f>
        <v>9</v>
      </c>
      <c r="AE11" s="50">
        <f ca="1">IF(Tableau1[[#This Row],[First Day to POL]]&lt;=Tableau1[[#This Row],[Day Cut Off]],Tableau1[[#This Row],[Day ETD]],Tableau1[[#This Row],[Day ETD]]+7)</f>
        <v>9</v>
      </c>
      <c r="AF11" s="50">
        <f ca="1">VLOOKUP(Tableau1[[#This Row],[Key(ID-Actif)]],'DATA BTO'!A:N,9,FALSE)</f>
        <v>43</v>
      </c>
      <c r="AG11" s="3" t="str">
        <f ca="1">VLOOKUP(Tableau1[[#This Row],[Key(ID-Actif)]],'DATA BTO'!A:N,10,FALSE)</f>
        <v>CLSAI</v>
      </c>
      <c r="AH11" s="3">
        <f ca="1">VLOOKUP(Tableau1[[#This Row],[Key(ID-Actif)]],'DATA BTO'!A:N,11,FALSE)</f>
        <v>3</v>
      </c>
      <c r="AI11" s="50">
        <f ca="1">VLOOKUP(Tableau1[[#This Row],[Key(ID-Actif)]],'DATA BTO'!A:N,12,FALSE)</f>
        <v>0</v>
      </c>
      <c r="AJ11" s="53" t="str">
        <f ca="1">VLOOKUP(Tableau1[[#This Row],[Key(ID-Actif)]],'DATA BTO'!A:N,14,FALSE)</f>
        <v>Max</v>
      </c>
      <c r="AK11" s="54">
        <f ca="1">VLOOKUP(Tableau1[[#This Row],[Key(POD -PFI- Usine)]],'DATA Consignee'!A:F,6,FALSE)</f>
        <v>2</v>
      </c>
      <c r="AL11" s="125"/>
      <c r="AM11" s="483" t="str">
        <f>IF(Tableau1[[#This Row],[Name PFI/CDD]]="","-",VLOOKUP(Tableau1[[#This Row],[Name PFI/CDD]],Plant_AILN!I:J,2,FALSE))</f>
        <v>-</v>
      </c>
      <c r="AN1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" s="2">
        <f ca="1">VLOOKUP(Tableau1[[#This Row],[Key(POD -PFI- Usine)]],'DATA Consignee'!A:J,10,FALSE)</f>
        <v>0</v>
      </c>
      <c r="AQ11" s="50">
        <f ca="1">VLOOKUP(Tableau1[[#This Row],[Key(POD -PFI- Usine)]],'DATA Consignee'!A:N,14,FALSE)</f>
        <v>2</v>
      </c>
      <c r="AR1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1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11" s="50">
        <f ca="1">Tableau1[[#This Row],[Transit time]]+Tableau1[[#This Row],[Time for security]]+Tableau1[[#This Row],[Time for security2 buffer]]</f>
        <v>46</v>
      </c>
      <c r="AU1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11" s="389">
        <f ca="1">Tableau1[[#This Row],[Leadtime SI2C]]+Tableau1[[#This Row],[First Receipt Days]]-Tableau1[[#This Row],[Day Customer Order]]+1</f>
        <v>78</v>
      </c>
      <c r="AW11" s="117">
        <f ca="1">IF(Tableau1[[#This Row],[Name ILN]]&lt;&gt;"SFK Freight Forwarder",Tableau1[[#This Row],[Cust. Leadtime]],Tableau1[[#This Row],[Leadtime SI2C]])</f>
        <v>78</v>
      </c>
      <c r="AX11" s="51" t="str">
        <f>VLOOKUP(Tableau1[[#This Row],[ID]],'DATA BTO'!B:P,15,FALSE)</f>
        <v>Renault &gt; Horse</v>
      </c>
      <c r="AY11" s="328">
        <f ca="1">IFERROR(VLOOKUP(Tableau1[[#This Row],[Key(ID-Actif)]],'DATA BTO'!A:N,4,FALSE),VLOOKUP(Tableau1[[#This Row],[ID]],'DATA BTO'!B:N,3,FALSE))</f>
        <v>46142</v>
      </c>
      <c r="AZ11" s="50" t="str">
        <f>IF(ISNUMBER(Tableau1[[#This Row],[Day Customer Order]]),"-","Please Check 'Name' information in 'Order' Sheet to make sure they have information")</f>
        <v>-</v>
      </c>
      <c r="BA1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" s="50"/>
    </row>
    <row r="12" spans="2:57">
      <c r="B12" s="65" t="str">
        <f>_xlfn.CONCAT(Tableau1[[#This Row],[Name ILN]],"-",Tableau1[[#This Row],[Name Shipper]],"-",Tableau1[[#This Row],[Name Site]])</f>
        <v>ILN VLL-SEVILLE-MEXIQUE AGV</v>
      </c>
      <c r="C12" s="65" t="str">
        <f ca="1">_xlfn.CONCAT(Tableau1[[#This Row],[Compte ILN]],"-",Tableau1[[#This Row],[Compte Shipper]],"-",Tableau1[[#This Row],[POL]],"-",Tableau1[[#This Row],[Compte Consignee]])</f>
        <v>91018400-91017500-ESALG-90101300</v>
      </c>
      <c r="D12" s="64" t="str">
        <f ca="1">_xlfn.CONCAT(Tableau1[[#This Row],[Compte ILN]],"-",Tableau1[[#This Row],[Compte Shipper]],"-",Tableau1[[#This Row],[POL]])</f>
        <v>91018400-91017500-ESALG</v>
      </c>
      <c r="E12" s="396" t="str">
        <f ca="1">_xlfn.CONCAT(Tableau1[[#This Row],[POL]],"-",Tableau1[[#This Row],[Carrier]],"-",Tableau1[[#This Row],[POD]])</f>
        <v>ESALG-Hapag Lloyd-MXATM</v>
      </c>
      <c r="F12" s="64" t="str">
        <f>_xlfn.CONCAT(Tableau1[[#This Row],[ID]],"-","Actif")</f>
        <v>258-Actif</v>
      </c>
      <c r="G12" s="64" t="str">
        <f ca="1">_xlfn.CONCAT(Tableau1[[#This Row],[POD]],"-",Tableau1[[#This Row],[Code PFI]],"-",Tableau1[[#This Row],[Compte Consignee]])</f>
        <v>MXATM---90101300</v>
      </c>
      <c r="H12" s="396" t="str">
        <f ca="1">_xlfn.CONCAT(IF(Tableau1[[#This Row],[Name ILN]]=Tableau1[[#This Row],[Name Shipper]],Tableau1[[#This Row],[Name ILN]],Tableau1[[#This Row],[Compte Shipper]]),Tableau1[[#This Row],[POL]],Tableau1[[#This Row],[Name Site]])</f>
        <v>91017500ESALGMEXIQUE AGV</v>
      </c>
      <c r="I1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MEXIQUE AGV-ILN VLL-SEVILLE-258-ESALG-Hapag Lloyd-MXATM-</v>
      </c>
      <c r="J12" s="397" t="str">
        <f ca="1">IF(COUNTIF(I:I,Tableau1[[#This Row],[Plant-ILN-shipper-POL-Carrier-POD-PFI]])=1,"Non","Oui")</f>
        <v>Non</v>
      </c>
      <c r="K12" s="398" t="str">
        <f>VLOOKUP(Tableau1[[#This Row],[Name Site]],Plant_AILN!A:D,4,FALSE)</f>
        <v>MEXICO</v>
      </c>
      <c r="L12" s="285" t="s">
        <v>146</v>
      </c>
      <c r="M12" s="480">
        <f>VLOOKUP(Tableau1[[#This Row],[Name Site]],Plant_AILN!A:C,3,FALSE)</f>
        <v>90101300</v>
      </c>
      <c r="N12" s="55">
        <f>VLOOKUP(Tableau1[[#This Row],[Compte Consignee]],Order!C:D,2,FALSE)</f>
        <v>7</v>
      </c>
      <c r="O12" s="114" t="s">
        <v>144</v>
      </c>
      <c r="P12" s="481">
        <f>VLOOKUP(Tableau1[[#This Row],[Name ILN]],Plant_AILN!F:G,2,FALSE)</f>
        <v>91018400</v>
      </c>
      <c r="Q12" s="50">
        <f>VLOOKUP(Tableau1[[#This Row],[Compte ILN]],'DATA ILN'!D:I,6,FALSE)</f>
        <v>9</v>
      </c>
      <c r="R12" s="50">
        <f ca="1">IFERROR(VLOOKUP(Tableau1[[#This Row],[Key(Compte ILN - shipper - POL - plant)]],'DATA ILN'!A:J,10,FALSE),VLOOKUP(Tableau1[[#This Row],[Key(Compte ILN - shipper - POL)]],'DATA ILN'!B:J,9,FALSE))</f>
        <v>14</v>
      </c>
      <c r="S12" s="50">
        <f ca="1">IFERROR(VLOOKUP(Tableau1[[#This Row],[Key(Compte ILN - shipper - POL - plant)]],'DATA ILN'!A:K,11,FALSE),VLOOKUP(Tableau1[[#This Row],[Key(Compte ILN - shipper - POL)]],'DATA ILN'!B:K,10,FALSE))</f>
        <v>5</v>
      </c>
      <c r="T12" s="50">
        <f ca="1">IFERROR(VLOOKUP(Tableau1[[#This Row],[Key(Compte ILN - shipper - POL - plant)]],'DATA ILN'!A:L,12,FALSE),VLOOKUP(Tableau1[[#This Row],[Key(Compte ILN - shipper - POL)]],'DATA ILN'!B:L,11,FALSE))</f>
        <v>7</v>
      </c>
      <c r="U12" s="50">
        <f ca="1">Tableau1[[#This Row],[Day ILN Order]]+Tableau1[[#This Row],[Delivery time to ILN/Shipper]]-1</f>
        <v>22</v>
      </c>
      <c r="V12" s="50">
        <f ca="1">IFERROR(VLOOKUP(Tableau1[[#This Row],[Key(Compte ILN - shipper - POL - plant)]],'DATA ILN'!A:N,14,FALSE),VLOOKUP(Tableau1[[#This Row],[Key(Compte ILN - shipper - POL)]],'DATA ILN'!B:N,13,FALSE))</f>
        <v>1</v>
      </c>
      <c r="W12" s="53">
        <f ca="1">IFERROR(VLOOKUP(Tableau1[[#This Row],[Key(Compte ILN - shipper - POL - plant)]],'DATA ILN'!A:P,16,FALSE),VLOOKUP(Tableau1[[#This Row],[Key(Compte ILN - shipper - POL)]],'DATA ILN'!B:P,15,FALSE))</f>
        <v>2</v>
      </c>
      <c r="X12" s="283" t="s">
        <v>145</v>
      </c>
      <c r="Y12" s="482">
        <f>IFERROR(VLOOKUP(Tableau1[[#This Row],[Name Shipper]],Plant_AILN!L:M,2,FALSE),0)</f>
        <v>91017500</v>
      </c>
      <c r="Z12" s="358">
        <v>258</v>
      </c>
      <c r="AA12" s="353" t="str">
        <f ca="1">VLOOKUP(Tableau1[[#This Row],[Key(ID-Actif)]],'DATA BTO'!A:N,5,FALSE)</f>
        <v>ESALG</v>
      </c>
      <c r="AB12" s="3" t="str">
        <f ca="1">VLOOKUP(Tableau1[[#This Row],[Key(ID-Actif)]],'DATA BTO'!A:N,6,FALSE)</f>
        <v>Hapag Lloyd</v>
      </c>
      <c r="AC12" s="50">
        <f ca="1">VLOOKUP(Tableau1[[#This Row],[Key(ID-Actif)]],'DATA BTO'!A:N,7,FALSE)</f>
        <v>4</v>
      </c>
      <c r="AD12" s="50">
        <f ca="1">VLOOKUP(Tableau1[[#This Row],[Key(ID-Actif)]],'DATA BTO'!A:N,8,FALSE)</f>
        <v>6</v>
      </c>
      <c r="AE12" s="50">
        <f ca="1">IF(Tableau1[[#This Row],[First Day to POL]]&lt;=Tableau1[[#This Row],[Day Cut Off]],Tableau1[[#This Row],[Day ETD]],Tableau1[[#This Row],[Day ETD]]+7)</f>
        <v>6</v>
      </c>
      <c r="AF12" s="50">
        <f ca="1">VLOOKUP(Tableau1[[#This Row],[Key(ID-Actif)]],'DATA BTO'!A:N,9,FALSE)</f>
        <v>21</v>
      </c>
      <c r="AG12" s="3" t="str">
        <f ca="1">VLOOKUP(Tableau1[[#This Row],[Key(ID-Actif)]],'DATA BTO'!A:N,10,FALSE)</f>
        <v>MXATM</v>
      </c>
      <c r="AH12" s="3">
        <f ca="1">VLOOKUP(Tableau1[[#This Row],[Key(ID-Actif)]],'DATA BTO'!A:N,11,FALSE)</f>
        <v>3</v>
      </c>
      <c r="AI12" s="50">
        <f ca="1">VLOOKUP(Tableau1[[#This Row],[Key(ID-Actif)]],'DATA BTO'!A:N,12,FALSE)</f>
        <v>7</v>
      </c>
      <c r="AJ12" s="53" t="str">
        <f ca="1">VLOOKUP(Tableau1[[#This Row],[Key(ID-Actif)]],'DATA BTO'!A:N,14,FALSE)</f>
        <v>Max</v>
      </c>
      <c r="AK12" s="54">
        <f ca="1">VLOOKUP(Tableau1[[#This Row],[Key(POD -PFI- Usine)]],'DATA Consignee'!A:F,6,FALSE)</f>
        <v>3</v>
      </c>
      <c r="AL12" s="125"/>
      <c r="AM12" s="483" t="str">
        <f>IF(Tableau1[[#This Row],[Name PFI/CDD]]="","-",VLOOKUP(Tableau1[[#This Row],[Name PFI/CDD]],Plant_AILN!I:J,2,FALSE))</f>
        <v>-</v>
      </c>
      <c r="AN1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" s="2">
        <f ca="1">VLOOKUP(Tableau1[[#This Row],[Key(POD -PFI- Usine)]],'DATA Consignee'!A:J,10,FALSE)</f>
        <v>0</v>
      </c>
      <c r="AQ12" s="50">
        <f ca="1">VLOOKUP(Tableau1[[#This Row],[Key(POD -PFI- Usine)]],'DATA Consignee'!A:N,14,FALSE)</f>
        <v>2</v>
      </c>
      <c r="AR1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1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12" s="50">
        <f ca="1">Tableau1[[#This Row],[Transit time]]+Tableau1[[#This Row],[Time for security]]+Tableau1[[#This Row],[Time for security2 buffer]]</f>
        <v>31</v>
      </c>
      <c r="AU1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48</v>
      </c>
      <c r="AV12" s="389">
        <f ca="1">Tableau1[[#This Row],[Leadtime SI2C]]+Tableau1[[#This Row],[First Receipt Days]]-Tableau1[[#This Row],[Day Customer Order]]+1</f>
        <v>64</v>
      </c>
      <c r="AW12" s="117">
        <f ca="1">IF(Tableau1[[#This Row],[Name ILN]]&lt;&gt;"SFK Freight Forwarder",Tableau1[[#This Row],[Cust. Leadtime]],Tableau1[[#This Row],[Leadtime SI2C]])</f>
        <v>64</v>
      </c>
      <c r="AX12" s="51" t="str">
        <f>VLOOKUP(Tableau1[[#This Row],[ID]],'DATA BTO'!B:P,15,FALSE)</f>
        <v>Horse &gt; Nissan</v>
      </c>
      <c r="AY12" s="328">
        <f ca="1">IFERROR(VLOOKUP(Tableau1[[#This Row],[Key(ID-Actif)]],'DATA BTO'!A:N,4,FALSE),VLOOKUP(Tableau1[[#This Row],[ID]],'DATA BTO'!B:N,3,FALSE))</f>
        <v>46142</v>
      </c>
      <c r="AZ12" s="50" t="str">
        <f>IF(ISNUMBER(Tableau1[[#This Row],[Day Customer Order]]),"-","Please Check 'Name' information in 'Order' Sheet to make sure they have information")</f>
        <v>-</v>
      </c>
      <c r="BA1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" s="50"/>
    </row>
    <row r="13" spans="2:57">
      <c r="B13" s="447" t="str">
        <f>_xlfn.CONCAT(Tableau1[[#This Row],[Name ILN]],"-",Tableau1[[#This Row],[Name Shipper]],"-",Tableau1[[#This Row],[Name Site]])</f>
        <v>ILN Bursa-ILN Bursa-MALAYSIA TCM</v>
      </c>
      <c r="C13" s="65" t="str">
        <f ca="1">_xlfn.CONCAT(Tableau1[[#This Row],[Compte ILN]],"-",Tableau1[[#This Row],[Compte Shipper]],"-",Tableau1[[#This Row],[POL]],"-",Tableau1[[#This Row],[Compte Consignee]])</f>
        <v>95112-95112-TRIZT-12300</v>
      </c>
      <c r="D13" s="64" t="str">
        <f ca="1">_xlfn.CONCAT(Tableau1[[#This Row],[Compte ILN]],"-",Tableau1[[#This Row],[Compte Shipper]],"-",Tableau1[[#This Row],[POL]])</f>
        <v>95112-95112-TRIZT</v>
      </c>
      <c r="E13" s="396" t="str">
        <f ca="1">_xlfn.CONCAT(Tableau1[[#This Row],[POL]],"-",Tableau1[[#This Row],[Carrier]],"-",Tableau1[[#This Row],[POD]])</f>
        <v>TRIZT-Hapag Lloyd-MYPKG</v>
      </c>
      <c r="F13" s="64" t="str">
        <f>_xlfn.CONCAT(Tableau1[[#This Row],[ID]],"-","Actif")</f>
        <v>619-Actif</v>
      </c>
      <c r="G13" s="64" t="str">
        <f ca="1">_xlfn.CONCAT(Tableau1[[#This Row],[POD]],"-",Tableau1[[#This Row],[Code PFI]],"-",Tableau1[[#This Row],[Compte Consignee]])</f>
        <v>MYPKG---12300</v>
      </c>
      <c r="H13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BursaTRIZTMALAYSIA TCM</v>
      </c>
      <c r="I1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MALAYSIA TCM-ILN Bursa-ILN Bursa-619-TRIZT-Hapag Lloyd-MYPKG-</v>
      </c>
      <c r="J13" s="397" t="str">
        <f ca="1">IF(COUNTIF(I:I,Tableau1[[#This Row],[Plant-ILN-shipper-POL-Carrier-POD-PFI]])=1,"Non","Oui")</f>
        <v>Non</v>
      </c>
      <c r="K13" s="126" t="str">
        <f>VLOOKUP(Tableau1[[#This Row],[Name Site]],Plant_AILN!A:D,4,FALSE)</f>
        <v xml:space="preserve">MALAYSIA </v>
      </c>
      <c r="L13" s="363" t="s">
        <v>147</v>
      </c>
      <c r="M13" s="480">
        <f>VLOOKUP(Tableau1[[#This Row],[Name Site]],Plant_AILN!A:C,3,FALSE)</f>
        <v>12300</v>
      </c>
      <c r="N13" s="55">
        <f>VLOOKUP(Tableau1[[#This Row],[Compte Consignee]],Order!C:D,2,FALSE)</f>
        <v>7</v>
      </c>
      <c r="O13" s="114" t="s">
        <v>148</v>
      </c>
      <c r="P13" s="481">
        <f>VLOOKUP(Tableau1[[#This Row],[Name ILN]],Plant_AILN!F:G,2,FALSE)</f>
        <v>95112</v>
      </c>
      <c r="Q13" s="50">
        <f>VLOOKUP(Tableau1[[#This Row],[Compte ILN]],'DATA ILN'!D:I,6,FALSE)</f>
        <v>9</v>
      </c>
      <c r="R13" s="50">
        <f ca="1">IFERROR(VLOOKUP(Tableau1[[#This Row],[Key(Compte ILN - shipper - POL - plant)]],'DATA ILN'!A:J,10,FALSE),VLOOKUP(Tableau1[[#This Row],[Key(Compte ILN - shipper - POL)]],'DATA ILN'!B:J,9,FALSE))</f>
        <v>7</v>
      </c>
      <c r="S13" s="50">
        <f ca="1">IFERROR(VLOOKUP(Tableau1[[#This Row],[Key(Compte ILN - shipper - POL - plant)]],'DATA ILN'!A:K,11,FALSE),VLOOKUP(Tableau1[[#This Row],[Key(Compte ILN - shipper - POL)]],'DATA ILN'!B:K,10,FALSE))</f>
        <v>5</v>
      </c>
      <c r="T13" s="50">
        <f ca="1">IFERROR(VLOOKUP(Tableau1[[#This Row],[Key(Compte ILN - shipper - POL - plant)]],'DATA ILN'!A:L,12,FALSE),VLOOKUP(Tableau1[[#This Row],[Key(Compte ILN - shipper - POL)]],'DATA ILN'!B:L,11,FALSE))</f>
        <v>7</v>
      </c>
      <c r="U13" s="50">
        <f ca="1">Tableau1[[#This Row],[Day ILN Order]]+Tableau1[[#This Row],[Delivery time to ILN/Shipper]]-1</f>
        <v>15</v>
      </c>
      <c r="V13" s="50">
        <f ca="1">IFERROR(VLOOKUP(Tableau1[[#This Row],[Key(Compte ILN - shipper - POL - plant)]],'DATA ILN'!A:N,14,FALSE),VLOOKUP(Tableau1[[#This Row],[Key(Compte ILN - shipper - POL)]],'DATA ILN'!B:N,13,FALSE))</f>
        <v>1</v>
      </c>
      <c r="W13" s="53">
        <f ca="1">IFERROR(VLOOKUP(Tableau1[[#This Row],[Key(Compte ILN - shipper - POL - plant)]],'DATA ILN'!A:P,16,FALSE),VLOOKUP(Tableau1[[#This Row],[Key(Compte ILN - shipper - POL)]],'DATA ILN'!B:P,15,FALSE))</f>
        <v>2</v>
      </c>
      <c r="X13" s="283" t="s">
        <v>148</v>
      </c>
      <c r="Y13" s="482">
        <f>IFERROR(VLOOKUP(Tableau1[[#This Row],[Name Shipper]],Plant_AILN!L:M,2,FALSE),0)</f>
        <v>95112</v>
      </c>
      <c r="Z13" s="358">
        <v>619</v>
      </c>
      <c r="AA13" s="353" t="str">
        <f ca="1">VLOOKUP(Tableau1[[#This Row],[Key(ID-Actif)]],'DATA BTO'!A:N,5,FALSE)</f>
        <v>TRIZT</v>
      </c>
      <c r="AB13" s="3" t="str">
        <f ca="1">VLOOKUP(Tableau1[[#This Row],[Key(ID-Actif)]],'DATA BTO'!A:N,6,FALSE)</f>
        <v>Hapag Lloyd</v>
      </c>
      <c r="AC13" s="50">
        <f ca="1">VLOOKUP(Tableau1[[#This Row],[Key(ID-Actif)]],'DATA BTO'!A:N,7,FALSE)</f>
        <v>5</v>
      </c>
      <c r="AD13" s="50">
        <f ca="1">VLOOKUP(Tableau1[[#This Row],[Key(ID-Actif)]],'DATA BTO'!A:N,8,FALSE)</f>
        <v>7</v>
      </c>
      <c r="AE13" s="50">
        <f ca="1">IF(Tableau1[[#This Row],[First Day to POL]]&lt;=Tableau1[[#This Row],[Day Cut Off]],Tableau1[[#This Row],[Day ETD]],Tableau1[[#This Row],[Day ETD]]+7)</f>
        <v>7</v>
      </c>
      <c r="AF13" s="50">
        <f ca="1">VLOOKUP(Tableau1[[#This Row],[Key(ID-Actif)]],'DATA BTO'!A:N,9,FALSE)</f>
        <v>55</v>
      </c>
      <c r="AG13" s="3" t="str">
        <f ca="1">VLOOKUP(Tableau1[[#This Row],[Key(ID-Actif)]],'DATA BTO'!A:N,10,FALSE)</f>
        <v>MYPKG</v>
      </c>
      <c r="AH13" s="3">
        <f ca="1">VLOOKUP(Tableau1[[#This Row],[Key(ID-Actif)]],'DATA BTO'!A:N,11,FALSE)</f>
        <v>3</v>
      </c>
      <c r="AI13" s="50">
        <f ca="1">VLOOKUP(Tableau1[[#This Row],[Key(ID-Actif)]],'DATA BTO'!A:N,12,FALSE)</f>
        <v>0</v>
      </c>
      <c r="AJ13" s="53" t="str">
        <f ca="1">VLOOKUP(Tableau1[[#This Row],[Key(ID-Actif)]],'DATA BTO'!A:N,14,FALSE)</f>
        <v>Max</v>
      </c>
      <c r="AK13" s="54">
        <f ca="1">VLOOKUP(Tableau1[[#This Row],[Key(POD -PFI- Usine)]],'DATA Consignee'!A:F,6,FALSE)</f>
        <v>6</v>
      </c>
      <c r="AL13" s="125"/>
      <c r="AM13" s="483" t="str">
        <f>IF(Tableau1[[#This Row],[Name PFI/CDD]]="","-",VLOOKUP(Tableau1[[#This Row],[Name PFI/CDD]],Plant_AILN!I:J,2,FALSE))</f>
        <v>-</v>
      </c>
      <c r="AN1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" s="2">
        <f ca="1">VLOOKUP(Tableau1[[#This Row],[Key(POD -PFI- Usine)]],'DATA Consignee'!A:J,10,FALSE)</f>
        <v>0</v>
      </c>
      <c r="AQ13" s="50">
        <f ca="1">VLOOKUP(Tableau1[[#This Row],[Key(POD -PFI- Usine)]],'DATA Consignee'!A:N,14,FALSE)</f>
        <v>2</v>
      </c>
      <c r="AR1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1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13" s="50">
        <f ca="1">Tableau1[[#This Row],[Transit time]]+Tableau1[[#This Row],[Time for security]]+Tableau1[[#This Row],[Time for security2 buffer]]</f>
        <v>58</v>
      </c>
      <c r="AU1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13" s="389">
        <f ca="1">Tableau1[[#This Row],[Leadtime SI2C]]+Tableau1[[#This Row],[First Receipt Days]]-Tableau1[[#This Row],[Day Customer Order]]+1</f>
        <v>92</v>
      </c>
      <c r="AW13" s="117">
        <f ca="1">IF(Tableau1[[#This Row],[Name ILN]]&lt;&gt;"SFK Freight Forwarder",Tableau1[[#This Row],[Cust. Leadtime]],Tableau1[[#This Row],[Leadtime SI2C]])</f>
        <v>92</v>
      </c>
      <c r="AX13" s="51" t="str">
        <f>VLOOKUP(Tableau1[[#This Row],[ID]],'DATA BTO'!B:P,15,FALSE)</f>
        <v>Renault &gt; Nissan</v>
      </c>
      <c r="AY13" s="328">
        <f ca="1">IFERROR(VLOOKUP(Tableau1[[#This Row],[Key(ID-Actif)]],'DATA BTO'!A:N,4,FALSE),VLOOKUP(Tableau1[[#This Row],[ID]],'DATA BTO'!B:N,3,FALSE))</f>
        <v>46142</v>
      </c>
      <c r="AZ13" s="50" t="str">
        <f>IF(ISNUMBER(Tableau1[[#This Row],[Day Customer Order]]),"-","Please Check 'Name' information in 'Order' Sheet to make sure they have information")</f>
        <v>-</v>
      </c>
      <c r="BA1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" s="50"/>
    </row>
    <row r="14" spans="2:57">
      <c r="B14" s="65" t="str">
        <f>_xlfn.CONCAT(Tableau1[[#This Row],[Name ILN]],"-",Tableau1[[#This Row],[Name Shipper]],"-",Tableau1[[#This Row],[Name Site]])</f>
        <v>SFK Freight Forwarder-Magna Shanghai-Curitiba CVP</v>
      </c>
      <c r="C14" s="65" t="str">
        <f ca="1">_xlfn.CONCAT(Tableau1[[#This Row],[Compte ILN]],"-",Tableau1[[#This Row],[Compte Shipper]],"-",Tableau1[[#This Row],[POL]],"-",Tableau1[[#This Row],[Compte Consignee]])</f>
        <v>0-42838302-CNSHA-90018000</v>
      </c>
      <c r="D14" s="64" t="str">
        <f ca="1">_xlfn.CONCAT(Tableau1[[#This Row],[Compte ILN]],"-",Tableau1[[#This Row],[Compte Shipper]],"-",Tableau1[[#This Row],[POL]])</f>
        <v>0-42838302-CNSHA</v>
      </c>
      <c r="E14" s="396" t="str">
        <f ca="1">_xlfn.CONCAT(Tableau1[[#This Row],[POL]],"-",Tableau1[[#This Row],[Carrier]],"-",Tableau1[[#This Row],[POD]])</f>
        <v>CNSHA-CMA-CGM-BRPNG</v>
      </c>
      <c r="F14" s="64" t="str">
        <f>_xlfn.CONCAT(Tableau1[[#This Row],[ID]],"-","Actif")</f>
        <v>752-Actif</v>
      </c>
      <c r="G14" s="64" t="str">
        <f ca="1">_xlfn.CONCAT(Tableau1[[#This Row],[POD]],"-",Tableau1[[#This Row],[Code PFI]],"-",Tableau1[[#This Row],[Compte Consignee]])</f>
        <v>BRPNG---90018000</v>
      </c>
      <c r="H14" s="396" t="str">
        <f ca="1">_xlfn.CONCAT(IF(Tableau1[[#This Row],[Name ILN]]=Tableau1[[#This Row],[Name Shipper]],Tableau1[[#This Row],[Name ILN]],Tableau1[[#This Row],[Compte Shipper]]),Tableau1[[#This Row],[POL]],Tableau1[[#This Row],[Name Site]])</f>
        <v>42838302CNSHACuritiba CVP</v>
      </c>
      <c r="I1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Forwarder-Magna Shanghai-752-CNSHA-CMA-CGM-BRPNG-</v>
      </c>
      <c r="J14" s="397" t="str">
        <f ca="1">IF(COUNTIF(I:I,Tableau1[[#This Row],[Plant-ILN-shipper-POL-Carrier-POD-PFI]])=1,"Non","Oui")</f>
        <v>Non</v>
      </c>
      <c r="K14" s="398" t="str">
        <f>VLOOKUP(Tableau1[[#This Row],[Name Site]],Plant_AILN!A:D,4,FALSE)</f>
        <v>BRAZIL</v>
      </c>
      <c r="L14" s="285" t="s">
        <v>149</v>
      </c>
      <c r="M14" s="480">
        <f>VLOOKUP(Tableau1[[#This Row],[Name Site]],Plant_AILN!A:C,3,FALSE)</f>
        <v>90018000</v>
      </c>
      <c r="N14" s="55">
        <f>VLOOKUP(Tableau1[[#This Row],[Compte Consignee]],Order!C:D,2,FALSE)</f>
        <v>7</v>
      </c>
      <c r="O14" s="114" t="s">
        <v>150</v>
      </c>
      <c r="P14" s="481">
        <f>VLOOKUP(Tableau1[[#This Row],[Name ILN]],Plant_AILN!F:G,2,FALSE)</f>
        <v>0</v>
      </c>
      <c r="Q14" s="50">
        <f>VLOOKUP(Tableau1[[#This Row],[Compte ILN]],'DATA ILN'!D:I,6,FALSE)</f>
        <v>9</v>
      </c>
      <c r="R14" s="50">
        <f ca="1">IFERROR(VLOOKUP(Tableau1[[#This Row],[Key(Compte ILN - shipper - POL - plant)]],'DATA ILN'!A:J,10,FALSE),VLOOKUP(Tableau1[[#This Row],[Key(Compte ILN - shipper - POL)]],'DATA ILN'!B:J,9,FALSE))</f>
        <v>7</v>
      </c>
      <c r="S14" s="50">
        <f ca="1">IFERROR(VLOOKUP(Tableau1[[#This Row],[Key(Compte ILN - shipper - POL - plant)]],'DATA ILN'!A:K,11,FALSE),VLOOKUP(Tableau1[[#This Row],[Key(Compte ILN - shipper - POL)]],'DATA ILN'!B:K,10,FALSE))</f>
        <v>5</v>
      </c>
      <c r="T14" s="50">
        <f ca="1">IFERROR(VLOOKUP(Tableau1[[#This Row],[Key(Compte ILN - shipper - POL - plant)]],'DATA ILN'!A:L,12,FALSE),VLOOKUP(Tableau1[[#This Row],[Key(Compte ILN - shipper - POL)]],'DATA ILN'!B:L,11,FALSE))</f>
        <v>7</v>
      </c>
      <c r="U14" s="50">
        <f ca="1">Tableau1[[#This Row],[Day ILN Order]]+Tableau1[[#This Row],[Delivery time to ILN/Shipper]]-1</f>
        <v>15</v>
      </c>
      <c r="V14" s="50">
        <f ca="1">IFERROR(VLOOKUP(Tableau1[[#This Row],[Key(Compte ILN - shipper - POL - plant)]],'DATA ILN'!A:N,14,FALSE),VLOOKUP(Tableau1[[#This Row],[Key(Compte ILN - shipper - POL)]],'DATA ILN'!B:N,13,FALSE))</f>
        <v>8</v>
      </c>
      <c r="W14" s="53">
        <f ca="1">IFERROR(VLOOKUP(Tableau1[[#This Row],[Key(Compte ILN - shipper - POL - plant)]],'DATA ILN'!A:P,16,FALSE),VLOOKUP(Tableau1[[#This Row],[Key(Compte ILN - shipper - POL)]],'DATA ILN'!B:P,15,FALSE))</f>
        <v>3</v>
      </c>
      <c r="X14" s="114" t="s">
        <v>151</v>
      </c>
      <c r="Y14" s="482">
        <f>IFERROR(VLOOKUP(Tableau1[[#This Row],[Name Shipper]],Plant_AILN!L:M,2,FALSE),0)</f>
        <v>42838302</v>
      </c>
      <c r="Z14" s="358">
        <v>752</v>
      </c>
      <c r="AA14" s="353" t="str">
        <f ca="1">VLOOKUP(Tableau1[[#This Row],[Key(ID-Actif)]],'DATA BTO'!A:N,5,FALSE)</f>
        <v>CNSHA</v>
      </c>
      <c r="AB14" s="3" t="str">
        <f ca="1">VLOOKUP(Tableau1[[#This Row],[Key(ID-Actif)]],'DATA BTO'!A:N,6,FALSE)</f>
        <v>CMA-CGM</v>
      </c>
      <c r="AC14" s="50">
        <f ca="1">VLOOKUP(Tableau1[[#This Row],[Key(ID-Actif)]],'DATA BTO'!A:N,7,FALSE)</f>
        <v>3</v>
      </c>
      <c r="AD14" s="50">
        <f ca="1">VLOOKUP(Tableau1[[#This Row],[Key(ID-Actif)]],'DATA BTO'!A:N,8,FALSE)</f>
        <v>5</v>
      </c>
      <c r="AE14" s="50">
        <f ca="1">IF(Tableau1[[#This Row],[First Day to POL]]&lt;=Tableau1[[#This Row],[Day Cut Off]],Tableau1[[#This Row],[Day ETD]],Tableau1[[#This Row],[Day ETD]]+7)</f>
        <v>5</v>
      </c>
      <c r="AF14" s="50">
        <f ca="1">VLOOKUP(Tableau1[[#This Row],[Key(ID-Actif)]],'DATA BTO'!A:N,9,FALSE)</f>
        <v>39</v>
      </c>
      <c r="AG14" s="3" t="str">
        <f ca="1">VLOOKUP(Tableau1[[#This Row],[Key(ID-Actif)]],'DATA BTO'!A:N,10,FALSE)</f>
        <v>BRPNG</v>
      </c>
      <c r="AH14" s="3">
        <f ca="1">VLOOKUP(Tableau1[[#This Row],[Key(ID-Actif)]],'DATA BTO'!A:N,11,FALSE)</f>
        <v>3</v>
      </c>
      <c r="AI14" s="50">
        <f ca="1">VLOOKUP(Tableau1[[#This Row],[Key(ID-Actif)]],'DATA BTO'!A:N,12,FALSE)</f>
        <v>0</v>
      </c>
      <c r="AJ14" s="53" t="str">
        <f ca="1">VLOOKUP(Tableau1[[#This Row],[Key(ID-Actif)]],'DATA BTO'!A:N,14,FALSE)</f>
        <v>Max</v>
      </c>
      <c r="AK14" s="54">
        <f ca="1">VLOOKUP(Tableau1[[#This Row],[Key(POD -PFI- Usine)]],'DATA Consignee'!A:F,6,FALSE)</f>
        <v>2</v>
      </c>
      <c r="AL14" s="125"/>
      <c r="AM14" s="483" t="str">
        <f>IF(Tableau1[[#This Row],[Name PFI/CDD]]="","-",VLOOKUP(Tableau1[[#This Row],[Name PFI/CDD]],Plant_AILN!I:J,2,FALSE))</f>
        <v>-</v>
      </c>
      <c r="AN1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" s="2">
        <f ca="1">VLOOKUP(Tableau1[[#This Row],[Key(POD -PFI- Usine)]],'DATA Consignee'!A:J,10,FALSE)</f>
        <v>0</v>
      </c>
      <c r="AQ14" s="50">
        <f ca="1">VLOOKUP(Tableau1[[#This Row],[Key(POD -PFI- Usine)]],'DATA Consignee'!A:N,14,FALSE)</f>
        <v>2</v>
      </c>
      <c r="AR1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1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14" s="50">
        <f ca="1">Tableau1[[#This Row],[Transit time]]+Tableau1[[#This Row],[Time for security]]+Tableau1[[#This Row],[Time for security2 buffer]]</f>
        <v>42</v>
      </c>
      <c r="AU1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14" s="389">
        <f ca="1">Tableau1[[#This Row],[Leadtime SI2C]]+Tableau1[[#This Row],[First Receipt Days]]-Tableau1[[#This Row],[Day Customer Order]]+1</f>
        <v>78</v>
      </c>
      <c r="AW14" s="117">
        <f ca="1">IF(Tableau1[[#This Row],[Name ILN]]&lt;&gt;"SFK Freight Forwarder",Tableau1[[#This Row],[Cust. Leadtime]],Tableau1[[#This Row],[Leadtime SI2C]])</f>
        <v>69</v>
      </c>
      <c r="AX14" s="51" t="str">
        <f>VLOOKUP(Tableau1[[#This Row],[ID]],'DATA BTO'!B:P,15,FALSE)</f>
        <v>Horse &gt; Renault</v>
      </c>
      <c r="AY14" s="328">
        <f ca="1">IFERROR(VLOOKUP(Tableau1[[#This Row],[Key(ID-Actif)]],'DATA BTO'!A:N,4,FALSE),VLOOKUP(Tableau1[[#This Row],[ID]],'DATA BTO'!B:N,3,FALSE))</f>
        <v>46142</v>
      </c>
      <c r="AZ14" s="50" t="str">
        <f>IF(ISNUMBER(Tableau1[[#This Row],[Day Customer Order]]),"-","Please Check 'Name' information in 'Order' Sheet to make sure they have information")</f>
        <v>-</v>
      </c>
      <c r="BA1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" s="50"/>
    </row>
    <row r="15" spans="2:57">
      <c r="B15" s="447" t="str">
        <f>_xlfn.CONCAT(Tableau1[[#This Row],[Name ILN]],"-",Tableau1[[#This Row],[Name Shipper]],"-",Tableau1[[#This Row],[Name Site]])</f>
        <v>SFK Freight Forwarder-Magna Shanghai-SOVAB</v>
      </c>
      <c r="C15" s="65" t="str">
        <f ca="1">_xlfn.CONCAT(Tableau1[[#This Row],[Compte ILN]],"-",Tableau1[[#This Row],[Compte Shipper]],"-",Tableau1[[#This Row],[POL]],"-",Tableau1[[#This Row],[Compte Consignee]])</f>
        <v>0-42838302-CNSHA-90016900</v>
      </c>
      <c r="D15" s="64" t="str">
        <f ca="1">_xlfn.CONCAT(Tableau1[[#This Row],[Compte ILN]],"-",Tableau1[[#This Row],[Compte Shipper]],"-",Tableau1[[#This Row],[POL]])</f>
        <v>0-42838302-CNSHA</v>
      </c>
      <c r="E15" s="396" t="str">
        <f ca="1">_xlfn.CONCAT(Tableau1[[#This Row],[POL]],"-",Tableau1[[#This Row],[Carrier]],"-",Tableau1[[#This Row],[POD]])</f>
        <v>CNSHA-Evergreen-FRLEH</v>
      </c>
      <c r="F15" s="64" t="str">
        <f>_xlfn.CONCAT(Tableau1[[#This Row],[ID]],"-","Actif")</f>
        <v>761-Actif</v>
      </c>
      <c r="G15" s="64" t="str">
        <f ca="1">_xlfn.CONCAT(Tableau1[[#This Row],[POD]],"-",Tableau1[[#This Row],[Code PFI]],"-",Tableau1[[#This Row],[Compte Consignee]])</f>
        <v>FRLEH-90016600-90016900</v>
      </c>
      <c r="H15" s="396" t="str">
        <f ca="1">_xlfn.CONCAT(IF(Tableau1[[#This Row],[Name ILN]]=Tableau1[[#This Row],[Name Shipper]],Tableau1[[#This Row],[Name ILN]],Tableau1[[#This Row],[Compte Shipper]]),Tableau1[[#This Row],[POL]],Tableau1[[#This Row],[Name Site]])</f>
        <v>42838302CNSHASOVAB</v>
      </c>
      <c r="I1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SOVAB-SFK Freight Forwarder-Magna Shanghai-761-CNSHA-Evergreen-FRLEH-CDD FR</v>
      </c>
      <c r="J15" s="397" t="str">
        <f ca="1">IF(COUNTIF(I:I,Tableau1[[#This Row],[Plant-ILN-shipper-POL-Carrier-POD-PFI]])=1,"Non","Oui")</f>
        <v>Non</v>
      </c>
      <c r="K15" s="126" t="str">
        <f>VLOOKUP(Tableau1[[#This Row],[Name Site]],Plant_AILN!A:D,4,FALSE)</f>
        <v>FRANCE</v>
      </c>
      <c r="L15" s="363" t="s">
        <v>152</v>
      </c>
      <c r="M15" s="480">
        <f>VLOOKUP(Tableau1[[#This Row],[Name Site]],Plant_AILN!A:C,3,FALSE)</f>
        <v>90016900</v>
      </c>
      <c r="N15" s="55">
        <f>VLOOKUP(Tableau1[[#This Row],[Compte Consignee]],Order!C:D,2,FALSE)</f>
        <v>7</v>
      </c>
      <c r="O15" s="114" t="s">
        <v>150</v>
      </c>
      <c r="P15" s="481">
        <f>VLOOKUP(Tableau1[[#This Row],[Name ILN]],Plant_AILN!F:G,2,FALSE)</f>
        <v>0</v>
      </c>
      <c r="Q15" s="50">
        <f>VLOOKUP(Tableau1[[#This Row],[Compte ILN]],'DATA ILN'!D:I,6,FALSE)</f>
        <v>9</v>
      </c>
      <c r="R15" s="50">
        <f ca="1">IFERROR(VLOOKUP(Tableau1[[#This Row],[Key(Compte ILN - shipper - POL - plant)]],'DATA ILN'!A:J,10,FALSE),VLOOKUP(Tableau1[[#This Row],[Key(Compte ILN - shipper - POL)]],'DATA ILN'!B:J,9,FALSE))</f>
        <v>7</v>
      </c>
      <c r="S15" s="50">
        <f ca="1">IFERROR(VLOOKUP(Tableau1[[#This Row],[Key(Compte ILN - shipper - POL - plant)]],'DATA ILN'!A:K,11,FALSE),VLOOKUP(Tableau1[[#This Row],[Key(Compte ILN - shipper - POL)]],'DATA ILN'!B:K,10,FALSE))</f>
        <v>5</v>
      </c>
      <c r="T15" s="50">
        <f ca="1">IFERROR(VLOOKUP(Tableau1[[#This Row],[Key(Compte ILN - shipper - POL - plant)]],'DATA ILN'!A:L,12,FALSE),VLOOKUP(Tableau1[[#This Row],[Key(Compte ILN - shipper - POL)]],'DATA ILN'!B:L,11,FALSE))</f>
        <v>7</v>
      </c>
      <c r="U15" s="50">
        <f ca="1">Tableau1[[#This Row],[Day ILN Order]]+Tableau1[[#This Row],[Delivery time to ILN/Shipper]]-1</f>
        <v>15</v>
      </c>
      <c r="V15" s="50">
        <f ca="1">IFERROR(VLOOKUP(Tableau1[[#This Row],[Key(Compte ILN - shipper - POL - plant)]],'DATA ILN'!A:N,14,FALSE),VLOOKUP(Tableau1[[#This Row],[Key(Compte ILN - shipper - POL)]],'DATA ILN'!B:N,13,FALSE))</f>
        <v>8</v>
      </c>
      <c r="W15" s="53">
        <f ca="1">IFERROR(VLOOKUP(Tableau1[[#This Row],[Key(Compte ILN - shipper - POL - plant)]],'DATA ILN'!A:P,16,FALSE),VLOOKUP(Tableau1[[#This Row],[Key(Compte ILN - shipper - POL)]],'DATA ILN'!B:P,15,FALSE))</f>
        <v>3</v>
      </c>
      <c r="X15" s="114" t="s">
        <v>151</v>
      </c>
      <c r="Y15" s="482">
        <f>IFERROR(VLOOKUP(Tableau1[[#This Row],[Name Shipper]],Plant_AILN!L:M,2,FALSE),0)</f>
        <v>42838302</v>
      </c>
      <c r="Z15" s="283">
        <v>761</v>
      </c>
      <c r="AA15" s="353" t="str">
        <f ca="1">VLOOKUP(Tableau1[[#This Row],[Key(ID-Actif)]],'DATA BTO'!A:N,5,FALSE)</f>
        <v>CNSHA</v>
      </c>
      <c r="AB15" s="3" t="str">
        <f ca="1">VLOOKUP(Tableau1[[#This Row],[Key(ID-Actif)]],'DATA BTO'!A:N,6,FALSE)</f>
        <v>Evergreen</v>
      </c>
      <c r="AC15" s="50">
        <f ca="1">VLOOKUP(Tableau1[[#This Row],[Key(ID-Actif)]],'DATA BTO'!A:N,7,FALSE)</f>
        <v>4</v>
      </c>
      <c r="AD15" s="50">
        <f ca="1">VLOOKUP(Tableau1[[#This Row],[Key(ID-Actif)]],'DATA BTO'!A:N,8,FALSE)</f>
        <v>6</v>
      </c>
      <c r="AE15" s="50">
        <f ca="1">IF(Tableau1[[#This Row],[First Day to POL]]&lt;=Tableau1[[#This Row],[Day Cut Off]],Tableau1[[#This Row],[Day ETD]],Tableau1[[#This Row],[Day ETD]]+7)</f>
        <v>6</v>
      </c>
      <c r="AF15" s="50">
        <f ca="1">VLOOKUP(Tableau1[[#This Row],[Key(ID-Actif)]],'DATA BTO'!A:N,9,FALSE)</f>
        <v>37</v>
      </c>
      <c r="AG15" s="3" t="str">
        <f ca="1">VLOOKUP(Tableau1[[#This Row],[Key(ID-Actif)]],'DATA BTO'!A:N,10,FALSE)</f>
        <v>FRLEH</v>
      </c>
      <c r="AH15" s="3">
        <f ca="1">VLOOKUP(Tableau1[[#This Row],[Key(ID-Actif)]],'DATA BTO'!A:N,11,FALSE)</f>
        <v>3</v>
      </c>
      <c r="AI15" s="50">
        <f ca="1">VLOOKUP(Tableau1[[#This Row],[Key(ID-Actif)]],'DATA BTO'!A:N,12,FALSE)</f>
        <v>7</v>
      </c>
      <c r="AJ15" s="53" t="str">
        <f ca="1">VLOOKUP(Tableau1[[#This Row],[Key(ID-Actif)]],'DATA BTO'!A:N,14,FALSE)</f>
        <v>Max</v>
      </c>
      <c r="AK15" s="54">
        <f ca="1">VLOOKUP(Tableau1[[#This Row],[Key(POD -PFI- Usine)]],'DATA Consignee'!A:F,6,FALSE)</f>
        <v>3</v>
      </c>
      <c r="AL15" s="125" t="s">
        <v>153</v>
      </c>
      <c r="AM15" s="483">
        <f>IF(Tableau1[[#This Row],[Name PFI/CDD]]="","-",VLOOKUP(Tableau1[[#This Row],[Name PFI/CDD]],Plant_AILN!I:J,2,FALSE))</f>
        <v>90016600</v>
      </c>
      <c r="AN1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" s="2">
        <f ca="1">VLOOKUP(Tableau1[[#This Row],[Key(POD -PFI- Usine)]],'DATA Consignee'!A:J,10,FALSE)</f>
        <v>2</v>
      </c>
      <c r="AQ15" s="50">
        <f ca="1">VLOOKUP(Tableau1[[#This Row],[Key(POD -PFI- Usine)]],'DATA Consignee'!A:N,14,FALSE)</f>
        <v>4</v>
      </c>
      <c r="AR1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1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15" s="50">
        <f ca="1">Tableau1[[#This Row],[Transit time]]+Tableau1[[#This Row],[Time for security]]+Tableau1[[#This Row],[Time for security2 buffer]]</f>
        <v>47</v>
      </c>
      <c r="AU1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15" s="389">
        <f ca="1">Tableau1[[#This Row],[Leadtime SI2C]]+Tableau1[[#This Row],[First Receipt Days]]-Tableau1[[#This Row],[Day Customer Order]]+1</f>
        <v>85</v>
      </c>
      <c r="AW15" s="117">
        <f ca="1">IF(Tableau1[[#This Row],[Name ILN]]&lt;&gt;"SFK Freight Forwarder",Tableau1[[#This Row],[Cust. Leadtime]],Tableau1[[#This Row],[Leadtime SI2C]])</f>
        <v>76</v>
      </c>
      <c r="AX15" s="51" t="str">
        <f>VLOOKUP(Tableau1[[#This Row],[ID]],'DATA BTO'!B:P,15,FALSE)</f>
        <v>Horse &gt; Renault</v>
      </c>
      <c r="AY15" s="328">
        <f ca="1">IFERROR(VLOOKUP(Tableau1[[#This Row],[Key(ID-Actif)]],'DATA BTO'!A:N,4,FALSE),VLOOKUP(Tableau1[[#This Row],[ID]],'DATA BTO'!B:N,3,FALSE))</f>
        <v>46142</v>
      </c>
      <c r="AZ15" s="50" t="str">
        <f>IF(ISNUMBER(Tableau1[[#This Row],[Day Customer Order]]),"-","Please Check 'Name' information in 'Order' Sheet to make sure they have information")</f>
        <v>-</v>
      </c>
      <c r="BA1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" s="50"/>
    </row>
    <row r="16" spans="2:57">
      <c r="B16" s="65" t="str">
        <f>_xlfn.CONCAT(Tableau1[[#This Row],[Name ILN]],"-",Tableau1[[#This Row],[Name Shipper]],"-",Tableau1[[#This Row],[Name Site]])</f>
        <v>ILN VLL-SEVILLE-RKM</v>
      </c>
      <c r="C16" s="65" t="str">
        <f ca="1">_xlfn.CONCAT(Tableau1[[#This Row],[Compte ILN]],"-",Tableau1[[#This Row],[Compte Shipper]],"-",Tableau1[[#This Row],[POL]],"-",Tableau1[[#This Row],[Compte Consignee]])</f>
        <v>91018400-91017500-ESALG-92002200</v>
      </c>
      <c r="D16" s="64" t="str">
        <f ca="1">_xlfn.CONCAT(Tableau1[[#This Row],[Compte ILN]],"-",Tableau1[[#This Row],[Compte Shipper]],"-",Tableau1[[#This Row],[POL]])</f>
        <v>91018400-91017500-ESALG</v>
      </c>
      <c r="E16" s="396" t="str">
        <f ca="1">_xlfn.CONCAT(Tableau1[[#This Row],[POL]],"-",Tableau1[[#This Row],[Carrier]],"-",Tableau1[[#This Row],[POD]])</f>
        <v>ESALG-Hapag Lloyd-KRPUS</v>
      </c>
      <c r="F16" s="64" t="str">
        <f>_xlfn.CONCAT(Tableau1[[#This Row],[ID]],"-","Actif")</f>
        <v>801-Actif</v>
      </c>
      <c r="G16" s="64" t="str">
        <f ca="1">_xlfn.CONCAT(Tableau1[[#This Row],[POD]],"-",Tableau1[[#This Row],[Code PFI]],"-",Tableau1[[#This Row],[Compte Consignee]])</f>
        <v>KRPUS---92002200</v>
      </c>
      <c r="H16" s="396" t="str">
        <f ca="1">_xlfn.CONCAT(IF(Tableau1[[#This Row],[Name ILN]]=Tableau1[[#This Row],[Name Shipper]],Tableau1[[#This Row],[Name ILN]],Tableau1[[#This Row],[Compte Shipper]]),Tableau1[[#This Row],[POL]],Tableau1[[#This Row],[Name Site]])</f>
        <v>91017500ESALGRKM</v>
      </c>
      <c r="I1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RKM-ILN VLL-SEVILLE-801-ESALG-Hapag Lloyd-KRPUS-</v>
      </c>
      <c r="J16" s="397" t="str">
        <f ca="1">IF(COUNTIF(I:I,Tableau1[[#This Row],[Plant-ILN-shipper-POL-Carrier-POD-PFI]])=1,"Non","Oui")</f>
        <v>Non</v>
      </c>
      <c r="K16" s="398" t="str">
        <f>VLOOKUP(Tableau1[[#This Row],[Name Site]],Plant_AILN!A:D,4,FALSE)</f>
        <v>KOREA</v>
      </c>
      <c r="L16" s="285" t="s">
        <v>36</v>
      </c>
      <c r="M16" s="480">
        <f>VLOOKUP(Tableau1[[#This Row],[Name Site]],Plant_AILN!A:C,3,FALSE)</f>
        <v>92002200</v>
      </c>
      <c r="N16" s="55">
        <f>VLOOKUP(Tableau1[[#This Row],[Compte Consignee]],Order!C:D,2,FALSE)</f>
        <v>7</v>
      </c>
      <c r="O16" s="114" t="s">
        <v>144</v>
      </c>
      <c r="P16" s="481">
        <f>VLOOKUP(Tableau1[[#This Row],[Name ILN]],Plant_AILN!F:G,2,FALSE)</f>
        <v>91018400</v>
      </c>
      <c r="Q16" s="50">
        <f>VLOOKUP(Tableau1[[#This Row],[Compte ILN]],'DATA ILN'!D:I,6,FALSE)</f>
        <v>9</v>
      </c>
      <c r="R16" s="50">
        <f ca="1">IFERROR(VLOOKUP(Tableau1[[#This Row],[Key(Compte ILN - shipper - POL - plant)]],'DATA ILN'!A:J,10,FALSE),VLOOKUP(Tableau1[[#This Row],[Key(Compte ILN - shipper - POL)]],'DATA ILN'!B:J,9,FALSE))</f>
        <v>14</v>
      </c>
      <c r="S16" s="50">
        <f ca="1">IFERROR(VLOOKUP(Tableau1[[#This Row],[Key(Compte ILN - shipper - POL - plant)]],'DATA ILN'!A:K,11,FALSE),VLOOKUP(Tableau1[[#This Row],[Key(Compte ILN - shipper - POL)]],'DATA ILN'!B:K,10,FALSE))</f>
        <v>5</v>
      </c>
      <c r="T16" s="50">
        <f ca="1">IFERROR(VLOOKUP(Tableau1[[#This Row],[Key(Compte ILN - shipper - POL - plant)]],'DATA ILN'!A:L,12,FALSE),VLOOKUP(Tableau1[[#This Row],[Key(Compte ILN - shipper - POL)]],'DATA ILN'!B:L,11,FALSE))</f>
        <v>7</v>
      </c>
      <c r="U16" s="50">
        <f ca="1">Tableau1[[#This Row],[Day ILN Order]]+Tableau1[[#This Row],[Delivery time to ILN/Shipper]]-1</f>
        <v>22</v>
      </c>
      <c r="V16" s="50">
        <f ca="1">IFERROR(VLOOKUP(Tableau1[[#This Row],[Key(Compte ILN - shipper - POL - plant)]],'DATA ILN'!A:N,14,FALSE),VLOOKUP(Tableau1[[#This Row],[Key(Compte ILN - shipper - POL)]],'DATA ILN'!B:N,13,FALSE))</f>
        <v>2</v>
      </c>
      <c r="W16" s="53">
        <f ca="1">IFERROR(VLOOKUP(Tableau1[[#This Row],[Key(Compte ILN - shipper - POL - plant)]],'DATA ILN'!A:P,16,FALSE),VLOOKUP(Tableau1[[#This Row],[Key(Compte ILN - shipper - POL)]],'DATA ILN'!B:P,15,FALSE))</f>
        <v>3</v>
      </c>
      <c r="X16" s="114" t="s">
        <v>145</v>
      </c>
      <c r="Y16" s="482">
        <f>IFERROR(VLOOKUP(Tableau1[[#This Row],[Name Shipper]],Plant_AILN!L:M,2,FALSE),0)</f>
        <v>91017500</v>
      </c>
      <c r="Z16" s="358">
        <v>801</v>
      </c>
      <c r="AA16" s="353" t="str">
        <f ca="1">VLOOKUP(Tableau1[[#This Row],[Key(ID-Actif)]],'DATA BTO'!A:N,5,FALSE)</f>
        <v>ESALG</v>
      </c>
      <c r="AB16" s="3" t="str">
        <f ca="1">VLOOKUP(Tableau1[[#This Row],[Key(ID-Actif)]],'DATA BTO'!A:N,6,FALSE)</f>
        <v>Hapag Lloyd</v>
      </c>
      <c r="AC16" s="50">
        <f ca="1">VLOOKUP(Tableau1[[#This Row],[Key(ID-Actif)]],'DATA BTO'!A:N,7,FALSE)</f>
        <v>4</v>
      </c>
      <c r="AD16" s="50">
        <f ca="1">VLOOKUP(Tableau1[[#This Row],[Key(ID-Actif)]],'DATA BTO'!A:N,8,FALSE)</f>
        <v>6</v>
      </c>
      <c r="AE16" s="50">
        <f ca="1">IF(Tableau1[[#This Row],[First Day to POL]]&lt;=Tableau1[[#This Row],[Day Cut Off]],Tableau1[[#This Row],[Day ETD]],Tableau1[[#This Row],[Day ETD]]+7)</f>
        <v>6</v>
      </c>
      <c r="AF16" s="50">
        <f ca="1">VLOOKUP(Tableau1[[#This Row],[Key(ID-Actif)]],'DATA BTO'!A:N,9,FALSE)</f>
        <v>41</v>
      </c>
      <c r="AG16" s="3" t="str">
        <f ca="1">VLOOKUP(Tableau1[[#This Row],[Key(ID-Actif)]],'DATA BTO'!A:N,10,FALSE)</f>
        <v>KRPUS</v>
      </c>
      <c r="AH16" s="3">
        <f ca="1">VLOOKUP(Tableau1[[#This Row],[Key(ID-Actif)]],'DATA BTO'!A:N,11,FALSE)</f>
        <v>3</v>
      </c>
      <c r="AI16" s="50">
        <f ca="1">VLOOKUP(Tableau1[[#This Row],[Key(ID-Actif)]],'DATA BTO'!A:N,12,FALSE)</f>
        <v>14</v>
      </c>
      <c r="AJ16" s="53" t="str">
        <f ca="1">VLOOKUP(Tableau1[[#This Row],[Key(ID-Actif)]],'DATA BTO'!A:N,14,FALSE)</f>
        <v>Max</v>
      </c>
      <c r="AK16" s="54">
        <f ca="1">VLOOKUP(Tableau1[[#This Row],[Key(POD -PFI- Usine)]],'DATA Consignee'!A:F,6,FALSE)</f>
        <v>2</v>
      </c>
      <c r="AL16" s="125"/>
      <c r="AM16" s="483" t="str">
        <f>IF(Tableau1[[#This Row],[Name PFI/CDD]]="","-",VLOOKUP(Tableau1[[#This Row],[Name PFI/CDD]],Plant_AILN!I:J,2,FALSE))</f>
        <v>-</v>
      </c>
      <c r="AN1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" s="2">
        <f ca="1">VLOOKUP(Tableau1[[#This Row],[Key(POD -PFI- Usine)]],'DATA Consignee'!A:J,10,FALSE)</f>
        <v>0</v>
      </c>
      <c r="AQ16" s="50">
        <f ca="1">VLOOKUP(Tableau1[[#This Row],[Key(POD -PFI- Usine)]],'DATA Consignee'!A:N,14,FALSE)</f>
        <v>1</v>
      </c>
      <c r="AR1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1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16" s="50">
        <f ca="1">Tableau1[[#This Row],[Transit time]]+Tableau1[[#This Row],[Time for security]]+Tableau1[[#This Row],[Time for security2 buffer]]</f>
        <v>58</v>
      </c>
      <c r="AU1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16" s="389">
        <f ca="1">Tableau1[[#This Row],[Leadtime SI2C]]+Tableau1[[#This Row],[First Receipt Days]]-Tableau1[[#This Row],[Day Customer Order]]+1</f>
        <v>92</v>
      </c>
      <c r="AW16" s="117">
        <f ca="1">IF(Tableau1[[#This Row],[Name ILN]]&lt;&gt;"SFK Freight Forwarder",Tableau1[[#This Row],[Cust. Leadtime]],Tableau1[[#This Row],[Leadtime SI2C]])</f>
        <v>92</v>
      </c>
      <c r="AX16" s="51" t="str">
        <f>VLOOKUP(Tableau1[[#This Row],[ID]],'DATA BTO'!B:P,15,FALSE)</f>
        <v>Horse &gt; Renault</v>
      </c>
      <c r="AY16" s="328">
        <f ca="1">IFERROR(VLOOKUP(Tableau1[[#This Row],[Key(ID-Actif)]],'DATA BTO'!A:N,4,FALSE),VLOOKUP(Tableau1[[#This Row],[ID]],'DATA BTO'!B:N,3,FALSE))</f>
        <v>46142</v>
      </c>
      <c r="AZ16" s="50" t="str">
        <f>IF(ISNUMBER(Tableau1[[#This Row],[Day Customer Order]]),"-","Please Check 'Name' information in 'Order' Sheet to make sure they have information")</f>
        <v>-</v>
      </c>
      <c r="BA1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" s="50"/>
    </row>
    <row r="17" spans="2:57">
      <c r="B17" s="65" t="str">
        <f>_xlfn.CONCAT(Tableau1[[#This Row],[Name ILN]],"-",Tableau1[[#This Row],[Name Shipper]],"-",Tableau1[[#This Row],[Name Site]])</f>
        <v>ILN Tanger-ILN Tanger-Curitiba CMO</v>
      </c>
      <c r="C17" s="65" t="str">
        <f ca="1">_xlfn.CONCAT(Tableau1[[#This Row],[Compte ILN]],"-",Tableau1[[#This Row],[Compte Shipper]],"-",Tableau1[[#This Row],[POL]],"-",Tableau1[[#This Row],[Compte Consignee]])</f>
        <v>92050300-92050300-MAPTM-90018600</v>
      </c>
      <c r="D17" s="64" t="str">
        <f ca="1">_xlfn.CONCAT(Tableau1[[#This Row],[Compte ILN]],"-",Tableau1[[#This Row],[Compte Shipper]],"-",Tableau1[[#This Row],[POL]])</f>
        <v>92050300-92050300-MAPTM</v>
      </c>
      <c r="E17" s="396" t="str">
        <f ca="1">_xlfn.CONCAT(Tableau1[[#This Row],[POL]],"-",Tableau1[[#This Row],[Carrier]],"-",Tableau1[[#This Row],[POD]])</f>
        <v>MAPTM-CMA-CGM-BRPNG</v>
      </c>
      <c r="F17" s="64" t="str">
        <f>_xlfn.CONCAT(Tableau1[[#This Row],[ID]],"-","Actif")</f>
        <v>900-Actif</v>
      </c>
      <c r="G17" s="64" t="str">
        <f ca="1">_xlfn.CONCAT(Tableau1[[#This Row],[POD]],"-",Tableau1[[#This Row],[Code PFI]],"-",Tableau1[[#This Row],[Compte Consignee]])</f>
        <v>BRPNG---90018600</v>
      </c>
      <c r="H17" s="396" t="str">
        <f ca="1">_xlfn.CONCAT(IF(Tableau1[[#This Row],[Name ILN]]=Tableau1[[#This Row],[Name Shipper]],Tableau1[[#This Row],[Name ILN]],Tableau1[[#This Row],[Compte Shipper]]),Tableau1[[#This Row],[POL]],Tableau1[[#This Row],[Name Site]])</f>
        <v>ILN TangerMAPTMCuritiba CMO</v>
      </c>
      <c r="I1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Tanger-ILN Tanger-900-MAPTM-CMA-CGM-BRPNG-</v>
      </c>
      <c r="J17" s="397" t="str">
        <f ca="1">IF(COUNTIF(I:I,Tableau1[[#This Row],[Plant-ILN-shipper-POL-Carrier-POD-PFI]])=1,"Non","Oui")</f>
        <v>Non</v>
      </c>
      <c r="K17" s="399" t="str">
        <f>VLOOKUP(Tableau1[[#This Row],[Name Site]],Plant_AILN!A:D,4,FALSE)</f>
        <v>BRAZIL</v>
      </c>
      <c r="L17" s="10" t="s">
        <v>154</v>
      </c>
      <c r="M17" s="480">
        <f>VLOOKUP(Tableau1[[#This Row],[Name Site]],Plant_AILN!A:C,3,FALSE)</f>
        <v>90018600</v>
      </c>
      <c r="N17" s="55">
        <f>VLOOKUP(Tableau1[[#This Row],[Compte Consignee]],Order!C:D,2,FALSE)</f>
        <v>7</v>
      </c>
      <c r="O17" s="114" t="s">
        <v>155</v>
      </c>
      <c r="P17" s="481">
        <f>VLOOKUP(Tableau1[[#This Row],[Name ILN]],Plant_AILN!F:G,2,FALSE)</f>
        <v>92050300</v>
      </c>
      <c r="Q17" s="50">
        <f>VLOOKUP(Tableau1[[#This Row],[Compte ILN]],'DATA ILN'!D:I,6,FALSE)</f>
        <v>9</v>
      </c>
      <c r="R17" s="50">
        <f ca="1">IFERROR(VLOOKUP(Tableau1[[#This Row],[Key(Compte ILN - shipper - POL - plant)]],'DATA ILN'!A:J,10,FALSE),VLOOKUP(Tableau1[[#This Row],[Key(Compte ILN - shipper - POL)]],'DATA ILN'!B:J,9,FALSE))</f>
        <v>7</v>
      </c>
      <c r="S17" s="50">
        <f ca="1">IFERROR(VLOOKUP(Tableau1[[#This Row],[Key(Compte ILN - shipper - POL - plant)]],'DATA ILN'!A:K,11,FALSE),VLOOKUP(Tableau1[[#This Row],[Key(Compte ILN - shipper - POL)]],'DATA ILN'!B:K,10,FALSE))</f>
        <v>5</v>
      </c>
      <c r="T17" s="50">
        <f ca="1">IFERROR(VLOOKUP(Tableau1[[#This Row],[Key(Compte ILN - shipper - POL - plant)]],'DATA ILN'!A:L,12,FALSE),VLOOKUP(Tableau1[[#This Row],[Key(Compte ILN - shipper - POL)]],'DATA ILN'!B:L,11,FALSE))</f>
        <v>7</v>
      </c>
      <c r="U17" s="50">
        <f ca="1">Tableau1[[#This Row],[Day ILN Order]]+Tableau1[[#This Row],[Delivery time to ILN/Shipper]]-1</f>
        <v>15</v>
      </c>
      <c r="V17" s="50">
        <f ca="1">IFERROR(VLOOKUP(Tableau1[[#This Row],[Key(Compte ILN - shipper - POL - plant)]],'DATA ILN'!A:N,14,FALSE),VLOOKUP(Tableau1[[#This Row],[Key(Compte ILN - shipper - POL)]],'DATA ILN'!B:N,13,FALSE))</f>
        <v>3</v>
      </c>
      <c r="W17" s="53">
        <f ca="1">IFERROR(VLOOKUP(Tableau1[[#This Row],[Key(Compte ILN - shipper - POL - plant)]],'DATA ILN'!A:P,16,FALSE),VLOOKUP(Tableau1[[#This Row],[Key(Compte ILN - shipper - POL)]],'DATA ILN'!B:P,15,FALSE))</f>
        <v>4</v>
      </c>
      <c r="X17" s="283" t="s">
        <v>155</v>
      </c>
      <c r="Y17" s="482">
        <f>IFERROR(VLOOKUP(Tableau1[[#This Row],[Name Shipper]],Plant_AILN!L:M,2,FALSE),0)</f>
        <v>92050300</v>
      </c>
      <c r="Z17" s="358">
        <v>900</v>
      </c>
      <c r="AA17" s="353" t="str">
        <f ca="1">VLOOKUP(Tableau1[[#This Row],[Key(ID-Actif)]],'DATA BTO'!A:N,5,FALSE)</f>
        <v>MAPTM</v>
      </c>
      <c r="AB17" s="3" t="str">
        <f ca="1">VLOOKUP(Tableau1[[#This Row],[Key(ID-Actif)]],'DATA BTO'!A:N,6,FALSE)</f>
        <v>CMA-CGM</v>
      </c>
      <c r="AC17" s="50">
        <f ca="1">VLOOKUP(Tableau1[[#This Row],[Key(ID-Actif)]],'DATA BTO'!A:N,7,FALSE)</f>
        <v>4</v>
      </c>
      <c r="AD17" s="50">
        <f ca="1">VLOOKUP(Tableau1[[#This Row],[Key(ID-Actif)]],'DATA BTO'!A:N,8,FALSE)</f>
        <v>6</v>
      </c>
      <c r="AE17" s="50">
        <f ca="1">IF(Tableau1[[#This Row],[First Day to POL]]&lt;=Tableau1[[#This Row],[Day Cut Off]],Tableau1[[#This Row],[Day ETD]],Tableau1[[#This Row],[Day ETD]]+7)</f>
        <v>6</v>
      </c>
      <c r="AF17" s="50">
        <f ca="1">VLOOKUP(Tableau1[[#This Row],[Key(ID-Actif)]],'DATA BTO'!A:N,9,FALSE)</f>
        <v>23</v>
      </c>
      <c r="AG17" s="3" t="str">
        <f ca="1">VLOOKUP(Tableau1[[#This Row],[Key(ID-Actif)]],'DATA BTO'!A:N,10,FALSE)</f>
        <v>BRPNG</v>
      </c>
      <c r="AH17" s="3">
        <f ca="1">VLOOKUP(Tableau1[[#This Row],[Key(ID-Actif)]],'DATA BTO'!A:N,11,FALSE)</f>
        <v>3</v>
      </c>
      <c r="AI17" s="50">
        <f ca="1">VLOOKUP(Tableau1[[#This Row],[Key(ID-Actif)]],'DATA BTO'!A:N,12,FALSE)</f>
        <v>0</v>
      </c>
      <c r="AJ17" s="53" t="str">
        <f ca="1">VLOOKUP(Tableau1[[#This Row],[Key(ID-Actif)]],'DATA BTO'!A:N,14,FALSE)</f>
        <v>Julien</v>
      </c>
      <c r="AK17" s="54">
        <f ca="1">VLOOKUP(Tableau1[[#This Row],[Key(POD -PFI- Usine)]],'DATA Consignee'!A:F,6,FALSE)</f>
        <v>2</v>
      </c>
      <c r="AL17" s="125"/>
      <c r="AM17" s="483" t="str">
        <f>IF(Tableau1[[#This Row],[Name PFI/CDD]]="","-",VLOOKUP(Tableau1[[#This Row],[Name PFI/CDD]],Plant_AILN!I:J,2,FALSE))</f>
        <v>-</v>
      </c>
      <c r="AN1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" s="2">
        <f ca="1">VLOOKUP(Tableau1[[#This Row],[Key(POD -PFI- Usine)]],'DATA Consignee'!A:J,10,FALSE)</f>
        <v>0</v>
      </c>
      <c r="AQ17" s="50">
        <f ca="1">VLOOKUP(Tableau1[[#This Row],[Key(POD -PFI- Usine)]],'DATA Consignee'!A:N,14,FALSE)</f>
        <v>2</v>
      </c>
      <c r="AR1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1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17" s="50">
        <f ca="1">Tableau1[[#This Row],[Transit time]]+Tableau1[[#This Row],[Time for security]]+Tableau1[[#This Row],[Time for security2 buffer]]</f>
        <v>26</v>
      </c>
      <c r="AU1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41</v>
      </c>
      <c r="AV17" s="389">
        <f ca="1">Tableau1[[#This Row],[Leadtime SI2C]]+Tableau1[[#This Row],[First Receipt Days]]-Tableau1[[#This Row],[Day Customer Order]]+1</f>
        <v>50</v>
      </c>
      <c r="AW17" s="117">
        <f ca="1">IF(Tableau1[[#This Row],[Name ILN]]&lt;&gt;"SFK Freight Forwarder",Tableau1[[#This Row],[Cust. Leadtime]],Tableau1[[#This Row],[Leadtime SI2C]])</f>
        <v>50</v>
      </c>
      <c r="AX17" s="51" t="str">
        <f>VLOOKUP(Tableau1[[#This Row],[ID]],'DATA BTO'!B:P,15,FALSE)</f>
        <v>Renault &gt; Horse</v>
      </c>
      <c r="AY17" s="328">
        <f ca="1">IFERROR(VLOOKUP(Tableau1[[#This Row],[Key(ID-Actif)]],'DATA BTO'!A:N,4,FALSE),VLOOKUP(Tableau1[[#This Row],[ID]],'DATA BTO'!B:N,3,FALSE))</f>
        <v>46142</v>
      </c>
      <c r="AZ17" s="50" t="str">
        <f>IF(ISNUMBER(Tableau1[[#This Row],[Day Customer Order]]),"-","Please Check 'Name' information in 'Order' Sheet to make sure they have information")</f>
        <v>-</v>
      </c>
      <c r="BA1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" s="50"/>
    </row>
    <row r="18" spans="2:57">
      <c r="B18" s="65" t="str">
        <f>_xlfn.CONCAT(Tableau1[[#This Row],[Name ILN]],"-",Tableau1[[#This Row],[Name Shipper]],"-",Tableau1[[#This Row],[Name Site]])</f>
        <v>ILN Curitiba-ILN Curitiba-DACIA MECA</v>
      </c>
      <c r="C18" s="65" t="str">
        <f ca="1">_xlfn.CONCAT(Tableau1[[#This Row],[Compte ILN]],"-",Tableau1[[#This Row],[Compte Shipper]],"-",Tableau1[[#This Row],[POL]],"-",Tableau1[[#This Row],[Compte Consignee]])</f>
        <v>95207-95207-BRPNG-90012500</v>
      </c>
      <c r="D18" s="64" t="str">
        <f ca="1">_xlfn.CONCAT(Tableau1[[#This Row],[Compte ILN]],"-",Tableau1[[#This Row],[Compte Shipper]],"-",Tableau1[[#This Row],[POL]])</f>
        <v>95207-95207-BRPNG</v>
      </c>
      <c r="E18" s="396" t="str">
        <f ca="1">_xlfn.CONCAT(Tableau1[[#This Row],[POL]],"-",Tableau1[[#This Row],[Carrier]],"-",Tableau1[[#This Row],[POD]])</f>
        <v>BRPNG-CMA-CGM-ROCND</v>
      </c>
      <c r="F18" s="64" t="str">
        <f>_xlfn.CONCAT(Tableau1[[#This Row],[ID]],"-","Actif")</f>
        <v>901-Actif</v>
      </c>
      <c r="G18" s="64" t="str">
        <f ca="1">_xlfn.CONCAT(Tableau1[[#This Row],[POD]],"-",Tableau1[[#This Row],[Code PFI]],"-",Tableau1[[#This Row],[Compte Consignee]])</f>
        <v>ROCND-2839004-90012500</v>
      </c>
      <c r="H18" s="396" t="str">
        <f ca="1">_xlfn.CONCAT(IF(Tableau1[[#This Row],[Name ILN]]=Tableau1[[#This Row],[Name Shipper]],Tableau1[[#This Row],[Name ILN]],Tableau1[[#This Row],[Compte Shipper]]),Tableau1[[#This Row],[POL]],Tableau1[[#This Row],[Name Site]])</f>
        <v>ILN CuritibaBRPNGDACIA MECA</v>
      </c>
      <c r="I1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Curitiba-ILN Curitiba-901-BRPNG-CMA-CGM-ROCND-Magasin Dacia</v>
      </c>
      <c r="J18" s="397" t="str">
        <f ca="1">IF(COUNTIF(I:I,Tableau1[[#This Row],[Plant-ILN-shipper-POL-Carrier-POD-PFI]])=1,"Non","Oui")</f>
        <v>Non</v>
      </c>
      <c r="K18" s="398" t="str">
        <f>VLOOKUP(Tableau1[[#This Row],[Name Site]],Plant_AILN!A:D,4,FALSE)</f>
        <v>ROMANIA</v>
      </c>
      <c r="L18" s="363" t="s">
        <v>156</v>
      </c>
      <c r="M18" s="480">
        <f>VLOOKUP(Tableau1[[#This Row],[Name Site]],Plant_AILN!A:C,3,FALSE)</f>
        <v>90012500</v>
      </c>
      <c r="N18" s="55">
        <f>VLOOKUP(Tableau1[[#This Row],[Compte Consignee]],Order!C:D,2,FALSE)</f>
        <v>7</v>
      </c>
      <c r="O18" s="114" t="s">
        <v>157</v>
      </c>
      <c r="P18" s="481">
        <f>VLOOKUP(Tableau1[[#This Row],[Name ILN]],Plant_AILN!F:G,2,FALSE)</f>
        <v>95207</v>
      </c>
      <c r="Q18" s="50">
        <f>VLOOKUP(Tableau1[[#This Row],[Compte ILN]],'DATA ILN'!D:I,6,FALSE)</f>
        <v>9</v>
      </c>
      <c r="R18" s="50">
        <f ca="1">IFERROR(VLOOKUP(Tableau1[[#This Row],[Key(Compte ILN - shipper - POL - plant)]],'DATA ILN'!A:J,10,FALSE),VLOOKUP(Tableau1[[#This Row],[Key(Compte ILN - shipper - POL)]],'DATA ILN'!B:J,9,FALSE))</f>
        <v>7</v>
      </c>
      <c r="S18" s="50">
        <f ca="1">IFERROR(VLOOKUP(Tableau1[[#This Row],[Key(Compte ILN - shipper - POL - plant)]],'DATA ILN'!A:K,11,FALSE),VLOOKUP(Tableau1[[#This Row],[Key(Compte ILN - shipper - POL)]],'DATA ILN'!B:K,10,FALSE))</f>
        <v>5</v>
      </c>
      <c r="T18" s="50">
        <f ca="1">IFERROR(VLOOKUP(Tableau1[[#This Row],[Key(Compte ILN - shipper - POL - plant)]],'DATA ILN'!A:L,12,FALSE),VLOOKUP(Tableau1[[#This Row],[Key(Compte ILN - shipper - POL)]],'DATA ILN'!B:L,11,FALSE))</f>
        <v>7</v>
      </c>
      <c r="U18" s="50">
        <f ca="1">Tableau1[[#This Row],[Day ILN Order]]+Tableau1[[#This Row],[Delivery time to ILN/Shipper]]-1</f>
        <v>15</v>
      </c>
      <c r="V18" s="50">
        <f ca="1">IFERROR(VLOOKUP(Tableau1[[#This Row],[Key(Compte ILN - shipper - POL - plant)]],'DATA ILN'!A:N,14,FALSE),VLOOKUP(Tableau1[[#This Row],[Key(Compte ILN - shipper - POL)]],'DATA ILN'!B:N,13,FALSE))</f>
        <v>4</v>
      </c>
      <c r="W18" s="53">
        <f ca="1">IFERROR(VLOOKUP(Tableau1[[#This Row],[Key(Compte ILN - shipper - POL - plant)]],'DATA ILN'!A:P,16,FALSE),VLOOKUP(Tableau1[[#This Row],[Key(Compte ILN - shipper - POL)]],'DATA ILN'!B:P,15,FALSE))</f>
        <v>5</v>
      </c>
      <c r="X18" s="283" t="s">
        <v>157</v>
      </c>
      <c r="Y18" s="482">
        <f>IFERROR(VLOOKUP(Tableau1[[#This Row],[Name Shipper]],Plant_AILN!L:M,2,FALSE),0)</f>
        <v>95207</v>
      </c>
      <c r="Z18" s="358">
        <v>901</v>
      </c>
      <c r="AA18" s="353" t="str">
        <f ca="1">VLOOKUP(Tableau1[[#This Row],[Key(ID-Actif)]],'DATA BTO'!A:N,5,FALSE)</f>
        <v>BRPNG</v>
      </c>
      <c r="AB18" s="3" t="str">
        <f ca="1">VLOOKUP(Tableau1[[#This Row],[Key(ID-Actif)]],'DATA BTO'!A:N,6,FALSE)</f>
        <v>CMA-CGM</v>
      </c>
      <c r="AC18" s="50">
        <f ca="1">VLOOKUP(Tableau1[[#This Row],[Key(ID-Actif)]],'DATA BTO'!A:N,7,FALSE)</f>
        <v>4</v>
      </c>
      <c r="AD18" s="50">
        <f ca="1">VLOOKUP(Tableau1[[#This Row],[Key(ID-Actif)]],'DATA BTO'!A:N,8,FALSE)</f>
        <v>6</v>
      </c>
      <c r="AE18" s="50">
        <f ca="1">IF(Tableau1[[#This Row],[First Day to POL]]&lt;=Tableau1[[#This Row],[Day Cut Off]],Tableau1[[#This Row],[Day ETD]],Tableau1[[#This Row],[Day ETD]]+7)</f>
        <v>13</v>
      </c>
      <c r="AF18" s="50">
        <f ca="1">VLOOKUP(Tableau1[[#This Row],[Key(ID-Actif)]],'DATA BTO'!A:N,9,FALSE)</f>
        <v>43</v>
      </c>
      <c r="AG18" s="3" t="str">
        <f ca="1">VLOOKUP(Tableau1[[#This Row],[Key(ID-Actif)]],'DATA BTO'!A:N,10,FALSE)</f>
        <v>ROCND</v>
      </c>
      <c r="AH18" s="3">
        <f ca="1">VLOOKUP(Tableau1[[#This Row],[Key(ID-Actif)]],'DATA BTO'!A:N,11,FALSE)</f>
        <v>3</v>
      </c>
      <c r="AI18" s="50">
        <f ca="1">VLOOKUP(Tableau1[[#This Row],[Key(ID-Actif)]],'DATA BTO'!A:N,12,FALSE)</f>
        <v>0</v>
      </c>
      <c r="AJ18" s="53" t="str">
        <f ca="1">VLOOKUP(Tableau1[[#This Row],[Key(ID-Actif)]],'DATA BTO'!A:N,14,FALSE)</f>
        <v>Jocelyn</v>
      </c>
      <c r="AK18" s="54">
        <f ca="1">VLOOKUP(Tableau1[[#This Row],[Key(POD -PFI- Usine)]],'DATA Consignee'!A:F,6,FALSE)</f>
        <v>1</v>
      </c>
      <c r="AL18" s="125" t="s">
        <v>158</v>
      </c>
      <c r="AM18" s="483">
        <f>IF(Tableau1[[#This Row],[Name PFI/CDD]]="","-",VLOOKUP(Tableau1[[#This Row],[Name PFI/CDD]],Plant_AILN!I:J,2,FALSE))</f>
        <v>2839004</v>
      </c>
      <c r="AN1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" s="2">
        <f ca="1">VLOOKUP(Tableau1[[#This Row],[Key(POD -PFI- Usine)]],'DATA Consignee'!A:J,10,FALSE)</f>
        <v>7</v>
      </c>
      <c r="AQ18" s="50">
        <f ca="1">VLOOKUP(Tableau1[[#This Row],[Key(POD -PFI- Usine)]],'DATA Consignee'!A:N,14,FALSE)</f>
        <v>1</v>
      </c>
      <c r="AR1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1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18" s="50">
        <f ca="1">Tableau1[[#This Row],[Transit time]]+Tableau1[[#This Row],[Time for security]]+Tableau1[[#This Row],[Time for security2 buffer]]</f>
        <v>46</v>
      </c>
      <c r="AU1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18" s="389">
        <f ca="1">Tableau1[[#This Row],[Leadtime SI2C]]+Tableau1[[#This Row],[First Receipt Days]]-Tableau1[[#This Row],[Day Customer Order]]+1</f>
        <v>85</v>
      </c>
      <c r="AW18" s="117">
        <f ca="1">IF(Tableau1[[#This Row],[Name ILN]]&lt;&gt;"SFK Freight Forwarder",Tableau1[[#This Row],[Cust. Leadtime]],Tableau1[[#This Row],[Leadtime SI2C]])</f>
        <v>85</v>
      </c>
      <c r="AX18" s="51" t="str">
        <f>VLOOKUP(Tableau1[[#This Row],[ID]],'DATA BTO'!B:P,15,FALSE)</f>
        <v>Renault &gt; Horse</v>
      </c>
      <c r="AY18" s="328">
        <f ca="1">IFERROR(VLOOKUP(Tableau1[[#This Row],[Key(ID-Actif)]],'DATA BTO'!A:N,4,FALSE),VLOOKUP(Tableau1[[#This Row],[ID]],'DATA BTO'!B:N,3,FALSE))</f>
        <v>46142</v>
      </c>
      <c r="AZ18" s="50" t="str">
        <f>IF(ISNUMBER(Tableau1[[#This Row],[Day Customer Order]]),"-","Please Check 'Name' information in 'Order' Sheet to make sure they have information")</f>
        <v>-</v>
      </c>
      <c r="BA1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" s="50"/>
    </row>
    <row r="19" spans="2:57">
      <c r="B19" s="65" t="str">
        <f>_xlfn.CONCAT(Tableau1[[#This Row],[Name ILN]],"-",Tableau1[[#This Row],[Name Shipper]],"-",Tableau1[[#This Row],[Name Site]])</f>
        <v>ILN Busan-ILN Busan-DACIA MECA</v>
      </c>
      <c r="C19" s="65" t="str">
        <f ca="1">_xlfn.CONCAT(Tableau1[[#This Row],[Compte ILN]],"-",Tableau1[[#This Row],[Compte Shipper]],"-",Tableau1[[#This Row],[POL]],"-",Tableau1[[#This Row],[Compte Consignee]])</f>
        <v>95436-95436-KRPUS-90012500</v>
      </c>
      <c r="D19" s="64" t="str">
        <f ca="1">_xlfn.CONCAT(Tableau1[[#This Row],[Compte ILN]],"-",Tableau1[[#This Row],[Compte Shipper]],"-",Tableau1[[#This Row],[POL]])</f>
        <v>95436-95436-KRPUS</v>
      </c>
      <c r="E19" s="396" t="str">
        <f ca="1">_xlfn.CONCAT(Tableau1[[#This Row],[POL]],"-",Tableau1[[#This Row],[Carrier]],"-",Tableau1[[#This Row],[POD]])</f>
        <v>KRPUS-MSC-ROCND</v>
      </c>
      <c r="F19" s="64" t="str">
        <f>_xlfn.CONCAT(Tableau1[[#This Row],[ID]],"-","Actif")</f>
        <v>902-Actif</v>
      </c>
      <c r="G19" s="64" t="str">
        <f ca="1">_xlfn.CONCAT(Tableau1[[#This Row],[POD]],"-",Tableau1[[#This Row],[Code PFI]],"-",Tableau1[[#This Row],[Compte Consignee]])</f>
        <v>ROCND-2839004-90012500</v>
      </c>
      <c r="H19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BusanKRPUSDACIA MECA</v>
      </c>
      <c r="I1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Busan-ILN Busan-902-KRPUS-MSC-ROCND-Magasin Dacia</v>
      </c>
      <c r="J19" s="397" t="str">
        <f ca="1">IF(COUNTIF(I:I,Tableau1[[#This Row],[Plant-ILN-shipper-POL-Carrier-POD-PFI]])=1,"Non","Oui")</f>
        <v>Non</v>
      </c>
      <c r="K19" s="126" t="str">
        <f>VLOOKUP(Tableau1[[#This Row],[Name Site]],Plant_AILN!A:D,4,FALSE)</f>
        <v>ROMANIA</v>
      </c>
      <c r="L19" s="10" t="s">
        <v>156</v>
      </c>
      <c r="M19" s="480">
        <f>VLOOKUP(Tableau1[[#This Row],[Name Site]],Plant_AILN!A:C,3,FALSE)</f>
        <v>90012500</v>
      </c>
      <c r="N19" s="55">
        <f>VLOOKUP(Tableau1[[#This Row],[Compte Consignee]],Order!C:D,2,FALSE)</f>
        <v>7</v>
      </c>
      <c r="O19" s="114" t="s">
        <v>159</v>
      </c>
      <c r="P19" s="481">
        <f>VLOOKUP(Tableau1[[#This Row],[Name ILN]],Plant_AILN!F:G,2,FALSE)</f>
        <v>95436</v>
      </c>
      <c r="Q19" s="50">
        <f>VLOOKUP(Tableau1[[#This Row],[Compte ILN]],'DATA ILN'!D:I,6,FALSE)</f>
        <v>9</v>
      </c>
      <c r="R19" s="50">
        <f ca="1">IFERROR(VLOOKUP(Tableau1[[#This Row],[Key(Compte ILN - shipper - POL - plant)]],'DATA ILN'!A:J,10,FALSE),VLOOKUP(Tableau1[[#This Row],[Key(Compte ILN - shipper - POL)]],'DATA ILN'!B:J,9,FALSE))</f>
        <v>14</v>
      </c>
      <c r="S19" s="50">
        <f ca="1">IFERROR(VLOOKUP(Tableau1[[#This Row],[Key(Compte ILN - shipper - POL - plant)]],'DATA ILN'!A:K,11,FALSE),VLOOKUP(Tableau1[[#This Row],[Key(Compte ILN - shipper - POL)]],'DATA ILN'!B:K,10,FALSE))</f>
        <v>5</v>
      </c>
      <c r="T19" s="50">
        <f ca="1">IFERROR(VLOOKUP(Tableau1[[#This Row],[Key(Compte ILN - shipper - POL - plant)]],'DATA ILN'!A:L,12,FALSE),VLOOKUP(Tableau1[[#This Row],[Key(Compte ILN - shipper - POL)]],'DATA ILN'!B:L,11,FALSE))</f>
        <v>7</v>
      </c>
      <c r="U19" s="50">
        <f ca="1">Tableau1[[#This Row],[Day ILN Order]]+Tableau1[[#This Row],[Delivery time to ILN/Shipper]]-1</f>
        <v>22</v>
      </c>
      <c r="V19" s="50">
        <f ca="1">IFERROR(VLOOKUP(Tableau1[[#This Row],[Key(Compte ILN - shipper - POL - plant)]],'DATA ILN'!A:N,14,FALSE),VLOOKUP(Tableau1[[#This Row],[Key(Compte ILN - shipper - POL)]],'DATA ILN'!B:N,13,FALSE))</f>
        <v>1</v>
      </c>
      <c r="W19" s="53">
        <f ca="1">IFERROR(VLOOKUP(Tableau1[[#This Row],[Key(Compte ILN - shipper - POL - plant)]],'DATA ILN'!A:P,16,FALSE),VLOOKUP(Tableau1[[#This Row],[Key(Compte ILN - shipper - POL)]],'DATA ILN'!B:P,15,FALSE))</f>
        <v>3</v>
      </c>
      <c r="X19" s="283" t="s">
        <v>159</v>
      </c>
      <c r="Y19" s="482">
        <f>IFERROR(VLOOKUP(Tableau1[[#This Row],[Name Shipper]],Plant_AILN!L:M,2,FALSE),0)</f>
        <v>95436</v>
      </c>
      <c r="Z19" s="358">
        <v>902</v>
      </c>
      <c r="AA19" s="353" t="str">
        <f ca="1">VLOOKUP(Tableau1[[#This Row],[Key(ID-Actif)]],'DATA BTO'!A:N,5,FALSE)</f>
        <v>KRPUS</v>
      </c>
      <c r="AB19" s="3" t="str">
        <f ca="1">VLOOKUP(Tableau1[[#This Row],[Key(ID-Actif)]],'DATA BTO'!A:N,6,FALSE)</f>
        <v>MSC</v>
      </c>
      <c r="AC19" s="50">
        <f ca="1">VLOOKUP(Tableau1[[#This Row],[Key(ID-Actif)]],'DATA BTO'!A:N,7,FALSE)</f>
        <v>5</v>
      </c>
      <c r="AD19" s="50">
        <f ca="1">VLOOKUP(Tableau1[[#This Row],[Key(ID-Actif)]],'DATA BTO'!A:N,8,FALSE)</f>
        <v>7</v>
      </c>
      <c r="AE19" s="50">
        <f ca="1">IF(Tableau1[[#This Row],[First Day to POL]]&lt;=Tableau1[[#This Row],[Day Cut Off]],Tableau1[[#This Row],[Day ETD]],Tableau1[[#This Row],[Day ETD]]+7)</f>
        <v>7</v>
      </c>
      <c r="AF19" s="50">
        <f ca="1">VLOOKUP(Tableau1[[#This Row],[Key(ID-Actif)]],'DATA BTO'!A:N,9,FALSE)</f>
        <v>55</v>
      </c>
      <c r="AG19" s="3" t="str">
        <f ca="1">VLOOKUP(Tableau1[[#This Row],[Key(ID-Actif)]],'DATA BTO'!A:N,10,FALSE)</f>
        <v>ROCND</v>
      </c>
      <c r="AH19" s="3">
        <f ca="1">VLOOKUP(Tableau1[[#This Row],[Key(ID-Actif)]],'DATA BTO'!A:N,11,FALSE)</f>
        <v>3</v>
      </c>
      <c r="AI19" s="50">
        <f ca="1">VLOOKUP(Tableau1[[#This Row],[Key(ID-Actif)]],'DATA BTO'!A:N,12,FALSE)</f>
        <v>7</v>
      </c>
      <c r="AJ19" s="53" t="str">
        <f ca="1">VLOOKUP(Tableau1[[#This Row],[Key(ID-Actif)]],'DATA BTO'!A:N,14,FALSE)</f>
        <v>Marc-Aurele</v>
      </c>
      <c r="AK19" s="54">
        <f ca="1">VLOOKUP(Tableau1[[#This Row],[Key(POD -PFI- Usine)]],'DATA Consignee'!A:F,6,FALSE)</f>
        <v>1</v>
      </c>
      <c r="AL19" s="125" t="s">
        <v>158</v>
      </c>
      <c r="AM19" s="483">
        <f>IF(Tableau1[[#This Row],[Name PFI/CDD]]="","-",VLOOKUP(Tableau1[[#This Row],[Name PFI/CDD]],Plant_AILN!I:J,2,FALSE))</f>
        <v>2839004</v>
      </c>
      <c r="AN1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" s="2">
        <f ca="1">VLOOKUP(Tableau1[[#This Row],[Key(POD -PFI- Usine)]],'DATA Consignee'!A:J,10,FALSE)</f>
        <v>7</v>
      </c>
      <c r="AQ19" s="50">
        <f ca="1">VLOOKUP(Tableau1[[#This Row],[Key(POD -PFI- Usine)]],'DATA Consignee'!A:N,14,FALSE)</f>
        <v>1</v>
      </c>
      <c r="AR1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1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19" s="50">
        <f ca="1">Tableau1[[#This Row],[Transit time]]+Tableau1[[#This Row],[Time for security]]+Tableau1[[#This Row],[Time for security2 buffer]]</f>
        <v>65</v>
      </c>
      <c r="AU1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19" s="389">
        <f ca="1">Tableau1[[#This Row],[Leadtime SI2C]]+Tableau1[[#This Row],[First Receipt Days]]-Tableau1[[#This Row],[Day Customer Order]]+1</f>
        <v>106</v>
      </c>
      <c r="AW19" s="117">
        <f ca="1">IF(Tableau1[[#This Row],[Name ILN]]&lt;&gt;"SFK Freight Forwarder",Tableau1[[#This Row],[Cust. Leadtime]],Tableau1[[#This Row],[Leadtime SI2C]])</f>
        <v>106</v>
      </c>
      <c r="AX19" s="51" t="str">
        <f>VLOOKUP(Tableau1[[#This Row],[ID]],'DATA BTO'!B:P,15,FALSE)</f>
        <v>Renault &gt; Horse</v>
      </c>
      <c r="AY19" s="328">
        <f ca="1">IFERROR(VLOOKUP(Tableau1[[#This Row],[Key(ID-Actif)]],'DATA BTO'!A:N,4,FALSE),VLOOKUP(Tableau1[[#This Row],[ID]],'DATA BTO'!B:N,3,FALSE))</f>
        <v>46142</v>
      </c>
      <c r="AZ19" s="50" t="str">
        <f>IF(ISNUMBER(Tableau1[[#This Row],[Day Customer Order]]),"-","Please Check 'Name' information in 'Order' Sheet to make sure they have information")</f>
        <v>-</v>
      </c>
      <c r="BA1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1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1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" s="50"/>
    </row>
    <row r="20" spans="2:57">
      <c r="B20" s="65" t="str">
        <f>_xlfn.CONCAT(Tableau1[[#This Row],[Name ILN]],"-",Tableau1[[#This Row],[Name Shipper]],"-",Tableau1[[#This Row],[Name Site]])</f>
        <v>ILN Busan-ILN Busan-CACIA</v>
      </c>
      <c r="C20" s="65" t="str">
        <f ca="1">_xlfn.CONCAT(Tableau1[[#This Row],[Compte ILN]],"-",Tableau1[[#This Row],[Compte Shipper]],"-",Tableau1[[#This Row],[POL]],"-",Tableau1[[#This Row],[Compte Consignee]])</f>
        <v>95436-95436-KRPUS-90016500</v>
      </c>
      <c r="D20" s="64" t="str">
        <f ca="1">_xlfn.CONCAT(Tableau1[[#This Row],[Compte ILN]],"-",Tableau1[[#This Row],[Compte Shipper]],"-",Tableau1[[#This Row],[POL]])</f>
        <v>95436-95436-KRPUS</v>
      </c>
      <c r="E20" s="396" t="str">
        <f ca="1">_xlfn.CONCAT(Tableau1[[#This Row],[POL]],"-",Tableau1[[#This Row],[Carrier]],"-",Tableau1[[#This Row],[POD]])</f>
        <v>KRPUS-CMA-CGM-ESVLC</v>
      </c>
      <c r="F20" s="64" t="str">
        <f>_xlfn.CONCAT(Tableau1[[#This Row],[ID]],"-","Actif")</f>
        <v>903-Actif</v>
      </c>
      <c r="G20" s="64" t="str">
        <f ca="1">_xlfn.CONCAT(Tableau1[[#This Row],[POD]],"-",Tableau1[[#This Row],[Code PFI]],"-",Tableau1[[#This Row],[Compte Consignee]])</f>
        <v>ESVLC-91018400-90016500</v>
      </c>
      <c r="H20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BusanKRPUSCACIA</v>
      </c>
      <c r="I2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CACIA-ILN Busan-ILN Busan-903-KRPUS-CMA-CGM-ESVLC-PFI VLL</v>
      </c>
      <c r="J20" s="397" t="str">
        <f ca="1">IF(COUNTIF(I:I,Tableau1[[#This Row],[Plant-ILN-shipper-POL-Carrier-POD-PFI]])=1,"Non","Oui")</f>
        <v>Non</v>
      </c>
      <c r="K20" s="126" t="str">
        <f>VLOOKUP(Tableau1[[#This Row],[Name Site]],Plant_AILN!A:D,4,FALSE)</f>
        <v>PORTUGAL</v>
      </c>
      <c r="L20" s="10" t="s">
        <v>160</v>
      </c>
      <c r="M20" s="480">
        <f>VLOOKUP(Tableau1[[#This Row],[Name Site]],Plant_AILN!A:C,3,FALSE)</f>
        <v>90016500</v>
      </c>
      <c r="N20" s="55">
        <f>VLOOKUP(Tableau1[[#This Row],[Compte Consignee]],Order!C:D,2,FALSE)</f>
        <v>7</v>
      </c>
      <c r="O20" s="114" t="s">
        <v>159</v>
      </c>
      <c r="P20" s="481">
        <f>VLOOKUP(Tableau1[[#This Row],[Name ILN]],Plant_AILN!F:G,2,FALSE)</f>
        <v>95436</v>
      </c>
      <c r="Q20" s="50">
        <f>VLOOKUP(Tableau1[[#This Row],[Compte ILN]],'DATA ILN'!D:I,6,FALSE)</f>
        <v>9</v>
      </c>
      <c r="R20" s="50">
        <f ca="1">IFERROR(VLOOKUP(Tableau1[[#This Row],[Key(Compte ILN - shipper - POL - plant)]],'DATA ILN'!A:J,10,FALSE),VLOOKUP(Tableau1[[#This Row],[Key(Compte ILN - shipper - POL)]],'DATA ILN'!B:J,9,FALSE))</f>
        <v>14</v>
      </c>
      <c r="S20" s="50">
        <f ca="1">IFERROR(VLOOKUP(Tableau1[[#This Row],[Key(Compte ILN - shipper - POL - plant)]],'DATA ILN'!A:K,11,FALSE),VLOOKUP(Tableau1[[#This Row],[Key(Compte ILN - shipper - POL)]],'DATA ILN'!B:K,10,FALSE))</f>
        <v>5</v>
      </c>
      <c r="T20" s="50">
        <f ca="1">IFERROR(VLOOKUP(Tableau1[[#This Row],[Key(Compte ILN - shipper - POL - plant)]],'DATA ILN'!A:L,12,FALSE),VLOOKUP(Tableau1[[#This Row],[Key(Compte ILN - shipper - POL)]],'DATA ILN'!B:L,11,FALSE))</f>
        <v>7</v>
      </c>
      <c r="U20" s="50">
        <f ca="1">Tableau1[[#This Row],[Day ILN Order]]+Tableau1[[#This Row],[Delivery time to ILN/Shipper]]-1</f>
        <v>22</v>
      </c>
      <c r="V20" s="50">
        <f ca="1">IFERROR(VLOOKUP(Tableau1[[#This Row],[Key(Compte ILN - shipper - POL - plant)]],'DATA ILN'!A:N,14,FALSE),VLOOKUP(Tableau1[[#This Row],[Key(Compte ILN - shipper - POL)]],'DATA ILN'!B:N,13,FALSE))</f>
        <v>1</v>
      </c>
      <c r="W20" s="53">
        <f ca="1">IFERROR(VLOOKUP(Tableau1[[#This Row],[Key(Compte ILN - shipper - POL - plant)]],'DATA ILN'!A:P,16,FALSE),VLOOKUP(Tableau1[[#This Row],[Key(Compte ILN - shipper - POL)]],'DATA ILN'!B:P,15,FALSE))</f>
        <v>5</v>
      </c>
      <c r="X20" s="283" t="s">
        <v>159</v>
      </c>
      <c r="Y20" s="482">
        <f>IFERROR(VLOOKUP(Tableau1[[#This Row],[Name Shipper]],Plant_AILN!L:M,2,FALSE),0)</f>
        <v>95436</v>
      </c>
      <c r="Z20" s="358">
        <v>903</v>
      </c>
      <c r="AA20" s="353" t="str">
        <f ca="1">VLOOKUP(Tableau1[[#This Row],[Key(ID-Actif)]],'DATA BTO'!A:N,5,FALSE)</f>
        <v>KRPUS</v>
      </c>
      <c r="AB20" s="3" t="str">
        <f ca="1">VLOOKUP(Tableau1[[#This Row],[Key(ID-Actif)]],'DATA BTO'!A:N,6,FALSE)</f>
        <v>CMA-CGM</v>
      </c>
      <c r="AC20" s="50">
        <f ca="1">VLOOKUP(Tableau1[[#This Row],[Key(ID-Actif)]],'DATA BTO'!A:N,7,FALSE)</f>
        <v>5</v>
      </c>
      <c r="AD20" s="50">
        <f ca="1">VLOOKUP(Tableau1[[#This Row],[Key(ID-Actif)]],'DATA BTO'!A:N,8,FALSE)</f>
        <v>7</v>
      </c>
      <c r="AE20" s="50">
        <f ca="1">IF(Tableau1[[#This Row],[First Day to POL]]&lt;=Tableau1[[#This Row],[Day Cut Off]],Tableau1[[#This Row],[Day ETD]],Tableau1[[#This Row],[Day ETD]]+7)</f>
        <v>7</v>
      </c>
      <c r="AF20" s="50">
        <f ca="1">VLOOKUP(Tableau1[[#This Row],[Key(ID-Actif)]],'DATA BTO'!A:N,9,FALSE)</f>
        <v>43</v>
      </c>
      <c r="AG20" s="3" t="str">
        <f ca="1">VLOOKUP(Tableau1[[#This Row],[Key(ID-Actif)]],'DATA BTO'!A:N,10,FALSE)</f>
        <v>ESVLC</v>
      </c>
      <c r="AH20" s="3">
        <f ca="1">VLOOKUP(Tableau1[[#This Row],[Key(ID-Actif)]],'DATA BTO'!A:N,11,FALSE)</f>
        <v>3</v>
      </c>
      <c r="AI20" s="50">
        <f ca="1">VLOOKUP(Tableau1[[#This Row],[Key(ID-Actif)]],'DATA BTO'!A:N,12,FALSE)</f>
        <v>7</v>
      </c>
      <c r="AJ20" s="53" t="str">
        <f ca="1">VLOOKUP(Tableau1[[#This Row],[Key(ID-Actif)]],'DATA BTO'!A:N,14,FALSE)</f>
        <v>Marc-Aurele</v>
      </c>
      <c r="AK20" s="54">
        <f ca="1">VLOOKUP(Tableau1[[#This Row],[Key(POD -PFI- Usine)]],'DATA Consignee'!A:F,6,FALSE)</f>
        <v>3</v>
      </c>
      <c r="AL20" s="125" t="s">
        <v>161</v>
      </c>
      <c r="AM20" s="483">
        <f>IF(Tableau1[[#This Row],[Name PFI/CDD]]="","-",VLOOKUP(Tableau1[[#This Row],[Name PFI/CDD]],Plant_AILN!I:J,2,FALSE))</f>
        <v>91018400</v>
      </c>
      <c r="AN20" s="6">
        <f ca="1">IF(COUNTIF(buffer_train[AILN],Tableau1[[#This Row],[Name PFI/CDD]])&gt;0,Tableau1[[#This Row],[First Receipt Days]]+Tableau1[[#This Row],[Cust.]]+Tableau1[[#This Row],[Parts Vanning]]+Tableau1[[#This Row],[Transit Time2]],"-")</f>
        <v>90</v>
      </c>
      <c r="AO20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2</v>
      </c>
      <c r="AP20" s="2">
        <f ca="1">VLOOKUP(Tableau1[[#This Row],[Key(POD -PFI- Usine)]],'DATA Consignee'!A:J,10,FALSE)</f>
        <v>3</v>
      </c>
      <c r="AQ20" s="50">
        <f ca="1">VLOOKUP(Tableau1[[#This Row],[Key(POD -PFI- Usine)]],'DATA Consignee'!A:N,14,FALSE)</f>
        <v>4</v>
      </c>
      <c r="AR2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0" s="50">
        <f ca="1">Tableau1[[#This Row],[Transit time]]+Tableau1[[#This Row],[Time for security]]+Tableau1[[#This Row],[Time for security2 buffer]]</f>
        <v>53</v>
      </c>
      <c r="AU2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20" s="389">
        <f ca="1">Tableau1[[#This Row],[Leadtime SI2C]]+Tableau1[[#This Row],[First Receipt Days]]-Tableau1[[#This Row],[Day Customer Order]]+1</f>
        <v>99</v>
      </c>
      <c r="AW20" s="117">
        <f ca="1">IF(Tableau1[[#This Row],[Name ILN]]&lt;&gt;"SFK Freight Forwarder",Tableau1[[#This Row],[Cust. Leadtime]],Tableau1[[#This Row],[Leadtime SI2C]])</f>
        <v>99</v>
      </c>
      <c r="AX20" s="51" t="str">
        <f>VLOOKUP(Tableau1[[#This Row],[ID]],'DATA BTO'!B:P,15,FALSE)</f>
        <v>Renault &gt; Horse</v>
      </c>
      <c r="AY20" s="328">
        <f ca="1">IFERROR(VLOOKUP(Tableau1[[#This Row],[Key(ID-Actif)]],'DATA BTO'!A:N,4,FALSE),VLOOKUP(Tableau1[[#This Row],[ID]],'DATA BTO'!B:N,3,FALSE))</f>
        <v>46142</v>
      </c>
      <c r="AZ20" s="50" t="str">
        <f>IF(ISNUMBER(Tableau1[[#This Row],[Day Customer Order]]),"-","Please Check 'Name' information in 'Order' Sheet to make sure they have information")</f>
        <v>-</v>
      </c>
      <c r="BA2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" s="50"/>
    </row>
    <row r="21" spans="2:57">
      <c r="B21" s="65" t="str">
        <f>_xlfn.CONCAT(Tableau1[[#This Row],[Name ILN]],"-",Tableau1[[#This Row],[Name Shipper]],"-",Tableau1[[#This Row],[Name Site]])</f>
        <v>ILN Busan-ILN Busan-SEVILLA</v>
      </c>
      <c r="C21" s="65" t="str">
        <f ca="1">_xlfn.CONCAT(Tableau1[[#This Row],[Compte ILN]],"-",Tableau1[[#This Row],[Compte Shipper]],"-",Tableau1[[#This Row],[POL]],"-",Tableau1[[#This Row],[Compte Consignee]])</f>
        <v>95436-95436-KRPUS-91017500</v>
      </c>
      <c r="D21" s="64" t="str">
        <f ca="1">_xlfn.CONCAT(Tableau1[[#This Row],[Compte ILN]],"-",Tableau1[[#This Row],[Compte Shipper]],"-",Tableau1[[#This Row],[POL]])</f>
        <v>95436-95436-KRPUS</v>
      </c>
      <c r="E21" s="396" t="str">
        <f ca="1">_xlfn.CONCAT(Tableau1[[#This Row],[POL]],"-",Tableau1[[#This Row],[Carrier]],"-",Tableau1[[#This Row],[POD]])</f>
        <v>KRPUS-CMA-CGM-ESVLC</v>
      </c>
      <c r="F21" s="64" t="str">
        <f>_xlfn.CONCAT(Tableau1[[#This Row],[ID]],"-","Actif")</f>
        <v>903-Actif</v>
      </c>
      <c r="G21" s="64" t="str">
        <f ca="1">_xlfn.CONCAT(Tableau1[[#This Row],[POD]],"-",Tableau1[[#This Row],[Code PFI]],"-",Tableau1[[#This Row],[Compte Consignee]])</f>
        <v>ESVLC-91018400-91017500</v>
      </c>
      <c r="H21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BusanKRPUSSEVILLA</v>
      </c>
      <c r="I2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SEVILLA-ILN Busan-ILN Busan-903-KRPUS-CMA-CGM-ESVLC-PFI VLL</v>
      </c>
      <c r="J21" s="397" t="str">
        <f ca="1">IF(COUNTIF(I:I,Tableau1[[#This Row],[Plant-ILN-shipper-POL-Carrier-POD-PFI]])=1,"Non","Oui")</f>
        <v>Non</v>
      </c>
      <c r="K21" s="126" t="str">
        <f>VLOOKUP(Tableau1[[#This Row],[Name Site]],Plant_AILN!A:D,4,FALSE)</f>
        <v>SPAIN</v>
      </c>
      <c r="L21" s="10" t="s">
        <v>162</v>
      </c>
      <c r="M21" s="480">
        <f>VLOOKUP(Tableau1[[#This Row],[Name Site]],Plant_AILN!A:C,3,FALSE)</f>
        <v>91017500</v>
      </c>
      <c r="N21" s="55">
        <f>VLOOKUP(Tableau1[[#This Row],[Compte Consignee]],Order!C:D,2,FALSE)</f>
        <v>7</v>
      </c>
      <c r="O21" s="114" t="s">
        <v>159</v>
      </c>
      <c r="P21" s="481">
        <f>VLOOKUP(Tableau1[[#This Row],[Name ILN]],Plant_AILN!F:G,2,FALSE)</f>
        <v>95436</v>
      </c>
      <c r="Q21" s="50">
        <f>VLOOKUP(Tableau1[[#This Row],[Compte ILN]],'DATA ILN'!D:I,6,FALSE)</f>
        <v>9</v>
      </c>
      <c r="R21" s="50">
        <f ca="1">IFERROR(VLOOKUP(Tableau1[[#This Row],[Key(Compte ILN - shipper - POL - plant)]],'DATA ILN'!A:J,10,FALSE),VLOOKUP(Tableau1[[#This Row],[Key(Compte ILN - shipper - POL)]],'DATA ILN'!B:J,9,FALSE))</f>
        <v>14</v>
      </c>
      <c r="S21" s="50">
        <f ca="1">IFERROR(VLOOKUP(Tableau1[[#This Row],[Key(Compte ILN - shipper - POL - plant)]],'DATA ILN'!A:K,11,FALSE),VLOOKUP(Tableau1[[#This Row],[Key(Compte ILN - shipper - POL)]],'DATA ILN'!B:K,10,FALSE))</f>
        <v>5</v>
      </c>
      <c r="T21" s="50">
        <f ca="1">IFERROR(VLOOKUP(Tableau1[[#This Row],[Key(Compte ILN - shipper - POL - plant)]],'DATA ILN'!A:L,12,FALSE),VLOOKUP(Tableau1[[#This Row],[Key(Compte ILN - shipper - POL)]],'DATA ILN'!B:L,11,FALSE))</f>
        <v>7</v>
      </c>
      <c r="U21" s="50">
        <f ca="1">Tableau1[[#This Row],[Day ILN Order]]+Tableau1[[#This Row],[Delivery time to ILN/Shipper]]-1</f>
        <v>22</v>
      </c>
      <c r="V21" s="50">
        <f ca="1">IFERROR(VLOOKUP(Tableau1[[#This Row],[Key(Compte ILN - shipper - POL - plant)]],'DATA ILN'!A:N,14,FALSE),VLOOKUP(Tableau1[[#This Row],[Key(Compte ILN - shipper - POL)]],'DATA ILN'!B:N,13,FALSE))</f>
        <v>1</v>
      </c>
      <c r="W21" s="53">
        <f ca="1">IFERROR(VLOOKUP(Tableau1[[#This Row],[Key(Compte ILN - shipper - POL - plant)]],'DATA ILN'!A:P,16,FALSE),VLOOKUP(Tableau1[[#This Row],[Key(Compte ILN - shipper - POL)]],'DATA ILN'!B:P,15,FALSE))</f>
        <v>5</v>
      </c>
      <c r="X21" s="283" t="s">
        <v>159</v>
      </c>
      <c r="Y21" s="482">
        <f>IFERROR(VLOOKUP(Tableau1[[#This Row],[Name Shipper]],Plant_AILN!L:M,2,FALSE),0)</f>
        <v>95436</v>
      </c>
      <c r="Z21" s="358">
        <v>903</v>
      </c>
      <c r="AA21" s="353" t="str">
        <f ca="1">VLOOKUP(Tableau1[[#This Row],[Key(ID-Actif)]],'DATA BTO'!A:N,5,FALSE)</f>
        <v>KRPUS</v>
      </c>
      <c r="AB21" s="3" t="str">
        <f ca="1">VLOOKUP(Tableau1[[#This Row],[Key(ID-Actif)]],'DATA BTO'!A:N,6,FALSE)</f>
        <v>CMA-CGM</v>
      </c>
      <c r="AC21" s="50">
        <f ca="1">VLOOKUP(Tableau1[[#This Row],[Key(ID-Actif)]],'DATA BTO'!A:N,7,FALSE)</f>
        <v>5</v>
      </c>
      <c r="AD21" s="50">
        <f ca="1">VLOOKUP(Tableau1[[#This Row],[Key(ID-Actif)]],'DATA BTO'!A:N,8,FALSE)</f>
        <v>7</v>
      </c>
      <c r="AE21" s="50">
        <f ca="1">IF(Tableau1[[#This Row],[First Day to POL]]&lt;=Tableau1[[#This Row],[Day Cut Off]],Tableau1[[#This Row],[Day ETD]],Tableau1[[#This Row],[Day ETD]]+7)</f>
        <v>7</v>
      </c>
      <c r="AF21" s="50">
        <f ca="1">VLOOKUP(Tableau1[[#This Row],[Key(ID-Actif)]],'DATA BTO'!A:N,9,FALSE)</f>
        <v>43</v>
      </c>
      <c r="AG21" s="3" t="str">
        <f ca="1">VLOOKUP(Tableau1[[#This Row],[Key(ID-Actif)]],'DATA BTO'!A:N,10,FALSE)</f>
        <v>ESVLC</v>
      </c>
      <c r="AH21" s="3">
        <f ca="1">VLOOKUP(Tableau1[[#This Row],[Key(ID-Actif)]],'DATA BTO'!A:N,11,FALSE)</f>
        <v>3</v>
      </c>
      <c r="AI21" s="50">
        <f ca="1">VLOOKUP(Tableau1[[#This Row],[Key(ID-Actif)]],'DATA BTO'!A:N,12,FALSE)</f>
        <v>7</v>
      </c>
      <c r="AJ21" s="53" t="str">
        <f ca="1">VLOOKUP(Tableau1[[#This Row],[Key(ID-Actif)]],'DATA BTO'!A:N,14,FALSE)</f>
        <v>Marc-Aurele</v>
      </c>
      <c r="AK21" s="54">
        <f ca="1">VLOOKUP(Tableau1[[#This Row],[Key(POD -PFI- Usine)]],'DATA Consignee'!A:F,6,FALSE)</f>
        <v>2</v>
      </c>
      <c r="AL21" s="125" t="s">
        <v>161</v>
      </c>
      <c r="AM21" s="483">
        <f>IF(Tableau1[[#This Row],[Name PFI/CDD]]="","-",VLOOKUP(Tableau1[[#This Row],[Name PFI/CDD]],Plant_AILN!I:J,2,FALSE))</f>
        <v>91018400</v>
      </c>
      <c r="AN21" s="6">
        <f ca="1">IF(COUNTIF(buffer_train[AILN],Tableau1[[#This Row],[Name PFI/CDD]])&gt;0,Tableau1[[#This Row],[First Receipt Days]]+Tableau1[[#This Row],[Cust.]]+Tableau1[[#This Row],[Parts Vanning]]+Tableau1[[#This Row],[Transit Time2]],"-")</f>
        <v>89</v>
      </c>
      <c r="AO21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21" s="2">
        <f ca="1">VLOOKUP(Tableau1[[#This Row],[Key(POD -PFI- Usine)]],'DATA Consignee'!A:J,10,FALSE)</f>
        <v>3</v>
      </c>
      <c r="AQ21" s="50">
        <f ca="1">VLOOKUP(Tableau1[[#This Row],[Key(POD -PFI- Usine)]],'DATA Consignee'!A:N,14,FALSE)</f>
        <v>4</v>
      </c>
      <c r="AR2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1" s="50">
        <f ca="1">Tableau1[[#This Row],[Transit time]]+Tableau1[[#This Row],[Time for security]]+Tableau1[[#This Row],[Time for security2 buffer]]</f>
        <v>53</v>
      </c>
      <c r="AU2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21" s="389">
        <f ca="1">Tableau1[[#This Row],[Leadtime SI2C]]+Tableau1[[#This Row],[First Receipt Days]]-Tableau1[[#This Row],[Day Customer Order]]+1</f>
        <v>99</v>
      </c>
      <c r="AW21" s="117">
        <f ca="1">IF(Tableau1[[#This Row],[Name ILN]]&lt;&gt;"SFK Freight Forwarder",Tableau1[[#This Row],[Cust. Leadtime]],Tableau1[[#This Row],[Leadtime SI2C]])</f>
        <v>99</v>
      </c>
      <c r="AX21" s="51" t="str">
        <f>VLOOKUP(Tableau1[[#This Row],[ID]],'DATA BTO'!B:P,15,FALSE)</f>
        <v>Renault &gt; Horse</v>
      </c>
      <c r="AY21" s="328">
        <f ca="1">IFERROR(VLOOKUP(Tableau1[[#This Row],[Key(ID-Actif)]],'DATA BTO'!A:N,4,FALSE),VLOOKUP(Tableau1[[#This Row],[ID]],'DATA BTO'!B:N,3,FALSE))</f>
        <v>46142</v>
      </c>
      <c r="AZ21" s="50" t="str">
        <f>IF(ISNUMBER(Tableau1[[#This Row],[Day Customer Order]]),"-","Please Check 'Name' information in 'Order' Sheet to make sure they have information")</f>
        <v>-</v>
      </c>
      <c r="BA2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" s="50"/>
    </row>
    <row r="22" spans="2:57">
      <c r="B22" s="65" t="str">
        <f>_xlfn.CONCAT(Tableau1[[#This Row],[Name ILN]],"-",Tableau1[[#This Row],[Name Shipper]],"-",Tableau1[[#This Row],[Name Site]])</f>
        <v>ILN Busan-ILN Busan-MOTORES</v>
      </c>
      <c r="C22" s="65" t="str">
        <f ca="1">_xlfn.CONCAT(Tableau1[[#This Row],[Compte ILN]],"-",Tableau1[[#This Row],[Compte Shipper]],"-",Tableau1[[#This Row],[POL]],"-",Tableau1[[#This Row],[Compte Consignee]])</f>
        <v>95436-95436-KRPUS-91017700</v>
      </c>
      <c r="D22" s="64" t="str">
        <f ca="1">_xlfn.CONCAT(Tableau1[[#This Row],[Compte ILN]],"-",Tableau1[[#This Row],[Compte Shipper]],"-",Tableau1[[#This Row],[POL]])</f>
        <v>95436-95436-KRPUS</v>
      </c>
      <c r="E22" s="396" t="str">
        <f ca="1">_xlfn.CONCAT(Tableau1[[#This Row],[POL]],"-",Tableau1[[#This Row],[Carrier]],"-",Tableau1[[#This Row],[POD]])</f>
        <v>KRPUS-CMA-CGM-ESVLC</v>
      </c>
      <c r="F22" s="64" t="str">
        <f>_xlfn.CONCAT(Tableau1[[#This Row],[ID]],"-","Actif")</f>
        <v>903-Actif</v>
      </c>
      <c r="G22" s="64" t="str">
        <f ca="1">_xlfn.CONCAT(Tableau1[[#This Row],[POD]],"-",Tableau1[[#This Row],[Code PFI]],"-",Tableau1[[#This Row],[Compte Consignee]])</f>
        <v>ESVLC-91018400-91017700</v>
      </c>
      <c r="H22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BusanKRPUSMOTORES</v>
      </c>
      <c r="I2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Busan-ILN Busan-903-KRPUS-CMA-CGM-ESVLC-PFI VLL</v>
      </c>
      <c r="J22" s="397" t="str">
        <f ca="1">IF(COUNTIF(I:I,Tableau1[[#This Row],[Plant-ILN-shipper-POL-Carrier-POD-PFI]])=1,"Non","Oui")</f>
        <v>Non</v>
      </c>
      <c r="K22" s="126" t="str">
        <f>VLOOKUP(Tableau1[[#This Row],[Name Site]],Plant_AILN!A:D,4,FALSE)</f>
        <v>SPAIN</v>
      </c>
      <c r="L22" s="366" t="s">
        <v>163</v>
      </c>
      <c r="M22" s="480">
        <f>VLOOKUP(Tableau1[[#This Row],[Name Site]],Plant_AILN!A:C,3,FALSE)</f>
        <v>91017700</v>
      </c>
      <c r="N22" s="55">
        <f>VLOOKUP(Tableau1[[#This Row],[Compte Consignee]],Order!C:D,2,FALSE)</f>
        <v>7</v>
      </c>
      <c r="O22" s="454" t="s">
        <v>159</v>
      </c>
      <c r="P22" s="481">
        <f>VLOOKUP(Tableau1[[#This Row],[Name ILN]],Plant_AILN!F:G,2,FALSE)</f>
        <v>95436</v>
      </c>
      <c r="Q22" s="50">
        <f>VLOOKUP(Tableau1[[#This Row],[Compte ILN]],'DATA ILN'!D:I,6,FALSE)</f>
        <v>9</v>
      </c>
      <c r="R22" s="50">
        <f ca="1">IFERROR(VLOOKUP(Tableau1[[#This Row],[Key(Compte ILN - shipper - POL - plant)]],'DATA ILN'!A:J,10,FALSE),VLOOKUP(Tableau1[[#This Row],[Key(Compte ILN - shipper - POL)]],'DATA ILN'!B:J,9,FALSE))</f>
        <v>14</v>
      </c>
      <c r="S22" s="50">
        <f ca="1">IFERROR(VLOOKUP(Tableau1[[#This Row],[Key(Compte ILN - shipper - POL - plant)]],'DATA ILN'!A:K,11,FALSE),VLOOKUP(Tableau1[[#This Row],[Key(Compte ILN - shipper - POL)]],'DATA ILN'!B:K,10,FALSE))</f>
        <v>5</v>
      </c>
      <c r="T22" s="50">
        <f ca="1">IFERROR(VLOOKUP(Tableau1[[#This Row],[Key(Compte ILN - shipper - POL - plant)]],'DATA ILN'!A:L,12,FALSE),VLOOKUP(Tableau1[[#This Row],[Key(Compte ILN - shipper - POL)]],'DATA ILN'!B:L,11,FALSE))</f>
        <v>7</v>
      </c>
      <c r="U22" s="50">
        <f ca="1">Tableau1[[#This Row],[Day ILN Order]]+Tableau1[[#This Row],[Delivery time to ILN/Shipper]]-1</f>
        <v>22</v>
      </c>
      <c r="V22" s="50">
        <f ca="1">IFERROR(VLOOKUP(Tableau1[[#This Row],[Key(Compte ILN - shipper - POL - plant)]],'DATA ILN'!A:N,14,FALSE),VLOOKUP(Tableau1[[#This Row],[Key(Compte ILN - shipper - POL)]],'DATA ILN'!B:N,13,FALSE))</f>
        <v>1</v>
      </c>
      <c r="W22" s="53">
        <f ca="1">IFERROR(VLOOKUP(Tableau1[[#This Row],[Key(Compte ILN - shipper - POL - plant)]],'DATA ILN'!A:P,16,FALSE),VLOOKUP(Tableau1[[#This Row],[Key(Compte ILN - shipper - POL)]],'DATA ILN'!B:P,15,FALSE))</f>
        <v>3</v>
      </c>
      <c r="X22" s="283" t="s">
        <v>159</v>
      </c>
      <c r="Y22" s="482">
        <f>IFERROR(VLOOKUP(Tableau1[[#This Row],[Name Shipper]],Plant_AILN!L:M,2,FALSE),0)</f>
        <v>95436</v>
      </c>
      <c r="Z22" s="367">
        <v>903</v>
      </c>
      <c r="AA22" s="353" t="str">
        <f ca="1">VLOOKUP(Tableau1[[#This Row],[Key(ID-Actif)]],'DATA BTO'!A:N,5,FALSE)</f>
        <v>KRPUS</v>
      </c>
      <c r="AB22" s="3" t="str">
        <f ca="1">VLOOKUP(Tableau1[[#This Row],[Key(ID-Actif)]],'DATA BTO'!A:N,6,FALSE)</f>
        <v>CMA-CGM</v>
      </c>
      <c r="AC22" s="50">
        <f ca="1">VLOOKUP(Tableau1[[#This Row],[Key(ID-Actif)]],'DATA BTO'!A:N,7,FALSE)</f>
        <v>5</v>
      </c>
      <c r="AD22" s="50">
        <f ca="1">VLOOKUP(Tableau1[[#This Row],[Key(ID-Actif)]],'DATA BTO'!A:N,8,FALSE)</f>
        <v>7</v>
      </c>
      <c r="AE22" s="50">
        <f ca="1">IF(Tableau1[[#This Row],[First Day to POL]]&lt;=Tableau1[[#This Row],[Day Cut Off]],Tableau1[[#This Row],[Day ETD]],Tableau1[[#This Row],[Day ETD]]+7)</f>
        <v>7</v>
      </c>
      <c r="AF22" s="50">
        <f ca="1">VLOOKUP(Tableau1[[#This Row],[Key(ID-Actif)]],'DATA BTO'!A:N,9,FALSE)</f>
        <v>43</v>
      </c>
      <c r="AG22" s="3" t="str">
        <f ca="1">VLOOKUP(Tableau1[[#This Row],[Key(ID-Actif)]],'DATA BTO'!A:N,10,FALSE)</f>
        <v>ESVLC</v>
      </c>
      <c r="AH22" s="3">
        <f ca="1">VLOOKUP(Tableau1[[#This Row],[Key(ID-Actif)]],'DATA BTO'!A:N,11,FALSE)</f>
        <v>3</v>
      </c>
      <c r="AI22" s="50">
        <f ca="1">VLOOKUP(Tableau1[[#This Row],[Key(ID-Actif)]],'DATA BTO'!A:N,12,FALSE)</f>
        <v>7</v>
      </c>
      <c r="AJ22" s="53" t="str">
        <f ca="1">VLOOKUP(Tableau1[[#This Row],[Key(ID-Actif)]],'DATA BTO'!A:N,14,FALSE)</f>
        <v>Marc-Aurele</v>
      </c>
      <c r="AK22" s="54">
        <f ca="1">VLOOKUP(Tableau1[[#This Row],[Key(POD -PFI- Usine)]],'DATA Consignee'!A:F,6,FALSE)</f>
        <v>2</v>
      </c>
      <c r="AL22" s="125" t="s">
        <v>161</v>
      </c>
      <c r="AM22" s="483">
        <f>IF(Tableau1[[#This Row],[Name PFI/CDD]]="","-",VLOOKUP(Tableau1[[#This Row],[Name PFI/CDD]],Plant_AILN!I:J,2,FALSE))</f>
        <v>91018400</v>
      </c>
      <c r="AN22" s="6">
        <f ca="1">IF(COUNTIF(buffer_train[AILN],Tableau1[[#This Row],[Name PFI/CDD]])&gt;0,Tableau1[[#This Row],[First Receipt Days]]+Tableau1[[#This Row],[Cust.]]+Tableau1[[#This Row],[Parts Vanning]]+Tableau1[[#This Row],[Transit Time2]],"-")</f>
        <v>89</v>
      </c>
      <c r="AO22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22" s="2">
        <f ca="1">VLOOKUP(Tableau1[[#This Row],[Key(POD -PFI- Usine)]],'DATA Consignee'!A:J,10,FALSE)</f>
        <v>3</v>
      </c>
      <c r="AQ22" s="50">
        <f ca="1">VLOOKUP(Tableau1[[#This Row],[Key(POD -PFI- Usine)]],'DATA Consignee'!A:N,14,FALSE)</f>
        <v>3</v>
      </c>
      <c r="AR2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2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2" s="50">
        <f ca="1">Tableau1[[#This Row],[Transit time]]+Tableau1[[#This Row],[Time for security]]+Tableau1[[#This Row],[Time for security2 buffer]]</f>
        <v>53</v>
      </c>
      <c r="AU2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2" s="389">
        <f ca="1">Tableau1[[#This Row],[Leadtime SI2C]]+Tableau1[[#This Row],[First Receipt Days]]-Tableau1[[#This Row],[Day Customer Order]]+1</f>
        <v>92</v>
      </c>
      <c r="AW22" s="117">
        <f ca="1">IF(Tableau1[[#This Row],[Name ILN]]&lt;&gt;"SFK Freight Forwarder",Tableau1[[#This Row],[Cust. Leadtime]],Tableau1[[#This Row],[Leadtime SI2C]])</f>
        <v>92</v>
      </c>
      <c r="AX22" s="51" t="str">
        <f>VLOOKUP(Tableau1[[#This Row],[ID]],'DATA BTO'!B:P,15,FALSE)</f>
        <v>Renault &gt; Horse</v>
      </c>
      <c r="AY22" s="328">
        <f ca="1">IFERROR(VLOOKUP(Tableau1[[#This Row],[Key(ID-Actif)]],'DATA BTO'!A:N,4,FALSE),VLOOKUP(Tableau1[[#This Row],[ID]],'DATA BTO'!B:N,3,FALSE))</f>
        <v>46142</v>
      </c>
      <c r="AZ22" s="50" t="str">
        <f>IF(ISNUMBER(Tableau1[[#This Row],[Day Customer Order]]),"-","Please Check 'Name' information in 'Order' Sheet to make sure they have information")</f>
        <v>-</v>
      </c>
      <c r="BA2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" s="50"/>
    </row>
    <row r="23" spans="2:57">
      <c r="B23" s="65" t="str">
        <f>_xlfn.CONCAT(Tableau1[[#This Row],[Name ILN]],"-",Tableau1[[#This Row],[Name Shipper]],"-",Tableau1[[#This Row],[Name Site]])</f>
        <v>ILN Busan-ILN Busan-OYAK MEKA</v>
      </c>
      <c r="C23" s="65" t="str">
        <f ca="1">_xlfn.CONCAT(Tableau1[[#This Row],[Compte ILN]],"-",Tableau1[[#This Row],[Compte Shipper]],"-",Tableau1[[#This Row],[POL]],"-",Tableau1[[#This Row],[Compte Consignee]])</f>
        <v>95436-95436-KRPUS-90014400</v>
      </c>
      <c r="D23" s="64" t="str">
        <f ca="1">_xlfn.CONCAT(Tableau1[[#This Row],[Compte ILN]],"-",Tableau1[[#This Row],[Compte Shipper]],"-",Tableau1[[#This Row],[POL]])</f>
        <v>95436-95436-KRPUS</v>
      </c>
      <c r="E23" s="396" t="str">
        <f ca="1">_xlfn.CONCAT(Tableau1[[#This Row],[POL]],"-",Tableau1[[#This Row],[Carrier]],"-",Tableau1[[#This Row],[POD]])</f>
        <v>KRPUS-CMA-CGM-TRIZT</v>
      </c>
      <c r="F23" s="64" t="str">
        <f>_xlfn.CONCAT(Tableau1[[#This Row],[ID]],"-","Actif")</f>
        <v>904-Actif</v>
      </c>
      <c r="G23" s="64" t="str">
        <f ca="1">_xlfn.CONCAT(Tableau1[[#This Row],[POD]],"-",Tableau1[[#This Row],[Code PFI]],"-",Tableau1[[#This Row],[Compte Consignee]])</f>
        <v>TRIZT---90014400</v>
      </c>
      <c r="H23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BusanKRPUSOYAK MEKA</v>
      </c>
      <c r="I2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Busan-ILN Busan-904-KRPUS-CMA-CGM-TRIZT-</v>
      </c>
      <c r="J23" s="397" t="str">
        <f ca="1">IF(COUNTIF(I:I,Tableau1[[#This Row],[Plant-ILN-shipper-POL-Carrier-POD-PFI]])=1,"Non","Oui")</f>
        <v>Non</v>
      </c>
      <c r="K23" s="126" t="str">
        <f>VLOOKUP(Tableau1[[#This Row],[Name Site]],Plant_AILN!A:D,4,FALSE)</f>
        <v>TURKEY</v>
      </c>
      <c r="L23" s="364" t="s">
        <v>164</v>
      </c>
      <c r="M23" s="480">
        <f>VLOOKUP(Tableau1[[#This Row],[Name Site]],Plant_AILN!A:C,3,FALSE)</f>
        <v>90014400</v>
      </c>
      <c r="N23" s="55">
        <f>VLOOKUP(Tableau1[[#This Row],[Compte Consignee]],Order!C:D,2,FALSE)</f>
        <v>2</v>
      </c>
      <c r="O23" s="114" t="s">
        <v>159</v>
      </c>
      <c r="P23" s="481">
        <f>VLOOKUP(Tableau1[[#This Row],[Name ILN]],Plant_AILN!F:G,2,FALSE)</f>
        <v>95436</v>
      </c>
      <c r="Q23" s="50">
        <f>VLOOKUP(Tableau1[[#This Row],[Compte ILN]],'DATA ILN'!D:I,6,FALSE)</f>
        <v>9</v>
      </c>
      <c r="R23" s="50">
        <f ca="1">IFERROR(VLOOKUP(Tableau1[[#This Row],[Key(Compte ILN - shipper - POL - plant)]],'DATA ILN'!A:J,10,FALSE),VLOOKUP(Tableau1[[#This Row],[Key(Compte ILN - shipper - POL)]],'DATA ILN'!B:J,9,FALSE))</f>
        <v>14</v>
      </c>
      <c r="S23" s="50">
        <f ca="1">IFERROR(VLOOKUP(Tableau1[[#This Row],[Key(Compte ILN - shipper - POL - plant)]],'DATA ILN'!A:K,11,FALSE),VLOOKUP(Tableau1[[#This Row],[Key(Compte ILN - shipper - POL)]],'DATA ILN'!B:K,10,FALSE))</f>
        <v>5</v>
      </c>
      <c r="T23" s="50">
        <f ca="1">IFERROR(VLOOKUP(Tableau1[[#This Row],[Key(Compte ILN - shipper - POL - plant)]],'DATA ILN'!A:L,12,FALSE),VLOOKUP(Tableau1[[#This Row],[Key(Compte ILN - shipper - POL)]],'DATA ILN'!B:L,11,FALSE))</f>
        <v>7</v>
      </c>
      <c r="U23" s="50">
        <f ca="1">Tableau1[[#This Row],[Day ILN Order]]+Tableau1[[#This Row],[Delivery time to ILN/Shipper]]-1</f>
        <v>22</v>
      </c>
      <c r="V23" s="50">
        <f ca="1">IFERROR(VLOOKUP(Tableau1[[#This Row],[Key(Compte ILN - shipper - POL - plant)]],'DATA ILN'!A:N,14,FALSE),VLOOKUP(Tableau1[[#This Row],[Key(Compte ILN - shipper - POL)]],'DATA ILN'!B:N,13,FALSE))</f>
        <v>1</v>
      </c>
      <c r="W23" s="53">
        <f ca="1">IFERROR(VLOOKUP(Tableau1[[#This Row],[Key(Compte ILN - shipper - POL - plant)]],'DATA ILN'!A:P,16,FALSE),VLOOKUP(Tableau1[[#This Row],[Key(Compte ILN - shipper - POL)]],'DATA ILN'!B:P,15,FALSE))</f>
        <v>3</v>
      </c>
      <c r="X23" s="283" t="s">
        <v>159</v>
      </c>
      <c r="Y23" s="482">
        <f>IFERROR(VLOOKUP(Tableau1[[#This Row],[Name Shipper]],Plant_AILN!L:M,2,FALSE),0)</f>
        <v>95436</v>
      </c>
      <c r="Z23" s="358">
        <v>904</v>
      </c>
      <c r="AA23" s="353" t="str">
        <f ca="1">VLOOKUP(Tableau1[[#This Row],[Key(ID-Actif)]],'DATA BTO'!A:N,5,FALSE)</f>
        <v>KRPUS</v>
      </c>
      <c r="AB23" s="3" t="str">
        <f ca="1">VLOOKUP(Tableau1[[#This Row],[Key(ID-Actif)]],'DATA BTO'!A:N,6,FALSE)</f>
        <v>CMA-CGM</v>
      </c>
      <c r="AC23" s="50">
        <f ca="1">VLOOKUP(Tableau1[[#This Row],[Key(ID-Actif)]],'DATA BTO'!A:N,7,FALSE)</f>
        <v>4</v>
      </c>
      <c r="AD23" s="50">
        <f ca="1">VLOOKUP(Tableau1[[#This Row],[Key(ID-Actif)]],'DATA BTO'!A:N,8,FALSE)</f>
        <v>7</v>
      </c>
      <c r="AE23" s="50">
        <f ca="1">IF(Tableau1[[#This Row],[First Day to POL]]&lt;=Tableau1[[#This Row],[Day Cut Off]],Tableau1[[#This Row],[Day ETD]],Tableau1[[#This Row],[Day ETD]]+7)</f>
        <v>7</v>
      </c>
      <c r="AF23" s="50">
        <f ca="1">VLOOKUP(Tableau1[[#This Row],[Key(ID-Actif)]],'DATA BTO'!A:N,9,FALSE)</f>
        <v>53</v>
      </c>
      <c r="AG23" s="3" t="str">
        <f ca="1">VLOOKUP(Tableau1[[#This Row],[Key(ID-Actif)]],'DATA BTO'!A:N,10,FALSE)</f>
        <v>TRIZT</v>
      </c>
      <c r="AH23" s="3">
        <f ca="1">VLOOKUP(Tableau1[[#This Row],[Key(ID-Actif)]],'DATA BTO'!A:N,11,FALSE)</f>
        <v>3</v>
      </c>
      <c r="AI23" s="50">
        <f ca="1">VLOOKUP(Tableau1[[#This Row],[Key(ID-Actif)]],'DATA BTO'!A:N,12,FALSE)</f>
        <v>0</v>
      </c>
      <c r="AJ23" s="53" t="str">
        <f ca="1">VLOOKUP(Tableau1[[#This Row],[Key(ID-Actif)]],'DATA BTO'!A:N,14,FALSE)</f>
        <v>Marc-Aurele</v>
      </c>
      <c r="AK23" s="54">
        <f ca="1">VLOOKUP(Tableau1[[#This Row],[Key(POD -PFI- Usine)]],'DATA Consignee'!A:F,6,FALSE)</f>
        <v>4</v>
      </c>
      <c r="AL23" s="125"/>
      <c r="AM23" s="483" t="str">
        <f>IF(Tableau1[[#This Row],[Name PFI/CDD]]="","-",VLOOKUP(Tableau1[[#This Row],[Name PFI/CDD]],Plant_AILN!I:J,2,FALSE))</f>
        <v>-</v>
      </c>
      <c r="AN2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" s="2">
        <f ca="1">VLOOKUP(Tableau1[[#This Row],[Key(POD -PFI- Usine)]],'DATA Consignee'!A:J,10,FALSE)</f>
        <v>0</v>
      </c>
      <c r="AQ23" s="50">
        <f ca="1">VLOOKUP(Tableau1[[#This Row],[Key(POD -PFI- Usine)]],'DATA Consignee'!A:N,14,FALSE)</f>
        <v>2</v>
      </c>
      <c r="AR2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2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3" s="50">
        <f ca="1">Tableau1[[#This Row],[Transit time]]+Tableau1[[#This Row],[Time for security]]+Tableau1[[#This Row],[Time for security2 buffer]]</f>
        <v>56</v>
      </c>
      <c r="AU2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3" s="389">
        <f ca="1">Tableau1[[#This Row],[Leadtime SI2C]]+Tableau1[[#This Row],[First Receipt Days]]-Tableau1[[#This Row],[Day Customer Order]]+1</f>
        <v>97</v>
      </c>
      <c r="AW23" s="117">
        <f ca="1">IF(Tableau1[[#This Row],[Name ILN]]&lt;&gt;"SFK Freight Forwarder",Tableau1[[#This Row],[Cust. Leadtime]],Tableau1[[#This Row],[Leadtime SI2C]])</f>
        <v>97</v>
      </c>
      <c r="AX23" s="51" t="str">
        <f>VLOOKUP(Tableau1[[#This Row],[ID]],'DATA BTO'!B:P,15,FALSE)</f>
        <v>Renault &gt; Horse</v>
      </c>
      <c r="AY23" s="328">
        <f ca="1">IFERROR(VLOOKUP(Tableau1[[#This Row],[Key(ID-Actif)]],'DATA BTO'!A:N,4,FALSE),VLOOKUP(Tableau1[[#This Row],[ID]],'DATA BTO'!B:N,3,FALSE))</f>
        <v>46142</v>
      </c>
      <c r="AZ23" s="50" t="str">
        <f>IF(ISNUMBER(Tableau1[[#This Row],[Day Customer Order]]),"-","Please Check 'Name' information in 'Order' Sheet to make sure they have information")</f>
        <v>-</v>
      </c>
      <c r="BA2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" s="50"/>
    </row>
    <row r="24" spans="2:57">
      <c r="B24" s="65" t="str">
        <f>_xlfn.CONCAT(Tableau1[[#This Row],[Name ILN]],"-",Tableau1[[#This Row],[Name Shipper]],"-",Tableau1[[#This Row],[Name Site]])</f>
        <v>ILN Busan-ILN Busan-Curitiba CMO</v>
      </c>
      <c r="C24" s="65" t="str">
        <f ca="1">_xlfn.CONCAT(Tableau1[[#This Row],[Compte ILN]],"-",Tableau1[[#This Row],[Compte Shipper]],"-",Tableau1[[#This Row],[POL]],"-",Tableau1[[#This Row],[Compte Consignee]])</f>
        <v>95436-95436-KRPUS-90018600</v>
      </c>
      <c r="D24" s="64" t="str">
        <f ca="1">_xlfn.CONCAT(Tableau1[[#This Row],[Compte ILN]],"-",Tableau1[[#This Row],[Compte Shipper]],"-",Tableau1[[#This Row],[POL]])</f>
        <v>95436-95436-KRPUS</v>
      </c>
      <c r="E24" s="396" t="str">
        <f ca="1">_xlfn.CONCAT(Tableau1[[#This Row],[POL]],"-",Tableau1[[#This Row],[Carrier]],"-",Tableau1[[#This Row],[POD]])</f>
        <v>KRPUS-CMA-CGM-BRPNG</v>
      </c>
      <c r="F24" s="64" t="str">
        <f>_xlfn.CONCAT(Tableau1[[#This Row],[ID]],"-","Actif")</f>
        <v>906-Actif</v>
      </c>
      <c r="G24" s="64" t="str">
        <f ca="1">_xlfn.CONCAT(Tableau1[[#This Row],[POD]],"-",Tableau1[[#This Row],[Code PFI]],"-",Tableau1[[#This Row],[Compte Consignee]])</f>
        <v>BRPNG---90018600</v>
      </c>
      <c r="H24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BusanKRPUSCuritiba CMO</v>
      </c>
      <c r="I2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Busan-ILN Busan-906-KRPUS-CMA-CGM-BRPNG-</v>
      </c>
      <c r="J24" s="397" t="str">
        <f ca="1">IF(COUNTIF(I:I,Tableau1[[#This Row],[Plant-ILN-shipper-POL-Carrier-POD-PFI]])=1,"Non","Oui")</f>
        <v>Non</v>
      </c>
      <c r="K24" s="126" t="str">
        <f>VLOOKUP(Tableau1[[#This Row],[Name Site]],Plant_AILN!A:D,4,FALSE)</f>
        <v>BRAZIL</v>
      </c>
      <c r="L24" s="10" t="s">
        <v>154</v>
      </c>
      <c r="M24" s="480">
        <f>VLOOKUP(Tableau1[[#This Row],[Name Site]],Plant_AILN!A:C,3,FALSE)</f>
        <v>90018600</v>
      </c>
      <c r="N24" s="55">
        <f>VLOOKUP(Tableau1[[#This Row],[Compte Consignee]],Order!C:D,2,FALSE)</f>
        <v>7</v>
      </c>
      <c r="O24" s="114" t="s">
        <v>159</v>
      </c>
      <c r="P24" s="481">
        <f>VLOOKUP(Tableau1[[#This Row],[Name ILN]],Plant_AILN!F:G,2,FALSE)</f>
        <v>95436</v>
      </c>
      <c r="Q24" s="50">
        <f>VLOOKUP(Tableau1[[#This Row],[Compte ILN]],'DATA ILN'!D:I,6,FALSE)</f>
        <v>9</v>
      </c>
      <c r="R24" s="50">
        <f ca="1">IFERROR(VLOOKUP(Tableau1[[#This Row],[Key(Compte ILN - shipper - POL - plant)]],'DATA ILN'!A:J,10,FALSE),VLOOKUP(Tableau1[[#This Row],[Key(Compte ILN - shipper - POL)]],'DATA ILN'!B:J,9,FALSE))</f>
        <v>14</v>
      </c>
      <c r="S24" s="50">
        <f ca="1">IFERROR(VLOOKUP(Tableau1[[#This Row],[Key(Compte ILN - shipper - POL - plant)]],'DATA ILN'!A:K,11,FALSE),VLOOKUP(Tableau1[[#This Row],[Key(Compte ILN - shipper - POL)]],'DATA ILN'!B:K,10,FALSE))</f>
        <v>5</v>
      </c>
      <c r="T24" s="50">
        <f ca="1">IFERROR(VLOOKUP(Tableau1[[#This Row],[Key(Compte ILN - shipper - POL - plant)]],'DATA ILN'!A:L,12,FALSE),VLOOKUP(Tableau1[[#This Row],[Key(Compte ILN - shipper - POL)]],'DATA ILN'!B:L,11,FALSE))</f>
        <v>7</v>
      </c>
      <c r="U24" s="50">
        <f ca="1">Tableau1[[#This Row],[Day ILN Order]]+Tableau1[[#This Row],[Delivery time to ILN/Shipper]]-1</f>
        <v>22</v>
      </c>
      <c r="V24" s="50">
        <f ca="1">IFERROR(VLOOKUP(Tableau1[[#This Row],[Key(Compte ILN - shipper - POL - plant)]],'DATA ILN'!A:N,14,FALSE),VLOOKUP(Tableau1[[#This Row],[Key(Compte ILN - shipper - POL)]],'DATA ILN'!B:N,13,FALSE))</f>
        <v>1</v>
      </c>
      <c r="W24" s="53">
        <f ca="1">IFERROR(VLOOKUP(Tableau1[[#This Row],[Key(Compte ILN - shipper - POL - plant)]],'DATA ILN'!A:P,16,FALSE),VLOOKUP(Tableau1[[#This Row],[Key(Compte ILN - shipper - POL)]],'DATA ILN'!B:P,15,FALSE))</f>
        <v>5</v>
      </c>
      <c r="X24" s="283" t="s">
        <v>159</v>
      </c>
      <c r="Y24" s="482">
        <f>IFERROR(VLOOKUP(Tableau1[[#This Row],[Name Shipper]],Plant_AILN!L:M,2,FALSE),0)</f>
        <v>95436</v>
      </c>
      <c r="Z24" s="358">
        <v>906</v>
      </c>
      <c r="AA24" s="353" t="str">
        <f ca="1">VLOOKUP(Tableau1[[#This Row],[Key(ID-Actif)]],'DATA BTO'!A:N,5,FALSE)</f>
        <v>KRPUS</v>
      </c>
      <c r="AB24" s="3" t="str">
        <f ca="1">VLOOKUP(Tableau1[[#This Row],[Key(ID-Actif)]],'DATA BTO'!A:N,6,FALSE)</f>
        <v>CMA-CGM</v>
      </c>
      <c r="AC24" s="50">
        <f ca="1">VLOOKUP(Tableau1[[#This Row],[Key(ID-Actif)]],'DATA BTO'!A:N,7,FALSE)</f>
        <v>5</v>
      </c>
      <c r="AD24" s="50">
        <f ca="1">VLOOKUP(Tableau1[[#This Row],[Key(ID-Actif)]],'DATA BTO'!A:N,8,FALSE)</f>
        <v>7</v>
      </c>
      <c r="AE24" s="50">
        <f ca="1">IF(Tableau1[[#This Row],[First Day to POL]]&lt;=Tableau1[[#This Row],[Day Cut Off]],Tableau1[[#This Row],[Day ETD]],Tableau1[[#This Row],[Day ETD]]+7)</f>
        <v>7</v>
      </c>
      <c r="AF24" s="50">
        <f ca="1">VLOOKUP(Tableau1[[#This Row],[Key(ID-Actif)]],'DATA BTO'!A:N,9,FALSE)</f>
        <v>43</v>
      </c>
      <c r="AG24" s="3" t="str">
        <f ca="1">VLOOKUP(Tableau1[[#This Row],[Key(ID-Actif)]],'DATA BTO'!A:N,10,FALSE)</f>
        <v>BRPNG</v>
      </c>
      <c r="AH24" s="3">
        <f ca="1">VLOOKUP(Tableau1[[#This Row],[Key(ID-Actif)]],'DATA BTO'!A:N,11,FALSE)</f>
        <v>3</v>
      </c>
      <c r="AI24" s="50">
        <f ca="1">VLOOKUP(Tableau1[[#This Row],[Key(ID-Actif)]],'DATA BTO'!A:N,12,FALSE)</f>
        <v>14</v>
      </c>
      <c r="AJ24" s="53" t="str">
        <f ca="1">VLOOKUP(Tableau1[[#This Row],[Key(ID-Actif)]],'DATA BTO'!A:N,14,FALSE)</f>
        <v>Marc-Aurele</v>
      </c>
      <c r="AK24" s="54">
        <f ca="1">VLOOKUP(Tableau1[[#This Row],[Key(POD -PFI- Usine)]],'DATA Consignee'!A:F,6,FALSE)</f>
        <v>2</v>
      </c>
      <c r="AL24" s="125"/>
      <c r="AM24" s="483" t="str">
        <f>IF(Tableau1[[#This Row],[Name PFI/CDD]]="","-",VLOOKUP(Tableau1[[#This Row],[Name PFI/CDD]],Plant_AILN!I:J,2,FALSE))</f>
        <v>-</v>
      </c>
      <c r="AN2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" s="2">
        <f ca="1">VLOOKUP(Tableau1[[#This Row],[Key(POD -PFI- Usine)]],'DATA Consignee'!A:J,10,FALSE)</f>
        <v>0</v>
      </c>
      <c r="AQ24" s="50">
        <f ca="1">VLOOKUP(Tableau1[[#This Row],[Key(POD -PFI- Usine)]],'DATA Consignee'!A:N,14,FALSE)</f>
        <v>2</v>
      </c>
      <c r="AR2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2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4" s="50">
        <f ca="1">Tableau1[[#This Row],[Transit time]]+Tableau1[[#This Row],[Time for security]]+Tableau1[[#This Row],[Time for security2 buffer]]</f>
        <v>60</v>
      </c>
      <c r="AU2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4" s="389">
        <f ca="1">Tableau1[[#This Row],[Leadtime SI2C]]+Tableau1[[#This Row],[First Receipt Days]]-Tableau1[[#This Row],[Day Customer Order]]+1</f>
        <v>92</v>
      </c>
      <c r="AW24" s="117">
        <f ca="1">IF(Tableau1[[#This Row],[Name ILN]]&lt;&gt;"SFK Freight Forwarder",Tableau1[[#This Row],[Cust. Leadtime]],Tableau1[[#This Row],[Leadtime SI2C]])</f>
        <v>92</v>
      </c>
      <c r="AX24" s="51" t="str">
        <f>VLOOKUP(Tableau1[[#This Row],[ID]],'DATA BTO'!B:P,15,FALSE)</f>
        <v>Renault &gt; Horse</v>
      </c>
      <c r="AY24" s="328">
        <f ca="1">IFERROR(VLOOKUP(Tableau1[[#This Row],[Key(ID-Actif)]],'DATA BTO'!A:N,4,FALSE),VLOOKUP(Tableau1[[#This Row],[ID]],'DATA BTO'!B:N,3,FALSE))</f>
        <v>46142</v>
      </c>
      <c r="AZ24" s="50" t="str">
        <f>IF(ISNUMBER(Tableau1[[#This Row],[Day Customer Order]]),"-","Please Check 'Name' information in 'Order' Sheet to make sure they have information")</f>
        <v>-</v>
      </c>
      <c r="BA2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" s="50"/>
    </row>
    <row r="25" spans="2:57">
      <c r="B25" s="65" t="str">
        <f>_xlfn.CONCAT(Tableau1[[#This Row],[Name ILN]],"-",Tableau1[[#This Row],[Name Shipper]],"-",Tableau1[[#This Row],[Name Site]])</f>
        <v>ILN Bursa-ILN Bursa-Curitiba CMO</v>
      </c>
      <c r="C25" s="65" t="str">
        <f ca="1">_xlfn.CONCAT(Tableau1[[#This Row],[Compte ILN]],"-",Tableau1[[#This Row],[Compte Shipper]],"-",Tableau1[[#This Row],[POL]],"-",Tableau1[[#This Row],[Compte Consignee]])</f>
        <v>95112-95112-TRGEM-90018600</v>
      </c>
      <c r="D25" s="64" t="str">
        <f ca="1">_xlfn.CONCAT(Tableau1[[#This Row],[Compte ILN]],"-",Tableau1[[#This Row],[Compte Shipper]],"-",Tableau1[[#This Row],[POL]])</f>
        <v>95112-95112-TRGEM</v>
      </c>
      <c r="E25" s="396" t="str">
        <f ca="1">_xlfn.CONCAT(Tableau1[[#This Row],[POL]],"-",Tableau1[[#This Row],[Carrier]],"-",Tableau1[[#This Row],[POD]])</f>
        <v>TRGEM-CMA-CGM-BRPNG</v>
      </c>
      <c r="F25" s="64" t="str">
        <f>_xlfn.CONCAT(Tableau1[[#This Row],[ID]],"-","Actif")</f>
        <v>907-Actif</v>
      </c>
      <c r="G25" s="64" t="str">
        <f ca="1">_xlfn.CONCAT(Tableau1[[#This Row],[POD]],"-",Tableau1[[#This Row],[Code PFI]],"-",Tableau1[[#This Row],[Compte Consignee]])</f>
        <v>BRPNG---90018600</v>
      </c>
      <c r="H25" s="396" t="str">
        <f ca="1">_xlfn.CONCAT(IF(Tableau1[[#This Row],[Name ILN]]=Tableau1[[#This Row],[Name Shipper]],Tableau1[[#This Row],[Name ILN]],Tableau1[[#This Row],[Compte Shipper]]),Tableau1[[#This Row],[POL]],Tableau1[[#This Row],[Name Site]])</f>
        <v>ILN BursaTRGEMCuritiba CMO</v>
      </c>
      <c r="I2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Bursa-ILN Bursa-907-TRGEM-CMA-CGM-BRPNG-</v>
      </c>
      <c r="J25" s="397" t="str">
        <f ca="1">IF(COUNTIF(I:I,Tableau1[[#This Row],[Plant-ILN-shipper-POL-Carrier-POD-PFI]])=1,"Non","Oui")</f>
        <v>Non</v>
      </c>
      <c r="K25" s="399" t="str">
        <f>VLOOKUP(Tableau1[[#This Row],[Name Site]],Plant_AILN!A:D,4,FALSE)</f>
        <v>BRAZIL</v>
      </c>
      <c r="L25" s="10" t="s">
        <v>154</v>
      </c>
      <c r="M25" s="480">
        <f>VLOOKUP(Tableau1[[#This Row],[Name Site]],Plant_AILN!A:C,3,FALSE)</f>
        <v>90018600</v>
      </c>
      <c r="N25" s="55">
        <f>VLOOKUP(Tableau1[[#This Row],[Compte Consignee]],Order!C:D,2,FALSE)</f>
        <v>7</v>
      </c>
      <c r="O25" s="114" t="s">
        <v>148</v>
      </c>
      <c r="P25" s="481">
        <f>VLOOKUP(Tableau1[[#This Row],[Name ILN]],Plant_AILN!F:G,2,FALSE)</f>
        <v>95112</v>
      </c>
      <c r="Q25" s="50">
        <f>VLOOKUP(Tableau1[[#This Row],[Compte ILN]],'DATA ILN'!D:I,6,FALSE)</f>
        <v>9</v>
      </c>
      <c r="R25" s="50">
        <f ca="1">IFERROR(VLOOKUP(Tableau1[[#This Row],[Key(Compte ILN - shipper - POL - plant)]],'DATA ILN'!A:J,10,FALSE),VLOOKUP(Tableau1[[#This Row],[Key(Compte ILN - shipper - POL)]],'DATA ILN'!B:J,9,FALSE))</f>
        <v>7</v>
      </c>
      <c r="S25" s="50">
        <f ca="1">IFERROR(VLOOKUP(Tableau1[[#This Row],[Key(Compte ILN - shipper - POL - plant)]],'DATA ILN'!A:K,11,FALSE),VLOOKUP(Tableau1[[#This Row],[Key(Compte ILN - shipper - POL)]],'DATA ILN'!B:K,10,FALSE))</f>
        <v>5</v>
      </c>
      <c r="T25" s="50">
        <f ca="1">IFERROR(VLOOKUP(Tableau1[[#This Row],[Key(Compte ILN - shipper - POL - plant)]],'DATA ILN'!A:L,12,FALSE),VLOOKUP(Tableau1[[#This Row],[Key(Compte ILN - shipper - POL)]],'DATA ILN'!B:L,11,FALSE))</f>
        <v>7</v>
      </c>
      <c r="U25" s="50">
        <f ca="1">Tableau1[[#This Row],[Day ILN Order]]+Tableau1[[#This Row],[Delivery time to ILN/Shipper]]-1</f>
        <v>15</v>
      </c>
      <c r="V25" s="50">
        <f ca="1">IFERROR(VLOOKUP(Tableau1[[#This Row],[Key(Compte ILN - shipper - POL - plant)]],'DATA ILN'!A:N,14,FALSE),VLOOKUP(Tableau1[[#This Row],[Key(Compte ILN - shipper - POL)]],'DATA ILN'!B:N,13,FALSE))</f>
        <v>1</v>
      </c>
      <c r="W25" s="53">
        <f ca="1">IFERROR(VLOOKUP(Tableau1[[#This Row],[Key(Compte ILN - shipper - POL - plant)]],'DATA ILN'!A:P,16,FALSE),VLOOKUP(Tableau1[[#This Row],[Key(Compte ILN - shipper - POL)]],'DATA ILN'!B:P,15,FALSE))</f>
        <v>5</v>
      </c>
      <c r="X25" s="283" t="s">
        <v>148</v>
      </c>
      <c r="Y25" s="482">
        <f>IFERROR(VLOOKUP(Tableau1[[#This Row],[Name Shipper]],Plant_AILN!L:M,2,FALSE),0)</f>
        <v>95112</v>
      </c>
      <c r="Z25" s="358">
        <v>907</v>
      </c>
      <c r="AA25" s="353" t="str">
        <f ca="1">VLOOKUP(Tableau1[[#This Row],[Key(ID-Actif)]],'DATA BTO'!A:N,5,FALSE)</f>
        <v>TRGEM</v>
      </c>
      <c r="AB25" s="3" t="str">
        <f ca="1">VLOOKUP(Tableau1[[#This Row],[Key(ID-Actif)]],'DATA BTO'!A:N,6,FALSE)</f>
        <v>CMA-CGM</v>
      </c>
      <c r="AC25" s="50">
        <f ca="1">VLOOKUP(Tableau1[[#This Row],[Key(ID-Actif)]],'DATA BTO'!A:N,7,FALSE)</f>
        <v>3</v>
      </c>
      <c r="AD25" s="50">
        <f ca="1">VLOOKUP(Tableau1[[#This Row],[Key(ID-Actif)]],'DATA BTO'!A:N,8,FALSE)</f>
        <v>5</v>
      </c>
      <c r="AE25" s="50">
        <f ca="1">IF(Tableau1[[#This Row],[First Day to POL]]&lt;=Tableau1[[#This Row],[Day Cut Off]],Tableau1[[#This Row],[Day ETD]],Tableau1[[#This Row],[Day ETD]]+7)</f>
        <v>12</v>
      </c>
      <c r="AF25" s="50">
        <f ca="1">VLOOKUP(Tableau1[[#This Row],[Key(ID-Actif)]],'DATA BTO'!A:N,9,FALSE)</f>
        <v>34</v>
      </c>
      <c r="AG25" s="3" t="str">
        <f ca="1">VLOOKUP(Tableau1[[#This Row],[Key(ID-Actif)]],'DATA BTO'!A:N,10,FALSE)</f>
        <v>BRPNG</v>
      </c>
      <c r="AH25" s="3">
        <f ca="1">VLOOKUP(Tableau1[[#This Row],[Key(ID-Actif)]],'DATA BTO'!A:N,11,FALSE)</f>
        <v>3</v>
      </c>
      <c r="AI25" s="50">
        <f ca="1">VLOOKUP(Tableau1[[#This Row],[Key(ID-Actif)]],'DATA BTO'!A:N,12,FALSE)</f>
        <v>0</v>
      </c>
      <c r="AJ25" s="53" t="str">
        <f ca="1">VLOOKUP(Tableau1[[#This Row],[Key(ID-Actif)]],'DATA BTO'!A:N,14,FALSE)</f>
        <v>Max</v>
      </c>
      <c r="AK25" s="54">
        <f ca="1">VLOOKUP(Tableau1[[#This Row],[Key(POD -PFI- Usine)]],'DATA Consignee'!A:F,6,FALSE)</f>
        <v>2</v>
      </c>
      <c r="AL25" s="125"/>
      <c r="AM25" s="483" t="str">
        <f>IF(Tableau1[[#This Row],[Name PFI/CDD]]="","-",VLOOKUP(Tableau1[[#This Row],[Name PFI/CDD]],Plant_AILN!I:J,2,FALSE))</f>
        <v>-</v>
      </c>
      <c r="AN2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" s="2">
        <f ca="1">VLOOKUP(Tableau1[[#This Row],[Key(POD -PFI- Usine)]],'DATA Consignee'!A:J,10,FALSE)</f>
        <v>0</v>
      </c>
      <c r="AQ25" s="50">
        <f ca="1">VLOOKUP(Tableau1[[#This Row],[Key(POD -PFI- Usine)]],'DATA Consignee'!A:N,14,FALSE)</f>
        <v>2</v>
      </c>
      <c r="AR2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2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25" s="50">
        <f ca="1">Tableau1[[#This Row],[Transit time]]+Tableau1[[#This Row],[Time for security]]+Tableau1[[#This Row],[Time for security2 buffer]]</f>
        <v>37</v>
      </c>
      <c r="AU2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25" s="389">
        <f ca="1">Tableau1[[#This Row],[Leadtime SI2C]]+Tableau1[[#This Row],[First Receipt Days]]-Tableau1[[#This Row],[Day Customer Order]]+1</f>
        <v>71</v>
      </c>
      <c r="AW25" s="117">
        <f ca="1">IF(Tableau1[[#This Row],[Name ILN]]&lt;&gt;"SFK Freight Forwarder",Tableau1[[#This Row],[Cust. Leadtime]],Tableau1[[#This Row],[Leadtime SI2C]])</f>
        <v>71</v>
      </c>
      <c r="AX25" s="51" t="str">
        <f>VLOOKUP(Tableau1[[#This Row],[ID]],'DATA BTO'!B:P,15,FALSE)</f>
        <v>Renault &gt; Horse</v>
      </c>
      <c r="AY25" s="328">
        <f ca="1">IFERROR(VLOOKUP(Tableau1[[#This Row],[Key(ID-Actif)]],'DATA BTO'!A:N,4,FALSE),VLOOKUP(Tableau1[[#This Row],[ID]],'DATA BTO'!B:N,3,FALSE))</f>
        <v>46142</v>
      </c>
      <c r="AZ25" s="50" t="str">
        <f>IF(ISNUMBER(Tableau1[[#This Row],[Day Customer Order]]),"-","Please Check 'Name' information in 'Order' Sheet to make sure they have information")</f>
        <v>-</v>
      </c>
      <c r="BA2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" s="50"/>
    </row>
    <row r="26" spans="2:57">
      <c r="B26" s="65" t="str">
        <f>_xlfn.CONCAT(Tableau1[[#This Row],[Name ILN]],"-",Tableau1[[#This Row],[Name Shipper]],"-",Tableau1[[#This Row],[Name Site]])</f>
        <v>ILN Mioveni-ILN Mioveni-Curitiba CMO</v>
      </c>
      <c r="C26" s="65" t="str">
        <f ca="1">_xlfn.CONCAT(Tableau1[[#This Row],[Compte ILN]],"-",Tableau1[[#This Row],[Compte Shipper]],"-",Tableau1[[#This Row],[POL]],"-",Tableau1[[#This Row],[Compte Consignee]])</f>
        <v>28390-28390-ROCND-90018600</v>
      </c>
      <c r="D26" s="64" t="str">
        <f ca="1">_xlfn.CONCAT(Tableau1[[#This Row],[Compte ILN]],"-",Tableau1[[#This Row],[Compte Shipper]],"-",Tableau1[[#This Row],[POL]])</f>
        <v>28390-28390-ROCND</v>
      </c>
      <c r="E26" s="396" t="str">
        <f ca="1">_xlfn.CONCAT(Tableau1[[#This Row],[POL]],"-",Tableau1[[#This Row],[Carrier]],"-",Tableau1[[#This Row],[POD]])</f>
        <v>ROCND-Maersk-BRPNG</v>
      </c>
      <c r="F26" s="64" t="str">
        <f>_xlfn.CONCAT(Tableau1[[#This Row],[ID]],"-","Actif")</f>
        <v>908-Actif</v>
      </c>
      <c r="G26" s="64" t="str">
        <f ca="1">_xlfn.CONCAT(Tableau1[[#This Row],[POD]],"-",Tableau1[[#This Row],[Code PFI]],"-",Tableau1[[#This Row],[Compte Consignee]])</f>
        <v>BRPNG---90018600</v>
      </c>
      <c r="H26" s="396" t="str">
        <f ca="1">_xlfn.CONCAT(IF(Tableau1[[#This Row],[Name ILN]]=Tableau1[[#This Row],[Name Shipper]],Tableau1[[#This Row],[Name ILN]],Tableau1[[#This Row],[Compte Shipper]]),Tableau1[[#This Row],[POL]],Tableau1[[#This Row],[Name Site]])</f>
        <v>ILN MioveniROCNDCuritiba CMO</v>
      </c>
      <c r="I2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Mioveni-ILN Mioveni-908-ROCND-Maersk-BRPNG-</v>
      </c>
      <c r="J26" s="397" t="str">
        <f ca="1">IF(COUNTIF(I:I,Tableau1[[#This Row],[Plant-ILN-shipper-POL-Carrier-POD-PFI]])=1,"Non","Oui")</f>
        <v>Non</v>
      </c>
      <c r="K26" s="399" t="str">
        <f>VLOOKUP(Tableau1[[#This Row],[Name Site]],Plant_AILN!A:D,4,FALSE)</f>
        <v>BRAZIL</v>
      </c>
      <c r="L26" s="10" t="s">
        <v>154</v>
      </c>
      <c r="M26" s="480">
        <f>VLOOKUP(Tableau1[[#This Row],[Name Site]],Plant_AILN!A:C,3,FALSE)</f>
        <v>90018600</v>
      </c>
      <c r="N26" s="55">
        <f>VLOOKUP(Tableau1[[#This Row],[Compte Consignee]],Order!C:D,2,FALSE)</f>
        <v>7</v>
      </c>
      <c r="O26" s="114" t="s">
        <v>165</v>
      </c>
      <c r="P26" s="481">
        <f>VLOOKUP(Tableau1[[#This Row],[Name ILN]],Plant_AILN!F:G,2,FALSE)</f>
        <v>28390</v>
      </c>
      <c r="Q26" s="50">
        <f>VLOOKUP(Tableau1[[#This Row],[Compte ILN]],'DATA ILN'!D:I,6,FALSE)</f>
        <v>9</v>
      </c>
      <c r="R26" s="50">
        <f ca="1">IFERROR(VLOOKUP(Tableau1[[#This Row],[Key(Compte ILN - shipper - POL - plant)]],'DATA ILN'!A:J,10,FALSE),VLOOKUP(Tableau1[[#This Row],[Key(Compte ILN - shipper - POL)]],'DATA ILN'!B:J,9,FALSE))</f>
        <v>14</v>
      </c>
      <c r="S26" s="50">
        <f ca="1">IFERROR(VLOOKUP(Tableau1[[#This Row],[Key(Compte ILN - shipper - POL - plant)]],'DATA ILN'!A:K,11,FALSE),VLOOKUP(Tableau1[[#This Row],[Key(Compte ILN - shipper - POL)]],'DATA ILN'!B:K,10,FALSE))</f>
        <v>5</v>
      </c>
      <c r="T26" s="50">
        <f ca="1">IFERROR(VLOOKUP(Tableau1[[#This Row],[Key(Compte ILN - shipper - POL - plant)]],'DATA ILN'!A:L,12,FALSE),VLOOKUP(Tableau1[[#This Row],[Key(Compte ILN - shipper - POL)]],'DATA ILN'!B:L,11,FALSE))</f>
        <v>7</v>
      </c>
      <c r="U26" s="50">
        <f ca="1">Tableau1[[#This Row],[Day ILN Order]]+Tableau1[[#This Row],[Delivery time to ILN/Shipper]]-1</f>
        <v>22</v>
      </c>
      <c r="V26" s="50">
        <f ca="1">IFERROR(VLOOKUP(Tableau1[[#This Row],[Key(Compte ILN - shipper - POL - plant)]],'DATA ILN'!A:N,14,FALSE),VLOOKUP(Tableau1[[#This Row],[Key(Compte ILN - shipper - POL)]],'DATA ILN'!B:N,13,FALSE))</f>
        <v>4</v>
      </c>
      <c r="W26" s="53">
        <f ca="1">IFERROR(VLOOKUP(Tableau1[[#This Row],[Key(Compte ILN - shipper - POL - plant)]],'DATA ILN'!A:P,16,FALSE),VLOOKUP(Tableau1[[#This Row],[Key(Compte ILN - shipper - POL)]],'DATA ILN'!B:P,15,FALSE))</f>
        <v>5</v>
      </c>
      <c r="X26" s="283" t="s">
        <v>165</v>
      </c>
      <c r="Y26" s="482">
        <f>IFERROR(VLOOKUP(Tableau1[[#This Row],[Name Shipper]],Plant_AILN!L:M,2,FALSE),0)</f>
        <v>28390</v>
      </c>
      <c r="Z26" s="358">
        <v>908</v>
      </c>
      <c r="AA26" s="353" t="str">
        <f ca="1">VLOOKUP(Tableau1[[#This Row],[Key(ID-Actif)]],'DATA BTO'!A:N,5,FALSE)</f>
        <v>ROCND</v>
      </c>
      <c r="AB26" s="3" t="str">
        <f ca="1">VLOOKUP(Tableau1[[#This Row],[Key(ID-Actif)]],'DATA BTO'!A:N,6,FALSE)</f>
        <v>Maersk</v>
      </c>
      <c r="AC26" s="50">
        <f ca="1">VLOOKUP(Tableau1[[#This Row],[Key(ID-Actif)]],'DATA BTO'!A:N,7,FALSE)</f>
        <v>5</v>
      </c>
      <c r="AD26" s="50">
        <f ca="1">VLOOKUP(Tableau1[[#This Row],[Key(ID-Actif)]],'DATA BTO'!A:N,8,FALSE)</f>
        <v>7</v>
      </c>
      <c r="AE26" s="50">
        <f ca="1">IF(Tableau1[[#This Row],[First Day to POL]]&lt;=Tableau1[[#This Row],[Day Cut Off]],Tableau1[[#This Row],[Day ETD]],Tableau1[[#This Row],[Day ETD]]+7)</f>
        <v>7</v>
      </c>
      <c r="AF26" s="50">
        <f ca="1">VLOOKUP(Tableau1[[#This Row],[Key(ID-Actif)]],'DATA BTO'!A:N,9,FALSE)</f>
        <v>43</v>
      </c>
      <c r="AG26" s="3" t="str">
        <f ca="1">VLOOKUP(Tableau1[[#This Row],[Key(ID-Actif)]],'DATA BTO'!A:N,10,FALSE)</f>
        <v>BRPNG</v>
      </c>
      <c r="AH26" s="3">
        <f ca="1">VLOOKUP(Tableau1[[#This Row],[Key(ID-Actif)]],'DATA BTO'!A:N,11,FALSE)</f>
        <v>3</v>
      </c>
      <c r="AI26" s="50">
        <f ca="1">VLOOKUP(Tableau1[[#This Row],[Key(ID-Actif)]],'DATA BTO'!A:N,12,FALSE)</f>
        <v>7</v>
      </c>
      <c r="AJ26" s="53" t="str">
        <f ca="1">VLOOKUP(Tableau1[[#This Row],[Key(ID-Actif)]],'DATA BTO'!A:N,14,FALSE)</f>
        <v>Julien</v>
      </c>
      <c r="AK26" s="54">
        <f ca="1">VLOOKUP(Tableau1[[#This Row],[Key(POD -PFI- Usine)]],'DATA Consignee'!A:F,6,FALSE)</f>
        <v>2</v>
      </c>
      <c r="AL26" s="125"/>
      <c r="AM26" s="483" t="str">
        <f>IF(Tableau1[[#This Row],[Name PFI/CDD]]="","-",VLOOKUP(Tableau1[[#This Row],[Name PFI/CDD]],Plant_AILN!I:J,2,FALSE))</f>
        <v>-</v>
      </c>
      <c r="AN2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" s="2">
        <f ca="1">VLOOKUP(Tableau1[[#This Row],[Key(POD -PFI- Usine)]],'DATA Consignee'!A:J,10,FALSE)</f>
        <v>0</v>
      </c>
      <c r="AQ26" s="50">
        <f ca="1">VLOOKUP(Tableau1[[#This Row],[Key(POD -PFI- Usine)]],'DATA Consignee'!A:N,14,FALSE)</f>
        <v>2</v>
      </c>
      <c r="AR2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2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26" s="50">
        <f ca="1">Tableau1[[#This Row],[Transit time]]+Tableau1[[#This Row],[Time for security]]+Tableau1[[#This Row],[Time for security2 buffer]]</f>
        <v>53</v>
      </c>
      <c r="AU2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26" s="389">
        <f ca="1">Tableau1[[#This Row],[Leadtime SI2C]]+Tableau1[[#This Row],[First Receipt Days]]-Tableau1[[#This Row],[Day Customer Order]]+1</f>
        <v>85</v>
      </c>
      <c r="AW26" s="117">
        <f ca="1">IF(Tableau1[[#This Row],[Name ILN]]&lt;&gt;"SFK Freight Forwarder",Tableau1[[#This Row],[Cust. Leadtime]],Tableau1[[#This Row],[Leadtime SI2C]])</f>
        <v>85</v>
      </c>
      <c r="AX26" s="51" t="str">
        <f>VLOOKUP(Tableau1[[#This Row],[ID]],'DATA BTO'!B:P,15,FALSE)</f>
        <v>Renault &gt; Horse</v>
      </c>
      <c r="AY26" s="328">
        <f ca="1">IFERROR(VLOOKUP(Tableau1[[#This Row],[Key(ID-Actif)]],'DATA BTO'!A:N,4,FALSE),VLOOKUP(Tableau1[[#This Row],[ID]],'DATA BTO'!B:N,3,FALSE))</f>
        <v>46142</v>
      </c>
      <c r="AZ26" s="50" t="str">
        <f>IF(ISNUMBER(Tableau1[[#This Row],[Day Customer Order]]),"-","Please Check 'Name' information in 'Order' Sheet to make sure they have information")</f>
        <v>-</v>
      </c>
      <c r="BA2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" s="50"/>
    </row>
    <row r="27" spans="2:57">
      <c r="B27" s="65" t="str">
        <f>_xlfn.CONCAT(Tableau1[[#This Row],[Name ILN]],"-",Tableau1[[#This Row],[Name Shipper]],"-",Tableau1[[#This Row],[Name Site]])</f>
        <v>ILN FR-ILN FR-Curitiba CMO</v>
      </c>
      <c r="C27" s="65" t="str">
        <f ca="1">_xlfn.CONCAT(Tableau1[[#This Row],[Compte ILN]],"-",Tableau1[[#This Row],[Compte Shipper]],"-",Tableau1[[#This Row],[POL]],"-",Tableau1[[#This Row],[Compte Consignee]])</f>
        <v>92000100-92000100-FRLEH-90018600</v>
      </c>
      <c r="D27" s="64" t="str">
        <f ca="1">_xlfn.CONCAT(Tableau1[[#This Row],[Compte ILN]],"-",Tableau1[[#This Row],[Compte Shipper]],"-",Tableau1[[#This Row],[POL]])</f>
        <v>92000100-92000100-FRLEH</v>
      </c>
      <c r="E27" s="396" t="str">
        <f ca="1">_xlfn.CONCAT(Tableau1[[#This Row],[POL]],"-",Tableau1[[#This Row],[Carrier]],"-",Tableau1[[#This Row],[POD]])</f>
        <v>FRLEH-CMA-CGM-BRPNG</v>
      </c>
      <c r="F27" s="64" t="str">
        <f>_xlfn.CONCAT(Tableau1[[#This Row],[ID]],"-","Actif")</f>
        <v>910-Actif</v>
      </c>
      <c r="G27" s="64" t="str">
        <f ca="1">_xlfn.CONCAT(Tableau1[[#This Row],[POD]],"-",Tableau1[[#This Row],[Code PFI]],"-",Tableau1[[#This Row],[Compte Consignee]])</f>
        <v>BRPNG---90018600</v>
      </c>
      <c r="H27" s="396" t="str">
        <f ca="1">_xlfn.CONCAT(IF(Tableau1[[#This Row],[Name ILN]]=Tableau1[[#This Row],[Name Shipper]],Tableau1[[#This Row],[Name ILN]],Tableau1[[#This Row],[Compte Shipper]]),Tableau1[[#This Row],[POL]],Tableau1[[#This Row],[Name Site]])</f>
        <v>ILN FRFRLEHCuritiba CMO</v>
      </c>
      <c r="I2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FR-ILN FR-910-FRLEH-CMA-CGM-BRPNG-</v>
      </c>
      <c r="J27" s="397" t="str">
        <f ca="1">IF(COUNTIF(I:I,Tableau1[[#This Row],[Plant-ILN-shipper-POL-Carrier-POD-PFI]])=1,"Non","Oui")</f>
        <v>Non</v>
      </c>
      <c r="K27" s="399" t="str">
        <f>VLOOKUP(Tableau1[[#This Row],[Name Site]],Plant_AILN!A:D,4,FALSE)</f>
        <v>BRAZIL</v>
      </c>
      <c r="L27" s="10" t="s">
        <v>154</v>
      </c>
      <c r="M27" s="480">
        <f>VLOOKUP(Tableau1[[#This Row],[Name Site]],Plant_AILN!A:C,3,FALSE)</f>
        <v>90018600</v>
      </c>
      <c r="N27" s="55">
        <f>VLOOKUP(Tableau1[[#This Row],[Compte Consignee]],Order!C:D,2,FALSE)</f>
        <v>7</v>
      </c>
      <c r="O27" s="114" t="s">
        <v>1</v>
      </c>
      <c r="P27" s="481">
        <f>VLOOKUP(Tableau1[[#This Row],[Name ILN]],Plant_AILN!F:G,2,FALSE)</f>
        <v>92000100</v>
      </c>
      <c r="Q27" s="50">
        <f>VLOOKUP(Tableau1[[#This Row],[Compte ILN]],'DATA ILN'!D:I,6,FALSE)</f>
        <v>9</v>
      </c>
      <c r="R27" s="50">
        <f ca="1">IFERROR(VLOOKUP(Tableau1[[#This Row],[Key(Compte ILN - shipper - POL - plant)]],'DATA ILN'!A:J,10,FALSE),VLOOKUP(Tableau1[[#This Row],[Key(Compte ILN - shipper - POL)]],'DATA ILN'!B:J,9,FALSE))</f>
        <v>14</v>
      </c>
      <c r="S27" s="50">
        <f ca="1">IFERROR(VLOOKUP(Tableau1[[#This Row],[Key(Compte ILN - shipper - POL - plant)]],'DATA ILN'!A:K,11,FALSE),VLOOKUP(Tableau1[[#This Row],[Key(Compte ILN - shipper - POL)]],'DATA ILN'!B:K,10,FALSE))</f>
        <v>5</v>
      </c>
      <c r="T27" s="50">
        <f ca="1">IFERROR(VLOOKUP(Tableau1[[#This Row],[Key(Compte ILN - shipper - POL - plant)]],'DATA ILN'!A:L,12,FALSE),VLOOKUP(Tableau1[[#This Row],[Key(Compte ILN - shipper - POL)]],'DATA ILN'!B:L,11,FALSE))</f>
        <v>7</v>
      </c>
      <c r="U27" s="50">
        <f ca="1">Tableau1[[#This Row],[Day ILN Order]]+Tableau1[[#This Row],[Delivery time to ILN/Shipper]]-1</f>
        <v>22</v>
      </c>
      <c r="V27" s="50">
        <f ca="1">IFERROR(VLOOKUP(Tableau1[[#This Row],[Key(Compte ILN - shipper - POL - plant)]],'DATA ILN'!A:N,14,FALSE),VLOOKUP(Tableau1[[#This Row],[Key(Compte ILN - shipper - POL)]],'DATA ILN'!B:N,13,FALSE))</f>
        <v>1</v>
      </c>
      <c r="W27" s="53">
        <f ca="1">IFERROR(VLOOKUP(Tableau1[[#This Row],[Key(Compte ILN - shipper - POL - plant)]],'DATA ILN'!A:P,16,FALSE),VLOOKUP(Tableau1[[#This Row],[Key(Compte ILN - shipper - POL)]],'DATA ILN'!B:P,15,FALSE))</f>
        <v>5</v>
      </c>
      <c r="X27" s="283" t="s">
        <v>1</v>
      </c>
      <c r="Y27" s="482">
        <f>IFERROR(VLOOKUP(Tableau1[[#This Row],[Name Shipper]],Plant_AILN!L:M,2,FALSE),0)</f>
        <v>92000100</v>
      </c>
      <c r="Z27" s="358">
        <v>910</v>
      </c>
      <c r="AA27" s="353" t="str">
        <f ca="1">VLOOKUP(Tableau1[[#This Row],[Key(ID-Actif)]],'DATA BTO'!A:N,5,FALSE)</f>
        <v>FRLEH</v>
      </c>
      <c r="AB27" s="3" t="str">
        <f ca="1">VLOOKUP(Tableau1[[#This Row],[Key(ID-Actif)]],'DATA BTO'!A:N,6,FALSE)</f>
        <v>CMA-CGM</v>
      </c>
      <c r="AC27" s="50">
        <f ca="1">VLOOKUP(Tableau1[[#This Row],[Key(ID-Actif)]],'DATA BTO'!A:N,7,FALSE)</f>
        <v>12</v>
      </c>
      <c r="AD27" s="50">
        <f ca="1">VLOOKUP(Tableau1[[#This Row],[Key(ID-Actif)]],'DATA BTO'!A:N,8,FALSE)</f>
        <v>15</v>
      </c>
      <c r="AE27" s="50">
        <f ca="1">IF(Tableau1[[#This Row],[First Day to POL]]&lt;=Tableau1[[#This Row],[Day Cut Off]],Tableau1[[#This Row],[Day ETD]],Tableau1[[#This Row],[Day ETD]]+7)</f>
        <v>15</v>
      </c>
      <c r="AF27" s="50">
        <f ca="1">VLOOKUP(Tableau1[[#This Row],[Key(ID-Actif)]],'DATA BTO'!A:N,9,FALSE)</f>
        <v>35</v>
      </c>
      <c r="AG27" s="3" t="str">
        <f ca="1">VLOOKUP(Tableau1[[#This Row],[Key(ID-Actif)]],'DATA BTO'!A:N,10,FALSE)</f>
        <v>BRPNG</v>
      </c>
      <c r="AH27" s="3">
        <f ca="1">VLOOKUP(Tableau1[[#This Row],[Key(ID-Actif)]],'DATA BTO'!A:N,11,FALSE)</f>
        <v>3</v>
      </c>
      <c r="AI27" s="50">
        <f ca="1">VLOOKUP(Tableau1[[#This Row],[Key(ID-Actif)]],'DATA BTO'!A:N,12,FALSE)</f>
        <v>0</v>
      </c>
      <c r="AJ27" s="53" t="str">
        <f ca="1">VLOOKUP(Tableau1[[#This Row],[Key(ID-Actif)]],'DATA BTO'!A:N,14,FALSE)</f>
        <v>Max</v>
      </c>
      <c r="AK27" s="54">
        <f ca="1">VLOOKUP(Tableau1[[#This Row],[Key(POD -PFI- Usine)]],'DATA Consignee'!A:F,6,FALSE)</f>
        <v>2</v>
      </c>
      <c r="AL27" s="125"/>
      <c r="AM27" s="483" t="str">
        <f>IF(Tableau1[[#This Row],[Name PFI/CDD]]="","-",VLOOKUP(Tableau1[[#This Row],[Name PFI/CDD]],Plant_AILN!I:J,2,FALSE))</f>
        <v>-</v>
      </c>
      <c r="AN2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" s="2">
        <f ca="1">VLOOKUP(Tableau1[[#This Row],[Key(POD -PFI- Usine)]],'DATA Consignee'!A:J,10,FALSE)</f>
        <v>0</v>
      </c>
      <c r="AQ27" s="50">
        <f ca="1">VLOOKUP(Tableau1[[#This Row],[Key(POD -PFI- Usine)]],'DATA Consignee'!A:N,14,FALSE)</f>
        <v>2</v>
      </c>
      <c r="AR2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2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20</v>
      </c>
      <c r="AT27" s="50">
        <f ca="1">Tableau1[[#This Row],[Transit time]]+Tableau1[[#This Row],[Time for security]]+Tableau1[[#This Row],[Time for security2 buffer]]</f>
        <v>38</v>
      </c>
      <c r="AU2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27" s="389">
        <f ca="1">Tableau1[[#This Row],[Leadtime SI2C]]+Tableau1[[#This Row],[First Receipt Days]]-Tableau1[[#This Row],[Day Customer Order]]+1</f>
        <v>78</v>
      </c>
      <c r="AW27" s="117">
        <f ca="1">IF(Tableau1[[#This Row],[Name ILN]]&lt;&gt;"SFK Freight Forwarder",Tableau1[[#This Row],[Cust. Leadtime]],Tableau1[[#This Row],[Leadtime SI2C]])</f>
        <v>78</v>
      </c>
      <c r="AX27" s="51" t="str">
        <f>VLOOKUP(Tableau1[[#This Row],[ID]],'DATA BTO'!B:P,15,FALSE)</f>
        <v>Renault &gt; Horse</v>
      </c>
      <c r="AY27" s="328">
        <f ca="1">IFERROR(VLOOKUP(Tableau1[[#This Row],[Key(ID-Actif)]],'DATA BTO'!A:N,4,FALSE),VLOOKUP(Tableau1[[#This Row],[ID]],'DATA BTO'!B:N,3,FALSE))</f>
        <v>46142</v>
      </c>
      <c r="AZ27" s="50" t="str">
        <f>IF(ISNUMBER(Tableau1[[#This Row],[Day Customer Order]]),"-","Please Check 'Name' information in 'Order' Sheet to make sure they have information")</f>
        <v>-</v>
      </c>
      <c r="BA2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" s="50"/>
    </row>
    <row r="28" spans="2:57">
      <c r="B28" s="65" t="str">
        <f>_xlfn.CONCAT(Tableau1[[#This Row],[Name ILN]],"-",Tableau1[[#This Row],[Name Shipper]],"-",Tableau1[[#This Row],[Name Site]])</f>
        <v>ILN Pune-ILN Pune-Curitiba CMO</v>
      </c>
      <c r="C28" s="65" t="str">
        <f ca="1">_xlfn.CONCAT(Tableau1[[#This Row],[Compte ILN]],"-",Tableau1[[#This Row],[Compte Shipper]],"-",Tableau1[[#This Row],[POL]],"-",Tableau1[[#This Row],[Compte Consignee]])</f>
        <v>2533780535-2533780535-INNSA-90018600</v>
      </c>
      <c r="D28" s="64" t="str">
        <f ca="1">_xlfn.CONCAT(Tableau1[[#This Row],[Compte ILN]],"-",Tableau1[[#This Row],[Compte Shipper]],"-",Tableau1[[#This Row],[POL]])</f>
        <v>2533780535-2533780535-INNSA</v>
      </c>
      <c r="E28" s="396" t="str">
        <f ca="1">_xlfn.CONCAT(Tableau1[[#This Row],[POL]],"-",Tableau1[[#This Row],[Carrier]],"-",Tableau1[[#This Row],[POD]])</f>
        <v>INNSA-MSC-BRPNG</v>
      </c>
      <c r="F28" s="64" t="str">
        <f>_xlfn.CONCAT(Tableau1[[#This Row],[ID]],"-","Actif")</f>
        <v>912-Actif</v>
      </c>
      <c r="G28" s="64" t="str">
        <f ca="1">_xlfn.CONCAT(Tableau1[[#This Row],[POD]],"-",Tableau1[[#This Row],[Code PFI]],"-",Tableau1[[#This Row],[Compte Consignee]])</f>
        <v>BRPNG---90018600</v>
      </c>
      <c r="H28" s="396" t="str">
        <f ca="1">_xlfn.CONCAT(IF(Tableau1[[#This Row],[Name ILN]]=Tableau1[[#This Row],[Name Shipper]],Tableau1[[#This Row],[Name ILN]],Tableau1[[#This Row],[Compte Shipper]]),Tableau1[[#This Row],[POL]],Tableau1[[#This Row],[Name Site]])</f>
        <v>ILN PuneINNSACuritiba CMO</v>
      </c>
      <c r="I2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Pune-ILN Pune-912-INNSA-MSC-BRPNG-</v>
      </c>
      <c r="J28" s="397" t="str">
        <f ca="1">IF(COUNTIF(I:I,Tableau1[[#This Row],[Plant-ILN-shipper-POL-Carrier-POD-PFI]])=1,"Non","Oui")</f>
        <v>Non</v>
      </c>
      <c r="K28" s="398" t="str">
        <f>VLOOKUP(Tableau1[[#This Row],[Name Site]],Plant_AILN!A:D,4,FALSE)</f>
        <v>BRAZIL</v>
      </c>
      <c r="L28" s="285" t="s">
        <v>154</v>
      </c>
      <c r="M28" s="480">
        <f>VLOOKUP(Tableau1[[#This Row],[Name Site]],Plant_AILN!A:C,3,FALSE)</f>
        <v>90018600</v>
      </c>
      <c r="N28" s="55">
        <f>VLOOKUP(Tableau1[[#This Row],[Compte Consignee]],Order!C:D,2,FALSE)</f>
        <v>7</v>
      </c>
      <c r="O28" s="114" t="s">
        <v>142</v>
      </c>
      <c r="P28" s="481">
        <f>VLOOKUP(Tableau1[[#This Row],[Name ILN]],Plant_AILN!F:G,2,FALSE)</f>
        <v>2533780535</v>
      </c>
      <c r="Q28" s="50">
        <f>VLOOKUP(Tableau1[[#This Row],[Compte ILN]],'DATA ILN'!D:I,6,FALSE)</f>
        <v>9</v>
      </c>
      <c r="R28" s="50">
        <f ca="1">IFERROR(VLOOKUP(Tableau1[[#This Row],[Key(Compte ILN - shipper - POL - plant)]],'DATA ILN'!A:J,10,FALSE),VLOOKUP(Tableau1[[#This Row],[Key(Compte ILN - shipper - POL)]],'DATA ILN'!B:J,9,FALSE))</f>
        <v>14</v>
      </c>
      <c r="S28" s="50">
        <f ca="1">IFERROR(VLOOKUP(Tableau1[[#This Row],[Key(Compte ILN - shipper - POL - plant)]],'DATA ILN'!A:K,11,FALSE),VLOOKUP(Tableau1[[#This Row],[Key(Compte ILN - shipper - POL)]],'DATA ILN'!B:K,10,FALSE))</f>
        <v>5</v>
      </c>
      <c r="T28" s="50">
        <f ca="1">IFERROR(VLOOKUP(Tableau1[[#This Row],[Key(Compte ILN - shipper - POL - plant)]],'DATA ILN'!A:L,12,FALSE),VLOOKUP(Tableau1[[#This Row],[Key(Compte ILN - shipper - POL)]],'DATA ILN'!B:L,11,FALSE))</f>
        <v>7</v>
      </c>
      <c r="U28" s="50">
        <f ca="1">Tableau1[[#This Row],[Day ILN Order]]+Tableau1[[#This Row],[Delivery time to ILN/Shipper]]-1</f>
        <v>22</v>
      </c>
      <c r="V28" s="50">
        <f ca="1">IFERROR(VLOOKUP(Tableau1[[#This Row],[Key(Compte ILN - shipper - POL - plant)]],'DATA ILN'!A:N,14,FALSE),VLOOKUP(Tableau1[[#This Row],[Key(Compte ILN - shipper - POL)]],'DATA ILN'!B:N,13,FALSE))</f>
        <v>4</v>
      </c>
      <c r="W28" s="53">
        <f ca="1">IFERROR(VLOOKUP(Tableau1[[#This Row],[Key(Compte ILN - shipper - POL - plant)]],'DATA ILN'!A:P,16,FALSE),VLOOKUP(Tableau1[[#This Row],[Key(Compte ILN - shipper - POL)]],'DATA ILN'!B:P,15,FALSE))</f>
        <v>5</v>
      </c>
      <c r="X28" s="283" t="s">
        <v>142</v>
      </c>
      <c r="Y28" s="482">
        <f>IFERROR(VLOOKUP(Tableau1[[#This Row],[Name Shipper]],Plant_AILN!L:M,2,FALSE),0)</f>
        <v>2533780535</v>
      </c>
      <c r="Z28" s="358">
        <v>912</v>
      </c>
      <c r="AA28" s="353" t="str">
        <f ca="1">VLOOKUP(Tableau1[[#This Row],[Key(ID-Actif)]],'DATA BTO'!A:N,5,FALSE)</f>
        <v>INNSA</v>
      </c>
      <c r="AB28" s="3" t="str">
        <f ca="1">VLOOKUP(Tableau1[[#This Row],[Key(ID-Actif)]],'DATA BTO'!A:N,6,FALSE)</f>
        <v>MSC</v>
      </c>
      <c r="AC28" s="50">
        <f ca="1">VLOOKUP(Tableau1[[#This Row],[Key(ID-Actif)]],'DATA BTO'!A:N,7,FALSE)</f>
        <v>2</v>
      </c>
      <c r="AD28" s="50">
        <f ca="1">VLOOKUP(Tableau1[[#This Row],[Key(ID-Actif)]],'DATA BTO'!A:N,8,FALSE)</f>
        <v>4</v>
      </c>
      <c r="AE28" s="50">
        <f ca="1">IF(Tableau1[[#This Row],[First Day to POL]]&lt;=Tableau1[[#This Row],[Day Cut Off]],Tableau1[[#This Row],[Day ETD]],Tableau1[[#This Row],[Day ETD]]+7)</f>
        <v>11</v>
      </c>
      <c r="AF28" s="50">
        <f ca="1">VLOOKUP(Tableau1[[#This Row],[Key(ID-Actif)]],'DATA BTO'!A:N,9,FALSE)</f>
        <v>36</v>
      </c>
      <c r="AG28" s="3" t="str">
        <f ca="1">VLOOKUP(Tableau1[[#This Row],[Key(ID-Actif)]],'DATA BTO'!A:N,10,FALSE)</f>
        <v>BRPNG</v>
      </c>
      <c r="AH28" s="3">
        <f ca="1">VLOOKUP(Tableau1[[#This Row],[Key(ID-Actif)]],'DATA BTO'!A:N,11,FALSE)</f>
        <v>3</v>
      </c>
      <c r="AI28" s="50">
        <f ca="1">VLOOKUP(Tableau1[[#This Row],[Key(ID-Actif)]],'DATA BTO'!A:N,12,FALSE)</f>
        <v>14</v>
      </c>
      <c r="AJ28" s="53" t="str">
        <f ca="1">VLOOKUP(Tableau1[[#This Row],[Key(ID-Actif)]],'DATA BTO'!A:N,14,FALSE)</f>
        <v>Marc-Aurele</v>
      </c>
      <c r="AK28" s="54">
        <f ca="1">VLOOKUP(Tableau1[[#This Row],[Key(POD -PFI- Usine)]],'DATA Consignee'!A:F,6,FALSE)</f>
        <v>2</v>
      </c>
      <c r="AL28" s="125"/>
      <c r="AM28" s="483" t="str">
        <f>IF(Tableau1[[#This Row],[Name PFI/CDD]]="","-",VLOOKUP(Tableau1[[#This Row],[Name PFI/CDD]],Plant_AILN!I:J,2,FALSE))</f>
        <v>-</v>
      </c>
      <c r="AN2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" s="2">
        <f ca="1">VLOOKUP(Tableau1[[#This Row],[Key(POD -PFI- Usine)]],'DATA Consignee'!A:J,10,FALSE)</f>
        <v>0</v>
      </c>
      <c r="AQ28" s="50">
        <f ca="1">VLOOKUP(Tableau1[[#This Row],[Key(POD -PFI- Usine)]],'DATA Consignee'!A:N,14,FALSE)</f>
        <v>2</v>
      </c>
      <c r="AR2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2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28" s="50">
        <f ca="1">Tableau1[[#This Row],[Transit time]]+Tableau1[[#This Row],[Time for security]]+Tableau1[[#This Row],[Time for security2 buffer]]</f>
        <v>53</v>
      </c>
      <c r="AU2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28" s="389">
        <f ca="1">Tableau1[[#This Row],[Leadtime SI2C]]+Tableau1[[#This Row],[First Receipt Days]]-Tableau1[[#This Row],[Day Customer Order]]+1</f>
        <v>92</v>
      </c>
      <c r="AW28" s="117">
        <f ca="1">IF(Tableau1[[#This Row],[Name ILN]]&lt;&gt;"SFK Freight Forwarder",Tableau1[[#This Row],[Cust. Leadtime]],Tableau1[[#This Row],[Leadtime SI2C]])</f>
        <v>92</v>
      </c>
      <c r="AX28" s="51" t="str">
        <f>VLOOKUP(Tableau1[[#This Row],[ID]],'DATA BTO'!B:P,15,FALSE)</f>
        <v>Renault &gt; Horse</v>
      </c>
      <c r="AY28" s="328">
        <f ca="1">IFERROR(VLOOKUP(Tableau1[[#This Row],[Key(ID-Actif)]],'DATA BTO'!A:N,4,FALSE),VLOOKUP(Tableau1[[#This Row],[ID]],'DATA BTO'!B:N,3,FALSE))</f>
        <v>46142</v>
      </c>
      <c r="AZ28" s="50" t="str">
        <f>IF(ISNUMBER(Tableau1[[#This Row],[Day Customer Order]]),"-","Please Check 'Name' information in 'Order' Sheet to make sure they have information")</f>
        <v>-</v>
      </c>
      <c r="BA2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" s="50"/>
    </row>
    <row r="29" spans="2:57">
      <c r="B29" s="65" t="str">
        <f>_xlfn.CONCAT(Tableau1[[#This Row],[Name ILN]],"-",Tableau1[[#This Row],[Name Shipper]],"-",Tableau1[[#This Row],[Name Site]])</f>
        <v>ILN Chennai-ILN Chennai-DACIA MECA</v>
      </c>
      <c r="C29" s="65" t="str">
        <f ca="1">_xlfn.CONCAT(Tableau1[[#This Row],[Compte ILN]],"-",Tableau1[[#This Row],[Compte Shipper]],"-",Tableau1[[#This Row],[POL]],"-",Tableau1[[#This Row],[Compte Consignee]])</f>
        <v>2533780546-2533780546-INENR-90012500</v>
      </c>
      <c r="D29" s="64" t="str">
        <f ca="1">_xlfn.CONCAT(Tableau1[[#This Row],[Compte ILN]],"-",Tableau1[[#This Row],[Compte Shipper]],"-",Tableau1[[#This Row],[POL]])</f>
        <v>2533780546-2533780546-INENR</v>
      </c>
      <c r="E29" s="396" t="str">
        <f ca="1">_xlfn.CONCAT(Tableau1[[#This Row],[POL]],"-",Tableau1[[#This Row],[Carrier]],"-",Tableau1[[#This Row],[POD]])</f>
        <v>INENR-MSC-ROCND</v>
      </c>
      <c r="F29" s="64" t="str">
        <f>_xlfn.CONCAT(Tableau1[[#This Row],[ID]],"-","Actif")</f>
        <v>915-Actif</v>
      </c>
      <c r="G29" s="64" t="str">
        <f ca="1">_xlfn.CONCAT(Tableau1[[#This Row],[POD]],"-",Tableau1[[#This Row],[Code PFI]],"-",Tableau1[[#This Row],[Compte Consignee]])</f>
        <v>ROCND-2839004-90012500</v>
      </c>
      <c r="H29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ChennaiINENRDACIA MECA</v>
      </c>
      <c r="I2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Chennai-ILN Chennai-915-INENR-MSC-ROCND-Magasin Dacia</v>
      </c>
      <c r="J29" s="397" t="str">
        <f ca="1">IF(COUNTIF(I:I,Tableau1[[#This Row],[Plant-ILN-shipper-POL-Carrier-POD-PFI]])=1,"Non","Oui")</f>
        <v>Non</v>
      </c>
      <c r="K29" s="398" t="str">
        <f>VLOOKUP(Tableau1[[#This Row],[Name Site]],Plant_AILN!A:D,4,FALSE)</f>
        <v>ROMANIA</v>
      </c>
      <c r="L29" s="363" t="s">
        <v>156</v>
      </c>
      <c r="M29" s="480">
        <f>VLOOKUP(Tableau1[[#This Row],[Name Site]],Plant_AILN!A:C,3,FALSE)</f>
        <v>90012500</v>
      </c>
      <c r="N29" s="55">
        <f>VLOOKUP(Tableau1[[#This Row],[Compte Consignee]],Order!C:D,2,FALSE)</f>
        <v>7</v>
      </c>
      <c r="O29" s="114" t="s">
        <v>141</v>
      </c>
      <c r="P29" s="481">
        <f>VLOOKUP(Tableau1[[#This Row],[Name ILN]],Plant_AILN!F:G,2,FALSE)</f>
        <v>2533780546</v>
      </c>
      <c r="Q29" s="50">
        <f>VLOOKUP(Tableau1[[#This Row],[Compte ILN]],'DATA ILN'!D:I,6,FALSE)</f>
        <v>9</v>
      </c>
      <c r="R29" s="50">
        <f ca="1">IFERROR(VLOOKUP(Tableau1[[#This Row],[Key(Compte ILN - shipper - POL - plant)]],'DATA ILN'!A:J,10,FALSE),VLOOKUP(Tableau1[[#This Row],[Key(Compte ILN - shipper - POL)]],'DATA ILN'!B:J,9,FALSE))</f>
        <v>14</v>
      </c>
      <c r="S29" s="50">
        <f ca="1">IFERROR(VLOOKUP(Tableau1[[#This Row],[Key(Compte ILN - shipper - POL - plant)]],'DATA ILN'!A:K,11,FALSE),VLOOKUP(Tableau1[[#This Row],[Key(Compte ILN - shipper - POL)]],'DATA ILN'!B:K,10,FALSE))</f>
        <v>5</v>
      </c>
      <c r="T29" s="50">
        <f ca="1">IFERROR(VLOOKUP(Tableau1[[#This Row],[Key(Compte ILN - shipper - POL - plant)]],'DATA ILN'!A:L,12,FALSE),VLOOKUP(Tableau1[[#This Row],[Key(Compte ILN - shipper - POL)]],'DATA ILN'!B:L,11,FALSE))</f>
        <v>7</v>
      </c>
      <c r="U29" s="50">
        <f ca="1">Tableau1[[#This Row],[Day ILN Order]]+Tableau1[[#This Row],[Delivery time to ILN/Shipper]]-1</f>
        <v>22</v>
      </c>
      <c r="V29" s="50">
        <f ca="1">IFERROR(VLOOKUP(Tableau1[[#This Row],[Key(Compte ILN - shipper - POL - plant)]],'DATA ILN'!A:N,14,FALSE),VLOOKUP(Tableau1[[#This Row],[Key(Compte ILN - shipper - POL)]],'DATA ILN'!B:N,13,FALSE))</f>
        <v>2</v>
      </c>
      <c r="W29" s="53">
        <f ca="1">IFERROR(VLOOKUP(Tableau1[[#This Row],[Key(Compte ILN - shipper - POL - plant)]],'DATA ILN'!A:P,16,FALSE),VLOOKUP(Tableau1[[#This Row],[Key(Compte ILN - shipper - POL)]],'DATA ILN'!B:P,15,FALSE))</f>
        <v>5</v>
      </c>
      <c r="X29" s="283" t="s">
        <v>141</v>
      </c>
      <c r="Y29" s="482">
        <f>IFERROR(VLOOKUP(Tableau1[[#This Row],[Name Shipper]],Plant_AILN!L:M,2,FALSE),0)</f>
        <v>2533780546</v>
      </c>
      <c r="Z29" s="358">
        <v>915</v>
      </c>
      <c r="AA29" s="353" t="str">
        <f ca="1">VLOOKUP(Tableau1[[#This Row],[Key(ID-Actif)]],'DATA BTO'!A:N,5,FALSE)</f>
        <v>INENR</v>
      </c>
      <c r="AB29" s="3" t="str">
        <f ca="1">VLOOKUP(Tableau1[[#This Row],[Key(ID-Actif)]],'DATA BTO'!A:N,6,FALSE)</f>
        <v>MSC</v>
      </c>
      <c r="AC29" s="50">
        <f ca="1">VLOOKUP(Tableau1[[#This Row],[Key(ID-Actif)]],'DATA BTO'!A:N,7,FALSE)</f>
        <v>2</v>
      </c>
      <c r="AD29" s="50">
        <f ca="1">VLOOKUP(Tableau1[[#This Row],[Key(ID-Actif)]],'DATA BTO'!A:N,8,FALSE)</f>
        <v>4</v>
      </c>
      <c r="AE29" s="50">
        <f ca="1">IF(Tableau1[[#This Row],[First Day to POL]]&lt;=Tableau1[[#This Row],[Day Cut Off]],Tableau1[[#This Row],[Day ETD]],Tableau1[[#This Row],[Day ETD]]+7)</f>
        <v>11</v>
      </c>
      <c r="AF29" s="50">
        <f ca="1">VLOOKUP(Tableau1[[#This Row],[Key(ID-Actif)]],'DATA BTO'!A:N,9,FALSE)</f>
        <v>49</v>
      </c>
      <c r="AG29" s="3" t="str">
        <f ca="1">VLOOKUP(Tableau1[[#This Row],[Key(ID-Actif)]],'DATA BTO'!A:N,10,FALSE)</f>
        <v>ROCND</v>
      </c>
      <c r="AH29" s="3">
        <f ca="1">VLOOKUP(Tableau1[[#This Row],[Key(ID-Actif)]],'DATA BTO'!A:N,11,FALSE)</f>
        <v>3</v>
      </c>
      <c r="AI29" s="50">
        <f ca="1">VLOOKUP(Tableau1[[#This Row],[Key(ID-Actif)]],'DATA BTO'!A:N,12,FALSE)</f>
        <v>7</v>
      </c>
      <c r="AJ29" s="53" t="str">
        <f ca="1">VLOOKUP(Tableau1[[#This Row],[Key(ID-Actif)]],'DATA BTO'!A:N,14,FALSE)</f>
        <v>Marc-Aurele</v>
      </c>
      <c r="AK29" s="54">
        <f ca="1">VLOOKUP(Tableau1[[#This Row],[Key(POD -PFI- Usine)]],'DATA Consignee'!A:F,6,FALSE)</f>
        <v>1</v>
      </c>
      <c r="AL29" s="125" t="s">
        <v>158</v>
      </c>
      <c r="AM29" s="483">
        <f>IF(Tableau1[[#This Row],[Name PFI/CDD]]="","-",VLOOKUP(Tableau1[[#This Row],[Name PFI/CDD]],Plant_AILN!I:J,2,FALSE))</f>
        <v>2839004</v>
      </c>
      <c r="AN2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" s="2">
        <f ca="1">VLOOKUP(Tableau1[[#This Row],[Key(POD -PFI- Usine)]],'DATA Consignee'!A:J,10,FALSE)</f>
        <v>7</v>
      </c>
      <c r="AQ29" s="50">
        <f ca="1">VLOOKUP(Tableau1[[#This Row],[Key(POD -PFI- Usine)]],'DATA Consignee'!A:N,14,FALSE)</f>
        <v>1</v>
      </c>
      <c r="AR2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2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29" s="50">
        <f ca="1">Tableau1[[#This Row],[Transit time]]+Tableau1[[#This Row],[Time for security]]+Tableau1[[#This Row],[Time for security2 buffer]]</f>
        <v>59</v>
      </c>
      <c r="AU2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29" s="389">
        <f ca="1">Tableau1[[#This Row],[Leadtime SI2C]]+Tableau1[[#This Row],[First Receipt Days]]-Tableau1[[#This Row],[Day Customer Order]]+1</f>
        <v>106</v>
      </c>
      <c r="AW29" s="117">
        <f ca="1">IF(Tableau1[[#This Row],[Name ILN]]&lt;&gt;"SFK Freight Forwarder",Tableau1[[#This Row],[Cust. Leadtime]],Tableau1[[#This Row],[Leadtime SI2C]])</f>
        <v>106</v>
      </c>
      <c r="AX29" s="51" t="str">
        <f>VLOOKUP(Tableau1[[#This Row],[ID]],'DATA BTO'!B:P,15,FALSE)</f>
        <v>Renault &gt; Horse</v>
      </c>
      <c r="AY29" s="328">
        <f ca="1">IFERROR(VLOOKUP(Tableau1[[#This Row],[Key(ID-Actif)]],'DATA BTO'!A:N,4,FALSE),VLOOKUP(Tableau1[[#This Row],[ID]],'DATA BTO'!B:N,3,FALSE))</f>
        <v>46142</v>
      </c>
      <c r="AZ29" s="50" t="str">
        <f>IF(ISNUMBER(Tableau1[[#This Row],[Day Customer Order]]),"-","Please Check 'Name' information in 'Order' Sheet to make sure they have information")</f>
        <v>-</v>
      </c>
      <c r="BA2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2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2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" s="50"/>
    </row>
    <row r="30" spans="2:57">
      <c r="B30" s="65" t="str">
        <f>_xlfn.CONCAT(Tableau1[[#This Row],[Name ILN]],"-",Tableau1[[#This Row],[Name Shipper]],"-",Tableau1[[#This Row],[Name Site]])</f>
        <v>ILN Curitiba-ILN Curitiba-MOTORES</v>
      </c>
      <c r="C30" s="65" t="str">
        <f ca="1">_xlfn.CONCAT(Tableau1[[#This Row],[Compte ILN]],"-",Tableau1[[#This Row],[Compte Shipper]],"-",Tableau1[[#This Row],[POL]],"-",Tableau1[[#This Row],[Compte Consignee]])</f>
        <v>95207-95207-BRPNG-91017700</v>
      </c>
      <c r="D30" s="64" t="str">
        <f ca="1">_xlfn.CONCAT(Tableau1[[#This Row],[Compte ILN]],"-",Tableau1[[#This Row],[Compte Shipper]],"-",Tableau1[[#This Row],[POL]])</f>
        <v>95207-95207-BRPNG</v>
      </c>
      <c r="E30" s="396" t="str">
        <f ca="1">_xlfn.CONCAT(Tableau1[[#This Row],[POL]],"-",Tableau1[[#This Row],[Carrier]],"-",Tableau1[[#This Row],[POD]])</f>
        <v>BRPNG-Hapag Lloyd-ESVLC</v>
      </c>
      <c r="F30" s="64" t="str">
        <f>_xlfn.CONCAT(Tableau1[[#This Row],[ID]],"-","Actif")</f>
        <v>916-Actif</v>
      </c>
      <c r="G30" s="64" t="str">
        <f ca="1">_xlfn.CONCAT(Tableau1[[#This Row],[POD]],"-",Tableau1[[#This Row],[Code PFI]],"-",Tableau1[[#This Row],[Compte Consignee]])</f>
        <v>ESVLC-91018400-91017700</v>
      </c>
      <c r="H30" s="396" t="str">
        <f ca="1">_xlfn.CONCAT(IF(Tableau1[[#This Row],[Name ILN]]=Tableau1[[#This Row],[Name Shipper]],Tableau1[[#This Row],[Name ILN]],Tableau1[[#This Row],[Compte Shipper]]),Tableau1[[#This Row],[POL]],Tableau1[[#This Row],[Name Site]])</f>
        <v>ILN CuritibaBRPNGMOTORES</v>
      </c>
      <c r="I3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Curitiba-ILN Curitiba-916-BRPNG-Hapag Lloyd-ESVLC-CDD VLL</v>
      </c>
      <c r="J30" s="397" t="str">
        <f ca="1">IF(COUNTIF(I:I,Tableau1[[#This Row],[Plant-ILN-shipper-POL-Carrier-POD-PFI]])=1,"Non","Oui")</f>
        <v>Non</v>
      </c>
      <c r="K30" s="398" t="str">
        <f>VLOOKUP(Tableau1[[#This Row],[Name Site]],Plant_AILN!A:D,4,FALSE)</f>
        <v>SPAIN</v>
      </c>
      <c r="L30" s="363" t="s">
        <v>163</v>
      </c>
      <c r="M30" s="480">
        <f>VLOOKUP(Tableau1[[#This Row],[Name Site]],Plant_AILN!A:C,3,FALSE)</f>
        <v>91017700</v>
      </c>
      <c r="N30" s="55">
        <f>VLOOKUP(Tableau1[[#This Row],[Compte Consignee]],Order!C:D,2,FALSE)</f>
        <v>7</v>
      </c>
      <c r="O30" s="114" t="s">
        <v>157</v>
      </c>
      <c r="P30" s="481">
        <f>VLOOKUP(Tableau1[[#This Row],[Name ILN]],Plant_AILN!F:G,2,FALSE)</f>
        <v>95207</v>
      </c>
      <c r="Q30" s="50">
        <f>VLOOKUP(Tableau1[[#This Row],[Compte ILN]],'DATA ILN'!D:I,6,FALSE)</f>
        <v>9</v>
      </c>
      <c r="R30" s="50">
        <f ca="1">IFERROR(VLOOKUP(Tableau1[[#This Row],[Key(Compte ILN - shipper - POL - plant)]],'DATA ILN'!A:J,10,FALSE),VLOOKUP(Tableau1[[#This Row],[Key(Compte ILN - shipper - POL)]],'DATA ILN'!B:J,9,FALSE))</f>
        <v>7</v>
      </c>
      <c r="S30" s="50">
        <f ca="1">IFERROR(VLOOKUP(Tableau1[[#This Row],[Key(Compte ILN - shipper - POL - plant)]],'DATA ILN'!A:K,11,FALSE),VLOOKUP(Tableau1[[#This Row],[Key(Compte ILN - shipper - POL)]],'DATA ILN'!B:K,10,FALSE))</f>
        <v>5</v>
      </c>
      <c r="T30" s="50">
        <f ca="1">IFERROR(VLOOKUP(Tableau1[[#This Row],[Key(Compte ILN - shipper - POL - plant)]],'DATA ILN'!A:L,12,FALSE),VLOOKUP(Tableau1[[#This Row],[Key(Compte ILN - shipper - POL)]],'DATA ILN'!B:L,11,FALSE))</f>
        <v>7</v>
      </c>
      <c r="U30" s="50">
        <f ca="1">Tableau1[[#This Row],[Day ILN Order]]+Tableau1[[#This Row],[Delivery time to ILN/Shipper]]-1</f>
        <v>15</v>
      </c>
      <c r="V30" s="50">
        <f ca="1">IFERROR(VLOOKUP(Tableau1[[#This Row],[Key(Compte ILN - shipper - POL - plant)]],'DATA ILN'!A:N,14,FALSE),VLOOKUP(Tableau1[[#This Row],[Key(Compte ILN - shipper - POL)]],'DATA ILN'!B:N,13,FALSE))</f>
        <v>4</v>
      </c>
      <c r="W30" s="53">
        <f ca="1">IFERROR(VLOOKUP(Tableau1[[#This Row],[Key(Compte ILN - shipper - POL - plant)]],'DATA ILN'!A:P,16,FALSE),VLOOKUP(Tableau1[[#This Row],[Key(Compte ILN - shipper - POL)]],'DATA ILN'!B:P,15,FALSE))</f>
        <v>5</v>
      </c>
      <c r="X30" s="283" t="s">
        <v>157</v>
      </c>
      <c r="Y30" s="482">
        <f>IFERROR(VLOOKUP(Tableau1[[#This Row],[Name Shipper]],Plant_AILN!L:M,2,FALSE),0)</f>
        <v>95207</v>
      </c>
      <c r="Z30" s="358">
        <v>916</v>
      </c>
      <c r="AA30" s="353" t="str">
        <f ca="1">VLOOKUP(Tableau1[[#This Row],[Key(ID-Actif)]],'DATA BTO'!A:N,5,FALSE)</f>
        <v>BRPNG</v>
      </c>
      <c r="AB30" s="3" t="str">
        <f ca="1">VLOOKUP(Tableau1[[#This Row],[Key(ID-Actif)]],'DATA BTO'!A:N,6,FALSE)</f>
        <v>Hapag Lloyd</v>
      </c>
      <c r="AC30" s="50">
        <f ca="1">VLOOKUP(Tableau1[[#This Row],[Key(ID-Actif)]],'DATA BTO'!A:N,7,FALSE)</f>
        <v>3</v>
      </c>
      <c r="AD30" s="50">
        <f ca="1">VLOOKUP(Tableau1[[#This Row],[Key(ID-Actif)]],'DATA BTO'!A:N,8,FALSE)</f>
        <v>5</v>
      </c>
      <c r="AE30" s="50">
        <f ca="1">IF(Tableau1[[#This Row],[First Day to POL]]&lt;=Tableau1[[#This Row],[Day Cut Off]],Tableau1[[#This Row],[Day ETD]],Tableau1[[#This Row],[Day ETD]]+7)</f>
        <v>12</v>
      </c>
      <c r="AF30" s="50">
        <f ca="1">VLOOKUP(Tableau1[[#This Row],[Key(ID-Actif)]],'DATA BTO'!A:N,9,FALSE)</f>
        <v>30</v>
      </c>
      <c r="AG30" s="3" t="str">
        <f ca="1">VLOOKUP(Tableau1[[#This Row],[Key(ID-Actif)]],'DATA BTO'!A:N,10,FALSE)</f>
        <v>ESVLC</v>
      </c>
      <c r="AH30" s="3">
        <f ca="1">VLOOKUP(Tableau1[[#This Row],[Key(ID-Actif)]],'DATA BTO'!A:N,11,FALSE)</f>
        <v>3</v>
      </c>
      <c r="AI30" s="50">
        <f ca="1">VLOOKUP(Tableau1[[#This Row],[Key(ID-Actif)]],'DATA BTO'!A:N,12,FALSE)</f>
        <v>0</v>
      </c>
      <c r="AJ30" s="53" t="str">
        <f ca="1">VLOOKUP(Tableau1[[#This Row],[Key(ID-Actif)]],'DATA BTO'!A:N,14,FALSE)</f>
        <v>Jocelyn</v>
      </c>
      <c r="AK30" s="54">
        <f ca="1">VLOOKUP(Tableau1[[#This Row],[Key(POD -PFI- Usine)]],'DATA Consignee'!A:F,6,FALSE)</f>
        <v>2</v>
      </c>
      <c r="AL30" s="125" t="s">
        <v>166</v>
      </c>
      <c r="AM30" s="483">
        <f>IF(Tableau1[[#This Row],[Name PFI/CDD]]="","-",VLOOKUP(Tableau1[[#This Row],[Name PFI/CDD]],Plant_AILN!I:J,2,FALSE))</f>
        <v>91018400</v>
      </c>
      <c r="AN30" s="6">
        <f ca="1">IF(COUNTIF(buffer_train[AILN],Tableau1[[#This Row],[Name PFI/CDD]])&gt;0,Tableau1[[#This Row],[First Receipt Days]]+Tableau1[[#This Row],[Cust.]]+Tableau1[[#This Row],[Parts Vanning]]+Tableau1[[#This Row],[Transit Time2]],"-")</f>
        <v>67</v>
      </c>
      <c r="AO30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4</v>
      </c>
      <c r="AP30" s="2">
        <f ca="1">VLOOKUP(Tableau1[[#This Row],[Key(POD -PFI- Usine)]],'DATA Consignee'!A:J,10,FALSE)</f>
        <v>3</v>
      </c>
      <c r="AQ30" s="50">
        <f ca="1">VLOOKUP(Tableau1[[#This Row],[Key(POD -PFI- Usine)]],'DATA Consignee'!A:N,14,FALSE)</f>
        <v>3</v>
      </c>
      <c r="AR3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3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30" s="50">
        <f ca="1">Tableau1[[#This Row],[Transit time]]+Tableau1[[#This Row],[Time for security]]+Tableau1[[#This Row],[Time for security2 buffer]]</f>
        <v>33</v>
      </c>
      <c r="AU3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30" s="389">
        <f ca="1">Tableau1[[#This Row],[Leadtime SI2C]]+Tableau1[[#This Row],[First Receipt Days]]-Tableau1[[#This Row],[Day Customer Order]]+1</f>
        <v>71</v>
      </c>
      <c r="AW30" s="117">
        <f ca="1">IF(Tableau1[[#This Row],[Name ILN]]&lt;&gt;"SFK Freight Forwarder",Tableau1[[#This Row],[Cust. Leadtime]],Tableau1[[#This Row],[Leadtime SI2C]])</f>
        <v>71</v>
      </c>
      <c r="AX30" s="51" t="str">
        <f>VLOOKUP(Tableau1[[#This Row],[ID]],'DATA BTO'!B:P,15,FALSE)</f>
        <v>Renault &gt; Horse</v>
      </c>
      <c r="AY30" s="328">
        <f ca="1">IFERROR(VLOOKUP(Tableau1[[#This Row],[Key(ID-Actif)]],'DATA BTO'!A:N,4,FALSE),VLOOKUP(Tableau1[[#This Row],[ID]],'DATA BTO'!B:N,3,FALSE))</f>
        <v>46142</v>
      </c>
      <c r="AZ30" s="50" t="str">
        <f>IF(ISNUMBER(Tableau1[[#This Row],[Day Customer Order]]),"-","Please Check 'Name' information in 'Order' Sheet to make sure they have information")</f>
        <v>-</v>
      </c>
      <c r="BA3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" s="50"/>
    </row>
    <row r="31" spans="2:57">
      <c r="B31" s="65" t="str">
        <f>_xlfn.CONCAT(Tableau1[[#This Row],[Name ILN]],"-",Tableau1[[#This Row],[Name Shipper]],"-",Tableau1[[#This Row],[Name Site]])</f>
        <v>ILN Chennai-ILN Chennai-OYAK MEKA</v>
      </c>
      <c r="C31" s="65" t="str">
        <f ca="1">_xlfn.CONCAT(Tableau1[[#This Row],[Compte ILN]],"-",Tableau1[[#This Row],[Compte Shipper]],"-",Tableau1[[#This Row],[POL]],"-",Tableau1[[#This Row],[Compte Consignee]])</f>
        <v>2533780546-2533780546-INENR-90014400</v>
      </c>
      <c r="D31" s="64" t="str">
        <f ca="1">_xlfn.CONCAT(Tableau1[[#This Row],[Compte ILN]],"-",Tableau1[[#This Row],[Compte Shipper]],"-",Tableau1[[#This Row],[POL]])</f>
        <v>2533780546-2533780546-INENR</v>
      </c>
      <c r="E31" s="396" t="str">
        <f ca="1">_xlfn.CONCAT(Tableau1[[#This Row],[POL]],"-",Tableau1[[#This Row],[Carrier]],"-",Tableau1[[#This Row],[POD]])</f>
        <v>INENR-Hapag Lloyd-TRGEM</v>
      </c>
      <c r="F31" s="64" t="str">
        <f>_xlfn.CONCAT(Tableau1[[#This Row],[ID]],"-","Actif")</f>
        <v>917-Actif</v>
      </c>
      <c r="G31" s="64" t="str">
        <f ca="1">_xlfn.CONCAT(Tableau1[[#This Row],[POD]],"-",Tableau1[[#This Row],[Code PFI]],"-",Tableau1[[#This Row],[Compte Consignee]])</f>
        <v>TRGEM---90014400</v>
      </c>
      <c r="H31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ChennaiINENROYAK MEKA</v>
      </c>
      <c r="I3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Chennai-ILN Chennai-917-INENR-Hapag Lloyd-TRGEM-</v>
      </c>
      <c r="J31" s="397" t="str">
        <f ca="1">IF(COUNTIF(I:I,Tableau1[[#This Row],[Plant-ILN-shipper-POL-Carrier-POD-PFI]])=1,"Non","Oui")</f>
        <v>Non</v>
      </c>
      <c r="K31" s="398" t="str">
        <f>VLOOKUP(Tableau1[[#This Row],[Name Site]],Plant_AILN!A:D,4,FALSE)</f>
        <v>TURKEY</v>
      </c>
      <c r="L31" s="285" t="s">
        <v>164</v>
      </c>
      <c r="M31" s="480">
        <f>VLOOKUP(Tableau1[[#This Row],[Name Site]],Plant_AILN!A:C,3,FALSE)</f>
        <v>90014400</v>
      </c>
      <c r="N31" s="55">
        <f>VLOOKUP(Tableau1[[#This Row],[Compte Consignee]],Order!C:D,2,FALSE)</f>
        <v>2</v>
      </c>
      <c r="O31" s="114" t="s">
        <v>141</v>
      </c>
      <c r="P31" s="481">
        <f>VLOOKUP(Tableau1[[#This Row],[Name ILN]],Plant_AILN!F:G,2,FALSE)</f>
        <v>2533780546</v>
      </c>
      <c r="Q31" s="50">
        <f>VLOOKUP(Tableau1[[#This Row],[Compte ILN]],'DATA ILN'!D:I,6,FALSE)</f>
        <v>9</v>
      </c>
      <c r="R31" s="50">
        <f ca="1">IFERROR(VLOOKUP(Tableau1[[#This Row],[Key(Compte ILN - shipper - POL - plant)]],'DATA ILN'!A:J,10,FALSE),VLOOKUP(Tableau1[[#This Row],[Key(Compte ILN - shipper - POL)]],'DATA ILN'!B:J,9,FALSE))</f>
        <v>14</v>
      </c>
      <c r="S31" s="50">
        <f ca="1">IFERROR(VLOOKUP(Tableau1[[#This Row],[Key(Compte ILN - shipper - POL - plant)]],'DATA ILN'!A:K,11,FALSE),VLOOKUP(Tableau1[[#This Row],[Key(Compte ILN - shipper - POL)]],'DATA ILN'!B:K,10,FALSE))</f>
        <v>5</v>
      </c>
      <c r="T31" s="50">
        <f ca="1">IFERROR(VLOOKUP(Tableau1[[#This Row],[Key(Compte ILN - shipper - POL - plant)]],'DATA ILN'!A:L,12,FALSE),VLOOKUP(Tableau1[[#This Row],[Key(Compte ILN - shipper - POL)]],'DATA ILN'!B:L,11,FALSE))</f>
        <v>7</v>
      </c>
      <c r="U31" s="50">
        <f ca="1">Tableau1[[#This Row],[Day ILN Order]]+Tableau1[[#This Row],[Delivery time to ILN/Shipper]]-1</f>
        <v>22</v>
      </c>
      <c r="V31" s="50">
        <f ca="1">IFERROR(VLOOKUP(Tableau1[[#This Row],[Key(Compte ILN - shipper - POL - plant)]],'DATA ILN'!A:N,14,FALSE),VLOOKUP(Tableau1[[#This Row],[Key(Compte ILN - shipper - POL)]],'DATA ILN'!B:N,13,FALSE))</f>
        <v>2</v>
      </c>
      <c r="W31" s="53">
        <f ca="1">IFERROR(VLOOKUP(Tableau1[[#This Row],[Key(Compte ILN - shipper - POL - plant)]],'DATA ILN'!A:P,16,FALSE),VLOOKUP(Tableau1[[#This Row],[Key(Compte ILN - shipper - POL)]],'DATA ILN'!B:P,15,FALSE))</f>
        <v>5</v>
      </c>
      <c r="X31" s="283" t="s">
        <v>141</v>
      </c>
      <c r="Y31" s="482">
        <f>IFERROR(VLOOKUP(Tableau1[[#This Row],[Name Shipper]],Plant_AILN!L:M,2,FALSE),0)</f>
        <v>2533780546</v>
      </c>
      <c r="Z31" s="358">
        <v>917</v>
      </c>
      <c r="AA31" s="353" t="str">
        <f ca="1">VLOOKUP(Tableau1[[#This Row],[Key(ID-Actif)]],'DATA BTO'!A:N,5,FALSE)</f>
        <v>INENR</v>
      </c>
      <c r="AB31" s="3" t="str">
        <f ca="1">VLOOKUP(Tableau1[[#This Row],[Key(ID-Actif)]],'DATA BTO'!A:N,6,FALSE)</f>
        <v>Hapag Lloyd</v>
      </c>
      <c r="AC31" s="50">
        <f ca="1">VLOOKUP(Tableau1[[#This Row],[Key(ID-Actif)]],'DATA BTO'!A:N,7,FALSE)</f>
        <v>7</v>
      </c>
      <c r="AD31" s="50">
        <f ca="1">VLOOKUP(Tableau1[[#This Row],[Key(ID-Actif)]],'DATA BTO'!A:N,8,FALSE)</f>
        <v>9</v>
      </c>
      <c r="AE31" s="50">
        <f ca="1">IF(Tableau1[[#This Row],[First Day to POL]]&lt;=Tableau1[[#This Row],[Day Cut Off]],Tableau1[[#This Row],[Day ETD]],Tableau1[[#This Row],[Day ETD]]+7)</f>
        <v>9</v>
      </c>
      <c r="AF31" s="50">
        <f ca="1">VLOOKUP(Tableau1[[#This Row],[Key(ID-Actif)]],'DATA BTO'!A:N,9,FALSE)</f>
        <v>49</v>
      </c>
      <c r="AG31" s="3" t="str">
        <f ca="1">VLOOKUP(Tableau1[[#This Row],[Key(ID-Actif)]],'DATA BTO'!A:N,10,FALSE)</f>
        <v>TRGEM</v>
      </c>
      <c r="AH31" s="3">
        <f ca="1">VLOOKUP(Tableau1[[#This Row],[Key(ID-Actif)]],'DATA BTO'!A:N,11,FALSE)</f>
        <v>3</v>
      </c>
      <c r="AI31" s="50">
        <f ca="1">VLOOKUP(Tableau1[[#This Row],[Key(ID-Actif)]],'DATA BTO'!A:N,12,FALSE)</f>
        <v>7</v>
      </c>
      <c r="AJ31" s="53" t="str">
        <f ca="1">VLOOKUP(Tableau1[[#This Row],[Key(ID-Actif)]],'DATA BTO'!A:N,14,FALSE)</f>
        <v>Marc-Aurele</v>
      </c>
      <c r="AK31" s="54">
        <f ca="1">VLOOKUP(Tableau1[[#This Row],[Key(POD -PFI- Usine)]],'DATA Consignee'!A:F,6,FALSE)</f>
        <v>2</v>
      </c>
      <c r="AL31" s="125"/>
      <c r="AM31" s="483" t="str">
        <f>IF(Tableau1[[#This Row],[Name PFI/CDD]]="","-",VLOOKUP(Tableau1[[#This Row],[Name PFI/CDD]],Plant_AILN!I:J,2,FALSE))</f>
        <v>-</v>
      </c>
      <c r="AN3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" s="2">
        <f ca="1">VLOOKUP(Tableau1[[#This Row],[Key(POD -PFI- Usine)]],'DATA Consignee'!A:J,10,FALSE)</f>
        <v>0</v>
      </c>
      <c r="AQ31" s="50">
        <f ca="1">VLOOKUP(Tableau1[[#This Row],[Key(POD -PFI- Usine)]],'DATA Consignee'!A:N,14,FALSE)</f>
        <v>2</v>
      </c>
      <c r="AR3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3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31" s="50">
        <f ca="1">Tableau1[[#This Row],[Transit time]]+Tableau1[[#This Row],[Time for security]]+Tableau1[[#This Row],[Time for security2 buffer]]</f>
        <v>59</v>
      </c>
      <c r="AU3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31" s="389">
        <f ca="1">Tableau1[[#This Row],[Leadtime SI2C]]+Tableau1[[#This Row],[First Receipt Days]]-Tableau1[[#This Row],[Day Customer Order]]+1</f>
        <v>104</v>
      </c>
      <c r="AW31" s="117">
        <f ca="1">IF(Tableau1[[#This Row],[Name ILN]]&lt;&gt;"SFK Freight Forwarder",Tableau1[[#This Row],[Cust. Leadtime]],Tableau1[[#This Row],[Leadtime SI2C]])</f>
        <v>104</v>
      </c>
      <c r="AX31" s="51" t="str">
        <f>VLOOKUP(Tableau1[[#This Row],[ID]],'DATA BTO'!B:P,15,FALSE)</f>
        <v>Renault &gt; Horse</v>
      </c>
      <c r="AY31" s="328">
        <f ca="1">IFERROR(VLOOKUP(Tableau1[[#This Row],[Key(ID-Actif)]],'DATA BTO'!A:N,4,FALSE),VLOOKUP(Tableau1[[#This Row],[ID]],'DATA BTO'!B:N,3,FALSE))</f>
        <v>46142</v>
      </c>
      <c r="AZ31" s="50" t="str">
        <f>IF(ISNUMBER(Tableau1[[#This Row],[Day Customer Order]]),"-","Please Check 'Name' information in 'Order' Sheet to make sure they have information")</f>
        <v>-</v>
      </c>
      <c r="BA3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" s="50"/>
    </row>
    <row r="32" spans="2:57">
      <c r="B32" s="65" t="str">
        <f>_xlfn.CONCAT(Tableau1[[#This Row],[Name ILN]],"-",Tableau1[[#This Row],[Name Shipper]],"-",Tableau1[[#This Row],[Name Site]])</f>
        <v>ILN Chennai-ILN Chennai-MOTORES</v>
      </c>
      <c r="C32" s="65" t="str">
        <f ca="1">_xlfn.CONCAT(Tableau1[[#This Row],[Compte ILN]],"-",Tableau1[[#This Row],[Compte Shipper]],"-",Tableau1[[#This Row],[POL]],"-",Tableau1[[#This Row],[Compte Consignee]])</f>
        <v>2533780546-2533780546-INENR-91017700</v>
      </c>
      <c r="D32" s="64" t="str">
        <f ca="1">_xlfn.CONCAT(Tableau1[[#This Row],[Compte ILN]],"-",Tableau1[[#This Row],[Compte Shipper]],"-",Tableau1[[#This Row],[POL]])</f>
        <v>2533780546-2533780546-INENR</v>
      </c>
      <c r="E32" s="396" t="str">
        <f ca="1">_xlfn.CONCAT(Tableau1[[#This Row],[POL]],"-",Tableau1[[#This Row],[Carrier]],"-",Tableau1[[#This Row],[POD]])</f>
        <v>INENR-CMA-CGM-ESVLC</v>
      </c>
      <c r="F32" s="64" t="str">
        <f>_xlfn.CONCAT(Tableau1[[#This Row],[ID]],"-","Actif")</f>
        <v>918-Actif</v>
      </c>
      <c r="G32" s="64" t="str">
        <f ca="1">_xlfn.CONCAT(Tableau1[[#This Row],[POD]],"-",Tableau1[[#This Row],[Code PFI]],"-",Tableau1[[#This Row],[Compte Consignee]])</f>
        <v>ESVLC-91018400-91017700</v>
      </c>
      <c r="H32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ChennaiINENRMOTORES</v>
      </c>
      <c r="I3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Chennai-ILN Chennai-918-INENR-CMA-CGM-ESVLC-PFI VLL</v>
      </c>
      <c r="J32" s="397" t="str">
        <f ca="1">IF(COUNTIF(I:I,Tableau1[[#This Row],[Plant-ILN-shipper-POL-Carrier-POD-PFI]])=1,"Non","Oui")</f>
        <v>Non</v>
      </c>
      <c r="K32" s="126" t="str">
        <f>VLOOKUP(Tableau1[[#This Row],[Name Site]],Plant_AILN!A:D,4,FALSE)</f>
        <v>SPAIN</v>
      </c>
      <c r="L32" s="364" t="s">
        <v>163</v>
      </c>
      <c r="M32" s="480">
        <f>VLOOKUP(Tableau1[[#This Row],[Name Site]],Plant_AILN!A:C,3,FALSE)</f>
        <v>91017700</v>
      </c>
      <c r="N32" s="55">
        <f>VLOOKUP(Tableau1[[#This Row],[Compte Consignee]],Order!C:D,2,FALSE)</f>
        <v>7</v>
      </c>
      <c r="O32" s="114" t="s">
        <v>141</v>
      </c>
      <c r="P32" s="481">
        <f>VLOOKUP(Tableau1[[#This Row],[Name ILN]],Plant_AILN!F:G,2,FALSE)</f>
        <v>2533780546</v>
      </c>
      <c r="Q32" s="50">
        <f>VLOOKUP(Tableau1[[#This Row],[Compte ILN]],'DATA ILN'!D:I,6,FALSE)</f>
        <v>9</v>
      </c>
      <c r="R32" s="50">
        <f ca="1">IFERROR(VLOOKUP(Tableau1[[#This Row],[Key(Compte ILN - shipper - POL - plant)]],'DATA ILN'!A:J,10,FALSE),VLOOKUP(Tableau1[[#This Row],[Key(Compte ILN - shipper - POL)]],'DATA ILN'!B:J,9,FALSE))</f>
        <v>14</v>
      </c>
      <c r="S32" s="50">
        <f ca="1">IFERROR(VLOOKUP(Tableau1[[#This Row],[Key(Compte ILN - shipper - POL - plant)]],'DATA ILN'!A:K,11,FALSE),VLOOKUP(Tableau1[[#This Row],[Key(Compte ILN - shipper - POL)]],'DATA ILN'!B:K,10,FALSE))</f>
        <v>5</v>
      </c>
      <c r="T32" s="50">
        <f ca="1">IFERROR(VLOOKUP(Tableau1[[#This Row],[Key(Compte ILN - shipper - POL - plant)]],'DATA ILN'!A:L,12,FALSE),VLOOKUP(Tableau1[[#This Row],[Key(Compte ILN - shipper - POL)]],'DATA ILN'!B:L,11,FALSE))</f>
        <v>7</v>
      </c>
      <c r="U32" s="50">
        <f ca="1">Tableau1[[#This Row],[Day ILN Order]]+Tableau1[[#This Row],[Delivery time to ILN/Shipper]]-1</f>
        <v>22</v>
      </c>
      <c r="V32" s="50">
        <f ca="1">IFERROR(VLOOKUP(Tableau1[[#This Row],[Key(Compte ILN - shipper - POL - plant)]],'DATA ILN'!A:N,14,FALSE),VLOOKUP(Tableau1[[#This Row],[Key(Compte ILN - shipper - POL)]],'DATA ILN'!B:N,13,FALSE))</f>
        <v>2</v>
      </c>
      <c r="W32" s="53">
        <f ca="1">IFERROR(VLOOKUP(Tableau1[[#This Row],[Key(Compte ILN - shipper - POL - plant)]],'DATA ILN'!A:P,16,FALSE),VLOOKUP(Tableau1[[#This Row],[Key(Compte ILN - shipper - POL)]],'DATA ILN'!B:P,15,FALSE))</f>
        <v>3</v>
      </c>
      <c r="X32" s="283" t="s">
        <v>141</v>
      </c>
      <c r="Y32" s="482">
        <f>IFERROR(VLOOKUP(Tableau1[[#This Row],[Name Shipper]],Plant_AILN!L:M,2,FALSE),0)</f>
        <v>2533780546</v>
      </c>
      <c r="Z32" s="358">
        <v>918</v>
      </c>
      <c r="AA32" s="353" t="str">
        <f ca="1">VLOOKUP(Tableau1[[#This Row],[Key(ID-Actif)]],'DATA BTO'!A:N,5,FALSE)</f>
        <v>INENR</v>
      </c>
      <c r="AB32" s="3" t="str">
        <f ca="1">VLOOKUP(Tableau1[[#This Row],[Key(ID-Actif)]],'DATA BTO'!A:N,6,FALSE)</f>
        <v>CMA-CGM</v>
      </c>
      <c r="AC32" s="50">
        <f ca="1">VLOOKUP(Tableau1[[#This Row],[Key(ID-Actif)]],'DATA BTO'!A:N,7,FALSE)</f>
        <v>4</v>
      </c>
      <c r="AD32" s="50">
        <f ca="1">VLOOKUP(Tableau1[[#This Row],[Key(ID-Actif)]],'DATA BTO'!A:N,8,FALSE)</f>
        <v>6</v>
      </c>
      <c r="AE32" s="50">
        <f ca="1">IF(Tableau1[[#This Row],[First Day to POL]]&lt;=Tableau1[[#This Row],[Day Cut Off]],Tableau1[[#This Row],[Day ETD]],Tableau1[[#This Row],[Day ETD]]+7)</f>
        <v>6</v>
      </c>
      <c r="AF32" s="50">
        <f ca="1">VLOOKUP(Tableau1[[#This Row],[Key(ID-Actif)]],'DATA BTO'!A:N,9,FALSE)</f>
        <v>45</v>
      </c>
      <c r="AG32" s="3" t="str">
        <f ca="1">VLOOKUP(Tableau1[[#This Row],[Key(ID-Actif)]],'DATA BTO'!A:N,10,FALSE)</f>
        <v>ESVLC</v>
      </c>
      <c r="AH32" s="3">
        <f ca="1">VLOOKUP(Tableau1[[#This Row],[Key(ID-Actif)]],'DATA BTO'!A:N,11,FALSE)</f>
        <v>3</v>
      </c>
      <c r="AI32" s="50">
        <f ca="1">VLOOKUP(Tableau1[[#This Row],[Key(ID-Actif)]],'DATA BTO'!A:N,12,FALSE)</f>
        <v>7</v>
      </c>
      <c r="AJ32" s="53" t="str">
        <f ca="1">VLOOKUP(Tableau1[[#This Row],[Key(ID-Actif)]],'DATA BTO'!A:N,14,FALSE)</f>
        <v>Marc-Aurele</v>
      </c>
      <c r="AK32" s="54">
        <f ca="1">VLOOKUP(Tableau1[[#This Row],[Key(POD -PFI- Usine)]],'DATA Consignee'!A:F,6,FALSE)</f>
        <v>2</v>
      </c>
      <c r="AL32" s="125" t="s">
        <v>161</v>
      </c>
      <c r="AM32" s="483">
        <f>IF(Tableau1[[#This Row],[Name PFI/CDD]]="","-",VLOOKUP(Tableau1[[#This Row],[Name PFI/CDD]],Plant_AILN!I:J,2,FALSE))</f>
        <v>91018400</v>
      </c>
      <c r="AN32" s="6">
        <f ca="1">IF(COUNTIF(buffer_train[AILN],Tableau1[[#This Row],[Name PFI/CDD]])&gt;0,Tableau1[[#This Row],[First Receipt Days]]+Tableau1[[#This Row],[Cust.]]+Tableau1[[#This Row],[Parts Vanning]]+Tableau1[[#This Row],[Transit Time2]],"-")</f>
        <v>90</v>
      </c>
      <c r="AO32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2</v>
      </c>
      <c r="AP32" s="2">
        <f ca="1">VLOOKUP(Tableau1[[#This Row],[Key(POD -PFI- Usine)]],'DATA Consignee'!A:J,10,FALSE)</f>
        <v>3</v>
      </c>
      <c r="AQ32" s="50">
        <f ca="1">VLOOKUP(Tableau1[[#This Row],[Key(POD -PFI- Usine)]],'DATA Consignee'!A:N,14,FALSE)</f>
        <v>3</v>
      </c>
      <c r="AR3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3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32" s="50">
        <f ca="1">Tableau1[[#This Row],[Transit time]]+Tableau1[[#This Row],[Time for security]]+Tableau1[[#This Row],[Time for security2 buffer]]</f>
        <v>55</v>
      </c>
      <c r="AU3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32" s="389">
        <f ca="1">Tableau1[[#This Row],[Leadtime SI2C]]+Tableau1[[#This Row],[First Receipt Days]]-Tableau1[[#This Row],[Day Customer Order]]+1</f>
        <v>92</v>
      </c>
      <c r="AW32" s="117">
        <f ca="1">IF(Tableau1[[#This Row],[Name ILN]]&lt;&gt;"SFK Freight Forwarder",Tableau1[[#This Row],[Cust. Leadtime]],Tableau1[[#This Row],[Leadtime SI2C]])</f>
        <v>92</v>
      </c>
      <c r="AX32" s="51" t="str">
        <f>VLOOKUP(Tableau1[[#This Row],[ID]],'DATA BTO'!B:P,15,FALSE)</f>
        <v>Renault &gt; Horse</v>
      </c>
      <c r="AY32" s="328">
        <f ca="1">IFERROR(VLOOKUP(Tableau1[[#This Row],[Key(ID-Actif)]],'DATA BTO'!A:N,4,FALSE),VLOOKUP(Tableau1[[#This Row],[ID]],'DATA BTO'!B:N,3,FALSE))</f>
        <v>46142</v>
      </c>
      <c r="AZ32" s="50" t="str">
        <f>IF(ISNUMBER(Tableau1[[#This Row],[Day Customer Order]]),"-","Please Check 'Name' information in 'Order' Sheet to make sure they have information")</f>
        <v>-</v>
      </c>
      <c r="BA3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" s="50"/>
    </row>
    <row r="33" spans="2:57">
      <c r="B33" s="65" t="str">
        <f>_xlfn.CONCAT(Tableau1[[#This Row],[Name ILN]],"-",Tableau1[[#This Row],[Name Shipper]],"-",Tableau1[[#This Row],[Name Site]])</f>
        <v>ILN Chennai-ILN Chennai-MOTORES</v>
      </c>
      <c r="C33" s="65" t="str">
        <f ca="1">_xlfn.CONCAT(Tableau1[[#This Row],[Compte ILN]],"-",Tableau1[[#This Row],[Compte Shipper]],"-",Tableau1[[#This Row],[POL]],"-",Tableau1[[#This Row],[Compte Consignee]])</f>
        <v>2533780546-2533780546-INENR-91017700</v>
      </c>
      <c r="D33" s="64" t="str">
        <f ca="1">_xlfn.CONCAT(Tableau1[[#This Row],[Compte ILN]],"-",Tableau1[[#This Row],[Compte Shipper]],"-",Tableau1[[#This Row],[POL]])</f>
        <v>2533780546-2533780546-INENR</v>
      </c>
      <c r="E33" s="396" t="str">
        <f ca="1">_xlfn.CONCAT(Tableau1[[#This Row],[POL]],"-",Tableau1[[#This Row],[Carrier]],"-",Tableau1[[#This Row],[POD]])</f>
        <v>INENR-CMA-CGM-ESVLC</v>
      </c>
      <c r="F33" s="64" t="str">
        <f>_xlfn.CONCAT(Tableau1[[#This Row],[ID]],"-","Actif")</f>
        <v>918-Actif</v>
      </c>
      <c r="G33" s="64" t="str">
        <f ca="1">_xlfn.CONCAT(Tableau1[[#This Row],[POD]],"-",Tableau1[[#This Row],[Code PFI]],"-",Tableau1[[#This Row],[Compte Consignee]])</f>
        <v>ESVLC-91018400-91017700</v>
      </c>
      <c r="H33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ChennaiINENRMOTORES</v>
      </c>
      <c r="I3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Chennai-ILN Chennai-918-INENR-CMA-CGM-ESVLC-CDD VLL</v>
      </c>
      <c r="J33" s="397" t="str">
        <f ca="1">IF(COUNTIF(I:I,Tableau1[[#This Row],[Plant-ILN-shipper-POL-Carrier-POD-PFI]])=1,"Non","Oui")</f>
        <v>Non</v>
      </c>
      <c r="K33" s="126" t="str">
        <f>VLOOKUP(Tableau1[[#This Row],[Name Site]],Plant_AILN!A:D,4,FALSE)</f>
        <v>SPAIN</v>
      </c>
      <c r="L33" s="363" t="s">
        <v>163</v>
      </c>
      <c r="M33" s="480">
        <f>VLOOKUP(Tableau1[[#This Row],[Name Site]],Plant_AILN!A:C,3,FALSE)</f>
        <v>91017700</v>
      </c>
      <c r="N33" s="55">
        <f>VLOOKUP(Tableau1[[#This Row],[Compte Consignee]],Order!C:D,2,FALSE)</f>
        <v>7</v>
      </c>
      <c r="O33" s="114" t="s">
        <v>141</v>
      </c>
      <c r="P33" s="481">
        <f>VLOOKUP(Tableau1[[#This Row],[Name ILN]],Plant_AILN!F:G,2,FALSE)</f>
        <v>2533780546</v>
      </c>
      <c r="Q33" s="50">
        <f>VLOOKUP(Tableau1[[#This Row],[Compte ILN]],'DATA ILN'!D:I,6,FALSE)</f>
        <v>9</v>
      </c>
      <c r="R33" s="50">
        <f ca="1">IFERROR(VLOOKUP(Tableau1[[#This Row],[Key(Compte ILN - shipper - POL - plant)]],'DATA ILN'!A:J,10,FALSE),VLOOKUP(Tableau1[[#This Row],[Key(Compte ILN - shipper - POL)]],'DATA ILN'!B:J,9,FALSE))</f>
        <v>14</v>
      </c>
      <c r="S33" s="50">
        <f ca="1">IFERROR(VLOOKUP(Tableau1[[#This Row],[Key(Compte ILN - shipper - POL - plant)]],'DATA ILN'!A:K,11,FALSE),VLOOKUP(Tableau1[[#This Row],[Key(Compte ILN - shipper - POL)]],'DATA ILN'!B:K,10,FALSE))</f>
        <v>5</v>
      </c>
      <c r="T33" s="50">
        <f ca="1">IFERROR(VLOOKUP(Tableau1[[#This Row],[Key(Compte ILN - shipper - POL - plant)]],'DATA ILN'!A:L,12,FALSE),VLOOKUP(Tableau1[[#This Row],[Key(Compte ILN - shipper - POL)]],'DATA ILN'!B:L,11,FALSE))</f>
        <v>7</v>
      </c>
      <c r="U33" s="50">
        <f ca="1">Tableau1[[#This Row],[Day ILN Order]]+Tableau1[[#This Row],[Delivery time to ILN/Shipper]]-1</f>
        <v>22</v>
      </c>
      <c r="V33" s="50">
        <f ca="1">IFERROR(VLOOKUP(Tableau1[[#This Row],[Key(Compte ILN - shipper - POL - plant)]],'DATA ILN'!A:N,14,FALSE),VLOOKUP(Tableau1[[#This Row],[Key(Compte ILN - shipper - POL)]],'DATA ILN'!B:N,13,FALSE))</f>
        <v>2</v>
      </c>
      <c r="W33" s="53">
        <f ca="1">IFERROR(VLOOKUP(Tableau1[[#This Row],[Key(Compte ILN - shipper - POL - plant)]],'DATA ILN'!A:P,16,FALSE),VLOOKUP(Tableau1[[#This Row],[Key(Compte ILN - shipper - POL)]],'DATA ILN'!B:P,15,FALSE))</f>
        <v>3</v>
      </c>
      <c r="X33" s="283" t="s">
        <v>141</v>
      </c>
      <c r="Y33" s="482">
        <f>IFERROR(VLOOKUP(Tableau1[[#This Row],[Name Shipper]],Plant_AILN!L:M,2,FALSE),0)</f>
        <v>2533780546</v>
      </c>
      <c r="Z33" s="358">
        <v>918</v>
      </c>
      <c r="AA33" s="353" t="str">
        <f ca="1">VLOOKUP(Tableau1[[#This Row],[Key(ID-Actif)]],'DATA BTO'!A:N,5,FALSE)</f>
        <v>INENR</v>
      </c>
      <c r="AB33" s="3" t="str">
        <f ca="1">VLOOKUP(Tableau1[[#This Row],[Key(ID-Actif)]],'DATA BTO'!A:N,6,FALSE)</f>
        <v>CMA-CGM</v>
      </c>
      <c r="AC33" s="50">
        <f ca="1">VLOOKUP(Tableau1[[#This Row],[Key(ID-Actif)]],'DATA BTO'!A:N,7,FALSE)</f>
        <v>4</v>
      </c>
      <c r="AD33" s="50">
        <f ca="1">VLOOKUP(Tableau1[[#This Row],[Key(ID-Actif)]],'DATA BTO'!A:N,8,FALSE)</f>
        <v>6</v>
      </c>
      <c r="AE33" s="50">
        <f ca="1">IF(Tableau1[[#This Row],[First Day to POL]]&lt;=Tableau1[[#This Row],[Day Cut Off]],Tableau1[[#This Row],[Day ETD]],Tableau1[[#This Row],[Day ETD]]+7)</f>
        <v>6</v>
      </c>
      <c r="AF33" s="50">
        <f ca="1">VLOOKUP(Tableau1[[#This Row],[Key(ID-Actif)]],'DATA BTO'!A:N,9,FALSE)</f>
        <v>45</v>
      </c>
      <c r="AG33" s="3" t="str">
        <f ca="1">VLOOKUP(Tableau1[[#This Row],[Key(ID-Actif)]],'DATA BTO'!A:N,10,FALSE)</f>
        <v>ESVLC</v>
      </c>
      <c r="AH33" s="3">
        <f ca="1">VLOOKUP(Tableau1[[#This Row],[Key(ID-Actif)]],'DATA BTO'!A:N,11,FALSE)</f>
        <v>3</v>
      </c>
      <c r="AI33" s="50">
        <f ca="1">VLOOKUP(Tableau1[[#This Row],[Key(ID-Actif)]],'DATA BTO'!A:N,12,FALSE)</f>
        <v>7</v>
      </c>
      <c r="AJ33" s="53" t="str">
        <f ca="1">VLOOKUP(Tableau1[[#This Row],[Key(ID-Actif)]],'DATA BTO'!A:N,14,FALSE)</f>
        <v>Marc-Aurele</v>
      </c>
      <c r="AK33" s="54">
        <f ca="1">VLOOKUP(Tableau1[[#This Row],[Key(POD -PFI- Usine)]],'DATA Consignee'!A:F,6,FALSE)</f>
        <v>2</v>
      </c>
      <c r="AL33" s="125" t="s">
        <v>166</v>
      </c>
      <c r="AM33" s="483">
        <f>IF(Tableau1[[#This Row],[Name PFI/CDD]]="","-",VLOOKUP(Tableau1[[#This Row],[Name PFI/CDD]],Plant_AILN!I:J,2,FALSE))</f>
        <v>91018400</v>
      </c>
      <c r="AN33" s="6">
        <f ca="1">IF(COUNTIF(buffer_train[AILN],Tableau1[[#This Row],[Name PFI/CDD]])&gt;0,Tableau1[[#This Row],[First Receipt Days]]+Tableau1[[#This Row],[Cust.]]+Tableau1[[#This Row],[Parts Vanning]]+Tableau1[[#This Row],[Transit Time2]],"-")</f>
        <v>90</v>
      </c>
      <c r="AO33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2</v>
      </c>
      <c r="AP33" s="2">
        <f ca="1">VLOOKUP(Tableau1[[#This Row],[Key(POD -PFI- Usine)]],'DATA Consignee'!A:J,10,FALSE)</f>
        <v>3</v>
      </c>
      <c r="AQ33" s="50">
        <f ca="1">VLOOKUP(Tableau1[[#This Row],[Key(POD -PFI- Usine)]],'DATA Consignee'!A:N,14,FALSE)</f>
        <v>3</v>
      </c>
      <c r="AR3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3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33" s="50">
        <f ca="1">Tableau1[[#This Row],[Transit time]]+Tableau1[[#This Row],[Time for security]]+Tableau1[[#This Row],[Time for security2 buffer]]</f>
        <v>55</v>
      </c>
      <c r="AU3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33" s="389">
        <f ca="1">Tableau1[[#This Row],[Leadtime SI2C]]+Tableau1[[#This Row],[First Receipt Days]]-Tableau1[[#This Row],[Day Customer Order]]+1</f>
        <v>92</v>
      </c>
      <c r="AW33" s="117">
        <f ca="1">IF(Tableau1[[#This Row],[Name ILN]]&lt;&gt;"SFK Freight Forwarder",Tableau1[[#This Row],[Cust. Leadtime]],Tableau1[[#This Row],[Leadtime SI2C]])</f>
        <v>92</v>
      </c>
      <c r="AX33" s="51" t="str">
        <f>VLOOKUP(Tableau1[[#This Row],[ID]],'DATA BTO'!B:P,15,FALSE)</f>
        <v>Renault &gt; Horse</v>
      </c>
      <c r="AY33" s="328">
        <f ca="1">IFERROR(VLOOKUP(Tableau1[[#This Row],[Key(ID-Actif)]],'DATA BTO'!A:N,4,FALSE),VLOOKUP(Tableau1[[#This Row],[ID]],'DATA BTO'!B:N,3,FALSE))</f>
        <v>46142</v>
      </c>
      <c r="AZ33" s="50" t="str">
        <f>IF(ISNUMBER(Tableau1[[#This Row],[Day Customer Order]]),"-","Please Check 'Name' information in 'Order' Sheet to make sure they have information")</f>
        <v>-</v>
      </c>
      <c r="BA3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" s="50"/>
    </row>
    <row r="34" spans="2:57">
      <c r="B34" s="65" t="str">
        <f>_xlfn.CONCAT(Tableau1[[#This Row],[Name ILN]],"-",Tableau1[[#This Row],[Name Shipper]],"-",Tableau1[[#This Row],[Name Site]])</f>
        <v>ILN Pune-ILN Pune-CACIA</v>
      </c>
      <c r="C34" s="65" t="str">
        <f ca="1">_xlfn.CONCAT(Tableau1[[#This Row],[Compte ILN]],"-",Tableau1[[#This Row],[Compte Shipper]],"-",Tableau1[[#This Row],[POL]],"-",Tableau1[[#This Row],[Compte Consignee]])</f>
        <v>2533780535-2533780535-INNSA-90016500</v>
      </c>
      <c r="D34" s="64" t="str">
        <f ca="1">_xlfn.CONCAT(Tableau1[[#This Row],[Compte ILN]],"-",Tableau1[[#This Row],[Compte Shipper]],"-",Tableau1[[#This Row],[POL]])</f>
        <v>2533780535-2533780535-INNSA</v>
      </c>
      <c r="E34" s="396" t="str">
        <f ca="1">_xlfn.CONCAT(Tableau1[[#This Row],[POL]],"-",Tableau1[[#This Row],[Carrier]],"-",Tableau1[[#This Row],[POD]])</f>
        <v>INNSA-CMA-CGM-ESVLC</v>
      </c>
      <c r="F34" s="64" t="str">
        <f>_xlfn.CONCAT(Tableau1[[#This Row],[ID]],"-","Actif")</f>
        <v>920-Actif</v>
      </c>
      <c r="G34" s="64" t="str">
        <f ca="1">_xlfn.CONCAT(Tableau1[[#This Row],[POD]],"-",Tableau1[[#This Row],[Code PFI]],"-",Tableau1[[#This Row],[Compte Consignee]])</f>
        <v>ESVLC-91018400-90016500</v>
      </c>
      <c r="H34" s="396" t="str">
        <f ca="1">_xlfn.CONCAT(IF(Tableau1[[#This Row],[Name ILN]]=Tableau1[[#This Row],[Name Shipper]],Tableau1[[#This Row],[Name ILN]],Tableau1[[#This Row],[Compte Shipper]]),Tableau1[[#This Row],[POL]],Tableau1[[#This Row],[Name Site]])</f>
        <v>ILN PuneINNSACACIA</v>
      </c>
      <c r="I3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CACIA-ILN Pune-ILN Pune-920-INNSA-CMA-CGM-ESVLC-PFI VLL</v>
      </c>
      <c r="J34" s="397" t="str">
        <f ca="1">IF(COUNTIF(I:I,Tableau1[[#This Row],[Plant-ILN-shipper-POL-Carrier-POD-PFI]])=1,"Non","Oui")</f>
        <v>Non</v>
      </c>
      <c r="K34" s="126" t="str">
        <f>VLOOKUP(Tableau1[[#This Row],[Name Site]],Plant_AILN!A:D,4,FALSE)</f>
        <v>PORTUGAL</v>
      </c>
      <c r="L34" s="364" t="s">
        <v>160</v>
      </c>
      <c r="M34" s="480">
        <f>VLOOKUP(Tableau1[[#This Row],[Name Site]],Plant_AILN!A:C,3,FALSE)</f>
        <v>90016500</v>
      </c>
      <c r="N34" s="55">
        <f>VLOOKUP(Tableau1[[#This Row],[Compte Consignee]],Order!C:D,2,FALSE)</f>
        <v>7</v>
      </c>
      <c r="O34" s="114" t="s">
        <v>142</v>
      </c>
      <c r="P34" s="481">
        <f>VLOOKUP(Tableau1[[#This Row],[Name ILN]],Plant_AILN!F:G,2,FALSE)</f>
        <v>2533780535</v>
      </c>
      <c r="Q34" s="50">
        <f>VLOOKUP(Tableau1[[#This Row],[Compte ILN]],'DATA ILN'!D:I,6,FALSE)</f>
        <v>9</v>
      </c>
      <c r="R34" s="50">
        <f ca="1">IFERROR(VLOOKUP(Tableau1[[#This Row],[Key(Compte ILN - shipper - POL - plant)]],'DATA ILN'!A:J,10,FALSE),VLOOKUP(Tableau1[[#This Row],[Key(Compte ILN - shipper - POL)]],'DATA ILN'!B:J,9,FALSE))</f>
        <v>14</v>
      </c>
      <c r="S34" s="50">
        <f ca="1">IFERROR(VLOOKUP(Tableau1[[#This Row],[Key(Compte ILN - shipper - POL - plant)]],'DATA ILN'!A:K,11,FALSE),VLOOKUP(Tableau1[[#This Row],[Key(Compte ILN - shipper - POL)]],'DATA ILN'!B:K,10,FALSE))</f>
        <v>5</v>
      </c>
      <c r="T34" s="50">
        <f ca="1">IFERROR(VLOOKUP(Tableau1[[#This Row],[Key(Compte ILN - shipper - POL - plant)]],'DATA ILN'!A:L,12,FALSE),VLOOKUP(Tableau1[[#This Row],[Key(Compte ILN - shipper - POL)]],'DATA ILN'!B:L,11,FALSE))</f>
        <v>7</v>
      </c>
      <c r="U34" s="50">
        <f ca="1">Tableau1[[#This Row],[Day ILN Order]]+Tableau1[[#This Row],[Delivery time to ILN/Shipper]]-1</f>
        <v>22</v>
      </c>
      <c r="V34" s="50">
        <f ca="1">IFERROR(VLOOKUP(Tableau1[[#This Row],[Key(Compte ILN - shipper - POL - plant)]],'DATA ILN'!A:N,14,FALSE),VLOOKUP(Tableau1[[#This Row],[Key(Compte ILN - shipper - POL)]],'DATA ILN'!B:N,13,FALSE))</f>
        <v>3</v>
      </c>
      <c r="W34" s="53">
        <f ca="1">IFERROR(VLOOKUP(Tableau1[[#This Row],[Key(Compte ILN - shipper - POL - plant)]],'DATA ILN'!A:P,16,FALSE),VLOOKUP(Tableau1[[#This Row],[Key(Compte ILN - shipper - POL)]],'DATA ILN'!B:P,15,FALSE))</f>
        <v>5</v>
      </c>
      <c r="X34" s="283" t="s">
        <v>142</v>
      </c>
      <c r="Y34" s="482">
        <f>IFERROR(VLOOKUP(Tableau1[[#This Row],[Name Shipper]],Plant_AILN!L:M,2,FALSE),0)</f>
        <v>2533780535</v>
      </c>
      <c r="Z34" s="358">
        <v>920</v>
      </c>
      <c r="AA34" s="353" t="str">
        <f ca="1">VLOOKUP(Tableau1[[#This Row],[Key(ID-Actif)]],'DATA BTO'!A:N,5,FALSE)</f>
        <v>INNSA</v>
      </c>
      <c r="AB34" s="3" t="str">
        <f ca="1">VLOOKUP(Tableau1[[#This Row],[Key(ID-Actif)]],'DATA BTO'!A:N,6,FALSE)</f>
        <v>CMA-CGM</v>
      </c>
      <c r="AC34" s="50">
        <f ca="1">VLOOKUP(Tableau1[[#This Row],[Key(ID-Actif)]],'DATA BTO'!A:N,7,FALSE)</f>
        <v>4</v>
      </c>
      <c r="AD34" s="50">
        <f ca="1">VLOOKUP(Tableau1[[#This Row],[Key(ID-Actif)]],'DATA BTO'!A:N,8,FALSE)</f>
        <v>6</v>
      </c>
      <c r="AE34" s="50">
        <f ca="1">IF(Tableau1[[#This Row],[First Day to POL]]&lt;=Tableau1[[#This Row],[Day Cut Off]],Tableau1[[#This Row],[Day ETD]],Tableau1[[#This Row],[Day ETD]]+7)</f>
        <v>13</v>
      </c>
      <c r="AF34" s="50">
        <f ca="1">VLOOKUP(Tableau1[[#This Row],[Key(ID-Actif)]],'DATA BTO'!A:N,9,FALSE)</f>
        <v>30</v>
      </c>
      <c r="AG34" s="3" t="str">
        <f ca="1">VLOOKUP(Tableau1[[#This Row],[Key(ID-Actif)]],'DATA BTO'!A:N,10,FALSE)</f>
        <v>ESVLC</v>
      </c>
      <c r="AH34" s="3">
        <f ca="1">VLOOKUP(Tableau1[[#This Row],[Key(ID-Actif)]],'DATA BTO'!A:N,11,FALSE)</f>
        <v>3</v>
      </c>
      <c r="AI34" s="50">
        <f ca="1">VLOOKUP(Tableau1[[#This Row],[Key(ID-Actif)]],'DATA BTO'!A:N,12,FALSE)</f>
        <v>0</v>
      </c>
      <c r="AJ34" s="53" t="str">
        <f ca="1">VLOOKUP(Tableau1[[#This Row],[Key(ID-Actif)]],'DATA BTO'!A:N,14,FALSE)</f>
        <v>Marc-Aurele</v>
      </c>
      <c r="AK34" s="54">
        <f ca="1">VLOOKUP(Tableau1[[#This Row],[Key(POD -PFI- Usine)]],'DATA Consignee'!A:F,6,FALSE)</f>
        <v>3</v>
      </c>
      <c r="AL34" s="460" t="s">
        <v>161</v>
      </c>
      <c r="AM34" s="483">
        <f>IF(Tableau1[[#This Row],[Name PFI/CDD]]="","-",VLOOKUP(Tableau1[[#This Row],[Name PFI/CDD]],Plant_AILN!I:J,2,FALSE))</f>
        <v>91018400</v>
      </c>
      <c r="AN34" s="6">
        <f ca="1">IF(COUNTIF(buffer_train[AILN],Tableau1[[#This Row],[Name PFI/CDD]])&gt;0,Tableau1[[#This Row],[First Receipt Days]]+Tableau1[[#This Row],[Cust.]]+Tableau1[[#This Row],[Parts Vanning]]+Tableau1[[#This Row],[Transit Time2]],"-")</f>
        <v>76</v>
      </c>
      <c r="AO34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2</v>
      </c>
      <c r="AP34" s="2">
        <f ca="1">VLOOKUP(Tableau1[[#This Row],[Key(POD -PFI- Usine)]],'DATA Consignee'!A:J,10,FALSE)</f>
        <v>3</v>
      </c>
      <c r="AQ34" s="50">
        <f ca="1">VLOOKUP(Tableau1[[#This Row],[Key(POD -PFI- Usine)]],'DATA Consignee'!A:N,14,FALSE)</f>
        <v>4</v>
      </c>
      <c r="AR3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3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34" s="50">
        <f ca="1">Tableau1[[#This Row],[Transit time]]+Tableau1[[#This Row],[Time for security]]+Tableau1[[#This Row],[Time for security2 buffer]]</f>
        <v>33</v>
      </c>
      <c r="AU3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34" s="389">
        <f ca="1">Tableau1[[#This Row],[Leadtime SI2C]]+Tableau1[[#This Row],[First Receipt Days]]-Tableau1[[#This Row],[Day Customer Order]]+1</f>
        <v>85</v>
      </c>
      <c r="AW34" s="117">
        <f ca="1">IF(Tableau1[[#This Row],[Name ILN]]&lt;&gt;"SFK Freight Forwarder",Tableau1[[#This Row],[Cust. Leadtime]],Tableau1[[#This Row],[Leadtime SI2C]])</f>
        <v>85</v>
      </c>
      <c r="AX34" s="51" t="str">
        <f>VLOOKUP(Tableau1[[#This Row],[ID]],'DATA BTO'!B:P,15,FALSE)</f>
        <v>Renault &gt; Horse</v>
      </c>
      <c r="AY34" s="328">
        <f ca="1">IFERROR(VLOOKUP(Tableau1[[#This Row],[Key(ID-Actif)]],'DATA BTO'!A:N,4,FALSE),VLOOKUP(Tableau1[[#This Row],[ID]],'DATA BTO'!B:N,3,FALSE))</f>
        <v>46142</v>
      </c>
      <c r="AZ34" s="50" t="str">
        <f>IF(ISNUMBER(Tableau1[[#This Row],[Day Customer Order]]),"-","Please Check 'Name' information in 'Order' Sheet to make sure they have information")</f>
        <v>-</v>
      </c>
      <c r="BA3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" s="50"/>
    </row>
    <row r="35" spans="2:57">
      <c r="B35" s="65" t="str">
        <f>_xlfn.CONCAT(Tableau1[[#This Row],[Name ILN]],"-",Tableau1[[#This Row],[Name Shipper]],"-",Tableau1[[#This Row],[Name Site]])</f>
        <v>ILN Pune-ILN Pune-SEVILLA</v>
      </c>
      <c r="C35" s="65" t="str">
        <f ca="1">_xlfn.CONCAT(Tableau1[[#This Row],[Compte ILN]],"-",Tableau1[[#This Row],[Compte Shipper]],"-",Tableau1[[#This Row],[POL]],"-",Tableau1[[#This Row],[Compte Consignee]])</f>
        <v>2533780535-2533780535-INNSA-91017500</v>
      </c>
      <c r="D35" s="64" t="str">
        <f ca="1">_xlfn.CONCAT(Tableau1[[#This Row],[Compte ILN]],"-",Tableau1[[#This Row],[Compte Shipper]],"-",Tableau1[[#This Row],[POL]])</f>
        <v>2533780535-2533780535-INNSA</v>
      </c>
      <c r="E35" s="396" t="str">
        <f ca="1">_xlfn.CONCAT(Tableau1[[#This Row],[POL]],"-",Tableau1[[#This Row],[Carrier]],"-",Tableau1[[#This Row],[POD]])</f>
        <v>INNSA-CMA-CGM-ESVLC</v>
      </c>
      <c r="F35" s="64" t="str">
        <f>_xlfn.CONCAT(Tableau1[[#This Row],[ID]],"-","Actif")</f>
        <v>920-Actif</v>
      </c>
      <c r="G35" s="64" t="str">
        <f ca="1">_xlfn.CONCAT(Tableau1[[#This Row],[POD]],"-",Tableau1[[#This Row],[Code PFI]],"-",Tableau1[[#This Row],[Compte Consignee]])</f>
        <v>ESVLC-91018400-91017500</v>
      </c>
      <c r="H35" s="396" t="str">
        <f ca="1">_xlfn.CONCAT(IF(Tableau1[[#This Row],[Name ILN]]=Tableau1[[#This Row],[Name Shipper]],Tableau1[[#This Row],[Name ILN]],Tableau1[[#This Row],[Compte Shipper]]),Tableau1[[#This Row],[POL]],Tableau1[[#This Row],[Name Site]])</f>
        <v>ILN PuneINNSASEVILLA</v>
      </c>
      <c r="I3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SEVILLA-ILN Pune-ILN Pune-920-INNSA-CMA-CGM-ESVLC-PFI VLL</v>
      </c>
      <c r="J35" s="397" t="str">
        <f ca="1">IF(COUNTIF(I:I,Tableau1[[#This Row],[Plant-ILN-shipper-POL-Carrier-POD-PFI]])=1,"Non","Oui")</f>
        <v>Non</v>
      </c>
      <c r="K35" s="126" t="str">
        <f>VLOOKUP(Tableau1[[#This Row],[Name Site]],Plant_AILN!A:D,4,FALSE)</f>
        <v>SPAIN</v>
      </c>
      <c r="L35" s="364" t="s">
        <v>162</v>
      </c>
      <c r="M35" s="480">
        <f>VLOOKUP(Tableau1[[#This Row],[Name Site]],Plant_AILN!A:C,3,FALSE)</f>
        <v>91017500</v>
      </c>
      <c r="N35" s="55">
        <f>VLOOKUP(Tableau1[[#This Row],[Compte Consignee]],Order!C:D,2,FALSE)</f>
        <v>7</v>
      </c>
      <c r="O35" s="114" t="s">
        <v>142</v>
      </c>
      <c r="P35" s="481">
        <f>VLOOKUP(Tableau1[[#This Row],[Name ILN]],Plant_AILN!F:G,2,FALSE)</f>
        <v>2533780535</v>
      </c>
      <c r="Q35" s="50">
        <f>VLOOKUP(Tableau1[[#This Row],[Compte ILN]],'DATA ILN'!D:I,6,FALSE)</f>
        <v>9</v>
      </c>
      <c r="R35" s="50">
        <f ca="1">IFERROR(VLOOKUP(Tableau1[[#This Row],[Key(Compte ILN - shipper - POL - plant)]],'DATA ILN'!A:J,10,FALSE),VLOOKUP(Tableau1[[#This Row],[Key(Compte ILN - shipper - POL)]],'DATA ILN'!B:J,9,FALSE))</f>
        <v>14</v>
      </c>
      <c r="S35" s="50">
        <f ca="1">IFERROR(VLOOKUP(Tableau1[[#This Row],[Key(Compte ILN - shipper - POL - plant)]],'DATA ILN'!A:K,11,FALSE),VLOOKUP(Tableau1[[#This Row],[Key(Compte ILN - shipper - POL)]],'DATA ILN'!B:K,10,FALSE))</f>
        <v>5</v>
      </c>
      <c r="T35" s="50">
        <f ca="1">IFERROR(VLOOKUP(Tableau1[[#This Row],[Key(Compte ILN - shipper - POL - plant)]],'DATA ILN'!A:L,12,FALSE),VLOOKUP(Tableau1[[#This Row],[Key(Compte ILN - shipper - POL)]],'DATA ILN'!B:L,11,FALSE))</f>
        <v>7</v>
      </c>
      <c r="U35" s="50">
        <f ca="1">Tableau1[[#This Row],[Day ILN Order]]+Tableau1[[#This Row],[Delivery time to ILN/Shipper]]-1</f>
        <v>22</v>
      </c>
      <c r="V35" s="50">
        <f ca="1">IFERROR(VLOOKUP(Tableau1[[#This Row],[Key(Compte ILN - shipper - POL - plant)]],'DATA ILN'!A:N,14,FALSE),VLOOKUP(Tableau1[[#This Row],[Key(Compte ILN - shipper - POL)]],'DATA ILN'!B:N,13,FALSE))</f>
        <v>3</v>
      </c>
      <c r="W35" s="53">
        <f ca="1">IFERROR(VLOOKUP(Tableau1[[#This Row],[Key(Compte ILN - shipper - POL - plant)]],'DATA ILN'!A:P,16,FALSE),VLOOKUP(Tableau1[[#This Row],[Key(Compte ILN - shipper - POL)]],'DATA ILN'!B:P,15,FALSE))</f>
        <v>5</v>
      </c>
      <c r="X35" s="283" t="s">
        <v>142</v>
      </c>
      <c r="Y35" s="482">
        <f>IFERROR(VLOOKUP(Tableau1[[#This Row],[Name Shipper]],Plant_AILN!L:M,2,FALSE),0)</f>
        <v>2533780535</v>
      </c>
      <c r="Z35" s="358">
        <v>920</v>
      </c>
      <c r="AA35" s="353" t="str">
        <f ca="1">VLOOKUP(Tableau1[[#This Row],[Key(ID-Actif)]],'DATA BTO'!A:N,5,FALSE)</f>
        <v>INNSA</v>
      </c>
      <c r="AB35" s="3" t="str">
        <f ca="1">VLOOKUP(Tableau1[[#This Row],[Key(ID-Actif)]],'DATA BTO'!A:N,6,FALSE)</f>
        <v>CMA-CGM</v>
      </c>
      <c r="AC35" s="50">
        <f ca="1">VLOOKUP(Tableau1[[#This Row],[Key(ID-Actif)]],'DATA BTO'!A:N,7,FALSE)</f>
        <v>4</v>
      </c>
      <c r="AD35" s="50">
        <f ca="1">VLOOKUP(Tableau1[[#This Row],[Key(ID-Actif)]],'DATA BTO'!A:N,8,FALSE)</f>
        <v>6</v>
      </c>
      <c r="AE35" s="50">
        <f ca="1">IF(Tableau1[[#This Row],[First Day to POL]]&lt;=Tableau1[[#This Row],[Day Cut Off]],Tableau1[[#This Row],[Day ETD]],Tableau1[[#This Row],[Day ETD]]+7)</f>
        <v>13</v>
      </c>
      <c r="AF35" s="50">
        <f ca="1">VLOOKUP(Tableau1[[#This Row],[Key(ID-Actif)]],'DATA BTO'!A:N,9,FALSE)</f>
        <v>30</v>
      </c>
      <c r="AG35" s="3" t="str">
        <f ca="1">VLOOKUP(Tableau1[[#This Row],[Key(ID-Actif)]],'DATA BTO'!A:N,10,FALSE)</f>
        <v>ESVLC</v>
      </c>
      <c r="AH35" s="3">
        <f ca="1">VLOOKUP(Tableau1[[#This Row],[Key(ID-Actif)]],'DATA BTO'!A:N,11,FALSE)</f>
        <v>3</v>
      </c>
      <c r="AI35" s="50">
        <f ca="1">VLOOKUP(Tableau1[[#This Row],[Key(ID-Actif)]],'DATA BTO'!A:N,12,FALSE)</f>
        <v>0</v>
      </c>
      <c r="AJ35" s="53" t="str">
        <f ca="1">VLOOKUP(Tableau1[[#This Row],[Key(ID-Actif)]],'DATA BTO'!A:N,14,FALSE)</f>
        <v>Marc-Aurele</v>
      </c>
      <c r="AK35" s="54">
        <f ca="1">VLOOKUP(Tableau1[[#This Row],[Key(POD -PFI- Usine)]],'DATA Consignee'!A:F,6,FALSE)</f>
        <v>2</v>
      </c>
      <c r="AL35" s="460" t="s">
        <v>161</v>
      </c>
      <c r="AM35" s="483">
        <f>IF(Tableau1[[#This Row],[Name PFI/CDD]]="","-",VLOOKUP(Tableau1[[#This Row],[Name PFI/CDD]],Plant_AILN!I:J,2,FALSE))</f>
        <v>91018400</v>
      </c>
      <c r="AN35" s="6">
        <f ca="1">IF(COUNTIF(buffer_train[AILN],Tableau1[[#This Row],[Name PFI/CDD]])&gt;0,Tableau1[[#This Row],[First Receipt Days]]+Tableau1[[#This Row],[Cust.]]+Tableau1[[#This Row],[Parts Vanning]]+Tableau1[[#This Row],[Transit Time2]],"-")</f>
        <v>75</v>
      </c>
      <c r="AO35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35" s="2">
        <f ca="1">VLOOKUP(Tableau1[[#This Row],[Key(POD -PFI- Usine)]],'DATA Consignee'!A:J,10,FALSE)</f>
        <v>3</v>
      </c>
      <c r="AQ35" s="50">
        <f ca="1">VLOOKUP(Tableau1[[#This Row],[Key(POD -PFI- Usine)]],'DATA Consignee'!A:N,14,FALSE)</f>
        <v>4</v>
      </c>
      <c r="AR3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3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35" s="50">
        <f ca="1">Tableau1[[#This Row],[Transit time]]+Tableau1[[#This Row],[Time for security]]+Tableau1[[#This Row],[Time for security2 buffer]]</f>
        <v>33</v>
      </c>
      <c r="AU3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35" s="389">
        <f ca="1">Tableau1[[#This Row],[Leadtime SI2C]]+Tableau1[[#This Row],[First Receipt Days]]-Tableau1[[#This Row],[Day Customer Order]]+1</f>
        <v>85</v>
      </c>
      <c r="AW35" s="117">
        <f ca="1">IF(Tableau1[[#This Row],[Name ILN]]&lt;&gt;"SFK Freight Forwarder",Tableau1[[#This Row],[Cust. Leadtime]],Tableau1[[#This Row],[Leadtime SI2C]])</f>
        <v>85</v>
      </c>
      <c r="AX35" s="51" t="str">
        <f>VLOOKUP(Tableau1[[#This Row],[ID]],'DATA BTO'!B:P,15,FALSE)</f>
        <v>Renault &gt; Horse</v>
      </c>
      <c r="AY35" s="328">
        <f ca="1">IFERROR(VLOOKUP(Tableau1[[#This Row],[Key(ID-Actif)]],'DATA BTO'!A:N,4,FALSE),VLOOKUP(Tableau1[[#This Row],[ID]],'DATA BTO'!B:N,3,FALSE))</f>
        <v>46142</v>
      </c>
      <c r="AZ35" s="50" t="str">
        <f>IF(ISNUMBER(Tableau1[[#This Row],[Day Customer Order]]),"-","Please Check 'Name' information in 'Order' Sheet to make sure they have information")</f>
        <v>-</v>
      </c>
      <c r="BA3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" s="50"/>
    </row>
    <row r="36" spans="2:57">
      <c r="B36" s="65" t="str">
        <f>_xlfn.CONCAT(Tableau1[[#This Row],[Name ILN]],"-",Tableau1[[#This Row],[Name Shipper]],"-",Tableau1[[#This Row],[Name Site]])</f>
        <v>ILN Pune-ILN Pune-OYAK MONT</v>
      </c>
      <c r="C36" s="65" t="str">
        <f ca="1">_xlfn.CONCAT(Tableau1[[#This Row],[Compte ILN]],"-",Tableau1[[#This Row],[Compte Shipper]],"-",Tableau1[[#This Row],[POL]],"-",Tableau1[[#This Row],[Compte Consignee]])</f>
        <v>2533780535-2533780535-INNSA-90017000</v>
      </c>
      <c r="D36" s="64" t="str">
        <f ca="1">_xlfn.CONCAT(Tableau1[[#This Row],[Compte ILN]],"-",Tableau1[[#This Row],[Compte Shipper]],"-",Tableau1[[#This Row],[POL]])</f>
        <v>2533780535-2533780535-INNSA</v>
      </c>
      <c r="E36" s="396" t="str">
        <f ca="1">_xlfn.CONCAT(Tableau1[[#This Row],[POL]],"-",Tableau1[[#This Row],[Carrier]],"-",Tableau1[[#This Row],[POD]])</f>
        <v>INNSA-CMA-CGM-TRGEM</v>
      </c>
      <c r="F36" s="64" t="str">
        <f>_xlfn.CONCAT(Tableau1[[#This Row],[ID]],"-","Actif")</f>
        <v>921-Actif</v>
      </c>
      <c r="G36" s="64" t="str">
        <f ca="1">_xlfn.CONCAT(Tableau1[[#This Row],[POD]],"-",Tableau1[[#This Row],[Code PFI]],"-",Tableau1[[#This Row],[Compte Consignee]])</f>
        <v>TRGEM---90017000</v>
      </c>
      <c r="H36" s="396" t="str">
        <f ca="1">_xlfn.CONCAT(IF(Tableau1[[#This Row],[Name ILN]]=Tableau1[[#This Row],[Name Shipper]],Tableau1[[#This Row],[Name ILN]],Tableau1[[#This Row],[Compte Shipper]]),Tableau1[[#This Row],[POL]],Tableau1[[#This Row],[Name Site]])</f>
        <v>ILN PuneINNSAOYAK MONT</v>
      </c>
      <c r="I3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MONT-ILN Pune-ILN Pune-921-INNSA-CMA-CGM-TRGEM-</v>
      </c>
      <c r="J36" s="397" t="str">
        <f ca="1">IF(COUNTIF(I:I,Tableau1[[#This Row],[Plant-ILN-shipper-POL-Carrier-POD-PFI]])=1,"Non","Oui")</f>
        <v>Non</v>
      </c>
      <c r="K36" s="398" t="str">
        <f>VLOOKUP(Tableau1[[#This Row],[Name Site]],Plant_AILN!A:D,4,FALSE)</f>
        <v>TURKEY</v>
      </c>
      <c r="L36" s="285" t="s">
        <v>167</v>
      </c>
      <c r="M36" s="480">
        <f>VLOOKUP(Tableau1[[#This Row],[Name Site]],Plant_AILN!A:C,3,FALSE)</f>
        <v>90017000</v>
      </c>
      <c r="N36" s="55">
        <f>VLOOKUP(Tableau1[[#This Row],[Compte Consignee]],Order!C:D,2,FALSE)</f>
        <v>7</v>
      </c>
      <c r="O36" s="114" t="s">
        <v>142</v>
      </c>
      <c r="P36" s="481">
        <f>VLOOKUP(Tableau1[[#This Row],[Name ILN]],Plant_AILN!F:G,2,FALSE)</f>
        <v>2533780535</v>
      </c>
      <c r="Q36" s="50">
        <f>VLOOKUP(Tableau1[[#This Row],[Compte ILN]],'DATA ILN'!D:I,6,FALSE)</f>
        <v>9</v>
      </c>
      <c r="R36" s="50">
        <f ca="1">IFERROR(VLOOKUP(Tableau1[[#This Row],[Key(Compte ILN - shipper - POL - plant)]],'DATA ILN'!A:J,10,FALSE),VLOOKUP(Tableau1[[#This Row],[Key(Compte ILN - shipper - POL)]],'DATA ILN'!B:J,9,FALSE))</f>
        <v>14</v>
      </c>
      <c r="S36" s="50">
        <f ca="1">IFERROR(VLOOKUP(Tableau1[[#This Row],[Key(Compte ILN - shipper - POL - plant)]],'DATA ILN'!A:K,11,FALSE),VLOOKUP(Tableau1[[#This Row],[Key(Compte ILN - shipper - POL)]],'DATA ILN'!B:K,10,FALSE))</f>
        <v>5</v>
      </c>
      <c r="T36" s="50">
        <f ca="1">IFERROR(VLOOKUP(Tableau1[[#This Row],[Key(Compte ILN - shipper - POL - plant)]],'DATA ILN'!A:L,12,FALSE),VLOOKUP(Tableau1[[#This Row],[Key(Compte ILN - shipper - POL)]],'DATA ILN'!B:L,11,FALSE))</f>
        <v>7</v>
      </c>
      <c r="U36" s="50">
        <f ca="1">Tableau1[[#This Row],[Day ILN Order]]+Tableau1[[#This Row],[Delivery time to ILN/Shipper]]-1</f>
        <v>22</v>
      </c>
      <c r="V36" s="50">
        <f ca="1">IFERROR(VLOOKUP(Tableau1[[#This Row],[Key(Compte ILN - shipper - POL - plant)]],'DATA ILN'!A:N,14,FALSE),VLOOKUP(Tableau1[[#This Row],[Key(Compte ILN - shipper - POL)]],'DATA ILN'!B:N,13,FALSE))</f>
        <v>0</v>
      </c>
      <c r="W36" s="53">
        <f ca="1">IFERROR(VLOOKUP(Tableau1[[#This Row],[Key(Compte ILN - shipper - POL - plant)]],'DATA ILN'!A:P,16,FALSE),VLOOKUP(Tableau1[[#This Row],[Key(Compte ILN - shipper - POL)]],'DATA ILN'!B:P,15,FALSE))</f>
        <v>3</v>
      </c>
      <c r="X36" s="283" t="s">
        <v>142</v>
      </c>
      <c r="Y36" s="482">
        <f>IFERROR(VLOOKUP(Tableau1[[#This Row],[Name Shipper]],Plant_AILN!L:M,2,FALSE),0)</f>
        <v>2533780535</v>
      </c>
      <c r="Z36" s="358">
        <v>921</v>
      </c>
      <c r="AA36" s="353" t="str">
        <f ca="1">VLOOKUP(Tableau1[[#This Row],[Key(ID-Actif)]],'DATA BTO'!A:N,5,FALSE)</f>
        <v>INNSA</v>
      </c>
      <c r="AB36" s="3" t="str">
        <f ca="1">VLOOKUP(Tableau1[[#This Row],[Key(ID-Actif)]],'DATA BTO'!A:N,6,FALSE)</f>
        <v>CMA-CGM</v>
      </c>
      <c r="AC36" s="50">
        <f ca="1">VLOOKUP(Tableau1[[#This Row],[Key(ID-Actif)]],'DATA BTO'!A:N,7,FALSE)</f>
        <v>4</v>
      </c>
      <c r="AD36" s="50">
        <f ca="1">VLOOKUP(Tableau1[[#This Row],[Key(ID-Actif)]],'DATA BTO'!A:N,8,FALSE)</f>
        <v>6</v>
      </c>
      <c r="AE36" s="50">
        <f ca="1">IF(Tableau1[[#This Row],[First Day to POL]]&lt;=Tableau1[[#This Row],[Day Cut Off]],Tableau1[[#This Row],[Day ETD]],Tableau1[[#This Row],[Day ETD]]+7)</f>
        <v>6</v>
      </c>
      <c r="AF36" s="50">
        <f ca="1">VLOOKUP(Tableau1[[#This Row],[Key(ID-Actif)]],'DATA BTO'!A:N,9,FALSE)</f>
        <v>48</v>
      </c>
      <c r="AG36" s="3" t="str">
        <f ca="1">VLOOKUP(Tableau1[[#This Row],[Key(ID-Actif)]],'DATA BTO'!A:N,10,FALSE)</f>
        <v>TRGEM</v>
      </c>
      <c r="AH36" s="3">
        <f ca="1">VLOOKUP(Tableau1[[#This Row],[Key(ID-Actif)]],'DATA BTO'!A:N,11,FALSE)</f>
        <v>3</v>
      </c>
      <c r="AI36" s="50">
        <f ca="1">VLOOKUP(Tableau1[[#This Row],[Key(ID-Actif)]],'DATA BTO'!A:N,12,FALSE)</f>
        <v>0</v>
      </c>
      <c r="AJ36" s="53" t="str">
        <f ca="1">VLOOKUP(Tableau1[[#This Row],[Key(ID-Actif)]],'DATA BTO'!A:N,14,FALSE)</f>
        <v>Marc-Aurele</v>
      </c>
      <c r="AK36" s="54">
        <f ca="1">VLOOKUP(Tableau1[[#This Row],[Key(POD -PFI- Usine)]],'DATA Consignee'!A:F,6,FALSE)</f>
        <v>2</v>
      </c>
      <c r="AL36" s="125"/>
      <c r="AM36" s="483" t="str">
        <f>IF(Tableau1[[#This Row],[Name PFI/CDD]]="","-",VLOOKUP(Tableau1[[#This Row],[Name PFI/CDD]],Plant_AILN!I:J,2,FALSE))</f>
        <v>-</v>
      </c>
      <c r="AN3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" s="2">
        <f ca="1">VLOOKUP(Tableau1[[#This Row],[Key(POD -PFI- Usine)]],'DATA Consignee'!A:J,10,FALSE)</f>
        <v>0</v>
      </c>
      <c r="AQ36" s="50">
        <f ca="1">VLOOKUP(Tableau1[[#This Row],[Key(POD -PFI- Usine)]],'DATA Consignee'!A:N,14,FALSE)</f>
        <v>2</v>
      </c>
      <c r="AR3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36" s="50">
        <f ca="1">Tableau1[[#This Row],[Transit time]]+Tableau1[[#This Row],[Time for security]]+Tableau1[[#This Row],[Time for security2 buffer]]</f>
        <v>51</v>
      </c>
      <c r="AU3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36" s="389">
        <f ca="1">Tableau1[[#This Row],[Leadtime SI2C]]+Tableau1[[#This Row],[First Receipt Days]]-Tableau1[[#This Row],[Day Customer Order]]+1</f>
        <v>85</v>
      </c>
      <c r="AW36" s="117">
        <f ca="1">IF(Tableau1[[#This Row],[Name ILN]]&lt;&gt;"SFK Freight Forwarder",Tableau1[[#This Row],[Cust. Leadtime]],Tableau1[[#This Row],[Leadtime SI2C]])</f>
        <v>85</v>
      </c>
      <c r="AX36" s="51" t="str">
        <f>VLOOKUP(Tableau1[[#This Row],[ID]],'DATA BTO'!B:P,15,FALSE)</f>
        <v>Renault &gt; Horse</v>
      </c>
      <c r="AY36" s="328">
        <f ca="1">IFERROR(VLOOKUP(Tableau1[[#This Row],[Key(ID-Actif)]],'DATA BTO'!A:N,4,FALSE),VLOOKUP(Tableau1[[#This Row],[ID]],'DATA BTO'!B:N,3,FALSE))</f>
        <v>46142</v>
      </c>
      <c r="AZ36" s="50" t="str">
        <f>IF(ISNUMBER(Tableau1[[#This Row],[Day Customer Order]]),"-","Please Check 'Name' information in 'Order' Sheet to make sure they have information")</f>
        <v>-</v>
      </c>
      <c r="BA3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" s="50"/>
    </row>
    <row r="37" spans="2:57">
      <c r="B37" s="447" t="str">
        <f>_xlfn.CONCAT(Tableau1[[#This Row],[Name ILN]],"-",Tableau1[[#This Row],[Name Shipper]],"-",Tableau1[[#This Row],[Name Site]])</f>
        <v>ILN Pune-ILN Pune-OYAK MEKA</v>
      </c>
      <c r="C37" s="65" t="str">
        <f ca="1">_xlfn.CONCAT(Tableau1[[#This Row],[Compte ILN]],"-",Tableau1[[#This Row],[Compte Shipper]],"-",Tableau1[[#This Row],[POL]],"-",Tableau1[[#This Row],[Compte Consignee]])</f>
        <v>2533780535-2533780535-INNSA-90014400</v>
      </c>
      <c r="D37" s="64" t="str">
        <f ca="1">_xlfn.CONCAT(Tableau1[[#This Row],[Compte ILN]],"-",Tableau1[[#This Row],[Compte Shipper]],"-",Tableau1[[#This Row],[POL]])</f>
        <v>2533780535-2533780535-INNSA</v>
      </c>
      <c r="E37" s="396" t="str">
        <f ca="1">_xlfn.CONCAT(Tableau1[[#This Row],[POL]],"-",Tableau1[[#This Row],[Carrier]],"-",Tableau1[[#This Row],[POD]])</f>
        <v>INNSA-CMA-CGM-TRGEM</v>
      </c>
      <c r="F37" s="64" t="str">
        <f>_xlfn.CONCAT(Tableau1[[#This Row],[ID]],"-","Actif")</f>
        <v>921-Actif</v>
      </c>
      <c r="G37" s="64" t="str">
        <f ca="1">_xlfn.CONCAT(Tableau1[[#This Row],[POD]],"-",Tableau1[[#This Row],[Code PFI]],"-",Tableau1[[#This Row],[Compte Consignee]])</f>
        <v>TRGEM---90014400</v>
      </c>
      <c r="H37" s="396" t="str">
        <f ca="1">_xlfn.CONCAT(IF(Tableau1[[#This Row],[Name ILN]]=Tableau1[[#This Row],[Name Shipper]],Tableau1[[#This Row],[Name ILN]],Tableau1[[#This Row],[Compte Shipper]]),Tableau1[[#This Row],[POL]],Tableau1[[#This Row],[Name Site]])</f>
        <v>ILN PuneINNSAOYAK MEKA</v>
      </c>
      <c r="I3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MEKA-ILN Pune-ILN Pune-921-INNSA-CMA-CGM-TRGEM-</v>
      </c>
      <c r="J37" s="397" t="str">
        <f ca="1">IF(COUNTIF(I:I,Tableau1[[#This Row],[Plant-ILN-shipper-POL-Carrier-POD-PFI]])=1,"Non","Oui")</f>
        <v>Non</v>
      </c>
      <c r="K37" s="126" t="str">
        <f>VLOOKUP(Tableau1[[#This Row],[Name Site]],Plant_AILN!A:D,4,FALSE)</f>
        <v>TURKEY</v>
      </c>
      <c r="L37" s="363" t="s">
        <v>164</v>
      </c>
      <c r="M37" s="480">
        <f>VLOOKUP(Tableau1[[#This Row],[Name Site]],Plant_AILN!A:C,3,FALSE)</f>
        <v>90014400</v>
      </c>
      <c r="N37" s="55">
        <f>VLOOKUP(Tableau1[[#This Row],[Compte Consignee]],Order!C:D,2,FALSE)</f>
        <v>2</v>
      </c>
      <c r="O37" s="114" t="s">
        <v>142</v>
      </c>
      <c r="P37" s="481">
        <f>VLOOKUP(Tableau1[[#This Row],[Name ILN]],Plant_AILN!F:G,2,FALSE)</f>
        <v>2533780535</v>
      </c>
      <c r="Q37" s="50">
        <f>VLOOKUP(Tableau1[[#This Row],[Compte ILN]],'DATA ILN'!D:I,6,FALSE)</f>
        <v>9</v>
      </c>
      <c r="R37" s="50">
        <f ca="1">IFERROR(VLOOKUP(Tableau1[[#This Row],[Key(Compte ILN - shipper - POL - plant)]],'DATA ILN'!A:J,10,FALSE),VLOOKUP(Tableau1[[#This Row],[Key(Compte ILN - shipper - POL)]],'DATA ILN'!B:J,9,FALSE))</f>
        <v>14</v>
      </c>
      <c r="S37" s="50">
        <f ca="1">IFERROR(VLOOKUP(Tableau1[[#This Row],[Key(Compte ILN - shipper - POL - plant)]],'DATA ILN'!A:K,11,FALSE),VLOOKUP(Tableau1[[#This Row],[Key(Compte ILN - shipper - POL)]],'DATA ILN'!B:K,10,FALSE))</f>
        <v>5</v>
      </c>
      <c r="T37" s="50">
        <f ca="1">IFERROR(VLOOKUP(Tableau1[[#This Row],[Key(Compte ILN - shipper - POL - plant)]],'DATA ILN'!A:L,12,FALSE),VLOOKUP(Tableau1[[#This Row],[Key(Compte ILN - shipper - POL)]],'DATA ILN'!B:L,11,FALSE))</f>
        <v>7</v>
      </c>
      <c r="U37" s="50">
        <f ca="1">Tableau1[[#This Row],[Day ILN Order]]+Tableau1[[#This Row],[Delivery time to ILN/Shipper]]-1</f>
        <v>22</v>
      </c>
      <c r="V37" s="50">
        <f ca="1">IFERROR(VLOOKUP(Tableau1[[#This Row],[Key(Compte ILN - shipper - POL - plant)]],'DATA ILN'!A:N,14,FALSE),VLOOKUP(Tableau1[[#This Row],[Key(Compte ILN - shipper - POL)]],'DATA ILN'!B:N,13,FALSE))</f>
        <v>3</v>
      </c>
      <c r="W37" s="53">
        <f ca="1">IFERROR(VLOOKUP(Tableau1[[#This Row],[Key(Compte ILN - shipper - POL - plant)]],'DATA ILN'!A:P,16,FALSE),VLOOKUP(Tableau1[[#This Row],[Key(Compte ILN - shipper - POL)]],'DATA ILN'!B:P,15,FALSE))</f>
        <v>5</v>
      </c>
      <c r="X37" s="283" t="s">
        <v>142</v>
      </c>
      <c r="Y37" s="482">
        <f>IFERROR(VLOOKUP(Tableau1[[#This Row],[Name Shipper]],Plant_AILN!L:M,2,FALSE),0)</f>
        <v>2533780535</v>
      </c>
      <c r="Z37" s="358">
        <v>921</v>
      </c>
      <c r="AA37" s="353" t="str">
        <f ca="1">VLOOKUP(Tableau1[[#This Row],[Key(ID-Actif)]],'DATA BTO'!A:N,5,FALSE)</f>
        <v>INNSA</v>
      </c>
      <c r="AB37" s="3" t="str">
        <f ca="1">VLOOKUP(Tableau1[[#This Row],[Key(ID-Actif)]],'DATA BTO'!A:N,6,FALSE)</f>
        <v>CMA-CGM</v>
      </c>
      <c r="AC37" s="50">
        <f ca="1">VLOOKUP(Tableau1[[#This Row],[Key(ID-Actif)]],'DATA BTO'!A:N,7,FALSE)</f>
        <v>4</v>
      </c>
      <c r="AD37" s="50">
        <f ca="1">VLOOKUP(Tableau1[[#This Row],[Key(ID-Actif)]],'DATA BTO'!A:N,8,FALSE)</f>
        <v>6</v>
      </c>
      <c r="AE37" s="50">
        <f ca="1">IF(Tableau1[[#This Row],[First Day to POL]]&lt;=Tableau1[[#This Row],[Day Cut Off]],Tableau1[[#This Row],[Day ETD]],Tableau1[[#This Row],[Day ETD]]+7)</f>
        <v>13</v>
      </c>
      <c r="AF37" s="50">
        <f ca="1">VLOOKUP(Tableau1[[#This Row],[Key(ID-Actif)]],'DATA BTO'!A:N,9,FALSE)</f>
        <v>48</v>
      </c>
      <c r="AG37" s="3" t="str">
        <f ca="1">VLOOKUP(Tableau1[[#This Row],[Key(ID-Actif)]],'DATA BTO'!A:N,10,FALSE)</f>
        <v>TRGEM</v>
      </c>
      <c r="AH37" s="3">
        <f ca="1">VLOOKUP(Tableau1[[#This Row],[Key(ID-Actif)]],'DATA BTO'!A:N,11,FALSE)</f>
        <v>3</v>
      </c>
      <c r="AI37" s="50">
        <f ca="1">VLOOKUP(Tableau1[[#This Row],[Key(ID-Actif)]],'DATA BTO'!A:N,12,FALSE)</f>
        <v>0</v>
      </c>
      <c r="AJ37" s="53" t="str">
        <f ca="1">VLOOKUP(Tableau1[[#This Row],[Key(ID-Actif)]],'DATA BTO'!A:N,14,FALSE)</f>
        <v>Marc-Aurele</v>
      </c>
      <c r="AK37" s="54">
        <f ca="1">VLOOKUP(Tableau1[[#This Row],[Key(POD -PFI- Usine)]],'DATA Consignee'!A:F,6,FALSE)</f>
        <v>2</v>
      </c>
      <c r="AL37" s="125"/>
      <c r="AM37" s="483" t="str">
        <f>IF(Tableau1[[#This Row],[Name PFI/CDD]]="","-",VLOOKUP(Tableau1[[#This Row],[Name PFI/CDD]],Plant_AILN!I:J,2,FALSE))</f>
        <v>-</v>
      </c>
      <c r="AN3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" s="2">
        <f ca="1">VLOOKUP(Tableau1[[#This Row],[Key(POD -PFI- Usine)]],'DATA Consignee'!A:J,10,FALSE)</f>
        <v>0</v>
      </c>
      <c r="AQ37" s="50">
        <f ca="1">VLOOKUP(Tableau1[[#This Row],[Key(POD -PFI- Usine)]],'DATA Consignee'!A:N,14,FALSE)</f>
        <v>2</v>
      </c>
      <c r="AR3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18</v>
      </c>
      <c r="AT37" s="50">
        <f ca="1">Tableau1[[#This Row],[Transit time]]+Tableau1[[#This Row],[Time for security]]+Tableau1[[#This Row],[Time for security2 buffer]]</f>
        <v>51</v>
      </c>
      <c r="AU3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37" s="389">
        <f ca="1">Tableau1[[#This Row],[Leadtime SI2C]]+Tableau1[[#This Row],[First Receipt Days]]-Tableau1[[#This Row],[Day Customer Order]]+1</f>
        <v>97</v>
      </c>
      <c r="AW37" s="117">
        <f ca="1">IF(Tableau1[[#This Row],[Name ILN]]&lt;&gt;"SFK Freight Forwarder",Tableau1[[#This Row],[Cust. Leadtime]],Tableau1[[#This Row],[Leadtime SI2C]])</f>
        <v>97</v>
      </c>
      <c r="AX37" s="51" t="str">
        <f>VLOOKUP(Tableau1[[#This Row],[ID]],'DATA BTO'!B:P,15,FALSE)</f>
        <v>Renault &gt; Horse</v>
      </c>
      <c r="AY37" s="328">
        <f ca="1">IFERROR(VLOOKUP(Tableau1[[#This Row],[Key(ID-Actif)]],'DATA BTO'!A:N,4,FALSE),VLOOKUP(Tableau1[[#This Row],[ID]],'DATA BTO'!B:N,3,FALSE))</f>
        <v>46142</v>
      </c>
      <c r="AZ37" s="50" t="str">
        <f>IF(ISNUMBER(Tableau1[[#This Row],[Day Customer Order]]),"-","Please Check 'Name' information in 'Order' Sheet to make sure they have information")</f>
        <v>-</v>
      </c>
      <c r="BA3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" s="50"/>
    </row>
    <row r="38" spans="2:57">
      <c r="B38" s="65" t="str">
        <f>_xlfn.CONCAT(Tableau1[[#This Row],[Name ILN]],"-",Tableau1[[#This Row],[Name Shipper]],"-",Tableau1[[#This Row],[Name Site]])</f>
        <v>ILN Tanger-ILN Tanger-DACIA MECA</v>
      </c>
      <c r="C38" s="65" t="str">
        <f ca="1">_xlfn.CONCAT(Tableau1[[#This Row],[Compte ILN]],"-",Tableau1[[#This Row],[Compte Shipper]],"-",Tableau1[[#This Row],[POL]],"-",Tableau1[[#This Row],[Compte Consignee]])</f>
        <v>92050300-92050300-MAPTM-90012500</v>
      </c>
      <c r="D38" s="64" t="str">
        <f ca="1">_xlfn.CONCAT(Tableau1[[#This Row],[Compte ILN]],"-",Tableau1[[#This Row],[Compte Shipper]],"-",Tableau1[[#This Row],[POL]])</f>
        <v>92050300-92050300-MAPTM</v>
      </c>
      <c r="E38" s="396" t="str">
        <f ca="1">_xlfn.CONCAT(Tableau1[[#This Row],[POL]],"-",Tableau1[[#This Row],[Carrier]],"-",Tableau1[[#This Row],[POD]])</f>
        <v>MAPTM-Arkas-ROCND</v>
      </c>
      <c r="F38" s="64" t="str">
        <f>_xlfn.CONCAT(Tableau1[[#This Row],[ID]],"-","Actif")</f>
        <v>924-Actif</v>
      </c>
      <c r="G38" s="64" t="str">
        <f ca="1">_xlfn.CONCAT(Tableau1[[#This Row],[POD]],"-",Tableau1[[#This Row],[Code PFI]],"-",Tableau1[[#This Row],[Compte Consignee]])</f>
        <v>ROCND-2839004-90012500</v>
      </c>
      <c r="H38" s="396" t="str">
        <f ca="1">_xlfn.CONCAT(IF(Tableau1[[#This Row],[Name ILN]]=Tableau1[[#This Row],[Name Shipper]],Tableau1[[#This Row],[Name ILN]],Tableau1[[#This Row],[Compte Shipper]]),Tableau1[[#This Row],[POL]],Tableau1[[#This Row],[Name Site]])</f>
        <v>ILN TangerMAPTMDACIA MECA</v>
      </c>
      <c r="I3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MECA-ILN Tanger-ILN Tanger-924-MAPTM-Arkas-ROCND-Magasin Dacia</v>
      </c>
      <c r="J38" s="397" t="str">
        <f ca="1">IF(COUNTIF(I:I,Tableau1[[#This Row],[Plant-ILN-shipper-POL-Carrier-POD-PFI]])=1,"Non","Oui")</f>
        <v>Non</v>
      </c>
      <c r="K38" s="398" t="str">
        <f>VLOOKUP(Tableau1[[#This Row],[Name Site]],Plant_AILN!A:D,4,FALSE)</f>
        <v>ROMANIA</v>
      </c>
      <c r="L38" s="363" t="s">
        <v>156</v>
      </c>
      <c r="M38" s="480">
        <f>VLOOKUP(Tableau1[[#This Row],[Name Site]],Plant_AILN!A:C,3,FALSE)</f>
        <v>90012500</v>
      </c>
      <c r="N38" s="55">
        <f>VLOOKUP(Tableau1[[#This Row],[Compte Consignee]],Order!C:D,2,FALSE)</f>
        <v>7</v>
      </c>
      <c r="O38" s="114" t="s">
        <v>155</v>
      </c>
      <c r="P38" s="481">
        <f>VLOOKUP(Tableau1[[#This Row],[Name ILN]],Plant_AILN!F:G,2,FALSE)</f>
        <v>92050300</v>
      </c>
      <c r="Q38" s="50">
        <f>VLOOKUP(Tableau1[[#This Row],[Compte ILN]],'DATA ILN'!D:I,6,FALSE)</f>
        <v>9</v>
      </c>
      <c r="R38" s="50">
        <f ca="1">IFERROR(VLOOKUP(Tableau1[[#This Row],[Key(Compte ILN - shipper - POL - plant)]],'DATA ILN'!A:J,10,FALSE),VLOOKUP(Tableau1[[#This Row],[Key(Compte ILN - shipper - POL)]],'DATA ILN'!B:J,9,FALSE))</f>
        <v>7</v>
      </c>
      <c r="S38" s="50">
        <f ca="1">IFERROR(VLOOKUP(Tableau1[[#This Row],[Key(Compte ILN - shipper - POL - plant)]],'DATA ILN'!A:K,11,FALSE),VLOOKUP(Tableau1[[#This Row],[Key(Compte ILN - shipper - POL)]],'DATA ILN'!B:K,10,FALSE))</f>
        <v>5</v>
      </c>
      <c r="T38" s="50">
        <f ca="1">IFERROR(VLOOKUP(Tableau1[[#This Row],[Key(Compte ILN - shipper - POL - plant)]],'DATA ILN'!A:L,12,FALSE),VLOOKUP(Tableau1[[#This Row],[Key(Compte ILN - shipper - POL)]],'DATA ILN'!B:L,11,FALSE))</f>
        <v>7</v>
      </c>
      <c r="U38" s="50">
        <f ca="1">Tableau1[[#This Row],[Day ILN Order]]+Tableau1[[#This Row],[Delivery time to ILN/Shipper]]-1</f>
        <v>15</v>
      </c>
      <c r="V38" s="50">
        <f ca="1">IFERROR(VLOOKUP(Tableau1[[#This Row],[Key(Compte ILN - shipper - POL - plant)]],'DATA ILN'!A:N,14,FALSE),VLOOKUP(Tableau1[[#This Row],[Key(Compte ILN - shipper - POL)]],'DATA ILN'!B:N,13,FALSE))</f>
        <v>3</v>
      </c>
      <c r="W38" s="53">
        <f ca="1">IFERROR(VLOOKUP(Tableau1[[#This Row],[Key(Compte ILN - shipper - POL - plant)]],'DATA ILN'!A:P,16,FALSE),VLOOKUP(Tableau1[[#This Row],[Key(Compte ILN - shipper - POL)]],'DATA ILN'!B:P,15,FALSE))</f>
        <v>4</v>
      </c>
      <c r="X38" s="283" t="s">
        <v>155</v>
      </c>
      <c r="Y38" s="482">
        <f>IFERROR(VLOOKUP(Tableau1[[#This Row],[Name Shipper]],Plant_AILN!L:M,2,FALSE),0)</f>
        <v>92050300</v>
      </c>
      <c r="Z38" s="358">
        <v>924</v>
      </c>
      <c r="AA38" s="353" t="str">
        <f ca="1">VLOOKUP(Tableau1[[#This Row],[Key(ID-Actif)]],'DATA BTO'!A:N,5,FALSE)</f>
        <v>MAPTM</v>
      </c>
      <c r="AB38" s="3" t="str">
        <f ca="1">VLOOKUP(Tableau1[[#This Row],[Key(ID-Actif)]],'DATA BTO'!A:N,6,FALSE)</f>
        <v>Arkas</v>
      </c>
      <c r="AC38" s="50">
        <f ca="1">VLOOKUP(Tableau1[[#This Row],[Key(ID-Actif)]],'DATA BTO'!A:N,7,FALSE)</f>
        <v>5</v>
      </c>
      <c r="AD38" s="50">
        <f ca="1">VLOOKUP(Tableau1[[#This Row],[Key(ID-Actif)]],'DATA BTO'!A:N,8,FALSE)</f>
        <v>7</v>
      </c>
      <c r="AE38" s="50">
        <f ca="1">IF(Tableau1[[#This Row],[First Day to POL]]&lt;=Tableau1[[#This Row],[Day Cut Off]],Tableau1[[#This Row],[Day ETD]],Tableau1[[#This Row],[Day ETD]]+7)</f>
        <v>7</v>
      </c>
      <c r="AF38" s="50">
        <f ca="1">VLOOKUP(Tableau1[[#This Row],[Key(ID-Actif)]],'DATA BTO'!A:N,9,FALSE)</f>
        <v>21</v>
      </c>
      <c r="AG38" s="3" t="str">
        <f ca="1">VLOOKUP(Tableau1[[#This Row],[Key(ID-Actif)]],'DATA BTO'!A:N,10,FALSE)</f>
        <v>ROCND</v>
      </c>
      <c r="AH38" s="3">
        <f ca="1">VLOOKUP(Tableau1[[#This Row],[Key(ID-Actif)]],'DATA BTO'!A:N,11,FALSE)</f>
        <v>3</v>
      </c>
      <c r="AI38" s="50">
        <f ca="1">VLOOKUP(Tableau1[[#This Row],[Key(ID-Actif)]],'DATA BTO'!A:N,12,FALSE)</f>
        <v>7</v>
      </c>
      <c r="AJ38" s="53" t="str">
        <f ca="1">VLOOKUP(Tableau1[[#This Row],[Key(ID-Actif)]],'DATA BTO'!A:N,14,FALSE)</f>
        <v>Julien</v>
      </c>
      <c r="AK38" s="54">
        <f ca="1">VLOOKUP(Tableau1[[#This Row],[Key(POD -PFI- Usine)]],'DATA Consignee'!A:F,6,FALSE)</f>
        <v>1</v>
      </c>
      <c r="AL38" s="125" t="s">
        <v>158</v>
      </c>
      <c r="AM38" s="483">
        <f>IF(Tableau1[[#This Row],[Name PFI/CDD]]="","-",VLOOKUP(Tableau1[[#This Row],[Name PFI/CDD]],Plant_AILN!I:J,2,FALSE))</f>
        <v>2839004</v>
      </c>
      <c r="AN3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" s="2">
        <f ca="1">VLOOKUP(Tableau1[[#This Row],[Key(POD -PFI- Usine)]],'DATA Consignee'!A:J,10,FALSE)</f>
        <v>7</v>
      </c>
      <c r="AQ38" s="50">
        <f ca="1">VLOOKUP(Tableau1[[#This Row],[Key(POD -PFI- Usine)]],'DATA Consignee'!A:N,14,FALSE)</f>
        <v>1</v>
      </c>
      <c r="AR3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38" s="50">
        <f ca="1">Tableau1[[#This Row],[Transit time]]+Tableau1[[#This Row],[Time for security]]+Tableau1[[#This Row],[Time for security2 buffer]]</f>
        <v>31</v>
      </c>
      <c r="AU3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38" s="389">
        <f ca="1">Tableau1[[#This Row],[Leadtime SI2C]]+Tableau1[[#This Row],[First Receipt Days]]-Tableau1[[#This Row],[Day Customer Order]]+1</f>
        <v>64</v>
      </c>
      <c r="AW38" s="117">
        <f ca="1">IF(Tableau1[[#This Row],[Name ILN]]&lt;&gt;"SFK Freight Forwarder",Tableau1[[#This Row],[Cust. Leadtime]],Tableau1[[#This Row],[Leadtime SI2C]])</f>
        <v>64</v>
      </c>
      <c r="AX38" s="51" t="str">
        <f>VLOOKUP(Tableau1[[#This Row],[ID]],'DATA BTO'!B:P,15,FALSE)</f>
        <v xml:space="preserve">Renault &gt; Horse </v>
      </c>
      <c r="AY38" s="328">
        <f ca="1">IFERROR(VLOOKUP(Tableau1[[#This Row],[Key(ID-Actif)]],'DATA BTO'!A:N,4,FALSE),VLOOKUP(Tableau1[[#This Row],[ID]],'DATA BTO'!B:N,3,FALSE))</f>
        <v>46142</v>
      </c>
      <c r="AZ38" s="50" t="str">
        <f>IF(ISNUMBER(Tableau1[[#This Row],[Day Customer Order]]),"-","Please Check 'Name' information in 'Order' Sheet to make sure they have information")</f>
        <v>-</v>
      </c>
      <c r="BA3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" s="50"/>
    </row>
    <row r="39" spans="2:57">
      <c r="B39" s="447" t="str">
        <f>_xlfn.CONCAT(Tableau1[[#This Row],[Name ILN]],"-",Tableau1[[#This Row],[Name Shipper]],"-",Tableau1[[#This Row],[Name Site]])</f>
        <v>ILN Chennai-ILN Chennai-CURITIBA CMO</v>
      </c>
      <c r="C39" s="65" t="str">
        <f ca="1">_xlfn.CONCAT(Tableau1[[#This Row],[Compte ILN]],"-",Tableau1[[#This Row],[Compte Shipper]],"-",Tableau1[[#This Row],[POL]],"-",Tableau1[[#This Row],[Compte Consignee]])</f>
        <v>2533780546-2533780546-INENR-90018600</v>
      </c>
      <c r="D39" s="64" t="str">
        <f ca="1">_xlfn.CONCAT(Tableau1[[#This Row],[Compte ILN]],"-",Tableau1[[#This Row],[Compte Shipper]],"-",Tableau1[[#This Row],[POL]])</f>
        <v>2533780546-2533780546-INENR</v>
      </c>
      <c r="E39" s="396" t="str">
        <f ca="1">_xlfn.CONCAT(Tableau1[[#This Row],[POL]],"-",Tableau1[[#This Row],[Carrier]],"-",Tableau1[[#This Row],[POD]])</f>
        <v>INENR-MSC-BRPNG</v>
      </c>
      <c r="F39" s="64" t="str">
        <f>_xlfn.CONCAT(Tableau1[[#This Row],[ID]],"-","Actif")</f>
        <v>925-Actif</v>
      </c>
      <c r="G39" s="64" t="str">
        <f ca="1">_xlfn.CONCAT(Tableau1[[#This Row],[POD]],"-",Tableau1[[#This Row],[Code PFI]],"-",Tableau1[[#This Row],[Compte Consignee]])</f>
        <v>BRPNG---90018600</v>
      </c>
      <c r="H39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ChennaiINENRCURITIBA CMO</v>
      </c>
      <c r="I3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Chennai-ILN Chennai-925-INENR-MSC-BRPNG-</v>
      </c>
      <c r="J39" s="397" t="str">
        <f ca="1">IF(COUNTIF(I:I,Tableau1[[#This Row],[Plant-ILN-shipper-POL-Carrier-POD-PFI]])=1,"Non","Oui")</f>
        <v>Non</v>
      </c>
      <c r="K39" s="126" t="str">
        <f>VLOOKUP(Tableau1[[#This Row],[Name Site]],Plant_AILN!A:D,4,FALSE)</f>
        <v>BRAZIL</v>
      </c>
      <c r="L39" s="363" t="s">
        <v>168</v>
      </c>
      <c r="M39" s="480">
        <f>VLOOKUP(Tableau1[[#This Row],[Name Site]],Plant_AILN!A:C,3,FALSE)</f>
        <v>90018600</v>
      </c>
      <c r="N39" s="55">
        <f>VLOOKUP(Tableau1[[#This Row],[Compte Consignee]],Order!C:D,2,FALSE)</f>
        <v>7</v>
      </c>
      <c r="O39" s="114" t="s">
        <v>141</v>
      </c>
      <c r="P39" s="481">
        <f>VLOOKUP(Tableau1[[#This Row],[Name ILN]],Plant_AILN!F:G,2,FALSE)</f>
        <v>2533780546</v>
      </c>
      <c r="Q39" s="50">
        <f>VLOOKUP(Tableau1[[#This Row],[Compte ILN]],'DATA ILN'!D:I,6,FALSE)</f>
        <v>9</v>
      </c>
      <c r="R39" s="50">
        <f ca="1">IFERROR(VLOOKUP(Tableau1[[#This Row],[Key(Compte ILN - shipper - POL - plant)]],'DATA ILN'!A:J,10,FALSE),VLOOKUP(Tableau1[[#This Row],[Key(Compte ILN - shipper - POL)]],'DATA ILN'!B:J,9,FALSE))</f>
        <v>14</v>
      </c>
      <c r="S39" s="50">
        <f ca="1">IFERROR(VLOOKUP(Tableau1[[#This Row],[Key(Compte ILN - shipper - POL - plant)]],'DATA ILN'!A:K,11,FALSE),VLOOKUP(Tableau1[[#This Row],[Key(Compte ILN - shipper - POL)]],'DATA ILN'!B:K,10,FALSE))</f>
        <v>5</v>
      </c>
      <c r="T39" s="50">
        <f ca="1">IFERROR(VLOOKUP(Tableau1[[#This Row],[Key(Compte ILN - shipper - POL - plant)]],'DATA ILN'!A:L,12,FALSE),VLOOKUP(Tableau1[[#This Row],[Key(Compte ILN - shipper - POL)]],'DATA ILN'!B:L,11,FALSE))</f>
        <v>7</v>
      </c>
      <c r="U39" s="50">
        <f ca="1">Tableau1[[#This Row],[Day ILN Order]]+Tableau1[[#This Row],[Delivery time to ILN/Shipper]]-1</f>
        <v>22</v>
      </c>
      <c r="V39" s="50">
        <f ca="1">IFERROR(VLOOKUP(Tableau1[[#This Row],[Key(Compte ILN - shipper - POL - plant)]],'DATA ILN'!A:N,14,FALSE),VLOOKUP(Tableau1[[#This Row],[Key(Compte ILN - shipper - POL)]],'DATA ILN'!B:N,13,FALSE))</f>
        <v>2</v>
      </c>
      <c r="W39" s="53">
        <f ca="1">IFERROR(VLOOKUP(Tableau1[[#This Row],[Key(Compte ILN - shipper - POL - plant)]],'DATA ILN'!A:P,16,FALSE),VLOOKUP(Tableau1[[#This Row],[Key(Compte ILN - shipper - POL)]],'DATA ILN'!B:P,15,FALSE))</f>
        <v>5</v>
      </c>
      <c r="X39" s="283" t="s">
        <v>141</v>
      </c>
      <c r="Y39" s="482">
        <f>IFERROR(VLOOKUP(Tableau1[[#This Row],[Name Shipper]],Plant_AILN!L:M,2,FALSE),0)</f>
        <v>2533780546</v>
      </c>
      <c r="Z39" s="358">
        <v>925</v>
      </c>
      <c r="AA39" s="353" t="str">
        <f ca="1">VLOOKUP(Tableau1[[#This Row],[Key(ID-Actif)]],'DATA BTO'!A:N,5,FALSE)</f>
        <v>INENR</v>
      </c>
      <c r="AB39" s="3" t="str">
        <f ca="1">VLOOKUP(Tableau1[[#This Row],[Key(ID-Actif)]],'DATA BTO'!A:N,6,FALSE)</f>
        <v>MSC</v>
      </c>
      <c r="AC39" s="50">
        <f ca="1">VLOOKUP(Tableau1[[#This Row],[Key(ID-Actif)]],'DATA BTO'!A:N,7,FALSE)</f>
        <v>5</v>
      </c>
      <c r="AD39" s="50">
        <f ca="1">VLOOKUP(Tableau1[[#This Row],[Key(ID-Actif)]],'DATA BTO'!A:N,8,FALSE)</f>
        <v>7</v>
      </c>
      <c r="AE39" s="50">
        <f ca="1">IF(Tableau1[[#This Row],[First Day to POL]]&lt;=Tableau1[[#This Row],[Day Cut Off]],Tableau1[[#This Row],[Day ETD]],Tableau1[[#This Row],[Day ETD]]+7)</f>
        <v>7</v>
      </c>
      <c r="AF39" s="50">
        <f ca="1">VLOOKUP(Tableau1[[#This Row],[Key(ID-Actif)]],'DATA BTO'!A:N,9,FALSE)</f>
        <v>33</v>
      </c>
      <c r="AG39" s="3" t="str">
        <f ca="1">VLOOKUP(Tableau1[[#This Row],[Key(ID-Actif)]],'DATA BTO'!A:N,10,FALSE)</f>
        <v>BRPNG</v>
      </c>
      <c r="AH39" s="3">
        <f ca="1">VLOOKUP(Tableau1[[#This Row],[Key(ID-Actif)]],'DATA BTO'!A:N,11,FALSE)</f>
        <v>3</v>
      </c>
      <c r="AI39" s="50">
        <f ca="1">VLOOKUP(Tableau1[[#This Row],[Key(ID-Actif)]],'DATA BTO'!A:N,12,FALSE)</f>
        <v>14</v>
      </c>
      <c r="AJ39" s="53" t="str">
        <f ca="1">VLOOKUP(Tableau1[[#This Row],[Key(ID-Actif)]],'DATA BTO'!A:N,14,FALSE)</f>
        <v>Marc-Aurele</v>
      </c>
      <c r="AK39" s="54">
        <f ca="1">VLOOKUP(Tableau1[[#This Row],[Key(POD -PFI- Usine)]],'DATA Consignee'!A:F,6,FALSE)</f>
        <v>2</v>
      </c>
      <c r="AL39" s="125"/>
      <c r="AM39" s="483" t="str">
        <f>IF(Tableau1[[#This Row],[Name PFI/CDD]]="","-",VLOOKUP(Tableau1[[#This Row],[Name PFI/CDD]],Plant_AILN!I:J,2,FALSE))</f>
        <v>-</v>
      </c>
      <c r="AN3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" s="2">
        <f ca="1">VLOOKUP(Tableau1[[#This Row],[Key(POD -PFI- Usine)]],'DATA Consignee'!A:J,10,FALSE)</f>
        <v>0</v>
      </c>
      <c r="AQ39" s="50">
        <f ca="1">VLOOKUP(Tableau1[[#This Row],[Key(POD -PFI- Usine)]],'DATA Consignee'!A:N,14,FALSE)</f>
        <v>2</v>
      </c>
      <c r="AR3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3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39" s="50">
        <f ca="1">Tableau1[[#This Row],[Transit time]]+Tableau1[[#This Row],[Time for security]]+Tableau1[[#This Row],[Time for security2 buffer]]</f>
        <v>50</v>
      </c>
      <c r="AU3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39" s="389">
        <f ca="1">Tableau1[[#This Row],[Leadtime SI2C]]+Tableau1[[#This Row],[First Receipt Days]]-Tableau1[[#This Row],[Day Customer Order]]+1</f>
        <v>85</v>
      </c>
      <c r="AW39" s="117">
        <f ca="1">IF(Tableau1[[#This Row],[Name ILN]]&lt;&gt;"SFK Freight Forwarder",Tableau1[[#This Row],[Cust. Leadtime]],Tableau1[[#This Row],[Leadtime SI2C]])</f>
        <v>85</v>
      </c>
      <c r="AX39" s="51" t="str">
        <f>VLOOKUP(Tableau1[[#This Row],[ID]],'DATA BTO'!B:P,15,FALSE)</f>
        <v>Renault &gt; Horse</v>
      </c>
      <c r="AY39" s="328">
        <f ca="1">IFERROR(VLOOKUP(Tableau1[[#This Row],[Key(ID-Actif)]],'DATA BTO'!A:N,4,FALSE),VLOOKUP(Tableau1[[#This Row],[ID]],'DATA BTO'!B:N,3,FALSE))</f>
        <v>46142</v>
      </c>
      <c r="AZ39" s="50" t="str">
        <f>IF(ISNUMBER(Tableau1[[#This Row],[Day Customer Order]]),"-","Please Check 'Name' information in 'Order' Sheet to make sure they have information")</f>
        <v>-</v>
      </c>
      <c r="BA3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3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" s="50"/>
    </row>
    <row r="40" spans="2:57">
      <c r="B40" s="447" t="str">
        <f>_xlfn.CONCAT(Tableau1[[#This Row],[Name ILN]],"-",Tableau1[[#This Row],[Name Shipper]],"-",Tableau1[[#This Row],[Name Site]])</f>
        <v>ILN FR-RENAULT CLEON-CORDOBA</v>
      </c>
      <c r="C40" s="65" t="str">
        <f ca="1">_xlfn.CONCAT(Tableau1[[#This Row],[Compte ILN]],"-",Tableau1[[#This Row],[Compte Shipper]],"-",Tableau1[[#This Row],[POL]],"-",Tableau1[[#This Row],[Compte Consignee]])</f>
        <v>92000100-90016100-FRLEH-90016000</v>
      </c>
      <c r="D40" s="64" t="str">
        <f ca="1">_xlfn.CONCAT(Tableau1[[#This Row],[Compte ILN]],"-",Tableau1[[#This Row],[Compte Shipper]],"-",Tableau1[[#This Row],[POL]])</f>
        <v>92000100-90016100-FRLEH</v>
      </c>
      <c r="E40" s="396" t="str">
        <f ca="1">_xlfn.CONCAT(Tableau1[[#This Row],[POL]],"-",Tableau1[[#This Row],[Carrier]],"-",Tableau1[[#This Row],[POD]])</f>
        <v>FRLEH-Maersk-ARBUE</v>
      </c>
      <c r="F40" s="64" t="str">
        <f>_xlfn.CONCAT(Tableau1[[#This Row],[ID]],"-","Actif")</f>
        <v>926-Actif</v>
      </c>
      <c r="G40" s="64" t="str">
        <f ca="1">_xlfn.CONCAT(Tableau1[[#This Row],[POD]],"-",Tableau1[[#This Row],[Code PFI]],"-",Tableau1[[#This Row],[Compte Consignee]])</f>
        <v>ARBUE---90016000</v>
      </c>
      <c r="H40" s="396" t="str">
        <f ca="1">_xlfn.CONCAT(IF(Tableau1[[#This Row],[Name ILN]]=Tableau1[[#This Row],[Name Shipper]],Tableau1[[#This Row],[Name ILN]],Tableau1[[#This Row],[Compte Shipper]]),Tableau1[[#This Row],[POL]],Tableau1[[#This Row],[Name Site]])</f>
        <v>90016100FRLEHCORDOBA</v>
      </c>
      <c r="I4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CORDOBA-ILN FR-RENAULT CLEON-926-FRLEH-Maersk-ARBUE-</v>
      </c>
      <c r="J40" s="397" t="str">
        <f ca="1">IF(COUNTIF(I:I,Tableau1[[#This Row],[Plant-ILN-shipper-POL-Carrier-POD-PFI]])=1,"Non","Oui")</f>
        <v>Non</v>
      </c>
      <c r="K40" s="398" t="str">
        <f>VLOOKUP(Tableau1[[#This Row],[Name Site]],Plant_AILN!A:D,4,FALSE)</f>
        <v>ARGENTINA</v>
      </c>
      <c r="L40" s="285" t="s">
        <v>169</v>
      </c>
      <c r="M40" s="480">
        <f>VLOOKUP(Tableau1[[#This Row],[Name Site]],Plant_AILN!A:C,3,FALSE)</f>
        <v>90016000</v>
      </c>
      <c r="N40" s="55">
        <f>VLOOKUP(Tableau1[[#This Row],[Compte Consignee]],Order!C:D,2,FALSE)</f>
        <v>7</v>
      </c>
      <c r="O40" s="66" t="s">
        <v>1</v>
      </c>
      <c r="P40" s="481">
        <f>VLOOKUP(Tableau1[[#This Row],[Name ILN]],Plant_AILN!F:G,2,FALSE)</f>
        <v>92000100</v>
      </c>
      <c r="Q40" s="50">
        <f>VLOOKUP(Tableau1[[#This Row],[Compte ILN]],'DATA ILN'!D:I,6,FALSE)</f>
        <v>9</v>
      </c>
      <c r="R40" s="50">
        <f ca="1">IFERROR(VLOOKUP(Tableau1[[#This Row],[Key(Compte ILN - shipper - POL - plant)]],'DATA ILN'!A:J,10,FALSE),VLOOKUP(Tableau1[[#This Row],[Key(Compte ILN - shipper - POL)]],'DATA ILN'!B:J,9,FALSE))</f>
        <v>14</v>
      </c>
      <c r="S40" s="50">
        <f ca="1">IFERROR(VLOOKUP(Tableau1[[#This Row],[Key(Compte ILN - shipper - POL - plant)]],'DATA ILN'!A:K,11,FALSE),VLOOKUP(Tableau1[[#This Row],[Key(Compte ILN - shipper - POL)]],'DATA ILN'!B:K,10,FALSE))</f>
        <v>5</v>
      </c>
      <c r="T40" s="50">
        <f ca="1">IFERROR(VLOOKUP(Tableau1[[#This Row],[Key(Compte ILN - shipper - POL - plant)]],'DATA ILN'!A:L,12,FALSE),VLOOKUP(Tableau1[[#This Row],[Key(Compte ILN - shipper - POL)]],'DATA ILN'!B:L,11,FALSE))</f>
        <v>7</v>
      </c>
      <c r="U40" s="50">
        <f ca="1">Tableau1[[#This Row],[Day ILN Order]]+Tableau1[[#This Row],[Delivery time to ILN/Shipper]]-1</f>
        <v>22</v>
      </c>
      <c r="V40" s="50">
        <f ca="1">IFERROR(VLOOKUP(Tableau1[[#This Row],[Key(Compte ILN - shipper - POL - plant)]],'DATA ILN'!A:N,14,FALSE),VLOOKUP(Tableau1[[#This Row],[Key(Compte ILN - shipper - POL)]],'DATA ILN'!B:N,13,FALSE))</f>
        <v>1</v>
      </c>
      <c r="W40" s="53">
        <f ca="1">IFERROR(VLOOKUP(Tableau1[[#This Row],[Key(Compte ILN - shipper - POL - plant)]],'DATA ILN'!A:P,16,FALSE),VLOOKUP(Tableau1[[#This Row],[Key(Compte ILN - shipper - POL)]],'DATA ILN'!B:P,15,FALSE))</f>
        <v>3</v>
      </c>
      <c r="X40" s="283" t="s">
        <v>170</v>
      </c>
      <c r="Y40" s="482">
        <f>IFERROR(VLOOKUP(Tableau1[[#This Row],[Name Shipper]],Plant_AILN!L:M,2,FALSE),0)</f>
        <v>90016100</v>
      </c>
      <c r="Z40" s="358">
        <v>926</v>
      </c>
      <c r="AA40" s="353" t="str">
        <f ca="1">VLOOKUP(Tableau1[[#This Row],[Key(ID-Actif)]],'DATA BTO'!A:N,5,FALSE)</f>
        <v>FRLEH</v>
      </c>
      <c r="AB40" s="3" t="str">
        <f ca="1">VLOOKUP(Tableau1[[#This Row],[Key(ID-Actif)]],'DATA BTO'!A:N,6,FALSE)</f>
        <v>Maersk</v>
      </c>
      <c r="AC40" s="50">
        <f ca="1">VLOOKUP(Tableau1[[#This Row],[Key(ID-Actif)]],'DATA BTO'!A:N,7,FALSE)</f>
        <v>10</v>
      </c>
      <c r="AD40" s="50">
        <f ca="1">VLOOKUP(Tableau1[[#This Row],[Key(ID-Actif)]],'DATA BTO'!A:N,8,FALSE)</f>
        <v>12</v>
      </c>
      <c r="AE40" s="50">
        <f ca="1">IF(Tableau1[[#This Row],[First Day to POL]]&lt;=Tableau1[[#This Row],[Day Cut Off]],Tableau1[[#This Row],[Day ETD]],Tableau1[[#This Row],[Day ETD]]+7)</f>
        <v>12</v>
      </c>
      <c r="AF40" s="50">
        <f ca="1">VLOOKUP(Tableau1[[#This Row],[Key(ID-Actif)]],'DATA BTO'!A:N,9,FALSE)</f>
        <v>27</v>
      </c>
      <c r="AG40" s="3" t="str">
        <f ca="1">VLOOKUP(Tableau1[[#This Row],[Key(ID-Actif)]],'DATA BTO'!A:N,10,FALSE)</f>
        <v>ARBUE</v>
      </c>
      <c r="AH40" s="3">
        <f ca="1">VLOOKUP(Tableau1[[#This Row],[Key(ID-Actif)]],'DATA BTO'!A:N,11,FALSE)</f>
        <v>3</v>
      </c>
      <c r="AI40" s="50">
        <f ca="1">VLOOKUP(Tableau1[[#This Row],[Key(ID-Actif)]],'DATA BTO'!A:N,12,FALSE)</f>
        <v>7</v>
      </c>
      <c r="AJ40" s="53" t="str">
        <f ca="1">VLOOKUP(Tableau1[[#This Row],[Key(ID-Actif)]],'DATA BTO'!A:N,14,FALSE)</f>
        <v>Max</v>
      </c>
      <c r="AK40" s="54">
        <f ca="1">VLOOKUP(Tableau1[[#This Row],[Key(POD -PFI- Usine)]],'DATA Consignee'!A:F,6,FALSE)</f>
        <v>3</v>
      </c>
      <c r="AL40" s="125"/>
      <c r="AM40" s="483" t="str">
        <f>IF(Tableau1[[#This Row],[Name PFI/CDD]]="","-",VLOOKUP(Tableau1[[#This Row],[Name PFI/CDD]],Plant_AILN!I:J,2,FALSE))</f>
        <v>-</v>
      </c>
      <c r="AN4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0" s="2">
        <f ca="1">VLOOKUP(Tableau1[[#This Row],[Key(POD -PFI- Usine)]],'DATA Consignee'!A:J,10,FALSE)</f>
        <v>0</v>
      </c>
      <c r="AQ40" s="50">
        <f ca="1">VLOOKUP(Tableau1[[#This Row],[Key(POD -PFI- Usine)]],'DATA Consignee'!A:N,14,FALSE)</f>
        <v>3</v>
      </c>
      <c r="AR4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4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40" s="50">
        <f ca="1">Tableau1[[#This Row],[Transit time]]+Tableau1[[#This Row],[Time for security]]+Tableau1[[#This Row],[Time for security2 buffer]]</f>
        <v>37</v>
      </c>
      <c r="AU4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40" s="389">
        <f ca="1">Tableau1[[#This Row],[Leadtime SI2C]]+Tableau1[[#This Row],[First Receipt Days]]-Tableau1[[#This Row],[Day Customer Order]]+1</f>
        <v>78</v>
      </c>
      <c r="AW40" s="117">
        <f ca="1">IF(Tableau1[[#This Row],[Name ILN]]&lt;&gt;"SFK Freight Forwarder",Tableau1[[#This Row],[Cust. Leadtime]],Tableau1[[#This Row],[Leadtime SI2C]])</f>
        <v>78</v>
      </c>
      <c r="AX40" s="51" t="str">
        <f>VLOOKUP(Tableau1[[#This Row],[ID]],'DATA BTO'!B:P,15,FALSE)</f>
        <v>Horse &gt; Nissan</v>
      </c>
      <c r="AY40" s="328">
        <f ca="1">IFERROR(VLOOKUP(Tableau1[[#This Row],[Key(ID-Actif)]],'DATA BTO'!A:N,4,FALSE),VLOOKUP(Tableau1[[#This Row],[ID]],'DATA BTO'!B:N,3,FALSE))</f>
        <v>46142</v>
      </c>
      <c r="AZ40" s="50" t="str">
        <f>IF(ISNUMBER(Tableau1[[#This Row],[Day Customer Order]]),"-","Please Check 'Name' information in 'Order' Sheet to make sure they have information")</f>
        <v>-</v>
      </c>
      <c r="BA4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0" s="50"/>
    </row>
    <row r="41" spans="2:57">
      <c r="B41" s="447" t="str">
        <f>_xlfn.CONCAT(Tableau1[[#This Row],[Name ILN]],"-",Tableau1[[#This Row],[Name Shipper]],"-",Tableau1[[#This Row],[Name Site]])</f>
        <v>KWE Shanghai-KWE Shanghai-OYAK MEKA</v>
      </c>
      <c r="C41" s="65" t="str">
        <f ca="1">_xlfn.CONCAT(Tableau1[[#This Row],[Compte ILN]],"-",Tableau1[[#This Row],[Compte Shipper]],"-",Tableau1[[#This Row],[POL]],"-",Tableau1[[#This Row],[Compte Consignee]])</f>
        <v>26037000-26037000-CNSHA-90014400</v>
      </c>
      <c r="D41" s="64" t="str">
        <f ca="1">_xlfn.CONCAT(Tableau1[[#This Row],[Compte ILN]],"-",Tableau1[[#This Row],[Compte Shipper]],"-",Tableau1[[#This Row],[POL]])</f>
        <v>26037000-26037000-CNSHA</v>
      </c>
      <c r="E41" s="396" t="str">
        <f ca="1">_xlfn.CONCAT(Tableau1[[#This Row],[POL]],"-",Tableau1[[#This Row],[Carrier]],"-",Tableau1[[#This Row],[POD]])</f>
        <v>CNSHA-CMA-CGM-TRIZT</v>
      </c>
      <c r="F41" s="64" t="str">
        <f>_xlfn.CONCAT(Tableau1[[#This Row],[ID]],"-","Actif")</f>
        <v>927-Actif</v>
      </c>
      <c r="G41" s="64" t="str">
        <f ca="1">_xlfn.CONCAT(Tableau1[[#This Row],[POD]],"-",Tableau1[[#This Row],[Code PFI]],"-",Tableau1[[#This Row],[Compte Consignee]])</f>
        <v>TRIZT---90014400</v>
      </c>
      <c r="H41" s="396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ShanghaiCNSHAOYAK MEKA</v>
      </c>
      <c r="I4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MEKA-KWE Shanghai-KWE Shanghai-927-CNSHA-CMA-CGM-TRIZT-</v>
      </c>
      <c r="J41" s="397" t="str">
        <f ca="1">IF(COUNTIF(I:I,Tableau1[[#This Row],[Plant-ILN-shipper-POL-Carrier-POD-PFI]])=1,"Non","Oui")</f>
        <v>Non</v>
      </c>
      <c r="K41" s="126" t="str">
        <f>VLOOKUP(Tableau1[[#This Row],[Name Site]],Plant_AILN!A:D,4,FALSE)</f>
        <v>TURKEY</v>
      </c>
      <c r="L41" s="363" t="s">
        <v>164</v>
      </c>
      <c r="M41" s="480">
        <f>VLOOKUP(Tableau1[[#This Row],[Name Site]],Plant_AILN!A:C,3,FALSE)</f>
        <v>90014400</v>
      </c>
      <c r="N41" s="55">
        <f>VLOOKUP(Tableau1[[#This Row],[Compte Consignee]],Order!C:D,2,FALSE)</f>
        <v>2</v>
      </c>
      <c r="O41" s="114" t="s">
        <v>171</v>
      </c>
      <c r="P41" s="481">
        <f>VLOOKUP(Tableau1[[#This Row],[Name ILN]],Plant_AILN!F:G,2,FALSE)</f>
        <v>26037000</v>
      </c>
      <c r="Q41" s="50">
        <f>VLOOKUP(Tableau1[[#This Row],[Compte ILN]],'DATA ILN'!D:I,6,FALSE)</f>
        <v>9</v>
      </c>
      <c r="R41" s="50">
        <f ca="1">IFERROR(VLOOKUP(Tableau1[[#This Row],[Key(Compte ILN - shipper - POL - plant)]],'DATA ILN'!A:J,10,FALSE),VLOOKUP(Tableau1[[#This Row],[Key(Compte ILN - shipper - POL)]],'DATA ILN'!B:J,9,FALSE))</f>
        <v>14</v>
      </c>
      <c r="S41" s="50">
        <f ca="1">IFERROR(VLOOKUP(Tableau1[[#This Row],[Key(Compte ILN - shipper - POL - plant)]],'DATA ILN'!A:K,11,FALSE),VLOOKUP(Tableau1[[#This Row],[Key(Compte ILN - shipper - POL)]],'DATA ILN'!B:K,10,FALSE))</f>
        <v>5</v>
      </c>
      <c r="T41" s="50">
        <f ca="1">IFERROR(VLOOKUP(Tableau1[[#This Row],[Key(Compte ILN - shipper - POL - plant)]],'DATA ILN'!A:L,12,FALSE),VLOOKUP(Tableau1[[#This Row],[Key(Compte ILN - shipper - POL)]],'DATA ILN'!B:L,11,FALSE))</f>
        <v>7</v>
      </c>
      <c r="U41" s="50">
        <f ca="1">Tableau1[[#This Row],[Day ILN Order]]+Tableau1[[#This Row],[Delivery time to ILN/Shipper]]-1</f>
        <v>22</v>
      </c>
      <c r="V41" s="50">
        <f ca="1">IFERROR(VLOOKUP(Tableau1[[#This Row],[Key(Compte ILN - shipper - POL - plant)]],'DATA ILN'!A:N,14,FALSE),VLOOKUP(Tableau1[[#This Row],[Key(Compte ILN - shipper - POL)]],'DATA ILN'!B:N,13,FALSE))</f>
        <v>1</v>
      </c>
      <c r="W41" s="53">
        <f ca="1">IFERROR(VLOOKUP(Tableau1[[#This Row],[Key(Compte ILN - shipper - POL - plant)]],'DATA ILN'!A:P,16,FALSE),VLOOKUP(Tableau1[[#This Row],[Key(Compte ILN - shipper - POL)]],'DATA ILN'!B:P,15,FALSE))</f>
        <v>2</v>
      </c>
      <c r="X41" s="283" t="s">
        <v>171</v>
      </c>
      <c r="Y41" s="482">
        <f>IFERROR(VLOOKUP(Tableau1[[#This Row],[Name Shipper]],Plant_AILN!L:M,2,FALSE),0)</f>
        <v>26037000</v>
      </c>
      <c r="Z41" s="358">
        <v>927</v>
      </c>
      <c r="AA41" s="353" t="str">
        <f ca="1">VLOOKUP(Tableau1[[#This Row],[Key(ID-Actif)]],'DATA BTO'!A:N,5,FALSE)</f>
        <v>CNSHA</v>
      </c>
      <c r="AB41" s="3" t="str">
        <f ca="1">VLOOKUP(Tableau1[[#This Row],[Key(ID-Actif)]],'DATA BTO'!A:N,6,FALSE)</f>
        <v>CMA-CGM</v>
      </c>
      <c r="AC41" s="50">
        <f ca="1">VLOOKUP(Tableau1[[#This Row],[Key(ID-Actif)]],'DATA BTO'!A:N,7,FALSE)</f>
        <v>5</v>
      </c>
      <c r="AD41" s="50">
        <f ca="1">VLOOKUP(Tableau1[[#This Row],[Key(ID-Actif)]],'DATA BTO'!A:N,8,FALSE)</f>
        <v>9</v>
      </c>
      <c r="AE41" s="50">
        <f ca="1">IF(Tableau1[[#This Row],[First Day to POL]]&lt;=Tableau1[[#This Row],[Day Cut Off]],Tableau1[[#This Row],[Day ETD]],Tableau1[[#This Row],[Day ETD]]+7)</f>
        <v>9</v>
      </c>
      <c r="AF41" s="50">
        <f ca="1">VLOOKUP(Tableau1[[#This Row],[Key(ID-Actif)]],'DATA BTO'!A:N,9,FALSE)</f>
        <v>52</v>
      </c>
      <c r="AG41" s="3" t="str">
        <f ca="1">VLOOKUP(Tableau1[[#This Row],[Key(ID-Actif)]],'DATA BTO'!A:N,10,FALSE)</f>
        <v>TRIZT</v>
      </c>
      <c r="AH41" s="3">
        <f ca="1">VLOOKUP(Tableau1[[#This Row],[Key(ID-Actif)]],'DATA BTO'!A:N,11,FALSE)</f>
        <v>3</v>
      </c>
      <c r="AI41" s="50">
        <f ca="1">VLOOKUP(Tableau1[[#This Row],[Key(ID-Actif)]],'DATA BTO'!A:N,12,FALSE)</f>
        <v>0</v>
      </c>
      <c r="AJ41" s="53" t="str">
        <f ca="1">VLOOKUP(Tableau1[[#This Row],[Key(ID-Actif)]],'DATA BTO'!A:N,14,FALSE)</f>
        <v>Marc-Aurele</v>
      </c>
      <c r="AK41" s="54">
        <f ca="1">VLOOKUP(Tableau1[[#This Row],[Key(POD -PFI- Usine)]],'DATA Consignee'!A:F,6,FALSE)</f>
        <v>4</v>
      </c>
      <c r="AL41" s="125"/>
      <c r="AM41" s="483" t="str">
        <f>IF(Tableau1[[#This Row],[Name PFI/CDD]]="","-",VLOOKUP(Tableau1[[#This Row],[Name PFI/CDD]],Plant_AILN!I:J,2,FALSE))</f>
        <v>-</v>
      </c>
      <c r="AN4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1" s="2">
        <f ca="1">VLOOKUP(Tableau1[[#This Row],[Key(POD -PFI- Usine)]],'DATA Consignee'!A:J,10,FALSE)</f>
        <v>0</v>
      </c>
      <c r="AQ41" s="50">
        <f ca="1">VLOOKUP(Tableau1[[#This Row],[Key(POD -PFI- Usine)]],'DATA Consignee'!A:N,14,FALSE)</f>
        <v>2</v>
      </c>
      <c r="AR4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4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41" s="50">
        <f ca="1">Tableau1[[#This Row],[Transit time]]+Tableau1[[#This Row],[Time for security]]+Tableau1[[#This Row],[Time for security2 buffer]]</f>
        <v>55</v>
      </c>
      <c r="AU4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41" s="389">
        <f ca="1">Tableau1[[#This Row],[Leadtime SI2C]]+Tableau1[[#This Row],[First Receipt Days]]-Tableau1[[#This Row],[Day Customer Order]]+1</f>
        <v>97</v>
      </c>
      <c r="AW41" s="117">
        <f ca="1">IF(Tableau1[[#This Row],[Name ILN]]&lt;&gt;"SFK Freight Forwarder",Tableau1[[#This Row],[Cust. Leadtime]],Tableau1[[#This Row],[Leadtime SI2C]])</f>
        <v>97</v>
      </c>
      <c r="AX41" s="51" t="str">
        <f>VLOOKUP(Tableau1[[#This Row],[ID]],'DATA BTO'!B:P,15,FALSE)</f>
        <v>Renault &gt; Horse</v>
      </c>
      <c r="AY41" s="328">
        <f ca="1">IFERROR(VLOOKUP(Tableau1[[#This Row],[Key(ID-Actif)]],'DATA BTO'!A:N,4,FALSE),VLOOKUP(Tableau1[[#This Row],[ID]],'DATA BTO'!B:N,3,FALSE))</f>
        <v>46142</v>
      </c>
      <c r="AZ41" s="50" t="str">
        <f>IF(ISNUMBER(Tableau1[[#This Row],[Day Customer Order]]),"-","Please Check 'Name' information in 'Order' Sheet to make sure they have information")</f>
        <v>-</v>
      </c>
      <c r="BA4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1" s="50"/>
    </row>
    <row r="42" spans="2:57">
      <c r="B42" s="65" t="str">
        <f>_xlfn.CONCAT(Tableau1[[#This Row],[Name ILN]],"-",Tableau1[[#This Row],[Name Shipper]],"-",Tableau1[[#This Row],[Name Site]])</f>
        <v>ILN VLL-ILN VLL-Curitiba CMO</v>
      </c>
      <c r="C42" s="65" t="str">
        <f ca="1">_xlfn.CONCAT(Tableau1[[#This Row],[Compte ILN]],"-",Tableau1[[#This Row],[Compte Shipper]],"-",Tableau1[[#This Row],[POL]],"-",Tableau1[[#This Row],[Compte Consignee]])</f>
        <v>91018400-91018400-ESVLC-90018600</v>
      </c>
      <c r="D42" s="64" t="str">
        <f ca="1">_xlfn.CONCAT(Tableau1[[#This Row],[Compte ILN]],"-",Tableau1[[#This Row],[Compte Shipper]],"-",Tableau1[[#This Row],[POL]])</f>
        <v>91018400-91018400-ESVLC</v>
      </c>
      <c r="E42" s="396" t="str">
        <f ca="1">_xlfn.CONCAT(Tableau1[[#This Row],[POL]],"-",Tableau1[[#This Row],[Carrier]],"-",Tableau1[[#This Row],[POD]])</f>
        <v>ESVLC-CMA-CGM-BRPNG</v>
      </c>
      <c r="F42" s="64" t="str">
        <f>_xlfn.CONCAT(Tableau1[[#This Row],[ID]],"-","Actif")</f>
        <v>928-Actif</v>
      </c>
      <c r="G42" s="64" t="str">
        <f ca="1">_xlfn.CONCAT(Tableau1[[#This Row],[POD]],"-",Tableau1[[#This Row],[Code PFI]],"-",Tableau1[[#This Row],[Compte Consignee]])</f>
        <v>BRPNG---90018600</v>
      </c>
      <c r="H42" s="396" t="str">
        <f ca="1">_xlfn.CONCAT(IF(Tableau1[[#This Row],[Name ILN]]=Tableau1[[#This Row],[Name Shipper]],Tableau1[[#This Row],[Name ILN]],Tableau1[[#This Row],[Compte Shipper]]),Tableau1[[#This Row],[POL]],Tableau1[[#This Row],[Name Site]])</f>
        <v>ILN VLLESVLCCuritiba CMO</v>
      </c>
      <c r="I4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VLL-ILN VLL-928-ESVLC-CMA-CGM-BRPNG-</v>
      </c>
      <c r="J42" s="397" t="str">
        <f ca="1">IF(COUNTIF(I:I,Tableau1[[#This Row],[Plant-ILN-shipper-POL-Carrier-POD-PFI]])=1,"Non","Oui")</f>
        <v>Non</v>
      </c>
      <c r="K42" s="399" t="str">
        <f>VLOOKUP(Tableau1[[#This Row],[Name Site]],Plant_AILN!A:D,4,FALSE)</f>
        <v>BRAZIL</v>
      </c>
      <c r="L42" s="10" t="s">
        <v>154</v>
      </c>
      <c r="M42" s="480">
        <f>VLOOKUP(Tableau1[[#This Row],[Name Site]],Plant_AILN!A:C,3,FALSE)</f>
        <v>90018600</v>
      </c>
      <c r="N42" s="55">
        <f>VLOOKUP(Tableau1[[#This Row],[Compte Consignee]],Order!C:D,2,FALSE)</f>
        <v>7</v>
      </c>
      <c r="O42" s="114" t="s">
        <v>144</v>
      </c>
      <c r="P42" s="481">
        <f>VLOOKUP(Tableau1[[#This Row],[Name ILN]],Plant_AILN!F:G,2,FALSE)</f>
        <v>91018400</v>
      </c>
      <c r="Q42" s="50">
        <f>VLOOKUP(Tableau1[[#This Row],[Compte ILN]],'DATA ILN'!D:I,6,FALSE)</f>
        <v>9</v>
      </c>
      <c r="R42" s="50">
        <f ca="1">IFERROR(VLOOKUP(Tableau1[[#This Row],[Key(Compte ILN - shipper - POL - plant)]],'DATA ILN'!A:J,10,FALSE),VLOOKUP(Tableau1[[#This Row],[Key(Compte ILN - shipper - POL)]],'DATA ILN'!B:J,9,FALSE))</f>
        <v>7</v>
      </c>
      <c r="S42" s="50">
        <f ca="1">IFERROR(VLOOKUP(Tableau1[[#This Row],[Key(Compte ILN - shipper - POL - plant)]],'DATA ILN'!A:K,11,FALSE),VLOOKUP(Tableau1[[#This Row],[Key(Compte ILN - shipper - POL)]],'DATA ILN'!B:K,10,FALSE))</f>
        <v>5</v>
      </c>
      <c r="T42" s="50">
        <f ca="1">IFERROR(VLOOKUP(Tableau1[[#This Row],[Key(Compte ILN - shipper - POL - plant)]],'DATA ILN'!A:L,12,FALSE),VLOOKUP(Tableau1[[#This Row],[Key(Compte ILN - shipper - POL)]],'DATA ILN'!B:L,11,FALSE))</f>
        <v>7</v>
      </c>
      <c r="U42" s="50">
        <f ca="1">Tableau1[[#This Row],[Day ILN Order]]+Tableau1[[#This Row],[Delivery time to ILN/Shipper]]-1</f>
        <v>15</v>
      </c>
      <c r="V42" s="50">
        <f ca="1">IFERROR(VLOOKUP(Tableau1[[#This Row],[Key(Compte ILN - shipper - POL - plant)]],'DATA ILN'!A:N,14,FALSE),VLOOKUP(Tableau1[[#This Row],[Key(Compte ILN - shipper - POL)]],'DATA ILN'!B:N,13,FALSE))</f>
        <v>2</v>
      </c>
      <c r="W42" s="53">
        <f ca="1">IFERROR(VLOOKUP(Tableau1[[#This Row],[Key(Compte ILN - shipper - POL - plant)]],'DATA ILN'!A:P,16,FALSE),VLOOKUP(Tableau1[[#This Row],[Key(Compte ILN - shipper - POL)]],'DATA ILN'!B:P,15,FALSE))</f>
        <v>5</v>
      </c>
      <c r="X42" s="283" t="s">
        <v>144</v>
      </c>
      <c r="Y42" s="482">
        <f>IFERROR(VLOOKUP(Tableau1[[#This Row],[Name Shipper]],Plant_AILN!L:M,2,FALSE),0)</f>
        <v>91018400</v>
      </c>
      <c r="Z42" s="358">
        <v>928</v>
      </c>
      <c r="AA42" s="353" t="str">
        <f ca="1">VLOOKUP(Tableau1[[#This Row],[Key(ID-Actif)]],'DATA BTO'!A:N,5,FALSE)</f>
        <v>ESVLC</v>
      </c>
      <c r="AB42" s="3" t="str">
        <f ca="1">VLOOKUP(Tableau1[[#This Row],[Key(ID-Actif)]],'DATA BTO'!A:N,6,FALSE)</f>
        <v>CMA-CGM</v>
      </c>
      <c r="AC42" s="50">
        <f ca="1">VLOOKUP(Tableau1[[#This Row],[Key(ID-Actif)]],'DATA BTO'!A:N,7,FALSE)</f>
        <v>5</v>
      </c>
      <c r="AD42" s="50">
        <f ca="1">VLOOKUP(Tableau1[[#This Row],[Key(ID-Actif)]],'DATA BTO'!A:N,8,FALSE)</f>
        <v>9</v>
      </c>
      <c r="AE42" s="50">
        <f ca="1">IF(Tableau1[[#This Row],[First Day to POL]]&lt;=Tableau1[[#This Row],[Day Cut Off]],Tableau1[[#This Row],[Day ETD]],Tableau1[[#This Row],[Day ETD]]+7)</f>
        <v>9</v>
      </c>
      <c r="AF42" s="50">
        <f ca="1">VLOOKUP(Tableau1[[#This Row],[Key(ID-Actif)]],'DATA BTO'!A:N,9,FALSE)</f>
        <v>27</v>
      </c>
      <c r="AG42" s="3" t="str">
        <f ca="1">VLOOKUP(Tableau1[[#This Row],[Key(ID-Actif)]],'DATA BTO'!A:N,10,FALSE)</f>
        <v>BRPNG</v>
      </c>
      <c r="AH42" s="3">
        <f ca="1">VLOOKUP(Tableau1[[#This Row],[Key(ID-Actif)]],'DATA BTO'!A:N,11,FALSE)</f>
        <v>3</v>
      </c>
      <c r="AI42" s="50">
        <f ca="1">VLOOKUP(Tableau1[[#This Row],[Key(ID-Actif)]],'DATA BTO'!A:N,12,FALSE)</f>
        <v>7</v>
      </c>
      <c r="AJ42" s="53" t="str">
        <f ca="1">VLOOKUP(Tableau1[[#This Row],[Key(ID-Actif)]],'DATA BTO'!A:N,14,FALSE)</f>
        <v>Max</v>
      </c>
      <c r="AK42" s="54">
        <f ca="1">VLOOKUP(Tableau1[[#This Row],[Key(POD -PFI- Usine)]],'DATA Consignee'!A:F,6,FALSE)</f>
        <v>2</v>
      </c>
      <c r="AL42" s="125"/>
      <c r="AM42" s="483" t="str">
        <f>IF(Tableau1[[#This Row],[Name PFI/CDD]]="","-",VLOOKUP(Tableau1[[#This Row],[Name PFI/CDD]],Plant_AILN!I:J,2,FALSE))</f>
        <v>-</v>
      </c>
      <c r="AN4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2" s="2">
        <f ca="1">VLOOKUP(Tableau1[[#This Row],[Key(POD -PFI- Usine)]],'DATA Consignee'!A:J,10,FALSE)</f>
        <v>0</v>
      </c>
      <c r="AQ42" s="50">
        <f ca="1">VLOOKUP(Tableau1[[#This Row],[Key(POD -PFI- Usine)]],'DATA Consignee'!A:N,14,FALSE)</f>
        <v>2</v>
      </c>
      <c r="AR4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4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42" s="50">
        <f ca="1">Tableau1[[#This Row],[Transit time]]+Tableau1[[#This Row],[Time for security]]+Tableau1[[#This Row],[Time for security2 buffer]]</f>
        <v>37</v>
      </c>
      <c r="AU4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42" s="389">
        <f ca="1">Tableau1[[#This Row],[Leadtime SI2C]]+Tableau1[[#This Row],[First Receipt Days]]-Tableau1[[#This Row],[Day Customer Order]]+1</f>
        <v>64</v>
      </c>
      <c r="AW42" s="117">
        <f ca="1">IF(Tableau1[[#This Row],[Name ILN]]&lt;&gt;"SFK Freight Forwarder",Tableau1[[#This Row],[Cust. Leadtime]],Tableau1[[#This Row],[Leadtime SI2C]])</f>
        <v>64</v>
      </c>
      <c r="AX42" s="51" t="str">
        <f>VLOOKUP(Tableau1[[#This Row],[ID]],'DATA BTO'!B:P,15,FALSE)</f>
        <v>Renault &gt; Horse</v>
      </c>
      <c r="AY42" s="328">
        <f ca="1">IFERROR(VLOOKUP(Tableau1[[#This Row],[Key(ID-Actif)]],'DATA BTO'!A:N,4,FALSE),VLOOKUP(Tableau1[[#This Row],[ID]],'DATA BTO'!B:N,3,FALSE))</f>
        <v>46142</v>
      </c>
      <c r="AZ42" s="50" t="str">
        <f>IF(ISNUMBER(Tableau1[[#This Row],[Day Customer Order]]),"-","Please Check 'Name' information in 'Order' Sheet to make sure they have information")</f>
        <v>-</v>
      </c>
      <c r="BA4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2" s="50"/>
    </row>
    <row r="43" spans="2:57">
      <c r="B43" s="65" t="str">
        <f>_xlfn.CONCAT(Tableau1[[#This Row],[Name ILN]],"-",Tableau1[[#This Row],[Name Shipper]],"-",Tableau1[[#This Row],[Name Site]])</f>
        <v>KWE Shanghai-KWE Shanghai-VALL MONTAGE</v>
      </c>
      <c r="C43" s="65" t="str">
        <f ca="1">_xlfn.CONCAT(Tableau1[[#This Row],[Compte ILN]],"-",Tableau1[[#This Row],[Compte Shipper]],"-",Tableau1[[#This Row],[POL]],"-",Tableau1[[#This Row],[Compte Consignee]])</f>
        <v>26037000-26037000-CNSHA-91017300</v>
      </c>
      <c r="D43" s="64" t="str">
        <f ca="1">_xlfn.CONCAT(Tableau1[[#This Row],[Compte ILN]],"-",Tableau1[[#This Row],[Compte Shipper]],"-",Tableau1[[#This Row],[POL]])</f>
        <v>26037000-26037000-CNSHA</v>
      </c>
      <c r="E43" s="396" t="str">
        <f ca="1">_xlfn.CONCAT(Tableau1[[#This Row],[POL]],"-",Tableau1[[#This Row],[Carrier]],"-",Tableau1[[#This Row],[POD]])</f>
        <v>CNSHA-Hapag Lloyd-ESVLC</v>
      </c>
      <c r="F43" s="64" t="str">
        <f>_xlfn.CONCAT(Tableau1[[#This Row],[ID]],"-","Actif")</f>
        <v>930-Actif</v>
      </c>
      <c r="G43" s="64" t="str">
        <f ca="1">_xlfn.CONCAT(Tableau1[[#This Row],[POD]],"-",Tableau1[[#This Row],[Code PFI]],"-",Tableau1[[#This Row],[Compte Consignee]])</f>
        <v>ESVLC-91018400-91017300</v>
      </c>
      <c r="H43" s="396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ShanghaiCNSHAVALL MONTAGE</v>
      </c>
      <c r="I4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VALL MONTAGE-KWE Shanghai-KWE Shanghai-930-CNSHA-Hapag Lloyd-ESVLC-CDD VLL</v>
      </c>
      <c r="J43" s="397" t="str">
        <f ca="1">IF(COUNTIF(I:I,Tableau1[[#This Row],[Plant-ILN-shipper-POL-Carrier-POD-PFI]])=1,"Non","Oui")</f>
        <v>Non</v>
      </c>
      <c r="K43" s="399" t="str">
        <f>VLOOKUP(Tableau1[[#This Row],[Name Site]],Plant_AILN!A:D,4,FALSE)</f>
        <v>SPAIN</v>
      </c>
      <c r="L43" s="10" t="s">
        <v>172</v>
      </c>
      <c r="M43" s="480">
        <f>VLOOKUP(Tableau1[[#This Row],[Name Site]],Plant_AILN!A:C,3,FALSE)</f>
        <v>91017300</v>
      </c>
      <c r="N43" s="55">
        <f>VLOOKUP(Tableau1[[#This Row],[Compte Consignee]],Order!C:D,2,FALSE)</f>
        <v>7</v>
      </c>
      <c r="O43" s="114" t="s">
        <v>171</v>
      </c>
      <c r="P43" s="481">
        <f>VLOOKUP(Tableau1[[#This Row],[Name ILN]],Plant_AILN!F:G,2,FALSE)</f>
        <v>26037000</v>
      </c>
      <c r="Q43" s="50">
        <f>VLOOKUP(Tableau1[[#This Row],[Compte ILN]],'DATA ILN'!D:I,6,FALSE)</f>
        <v>9</v>
      </c>
      <c r="R43" s="50">
        <f ca="1">IFERROR(VLOOKUP(Tableau1[[#This Row],[Key(Compte ILN - shipper - POL - plant)]],'DATA ILN'!A:J,10,FALSE),VLOOKUP(Tableau1[[#This Row],[Key(Compte ILN - shipper - POL)]],'DATA ILN'!B:J,9,FALSE))</f>
        <v>14</v>
      </c>
      <c r="S43" s="50">
        <f ca="1">IFERROR(VLOOKUP(Tableau1[[#This Row],[Key(Compte ILN - shipper - POL - plant)]],'DATA ILN'!A:K,11,FALSE),VLOOKUP(Tableau1[[#This Row],[Key(Compte ILN - shipper - POL)]],'DATA ILN'!B:K,10,FALSE))</f>
        <v>5</v>
      </c>
      <c r="T43" s="50">
        <f ca="1">IFERROR(VLOOKUP(Tableau1[[#This Row],[Key(Compte ILN - shipper - POL - plant)]],'DATA ILN'!A:L,12,FALSE),VLOOKUP(Tableau1[[#This Row],[Key(Compte ILN - shipper - POL)]],'DATA ILN'!B:L,11,FALSE))</f>
        <v>7</v>
      </c>
      <c r="U43" s="50">
        <f ca="1">Tableau1[[#This Row],[Day ILN Order]]+Tableau1[[#This Row],[Delivery time to ILN/Shipper]]-1</f>
        <v>22</v>
      </c>
      <c r="V43" s="50">
        <f ca="1">IFERROR(VLOOKUP(Tableau1[[#This Row],[Key(Compte ILN - shipper - POL - plant)]],'DATA ILN'!A:N,14,FALSE),VLOOKUP(Tableau1[[#This Row],[Key(Compte ILN - shipper - POL)]],'DATA ILN'!B:N,13,FALSE))</f>
        <v>1</v>
      </c>
      <c r="W43" s="53">
        <f ca="1">IFERROR(VLOOKUP(Tableau1[[#This Row],[Key(Compte ILN - shipper - POL - plant)]],'DATA ILN'!A:P,16,FALSE),VLOOKUP(Tableau1[[#This Row],[Key(Compte ILN - shipper - POL)]],'DATA ILN'!B:P,15,FALSE))</f>
        <v>2</v>
      </c>
      <c r="X43" s="283" t="s">
        <v>171</v>
      </c>
      <c r="Y43" s="482">
        <f>IFERROR(VLOOKUP(Tableau1[[#This Row],[Name Shipper]],Plant_AILN!L:M,2,FALSE),0)</f>
        <v>26037000</v>
      </c>
      <c r="Z43" s="358">
        <v>930</v>
      </c>
      <c r="AA43" s="353" t="str">
        <f ca="1">VLOOKUP(Tableau1[[#This Row],[Key(ID-Actif)]],'DATA BTO'!A:N,5,FALSE)</f>
        <v>CNSHA</v>
      </c>
      <c r="AB43" s="3" t="str">
        <f ca="1">VLOOKUP(Tableau1[[#This Row],[Key(ID-Actif)]],'DATA BTO'!A:N,6,FALSE)</f>
        <v>Hapag Lloyd</v>
      </c>
      <c r="AC43" s="50">
        <f ca="1">VLOOKUP(Tableau1[[#This Row],[Key(ID-Actif)]],'DATA BTO'!A:N,7,FALSE)</f>
        <v>5</v>
      </c>
      <c r="AD43" s="50">
        <f ca="1">VLOOKUP(Tableau1[[#This Row],[Key(ID-Actif)]],'DATA BTO'!A:N,8,FALSE)</f>
        <v>8</v>
      </c>
      <c r="AE43" s="50">
        <f ca="1">IF(Tableau1[[#This Row],[First Day to POL]]&lt;=Tableau1[[#This Row],[Day Cut Off]],Tableau1[[#This Row],[Day ETD]],Tableau1[[#This Row],[Day ETD]]+7)</f>
        <v>8</v>
      </c>
      <c r="AF43" s="50">
        <f ca="1">VLOOKUP(Tableau1[[#This Row],[Key(ID-Actif)]],'DATA BTO'!A:N,9,FALSE)</f>
        <v>40</v>
      </c>
      <c r="AG43" s="3" t="str">
        <f ca="1">VLOOKUP(Tableau1[[#This Row],[Key(ID-Actif)]],'DATA BTO'!A:N,10,FALSE)</f>
        <v>ESVLC</v>
      </c>
      <c r="AH43" s="3">
        <f ca="1">VLOOKUP(Tableau1[[#This Row],[Key(ID-Actif)]],'DATA BTO'!A:N,11,FALSE)</f>
        <v>3</v>
      </c>
      <c r="AI43" s="50">
        <f ca="1">VLOOKUP(Tableau1[[#This Row],[Key(ID-Actif)]],'DATA BTO'!A:N,12,FALSE)</f>
        <v>0</v>
      </c>
      <c r="AJ43" s="53" t="str">
        <f ca="1">VLOOKUP(Tableau1[[#This Row],[Key(ID-Actif)]],'DATA BTO'!A:N,14,FALSE)</f>
        <v>Marc-Aurele</v>
      </c>
      <c r="AK43" s="54">
        <f ca="1">VLOOKUP(Tableau1[[#This Row],[Key(POD -PFI- Usine)]],'DATA Consignee'!A:F,6,FALSE)</f>
        <v>2</v>
      </c>
      <c r="AL43" s="125" t="s">
        <v>166</v>
      </c>
      <c r="AM43" s="483">
        <f>IF(Tableau1[[#This Row],[Name PFI/CDD]]="","-",VLOOKUP(Tableau1[[#This Row],[Name PFI/CDD]],Plant_AILN!I:J,2,FALSE))</f>
        <v>91018400</v>
      </c>
      <c r="AN43" s="6">
        <f ca="1">IF(COUNTIF(buffer_train[AILN],Tableau1[[#This Row],[Name PFI/CDD]])&gt;0,Tableau1[[#This Row],[First Receipt Days]]+Tableau1[[#This Row],[Cust.]]+Tableau1[[#This Row],[Parts Vanning]]+Tableau1[[#This Row],[Transit Time2]],"-")</f>
        <v>80</v>
      </c>
      <c r="AO43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5</v>
      </c>
      <c r="AP43" s="2">
        <f ca="1">VLOOKUP(Tableau1[[#This Row],[Key(POD -PFI- Usine)]],'DATA Consignee'!A:J,10,FALSE)</f>
        <v>3</v>
      </c>
      <c r="AQ43" s="50">
        <f ca="1">VLOOKUP(Tableau1[[#This Row],[Key(POD -PFI- Usine)]],'DATA Consignee'!A:N,14,FALSE)</f>
        <v>3</v>
      </c>
      <c r="AR4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4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43" s="50">
        <f ca="1">Tableau1[[#This Row],[Transit time]]+Tableau1[[#This Row],[Time for security]]+Tableau1[[#This Row],[Time for security2 buffer]]</f>
        <v>43</v>
      </c>
      <c r="AU4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43" s="389">
        <f ca="1">Tableau1[[#This Row],[Leadtime SI2C]]+Tableau1[[#This Row],[First Receipt Days]]-Tableau1[[#This Row],[Day Customer Order]]+1</f>
        <v>85</v>
      </c>
      <c r="AW43" s="117">
        <f ca="1">IF(Tableau1[[#This Row],[Name ILN]]&lt;&gt;"SFK Freight Forwarder",Tableau1[[#This Row],[Cust. Leadtime]],Tableau1[[#This Row],[Leadtime SI2C]])</f>
        <v>85</v>
      </c>
      <c r="AX43" s="51" t="str">
        <f>VLOOKUP(Tableau1[[#This Row],[ID]],'DATA BTO'!B:P,15,FALSE)</f>
        <v>Renault &gt; Horse</v>
      </c>
      <c r="AY43" s="328">
        <f ca="1">IFERROR(VLOOKUP(Tableau1[[#This Row],[Key(ID-Actif)]],'DATA BTO'!A:N,4,FALSE),VLOOKUP(Tableau1[[#This Row],[ID]],'DATA BTO'!B:N,3,FALSE))</f>
        <v>46142</v>
      </c>
      <c r="AZ43" s="50" t="str">
        <f>IF(ISNUMBER(Tableau1[[#This Row],[Day Customer Order]]),"-","Please Check 'Name' information in 'Order' Sheet to make sure they have information")</f>
        <v>-</v>
      </c>
      <c r="BA4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3" s="50"/>
    </row>
    <row r="44" spans="2:57">
      <c r="B44" s="65" t="str">
        <f>_xlfn.CONCAT(Tableau1[[#This Row],[Name ILN]],"-",Tableau1[[#This Row],[Name Shipper]],"-",Tableau1[[#This Row],[Name Site]])</f>
        <v>KWE Shanghai-KWE Shanghai-CACIA</v>
      </c>
      <c r="C44" s="65" t="str">
        <f ca="1">_xlfn.CONCAT(Tableau1[[#This Row],[Compte ILN]],"-",Tableau1[[#This Row],[Compte Shipper]],"-",Tableau1[[#This Row],[POL]],"-",Tableau1[[#This Row],[Compte Consignee]])</f>
        <v>26037000-26037000-CNSHA-90016500</v>
      </c>
      <c r="D44" s="64" t="str">
        <f ca="1">_xlfn.CONCAT(Tableau1[[#This Row],[Compte ILN]],"-",Tableau1[[#This Row],[Compte Shipper]],"-",Tableau1[[#This Row],[POL]])</f>
        <v>26037000-26037000-CNSHA</v>
      </c>
      <c r="E44" s="396" t="str">
        <f ca="1">_xlfn.CONCAT(Tableau1[[#This Row],[POL]],"-",Tableau1[[#This Row],[Carrier]],"-",Tableau1[[#This Row],[POD]])</f>
        <v>CNSHA-Hapag Lloyd-ESVLC</v>
      </c>
      <c r="F44" s="64" t="str">
        <f>_xlfn.CONCAT(Tableau1[[#This Row],[ID]],"-","Actif")</f>
        <v>930-Actif</v>
      </c>
      <c r="G44" s="64" t="str">
        <f ca="1">_xlfn.CONCAT(Tableau1[[#This Row],[POD]],"-",Tableau1[[#This Row],[Code PFI]],"-",Tableau1[[#This Row],[Compte Consignee]])</f>
        <v>ESVLC-91018400-90016500</v>
      </c>
      <c r="H44" s="396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ShanghaiCNSHACACIA</v>
      </c>
      <c r="I4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CACIA-KWE Shanghai-KWE Shanghai-930-CNSHA-Hapag Lloyd-ESVLC-PFI VLL</v>
      </c>
      <c r="J44" s="397" t="str">
        <f ca="1">IF(COUNTIF(I:I,Tableau1[[#This Row],[Plant-ILN-shipper-POL-Carrier-POD-PFI]])=1,"Non","Oui")</f>
        <v>Non</v>
      </c>
      <c r="K44" s="399" t="str">
        <f>VLOOKUP(Tableau1[[#This Row],[Name Site]],Plant_AILN!A:D,4,FALSE)</f>
        <v>PORTUGAL</v>
      </c>
      <c r="L44" s="10" t="s">
        <v>160</v>
      </c>
      <c r="M44" s="480">
        <f>VLOOKUP(Tableau1[[#This Row],[Name Site]],Plant_AILN!A:C,3,FALSE)</f>
        <v>90016500</v>
      </c>
      <c r="N44" s="55">
        <f>VLOOKUP(Tableau1[[#This Row],[Compte Consignee]],Order!C:D,2,FALSE)</f>
        <v>7</v>
      </c>
      <c r="O44" s="114" t="s">
        <v>171</v>
      </c>
      <c r="P44" s="481">
        <f>VLOOKUP(Tableau1[[#This Row],[Name ILN]],Plant_AILN!F:G,2,FALSE)</f>
        <v>26037000</v>
      </c>
      <c r="Q44" s="50">
        <f>VLOOKUP(Tableau1[[#This Row],[Compte ILN]],'DATA ILN'!D:I,6,FALSE)</f>
        <v>9</v>
      </c>
      <c r="R44" s="50">
        <f ca="1">IFERROR(VLOOKUP(Tableau1[[#This Row],[Key(Compte ILN - shipper - POL - plant)]],'DATA ILN'!A:J,10,FALSE),VLOOKUP(Tableau1[[#This Row],[Key(Compte ILN - shipper - POL)]],'DATA ILN'!B:J,9,FALSE))</f>
        <v>14</v>
      </c>
      <c r="S44" s="50">
        <f ca="1">IFERROR(VLOOKUP(Tableau1[[#This Row],[Key(Compte ILN - shipper - POL - plant)]],'DATA ILN'!A:K,11,FALSE),VLOOKUP(Tableau1[[#This Row],[Key(Compte ILN - shipper - POL)]],'DATA ILN'!B:K,10,FALSE))</f>
        <v>5</v>
      </c>
      <c r="T44" s="50">
        <f ca="1">IFERROR(VLOOKUP(Tableau1[[#This Row],[Key(Compte ILN - shipper - POL - plant)]],'DATA ILN'!A:L,12,FALSE),VLOOKUP(Tableau1[[#This Row],[Key(Compte ILN - shipper - POL)]],'DATA ILN'!B:L,11,FALSE))</f>
        <v>7</v>
      </c>
      <c r="U44" s="50">
        <f ca="1">Tableau1[[#This Row],[Day ILN Order]]+Tableau1[[#This Row],[Delivery time to ILN/Shipper]]-1</f>
        <v>22</v>
      </c>
      <c r="V44" s="50">
        <f ca="1">IFERROR(VLOOKUP(Tableau1[[#This Row],[Key(Compte ILN - shipper - POL - plant)]],'DATA ILN'!A:N,14,FALSE),VLOOKUP(Tableau1[[#This Row],[Key(Compte ILN - shipper - POL)]],'DATA ILN'!B:N,13,FALSE))</f>
        <v>1</v>
      </c>
      <c r="W44" s="53">
        <f ca="1">IFERROR(VLOOKUP(Tableau1[[#This Row],[Key(Compte ILN - shipper - POL - plant)]],'DATA ILN'!A:P,16,FALSE),VLOOKUP(Tableau1[[#This Row],[Key(Compte ILN - shipper - POL)]],'DATA ILN'!B:P,15,FALSE))</f>
        <v>2</v>
      </c>
      <c r="X44" s="283" t="s">
        <v>171</v>
      </c>
      <c r="Y44" s="482">
        <f>IFERROR(VLOOKUP(Tableau1[[#This Row],[Name Shipper]],Plant_AILN!L:M,2,FALSE),0)</f>
        <v>26037000</v>
      </c>
      <c r="Z44" s="358">
        <v>930</v>
      </c>
      <c r="AA44" s="353" t="str">
        <f ca="1">VLOOKUP(Tableau1[[#This Row],[Key(ID-Actif)]],'DATA BTO'!A:N,5,FALSE)</f>
        <v>CNSHA</v>
      </c>
      <c r="AB44" s="3" t="str">
        <f ca="1">VLOOKUP(Tableau1[[#This Row],[Key(ID-Actif)]],'DATA BTO'!A:N,6,FALSE)</f>
        <v>Hapag Lloyd</v>
      </c>
      <c r="AC44" s="50">
        <f ca="1">VLOOKUP(Tableau1[[#This Row],[Key(ID-Actif)]],'DATA BTO'!A:N,7,FALSE)</f>
        <v>5</v>
      </c>
      <c r="AD44" s="50">
        <f ca="1">VLOOKUP(Tableau1[[#This Row],[Key(ID-Actif)]],'DATA BTO'!A:N,8,FALSE)</f>
        <v>8</v>
      </c>
      <c r="AE44" s="50">
        <f ca="1">IF(Tableau1[[#This Row],[First Day to POL]]&lt;=Tableau1[[#This Row],[Day Cut Off]],Tableau1[[#This Row],[Day ETD]],Tableau1[[#This Row],[Day ETD]]+7)</f>
        <v>8</v>
      </c>
      <c r="AF44" s="50">
        <f ca="1">VLOOKUP(Tableau1[[#This Row],[Key(ID-Actif)]],'DATA BTO'!A:N,9,FALSE)</f>
        <v>40</v>
      </c>
      <c r="AG44" s="3" t="str">
        <f ca="1">VLOOKUP(Tableau1[[#This Row],[Key(ID-Actif)]],'DATA BTO'!A:N,10,FALSE)</f>
        <v>ESVLC</v>
      </c>
      <c r="AH44" s="3">
        <f ca="1">VLOOKUP(Tableau1[[#This Row],[Key(ID-Actif)]],'DATA BTO'!A:N,11,FALSE)</f>
        <v>3</v>
      </c>
      <c r="AI44" s="50">
        <f ca="1">VLOOKUP(Tableau1[[#This Row],[Key(ID-Actif)]],'DATA BTO'!A:N,12,FALSE)</f>
        <v>0</v>
      </c>
      <c r="AJ44" s="53" t="str">
        <f ca="1">VLOOKUP(Tableau1[[#This Row],[Key(ID-Actif)]],'DATA BTO'!A:N,14,FALSE)</f>
        <v>Marc-Aurele</v>
      </c>
      <c r="AK44" s="54">
        <f ca="1">VLOOKUP(Tableau1[[#This Row],[Key(POD -PFI- Usine)]],'DATA Consignee'!A:F,6,FALSE)</f>
        <v>3</v>
      </c>
      <c r="AL44" s="125" t="s">
        <v>161</v>
      </c>
      <c r="AM44" s="483">
        <f>IF(Tableau1[[#This Row],[Name PFI/CDD]]="","-",VLOOKUP(Tableau1[[#This Row],[Name PFI/CDD]],Plant_AILN!I:J,2,FALSE))</f>
        <v>91018400</v>
      </c>
      <c r="AN44" s="6">
        <f ca="1">IF(COUNTIF(buffer_train[AILN],Tableau1[[#This Row],[Name PFI/CDD]])&gt;0,Tableau1[[#This Row],[First Receipt Days]]+Tableau1[[#This Row],[Cust.]]+Tableau1[[#This Row],[Parts Vanning]]+Tableau1[[#This Row],[Transit Time2]],"-")</f>
        <v>81</v>
      </c>
      <c r="AO44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4</v>
      </c>
      <c r="AP44" s="2">
        <f ca="1">VLOOKUP(Tableau1[[#This Row],[Key(POD -PFI- Usine)]],'DATA Consignee'!A:J,10,FALSE)</f>
        <v>3</v>
      </c>
      <c r="AQ44" s="50">
        <f ca="1">VLOOKUP(Tableau1[[#This Row],[Key(POD -PFI- Usine)]],'DATA Consignee'!A:N,14,FALSE)</f>
        <v>4</v>
      </c>
      <c r="AR4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4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44" s="50">
        <f ca="1">Tableau1[[#This Row],[Transit time]]+Tableau1[[#This Row],[Time for security]]+Tableau1[[#This Row],[Time for security2 buffer]]</f>
        <v>43</v>
      </c>
      <c r="AU4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44" s="389">
        <f ca="1">Tableau1[[#This Row],[Leadtime SI2C]]+Tableau1[[#This Row],[First Receipt Days]]-Tableau1[[#This Row],[Day Customer Order]]+1</f>
        <v>92</v>
      </c>
      <c r="AW44" s="117">
        <f ca="1">IF(Tableau1[[#This Row],[Name ILN]]&lt;&gt;"SFK Freight Forwarder",Tableau1[[#This Row],[Cust. Leadtime]],Tableau1[[#This Row],[Leadtime SI2C]])</f>
        <v>92</v>
      </c>
      <c r="AX44" s="51" t="str">
        <f>VLOOKUP(Tableau1[[#This Row],[ID]],'DATA BTO'!B:P,15,FALSE)</f>
        <v>Renault &gt; Horse</v>
      </c>
      <c r="AY44" s="328">
        <f ca="1">IFERROR(VLOOKUP(Tableau1[[#This Row],[Key(ID-Actif)]],'DATA BTO'!A:N,4,FALSE),VLOOKUP(Tableau1[[#This Row],[ID]],'DATA BTO'!B:N,3,FALSE))</f>
        <v>46142</v>
      </c>
      <c r="AZ44" s="50" t="str">
        <f>IF(ISNUMBER(Tableau1[[#This Row],[Day Customer Order]]),"-","Please Check 'Name' information in 'Order' Sheet to make sure they have information")</f>
        <v>-</v>
      </c>
      <c r="BA4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4" s="50"/>
    </row>
    <row r="45" spans="2:57">
      <c r="B45" s="65" t="str">
        <f>_xlfn.CONCAT(Tableau1[[#This Row],[Name ILN]],"-",Tableau1[[#This Row],[Name Shipper]],"-",Tableau1[[#This Row],[Name Site]])</f>
        <v>KWE Shanghai-KWE Shanghai-MOTORES</v>
      </c>
      <c r="C45" s="65" t="str">
        <f ca="1">_xlfn.CONCAT(Tableau1[[#This Row],[Compte ILN]],"-",Tableau1[[#This Row],[Compte Shipper]],"-",Tableau1[[#This Row],[POL]],"-",Tableau1[[#This Row],[Compte Consignee]])</f>
        <v>26037000-26037000-CNSHA-91017700</v>
      </c>
      <c r="D45" s="64" t="str">
        <f ca="1">_xlfn.CONCAT(Tableau1[[#This Row],[Compte ILN]],"-",Tableau1[[#This Row],[Compte Shipper]],"-",Tableau1[[#This Row],[POL]])</f>
        <v>26037000-26037000-CNSHA</v>
      </c>
      <c r="E45" s="396" t="str">
        <f ca="1">_xlfn.CONCAT(Tableau1[[#This Row],[POL]],"-",Tableau1[[#This Row],[Carrier]],"-",Tableau1[[#This Row],[POD]])</f>
        <v>CNSHA-Hapag Lloyd-ESVLC</v>
      </c>
      <c r="F45" s="64" t="str">
        <f>_xlfn.CONCAT(Tableau1[[#This Row],[ID]],"-","Actif")</f>
        <v>930-Actif</v>
      </c>
      <c r="G45" s="64" t="str">
        <f ca="1">_xlfn.CONCAT(Tableau1[[#This Row],[POD]],"-",Tableau1[[#This Row],[Code PFI]],"-",Tableau1[[#This Row],[Compte Consignee]])</f>
        <v>ESVLC-91018400-91017700</v>
      </c>
      <c r="H45" s="396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ShanghaiCNSHAMOTORES</v>
      </c>
      <c r="I4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MOTORES-KWE Shanghai-KWE Shanghai-930-CNSHA-Hapag Lloyd-ESVLC-CDD VLL</v>
      </c>
      <c r="J45" s="397" t="str">
        <f ca="1">IF(COUNTIF(I:I,Tableau1[[#This Row],[Plant-ILN-shipper-POL-Carrier-POD-PFI]])=1,"Non","Oui")</f>
        <v>Non</v>
      </c>
      <c r="K45" s="399" t="str">
        <f>VLOOKUP(Tableau1[[#This Row],[Name Site]],Plant_AILN!A:D,4,FALSE)</f>
        <v>SPAIN</v>
      </c>
      <c r="L45" s="10" t="s">
        <v>163</v>
      </c>
      <c r="M45" s="480">
        <f>VLOOKUP(Tableau1[[#This Row],[Name Site]],Plant_AILN!A:C,3,FALSE)</f>
        <v>91017700</v>
      </c>
      <c r="N45" s="55">
        <f>VLOOKUP(Tableau1[[#This Row],[Compte Consignee]],Order!C:D,2,FALSE)</f>
        <v>7</v>
      </c>
      <c r="O45" s="114" t="s">
        <v>171</v>
      </c>
      <c r="P45" s="481">
        <f>VLOOKUP(Tableau1[[#This Row],[Name ILN]],Plant_AILN!F:G,2,FALSE)</f>
        <v>26037000</v>
      </c>
      <c r="Q45" s="50">
        <f>VLOOKUP(Tableau1[[#This Row],[Compte ILN]],'DATA ILN'!D:I,6,FALSE)</f>
        <v>9</v>
      </c>
      <c r="R45" s="50">
        <f ca="1">IFERROR(VLOOKUP(Tableau1[[#This Row],[Key(Compte ILN - shipper - POL - plant)]],'DATA ILN'!A:J,10,FALSE),VLOOKUP(Tableau1[[#This Row],[Key(Compte ILN - shipper - POL)]],'DATA ILN'!B:J,9,FALSE))</f>
        <v>14</v>
      </c>
      <c r="S45" s="50">
        <f ca="1">IFERROR(VLOOKUP(Tableau1[[#This Row],[Key(Compte ILN - shipper - POL - plant)]],'DATA ILN'!A:K,11,FALSE),VLOOKUP(Tableau1[[#This Row],[Key(Compte ILN - shipper - POL)]],'DATA ILN'!B:K,10,FALSE))</f>
        <v>5</v>
      </c>
      <c r="T45" s="50">
        <f ca="1">IFERROR(VLOOKUP(Tableau1[[#This Row],[Key(Compte ILN - shipper - POL - plant)]],'DATA ILN'!A:L,12,FALSE),VLOOKUP(Tableau1[[#This Row],[Key(Compte ILN - shipper - POL)]],'DATA ILN'!B:L,11,FALSE))</f>
        <v>7</v>
      </c>
      <c r="U45" s="50">
        <f ca="1">Tableau1[[#This Row],[Day ILN Order]]+Tableau1[[#This Row],[Delivery time to ILN/Shipper]]-1</f>
        <v>22</v>
      </c>
      <c r="V45" s="50">
        <f ca="1">IFERROR(VLOOKUP(Tableau1[[#This Row],[Key(Compte ILN - shipper - POL - plant)]],'DATA ILN'!A:N,14,FALSE),VLOOKUP(Tableau1[[#This Row],[Key(Compte ILN - shipper - POL)]],'DATA ILN'!B:N,13,FALSE))</f>
        <v>1</v>
      </c>
      <c r="W45" s="53">
        <f ca="1">IFERROR(VLOOKUP(Tableau1[[#This Row],[Key(Compte ILN - shipper - POL - plant)]],'DATA ILN'!A:P,16,FALSE),VLOOKUP(Tableau1[[#This Row],[Key(Compte ILN - shipper - POL)]],'DATA ILN'!B:P,15,FALSE))</f>
        <v>2</v>
      </c>
      <c r="X45" s="283" t="s">
        <v>171</v>
      </c>
      <c r="Y45" s="482">
        <f>IFERROR(VLOOKUP(Tableau1[[#This Row],[Name Shipper]],Plant_AILN!L:M,2,FALSE),0)</f>
        <v>26037000</v>
      </c>
      <c r="Z45" s="358">
        <v>930</v>
      </c>
      <c r="AA45" s="353" t="str">
        <f ca="1">VLOOKUP(Tableau1[[#This Row],[Key(ID-Actif)]],'DATA BTO'!A:N,5,FALSE)</f>
        <v>CNSHA</v>
      </c>
      <c r="AB45" s="3" t="str">
        <f ca="1">VLOOKUP(Tableau1[[#This Row],[Key(ID-Actif)]],'DATA BTO'!A:N,6,FALSE)</f>
        <v>Hapag Lloyd</v>
      </c>
      <c r="AC45" s="50">
        <f ca="1">VLOOKUP(Tableau1[[#This Row],[Key(ID-Actif)]],'DATA BTO'!A:N,7,FALSE)</f>
        <v>5</v>
      </c>
      <c r="AD45" s="50">
        <f ca="1">VLOOKUP(Tableau1[[#This Row],[Key(ID-Actif)]],'DATA BTO'!A:N,8,FALSE)</f>
        <v>8</v>
      </c>
      <c r="AE45" s="50">
        <f ca="1">IF(Tableau1[[#This Row],[First Day to POL]]&lt;=Tableau1[[#This Row],[Day Cut Off]],Tableau1[[#This Row],[Day ETD]],Tableau1[[#This Row],[Day ETD]]+7)</f>
        <v>8</v>
      </c>
      <c r="AF45" s="50">
        <f ca="1">VLOOKUP(Tableau1[[#This Row],[Key(ID-Actif)]],'DATA BTO'!A:N,9,FALSE)</f>
        <v>40</v>
      </c>
      <c r="AG45" s="3" t="str">
        <f ca="1">VLOOKUP(Tableau1[[#This Row],[Key(ID-Actif)]],'DATA BTO'!A:N,10,FALSE)</f>
        <v>ESVLC</v>
      </c>
      <c r="AH45" s="3">
        <f ca="1">VLOOKUP(Tableau1[[#This Row],[Key(ID-Actif)]],'DATA BTO'!A:N,11,FALSE)</f>
        <v>3</v>
      </c>
      <c r="AI45" s="50">
        <f ca="1">VLOOKUP(Tableau1[[#This Row],[Key(ID-Actif)]],'DATA BTO'!A:N,12,FALSE)</f>
        <v>0</v>
      </c>
      <c r="AJ45" s="53" t="str">
        <f ca="1">VLOOKUP(Tableau1[[#This Row],[Key(ID-Actif)]],'DATA BTO'!A:N,14,FALSE)</f>
        <v>Marc-Aurele</v>
      </c>
      <c r="AK45" s="54">
        <f ca="1">VLOOKUP(Tableau1[[#This Row],[Key(POD -PFI- Usine)]],'DATA Consignee'!A:F,6,FALSE)</f>
        <v>2</v>
      </c>
      <c r="AL45" s="125" t="s">
        <v>166</v>
      </c>
      <c r="AM45" s="483">
        <f>IF(Tableau1[[#This Row],[Name PFI/CDD]]="","-",VLOOKUP(Tableau1[[#This Row],[Name PFI/CDD]],Plant_AILN!I:J,2,FALSE))</f>
        <v>91018400</v>
      </c>
      <c r="AN45" s="6">
        <f ca="1">IF(COUNTIF(buffer_train[AILN],Tableau1[[#This Row],[Name PFI/CDD]])&gt;0,Tableau1[[#This Row],[First Receipt Days]]+Tableau1[[#This Row],[Cust.]]+Tableau1[[#This Row],[Parts Vanning]]+Tableau1[[#This Row],[Transit Time2]],"-")</f>
        <v>80</v>
      </c>
      <c r="AO45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5</v>
      </c>
      <c r="AP45" s="2">
        <f ca="1">VLOOKUP(Tableau1[[#This Row],[Key(POD -PFI- Usine)]],'DATA Consignee'!A:J,10,FALSE)</f>
        <v>3</v>
      </c>
      <c r="AQ45" s="50">
        <f ca="1">VLOOKUP(Tableau1[[#This Row],[Key(POD -PFI- Usine)]],'DATA Consignee'!A:N,14,FALSE)</f>
        <v>3</v>
      </c>
      <c r="AR4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4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45" s="50">
        <f ca="1">Tableau1[[#This Row],[Transit time]]+Tableau1[[#This Row],[Time for security]]+Tableau1[[#This Row],[Time for security2 buffer]]</f>
        <v>43</v>
      </c>
      <c r="AU4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45" s="389">
        <f ca="1">Tableau1[[#This Row],[Leadtime SI2C]]+Tableau1[[#This Row],[First Receipt Days]]-Tableau1[[#This Row],[Day Customer Order]]+1</f>
        <v>85</v>
      </c>
      <c r="AW45" s="117">
        <f ca="1">IF(Tableau1[[#This Row],[Name ILN]]&lt;&gt;"SFK Freight Forwarder",Tableau1[[#This Row],[Cust. Leadtime]],Tableau1[[#This Row],[Leadtime SI2C]])</f>
        <v>85</v>
      </c>
      <c r="AX45" s="51" t="str">
        <f>VLOOKUP(Tableau1[[#This Row],[ID]],'DATA BTO'!B:P,15,FALSE)</f>
        <v>Renault &gt; Horse</v>
      </c>
      <c r="AY45" s="328">
        <f ca="1">IFERROR(VLOOKUP(Tableau1[[#This Row],[Key(ID-Actif)]],'DATA BTO'!A:N,4,FALSE),VLOOKUP(Tableau1[[#This Row],[ID]],'DATA BTO'!B:N,3,FALSE))</f>
        <v>46142</v>
      </c>
      <c r="AZ45" s="50" t="str">
        <f>IF(ISNUMBER(Tableau1[[#This Row],[Day Customer Order]]),"-","Please Check 'Name' information in 'Order' Sheet to make sure they have information")</f>
        <v>-</v>
      </c>
      <c r="BA4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5" s="50"/>
    </row>
    <row r="46" spans="2:57">
      <c r="B46" s="447" t="str">
        <f>_xlfn.CONCAT(Tableau1[[#This Row],[Name ILN]],"-",Tableau1[[#This Row],[Name Shipper]],"-",Tableau1[[#This Row],[Name Site]])</f>
        <v>KWE Shanghai-KWE Shanghai-CURITIBA CMO</v>
      </c>
      <c r="C46" s="65" t="str">
        <f ca="1">_xlfn.CONCAT(Tableau1[[#This Row],[Compte ILN]],"-",Tableau1[[#This Row],[Compte Shipper]],"-",Tableau1[[#This Row],[POL]],"-",Tableau1[[#This Row],[Compte Consignee]])</f>
        <v>26037000-26037000-CNSHA-90018600</v>
      </c>
      <c r="D46" s="64" t="str">
        <f ca="1">_xlfn.CONCAT(Tableau1[[#This Row],[Compte ILN]],"-",Tableau1[[#This Row],[Compte Shipper]],"-",Tableau1[[#This Row],[POL]])</f>
        <v>26037000-26037000-CNSHA</v>
      </c>
      <c r="E46" s="396" t="str">
        <f ca="1">_xlfn.CONCAT(Tableau1[[#This Row],[POL]],"-",Tableau1[[#This Row],[Carrier]],"-",Tableau1[[#This Row],[POD]])</f>
        <v>CNSHA-ONE-BRPNG</v>
      </c>
      <c r="F46" s="64" t="str">
        <f>_xlfn.CONCAT(Tableau1[[#This Row],[ID]],"-","Actif")</f>
        <v>931-Actif</v>
      </c>
      <c r="G46" s="64" t="str">
        <f ca="1">_xlfn.CONCAT(Tableau1[[#This Row],[POD]],"-",Tableau1[[#This Row],[Code PFI]],"-",Tableau1[[#This Row],[Compte Consignee]])</f>
        <v>BRPNG---90018600</v>
      </c>
      <c r="H46" s="396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ShanghaiCNSHACURITIBA CMO</v>
      </c>
      <c r="I4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CMO-KWE Shanghai-KWE Shanghai-931-CNSHA-ONE-BRPNG-</v>
      </c>
      <c r="J46" s="397" t="str">
        <f ca="1">IF(COUNTIF(I:I,Tableau1[[#This Row],[Plant-ILN-shipper-POL-Carrier-POD-PFI]])=1,"Non","Oui")</f>
        <v>Non</v>
      </c>
      <c r="K46" s="126" t="str">
        <f>VLOOKUP(Tableau1[[#This Row],[Name Site]],Plant_AILN!A:D,4,FALSE)</f>
        <v>BRAZIL</v>
      </c>
      <c r="L46" s="446" t="s">
        <v>168</v>
      </c>
      <c r="M46" s="480">
        <f>VLOOKUP(Tableau1[[#This Row],[Name Site]],Plant_AILN!A:C,3,FALSE)</f>
        <v>90018600</v>
      </c>
      <c r="N46" s="55">
        <f>VLOOKUP(Tableau1[[#This Row],[Compte Consignee]],Order!C:D,2,FALSE)</f>
        <v>7</v>
      </c>
      <c r="O46" s="452" t="s">
        <v>171</v>
      </c>
      <c r="P46" s="481">
        <f>VLOOKUP(Tableau1[[#This Row],[Name ILN]],Plant_AILN!F:G,2,FALSE)</f>
        <v>26037000</v>
      </c>
      <c r="Q46" s="50">
        <f>VLOOKUP(Tableau1[[#This Row],[Compte ILN]],'DATA ILN'!D:I,6,FALSE)</f>
        <v>9</v>
      </c>
      <c r="R46" s="50">
        <f ca="1">IFERROR(VLOOKUP(Tableau1[[#This Row],[Key(Compte ILN - shipper - POL - plant)]],'DATA ILN'!A:J,10,FALSE),VLOOKUP(Tableau1[[#This Row],[Key(Compte ILN - shipper - POL)]],'DATA ILN'!B:J,9,FALSE))</f>
        <v>14</v>
      </c>
      <c r="S46" s="50">
        <f ca="1">IFERROR(VLOOKUP(Tableau1[[#This Row],[Key(Compte ILN - shipper - POL - plant)]],'DATA ILN'!A:K,11,FALSE),VLOOKUP(Tableau1[[#This Row],[Key(Compte ILN - shipper - POL)]],'DATA ILN'!B:K,10,FALSE))</f>
        <v>5</v>
      </c>
      <c r="T46" s="50">
        <f ca="1">IFERROR(VLOOKUP(Tableau1[[#This Row],[Key(Compte ILN - shipper - POL - plant)]],'DATA ILN'!A:L,12,FALSE),VLOOKUP(Tableau1[[#This Row],[Key(Compte ILN - shipper - POL)]],'DATA ILN'!B:L,11,FALSE))</f>
        <v>7</v>
      </c>
      <c r="U46" s="50">
        <f ca="1">Tableau1[[#This Row],[Day ILN Order]]+Tableau1[[#This Row],[Delivery time to ILN/Shipper]]-1</f>
        <v>22</v>
      </c>
      <c r="V46" s="50">
        <f ca="1">IFERROR(VLOOKUP(Tableau1[[#This Row],[Key(Compte ILN - shipper - POL - plant)]],'DATA ILN'!A:N,14,FALSE),VLOOKUP(Tableau1[[#This Row],[Key(Compte ILN - shipper - POL)]],'DATA ILN'!B:N,13,FALSE))</f>
        <v>1</v>
      </c>
      <c r="W46" s="53">
        <f ca="1">IFERROR(VLOOKUP(Tableau1[[#This Row],[Key(Compte ILN - shipper - POL - plant)]],'DATA ILN'!A:P,16,FALSE),VLOOKUP(Tableau1[[#This Row],[Key(Compte ILN - shipper - POL)]],'DATA ILN'!B:P,15,FALSE))</f>
        <v>2</v>
      </c>
      <c r="X46" s="283" t="s">
        <v>171</v>
      </c>
      <c r="Y46" s="482">
        <f>IFERROR(VLOOKUP(Tableau1[[#This Row],[Name Shipper]],Plant_AILN!L:M,2,FALSE),0)</f>
        <v>26037000</v>
      </c>
      <c r="Z46" s="358">
        <v>931</v>
      </c>
      <c r="AA46" s="353" t="str">
        <f ca="1">VLOOKUP(Tableau1[[#This Row],[Key(ID-Actif)]],'DATA BTO'!A:N,5,FALSE)</f>
        <v>CNSHA</v>
      </c>
      <c r="AB46" s="3" t="str">
        <f ca="1">VLOOKUP(Tableau1[[#This Row],[Key(ID-Actif)]],'DATA BTO'!A:N,6,FALSE)</f>
        <v>ONE</v>
      </c>
      <c r="AC46" s="50">
        <f ca="1">VLOOKUP(Tableau1[[#This Row],[Key(ID-Actif)]],'DATA BTO'!A:N,7,FALSE)</f>
        <v>7</v>
      </c>
      <c r="AD46" s="50">
        <f ca="1">VLOOKUP(Tableau1[[#This Row],[Key(ID-Actif)]],'DATA BTO'!A:N,8,FALSE)</f>
        <v>9</v>
      </c>
      <c r="AE46" s="50">
        <f ca="1">IF(Tableau1[[#This Row],[First Day to POL]]&lt;=Tableau1[[#This Row],[Day Cut Off]],Tableau1[[#This Row],[Day ETD]],Tableau1[[#This Row],[Day ETD]]+7)</f>
        <v>9</v>
      </c>
      <c r="AF46" s="50">
        <f ca="1">VLOOKUP(Tableau1[[#This Row],[Key(ID-Actif)]],'DATA BTO'!A:N,9,FALSE)</f>
        <v>34</v>
      </c>
      <c r="AG46" s="3" t="str">
        <f ca="1">VLOOKUP(Tableau1[[#This Row],[Key(ID-Actif)]],'DATA BTO'!A:N,10,FALSE)</f>
        <v>BRPNG</v>
      </c>
      <c r="AH46" s="3">
        <f ca="1">VLOOKUP(Tableau1[[#This Row],[Key(ID-Actif)]],'DATA BTO'!A:N,11,FALSE)</f>
        <v>3</v>
      </c>
      <c r="AI46" s="50">
        <f ca="1">VLOOKUP(Tableau1[[#This Row],[Key(ID-Actif)]],'DATA BTO'!A:N,12,FALSE)</f>
        <v>0</v>
      </c>
      <c r="AJ46" s="53" t="str">
        <f ca="1">VLOOKUP(Tableau1[[#This Row],[Key(ID-Actif)]],'DATA BTO'!A:N,14,FALSE)</f>
        <v>Marc-Aurele</v>
      </c>
      <c r="AK46" s="54">
        <f ca="1">VLOOKUP(Tableau1[[#This Row],[Key(POD -PFI- Usine)]],'DATA Consignee'!A:F,6,FALSE)</f>
        <v>2</v>
      </c>
      <c r="AL46" s="125"/>
      <c r="AM46" s="483" t="str">
        <f>IF(Tableau1[[#This Row],[Name PFI/CDD]]="","-",VLOOKUP(Tableau1[[#This Row],[Name PFI/CDD]],Plant_AILN!I:J,2,FALSE))</f>
        <v>-</v>
      </c>
      <c r="AN4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6" s="2">
        <f ca="1">VLOOKUP(Tableau1[[#This Row],[Key(POD -PFI- Usine)]],'DATA Consignee'!A:J,10,FALSE)</f>
        <v>0</v>
      </c>
      <c r="AQ46" s="50">
        <f ca="1">VLOOKUP(Tableau1[[#This Row],[Key(POD -PFI- Usine)]],'DATA Consignee'!A:N,14,FALSE)</f>
        <v>2</v>
      </c>
      <c r="AR4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4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46" s="50">
        <f ca="1">Tableau1[[#This Row],[Transit time]]+Tableau1[[#This Row],[Time for security]]+Tableau1[[#This Row],[Time for security2 buffer]]</f>
        <v>37</v>
      </c>
      <c r="AU4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46" s="389">
        <f ca="1">Tableau1[[#This Row],[Leadtime SI2C]]+Tableau1[[#This Row],[First Receipt Days]]-Tableau1[[#This Row],[Day Customer Order]]+1</f>
        <v>71</v>
      </c>
      <c r="AW46" s="117">
        <f ca="1">IF(Tableau1[[#This Row],[Name ILN]]&lt;&gt;"SFK Freight Forwarder",Tableau1[[#This Row],[Cust. Leadtime]],Tableau1[[#This Row],[Leadtime SI2C]])</f>
        <v>71</v>
      </c>
      <c r="AX46" s="51" t="str">
        <f>VLOOKUP(Tableau1[[#This Row],[ID]],'DATA BTO'!B:P,15,FALSE)</f>
        <v>Renault &gt; Horse</v>
      </c>
      <c r="AY46" s="328">
        <f ca="1">IFERROR(VLOOKUP(Tableau1[[#This Row],[Key(ID-Actif)]],'DATA BTO'!A:N,4,FALSE),VLOOKUP(Tableau1[[#This Row],[ID]],'DATA BTO'!B:N,3,FALSE))</f>
        <v>46142</v>
      </c>
      <c r="AZ46" s="50" t="str">
        <f>IF(ISNUMBER(Tableau1[[#This Row],[Day Customer Order]]),"-","Please Check 'Name' information in 'Order' Sheet to make sure they have information")</f>
        <v>-</v>
      </c>
      <c r="BA4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6" s="50"/>
    </row>
    <row r="47" spans="2:57">
      <c r="B47" s="65" t="str">
        <f>_xlfn.CONCAT(Tableau1[[#This Row],[Name ILN]],"-",Tableau1[[#This Row],[Name Shipper]],"-",Tableau1[[#This Row],[Name Site]])</f>
        <v>KWE Shanghai-KWE Shanghai-DACIA MECA</v>
      </c>
      <c r="C47" s="65" t="str">
        <f ca="1">_xlfn.CONCAT(Tableau1[[#This Row],[Compte ILN]],"-",Tableau1[[#This Row],[Compte Shipper]],"-",Tableau1[[#This Row],[POL]],"-",Tableau1[[#This Row],[Compte Consignee]])</f>
        <v>26037000-26037000-CNSHA-90012500</v>
      </c>
      <c r="D47" s="64" t="str">
        <f ca="1">_xlfn.CONCAT(Tableau1[[#This Row],[Compte ILN]],"-",Tableau1[[#This Row],[Compte Shipper]],"-",Tableau1[[#This Row],[POL]])</f>
        <v>26037000-26037000-CNSHA</v>
      </c>
      <c r="E47" s="396" t="str">
        <f ca="1">_xlfn.CONCAT(Tableau1[[#This Row],[POL]],"-",Tableau1[[#This Row],[Carrier]],"-",Tableau1[[#This Row],[POD]])</f>
        <v>CNSHA-MSC-ROCND</v>
      </c>
      <c r="F47" s="64" t="str">
        <f>_xlfn.CONCAT(Tableau1[[#This Row],[ID]],"-","Actif")</f>
        <v>932-Actif</v>
      </c>
      <c r="G47" s="64" t="str">
        <f ca="1">_xlfn.CONCAT(Tableau1[[#This Row],[POD]],"-",Tableau1[[#This Row],[Code PFI]],"-",Tableau1[[#This Row],[Compte Consignee]])</f>
        <v>ROCND-2839004-90012500</v>
      </c>
      <c r="H47" s="396" t="str">
        <f ca="1">_xlfn.CONCAT(IF(Tableau1[[#This Row],[Name ILN]]=Tableau1[[#This Row],[Name Shipper]],Tableau1[[#This Row],[Name ILN]],Tableau1[[#This Row],[Compte Shipper]]),Tableau1[[#This Row],[POL]],Tableau1[[#This Row],[Name Site]])</f>
        <v>KWE ShanghaiCNSHADACIA MECA</v>
      </c>
      <c r="I4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MECA-KWE Shanghai-KWE Shanghai-932-CNSHA-MSC-ROCND-Magasin Dacia</v>
      </c>
      <c r="J47" s="397" t="str">
        <f ca="1">IF(COUNTIF(I:I,Tableau1[[#This Row],[Plant-ILN-shipper-POL-Carrier-POD-PFI]])=1,"Non","Oui")</f>
        <v>Non</v>
      </c>
      <c r="K47" s="398" t="str">
        <f>VLOOKUP(Tableau1[[#This Row],[Name Site]],Plant_AILN!A:D,4,FALSE)</f>
        <v>ROMANIA</v>
      </c>
      <c r="L47" s="363" t="s">
        <v>156</v>
      </c>
      <c r="M47" s="480">
        <f>VLOOKUP(Tableau1[[#This Row],[Name Site]],Plant_AILN!A:C,3,FALSE)</f>
        <v>90012500</v>
      </c>
      <c r="N47" s="55">
        <f>VLOOKUP(Tableau1[[#This Row],[Compte Consignee]],Order!C:D,2,FALSE)</f>
        <v>7</v>
      </c>
      <c r="O47" s="114" t="s">
        <v>171</v>
      </c>
      <c r="P47" s="481">
        <f>VLOOKUP(Tableau1[[#This Row],[Name ILN]],Plant_AILN!F:G,2,FALSE)</f>
        <v>26037000</v>
      </c>
      <c r="Q47" s="50">
        <f>VLOOKUP(Tableau1[[#This Row],[Compte ILN]],'DATA ILN'!D:I,6,FALSE)</f>
        <v>9</v>
      </c>
      <c r="R47" s="50">
        <f ca="1">IFERROR(VLOOKUP(Tableau1[[#This Row],[Key(Compte ILN - shipper - POL - plant)]],'DATA ILN'!A:J,10,FALSE),VLOOKUP(Tableau1[[#This Row],[Key(Compte ILN - shipper - POL)]],'DATA ILN'!B:J,9,FALSE))</f>
        <v>14</v>
      </c>
      <c r="S47" s="50">
        <f ca="1">IFERROR(VLOOKUP(Tableau1[[#This Row],[Key(Compte ILN - shipper - POL - plant)]],'DATA ILN'!A:K,11,FALSE),VLOOKUP(Tableau1[[#This Row],[Key(Compte ILN - shipper - POL)]],'DATA ILN'!B:K,10,FALSE))</f>
        <v>5</v>
      </c>
      <c r="T47" s="50">
        <f ca="1">IFERROR(VLOOKUP(Tableau1[[#This Row],[Key(Compte ILN - shipper - POL - plant)]],'DATA ILN'!A:L,12,FALSE),VLOOKUP(Tableau1[[#This Row],[Key(Compte ILN - shipper - POL)]],'DATA ILN'!B:L,11,FALSE))</f>
        <v>7</v>
      </c>
      <c r="U47" s="50">
        <f ca="1">Tableau1[[#This Row],[Day ILN Order]]+Tableau1[[#This Row],[Delivery time to ILN/Shipper]]-1</f>
        <v>22</v>
      </c>
      <c r="V47" s="50">
        <f ca="1">IFERROR(VLOOKUP(Tableau1[[#This Row],[Key(Compte ILN - shipper - POL - plant)]],'DATA ILN'!A:N,14,FALSE),VLOOKUP(Tableau1[[#This Row],[Key(Compte ILN - shipper - POL)]],'DATA ILN'!B:N,13,FALSE))</f>
        <v>1</v>
      </c>
      <c r="W47" s="53">
        <f ca="1">IFERROR(VLOOKUP(Tableau1[[#This Row],[Key(Compte ILN - shipper - POL - plant)]],'DATA ILN'!A:P,16,FALSE),VLOOKUP(Tableau1[[#This Row],[Key(Compte ILN - shipper - POL)]],'DATA ILN'!B:P,15,FALSE))</f>
        <v>2</v>
      </c>
      <c r="X47" s="283" t="s">
        <v>171</v>
      </c>
      <c r="Y47" s="482">
        <f>IFERROR(VLOOKUP(Tableau1[[#This Row],[Name Shipper]],Plant_AILN!L:M,2,FALSE),0)</f>
        <v>26037000</v>
      </c>
      <c r="Z47" s="358">
        <v>932</v>
      </c>
      <c r="AA47" s="353" t="str">
        <f ca="1">VLOOKUP(Tableau1[[#This Row],[Key(ID-Actif)]],'DATA BTO'!A:N,5,FALSE)</f>
        <v>CNSHA</v>
      </c>
      <c r="AB47" s="3" t="str">
        <f ca="1">VLOOKUP(Tableau1[[#This Row],[Key(ID-Actif)]],'DATA BTO'!A:N,6,FALSE)</f>
        <v>MSC</v>
      </c>
      <c r="AC47" s="50">
        <f ca="1">VLOOKUP(Tableau1[[#This Row],[Key(ID-Actif)]],'DATA BTO'!A:N,7,FALSE)</f>
        <v>3</v>
      </c>
      <c r="AD47" s="50">
        <f ca="1">VLOOKUP(Tableau1[[#This Row],[Key(ID-Actif)]],'DATA BTO'!A:N,8,FALSE)</f>
        <v>5</v>
      </c>
      <c r="AE47" s="50">
        <f ca="1">IF(Tableau1[[#This Row],[First Day to POL]]&lt;=Tableau1[[#This Row],[Day Cut Off]],Tableau1[[#This Row],[Day ETD]],Tableau1[[#This Row],[Day ETD]]+7)</f>
        <v>5</v>
      </c>
      <c r="AF47" s="50">
        <f ca="1">VLOOKUP(Tableau1[[#This Row],[Key(ID-Actif)]],'DATA BTO'!A:N,9,FALSE)</f>
        <v>50</v>
      </c>
      <c r="AG47" s="3" t="str">
        <f ca="1">VLOOKUP(Tableau1[[#This Row],[Key(ID-Actif)]],'DATA BTO'!A:N,10,FALSE)</f>
        <v>ROCND</v>
      </c>
      <c r="AH47" s="3">
        <f ca="1">VLOOKUP(Tableau1[[#This Row],[Key(ID-Actif)]],'DATA BTO'!A:N,11,FALSE)</f>
        <v>3</v>
      </c>
      <c r="AI47" s="50">
        <f ca="1">VLOOKUP(Tableau1[[#This Row],[Key(ID-Actif)]],'DATA BTO'!A:N,12,FALSE)</f>
        <v>14</v>
      </c>
      <c r="AJ47" s="53" t="str">
        <f ca="1">VLOOKUP(Tableau1[[#This Row],[Key(ID-Actif)]],'DATA BTO'!A:N,14,FALSE)</f>
        <v>Marc-Aurele</v>
      </c>
      <c r="AK47" s="54">
        <f ca="1">VLOOKUP(Tableau1[[#This Row],[Key(POD -PFI- Usine)]],'DATA Consignee'!A:F,6,FALSE)</f>
        <v>1</v>
      </c>
      <c r="AL47" s="125" t="s">
        <v>158</v>
      </c>
      <c r="AM47" s="483">
        <f>IF(Tableau1[[#This Row],[Name PFI/CDD]]="","-",VLOOKUP(Tableau1[[#This Row],[Name PFI/CDD]],Plant_AILN!I:J,2,FALSE))</f>
        <v>2839004</v>
      </c>
      <c r="AN4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7" s="2">
        <f ca="1">VLOOKUP(Tableau1[[#This Row],[Key(POD -PFI- Usine)]],'DATA Consignee'!A:J,10,FALSE)</f>
        <v>7</v>
      </c>
      <c r="AQ47" s="50">
        <f ca="1">VLOOKUP(Tableau1[[#This Row],[Key(POD -PFI- Usine)]],'DATA Consignee'!A:N,14,FALSE)</f>
        <v>1</v>
      </c>
      <c r="AR4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4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47" s="50">
        <f ca="1">Tableau1[[#This Row],[Transit time]]+Tableau1[[#This Row],[Time for security]]+Tableau1[[#This Row],[Time for security2 buffer]]</f>
        <v>67</v>
      </c>
      <c r="AU4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47" s="389">
        <f ca="1">Tableau1[[#This Row],[Leadtime SI2C]]+Tableau1[[#This Row],[First Receipt Days]]-Tableau1[[#This Row],[Day Customer Order]]+1</f>
        <v>106</v>
      </c>
      <c r="AW47" s="117">
        <f ca="1">IF(Tableau1[[#This Row],[Name ILN]]&lt;&gt;"SFK Freight Forwarder",Tableau1[[#This Row],[Cust. Leadtime]],Tableau1[[#This Row],[Leadtime SI2C]])</f>
        <v>106</v>
      </c>
      <c r="AX47" s="51" t="str">
        <f>VLOOKUP(Tableau1[[#This Row],[ID]],'DATA BTO'!B:P,15,FALSE)</f>
        <v>Renault &gt; Horse</v>
      </c>
      <c r="AY47" s="328">
        <f ca="1">IFERROR(VLOOKUP(Tableau1[[#This Row],[Key(ID-Actif)]],'DATA BTO'!A:N,4,FALSE),VLOOKUP(Tableau1[[#This Row],[ID]],'DATA BTO'!B:N,3,FALSE))</f>
        <v>46142</v>
      </c>
      <c r="AZ47" s="50" t="str">
        <f>IF(ISNUMBER(Tableau1[[#This Row],[Day Customer Order]]),"-","Please Check 'Name' information in 'Order' Sheet to make sure they have information")</f>
        <v>-</v>
      </c>
      <c r="BA4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7" s="50"/>
    </row>
    <row r="48" spans="2:57">
      <c r="B48" s="447" t="str">
        <f>_xlfn.CONCAT(Tableau1[[#This Row],[Name ILN]],"-",Tableau1[[#This Row],[Name Shipper]],"-",Tableau1[[#This Row],[Name Site]])</f>
        <v>SFK Freight Forwarder-Jatco Mexique-RKM</v>
      </c>
      <c r="C48" s="65" t="str">
        <f ca="1">_xlfn.CONCAT(Tableau1[[#This Row],[Compte ILN]],"-",Tableau1[[#This Row],[Compte Shipper]],"-",Tableau1[[#This Row],[POL]],"-",Tableau1[[#This Row],[Compte Consignee]])</f>
        <v>0-261427-MXLZC-92002200</v>
      </c>
      <c r="D48" s="64" t="str">
        <f ca="1">_xlfn.CONCAT(Tableau1[[#This Row],[Compte ILN]],"-",Tableau1[[#This Row],[Compte Shipper]],"-",Tableau1[[#This Row],[POL]])</f>
        <v>0-261427-MXLZC</v>
      </c>
      <c r="E48" s="396" t="str">
        <f ca="1">_xlfn.CONCAT(Tableau1[[#This Row],[POL]],"-",Tableau1[[#This Row],[Carrier]],"-",Tableau1[[#This Row],[POD]])</f>
        <v>MXLZC-Hapag Lloyd-KRPUS</v>
      </c>
      <c r="F48" s="64" t="str">
        <f>_xlfn.CONCAT(Tableau1[[#This Row],[ID]],"-","Actif")</f>
        <v>1000-Actif</v>
      </c>
      <c r="G48" s="64" t="str">
        <f ca="1">_xlfn.CONCAT(Tableau1[[#This Row],[POD]],"-",Tableau1[[#This Row],[Code PFI]],"-",Tableau1[[#This Row],[Compte Consignee]])</f>
        <v>KRPUS---92002200</v>
      </c>
      <c r="H48" s="396" t="str">
        <f ca="1">_xlfn.CONCAT(IF(Tableau1[[#This Row],[Name ILN]]=Tableau1[[#This Row],[Name Shipper]],Tableau1[[#This Row],[Name ILN]],Tableau1[[#This Row],[Compte Shipper]]),Tableau1[[#This Row],[POL]],Tableau1[[#This Row],[Name Site]])</f>
        <v>261427MXLZCRKM</v>
      </c>
      <c r="I4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Forwarder-Jatco Mexique-1000-MXLZC-Hapag Lloyd-KRPUS-</v>
      </c>
      <c r="J48" s="397" t="str">
        <f ca="1">IF(COUNTIF(I:I,Tableau1[[#This Row],[Plant-ILN-shipper-POL-Carrier-POD-PFI]])=1,"Non","Oui")</f>
        <v>Non</v>
      </c>
      <c r="K48" s="126" t="str">
        <f>VLOOKUP(Tableau1[[#This Row],[Name Site]],Plant_AILN!A:D,4,FALSE)</f>
        <v>KOREA</v>
      </c>
      <c r="L48" s="363" t="s">
        <v>36</v>
      </c>
      <c r="M48" s="480">
        <f>VLOOKUP(Tableau1[[#This Row],[Name Site]],Plant_AILN!A:C,3,FALSE)</f>
        <v>92002200</v>
      </c>
      <c r="N48" s="55">
        <f>VLOOKUP(Tableau1[[#This Row],[Compte Consignee]],Order!C:D,2,FALSE)</f>
        <v>7</v>
      </c>
      <c r="O48" s="114" t="s">
        <v>150</v>
      </c>
      <c r="P48" s="481">
        <f>VLOOKUP(Tableau1[[#This Row],[Name ILN]],Plant_AILN!F:G,2,FALSE)</f>
        <v>0</v>
      </c>
      <c r="Q48" s="50">
        <f>VLOOKUP(Tableau1[[#This Row],[Compte ILN]],'DATA ILN'!D:I,6,FALSE)</f>
        <v>9</v>
      </c>
      <c r="R48" s="50">
        <f ca="1">IFERROR(VLOOKUP(Tableau1[[#This Row],[Key(Compte ILN - shipper - POL - plant)]],'DATA ILN'!A:J,10,FALSE),VLOOKUP(Tableau1[[#This Row],[Key(Compte ILN - shipper - POL)]],'DATA ILN'!B:J,9,FALSE))</f>
        <v>14</v>
      </c>
      <c r="S48" s="50">
        <f ca="1">IFERROR(VLOOKUP(Tableau1[[#This Row],[Key(Compte ILN - shipper - POL - plant)]],'DATA ILN'!A:K,11,FALSE),VLOOKUP(Tableau1[[#This Row],[Key(Compte ILN - shipper - POL)]],'DATA ILN'!B:K,10,FALSE))</f>
        <v>5</v>
      </c>
      <c r="T48" s="50">
        <f ca="1">IFERROR(VLOOKUP(Tableau1[[#This Row],[Key(Compte ILN - shipper - POL - plant)]],'DATA ILN'!A:L,12,FALSE),VLOOKUP(Tableau1[[#This Row],[Key(Compte ILN - shipper - POL)]],'DATA ILN'!B:L,11,FALSE))</f>
        <v>7</v>
      </c>
      <c r="U48" s="50">
        <f ca="1">Tableau1[[#This Row],[Day ILN Order]]+Tableau1[[#This Row],[Delivery time to ILN/Shipper]]-1</f>
        <v>22</v>
      </c>
      <c r="V48" s="50">
        <f ca="1">IFERROR(VLOOKUP(Tableau1[[#This Row],[Key(Compte ILN - shipper - POL - plant)]],'DATA ILN'!A:N,14,FALSE),VLOOKUP(Tableau1[[#This Row],[Key(Compte ILN - shipper - POL)]],'DATA ILN'!B:N,13,FALSE))</f>
        <v>2</v>
      </c>
      <c r="W48" s="53">
        <f ca="1">IFERROR(VLOOKUP(Tableau1[[#This Row],[Key(Compte ILN - shipper - POL - plant)]],'DATA ILN'!A:P,16,FALSE),VLOOKUP(Tableau1[[#This Row],[Key(Compte ILN - shipper - POL)]],'DATA ILN'!B:P,15,FALSE))</f>
        <v>5</v>
      </c>
      <c r="X48" s="283" t="s">
        <v>173</v>
      </c>
      <c r="Y48" s="482">
        <f>IFERROR(VLOOKUP(Tableau1[[#This Row],[Name Shipper]],Plant_AILN!L:M,2,FALSE),0)</f>
        <v>261427</v>
      </c>
      <c r="Z48" s="358">
        <v>1000</v>
      </c>
      <c r="AA48" s="353" t="str">
        <f ca="1">VLOOKUP(Tableau1[[#This Row],[Key(ID-Actif)]],'DATA BTO'!A:N,5,FALSE)</f>
        <v>MXLZC</v>
      </c>
      <c r="AB48" s="3" t="str">
        <f ca="1">VLOOKUP(Tableau1[[#This Row],[Key(ID-Actif)]],'DATA BTO'!A:N,6,FALSE)</f>
        <v>Hapag Lloyd</v>
      </c>
      <c r="AC48" s="50">
        <f ca="1">VLOOKUP(Tableau1[[#This Row],[Key(ID-Actif)]],'DATA BTO'!A:N,7,FALSE)</f>
        <v>5</v>
      </c>
      <c r="AD48" s="50">
        <f ca="1">VLOOKUP(Tableau1[[#This Row],[Key(ID-Actif)]],'DATA BTO'!A:N,8,FALSE)</f>
        <v>7</v>
      </c>
      <c r="AE48" s="50">
        <f ca="1">IF(Tableau1[[#This Row],[First Day to POL]]&lt;=Tableau1[[#This Row],[Day Cut Off]],Tableau1[[#This Row],[Day ETD]],Tableau1[[#This Row],[Day ETD]]+7)</f>
        <v>7</v>
      </c>
      <c r="AF48" s="50">
        <f ca="1">VLOOKUP(Tableau1[[#This Row],[Key(ID-Actif)]],'DATA BTO'!A:N,9,FALSE)</f>
        <v>22</v>
      </c>
      <c r="AG48" s="3" t="str">
        <f ca="1">VLOOKUP(Tableau1[[#This Row],[Key(ID-Actif)]],'DATA BTO'!A:N,10,FALSE)</f>
        <v>KRPUS</v>
      </c>
      <c r="AH48" s="3">
        <f ca="1">VLOOKUP(Tableau1[[#This Row],[Key(ID-Actif)]],'DATA BTO'!A:N,11,FALSE)</f>
        <v>3</v>
      </c>
      <c r="AI48" s="50">
        <f ca="1">VLOOKUP(Tableau1[[#This Row],[Key(ID-Actif)]],'DATA BTO'!A:N,12,FALSE)</f>
        <v>0</v>
      </c>
      <c r="AJ48" s="53" t="str">
        <f ca="1">VLOOKUP(Tableau1[[#This Row],[Key(ID-Actif)]],'DATA BTO'!A:N,14,FALSE)</f>
        <v>Max</v>
      </c>
      <c r="AK48" s="54">
        <f ca="1">VLOOKUP(Tableau1[[#This Row],[Key(POD -PFI- Usine)]],'DATA Consignee'!A:F,6,FALSE)</f>
        <v>2</v>
      </c>
      <c r="AL48" s="125"/>
      <c r="AM48" s="483" t="str">
        <f>IF(Tableau1[[#This Row],[Name PFI/CDD]]="","-",VLOOKUP(Tableau1[[#This Row],[Name PFI/CDD]],Plant_AILN!I:J,2,FALSE))</f>
        <v>-</v>
      </c>
      <c r="AN4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8" s="2">
        <f ca="1">VLOOKUP(Tableau1[[#This Row],[Key(POD -PFI- Usine)]],'DATA Consignee'!A:J,10,FALSE)</f>
        <v>0</v>
      </c>
      <c r="AQ48" s="50">
        <f ca="1">VLOOKUP(Tableau1[[#This Row],[Key(POD -PFI- Usine)]],'DATA Consignee'!A:N,14,FALSE)</f>
        <v>1</v>
      </c>
      <c r="AR4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4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48" s="50">
        <f ca="1">Tableau1[[#This Row],[Transit time]]+Tableau1[[#This Row],[Time for security]]+Tableau1[[#This Row],[Time for security2 buffer]]</f>
        <v>25</v>
      </c>
      <c r="AU4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41</v>
      </c>
      <c r="AV48" s="389">
        <f ca="1">Tableau1[[#This Row],[Leadtime SI2C]]+Tableau1[[#This Row],[First Receipt Days]]-Tableau1[[#This Row],[Day Customer Order]]+1</f>
        <v>57</v>
      </c>
      <c r="AW48" s="117">
        <f ca="1">IF(Tableau1[[#This Row],[Name ILN]]&lt;&gt;"SFK Freight Forwarder",Tableau1[[#This Row],[Cust. Leadtime]],Tableau1[[#This Row],[Leadtime SI2C]])</f>
        <v>41</v>
      </c>
      <c r="AX48" s="51" t="str">
        <f>VLOOKUP(Tableau1[[#This Row],[ID]],'DATA BTO'!B:P,15,FALSE)</f>
        <v>Nissan &gt; Renault</v>
      </c>
      <c r="AY48" s="328">
        <f ca="1">IFERROR(VLOOKUP(Tableau1[[#This Row],[Key(ID-Actif)]],'DATA BTO'!A:N,4,FALSE),VLOOKUP(Tableau1[[#This Row],[ID]],'DATA BTO'!B:N,3,FALSE))</f>
        <v>46142</v>
      </c>
      <c r="AZ48" s="50" t="str">
        <f>IF(ISNUMBER(Tableau1[[#This Row],[Day Customer Order]]),"-","Please Check 'Name' information in 'Order' Sheet to make sure they have information")</f>
        <v>-</v>
      </c>
      <c r="BA4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8" s="50"/>
    </row>
    <row r="49" spans="2:57">
      <c r="B49" s="447" t="str">
        <f>_xlfn.CONCAT(Tableau1[[#This Row],[Name ILN]],"-",Tableau1[[#This Row],[Name Shipper]],"-",Tableau1[[#This Row],[Name Site]])</f>
        <v>SFK Freight Forwarder-Aichikikai Japon-CURITIBA CMO</v>
      </c>
      <c r="C49" s="65" t="str">
        <f ca="1">_xlfn.CONCAT(Tableau1[[#This Row],[Compte ILN]],"-",Tableau1[[#This Row],[Compte Shipper]],"-",Tableau1[[#This Row],[POL]],"-",Tableau1[[#This Row],[Compte Consignee]])</f>
        <v>0-112741-JPNGO-90018600</v>
      </c>
      <c r="D49" s="64" t="str">
        <f ca="1">_xlfn.CONCAT(Tableau1[[#This Row],[Compte ILN]],"-",Tableau1[[#This Row],[Compte Shipper]],"-",Tableau1[[#This Row],[POL]])</f>
        <v>0-112741-JPNGO</v>
      </c>
      <c r="E49" s="396" t="str">
        <f ca="1">_xlfn.CONCAT(Tableau1[[#This Row],[POL]],"-",Tableau1[[#This Row],[Carrier]],"-",Tableau1[[#This Row],[POD]])</f>
        <v>JPNGO-CMA-CGM-BRPNG</v>
      </c>
      <c r="F49" s="64" t="str">
        <f>_xlfn.CONCAT(Tableau1[[#This Row],[ID]],"-","Actif")</f>
        <v>1001-Actif</v>
      </c>
      <c r="G49" s="64" t="str">
        <f ca="1">_xlfn.CONCAT(Tableau1[[#This Row],[POD]],"-",Tableau1[[#This Row],[Code PFI]],"-",Tableau1[[#This Row],[Compte Consignee]])</f>
        <v>BRPNG---90018600</v>
      </c>
      <c r="H49" s="396" t="str">
        <f ca="1">_xlfn.CONCAT(IF(Tableau1[[#This Row],[Name ILN]]=Tableau1[[#This Row],[Name Shipper]],Tableau1[[#This Row],[Name ILN]],Tableau1[[#This Row],[Compte Shipper]]),Tableau1[[#This Row],[POL]],Tableau1[[#This Row],[Name Site]])</f>
        <v>112741JPNGOCURITIBA CMO</v>
      </c>
      <c r="I4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CMO-SFK Freight Forwarder-Aichikikai Japon-1001-JPNGO-CMA-CGM-BRPNG-</v>
      </c>
      <c r="J49" s="397" t="str">
        <f ca="1">IF(COUNTIF(I:I,Tableau1[[#This Row],[Plant-ILN-shipper-POL-Carrier-POD-PFI]])=1,"Non","Oui")</f>
        <v>Non</v>
      </c>
      <c r="K49" s="126" t="str">
        <f>VLOOKUP(Tableau1[[#This Row],[Name Site]],Plant_AILN!A:D,4,FALSE)</f>
        <v>BRAZIL</v>
      </c>
      <c r="L49" s="363" t="s">
        <v>168</v>
      </c>
      <c r="M49" s="480">
        <f>VLOOKUP(Tableau1[[#This Row],[Name Site]],Plant_AILN!A:C,3,FALSE)</f>
        <v>90018600</v>
      </c>
      <c r="N49" s="55">
        <f>VLOOKUP(Tableau1[[#This Row],[Compte Consignee]],Order!C:D,2,FALSE)</f>
        <v>7</v>
      </c>
      <c r="O49" s="114" t="s">
        <v>150</v>
      </c>
      <c r="P49" s="481">
        <f>VLOOKUP(Tableau1[[#This Row],[Name ILN]],Plant_AILN!F:G,2,FALSE)</f>
        <v>0</v>
      </c>
      <c r="Q49" s="50">
        <f>VLOOKUP(Tableau1[[#This Row],[Compte ILN]],'DATA ILN'!D:I,6,FALSE)</f>
        <v>9</v>
      </c>
      <c r="R49" s="50">
        <f ca="1">IFERROR(VLOOKUP(Tableau1[[#This Row],[Key(Compte ILN - shipper - POL - plant)]],'DATA ILN'!A:J,10,FALSE),VLOOKUP(Tableau1[[#This Row],[Key(Compte ILN - shipper - POL)]],'DATA ILN'!B:J,9,FALSE))</f>
        <v>14</v>
      </c>
      <c r="S49" s="50">
        <f ca="1">IFERROR(VLOOKUP(Tableau1[[#This Row],[Key(Compte ILN - shipper - POL - plant)]],'DATA ILN'!A:K,11,FALSE),VLOOKUP(Tableau1[[#This Row],[Key(Compte ILN - shipper - POL)]],'DATA ILN'!B:K,10,FALSE))</f>
        <v>5</v>
      </c>
      <c r="T49" s="50">
        <f ca="1">IFERROR(VLOOKUP(Tableau1[[#This Row],[Key(Compte ILN - shipper - POL - plant)]],'DATA ILN'!A:L,12,FALSE),VLOOKUP(Tableau1[[#This Row],[Key(Compte ILN - shipper - POL)]],'DATA ILN'!B:L,11,FALSE))</f>
        <v>7</v>
      </c>
      <c r="U49" s="50">
        <f ca="1">Tableau1[[#This Row],[Day ILN Order]]+Tableau1[[#This Row],[Delivery time to ILN/Shipper]]-1</f>
        <v>22</v>
      </c>
      <c r="V49" s="50">
        <f ca="1">IFERROR(VLOOKUP(Tableau1[[#This Row],[Key(Compte ILN - shipper - POL - plant)]],'DATA ILN'!A:N,14,FALSE),VLOOKUP(Tableau1[[#This Row],[Key(Compte ILN - shipper - POL)]],'DATA ILN'!B:N,13,FALSE))</f>
        <v>2</v>
      </c>
      <c r="W49" s="53">
        <f ca="1">IFERROR(VLOOKUP(Tableau1[[#This Row],[Key(Compte ILN - shipper - POL - plant)]],'DATA ILN'!A:P,16,FALSE),VLOOKUP(Tableau1[[#This Row],[Key(Compte ILN - shipper - POL)]],'DATA ILN'!B:P,15,FALSE))</f>
        <v>3</v>
      </c>
      <c r="X49" s="434" t="s">
        <v>174</v>
      </c>
      <c r="Y49" s="482">
        <f>IFERROR(VLOOKUP(Tableau1[[#This Row],[Name Shipper]],Plant_AILN!L:M,2,FALSE),0)</f>
        <v>112741</v>
      </c>
      <c r="Z49" s="358">
        <v>1001</v>
      </c>
      <c r="AA49" s="353" t="str">
        <f ca="1">VLOOKUP(Tableau1[[#This Row],[Key(ID-Actif)]],'DATA BTO'!A:N,5,FALSE)</f>
        <v>JPNGO</v>
      </c>
      <c r="AB49" s="3" t="str">
        <f ca="1">VLOOKUP(Tableau1[[#This Row],[Key(ID-Actif)]],'DATA BTO'!A:N,6,FALSE)</f>
        <v>CMA-CGM</v>
      </c>
      <c r="AC49" s="50">
        <f ca="1">VLOOKUP(Tableau1[[#This Row],[Key(ID-Actif)]],'DATA BTO'!A:N,7,FALSE)</f>
        <v>2</v>
      </c>
      <c r="AD49" s="50">
        <f ca="1">VLOOKUP(Tableau1[[#This Row],[Key(ID-Actif)]],'DATA BTO'!A:N,8,FALSE)</f>
        <v>4</v>
      </c>
      <c r="AE49" s="50">
        <f ca="1">IF(Tableau1[[#This Row],[First Day to POL]]&lt;=Tableau1[[#This Row],[Day Cut Off]],Tableau1[[#This Row],[Day ETD]],Tableau1[[#This Row],[Day ETD]]+7)</f>
        <v>11</v>
      </c>
      <c r="AF49" s="50">
        <f ca="1">VLOOKUP(Tableau1[[#This Row],[Key(ID-Actif)]],'DATA BTO'!A:N,9,FALSE)</f>
        <v>40</v>
      </c>
      <c r="AG49" s="3" t="str">
        <f ca="1">VLOOKUP(Tableau1[[#This Row],[Key(ID-Actif)]],'DATA BTO'!A:N,10,FALSE)</f>
        <v>BRPNG</v>
      </c>
      <c r="AH49" s="3">
        <f ca="1">VLOOKUP(Tableau1[[#This Row],[Key(ID-Actif)]],'DATA BTO'!A:N,11,FALSE)</f>
        <v>3</v>
      </c>
      <c r="AI49" s="50">
        <f ca="1">VLOOKUP(Tableau1[[#This Row],[Key(ID-Actif)]],'DATA BTO'!A:N,12,FALSE)</f>
        <v>0</v>
      </c>
      <c r="AJ49" s="53" t="str">
        <f ca="1">VLOOKUP(Tableau1[[#This Row],[Key(ID-Actif)]],'DATA BTO'!A:N,14,FALSE)</f>
        <v>Max</v>
      </c>
      <c r="AK49" s="54">
        <f ca="1">VLOOKUP(Tableau1[[#This Row],[Key(POD -PFI- Usine)]],'DATA Consignee'!A:F,6,FALSE)</f>
        <v>2</v>
      </c>
      <c r="AL49" s="125"/>
      <c r="AM49" s="483" t="str">
        <f>IF(Tableau1[[#This Row],[Name PFI/CDD]]="","-",VLOOKUP(Tableau1[[#This Row],[Name PFI/CDD]],Plant_AILN!I:J,2,FALSE))</f>
        <v>-</v>
      </c>
      <c r="AN4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9" s="2">
        <f ca="1">VLOOKUP(Tableau1[[#This Row],[Key(POD -PFI- Usine)]],'DATA Consignee'!A:J,10,FALSE)</f>
        <v>0</v>
      </c>
      <c r="AQ49" s="50">
        <f ca="1">VLOOKUP(Tableau1[[#This Row],[Key(POD -PFI- Usine)]],'DATA Consignee'!A:N,14,FALSE)</f>
        <v>2</v>
      </c>
      <c r="AR4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4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49" s="50">
        <f ca="1">Tableau1[[#This Row],[Transit time]]+Tableau1[[#This Row],[Time for security]]+Tableau1[[#This Row],[Time for security2 buffer]]</f>
        <v>43</v>
      </c>
      <c r="AU4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49" s="389">
        <f ca="1">Tableau1[[#This Row],[Leadtime SI2C]]+Tableau1[[#This Row],[First Receipt Days]]-Tableau1[[#This Row],[Day Customer Order]]+1</f>
        <v>85</v>
      </c>
      <c r="AW49" s="117">
        <f ca="1">IF(Tableau1[[#This Row],[Name ILN]]&lt;&gt;"SFK Freight Forwarder",Tableau1[[#This Row],[Cust. Leadtime]],Tableau1[[#This Row],[Leadtime SI2C]])</f>
        <v>69</v>
      </c>
      <c r="AX49" s="51" t="str">
        <f>VLOOKUP(Tableau1[[#This Row],[ID]],'DATA BTO'!B:P,15,FALSE)</f>
        <v>Nissan &gt; Horse</v>
      </c>
      <c r="AY49" s="328">
        <f ca="1">IFERROR(VLOOKUP(Tableau1[[#This Row],[Key(ID-Actif)]],'DATA BTO'!A:N,4,FALSE),VLOOKUP(Tableau1[[#This Row],[ID]],'DATA BTO'!B:N,3,FALSE))</f>
        <v>46142</v>
      </c>
      <c r="AZ49" s="50" t="str">
        <f>IF(ISNUMBER(Tableau1[[#This Row],[Day Customer Order]]),"-","Please Check 'Name' information in 'Order' Sheet to make sure they have information")</f>
        <v>-</v>
      </c>
      <c r="BA4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4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4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9" s="50"/>
    </row>
    <row r="50" spans="2:57">
      <c r="B50" s="447" t="str">
        <f>_xlfn.CONCAT(Tableau1[[#This Row],[Name ILN]],"-",Tableau1[[#This Row],[Name Shipper]],"-",Tableau1[[#This Row],[Name Site]])</f>
        <v>SFK Freight Forwarder-Aichikikai Japon-PALENCIA</v>
      </c>
      <c r="C50" s="65" t="str">
        <f ca="1">_xlfn.CONCAT(Tableau1[[#This Row],[Compte ILN]],"-",Tableau1[[#This Row],[Compte Shipper]],"-",Tableau1[[#This Row],[POL]],"-",Tableau1[[#This Row],[Compte Consignee]])</f>
        <v>0-112741-JPNGO-91017200</v>
      </c>
      <c r="D50" s="64" t="str">
        <f ca="1">_xlfn.CONCAT(Tableau1[[#This Row],[Compte ILN]],"-",Tableau1[[#This Row],[Compte Shipper]],"-",Tableau1[[#This Row],[POL]])</f>
        <v>0-112741-JPNGO</v>
      </c>
      <c r="E50" s="396" t="str">
        <f ca="1">_xlfn.CONCAT(Tableau1[[#This Row],[POL]],"-",Tableau1[[#This Row],[Carrier]],"-",Tableau1[[#This Row],[POD]])</f>
        <v>JPNGO-CMA-CGM-ESVLC</v>
      </c>
      <c r="F50" s="64" t="str">
        <f>_xlfn.CONCAT(Tableau1[[#This Row],[ID]],"-","Actif")</f>
        <v>1002-Actif</v>
      </c>
      <c r="G50" s="64" t="str">
        <f ca="1">_xlfn.CONCAT(Tableau1[[#This Row],[POD]],"-",Tableau1[[#This Row],[Code PFI]],"-",Tableau1[[#This Row],[Compte Consignee]])</f>
        <v>ESVLC-91018400-91017200</v>
      </c>
      <c r="H50" s="396" t="str">
        <f ca="1">_xlfn.CONCAT(IF(Tableau1[[#This Row],[Name ILN]]=Tableau1[[#This Row],[Name Shipper]],Tableau1[[#This Row],[Name ILN]],Tableau1[[#This Row],[Compte Shipper]]),Tableau1[[#This Row],[POL]],Tableau1[[#This Row],[Name Site]])</f>
        <v>112741JPNGOPALENCIA</v>
      </c>
      <c r="I5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PALENCIA-SFK Freight Forwarder-Aichikikai Japon-1002-JPNGO-CMA-CGM-ESVLC-CDD VLL</v>
      </c>
      <c r="J50" s="397" t="str">
        <f ca="1">IF(COUNTIF(I:I,Tableau1[[#This Row],[Plant-ILN-shipper-POL-Carrier-POD-PFI]])=1,"Non","Oui")</f>
        <v>Non</v>
      </c>
      <c r="K50" s="126" t="str">
        <f>VLOOKUP(Tableau1[[#This Row],[Name Site]],Plant_AILN!A:D,4,FALSE)</f>
        <v>SPAIN</v>
      </c>
      <c r="L50" s="363" t="s">
        <v>175</v>
      </c>
      <c r="M50" s="480">
        <f>VLOOKUP(Tableau1[[#This Row],[Name Site]],Plant_AILN!A:C,3,FALSE)</f>
        <v>91017200</v>
      </c>
      <c r="N50" s="55">
        <f>VLOOKUP(Tableau1[[#This Row],[Compte Consignee]],Order!C:D,2,FALSE)</f>
        <v>7</v>
      </c>
      <c r="O50" s="114" t="s">
        <v>150</v>
      </c>
      <c r="P50" s="481">
        <f>VLOOKUP(Tableau1[[#This Row],[Name ILN]],Plant_AILN!F:G,2,FALSE)</f>
        <v>0</v>
      </c>
      <c r="Q50" s="50">
        <f>VLOOKUP(Tableau1[[#This Row],[Compte ILN]],'DATA ILN'!D:I,6,FALSE)</f>
        <v>9</v>
      </c>
      <c r="R50" s="50">
        <f ca="1">IFERROR(VLOOKUP(Tableau1[[#This Row],[Key(Compte ILN - shipper - POL - plant)]],'DATA ILN'!A:J,10,FALSE),VLOOKUP(Tableau1[[#This Row],[Key(Compte ILN - shipper - POL)]],'DATA ILN'!B:J,9,FALSE))</f>
        <v>14</v>
      </c>
      <c r="S50" s="50">
        <f ca="1">IFERROR(VLOOKUP(Tableau1[[#This Row],[Key(Compte ILN - shipper - POL - plant)]],'DATA ILN'!A:K,11,FALSE),VLOOKUP(Tableau1[[#This Row],[Key(Compte ILN - shipper - POL)]],'DATA ILN'!B:K,10,FALSE))</f>
        <v>5</v>
      </c>
      <c r="T50" s="50">
        <f ca="1">IFERROR(VLOOKUP(Tableau1[[#This Row],[Key(Compte ILN - shipper - POL - plant)]],'DATA ILN'!A:L,12,FALSE),VLOOKUP(Tableau1[[#This Row],[Key(Compte ILN - shipper - POL)]],'DATA ILN'!B:L,11,FALSE))</f>
        <v>7</v>
      </c>
      <c r="U50" s="50">
        <f ca="1">Tableau1[[#This Row],[Day ILN Order]]+Tableau1[[#This Row],[Delivery time to ILN/Shipper]]-1</f>
        <v>22</v>
      </c>
      <c r="V50" s="50">
        <f ca="1">IFERROR(VLOOKUP(Tableau1[[#This Row],[Key(Compte ILN - shipper - POL - plant)]],'DATA ILN'!A:N,14,FALSE),VLOOKUP(Tableau1[[#This Row],[Key(Compte ILN - shipper - POL)]],'DATA ILN'!B:N,13,FALSE))</f>
        <v>2</v>
      </c>
      <c r="W50" s="53">
        <f ca="1">IFERROR(VLOOKUP(Tableau1[[#This Row],[Key(Compte ILN - shipper - POL - plant)]],'DATA ILN'!A:P,16,FALSE),VLOOKUP(Tableau1[[#This Row],[Key(Compte ILN - shipper - POL)]],'DATA ILN'!B:P,15,FALSE))</f>
        <v>3</v>
      </c>
      <c r="X50" s="434" t="s">
        <v>174</v>
      </c>
      <c r="Y50" s="482">
        <f>IFERROR(VLOOKUP(Tableau1[[#This Row],[Name Shipper]],Plant_AILN!L:M,2,FALSE),0)</f>
        <v>112741</v>
      </c>
      <c r="Z50" s="358">
        <v>1002</v>
      </c>
      <c r="AA50" s="353" t="str">
        <f ca="1">VLOOKUP(Tableau1[[#This Row],[Key(ID-Actif)]],'DATA BTO'!A:N,5,FALSE)</f>
        <v>JPNGO</v>
      </c>
      <c r="AB50" s="3" t="str">
        <f ca="1">VLOOKUP(Tableau1[[#This Row],[Key(ID-Actif)]],'DATA BTO'!A:N,6,FALSE)</f>
        <v>CMA-CGM</v>
      </c>
      <c r="AC50" s="50">
        <f ca="1">VLOOKUP(Tableau1[[#This Row],[Key(ID-Actif)]],'DATA BTO'!A:N,7,FALSE)</f>
        <v>2</v>
      </c>
      <c r="AD50" s="50">
        <f ca="1">VLOOKUP(Tableau1[[#This Row],[Key(ID-Actif)]],'DATA BTO'!A:N,8,FALSE)</f>
        <v>4</v>
      </c>
      <c r="AE50" s="50">
        <f ca="1">IF(Tableau1[[#This Row],[First Day to POL]]&lt;=Tableau1[[#This Row],[Day Cut Off]],Tableau1[[#This Row],[Day ETD]],Tableau1[[#This Row],[Day ETD]]+7)</f>
        <v>11</v>
      </c>
      <c r="AF50" s="50">
        <f ca="1">VLOOKUP(Tableau1[[#This Row],[Key(ID-Actif)]],'DATA BTO'!A:N,9,FALSE)</f>
        <v>48</v>
      </c>
      <c r="AG50" s="3" t="str">
        <f ca="1">VLOOKUP(Tableau1[[#This Row],[Key(ID-Actif)]],'DATA BTO'!A:N,10,FALSE)</f>
        <v>ESVLC</v>
      </c>
      <c r="AH50" s="3">
        <f ca="1">VLOOKUP(Tableau1[[#This Row],[Key(ID-Actif)]],'DATA BTO'!A:N,11,FALSE)</f>
        <v>3</v>
      </c>
      <c r="AI50" s="50">
        <f ca="1">VLOOKUP(Tableau1[[#This Row],[Key(ID-Actif)]],'DATA BTO'!A:N,12,FALSE)</f>
        <v>0</v>
      </c>
      <c r="AJ50" s="53" t="str">
        <f ca="1">VLOOKUP(Tableau1[[#This Row],[Key(ID-Actif)]],'DATA BTO'!A:N,14,FALSE)</f>
        <v>Max</v>
      </c>
      <c r="AK50" s="54">
        <f ca="1">VLOOKUP(Tableau1[[#This Row],[Key(POD -PFI- Usine)]],'DATA Consignee'!A:F,6,FALSE)</f>
        <v>2</v>
      </c>
      <c r="AL50" s="125" t="s">
        <v>166</v>
      </c>
      <c r="AM50" s="483">
        <f>IF(Tableau1[[#This Row],[Name PFI/CDD]]="","-",VLOOKUP(Tableau1[[#This Row],[Name PFI/CDD]],Plant_AILN!I:J,2,FALSE))</f>
        <v>91018400</v>
      </c>
      <c r="AN50" s="6">
        <f ca="1">IF(COUNTIF(buffer_train[AILN],Tableau1[[#This Row],[Name PFI/CDD]])&gt;0,Tableau1[[#This Row],[First Receipt Days]]+Tableau1[[#This Row],[Cust.]]+Tableau1[[#This Row],[Parts Vanning]]+Tableau1[[#This Row],[Transit Time2]],"-")</f>
        <v>91</v>
      </c>
      <c r="AO50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1</v>
      </c>
      <c r="AP50" s="2">
        <f ca="1">VLOOKUP(Tableau1[[#This Row],[Key(POD -PFI- Usine)]],'DATA Consignee'!A:J,10,FALSE)</f>
        <v>3</v>
      </c>
      <c r="AQ50" s="50">
        <f ca="1">VLOOKUP(Tableau1[[#This Row],[Key(POD -PFI- Usine)]],'DATA Consignee'!A:N,14,FALSE)</f>
        <v>2</v>
      </c>
      <c r="AR5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5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0" s="50">
        <f ca="1">Tableau1[[#This Row],[Transit time]]+Tableau1[[#This Row],[Time for security]]+Tableau1[[#This Row],[Time for security2 buffer]]</f>
        <v>51</v>
      </c>
      <c r="AU5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50" s="389">
        <f ca="1">Tableau1[[#This Row],[Leadtime SI2C]]+Tableau1[[#This Row],[First Receipt Days]]-Tableau1[[#This Row],[Day Customer Order]]+1</f>
        <v>92</v>
      </c>
      <c r="AW50" s="117">
        <f ca="1">IF(Tableau1[[#This Row],[Name ILN]]&lt;&gt;"SFK Freight Forwarder",Tableau1[[#This Row],[Cust. Leadtime]],Tableau1[[#This Row],[Leadtime SI2C]])</f>
        <v>76</v>
      </c>
      <c r="AX50" s="51" t="str">
        <f>VLOOKUP(Tableau1[[#This Row],[ID]],'DATA BTO'!B:P,15,FALSE)</f>
        <v>Nissan &gt; Renault</v>
      </c>
      <c r="AY50" s="328">
        <f ca="1">IFERROR(VLOOKUP(Tableau1[[#This Row],[Key(ID-Actif)]],'DATA BTO'!A:N,4,FALSE),VLOOKUP(Tableau1[[#This Row],[ID]],'DATA BTO'!B:N,3,FALSE))</f>
        <v>46142</v>
      </c>
      <c r="AZ50" s="50" t="str">
        <f>IF(ISNUMBER(Tableau1[[#This Row],[Day Customer Order]]),"-","Please Check 'Name' information in 'Order' Sheet to make sure they have information")</f>
        <v>-</v>
      </c>
      <c r="BA5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0" s="50"/>
    </row>
    <row r="51" spans="2:57">
      <c r="B51" s="447" t="str">
        <f>_xlfn.CONCAT(Tableau1[[#This Row],[Name ILN]],"-",Tableau1[[#This Row],[Name Shipper]],"-",Tableau1[[#This Row],[Name Site]])</f>
        <v>SFK Freight Forwarder-Aichikikai Japon-RKM</v>
      </c>
      <c r="C51" s="65" t="str">
        <f ca="1">_xlfn.CONCAT(Tableau1[[#This Row],[Compte ILN]],"-",Tableau1[[#This Row],[Compte Shipper]],"-",Tableau1[[#This Row],[POL]],"-",Tableau1[[#This Row],[Compte Consignee]])</f>
        <v>0-112741-JPNGO-92002200</v>
      </c>
      <c r="D51" s="64" t="str">
        <f ca="1">_xlfn.CONCAT(Tableau1[[#This Row],[Compte ILN]],"-",Tableau1[[#This Row],[Compte Shipper]],"-",Tableau1[[#This Row],[POL]])</f>
        <v>0-112741-JPNGO</v>
      </c>
      <c r="E51" s="396" t="str">
        <f ca="1">_xlfn.CONCAT(Tableau1[[#This Row],[POL]],"-",Tableau1[[#This Row],[Carrier]],"-",Tableau1[[#This Row],[POD]])</f>
        <v>JPNGO-CMA-CGM-KRPUS</v>
      </c>
      <c r="F51" s="64" t="str">
        <f>_xlfn.CONCAT(Tableau1[[#This Row],[ID]],"-","Actif")</f>
        <v>1003-Actif</v>
      </c>
      <c r="G51" s="64" t="str">
        <f ca="1">_xlfn.CONCAT(Tableau1[[#This Row],[POD]],"-",Tableau1[[#This Row],[Code PFI]],"-",Tableau1[[#This Row],[Compte Consignee]])</f>
        <v>KRPUS---92002200</v>
      </c>
      <c r="H51" s="396" t="str">
        <f ca="1">_xlfn.CONCAT(IF(Tableau1[[#This Row],[Name ILN]]=Tableau1[[#This Row],[Name Shipper]],Tableau1[[#This Row],[Name ILN]],Tableau1[[#This Row],[Compte Shipper]]),Tableau1[[#This Row],[POL]],Tableau1[[#This Row],[Name Site]])</f>
        <v>112741JPNGORKM</v>
      </c>
      <c r="I5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Forwarder-Aichikikai Japon-1003-JPNGO-CMA-CGM-KRPUS-</v>
      </c>
      <c r="J51" s="397" t="str">
        <f ca="1">IF(COUNTIF(I:I,Tableau1[[#This Row],[Plant-ILN-shipper-POL-Carrier-POD-PFI]])=1,"Non","Oui")</f>
        <v>Non</v>
      </c>
      <c r="K51" s="126" t="str">
        <f>VLOOKUP(Tableau1[[#This Row],[Name Site]],Plant_AILN!A:D,4,FALSE)</f>
        <v>KOREA</v>
      </c>
      <c r="L51" s="363" t="s">
        <v>36</v>
      </c>
      <c r="M51" s="480">
        <f>VLOOKUP(Tableau1[[#This Row],[Name Site]],Plant_AILN!A:C,3,FALSE)</f>
        <v>92002200</v>
      </c>
      <c r="N51" s="55">
        <f>VLOOKUP(Tableau1[[#This Row],[Compte Consignee]],Order!C:D,2,FALSE)</f>
        <v>7</v>
      </c>
      <c r="O51" s="114" t="s">
        <v>150</v>
      </c>
      <c r="P51" s="481">
        <f>VLOOKUP(Tableau1[[#This Row],[Name ILN]],Plant_AILN!F:G,2,FALSE)</f>
        <v>0</v>
      </c>
      <c r="Q51" s="50">
        <f>VLOOKUP(Tableau1[[#This Row],[Compte ILN]],'DATA ILN'!D:I,6,FALSE)</f>
        <v>9</v>
      </c>
      <c r="R51" s="50">
        <f ca="1">IFERROR(VLOOKUP(Tableau1[[#This Row],[Key(Compte ILN - shipper - POL - plant)]],'DATA ILN'!A:J,10,FALSE),VLOOKUP(Tableau1[[#This Row],[Key(Compte ILN - shipper - POL)]],'DATA ILN'!B:J,9,FALSE))</f>
        <v>14</v>
      </c>
      <c r="S51" s="50">
        <f ca="1">IFERROR(VLOOKUP(Tableau1[[#This Row],[Key(Compte ILN - shipper - POL - plant)]],'DATA ILN'!A:K,11,FALSE),VLOOKUP(Tableau1[[#This Row],[Key(Compte ILN - shipper - POL)]],'DATA ILN'!B:K,10,FALSE))</f>
        <v>5</v>
      </c>
      <c r="T51" s="50">
        <f ca="1">IFERROR(VLOOKUP(Tableau1[[#This Row],[Key(Compte ILN - shipper - POL - plant)]],'DATA ILN'!A:L,12,FALSE),VLOOKUP(Tableau1[[#This Row],[Key(Compte ILN - shipper - POL)]],'DATA ILN'!B:L,11,FALSE))</f>
        <v>7</v>
      </c>
      <c r="U51" s="50">
        <f ca="1">Tableau1[[#This Row],[Day ILN Order]]+Tableau1[[#This Row],[Delivery time to ILN/Shipper]]-1</f>
        <v>22</v>
      </c>
      <c r="V51" s="50">
        <f ca="1">IFERROR(VLOOKUP(Tableau1[[#This Row],[Key(Compte ILN - shipper - POL - plant)]],'DATA ILN'!A:N,14,FALSE),VLOOKUP(Tableau1[[#This Row],[Key(Compte ILN - shipper - POL)]],'DATA ILN'!B:N,13,FALSE))</f>
        <v>2</v>
      </c>
      <c r="W51" s="53">
        <f ca="1">IFERROR(VLOOKUP(Tableau1[[#This Row],[Key(Compte ILN - shipper - POL - plant)]],'DATA ILN'!A:P,16,FALSE),VLOOKUP(Tableau1[[#This Row],[Key(Compte ILN - shipper - POL)]],'DATA ILN'!B:P,15,FALSE))</f>
        <v>3</v>
      </c>
      <c r="X51" s="434" t="s">
        <v>174</v>
      </c>
      <c r="Y51" s="482">
        <f>IFERROR(VLOOKUP(Tableau1[[#This Row],[Name Shipper]],Plant_AILN!L:M,2,FALSE),0)</f>
        <v>112741</v>
      </c>
      <c r="Z51" s="358">
        <v>1003</v>
      </c>
      <c r="AA51" s="353" t="str">
        <f ca="1">VLOOKUP(Tableau1[[#This Row],[Key(ID-Actif)]],'DATA BTO'!A:N,5,FALSE)</f>
        <v>JPNGO</v>
      </c>
      <c r="AB51" s="3" t="str">
        <f ca="1">VLOOKUP(Tableau1[[#This Row],[Key(ID-Actif)]],'DATA BTO'!A:N,6,FALSE)</f>
        <v>CMA-CGM</v>
      </c>
      <c r="AC51" s="50">
        <f ca="1">VLOOKUP(Tableau1[[#This Row],[Key(ID-Actif)]],'DATA BTO'!A:N,7,FALSE)</f>
        <v>5</v>
      </c>
      <c r="AD51" s="50">
        <f ca="1">VLOOKUP(Tableau1[[#This Row],[Key(ID-Actif)]],'DATA BTO'!A:N,8,FALSE)</f>
        <v>6</v>
      </c>
      <c r="AE51" s="50">
        <f ca="1">IF(Tableau1[[#This Row],[First Day to POL]]&lt;=Tableau1[[#This Row],[Day Cut Off]],Tableau1[[#This Row],[Day ETD]],Tableau1[[#This Row],[Day ETD]]+7)</f>
        <v>6</v>
      </c>
      <c r="AF51" s="50">
        <f ca="1">VLOOKUP(Tableau1[[#This Row],[Key(ID-Actif)]],'DATA BTO'!A:N,9,FALSE)</f>
        <v>5</v>
      </c>
      <c r="AG51" s="3" t="str">
        <f ca="1">VLOOKUP(Tableau1[[#This Row],[Key(ID-Actif)]],'DATA BTO'!A:N,10,FALSE)</f>
        <v>KRPUS</v>
      </c>
      <c r="AH51" s="3">
        <f ca="1">VLOOKUP(Tableau1[[#This Row],[Key(ID-Actif)]],'DATA BTO'!A:N,11,FALSE)</f>
        <v>3</v>
      </c>
      <c r="AI51" s="50">
        <f ca="1">VLOOKUP(Tableau1[[#This Row],[Key(ID-Actif)]],'DATA BTO'!A:N,12,FALSE)</f>
        <v>0</v>
      </c>
      <c r="AJ51" s="53" t="str">
        <f ca="1">VLOOKUP(Tableau1[[#This Row],[Key(ID-Actif)]],'DATA BTO'!A:N,14,FALSE)</f>
        <v>Max</v>
      </c>
      <c r="AK51" s="54">
        <f ca="1">VLOOKUP(Tableau1[[#This Row],[Key(POD -PFI- Usine)]],'DATA Consignee'!A:F,6,FALSE)</f>
        <v>2</v>
      </c>
      <c r="AL51" s="125"/>
      <c r="AM51" s="483" t="str">
        <f>IF(Tableau1[[#This Row],[Name PFI/CDD]]="","-",VLOOKUP(Tableau1[[#This Row],[Name PFI/CDD]],Plant_AILN!I:J,2,FALSE))</f>
        <v>-</v>
      </c>
      <c r="AN5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1" s="2">
        <f ca="1">VLOOKUP(Tableau1[[#This Row],[Key(POD -PFI- Usine)]],'DATA Consignee'!A:J,10,FALSE)</f>
        <v>0</v>
      </c>
      <c r="AQ51" s="50">
        <f ca="1">VLOOKUP(Tableau1[[#This Row],[Key(POD -PFI- Usine)]],'DATA Consignee'!A:N,14,FALSE)</f>
        <v>1</v>
      </c>
      <c r="AR5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5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51" s="50">
        <f ca="1">Tableau1[[#This Row],[Transit time]]+Tableau1[[#This Row],[Time for security]]+Tableau1[[#This Row],[Time for security2 buffer]]</f>
        <v>8</v>
      </c>
      <c r="AU5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27</v>
      </c>
      <c r="AV51" s="389">
        <f ca="1">Tableau1[[#This Row],[Leadtime SI2C]]+Tableau1[[#This Row],[First Receipt Days]]-Tableau1[[#This Row],[Day Customer Order]]+1</f>
        <v>43</v>
      </c>
      <c r="AW51" s="117">
        <f ca="1">IF(Tableau1[[#This Row],[Name ILN]]&lt;&gt;"SFK Freight Forwarder",Tableau1[[#This Row],[Cust. Leadtime]],Tableau1[[#This Row],[Leadtime SI2C]])</f>
        <v>27</v>
      </c>
      <c r="AX51" s="51" t="str">
        <f>VLOOKUP(Tableau1[[#This Row],[ID]],'DATA BTO'!B:P,15,FALSE)</f>
        <v>Nissan &gt; Renault</v>
      </c>
      <c r="AY51" s="328">
        <f ca="1">IFERROR(VLOOKUP(Tableau1[[#This Row],[Key(ID-Actif)]],'DATA BTO'!A:N,4,FALSE),VLOOKUP(Tableau1[[#This Row],[ID]],'DATA BTO'!B:N,3,FALSE))</f>
        <v>46142</v>
      </c>
      <c r="AZ51" s="50" t="str">
        <f>IF(ISNUMBER(Tableau1[[#This Row],[Day Customer Order]]),"-","Please Check 'Name' information in 'Order' Sheet to make sure they have information")</f>
        <v>-</v>
      </c>
      <c r="BA5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1" s="50"/>
    </row>
    <row r="52" spans="2:57">
      <c r="B52" s="447" t="str">
        <f>_xlfn.CONCAT(Tableau1[[#This Row],[Name ILN]],"-",Tableau1[[#This Row],[Name Shipper]],"-",Tableau1[[#This Row],[Name Site]])</f>
        <v>SFK Freight Forwarder-Jatco Japon-SOFASA</v>
      </c>
      <c r="C52" s="65" t="str">
        <f ca="1">_xlfn.CONCAT(Tableau1[[#This Row],[Compte ILN]],"-",Tableau1[[#This Row],[Compte Shipper]],"-",Tableau1[[#This Row],[POL]],"-",Tableau1[[#This Row],[Compte Consignee]])</f>
        <v>0-119640-JPSMZ-9510600</v>
      </c>
      <c r="D52" s="64" t="str">
        <f ca="1">_xlfn.CONCAT(Tableau1[[#This Row],[Compte ILN]],"-",Tableau1[[#This Row],[Compte Shipper]],"-",Tableau1[[#This Row],[POL]])</f>
        <v>0-119640-JPSMZ</v>
      </c>
      <c r="E52" s="396" t="str">
        <f ca="1">_xlfn.CONCAT(Tableau1[[#This Row],[POL]],"-",Tableau1[[#This Row],[Carrier]],"-",Tableau1[[#This Row],[POD]])</f>
        <v>JPSMZ-CMA-CGM-COBUN</v>
      </c>
      <c r="F52" s="64" t="str">
        <f>_xlfn.CONCAT(Tableau1[[#This Row],[ID]],"-","Actif")</f>
        <v>1005-Actif</v>
      </c>
      <c r="G52" s="64" t="str">
        <f ca="1">_xlfn.CONCAT(Tableau1[[#This Row],[POD]],"-",Tableau1[[#This Row],[Code PFI]],"-",Tableau1[[#This Row],[Compte Consignee]])</f>
        <v>COBUN---9510600</v>
      </c>
      <c r="H52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119640JPSMZSOFASA</v>
      </c>
      <c r="I5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SOFASA-SFK Freight Forwarder-Jatco Japon-1005-JPSMZ-CMA-CGM-COBUN-</v>
      </c>
      <c r="J52" s="397" t="str">
        <f ca="1">IF(COUNTIF(I:I,Tableau1[[#This Row],[Plant-ILN-shipper-POL-Carrier-POD-PFI]])=1,"Non","Oui")</f>
        <v>Non</v>
      </c>
      <c r="K52" s="126" t="str">
        <f>VLOOKUP(Tableau1[[#This Row],[Name Site]],Plant_AILN!A:D,4,FALSE)</f>
        <v>COLOMBIA</v>
      </c>
      <c r="L52" s="363" t="s">
        <v>176</v>
      </c>
      <c r="M52" s="480">
        <f>VLOOKUP(Tableau1[[#This Row],[Name Site]],Plant_AILN!A:C,3,FALSE)</f>
        <v>9510600</v>
      </c>
      <c r="N52" s="55">
        <f>VLOOKUP(Tableau1[[#This Row],[Compte Consignee]],Order!C:D,2,FALSE)</f>
        <v>7</v>
      </c>
      <c r="O52" s="114" t="s">
        <v>150</v>
      </c>
      <c r="P52" s="481">
        <f>VLOOKUP(Tableau1[[#This Row],[Name ILN]],Plant_AILN!F:G,2,FALSE)</f>
        <v>0</v>
      </c>
      <c r="Q52" s="50">
        <f>VLOOKUP(Tableau1[[#This Row],[Compte ILN]],'DATA ILN'!D:I,6,FALSE)</f>
        <v>9</v>
      </c>
      <c r="R52" s="50">
        <f ca="1">IFERROR(VLOOKUP(Tableau1[[#This Row],[Key(Compte ILN - shipper - POL - plant)]],'DATA ILN'!A:J,10,FALSE),VLOOKUP(Tableau1[[#This Row],[Key(Compte ILN - shipper - POL)]],'DATA ILN'!B:J,9,FALSE))</f>
        <v>14</v>
      </c>
      <c r="S52" s="50">
        <f ca="1">IFERROR(VLOOKUP(Tableau1[[#This Row],[Key(Compte ILN - shipper - POL - plant)]],'DATA ILN'!A:K,11,FALSE),VLOOKUP(Tableau1[[#This Row],[Key(Compte ILN - shipper - POL)]],'DATA ILN'!B:K,10,FALSE))</f>
        <v>5</v>
      </c>
      <c r="T52" s="50">
        <f ca="1">IFERROR(VLOOKUP(Tableau1[[#This Row],[Key(Compte ILN - shipper - POL - plant)]],'DATA ILN'!A:L,12,FALSE),VLOOKUP(Tableau1[[#This Row],[Key(Compte ILN - shipper - POL)]],'DATA ILN'!B:L,11,FALSE))</f>
        <v>7</v>
      </c>
      <c r="U52" s="50">
        <f ca="1">Tableau1[[#This Row],[Day ILN Order]]+Tableau1[[#This Row],[Delivery time to ILN/Shipper]]-1</f>
        <v>22</v>
      </c>
      <c r="V52" s="50">
        <f ca="1">IFERROR(VLOOKUP(Tableau1[[#This Row],[Key(Compte ILN - shipper - POL - plant)]],'DATA ILN'!A:N,14,FALSE),VLOOKUP(Tableau1[[#This Row],[Key(Compte ILN - shipper - POL)]],'DATA ILN'!B:N,13,FALSE))</f>
        <v>1</v>
      </c>
      <c r="W52" s="53">
        <f ca="1">IFERROR(VLOOKUP(Tableau1[[#This Row],[Key(Compte ILN - shipper - POL - plant)]],'DATA ILN'!A:P,16,FALSE),VLOOKUP(Tableau1[[#This Row],[Key(Compte ILN - shipper - POL)]],'DATA ILN'!B:P,15,FALSE))</f>
        <v>3</v>
      </c>
      <c r="X52" s="283" t="s">
        <v>177</v>
      </c>
      <c r="Y52" s="482">
        <f>IFERROR(VLOOKUP(Tableau1[[#This Row],[Name Shipper]],Plant_AILN!L:M,2,FALSE),0)</f>
        <v>119640</v>
      </c>
      <c r="Z52" s="358">
        <v>1005</v>
      </c>
      <c r="AA52" s="353" t="str">
        <f ca="1">VLOOKUP(Tableau1[[#This Row],[Key(ID-Actif)]],'DATA BTO'!A:N,5,FALSE)</f>
        <v>JPSMZ</v>
      </c>
      <c r="AB52" s="3" t="str">
        <f ca="1">VLOOKUP(Tableau1[[#This Row],[Key(ID-Actif)]],'DATA BTO'!A:N,6,FALSE)</f>
        <v>CMA-CGM</v>
      </c>
      <c r="AC52" s="50">
        <f ca="1">VLOOKUP(Tableau1[[#This Row],[Key(ID-Actif)]],'DATA BTO'!A:N,7,FALSE)</f>
        <v>2</v>
      </c>
      <c r="AD52" s="50">
        <f ca="1">VLOOKUP(Tableau1[[#This Row],[Key(ID-Actif)]],'DATA BTO'!A:N,8,FALSE)</f>
        <v>4</v>
      </c>
      <c r="AE52" s="50">
        <f ca="1">IF(Tableau1[[#This Row],[First Day to POL]]&lt;=Tableau1[[#This Row],[Day Cut Off]],Tableau1[[#This Row],[Day ETD]],Tableau1[[#This Row],[Day ETD]]+7)</f>
        <v>11</v>
      </c>
      <c r="AF52" s="50">
        <f ca="1">VLOOKUP(Tableau1[[#This Row],[Key(ID-Actif)]],'DATA BTO'!A:N,9,FALSE)</f>
        <v>35</v>
      </c>
      <c r="AG52" s="3" t="str">
        <f ca="1">VLOOKUP(Tableau1[[#This Row],[Key(ID-Actif)]],'DATA BTO'!A:N,10,FALSE)</f>
        <v>COBUN</v>
      </c>
      <c r="AH52" s="3">
        <f ca="1">VLOOKUP(Tableau1[[#This Row],[Key(ID-Actif)]],'DATA BTO'!A:N,11,FALSE)</f>
        <v>3</v>
      </c>
      <c r="AI52" s="50">
        <f ca="1">VLOOKUP(Tableau1[[#This Row],[Key(ID-Actif)]],'DATA BTO'!A:N,12,FALSE)</f>
        <v>7</v>
      </c>
      <c r="AJ52" s="53" t="str">
        <f ca="1">VLOOKUP(Tableau1[[#This Row],[Key(ID-Actif)]],'DATA BTO'!A:N,14,FALSE)</f>
        <v>Max</v>
      </c>
      <c r="AK52" s="54">
        <f ca="1">VLOOKUP(Tableau1[[#This Row],[Key(POD -PFI- Usine)]],'DATA Consignee'!A:F,6,FALSE)</f>
        <v>0</v>
      </c>
      <c r="AL52" s="125"/>
      <c r="AM52" s="483" t="str">
        <f>IF(Tableau1[[#This Row],[Name PFI/CDD]]="","-",VLOOKUP(Tableau1[[#This Row],[Name PFI/CDD]],Plant_AILN!I:J,2,FALSE))</f>
        <v>-</v>
      </c>
      <c r="AN5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2" s="2">
        <f ca="1">VLOOKUP(Tableau1[[#This Row],[Key(POD -PFI- Usine)]],'DATA Consignee'!A:J,10,FALSE)</f>
        <v>0</v>
      </c>
      <c r="AQ52" s="50">
        <f ca="1">VLOOKUP(Tableau1[[#This Row],[Key(POD -PFI- Usine)]],'DATA Consignee'!A:N,14,FALSE)</f>
        <v>0</v>
      </c>
      <c r="AR5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5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2" s="50">
        <f ca="1">Tableau1[[#This Row],[Transit time]]+Tableau1[[#This Row],[Time for security]]+Tableau1[[#This Row],[Time for security2 buffer]]</f>
        <v>45</v>
      </c>
      <c r="AU5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52" s="389">
        <f ca="1">Tableau1[[#This Row],[Leadtime SI2C]]+Tableau1[[#This Row],[First Receipt Days]]-Tableau1[[#This Row],[Day Customer Order]]+1</f>
        <v>78</v>
      </c>
      <c r="AW52" s="117">
        <f ca="1">IF(Tableau1[[#This Row],[Name ILN]]&lt;&gt;"SFK Freight Forwarder",Tableau1[[#This Row],[Cust. Leadtime]],Tableau1[[#This Row],[Leadtime SI2C]])</f>
        <v>62</v>
      </c>
      <c r="AX52" s="51" t="str">
        <f>VLOOKUP(Tableau1[[#This Row],[ID]],'DATA BTO'!B:P,15,FALSE)</f>
        <v>Nissan &gt; Renault</v>
      </c>
      <c r="AY52" s="328">
        <f ca="1">IFERROR(VLOOKUP(Tableau1[[#This Row],[Key(ID-Actif)]],'DATA BTO'!A:N,4,FALSE),VLOOKUP(Tableau1[[#This Row],[ID]],'DATA BTO'!B:N,3,FALSE))</f>
        <v>46142</v>
      </c>
      <c r="AZ52" s="50" t="str">
        <f>IF(ISNUMBER(Tableau1[[#This Row],[Day Customer Order]]),"-","Please Check 'Name' information in 'Order' Sheet to make sure they have information")</f>
        <v>-</v>
      </c>
      <c r="BA5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2" s="50"/>
    </row>
    <row r="53" spans="2:57">
      <c r="B53" s="447" t="str">
        <f>_xlfn.CONCAT(Tableau1[[#This Row],[Name ILN]],"-",Tableau1[[#This Row],[Name Shipper]],"-",Tableau1[[#This Row],[Name Site]])</f>
        <v>SFK Freight Forwarder-Jatco Japon-SOMACA</v>
      </c>
      <c r="C53" s="65" t="str">
        <f ca="1">_xlfn.CONCAT(Tableau1[[#This Row],[Compte ILN]],"-",Tableau1[[#This Row],[Compte Shipper]],"-",Tableau1[[#This Row],[POL]],"-",Tableau1[[#This Row],[Compte Consignee]])</f>
        <v>0-119640-JPSMZ-90038200</v>
      </c>
      <c r="D53" s="64" t="str">
        <f ca="1">_xlfn.CONCAT(Tableau1[[#This Row],[Compte ILN]],"-",Tableau1[[#This Row],[Compte Shipper]],"-",Tableau1[[#This Row],[POL]])</f>
        <v>0-119640-JPSMZ</v>
      </c>
      <c r="E53" s="396" t="str">
        <f ca="1">_xlfn.CONCAT(Tableau1[[#This Row],[POL]],"-",Tableau1[[#This Row],[Carrier]],"-",Tableau1[[#This Row],[POD]])</f>
        <v>JPSMZ-CMA-CGM-MACAS</v>
      </c>
      <c r="F53" s="64" t="str">
        <f>_xlfn.CONCAT(Tableau1[[#This Row],[ID]],"-","Actif")</f>
        <v>1006-Actif</v>
      </c>
      <c r="G53" s="64" t="str">
        <f ca="1">_xlfn.CONCAT(Tableau1[[#This Row],[POD]],"-",Tableau1[[#This Row],[Code PFI]],"-",Tableau1[[#This Row],[Compte Consignee]])</f>
        <v>MACAS---90038200</v>
      </c>
      <c r="H53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119640JPSMZSOMACA</v>
      </c>
      <c r="I5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SOMACA-SFK Freight Forwarder-Jatco Japon-1006-JPSMZ-CMA-CGM-MACAS-</v>
      </c>
      <c r="J53" s="397" t="str">
        <f ca="1">IF(COUNTIF(I:I,Tableau1[[#This Row],[Plant-ILN-shipper-POL-Carrier-POD-PFI]])=1,"Non","Oui")</f>
        <v>Non</v>
      </c>
      <c r="K53" s="126" t="str">
        <f>VLOOKUP(Tableau1[[#This Row],[Name Site]],Plant_AILN!A:D,4,FALSE)</f>
        <v>MOROCCO</v>
      </c>
      <c r="L53" s="363" t="s">
        <v>178</v>
      </c>
      <c r="M53" s="480">
        <f>VLOOKUP(Tableau1[[#This Row],[Name Site]],Plant_AILN!A:C,3,FALSE)</f>
        <v>90038200</v>
      </c>
      <c r="N53" s="55">
        <f>VLOOKUP(Tableau1[[#This Row],[Compte Consignee]],Order!C:D,2,FALSE)</f>
        <v>7</v>
      </c>
      <c r="O53" s="114" t="s">
        <v>150</v>
      </c>
      <c r="P53" s="481">
        <f>VLOOKUP(Tableau1[[#This Row],[Name ILN]],Plant_AILN!F:G,2,FALSE)</f>
        <v>0</v>
      </c>
      <c r="Q53" s="50">
        <f>VLOOKUP(Tableau1[[#This Row],[Compte ILN]],'DATA ILN'!D:I,6,FALSE)</f>
        <v>9</v>
      </c>
      <c r="R53" s="50">
        <f ca="1">IFERROR(VLOOKUP(Tableau1[[#This Row],[Key(Compte ILN - shipper - POL - plant)]],'DATA ILN'!A:J,10,FALSE),VLOOKUP(Tableau1[[#This Row],[Key(Compte ILN - shipper - POL)]],'DATA ILN'!B:J,9,FALSE))</f>
        <v>14</v>
      </c>
      <c r="S53" s="50">
        <f ca="1">IFERROR(VLOOKUP(Tableau1[[#This Row],[Key(Compte ILN - shipper - POL - plant)]],'DATA ILN'!A:K,11,FALSE),VLOOKUP(Tableau1[[#This Row],[Key(Compte ILN - shipper - POL)]],'DATA ILN'!B:K,10,FALSE))</f>
        <v>5</v>
      </c>
      <c r="T53" s="50">
        <f ca="1">IFERROR(VLOOKUP(Tableau1[[#This Row],[Key(Compte ILN - shipper - POL - plant)]],'DATA ILN'!A:L,12,FALSE),VLOOKUP(Tableau1[[#This Row],[Key(Compte ILN - shipper - POL)]],'DATA ILN'!B:L,11,FALSE))</f>
        <v>7</v>
      </c>
      <c r="U53" s="50">
        <f ca="1">Tableau1[[#This Row],[Day ILN Order]]+Tableau1[[#This Row],[Delivery time to ILN/Shipper]]-1</f>
        <v>22</v>
      </c>
      <c r="V53" s="50">
        <f ca="1">IFERROR(VLOOKUP(Tableau1[[#This Row],[Key(Compte ILN - shipper - POL - plant)]],'DATA ILN'!A:N,14,FALSE),VLOOKUP(Tableau1[[#This Row],[Key(Compte ILN - shipper - POL)]],'DATA ILN'!B:N,13,FALSE))</f>
        <v>1</v>
      </c>
      <c r="W53" s="53">
        <f ca="1">IFERROR(VLOOKUP(Tableau1[[#This Row],[Key(Compte ILN - shipper - POL - plant)]],'DATA ILN'!A:P,16,FALSE),VLOOKUP(Tableau1[[#This Row],[Key(Compte ILN - shipper - POL)]],'DATA ILN'!B:P,15,FALSE))</f>
        <v>3</v>
      </c>
      <c r="X53" s="283" t="s">
        <v>177</v>
      </c>
      <c r="Y53" s="482">
        <f>IFERROR(VLOOKUP(Tableau1[[#This Row],[Name Shipper]],Plant_AILN!L:M,2,FALSE),0)</f>
        <v>119640</v>
      </c>
      <c r="Z53" s="358">
        <v>1006</v>
      </c>
      <c r="AA53" s="353" t="str">
        <f ca="1">VLOOKUP(Tableau1[[#This Row],[Key(ID-Actif)]],'DATA BTO'!A:N,5,FALSE)</f>
        <v>JPSMZ</v>
      </c>
      <c r="AB53" s="3" t="str">
        <f ca="1">VLOOKUP(Tableau1[[#This Row],[Key(ID-Actif)]],'DATA BTO'!A:N,6,FALSE)</f>
        <v>CMA-CGM</v>
      </c>
      <c r="AC53" s="50">
        <f ca="1">VLOOKUP(Tableau1[[#This Row],[Key(ID-Actif)]],'DATA BTO'!A:N,7,FALSE)</f>
        <v>2</v>
      </c>
      <c r="AD53" s="50">
        <f ca="1">VLOOKUP(Tableau1[[#This Row],[Key(ID-Actif)]],'DATA BTO'!A:N,8,FALSE)</f>
        <v>4</v>
      </c>
      <c r="AE53" s="50">
        <f ca="1">IF(Tableau1[[#This Row],[First Day to POL]]&lt;=Tableau1[[#This Row],[Day Cut Off]],Tableau1[[#This Row],[Day ETD]],Tableau1[[#This Row],[Day ETD]]+7)</f>
        <v>11</v>
      </c>
      <c r="AF53" s="50">
        <f ca="1">VLOOKUP(Tableau1[[#This Row],[Key(ID-Actif)]],'DATA BTO'!A:N,9,FALSE)</f>
        <v>57</v>
      </c>
      <c r="AG53" s="3" t="str">
        <f ca="1">VLOOKUP(Tableau1[[#This Row],[Key(ID-Actif)]],'DATA BTO'!A:N,10,FALSE)</f>
        <v>MACAS</v>
      </c>
      <c r="AH53" s="3">
        <f ca="1">VLOOKUP(Tableau1[[#This Row],[Key(ID-Actif)]],'DATA BTO'!A:N,11,FALSE)</f>
        <v>3</v>
      </c>
      <c r="AI53" s="50">
        <f ca="1">VLOOKUP(Tableau1[[#This Row],[Key(ID-Actif)]],'DATA BTO'!A:N,12,FALSE)</f>
        <v>0</v>
      </c>
      <c r="AJ53" s="53" t="str">
        <f ca="1">VLOOKUP(Tableau1[[#This Row],[Key(ID-Actif)]],'DATA BTO'!A:N,14,FALSE)</f>
        <v>Max</v>
      </c>
      <c r="AK53" s="54">
        <f ca="1">VLOOKUP(Tableau1[[#This Row],[Key(POD -PFI- Usine)]],'DATA Consignee'!A:F,6,FALSE)</f>
        <v>1</v>
      </c>
      <c r="AL53" s="125"/>
      <c r="AM53" s="483" t="str">
        <f>IF(Tableau1[[#This Row],[Name PFI/CDD]]="","-",VLOOKUP(Tableau1[[#This Row],[Name PFI/CDD]],Plant_AILN!I:J,2,FALSE))</f>
        <v>-</v>
      </c>
      <c r="AN5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3" s="2">
        <f ca="1">VLOOKUP(Tableau1[[#This Row],[Key(POD -PFI- Usine)]],'DATA Consignee'!A:J,10,FALSE)</f>
        <v>0</v>
      </c>
      <c r="AQ53" s="50">
        <f ca="1">VLOOKUP(Tableau1[[#This Row],[Key(POD -PFI- Usine)]],'DATA Consignee'!A:N,14,FALSE)</f>
        <v>4</v>
      </c>
      <c r="AR5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5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3" s="50">
        <f ca="1">Tableau1[[#This Row],[Transit time]]+Tableau1[[#This Row],[Time for security]]+Tableau1[[#This Row],[Time for security2 buffer]]</f>
        <v>60</v>
      </c>
      <c r="AU5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53" s="389">
        <f ca="1">Tableau1[[#This Row],[Leadtime SI2C]]+Tableau1[[#This Row],[First Receipt Days]]-Tableau1[[#This Row],[Day Customer Order]]+1</f>
        <v>99</v>
      </c>
      <c r="AW53" s="117">
        <f ca="1">IF(Tableau1[[#This Row],[Name ILN]]&lt;&gt;"SFK Freight Forwarder",Tableau1[[#This Row],[Cust. Leadtime]],Tableau1[[#This Row],[Leadtime SI2C]])</f>
        <v>83</v>
      </c>
      <c r="AX53" s="51" t="str">
        <f>VLOOKUP(Tableau1[[#This Row],[ID]],'DATA BTO'!B:P,15,FALSE)</f>
        <v>Nissan &gt; Renault</v>
      </c>
      <c r="AY53" s="328">
        <f ca="1">IFERROR(VLOOKUP(Tableau1[[#This Row],[Key(ID-Actif)]],'DATA BTO'!A:N,4,FALSE),VLOOKUP(Tableau1[[#This Row],[ID]],'DATA BTO'!B:N,3,FALSE))</f>
        <v>46142</v>
      </c>
      <c r="AZ53" s="50" t="str">
        <f>IF(ISNUMBER(Tableau1[[#This Row],[Day Customer Order]]),"-","Please Check 'Name' information in 'Order' Sheet to make sure they have information")</f>
        <v>-</v>
      </c>
      <c r="BA5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3" s="50"/>
    </row>
    <row r="54" spans="2:57">
      <c r="B54" s="447" t="str">
        <f>_xlfn.CONCAT(Tableau1[[#This Row],[Name ILN]],"-",Tableau1[[#This Row],[Name Shipper]],"-",Tableau1[[#This Row],[Name Site]])</f>
        <v>SFK Freight Forwarder-Jatco Japon-TANGER</v>
      </c>
      <c r="C54" s="65" t="str">
        <f ca="1">_xlfn.CONCAT(Tableau1[[#This Row],[Compte ILN]],"-",Tableau1[[#This Row],[Compte Shipper]],"-",Tableau1[[#This Row],[POL]],"-",Tableau1[[#This Row],[Compte Consignee]])</f>
        <v>0-119640-JPSMZ-900383</v>
      </c>
      <c r="D54" s="64" t="str">
        <f ca="1">_xlfn.CONCAT(Tableau1[[#This Row],[Compte ILN]],"-",Tableau1[[#This Row],[Compte Shipper]],"-",Tableau1[[#This Row],[POL]])</f>
        <v>0-119640-JPSMZ</v>
      </c>
      <c r="E54" s="396" t="str">
        <f ca="1">_xlfn.CONCAT(Tableau1[[#This Row],[POL]],"-",Tableau1[[#This Row],[Carrier]],"-",Tableau1[[#This Row],[POD]])</f>
        <v>JPSMZ-ONE-MAPTM</v>
      </c>
      <c r="F54" s="64" t="str">
        <f>_xlfn.CONCAT(Tableau1[[#This Row],[ID]],"-","Actif")</f>
        <v>1007-Actif</v>
      </c>
      <c r="G54" s="64" t="str">
        <f ca="1">_xlfn.CONCAT(Tableau1[[#This Row],[POD]],"-",Tableau1[[#This Row],[Code PFI]],"-",Tableau1[[#This Row],[Compte Consignee]])</f>
        <v>MAPTM---900383</v>
      </c>
      <c r="H54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119640JPSMZTANGER</v>
      </c>
      <c r="I5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TANGER-SFK Freight Forwarder-Jatco Japon-1007-JPSMZ-ONE-MAPTM-</v>
      </c>
      <c r="J54" s="397" t="str">
        <f ca="1">IF(COUNTIF(I:I,Tableau1[[#This Row],[Plant-ILN-shipper-POL-Carrier-POD-PFI]])=1,"Non","Oui")</f>
        <v>Non</v>
      </c>
      <c r="K54" s="126" t="str">
        <f>VLOOKUP(Tableau1[[#This Row],[Name Site]],Plant_AILN!A:D,4,FALSE)</f>
        <v>MOROCCO</v>
      </c>
      <c r="L54" s="363" t="s">
        <v>179</v>
      </c>
      <c r="M54" s="480">
        <f>VLOOKUP(Tableau1[[#This Row],[Name Site]],Plant_AILN!A:C,3,FALSE)</f>
        <v>900383</v>
      </c>
      <c r="N54" s="55">
        <f>VLOOKUP(Tableau1[[#This Row],[Compte Consignee]],Order!C:D,2,FALSE)</f>
        <v>7</v>
      </c>
      <c r="O54" s="114" t="s">
        <v>150</v>
      </c>
      <c r="P54" s="481">
        <f>VLOOKUP(Tableau1[[#This Row],[Name ILN]],Plant_AILN!F:G,2,FALSE)</f>
        <v>0</v>
      </c>
      <c r="Q54" s="50">
        <f>VLOOKUP(Tableau1[[#This Row],[Compte ILN]],'DATA ILN'!D:I,6,FALSE)</f>
        <v>9</v>
      </c>
      <c r="R54" s="50">
        <f ca="1">IFERROR(VLOOKUP(Tableau1[[#This Row],[Key(Compte ILN - shipper - POL - plant)]],'DATA ILN'!A:J,10,FALSE),VLOOKUP(Tableau1[[#This Row],[Key(Compte ILN - shipper - POL)]],'DATA ILN'!B:J,9,FALSE))</f>
        <v>14</v>
      </c>
      <c r="S54" s="50">
        <f ca="1">IFERROR(VLOOKUP(Tableau1[[#This Row],[Key(Compte ILN - shipper - POL - plant)]],'DATA ILN'!A:K,11,FALSE),VLOOKUP(Tableau1[[#This Row],[Key(Compte ILN - shipper - POL)]],'DATA ILN'!B:K,10,FALSE))</f>
        <v>5</v>
      </c>
      <c r="T54" s="50">
        <f ca="1">IFERROR(VLOOKUP(Tableau1[[#This Row],[Key(Compte ILN - shipper - POL - plant)]],'DATA ILN'!A:L,12,FALSE),VLOOKUP(Tableau1[[#This Row],[Key(Compte ILN - shipper - POL)]],'DATA ILN'!B:L,11,FALSE))</f>
        <v>7</v>
      </c>
      <c r="U54" s="50">
        <f ca="1">Tableau1[[#This Row],[Day ILN Order]]+Tableau1[[#This Row],[Delivery time to ILN/Shipper]]-1</f>
        <v>22</v>
      </c>
      <c r="V54" s="50">
        <f ca="1">IFERROR(VLOOKUP(Tableau1[[#This Row],[Key(Compte ILN - shipper - POL - plant)]],'DATA ILN'!A:N,14,FALSE),VLOOKUP(Tableau1[[#This Row],[Key(Compte ILN - shipper - POL)]],'DATA ILN'!B:N,13,FALSE))</f>
        <v>1</v>
      </c>
      <c r="W54" s="53">
        <f ca="1">IFERROR(VLOOKUP(Tableau1[[#This Row],[Key(Compte ILN - shipper - POL - plant)]],'DATA ILN'!A:P,16,FALSE),VLOOKUP(Tableau1[[#This Row],[Key(Compte ILN - shipper - POL)]],'DATA ILN'!B:P,15,FALSE))</f>
        <v>3</v>
      </c>
      <c r="X54" s="283" t="s">
        <v>177</v>
      </c>
      <c r="Y54" s="482">
        <f>IFERROR(VLOOKUP(Tableau1[[#This Row],[Name Shipper]],Plant_AILN!L:M,2,FALSE),0)</f>
        <v>119640</v>
      </c>
      <c r="Z54" s="358">
        <v>1007</v>
      </c>
      <c r="AA54" s="353" t="str">
        <f ca="1">VLOOKUP(Tableau1[[#This Row],[Key(ID-Actif)]],'DATA BTO'!A:N,5,FALSE)</f>
        <v>JPSMZ</v>
      </c>
      <c r="AB54" s="3" t="str">
        <f ca="1">VLOOKUP(Tableau1[[#This Row],[Key(ID-Actif)]],'DATA BTO'!A:N,6,FALSE)</f>
        <v>ONE</v>
      </c>
      <c r="AC54" s="50">
        <f ca="1">VLOOKUP(Tableau1[[#This Row],[Key(ID-Actif)]],'DATA BTO'!A:N,7,FALSE)</f>
        <v>6</v>
      </c>
      <c r="AD54" s="50">
        <f ca="1">VLOOKUP(Tableau1[[#This Row],[Key(ID-Actif)]],'DATA BTO'!A:N,8,FALSE)</f>
        <v>7</v>
      </c>
      <c r="AE54" s="50">
        <f ca="1">IF(Tableau1[[#This Row],[First Day to POL]]&lt;=Tableau1[[#This Row],[Day Cut Off]],Tableau1[[#This Row],[Day ETD]],Tableau1[[#This Row],[Day ETD]]+7)</f>
        <v>7</v>
      </c>
      <c r="AF54" s="50">
        <f ca="1">VLOOKUP(Tableau1[[#This Row],[Key(ID-Actif)]],'DATA BTO'!A:N,9,FALSE)</f>
        <v>44</v>
      </c>
      <c r="AG54" s="3" t="str">
        <f ca="1">VLOOKUP(Tableau1[[#This Row],[Key(ID-Actif)]],'DATA BTO'!A:N,10,FALSE)</f>
        <v>MAPTM</v>
      </c>
      <c r="AH54" s="3">
        <f ca="1">VLOOKUP(Tableau1[[#This Row],[Key(ID-Actif)]],'DATA BTO'!A:N,11,FALSE)</f>
        <v>3</v>
      </c>
      <c r="AI54" s="50">
        <f ca="1">VLOOKUP(Tableau1[[#This Row],[Key(ID-Actif)]],'DATA BTO'!A:N,12,FALSE)</f>
        <v>7</v>
      </c>
      <c r="AJ54" s="53" t="str">
        <f ca="1">VLOOKUP(Tableau1[[#This Row],[Key(ID-Actif)]],'DATA BTO'!A:N,14,FALSE)</f>
        <v>Max</v>
      </c>
      <c r="AK54" s="54">
        <f ca="1">VLOOKUP(Tableau1[[#This Row],[Key(POD -PFI- Usine)]],'DATA Consignee'!A:F,6,FALSE)</f>
        <v>3</v>
      </c>
      <c r="AL54" s="125"/>
      <c r="AM54" s="483" t="str">
        <f>IF(Tableau1[[#This Row],[Name PFI/CDD]]="","-",VLOOKUP(Tableau1[[#This Row],[Name PFI/CDD]],Plant_AILN!I:J,2,FALSE))</f>
        <v>-</v>
      </c>
      <c r="AN5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4" s="2">
        <f ca="1">VLOOKUP(Tableau1[[#This Row],[Key(POD -PFI- Usine)]],'DATA Consignee'!A:J,10,FALSE)</f>
        <v>0</v>
      </c>
      <c r="AQ54" s="50">
        <f ca="1">VLOOKUP(Tableau1[[#This Row],[Key(POD -PFI- Usine)]],'DATA Consignee'!A:N,14,FALSE)</f>
        <v>1</v>
      </c>
      <c r="AR5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5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12</v>
      </c>
      <c r="AT54" s="50">
        <f ca="1">Tableau1[[#This Row],[Transit time]]+Tableau1[[#This Row],[Time for security]]+Tableau1[[#This Row],[Time for security2 buffer]]</f>
        <v>54</v>
      </c>
      <c r="AU5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54" s="389">
        <f ca="1">Tableau1[[#This Row],[Leadtime SI2C]]+Tableau1[[#This Row],[First Receipt Days]]-Tableau1[[#This Row],[Day Customer Order]]+1</f>
        <v>92</v>
      </c>
      <c r="AW54" s="117">
        <f ca="1">IF(Tableau1[[#This Row],[Name ILN]]&lt;&gt;"SFK Freight Forwarder",Tableau1[[#This Row],[Cust. Leadtime]],Tableau1[[#This Row],[Leadtime SI2C]])</f>
        <v>76</v>
      </c>
      <c r="AX54" s="51" t="str">
        <f>VLOOKUP(Tableau1[[#This Row],[ID]],'DATA BTO'!B:P,15,FALSE)</f>
        <v>Nissan &gt; Renault</v>
      </c>
      <c r="AY54" s="328">
        <f ca="1">IFERROR(VLOOKUP(Tableau1[[#This Row],[Key(ID-Actif)]],'DATA BTO'!A:N,4,FALSE),VLOOKUP(Tableau1[[#This Row],[ID]],'DATA BTO'!B:N,3,FALSE))</f>
        <v>46142</v>
      </c>
      <c r="AZ54" s="50" t="str">
        <f>IF(ISNUMBER(Tableau1[[#This Row],[Day Customer Order]]),"-","Please Check 'Name' information in 'Order' Sheet to make sure they have information")</f>
        <v>-</v>
      </c>
      <c r="BA5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4" s="50"/>
    </row>
    <row r="55" spans="2:57">
      <c r="B55" s="447" t="str">
        <f>_xlfn.CONCAT(Tableau1[[#This Row],[Name ILN]],"-",Tableau1[[#This Row],[Name Shipper]],"-",Tableau1[[#This Row],[Name Site]])</f>
        <v>SFK Freight Forwarder-Jatco Japon-DACIA MONT</v>
      </c>
      <c r="C55" s="65" t="str">
        <f ca="1">_xlfn.CONCAT(Tableau1[[#This Row],[Compte ILN]],"-",Tableau1[[#This Row],[Compte Shipper]],"-",Tableau1[[#This Row],[POL]],"-",Tableau1[[#This Row],[Compte Consignee]])</f>
        <v>0-119640-JPSMZ-90016800</v>
      </c>
      <c r="D55" s="64" t="str">
        <f ca="1">_xlfn.CONCAT(Tableau1[[#This Row],[Compte ILN]],"-",Tableau1[[#This Row],[Compte Shipper]],"-",Tableau1[[#This Row],[POL]])</f>
        <v>0-119640-JPSMZ</v>
      </c>
      <c r="E55" s="396" t="str">
        <f ca="1">_xlfn.CONCAT(Tableau1[[#This Row],[POL]],"-",Tableau1[[#This Row],[Carrier]],"-",Tableau1[[#This Row],[POD]])</f>
        <v>JPSMZ-MSC-ROCND</v>
      </c>
      <c r="F55" s="64" t="str">
        <f>_xlfn.CONCAT(Tableau1[[#This Row],[ID]],"-","Actif")</f>
        <v>1008-Actif</v>
      </c>
      <c r="G55" s="64" t="str">
        <f ca="1">_xlfn.CONCAT(Tableau1[[#This Row],[POD]],"-",Tableau1[[#This Row],[Code PFI]],"-",Tableau1[[#This Row],[Compte Consignee]])</f>
        <v>ROCND-2839004-90016800</v>
      </c>
      <c r="H55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119640JPSMZDACIA MONT</v>
      </c>
      <c r="I5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MONT-SFK Freight Forwarder-Jatco Japon-1008-JPSMZ-MSC-ROCND-Magasin Dacia</v>
      </c>
      <c r="J55" s="397" t="str">
        <f ca="1">IF(COUNTIF(I:I,Tableau1[[#This Row],[Plant-ILN-shipper-POL-Carrier-POD-PFI]])=1,"Non","Oui")</f>
        <v>Non</v>
      </c>
      <c r="K55" s="126" t="str">
        <f>VLOOKUP(Tableau1[[#This Row],[Name Site]],Plant_AILN!A:D,4,FALSE)</f>
        <v>ROMANIA</v>
      </c>
      <c r="L55" s="363" t="s">
        <v>180</v>
      </c>
      <c r="M55" s="480">
        <f>VLOOKUP(Tableau1[[#This Row],[Name Site]],Plant_AILN!A:C,3,FALSE)</f>
        <v>90016800</v>
      </c>
      <c r="N55" s="55">
        <f>VLOOKUP(Tableau1[[#This Row],[Compte Consignee]],Order!C:D,2,FALSE)</f>
        <v>7</v>
      </c>
      <c r="O55" s="114" t="s">
        <v>150</v>
      </c>
      <c r="P55" s="481">
        <f>VLOOKUP(Tableau1[[#This Row],[Name ILN]],Plant_AILN!F:G,2,FALSE)</f>
        <v>0</v>
      </c>
      <c r="Q55" s="50">
        <f>VLOOKUP(Tableau1[[#This Row],[Compte ILN]],'DATA ILN'!D:I,6,FALSE)</f>
        <v>9</v>
      </c>
      <c r="R55" s="50">
        <f ca="1">IFERROR(VLOOKUP(Tableau1[[#This Row],[Key(Compte ILN - shipper - POL - plant)]],'DATA ILN'!A:J,10,FALSE),VLOOKUP(Tableau1[[#This Row],[Key(Compte ILN - shipper - POL)]],'DATA ILN'!B:J,9,FALSE))</f>
        <v>14</v>
      </c>
      <c r="S55" s="50">
        <f ca="1">IFERROR(VLOOKUP(Tableau1[[#This Row],[Key(Compte ILN - shipper - POL - plant)]],'DATA ILN'!A:K,11,FALSE),VLOOKUP(Tableau1[[#This Row],[Key(Compte ILN - shipper - POL)]],'DATA ILN'!B:K,10,FALSE))</f>
        <v>5</v>
      </c>
      <c r="T55" s="50">
        <f ca="1">IFERROR(VLOOKUP(Tableau1[[#This Row],[Key(Compte ILN - shipper - POL - plant)]],'DATA ILN'!A:L,12,FALSE),VLOOKUP(Tableau1[[#This Row],[Key(Compte ILN - shipper - POL)]],'DATA ILN'!B:L,11,FALSE))</f>
        <v>7</v>
      </c>
      <c r="U55" s="50">
        <f ca="1">Tableau1[[#This Row],[Day ILN Order]]+Tableau1[[#This Row],[Delivery time to ILN/Shipper]]-1</f>
        <v>22</v>
      </c>
      <c r="V55" s="50">
        <f ca="1">IFERROR(VLOOKUP(Tableau1[[#This Row],[Key(Compte ILN - shipper - POL - plant)]],'DATA ILN'!A:N,14,FALSE),VLOOKUP(Tableau1[[#This Row],[Key(Compte ILN - shipper - POL)]],'DATA ILN'!B:N,13,FALSE))</f>
        <v>1</v>
      </c>
      <c r="W55" s="53">
        <f ca="1">IFERROR(VLOOKUP(Tableau1[[#This Row],[Key(Compte ILN - shipper - POL - plant)]],'DATA ILN'!A:P,16,FALSE),VLOOKUP(Tableau1[[#This Row],[Key(Compte ILN - shipper - POL)]],'DATA ILN'!B:P,15,FALSE))</f>
        <v>3</v>
      </c>
      <c r="X55" s="283" t="s">
        <v>177</v>
      </c>
      <c r="Y55" s="482">
        <f>IFERROR(VLOOKUP(Tableau1[[#This Row],[Name Shipper]],Plant_AILN!L:M,2,FALSE),0)</f>
        <v>119640</v>
      </c>
      <c r="Z55" s="358">
        <v>1008</v>
      </c>
      <c r="AA55" s="353" t="str">
        <f ca="1">VLOOKUP(Tableau1[[#This Row],[Key(ID-Actif)]],'DATA BTO'!A:N,5,FALSE)</f>
        <v>JPSMZ</v>
      </c>
      <c r="AB55" s="3" t="str">
        <f ca="1">VLOOKUP(Tableau1[[#This Row],[Key(ID-Actif)]],'DATA BTO'!A:N,6,FALSE)</f>
        <v>MSC</v>
      </c>
      <c r="AC55" s="50">
        <f ca="1">VLOOKUP(Tableau1[[#This Row],[Key(ID-Actif)]],'DATA BTO'!A:N,7,FALSE)</f>
        <v>3</v>
      </c>
      <c r="AD55" s="50">
        <f ca="1">VLOOKUP(Tableau1[[#This Row],[Key(ID-Actif)]],'DATA BTO'!A:N,8,FALSE)</f>
        <v>5</v>
      </c>
      <c r="AE55" s="50">
        <f ca="1">IF(Tableau1[[#This Row],[First Day to POL]]&lt;=Tableau1[[#This Row],[Day Cut Off]],Tableau1[[#This Row],[Day ETD]],Tableau1[[#This Row],[Day ETD]]+7)</f>
        <v>5</v>
      </c>
      <c r="AF55" s="50">
        <f ca="1">VLOOKUP(Tableau1[[#This Row],[Key(ID-Actif)]],'DATA BTO'!A:N,9,FALSE)</f>
        <v>78</v>
      </c>
      <c r="AG55" s="3" t="str">
        <f ca="1">VLOOKUP(Tableau1[[#This Row],[Key(ID-Actif)]],'DATA BTO'!A:N,10,FALSE)</f>
        <v>ROCND</v>
      </c>
      <c r="AH55" s="3">
        <f ca="1">VLOOKUP(Tableau1[[#This Row],[Key(ID-Actif)]],'DATA BTO'!A:N,11,FALSE)</f>
        <v>3</v>
      </c>
      <c r="AI55" s="50">
        <f ca="1">VLOOKUP(Tableau1[[#This Row],[Key(ID-Actif)]],'DATA BTO'!A:N,12,FALSE)</f>
        <v>0</v>
      </c>
      <c r="AJ55" s="53" t="str">
        <f ca="1">VLOOKUP(Tableau1[[#This Row],[Key(ID-Actif)]],'DATA BTO'!A:N,14,FALSE)</f>
        <v>Max</v>
      </c>
      <c r="AK55" s="54">
        <f ca="1">VLOOKUP(Tableau1[[#This Row],[Key(POD -PFI- Usine)]],'DATA Consignee'!A:F,6,FALSE)</f>
        <v>1</v>
      </c>
      <c r="AL55" s="125" t="s">
        <v>158</v>
      </c>
      <c r="AM55" s="483">
        <f>IF(Tableau1[[#This Row],[Name PFI/CDD]]="","-",VLOOKUP(Tableau1[[#This Row],[Name PFI/CDD]],Plant_AILN!I:J,2,FALSE))</f>
        <v>2839004</v>
      </c>
      <c r="AN5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5" s="2">
        <f ca="1">VLOOKUP(Tableau1[[#This Row],[Key(POD -PFI- Usine)]],'DATA Consignee'!A:J,10,FALSE)</f>
        <v>7</v>
      </c>
      <c r="AQ55" s="50">
        <f ca="1">VLOOKUP(Tableau1[[#This Row],[Key(POD -PFI- Usine)]],'DATA Consignee'!A:N,14,FALSE)</f>
        <v>1</v>
      </c>
      <c r="AR5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5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55" s="50">
        <f ca="1">Tableau1[[#This Row],[Transit time]]+Tableau1[[#This Row],[Time for security]]+Tableau1[[#This Row],[Time for security2 buffer]]</f>
        <v>81</v>
      </c>
      <c r="AU5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104</v>
      </c>
      <c r="AV55" s="389">
        <f ca="1">Tableau1[[#This Row],[Leadtime SI2C]]+Tableau1[[#This Row],[First Receipt Days]]-Tableau1[[#This Row],[Day Customer Order]]+1</f>
        <v>120</v>
      </c>
      <c r="AW55" s="117">
        <f ca="1">IF(Tableau1[[#This Row],[Name ILN]]&lt;&gt;"SFK Freight Forwarder",Tableau1[[#This Row],[Cust. Leadtime]],Tableau1[[#This Row],[Leadtime SI2C]])</f>
        <v>104</v>
      </c>
      <c r="AX55" s="51" t="str">
        <f>VLOOKUP(Tableau1[[#This Row],[ID]],'DATA BTO'!B:P,15,FALSE)</f>
        <v>Nissan &gt; Renault</v>
      </c>
      <c r="AY55" s="328">
        <f ca="1">IFERROR(VLOOKUP(Tableau1[[#This Row],[Key(ID-Actif)]],'DATA BTO'!A:N,4,FALSE),VLOOKUP(Tableau1[[#This Row],[ID]],'DATA BTO'!B:N,3,FALSE))</f>
        <v>46142</v>
      </c>
      <c r="AZ55" s="50" t="str">
        <f>IF(ISNUMBER(Tableau1[[#This Row],[Day Customer Order]]),"-","Please Check 'Name' information in 'Order' Sheet to make sure they have information")</f>
        <v>-</v>
      </c>
      <c r="BA5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5" s="50"/>
    </row>
    <row r="56" spans="2:57">
      <c r="B56" s="447" t="str">
        <f>_xlfn.CONCAT(Tableau1[[#This Row],[Name ILN]],"-",Tableau1[[#This Row],[Name Shipper]],"-",Tableau1[[#This Row],[Name Site]])</f>
        <v>SFK Freight Forwarder-Jatco Japon-REVOZ</v>
      </c>
      <c r="C56" s="65" t="str">
        <f ca="1">_xlfn.CONCAT(Tableau1[[#This Row],[Compte ILN]],"-",Tableau1[[#This Row],[Compte Shipper]],"-",Tableau1[[#This Row],[POL]],"-",Tableau1[[#This Row],[Compte Consignee]])</f>
        <v>0-119640-JPSMZ-90016700</v>
      </c>
      <c r="D56" s="64" t="str">
        <f ca="1">_xlfn.CONCAT(Tableau1[[#This Row],[Compte ILN]],"-",Tableau1[[#This Row],[Compte Shipper]],"-",Tableau1[[#This Row],[POL]])</f>
        <v>0-119640-JPSMZ</v>
      </c>
      <c r="E56" s="396" t="str">
        <f ca="1">_xlfn.CONCAT(Tableau1[[#This Row],[POL]],"-",Tableau1[[#This Row],[Carrier]],"-",Tableau1[[#This Row],[POD]])</f>
        <v>JPSMZ-CMA-CGM-SIKOP</v>
      </c>
      <c r="F56" s="64" t="str">
        <f>_xlfn.CONCAT(Tableau1[[#This Row],[ID]],"-","Actif")</f>
        <v>1009-Actif</v>
      </c>
      <c r="G56" s="64" t="str">
        <f ca="1">_xlfn.CONCAT(Tableau1[[#This Row],[POD]],"-",Tableau1[[#This Row],[Code PFI]],"-",Tableau1[[#This Row],[Compte Consignee]])</f>
        <v>SIKOP---90016700</v>
      </c>
      <c r="H56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119640JPSMZREVOZ</v>
      </c>
      <c r="I5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REVOZ-SFK Freight Forwarder-Jatco Japon-1009-JPSMZ-CMA-CGM-SIKOP-</v>
      </c>
      <c r="J56" s="397" t="str">
        <f ca="1">IF(COUNTIF(I:I,Tableau1[[#This Row],[Plant-ILN-shipper-POL-Carrier-POD-PFI]])=1,"Non","Oui")</f>
        <v>Non</v>
      </c>
      <c r="K56" s="126" t="str">
        <f>VLOOKUP(Tableau1[[#This Row],[Name Site]],Plant_AILN!A:D,4,FALSE)</f>
        <v>SLOVENIA</v>
      </c>
      <c r="L56" s="363" t="s">
        <v>181</v>
      </c>
      <c r="M56" s="480">
        <f>VLOOKUP(Tableau1[[#This Row],[Name Site]],Plant_AILN!A:C,3,FALSE)</f>
        <v>90016700</v>
      </c>
      <c r="N56" s="55">
        <f>VLOOKUP(Tableau1[[#This Row],[Compte Consignee]],Order!C:D,2,FALSE)</f>
        <v>7</v>
      </c>
      <c r="O56" s="114" t="s">
        <v>150</v>
      </c>
      <c r="P56" s="481">
        <f>VLOOKUP(Tableau1[[#This Row],[Name ILN]],Plant_AILN!F:G,2,FALSE)</f>
        <v>0</v>
      </c>
      <c r="Q56" s="50">
        <f>VLOOKUP(Tableau1[[#This Row],[Compte ILN]],'DATA ILN'!D:I,6,FALSE)</f>
        <v>9</v>
      </c>
      <c r="R56" s="50">
        <f ca="1">IFERROR(VLOOKUP(Tableau1[[#This Row],[Key(Compte ILN - shipper - POL - plant)]],'DATA ILN'!A:J,10,FALSE),VLOOKUP(Tableau1[[#This Row],[Key(Compte ILN - shipper - POL)]],'DATA ILN'!B:J,9,FALSE))</f>
        <v>14</v>
      </c>
      <c r="S56" s="50">
        <f ca="1">IFERROR(VLOOKUP(Tableau1[[#This Row],[Key(Compte ILN - shipper - POL - plant)]],'DATA ILN'!A:K,11,FALSE),VLOOKUP(Tableau1[[#This Row],[Key(Compte ILN - shipper - POL)]],'DATA ILN'!B:K,10,FALSE))</f>
        <v>5</v>
      </c>
      <c r="T56" s="50">
        <f ca="1">IFERROR(VLOOKUP(Tableau1[[#This Row],[Key(Compte ILN - shipper - POL - plant)]],'DATA ILN'!A:L,12,FALSE),VLOOKUP(Tableau1[[#This Row],[Key(Compte ILN - shipper - POL)]],'DATA ILN'!B:L,11,FALSE))</f>
        <v>7</v>
      </c>
      <c r="U56" s="50">
        <f ca="1">Tableau1[[#This Row],[Day ILN Order]]+Tableau1[[#This Row],[Delivery time to ILN/Shipper]]-1</f>
        <v>22</v>
      </c>
      <c r="V56" s="50">
        <f ca="1">IFERROR(VLOOKUP(Tableau1[[#This Row],[Key(Compte ILN - shipper - POL - plant)]],'DATA ILN'!A:N,14,FALSE),VLOOKUP(Tableau1[[#This Row],[Key(Compte ILN - shipper - POL)]],'DATA ILN'!B:N,13,FALSE))</f>
        <v>1</v>
      </c>
      <c r="W56" s="53">
        <f ca="1">IFERROR(VLOOKUP(Tableau1[[#This Row],[Key(Compte ILN - shipper - POL - plant)]],'DATA ILN'!A:P,16,FALSE),VLOOKUP(Tableau1[[#This Row],[Key(Compte ILN - shipper - POL)]],'DATA ILN'!B:P,15,FALSE))</f>
        <v>3</v>
      </c>
      <c r="X56" s="283" t="s">
        <v>177</v>
      </c>
      <c r="Y56" s="482">
        <f>IFERROR(VLOOKUP(Tableau1[[#This Row],[Name Shipper]],Plant_AILN!L:M,2,FALSE),0)</f>
        <v>119640</v>
      </c>
      <c r="Z56" s="358">
        <v>1009</v>
      </c>
      <c r="AA56" s="353" t="str">
        <f ca="1">VLOOKUP(Tableau1[[#This Row],[Key(ID-Actif)]],'DATA BTO'!A:N,5,FALSE)</f>
        <v>JPSMZ</v>
      </c>
      <c r="AB56" s="3" t="str">
        <f ca="1">VLOOKUP(Tableau1[[#This Row],[Key(ID-Actif)]],'DATA BTO'!A:N,6,FALSE)</f>
        <v>CMA-CGM</v>
      </c>
      <c r="AC56" s="50">
        <f ca="1">VLOOKUP(Tableau1[[#This Row],[Key(ID-Actif)]],'DATA BTO'!A:N,7,FALSE)</f>
        <v>2</v>
      </c>
      <c r="AD56" s="50">
        <f ca="1">VLOOKUP(Tableau1[[#This Row],[Key(ID-Actif)]],'DATA BTO'!A:N,8,FALSE)</f>
        <v>4</v>
      </c>
      <c r="AE56" s="50">
        <f ca="1">IF(Tableau1[[#This Row],[First Day to POL]]&lt;=Tableau1[[#This Row],[Day Cut Off]],Tableau1[[#This Row],[Day ETD]],Tableau1[[#This Row],[Day ETD]]+7)</f>
        <v>11</v>
      </c>
      <c r="AF56" s="50">
        <f ca="1">VLOOKUP(Tableau1[[#This Row],[Key(ID-Actif)]],'DATA BTO'!A:N,9,FALSE)</f>
        <v>60</v>
      </c>
      <c r="AG56" s="3" t="str">
        <f ca="1">VLOOKUP(Tableau1[[#This Row],[Key(ID-Actif)]],'DATA BTO'!A:N,10,FALSE)</f>
        <v>SIKOP</v>
      </c>
      <c r="AH56" s="3">
        <f ca="1">VLOOKUP(Tableau1[[#This Row],[Key(ID-Actif)]],'DATA BTO'!A:N,11,FALSE)</f>
        <v>3</v>
      </c>
      <c r="AI56" s="50">
        <f ca="1">VLOOKUP(Tableau1[[#This Row],[Key(ID-Actif)]],'DATA BTO'!A:N,12,FALSE)</f>
        <v>0</v>
      </c>
      <c r="AJ56" s="53" t="str">
        <f ca="1">VLOOKUP(Tableau1[[#This Row],[Key(ID-Actif)]],'DATA BTO'!A:N,14,FALSE)</f>
        <v>Max</v>
      </c>
      <c r="AK56" s="54">
        <f ca="1">VLOOKUP(Tableau1[[#This Row],[Key(POD -PFI- Usine)]],'DATA Consignee'!A:F,6,FALSE)</f>
        <v>2</v>
      </c>
      <c r="AL56" s="125"/>
      <c r="AM56" s="483" t="str">
        <f>IF(Tableau1[[#This Row],[Name PFI/CDD]]="","-",VLOOKUP(Tableau1[[#This Row],[Name PFI/CDD]],Plant_AILN!I:J,2,FALSE))</f>
        <v>-</v>
      </c>
      <c r="AN5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6" s="2">
        <f ca="1">VLOOKUP(Tableau1[[#This Row],[Key(POD -PFI- Usine)]],'DATA Consignee'!A:J,10,FALSE)</f>
        <v>0</v>
      </c>
      <c r="AQ56" s="50">
        <f ca="1">VLOOKUP(Tableau1[[#This Row],[Key(POD -PFI- Usine)]],'DATA Consignee'!A:N,14,FALSE)</f>
        <v>2</v>
      </c>
      <c r="AR5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5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6" s="50">
        <f ca="1">Tableau1[[#This Row],[Transit time]]+Tableau1[[#This Row],[Time for security]]+Tableau1[[#This Row],[Time for security2 buffer]]</f>
        <v>63</v>
      </c>
      <c r="AU5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56" s="389">
        <f ca="1">Tableau1[[#This Row],[Leadtime SI2C]]+Tableau1[[#This Row],[First Receipt Days]]-Tableau1[[#This Row],[Day Customer Order]]+1</f>
        <v>99</v>
      </c>
      <c r="AW56" s="117">
        <f ca="1">IF(Tableau1[[#This Row],[Name ILN]]&lt;&gt;"SFK Freight Forwarder",Tableau1[[#This Row],[Cust. Leadtime]],Tableau1[[#This Row],[Leadtime SI2C]])</f>
        <v>83</v>
      </c>
      <c r="AX56" s="51" t="str">
        <f>VLOOKUP(Tableau1[[#This Row],[ID]],'DATA BTO'!B:P,15,FALSE)</f>
        <v>Nissan &gt; Renault</v>
      </c>
      <c r="AY56" s="328">
        <f ca="1">IFERROR(VLOOKUP(Tableau1[[#This Row],[Key(ID-Actif)]],'DATA BTO'!A:N,4,FALSE),VLOOKUP(Tableau1[[#This Row],[ID]],'DATA BTO'!B:N,3,FALSE))</f>
        <v>46142</v>
      </c>
      <c r="AZ56" s="50" t="str">
        <f>IF(ISNUMBER(Tableau1[[#This Row],[Day Customer Order]]),"-","Please Check 'Name' information in 'Order' Sheet to make sure they have information")</f>
        <v>-</v>
      </c>
      <c r="BA5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6" s="50"/>
    </row>
    <row r="57" spans="2:57">
      <c r="B57" s="447" t="str">
        <f>_xlfn.CONCAT(Tableau1[[#This Row],[Name ILN]],"-",Tableau1[[#This Row],[Name Shipper]],"-",Tableau1[[#This Row],[Name Site]])</f>
        <v>SFK Freight Forwarder-Jatco Japon-OYAK MONT</v>
      </c>
      <c r="C57" s="65" t="str">
        <f ca="1">_xlfn.CONCAT(Tableau1[[#This Row],[Compte ILN]],"-",Tableau1[[#This Row],[Compte Shipper]],"-",Tableau1[[#This Row],[POL]],"-",Tableau1[[#This Row],[Compte Consignee]])</f>
        <v>0-119640-JPSMZ-90017000</v>
      </c>
      <c r="D57" s="64" t="str">
        <f ca="1">_xlfn.CONCAT(Tableau1[[#This Row],[Compte ILN]],"-",Tableau1[[#This Row],[Compte Shipper]],"-",Tableau1[[#This Row],[POL]])</f>
        <v>0-119640-JPSMZ</v>
      </c>
      <c r="E57" s="396" t="str">
        <f ca="1">_xlfn.CONCAT(Tableau1[[#This Row],[POL]],"-",Tableau1[[#This Row],[Carrier]],"-",Tableau1[[#This Row],[POD]])</f>
        <v>JPSMZ-CMA-CGM-TRIZT</v>
      </c>
      <c r="F57" s="64" t="str">
        <f>_xlfn.CONCAT(Tableau1[[#This Row],[ID]],"-","Actif")</f>
        <v>1010-Actif</v>
      </c>
      <c r="G57" s="64" t="str">
        <f ca="1">_xlfn.CONCAT(Tableau1[[#This Row],[POD]],"-",Tableau1[[#This Row],[Code PFI]],"-",Tableau1[[#This Row],[Compte Consignee]])</f>
        <v>TRIZT---90017000</v>
      </c>
      <c r="H57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119640JPSMZOYAK MONT</v>
      </c>
      <c r="I5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MONT-SFK Freight Forwarder-Jatco Japon-1010-JPSMZ-CMA-CGM-TRIZT-</v>
      </c>
      <c r="J57" s="397" t="str">
        <f ca="1">IF(COUNTIF(I:I,Tableau1[[#This Row],[Plant-ILN-shipper-POL-Carrier-POD-PFI]])=1,"Non","Oui")</f>
        <v>Non</v>
      </c>
      <c r="K57" s="126" t="str">
        <f>VLOOKUP(Tableau1[[#This Row],[Name Site]],Plant_AILN!A:D,4,FALSE)</f>
        <v>TURKEY</v>
      </c>
      <c r="L57" s="363" t="s">
        <v>167</v>
      </c>
      <c r="M57" s="480">
        <f>VLOOKUP(Tableau1[[#This Row],[Name Site]],Plant_AILN!A:C,3,FALSE)</f>
        <v>90017000</v>
      </c>
      <c r="N57" s="55">
        <f>VLOOKUP(Tableau1[[#This Row],[Compte Consignee]],Order!C:D,2,FALSE)</f>
        <v>7</v>
      </c>
      <c r="O57" s="114" t="s">
        <v>150</v>
      </c>
      <c r="P57" s="481">
        <f>VLOOKUP(Tableau1[[#This Row],[Name ILN]],Plant_AILN!F:G,2,FALSE)</f>
        <v>0</v>
      </c>
      <c r="Q57" s="50">
        <f>VLOOKUP(Tableau1[[#This Row],[Compte ILN]],'DATA ILN'!D:I,6,FALSE)</f>
        <v>9</v>
      </c>
      <c r="R57" s="50">
        <f ca="1">IFERROR(VLOOKUP(Tableau1[[#This Row],[Key(Compte ILN - shipper - POL - plant)]],'DATA ILN'!A:J,10,FALSE),VLOOKUP(Tableau1[[#This Row],[Key(Compte ILN - shipper - POL)]],'DATA ILN'!B:J,9,FALSE))</f>
        <v>14</v>
      </c>
      <c r="S57" s="50">
        <f ca="1">IFERROR(VLOOKUP(Tableau1[[#This Row],[Key(Compte ILN - shipper - POL - plant)]],'DATA ILN'!A:K,11,FALSE),VLOOKUP(Tableau1[[#This Row],[Key(Compte ILN - shipper - POL)]],'DATA ILN'!B:K,10,FALSE))</f>
        <v>5</v>
      </c>
      <c r="T57" s="50">
        <f ca="1">IFERROR(VLOOKUP(Tableau1[[#This Row],[Key(Compte ILN - shipper - POL - plant)]],'DATA ILN'!A:L,12,FALSE),VLOOKUP(Tableau1[[#This Row],[Key(Compte ILN - shipper - POL)]],'DATA ILN'!B:L,11,FALSE))</f>
        <v>7</v>
      </c>
      <c r="U57" s="50">
        <f ca="1">Tableau1[[#This Row],[Day ILN Order]]+Tableau1[[#This Row],[Delivery time to ILN/Shipper]]-1</f>
        <v>22</v>
      </c>
      <c r="V57" s="50">
        <f ca="1">IFERROR(VLOOKUP(Tableau1[[#This Row],[Key(Compte ILN - shipper - POL - plant)]],'DATA ILN'!A:N,14,FALSE),VLOOKUP(Tableau1[[#This Row],[Key(Compte ILN - shipper - POL)]],'DATA ILN'!B:N,13,FALSE))</f>
        <v>1</v>
      </c>
      <c r="W57" s="53">
        <f ca="1">IFERROR(VLOOKUP(Tableau1[[#This Row],[Key(Compte ILN - shipper - POL - plant)]],'DATA ILN'!A:P,16,FALSE),VLOOKUP(Tableau1[[#This Row],[Key(Compte ILN - shipper - POL)]],'DATA ILN'!B:P,15,FALSE))</f>
        <v>3</v>
      </c>
      <c r="X57" s="283" t="s">
        <v>177</v>
      </c>
      <c r="Y57" s="482">
        <f>IFERROR(VLOOKUP(Tableau1[[#This Row],[Name Shipper]],Plant_AILN!L:M,2,FALSE),0)</f>
        <v>119640</v>
      </c>
      <c r="Z57" s="358">
        <v>1010</v>
      </c>
      <c r="AA57" s="353" t="str">
        <f ca="1">VLOOKUP(Tableau1[[#This Row],[Key(ID-Actif)]],'DATA BTO'!A:N,5,FALSE)</f>
        <v>JPSMZ</v>
      </c>
      <c r="AB57" s="3" t="str">
        <f ca="1">VLOOKUP(Tableau1[[#This Row],[Key(ID-Actif)]],'DATA BTO'!A:N,6,FALSE)</f>
        <v>CMA-CGM</v>
      </c>
      <c r="AC57" s="50">
        <f ca="1">VLOOKUP(Tableau1[[#This Row],[Key(ID-Actif)]],'DATA BTO'!A:N,7,FALSE)</f>
        <v>2</v>
      </c>
      <c r="AD57" s="50">
        <f ca="1">VLOOKUP(Tableau1[[#This Row],[Key(ID-Actif)]],'DATA BTO'!A:N,8,FALSE)</f>
        <v>4</v>
      </c>
      <c r="AE57" s="50">
        <f ca="1">IF(Tableau1[[#This Row],[First Day to POL]]&lt;=Tableau1[[#This Row],[Day Cut Off]],Tableau1[[#This Row],[Day ETD]],Tableau1[[#This Row],[Day ETD]]+7)</f>
        <v>11</v>
      </c>
      <c r="AF57" s="50">
        <f ca="1">VLOOKUP(Tableau1[[#This Row],[Key(ID-Actif)]],'DATA BTO'!A:N,9,FALSE)</f>
        <v>62</v>
      </c>
      <c r="AG57" s="3" t="str">
        <f ca="1">VLOOKUP(Tableau1[[#This Row],[Key(ID-Actif)]],'DATA BTO'!A:N,10,FALSE)</f>
        <v>TRIZT</v>
      </c>
      <c r="AH57" s="3">
        <f ca="1">VLOOKUP(Tableau1[[#This Row],[Key(ID-Actif)]],'DATA BTO'!A:N,11,FALSE)</f>
        <v>3</v>
      </c>
      <c r="AI57" s="50">
        <f ca="1">VLOOKUP(Tableau1[[#This Row],[Key(ID-Actif)]],'DATA BTO'!A:N,12,FALSE)</f>
        <v>0</v>
      </c>
      <c r="AJ57" s="53" t="str">
        <f ca="1">VLOOKUP(Tableau1[[#This Row],[Key(ID-Actif)]],'DATA BTO'!A:N,14,FALSE)</f>
        <v>Max</v>
      </c>
      <c r="AK57" s="54">
        <f ca="1">VLOOKUP(Tableau1[[#This Row],[Key(POD -PFI- Usine)]],'DATA Consignee'!A:F,6,FALSE)</f>
        <v>4</v>
      </c>
      <c r="AL57" s="125"/>
      <c r="AM57" s="483" t="str">
        <f>IF(Tableau1[[#This Row],[Name PFI/CDD]]="","-",VLOOKUP(Tableau1[[#This Row],[Name PFI/CDD]],Plant_AILN!I:J,2,FALSE))</f>
        <v>-</v>
      </c>
      <c r="AN5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7" s="2">
        <f ca="1">VLOOKUP(Tableau1[[#This Row],[Key(POD -PFI- Usine)]],'DATA Consignee'!A:J,10,FALSE)</f>
        <v>0</v>
      </c>
      <c r="AQ57" s="50">
        <f ca="1">VLOOKUP(Tableau1[[#This Row],[Key(POD -PFI- Usine)]],'DATA Consignee'!A:N,14,FALSE)</f>
        <v>2</v>
      </c>
      <c r="AR5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5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7" s="50">
        <f ca="1">Tableau1[[#This Row],[Transit time]]+Tableau1[[#This Row],[Time for security]]+Tableau1[[#This Row],[Time for security2 buffer]]</f>
        <v>65</v>
      </c>
      <c r="AU5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57" s="389">
        <f ca="1">Tableau1[[#This Row],[Leadtime SI2C]]+Tableau1[[#This Row],[First Receipt Days]]-Tableau1[[#This Row],[Day Customer Order]]+1</f>
        <v>106</v>
      </c>
      <c r="AW57" s="117">
        <f ca="1">IF(Tableau1[[#This Row],[Name ILN]]&lt;&gt;"SFK Freight Forwarder",Tableau1[[#This Row],[Cust. Leadtime]],Tableau1[[#This Row],[Leadtime SI2C]])</f>
        <v>90</v>
      </c>
      <c r="AX57" s="51" t="str">
        <f>VLOOKUP(Tableau1[[#This Row],[ID]],'DATA BTO'!B:P,15,FALSE)</f>
        <v>Nissan &gt; Renault</v>
      </c>
      <c r="AY57" s="328">
        <f ca="1">IFERROR(VLOOKUP(Tableau1[[#This Row],[Key(ID-Actif)]],'DATA BTO'!A:N,4,FALSE),VLOOKUP(Tableau1[[#This Row],[ID]],'DATA BTO'!B:N,3,FALSE))</f>
        <v>46142</v>
      </c>
      <c r="AZ57" s="50" t="str">
        <f>IF(ISNUMBER(Tableau1[[#This Row],[Day Customer Order]]),"-","Please Check 'Name' information in 'Order' Sheet to make sure they have information")</f>
        <v>-</v>
      </c>
      <c r="BA5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7" s="50"/>
    </row>
    <row r="58" spans="2:57">
      <c r="B58" s="447" t="str">
        <f>_xlfn.CONCAT(Tableau1[[#This Row],[Name ILN]],"-",Tableau1[[#This Row],[Name Shipper]],"-",Tableau1[[#This Row],[Name Site]])</f>
        <v>SFK Freight Forwarder-Jatco Japon-RKM</v>
      </c>
      <c r="C58" s="65" t="str">
        <f ca="1">_xlfn.CONCAT(Tableau1[[#This Row],[Compte ILN]],"-",Tableau1[[#This Row],[Compte Shipper]],"-",Tableau1[[#This Row],[POL]],"-",Tableau1[[#This Row],[Compte Consignee]])</f>
        <v>0-119640-JPSMZ-92002200</v>
      </c>
      <c r="D58" s="64" t="str">
        <f ca="1">_xlfn.CONCAT(Tableau1[[#This Row],[Compte ILN]],"-",Tableau1[[#This Row],[Compte Shipper]],"-",Tableau1[[#This Row],[POL]])</f>
        <v>0-119640-JPSMZ</v>
      </c>
      <c r="E58" s="396" t="str">
        <f ca="1">_xlfn.CONCAT(Tableau1[[#This Row],[POL]],"-",Tableau1[[#This Row],[Carrier]],"-",Tableau1[[#This Row],[POD]])</f>
        <v>JPSMZ-ONE-KRPUS</v>
      </c>
      <c r="F58" s="64" t="str">
        <f>_xlfn.CONCAT(Tableau1[[#This Row],[ID]],"-","Actif")</f>
        <v>1011-Actif</v>
      </c>
      <c r="G58" s="64" t="str">
        <f ca="1">_xlfn.CONCAT(Tableau1[[#This Row],[POD]],"-",Tableau1[[#This Row],[Code PFI]],"-",Tableau1[[#This Row],[Compte Consignee]])</f>
        <v>KRPUS---92002200</v>
      </c>
      <c r="H58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119640JPSMZRKM</v>
      </c>
      <c r="I5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RKM-SFK Freight Forwarder-Jatco Japon-1011-JPSMZ-ONE-KRPUS-</v>
      </c>
      <c r="J58" s="397" t="str">
        <f ca="1">IF(COUNTIF(I:I,Tableau1[[#This Row],[Plant-ILN-shipper-POL-Carrier-POD-PFI]])=1,"Non","Oui")</f>
        <v>Non</v>
      </c>
      <c r="K58" s="126" t="str">
        <f>VLOOKUP(Tableau1[[#This Row],[Name Site]],Plant_AILN!A:D,4,FALSE)</f>
        <v>KOREA</v>
      </c>
      <c r="L58" s="363" t="s">
        <v>36</v>
      </c>
      <c r="M58" s="480">
        <f>VLOOKUP(Tableau1[[#This Row],[Name Site]],Plant_AILN!A:C,3,FALSE)</f>
        <v>92002200</v>
      </c>
      <c r="N58" s="55">
        <f>VLOOKUP(Tableau1[[#This Row],[Compte Consignee]],Order!C:D,2,FALSE)</f>
        <v>7</v>
      </c>
      <c r="O58" s="114" t="s">
        <v>150</v>
      </c>
      <c r="P58" s="481">
        <f>VLOOKUP(Tableau1[[#This Row],[Name ILN]],Plant_AILN!F:G,2,FALSE)</f>
        <v>0</v>
      </c>
      <c r="Q58" s="50">
        <f>VLOOKUP(Tableau1[[#This Row],[Compte ILN]],'DATA ILN'!D:I,6,FALSE)</f>
        <v>9</v>
      </c>
      <c r="R58" s="50">
        <f ca="1">IFERROR(VLOOKUP(Tableau1[[#This Row],[Key(Compte ILN - shipper - POL - plant)]],'DATA ILN'!A:J,10,FALSE),VLOOKUP(Tableau1[[#This Row],[Key(Compte ILN - shipper - POL)]],'DATA ILN'!B:J,9,FALSE))</f>
        <v>14</v>
      </c>
      <c r="S58" s="50">
        <f ca="1">IFERROR(VLOOKUP(Tableau1[[#This Row],[Key(Compte ILN - shipper - POL - plant)]],'DATA ILN'!A:K,11,FALSE),VLOOKUP(Tableau1[[#This Row],[Key(Compte ILN - shipper - POL)]],'DATA ILN'!B:K,10,FALSE))</f>
        <v>5</v>
      </c>
      <c r="T58" s="50">
        <f ca="1">IFERROR(VLOOKUP(Tableau1[[#This Row],[Key(Compte ILN - shipper - POL - plant)]],'DATA ILN'!A:L,12,FALSE),VLOOKUP(Tableau1[[#This Row],[Key(Compte ILN - shipper - POL)]],'DATA ILN'!B:L,11,FALSE))</f>
        <v>7</v>
      </c>
      <c r="U58" s="50">
        <f ca="1">Tableau1[[#This Row],[Day ILN Order]]+Tableau1[[#This Row],[Delivery time to ILN/Shipper]]-1</f>
        <v>22</v>
      </c>
      <c r="V58" s="50">
        <f ca="1">IFERROR(VLOOKUP(Tableau1[[#This Row],[Key(Compte ILN - shipper - POL - plant)]],'DATA ILN'!A:N,14,FALSE),VLOOKUP(Tableau1[[#This Row],[Key(Compte ILN - shipper - POL)]],'DATA ILN'!B:N,13,FALSE))</f>
        <v>1</v>
      </c>
      <c r="W58" s="53">
        <f ca="1">IFERROR(VLOOKUP(Tableau1[[#This Row],[Key(Compte ILN - shipper - POL - plant)]],'DATA ILN'!A:P,16,FALSE),VLOOKUP(Tableau1[[#This Row],[Key(Compte ILN - shipper - POL)]],'DATA ILN'!B:P,15,FALSE))</f>
        <v>3</v>
      </c>
      <c r="X58" s="283" t="s">
        <v>177</v>
      </c>
      <c r="Y58" s="482">
        <f>IFERROR(VLOOKUP(Tableau1[[#This Row],[Name Shipper]],Plant_AILN!L:M,2,FALSE),0)</f>
        <v>119640</v>
      </c>
      <c r="Z58" s="358">
        <v>1011</v>
      </c>
      <c r="AA58" s="353" t="str">
        <f ca="1">VLOOKUP(Tableau1[[#This Row],[Key(ID-Actif)]],'DATA BTO'!A:N,5,FALSE)</f>
        <v>JPSMZ</v>
      </c>
      <c r="AB58" s="3" t="str">
        <f ca="1">VLOOKUP(Tableau1[[#This Row],[Key(ID-Actif)]],'DATA BTO'!A:N,6,FALSE)</f>
        <v>ONE</v>
      </c>
      <c r="AC58" s="50">
        <f ca="1">VLOOKUP(Tableau1[[#This Row],[Key(ID-Actif)]],'DATA BTO'!A:N,7,FALSE)</f>
        <v>5</v>
      </c>
      <c r="AD58" s="50">
        <f ca="1">VLOOKUP(Tableau1[[#This Row],[Key(ID-Actif)]],'DATA BTO'!A:N,8,FALSE)</f>
        <v>6</v>
      </c>
      <c r="AE58" s="50">
        <f ca="1">IF(Tableau1[[#This Row],[First Day to POL]]&lt;=Tableau1[[#This Row],[Day Cut Off]],Tableau1[[#This Row],[Day ETD]],Tableau1[[#This Row],[Day ETD]]+7)</f>
        <v>6</v>
      </c>
      <c r="AF58" s="50">
        <f ca="1">VLOOKUP(Tableau1[[#This Row],[Key(ID-Actif)]],'DATA BTO'!A:N,9,FALSE)</f>
        <v>7</v>
      </c>
      <c r="AG58" s="3" t="str">
        <f ca="1">VLOOKUP(Tableau1[[#This Row],[Key(ID-Actif)]],'DATA BTO'!A:N,10,FALSE)</f>
        <v>KRPUS</v>
      </c>
      <c r="AH58" s="3">
        <f ca="1">VLOOKUP(Tableau1[[#This Row],[Key(ID-Actif)]],'DATA BTO'!A:N,11,FALSE)</f>
        <v>3</v>
      </c>
      <c r="AI58" s="50">
        <f ca="1">VLOOKUP(Tableau1[[#This Row],[Key(ID-Actif)]],'DATA BTO'!A:N,12,FALSE)</f>
        <v>7</v>
      </c>
      <c r="AJ58" s="53" t="str">
        <f ca="1">VLOOKUP(Tableau1[[#This Row],[Key(ID-Actif)]],'DATA BTO'!A:N,14,FALSE)</f>
        <v>Max</v>
      </c>
      <c r="AK58" s="54">
        <f ca="1">VLOOKUP(Tableau1[[#This Row],[Key(POD -PFI- Usine)]],'DATA Consignee'!A:F,6,FALSE)</f>
        <v>2</v>
      </c>
      <c r="AL58" s="125"/>
      <c r="AM58" s="483" t="str">
        <f>IF(Tableau1[[#This Row],[Name PFI/CDD]]="","-",VLOOKUP(Tableau1[[#This Row],[Name PFI/CDD]],Plant_AILN!I:J,2,FALSE))</f>
        <v>-</v>
      </c>
      <c r="AN5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8" s="2">
        <f ca="1">VLOOKUP(Tableau1[[#This Row],[Key(POD -PFI- Usine)]],'DATA Consignee'!A:J,10,FALSE)</f>
        <v>0</v>
      </c>
      <c r="AQ58" s="50">
        <f ca="1">VLOOKUP(Tableau1[[#This Row],[Key(POD -PFI- Usine)]],'DATA Consignee'!A:N,14,FALSE)</f>
        <v>1</v>
      </c>
      <c r="AR5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5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58" s="50">
        <f ca="1">Tableau1[[#This Row],[Transit time]]+Tableau1[[#This Row],[Time for security]]+Tableau1[[#This Row],[Time for security2 buffer]]</f>
        <v>17</v>
      </c>
      <c r="AU5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34</v>
      </c>
      <c r="AV58" s="389">
        <f ca="1">Tableau1[[#This Row],[Leadtime SI2C]]+Tableau1[[#This Row],[First Receipt Days]]-Tableau1[[#This Row],[Day Customer Order]]+1</f>
        <v>50</v>
      </c>
      <c r="AW58" s="117">
        <f ca="1">IF(Tableau1[[#This Row],[Name ILN]]&lt;&gt;"SFK Freight Forwarder",Tableau1[[#This Row],[Cust. Leadtime]],Tableau1[[#This Row],[Leadtime SI2C]])</f>
        <v>34</v>
      </c>
      <c r="AX58" s="51" t="str">
        <f>VLOOKUP(Tableau1[[#This Row],[ID]],'DATA BTO'!B:P,15,FALSE)</f>
        <v>Nissan &gt; Renault</v>
      </c>
      <c r="AY58" s="328">
        <f ca="1">IFERROR(VLOOKUP(Tableau1[[#This Row],[Key(ID-Actif)]],'DATA BTO'!A:N,4,FALSE),VLOOKUP(Tableau1[[#This Row],[ID]],'DATA BTO'!B:N,3,FALSE))</f>
        <v>46142</v>
      </c>
      <c r="AZ58" s="50" t="str">
        <f>IF(ISNUMBER(Tableau1[[#This Row],[Day Customer Order]]),"-","Please Check 'Name' information in 'Order' Sheet to make sure they have information")</f>
        <v>-</v>
      </c>
      <c r="BA5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8" s="50"/>
    </row>
    <row r="59" spans="2:57">
      <c r="B59" s="447" t="str">
        <f>_xlfn.CONCAT(Tableau1[[#This Row],[Name ILN]],"-",Tableau1[[#This Row],[Name Shipper]],"-",Tableau1[[#This Row],[Name Site]])</f>
        <v>SFK Freight Forwarder-Jatco Japon-CURITIBA CVP</v>
      </c>
      <c r="C59" s="65" t="str">
        <f ca="1">_xlfn.CONCAT(Tableau1[[#This Row],[Compte ILN]],"-",Tableau1[[#This Row],[Compte Shipper]],"-",Tableau1[[#This Row],[POL]],"-",Tableau1[[#This Row],[Compte Consignee]])</f>
        <v>0-119640-JPSMZ-90018000</v>
      </c>
      <c r="D59" s="64" t="str">
        <f ca="1">_xlfn.CONCAT(Tableau1[[#This Row],[Compte ILN]],"-",Tableau1[[#This Row],[Compte Shipper]],"-",Tableau1[[#This Row],[POL]])</f>
        <v>0-119640-JPSMZ</v>
      </c>
      <c r="E59" s="396" t="str">
        <f ca="1">_xlfn.CONCAT(Tableau1[[#This Row],[POL]],"-",Tableau1[[#This Row],[Carrier]],"-",Tableau1[[#This Row],[POD]])</f>
        <v>JPSMZ-CMA-CGM-BRPNG</v>
      </c>
      <c r="F59" s="64" t="str">
        <f>_xlfn.CONCAT(Tableau1[[#This Row],[ID]],"-","Actif")</f>
        <v>1012-Actif</v>
      </c>
      <c r="G59" s="64" t="str">
        <f ca="1">_xlfn.CONCAT(Tableau1[[#This Row],[POD]],"-",Tableau1[[#This Row],[Code PFI]],"-",Tableau1[[#This Row],[Compte Consignee]])</f>
        <v>BRPNG---90018000</v>
      </c>
      <c r="H59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119640JPSMZCURITIBA CVP</v>
      </c>
      <c r="I5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Forwarder-Jatco Japon-1012-JPSMZ-CMA-CGM-BRPNG-</v>
      </c>
      <c r="J59" s="397" t="str">
        <f ca="1">IF(COUNTIF(I:I,Tableau1[[#This Row],[Plant-ILN-shipper-POL-Carrier-POD-PFI]])=1,"Non","Oui")</f>
        <v>Non</v>
      </c>
      <c r="K59" s="126" t="str">
        <f>VLOOKUP(Tableau1[[#This Row],[Name Site]],Plant_AILN!A:D,4,FALSE)</f>
        <v>BRAZIL</v>
      </c>
      <c r="L59" s="363" t="s">
        <v>182</v>
      </c>
      <c r="M59" s="480">
        <f>VLOOKUP(Tableau1[[#This Row],[Name Site]],Plant_AILN!A:C,3,FALSE)</f>
        <v>90018000</v>
      </c>
      <c r="N59" s="55">
        <f>VLOOKUP(Tableau1[[#This Row],[Compte Consignee]],Order!C:D,2,FALSE)</f>
        <v>7</v>
      </c>
      <c r="O59" s="114" t="s">
        <v>150</v>
      </c>
      <c r="P59" s="481">
        <f>VLOOKUP(Tableau1[[#This Row],[Name ILN]],Plant_AILN!F:G,2,FALSE)</f>
        <v>0</v>
      </c>
      <c r="Q59" s="50">
        <f>VLOOKUP(Tableau1[[#This Row],[Compte ILN]],'DATA ILN'!D:I,6,FALSE)</f>
        <v>9</v>
      </c>
      <c r="R59" s="50">
        <f ca="1">IFERROR(VLOOKUP(Tableau1[[#This Row],[Key(Compte ILN - shipper - POL - plant)]],'DATA ILN'!A:J,10,FALSE),VLOOKUP(Tableau1[[#This Row],[Key(Compte ILN - shipper - POL)]],'DATA ILN'!B:J,9,FALSE))</f>
        <v>14</v>
      </c>
      <c r="S59" s="50">
        <f ca="1">IFERROR(VLOOKUP(Tableau1[[#This Row],[Key(Compte ILN - shipper - POL - plant)]],'DATA ILN'!A:K,11,FALSE),VLOOKUP(Tableau1[[#This Row],[Key(Compte ILN - shipper - POL)]],'DATA ILN'!B:K,10,FALSE))</f>
        <v>5</v>
      </c>
      <c r="T59" s="50">
        <f ca="1">IFERROR(VLOOKUP(Tableau1[[#This Row],[Key(Compte ILN - shipper - POL - plant)]],'DATA ILN'!A:L,12,FALSE),VLOOKUP(Tableau1[[#This Row],[Key(Compte ILN - shipper - POL)]],'DATA ILN'!B:L,11,FALSE))</f>
        <v>7</v>
      </c>
      <c r="U59" s="50">
        <f ca="1">Tableau1[[#This Row],[Day ILN Order]]+Tableau1[[#This Row],[Delivery time to ILN/Shipper]]-1</f>
        <v>22</v>
      </c>
      <c r="V59" s="50">
        <f ca="1">IFERROR(VLOOKUP(Tableau1[[#This Row],[Key(Compte ILN - shipper - POL - plant)]],'DATA ILN'!A:N,14,FALSE),VLOOKUP(Tableau1[[#This Row],[Key(Compte ILN - shipper - POL)]],'DATA ILN'!B:N,13,FALSE))</f>
        <v>1</v>
      </c>
      <c r="W59" s="53">
        <f ca="1">IFERROR(VLOOKUP(Tableau1[[#This Row],[Key(Compte ILN - shipper - POL - plant)]],'DATA ILN'!A:P,16,FALSE),VLOOKUP(Tableau1[[#This Row],[Key(Compte ILN - shipper - POL)]],'DATA ILN'!B:P,15,FALSE))</f>
        <v>3</v>
      </c>
      <c r="X59" s="283" t="s">
        <v>177</v>
      </c>
      <c r="Y59" s="482">
        <f>IFERROR(VLOOKUP(Tableau1[[#This Row],[Name Shipper]],Plant_AILN!L:M,2,FALSE),0)</f>
        <v>119640</v>
      </c>
      <c r="Z59" s="358">
        <v>1012</v>
      </c>
      <c r="AA59" s="353" t="str">
        <f ca="1">VLOOKUP(Tableau1[[#This Row],[Key(ID-Actif)]],'DATA BTO'!A:N,5,FALSE)</f>
        <v>JPSMZ</v>
      </c>
      <c r="AB59" s="3" t="str">
        <f ca="1">VLOOKUP(Tableau1[[#This Row],[Key(ID-Actif)]],'DATA BTO'!A:N,6,FALSE)</f>
        <v>CMA-CGM</v>
      </c>
      <c r="AC59" s="50">
        <f ca="1">VLOOKUP(Tableau1[[#This Row],[Key(ID-Actif)]],'DATA BTO'!A:N,7,FALSE)</f>
        <v>2</v>
      </c>
      <c r="AD59" s="50">
        <f ca="1">VLOOKUP(Tableau1[[#This Row],[Key(ID-Actif)]],'DATA BTO'!A:N,8,FALSE)</f>
        <v>4</v>
      </c>
      <c r="AE59" s="50">
        <f ca="1">IF(Tableau1[[#This Row],[First Day to POL]]&lt;=Tableau1[[#This Row],[Day Cut Off]],Tableau1[[#This Row],[Day ETD]],Tableau1[[#This Row],[Day ETD]]+7)</f>
        <v>11</v>
      </c>
      <c r="AF59" s="50">
        <f ca="1">VLOOKUP(Tableau1[[#This Row],[Key(ID-Actif)]],'DATA BTO'!A:N,9,FALSE)</f>
        <v>57</v>
      </c>
      <c r="AG59" s="3" t="str">
        <f ca="1">VLOOKUP(Tableau1[[#This Row],[Key(ID-Actif)]],'DATA BTO'!A:N,10,FALSE)</f>
        <v>BRPNG</v>
      </c>
      <c r="AH59" s="3">
        <f ca="1">VLOOKUP(Tableau1[[#This Row],[Key(ID-Actif)]],'DATA BTO'!A:N,11,FALSE)</f>
        <v>3</v>
      </c>
      <c r="AI59" s="50">
        <f ca="1">VLOOKUP(Tableau1[[#This Row],[Key(ID-Actif)]],'DATA BTO'!A:N,12,FALSE)</f>
        <v>0</v>
      </c>
      <c r="AJ59" s="53" t="str">
        <f ca="1">VLOOKUP(Tableau1[[#This Row],[Key(ID-Actif)]],'DATA BTO'!A:N,14,FALSE)</f>
        <v>Max</v>
      </c>
      <c r="AK59" s="54">
        <f ca="1">VLOOKUP(Tableau1[[#This Row],[Key(POD -PFI- Usine)]],'DATA Consignee'!A:F,6,FALSE)</f>
        <v>2</v>
      </c>
      <c r="AL59" s="125"/>
      <c r="AM59" s="483" t="str">
        <f>IF(Tableau1[[#This Row],[Name PFI/CDD]]="","-",VLOOKUP(Tableau1[[#This Row],[Name PFI/CDD]],Plant_AILN!I:J,2,FALSE))</f>
        <v>-</v>
      </c>
      <c r="AN5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5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59" s="2">
        <f ca="1">VLOOKUP(Tableau1[[#This Row],[Key(POD -PFI- Usine)]],'DATA Consignee'!A:J,10,FALSE)</f>
        <v>0</v>
      </c>
      <c r="AQ59" s="50">
        <f ca="1">VLOOKUP(Tableau1[[#This Row],[Key(POD -PFI- Usine)]],'DATA Consignee'!A:N,14,FALSE)</f>
        <v>2</v>
      </c>
      <c r="AR5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5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59" s="50">
        <f ca="1">Tableau1[[#This Row],[Transit time]]+Tableau1[[#This Row],[Time for security]]+Tableau1[[#This Row],[Time for security2 buffer]]</f>
        <v>60</v>
      </c>
      <c r="AU5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59" s="389">
        <f ca="1">Tableau1[[#This Row],[Leadtime SI2C]]+Tableau1[[#This Row],[First Receipt Days]]-Tableau1[[#This Row],[Day Customer Order]]+1</f>
        <v>99</v>
      </c>
      <c r="AW59" s="117">
        <f ca="1">IF(Tableau1[[#This Row],[Name ILN]]&lt;&gt;"SFK Freight Forwarder",Tableau1[[#This Row],[Cust. Leadtime]],Tableau1[[#This Row],[Leadtime SI2C]])</f>
        <v>83</v>
      </c>
      <c r="AX59" s="51" t="str">
        <f>VLOOKUP(Tableau1[[#This Row],[ID]],'DATA BTO'!B:P,15,FALSE)</f>
        <v>Nissan &gt; Renault</v>
      </c>
      <c r="AY59" s="328">
        <f ca="1">IFERROR(VLOOKUP(Tableau1[[#This Row],[Key(ID-Actif)]],'DATA BTO'!A:N,4,FALSE),VLOOKUP(Tableau1[[#This Row],[ID]],'DATA BTO'!B:N,3,FALSE))</f>
        <v>46142</v>
      </c>
      <c r="AZ59" s="50" t="str">
        <f>IF(ISNUMBER(Tableau1[[#This Row],[Day Customer Order]]),"-","Please Check 'Name' information in 'Order' Sheet to make sure they have information")</f>
        <v>-</v>
      </c>
      <c r="BA5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5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5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9" s="50"/>
    </row>
    <row r="60" spans="2:57">
      <c r="B60" s="447" t="str">
        <f>_xlfn.CONCAT(Tableau1[[#This Row],[Name ILN]],"-",Tableau1[[#This Row],[Name Shipper]],"-",Tableau1[[#This Row],[Name Site]])</f>
        <v>SFK Freight Forwarder-Jatco Mexique-SOFASA</v>
      </c>
      <c r="C60" s="65" t="str">
        <f ca="1">_xlfn.CONCAT(Tableau1[[#This Row],[Compte ILN]],"-",Tableau1[[#This Row],[Compte Shipper]],"-",Tableau1[[#This Row],[POL]],"-",Tableau1[[#This Row],[Compte Consignee]])</f>
        <v>0-261427-MXATM-9510600</v>
      </c>
      <c r="D60" s="64" t="str">
        <f ca="1">_xlfn.CONCAT(Tableau1[[#This Row],[Compte ILN]],"-",Tableau1[[#This Row],[Compte Shipper]],"-",Tableau1[[#This Row],[POL]])</f>
        <v>0-261427-MXATM</v>
      </c>
      <c r="E60" s="396" t="str">
        <f ca="1">_xlfn.CONCAT(Tableau1[[#This Row],[POL]],"-",Tableau1[[#This Row],[Carrier]],"-",Tableau1[[#This Row],[POD]])</f>
        <v>MXATM-MSC-COCTG</v>
      </c>
      <c r="F60" s="64" t="str">
        <f>_xlfn.CONCAT(Tableau1[[#This Row],[ID]],"-","Actif")</f>
        <v>1014-Actif</v>
      </c>
      <c r="G60" s="64" t="str">
        <f ca="1">_xlfn.CONCAT(Tableau1[[#This Row],[POD]],"-",Tableau1[[#This Row],[Code PFI]],"-",Tableau1[[#This Row],[Compte Consignee]])</f>
        <v>COCTG---9510600</v>
      </c>
      <c r="H60" s="396" t="str">
        <f ca="1">_xlfn.CONCAT(IF(Tableau1[[#This Row],[Name ILN]]=Tableau1[[#This Row],[Name Shipper]],Tableau1[[#This Row],[Name ILN]],Tableau1[[#This Row],[Compte Shipper]]),Tableau1[[#This Row],[POL]],Tableau1[[#This Row],[Name Site]])</f>
        <v>261427MXATMSOFASA</v>
      </c>
      <c r="I6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SOFASA-SFK Freight Forwarder-Jatco Mexique-1014-MXATM-MSC-COCTG-</v>
      </c>
      <c r="J60" s="397" t="str">
        <f ca="1">IF(COUNTIF(I:I,Tableau1[[#This Row],[Plant-ILN-shipper-POL-Carrier-POD-PFI]])=1,"Non","Oui")</f>
        <v>Non</v>
      </c>
      <c r="K60" s="126" t="str">
        <f>VLOOKUP(Tableau1[[#This Row],[Name Site]],Plant_AILN!A:D,4,FALSE)</f>
        <v>COLOMBIA</v>
      </c>
      <c r="L60" s="363" t="s">
        <v>176</v>
      </c>
      <c r="M60" s="480">
        <f>VLOOKUP(Tableau1[[#This Row],[Name Site]],Plant_AILN!A:C,3,FALSE)</f>
        <v>9510600</v>
      </c>
      <c r="N60" s="55">
        <f>VLOOKUP(Tableau1[[#This Row],[Compte Consignee]],Order!C:D,2,FALSE)</f>
        <v>7</v>
      </c>
      <c r="O60" s="114" t="s">
        <v>150</v>
      </c>
      <c r="P60" s="481">
        <f>VLOOKUP(Tableau1[[#This Row],[Name ILN]],Plant_AILN!F:G,2,FALSE)</f>
        <v>0</v>
      </c>
      <c r="Q60" s="50">
        <f>VLOOKUP(Tableau1[[#This Row],[Compte ILN]],'DATA ILN'!D:I,6,FALSE)</f>
        <v>9</v>
      </c>
      <c r="R60" s="50">
        <f ca="1">IFERROR(VLOOKUP(Tableau1[[#This Row],[Key(Compte ILN - shipper - POL - plant)]],'DATA ILN'!A:J,10,FALSE),VLOOKUP(Tableau1[[#This Row],[Key(Compte ILN - shipper - POL)]],'DATA ILN'!B:J,9,FALSE))</f>
        <v>14</v>
      </c>
      <c r="S60" s="50">
        <f ca="1">IFERROR(VLOOKUP(Tableau1[[#This Row],[Key(Compte ILN - shipper - POL - plant)]],'DATA ILN'!A:K,11,FALSE),VLOOKUP(Tableau1[[#This Row],[Key(Compte ILN - shipper - POL)]],'DATA ILN'!B:K,10,FALSE))</f>
        <v>5</v>
      </c>
      <c r="T60" s="50">
        <f ca="1">IFERROR(VLOOKUP(Tableau1[[#This Row],[Key(Compte ILN - shipper - POL - plant)]],'DATA ILN'!A:L,12,FALSE),VLOOKUP(Tableau1[[#This Row],[Key(Compte ILN - shipper - POL)]],'DATA ILN'!B:L,11,FALSE))</f>
        <v>7</v>
      </c>
      <c r="U60" s="50">
        <f ca="1">Tableau1[[#This Row],[Day ILN Order]]+Tableau1[[#This Row],[Delivery time to ILN/Shipper]]-1</f>
        <v>22</v>
      </c>
      <c r="V60" s="50">
        <f ca="1">IFERROR(VLOOKUP(Tableau1[[#This Row],[Key(Compte ILN - shipper - POL - plant)]],'DATA ILN'!A:N,14,FALSE),VLOOKUP(Tableau1[[#This Row],[Key(Compte ILN - shipper - POL)]],'DATA ILN'!B:N,13,FALSE))</f>
        <v>2</v>
      </c>
      <c r="W60" s="53">
        <f ca="1">IFERROR(VLOOKUP(Tableau1[[#This Row],[Key(Compte ILN - shipper - POL - plant)]],'DATA ILN'!A:P,16,FALSE),VLOOKUP(Tableau1[[#This Row],[Key(Compte ILN - shipper - POL)]],'DATA ILN'!B:P,15,FALSE))</f>
        <v>5</v>
      </c>
      <c r="X60" s="283" t="s">
        <v>173</v>
      </c>
      <c r="Y60" s="482">
        <f>IFERROR(VLOOKUP(Tableau1[[#This Row],[Name Shipper]],Plant_AILN!L:M,2,FALSE),0)</f>
        <v>261427</v>
      </c>
      <c r="Z60" s="358">
        <v>1014</v>
      </c>
      <c r="AA60" s="353" t="str">
        <f ca="1">VLOOKUP(Tableau1[[#This Row],[Key(ID-Actif)]],'DATA BTO'!A:N,5,FALSE)</f>
        <v>MXATM</v>
      </c>
      <c r="AB60" s="3" t="str">
        <f ca="1">VLOOKUP(Tableau1[[#This Row],[Key(ID-Actif)]],'DATA BTO'!A:N,6,FALSE)</f>
        <v>MSC</v>
      </c>
      <c r="AC60" s="50">
        <f ca="1">VLOOKUP(Tableau1[[#This Row],[Key(ID-Actif)]],'DATA BTO'!A:N,7,FALSE)</f>
        <v>6</v>
      </c>
      <c r="AD60" s="50">
        <f ca="1">VLOOKUP(Tableau1[[#This Row],[Key(ID-Actif)]],'DATA BTO'!A:N,8,FALSE)</f>
        <v>8</v>
      </c>
      <c r="AE60" s="50">
        <f ca="1">IF(Tableau1[[#This Row],[First Day to POL]]&lt;=Tableau1[[#This Row],[Day Cut Off]],Tableau1[[#This Row],[Day ETD]],Tableau1[[#This Row],[Day ETD]]+7)</f>
        <v>8</v>
      </c>
      <c r="AF60" s="50">
        <f ca="1">VLOOKUP(Tableau1[[#This Row],[Key(ID-Actif)]],'DATA BTO'!A:N,9,FALSE)</f>
        <v>13</v>
      </c>
      <c r="AG60" s="3" t="str">
        <f ca="1">VLOOKUP(Tableau1[[#This Row],[Key(ID-Actif)]],'DATA BTO'!A:N,10,FALSE)</f>
        <v>COCTG</v>
      </c>
      <c r="AH60" s="3">
        <f ca="1">VLOOKUP(Tableau1[[#This Row],[Key(ID-Actif)]],'DATA BTO'!A:N,11,FALSE)</f>
        <v>3</v>
      </c>
      <c r="AI60" s="50">
        <f ca="1">VLOOKUP(Tableau1[[#This Row],[Key(ID-Actif)]],'DATA BTO'!A:N,12,FALSE)</f>
        <v>7</v>
      </c>
      <c r="AJ60" s="53" t="str">
        <f ca="1">VLOOKUP(Tableau1[[#This Row],[Key(ID-Actif)]],'DATA BTO'!A:N,14,FALSE)</f>
        <v>Max</v>
      </c>
      <c r="AK60" s="54">
        <f ca="1">VLOOKUP(Tableau1[[#This Row],[Key(POD -PFI- Usine)]],'DATA Consignee'!A:F,6,FALSE)</f>
        <v>0</v>
      </c>
      <c r="AL60" s="125"/>
      <c r="AM60" s="483" t="str">
        <f>IF(Tableau1[[#This Row],[Name PFI/CDD]]="","-",VLOOKUP(Tableau1[[#This Row],[Name PFI/CDD]],Plant_AILN!I:J,2,FALSE))</f>
        <v>-</v>
      </c>
      <c r="AN6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0" s="2">
        <f ca="1">VLOOKUP(Tableau1[[#This Row],[Key(POD -PFI- Usine)]],'DATA Consignee'!A:J,10,FALSE)</f>
        <v>0</v>
      </c>
      <c r="AQ60" s="50">
        <f ca="1">VLOOKUP(Tableau1[[#This Row],[Key(POD -PFI- Usine)]],'DATA Consignee'!A:N,14,FALSE)</f>
        <v>0</v>
      </c>
      <c r="AR6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6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60" s="50">
        <f ca="1">Tableau1[[#This Row],[Transit time]]+Tableau1[[#This Row],[Time for security]]+Tableau1[[#This Row],[Time for security2 buffer]]</f>
        <v>23</v>
      </c>
      <c r="AU6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41</v>
      </c>
      <c r="AV60" s="389">
        <f ca="1">Tableau1[[#This Row],[Leadtime SI2C]]+Tableau1[[#This Row],[First Receipt Days]]-Tableau1[[#This Row],[Day Customer Order]]+1</f>
        <v>57</v>
      </c>
      <c r="AW60" s="117">
        <f ca="1">IF(Tableau1[[#This Row],[Name ILN]]&lt;&gt;"SFK Freight Forwarder",Tableau1[[#This Row],[Cust. Leadtime]],Tableau1[[#This Row],[Leadtime SI2C]])</f>
        <v>41</v>
      </c>
      <c r="AX60" s="51" t="str">
        <f>VLOOKUP(Tableau1[[#This Row],[ID]],'DATA BTO'!B:P,15,FALSE)</f>
        <v>Nissan &gt; Renault</v>
      </c>
      <c r="AY60" s="328">
        <f ca="1">IFERROR(VLOOKUP(Tableau1[[#This Row],[Key(ID-Actif)]],'DATA BTO'!A:N,4,FALSE),VLOOKUP(Tableau1[[#This Row],[ID]],'DATA BTO'!B:N,3,FALSE))</f>
        <v>46142</v>
      </c>
      <c r="AZ60" s="50" t="str">
        <f>IF(ISNUMBER(Tableau1[[#This Row],[Day Customer Order]]),"-","Please Check 'Name' information in 'Order' Sheet to make sure they have information")</f>
        <v>-</v>
      </c>
      <c r="BA6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0" s="50"/>
    </row>
    <row r="61" spans="2:57">
      <c r="B61" s="447" t="str">
        <f>_xlfn.CONCAT(Tableau1[[#This Row],[Name ILN]],"-",Tableau1[[#This Row],[Name Shipper]],"-",Tableau1[[#This Row],[Name Site]])</f>
        <v>SFK Freight Forwarder-Jatco Mexique-CURITIBA CVP</v>
      </c>
      <c r="C61" s="65" t="str">
        <f ca="1">_xlfn.CONCAT(Tableau1[[#This Row],[Compte ILN]],"-",Tableau1[[#This Row],[Compte Shipper]],"-",Tableau1[[#This Row],[POL]],"-",Tableau1[[#This Row],[Compte Consignee]])</f>
        <v>0-261427-MXATM-90018000</v>
      </c>
      <c r="D61" s="64" t="str">
        <f ca="1">_xlfn.CONCAT(Tableau1[[#This Row],[Compte ILN]],"-",Tableau1[[#This Row],[Compte Shipper]],"-",Tableau1[[#This Row],[POL]])</f>
        <v>0-261427-MXATM</v>
      </c>
      <c r="E61" s="396" t="str">
        <f ca="1">_xlfn.CONCAT(Tableau1[[#This Row],[POL]],"-",Tableau1[[#This Row],[Carrier]],"-",Tableau1[[#This Row],[POD]])</f>
        <v>MXATM-MSC-BRPNG</v>
      </c>
      <c r="F61" s="64" t="str">
        <f>_xlfn.CONCAT(Tableau1[[#This Row],[ID]],"-","Actif")</f>
        <v>1015-Actif</v>
      </c>
      <c r="G61" s="64" t="str">
        <f ca="1">_xlfn.CONCAT(Tableau1[[#This Row],[POD]],"-",Tableau1[[#This Row],[Code PFI]],"-",Tableau1[[#This Row],[Compte Consignee]])</f>
        <v>BRPNG---90018000</v>
      </c>
      <c r="H61" s="396" t="str">
        <f ca="1">_xlfn.CONCAT(IF(Tableau1[[#This Row],[Name ILN]]=Tableau1[[#This Row],[Name Shipper]],Tableau1[[#This Row],[Name ILN]],Tableau1[[#This Row],[Compte Shipper]]),Tableau1[[#This Row],[POL]],Tableau1[[#This Row],[Name Site]])</f>
        <v>261427MXATMCURITIBA CVP</v>
      </c>
      <c r="I6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CVP-SFK Freight Forwarder-Jatco Mexique-1015-MXATM-MSC-BRPNG-</v>
      </c>
      <c r="J61" s="397" t="str">
        <f ca="1">IF(COUNTIF(I:I,Tableau1[[#This Row],[Plant-ILN-shipper-POL-Carrier-POD-PFI]])=1,"Non","Oui")</f>
        <v>Non</v>
      </c>
      <c r="K61" s="126" t="str">
        <f>VLOOKUP(Tableau1[[#This Row],[Name Site]],Plant_AILN!A:D,4,FALSE)</f>
        <v>BRAZIL</v>
      </c>
      <c r="L61" s="363" t="s">
        <v>182</v>
      </c>
      <c r="M61" s="480">
        <f>VLOOKUP(Tableau1[[#This Row],[Name Site]],Plant_AILN!A:C,3,FALSE)</f>
        <v>90018000</v>
      </c>
      <c r="N61" s="55">
        <f>VLOOKUP(Tableau1[[#This Row],[Compte Consignee]],Order!C:D,2,FALSE)</f>
        <v>7</v>
      </c>
      <c r="O61" s="114" t="s">
        <v>150</v>
      </c>
      <c r="P61" s="481">
        <f>VLOOKUP(Tableau1[[#This Row],[Name ILN]],Plant_AILN!F:G,2,FALSE)</f>
        <v>0</v>
      </c>
      <c r="Q61" s="50">
        <f>VLOOKUP(Tableau1[[#This Row],[Compte ILN]],'DATA ILN'!D:I,6,FALSE)</f>
        <v>9</v>
      </c>
      <c r="R61" s="50">
        <f ca="1">IFERROR(VLOOKUP(Tableau1[[#This Row],[Key(Compte ILN - shipper - POL - plant)]],'DATA ILN'!A:J,10,FALSE),VLOOKUP(Tableau1[[#This Row],[Key(Compte ILN - shipper - POL)]],'DATA ILN'!B:J,9,FALSE))</f>
        <v>14</v>
      </c>
      <c r="S61" s="50">
        <f ca="1">IFERROR(VLOOKUP(Tableau1[[#This Row],[Key(Compte ILN - shipper - POL - plant)]],'DATA ILN'!A:K,11,FALSE),VLOOKUP(Tableau1[[#This Row],[Key(Compte ILN - shipper - POL)]],'DATA ILN'!B:K,10,FALSE))</f>
        <v>5</v>
      </c>
      <c r="T61" s="50">
        <f ca="1">IFERROR(VLOOKUP(Tableau1[[#This Row],[Key(Compte ILN - shipper - POL - plant)]],'DATA ILN'!A:L,12,FALSE),VLOOKUP(Tableau1[[#This Row],[Key(Compte ILN - shipper - POL)]],'DATA ILN'!B:L,11,FALSE))</f>
        <v>7</v>
      </c>
      <c r="U61" s="50">
        <f ca="1">Tableau1[[#This Row],[Day ILN Order]]+Tableau1[[#This Row],[Delivery time to ILN/Shipper]]-1</f>
        <v>22</v>
      </c>
      <c r="V61" s="50">
        <f ca="1">IFERROR(VLOOKUP(Tableau1[[#This Row],[Key(Compte ILN - shipper - POL - plant)]],'DATA ILN'!A:N,14,FALSE),VLOOKUP(Tableau1[[#This Row],[Key(Compte ILN - shipper - POL)]],'DATA ILN'!B:N,13,FALSE))</f>
        <v>2</v>
      </c>
      <c r="W61" s="53">
        <f ca="1">IFERROR(VLOOKUP(Tableau1[[#This Row],[Key(Compte ILN - shipper - POL - plant)]],'DATA ILN'!A:P,16,FALSE),VLOOKUP(Tableau1[[#This Row],[Key(Compte ILN - shipper - POL)]],'DATA ILN'!B:P,15,FALSE))</f>
        <v>5</v>
      </c>
      <c r="X61" s="283" t="s">
        <v>173</v>
      </c>
      <c r="Y61" s="482">
        <f>IFERROR(VLOOKUP(Tableau1[[#This Row],[Name Shipper]],Plant_AILN!L:M,2,FALSE),0)</f>
        <v>261427</v>
      </c>
      <c r="Z61" s="358">
        <v>1015</v>
      </c>
      <c r="AA61" s="353" t="str">
        <f ca="1">VLOOKUP(Tableau1[[#This Row],[Key(ID-Actif)]],'DATA BTO'!A:N,5,FALSE)</f>
        <v>MXATM</v>
      </c>
      <c r="AB61" s="3" t="str">
        <f ca="1">VLOOKUP(Tableau1[[#This Row],[Key(ID-Actif)]],'DATA BTO'!A:N,6,FALSE)</f>
        <v>MSC</v>
      </c>
      <c r="AC61" s="50">
        <f ca="1">VLOOKUP(Tableau1[[#This Row],[Key(ID-Actif)]],'DATA BTO'!A:N,7,FALSE)</f>
        <v>6</v>
      </c>
      <c r="AD61" s="50">
        <f ca="1">VLOOKUP(Tableau1[[#This Row],[Key(ID-Actif)]],'DATA BTO'!A:N,8,FALSE)</f>
        <v>8</v>
      </c>
      <c r="AE61" s="50">
        <f ca="1">IF(Tableau1[[#This Row],[First Day to POL]]&lt;=Tableau1[[#This Row],[Day Cut Off]],Tableau1[[#This Row],[Day ETD]],Tableau1[[#This Row],[Day ETD]]+7)</f>
        <v>8</v>
      </c>
      <c r="AF61" s="50">
        <f ca="1">VLOOKUP(Tableau1[[#This Row],[Key(ID-Actif)]],'DATA BTO'!A:N,9,FALSE)</f>
        <v>32</v>
      </c>
      <c r="AG61" s="3" t="str">
        <f ca="1">VLOOKUP(Tableau1[[#This Row],[Key(ID-Actif)]],'DATA BTO'!A:N,10,FALSE)</f>
        <v>BRPNG</v>
      </c>
      <c r="AH61" s="3">
        <f ca="1">VLOOKUP(Tableau1[[#This Row],[Key(ID-Actif)]],'DATA BTO'!A:N,11,FALSE)</f>
        <v>3</v>
      </c>
      <c r="AI61" s="50">
        <f ca="1">VLOOKUP(Tableau1[[#This Row],[Key(ID-Actif)]],'DATA BTO'!A:N,12,FALSE)</f>
        <v>7</v>
      </c>
      <c r="AJ61" s="53" t="str">
        <f ca="1">VLOOKUP(Tableau1[[#This Row],[Key(ID-Actif)]],'DATA BTO'!A:N,14,FALSE)</f>
        <v>Max</v>
      </c>
      <c r="AK61" s="54">
        <f ca="1">VLOOKUP(Tableau1[[#This Row],[Key(POD -PFI- Usine)]],'DATA Consignee'!A:F,6,FALSE)</f>
        <v>2</v>
      </c>
      <c r="AL61" s="125"/>
      <c r="AM61" s="483" t="str">
        <f>IF(Tableau1[[#This Row],[Name PFI/CDD]]="","-",VLOOKUP(Tableau1[[#This Row],[Name PFI/CDD]],Plant_AILN!I:J,2,FALSE))</f>
        <v>-</v>
      </c>
      <c r="AN6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1" s="2">
        <f ca="1">VLOOKUP(Tableau1[[#This Row],[Key(POD -PFI- Usine)]],'DATA Consignee'!A:J,10,FALSE)</f>
        <v>0</v>
      </c>
      <c r="AQ61" s="50">
        <f ca="1">VLOOKUP(Tableau1[[#This Row],[Key(POD -PFI- Usine)]],'DATA Consignee'!A:N,14,FALSE)</f>
        <v>2</v>
      </c>
      <c r="AR6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6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13</v>
      </c>
      <c r="AT61" s="50">
        <f ca="1">Tableau1[[#This Row],[Transit time]]+Tableau1[[#This Row],[Time for security]]+Tableau1[[#This Row],[Time for security2 buffer]]</f>
        <v>42</v>
      </c>
      <c r="AU6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61" s="389">
        <f ca="1">Tableau1[[#This Row],[Leadtime SI2C]]+Tableau1[[#This Row],[First Receipt Days]]-Tableau1[[#This Row],[Day Customer Order]]+1</f>
        <v>78</v>
      </c>
      <c r="AW61" s="117">
        <f ca="1">IF(Tableau1[[#This Row],[Name ILN]]&lt;&gt;"SFK Freight Forwarder",Tableau1[[#This Row],[Cust. Leadtime]],Tableau1[[#This Row],[Leadtime SI2C]])</f>
        <v>62</v>
      </c>
      <c r="AX61" s="51" t="str">
        <f>VLOOKUP(Tableau1[[#This Row],[ID]],'DATA BTO'!B:P,15,FALSE)</f>
        <v>Nissan &gt; Renault</v>
      </c>
      <c r="AY61" s="328">
        <f ca="1">IFERROR(VLOOKUP(Tableau1[[#This Row],[Key(ID-Actif)]],'DATA BTO'!A:N,4,FALSE),VLOOKUP(Tableau1[[#This Row],[ID]],'DATA BTO'!B:N,3,FALSE))</f>
        <v>46142</v>
      </c>
      <c r="AZ61" s="50" t="str">
        <f>IF(ISNUMBER(Tableau1[[#This Row],[Day Customer Order]]),"-","Please Check 'Name' information in 'Order' Sheet to make sure they have information")</f>
        <v>-</v>
      </c>
      <c r="BA6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1" s="50"/>
    </row>
    <row r="62" spans="2:57">
      <c r="B62" s="447" t="str">
        <f>_xlfn.CONCAT(Tableau1[[#This Row],[Name ILN]],"-",Tableau1[[#This Row],[Name Shipper]],"-",Tableau1[[#This Row],[Name Site]])</f>
        <v>ILN Chine -ILN Chine -RKM</v>
      </c>
      <c r="C62" s="65" t="str">
        <f ca="1">_xlfn.CONCAT(Tableau1[[#This Row],[Compte ILN]],"-",Tableau1[[#This Row],[Compte Shipper]],"-",Tableau1[[#This Row],[POL]],"-",Tableau1[[#This Row],[Compte Consignee]])</f>
        <v>222222-222222-CNSHA-92002200</v>
      </c>
      <c r="D62" s="64" t="str">
        <f ca="1">_xlfn.CONCAT(Tableau1[[#This Row],[Compte ILN]],"-",Tableau1[[#This Row],[Compte Shipper]],"-",Tableau1[[#This Row],[POL]])</f>
        <v>222222-222222-CNSHA</v>
      </c>
      <c r="E62" s="396" t="str">
        <f ca="1">_xlfn.CONCAT(Tableau1[[#This Row],[POL]],"-",Tableau1[[#This Row],[Carrier]],"-",Tableau1[[#This Row],[POD]])</f>
        <v>CNSHA-Hapag Lloyd-KRPUS</v>
      </c>
      <c r="F62" s="64" t="str">
        <f>_xlfn.CONCAT(Tableau1[[#This Row],[ID]],"-","Actif")</f>
        <v>1024-Actif</v>
      </c>
      <c r="G62" s="64" t="str">
        <f ca="1">_xlfn.CONCAT(Tableau1[[#This Row],[POD]],"-",Tableau1[[#This Row],[Code PFI]],"-",Tableau1[[#This Row],[Compte Consignee]])</f>
        <v>KRPUS---92002200</v>
      </c>
      <c r="H62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CNSHARKM</v>
      </c>
      <c r="I6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RKM-ILN Chine -ILN Chine -1024-CNSHA-Hapag Lloyd-KRPUS-</v>
      </c>
      <c r="J62" s="397" t="str">
        <f ca="1">IF(COUNTIF(I:I,Tableau1[[#This Row],[Plant-ILN-shipper-POL-Carrier-POD-PFI]])=1,"Non","Oui")</f>
        <v>Non</v>
      </c>
      <c r="K62" s="126" t="str">
        <f>VLOOKUP(Tableau1[[#This Row],[Name Site]],Plant_AILN!A:D,4,FALSE)</f>
        <v>KOREA</v>
      </c>
      <c r="L62" s="363" t="s">
        <v>36</v>
      </c>
      <c r="M62" s="480">
        <f>VLOOKUP(Tableau1[[#This Row],[Name Site]],Plant_AILN!A:C,3,FALSE)</f>
        <v>92002200</v>
      </c>
      <c r="N62" s="55">
        <f>VLOOKUP(Tableau1[[#This Row],[Compte Consignee]],Order!C:D,2,FALSE)</f>
        <v>7</v>
      </c>
      <c r="O62" s="114" t="s">
        <v>183</v>
      </c>
      <c r="P62" s="481">
        <f>VLOOKUP(Tableau1[[#This Row],[Name ILN]],Plant_AILN!F:G,2,FALSE)</f>
        <v>222222</v>
      </c>
      <c r="Q62" s="50">
        <f>VLOOKUP(Tableau1[[#This Row],[Compte ILN]],'DATA ILN'!D:I,6,FALSE)</f>
        <v>9</v>
      </c>
      <c r="R62" s="50">
        <f ca="1">IFERROR(VLOOKUP(Tableau1[[#This Row],[Key(Compte ILN - shipper - POL - plant)]],'DATA ILN'!A:J,10,FALSE),VLOOKUP(Tableau1[[#This Row],[Key(Compte ILN - shipper - POL)]],'DATA ILN'!B:J,9,FALSE))</f>
        <v>21</v>
      </c>
      <c r="S62" s="50">
        <f ca="1">IFERROR(VLOOKUP(Tableau1[[#This Row],[Key(Compte ILN - shipper - POL - plant)]],'DATA ILN'!A:K,11,FALSE),VLOOKUP(Tableau1[[#This Row],[Key(Compte ILN - shipper - POL)]],'DATA ILN'!B:K,10,FALSE))</f>
        <v>5</v>
      </c>
      <c r="T62" s="50">
        <f ca="1">IFERROR(VLOOKUP(Tableau1[[#This Row],[Key(Compte ILN - shipper - POL - plant)]],'DATA ILN'!A:L,12,FALSE),VLOOKUP(Tableau1[[#This Row],[Key(Compte ILN - shipper - POL)]],'DATA ILN'!B:L,11,FALSE))</f>
        <v>7</v>
      </c>
      <c r="U62" s="50">
        <f ca="1">Tableau1[[#This Row],[Day ILN Order]]+Tableau1[[#This Row],[Delivery time to ILN/Shipper]]-1</f>
        <v>29</v>
      </c>
      <c r="V62" s="50">
        <f ca="1">IFERROR(VLOOKUP(Tableau1[[#This Row],[Key(Compte ILN - shipper - POL - plant)]],'DATA ILN'!A:N,14,FALSE),VLOOKUP(Tableau1[[#This Row],[Key(Compte ILN - shipper - POL)]],'DATA ILN'!B:N,13,FALSE))</f>
        <v>1</v>
      </c>
      <c r="W62" s="53">
        <f ca="1">IFERROR(VLOOKUP(Tableau1[[#This Row],[Key(Compte ILN - shipper - POL - plant)]],'DATA ILN'!A:P,16,FALSE),VLOOKUP(Tableau1[[#This Row],[Key(Compte ILN - shipper - POL)]],'DATA ILN'!B:P,15,FALSE))</f>
        <v>2</v>
      </c>
      <c r="X62" s="283" t="s">
        <v>183</v>
      </c>
      <c r="Y62" s="482">
        <f>IFERROR(VLOOKUP(Tableau1[[#This Row],[Name Shipper]],Plant_AILN!L:M,2,FALSE),0)</f>
        <v>222222</v>
      </c>
      <c r="Z62" s="358">
        <v>1024</v>
      </c>
      <c r="AA62" s="353" t="str">
        <f ca="1">VLOOKUP(Tableau1[[#This Row],[Key(ID-Actif)]],'DATA BTO'!A:N,5,FALSE)</f>
        <v>CNSHA</v>
      </c>
      <c r="AB62" s="3" t="str">
        <f ca="1">VLOOKUP(Tableau1[[#This Row],[Key(ID-Actif)]],'DATA BTO'!A:N,6,FALSE)</f>
        <v>Hapag Lloyd</v>
      </c>
      <c r="AC62" s="50">
        <f ca="1">VLOOKUP(Tableau1[[#This Row],[Key(ID-Actif)]],'DATA BTO'!A:N,7,FALSE)</f>
        <v>3</v>
      </c>
      <c r="AD62" s="50">
        <f ca="1">VLOOKUP(Tableau1[[#This Row],[Key(ID-Actif)]],'DATA BTO'!A:N,8,FALSE)</f>
        <v>5</v>
      </c>
      <c r="AE62" s="50">
        <f ca="1">IF(Tableau1[[#This Row],[First Day to POL]]&lt;=Tableau1[[#This Row],[Day Cut Off]],Tableau1[[#This Row],[Day ETD]],Tableau1[[#This Row],[Day ETD]]+7)</f>
        <v>5</v>
      </c>
      <c r="AF62" s="50">
        <f ca="1">VLOOKUP(Tableau1[[#This Row],[Key(ID-Actif)]],'DATA BTO'!A:N,9,FALSE)</f>
        <v>3</v>
      </c>
      <c r="AG62" s="3" t="str">
        <f ca="1">VLOOKUP(Tableau1[[#This Row],[Key(ID-Actif)]],'DATA BTO'!A:N,10,FALSE)</f>
        <v>KRPUS</v>
      </c>
      <c r="AH62" s="3">
        <f ca="1">VLOOKUP(Tableau1[[#This Row],[Key(ID-Actif)]],'DATA BTO'!A:N,11,FALSE)</f>
        <v>3</v>
      </c>
      <c r="AI62" s="50">
        <f ca="1">VLOOKUP(Tableau1[[#This Row],[Key(ID-Actif)]],'DATA BTO'!A:N,12,FALSE)</f>
        <v>0</v>
      </c>
      <c r="AJ62" s="53" t="str">
        <f ca="1">VLOOKUP(Tableau1[[#This Row],[Key(ID-Actif)]],'DATA BTO'!A:N,14,FALSE)</f>
        <v>Marc-Aurele</v>
      </c>
      <c r="AK62" s="54">
        <f ca="1">VLOOKUP(Tableau1[[#This Row],[Key(POD -PFI- Usine)]],'DATA Consignee'!A:F,6,FALSE)</f>
        <v>2</v>
      </c>
      <c r="AL62" s="125"/>
      <c r="AM62" s="483" t="str">
        <f>IF(Tableau1[[#This Row],[Name PFI/CDD]]="","-",VLOOKUP(Tableau1[[#This Row],[Name PFI/CDD]],Plant_AILN!I:J,2,FALSE))</f>
        <v>-</v>
      </c>
      <c r="AN6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2" s="2">
        <f ca="1">VLOOKUP(Tableau1[[#This Row],[Key(POD -PFI- Usine)]],'DATA Consignee'!A:J,10,FALSE)</f>
        <v>0</v>
      </c>
      <c r="AQ62" s="50">
        <f ca="1">VLOOKUP(Tableau1[[#This Row],[Key(POD -PFI- Usine)]],'DATA Consignee'!A:N,14,FALSE)</f>
        <v>1</v>
      </c>
      <c r="AR6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6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62" s="50">
        <f ca="1">Tableau1[[#This Row],[Transit time]]+Tableau1[[#This Row],[Time for security]]+Tableau1[[#This Row],[Time for security2 buffer]]</f>
        <v>6</v>
      </c>
      <c r="AU6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20</v>
      </c>
      <c r="AV62" s="389">
        <f ca="1">Tableau1[[#This Row],[Leadtime SI2C]]+Tableau1[[#This Row],[First Receipt Days]]-Tableau1[[#This Row],[Day Customer Order]]+1</f>
        <v>43</v>
      </c>
      <c r="AW62" s="117">
        <f ca="1">IF(Tableau1[[#This Row],[Name ILN]]&lt;&gt;"SFK Freight Forwarder",Tableau1[[#This Row],[Cust. Leadtime]],Tableau1[[#This Row],[Leadtime SI2C]])</f>
        <v>43</v>
      </c>
      <c r="AX62" s="51" t="str">
        <f>VLOOKUP(Tableau1[[#This Row],[ID]],'DATA BTO'!B:P,15,FALSE)</f>
        <v>Nissan &gt; Renault</v>
      </c>
      <c r="AY62" s="328">
        <f ca="1">IFERROR(VLOOKUP(Tableau1[[#This Row],[Key(ID-Actif)]],'DATA BTO'!A:N,4,FALSE),VLOOKUP(Tableau1[[#This Row],[ID]],'DATA BTO'!B:N,3,FALSE))</f>
        <v>46142</v>
      </c>
      <c r="AZ62" s="50" t="str">
        <f>IF(ISNUMBER(Tableau1[[#This Row],[Day Customer Order]]),"-","Please Check 'Name' information in 'Order' Sheet to make sure they have information")</f>
        <v>-</v>
      </c>
      <c r="BA6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2" s="50"/>
    </row>
    <row r="63" spans="2:57">
      <c r="B63" s="447" t="str">
        <f>_xlfn.CONCAT(Tableau1[[#This Row],[Name ILN]],"-",Tableau1[[#This Row],[Name Shipper]],"-",Tableau1[[#This Row],[Name Site]])</f>
        <v>ILN Chine -ILN Chine -CLEON</v>
      </c>
      <c r="C63" s="65" t="str">
        <f ca="1">_xlfn.CONCAT(Tableau1[[#This Row],[Compte ILN]],"-",Tableau1[[#This Row],[Compte Shipper]],"-",Tableau1[[#This Row],[POL]],"-",Tableau1[[#This Row],[Compte Consignee]])</f>
        <v>222222-222222-CNSHA-92000100</v>
      </c>
      <c r="D63" s="64" t="str">
        <f ca="1">_xlfn.CONCAT(Tableau1[[#This Row],[Compte ILN]],"-",Tableau1[[#This Row],[Compte Shipper]],"-",Tableau1[[#This Row],[POL]])</f>
        <v>222222-222222-CNSHA</v>
      </c>
      <c r="E63" s="396" t="str">
        <f ca="1">_xlfn.CONCAT(Tableau1[[#This Row],[POL]],"-",Tableau1[[#This Row],[Carrier]],"-",Tableau1[[#This Row],[POD]])</f>
        <v>CNSHA-CMA-CGM-FRLEH</v>
      </c>
      <c r="F63" s="64" t="str">
        <f>_xlfn.CONCAT(Tableau1[[#This Row],[ID]],"-","Actif")</f>
        <v>1026-Actif</v>
      </c>
      <c r="G63" s="64" t="str">
        <f ca="1">_xlfn.CONCAT(Tableau1[[#This Row],[POD]],"-",Tableau1[[#This Row],[Code PFI]],"-",Tableau1[[#This Row],[Compte Consignee]])</f>
        <v>FRLEH---92000100</v>
      </c>
      <c r="H63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CNSHACLEON</v>
      </c>
      <c r="I6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CLEON-ILN Chine -ILN Chine -1026-CNSHA-CMA-CGM-FRLEH-</v>
      </c>
      <c r="J63" s="397" t="str">
        <f ca="1">IF(COUNTIF(I:I,Tableau1[[#This Row],[Plant-ILN-shipper-POL-Carrier-POD-PFI]])=1,"Non","Oui")</f>
        <v>Non</v>
      </c>
      <c r="K63" s="126" t="str">
        <f>VLOOKUP(Tableau1[[#This Row],[Name Site]],Plant_AILN!A:D,4,FALSE)</f>
        <v>FRANCE</v>
      </c>
      <c r="L63" s="363" t="s">
        <v>184</v>
      </c>
      <c r="M63" s="480">
        <f>VLOOKUP(Tableau1[[#This Row],[Name Site]],Plant_AILN!A:C,3,FALSE)</f>
        <v>92000100</v>
      </c>
      <c r="N63" s="55">
        <f>VLOOKUP(Tableau1[[#This Row],[Compte Consignee]],Order!C:D,2,FALSE)</f>
        <v>7</v>
      </c>
      <c r="O63" s="114" t="s">
        <v>183</v>
      </c>
      <c r="P63" s="481">
        <f>VLOOKUP(Tableau1[[#This Row],[Name ILN]],Plant_AILN!F:G,2,FALSE)</f>
        <v>222222</v>
      </c>
      <c r="Q63" s="50">
        <f>VLOOKUP(Tableau1[[#This Row],[Compte ILN]],'DATA ILN'!D:I,6,FALSE)</f>
        <v>9</v>
      </c>
      <c r="R63" s="50">
        <f ca="1">IFERROR(VLOOKUP(Tableau1[[#This Row],[Key(Compte ILN - shipper - POL - plant)]],'DATA ILN'!A:J,10,FALSE),VLOOKUP(Tableau1[[#This Row],[Key(Compte ILN - shipper - POL)]],'DATA ILN'!B:J,9,FALSE))</f>
        <v>21</v>
      </c>
      <c r="S63" s="50">
        <f ca="1">IFERROR(VLOOKUP(Tableau1[[#This Row],[Key(Compte ILN - shipper - POL - plant)]],'DATA ILN'!A:K,11,FALSE),VLOOKUP(Tableau1[[#This Row],[Key(Compte ILN - shipper - POL)]],'DATA ILN'!B:K,10,FALSE))</f>
        <v>5</v>
      </c>
      <c r="T63" s="50">
        <f ca="1">IFERROR(VLOOKUP(Tableau1[[#This Row],[Key(Compte ILN - shipper - POL - plant)]],'DATA ILN'!A:L,12,FALSE),VLOOKUP(Tableau1[[#This Row],[Key(Compte ILN - shipper - POL)]],'DATA ILN'!B:L,11,FALSE))</f>
        <v>7</v>
      </c>
      <c r="U63" s="50">
        <f ca="1">Tableau1[[#This Row],[Day ILN Order]]+Tableau1[[#This Row],[Delivery time to ILN/Shipper]]-1</f>
        <v>29</v>
      </c>
      <c r="V63" s="50">
        <f ca="1">IFERROR(VLOOKUP(Tableau1[[#This Row],[Key(Compte ILN - shipper - POL - plant)]],'DATA ILN'!A:N,14,FALSE),VLOOKUP(Tableau1[[#This Row],[Key(Compte ILN - shipper - POL)]],'DATA ILN'!B:N,13,FALSE))</f>
        <v>1</v>
      </c>
      <c r="W63" s="53">
        <f ca="1">IFERROR(VLOOKUP(Tableau1[[#This Row],[Key(Compte ILN - shipper - POL - plant)]],'DATA ILN'!A:P,16,FALSE),VLOOKUP(Tableau1[[#This Row],[Key(Compte ILN - shipper - POL)]],'DATA ILN'!B:P,15,FALSE))</f>
        <v>2</v>
      </c>
      <c r="X63" s="283" t="s">
        <v>183</v>
      </c>
      <c r="Y63" s="482">
        <f>IFERROR(VLOOKUP(Tableau1[[#This Row],[Name Shipper]],Plant_AILN!L:M,2,FALSE),0)</f>
        <v>222222</v>
      </c>
      <c r="Z63" s="358">
        <v>1026</v>
      </c>
      <c r="AA63" s="353" t="str">
        <f ca="1">VLOOKUP(Tableau1[[#This Row],[Key(ID-Actif)]],'DATA BTO'!A:N,5,FALSE)</f>
        <v>CNSHA</v>
      </c>
      <c r="AB63" s="3" t="str">
        <f ca="1">VLOOKUP(Tableau1[[#This Row],[Key(ID-Actif)]],'DATA BTO'!A:N,6,FALSE)</f>
        <v>CMA-CGM</v>
      </c>
      <c r="AC63" s="50">
        <f ca="1">VLOOKUP(Tableau1[[#This Row],[Key(ID-Actif)]],'DATA BTO'!A:N,7,FALSE)</f>
        <v>4</v>
      </c>
      <c r="AD63" s="50">
        <f ca="1">VLOOKUP(Tableau1[[#This Row],[Key(ID-Actif)]],'DATA BTO'!A:N,8,FALSE)</f>
        <v>6</v>
      </c>
      <c r="AE63" s="50">
        <f ca="1">IF(Tableau1[[#This Row],[First Day to POL]]&lt;=Tableau1[[#This Row],[Day Cut Off]],Tableau1[[#This Row],[Day ETD]],Tableau1[[#This Row],[Day ETD]]+7)</f>
        <v>6</v>
      </c>
      <c r="AF63" s="50">
        <f ca="1">VLOOKUP(Tableau1[[#This Row],[Key(ID-Actif)]],'DATA BTO'!A:N,9,FALSE)</f>
        <v>37</v>
      </c>
      <c r="AG63" s="3" t="str">
        <f ca="1">VLOOKUP(Tableau1[[#This Row],[Key(ID-Actif)]],'DATA BTO'!A:N,10,FALSE)</f>
        <v>FRLEH</v>
      </c>
      <c r="AH63" s="3">
        <f ca="1">VLOOKUP(Tableau1[[#This Row],[Key(ID-Actif)]],'DATA BTO'!A:N,11,FALSE)</f>
        <v>3</v>
      </c>
      <c r="AI63" s="50">
        <f ca="1">VLOOKUP(Tableau1[[#This Row],[Key(ID-Actif)]],'DATA BTO'!A:N,12,FALSE)</f>
        <v>0</v>
      </c>
      <c r="AJ63" s="53" t="str">
        <f ca="1">VLOOKUP(Tableau1[[#This Row],[Key(ID-Actif)]],'DATA BTO'!A:N,14,FALSE)</f>
        <v>Marc-Aurele</v>
      </c>
      <c r="AK63" s="54">
        <f ca="1">VLOOKUP(Tableau1[[#This Row],[Key(POD -PFI- Usine)]],'DATA Consignee'!A:F,6,FALSE)</f>
        <v>3</v>
      </c>
      <c r="AL63" s="125"/>
      <c r="AM63" s="483" t="str">
        <f>IF(Tableau1[[#This Row],[Name PFI/CDD]]="","-",VLOOKUP(Tableau1[[#This Row],[Name PFI/CDD]],Plant_AILN!I:J,2,FALSE))</f>
        <v>-</v>
      </c>
      <c r="AN6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3" s="2">
        <f ca="1">VLOOKUP(Tableau1[[#This Row],[Key(POD -PFI- Usine)]],'DATA Consignee'!A:J,10,FALSE)</f>
        <v>0</v>
      </c>
      <c r="AQ63" s="50">
        <f ca="1">VLOOKUP(Tableau1[[#This Row],[Key(POD -PFI- Usine)]],'DATA Consignee'!A:N,14,FALSE)</f>
        <v>8</v>
      </c>
      <c r="AR6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6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11</v>
      </c>
      <c r="AT63" s="50">
        <f ca="1">Tableau1[[#This Row],[Transit time]]+Tableau1[[#This Row],[Time for security]]+Tableau1[[#This Row],[Time for security2 buffer]]</f>
        <v>40</v>
      </c>
      <c r="AU6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63" s="389">
        <f ca="1">Tableau1[[#This Row],[Leadtime SI2C]]+Tableau1[[#This Row],[First Receipt Days]]-Tableau1[[#This Row],[Day Customer Order]]+1</f>
        <v>85</v>
      </c>
      <c r="AW63" s="117">
        <f ca="1">IF(Tableau1[[#This Row],[Name ILN]]&lt;&gt;"SFK Freight Forwarder",Tableau1[[#This Row],[Cust. Leadtime]],Tableau1[[#This Row],[Leadtime SI2C]])</f>
        <v>85</v>
      </c>
      <c r="AX63" s="51" t="str">
        <f>VLOOKUP(Tableau1[[#This Row],[ID]],'DATA BTO'!B:P,15,FALSE)</f>
        <v>Nissan &gt; Renault</v>
      </c>
      <c r="AY63" s="328">
        <f ca="1">IFERROR(VLOOKUP(Tableau1[[#This Row],[Key(ID-Actif)]],'DATA BTO'!A:N,4,FALSE),VLOOKUP(Tableau1[[#This Row],[ID]],'DATA BTO'!B:N,3,FALSE))</f>
        <v>46142</v>
      </c>
      <c r="AZ63" s="50" t="str">
        <f>IF(ISNUMBER(Tableau1[[#This Row],[Day Customer Order]]),"-","Please Check 'Name' information in 'Order' Sheet to make sure they have information")</f>
        <v>-</v>
      </c>
      <c r="BA6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3" s="50"/>
    </row>
    <row r="64" spans="2:57">
      <c r="B64" s="447" t="str">
        <f>_xlfn.CONCAT(Tableau1[[#This Row],[Name ILN]],"-",Tableau1[[#This Row],[Name Shipper]],"-",Tableau1[[#This Row],[Name Site]])</f>
        <v>ILN Chine -ILN Chine -VALL MONTAGE</v>
      </c>
      <c r="C64" s="65" t="str">
        <f ca="1">_xlfn.CONCAT(Tableau1[[#This Row],[Compte ILN]],"-",Tableau1[[#This Row],[Compte Shipper]],"-",Tableau1[[#This Row],[POL]],"-",Tableau1[[#This Row],[Compte Consignee]])</f>
        <v>222222-222222-CNSHA-91017300</v>
      </c>
      <c r="D64" s="64" t="str">
        <f ca="1">_xlfn.CONCAT(Tableau1[[#This Row],[Compte ILN]],"-",Tableau1[[#This Row],[Compte Shipper]],"-",Tableau1[[#This Row],[POL]])</f>
        <v>222222-222222-CNSHA</v>
      </c>
      <c r="E64" s="396" t="str">
        <f ca="1">_xlfn.CONCAT(Tableau1[[#This Row],[POL]],"-",Tableau1[[#This Row],[Carrier]],"-",Tableau1[[#This Row],[POD]])</f>
        <v>CNSHA-CMA-CGM-ESVLC</v>
      </c>
      <c r="F64" s="64" t="str">
        <f>_xlfn.CONCAT(Tableau1[[#This Row],[ID]],"-","Actif")</f>
        <v>1027-Actif</v>
      </c>
      <c r="G64" s="64" t="str">
        <f ca="1">_xlfn.CONCAT(Tableau1[[#This Row],[POD]],"-",Tableau1[[#This Row],[Code PFI]],"-",Tableau1[[#This Row],[Compte Consignee]])</f>
        <v>ESVLC---91017300</v>
      </c>
      <c r="H64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CNSHAVALL MONTAGE</v>
      </c>
      <c r="I6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VALL MONTAGE-ILN Chine -ILN Chine -1027-CNSHA-CMA-CGM-ESVLC-</v>
      </c>
      <c r="J64" s="397" t="str">
        <f ca="1">IF(COUNTIF(I:I,Tableau1[[#This Row],[Plant-ILN-shipper-POL-Carrier-POD-PFI]])=1,"Non","Oui")</f>
        <v>Non</v>
      </c>
      <c r="K64" s="126" t="str">
        <f>VLOOKUP(Tableau1[[#This Row],[Name Site]],Plant_AILN!A:D,4,FALSE)</f>
        <v>SPAIN</v>
      </c>
      <c r="L64" s="363" t="s">
        <v>172</v>
      </c>
      <c r="M64" s="480">
        <f>VLOOKUP(Tableau1[[#This Row],[Name Site]],Plant_AILN!A:C,3,FALSE)</f>
        <v>91017300</v>
      </c>
      <c r="N64" s="55">
        <f>VLOOKUP(Tableau1[[#This Row],[Compte Consignee]],Order!C:D,2,FALSE)</f>
        <v>7</v>
      </c>
      <c r="O64" s="114" t="s">
        <v>183</v>
      </c>
      <c r="P64" s="481">
        <f>VLOOKUP(Tableau1[[#This Row],[Name ILN]],Plant_AILN!F:G,2,FALSE)</f>
        <v>222222</v>
      </c>
      <c r="Q64" s="50">
        <f>VLOOKUP(Tableau1[[#This Row],[Compte ILN]],'DATA ILN'!D:I,6,FALSE)</f>
        <v>9</v>
      </c>
      <c r="R64" s="50">
        <f ca="1">IFERROR(VLOOKUP(Tableau1[[#This Row],[Key(Compte ILN - shipper - POL - plant)]],'DATA ILN'!A:J,10,FALSE),VLOOKUP(Tableau1[[#This Row],[Key(Compte ILN - shipper - POL)]],'DATA ILN'!B:J,9,FALSE))</f>
        <v>21</v>
      </c>
      <c r="S64" s="50">
        <f ca="1">IFERROR(VLOOKUP(Tableau1[[#This Row],[Key(Compte ILN - shipper - POL - plant)]],'DATA ILN'!A:K,11,FALSE),VLOOKUP(Tableau1[[#This Row],[Key(Compte ILN - shipper - POL)]],'DATA ILN'!B:K,10,FALSE))</f>
        <v>5</v>
      </c>
      <c r="T64" s="50">
        <f ca="1">IFERROR(VLOOKUP(Tableau1[[#This Row],[Key(Compte ILN - shipper - POL - plant)]],'DATA ILN'!A:L,12,FALSE),VLOOKUP(Tableau1[[#This Row],[Key(Compte ILN - shipper - POL)]],'DATA ILN'!B:L,11,FALSE))</f>
        <v>7</v>
      </c>
      <c r="U64" s="50">
        <f ca="1">Tableau1[[#This Row],[Day ILN Order]]+Tableau1[[#This Row],[Delivery time to ILN/Shipper]]-1</f>
        <v>29</v>
      </c>
      <c r="V64" s="50">
        <f ca="1">IFERROR(VLOOKUP(Tableau1[[#This Row],[Key(Compte ILN - shipper - POL - plant)]],'DATA ILN'!A:N,14,FALSE),VLOOKUP(Tableau1[[#This Row],[Key(Compte ILN - shipper - POL)]],'DATA ILN'!B:N,13,FALSE))</f>
        <v>1</v>
      </c>
      <c r="W64" s="53">
        <f ca="1">IFERROR(VLOOKUP(Tableau1[[#This Row],[Key(Compte ILN - shipper - POL - plant)]],'DATA ILN'!A:P,16,FALSE),VLOOKUP(Tableau1[[#This Row],[Key(Compte ILN - shipper - POL)]],'DATA ILN'!B:P,15,FALSE))</f>
        <v>2</v>
      </c>
      <c r="X64" s="283" t="s">
        <v>183</v>
      </c>
      <c r="Y64" s="482">
        <f>IFERROR(VLOOKUP(Tableau1[[#This Row],[Name Shipper]],Plant_AILN!L:M,2,FALSE),0)</f>
        <v>222222</v>
      </c>
      <c r="Z64" s="358">
        <v>1027</v>
      </c>
      <c r="AA64" s="353" t="str">
        <f ca="1">VLOOKUP(Tableau1[[#This Row],[Key(ID-Actif)]],'DATA BTO'!A:N,5,FALSE)</f>
        <v>CNSHA</v>
      </c>
      <c r="AB64" s="3" t="str">
        <f ca="1">VLOOKUP(Tableau1[[#This Row],[Key(ID-Actif)]],'DATA BTO'!A:N,6,FALSE)</f>
        <v>CMA-CGM</v>
      </c>
      <c r="AC64" s="50">
        <f ca="1">VLOOKUP(Tableau1[[#This Row],[Key(ID-Actif)]],'DATA BTO'!A:N,7,FALSE)</f>
        <v>2</v>
      </c>
      <c r="AD64" s="50">
        <f ca="1">VLOOKUP(Tableau1[[#This Row],[Key(ID-Actif)]],'DATA BTO'!A:N,8,FALSE)</f>
        <v>4</v>
      </c>
      <c r="AE64" s="50">
        <f ca="1">IF(Tableau1[[#This Row],[First Day to POL]]&lt;=Tableau1[[#This Row],[Day Cut Off]],Tableau1[[#This Row],[Day ETD]],Tableau1[[#This Row],[Day ETD]]+7)</f>
        <v>4</v>
      </c>
      <c r="AF64" s="50">
        <f ca="1">VLOOKUP(Tableau1[[#This Row],[Key(ID-Actif)]],'DATA BTO'!A:N,9,FALSE)</f>
        <v>39</v>
      </c>
      <c r="AG64" s="3" t="str">
        <f ca="1">VLOOKUP(Tableau1[[#This Row],[Key(ID-Actif)]],'DATA BTO'!A:N,10,FALSE)</f>
        <v>ESVLC</v>
      </c>
      <c r="AH64" s="3">
        <f ca="1">VLOOKUP(Tableau1[[#This Row],[Key(ID-Actif)]],'DATA BTO'!A:N,11,FALSE)</f>
        <v>3</v>
      </c>
      <c r="AI64" s="50">
        <f ca="1">VLOOKUP(Tableau1[[#This Row],[Key(ID-Actif)]],'DATA BTO'!A:N,12,FALSE)</f>
        <v>0</v>
      </c>
      <c r="AJ64" s="53" t="str">
        <f ca="1">VLOOKUP(Tableau1[[#This Row],[Key(ID-Actif)]],'DATA BTO'!A:N,14,FALSE)</f>
        <v>Marc-Aurele</v>
      </c>
      <c r="AK64" s="54">
        <f ca="1">VLOOKUP(Tableau1[[#This Row],[Key(POD -PFI- Usine)]],'DATA Consignee'!A:F,6,FALSE)</f>
        <v>2</v>
      </c>
      <c r="AL64" s="125"/>
      <c r="AM64" s="483" t="str">
        <f>IF(Tableau1[[#This Row],[Name PFI/CDD]]="","-",VLOOKUP(Tableau1[[#This Row],[Name PFI/CDD]],Plant_AILN!I:J,2,FALSE))</f>
        <v>-</v>
      </c>
      <c r="AN6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4" s="2">
        <f ca="1">VLOOKUP(Tableau1[[#This Row],[Key(POD -PFI- Usine)]],'DATA Consignee'!A:J,10,FALSE)</f>
        <v>0</v>
      </c>
      <c r="AQ64" s="50">
        <f ca="1">VLOOKUP(Tableau1[[#This Row],[Key(POD -PFI- Usine)]],'DATA Consignee'!A:N,14,FALSE)</f>
        <v>4</v>
      </c>
      <c r="AR6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6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64" s="50">
        <f ca="1">Tableau1[[#This Row],[Transit time]]+Tableau1[[#This Row],[Time for security]]+Tableau1[[#This Row],[Time for security2 buffer]]</f>
        <v>42</v>
      </c>
      <c r="AU6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64" s="389">
        <f ca="1">Tableau1[[#This Row],[Leadtime SI2C]]+Tableau1[[#This Row],[First Receipt Days]]-Tableau1[[#This Row],[Day Customer Order]]+1</f>
        <v>85</v>
      </c>
      <c r="AW64" s="117">
        <f ca="1">IF(Tableau1[[#This Row],[Name ILN]]&lt;&gt;"SFK Freight Forwarder",Tableau1[[#This Row],[Cust. Leadtime]],Tableau1[[#This Row],[Leadtime SI2C]])</f>
        <v>85</v>
      </c>
      <c r="AX64" s="51" t="str">
        <f>VLOOKUP(Tableau1[[#This Row],[ID]],'DATA BTO'!B:P,15,FALSE)</f>
        <v>Nissan &gt; Renault</v>
      </c>
      <c r="AY64" s="328">
        <f ca="1">IFERROR(VLOOKUP(Tableau1[[#This Row],[Key(ID-Actif)]],'DATA BTO'!A:N,4,FALSE),VLOOKUP(Tableau1[[#This Row],[ID]],'DATA BTO'!B:N,3,FALSE))</f>
        <v>46142</v>
      </c>
      <c r="AZ64" s="50" t="str">
        <f>IF(ISNUMBER(Tableau1[[#This Row],[Day Customer Order]]),"-","Please Check 'Name' information in 'Order' Sheet to make sure they have information")</f>
        <v>-</v>
      </c>
      <c r="BA6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4" s="50"/>
    </row>
    <row r="65" spans="2:57">
      <c r="B65" s="447" t="str">
        <f>_xlfn.CONCAT(Tableau1[[#This Row],[Name ILN]],"-",Tableau1[[#This Row],[Name Shipper]],"-",Tableau1[[#This Row],[Name Site]])</f>
        <v>ILN Chine -ILN Chine -PALENCIA</v>
      </c>
      <c r="C65" s="65" t="str">
        <f ca="1">_xlfn.CONCAT(Tableau1[[#This Row],[Compte ILN]],"-",Tableau1[[#This Row],[Compte Shipper]],"-",Tableau1[[#This Row],[POL]],"-",Tableau1[[#This Row],[Compte Consignee]])</f>
        <v>222222-222222-CNSHA-91017200</v>
      </c>
      <c r="D65" s="64" t="str">
        <f ca="1">_xlfn.CONCAT(Tableau1[[#This Row],[Compte ILN]],"-",Tableau1[[#This Row],[Compte Shipper]],"-",Tableau1[[#This Row],[POL]])</f>
        <v>222222-222222-CNSHA</v>
      </c>
      <c r="E65" s="396" t="str">
        <f ca="1">_xlfn.CONCAT(Tableau1[[#This Row],[POL]],"-",Tableau1[[#This Row],[Carrier]],"-",Tableau1[[#This Row],[POD]])</f>
        <v>CNSHA-CMA-CGM-ESVLC</v>
      </c>
      <c r="F65" s="64" t="str">
        <f>_xlfn.CONCAT(Tableau1[[#This Row],[ID]],"-","Actif")</f>
        <v>1027-Actif</v>
      </c>
      <c r="G65" s="64" t="str">
        <f ca="1">_xlfn.CONCAT(Tableau1[[#This Row],[POD]],"-",Tableau1[[#This Row],[Code PFI]],"-",Tableau1[[#This Row],[Compte Consignee]])</f>
        <v>ESVLC---91017200</v>
      </c>
      <c r="H65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CNSHAPALENCIA</v>
      </c>
      <c r="I6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PALENCIA-ILN Chine -ILN Chine -1027-CNSHA-CMA-CGM-ESVLC-</v>
      </c>
      <c r="J65" s="397" t="str">
        <f ca="1">IF(COUNTIF(I:I,Tableau1[[#This Row],[Plant-ILN-shipper-POL-Carrier-POD-PFI]])=1,"Non","Oui")</f>
        <v>Non</v>
      </c>
      <c r="K65" s="126" t="str">
        <f>VLOOKUP(Tableau1[[#This Row],[Name Site]],Plant_AILN!A:D,4,FALSE)</f>
        <v>SPAIN</v>
      </c>
      <c r="L65" s="363" t="s">
        <v>175</v>
      </c>
      <c r="M65" s="480">
        <f>VLOOKUP(Tableau1[[#This Row],[Name Site]],Plant_AILN!A:C,3,FALSE)</f>
        <v>91017200</v>
      </c>
      <c r="N65" s="55">
        <f>VLOOKUP(Tableau1[[#This Row],[Compte Consignee]],Order!C:D,2,FALSE)</f>
        <v>7</v>
      </c>
      <c r="O65" s="114" t="s">
        <v>183</v>
      </c>
      <c r="P65" s="481">
        <f>VLOOKUP(Tableau1[[#This Row],[Name ILN]],Plant_AILN!F:G,2,FALSE)</f>
        <v>222222</v>
      </c>
      <c r="Q65" s="50">
        <f>VLOOKUP(Tableau1[[#This Row],[Compte ILN]],'DATA ILN'!D:I,6,FALSE)</f>
        <v>9</v>
      </c>
      <c r="R65" s="50">
        <f ca="1">IFERROR(VLOOKUP(Tableau1[[#This Row],[Key(Compte ILN - shipper - POL - plant)]],'DATA ILN'!A:J,10,FALSE),VLOOKUP(Tableau1[[#This Row],[Key(Compte ILN - shipper - POL)]],'DATA ILN'!B:J,9,FALSE))</f>
        <v>21</v>
      </c>
      <c r="S65" s="50">
        <f ca="1">IFERROR(VLOOKUP(Tableau1[[#This Row],[Key(Compte ILN - shipper - POL - plant)]],'DATA ILN'!A:K,11,FALSE),VLOOKUP(Tableau1[[#This Row],[Key(Compte ILN - shipper - POL)]],'DATA ILN'!B:K,10,FALSE))</f>
        <v>5</v>
      </c>
      <c r="T65" s="50">
        <f ca="1">IFERROR(VLOOKUP(Tableau1[[#This Row],[Key(Compte ILN - shipper - POL - plant)]],'DATA ILN'!A:L,12,FALSE),VLOOKUP(Tableau1[[#This Row],[Key(Compte ILN - shipper - POL)]],'DATA ILN'!B:L,11,FALSE))</f>
        <v>7</v>
      </c>
      <c r="U65" s="50">
        <f ca="1">Tableau1[[#This Row],[Day ILN Order]]+Tableau1[[#This Row],[Delivery time to ILN/Shipper]]-1</f>
        <v>29</v>
      </c>
      <c r="V65" s="50">
        <f ca="1">IFERROR(VLOOKUP(Tableau1[[#This Row],[Key(Compte ILN - shipper - POL - plant)]],'DATA ILN'!A:N,14,FALSE),VLOOKUP(Tableau1[[#This Row],[Key(Compte ILN - shipper - POL)]],'DATA ILN'!B:N,13,FALSE))</f>
        <v>1</v>
      </c>
      <c r="W65" s="53">
        <f ca="1">IFERROR(VLOOKUP(Tableau1[[#This Row],[Key(Compte ILN - shipper - POL - plant)]],'DATA ILN'!A:P,16,FALSE),VLOOKUP(Tableau1[[#This Row],[Key(Compte ILN - shipper - POL)]],'DATA ILN'!B:P,15,FALSE))</f>
        <v>2</v>
      </c>
      <c r="X65" s="283" t="s">
        <v>183</v>
      </c>
      <c r="Y65" s="482">
        <f>IFERROR(VLOOKUP(Tableau1[[#This Row],[Name Shipper]],Plant_AILN!L:M,2,FALSE),0)</f>
        <v>222222</v>
      </c>
      <c r="Z65" s="358">
        <v>1027</v>
      </c>
      <c r="AA65" s="353" t="str">
        <f ca="1">VLOOKUP(Tableau1[[#This Row],[Key(ID-Actif)]],'DATA BTO'!A:N,5,FALSE)</f>
        <v>CNSHA</v>
      </c>
      <c r="AB65" s="3" t="str">
        <f ca="1">VLOOKUP(Tableau1[[#This Row],[Key(ID-Actif)]],'DATA BTO'!A:N,6,FALSE)</f>
        <v>CMA-CGM</v>
      </c>
      <c r="AC65" s="50">
        <f ca="1">VLOOKUP(Tableau1[[#This Row],[Key(ID-Actif)]],'DATA BTO'!A:N,7,FALSE)</f>
        <v>2</v>
      </c>
      <c r="AD65" s="50">
        <f ca="1">VLOOKUP(Tableau1[[#This Row],[Key(ID-Actif)]],'DATA BTO'!A:N,8,FALSE)</f>
        <v>4</v>
      </c>
      <c r="AE65" s="50">
        <f ca="1">IF(Tableau1[[#This Row],[First Day to POL]]&lt;=Tableau1[[#This Row],[Day Cut Off]],Tableau1[[#This Row],[Day ETD]],Tableau1[[#This Row],[Day ETD]]+7)</f>
        <v>4</v>
      </c>
      <c r="AF65" s="50">
        <f ca="1">VLOOKUP(Tableau1[[#This Row],[Key(ID-Actif)]],'DATA BTO'!A:N,9,FALSE)</f>
        <v>39</v>
      </c>
      <c r="AG65" s="3" t="str">
        <f ca="1">VLOOKUP(Tableau1[[#This Row],[Key(ID-Actif)]],'DATA BTO'!A:N,10,FALSE)</f>
        <v>ESVLC</v>
      </c>
      <c r="AH65" s="3">
        <f ca="1">VLOOKUP(Tableau1[[#This Row],[Key(ID-Actif)]],'DATA BTO'!A:N,11,FALSE)</f>
        <v>3</v>
      </c>
      <c r="AI65" s="50">
        <f ca="1">VLOOKUP(Tableau1[[#This Row],[Key(ID-Actif)]],'DATA BTO'!A:N,12,FALSE)</f>
        <v>0</v>
      </c>
      <c r="AJ65" s="53" t="str">
        <f ca="1">VLOOKUP(Tableau1[[#This Row],[Key(ID-Actif)]],'DATA BTO'!A:N,14,FALSE)</f>
        <v>Marc-Aurele</v>
      </c>
      <c r="AK65" s="54">
        <f ca="1">VLOOKUP(Tableau1[[#This Row],[Key(POD -PFI- Usine)]],'DATA Consignee'!A:F,6,FALSE)</f>
        <v>2</v>
      </c>
      <c r="AL65" s="125"/>
      <c r="AM65" s="483" t="str">
        <f>IF(Tableau1[[#This Row],[Name PFI/CDD]]="","-",VLOOKUP(Tableau1[[#This Row],[Name PFI/CDD]],Plant_AILN!I:J,2,FALSE))</f>
        <v>-</v>
      </c>
      <c r="AN6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5" s="2">
        <f ca="1">VLOOKUP(Tableau1[[#This Row],[Key(POD -PFI- Usine)]],'DATA Consignee'!A:J,10,FALSE)</f>
        <v>0</v>
      </c>
      <c r="AQ65" s="50">
        <f ca="1">VLOOKUP(Tableau1[[#This Row],[Key(POD -PFI- Usine)]],'DATA Consignee'!A:N,14,FALSE)</f>
        <v>2</v>
      </c>
      <c r="AR6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6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65" s="50">
        <f ca="1">Tableau1[[#This Row],[Transit time]]+Tableau1[[#This Row],[Time for security]]+Tableau1[[#This Row],[Time for security2 buffer]]</f>
        <v>42</v>
      </c>
      <c r="AU6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65" s="389">
        <f ca="1">Tableau1[[#This Row],[Leadtime SI2C]]+Tableau1[[#This Row],[First Receipt Days]]-Tableau1[[#This Row],[Day Customer Order]]+1</f>
        <v>78</v>
      </c>
      <c r="AW65" s="117">
        <f ca="1">IF(Tableau1[[#This Row],[Name ILN]]&lt;&gt;"SFK Freight Forwarder",Tableau1[[#This Row],[Cust. Leadtime]],Tableau1[[#This Row],[Leadtime SI2C]])</f>
        <v>78</v>
      </c>
      <c r="AX65" s="51" t="str">
        <f>VLOOKUP(Tableau1[[#This Row],[ID]],'DATA BTO'!B:P,15,FALSE)</f>
        <v>Nissan &gt; Renault</v>
      </c>
      <c r="AY65" s="328">
        <f ca="1">IFERROR(VLOOKUP(Tableau1[[#This Row],[Key(ID-Actif)]],'DATA BTO'!A:N,4,FALSE),VLOOKUP(Tableau1[[#This Row],[ID]],'DATA BTO'!B:N,3,FALSE))</f>
        <v>46142</v>
      </c>
      <c r="AZ65" s="50" t="str">
        <f>IF(ISNUMBER(Tableau1[[#This Row],[Day Customer Order]]),"-","Please Check 'Name' information in 'Order' Sheet to make sure they have information")</f>
        <v>-</v>
      </c>
      <c r="BA6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5" s="50"/>
    </row>
    <row r="66" spans="2:57">
      <c r="B66" s="447" t="str">
        <f>_xlfn.CONCAT(Tableau1[[#This Row],[Name ILN]],"-",Tableau1[[#This Row],[Name Shipper]],"-",Tableau1[[#This Row],[Name Site]])</f>
        <v>ILN Chine -ILN Chine -MOTORES</v>
      </c>
      <c r="C66" s="65" t="str">
        <f ca="1">_xlfn.CONCAT(Tableau1[[#This Row],[Compte ILN]],"-",Tableau1[[#This Row],[Compte Shipper]],"-",Tableau1[[#This Row],[POL]],"-",Tableau1[[#This Row],[Compte Consignee]])</f>
        <v>222222-222222-CNSHA-91017700</v>
      </c>
      <c r="D66" s="64" t="str">
        <f ca="1">_xlfn.CONCAT(Tableau1[[#This Row],[Compte ILN]],"-",Tableau1[[#This Row],[Compte Shipper]],"-",Tableau1[[#This Row],[POL]])</f>
        <v>222222-222222-CNSHA</v>
      </c>
      <c r="E66" s="396" t="str">
        <f ca="1">_xlfn.CONCAT(Tableau1[[#This Row],[POL]],"-",Tableau1[[#This Row],[Carrier]],"-",Tableau1[[#This Row],[POD]])</f>
        <v>CNSHA-CMA-CGM-ESVLC</v>
      </c>
      <c r="F66" s="64" t="str">
        <f>_xlfn.CONCAT(Tableau1[[#This Row],[ID]],"-","Actif")</f>
        <v>1027-Actif</v>
      </c>
      <c r="G66" s="64" t="str">
        <f ca="1">_xlfn.CONCAT(Tableau1[[#This Row],[POD]],"-",Tableau1[[#This Row],[Code PFI]],"-",Tableau1[[#This Row],[Compte Consignee]])</f>
        <v>ESVLC---91017700</v>
      </c>
      <c r="H66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CNSHAMOTORES</v>
      </c>
      <c r="I6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MOTORES-ILN Chine -ILN Chine -1027-CNSHA-CMA-CGM-ESVLC-</v>
      </c>
      <c r="J66" s="397" t="str">
        <f ca="1">IF(COUNTIF(I:I,Tableau1[[#This Row],[Plant-ILN-shipper-POL-Carrier-POD-PFI]])=1,"Non","Oui")</f>
        <v>Non</v>
      </c>
      <c r="K66" s="126" t="str">
        <f>VLOOKUP(Tableau1[[#This Row],[Name Site]],Plant_AILN!A:D,4,FALSE)</f>
        <v>SPAIN</v>
      </c>
      <c r="L66" s="363" t="s">
        <v>163</v>
      </c>
      <c r="M66" s="480">
        <f>VLOOKUP(Tableau1[[#This Row],[Name Site]],Plant_AILN!A:C,3,FALSE)</f>
        <v>91017700</v>
      </c>
      <c r="N66" s="55">
        <f>VLOOKUP(Tableau1[[#This Row],[Compte Consignee]],Order!C:D,2,FALSE)</f>
        <v>7</v>
      </c>
      <c r="O66" s="114" t="s">
        <v>183</v>
      </c>
      <c r="P66" s="481">
        <f>VLOOKUP(Tableau1[[#This Row],[Name ILN]],Plant_AILN!F:G,2,FALSE)</f>
        <v>222222</v>
      </c>
      <c r="Q66" s="50">
        <f>VLOOKUP(Tableau1[[#This Row],[Compte ILN]],'DATA ILN'!D:I,6,FALSE)</f>
        <v>9</v>
      </c>
      <c r="R66" s="50">
        <f ca="1">IFERROR(VLOOKUP(Tableau1[[#This Row],[Key(Compte ILN - shipper - POL - plant)]],'DATA ILN'!A:J,10,FALSE),VLOOKUP(Tableau1[[#This Row],[Key(Compte ILN - shipper - POL)]],'DATA ILN'!B:J,9,FALSE))</f>
        <v>21</v>
      </c>
      <c r="S66" s="50">
        <f ca="1">IFERROR(VLOOKUP(Tableau1[[#This Row],[Key(Compte ILN - shipper - POL - plant)]],'DATA ILN'!A:K,11,FALSE),VLOOKUP(Tableau1[[#This Row],[Key(Compte ILN - shipper - POL)]],'DATA ILN'!B:K,10,FALSE))</f>
        <v>5</v>
      </c>
      <c r="T66" s="50">
        <f ca="1">IFERROR(VLOOKUP(Tableau1[[#This Row],[Key(Compte ILN - shipper - POL - plant)]],'DATA ILN'!A:L,12,FALSE),VLOOKUP(Tableau1[[#This Row],[Key(Compte ILN - shipper - POL)]],'DATA ILN'!B:L,11,FALSE))</f>
        <v>7</v>
      </c>
      <c r="U66" s="50">
        <f ca="1">Tableau1[[#This Row],[Day ILN Order]]+Tableau1[[#This Row],[Delivery time to ILN/Shipper]]-1</f>
        <v>29</v>
      </c>
      <c r="V66" s="50">
        <f ca="1">IFERROR(VLOOKUP(Tableau1[[#This Row],[Key(Compte ILN - shipper - POL - plant)]],'DATA ILN'!A:N,14,FALSE),VLOOKUP(Tableau1[[#This Row],[Key(Compte ILN - shipper - POL)]],'DATA ILN'!B:N,13,FALSE))</f>
        <v>1</v>
      </c>
      <c r="W66" s="53">
        <f ca="1">IFERROR(VLOOKUP(Tableau1[[#This Row],[Key(Compte ILN - shipper - POL - plant)]],'DATA ILN'!A:P,16,FALSE),VLOOKUP(Tableau1[[#This Row],[Key(Compte ILN - shipper - POL)]],'DATA ILN'!B:P,15,FALSE))</f>
        <v>2</v>
      </c>
      <c r="X66" s="283" t="s">
        <v>183</v>
      </c>
      <c r="Y66" s="482">
        <f>IFERROR(VLOOKUP(Tableau1[[#This Row],[Name Shipper]],Plant_AILN!L:M,2,FALSE),0)</f>
        <v>222222</v>
      </c>
      <c r="Z66" s="358">
        <v>1027</v>
      </c>
      <c r="AA66" s="353" t="str">
        <f ca="1">VLOOKUP(Tableau1[[#This Row],[Key(ID-Actif)]],'DATA BTO'!A:N,5,FALSE)</f>
        <v>CNSHA</v>
      </c>
      <c r="AB66" s="3" t="str">
        <f ca="1">VLOOKUP(Tableau1[[#This Row],[Key(ID-Actif)]],'DATA BTO'!A:N,6,FALSE)</f>
        <v>CMA-CGM</v>
      </c>
      <c r="AC66" s="50">
        <f ca="1">VLOOKUP(Tableau1[[#This Row],[Key(ID-Actif)]],'DATA BTO'!A:N,7,FALSE)</f>
        <v>2</v>
      </c>
      <c r="AD66" s="50">
        <f ca="1">VLOOKUP(Tableau1[[#This Row],[Key(ID-Actif)]],'DATA BTO'!A:N,8,FALSE)</f>
        <v>4</v>
      </c>
      <c r="AE66" s="50">
        <f ca="1">IF(Tableau1[[#This Row],[First Day to POL]]&lt;=Tableau1[[#This Row],[Day Cut Off]],Tableau1[[#This Row],[Day ETD]],Tableau1[[#This Row],[Day ETD]]+7)</f>
        <v>4</v>
      </c>
      <c r="AF66" s="50">
        <f ca="1">VLOOKUP(Tableau1[[#This Row],[Key(ID-Actif)]],'DATA BTO'!A:N,9,FALSE)</f>
        <v>39</v>
      </c>
      <c r="AG66" s="3" t="str">
        <f ca="1">VLOOKUP(Tableau1[[#This Row],[Key(ID-Actif)]],'DATA BTO'!A:N,10,FALSE)</f>
        <v>ESVLC</v>
      </c>
      <c r="AH66" s="3">
        <f ca="1">VLOOKUP(Tableau1[[#This Row],[Key(ID-Actif)]],'DATA BTO'!A:N,11,FALSE)</f>
        <v>3</v>
      </c>
      <c r="AI66" s="50">
        <f ca="1">VLOOKUP(Tableau1[[#This Row],[Key(ID-Actif)]],'DATA BTO'!A:N,12,FALSE)</f>
        <v>0</v>
      </c>
      <c r="AJ66" s="53" t="str">
        <f ca="1">VLOOKUP(Tableau1[[#This Row],[Key(ID-Actif)]],'DATA BTO'!A:N,14,FALSE)</f>
        <v>Marc-Aurele</v>
      </c>
      <c r="AK66" s="54">
        <f ca="1">VLOOKUP(Tableau1[[#This Row],[Key(POD -PFI- Usine)]],'DATA Consignee'!A:F,6,FALSE)</f>
        <v>2</v>
      </c>
      <c r="AL66" s="125"/>
      <c r="AM66" s="483" t="str">
        <f>IF(Tableau1[[#This Row],[Name PFI/CDD]]="","-",VLOOKUP(Tableau1[[#This Row],[Name PFI/CDD]],Plant_AILN!I:J,2,FALSE))</f>
        <v>-</v>
      </c>
      <c r="AN6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6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66" s="2">
        <f ca="1">VLOOKUP(Tableau1[[#This Row],[Key(POD -PFI- Usine)]],'DATA Consignee'!A:J,10,FALSE)</f>
        <v>0</v>
      </c>
      <c r="AQ66" s="50">
        <f ca="1">VLOOKUP(Tableau1[[#This Row],[Key(POD -PFI- Usine)]],'DATA Consignee'!A:N,14,FALSE)</f>
        <v>3</v>
      </c>
      <c r="AR6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6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66" s="50">
        <f ca="1">Tableau1[[#This Row],[Transit time]]+Tableau1[[#This Row],[Time for security]]+Tableau1[[#This Row],[Time for security2 buffer]]</f>
        <v>42</v>
      </c>
      <c r="AU6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66" s="389">
        <f ca="1">Tableau1[[#This Row],[Leadtime SI2C]]+Tableau1[[#This Row],[First Receipt Days]]-Tableau1[[#This Row],[Day Customer Order]]+1</f>
        <v>85</v>
      </c>
      <c r="AW66" s="117">
        <f ca="1">IF(Tableau1[[#This Row],[Name ILN]]&lt;&gt;"SFK Freight Forwarder",Tableau1[[#This Row],[Cust. Leadtime]],Tableau1[[#This Row],[Leadtime SI2C]])</f>
        <v>85</v>
      </c>
      <c r="AX66" s="51" t="str">
        <f>VLOOKUP(Tableau1[[#This Row],[ID]],'DATA BTO'!B:P,15,FALSE)</f>
        <v>Nissan &gt; Renault</v>
      </c>
      <c r="AY66" s="328">
        <f ca="1">IFERROR(VLOOKUP(Tableau1[[#This Row],[Key(ID-Actif)]],'DATA BTO'!A:N,4,FALSE),VLOOKUP(Tableau1[[#This Row],[ID]],'DATA BTO'!B:N,3,FALSE))</f>
        <v>46142</v>
      </c>
      <c r="AZ66" s="50" t="str">
        <f>IF(ISNUMBER(Tableau1[[#This Row],[Day Customer Order]]),"-","Please Check 'Name' information in 'Order' Sheet to make sure they have information")</f>
        <v>-</v>
      </c>
      <c r="BA6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6" s="50"/>
    </row>
    <row r="67" spans="2:57">
      <c r="B67" s="447" t="str">
        <f>_xlfn.CONCAT(Tableau1[[#This Row],[Name ILN]],"-",Tableau1[[#This Row],[Name Shipper]],"-",Tableau1[[#This Row],[Name Site]])</f>
        <v>ILN Chine -ILN Chine -SOVAB</v>
      </c>
      <c r="C67" s="65" t="str">
        <f ca="1">_xlfn.CONCAT(Tableau1[[#This Row],[Compte ILN]],"-",Tableau1[[#This Row],[Compte Shipper]],"-",Tableau1[[#This Row],[POL]],"-",Tableau1[[#This Row],[Compte Consignee]])</f>
        <v>222222-222222-CNSHA-90016900</v>
      </c>
      <c r="D67" s="64" t="str">
        <f ca="1">_xlfn.CONCAT(Tableau1[[#This Row],[Compte ILN]],"-",Tableau1[[#This Row],[Compte Shipper]],"-",Tableau1[[#This Row],[POL]])</f>
        <v>222222-222222-CNSHA</v>
      </c>
      <c r="E67" s="396" t="str">
        <f ca="1">_xlfn.CONCAT(Tableau1[[#This Row],[POL]],"-",Tableau1[[#This Row],[Carrier]],"-",Tableau1[[#This Row],[POD]])</f>
        <v>CNSHA-CMA-CGM-ESVLC</v>
      </c>
      <c r="F67" s="64" t="str">
        <f>_xlfn.CONCAT(Tableau1[[#This Row],[ID]],"-","Actif")</f>
        <v>1027-Actif</v>
      </c>
      <c r="G67" s="64" t="str">
        <f ca="1">_xlfn.CONCAT(Tableau1[[#This Row],[POD]],"-",Tableau1[[#This Row],[Code PFI]],"-",Tableau1[[#This Row],[Compte Consignee]])</f>
        <v>ESVLC-91018400-90016900</v>
      </c>
      <c r="H67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CNSHASOVAB</v>
      </c>
      <c r="I6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SOVAB-ILN Chine -ILN Chine -1027-CNSHA-CMA-CGM-ESVLC-PFI VLL</v>
      </c>
      <c r="J67" s="397" t="str">
        <f ca="1">IF(COUNTIF(I:I,Tableau1[[#This Row],[Plant-ILN-shipper-POL-Carrier-POD-PFI]])=1,"Non","Oui")</f>
        <v>Non</v>
      </c>
      <c r="K67" s="126" t="str">
        <f>VLOOKUP(Tableau1[[#This Row],[Name Site]],Plant_AILN!A:D,4,FALSE)</f>
        <v>FRANCE</v>
      </c>
      <c r="L67" s="363" t="s">
        <v>152</v>
      </c>
      <c r="M67" s="480">
        <f>VLOOKUP(Tableau1[[#This Row],[Name Site]],Plant_AILN!A:C,3,FALSE)</f>
        <v>90016900</v>
      </c>
      <c r="N67" s="55">
        <f>VLOOKUP(Tableau1[[#This Row],[Compte Consignee]],Order!C:D,2,FALSE)</f>
        <v>7</v>
      </c>
      <c r="O67" s="114" t="s">
        <v>183</v>
      </c>
      <c r="P67" s="481">
        <f>VLOOKUP(Tableau1[[#This Row],[Name ILN]],Plant_AILN!F:G,2,FALSE)</f>
        <v>222222</v>
      </c>
      <c r="Q67" s="50">
        <f>VLOOKUP(Tableau1[[#This Row],[Compte ILN]],'DATA ILN'!D:I,6,FALSE)</f>
        <v>9</v>
      </c>
      <c r="R67" s="50">
        <f ca="1">IFERROR(VLOOKUP(Tableau1[[#This Row],[Key(Compte ILN - shipper - POL - plant)]],'DATA ILN'!A:J,10,FALSE),VLOOKUP(Tableau1[[#This Row],[Key(Compte ILN - shipper - POL)]],'DATA ILN'!B:J,9,FALSE))</f>
        <v>21</v>
      </c>
      <c r="S67" s="50">
        <f ca="1">IFERROR(VLOOKUP(Tableau1[[#This Row],[Key(Compte ILN - shipper - POL - plant)]],'DATA ILN'!A:K,11,FALSE),VLOOKUP(Tableau1[[#This Row],[Key(Compte ILN - shipper - POL)]],'DATA ILN'!B:K,10,FALSE))</f>
        <v>5</v>
      </c>
      <c r="T67" s="50">
        <f ca="1">IFERROR(VLOOKUP(Tableau1[[#This Row],[Key(Compte ILN - shipper - POL - plant)]],'DATA ILN'!A:L,12,FALSE),VLOOKUP(Tableau1[[#This Row],[Key(Compte ILN - shipper - POL)]],'DATA ILN'!B:L,11,FALSE))</f>
        <v>7</v>
      </c>
      <c r="U67" s="50">
        <f ca="1">Tableau1[[#This Row],[Day ILN Order]]+Tableau1[[#This Row],[Delivery time to ILN/Shipper]]-1</f>
        <v>29</v>
      </c>
      <c r="V67" s="50">
        <f ca="1">IFERROR(VLOOKUP(Tableau1[[#This Row],[Key(Compte ILN - shipper - POL - plant)]],'DATA ILN'!A:N,14,FALSE),VLOOKUP(Tableau1[[#This Row],[Key(Compte ILN - shipper - POL)]],'DATA ILN'!B:N,13,FALSE))</f>
        <v>1</v>
      </c>
      <c r="W67" s="53">
        <f ca="1">IFERROR(VLOOKUP(Tableau1[[#This Row],[Key(Compte ILN - shipper - POL - plant)]],'DATA ILN'!A:P,16,FALSE),VLOOKUP(Tableau1[[#This Row],[Key(Compte ILN - shipper - POL)]],'DATA ILN'!B:P,15,FALSE))</f>
        <v>2</v>
      </c>
      <c r="X67" s="283" t="s">
        <v>183</v>
      </c>
      <c r="Y67" s="482">
        <f>IFERROR(VLOOKUP(Tableau1[[#This Row],[Name Shipper]],Plant_AILN!L:M,2,FALSE),0)</f>
        <v>222222</v>
      </c>
      <c r="Z67" s="358">
        <v>1027</v>
      </c>
      <c r="AA67" s="353" t="str">
        <f ca="1">VLOOKUP(Tableau1[[#This Row],[Key(ID-Actif)]],'DATA BTO'!A:N,5,FALSE)</f>
        <v>CNSHA</v>
      </c>
      <c r="AB67" s="3" t="str">
        <f ca="1">VLOOKUP(Tableau1[[#This Row],[Key(ID-Actif)]],'DATA BTO'!A:N,6,FALSE)</f>
        <v>CMA-CGM</v>
      </c>
      <c r="AC67" s="50">
        <f ca="1">VLOOKUP(Tableau1[[#This Row],[Key(ID-Actif)]],'DATA BTO'!A:N,7,FALSE)</f>
        <v>2</v>
      </c>
      <c r="AD67" s="50">
        <f ca="1">VLOOKUP(Tableau1[[#This Row],[Key(ID-Actif)]],'DATA BTO'!A:N,8,FALSE)</f>
        <v>4</v>
      </c>
      <c r="AE67" s="50">
        <f ca="1">IF(Tableau1[[#This Row],[First Day to POL]]&lt;=Tableau1[[#This Row],[Day Cut Off]],Tableau1[[#This Row],[Day ETD]],Tableau1[[#This Row],[Day ETD]]+7)</f>
        <v>4</v>
      </c>
      <c r="AF67" s="50">
        <f ca="1">VLOOKUP(Tableau1[[#This Row],[Key(ID-Actif)]],'DATA BTO'!A:N,9,FALSE)</f>
        <v>39</v>
      </c>
      <c r="AG67" s="3" t="str">
        <f ca="1">VLOOKUP(Tableau1[[#This Row],[Key(ID-Actif)]],'DATA BTO'!A:N,10,FALSE)</f>
        <v>ESVLC</v>
      </c>
      <c r="AH67" s="3">
        <f ca="1">VLOOKUP(Tableau1[[#This Row],[Key(ID-Actif)]],'DATA BTO'!A:N,11,FALSE)</f>
        <v>3</v>
      </c>
      <c r="AI67" s="50">
        <f ca="1">VLOOKUP(Tableau1[[#This Row],[Key(ID-Actif)]],'DATA BTO'!A:N,12,FALSE)</f>
        <v>0</v>
      </c>
      <c r="AJ67" s="53" t="str">
        <f ca="1">VLOOKUP(Tableau1[[#This Row],[Key(ID-Actif)]],'DATA BTO'!A:N,14,FALSE)</f>
        <v>Marc-Aurele</v>
      </c>
      <c r="AK67" s="54">
        <f ca="1">VLOOKUP(Tableau1[[#This Row],[Key(POD -PFI- Usine)]],'DATA Consignee'!A:F,6,FALSE)</f>
        <v>4</v>
      </c>
      <c r="AL67" s="125" t="s">
        <v>161</v>
      </c>
      <c r="AM67" s="483">
        <f>IF(Tableau1[[#This Row],[Name PFI/CDD]]="","-",VLOOKUP(Tableau1[[#This Row],[Name PFI/CDD]],Plant_AILN!I:J,2,FALSE))</f>
        <v>91018400</v>
      </c>
      <c r="AN67" s="6">
        <f ca="1">IF(COUNTIF(buffer_train[AILN],Tableau1[[#This Row],[Name PFI/CDD]])&gt;0,Tableau1[[#This Row],[First Receipt Days]]+Tableau1[[#This Row],[Cust.]]+Tableau1[[#This Row],[Parts Vanning]]+Tableau1[[#This Row],[Transit Time2]],"-")</f>
        <v>84</v>
      </c>
      <c r="AO67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1</v>
      </c>
      <c r="AP67" s="2">
        <f ca="1">VLOOKUP(Tableau1[[#This Row],[Key(POD -PFI- Usine)]],'DATA Consignee'!A:J,10,FALSE)</f>
        <v>3</v>
      </c>
      <c r="AQ67" s="50">
        <f ca="1">VLOOKUP(Tableau1[[#This Row],[Key(POD -PFI- Usine)]],'DATA Consignee'!A:N,14,FALSE)</f>
        <v>6</v>
      </c>
      <c r="AR6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6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67" s="50">
        <f ca="1">Tableau1[[#This Row],[Transit time]]+Tableau1[[#This Row],[Time for security]]+Tableau1[[#This Row],[Time for security2 buffer]]</f>
        <v>42</v>
      </c>
      <c r="AU6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67" s="389">
        <f ca="1">Tableau1[[#This Row],[Leadtime SI2C]]+Tableau1[[#This Row],[First Receipt Days]]-Tableau1[[#This Row],[Day Customer Order]]+1</f>
        <v>92</v>
      </c>
      <c r="AW67" s="117">
        <f ca="1">IF(Tableau1[[#This Row],[Name ILN]]&lt;&gt;"SFK Freight Forwarder",Tableau1[[#This Row],[Cust. Leadtime]],Tableau1[[#This Row],[Leadtime SI2C]])</f>
        <v>92</v>
      </c>
      <c r="AX67" s="51" t="str">
        <f>VLOOKUP(Tableau1[[#This Row],[ID]],'DATA BTO'!B:P,15,FALSE)</f>
        <v>Nissan &gt; Renault</v>
      </c>
      <c r="AY67" s="328">
        <f ca="1">IFERROR(VLOOKUP(Tableau1[[#This Row],[Key(ID-Actif)]],'DATA BTO'!A:N,4,FALSE),VLOOKUP(Tableau1[[#This Row],[ID]],'DATA BTO'!B:N,3,FALSE))</f>
        <v>46142</v>
      </c>
      <c r="AZ67" s="50" t="str">
        <f>IF(ISNUMBER(Tableau1[[#This Row],[Day Customer Order]]),"-","Please Check 'Name' information in 'Order' Sheet to make sure they have information")</f>
        <v>-</v>
      </c>
      <c r="BA6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7" s="50"/>
    </row>
    <row r="68" spans="2:57">
      <c r="B68" s="447" t="str">
        <f>_xlfn.CONCAT(Tableau1[[#This Row],[Name ILN]],"-",Tableau1[[#This Row],[Name Shipper]],"-",Tableau1[[#This Row],[Name Site]])</f>
        <v>ILN Chine -ILN Chine -SEVILLA</v>
      </c>
      <c r="C68" s="65" t="str">
        <f ca="1">_xlfn.CONCAT(Tableau1[[#This Row],[Compte ILN]],"-",Tableau1[[#This Row],[Compte Shipper]],"-",Tableau1[[#This Row],[POL]],"-",Tableau1[[#This Row],[Compte Consignee]])</f>
        <v>222222-222222-CNSHA-91017500</v>
      </c>
      <c r="D68" s="64" t="str">
        <f ca="1">_xlfn.CONCAT(Tableau1[[#This Row],[Compte ILN]],"-",Tableau1[[#This Row],[Compte Shipper]],"-",Tableau1[[#This Row],[POL]])</f>
        <v>222222-222222-CNSHA</v>
      </c>
      <c r="E68" s="396" t="str">
        <f ca="1">_xlfn.CONCAT(Tableau1[[#This Row],[POL]],"-",Tableau1[[#This Row],[Carrier]],"-",Tableau1[[#This Row],[POD]])</f>
        <v>CNSHA-CMA-CGM-ESVLC</v>
      </c>
      <c r="F68" s="64" t="str">
        <f>_xlfn.CONCAT(Tableau1[[#This Row],[ID]],"-","Actif")</f>
        <v>1027-Actif</v>
      </c>
      <c r="G68" s="64" t="str">
        <f ca="1">_xlfn.CONCAT(Tableau1[[#This Row],[POD]],"-",Tableau1[[#This Row],[Code PFI]],"-",Tableau1[[#This Row],[Compte Consignee]])</f>
        <v>ESVLC-91018400-91017500</v>
      </c>
      <c r="H68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CNSHASEVILLA</v>
      </c>
      <c r="I6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SEVILLA-ILN Chine -ILN Chine -1027-CNSHA-CMA-CGM-ESVLC-PFI VLL</v>
      </c>
      <c r="J68" s="397" t="str">
        <f ca="1">IF(COUNTIF(I:I,Tableau1[[#This Row],[Plant-ILN-shipper-POL-Carrier-POD-PFI]])=1,"Non","Oui")</f>
        <v>Non</v>
      </c>
      <c r="K68" s="126" t="str">
        <f>VLOOKUP(Tableau1[[#This Row],[Name Site]],Plant_AILN!A:D,4,FALSE)</f>
        <v>SPAIN</v>
      </c>
      <c r="L68" s="363" t="s">
        <v>162</v>
      </c>
      <c r="M68" s="480">
        <f>VLOOKUP(Tableau1[[#This Row],[Name Site]],Plant_AILN!A:C,3,FALSE)</f>
        <v>91017500</v>
      </c>
      <c r="N68" s="55">
        <f>VLOOKUP(Tableau1[[#This Row],[Compte Consignee]],Order!C:D,2,FALSE)</f>
        <v>7</v>
      </c>
      <c r="O68" s="114" t="s">
        <v>183</v>
      </c>
      <c r="P68" s="481">
        <f>VLOOKUP(Tableau1[[#This Row],[Name ILN]],Plant_AILN!F:G,2,FALSE)</f>
        <v>222222</v>
      </c>
      <c r="Q68" s="50">
        <f>VLOOKUP(Tableau1[[#This Row],[Compte ILN]],'DATA ILN'!D:I,6,FALSE)</f>
        <v>9</v>
      </c>
      <c r="R68" s="50">
        <f ca="1">IFERROR(VLOOKUP(Tableau1[[#This Row],[Key(Compte ILN - shipper - POL - plant)]],'DATA ILN'!A:J,10,FALSE),VLOOKUP(Tableau1[[#This Row],[Key(Compte ILN - shipper - POL)]],'DATA ILN'!B:J,9,FALSE))</f>
        <v>21</v>
      </c>
      <c r="S68" s="50">
        <f ca="1">IFERROR(VLOOKUP(Tableau1[[#This Row],[Key(Compte ILN - shipper - POL - plant)]],'DATA ILN'!A:K,11,FALSE),VLOOKUP(Tableau1[[#This Row],[Key(Compte ILN - shipper - POL)]],'DATA ILN'!B:K,10,FALSE))</f>
        <v>5</v>
      </c>
      <c r="T68" s="50">
        <f ca="1">IFERROR(VLOOKUP(Tableau1[[#This Row],[Key(Compte ILN - shipper - POL - plant)]],'DATA ILN'!A:L,12,FALSE),VLOOKUP(Tableau1[[#This Row],[Key(Compte ILN - shipper - POL)]],'DATA ILN'!B:L,11,FALSE))</f>
        <v>7</v>
      </c>
      <c r="U68" s="50">
        <f ca="1">Tableau1[[#This Row],[Day ILN Order]]+Tableau1[[#This Row],[Delivery time to ILN/Shipper]]-1</f>
        <v>29</v>
      </c>
      <c r="V68" s="50">
        <f ca="1">IFERROR(VLOOKUP(Tableau1[[#This Row],[Key(Compte ILN - shipper - POL - plant)]],'DATA ILN'!A:N,14,FALSE),VLOOKUP(Tableau1[[#This Row],[Key(Compte ILN - shipper - POL)]],'DATA ILN'!B:N,13,FALSE))</f>
        <v>1</v>
      </c>
      <c r="W68" s="53">
        <f ca="1">IFERROR(VLOOKUP(Tableau1[[#This Row],[Key(Compte ILN - shipper - POL - plant)]],'DATA ILN'!A:P,16,FALSE),VLOOKUP(Tableau1[[#This Row],[Key(Compte ILN - shipper - POL)]],'DATA ILN'!B:P,15,FALSE))</f>
        <v>2</v>
      </c>
      <c r="X68" s="283" t="s">
        <v>183</v>
      </c>
      <c r="Y68" s="482">
        <f>IFERROR(VLOOKUP(Tableau1[[#This Row],[Name Shipper]],Plant_AILN!L:M,2,FALSE),0)</f>
        <v>222222</v>
      </c>
      <c r="Z68" s="358">
        <v>1027</v>
      </c>
      <c r="AA68" s="353" t="str">
        <f ca="1">VLOOKUP(Tableau1[[#This Row],[Key(ID-Actif)]],'DATA BTO'!A:N,5,FALSE)</f>
        <v>CNSHA</v>
      </c>
      <c r="AB68" s="3" t="str">
        <f ca="1">VLOOKUP(Tableau1[[#This Row],[Key(ID-Actif)]],'DATA BTO'!A:N,6,FALSE)</f>
        <v>CMA-CGM</v>
      </c>
      <c r="AC68" s="50">
        <f ca="1">VLOOKUP(Tableau1[[#This Row],[Key(ID-Actif)]],'DATA BTO'!A:N,7,FALSE)</f>
        <v>2</v>
      </c>
      <c r="AD68" s="50">
        <f ca="1">VLOOKUP(Tableau1[[#This Row],[Key(ID-Actif)]],'DATA BTO'!A:N,8,FALSE)</f>
        <v>4</v>
      </c>
      <c r="AE68" s="50">
        <f ca="1">IF(Tableau1[[#This Row],[First Day to POL]]&lt;=Tableau1[[#This Row],[Day Cut Off]],Tableau1[[#This Row],[Day ETD]],Tableau1[[#This Row],[Day ETD]]+7)</f>
        <v>4</v>
      </c>
      <c r="AF68" s="50">
        <f ca="1">VLOOKUP(Tableau1[[#This Row],[Key(ID-Actif)]],'DATA BTO'!A:N,9,FALSE)</f>
        <v>39</v>
      </c>
      <c r="AG68" s="3" t="str">
        <f ca="1">VLOOKUP(Tableau1[[#This Row],[Key(ID-Actif)]],'DATA BTO'!A:N,10,FALSE)</f>
        <v>ESVLC</v>
      </c>
      <c r="AH68" s="3">
        <f ca="1">VLOOKUP(Tableau1[[#This Row],[Key(ID-Actif)]],'DATA BTO'!A:N,11,FALSE)</f>
        <v>3</v>
      </c>
      <c r="AI68" s="50">
        <f ca="1">VLOOKUP(Tableau1[[#This Row],[Key(ID-Actif)]],'DATA BTO'!A:N,12,FALSE)</f>
        <v>0</v>
      </c>
      <c r="AJ68" s="53" t="str">
        <f ca="1">VLOOKUP(Tableau1[[#This Row],[Key(ID-Actif)]],'DATA BTO'!A:N,14,FALSE)</f>
        <v>Marc-Aurele</v>
      </c>
      <c r="AK68" s="54">
        <f ca="1">VLOOKUP(Tableau1[[#This Row],[Key(POD -PFI- Usine)]],'DATA Consignee'!A:F,6,FALSE)</f>
        <v>2</v>
      </c>
      <c r="AL68" s="125" t="s">
        <v>161</v>
      </c>
      <c r="AM68" s="483">
        <f>IF(Tableau1[[#This Row],[Name PFI/CDD]]="","-",VLOOKUP(Tableau1[[#This Row],[Name PFI/CDD]],Plant_AILN!I:J,2,FALSE))</f>
        <v>91018400</v>
      </c>
      <c r="AN68" s="6">
        <f ca="1">IF(COUNTIF(buffer_train[AILN],Tableau1[[#This Row],[Name PFI/CDD]])&gt;0,Tableau1[[#This Row],[First Receipt Days]]+Tableau1[[#This Row],[Cust.]]+Tableau1[[#This Row],[Parts Vanning]]+Tableau1[[#This Row],[Transit Time2]],"-")</f>
        <v>82</v>
      </c>
      <c r="AO68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3</v>
      </c>
      <c r="AP68" s="2">
        <f ca="1">VLOOKUP(Tableau1[[#This Row],[Key(POD -PFI- Usine)]],'DATA Consignee'!A:J,10,FALSE)</f>
        <v>3</v>
      </c>
      <c r="AQ68" s="50">
        <f ca="1">VLOOKUP(Tableau1[[#This Row],[Key(POD -PFI- Usine)]],'DATA Consignee'!A:N,14,FALSE)</f>
        <v>4</v>
      </c>
      <c r="AR6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6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68" s="50">
        <f ca="1">Tableau1[[#This Row],[Transit time]]+Tableau1[[#This Row],[Time for security]]+Tableau1[[#This Row],[Time for security2 buffer]]</f>
        <v>42</v>
      </c>
      <c r="AU6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68" s="389">
        <f ca="1">Tableau1[[#This Row],[Leadtime SI2C]]+Tableau1[[#This Row],[First Receipt Days]]-Tableau1[[#This Row],[Day Customer Order]]+1</f>
        <v>92</v>
      </c>
      <c r="AW68" s="117">
        <f ca="1">IF(Tableau1[[#This Row],[Name ILN]]&lt;&gt;"SFK Freight Forwarder",Tableau1[[#This Row],[Cust. Leadtime]],Tableau1[[#This Row],[Leadtime SI2C]])</f>
        <v>92</v>
      </c>
      <c r="AX68" s="51" t="str">
        <f>VLOOKUP(Tableau1[[#This Row],[ID]],'DATA BTO'!B:P,15,FALSE)</f>
        <v>Nissan &gt; Renault</v>
      </c>
      <c r="AY68" s="328">
        <f ca="1">IFERROR(VLOOKUP(Tableau1[[#This Row],[Key(ID-Actif)]],'DATA BTO'!A:N,4,FALSE),VLOOKUP(Tableau1[[#This Row],[ID]],'DATA BTO'!B:N,3,FALSE))</f>
        <v>46142</v>
      </c>
      <c r="AZ68" s="50" t="str">
        <f>IF(ISNUMBER(Tableau1[[#This Row],[Day Customer Order]]),"-","Please Check 'Name' information in 'Order' Sheet to make sure they have information")</f>
        <v>-</v>
      </c>
      <c r="BA6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8" s="50"/>
    </row>
    <row r="69" spans="2:57">
      <c r="B69" s="447" t="str">
        <f>_xlfn.CONCAT(Tableau1[[#This Row],[Name ILN]],"-",Tableau1[[#This Row],[Name Shipper]],"-",Tableau1[[#This Row],[Name Site]])</f>
        <v>ILN Chine -ILN Chine -MAUBEUGE</v>
      </c>
      <c r="C69" s="65" t="str">
        <f ca="1">_xlfn.CONCAT(Tableau1[[#This Row],[Compte ILN]],"-",Tableau1[[#This Row],[Compte Shipper]],"-",Tableau1[[#This Row],[POL]],"-",Tableau1[[#This Row],[Compte Consignee]])</f>
        <v>222222-222222-CNSHA-90016200</v>
      </c>
      <c r="D69" s="64" t="str">
        <f ca="1">_xlfn.CONCAT(Tableau1[[#This Row],[Compte ILN]],"-",Tableau1[[#This Row],[Compte Shipper]],"-",Tableau1[[#This Row],[POL]])</f>
        <v>222222-222222-CNSHA</v>
      </c>
      <c r="E69" s="396" t="str">
        <f ca="1">_xlfn.CONCAT(Tableau1[[#This Row],[POL]],"-",Tableau1[[#This Row],[Carrier]],"-",Tableau1[[#This Row],[POD]])</f>
        <v>CNSHA-CMA-CGM-ESVLC</v>
      </c>
      <c r="F69" s="64" t="str">
        <f>_xlfn.CONCAT(Tableau1[[#This Row],[ID]],"-","Actif")</f>
        <v>1027-Actif</v>
      </c>
      <c r="G69" s="64" t="str">
        <f ca="1">_xlfn.CONCAT(Tableau1[[#This Row],[POD]],"-",Tableau1[[#This Row],[Code PFI]],"-",Tableau1[[#This Row],[Compte Consignee]])</f>
        <v>ESVLC-91018400-90016200</v>
      </c>
      <c r="H69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CNSHAMAUBEUGE</v>
      </c>
      <c r="I6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MAUBEUGE-ILN Chine -ILN Chine -1027-CNSHA-CMA-CGM-ESVLC-PFI VLL</v>
      </c>
      <c r="J69" s="397" t="str">
        <f ca="1">IF(COUNTIF(I:I,Tableau1[[#This Row],[Plant-ILN-shipper-POL-Carrier-POD-PFI]])=1,"Non","Oui")</f>
        <v>Non</v>
      </c>
      <c r="K69" s="126" t="str">
        <f>VLOOKUP(Tableau1[[#This Row],[Name Site]],Plant_AILN!A:D,4,FALSE)</f>
        <v>FRANCE</v>
      </c>
      <c r="L69" s="363" t="s">
        <v>185</v>
      </c>
      <c r="M69" s="480">
        <f>VLOOKUP(Tableau1[[#This Row],[Name Site]],Plant_AILN!A:C,3,FALSE)</f>
        <v>90016200</v>
      </c>
      <c r="N69" s="55">
        <f>VLOOKUP(Tableau1[[#This Row],[Compte Consignee]],Order!C:D,2,FALSE)</f>
        <v>7</v>
      </c>
      <c r="O69" s="114" t="s">
        <v>183</v>
      </c>
      <c r="P69" s="481">
        <f>VLOOKUP(Tableau1[[#This Row],[Name ILN]],Plant_AILN!F:G,2,FALSE)</f>
        <v>222222</v>
      </c>
      <c r="Q69" s="50">
        <f>VLOOKUP(Tableau1[[#This Row],[Compte ILN]],'DATA ILN'!D:I,6,FALSE)</f>
        <v>9</v>
      </c>
      <c r="R69" s="50">
        <f ca="1">IFERROR(VLOOKUP(Tableau1[[#This Row],[Key(Compte ILN - shipper - POL - plant)]],'DATA ILN'!A:J,10,FALSE),VLOOKUP(Tableau1[[#This Row],[Key(Compte ILN - shipper - POL)]],'DATA ILN'!B:J,9,FALSE))</f>
        <v>21</v>
      </c>
      <c r="S69" s="50">
        <f ca="1">IFERROR(VLOOKUP(Tableau1[[#This Row],[Key(Compte ILN - shipper - POL - plant)]],'DATA ILN'!A:K,11,FALSE),VLOOKUP(Tableau1[[#This Row],[Key(Compte ILN - shipper - POL)]],'DATA ILN'!B:K,10,FALSE))</f>
        <v>5</v>
      </c>
      <c r="T69" s="50">
        <f ca="1">IFERROR(VLOOKUP(Tableau1[[#This Row],[Key(Compte ILN - shipper - POL - plant)]],'DATA ILN'!A:L,12,FALSE),VLOOKUP(Tableau1[[#This Row],[Key(Compte ILN - shipper - POL)]],'DATA ILN'!B:L,11,FALSE))</f>
        <v>7</v>
      </c>
      <c r="U69" s="50">
        <f ca="1">Tableau1[[#This Row],[Day ILN Order]]+Tableau1[[#This Row],[Delivery time to ILN/Shipper]]-1</f>
        <v>29</v>
      </c>
      <c r="V69" s="50">
        <f ca="1">IFERROR(VLOOKUP(Tableau1[[#This Row],[Key(Compte ILN - shipper - POL - plant)]],'DATA ILN'!A:N,14,FALSE),VLOOKUP(Tableau1[[#This Row],[Key(Compte ILN - shipper - POL)]],'DATA ILN'!B:N,13,FALSE))</f>
        <v>1</v>
      </c>
      <c r="W69" s="53">
        <f ca="1">IFERROR(VLOOKUP(Tableau1[[#This Row],[Key(Compte ILN - shipper - POL - plant)]],'DATA ILN'!A:P,16,FALSE),VLOOKUP(Tableau1[[#This Row],[Key(Compte ILN - shipper - POL)]],'DATA ILN'!B:P,15,FALSE))</f>
        <v>2</v>
      </c>
      <c r="X69" s="283" t="s">
        <v>183</v>
      </c>
      <c r="Y69" s="482">
        <f>IFERROR(VLOOKUP(Tableau1[[#This Row],[Name Shipper]],Plant_AILN!L:M,2,FALSE),0)</f>
        <v>222222</v>
      </c>
      <c r="Z69" s="358">
        <v>1027</v>
      </c>
      <c r="AA69" s="353" t="str">
        <f ca="1">VLOOKUP(Tableau1[[#This Row],[Key(ID-Actif)]],'DATA BTO'!A:N,5,FALSE)</f>
        <v>CNSHA</v>
      </c>
      <c r="AB69" s="3" t="str">
        <f ca="1">VLOOKUP(Tableau1[[#This Row],[Key(ID-Actif)]],'DATA BTO'!A:N,6,FALSE)</f>
        <v>CMA-CGM</v>
      </c>
      <c r="AC69" s="50">
        <f ca="1">VLOOKUP(Tableau1[[#This Row],[Key(ID-Actif)]],'DATA BTO'!A:N,7,FALSE)</f>
        <v>2</v>
      </c>
      <c r="AD69" s="50">
        <f ca="1">VLOOKUP(Tableau1[[#This Row],[Key(ID-Actif)]],'DATA BTO'!A:N,8,FALSE)</f>
        <v>4</v>
      </c>
      <c r="AE69" s="50">
        <f ca="1">IF(Tableau1[[#This Row],[First Day to POL]]&lt;=Tableau1[[#This Row],[Day Cut Off]],Tableau1[[#This Row],[Day ETD]],Tableau1[[#This Row],[Day ETD]]+7)</f>
        <v>4</v>
      </c>
      <c r="AF69" s="50">
        <f ca="1">VLOOKUP(Tableau1[[#This Row],[Key(ID-Actif)]],'DATA BTO'!A:N,9,FALSE)</f>
        <v>39</v>
      </c>
      <c r="AG69" s="3" t="str">
        <f ca="1">VLOOKUP(Tableau1[[#This Row],[Key(ID-Actif)]],'DATA BTO'!A:N,10,FALSE)</f>
        <v>ESVLC</v>
      </c>
      <c r="AH69" s="3">
        <f ca="1">VLOOKUP(Tableau1[[#This Row],[Key(ID-Actif)]],'DATA BTO'!A:N,11,FALSE)</f>
        <v>3</v>
      </c>
      <c r="AI69" s="50">
        <f ca="1">VLOOKUP(Tableau1[[#This Row],[Key(ID-Actif)]],'DATA BTO'!A:N,12,FALSE)</f>
        <v>0</v>
      </c>
      <c r="AJ69" s="53" t="str">
        <f ca="1">VLOOKUP(Tableau1[[#This Row],[Key(ID-Actif)]],'DATA BTO'!A:N,14,FALSE)</f>
        <v>Marc-Aurele</v>
      </c>
      <c r="AK69" s="54">
        <f ca="1">VLOOKUP(Tableau1[[#This Row],[Key(POD -PFI- Usine)]],'DATA Consignee'!A:F,6,FALSE)</f>
        <v>4</v>
      </c>
      <c r="AL69" s="125" t="s">
        <v>161</v>
      </c>
      <c r="AM69" s="483">
        <f>IF(Tableau1[[#This Row],[Name PFI/CDD]]="","-",VLOOKUP(Tableau1[[#This Row],[Name PFI/CDD]],Plant_AILN!I:J,2,FALSE))</f>
        <v>91018400</v>
      </c>
      <c r="AN69" s="6">
        <f ca="1">IF(COUNTIF(buffer_train[AILN],Tableau1[[#This Row],[Name PFI/CDD]])&gt;0,Tableau1[[#This Row],[First Receipt Days]]+Tableau1[[#This Row],[Cust.]]+Tableau1[[#This Row],[Parts Vanning]]+Tableau1[[#This Row],[Transit Time2]],"-")</f>
        <v>84</v>
      </c>
      <c r="AO69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1</v>
      </c>
      <c r="AP69" s="2">
        <f ca="1">VLOOKUP(Tableau1[[#This Row],[Key(POD -PFI- Usine)]],'DATA Consignee'!A:J,10,FALSE)</f>
        <v>3</v>
      </c>
      <c r="AQ69" s="50">
        <f ca="1">VLOOKUP(Tableau1[[#This Row],[Key(POD -PFI- Usine)]],'DATA Consignee'!A:N,14,FALSE)</f>
        <v>5</v>
      </c>
      <c r="AR6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6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69" s="50">
        <f ca="1">Tableau1[[#This Row],[Transit time]]+Tableau1[[#This Row],[Time for security]]+Tableau1[[#This Row],[Time for security2 buffer]]</f>
        <v>42</v>
      </c>
      <c r="AU6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69" s="389">
        <f ca="1">Tableau1[[#This Row],[Leadtime SI2C]]+Tableau1[[#This Row],[First Receipt Days]]-Tableau1[[#This Row],[Day Customer Order]]+1</f>
        <v>92</v>
      </c>
      <c r="AW69" s="117">
        <f ca="1">IF(Tableau1[[#This Row],[Name ILN]]&lt;&gt;"SFK Freight Forwarder",Tableau1[[#This Row],[Cust. Leadtime]],Tableau1[[#This Row],[Leadtime SI2C]])</f>
        <v>92</v>
      </c>
      <c r="AX69" s="51" t="str">
        <f>VLOOKUP(Tableau1[[#This Row],[ID]],'DATA BTO'!B:P,15,FALSE)</f>
        <v>Nissan &gt; Renault</v>
      </c>
      <c r="AY69" s="328">
        <f ca="1">IFERROR(VLOOKUP(Tableau1[[#This Row],[Key(ID-Actif)]],'DATA BTO'!A:N,4,FALSE),VLOOKUP(Tableau1[[#This Row],[ID]],'DATA BTO'!B:N,3,FALSE))</f>
        <v>46142</v>
      </c>
      <c r="AZ69" s="50" t="str">
        <f>IF(ISNUMBER(Tableau1[[#This Row],[Day Customer Order]]),"-","Please Check 'Name' information in 'Order' Sheet to make sure they have information")</f>
        <v>-</v>
      </c>
      <c r="BA6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6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6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9" s="50"/>
    </row>
    <row r="70" spans="2:57">
      <c r="B70" s="447" t="str">
        <f>_xlfn.CONCAT(Tableau1[[#This Row],[Name ILN]],"-",Tableau1[[#This Row],[Name Shipper]],"-",Tableau1[[#This Row],[Name Site]])</f>
        <v>ILN Chine -ILN Chine -ALPINE</v>
      </c>
      <c r="C70" s="65" t="str">
        <f ca="1">_xlfn.CONCAT(Tableau1[[#This Row],[Compte ILN]],"-",Tableau1[[#This Row],[Compte Shipper]],"-",Tableau1[[#This Row],[POL]],"-",Tableau1[[#This Row],[Compte Consignee]])</f>
        <v>222222-222222-CNSHA-90018300</v>
      </c>
      <c r="D70" s="64" t="str">
        <f ca="1">_xlfn.CONCAT(Tableau1[[#This Row],[Compte ILN]],"-",Tableau1[[#This Row],[Compte Shipper]],"-",Tableau1[[#This Row],[POL]])</f>
        <v>222222-222222-CNSHA</v>
      </c>
      <c r="E70" s="396" t="str">
        <f ca="1">_xlfn.CONCAT(Tableau1[[#This Row],[POL]],"-",Tableau1[[#This Row],[Carrier]],"-",Tableau1[[#This Row],[POD]])</f>
        <v>CNSHA-CMA-CGM-ESVLC</v>
      </c>
      <c r="F70" s="64" t="str">
        <f>_xlfn.CONCAT(Tableau1[[#This Row],[ID]],"-","Actif")</f>
        <v>1027-Actif</v>
      </c>
      <c r="G70" s="64" t="str">
        <f ca="1">_xlfn.CONCAT(Tableau1[[#This Row],[POD]],"-",Tableau1[[#This Row],[Code PFI]],"-",Tableau1[[#This Row],[Compte Consignee]])</f>
        <v>ESVLC-91018400-90018300</v>
      </c>
      <c r="H70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CNSHAALPINE</v>
      </c>
      <c r="I7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ALPINE-ILN Chine -ILN Chine -1027-CNSHA-CMA-CGM-ESVLC-PFI VLL</v>
      </c>
      <c r="J70" s="397" t="str">
        <f ca="1">IF(COUNTIF(I:I,Tableau1[[#This Row],[Plant-ILN-shipper-POL-Carrier-POD-PFI]])=1,"Non","Oui")</f>
        <v>Non</v>
      </c>
      <c r="K70" s="126" t="str">
        <f>VLOOKUP(Tableau1[[#This Row],[Name Site]],Plant_AILN!A:D,4,FALSE)</f>
        <v>FRANCE</v>
      </c>
      <c r="L70" s="363" t="s">
        <v>186</v>
      </c>
      <c r="M70" s="480">
        <f>VLOOKUP(Tableau1[[#This Row],[Name Site]],Plant_AILN!A:C,3,FALSE)</f>
        <v>90018300</v>
      </c>
      <c r="N70" s="55">
        <f>VLOOKUP(Tableau1[[#This Row],[Compte Consignee]],Order!C:D,2,FALSE)</f>
        <v>7</v>
      </c>
      <c r="O70" s="114" t="s">
        <v>183</v>
      </c>
      <c r="P70" s="481">
        <f>VLOOKUP(Tableau1[[#This Row],[Name ILN]],Plant_AILN!F:G,2,FALSE)</f>
        <v>222222</v>
      </c>
      <c r="Q70" s="50">
        <f>VLOOKUP(Tableau1[[#This Row],[Compte ILN]],'DATA ILN'!D:I,6,FALSE)</f>
        <v>9</v>
      </c>
      <c r="R70" s="50">
        <f ca="1">IFERROR(VLOOKUP(Tableau1[[#This Row],[Key(Compte ILN - shipper - POL - plant)]],'DATA ILN'!A:J,10,FALSE),VLOOKUP(Tableau1[[#This Row],[Key(Compte ILN - shipper - POL)]],'DATA ILN'!B:J,9,FALSE))</f>
        <v>21</v>
      </c>
      <c r="S70" s="50">
        <f ca="1">IFERROR(VLOOKUP(Tableau1[[#This Row],[Key(Compte ILN - shipper - POL - plant)]],'DATA ILN'!A:K,11,FALSE),VLOOKUP(Tableau1[[#This Row],[Key(Compte ILN - shipper - POL)]],'DATA ILN'!B:K,10,FALSE))</f>
        <v>5</v>
      </c>
      <c r="T70" s="50">
        <f ca="1">IFERROR(VLOOKUP(Tableau1[[#This Row],[Key(Compte ILN - shipper - POL - plant)]],'DATA ILN'!A:L,12,FALSE),VLOOKUP(Tableau1[[#This Row],[Key(Compte ILN - shipper - POL)]],'DATA ILN'!B:L,11,FALSE))</f>
        <v>7</v>
      </c>
      <c r="U70" s="50">
        <f ca="1">Tableau1[[#This Row],[Day ILN Order]]+Tableau1[[#This Row],[Delivery time to ILN/Shipper]]-1</f>
        <v>29</v>
      </c>
      <c r="V70" s="50">
        <f ca="1">IFERROR(VLOOKUP(Tableau1[[#This Row],[Key(Compte ILN - shipper - POL - plant)]],'DATA ILN'!A:N,14,FALSE),VLOOKUP(Tableau1[[#This Row],[Key(Compte ILN - shipper - POL)]],'DATA ILN'!B:N,13,FALSE))</f>
        <v>1</v>
      </c>
      <c r="W70" s="53">
        <f ca="1">IFERROR(VLOOKUP(Tableau1[[#This Row],[Key(Compte ILN - shipper - POL - plant)]],'DATA ILN'!A:P,16,FALSE),VLOOKUP(Tableau1[[#This Row],[Key(Compte ILN - shipper - POL)]],'DATA ILN'!B:P,15,FALSE))</f>
        <v>2</v>
      </c>
      <c r="X70" s="283" t="s">
        <v>183</v>
      </c>
      <c r="Y70" s="482">
        <f>IFERROR(VLOOKUP(Tableau1[[#This Row],[Name Shipper]],Plant_AILN!L:M,2,FALSE),0)</f>
        <v>222222</v>
      </c>
      <c r="Z70" s="358">
        <v>1027</v>
      </c>
      <c r="AA70" s="353" t="str">
        <f ca="1">VLOOKUP(Tableau1[[#This Row],[Key(ID-Actif)]],'DATA BTO'!A:N,5,FALSE)</f>
        <v>CNSHA</v>
      </c>
      <c r="AB70" s="3" t="str">
        <f ca="1">VLOOKUP(Tableau1[[#This Row],[Key(ID-Actif)]],'DATA BTO'!A:N,6,FALSE)</f>
        <v>CMA-CGM</v>
      </c>
      <c r="AC70" s="50">
        <f ca="1">VLOOKUP(Tableau1[[#This Row],[Key(ID-Actif)]],'DATA BTO'!A:N,7,FALSE)</f>
        <v>2</v>
      </c>
      <c r="AD70" s="50">
        <f ca="1">VLOOKUP(Tableau1[[#This Row],[Key(ID-Actif)]],'DATA BTO'!A:N,8,FALSE)</f>
        <v>4</v>
      </c>
      <c r="AE70" s="50">
        <f ca="1">IF(Tableau1[[#This Row],[First Day to POL]]&lt;=Tableau1[[#This Row],[Day Cut Off]],Tableau1[[#This Row],[Day ETD]],Tableau1[[#This Row],[Day ETD]]+7)</f>
        <v>4</v>
      </c>
      <c r="AF70" s="50">
        <f ca="1">VLOOKUP(Tableau1[[#This Row],[Key(ID-Actif)]],'DATA BTO'!A:N,9,FALSE)</f>
        <v>39</v>
      </c>
      <c r="AG70" s="3" t="str">
        <f ca="1">VLOOKUP(Tableau1[[#This Row],[Key(ID-Actif)]],'DATA BTO'!A:N,10,FALSE)</f>
        <v>ESVLC</v>
      </c>
      <c r="AH70" s="3">
        <f ca="1">VLOOKUP(Tableau1[[#This Row],[Key(ID-Actif)]],'DATA BTO'!A:N,11,FALSE)</f>
        <v>3</v>
      </c>
      <c r="AI70" s="50">
        <f ca="1">VLOOKUP(Tableau1[[#This Row],[Key(ID-Actif)]],'DATA BTO'!A:N,12,FALSE)</f>
        <v>0</v>
      </c>
      <c r="AJ70" s="53" t="str">
        <f ca="1">VLOOKUP(Tableau1[[#This Row],[Key(ID-Actif)]],'DATA BTO'!A:N,14,FALSE)</f>
        <v>Marc-Aurele</v>
      </c>
      <c r="AK70" s="54">
        <f ca="1">VLOOKUP(Tableau1[[#This Row],[Key(POD -PFI- Usine)]],'DATA Consignee'!A:F,6,FALSE)</f>
        <v>4</v>
      </c>
      <c r="AL70" s="125" t="s">
        <v>161</v>
      </c>
      <c r="AM70" s="483">
        <f>IF(Tableau1[[#This Row],[Name PFI/CDD]]="","-",VLOOKUP(Tableau1[[#This Row],[Name PFI/CDD]],Plant_AILN!I:J,2,FALSE))</f>
        <v>91018400</v>
      </c>
      <c r="AN70" s="6">
        <f ca="1">IF(COUNTIF(buffer_train[AILN],Tableau1[[#This Row],[Name PFI/CDD]])&gt;0,Tableau1[[#This Row],[First Receipt Days]]+Tableau1[[#This Row],[Cust.]]+Tableau1[[#This Row],[Parts Vanning]]+Tableau1[[#This Row],[Transit Time2]],"-")</f>
        <v>84</v>
      </c>
      <c r="AO70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1</v>
      </c>
      <c r="AP70" s="2">
        <f ca="1">VLOOKUP(Tableau1[[#This Row],[Key(POD -PFI- Usine)]],'DATA Consignee'!A:J,10,FALSE)</f>
        <v>3</v>
      </c>
      <c r="AQ70" s="50">
        <f ca="1">VLOOKUP(Tableau1[[#This Row],[Key(POD -PFI- Usine)]],'DATA Consignee'!A:N,14,FALSE)</f>
        <v>5</v>
      </c>
      <c r="AR7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7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70" s="50">
        <f ca="1">Tableau1[[#This Row],[Transit time]]+Tableau1[[#This Row],[Time for security]]+Tableau1[[#This Row],[Time for security2 buffer]]</f>
        <v>42</v>
      </c>
      <c r="AU7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70" s="389">
        <f ca="1">Tableau1[[#This Row],[Leadtime SI2C]]+Tableau1[[#This Row],[First Receipt Days]]-Tableau1[[#This Row],[Day Customer Order]]+1</f>
        <v>92</v>
      </c>
      <c r="AW70" s="117">
        <f ca="1">IF(Tableau1[[#This Row],[Name ILN]]&lt;&gt;"SFK Freight Forwarder",Tableau1[[#This Row],[Cust. Leadtime]],Tableau1[[#This Row],[Leadtime SI2C]])</f>
        <v>92</v>
      </c>
      <c r="AX70" s="51" t="str">
        <f>VLOOKUP(Tableau1[[#This Row],[ID]],'DATA BTO'!B:P,15,FALSE)</f>
        <v>Nissan &gt; Renault</v>
      </c>
      <c r="AY70" s="328">
        <f ca="1">IFERROR(VLOOKUP(Tableau1[[#This Row],[Key(ID-Actif)]],'DATA BTO'!A:N,4,FALSE),VLOOKUP(Tableau1[[#This Row],[ID]],'DATA BTO'!B:N,3,FALSE))</f>
        <v>46142</v>
      </c>
      <c r="AZ70" s="50" t="str">
        <f>IF(ISNUMBER(Tableau1[[#This Row],[Day Customer Order]]),"-","Please Check 'Name' information in 'Order' Sheet to make sure they have information")</f>
        <v>-</v>
      </c>
      <c r="BA7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0" s="50"/>
    </row>
    <row r="71" spans="2:57">
      <c r="B71" s="447" t="str">
        <f>_xlfn.CONCAT(Tableau1[[#This Row],[Name ILN]],"-",Tableau1[[#This Row],[Name Shipper]],"-",Tableau1[[#This Row],[Name Site]])</f>
        <v>ILN Chine -ILN Chine -FLINS</v>
      </c>
      <c r="C71" s="65" t="str">
        <f ca="1">_xlfn.CONCAT(Tableau1[[#This Row],[Compte ILN]],"-",Tableau1[[#This Row],[Compte Shipper]],"-",Tableau1[[#This Row],[POL]],"-",Tableau1[[#This Row],[Compte Consignee]])</f>
        <v>222222-222222-CNSHA-90015100</v>
      </c>
      <c r="D71" s="64" t="str">
        <f ca="1">_xlfn.CONCAT(Tableau1[[#This Row],[Compte ILN]],"-",Tableau1[[#This Row],[Compte Shipper]],"-",Tableau1[[#This Row],[POL]])</f>
        <v>222222-222222-CNSHA</v>
      </c>
      <c r="E71" s="396" t="str">
        <f ca="1">_xlfn.CONCAT(Tableau1[[#This Row],[POL]],"-",Tableau1[[#This Row],[Carrier]],"-",Tableau1[[#This Row],[POD]])</f>
        <v>CNSHA-CMA-CGM-ESVLC</v>
      </c>
      <c r="F71" s="64" t="str">
        <f>_xlfn.CONCAT(Tableau1[[#This Row],[ID]],"-","Actif")</f>
        <v>1027-Actif</v>
      </c>
      <c r="G71" s="64" t="str">
        <f ca="1">_xlfn.CONCAT(Tableau1[[#This Row],[POD]],"-",Tableau1[[#This Row],[Code PFI]],"-",Tableau1[[#This Row],[Compte Consignee]])</f>
        <v>ESVLC-91018400-90015100</v>
      </c>
      <c r="H71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CNSHAFLINS</v>
      </c>
      <c r="I7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FLINS-ILN Chine -ILN Chine -1027-CNSHA-CMA-CGM-ESVLC-PFI VLL</v>
      </c>
      <c r="J71" s="397" t="str">
        <f ca="1">IF(COUNTIF(I:I,Tableau1[[#This Row],[Plant-ILN-shipper-POL-Carrier-POD-PFI]])=1,"Non","Oui")</f>
        <v>Non</v>
      </c>
      <c r="K71" s="126" t="str">
        <f>VLOOKUP(Tableau1[[#This Row],[Name Site]],Plant_AILN!A:D,4,FALSE)</f>
        <v>FRANCE</v>
      </c>
      <c r="L71" s="363" t="s">
        <v>187</v>
      </c>
      <c r="M71" s="480">
        <f>VLOOKUP(Tableau1[[#This Row],[Name Site]],Plant_AILN!A:C,3,FALSE)</f>
        <v>90015100</v>
      </c>
      <c r="N71" s="55">
        <f>VLOOKUP(Tableau1[[#This Row],[Compte Consignee]],Order!C:D,2,FALSE)</f>
        <v>7</v>
      </c>
      <c r="O71" s="114" t="s">
        <v>183</v>
      </c>
      <c r="P71" s="481">
        <f>VLOOKUP(Tableau1[[#This Row],[Name ILN]],Plant_AILN!F:G,2,FALSE)</f>
        <v>222222</v>
      </c>
      <c r="Q71" s="50">
        <f>VLOOKUP(Tableau1[[#This Row],[Compte ILN]],'DATA ILN'!D:I,6,FALSE)</f>
        <v>9</v>
      </c>
      <c r="R71" s="50">
        <f ca="1">IFERROR(VLOOKUP(Tableau1[[#This Row],[Key(Compte ILN - shipper - POL - plant)]],'DATA ILN'!A:J,10,FALSE),VLOOKUP(Tableau1[[#This Row],[Key(Compte ILN - shipper - POL)]],'DATA ILN'!B:J,9,FALSE))</f>
        <v>21</v>
      </c>
      <c r="S71" s="50">
        <f ca="1">IFERROR(VLOOKUP(Tableau1[[#This Row],[Key(Compte ILN - shipper - POL - plant)]],'DATA ILN'!A:K,11,FALSE),VLOOKUP(Tableau1[[#This Row],[Key(Compte ILN - shipper - POL)]],'DATA ILN'!B:K,10,FALSE))</f>
        <v>5</v>
      </c>
      <c r="T71" s="50">
        <f ca="1">IFERROR(VLOOKUP(Tableau1[[#This Row],[Key(Compte ILN - shipper - POL - plant)]],'DATA ILN'!A:L,12,FALSE),VLOOKUP(Tableau1[[#This Row],[Key(Compte ILN - shipper - POL)]],'DATA ILN'!B:L,11,FALSE))</f>
        <v>7</v>
      </c>
      <c r="U71" s="50">
        <f ca="1">Tableau1[[#This Row],[Day ILN Order]]+Tableau1[[#This Row],[Delivery time to ILN/Shipper]]-1</f>
        <v>29</v>
      </c>
      <c r="V71" s="50">
        <f ca="1">IFERROR(VLOOKUP(Tableau1[[#This Row],[Key(Compte ILN - shipper - POL - plant)]],'DATA ILN'!A:N,14,FALSE),VLOOKUP(Tableau1[[#This Row],[Key(Compte ILN - shipper - POL)]],'DATA ILN'!B:N,13,FALSE))</f>
        <v>1</v>
      </c>
      <c r="W71" s="53">
        <f ca="1">IFERROR(VLOOKUP(Tableau1[[#This Row],[Key(Compte ILN - shipper - POL - plant)]],'DATA ILN'!A:P,16,FALSE),VLOOKUP(Tableau1[[#This Row],[Key(Compte ILN - shipper - POL)]],'DATA ILN'!B:P,15,FALSE))</f>
        <v>2</v>
      </c>
      <c r="X71" s="283" t="s">
        <v>183</v>
      </c>
      <c r="Y71" s="482">
        <f>IFERROR(VLOOKUP(Tableau1[[#This Row],[Name Shipper]],Plant_AILN!L:M,2,FALSE),0)</f>
        <v>222222</v>
      </c>
      <c r="Z71" s="358">
        <v>1027</v>
      </c>
      <c r="AA71" s="353" t="str">
        <f ca="1">VLOOKUP(Tableau1[[#This Row],[Key(ID-Actif)]],'DATA BTO'!A:N,5,FALSE)</f>
        <v>CNSHA</v>
      </c>
      <c r="AB71" s="3" t="str">
        <f ca="1">VLOOKUP(Tableau1[[#This Row],[Key(ID-Actif)]],'DATA BTO'!A:N,6,FALSE)</f>
        <v>CMA-CGM</v>
      </c>
      <c r="AC71" s="50">
        <f ca="1">VLOOKUP(Tableau1[[#This Row],[Key(ID-Actif)]],'DATA BTO'!A:N,7,FALSE)</f>
        <v>2</v>
      </c>
      <c r="AD71" s="50">
        <f ca="1">VLOOKUP(Tableau1[[#This Row],[Key(ID-Actif)]],'DATA BTO'!A:N,8,FALSE)</f>
        <v>4</v>
      </c>
      <c r="AE71" s="50">
        <f ca="1">IF(Tableau1[[#This Row],[First Day to POL]]&lt;=Tableau1[[#This Row],[Day Cut Off]],Tableau1[[#This Row],[Day ETD]],Tableau1[[#This Row],[Day ETD]]+7)</f>
        <v>4</v>
      </c>
      <c r="AF71" s="50">
        <f ca="1">VLOOKUP(Tableau1[[#This Row],[Key(ID-Actif)]],'DATA BTO'!A:N,9,FALSE)</f>
        <v>39</v>
      </c>
      <c r="AG71" s="3" t="str">
        <f ca="1">VLOOKUP(Tableau1[[#This Row],[Key(ID-Actif)]],'DATA BTO'!A:N,10,FALSE)</f>
        <v>ESVLC</v>
      </c>
      <c r="AH71" s="3">
        <f ca="1">VLOOKUP(Tableau1[[#This Row],[Key(ID-Actif)]],'DATA BTO'!A:N,11,FALSE)</f>
        <v>3</v>
      </c>
      <c r="AI71" s="50">
        <f ca="1">VLOOKUP(Tableau1[[#This Row],[Key(ID-Actif)]],'DATA BTO'!A:N,12,FALSE)</f>
        <v>0</v>
      </c>
      <c r="AJ71" s="53" t="str">
        <f ca="1">VLOOKUP(Tableau1[[#This Row],[Key(ID-Actif)]],'DATA BTO'!A:N,14,FALSE)</f>
        <v>Marc-Aurele</v>
      </c>
      <c r="AK71" s="54">
        <f ca="1">VLOOKUP(Tableau1[[#This Row],[Key(POD -PFI- Usine)]],'DATA Consignee'!A:F,6,FALSE)</f>
        <v>4</v>
      </c>
      <c r="AL71" s="125" t="s">
        <v>161</v>
      </c>
      <c r="AM71" s="483">
        <f>IF(Tableau1[[#This Row],[Name PFI/CDD]]="","-",VLOOKUP(Tableau1[[#This Row],[Name PFI/CDD]],Plant_AILN!I:J,2,FALSE))</f>
        <v>91018400</v>
      </c>
      <c r="AN71" s="6">
        <f ca="1">IF(COUNTIF(buffer_train[AILN],Tableau1[[#This Row],[Name PFI/CDD]])&gt;0,Tableau1[[#This Row],[First Receipt Days]]+Tableau1[[#This Row],[Cust.]]+Tableau1[[#This Row],[Parts Vanning]]+Tableau1[[#This Row],[Transit Time2]],"-")</f>
        <v>84</v>
      </c>
      <c r="AO71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1</v>
      </c>
      <c r="AP71" s="2">
        <f ca="1">VLOOKUP(Tableau1[[#This Row],[Key(POD -PFI- Usine)]],'DATA Consignee'!A:J,10,FALSE)</f>
        <v>3</v>
      </c>
      <c r="AQ71" s="50">
        <f ca="1">VLOOKUP(Tableau1[[#This Row],[Key(POD -PFI- Usine)]],'DATA Consignee'!A:N,14,FALSE)</f>
        <v>6</v>
      </c>
      <c r="AR7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4</v>
      </c>
      <c r="AS7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9</v>
      </c>
      <c r="AT71" s="50">
        <f ca="1">Tableau1[[#This Row],[Transit time]]+Tableau1[[#This Row],[Time for security]]+Tableau1[[#This Row],[Time for security2 buffer]]</f>
        <v>42</v>
      </c>
      <c r="AU7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71" s="389">
        <f ca="1">Tableau1[[#This Row],[Leadtime SI2C]]+Tableau1[[#This Row],[First Receipt Days]]-Tableau1[[#This Row],[Day Customer Order]]+1</f>
        <v>92</v>
      </c>
      <c r="AW71" s="117">
        <f ca="1">IF(Tableau1[[#This Row],[Name ILN]]&lt;&gt;"SFK Freight Forwarder",Tableau1[[#This Row],[Cust. Leadtime]],Tableau1[[#This Row],[Leadtime SI2C]])</f>
        <v>92</v>
      </c>
      <c r="AX71" s="51" t="str">
        <f>VLOOKUP(Tableau1[[#This Row],[ID]],'DATA BTO'!B:P,15,FALSE)</f>
        <v>Nissan &gt; Renault</v>
      </c>
      <c r="AY71" s="328">
        <f ca="1">IFERROR(VLOOKUP(Tableau1[[#This Row],[Key(ID-Actif)]],'DATA BTO'!A:N,4,FALSE),VLOOKUP(Tableau1[[#This Row],[ID]],'DATA BTO'!B:N,3,FALSE))</f>
        <v>46142</v>
      </c>
      <c r="AZ71" s="50" t="str">
        <f>IF(ISNUMBER(Tableau1[[#This Row],[Day Customer Order]]),"-","Please Check 'Name' information in 'Order' Sheet to make sure they have information")</f>
        <v>-</v>
      </c>
      <c r="BA7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1" s="50"/>
    </row>
    <row r="72" spans="2:57">
      <c r="B72" s="447" t="str">
        <f>_xlfn.CONCAT(Tableau1[[#This Row],[Name ILN]],"-",Tableau1[[#This Row],[Name Shipper]],"-",Tableau1[[#This Row],[Name Site]])</f>
        <v>SFK Freight Forwarder-ILN Honmoku-DACIA MECA</v>
      </c>
      <c r="C72" s="65" t="str">
        <f ca="1">_xlfn.CONCAT(Tableau1[[#This Row],[Compte ILN]],"-",Tableau1[[#This Row],[Compte Shipper]],"-",Tableau1[[#This Row],[POL]],"-",Tableau1[[#This Row],[Compte Consignee]])</f>
        <v>0-29159-JPYOK-90012500</v>
      </c>
      <c r="D72" s="64" t="str">
        <f ca="1">_xlfn.CONCAT(Tableau1[[#This Row],[Compte ILN]],"-",Tableau1[[#This Row],[Compte Shipper]],"-",Tableau1[[#This Row],[POL]])</f>
        <v>0-29159-JPYOK</v>
      </c>
      <c r="E72" s="396" t="str">
        <f ca="1">_xlfn.CONCAT(Tableau1[[#This Row],[POL]],"-",Tableau1[[#This Row],[Carrier]],"-",Tableau1[[#This Row],[POD]])</f>
        <v>JPYOK-ONE-ROCND</v>
      </c>
      <c r="F72" s="64" t="str">
        <f>_xlfn.CONCAT(Tableau1[[#This Row],[ID]],"-","Actif")</f>
        <v>1029-Actif</v>
      </c>
      <c r="G72" s="64" t="str">
        <f ca="1">_xlfn.CONCAT(Tableau1[[#This Row],[POD]],"-",Tableau1[[#This Row],[Code PFI]],"-",Tableau1[[#This Row],[Compte Consignee]])</f>
        <v>ROCND---90012500</v>
      </c>
      <c r="H72" s="396" t="str">
        <f ca="1">_xlfn.CONCAT(IF(Tableau1[[#This Row],[Name ILN]]=Tableau1[[#This Row],[Name Shipper]],Tableau1[[#This Row],[Name ILN]],Tableau1[[#This Row],[Compte Shipper]]),Tableau1[[#This Row],[POL]],Tableau1[[#This Row],[Name Site]])</f>
        <v>29159JPYOKDACIA MECA</v>
      </c>
      <c r="I7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DACIA MECA-SFK Freight Forwarder-ILN Honmoku-1029-JPYOK-ONE-ROCND-</v>
      </c>
      <c r="J72" s="397" t="str">
        <f ca="1">IF(COUNTIF(I:I,Tableau1[[#This Row],[Plant-ILN-shipper-POL-Carrier-POD-PFI]])=1,"Non","Oui")</f>
        <v>Non</v>
      </c>
      <c r="K72" s="126" t="str">
        <f>VLOOKUP(Tableau1[[#This Row],[Name Site]],Plant_AILN!A:D,4,FALSE)</f>
        <v>ROMANIA</v>
      </c>
      <c r="L72" s="363" t="s">
        <v>156</v>
      </c>
      <c r="M72" s="480">
        <f>VLOOKUP(Tableau1[[#This Row],[Name Site]],Plant_AILN!A:C,3,FALSE)</f>
        <v>90012500</v>
      </c>
      <c r="N72" s="55">
        <f>VLOOKUP(Tableau1[[#This Row],[Compte Consignee]],Order!C:D,2,FALSE)</f>
        <v>7</v>
      </c>
      <c r="O72" s="114" t="s">
        <v>150</v>
      </c>
      <c r="P72" s="481">
        <f>VLOOKUP(Tableau1[[#This Row],[Name ILN]],Plant_AILN!F:G,2,FALSE)</f>
        <v>0</v>
      </c>
      <c r="Q72" s="50">
        <f>VLOOKUP(Tableau1[[#This Row],[Compte ILN]],'DATA ILN'!D:I,6,FALSE)</f>
        <v>9</v>
      </c>
      <c r="R72" s="50">
        <f ca="1">IFERROR(VLOOKUP(Tableau1[[#This Row],[Key(Compte ILN - shipper - POL - plant)]],'DATA ILN'!A:J,10,FALSE),VLOOKUP(Tableau1[[#This Row],[Key(Compte ILN - shipper - POL)]],'DATA ILN'!B:J,9,FALSE))</f>
        <v>14</v>
      </c>
      <c r="S72" s="50">
        <f ca="1">IFERROR(VLOOKUP(Tableau1[[#This Row],[Key(Compte ILN - shipper - POL - plant)]],'DATA ILN'!A:K,11,FALSE),VLOOKUP(Tableau1[[#This Row],[Key(Compte ILN - shipper - POL)]],'DATA ILN'!B:K,10,FALSE))</f>
        <v>5</v>
      </c>
      <c r="T72" s="50">
        <f ca="1">IFERROR(VLOOKUP(Tableau1[[#This Row],[Key(Compte ILN - shipper - POL - plant)]],'DATA ILN'!A:L,12,FALSE),VLOOKUP(Tableau1[[#This Row],[Key(Compte ILN - shipper - POL)]],'DATA ILN'!B:L,11,FALSE))</f>
        <v>7</v>
      </c>
      <c r="U72" s="50">
        <f ca="1">Tableau1[[#This Row],[Day ILN Order]]+Tableau1[[#This Row],[Delivery time to ILN/Shipper]]-1</f>
        <v>22</v>
      </c>
      <c r="V72" s="50">
        <f ca="1">IFERROR(VLOOKUP(Tableau1[[#This Row],[Key(Compte ILN - shipper - POL - plant)]],'DATA ILN'!A:N,14,FALSE),VLOOKUP(Tableau1[[#This Row],[Key(Compte ILN - shipper - POL)]],'DATA ILN'!B:N,13,FALSE))</f>
        <v>2</v>
      </c>
      <c r="W72" s="53">
        <f ca="1">IFERROR(VLOOKUP(Tableau1[[#This Row],[Key(Compte ILN - shipper - POL - plant)]],'DATA ILN'!A:P,16,FALSE),VLOOKUP(Tableau1[[#This Row],[Key(Compte ILN - shipper - POL)]],'DATA ILN'!B:P,15,FALSE))</f>
        <v>2</v>
      </c>
      <c r="X72" s="283" t="s">
        <v>188</v>
      </c>
      <c r="Y72" s="482">
        <f>IFERROR(VLOOKUP(Tableau1[[#This Row],[Name Shipper]],Plant_AILN!L:M,2,FALSE),0)</f>
        <v>29159</v>
      </c>
      <c r="Z72" s="358">
        <v>1029</v>
      </c>
      <c r="AA72" s="353" t="str">
        <f ca="1">VLOOKUP(Tableau1[[#This Row],[Key(ID-Actif)]],'DATA BTO'!A:N,5,FALSE)</f>
        <v>JPYOK</v>
      </c>
      <c r="AB72" s="3" t="str">
        <f ca="1">VLOOKUP(Tableau1[[#This Row],[Key(ID-Actif)]],'DATA BTO'!A:N,6,FALSE)</f>
        <v>ONE</v>
      </c>
      <c r="AC72" s="50">
        <f ca="1">VLOOKUP(Tableau1[[#This Row],[Key(ID-Actif)]],'DATA BTO'!A:N,7,FALSE)</f>
        <v>1</v>
      </c>
      <c r="AD72" s="50">
        <f ca="1">VLOOKUP(Tableau1[[#This Row],[Key(ID-Actif)]],'DATA BTO'!A:N,8,FALSE)</f>
        <v>3</v>
      </c>
      <c r="AE72" s="50">
        <f ca="1">IF(Tableau1[[#This Row],[First Day to POL]]&lt;=Tableau1[[#This Row],[Day Cut Off]],Tableau1[[#This Row],[Day ETD]],Tableau1[[#This Row],[Day ETD]]+7)</f>
        <v>10</v>
      </c>
      <c r="AF72" s="50">
        <f ca="1">VLOOKUP(Tableau1[[#This Row],[Key(ID-Actif)]],'DATA BTO'!A:N,9,FALSE)</f>
        <v>58</v>
      </c>
      <c r="AG72" s="3" t="str">
        <f ca="1">VLOOKUP(Tableau1[[#This Row],[Key(ID-Actif)]],'DATA BTO'!A:N,10,FALSE)</f>
        <v>ROCND</v>
      </c>
      <c r="AH72" s="3">
        <f ca="1">VLOOKUP(Tableau1[[#This Row],[Key(ID-Actif)]],'DATA BTO'!A:N,11,FALSE)</f>
        <v>3</v>
      </c>
      <c r="AI72" s="50">
        <f ca="1">VLOOKUP(Tableau1[[#This Row],[Key(ID-Actif)]],'DATA BTO'!A:N,12,FALSE)</f>
        <v>0</v>
      </c>
      <c r="AJ72" s="53" t="str">
        <f ca="1">VLOOKUP(Tableau1[[#This Row],[Key(ID-Actif)]],'DATA BTO'!A:N,14,FALSE)</f>
        <v>Max</v>
      </c>
      <c r="AK72" s="54">
        <f ca="1">VLOOKUP(Tableau1[[#This Row],[Key(POD -PFI- Usine)]],'DATA Consignee'!A:F,6,FALSE)</f>
        <v>2</v>
      </c>
      <c r="AL72" s="125"/>
      <c r="AM72" s="483" t="str">
        <f>IF(Tableau1[[#This Row],[Name PFI/CDD]]="","-",VLOOKUP(Tableau1[[#This Row],[Name PFI/CDD]],Plant_AILN!I:J,2,FALSE))</f>
        <v>-</v>
      </c>
      <c r="AN7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2" s="2">
        <f ca="1">VLOOKUP(Tableau1[[#This Row],[Key(POD -PFI- Usine)]],'DATA Consignee'!A:J,10,FALSE)</f>
        <v>0</v>
      </c>
      <c r="AQ72" s="50">
        <f ca="1">VLOOKUP(Tableau1[[#This Row],[Key(POD -PFI- Usine)]],'DATA Consignee'!A:N,14,FALSE)</f>
        <v>7</v>
      </c>
      <c r="AR7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7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15</v>
      </c>
      <c r="AT72" s="50">
        <f ca="1">Tableau1[[#This Row],[Transit time]]+Tableau1[[#This Row],[Time for security]]+Tableau1[[#This Row],[Time for security2 buffer]]</f>
        <v>61</v>
      </c>
      <c r="AU7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90</v>
      </c>
      <c r="AV72" s="389">
        <f ca="1">Tableau1[[#This Row],[Leadtime SI2C]]+Tableau1[[#This Row],[First Receipt Days]]-Tableau1[[#This Row],[Day Customer Order]]+1</f>
        <v>106</v>
      </c>
      <c r="AW72" s="117">
        <f ca="1">IF(Tableau1[[#This Row],[Name ILN]]&lt;&gt;"SFK Freight Forwarder",Tableau1[[#This Row],[Cust. Leadtime]],Tableau1[[#This Row],[Leadtime SI2C]])</f>
        <v>90</v>
      </c>
      <c r="AX72" s="51" t="str">
        <f>VLOOKUP(Tableau1[[#This Row],[ID]],'DATA BTO'!B:P,15,FALSE)</f>
        <v>Nissan &gt; Horse</v>
      </c>
      <c r="AY72" s="328">
        <f ca="1">IFERROR(VLOOKUP(Tableau1[[#This Row],[Key(ID-Actif)]],'DATA BTO'!A:N,4,FALSE),VLOOKUP(Tableau1[[#This Row],[ID]],'DATA BTO'!B:N,3,FALSE))</f>
        <v>46142</v>
      </c>
      <c r="AZ72" s="50" t="str">
        <f>IF(ISNUMBER(Tableau1[[#This Row],[Day Customer Order]]),"-","Please Check 'Name' information in 'Order' Sheet to make sure they have information")</f>
        <v>-</v>
      </c>
      <c r="BA7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2" s="50"/>
    </row>
    <row r="73" spans="2:57">
      <c r="B73" s="447" t="str">
        <f>_xlfn.CONCAT(Tableau1[[#This Row],[Name ILN]],"-",Tableau1[[#This Row],[Name Shipper]],"-",Tableau1[[#This Row],[Name Site]])</f>
        <v>SFK Freight Forwarder-ILN Honmoku-SEVILLA</v>
      </c>
      <c r="C73" s="65" t="str">
        <f ca="1">_xlfn.CONCAT(Tableau1[[#This Row],[Compte ILN]],"-",Tableau1[[#This Row],[Compte Shipper]],"-",Tableau1[[#This Row],[POL]],"-",Tableau1[[#This Row],[Compte Consignee]])</f>
        <v>0-29159-JPYOK-91017500</v>
      </c>
      <c r="D73" s="64" t="str">
        <f ca="1">_xlfn.CONCAT(Tableau1[[#This Row],[Compte ILN]],"-",Tableau1[[#This Row],[Compte Shipper]],"-",Tableau1[[#This Row],[POL]])</f>
        <v>0-29159-JPYOK</v>
      </c>
      <c r="E73" s="396" t="str">
        <f ca="1">_xlfn.CONCAT(Tableau1[[#This Row],[POL]],"-",Tableau1[[#This Row],[Carrier]],"-",Tableau1[[#This Row],[POD]])</f>
        <v>JPYOK-ONE-ESALG</v>
      </c>
      <c r="F73" s="64" t="str">
        <f>_xlfn.CONCAT(Tableau1[[#This Row],[ID]],"-","Actif")</f>
        <v>1032-Actif</v>
      </c>
      <c r="G73" s="64" t="str">
        <f ca="1">_xlfn.CONCAT(Tableau1[[#This Row],[POD]],"-",Tableau1[[#This Row],[Code PFI]],"-",Tableau1[[#This Row],[Compte Consignee]])</f>
        <v>ESALG---91017500</v>
      </c>
      <c r="H73" s="396" t="str">
        <f ca="1">_xlfn.CONCAT(IF(Tableau1[[#This Row],[Name ILN]]=Tableau1[[#This Row],[Name Shipper]],Tableau1[[#This Row],[Name ILN]],Tableau1[[#This Row],[Compte Shipper]]),Tableau1[[#This Row],[POL]],Tableau1[[#This Row],[Name Site]])</f>
        <v>29159JPYOKSEVILLA</v>
      </c>
      <c r="I7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SEVILLA-SFK Freight Forwarder-ILN Honmoku-1032-JPYOK-ONE-ESALG-</v>
      </c>
      <c r="J73" s="397" t="str">
        <f ca="1">IF(COUNTIF(I:I,Tableau1[[#This Row],[Plant-ILN-shipper-POL-Carrier-POD-PFI]])=1,"Non","Oui")</f>
        <v>Non</v>
      </c>
      <c r="K73" s="126" t="str">
        <f>VLOOKUP(Tableau1[[#This Row],[Name Site]],Plant_AILN!A:D,4,FALSE)</f>
        <v>SPAIN</v>
      </c>
      <c r="L73" s="363" t="s">
        <v>162</v>
      </c>
      <c r="M73" s="480">
        <f>VLOOKUP(Tableau1[[#This Row],[Name Site]],Plant_AILN!A:C,3,FALSE)</f>
        <v>91017500</v>
      </c>
      <c r="N73" s="55">
        <f>VLOOKUP(Tableau1[[#This Row],[Compte Consignee]],Order!C:D,2,FALSE)</f>
        <v>7</v>
      </c>
      <c r="O73" s="114" t="s">
        <v>150</v>
      </c>
      <c r="P73" s="481">
        <f>VLOOKUP(Tableau1[[#This Row],[Name ILN]],Plant_AILN!F:G,2,FALSE)</f>
        <v>0</v>
      </c>
      <c r="Q73" s="50">
        <f>VLOOKUP(Tableau1[[#This Row],[Compte ILN]],'DATA ILN'!D:I,6,FALSE)</f>
        <v>9</v>
      </c>
      <c r="R73" s="50">
        <f ca="1">IFERROR(VLOOKUP(Tableau1[[#This Row],[Key(Compte ILN - shipper - POL - plant)]],'DATA ILN'!A:J,10,FALSE),VLOOKUP(Tableau1[[#This Row],[Key(Compte ILN - shipper - POL)]],'DATA ILN'!B:J,9,FALSE))</f>
        <v>14</v>
      </c>
      <c r="S73" s="50">
        <f ca="1">IFERROR(VLOOKUP(Tableau1[[#This Row],[Key(Compte ILN - shipper - POL - plant)]],'DATA ILN'!A:K,11,FALSE),VLOOKUP(Tableau1[[#This Row],[Key(Compte ILN - shipper - POL)]],'DATA ILN'!B:K,10,FALSE))</f>
        <v>5</v>
      </c>
      <c r="T73" s="50">
        <f ca="1">IFERROR(VLOOKUP(Tableau1[[#This Row],[Key(Compte ILN - shipper - POL - plant)]],'DATA ILN'!A:L,12,FALSE),VLOOKUP(Tableau1[[#This Row],[Key(Compte ILN - shipper - POL)]],'DATA ILN'!B:L,11,FALSE))</f>
        <v>7</v>
      </c>
      <c r="U73" s="50">
        <f ca="1">Tableau1[[#This Row],[Day ILN Order]]+Tableau1[[#This Row],[Delivery time to ILN/Shipper]]-1</f>
        <v>22</v>
      </c>
      <c r="V73" s="50">
        <f ca="1">IFERROR(VLOOKUP(Tableau1[[#This Row],[Key(Compte ILN - shipper - POL - plant)]],'DATA ILN'!A:N,14,FALSE),VLOOKUP(Tableau1[[#This Row],[Key(Compte ILN - shipper - POL)]],'DATA ILN'!B:N,13,FALSE))</f>
        <v>2</v>
      </c>
      <c r="W73" s="53">
        <f ca="1">IFERROR(VLOOKUP(Tableau1[[#This Row],[Key(Compte ILN - shipper - POL - plant)]],'DATA ILN'!A:P,16,FALSE),VLOOKUP(Tableau1[[#This Row],[Key(Compte ILN - shipper - POL)]],'DATA ILN'!B:P,15,FALSE))</f>
        <v>2</v>
      </c>
      <c r="X73" s="283" t="s">
        <v>188</v>
      </c>
      <c r="Y73" s="482">
        <f>IFERROR(VLOOKUP(Tableau1[[#This Row],[Name Shipper]],Plant_AILN!L:M,2,FALSE),0)</f>
        <v>29159</v>
      </c>
      <c r="Z73" s="358">
        <v>1032</v>
      </c>
      <c r="AA73" s="353" t="str">
        <f ca="1">VLOOKUP(Tableau1[[#This Row],[Key(ID-Actif)]],'DATA BTO'!A:N,5,FALSE)</f>
        <v>JPYOK</v>
      </c>
      <c r="AB73" s="3" t="str">
        <f ca="1">VLOOKUP(Tableau1[[#This Row],[Key(ID-Actif)]],'DATA BTO'!A:N,6,FALSE)</f>
        <v>ONE</v>
      </c>
      <c r="AC73" s="50">
        <f ca="1">VLOOKUP(Tableau1[[#This Row],[Key(ID-Actif)]],'DATA BTO'!A:N,7,FALSE)</f>
        <v>6</v>
      </c>
      <c r="AD73" s="50">
        <f ca="1">VLOOKUP(Tableau1[[#This Row],[Key(ID-Actif)]],'DATA BTO'!A:N,8,FALSE)</f>
        <v>7</v>
      </c>
      <c r="AE73" s="50">
        <f ca="1">IF(Tableau1[[#This Row],[First Day to POL]]&lt;=Tableau1[[#This Row],[Day Cut Off]],Tableau1[[#This Row],[Day ETD]],Tableau1[[#This Row],[Day ETD]]+7)</f>
        <v>7</v>
      </c>
      <c r="AF73" s="50">
        <f ca="1">VLOOKUP(Tableau1[[#This Row],[Key(ID-Actif)]],'DATA BTO'!A:N,9,FALSE)</f>
        <v>42</v>
      </c>
      <c r="AG73" s="3" t="str">
        <f ca="1">VLOOKUP(Tableau1[[#This Row],[Key(ID-Actif)]],'DATA BTO'!A:N,10,FALSE)</f>
        <v>ESALG</v>
      </c>
      <c r="AH73" s="3">
        <f ca="1">VLOOKUP(Tableau1[[#This Row],[Key(ID-Actif)]],'DATA BTO'!A:N,11,FALSE)</f>
        <v>3</v>
      </c>
      <c r="AI73" s="50">
        <f ca="1">VLOOKUP(Tableau1[[#This Row],[Key(ID-Actif)]],'DATA BTO'!A:N,12,FALSE)</f>
        <v>0</v>
      </c>
      <c r="AJ73" s="53" t="str">
        <f ca="1">VLOOKUP(Tableau1[[#This Row],[Key(ID-Actif)]],'DATA BTO'!A:N,14,FALSE)</f>
        <v>Max</v>
      </c>
      <c r="AK73" s="54">
        <f ca="1">VLOOKUP(Tableau1[[#This Row],[Key(POD -PFI- Usine)]],'DATA Consignee'!A:F,6,FALSE)</f>
        <v>1</v>
      </c>
      <c r="AL73" s="125"/>
      <c r="AM73" s="483" t="str">
        <f>IF(Tableau1[[#This Row],[Name PFI/CDD]]="","-",VLOOKUP(Tableau1[[#This Row],[Name PFI/CDD]],Plant_AILN!I:J,2,FALSE))</f>
        <v>-</v>
      </c>
      <c r="AN7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3" s="2">
        <f ca="1">VLOOKUP(Tableau1[[#This Row],[Key(POD -PFI- Usine)]],'DATA Consignee'!A:J,10,FALSE)</f>
        <v>0</v>
      </c>
      <c r="AQ73" s="50">
        <f ca="1">VLOOKUP(Tableau1[[#This Row],[Key(POD -PFI- Usine)]],'DATA Consignee'!A:N,14,FALSE)</f>
        <v>1</v>
      </c>
      <c r="AR7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7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19</v>
      </c>
      <c r="AT73" s="50">
        <f ca="1">Tableau1[[#This Row],[Transit time]]+Tableau1[[#This Row],[Time for security]]+Tableau1[[#This Row],[Time for security2 buffer]]</f>
        <v>45</v>
      </c>
      <c r="AU7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73" s="389">
        <f ca="1">Tableau1[[#This Row],[Leadtime SI2C]]+Tableau1[[#This Row],[First Receipt Days]]-Tableau1[[#This Row],[Day Customer Order]]+1</f>
        <v>85</v>
      </c>
      <c r="AW73" s="117">
        <f ca="1">IF(Tableau1[[#This Row],[Name ILN]]&lt;&gt;"SFK Freight Forwarder",Tableau1[[#This Row],[Cust. Leadtime]],Tableau1[[#This Row],[Leadtime SI2C]])</f>
        <v>69</v>
      </c>
      <c r="AX73" s="51" t="str">
        <f>VLOOKUP(Tableau1[[#This Row],[ID]],'DATA BTO'!B:P,15,FALSE)</f>
        <v>Nissan &gt; Horse</v>
      </c>
      <c r="AY73" s="328">
        <f ca="1">IFERROR(VLOOKUP(Tableau1[[#This Row],[Key(ID-Actif)]],'DATA BTO'!A:N,4,FALSE),VLOOKUP(Tableau1[[#This Row],[ID]],'DATA BTO'!B:N,3,FALSE))</f>
        <v>46142</v>
      </c>
      <c r="AZ73" s="50" t="str">
        <f>IF(ISNUMBER(Tableau1[[#This Row],[Day Customer Order]]),"-","Please Check 'Name' information in 'Order' Sheet to make sure they have information")</f>
        <v>-</v>
      </c>
      <c r="BA7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3" s="50"/>
    </row>
    <row r="74" spans="2:57">
      <c r="B74" s="447" t="str">
        <f>_xlfn.CONCAT(Tableau1[[#This Row],[Name ILN]],"-",Tableau1[[#This Row],[Name Shipper]],"-",Tableau1[[#This Row],[Name Site]])</f>
        <v>SFK Freight Forwarder-ILN Honmoku-CLEON</v>
      </c>
      <c r="C74" s="65" t="str">
        <f ca="1">_xlfn.CONCAT(Tableau1[[#This Row],[Compte ILN]],"-",Tableau1[[#This Row],[Compte Shipper]],"-",Tableau1[[#This Row],[POL]],"-",Tableau1[[#This Row],[Compte Consignee]])</f>
        <v>0-29159-JPYOK-92000100</v>
      </c>
      <c r="D74" s="64" t="str">
        <f ca="1">_xlfn.CONCAT(Tableau1[[#This Row],[Compte ILN]],"-",Tableau1[[#This Row],[Compte Shipper]],"-",Tableau1[[#This Row],[POL]])</f>
        <v>0-29159-JPYOK</v>
      </c>
      <c r="E74" s="396" t="str">
        <f ca="1">_xlfn.CONCAT(Tableau1[[#This Row],[POL]],"-",Tableau1[[#This Row],[Carrier]],"-",Tableau1[[#This Row],[POD]])</f>
        <v>JPYOK-ONE-FRLEH</v>
      </c>
      <c r="F74" s="64" t="str">
        <f>_xlfn.CONCAT(Tableau1[[#This Row],[ID]],"-","Actif")</f>
        <v>1033-Actif</v>
      </c>
      <c r="G74" s="64" t="str">
        <f ca="1">_xlfn.CONCAT(Tableau1[[#This Row],[POD]],"-",Tableau1[[#This Row],[Code PFI]],"-",Tableau1[[#This Row],[Compte Consignee]])</f>
        <v>FRLEH---92000100</v>
      </c>
      <c r="H74" s="396" t="str">
        <f ca="1">_xlfn.CONCAT(IF(Tableau1[[#This Row],[Name ILN]]=Tableau1[[#This Row],[Name Shipper]],Tableau1[[#This Row],[Name ILN]],Tableau1[[#This Row],[Compte Shipper]]),Tableau1[[#This Row],[POL]],Tableau1[[#This Row],[Name Site]])</f>
        <v>29159JPYOKCLEON</v>
      </c>
      <c r="I7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CLEON-SFK Freight Forwarder-ILN Honmoku-1033-JPYOK-ONE-FRLEH-</v>
      </c>
      <c r="J74" s="397" t="str">
        <f ca="1">IF(COUNTIF(I:I,Tableau1[[#This Row],[Plant-ILN-shipper-POL-Carrier-POD-PFI]])=1,"Non","Oui")</f>
        <v>Non</v>
      </c>
      <c r="K74" s="126" t="str">
        <f>VLOOKUP(Tableau1[[#This Row],[Name Site]],Plant_AILN!A:D,4,FALSE)</f>
        <v>FRANCE</v>
      </c>
      <c r="L74" s="363" t="s">
        <v>184</v>
      </c>
      <c r="M74" s="480">
        <f>VLOOKUP(Tableau1[[#This Row],[Name Site]],Plant_AILN!A:C,3,FALSE)</f>
        <v>92000100</v>
      </c>
      <c r="N74" s="55">
        <f>VLOOKUP(Tableau1[[#This Row],[Compte Consignee]],Order!C:D,2,FALSE)</f>
        <v>7</v>
      </c>
      <c r="O74" s="114" t="s">
        <v>150</v>
      </c>
      <c r="P74" s="481">
        <f>VLOOKUP(Tableau1[[#This Row],[Name ILN]],Plant_AILN!F:G,2,FALSE)</f>
        <v>0</v>
      </c>
      <c r="Q74" s="50">
        <f>VLOOKUP(Tableau1[[#This Row],[Compte ILN]],'DATA ILN'!D:I,6,FALSE)</f>
        <v>9</v>
      </c>
      <c r="R74" s="50">
        <f ca="1">IFERROR(VLOOKUP(Tableau1[[#This Row],[Key(Compte ILN - shipper - POL - plant)]],'DATA ILN'!A:J,10,FALSE),VLOOKUP(Tableau1[[#This Row],[Key(Compte ILN - shipper - POL)]],'DATA ILN'!B:J,9,FALSE))</f>
        <v>14</v>
      </c>
      <c r="S74" s="50">
        <f ca="1">IFERROR(VLOOKUP(Tableau1[[#This Row],[Key(Compte ILN - shipper - POL - plant)]],'DATA ILN'!A:K,11,FALSE),VLOOKUP(Tableau1[[#This Row],[Key(Compte ILN - shipper - POL)]],'DATA ILN'!B:K,10,FALSE))</f>
        <v>5</v>
      </c>
      <c r="T74" s="50">
        <f ca="1">IFERROR(VLOOKUP(Tableau1[[#This Row],[Key(Compte ILN - shipper - POL - plant)]],'DATA ILN'!A:L,12,FALSE),VLOOKUP(Tableau1[[#This Row],[Key(Compte ILN - shipper - POL)]],'DATA ILN'!B:L,11,FALSE))</f>
        <v>7</v>
      </c>
      <c r="U74" s="50">
        <f ca="1">Tableau1[[#This Row],[Day ILN Order]]+Tableau1[[#This Row],[Delivery time to ILN/Shipper]]-1</f>
        <v>22</v>
      </c>
      <c r="V74" s="50">
        <f ca="1">IFERROR(VLOOKUP(Tableau1[[#This Row],[Key(Compte ILN - shipper - POL - plant)]],'DATA ILN'!A:N,14,FALSE),VLOOKUP(Tableau1[[#This Row],[Key(Compte ILN - shipper - POL)]],'DATA ILN'!B:N,13,FALSE))</f>
        <v>2</v>
      </c>
      <c r="W74" s="53">
        <f ca="1">IFERROR(VLOOKUP(Tableau1[[#This Row],[Key(Compte ILN - shipper - POL - plant)]],'DATA ILN'!A:P,16,FALSE),VLOOKUP(Tableau1[[#This Row],[Key(Compte ILN - shipper - POL)]],'DATA ILN'!B:P,15,FALSE))</f>
        <v>2</v>
      </c>
      <c r="X74" s="283" t="s">
        <v>188</v>
      </c>
      <c r="Y74" s="482">
        <f>IFERROR(VLOOKUP(Tableau1[[#This Row],[Name Shipper]],Plant_AILN!L:M,2,FALSE),0)</f>
        <v>29159</v>
      </c>
      <c r="Z74" s="358">
        <v>1033</v>
      </c>
      <c r="AA74" s="353" t="str">
        <f ca="1">VLOOKUP(Tableau1[[#This Row],[Key(ID-Actif)]],'DATA BTO'!A:N,5,FALSE)</f>
        <v>JPYOK</v>
      </c>
      <c r="AB74" s="3" t="str">
        <f ca="1">VLOOKUP(Tableau1[[#This Row],[Key(ID-Actif)]],'DATA BTO'!A:N,6,FALSE)</f>
        <v>ONE</v>
      </c>
      <c r="AC74" s="50">
        <f ca="1">VLOOKUP(Tableau1[[#This Row],[Key(ID-Actif)]],'DATA BTO'!A:N,7,FALSE)</f>
        <v>1</v>
      </c>
      <c r="AD74" s="50">
        <f ca="1">VLOOKUP(Tableau1[[#This Row],[Key(ID-Actif)]],'DATA BTO'!A:N,8,FALSE)</f>
        <v>3</v>
      </c>
      <c r="AE74" s="50">
        <f ca="1">IF(Tableau1[[#This Row],[First Day to POL]]&lt;=Tableau1[[#This Row],[Day Cut Off]],Tableau1[[#This Row],[Day ETD]],Tableau1[[#This Row],[Day ETD]]+7)</f>
        <v>10</v>
      </c>
      <c r="AF74" s="50">
        <f ca="1">VLOOKUP(Tableau1[[#This Row],[Key(ID-Actif)]],'DATA BTO'!A:N,9,FALSE)</f>
        <v>66</v>
      </c>
      <c r="AG74" s="3" t="str">
        <f ca="1">VLOOKUP(Tableau1[[#This Row],[Key(ID-Actif)]],'DATA BTO'!A:N,10,FALSE)</f>
        <v>FRLEH</v>
      </c>
      <c r="AH74" s="3">
        <f ca="1">VLOOKUP(Tableau1[[#This Row],[Key(ID-Actif)]],'DATA BTO'!A:N,11,FALSE)</f>
        <v>3</v>
      </c>
      <c r="AI74" s="50">
        <f ca="1">VLOOKUP(Tableau1[[#This Row],[Key(ID-Actif)]],'DATA BTO'!A:N,12,FALSE)</f>
        <v>0</v>
      </c>
      <c r="AJ74" s="53" t="str">
        <f ca="1">VLOOKUP(Tableau1[[#This Row],[Key(ID-Actif)]],'DATA BTO'!A:N,14,FALSE)</f>
        <v>Max</v>
      </c>
      <c r="AK74" s="54">
        <f ca="1">VLOOKUP(Tableau1[[#This Row],[Key(POD -PFI- Usine)]],'DATA Consignee'!A:F,6,FALSE)</f>
        <v>3</v>
      </c>
      <c r="AL74" s="125"/>
      <c r="AM74" s="483" t="str">
        <f>IF(Tableau1[[#This Row],[Name PFI/CDD]]="","-",VLOOKUP(Tableau1[[#This Row],[Name PFI/CDD]],Plant_AILN!I:J,2,FALSE))</f>
        <v>-</v>
      </c>
      <c r="AN7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4" s="2">
        <f ca="1">VLOOKUP(Tableau1[[#This Row],[Key(POD -PFI- Usine)]],'DATA Consignee'!A:J,10,FALSE)</f>
        <v>0</v>
      </c>
      <c r="AQ74" s="50">
        <f ca="1">VLOOKUP(Tableau1[[#This Row],[Key(POD -PFI- Usine)]],'DATA Consignee'!A:N,14,FALSE)</f>
        <v>8</v>
      </c>
      <c r="AR7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7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15</v>
      </c>
      <c r="AT74" s="50">
        <f ca="1">Tableau1[[#This Row],[Transit time]]+Tableau1[[#This Row],[Time for security]]+Tableau1[[#This Row],[Time for security2 buffer]]</f>
        <v>69</v>
      </c>
      <c r="AU7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74" s="389">
        <f ca="1">Tableau1[[#This Row],[Leadtime SI2C]]+Tableau1[[#This Row],[First Receipt Days]]-Tableau1[[#This Row],[Day Customer Order]]+1</f>
        <v>113</v>
      </c>
      <c r="AW74" s="117">
        <f ca="1">IF(Tableau1[[#This Row],[Name ILN]]&lt;&gt;"SFK Freight Forwarder",Tableau1[[#This Row],[Cust. Leadtime]],Tableau1[[#This Row],[Leadtime SI2C]])</f>
        <v>97</v>
      </c>
      <c r="AX74" s="51" t="str">
        <f>VLOOKUP(Tableau1[[#This Row],[ID]],'DATA BTO'!B:P,15,FALSE)</f>
        <v>Nissan &gt; Renault</v>
      </c>
      <c r="AY74" s="328">
        <f ca="1">IFERROR(VLOOKUP(Tableau1[[#This Row],[Key(ID-Actif)]],'DATA BTO'!A:N,4,FALSE),VLOOKUP(Tableau1[[#This Row],[ID]],'DATA BTO'!B:N,3,FALSE))</f>
        <v>46142</v>
      </c>
      <c r="AZ74" s="50" t="str">
        <f>IF(ISNUMBER(Tableau1[[#This Row],[Day Customer Order]]),"-","Please Check 'Name' information in 'Order' Sheet to make sure they have information")</f>
        <v>-</v>
      </c>
      <c r="BA7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4" s="50"/>
    </row>
    <row r="75" spans="2:57">
      <c r="B75" s="447" t="str">
        <f>_xlfn.CONCAT(Tableau1[[#This Row],[Name ILN]],"-",Tableau1[[#This Row],[Name Shipper]],"-",Tableau1[[#This Row],[Name Site]])</f>
        <v>SFK Freight Forwarder-Jatco Japon-VALL MONTAGE</v>
      </c>
      <c r="C75" s="65" t="str">
        <f ca="1">_xlfn.CONCAT(Tableau1[[#This Row],[Compte ILN]],"-",Tableau1[[#This Row],[Compte Shipper]],"-",Tableau1[[#This Row],[POL]],"-",Tableau1[[#This Row],[Compte Consignee]])</f>
        <v>0-119640-JPSMZ-91017300</v>
      </c>
      <c r="D75" s="64" t="str">
        <f ca="1">_xlfn.CONCAT(Tableau1[[#This Row],[Compte ILN]],"-",Tableau1[[#This Row],[Compte Shipper]],"-",Tableau1[[#This Row],[POL]])</f>
        <v>0-119640-JPSMZ</v>
      </c>
      <c r="E75" s="396" t="str">
        <f ca="1">_xlfn.CONCAT(Tableau1[[#This Row],[POL]],"-",Tableau1[[#This Row],[Carrier]],"-",Tableau1[[#This Row],[POD]])</f>
        <v>JPSMZ-CMA-CGM-ESVLC</v>
      </c>
      <c r="F75" s="64" t="str">
        <f>_xlfn.CONCAT(Tableau1[[#This Row],[ID]],"-","Actif")</f>
        <v>1034-Actif</v>
      </c>
      <c r="G75" s="64" t="str">
        <f ca="1">_xlfn.CONCAT(Tableau1[[#This Row],[POD]],"-",Tableau1[[#This Row],[Code PFI]],"-",Tableau1[[#This Row],[Compte Consignee]])</f>
        <v>ESVLC-91018400-91017300</v>
      </c>
      <c r="H75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119640JPSMZVALL MONTAGE</v>
      </c>
      <c r="I7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VALL MONTAGE-SFK Freight Forwarder-Jatco Japon-1034-JPSMZ-CMA-CGM-ESVLC-CDD VLL</v>
      </c>
      <c r="J75" s="397" t="str">
        <f ca="1">IF(COUNTIF(I:I,Tableau1[[#This Row],[Plant-ILN-shipper-POL-Carrier-POD-PFI]])=1,"Non","Oui")</f>
        <v>Non</v>
      </c>
      <c r="K75" s="126" t="str">
        <f>VLOOKUP(Tableau1[[#This Row],[Name Site]],Plant_AILN!A:D,4,FALSE)</f>
        <v>SPAIN</v>
      </c>
      <c r="L75" s="363" t="s">
        <v>172</v>
      </c>
      <c r="M75" s="480">
        <f>VLOOKUP(Tableau1[[#This Row],[Name Site]],Plant_AILN!A:C,3,FALSE)</f>
        <v>91017300</v>
      </c>
      <c r="N75" s="55">
        <f>VLOOKUP(Tableau1[[#This Row],[Compte Consignee]],Order!C:D,2,FALSE)</f>
        <v>7</v>
      </c>
      <c r="O75" s="114" t="s">
        <v>150</v>
      </c>
      <c r="P75" s="481">
        <f>VLOOKUP(Tableau1[[#This Row],[Name ILN]],Plant_AILN!F:G,2,FALSE)</f>
        <v>0</v>
      </c>
      <c r="Q75" s="50">
        <f>VLOOKUP(Tableau1[[#This Row],[Compte ILN]],'DATA ILN'!D:I,6,FALSE)</f>
        <v>9</v>
      </c>
      <c r="R75" s="50">
        <f ca="1">IFERROR(VLOOKUP(Tableau1[[#This Row],[Key(Compte ILN - shipper - POL - plant)]],'DATA ILN'!A:J,10,FALSE),VLOOKUP(Tableau1[[#This Row],[Key(Compte ILN - shipper - POL)]],'DATA ILN'!B:J,9,FALSE))</f>
        <v>14</v>
      </c>
      <c r="S75" s="50">
        <f ca="1">IFERROR(VLOOKUP(Tableau1[[#This Row],[Key(Compte ILN - shipper - POL - plant)]],'DATA ILN'!A:K,11,FALSE),VLOOKUP(Tableau1[[#This Row],[Key(Compte ILN - shipper - POL)]],'DATA ILN'!B:K,10,FALSE))</f>
        <v>5</v>
      </c>
      <c r="T75" s="50">
        <f ca="1">IFERROR(VLOOKUP(Tableau1[[#This Row],[Key(Compte ILN - shipper - POL - plant)]],'DATA ILN'!A:L,12,FALSE),VLOOKUP(Tableau1[[#This Row],[Key(Compte ILN - shipper - POL)]],'DATA ILN'!B:L,11,FALSE))</f>
        <v>7</v>
      </c>
      <c r="U75" s="50">
        <f ca="1">Tableau1[[#This Row],[Day ILN Order]]+Tableau1[[#This Row],[Delivery time to ILN/Shipper]]-1</f>
        <v>22</v>
      </c>
      <c r="V75" s="50">
        <f ca="1">IFERROR(VLOOKUP(Tableau1[[#This Row],[Key(Compte ILN - shipper - POL - plant)]],'DATA ILN'!A:N,14,FALSE),VLOOKUP(Tableau1[[#This Row],[Key(Compte ILN - shipper - POL)]],'DATA ILN'!B:N,13,FALSE))</f>
        <v>1</v>
      </c>
      <c r="W75" s="53">
        <f ca="1">IFERROR(VLOOKUP(Tableau1[[#This Row],[Key(Compte ILN - shipper - POL - plant)]],'DATA ILN'!A:P,16,FALSE),VLOOKUP(Tableau1[[#This Row],[Key(Compte ILN - shipper - POL)]],'DATA ILN'!B:P,15,FALSE))</f>
        <v>3</v>
      </c>
      <c r="X75" s="283" t="s">
        <v>177</v>
      </c>
      <c r="Y75" s="482">
        <f>IFERROR(VLOOKUP(Tableau1[[#This Row],[Name Shipper]],Plant_AILN!L:M,2,FALSE),0)</f>
        <v>119640</v>
      </c>
      <c r="Z75" s="358">
        <v>1034</v>
      </c>
      <c r="AA75" s="353" t="str">
        <f ca="1">VLOOKUP(Tableau1[[#This Row],[Key(ID-Actif)]],'DATA BTO'!A:N,5,FALSE)</f>
        <v>JPSMZ</v>
      </c>
      <c r="AB75" s="3" t="str">
        <f ca="1">VLOOKUP(Tableau1[[#This Row],[Key(ID-Actif)]],'DATA BTO'!A:N,6,FALSE)</f>
        <v>CMA-CGM</v>
      </c>
      <c r="AC75" s="50">
        <f ca="1">VLOOKUP(Tableau1[[#This Row],[Key(ID-Actif)]],'DATA BTO'!A:N,7,FALSE)</f>
        <v>2</v>
      </c>
      <c r="AD75" s="50">
        <f ca="1">VLOOKUP(Tableau1[[#This Row],[Key(ID-Actif)]],'DATA BTO'!A:N,8,FALSE)</f>
        <v>4</v>
      </c>
      <c r="AE75" s="50">
        <f ca="1">IF(Tableau1[[#This Row],[First Day to POL]]&lt;=Tableau1[[#This Row],[Day Cut Off]],Tableau1[[#This Row],[Day ETD]],Tableau1[[#This Row],[Day ETD]]+7)</f>
        <v>11</v>
      </c>
      <c r="AF75" s="50">
        <f ca="1">VLOOKUP(Tableau1[[#This Row],[Key(ID-Actif)]],'DATA BTO'!A:N,9,FALSE)</f>
        <v>52</v>
      </c>
      <c r="AG75" s="3" t="str">
        <f ca="1">VLOOKUP(Tableau1[[#This Row],[Key(ID-Actif)]],'DATA BTO'!A:N,10,FALSE)</f>
        <v>ESVLC</v>
      </c>
      <c r="AH75" s="3">
        <f ca="1">VLOOKUP(Tableau1[[#This Row],[Key(ID-Actif)]],'DATA BTO'!A:N,11,FALSE)</f>
        <v>3</v>
      </c>
      <c r="AI75" s="50">
        <f ca="1">VLOOKUP(Tableau1[[#This Row],[Key(ID-Actif)]],'DATA BTO'!A:N,12,FALSE)</f>
        <v>0</v>
      </c>
      <c r="AJ75" s="53" t="str">
        <f ca="1">VLOOKUP(Tableau1[[#This Row],[Key(ID-Actif)]],'DATA BTO'!A:N,14,FALSE)</f>
        <v>Max</v>
      </c>
      <c r="AK75" s="54">
        <f ca="1">VLOOKUP(Tableau1[[#This Row],[Key(POD -PFI- Usine)]],'DATA Consignee'!A:F,6,FALSE)</f>
        <v>2</v>
      </c>
      <c r="AL75" s="125" t="s">
        <v>166</v>
      </c>
      <c r="AM75" s="483">
        <f>IF(Tableau1[[#This Row],[Name PFI/CDD]]="","-",VLOOKUP(Tableau1[[#This Row],[Name PFI/CDD]],Plant_AILN!I:J,2,FALSE))</f>
        <v>91018400</v>
      </c>
      <c r="AN75" s="6">
        <f ca="1">IF(COUNTIF(buffer_train[AILN],Tableau1[[#This Row],[Name PFI/CDD]])&gt;0,Tableau1[[#This Row],[First Receipt Days]]+Tableau1[[#This Row],[Cust.]]+Tableau1[[#This Row],[Parts Vanning]]+Tableau1[[#This Row],[Transit Time2]],"-")</f>
        <v>95</v>
      </c>
      <c r="AO75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4</v>
      </c>
      <c r="AP75" s="2">
        <f ca="1">VLOOKUP(Tableau1[[#This Row],[Key(POD -PFI- Usine)]],'DATA Consignee'!A:J,10,FALSE)</f>
        <v>3</v>
      </c>
      <c r="AQ75" s="50">
        <f ca="1">VLOOKUP(Tableau1[[#This Row],[Key(POD -PFI- Usine)]],'DATA Consignee'!A:N,14,FALSE)</f>
        <v>3</v>
      </c>
      <c r="AR7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7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75" s="50">
        <f ca="1">Tableau1[[#This Row],[Transit time]]+Tableau1[[#This Row],[Time for security]]+Tableau1[[#This Row],[Time for security2 buffer]]</f>
        <v>55</v>
      </c>
      <c r="AU7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83</v>
      </c>
      <c r="AV75" s="389">
        <f ca="1">Tableau1[[#This Row],[Leadtime SI2C]]+Tableau1[[#This Row],[First Receipt Days]]-Tableau1[[#This Row],[Day Customer Order]]+1</f>
        <v>99</v>
      </c>
      <c r="AW75" s="117">
        <f ca="1">IF(Tableau1[[#This Row],[Name ILN]]&lt;&gt;"SFK Freight Forwarder",Tableau1[[#This Row],[Cust. Leadtime]],Tableau1[[#This Row],[Leadtime SI2C]])</f>
        <v>83</v>
      </c>
      <c r="AX75" s="51" t="str">
        <f>VLOOKUP(Tableau1[[#This Row],[ID]],'DATA BTO'!B:P,15,FALSE)</f>
        <v>Nissan &gt; Renault</v>
      </c>
      <c r="AY75" s="328">
        <f ca="1">IFERROR(VLOOKUP(Tableau1[[#This Row],[Key(ID-Actif)]],'DATA BTO'!A:N,4,FALSE),VLOOKUP(Tableau1[[#This Row],[ID]],'DATA BTO'!B:N,3,FALSE))</f>
        <v>46142</v>
      </c>
      <c r="AZ75" s="50" t="str">
        <f>IF(ISNUMBER(Tableau1[[#This Row],[Day Customer Order]]),"-","Please Check 'Name' information in 'Order' Sheet to make sure they have information")</f>
        <v>-</v>
      </c>
      <c r="BA7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5" s="50"/>
    </row>
    <row r="76" spans="2:57">
      <c r="B76" s="447" t="str">
        <f>_xlfn.CONCAT(Tableau1[[#This Row],[Name ILN]],"-",Tableau1[[#This Row],[Name Shipper]],"-",Tableau1[[#This Row],[Name Site]])</f>
        <v>SFK Freight Forwarder-Jatco Mexique-PALENCIA</v>
      </c>
      <c r="C76" s="65" t="str">
        <f ca="1">_xlfn.CONCAT(Tableau1[[#This Row],[Compte ILN]],"-",Tableau1[[#This Row],[Compte Shipper]],"-",Tableau1[[#This Row],[POL]],"-",Tableau1[[#This Row],[Compte Consignee]])</f>
        <v>0-261427-MXATM-91017200</v>
      </c>
      <c r="D76" s="64" t="str">
        <f ca="1">_xlfn.CONCAT(Tableau1[[#This Row],[Compte ILN]],"-",Tableau1[[#This Row],[Compte Shipper]],"-",Tableau1[[#This Row],[POL]])</f>
        <v>0-261427-MXATM</v>
      </c>
      <c r="E76" s="396" t="str">
        <f ca="1">_xlfn.CONCAT(Tableau1[[#This Row],[POL]],"-",Tableau1[[#This Row],[Carrier]],"-",Tableau1[[#This Row],[POD]])</f>
        <v>MXATM-Hapag Lloyd-ESVLC</v>
      </c>
      <c r="F76" s="64" t="str">
        <f>_xlfn.CONCAT(Tableau1[[#This Row],[ID]],"-","Actif")</f>
        <v>1036-Actif</v>
      </c>
      <c r="G76" s="64" t="str">
        <f ca="1">_xlfn.CONCAT(Tableau1[[#This Row],[POD]],"-",Tableau1[[#This Row],[Code PFI]],"-",Tableau1[[#This Row],[Compte Consignee]])</f>
        <v>ESVLC-91018400-91017200</v>
      </c>
      <c r="H76" s="396" t="str">
        <f ca="1">_xlfn.CONCAT(IF(Tableau1[[#This Row],[Name ILN]]=Tableau1[[#This Row],[Name Shipper]],Tableau1[[#This Row],[Name ILN]],Tableau1[[#This Row],[Compte Shipper]]),Tableau1[[#This Row],[POL]],Tableau1[[#This Row],[Name Site]])</f>
        <v>261427MXATMPALENCIA</v>
      </c>
      <c r="I7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PALENCIA-SFK Freight Forwarder-Jatco Mexique-1036-MXATM-Hapag Lloyd-ESVLC-CDD VLL</v>
      </c>
      <c r="J76" s="397" t="str">
        <f ca="1">IF(COUNTIF(I:I,Tableau1[[#This Row],[Plant-ILN-shipper-POL-Carrier-POD-PFI]])=1,"Non","Oui")</f>
        <v>Non</v>
      </c>
      <c r="K76" s="126" t="str">
        <f>VLOOKUP(Tableau1[[#This Row],[Name Site]],Plant_AILN!A:D,4,FALSE)</f>
        <v>SPAIN</v>
      </c>
      <c r="L76" s="363" t="s">
        <v>175</v>
      </c>
      <c r="M76" s="480">
        <f>VLOOKUP(Tableau1[[#This Row],[Name Site]],Plant_AILN!A:C,3,FALSE)</f>
        <v>91017200</v>
      </c>
      <c r="N76" s="55">
        <f>VLOOKUP(Tableau1[[#This Row],[Compte Consignee]],Order!C:D,2,FALSE)</f>
        <v>7</v>
      </c>
      <c r="O76" s="114" t="s">
        <v>150</v>
      </c>
      <c r="P76" s="481">
        <f>VLOOKUP(Tableau1[[#This Row],[Name ILN]],Plant_AILN!F:G,2,FALSE)</f>
        <v>0</v>
      </c>
      <c r="Q76" s="50">
        <f>VLOOKUP(Tableau1[[#This Row],[Compte ILN]],'DATA ILN'!D:I,6,FALSE)</f>
        <v>9</v>
      </c>
      <c r="R76" s="50">
        <f ca="1">IFERROR(VLOOKUP(Tableau1[[#This Row],[Key(Compte ILN - shipper - POL - plant)]],'DATA ILN'!A:J,10,FALSE),VLOOKUP(Tableau1[[#This Row],[Key(Compte ILN - shipper - POL)]],'DATA ILN'!B:J,9,FALSE))</f>
        <v>14</v>
      </c>
      <c r="S76" s="50">
        <f ca="1">IFERROR(VLOOKUP(Tableau1[[#This Row],[Key(Compte ILN - shipper - POL - plant)]],'DATA ILN'!A:K,11,FALSE),VLOOKUP(Tableau1[[#This Row],[Key(Compte ILN - shipper - POL)]],'DATA ILN'!B:K,10,FALSE))</f>
        <v>5</v>
      </c>
      <c r="T76" s="50">
        <f ca="1">IFERROR(VLOOKUP(Tableau1[[#This Row],[Key(Compte ILN - shipper - POL - plant)]],'DATA ILN'!A:L,12,FALSE),VLOOKUP(Tableau1[[#This Row],[Key(Compte ILN - shipper - POL)]],'DATA ILN'!B:L,11,FALSE))</f>
        <v>7</v>
      </c>
      <c r="U76" s="50">
        <f ca="1">Tableau1[[#This Row],[Day ILN Order]]+Tableau1[[#This Row],[Delivery time to ILN/Shipper]]-1</f>
        <v>22</v>
      </c>
      <c r="V76" s="50">
        <f ca="1">IFERROR(VLOOKUP(Tableau1[[#This Row],[Key(Compte ILN - shipper - POL - plant)]],'DATA ILN'!A:N,14,FALSE),VLOOKUP(Tableau1[[#This Row],[Key(Compte ILN - shipper - POL)]],'DATA ILN'!B:N,13,FALSE))</f>
        <v>2</v>
      </c>
      <c r="W76" s="53">
        <f ca="1">IFERROR(VLOOKUP(Tableau1[[#This Row],[Key(Compte ILN - shipper - POL - plant)]],'DATA ILN'!A:P,16,FALSE),VLOOKUP(Tableau1[[#This Row],[Key(Compte ILN - shipper - POL)]],'DATA ILN'!B:P,15,FALSE))</f>
        <v>5</v>
      </c>
      <c r="X76" s="283" t="s">
        <v>173</v>
      </c>
      <c r="Y76" s="482">
        <f>IFERROR(VLOOKUP(Tableau1[[#This Row],[Name Shipper]],Plant_AILN!L:M,2,FALSE),0)</f>
        <v>261427</v>
      </c>
      <c r="Z76" s="358">
        <v>1036</v>
      </c>
      <c r="AA76" s="353" t="str">
        <f ca="1">VLOOKUP(Tableau1[[#This Row],[Key(ID-Actif)]],'DATA BTO'!A:N,5,FALSE)</f>
        <v>MXATM</v>
      </c>
      <c r="AB76" s="3" t="str">
        <f ca="1">VLOOKUP(Tableau1[[#This Row],[Key(ID-Actif)]],'DATA BTO'!A:N,6,FALSE)</f>
        <v>Hapag Lloyd</v>
      </c>
      <c r="AC76" s="50">
        <f ca="1">VLOOKUP(Tableau1[[#This Row],[Key(ID-Actif)]],'DATA BTO'!A:N,7,FALSE)</f>
        <v>3</v>
      </c>
      <c r="AD76" s="50">
        <f ca="1">VLOOKUP(Tableau1[[#This Row],[Key(ID-Actif)]],'DATA BTO'!A:N,8,FALSE)</f>
        <v>5</v>
      </c>
      <c r="AE76" s="50">
        <f ca="1">IF(Tableau1[[#This Row],[First Day to POL]]&lt;=Tableau1[[#This Row],[Day Cut Off]],Tableau1[[#This Row],[Day ETD]],Tableau1[[#This Row],[Day ETD]]+7)</f>
        <v>12</v>
      </c>
      <c r="AF76" s="50">
        <f ca="1">VLOOKUP(Tableau1[[#This Row],[Key(ID-Actif)]],'DATA BTO'!A:N,9,FALSE)</f>
        <v>28</v>
      </c>
      <c r="AG76" s="3" t="str">
        <f ca="1">VLOOKUP(Tableau1[[#This Row],[Key(ID-Actif)]],'DATA BTO'!A:N,10,FALSE)</f>
        <v>ESVLC</v>
      </c>
      <c r="AH76" s="3">
        <f ca="1">VLOOKUP(Tableau1[[#This Row],[Key(ID-Actif)]],'DATA BTO'!A:N,11,FALSE)</f>
        <v>3</v>
      </c>
      <c r="AI76" s="50">
        <f ca="1">VLOOKUP(Tableau1[[#This Row],[Key(ID-Actif)]],'DATA BTO'!A:N,12,FALSE)</f>
        <v>0</v>
      </c>
      <c r="AJ76" s="53" t="str">
        <f ca="1">VLOOKUP(Tableau1[[#This Row],[Key(ID-Actif)]],'DATA BTO'!A:N,14,FALSE)</f>
        <v>Max</v>
      </c>
      <c r="AK76" s="54">
        <f ca="1">VLOOKUP(Tableau1[[#This Row],[Key(POD -PFI- Usine)]],'DATA Consignee'!A:F,6,FALSE)</f>
        <v>2</v>
      </c>
      <c r="AL76" s="125" t="s">
        <v>166</v>
      </c>
      <c r="AM76" s="483">
        <f>IF(Tableau1[[#This Row],[Name PFI/CDD]]="","-",VLOOKUP(Tableau1[[#This Row],[Name PFI/CDD]],Plant_AILN!I:J,2,FALSE))</f>
        <v>91018400</v>
      </c>
      <c r="AN76" s="6">
        <f ca="1">IF(COUNTIF(buffer_train[AILN],Tableau1[[#This Row],[Name PFI/CDD]])&gt;0,Tableau1[[#This Row],[First Receipt Days]]+Tableau1[[#This Row],[Cust.]]+Tableau1[[#This Row],[Parts Vanning]]+Tableau1[[#This Row],[Transit Time2]],"-")</f>
        <v>72</v>
      </c>
      <c r="AO76" s="6">
        <f ca="1"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6</v>
      </c>
      <c r="AP76" s="2">
        <f ca="1">VLOOKUP(Tableau1[[#This Row],[Key(POD -PFI- Usine)]],'DATA Consignee'!A:J,10,FALSE)</f>
        <v>3</v>
      </c>
      <c r="AQ76" s="50">
        <f ca="1">VLOOKUP(Tableau1[[#This Row],[Key(POD -PFI- Usine)]],'DATA Consignee'!A:N,14,FALSE)</f>
        <v>2</v>
      </c>
      <c r="AR7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7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76" s="50">
        <f ca="1">Tableau1[[#This Row],[Transit time]]+Tableau1[[#This Row],[Time for security]]+Tableau1[[#This Row],[Time for security2 buffer]]</f>
        <v>31</v>
      </c>
      <c r="AU7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76" s="389">
        <f ca="1">Tableau1[[#This Row],[Leadtime SI2C]]+Tableau1[[#This Row],[First Receipt Days]]-Tableau1[[#This Row],[Day Customer Order]]+1</f>
        <v>78</v>
      </c>
      <c r="AW76" s="117">
        <f ca="1">IF(Tableau1[[#This Row],[Name ILN]]&lt;&gt;"SFK Freight Forwarder",Tableau1[[#This Row],[Cust. Leadtime]],Tableau1[[#This Row],[Leadtime SI2C]])</f>
        <v>62</v>
      </c>
      <c r="AX76" s="51" t="str">
        <f>VLOOKUP(Tableau1[[#This Row],[ID]],'DATA BTO'!B:P,15,FALSE)</f>
        <v>Nissan &gt; Renault</v>
      </c>
      <c r="AY76" s="328">
        <f ca="1">IFERROR(VLOOKUP(Tableau1[[#This Row],[Key(ID-Actif)]],'DATA BTO'!A:N,4,FALSE),VLOOKUP(Tableau1[[#This Row],[ID]],'DATA BTO'!B:N,3,FALSE))</f>
        <v>46142</v>
      </c>
      <c r="AZ76" s="50" t="str">
        <f>IF(ISNUMBER(Tableau1[[#This Row],[Day Customer Order]]),"-","Please Check 'Name' information in 'Order' Sheet to make sure they have information")</f>
        <v>-</v>
      </c>
      <c r="BA7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6" s="50"/>
    </row>
    <row r="77" spans="2:57">
      <c r="B77" s="447" t="str">
        <f>_xlfn.CONCAT(Tableau1[[#This Row],[Name ILN]],"-",Tableau1[[#This Row],[Name Shipper]],"-",Tableau1[[#This Row],[Name Site]])</f>
        <v>SFK Freight Forwarder-Jatco Japon-CORDOBA</v>
      </c>
      <c r="C77" s="65" t="str">
        <f ca="1">_xlfn.CONCAT(Tableau1[[#This Row],[Compte ILN]],"-",Tableau1[[#This Row],[Compte Shipper]],"-",Tableau1[[#This Row],[POL]],"-",Tableau1[[#This Row],[Compte Consignee]])</f>
        <v>0-119640-JPSMZ-90016000</v>
      </c>
      <c r="D77" s="64" t="str">
        <f ca="1">_xlfn.CONCAT(Tableau1[[#This Row],[Compte ILN]],"-",Tableau1[[#This Row],[Compte Shipper]],"-",Tableau1[[#This Row],[POL]])</f>
        <v>0-119640-JPSMZ</v>
      </c>
      <c r="E77" s="396" t="str">
        <f ca="1">_xlfn.CONCAT(Tableau1[[#This Row],[POL]],"-",Tableau1[[#This Row],[Carrier]],"-",Tableau1[[#This Row],[POD]])</f>
        <v>JPSMZ-CMA-CGM-ARBUE</v>
      </c>
      <c r="F77" s="64" t="str">
        <f>_xlfn.CONCAT(Tableau1[[#This Row],[ID]],"-","Actif")</f>
        <v>1037-Actif</v>
      </c>
      <c r="G77" s="64" t="str">
        <f ca="1">_xlfn.CONCAT(Tableau1[[#This Row],[POD]],"-",Tableau1[[#This Row],[Code PFI]],"-",Tableau1[[#This Row],[Compte Consignee]])</f>
        <v>ARBUE---90016000</v>
      </c>
      <c r="H77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119640JPSMZCORDOBA</v>
      </c>
      <c r="I7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CORDOBA-SFK Freight Forwarder-Jatco Japon-1037-JPSMZ-CMA-CGM-ARBUE-</v>
      </c>
      <c r="J77" s="397" t="str">
        <f ca="1">IF(COUNTIF(I:I,Tableau1[[#This Row],[Plant-ILN-shipper-POL-Carrier-POD-PFI]])=1,"Non","Oui")</f>
        <v>Non</v>
      </c>
      <c r="K77" s="126" t="str">
        <f>VLOOKUP(Tableau1[[#This Row],[Name Site]],Plant_AILN!A:D,4,FALSE)</f>
        <v>ARGENTINA</v>
      </c>
      <c r="L77" s="363" t="s">
        <v>169</v>
      </c>
      <c r="M77" s="480">
        <f>VLOOKUP(Tableau1[[#This Row],[Name Site]],Plant_AILN!A:C,3,FALSE)</f>
        <v>90016000</v>
      </c>
      <c r="N77" s="55">
        <f>VLOOKUP(Tableau1[[#This Row],[Compte Consignee]],Order!C:D,2,FALSE)</f>
        <v>7</v>
      </c>
      <c r="O77" s="114" t="s">
        <v>150</v>
      </c>
      <c r="P77" s="481">
        <f>VLOOKUP(Tableau1[[#This Row],[Name ILN]],Plant_AILN!F:G,2,FALSE)</f>
        <v>0</v>
      </c>
      <c r="Q77" s="50">
        <f>VLOOKUP(Tableau1[[#This Row],[Compte ILN]],'DATA ILN'!D:I,6,FALSE)</f>
        <v>9</v>
      </c>
      <c r="R77" s="50">
        <f ca="1">IFERROR(VLOOKUP(Tableau1[[#This Row],[Key(Compte ILN - shipper - POL - plant)]],'DATA ILN'!A:J,10,FALSE),VLOOKUP(Tableau1[[#This Row],[Key(Compte ILN - shipper - POL)]],'DATA ILN'!B:J,9,FALSE))</f>
        <v>14</v>
      </c>
      <c r="S77" s="50">
        <f ca="1">IFERROR(VLOOKUP(Tableau1[[#This Row],[Key(Compte ILN - shipper - POL - plant)]],'DATA ILN'!A:K,11,FALSE),VLOOKUP(Tableau1[[#This Row],[Key(Compte ILN - shipper - POL)]],'DATA ILN'!B:K,10,FALSE))</f>
        <v>5</v>
      </c>
      <c r="T77" s="50">
        <f ca="1">IFERROR(VLOOKUP(Tableau1[[#This Row],[Key(Compte ILN - shipper - POL - plant)]],'DATA ILN'!A:L,12,FALSE),VLOOKUP(Tableau1[[#This Row],[Key(Compte ILN - shipper - POL)]],'DATA ILN'!B:L,11,FALSE))</f>
        <v>7</v>
      </c>
      <c r="U77" s="50">
        <f ca="1">Tableau1[[#This Row],[Day ILN Order]]+Tableau1[[#This Row],[Delivery time to ILN/Shipper]]-1</f>
        <v>22</v>
      </c>
      <c r="V77" s="50">
        <f ca="1">IFERROR(VLOOKUP(Tableau1[[#This Row],[Key(Compte ILN - shipper - POL - plant)]],'DATA ILN'!A:N,14,FALSE),VLOOKUP(Tableau1[[#This Row],[Key(Compte ILN - shipper - POL)]],'DATA ILN'!B:N,13,FALSE))</f>
        <v>1</v>
      </c>
      <c r="W77" s="53">
        <f ca="1">IFERROR(VLOOKUP(Tableau1[[#This Row],[Key(Compte ILN - shipper - POL - plant)]],'DATA ILN'!A:P,16,FALSE),VLOOKUP(Tableau1[[#This Row],[Key(Compte ILN - shipper - POL)]],'DATA ILN'!B:P,15,FALSE))</f>
        <v>3</v>
      </c>
      <c r="X77" s="283" t="s">
        <v>177</v>
      </c>
      <c r="Y77" s="482">
        <f>IFERROR(VLOOKUP(Tableau1[[#This Row],[Name Shipper]],Plant_AILN!L:M,2,FALSE),0)</f>
        <v>119640</v>
      </c>
      <c r="Z77" s="358">
        <v>1037</v>
      </c>
      <c r="AA77" s="353" t="str">
        <f ca="1">VLOOKUP(Tableau1[[#This Row],[Key(ID-Actif)]],'DATA BTO'!A:N,5,FALSE)</f>
        <v>JPSMZ</v>
      </c>
      <c r="AB77" s="3" t="str">
        <f ca="1">VLOOKUP(Tableau1[[#This Row],[Key(ID-Actif)]],'DATA BTO'!A:N,6,FALSE)</f>
        <v>CMA-CGM</v>
      </c>
      <c r="AC77" s="50">
        <f ca="1">VLOOKUP(Tableau1[[#This Row],[Key(ID-Actif)]],'DATA BTO'!A:N,7,FALSE)</f>
        <v>2</v>
      </c>
      <c r="AD77" s="50">
        <f ca="1">VLOOKUP(Tableau1[[#This Row],[Key(ID-Actif)]],'DATA BTO'!A:N,8,FALSE)</f>
        <v>4</v>
      </c>
      <c r="AE77" s="50">
        <f ca="1">IF(Tableau1[[#This Row],[First Day to POL]]&lt;=Tableau1[[#This Row],[Day Cut Off]],Tableau1[[#This Row],[Day ETD]],Tableau1[[#This Row],[Day ETD]]+7)</f>
        <v>11</v>
      </c>
      <c r="AF77" s="50">
        <f ca="1">VLOOKUP(Tableau1[[#This Row],[Key(ID-Actif)]],'DATA BTO'!A:N,9,FALSE)</f>
        <v>62</v>
      </c>
      <c r="AG77" s="3" t="str">
        <f ca="1">VLOOKUP(Tableau1[[#This Row],[Key(ID-Actif)]],'DATA BTO'!A:N,10,FALSE)</f>
        <v>ARBUE</v>
      </c>
      <c r="AH77" s="3">
        <f ca="1">VLOOKUP(Tableau1[[#This Row],[Key(ID-Actif)]],'DATA BTO'!A:N,11,FALSE)</f>
        <v>3</v>
      </c>
      <c r="AI77" s="50">
        <f ca="1">VLOOKUP(Tableau1[[#This Row],[Key(ID-Actif)]],'DATA BTO'!A:N,12,FALSE)</f>
        <v>7</v>
      </c>
      <c r="AJ77" s="53" t="str">
        <f ca="1">VLOOKUP(Tableau1[[#This Row],[Key(ID-Actif)]],'DATA BTO'!A:N,14,FALSE)</f>
        <v>Max</v>
      </c>
      <c r="AK77" s="54">
        <f ca="1">VLOOKUP(Tableau1[[#This Row],[Key(POD -PFI- Usine)]],'DATA Consignee'!A:F,6,FALSE)</f>
        <v>3</v>
      </c>
      <c r="AL77" s="125"/>
      <c r="AM77" s="483" t="str">
        <f>IF(Tableau1[[#This Row],[Name PFI/CDD]]="","-",VLOOKUP(Tableau1[[#This Row],[Name PFI/CDD]],Plant_AILN!I:J,2,FALSE))</f>
        <v>-</v>
      </c>
      <c r="AN7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7" s="2">
        <f ca="1">VLOOKUP(Tableau1[[#This Row],[Key(POD -PFI- Usine)]],'DATA Consignee'!A:J,10,FALSE)</f>
        <v>0</v>
      </c>
      <c r="AQ77" s="50">
        <f ca="1">VLOOKUP(Tableau1[[#This Row],[Key(POD -PFI- Usine)]],'DATA Consignee'!A:N,14,FALSE)</f>
        <v>3</v>
      </c>
      <c r="AR7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7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77" s="50">
        <f ca="1">Tableau1[[#This Row],[Transit time]]+Tableau1[[#This Row],[Time for security]]+Tableau1[[#This Row],[Time for security2 buffer]]</f>
        <v>72</v>
      </c>
      <c r="AU7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97</v>
      </c>
      <c r="AV77" s="389">
        <f ca="1">Tableau1[[#This Row],[Leadtime SI2C]]+Tableau1[[#This Row],[First Receipt Days]]-Tableau1[[#This Row],[Day Customer Order]]+1</f>
        <v>113</v>
      </c>
      <c r="AW77" s="117">
        <f ca="1">IF(Tableau1[[#This Row],[Name ILN]]&lt;&gt;"SFK Freight Forwarder",Tableau1[[#This Row],[Cust. Leadtime]],Tableau1[[#This Row],[Leadtime SI2C]])</f>
        <v>97</v>
      </c>
      <c r="AX77" s="51" t="str">
        <f>VLOOKUP(Tableau1[[#This Row],[ID]],'DATA BTO'!B:P,15,FALSE)</f>
        <v>Nissan &gt; Renault</v>
      </c>
      <c r="AY77" s="328">
        <f ca="1">IFERROR(VLOOKUP(Tableau1[[#This Row],[Key(ID-Actif)]],'DATA BTO'!A:N,4,FALSE),VLOOKUP(Tableau1[[#This Row],[ID]],'DATA BTO'!B:N,3,FALSE))</f>
        <v>46142</v>
      </c>
      <c r="AZ77" s="50" t="str">
        <f>IF(ISNUMBER(Tableau1[[#This Row],[Day Customer Order]]),"-","Please Check 'Name' information in 'Order' Sheet to make sure they have information")</f>
        <v>-</v>
      </c>
      <c r="BA7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7" s="50"/>
    </row>
    <row r="78" spans="2:57">
      <c r="B78" s="447" t="str">
        <f>_xlfn.CONCAT(Tableau1[[#This Row],[Name ILN]],"-",Tableau1[[#This Row],[Name Shipper]],"-",Tableau1[[#This Row],[Name Site]])</f>
        <v>ILN Chine -ILN Chine -DOUAI</v>
      </c>
      <c r="C78" s="65" t="str">
        <f ca="1">_xlfn.CONCAT(Tableau1[[#This Row],[Compte ILN]],"-",Tableau1[[#This Row],[Compte Shipper]],"-",Tableau1[[#This Row],[POL]],"-",Tableau1[[#This Row],[Compte Consignee]])</f>
        <v>222222-222222-CNSHA-90019100</v>
      </c>
      <c r="D78" s="64" t="str">
        <f ca="1">_xlfn.CONCAT(Tableau1[[#This Row],[Compte ILN]],"-",Tableau1[[#This Row],[Compte Shipper]],"-",Tableau1[[#This Row],[POL]])</f>
        <v>222222-222222-CNSHA</v>
      </c>
      <c r="E78" s="396" t="str">
        <f ca="1">_xlfn.CONCAT(Tableau1[[#This Row],[POL]],"-",Tableau1[[#This Row],[Carrier]],"-",Tableau1[[#This Row],[POD]])</f>
        <v>CNSHA-Evergreen-FRDKK</v>
      </c>
      <c r="F78" s="64" t="str">
        <f>_xlfn.CONCAT(Tableau1[[#This Row],[ID]],"-","Actif")</f>
        <v>1038-Actif</v>
      </c>
      <c r="G78" s="64" t="str">
        <f ca="1">_xlfn.CONCAT(Tableau1[[#This Row],[POD]],"-",Tableau1[[#This Row],[Code PFI]],"-",Tableau1[[#This Row],[Compte Consignee]])</f>
        <v>FRDKK---90019100</v>
      </c>
      <c r="H78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CNSHADOUAI</v>
      </c>
      <c r="I78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DOUAI-ILN Chine -ILN Chine -1038-CNSHA-Evergreen-FRDKK-</v>
      </c>
      <c r="J78" s="397" t="str">
        <f ca="1">IF(COUNTIF(I:I,Tableau1[[#This Row],[Plant-ILN-shipper-POL-Carrier-POD-PFI]])=1,"Non","Oui")</f>
        <v>Non</v>
      </c>
      <c r="K78" s="126" t="str">
        <f>VLOOKUP(Tableau1[[#This Row],[Name Site]],Plant_AILN!A:D,4,FALSE)</f>
        <v>FRANCE</v>
      </c>
      <c r="L78" s="363" t="s">
        <v>189</v>
      </c>
      <c r="M78" s="480">
        <f>VLOOKUP(Tableau1[[#This Row],[Name Site]],Plant_AILN!A:C,3,FALSE)</f>
        <v>90019100</v>
      </c>
      <c r="N78" s="55">
        <f>VLOOKUP(Tableau1[[#This Row],[Compte Consignee]],Order!C:D,2,FALSE)</f>
        <v>7</v>
      </c>
      <c r="O78" s="114" t="s">
        <v>183</v>
      </c>
      <c r="P78" s="481">
        <f>VLOOKUP(Tableau1[[#This Row],[Name ILN]],Plant_AILN!F:G,2,FALSE)</f>
        <v>222222</v>
      </c>
      <c r="Q78" s="50">
        <f>VLOOKUP(Tableau1[[#This Row],[Compte ILN]],'DATA ILN'!D:I,6,FALSE)</f>
        <v>9</v>
      </c>
      <c r="R78" s="50">
        <f ca="1">IFERROR(VLOOKUP(Tableau1[[#This Row],[Key(Compte ILN - shipper - POL - plant)]],'DATA ILN'!A:J,10,FALSE),VLOOKUP(Tableau1[[#This Row],[Key(Compte ILN - shipper - POL)]],'DATA ILN'!B:J,9,FALSE))</f>
        <v>21</v>
      </c>
      <c r="S78" s="50">
        <f ca="1">IFERROR(VLOOKUP(Tableau1[[#This Row],[Key(Compte ILN - shipper - POL - plant)]],'DATA ILN'!A:K,11,FALSE),VLOOKUP(Tableau1[[#This Row],[Key(Compte ILN - shipper - POL)]],'DATA ILN'!B:K,10,FALSE))</f>
        <v>5</v>
      </c>
      <c r="T78" s="50">
        <f ca="1">IFERROR(VLOOKUP(Tableau1[[#This Row],[Key(Compte ILN - shipper - POL - plant)]],'DATA ILN'!A:L,12,FALSE),VLOOKUP(Tableau1[[#This Row],[Key(Compte ILN - shipper - POL)]],'DATA ILN'!B:L,11,FALSE))</f>
        <v>7</v>
      </c>
      <c r="U78" s="50">
        <f ca="1">Tableau1[[#This Row],[Day ILN Order]]+Tableau1[[#This Row],[Delivery time to ILN/Shipper]]-1</f>
        <v>29</v>
      </c>
      <c r="V78" s="50">
        <f ca="1">IFERROR(VLOOKUP(Tableau1[[#This Row],[Key(Compte ILN - shipper - POL - plant)]],'DATA ILN'!A:N,14,FALSE),VLOOKUP(Tableau1[[#This Row],[Key(Compte ILN - shipper - POL)]],'DATA ILN'!B:N,13,FALSE))</f>
        <v>1</v>
      </c>
      <c r="W78" s="53">
        <f ca="1">IFERROR(VLOOKUP(Tableau1[[#This Row],[Key(Compte ILN - shipper - POL - plant)]],'DATA ILN'!A:P,16,FALSE),VLOOKUP(Tableau1[[#This Row],[Key(Compte ILN - shipper - POL)]],'DATA ILN'!B:P,15,FALSE))</f>
        <v>2</v>
      </c>
      <c r="X78" s="283" t="s">
        <v>183</v>
      </c>
      <c r="Y78" s="482">
        <f>IFERROR(VLOOKUP(Tableau1[[#This Row],[Name Shipper]],Plant_AILN!L:M,2,FALSE),0)</f>
        <v>222222</v>
      </c>
      <c r="Z78" s="358">
        <v>1038</v>
      </c>
      <c r="AA78" s="353" t="str">
        <f ca="1">VLOOKUP(Tableau1[[#This Row],[Key(ID-Actif)]],'DATA BTO'!A:N,5,FALSE)</f>
        <v>CNSHA</v>
      </c>
      <c r="AB78" s="3" t="str">
        <f ca="1">VLOOKUP(Tableau1[[#This Row],[Key(ID-Actif)]],'DATA BTO'!A:N,6,FALSE)</f>
        <v>Evergreen</v>
      </c>
      <c r="AC78" s="50">
        <f ca="1">VLOOKUP(Tableau1[[#This Row],[Key(ID-Actif)]],'DATA BTO'!A:N,7,FALSE)</f>
        <v>3</v>
      </c>
      <c r="AD78" s="50">
        <f ca="1">VLOOKUP(Tableau1[[#This Row],[Key(ID-Actif)]],'DATA BTO'!A:N,8,FALSE)</f>
        <v>5</v>
      </c>
      <c r="AE78" s="50">
        <f ca="1">IF(Tableau1[[#This Row],[First Day to POL]]&lt;=Tableau1[[#This Row],[Day Cut Off]],Tableau1[[#This Row],[Day ETD]],Tableau1[[#This Row],[Day ETD]]+7)</f>
        <v>5</v>
      </c>
      <c r="AF78" s="50">
        <f ca="1">VLOOKUP(Tableau1[[#This Row],[Key(ID-Actif)]],'DATA BTO'!A:N,9,FALSE)</f>
        <v>37</v>
      </c>
      <c r="AG78" s="3" t="str">
        <f ca="1">VLOOKUP(Tableau1[[#This Row],[Key(ID-Actif)]],'DATA BTO'!A:N,10,FALSE)</f>
        <v>FRDKK</v>
      </c>
      <c r="AH78" s="3">
        <f ca="1">VLOOKUP(Tableau1[[#This Row],[Key(ID-Actif)]],'DATA BTO'!A:N,11,FALSE)</f>
        <v>3</v>
      </c>
      <c r="AI78" s="50">
        <f ca="1">VLOOKUP(Tableau1[[#This Row],[Key(ID-Actif)]],'DATA BTO'!A:N,12,FALSE)</f>
        <v>0</v>
      </c>
      <c r="AJ78" s="53" t="str">
        <f ca="1">VLOOKUP(Tableau1[[#This Row],[Key(ID-Actif)]],'DATA BTO'!A:N,14,FALSE)</f>
        <v>Marc-Aurele</v>
      </c>
      <c r="AK78" s="54">
        <f ca="1">VLOOKUP(Tableau1[[#This Row],[Key(POD -PFI- Usine)]],'DATA Consignee'!A:F,6,FALSE)</f>
        <v>3</v>
      </c>
      <c r="AL78" s="125"/>
      <c r="AM78" s="483" t="str">
        <f>IF(Tableau1[[#This Row],[Name PFI/CDD]]="","-",VLOOKUP(Tableau1[[#This Row],[Name PFI/CDD]],Plant_AILN!I:J,2,FALSE))</f>
        <v>-</v>
      </c>
      <c r="AN7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8" s="2">
        <f ca="1">VLOOKUP(Tableau1[[#This Row],[Key(POD -PFI- Usine)]],'DATA Consignee'!A:J,10,FALSE)</f>
        <v>0</v>
      </c>
      <c r="AQ78" s="50">
        <f ca="1">VLOOKUP(Tableau1[[#This Row],[Key(POD -PFI- Usine)]],'DATA Consignee'!A:N,14,FALSE)</f>
        <v>2</v>
      </c>
      <c r="AR78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78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78" s="50">
        <f ca="1">Tableau1[[#This Row],[Transit time]]+Tableau1[[#This Row],[Time for security]]+Tableau1[[#This Row],[Time for security2 buffer]]</f>
        <v>40</v>
      </c>
      <c r="AU78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55</v>
      </c>
      <c r="AV78" s="389">
        <f ca="1">Tableau1[[#This Row],[Leadtime SI2C]]+Tableau1[[#This Row],[First Receipt Days]]-Tableau1[[#This Row],[Day Customer Order]]+1</f>
        <v>78</v>
      </c>
      <c r="AW78" s="117">
        <f ca="1">IF(Tableau1[[#This Row],[Name ILN]]&lt;&gt;"SFK Freight Forwarder",Tableau1[[#This Row],[Cust. Leadtime]],Tableau1[[#This Row],[Leadtime SI2C]])</f>
        <v>78</v>
      </c>
      <c r="AX78" s="51" t="str">
        <f>VLOOKUP(Tableau1[[#This Row],[ID]],'DATA BTO'!B:P,15,FALSE)</f>
        <v>Nissan &gt; Renault</v>
      </c>
      <c r="AY78" s="328">
        <f ca="1">IFERROR(VLOOKUP(Tableau1[[#This Row],[Key(ID-Actif)]],'DATA BTO'!A:N,4,FALSE),VLOOKUP(Tableau1[[#This Row],[ID]],'DATA BTO'!B:N,3,FALSE))</f>
        <v>46142</v>
      </c>
      <c r="AZ78" s="50" t="str">
        <f>IF(ISNUMBER(Tableau1[[#This Row],[Day Customer Order]]),"-","Please Check 'Name' information in 'Order' Sheet to make sure they have information")</f>
        <v>-</v>
      </c>
      <c r="BA78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8" s="50"/>
    </row>
    <row r="79" spans="2:57">
      <c r="B79" s="447" t="str">
        <f>_xlfn.CONCAT(Tableau1[[#This Row],[Name ILN]],"-",Tableau1[[#This Row],[Name Shipper]],"-",Tableau1[[#This Row],[Name Site]])</f>
        <v>SFK Freight Forwarder-Jatco Japon-CHENNAI Vehicule</v>
      </c>
      <c r="C79" s="65" t="str">
        <f ca="1">_xlfn.CONCAT(Tableau1[[#This Row],[Compte ILN]],"-",Tableau1[[#This Row],[Compte Shipper]],"-",Tableau1[[#This Row],[POL]],"-",Tableau1[[#This Row],[Compte Consignee]])</f>
        <v>0-119640-JPSMZ-26549502</v>
      </c>
      <c r="D79" s="64" t="str">
        <f ca="1">_xlfn.CONCAT(Tableau1[[#This Row],[Compte ILN]],"-",Tableau1[[#This Row],[Compte Shipper]],"-",Tableau1[[#This Row],[POL]])</f>
        <v>0-119640-JPSMZ</v>
      </c>
      <c r="E79" s="396" t="str">
        <f ca="1">_xlfn.CONCAT(Tableau1[[#This Row],[POL]],"-",Tableau1[[#This Row],[Carrier]],"-",Tableau1[[#This Row],[POD]])</f>
        <v>JPSMZ-ONE-INMAA</v>
      </c>
      <c r="F79" s="64" t="str">
        <f>_xlfn.CONCAT(Tableau1[[#This Row],[ID]],"-","Actif")</f>
        <v>1040-Actif</v>
      </c>
      <c r="G79" s="64" t="str">
        <f ca="1">_xlfn.CONCAT(Tableau1[[#This Row],[POD]],"-",Tableau1[[#This Row],[Code PFI]],"-",Tableau1[[#This Row],[Compte Consignee]])</f>
        <v>INMAA---26549502</v>
      </c>
      <c r="H79" s="396" t="str">
        <f ca="1">_xlfn.CONCAT(IF(Tableau1[[#This Row],[Name ILN]]=Tableau1[[#This Row],[Name Shipper]],Tableau1[[#This Row],[Name ILN]],Tableau1[[#This Row],[Compte Shipper]]),Tableau1[[#This Row],[POL]],Tableau1[[#This Row],[Name Site]])</f>
        <v>119640JPSMZCHENNAI Vehicule</v>
      </c>
      <c r="I79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CHENNAI Vehicule-SFK Freight Forwarder-Jatco Japon-1040-JPSMZ-ONE-INMAA-</v>
      </c>
      <c r="J79" s="397" t="str">
        <f ca="1">IF(COUNTIF(I:I,Tableau1[[#This Row],[Plant-ILN-shipper-POL-Carrier-POD-PFI]])=1,"Non","Oui")</f>
        <v>Non</v>
      </c>
      <c r="K79" s="126" t="str">
        <f>VLOOKUP(Tableau1[[#This Row],[Name Site]],Plant_AILN!A:D,4,FALSE)</f>
        <v>INDIA</v>
      </c>
      <c r="L79" s="363" t="s">
        <v>190</v>
      </c>
      <c r="M79" s="480">
        <f>VLOOKUP(Tableau1[[#This Row],[Name Site]],Plant_AILN!A:C,3,FALSE)</f>
        <v>26549502</v>
      </c>
      <c r="N79" s="55">
        <f>VLOOKUP(Tableau1[[#This Row],[Compte Consignee]],Order!C:D,2,FALSE)</f>
        <v>7</v>
      </c>
      <c r="O79" s="114" t="s">
        <v>150</v>
      </c>
      <c r="P79" s="481">
        <f>VLOOKUP(Tableau1[[#This Row],[Name ILN]],Plant_AILN!F:G,2,FALSE)</f>
        <v>0</v>
      </c>
      <c r="Q79" s="50">
        <f>VLOOKUP(Tableau1[[#This Row],[Compte ILN]],'DATA ILN'!D:I,6,FALSE)</f>
        <v>9</v>
      </c>
      <c r="R79" s="50">
        <f ca="1">IFERROR(VLOOKUP(Tableau1[[#This Row],[Key(Compte ILN - shipper - POL - plant)]],'DATA ILN'!A:J,10,FALSE),VLOOKUP(Tableau1[[#This Row],[Key(Compte ILN - shipper - POL)]],'DATA ILN'!B:J,9,FALSE))</f>
        <v>14</v>
      </c>
      <c r="S79" s="50">
        <f ca="1">IFERROR(VLOOKUP(Tableau1[[#This Row],[Key(Compte ILN - shipper - POL - plant)]],'DATA ILN'!A:K,11,FALSE),VLOOKUP(Tableau1[[#This Row],[Key(Compte ILN - shipper - POL)]],'DATA ILN'!B:K,10,FALSE))</f>
        <v>5</v>
      </c>
      <c r="T79" s="50">
        <f ca="1">IFERROR(VLOOKUP(Tableau1[[#This Row],[Key(Compte ILN - shipper - POL - plant)]],'DATA ILN'!A:L,12,FALSE),VLOOKUP(Tableau1[[#This Row],[Key(Compte ILN - shipper - POL)]],'DATA ILN'!B:L,11,FALSE))</f>
        <v>7</v>
      </c>
      <c r="U79" s="50">
        <f ca="1">Tableau1[[#This Row],[Day ILN Order]]+Tableau1[[#This Row],[Delivery time to ILN/Shipper]]-1</f>
        <v>22</v>
      </c>
      <c r="V79" s="50">
        <f ca="1">IFERROR(VLOOKUP(Tableau1[[#This Row],[Key(Compte ILN - shipper - POL - plant)]],'DATA ILN'!A:N,14,FALSE),VLOOKUP(Tableau1[[#This Row],[Key(Compte ILN - shipper - POL)]],'DATA ILN'!B:N,13,FALSE))</f>
        <v>1</v>
      </c>
      <c r="W79" s="53">
        <f ca="1">IFERROR(VLOOKUP(Tableau1[[#This Row],[Key(Compte ILN - shipper - POL - plant)]],'DATA ILN'!A:P,16,FALSE),VLOOKUP(Tableau1[[#This Row],[Key(Compte ILN - shipper - POL)]],'DATA ILN'!B:P,15,FALSE))</f>
        <v>3</v>
      </c>
      <c r="X79" s="283" t="s">
        <v>177</v>
      </c>
      <c r="Y79" s="482">
        <f>IFERROR(VLOOKUP(Tableau1[[#This Row],[Name Shipper]],Plant_AILN!L:M,2,FALSE),0)</f>
        <v>119640</v>
      </c>
      <c r="Z79" s="358">
        <v>1040</v>
      </c>
      <c r="AA79" s="353" t="str">
        <f ca="1">VLOOKUP(Tableau1[[#This Row],[Key(ID-Actif)]],'DATA BTO'!A:N,5,FALSE)</f>
        <v>JPSMZ</v>
      </c>
      <c r="AB79" s="3" t="str">
        <f ca="1">VLOOKUP(Tableau1[[#This Row],[Key(ID-Actif)]],'DATA BTO'!A:N,6,FALSE)</f>
        <v>ONE</v>
      </c>
      <c r="AC79" s="50">
        <f ca="1">VLOOKUP(Tableau1[[#This Row],[Key(ID-Actif)]],'DATA BTO'!A:N,7,FALSE)</f>
        <v>5</v>
      </c>
      <c r="AD79" s="50">
        <f ca="1">VLOOKUP(Tableau1[[#This Row],[Key(ID-Actif)]],'DATA BTO'!A:N,8,FALSE)</f>
        <v>11</v>
      </c>
      <c r="AE79" s="50">
        <f ca="1">IF(Tableau1[[#This Row],[First Day to POL]]&lt;=Tableau1[[#This Row],[Day Cut Off]],Tableau1[[#This Row],[Day ETD]],Tableau1[[#This Row],[Day ETD]]+7)</f>
        <v>11</v>
      </c>
      <c r="AF79" s="50">
        <f ca="1">VLOOKUP(Tableau1[[#This Row],[Key(ID-Actif)]],'DATA BTO'!A:N,9,FALSE)</f>
        <v>32</v>
      </c>
      <c r="AG79" s="3" t="str">
        <f ca="1">VLOOKUP(Tableau1[[#This Row],[Key(ID-Actif)]],'DATA BTO'!A:N,10,FALSE)</f>
        <v>INMAA</v>
      </c>
      <c r="AH79" s="3">
        <f ca="1">VLOOKUP(Tableau1[[#This Row],[Key(ID-Actif)]],'DATA BTO'!A:N,11,FALSE)</f>
        <v>3</v>
      </c>
      <c r="AI79" s="50">
        <f ca="1">VLOOKUP(Tableau1[[#This Row],[Key(ID-Actif)]],'DATA BTO'!A:N,12,FALSE)</f>
        <v>0</v>
      </c>
      <c r="AJ79" s="53" t="str">
        <f ca="1">VLOOKUP(Tableau1[[#This Row],[Key(ID-Actif)]],'DATA BTO'!A:N,14,FALSE)</f>
        <v>Max</v>
      </c>
      <c r="AK79" s="54">
        <f ca="1">VLOOKUP(Tableau1[[#This Row],[Key(POD -PFI- Usine)]],'DATA Consignee'!A:F,6,FALSE)</f>
        <v>6</v>
      </c>
      <c r="AL79" s="125"/>
      <c r="AM79" s="483" t="str">
        <f>IF(Tableau1[[#This Row],[Name PFI/CDD]]="","-",VLOOKUP(Tableau1[[#This Row],[Name PFI/CDD]],Plant_AILN!I:J,2,FALSE))</f>
        <v>-</v>
      </c>
      <c r="AN7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7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79" s="2">
        <f ca="1">VLOOKUP(Tableau1[[#This Row],[Key(POD -PFI- Usine)]],'DATA Consignee'!A:J,10,FALSE)</f>
        <v>0</v>
      </c>
      <c r="AQ79" s="50">
        <f ca="1">VLOOKUP(Tableau1[[#This Row],[Key(POD -PFI- Usine)]],'DATA Consignee'!A:N,14,FALSE)</f>
        <v>3</v>
      </c>
      <c r="AR79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2</v>
      </c>
      <c r="AS79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79" s="50">
        <f ca="1">Tableau1[[#This Row],[Transit time]]+Tableau1[[#This Row],[Time for security]]+Tableau1[[#This Row],[Time for security2 buffer]]</f>
        <v>35</v>
      </c>
      <c r="AU79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79" s="389">
        <f ca="1">Tableau1[[#This Row],[Leadtime SI2C]]+Tableau1[[#This Row],[First Receipt Days]]-Tableau1[[#This Row],[Day Customer Order]]+1</f>
        <v>78</v>
      </c>
      <c r="AW79" s="117">
        <f ca="1">IF(Tableau1[[#This Row],[Name ILN]]&lt;&gt;"SFK Freight Forwarder",Tableau1[[#This Row],[Cust. Leadtime]],Tableau1[[#This Row],[Leadtime SI2C]])</f>
        <v>62</v>
      </c>
      <c r="AX79" s="51" t="str">
        <f>VLOOKUP(Tableau1[[#This Row],[ID]],'DATA BTO'!B:P,15,FALSE)</f>
        <v>Nissan &gt; Renault</v>
      </c>
      <c r="AY79" s="328">
        <f ca="1">IFERROR(VLOOKUP(Tableau1[[#This Row],[Key(ID-Actif)]],'DATA BTO'!A:N,4,FALSE),VLOOKUP(Tableau1[[#This Row],[ID]],'DATA BTO'!B:N,3,FALSE))</f>
        <v>46142</v>
      </c>
      <c r="AZ79" s="50" t="str">
        <f>IF(ISNUMBER(Tableau1[[#This Row],[Day Customer Order]]),"-","Please Check 'Name' information in 'Order' Sheet to make sure they have information")</f>
        <v>-</v>
      </c>
      <c r="BA79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7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7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9" s="50"/>
    </row>
    <row r="80" spans="2:57">
      <c r="B80" s="447" t="str">
        <f>_xlfn.CONCAT(Tableau1[[#This Row],[Name ILN]],"-",Tableau1[[#This Row],[Name Shipper]],"-",Tableau1[[#This Row],[Name Site]])</f>
        <v>ILN Chine -ILN Chine -OYAK MONT</v>
      </c>
      <c r="C80" s="65" t="str">
        <f ca="1">_xlfn.CONCAT(Tableau1[[#This Row],[Compte ILN]],"-",Tableau1[[#This Row],[Compte Shipper]],"-",Tableau1[[#This Row],[POL]],"-",Tableau1[[#This Row],[Compte Consignee]])</f>
        <v>222222-222222-CNSHA-90017000</v>
      </c>
      <c r="D80" s="64" t="str">
        <f ca="1">_xlfn.CONCAT(Tableau1[[#This Row],[Compte ILN]],"-",Tableau1[[#This Row],[Compte Shipper]],"-",Tableau1[[#This Row],[POL]])</f>
        <v>222222-222222-CNSHA</v>
      </c>
      <c r="E80" s="128" t="str">
        <f ca="1">_xlfn.CONCAT(Tableau1[[#This Row],[POL]],"-",Tableau1[[#This Row],[Carrier]],"-",Tableau1[[#This Row],[POD]])</f>
        <v>CNSHA-CMA-CGM-TRIZT</v>
      </c>
      <c r="F80" s="64" t="str">
        <f>_xlfn.CONCAT(Tableau1[[#This Row],[ID]],"-","Actif")</f>
        <v>1045-Actif</v>
      </c>
      <c r="G80" s="64" t="str">
        <f ca="1">_xlfn.CONCAT(Tableau1[[#This Row],[POD]],"-",Tableau1[[#This Row],[Code PFI]],"-",Tableau1[[#This Row],[Compte Consignee]])</f>
        <v>TRIZT---90017000</v>
      </c>
      <c r="H80" s="129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CNSHAOYAK MONT</v>
      </c>
      <c r="I80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MONT-ILN Chine -ILN Chine -1045-CNSHA-CMA-CGM-TRIZT-</v>
      </c>
      <c r="J80" s="400" t="str">
        <f ca="1">IF(COUNTIF(I:I,Tableau1[[#This Row],[Plant-ILN-shipper-POL-Carrier-POD-PFI]])=1,"Non","Oui")</f>
        <v>Non</v>
      </c>
      <c r="K80" s="126" t="str">
        <f>VLOOKUP(Tableau1[[#This Row],[Name Site]],Plant_AILN!A:D,4,FALSE)</f>
        <v>TURKEY</v>
      </c>
      <c r="L80" s="363" t="s">
        <v>167</v>
      </c>
      <c r="M80" s="480">
        <f>VLOOKUP(Tableau1[[#This Row],[Name Site]],Plant_AILN!A:C,3,FALSE)</f>
        <v>90017000</v>
      </c>
      <c r="N80" s="55">
        <f>VLOOKUP(Tableau1[[#This Row],[Compte Consignee]],Order!C:D,2,FALSE)</f>
        <v>7</v>
      </c>
      <c r="O80" s="114" t="s">
        <v>183</v>
      </c>
      <c r="P80" s="481">
        <f>VLOOKUP(Tableau1[[#This Row],[Name ILN]],Plant_AILN!F:G,2,FALSE)</f>
        <v>222222</v>
      </c>
      <c r="Q80" s="50">
        <f>VLOOKUP(Tableau1[[#This Row],[Compte ILN]],'DATA ILN'!D:I,6,FALSE)</f>
        <v>9</v>
      </c>
      <c r="R80" s="50">
        <f ca="1">IFERROR(VLOOKUP(Tableau1[[#This Row],[Key(Compte ILN - shipper - POL - plant)]],'DATA ILN'!A:J,10,FALSE),VLOOKUP(Tableau1[[#This Row],[Key(Compte ILN - shipper - POL)]],'DATA ILN'!B:J,9,FALSE))</f>
        <v>21</v>
      </c>
      <c r="S80" s="50">
        <f ca="1">IFERROR(VLOOKUP(Tableau1[[#This Row],[Key(Compte ILN - shipper - POL - plant)]],'DATA ILN'!A:K,11,FALSE),VLOOKUP(Tableau1[[#This Row],[Key(Compte ILN - shipper - POL)]],'DATA ILN'!B:K,10,FALSE))</f>
        <v>5</v>
      </c>
      <c r="T80" s="50">
        <f ca="1">IFERROR(VLOOKUP(Tableau1[[#This Row],[Key(Compte ILN - shipper - POL - plant)]],'DATA ILN'!A:L,12,FALSE),VLOOKUP(Tableau1[[#This Row],[Key(Compte ILN - shipper - POL)]],'DATA ILN'!B:L,11,FALSE))</f>
        <v>7</v>
      </c>
      <c r="U80" s="50">
        <f ca="1">Tableau1[[#This Row],[Day ILN Order]]+Tableau1[[#This Row],[Delivery time to ILN/Shipper]]-1</f>
        <v>29</v>
      </c>
      <c r="V80" s="50">
        <f ca="1">IFERROR(VLOOKUP(Tableau1[[#This Row],[Key(Compte ILN - shipper - POL - plant)]],'DATA ILN'!A:N,14,FALSE),VLOOKUP(Tableau1[[#This Row],[Key(Compte ILN - shipper - POL)]],'DATA ILN'!B:N,13,FALSE))</f>
        <v>1</v>
      </c>
      <c r="W80" s="53">
        <f ca="1">IFERROR(VLOOKUP(Tableau1[[#This Row],[Key(Compte ILN - shipper - POL - plant)]],'DATA ILN'!A:P,16,FALSE),VLOOKUP(Tableau1[[#This Row],[Key(Compte ILN - shipper - POL)]],'DATA ILN'!B:P,15,FALSE))</f>
        <v>2</v>
      </c>
      <c r="X80" s="283" t="s">
        <v>183</v>
      </c>
      <c r="Y80" s="482">
        <f>IFERROR(VLOOKUP(Tableau1[[#This Row],[Name Shipper]],Plant_AILN!L:M,2,FALSE),0)</f>
        <v>222222</v>
      </c>
      <c r="Z80" s="358">
        <v>1045</v>
      </c>
      <c r="AA80" s="353" t="str">
        <f ca="1">VLOOKUP(Tableau1[[#This Row],[Key(ID-Actif)]],'DATA BTO'!A:N,5,FALSE)</f>
        <v>CNSHA</v>
      </c>
      <c r="AB80" s="3" t="str">
        <f ca="1">VLOOKUP(Tableau1[[#This Row],[Key(ID-Actif)]],'DATA BTO'!A:N,6,FALSE)</f>
        <v>CMA-CGM</v>
      </c>
      <c r="AC80" s="50">
        <f ca="1">VLOOKUP(Tableau1[[#This Row],[Key(ID-Actif)]],'DATA BTO'!A:N,7,FALSE)</f>
        <v>3</v>
      </c>
      <c r="AD80" s="50">
        <f ca="1">VLOOKUP(Tableau1[[#This Row],[Key(ID-Actif)]],'DATA BTO'!A:N,8,FALSE)</f>
        <v>5</v>
      </c>
      <c r="AE80" s="50">
        <f ca="1">IF(Tableau1[[#This Row],[First Day to POL]]&lt;=Tableau1[[#This Row],[Day Cut Off]],Tableau1[[#This Row],[Day ETD]],Tableau1[[#This Row],[Day ETD]]+7)</f>
        <v>5</v>
      </c>
      <c r="AF80" s="50">
        <f ca="1">VLOOKUP(Tableau1[[#This Row],[Key(ID-Actif)]],'DATA BTO'!A:N,9,FALSE)</f>
        <v>44</v>
      </c>
      <c r="AG80" s="3" t="str">
        <f ca="1">VLOOKUP(Tableau1[[#This Row],[Key(ID-Actif)]],'DATA BTO'!A:N,10,FALSE)</f>
        <v>TRIZT</v>
      </c>
      <c r="AH80" s="3">
        <f ca="1">VLOOKUP(Tableau1[[#This Row],[Key(ID-Actif)]],'DATA BTO'!A:N,11,FALSE)</f>
        <v>3</v>
      </c>
      <c r="AI80" s="50">
        <f ca="1">VLOOKUP(Tableau1[[#This Row],[Key(ID-Actif)]],'DATA BTO'!A:N,12,FALSE)</f>
        <v>0</v>
      </c>
      <c r="AJ80" s="53" t="str">
        <f ca="1">VLOOKUP(Tableau1[[#This Row],[Key(ID-Actif)]],'DATA BTO'!A:N,14,FALSE)</f>
        <v>Marc-Aurele</v>
      </c>
      <c r="AK80" s="54">
        <f ca="1">VLOOKUP(Tableau1[[#This Row],[Key(POD -PFI- Usine)]],'DATA Consignee'!A:F,6,FALSE)</f>
        <v>4</v>
      </c>
      <c r="AL80" s="125"/>
      <c r="AM80" s="483" t="str">
        <f>IF(Tableau1[[#This Row],[Name PFI/CDD]]="","-",VLOOKUP(Tableau1[[#This Row],[Name PFI/CDD]],Plant_AILN!I:J,2,FALSE))</f>
        <v>-</v>
      </c>
      <c r="AN8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0" s="2">
        <f ca="1">VLOOKUP(Tableau1[[#This Row],[Key(POD -PFI- Usine)]],'DATA Consignee'!A:J,10,FALSE)</f>
        <v>0</v>
      </c>
      <c r="AQ80" s="50">
        <f ca="1">VLOOKUP(Tableau1[[#This Row],[Key(POD -PFI- Usine)]],'DATA Consignee'!A:N,14,FALSE)</f>
        <v>2</v>
      </c>
      <c r="AR80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6</v>
      </c>
      <c r="AS80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10</v>
      </c>
      <c r="AT80" s="50">
        <f ca="1">Tableau1[[#This Row],[Transit time]]+Tableau1[[#This Row],[Time for security]]+Tableau1[[#This Row],[Time for security2 buffer]]</f>
        <v>47</v>
      </c>
      <c r="AU80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69</v>
      </c>
      <c r="AV80" s="50">
        <f ca="1">Tableau1[[#This Row],[Leadtime SI2C]]+Tableau1[[#This Row],[First Receipt Days]]-Tableau1[[#This Row],[Day Customer Order]]+1</f>
        <v>92</v>
      </c>
      <c r="AW80" s="117">
        <f ca="1">IF(Tableau1[[#This Row],[Name ILN]]&lt;&gt;"SFK Freight Forwarder",Tableau1[[#This Row],[Cust. Leadtime]],Tableau1[[#This Row],[Leadtime SI2C]])</f>
        <v>92</v>
      </c>
      <c r="AX80" s="51" t="str">
        <f>VLOOKUP(Tableau1[[#This Row],[ID]],'DATA BTO'!B:P,15,FALSE)</f>
        <v>Nissan &gt; Horse</v>
      </c>
      <c r="AY80" s="328">
        <f ca="1">IFERROR(VLOOKUP(Tableau1[[#This Row],[Key(ID-Actif)]],'DATA BTO'!A:N,4,FALSE),VLOOKUP(Tableau1[[#This Row],[ID]],'DATA BTO'!B:N,3,FALSE))</f>
        <v>46142</v>
      </c>
      <c r="AZ80" s="50" t="str">
        <f>IF(ISNUMBER(Tableau1[[#This Row],[Day Customer Order]]),"-","Please Check 'Name' information in 'Order' Sheet to make sure they have information")</f>
        <v>-</v>
      </c>
      <c r="BA80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0" s="448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0" s="50"/>
    </row>
    <row r="81" spans="2:57">
      <c r="B81" s="447" t="str">
        <f>_xlfn.CONCAT(Tableau1[[#This Row],[Name ILN]],"-",Tableau1[[#This Row],[Name Shipper]],"-",Tableau1[[#This Row],[Name Site]])</f>
        <v>ILN Chine -ILN Chine -CHENNAI Vehicule</v>
      </c>
      <c r="C81" s="65" t="str">
        <f ca="1">_xlfn.CONCAT(Tableau1[[#This Row],[Compte ILN]],"-",Tableau1[[#This Row],[Compte Shipper]],"-",Tableau1[[#This Row],[POL]],"-",Tableau1[[#This Row],[Compte Consignee]])</f>
        <v>222222-222222-CNSHA-26549502</v>
      </c>
      <c r="D81" s="64" t="str">
        <f ca="1">_xlfn.CONCAT(Tableau1[[#This Row],[Compte ILN]],"-",Tableau1[[#This Row],[Compte Shipper]],"-",Tableau1[[#This Row],[POL]])</f>
        <v>222222-222222-CNSHA</v>
      </c>
      <c r="E81" s="396" t="str">
        <f ca="1">_xlfn.CONCAT(Tableau1[[#This Row],[POL]],"-",Tableau1[[#This Row],[Carrier]],"-",Tableau1[[#This Row],[POD]])</f>
        <v>CNSHA-CMA-CGM-INMAA</v>
      </c>
      <c r="F81" s="64" t="str">
        <f>_xlfn.CONCAT(Tableau1[[#This Row],[ID]],"-","Actif")</f>
        <v>1060-Actif</v>
      </c>
      <c r="G81" s="64" t="str">
        <f ca="1">_xlfn.CONCAT(Tableau1[[#This Row],[POD]],"-",Tableau1[[#This Row],[Code PFI]],"-",Tableau1[[#This Row],[Compte Consignee]])</f>
        <v>INMAA---26549502</v>
      </c>
      <c r="H81" s="396" t="str">
        <f ca="1">_xlfn.CONCAT(IF(Tableau1[[#This Row],[Name ILN]]=Tableau1[[#This Row],[Name Shipper]],Tableau1[[#This Row],[Name ILN]],Tableau1[[#This Row],[Compte Shipper]]),Tableau1[[#This Row],[POL]],Tableau1[[#This Row],[Name Site]])</f>
        <v>ILN Chine CNSHACHENNAI Vehicule</v>
      </c>
      <c r="I81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CHENNAI Vehicule-ILN Chine -ILN Chine -1060-CNSHA-CMA-CGM-INMAA-</v>
      </c>
      <c r="J81" s="397" t="str">
        <f ca="1">IF(COUNTIF(I:I,Tableau1[[#This Row],[Plant-ILN-shipper-POL-Carrier-POD-PFI]])=1,"Non","Oui")</f>
        <v>Non</v>
      </c>
      <c r="K81" s="126" t="str">
        <f>VLOOKUP(Tableau1[[#This Row],[Name Site]],Plant_AILN!A:D,4,FALSE)</f>
        <v>INDIA</v>
      </c>
      <c r="L81" s="363" t="s">
        <v>190</v>
      </c>
      <c r="M81" s="480">
        <f>VLOOKUP(Tableau1[[#This Row],[Name Site]],Plant_AILN!A:C,3,FALSE)</f>
        <v>26549502</v>
      </c>
      <c r="N81" s="55">
        <f>VLOOKUP(Tableau1[[#This Row],[Compte Consignee]],Order!C:D,2,FALSE)</f>
        <v>7</v>
      </c>
      <c r="O81" s="114" t="s">
        <v>183</v>
      </c>
      <c r="P81" s="481">
        <f>VLOOKUP(Tableau1[[#This Row],[Name ILN]],Plant_AILN!F:G,2,FALSE)</f>
        <v>222222</v>
      </c>
      <c r="Q81" s="50">
        <f>VLOOKUP(Tableau1[[#This Row],[Compte ILN]],'DATA ILN'!D:I,6,FALSE)</f>
        <v>9</v>
      </c>
      <c r="R81" s="50">
        <f ca="1">IFERROR(VLOOKUP(Tableau1[[#This Row],[Key(Compte ILN - shipper - POL - plant)]],'DATA ILN'!A:J,10,FALSE),VLOOKUP(Tableau1[[#This Row],[Key(Compte ILN - shipper - POL)]],'DATA ILN'!B:J,9,FALSE))</f>
        <v>21</v>
      </c>
      <c r="S81" s="50">
        <f ca="1">IFERROR(VLOOKUP(Tableau1[[#This Row],[Key(Compte ILN - shipper - POL - plant)]],'DATA ILN'!A:K,11,FALSE),VLOOKUP(Tableau1[[#This Row],[Key(Compte ILN - shipper - POL)]],'DATA ILN'!B:K,10,FALSE))</f>
        <v>5</v>
      </c>
      <c r="T81" s="50">
        <f ca="1">IFERROR(VLOOKUP(Tableau1[[#This Row],[Key(Compte ILN - shipper - POL - plant)]],'DATA ILN'!A:L,12,FALSE),VLOOKUP(Tableau1[[#This Row],[Key(Compte ILN - shipper - POL)]],'DATA ILN'!B:L,11,FALSE))</f>
        <v>7</v>
      </c>
      <c r="U81" s="50">
        <f ca="1">Tableau1[[#This Row],[Day ILN Order]]+Tableau1[[#This Row],[Delivery time to ILN/Shipper]]-1</f>
        <v>29</v>
      </c>
      <c r="V81" s="50">
        <f ca="1">IFERROR(VLOOKUP(Tableau1[[#This Row],[Key(Compte ILN - shipper - POL - plant)]],'DATA ILN'!A:N,14,FALSE),VLOOKUP(Tableau1[[#This Row],[Key(Compte ILN - shipper - POL)]],'DATA ILN'!B:N,13,FALSE))</f>
        <v>1</v>
      </c>
      <c r="W81" s="53">
        <f ca="1">IFERROR(VLOOKUP(Tableau1[[#This Row],[Key(Compte ILN - shipper - POL - plant)]],'DATA ILN'!A:P,16,FALSE),VLOOKUP(Tableau1[[#This Row],[Key(Compte ILN - shipper - POL)]],'DATA ILN'!B:P,15,FALSE))</f>
        <v>2</v>
      </c>
      <c r="X81" s="283" t="s">
        <v>183</v>
      </c>
      <c r="Y81" s="482">
        <f>IFERROR(VLOOKUP(Tableau1[[#This Row],[Name Shipper]],Plant_AILN!L:M,2,FALSE),0)</f>
        <v>222222</v>
      </c>
      <c r="Z81" s="358">
        <v>1060</v>
      </c>
      <c r="AA81" s="353" t="str">
        <f ca="1">VLOOKUP(Tableau1[[#This Row],[Key(ID-Actif)]],'DATA BTO'!A:N,5,FALSE)</f>
        <v>CNSHA</v>
      </c>
      <c r="AB81" s="3" t="str">
        <f ca="1">VLOOKUP(Tableau1[[#This Row],[Key(ID-Actif)]],'DATA BTO'!A:N,6,FALSE)</f>
        <v>CMA-CGM</v>
      </c>
      <c r="AC81" s="50">
        <f ca="1">VLOOKUP(Tableau1[[#This Row],[Key(ID-Actif)]],'DATA BTO'!A:N,7,FALSE)</f>
        <v>6</v>
      </c>
      <c r="AD81" s="50">
        <f ca="1">VLOOKUP(Tableau1[[#This Row],[Key(ID-Actif)]],'DATA BTO'!A:N,8,FALSE)</f>
        <v>9</v>
      </c>
      <c r="AE81" s="50">
        <f ca="1">IF(Tableau1[[#This Row],[First Day to POL]]&lt;=Tableau1[[#This Row],[Day Cut Off]],Tableau1[[#This Row],[Day ETD]],Tableau1[[#This Row],[Day ETD]]+7)</f>
        <v>9</v>
      </c>
      <c r="AF81" s="50">
        <f ca="1">VLOOKUP(Tableau1[[#This Row],[Key(ID-Actif)]],'DATA BTO'!A:N,9,FALSE)</f>
        <v>17</v>
      </c>
      <c r="AG81" s="3" t="str">
        <f ca="1">VLOOKUP(Tableau1[[#This Row],[Key(ID-Actif)]],'DATA BTO'!A:N,10,FALSE)</f>
        <v>INMAA</v>
      </c>
      <c r="AH81" s="3">
        <f ca="1">VLOOKUP(Tableau1[[#This Row],[Key(ID-Actif)]],'DATA BTO'!A:N,11,FALSE)</f>
        <v>3</v>
      </c>
      <c r="AI81" s="50">
        <f ca="1">VLOOKUP(Tableau1[[#This Row],[Key(ID-Actif)]],'DATA BTO'!A:N,12,FALSE)</f>
        <v>0</v>
      </c>
      <c r="AJ81" s="53" t="str">
        <f ca="1">VLOOKUP(Tableau1[[#This Row],[Key(ID-Actif)]],'DATA BTO'!A:N,14,FALSE)</f>
        <v>Marc-Aurele</v>
      </c>
      <c r="AK81" s="54">
        <f ca="1">VLOOKUP(Tableau1[[#This Row],[Key(POD -PFI- Usine)]],'DATA Consignee'!A:F,6,FALSE)</f>
        <v>6</v>
      </c>
      <c r="AL81" s="125"/>
      <c r="AM81" s="483" t="str">
        <f>IF(Tableau1[[#This Row],[Name PFI/CDD]]="","-",VLOOKUP(Tableau1[[#This Row],[Name PFI/CDD]],Plant_AILN!I:J,2,FALSE))</f>
        <v>-</v>
      </c>
      <c r="AN8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1" s="2">
        <f ca="1">VLOOKUP(Tableau1[[#This Row],[Key(POD -PFI- Usine)]],'DATA Consignee'!A:J,10,FALSE)</f>
        <v>0</v>
      </c>
      <c r="AQ81" s="50">
        <f ca="1">VLOOKUP(Tableau1[[#This Row],[Key(POD -PFI- Usine)]],'DATA Consignee'!A:N,14,FALSE)</f>
        <v>3</v>
      </c>
      <c r="AR81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81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14</v>
      </c>
      <c r="AT81" s="50">
        <f ca="1">Tableau1[[#This Row],[Transit time]]+Tableau1[[#This Row],[Time for security]]+Tableau1[[#This Row],[Time for security2 buffer]]</f>
        <v>20</v>
      </c>
      <c r="AU81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48</v>
      </c>
      <c r="AV81" s="389">
        <f ca="1">Tableau1[[#This Row],[Leadtime SI2C]]+Tableau1[[#This Row],[First Receipt Days]]-Tableau1[[#This Row],[Day Customer Order]]+1</f>
        <v>71</v>
      </c>
      <c r="AW81" s="117">
        <f ca="1">IF(Tableau1[[#This Row],[Name ILN]]&lt;&gt;"SFK Freight Forwarder",Tableau1[[#This Row],[Cust. Leadtime]],Tableau1[[#This Row],[Leadtime SI2C]])</f>
        <v>71</v>
      </c>
      <c r="AX81" s="51" t="str">
        <f>VLOOKUP(Tableau1[[#This Row],[ID]],'DATA BTO'!B:P,15,FALSE)</f>
        <v>Nissan &gt; Renault</v>
      </c>
      <c r="AY81" s="328">
        <f ca="1">IFERROR(VLOOKUP(Tableau1[[#This Row],[Key(ID-Actif)]],'DATA BTO'!A:N,4,FALSE),VLOOKUP(Tableau1[[#This Row],[ID]],'DATA BTO'!B:N,3,FALSE))</f>
        <v>46142</v>
      </c>
      <c r="AZ81" s="50" t="str">
        <f>IF(ISNUMBER(Tableau1[[#This Row],[Day Customer Order]]),"-","Please Check 'Name' information in 'Order' Sheet to make sure they have information")</f>
        <v>-</v>
      </c>
      <c r="BA81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1" s="50"/>
    </row>
    <row r="82" spans="2:57">
      <c r="B82" s="447" t="str">
        <f>_xlfn.CONCAT(Tableau1[[#This Row],[Name ILN]],"-",Tableau1[[#This Row],[Name Shipper]],"-",Tableau1[[#This Row],[Name Site]])</f>
        <v>SFK Freight Forwarder-Aichikikai Japon-OYAK MEKA</v>
      </c>
      <c r="C82" s="65" t="str">
        <f ca="1">_xlfn.CONCAT(Tableau1[[#This Row],[Compte ILN]],"-",Tableau1[[#This Row],[Compte Shipper]],"-",Tableau1[[#This Row],[POL]],"-",Tableau1[[#This Row],[Compte Consignee]])</f>
        <v>0-112741-JPNGO-90014400</v>
      </c>
      <c r="D82" s="64" t="str">
        <f ca="1">_xlfn.CONCAT(Tableau1[[#This Row],[Compte ILN]],"-",Tableau1[[#This Row],[Compte Shipper]],"-",Tableau1[[#This Row],[POL]])</f>
        <v>0-112741-JPNGO</v>
      </c>
      <c r="E82" s="396" t="str">
        <f ca="1">_xlfn.CONCAT(Tableau1[[#This Row],[POL]],"-",Tableau1[[#This Row],[Carrier]],"-",Tableau1[[#This Row],[POD]])</f>
        <v>JPNGO-CMA-CGM-TRIZT</v>
      </c>
      <c r="F82" s="64" t="str">
        <f>_xlfn.CONCAT(Tableau1[[#This Row],[ID]],"-","Actif")</f>
        <v>1063-Actif</v>
      </c>
      <c r="G82" s="64" t="str">
        <f ca="1">_xlfn.CONCAT(Tableau1[[#This Row],[POD]],"-",Tableau1[[#This Row],[Code PFI]],"-",Tableau1[[#This Row],[Compte Consignee]])</f>
        <v>TRIZT---90014400</v>
      </c>
      <c r="H82" s="396" t="str">
        <f ca="1">_xlfn.CONCAT(IF(Tableau1[[#This Row],[Name ILN]]=Tableau1[[#This Row],[Name Shipper]],Tableau1[[#This Row],[Name ILN]],Tableau1[[#This Row],[Compte Shipper]]),Tableau1[[#This Row],[POL]],Tableau1[[#This Row],[Name Site]])</f>
        <v>112741JPNGOOYAK MEKA</v>
      </c>
      <c r="I82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OYAK MEKA-SFK Freight Forwarder-Aichikikai Japon-1063-JPNGO-CMA-CGM-TRIZT-</v>
      </c>
      <c r="J82" s="397" t="str">
        <f ca="1">IF(COUNTIF(I:I,Tableau1[[#This Row],[Plant-ILN-shipper-POL-Carrier-POD-PFI]])=1,"Non","Oui")</f>
        <v>Non</v>
      </c>
      <c r="K82" s="126" t="str">
        <f>VLOOKUP(Tableau1[[#This Row],[Name Site]],Plant_AILN!A:D,4,FALSE)</f>
        <v>TURKEY</v>
      </c>
      <c r="L82" s="363" t="s">
        <v>164</v>
      </c>
      <c r="M82" s="480">
        <f>VLOOKUP(Tableau1[[#This Row],[Name Site]],Plant_AILN!A:C,3,FALSE)</f>
        <v>90014400</v>
      </c>
      <c r="N82" s="55">
        <f>VLOOKUP(Tableau1[[#This Row],[Compte Consignee]],Order!C:D,2,FALSE)</f>
        <v>2</v>
      </c>
      <c r="O82" s="114" t="s">
        <v>150</v>
      </c>
      <c r="P82" s="481">
        <f>VLOOKUP(Tableau1[[#This Row],[Name ILN]],Plant_AILN!F:G,2,FALSE)</f>
        <v>0</v>
      </c>
      <c r="Q82" s="50">
        <f>VLOOKUP(Tableau1[[#This Row],[Compte ILN]],'DATA ILN'!D:I,6,FALSE)</f>
        <v>9</v>
      </c>
      <c r="R82" s="50">
        <f ca="1">IFERROR(VLOOKUP(Tableau1[[#This Row],[Key(Compte ILN - shipper - POL - plant)]],'DATA ILN'!A:J,10,FALSE),VLOOKUP(Tableau1[[#This Row],[Key(Compte ILN - shipper - POL)]],'DATA ILN'!B:J,9,FALSE))</f>
        <v>14</v>
      </c>
      <c r="S82" s="50">
        <f ca="1">IFERROR(VLOOKUP(Tableau1[[#This Row],[Key(Compte ILN - shipper - POL - plant)]],'DATA ILN'!A:K,11,FALSE),VLOOKUP(Tableau1[[#This Row],[Key(Compte ILN - shipper - POL)]],'DATA ILN'!B:K,10,FALSE))</f>
        <v>5</v>
      </c>
      <c r="T82" s="50">
        <f ca="1">IFERROR(VLOOKUP(Tableau1[[#This Row],[Key(Compte ILN - shipper - POL - plant)]],'DATA ILN'!A:L,12,FALSE),VLOOKUP(Tableau1[[#This Row],[Key(Compte ILN - shipper - POL)]],'DATA ILN'!B:L,11,FALSE))</f>
        <v>7</v>
      </c>
      <c r="U82" s="50">
        <f ca="1">Tableau1[[#This Row],[Day ILN Order]]+Tableau1[[#This Row],[Delivery time to ILN/Shipper]]-1</f>
        <v>22</v>
      </c>
      <c r="V82" s="50">
        <f ca="1">IFERROR(VLOOKUP(Tableau1[[#This Row],[Key(Compte ILN - shipper - POL - plant)]],'DATA ILN'!A:N,14,FALSE),VLOOKUP(Tableau1[[#This Row],[Key(Compte ILN - shipper - POL)]],'DATA ILN'!B:N,13,FALSE))</f>
        <v>2</v>
      </c>
      <c r="W82" s="53">
        <f ca="1">IFERROR(VLOOKUP(Tableau1[[#This Row],[Key(Compte ILN - shipper - POL - plant)]],'DATA ILN'!A:P,16,FALSE),VLOOKUP(Tableau1[[#This Row],[Key(Compte ILN - shipper - POL)]],'DATA ILN'!B:P,15,FALSE))</f>
        <v>3</v>
      </c>
      <c r="X82" s="434" t="s">
        <v>174</v>
      </c>
      <c r="Y82" s="482">
        <f>IFERROR(VLOOKUP(Tableau1[[#This Row],[Name Shipper]],Plant_AILN!L:M,2,FALSE),0)</f>
        <v>112741</v>
      </c>
      <c r="Z82" s="358">
        <v>1063</v>
      </c>
      <c r="AA82" s="353" t="str">
        <f ca="1">VLOOKUP(Tableau1[[#This Row],[Key(ID-Actif)]],'DATA BTO'!A:N,5,FALSE)</f>
        <v>JPNGO</v>
      </c>
      <c r="AB82" s="3" t="str">
        <f ca="1">VLOOKUP(Tableau1[[#This Row],[Key(ID-Actif)]],'DATA BTO'!A:N,6,FALSE)</f>
        <v>CMA-CGM</v>
      </c>
      <c r="AC82" s="50">
        <f ca="1">VLOOKUP(Tableau1[[#This Row],[Key(ID-Actif)]],'DATA BTO'!A:N,7,FALSE)</f>
        <v>2</v>
      </c>
      <c r="AD82" s="50">
        <f ca="1">VLOOKUP(Tableau1[[#This Row],[Key(ID-Actif)]],'DATA BTO'!A:N,8,FALSE)</f>
        <v>4</v>
      </c>
      <c r="AE82" s="50">
        <f ca="1">IF(Tableau1[[#This Row],[First Day to POL]]&lt;=Tableau1[[#This Row],[Day Cut Off]],Tableau1[[#This Row],[Day ETD]],Tableau1[[#This Row],[Day ETD]]+7)</f>
        <v>11</v>
      </c>
      <c r="AF82" s="50">
        <f ca="1">VLOOKUP(Tableau1[[#This Row],[Key(ID-Actif)]],'DATA BTO'!A:N,9,FALSE)</f>
        <v>50</v>
      </c>
      <c r="AG82" s="3" t="str">
        <f ca="1">VLOOKUP(Tableau1[[#This Row],[Key(ID-Actif)]],'DATA BTO'!A:N,10,FALSE)</f>
        <v>TRIZT</v>
      </c>
      <c r="AH82" s="3">
        <f ca="1">VLOOKUP(Tableau1[[#This Row],[Key(ID-Actif)]],'DATA BTO'!A:N,11,FALSE)</f>
        <v>3</v>
      </c>
      <c r="AI82" s="50">
        <f ca="1">VLOOKUP(Tableau1[[#This Row],[Key(ID-Actif)]],'DATA BTO'!A:N,12,FALSE)</f>
        <v>0</v>
      </c>
      <c r="AJ82" s="53" t="str">
        <f ca="1">VLOOKUP(Tableau1[[#This Row],[Key(ID-Actif)]],'DATA BTO'!A:N,14,FALSE)</f>
        <v>Max</v>
      </c>
      <c r="AK82" s="54">
        <f ca="1">VLOOKUP(Tableau1[[#This Row],[Key(POD -PFI- Usine)]],'DATA Consignee'!A:F,6,FALSE)</f>
        <v>4</v>
      </c>
      <c r="AL82" s="125"/>
      <c r="AM82" s="483" t="str">
        <f>IF(Tableau1[[#This Row],[Name PFI/CDD]]="","-",VLOOKUP(Tableau1[[#This Row],[Name PFI/CDD]],Plant_AILN!I:J,2,FALSE))</f>
        <v>-</v>
      </c>
      <c r="AN8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2" s="2">
        <f ca="1">VLOOKUP(Tableau1[[#This Row],[Key(POD -PFI- Usine)]],'DATA Consignee'!A:J,10,FALSE)</f>
        <v>0</v>
      </c>
      <c r="AQ82" s="50">
        <f ca="1">VLOOKUP(Tableau1[[#This Row],[Key(POD -PFI- Usine)]],'DATA Consignee'!A:N,14,FALSE)</f>
        <v>2</v>
      </c>
      <c r="AR82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82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82" s="50">
        <f ca="1">Tableau1[[#This Row],[Transit time]]+Tableau1[[#This Row],[Time for security]]+Tableau1[[#This Row],[Time for security2 buffer]]</f>
        <v>53</v>
      </c>
      <c r="AU82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76</v>
      </c>
      <c r="AV82" s="389">
        <f ca="1">Tableau1[[#This Row],[Leadtime SI2C]]+Tableau1[[#This Row],[First Receipt Days]]-Tableau1[[#This Row],[Day Customer Order]]+1</f>
        <v>97</v>
      </c>
      <c r="AW82" s="117">
        <f ca="1">IF(Tableau1[[#This Row],[Name ILN]]&lt;&gt;"SFK Freight Forwarder",Tableau1[[#This Row],[Cust. Leadtime]],Tableau1[[#This Row],[Leadtime SI2C]])</f>
        <v>76</v>
      </c>
      <c r="AX82" s="51" t="str">
        <f>VLOOKUP(Tableau1[[#This Row],[ID]],'DATA BTO'!B:P,15,FALSE)</f>
        <v>Nissan &gt; Horse</v>
      </c>
      <c r="AY82" s="328">
        <f ca="1">IFERROR(VLOOKUP(Tableau1[[#This Row],[Key(ID-Actif)]],'DATA BTO'!A:N,4,FALSE),VLOOKUP(Tableau1[[#This Row],[ID]],'DATA BTO'!B:N,3,FALSE))</f>
        <v>46142</v>
      </c>
      <c r="AZ82" s="50" t="str">
        <f>IF(ISNUMBER(Tableau1[[#This Row],[Day Customer Order]]),"-","Please Check 'Name' information in 'Order' Sheet to make sure they have information")</f>
        <v>-</v>
      </c>
      <c r="BA82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2" s="50"/>
    </row>
    <row r="83" spans="2:57">
      <c r="B83" s="447" t="str">
        <f>_xlfn.CONCAT(Tableau1[[#This Row],[Name ILN]],"-",Tableau1[[#This Row],[Name Shipper]],"-",Tableau1[[#This Row],[Name Site]])</f>
        <v>ILN Mexique-ILN Mexique-SOFASA</v>
      </c>
      <c r="C83" s="65" t="str">
        <f ca="1">_xlfn.CONCAT(Tableau1[[#This Row],[Compte ILN]],"-",Tableau1[[#This Row],[Compte Shipper]],"-",Tableau1[[#This Row],[POL]],"-",Tableau1[[#This Row],[Compte Consignee]])</f>
        <v>333333-333333-MXVER-9510600</v>
      </c>
      <c r="D83" s="64" t="str">
        <f ca="1">_xlfn.CONCAT(Tableau1[[#This Row],[Compte ILN]],"-",Tableau1[[#This Row],[Compte Shipper]],"-",Tableau1[[#This Row],[POL]])</f>
        <v>333333-333333-MXVER</v>
      </c>
      <c r="E83" s="396" t="str">
        <f ca="1">_xlfn.CONCAT(Tableau1[[#This Row],[POL]],"-",Tableau1[[#This Row],[Carrier]],"-",Tableau1[[#This Row],[POD]])</f>
        <v>MXVER-MSC-COCTG</v>
      </c>
      <c r="F83" s="64" t="str">
        <f>_xlfn.CONCAT(Tableau1[[#This Row],[ID]],"-","Actif")</f>
        <v>1080-Actif</v>
      </c>
      <c r="G83" s="64" t="str">
        <f ca="1">_xlfn.CONCAT(Tableau1[[#This Row],[POD]],"-",Tableau1[[#This Row],[Code PFI]],"-",Tableau1[[#This Row],[Compte Consignee]])</f>
        <v>COCTG---9510600</v>
      </c>
      <c r="H83" s="396" t="str">
        <f ca="1">_xlfn.CONCAT(IF(Tableau1[[#This Row],[Name ILN]]=Tableau1[[#This Row],[Name Shipper]],Tableau1[[#This Row],[Name ILN]],Tableau1[[#This Row],[Compte Shipper]]),Tableau1[[#This Row],[POL]],Tableau1[[#This Row],[Name Site]])</f>
        <v>ILN MexiqueMXVERSOFASA</v>
      </c>
      <c r="I83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SOFASA-ILN Mexique-ILN Mexique-1080-MXVER-MSC-COCTG-</v>
      </c>
      <c r="J83" s="397" t="str">
        <f ca="1">IF(COUNTIF(I:I,Tableau1[[#This Row],[Plant-ILN-shipper-POL-Carrier-POD-PFI]])=1,"Non","Oui")</f>
        <v>Non</v>
      </c>
      <c r="K83" s="126" t="str">
        <f>VLOOKUP(Tableau1[[#This Row],[Name Site]],Plant_AILN!A:D,4,FALSE)</f>
        <v>COLOMBIA</v>
      </c>
      <c r="L83" s="363" t="s">
        <v>176</v>
      </c>
      <c r="M83" s="480">
        <f>VLOOKUP(Tableau1[[#This Row],[Name Site]],Plant_AILN!A:C,3,FALSE)</f>
        <v>9510600</v>
      </c>
      <c r="N83" s="55">
        <f>VLOOKUP(Tableau1[[#This Row],[Compte Consignee]],Order!C:D,2,FALSE)</f>
        <v>7</v>
      </c>
      <c r="O83" s="114" t="s">
        <v>191</v>
      </c>
      <c r="P83" s="481">
        <f>VLOOKUP(Tableau1[[#This Row],[Name ILN]],Plant_AILN!F:G,2,FALSE)</f>
        <v>333333</v>
      </c>
      <c r="Q83" s="50">
        <f>VLOOKUP(Tableau1[[#This Row],[Compte ILN]],'DATA ILN'!D:I,6,FALSE)</f>
        <v>9</v>
      </c>
      <c r="R83" s="50">
        <f ca="1">IFERROR(VLOOKUP(Tableau1[[#This Row],[Key(Compte ILN - shipper - POL - plant)]],'DATA ILN'!A:J,10,FALSE),VLOOKUP(Tableau1[[#This Row],[Key(Compte ILN - shipper - POL)]],'DATA ILN'!B:J,9,FALSE))</f>
        <v>14</v>
      </c>
      <c r="S83" s="50">
        <f ca="1">IFERROR(VLOOKUP(Tableau1[[#This Row],[Key(Compte ILN - shipper - POL - plant)]],'DATA ILN'!A:K,11,FALSE),VLOOKUP(Tableau1[[#This Row],[Key(Compte ILN - shipper - POL)]],'DATA ILN'!B:K,10,FALSE))</f>
        <v>5</v>
      </c>
      <c r="T83" s="50">
        <f ca="1">IFERROR(VLOOKUP(Tableau1[[#This Row],[Key(Compte ILN - shipper - POL - plant)]],'DATA ILN'!A:L,12,FALSE),VLOOKUP(Tableau1[[#This Row],[Key(Compte ILN - shipper - POL)]],'DATA ILN'!B:L,11,FALSE))</f>
        <v>7</v>
      </c>
      <c r="U83" s="50">
        <f ca="1">Tableau1[[#This Row],[Day ILN Order]]+Tableau1[[#This Row],[Delivery time to ILN/Shipper]]-1</f>
        <v>22</v>
      </c>
      <c r="V83" s="50">
        <f ca="1">IFERROR(VLOOKUP(Tableau1[[#This Row],[Key(Compte ILN - shipper - POL - plant)]],'DATA ILN'!A:N,14,FALSE),VLOOKUP(Tableau1[[#This Row],[Key(Compte ILN - shipper - POL)]],'DATA ILN'!B:N,13,FALSE))</f>
        <v>2</v>
      </c>
      <c r="W83" s="53">
        <f ca="1">IFERROR(VLOOKUP(Tableau1[[#This Row],[Key(Compte ILN - shipper - POL - plant)]],'DATA ILN'!A:P,16,FALSE),VLOOKUP(Tableau1[[#This Row],[Key(Compte ILN - shipper - POL)]],'DATA ILN'!B:P,15,FALSE))</f>
        <v>1</v>
      </c>
      <c r="X83" s="283" t="s">
        <v>191</v>
      </c>
      <c r="Y83" s="482">
        <f>IFERROR(VLOOKUP(Tableau1[[#This Row],[Name Shipper]],Plant_AILN!L:M,2,FALSE),0)</f>
        <v>333333</v>
      </c>
      <c r="Z83" s="358">
        <v>1080</v>
      </c>
      <c r="AA83" s="353" t="str">
        <f ca="1">VLOOKUP(Tableau1[[#This Row],[Key(ID-Actif)]],'DATA BTO'!A:N,5,FALSE)</f>
        <v>MXVER</v>
      </c>
      <c r="AB83" s="3" t="str">
        <f ca="1">VLOOKUP(Tableau1[[#This Row],[Key(ID-Actif)]],'DATA BTO'!A:N,6,FALSE)</f>
        <v>MSC</v>
      </c>
      <c r="AC83" s="50">
        <f ca="1">VLOOKUP(Tableau1[[#This Row],[Key(ID-Actif)]],'DATA BTO'!A:N,7,FALSE)</f>
        <v>3</v>
      </c>
      <c r="AD83" s="50">
        <f ca="1">VLOOKUP(Tableau1[[#This Row],[Key(ID-Actif)]],'DATA BTO'!A:N,8,FALSE)</f>
        <v>5</v>
      </c>
      <c r="AE83" s="50">
        <f ca="1">IF(Tableau1[[#This Row],[First Day to POL]]&lt;=Tableau1[[#This Row],[Day Cut Off]],Tableau1[[#This Row],[Day ETD]],Tableau1[[#This Row],[Day ETD]]+7)</f>
        <v>5</v>
      </c>
      <c r="AF83" s="50">
        <f ca="1">VLOOKUP(Tableau1[[#This Row],[Key(ID-Actif)]],'DATA BTO'!A:N,9,FALSE)</f>
        <v>16</v>
      </c>
      <c r="AG83" s="3" t="str">
        <f ca="1">VLOOKUP(Tableau1[[#This Row],[Key(ID-Actif)]],'DATA BTO'!A:N,10,FALSE)</f>
        <v>COCTG</v>
      </c>
      <c r="AH83" s="3">
        <f ca="1">VLOOKUP(Tableau1[[#This Row],[Key(ID-Actif)]],'DATA BTO'!A:N,11,FALSE)</f>
        <v>3</v>
      </c>
      <c r="AI83" s="50">
        <f ca="1">VLOOKUP(Tableau1[[#This Row],[Key(ID-Actif)]],'DATA BTO'!A:N,12,FALSE)</f>
        <v>0</v>
      </c>
      <c r="AJ83" s="53" t="str">
        <f ca="1">VLOOKUP(Tableau1[[#This Row],[Key(ID-Actif)]],'DATA BTO'!A:N,14,FALSE)</f>
        <v>Jocelyn</v>
      </c>
      <c r="AK83" s="54">
        <f ca="1">VLOOKUP(Tableau1[[#This Row],[Key(POD -PFI- Usine)]],'DATA Consignee'!A:F,6,FALSE)</f>
        <v>0</v>
      </c>
      <c r="AL83" s="125"/>
      <c r="AM83" s="483" t="str">
        <f>IF(Tableau1[[#This Row],[Name PFI/CDD]]="","-",VLOOKUP(Tableau1[[#This Row],[Name PFI/CDD]],Plant_AILN!I:J,2,FALSE))</f>
        <v>-</v>
      </c>
      <c r="AN8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3" s="2">
        <f ca="1">VLOOKUP(Tableau1[[#This Row],[Key(POD -PFI- Usine)]],'DATA Consignee'!A:J,10,FALSE)</f>
        <v>0</v>
      </c>
      <c r="AQ83" s="50">
        <f ca="1">VLOOKUP(Tableau1[[#This Row],[Key(POD -PFI- Usine)]],'DATA Consignee'!A:N,14,FALSE)</f>
        <v>0</v>
      </c>
      <c r="AR83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5</v>
      </c>
      <c r="AS83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83" s="50">
        <f ca="1">Tableau1[[#This Row],[Transit time]]+Tableau1[[#This Row],[Time for security]]+Tableau1[[#This Row],[Time for security2 buffer]]</f>
        <v>19</v>
      </c>
      <c r="AU83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41</v>
      </c>
      <c r="AV83" s="389">
        <f ca="1">Tableau1[[#This Row],[Leadtime SI2C]]+Tableau1[[#This Row],[First Receipt Days]]-Tableau1[[#This Row],[Day Customer Order]]+1</f>
        <v>57</v>
      </c>
      <c r="AW83" s="117">
        <f ca="1">IF(Tableau1[[#This Row],[Name ILN]]&lt;&gt;"SFK Freight Forwarder",Tableau1[[#This Row],[Cust. Leadtime]],Tableau1[[#This Row],[Leadtime SI2C]])</f>
        <v>57</v>
      </c>
      <c r="AX83" s="51" t="str">
        <f>VLOOKUP(Tableau1[[#This Row],[ID]],'DATA BTO'!B:P,15,FALSE)</f>
        <v>Nissan &gt; Renault</v>
      </c>
      <c r="AY83" s="328">
        <f ca="1">IFERROR(VLOOKUP(Tableau1[[#This Row],[Key(ID-Actif)]],'DATA BTO'!A:N,4,FALSE),VLOOKUP(Tableau1[[#This Row],[ID]],'DATA BTO'!B:N,3,FALSE))</f>
        <v>46142</v>
      </c>
      <c r="AZ83" s="50" t="str">
        <f>IF(ISNUMBER(Tableau1[[#This Row],[Day Customer Order]]),"-","Please Check 'Name' information in 'Order' Sheet to make sure they have information")</f>
        <v>-</v>
      </c>
      <c r="BA83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3" s="50"/>
    </row>
    <row r="84" spans="2:57">
      <c r="B84" s="447" t="str">
        <f>_xlfn.CONCAT(Tableau1[[#This Row],[Name ILN]],"-",Tableau1[[#This Row],[Name Shipper]],"-",Tableau1[[#This Row],[Name Site]])</f>
        <v>ILN Mexique-ILN Mexique-CURITIBA CVP</v>
      </c>
      <c r="C84" s="65" t="str">
        <f ca="1">_xlfn.CONCAT(Tableau1[[#This Row],[Compte ILN]],"-",Tableau1[[#This Row],[Compte Shipper]],"-",Tableau1[[#This Row],[POL]],"-",Tableau1[[#This Row],[Compte Consignee]])</f>
        <v>333333-333333-MXVER-90018000</v>
      </c>
      <c r="D84" s="64" t="str">
        <f ca="1">_xlfn.CONCAT(Tableau1[[#This Row],[Compte ILN]],"-",Tableau1[[#This Row],[Compte Shipper]],"-",Tableau1[[#This Row],[POL]])</f>
        <v>333333-333333-MXVER</v>
      </c>
      <c r="E84" s="396" t="str">
        <f ca="1">_xlfn.CONCAT(Tableau1[[#This Row],[POL]],"-",Tableau1[[#This Row],[Carrier]],"-",Tableau1[[#This Row],[POD]])</f>
        <v>MXVER-MSC-BRPNG</v>
      </c>
      <c r="F84" s="64" t="str">
        <f>_xlfn.CONCAT(Tableau1[[#This Row],[ID]],"-","Actif")</f>
        <v>1081-Actif</v>
      </c>
      <c r="G84" s="64" t="str">
        <f ca="1">_xlfn.CONCAT(Tableau1[[#This Row],[POD]],"-",Tableau1[[#This Row],[Code PFI]],"-",Tableau1[[#This Row],[Compte Consignee]])</f>
        <v>BRPNG---90018000</v>
      </c>
      <c r="H84" s="396" t="str">
        <f ca="1">_xlfn.CONCAT(IF(Tableau1[[#This Row],[Name ILN]]=Tableau1[[#This Row],[Name Shipper]],Tableau1[[#This Row],[Name ILN]],Tableau1[[#This Row],[Compte Shipper]]),Tableau1[[#This Row],[POL]],Tableau1[[#This Row],[Name Site]])</f>
        <v>ILN MexiqueMXVERCURITIBA CVP</v>
      </c>
      <c r="I84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CVP-ILN Mexique-ILN Mexique-1081-MXVER-MSC-BRPNG-</v>
      </c>
      <c r="J84" s="397" t="str">
        <f ca="1">IF(COUNTIF(I:I,Tableau1[[#This Row],[Plant-ILN-shipper-POL-Carrier-POD-PFI]])=1,"Non","Oui")</f>
        <v>Non</v>
      </c>
      <c r="K84" s="126" t="str">
        <f>VLOOKUP(Tableau1[[#This Row],[Name Site]],Plant_AILN!A:D,4,FALSE)</f>
        <v>BRAZIL</v>
      </c>
      <c r="L84" s="363" t="s">
        <v>182</v>
      </c>
      <c r="M84" s="480">
        <f>VLOOKUP(Tableau1[[#This Row],[Name Site]],Plant_AILN!A:C,3,FALSE)</f>
        <v>90018000</v>
      </c>
      <c r="N84" s="55">
        <f>VLOOKUP(Tableau1[[#This Row],[Compte Consignee]],Order!C:D,2,FALSE)</f>
        <v>7</v>
      </c>
      <c r="O84" s="114" t="s">
        <v>191</v>
      </c>
      <c r="P84" s="481">
        <f>VLOOKUP(Tableau1[[#This Row],[Name ILN]],Plant_AILN!F:G,2,FALSE)</f>
        <v>333333</v>
      </c>
      <c r="Q84" s="50">
        <f>VLOOKUP(Tableau1[[#This Row],[Compte ILN]],'DATA ILN'!D:I,6,FALSE)</f>
        <v>9</v>
      </c>
      <c r="R84" s="50">
        <f ca="1">IFERROR(VLOOKUP(Tableau1[[#This Row],[Key(Compte ILN - shipper - POL - plant)]],'DATA ILN'!A:J,10,FALSE),VLOOKUP(Tableau1[[#This Row],[Key(Compte ILN - shipper - POL)]],'DATA ILN'!B:J,9,FALSE))</f>
        <v>14</v>
      </c>
      <c r="S84" s="50">
        <f ca="1">IFERROR(VLOOKUP(Tableau1[[#This Row],[Key(Compte ILN - shipper - POL - plant)]],'DATA ILN'!A:K,11,FALSE),VLOOKUP(Tableau1[[#This Row],[Key(Compte ILN - shipper - POL)]],'DATA ILN'!B:K,10,FALSE))</f>
        <v>5</v>
      </c>
      <c r="T84" s="50">
        <f ca="1">IFERROR(VLOOKUP(Tableau1[[#This Row],[Key(Compte ILN - shipper - POL - plant)]],'DATA ILN'!A:L,12,FALSE),VLOOKUP(Tableau1[[#This Row],[Key(Compte ILN - shipper - POL)]],'DATA ILN'!B:L,11,FALSE))</f>
        <v>7</v>
      </c>
      <c r="U84" s="50">
        <f ca="1">Tableau1[[#This Row],[Day ILN Order]]+Tableau1[[#This Row],[Delivery time to ILN/Shipper]]-1</f>
        <v>22</v>
      </c>
      <c r="V84" s="50">
        <f ca="1">IFERROR(VLOOKUP(Tableau1[[#This Row],[Key(Compte ILN - shipper - POL - plant)]],'DATA ILN'!A:N,14,FALSE),VLOOKUP(Tableau1[[#This Row],[Key(Compte ILN - shipper - POL)]],'DATA ILN'!B:N,13,FALSE))</f>
        <v>2</v>
      </c>
      <c r="W84" s="53">
        <f ca="1">IFERROR(VLOOKUP(Tableau1[[#This Row],[Key(Compte ILN - shipper - POL - plant)]],'DATA ILN'!A:P,16,FALSE),VLOOKUP(Tableau1[[#This Row],[Key(Compte ILN - shipper - POL)]],'DATA ILN'!B:P,15,FALSE))</f>
        <v>1</v>
      </c>
      <c r="X84" s="283" t="s">
        <v>191</v>
      </c>
      <c r="Y84" s="482">
        <f>IFERROR(VLOOKUP(Tableau1[[#This Row],[Name Shipper]],Plant_AILN!L:M,2,FALSE),0)</f>
        <v>333333</v>
      </c>
      <c r="Z84" s="358">
        <v>1081</v>
      </c>
      <c r="AA84" s="353" t="str">
        <f ca="1">VLOOKUP(Tableau1[[#This Row],[Key(ID-Actif)]],'DATA BTO'!A:N,5,FALSE)</f>
        <v>MXVER</v>
      </c>
      <c r="AB84" s="3" t="str">
        <f ca="1">VLOOKUP(Tableau1[[#This Row],[Key(ID-Actif)]],'DATA BTO'!A:N,6,FALSE)</f>
        <v>MSC</v>
      </c>
      <c r="AC84" s="50">
        <f ca="1">VLOOKUP(Tableau1[[#This Row],[Key(ID-Actif)]],'DATA BTO'!A:N,7,FALSE)</f>
        <v>3</v>
      </c>
      <c r="AD84" s="50">
        <f ca="1">VLOOKUP(Tableau1[[#This Row],[Key(ID-Actif)]],'DATA BTO'!A:N,8,FALSE)</f>
        <v>5</v>
      </c>
      <c r="AE84" s="50">
        <f ca="1">IF(Tableau1[[#This Row],[First Day to POL]]&lt;=Tableau1[[#This Row],[Day Cut Off]],Tableau1[[#This Row],[Day ETD]],Tableau1[[#This Row],[Day ETD]]+7)</f>
        <v>5</v>
      </c>
      <c r="AF84" s="50">
        <f ca="1">VLOOKUP(Tableau1[[#This Row],[Key(ID-Actif)]],'DATA BTO'!A:N,9,FALSE)</f>
        <v>35</v>
      </c>
      <c r="AG84" s="3" t="str">
        <f ca="1">VLOOKUP(Tableau1[[#This Row],[Key(ID-Actif)]],'DATA BTO'!A:N,10,FALSE)</f>
        <v>BRPNG</v>
      </c>
      <c r="AH84" s="3">
        <f ca="1">VLOOKUP(Tableau1[[#This Row],[Key(ID-Actif)]],'DATA BTO'!A:N,11,FALSE)</f>
        <v>3</v>
      </c>
      <c r="AI84" s="50">
        <f ca="1">VLOOKUP(Tableau1[[#This Row],[Key(ID-Actif)]],'DATA BTO'!A:N,12,FALSE)</f>
        <v>0</v>
      </c>
      <c r="AJ84" s="53" t="str">
        <f ca="1">VLOOKUP(Tableau1[[#This Row],[Key(ID-Actif)]],'DATA BTO'!A:N,14,FALSE)</f>
        <v>Jocelyn</v>
      </c>
      <c r="AK84" s="54">
        <f ca="1">VLOOKUP(Tableau1[[#This Row],[Key(POD -PFI- Usine)]],'DATA Consignee'!A:F,6,FALSE)</f>
        <v>2</v>
      </c>
      <c r="AL84" s="125"/>
      <c r="AM84" s="483" t="str">
        <f>IF(Tableau1[[#This Row],[Name PFI/CDD]]="","-",VLOOKUP(Tableau1[[#This Row],[Name PFI/CDD]],Plant_AILN!I:J,2,FALSE))</f>
        <v>-</v>
      </c>
      <c r="AN8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4" s="2">
        <f ca="1">VLOOKUP(Tableau1[[#This Row],[Key(POD -PFI- Usine)]],'DATA Consignee'!A:J,10,FALSE)</f>
        <v>0</v>
      </c>
      <c r="AQ84" s="50">
        <f ca="1">VLOOKUP(Tableau1[[#This Row],[Key(POD -PFI- Usine)]],'DATA Consignee'!A:N,14,FALSE)</f>
        <v>2</v>
      </c>
      <c r="AR84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84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84" s="50">
        <f ca="1">Tableau1[[#This Row],[Transit time]]+Tableau1[[#This Row],[Time for security]]+Tableau1[[#This Row],[Time for security2 buffer]]</f>
        <v>38</v>
      </c>
      <c r="AU84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84" s="389">
        <f ca="1">Tableau1[[#This Row],[Leadtime SI2C]]+Tableau1[[#This Row],[First Receipt Days]]-Tableau1[[#This Row],[Day Customer Order]]+1</f>
        <v>78</v>
      </c>
      <c r="AW84" s="117">
        <f ca="1">IF(Tableau1[[#This Row],[Name ILN]]&lt;&gt;"SFK Freight Forwarder",Tableau1[[#This Row],[Cust. Leadtime]],Tableau1[[#This Row],[Leadtime SI2C]])</f>
        <v>78</v>
      </c>
      <c r="AX84" s="51" t="str">
        <f>VLOOKUP(Tableau1[[#This Row],[ID]],'DATA BTO'!B:P,15,FALSE)</f>
        <v>Nissan &gt; Renault</v>
      </c>
      <c r="AY84" s="328">
        <f ca="1">IFERROR(VLOOKUP(Tableau1[[#This Row],[Key(ID-Actif)]],'DATA BTO'!A:N,4,FALSE),VLOOKUP(Tableau1[[#This Row],[ID]],'DATA BTO'!B:N,3,FALSE))</f>
        <v>46142</v>
      </c>
      <c r="AZ84" s="50" t="str">
        <f>IF(ISNUMBER(Tableau1[[#This Row],[Day Customer Order]]),"-","Please Check 'Name' information in 'Order' Sheet to make sure they have information")</f>
        <v>-</v>
      </c>
      <c r="BA84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4" s="50"/>
    </row>
    <row r="85" spans="2:57">
      <c r="B85" s="447" t="str">
        <f>_xlfn.CONCAT(Tableau1[[#This Row],[Name ILN]],"-",Tableau1[[#This Row],[Name Shipper]],"-",Tableau1[[#This Row],[Name Site]])</f>
        <v>ILN Mexique-ILN Mexique-CORDOBA</v>
      </c>
      <c r="C85" s="65" t="str">
        <f ca="1">_xlfn.CONCAT(Tableau1[[#This Row],[Compte ILN]],"-",Tableau1[[#This Row],[Compte Shipper]],"-",Tableau1[[#This Row],[POL]],"-",Tableau1[[#This Row],[Compte Consignee]])</f>
        <v>333333-333333-MXVER-90016000</v>
      </c>
      <c r="D85" s="64" t="str">
        <f ca="1">_xlfn.CONCAT(Tableau1[[#This Row],[Compte ILN]],"-",Tableau1[[#This Row],[Compte Shipper]],"-",Tableau1[[#This Row],[POL]])</f>
        <v>333333-333333-MXVER</v>
      </c>
      <c r="E85" s="396" t="str">
        <f ca="1">_xlfn.CONCAT(Tableau1[[#This Row],[POL]],"-",Tableau1[[#This Row],[Carrier]],"-",Tableau1[[#This Row],[POD]])</f>
        <v>MXVER-MSC-ARBUE</v>
      </c>
      <c r="F85" s="64" t="str">
        <f>_xlfn.CONCAT(Tableau1[[#This Row],[ID]],"-","Actif")</f>
        <v>1082-Actif</v>
      </c>
      <c r="G85" s="64" t="str">
        <f ca="1">_xlfn.CONCAT(Tableau1[[#This Row],[POD]],"-",Tableau1[[#This Row],[Code PFI]],"-",Tableau1[[#This Row],[Compte Consignee]])</f>
        <v>ARBUE---90016000</v>
      </c>
      <c r="H85" s="396" t="str">
        <f ca="1">_xlfn.CONCAT(IF(Tableau1[[#This Row],[Name ILN]]=Tableau1[[#This Row],[Name Shipper]],Tableau1[[#This Row],[Name ILN]],Tableau1[[#This Row],[Compte Shipper]]),Tableau1[[#This Row],[POL]],Tableau1[[#This Row],[Name Site]])</f>
        <v>ILN MexiqueMXVERCORDOBA</v>
      </c>
      <c r="I85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CORDOBA-ILN Mexique-ILN Mexique-1082-MXVER-MSC-ARBUE-</v>
      </c>
      <c r="J85" s="397" t="str">
        <f ca="1">IF(COUNTIF(I:I,Tableau1[[#This Row],[Plant-ILN-shipper-POL-Carrier-POD-PFI]])=1,"Non","Oui")</f>
        <v>Non</v>
      </c>
      <c r="K85" s="126" t="str">
        <f>VLOOKUP(Tableau1[[#This Row],[Name Site]],Plant_AILN!A:D,4,FALSE)</f>
        <v>ARGENTINA</v>
      </c>
      <c r="L85" s="363" t="s">
        <v>169</v>
      </c>
      <c r="M85" s="480">
        <f>VLOOKUP(Tableau1[[#This Row],[Name Site]],Plant_AILN!A:C,3,FALSE)</f>
        <v>90016000</v>
      </c>
      <c r="N85" s="55">
        <f>VLOOKUP(Tableau1[[#This Row],[Compte Consignee]],Order!C:D,2,FALSE)</f>
        <v>7</v>
      </c>
      <c r="O85" s="114" t="s">
        <v>191</v>
      </c>
      <c r="P85" s="481">
        <f>VLOOKUP(Tableau1[[#This Row],[Name ILN]],Plant_AILN!F:G,2,FALSE)</f>
        <v>333333</v>
      </c>
      <c r="Q85" s="50">
        <f>VLOOKUP(Tableau1[[#This Row],[Compte ILN]],'DATA ILN'!D:I,6,FALSE)</f>
        <v>9</v>
      </c>
      <c r="R85" s="50">
        <f ca="1">IFERROR(VLOOKUP(Tableau1[[#This Row],[Key(Compte ILN - shipper - POL - plant)]],'DATA ILN'!A:J,10,FALSE),VLOOKUP(Tableau1[[#This Row],[Key(Compte ILN - shipper - POL)]],'DATA ILN'!B:J,9,FALSE))</f>
        <v>14</v>
      </c>
      <c r="S85" s="50">
        <f ca="1">IFERROR(VLOOKUP(Tableau1[[#This Row],[Key(Compte ILN - shipper - POL - plant)]],'DATA ILN'!A:K,11,FALSE),VLOOKUP(Tableau1[[#This Row],[Key(Compte ILN - shipper - POL)]],'DATA ILN'!B:K,10,FALSE))</f>
        <v>5</v>
      </c>
      <c r="T85" s="50">
        <f ca="1">IFERROR(VLOOKUP(Tableau1[[#This Row],[Key(Compte ILN - shipper - POL - plant)]],'DATA ILN'!A:L,12,FALSE),VLOOKUP(Tableau1[[#This Row],[Key(Compte ILN - shipper - POL)]],'DATA ILN'!B:L,11,FALSE))</f>
        <v>7</v>
      </c>
      <c r="U85" s="50">
        <f ca="1">Tableau1[[#This Row],[Day ILN Order]]+Tableau1[[#This Row],[Delivery time to ILN/Shipper]]-1</f>
        <v>22</v>
      </c>
      <c r="V85" s="50">
        <f ca="1">IFERROR(VLOOKUP(Tableau1[[#This Row],[Key(Compte ILN - shipper - POL - plant)]],'DATA ILN'!A:N,14,FALSE),VLOOKUP(Tableau1[[#This Row],[Key(Compte ILN - shipper - POL)]],'DATA ILN'!B:N,13,FALSE))</f>
        <v>2</v>
      </c>
      <c r="W85" s="53">
        <f ca="1">IFERROR(VLOOKUP(Tableau1[[#This Row],[Key(Compte ILN - shipper - POL - plant)]],'DATA ILN'!A:P,16,FALSE),VLOOKUP(Tableau1[[#This Row],[Key(Compte ILN - shipper - POL)]],'DATA ILN'!B:P,15,FALSE))</f>
        <v>1</v>
      </c>
      <c r="X85" s="283" t="s">
        <v>191</v>
      </c>
      <c r="Y85" s="482">
        <f>IFERROR(VLOOKUP(Tableau1[[#This Row],[Name Shipper]],Plant_AILN!L:M,2,FALSE),0)</f>
        <v>333333</v>
      </c>
      <c r="Z85" s="358">
        <v>1082</v>
      </c>
      <c r="AA85" s="353" t="str">
        <f ca="1">VLOOKUP(Tableau1[[#This Row],[Key(ID-Actif)]],'DATA BTO'!A:N,5,FALSE)</f>
        <v>MXVER</v>
      </c>
      <c r="AB85" s="3" t="str">
        <f ca="1">VLOOKUP(Tableau1[[#This Row],[Key(ID-Actif)]],'DATA BTO'!A:N,6,FALSE)</f>
        <v>MSC</v>
      </c>
      <c r="AC85" s="50">
        <f ca="1">VLOOKUP(Tableau1[[#This Row],[Key(ID-Actif)]],'DATA BTO'!A:N,7,FALSE)</f>
        <v>2</v>
      </c>
      <c r="AD85" s="50">
        <f ca="1">VLOOKUP(Tableau1[[#This Row],[Key(ID-Actif)]],'DATA BTO'!A:N,8,FALSE)</f>
        <v>4</v>
      </c>
      <c r="AE85" s="50">
        <f ca="1">IF(Tableau1[[#This Row],[First Day to POL]]&lt;=Tableau1[[#This Row],[Day Cut Off]],Tableau1[[#This Row],[Day ETD]],Tableau1[[#This Row],[Day ETD]]+7)</f>
        <v>4</v>
      </c>
      <c r="AF85" s="50">
        <f ca="1">VLOOKUP(Tableau1[[#This Row],[Key(ID-Actif)]],'DATA BTO'!A:N,9,FALSE)</f>
        <v>36</v>
      </c>
      <c r="AG85" s="3" t="str">
        <f ca="1">VLOOKUP(Tableau1[[#This Row],[Key(ID-Actif)]],'DATA BTO'!A:N,10,FALSE)</f>
        <v>ARBUE</v>
      </c>
      <c r="AH85" s="3">
        <f ca="1">VLOOKUP(Tableau1[[#This Row],[Key(ID-Actif)]],'DATA BTO'!A:N,11,FALSE)</f>
        <v>3</v>
      </c>
      <c r="AI85" s="50">
        <f ca="1">VLOOKUP(Tableau1[[#This Row],[Key(ID-Actif)]],'DATA BTO'!A:N,12,FALSE)</f>
        <v>0</v>
      </c>
      <c r="AJ85" s="53" t="str">
        <f ca="1">VLOOKUP(Tableau1[[#This Row],[Key(ID-Actif)]],'DATA BTO'!A:N,14,FALSE)</f>
        <v>Jocelyn</v>
      </c>
      <c r="AK85" s="54">
        <f ca="1">VLOOKUP(Tableau1[[#This Row],[Key(POD -PFI- Usine)]],'DATA Consignee'!A:F,6,FALSE)</f>
        <v>3</v>
      </c>
      <c r="AL85" s="125"/>
      <c r="AM85" s="483" t="str">
        <f>IF(Tableau1[[#This Row],[Name PFI/CDD]]="","-",VLOOKUP(Tableau1[[#This Row],[Name PFI/CDD]],Plant_AILN!I:J,2,FALSE))</f>
        <v>-</v>
      </c>
      <c r="AN8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5" s="2">
        <f ca="1">VLOOKUP(Tableau1[[#This Row],[Key(POD -PFI- Usine)]],'DATA Consignee'!A:J,10,FALSE)</f>
        <v>0</v>
      </c>
      <c r="AQ85" s="50">
        <f ca="1">VLOOKUP(Tableau1[[#This Row],[Key(POD -PFI- Usine)]],'DATA Consignee'!A:N,14,FALSE)</f>
        <v>3</v>
      </c>
      <c r="AR85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1</v>
      </c>
      <c r="AS85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16</v>
      </c>
      <c r="AT85" s="50">
        <f ca="1">Tableau1[[#This Row],[Transit time]]+Tableau1[[#This Row],[Time for security]]+Tableau1[[#This Row],[Time for security2 buffer]]</f>
        <v>39</v>
      </c>
      <c r="AU85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85" s="389">
        <f ca="1">Tableau1[[#This Row],[Leadtime SI2C]]+Tableau1[[#This Row],[First Receipt Days]]-Tableau1[[#This Row],[Day Customer Order]]+1</f>
        <v>78</v>
      </c>
      <c r="AW85" s="117">
        <f ca="1">IF(Tableau1[[#This Row],[Name ILN]]&lt;&gt;"SFK Freight Forwarder",Tableau1[[#This Row],[Cust. Leadtime]],Tableau1[[#This Row],[Leadtime SI2C]])</f>
        <v>78</v>
      </c>
      <c r="AX85" s="51" t="str">
        <f>VLOOKUP(Tableau1[[#This Row],[ID]],'DATA BTO'!B:P,15,FALSE)</f>
        <v>Nissan &gt; Renault</v>
      </c>
      <c r="AY85" s="328">
        <f ca="1">IFERROR(VLOOKUP(Tableau1[[#This Row],[Key(ID-Actif)]],'DATA BTO'!A:N,4,FALSE),VLOOKUP(Tableau1[[#This Row],[ID]],'DATA BTO'!B:N,3,FALSE))</f>
        <v>46142</v>
      </c>
      <c r="AZ85" s="50" t="str">
        <f>IF(ISNUMBER(Tableau1[[#This Row],[Day Customer Order]]),"-","Please Check 'Name' information in 'Order' Sheet to make sure they have information")</f>
        <v>-</v>
      </c>
      <c r="BA85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5" s="50"/>
    </row>
    <row r="86" spans="2:57">
      <c r="B86" s="447" t="str">
        <f>_xlfn.CONCAT(Tableau1[[#This Row],[Name ILN]],"-",Tableau1[[#This Row],[Name Shipper]],"-",Tableau1[[#This Row],[Name Site]])</f>
        <v>ILN Mexique-ILN Mexique-RKM</v>
      </c>
      <c r="C86" s="65" t="str">
        <f ca="1">_xlfn.CONCAT(Tableau1[[#This Row],[Compte ILN]],"-",Tableau1[[#This Row],[Compte Shipper]],"-",Tableau1[[#This Row],[POL]],"-",Tableau1[[#This Row],[Compte Consignee]])</f>
        <v>333333-333333-MXZLO-92002200</v>
      </c>
      <c r="D86" s="64" t="str">
        <f ca="1">_xlfn.CONCAT(Tableau1[[#This Row],[Compte ILN]],"-",Tableau1[[#This Row],[Compte Shipper]],"-",Tableau1[[#This Row],[POL]])</f>
        <v>333333-333333-MXZLO</v>
      </c>
      <c r="E86" s="396" t="str">
        <f ca="1">_xlfn.CONCAT(Tableau1[[#This Row],[POL]],"-",Tableau1[[#This Row],[Carrier]],"-",Tableau1[[#This Row],[POD]])</f>
        <v>MXZLO-MSC-KRPUS</v>
      </c>
      <c r="F86" s="64" t="str">
        <f>_xlfn.CONCAT(Tableau1[[#This Row],[ID]],"-","Actif")</f>
        <v>1083-Actif</v>
      </c>
      <c r="G86" s="64" t="str">
        <f ca="1">_xlfn.CONCAT(Tableau1[[#This Row],[POD]],"-",Tableau1[[#This Row],[Code PFI]],"-",Tableau1[[#This Row],[Compte Consignee]])</f>
        <v>KRPUS---92002200</v>
      </c>
      <c r="H86" s="396" t="str">
        <f ca="1">_xlfn.CONCAT(IF(Tableau1[[#This Row],[Name ILN]]=Tableau1[[#This Row],[Name Shipper]],Tableau1[[#This Row],[Name ILN]],Tableau1[[#This Row],[Compte Shipper]]),Tableau1[[#This Row],[POL]],Tableau1[[#This Row],[Name Site]])</f>
        <v>ILN MexiqueMXZLORKM</v>
      </c>
      <c r="I86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RKM-ILN Mexique-ILN Mexique-1083-MXZLO-MSC-KRPUS-</v>
      </c>
      <c r="J86" s="397" t="str">
        <f ca="1">IF(COUNTIF(I:I,Tableau1[[#This Row],[Plant-ILN-shipper-POL-Carrier-POD-PFI]])=1,"Non","Oui")</f>
        <v>Non</v>
      </c>
      <c r="K86" s="126" t="str">
        <f>VLOOKUP(Tableau1[[#This Row],[Name Site]],Plant_AILN!A:D,4,FALSE)</f>
        <v>KOREA</v>
      </c>
      <c r="L86" s="363" t="s">
        <v>36</v>
      </c>
      <c r="M86" s="480">
        <f>VLOOKUP(Tableau1[[#This Row],[Name Site]],Plant_AILN!A:C,3,FALSE)</f>
        <v>92002200</v>
      </c>
      <c r="N86" s="55">
        <f>VLOOKUP(Tableau1[[#This Row],[Compte Consignee]],Order!C:D,2,FALSE)</f>
        <v>7</v>
      </c>
      <c r="O86" s="114" t="s">
        <v>191</v>
      </c>
      <c r="P86" s="481">
        <f>VLOOKUP(Tableau1[[#This Row],[Name ILN]],Plant_AILN!F:G,2,FALSE)</f>
        <v>333333</v>
      </c>
      <c r="Q86" s="50">
        <f>VLOOKUP(Tableau1[[#This Row],[Compte ILN]],'DATA ILN'!D:I,6,FALSE)</f>
        <v>9</v>
      </c>
      <c r="R86" s="50">
        <f ca="1">IFERROR(VLOOKUP(Tableau1[[#This Row],[Key(Compte ILN - shipper - POL - plant)]],'DATA ILN'!A:J,10,FALSE),VLOOKUP(Tableau1[[#This Row],[Key(Compte ILN - shipper - POL)]],'DATA ILN'!B:J,9,FALSE))</f>
        <v>14</v>
      </c>
      <c r="S86" s="50">
        <f ca="1">IFERROR(VLOOKUP(Tableau1[[#This Row],[Key(Compte ILN - shipper - POL - plant)]],'DATA ILN'!A:K,11,FALSE),VLOOKUP(Tableau1[[#This Row],[Key(Compte ILN - shipper - POL)]],'DATA ILN'!B:K,10,FALSE))</f>
        <v>5</v>
      </c>
      <c r="T86" s="50">
        <f ca="1">IFERROR(VLOOKUP(Tableau1[[#This Row],[Key(Compte ILN - shipper - POL - plant)]],'DATA ILN'!A:L,12,FALSE),VLOOKUP(Tableau1[[#This Row],[Key(Compte ILN - shipper - POL)]],'DATA ILN'!B:L,11,FALSE))</f>
        <v>7</v>
      </c>
      <c r="U86" s="50">
        <f ca="1">Tableau1[[#This Row],[Day ILN Order]]+Tableau1[[#This Row],[Delivery time to ILN/Shipper]]-1</f>
        <v>22</v>
      </c>
      <c r="V86" s="50">
        <f ca="1">IFERROR(VLOOKUP(Tableau1[[#This Row],[Key(Compte ILN - shipper - POL - plant)]],'DATA ILN'!A:N,14,FALSE),VLOOKUP(Tableau1[[#This Row],[Key(Compte ILN - shipper - POL)]],'DATA ILN'!B:N,13,FALSE))</f>
        <v>2</v>
      </c>
      <c r="W86" s="53">
        <f ca="1">IFERROR(VLOOKUP(Tableau1[[#This Row],[Key(Compte ILN - shipper - POL - plant)]],'DATA ILN'!A:P,16,FALSE),VLOOKUP(Tableau1[[#This Row],[Key(Compte ILN - shipper - POL)]],'DATA ILN'!B:P,15,FALSE))</f>
        <v>0</v>
      </c>
      <c r="X86" s="283" t="s">
        <v>191</v>
      </c>
      <c r="Y86" s="482">
        <f>IFERROR(VLOOKUP(Tableau1[[#This Row],[Name Shipper]],Plant_AILN!L:M,2,FALSE),0)</f>
        <v>333333</v>
      </c>
      <c r="Z86" s="358">
        <v>1083</v>
      </c>
      <c r="AA86" s="353" t="str">
        <f ca="1">VLOOKUP(Tableau1[[#This Row],[Key(ID-Actif)]],'DATA BTO'!A:N,5,FALSE)</f>
        <v>MXZLO</v>
      </c>
      <c r="AB86" s="3" t="str">
        <f ca="1">VLOOKUP(Tableau1[[#This Row],[Key(ID-Actif)]],'DATA BTO'!A:N,6,FALSE)</f>
        <v>MSC</v>
      </c>
      <c r="AC86" s="50">
        <f ca="1">VLOOKUP(Tableau1[[#This Row],[Key(ID-Actif)]],'DATA BTO'!A:N,7,FALSE)</f>
        <v>3</v>
      </c>
      <c r="AD86" s="50">
        <f ca="1">VLOOKUP(Tableau1[[#This Row],[Key(ID-Actif)]],'DATA BTO'!A:N,8,FALSE)</f>
        <v>5</v>
      </c>
      <c r="AE86" s="50">
        <f ca="1">IF(Tableau1[[#This Row],[First Day to POL]]&lt;=Tableau1[[#This Row],[Day Cut Off]],Tableau1[[#This Row],[Day ETD]],Tableau1[[#This Row],[Day ETD]]+7)</f>
        <v>5</v>
      </c>
      <c r="AF86" s="50">
        <f ca="1">VLOOKUP(Tableau1[[#This Row],[Key(ID-Actif)]],'DATA BTO'!A:N,9,FALSE)</f>
        <v>25</v>
      </c>
      <c r="AG86" s="3" t="str">
        <f ca="1">VLOOKUP(Tableau1[[#This Row],[Key(ID-Actif)]],'DATA BTO'!A:N,10,FALSE)</f>
        <v>KRPUS</v>
      </c>
      <c r="AH86" s="3">
        <f ca="1">VLOOKUP(Tableau1[[#This Row],[Key(ID-Actif)]],'DATA BTO'!A:N,11,FALSE)</f>
        <v>3</v>
      </c>
      <c r="AI86" s="50">
        <f ca="1">VLOOKUP(Tableau1[[#This Row],[Key(ID-Actif)]],'DATA BTO'!A:N,12,FALSE)</f>
        <v>0</v>
      </c>
      <c r="AJ86" s="53" t="str">
        <f ca="1">VLOOKUP(Tableau1[[#This Row],[Key(ID-Actif)]],'DATA BTO'!A:N,14,FALSE)</f>
        <v>Jocelyn</v>
      </c>
      <c r="AK86" s="54">
        <f ca="1">VLOOKUP(Tableau1[[#This Row],[Key(POD -PFI- Usine)]],'DATA Consignee'!A:F,6,FALSE)</f>
        <v>2</v>
      </c>
      <c r="AL86" s="125"/>
      <c r="AM86" s="483" t="str">
        <f>IF(Tableau1[[#This Row],[Name PFI/CDD]]="","-",VLOOKUP(Tableau1[[#This Row],[Name PFI/CDD]],Plant_AILN!I:J,2,FALSE))</f>
        <v>-</v>
      </c>
      <c r="AN8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6" s="2">
        <f ca="1">VLOOKUP(Tableau1[[#This Row],[Key(POD -PFI- Usine)]],'DATA Consignee'!A:J,10,FALSE)</f>
        <v>0</v>
      </c>
      <c r="AQ86" s="50">
        <f ca="1">VLOOKUP(Tableau1[[#This Row],[Key(POD -PFI- Usine)]],'DATA Consignee'!A:N,14,FALSE)</f>
        <v>1</v>
      </c>
      <c r="AR86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0</v>
      </c>
      <c r="AS86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86" s="50">
        <f ca="1">Tableau1[[#This Row],[Transit time]]+Tableau1[[#This Row],[Time for security]]+Tableau1[[#This Row],[Time for security2 buffer]]</f>
        <v>28</v>
      </c>
      <c r="AU86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48</v>
      </c>
      <c r="AV86" s="389">
        <f ca="1">Tableau1[[#This Row],[Leadtime SI2C]]+Tableau1[[#This Row],[First Receipt Days]]-Tableau1[[#This Row],[Day Customer Order]]+1</f>
        <v>64</v>
      </c>
      <c r="AW86" s="117">
        <f ca="1">IF(Tableau1[[#This Row],[Name ILN]]&lt;&gt;"SFK Freight Forwarder",Tableau1[[#This Row],[Cust. Leadtime]],Tableau1[[#This Row],[Leadtime SI2C]])</f>
        <v>64</v>
      </c>
      <c r="AX86" s="51" t="str">
        <f>VLOOKUP(Tableau1[[#This Row],[ID]],'DATA BTO'!B:P,15,FALSE)</f>
        <v>Nissan &gt; Renault</v>
      </c>
      <c r="AY86" s="328">
        <f ca="1">IFERROR(VLOOKUP(Tableau1[[#This Row],[Key(ID-Actif)]],'DATA BTO'!A:N,4,FALSE),VLOOKUP(Tableau1[[#This Row],[ID]],'DATA BTO'!B:N,3,FALSE))</f>
        <v>46142</v>
      </c>
      <c r="AZ86" s="50" t="str">
        <f>IF(ISNUMBER(Tableau1[[#This Row],[Day Customer Order]]),"-","Please Check 'Name' information in 'Order' Sheet to make sure they have information")</f>
        <v>-</v>
      </c>
      <c r="BA8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6" s="50"/>
    </row>
    <row r="87" spans="2:57">
      <c r="B87" s="447" t="str">
        <f>_xlfn.CONCAT(Tableau1[[#This Row],[Name ILN]],"-",Tableau1[[#This Row],[Name Shipper]],"-",Tableau1[[#This Row],[Name Site]])</f>
        <v>ILN Mexique-ILN Mexique-CURITIBA CMO</v>
      </c>
      <c r="C87" s="65" t="str">
        <f ca="1">_xlfn.CONCAT(Tableau1[[#This Row],[Compte ILN]],"-",Tableau1[[#This Row],[Compte Shipper]],"-",Tableau1[[#This Row],[POL]],"-",Tableau1[[#This Row],[Compte Consignee]])</f>
        <v>333333-333333-MXVER-90018600</v>
      </c>
      <c r="D87" s="64" t="str">
        <f ca="1">_xlfn.CONCAT(Tableau1[[#This Row],[Compte ILN]],"-",Tableau1[[#This Row],[Compte Shipper]],"-",Tableau1[[#This Row],[POL]])</f>
        <v>333333-333333-MXVER</v>
      </c>
      <c r="E87" s="396" t="str">
        <f ca="1">_xlfn.CONCAT(Tableau1[[#This Row],[POL]],"-",Tableau1[[#This Row],[Carrier]],"-",Tableau1[[#This Row],[POD]])</f>
        <v>MXVER-MSC-BRPNG</v>
      </c>
      <c r="F87" s="64" t="str">
        <f>_xlfn.CONCAT(Tableau1[[#This Row],[ID]],"-","Actif")</f>
        <v>1084-Actif</v>
      </c>
      <c r="G87" s="64" t="str">
        <f ca="1">_xlfn.CONCAT(Tableau1[[#This Row],[POD]],"-",Tableau1[[#This Row],[Code PFI]],"-",Tableau1[[#This Row],[Compte Consignee]])</f>
        <v>BRPNG---90018600</v>
      </c>
      <c r="H87" s="396" t="str">
        <f ca="1">_xlfn.CONCAT(IF(Tableau1[[#This Row],[Name ILN]]=Tableau1[[#This Row],[Name Shipper]],Tableau1[[#This Row],[Name ILN]],Tableau1[[#This Row],[Compte Shipper]]),Tableau1[[#This Row],[POL]],Tableau1[[#This Row],[Name Site]])</f>
        <v>ILN MexiqueMXVERCURITIBA CMO</v>
      </c>
      <c r="I87" s="82" t="str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CURITIBA CMO-ILN Mexique-ILN Mexique-1084-MXVER-MSC-BRPNG-</v>
      </c>
      <c r="J87" s="397" t="str">
        <f ca="1">IF(COUNTIF(I:I,Tableau1[[#This Row],[Plant-ILN-shipper-POL-Carrier-POD-PFI]])=1,"Non","Oui")</f>
        <v>Non</v>
      </c>
      <c r="K87" s="126" t="str">
        <f>VLOOKUP(Tableau1[[#This Row],[Name Site]],Plant_AILN!A:D,4,FALSE)</f>
        <v>BRAZIL</v>
      </c>
      <c r="L87" s="363" t="s">
        <v>168</v>
      </c>
      <c r="M87" s="480">
        <f>VLOOKUP(Tableau1[[#This Row],[Name Site]],Plant_AILN!A:C,3,FALSE)</f>
        <v>90018600</v>
      </c>
      <c r="N87" s="55">
        <f>VLOOKUP(Tableau1[[#This Row],[Compte Consignee]],Order!C:D,2,FALSE)</f>
        <v>7</v>
      </c>
      <c r="O87" s="114" t="s">
        <v>191</v>
      </c>
      <c r="P87" s="481">
        <f>VLOOKUP(Tableau1[[#This Row],[Name ILN]],Plant_AILN!F:G,2,FALSE)</f>
        <v>333333</v>
      </c>
      <c r="Q87" s="50">
        <f>VLOOKUP(Tableau1[[#This Row],[Compte ILN]],'DATA ILN'!D:I,6,FALSE)</f>
        <v>9</v>
      </c>
      <c r="R87" s="50">
        <f ca="1">IFERROR(VLOOKUP(Tableau1[[#This Row],[Key(Compte ILN - shipper - POL - plant)]],'DATA ILN'!A:J,10,FALSE),VLOOKUP(Tableau1[[#This Row],[Key(Compte ILN - shipper - POL)]],'DATA ILN'!B:J,9,FALSE))</f>
        <v>14</v>
      </c>
      <c r="S87" s="50">
        <f ca="1">IFERROR(VLOOKUP(Tableau1[[#This Row],[Key(Compte ILN - shipper - POL - plant)]],'DATA ILN'!A:K,11,FALSE),VLOOKUP(Tableau1[[#This Row],[Key(Compte ILN - shipper - POL)]],'DATA ILN'!B:K,10,FALSE))</f>
        <v>5</v>
      </c>
      <c r="T87" s="50">
        <f ca="1">IFERROR(VLOOKUP(Tableau1[[#This Row],[Key(Compte ILN - shipper - POL - plant)]],'DATA ILN'!A:L,12,FALSE),VLOOKUP(Tableau1[[#This Row],[Key(Compte ILN - shipper - POL)]],'DATA ILN'!B:L,11,FALSE))</f>
        <v>7</v>
      </c>
      <c r="U87" s="50">
        <f ca="1">Tableau1[[#This Row],[Day ILN Order]]+Tableau1[[#This Row],[Delivery time to ILN/Shipper]]-1</f>
        <v>22</v>
      </c>
      <c r="V87" s="50">
        <f ca="1">IFERROR(VLOOKUP(Tableau1[[#This Row],[Key(Compte ILN - shipper - POL - plant)]],'DATA ILN'!A:N,14,FALSE),VLOOKUP(Tableau1[[#This Row],[Key(Compte ILN - shipper - POL)]],'DATA ILN'!B:N,13,FALSE))</f>
        <v>2</v>
      </c>
      <c r="W87" s="53">
        <f ca="1">IFERROR(VLOOKUP(Tableau1[[#This Row],[Key(Compte ILN - shipper - POL - plant)]],'DATA ILN'!A:P,16,FALSE),VLOOKUP(Tableau1[[#This Row],[Key(Compte ILN - shipper - POL)]],'DATA ILN'!B:P,15,FALSE))</f>
        <v>1</v>
      </c>
      <c r="X87" s="283" t="s">
        <v>191</v>
      </c>
      <c r="Y87" s="482">
        <f>IFERROR(VLOOKUP(Tableau1[[#This Row],[Name Shipper]],Plant_AILN!L:M,2,FALSE),0)</f>
        <v>333333</v>
      </c>
      <c r="Z87" s="358">
        <v>1084</v>
      </c>
      <c r="AA87" s="353" t="str">
        <f ca="1">VLOOKUP(Tableau1[[#This Row],[Key(ID-Actif)]],'DATA BTO'!A:N,5,FALSE)</f>
        <v>MXVER</v>
      </c>
      <c r="AB87" s="3" t="str">
        <f ca="1">VLOOKUP(Tableau1[[#This Row],[Key(ID-Actif)]],'DATA BTO'!A:N,6,FALSE)</f>
        <v>MSC</v>
      </c>
      <c r="AC87" s="50">
        <f ca="1">VLOOKUP(Tableau1[[#This Row],[Key(ID-Actif)]],'DATA BTO'!A:N,7,FALSE)</f>
        <v>3</v>
      </c>
      <c r="AD87" s="50">
        <f ca="1">VLOOKUP(Tableau1[[#This Row],[Key(ID-Actif)]],'DATA BTO'!A:N,8,FALSE)</f>
        <v>5</v>
      </c>
      <c r="AE87" s="50">
        <f ca="1">IF(Tableau1[[#This Row],[First Day to POL]]&lt;=Tableau1[[#This Row],[Day Cut Off]],Tableau1[[#This Row],[Day ETD]],Tableau1[[#This Row],[Day ETD]]+7)</f>
        <v>5</v>
      </c>
      <c r="AF87" s="50">
        <f ca="1">VLOOKUP(Tableau1[[#This Row],[Key(ID-Actif)]],'DATA BTO'!A:N,9,FALSE)</f>
        <v>35</v>
      </c>
      <c r="AG87" s="3" t="str">
        <f ca="1">VLOOKUP(Tableau1[[#This Row],[Key(ID-Actif)]],'DATA BTO'!A:N,10,FALSE)</f>
        <v>BRPNG</v>
      </c>
      <c r="AH87" s="3">
        <f ca="1">VLOOKUP(Tableau1[[#This Row],[Key(ID-Actif)]],'DATA BTO'!A:N,11,FALSE)</f>
        <v>3</v>
      </c>
      <c r="AI87" s="50">
        <f ca="1">VLOOKUP(Tableau1[[#This Row],[Key(ID-Actif)]],'DATA BTO'!A:N,12,FALSE)</f>
        <v>0</v>
      </c>
      <c r="AJ87" s="53" t="str">
        <f ca="1">VLOOKUP(Tableau1[[#This Row],[Key(ID-Actif)]],'DATA BTO'!A:N,14,FALSE)</f>
        <v>Jocelyn</v>
      </c>
      <c r="AK87" s="54">
        <f ca="1">VLOOKUP(Tableau1[[#This Row],[Key(POD -PFI- Usine)]],'DATA Consignee'!A:F,6,FALSE)</f>
        <v>2</v>
      </c>
      <c r="AL87" s="125"/>
      <c r="AM87" s="483" t="str">
        <f>IF(Tableau1[[#This Row],[Name PFI/CDD]]="","-",VLOOKUP(Tableau1[[#This Row],[Name PFI/CDD]],Plant_AILN!I:J,2,FALSE))</f>
        <v>-</v>
      </c>
      <c r="AN8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7" s="2">
        <f ca="1">VLOOKUP(Tableau1[[#This Row],[Key(POD -PFI- Usine)]],'DATA Consignee'!A:J,10,FALSE)</f>
        <v>0</v>
      </c>
      <c r="AQ87" s="50">
        <f ca="1">VLOOKUP(Tableau1[[#This Row],[Key(POD -PFI- Usine)]],'DATA Consignee'!A:N,14,FALSE)</f>
        <v>2</v>
      </c>
      <c r="AR87" s="55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3</v>
      </c>
      <c r="AS87" s="54">
        <f ca="1"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17</v>
      </c>
      <c r="AT87" s="50">
        <f ca="1">Tableau1[[#This Row],[Transit time]]+Tableau1[[#This Row],[Time for security]]+Tableau1[[#This Row],[Time for security2 buffer]]</f>
        <v>38</v>
      </c>
      <c r="AU87" s="50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62</v>
      </c>
      <c r="AV87" s="389">
        <f ca="1">Tableau1[[#This Row],[Leadtime SI2C]]+Tableau1[[#This Row],[First Receipt Days]]-Tableau1[[#This Row],[Day Customer Order]]+1</f>
        <v>78</v>
      </c>
      <c r="AW87" s="117">
        <f ca="1">IF(Tableau1[[#This Row],[Name ILN]]&lt;&gt;"SFK Freight Forwarder",Tableau1[[#This Row],[Cust. Leadtime]],Tableau1[[#This Row],[Leadtime SI2C]])</f>
        <v>78</v>
      </c>
      <c r="AX87" s="51" t="str">
        <f>VLOOKUP(Tableau1[[#This Row],[ID]],'DATA BTO'!B:P,15,FALSE)</f>
        <v>Nissan &gt; Horse</v>
      </c>
      <c r="AY87" s="328">
        <f ca="1">IFERROR(VLOOKUP(Tableau1[[#This Row],[Key(ID-Actif)]],'DATA BTO'!A:N,4,FALSE),VLOOKUP(Tableau1[[#This Row],[ID]],'DATA BTO'!B:N,3,FALSE))</f>
        <v>46142</v>
      </c>
      <c r="AZ87" s="50" t="str">
        <f>IF(ISNUMBER(Tableau1[[#This Row],[Day Customer Order]]),"-","Please Check 'Name' information in 'Order' Sheet to make sure they have information")</f>
        <v>-</v>
      </c>
      <c r="BA87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8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-</v>
      </c>
      <c r="BC8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7" s="50"/>
    </row>
    <row r="88" spans="2:57">
      <c r="B88" s="65" t="str">
        <f>_xlfn.CONCAT(Tableau1[[#This Row],[Name ILN]],"-",Tableau1[[#This Row],[Name Shipper]],"-",Tableau1[[#This Row],[Name Site]])</f>
        <v>--</v>
      </c>
      <c r="C88" s="65" t="e">
        <f>_xlfn.CONCAT(Tableau1[[#This Row],[Compte ILN]],"-",Tableau1[[#This Row],[Compte Shipper]],"-",Tableau1[[#This Row],[POL]],"-",Tableau1[[#This Row],[Compte Consignee]])</f>
        <v>#N/A</v>
      </c>
      <c r="D88" s="64" t="e">
        <f>_xlfn.CONCAT(Tableau1[[#This Row],[Compte ILN]],"-",Tableau1[[#This Row],[Compte Shipper]],"-",Tableau1[[#This Row],[POL]])</f>
        <v>#N/A</v>
      </c>
      <c r="E88" s="396" t="e">
        <f ca="1">_xlfn.CONCAT(Tableau1[[#This Row],[POL]],"-",Tableau1[[#This Row],[Carrier]],"-",Tableau1[[#This Row],[POD]])</f>
        <v>#N/A</v>
      </c>
      <c r="F88" s="64" t="str">
        <f>_xlfn.CONCAT(Tableau1[[#This Row],[ID]],"-","Actif")</f>
        <v>-Actif</v>
      </c>
      <c r="G88" s="64" t="e">
        <f ca="1">_xlfn.CONCAT(Tableau1[[#This Row],[POD]],"-",Tableau1[[#This Row],[Code PFI]],"-",Tableau1[[#This Row],[Compte Consignee]])</f>
        <v>#N/A</v>
      </c>
      <c r="H8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8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88" s="397" t="str">
        <f ca="1">IF(COUNTIF(I:I,Tableau1[[#This Row],[Plant-ILN-shipper-POL-Carrier-POD-PFI]])=1,"Non","Oui")</f>
        <v>Oui</v>
      </c>
      <c r="K88" s="398" t="e">
        <f>VLOOKUP(Tableau1[[#This Row],[Name Site]],Plant_AILN!A:D,4,FALSE)</f>
        <v>#N/A</v>
      </c>
      <c r="L88" s="285"/>
      <c r="M88" s="480" t="e">
        <f>VLOOKUP(Tableau1[[#This Row],[Name Site]],Plant_AILN!A:C,3,FALSE)</f>
        <v>#N/A</v>
      </c>
      <c r="N88" s="55" t="e">
        <f>VLOOKUP(Tableau1[[#This Row],[Compte Consignee]],Order!C:D,2,FALSE)</f>
        <v>#N/A</v>
      </c>
      <c r="O88" s="114"/>
      <c r="P88" s="481" t="e">
        <f>VLOOKUP(Tableau1[[#This Row],[Name ILN]],Plant_AILN!F:G,2,FALSE)</f>
        <v>#N/A</v>
      </c>
      <c r="Q88" s="50" t="e">
        <f>VLOOKUP(Tableau1[[#This Row],[Compte ILN]],'DATA ILN'!D:I,6,FALSE)</f>
        <v>#N/A</v>
      </c>
      <c r="R88" s="50" t="e">
        <f>IFERROR(VLOOKUP(Tableau1[[#This Row],[Key(Compte ILN - shipper - POL - plant)]],'DATA ILN'!A:J,10,FALSE),VLOOKUP(Tableau1[[#This Row],[Key(Compte ILN - shipper - POL)]],'DATA ILN'!B:J,9,FALSE))</f>
        <v>#N/A</v>
      </c>
      <c r="S88" s="50" t="e">
        <f>IFERROR(VLOOKUP(Tableau1[[#This Row],[Key(Compte ILN - shipper - POL - plant)]],'DATA ILN'!A:K,11,FALSE),VLOOKUP(Tableau1[[#This Row],[Key(Compte ILN - shipper - POL)]],'DATA ILN'!B:K,10,FALSE))</f>
        <v>#N/A</v>
      </c>
      <c r="T88" s="50" t="e">
        <f>IFERROR(VLOOKUP(Tableau1[[#This Row],[Key(Compte ILN - shipper - POL - plant)]],'DATA ILN'!A:L,12,FALSE),VLOOKUP(Tableau1[[#This Row],[Key(Compte ILN - shipper - POL)]],'DATA ILN'!B:L,11,FALSE))</f>
        <v>#N/A</v>
      </c>
      <c r="U88" s="50" t="e">
        <f>Tableau1[[#This Row],[Day ILN Order]]+Tableau1[[#This Row],[Delivery time to ILN/Shipper]]-1</f>
        <v>#N/A</v>
      </c>
      <c r="V88" s="50" t="e">
        <f>IFERROR(VLOOKUP(Tableau1[[#This Row],[Key(Compte ILN - shipper - POL - plant)]],'DATA ILN'!A:N,14,FALSE),VLOOKUP(Tableau1[[#This Row],[Key(Compte ILN - shipper - POL)]],'DATA ILN'!B:N,13,FALSE))</f>
        <v>#N/A</v>
      </c>
      <c r="W88" s="53" t="e">
        <f>IFERROR(VLOOKUP(Tableau1[[#This Row],[Key(Compte ILN - shipper - POL - plant)]],'DATA ILN'!A:P,16,FALSE),VLOOKUP(Tableau1[[#This Row],[Key(Compte ILN - shipper - POL)]],'DATA ILN'!B:P,15,FALSE))</f>
        <v>#N/A</v>
      </c>
      <c r="X88" s="283"/>
      <c r="Y88" s="482">
        <f>IFERROR(VLOOKUP(Tableau1[[#This Row],[Name Shipper]],Plant_AILN!L:M,2,FALSE),0)</f>
        <v>0</v>
      </c>
      <c r="Z88" s="358"/>
      <c r="AA88" s="353" t="e">
        <f ca="1">VLOOKUP(Tableau1[[#This Row],[Key(ID-Actif)]],'DATA BTO'!A:N,5,FALSE)</f>
        <v>#N/A</v>
      </c>
      <c r="AB88" s="3" t="e">
        <f ca="1">VLOOKUP(Tableau1[[#This Row],[Key(ID-Actif)]],'DATA BTO'!A:N,6,FALSE)</f>
        <v>#N/A</v>
      </c>
      <c r="AC88" s="50" t="e">
        <f ca="1">VLOOKUP(Tableau1[[#This Row],[Key(ID-Actif)]],'DATA BTO'!A:N,7,FALSE)</f>
        <v>#N/A</v>
      </c>
      <c r="AD88" s="50" t="e">
        <f ca="1">VLOOKUP(Tableau1[[#This Row],[Key(ID-Actif)]],'DATA BTO'!A:N,8,FALSE)</f>
        <v>#N/A</v>
      </c>
      <c r="AE88" s="50" t="e">
        <f ca="1">IF(Tableau1[[#This Row],[First Day to POL]]&lt;=Tableau1[[#This Row],[Day Cut Off]],Tableau1[[#This Row],[Day ETD]],Tableau1[[#This Row],[Day ETD]]+7)</f>
        <v>#N/A</v>
      </c>
      <c r="AF88" s="50" t="e">
        <f ca="1">VLOOKUP(Tableau1[[#This Row],[Key(ID-Actif)]],'DATA BTO'!A:N,9,FALSE)</f>
        <v>#N/A</v>
      </c>
      <c r="AG88" s="3" t="e">
        <f ca="1">VLOOKUP(Tableau1[[#This Row],[Key(ID-Actif)]],'DATA BTO'!A:N,10,FALSE)</f>
        <v>#N/A</v>
      </c>
      <c r="AH88" s="3" t="e">
        <f ca="1">VLOOKUP(Tableau1[[#This Row],[Key(ID-Actif)]],'DATA BTO'!A:N,11,FALSE)</f>
        <v>#N/A</v>
      </c>
      <c r="AI88" s="50" t="e">
        <f ca="1">VLOOKUP(Tableau1[[#This Row],[Key(ID-Actif)]],'DATA BTO'!A:N,12,FALSE)</f>
        <v>#N/A</v>
      </c>
      <c r="AJ88" s="53" t="e">
        <f ca="1">VLOOKUP(Tableau1[[#This Row],[Key(ID-Actif)]],'DATA BTO'!A:N,14,FALSE)</f>
        <v>#N/A</v>
      </c>
      <c r="AK88" s="54" t="e">
        <f ca="1">VLOOKUP(Tableau1[[#This Row],[Key(POD -PFI- Usine)]],'DATA Consignee'!A:F,6,FALSE)</f>
        <v>#N/A</v>
      </c>
      <c r="AL88" s="125"/>
      <c r="AM88" s="483" t="str">
        <f>IF(Tableau1[[#This Row],[Name PFI/CDD]]="","-",VLOOKUP(Tableau1[[#This Row],[Name PFI/CDD]],Plant_AILN!I:J,2,FALSE))</f>
        <v>-</v>
      </c>
      <c r="AN8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8" s="2" t="e">
        <f ca="1">VLOOKUP(Tableau1[[#This Row],[Key(POD -PFI- Usine)]],'DATA Consignee'!A:J,10,FALSE)</f>
        <v>#N/A</v>
      </c>
      <c r="AQ88" s="50" t="e">
        <f ca="1">VLOOKUP(Tableau1[[#This Row],[Key(POD -PFI- Usine)]],'DATA Consignee'!A:N,14,FALSE)</f>
        <v>#N/A</v>
      </c>
      <c r="AR8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8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88" s="50" t="e">
        <f ca="1">Tableau1[[#This Row],[Transit time]]+Tableau1[[#This Row],[Time for security]]+Tableau1[[#This Row],[Time for security2 buffer]]</f>
        <v>#N/A</v>
      </c>
      <c r="AU8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88" s="389" t="e">
        <f ca="1">Tableau1[[#This Row],[Leadtime SI2C]]+Tableau1[[#This Row],[First Receipt Days]]-Tableau1[[#This Row],[Day Customer Order]]+1</f>
        <v>#N/A</v>
      </c>
      <c r="AW88" s="117" t="e">
        <f ca="1">IF(Tableau1[[#This Row],[Name ILN]]&lt;&gt;"SFK Freight Forwarder",Tableau1[[#This Row],[Cust. Leadtime]],Tableau1[[#This Row],[Leadtime SI2C]])</f>
        <v>#N/A</v>
      </c>
      <c r="AX88" s="51" t="e">
        <f>VLOOKUP(Tableau1[[#This Row],[ID]],'DATA BTO'!B:P,15,FALSE)</f>
        <v>#N/A</v>
      </c>
      <c r="AY88" s="328" t="e">
        <f ca="1">IFERROR(VLOOKUP(Tableau1[[#This Row],[Key(ID-Actif)]],'DATA BTO'!A:N,4,FALSE),VLOOKUP(Tableau1[[#This Row],[ID]],'DATA BTO'!B:N,3,FALSE))</f>
        <v>#N/A</v>
      </c>
      <c r="AZ8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8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8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8" s="50"/>
    </row>
    <row r="89" spans="2:57">
      <c r="B89" s="65" t="str">
        <f>_xlfn.CONCAT(Tableau1[[#This Row],[Name ILN]],"-",Tableau1[[#This Row],[Name Shipper]],"-",Tableau1[[#This Row],[Name Site]])</f>
        <v>--</v>
      </c>
      <c r="C89" s="65" t="e">
        <f>_xlfn.CONCAT(Tableau1[[#This Row],[Compte ILN]],"-",Tableau1[[#This Row],[Compte Shipper]],"-",Tableau1[[#This Row],[POL]],"-",Tableau1[[#This Row],[Compte Consignee]])</f>
        <v>#N/A</v>
      </c>
      <c r="D89" s="64" t="e">
        <f>_xlfn.CONCAT(Tableau1[[#This Row],[Compte ILN]],"-",Tableau1[[#This Row],[Compte Shipper]],"-",Tableau1[[#This Row],[POL]])</f>
        <v>#N/A</v>
      </c>
      <c r="E89" s="396" t="e">
        <f ca="1">_xlfn.CONCAT(Tableau1[[#This Row],[POL]],"-",Tableau1[[#This Row],[Carrier]],"-",Tableau1[[#This Row],[POD]])</f>
        <v>#N/A</v>
      </c>
      <c r="F89" s="64" t="str">
        <f>_xlfn.CONCAT(Tableau1[[#This Row],[ID]],"-","Actif")</f>
        <v>-Actif</v>
      </c>
      <c r="G89" s="64" t="e">
        <f ca="1">_xlfn.CONCAT(Tableau1[[#This Row],[POD]],"-",Tableau1[[#This Row],[Code PFI]],"-",Tableau1[[#This Row],[Compte Consignee]])</f>
        <v>#N/A</v>
      </c>
      <c r="H8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8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89" s="397" t="str">
        <f ca="1">IF(COUNTIF(I:I,Tableau1[[#This Row],[Plant-ILN-shipper-POL-Carrier-POD-PFI]])=1,"Non","Oui")</f>
        <v>Oui</v>
      </c>
      <c r="K89" s="398" t="e">
        <f>VLOOKUP(Tableau1[[#This Row],[Name Site]],Plant_AILN!A:D,4,FALSE)</f>
        <v>#N/A</v>
      </c>
      <c r="L89" s="285"/>
      <c r="M89" s="480" t="e">
        <f>VLOOKUP(Tableau1[[#This Row],[Name Site]],Plant_AILN!A:C,3,FALSE)</f>
        <v>#N/A</v>
      </c>
      <c r="N89" s="55" t="e">
        <f>VLOOKUP(Tableau1[[#This Row],[Compte Consignee]],Order!C:D,2,FALSE)</f>
        <v>#N/A</v>
      </c>
      <c r="O89" s="114"/>
      <c r="P89" s="481" t="e">
        <f>VLOOKUP(Tableau1[[#This Row],[Name ILN]],Plant_AILN!F:G,2,FALSE)</f>
        <v>#N/A</v>
      </c>
      <c r="Q89" s="50" t="e">
        <f>VLOOKUP(Tableau1[[#This Row],[Compte ILN]],'DATA ILN'!D:I,6,FALSE)</f>
        <v>#N/A</v>
      </c>
      <c r="R89" s="50" t="e">
        <f>IFERROR(VLOOKUP(Tableau1[[#This Row],[Key(Compte ILN - shipper - POL - plant)]],'DATA ILN'!A:J,10,FALSE),VLOOKUP(Tableau1[[#This Row],[Key(Compte ILN - shipper - POL)]],'DATA ILN'!B:J,9,FALSE))</f>
        <v>#N/A</v>
      </c>
      <c r="S89" s="50" t="e">
        <f>IFERROR(VLOOKUP(Tableau1[[#This Row],[Key(Compte ILN - shipper - POL - plant)]],'DATA ILN'!A:K,11,FALSE),VLOOKUP(Tableau1[[#This Row],[Key(Compte ILN - shipper - POL)]],'DATA ILN'!B:K,10,FALSE))</f>
        <v>#N/A</v>
      </c>
      <c r="T89" s="50" t="e">
        <f>IFERROR(VLOOKUP(Tableau1[[#This Row],[Key(Compte ILN - shipper - POL - plant)]],'DATA ILN'!A:L,12,FALSE),VLOOKUP(Tableau1[[#This Row],[Key(Compte ILN - shipper - POL)]],'DATA ILN'!B:L,11,FALSE))</f>
        <v>#N/A</v>
      </c>
      <c r="U89" s="50" t="e">
        <f>Tableau1[[#This Row],[Day ILN Order]]+Tableau1[[#This Row],[Delivery time to ILN/Shipper]]-1</f>
        <v>#N/A</v>
      </c>
      <c r="V89" s="50" t="e">
        <f>IFERROR(VLOOKUP(Tableau1[[#This Row],[Key(Compte ILN - shipper - POL - plant)]],'DATA ILN'!A:N,14,FALSE),VLOOKUP(Tableau1[[#This Row],[Key(Compte ILN - shipper - POL)]],'DATA ILN'!B:N,13,FALSE))</f>
        <v>#N/A</v>
      </c>
      <c r="W89" s="53" t="e">
        <f>IFERROR(VLOOKUP(Tableau1[[#This Row],[Key(Compte ILN - shipper - POL - plant)]],'DATA ILN'!A:P,16,FALSE),VLOOKUP(Tableau1[[#This Row],[Key(Compte ILN - shipper - POL)]],'DATA ILN'!B:P,15,FALSE))</f>
        <v>#N/A</v>
      </c>
      <c r="X89" s="283"/>
      <c r="Y89" s="482">
        <f>IFERROR(VLOOKUP(Tableau1[[#This Row],[Name Shipper]],Plant_AILN!L:M,2,FALSE),0)</f>
        <v>0</v>
      </c>
      <c r="Z89" s="358"/>
      <c r="AA89" s="353" t="e">
        <f ca="1">VLOOKUP(Tableau1[[#This Row],[Key(ID-Actif)]],'DATA BTO'!A:N,5,FALSE)</f>
        <v>#N/A</v>
      </c>
      <c r="AB89" s="3" t="e">
        <f ca="1">VLOOKUP(Tableau1[[#This Row],[Key(ID-Actif)]],'DATA BTO'!A:N,6,FALSE)</f>
        <v>#N/A</v>
      </c>
      <c r="AC89" s="50" t="e">
        <f ca="1">VLOOKUP(Tableau1[[#This Row],[Key(ID-Actif)]],'DATA BTO'!A:N,7,FALSE)</f>
        <v>#N/A</v>
      </c>
      <c r="AD89" s="50" t="e">
        <f ca="1">VLOOKUP(Tableau1[[#This Row],[Key(ID-Actif)]],'DATA BTO'!A:N,8,FALSE)</f>
        <v>#N/A</v>
      </c>
      <c r="AE89" s="50" t="e">
        <f ca="1">IF(Tableau1[[#This Row],[First Day to POL]]&lt;=Tableau1[[#This Row],[Day Cut Off]],Tableau1[[#This Row],[Day ETD]],Tableau1[[#This Row],[Day ETD]]+7)</f>
        <v>#N/A</v>
      </c>
      <c r="AF89" s="50" t="e">
        <f ca="1">VLOOKUP(Tableau1[[#This Row],[Key(ID-Actif)]],'DATA BTO'!A:N,9,FALSE)</f>
        <v>#N/A</v>
      </c>
      <c r="AG89" s="3" t="e">
        <f ca="1">VLOOKUP(Tableau1[[#This Row],[Key(ID-Actif)]],'DATA BTO'!A:N,10,FALSE)</f>
        <v>#N/A</v>
      </c>
      <c r="AH89" s="3" t="e">
        <f ca="1">VLOOKUP(Tableau1[[#This Row],[Key(ID-Actif)]],'DATA BTO'!A:N,11,FALSE)</f>
        <v>#N/A</v>
      </c>
      <c r="AI89" s="50" t="e">
        <f ca="1">VLOOKUP(Tableau1[[#This Row],[Key(ID-Actif)]],'DATA BTO'!A:N,12,FALSE)</f>
        <v>#N/A</v>
      </c>
      <c r="AJ89" s="53" t="e">
        <f ca="1">VLOOKUP(Tableau1[[#This Row],[Key(ID-Actif)]],'DATA BTO'!A:N,14,FALSE)</f>
        <v>#N/A</v>
      </c>
      <c r="AK89" s="54" t="e">
        <f ca="1">VLOOKUP(Tableau1[[#This Row],[Key(POD -PFI- Usine)]],'DATA Consignee'!A:F,6,FALSE)</f>
        <v>#N/A</v>
      </c>
      <c r="AL89" s="125"/>
      <c r="AM89" s="483" t="str">
        <f>IF(Tableau1[[#This Row],[Name PFI/CDD]]="","-",VLOOKUP(Tableau1[[#This Row],[Name PFI/CDD]],Plant_AILN!I:J,2,FALSE))</f>
        <v>-</v>
      </c>
      <c r="AN8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8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89" s="2" t="e">
        <f ca="1">VLOOKUP(Tableau1[[#This Row],[Key(POD -PFI- Usine)]],'DATA Consignee'!A:J,10,FALSE)</f>
        <v>#N/A</v>
      </c>
      <c r="AQ89" s="50" t="e">
        <f ca="1">VLOOKUP(Tableau1[[#This Row],[Key(POD -PFI- Usine)]],'DATA Consignee'!A:N,14,FALSE)</f>
        <v>#N/A</v>
      </c>
      <c r="AR8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8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89" s="50" t="e">
        <f ca="1">Tableau1[[#This Row],[Transit time]]+Tableau1[[#This Row],[Time for security]]+Tableau1[[#This Row],[Time for security2 buffer]]</f>
        <v>#N/A</v>
      </c>
      <c r="AU8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89" s="389" t="e">
        <f ca="1">Tableau1[[#This Row],[Leadtime SI2C]]+Tableau1[[#This Row],[First Receipt Days]]-Tableau1[[#This Row],[Day Customer Order]]+1</f>
        <v>#N/A</v>
      </c>
      <c r="AW89" s="117" t="e">
        <f ca="1">IF(Tableau1[[#This Row],[Name ILN]]&lt;&gt;"SFK Freight Forwarder",Tableau1[[#This Row],[Cust. Leadtime]],Tableau1[[#This Row],[Leadtime SI2C]])</f>
        <v>#N/A</v>
      </c>
      <c r="AX89" s="51" t="e">
        <f>VLOOKUP(Tableau1[[#This Row],[ID]],'DATA BTO'!B:P,15,FALSE)</f>
        <v>#N/A</v>
      </c>
      <c r="AY89" s="328" t="e">
        <f ca="1">IFERROR(VLOOKUP(Tableau1[[#This Row],[Key(ID-Actif)]],'DATA BTO'!A:N,4,FALSE),VLOOKUP(Tableau1[[#This Row],[ID]],'DATA BTO'!B:N,3,FALSE))</f>
        <v>#N/A</v>
      </c>
      <c r="AZ8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8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8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9" s="50"/>
    </row>
    <row r="90" spans="2:57">
      <c r="B90" s="65" t="str">
        <f>_xlfn.CONCAT(Tableau1[[#This Row],[Name ILN]],"-",Tableau1[[#This Row],[Name Shipper]],"-",Tableau1[[#This Row],[Name Site]])</f>
        <v>--</v>
      </c>
      <c r="C90" s="65" t="e">
        <f>_xlfn.CONCAT(Tableau1[[#This Row],[Compte ILN]],"-",Tableau1[[#This Row],[Compte Shipper]],"-",Tableau1[[#This Row],[POL]],"-",Tableau1[[#This Row],[Compte Consignee]])</f>
        <v>#N/A</v>
      </c>
      <c r="D90" s="64" t="e">
        <f>_xlfn.CONCAT(Tableau1[[#This Row],[Compte ILN]],"-",Tableau1[[#This Row],[Compte Shipper]],"-",Tableau1[[#This Row],[POL]])</f>
        <v>#N/A</v>
      </c>
      <c r="E90" s="396" t="e">
        <f ca="1">_xlfn.CONCAT(Tableau1[[#This Row],[POL]],"-",Tableau1[[#This Row],[Carrier]],"-",Tableau1[[#This Row],[POD]])</f>
        <v>#N/A</v>
      </c>
      <c r="F90" s="64" t="str">
        <f>_xlfn.CONCAT(Tableau1[[#This Row],[ID]],"-","Actif")</f>
        <v>-Actif</v>
      </c>
      <c r="G90" s="64" t="e">
        <f ca="1">_xlfn.CONCAT(Tableau1[[#This Row],[POD]],"-",Tableau1[[#This Row],[Code PFI]],"-",Tableau1[[#This Row],[Compte Consignee]])</f>
        <v>#N/A</v>
      </c>
      <c r="H9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0" s="397" t="str">
        <f ca="1">IF(COUNTIF(I:I,Tableau1[[#This Row],[Plant-ILN-shipper-POL-Carrier-POD-PFI]])=1,"Non","Oui")</f>
        <v>Oui</v>
      </c>
      <c r="K90" s="398" t="e">
        <f>VLOOKUP(Tableau1[[#This Row],[Name Site]],Plant_AILN!A:D,4,FALSE)</f>
        <v>#N/A</v>
      </c>
      <c r="L90" s="285"/>
      <c r="M90" s="480" t="e">
        <f>VLOOKUP(Tableau1[[#This Row],[Name Site]],Plant_AILN!A:C,3,FALSE)</f>
        <v>#N/A</v>
      </c>
      <c r="N90" s="55" t="e">
        <f>VLOOKUP(Tableau1[[#This Row],[Compte Consignee]],Order!C:D,2,FALSE)</f>
        <v>#N/A</v>
      </c>
      <c r="O90" s="114"/>
      <c r="P90" s="481" t="e">
        <f>VLOOKUP(Tableau1[[#This Row],[Name ILN]],Plant_AILN!F:G,2,FALSE)</f>
        <v>#N/A</v>
      </c>
      <c r="Q90" s="50" t="e">
        <f>VLOOKUP(Tableau1[[#This Row],[Compte ILN]],'DATA ILN'!D:I,6,FALSE)</f>
        <v>#N/A</v>
      </c>
      <c r="R90" s="50" t="e">
        <f>IFERROR(VLOOKUP(Tableau1[[#This Row],[Key(Compte ILN - shipper - POL - plant)]],'DATA ILN'!A:J,10,FALSE),VLOOKUP(Tableau1[[#This Row],[Key(Compte ILN - shipper - POL)]],'DATA ILN'!B:J,9,FALSE))</f>
        <v>#N/A</v>
      </c>
      <c r="S90" s="50" t="e">
        <f>IFERROR(VLOOKUP(Tableau1[[#This Row],[Key(Compte ILN - shipper - POL - plant)]],'DATA ILN'!A:K,11,FALSE),VLOOKUP(Tableau1[[#This Row],[Key(Compte ILN - shipper - POL)]],'DATA ILN'!B:K,10,FALSE))</f>
        <v>#N/A</v>
      </c>
      <c r="T90" s="50" t="e">
        <f>IFERROR(VLOOKUP(Tableau1[[#This Row],[Key(Compte ILN - shipper - POL - plant)]],'DATA ILN'!A:L,12,FALSE),VLOOKUP(Tableau1[[#This Row],[Key(Compte ILN - shipper - POL)]],'DATA ILN'!B:L,11,FALSE))</f>
        <v>#N/A</v>
      </c>
      <c r="U90" s="50" t="e">
        <f>Tableau1[[#This Row],[Day ILN Order]]+Tableau1[[#This Row],[Delivery time to ILN/Shipper]]-1</f>
        <v>#N/A</v>
      </c>
      <c r="V90" s="50" t="e">
        <f>IFERROR(VLOOKUP(Tableau1[[#This Row],[Key(Compte ILN - shipper - POL - plant)]],'DATA ILN'!A:N,14,FALSE),VLOOKUP(Tableau1[[#This Row],[Key(Compte ILN - shipper - POL)]],'DATA ILN'!B:N,13,FALSE))</f>
        <v>#N/A</v>
      </c>
      <c r="W90" s="53" t="e">
        <f>IFERROR(VLOOKUP(Tableau1[[#This Row],[Key(Compte ILN - shipper - POL - plant)]],'DATA ILN'!A:P,16,FALSE),VLOOKUP(Tableau1[[#This Row],[Key(Compte ILN - shipper - POL)]],'DATA ILN'!B:P,15,FALSE))</f>
        <v>#N/A</v>
      </c>
      <c r="X90" s="283"/>
      <c r="Y90" s="482">
        <f>IFERROR(VLOOKUP(Tableau1[[#This Row],[Name Shipper]],Plant_AILN!L:M,2,FALSE),0)</f>
        <v>0</v>
      </c>
      <c r="Z90" s="358"/>
      <c r="AA90" s="353" t="e">
        <f ca="1">VLOOKUP(Tableau1[[#This Row],[Key(ID-Actif)]],'DATA BTO'!A:N,5,FALSE)</f>
        <v>#N/A</v>
      </c>
      <c r="AB90" s="3" t="e">
        <f ca="1">VLOOKUP(Tableau1[[#This Row],[Key(ID-Actif)]],'DATA BTO'!A:N,6,FALSE)</f>
        <v>#N/A</v>
      </c>
      <c r="AC90" s="50" t="e">
        <f ca="1">VLOOKUP(Tableau1[[#This Row],[Key(ID-Actif)]],'DATA BTO'!A:N,7,FALSE)</f>
        <v>#N/A</v>
      </c>
      <c r="AD90" s="50" t="e">
        <f ca="1">VLOOKUP(Tableau1[[#This Row],[Key(ID-Actif)]],'DATA BTO'!A:N,8,FALSE)</f>
        <v>#N/A</v>
      </c>
      <c r="AE90" s="50" t="e">
        <f ca="1">IF(Tableau1[[#This Row],[First Day to POL]]&lt;=Tableau1[[#This Row],[Day Cut Off]],Tableau1[[#This Row],[Day ETD]],Tableau1[[#This Row],[Day ETD]]+7)</f>
        <v>#N/A</v>
      </c>
      <c r="AF90" s="50" t="e">
        <f ca="1">VLOOKUP(Tableau1[[#This Row],[Key(ID-Actif)]],'DATA BTO'!A:N,9,FALSE)</f>
        <v>#N/A</v>
      </c>
      <c r="AG90" s="3" t="e">
        <f ca="1">VLOOKUP(Tableau1[[#This Row],[Key(ID-Actif)]],'DATA BTO'!A:N,10,FALSE)</f>
        <v>#N/A</v>
      </c>
      <c r="AH90" s="3" t="e">
        <f ca="1">VLOOKUP(Tableau1[[#This Row],[Key(ID-Actif)]],'DATA BTO'!A:N,11,FALSE)</f>
        <v>#N/A</v>
      </c>
      <c r="AI90" s="50" t="e">
        <f ca="1">VLOOKUP(Tableau1[[#This Row],[Key(ID-Actif)]],'DATA BTO'!A:N,12,FALSE)</f>
        <v>#N/A</v>
      </c>
      <c r="AJ90" s="53" t="e">
        <f ca="1">VLOOKUP(Tableau1[[#This Row],[Key(ID-Actif)]],'DATA BTO'!A:N,14,FALSE)</f>
        <v>#N/A</v>
      </c>
      <c r="AK90" s="54" t="e">
        <f ca="1">VLOOKUP(Tableau1[[#This Row],[Key(POD -PFI- Usine)]],'DATA Consignee'!A:F,6,FALSE)</f>
        <v>#N/A</v>
      </c>
      <c r="AL90" s="125"/>
      <c r="AM90" s="483" t="str">
        <f>IF(Tableau1[[#This Row],[Name PFI/CDD]]="","-",VLOOKUP(Tableau1[[#This Row],[Name PFI/CDD]],Plant_AILN!I:J,2,FALSE))</f>
        <v>-</v>
      </c>
      <c r="AN9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0" s="2" t="e">
        <f ca="1">VLOOKUP(Tableau1[[#This Row],[Key(POD -PFI- Usine)]],'DATA Consignee'!A:J,10,FALSE)</f>
        <v>#N/A</v>
      </c>
      <c r="AQ90" s="50" t="e">
        <f ca="1">VLOOKUP(Tableau1[[#This Row],[Key(POD -PFI- Usine)]],'DATA Consignee'!A:N,14,FALSE)</f>
        <v>#N/A</v>
      </c>
      <c r="AR9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0" s="50" t="e">
        <f ca="1">Tableau1[[#This Row],[Transit time]]+Tableau1[[#This Row],[Time for security]]+Tableau1[[#This Row],[Time for security2 buffer]]</f>
        <v>#N/A</v>
      </c>
      <c r="AU9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0" s="389" t="e">
        <f ca="1">Tableau1[[#This Row],[Leadtime SI2C]]+Tableau1[[#This Row],[First Receipt Days]]-Tableau1[[#This Row],[Day Customer Order]]+1</f>
        <v>#N/A</v>
      </c>
      <c r="AW90" s="117" t="e">
        <f ca="1">IF(Tableau1[[#This Row],[Name ILN]]&lt;&gt;"SFK Freight Forwarder",Tableau1[[#This Row],[Cust. Leadtime]],Tableau1[[#This Row],[Leadtime SI2C]])</f>
        <v>#N/A</v>
      </c>
      <c r="AX90" s="51" t="e">
        <f>VLOOKUP(Tableau1[[#This Row],[ID]],'DATA BTO'!B:P,15,FALSE)</f>
        <v>#N/A</v>
      </c>
      <c r="AY90" s="328" t="e">
        <f ca="1">IFERROR(VLOOKUP(Tableau1[[#This Row],[Key(ID-Actif)]],'DATA BTO'!A:N,4,FALSE),VLOOKUP(Tableau1[[#This Row],[ID]],'DATA BTO'!B:N,3,FALSE))</f>
        <v>#N/A</v>
      </c>
      <c r="AZ9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0" s="50"/>
    </row>
    <row r="91" spans="2:57">
      <c r="B91" s="65" t="str">
        <f>_xlfn.CONCAT(Tableau1[[#This Row],[Name ILN]],"-",Tableau1[[#This Row],[Name Shipper]],"-",Tableau1[[#This Row],[Name Site]])</f>
        <v>--</v>
      </c>
      <c r="C91" s="65" t="e">
        <f>_xlfn.CONCAT(Tableau1[[#This Row],[Compte ILN]],"-",Tableau1[[#This Row],[Compte Shipper]],"-",Tableau1[[#This Row],[POL]],"-",Tableau1[[#This Row],[Compte Consignee]])</f>
        <v>#N/A</v>
      </c>
      <c r="D91" s="64" t="e">
        <f>_xlfn.CONCAT(Tableau1[[#This Row],[Compte ILN]],"-",Tableau1[[#This Row],[Compte Shipper]],"-",Tableau1[[#This Row],[POL]])</f>
        <v>#N/A</v>
      </c>
      <c r="E91" s="396" t="e">
        <f ca="1">_xlfn.CONCAT(Tableau1[[#This Row],[POL]],"-",Tableau1[[#This Row],[Carrier]],"-",Tableau1[[#This Row],[POD]])</f>
        <v>#N/A</v>
      </c>
      <c r="F91" s="64" t="str">
        <f>_xlfn.CONCAT(Tableau1[[#This Row],[ID]],"-","Actif")</f>
        <v>-Actif</v>
      </c>
      <c r="G91" s="64" t="e">
        <f ca="1">_xlfn.CONCAT(Tableau1[[#This Row],[POD]],"-",Tableau1[[#This Row],[Code PFI]],"-",Tableau1[[#This Row],[Compte Consignee]])</f>
        <v>#N/A</v>
      </c>
      <c r="H9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1" s="397" t="str">
        <f ca="1">IF(COUNTIF(I:I,Tableau1[[#This Row],[Plant-ILN-shipper-POL-Carrier-POD-PFI]])=1,"Non","Oui")</f>
        <v>Oui</v>
      </c>
      <c r="K91" s="398" t="e">
        <f>VLOOKUP(Tableau1[[#This Row],[Name Site]],Plant_AILN!A:D,4,FALSE)</f>
        <v>#N/A</v>
      </c>
      <c r="L91" s="285"/>
      <c r="M91" s="480" t="e">
        <f>VLOOKUP(Tableau1[[#This Row],[Name Site]],Plant_AILN!A:C,3,FALSE)</f>
        <v>#N/A</v>
      </c>
      <c r="N91" s="55" t="e">
        <f>VLOOKUP(Tableau1[[#This Row],[Compte Consignee]],Order!C:D,2,FALSE)</f>
        <v>#N/A</v>
      </c>
      <c r="O91" s="114"/>
      <c r="P91" s="481" t="e">
        <f>VLOOKUP(Tableau1[[#This Row],[Name ILN]],Plant_AILN!F:G,2,FALSE)</f>
        <v>#N/A</v>
      </c>
      <c r="Q91" s="50" t="e">
        <f>VLOOKUP(Tableau1[[#This Row],[Compte ILN]],'DATA ILN'!D:I,6,FALSE)</f>
        <v>#N/A</v>
      </c>
      <c r="R91" s="50" t="e">
        <f>IFERROR(VLOOKUP(Tableau1[[#This Row],[Key(Compte ILN - shipper - POL - plant)]],'DATA ILN'!A:J,10,FALSE),VLOOKUP(Tableau1[[#This Row],[Key(Compte ILN - shipper - POL)]],'DATA ILN'!B:J,9,FALSE))</f>
        <v>#N/A</v>
      </c>
      <c r="S91" s="50" t="e">
        <f>IFERROR(VLOOKUP(Tableau1[[#This Row],[Key(Compte ILN - shipper - POL - plant)]],'DATA ILN'!A:K,11,FALSE),VLOOKUP(Tableau1[[#This Row],[Key(Compte ILN - shipper - POL)]],'DATA ILN'!B:K,10,FALSE))</f>
        <v>#N/A</v>
      </c>
      <c r="T91" s="50" t="e">
        <f>IFERROR(VLOOKUP(Tableau1[[#This Row],[Key(Compte ILN - shipper - POL - plant)]],'DATA ILN'!A:L,12,FALSE),VLOOKUP(Tableau1[[#This Row],[Key(Compte ILN - shipper - POL)]],'DATA ILN'!B:L,11,FALSE))</f>
        <v>#N/A</v>
      </c>
      <c r="U91" s="50" t="e">
        <f>Tableau1[[#This Row],[Day ILN Order]]+Tableau1[[#This Row],[Delivery time to ILN/Shipper]]-1</f>
        <v>#N/A</v>
      </c>
      <c r="V91" s="50" t="e">
        <f>IFERROR(VLOOKUP(Tableau1[[#This Row],[Key(Compte ILN - shipper - POL - plant)]],'DATA ILN'!A:N,14,FALSE),VLOOKUP(Tableau1[[#This Row],[Key(Compte ILN - shipper - POL)]],'DATA ILN'!B:N,13,FALSE))</f>
        <v>#N/A</v>
      </c>
      <c r="W91" s="53" t="e">
        <f>IFERROR(VLOOKUP(Tableau1[[#This Row],[Key(Compte ILN - shipper - POL - plant)]],'DATA ILN'!A:P,16,FALSE),VLOOKUP(Tableau1[[#This Row],[Key(Compte ILN - shipper - POL)]],'DATA ILN'!B:P,15,FALSE))</f>
        <v>#N/A</v>
      </c>
      <c r="X91" s="283"/>
      <c r="Y91" s="482">
        <f>IFERROR(VLOOKUP(Tableau1[[#This Row],[Name Shipper]],Plant_AILN!L:M,2,FALSE),0)</f>
        <v>0</v>
      </c>
      <c r="Z91" s="358"/>
      <c r="AA91" s="353" t="e">
        <f ca="1">VLOOKUP(Tableau1[[#This Row],[Key(ID-Actif)]],'DATA BTO'!A:N,5,FALSE)</f>
        <v>#N/A</v>
      </c>
      <c r="AB91" s="3" t="e">
        <f ca="1">VLOOKUP(Tableau1[[#This Row],[Key(ID-Actif)]],'DATA BTO'!A:N,6,FALSE)</f>
        <v>#N/A</v>
      </c>
      <c r="AC91" s="50" t="e">
        <f ca="1">VLOOKUP(Tableau1[[#This Row],[Key(ID-Actif)]],'DATA BTO'!A:N,7,FALSE)</f>
        <v>#N/A</v>
      </c>
      <c r="AD91" s="50" t="e">
        <f ca="1">VLOOKUP(Tableau1[[#This Row],[Key(ID-Actif)]],'DATA BTO'!A:N,8,FALSE)</f>
        <v>#N/A</v>
      </c>
      <c r="AE91" s="50" t="e">
        <f ca="1">IF(Tableau1[[#This Row],[First Day to POL]]&lt;=Tableau1[[#This Row],[Day Cut Off]],Tableau1[[#This Row],[Day ETD]],Tableau1[[#This Row],[Day ETD]]+7)</f>
        <v>#N/A</v>
      </c>
      <c r="AF91" s="50" t="e">
        <f ca="1">VLOOKUP(Tableau1[[#This Row],[Key(ID-Actif)]],'DATA BTO'!A:N,9,FALSE)</f>
        <v>#N/A</v>
      </c>
      <c r="AG91" s="3" t="e">
        <f ca="1">VLOOKUP(Tableau1[[#This Row],[Key(ID-Actif)]],'DATA BTO'!A:N,10,FALSE)</f>
        <v>#N/A</v>
      </c>
      <c r="AH91" s="3" t="e">
        <f ca="1">VLOOKUP(Tableau1[[#This Row],[Key(ID-Actif)]],'DATA BTO'!A:N,11,FALSE)</f>
        <v>#N/A</v>
      </c>
      <c r="AI91" s="50" t="e">
        <f ca="1">VLOOKUP(Tableau1[[#This Row],[Key(ID-Actif)]],'DATA BTO'!A:N,12,FALSE)</f>
        <v>#N/A</v>
      </c>
      <c r="AJ91" s="53" t="e">
        <f ca="1">VLOOKUP(Tableau1[[#This Row],[Key(ID-Actif)]],'DATA BTO'!A:N,14,FALSE)</f>
        <v>#N/A</v>
      </c>
      <c r="AK91" s="54" t="e">
        <f ca="1">VLOOKUP(Tableau1[[#This Row],[Key(POD -PFI- Usine)]],'DATA Consignee'!A:F,6,FALSE)</f>
        <v>#N/A</v>
      </c>
      <c r="AL91" s="125"/>
      <c r="AM91" s="483" t="str">
        <f>IF(Tableau1[[#This Row],[Name PFI/CDD]]="","-",VLOOKUP(Tableau1[[#This Row],[Name PFI/CDD]],Plant_AILN!I:J,2,FALSE))</f>
        <v>-</v>
      </c>
      <c r="AN9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1" s="2" t="e">
        <f ca="1">VLOOKUP(Tableau1[[#This Row],[Key(POD -PFI- Usine)]],'DATA Consignee'!A:J,10,FALSE)</f>
        <v>#N/A</v>
      </c>
      <c r="AQ91" s="50" t="e">
        <f ca="1">VLOOKUP(Tableau1[[#This Row],[Key(POD -PFI- Usine)]],'DATA Consignee'!A:N,14,FALSE)</f>
        <v>#N/A</v>
      </c>
      <c r="AR9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1" s="50" t="e">
        <f ca="1">Tableau1[[#This Row],[Transit time]]+Tableau1[[#This Row],[Time for security]]+Tableau1[[#This Row],[Time for security2 buffer]]</f>
        <v>#N/A</v>
      </c>
      <c r="AU9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1" s="389" t="e">
        <f ca="1">Tableau1[[#This Row],[Leadtime SI2C]]+Tableau1[[#This Row],[First Receipt Days]]-Tableau1[[#This Row],[Day Customer Order]]+1</f>
        <v>#N/A</v>
      </c>
      <c r="AW91" s="117" t="e">
        <f ca="1">IF(Tableau1[[#This Row],[Name ILN]]&lt;&gt;"SFK Freight Forwarder",Tableau1[[#This Row],[Cust. Leadtime]],Tableau1[[#This Row],[Leadtime SI2C]])</f>
        <v>#N/A</v>
      </c>
      <c r="AX91" s="51" t="e">
        <f>VLOOKUP(Tableau1[[#This Row],[ID]],'DATA BTO'!B:P,15,FALSE)</f>
        <v>#N/A</v>
      </c>
      <c r="AY91" s="328" t="e">
        <f ca="1">IFERROR(VLOOKUP(Tableau1[[#This Row],[Key(ID-Actif)]],'DATA BTO'!A:N,4,FALSE),VLOOKUP(Tableau1[[#This Row],[ID]],'DATA BTO'!B:N,3,FALSE))</f>
        <v>#N/A</v>
      </c>
      <c r="AZ9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1" s="50"/>
    </row>
    <row r="92" spans="2:57">
      <c r="B92" s="65" t="str">
        <f>_xlfn.CONCAT(Tableau1[[#This Row],[Name ILN]],"-",Tableau1[[#This Row],[Name Shipper]],"-",Tableau1[[#This Row],[Name Site]])</f>
        <v>--</v>
      </c>
      <c r="C92" s="65" t="e">
        <f>_xlfn.CONCAT(Tableau1[[#This Row],[Compte ILN]],"-",Tableau1[[#This Row],[Compte Shipper]],"-",Tableau1[[#This Row],[POL]],"-",Tableau1[[#This Row],[Compte Consignee]])</f>
        <v>#N/A</v>
      </c>
      <c r="D92" s="64" t="e">
        <f>_xlfn.CONCAT(Tableau1[[#This Row],[Compte ILN]],"-",Tableau1[[#This Row],[Compte Shipper]],"-",Tableau1[[#This Row],[POL]])</f>
        <v>#N/A</v>
      </c>
      <c r="E92" s="396" t="e">
        <f ca="1">_xlfn.CONCAT(Tableau1[[#This Row],[POL]],"-",Tableau1[[#This Row],[Carrier]],"-",Tableau1[[#This Row],[POD]])</f>
        <v>#N/A</v>
      </c>
      <c r="F92" s="64" t="str">
        <f>_xlfn.CONCAT(Tableau1[[#This Row],[ID]],"-","Actif")</f>
        <v>-Actif</v>
      </c>
      <c r="G92" s="64" t="e">
        <f ca="1">_xlfn.CONCAT(Tableau1[[#This Row],[POD]],"-",Tableau1[[#This Row],[Code PFI]],"-",Tableau1[[#This Row],[Compte Consignee]])</f>
        <v>#N/A</v>
      </c>
      <c r="H9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2" s="397" t="str">
        <f ca="1">IF(COUNTIF(I:I,Tableau1[[#This Row],[Plant-ILN-shipper-POL-Carrier-POD-PFI]])=1,"Non","Oui")</f>
        <v>Oui</v>
      </c>
      <c r="K92" s="399" t="e">
        <f>VLOOKUP(Tableau1[[#This Row],[Name Site]],Plant_AILN!A:D,4,FALSE)</f>
        <v>#N/A</v>
      </c>
      <c r="L92" s="285"/>
      <c r="M92" s="480" t="e">
        <f>VLOOKUP(Tableau1[[#This Row],[Name Site]],Plant_AILN!A:C,3,FALSE)</f>
        <v>#N/A</v>
      </c>
      <c r="N92" s="55" t="e">
        <f>VLOOKUP(Tableau1[[#This Row],[Compte Consignee]],Order!C:D,2,FALSE)</f>
        <v>#N/A</v>
      </c>
      <c r="O92" s="114"/>
      <c r="P92" s="481" t="e">
        <f>VLOOKUP(Tableau1[[#This Row],[Name ILN]],Plant_AILN!F:G,2,FALSE)</f>
        <v>#N/A</v>
      </c>
      <c r="Q92" s="50" t="e">
        <f>VLOOKUP(Tableau1[[#This Row],[Compte ILN]],'DATA ILN'!D:I,6,FALSE)</f>
        <v>#N/A</v>
      </c>
      <c r="R92" s="50" t="e">
        <f>IFERROR(VLOOKUP(Tableau1[[#This Row],[Key(Compte ILN - shipper - POL - plant)]],'DATA ILN'!A:J,10,FALSE),VLOOKUP(Tableau1[[#This Row],[Key(Compte ILN - shipper - POL)]],'DATA ILN'!B:J,9,FALSE))</f>
        <v>#N/A</v>
      </c>
      <c r="S92" s="50" t="e">
        <f>IFERROR(VLOOKUP(Tableau1[[#This Row],[Key(Compte ILN - shipper - POL - plant)]],'DATA ILN'!A:K,11,FALSE),VLOOKUP(Tableau1[[#This Row],[Key(Compte ILN - shipper - POL)]],'DATA ILN'!B:K,10,FALSE))</f>
        <v>#N/A</v>
      </c>
      <c r="T92" s="50" t="e">
        <f>IFERROR(VLOOKUP(Tableau1[[#This Row],[Key(Compte ILN - shipper - POL - plant)]],'DATA ILN'!A:L,12,FALSE),VLOOKUP(Tableau1[[#This Row],[Key(Compte ILN - shipper - POL)]],'DATA ILN'!B:L,11,FALSE))</f>
        <v>#N/A</v>
      </c>
      <c r="U92" s="50" t="e">
        <f>Tableau1[[#This Row],[Day ILN Order]]+Tableau1[[#This Row],[Delivery time to ILN/Shipper]]-1</f>
        <v>#N/A</v>
      </c>
      <c r="V92" s="50" t="e">
        <f>IFERROR(VLOOKUP(Tableau1[[#This Row],[Key(Compte ILN - shipper - POL - plant)]],'DATA ILN'!A:N,14,FALSE),VLOOKUP(Tableau1[[#This Row],[Key(Compte ILN - shipper - POL)]],'DATA ILN'!B:N,13,FALSE))</f>
        <v>#N/A</v>
      </c>
      <c r="W92" s="53" t="e">
        <f>IFERROR(VLOOKUP(Tableau1[[#This Row],[Key(Compte ILN - shipper - POL - plant)]],'DATA ILN'!A:P,16,FALSE),VLOOKUP(Tableau1[[#This Row],[Key(Compte ILN - shipper - POL)]],'DATA ILN'!B:P,15,FALSE))</f>
        <v>#N/A</v>
      </c>
      <c r="X92" s="283"/>
      <c r="Y92" s="482">
        <f>IFERROR(VLOOKUP(Tableau1[[#This Row],[Name Shipper]],Plant_AILN!L:M,2,FALSE),0)</f>
        <v>0</v>
      </c>
      <c r="Z92" s="358"/>
      <c r="AA92" s="353" t="e">
        <f ca="1">VLOOKUP(Tableau1[[#This Row],[Key(ID-Actif)]],'DATA BTO'!A:N,5,FALSE)</f>
        <v>#N/A</v>
      </c>
      <c r="AB92" s="3" t="e">
        <f ca="1">VLOOKUP(Tableau1[[#This Row],[Key(ID-Actif)]],'DATA BTO'!A:N,6,FALSE)</f>
        <v>#N/A</v>
      </c>
      <c r="AC92" s="50" t="e">
        <f ca="1">VLOOKUP(Tableau1[[#This Row],[Key(ID-Actif)]],'DATA BTO'!A:N,7,FALSE)</f>
        <v>#N/A</v>
      </c>
      <c r="AD92" s="50" t="e">
        <f ca="1">VLOOKUP(Tableau1[[#This Row],[Key(ID-Actif)]],'DATA BTO'!A:N,8,FALSE)</f>
        <v>#N/A</v>
      </c>
      <c r="AE92" s="50" t="e">
        <f ca="1">IF(Tableau1[[#This Row],[First Day to POL]]&lt;=Tableau1[[#This Row],[Day Cut Off]],Tableau1[[#This Row],[Day ETD]],Tableau1[[#This Row],[Day ETD]]+7)</f>
        <v>#N/A</v>
      </c>
      <c r="AF92" s="50" t="e">
        <f ca="1">VLOOKUP(Tableau1[[#This Row],[Key(ID-Actif)]],'DATA BTO'!A:N,9,FALSE)</f>
        <v>#N/A</v>
      </c>
      <c r="AG92" s="3" t="e">
        <f ca="1">VLOOKUP(Tableau1[[#This Row],[Key(ID-Actif)]],'DATA BTO'!A:N,10,FALSE)</f>
        <v>#N/A</v>
      </c>
      <c r="AH92" s="3" t="e">
        <f ca="1">VLOOKUP(Tableau1[[#This Row],[Key(ID-Actif)]],'DATA BTO'!A:N,11,FALSE)</f>
        <v>#N/A</v>
      </c>
      <c r="AI92" s="50" t="e">
        <f ca="1">VLOOKUP(Tableau1[[#This Row],[Key(ID-Actif)]],'DATA BTO'!A:N,12,FALSE)</f>
        <v>#N/A</v>
      </c>
      <c r="AJ92" s="53" t="e">
        <f ca="1">VLOOKUP(Tableau1[[#This Row],[Key(ID-Actif)]],'DATA BTO'!A:N,14,FALSE)</f>
        <v>#N/A</v>
      </c>
      <c r="AK92" s="54" t="e">
        <f ca="1">VLOOKUP(Tableau1[[#This Row],[Key(POD -PFI- Usine)]],'DATA Consignee'!A:F,6,FALSE)</f>
        <v>#N/A</v>
      </c>
      <c r="AL92" s="125"/>
      <c r="AM92" s="483" t="str">
        <f>IF(Tableau1[[#This Row],[Name PFI/CDD]]="","-",VLOOKUP(Tableau1[[#This Row],[Name PFI/CDD]],Plant_AILN!I:J,2,FALSE))</f>
        <v>-</v>
      </c>
      <c r="AN9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2" s="2" t="e">
        <f ca="1">VLOOKUP(Tableau1[[#This Row],[Key(POD -PFI- Usine)]],'DATA Consignee'!A:J,10,FALSE)</f>
        <v>#N/A</v>
      </c>
      <c r="AQ92" s="50" t="e">
        <f ca="1">VLOOKUP(Tableau1[[#This Row],[Key(POD -PFI- Usine)]],'DATA Consignee'!A:N,14,FALSE)</f>
        <v>#N/A</v>
      </c>
      <c r="AR9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2" s="50" t="e">
        <f ca="1">Tableau1[[#This Row],[Transit time]]+Tableau1[[#This Row],[Time for security]]+Tableau1[[#This Row],[Time for security2 buffer]]</f>
        <v>#N/A</v>
      </c>
      <c r="AU9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2" s="389" t="e">
        <f ca="1">Tableau1[[#This Row],[Leadtime SI2C]]+Tableau1[[#This Row],[First Receipt Days]]-Tableau1[[#This Row],[Day Customer Order]]+1</f>
        <v>#N/A</v>
      </c>
      <c r="AW92" s="117" t="e">
        <f ca="1">IF(Tableau1[[#This Row],[Name ILN]]&lt;&gt;"SFK Freight Forwarder",Tableau1[[#This Row],[Cust. Leadtime]],Tableau1[[#This Row],[Leadtime SI2C]])</f>
        <v>#N/A</v>
      </c>
      <c r="AX92" s="51" t="e">
        <f>VLOOKUP(Tableau1[[#This Row],[ID]],'DATA BTO'!B:P,15,FALSE)</f>
        <v>#N/A</v>
      </c>
      <c r="AY92" s="328" t="e">
        <f ca="1">IFERROR(VLOOKUP(Tableau1[[#This Row],[Key(ID-Actif)]],'DATA BTO'!A:N,4,FALSE),VLOOKUP(Tableau1[[#This Row],[ID]],'DATA BTO'!B:N,3,FALSE))</f>
        <v>#N/A</v>
      </c>
      <c r="AZ9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2" s="50"/>
    </row>
    <row r="93" spans="2:57">
      <c r="B93" s="65" t="str">
        <f>_xlfn.CONCAT(Tableau1[[#This Row],[Name ILN]],"-",Tableau1[[#This Row],[Name Shipper]],"-",Tableau1[[#This Row],[Name Site]])</f>
        <v>--</v>
      </c>
      <c r="C93" s="65" t="e">
        <f>_xlfn.CONCAT(Tableau1[[#This Row],[Compte ILN]],"-",Tableau1[[#This Row],[Compte Shipper]],"-",Tableau1[[#This Row],[POL]],"-",Tableau1[[#This Row],[Compte Consignee]])</f>
        <v>#N/A</v>
      </c>
      <c r="D93" s="64" t="e">
        <f>_xlfn.CONCAT(Tableau1[[#This Row],[Compte ILN]],"-",Tableau1[[#This Row],[Compte Shipper]],"-",Tableau1[[#This Row],[POL]])</f>
        <v>#N/A</v>
      </c>
      <c r="E93" s="396" t="e">
        <f ca="1">_xlfn.CONCAT(Tableau1[[#This Row],[POL]],"-",Tableau1[[#This Row],[Carrier]],"-",Tableau1[[#This Row],[POD]])</f>
        <v>#N/A</v>
      </c>
      <c r="F93" s="64" t="str">
        <f>_xlfn.CONCAT(Tableau1[[#This Row],[ID]],"-","Actif")</f>
        <v>-Actif</v>
      </c>
      <c r="G93" s="64" t="e">
        <f ca="1">_xlfn.CONCAT(Tableau1[[#This Row],[POD]],"-",Tableau1[[#This Row],[Code PFI]],"-",Tableau1[[#This Row],[Compte Consignee]])</f>
        <v>#N/A</v>
      </c>
      <c r="H9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3" s="397" t="str">
        <f ca="1">IF(COUNTIF(I:I,Tableau1[[#This Row],[Plant-ILN-shipper-POL-Carrier-POD-PFI]])=1,"Non","Oui")</f>
        <v>Oui</v>
      </c>
      <c r="K93" s="399" t="e">
        <f>VLOOKUP(Tableau1[[#This Row],[Name Site]],Plant_AILN!A:D,4,FALSE)</f>
        <v>#N/A</v>
      </c>
      <c r="L93" s="285"/>
      <c r="M93" s="480" t="e">
        <f>VLOOKUP(Tableau1[[#This Row],[Name Site]],Plant_AILN!A:C,3,FALSE)</f>
        <v>#N/A</v>
      </c>
      <c r="N93" s="55" t="e">
        <f>VLOOKUP(Tableau1[[#This Row],[Compte Consignee]],Order!C:D,2,FALSE)</f>
        <v>#N/A</v>
      </c>
      <c r="O93" s="114"/>
      <c r="P93" s="481" t="e">
        <f>VLOOKUP(Tableau1[[#This Row],[Name ILN]],Plant_AILN!F:G,2,FALSE)</f>
        <v>#N/A</v>
      </c>
      <c r="Q93" s="50" t="e">
        <f>VLOOKUP(Tableau1[[#This Row],[Compte ILN]],'DATA ILN'!D:I,6,FALSE)</f>
        <v>#N/A</v>
      </c>
      <c r="R93" s="50" t="e">
        <f>IFERROR(VLOOKUP(Tableau1[[#This Row],[Key(Compte ILN - shipper - POL - plant)]],'DATA ILN'!A:J,10,FALSE),VLOOKUP(Tableau1[[#This Row],[Key(Compte ILN - shipper - POL)]],'DATA ILN'!B:J,9,FALSE))</f>
        <v>#N/A</v>
      </c>
      <c r="S93" s="50" t="e">
        <f>IFERROR(VLOOKUP(Tableau1[[#This Row],[Key(Compte ILN - shipper - POL - plant)]],'DATA ILN'!A:K,11,FALSE),VLOOKUP(Tableau1[[#This Row],[Key(Compte ILN - shipper - POL)]],'DATA ILN'!B:K,10,FALSE))</f>
        <v>#N/A</v>
      </c>
      <c r="T93" s="50" t="e">
        <f>IFERROR(VLOOKUP(Tableau1[[#This Row],[Key(Compte ILN - shipper - POL - plant)]],'DATA ILN'!A:L,12,FALSE),VLOOKUP(Tableau1[[#This Row],[Key(Compte ILN - shipper - POL)]],'DATA ILN'!B:L,11,FALSE))</f>
        <v>#N/A</v>
      </c>
      <c r="U93" s="50" t="e">
        <f>Tableau1[[#This Row],[Day ILN Order]]+Tableau1[[#This Row],[Delivery time to ILN/Shipper]]-1</f>
        <v>#N/A</v>
      </c>
      <c r="V93" s="50" t="e">
        <f>IFERROR(VLOOKUP(Tableau1[[#This Row],[Key(Compte ILN - shipper - POL - plant)]],'DATA ILN'!A:N,14,FALSE),VLOOKUP(Tableau1[[#This Row],[Key(Compte ILN - shipper - POL)]],'DATA ILN'!B:N,13,FALSE))</f>
        <v>#N/A</v>
      </c>
      <c r="W93" s="53" t="e">
        <f>IFERROR(VLOOKUP(Tableau1[[#This Row],[Key(Compte ILN - shipper - POL - plant)]],'DATA ILN'!A:P,16,FALSE),VLOOKUP(Tableau1[[#This Row],[Key(Compte ILN - shipper - POL)]],'DATA ILN'!B:P,15,FALSE))</f>
        <v>#N/A</v>
      </c>
      <c r="X93" s="283"/>
      <c r="Y93" s="482">
        <f>IFERROR(VLOOKUP(Tableau1[[#This Row],[Name Shipper]],Plant_AILN!L:M,2,FALSE),0)</f>
        <v>0</v>
      </c>
      <c r="Z93" s="358"/>
      <c r="AA93" s="353" t="e">
        <f ca="1">VLOOKUP(Tableau1[[#This Row],[Key(ID-Actif)]],'DATA BTO'!A:N,5,FALSE)</f>
        <v>#N/A</v>
      </c>
      <c r="AB93" s="3" t="e">
        <f ca="1">VLOOKUP(Tableau1[[#This Row],[Key(ID-Actif)]],'DATA BTO'!A:N,6,FALSE)</f>
        <v>#N/A</v>
      </c>
      <c r="AC93" s="50" t="e">
        <f ca="1">VLOOKUP(Tableau1[[#This Row],[Key(ID-Actif)]],'DATA BTO'!A:N,7,FALSE)</f>
        <v>#N/A</v>
      </c>
      <c r="AD93" s="50" t="e">
        <f ca="1">VLOOKUP(Tableau1[[#This Row],[Key(ID-Actif)]],'DATA BTO'!A:N,8,FALSE)</f>
        <v>#N/A</v>
      </c>
      <c r="AE93" s="50" t="e">
        <f ca="1">IF(Tableau1[[#This Row],[First Day to POL]]&lt;=Tableau1[[#This Row],[Day Cut Off]],Tableau1[[#This Row],[Day ETD]],Tableau1[[#This Row],[Day ETD]]+7)</f>
        <v>#N/A</v>
      </c>
      <c r="AF93" s="50" t="e">
        <f ca="1">VLOOKUP(Tableau1[[#This Row],[Key(ID-Actif)]],'DATA BTO'!A:N,9,FALSE)</f>
        <v>#N/A</v>
      </c>
      <c r="AG93" s="3" t="e">
        <f ca="1">VLOOKUP(Tableau1[[#This Row],[Key(ID-Actif)]],'DATA BTO'!A:N,10,FALSE)</f>
        <v>#N/A</v>
      </c>
      <c r="AH93" s="3" t="e">
        <f ca="1">VLOOKUP(Tableau1[[#This Row],[Key(ID-Actif)]],'DATA BTO'!A:N,11,FALSE)</f>
        <v>#N/A</v>
      </c>
      <c r="AI93" s="50" t="e">
        <f ca="1">VLOOKUP(Tableau1[[#This Row],[Key(ID-Actif)]],'DATA BTO'!A:N,12,FALSE)</f>
        <v>#N/A</v>
      </c>
      <c r="AJ93" s="53" t="e">
        <f ca="1">VLOOKUP(Tableau1[[#This Row],[Key(ID-Actif)]],'DATA BTO'!A:N,14,FALSE)</f>
        <v>#N/A</v>
      </c>
      <c r="AK93" s="54" t="e">
        <f ca="1">VLOOKUP(Tableau1[[#This Row],[Key(POD -PFI- Usine)]],'DATA Consignee'!A:F,6,FALSE)</f>
        <v>#N/A</v>
      </c>
      <c r="AL93" s="125"/>
      <c r="AM93" s="483" t="str">
        <f>IF(Tableau1[[#This Row],[Name PFI/CDD]]="","-",VLOOKUP(Tableau1[[#This Row],[Name PFI/CDD]],Plant_AILN!I:J,2,FALSE))</f>
        <v>-</v>
      </c>
      <c r="AN9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3" s="2" t="e">
        <f ca="1">VLOOKUP(Tableau1[[#This Row],[Key(POD -PFI- Usine)]],'DATA Consignee'!A:J,10,FALSE)</f>
        <v>#N/A</v>
      </c>
      <c r="AQ93" s="50" t="e">
        <f ca="1">VLOOKUP(Tableau1[[#This Row],[Key(POD -PFI- Usine)]],'DATA Consignee'!A:N,14,FALSE)</f>
        <v>#N/A</v>
      </c>
      <c r="AR9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3" s="50" t="e">
        <f ca="1">Tableau1[[#This Row],[Transit time]]+Tableau1[[#This Row],[Time for security]]+Tableau1[[#This Row],[Time for security2 buffer]]</f>
        <v>#N/A</v>
      </c>
      <c r="AU9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3" s="389" t="e">
        <f ca="1">Tableau1[[#This Row],[Leadtime SI2C]]+Tableau1[[#This Row],[First Receipt Days]]-Tableau1[[#This Row],[Day Customer Order]]+1</f>
        <v>#N/A</v>
      </c>
      <c r="AW93" s="117" t="e">
        <f ca="1">IF(Tableau1[[#This Row],[Name ILN]]&lt;&gt;"SFK Freight Forwarder",Tableau1[[#This Row],[Cust. Leadtime]],Tableau1[[#This Row],[Leadtime SI2C]])</f>
        <v>#N/A</v>
      </c>
      <c r="AX93" s="51" t="e">
        <f>VLOOKUP(Tableau1[[#This Row],[ID]],'DATA BTO'!B:P,15,FALSE)</f>
        <v>#N/A</v>
      </c>
      <c r="AY93" s="328" t="e">
        <f ca="1">IFERROR(VLOOKUP(Tableau1[[#This Row],[Key(ID-Actif)]],'DATA BTO'!A:N,4,FALSE),VLOOKUP(Tableau1[[#This Row],[ID]],'DATA BTO'!B:N,3,FALSE))</f>
        <v>#N/A</v>
      </c>
      <c r="AZ9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3" s="50"/>
    </row>
    <row r="94" spans="2:57">
      <c r="B94" s="65" t="str">
        <f>_xlfn.CONCAT(Tableau1[[#This Row],[Name ILN]],"-",Tableau1[[#This Row],[Name Shipper]],"-",Tableau1[[#This Row],[Name Site]])</f>
        <v>--</v>
      </c>
      <c r="C94" s="65" t="e">
        <f>_xlfn.CONCAT(Tableau1[[#This Row],[Compte ILN]],"-",Tableau1[[#This Row],[Compte Shipper]],"-",Tableau1[[#This Row],[POL]],"-",Tableau1[[#This Row],[Compte Consignee]])</f>
        <v>#N/A</v>
      </c>
      <c r="D94" s="64" t="e">
        <f>_xlfn.CONCAT(Tableau1[[#This Row],[Compte ILN]],"-",Tableau1[[#This Row],[Compte Shipper]],"-",Tableau1[[#This Row],[POL]])</f>
        <v>#N/A</v>
      </c>
      <c r="E94" s="396" t="e">
        <f ca="1">_xlfn.CONCAT(Tableau1[[#This Row],[POL]],"-",Tableau1[[#This Row],[Carrier]],"-",Tableau1[[#This Row],[POD]])</f>
        <v>#N/A</v>
      </c>
      <c r="F94" s="64" t="str">
        <f>_xlfn.CONCAT(Tableau1[[#This Row],[ID]],"-","Actif")</f>
        <v>-Actif</v>
      </c>
      <c r="G94" s="64" t="e">
        <f ca="1">_xlfn.CONCAT(Tableau1[[#This Row],[POD]],"-",Tableau1[[#This Row],[Code PFI]],"-",Tableau1[[#This Row],[Compte Consignee]])</f>
        <v>#N/A</v>
      </c>
      <c r="H9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4" s="397" t="str">
        <f ca="1">IF(COUNTIF(I:I,Tableau1[[#This Row],[Plant-ILN-shipper-POL-Carrier-POD-PFI]])=1,"Non","Oui")</f>
        <v>Oui</v>
      </c>
      <c r="K94" s="398" t="e">
        <f>VLOOKUP(Tableau1[[#This Row],[Name Site]],Plant_AILN!A:D,4,FALSE)</f>
        <v>#N/A</v>
      </c>
      <c r="L94" s="285"/>
      <c r="M94" s="480" t="e">
        <f>VLOOKUP(Tableau1[[#This Row],[Name Site]],Plant_AILN!A:C,3,FALSE)</f>
        <v>#N/A</v>
      </c>
      <c r="N94" s="55" t="e">
        <f>VLOOKUP(Tableau1[[#This Row],[Compte Consignee]],Order!C:D,2,FALSE)</f>
        <v>#N/A</v>
      </c>
      <c r="O94" s="114"/>
      <c r="P94" s="481" t="e">
        <f>VLOOKUP(Tableau1[[#This Row],[Name ILN]],Plant_AILN!F:G,2,FALSE)</f>
        <v>#N/A</v>
      </c>
      <c r="Q94" s="50" t="e">
        <f>VLOOKUP(Tableau1[[#This Row],[Compte ILN]],'DATA ILN'!D:I,6,FALSE)</f>
        <v>#N/A</v>
      </c>
      <c r="R94" s="50" t="e">
        <f>IFERROR(VLOOKUP(Tableau1[[#This Row],[Key(Compte ILN - shipper - POL - plant)]],'DATA ILN'!A:J,10,FALSE),VLOOKUP(Tableau1[[#This Row],[Key(Compte ILN - shipper - POL)]],'DATA ILN'!B:J,9,FALSE))</f>
        <v>#N/A</v>
      </c>
      <c r="S94" s="50" t="e">
        <f>IFERROR(VLOOKUP(Tableau1[[#This Row],[Key(Compte ILN - shipper - POL - plant)]],'DATA ILN'!A:K,11,FALSE),VLOOKUP(Tableau1[[#This Row],[Key(Compte ILN - shipper - POL)]],'DATA ILN'!B:K,10,FALSE))</f>
        <v>#N/A</v>
      </c>
      <c r="T94" s="50" t="e">
        <f>IFERROR(VLOOKUP(Tableau1[[#This Row],[Key(Compte ILN - shipper - POL - plant)]],'DATA ILN'!A:L,12,FALSE),VLOOKUP(Tableau1[[#This Row],[Key(Compte ILN - shipper - POL)]],'DATA ILN'!B:L,11,FALSE))</f>
        <v>#N/A</v>
      </c>
      <c r="U94" s="50" t="e">
        <f>Tableau1[[#This Row],[Day ILN Order]]+Tableau1[[#This Row],[Delivery time to ILN/Shipper]]-1</f>
        <v>#N/A</v>
      </c>
      <c r="V94" s="50" t="e">
        <f>IFERROR(VLOOKUP(Tableau1[[#This Row],[Key(Compte ILN - shipper - POL - plant)]],'DATA ILN'!A:N,14,FALSE),VLOOKUP(Tableau1[[#This Row],[Key(Compte ILN - shipper - POL)]],'DATA ILN'!B:N,13,FALSE))</f>
        <v>#N/A</v>
      </c>
      <c r="W94" s="53" t="e">
        <f>IFERROR(VLOOKUP(Tableau1[[#This Row],[Key(Compte ILN - shipper - POL - plant)]],'DATA ILN'!A:P,16,FALSE),VLOOKUP(Tableau1[[#This Row],[Key(Compte ILN - shipper - POL)]],'DATA ILN'!B:P,15,FALSE))</f>
        <v>#N/A</v>
      </c>
      <c r="X94" s="283"/>
      <c r="Y94" s="482">
        <f>IFERROR(VLOOKUP(Tableau1[[#This Row],[Name Shipper]],Plant_AILN!L:M,2,FALSE),0)</f>
        <v>0</v>
      </c>
      <c r="Z94" s="358"/>
      <c r="AA94" s="353" t="e">
        <f ca="1">VLOOKUP(Tableau1[[#This Row],[Key(ID-Actif)]],'DATA BTO'!A:N,5,FALSE)</f>
        <v>#N/A</v>
      </c>
      <c r="AB94" s="3" t="e">
        <f ca="1">VLOOKUP(Tableau1[[#This Row],[Key(ID-Actif)]],'DATA BTO'!A:N,6,FALSE)</f>
        <v>#N/A</v>
      </c>
      <c r="AC94" s="50" t="e">
        <f ca="1">VLOOKUP(Tableau1[[#This Row],[Key(ID-Actif)]],'DATA BTO'!A:N,7,FALSE)</f>
        <v>#N/A</v>
      </c>
      <c r="AD94" s="50" t="e">
        <f ca="1">VLOOKUP(Tableau1[[#This Row],[Key(ID-Actif)]],'DATA BTO'!A:N,8,FALSE)</f>
        <v>#N/A</v>
      </c>
      <c r="AE94" s="50" t="e">
        <f ca="1">IF(Tableau1[[#This Row],[First Day to POL]]&lt;=Tableau1[[#This Row],[Day Cut Off]],Tableau1[[#This Row],[Day ETD]],Tableau1[[#This Row],[Day ETD]]+7)</f>
        <v>#N/A</v>
      </c>
      <c r="AF94" s="50" t="e">
        <f ca="1">VLOOKUP(Tableau1[[#This Row],[Key(ID-Actif)]],'DATA BTO'!A:N,9,FALSE)</f>
        <v>#N/A</v>
      </c>
      <c r="AG94" s="3" t="e">
        <f ca="1">VLOOKUP(Tableau1[[#This Row],[Key(ID-Actif)]],'DATA BTO'!A:N,10,FALSE)</f>
        <v>#N/A</v>
      </c>
      <c r="AH94" s="3" t="e">
        <f ca="1">VLOOKUP(Tableau1[[#This Row],[Key(ID-Actif)]],'DATA BTO'!A:N,11,FALSE)</f>
        <v>#N/A</v>
      </c>
      <c r="AI94" s="50" t="e">
        <f ca="1">VLOOKUP(Tableau1[[#This Row],[Key(ID-Actif)]],'DATA BTO'!A:N,12,FALSE)</f>
        <v>#N/A</v>
      </c>
      <c r="AJ94" s="53" t="e">
        <f ca="1">VLOOKUP(Tableau1[[#This Row],[Key(ID-Actif)]],'DATA BTO'!A:N,14,FALSE)</f>
        <v>#N/A</v>
      </c>
      <c r="AK94" s="54" t="e">
        <f ca="1">VLOOKUP(Tableau1[[#This Row],[Key(POD -PFI- Usine)]],'DATA Consignee'!A:F,6,FALSE)</f>
        <v>#N/A</v>
      </c>
      <c r="AL94" s="125"/>
      <c r="AM94" s="483" t="str">
        <f>IF(Tableau1[[#This Row],[Name PFI/CDD]]="","-",VLOOKUP(Tableau1[[#This Row],[Name PFI/CDD]],Plant_AILN!I:J,2,FALSE))</f>
        <v>-</v>
      </c>
      <c r="AN9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4" s="2" t="e">
        <f ca="1">VLOOKUP(Tableau1[[#This Row],[Key(POD -PFI- Usine)]],'DATA Consignee'!A:J,10,FALSE)</f>
        <v>#N/A</v>
      </c>
      <c r="AQ94" s="50" t="e">
        <f ca="1">VLOOKUP(Tableau1[[#This Row],[Key(POD -PFI- Usine)]],'DATA Consignee'!A:N,14,FALSE)</f>
        <v>#N/A</v>
      </c>
      <c r="AR9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4" s="50" t="e">
        <f ca="1">Tableau1[[#This Row],[Transit time]]+Tableau1[[#This Row],[Time for security]]+Tableau1[[#This Row],[Time for security2 buffer]]</f>
        <v>#N/A</v>
      </c>
      <c r="AU9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4" s="389" t="e">
        <f ca="1">Tableau1[[#This Row],[Leadtime SI2C]]+Tableau1[[#This Row],[First Receipt Days]]-Tableau1[[#This Row],[Day Customer Order]]+1</f>
        <v>#N/A</v>
      </c>
      <c r="AW94" s="117" t="e">
        <f ca="1">IF(Tableau1[[#This Row],[Name ILN]]&lt;&gt;"SFK Freight Forwarder",Tableau1[[#This Row],[Cust. Leadtime]],Tableau1[[#This Row],[Leadtime SI2C]])</f>
        <v>#N/A</v>
      </c>
      <c r="AX94" s="51" t="e">
        <f>VLOOKUP(Tableau1[[#This Row],[ID]],'DATA BTO'!B:P,15,FALSE)</f>
        <v>#N/A</v>
      </c>
      <c r="AY94" s="328" t="e">
        <f ca="1">IFERROR(VLOOKUP(Tableau1[[#This Row],[Key(ID-Actif)]],'DATA BTO'!A:N,4,FALSE),VLOOKUP(Tableau1[[#This Row],[ID]],'DATA BTO'!B:N,3,FALSE))</f>
        <v>#N/A</v>
      </c>
      <c r="AZ9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4" s="50"/>
    </row>
    <row r="95" spans="2:57">
      <c r="B95" s="65" t="str">
        <f>_xlfn.CONCAT(Tableau1[[#This Row],[Name ILN]],"-",Tableau1[[#This Row],[Name Shipper]],"-",Tableau1[[#This Row],[Name Site]])</f>
        <v>--</v>
      </c>
      <c r="C95" s="65" t="e">
        <f>_xlfn.CONCAT(Tableau1[[#This Row],[Compte ILN]],"-",Tableau1[[#This Row],[Compte Shipper]],"-",Tableau1[[#This Row],[POL]],"-",Tableau1[[#This Row],[Compte Consignee]])</f>
        <v>#N/A</v>
      </c>
      <c r="D95" s="64" t="e">
        <f>_xlfn.CONCAT(Tableau1[[#This Row],[Compte ILN]],"-",Tableau1[[#This Row],[Compte Shipper]],"-",Tableau1[[#This Row],[POL]])</f>
        <v>#N/A</v>
      </c>
      <c r="E95" s="396" t="e">
        <f ca="1">_xlfn.CONCAT(Tableau1[[#This Row],[POL]],"-",Tableau1[[#This Row],[Carrier]],"-",Tableau1[[#This Row],[POD]])</f>
        <v>#N/A</v>
      </c>
      <c r="F95" s="64" t="str">
        <f>_xlfn.CONCAT(Tableau1[[#This Row],[ID]],"-","Actif")</f>
        <v>-Actif</v>
      </c>
      <c r="G95" s="64" t="e">
        <f ca="1">_xlfn.CONCAT(Tableau1[[#This Row],[POD]],"-",Tableau1[[#This Row],[Code PFI]],"-",Tableau1[[#This Row],[Compte Consignee]])</f>
        <v>#N/A</v>
      </c>
      <c r="H9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5" s="397" t="str">
        <f ca="1">IF(COUNTIF(I:I,Tableau1[[#This Row],[Plant-ILN-shipper-POL-Carrier-POD-PFI]])=1,"Non","Oui")</f>
        <v>Oui</v>
      </c>
      <c r="K95" s="398" t="e">
        <f>VLOOKUP(Tableau1[[#This Row],[Name Site]],Plant_AILN!A:D,4,FALSE)</f>
        <v>#N/A</v>
      </c>
      <c r="L95" s="285"/>
      <c r="M95" s="480" t="e">
        <f>VLOOKUP(Tableau1[[#This Row],[Name Site]],Plant_AILN!A:C,3,FALSE)</f>
        <v>#N/A</v>
      </c>
      <c r="N95" s="55" t="e">
        <f>VLOOKUP(Tableau1[[#This Row],[Compte Consignee]],Order!C:D,2,FALSE)</f>
        <v>#N/A</v>
      </c>
      <c r="O95" s="114"/>
      <c r="P95" s="481" t="e">
        <f>VLOOKUP(Tableau1[[#This Row],[Name ILN]],Plant_AILN!F:G,2,FALSE)</f>
        <v>#N/A</v>
      </c>
      <c r="Q95" s="50" t="e">
        <f>VLOOKUP(Tableau1[[#This Row],[Compte ILN]],'DATA ILN'!D:I,6,FALSE)</f>
        <v>#N/A</v>
      </c>
      <c r="R95" s="50" t="e">
        <f>IFERROR(VLOOKUP(Tableau1[[#This Row],[Key(Compte ILN - shipper - POL - plant)]],'DATA ILN'!A:J,10,FALSE),VLOOKUP(Tableau1[[#This Row],[Key(Compte ILN - shipper - POL)]],'DATA ILN'!B:J,9,FALSE))</f>
        <v>#N/A</v>
      </c>
      <c r="S95" s="50" t="e">
        <f>IFERROR(VLOOKUP(Tableau1[[#This Row],[Key(Compte ILN - shipper - POL - plant)]],'DATA ILN'!A:K,11,FALSE),VLOOKUP(Tableau1[[#This Row],[Key(Compte ILN - shipper - POL)]],'DATA ILN'!B:K,10,FALSE))</f>
        <v>#N/A</v>
      </c>
      <c r="T95" s="50" t="e">
        <f>IFERROR(VLOOKUP(Tableau1[[#This Row],[Key(Compte ILN - shipper - POL - plant)]],'DATA ILN'!A:L,12,FALSE),VLOOKUP(Tableau1[[#This Row],[Key(Compte ILN - shipper - POL)]],'DATA ILN'!B:L,11,FALSE))</f>
        <v>#N/A</v>
      </c>
      <c r="U95" s="50" t="e">
        <f>Tableau1[[#This Row],[Day ILN Order]]+Tableau1[[#This Row],[Delivery time to ILN/Shipper]]-1</f>
        <v>#N/A</v>
      </c>
      <c r="V95" s="50" t="e">
        <f>IFERROR(VLOOKUP(Tableau1[[#This Row],[Key(Compte ILN - shipper - POL - plant)]],'DATA ILN'!A:N,14,FALSE),VLOOKUP(Tableau1[[#This Row],[Key(Compte ILN - shipper - POL)]],'DATA ILN'!B:N,13,FALSE))</f>
        <v>#N/A</v>
      </c>
      <c r="W95" s="53" t="e">
        <f>IFERROR(VLOOKUP(Tableau1[[#This Row],[Key(Compte ILN - shipper - POL - plant)]],'DATA ILN'!A:P,16,FALSE),VLOOKUP(Tableau1[[#This Row],[Key(Compte ILN - shipper - POL)]],'DATA ILN'!B:P,15,FALSE))</f>
        <v>#N/A</v>
      </c>
      <c r="X95" s="283"/>
      <c r="Y95" s="482">
        <f>IFERROR(VLOOKUP(Tableau1[[#This Row],[Name Shipper]],Plant_AILN!L:M,2,FALSE),0)</f>
        <v>0</v>
      </c>
      <c r="Z95" s="358"/>
      <c r="AA95" s="353" t="e">
        <f ca="1">VLOOKUP(Tableau1[[#This Row],[Key(ID-Actif)]],'DATA BTO'!A:N,5,FALSE)</f>
        <v>#N/A</v>
      </c>
      <c r="AB95" s="3" t="e">
        <f ca="1">VLOOKUP(Tableau1[[#This Row],[Key(ID-Actif)]],'DATA BTO'!A:N,6,FALSE)</f>
        <v>#N/A</v>
      </c>
      <c r="AC95" s="50" t="e">
        <f ca="1">VLOOKUP(Tableau1[[#This Row],[Key(ID-Actif)]],'DATA BTO'!A:N,7,FALSE)</f>
        <v>#N/A</v>
      </c>
      <c r="AD95" s="50" t="e">
        <f ca="1">VLOOKUP(Tableau1[[#This Row],[Key(ID-Actif)]],'DATA BTO'!A:N,8,FALSE)</f>
        <v>#N/A</v>
      </c>
      <c r="AE95" s="50" t="e">
        <f ca="1">IF(Tableau1[[#This Row],[First Day to POL]]&lt;=Tableau1[[#This Row],[Day Cut Off]],Tableau1[[#This Row],[Day ETD]],Tableau1[[#This Row],[Day ETD]]+7)</f>
        <v>#N/A</v>
      </c>
      <c r="AF95" s="50" t="e">
        <f ca="1">VLOOKUP(Tableau1[[#This Row],[Key(ID-Actif)]],'DATA BTO'!A:N,9,FALSE)</f>
        <v>#N/A</v>
      </c>
      <c r="AG95" s="3" t="e">
        <f ca="1">VLOOKUP(Tableau1[[#This Row],[Key(ID-Actif)]],'DATA BTO'!A:N,10,FALSE)</f>
        <v>#N/A</v>
      </c>
      <c r="AH95" s="3" t="e">
        <f ca="1">VLOOKUP(Tableau1[[#This Row],[Key(ID-Actif)]],'DATA BTO'!A:N,11,FALSE)</f>
        <v>#N/A</v>
      </c>
      <c r="AI95" s="50" t="e">
        <f ca="1">VLOOKUP(Tableau1[[#This Row],[Key(ID-Actif)]],'DATA BTO'!A:N,12,FALSE)</f>
        <v>#N/A</v>
      </c>
      <c r="AJ95" s="53" t="e">
        <f ca="1">VLOOKUP(Tableau1[[#This Row],[Key(ID-Actif)]],'DATA BTO'!A:N,14,FALSE)</f>
        <v>#N/A</v>
      </c>
      <c r="AK95" s="54" t="e">
        <f ca="1">VLOOKUP(Tableau1[[#This Row],[Key(POD -PFI- Usine)]],'DATA Consignee'!A:F,6,FALSE)</f>
        <v>#N/A</v>
      </c>
      <c r="AL95" s="125"/>
      <c r="AM95" s="483" t="str">
        <f>IF(Tableau1[[#This Row],[Name PFI/CDD]]="","-",VLOOKUP(Tableau1[[#This Row],[Name PFI/CDD]],Plant_AILN!I:J,2,FALSE))</f>
        <v>-</v>
      </c>
      <c r="AN9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5" s="2" t="e">
        <f ca="1">VLOOKUP(Tableau1[[#This Row],[Key(POD -PFI- Usine)]],'DATA Consignee'!A:J,10,FALSE)</f>
        <v>#N/A</v>
      </c>
      <c r="AQ95" s="50" t="e">
        <f ca="1">VLOOKUP(Tableau1[[#This Row],[Key(POD -PFI- Usine)]],'DATA Consignee'!A:N,14,FALSE)</f>
        <v>#N/A</v>
      </c>
      <c r="AR9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5" s="50" t="e">
        <f ca="1">Tableau1[[#This Row],[Transit time]]+Tableau1[[#This Row],[Time for security]]+Tableau1[[#This Row],[Time for security2 buffer]]</f>
        <v>#N/A</v>
      </c>
      <c r="AU9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5" s="389" t="e">
        <f ca="1">Tableau1[[#This Row],[Leadtime SI2C]]+Tableau1[[#This Row],[First Receipt Days]]-Tableau1[[#This Row],[Day Customer Order]]+1</f>
        <v>#N/A</v>
      </c>
      <c r="AW95" s="117" t="e">
        <f ca="1">IF(Tableau1[[#This Row],[Name ILN]]&lt;&gt;"SFK Freight Forwarder",Tableau1[[#This Row],[Cust. Leadtime]],Tableau1[[#This Row],[Leadtime SI2C]])</f>
        <v>#N/A</v>
      </c>
      <c r="AX95" s="51" t="e">
        <f>VLOOKUP(Tableau1[[#This Row],[ID]],'DATA BTO'!B:P,15,FALSE)</f>
        <v>#N/A</v>
      </c>
      <c r="AY95" s="328" t="e">
        <f ca="1">IFERROR(VLOOKUP(Tableau1[[#This Row],[Key(ID-Actif)]],'DATA BTO'!A:N,4,FALSE),VLOOKUP(Tableau1[[#This Row],[ID]],'DATA BTO'!B:N,3,FALSE))</f>
        <v>#N/A</v>
      </c>
      <c r="AZ9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5" s="50"/>
    </row>
    <row r="96" spans="2:57">
      <c r="B96" s="65" t="str">
        <f>_xlfn.CONCAT(Tableau1[[#This Row],[Name ILN]],"-",Tableau1[[#This Row],[Name Shipper]],"-",Tableau1[[#This Row],[Name Site]])</f>
        <v>--</v>
      </c>
      <c r="C96" s="65" t="e">
        <f>_xlfn.CONCAT(Tableau1[[#This Row],[Compte ILN]],"-",Tableau1[[#This Row],[Compte Shipper]],"-",Tableau1[[#This Row],[POL]],"-",Tableau1[[#This Row],[Compte Consignee]])</f>
        <v>#N/A</v>
      </c>
      <c r="D96" s="64" t="e">
        <f>_xlfn.CONCAT(Tableau1[[#This Row],[Compte ILN]],"-",Tableau1[[#This Row],[Compte Shipper]],"-",Tableau1[[#This Row],[POL]])</f>
        <v>#N/A</v>
      </c>
      <c r="E96" s="396" t="e">
        <f ca="1">_xlfn.CONCAT(Tableau1[[#This Row],[POL]],"-",Tableau1[[#This Row],[Carrier]],"-",Tableau1[[#This Row],[POD]])</f>
        <v>#N/A</v>
      </c>
      <c r="F96" s="64" t="str">
        <f>_xlfn.CONCAT(Tableau1[[#This Row],[ID]],"-","Actif")</f>
        <v>-Actif</v>
      </c>
      <c r="G96" s="64" t="e">
        <f ca="1">_xlfn.CONCAT(Tableau1[[#This Row],[POD]],"-",Tableau1[[#This Row],[Code PFI]],"-",Tableau1[[#This Row],[Compte Consignee]])</f>
        <v>#N/A</v>
      </c>
      <c r="H9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6" s="397" t="str">
        <f ca="1">IF(COUNTIF(I:I,Tableau1[[#This Row],[Plant-ILN-shipper-POL-Carrier-POD-PFI]])=1,"Non","Oui")</f>
        <v>Oui</v>
      </c>
      <c r="K96" s="398" t="e">
        <f>VLOOKUP(Tableau1[[#This Row],[Name Site]],Plant_AILN!A:D,4,FALSE)</f>
        <v>#N/A</v>
      </c>
      <c r="L96" s="285"/>
      <c r="M96" s="480" t="e">
        <f>VLOOKUP(Tableau1[[#This Row],[Name Site]],Plant_AILN!A:C,3,FALSE)</f>
        <v>#N/A</v>
      </c>
      <c r="N96" s="55" t="e">
        <f>VLOOKUP(Tableau1[[#This Row],[Compte Consignee]],Order!C:D,2,FALSE)</f>
        <v>#N/A</v>
      </c>
      <c r="O96" s="114"/>
      <c r="P96" s="481" t="e">
        <f>VLOOKUP(Tableau1[[#This Row],[Name ILN]],Plant_AILN!F:G,2,FALSE)</f>
        <v>#N/A</v>
      </c>
      <c r="Q96" s="50" t="e">
        <f>VLOOKUP(Tableau1[[#This Row],[Compte ILN]],'DATA ILN'!D:I,6,FALSE)</f>
        <v>#N/A</v>
      </c>
      <c r="R96" s="50" t="e">
        <f>IFERROR(VLOOKUP(Tableau1[[#This Row],[Key(Compte ILN - shipper - POL - plant)]],'DATA ILN'!A:J,10,FALSE),VLOOKUP(Tableau1[[#This Row],[Key(Compte ILN - shipper - POL)]],'DATA ILN'!B:J,9,FALSE))</f>
        <v>#N/A</v>
      </c>
      <c r="S96" s="50" t="e">
        <f>IFERROR(VLOOKUP(Tableau1[[#This Row],[Key(Compte ILN - shipper - POL - plant)]],'DATA ILN'!A:K,11,FALSE),VLOOKUP(Tableau1[[#This Row],[Key(Compte ILN - shipper - POL)]],'DATA ILN'!B:K,10,FALSE))</f>
        <v>#N/A</v>
      </c>
      <c r="T96" s="50" t="e">
        <f>IFERROR(VLOOKUP(Tableau1[[#This Row],[Key(Compte ILN - shipper - POL - plant)]],'DATA ILN'!A:L,12,FALSE),VLOOKUP(Tableau1[[#This Row],[Key(Compte ILN - shipper - POL)]],'DATA ILN'!B:L,11,FALSE))</f>
        <v>#N/A</v>
      </c>
      <c r="U96" s="50" t="e">
        <f>Tableau1[[#This Row],[Day ILN Order]]+Tableau1[[#This Row],[Delivery time to ILN/Shipper]]-1</f>
        <v>#N/A</v>
      </c>
      <c r="V96" s="50" t="e">
        <f>IFERROR(VLOOKUP(Tableau1[[#This Row],[Key(Compte ILN - shipper - POL - plant)]],'DATA ILN'!A:N,14,FALSE),VLOOKUP(Tableau1[[#This Row],[Key(Compte ILN - shipper - POL)]],'DATA ILN'!B:N,13,FALSE))</f>
        <v>#N/A</v>
      </c>
      <c r="W96" s="53" t="e">
        <f>IFERROR(VLOOKUP(Tableau1[[#This Row],[Key(Compte ILN - shipper - POL - plant)]],'DATA ILN'!A:P,16,FALSE),VLOOKUP(Tableau1[[#This Row],[Key(Compte ILN - shipper - POL)]],'DATA ILN'!B:P,15,FALSE))</f>
        <v>#N/A</v>
      </c>
      <c r="X96" s="283"/>
      <c r="Y96" s="482">
        <f>IFERROR(VLOOKUP(Tableau1[[#This Row],[Name Shipper]],Plant_AILN!L:M,2,FALSE),0)</f>
        <v>0</v>
      </c>
      <c r="Z96" s="358"/>
      <c r="AA96" s="353" t="e">
        <f ca="1">VLOOKUP(Tableau1[[#This Row],[Key(ID-Actif)]],'DATA BTO'!A:N,5,FALSE)</f>
        <v>#N/A</v>
      </c>
      <c r="AB96" s="3" t="e">
        <f ca="1">VLOOKUP(Tableau1[[#This Row],[Key(ID-Actif)]],'DATA BTO'!A:N,6,FALSE)</f>
        <v>#N/A</v>
      </c>
      <c r="AC96" s="50" t="e">
        <f ca="1">VLOOKUP(Tableau1[[#This Row],[Key(ID-Actif)]],'DATA BTO'!A:N,7,FALSE)</f>
        <v>#N/A</v>
      </c>
      <c r="AD96" s="50" t="e">
        <f ca="1">VLOOKUP(Tableau1[[#This Row],[Key(ID-Actif)]],'DATA BTO'!A:N,8,FALSE)</f>
        <v>#N/A</v>
      </c>
      <c r="AE96" s="50" t="e">
        <f ca="1">IF(Tableau1[[#This Row],[First Day to POL]]&lt;=Tableau1[[#This Row],[Day Cut Off]],Tableau1[[#This Row],[Day ETD]],Tableau1[[#This Row],[Day ETD]]+7)</f>
        <v>#N/A</v>
      </c>
      <c r="AF96" s="50" t="e">
        <f ca="1">VLOOKUP(Tableau1[[#This Row],[Key(ID-Actif)]],'DATA BTO'!A:N,9,FALSE)</f>
        <v>#N/A</v>
      </c>
      <c r="AG96" s="3" t="e">
        <f ca="1">VLOOKUP(Tableau1[[#This Row],[Key(ID-Actif)]],'DATA BTO'!A:N,10,FALSE)</f>
        <v>#N/A</v>
      </c>
      <c r="AH96" s="3" t="e">
        <f ca="1">VLOOKUP(Tableau1[[#This Row],[Key(ID-Actif)]],'DATA BTO'!A:N,11,FALSE)</f>
        <v>#N/A</v>
      </c>
      <c r="AI96" s="50" t="e">
        <f ca="1">VLOOKUP(Tableau1[[#This Row],[Key(ID-Actif)]],'DATA BTO'!A:N,12,FALSE)</f>
        <v>#N/A</v>
      </c>
      <c r="AJ96" s="53" t="e">
        <f ca="1">VLOOKUP(Tableau1[[#This Row],[Key(ID-Actif)]],'DATA BTO'!A:N,14,FALSE)</f>
        <v>#N/A</v>
      </c>
      <c r="AK96" s="54" t="e">
        <f ca="1">VLOOKUP(Tableau1[[#This Row],[Key(POD -PFI- Usine)]],'DATA Consignee'!A:F,6,FALSE)</f>
        <v>#N/A</v>
      </c>
      <c r="AL96" s="125"/>
      <c r="AM96" s="483" t="str">
        <f>IF(Tableau1[[#This Row],[Name PFI/CDD]]="","-",VLOOKUP(Tableau1[[#This Row],[Name PFI/CDD]],Plant_AILN!I:J,2,FALSE))</f>
        <v>-</v>
      </c>
      <c r="AN9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6" s="2" t="e">
        <f ca="1">VLOOKUP(Tableau1[[#This Row],[Key(POD -PFI- Usine)]],'DATA Consignee'!A:J,10,FALSE)</f>
        <v>#N/A</v>
      </c>
      <c r="AQ96" s="50" t="e">
        <f ca="1">VLOOKUP(Tableau1[[#This Row],[Key(POD -PFI- Usine)]],'DATA Consignee'!A:N,14,FALSE)</f>
        <v>#N/A</v>
      </c>
      <c r="AR9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6" s="50" t="e">
        <f ca="1">Tableau1[[#This Row],[Transit time]]+Tableau1[[#This Row],[Time for security]]+Tableau1[[#This Row],[Time for security2 buffer]]</f>
        <v>#N/A</v>
      </c>
      <c r="AU9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6" s="389" t="e">
        <f ca="1">Tableau1[[#This Row],[Leadtime SI2C]]+Tableau1[[#This Row],[First Receipt Days]]-Tableau1[[#This Row],[Day Customer Order]]+1</f>
        <v>#N/A</v>
      </c>
      <c r="AW96" s="117" t="e">
        <f ca="1">IF(Tableau1[[#This Row],[Name ILN]]&lt;&gt;"SFK Freight Forwarder",Tableau1[[#This Row],[Cust. Leadtime]],Tableau1[[#This Row],[Leadtime SI2C]])</f>
        <v>#N/A</v>
      </c>
      <c r="AX96" s="51" t="e">
        <f>VLOOKUP(Tableau1[[#This Row],[ID]],'DATA BTO'!B:P,15,FALSE)</f>
        <v>#N/A</v>
      </c>
      <c r="AY96" s="328" t="e">
        <f ca="1">IFERROR(VLOOKUP(Tableau1[[#This Row],[Key(ID-Actif)]],'DATA BTO'!A:N,4,FALSE),VLOOKUP(Tableau1[[#This Row],[ID]],'DATA BTO'!B:N,3,FALSE))</f>
        <v>#N/A</v>
      </c>
      <c r="AZ9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6" s="50"/>
    </row>
    <row r="97" spans="2:57">
      <c r="B97" s="65" t="str">
        <f>_xlfn.CONCAT(Tableau1[[#This Row],[Name ILN]],"-",Tableau1[[#This Row],[Name Shipper]],"-",Tableau1[[#This Row],[Name Site]])</f>
        <v>--</v>
      </c>
      <c r="C97" s="65" t="e">
        <f>_xlfn.CONCAT(Tableau1[[#This Row],[Compte ILN]],"-",Tableau1[[#This Row],[Compte Shipper]],"-",Tableau1[[#This Row],[POL]],"-",Tableau1[[#This Row],[Compte Consignee]])</f>
        <v>#N/A</v>
      </c>
      <c r="D97" s="64" t="e">
        <f>_xlfn.CONCAT(Tableau1[[#This Row],[Compte ILN]],"-",Tableau1[[#This Row],[Compte Shipper]],"-",Tableau1[[#This Row],[POL]])</f>
        <v>#N/A</v>
      </c>
      <c r="E97" s="396" t="e">
        <f ca="1">_xlfn.CONCAT(Tableau1[[#This Row],[POL]],"-",Tableau1[[#This Row],[Carrier]],"-",Tableau1[[#This Row],[POD]])</f>
        <v>#N/A</v>
      </c>
      <c r="F97" s="64" t="str">
        <f>_xlfn.CONCAT(Tableau1[[#This Row],[ID]],"-","Actif")</f>
        <v>-Actif</v>
      </c>
      <c r="G97" s="64" t="e">
        <f ca="1">_xlfn.CONCAT(Tableau1[[#This Row],[POD]],"-",Tableau1[[#This Row],[Code PFI]],"-",Tableau1[[#This Row],[Compte Consignee]])</f>
        <v>#N/A</v>
      </c>
      <c r="H9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7" s="397" t="str">
        <f ca="1">IF(COUNTIF(I:I,Tableau1[[#This Row],[Plant-ILN-shipper-POL-Carrier-POD-PFI]])=1,"Non","Oui")</f>
        <v>Oui</v>
      </c>
      <c r="K97" s="398" t="e">
        <f>VLOOKUP(Tableau1[[#This Row],[Name Site]],Plant_AILN!A:D,4,FALSE)</f>
        <v>#N/A</v>
      </c>
      <c r="L97" s="285"/>
      <c r="M97" s="480" t="e">
        <f>VLOOKUP(Tableau1[[#This Row],[Name Site]],Plant_AILN!A:C,3,FALSE)</f>
        <v>#N/A</v>
      </c>
      <c r="N97" s="55" t="e">
        <f>VLOOKUP(Tableau1[[#This Row],[Compte Consignee]],Order!C:D,2,FALSE)</f>
        <v>#N/A</v>
      </c>
      <c r="O97" s="114"/>
      <c r="P97" s="481" t="e">
        <f>VLOOKUP(Tableau1[[#This Row],[Name ILN]],Plant_AILN!F:G,2,FALSE)</f>
        <v>#N/A</v>
      </c>
      <c r="Q97" s="50" t="e">
        <f>VLOOKUP(Tableau1[[#This Row],[Compte ILN]],'DATA ILN'!D:I,6,FALSE)</f>
        <v>#N/A</v>
      </c>
      <c r="R97" s="50" t="e">
        <f>IFERROR(VLOOKUP(Tableau1[[#This Row],[Key(Compte ILN - shipper - POL - plant)]],'DATA ILN'!A:J,10,FALSE),VLOOKUP(Tableau1[[#This Row],[Key(Compte ILN - shipper - POL)]],'DATA ILN'!B:J,9,FALSE))</f>
        <v>#N/A</v>
      </c>
      <c r="S97" s="50" t="e">
        <f>IFERROR(VLOOKUP(Tableau1[[#This Row],[Key(Compte ILN - shipper - POL - plant)]],'DATA ILN'!A:K,11,FALSE),VLOOKUP(Tableau1[[#This Row],[Key(Compte ILN - shipper - POL)]],'DATA ILN'!B:K,10,FALSE))</f>
        <v>#N/A</v>
      </c>
      <c r="T97" s="50" t="e">
        <f>IFERROR(VLOOKUP(Tableau1[[#This Row],[Key(Compte ILN - shipper - POL - plant)]],'DATA ILN'!A:L,12,FALSE),VLOOKUP(Tableau1[[#This Row],[Key(Compte ILN - shipper - POL)]],'DATA ILN'!B:L,11,FALSE))</f>
        <v>#N/A</v>
      </c>
      <c r="U97" s="50" t="e">
        <f>Tableau1[[#This Row],[Day ILN Order]]+Tableau1[[#This Row],[Delivery time to ILN/Shipper]]-1</f>
        <v>#N/A</v>
      </c>
      <c r="V97" s="50" t="e">
        <f>IFERROR(VLOOKUP(Tableau1[[#This Row],[Key(Compte ILN - shipper - POL - plant)]],'DATA ILN'!A:N,14,FALSE),VLOOKUP(Tableau1[[#This Row],[Key(Compte ILN - shipper - POL)]],'DATA ILN'!B:N,13,FALSE))</f>
        <v>#N/A</v>
      </c>
      <c r="W97" s="53" t="e">
        <f>IFERROR(VLOOKUP(Tableau1[[#This Row],[Key(Compte ILN - shipper - POL - plant)]],'DATA ILN'!A:P,16,FALSE),VLOOKUP(Tableau1[[#This Row],[Key(Compte ILN - shipper - POL)]],'DATA ILN'!B:P,15,FALSE))</f>
        <v>#N/A</v>
      </c>
      <c r="X97" s="283"/>
      <c r="Y97" s="482">
        <f>IFERROR(VLOOKUP(Tableau1[[#This Row],[Name Shipper]],Plant_AILN!L:M,2,FALSE),0)</f>
        <v>0</v>
      </c>
      <c r="Z97" s="358"/>
      <c r="AA97" s="353" t="e">
        <f ca="1">VLOOKUP(Tableau1[[#This Row],[Key(ID-Actif)]],'DATA BTO'!A:N,5,FALSE)</f>
        <v>#N/A</v>
      </c>
      <c r="AB97" s="3" t="e">
        <f ca="1">VLOOKUP(Tableau1[[#This Row],[Key(ID-Actif)]],'DATA BTO'!A:N,6,FALSE)</f>
        <v>#N/A</v>
      </c>
      <c r="AC97" s="50" t="e">
        <f ca="1">VLOOKUP(Tableau1[[#This Row],[Key(ID-Actif)]],'DATA BTO'!A:N,7,FALSE)</f>
        <v>#N/A</v>
      </c>
      <c r="AD97" s="50" t="e">
        <f ca="1">VLOOKUP(Tableau1[[#This Row],[Key(ID-Actif)]],'DATA BTO'!A:N,8,FALSE)</f>
        <v>#N/A</v>
      </c>
      <c r="AE97" s="50" t="e">
        <f ca="1">IF(Tableau1[[#This Row],[First Day to POL]]&lt;=Tableau1[[#This Row],[Day Cut Off]],Tableau1[[#This Row],[Day ETD]],Tableau1[[#This Row],[Day ETD]]+7)</f>
        <v>#N/A</v>
      </c>
      <c r="AF97" s="50" t="e">
        <f ca="1">VLOOKUP(Tableau1[[#This Row],[Key(ID-Actif)]],'DATA BTO'!A:N,9,FALSE)</f>
        <v>#N/A</v>
      </c>
      <c r="AG97" s="3" t="e">
        <f ca="1">VLOOKUP(Tableau1[[#This Row],[Key(ID-Actif)]],'DATA BTO'!A:N,10,FALSE)</f>
        <v>#N/A</v>
      </c>
      <c r="AH97" s="3" t="e">
        <f ca="1">VLOOKUP(Tableau1[[#This Row],[Key(ID-Actif)]],'DATA BTO'!A:N,11,FALSE)</f>
        <v>#N/A</v>
      </c>
      <c r="AI97" s="50" t="e">
        <f ca="1">VLOOKUP(Tableau1[[#This Row],[Key(ID-Actif)]],'DATA BTO'!A:N,12,FALSE)</f>
        <v>#N/A</v>
      </c>
      <c r="AJ97" s="53" t="e">
        <f ca="1">VLOOKUP(Tableau1[[#This Row],[Key(ID-Actif)]],'DATA BTO'!A:N,14,FALSE)</f>
        <v>#N/A</v>
      </c>
      <c r="AK97" s="54" t="e">
        <f ca="1">VLOOKUP(Tableau1[[#This Row],[Key(POD -PFI- Usine)]],'DATA Consignee'!A:F,6,FALSE)</f>
        <v>#N/A</v>
      </c>
      <c r="AL97" s="125"/>
      <c r="AM97" s="483" t="str">
        <f>IF(Tableau1[[#This Row],[Name PFI/CDD]]="","-",VLOOKUP(Tableau1[[#This Row],[Name PFI/CDD]],Plant_AILN!I:J,2,FALSE))</f>
        <v>-</v>
      </c>
      <c r="AN9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7" s="2" t="e">
        <f ca="1">VLOOKUP(Tableau1[[#This Row],[Key(POD -PFI- Usine)]],'DATA Consignee'!A:J,10,FALSE)</f>
        <v>#N/A</v>
      </c>
      <c r="AQ97" s="50" t="e">
        <f ca="1">VLOOKUP(Tableau1[[#This Row],[Key(POD -PFI- Usine)]],'DATA Consignee'!A:N,14,FALSE)</f>
        <v>#N/A</v>
      </c>
      <c r="AR9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7" s="50" t="e">
        <f ca="1">Tableau1[[#This Row],[Transit time]]+Tableau1[[#This Row],[Time for security]]+Tableau1[[#This Row],[Time for security2 buffer]]</f>
        <v>#N/A</v>
      </c>
      <c r="AU9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7" s="389" t="e">
        <f ca="1">Tableau1[[#This Row],[Leadtime SI2C]]+Tableau1[[#This Row],[First Receipt Days]]-Tableau1[[#This Row],[Day Customer Order]]+1</f>
        <v>#N/A</v>
      </c>
      <c r="AW97" s="117" t="e">
        <f ca="1">IF(Tableau1[[#This Row],[Name ILN]]&lt;&gt;"SFK Freight Forwarder",Tableau1[[#This Row],[Cust. Leadtime]],Tableau1[[#This Row],[Leadtime SI2C]])</f>
        <v>#N/A</v>
      </c>
      <c r="AX97" s="51" t="e">
        <f>VLOOKUP(Tableau1[[#This Row],[ID]],'DATA BTO'!B:P,15,FALSE)</f>
        <v>#N/A</v>
      </c>
      <c r="AY97" s="328" t="e">
        <f ca="1">IFERROR(VLOOKUP(Tableau1[[#This Row],[Key(ID-Actif)]],'DATA BTO'!A:N,4,FALSE),VLOOKUP(Tableau1[[#This Row],[ID]],'DATA BTO'!B:N,3,FALSE))</f>
        <v>#N/A</v>
      </c>
      <c r="AZ9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7" s="50"/>
    </row>
    <row r="98" spans="2:57">
      <c r="B98" s="65" t="str">
        <f>_xlfn.CONCAT(Tableau1[[#This Row],[Name ILN]],"-",Tableau1[[#This Row],[Name Shipper]],"-",Tableau1[[#This Row],[Name Site]])</f>
        <v>--</v>
      </c>
      <c r="C98" s="65" t="e">
        <f>_xlfn.CONCAT(Tableau1[[#This Row],[Compte ILN]],"-",Tableau1[[#This Row],[Compte Shipper]],"-",Tableau1[[#This Row],[POL]],"-",Tableau1[[#This Row],[Compte Consignee]])</f>
        <v>#N/A</v>
      </c>
      <c r="D98" s="64" t="e">
        <f>_xlfn.CONCAT(Tableau1[[#This Row],[Compte ILN]],"-",Tableau1[[#This Row],[Compte Shipper]],"-",Tableau1[[#This Row],[POL]])</f>
        <v>#N/A</v>
      </c>
      <c r="E98" s="396" t="e">
        <f ca="1">_xlfn.CONCAT(Tableau1[[#This Row],[POL]],"-",Tableau1[[#This Row],[Carrier]],"-",Tableau1[[#This Row],[POD]])</f>
        <v>#N/A</v>
      </c>
      <c r="F98" s="64" t="str">
        <f>_xlfn.CONCAT(Tableau1[[#This Row],[ID]],"-","Actif")</f>
        <v>-Actif</v>
      </c>
      <c r="G98" s="64" t="e">
        <f ca="1">_xlfn.CONCAT(Tableau1[[#This Row],[POD]],"-",Tableau1[[#This Row],[Code PFI]],"-",Tableau1[[#This Row],[Compte Consignee]])</f>
        <v>#N/A</v>
      </c>
      <c r="H9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8" s="397" t="str">
        <f ca="1">IF(COUNTIF(I:I,Tableau1[[#This Row],[Plant-ILN-shipper-POL-Carrier-POD-PFI]])=1,"Non","Oui")</f>
        <v>Oui</v>
      </c>
      <c r="K98" s="398" t="e">
        <f>VLOOKUP(Tableau1[[#This Row],[Name Site]],Plant_AILN!A:D,4,FALSE)</f>
        <v>#N/A</v>
      </c>
      <c r="L98" s="285"/>
      <c r="M98" s="480" t="e">
        <f>VLOOKUP(Tableau1[[#This Row],[Name Site]],Plant_AILN!A:C,3,FALSE)</f>
        <v>#N/A</v>
      </c>
      <c r="N98" s="55" t="e">
        <f>VLOOKUP(Tableau1[[#This Row],[Compte Consignee]],Order!C:D,2,FALSE)</f>
        <v>#N/A</v>
      </c>
      <c r="O98" s="114"/>
      <c r="P98" s="481" t="e">
        <f>VLOOKUP(Tableau1[[#This Row],[Name ILN]],Plant_AILN!F:G,2,FALSE)</f>
        <v>#N/A</v>
      </c>
      <c r="Q98" s="50" t="e">
        <f>VLOOKUP(Tableau1[[#This Row],[Compte ILN]],'DATA ILN'!D:I,6,FALSE)</f>
        <v>#N/A</v>
      </c>
      <c r="R98" s="50" t="e">
        <f>IFERROR(VLOOKUP(Tableau1[[#This Row],[Key(Compte ILN - shipper - POL - plant)]],'DATA ILN'!A:J,10,FALSE),VLOOKUP(Tableau1[[#This Row],[Key(Compte ILN - shipper - POL)]],'DATA ILN'!B:J,9,FALSE))</f>
        <v>#N/A</v>
      </c>
      <c r="S98" s="50" t="e">
        <f>IFERROR(VLOOKUP(Tableau1[[#This Row],[Key(Compte ILN - shipper - POL - plant)]],'DATA ILN'!A:K,11,FALSE),VLOOKUP(Tableau1[[#This Row],[Key(Compte ILN - shipper - POL)]],'DATA ILN'!B:K,10,FALSE))</f>
        <v>#N/A</v>
      </c>
      <c r="T98" s="50" t="e">
        <f>IFERROR(VLOOKUP(Tableau1[[#This Row],[Key(Compte ILN - shipper - POL - plant)]],'DATA ILN'!A:L,12,FALSE),VLOOKUP(Tableau1[[#This Row],[Key(Compte ILN - shipper - POL)]],'DATA ILN'!B:L,11,FALSE))</f>
        <v>#N/A</v>
      </c>
      <c r="U98" s="50" t="e">
        <f>Tableau1[[#This Row],[Day ILN Order]]+Tableau1[[#This Row],[Delivery time to ILN/Shipper]]-1</f>
        <v>#N/A</v>
      </c>
      <c r="V98" s="50" t="e">
        <f>IFERROR(VLOOKUP(Tableau1[[#This Row],[Key(Compte ILN - shipper - POL - plant)]],'DATA ILN'!A:N,14,FALSE),VLOOKUP(Tableau1[[#This Row],[Key(Compte ILN - shipper - POL)]],'DATA ILN'!B:N,13,FALSE))</f>
        <v>#N/A</v>
      </c>
      <c r="W98" s="53" t="e">
        <f>IFERROR(VLOOKUP(Tableau1[[#This Row],[Key(Compte ILN - shipper - POL - plant)]],'DATA ILN'!A:P,16,FALSE),VLOOKUP(Tableau1[[#This Row],[Key(Compte ILN - shipper - POL)]],'DATA ILN'!B:P,15,FALSE))</f>
        <v>#N/A</v>
      </c>
      <c r="X98" s="283"/>
      <c r="Y98" s="482">
        <f>IFERROR(VLOOKUP(Tableau1[[#This Row],[Name Shipper]],Plant_AILN!L:M,2,FALSE),0)</f>
        <v>0</v>
      </c>
      <c r="Z98" s="358"/>
      <c r="AA98" s="353" t="e">
        <f ca="1">VLOOKUP(Tableau1[[#This Row],[Key(ID-Actif)]],'DATA BTO'!A:N,5,FALSE)</f>
        <v>#N/A</v>
      </c>
      <c r="AB98" s="3" t="e">
        <f ca="1">VLOOKUP(Tableau1[[#This Row],[Key(ID-Actif)]],'DATA BTO'!A:N,6,FALSE)</f>
        <v>#N/A</v>
      </c>
      <c r="AC98" s="50" t="e">
        <f ca="1">VLOOKUP(Tableau1[[#This Row],[Key(ID-Actif)]],'DATA BTO'!A:N,7,FALSE)</f>
        <v>#N/A</v>
      </c>
      <c r="AD98" s="50" t="e">
        <f ca="1">VLOOKUP(Tableau1[[#This Row],[Key(ID-Actif)]],'DATA BTO'!A:N,8,FALSE)</f>
        <v>#N/A</v>
      </c>
      <c r="AE98" s="50" t="e">
        <f ca="1">IF(Tableau1[[#This Row],[First Day to POL]]&lt;=Tableau1[[#This Row],[Day Cut Off]],Tableau1[[#This Row],[Day ETD]],Tableau1[[#This Row],[Day ETD]]+7)</f>
        <v>#N/A</v>
      </c>
      <c r="AF98" s="50" t="e">
        <f ca="1">VLOOKUP(Tableau1[[#This Row],[Key(ID-Actif)]],'DATA BTO'!A:N,9,FALSE)</f>
        <v>#N/A</v>
      </c>
      <c r="AG98" s="3" t="e">
        <f ca="1">VLOOKUP(Tableau1[[#This Row],[Key(ID-Actif)]],'DATA BTO'!A:N,10,FALSE)</f>
        <v>#N/A</v>
      </c>
      <c r="AH98" s="3" t="e">
        <f ca="1">VLOOKUP(Tableau1[[#This Row],[Key(ID-Actif)]],'DATA BTO'!A:N,11,FALSE)</f>
        <v>#N/A</v>
      </c>
      <c r="AI98" s="50" t="e">
        <f ca="1">VLOOKUP(Tableau1[[#This Row],[Key(ID-Actif)]],'DATA BTO'!A:N,12,FALSE)</f>
        <v>#N/A</v>
      </c>
      <c r="AJ98" s="53" t="e">
        <f ca="1">VLOOKUP(Tableau1[[#This Row],[Key(ID-Actif)]],'DATA BTO'!A:N,14,FALSE)</f>
        <v>#N/A</v>
      </c>
      <c r="AK98" s="54" t="e">
        <f ca="1">VLOOKUP(Tableau1[[#This Row],[Key(POD -PFI- Usine)]],'DATA Consignee'!A:F,6,FALSE)</f>
        <v>#N/A</v>
      </c>
      <c r="AL98" s="125"/>
      <c r="AM98" s="483" t="str">
        <f>IF(Tableau1[[#This Row],[Name PFI/CDD]]="","-",VLOOKUP(Tableau1[[#This Row],[Name PFI/CDD]],Plant_AILN!I:J,2,FALSE))</f>
        <v>-</v>
      </c>
      <c r="AN9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8" s="2" t="e">
        <f ca="1">VLOOKUP(Tableau1[[#This Row],[Key(POD -PFI- Usine)]],'DATA Consignee'!A:J,10,FALSE)</f>
        <v>#N/A</v>
      </c>
      <c r="AQ98" s="50" t="e">
        <f ca="1">VLOOKUP(Tableau1[[#This Row],[Key(POD -PFI- Usine)]],'DATA Consignee'!A:N,14,FALSE)</f>
        <v>#N/A</v>
      </c>
      <c r="AR9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8" s="50" t="e">
        <f ca="1">Tableau1[[#This Row],[Transit time]]+Tableau1[[#This Row],[Time for security]]+Tableau1[[#This Row],[Time for security2 buffer]]</f>
        <v>#N/A</v>
      </c>
      <c r="AU9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8" s="389" t="e">
        <f ca="1">Tableau1[[#This Row],[Leadtime SI2C]]+Tableau1[[#This Row],[First Receipt Days]]-Tableau1[[#This Row],[Day Customer Order]]+1</f>
        <v>#N/A</v>
      </c>
      <c r="AW98" s="117" t="e">
        <f ca="1">IF(Tableau1[[#This Row],[Name ILN]]&lt;&gt;"SFK Freight Forwarder",Tableau1[[#This Row],[Cust. Leadtime]],Tableau1[[#This Row],[Leadtime SI2C]])</f>
        <v>#N/A</v>
      </c>
      <c r="AX98" s="51" t="e">
        <f>VLOOKUP(Tableau1[[#This Row],[ID]],'DATA BTO'!B:P,15,FALSE)</f>
        <v>#N/A</v>
      </c>
      <c r="AY98" s="328" t="e">
        <f ca="1">IFERROR(VLOOKUP(Tableau1[[#This Row],[Key(ID-Actif)]],'DATA BTO'!A:N,4,FALSE),VLOOKUP(Tableau1[[#This Row],[ID]],'DATA BTO'!B:N,3,FALSE))</f>
        <v>#N/A</v>
      </c>
      <c r="AZ9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8" s="50"/>
    </row>
    <row r="99" spans="2:57">
      <c r="B99" s="65" t="str">
        <f>_xlfn.CONCAT(Tableau1[[#This Row],[Name ILN]],"-",Tableau1[[#This Row],[Name Shipper]],"-",Tableau1[[#This Row],[Name Site]])</f>
        <v>--</v>
      </c>
      <c r="C99" s="65" t="e">
        <f>_xlfn.CONCAT(Tableau1[[#This Row],[Compte ILN]],"-",Tableau1[[#This Row],[Compte Shipper]],"-",Tableau1[[#This Row],[POL]],"-",Tableau1[[#This Row],[Compte Consignee]])</f>
        <v>#N/A</v>
      </c>
      <c r="D99" s="64" t="e">
        <f>_xlfn.CONCAT(Tableau1[[#This Row],[Compte ILN]],"-",Tableau1[[#This Row],[Compte Shipper]],"-",Tableau1[[#This Row],[POL]])</f>
        <v>#N/A</v>
      </c>
      <c r="E99" s="396" t="e">
        <f ca="1">_xlfn.CONCAT(Tableau1[[#This Row],[POL]],"-",Tableau1[[#This Row],[Carrier]],"-",Tableau1[[#This Row],[POD]])</f>
        <v>#N/A</v>
      </c>
      <c r="F99" s="64" t="str">
        <f>_xlfn.CONCAT(Tableau1[[#This Row],[ID]],"-","Actif")</f>
        <v>-Actif</v>
      </c>
      <c r="G99" s="64" t="e">
        <f ca="1">_xlfn.CONCAT(Tableau1[[#This Row],[POD]],"-",Tableau1[[#This Row],[Code PFI]],"-",Tableau1[[#This Row],[Compte Consignee]])</f>
        <v>#N/A</v>
      </c>
      <c r="H9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9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99" s="397" t="str">
        <f ca="1">IF(COUNTIF(I:I,Tableau1[[#This Row],[Plant-ILN-shipper-POL-Carrier-POD-PFI]])=1,"Non","Oui")</f>
        <v>Oui</v>
      </c>
      <c r="K99" s="398" t="e">
        <f>VLOOKUP(Tableau1[[#This Row],[Name Site]],Plant_AILN!A:D,4,FALSE)</f>
        <v>#N/A</v>
      </c>
      <c r="L99" s="285"/>
      <c r="M99" s="480" t="e">
        <f>VLOOKUP(Tableau1[[#This Row],[Name Site]],Plant_AILN!A:C,3,FALSE)</f>
        <v>#N/A</v>
      </c>
      <c r="N99" s="55" t="e">
        <f>VLOOKUP(Tableau1[[#This Row],[Compte Consignee]],Order!C:D,2,FALSE)</f>
        <v>#N/A</v>
      </c>
      <c r="O99" s="114"/>
      <c r="P99" s="481" t="e">
        <f>VLOOKUP(Tableau1[[#This Row],[Name ILN]],Plant_AILN!F:G,2,FALSE)</f>
        <v>#N/A</v>
      </c>
      <c r="Q99" s="50" t="e">
        <f>VLOOKUP(Tableau1[[#This Row],[Compte ILN]],'DATA ILN'!D:I,6,FALSE)</f>
        <v>#N/A</v>
      </c>
      <c r="R99" s="50" t="e">
        <f>IFERROR(VLOOKUP(Tableau1[[#This Row],[Key(Compte ILN - shipper - POL - plant)]],'DATA ILN'!A:J,10,FALSE),VLOOKUP(Tableau1[[#This Row],[Key(Compte ILN - shipper - POL)]],'DATA ILN'!B:J,9,FALSE))</f>
        <v>#N/A</v>
      </c>
      <c r="S99" s="50" t="e">
        <f>IFERROR(VLOOKUP(Tableau1[[#This Row],[Key(Compte ILN - shipper - POL - plant)]],'DATA ILN'!A:K,11,FALSE),VLOOKUP(Tableau1[[#This Row],[Key(Compte ILN - shipper - POL)]],'DATA ILN'!B:K,10,FALSE))</f>
        <v>#N/A</v>
      </c>
      <c r="T99" s="50" t="e">
        <f>IFERROR(VLOOKUP(Tableau1[[#This Row],[Key(Compte ILN - shipper - POL - plant)]],'DATA ILN'!A:L,12,FALSE),VLOOKUP(Tableau1[[#This Row],[Key(Compte ILN - shipper - POL)]],'DATA ILN'!B:L,11,FALSE))</f>
        <v>#N/A</v>
      </c>
      <c r="U99" s="50" t="e">
        <f>Tableau1[[#This Row],[Day ILN Order]]+Tableau1[[#This Row],[Delivery time to ILN/Shipper]]-1</f>
        <v>#N/A</v>
      </c>
      <c r="V99" s="50" t="e">
        <f>IFERROR(VLOOKUP(Tableau1[[#This Row],[Key(Compte ILN - shipper - POL - plant)]],'DATA ILN'!A:N,14,FALSE),VLOOKUP(Tableau1[[#This Row],[Key(Compte ILN - shipper - POL)]],'DATA ILN'!B:N,13,FALSE))</f>
        <v>#N/A</v>
      </c>
      <c r="W99" s="53" t="e">
        <f>IFERROR(VLOOKUP(Tableau1[[#This Row],[Key(Compte ILN - shipper - POL - plant)]],'DATA ILN'!A:P,16,FALSE),VLOOKUP(Tableau1[[#This Row],[Key(Compte ILN - shipper - POL)]],'DATA ILN'!B:P,15,FALSE))</f>
        <v>#N/A</v>
      </c>
      <c r="X99" s="283"/>
      <c r="Y99" s="482">
        <f>IFERROR(VLOOKUP(Tableau1[[#This Row],[Name Shipper]],Plant_AILN!L:M,2,FALSE),0)</f>
        <v>0</v>
      </c>
      <c r="Z99" s="358"/>
      <c r="AA99" s="353" t="e">
        <f ca="1">VLOOKUP(Tableau1[[#This Row],[Key(ID-Actif)]],'DATA BTO'!A:N,5,FALSE)</f>
        <v>#N/A</v>
      </c>
      <c r="AB99" s="3" t="e">
        <f ca="1">VLOOKUP(Tableau1[[#This Row],[Key(ID-Actif)]],'DATA BTO'!A:N,6,FALSE)</f>
        <v>#N/A</v>
      </c>
      <c r="AC99" s="50" t="e">
        <f ca="1">VLOOKUP(Tableau1[[#This Row],[Key(ID-Actif)]],'DATA BTO'!A:N,7,FALSE)</f>
        <v>#N/A</v>
      </c>
      <c r="AD99" s="50" t="e">
        <f ca="1">VLOOKUP(Tableau1[[#This Row],[Key(ID-Actif)]],'DATA BTO'!A:N,8,FALSE)</f>
        <v>#N/A</v>
      </c>
      <c r="AE99" s="50" t="e">
        <f ca="1">IF(Tableau1[[#This Row],[First Day to POL]]&lt;=Tableau1[[#This Row],[Day Cut Off]],Tableau1[[#This Row],[Day ETD]],Tableau1[[#This Row],[Day ETD]]+7)</f>
        <v>#N/A</v>
      </c>
      <c r="AF99" s="50" t="e">
        <f ca="1">VLOOKUP(Tableau1[[#This Row],[Key(ID-Actif)]],'DATA BTO'!A:N,9,FALSE)</f>
        <v>#N/A</v>
      </c>
      <c r="AG99" s="3" t="e">
        <f ca="1">VLOOKUP(Tableau1[[#This Row],[Key(ID-Actif)]],'DATA BTO'!A:N,10,FALSE)</f>
        <v>#N/A</v>
      </c>
      <c r="AH99" s="3" t="e">
        <f ca="1">VLOOKUP(Tableau1[[#This Row],[Key(ID-Actif)]],'DATA BTO'!A:N,11,FALSE)</f>
        <v>#N/A</v>
      </c>
      <c r="AI99" s="50" t="e">
        <f ca="1">VLOOKUP(Tableau1[[#This Row],[Key(ID-Actif)]],'DATA BTO'!A:N,12,FALSE)</f>
        <v>#N/A</v>
      </c>
      <c r="AJ99" s="53" t="e">
        <f ca="1">VLOOKUP(Tableau1[[#This Row],[Key(ID-Actif)]],'DATA BTO'!A:N,14,FALSE)</f>
        <v>#N/A</v>
      </c>
      <c r="AK99" s="54" t="e">
        <f ca="1">VLOOKUP(Tableau1[[#This Row],[Key(POD -PFI- Usine)]],'DATA Consignee'!A:F,6,FALSE)</f>
        <v>#N/A</v>
      </c>
      <c r="AL99" s="125"/>
      <c r="AM99" s="483" t="str">
        <f>IF(Tableau1[[#This Row],[Name PFI/CDD]]="","-",VLOOKUP(Tableau1[[#This Row],[Name PFI/CDD]],Plant_AILN!I:J,2,FALSE))</f>
        <v>-</v>
      </c>
      <c r="AN9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9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99" s="2" t="e">
        <f ca="1">VLOOKUP(Tableau1[[#This Row],[Key(POD -PFI- Usine)]],'DATA Consignee'!A:J,10,FALSE)</f>
        <v>#N/A</v>
      </c>
      <c r="AQ99" s="50" t="e">
        <f ca="1">VLOOKUP(Tableau1[[#This Row],[Key(POD -PFI- Usine)]],'DATA Consignee'!A:N,14,FALSE)</f>
        <v>#N/A</v>
      </c>
      <c r="AR9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9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99" s="50" t="e">
        <f ca="1">Tableau1[[#This Row],[Transit time]]+Tableau1[[#This Row],[Time for security]]+Tableau1[[#This Row],[Time for security2 buffer]]</f>
        <v>#N/A</v>
      </c>
      <c r="AU9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99" s="389" t="e">
        <f ca="1">Tableau1[[#This Row],[Leadtime SI2C]]+Tableau1[[#This Row],[First Receipt Days]]-Tableau1[[#This Row],[Day Customer Order]]+1</f>
        <v>#N/A</v>
      </c>
      <c r="AW99" s="117" t="e">
        <f ca="1">IF(Tableau1[[#This Row],[Name ILN]]&lt;&gt;"SFK Freight Forwarder",Tableau1[[#This Row],[Cust. Leadtime]],Tableau1[[#This Row],[Leadtime SI2C]])</f>
        <v>#N/A</v>
      </c>
      <c r="AX99" s="51" t="e">
        <f>VLOOKUP(Tableau1[[#This Row],[ID]],'DATA BTO'!B:P,15,FALSE)</f>
        <v>#N/A</v>
      </c>
      <c r="AY99" s="328" t="e">
        <f ca="1">IFERROR(VLOOKUP(Tableau1[[#This Row],[Key(ID-Actif)]],'DATA BTO'!A:N,4,FALSE),VLOOKUP(Tableau1[[#This Row],[ID]],'DATA BTO'!B:N,3,FALSE))</f>
        <v>#N/A</v>
      </c>
      <c r="AZ9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9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9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9" s="50"/>
    </row>
    <row r="100" spans="2:57">
      <c r="B100" s="65" t="str">
        <f>_xlfn.CONCAT(Tableau1[[#This Row],[Name ILN]],"-",Tableau1[[#This Row],[Name Shipper]],"-",Tableau1[[#This Row],[Name Site]])</f>
        <v>--</v>
      </c>
      <c r="C100" s="65" t="e">
        <f>_xlfn.CONCAT(Tableau1[[#This Row],[Compte ILN]],"-",Tableau1[[#This Row],[Compte Shipper]],"-",Tableau1[[#This Row],[POL]],"-",Tableau1[[#This Row],[Compte Consignee]])</f>
        <v>#N/A</v>
      </c>
      <c r="D100" s="64" t="e">
        <f>_xlfn.CONCAT(Tableau1[[#This Row],[Compte ILN]],"-",Tableau1[[#This Row],[Compte Shipper]],"-",Tableau1[[#This Row],[POL]])</f>
        <v>#N/A</v>
      </c>
      <c r="E100" s="396" t="e">
        <f ca="1">_xlfn.CONCAT(Tableau1[[#This Row],[POL]],"-",Tableau1[[#This Row],[Carrier]],"-",Tableau1[[#This Row],[POD]])</f>
        <v>#N/A</v>
      </c>
      <c r="F100" s="64" t="str">
        <f>_xlfn.CONCAT(Tableau1[[#This Row],[ID]],"-","Actif")</f>
        <v>-Actif</v>
      </c>
      <c r="G100" s="64" t="e">
        <f ca="1">_xlfn.CONCAT(Tableau1[[#This Row],[POD]],"-",Tableau1[[#This Row],[Code PFI]],"-",Tableau1[[#This Row],[Compte Consignee]])</f>
        <v>#N/A</v>
      </c>
      <c r="H10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0" s="397" t="str">
        <f ca="1">IF(COUNTIF(I:I,Tableau1[[#This Row],[Plant-ILN-shipper-POL-Carrier-POD-PFI]])=1,"Non","Oui")</f>
        <v>Oui</v>
      </c>
      <c r="K100" s="398" t="e">
        <f>VLOOKUP(Tableau1[[#This Row],[Name Site]],Plant_AILN!A:D,4,FALSE)</f>
        <v>#N/A</v>
      </c>
      <c r="L100" s="285"/>
      <c r="M100" s="480" t="e">
        <f>VLOOKUP(Tableau1[[#This Row],[Name Site]],Plant_AILN!A:C,3,FALSE)</f>
        <v>#N/A</v>
      </c>
      <c r="N100" s="55" t="e">
        <f>VLOOKUP(Tableau1[[#This Row],[Compte Consignee]],Order!C:D,2,FALSE)</f>
        <v>#N/A</v>
      </c>
      <c r="O100" s="114"/>
      <c r="P100" s="481" t="e">
        <f>VLOOKUP(Tableau1[[#This Row],[Name ILN]],Plant_AILN!F:G,2,FALSE)</f>
        <v>#N/A</v>
      </c>
      <c r="Q100" s="50" t="e">
        <f>VLOOKUP(Tableau1[[#This Row],[Compte ILN]],'DATA ILN'!D:I,6,FALSE)</f>
        <v>#N/A</v>
      </c>
      <c r="R100" s="50" t="e">
        <f>IFERROR(VLOOKUP(Tableau1[[#This Row],[Key(Compte ILN - shipper - POL - plant)]],'DATA ILN'!A:J,10,FALSE),VLOOKUP(Tableau1[[#This Row],[Key(Compte ILN - shipper - POL)]],'DATA ILN'!B:J,9,FALSE))</f>
        <v>#N/A</v>
      </c>
      <c r="S100" s="50" t="e">
        <f>IFERROR(VLOOKUP(Tableau1[[#This Row],[Key(Compte ILN - shipper - POL - plant)]],'DATA ILN'!A:K,11,FALSE),VLOOKUP(Tableau1[[#This Row],[Key(Compte ILN - shipper - POL)]],'DATA ILN'!B:K,10,FALSE))</f>
        <v>#N/A</v>
      </c>
      <c r="T100" s="50" t="e">
        <f>IFERROR(VLOOKUP(Tableau1[[#This Row],[Key(Compte ILN - shipper - POL - plant)]],'DATA ILN'!A:L,12,FALSE),VLOOKUP(Tableau1[[#This Row],[Key(Compte ILN - shipper - POL)]],'DATA ILN'!B:L,11,FALSE))</f>
        <v>#N/A</v>
      </c>
      <c r="U100" s="50" t="e">
        <f>Tableau1[[#This Row],[Day ILN Order]]+Tableau1[[#This Row],[Delivery time to ILN/Shipper]]-1</f>
        <v>#N/A</v>
      </c>
      <c r="V100" s="50" t="e">
        <f>IFERROR(VLOOKUP(Tableau1[[#This Row],[Key(Compte ILN - shipper - POL - plant)]],'DATA ILN'!A:N,14,FALSE),VLOOKUP(Tableau1[[#This Row],[Key(Compte ILN - shipper - POL)]],'DATA ILN'!B:N,13,FALSE))</f>
        <v>#N/A</v>
      </c>
      <c r="W100" s="53" t="e">
        <f>IFERROR(VLOOKUP(Tableau1[[#This Row],[Key(Compte ILN - shipper - POL - plant)]],'DATA ILN'!A:P,16,FALSE),VLOOKUP(Tableau1[[#This Row],[Key(Compte ILN - shipper - POL)]],'DATA ILN'!B:P,15,FALSE))</f>
        <v>#N/A</v>
      </c>
      <c r="X100" s="283"/>
      <c r="Y100" s="482">
        <f>IFERROR(VLOOKUP(Tableau1[[#This Row],[Name Shipper]],Plant_AILN!L:M,2,FALSE),0)</f>
        <v>0</v>
      </c>
      <c r="Z100" s="358"/>
      <c r="AA100" s="353" t="e">
        <f ca="1">VLOOKUP(Tableau1[[#This Row],[Key(ID-Actif)]],'DATA BTO'!A:N,5,FALSE)</f>
        <v>#N/A</v>
      </c>
      <c r="AB100" s="3" t="e">
        <f ca="1">VLOOKUP(Tableau1[[#This Row],[Key(ID-Actif)]],'DATA BTO'!A:N,6,FALSE)</f>
        <v>#N/A</v>
      </c>
      <c r="AC100" s="50" t="e">
        <f ca="1">VLOOKUP(Tableau1[[#This Row],[Key(ID-Actif)]],'DATA BTO'!A:N,7,FALSE)</f>
        <v>#N/A</v>
      </c>
      <c r="AD100" s="50" t="e">
        <f ca="1">VLOOKUP(Tableau1[[#This Row],[Key(ID-Actif)]],'DATA BTO'!A:N,8,FALSE)</f>
        <v>#N/A</v>
      </c>
      <c r="AE100" s="50" t="e">
        <f ca="1">IF(Tableau1[[#This Row],[First Day to POL]]&lt;=Tableau1[[#This Row],[Day Cut Off]],Tableau1[[#This Row],[Day ETD]],Tableau1[[#This Row],[Day ETD]]+7)</f>
        <v>#N/A</v>
      </c>
      <c r="AF100" s="50" t="e">
        <f ca="1">VLOOKUP(Tableau1[[#This Row],[Key(ID-Actif)]],'DATA BTO'!A:N,9,FALSE)</f>
        <v>#N/A</v>
      </c>
      <c r="AG100" s="3" t="e">
        <f ca="1">VLOOKUP(Tableau1[[#This Row],[Key(ID-Actif)]],'DATA BTO'!A:N,10,FALSE)</f>
        <v>#N/A</v>
      </c>
      <c r="AH100" s="3" t="e">
        <f ca="1">VLOOKUP(Tableau1[[#This Row],[Key(ID-Actif)]],'DATA BTO'!A:N,11,FALSE)</f>
        <v>#N/A</v>
      </c>
      <c r="AI100" s="50" t="e">
        <f ca="1">VLOOKUP(Tableau1[[#This Row],[Key(ID-Actif)]],'DATA BTO'!A:N,12,FALSE)</f>
        <v>#N/A</v>
      </c>
      <c r="AJ100" s="53" t="e">
        <f ca="1">VLOOKUP(Tableau1[[#This Row],[Key(ID-Actif)]],'DATA BTO'!A:N,14,FALSE)</f>
        <v>#N/A</v>
      </c>
      <c r="AK100" s="54" t="e">
        <f ca="1">VLOOKUP(Tableau1[[#This Row],[Key(POD -PFI- Usine)]],'DATA Consignee'!A:F,6,FALSE)</f>
        <v>#N/A</v>
      </c>
      <c r="AL100" s="125"/>
      <c r="AM100" s="483" t="str">
        <f>IF(Tableau1[[#This Row],[Name PFI/CDD]]="","-",VLOOKUP(Tableau1[[#This Row],[Name PFI/CDD]],Plant_AILN!I:J,2,FALSE))</f>
        <v>-</v>
      </c>
      <c r="AN10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0" s="2" t="e">
        <f ca="1">VLOOKUP(Tableau1[[#This Row],[Key(POD -PFI- Usine)]],'DATA Consignee'!A:J,10,FALSE)</f>
        <v>#N/A</v>
      </c>
      <c r="AQ100" s="50" t="e">
        <f ca="1">VLOOKUP(Tableau1[[#This Row],[Key(POD -PFI- Usine)]],'DATA Consignee'!A:N,14,FALSE)</f>
        <v>#N/A</v>
      </c>
      <c r="AR10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0" s="50" t="e">
        <f ca="1">Tableau1[[#This Row],[Transit time]]+Tableau1[[#This Row],[Time for security]]+Tableau1[[#This Row],[Time for security2 buffer]]</f>
        <v>#N/A</v>
      </c>
      <c r="AU10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0" s="389" t="e">
        <f ca="1">Tableau1[[#This Row],[Leadtime SI2C]]+Tableau1[[#This Row],[First Receipt Days]]-Tableau1[[#This Row],[Day Customer Order]]+1</f>
        <v>#N/A</v>
      </c>
      <c r="AW100" s="117" t="e">
        <f ca="1">IF(Tableau1[[#This Row],[Name ILN]]&lt;&gt;"SFK Freight Forwarder",Tableau1[[#This Row],[Cust. Leadtime]],Tableau1[[#This Row],[Leadtime SI2C]])</f>
        <v>#N/A</v>
      </c>
      <c r="AX100" s="51" t="e">
        <f>VLOOKUP(Tableau1[[#This Row],[ID]],'DATA BTO'!B:P,15,FALSE)</f>
        <v>#N/A</v>
      </c>
      <c r="AY100" s="328" t="e">
        <f ca="1">IFERROR(VLOOKUP(Tableau1[[#This Row],[Key(ID-Actif)]],'DATA BTO'!A:N,4,FALSE),VLOOKUP(Tableau1[[#This Row],[ID]],'DATA BTO'!B:N,3,FALSE))</f>
        <v>#N/A</v>
      </c>
      <c r="AZ10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0" s="50"/>
    </row>
    <row r="101" spans="2:57">
      <c r="B101" s="64" t="str">
        <f>_xlfn.CONCAT(Tableau1[[#This Row],[Name ILN]],"-",Tableau1[[#This Row],[Name Shipper]],"-",Tableau1[[#This Row],[Name Site]])</f>
        <v>--</v>
      </c>
      <c r="C101" s="64" t="e">
        <f>_xlfn.CONCAT(Tableau1[[#This Row],[Compte ILN]],"-",Tableau1[[#This Row],[Compte Shipper]],"-",Tableau1[[#This Row],[POL]],"-",Tableau1[[#This Row],[Compte Consignee]])</f>
        <v>#N/A</v>
      </c>
      <c r="D101" s="64" t="e">
        <f>_xlfn.CONCAT(Tableau1[[#This Row],[Compte ILN]],"-",Tableau1[[#This Row],[Compte Shipper]],"-",Tableau1[[#This Row],[POL]])</f>
        <v>#N/A</v>
      </c>
      <c r="E101" s="128" t="e">
        <f ca="1">_xlfn.CONCAT(Tableau1[[#This Row],[POL]],"-",Tableau1[[#This Row],[Carrier]],"-",Tableau1[[#This Row],[POD]])</f>
        <v>#N/A</v>
      </c>
      <c r="F101" s="64" t="str">
        <f>_xlfn.CONCAT(Tableau1[[#This Row],[ID]],"-","Actif")</f>
        <v>-Actif</v>
      </c>
      <c r="G101" s="64" t="e">
        <f ca="1">_xlfn.CONCAT(Tableau1[[#This Row],[POD]],"-",Tableau1[[#This Row],[Code PFI]],"-",Tableau1[[#This Row],[Compte Consignee]])</f>
        <v>#N/A</v>
      </c>
      <c r="H10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1" s="117" t="str">
        <f ca="1">IF(COUNTIF(I:I,Tableau1[[#This Row],[Plant-ILN-shipper-POL-Carrier-POD-PFI]])=1,"Non","Oui")</f>
        <v>Oui</v>
      </c>
      <c r="K101" s="398" t="e">
        <f>VLOOKUP(Tableau1[[#This Row],[Name Site]],Plant_AILN!A:D,4,FALSE)</f>
        <v>#N/A</v>
      </c>
      <c r="L101" s="285"/>
      <c r="M101" s="480" t="e">
        <f>VLOOKUP(Tableau1[[#This Row],[Name Site]],Plant_AILN!A:C,3,FALSE)</f>
        <v>#N/A</v>
      </c>
      <c r="N101" s="55" t="e">
        <f>VLOOKUP(Tableau1[[#This Row],[Compte Consignee]],Order!C:D,2,FALSE)</f>
        <v>#N/A</v>
      </c>
      <c r="O101" s="114"/>
      <c r="P101" s="481" t="e">
        <f>VLOOKUP(Tableau1[[#This Row],[Name ILN]],Plant_AILN!F:G,2,FALSE)</f>
        <v>#N/A</v>
      </c>
      <c r="Q101" s="50" t="e">
        <f>VLOOKUP(Tableau1[[#This Row],[Compte ILN]],'DATA ILN'!D:I,6,FALSE)</f>
        <v>#N/A</v>
      </c>
      <c r="R101" s="50" t="e">
        <f>IFERROR(VLOOKUP(Tableau1[[#This Row],[Key(Compte ILN - shipper - POL - plant)]],'DATA ILN'!A:J,10,FALSE),VLOOKUP(Tableau1[[#This Row],[Key(Compte ILN - shipper - POL)]],'DATA ILN'!B:J,9,FALSE))</f>
        <v>#N/A</v>
      </c>
      <c r="S101" s="50" t="e">
        <f>IFERROR(VLOOKUP(Tableau1[[#This Row],[Key(Compte ILN - shipper - POL - plant)]],'DATA ILN'!A:K,11,FALSE),VLOOKUP(Tableau1[[#This Row],[Key(Compte ILN - shipper - POL)]],'DATA ILN'!B:K,10,FALSE))</f>
        <v>#N/A</v>
      </c>
      <c r="T101" s="50" t="e">
        <f>IFERROR(VLOOKUP(Tableau1[[#This Row],[Key(Compte ILN - shipper - POL - plant)]],'DATA ILN'!A:L,12,FALSE),VLOOKUP(Tableau1[[#This Row],[Key(Compte ILN - shipper - POL)]],'DATA ILN'!B:L,11,FALSE))</f>
        <v>#N/A</v>
      </c>
      <c r="U101" s="50" t="e">
        <f>Tableau1[[#This Row],[Day ILN Order]]+Tableau1[[#This Row],[Delivery time to ILN/Shipper]]-1</f>
        <v>#N/A</v>
      </c>
      <c r="V101" s="50" t="e">
        <f>IFERROR(VLOOKUP(Tableau1[[#This Row],[Key(Compte ILN - shipper - POL - plant)]],'DATA ILN'!A:N,14,FALSE),VLOOKUP(Tableau1[[#This Row],[Key(Compte ILN - shipper - POL)]],'DATA ILN'!B:N,13,FALSE))</f>
        <v>#N/A</v>
      </c>
      <c r="W101" s="53" t="e">
        <f>IFERROR(VLOOKUP(Tableau1[[#This Row],[Key(Compte ILN - shipper - POL - plant)]],'DATA ILN'!A:P,16,FALSE),VLOOKUP(Tableau1[[#This Row],[Key(Compte ILN - shipper - POL)]],'DATA ILN'!B:P,15,FALSE))</f>
        <v>#N/A</v>
      </c>
      <c r="X101" s="283"/>
      <c r="Y101" s="482">
        <f>IFERROR(VLOOKUP(Tableau1[[#This Row],[Name Shipper]],Plant_AILN!L:M,2,FALSE),0)</f>
        <v>0</v>
      </c>
      <c r="Z101" s="358"/>
      <c r="AA101" s="353" t="e">
        <f ca="1">VLOOKUP(Tableau1[[#This Row],[Key(ID-Actif)]],'DATA BTO'!A:N,5,FALSE)</f>
        <v>#N/A</v>
      </c>
      <c r="AB101" s="3" t="e">
        <f ca="1">VLOOKUP(Tableau1[[#This Row],[Key(ID-Actif)]],'DATA BTO'!A:N,6,FALSE)</f>
        <v>#N/A</v>
      </c>
      <c r="AC101" s="50" t="e">
        <f ca="1">VLOOKUP(Tableau1[[#This Row],[Key(ID-Actif)]],'DATA BTO'!A:N,7,FALSE)</f>
        <v>#N/A</v>
      </c>
      <c r="AD101" s="50" t="e">
        <f ca="1">VLOOKUP(Tableau1[[#This Row],[Key(ID-Actif)]],'DATA BTO'!A:N,8,FALSE)</f>
        <v>#N/A</v>
      </c>
      <c r="AE101" s="50" t="e">
        <f ca="1">IF(Tableau1[[#This Row],[First Day to POL]]&lt;=Tableau1[[#This Row],[Day Cut Off]],Tableau1[[#This Row],[Day ETD]],Tableau1[[#This Row],[Day ETD]]+7)</f>
        <v>#N/A</v>
      </c>
      <c r="AF101" s="50" t="e">
        <f ca="1">VLOOKUP(Tableau1[[#This Row],[Key(ID-Actif)]],'DATA BTO'!A:N,9,FALSE)</f>
        <v>#N/A</v>
      </c>
      <c r="AG101" s="3" t="e">
        <f ca="1">VLOOKUP(Tableau1[[#This Row],[Key(ID-Actif)]],'DATA BTO'!A:N,10,FALSE)</f>
        <v>#N/A</v>
      </c>
      <c r="AH101" s="3" t="e">
        <f ca="1">VLOOKUP(Tableau1[[#This Row],[Key(ID-Actif)]],'DATA BTO'!A:N,11,FALSE)</f>
        <v>#N/A</v>
      </c>
      <c r="AI101" s="50" t="e">
        <f ca="1">VLOOKUP(Tableau1[[#This Row],[Key(ID-Actif)]],'DATA BTO'!A:N,12,FALSE)</f>
        <v>#N/A</v>
      </c>
      <c r="AJ101" s="53" t="e">
        <f ca="1">VLOOKUP(Tableau1[[#This Row],[Key(ID-Actif)]],'DATA BTO'!A:N,14,FALSE)</f>
        <v>#N/A</v>
      </c>
      <c r="AK101" s="54" t="e">
        <f ca="1">VLOOKUP(Tableau1[[#This Row],[Key(POD -PFI- Usine)]],'DATA Consignee'!A:F,6,FALSE)</f>
        <v>#N/A</v>
      </c>
      <c r="AL101" s="125"/>
      <c r="AM101" s="483" t="str">
        <f>IF(Tableau1[[#This Row],[Name PFI/CDD]]="","-",VLOOKUP(Tableau1[[#This Row],[Name PFI/CDD]],Plant_AILN!I:J,2,FALSE))</f>
        <v>-</v>
      </c>
      <c r="AN10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1" s="2" t="e">
        <f ca="1">VLOOKUP(Tableau1[[#This Row],[Key(POD -PFI- Usine)]],'DATA Consignee'!A:J,10,FALSE)</f>
        <v>#N/A</v>
      </c>
      <c r="AQ101" s="50" t="e">
        <f ca="1">VLOOKUP(Tableau1[[#This Row],[Key(POD -PFI- Usine)]],'DATA Consignee'!A:N,14,FALSE)</f>
        <v>#N/A</v>
      </c>
      <c r="AR10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1" s="50" t="e">
        <f ca="1">Tableau1[[#This Row],[Transit time]]+Tableau1[[#This Row],[Time for security]]+Tableau1[[#This Row],[Time for security2 buffer]]</f>
        <v>#N/A</v>
      </c>
      <c r="AU10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1" s="389" t="e">
        <f ca="1">Tableau1[[#This Row],[Leadtime SI2C]]+Tableau1[[#This Row],[First Receipt Days]]-Tableau1[[#This Row],[Day Customer Order]]+1</f>
        <v>#N/A</v>
      </c>
      <c r="AW101" s="117" t="e">
        <f ca="1">IF(Tableau1[[#This Row],[Name ILN]]&lt;&gt;"SFK Freight Forwarder",Tableau1[[#This Row],[Cust. Leadtime]],Tableau1[[#This Row],[Leadtime SI2C]])</f>
        <v>#N/A</v>
      </c>
      <c r="AX101" s="51" t="e">
        <f>VLOOKUP(Tableau1[[#This Row],[ID]],'DATA BTO'!B:P,15,FALSE)</f>
        <v>#N/A</v>
      </c>
      <c r="AY101" s="328" t="e">
        <f ca="1">IFERROR(VLOOKUP(Tableau1[[#This Row],[Key(ID-Actif)]],'DATA BTO'!A:N,4,FALSE),VLOOKUP(Tableau1[[#This Row],[ID]],'DATA BTO'!B:N,3,FALSE))</f>
        <v>#N/A</v>
      </c>
      <c r="AZ10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1" s="50"/>
    </row>
    <row r="102" spans="2:57">
      <c r="B102" s="65" t="str">
        <f>_xlfn.CONCAT(Tableau1[[#This Row],[Name ILN]],"-",Tableau1[[#This Row],[Name Shipper]],"-",Tableau1[[#This Row],[Name Site]])</f>
        <v>--</v>
      </c>
      <c r="C102" s="65" t="e">
        <f>_xlfn.CONCAT(Tableau1[[#This Row],[Compte ILN]],"-",Tableau1[[#This Row],[Compte Shipper]],"-",Tableau1[[#This Row],[POL]],"-",Tableau1[[#This Row],[Compte Consignee]])</f>
        <v>#N/A</v>
      </c>
      <c r="D102" s="64" t="e">
        <f>_xlfn.CONCAT(Tableau1[[#This Row],[Compte ILN]],"-",Tableau1[[#This Row],[Compte Shipper]],"-",Tableau1[[#This Row],[POL]])</f>
        <v>#N/A</v>
      </c>
      <c r="E102" s="396" t="e">
        <f ca="1">_xlfn.CONCAT(Tableau1[[#This Row],[POL]],"-",Tableau1[[#This Row],[Carrier]],"-",Tableau1[[#This Row],[POD]])</f>
        <v>#N/A</v>
      </c>
      <c r="F102" s="64" t="str">
        <f>_xlfn.CONCAT(Tableau1[[#This Row],[ID]],"-","Actif")</f>
        <v>-Actif</v>
      </c>
      <c r="G102" s="64" t="e">
        <f ca="1">_xlfn.CONCAT(Tableau1[[#This Row],[POD]],"-",Tableau1[[#This Row],[Code PFI]],"-",Tableau1[[#This Row],[Compte Consignee]])</f>
        <v>#N/A</v>
      </c>
      <c r="H10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2" s="397" t="str">
        <f ca="1">IF(COUNTIF(I:I,Tableau1[[#This Row],[Plant-ILN-shipper-POL-Carrier-POD-PFI]])=1,"Non","Oui")</f>
        <v>Oui</v>
      </c>
      <c r="K102" s="398" t="e">
        <f>VLOOKUP(Tableau1[[#This Row],[Name Site]],Plant_AILN!A:D,4,FALSE)</f>
        <v>#N/A</v>
      </c>
      <c r="L102" s="285"/>
      <c r="M102" s="480" t="e">
        <f>VLOOKUP(Tableau1[[#This Row],[Name Site]],Plant_AILN!A:C,3,FALSE)</f>
        <v>#N/A</v>
      </c>
      <c r="N102" s="55" t="e">
        <f>VLOOKUP(Tableau1[[#This Row],[Compte Consignee]],Order!C:D,2,FALSE)</f>
        <v>#N/A</v>
      </c>
      <c r="O102" s="114"/>
      <c r="P102" s="481" t="e">
        <f>VLOOKUP(Tableau1[[#This Row],[Name ILN]],Plant_AILN!F:G,2,FALSE)</f>
        <v>#N/A</v>
      </c>
      <c r="Q102" s="50" t="e">
        <f>VLOOKUP(Tableau1[[#This Row],[Compte ILN]],'DATA ILN'!D:I,6,FALSE)</f>
        <v>#N/A</v>
      </c>
      <c r="R102" s="50" t="e">
        <f>IFERROR(VLOOKUP(Tableau1[[#This Row],[Key(Compte ILN - shipper - POL - plant)]],'DATA ILN'!A:J,10,FALSE),VLOOKUP(Tableau1[[#This Row],[Key(Compte ILN - shipper - POL)]],'DATA ILN'!B:J,9,FALSE))</f>
        <v>#N/A</v>
      </c>
      <c r="S102" s="50" t="e">
        <f>IFERROR(VLOOKUP(Tableau1[[#This Row],[Key(Compte ILN - shipper - POL - plant)]],'DATA ILN'!A:K,11,FALSE),VLOOKUP(Tableau1[[#This Row],[Key(Compte ILN - shipper - POL)]],'DATA ILN'!B:K,10,FALSE))</f>
        <v>#N/A</v>
      </c>
      <c r="T102" s="50" t="e">
        <f>IFERROR(VLOOKUP(Tableau1[[#This Row],[Key(Compte ILN - shipper - POL - plant)]],'DATA ILN'!A:L,12,FALSE),VLOOKUP(Tableau1[[#This Row],[Key(Compte ILN - shipper - POL)]],'DATA ILN'!B:L,11,FALSE))</f>
        <v>#N/A</v>
      </c>
      <c r="U102" s="50" t="e">
        <f>Tableau1[[#This Row],[Day ILN Order]]+Tableau1[[#This Row],[Delivery time to ILN/Shipper]]-1</f>
        <v>#N/A</v>
      </c>
      <c r="V102" s="50" t="e">
        <f>IFERROR(VLOOKUP(Tableau1[[#This Row],[Key(Compte ILN - shipper - POL - plant)]],'DATA ILN'!A:N,14,FALSE),VLOOKUP(Tableau1[[#This Row],[Key(Compte ILN - shipper - POL)]],'DATA ILN'!B:N,13,FALSE))</f>
        <v>#N/A</v>
      </c>
      <c r="W102" s="53" t="e">
        <f>IFERROR(VLOOKUP(Tableau1[[#This Row],[Key(Compte ILN - shipper - POL - plant)]],'DATA ILN'!A:P,16,FALSE),VLOOKUP(Tableau1[[#This Row],[Key(Compte ILN - shipper - POL)]],'DATA ILN'!B:P,15,FALSE))</f>
        <v>#N/A</v>
      </c>
      <c r="X102" s="283"/>
      <c r="Y102" s="482">
        <f>IFERROR(VLOOKUP(Tableau1[[#This Row],[Name Shipper]],Plant_AILN!L:M,2,FALSE),0)</f>
        <v>0</v>
      </c>
      <c r="Z102" s="358"/>
      <c r="AA102" s="353" t="e">
        <f ca="1">VLOOKUP(Tableau1[[#This Row],[Key(ID-Actif)]],'DATA BTO'!A:N,5,FALSE)</f>
        <v>#N/A</v>
      </c>
      <c r="AB102" s="3" t="e">
        <f ca="1">VLOOKUP(Tableau1[[#This Row],[Key(ID-Actif)]],'DATA BTO'!A:N,6,FALSE)</f>
        <v>#N/A</v>
      </c>
      <c r="AC102" s="50" t="e">
        <f ca="1">VLOOKUP(Tableau1[[#This Row],[Key(ID-Actif)]],'DATA BTO'!A:N,7,FALSE)</f>
        <v>#N/A</v>
      </c>
      <c r="AD102" s="50" t="e">
        <f ca="1">VLOOKUP(Tableau1[[#This Row],[Key(ID-Actif)]],'DATA BTO'!A:N,8,FALSE)</f>
        <v>#N/A</v>
      </c>
      <c r="AE102" s="50" t="e">
        <f ca="1">IF(Tableau1[[#This Row],[First Day to POL]]&lt;=Tableau1[[#This Row],[Day Cut Off]],Tableau1[[#This Row],[Day ETD]],Tableau1[[#This Row],[Day ETD]]+7)</f>
        <v>#N/A</v>
      </c>
      <c r="AF102" s="50" t="e">
        <f ca="1">VLOOKUP(Tableau1[[#This Row],[Key(ID-Actif)]],'DATA BTO'!A:N,9,FALSE)</f>
        <v>#N/A</v>
      </c>
      <c r="AG102" s="3" t="e">
        <f ca="1">VLOOKUP(Tableau1[[#This Row],[Key(ID-Actif)]],'DATA BTO'!A:N,10,FALSE)</f>
        <v>#N/A</v>
      </c>
      <c r="AH102" s="3" t="e">
        <f ca="1">VLOOKUP(Tableau1[[#This Row],[Key(ID-Actif)]],'DATA BTO'!A:N,11,FALSE)</f>
        <v>#N/A</v>
      </c>
      <c r="AI102" s="50" t="e">
        <f ca="1">VLOOKUP(Tableau1[[#This Row],[Key(ID-Actif)]],'DATA BTO'!A:N,12,FALSE)</f>
        <v>#N/A</v>
      </c>
      <c r="AJ102" s="53" t="e">
        <f ca="1">VLOOKUP(Tableau1[[#This Row],[Key(ID-Actif)]],'DATA BTO'!A:N,14,FALSE)</f>
        <v>#N/A</v>
      </c>
      <c r="AK102" s="54" t="e">
        <f ca="1">VLOOKUP(Tableau1[[#This Row],[Key(POD -PFI- Usine)]],'DATA Consignee'!A:F,6,FALSE)</f>
        <v>#N/A</v>
      </c>
      <c r="AL102" s="125"/>
      <c r="AM102" s="483" t="str">
        <f>IF(Tableau1[[#This Row],[Name PFI/CDD]]="","-",VLOOKUP(Tableau1[[#This Row],[Name PFI/CDD]],Plant_AILN!I:J,2,FALSE))</f>
        <v>-</v>
      </c>
      <c r="AN10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2" s="2" t="e">
        <f ca="1">VLOOKUP(Tableau1[[#This Row],[Key(POD -PFI- Usine)]],'DATA Consignee'!A:J,10,FALSE)</f>
        <v>#N/A</v>
      </c>
      <c r="AQ102" s="50" t="e">
        <f ca="1">VLOOKUP(Tableau1[[#This Row],[Key(POD -PFI- Usine)]],'DATA Consignee'!A:N,14,FALSE)</f>
        <v>#N/A</v>
      </c>
      <c r="AR10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2" s="50" t="e">
        <f ca="1">Tableau1[[#This Row],[Transit time]]+Tableau1[[#This Row],[Time for security]]+Tableau1[[#This Row],[Time for security2 buffer]]</f>
        <v>#N/A</v>
      </c>
      <c r="AU10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2" s="389" t="e">
        <f ca="1">Tableau1[[#This Row],[Leadtime SI2C]]+Tableau1[[#This Row],[First Receipt Days]]-Tableau1[[#This Row],[Day Customer Order]]+1</f>
        <v>#N/A</v>
      </c>
      <c r="AW102" s="117" t="e">
        <f ca="1">IF(Tableau1[[#This Row],[Name ILN]]&lt;&gt;"SFK Freight Forwarder",Tableau1[[#This Row],[Cust. Leadtime]],Tableau1[[#This Row],[Leadtime SI2C]])</f>
        <v>#N/A</v>
      </c>
      <c r="AX102" s="51" t="e">
        <f>VLOOKUP(Tableau1[[#This Row],[ID]],'DATA BTO'!B:P,15,FALSE)</f>
        <v>#N/A</v>
      </c>
      <c r="AY102" s="328" t="e">
        <f ca="1">IFERROR(VLOOKUP(Tableau1[[#This Row],[Key(ID-Actif)]],'DATA BTO'!A:N,4,FALSE),VLOOKUP(Tableau1[[#This Row],[ID]],'DATA BTO'!B:N,3,FALSE))</f>
        <v>#N/A</v>
      </c>
      <c r="AZ10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2" s="50"/>
    </row>
    <row r="103" spans="2:57">
      <c r="B103" s="65" t="str">
        <f>_xlfn.CONCAT(Tableau1[[#This Row],[Name ILN]],"-",Tableau1[[#This Row],[Name Shipper]],"-",Tableau1[[#This Row],[Name Site]])</f>
        <v>--</v>
      </c>
      <c r="C103" s="65" t="e">
        <f>_xlfn.CONCAT(Tableau1[[#This Row],[Compte ILN]],"-",Tableau1[[#This Row],[Compte Shipper]],"-",Tableau1[[#This Row],[POL]],"-",Tableau1[[#This Row],[Compte Consignee]])</f>
        <v>#N/A</v>
      </c>
      <c r="D103" s="64" t="e">
        <f>_xlfn.CONCAT(Tableau1[[#This Row],[Compte ILN]],"-",Tableau1[[#This Row],[Compte Shipper]],"-",Tableau1[[#This Row],[POL]])</f>
        <v>#N/A</v>
      </c>
      <c r="E103" s="396" t="e">
        <f ca="1">_xlfn.CONCAT(Tableau1[[#This Row],[POL]],"-",Tableau1[[#This Row],[Carrier]],"-",Tableau1[[#This Row],[POD]])</f>
        <v>#N/A</v>
      </c>
      <c r="F103" s="64" t="str">
        <f>_xlfn.CONCAT(Tableau1[[#This Row],[ID]],"-","Actif")</f>
        <v>-Actif</v>
      </c>
      <c r="G103" s="64" t="e">
        <f ca="1">_xlfn.CONCAT(Tableau1[[#This Row],[POD]],"-",Tableau1[[#This Row],[Code PFI]],"-",Tableau1[[#This Row],[Compte Consignee]])</f>
        <v>#N/A</v>
      </c>
      <c r="H10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3" s="397" t="str">
        <f ca="1">IF(COUNTIF(I:I,Tableau1[[#This Row],[Plant-ILN-shipper-POL-Carrier-POD-PFI]])=1,"Non","Oui")</f>
        <v>Oui</v>
      </c>
      <c r="K103" s="398" t="e">
        <f>VLOOKUP(Tableau1[[#This Row],[Name Site]],Plant_AILN!A:D,4,FALSE)</f>
        <v>#N/A</v>
      </c>
      <c r="L103" s="285"/>
      <c r="M103" s="480" t="e">
        <f>VLOOKUP(Tableau1[[#This Row],[Name Site]],Plant_AILN!A:C,3,FALSE)</f>
        <v>#N/A</v>
      </c>
      <c r="N103" s="55" t="e">
        <f>VLOOKUP(Tableau1[[#This Row],[Compte Consignee]],Order!C:D,2,FALSE)</f>
        <v>#N/A</v>
      </c>
      <c r="O103" s="114"/>
      <c r="P103" s="481" t="e">
        <f>VLOOKUP(Tableau1[[#This Row],[Name ILN]],Plant_AILN!F:G,2,FALSE)</f>
        <v>#N/A</v>
      </c>
      <c r="Q103" s="50" t="e">
        <f>VLOOKUP(Tableau1[[#This Row],[Compte ILN]],'DATA ILN'!D:I,6,FALSE)</f>
        <v>#N/A</v>
      </c>
      <c r="R103" s="50" t="e">
        <f>IFERROR(VLOOKUP(Tableau1[[#This Row],[Key(Compte ILN - shipper - POL - plant)]],'DATA ILN'!A:J,10,FALSE),VLOOKUP(Tableau1[[#This Row],[Key(Compte ILN - shipper - POL)]],'DATA ILN'!B:J,9,FALSE))</f>
        <v>#N/A</v>
      </c>
      <c r="S103" s="50" t="e">
        <f>IFERROR(VLOOKUP(Tableau1[[#This Row],[Key(Compte ILN - shipper - POL - plant)]],'DATA ILN'!A:K,11,FALSE),VLOOKUP(Tableau1[[#This Row],[Key(Compte ILN - shipper - POL)]],'DATA ILN'!B:K,10,FALSE))</f>
        <v>#N/A</v>
      </c>
      <c r="T103" s="50" t="e">
        <f>IFERROR(VLOOKUP(Tableau1[[#This Row],[Key(Compte ILN - shipper - POL - plant)]],'DATA ILN'!A:L,12,FALSE),VLOOKUP(Tableau1[[#This Row],[Key(Compte ILN - shipper - POL)]],'DATA ILN'!B:L,11,FALSE))</f>
        <v>#N/A</v>
      </c>
      <c r="U103" s="50" t="e">
        <f>Tableau1[[#This Row],[Day ILN Order]]+Tableau1[[#This Row],[Delivery time to ILN/Shipper]]-1</f>
        <v>#N/A</v>
      </c>
      <c r="V103" s="50" t="e">
        <f>IFERROR(VLOOKUP(Tableau1[[#This Row],[Key(Compte ILN - shipper - POL - plant)]],'DATA ILN'!A:N,14,FALSE),VLOOKUP(Tableau1[[#This Row],[Key(Compte ILN - shipper - POL)]],'DATA ILN'!B:N,13,FALSE))</f>
        <v>#N/A</v>
      </c>
      <c r="W103" s="53" t="e">
        <f>IFERROR(VLOOKUP(Tableau1[[#This Row],[Key(Compte ILN - shipper - POL - plant)]],'DATA ILN'!A:P,16,FALSE),VLOOKUP(Tableau1[[#This Row],[Key(Compte ILN - shipper - POL)]],'DATA ILN'!B:P,15,FALSE))</f>
        <v>#N/A</v>
      </c>
      <c r="X103" s="283"/>
      <c r="Y103" s="482">
        <f>IFERROR(VLOOKUP(Tableau1[[#This Row],[Name Shipper]],Plant_AILN!L:M,2,FALSE),0)</f>
        <v>0</v>
      </c>
      <c r="Z103" s="358"/>
      <c r="AA103" s="353" t="e">
        <f ca="1">VLOOKUP(Tableau1[[#This Row],[Key(ID-Actif)]],'DATA BTO'!A:N,5,FALSE)</f>
        <v>#N/A</v>
      </c>
      <c r="AB103" s="3" t="e">
        <f ca="1">VLOOKUP(Tableau1[[#This Row],[Key(ID-Actif)]],'DATA BTO'!A:N,6,FALSE)</f>
        <v>#N/A</v>
      </c>
      <c r="AC103" s="50" t="e">
        <f ca="1">VLOOKUP(Tableau1[[#This Row],[Key(ID-Actif)]],'DATA BTO'!A:N,7,FALSE)</f>
        <v>#N/A</v>
      </c>
      <c r="AD103" s="50" t="e">
        <f ca="1">VLOOKUP(Tableau1[[#This Row],[Key(ID-Actif)]],'DATA BTO'!A:N,8,FALSE)</f>
        <v>#N/A</v>
      </c>
      <c r="AE103" s="50" t="e">
        <f ca="1">IF(Tableau1[[#This Row],[First Day to POL]]&lt;=Tableau1[[#This Row],[Day Cut Off]],Tableau1[[#This Row],[Day ETD]],Tableau1[[#This Row],[Day ETD]]+7)</f>
        <v>#N/A</v>
      </c>
      <c r="AF103" s="50" t="e">
        <f ca="1">VLOOKUP(Tableau1[[#This Row],[Key(ID-Actif)]],'DATA BTO'!A:N,9,FALSE)</f>
        <v>#N/A</v>
      </c>
      <c r="AG103" s="3" t="e">
        <f ca="1">VLOOKUP(Tableau1[[#This Row],[Key(ID-Actif)]],'DATA BTO'!A:N,10,FALSE)</f>
        <v>#N/A</v>
      </c>
      <c r="AH103" s="3" t="e">
        <f ca="1">VLOOKUP(Tableau1[[#This Row],[Key(ID-Actif)]],'DATA BTO'!A:N,11,FALSE)</f>
        <v>#N/A</v>
      </c>
      <c r="AI103" s="50" t="e">
        <f ca="1">VLOOKUP(Tableau1[[#This Row],[Key(ID-Actif)]],'DATA BTO'!A:N,12,FALSE)</f>
        <v>#N/A</v>
      </c>
      <c r="AJ103" s="53" t="e">
        <f ca="1">VLOOKUP(Tableau1[[#This Row],[Key(ID-Actif)]],'DATA BTO'!A:N,14,FALSE)</f>
        <v>#N/A</v>
      </c>
      <c r="AK103" s="54" t="e">
        <f ca="1">VLOOKUP(Tableau1[[#This Row],[Key(POD -PFI- Usine)]],'DATA Consignee'!A:F,6,FALSE)</f>
        <v>#N/A</v>
      </c>
      <c r="AL103" s="125"/>
      <c r="AM103" s="483" t="str">
        <f>IF(Tableau1[[#This Row],[Name PFI/CDD]]="","-",VLOOKUP(Tableau1[[#This Row],[Name PFI/CDD]],Plant_AILN!I:J,2,FALSE))</f>
        <v>-</v>
      </c>
      <c r="AN10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3" s="2" t="e">
        <f ca="1">VLOOKUP(Tableau1[[#This Row],[Key(POD -PFI- Usine)]],'DATA Consignee'!A:J,10,FALSE)</f>
        <v>#N/A</v>
      </c>
      <c r="AQ103" s="50" t="e">
        <f ca="1">VLOOKUP(Tableau1[[#This Row],[Key(POD -PFI- Usine)]],'DATA Consignee'!A:N,14,FALSE)</f>
        <v>#N/A</v>
      </c>
      <c r="AR10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3" s="50" t="e">
        <f ca="1">Tableau1[[#This Row],[Transit time]]+Tableau1[[#This Row],[Time for security]]+Tableau1[[#This Row],[Time for security2 buffer]]</f>
        <v>#N/A</v>
      </c>
      <c r="AU10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3" s="389" t="e">
        <f ca="1">Tableau1[[#This Row],[Leadtime SI2C]]+Tableau1[[#This Row],[First Receipt Days]]-Tableau1[[#This Row],[Day Customer Order]]+1</f>
        <v>#N/A</v>
      </c>
      <c r="AW103" s="117" t="e">
        <f ca="1">IF(Tableau1[[#This Row],[Name ILN]]&lt;&gt;"SFK Freight Forwarder",Tableau1[[#This Row],[Cust. Leadtime]],Tableau1[[#This Row],[Leadtime SI2C]])</f>
        <v>#N/A</v>
      </c>
      <c r="AX103" s="51" t="e">
        <f>VLOOKUP(Tableau1[[#This Row],[ID]],'DATA BTO'!B:P,15,FALSE)</f>
        <v>#N/A</v>
      </c>
      <c r="AY103" s="328" t="e">
        <f ca="1">IFERROR(VLOOKUP(Tableau1[[#This Row],[Key(ID-Actif)]],'DATA BTO'!A:N,4,FALSE),VLOOKUP(Tableau1[[#This Row],[ID]],'DATA BTO'!B:N,3,FALSE))</f>
        <v>#N/A</v>
      </c>
      <c r="AZ10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3" s="50"/>
    </row>
    <row r="104" spans="2:57">
      <c r="B104" s="65" t="str">
        <f>_xlfn.CONCAT(Tableau1[[#This Row],[Name ILN]],"-",Tableau1[[#This Row],[Name Shipper]],"-",Tableau1[[#This Row],[Name Site]])</f>
        <v>--</v>
      </c>
      <c r="C104" s="65" t="e">
        <f>_xlfn.CONCAT(Tableau1[[#This Row],[Compte ILN]],"-",Tableau1[[#This Row],[Compte Shipper]],"-",Tableau1[[#This Row],[POL]],"-",Tableau1[[#This Row],[Compte Consignee]])</f>
        <v>#N/A</v>
      </c>
      <c r="D104" s="64" t="e">
        <f>_xlfn.CONCAT(Tableau1[[#This Row],[Compte ILN]],"-",Tableau1[[#This Row],[Compte Shipper]],"-",Tableau1[[#This Row],[POL]])</f>
        <v>#N/A</v>
      </c>
      <c r="E104" s="396" t="e">
        <f ca="1">_xlfn.CONCAT(Tableau1[[#This Row],[POL]],"-",Tableau1[[#This Row],[Carrier]],"-",Tableau1[[#This Row],[POD]])</f>
        <v>#N/A</v>
      </c>
      <c r="F104" s="64" t="str">
        <f>_xlfn.CONCAT(Tableau1[[#This Row],[ID]],"-","Actif")</f>
        <v>-Actif</v>
      </c>
      <c r="G104" s="64" t="e">
        <f ca="1">_xlfn.CONCAT(Tableau1[[#This Row],[POD]],"-",Tableau1[[#This Row],[Code PFI]],"-",Tableau1[[#This Row],[Compte Consignee]])</f>
        <v>#N/A</v>
      </c>
      <c r="H10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4" s="397" t="str">
        <f ca="1">IF(COUNTIF(I:I,Tableau1[[#This Row],[Plant-ILN-shipper-POL-Carrier-POD-PFI]])=1,"Non","Oui")</f>
        <v>Oui</v>
      </c>
      <c r="K104" s="398" t="e">
        <f>VLOOKUP(Tableau1[[#This Row],[Name Site]],Plant_AILN!A:D,4,FALSE)</f>
        <v>#N/A</v>
      </c>
      <c r="L104" s="285"/>
      <c r="M104" s="480" t="e">
        <f>VLOOKUP(Tableau1[[#This Row],[Name Site]],Plant_AILN!A:C,3,FALSE)</f>
        <v>#N/A</v>
      </c>
      <c r="N104" s="55" t="e">
        <f>VLOOKUP(Tableau1[[#This Row],[Compte Consignee]],Order!C:D,2,FALSE)</f>
        <v>#N/A</v>
      </c>
      <c r="O104" s="114"/>
      <c r="P104" s="481" t="e">
        <f>VLOOKUP(Tableau1[[#This Row],[Name ILN]],Plant_AILN!F:G,2,FALSE)</f>
        <v>#N/A</v>
      </c>
      <c r="Q104" s="50" t="e">
        <f>VLOOKUP(Tableau1[[#This Row],[Compte ILN]],'DATA ILN'!D:I,6,FALSE)</f>
        <v>#N/A</v>
      </c>
      <c r="R104" s="50" t="e">
        <f>IFERROR(VLOOKUP(Tableau1[[#This Row],[Key(Compte ILN - shipper - POL - plant)]],'DATA ILN'!A:J,10,FALSE),VLOOKUP(Tableau1[[#This Row],[Key(Compte ILN - shipper - POL)]],'DATA ILN'!B:J,9,FALSE))</f>
        <v>#N/A</v>
      </c>
      <c r="S104" s="50" t="e">
        <f>IFERROR(VLOOKUP(Tableau1[[#This Row],[Key(Compte ILN - shipper - POL - plant)]],'DATA ILN'!A:K,11,FALSE),VLOOKUP(Tableau1[[#This Row],[Key(Compte ILN - shipper - POL)]],'DATA ILN'!B:K,10,FALSE))</f>
        <v>#N/A</v>
      </c>
      <c r="T104" s="50" t="e">
        <f>IFERROR(VLOOKUP(Tableau1[[#This Row],[Key(Compte ILN - shipper - POL - plant)]],'DATA ILN'!A:L,12,FALSE),VLOOKUP(Tableau1[[#This Row],[Key(Compte ILN - shipper - POL)]],'DATA ILN'!B:L,11,FALSE))</f>
        <v>#N/A</v>
      </c>
      <c r="U104" s="50" t="e">
        <f>Tableau1[[#This Row],[Day ILN Order]]+Tableau1[[#This Row],[Delivery time to ILN/Shipper]]-1</f>
        <v>#N/A</v>
      </c>
      <c r="V104" s="50" t="e">
        <f>IFERROR(VLOOKUP(Tableau1[[#This Row],[Key(Compte ILN - shipper - POL - plant)]],'DATA ILN'!A:N,14,FALSE),VLOOKUP(Tableau1[[#This Row],[Key(Compte ILN - shipper - POL)]],'DATA ILN'!B:N,13,FALSE))</f>
        <v>#N/A</v>
      </c>
      <c r="W104" s="53" t="e">
        <f>IFERROR(VLOOKUP(Tableau1[[#This Row],[Key(Compte ILN - shipper - POL - plant)]],'DATA ILN'!A:P,16,FALSE),VLOOKUP(Tableau1[[#This Row],[Key(Compte ILN - shipper - POL)]],'DATA ILN'!B:P,15,FALSE))</f>
        <v>#N/A</v>
      </c>
      <c r="X104" s="283"/>
      <c r="Y104" s="482">
        <f>IFERROR(VLOOKUP(Tableau1[[#This Row],[Name Shipper]],Plant_AILN!L:M,2,FALSE),0)</f>
        <v>0</v>
      </c>
      <c r="Z104" s="358"/>
      <c r="AA104" s="353" t="e">
        <f ca="1">VLOOKUP(Tableau1[[#This Row],[Key(ID-Actif)]],'DATA BTO'!A:N,5,FALSE)</f>
        <v>#N/A</v>
      </c>
      <c r="AB104" s="3" t="e">
        <f ca="1">VLOOKUP(Tableau1[[#This Row],[Key(ID-Actif)]],'DATA BTO'!A:N,6,FALSE)</f>
        <v>#N/A</v>
      </c>
      <c r="AC104" s="50" t="e">
        <f ca="1">VLOOKUP(Tableau1[[#This Row],[Key(ID-Actif)]],'DATA BTO'!A:N,7,FALSE)</f>
        <v>#N/A</v>
      </c>
      <c r="AD104" s="50" t="e">
        <f ca="1">VLOOKUP(Tableau1[[#This Row],[Key(ID-Actif)]],'DATA BTO'!A:N,8,FALSE)</f>
        <v>#N/A</v>
      </c>
      <c r="AE104" s="50" t="e">
        <f ca="1">IF(Tableau1[[#This Row],[First Day to POL]]&lt;=Tableau1[[#This Row],[Day Cut Off]],Tableau1[[#This Row],[Day ETD]],Tableau1[[#This Row],[Day ETD]]+7)</f>
        <v>#N/A</v>
      </c>
      <c r="AF104" s="50" t="e">
        <f ca="1">VLOOKUP(Tableau1[[#This Row],[Key(ID-Actif)]],'DATA BTO'!A:N,9,FALSE)</f>
        <v>#N/A</v>
      </c>
      <c r="AG104" s="3" t="e">
        <f ca="1">VLOOKUP(Tableau1[[#This Row],[Key(ID-Actif)]],'DATA BTO'!A:N,10,FALSE)</f>
        <v>#N/A</v>
      </c>
      <c r="AH104" s="3" t="e">
        <f ca="1">VLOOKUP(Tableau1[[#This Row],[Key(ID-Actif)]],'DATA BTO'!A:N,11,FALSE)</f>
        <v>#N/A</v>
      </c>
      <c r="AI104" s="50" t="e">
        <f ca="1">VLOOKUP(Tableau1[[#This Row],[Key(ID-Actif)]],'DATA BTO'!A:N,12,FALSE)</f>
        <v>#N/A</v>
      </c>
      <c r="AJ104" s="53" t="e">
        <f ca="1">VLOOKUP(Tableau1[[#This Row],[Key(ID-Actif)]],'DATA BTO'!A:N,14,FALSE)</f>
        <v>#N/A</v>
      </c>
      <c r="AK104" s="54" t="e">
        <f ca="1">VLOOKUP(Tableau1[[#This Row],[Key(POD -PFI- Usine)]],'DATA Consignee'!A:F,6,FALSE)</f>
        <v>#N/A</v>
      </c>
      <c r="AL104" s="125"/>
      <c r="AM104" s="483" t="str">
        <f>IF(Tableau1[[#This Row],[Name PFI/CDD]]="","-",VLOOKUP(Tableau1[[#This Row],[Name PFI/CDD]],Plant_AILN!I:J,2,FALSE))</f>
        <v>-</v>
      </c>
      <c r="AN10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4" s="2" t="e">
        <f ca="1">VLOOKUP(Tableau1[[#This Row],[Key(POD -PFI- Usine)]],'DATA Consignee'!A:J,10,FALSE)</f>
        <v>#N/A</v>
      </c>
      <c r="AQ104" s="50" t="e">
        <f ca="1">VLOOKUP(Tableau1[[#This Row],[Key(POD -PFI- Usine)]],'DATA Consignee'!A:N,14,FALSE)</f>
        <v>#N/A</v>
      </c>
      <c r="AR10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4" s="50" t="e">
        <f ca="1">Tableau1[[#This Row],[Transit time]]+Tableau1[[#This Row],[Time for security]]+Tableau1[[#This Row],[Time for security2 buffer]]</f>
        <v>#N/A</v>
      </c>
      <c r="AU10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4" s="389" t="e">
        <f ca="1">Tableau1[[#This Row],[Leadtime SI2C]]+Tableau1[[#This Row],[First Receipt Days]]-Tableau1[[#This Row],[Day Customer Order]]+1</f>
        <v>#N/A</v>
      </c>
      <c r="AW104" s="117" t="e">
        <f ca="1">IF(Tableau1[[#This Row],[Name ILN]]&lt;&gt;"SFK Freight Forwarder",Tableau1[[#This Row],[Cust. Leadtime]],Tableau1[[#This Row],[Leadtime SI2C]])</f>
        <v>#N/A</v>
      </c>
      <c r="AX104" s="51" t="e">
        <f>VLOOKUP(Tableau1[[#This Row],[ID]],'DATA BTO'!B:P,15,FALSE)</f>
        <v>#N/A</v>
      </c>
      <c r="AY104" s="328" t="e">
        <f ca="1">IFERROR(VLOOKUP(Tableau1[[#This Row],[Key(ID-Actif)]],'DATA BTO'!A:N,4,FALSE),VLOOKUP(Tableau1[[#This Row],[ID]],'DATA BTO'!B:N,3,FALSE))</f>
        <v>#N/A</v>
      </c>
      <c r="AZ10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4" s="50"/>
    </row>
    <row r="105" spans="2:57">
      <c r="B105" s="65" t="str">
        <f>_xlfn.CONCAT(Tableau1[[#This Row],[Name ILN]],"-",Tableau1[[#This Row],[Name Shipper]],"-",Tableau1[[#This Row],[Name Site]])</f>
        <v>--</v>
      </c>
      <c r="C105" s="65" t="e">
        <f>_xlfn.CONCAT(Tableau1[[#This Row],[Compte ILN]],"-",Tableau1[[#This Row],[Compte Shipper]],"-",Tableau1[[#This Row],[POL]],"-",Tableau1[[#This Row],[Compte Consignee]])</f>
        <v>#N/A</v>
      </c>
      <c r="D105" s="64" t="e">
        <f>_xlfn.CONCAT(Tableau1[[#This Row],[Compte ILN]],"-",Tableau1[[#This Row],[Compte Shipper]],"-",Tableau1[[#This Row],[POL]])</f>
        <v>#N/A</v>
      </c>
      <c r="E105" s="396" t="e">
        <f ca="1">_xlfn.CONCAT(Tableau1[[#This Row],[POL]],"-",Tableau1[[#This Row],[Carrier]],"-",Tableau1[[#This Row],[POD]])</f>
        <v>#N/A</v>
      </c>
      <c r="F105" s="64" t="str">
        <f>_xlfn.CONCAT(Tableau1[[#This Row],[ID]],"-","Actif")</f>
        <v>-Actif</v>
      </c>
      <c r="G105" s="64" t="e">
        <f ca="1">_xlfn.CONCAT(Tableau1[[#This Row],[POD]],"-",Tableau1[[#This Row],[Code PFI]],"-",Tableau1[[#This Row],[Compte Consignee]])</f>
        <v>#N/A</v>
      </c>
      <c r="H10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5" s="397" t="str">
        <f ca="1">IF(COUNTIF(I:I,Tableau1[[#This Row],[Plant-ILN-shipper-POL-Carrier-POD-PFI]])=1,"Non","Oui")</f>
        <v>Oui</v>
      </c>
      <c r="K105" s="398" t="e">
        <f>VLOOKUP(Tableau1[[#This Row],[Name Site]],Plant_AILN!A:D,4,FALSE)</f>
        <v>#N/A</v>
      </c>
      <c r="L105" s="285"/>
      <c r="M105" s="480" t="e">
        <f>VLOOKUP(Tableau1[[#This Row],[Name Site]],Plant_AILN!A:C,3,FALSE)</f>
        <v>#N/A</v>
      </c>
      <c r="N105" s="55" t="e">
        <f>VLOOKUP(Tableau1[[#This Row],[Compte Consignee]],Order!C:D,2,FALSE)</f>
        <v>#N/A</v>
      </c>
      <c r="O105" s="114"/>
      <c r="P105" s="481" t="e">
        <f>VLOOKUP(Tableau1[[#This Row],[Name ILN]],Plant_AILN!F:G,2,FALSE)</f>
        <v>#N/A</v>
      </c>
      <c r="Q105" s="50" t="e">
        <f>VLOOKUP(Tableau1[[#This Row],[Compte ILN]],'DATA ILN'!D:I,6,FALSE)</f>
        <v>#N/A</v>
      </c>
      <c r="R105" s="50" t="e">
        <f>IFERROR(VLOOKUP(Tableau1[[#This Row],[Key(Compte ILN - shipper - POL - plant)]],'DATA ILN'!A:J,10,FALSE),VLOOKUP(Tableau1[[#This Row],[Key(Compte ILN - shipper - POL)]],'DATA ILN'!B:J,9,FALSE))</f>
        <v>#N/A</v>
      </c>
      <c r="S105" s="50" t="e">
        <f>IFERROR(VLOOKUP(Tableau1[[#This Row],[Key(Compte ILN - shipper - POL - plant)]],'DATA ILN'!A:K,11,FALSE),VLOOKUP(Tableau1[[#This Row],[Key(Compte ILN - shipper - POL)]],'DATA ILN'!B:K,10,FALSE))</f>
        <v>#N/A</v>
      </c>
      <c r="T105" s="50" t="e">
        <f>IFERROR(VLOOKUP(Tableau1[[#This Row],[Key(Compte ILN - shipper - POL - plant)]],'DATA ILN'!A:L,12,FALSE),VLOOKUP(Tableau1[[#This Row],[Key(Compte ILN - shipper - POL)]],'DATA ILN'!B:L,11,FALSE))</f>
        <v>#N/A</v>
      </c>
      <c r="U105" s="50" t="e">
        <f>Tableau1[[#This Row],[Day ILN Order]]+Tableau1[[#This Row],[Delivery time to ILN/Shipper]]-1</f>
        <v>#N/A</v>
      </c>
      <c r="V105" s="50" t="e">
        <f>IFERROR(VLOOKUP(Tableau1[[#This Row],[Key(Compte ILN - shipper - POL - plant)]],'DATA ILN'!A:N,14,FALSE),VLOOKUP(Tableau1[[#This Row],[Key(Compte ILN - shipper - POL)]],'DATA ILN'!B:N,13,FALSE))</f>
        <v>#N/A</v>
      </c>
      <c r="W105" s="53" t="e">
        <f>IFERROR(VLOOKUP(Tableau1[[#This Row],[Key(Compte ILN - shipper - POL - plant)]],'DATA ILN'!A:P,16,FALSE),VLOOKUP(Tableau1[[#This Row],[Key(Compte ILN - shipper - POL)]],'DATA ILN'!B:P,15,FALSE))</f>
        <v>#N/A</v>
      </c>
      <c r="X105" s="283"/>
      <c r="Y105" s="482">
        <f>IFERROR(VLOOKUP(Tableau1[[#This Row],[Name Shipper]],Plant_AILN!L:M,2,FALSE),0)</f>
        <v>0</v>
      </c>
      <c r="Z105" s="358"/>
      <c r="AA105" s="353" t="e">
        <f ca="1">VLOOKUP(Tableau1[[#This Row],[Key(ID-Actif)]],'DATA BTO'!A:N,5,FALSE)</f>
        <v>#N/A</v>
      </c>
      <c r="AB105" s="3" t="e">
        <f ca="1">VLOOKUP(Tableau1[[#This Row],[Key(ID-Actif)]],'DATA BTO'!A:N,6,FALSE)</f>
        <v>#N/A</v>
      </c>
      <c r="AC105" s="50" t="e">
        <f ca="1">VLOOKUP(Tableau1[[#This Row],[Key(ID-Actif)]],'DATA BTO'!A:N,7,FALSE)</f>
        <v>#N/A</v>
      </c>
      <c r="AD105" s="50" t="e">
        <f ca="1">VLOOKUP(Tableau1[[#This Row],[Key(ID-Actif)]],'DATA BTO'!A:N,8,FALSE)</f>
        <v>#N/A</v>
      </c>
      <c r="AE105" s="50" t="e">
        <f ca="1">IF(Tableau1[[#This Row],[First Day to POL]]&lt;=Tableau1[[#This Row],[Day Cut Off]],Tableau1[[#This Row],[Day ETD]],Tableau1[[#This Row],[Day ETD]]+7)</f>
        <v>#N/A</v>
      </c>
      <c r="AF105" s="50" t="e">
        <f ca="1">VLOOKUP(Tableau1[[#This Row],[Key(ID-Actif)]],'DATA BTO'!A:N,9,FALSE)</f>
        <v>#N/A</v>
      </c>
      <c r="AG105" s="3" t="e">
        <f ca="1">VLOOKUP(Tableau1[[#This Row],[Key(ID-Actif)]],'DATA BTO'!A:N,10,FALSE)</f>
        <v>#N/A</v>
      </c>
      <c r="AH105" s="3" t="e">
        <f ca="1">VLOOKUP(Tableau1[[#This Row],[Key(ID-Actif)]],'DATA BTO'!A:N,11,FALSE)</f>
        <v>#N/A</v>
      </c>
      <c r="AI105" s="50" t="e">
        <f ca="1">VLOOKUP(Tableau1[[#This Row],[Key(ID-Actif)]],'DATA BTO'!A:N,12,FALSE)</f>
        <v>#N/A</v>
      </c>
      <c r="AJ105" s="53" t="e">
        <f ca="1">VLOOKUP(Tableau1[[#This Row],[Key(ID-Actif)]],'DATA BTO'!A:N,14,FALSE)</f>
        <v>#N/A</v>
      </c>
      <c r="AK105" s="54" t="e">
        <f ca="1">VLOOKUP(Tableau1[[#This Row],[Key(POD -PFI- Usine)]],'DATA Consignee'!A:F,6,FALSE)</f>
        <v>#N/A</v>
      </c>
      <c r="AL105" s="125"/>
      <c r="AM105" s="483" t="str">
        <f>IF(Tableau1[[#This Row],[Name PFI/CDD]]="","-",VLOOKUP(Tableau1[[#This Row],[Name PFI/CDD]],Plant_AILN!I:J,2,FALSE))</f>
        <v>-</v>
      </c>
      <c r="AN10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5" s="2" t="e">
        <f ca="1">VLOOKUP(Tableau1[[#This Row],[Key(POD -PFI- Usine)]],'DATA Consignee'!A:J,10,FALSE)</f>
        <v>#N/A</v>
      </c>
      <c r="AQ105" s="50" t="e">
        <f ca="1">VLOOKUP(Tableau1[[#This Row],[Key(POD -PFI- Usine)]],'DATA Consignee'!A:N,14,FALSE)</f>
        <v>#N/A</v>
      </c>
      <c r="AR10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5" s="50" t="e">
        <f ca="1">Tableau1[[#This Row],[Transit time]]+Tableau1[[#This Row],[Time for security]]+Tableau1[[#This Row],[Time for security2 buffer]]</f>
        <v>#N/A</v>
      </c>
      <c r="AU10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5" s="389" t="e">
        <f ca="1">Tableau1[[#This Row],[Leadtime SI2C]]+Tableau1[[#This Row],[First Receipt Days]]-Tableau1[[#This Row],[Day Customer Order]]+1</f>
        <v>#N/A</v>
      </c>
      <c r="AW105" s="117" t="e">
        <f ca="1">IF(Tableau1[[#This Row],[Name ILN]]&lt;&gt;"SFK Freight Forwarder",Tableau1[[#This Row],[Cust. Leadtime]],Tableau1[[#This Row],[Leadtime SI2C]])</f>
        <v>#N/A</v>
      </c>
      <c r="AX105" s="51" t="e">
        <f>VLOOKUP(Tableau1[[#This Row],[ID]],'DATA BTO'!B:P,15,FALSE)</f>
        <v>#N/A</v>
      </c>
      <c r="AY105" s="328" t="e">
        <f ca="1">IFERROR(VLOOKUP(Tableau1[[#This Row],[Key(ID-Actif)]],'DATA BTO'!A:N,4,FALSE),VLOOKUP(Tableau1[[#This Row],[ID]],'DATA BTO'!B:N,3,FALSE))</f>
        <v>#N/A</v>
      </c>
      <c r="AZ10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5" s="50"/>
    </row>
    <row r="106" spans="2:57">
      <c r="B106" s="65" t="str">
        <f>_xlfn.CONCAT(Tableau1[[#This Row],[Name ILN]],"-",Tableau1[[#This Row],[Name Shipper]],"-",Tableau1[[#This Row],[Name Site]])</f>
        <v>--</v>
      </c>
      <c r="C106" s="65" t="e">
        <f>_xlfn.CONCAT(Tableau1[[#This Row],[Compte ILN]],"-",Tableau1[[#This Row],[Compte Shipper]],"-",Tableau1[[#This Row],[POL]],"-",Tableau1[[#This Row],[Compte Consignee]])</f>
        <v>#N/A</v>
      </c>
      <c r="D106" s="64" t="e">
        <f>_xlfn.CONCAT(Tableau1[[#This Row],[Compte ILN]],"-",Tableau1[[#This Row],[Compte Shipper]],"-",Tableau1[[#This Row],[POL]])</f>
        <v>#N/A</v>
      </c>
      <c r="E106" s="396" t="e">
        <f ca="1">_xlfn.CONCAT(Tableau1[[#This Row],[POL]],"-",Tableau1[[#This Row],[Carrier]],"-",Tableau1[[#This Row],[POD]])</f>
        <v>#N/A</v>
      </c>
      <c r="F106" s="64" t="str">
        <f>_xlfn.CONCAT(Tableau1[[#This Row],[ID]],"-","Actif")</f>
        <v>-Actif</v>
      </c>
      <c r="G106" s="64" t="e">
        <f ca="1">_xlfn.CONCAT(Tableau1[[#This Row],[POD]],"-",Tableau1[[#This Row],[Code PFI]],"-",Tableau1[[#This Row],[Compte Consignee]])</f>
        <v>#N/A</v>
      </c>
      <c r="H10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6" s="397" t="str">
        <f ca="1">IF(COUNTIF(I:I,Tableau1[[#This Row],[Plant-ILN-shipper-POL-Carrier-POD-PFI]])=1,"Non","Oui")</f>
        <v>Oui</v>
      </c>
      <c r="K106" s="398" t="e">
        <f>VLOOKUP(Tableau1[[#This Row],[Name Site]],Plant_AILN!A:D,4,FALSE)</f>
        <v>#N/A</v>
      </c>
      <c r="L106" s="285"/>
      <c r="M106" s="480" t="e">
        <f>VLOOKUP(Tableau1[[#This Row],[Name Site]],Plant_AILN!A:C,3,FALSE)</f>
        <v>#N/A</v>
      </c>
      <c r="N106" s="55" t="e">
        <f>VLOOKUP(Tableau1[[#This Row],[Compte Consignee]],Order!C:D,2,FALSE)</f>
        <v>#N/A</v>
      </c>
      <c r="O106" s="114"/>
      <c r="P106" s="481" t="e">
        <f>VLOOKUP(Tableau1[[#This Row],[Name ILN]],Plant_AILN!F:G,2,FALSE)</f>
        <v>#N/A</v>
      </c>
      <c r="Q106" s="50" t="e">
        <f>VLOOKUP(Tableau1[[#This Row],[Compte ILN]],'DATA ILN'!D:I,6,FALSE)</f>
        <v>#N/A</v>
      </c>
      <c r="R106" s="50" t="e">
        <f>IFERROR(VLOOKUP(Tableau1[[#This Row],[Key(Compte ILN - shipper - POL - plant)]],'DATA ILN'!A:J,10,FALSE),VLOOKUP(Tableau1[[#This Row],[Key(Compte ILN - shipper - POL)]],'DATA ILN'!B:J,9,FALSE))</f>
        <v>#N/A</v>
      </c>
      <c r="S106" s="50" t="e">
        <f>IFERROR(VLOOKUP(Tableau1[[#This Row],[Key(Compte ILN - shipper - POL - plant)]],'DATA ILN'!A:K,11,FALSE),VLOOKUP(Tableau1[[#This Row],[Key(Compte ILN - shipper - POL)]],'DATA ILN'!B:K,10,FALSE))</f>
        <v>#N/A</v>
      </c>
      <c r="T106" s="50" t="e">
        <f>IFERROR(VLOOKUP(Tableau1[[#This Row],[Key(Compte ILN - shipper - POL - plant)]],'DATA ILN'!A:L,12,FALSE),VLOOKUP(Tableau1[[#This Row],[Key(Compte ILN - shipper - POL)]],'DATA ILN'!B:L,11,FALSE))</f>
        <v>#N/A</v>
      </c>
      <c r="U106" s="50" t="e">
        <f>Tableau1[[#This Row],[Day ILN Order]]+Tableau1[[#This Row],[Delivery time to ILN/Shipper]]-1</f>
        <v>#N/A</v>
      </c>
      <c r="V106" s="50" t="e">
        <f>IFERROR(VLOOKUP(Tableau1[[#This Row],[Key(Compte ILN - shipper - POL - plant)]],'DATA ILN'!A:N,14,FALSE),VLOOKUP(Tableau1[[#This Row],[Key(Compte ILN - shipper - POL)]],'DATA ILN'!B:N,13,FALSE))</f>
        <v>#N/A</v>
      </c>
      <c r="W106" s="53" t="e">
        <f>IFERROR(VLOOKUP(Tableau1[[#This Row],[Key(Compte ILN - shipper - POL - plant)]],'DATA ILN'!A:P,16,FALSE),VLOOKUP(Tableau1[[#This Row],[Key(Compte ILN - shipper - POL)]],'DATA ILN'!B:P,15,FALSE))</f>
        <v>#N/A</v>
      </c>
      <c r="X106" s="283"/>
      <c r="Y106" s="482">
        <f>IFERROR(VLOOKUP(Tableau1[[#This Row],[Name Shipper]],Plant_AILN!L:M,2,FALSE),0)</f>
        <v>0</v>
      </c>
      <c r="Z106" s="358"/>
      <c r="AA106" s="353" t="e">
        <f ca="1">VLOOKUP(Tableau1[[#This Row],[Key(ID-Actif)]],'DATA BTO'!A:N,5,FALSE)</f>
        <v>#N/A</v>
      </c>
      <c r="AB106" s="3" t="e">
        <f ca="1">VLOOKUP(Tableau1[[#This Row],[Key(ID-Actif)]],'DATA BTO'!A:N,6,FALSE)</f>
        <v>#N/A</v>
      </c>
      <c r="AC106" s="50" t="e">
        <f ca="1">VLOOKUP(Tableau1[[#This Row],[Key(ID-Actif)]],'DATA BTO'!A:N,7,FALSE)</f>
        <v>#N/A</v>
      </c>
      <c r="AD106" s="50" t="e">
        <f ca="1">VLOOKUP(Tableau1[[#This Row],[Key(ID-Actif)]],'DATA BTO'!A:N,8,FALSE)</f>
        <v>#N/A</v>
      </c>
      <c r="AE106" s="50" t="e">
        <f ca="1">IF(Tableau1[[#This Row],[First Day to POL]]&lt;=Tableau1[[#This Row],[Day Cut Off]],Tableau1[[#This Row],[Day ETD]],Tableau1[[#This Row],[Day ETD]]+7)</f>
        <v>#N/A</v>
      </c>
      <c r="AF106" s="50" t="e">
        <f ca="1">VLOOKUP(Tableau1[[#This Row],[Key(ID-Actif)]],'DATA BTO'!A:N,9,FALSE)</f>
        <v>#N/A</v>
      </c>
      <c r="AG106" s="3" t="e">
        <f ca="1">VLOOKUP(Tableau1[[#This Row],[Key(ID-Actif)]],'DATA BTO'!A:N,10,FALSE)</f>
        <v>#N/A</v>
      </c>
      <c r="AH106" s="3" t="e">
        <f ca="1">VLOOKUP(Tableau1[[#This Row],[Key(ID-Actif)]],'DATA BTO'!A:N,11,FALSE)</f>
        <v>#N/A</v>
      </c>
      <c r="AI106" s="50" t="e">
        <f ca="1">VLOOKUP(Tableau1[[#This Row],[Key(ID-Actif)]],'DATA BTO'!A:N,12,FALSE)</f>
        <v>#N/A</v>
      </c>
      <c r="AJ106" s="53" t="e">
        <f ca="1">VLOOKUP(Tableau1[[#This Row],[Key(ID-Actif)]],'DATA BTO'!A:N,14,FALSE)</f>
        <v>#N/A</v>
      </c>
      <c r="AK106" s="54" t="e">
        <f ca="1">VLOOKUP(Tableau1[[#This Row],[Key(POD -PFI- Usine)]],'DATA Consignee'!A:F,6,FALSE)</f>
        <v>#N/A</v>
      </c>
      <c r="AL106" s="125"/>
      <c r="AM106" s="483" t="str">
        <f>IF(Tableau1[[#This Row],[Name PFI/CDD]]="","-",VLOOKUP(Tableau1[[#This Row],[Name PFI/CDD]],Plant_AILN!I:J,2,FALSE))</f>
        <v>-</v>
      </c>
      <c r="AN10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6" s="2" t="e">
        <f ca="1">VLOOKUP(Tableau1[[#This Row],[Key(POD -PFI- Usine)]],'DATA Consignee'!A:J,10,FALSE)</f>
        <v>#N/A</v>
      </c>
      <c r="AQ106" s="50" t="e">
        <f ca="1">VLOOKUP(Tableau1[[#This Row],[Key(POD -PFI- Usine)]],'DATA Consignee'!A:N,14,FALSE)</f>
        <v>#N/A</v>
      </c>
      <c r="AR10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6" s="50" t="e">
        <f ca="1">Tableau1[[#This Row],[Transit time]]+Tableau1[[#This Row],[Time for security]]+Tableau1[[#This Row],[Time for security2 buffer]]</f>
        <v>#N/A</v>
      </c>
      <c r="AU10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6" s="389" t="e">
        <f ca="1">Tableau1[[#This Row],[Leadtime SI2C]]+Tableau1[[#This Row],[First Receipt Days]]-Tableau1[[#This Row],[Day Customer Order]]+1</f>
        <v>#N/A</v>
      </c>
      <c r="AW106" s="117" t="e">
        <f ca="1">IF(Tableau1[[#This Row],[Name ILN]]&lt;&gt;"SFK Freight Forwarder",Tableau1[[#This Row],[Cust. Leadtime]],Tableau1[[#This Row],[Leadtime SI2C]])</f>
        <v>#N/A</v>
      </c>
      <c r="AX106" s="51" t="e">
        <f>VLOOKUP(Tableau1[[#This Row],[ID]],'DATA BTO'!B:P,15,FALSE)</f>
        <v>#N/A</v>
      </c>
      <c r="AY106" s="328" t="e">
        <f ca="1">IFERROR(VLOOKUP(Tableau1[[#This Row],[Key(ID-Actif)]],'DATA BTO'!A:N,4,FALSE),VLOOKUP(Tableau1[[#This Row],[ID]],'DATA BTO'!B:N,3,FALSE))</f>
        <v>#N/A</v>
      </c>
      <c r="AZ10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6" s="50"/>
    </row>
    <row r="107" spans="2:57">
      <c r="B107" s="65" t="str">
        <f>_xlfn.CONCAT(Tableau1[[#This Row],[Name ILN]],"-",Tableau1[[#This Row],[Name Shipper]],"-",Tableau1[[#This Row],[Name Site]])</f>
        <v>--</v>
      </c>
      <c r="C107" s="65" t="e">
        <f>_xlfn.CONCAT(Tableau1[[#This Row],[Compte ILN]],"-",Tableau1[[#This Row],[Compte Shipper]],"-",Tableau1[[#This Row],[POL]],"-",Tableau1[[#This Row],[Compte Consignee]])</f>
        <v>#N/A</v>
      </c>
      <c r="D107" s="64" t="e">
        <f>_xlfn.CONCAT(Tableau1[[#This Row],[Compte ILN]],"-",Tableau1[[#This Row],[Compte Shipper]],"-",Tableau1[[#This Row],[POL]])</f>
        <v>#N/A</v>
      </c>
      <c r="E107" s="396" t="e">
        <f ca="1">_xlfn.CONCAT(Tableau1[[#This Row],[POL]],"-",Tableau1[[#This Row],[Carrier]],"-",Tableau1[[#This Row],[POD]])</f>
        <v>#N/A</v>
      </c>
      <c r="F107" s="64" t="str">
        <f>_xlfn.CONCAT(Tableau1[[#This Row],[ID]],"-","Actif")</f>
        <v>-Actif</v>
      </c>
      <c r="G107" s="64" t="e">
        <f ca="1">_xlfn.CONCAT(Tableau1[[#This Row],[POD]],"-",Tableau1[[#This Row],[Code PFI]],"-",Tableau1[[#This Row],[Compte Consignee]])</f>
        <v>#N/A</v>
      </c>
      <c r="H10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7" s="397" t="str">
        <f ca="1">IF(COUNTIF(I:I,Tableau1[[#This Row],[Plant-ILN-shipper-POL-Carrier-POD-PFI]])=1,"Non","Oui")</f>
        <v>Oui</v>
      </c>
      <c r="K107" s="398" t="e">
        <f>VLOOKUP(Tableau1[[#This Row],[Name Site]],Plant_AILN!A:D,4,FALSE)</f>
        <v>#N/A</v>
      </c>
      <c r="L107" s="285"/>
      <c r="M107" s="480" t="e">
        <f>VLOOKUP(Tableau1[[#This Row],[Name Site]],Plant_AILN!A:C,3,FALSE)</f>
        <v>#N/A</v>
      </c>
      <c r="N107" s="55" t="e">
        <f>VLOOKUP(Tableau1[[#This Row],[Compte Consignee]],Order!C:D,2,FALSE)</f>
        <v>#N/A</v>
      </c>
      <c r="O107" s="114"/>
      <c r="P107" s="481" t="e">
        <f>VLOOKUP(Tableau1[[#This Row],[Name ILN]],Plant_AILN!F:G,2,FALSE)</f>
        <v>#N/A</v>
      </c>
      <c r="Q107" s="50" t="e">
        <f>VLOOKUP(Tableau1[[#This Row],[Compte ILN]],'DATA ILN'!D:I,6,FALSE)</f>
        <v>#N/A</v>
      </c>
      <c r="R107" s="50" t="e">
        <f>IFERROR(VLOOKUP(Tableau1[[#This Row],[Key(Compte ILN - shipper - POL - plant)]],'DATA ILN'!A:J,10,FALSE),VLOOKUP(Tableau1[[#This Row],[Key(Compte ILN - shipper - POL)]],'DATA ILN'!B:J,9,FALSE))</f>
        <v>#N/A</v>
      </c>
      <c r="S107" s="50" t="e">
        <f>IFERROR(VLOOKUP(Tableau1[[#This Row],[Key(Compte ILN - shipper - POL - plant)]],'DATA ILN'!A:K,11,FALSE),VLOOKUP(Tableau1[[#This Row],[Key(Compte ILN - shipper - POL)]],'DATA ILN'!B:K,10,FALSE))</f>
        <v>#N/A</v>
      </c>
      <c r="T107" s="50" t="e">
        <f>IFERROR(VLOOKUP(Tableau1[[#This Row],[Key(Compte ILN - shipper - POL - plant)]],'DATA ILN'!A:L,12,FALSE),VLOOKUP(Tableau1[[#This Row],[Key(Compte ILN - shipper - POL)]],'DATA ILN'!B:L,11,FALSE))</f>
        <v>#N/A</v>
      </c>
      <c r="U107" s="50" t="e">
        <f>Tableau1[[#This Row],[Day ILN Order]]+Tableau1[[#This Row],[Delivery time to ILN/Shipper]]-1</f>
        <v>#N/A</v>
      </c>
      <c r="V107" s="50" t="e">
        <f>IFERROR(VLOOKUP(Tableau1[[#This Row],[Key(Compte ILN - shipper - POL - plant)]],'DATA ILN'!A:N,14,FALSE),VLOOKUP(Tableau1[[#This Row],[Key(Compte ILN - shipper - POL)]],'DATA ILN'!B:N,13,FALSE))</f>
        <v>#N/A</v>
      </c>
      <c r="W107" s="53" t="e">
        <f>IFERROR(VLOOKUP(Tableau1[[#This Row],[Key(Compte ILN - shipper - POL - plant)]],'DATA ILN'!A:P,16,FALSE),VLOOKUP(Tableau1[[#This Row],[Key(Compte ILN - shipper - POL)]],'DATA ILN'!B:P,15,FALSE))</f>
        <v>#N/A</v>
      </c>
      <c r="X107" s="283"/>
      <c r="Y107" s="482">
        <f>IFERROR(VLOOKUP(Tableau1[[#This Row],[Name Shipper]],Plant_AILN!L:M,2,FALSE),0)</f>
        <v>0</v>
      </c>
      <c r="Z107" s="358"/>
      <c r="AA107" s="353" t="e">
        <f ca="1">VLOOKUP(Tableau1[[#This Row],[Key(ID-Actif)]],'DATA BTO'!A:N,5,FALSE)</f>
        <v>#N/A</v>
      </c>
      <c r="AB107" s="3" t="e">
        <f ca="1">VLOOKUP(Tableau1[[#This Row],[Key(ID-Actif)]],'DATA BTO'!A:N,6,FALSE)</f>
        <v>#N/A</v>
      </c>
      <c r="AC107" s="50" t="e">
        <f ca="1">VLOOKUP(Tableau1[[#This Row],[Key(ID-Actif)]],'DATA BTO'!A:N,7,FALSE)</f>
        <v>#N/A</v>
      </c>
      <c r="AD107" s="50" t="e">
        <f ca="1">VLOOKUP(Tableau1[[#This Row],[Key(ID-Actif)]],'DATA BTO'!A:N,8,FALSE)</f>
        <v>#N/A</v>
      </c>
      <c r="AE107" s="50" t="e">
        <f ca="1">IF(Tableau1[[#This Row],[First Day to POL]]&lt;=Tableau1[[#This Row],[Day Cut Off]],Tableau1[[#This Row],[Day ETD]],Tableau1[[#This Row],[Day ETD]]+7)</f>
        <v>#N/A</v>
      </c>
      <c r="AF107" s="50" t="e">
        <f ca="1">VLOOKUP(Tableau1[[#This Row],[Key(ID-Actif)]],'DATA BTO'!A:N,9,FALSE)</f>
        <v>#N/A</v>
      </c>
      <c r="AG107" s="3" t="e">
        <f ca="1">VLOOKUP(Tableau1[[#This Row],[Key(ID-Actif)]],'DATA BTO'!A:N,10,FALSE)</f>
        <v>#N/A</v>
      </c>
      <c r="AH107" s="3" t="e">
        <f ca="1">VLOOKUP(Tableau1[[#This Row],[Key(ID-Actif)]],'DATA BTO'!A:N,11,FALSE)</f>
        <v>#N/A</v>
      </c>
      <c r="AI107" s="50" t="e">
        <f ca="1">VLOOKUP(Tableau1[[#This Row],[Key(ID-Actif)]],'DATA BTO'!A:N,12,FALSE)</f>
        <v>#N/A</v>
      </c>
      <c r="AJ107" s="53" t="e">
        <f ca="1">VLOOKUP(Tableau1[[#This Row],[Key(ID-Actif)]],'DATA BTO'!A:N,14,FALSE)</f>
        <v>#N/A</v>
      </c>
      <c r="AK107" s="54" t="e">
        <f ca="1">VLOOKUP(Tableau1[[#This Row],[Key(POD -PFI- Usine)]],'DATA Consignee'!A:F,6,FALSE)</f>
        <v>#N/A</v>
      </c>
      <c r="AL107" s="125"/>
      <c r="AM107" s="483" t="str">
        <f>IF(Tableau1[[#This Row],[Name PFI/CDD]]="","-",VLOOKUP(Tableau1[[#This Row],[Name PFI/CDD]],Plant_AILN!I:J,2,FALSE))</f>
        <v>-</v>
      </c>
      <c r="AN10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7" s="2" t="e">
        <f ca="1">VLOOKUP(Tableau1[[#This Row],[Key(POD -PFI- Usine)]],'DATA Consignee'!A:J,10,FALSE)</f>
        <v>#N/A</v>
      </c>
      <c r="AQ107" s="50" t="e">
        <f ca="1">VLOOKUP(Tableau1[[#This Row],[Key(POD -PFI- Usine)]],'DATA Consignee'!A:N,14,FALSE)</f>
        <v>#N/A</v>
      </c>
      <c r="AR10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7" s="50" t="e">
        <f ca="1">Tableau1[[#This Row],[Transit time]]+Tableau1[[#This Row],[Time for security]]+Tableau1[[#This Row],[Time for security2 buffer]]</f>
        <v>#N/A</v>
      </c>
      <c r="AU10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7" s="389" t="e">
        <f ca="1">Tableau1[[#This Row],[Leadtime SI2C]]+Tableau1[[#This Row],[First Receipt Days]]-Tableau1[[#This Row],[Day Customer Order]]+1</f>
        <v>#N/A</v>
      </c>
      <c r="AW107" s="117" t="e">
        <f ca="1">IF(Tableau1[[#This Row],[Name ILN]]&lt;&gt;"SFK Freight Forwarder",Tableau1[[#This Row],[Cust. Leadtime]],Tableau1[[#This Row],[Leadtime SI2C]])</f>
        <v>#N/A</v>
      </c>
      <c r="AX107" s="51" t="e">
        <f>VLOOKUP(Tableau1[[#This Row],[ID]],'DATA BTO'!B:P,15,FALSE)</f>
        <v>#N/A</v>
      </c>
      <c r="AY107" s="328" t="e">
        <f ca="1">IFERROR(VLOOKUP(Tableau1[[#This Row],[Key(ID-Actif)]],'DATA BTO'!A:N,4,FALSE),VLOOKUP(Tableau1[[#This Row],[ID]],'DATA BTO'!B:N,3,FALSE))</f>
        <v>#N/A</v>
      </c>
      <c r="AZ10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7" s="50"/>
    </row>
    <row r="108" spans="2:57">
      <c r="B108" s="65" t="str">
        <f>_xlfn.CONCAT(Tableau1[[#This Row],[Name ILN]],"-",Tableau1[[#This Row],[Name Shipper]],"-",Tableau1[[#This Row],[Name Site]])</f>
        <v>--</v>
      </c>
      <c r="C108" s="65" t="e">
        <f>_xlfn.CONCAT(Tableau1[[#This Row],[Compte ILN]],"-",Tableau1[[#This Row],[Compte Shipper]],"-",Tableau1[[#This Row],[POL]],"-",Tableau1[[#This Row],[Compte Consignee]])</f>
        <v>#N/A</v>
      </c>
      <c r="D108" s="64" t="e">
        <f>_xlfn.CONCAT(Tableau1[[#This Row],[Compte ILN]],"-",Tableau1[[#This Row],[Compte Shipper]],"-",Tableau1[[#This Row],[POL]])</f>
        <v>#N/A</v>
      </c>
      <c r="E108" s="396" t="e">
        <f ca="1">_xlfn.CONCAT(Tableau1[[#This Row],[POL]],"-",Tableau1[[#This Row],[Carrier]],"-",Tableau1[[#This Row],[POD]])</f>
        <v>#N/A</v>
      </c>
      <c r="F108" s="64" t="str">
        <f>_xlfn.CONCAT(Tableau1[[#This Row],[ID]],"-","Actif")</f>
        <v>-Actif</v>
      </c>
      <c r="G108" s="64" t="e">
        <f ca="1">_xlfn.CONCAT(Tableau1[[#This Row],[POD]],"-",Tableau1[[#This Row],[Code PFI]],"-",Tableau1[[#This Row],[Compte Consignee]])</f>
        <v>#N/A</v>
      </c>
      <c r="H10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8" s="397" t="str">
        <f ca="1">IF(COUNTIF(I:I,Tableau1[[#This Row],[Plant-ILN-shipper-POL-Carrier-POD-PFI]])=1,"Non","Oui")</f>
        <v>Oui</v>
      </c>
      <c r="K108" s="398" t="e">
        <f>VLOOKUP(Tableau1[[#This Row],[Name Site]],Plant_AILN!A:D,4,FALSE)</f>
        <v>#N/A</v>
      </c>
      <c r="L108" s="285"/>
      <c r="M108" s="480" t="e">
        <f>VLOOKUP(Tableau1[[#This Row],[Name Site]],Plant_AILN!A:C,3,FALSE)</f>
        <v>#N/A</v>
      </c>
      <c r="N108" s="55" t="e">
        <f>VLOOKUP(Tableau1[[#This Row],[Compte Consignee]],Order!C:D,2,FALSE)</f>
        <v>#N/A</v>
      </c>
      <c r="O108" s="114"/>
      <c r="P108" s="481" t="e">
        <f>VLOOKUP(Tableau1[[#This Row],[Name ILN]],Plant_AILN!F:G,2,FALSE)</f>
        <v>#N/A</v>
      </c>
      <c r="Q108" s="50" t="e">
        <f>VLOOKUP(Tableau1[[#This Row],[Compte ILN]],'DATA ILN'!D:I,6,FALSE)</f>
        <v>#N/A</v>
      </c>
      <c r="R108" s="50" t="e">
        <f>IFERROR(VLOOKUP(Tableau1[[#This Row],[Key(Compte ILN - shipper - POL - plant)]],'DATA ILN'!A:J,10,FALSE),VLOOKUP(Tableau1[[#This Row],[Key(Compte ILN - shipper - POL)]],'DATA ILN'!B:J,9,FALSE))</f>
        <v>#N/A</v>
      </c>
      <c r="S108" s="50" t="e">
        <f>IFERROR(VLOOKUP(Tableau1[[#This Row],[Key(Compte ILN - shipper - POL - plant)]],'DATA ILN'!A:K,11,FALSE),VLOOKUP(Tableau1[[#This Row],[Key(Compte ILN - shipper - POL)]],'DATA ILN'!B:K,10,FALSE))</f>
        <v>#N/A</v>
      </c>
      <c r="T108" s="50" t="e">
        <f>IFERROR(VLOOKUP(Tableau1[[#This Row],[Key(Compte ILN - shipper - POL - plant)]],'DATA ILN'!A:L,12,FALSE),VLOOKUP(Tableau1[[#This Row],[Key(Compte ILN - shipper - POL)]],'DATA ILN'!B:L,11,FALSE))</f>
        <v>#N/A</v>
      </c>
      <c r="U108" s="50" t="e">
        <f>Tableau1[[#This Row],[Day ILN Order]]+Tableau1[[#This Row],[Delivery time to ILN/Shipper]]-1</f>
        <v>#N/A</v>
      </c>
      <c r="V108" s="50" t="e">
        <f>IFERROR(VLOOKUP(Tableau1[[#This Row],[Key(Compte ILN - shipper - POL - plant)]],'DATA ILN'!A:N,14,FALSE),VLOOKUP(Tableau1[[#This Row],[Key(Compte ILN - shipper - POL)]],'DATA ILN'!B:N,13,FALSE))</f>
        <v>#N/A</v>
      </c>
      <c r="W108" s="53" t="e">
        <f>IFERROR(VLOOKUP(Tableau1[[#This Row],[Key(Compte ILN - shipper - POL - plant)]],'DATA ILN'!A:P,16,FALSE),VLOOKUP(Tableau1[[#This Row],[Key(Compte ILN - shipper - POL)]],'DATA ILN'!B:P,15,FALSE))</f>
        <v>#N/A</v>
      </c>
      <c r="X108" s="283"/>
      <c r="Y108" s="482">
        <f>IFERROR(VLOOKUP(Tableau1[[#This Row],[Name Shipper]],Plant_AILN!L:M,2,FALSE),0)</f>
        <v>0</v>
      </c>
      <c r="Z108" s="358"/>
      <c r="AA108" s="353" t="e">
        <f ca="1">VLOOKUP(Tableau1[[#This Row],[Key(ID-Actif)]],'DATA BTO'!A:N,5,FALSE)</f>
        <v>#N/A</v>
      </c>
      <c r="AB108" s="3" t="e">
        <f ca="1">VLOOKUP(Tableau1[[#This Row],[Key(ID-Actif)]],'DATA BTO'!A:N,6,FALSE)</f>
        <v>#N/A</v>
      </c>
      <c r="AC108" s="50" t="e">
        <f ca="1">VLOOKUP(Tableau1[[#This Row],[Key(ID-Actif)]],'DATA BTO'!A:N,7,FALSE)</f>
        <v>#N/A</v>
      </c>
      <c r="AD108" s="50" t="e">
        <f ca="1">VLOOKUP(Tableau1[[#This Row],[Key(ID-Actif)]],'DATA BTO'!A:N,8,FALSE)</f>
        <v>#N/A</v>
      </c>
      <c r="AE108" s="50" t="e">
        <f ca="1">IF(Tableau1[[#This Row],[First Day to POL]]&lt;=Tableau1[[#This Row],[Day Cut Off]],Tableau1[[#This Row],[Day ETD]],Tableau1[[#This Row],[Day ETD]]+7)</f>
        <v>#N/A</v>
      </c>
      <c r="AF108" s="50" t="e">
        <f ca="1">VLOOKUP(Tableau1[[#This Row],[Key(ID-Actif)]],'DATA BTO'!A:N,9,FALSE)</f>
        <v>#N/A</v>
      </c>
      <c r="AG108" s="3" t="e">
        <f ca="1">VLOOKUP(Tableau1[[#This Row],[Key(ID-Actif)]],'DATA BTO'!A:N,10,FALSE)</f>
        <v>#N/A</v>
      </c>
      <c r="AH108" s="3" t="e">
        <f ca="1">VLOOKUP(Tableau1[[#This Row],[Key(ID-Actif)]],'DATA BTO'!A:N,11,FALSE)</f>
        <v>#N/A</v>
      </c>
      <c r="AI108" s="50" t="e">
        <f ca="1">VLOOKUP(Tableau1[[#This Row],[Key(ID-Actif)]],'DATA BTO'!A:N,12,FALSE)</f>
        <v>#N/A</v>
      </c>
      <c r="AJ108" s="53" t="e">
        <f ca="1">VLOOKUP(Tableau1[[#This Row],[Key(ID-Actif)]],'DATA BTO'!A:N,14,FALSE)</f>
        <v>#N/A</v>
      </c>
      <c r="AK108" s="54" t="e">
        <f ca="1">VLOOKUP(Tableau1[[#This Row],[Key(POD -PFI- Usine)]],'DATA Consignee'!A:F,6,FALSE)</f>
        <v>#N/A</v>
      </c>
      <c r="AL108" s="125"/>
      <c r="AM108" s="483" t="str">
        <f>IF(Tableau1[[#This Row],[Name PFI/CDD]]="","-",VLOOKUP(Tableau1[[#This Row],[Name PFI/CDD]],Plant_AILN!I:J,2,FALSE))</f>
        <v>-</v>
      </c>
      <c r="AN10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8" s="2" t="e">
        <f ca="1">VLOOKUP(Tableau1[[#This Row],[Key(POD -PFI- Usine)]],'DATA Consignee'!A:J,10,FALSE)</f>
        <v>#N/A</v>
      </c>
      <c r="AQ108" s="50" t="e">
        <f ca="1">VLOOKUP(Tableau1[[#This Row],[Key(POD -PFI- Usine)]],'DATA Consignee'!A:N,14,FALSE)</f>
        <v>#N/A</v>
      </c>
      <c r="AR10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8" s="50" t="e">
        <f ca="1">Tableau1[[#This Row],[Transit time]]+Tableau1[[#This Row],[Time for security]]+Tableau1[[#This Row],[Time for security2 buffer]]</f>
        <v>#N/A</v>
      </c>
      <c r="AU10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8" s="389" t="e">
        <f ca="1">Tableau1[[#This Row],[Leadtime SI2C]]+Tableau1[[#This Row],[First Receipt Days]]-Tableau1[[#This Row],[Day Customer Order]]+1</f>
        <v>#N/A</v>
      </c>
      <c r="AW108" s="117" t="e">
        <f ca="1">IF(Tableau1[[#This Row],[Name ILN]]&lt;&gt;"SFK Freight Forwarder",Tableau1[[#This Row],[Cust. Leadtime]],Tableau1[[#This Row],[Leadtime SI2C]])</f>
        <v>#N/A</v>
      </c>
      <c r="AX108" s="51" t="e">
        <f>VLOOKUP(Tableau1[[#This Row],[ID]],'DATA BTO'!B:P,15,FALSE)</f>
        <v>#N/A</v>
      </c>
      <c r="AY108" s="328" t="e">
        <f ca="1">IFERROR(VLOOKUP(Tableau1[[#This Row],[Key(ID-Actif)]],'DATA BTO'!A:N,4,FALSE),VLOOKUP(Tableau1[[#This Row],[ID]],'DATA BTO'!B:N,3,FALSE))</f>
        <v>#N/A</v>
      </c>
      <c r="AZ10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8" s="50"/>
    </row>
    <row r="109" spans="2:57">
      <c r="B109" s="65" t="str">
        <f>_xlfn.CONCAT(Tableau1[[#This Row],[Name ILN]],"-",Tableau1[[#This Row],[Name Shipper]],"-",Tableau1[[#This Row],[Name Site]])</f>
        <v>--</v>
      </c>
      <c r="C109" s="65" t="e">
        <f>_xlfn.CONCAT(Tableau1[[#This Row],[Compte ILN]],"-",Tableau1[[#This Row],[Compte Shipper]],"-",Tableau1[[#This Row],[POL]],"-",Tableau1[[#This Row],[Compte Consignee]])</f>
        <v>#N/A</v>
      </c>
      <c r="D109" s="64" t="e">
        <f>_xlfn.CONCAT(Tableau1[[#This Row],[Compte ILN]],"-",Tableau1[[#This Row],[Compte Shipper]],"-",Tableau1[[#This Row],[POL]])</f>
        <v>#N/A</v>
      </c>
      <c r="E109" s="396" t="e">
        <f ca="1">_xlfn.CONCAT(Tableau1[[#This Row],[POL]],"-",Tableau1[[#This Row],[Carrier]],"-",Tableau1[[#This Row],[POD]])</f>
        <v>#N/A</v>
      </c>
      <c r="F109" s="64" t="str">
        <f>_xlfn.CONCAT(Tableau1[[#This Row],[ID]],"-","Actif")</f>
        <v>-Actif</v>
      </c>
      <c r="G109" s="64" t="e">
        <f ca="1">_xlfn.CONCAT(Tableau1[[#This Row],[POD]],"-",Tableau1[[#This Row],[Code PFI]],"-",Tableau1[[#This Row],[Compte Consignee]])</f>
        <v>#N/A</v>
      </c>
      <c r="H10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0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09" s="397" t="str">
        <f ca="1">IF(COUNTIF(I:I,Tableau1[[#This Row],[Plant-ILN-shipper-POL-Carrier-POD-PFI]])=1,"Non","Oui")</f>
        <v>Oui</v>
      </c>
      <c r="K109" s="126" t="e">
        <f>VLOOKUP(Tableau1[[#This Row],[Name Site]],Plant_AILN!A:D,4,FALSE)</f>
        <v>#N/A</v>
      </c>
      <c r="L109" s="10"/>
      <c r="M109" s="480" t="e">
        <f>VLOOKUP(Tableau1[[#This Row],[Name Site]],Plant_AILN!A:C,3,FALSE)</f>
        <v>#N/A</v>
      </c>
      <c r="N109" s="55" t="e">
        <f>VLOOKUP(Tableau1[[#This Row],[Compte Consignee]],Order!C:D,2,FALSE)</f>
        <v>#N/A</v>
      </c>
      <c r="O109" s="114"/>
      <c r="P109" s="481" t="e">
        <f>VLOOKUP(Tableau1[[#This Row],[Name ILN]],Plant_AILN!F:G,2,FALSE)</f>
        <v>#N/A</v>
      </c>
      <c r="Q109" s="50" t="e">
        <f>VLOOKUP(Tableau1[[#This Row],[Compte ILN]],'DATA ILN'!D:I,6,FALSE)</f>
        <v>#N/A</v>
      </c>
      <c r="R109" s="50" t="e">
        <f>IFERROR(VLOOKUP(Tableau1[[#This Row],[Key(Compte ILN - shipper - POL - plant)]],'DATA ILN'!A:J,10,FALSE),VLOOKUP(Tableau1[[#This Row],[Key(Compte ILN - shipper - POL)]],'DATA ILN'!B:J,9,FALSE))</f>
        <v>#N/A</v>
      </c>
      <c r="S109" s="50" t="e">
        <f>IFERROR(VLOOKUP(Tableau1[[#This Row],[Key(Compte ILN - shipper - POL - plant)]],'DATA ILN'!A:K,11,FALSE),VLOOKUP(Tableau1[[#This Row],[Key(Compte ILN - shipper - POL)]],'DATA ILN'!B:K,10,FALSE))</f>
        <v>#N/A</v>
      </c>
      <c r="T109" s="50" t="e">
        <f>IFERROR(VLOOKUP(Tableau1[[#This Row],[Key(Compte ILN - shipper - POL - plant)]],'DATA ILN'!A:L,12,FALSE),VLOOKUP(Tableau1[[#This Row],[Key(Compte ILN - shipper - POL)]],'DATA ILN'!B:L,11,FALSE))</f>
        <v>#N/A</v>
      </c>
      <c r="U109" s="50" t="e">
        <f>Tableau1[[#This Row],[Day ILN Order]]+Tableau1[[#This Row],[Delivery time to ILN/Shipper]]-1</f>
        <v>#N/A</v>
      </c>
      <c r="V109" s="50" t="e">
        <f>IFERROR(VLOOKUP(Tableau1[[#This Row],[Key(Compte ILN - shipper - POL - plant)]],'DATA ILN'!A:N,14,FALSE),VLOOKUP(Tableau1[[#This Row],[Key(Compte ILN - shipper - POL)]],'DATA ILN'!B:N,13,FALSE))</f>
        <v>#N/A</v>
      </c>
      <c r="W109" s="53" t="e">
        <f>IFERROR(VLOOKUP(Tableau1[[#This Row],[Key(Compte ILN - shipper - POL - plant)]],'DATA ILN'!A:P,16,FALSE),VLOOKUP(Tableau1[[#This Row],[Key(Compte ILN - shipper - POL)]],'DATA ILN'!B:P,15,FALSE))</f>
        <v>#N/A</v>
      </c>
      <c r="X109" s="283"/>
      <c r="Y109" s="482">
        <f>IFERROR(VLOOKUP(Tableau1[[#This Row],[Name Shipper]],Plant_AILN!L:M,2,FALSE),0)</f>
        <v>0</v>
      </c>
      <c r="Z109" s="358"/>
      <c r="AA109" s="353" t="e">
        <f ca="1">VLOOKUP(Tableau1[[#This Row],[Key(ID-Actif)]],'DATA BTO'!A:N,5,FALSE)</f>
        <v>#N/A</v>
      </c>
      <c r="AB109" s="3" t="e">
        <f ca="1">VLOOKUP(Tableau1[[#This Row],[Key(ID-Actif)]],'DATA BTO'!A:N,6,FALSE)</f>
        <v>#N/A</v>
      </c>
      <c r="AC109" s="50" t="e">
        <f ca="1">VLOOKUP(Tableau1[[#This Row],[Key(ID-Actif)]],'DATA BTO'!A:N,7,FALSE)</f>
        <v>#N/A</v>
      </c>
      <c r="AD109" s="50" t="e">
        <f ca="1">VLOOKUP(Tableau1[[#This Row],[Key(ID-Actif)]],'DATA BTO'!A:N,8,FALSE)</f>
        <v>#N/A</v>
      </c>
      <c r="AE109" s="50" t="e">
        <f ca="1">IF(Tableau1[[#This Row],[First Day to POL]]&lt;=Tableau1[[#This Row],[Day Cut Off]],Tableau1[[#This Row],[Day ETD]],Tableau1[[#This Row],[Day ETD]]+7)</f>
        <v>#N/A</v>
      </c>
      <c r="AF109" s="50" t="e">
        <f ca="1">VLOOKUP(Tableau1[[#This Row],[Key(ID-Actif)]],'DATA BTO'!A:N,9,FALSE)</f>
        <v>#N/A</v>
      </c>
      <c r="AG109" s="3" t="e">
        <f ca="1">VLOOKUP(Tableau1[[#This Row],[Key(ID-Actif)]],'DATA BTO'!A:N,10,FALSE)</f>
        <v>#N/A</v>
      </c>
      <c r="AH109" s="3" t="e">
        <f ca="1">VLOOKUP(Tableau1[[#This Row],[Key(ID-Actif)]],'DATA BTO'!A:N,11,FALSE)</f>
        <v>#N/A</v>
      </c>
      <c r="AI109" s="50" t="e">
        <f ca="1">VLOOKUP(Tableau1[[#This Row],[Key(ID-Actif)]],'DATA BTO'!A:N,12,FALSE)</f>
        <v>#N/A</v>
      </c>
      <c r="AJ109" s="53" t="e">
        <f ca="1">VLOOKUP(Tableau1[[#This Row],[Key(ID-Actif)]],'DATA BTO'!A:N,14,FALSE)</f>
        <v>#N/A</v>
      </c>
      <c r="AK109" s="54" t="e">
        <f ca="1">VLOOKUP(Tableau1[[#This Row],[Key(POD -PFI- Usine)]],'DATA Consignee'!A:F,6,FALSE)</f>
        <v>#N/A</v>
      </c>
      <c r="AL109" s="125"/>
      <c r="AM109" s="483" t="str">
        <f>IF(Tableau1[[#This Row],[Name PFI/CDD]]="","-",VLOOKUP(Tableau1[[#This Row],[Name PFI/CDD]],Plant_AILN!I:J,2,FALSE))</f>
        <v>-</v>
      </c>
      <c r="AN10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0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09" s="2" t="e">
        <f ca="1">VLOOKUP(Tableau1[[#This Row],[Key(POD -PFI- Usine)]],'DATA Consignee'!A:J,10,FALSE)</f>
        <v>#N/A</v>
      </c>
      <c r="AQ109" s="50" t="e">
        <f ca="1">VLOOKUP(Tableau1[[#This Row],[Key(POD -PFI- Usine)]],'DATA Consignee'!A:N,14,FALSE)</f>
        <v>#N/A</v>
      </c>
      <c r="AR10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0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09" s="50" t="e">
        <f ca="1">Tableau1[[#This Row],[Transit time]]+Tableau1[[#This Row],[Time for security]]+Tableau1[[#This Row],[Time for security2 buffer]]</f>
        <v>#N/A</v>
      </c>
      <c r="AU10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09" s="389" t="e">
        <f ca="1">Tableau1[[#This Row],[Leadtime SI2C]]+Tableau1[[#This Row],[First Receipt Days]]-Tableau1[[#This Row],[Day Customer Order]]+1</f>
        <v>#N/A</v>
      </c>
      <c r="AW109" s="117" t="e">
        <f ca="1">IF(Tableau1[[#This Row],[Name ILN]]&lt;&gt;"SFK Freight Forwarder",Tableau1[[#This Row],[Cust. Leadtime]],Tableau1[[#This Row],[Leadtime SI2C]])</f>
        <v>#N/A</v>
      </c>
      <c r="AX109" s="51" t="e">
        <f>VLOOKUP(Tableau1[[#This Row],[ID]],'DATA BTO'!B:P,15,FALSE)</f>
        <v>#N/A</v>
      </c>
      <c r="AY109" s="328" t="e">
        <f ca="1">IFERROR(VLOOKUP(Tableau1[[#This Row],[Key(ID-Actif)]],'DATA BTO'!A:N,4,FALSE),VLOOKUP(Tableau1[[#This Row],[ID]],'DATA BTO'!B:N,3,FALSE))</f>
        <v>#N/A</v>
      </c>
      <c r="AZ10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0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0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9" s="50"/>
    </row>
    <row r="110" spans="2:57">
      <c r="B110" s="65" t="str">
        <f>_xlfn.CONCAT(Tableau1[[#This Row],[Name ILN]],"-",Tableau1[[#This Row],[Name Shipper]],"-",Tableau1[[#This Row],[Name Site]])</f>
        <v>--</v>
      </c>
      <c r="C110" s="65" t="e">
        <f>_xlfn.CONCAT(Tableau1[[#This Row],[Compte ILN]],"-",Tableau1[[#This Row],[Compte Shipper]],"-",Tableau1[[#This Row],[POL]],"-",Tableau1[[#This Row],[Compte Consignee]])</f>
        <v>#N/A</v>
      </c>
      <c r="D110" s="64" t="e">
        <f>_xlfn.CONCAT(Tableau1[[#This Row],[Compte ILN]],"-",Tableau1[[#This Row],[Compte Shipper]],"-",Tableau1[[#This Row],[POL]])</f>
        <v>#N/A</v>
      </c>
      <c r="E110" s="396" t="e">
        <f ca="1">_xlfn.CONCAT(Tableau1[[#This Row],[POL]],"-",Tableau1[[#This Row],[Carrier]],"-",Tableau1[[#This Row],[POD]])</f>
        <v>#N/A</v>
      </c>
      <c r="F110" s="64" t="str">
        <f>_xlfn.CONCAT(Tableau1[[#This Row],[ID]],"-","Actif")</f>
        <v>-Actif</v>
      </c>
      <c r="G110" s="64" t="e">
        <f ca="1">_xlfn.CONCAT(Tableau1[[#This Row],[POD]],"-",Tableau1[[#This Row],[Code PFI]],"-",Tableau1[[#This Row],[Compte Consignee]])</f>
        <v>#N/A</v>
      </c>
      <c r="H11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0" s="397" t="str">
        <f ca="1">IF(COUNTIF(I:I,Tableau1[[#This Row],[Plant-ILN-shipper-POL-Carrier-POD-PFI]])=1,"Non","Oui")</f>
        <v>Oui</v>
      </c>
      <c r="K110" s="398" t="e">
        <f>VLOOKUP(Tableau1[[#This Row],[Name Site]],Plant_AILN!A:D,4,FALSE)</f>
        <v>#N/A</v>
      </c>
      <c r="L110" s="285"/>
      <c r="M110" s="480" t="e">
        <f>VLOOKUP(Tableau1[[#This Row],[Name Site]],Plant_AILN!A:C,3,FALSE)</f>
        <v>#N/A</v>
      </c>
      <c r="N110" s="55" t="e">
        <f>VLOOKUP(Tableau1[[#This Row],[Compte Consignee]],Order!C:D,2,FALSE)</f>
        <v>#N/A</v>
      </c>
      <c r="O110" s="114"/>
      <c r="P110" s="481" t="e">
        <f>VLOOKUP(Tableau1[[#This Row],[Name ILN]],Plant_AILN!F:G,2,FALSE)</f>
        <v>#N/A</v>
      </c>
      <c r="Q110" s="50" t="e">
        <f>VLOOKUP(Tableau1[[#This Row],[Compte ILN]],'DATA ILN'!D:I,6,FALSE)</f>
        <v>#N/A</v>
      </c>
      <c r="R110" s="50" t="e">
        <f>IFERROR(VLOOKUP(Tableau1[[#This Row],[Key(Compte ILN - shipper - POL - plant)]],'DATA ILN'!A:J,10,FALSE),VLOOKUP(Tableau1[[#This Row],[Key(Compte ILN - shipper - POL)]],'DATA ILN'!B:J,9,FALSE))</f>
        <v>#N/A</v>
      </c>
      <c r="S110" s="50" t="e">
        <f>IFERROR(VLOOKUP(Tableau1[[#This Row],[Key(Compte ILN - shipper - POL - plant)]],'DATA ILN'!A:K,11,FALSE),VLOOKUP(Tableau1[[#This Row],[Key(Compte ILN - shipper - POL)]],'DATA ILN'!B:K,10,FALSE))</f>
        <v>#N/A</v>
      </c>
      <c r="T110" s="50" t="e">
        <f>IFERROR(VLOOKUP(Tableau1[[#This Row],[Key(Compte ILN - shipper - POL - plant)]],'DATA ILN'!A:L,12,FALSE),VLOOKUP(Tableau1[[#This Row],[Key(Compte ILN - shipper - POL)]],'DATA ILN'!B:L,11,FALSE))</f>
        <v>#N/A</v>
      </c>
      <c r="U110" s="50" t="e">
        <f>Tableau1[[#This Row],[Day ILN Order]]+Tableau1[[#This Row],[Delivery time to ILN/Shipper]]-1</f>
        <v>#N/A</v>
      </c>
      <c r="V110" s="50" t="e">
        <f>IFERROR(VLOOKUP(Tableau1[[#This Row],[Key(Compte ILN - shipper - POL - plant)]],'DATA ILN'!A:N,14,FALSE),VLOOKUP(Tableau1[[#This Row],[Key(Compte ILN - shipper - POL)]],'DATA ILN'!B:N,13,FALSE))</f>
        <v>#N/A</v>
      </c>
      <c r="W110" s="53" t="e">
        <f>IFERROR(VLOOKUP(Tableau1[[#This Row],[Key(Compte ILN - shipper - POL - plant)]],'DATA ILN'!A:P,16,FALSE),VLOOKUP(Tableau1[[#This Row],[Key(Compte ILN - shipper - POL)]],'DATA ILN'!B:P,15,FALSE))</f>
        <v>#N/A</v>
      </c>
      <c r="X110" s="283"/>
      <c r="Y110" s="482">
        <f>IFERROR(VLOOKUP(Tableau1[[#This Row],[Name Shipper]],Plant_AILN!L:M,2,FALSE),0)</f>
        <v>0</v>
      </c>
      <c r="Z110" s="358"/>
      <c r="AA110" s="353" t="e">
        <f ca="1">VLOOKUP(Tableau1[[#This Row],[Key(ID-Actif)]],'DATA BTO'!A:N,5,FALSE)</f>
        <v>#N/A</v>
      </c>
      <c r="AB110" s="3" t="e">
        <f ca="1">VLOOKUP(Tableau1[[#This Row],[Key(ID-Actif)]],'DATA BTO'!A:N,6,FALSE)</f>
        <v>#N/A</v>
      </c>
      <c r="AC110" s="50" t="e">
        <f ca="1">VLOOKUP(Tableau1[[#This Row],[Key(ID-Actif)]],'DATA BTO'!A:N,7,FALSE)</f>
        <v>#N/A</v>
      </c>
      <c r="AD110" s="50" t="e">
        <f ca="1">VLOOKUP(Tableau1[[#This Row],[Key(ID-Actif)]],'DATA BTO'!A:N,8,FALSE)</f>
        <v>#N/A</v>
      </c>
      <c r="AE110" s="50" t="e">
        <f ca="1">IF(Tableau1[[#This Row],[First Day to POL]]&lt;=Tableau1[[#This Row],[Day Cut Off]],Tableau1[[#This Row],[Day ETD]],Tableau1[[#This Row],[Day ETD]]+7)</f>
        <v>#N/A</v>
      </c>
      <c r="AF110" s="50" t="e">
        <f ca="1">VLOOKUP(Tableau1[[#This Row],[Key(ID-Actif)]],'DATA BTO'!A:N,9,FALSE)</f>
        <v>#N/A</v>
      </c>
      <c r="AG110" s="3" t="e">
        <f ca="1">VLOOKUP(Tableau1[[#This Row],[Key(ID-Actif)]],'DATA BTO'!A:N,10,FALSE)</f>
        <v>#N/A</v>
      </c>
      <c r="AH110" s="3" t="e">
        <f ca="1">VLOOKUP(Tableau1[[#This Row],[Key(ID-Actif)]],'DATA BTO'!A:N,11,FALSE)</f>
        <v>#N/A</v>
      </c>
      <c r="AI110" s="50" t="e">
        <f ca="1">VLOOKUP(Tableau1[[#This Row],[Key(ID-Actif)]],'DATA BTO'!A:N,12,FALSE)</f>
        <v>#N/A</v>
      </c>
      <c r="AJ110" s="53" t="e">
        <f ca="1">VLOOKUP(Tableau1[[#This Row],[Key(ID-Actif)]],'DATA BTO'!A:N,14,FALSE)</f>
        <v>#N/A</v>
      </c>
      <c r="AK110" s="54" t="e">
        <f ca="1">VLOOKUP(Tableau1[[#This Row],[Key(POD -PFI- Usine)]],'DATA Consignee'!A:F,6,FALSE)</f>
        <v>#N/A</v>
      </c>
      <c r="AL110" s="125"/>
      <c r="AM110" s="483" t="str">
        <f>IF(Tableau1[[#This Row],[Name PFI/CDD]]="","-",VLOOKUP(Tableau1[[#This Row],[Name PFI/CDD]],Plant_AILN!I:J,2,FALSE))</f>
        <v>-</v>
      </c>
      <c r="AN11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0" s="2" t="e">
        <f ca="1">VLOOKUP(Tableau1[[#This Row],[Key(POD -PFI- Usine)]],'DATA Consignee'!A:J,10,FALSE)</f>
        <v>#N/A</v>
      </c>
      <c r="AQ110" s="50" t="e">
        <f ca="1">VLOOKUP(Tableau1[[#This Row],[Key(POD -PFI- Usine)]],'DATA Consignee'!A:N,14,FALSE)</f>
        <v>#N/A</v>
      </c>
      <c r="AR11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0" s="50" t="e">
        <f ca="1">Tableau1[[#This Row],[Transit time]]+Tableau1[[#This Row],[Time for security]]+Tableau1[[#This Row],[Time for security2 buffer]]</f>
        <v>#N/A</v>
      </c>
      <c r="AU11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0" s="389" t="e">
        <f ca="1">Tableau1[[#This Row],[Leadtime SI2C]]+Tableau1[[#This Row],[First Receipt Days]]-Tableau1[[#This Row],[Day Customer Order]]+1</f>
        <v>#N/A</v>
      </c>
      <c r="AW110" s="117" t="e">
        <f ca="1">IF(Tableau1[[#This Row],[Name ILN]]&lt;&gt;"SFK Freight Forwarder",Tableau1[[#This Row],[Cust. Leadtime]],Tableau1[[#This Row],[Leadtime SI2C]])</f>
        <v>#N/A</v>
      </c>
      <c r="AX110" s="51" t="e">
        <f>VLOOKUP(Tableau1[[#This Row],[ID]],'DATA BTO'!B:P,15,FALSE)</f>
        <v>#N/A</v>
      </c>
      <c r="AY110" s="328" t="e">
        <f ca="1">IFERROR(VLOOKUP(Tableau1[[#This Row],[Key(ID-Actif)]],'DATA BTO'!A:N,4,FALSE),VLOOKUP(Tableau1[[#This Row],[ID]],'DATA BTO'!B:N,3,FALSE))</f>
        <v>#N/A</v>
      </c>
      <c r="AZ11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0" s="50"/>
    </row>
    <row r="111" spans="2:57">
      <c r="B111" s="65" t="str">
        <f>_xlfn.CONCAT(Tableau1[[#This Row],[Name ILN]],"-",Tableau1[[#This Row],[Name Shipper]],"-",Tableau1[[#This Row],[Name Site]])</f>
        <v>--</v>
      </c>
      <c r="C111" s="65" t="e">
        <f>_xlfn.CONCAT(Tableau1[[#This Row],[Compte ILN]],"-",Tableau1[[#This Row],[Compte Shipper]],"-",Tableau1[[#This Row],[POL]],"-",Tableau1[[#This Row],[Compte Consignee]])</f>
        <v>#N/A</v>
      </c>
      <c r="D111" s="64" t="e">
        <f>_xlfn.CONCAT(Tableau1[[#This Row],[Compte ILN]],"-",Tableau1[[#This Row],[Compte Shipper]],"-",Tableau1[[#This Row],[POL]])</f>
        <v>#N/A</v>
      </c>
      <c r="E111" s="396" t="e">
        <f ca="1">_xlfn.CONCAT(Tableau1[[#This Row],[POL]],"-",Tableau1[[#This Row],[Carrier]],"-",Tableau1[[#This Row],[POD]])</f>
        <v>#N/A</v>
      </c>
      <c r="F111" s="64" t="str">
        <f>_xlfn.CONCAT(Tableau1[[#This Row],[ID]],"-","Actif")</f>
        <v>-Actif</v>
      </c>
      <c r="G111" s="64" t="e">
        <f ca="1">_xlfn.CONCAT(Tableau1[[#This Row],[POD]],"-",Tableau1[[#This Row],[Code PFI]],"-",Tableau1[[#This Row],[Compte Consignee]])</f>
        <v>#N/A</v>
      </c>
      <c r="H11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1" s="397" t="str">
        <f ca="1">IF(COUNTIF(I:I,Tableau1[[#This Row],[Plant-ILN-shipper-POL-Carrier-POD-PFI]])=1,"Non","Oui")</f>
        <v>Oui</v>
      </c>
      <c r="K111" s="398" t="e">
        <f>VLOOKUP(Tableau1[[#This Row],[Name Site]],Plant_AILN!A:D,4,FALSE)</f>
        <v>#N/A</v>
      </c>
      <c r="L111" s="285"/>
      <c r="M111" s="480" t="e">
        <f>VLOOKUP(Tableau1[[#This Row],[Name Site]],Plant_AILN!A:C,3,FALSE)</f>
        <v>#N/A</v>
      </c>
      <c r="N111" s="55" t="e">
        <f>VLOOKUP(Tableau1[[#This Row],[Compte Consignee]],Order!C:D,2,FALSE)</f>
        <v>#N/A</v>
      </c>
      <c r="O111" s="114"/>
      <c r="P111" s="481" t="e">
        <f>VLOOKUP(Tableau1[[#This Row],[Name ILN]],Plant_AILN!F:G,2,FALSE)</f>
        <v>#N/A</v>
      </c>
      <c r="Q111" s="50" t="e">
        <f>VLOOKUP(Tableau1[[#This Row],[Compte ILN]],'DATA ILN'!D:I,6,FALSE)</f>
        <v>#N/A</v>
      </c>
      <c r="R111" s="50" t="e">
        <f>IFERROR(VLOOKUP(Tableau1[[#This Row],[Key(Compte ILN - shipper - POL - plant)]],'DATA ILN'!A:J,10,FALSE),VLOOKUP(Tableau1[[#This Row],[Key(Compte ILN - shipper - POL)]],'DATA ILN'!B:J,9,FALSE))</f>
        <v>#N/A</v>
      </c>
      <c r="S111" s="50" t="e">
        <f>IFERROR(VLOOKUP(Tableau1[[#This Row],[Key(Compte ILN - shipper - POL - plant)]],'DATA ILN'!A:K,11,FALSE),VLOOKUP(Tableau1[[#This Row],[Key(Compte ILN - shipper - POL)]],'DATA ILN'!B:K,10,FALSE))</f>
        <v>#N/A</v>
      </c>
      <c r="T111" s="50" t="e">
        <f>IFERROR(VLOOKUP(Tableau1[[#This Row],[Key(Compte ILN - shipper - POL - plant)]],'DATA ILN'!A:L,12,FALSE),VLOOKUP(Tableau1[[#This Row],[Key(Compte ILN - shipper - POL)]],'DATA ILN'!B:L,11,FALSE))</f>
        <v>#N/A</v>
      </c>
      <c r="U111" s="50" t="e">
        <f>Tableau1[[#This Row],[Day ILN Order]]+Tableau1[[#This Row],[Delivery time to ILN/Shipper]]-1</f>
        <v>#N/A</v>
      </c>
      <c r="V111" s="50" t="e">
        <f>IFERROR(VLOOKUP(Tableau1[[#This Row],[Key(Compte ILN - shipper - POL - plant)]],'DATA ILN'!A:N,14,FALSE),VLOOKUP(Tableau1[[#This Row],[Key(Compte ILN - shipper - POL)]],'DATA ILN'!B:N,13,FALSE))</f>
        <v>#N/A</v>
      </c>
      <c r="W111" s="53" t="e">
        <f>IFERROR(VLOOKUP(Tableau1[[#This Row],[Key(Compte ILN - shipper - POL - plant)]],'DATA ILN'!A:P,16,FALSE),VLOOKUP(Tableau1[[#This Row],[Key(Compte ILN - shipper - POL)]],'DATA ILN'!B:P,15,FALSE))</f>
        <v>#N/A</v>
      </c>
      <c r="X111" s="283"/>
      <c r="Y111" s="482">
        <f>IFERROR(VLOOKUP(Tableau1[[#This Row],[Name Shipper]],Plant_AILN!L:M,2,FALSE),0)</f>
        <v>0</v>
      </c>
      <c r="Z111" s="358"/>
      <c r="AA111" s="353" t="e">
        <f ca="1">VLOOKUP(Tableau1[[#This Row],[Key(ID-Actif)]],'DATA BTO'!A:N,5,FALSE)</f>
        <v>#N/A</v>
      </c>
      <c r="AB111" s="3" t="e">
        <f ca="1">VLOOKUP(Tableau1[[#This Row],[Key(ID-Actif)]],'DATA BTO'!A:N,6,FALSE)</f>
        <v>#N/A</v>
      </c>
      <c r="AC111" s="50" t="e">
        <f ca="1">VLOOKUP(Tableau1[[#This Row],[Key(ID-Actif)]],'DATA BTO'!A:N,7,FALSE)</f>
        <v>#N/A</v>
      </c>
      <c r="AD111" s="50" t="e">
        <f ca="1">VLOOKUP(Tableau1[[#This Row],[Key(ID-Actif)]],'DATA BTO'!A:N,8,FALSE)</f>
        <v>#N/A</v>
      </c>
      <c r="AE111" s="50" t="e">
        <f ca="1">IF(Tableau1[[#This Row],[First Day to POL]]&lt;=Tableau1[[#This Row],[Day Cut Off]],Tableau1[[#This Row],[Day ETD]],Tableau1[[#This Row],[Day ETD]]+7)</f>
        <v>#N/A</v>
      </c>
      <c r="AF111" s="50" t="e">
        <f ca="1">VLOOKUP(Tableau1[[#This Row],[Key(ID-Actif)]],'DATA BTO'!A:N,9,FALSE)</f>
        <v>#N/A</v>
      </c>
      <c r="AG111" s="3" t="e">
        <f ca="1">VLOOKUP(Tableau1[[#This Row],[Key(ID-Actif)]],'DATA BTO'!A:N,10,FALSE)</f>
        <v>#N/A</v>
      </c>
      <c r="AH111" s="3" t="e">
        <f ca="1">VLOOKUP(Tableau1[[#This Row],[Key(ID-Actif)]],'DATA BTO'!A:N,11,FALSE)</f>
        <v>#N/A</v>
      </c>
      <c r="AI111" s="50" t="e">
        <f ca="1">VLOOKUP(Tableau1[[#This Row],[Key(ID-Actif)]],'DATA BTO'!A:N,12,FALSE)</f>
        <v>#N/A</v>
      </c>
      <c r="AJ111" s="53" t="e">
        <f ca="1">VLOOKUP(Tableau1[[#This Row],[Key(ID-Actif)]],'DATA BTO'!A:N,14,FALSE)</f>
        <v>#N/A</v>
      </c>
      <c r="AK111" s="54" t="e">
        <f ca="1">VLOOKUP(Tableau1[[#This Row],[Key(POD -PFI- Usine)]],'DATA Consignee'!A:F,6,FALSE)</f>
        <v>#N/A</v>
      </c>
      <c r="AL111" s="125"/>
      <c r="AM111" s="483" t="str">
        <f>IF(Tableau1[[#This Row],[Name PFI/CDD]]="","-",VLOOKUP(Tableau1[[#This Row],[Name PFI/CDD]],Plant_AILN!I:J,2,FALSE))</f>
        <v>-</v>
      </c>
      <c r="AN11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1" s="2" t="e">
        <f ca="1">VLOOKUP(Tableau1[[#This Row],[Key(POD -PFI- Usine)]],'DATA Consignee'!A:J,10,FALSE)</f>
        <v>#N/A</v>
      </c>
      <c r="AQ111" s="50" t="e">
        <f ca="1">VLOOKUP(Tableau1[[#This Row],[Key(POD -PFI- Usine)]],'DATA Consignee'!A:N,14,FALSE)</f>
        <v>#N/A</v>
      </c>
      <c r="AR11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1" s="50" t="e">
        <f ca="1">Tableau1[[#This Row],[Transit time]]+Tableau1[[#This Row],[Time for security]]+Tableau1[[#This Row],[Time for security2 buffer]]</f>
        <v>#N/A</v>
      </c>
      <c r="AU11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1" s="389" t="e">
        <f ca="1">Tableau1[[#This Row],[Leadtime SI2C]]+Tableau1[[#This Row],[First Receipt Days]]-Tableau1[[#This Row],[Day Customer Order]]+1</f>
        <v>#N/A</v>
      </c>
      <c r="AW111" s="117" t="e">
        <f ca="1">IF(Tableau1[[#This Row],[Name ILN]]&lt;&gt;"SFK Freight Forwarder",Tableau1[[#This Row],[Cust. Leadtime]],Tableau1[[#This Row],[Leadtime SI2C]])</f>
        <v>#N/A</v>
      </c>
      <c r="AX111" s="51" t="e">
        <f>VLOOKUP(Tableau1[[#This Row],[ID]],'DATA BTO'!B:P,15,FALSE)</f>
        <v>#N/A</v>
      </c>
      <c r="AY111" s="328" t="e">
        <f ca="1">IFERROR(VLOOKUP(Tableau1[[#This Row],[Key(ID-Actif)]],'DATA BTO'!A:N,4,FALSE),VLOOKUP(Tableau1[[#This Row],[ID]],'DATA BTO'!B:N,3,FALSE))</f>
        <v>#N/A</v>
      </c>
      <c r="AZ11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1" s="50"/>
    </row>
    <row r="112" spans="2:57">
      <c r="B112" s="65" t="str">
        <f>_xlfn.CONCAT(Tableau1[[#This Row],[Name ILN]],"-",Tableau1[[#This Row],[Name Shipper]],"-",Tableau1[[#This Row],[Name Site]])</f>
        <v>--</v>
      </c>
      <c r="C112" s="65" t="e">
        <f>_xlfn.CONCAT(Tableau1[[#This Row],[Compte ILN]],"-",Tableau1[[#This Row],[Compte Shipper]],"-",Tableau1[[#This Row],[POL]],"-",Tableau1[[#This Row],[Compte Consignee]])</f>
        <v>#N/A</v>
      </c>
      <c r="D112" s="64" t="e">
        <f>_xlfn.CONCAT(Tableau1[[#This Row],[Compte ILN]],"-",Tableau1[[#This Row],[Compte Shipper]],"-",Tableau1[[#This Row],[POL]])</f>
        <v>#N/A</v>
      </c>
      <c r="E112" s="396" t="e">
        <f ca="1">_xlfn.CONCAT(Tableau1[[#This Row],[POL]],"-",Tableau1[[#This Row],[Carrier]],"-",Tableau1[[#This Row],[POD]])</f>
        <v>#N/A</v>
      </c>
      <c r="F112" s="64" t="str">
        <f>_xlfn.CONCAT(Tableau1[[#This Row],[ID]],"-","Actif")</f>
        <v>-Actif</v>
      </c>
      <c r="G112" s="64" t="e">
        <f ca="1">_xlfn.CONCAT(Tableau1[[#This Row],[POD]],"-",Tableau1[[#This Row],[Code PFI]],"-",Tableau1[[#This Row],[Compte Consignee]])</f>
        <v>#N/A</v>
      </c>
      <c r="H11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2" s="397" t="str">
        <f ca="1">IF(COUNTIF(I:I,Tableau1[[#This Row],[Plant-ILN-shipper-POL-Carrier-POD-PFI]])=1,"Non","Oui")</f>
        <v>Oui</v>
      </c>
      <c r="K112" s="398" t="e">
        <f>VLOOKUP(Tableau1[[#This Row],[Name Site]],Plant_AILN!A:D,4,FALSE)</f>
        <v>#N/A</v>
      </c>
      <c r="L112" s="285"/>
      <c r="M112" s="480" t="e">
        <f>VLOOKUP(Tableau1[[#This Row],[Name Site]],Plant_AILN!A:C,3,FALSE)</f>
        <v>#N/A</v>
      </c>
      <c r="N112" s="55" t="e">
        <f>VLOOKUP(Tableau1[[#This Row],[Compte Consignee]],Order!C:D,2,FALSE)</f>
        <v>#N/A</v>
      </c>
      <c r="O112" s="114"/>
      <c r="P112" s="481" t="e">
        <f>VLOOKUP(Tableau1[[#This Row],[Name ILN]],Plant_AILN!F:G,2,FALSE)</f>
        <v>#N/A</v>
      </c>
      <c r="Q112" s="50" t="e">
        <f>VLOOKUP(Tableau1[[#This Row],[Compte ILN]],'DATA ILN'!D:I,6,FALSE)</f>
        <v>#N/A</v>
      </c>
      <c r="R112" s="50" t="e">
        <f>IFERROR(VLOOKUP(Tableau1[[#This Row],[Key(Compte ILN - shipper - POL - plant)]],'DATA ILN'!A:J,10,FALSE),VLOOKUP(Tableau1[[#This Row],[Key(Compte ILN - shipper - POL)]],'DATA ILN'!B:J,9,FALSE))</f>
        <v>#N/A</v>
      </c>
      <c r="S112" s="50" t="e">
        <f>IFERROR(VLOOKUP(Tableau1[[#This Row],[Key(Compte ILN - shipper - POL - plant)]],'DATA ILN'!A:K,11,FALSE),VLOOKUP(Tableau1[[#This Row],[Key(Compte ILN - shipper - POL)]],'DATA ILN'!B:K,10,FALSE))</f>
        <v>#N/A</v>
      </c>
      <c r="T112" s="50" t="e">
        <f>IFERROR(VLOOKUP(Tableau1[[#This Row],[Key(Compte ILN - shipper - POL - plant)]],'DATA ILN'!A:L,12,FALSE),VLOOKUP(Tableau1[[#This Row],[Key(Compte ILN - shipper - POL)]],'DATA ILN'!B:L,11,FALSE))</f>
        <v>#N/A</v>
      </c>
      <c r="U112" s="50" t="e">
        <f>Tableau1[[#This Row],[Day ILN Order]]+Tableau1[[#This Row],[Delivery time to ILN/Shipper]]-1</f>
        <v>#N/A</v>
      </c>
      <c r="V112" s="50" t="e">
        <f>IFERROR(VLOOKUP(Tableau1[[#This Row],[Key(Compte ILN - shipper - POL - plant)]],'DATA ILN'!A:N,14,FALSE),VLOOKUP(Tableau1[[#This Row],[Key(Compte ILN - shipper - POL)]],'DATA ILN'!B:N,13,FALSE))</f>
        <v>#N/A</v>
      </c>
      <c r="W112" s="53" t="e">
        <f>IFERROR(VLOOKUP(Tableau1[[#This Row],[Key(Compte ILN - shipper - POL - plant)]],'DATA ILN'!A:P,16,FALSE),VLOOKUP(Tableau1[[#This Row],[Key(Compte ILN - shipper - POL)]],'DATA ILN'!B:P,15,FALSE))</f>
        <v>#N/A</v>
      </c>
      <c r="X112" s="100"/>
      <c r="Y112" s="482">
        <f>IFERROR(VLOOKUP(Tableau1[[#This Row],[Name Shipper]],Plant_AILN!L:M,2,FALSE),0)</f>
        <v>0</v>
      </c>
      <c r="Z112" s="358"/>
      <c r="AA112" s="353" t="e">
        <f ca="1">VLOOKUP(Tableau1[[#This Row],[Key(ID-Actif)]],'DATA BTO'!A:N,5,FALSE)</f>
        <v>#N/A</v>
      </c>
      <c r="AB112" s="3" t="e">
        <f ca="1">VLOOKUP(Tableau1[[#This Row],[Key(ID-Actif)]],'DATA BTO'!A:N,6,FALSE)</f>
        <v>#N/A</v>
      </c>
      <c r="AC112" s="50" t="e">
        <f ca="1">VLOOKUP(Tableau1[[#This Row],[Key(ID-Actif)]],'DATA BTO'!A:N,7,FALSE)</f>
        <v>#N/A</v>
      </c>
      <c r="AD112" s="50" t="e">
        <f ca="1">VLOOKUP(Tableau1[[#This Row],[Key(ID-Actif)]],'DATA BTO'!A:N,8,FALSE)</f>
        <v>#N/A</v>
      </c>
      <c r="AE112" s="50" t="e">
        <f ca="1">IF(Tableau1[[#This Row],[First Day to POL]]&lt;=Tableau1[[#This Row],[Day Cut Off]],Tableau1[[#This Row],[Day ETD]],Tableau1[[#This Row],[Day ETD]]+7)</f>
        <v>#N/A</v>
      </c>
      <c r="AF112" s="50" t="e">
        <f ca="1">VLOOKUP(Tableau1[[#This Row],[Key(ID-Actif)]],'DATA BTO'!A:N,9,FALSE)</f>
        <v>#N/A</v>
      </c>
      <c r="AG112" s="3" t="e">
        <f ca="1">VLOOKUP(Tableau1[[#This Row],[Key(ID-Actif)]],'DATA BTO'!A:N,10,FALSE)</f>
        <v>#N/A</v>
      </c>
      <c r="AH112" s="3" t="e">
        <f ca="1">VLOOKUP(Tableau1[[#This Row],[Key(ID-Actif)]],'DATA BTO'!A:N,11,FALSE)</f>
        <v>#N/A</v>
      </c>
      <c r="AI112" s="50" t="e">
        <f ca="1">VLOOKUP(Tableau1[[#This Row],[Key(ID-Actif)]],'DATA BTO'!A:N,12,FALSE)</f>
        <v>#N/A</v>
      </c>
      <c r="AJ112" s="53" t="e">
        <f ca="1">VLOOKUP(Tableau1[[#This Row],[Key(ID-Actif)]],'DATA BTO'!A:N,14,FALSE)</f>
        <v>#N/A</v>
      </c>
      <c r="AK112" s="54" t="e">
        <f ca="1">VLOOKUP(Tableau1[[#This Row],[Key(POD -PFI- Usine)]],'DATA Consignee'!A:F,6,FALSE)</f>
        <v>#N/A</v>
      </c>
      <c r="AL112" s="125"/>
      <c r="AM112" s="483" t="str">
        <f>IF(Tableau1[[#This Row],[Name PFI/CDD]]="","-",VLOOKUP(Tableau1[[#This Row],[Name PFI/CDD]],Plant_AILN!I:J,2,FALSE))</f>
        <v>-</v>
      </c>
      <c r="AN11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2" s="2" t="e">
        <f ca="1">VLOOKUP(Tableau1[[#This Row],[Key(POD -PFI- Usine)]],'DATA Consignee'!A:J,10,FALSE)</f>
        <v>#N/A</v>
      </c>
      <c r="AQ112" s="50" t="e">
        <f ca="1">VLOOKUP(Tableau1[[#This Row],[Key(POD -PFI- Usine)]],'DATA Consignee'!A:N,14,FALSE)</f>
        <v>#N/A</v>
      </c>
      <c r="AR11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2" s="50" t="e">
        <f ca="1">Tableau1[[#This Row],[Transit time]]+Tableau1[[#This Row],[Time for security]]+Tableau1[[#This Row],[Time for security2 buffer]]</f>
        <v>#N/A</v>
      </c>
      <c r="AU11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2" s="389" t="e">
        <f ca="1">Tableau1[[#This Row],[Leadtime SI2C]]+Tableau1[[#This Row],[First Receipt Days]]-Tableau1[[#This Row],[Day Customer Order]]+1</f>
        <v>#N/A</v>
      </c>
      <c r="AW112" s="117" t="e">
        <f ca="1">IF(Tableau1[[#This Row],[Name ILN]]&lt;&gt;"SFK Freight Forwarder",Tableau1[[#This Row],[Cust. Leadtime]],Tableau1[[#This Row],[Leadtime SI2C]])</f>
        <v>#N/A</v>
      </c>
      <c r="AX112" s="51" t="e">
        <f>VLOOKUP(Tableau1[[#This Row],[ID]],'DATA BTO'!B:P,15,FALSE)</f>
        <v>#N/A</v>
      </c>
      <c r="AY112" s="328" t="e">
        <f ca="1">IFERROR(VLOOKUP(Tableau1[[#This Row],[Key(ID-Actif)]],'DATA BTO'!A:N,4,FALSE),VLOOKUP(Tableau1[[#This Row],[ID]],'DATA BTO'!B:N,3,FALSE))</f>
        <v>#N/A</v>
      </c>
      <c r="AZ11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2" s="50"/>
    </row>
    <row r="113" spans="2:57">
      <c r="B113" s="65" t="str">
        <f>_xlfn.CONCAT(Tableau1[[#This Row],[Name ILN]],"-",Tableau1[[#This Row],[Name Shipper]],"-",Tableau1[[#This Row],[Name Site]])</f>
        <v>--</v>
      </c>
      <c r="C113" s="65" t="e">
        <f>_xlfn.CONCAT(Tableau1[[#This Row],[Compte ILN]],"-",Tableau1[[#This Row],[Compte Shipper]],"-",Tableau1[[#This Row],[POL]],"-",Tableau1[[#This Row],[Compte Consignee]])</f>
        <v>#N/A</v>
      </c>
      <c r="D113" s="64" t="e">
        <f>_xlfn.CONCAT(Tableau1[[#This Row],[Compte ILN]],"-",Tableau1[[#This Row],[Compte Shipper]],"-",Tableau1[[#This Row],[POL]])</f>
        <v>#N/A</v>
      </c>
      <c r="E113" s="396" t="e">
        <f ca="1">_xlfn.CONCAT(Tableau1[[#This Row],[POL]],"-",Tableau1[[#This Row],[Carrier]],"-",Tableau1[[#This Row],[POD]])</f>
        <v>#N/A</v>
      </c>
      <c r="F113" s="64" t="str">
        <f>_xlfn.CONCAT(Tableau1[[#This Row],[ID]],"-","Actif")</f>
        <v>-Actif</v>
      </c>
      <c r="G113" s="64" t="e">
        <f ca="1">_xlfn.CONCAT(Tableau1[[#This Row],[POD]],"-",Tableau1[[#This Row],[Code PFI]],"-",Tableau1[[#This Row],[Compte Consignee]])</f>
        <v>#N/A</v>
      </c>
      <c r="H11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3" s="397" t="str">
        <f ca="1">IF(COUNTIF(I:I,Tableau1[[#This Row],[Plant-ILN-shipper-POL-Carrier-POD-PFI]])=1,"Non","Oui")</f>
        <v>Oui</v>
      </c>
      <c r="K113" s="398" t="e">
        <f>VLOOKUP(Tableau1[[#This Row],[Name Site]],Plant_AILN!A:D,4,FALSE)</f>
        <v>#N/A</v>
      </c>
      <c r="L113" s="285"/>
      <c r="M113" s="480" t="e">
        <f>VLOOKUP(Tableau1[[#This Row],[Name Site]],Plant_AILN!A:C,3,FALSE)</f>
        <v>#N/A</v>
      </c>
      <c r="N113" s="55" t="e">
        <f>VLOOKUP(Tableau1[[#This Row],[Compte Consignee]],Order!C:D,2,FALSE)</f>
        <v>#N/A</v>
      </c>
      <c r="O113" s="114"/>
      <c r="P113" s="481" t="e">
        <f>VLOOKUP(Tableau1[[#This Row],[Name ILN]],Plant_AILN!F:G,2,FALSE)</f>
        <v>#N/A</v>
      </c>
      <c r="Q113" s="50" t="e">
        <f>VLOOKUP(Tableau1[[#This Row],[Compte ILN]],'DATA ILN'!D:I,6,FALSE)</f>
        <v>#N/A</v>
      </c>
      <c r="R113" s="50" t="e">
        <f>IFERROR(VLOOKUP(Tableau1[[#This Row],[Key(Compte ILN - shipper - POL - plant)]],'DATA ILN'!A:J,10,FALSE),VLOOKUP(Tableau1[[#This Row],[Key(Compte ILN - shipper - POL)]],'DATA ILN'!B:J,9,FALSE))</f>
        <v>#N/A</v>
      </c>
      <c r="S113" s="50" t="e">
        <f>IFERROR(VLOOKUP(Tableau1[[#This Row],[Key(Compte ILN - shipper - POL - plant)]],'DATA ILN'!A:K,11,FALSE),VLOOKUP(Tableau1[[#This Row],[Key(Compte ILN - shipper - POL)]],'DATA ILN'!B:K,10,FALSE))</f>
        <v>#N/A</v>
      </c>
      <c r="T113" s="50" t="e">
        <f>IFERROR(VLOOKUP(Tableau1[[#This Row],[Key(Compte ILN - shipper - POL - plant)]],'DATA ILN'!A:L,12,FALSE),VLOOKUP(Tableau1[[#This Row],[Key(Compte ILN - shipper - POL)]],'DATA ILN'!B:L,11,FALSE))</f>
        <v>#N/A</v>
      </c>
      <c r="U113" s="50" t="e">
        <f>Tableau1[[#This Row],[Day ILN Order]]+Tableau1[[#This Row],[Delivery time to ILN/Shipper]]-1</f>
        <v>#N/A</v>
      </c>
      <c r="V113" s="50" t="e">
        <f>IFERROR(VLOOKUP(Tableau1[[#This Row],[Key(Compte ILN - shipper - POL - plant)]],'DATA ILN'!A:N,14,FALSE),VLOOKUP(Tableau1[[#This Row],[Key(Compte ILN - shipper - POL)]],'DATA ILN'!B:N,13,FALSE))</f>
        <v>#N/A</v>
      </c>
      <c r="W113" s="53" t="e">
        <f>IFERROR(VLOOKUP(Tableau1[[#This Row],[Key(Compte ILN - shipper - POL - plant)]],'DATA ILN'!A:P,16,FALSE),VLOOKUP(Tableau1[[#This Row],[Key(Compte ILN - shipper - POL)]],'DATA ILN'!B:P,15,FALSE))</f>
        <v>#N/A</v>
      </c>
      <c r="X113" s="283"/>
      <c r="Y113" s="482">
        <f>IFERROR(VLOOKUP(Tableau1[[#This Row],[Name Shipper]],Plant_AILN!L:M,2,FALSE),0)</f>
        <v>0</v>
      </c>
      <c r="Z113" s="358"/>
      <c r="AA113" s="353" t="e">
        <f ca="1">VLOOKUP(Tableau1[[#This Row],[Key(ID-Actif)]],'DATA BTO'!A:N,5,FALSE)</f>
        <v>#N/A</v>
      </c>
      <c r="AB113" s="3" t="e">
        <f ca="1">VLOOKUP(Tableau1[[#This Row],[Key(ID-Actif)]],'DATA BTO'!A:N,6,FALSE)</f>
        <v>#N/A</v>
      </c>
      <c r="AC113" s="50" t="e">
        <f ca="1">VLOOKUP(Tableau1[[#This Row],[Key(ID-Actif)]],'DATA BTO'!A:N,7,FALSE)</f>
        <v>#N/A</v>
      </c>
      <c r="AD113" s="50" t="e">
        <f ca="1">VLOOKUP(Tableau1[[#This Row],[Key(ID-Actif)]],'DATA BTO'!A:N,8,FALSE)</f>
        <v>#N/A</v>
      </c>
      <c r="AE113" s="50" t="e">
        <f ca="1">IF(Tableau1[[#This Row],[First Day to POL]]&lt;=Tableau1[[#This Row],[Day Cut Off]],Tableau1[[#This Row],[Day ETD]],Tableau1[[#This Row],[Day ETD]]+7)</f>
        <v>#N/A</v>
      </c>
      <c r="AF113" s="50" t="e">
        <f ca="1">VLOOKUP(Tableau1[[#This Row],[Key(ID-Actif)]],'DATA BTO'!A:N,9,FALSE)</f>
        <v>#N/A</v>
      </c>
      <c r="AG113" s="3" t="e">
        <f ca="1">VLOOKUP(Tableau1[[#This Row],[Key(ID-Actif)]],'DATA BTO'!A:N,10,FALSE)</f>
        <v>#N/A</v>
      </c>
      <c r="AH113" s="3" t="e">
        <f ca="1">VLOOKUP(Tableau1[[#This Row],[Key(ID-Actif)]],'DATA BTO'!A:N,11,FALSE)</f>
        <v>#N/A</v>
      </c>
      <c r="AI113" s="50" t="e">
        <f ca="1">VLOOKUP(Tableau1[[#This Row],[Key(ID-Actif)]],'DATA BTO'!A:N,12,FALSE)</f>
        <v>#N/A</v>
      </c>
      <c r="AJ113" s="53" t="e">
        <f ca="1">VLOOKUP(Tableau1[[#This Row],[Key(ID-Actif)]],'DATA BTO'!A:N,14,FALSE)</f>
        <v>#N/A</v>
      </c>
      <c r="AK113" s="54" t="e">
        <f ca="1">VLOOKUP(Tableau1[[#This Row],[Key(POD -PFI- Usine)]],'DATA Consignee'!A:F,6,FALSE)</f>
        <v>#N/A</v>
      </c>
      <c r="AL113" s="125"/>
      <c r="AM113" s="483" t="str">
        <f>IF(Tableau1[[#This Row],[Name PFI/CDD]]="","-",VLOOKUP(Tableau1[[#This Row],[Name PFI/CDD]],Plant_AILN!I:J,2,FALSE))</f>
        <v>-</v>
      </c>
      <c r="AN11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3" s="2" t="e">
        <f ca="1">VLOOKUP(Tableau1[[#This Row],[Key(POD -PFI- Usine)]],'DATA Consignee'!A:J,10,FALSE)</f>
        <v>#N/A</v>
      </c>
      <c r="AQ113" s="50" t="e">
        <f ca="1">VLOOKUP(Tableau1[[#This Row],[Key(POD -PFI- Usine)]],'DATA Consignee'!A:N,14,FALSE)</f>
        <v>#N/A</v>
      </c>
      <c r="AR11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3" s="50" t="e">
        <f ca="1">Tableau1[[#This Row],[Transit time]]+Tableau1[[#This Row],[Time for security]]+Tableau1[[#This Row],[Time for security2 buffer]]</f>
        <v>#N/A</v>
      </c>
      <c r="AU11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3" s="389" t="e">
        <f ca="1">Tableau1[[#This Row],[Leadtime SI2C]]+Tableau1[[#This Row],[First Receipt Days]]-Tableau1[[#This Row],[Day Customer Order]]+1</f>
        <v>#N/A</v>
      </c>
      <c r="AW113" s="117" t="e">
        <f ca="1">IF(Tableau1[[#This Row],[Name ILN]]&lt;&gt;"SFK Freight Forwarder",Tableau1[[#This Row],[Cust. Leadtime]],Tableau1[[#This Row],[Leadtime SI2C]])</f>
        <v>#N/A</v>
      </c>
      <c r="AX113" s="51" t="e">
        <f>VLOOKUP(Tableau1[[#This Row],[ID]],'DATA BTO'!B:P,15,FALSE)</f>
        <v>#N/A</v>
      </c>
      <c r="AY113" s="328" t="e">
        <f ca="1">IFERROR(VLOOKUP(Tableau1[[#This Row],[Key(ID-Actif)]],'DATA BTO'!A:N,4,FALSE),VLOOKUP(Tableau1[[#This Row],[ID]],'DATA BTO'!B:N,3,FALSE))</f>
        <v>#N/A</v>
      </c>
      <c r="AZ11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3" s="50"/>
    </row>
    <row r="114" spans="2:57">
      <c r="B114" s="65" t="str">
        <f>_xlfn.CONCAT(Tableau1[[#This Row],[Name ILN]],"-",Tableau1[[#This Row],[Name Shipper]],"-",Tableau1[[#This Row],[Name Site]])</f>
        <v>--</v>
      </c>
      <c r="C114" s="65" t="e">
        <f>_xlfn.CONCAT(Tableau1[[#This Row],[Compte ILN]],"-",Tableau1[[#This Row],[Compte Shipper]],"-",Tableau1[[#This Row],[POL]],"-",Tableau1[[#This Row],[Compte Consignee]])</f>
        <v>#N/A</v>
      </c>
      <c r="D114" s="64" t="e">
        <f>_xlfn.CONCAT(Tableau1[[#This Row],[Compte ILN]],"-",Tableau1[[#This Row],[Compte Shipper]],"-",Tableau1[[#This Row],[POL]])</f>
        <v>#N/A</v>
      </c>
      <c r="E114" s="396" t="e">
        <f ca="1">_xlfn.CONCAT(Tableau1[[#This Row],[POL]],"-",Tableau1[[#This Row],[Carrier]],"-",Tableau1[[#This Row],[POD]])</f>
        <v>#N/A</v>
      </c>
      <c r="F114" s="64" t="str">
        <f>_xlfn.CONCAT(Tableau1[[#This Row],[ID]],"-","Actif")</f>
        <v>-Actif</v>
      </c>
      <c r="G114" s="64" t="e">
        <f ca="1">_xlfn.CONCAT(Tableau1[[#This Row],[POD]],"-",Tableau1[[#This Row],[Code PFI]],"-",Tableau1[[#This Row],[Compte Consignee]])</f>
        <v>#N/A</v>
      </c>
      <c r="H11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4" s="397" t="str">
        <f ca="1">IF(COUNTIF(I:I,Tableau1[[#This Row],[Plant-ILN-shipper-POL-Carrier-POD-PFI]])=1,"Non","Oui")</f>
        <v>Oui</v>
      </c>
      <c r="K114" s="398" t="e">
        <f>VLOOKUP(Tableau1[[#This Row],[Name Site]],Plant_AILN!A:D,4,FALSE)</f>
        <v>#N/A</v>
      </c>
      <c r="L114" s="285"/>
      <c r="M114" s="480" t="e">
        <f>VLOOKUP(Tableau1[[#This Row],[Name Site]],Plant_AILN!A:C,3,FALSE)</f>
        <v>#N/A</v>
      </c>
      <c r="N114" s="55" t="e">
        <f>VLOOKUP(Tableau1[[#This Row],[Compte Consignee]],Order!C:D,2,FALSE)</f>
        <v>#N/A</v>
      </c>
      <c r="O114" s="114"/>
      <c r="P114" s="481" t="e">
        <f>VLOOKUP(Tableau1[[#This Row],[Name ILN]],Plant_AILN!F:G,2,FALSE)</f>
        <v>#N/A</v>
      </c>
      <c r="Q114" s="50" t="e">
        <f>VLOOKUP(Tableau1[[#This Row],[Compte ILN]],'DATA ILN'!D:I,6,FALSE)</f>
        <v>#N/A</v>
      </c>
      <c r="R114" s="50" t="e">
        <f>IFERROR(VLOOKUP(Tableau1[[#This Row],[Key(Compte ILN - shipper - POL - plant)]],'DATA ILN'!A:J,10,FALSE),VLOOKUP(Tableau1[[#This Row],[Key(Compte ILN - shipper - POL)]],'DATA ILN'!B:J,9,FALSE))</f>
        <v>#N/A</v>
      </c>
      <c r="S114" s="50" t="e">
        <f>IFERROR(VLOOKUP(Tableau1[[#This Row],[Key(Compte ILN - shipper - POL - plant)]],'DATA ILN'!A:K,11,FALSE),VLOOKUP(Tableau1[[#This Row],[Key(Compte ILN - shipper - POL)]],'DATA ILN'!B:K,10,FALSE))</f>
        <v>#N/A</v>
      </c>
      <c r="T114" s="50" t="e">
        <f>IFERROR(VLOOKUP(Tableau1[[#This Row],[Key(Compte ILN - shipper - POL - plant)]],'DATA ILN'!A:L,12,FALSE),VLOOKUP(Tableau1[[#This Row],[Key(Compte ILN - shipper - POL)]],'DATA ILN'!B:L,11,FALSE))</f>
        <v>#N/A</v>
      </c>
      <c r="U114" s="50" t="e">
        <f>Tableau1[[#This Row],[Day ILN Order]]+Tableau1[[#This Row],[Delivery time to ILN/Shipper]]-1</f>
        <v>#N/A</v>
      </c>
      <c r="V114" s="50" t="e">
        <f>IFERROR(VLOOKUP(Tableau1[[#This Row],[Key(Compte ILN - shipper - POL - plant)]],'DATA ILN'!A:N,14,FALSE),VLOOKUP(Tableau1[[#This Row],[Key(Compte ILN - shipper - POL)]],'DATA ILN'!B:N,13,FALSE))</f>
        <v>#N/A</v>
      </c>
      <c r="W114" s="53" t="e">
        <f>IFERROR(VLOOKUP(Tableau1[[#This Row],[Key(Compte ILN - shipper - POL - plant)]],'DATA ILN'!A:P,16,FALSE),VLOOKUP(Tableau1[[#This Row],[Key(Compte ILN - shipper - POL)]],'DATA ILN'!B:P,15,FALSE))</f>
        <v>#N/A</v>
      </c>
      <c r="X114" s="283"/>
      <c r="Y114" s="482">
        <f>IFERROR(VLOOKUP(Tableau1[[#This Row],[Name Shipper]],Plant_AILN!L:M,2,FALSE),0)</f>
        <v>0</v>
      </c>
      <c r="Z114" s="358"/>
      <c r="AA114" s="353" t="e">
        <f ca="1">VLOOKUP(Tableau1[[#This Row],[Key(ID-Actif)]],'DATA BTO'!A:N,5,FALSE)</f>
        <v>#N/A</v>
      </c>
      <c r="AB114" s="3" t="e">
        <f ca="1">VLOOKUP(Tableau1[[#This Row],[Key(ID-Actif)]],'DATA BTO'!A:N,6,FALSE)</f>
        <v>#N/A</v>
      </c>
      <c r="AC114" s="50" t="e">
        <f ca="1">VLOOKUP(Tableau1[[#This Row],[Key(ID-Actif)]],'DATA BTO'!A:N,7,FALSE)</f>
        <v>#N/A</v>
      </c>
      <c r="AD114" s="50" t="e">
        <f ca="1">VLOOKUP(Tableau1[[#This Row],[Key(ID-Actif)]],'DATA BTO'!A:N,8,FALSE)</f>
        <v>#N/A</v>
      </c>
      <c r="AE114" s="50" t="e">
        <f ca="1">IF(Tableau1[[#This Row],[First Day to POL]]&lt;=Tableau1[[#This Row],[Day Cut Off]],Tableau1[[#This Row],[Day ETD]],Tableau1[[#This Row],[Day ETD]]+7)</f>
        <v>#N/A</v>
      </c>
      <c r="AF114" s="50" t="e">
        <f ca="1">VLOOKUP(Tableau1[[#This Row],[Key(ID-Actif)]],'DATA BTO'!A:N,9,FALSE)</f>
        <v>#N/A</v>
      </c>
      <c r="AG114" s="3" t="e">
        <f ca="1">VLOOKUP(Tableau1[[#This Row],[Key(ID-Actif)]],'DATA BTO'!A:N,10,FALSE)</f>
        <v>#N/A</v>
      </c>
      <c r="AH114" s="3" t="e">
        <f ca="1">VLOOKUP(Tableau1[[#This Row],[Key(ID-Actif)]],'DATA BTO'!A:N,11,FALSE)</f>
        <v>#N/A</v>
      </c>
      <c r="AI114" s="50" t="e">
        <f ca="1">VLOOKUP(Tableau1[[#This Row],[Key(ID-Actif)]],'DATA BTO'!A:N,12,FALSE)</f>
        <v>#N/A</v>
      </c>
      <c r="AJ114" s="53" t="e">
        <f ca="1">VLOOKUP(Tableau1[[#This Row],[Key(ID-Actif)]],'DATA BTO'!A:N,14,FALSE)</f>
        <v>#N/A</v>
      </c>
      <c r="AK114" s="54" t="e">
        <f ca="1">VLOOKUP(Tableau1[[#This Row],[Key(POD -PFI- Usine)]],'DATA Consignee'!A:F,6,FALSE)</f>
        <v>#N/A</v>
      </c>
      <c r="AL114" s="125"/>
      <c r="AM114" s="483" t="str">
        <f>IF(Tableau1[[#This Row],[Name PFI/CDD]]="","-",VLOOKUP(Tableau1[[#This Row],[Name PFI/CDD]],Plant_AILN!I:J,2,FALSE))</f>
        <v>-</v>
      </c>
      <c r="AN11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4" s="2" t="e">
        <f ca="1">VLOOKUP(Tableau1[[#This Row],[Key(POD -PFI- Usine)]],'DATA Consignee'!A:J,10,FALSE)</f>
        <v>#N/A</v>
      </c>
      <c r="AQ114" s="50" t="e">
        <f ca="1">VLOOKUP(Tableau1[[#This Row],[Key(POD -PFI- Usine)]],'DATA Consignee'!A:N,14,FALSE)</f>
        <v>#N/A</v>
      </c>
      <c r="AR11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4" s="50" t="e">
        <f ca="1">Tableau1[[#This Row],[Transit time]]+Tableau1[[#This Row],[Time for security]]+Tableau1[[#This Row],[Time for security2 buffer]]</f>
        <v>#N/A</v>
      </c>
      <c r="AU11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4" s="389" t="e">
        <f ca="1">Tableau1[[#This Row],[Leadtime SI2C]]+Tableau1[[#This Row],[First Receipt Days]]-Tableau1[[#This Row],[Day Customer Order]]+1</f>
        <v>#N/A</v>
      </c>
      <c r="AW114" s="117" t="e">
        <f ca="1">IF(Tableau1[[#This Row],[Name ILN]]&lt;&gt;"SFK Freight Forwarder",Tableau1[[#This Row],[Cust. Leadtime]],Tableau1[[#This Row],[Leadtime SI2C]])</f>
        <v>#N/A</v>
      </c>
      <c r="AX114" s="51" t="e">
        <f>VLOOKUP(Tableau1[[#This Row],[ID]],'DATA BTO'!B:P,15,FALSE)</f>
        <v>#N/A</v>
      </c>
      <c r="AY114" s="328" t="e">
        <f ca="1">IFERROR(VLOOKUP(Tableau1[[#This Row],[Key(ID-Actif)]],'DATA BTO'!A:N,4,FALSE),VLOOKUP(Tableau1[[#This Row],[ID]],'DATA BTO'!B:N,3,FALSE))</f>
        <v>#N/A</v>
      </c>
      <c r="AZ11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4" s="50"/>
    </row>
    <row r="115" spans="2:57">
      <c r="B115" s="65" t="str">
        <f>_xlfn.CONCAT(Tableau1[[#This Row],[Name ILN]],"-",Tableau1[[#This Row],[Name Shipper]],"-",Tableau1[[#This Row],[Name Site]])</f>
        <v>--</v>
      </c>
      <c r="C115" s="65" t="e">
        <f>_xlfn.CONCAT(Tableau1[[#This Row],[Compte ILN]],"-",Tableau1[[#This Row],[Compte Shipper]],"-",Tableau1[[#This Row],[POL]],"-",Tableau1[[#This Row],[Compte Consignee]])</f>
        <v>#N/A</v>
      </c>
      <c r="D115" s="64" t="e">
        <f>_xlfn.CONCAT(Tableau1[[#This Row],[Compte ILN]],"-",Tableau1[[#This Row],[Compte Shipper]],"-",Tableau1[[#This Row],[POL]])</f>
        <v>#N/A</v>
      </c>
      <c r="E115" s="396" t="e">
        <f ca="1">_xlfn.CONCAT(Tableau1[[#This Row],[POL]],"-",Tableau1[[#This Row],[Carrier]],"-",Tableau1[[#This Row],[POD]])</f>
        <v>#N/A</v>
      </c>
      <c r="F115" s="64" t="str">
        <f>_xlfn.CONCAT(Tableau1[[#This Row],[ID]],"-","Actif")</f>
        <v>-Actif</v>
      </c>
      <c r="G115" s="64" t="e">
        <f ca="1">_xlfn.CONCAT(Tableau1[[#This Row],[POD]],"-",Tableau1[[#This Row],[Code PFI]],"-",Tableau1[[#This Row],[Compte Consignee]])</f>
        <v>#N/A</v>
      </c>
      <c r="H11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5" s="397" t="str">
        <f ca="1">IF(COUNTIF(I:I,Tableau1[[#This Row],[Plant-ILN-shipper-POL-Carrier-POD-PFI]])=1,"Non","Oui")</f>
        <v>Oui</v>
      </c>
      <c r="K115" s="398" t="e">
        <f>VLOOKUP(Tableau1[[#This Row],[Name Site]],Plant_AILN!A:D,4,FALSE)</f>
        <v>#N/A</v>
      </c>
      <c r="L115" s="285"/>
      <c r="M115" s="480" t="e">
        <f>VLOOKUP(Tableau1[[#This Row],[Name Site]],Plant_AILN!A:C,3,FALSE)</f>
        <v>#N/A</v>
      </c>
      <c r="N115" s="55" t="e">
        <f>VLOOKUP(Tableau1[[#This Row],[Compte Consignee]],Order!C:D,2,FALSE)</f>
        <v>#N/A</v>
      </c>
      <c r="O115" s="114"/>
      <c r="P115" s="481" t="e">
        <f>VLOOKUP(Tableau1[[#This Row],[Name ILN]],Plant_AILN!F:G,2,FALSE)</f>
        <v>#N/A</v>
      </c>
      <c r="Q115" s="50" t="e">
        <f>VLOOKUP(Tableau1[[#This Row],[Compte ILN]],'DATA ILN'!D:I,6,FALSE)</f>
        <v>#N/A</v>
      </c>
      <c r="R115" s="50" t="e">
        <f>IFERROR(VLOOKUP(Tableau1[[#This Row],[Key(Compte ILN - shipper - POL - plant)]],'DATA ILN'!A:J,10,FALSE),VLOOKUP(Tableau1[[#This Row],[Key(Compte ILN - shipper - POL)]],'DATA ILN'!B:J,9,FALSE))</f>
        <v>#N/A</v>
      </c>
      <c r="S115" s="50" t="e">
        <f>IFERROR(VLOOKUP(Tableau1[[#This Row],[Key(Compte ILN - shipper - POL - plant)]],'DATA ILN'!A:K,11,FALSE),VLOOKUP(Tableau1[[#This Row],[Key(Compte ILN - shipper - POL)]],'DATA ILN'!B:K,10,FALSE))</f>
        <v>#N/A</v>
      </c>
      <c r="T115" s="50" t="e">
        <f>IFERROR(VLOOKUP(Tableau1[[#This Row],[Key(Compte ILN - shipper - POL - plant)]],'DATA ILN'!A:L,12,FALSE),VLOOKUP(Tableau1[[#This Row],[Key(Compte ILN - shipper - POL)]],'DATA ILN'!B:L,11,FALSE))</f>
        <v>#N/A</v>
      </c>
      <c r="U115" s="50" t="e">
        <f>Tableau1[[#This Row],[Day ILN Order]]+Tableau1[[#This Row],[Delivery time to ILN/Shipper]]-1</f>
        <v>#N/A</v>
      </c>
      <c r="V115" s="50" t="e">
        <f>IFERROR(VLOOKUP(Tableau1[[#This Row],[Key(Compte ILN - shipper - POL - plant)]],'DATA ILN'!A:N,14,FALSE),VLOOKUP(Tableau1[[#This Row],[Key(Compte ILN - shipper - POL)]],'DATA ILN'!B:N,13,FALSE))</f>
        <v>#N/A</v>
      </c>
      <c r="W115" s="53" t="e">
        <f>IFERROR(VLOOKUP(Tableau1[[#This Row],[Key(Compte ILN - shipper - POL - plant)]],'DATA ILN'!A:P,16,FALSE),VLOOKUP(Tableau1[[#This Row],[Key(Compte ILN - shipper - POL)]],'DATA ILN'!B:P,15,FALSE))</f>
        <v>#N/A</v>
      </c>
      <c r="X115" s="283"/>
      <c r="Y115" s="482">
        <f>IFERROR(VLOOKUP(Tableau1[[#This Row],[Name Shipper]],Plant_AILN!L:M,2,FALSE),0)</f>
        <v>0</v>
      </c>
      <c r="Z115" s="358"/>
      <c r="AA115" s="353" t="e">
        <f ca="1">VLOOKUP(Tableau1[[#This Row],[Key(ID-Actif)]],'DATA BTO'!A:N,5,FALSE)</f>
        <v>#N/A</v>
      </c>
      <c r="AB115" s="3" t="e">
        <f ca="1">VLOOKUP(Tableau1[[#This Row],[Key(ID-Actif)]],'DATA BTO'!A:N,6,FALSE)</f>
        <v>#N/A</v>
      </c>
      <c r="AC115" s="50" t="e">
        <f ca="1">VLOOKUP(Tableau1[[#This Row],[Key(ID-Actif)]],'DATA BTO'!A:N,7,FALSE)</f>
        <v>#N/A</v>
      </c>
      <c r="AD115" s="50" t="e">
        <f ca="1">VLOOKUP(Tableau1[[#This Row],[Key(ID-Actif)]],'DATA BTO'!A:N,8,FALSE)</f>
        <v>#N/A</v>
      </c>
      <c r="AE115" s="50" t="e">
        <f ca="1">IF(Tableau1[[#This Row],[First Day to POL]]&lt;=Tableau1[[#This Row],[Day Cut Off]],Tableau1[[#This Row],[Day ETD]],Tableau1[[#This Row],[Day ETD]]+7)</f>
        <v>#N/A</v>
      </c>
      <c r="AF115" s="50" t="e">
        <f ca="1">VLOOKUP(Tableau1[[#This Row],[Key(ID-Actif)]],'DATA BTO'!A:N,9,FALSE)</f>
        <v>#N/A</v>
      </c>
      <c r="AG115" s="3" t="e">
        <f ca="1">VLOOKUP(Tableau1[[#This Row],[Key(ID-Actif)]],'DATA BTO'!A:N,10,FALSE)</f>
        <v>#N/A</v>
      </c>
      <c r="AH115" s="3" t="e">
        <f ca="1">VLOOKUP(Tableau1[[#This Row],[Key(ID-Actif)]],'DATA BTO'!A:N,11,FALSE)</f>
        <v>#N/A</v>
      </c>
      <c r="AI115" s="50" t="e">
        <f ca="1">VLOOKUP(Tableau1[[#This Row],[Key(ID-Actif)]],'DATA BTO'!A:N,12,FALSE)</f>
        <v>#N/A</v>
      </c>
      <c r="AJ115" s="53" t="e">
        <f ca="1">VLOOKUP(Tableau1[[#This Row],[Key(ID-Actif)]],'DATA BTO'!A:N,14,FALSE)</f>
        <v>#N/A</v>
      </c>
      <c r="AK115" s="54" t="e">
        <f ca="1">VLOOKUP(Tableau1[[#This Row],[Key(POD -PFI- Usine)]],'DATA Consignee'!A:F,6,FALSE)</f>
        <v>#N/A</v>
      </c>
      <c r="AL115" s="125"/>
      <c r="AM115" s="483" t="str">
        <f>IF(Tableau1[[#This Row],[Name PFI/CDD]]="","-",VLOOKUP(Tableau1[[#This Row],[Name PFI/CDD]],Plant_AILN!I:J,2,FALSE))</f>
        <v>-</v>
      </c>
      <c r="AN11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5" s="2" t="e">
        <f ca="1">VLOOKUP(Tableau1[[#This Row],[Key(POD -PFI- Usine)]],'DATA Consignee'!A:J,10,FALSE)</f>
        <v>#N/A</v>
      </c>
      <c r="AQ115" s="50" t="e">
        <f ca="1">VLOOKUP(Tableau1[[#This Row],[Key(POD -PFI- Usine)]],'DATA Consignee'!A:N,14,FALSE)</f>
        <v>#N/A</v>
      </c>
      <c r="AR11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5" s="50" t="e">
        <f ca="1">Tableau1[[#This Row],[Transit time]]+Tableau1[[#This Row],[Time for security]]+Tableau1[[#This Row],[Time for security2 buffer]]</f>
        <v>#N/A</v>
      </c>
      <c r="AU11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5" s="389" t="e">
        <f ca="1">Tableau1[[#This Row],[Leadtime SI2C]]+Tableau1[[#This Row],[First Receipt Days]]-Tableau1[[#This Row],[Day Customer Order]]+1</f>
        <v>#N/A</v>
      </c>
      <c r="AW115" s="117" t="e">
        <f ca="1">IF(Tableau1[[#This Row],[Name ILN]]&lt;&gt;"SFK Freight Forwarder",Tableau1[[#This Row],[Cust. Leadtime]],Tableau1[[#This Row],[Leadtime SI2C]])</f>
        <v>#N/A</v>
      </c>
      <c r="AX115" s="51" t="e">
        <f>VLOOKUP(Tableau1[[#This Row],[ID]],'DATA BTO'!B:P,15,FALSE)</f>
        <v>#N/A</v>
      </c>
      <c r="AY115" s="328" t="e">
        <f ca="1">IFERROR(VLOOKUP(Tableau1[[#This Row],[Key(ID-Actif)]],'DATA BTO'!A:N,4,FALSE),VLOOKUP(Tableau1[[#This Row],[ID]],'DATA BTO'!B:N,3,FALSE))</f>
        <v>#N/A</v>
      </c>
      <c r="AZ11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5" s="50"/>
    </row>
    <row r="116" spans="2:57">
      <c r="B116" s="65" t="str">
        <f>_xlfn.CONCAT(Tableau1[[#This Row],[Name ILN]],"-",Tableau1[[#This Row],[Name Shipper]],"-",Tableau1[[#This Row],[Name Site]])</f>
        <v>--</v>
      </c>
      <c r="C116" s="65" t="e">
        <f>_xlfn.CONCAT(Tableau1[[#This Row],[Compte ILN]],"-",Tableau1[[#This Row],[Compte Shipper]],"-",Tableau1[[#This Row],[POL]],"-",Tableau1[[#This Row],[Compte Consignee]])</f>
        <v>#N/A</v>
      </c>
      <c r="D116" s="64" t="e">
        <f>_xlfn.CONCAT(Tableau1[[#This Row],[Compte ILN]],"-",Tableau1[[#This Row],[Compte Shipper]],"-",Tableau1[[#This Row],[POL]])</f>
        <v>#N/A</v>
      </c>
      <c r="E116" s="396" t="e">
        <f ca="1">_xlfn.CONCAT(Tableau1[[#This Row],[POL]],"-",Tableau1[[#This Row],[Carrier]],"-",Tableau1[[#This Row],[POD]])</f>
        <v>#N/A</v>
      </c>
      <c r="F116" s="64" t="str">
        <f>_xlfn.CONCAT(Tableau1[[#This Row],[ID]],"-","Actif")</f>
        <v>-Actif</v>
      </c>
      <c r="G116" s="64" t="e">
        <f ca="1">_xlfn.CONCAT(Tableau1[[#This Row],[POD]],"-",Tableau1[[#This Row],[Code PFI]],"-",Tableau1[[#This Row],[Compte Consignee]])</f>
        <v>#N/A</v>
      </c>
      <c r="H11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6" s="397" t="str">
        <f ca="1">IF(COUNTIF(I:I,Tableau1[[#This Row],[Plant-ILN-shipper-POL-Carrier-POD-PFI]])=1,"Non","Oui")</f>
        <v>Oui</v>
      </c>
      <c r="K116" s="398" t="e">
        <f>VLOOKUP(Tableau1[[#This Row],[Name Site]],Plant_AILN!A:D,4,FALSE)</f>
        <v>#N/A</v>
      </c>
      <c r="L116" s="285"/>
      <c r="M116" s="480" t="e">
        <f>VLOOKUP(Tableau1[[#This Row],[Name Site]],Plant_AILN!A:C,3,FALSE)</f>
        <v>#N/A</v>
      </c>
      <c r="N116" s="55" t="e">
        <f>VLOOKUP(Tableau1[[#This Row],[Compte Consignee]],Order!C:D,2,FALSE)</f>
        <v>#N/A</v>
      </c>
      <c r="O116" s="114"/>
      <c r="P116" s="481" t="e">
        <f>VLOOKUP(Tableau1[[#This Row],[Name ILN]],Plant_AILN!F:G,2,FALSE)</f>
        <v>#N/A</v>
      </c>
      <c r="Q116" s="50" t="e">
        <f>VLOOKUP(Tableau1[[#This Row],[Compte ILN]],'DATA ILN'!D:I,6,FALSE)</f>
        <v>#N/A</v>
      </c>
      <c r="R116" s="50" t="e">
        <f>IFERROR(VLOOKUP(Tableau1[[#This Row],[Key(Compte ILN - shipper - POL - plant)]],'DATA ILN'!A:J,10,FALSE),VLOOKUP(Tableau1[[#This Row],[Key(Compte ILN - shipper - POL)]],'DATA ILN'!B:J,9,FALSE))</f>
        <v>#N/A</v>
      </c>
      <c r="S116" s="50" t="e">
        <f>IFERROR(VLOOKUP(Tableau1[[#This Row],[Key(Compte ILN - shipper - POL - plant)]],'DATA ILN'!A:K,11,FALSE),VLOOKUP(Tableau1[[#This Row],[Key(Compte ILN - shipper - POL)]],'DATA ILN'!B:K,10,FALSE))</f>
        <v>#N/A</v>
      </c>
      <c r="T116" s="50" t="e">
        <f>IFERROR(VLOOKUP(Tableau1[[#This Row],[Key(Compte ILN - shipper - POL - plant)]],'DATA ILN'!A:L,12,FALSE),VLOOKUP(Tableau1[[#This Row],[Key(Compte ILN - shipper - POL)]],'DATA ILN'!B:L,11,FALSE))</f>
        <v>#N/A</v>
      </c>
      <c r="U116" s="50" t="e">
        <f>Tableau1[[#This Row],[Day ILN Order]]+Tableau1[[#This Row],[Delivery time to ILN/Shipper]]-1</f>
        <v>#N/A</v>
      </c>
      <c r="V116" s="50" t="e">
        <f>IFERROR(VLOOKUP(Tableau1[[#This Row],[Key(Compte ILN - shipper - POL - plant)]],'DATA ILN'!A:N,14,FALSE),VLOOKUP(Tableau1[[#This Row],[Key(Compte ILN - shipper - POL)]],'DATA ILN'!B:N,13,FALSE))</f>
        <v>#N/A</v>
      </c>
      <c r="W116" s="53" t="e">
        <f>IFERROR(VLOOKUP(Tableau1[[#This Row],[Key(Compte ILN - shipper - POL - plant)]],'DATA ILN'!A:P,16,FALSE),VLOOKUP(Tableau1[[#This Row],[Key(Compte ILN - shipper - POL)]],'DATA ILN'!B:P,15,FALSE))</f>
        <v>#N/A</v>
      </c>
      <c r="X116" s="283"/>
      <c r="Y116" s="482">
        <f>IFERROR(VLOOKUP(Tableau1[[#This Row],[Name Shipper]],Plant_AILN!L:M,2,FALSE),0)</f>
        <v>0</v>
      </c>
      <c r="Z116" s="358"/>
      <c r="AA116" s="353" t="e">
        <f ca="1">VLOOKUP(Tableau1[[#This Row],[Key(ID-Actif)]],'DATA BTO'!A:N,5,FALSE)</f>
        <v>#N/A</v>
      </c>
      <c r="AB116" s="3" t="e">
        <f ca="1">VLOOKUP(Tableau1[[#This Row],[Key(ID-Actif)]],'DATA BTO'!A:N,6,FALSE)</f>
        <v>#N/A</v>
      </c>
      <c r="AC116" s="50" t="e">
        <f ca="1">VLOOKUP(Tableau1[[#This Row],[Key(ID-Actif)]],'DATA BTO'!A:N,7,FALSE)</f>
        <v>#N/A</v>
      </c>
      <c r="AD116" s="50" t="e">
        <f ca="1">VLOOKUP(Tableau1[[#This Row],[Key(ID-Actif)]],'DATA BTO'!A:N,8,FALSE)</f>
        <v>#N/A</v>
      </c>
      <c r="AE116" s="50" t="e">
        <f ca="1">IF(Tableau1[[#This Row],[First Day to POL]]&lt;=Tableau1[[#This Row],[Day Cut Off]],Tableau1[[#This Row],[Day ETD]],Tableau1[[#This Row],[Day ETD]]+7)</f>
        <v>#N/A</v>
      </c>
      <c r="AF116" s="50" t="e">
        <f ca="1">VLOOKUP(Tableau1[[#This Row],[Key(ID-Actif)]],'DATA BTO'!A:N,9,FALSE)</f>
        <v>#N/A</v>
      </c>
      <c r="AG116" s="3" t="e">
        <f ca="1">VLOOKUP(Tableau1[[#This Row],[Key(ID-Actif)]],'DATA BTO'!A:N,10,FALSE)</f>
        <v>#N/A</v>
      </c>
      <c r="AH116" s="3" t="e">
        <f ca="1">VLOOKUP(Tableau1[[#This Row],[Key(ID-Actif)]],'DATA BTO'!A:N,11,FALSE)</f>
        <v>#N/A</v>
      </c>
      <c r="AI116" s="50" t="e">
        <f ca="1">VLOOKUP(Tableau1[[#This Row],[Key(ID-Actif)]],'DATA BTO'!A:N,12,FALSE)</f>
        <v>#N/A</v>
      </c>
      <c r="AJ116" s="53" t="e">
        <f ca="1">VLOOKUP(Tableau1[[#This Row],[Key(ID-Actif)]],'DATA BTO'!A:N,14,FALSE)</f>
        <v>#N/A</v>
      </c>
      <c r="AK116" s="54" t="e">
        <f ca="1">VLOOKUP(Tableau1[[#This Row],[Key(POD -PFI- Usine)]],'DATA Consignee'!A:F,6,FALSE)</f>
        <v>#N/A</v>
      </c>
      <c r="AL116" s="125"/>
      <c r="AM116" s="483" t="str">
        <f>IF(Tableau1[[#This Row],[Name PFI/CDD]]="","-",VLOOKUP(Tableau1[[#This Row],[Name PFI/CDD]],Plant_AILN!I:J,2,FALSE))</f>
        <v>-</v>
      </c>
      <c r="AN11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6" s="2" t="e">
        <f ca="1">VLOOKUP(Tableau1[[#This Row],[Key(POD -PFI- Usine)]],'DATA Consignee'!A:J,10,FALSE)</f>
        <v>#N/A</v>
      </c>
      <c r="AQ116" s="50" t="e">
        <f ca="1">VLOOKUP(Tableau1[[#This Row],[Key(POD -PFI- Usine)]],'DATA Consignee'!A:N,14,FALSE)</f>
        <v>#N/A</v>
      </c>
      <c r="AR11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6" s="50" t="e">
        <f ca="1">Tableau1[[#This Row],[Transit time]]+Tableau1[[#This Row],[Time for security]]+Tableau1[[#This Row],[Time for security2 buffer]]</f>
        <v>#N/A</v>
      </c>
      <c r="AU11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6" s="389" t="e">
        <f ca="1">Tableau1[[#This Row],[Leadtime SI2C]]+Tableau1[[#This Row],[First Receipt Days]]-Tableau1[[#This Row],[Day Customer Order]]+1</f>
        <v>#N/A</v>
      </c>
      <c r="AW116" s="117" t="e">
        <f ca="1">IF(Tableau1[[#This Row],[Name ILN]]&lt;&gt;"SFK Freight Forwarder",Tableau1[[#This Row],[Cust. Leadtime]],Tableau1[[#This Row],[Leadtime SI2C]])</f>
        <v>#N/A</v>
      </c>
      <c r="AX116" s="51" t="e">
        <f>VLOOKUP(Tableau1[[#This Row],[ID]],'DATA BTO'!B:P,15,FALSE)</f>
        <v>#N/A</v>
      </c>
      <c r="AY116" s="328" t="e">
        <f ca="1">IFERROR(VLOOKUP(Tableau1[[#This Row],[Key(ID-Actif)]],'DATA BTO'!A:N,4,FALSE),VLOOKUP(Tableau1[[#This Row],[ID]],'DATA BTO'!B:N,3,FALSE))</f>
        <v>#N/A</v>
      </c>
      <c r="AZ11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6" s="50"/>
    </row>
    <row r="117" spans="2:57">
      <c r="B117" s="65" t="str">
        <f>_xlfn.CONCAT(Tableau1[[#This Row],[Name ILN]],"-",Tableau1[[#This Row],[Name Shipper]],"-",Tableau1[[#This Row],[Name Site]])</f>
        <v>--</v>
      </c>
      <c r="C117" s="65" t="e">
        <f>_xlfn.CONCAT(Tableau1[[#This Row],[Compte ILN]],"-",Tableau1[[#This Row],[Compte Shipper]],"-",Tableau1[[#This Row],[POL]],"-",Tableau1[[#This Row],[Compte Consignee]])</f>
        <v>#N/A</v>
      </c>
      <c r="D117" s="64" t="e">
        <f>_xlfn.CONCAT(Tableau1[[#This Row],[Compte ILN]],"-",Tableau1[[#This Row],[Compte Shipper]],"-",Tableau1[[#This Row],[POL]])</f>
        <v>#N/A</v>
      </c>
      <c r="E117" s="396" t="e">
        <f ca="1">_xlfn.CONCAT(Tableau1[[#This Row],[POL]],"-",Tableau1[[#This Row],[Carrier]],"-",Tableau1[[#This Row],[POD]])</f>
        <v>#N/A</v>
      </c>
      <c r="F117" s="64" t="str">
        <f>_xlfn.CONCAT(Tableau1[[#This Row],[ID]],"-","Actif")</f>
        <v>-Actif</v>
      </c>
      <c r="G117" s="64" t="e">
        <f ca="1">_xlfn.CONCAT(Tableau1[[#This Row],[POD]],"-",Tableau1[[#This Row],[Code PFI]],"-",Tableau1[[#This Row],[Compte Consignee]])</f>
        <v>#N/A</v>
      </c>
      <c r="H11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7" s="397" t="str">
        <f ca="1">IF(COUNTIF(I:I,Tableau1[[#This Row],[Plant-ILN-shipper-POL-Carrier-POD-PFI]])=1,"Non","Oui")</f>
        <v>Oui</v>
      </c>
      <c r="K117" s="398" t="e">
        <f>VLOOKUP(Tableau1[[#This Row],[Name Site]],Plant_AILN!A:D,4,FALSE)</f>
        <v>#N/A</v>
      </c>
      <c r="L117" s="285"/>
      <c r="M117" s="480" t="e">
        <f>VLOOKUP(Tableau1[[#This Row],[Name Site]],Plant_AILN!A:C,3,FALSE)</f>
        <v>#N/A</v>
      </c>
      <c r="N117" s="55" t="e">
        <f>VLOOKUP(Tableau1[[#This Row],[Compte Consignee]],Order!C:D,2,FALSE)</f>
        <v>#N/A</v>
      </c>
      <c r="O117" s="114"/>
      <c r="P117" s="481" t="e">
        <f>VLOOKUP(Tableau1[[#This Row],[Name ILN]],Plant_AILN!F:G,2,FALSE)</f>
        <v>#N/A</v>
      </c>
      <c r="Q117" s="50" t="e">
        <f>VLOOKUP(Tableau1[[#This Row],[Compte ILN]],'DATA ILN'!D:I,6,FALSE)</f>
        <v>#N/A</v>
      </c>
      <c r="R117" s="50" t="e">
        <f>IFERROR(VLOOKUP(Tableau1[[#This Row],[Key(Compte ILN - shipper - POL - plant)]],'DATA ILN'!A:J,10,FALSE),VLOOKUP(Tableau1[[#This Row],[Key(Compte ILN - shipper - POL)]],'DATA ILN'!B:J,9,FALSE))</f>
        <v>#N/A</v>
      </c>
      <c r="S117" s="50" t="e">
        <f>IFERROR(VLOOKUP(Tableau1[[#This Row],[Key(Compte ILN - shipper - POL - plant)]],'DATA ILN'!A:K,11,FALSE),VLOOKUP(Tableau1[[#This Row],[Key(Compte ILN - shipper - POL)]],'DATA ILN'!B:K,10,FALSE))</f>
        <v>#N/A</v>
      </c>
      <c r="T117" s="50" t="e">
        <f>IFERROR(VLOOKUP(Tableau1[[#This Row],[Key(Compte ILN - shipper - POL - plant)]],'DATA ILN'!A:L,12,FALSE),VLOOKUP(Tableau1[[#This Row],[Key(Compte ILN - shipper - POL)]],'DATA ILN'!B:L,11,FALSE))</f>
        <v>#N/A</v>
      </c>
      <c r="U117" s="50" t="e">
        <f>Tableau1[[#This Row],[Day ILN Order]]+Tableau1[[#This Row],[Delivery time to ILN/Shipper]]-1</f>
        <v>#N/A</v>
      </c>
      <c r="V117" s="50" t="e">
        <f>IFERROR(VLOOKUP(Tableau1[[#This Row],[Key(Compte ILN - shipper - POL - plant)]],'DATA ILN'!A:N,14,FALSE),VLOOKUP(Tableau1[[#This Row],[Key(Compte ILN - shipper - POL)]],'DATA ILN'!B:N,13,FALSE))</f>
        <v>#N/A</v>
      </c>
      <c r="W117" s="53" t="e">
        <f>IFERROR(VLOOKUP(Tableau1[[#This Row],[Key(Compte ILN - shipper - POL - plant)]],'DATA ILN'!A:P,16,FALSE),VLOOKUP(Tableau1[[#This Row],[Key(Compte ILN - shipper - POL)]],'DATA ILN'!B:P,15,FALSE))</f>
        <v>#N/A</v>
      </c>
      <c r="X117" s="283"/>
      <c r="Y117" s="482">
        <f>IFERROR(VLOOKUP(Tableau1[[#This Row],[Name Shipper]],Plant_AILN!L:M,2,FALSE),0)</f>
        <v>0</v>
      </c>
      <c r="Z117" s="358"/>
      <c r="AA117" s="353" t="e">
        <f ca="1">VLOOKUP(Tableau1[[#This Row],[Key(ID-Actif)]],'DATA BTO'!A:N,5,FALSE)</f>
        <v>#N/A</v>
      </c>
      <c r="AB117" s="3" t="e">
        <f ca="1">VLOOKUP(Tableau1[[#This Row],[Key(ID-Actif)]],'DATA BTO'!A:N,6,FALSE)</f>
        <v>#N/A</v>
      </c>
      <c r="AC117" s="50" t="e">
        <f ca="1">VLOOKUP(Tableau1[[#This Row],[Key(ID-Actif)]],'DATA BTO'!A:N,7,FALSE)</f>
        <v>#N/A</v>
      </c>
      <c r="AD117" s="50" t="e">
        <f ca="1">VLOOKUP(Tableau1[[#This Row],[Key(ID-Actif)]],'DATA BTO'!A:N,8,FALSE)</f>
        <v>#N/A</v>
      </c>
      <c r="AE117" s="50" t="e">
        <f ca="1">IF(Tableau1[[#This Row],[First Day to POL]]&lt;=Tableau1[[#This Row],[Day Cut Off]],Tableau1[[#This Row],[Day ETD]],Tableau1[[#This Row],[Day ETD]]+7)</f>
        <v>#N/A</v>
      </c>
      <c r="AF117" s="50" t="e">
        <f ca="1">VLOOKUP(Tableau1[[#This Row],[Key(ID-Actif)]],'DATA BTO'!A:N,9,FALSE)</f>
        <v>#N/A</v>
      </c>
      <c r="AG117" s="3" t="e">
        <f ca="1">VLOOKUP(Tableau1[[#This Row],[Key(ID-Actif)]],'DATA BTO'!A:N,10,FALSE)</f>
        <v>#N/A</v>
      </c>
      <c r="AH117" s="3" t="e">
        <f ca="1">VLOOKUP(Tableau1[[#This Row],[Key(ID-Actif)]],'DATA BTO'!A:N,11,FALSE)</f>
        <v>#N/A</v>
      </c>
      <c r="AI117" s="50" t="e">
        <f ca="1">VLOOKUP(Tableau1[[#This Row],[Key(ID-Actif)]],'DATA BTO'!A:N,12,FALSE)</f>
        <v>#N/A</v>
      </c>
      <c r="AJ117" s="53" t="e">
        <f ca="1">VLOOKUP(Tableau1[[#This Row],[Key(ID-Actif)]],'DATA BTO'!A:N,14,FALSE)</f>
        <v>#N/A</v>
      </c>
      <c r="AK117" s="54" t="e">
        <f ca="1">VLOOKUP(Tableau1[[#This Row],[Key(POD -PFI- Usine)]],'DATA Consignee'!A:F,6,FALSE)</f>
        <v>#N/A</v>
      </c>
      <c r="AL117" s="125"/>
      <c r="AM117" s="483" t="str">
        <f>IF(Tableau1[[#This Row],[Name PFI/CDD]]="","-",VLOOKUP(Tableau1[[#This Row],[Name PFI/CDD]],Plant_AILN!I:J,2,FALSE))</f>
        <v>-</v>
      </c>
      <c r="AN11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7" s="2" t="e">
        <f ca="1">VLOOKUP(Tableau1[[#This Row],[Key(POD -PFI- Usine)]],'DATA Consignee'!A:J,10,FALSE)</f>
        <v>#N/A</v>
      </c>
      <c r="AQ117" s="50" t="e">
        <f ca="1">VLOOKUP(Tableau1[[#This Row],[Key(POD -PFI- Usine)]],'DATA Consignee'!A:N,14,FALSE)</f>
        <v>#N/A</v>
      </c>
      <c r="AR11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7" s="50" t="e">
        <f ca="1">Tableau1[[#This Row],[Transit time]]+Tableau1[[#This Row],[Time for security]]+Tableau1[[#This Row],[Time for security2 buffer]]</f>
        <v>#N/A</v>
      </c>
      <c r="AU11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7" s="389" t="e">
        <f ca="1">Tableau1[[#This Row],[Leadtime SI2C]]+Tableau1[[#This Row],[First Receipt Days]]-Tableau1[[#This Row],[Day Customer Order]]+1</f>
        <v>#N/A</v>
      </c>
      <c r="AW117" s="117" t="e">
        <f ca="1">IF(Tableau1[[#This Row],[Name ILN]]&lt;&gt;"SFK Freight Forwarder",Tableau1[[#This Row],[Cust. Leadtime]],Tableau1[[#This Row],[Leadtime SI2C]])</f>
        <v>#N/A</v>
      </c>
      <c r="AX117" s="51" t="e">
        <f>VLOOKUP(Tableau1[[#This Row],[ID]],'DATA BTO'!B:P,15,FALSE)</f>
        <v>#N/A</v>
      </c>
      <c r="AY117" s="328" t="e">
        <f ca="1">IFERROR(VLOOKUP(Tableau1[[#This Row],[Key(ID-Actif)]],'DATA BTO'!A:N,4,FALSE),VLOOKUP(Tableau1[[#This Row],[ID]],'DATA BTO'!B:N,3,FALSE))</f>
        <v>#N/A</v>
      </c>
      <c r="AZ11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7" s="50"/>
    </row>
    <row r="118" spans="2:57">
      <c r="B118" s="65" t="str">
        <f>_xlfn.CONCAT(Tableau1[[#This Row],[Name ILN]],"-",Tableau1[[#This Row],[Name Shipper]],"-",Tableau1[[#This Row],[Name Site]])</f>
        <v>--</v>
      </c>
      <c r="C118" s="65" t="e">
        <f>_xlfn.CONCAT(Tableau1[[#This Row],[Compte ILN]],"-",Tableau1[[#This Row],[Compte Shipper]],"-",Tableau1[[#This Row],[POL]],"-",Tableau1[[#This Row],[Compte Consignee]])</f>
        <v>#N/A</v>
      </c>
      <c r="D118" s="64" t="e">
        <f>_xlfn.CONCAT(Tableau1[[#This Row],[Compte ILN]],"-",Tableau1[[#This Row],[Compte Shipper]],"-",Tableau1[[#This Row],[POL]])</f>
        <v>#N/A</v>
      </c>
      <c r="E118" s="396" t="e">
        <f ca="1">_xlfn.CONCAT(Tableau1[[#This Row],[POL]],"-",Tableau1[[#This Row],[Carrier]],"-",Tableau1[[#This Row],[POD]])</f>
        <v>#N/A</v>
      </c>
      <c r="F118" s="64" t="str">
        <f>_xlfn.CONCAT(Tableau1[[#This Row],[ID]],"-","Actif")</f>
        <v>-Actif</v>
      </c>
      <c r="G118" s="64" t="e">
        <f ca="1">_xlfn.CONCAT(Tableau1[[#This Row],[POD]],"-",Tableau1[[#This Row],[Code PFI]],"-",Tableau1[[#This Row],[Compte Consignee]])</f>
        <v>#N/A</v>
      </c>
      <c r="H11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8" s="397" t="str">
        <f ca="1">IF(COUNTIF(I:I,Tableau1[[#This Row],[Plant-ILN-shipper-POL-Carrier-POD-PFI]])=1,"Non","Oui")</f>
        <v>Oui</v>
      </c>
      <c r="K118" s="398" t="e">
        <f>VLOOKUP(Tableau1[[#This Row],[Name Site]],Plant_AILN!A:D,4,FALSE)</f>
        <v>#N/A</v>
      </c>
      <c r="L118" s="285"/>
      <c r="M118" s="480" t="e">
        <f>VLOOKUP(Tableau1[[#This Row],[Name Site]],Plant_AILN!A:C,3,FALSE)</f>
        <v>#N/A</v>
      </c>
      <c r="N118" s="55" t="e">
        <f>VLOOKUP(Tableau1[[#This Row],[Compte Consignee]],Order!C:D,2,FALSE)</f>
        <v>#N/A</v>
      </c>
      <c r="O118" s="114"/>
      <c r="P118" s="481" t="e">
        <f>VLOOKUP(Tableau1[[#This Row],[Name ILN]],Plant_AILN!F:G,2,FALSE)</f>
        <v>#N/A</v>
      </c>
      <c r="Q118" s="50" t="e">
        <f>VLOOKUP(Tableau1[[#This Row],[Compte ILN]],'DATA ILN'!D:I,6,FALSE)</f>
        <v>#N/A</v>
      </c>
      <c r="R118" s="50" t="e">
        <f>IFERROR(VLOOKUP(Tableau1[[#This Row],[Key(Compte ILN - shipper - POL - plant)]],'DATA ILN'!A:J,10,FALSE),VLOOKUP(Tableau1[[#This Row],[Key(Compte ILN - shipper - POL)]],'DATA ILN'!B:J,9,FALSE))</f>
        <v>#N/A</v>
      </c>
      <c r="S118" s="50" t="e">
        <f>IFERROR(VLOOKUP(Tableau1[[#This Row],[Key(Compte ILN - shipper - POL - plant)]],'DATA ILN'!A:K,11,FALSE),VLOOKUP(Tableau1[[#This Row],[Key(Compte ILN - shipper - POL)]],'DATA ILN'!B:K,10,FALSE))</f>
        <v>#N/A</v>
      </c>
      <c r="T118" s="50" t="e">
        <f>IFERROR(VLOOKUP(Tableau1[[#This Row],[Key(Compte ILN - shipper - POL - plant)]],'DATA ILN'!A:L,12,FALSE),VLOOKUP(Tableau1[[#This Row],[Key(Compte ILN - shipper - POL)]],'DATA ILN'!B:L,11,FALSE))</f>
        <v>#N/A</v>
      </c>
      <c r="U118" s="50" t="e">
        <f>Tableau1[[#This Row],[Day ILN Order]]+Tableau1[[#This Row],[Delivery time to ILN/Shipper]]-1</f>
        <v>#N/A</v>
      </c>
      <c r="V118" s="50" t="e">
        <f>IFERROR(VLOOKUP(Tableau1[[#This Row],[Key(Compte ILN - shipper - POL - plant)]],'DATA ILN'!A:N,14,FALSE),VLOOKUP(Tableau1[[#This Row],[Key(Compte ILN - shipper - POL)]],'DATA ILN'!B:N,13,FALSE))</f>
        <v>#N/A</v>
      </c>
      <c r="W118" s="53" t="e">
        <f>IFERROR(VLOOKUP(Tableau1[[#This Row],[Key(Compte ILN - shipper - POL - plant)]],'DATA ILN'!A:P,16,FALSE),VLOOKUP(Tableau1[[#This Row],[Key(Compte ILN - shipper - POL)]],'DATA ILN'!B:P,15,FALSE))</f>
        <v>#N/A</v>
      </c>
      <c r="X118" s="283"/>
      <c r="Y118" s="482">
        <f>IFERROR(VLOOKUP(Tableau1[[#This Row],[Name Shipper]],Plant_AILN!L:M,2,FALSE),0)</f>
        <v>0</v>
      </c>
      <c r="Z118" s="358"/>
      <c r="AA118" s="353" t="e">
        <f ca="1">VLOOKUP(Tableau1[[#This Row],[Key(ID-Actif)]],'DATA BTO'!A:N,5,FALSE)</f>
        <v>#N/A</v>
      </c>
      <c r="AB118" s="3" t="e">
        <f ca="1">VLOOKUP(Tableau1[[#This Row],[Key(ID-Actif)]],'DATA BTO'!A:N,6,FALSE)</f>
        <v>#N/A</v>
      </c>
      <c r="AC118" s="50" t="e">
        <f ca="1">VLOOKUP(Tableau1[[#This Row],[Key(ID-Actif)]],'DATA BTO'!A:N,7,FALSE)</f>
        <v>#N/A</v>
      </c>
      <c r="AD118" s="50" t="e">
        <f ca="1">VLOOKUP(Tableau1[[#This Row],[Key(ID-Actif)]],'DATA BTO'!A:N,8,FALSE)</f>
        <v>#N/A</v>
      </c>
      <c r="AE118" s="50" t="e">
        <f ca="1">IF(Tableau1[[#This Row],[First Day to POL]]&lt;=Tableau1[[#This Row],[Day Cut Off]],Tableau1[[#This Row],[Day ETD]],Tableau1[[#This Row],[Day ETD]]+7)</f>
        <v>#N/A</v>
      </c>
      <c r="AF118" s="50" t="e">
        <f ca="1">VLOOKUP(Tableau1[[#This Row],[Key(ID-Actif)]],'DATA BTO'!A:N,9,FALSE)</f>
        <v>#N/A</v>
      </c>
      <c r="AG118" s="3" t="e">
        <f ca="1">VLOOKUP(Tableau1[[#This Row],[Key(ID-Actif)]],'DATA BTO'!A:N,10,FALSE)</f>
        <v>#N/A</v>
      </c>
      <c r="AH118" s="3" t="e">
        <f ca="1">VLOOKUP(Tableau1[[#This Row],[Key(ID-Actif)]],'DATA BTO'!A:N,11,FALSE)</f>
        <v>#N/A</v>
      </c>
      <c r="AI118" s="50" t="e">
        <f ca="1">VLOOKUP(Tableau1[[#This Row],[Key(ID-Actif)]],'DATA BTO'!A:N,12,FALSE)</f>
        <v>#N/A</v>
      </c>
      <c r="AJ118" s="53" t="e">
        <f ca="1">VLOOKUP(Tableau1[[#This Row],[Key(ID-Actif)]],'DATA BTO'!A:N,14,FALSE)</f>
        <v>#N/A</v>
      </c>
      <c r="AK118" s="54" t="e">
        <f ca="1">VLOOKUP(Tableau1[[#This Row],[Key(POD -PFI- Usine)]],'DATA Consignee'!A:F,6,FALSE)</f>
        <v>#N/A</v>
      </c>
      <c r="AL118" s="125"/>
      <c r="AM118" s="483" t="str">
        <f>IF(Tableau1[[#This Row],[Name PFI/CDD]]="","-",VLOOKUP(Tableau1[[#This Row],[Name PFI/CDD]],Plant_AILN!I:J,2,FALSE))</f>
        <v>-</v>
      </c>
      <c r="AN11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8" s="2" t="e">
        <f ca="1">VLOOKUP(Tableau1[[#This Row],[Key(POD -PFI- Usine)]],'DATA Consignee'!A:J,10,FALSE)</f>
        <v>#N/A</v>
      </c>
      <c r="AQ118" s="50" t="e">
        <f ca="1">VLOOKUP(Tableau1[[#This Row],[Key(POD -PFI- Usine)]],'DATA Consignee'!A:N,14,FALSE)</f>
        <v>#N/A</v>
      </c>
      <c r="AR11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8" s="50" t="e">
        <f ca="1">Tableau1[[#This Row],[Transit time]]+Tableau1[[#This Row],[Time for security]]+Tableau1[[#This Row],[Time for security2 buffer]]</f>
        <v>#N/A</v>
      </c>
      <c r="AU11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8" s="389" t="e">
        <f ca="1">Tableau1[[#This Row],[Leadtime SI2C]]+Tableau1[[#This Row],[First Receipt Days]]-Tableau1[[#This Row],[Day Customer Order]]+1</f>
        <v>#N/A</v>
      </c>
      <c r="AW118" s="117" t="e">
        <f ca="1">IF(Tableau1[[#This Row],[Name ILN]]&lt;&gt;"SFK Freight Forwarder",Tableau1[[#This Row],[Cust. Leadtime]],Tableau1[[#This Row],[Leadtime SI2C]])</f>
        <v>#N/A</v>
      </c>
      <c r="AX118" s="51" t="e">
        <f>VLOOKUP(Tableau1[[#This Row],[ID]],'DATA BTO'!B:P,15,FALSE)</f>
        <v>#N/A</v>
      </c>
      <c r="AY118" s="328" t="e">
        <f ca="1">IFERROR(VLOOKUP(Tableau1[[#This Row],[Key(ID-Actif)]],'DATA BTO'!A:N,4,FALSE),VLOOKUP(Tableau1[[#This Row],[ID]],'DATA BTO'!B:N,3,FALSE))</f>
        <v>#N/A</v>
      </c>
      <c r="AZ11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8" s="50"/>
    </row>
    <row r="119" spans="2:57">
      <c r="B119" s="65" t="str">
        <f>_xlfn.CONCAT(Tableau1[[#This Row],[Name ILN]],"-",Tableau1[[#This Row],[Name Shipper]],"-",Tableau1[[#This Row],[Name Site]])</f>
        <v>--</v>
      </c>
      <c r="C119" s="65" t="e">
        <f>_xlfn.CONCAT(Tableau1[[#This Row],[Compte ILN]],"-",Tableau1[[#This Row],[Compte Shipper]],"-",Tableau1[[#This Row],[POL]],"-",Tableau1[[#This Row],[Compte Consignee]])</f>
        <v>#N/A</v>
      </c>
      <c r="D119" s="64" t="e">
        <f>_xlfn.CONCAT(Tableau1[[#This Row],[Compte ILN]],"-",Tableau1[[#This Row],[Compte Shipper]],"-",Tableau1[[#This Row],[POL]])</f>
        <v>#N/A</v>
      </c>
      <c r="E119" s="396" t="e">
        <f ca="1">_xlfn.CONCAT(Tableau1[[#This Row],[POL]],"-",Tableau1[[#This Row],[Carrier]],"-",Tableau1[[#This Row],[POD]])</f>
        <v>#N/A</v>
      </c>
      <c r="F119" s="64" t="str">
        <f>_xlfn.CONCAT(Tableau1[[#This Row],[ID]],"-","Actif")</f>
        <v>-Actif</v>
      </c>
      <c r="G119" s="64" t="e">
        <f ca="1">_xlfn.CONCAT(Tableau1[[#This Row],[POD]],"-",Tableau1[[#This Row],[Code PFI]],"-",Tableau1[[#This Row],[Compte Consignee]])</f>
        <v>#N/A</v>
      </c>
      <c r="H11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1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19" s="397" t="str">
        <f ca="1">IF(COUNTIF(I:I,Tableau1[[#This Row],[Plant-ILN-shipper-POL-Carrier-POD-PFI]])=1,"Non","Oui")</f>
        <v>Oui</v>
      </c>
      <c r="K119" s="398" t="e">
        <f>VLOOKUP(Tableau1[[#This Row],[Name Site]],Plant_AILN!A:D,4,FALSE)</f>
        <v>#N/A</v>
      </c>
      <c r="L119" s="285"/>
      <c r="M119" s="480" t="e">
        <f>VLOOKUP(Tableau1[[#This Row],[Name Site]],Plant_AILN!A:C,3,FALSE)</f>
        <v>#N/A</v>
      </c>
      <c r="N119" s="55" t="e">
        <f>VLOOKUP(Tableau1[[#This Row],[Compte Consignee]],Order!C:D,2,FALSE)</f>
        <v>#N/A</v>
      </c>
      <c r="O119" s="114"/>
      <c r="P119" s="481" t="e">
        <f>VLOOKUP(Tableau1[[#This Row],[Name ILN]],Plant_AILN!F:G,2,FALSE)</f>
        <v>#N/A</v>
      </c>
      <c r="Q119" s="50" t="e">
        <f>VLOOKUP(Tableau1[[#This Row],[Compte ILN]],'DATA ILN'!D:I,6,FALSE)</f>
        <v>#N/A</v>
      </c>
      <c r="R119" s="50" t="e">
        <f>IFERROR(VLOOKUP(Tableau1[[#This Row],[Key(Compte ILN - shipper - POL - plant)]],'DATA ILN'!A:J,10,FALSE),VLOOKUP(Tableau1[[#This Row],[Key(Compte ILN - shipper - POL)]],'DATA ILN'!B:J,9,FALSE))</f>
        <v>#N/A</v>
      </c>
      <c r="S119" s="50" t="e">
        <f>IFERROR(VLOOKUP(Tableau1[[#This Row],[Key(Compte ILN - shipper - POL - plant)]],'DATA ILN'!A:K,11,FALSE),VLOOKUP(Tableau1[[#This Row],[Key(Compte ILN - shipper - POL)]],'DATA ILN'!B:K,10,FALSE))</f>
        <v>#N/A</v>
      </c>
      <c r="T119" s="50" t="e">
        <f>IFERROR(VLOOKUP(Tableau1[[#This Row],[Key(Compte ILN - shipper - POL - plant)]],'DATA ILN'!A:L,12,FALSE),VLOOKUP(Tableau1[[#This Row],[Key(Compte ILN - shipper - POL)]],'DATA ILN'!B:L,11,FALSE))</f>
        <v>#N/A</v>
      </c>
      <c r="U119" s="50" t="e">
        <f>Tableau1[[#This Row],[Day ILN Order]]+Tableau1[[#This Row],[Delivery time to ILN/Shipper]]-1</f>
        <v>#N/A</v>
      </c>
      <c r="V119" s="50" t="e">
        <f>IFERROR(VLOOKUP(Tableau1[[#This Row],[Key(Compte ILN - shipper - POL - plant)]],'DATA ILN'!A:N,14,FALSE),VLOOKUP(Tableau1[[#This Row],[Key(Compte ILN - shipper - POL)]],'DATA ILN'!B:N,13,FALSE))</f>
        <v>#N/A</v>
      </c>
      <c r="W119" s="53" t="e">
        <f>IFERROR(VLOOKUP(Tableau1[[#This Row],[Key(Compte ILN - shipper - POL - plant)]],'DATA ILN'!A:P,16,FALSE),VLOOKUP(Tableau1[[#This Row],[Key(Compte ILN - shipper - POL)]],'DATA ILN'!B:P,15,FALSE))</f>
        <v>#N/A</v>
      </c>
      <c r="X119" s="283"/>
      <c r="Y119" s="482">
        <f>IFERROR(VLOOKUP(Tableau1[[#This Row],[Name Shipper]],Plant_AILN!L:M,2,FALSE),0)</f>
        <v>0</v>
      </c>
      <c r="Z119" s="358"/>
      <c r="AA119" s="353" t="e">
        <f ca="1">VLOOKUP(Tableau1[[#This Row],[Key(ID-Actif)]],'DATA BTO'!A:N,5,FALSE)</f>
        <v>#N/A</v>
      </c>
      <c r="AB119" s="3" t="e">
        <f ca="1">VLOOKUP(Tableau1[[#This Row],[Key(ID-Actif)]],'DATA BTO'!A:N,6,FALSE)</f>
        <v>#N/A</v>
      </c>
      <c r="AC119" s="50" t="e">
        <f ca="1">VLOOKUP(Tableau1[[#This Row],[Key(ID-Actif)]],'DATA BTO'!A:N,7,FALSE)</f>
        <v>#N/A</v>
      </c>
      <c r="AD119" s="50" t="e">
        <f ca="1">VLOOKUP(Tableau1[[#This Row],[Key(ID-Actif)]],'DATA BTO'!A:N,8,FALSE)</f>
        <v>#N/A</v>
      </c>
      <c r="AE119" s="50" t="e">
        <f ca="1">IF(Tableau1[[#This Row],[First Day to POL]]&lt;=Tableau1[[#This Row],[Day Cut Off]],Tableau1[[#This Row],[Day ETD]],Tableau1[[#This Row],[Day ETD]]+7)</f>
        <v>#N/A</v>
      </c>
      <c r="AF119" s="50" t="e">
        <f ca="1">VLOOKUP(Tableau1[[#This Row],[Key(ID-Actif)]],'DATA BTO'!A:N,9,FALSE)</f>
        <v>#N/A</v>
      </c>
      <c r="AG119" s="3" t="e">
        <f ca="1">VLOOKUP(Tableau1[[#This Row],[Key(ID-Actif)]],'DATA BTO'!A:N,10,FALSE)</f>
        <v>#N/A</v>
      </c>
      <c r="AH119" s="3" t="e">
        <f ca="1">VLOOKUP(Tableau1[[#This Row],[Key(ID-Actif)]],'DATA BTO'!A:N,11,FALSE)</f>
        <v>#N/A</v>
      </c>
      <c r="AI119" s="50" t="e">
        <f ca="1">VLOOKUP(Tableau1[[#This Row],[Key(ID-Actif)]],'DATA BTO'!A:N,12,FALSE)</f>
        <v>#N/A</v>
      </c>
      <c r="AJ119" s="53" t="e">
        <f ca="1">VLOOKUP(Tableau1[[#This Row],[Key(ID-Actif)]],'DATA BTO'!A:N,14,FALSE)</f>
        <v>#N/A</v>
      </c>
      <c r="AK119" s="54" t="e">
        <f ca="1">VLOOKUP(Tableau1[[#This Row],[Key(POD -PFI- Usine)]],'DATA Consignee'!A:F,6,FALSE)</f>
        <v>#N/A</v>
      </c>
      <c r="AL119" s="125"/>
      <c r="AM119" s="483" t="str">
        <f>IF(Tableau1[[#This Row],[Name PFI/CDD]]="","-",VLOOKUP(Tableau1[[#This Row],[Name PFI/CDD]],Plant_AILN!I:J,2,FALSE))</f>
        <v>-</v>
      </c>
      <c r="AN11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1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19" s="2" t="e">
        <f ca="1">VLOOKUP(Tableau1[[#This Row],[Key(POD -PFI- Usine)]],'DATA Consignee'!A:J,10,FALSE)</f>
        <v>#N/A</v>
      </c>
      <c r="AQ119" s="50" t="e">
        <f ca="1">VLOOKUP(Tableau1[[#This Row],[Key(POD -PFI- Usine)]],'DATA Consignee'!A:N,14,FALSE)</f>
        <v>#N/A</v>
      </c>
      <c r="AR11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1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19" s="50" t="e">
        <f ca="1">Tableau1[[#This Row],[Transit time]]+Tableau1[[#This Row],[Time for security]]+Tableau1[[#This Row],[Time for security2 buffer]]</f>
        <v>#N/A</v>
      </c>
      <c r="AU11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19" s="389" t="e">
        <f ca="1">Tableau1[[#This Row],[Leadtime SI2C]]+Tableau1[[#This Row],[First Receipt Days]]-Tableau1[[#This Row],[Day Customer Order]]+1</f>
        <v>#N/A</v>
      </c>
      <c r="AW119" s="117" t="e">
        <f ca="1">IF(Tableau1[[#This Row],[Name ILN]]&lt;&gt;"SFK Freight Forwarder",Tableau1[[#This Row],[Cust. Leadtime]],Tableau1[[#This Row],[Leadtime SI2C]])</f>
        <v>#N/A</v>
      </c>
      <c r="AX119" s="51" t="e">
        <f>VLOOKUP(Tableau1[[#This Row],[ID]],'DATA BTO'!B:P,15,FALSE)</f>
        <v>#N/A</v>
      </c>
      <c r="AY119" s="328" t="e">
        <f ca="1">IFERROR(VLOOKUP(Tableau1[[#This Row],[Key(ID-Actif)]],'DATA BTO'!A:N,4,FALSE),VLOOKUP(Tableau1[[#This Row],[ID]],'DATA BTO'!B:N,3,FALSE))</f>
        <v>#N/A</v>
      </c>
      <c r="AZ11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1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1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9" s="50"/>
    </row>
    <row r="120" spans="2:57">
      <c r="B120" s="65" t="str">
        <f>_xlfn.CONCAT(Tableau1[[#This Row],[Name ILN]],"-",Tableau1[[#This Row],[Name Shipper]],"-",Tableau1[[#This Row],[Name Site]])</f>
        <v>--</v>
      </c>
      <c r="C120" s="65" t="e">
        <f>_xlfn.CONCAT(Tableau1[[#This Row],[Compte ILN]],"-",Tableau1[[#This Row],[Compte Shipper]],"-",Tableau1[[#This Row],[POL]],"-",Tableau1[[#This Row],[Compte Consignee]])</f>
        <v>#N/A</v>
      </c>
      <c r="D120" s="64" t="e">
        <f>_xlfn.CONCAT(Tableau1[[#This Row],[Compte ILN]],"-",Tableau1[[#This Row],[Compte Shipper]],"-",Tableau1[[#This Row],[POL]])</f>
        <v>#N/A</v>
      </c>
      <c r="E120" s="396" t="e">
        <f ca="1">_xlfn.CONCAT(Tableau1[[#This Row],[POL]],"-",Tableau1[[#This Row],[Carrier]],"-",Tableau1[[#This Row],[POD]])</f>
        <v>#N/A</v>
      </c>
      <c r="F120" s="64" t="str">
        <f>_xlfn.CONCAT(Tableau1[[#This Row],[ID]],"-","Actif")</f>
        <v>-Actif</v>
      </c>
      <c r="G120" s="64" t="e">
        <f ca="1">_xlfn.CONCAT(Tableau1[[#This Row],[POD]],"-",Tableau1[[#This Row],[Code PFI]],"-",Tableau1[[#This Row],[Compte Consignee]])</f>
        <v>#N/A</v>
      </c>
      <c r="H12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0" s="397" t="str">
        <f ca="1">IF(COUNTIF(I:I,Tableau1[[#This Row],[Plant-ILN-shipper-POL-Carrier-POD-PFI]])=1,"Non","Oui")</f>
        <v>Oui</v>
      </c>
      <c r="K120" s="398" t="e">
        <f>VLOOKUP(Tableau1[[#This Row],[Name Site]],Plant_AILN!A:D,4,FALSE)</f>
        <v>#N/A</v>
      </c>
      <c r="L120" s="363"/>
      <c r="M120" s="480" t="e">
        <f>VLOOKUP(Tableau1[[#This Row],[Name Site]],Plant_AILN!A:C,3,FALSE)</f>
        <v>#N/A</v>
      </c>
      <c r="N120" s="55" t="e">
        <f>VLOOKUP(Tableau1[[#This Row],[Compte Consignee]],Order!C:D,2,FALSE)</f>
        <v>#N/A</v>
      </c>
      <c r="O120" s="114"/>
      <c r="P120" s="481" t="e">
        <f>VLOOKUP(Tableau1[[#This Row],[Name ILN]],Plant_AILN!F:G,2,FALSE)</f>
        <v>#N/A</v>
      </c>
      <c r="Q120" s="50" t="e">
        <f>VLOOKUP(Tableau1[[#This Row],[Compte ILN]],'DATA ILN'!D:I,6,FALSE)</f>
        <v>#N/A</v>
      </c>
      <c r="R120" s="50" t="e">
        <f>IFERROR(VLOOKUP(Tableau1[[#This Row],[Key(Compte ILN - shipper - POL - plant)]],'DATA ILN'!A:J,10,FALSE),VLOOKUP(Tableau1[[#This Row],[Key(Compte ILN - shipper - POL)]],'DATA ILN'!B:J,9,FALSE))</f>
        <v>#N/A</v>
      </c>
      <c r="S120" s="50" t="e">
        <f>IFERROR(VLOOKUP(Tableau1[[#This Row],[Key(Compte ILN - shipper - POL - plant)]],'DATA ILN'!A:K,11,FALSE),VLOOKUP(Tableau1[[#This Row],[Key(Compte ILN - shipper - POL)]],'DATA ILN'!B:K,10,FALSE))</f>
        <v>#N/A</v>
      </c>
      <c r="T120" s="50" t="e">
        <f>IFERROR(VLOOKUP(Tableau1[[#This Row],[Key(Compte ILN - shipper - POL - plant)]],'DATA ILN'!A:L,12,FALSE),VLOOKUP(Tableau1[[#This Row],[Key(Compte ILN - shipper - POL)]],'DATA ILN'!B:L,11,FALSE))</f>
        <v>#N/A</v>
      </c>
      <c r="U120" s="50" t="e">
        <f>Tableau1[[#This Row],[Day ILN Order]]+Tableau1[[#This Row],[Delivery time to ILN/Shipper]]-1</f>
        <v>#N/A</v>
      </c>
      <c r="V120" s="50" t="e">
        <f>IFERROR(VLOOKUP(Tableau1[[#This Row],[Key(Compte ILN - shipper - POL - plant)]],'DATA ILN'!A:N,14,FALSE),VLOOKUP(Tableau1[[#This Row],[Key(Compte ILN - shipper - POL)]],'DATA ILN'!B:N,13,FALSE))</f>
        <v>#N/A</v>
      </c>
      <c r="W120" s="53" t="e">
        <f>IFERROR(VLOOKUP(Tableau1[[#This Row],[Key(Compte ILN - shipper - POL - plant)]],'DATA ILN'!A:P,16,FALSE),VLOOKUP(Tableau1[[#This Row],[Key(Compte ILN - shipper - POL)]],'DATA ILN'!B:P,15,FALSE))</f>
        <v>#N/A</v>
      </c>
      <c r="X120" s="283"/>
      <c r="Y120" s="482">
        <f>IFERROR(VLOOKUP(Tableau1[[#This Row],[Name Shipper]],Plant_AILN!L:M,2,FALSE),0)</f>
        <v>0</v>
      </c>
      <c r="Z120" s="358"/>
      <c r="AA120" s="353" t="e">
        <f ca="1">VLOOKUP(Tableau1[[#This Row],[Key(ID-Actif)]],'DATA BTO'!A:N,5,FALSE)</f>
        <v>#N/A</v>
      </c>
      <c r="AB120" s="3" t="e">
        <f ca="1">VLOOKUP(Tableau1[[#This Row],[Key(ID-Actif)]],'DATA BTO'!A:N,6,FALSE)</f>
        <v>#N/A</v>
      </c>
      <c r="AC120" s="50" t="e">
        <f ca="1">VLOOKUP(Tableau1[[#This Row],[Key(ID-Actif)]],'DATA BTO'!A:N,7,FALSE)</f>
        <v>#N/A</v>
      </c>
      <c r="AD120" s="50" t="e">
        <f ca="1">VLOOKUP(Tableau1[[#This Row],[Key(ID-Actif)]],'DATA BTO'!A:N,8,FALSE)</f>
        <v>#N/A</v>
      </c>
      <c r="AE120" s="50" t="e">
        <f ca="1">IF(Tableau1[[#This Row],[First Day to POL]]&lt;=Tableau1[[#This Row],[Day Cut Off]],Tableau1[[#This Row],[Day ETD]],Tableau1[[#This Row],[Day ETD]]+7)</f>
        <v>#N/A</v>
      </c>
      <c r="AF120" s="50" t="e">
        <f ca="1">VLOOKUP(Tableau1[[#This Row],[Key(ID-Actif)]],'DATA BTO'!A:N,9,FALSE)</f>
        <v>#N/A</v>
      </c>
      <c r="AG120" s="3" t="e">
        <f ca="1">VLOOKUP(Tableau1[[#This Row],[Key(ID-Actif)]],'DATA BTO'!A:N,10,FALSE)</f>
        <v>#N/A</v>
      </c>
      <c r="AH120" s="3" t="e">
        <f ca="1">VLOOKUP(Tableau1[[#This Row],[Key(ID-Actif)]],'DATA BTO'!A:N,11,FALSE)</f>
        <v>#N/A</v>
      </c>
      <c r="AI120" s="50" t="e">
        <f ca="1">VLOOKUP(Tableau1[[#This Row],[Key(ID-Actif)]],'DATA BTO'!A:N,12,FALSE)</f>
        <v>#N/A</v>
      </c>
      <c r="AJ120" s="53" t="e">
        <f ca="1">VLOOKUP(Tableau1[[#This Row],[Key(ID-Actif)]],'DATA BTO'!A:N,14,FALSE)</f>
        <v>#N/A</v>
      </c>
      <c r="AK120" s="54" t="e">
        <f ca="1">VLOOKUP(Tableau1[[#This Row],[Key(POD -PFI- Usine)]],'DATA Consignee'!A:F,6,FALSE)</f>
        <v>#N/A</v>
      </c>
      <c r="AL120" s="125"/>
      <c r="AM120" s="483" t="str">
        <f>IF(Tableau1[[#This Row],[Name PFI/CDD]]="","-",VLOOKUP(Tableau1[[#This Row],[Name PFI/CDD]],Plant_AILN!I:J,2,FALSE))</f>
        <v>-</v>
      </c>
      <c r="AN12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0" s="2" t="e">
        <f ca="1">VLOOKUP(Tableau1[[#This Row],[Key(POD -PFI- Usine)]],'DATA Consignee'!A:J,10,FALSE)</f>
        <v>#N/A</v>
      </c>
      <c r="AQ120" s="50" t="e">
        <f ca="1">VLOOKUP(Tableau1[[#This Row],[Key(POD -PFI- Usine)]],'DATA Consignee'!A:N,14,FALSE)</f>
        <v>#N/A</v>
      </c>
      <c r="AR12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0" s="50" t="e">
        <f ca="1">Tableau1[[#This Row],[Transit time]]+Tableau1[[#This Row],[Time for security]]+Tableau1[[#This Row],[Time for security2 buffer]]</f>
        <v>#N/A</v>
      </c>
      <c r="AU12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0" s="389" t="e">
        <f ca="1">Tableau1[[#This Row],[Leadtime SI2C]]+Tableau1[[#This Row],[First Receipt Days]]-Tableau1[[#This Row],[Day Customer Order]]+1</f>
        <v>#N/A</v>
      </c>
      <c r="AW120" s="117" t="e">
        <f ca="1">IF(Tableau1[[#This Row],[Name ILN]]&lt;&gt;"SFK Freight Forwarder",Tableau1[[#This Row],[Cust. Leadtime]],Tableau1[[#This Row],[Leadtime SI2C]])</f>
        <v>#N/A</v>
      </c>
      <c r="AX120" s="51" t="e">
        <f>VLOOKUP(Tableau1[[#This Row],[ID]],'DATA BTO'!B:P,15,FALSE)</f>
        <v>#N/A</v>
      </c>
      <c r="AY120" s="328" t="e">
        <f ca="1">IFERROR(VLOOKUP(Tableau1[[#This Row],[Key(ID-Actif)]],'DATA BTO'!A:N,4,FALSE),VLOOKUP(Tableau1[[#This Row],[ID]],'DATA BTO'!B:N,3,FALSE))</f>
        <v>#N/A</v>
      </c>
      <c r="AZ12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0" s="50"/>
    </row>
    <row r="121" spans="2:57">
      <c r="B121" s="65" t="str">
        <f>_xlfn.CONCAT(Tableau1[[#This Row],[Name ILN]],"-",Tableau1[[#This Row],[Name Shipper]],"-",Tableau1[[#This Row],[Name Site]])</f>
        <v>--</v>
      </c>
      <c r="C121" s="65" t="e">
        <f>_xlfn.CONCAT(Tableau1[[#This Row],[Compte ILN]],"-",Tableau1[[#This Row],[Compte Shipper]],"-",Tableau1[[#This Row],[POL]],"-",Tableau1[[#This Row],[Compte Consignee]])</f>
        <v>#N/A</v>
      </c>
      <c r="D121" s="64" t="e">
        <f>_xlfn.CONCAT(Tableau1[[#This Row],[Compte ILN]],"-",Tableau1[[#This Row],[Compte Shipper]],"-",Tableau1[[#This Row],[POL]])</f>
        <v>#N/A</v>
      </c>
      <c r="E121" s="396" t="e">
        <f ca="1">_xlfn.CONCAT(Tableau1[[#This Row],[POL]],"-",Tableau1[[#This Row],[Carrier]],"-",Tableau1[[#This Row],[POD]])</f>
        <v>#N/A</v>
      </c>
      <c r="F121" s="64" t="str">
        <f>_xlfn.CONCAT(Tableau1[[#This Row],[ID]],"-","Actif")</f>
        <v>-Actif</v>
      </c>
      <c r="G121" s="64" t="e">
        <f ca="1">_xlfn.CONCAT(Tableau1[[#This Row],[POD]],"-",Tableau1[[#This Row],[Code PFI]],"-",Tableau1[[#This Row],[Compte Consignee]])</f>
        <v>#N/A</v>
      </c>
      <c r="H12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1" s="397" t="str">
        <f ca="1">IF(COUNTIF(I:I,Tableau1[[#This Row],[Plant-ILN-shipper-POL-Carrier-POD-PFI]])=1,"Non","Oui")</f>
        <v>Oui</v>
      </c>
      <c r="K121" s="398" t="e">
        <f>VLOOKUP(Tableau1[[#This Row],[Name Site]],Plant_AILN!A:D,4,FALSE)</f>
        <v>#N/A</v>
      </c>
      <c r="L121" s="285"/>
      <c r="M121" s="480" t="e">
        <f>VLOOKUP(Tableau1[[#This Row],[Name Site]],Plant_AILN!A:C,3,FALSE)</f>
        <v>#N/A</v>
      </c>
      <c r="N121" s="55" t="e">
        <f>VLOOKUP(Tableau1[[#This Row],[Compte Consignee]],Order!C:D,2,FALSE)</f>
        <v>#N/A</v>
      </c>
      <c r="O121" s="114"/>
      <c r="P121" s="481" t="e">
        <f>VLOOKUP(Tableau1[[#This Row],[Name ILN]],Plant_AILN!F:G,2,FALSE)</f>
        <v>#N/A</v>
      </c>
      <c r="Q121" s="50" t="e">
        <f>VLOOKUP(Tableau1[[#This Row],[Compte ILN]],'DATA ILN'!D:I,6,FALSE)</f>
        <v>#N/A</v>
      </c>
      <c r="R121" s="50" t="e">
        <f>IFERROR(VLOOKUP(Tableau1[[#This Row],[Key(Compte ILN - shipper - POL - plant)]],'DATA ILN'!A:J,10,FALSE),VLOOKUP(Tableau1[[#This Row],[Key(Compte ILN - shipper - POL)]],'DATA ILN'!B:J,9,FALSE))</f>
        <v>#N/A</v>
      </c>
      <c r="S121" s="50" t="e">
        <f>IFERROR(VLOOKUP(Tableau1[[#This Row],[Key(Compte ILN - shipper - POL - plant)]],'DATA ILN'!A:K,11,FALSE),VLOOKUP(Tableau1[[#This Row],[Key(Compte ILN - shipper - POL)]],'DATA ILN'!B:K,10,FALSE))</f>
        <v>#N/A</v>
      </c>
      <c r="T121" s="50" t="e">
        <f>IFERROR(VLOOKUP(Tableau1[[#This Row],[Key(Compte ILN - shipper - POL - plant)]],'DATA ILN'!A:L,12,FALSE),VLOOKUP(Tableau1[[#This Row],[Key(Compte ILN - shipper - POL)]],'DATA ILN'!B:L,11,FALSE))</f>
        <v>#N/A</v>
      </c>
      <c r="U121" s="50" t="e">
        <f>Tableau1[[#This Row],[Day ILN Order]]+Tableau1[[#This Row],[Delivery time to ILN/Shipper]]-1</f>
        <v>#N/A</v>
      </c>
      <c r="V121" s="50" t="e">
        <f>IFERROR(VLOOKUP(Tableau1[[#This Row],[Key(Compte ILN - shipper - POL - plant)]],'DATA ILN'!A:N,14,FALSE),VLOOKUP(Tableau1[[#This Row],[Key(Compte ILN - shipper - POL)]],'DATA ILN'!B:N,13,FALSE))</f>
        <v>#N/A</v>
      </c>
      <c r="W121" s="53" t="e">
        <f>IFERROR(VLOOKUP(Tableau1[[#This Row],[Key(Compte ILN - shipper - POL - plant)]],'DATA ILN'!A:P,16,FALSE),VLOOKUP(Tableau1[[#This Row],[Key(Compte ILN - shipper - POL)]],'DATA ILN'!B:P,15,FALSE))</f>
        <v>#N/A</v>
      </c>
      <c r="X121" s="283"/>
      <c r="Y121" s="482">
        <f>IFERROR(VLOOKUP(Tableau1[[#This Row],[Name Shipper]],Plant_AILN!L:M,2,FALSE),0)</f>
        <v>0</v>
      </c>
      <c r="Z121" s="358"/>
      <c r="AA121" s="353" t="e">
        <f ca="1">VLOOKUP(Tableau1[[#This Row],[Key(ID-Actif)]],'DATA BTO'!A:N,5,FALSE)</f>
        <v>#N/A</v>
      </c>
      <c r="AB121" s="3" t="e">
        <f ca="1">VLOOKUP(Tableau1[[#This Row],[Key(ID-Actif)]],'DATA BTO'!A:N,6,FALSE)</f>
        <v>#N/A</v>
      </c>
      <c r="AC121" s="50" t="e">
        <f ca="1">VLOOKUP(Tableau1[[#This Row],[Key(ID-Actif)]],'DATA BTO'!A:N,7,FALSE)</f>
        <v>#N/A</v>
      </c>
      <c r="AD121" s="50" t="e">
        <f ca="1">VLOOKUP(Tableau1[[#This Row],[Key(ID-Actif)]],'DATA BTO'!A:N,8,FALSE)</f>
        <v>#N/A</v>
      </c>
      <c r="AE121" s="50" t="e">
        <f ca="1">IF(Tableau1[[#This Row],[First Day to POL]]&lt;=Tableau1[[#This Row],[Day Cut Off]],Tableau1[[#This Row],[Day ETD]],Tableau1[[#This Row],[Day ETD]]+7)</f>
        <v>#N/A</v>
      </c>
      <c r="AF121" s="50" t="e">
        <f ca="1">VLOOKUP(Tableau1[[#This Row],[Key(ID-Actif)]],'DATA BTO'!A:N,9,FALSE)</f>
        <v>#N/A</v>
      </c>
      <c r="AG121" s="3" t="e">
        <f ca="1">VLOOKUP(Tableau1[[#This Row],[Key(ID-Actif)]],'DATA BTO'!A:N,10,FALSE)</f>
        <v>#N/A</v>
      </c>
      <c r="AH121" s="3" t="e">
        <f ca="1">VLOOKUP(Tableau1[[#This Row],[Key(ID-Actif)]],'DATA BTO'!A:N,11,FALSE)</f>
        <v>#N/A</v>
      </c>
      <c r="AI121" s="50" t="e">
        <f ca="1">VLOOKUP(Tableau1[[#This Row],[Key(ID-Actif)]],'DATA BTO'!A:N,12,FALSE)</f>
        <v>#N/A</v>
      </c>
      <c r="AJ121" s="53" t="e">
        <f ca="1">VLOOKUP(Tableau1[[#This Row],[Key(ID-Actif)]],'DATA BTO'!A:N,14,FALSE)</f>
        <v>#N/A</v>
      </c>
      <c r="AK121" s="54" t="e">
        <f ca="1">VLOOKUP(Tableau1[[#This Row],[Key(POD -PFI- Usine)]],'DATA Consignee'!A:F,6,FALSE)</f>
        <v>#N/A</v>
      </c>
      <c r="AL121" s="125"/>
      <c r="AM121" s="483" t="str">
        <f>IF(Tableau1[[#This Row],[Name PFI/CDD]]="","-",VLOOKUP(Tableau1[[#This Row],[Name PFI/CDD]],Plant_AILN!I:J,2,FALSE))</f>
        <v>-</v>
      </c>
      <c r="AN12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1" s="2" t="e">
        <f ca="1">VLOOKUP(Tableau1[[#This Row],[Key(POD -PFI- Usine)]],'DATA Consignee'!A:J,10,FALSE)</f>
        <v>#N/A</v>
      </c>
      <c r="AQ121" s="50" t="e">
        <f ca="1">VLOOKUP(Tableau1[[#This Row],[Key(POD -PFI- Usine)]],'DATA Consignee'!A:N,14,FALSE)</f>
        <v>#N/A</v>
      </c>
      <c r="AR12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1" s="50" t="e">
        <f ca="1">Tableau1[[#This Row],[Transit time]]+Tableau1[[#This Row],[Time for security]]+Tableau1[[#This Row],[Time for security2 buffer]]</f>
        <v>#N/A</v>
      </c>
      <c r="AU12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1" s="389" t="e">
        <f ca="1">Tableau1[[#This Row],[Leadtime SI2C]]+Tableau1[[#This Row],[First Receipt Days]]-Tableau1[[#This Row],[Day Customer Order]]+1</f>
        <v>#N/A</v>
      </c>
      <c r="AW121" s="117" t="e">
        <f ca="1">IF(Tableau1[[#This Row],[Name ILN]]&lt;&gt;"SFK Freight Forwarder",Tableau1[[#This Row],[Cust. Leadtime]],Tableau1[[#This Row],[Leadtime SI2C]])</f>
        <v>#N/A</v>
      </c>
      <c r="AX121" s="51" t="e">
        <f>VLOOKUP(Tableau1[[#This Row],[ID]],'DATA BTO'!B:P,15,FALSE)</f>
        <v>#N/A</v>
      </c>
      <c r="AY121" s="328" t="e">
        <f ca="1">IFERROR(VLOOKUP(Tableau1[[#This Row],[Key(ID-Actif)]],'DATA BTO'!A:N,4,FALSE),VLOOKUP(Tableau1[[#This Row],[ID]],'DATA BTO'!B:N,3,FALSE))</f>
        <v>#N/A</v>
      </c>
      <c r="AZ12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1" s="50"/>
    </row>
    <row r="122" spans="2:57">
      <c r="B122" s="65" t="str">
        <f>_xlfn.CONCAT(Tableau1[[#This Row],[Name ILN]],"-",Tableau1[[#This Row],[Name Shipper]],"-",Tableau1[[#This Row],[Name Site]])</f>
        <v>--</v>
      </c>
      <c r="C122" s="65" t="e">
        <f>_xlfn.CONCAT(Tableau1[[#This Row],[Compte ILN]],"-",Tableau1[[#This Row],[Compte Shipper]],"-",Tableau1[[#This Row],[POL]],"-",Tableau1[[#This Row],[Compte Consignee]])</f>
        <v>#N/A</v>
      </c>
      <c r="D122" s="64" t="e">
        <f>_xlfn.CONCAT(Tableau1[[#This Row],[Compte ILN]],"-",Tableau1[[#This Row],[Compte Shipper]],"-",Tableau1[[#This Row],[POL]])</f>
        <v>#N/A</v>
      </c>
      <c r="E122" s="396" t="e">
        <f ca="1">_xlfn.CONCAT(Tableau1[[#This Row],[POL]],"-",Tableau1[[#This Row],[Carrier]],"-",Tableau1[[#This Row],[POD]])</f>
        <v>#N/A</v>
      </c>
      <c r="F122" s="64" t="str">
        <f>_xlfn.CONCAT(Tableau1[[#This Row],[ID]],"-","Actif")</f>
        <v>-Actif</v>
      </c>
      <c r="G122" s="64" t="e">
        <f ca="1">_xlfn.CONCAT(Tableau1[[#This Row],[POD]],"-",Tableau1[[#This Row],[Code PFI]],"-",Tableau1[[#This Row],[Compte Consignee]])</f>
        <v>#N/A</v>
      </c>
      <c r="H12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2" s="397" t="str">
        <f ca="1">IF(COUNTIF(I:I,Tableau1[[#This Row],[Plant-ILN-shipper-POL-Carrier-POD-PFI]])=1,"Non","Oui")</f>
        <v>Oui</v>
      </c>
      <c r="K122" s="398" t="e">
        <f>VLOOKUP(Tableau1[[#This Row],[Name Site]],Plant_AILN!A:D,4,FALSE)</f>
        <v>#N/A</v>
      </c>
      <c r="L122" s="285"/>
      <c r="M122" s="480" t="e">
        <f>VLOOKUP(Tableau1[[#This Row],[Name Site]],Plant_AILN!A:C,3,FALSE)</f>
        <v>#N/A</v>
      </c>
      <c r="N122" s="55" t="e">
        <f>VLOOKUP(Tableau1[[#This Row],[Compte Consignee]],Order!C:D,2,FALSE)</f>
        <v>#N/A</v>
      </c>
      <c r="O122" s="114"/>
      <c r="P122" s="481" t="e">
        <f>VLOOKUP(Tableau1[[#This Row],[Name ILN]],Plant_AILN!F:G,2,FALSE)</f>
        <v>#N/A</v>
      </c>
      <c r="Q122" s="50" t="e">
        <f>VLOOKUP(Tableau1[[#This Row],[Compte ILN]],'DATA ILN'!D:I,6,FALSE)</f>
        <v>#N/A</v>
      </c>
      <c r="R122" s="50" t="e">
        <f>IFERROR(VLOOKUP(Tableau1[[#This Row],[Key(Compte ILN - shipper - POL - plant)]],'DATA ILN'!A:J,10,FALSE),VLOOKUP(Tableau1[[#This Row],[Key(Compte ILN - shipper - POL)]],'DATA ILN'!B:J,9,FALSE))</f>
        <v>#N/A</v>
      </c>
      <c r="S122" s="50" t="e">
        <f>IFERROR(VLOOKUP(Tableau1[[#This Row],[Key(Compte ILN - shipper - POL - plant)]],'DATA ILN'!A:K,11,FALSE),VLOOKUP(Tableau1[[#This Row],[Key(Compte ILN - shipper - POL)]],'DATA ILN'!B:K,10,FALSE))</f>
        <v>#N/A</v>
      </c>
      <c r="T122" s="50" t="e">
        <f>IFERROR(VLOOKUP(Tableau1[[#This Row],[Key(Compte ILN - shipper - POL - plant)]],'DATA ILN'!A:L,12,FALSE),VLOOKUP(Tableau1[[#This Row],[Key(Compte ILN - shipper - POL)]],'DATA ILN'!B:L,11,FALSE))</f>
        <v>#N/A</v>
      </c>
      <c r="U122" s="50" t="e">
        <f>Tableau1[[#This Row],[Day ILN Order]]+Tableau1[[#This Row],[Delivery time to ILN/Shipper]]-1</f>
        <v>#N/A</v>
      </c>
      <c r="V122" s="50" t="e">
        <f>IFERROR(VLOOKUP(Tableau1[[#This Row],[Key(Compte ILN - shipper - POL - plant)]],'DATA ILN'!A:N,14,FALSE),VLOOKUP(Tableau1[[#This Row],[Key(Compte ILN - shipper - POL)]],'DATA ILN'!B:N,13,FALSE))</f>
        <v>#N/A</v>
      </c>
      <c r="W122" s="53" t="e">
        <f>IFERROR(VLOOKUP(Tableau1[[#This Row],[Key(Compte ILN - shipper - POL - plant)]],'DATA ILN'!A:P,16,FALSE),VLOOKUP(Tableau1[[#This Row],[Key(Compte ILN - shipper - POL)]],'DATA ILN'!B:P,15,FALSE))</f>
        <v>#N/A</v>
      </c>
      <c r="X122" s="283"/>
      <c r="Y122" s="482">
        <f>IFERROR(VLOOKUP(Tableau1[[#This Row],[Name Shipper]],Plant_AILN!L:M,2,FALSE),0)</f>
        <v>0</v>
      </c>
      <c r="Z122" s="358"/>
      <c r="AA122" s="353" t="e">
        <f ca="1">VLOOKUP(Tableau1[[#This Row],[Key(ID-Actif)]],'DATA BTO'!A:N,5,FALSE)</f>
        <v>#N/A</v>
      </c>
      <c r="AB122" s="3" t="e">
        <f ca="1">VLOOKUP(Tableau1[[#This Row],[Key(ID-Actif)]],'DATA BTO'!A:N,6,FALSE)</f>
        <v>#N/A</v>
      </c>
      <c r="AC122" s="50" t="e">
        <f ca="1">VLOOKUP(Tableau1[[#This Row],[Key(ID-Actif)]],'DATA BTO'!A:N,7,FALSE)</f>
        <v>#N/A</v>
      </c>
      <c r="AD122" s="50" t="e">
        <f ca="1">VLOOKUP(Tableau1[[#This Row],[Key(ID-Actif)]],'DATA BTO'!A:N,8,FALSE)</f>
        <v>#N/A</v>
      </c>
      <c r="AE122" s="50" t="e">
        <f ca="1">IF(Tableau1[[#This Row],[First Day to POL]]&lt;=Tableau1[[#This Row],[Day Cut Off]],Tableau1[[#This Row],[Day ETD]],Tableau1[[#This Row],[Day ETD]]+7)</f>
        <v>#N/A</v>
      </c>
      <c r="AF122" s="50" t="e">
        <f ca="1">VLOOKUP(Tableau1[[#This Row],[Key(ID-Actif)]],'DATA BTO'!A:N,9,FALSE)</f>
        <v>#N/A</v>
      </c>
      <c r="AG122" s="3" t="e">
        <f ca="1">VLOOKUP(Tableau1[[#This Row],[Key(ID-Actif)]],'DATA BTO'!A:N,10,FALSE)</f>
        <v>#N/A</v>
      </c>
      <c r="AH122" s="3" t="e">
        <f ca="1">VLOOKUP(Tableau1[[#This Row],[Key(ID-Actif)]],'DATA BTO'!A:N,11,FALSE)</f>
        <v>#N/A</v>
      </c>
      <c r="AI122" s="50" t="e">
        <f ca="1">VLOOKUP(Tableau1[[#This Row],[Key(ID-Actif)]],'DATA BTO'!A:N,12,FALSE)</f>
        <v>#N/A</v>
      </c>
      <c r="AJ122" s="53" t="e">
        <f ca="1">VLOOKUP(Tableau1[[#This Row],[Key(ID-Actif)]],'DATA BTO'!A:N,14,FALSE)</f>
        <v>#N/A</v>
      </c>
      <c r="AK122" s="54" t="e">
        <f ca="1">VLOOKUP(Tableau1[[#This Row],[Key(POD -PFI- Usine)]],'DATA Consignee'!A:F,6,FALSE)</f>
        <v>#N/A</v>
      </c>
      <c r="AL122" s="125"/>
      <c r="AM122" s="483" t="str">
        <f>IF(Tableau1[[#This Row],[Name PFI/CDD]]="","-",VLOOKUP(Tableau1[[#This Row],[Name PFI/CDD]],Plant_AILN!I:J,2,FALSE))</f>
        <v>-</v>
      </c>
      <c r="AN12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2" s="2" t="e">
        <f ca="1">VLOOKUP(Tableau1[[#This Row],[Key(POD -PFI- Usine)]],'DATA Consignee'!A:J,10,FALSE)</f>
        <v>#N/A</v>
      </c>
      <c r="AQ122" s="50" t="e">
        <f ca="1">VLOOKUP(Tableau1[[#This Row],[Key(POD -PFI- Usine)]],'DATA Consignee'!A:N,14,FALSE)</f>
        <v>#N/A</v>
      </c>
      <c r="AR12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2" s="50" t="e">
        <f ca="1">Tableau1[[#This Row],[Transit time]]+Tableau1[[#This Row],[Time for security]]+Tableau1[[#This Row],[Time for security2 buffer]]</f>
        <v>#N/A</v>
      </c>
      <c r="AU12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2" s="389" t="e">
        <f ca="1">Tableau1[[#This Row],[Leadtime SI2C]]+Tableau1[[#This Row],[First Receipt Days]]-Tableau1[[#This Row],[Day Customer Order]]+1</f>
        <v>#N/A</v>
      </c>
      <c r="AW122" s="117" t="e">
        <f ca="1">IF(Tableau1[[#This Row],[Name ILN]]&lt;&gt;"SFK Freight Forwarder",Tableau1[[#This Row],[Cust. Leadtime]],Tableau1[[#This Row],[Leadtime SI2C]])</f>
        <v>#N/A</v>
      </c>
      <c r="AX122" s="51" t="e">
        <f>VLOOKUP(Tableau1[[#This Row],[ID]],'DATA BTO'!B:P,15,FALSE)</f>
        <v>#N/A</v>
      </c>
      <c r="AY122" s="328" t="e">
        <f ca="1">IFERROR(VLOOKUP(Tableau1[[#This Row],[Key(ID-Actif)]],'DATA BTO'!A:N,4,FALSE),VLOOKUP(Tableau1[[#This Row],[ID]],'DATA BTO'!B:N,3,FALSE))</f>
        <v>#N/A</v>
      </c>
      <c r="AZ12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2" s="50"/>
    </row>
    <row r="123" spans="2:57">
      <c r="B123" s="65" t="str">
        <f>_xlfn.CONCAT(Tableau1[[#This Row],[Name ILN]],"-",Tableau1[[#This Row],[Name Shipper]],"-",Tableau1[[#This Row],[Name Site]])</f>
        <v>--</v>
      </c>
      <c r="C123" s="65" t="e">
        <f>_xlfn.CONCAT(Tableau1[[#This Row],[Compte ILN]],"-",Tableau1[[#This Row],[Compte Shipper]],"-",Tableau1[[#This Row],[POL]],"-",Tableau1[[#This Row],[Compte Consignee]])</f>
        <v>#N/A</v>
      </c>
      <c r="D123" s="64" t="e">
        <f>_xlfn.CONCAT(Tableau1[[#This Row],[Compte ILN]],"-",Tableau1[[#This Row],[Compte Shipper]],"-",Tableau1[[#This Row],[POL]])</f>
        <v>#N/A</v>
      </c>
      <c r="E123" s="396" t="e">
        <f ca="1">_xlfn.CONCAT(Tableau1[[#This Row],[POL]],"-",Tableau1[[#This Row],[Carrier]],"-",Tableau1[[#This Row],[POD]])</f>
        <v>#N/A</v>
      </c>
      <c r="F123" s="64" t="str">
        <f>_xlfn.CONCAT(Tableau1[[#This Row],[ID]],"-","Actif")</f>
        <v>-Actif</v>
      </c>
      <c r="G123" s="64" t="e">
        <f ca="1">_xlfn.CONCAT(Tableau1[[#This Row],[POD]],"-",Tableau1[[#This Row],[Code PFI]],"-",Tableau1[[#This Row],[Compte Consignee]])</f>
        <v>#N/A</v>
      </c>
      <c r="H12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3" s="397" t="str">
        <f ca="1">IF(COUNTIF(I:I,Tableau1[[#This Row],[Plant-ILN-shipper-POL-Carrier-POD-PFI]])=1,"Non","Oui")</f>
        <v>Oui</v>
      </c>
      <c r="K123" s="398" t="e">
        <f>VLOOKUP(Tableau1[[#This Row],[Name Site]],Plant_AILN!A:D,4,FALSE)</f>
        <v>#N/A</v>
      </c>
      <c r="L123" s="285"/>
      <c r="M123" s="480" t="e">
        <f>VLOOKUP(Tableau1[[#This Row],[Name Site]],Plant_AILN!A:C,3,FALSE)</f>
        <v>#N/A</v>
      </c>
      <c r="N123" s="55" t="e">
        <f>VLOOKUP(Tableau1[[#This Row],[Compte Consignee]],Order!C:D,2,FALSE)</f>
        <v>#N/A</v>
      </c>
      <c r="O123" s="114"/>
      <c r="P123" s="481" t="e">
        <f>VLOOKUP(Tableau1[[#This Row],[Name ILN]],Plant_AILN!F:G,2,FALSE)</f>
        <v>#N/A</v>
      </c>
      <c r="Q123" s="50" t="e">
        <f>VLOOKUP(Tableau1[[#This Row],[Compte ILN]],'DATA ILN'!D:I,6,FALSE)</f>
        <v>#N/A</v>
      </c>
      <c r="R123" s="50" t="e">
        <f>IFERROR(VLOOKUP(Tableau1[[#This Row],[Key(Compte ILN - shipper - POL - plant)]],'DATA ILN'!A:J,10,FALSE),VLOOKUP(Tableau1[[#This Row],[Key(Compte ILN - shipper - POL)]],'DATA ILN'!B:J,9,FALSE))</f>
        <v>#N/A</v>
      </c>
      <c r="S123" s="50" t="e">
        <f>IFERROR(VLOOKUP(Tableau1[[#This Row],[Key(Compte ILN - shipper - POL - plant)]],'DATA ILN'!A:K,11,FALSE),VLOOKUP(Tableau1[[#This Row],[Key(Compte ILN - shipper - POL)]],'DATA ILN'!B:K,10,FALSE))</f>
        <v>#N/A</v>
      </c>
      <c r="T123" s="50" t="e">
        <f>IFERROR(VLOOKUP(Tableau1[[#This Row],[Key(Compte ILN - shipper - POL - plant)]],'DATA ILN'!A:L,12,FALSE),VLOOKUP(Tableau1[[#This Row],[Key(Compte ILN - shipper - POL)]],'DATA ILN'!B:L,11,FALSE))</f>
        <v>#N/A</v>
      </c>
      <c r="U123" s="50" t="e">
        <f>Tableau1[[#This Row],[Day ILN Order]]+Tableau1[[#This Row],[Delivery time to ILN/Shipper]]-1</f>
        <v>#N/A</v>
      </c>
      <c r="V123" s="50" t="e">
        <f>IFERROR(VLOOKUP(Tableau1[[#This Row],[Key(Compte ILN - shipper - POL - plant)]],'DATA ILN'!A:N,14,FALSE),VLOOKUP(Tableau1[[#This Row],[Key(Compte ILN - shipper - POL)]],'DATA ILN'!B:N,13,FALSE))</f>
        <v>#N/A</v>
      </c>
      <c r="W123" s="53" t="e">
        <f>IFERROR(VLOOKUP(Tableau1[[#This Row],[Key(Compte ILN - shipper - POL - plant)]],'DATA ILN'!A:P,16,FALSE),VLOOKUP(Tableau1[[#This Row],[Key(Compte ILN - shipper - POL)]],'DATA ILN'!B:P,15,FALSE))</f>
        <v>#N/A</v>
      </c>
      <c r="X123" s="283"/>
      <c r="Y123" s="482">
        <f>IFERROR(VLOOKUP(Tableau1[[#This Row],[Name Shipper]],Plant_AILN!L:M,2,FALSE),0)</f>
        <v>0</v>
      </c>
      <c r="Z123" s="358"/>
      <c r="AA123" s="353" t="e">
        <f ca="1">VLOOKUP(Tableau1[[#This Row],[Key(ID-Actif)]],'DATA BTO'!A:N,5,FALSE)</f>
        <v>#N/A</v>
      </c>
      <c r="AB123" s="3" t="e">
        <f ca="1">VLOOKUP(Tableau1[[#This Row],[Key(ID-Actif)]],'DATA BTO'!A:N,6,FALSE)</f>
        <v>#N/A</v>
      </c>
      <c r="AC123" s="50" t="e">
        <f ca="1">VLOOKUP(Tableau1[[#This Row],[Key(ID-Actif)]],'DATA BTO'!A:N,7,FALSE)</f>
        <v>#N/A</v>
      </c>
      <c r="AD123" s="50" t="e">
        <f ca="1">VLOOKUP(Tableau1[[#This Row],[Key(ID-Actif)]],'DATA BTO'!A:N,8,FALSE)</f>
        <v>#N/A</v>
      </c>
      <c r="AE123" s="50" t="e">
        <f ca="1">IF(Tableau1[[#This Row],[First Day to POL]]&lt;=Tableau1[[#This Row],[Day Cut Off]],Tableau1[[#This Row],[Day ETD]],Tableau1[[#This Row],[Day ETD]]+7)</f>
        <v>#N/A</v>
      </c>
      <c r="AF123" s="50" t="e">
        <f ca="1">VLOOKUP(Tableau1[[#This Row],[Key(ID-Actif)]],'DATA BTO'!A:N,9,FALSE)</f>
        <v>#N/A</v>
      </c>
      <c r="AG123" s="3" t="e">
        <f ca="1">VLOOKUP(Tableau1[[#This Row],[Key(ID-Actif)]],'DATA BTO'!A:N,10,FALSE)</f>
        <v>#N/A</v>
      </c>
      <c r="AH123" s="3" t="e">
        <f ca="1">VLOOKUP(Tableau1[[#This Row],[Key(ID-Actif)]],'DATA BTO'!A:N,11,FALSE)</f>
        <v>#N/A</v>
      </c>
      <c r="AI123" s="50" t="e">
        <f ca="1">VLOOKUP(Tableau1[[#This Row],[Key(ID-Actif)]],'DATA BTO'!A:N,12,FALSE)</f>
        <v>#N/A</v>
      </c>
      <c r="AJ123" s="53" t="e">
        <f ca="1">VLOOKUP(Tableau1[[#This Row],[Key(ID-Actif)]],'DATA BTO'!A:N,14,FALSE)</f>
        <v>#N/A</v>
      </c>
      <c r="AK123" s="54" t="e">
        <f ca="1">VLOOKUP(Tableau1[[#This Row],[Key(POD -PFI- Usine)]],'DATA Consignee'!A:F,6,FALSE)</f>
        <v>#N/A</v>
      </c>
      <c r="AL123" s="125"/>
      <c r="AM123" s="483" t="str">
        <f>IF(Tableau1[[#This Row],[Name PFI/CDD]]="","-",VLOOKUP(Tableau1[[#This Row],[Name PFI/CDD]],Plant_AILN!I:J,2,FALSE))</f>
        <v>-</v>
      </c>
      <c r="AN12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3" s="2" t="e">
        <f ca="1">VLOOKUP(Tableau1[[#This Row],[Key(POD -PFI- Usine)]],'DATA Consignee'!A:J,10,FALSE)</f>
        <v>#N/A</v>
      </c>
      <c r="AQ123" s="50" t="e">
        <f ca="1">VLOOKUP(Tableau1[[#This Row],[Key(POD -PFI- Usine)]],'DATA Consignee'!A:N,14,FALSE)</f>
        <v>#N/A</v>
      </c>
      <c r="AR12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3" s="50" t="e">
        <f ca="1">Tableau1[[#This Row],[Transit time]]+Tableau1[[#This Row],[Time for security]]+Tableau1[[#This Row],[Time for security2 buffer]]</f>
        <v>#N/A</v>
      </c>
      <c r="AU12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3" s="389" t="e">
        <f ca="1">Tableau1[[#This Row],[Leadtime SI2C]]+Tableau1[[#This Row],[First Receipt Days]]-Tableau1[[#This Row],[Day Customer Order]]+1</f>
        <v>#N/A</v>
      </c>
      <c r="AW123" s="117" t="e">
        <f ca="1">IF(Tableau1[[#This Row],[Name ILN]]&lt;&gt;"SFK Freight Forwarder",Tableau1[[#This Row],[Cust. Leadtime]],Tableau1[[#This Row],[Leadtime SI2C]])</f>
        <v>#N/A</v>
      </c>
      <c r="AX123" s="51" t="e">
        <f>VLOOKUP(Tableau1[[#This Row],[ID]],'DATA BTO'!B:P,15,FALSE)</f>
        <v>#N/A</v>
      </c>
      <c r="AY123" s="328" t="e">
        <f ca="1">IFERROR(VLOOKUP(Tableau1[[#This Row],[Key(ID-Actif)]],'DATA BTO'!A:N,4,FALSE),VLOOKUP(Tableau1[[#This Row],[ID]],'DATA BTO'!B:N,3,FALSE))</f>
        <v>#N/A</v>
      </c>
      <c r="AZ12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3" s="50"/>
    </row>
    <row r="124" spans="2:57">
      <c r="B124" s="65" t="str">
        <f>_xlfn.CONCAT(Tableau1[[#This Row],[Name ILN]],"-",Tableau1[[#This Row],[Name Shipper]],"-",Tableau1[[#This Row],[Name Site]])</f>
        <v>--</v>
      </c>
      <c r="C124" s="65" t="e">
        <f>_xlfn.CONCAT(Tableau1[[#This Row],[Compte ILN]],"-",Tableau1[[#This Row],[Compte Shipper]],"-",Tableau1[[#This Row],[POL]],"-",Tableau1[[#This Row],[Compte Consignee]])</f>
        <v>#N/A</v>
      </c>
      <c r="D124" s="64" t="e">
        <f>_xlfn.CONCAT(Tableau1[[#This Row],[Compte ILN]],"-",Tableau1[[#This Row],[Compte Shipper]],"-",Tableau1[[#This Row],[POL]])</f>
        <v>#N/A</v>
      </c>
      <c r="E124" s="396" t="e">
        <f ca="1">_xlfn.CONCAT(Tableau1[[#This Row],[POL]],"-",Tableau1[[#This Row],[Carrier]],"-",Tableau1[[#This Row],[POD]])</f>
        <v>#N/A</v>
      </c>
      <c r="F124" s="64" t="str">
        <f>_xlfn.CONCAT(Tableau1[[#This Row],[ID]],"-","Actif")</f>
        <v>-Actif</v>
      </c>
      <c r="G124" s="64" t="e">
        <f ca="1">_xlfn.CONCAT(Tableau1[[#This Row],[POD]],"-",Tableau1[[#This Row],[Code PFI]],"-",Tableau1[[#This Row],[Compte Consignee]])</f>
        <v>#N/A</v>
      </c>
      <c r="H12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4" s="397" t="str">
        <f ca="1">IF(COUNTIF(I:I,Tableau1[[#This Row],[Plant-ILN-shipper-POL-Carrier-POD-PFI]])=1,"Non","Oui")</f>
        <v>Oui</v>
      </c>
      <c r="K124" s="398" t="e">
        <f>VLOOKUP(Tableau1[[#This Row],[Name Site]],Plant_AILN!A:D,4,FALSE)</f>
        <v>#N/A</v>
      </c>
      <c r="L124" s="285"/>
      <c r="M124" s="480" t="e">
        <f>VLOOKUP(Tableau1[[#This Row],[Name Site]],Plant_AILN!A:C,3,FALSE)</f>
        <v>#N/A</v>
      </c>
      <c r="N124" s="55" t="e">
        <f>VLOOKUP(Tableau1[[#This Row],[Compte Consignee]],Order!C:D,2,FALSE)</f>
        <v>#N/A</v>
      </c>
      <c r="O124" s="114"/>
      <c r="P124" s="481" t="e">
        <f>VLOOKUP(Tableau1[[#This Row],[Name ILN]],Plant_AILN!F:G,2,FALSE)</f>
        <v>#N/A</v>
      </c>
      <c r="Q124" s="50" t="e">
        <f>VLOOKUP(Tableau1[[#This Row],[Compte ILN]],'DATA ILN'!D:I,6,FALSE)</f>
        <v>#N/A</v>
      </c>
      <c r="R124" s="50" t="e">
        <f>IFERROR(VLOOKUP(Tableau1[[#This Row],[Key(Compte ILN - shipper - POL - plant)]],'DATA ILN'!A:J,10,FALSE),VLOOKUP(Tableau1[[#This Row],[Key(Compte ILN - shipper - POL)]],'DATA ILN'!B:J,9,FALSE))</f>
        <v>#N/A</v>
      </c>
      <c r="S124" s="50" t="e">
        <f>IFERROR(VLOOKUP(Tableau1[[#This Row],[Key(Compte ILN - shipper - POL - plant)]],'DATA ILN'!A:K,11,FALSE),VLOOKUP(Tableau1[[#This Row],[Key(Compte ILN - shipper - POL)]],'DATA ILN'!B:K,10,FALSE))</f>
        <v>#N/A</v>
      </c>
      <c r="T124" s="50" t="e">
        <f>IFERROR(VLOOKUP(Tableau1[[#This Row],[Key(Compte ILN - shipper - POL - plant)]],'DATA ILN'!A:L,12,FALSE),VLOOKUP(Tableau1[[#This Row],[Key(Compte ILN - shipper - POL)]],'DATA ILN'!B:L,11,FALSE))</f>
        <v>#N/A</v>
      </c>
      <c r="U124" s="50" t="e">
        <f>Tableau1[[#This Row],[Day ILN Order]]+Tableau1[[#This Row],[Delivery time to ILN/Shipper]]-1</f>
        <v>#N/A</v>
      </c>
      <c r="V124" s="50" t="e">
        <f>IFERROR(VLOOKUP(Tableau1[[#This Row],[Key(Compte ILN - shipper - POL - plant)]],'DATA ILN'!A:N,14,FALSE),VLOOKUP(Tableau1[[#This Row],[Key(Compte ILN - shipper - POL)]],'DATA ILN'!B:N,13,FALSE))</f>
        <v>#N/A</v>
      </c>
      <c r="W124" s="53" t="e">
        <f>IFERROR(VLOOKUP(Tableau1[[#This Row],[Key(Compte ILN - shipper - POL - plant)]],'DATA ILN'!A:P,16,FALSE),VLOOKUP(Tableau1[[#This Row],[Key(Compte ILN - shipper - POL)]],'DATA ILN'!B:P,15,FALSE))</f>
        <v>#N/A</v>
      </c>
      <c r="X124" s="283"/>
      <c r="Y124" s="482">
        <f>IFERROR(VLOOKUP(Tableau1[[#This Row],[Name Shipper]],Plant_AILN!L:M,2,FALSE),0)</f>
        <v>0</v>
      </c>
      <c r="Z124" s="358"/>
      <c r="AA124" s="353" t="e">
        <f ca="1">VLOOKUP(Tableau1[[#This Row],[Key(ID-Actif)]],'DATA BTO'!A:N,5,FALSE)</f>
        <v>#N/A</v>
      </c>
      <c r="AB124" s="3" t="e">
        <f ca="1">VLOOKUP(Tableau1[[#This Row],[Key(ID-Actif)]],'DATA BTO'!A:N,6,FALSE)</f>
        <v>#N/A</v>
      </c>
      <c r="AC124" s="50" t="e">
        <f ca="1">VLOOKUP(Tableau1[[#This Row],[Key(ID-Actif)]],'DATA BTO'!A:N,7,FALSE)</f>
        <v>#N/A</v>
      </c>
      <c r="AD124" s="50" t="e">
        <f ca="1">VLOOKUP(Tableau1[[#This Row],[Key(ID-Actif)]],'DATA BTO'!A:N,8,FALSE)</f>
        <v>#N/A</v>
      </c>
      <c r="AE124" s="50" t="e">
        <f ca="1">IF(Tableau1[[#This Row],[First Day to POL]]&lt;=Tableau1[[#This Row],[Day Cut Off]],Tableau1[[#This Row],[Day ETD]],Tableau1[[#This Row],[Day ETD]]+7)</f>
        <v>#N/A</v>
      </c>
      <c r="AF124" s="50" t="e">
        <f ca="1">VLOOKUP(Tableau1[[#This Row],[Key(ID-Actif)]],'DATA BTO'!A:N,9,FALSE)</f>
        <v>#N/A</v>
      </c>
      <c r="AG124" s="3" t="e">
        <f ca="1">VLOOKUP(Tableau1[[#This Row],[Key(ID-Actif)]],'DATA BTO'!A:N,10,FALSE)</f>
        <v>#N/A</v>
      </c>
      <c r="AH124" s="3" t="e">
        <f ca="1">VLOOKUP(Tableau1[[#This Row],[Key(ID-Actif)]],'DATA BTO'!A:N,11,FALSE)</f>
        <v>#N/A</v>
      </c>
      <c r="AI124" s="50" t="e">
        <f ca="1">VLOOKUP(Tableau1[[#This Row],[Key(ID-Actif)]],'DATA BTO'!A:N,12,FALSE)</f>
        <v>#N/A</v>
      </c>
      <c r="AJ124" s="53" t="e">
        <f ca="1">VLOOKUP(Tableau1[[#This Row],[Key(ID-Actif)]],'DATA BTO'!A:N,14,FALSE)</f>
        <v>#N/A</v>
      </c>
      <c r="AK124" s="54" t="e">
        <f ca="1">VLOOKUP(Tableau1[[#This Row],[Key(POD -PFI- Usine)]],'DATA Consignee'!A:F,6,FALSE)</f>
        <v>#N/A</v>
      </c>
      <c r="AL124" s="125"/>
      <c r="AM124" s="483" t="str">
        <f>IF(Tableau1[[#This Row],[Name PFI/CDD]]="","-",VLOOKUP(Tableau1[[#This Row],[Name PFI/CDD]],Plant_AILN!I:J,2,FALSE))</f>
        <v>-</v>
      </c>
      <c r="AN12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4" s="2" t="e">
        <f ca="1">VLOOKUP(Tableau1[[#This Row],[Key(POD -PFI- Usine)]],'DATA Consignee'!A:J,10,FALSE)</f>
        <v>#N/A</v>
      </c>
      <c r="AQ124" s="50" t="e">
        <f ca="1">VLOOKUP(Tableau1[[#This Row],[Key(POD -PFI- Usine)]],'DATA Consignee'!A:N,14,FALSE)</f>
        <v>#N/A</v>
      </c>
      <c r="AR12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4" s="50" t="e">
        <f ca="1">Tableau1[[#This Row],[Transit time]]+Tableau1[[#This Row],[Time for security]]+Tableau1[[#This Row],[Time for security2 buffer]]</f>
        <v>#N/A</v>
      </c>
      <c r="AU12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4" s="389" t="e">
        <f ca="1">Tableau1[[#This Row],[Leadtime SI2C]]+Tableau1[[#This Row],[First Receipt Days]]-Tableau1[[#This Row],[Day Customer Order]]+1</f>
        <v>#N/A</v>
      </c>
      <c r="AW124" s="117" t="e">
        <f ca="1">IF(Tableau1[[#This Row],[Name ILN]]&lt;&gt;"SFK Freight Forwarder",Tableau1[[#This Row],[Cust. Leadtime]],Tableau1[[#This Row],[Leadtime SI2C]])</f>
        <v>#N/A</v>
      </c>
      <c r="AX124" s="51" t="e">
        <f>VLOOKUP(Tableau1[[#This Row],[ID]],'DATA BTO'!B:P,15,FALSE)</f>
        <v>#N/A</v>
      </c>
      <c r="AY124" s="328" t="e">
        <f ca="1">IFERROR(VLOOKUP(Tableau1[[#This Row],[Key(ID-Actif)]],'DATA BTO'!A:N,4,FALSE),VLOOKUP(Tableau1[[#This Row],[ID]],'DATA BTO'!B:N,3,FALSE))</f>
        <v>#N/A</v>
      </c>
      <c r="AZ12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4" s="50"/>
    </row>
    <row r="125" spans="2:57">
      <c r="B125" s="65" t="str">
        <f>_xlfn.CONCAT(Tableau1[[#This Row],[Name ILN]],"-",Tableau1[[#This Row],[Name Shipper]],"-",Tableau1[[#This Row],[Name Site]])</f>
        <v>--</v>
      </c>
      <c r="C125" s="65" t="e">
        <f>_xlfn.CONCAT(Tableau1[[#This Row],[Compte ILN]],"-",Tableau1[[#This Row],[Compte Shipper]],"-",Tableau1[[#This Row],[POL]],"-",Tableau1[[#This Row],[Compte Consignee]])</f>
        <v>#N/A</v>
      </c>
      <c r="D125" s="64" t="e">
        <f>_xlfn.CONCAT(Tableau1[[#This Row],[Compte ILN]],"-",Tableau1[[#This Row],[Compte Shipper]],"-",Tableau1[[#This Row],[POL]])</f>
        <v>#N/A</v>
      </c>
      <c r="E125" s="396" t="e">
        <f ca="1">_xlfn.CONCAT(Tableau1[[#This Row],[POL]],"-",Tableau1[[#This Row],[Carrier]],"-",Tableau1[[#This Row],[POD]])</f>
        <v>#N/A</v>
      </c>
      <c r="F125" s="64" t="str">
        <f>_xlfn.CONCAT(Tableau1[[#This Row],[ID]],"-","Actif")</f>
        <v>-Actif</v>
      </c>
      <c r="G125" s="64" t="e">
        <f ca="1">_xlfn.CONCAT(Tableau1[[#This Row],[POD]],"-",Tableau1[[#This Row],[Code PFI]],"-",Tableau1[[#This Row],[Compte Consignee]])</f>
        <v>#N/A</v>
      </c>
      <c r="H12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5" s="397" t="str">
        <f ca="1">IF(COUNTIF(I:I,Tableau1[[#This Row],[Plant-ILN-shipper-POL-Carrier-POD-PFI]])=1,"Non","Oui")</f>
        <v>Oui</v>
      </c>
      <c r="K125" s="398" t="e">
        <f>VLOOKUP(Tableau1[[#This Row],[Name Site]],Plant_AILN!A:D,4,FALSE)</f>
        <v>#N/A</v>
      </c>
      <c r="L125" s="285"/>
      <c r="M125" s="480" t="e">
        <f>VLOOKUP(Tableau1[[#This Row],[Name Site]],Plant_AILN!A:C,3,FALSE)</f>
        <v>#N/A</v>
      </c>
      <c r="N125" s="55" t="e">
        <f>VLOOKUP(Tableau1[[#This Row],[Compte Consignee]],Order!C:D,2,FALSE)</f>
        <v>#N/A</v>
      </c>
      <c r="O125" s="114"/>
      <c r="P125" s="481" t="e">
        <f>VLOOKUP(Tableau1[[#This Row],[Name ILN]],Plant_AILN!F:G,2,FALSE)</f>
        <v>#N/A</v>
      </c>
      <c r="Q125" s="50" t="e">
        <f>VLOOKUP(Tableau1[[#This Row],[Compte ILN]],'DATA ILN'!D:I,6,FALSE)</f>
        <v>#N/A</v>
      </c>
      <c r="R125" s="50" t="e">
        <f>IFERROR(VLOOKUP(Tableau1[[#This Row],[Key(Compte ILN - shipper - POL - plant)]],'DATA ILN'!A:J,10,FALSE),VLOOKUP(Tableau1[[#This Row],[Key(Compte ILN - shipper - POL)]],'DATA ILN'!B:J,9,FALSE))</f>
        <v>#N/A</v>
      </c>
      <c r="S125" s="50" t="e">
        <f>IFERROR(VLOOKUP(Tableau1[[#This Row],[Key(Compte ILN - shipper - POL - plant)]],'DATA ILN'!A:K,11,FALSE),VLOOKUP(Tableau1[[#This Row],[Key(Compte ILN - shipper - POL)]],'DATA ILN'!B:K,10,FALSE))</f>
        <v>#N/A</v>
      </c>
      <c r="T125" s="50" t="e">
        <f>IFERROR(VLOOKUP(Tableau1[[#This Row],[Key(Compte ILN - shipper - POL - plant)]],'DATA ILN'!A:L,12,FALSE),VLOOKUP(Tableau1[[#This Row],[Key(Compte ILN - shipper - POL)]],'DATA ILN'!B:L,11,FALSE))</f>
        <v>#N/A</v>
      </c>
      <c r="U125" s="50" t="e">
        <f>Tableau1[[#This Row],[Day ILN Order]]+Tableau1[[#This Row],[Delivery time to ILN/Shipper]]-1</f>
        <v>#N/A</v>
      </c>
      <c r="V125" s="50" t="e">
        <f>IFERROR(VLOOKUP(Tableau1[[#This Row],[Key(Compte ILN - shipper - POL - plant)]],'DATA ILN'!A:N,14,FALSE),VLOOKUP(Tableau1[[#This Row],[Key(Compte ILN - shipper - POL)]],'DATA ILN'!B:N,13,FALSE))</f>
        <v>#N/A</v>
      </c>
      <c r="W125" s="53" t="e">
        <f>IFERROR(VLOOKUP(Tableau1[[#This Row],[Key(Compte ILN - shipper - POL - plant)]],'DATA ILN'!A:P,16,FALSE),VLOOKUP(Tableau1[[#This Row],[Key(Compte ILN - shipper - POL)]],'DATA ILN'!B:P,15,FALSE))</f>
        <v>#N/A</v>
      </c>
      <c r="X125" s="283"/>
      <c r="Y125" s="482">
        <f>IFERROR(VLOOKUP(Tableau1[[#This Row],[Name Shipper]],Plant_AILN!L:M,2,FALSE),0)</f>
        <v>0</v>
      </c>
      <c r="Z125" s="358"/>
      <c r="AA125" s="353" t="e">
        <f ca="1">VLOOKUP(Tableau1[[#This Row],[Key(ID-Actif)]],'DATA BTO'!A:N,5,FALSE)</f>
        <v>#N/A</v>
      </c>
      <c r="AB125" s="3" t="e">
        <f ca="1">VLOOKUP(Tableau1[[#This Row],[Key(ID-Actif)]],'DATA BTO'!A:N,6,FALSE)</f>
        <v>#N/A</v>
      </c>
      <c r="AC125" s="50" t="e">
        <f ca="1">VLOOKUP(Tableau1[[#This Row],[Key(ID-Actif)]],'DATA BTO'!A:N,7,FALSE)</f>
        <v>#N/A</v>
      </c>
      <c r="AD125" s="50" t="e">
        <f ca="1">VLOOKUP(Tableau1[[#This Row],[Key(ID-Actif)]],'DATA BTO'!A:N,8,FALSE)</f>
        <v>#N/A</v>
      </c>
      <c r="AE125" s="50" t="e">
        <f ca="1">IF(Tableau1[[#This Row],[First Day to POL]]&lt;=Tableau1[[#This Row],[Day Cut Off]],Tableau1[[#This Row],[Day ETD]],Tableau1[[#This Row],[Day ETD]]+7)</f>
        <v>#N/A</v>
      </c>
      <c r="AF125" s="50" t="e">
        <f ca="1">VLOOKUP(Tableau1[[#This Row],[Key(ID-Actif)]],'DATA BTO'!A:N,9,FALSE)</f>
        <v>#N/A</v>
      </c>
      <c r="AG125" s="3" t="e">
        <f ca="1">VLOOKUP(Tableau1[[#This Row],[Key(ID-Actif)]],'DATA BTO'!A:N,10,FALSE)</f>
        <v>#N/A</v>
      </c>
      <c r="AH125" s="3" t="e">
        <f ca="1">VLOOKUP(Tableau1[[#This Row],[Key(ID-Actif)]],'DATA BTO'!A:N,11,FALSE)</f>
        <v>#N/A</v>
      </c>
      <c r="AI125" s="50" t="e">
        <f ca="1">VLOOKUP(Tableau1[[#This Row],[Key(ID-Actif)]],'DATA BTO'!A:N,12,FALSE)</f>
        <v>#N/A</v>
      </c>
      <c r="AJ125" s="53" t="e">
        <f ca="1">VLOOKUP(Tableau1[[#This Row],[Key(ID-Actif)]],'DATA BTO'!A:N,14,FALSE)</f>
        <v>#N/A</v>
      </c>
      <c r="AK125" s="54" t="e">
        <f ca="1">VLOOKUP(Tableau1[[#This Row],[Key(POD -PFI- Usine)]],'DATA Consignee'!A:F,6,FALSE)</f>
        <v>#N/A</v>
      </c>
      <c r="AL125" s="125"/>
      <c r="AM125" s="483" t="str">
        <f>IF(Tableau1[[#This Row],[Name PFI/CDD]]="","-",VLOOKUP(Tableau1[[#This Row],[Name PFI/CDD]],Plant_AILN!I:J,2,FALSE))</f>
        <v>-</v>
      </c>
      <c r="AN12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5" s="2" t="e">
        <f ca="1">VLOOKUP(Tableau1[[#This Row],[Key(POD -PFI- Usine)]],'DATA Consignee'!A:J,10,FALSE)</f>
        <v>#N/A</v>
      </c>
      <c r="AQ125" s="50" t="e">
        <f ca="1">VLOOKUP(Tableau1[[#This Row],[Key(POD -PFI- Usine)]],'DATA Consignee'!A:N,14,FALSE)</f>
        <v>#N/A</v>
      </c>
      <c r="AR12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5" s="50" t="e">
        <f ca="1">Tableau1[[#This Row],[Transit time]]+Tableau1[[#This Row],[Time for security]]+Tableau1[[#This Row],[Time for security2 buffer]]</f>
        <v>#N/A</v>
      </c>
      <c r="AU12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5" s="389" t="e">
        <f ca="1">Tableau1[[#This Row],[Leadtime SI2C]]+Tableau1[[#This Row],[First Receipt Days]]-Tableau1[[#This Row],[Day Customer Order]]+1</f>
        <v>#N/A</v>
      </c>
      <c r="AW125" s="117" t="e">
        <f ca="1">IF(Tableau1[[#This Row],[Name ILN]]&lt;&gt;"SFK Freight Forwarder",Tableau1[[#This Row],[Cust. Leadtime]],Tableau1[[#This Row],[Leadtime SI2C]])</f>
        <v>#N/A</v>
      </c>
      <c r="AX125" s="51" t="e">
        <f>VLOOKUP(Tableau1[[#This Row],[ID]],'DATA BTO'!B:P,15,FALSE)</f>
        <v>#N/A</v>
      </c>
      <c r="AY125" s="328" t="e">
        <f ca="1">IFERROR(VLOOKUP(Tableau1[[#This Row],[Key(ID-Actif)]],'DATA BTO'!A:N,4,FALSE),VLOOKUP(Tableau1[[#This Row],[ID]],'DATA BTO'!B:N,3,FALSE))</f>
        <v>#N/A</v>
      </c>
      <c r="AZ12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5" s="50"/>
    </row>
    <row r="126" spans="2:57">
      <c r="B126" s="65" t="str">
        <f>_xlfn.CONCAT(Tableau1[[#This Row],[Name ILN]],"-",Tableau1[[#This Row],[Name Shipper]],"-",Tableau1[[#This Row],[Name Site]])</f>
        <v>--</v>
      </c>
      <c r="C126" s="65" t="e">
        <f>_xlfn.CONCAT(Tableau1[[#This Row],[Compte ILN]],"-",Tableau1[[#This Row],[Compte Shipper]],"-",Tableau1[[#This Row],[POL]],"-",Tableau1[[#This Row],[Compte Consignee]])</f>
        <v>#N/A</v>
      </c>
      <c r="D126" s="64" t="e">
        <f>_xlfn.CONCAT(Tableau1[[#This Row],[Compte ILN]],"-",Tableau1[[#This Row],[Compte Shipper]],"-",Tableau1[[#This Row],[POL]])</f>
        <v>#N/A</v>
      </c>
      <c r="E126" s="396" t="e">
        <f ca="1">_xlfn.CONCAT(Tableau1[[#This Row],[POL]],"-",Tableau1[[#This Row],[Carrier]],"-",Tableau1[[#This Row],[POD]])</f>
        <v>#N/A</v>
      </c>
      <c r="F126" s="64" t="str">
        <f>_xlfn.CONCAT(Tableau1[[#This Row],[ID]],"-","Actif")</f>
        <v>-Actif</v>
      </c>
      <c r="G126" s="64" t="e">
        <f ca="1">_xlfn.CONCAT(Tableau1[[#This Row],[POD]],"-",Tableau1[[#This Row],[Code PFI]],"-",Tableau1[[#This Row],[Compte Consignee]])</f>
        <v>#N/A</v>
      </c>
      <c r="H12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6" s="397" t="str">
        <f ca="1">IF(COUNTIF(I:I,Tableau1[[#This Row],[Plant-ILN-shipper-POL-Carrier-POD-PFI]])=1,"Non","Oui")</f>
        <v>Oui</v>
      </c>
      <c r="K126" s="398" t="e">
        <f>VLOOKUP(Tableau1[[#This Row],[Name Site]],Plant_AILN!A:D,4,FALSE)</f>
        <v>#N/A</v>
      </c>
      <c r="L126" s="285"/>
      <c r="M126" s="480" t="e">
        <f>VLOOKUP(Tableau1[[#This Row],[Name Site]],Plant_AILN!A:C,3,FALSE)</f>
        <v>#N/A</v>
      </c>
      <c r="N126" s="55" t="e">
        <f>VLOOKUP(Tableau1[[#This Row],[Compte Consignee]],Order!C:D,2,FALSE)</f>
        <v>#N/A</v>
      </c>
      <c r="O126" s="114"/>
      <c r="P126" s="481" t="e">
        <f>VLOOKUP(Tableau1[[#This Row],[Name ILN]],Plant_AILN!F:G,2,FALSE)</f>
        <v>#N/A</v>
      </c>
      <c r="Q126" s="50" t="e">
        <f>VLOOKUP(Tableau1[[#This Row],[Compte ILN]],'DATA ILN'!D:I,6,FALSE)</f>
        <v>#N/A</v>
      </c>
      <c r="R126" s="50" t="e">
        <f>IFERROR(VLOOKUP(Tableau1[[#This Row],[Key(Compte ILN - shipper - POL - plant)]],'DATA ILN'!A:J,10,FALSE),VLOOKUP(Tableau1[[#This Row],[Key(Compte ILN - shipper - POL)]],'DATA ILN'!B:J,9,FALSE))</f>
        <v>#N/A</v>
      </c>
      <c r="S126" s="50" t="e">
        <f>IFERROR(VLOOKUP(Tableau1[[#This Row],[Key(Compte ILN - shipper - POL - plant)]],'DATA ILN'!A:K,11,FALSE),VLOOKUP(Tableau1[[#This Row],[Key(Compte ILN - shipper - POL)]],'DATA ILN'!B:K,10,FALSE))</f>
        <v>#N/A</v>
      </c>
      <c r="T126" s="50" t="e">
        <f>IFERROR(VLOOKUP(Tableau1[[#This Row],[Key(Compte ILN - shipper - POL - plant)]],'DATA ILN'!A:L,12,FALSE),VLOOKUP(Tableau1[[#This Row],[Key(Compte ILN - shipper - POL)]],'DATA ILN'!B:L,11,FALSE))</f>
        <v>#N/A</v>
      </c>
      <c r="U126" s="50" t="e">
        <f>Tableau1[[#This Row],[Day ILN Order]]+Tableau1[[#This Row],[Delivery time to ILN/Shipper]]-1</f>
        <v>#N/A</v>
      </c>
      <c r="V126" s="50" t="e">
        <f>IFERROR(VLOOKUP(Tableau1[[#This Row],[Key(Compte ILN - shipper - POL - plant)]],'DATA ILN'!A:N,14,FALSE),VLOOKUP(Tableau1[[#This Row],[Key(Compte ILN - shipper - POL)]],'DATA ILN'!B:N,13,FALSE))</f>
        <v>#N/A</v>
      </c>
      <c r="W126" s="53" t="e">
        <f>IFERROR(VLOOKUP(Tableau1[[#This Row],[Key(Compte ILN - shipper - POL - plant)]],'DATA ILN'!A:P,16,FALSE),VLOOKUP(Tableau1[[#This Row],[Key(Compte ILN - shipper - POL)]],'DATA ILN'!B:P,15,FALSE))</f>
        <v>#N/A</v>
      </c>
      <c r="X126" s="358"/>
      <c r="Y126" s="482">
        <f>IFERROR(VLOOKUP(Tableau1[[#This Row],[Name Shipper]],Plant_AILN!L:M,2,FALSE),0)</f>
        <v>0</v>
      </c>
      <c r="Z126" s="358"/>
      <c r="AA126" s="353" t="e">
        <f ca="1">VLOOKUP(Tableau1[[#This Row],[Key(ID-Actif)]],'DATA BTO'!A:N,5,FALSE)</f>
        <v>#N/A</v>
      </c>
      <c r="AB126" s="3" t="e">
        <f ca="1">VLOOKUP(Tableau1[[#This Row],[Key(ID-Actif)]],'DATA BTO'!A:N,6,FALSE)</f>
        <v>#N/A</v>
      </c>
      <c r="AC126" s="50" t="e">
        <f ca="1">VLOOKUP(Tableau1[[#This Row],[Key(ID-Actif)]],'DATA BTO'!A:N,7,FALSE)</f>
        <v>#N/A</v>
      </c>
      <c r="AD126" s="50" t="e">
        <f ca="1">VLOOKUP(Tableau1[[#This Row],[Key(ID-Actif)]],'DATA BTO'!A:N,8,FALSE)</f>
        <v>#N/A</v>
      </c>
      <c r="AE126" s="50" t="e">
        <f ca="1">IF(Tableau1[[#This Row],[First Day to POL]]&lt;=Tableau1[[#This Row],[Day Cut Off]],Tableau1[[#This Row],[Day ETD]],Tableau1[[#This Row],[Day ETD]]+7)</f>
        <v>#N/A</v>
      </c>
      <c r="AF126" s="50" t="e">
        <f ca="1">VLOOKUP(Tableau1[[#This Row],[Key(ID-Actif)]],'DATA BTO'!A:N,9,FALSE)</f>
        <v>#N/A</v>
      </c>
      <c r="AG126" s="3" t="e">
        <f ca="1">VLOOKUP(Tableau1[[#This Row],[Key(ID-Actif)]],'DATA BTO'!A:N,10,FALSE)</f>
        <v>#N/A</v>
      </c>
      <c r="AH126" s="3" t="e">
        <f ca="1">VLOOKUP(Tableau1[[#This Row],[Key(ID-Actif)]],'DATA BTO'!A:N,11,FALSE)</f>
        <v>#N/A</v>
      </c>
      <c r="AI126" s="50" t="e">
        <f ca="1">VLOOKUP(Tableau1[[#This Row],[Key(ID-Actif)]],'DATA BTO'!A:N,12,FALSE)</f>
        <v>#N/A</v>
      </c>
      <c r="AJ126" s="53" t="e">
        <f ca="1">VLOOKUP(Tableau1[[#This Row],[Key(ID-Actif)]],'DATA BTO'!A:N,14,FALSE)</f>
        <v>#N/A</v>
      </c>
      <c r="AK126" s="54" t="e">
        <f ca="1">VLOOKUP(Tableau1[[#This Row],[Key(POD -PFI- Usine)]],'DATA Consignee'!A:F,6,FALSE)</f>
        <v>#N/A</v>
      </c>
      <c r="AL126" s="125"/>
      <c r="AM126" s="483" t="str">
        <f>IF(Tableau1[[#This Row],[Name PFI/CDD]]="","-",VLOOKUP(Tableau1[[#This Row],[Name PFI/CDD]],Plant_AILN!I:J,2,FALSE))</f>
        <v>-</v>
      </c>
      <c r="AN12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6" s="2" t="e">
        <f ca="1">VLOOKUP(Tableau1[[#This Row],[Key(POD -PFI- Usine)]],'DATA Consignee'!A:J,10,FALSE)</f>
        <v>#N/A</v>
      </c>
      <c r="AQ126" s="50" t="e">
        <f ca="1">VLOOKUP(Tableau1[[#This Row],[Key(POD -PFI- Usine)]],'DATA Consignee'!A:N,14,FALSE)</f>
        <v>#N/A</v>
      </c>
      <c r="AR12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6" s="50" t="e">
        <f ca="1">Tableau1[[#This Row],[Transit time]]+Tableau1[[#This Row],[Time for security]]+Tableau1[[#This Row],[Time for security2 buffer]]</f>
        <v>#N/A</v>
      </c>
      <c r="AU12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6" s="389" t="e">
        <f ca="1">Tableau1[[#This Row],[Leadtime SI2C]]+Tableau1[[#This Row],[First Receipt Days]]-Tableau1[[#This Row],[Day Customer Order]]+1</f>
        <v>#N/A</v>
      </c>
      <c r="AW126" s="117" t="e">
        <f ca="1">IF(Tableau1[[#This Row],[Name ILN]]&lt;&gt;"SFK Freight Forwarder",Tableau1[[#This Row],[Cust. Leadtime]],Tableau1[[#This Row],[Leadtime SI2C]])</f>
        <v>#N/A</v>
      </c>
      <c r="AX126" s="51" t="e">
        <f>VLOOKUP(Tableau1[[#This Row],[ID]],'DATA BTO'!B:P,15,FALSE)</f>
        <v>#N/A</v>
      </c>
      <c r="AY126" s="328" t="e">
        <f ca="1">IFERROR(VLOOKUP(Tableau1[[#This Row],[Key(ID-Actif)]],'DATA BTO'!A:N,4,FALSE),VLOOKUP(Tableau1[[#This Row],[ID]],'DATA BTO'!B:N,3,FALSE))</f>
        <v>#N/A</v>
      </c>
      <c r="AZ12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6" s="50"/>
    </row>
    <row r="127" spans="2:57">
      <c r="B127" s="65" t="str">
        <f>_xlfn.CONCAT(Tableau1[[#This Row],[Name ILN]],"-",Tableau1[[#This Row],[Name Shipper]],"-",Tableau1[[#This Row],[Name Site]])</f>
        <v>--</v>
      </c>
      <c r="C127" s="65" t="e">
        <f>_xlfn.CONCAT(Tableau1[[#This Row],[Compte ILN]],"-",Tableau1[[#This Row],[Compte Shipper]],"-",Tableau1[[#This Row],[POL]],"-",Tableau1[[#This Row],[Compte Consignee]])</f>
        <v>#N/A</v>
      </c>
      <c r="D127" s="64" t="e">
        <f>_xlfn.CONCAT(Tableau1[[#This Row],[Compte ILN]],"-",Tableau1[[#This Row],[Compte Shipper]],"-",Tableau1[[#This Row],[POL]])</f>
        <v>#N/A</v>
      </c>
      <c r="E127" s="396" t="e">
        <f ca="1">_xlfn.CONCAT(Tableau1[[#This Row],[POL]],"-",Tableau1[[#This Row],[Carrier]],"-",Tableau1[[#This Row],[POD]])</f>
        <v>#N/A</v>
      </c>
      <c r="F127" s="64" t="str">
        <f>_xlfn.CONCAT(Tableau1[[#This Row],[ID]],"-","Actif")</f>
        <v>-Actif</v>
      </c>
      <c r="G127" s="64" t="e">
        <f ca="1">_xlfn.CONCAT(Tableau1[[#This Row],[POD]],"-",Tableau1[[#This Row],[Code PFI]],"-",Tableau1[[#This Row],[Compte Consignee]])</f>
        <v>#N/A</v>
      </c>
      <c r="H12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7" s="397" t="str">
        <f ca="1">IF(COUNTIF(I:I,Tableau1[[#This Row],[Plant-ILN-shipper-POL-Carrier-POD-PFI]])=1,"Non","Oui")</f>
        <v>Oui</v>
      </c>
      <c r="K127" s="398" t="e">
        <f>VLOOKUP(Tableau1[[#This Row],[Name Site]],Plant_AILN!A:D,4,FALSE)</f>
        <v>#N/A</v>
      </c>
      <c r="L127" s="285"/>
      <c r="M127" s="480" t="e">
        <f>VLOOKUP(Tableau1[[#This Row],[Name Site]],Plant_AILN!A:C,3,FALSE)</f>
        <v>#N/A</v>
      </c>
      <c r="N127" s="55" t="e">
        <f>VLOOKUP(Tableau1[[#This Row],[Compte Consignee]],Order!C:D,2,FALSE)</f>
        <v>#N/A</v>
      </c>
      <c r="O127" s="114"/>
      <c r="P127" s="481" t="e">
        <f>VLOOKUP(Tableau1[[#This Row],[Name ILN]],Plant_AILN!F:G,2,FALSE)</f>
        <v>#N/A</v>
      </c>
      <c r="Q127" s="50" t="e">
        <f>VLOOKUP(Tableau1[[#This Row],[Compte ILN]],'DATA ILN'!D:I,6,FALSE)</f>
        <v>#N/A</v>
      </c>
      <c r="R127" s="50" t="e">
        <f>IFERROR(VLOOKUP(Tableau1[[#This Row],[Key(Compte ILN - shipper - POL - plant)]],'DATA ILN'!A:J,10,FALSE),VLOOKUP(Tableau1[[#This Row],[Key(Compte ILN - shipper - POL)]],'DATA ILN'!B:J,9,FALSE))</f>
        <v>#N/A</v>
      </c>
      <c r="S127" s="50" t="e">
        <f>IFERROR(VLOOKUP(Tableau1[[#This Row],[Key(Compte ILN - shipper - POL - plant)]],'DATA ILN'!A:K,11,FALSE),VLOOKUP(Tableau1[[#This Row],[Key(Compte ILN - shipper - POL)]],'DATA ILN'!B:K,10,FALSE))</f>
        <v>#N/A</v>
      </c>
      <c r="T127" s="50" t="e">
        <f>IFERROR(VLOOKUP(Tableau1[[#This Row],[Key(Compte ILN - shipper - POL - plant)]],'DATA ILN'!A:L,12,FALSE),VLOOKUP(Tableau1[[#This Row],[Key(Compte ILN - shipper - POL)]],'DATA ILN'!B:L,11,FALSE))</f>
        <v>#N/A</v>
      </c>
      <c r="U127" s="50" t="e">
        <f>Tableau1[[#This Row],[Day ILN Order]]+Tableau1[[#This Row],[Delivery time to ILN/Shipper]]-1</f>
        <v>#N/A</v>
      </c>
      <c r="V127" s="50" t="e">
        <f>IFERROR(VLOOKUP(Tableau1[[#This Row],[Key(Compte ILN - shipper - POL - plant)]],'DATA ILN'!A:N,14,FALSE),VLOOKUP(Tableau1[[#This Row],[Key(Compte ILN - shipper - POL)]],'DATA ILN'!B:N,13,FALSE))</f>
        <v>#N/A</v>
      </c>
      <c r="W127" s="53" t="e">
        <f>IFERROR(VLOOKUP(Tableau1[[#This Row],[Key(Compte ILN - shipper - POL - plant)]],'DATA ILN'!A:P,16,FALSE),VLOOKUP(Tableau1[[#This Row],[Key(Compte ILN - shipper - POL)]],'DATA ILN'!B:P,15,FALSE))</f>
        <v>#N/A</v>
      </c>
      <c r="X127" s="283"/>
      <c r="Y127" s="482">
        <f>IFERROR(VLOOKUP(Tableau1[[#This Row],[Name Shipper]],Plant_AILN!L:M,2,FALSE),0)</f>
        <v>0</v>
      </c>
      <c r="Z127" s="358"/>
      <c r="AA127" s="353" t="e">
        <f ca="1">VLOOKUP(Tableau1[[#This Row],[Key(ID-Actif)]],'DATA BTO'!A:N,5,FALSE)</f>
        <v>#N/A</v>
      </c>
      <c r="AB127" s="3" t="e">
        <f ca="1">VLOOKUP(Tableau1[[#This Row],[Key(ID-Actif)]],'DATA BTO'!A:N,6,FALSE)</f>
        <v>#N/A</v>
      </c>
      <c r="AC127" s="50" t="e">
        <f ca="1">VLOOKUP(Tableau1[[#This Row],[Key(ID-Actif)]],'DATA BTO'!A:N,7,FALSE)</f>
        <v>#N/A</v>
      </c>
      <c r="AD127" s="50" t="e">
        <f ca="1">VLOOKUP(Tableau1[[#This Row],[Key(ID-Actif)]],'DATA BTO'!A:N,8,FALSE)</f>
        <v>#N/A</v>
      </c>
      <c r="AE127" s="50" t="e">
        <f ca="1">IF(Tableau1[[#This Row],[First Day to POL]]&lt;=Tableau1[[#This Row],[Day Cut Off]],Tableau1[[#This Row],[Day ETD]],Tableau1[[#This Row],[Day ETD]]+7)</f>
        <v>#N/A</v>
      </c>
      <c r="AF127" s="50" t="e">
        <f ca="1">VLOOKUP(Tableau1[[#This Row],[Key(ID-Actif)]],'DATA BTO'!A:N,9,FALSE)</f>
        <v>#N/A</v>
      </c>
      <c r="AG127" s="3" t="e">
        <f ca="1">VLOOKUP(Tableau1[[#This Row],[Key(ID-Actif)]],'DATA BTO'!A:N,10,FALSE)</f>
        <v>#N/A</v>
      </c>
      <c r="AH127" s="3" t="e">
        <f ca="1">VLOOKUP(Tableau1[[#This Row],[Key(ID-Actif)]],'DATA BTO'!A:N,11,FALSE)</f>
        <v>#N/A</v>
      </c>
      <c r="AI127" s="50" t="e">
        <f ca="1">VLOOKUP(Tableau1[[#This Row],[Key(ID-Actif)]],'DATA BTO'!A:N,12,FALSE)</f>
        <v>#N/A</v>
      </c>
      <c r="AJ127" s="53" t="e">
        <f ca="1">VLOOKUP(Tableau1[[#This Row],[Key(ID-Actif)]],'DATA BTO'!A:N,14,FALSE)</f>
        <v>#N/A</v>
      </c>
      <c r="AK127" s="54" t="e">
        <f ca="1">VLOOKUP(Tableau1[[#This Row],[Key(POD -PFI- Usine)]],'DATA Consignee'!A:F,6,FALSE)</f>
        <v>#N/A</v>
      </c>
      <c r="AL127" s="125"/>
      <c r="AM127" s="483" t="str">
        <f>IF(Tableau1[[#This Row],[Name PFI/CDD]]="","-",VLOOKUP(Tableau1[[#This Row],[Name PFI/CDD]],Plant_AILN!I:J,2,FALSE))</f>
        <v>-</v>
      </c>
      <c r="AN12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7" s="2" t="e">
        <f ca="1">VLOOKUP(Tableau1[[#This Row],[Key(POD -PFI- Usine)]],'DATA Consignee'!A:J,10,FALSE)</f>
        <v>#N/A</v>
      </c>
      <c r="AQ127" s="50" t="e">
        <f ca="1">VLOOKUP(Tableau1[[#This Row],[Key(POD -PFI- Usine)]],'DATA Consignee'!A:N,14,FALSE)</f>
        <v>#N/A</v>
      </c>
      <c r="AR12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7" s="50" t="e">
        <f ca="1">Tableau1[[#This Row],[Transit time]]+Tableau1[[#This Row],[Time for security]]+Tableau1[[#This Row],[Time for security2 buffer]]</f>
        <v>#N/A</v>
      </c>
      <c r="AU12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7" s="389" t="e">
        <f ca="1">Tableau1[[#This Row],[Leadtime SI2C]]+Tableau1[[#This Row],[First Receipt Days]]-Tableau1[[#This Row],[Day Customer Order]]+1</f>
        <v>#N/A</v>
      </c>
      <c r="AW127" s="117" t="e">
        <f ca="1">IF(Tableau1[[#This Row],[Name ILN]]&lt;&gt;"SFK Freight Forwarder",Tableau1[[#This Row],[Cust. Leadtime]],Tableau1[[#This Row],[Leadtime SI2C]])</f>
        <v>#N/A</v>
      </c>
      <c r="AX127" s="51" t="e">
        <f>VLOOKUP(Tableau1[[#This Row],[ID]],'DATA BTO'!B:P,15,FALSE)</f>
        <v>#N/A</v>
      </c>
      <c r="AY127" s="328" t="e">
        <f ca="1">IFERROR(VLOOKUP(Tableau1[[#This Row],[Key(ID-Actif)]],'DATA BTO'!A:N,4,FALSE),VLOOKUP(Tableau1[[#This Row],[ID]],'DATA BTO'!B:N,3,FALSE))</f>
        <v>#N/A</v>
      </c>
      <c r="AZ12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7" s="50"/>
    </row>
    <row r="128" spans="2:57">
      <c r="B128" s="65" t="str">
        <f>_xlfn.CONCAT(Tableau1[[#This Row],[Name ILN]],"-",Tableau1[[#This Row],[Name Shipper]],"-",Tableau1[[#This Row],[Name Site]])</f>
        <v>--</v>
      </c>
      <c r="C128" s="65" t="e">
        <f>_xlfn.CONCAT(Tableau1[[#This Row],[Compte ILN]],"-",Tableau1[[#This Row],[Compte Shipper]],"-",Tableau1[[#This Row],[POL]],"-",Tableau1[[#This Row],[Compte Consignee]])</f>
        <v>#N/A</v>
      </c>
      <c r="D128" s="64" t="e">
        <f>_xlfn.CONCAT(Tableau1[[#This Row],[Compte ILN]],"-",Tableau1[[#This Row],[Compte Shipper]],"-",Tableau1[[#This Row],[POL]])</f>
        <v>#N/A</v>
      </c>
      <c r="E128" s="396" t="e">
        <f ca="1">_xlfn.CONCAT(Tableau1[[#This Row],[POL]],"-",Tableau1[[#This Row],[Carrier]],"-",Tableau1[[#This Row],[POD]])</f>
        <v>#N/A</v>
      </c>
      <c r="F128" s="64" t="str">
        <f>_xlfn.CONCAT(Tableau1[[#This Row],[ID]],"-","Actif")</f>
        <v>-Actif</v>
      </c>
      <c r="G128" s="64" t="e">
        <f ca="1">_xlfn.CONCAT(Tableau1[[#This Row],[POD]],"-",Tableau1[[#This Row],[Code PFI]],"-",Tableau1[[#This Row],[Compte Consignee]])</f>
        <v>#N/A</v>
      </c>
      <c r="H12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8" s="397" t="str">
        <f ca="1">IF(COUNTIF(I:I,Tableau1[[#This Row],[Plant-ILN-shipper-POL-Carrier-POD-PFI]])=1,"Non","Oui")</f>
        <v>Oui</v>
      </c>
      <c r="K128" s="398" t="e">
        <f>VLOOKUP(Tableau1[[#This Row],[Name Site]],Plant_AILN!A:D,4,FALSE)</f>
        <v>#N/A</v>
      </c>
      <c r="L128" s="285"/>
      <c r="M128" s="480" t="e">
        <f>VLOOKUP(Tableau1[[#This Row],[Name Site]],Plant_AILN!A:C,3,FALSE)</f>
        <v>#N/A</v>
      </c>
      <c r="N128" s="55" t="e">
        <f>VLOOKUP(Tableau1[[#This Row],[Compte Consignee]],Order!C:D,2,FALSE)</f>
        <v>#N/A</v>
      </c>
      <c r="O128" s="114"/>
      <c r="P128" s="481" t="e">
        <f>VLOOKUP(Tableau1[[#This Row],[Name ILN]],Plant_AILN!F:G,2,FALSE)</f>
        <v>#N/A</v>
      </c>
      <c r="Q128" s="50" t="e">
        <f>VLOOKUP(Tableau1[[#This Row],[Compte ILN]],'DATA ILN'!D:I,6,FALSE)</f>
        <v>#N/A</v>
      </c>
      <c r="R128" s="50" t="e">
        <f>IFERROR(VLOOKUP(Tableau1[[#This Row],[Key(Compte ILN - shipper - POL - plant)]],'DATA ILN'!A:J,10,FALSE),VLOOKUP(Tableau1[[#This Row],[Key(Compte ILN - shipper - POL)]],'DATA ILN'!B:J,9,FALSE))</f>
        <v>#N/A</v>
      </c>
      <c r="S128" s="50" t="e">
        <f>IFERROR(VLOOKUP(Tableau1[[#This Row],[Key(Compte ILN - shipper - POL - plant)]],'DATA ILN'!A:K,11,FALSE),VLOOKUP(Tableau1[[#This Row],[Key(Compte ILN - shipper - POL)]],'DATA ILN'!B:K,10,FALSE))</f>
        <v>#N/A</v>
      </c>
      <c r="T128" s="50" t="e">
        <f>IFERROR(VLOOKUP(Tableau1[[#This Row],[Key(Compte ILN - shipper - POL - plant)]],'DATA ILN'!A:L,12,FALSE),VLOOKUP(Tableau1[[#This Row],[Key(Compte ILN - shipper - POL)]],'DATA ILN'!B:L,11,FALSE))</f>
        <v>#N/A</v>
      </c>
      <c r="U128" s="50" t="e">
        <f>Tableau1[[#This Row],[Day ILN Order]]+Tableau1[[#This Row],[Delivery time to ILN/Shipper]]-1</f>
        <v>#N/A</v>
      </c>
      <c r="V128" s="50" t="e">
        <f>IFERROR(VLOOKUP(Tableau1[[#This Row],[Key(Compte ILN - shipper - POL - plant)]],'DATA ILN'!A:N,14,FALSE),VLOOKUP(Tableau1[[#This Row],[Key(Compte ILN - shipper - POL)]],'DATA ILN'!B:N,13,FALSE))</f>
        <v>#N/A</v>
      </c>
      <c r="W128" s="53" t="e">
        <f>IFERROR(VLOOKUP(Tableau1[[#This Row],[Key(Compte ILN - shipper - POL - plant)]],'DATA ILN'!A:P,16,FALSE),VLOOKUP(Tableau1[[#This Row],[Key(Compte ILN - shipper - POL)]],'DATA ILN'!B:P,15,FALSE))</f>
        <v>#N/A</v>
      </c>
      <c r="X128" s="283"/>
      <c r="Y128" s="482">
        <f>IFERROR(VLOOKUP(Tableau1[[#This Row],[Name Shipper]],Plant_AILN!L:M,2,FALSE),0)</f>
        <v>0</v>
      </c>
      <c r="Z128" s="358"/>
      <c r="AA128" s="353" t="e">
        <f ca="1">VLOOKUP(Tableau1[[#This Row],[Key(ID-Actif)]],'DATA BTO'!A:N,5,FALSE)</f>
        <v>#N/A</v>
      </c>
      <c r="AB128" s="3" t="e">
        <f ca="1">VLOOKUP(Tableau1[[#This Row],[Key(ID-Actif)]],'DATA BTO'!A:N,6,FALSE)</f>
        <v>#N/A</v>
      </c>
      <c r="AC128" s="50" t="e">
        <f ca="1">VLOOKUP(Tableau1[[#This Row],[Key(ID-Actif)]],'DATA BTO'!A:N,7,FALSE)</f>
        <v>#N/A</v>
      </c>
      <c r="AD128" s="50" t="e">
        <f ca="1">VLOOKUP(Tableau1[[#This Row],[Key(ID-Actif)]],'DATA BTO'!A:N,8,FALSE)</f>
        <v>#N/A</v>
      </c>
      <c r="AE128" s="50" t="e">
        <f ca="1">IF(Tableau1[[#This Row],[First Day to POL]]&lt;=Tableau1[[#This Row],[Day Cut Off]],Tableau1[[#This Row],[Day ETD]],Tableau1[[#This Row],[Day ETD]]+7)</f>
        <v>#N/A</v>
      </c>
      <c r="AF128" s="50" t="e">
        <f ca="1">VLOOKUP(Tableau1[[#This Row],[Key(ID-Actif)]],'DATA BTO'!A:N,9,FALSE)</f>
        <v>#N/A</v>
      </c>
      <c r="AG128" s="3" t="e">
        <f ca="1">VLOOKUP(Tableau1[[#This Row],[Key(ID-Actif)]],'DATA BTO'!A:N,10,FALSE)</f>
        <v>#N/A</v>
      </c>
      <c r="AH128" s="3" t="e">
        <f ca="1">VLOOKUP(Tableau1[[#This Row],[Key(ID-Actif)]],'DATA BTO'!A:N,11,FALSE)</f>
        <v>#N/A</v>
      </c>
      <c r="AI128" s="50" t="e">
        <f ca="1">VLOOKUP(Tableau1[[#This Row],[Key(ID-Actif)]],'DATA BTO'!A:N,12,FALSE)</f>
        <v>#N/A</v>
      </c>
      <c r="AJ128" s="53" t="e">
        <f ca="1">VLOOKUP(Tableau1[[#This Row],[Key(ID-Actif)]],'DATA BTO'!A:N,14,FALSE)</f>
        <v>#N/A</v>
      </c>
      <c r="AK128" s="54" t="e">
        <f ca="1">VLOOKUP(Tableau1[[#This Row],[Key(POD -PFI- Usine)]],'DATA Consignee'!A:F,6,FALSE)</f>
        <v>#N/A</v>
      </c>
      <c r="AL128" s="125"/>
      <c r="AM128" s="483" t="str">
        <f>IF(Tableau1[[#This Row],[Name PFI/CDD]]="","-",VLOOKUP(Tableau1[[#This Row],[Name PFI/CDD]],Plant_AILN!I:J,2,FALSE))</f>
        <v>-</v>
      </c>
      <c r="AN12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8" s="2" t="e">
        <f ca="1">VLOOKUP(Tableau1[[#This Row],[Key(POD -PFI- Usine)]],'DATA Consignee'!A:J,10,FALSE)</f>
        <v>#N/A</v>
      </c>
      <c r="AQ128" s="50" t="e">
        <f ca="1">VLOOKUP(Tableau1[[#This Row],[Key(POD -PFI- Usine)]],'DATA Consignee'!A:N,14,FALSE)</f>
        <v>#N/A</v>
      </c>
      <c r="AR12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8" s="50" t="e">
        <f ca="1">Tableau1[[#This Row],[Transit time]]+Tableau1[[#This Row],[Time for security]]+Tableau1[[#This Row],[Time for security2 buffer]]</f>
        <v>#N/A</v>
      </c>
      <c r="AU12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8" s="389" t="e">
        <f ca="1">Tableau1[[#This Row],[Leadtime SI2C]]+Tableau1[[#This Row],[First Receipt Days]]-Tableau1[[#This Row],[Day Customer Order]]+1</f>
        <v>#N/A</v>
      </c>
      <c r="AW128" s="117" t="e">
        <f ca="1">IF(Tableau1[[#This Row],[Name ILN]]&lt;&gt;"SFK Freight Forwarder",Tableau1[[#This Row],[Cust. Leadtime]],Tableau1[[#This Row],[Leadtime SI2C]])</f>
        <v>#N/A</v>
      </c>
      <c r="AX128" s="51" t="e">
        <f>VLOOKUP(Tableau1[[#This Row],[ID]],'DATA BTO'!B:P,15,FALSE)</f>
        <v>#N/A</v>
      </c>
      <c r="AY128" s="328" t="e">
        <f ca="1">IFERROR(VLOOKUP(Tableau1[[#This Row],[Key(ID-Actif)]],'DATA BTO'!A:N,4,FALSE),VLOOKUP(Tableau1[[#This Row],[ID]],'DATA BTO'!B:N,3,FALSE))</f>
        <v>#N/A</v>
      </c>
      <c r="AZ12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8" s="50"/>
    </row>
    <row r="129" spans="2:57">
      <c r="B129" s="65" t="str">
        <f>_xlfn.CONCAT(Tableau1[[#This Row],[Name ILN]],"-",Tableau1[[#This Row],[Name Shipper]],"-",Tableau1[[#This Row],[Name Site]])</f>
        <v>--</v>
      </c>
      <c r="C129" s="65" t="e">
        <f>_xlfn.CONCAT(Tableau1[[#This Row],[Compte ILN]],"-",Tableau1[[#This Row],[Compte Shipper]],"-",Tableau1[[#This Row],[POL]],"-",Tableau1[[#This Row],[Compte Consignee]])</f>
        <v>#N/A</v>
      </c>
      <c r="D129" s="64" t="e">
        <f>_xlfn.CONCAT(Tableau1[[#This Row],[Compte ILN]],"-",Tableau1[[#This Row],[Compte Shipper]],"-",Tableau1[[#This Row],[POL]])</f>
        <v>#N/A</v>
      </c>
      <c r="E129" s="396" t="e">
        <f ca="1">_xlfn.CONCAT(Tableau1[[#This Row],[POL]],"-",Tableau1[[#This Row],[Carrier]],"-",Tableau1[[#This Row],[POD]])</f>
        <v>#N/A</v>
      </c>
      <c r="F129" s="64" t="str">
        <f>_xlfn.CONCAT(Tableau1[[#This Row],[ID]],"-","Actif")</f>
        <v>-Actif</v>
      </c>
      <c r="G129" s="64" t="e">
        <f ca="1">_xlfn.CONCAT(Tableau1[[#This Row],[POD]],"-",Tableau1[[#This Row],[Code PFI]],"-",Tableau1[[#This Row],[Compte Consignee]])</f>
        <v>#N/A</v>
      </c>
      <c r="H12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2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29" s="397" t="str">
        <f ca="1">IF(COUNTIF(I:I,Tableau1[[#This Row],[Plant-ILN-shipper-POL-Carrier-POD-PFI]])=1,"Non","Oui")</f>
        <v>Oui</v>
      </c>
      <c r="K129" s="398" t="e">
        <f>VLOOKUP(Tableau1[[#This Row],[Name Site]],Plant_AILN!A:D,4,FALSE)</f>
        <v>#N/A</v>
      </c>
      <c r="L129" s="285"/>
      <c r="M129" s="480" t="e">
        <f>VLOOKUP(Tableau1[[#This Row],[Name Site]],Plant_AILN!A:C,3,FALSE)</f>
        <v>#N/A</v>
      </c>
      <c r="N129" s="55" t="e">
        <f>VLOOKUP(Tableau1[[#This Row],[Compte Consignee]],Order!C:D,2,FALSE)</f>
        <v>#N/A</v>
      </c>
      <c r="O129" s="114"/>
      <c r="P129" s="481" t="e">
        <f>VLOOKUP(Tableau1[[#This Row],[Name ILN]],Plant_AILN!F:G,2,FALSE)</f>
        <v>#N/A</v>
      </c>
      <c r="Q129" s="50" t="e">
        <f>VLOOKUP(Tableau1[[#This Row],[Compte ILN]],'DATA ILN'!D:I,6,FALSE)</f>
        <v>#N/A</v>
      </c>
      <c r="R129" s="50" t="e">
        <f>IFERROR(VLOOKUP(Tableau1[[#This Row],[Key(Compte ILN - shipper - POL - plant)]],'DATA ILN'!A:J,10,FALSE),VLOOKUP(Tableau1[[#This Row],[Key(Compte ILN - shipper - POL)]],'DATA ILN'!B:J,9,FALSE))</f>
        <v>#N/A</v>
      </c>
      <c r="S129" s="50" t="e">
        <f>IFERROR(VLOOKUP(Tableau1[[#This Row],[Key(Compte ILN - shipper - POL - plant)]],'DATA ILN'!A:K,11,FALSE),VLOOKUP(Tableau1[[#This Row],[Key(Compte ILN - shipper - POL)]],'DATA ILN'!B:K,10,FALSE))</f>
        <v>#N/A</v>
      </c>
      <c r="T129" s="50" t="e">
        <f>IFERROR(VLOOKUP(Tableau1[[#This Row],[Key(Compte ILN - shipper - POL - plant)]],'DATA ILN'!A:L,12,FALSE),VLOOKUP(Tableau1[[#This Row],[Key(Compte ILN - shipper - POL)]],'DATA ILN'!B:L,11,FALSE))</f>
        <v>#N/A</v>
      </c>
      <c r="U129" s="50" t="e">
        <f>Tableau1[[#This Row],[Day ILN Order]]+Tableau1[[#This Row],[Delivery time to ILN/Shipper]]-1</f>
        <v>#N/A</v>
      </c>
      <c r="V129" s="50" t="e">
        <f>IFERROR(VLOOKUP(Tableau1[[#This Row],[Key(Compte ILN - shipper - POL - plant)]],'DATA ILN'!A:N,14,FALSE),VLOOKUP(Tableau1[[#This Row],[Key(Compte ILN - shipper - POL)]],'DATA ILN'!B:N,13,FALSE))</f>
        <v>#N/A</v>
      </c>
      <c r="W129" s="53" t="e">
        <f>IFERROR(VLOOKUP(Tableau1[[#This Row],[Key(Compte ILN - shipper - POL - plant)]],'DATA ILN'!A:P,16,FALSE),VLOOKUP(Tableau1[[#This Row],[Key(Compte ILN - shipper - POL)]],'DATA ILN'!B:P,15,FALSE))</f>
        <v>#N/A</v>
      </c>
      <c r="X129" s="283"/>
      <c r="Y129" s="482">
        <f>IFERROR(VLOOKUP(Tableau1[[#This Row],[Name Shipper]],Plant_AILN!L:M,2,FALSE),0)</f>
        <v>0</v>
      </c>
      <c r="Z129" s="358"/>
      <c r="AA129" s="353" t="e">
        <f ca="1">VLOOKUP(Tableau1[[#This Row],[Key(ID-Actif)]],'DATA BTO'!A:N,5,FALSE)</f>
        <v>#N/A</v>
      </c>
      <c r="AB129" s="3" t="e">
        <f ca="1">VLOOKUP(Tableau1[[#This Row],[Key(ID-Actif)]],'DATA BTO'!A:N,6,FALSE)</f>
        <v>#N/A</v>
      </c>
      <c r="AC129" s="50" t="e">
        <f ca="1">VLOOKUP(Tableau1[[#This Row],[Key(ID-Actif)]],'DATA BTO'!A:N,7,FALSE)</f>
        <v>#N/A</v>
      </c>
      <c r="AD129" s="50" t="e">
        <f ca="1">VLOOKUP(Tableau1[[#This Row],[Key(ID-Actif)]],'DATA BTO'!A:N,8,FALSE)</f>
        <v>#N/A</v>
      </c>
      <c r="AE129" s="50" t="e">
        <f ca="1">IF(Tableau1[[#This Row],[First Day to POL]]&lt;=Tableau1[[#This Row],[Day Cut Off]],Tableau1[[#This Row],[Day ETD]],Tableau1[[#This Row],[Day ETD]]+7)</f>
        <v>#N/A</v>
      </c>
      <c r="AF129" s="50" t="e">
        <f ca="1">VLOOKUP(Tableau1[[#This Row],[Key(ID-Actif)]],'DATA BTO'!A:N,9,FALSE)</f>
        <v>#N/A</v>
      </c>
      <c r="AG129" s="3" t="e">
        <f ca="1">VLOOKUP(Tableau1[[#This Row],[Key(ID-Actif)]],'DATA BTO'!A:N,10,FALSE)</f>
        <v>#N/A</v>
      </c>
      <c r="AH129" s="3" t="e">
        <f ca="1">VLOOKUP(Tableau1[[#This Row],[Key(ID-Actif)]],'DATA BTO'!A:N,11,FALSE)</f>
        <v>#N/A</v>
      </c>
      <c r="AI129" s="50" t="e">
        <f ca="1">VLOOKUP(Tableau1[[#This Row],[Key(ID-Actif)]],'DATA BTO'!A:N,12,FALSE)</f>
        <v>#N/A</v>
      </c>
      <c r="AJ129" s="53" t="e">
        <f ca="1">VLOOKUP(Tableau1[[#This Row],[Key(ID-Actif)]],'DATA BTO'!A:N,14,FALSE)</f>
        <v>#N/A</v>
      </c>
      <c r="AK129" s="54" t="e">
        <f ca="1">VLOOKUP(Tableau1[[#This Row],[Key(POD -PFI- Usine)]],'DATA Consignee'!A:F,6,FALSE)</f>
        <v>#N/A</v>
      </c>
      <c r="AL129" s="125"/>
      <c r="AM129" s="483" t="str">
        <f>IF(Tableau1[[#This Row],[Name PFI/CDD]]="","-",VLOOKUP(Tableau1[[#This Row],[Name PFI/CDD]],Plant_AILN!I:J,2,FALSE))</f>
        <v>-</v>
      </c>
      <c r="AN12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2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29" s="2" t="e">
        <f ca="1">VLOOKUP(Tableau1[[#This Row],[Key(POD -PFI- Usine)]],'DATA Consignee'!A:J,10,FALSE)</f>
        <v>#N/A</v>
      </c>
      <c r="AQ129" s="50" t="e">
        <f ca="1">VLOOKUP(Tableau1[[#This Row],[Key(POD -PFI- Usine)]],'DATA Consignee'!A:N,14,FALSE)</f>
        <v>#N/A</v>
      </c>
      <c r="AR12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2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29" s="50" t="e">
        <f ca="1">Tableau1[[#This Row],[Transit time]]+Tableau1[[#This Row],[Time for security]]+Tableau1[[#This Row],[Time for security2 buffer]]</f>
        <v>#N/A</v>
      </c>
      <c r="AU12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29" s="389" t="e">
        <f ca="1">Tableau1[[#This Row],[Leadtime SI2C]]+Tableau1[[#This Row],[First Receipt Days]]-Tableau1[[#This Row],[Day Customer Order]]+1</f>
        <v>#N/A</v>
      </c>
      <c r="AW129" s="117" t="e">
        <f ca="1">IF(Tableau1[[#This Row],[Name ILN]]&lt;&gt;"SFK Freight Forwarder",Tableau1[[#This Row],[Cust. Leadtime]],Tableau1[[#This Row],[Leadtime SI2C]])</f>
        <v>#N/A</v>
      </c>
      <c r="AX129" s="51" t="e">
        <f>VLOOKUP(Tableau1[[#This Row],[ID]],'DATA BTO'!B:P,15,FALSE)</f>
        <v>#N/A</v>
      </c>
      <c r="AY129" s="328" t="e">
        <f ca="1">IFERROR(VLOOKUP(Tableau1[[#This Row],[Key(ID-Actif)]],'DATA BTO'!A:N,4,FALSE),VLOOKUP(Tableau1[[#This Row],[ID]],'DATA BTO'!B:N,3,FALSE))</f>
        <v>#N/A</v>
      </c>
      <c r="AZ12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2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2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9" s="50"/>
    </row>
    <row r="130" spans="2:57">
      <c r="B130" s="65" t="str">
        <f>_xlfn.CONCAT(Tableau1[[#This Row],[Name ILN]],"-",Tableau1[[#This Row],[Name Shipper]],"-",Tableau1[[#This Row],[Name Site]])</f>
        <v>--</v>
      </c>
      <c r="C130" s="65" t="e">
        <f>_xlfn.CONCAT(Tableau1[[#This Row],[Compte ILN]],"-",Tableau1[[#This Row],[Compte Shipper]],"-",Tableau1[[#This Row],[POL]],"-",Tableau1[[#This Row],[Compte Consignee]])</f>
        <v>#N/A</v>
      </c>
      <c r="D130" s="64" t="e">
        <f>_xlfn.CONCAT(Tableau1[[#This Row],[Compte ILN]],"-",Tableau1[[#This Row],[Compte Shipper]],"-",Tableau1[[#This Row],[POL]])</f>
        <v>#N/A</v>
      </c>
      <c r="E130" s="396" t="e">
        <f ca="1">_xlfn.CONCAT(Tableau1[[#This Row],[POL]],"-",Tableau1[[#This Row],[Carrier]],"-",Tableau1[[#This Row],[POD]])</f>
        <v>#N/A</v>
      </c>
      <c r="F130" s="64" t="str">
        <f>_xlfn.CONCAT(Tableau1[[#This Row],[ID]],"-","Actif")</f>
        <v>-Actif</v>
      </c>
      <c r="G130" s="64" t="e">
        <f ca="1">_xlfn.CONCAT(Tableau1[[#This Row],[POD]],"-",Tableau1[[#This Row],[Code PFI]],"-",Tableau1[[#This Row],[Compte Consignee]])</f>
        <v>#N/A</v>
      </c>
      <c r="H13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0" s="397" t="str">
        <f ca="1">IF(COUNTIF(I:I,Tableau1[[#This Row],[Plant-ILN-shipper-POL-Carrier-POD-PFI]])=1,"Non","Oui")</f>
        <v>Oui</v>
      </c>
      <c r="K130" s="398" t="e">
        <f>VLOOKUP(Tableau1[[#This Row],[Name Site]],Plant_AILN!A:D,4,FALSE)</f>
        <v>#N/A</v>
      </c>
      <c r="L130" s="285"/>
      <c r="M130" s="480" t="e">
        <f>VLOOKUP(Tableau1[[#This Row],[Name Site]],Plant_AILN!A:C,3,FALSE)</f>
        <v>#N/A</v>
      </c>
      <c r="N130" s="55" t="e">
        <f>VLOOKUP(Tableau1[[#This Row],[Compte Consignee]],Order!C:D,2,FALSE)</f>
        <v>#N/A</v>
      </c>
      <c r="O130" s="114"/>
      <c r="P130" s="481" t="e">
        <f>VLOOKUP(Tableau1[[#This Row],[Name ILN]],Plant_AILN!F:G,2,FALSE)</f>
        <v>#N/A</v>
      </c>
      <c r="Q130" s="50" t="e">
        <f>VLOOKUP(Tableau1[[#This Row],[Compte ILN]],'DATA ILN'!D:I,6,FALSE)</f>
        <v>#N/A</v>
      </c>
      <c r="R130" s="50" t="e">
        <f>IFERROR(VLOOKUP(Tableau1[[#This Row],[Key(Compte ILN - shipper - POL - plant)]],'DATA ILN'!A:J,10,FALSE),VLOOKUP(Tableau1[[#This Row],[Key(Compte ILN - shipper - POL)]],'DATA ILN'!B:J,9,FALSE))</f>
        <v>#N/A</v>
      </c>
      <c r="S130" s="50" t="e">
        <f>IFERROR(VLOOKUP(Tableau1[[#This Row],[Key(Compte ILN - shipper - POL - plant)]],'DATA ILN'!A:K,11,FALSE),VLOOKUP(Tableau1[[#This Row],[Key(Compte ILN - shipper - POL)]],'DATA ILN'!B:K,10,FALSE))</f>
        <v>#N/A</v>
      </c>
      <c r="T130" s="50" t="e">
        <f>IFERROR(VLOOKUP(Tableau1[[#This Row],[Key(Compte ILN - shipper - POL - plant)]],'DATA ILN'!A:L,12,FALSE),VLOOKUP(Tableau1[[#This Row],[Key(Compte ILN - shipper - POL)]],'DATA ILN'!B:L,11,FALSE))</f>
        <v>#N/A</v>
      </c>
      <c r="U130" s="50" t="e">
        <f>Tableau1[[#This Row],[Day ILN Order]]+Tableau1[[#This Row],[Delivery time to ILN/Shipper]]-1</f>
        <v>#N/A</v>
      </c>
      <c r="V130" s="50" t="e">
        <f>IFERROR(VLOOKUP(Tableau1[[#This Row],[Key(Compte ILN - shipper - POL - plant)]],'DATA ILN'!A:N,14,FALSE),VLOOKUP(Tableau1[[#This Row],[Key(Compte ILN - shipper - POL)]],'DATA ILN'!B:N,13,FALSE))</f>
        <v>#N/A</v>
      </c>
      <c r="W130" s="53" t="e">
        <f>IFERROR(VLOOKUP(Tableau1[[#This Row],[Key(Compte ILN - shipper - POL - plant)]],'DATA ILN'!A:P,16,FALSE),VLOOKUP(Tableau1[[#This Row],[Key(Compte ILN - shipper - POL)]],'DATA ILN'!B:P,15,FALSE))</f>
        <v>#N/A</v>
      </c>
      <c r="X130" s="283"/>
      <c r="Y130" s="482">
        <f>IFERROR(VLOOKUP(Tableau1[[#This Row],[Name Shipper]],Plant_AILN!L:M,2,FALSE),0)</f>
        <v>0</v>
      </c>
      <c r="Z130" s="358"/>
      <c r="AA130" s="353" t="e">
        <f ca="1">VLOOKUP(Tableau1[[#This Row],[Key(ID-Actif)]],'DATA BTO'!A:N,5,FALSE)</f>
        <v>#N/A</v>
      </c>
      <c r="AB130" s="3" t="e">
        <f ca="1">VLOOKUP(Tableau1[[#This Row],[Key(ID-Actif)]],'DATA BTO'!A:N,6,FALSE)</f>
        <v>#N/A</v>
      </c>
      <c r="AC130" s="50" t="e">
        <f ca="1">VLOOKUP(Tableau1[[#This Row],[Key(ID-Actif)]],'DATA BTO'!A:N,7,FALSE)</f>
        <v>#N/A</v>
      </c>
      <c r="AD130" s="50" t="e">
        <f ca="1">VLOOKUP(Tableau1[[#This Row],[Key(ID-Actif)]],'DATA BTO'!A:N,8,FALSE)</f>
        <v>#N/A</v>
      </c>
      <c r="AE130" s="50" t="e">
        <f ca="1">IF(Tableau1[[#This Row],[First Day to POL]]&lt;=Tableau1[[#This Row],[Day Cut Off]],Tableau1[[#This Row],[Day ETD]],Tableau1[[#This Row],[Day ETD]]+7)</f>
        <v>#N/A</v>
      </c>
      <c r="AF130" s="50" t="e">
        <f ca="1">VLOOKUP(Tableau1[[#This Row],[Key(ID-Actif)]],'DATA BTO'!A:N,9,FALSE)</f>
        <v>#N/A</v>
      </c>
      <c r="AG130" s="3" t="e">
        <f ca="1">VLOOKUP(Tableau1[[#This Row],[Key(ID-Actif)]],'DATA BTO'!A:N,10,FALSE)</f>
        <v>#N/A</v>
      </c>
      <c r="AH130" s="3" t="e">
        <f ca="1">VLOOKUP(Tableau1[[#This Row],[Key(ID-Actif)]],'DATA BTO'!A:N,11,FALSE)</f>
        <v>#N/A</v>
      </c>
      <c r="AI130" s="50" t="e">
        <f ca="1">VLOOKUP(Tableau1[[#This Row],[Key(ID-Actif)]],'DATA BTO'!A:N,12,FALSE)</f>
        <v>#N/A</v>
      </c>
      <c r="AJ130" s="53" t="e">
        <f ca="1">VLOOKUP(Tableau1[[#This Row],[Key(ID-Actif)]],'DATA BTO'!A:N,14,FALSE)</f>
        <v>#N/A</v>
      </c>
      <c r="AK130" s="54" t="e">
        <f ca="1">VLOOKUP(Tableau1[[#This Row],[Key(POD -PFI- Usine)]],'DATA Consignee'!A:F,6,FALSE)</f>
        <v>#N/A</v>
      </c>
      <c r="AL130" s="125"/>
      <c r="AM130" s="483" t="str">
        <f>IF(Tableau1[[#This Row],[Name PFI/CDD]]="","-",VLOOKUP(Tableau1[[#This Row],[Name PFI/CDD]],Plant_AILN!I:J,2,FALSE))</f>
        <v>-</v>
      </c>
      <c r="AN13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0" s="2" t="e">
        <f ca="1">VLOOKUP(Tableau1[[#This Row],[Key(POD -PFI- Usine)]],'DATA Consignee'!A:J,10,FALSE)</f>
        <v>#N/A</v>
      </c>
      <c r="AQ130" s="50" t="e">
        <f ca="1">VLOOKUP(Tableau1[[#This Row],[Key(POD -PFI- Usine)]],'DATA Consignee'!A:N,14,FALSE)</f>
        <v>#N/A</v>
      </c>
      <c r="AR13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0" s="50" t="e">
        <f ca="1">Tableau1[[#This Row],[Transit time]]+Tableau1[[#This Row],[Time for security]]+Tableau1[[#This Row],[Time for security2 buffer]]</f>
        <v>#N/A</v>
      </c>
      <c r="AU13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0" s="389" t="e">
        <f ca="1">Tableau1[[#This Row],[Leadtime SI2C]]+Tableau1[[#This Row],[First Receipt Days]]-Tableau1[[#This Row],[Day Customer Order]]+1</f>
        <v>#N/A</v>
      </c>
      <c r="AW130" s="117" t="e">
        <f ca="1">IF(Tableau1[[#This Row],[Name ILN]]&lt;&gt;"SFK Freight Forwarder",Tableau1[[#This Row],[Cust. Leadtime]],Tableau1[[#This Row],[Leadtime SI2C]])</f>
        <v>#N/A</v>
      </c>
      <c r="AX130" s="51" t="e">
        <f>VLOOKUP(Tableau1[[#This Row],[ID]],'DATA BTO'!B:P,15,FALSE)</f>
        <v>#N/A</v>
      </c>
      <c r="AY130" s="328" t="e">
        <f ca="1">IFERROR(VLOOKUP(Tableau1[[#This Row],[Key(ID-Actif)]],'DATA BTO'!A:N,4,FALSE),VLOOKUP(Tableau1[[#This Row],[ID]],'DATA BTO'!B:N,3,FALSE))</f>
        <v>#N/A</v>
      </c>
      <c r="AZ13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0" s="50"/>
    </row>
    <row r="131" spans="2:57">
      <c r="B131" s="65" t="str">
        <f>_xlfn.CONCAT(Tableau1[[#This Row],[Name ILN]],"-",Tableau1[[#This Row],[Name Shipper]],"-",Tableau1[[#This Row],[Name Site]])</f>
        <v>--</v>
      </c>
      <c r="C131" s="65" t="e">
        <f>_xlfn.CONCAT(Tableau1[[#This Row],[Compte ILN]],"-",Tableau1[[#This Row],[Compte Shipper]],"-",Tableau1[[#This Row],[POL]],"-",Tableau1[[#This Row],[Compte Consignee]])</f>
        <v>#N/A</v>
      </c>
      <c r="D131" s="64" t="e">
        <f>_xlfn.CONCAT(Tableau1[[#This Row],[Compte ILN]],"-",Tableau1[[#This Row],[Compte Shipper]],"-",Tableau1[[#This Row],[POL]])</f>
        <v>#N/A</v>
      </c>
      <c r="E131" s="396" t="e">
        <f ca="1">_xlfn.CONCAT(Tableau1[[#This Row],[POL]],"-",Tableau1[[#This Row],[Carrier]],"-",Tableau1[[#This Row],[POD]])</f>
        <v>#N/A</v>
      </c>
      <c r="F131" s="64" t="str">
        <f>_xlfn.CONCAT(Tableau1[[#This Row],[ID]],"-","Actif")</f>
        <v>-Actif</v>
      </c>
      <c r="G131" s="64" t="e">
        <f ca="1">_xlfn.CONCAT(Tableau1[[#This Row],[POD]],"-",Tableau1[[#This Row],[Code PFI]],"-",Tableau1[[#This Row],[Compte Consignee]])</f>
        <v>#N/A</v>
      </c>
      <c r="H13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1" s="397" t="str">
        <f ca="1">IF(COUNTIF(I:I,Tableau1[[#This Row],[Plant-ILN-shipper-POL-Carrier-POD-PFI]])=1,"Non","Oui")</f>
        <v>Oui</v>
      </c>
      <c r="K131" s="398" t="e">
        <f>VLOOKUP(Tableau1[[#This Row],[Name Site]],Plant_AILN!A:D,4,FALSE)</f>
        <v>#N/A</v>
      </c>
      <c r="L131" s="285"/>
      <c r="M131" s="480" t="e">
        <f>VLOOKUP(Tableau1[[#This Row],[Name Site]],Plant_AILN!A:C,3,FALSE)</f>
        <v>#N/A</v>
      </c>
      <c r="N131" s="55" t="e">
        <f>VLOOKUP(Tableau1[[#This Row],[Compte Consignee]],Order!C:D,2,FALSE)</f>
        <v>#N/A</v>
      </c>
      <c r="O131" s="114"/>
      <c r="P131" s="481" t="e">
        <f>VLOOKUP(Tableau1[[#This Row],[Name ILN]],Plant_AILN!F:G,2,FALSE)</f>
        <v>#N/A</v>
      </c>
      <c r="Q131" s="50" t="e">
        <f>VLOOKUP(Tableau1[[#This Row],[Compte ILN]],'DATA ILN'!D:I,6,FALSE)</f>
        <v>#N/A</v>
      </c>
      <c r="R131" s="50" t="e">
        <f>IFERROR(VLOOKUP(Tableau1[[#This Row],[Key(Compte ILN - shipper - POL - plant)]],'DATA ILN'!A:J,10,FALSE),VLOOKUP(Tableau1[[#This Row],[Key(Compte ILN - shipper - POL)]],'DATA ILN'!B:J,9,FALSE))</f>
        <v>#N/A</v>
      </c>
      <c r="S131" s="50" t="e">
        <f>IFERROR(VLOOKUP(Tableau1[[#This Row],[Key(Compte ILN - shipper - POL - plant)]],'DATA ILN'!A:K,11,FALSE),VLOOKUP(Tableau1[[#This Row],[Key(Compte ILN - shipper - POL)]],'DATA ILN'!B:K,10,FALSE))</f>
        <v>#N/A</v>
      </c>
      <c r="T131" s="50" t="e">
        <f>IFERROR(VLOOKUP(Tableau1[[#This Row],[Key(Compte ILN - shipper - POL - plant)]],'DATA ILN'!A:L,12,FALSE),VLOOKUP(Tableau1[[#This Row],[Key(Compte ILN - shipper - POL)]],'DATA ILN'!B:L,11,FALSE))</f>
        <v>#N/A</v>
      </c>
      <c r="U131" s="50" t="e">
        <f>Tableau1[[#This Row],[Day ILN Order]]+Tableau1[[#This Row],[Delivery time to ILN/Shipper]]-1</f>
        <v>#N/A</v>
      </c>
      <c r="V131" s="50" t="e">
        <f>IFERROR(VLOOKUP(Tableau1[[#This Row],[Key(Compte ILN - shipper - POL - plant)]],'DATA ILN'!A:N,14,FALSE),VLOOKUP(Tableau1[[#This Row],[Key(Compte ILN - shipper - POL)]],'DATA ILN'!B:N,13,FALSE))</f>
        <v>#N/A</v>
      </c>
      <c r="W131" s="53" t="e">
        <f>IFERROR(VLOOKUP(Tableau1[[#This Row],[Key(Compte ILN - shipper - POL - plant)]],'DATA ILN'!A:P,16,FALSE),VLOOKUP(Tableau1[[#This Row],[Key(Compte ILN - shipper - POL)]],'DATA ILN'!B:P,15,FALSE))</f>
        <v>#N/A</v>
      </c>
      <c r="X131" s="283"/>
      <c r="Y131" s="482">
        <f>IFERROR(VLOOKUP(Tableau1[[#This Row],[Name Shipper]],Plant_AILN!L:M,2,FALSE),0)</f>
        <v>0</v>
      </c>
      <c r="Z131" s="358"/>
      <c r="AA131" s="353" t="e">
        <f ca="1">VLOOKUP(Tableau1[[#This Row],[Key(ID-Actif)]],'DATA BTO'!A:N,5,FALSE)</f>
        <v>#N/A</v>
      </c>
      <c r="AB131" s="3" t="e">
        <f ca="1">VLOOKUP(Tableau1[[#This Row],[Key(ID-Actif)]],'DATA BTO'!A:N,6,FALSE)</f>
        <v>#N/A</v>
      </c>
      <c r="AC131" s="50" t="e">
        <f ca="1">VLOOKUP(Tableau1[[#This Row],[Key(ID-Actif)]],'DATA BTO'!A:N,7,FALSE)</f>
        <v>#N/A</v>
      </c>
      <c r="AD131" s="50" t="e">
        <f ca="1">VLOOKUP(Tableau1[[#This Row],[Key(ID-Actif)]],'DATA BTO'!A:N,8,FALSE)</f>
        <v>#N/A</v>
      </c>
      <c r="AE131" s="50" t="e">
        <f ca="1">IF(Tableau1[[#This Row],[First Day to POL]]&lt;=Tableau1[[#This Row],[Day Cut Off]],Tableau1[[#This Row],[Day ETD]],Tableau1[[#This Row],[Day ETD]]+7)</f>
        <v>#N/A</v>
      </c>
      <c r="AF131" s="50" t="e">
        <f ca="1">VLOOKUP(Tableau1[[#This Row],[Key(ID-Actif)]],'DATA BTO'!A:N,9,FALSE)</f>
        <v>#N/A</v>
      </c>
      <c r="AG131" s="3" t="e">
        <f ca="1">VLOOKUP(Tableau1[[#This Row],[Key(ID-Actif)]],'DATA BTO'!A:N,10,FALSE)</f>
        <v>#N/A</v>
      </c>
      <c r="AH131" s="3" t="e">
        <f ca="1">VLOOKUP(Tableau1[[#This Row],[Key(ID-Actif)]],'DATA BTO'!A:N,11,FALSE)</f>
        <v>#N/A</v>
      </c>
      <c r="AI131" s="50" t="e">
        <f ca="1">VLOOKUP(Tableau1[[#This Row],[Key(ID-Actif)]],'DATA BTO'!A:N,12,FALSE)</f>
        <v>#N/A</v>
      </c>
      <c r="AJ131" s="53" t="e">
        <f ca="1">VLOOKUP(Tableau1[[#This Row],[Key(ID-Actif)]],'DATA BTO'!A:N,14,FALSE)</f>
        <v>#N/A</v>
      </c>
      <c r="AK131" s="54" t="e">
        <f ca="1">VLOOKUP(Tableau1[[#This Row],[Key(POD -PFI- Usine)]],'DATA Consignee'!A:F,6,FALSE)</f>
        <v>#N/A</v>
      </c>
      <c r="AL131" s="125"/>
      <c r="AM131" s="483" t="str">
        <f>IF(Tableau1[[#This Row],[Name PFI/CDD]]="","-",VLOOKUP(Tableau1[[#This Row],[Name PFI/CDD]],Plant_AILN!I:J,2,FALSE))</f>
        <v>-</v>
      </c>
      <c r="AN13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1" s="2" t="e">
        <f ca="1">VLOOKUP(Tableau1[[#This Row],[Key(POD -PFI- Usine)]],'DATA Consignee'!A:J,10,FALSE)</f>
        <v>#N/A</v>
      </c>
      <c r="AQ131" s="50" t="e">
        <f ca="1">VLOOKUP(Tableau1[[#This Row],[Key(POD -PFI- Usine)]],'DATA Consignee'!A:N,14,FALSE)</f>
        <v>#N/A</v>
      </c>
      <c r="AR13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1" s="50" t="e">
        <f ca="1">Tableau1[[#This Row],[Transit time]]+Tableau1[[#This Row],[Time for security]]+Tableau1[[#This Row],[Time for security2 buffer]]</f>
        <v>#N/A</v>
      </c>
      <c r="AU13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1" s="389" t="e">
        <f ca="1">Tableau1[[#This Row],[Leadtime SI2C]]+Tableau1[[#This Row],[First Receipt Days]]-Tableau1[[#This Row],[Day Customer Order]]+1</f>
        <v>#N/A</v>
      </c>
      <c r="AW131" s="117" t="e">
        <f ca="1">IF(Tableau1[[#This Row],[Name ILN]]&lt;&gt;"SFK Freight Forwarder",Tableau1[[#This Row],[Cust. Leadtime]],Tableau1[[#This Row],[Leadtime SI2C]])</f>
        <v>#N/A</v>
      </c>
      <c r="AX131" s="51" t="e">
        <f>VLOOKUP(Tableau1[[#This Row],[ID]],'DATA BTO'!B:P,15,FALSE)</f>
        <v>#N/A</v>
      </c>
      <c r="AY131" s="328" t="e">
        <f ca="1">IFERROR(VLOOKUP(Tableau1[[#This Row],[Key(ID-Actif)]],'DATA BTO'!A:N,4,FALSE),VLOOKUP(Tableau1[[#This Row],[ID]],'DATA BTO'!B:N,3,FALSE))</f>
        <v>#N/A</v>
      </c>
      <c r="AZ13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1" s="50"/>
    </row>
    <row r="132" spans="2:57">
      <c r="B132" s="65" t="str">
        <f>_xlfn.CONCAT(Tableau1[[#This Row],[Name ILN]],"-",Tableau1[[#This Row],[Name Shipper]],"-",Tableau1[[#This Row],[Name Site]])</f>
        <v>--</v>
      </c>
      <c r="C132" s="65" t="e">
        <f>_xlfn.CONCAT(Tableau1[[#This Row],[Compte ILN]],"-",Tableau1[[#This Row],[Compte Shipper]],"-",Tableau1[[#This Row],[POL]],"-",Tableau1[[#This Row],[Compte Consignee]])</f>
        <v>#N/A</v>
      </c>
      <c r="D132" s="64" t="e">
        <f>_xlfn.CONCAT(Tableau1[[#This Row],[Compte ILN]],"-",Tableau1[[#This Row],[Compte Shipper]],"-",Tableau1[[#This Row],[POL]])</f>
        <v>#N/A</v>
      </c>
      <c r="E132" s="396" t="e">
        <f ca="1">_xlfn.CONCAT(Tableau1[[#This Row],[POL]],"-",Tableau1[[#This Row],[Carrier]],"-",Tableau1[[#This Row],[POD]])</f>
        <v>#N/A</v>
      </c>
      <c r="F132" s="64" t="str">
        <f>_xlfn.CONCAT(Tableau1[[#This Row],[ID]],"-","Actif")</f>
        <v>-Actif</v>
      </c>
      <c r="G132" s="64" t="e">
        <f ca="1">_xlfn.CONCAT(Tableau1[[#This Row],[POD]],"-",Tableau1[[#This Row],[Code PFI]],"-",Tableau1[[#This Row],[Compte Consignee]])</f>
        <v>#N/A</v>
      </c>
      <c r="H13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2" s="397" t="str">
        <f ca="1">IF(COUNTIF(I:I,Tableau1[[#This Row],[Plant-ILN-shipper-POL-Carrier-POD-PFI]])=1,"Non","Oui")</f>
        <v>Oui</v>
      </c>
      <c r="K132" s="398" t="e">
        <f>VLOOKUP(Tableau1[[#This Row],[Name Site]],Plant_AILN!A:D,4,FALSE)</f>
        <v>#N/A</v>
      </c>
      <c r="L132" s="285"/>
      <c r="M132" s="480" t="e">
        <f>VLOOKUP(Tableau1[[#This Row],[Name Site]],Plant_AILN!A:C,3,FALSE)</f>
        <v>#N/A</v>
      </c>
      <c r="N132" s="55" t="e">
        <f>VLOOKUP(Tableau1[[#This Row],[Compte Consignee]],Order!C:D,2,FALSE)</f>
        <v>#N/A</v>
      </c>
      <c r="O132" s="114"/>
      <c r="P132" s="481" t="e">
        <f>VLOOKUP(Tableau1[[#This Row],[Name ILN]],Plant_AILN!F:G,2,FALSE)</f>
        <v>#N/A</v>
      </c>
      <c r="Q132" s="50" t="e">
        <f>VLOOKUP(Tableau1[[#This Row],[Compte ILN]],'DATA ILN'!D:I,6,FALSE)</f>
        <v>#N/A</v>
      </c>
      <c r="R132" s="50" t="e">
        <f>IFERROR(VLOOKUP(Tableau1[[#This Row],[Key(Compte ILN - shipper - POL - plant)]],'DATA ILN'!A:J,10,FALSE),VLOOKUP(Tableau1[[#This Row],[Key(Compte ILN - shipper - POL)]],'DATA ILN'!B:J,9,FALSE))</f>
        <v>#N/A</v>
      </c>
      <c r="S132" s="50" t="e">
        <f>IFERROR(VLOOKUP(Tableau1[[#This Row],[Key(Compte ILN - shipper - POL - plant)]],'DATA ILN'!A:K,11,FALSE),VLOOKUP(Tableau1[[#This Row],[Key(Compte ILN - shipper - POL)]],'DATA ILN'!B:K,10,FALSE))</f>
        <v>#N/A</v>
      </c>
      <c r="T132" s="50" t="e">
        <f>IFERROR(VLOOKUP(Tableau1[[#This Row],[Key(Compte ILN - shipper - POL - plant)]],'DATA ILN'!A:L,12,FALSE),VLOOKUP(Tableau1[[#This Row],[Key(Compte ILN - shipper - POL)]],'DATA ILN'!B:L,11,FALSE))</f>
        <v>#N/A</v>
      </c>
      <c r="U132" s="50" t="e">
        <f>Tableau1[[#This Row],[Day ILN Order]]+Tableau1[[#This Row],[Delivery time to ILN/Shipper]]-1</f>
        <v>#N/A</v>
      </c>
      <c r="V132" s="50" t="e">
        <f>IFERROR(VLOOKUP(Tableau1[[#This Row],[Key(Compte ILN - shipper - POL - plant)]],'DATA ILN'!A:N,14,FALSE),VLOOKUP(Tableau1[[#This Row],[Key(Compte ILN - shipper - POL)]],'DATA ILN'!B:N,13,FALSE))</f>
        <v>#N/A</v>
      </c>
      <c r="W132" s="53" t="e">
        <f>IFERROR(VLOOKUP(Tableau1[[#This Row],[Key(Compte ILN - shipper - POL - plant)]],'DATA ILN'!A:P,16,FALSE),VLOOKUP(Tableau1[[#This Row],[Key(Compte ILN - shipper - POL)]],'DATA ILN'!B:P,15,FALSE))</f>
        <v>#N/A</v>
      </c>
      <c r="X132" s="283"/>
      <c r="Y132" s="482">
        <f>IFERROR(VLOOKUP(Tableau1[[#This Row],[Name Shipper]],Plant_AILN!L:M,2,FALSE),0)</f>
        <v>0</v>
      </c>
      <c r="Z132" s="358"/>
      <c r="AA132" s="353" t="e">
        <f ca="1">VLOOKUP(Tableau1[[#This Row],[Key(ID-Actif)]],'DATA BTO'!A:N,5,FALSE)</f>
        <v>#N/A</v>
      </c>
      <c r="AB132" s="3" t="e">
        <f ca="1">VLOOKUP(Tableau1[[#This Row],[Key(ID-Actif)]],'DATA BTO'!A:N,6,FALSE)</f>
        <v>#N/A</v>
      </c>
      <c r="AC132" s="50" t="e">
        <f ca="1">VLOOKUP(Tableau1[[#This Row],[Key(ID-Actif)]],'DATA BTO'!A:N,7,FALSE)</f>
        <v>#N/A</v>
      </c>
      <c r="AD132" s="50" t="e">
        <f ca="1">VLOOKUP(Tableau1[[#This Row],[Key(ID-Actif)]],'DATA BTO'!A:N,8,FALSE)</f>
        <v>#N/A</v>
      </c>
      <c r="AE132" s="50" t="e">
        <f ca="1">IF(Tableau1[[#This Row],[First Day to POL]]&lt;=Tableau1[[#This Row],[Day Cut Off]],Tableau1[[#This Row],[Day ETD]],Tableau1[[#This Row],[Day ETD]]+7)</f>
        <v>#N/A</v>
      </c>
      <c r="AF132" s="50" t="e">
        <f ca="1">VLOOKUP(Tableau1[[#This Row],[Key(ID-Actif)]],'DATA BTO'!A:N,9,FALSE)</f>
        <v>#N/A</v>
      </c>
      <c r="AG132" s="3" t="e">
        <f ca="1">VLOOKUP(Tableau1[[#This Row],[Key(ID-Actif)]],'DATA BTO'!A:N,10,FALSE)</f>
        <v>#N/A</v>
      </c>
      <c r="AH132" s="3" t="e">
        <f ca="1">VLOOKUP(Tableau1[[#This Row],[Key(ID-Actif)]],'DATA BTO'!A:N,11,FALSE)</f>
        <v>#N/A</v>
      </c>
      <c r="AI132" s="50" t="e">
        <f ca="1">VLOOKUP(Tableau1[[#This Row],[Key(ID-Actif)]],'DATA BTO'!A:N,12,FALSE)</f>
        <v>#N/A</v>
      </c>
      <c r="AJ132" s="53" t="e">
        <f ca="1">VLOOKUP(Tableau1[[#This Row],[Key(ID-Actif)]],'DATA BTO'!A:N,14,FALSE)</f>
        <v>#N/A</v>
      </c>
      <c r="AK132" s="54" t="e">
        <f ca="1">VLOOKUP(Tableau1[[#This Row],[Key(POD -PFI- Usine)]],'DATA Consignee'!A:F,6,FALSE)</f>
        <v>#N/A</v>
      </c>
      <c r="AL132" s="125"/>
      <c r="AM132" s="483" t="str">
        <f>IF(Tableau1[[#This Row],[Name PFI/CDD]]="","-",VLOOKUP(Tableau1[[#This Row],[Name PFI/CDD]],Plant_AILN!I:J,2,FALSE))</f>
        <v>-</v>
      </c>
      <c r="AN13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2" s="2" t="e">
        <f ca="1">VLOOKUP(Tableau1[[#This Row],[Key(POD -PFI- Usine)]],'DATA Consignee'!A:J,10,FALSE)</f>
        <v>#N/A</v>
      </c>
      <c r="AQ132" s="50" t="e">
        <f ca="1">VLOOKUP(Tableau1[[#This Row],[Key(POD -PFI- Usine)]],'DATA Consignee'!A:N,14,FALSE)</f>
        <v>#N/A</v>
      </c>
      <c r="AR13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2" s="50" t="e">
        <f ca="1">Tableau1[[#This Row],[Transit time]]+Tableau1[[#This Row],[Time for security]]+Tableau1[[#This Row],[Time for security2 buffer]]</f>
        <v>#N/A</v>
      </c>
      <c r="AU13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2" s="389" t="e">
        <f ca="1">Tableau1[[#This Row],[Leadtime SI2C]]+Tableau1[[#This Row],[First Receipt Days]]-Tableau1[[#This Row],[Day Customer Order]]+1</f>
        <v>#N/A</v>
      </c>
      <c r="AW132" s="117" t="e">
        <f ca="1">IF(Tableau1[[#This Row],[Name ILN]]&lt;&gt;"SFK Freight Forwarder",Tableau1[[#This Row],[Cust. Leadtime]],Tableau1[[#This Row],[Leadtime SI2C]])</f>
        <v>#N/A</v>
      </c>
      <c r="AX132" s="51" t="e">
        <f>VLOOKUP(Tableau1[[#This Row],[ID]],'DATA BTO'!B:P,15,FALSE)</f>
        <v>#N/A</v>
      </c>
      <c r="AY132" s="328" t="e">
        <f ca="1">IFERROR(VLOOKUP(Tableau1[[#This Row],[Key(ID-Actif)]],'DATA BTO'!A:N,4,FALSE),VLOOKUP(Tableau1[[#This Row],[ID]],'DATA BTO'!B:N,3,FALSE))</f>
        <v>#N/A</v>
      </c>
      <c r="AZ13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2" s="50"/>
    </row>
    <row r="133" spans="2:57">
      <c r="B133" s="65" t="str">
        <f>_xlfn.CONCAT(Tableau1[[#This Row],[Name ILN]],"-",Tableau1[[#This Row],[Name Shipper]],"-",Tableau1[[#This Row],[Name Site]])</f>
        <v>--</v>
      </c>
      <c r="C133" s="65" t="e">
        <f>_xlfn.CONCAT(Tableau1[[#This Row],[Compte ILN]],"-",Tableau1[[#This Row],[Compte Shipper]],"-",Tableau1[[#This Row],[POL]],"-",Tableau1[[#This Row],[Compte Consignee]])</f>
        <v>#N/A</v>
      </c>
      <c r="D133" s="64" t="e">
        <f>_xlfn.CONCAT(Tableau1[[#This Row],[Compte ILN]],"-",Tableau1[[#This Row],[Compte Shipper]],"-",Tableau1[[#This Row],[POL]])</f>
        <v>#N/A</v>
      </c>
      <c r="E133" s="396" t="e">
        <f ca="1">_xlfn.CONCAT(Tableau1[[#This Row],[POL]],"-",Tableau1[[#This Row],[Carrier]],"-",Tableau1[[#This Row],[POD]])</f>
        <v>#N/A</v>
      </c>
      <c r="F133" s="64" t="str">
        <f>_xlfn.CONCAT(Tableau1[[#This Row],[ID]],"-","Actif")</f>
        <v>-Actif</v>
      </c>
      <c r="G133" s="64" t="e">
        <f ca="1">_xlfn.CONCAT(Tableau1[[#This Row],[POD]],"-",Tableau1[[#This Row],[Code PFI]],"-",Tableau1[[#This Row],[Compte Consignee]])</f>
        <v>#N/A</v>
      </c>
      <c r="H13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3" s="397" t="str">
        <f ca="1">IF(COUNTIF(I:I,Tableau1[[#This Row],[Plant-ILN-shipper-POL-Carrier-POD-PFI]])=1,"Non","Oui")</f>
        <v>Oui</v>
      </c>
      <c r="K133" s="398" t="e">
        <f>VLOOKUP(Tableau1[[#This Row],[Name Site]],Plant_AILN!A:D,4,FALSE)</f>
        <v>#N/A</v>
      </c>
      <c r="L133" s="285"/>
      <c r="M133" s="480" t="e">
        <f>VLOOKUP(Tableau1[[#This Row],[Name Site]],Plant_AILN!A:C,3,FALSE)</f>
        <v>#N/A</v>
      </c>
      <c r="N133" s="55" t="e">
        <f>VLOOKUP(Tableau1[[#This Row],[Compte Consignee]],Order!C:D,2,FALSE)</f>
        <v>#N/A</v>
      </c>
      <c r="O133" s="114"/>
      <c r="P133" s="481" t="e">
        <f>VLOOKUP(Tableau1[[#This Row],[Name ILN]],Plant_AILN!F:G,2,FALSE)</f>
        <v>#N/A</v>
      </c>
      <c r="Q133" s="50" t="e">
        <f>VLOOKUP(Tableau1[[#This Row],[Compte ILN]],'DATA ILN'!D:I,6,FALSE)</f>
        <v>#N/A</v>
      </c>
      <c r="R133" s="50" t="e">
        <f>IFERROR(VLOOKUP(Tableau1[[#This Row],[Key(Compte ILN - shipper - POL - plant)]],'DATA ILN'!A:J,10,FALSE),VLOOKUP(Tableau1[[#This Row],[Key(Compte ILN - shipper - POL)]],'DATA ILN'!B:J,9,FALSE))</f>
        <v>#N/A</v>
      </c>
      <c r="S133" s="50" t="e">
        <f>IFERROR(VLOOKUP(Tableau1[[#This Row],[Key(Compte ILN - shipper - POL - plant)]],'DATA ILN'!A:K,11,FALSE),VLOOKUP(Tableau1[[#This Row],[Key(Compte ILN - shipper - POL)]],'DATA ILN'!B:K,10,FALSE))</f>
        <v>#N/A</v>
      </c>
      <c r="T133" s="50" t="e">
        <f>IFERROR(VLOOKUP(Tableau1[[#This Row],[Key(Compte ILN - shipper - POL - plant)]],'DATA ILN'!A:L,12,FALSE),VLOOKUP(Tableau1[[#This Row],[Key(Compte ILN - shipper - POL)]],'DATA ILN'!B:L,11,FALSE))</f>
        <v>#N/A</v>
      </c>
      <c r="U133" s="50" t="e">
        <f>Tableau1[[#This Row],[Day ILN Order]]+Tableau1[[#This Row],[Delivery time to ILN/Shipper]]-1</f>
        <v>#N/A</v>
      </c>
      <c r="V133" s="50" t="e">
        <f>IFERROR(VLOOKUP(Tableau1[[#This Row],[Key(Compte ILN - shipper - POL - plant)]],'DATA ILN'!A:N,14,FALSE),VLOOKUP(Tableau1[[#This Row],[Key(Compte ILN - shipper - POL)]],'DATA ILN'!B:N,13,FALSE))</f>
        <v>#N/A</v>
      </c>
      <c r="W133" s="53" t="e">
        <f>IFERROR(VLOOKUP(Tableau1[[#This Row],[Key(Compte ILN - shipper - POL - plant)]],'DATA ILN'!A:P,16,FALSE),VLOOKUP(Tableau1[[#This Row],[Key(Compte ILN - shipper - POL)]],'DATA ILN'!B:P,15,FALSE))</f>
        <v>#N/A</v>
      </c>
      <c r="X133" s="283"/>
      <c r="Y133" s="482">
        <f>IFERROR(VLOOKUP(Tableau1[[#This Row],[Name Shipper]],Plant_AILN!L:M,2,FALSE),0)</f>
        <v>0</v>
      </c>
      <c r="Z133" s="358"/>
      <c r="AA133" s="353" t="e">
        <f ca="1">VLOOKUP(Tableau1[[#This Row],[Key(ID-Actif)]],'DATA BTO'!A:N,5,FALSE)</f>
        <v>#N/A</v>
      </c>
      <c r="AB133" s="3" t="e">
        <f ca="1">VLOOKUP(Tableau1[[#This Row],[Key(ID-Actif)]],'DATA BTO'!A:N,6,FALSE)</f>
        <v>#N/A</v>
      </c>
      <c r="AC133" s="50" t="e">
        <f ca="1">VLOOKUP(Tableau1[[#This Row],[Key(ID-Actif)]],'DATA BTO'!A:N,7,FALSE)</f>
        <v>#N/A</v>
      </c>
      <c r="AD133" s="50" t="e">
        <f ca="1">VLOOKUP(Tableau1[[#This Row],[Key(ID-Actif)]],'DATA BTO'!A:N,8,FALSE)</f>
        <v>#N/A</v>
      </c>
      <c r="AE133" s="50" t="e">
        <f ca="1">IF(Tableau1[[#This Row],[First Day to POL]]&lt;=Tableau1[[#This Row],[Day Cut Off]],Tableau1[[#This Row],[Day ETD]],Tableau1[[#This Row],[Day ETD]]+7)</f>
        <v>#N/A</v>
      </c>
      <c r="AF133" s="50" t="e">
        <f ca="1">VLOOKUP(Tableau1[[#This Row],[Key(ID-Actif)]],'DATA BTO'!A:N,9,FALSE)</f>
        <v>#N/A</v>
      </c>
      <c r="AG133" s="3" t="e">
        <f ca="1">VLOOKUP(Tableau1[[#This Row],[Key(ID-Actif)]],'DATA BTO'!A:N,10,FALSE)</f>
        <v>#N/A</v>
      </c>
      <c r="AH133" s="3" t="e">
        <f ca="1">VLOOKUP(Tableau1[[#This Row],[Key(ID-Actif)]],'DATA BTO'!A:N,11,FALSE)</f>
        <v>#N/A</v>
      </c>
      <c r="AI133" s="50" t="e">
        <f ca="1">VLOOKUP(Tableau1[[#This Row],[Key(ID-Actif)]],'DATA BTO'!A:N,12,FALSE)</f>
        <v>#N/A</v>
      </c>
      <c r="AJ133" s="53" t="e">
        <f ca="1">VLOOKUP(Tableau1[[#This Row],[Key(ID-Actif)]],'DATA BTO'!A:N,14,FALSE)</f>
        <v>#N/A</v>
      </c>
      <c r="AK133" s="54" t="e">
        <f ca="1">VLOOKUP(Tableau1[[#This Row],[Key(POD -PFI- Usine)]],'DATA Consignee'!A:F,6,FALSE)</f>
        <v>#N/A</v>
      </c>
      <c r="AL133" s="125"/>
      <c r="AM133" s="483" t="str">
        <f>IF(Tableau1[[#This Row],[Name PFI/CDD]]="","-",VLOOKUP(Tableau1[[#This Row],[Name PFI/CDD]],Plant_AILN!I:J,2,FALSE))</f>
        <v>-</v>
      </c>
      <c r="AN13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3" s="2" t="e">
        <f ca="1">VLOOKUP(Tableau1[[#This Row],[Key(POD -PFI- Usine)]],'DATA Consignee'!A:J,10,FALSE)</f>
        <v>#N/A</v>
      </c>
      <c r="AQ133" s="50" t="e">
        <f ca="1">VLOOKUP(Tableau1[[#This Row],[Key(POD -PFI- Usine)]],'DATA Consignee'!A:N,14,FALSE)</f>
        <v>#N/A</v>
      </c>
      <c r="AR13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3" s="50" t="e">
        <f ca="1">Tableau1[[#This Row],[Transit time]]+Tableau1[[#This Row],[Time for security]]+Tableau1[[#This Row],[Time for security2 buffer]]</f>
        <v>#N/A</v>
      </c>
      <c r="AU13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3" s="389" t="e">
        <f ca="1">Tableau1[[#This Row],[Leadtime SI2C]]+Tableau1[[#This Row],[First Receipt Days]]-Tableau1[[#This Row],[Day Customer Order]]+1</f>
        <v>#N/A</v>
      </c>
      <c r="AW133" s="117" t="e">
        <f ca="1">IF(Tableau1[[#This Row],[Name ILN]]&lt;&gt;"SFK Freight Forwarder",Tableau1[[#This Row],[Cust. Leadtime]],Tableau1[[#This Row],[Leadtime SI2C]])</f>
        <v>#N/A</v>
      </c>
      <c r="AX133" s="51" t="e">
        <f>VLOOKUP(Tableau1[[#This Row],[ID]],'DATA BTO'!B:P,15,FALSE)</f>
        <v>#N/A</v>
      </c>
      <c r="AY133" s="328" t="e">
        <f ca="1">IFERROR(VLOOKUP(Tableau1[[#This Row],[Key(ID-Actif)]],'DATA BTO'!A:N,4,FALSE),VLOOKUP(Tableau1[[#This Row],[ID]],'DATA BTO'!B:N,3,FALSE))</f>
        <v>#N/A</v>
      </c>
      <c r="AZ13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3" s="50"/>
    </row>
    <row r="134" spans="2:57">
      <c r="B134" s="65" t="str">
        <f>_xlfn.CONCAT(Tableau1[[#This Row],[Name ILN]],"-",Tableau1[[#This Row],[Name Shipper]],"-",Tableau1[[#This Row],[Name Site]])</f>
        <v>--</v>
      </c>
      <c r="C134" s="65" t="e">
        <f>_xlfn.CONCAT(Tableau1[[#This Row],[Compte ILN]],"-",Tableau1[[#This Row],[Compte Shipper]],"-",Tableau1[[#This Row],[POL]],"-",Tableau1[[#This Row],[Compte Consignee]])</f>
        <v>#N/A</v>
      </c>
      <c r="D134" s="64" t="e">
        <f>_xlfn.CONCAT(Tableau1[[#This Row],[Compte ILN]],"-",Tableau1[[#This Row],[Compte Shipper]],"-",Tableau1[[#This Row],[POL]])</f>
        <v>#N/A</v>
      </c>
      <c r="E134" s="396" t="e">
        <f ca="1">_xlfn.CONCAT(Tableau1[[#This Row],[POL]],"-",Tableau1[[#This Row],[Carrier]],"-",Tableau1[[#This Row],[POD]])</f>
        <v>#N/A</v>
      </c>
      <c r="F134" s="64" t="str">
        <f>_xlfn.CONCAT(Tableau1[[#This Row],[ID]],"-","Actif")</f>
        <v>-Actif</v>
      </c>
      <c r="G134" s="64" t="e">
        <f ca="1">_xlfn.CONCAT(Tableau1[[#This Row],[POD]],"-",Tableau1[[#This Row],[Code PFI]],"-",Tableau1[[#This Row],[Compte Consignee]])</f>
        <v>#N/A</v>
      </c>
      <c r="H13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4" s="397" t="str">
        <f ca="1">IF(COUNTIF(I:I,Tableau1[[#This Row],[Plant-ILN-shipper-POL-Carrier-POD-PFI]])=1,"Non","Oui")</f>
        <v>Oui</v>
      </c>
      <c r="K134" s="398" t="e">
        <f>VLOOKUP(Tableau1[[#This Row],[Name Site]],Plant_AILN!A:D,4,FALSE)</f>
        <v>#N/A</v>
      </c>
      <c r="L134" s="285"/>
      <c r="M134" s="480" t="e">
        <f>VLOOKUP(Tableau1[[#This Row],[Name Site]],Plant_AILN!A:C,3,FALSE)</f>
        <v>#N/A</v>
      </c>
      <c r="N134" s="55" t="e">
        <f>VLOOKUP(Tableau1[[#This Row],[Compte Consignee]],Order!C:D,2,FALSE)</f>
        <v>#N/A</v>
      </c>
      <c r="O134" s="114"/>
      <c r="P134" s="481" t="e">
        <f>VLOOKUP(Tableau1[[#This Row],[Name ILN]],Plant_AILN!F:G,2,FALSE)</f>
        <v>#N/A</v>
      </c>
      <c r="Q134" s="50" t="e">
        <f>VLOOKUP(Tableau1[[#This Row],[Compte ILN]],'DATA ILN'!D:I,6,FALSE)</f>
        <v>#N/A</v>
      </c>
      <c r="R134" s="50" t="e">
        <f>IFERROR(VLOOKUP(Tableau1[[#This Row],[Key(Compte ILN - shipper - POL - plant)]],'DATA ILN'!A:J,10,FALSE),VLOOKUP(Tableau1[[#This Row],[Key(Compte ILN - shipper - POL)]],'DATA ILN'!B:J,9,FALSE))</f>
        <v>#N/A</v>
      </c>
      <c r="S134" s="50" t="e">
        <f>IFERROR(VLOOKUP(Tableau1[[#This Row],[Key(Compte ILN - shipper - POL - plant)]],'DATA ILN'!A:K,11,FALSE),VLOOKUP(Tableau1[[#This Row],[Key(Compte ILN - shipper - POL)]],'DATA ILN'!B:K,10,FALSE))</f>
        <v>#N/A</v>
      </c>
      <c r="T134" s="50" t="e">
        <f>IFERROR(VLOOKUP(Tableau1[[#This Row],[Key(Compte ILN - shipper - POL - plant)]],'DATA ILN'!A:L,12,FALSE),VLOOKUP(Tableau1[[#This Row],[Key(Compte ILN - shipper - POL)]],'DATA ILN'!B:L,11,FALSE))</f>
        <v>#N/A</v>
      </c>
      <c r="U134" s="50" t="e">
        <f>Tableau1[[#This Row],[Day ILN Order]]+Tableau1[[#This Row],[Delivery time to ILN/Shipper]]-1</f>
        <v>#N/A</v>
      </c>
      <c r="V134" s="50" t="e">
        <f>IFERROR(VLOOKUP(Tableau1[[#This Row],[Key(Compte ILN - shipper - POL - plant)]],'DATA ILN'!A:N,14,FALSE),VLOOKUP(Tableau1[[#This Row],[Key(Compte ILN - shipper - POL)]],'DATA ILN'!B:N,13,FALSE))</f>
        <v>#N/A</v>
      </c>
      <c r="W134" s="53" t="e">
        <f>IFERROR(VLOOKUP(Tableau1[[#This Row],[Key(Compte ILN - shipper - POL - plant)]],'DATA ILN'!A:P,16,FALSE),VLOOKUP(Tableau1[[#This Row],[Key(Compte ILN - shipper - POL)]],'DATA ILN'!B:P,15,FALSE))</f>
        <v>#N/A</v>
      </c>
      <c r="X134" s="283"/>
      <c r="Y134" s="482">
        <f>IFERROR(VLOOKUP(Tableau1[[#This Row],[Name Shipper]],Plant_AILN!L:M,2,FALSE),0)</f>
        <v>0</v>
      </c>
      <c r="Z134" s="358"/>
      <c r="AA134" s="353" t="e">
        <f ca="1">VLOOKUP(Tableau1[[#This Row],[Key(ID-Actif)]],'DATA BTO'!A:N,5,FALSE)</f>
        <v>#N/A</v>
      </c>
      <c r="AB134" s="3" t="e">
        <f ca="1">VLOOKUP(Tableau1[[#This Row],[Key(ID-Actif)]],'DATA BTO'!A:N,6,FALSE)</f>
        <v>#N/A</v>
      </c>
      <c r="AC134" s="50" t="e">
        <f ca="1">VLOOKUP(Tableau1[[#This Row],[Key(ID-Actif)]],'DATA BTO'!A:N,7,FALSE)</f>
        <v>#N/A</v>
      </c>
      <c r="AD134" s="50" t="e">
        <f ca="1">VLOOKUP(Tableau1[[#This Row],[Key(ID-Actif)]],'DATA BTO'!A:N,8,FALSE)</f>
        <v>#N/A</v>
      </c>
      <c r="AE134" s="50" t="e">
        <f ca="1">IF(Tableau1[[#This Row],[First Day to POL]]&lt;=Tableau1[[#This Row],[Day Cut Off]],Tableau1[[#This Row],[Day ETD]],Tableau1[[#This Row],[Day ETD]]+7)</f>
        <v>#N/A</v>
      </c>
      <c r="AF134" s="50" t="e">
        <f ca="1">VLOOKUP(Tableau1[[#This Row],[Key(ID-Actif)]],'DATA BTO'!A:N,9,FALSE)</f>
        <v>#N/A</v>
      </c>
      <c r="AG134" s="3" t="e">
        <f ca="1">VLOOKUP(Tableau1[[#This Row],[Key(ID-Actif)]],'DATA BTO'!A:N,10,FALSE)</f>
        <v>#N/A</v>
      </c>
      <c r="AH134" s="3" t="e">
        <f ca="1">VLOOKUP(Tableau1[[#This Row],[Key(ID-Actif)]],'DATA BTO'!A:N,11,FALSE)</f>
        <v>#N/A</v>
      </c>
      <c r="AI134" s="50" t="e">
        <f ca="1">VLOOKUP(Tableau1[[#This Row],[Key(ID-Actif)]],'DATA BTO'!A:N,12,FALSE)</f>
        <v>#N/A</v>
      </c>
      <c r="AJ134" s="53" t="e">
        <f ca="1">VLOOKUP(Tableau1[[#This Row],[Key(ID-Actif)]],'DATA BTO'!A:N,14,FALSE)</f>
        <v>#N/A</v>
      </c>
      <c r="AK134" s="54" t="e">
        <f ca="1">VLOOKUP(Tableau1[[#This Row],[Key(POD -PFI- Usine)]],'DATA Consignee'!A:F,6,FALSE)</f>
        <v>#N/A</v>
      </c>
      <c r="AL134" s="125"/>
      <c r="AM134" s="483" t="str">
        <f>IF(Tableau1[[#This Row],[Name PFI/CDD]]="","-",VLOOKUP(Tableau1[[#This Row],[Name PFI/CDD]],Plant_AILN!I:J,2,FALSE))</f>
        <v>-</v>
      </c>
      <c r="AN13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4" s="2" t="e">
        <f ca="1">VLOOKUP(Tableau1[[#This Row],[Key(POD -PFI- Usine)]],'DATA Consignee'!A:J,10,FALSE)</f>
        <v>#N/A</v>
      </c>
      <c r="AQ134" s="50" t="e">
        <f ca="1">VLOOKUP(Tableau1[[#This Row],[Key(POD -PFI- Usine)]],'DATA Consignee'!A:N,14,FALSE)</f>
        <v>#N/A</v>
      </c>
      <c r="AR13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4" s="50" t="e">
        <f ca="1">Tableau1[[#This Row],[Transit time]]+Tableau1[[#This Row],[Time for security]]+Tableau1[[#This Row],[Time for security2 buffer]]</f>
        <v>#N/A</v>
      </c>
      <c r="AU13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4" s="389" t="e">
        <f ca="1">Tableau1[[#This Row],[Leadtime SI2C]]+Tableau1[[#This Row],[First Receipt Days]]-Tableau1[[#This Row],[Day Customer Order]]+1</f>
        <v>#N/A</v>
      </c>
      <c r="AW134" s="117" t="e">
        <f ca="1">IF(Tableau1[[#This Row],[Name ILN]]&lt;&gt;"SFK Freight Forwarder",Tableau1[[#This Row],[Cust. Leadtime]],Tableau1[[#This Row],[Leadtime SI2C]])</f>
        <v>#N/A</v>
      </c>
      <c r="AX134" s="51" t="e">
        <f>VLOOKUP(Tableau1[[#This Row],[ID]],'DATA BTO'!B:P,15,FALSE)</f>
        <v>#N/A</v>
      </c>
      <c r="AY134" s="328" t="e">
        <f ca="1">IFERROR(VLOOKUP(Tableau1[[#This Row],[Key(ID-Actif)]],'DATA BTO'!A:N,4,FALSE),VLOOKUP(Tableau1[[#This Row],[ID]],'DATA BTO'!B:N,3,FALSE))</f>
        <v>#N/A</v>
      </c>
      <c r="AZ13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4" s="50"/>
    </row>
    <row r="135" spans="2:57">
      <c r="B135" s="65" t="str">
        <f>_xlfn.CONCAT(Tableau1[[#This Row],[Name ILN]],"-",Tableau1[[#This Row],[Name Shipper]],"-",Tableau1[[#This Row],[Name Site]])</f>
        <v>--</v>
      </c>
      <c r="C135" s="65" t="e">
        <f>_xlfn.CONCAT(Tableau1[[#This Row],[Compte ILN]],"-",Tableau1[[#This Row],[Compte Shipper]],"-",Tableau1[[#This Row],[POL]],"-",Tableau1[[#This Row],[Compte Consignee]])</f>
        <v>#N/A</v>
      </c>
      <c r="D135" s="64" t="e">
        <f>_xlfn.CONCAT(Tableau1[[#This Row],[Compte ILN]],"-",Tableau1[[#This Row],[Compte Shipper]],"-",Tableau1[[#This Row],[POL]])</f>
        <v>#N/A</v>
      </c>
      <c r="E135" s="396" t="e">
        <f ca="1">_xlfn.CONCAT(Tableau1[[#This Row],[POL]],"-",Tableau1[[#This Row],[Carrier]],"-",Tableau1[[#This Row],[POD]])</f>
        <v>#N/A</v>
      </c>
      <c r="F135" s="64" t="str">
        <f>_xlfn.CONCAT(Tableau1[[#This Row],[ID]],"-","Actif")</f>
        <v>-Actif</v>
      </c>
      <c r="G135" s="64" t="e">
        <f ca="1">_xlfn.CONCAT(Tableau1[[#This Row],[POD]],"-",Tableau1[[#This Row],[Code PFI]],"-",Tableau1[[#This Row],[Compte Consignee]])</f>
        <v>#N/A</v>
      </c>
      <c r="H13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5" s="397" t="str">
        <f ca="1">IF(COUNTIF(I:I,Tableau1[[#This Row],[Plant-ILN-shipper-POL-Carrier-POD-PFI]])=1,"Non","Oui")</f>
        <v>Oui</v>
      </c>
      <c r="K135" s="398" t="e">
        <f>VLOOKUP(Tableau1[[#This Row],[Name Site]],Plant_AILN!A:D,4,FALSE)</f>
        <v>#N/A</v>
      </c>
      <c r="L135" s="285"/>
      <c r="M135" s="480" t="e">
        <f>VLOOKUP(Tableau1[[#This Row],[Name Site]],Plant_AILN!A:C,3,FALSE)</f>
        <v>#N/A</v>
      </c>
      <c r="N135" s="55" t="e">
        <f>VLOOKUP(Tableau1[[#This Row],[Compte Consignee]],Order!C:D,2,FALSE)</f>
        <v>#N/A</v>
      </c>
      <c r="O135" s="114"/>
      <c r="P135" s="481" t="e">
        <f>VLOOKUP(Tableau1[[#This Row],[Name ILN]],Plant_AILN!F:G,2,FALSE)</f>
        <v>#N/A</v>
      </c>
      <c r="Q135" s="50" t="e">
        <f>VLOOKUP(Tableau1[[#This Row],[Compte ILN]],'DATA ILN'!D:I,6,FALSE)</f>
        <v>#N/A</v>
      </c>
      <c r="R135" s="50" t="e">
        <f>IFERROR(VLOOKUP(Tableau1[[#This Row],[Key(Compte ILN - shipper - POL - plant)]],'DATA ILN'!A:J,10,FALSE),VLOOKUP(Tableau1[[#This Row],[Key(Compte ILN - shipper - POL)]],'DATA ILN'!B:J,9,FALSE))</f>
        <v>#N/A</v>
      </c>
      <c r="S135" s="50" t="e">
        <f>IFERROR(VLOOKUP(Tableau1[[#This Row],[Key(Compte ILN - shipper - POL - plant)]],'DATA ILN'!A:K,11,FALSE),VLOOKUP(Tableau1[[#This Row],[Key(Compte ILN - shipper - POL)]],'DATA ILN'!B:K,10,FALSE))</f>
        <v>#N/A</v>
      </c>
      <c r="T135" s="50" t="e">
        <f>IFERROR(VLOOKUP(Tableau1[[#This Row],[Key(Compte ILN - shipper - POL - plant)]],'DATA ILN'!A:L,12,FALSE),VLOOKUP(Tableau1[[#This Row],[Key(Compte ILN - shipper - POL)]],'DATA ILN'!B:L,11,FALSE))</f>
        <v>#N/A</v>
      </c>
      <c r="U135" s="50" t="e">
        <f>Tableau1[[#This Row],[Day ILN Order]]+Tableau1[[#This Row],[Delivery time to ILN/Shipper]]-1</f>
        <v>#N/A</v>
      </c>
      <c r="V135" s="50" t="e">
        <f>IFERROR(VLOOKUP(Tableau1[[#This Row],[Key(Compte ILN - shipper - POL - plant)]],'DATA ILN'!A:N,14,FALSE),VLOOKUP(Tableau1[[#This Row],[Key(Compte ILN - shipper - POL)]],'DATA ILN'!B:N,13,FALSE))</f>
        <v>#N/A</v>
      </c>
      <c r="W135" s="53" t="e">
        <f>IFERROR(VLOOKUP(Tableau1[[#This Row],[Key(Compte ILN - shipper - POL - plant)]],'DATA ILN'!A:P,16,FALSE),VLOOKUP(Tableau1[[#This Row],[Key(Compte ILN - shipper - POL)]],'DATA ILN'!B:P,15,FALSE))</f>
        <v>#N/A</v>
      </c>
      <c r="X135" s="283"/>
      <c r="Y135" s="482">
        <f>IFERROR(VLOOKUP(Tableau1[[#This Row],[Name Shipper]],Plant_AILN!L:M,2,FALSE),0)</f>
        <v>0</v>
      </c>
      <c r="Z135" s="358"/>
      <c r="AA135" s="353" t="e">
        <f ca="1">VLOOKUP(Tableau1[[#This Row],[Key(ID-Actif)]],'DATA BTO'!A:N,5,FALSE)</f>
        <v>#N/A</v>
      </c>
      <c r="AB135" s="3" t="e">
        <f ca="1">VLOOKUP(Tableau1[[#This Row],[Key(ID-Actif)]],'DATA BTO'!A:N,6,FALSE)</f>
        <v>#N/A</v>
      </c>
      <c r="AC135" s="50" t="e">
        <f ca="1">VLOOKUP(Tableau1[[#This Row],[Key(ID-Actif)]],'DATA BTO'!A:N,7,FALSE)</f>
        <v>#N/A</v>
      </c>
      <c r="AD135" s="50" t="e">
        <f ca="1">VLOOKUP(Tableau1[[#This Row],[Key(ID-Actif)]],'DATA BTO'!A:N,8,FALSE)</f>
        <v>#N/A</v>
      </c>
      <c r="AE135" s="50" t="e">
        <f ca="1">IF(Tableau1[[#This Row],[First Day to POL]]&lt;=Tableau1[[#This Row],[Day Cut Off]],Tableau1[[#This Row],[Day ETD]],Tableau1[[#This Row],[Day ETD]]+7)</f>
        <v>#N/A</v>
      </c>
      <c r="AF135" s="50" t="e">
        <f ca="1">VLOOKUP(Tableau1[[#This Row],[Key(ID-Actif)]],'DATA BTO'!A:N,9,FALSE)</f>
        <v>#N/A</v>
      </c>
      <c r="AG135" s="3" t="e">
        <f ca="1">VLOOKUP(Tableau1[[#This Row],[Key(ID-Actif)]],'DATA BTO'!A:N,10,FALSE)</f>
        <v>#N/A</v>
      </c>
      <c r="AH135" s="3" t="e">
        <f ca="1">VLOOKUP(Tableau1[[#This Row],[Key(ID-Actif)]],'DATA BTO'!A:N,11,FALSE)</f>
        <v>#N/A</v>
      </c>
      <c r="AI135" s="50" t="e">
        <f ca="1">VLOOKUP(Tableau1[[#This Row],[Key(ID-Actif)]],'DATA BTO'!A:N,12,FALSE)</f>
        <v>#N/A</v>
      </c>
      <c r="AJ135" s="53" t="e">
        <f ca="1">VLOOKUP(Tableau1[[#This Row],[Key(ID-Actif)]],'DATA BTO'!A:N,14,FALSE)</f>
        <v>#N/A</v>
      </c>
      <c r="AK135" s="54" t="e">
        <f ca="1">VLOOKUP(Tableau1[[#This Row],[Key(POD -PFI- Usine)]],'DATA Consignee'!A:F,6,FALSE)</f>
        <v>#N/A</v>
      </c>
      <c r="AL135" s="125"/>
      <c r="AM135" s="483" t="str">
        <f>IF(Tableau1[[#This Row],[Name PFI/CDD]]="","-",VLOOKUP(Tableau1[[#This Row],[Name PFI/CDD]],Plant_AILN!I:J,2,FALSE))</f>
        <v>-</v>
      </c>
      <c r="AN13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5" s="2" t="e">
        <f ca="1">VLOOKUP(Tableau1[[#This Row],[Key(POD -PFI- Usine)]],'DATA Consignee'!A:J,10,FALSE)</f>
        <v>#N/A</v>
      </c>
      <c r="AQ135" s="50" t="e">
        <f ca="1">VLOOKUP(Tableau1[[#This Row],[Key(POD -PFI- Usine)]],'DATA Consignee'!A:N,14,FALSE)</f>
        <v>#N/A</v>
      </c>
      <c r="AR13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5" s="50" t="e">
        <f ca="1">Tableau1[[#This Row],[Transit time]]+Tableau1[[#This Row],[Time for security]]+Tableau1[[#This Row],[Time for security2 buffer]]</f>
        <v>#N/A</v>
      </c>
      <c r="AU13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5" s="389" t="e">
        <f ca="1">Tableau1[[#This Row],[Leadtime SI2C]]+Tableau1[[#This Row],[First Receipt Days]]-Tableau1[[#This Row],[Day Customer Order]]+1</f>
        <v>#N/A</v>
      </c>
      <c r="AW135" s="117" t="e">
        <f ca="1">IF(Tableau1[[#This Row],[Name ILN]]&lt;&gt;"SFK Freight Forwarder",Tableau1[[#This Row],[Cust. Leadtime]],Tableau1[[#This Row],[Leadtime SI2C]])</f>
        <v>#N/A</v>
      </c>
      <c r="AX135" s="51" t="e">
        <f>VLOOKUP(Tableau1[[#This Row],[ID]],'DATA BTO'!B:P,15,FALSE)</f>
        <v>#N/A</v>
      </c>
      <c r="AY135" s="328" t="e">
        <f ca="1">IFERROR(VLOOKUP(Tableau1[[#This Row],[Key(ID-Actif)]],'DATA BTO'!A:N,4,FALSE),VLOOKUP(Tableau1[[#This Row],[ID]],'DATA BTO'!B:N,3,FALSE))</f>
        <v>#N/A</v>
      </c>
      <c r="AZ13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5" s="50"/>
    </row>
    <row r="136" spans="2:57">
      <c r="B136" s="65" t="str">
        <f>_xlfn.CONCAT(Tableau1[[#This Row],[Name ILN]],"-",Tableau1[[#This Row],[Name Shipper]],"-",Tableau1[[#This Row],[Name Site]])</f>
        <v>--</v>
      </c>
      <c r="C136" s="65" t="e">
        <f>_xlfn.CONCAT(Tableau1[[#This Row],[Compte ILN]],"-",Tableau1[[#This Row],[Compte Shipper]],"-",Tableau1[[#This Row],[POL]],"-",Tableau1[[#This Row],[Compte Consignee]])</f>
        <v>#N/A</v>
      </c>
      <c r="D136" s="64" t="e">
        <f>_xlfn.CONCAT(Tableau1[[#This Row],[Compte ILN]],"-",Tableau1[[#This Row],[Compte Shipper]],"-",Tableau1[[#This Row],[POL]])</f>
        <v>#N/A</v>
      </c>
      <c r="E136" s="396" t="e">
        <f ca="1">_xlfn.CONCAT(Tableau1[[#This Row],[POL]],"-",Tableau1[[#This Row],[Carrier]],"-",Tableau1[[#This Row],[POD]])</f>
        <v>#N/A</v>
      </c>
      <c r="F136" s="64" t="str">
        <f>_xlfn.CONCAT(Tableau1[[#This Row],[ID]],"-","Actif")</f>
        <v>-Actif</v>
      </c>
      <c r="G136" s="64" t="e">
        <f ca="1">_xlfn.CONCAT(Tableau1[[#This Row],[POD]],"-",Tableau1[[#This Row],[Code PFI]],"-",Tableau1[[#This Row],[Compte Consignee]])</f>
        <v>#N/A</v>
      </c>
      <c r="H13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6" s="397" t="str">
        <f ca="1">IF(COUNTIF(I:I,Tableau1[[#This Row],[Plant-ILN-shipper-POL-Carrier-POD-PFI]])=1,"Non","Oui")</f>
        <v>Oui</v>
      </c>
      <c r="K136" s="398" t="e">
        <f>VLOOKUP(Tableau1[[#This Row],[Name Site]],Plant_AILN!A:D,4,FALSE)</f>
        <v>#N/A</v>
      </c>
      <c r="L136" s="285"/>
      <c r="M136" s="480" t="e">
        <f>VLOOKUP(Tableau1[[#This Row],[Name Site]],Plant_AILN!A:C,3,FALSE)</f>
        <v>#N/A</v>
      </c>
      <c r="N136" s="55" t="e">
        <f>VLOOKUP(Tableau1[[#This Row],[Compte Consignee]],Order!C:D,2,FALSE)</f>
        <v>#N/A</v>
      </c>
      <c r="O136" s="122"/>
      <c r="P136" s="481" t="e">
        <f>VLOOKUP(Tableau1[[#This Row],[Name ILN]],Plant_AILN!F:G,2,FALSE)</f>
        <v>#N/A</v>
      </c>
      <c r="Q136" s="50" t="e">
        <f>VLOOKUP(Tableau1[[#This Row],[Compte ILN]],'DATA ILN'!D:I,6,FALSE)</f>
        <v>#N/A</v>
      </c>
      <c r="R136" s="50" t="e">
        <f>IFERROR(VLOOKUP(Tableau1[[#This Row],[Key(Compte ILN - shipper - POL - plant)]],'DATA ILN'!A:J,10,FALSE),VLOOKUP(Tableau1[[#This Row],[Key(Compte ILN - shipper - POL)]],'DATA ILN'!B:J,9,FALSE))</f>
        <v>#N/A</v>
      </c>
      <c r="S136" s="50" t="e">
        <f>IFERROR(VLOOKUP(Tableau1[[#This Row],[Key(Compte ILN - shipper - POL - plant)]],'DATA ILN'!A:K,11,FALSE),VLOOKUP(Tableau1[[#This Row],[Key(Compte ILN - shipper - POL)]],'DATA ILN'!B:K,10,FALSE))</f>
        <v>#N/A</v>
      </c>
      <c r="T136" s="50" t="e">
        <f>IFERROR(VLOOKUP(Tableau1[[#This Row],[Key(Compte ILN - shipper - POL - plant)]],'DATA ILN'!A:L,12,FALSE),VLOOKUP(Tableau1[[#This Row],[Key(Compte ILN - shipper - POL)]],'DATA ILN'!B:L,11,FALSE))</f>
        <v>#N/A</v>
      </c>
      <c r="U136" s="50" t="e">
        <f>Tableau1[[#This Row],[Day ILN Order]]+Tableau1[[#This Row],[Delivery time to ILN/Shipper]]-1</f>
        <v>#N/A</v>
      </c>
      <c r="V136" s="50" t="e">
        <f>IFERROR(VLOOKUP(Tableau1[[#This Row],[Key(Compte ILN - shipper - POL - plant)]],'DATA ILN'!A:N,14,FALSE),VLOOKUP(Tableau1[[#This Row],[Key(Compte ILN - shipper - POL)]],'DATA ILN'!B:N,13,FALSE))</f>
        <v>#N/A</v>
      </c>
      <c r="W136" s="53" t="e">
        <f>IFERROR(VLOOKUP(Tableau1[[#This Row],[Key(Compte ILN - shipper - POL - plant)]],'DATA ILN'!A:P,16,FALSE),VLOOKUP(Tableau1[[#This Row],[Key(Compte ILN - shipper - POL)]],'DATA ILN'!B:P,15,FALSE))</f>
        <v>#N/A</v>
      </c>
      <c r="X136" s="283"/>
      <c r="Y136" s="482">
        <f>IFERROR(VLOOKUP(Tableau1[[#This Row],[Name Shipper]],Plant_AILN!L:M,2,FALSE),0)</f>
        <v>0</v>
      </c>
      <c r="Z136" s="358"/>
      <c r="AA136" s="353" t="e">
        <f ca="1">VLOOKUP(Tableau1[[#This Row],[Key(ID-Actif)]],'DATA BTO'!A:N,5,FALSE)</f>
        <v>#N/A</v>
      </c>
      <c r="AB136" s="3" t="e">
        <f ca="1">VLOOKUP(Tableau1[[#This Row],[Key(ID-Actif)]],'DATA BTO'!A:N,6,FALSE)</f>
        <v>#N/A</v>
      </c>
      <c r="AC136" s="50" t="e">
        <f ca="1">VLOOKUP(Tableau1[[#This Row],[Key(ID-Actif)]],'DATA BTO'!A:N,7,FALSE)</f>
        <v>#N/A</v>
      </c>
      <c r="AD136" s="50" t="e">
        <f ca="1">VLOOKUP(Tableau1[[#This Row],[Key(ID-Actif)]],'DATA BTO'!A:N,8,FALSE)</f>
        <v>#N/A</v>
      </c>
      <c r="AE136" s="50" t="e">
        <f ca="1">IF(Tableau1[[#This Row],[First Day to POL]]&lt;=Tableau1[[#This Row],[Day Cut Off]],Tableau1[[#This Row],[Day ETD]],Tableau1[[#This Row],[Day ETD]]+7)</f>
        <v>#N/A</v>
      </c>
      <c r="AF136" s="50" t="e">
        <f ca="1">VLOOKUP(Tableau1[[#This Row],[Key(ID-Actif)]],'DATA BTO'!A:N,9,FALSE)</f>
        <v>#N/A</v>
      </c>
      <c r="AG136" s="3" t="e">
        <f ca="1">VLOOKUP(Tableau1[[#This Row],[Key(ID-Actif)]],'DATA BTO'!A:N,10,FALSE)</f>
        <v>#N/A</v>
      </c>
      <c r="AH136" s="3" t="e">
        <f ca="1">VLOOKUP(Tableau1[[#This Row],[Key(ID-Actif)]],'DATA BTO'!A:N,11,FALSE)</f>
        <v>#N/A</v>
      </c>
      <c r="AI136" s="50" t="e">
        <f ca="1">VLOOKUP(Tableau1[[#This Row],[Key(ID-Actif)]],'DATA BTO'!A:N,12,FALSE)</f>
        <v>#N/A</v>
      </c>
      <c r="AJ136" s="53" t="e">
        <f ca="1">VLOOKUP(Tableau1[[#This Row],[Key(ID-Actif)]],'DATA BTO'!A:N,14,FALSE)</f>
        <v>#N/A</v>
      </c>
      <c r="AK136" s="54" t="e">
        <f ca="1">VLOOKUP(Tableau1[[#This Row],[Key(POD -PFI- Usine)]],'DATA Consignee'!A:F,6,FALSE)</f>
        <v>#N/A</v>
      </c>
      <c r="AL136" s="125"/>
      <c r="AM136" s="483" t="str">
        <f>IF(Tableau1[[#This Row],[Name PFI/CDD]]="","-",VLOOKUP(Tableau1[[#This Row],[Name PFI/CDD]],Plant_AILN!I:J,2,FALSE))</f>
        <v>-</v>
      </c>
      <c r="AN13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6" s="2" t="e">
        <f ca="1">VLOOKUP(Tableau1[[#This Row],[Key(POD -PFI- Usine)]],'DATA Consignee'!A:J,10,FALSE)</f>
        <v>#N/A</v>
      </c>
      <c r="AQ136" s="50" t="e">
        <f ca="1">VLOOKUP(Tableau1[[#This Row],[Key(POD -PFI- Usine)]],'DATA Consignee'!A:N,14,FALSE)</f>
        <v>#N/A</v>
      </c>
      <c r="AR13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6" s="50" t="e">
        <f ca="1">Tableau1[[#This Row],[Transit time]]+Tableau1[[#This Row],[Time for security]]+Tableau1[[#This Row],[Time for security2 buffer]]</f>
        <v>#N/A</v>
      </c>
      <c r="AU13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6" s="389" t="e">
        <f ca="1">Tableau1[[#This Row],[Leadtime SI2C]]+Tableau1[[#This Row],[First Receipt Days]]-Tableau1[[#This Row],[Day Customer Order]]+1</f>
        <v>#N/A</v>
      </c>
      <c r="AW136" s="117" t="e">
        <f ca="1">IF(Tableau1[[#This Row],[Name ILN]]&lt;&gt;"SFK Freight Forwarder",Tableau1[[#This Row],[Cust. Leadtime]],Tableau1[[#This Row],[Leadtime SI2C]])</f>
        <v>#N/A</v>
      </c>
      <c r="AX136" s="51" t="e">
        <f>VLOOKUP(Tableau1[[#This Row],[ID]],'DATA BTO'!B:P,15,FALSE)</f>
        <v>#N/A</v>
      </c>
      <c r="AY136" s="328" t="e">
        <f ca="1">IFERROR(VLOOKUP(Tableau1[[#This Row],[Key(ID-Actif)]],'DATA BTO'!A:N,4,FALSE),VLOOKUP(Tableau1[[#This Row],[ID]],'DATA BTO'!B:N,3,FALSE))</f>
        <v>#N/A</v>
      </c>
      <c r="AZ13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6" s="50"/>
    </row>
    <row r="137" spans="2:57">
      <c r="B137" s="65" t="str">
        <f>_xlfn.CONCAT(Tableau1[[#This Row],[Name ILN]],"-",Tableau1[[#This Row],[Name Shipper]],"-",Tableau1[[#This Row],[Name Site]])</f>
        <v>--</v>
      </c>
      <c r="C137" s="65" t="e">
        <f>_xlfn.CONCAT(Tableau1[[#This Row],[Compte ILN]],"-",Tableau1[[#This Row],[Compte Shipper]],"-",Tableau1[[#This Row],[POL]],"-",Tableau1[[#This Row],[Compte Consignee]])</f>
        <v>#N/A</v>
      </c>
      <c r="D137" s="64" t="e">
        <f>_xlfn.CONCAT(Tableau1[[#This Row],[Compte ILN]],"-",Tableau1[[#This Row],[Compte Shipper]],"-",Tableau1[[#This Row],[POL]])</f>
        <v>#N/A</v>
      </c>
      <c r="E137" s="396" t="e">
        <f ca="1">_xlfn.CONCAT(Tableau1[[#This Row],[POL]],"-",Tableau1[[#This Row],[Carrier]],"-",Tableau1[[#This Row],[POD]])</f>
        <v>#N/A</v>
      </c>
      <c r="F137" s="64" t="str">
        <f>_xlfn.CONCAT(Tableau1[[#This Row],[ID]],"-","Actif")</f>
        <v>-Actif</v>
      </c>
      <c r="G137" s="64" t="e">
        <f ca="1">_xlfn.CONCAT(Tableau1[[#This Row],[POD]],"-",Tableau1[[#This Row],[Code PFI]],"-",Tableau1[[#This Row],[Compte Consignee]])</f>
        <v>#N/A</v>
      </c>
      <c r="H13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7" s="397" t="str">
        <f ca="1">IF(COUNTIF(I:I,Tableau1[[#This Row],[Plant-ILN-shipper-POL-Carrier-POD-PFI]])=1,"Non","Oui")</f>
        <v>Oui</v>
      </c>
      <c r="K137" s="398" t="e">
        <f>VLOOKUP(Tableau1[[#This Row],[Name Site]],Plant_AILN!A:D,4,FALSE)</f>
        <v>#N/A</v>
      </c>
      <c r="L137" s="285"/>
      <c r="M137" s="480" t="e">
        <f>VLOOKUP(Tableau1[[#This Row],[Name Site]],Plant_AILN!A:C,3,FALSE)</f>
        <v>#N/A</v>
      </c>
      <c r="N137" s="55" t="e">
        <f>VLOOKUP(Tableau1[[#This Row],[Compte Consignee]],Order!C:D,2,FALSE)</f>
        <v>#N/A</v>
      </c>
      <c r="O137" s="114"/>
      <c r="P137" s="481" t="e">
        <f>VLOOKUP(Tableau1[[#This Row],[Name ILN]],Plant_AILN!F:G,2,FALSE)</f>
        <v>#N/A</v>
      </c>
      <c r="Q137" s="50" t="e">
        <f>VLOOKUP(Tableau1[[#This Row],[Compte ILN]],'DATA ILN'!D:I,6,FALSE)</f>
        <v>#N/A</v>
      </c>
      <c r="R137" s="50" t="e">
        <f>IFERROR(VLOOKUP(Tableau1[[#This Row],[Key(Compte ILN - shipper - POL - plant)]],'DATA ILN'!A:J,10,FALSE),VLOOKUP(Tableau1[[#This Row],[Key(Compte ILN - shipper - POL)]],'DATA ILN'!B:J,9,FALSE))</f>
        <v>#N/A</v>
      </c>
      <c r="S137" s="50" t="e">
        <f>IFERROR(VLOOKUP(Tableau1[[#This Row],[Key(Compte ILN - shipper - POL - plant)]],'DATA ILN'!A:K,11,FALSE),VLOOKUP(Tableau1[[#This Row],[Key(Compte ILN - shipper - POL)]],'DATA ILN'!B:K,10,FALSE))</f>
        <v>#N/A</v>
      </c>
      <c r="T137" s="50" t="e">
        <f>IFERROR(VLOOKUP(Tableau1[[#This Row],[Key(Compte ILN - shipper - POL - plant)]],'DATA ILN'!A:L,12,FALSE),VLOOKUP(Tableau1[[#This Row],[Key(Compte ILN - shipper - POL)]],'DATA ILN'!B:L,11,FALSE))</f>
        <v>#N/A</v>
      </c>
      <c r="U137" s="50" t="e">
        <f>Tableau1[[#This Row],[Day ILN Order]]+Tableau1[[#This Row],[Delivery time to ILN/Shipper]]-1</f>
        <v>#N/A</v>
      </c>
      <c r="V137" s="50" t="e">
        <f>IFERROR(VLOOKUP(Tableau1[[#This Row],[Key(Compte ILN - shipper - POL - plant)]],'DATA ILN'!A:N,14,FALSE),VLOOKUP(Tableau1[[#This Row],[Key(Compte ILN - shipper - POL)]],'DATA ILN'!B:N,13,FALSE))</f>
        <v>#N/A</v>
      </c>
      <c r="W137" s="53" t="e">
        <f>IFERROR(VLOOKUP(Tableau1[[#This Row],[Key(Compte ILN - shipper - POL - plant)]],'DATA ILN'!A:P,16,FALSE),VLOOKUP(Tableau1[[#This Row],[Key(Compte ILN - shipper - POL)]],'DATA ILN'!B:P,15,FALSE))</f>
        <v>#N/A</v>
      </c>
      <c r="X137" s="283"/>
      <c r="Y137" s="482">
        <f>IFERROR(VLOOKUP(Tableau1[[#This Row],[Name Shipper]],Plant_AILN!L:M,2,FALSE),0)</f>
        <v>0</v>
      </c>
      <c r="Z137" s="358"/>
      <c r="AA137" s="353" t="e">
        <f ca="1">VLOOKUP(Tableau1[[#This Row],[Key(ID-Actif)]],'DATA BTO'!A:N,5,FALSE)</f>
        <v>#N/A</v>
      </c>
      <c r="AB137" s="3" t="e">
        <f ca="1">VLOOKUP(Tableau1[[#This Row],[Key(ID-Actif)]],'DATA BTO'!A:N,6,FALSE)</f>
        <v>#N/A</v>
      </c>
      <c r="AC137" s="50" t="e">
        <f ca="1">VLOOKUP(Tableau1[[#This Row],[Key(ID-Actif)]],'DATA BTO'!A:N,7,FALSE)</f>
        <v>#N/A</v>
      </c>
      <c r="AD137" s="50" t="e">
        <f ca="1">VLOOKUP(Tableau1[[#This Row],[Key(ID-Actif)]],'DATA BTO'!A:N,8,FALSE)</f>
        <v>#N/A</v>
      </c>
      <c r="AE137" s="50" t="e">
        <f ca="1">IF(Tableau1[[#This Row],[First Day to POL]]&lt;=Tableau1[[#This Row],[Day Cut Off]],Tableau1[[#This Row],[Day ETD]],Tableau1[[#This Row],[Day ETD]]+7)</f>
        <v>#N/A</v>
      </c>
      <c r="AF137" s="50" t="e">
        <f ca="1">VLOOKUP(Tableau1[[#This Row],[Key(ID-Actif)]],'DATA BTO'!A:N,9,FALSE)</f>
        <v>#N/A</v>
      </c>
      <c r="AG137" s="3" t="e">
        <f ca="1">VLOOKUP(Tableau1[[#This Row],[Key(ID-Actif)]],'DATA BTO'!A:N,10,FALSE)</f>
        <v>#N/A</v>
      </c>
      <c r="AH137" s="3" t="e">
        <f ca="1">VLOOKUP(Tableau1[[#This Row],[Key(ID-Actif)]],'DATA BTO'!A:N,11,FALSE)</f>
        <v>#N/A</v>
      </c>
      <c r="AI137" s="50" t="e">
        <f ca="1">VLOOKUP(Tableau1[[#This Row],[Key(ID-Actif)]],'DATA BTO'!A:N,12,FALSE)</f>
        <v>#N/A</v>
      </c>
      <c r="AJ137" s="53" t="e">
        <f ca="1">VLOOKUP(Tableau1[[#This Row],[Key(ID-Actif)]],'DATA BTO'!A:N,14,FALSE)</f>
        <v>#N/A</v>
      </c>
      <c r="AK137" s="54" t="e">
        <f ca="1">VLOOKUP(Tableau1[[#This Row],[Key(POD -PFI- Usine)]],'DATA Consignee'!A:F,6,FALSE)</f>
        <v>#N/A</v>
      </c>
      <c r="AL137" s="125"/>
      <c r="AM137" s="483" t="str">
        <f>IF(Tableau1[[#This Row],[Name PFI/CDD]]="","-",VLOOKUP(Tableau1[[#This Row],[Name PFI/CDD]],Plant_AILN!I:J,2,FALSE))</f>
        <v>-</v>
      </c>
      <c r="AN13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7" s="2" t="e">
        <f ca="1">VLOOKUP(Tableau1[[#This Row],[Key(POD -PFI- Usine)]],'DATA Consignee'!A:J,10,FALSE)</f>
        <v>#N/A</v>
      </c>
      <c r="AQ137" s="50" t="e">
        <f ca="1">VLOOKUP(Tableau1[[#This Row],[Key(POD -PFI- Usine)]],'DATA Consignee'!A:N,14,FALSE)</f>
        <v>#N/A</v>
      </c>
      <c r="AR13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7" s="50" t="e">
        <f ca="1">Tableau1[[#This Row],[Transit time]]+Tableau1[[#This Row],[Time for security]]+Tableau1[[#This Row],[Time for security2 buffer]]</f>
        <v>#N/A</v>
      </c>
      <c r="AU13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7" s="389" t="e">
        <f ca="1">Tableau1[[#This Row],[Leadtime SI2C]]+Tableau1[[#This Row],[First Receipt Days]]-Tableau1[[#This Row],[Day Customer Order]]+1</f>
        <v>#N/A</v>
      </c>
      <c r="AW137" s="117" t="e">
        <f ca="1">IF(Tableau1[[#This Row],[Name ILN]]&lt;&gt;"SFK Freight Forwarder",Tableau1[[#This Row],[Cust. Leadtime]],Tableau1[[#This Row],[Leadtime SI2C]])</f>
        <v>#N/A</v>
      </c>
      <c r="AX137" s="51" t="e">
        <f>VLOOKUP(Tableau1[[#This Row],[ID]],'DATA BTO'!B:P,15,FALSE)</f>
        <v>#N/A</v>
      </c>
      <c r="AY137" s="328" t="e">
        <f ca="1">IFERROR(VLOOKUP(Tableau1[[#This Row],[Key(ID-Actif)]],'DATA BTO'!A:N,4,FALSE),VLOOKUP(Tableau1[[#This Row],[ID]],'DATA BTO'!B:N,3,FALSE))</f>
        <v>#N/A</v>
      </c>
      <c r="AZ13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7" s="50"/>
    </row>
    <row r="138" spans="2:57">
      <c r="B138" s="65" t="str">
        <f>_xlfn.CONCAT(Tableau1[[#This Row],[Name ILN]],"-",Tableau1[[#This Row],[Name Shipper]],"-",Tableau1[[#This Row],[Name Site]])</f>
        <v>--</v>
      </c>
      <c r="C138" s="65" t="e">
        <f>_xlfn.CONCAT(Tableau1[[#This Row],[Compte ILN]],"-",Tableau1[[#This Row],[Compte Shipper]],"-",Tableau1[[#This Row],[POL]],"-",Tableau1[[#This Row],[Compte Consignee]])</f>
        <v>#N/A</v>
      </c>
      <c r="D138" s="64" t="e">
        <f>_xlfn.CONCAT(Tableau1[[#This Row],[Compte ILN]],"-",Tableau1[[#This Row],[Compte Shipper]],"-",Tableau1[[#This Row],[POL]])</f>
        <v>#N/A</v>
      </c>
      <c r="E138" s="396" t="e">
        <f ca="1">_xlfn.CONCAT(Tableau1[[#This Row],[POL]],"-",Tableau1[[#This Row],[Carrier]],"-",Tableau1[[#This Row],[POD]])</f>
        <v>#N/A</v>
      </c>
      <c r="F138" s="64" t="str">
        <f>_xlfn.CONCAT(Tableau1[[#This Row],[ID]],"-","Actif")</f>
        <v>-Actif</v>
      </c>
      <c r="G138" s="64" t="e">
        <f ca="1">_xlfn.CONCAT(Tableau1[[#This Row],[POD]],"-",Tableau1[[#This Row],[Code PFI]],"-",Tableau1[[#This Row],[Compte Consignee]])</f>
        <v>#N/A</v>
      </c>
      <c r="H13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8" s="397" t="str">
        <f ca="1">IF(COUNTIF(I:I,Tableau1[[#This Row],[Plant-ILN-shipper-POL-Carrier-POD-PFI]])=1,"Non","Oui")</f>
        <v>Oui</v>
      </c>
      <c r="K138" s="398" t="e">
        <f>VLOOKUP(Tableau1[[#This Row],[Name Site]],Plant_AILN!A:D,4,FALSE)</f>
        <v>#N/A</v>
      </c>
      <c r="L138" s="285"/>
      <c r="M138" s="480" t="e">
        <f>VLOOKUP(Tableau1[[#This Row],[Name Site]],Plant_AILN!A:C,3,FALSE)</f>
        <v>#N/A</v>
      </c>
      <c r="N138" s="55" t="e">
        <f>VLOOKUP(Tableau1[[#This Row],[Compte Consignee]],Order!C:D,2,FALSE)</f>
        <v>#N/A</v>
      </c>
      <c r="O138" s="114"/>
      <c r="P138" s="481" t="e">
        <f>VLOOKUP(Tableau1[[#This Row],[Name ILN]],Plant_AILN!F:G,2,FALSE)</f>
        <v>#N/A</v>
      </c>
      <c r="Q138" s="50" t="e">
        <f>VLOOKUP(Tableau1[[#This Row],[Compte ILN]],'DATA ILN'!D:I,6,FALSE)</f>
        <v>#N/A</v>
      </c>
      <c r="R138" s="50" t="e">
        <f>IFERROR(VLOOKUP(Tableau1[[#This Row],[Key(Compte ILN - shipper - POL - plant)]],'DATA ILN'!A:J,10,FALSE),VLOOKUP(Tableau1[[#This Row],[Key(Compte ILN - shipper - POL)]],'DATA ILN'!B:J,9,FALSE))</f>
        <v>#N/A</v>
      </c>
      <c r="S138" s="50" t="e">
        <f>IFERROR(VLOOKUP(Tableau1[[#This Row],[Key(Compte ILN - shipper - POL - plant)]],'DATA ILN'!A:K,11,FALSE),VLOOKUP(Tableau1[[#This Row],[Key(Compte ILN - shipper - POL)]],'DATA ILN'!B:K,10,FALSE))</f>
        <v>#N/A</v>
      </c>
      <c r="T138" s="50" t="e">
        <f>IFERROR(VLOOKUP(Tableau1[[#This Row],[Key(Compte ILN - shipper - POL - plant)]],'DATA ILN'!A:L,12,FALSE),VLOOKUP(Tableau1[[#This Row],[Key(Compte ILN - shipper - POL)]],'DATA ILN'!B:L,11,FALSE))</f>
        <v>#N/A</v>
      </c>
      <c r="U138" s="50" t="e">
        <f>Tableau1[[#This Row],[Day ILN Order]]+Tableau1[[#This Row],[Delivery time to ILN/Shipper]]-1</f>
        <v>#N/A</v>
      </c>
      <c r="V138" s="50" t="e">
        <f>IFERROR(VLOOKUP(Tableau1[[#This Row],[Key(Compte ILN - shipper - POL - plant)]],'DATA ILN'!A:N,14,FALSE),VLOOKUP(Tableau1[[#This Row],[Key(Compte ILN - shipper - POL)]],'DATA ILN'!B:N,13,FALSE))</f>
        <v>#N/A</v>
      </c>
      <c r="W138" s="53" t="e">
        <f>IFERROR(VLOOKUP(Tableau1[[#This Row],[Key(Compte ILN - shipper - POL - plant)]],'DATA ILN'!A:P,16,FALSE),VLOOKUP(Tableau1[[#This Row],[Key(Compte ILN - shipper - POL)]],'DATA ILN'!B:P,15,FALSE))</f>
        <v>#N/A</v>
      </c>
      <c r="X138" s="283"/>
      <c r="Y138" s="482">
        <f>IFERROR(VLOOKUP(Tableau1[[#This Row],[Name Shipper]],Plant_AILN!L:M,2,FALSE),0)</f>
        <v>0</v>
      </c>
      <c r="Z138" s="358"/>
      <c r="AA138" s="353" t="e">
        <f ca="1">VLOOKUP(Tableau1[[#This Row],[Key(ID-Actif)]],'DATA BTO'!A:N,5,FALSE)</f>
        <v>#N/A</v>
      </c>
      <c r="AB138" s="3" t="e">
        <f ca="1">VLOOKUP(Tableau1[[#This Row],[Key(ID-Actif)]],'DATA BTO'!A:N,6,FALSE)</f>
        <v>#N/A</v>
      </c>
      <c r="AC138" s="50" t="e">
        <f ca="1">VLOOKUP(Tableau1[[#This Row],[Key(ID-Actif)]],'DATA BTO'!A:N,7,FALSE)</f>
        <v>#N/A</v>
      </c>
      <c r="AD138" s="50" t="e">
        <f ca="1">VLOOKUP(Tableau1[[#This Row],[Key(ID-Actif)]],'DATA BTO'!A:N,8,FALSE)</f>
        <v>#N/A</v>
      </c>
      <c r="AE138" s="50" t="e">
        <f ca="1">IF(Tableau1[[#This Row],[First Day to POL]]&lt;=Tableau1[[#This Row],[Day Cut Off]],Tableau1[[#This Row],[Day ETD]],Tableau1[[#This Row],[Day ETD]]+7)</f>
        <v>#N/A</v>
      </c>
      <c r="AF138" s="50" t="e">
        <f ca="1">VLOOKUP(Tableau1[[#This Row],[Key(ID-Actif)]],'DATA BTO'!A:N,9,FALSE)</f>
        <v>#N/A</v>
      </c>
      <c r="AG138" s="3" t="e">
        <f ca="1">VLOOKUP(Tableau1[[#This Row],[Key(ID-Actif)]],'DATA BTO'!A:N,10,FALSE)</f>
        <v>#N/A</v>
      </c>
      <c r="AH138" s="3" t="e">
        <f ca="1">VLOOKUP(Tableau1[[#This Row],[Key(ID-Actif)]],'DATA BTO'!A:N,11,FALSE)</f>
        <v>#N/A</v>
      </c>
      <c r="AI138" s="50" t="e">
        <f ca="1">VLOOKUP(Tableau1[[#This Row],[Key(ID-Actif)]],'DATA BTO'!A:N,12,FALSE)</f>
        <v>#N/A</v>
      </c>
      <c r="AJ138" s="53" t="e">
        <f ca="1">VLOOKUP(Tableau1[[#This Row],[Key(ID-Actif)]],'DATA BTO'!A:N,14,FALSE)</f>
        <v>#N/A</v>
      </c>
      <c r="AK138" s="54" t="e">
        <f ca="1">VLOOKUP(Tableau1[[#This Row],[Key(POD -PFI- Usine)]],'DATA Consignee'!A:F,6,FALSE)</f>
        <v>#N/A</v>
      </c>
      <c r="AL138" s="125"/>
      <c r="AM138" s="483" t="str">
        <f>IF(Tableau1[[#This Row],[Name PFI/CDD]]="","-",VLOOKUP(Tableau1[[#This Row],[Name PFI/CDD]],Plant_AILN!I:J,2,FALSE))</f>
        <v>-</v>
      </c>
      <c r="AN13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8" s="2" t="e">
        <f ca="1">VLOOKUP(Tableau1[[#This Row],[Key(POD -PFI- Usine)]],'DATA Consignee'!A:J,10,FALSE)</f>
        <v>#N/A</v>
      </c>
      <c r="AQ138" s="50" t="e">
        <f ca="1">VLOOKUP(Tableau1[[#This Row],[Key(POD -PFI- Usine)]],'DATA Consignee'!A:N,14,FALSE)</f>
        <v>#N/A</v>
      </c>
      <c r="AR13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8" s="50" t="e">
        <f ca="1">Tableau1[[#This Row],[Transit time]]+Tableau1[[#This Row],[Time for security]]+Tableau1[[#This Row],[Time for security2 buffer]]</f>
        <v>#N/A</v>
      </c>
      <c r="AU13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8" s="389" t="e">
        <f ca="1">Tableau1[[#This Row],[Leadtime SI2C]]+Tableau1[[#This Row],[First Receipt Days]]-Tableau1[[#This Row],[Day Customer Order]]+1</f>
        <v>#N/A</v>
      </c>
      <c r="AW138" s="117" t="e">
        <f ca="1">IF(Tableau1[[#This Row],[Name ILN]]&lt;&gt;"SFK Freight Forwarder",Tableau1[[#This Row],[Cust. Leadtime]],Tableau1[[#This Row],[Leadtime SI2C]])</f>
        <v>#N/A</v>
      </c>
      <c r="AX138" s="51" t="e">
        <f>VLOOKUP(Tableau1[[#This Row],[ID]],'DATA BTO'!B:P,15,FALSE)</f>
        <v>#N/A</v>
      </c>
      <c r="AY138" s="328" t="e">
        <f ca="1">IFERROR(VLOOKUP(Tableau1[[#This Row],[Key(ID-Actif)]],'DATA BTO'!A:N,4,FALSE),VLOOKUP(Tableau1[[#This Row],[ID]],'DATA BTO'!B:N,3,FALSE))</f>
        <v>#N/A</v>
      </c>
      <c r="AZ13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8" s="50"/>
    </row>
    <row r="139" spans="2:57">
      <c r="B139" s="65" t="str">
        <f>_xlfn.CONCAT(Tableau1[[#This Row],[Name ILN]],"-",Tableau1[[#This Row],[Name Shipper]],"-",Tableau1[[#This Row],[Name Site]])</f>
        <v>--</v>
      </c>
      <c r="C139" s="65" t="e">
        <f>_xlfn.CONCAT(Tableau1[[#This Row],[Compte ILN]],"-",Tableau1[[#This Row],[Compte Shipper]],"-",Tableau1[[#This Row],[POL]],"-",Tableau1[[#This Row],[Compte Consignee]])</f>
        <v>#N/A</v>
      </c>
      <c r="D139" s="64" t="e">
        <f>_xlfn.CONCAT(Tableau1[[#This Row],[Compte ILN]],"-",Tableau1[[#This Row],[Compte Shipper]],"-",Tableau1[[#This Row],[POL]])</f>
        <v>#N/A</v>
      </c>
      <c r="E139" s="396" t="e">
        <f ca="1">_xlfn.CONCAT(Tableau1[[#This Row],[POL]],"-",Tableau1[[#This Row],[Carrier]],"-",Tableau1[[#This Row],[POD]])</f>
        <v>#N/A</v>
      </c>
      <c r="F139" s="64" t="str">
        <f>_xlfn.CONCAT(Tableau1[[#This Row],[ID]],"-","Actif")</f>
        <v>-Actif</v>
      </c>
      <c r="G139" s="64" t="e">
        <f ca="1">_xlfn.CONCAT(Tableau1[[#This Row],[POD]],"-",Tableau1[[#This Row],[Code PFI]],"-",Tableau1[[#This Row],[Compte Consignee]])</f>
        <v>#N/A</v>
      </c>
      <c r="H13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3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39" s="397" t="str">
        <f ca="1">IF(COUNTIF(I:I,Tableau1[[#This Row],[Plant-ILN-shipper-POL-Carrier-POD-PFI]])=1,"Non","Oui")</f>
        <v>Oui</v>
      </c>
      <c r="K139" s="398" t="e">
        <f>VLOOKUP(Tableau1[[#This Row],[Name Site]],Plant_AILN!A:D,4,FALSE)</f>
        <v>#N/A</v>
      </c>
      <c r="L139" s="285"/>
      <c r="M139" s="480" t="e">
        <f>VLOOKUP(Tableau1[[#This Row],[Name Site]],Plant_AILN!A:C,3,FALSE)</f>
        <v>#N/A</v>
      </c>
      <c r="N139" s="55" t="e">
        <f>VLOOKUP(Tableau1[[#This Row],[Compte Consignee]],Order!C:D,2,FALSE)</f>
        <v>#N/A</v>
      </c>
      <c r="O139" s="114"/>
      <c r="P139" s="481" t="e">
        <f>VLOOKUP(Tableau1[[#This Row],[Name ILN]],Plant_AILN!F:G,2,FALSE)</f>
        <v>#N/A</v>
      </c>
      <c r="Q139" s="50" t="e">
        <f>VLOOKUP(Tableau1[[#This Row],[Compte ILN]],'DATA ILN'!D:I,6,FALSE)</f>
        <v>#N/A</v>
      </c>
      <c r="R139" s="50" t="e">
        <f>IFERROR(VLOOKUP(Tableau1[[#This Row],[Key(Compte ILN - shipper - POL - plant)]],'DATA ILN'!A:J,10,FALSE),VLOOKUP(Tableau1[[#This Row],[Key(Compte ILN - shipper - POL)]],'DATA ILN'!B:J,9,FALSE))</f>
        <v>#N/A</v>
      </c>
      <c r="S139" s="50" t="e">
        <f>IFERROR(VLOOKUP(Tableau1[[#This Row],[Key(Compte ILN - shipper - POL - plant)]],'DATA ILN'!A:K,11,FALSE),VLOOKUP(Tableau1[[#This Row],[Key(Compte ILN - shipper - POL)]],'DATA ILN'!B:K,10,FALSE))</f>
        <v>#N/A</v>
      </c>
      <c r="T139" s="50" t="e">
        <f>IFERROR(VLOOKUP(Tableau1[[#This Row],[Key(Compte ILN - shipper - POL - plant)]],'DATA ILN'!A:L,12,FALSE),VLOOKUP(Tableau1[[#This Row],[Key(Compte ILN - shipper - POL)]],'DATA ILN'!B:L,11,FALSE))</f>
        <v>#N/A</v>
      </c>
      <c r="U139" s="50" t="e">
        <f>Tableau1[[#This Row],[Day ILN Order]]+Tableau1[[#This Row],[Delivery time to ILN/Shipper]]-1</f>
        <v>#N/A</v>
      </c>
      <c r="V139" s="50" t="e">
        <f>IFERROR(VLOOKUP(Tableau1[[#This Row],[Key(Compte ILN - shipper - POL - plant)]],'DATA ILN'!A:N,14,FALSE),VLOOKUP(Tableau1[[#This Row],[Key(Compte ILN - shipper - POL)]],'DATA ILN'!B:N,13,FALSE))</f>
        <v>#N/A</v>
      </c>
      <c r="W139" s="53" t="e">
        <f>IFERROR(VLOOKUP(Tableau1[[#This Row],[Key(Compte ILN - shipper - POL - plant)]],'DATA ILN'!A:P,16,FALSE),VLOOKUP(Tableau1[[#This Row],[Key(Compte ILN - shipper - POL)]],'DATA ILN'!B:P,15,FALSE))</f>
        <v>#N/A</v>
      </c>
      <c r="X139" s="283"/>
      <c r="Y139" s="482">
        <f>IFERROR(VLOOKUP(Tableau1[[#This Row],[Name Shipper]],Plant_AILN!L:M,2,FALSE),0)</f>
        <v>0</v>
      </c>
      <c r="Z139" s="358"/>
      <c r="AA139" s="353" t="e">
        <f ca="1">VLOOKUP(Tableau1[[#This Row],[Key(ID-Actif)]],'DATA BTO'!A:N,5,FALSE)</f>
        <v>#N/A</v>
      </c>
      <c r="AB139" s="3" t="e">
        <f ca="1">VLOOKUP(Tableau1[[#This Row],[Key(ID-Actif)]],'DATA BTO'!A:N,6,FALSE)</f>
        <v>#N/A</v>
      </c>
      <c r="AC139" s="50" t="e">
        <f ca="1">VLOOKUP(Tableau1[[#This Row],[Key(ID-Actif)]],'DATA BTO'!A:N,7,FALSE)</f>
        <v>#N/A</v>
      </c>
      <c r="AD139" s="50" t="e">
        <f ca="1">VLOOKUP(Tableau1[[#This Row],[Key(ID-Actif)]],'DATA BTO'!A:N,8,FALSE)</f>
        <v>#N/A</v>
      </c>
      <c r="AE139" s="50" t="e">
        <f ca="1">IF(Tableau1[[#This Row],[First Day to POL]]&lt;=Tableau1[[#This Row],[Day Cut Off]],Tableau1[[#This Row],[Day ETD]],Tableau1[[#This Row],[Day ETD]]+7)</f>
        <v>#N/A</v>
      </c>
      <c r="AF139" s="50" t="e">
        <f ca="1">VLOOKUP(Tableau1[[#This Row],[Key(ID-Actif)]],'DATA BTO'!A:N,9,FALSE)</f>
        <v>#N/A</v>
      </c>
      <c r="AG139" s="3" t="e">
        <f ca="1">VLOOKUP(Tableau1[[#This Row],[Key(ID-Actif)]],'DATA BTO'!A:N,10,FALSE)</f>
        <v>#N/A</v>
      </c>
      <c r="AH139" s="3" t="e">
        <f ca="1">VLOOKUP(Tableau1[[#This Row],[Key(ID-Actif)]],'DATA BTO'!A:N,11,FALSE)</f>
        <v>#N/A</v>
      </c>
      <c r="AI139" s="50" t="e">
        <f ca="1">VLOOKUP(Tableau1[[#This Row],[Key(ID-Actif)]],'DATA BTO'!A:N,12,FALSE)</f>
        <v>#N/A</v>
      </c>
      <c r="AJ139" s="53" t="e">
        <f ca="1">VLOOKUP(Tableau1[[#This Row],[Key(ID-Actif)]],'DATA BTO'!A:N,14,FALSE)</f>
        <v>#N/A</v>
      </c>
      <c r="AK139" s="54" t="e">
        <f ca="1">VLOOKUP(Tableau1[[#This Row],[Key(POD -PFI- Usine)]],'DATA Consignee'!A:F,6,FALSE)</f>
        <v>#N/A</v>
      </c>
      <c r="AL139" s="125"/>
      <c r="AM139" s="483" t="str">
        <f>IF(Tableau1[[#This Row],[Name PFI/CDD]]="","-",VLOOKUP(Tableau1[[#This Row],[Name PFI/CDD]],Plant_AILN!I:J,2,FALSE))</f>
        <v>-</v>
      </c>
      <c r="AN13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3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39" s="2" t="e">
        <f ca="1">VLOOKUP(Tableau1[[#This Row],[Key(POD -PFI- Usine)]],'DATA Consignee'!A:J,10,FALSE)</f>
        <v>#N/A</v>
      </c>
      <c r="AQ139" s="50" t="e">
        <f ca="1">VLOOKUP(Tableau1[[#This Row],[Key(POD -PFI- Usine)]],'DATA Consignee'!A:N,14,FALSE)</f>
        <v>#N/A</v>
      </c>
      <c r="AR13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3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39" s="50" t="e">
        <f ca="1">Tableau1[[#This Row],[Transit time]]+Tableau1[[#This Row],[Time for security]]+Tableau1[[#This Row],[Time for security2 buffer]]</f>
        <v>#N/A</v>
      </c>
      <c r="AU13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39" s="389" t="e">
        <f ca="1">Tableau1[[#This Row],[Leadtime SI2C]]+Tableau1[[#This Row],[First Receipt Days]]-Tableau1[[#This Row],[Day Customer Order]]+1</f>
        <v>#N/A</v>
      </c>
      <c r="AW139" s="117" t="e">
        <f ca="1">IF(Tableau1[[#This Row],[Name ILN]]&lt;&gt;"SFK Freight Forwarder",Tableau1[[#This Row],[Cust. Leadtime]],Tableau1[[#This Row],[Leadtime SI2C]])</f>
        <v>#N/A</v>
      </c>
      <c r="AX139" s="51" t="e">
        <f>VLOOKUP(Tableau1[[#This Row],[ID]],'DATA BTO'!B:P,15,FALSE)</f>
        <v>#N/A</v>
      </c>
      <c r="AY139" s="328" t="e">
        <f ca="1">IFERROR(VLOOKUP(Tableau1[[#This Row],[Key(ID-Actif)]],'DATA BTO'!A:N,4,FALSE),VLOOKUP(Tableau1[[#This Row],[ID]],'DATA BTO'!B:N,3,FALSE))</f>
        <v>#N/A</v>
      </c>
      <c r="AZ13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3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3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9" s="50"/>
    </row>
    <row r="140" spans="2:57">
      <c r="B140" s="65" t="str">
        <f>_xlfn.CONCAT(Tableau1[[#This Row],[Name ILN]],"-",Tableau1[[#This Row],[Name Shipper]],"-",Tableau1[[#This Row],[Name Site]])</f>
        <v>--</v>
      </c>
      <c r="C140" s="65" t="e">
        <f>_xlfn.CONCAT(Tableau1[[#This Row],[Compte ILN]],"-",Tableau1[[#This Row],[Compte Shipper]],"-",Tableau1[[#This Row],[POL]],"-",Tableau1[[#This Row],[Compte Consignee]])</f>
        <v>#N/A</v>
      </c>
      <c r="D140" s="64" t="e">
        <f>_xlfn.CONCAT(Tableau1[[#This Row],[Compte ILN]],"-",Tableau1[[#This Row],[Compte Shipper]],"-",Tableau1[[#This Row],[POL]])</f>
        <v>#N/A</v>
      </c>
      <c r="E140" s="396" t="e">
        <f ca="1">_xlfn.CONCAT(Tableau1[[#This Row],[POL]],"-",Tableau1[[#This Row],[Carrier]],"-",Tableau1[[#This Row],[POD]])</f>
        <v>#N/A</v>
      </c>
      <c r="F140" s="64" t="str">
        <f>_xlfn.CONCAT(Tableau1[[#This Row],[ID]],"-","Actif")</f>
        <v>-Actif</v>
      </c>
      <c r="G140" s="64" t="e">
        <f ca="1">_xlfn.CONCAT(Tableau1[[#This Row],[POD]],"-",Tableau1[[#This Row],[Code PFI]],"-",Tableau1[[#This Row],[Compte Consignee]])</f>
        <v>#N/A</v>
      </c>
      <c r="H14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0" s="397" t="str">
        <f ca="1">IF(COUNTIF(I:I,Tableau1[[#This Row],[Plant-ILN-shipper-POL-Carrier-POD-PFI]])=1,"Non","Oui")</f>
        <v>Oui</v>
      </c>
      <c r="K140" s="398" t="e">
        <f>VLOOKUP(Tableau1[[#This Row],[Name Site]],Plant_AILN!A:D,4,FALSE)</f>
        <v>#N/A</v>
      </c>
      <c r="L140" s="285"/>
      <c r="M140" s="480" t="e">
        <f>VLOOKUP(Tableau1[[#This Row],[Name Site]],Plant_AILN!A:C,3,FALSE)</f>
        <v>#N/A</v>
      </c>
      <c r="N140" s="55" t="e">
        <f>VLOOKUP(Tableau1[[#This Row],[Compte Consignee]],Order!C:D,2,FALSE)</f>
        <v>#N/A</v>
      </c>
      <c r="O140" s="114"/>
      <c r="P140" s="481" t="e">
        <f>VLOOKUP(Tableau1[[#This Row],[Name ILN]],Plant_AILN!F:G,2,FALSE)</f>
        <v>#N/A</v>
      </c>
      <c r="Q140" s="50" t="e">
        <f>VLOOKUP(Tableau1[[#This Row],[Compte ILN]],'DATA ILN'!D:I,6,FALSE)</f>
        <v>#N/A</v>
      </c>
      <c r="R140" s="50" t="e">
        <f>IFERROR(VLOOKUP(Tableau1[[#This Row],[Key(Compte ILN - shipper - POL - plant)]],'DATA ILN'!A:J,10,FALSE),VLOOKUP(Tableau1[[#This Row],[Key(Compte ILN - shipper - POL)]],'DATA ILN'!B:J,9,FALSE))</f>
        <v>#N/A</v>
      </c>
      <c r="S140" s="50" t="e">
        <f>IFERROR(VLOOKUP(Tableau1[[#This Row],[Key(Compte ILN - shipper - POL - plant)]],'DATA ILN'!A:K,11,FALSE),VLOOKUP(Tableau1[[#This Row],[Key(Compte ILN - shipper - POL)]],'DATA ILN'!B:K,10,FALSE))</f>
        <v>#N/A</v>
      </c>
      <c r="T140" s="50" t="e">
        <f>IFERROR(VLOOKUP(Tableau1[[#This Row],[Key(Compte ILN - shipper - POL - plant)]],'DATA ILN'!A:L,12,FALSE),VLOOKUP(Tableau1[[#This Row],[Key(Compte ILN - shipper - POL)]],'DATA ILN'!B:L,11,FALSE))</f>
        <v>#N/A</v>
      </c>
      <c r="U140" s="50" t="e">
        <f>Tableau1[[#This Row],[Day ILN Order]]+Tableau1[[#This Row],[Delivery time to ILN/Shipper]]-1</f>
        <v>#N/A</v>
      </c>
      <c r="V140" s="50" t="e">
        <f>IFERROR(VLOOKUP(Tableau1[[#This Row],[Key(Compte ILN - shipper - POL - plant)]],'DATA ILN'!A:N,14,FALSE),VLOOKUP(Tableau1[[#This Row],[Key(Compte ILN - shipper - POL)]],'DATA ILN'!B:N,13,FALSE))</f>
        <v>#N/A</v>
      </c>
      <c r="W140" s="53" t="e">
        <f>IFERROR(VLOOKUP(Tableau1[[#This Row],[Key(Compte ILN - shipper - POL - plant)]],'DATA ILN'!A:P,16,FALSE),VLOOKUP(Tableau1[[#This Row],[Key(Compte ILN - shipper - POL)]],'DATA ILN'!B:P,15,FALSE))</f>
        <v>#N/A</v>
      </c>
      <c r="X140" s="283"/>
      <c r="Y140" s="482">
        <f>IFERROR(VLOOKUP(Tableau1[[#This Row],[Name Shipper]],Plant_AILN!L:M,2,FALSE),0)</f>
        <v>0</v>
      </c>
      <c r="Z140" s="358"/>
      <c r="AA140" s="353" t="e">
        <f ca="1">VLOOKUP(Tableau1[[#This Row],[Key(ID-Actif)]],'DATA BTO'!A:N,5,FALSE)</f>
        <v>#N/A</v>
      </c>
      <c r="AB140" s="3" t="e">
        <f ca="1">VLOOKUP(Tableau1[[#This Row],[Key(ID-Actif)]],'DATA BTO'!A:N,6,FALSE)</f>
        <v>#N/A</v>
      </c>
      <c r="AC140" s="50" t="e">
        <f ca="1">VLOOKUP(Tableau1[[#This Row],[Key(ID-Actif)]],'DATA BTO'!A:N,7,FALSE)</f>
        <v>#N/A</v>
      </c>
      <c r="AD140" s="50" t="e">
        <f ca="1">VLOOKUP(Tableau1[[#This Row],[Key(ID-Actif)]],'DATA BTO'!A:N,8,FALSE)</f>
        <v>#N/A</v>
      </c>
      <c r="AE140" s="50" t="e">
        <f ca="1">IF(Tableau1[[#This Row],[First Day to POL]]&lt;=Tableau1[[#This Row],[Day Cut Off]],Tableau1[[#This Row],[Day ETD]],Tableau1[[#This Row],[Day ETD]]+7)</f>
        <v>#N/A</v>
      </c>
      <c r="AF140" s="50" t="e">
        <f ca="1">VLOOKUP(Tableau1[[#This Row],[Key(ID-Actif)]],'DATA BTO'!A:N,9,FALSE)</f>
        <v>#N/A</v>
      </c>
      <c r="AG140" s="3" t="e">
        <f ca="1">VLOOKUP(Tableau1[[#This Row],[Key(ID-Actif)]],'DATA BTO'!A:N,10,FALSE)</f>
        <v>#N/A</v>
      </c>
      <c r="AH140" s="3" t="e">
        <f ca="1">VLOOKUP(Tableau1[[#This Row],[Key(ID-Actif)]],'DATA BTO'!A:N,11,FALSE)</f>
        <v>#N/A</v>
      </c>
      <c r="AI140" s="50" t="e">
        <f ca="1">VLOOKUP(Tableau1[[#This Row],[Key(ID-Actif)]],'DATA BTO'!A:N,12,FALSE)</f>
        <v>#N/A</v>
      </c>
      <c r="AJ140" s="53" t="e">
        <f ca="1">VLOOKUP(Tableau1[[#This Row],[Key(ID-Actif)]],'DATA BTO'!A:N,14,FALSE)</f>
        <v>#N/A</v>
      </c>
      <c r="AK140" s="54" t="e">
        <f ca="1">VLOOKUP(Tableau1[[#This Row],[Key(POD -PFI- Usine)]],'DATA Consignee'!A:F,6,FALSE)</f>
        <v>#N/A</v>
      </c>
      <c r="AL140" s="125"/>
      <c r="AM140" s="483" t="str">
        <f>IF(Tableau1[[#This Row],[Name PFI/CDD]]="","-",VLOOKUP(Tableau1[[#This Row],[Name PFI/CDD]],Plant_AILN!I:J,2,FALSE))</f>
        <v>-</v>
      </c>
      <c r="AN14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0" s="2" t="e">
        <f ca="1">VLOOKUP(Tableau1[[#This Row],[Key(POD -PFI- Usine)]],'DATA Consignee'!A:J,10,FALSE)</f>
        <v>#N/A</v>
      </c>
      <c r="AQ140" s="50" t="e">
        <f ca="1">VLOOKUP(Tableau1[[#This Row],[Key(POD -PFI- Usine)]],'DATA Consignee'!A:N,14,FALSE)</f>
        <v>#N/A</v>
      </c>
      <c r="AR14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0" s="50" t="e">
        <f ca="1">Tableau1[[#This Row],[Transit time]]+Tableau1[[#This Row],[Time for security]]+Tableau1[[#This Row],[Time for security2 buffer]]</f>
        <v>#N/A</v>
      </c>
      <c r="AU14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0" s="389" t="e">
        <f ca="1">Tableau1[[#This Row],[Leadtime SI2C]]+Tableau1[[#This Row],[First Receipt Days]]-Tableau1[[#This Row],[Day Customer Order]]+1</f>
        <v>#N/A</v>
      </c>
      <c r="AW140" s="117" t="e">
        <f ca="1">IF(Tableau1[[#This Row],[Name ILN]]&lt;&gt;"SFK Freight Forwarder",Tableau1[[#This Row],[Cust. Leadtime]],Tableau1[[#This Row],[Leadtime SI2C]])</f>
        <v>#N/A</v>
      </c>
      <c r="AX140" s="51" t="e">
        <f>VLOOKUP(Tableau1[[#This Row],[ID]],'DATA BTO'!B:P,15,FALSE)</f>
        <v>#N/A</v>
      </c>
      <c r="AY140" s="328" t="e">
        <f ca="1">IFERROR(VLOOKUP(Tableau1[[#This Row],[Key(ID-Actif)]],'DATA BTO'!A:N,4,FALSE),VLOOKUP(Tableau1[[#This Row],[ID]],'DATA BTO'!B:N,3,FALSE))</f>
        <v>#N/A</v>
      </c>
      <c r="AZ14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0" s="50"/>
    </row>
    <row r="141" spans="2:57">
      <c r="B141" s="80" t="str">
        <f>_xlfn.CONCAT(Tableau1[[#This Row],[Name ILN]],"-",Tableau1[[#This Row],[Name Shipper]],"-",Tableau1[[#This Row],[Name Site]])</f>
        <v>--</v>
      </c>
      <c r="C141" s="80" t="e">
        <f>_xlfn.CONCAT(Tableau1[[#This Row],[Compte ILN]],"-",Tableau1[[#This Row],[Compte Shipper]],"-",Tableau1[[#This Row],[POL]],"-",Tableau1[[#This Row],[Compte Consignee]])</f>
        <v>#N/A</v>
      </c>
      <c r="D141" s="80" t="e">
        <f>_xlfn.CONCAT(Tableau1[[#This Row],[Compte ILN]],"-",Tableau1[[#This Row],[Compte Shipper]],"-",Tableau1[[#This Row],[POL]])</f>
        <v>#N/A</v>
      </c>
      <c r="E141" s="81" t="e">
        <f ca="1">_xlfn.CONCAT(Tableau1[[#This Row],[POL]],"-",Tableau1[[#This Row],[Carrier]],"-",Tableau1[[#This Row],[POD]])</f>
        <v>#N/A</v>
      </c>
      <c r="F141" s="80" t="str">
        <f>_xlfn.CONCAT(Tableau1[[#This Row],[ID]],"-","Actif")</f>
        <v>-Actif</v>
      </c>
      <c r="G141" s="80" t="e">
        <f ca="1">_xlfn.CONCAT(Tableau1[[#This Row],[POD]],"-",Tableau1[[#This Row],[Code PFI]],"-",Tableau1[[#This Row],[Compte Consignee]])</f>
        <v>#N/A</v>
      </c>
      <c r="H14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1" s="118" t="str">
        <f ca="1">IF(COUNTIF(I:I,Tableau1[[#This Row],[Plant-ILN-shipper-POL-Carrier-POD-PFI]])=1,"Non","Oui")</f>
        <v>Oui</v>
      </c>
      <c r="K141" s="402" t="e">
        <f>VLOOKUP(Tableau1[[#This Row],[Name Site]],Plant_AILN!A:D,4,FALSE)</f>
        <v>#N/A</v>
      </c>
      <c r="L141" s="450"/>
      <c r="M141" s="480" t="e">
        <f>VLOOKUP(Tableau1[[#This Row],[Name Site]],Plant_AILN!A:C,3,FALSE)</f>
        <v>#N/A</v>
      </c>
      <c r="N141" s="102" t="e">
        <f>VLOOKUP(Tableau1[[#This Row],[Compte Consignee]],Order!C:D,2,FALSE)</f>
        <v>#N/A</v>
      </c>
      <c r="O141" s="114"/>
      <c r="P141" s="484" t="e">
        <f>VLOOKUP(Tableau1[[#This Row],[Name ILN]],Plant_AILN!F:G,2,FALSE)</f>
        <v>#N/A</v>
      </c>
      <c r="Q141" s="79" t="e">
        <f>VLOOKUP(Tableau1[[#This Row],[Compte ILN]],'DATA ILN'!D:I,6,FALSE)</f>
        <v>#N/A</v>
      </c>
      <c r="R141" s="79" t="e">
        <f>IFERROR(VLOOKUP(Tableau1[[#This Row],[Key(Compte ILN - shipper - POL - plant)]],'DATA ILN'!A:J,10,FALSE),VLOOKUP(Tableau1[[#This Row],[Key(Compte ILN - shipper - POL)]],'DATA ILN'!B:J,9,FALSE))</f>
        <v>#N/A</v>
      </c>
      <c r="S141" s="79" t="e">
        <f>IFERROR(VLOOKUP(Tableau1[[#This Row],[Key(Compte ILN - shipper - POL - plant)]],'DATA ILN'!A:K,11,FALSE),VLOOKUP(Tableau1[[#This Row],[Key(Compte ILN - shipper - POL)]],'DATA ILN'!B:K,10,FALSE))</f>
        <v>#N/A</v>
      </c>
      <c r="T141" s="79" t="e">
        <f>IFERROR(VLOOKUP(Tableau1[[#This Row],[Key(Compte ILN - shipper - POL - plant)]],'DATA ILN'!A:L,12,FALSE),VLOOKUP(Tableau1[[#This Row],[Key(Compte ILN - shipper - POL)]],'DATA ILN'!B:L,11,FALSE))</f>
        <v>#N/A</v>
      </c>
      <c r="U141" s="79" t="e">
        <f>Tableau1[[#This Row],[Day ILN Order]]+Tableau1[[#This Row],[Delivery time to ILN/Shipper]]-1</f>
        <v>#N/A</v>
      </c>
      <c r="V141" s="79" t="e">
        <f>IFERROR(VLOOKUP(Tableau1[[#This Row],[Key(Compte ILN - shipper - POL - plant)]],'DATA ILN'!A:N,14,FALSE),VLOOKUP(Tableau1[[#This Row],[Key(Compte ILN - shipper - POL)]],'DATA ILN'!B:N,13,FALSE))</f>
        <v>#N/A</v>
      </c>
      <c r="W141" s="79" t="e">
        <f>IFERROR(VLOOKUP(Tableau1[[#This Row],[Key(Compte ILN - shipper - POL - plant)]],'DATA ILN'!A:P,16,FALSE),VLOOKUP(Tableau1[[#This Row],[Key(Compte ILN - shipper - POL)]],'DATA ILN'!B:P,15,FALSE))</f>
        <v>#N/A</v>
      </c>
      <c r="X141" s="114"/>
      <c r="Y141" s="485">
        <f>IFERROR(VLOOKUP(Tableau1[[#This Row],[Name Shipper]],Plant_AILN!L:M,2,FALSE),0)</f>
        <v>0</v>
      </c>
      <c r="Z141" s="358"/>
      <c r="AA141" s="354" t="e">
        <f ca="1">VLOOKUP(Tableau1[[#This Row],[Key(ID-Actif)]],'DATA BTO'!A:N,5,FALSE)</f>
        <v>#N/A</v>
      </c>
      <c r="AB141" s="106" t="e">
        <f ca="1">VLOOKUP(Tableau1[[#This Row],[Key(ID-Actif)]],'DATA BTO'!A:N,6,FALSE)</f>
        <v>#N/A</v>
      </c>
      <c r="AC141" s="79" t="e">
        <f ca="1">VLOOKUP(Tableau1[[#This Row],[Key(ID-Actif)]],'DATA BTO'!A:N,7,FALSE)</f>
        <v>#N/A</v>
      </c>
      <c r="AD141" s="79" t="e">
        <f ca="1">VLOOKUP(Tableau1[[#This Row],[Key(ID-Actif)]],'DATA BTO'!A:N,8,FALSE)</f>
        <v>#N/A</v>
      </c>
      <c r="AE141" s="79" t="e">
        <f ca="1">IF(Tableau1[[#This Row],[First Day to POL]]&lt;=Tableau1[[#This Row],[Day Cut Off]],Tableau1[[#This Row],[Day ETD]],Tableau1[[#This Row],[Day ETD]]+7)</f>
        <v>#N/A</v>
      </c>
      <c r="AF141" s="79" t="e">
        <f ca="1">VLOOKUP(Tableau1[[#This Row],[Key(ID-Actif)]],'DATA BTO'!A:N,9,FALSE)</f>
        <v>#N/A</v>
      </c>
      <c r="AG141" s="106" t="e">
        <f ca="1">VLOOKUP(Tableau1[[#This Row],[Key(ID-Actif)]],'DATA BTO'!A:N,10,FALSE)</f>
        <v>#N/A</v>
      </c>
      <c r="AH141" s="106" t="e">
        <f ca="1">VLOOKUP(Tableau1[[#This Row],[Key(ID-Actif)]],'DATA BTO'!A:N,11,FALSE)</f>
        <v>#N/A</v>
      </c>
      <c r="AI141" s="79" t="e">
        <f ca="1">VLOOKUP(Tableau1[[#This Row],[Key(ID-Actif)]],'DATA BTO'!A:N,12,FALSE)</f>
        <v>#N/A</v>
      </c>
      <c r="AJ141" s="104" t="e">
        <f ca="1">VLOOKUP(Tableau1[[#This Row],[Key(ID-Actif)]],'DATA BTO'!A:N,14,FALSE)</f>
        <v>#N/A</v>
      </c>
      <c r="AK141" s="105" t="e">
        <f ca="1">VLOOKUP(Tableau1[[#This Row],[Key(POD -PFI- Usine)]],'DATA Consignee'!A:F,6,FALSE)</f>
        <v>#N/A</v>
      </c>
      <c r="AL141" s="125"/>
      <c r="AM141" s="486" t="str">
        <f>IF(Tableau1[[#This Row],[Name PFI/CDD]]="","-",VLOOKUP(Tableau1[[#This Row],[Name PFI/CDD]],Plant_AILN!I:J,2,FALSE))</f>
        <v>-</v>
      </c>
      <c r="AN14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1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1" s="108" t="e">
        <f ca="1">VLOOKUP(Tableau1[[#This Row],[Key(POD -PFI- Usine)]],'DATA Consignee'!A:J,10,FALSE)</f>
        <v>#N/A</v>
      </c>
      <c r="AQ141" s="79" t="e">
        <f ca="1">VLOOKUP(Tableau1[[#This Row],[Key(POD -PFI- Usine)]],'DATA Consignee'!A:N,14,FALSE)</f>
        <v>#N/A</v>
      </c>
      <c r="AR14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1" s="79" t="e">
        <f ca="1">Tableau1[[#This Row],[Transit time]]+Tableau1[[#This Row],[Time for security]]+Tableau1[[#This Row],[Time for security2 buffer]]</f>
        <v>#N/A</v>
      </c>
      <c r="AU14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1" s="79" t="e">
        <f ca="1">Tableau1[[#This Row],[Leadtime SI2C]]+Tableau1[[#This Row],[First Receipt Days]]-Tableau1[[#This Row],[Day Customer Order]]+1</f>
        <v>#N/A</v>
      </c>
      <c r="AW141" s="118" t="e">
        <f ca="1">IF(Tableau1[[#This Row],[Name ILN]]&lt;&gt;"SFK Freight Forwarder",Tableau1[[#This Row],[Cust. Leadtime]],Tableau1[[#This Row],[Leadtime SI2C]])</f>
        <v>#N/A</v>
      </c>
      <c r="AX141" s="51" t="e">
        <f>VLOOKUP(Tableau1[[#This Row],[ID]],'DATA BTO'!B:P,15,FALSE)</f>
        <v>#N/A</v>
      </c>
      <c r="AY141" s="347" t="e">
        <f ca="1">IFERROR(VLOOKUP(Tableau1[[#This Row],[Key(ID-Actif)]],'DATA BTO'!A:N,4,FALSE),VLOOKUP(Tableau1[[#This Row],[ID]],'DATA BTO'!B:N,3,FALSE))</f>
        <v>#N/A</v>
      </c>
      <c r="AZ141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1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1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1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1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1" s="50"/>
    </row>
    <row r="142" spans="2:57">
      <c r="B142" s="80" t="str">
        <f>_xlfn.CONCAT(Tableau1[[#This Row],[Name ILN]],"-",Tableau1[[#This Row],[Name Shipper]],"-",Tableau1[[#This Row],[Name Site]])</f>
        <v>--</v>
      </c>
      <c r="C142" s="80" t="e">
        <f>_xlfn.CONCAT(Tableau1[[#This Row],[Compte ILN]],"-",Tableau1[[#This Row],[Compte Shipper]],"-",Tableau1[[#This Row],[POL]],"-",Tableau1[[#This Row],[Compte Consignee]])</f>
        <v>#N/A</v>
      </c>
      <c r="D142" s="80" t="e">
        <f>_xlfn.CONCAT(Tableau1[[#This Row],[Compte ILN]],"-",Tableau1[[#This Row],[Compte Shipper]],"-",Tableau1[[#This Row],[POL]])</f>
        <v>#N/A</v>
      </c>
      <c r="E142" s="81" t="e">
        <f ca="1">_xlfn.CONCAT(Tableau1[[#This Row],[POL]],"-",Tableau1[[#This Row],[Carrier]],"-",Tableau1[[#This Row],[POD]])</f>
        <v>#N/A</v>
      </c>
      <c r="F142" s="80" t="str">
        <f>_xlfn.CONCAT(Tableau1[[#This Row],[ID]],"-","Actif")</f>
        <v>-Actif</v>
      </c>
      <c r="G142" s="80" t="e">
        <f ca="1">_xlfn.CONCAT(Tableau1[[#This Row],[POD]],"-",Tableau1[[#This Row],[Code PFI]],"-",Tableau1[[#This Row],[Compte Consignee]])</f>
        <v>#N/A</v>
      </c>
      <c r="H14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2" s="118" t="str">
        <f ca="1">IF(COUNTIF(I:I,Tableau1[[#This Row],[Plant-ILN-shipper-POL-Carrier-POD-PFI]])=1,"Non","Oui")</f>
        <v>Oui</v>
      </c>
      <c r="K142" s="402" t="e">
        <f>VLOOKUP(Tableau1[[#This Row],[Name Site]],Plant_AILN!A:D,4,FALSE)</f>
        <v>#N/A</v>
      </c>
      <c r="L142" s="450"/>
      <c r="M142" s="480" t="e">
        <f>VLOOKUP(Tableau1[[#This Row],[Name Site]],Plant_AILN!A:C,3,FALSE)</f>
        <v>#N/A</v>
      </c>
      <c r="N142" s="102" t="e">
        <f>VLOOKUP(Tableau1[[#This Row],[Compte Consignee]],Order!C:D,2,FALSE)</f>
        <v>#N/A</v>
      </c>
      <c r="O142" s="114"/>
      <c r="P142" s="484" t="e">
        <f>VLOOKUP(Tableau1[[#This Row],[Name ILN]],Plant_AILN!F:G,2,FALSE)</f>
        <v>#N/A</v>
      </c>
      <c r="Q142" s="79" t="e">
        <f>VLOOKUP(Tableau1[[#This Row],[Compte ILN]],'DATA ILN'!D:I,6,FALSE)</f>
        <v>#N/A</v>
      </c>
      <c r="R142" s="79" t="e">
        <f>IFERROR(VLOOKUP(Tableau1[[#This Row],[Key(Compte ILN - shipper - POL - plant)]],'DATA ILN'!A:J,10,FALSE),VLOOKUP(Tableau1[[#This Row],[Key(Compte ILN - shipper - POL)]],'DATA ILN'!B:J,9,FALSE))</f>
        <v>#N/A</v>
      </c>
      <c r="S142" s="79" t="e">
        <f>IFERROR(VLOOKUP(Tableau1[[#This Row],[Key(Compte ILN - shipper - POL - plant)]],'DATA ILN'!A:K,11,FALSE),VLOOKUP(Tableau1[[#This Row],[Key(Compte ILN - shipper - POL)]],'DATA ILN'!B:K,10,FALSE))</f>
        <v>#N/A</v>
      </c>
      <c r="T142" s="79" t="e">
        <f>IFERROR(VLOOKUP(Tableau1[[#This Row],[Key(Compte ILN - shipper - POL - plant)]],'DATA ILN'!A:L,12,FALSE),VLOOKUP(Tableau1[[#This Row],[Key(Compte ILN - shipper - POL)]],'DATA ILN'!B:L,11,FALSE))</f>
        <v>#N/A</v>
      </c>
      <c r="U142" s="79" t="e">
        <f>Tableau1[[#This Row],[Day ILN Order]]+Tableau1[[#This Row],[Delivery time to ILN/Shipper]]-1</f>
        <v>#N/A</v>
      </c>
      <c r="V142" s="79" t="e">
        <f>IFERROR(VLOOKUP(Tableau1[[#This Row],[Key(Compte ILN - shipper - POL - plant)]],'DATA ILN'!A:N,14,FALSE),VLOOKUP(Tableau1[[#This Row],[Key(Compte ILN - shipper - POL)]],'DATA ILN'!B:N,13,FALSE))</f>
        <v>#N/A</v>
      </c>
      <c r="W142" s="79" t="e">
        <f>IFERROR(VLOOKUP(Tableau1[[#This Row],[Key(Compte ILN - shipper - POL - plant)]],'DATA ILN'!A:P,16,FALSE),VLOOKUP(Tableau1[[#This Row],[Key(Compte ILN - shipper - POL)]],'DATA ILN'!B:P,15,FALSE))</f>
        <v>#N/A</v>
      </c>
      <c r="X142" s="114"/>
      <c r="Y142" s="485">
        <f>IFERROR(VLOOKUP(Tableau1[[#This Row],[Name Shipper]],Plant_AILN!L:M,2,FALSE),0)</f>
        <v>0</v>
      </c>
      <c r="Z142" s="358"/>
      <c r="AA142" s="354" t="e">
        <f ca="1">VLOOKUP(Tableau1[[#This Row],[Key(ID-Actif)]],'DATA BTO'!A:N,5,FALSE)</f>
        <v>#N/A</v>
      </c>
      <c r="AB142" s="106" t="e">
        <f ca="1">VLOOKUP(Tableau1[[#This Row],[Key(ID-Actif)]],'DATA BTO'!A:N,6,FALSE)</f>
        <v>#N/A</v>
      </c>
      <c r="AC142" s="79" t="e">
        <f ca="1">VLOOKUP(Tableau1[[#This Row],[Key(ID-Actif)]],'DATA BTO'!A:N,7,FALSE)</f>
        <v>#N/A</v>
      </c>
      <c r="AD142" s="79" t="e">
        <f ca="1">VLOOKUP(Tableau1[[#This Row],[Key(ID-Actif)]],'DATA BTO'!A:N,8,FALSE)</f>
        <v>#N/A</v>
      </c>
      <c r="AE142" s="79" t="e">
        <f ca="1">IF(Tableau1[[#This Row],[First Day to POL]]&lt;=Tableau1[[#This Row],[Day Cut Off]],Tableau1[[#This Row],[Day ETD]],Tableau1[[#This Row],[Day ETD]]+7)</f>
        <v>#N/A</v>
      </c>
      <c r="AF142" s="79" t="e">
        <f ca="1">VLOOKUP(Tableau1[[#This Row],[Key(ID-Actif)]],'DATA BTO'!A:N,9,FALSE)</f>
        <v>#N/A</v>
      </c>
      <c r="AG142" s="106" t="e">
        <f ca="1">VLOOKUP(Tableau1[[#This Row],[Key(ID-Actif)]],'DATA BTO'!A:N,10,FALSE)</f>
        <v>#N/A</v>
      </c>
      <c r="AH142" s="106" t="e">
        <f ca="1">VLOOKUP(Tableau1[[#This Row],[Key(ID-Actif)]],'DATA BTO'!A:N,11,FALSE)</f>
        <v>#N/A</v>
      </c>
      <c r="AI142" s="79" t="e">
        <f ca="1">VLOOKUP(Tableau1[[#This Row],[Key(ID-Actif)]],'DATA BTO'!A:N,12,FALSE)</f>
        <v>#N/A</v>
      </c>
      <c r="AJ142" s="104" t="e">
        <f ca="1">VLOOKUP(Tableau1[[#This Row],[Key(ID-Actif)]],'DATA BTO'!A:N,14,FALSE)</f>
        <v>#N/A</v>
      </c>
      <c r="AK142" s="105" t="e">
        <f ca="1">VLOOKUP(Tableau1[[#This Row],[Key(POD -PFI- Usine)]],'DATA Consignee'!A:F,6,FALSE)</f>
        <v>#N/A</v>
      </c>
      <c r="AL142" s="125"/>
      <c r="AM142" s="486" t="str">
        <f>IF(Tableau1[[#This Row],[Name PFI/CDD]]="","-",VLOOKUP(Tableau1[[#This Row],[Name PFI/CDD]],Plant_AILN!I:J,2,FALSE))</f>
        <v>-</v>
      </c>
      <c r="AN14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2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2" s="108" t="e">
        <f ca="1">VLOOKUP(Tableau1[[#This Row],[Key(POD -PFI- Usine)]],'DATA Consignee'!A:J,10,FALSE)</f>
        <v>#N/A</v>
      </c>
      <c r="AQ142" s="79" t="e">
        <f ca="1">VLOOKUP(Tableau1[[#This Row],[Key(POD -PFI- Usine)]],'DATA Consignee'!A:N,14,FALSE)</f>
        <v>#N/A</v>
      </c>
      <c r="AR14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2" s="79" t="e">
        <f ca="1">Tableau1[[#This Row],[Transit time]]+Tableau1[[#This Row],[Time for security]]+Tableau1[[#This Row],[Time for security2 buffer]]</f>
        <v>#N/A</v>
      </c>
      <c r="AU14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2" s="79" t="e">
        <f ca="1">Tableau1[[#This Row],[Leadtime SI2C]]+Tableau1[[#This Row],[First Receipt Days]]-Tableau1[[#This Row],[Day Customer Order]]+1</f>
        <v>#N/A</v>
      </c>
      <c r="AW142" s="118" t="e">
        <f ca="1">IF(Tableau1[[#This Row],[Name ILN]]&lt;&gt;"SFK Freight Forwarder",Tableau1[[#This Row],[Cust. Leadtime]],Tableau1[[#This Row],[Leadtime SI2C]])</f>
        <v>#N/A</v>
      </c>
      <c r="AX142" s="51" t="e">
        <f>VLOOKUP(Tableau1[[#This Row],[ID]],'DATA BTO'!B:P,15,FALSE)</f>
        <v>#N/A</v>
      </c>
      <c r="AY142" s="347" t="e">
        <f ca="1">IFERROR(VLOOKUP(Tableau1[[#This Row],[Key(ID-Actif)]],'DATA BTO'!A:N,4,FALSE),VLOOKUP(Tableau1[[#This Row],[ID]],'DATA BTO'!B:N,3,FALSE))</f>
        <v>#N/A</v>
      </c>
      <c r="AZ142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2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2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2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2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2" s="50"/>
    </row>
    <row r="143" spans="2:57">
      <c r="B143" s="65" t="str">
        <f>_xlfn.CONCAT(Tableau1[[#This Row],[Name ILN]],"-",Tableau1[[#This Row],[Name Shipper]],"-",Tableau1[[#This Row],[Name Site]])</f>
        <v>--</v>
      </c>
      <c r="C143" s="65" t="e">
        <f>_xlfn.CONCAT(Tableau1[[#This Row],[Compte ILN]],"-",Tableau1[[#This Row],[Compte Shipper]],"-",Tableau1[[#This Row],[POL]],"-",Tableau1[[#This Row],[Compte Consignee]])</f>
        <v>#N/A</v>
      </c>
      <c r="D143" s="64" t="e">
        <f>_xlfn.CONCAT(Tableau1[[#This Row],[Compte ILN]],"-",Tableau1[[#This Row],[Compte Shipper]],"-",Tableau1[[#This Row],[POL]])</f>
        <v>#N/A</v>
      </c>
      <c r="E143" s="396" t="e">
        <f ca="1">_xlfn.CONCAT(Tableau1[[#This Row],[POL]],"-",Tableau1[[#This Row],[Carrier]],"-",Tableau1[[#This Row],[POD]])</f>
        <v>#N/A</v>
      </c>
      <c r="F143" s="64" t="str">
        <f>_xlfn.CONCAT(Tableau1[[#This Row],[ID]],"-","Actif")</f>
        <v>-Actif</v>
      </c>
      <c r="G143" s="64" t="e">
        <f ca="1">_xlfn.CONCAT(Tableau1[[#This Row],[POD]],"-",Tableau1[[#This Row],[Code PFI]],"-",Tableau1[[#This Row],[Compte Consignee]])</f>
        <v>#N/A</v>
      </c>
      <c r="H14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3" s="397" t="str">
        <f ca="1">IF(COUNTIF(I:I,Tableau1[[#This Row],[Plant-ILN-shipper-POL-Carrier-POD-PFI]])=1,"Non","Oui")</f>
        <v>Oui</v>
      </c>
      <c r="K143" s="398" t="e">
        <f>VLOOKUP(Tableau1[[#This Row],[Name Site]],Plant_AILN!A:D,4,FALSE)</f>
        <v>#N/A</v>
      </c>
      <c r="L143" s="285"/>
      <c r="M143" s="480" t="e">
        <f>VLOOKUP(Tableau1[[#This Row],[Name Site]],Plant_AILN!A:C,3,FALSE)</f>
        <v>#N/A</v>
      </c>
      <c r="N143" s="55" t="e">
        <f>VLOOKUP(Tableau1[[#This Row],[Compte Consignee]],Order!C:D,2,FALSE)</f>
        <v>#N/A</v>
      </c>
      <c r="O143" s="114"/>
      <c r="P143" s="481" t="e">
        <f>VLOOKUP(Tableau1[[#This Row],[Name ILN]],Plant_AILN!F:G,2,FALSE)</f>
        <v>#N/A</v>
      </c>
      <c r="Q143" s="50" t="e">
        <f>VLOOKUP(Tableau1[[#This Row],[Compte ILN]],'DATA ILN'!D:I,6,FALSE)</f>
        <v>#N/A</v>
      </c>
      <c r="R143" s="50" t="e">
        <f>IFERROR(VLOOKUP(Tableau1[[#This Row],[Key(Compte ILN - shipper - POL - plant)]],'DATA ILN'!A:J,10,FALSE),VLOOKUP(Tableau1[[#This Row],[Key(Compte ILN - shipper - POL)]],'DATA ILN'!B:J,9,FALSE))</f>
        <v>#N/A</v>
      </c>
      <c r="S143" s="50" t="e">
        <f>IFERROR(VLOOKUP(Tableau1[[#This Row],[Key(Compte ILN - shipper - POL - plant)]],'DATA ILN'!A:K,11,FALSE),VLOOKUP(Tableau1[[#This Row],[Key(Compte ILN - shipper - POL)]],'DATA ILN'!B:K,10,FALSE))</f>
        <v>#N/A</v>
      </c>
      <c r="T143" s="50" t="e">
        <f>IFERROR(VLOOKUP(Tableau1[[#This Row],[Key(Compte ILN - shipper - POL - plant)]],'DATA ILN'!A:L,12,FALSE),VLOOKUP(Tableau1[[#This Row],[Key(Compte ILN - shipper - POL)]],'DATA ILN'!B:L,11,FALSE))</f>
        <v>#N/A</v>
      </c>
      <c r="U143" s="50" t="e">
        <f>Tableau1[[#This Row],[Day ILN Order]]+Tableau1[[#This Row],[Delivery time to ILN/Shipper]]-1</f>
        <v>#N/A</v>
      </c>
      <c r="V143" s="50" t="e">
        <f>IFERROR(VLOOKUP(Tableau1[[#This Row],[Key(Compte ILN - shipper - POL - plant)]],'DATA ILN'!A:N,14,FALSE),VLOOKUP(Tableau1[[#This Row],[Key(Compte ILN - shipper - POL)]],'DATA ILN'!B:N,13,FALSE))</f>
        <v>#N/A</v>
      </c>
      <c r="W143" s="53" t="e">
        <f>IFERROR(VLOOKUP(Tableau1[[#This Row],[Key(Compte ILN - shipper - POL - plant)]],'DATA ILN'!A:P,16,FALSE),VLOOKUP(Tableau1[[#This Row],[Key(Compte ILN - shipper - POL)]],'DATA ILN'!B:P,15,FALSE))</f>
        <v>#N/A</v>
      </c>
      <c r="X143" s="283"/>
      <c r="Y143" s="482">
        <f>IFERROR(VLOOKUP(Tableau1[[#This Row],[Name Shipper]],Plant_AILN!L:M,2,FALSE),0)</f>
        <v>0</v>
      </c>
      <c r="Z143" s="358"/>
      <c r="AA143" s="353" t="e">
        <f ca="1">VLOOKUP(Tableau1[[#This Row],[Key(ID-Actif)]],'DATA BTO'!A:N,5,FALSE)</f>
        <v>#N/A</v>
      </c>
      <c r="AB143" s="3" t="e">
        <f ca="1">VLOOKUP(Tableau1[[#This Row],[Key(ID-Actif)]],'DATA BTO'!A:N,6,FALSE)</f>
        <v>#N/A</v>
      </c>
      <c r="AC143" s="50" t="e">
        <f ca="1">VLOOKUP(Tableau1[[#This Row],[Key(ID-Actif)]],'DATA BTO'!A:N,7,FALSE)</f>
        <v>#N/A</v>
      </c>
      <c r="AD143" s="50" t="e">
        <f ca="1">VLOOKUP(Tableau1[[#This Row],[Key(ID-Actif)]],'DATA BTO'!A:N,8,FALSE)</f>
        <v>#N/A</v>
      </c>
      <c r="AE143" s="50" t="e">
        <f ca="1">IF(Tableau1[[#This Row],[First Day to POL]]&lt;=Tableau1[[#This Row],[Day Cut Off]],Tableau1[[#This Row],[Day ETD]],Tableau1[[#This Row],[Day ETD]]+7)</f>
        <v>#N/A</v>
      </c>
      <c r="AF143" s="50" t="e">
        <f ca="1">VLOOKUP(Tableau1[[#This Row],[Key(ID-Actif)]],'DATA BTO'!A:N,9,FALSE)</f>
        <v>#N/A</v>
      </c>
      <c r="AG143" s="3" t="e">
        <f ca="1">VLOOKUP(Tableau1[[#This Row],[Key(ID-Actif)]],'DATA BTO'!A:N,10,FALSE)</f>
        <v>#N/A</v>
      </c>
      <c r="AH143" s="3" t="e">
        <f ca="1">VLOOKUP(Tableau1[[#This Row],[Key(ID-Actif)]],'DATA BTO'!A:N,11,FALSE)</f>
        <v>#N/A</v>
      </c>
      <c r="AI143" s="50" t="e">
        <f ca="1">VLOOKUP(Tableau1[[#This Row],[Key(ID-Actif)]],'DATA BTO'!A:N,12,FALSE)</f>
        <v>#N/A</v>
      </c>
      <c r="AJ143" s="53" t="e">
        <f ca="1">VLOOKUP(Tableau1[[#This Row],[Key(ID-Actif)]],'DATA BTO'!A:N,14,FALSE)</f>
        <v>#N/A</v>
      </c>
      <c r="AK143" s="54" t="e">
        <f ca="1">VLOOKUP(Tableau1[[#This Row],[Key(POD -PFI- Usine)]],'DATA Consignee'!A:F,6,FALSE)</f>
        <v>#N/A</v>
      </c>
      <c r="AL143" s="125"/>
      <c r="AM143" s="483" t="str">
        <f>IF(Tableau1[[#This Row],[Name PFI/CDD]]="","-",VLOOKUP(Tableau1[[#This Row],[Name PFI/CDD]],Plant_AILN!I:J,2,FALSE))</f>
        <v>-</v>
      </c>
      <c r="AN14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3" s="2" t="e">
        <f ca="1">VLOOKUP(Tableau1[[#This Row],[Key(POD -PFI- Usine)]],'DATA Consignee'!A:J,10,FALSE)</f>
        <v>#N/A</v>
      </c>
      <c r="AQ143" s="50" t="e">
        <f ca="1">VLOOKUP(Tableau1[[#This Row],[Key(POD -PFI- Usine)]],'DATA Consignee'!A:N,14,FALSE)</f>
        <v>#N/A</v>
      </c>
      <c r="AR14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3" s="50" t="e">
        <f ca="1">Tableau1[[#This Row],[Transit time]]+Tableau1[[#This Row],[Time for security]]+Tableau1[[#This Row],[Time for security2 buffer]]</f>
        <v>#N/A</v>
      </c>
      <c r="AU14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3" s="389" t="e">
        <f ca="1">Tableau1[[#This Row],[Leadtime SI2C]]+Tableau1[[#This Row],[First Receipt Days]]-Tableau1[[#This Row],[Day Customer Order]]+1</f>
        <v>#N/A</v>
      </c>
      <c r="AW143" s="117" t="e">
        <f ca="1">IF(Tableau1[[#This Row],[Name ILN]]&lt;&gt;"SFK Freight Forwarder",Tableau1[[#This Row],[Cust. Leadtime]],Tableau1[[#This Row],[Leadtime SI2C]])</f>
        <v>#N/A</v>
      </c>
      <c r="AX143" s="51" t="e">
        <f>VLOOKUP(Tableau1[[#This Row],[ID]],'DATA BTO'!B:P,15,FALSE)</f>
        <v>#N/A</v>
      </c>
      <c r="AY143" s="328" t="e">
        <f ca="1">IFERROR(VLOOKUP(Tableau1[[#This Row],[Key(ID-Actif)]],'DATA BTO'!A:N,4,FALSE),VLOOKUP(Tableau1[[#This Row],[ID]],'DATA BTO'!B:N,3,FALSE))</f>
        <v>#N/A</v>
      </c>
      <c r="AZ14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3" s="50"/>
    </row>
    <row r="144" spans="2:57">
      <c r="B144" s="65" t="str">
        <f>_xlfn.CONCAT(Tableau1[[#This Row],[Name ILN]],"-",Tableau1[[#This Row],[Name Shipper]],"-",Tableau1[[#This Row],[Name Site]])</f>
        <v>--</v>
      </c>
      <c r="C144" s="65" t="e">
        <f>_xlfn.CONCAT(Tableau1[[#This Row],[Compte ILN]],"-",Tableau1[[#This Row],[Compte Shipper]],"-",Tableau1[[#This Row],[POL]],"-",Tableau1[[#This Row],[Compte Consignee]])</f>
        <v>#N/A</v>
      </c>
      <c r="D144" s="64" t="e">
        <f>_xlfn.CONCAT(Tableau1[[#This Row],[Compte ILN]],"-",Tableau1[[#This Row],[Compte Shipper]],"-",Tableau1[[#This Row],[POL]])</f>
        <v>#N/A</v>
      </c>
      <c r="E144" s="396" t="e">
        <f ca="1">_xlfn.CONCAT(Tableau1[[#This Row],[POL]],"-",Tableau1[[#This Row],[Carrier]],"-",Tableau1[[#This Row],[POD]])</f>
        <v>#N/A</v>
      </c>
      <c r="F144" s="64" t="str">
        <f>_xlfn.CONCAT(Tableau1[[#This Row],[ID]],"-","Actif")</f>
        <v>-Actif</v>
      </c>
      <c r="G144" s="64" t="e">
        <f ca="1">_xlfn.CONCAT(Tableau1[[#This Row],[POD]],"-",Tableau1[[#This Row],[Code PFI]],"-",Tableau1[[#This Row],[Compte Consignee]])</f>
        <v>#N/A</v>
      </c>
      <c r="H14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4" s="397" t="str">
        <f ca="1">IF(COUNTIF(I:I,Tableau1[[#This Row],[Plant-ILN-shipper-POL-Carrier-POD-PFI]])=1,"Non","Oui")</f>
        <v>Oui</v>
      </c>
      <c r="K144" s="398" t="e">
        <f>VLOOKUP(Tableau1[[#This Row],[Name Site]],Plant_AILN!A:D,4,FALSE)</f>
        <v>#N/A</v>
      </c>
      <c r="L144" s="285"/>
      <c r="M144" s="480" t="e">
        <f>VLOOKUP(Tableau1[[#This Row],[Name Site]],Plant_AILN!A:C,3,FALSE)</f>
        <v>#N/A</v>
      </c>
      <c r="N144" s="55" t="e">
        <f>VLOOKUP(Tableau1[[#This Row],[Compte Consignee]],Order!C:D,2,FALSE)</f>
        <v>#N/A</v>
      </c>
      <c r="O144" s="114"/>
      <c r="P144" s="481" t="e">
        <f>VLOOKUP(Tableau1[[#This Row],[Name ILN]],Plant_AILN!F:G,2,FALSE)</f>
        <v>#N/A</v>
      </c>
      <c r="Q144" s="50" t="e">
        <f>VLOOKUP(Tableau1[[#This Row],[Compte ILN]],'DATA ILN'!D:I,6,FALSE)</f>
        <v>#N/A</v>
      </c>
      <c r="R144" s="50" t="e">
        <f>IFERROR(VLOOKUP(Tableau1[[#This Row],[Key(Compte ILN - shipper - POL - plant)]],'DATA ILN'!A:J,10,FALSE),VLOOKUP(Tableau1[[#This Row],[Key(Compte ILN - shipper - POL)]],'DATA ILN'!B:J,9,FALSE))</f>
        <v>#N/A</v>
      </c>
      <c r="S144" s="50" t="e">
        <f>IFERROR(VLOOKUP(Tableau1[[#This Row],[Key(Compte ILN - shipper - POL - plant)]],'DATA ILN'!A:K,11,FALSE),VLOOKUP(Tableau1[[#This Row],[Key(Compte ILN - shipper - POL)]],'DATA ILN'!B:K,10,FALSE))</f>
        <v>#N/A</v>
      </c>
      <c r="T144" s="50" t="e">
        <f>IFERROR(VLOOKUP(Tableau1[[#This Row],[Key(Compte ILN - shipper - POL - plant)]],'DATA ILN'!A:L,12,FALSE),VLOOKUP(Tableau1[[#This Row],[Key(Compte ILN - shipper - POL)]],'DATA ILN'!B:L,11,FALSE))</f>
        <v>#N/A</v>
      </c>
      <c r="U144" s="50" t="e">
        <f>Tableau1[[#This Row],[Day ILN Order]]+Tableau1[[#This Row],[Delivery time to ILN/Shipper]]-1</f>
        <v>#N/A</v>
      </c>
      <c r="V144" s="50" t="e">
        <f>IFERROR(VLOOKUP(Tableau1[[#This Row],[Key(Compte ILN - shipper - POL - plant)]],'DATA ILN'!A:N,14,FALSE),VLOOKUP(Tableau1[[#This Row],[Key(Compte ILN - shipper - POL)]],'DATA ILN'!B:N,13,FALSE))</f>
        <v>#N/A</v>
      </c>
      <c r="W144" s="53" t="e">
        <f>IFERROR(VLOOKUP(Tableau1[[#This Row],[Key(Compte ILN - shipper - POL - plant)]],'DATA ILN'!A:P,16,FALSE),VLOOKUP(Tableau1[[#This Row],[Key(Compte ILN - shipper - POL)]],'DATA ILN'!B:P,15,FALSE))</f>
        <v>#N/A</v>
      </c>
      <c r="X144" s="283"/>
      <c r="Y144" s="482">
        <f>IFERROR(VLOOKUP(Tableau1[[#This Row],[Name Shipper]],Plant_AILN!L:M,2,FALSE),0)</f>
        <v>0</v>
      </c>
      <c r="Z144" s="358"/>
      <c r="AA144" s="353" t="e">
        <f ca="1">VLOOKUP(Tableau1[[#This Row],[Key(ID-Actif)]],'DATA BTO'!A:N,5,FALSE)</f>
        <v>#N/A</v>
      </c>
      <c r="AB144" s="3" t="e">
        <f ca="1">VLOOKUP(Tableau1[[#This Row],[Key(ID-Actif)]],'DATA BTO'!A:N,6,FALSE)</f>
        <v>#N/A</v>
      </c>
      <c r="AC144" s="50" t="e">
        <f ca="1">VLOOKUP(Tableau1[[#This Row],[Key(ID-Actif)]],'DATA BTO'!A:N,7,FALSE)</f>
        <v>#N/A</v>
      </c>
      <c r="AD144" s="50" t="e">
        <f ca="1">VLOOKUP(Tableau1[[#This Row],[Key(ID-Actif)]],'DATA BTO'!A:N,8,FALSE)</f>
        <v>#N/A</v>
      </c>
      <c r="AE144" s="50" t="e">
        <f ca="1">IF(Tableau1[[#This Row],[First Day to POL]]&lt;=Tableau1[[#This Row],[Day Cut Off]],Tableau1[[#This Row],[Day ETD]],Tableau1[[#This Row],[Day ETD]]+7)</f>
        <v>#N/A</v>
      </c>
      <c r="AF144" s="50" t="e">
        <f ca="1">VLOOKUP(Tableau1[[#This Row],[Key(ID-Actif)]],'DATA BTO'!A:N,9,FALSE)</f>
        <v>#N/A</v>
      </c>
      <c r="AG144" s="3" t="e">
        <f ca="1">VLOOKUP(Tableau1[[#This Row],[Key(ID-Actif)]],'DATA BTO'!A:N,10,FALSE)</f>
        <v>#N/A</v>
      </c>
      <c r="AH144" s="3" t="e">
        <f ca="1">VLOOKUP(Tableau1[[#This Row],[Key(ID-Actif)]],'DATA BTO'!A:N,11,FALSE)</f>
        <v>#N/A</v>
      </c>
      <c r="AI144" s="50" t="e">
        <f ca="1">VLOOKUP(Tableau1[[#This Row],[Key(ID-Actif)]],'DATA BTO'!A:N,12,FALSE)</f>
        <v>#N/A</v>
      </c>
      <c r="AJ144" s="53" t="e">
        <f ca="1">VLOOKUP(Tableau1[[#This Row],[Key(ID-Actif)]],'DATA BTO'!A:N,14,FALSE)</f>
        <v>#N/A</v>
      </c>
      <c r="AK144" s="54" t="e">
        <f ca="1">VLOOKUP(Tableau1[[#This Row],[Key(POD -PFI- Usine)]],'DATA Consignee'!A:F,6,FALSE)</f>
        <v>#N/A</v>
      </c>
      <c r="AL144" s="125"/>
      <c r="AM144" s="483" t="str">
        <f>IF(Tableau1[[#This Row],[Name PFI/CDD]]="","-",VLOOKUP(Tableau1[[#This Row],[Name PFI/CDD]],Plant_AILN!I:J,2,FALSE))</f>
        <v>-</v>
      </c>
      <c r="AN14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4" s="2" t="e">
        <f ca="1">VLOOKUP(Tableau1[[#This Row],[Key(POD -PFI- Usine)]],'DATA Consignee'!A:J,10,FALSE)</f>
        <v>#N/A</v>
      </c>
      <c r="AQ144" s="50" t="e">
        <f ca="1">VLOOKUP(Tableau1[[#This Row],[Key(POD -PFI- Usine)]],'DATA Consignee'!A:N,14,FALSE)</f>
        <v>#N/A</v>
      </c>
      <c r="AR14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4" s="50" t="e">
        <f ca="1">Tableau1[[#This Row],[Transit time]]+Tableau1[[#This Row],[Time for security]]+Tableau1[[#This Row],[Time for security2 buffer]]</f>
        <v>#N/A</v>
      </c>
      <c r="AU14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4" s="389" t="e">
        <f ca="1">Tableau1[[#This Row],[Leadtime SI2C]]+Tableau1[[#This Row],[First Receipt Days]]-Tableau1[[#This Row],[Day Customer Order]]+1</f>
        <v>#N/A</v>
      </c>
      <c r="AW144" s="117" t="e">
        <f ca="1">IF(Tableau1[[#This Row],[Name ILN]]&lt;&gt;"SFK Freight Forwarder",Tableau1[[#This Row],[Cust. Leadtime]],Tableau1[[#This Row],[Leadtime SI2C]])</f>
        <v>#N/A</v>
      </c>
      <c r="AX144" s="51" t="e">
        <f>VLOOKUP(Tableau1[[#This Row],[ID]],'DATA BTO'!B:P,15,FALSE)</f>
        <v>#N/A</v>
      </c>
      <c r="AY144" s="328" t="e">
        <f ca="1">IFERROR(VLOOKUP(Tableau1[[#This Row],[Key(ID-Actif)]],'DATA BTO'!A:N,4,FALSE),VLOOKUP(Tableau1[[#This Row],[ID]],'DATA BTO'!B:N,3,FALSE))</f>
        <v>#N/A</v>
      </c>
      <c r="AZ14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4" s="50"/>
    </row>
    <row r="145" spans="2:57">
      <c r="B145" s="65" t="str">
        <f>_xlfn.CONCAT(Tableau1[[#This Row],[Name ILN]],"-",Tableau1[[#This Row],[Name Shipper]],"-",Tableau1[[#This Row],[Name Site]])</f>
        <v>--</v>
      </c>
      <c r="C145" s="65" t="e">
        <f>_xlfn.CONCAT(Tableau1[[#This Row],[Compte ILN]],"-",Tableau1[[#This Row],[Compte Shipper]],"-",Tableau1[[#This Row],[POL]],"-",Tableau1[[#This Row],[Compte Consignee]])</f>
        <v>#N/A</v>
      </c>
      <c r="D145" s="64" t="e">
        <f>_xlfn.CONCAT(Tableau1[[#This Row],[Compte ILN]],"-",Tableau1[[#This Row],[Compte Shipper]],"-",Tableau1[[#This Row],[POL]])</f>
        <v>#N/A</v>
      </c>
      <c r="E145" s="396" t="e">
        <f ca="1">_xlfn.CONCAT(Tableau1[[#This Row],[POL]],"-",Tableau1[[#This Row],[Carrier]],"-",Tableau1[[#This Row],[POD]])</f>
        <v>#N/A</v>
      </c>
      <c r="F145" s="64" t="str">
        <f>_xlfn.CONCAT(Tableau1[[#This Row],[ID]],"-","Actif")</f>
        <v>-Actif</v>
      </c>
      <c r="G145" s="64" t="e">
        <f ca="1">_xlfn.CONCAT(Tableau1[[#This Row],[POD]],"-",Tableau1[[#This Row],[Code PFI]],"-",Tableau1[[#This Row],[Compte Consignee]])</f>
        <v>#N/A</v>
      </c>
      <c r="H14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5" s="397" t="str">
        <f ca="1">IF(COUNTIF(I:I,Tableau1[[#This Row],[Plant-ILN-shipper-POL-Carrier-POD-PFI]])=1,"Non","Oui")</f>
        <v>Oui</v>
      </c>
      <c r="K145" s="398" t="e">
        <f>VLOOKUP(Tableau1[[#This Row],[Name Site]],Plant_AILN!A:D,4,FALSE)</f>
        <v>#N/A</v>
      </c>
      <c r="L145" s="285"/>
      <c r="M145" s="480" t="e">
        <f>VLOOKUP(Tableau1[[#This Row],[Name Site]],Plant_AILN!A:C,3,FALSE)</f>
        <v>#N/A</v>
      </c>
      <c r="N145" s="55" t="e">
        <f>VLOOKUP(Tableau1[[#This Row],[Compte Consignee]],Order!C:D,2,FALSE)</f>
        <v>#N/A</v>
      </c>
      <c r="O145" s="114"/>
      <c r="P145" s="481" t="e">
        <f>VLOOKUP(Tableau1[[#This Row],[Name ILN]],Plant_AILN!F:G,2,FALSE)</f>
        <v>#N/A</v>
      </c>
      <c r="Q145" s="50" t="e">
        <f>VLOOKUP(Tableau1[[#This Row],[Compte ILN]],'DATA ILN'!D:I,6,FALSE)</f>
        <v>#N/A</v>
      </c>
      <c r="R145" s="50" t="e">
        <f>IFERROR(VLOOKUP(Tableau1[[#This Row],[Key(Compte ILN - shipper - POL - plant)]],'DATA ILN'!A:J,10,FALSE),VLOOKUP(Tableau1[[#This Row],[Key(Compte ILN - shipper - POL)]],'DATA ILN'!B:J,9,FALSE))</f>
        <v>#N/A</v>
      </c>
      <c r="S145" s="50" t="e">
        <f>IFERROR(VLOOKUP(Tableau1[[#This Row],[Key(Compte ILN - shipper - POL - plant)]],'DATA ILN'!A:K,11,FALSE),VLOOKUP(Tableau1[[#This Row],[Key(Compte ILN - shipper - POL)]],'DATA ILN'!B:K,10,FALSE))</f>
        <v>#N/A</v>
      </c>
      <c r="T145" s="50" t="e">
        <f>IFERROR(VLOOKUP(Tableau1[[#This Row],[Key(Compte ILN - shipper - POL - plant)]],'DATA ILN'!A:L,12,FALSE),VLOOKUP(Tableau1[[#This Row],[Key(Compte ILN - shipper - POL)]],'DATA ILN'!B:L,11,FALSE))</f>
        <v>#N/A</v>
      </c>
      <c r="U145" s="50" t="e">
        <f>Tableau1[[#This Row],[Day ILN Order]]+Tableau1[[#This Row],[Delivery time to ILN/Shipper]]-1</f>
        <v>#N/A</v>
      </c>
      <c r="V145" s="50" t="e">
        <f>IFERROR(VLOOKUP(Tableau1[[#This Row],[Key(Compte ILN - shipper - POL - plant)]],'DATA ILN'!A:N,14,FALSE),VLOOKUP(Tableau1[[#This Row],[Key(Compte ILN - shipper - POL)]],'DATA ILN'!B:N,13,FALSE))</f>
        <v>#N/A</v>
      </c>
      <c r="W145" s="53" t="e">
        <f>IFERROR(VLOOKUP(Tableau1[[#This Row],[Key(Compte ILN - shipper - POL - plant)]],'DATA ILN'!A:P,16,FALSE),VLOOKUP(Tableau1[[#This Row],[Key(Compte ILN - shipper - POL)]],'DATA ILN'!B:P,15,FALSE))</f>
        <v>#N/A</v>
      </c>
      <c r="X145" s="283"/>
      <c r="Y145" s="482">
        <f>IFERROR(VLOOKUP(Tableau1[[#This Row],[Name Shipper]],Plant_AILN!L:M,2,FALSE),0)</f>
        <v>0</v>
      </c>
      <c r="Z145" s="358"/>
      <c r="AA145" s="353" t="e">
        <f ca="1">VLOOKUP(Tableau1[[#This Row],[Key(ID-Actif)]],'DATA BTO'!A:N,5,FALSE)</f>
        <v>#N/A</v>
      </c>
      <c r="AB145" s="3" t="e">
        <f ca="1">VLOOKUP(Tableau1[[#This Row],[Key(ID-Actif)]],'DATA BTO'!A:N,6,FALSE)</f>
        <v>#N/A</v>
      </c>
      <c r="AC145" s="50" t="e">
        <f ca="1">VLOOKUP(Tableau1[[#This Row],[Key(ID-Actif)]],'DATA BTO'!A:N,7,FALSE)</f>
        <v>#N/A</v>
      </c>
      <c r="AD145" s="50" t="e">
        <f ca="1">VLOOKUP(Tableau1[[#This Row],[Key(ID-Actif)]],'DATA BTO'!A:N,8,FALSE)</f>
        <v>#N/A</v>
      </c>
      <c r="AE145" s="50" t="e">
        <f ca="1">IF(Tableau1[[#This Row],[First Day to POL]]&lt;=Tableau1[[#This Row],[Day Cut Off]],Tableau1[[#This Row],[Day ETD]],Tableau1[[#This Row],[Day ETD]]+7)</f>
        <v>#N/A</v>
      </c>
      <c r="AF145" s="50" t="e">
        <f ca="1">VLOOKUP(Tableau1[[#This Row],[Key(ID-Actif)]],'DATA BTO'!A:N,9,FALSE)</f>
        <v>#N/A</v>
      </c>
      <c r="AG145" s="3" t="e">
        <f ca="1">VLOOKUP(Tableau1[[#This Row],[Key(ID-Actif)]],'DATA BTO'!A:N,10,FALSE)</f>
        <v>#N/A</v>
      </c>
      <c r="AH145" s="3" t="e">
        <f ca="1">VLOOKUP(Tableau1[[#This Row],[Key(ID-Actif)]],'DATA BTO'!A:N,11,FALSE)</f>
        <v>#N/A</v>
      </c>
      <c r="AI145" s="50" t="e">
        <f ca="1">VLOOKUP(Tableau1[[#This Row],[Key(ID-Actif)]],'DATA BTO'!A:N,12,FALSE)</f>
        <v>#N/A</v>
      </c>
      <c r="AJ145" s="53" t="e">
        <f ca="1">VLOOKUP(Tableau1[[#This Row],[Key(ID-Actif)]],'DATA BTO'!A:N,14,FALSE)</f>
        <v>#N/A</v>
      </c>
      <c r="AK145" s="54" t="e">
        <f ca="1">VLOOKUP(Tableau1[[#This Row],[Key(POD -PFI- Usine)]],'DATA Consignee'!A:F,6,FALSE)</f>
        <v>#N/A</v>
      </c>
      <c r="AL145" s="125"/>
      <c r="AM145" s="483" t="str">
        <f>IF(Tableau1[[#This Row],[Name PFI/CDD]]="","-",VLOOKUP(Tableau1[[#This Row],[Name PFI/CDD]],Plant_AILN!I:J,2,FALSE))</f>
        <v>-</v>
      </c>
      <c r="AN14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5" s="2" t="e">
        <f ca="1">VLOOKUP(Tableau1[[#This Row],[Key(POD -PFI- Usine)]],'DATA Consignee'!A:J,10,FALSE)</f>
        <v>#N/A</v>
      </c>
      <c r="AQ145" s="50" t="e">
        <f ca="1">VLOOKUP(Tableau1[[#This Row],[Key(POD -PFI- Usine)]],'DATA Consignee'!A:N,14,FALSE)</f>
        <v>#N/A</v>
      </c>
      <c r="AR14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5" s="50" t="e">
        <f ca="1">Tableau1[[#This Row],[Transit time]]+Tableau1[[#This Row],[Time for security]]+Tableau1[[#This Row],[Time for security2 buffer]]</f>
        <v>#N/A</v>
      </c>
      <c r="AU14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5" s="389" t="e">
        <f ca="1">Tableau1[[#This Row],[Leadtime SI2C]]+Tableau1[[#This Row],[First Receipt Days]]-Tableau1[[#This Row],[Day Customer Order]]+1</f>
        <v>#N/A</v>
      </c>
      <c r="AW145" s="117" t="e">
        <f ca="1">IF(Tableau1[[#This Row],[Name ILN]]&lt;&gt;"SFK Freight Forwarder",Tableau1[[#This Row],[Cust. Leadtime]],Tableau1[[#This Row],[Leadtime SI2C]])</f>
        <v>#N/A</v>
      </c>
      <c r="AX145" s="51" t="e">
        <f>VLOOKUP(Tableau1[[#This Row],[ID]],'DATA BTO'!B:P,15,FALSE)</f>
        <v>#N/A</v>
      </c>
      <c r="AY145" s="328" t="e">
        <f ca="1">IFERROR(VLOOKUP(Tableau1[[#This Row],[Key(ID-Actif)]],'DATA BTO'!A:N,4,FALSE),VLOOKUP(Tableau1[[#This Row],[ID]],'DATA BTO'!B:N,3,FALSE))</f>
        <v>#N/A</v>
      </c>
      <c r="AZ14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5" s="50"/>
    </row>
    <row r="146" spans="2:57">
      <c r="B146" s="65" t="str">
        <f>_xlfn.CONCAT(Tableau1[[#This Row],[Name ILN]],"-",Tableau1[[#This Row],[Name Shipper]],"-",Tableau1[[#This Row],[Name Site]])</f>
        <v>--</v>
      </c>
      <c r="C146" s="65" t="e">
        <f>_xlfn.CONCAT(Tableau1[[#This Row],[Compte ILN]],"-",Tableau1[[#This Row],[Compte Shipper]],"-",Tableau1[[#This Row],[POL]],"-",Tableau1[[#This Row],[Compte Consignee]])</f>
        <v>#N/A</v>
      </c>
      <c r="D146" s="64" t="e">
        <f>_xlfn.CONCAT(Tableau1[[#This Row],[Compte ILN]],"-",Tableau1[[#This Row],[Compte Shipper]],"-",Tableau1[[#This Row],[POL]])</f>
        <v>#N/A</v>
      </c>
      <c r="E146" s="396" t="e">
        <f ca="1">_xlfn.CONCAT(Tableau1[[#This Row],[POL]],"-",Tableau1[[#This Row],[Carrier]],"-",Tableau1[[#This Row],[POD]])</f>
        <v>#N/A</v>
      </c>
      <c r="F146" s="64" t="str">
        <f>_xlfn.CONCAT(Tableau1[[#This Row],[ID]],"-","Actif")</f>
        <v>-Actif</v>
      </c>
      <c r="G146" s="64" t="e">
        <f ca="1">_xlfn.CONCAT(Tableau1[[#This Row],[POD]],"-",Tableau1[[#This Row],[Code PFI]],"-",Tableau1[[#This Row],[Compte Consignee]])</f>
        <v>#N/A</v>
      </c>
      <c r="H14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6" s="397" t="str">
        <f ca="1">IF(COUNTIF(I:I,Tableau1[[#This Row],[Plant-ILN-shipper-POL-Carrier-POD-PFI]])=1,"Non","Oui")</f>
        <v>Oui</v>
      </c>
      <c r="K146" s="398" t="e">
        <f>VLOOKUP(Tableau1[[#This Row],[Name Site]],Plant_AILN!A:D,4,FALSE)</f>
        <v>#N/A</v>
      </c>
      <c r="L146" s="285"/>
      <c r="M146" s="480" t="e">
        <f>VLOOKUP(Tableau1[[#This Row],[Name Site]],Plant_AILN!A:C,3,FALSE)</f>
        <v>#N/A</v>
      </c>
      <c r="N146" s="55" t="e">
        <f>VLOOKUP(Tableau1[[#This Row],[Compte Consignee]],Order!C:D,2,FALSE)</f>
        <v>#N/A</v>
      </c>
      <c r="O146" s="114"/>
      <c r="P146" s="481" t="e">
        <f>VLOOKUP(Tableau1[[#This Row],[Name ILN]],Plant_AILN!F:G,2,FALSE)</f>
        <v>#N/A</v>
      </c>
      <c r="Q146" s="50" t="e">
        <f>VLOOKUP(Tableau1[[#This Row],[Compte ILN]],'DATA ILN'!D:I,6,FALSE)</f>
        <v>#N/A</v>
      </c>
      <c r="R146" s="50" t="e">
        <f>IFERROR(VLOOKUP(Tableau1[[#This Row],[Key(Compte ILN - shipper - POL - plant)]],'DATA ILN'!A:J,10,FALSE),VLOOKUP(Tableau1[[#This Row],[Key(Compte ILN - shipper - POL)]],'DATA ILN'!B:J,9,FALSE))</f>
        <v>#N/A</v>
      </c>
      <c r="S146" s="50" t="e">
        <f>IFERROR(VLOOKUP(Tableau1[[#This Row],[Key(Compte ILN - shipper - POL - plant)]],'DATA ILN'!A:K,11,FALSE),VLOOKUP(Tableau1[[#This Row],[Key(Compte ILN - shipper - POL)]],'DATA ILN'!B:K,10,FALSE))</f>
        <v>#N/A</v>
      </c>
      <c r="T146" s="50" t="e">
        <f>IFERROR(VLOOKUP(Tableau1[[#This Row],[Key(Compte ILN - shipper - POL - plant)]],'DATA ILN'!A:L,12,FALSE),VLOOKUP(Tableau1[[#This Row],[Key(Compte ILN - shipper - POL)]],'DATA ILN'!B:L,11,FALSE))</f>
        <v>#N/A</v>
      </c>
      <c r="U146" s="50" t="e">
        <f>Tableau1[[#This Row],[Day ILN Order]]+Tableau1[[#This Row],[Delivery time to ILN/Shipper]]-1</f>
        <v>#N/A</v>
      </c>
      <c r="V146" s="50" t="e">
        <f>IFERROR(VLOOKUP(Tableau1[[#This Row],[Key(Compte ILN - shipper - POL - plant)]],'DATA ILN'!A:N,14,FALSE),VLOOKUP(Tableau1[[#This Row],[Key(Compte ILN - shipper - POL)]],'DATA ILN'!B:N,13,FALSE))</f>
        <v>#N/A</v>
      </c>
      <c r="W146" s="53" t="e">
        <f>IFERROR(VLOOKUP(Tableau1[[#This Row],[Key(Compte ILN - shipper - POL - plant)]],'DATA ILN'!A:P,16,FALSE),VLOOKUP(Tableau1[[#This Row],[Key(Compte ILN - shipper - POL)]],'DATA ILN'!B:P,15,FALSE))</f>
        <v>#N/A</v>
      </c>
      <c r="X146" s="283"/>
      <c r="Y146" s="482">
        <f>IFERROR(VLOOKUP(Tableau1[[#This Row],[Name Shipper]],Plant_AILN!L:M,2,FALSE),0)</f>
        <v>0</v>
      </c>
      <c r="Z146" s="358"/>
      <c r="AA146" s="353" t="e">
        <f ca="1">VLOOKUP(Tableau1[[#This Row],[Key(ID-Actif)]],'DATA BTO'!A:N,5,FALSE)</f>
        <v>#N/A</v>
      </c>
      <c r="AB146" s="3" t="e">
        <f ca="1">VLOOKUP(Tableau1[[#This Row],[Key(ID-Actif)]],'DATA BTO'!A:N,6,FALSE)</f>
        <v>#N/A</v>
      </c>
      <c r="AC146" s="50" t="e">
        <f ca="1">VLOOKUP(Tableau1[[#This Row],[Key(ID-Actif)]],'DATA BTO'!A:N,7,FALSE)</f>
        <v>#N/A</v>
      </c>
      <c r="AD146" s="50" t="e">
        <f ca="1">VLOOKUP(Tableau1[[#This Row],[Key(ID-Actif)]],'DATA BTO'!A:N,8,FALSE)</f>
        <v>#N/A</v>
      </c>
      <c r="AE146" s="50" t="e">
        <f ca="1">IF(Tableau1[[#This Row],[First Day to POL]]&lt;=Tableau1[[#This Row],[Day Cut Off]],Tableau1[[#This Row],[Day ETD]],Tableau1[[#This Row],[Day ETD]]+7)</f>
        <v>#N/A</v>
      </c>
      <c r="AF146" s="50" t="e">
        <f ca="1">VLOOKUP(Tableau1[[#This Row],[Key(ID-Actif)]],'DATA BTO'!A:N,9,FALSE)</f>
        <v>#N/A</v>
      </c>
      <c r="AG146" s="3" t="e">
        <f ca="1">VLOOKUP(Tableau1[[#This Row],[Key(ID-Actif)]],'DATA BTO'!A:N,10,FALSE)</f>
        <v>#N/A</v>
      </c>
      <c r="AH146" s="3" t="e">
        <f ca="1">VLOOKUP(Tableau1[[#This Row],[Key(ID-Actif)]],'DATA BTO'!A:N,11,FALSE)</f>
        <v>#N/A</v>
      </c>
      <c r="AI146" s="50" t="e">
        <f ca="1">VLOOKUP(Tableau1[[#This Row],[Key(ID-Actif)]],'DATA BTO'!A:N,12,FALSE)</f>
        <v>#N/A</v>
      </c>
      <c r="AJ146" s="53" t="e">
        <f ca="1">VLOOKUP(Tableau1[[#This Row],[Key(ID-Actif)]],'DATA BTO'!A:N,14,FALSE)</f>
        <v>#N/A</v>
      </c>
      <c r="AK146" s="54" t="e">
        <f ca="1">VLOOKUP(Tableau1[[#This Row],[Key(POD -PFI- Usine)]],'DATA Consignee'!A:F,6,FALSE)</f>
        <v>#N/A</v>
      </c>
      <c r="AL146" s="125"/>
      <c r="AM146" s="483" t="str">
        <f>IF(Tableau1[[#This Row],[Name PFI/CDD]]="","-",VLOOKUP(Tableau1[[#This Row],[Name PFI/CDD]],Plant_AILN!I:J,2,FALSE))</f>
        <v>-</v>
      </c>
      <c r="AN14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6" s="2" t="e">
        <f ca="1">VLOOKUP(Tableau1[[#This Row],[Key(POD -PFI- Usine)]],'DATA Consignee'!A:J,10,FALSE)</f>
        <v>#N/A</v>
      </c>
      <c r="AQ146" s="50" t="e">
        <f ca="1">VLOOKUP(Tableau1[[#This Row],[Key(POD -PFI- Usine)]],'DATA Consignee'!A:N,14,FALSE)</f>
        <v>#N/A</v>
      </c>
      <c r="AR14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6" s="50" t="e">
        <f ca="1">Tableau1[[#This Row],[Transit time]]+Tableau1[[#This Row],[Time for security]]+Tableau1[[#This Row],[Time for security2 buffer]]</f>
        <v>#N/A</v>
      </c>
      <c r="AU14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6" s="389" t="e">
        <f ca="1">Tableau1[[#This Row],[Leadtime SI2C]]+Tableau1[[#This Row],[First Receipt Days]]-Tableau1[[#This Row],[Day Customer Order]]+1</f>
        <v>#N/A</v>
      </c>
      <c r="AW146" s="117" t="e">
        <f ca="1">IF(Tableau1[[#This Row],[Name ILN]]&lt;&gt;"SFK Freight Forwarder",Tableau1[[#This Row],[Cust. Leadtime]],Tableau1[[#This Row],[Leadtime SI2C]])</f>
        <v>#N/A</v>
      </c>
      <c r="AX146" s="51" t="e">
        <f>VLOOKUP(Tableau1[[#This Row],[ID]],'DATA BTO'!B:P,15,FALSE)</f>
        <v>#N/A</v>
      </c>
      <c r="AY146" s="328" t="e">
        <f ca="1">IFERROR(VLOOKUP(Tableau1[[#This Row],[Key(ID-Actif)]],'DATA BTO'!A:N,4,FALSE),VLOOKUP(Tableau1[[#This Row],[ID]],'DATA BTO'!B:N,3,FALSE))</f>
        <v>#N/A</v>
      </c>
      <c r="AZ14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6" s="50"/>
    </row>
    <row r="147" spans="2:57">
      <c r="B147" s="65" t="str">
        <f>_xlfn.CONCAT(Tableau1[[#This Row],[Name ILN]],"-",Tableau1[[#This Row],[Name Shipper]],"-",Tableau1[[#This Row],[Name Site]])</f>
        <v>--</v>
      </c>
      <c r="C147" s="65" t="e">
        <f>_xlfn.CONCAT(Tableau1[[#This Row],[Compte ILN]],"-",Tableau1[[#This Row],[Compte Shipper]],"-",Tableau1[[#This Row],[POL]],"-",Tableau1[[#This Row],[Compte Consignee]])</f>
        <v>#N/A</v>
      </c>
      <c r="D147" s="64" t="e">
        <f>_xlfn.CONCAT(Tableau1[[#This Row],[Compte ILN]],"-",Tableau1[[#This Row],[Compte Shipper]],"-",Tableau1[[#This Row],[POL]])</f>
        <v>#N/A</v>
      </c>
      <c r="E147" s="396" t="e">
        <f ca="1">_xlfn.CONCAT(Tableau1[[#This Row],[POL]],"-",Tableau1[[#This Row],[Carrier]],"-",Tableau1[[#This Row],[POD]])</f>
        <v>#N/A</v>
      </c>
      <c r="F147" s="64" t="str">
        <f>_xlfn.CONCAT(Tableau1[[#This Row],[ID]],"-","Actif")</f>
        <v>-Actif</v>
      </c>
      <c r="G147" s="64" t="e">
        <f ca="1">_xlfn.CONCAT(Tableau1[[#This Row],[POD]],"-",Tableau1[[#This Row],[Code PFI]],"-",Tableau1[[#This Row],[Compte Consignee]])</f>
        <v>#N/A</v>
      </c>
      <c r="H14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7" s="397" t="str">
        <f ca="1">IF(COUNTIF(I:I,Tableau1[[#This Row],[Plant-ILN-shipper-POL-Carrier-POD-PFI]])=1,"Non","Oui")</f>
        <v>Oui</v>
      </c>
      <c r="K147" s="398" t="e">
        <f>VLOOKUP(Tableau1[[#This Row],[Name Site]],Plant_AILN!A:D,4,FALSE)</f>
        <v>#N/A</v>
      </c>
      <c r="L147" s="285"/>
      <c r="M147" s="480" t="e">
        <f>VLOOKUP(Tableau1[[#This Row],[Name Site]],Plant_AILN!A:C,3,FALSE)</f>
        <v>#N/A</v>
      </c>
      <c r="N147" s="55" t="e">
        <f>VLOOKUP(Tableau1[[#This Row],[Compte Consignee]],Order!C:D,2,FALSE)</f>
        <v>#N/A</v>
      </c>
      <c r="O147" s="114"/>
      <c r="P147" s="481" t="e">
        <f>VLOOKUP(Tableau1[[#This Row],[Name ILN]],Plant_AILN!F:G,2,FALSE)</f>
        <v>#N/A</v>
      </c>
      <c r="Q147" s="50" t="e">
        <f>VLOOKUP(Tableau1[[#This Row],[Compte ILN]],'DATA ILN'!D:I,6,FALSE)</f>
        <v>#N/A</v>
      </c>
      <c r="R147" s="50" t="e">
        <f>IFERROR(VLOOKUP(Tableau1[[#This Row],[Key(Compte ILN - shipper - POL - plant)]],'DATA ILN'!A:J,10,FALSE),VLOOKUP(Tableau1[[#This Row],[Key(Compte ILN - shipper - POL)]],'DATA ILN'!B:J,9,FALSE))</f>
        <v>#N/A</v>
      </c>
      <c r="S147" s="50" t="e">
        <f>IFERROR(VLOOKUP(Tableau1[[#This Row],[Key(Compte ILN - shipper - POL - plant)]],'DATA ILN'!A:K,11,FALSE),VLOOKUP(Tableau1[[#This Row],[Key(Compte ILN - shipper - POL)]],'DATA ILN'!B:K,10,FALSE))</f>
        <v>#N/A</v>
      </c>
      <c r="T147" s="50" t="e">
        <f>IFERROR(VLOOKUP(Tableau1[[#This Row],[Key(Compte ILN - shipper - POL - plant)]],'DATA ILN'!A:L,12,FALSE),VLOOKUP(Tableau1[[#This Row],[Key(Compte ILN - shipper - POL)]],'DATA ILN'!B:L,11,FALSE))</f>
        <v>#N/A</v>
      </c>
      <c r="U147" s="50" t="e">
        <f>Tableau1[[#This Row],[Day ILN Order]]+Tableau1[[#This Row],[Delivery time to ILN/Shipper]]-1</f>
        <v>#N/A</v>
      </c>
      <c r="V147" s="50" t="e">
        <f>IFERROR(VLOOKUP(Tableau1[[#This Row],[Key(Compte ILN - shipper - POL - plant)]],'DATA ILN'!A:N,14,FALSE),VLOOKUP(Tableau1[[#This Row],[Key(Compte ILN - shipper - POL)]],'DATA ILN'!B:N,13,FALSE))</f>
        <v>#N/A</v>
      </c>
      <c r="W147" s="53" t="e">
        <f>IFERROR(VLOOKUP(Tableau1[[#This Row],[Key(Compte ILN - shipper - POL - plant)]],'DATA ILN'!A:P,16,FALSE),VLOOKUP(Tableau1[[#This Row],[Key(Compte ILN - shipper - POL)]],'DATA ILN'!B:P,15,FALSE))</f>
        <v>#N/A</v>
      </c>
      <c r="X147" s="283"/>
      <c r="Y147" s="482">
        <f>IFERROR(VLOOKUP(Tableau1[[#This Row],[Name Shipper]],Plant_AILN!L:M,2,FALSE),0)</f>
        <v>0</v>
      </c>
      <c r="Z147" s="358"/>
      <c r="AA147" s="353" t="e">
        <f ca="1">VLOOKUP(Tableau1[[#This Row],[Key(ID-Actif)]],'DATA BTO'!A:N,5,FALSE)</f>
        <v>#N/A</v>
      </c>
      <c r="AB147" s="3" t="e">
        <f ca="1">VLOOKUP(Tableau1[[#This Row],[Key(ID-Actif)]],'DATA BTO'!A:N,6,FALSE)</f>
        <v>#N/A</v>
      </c>
      <c r="AC147" s="50" t="e">
        <f ca="1">VLOOKUP(Tableau1[[#This Row],[Key(ID-Actif)]],'DATA BTO'!A:N,7,FALSE)</f>
        <v>#N/A</v>
      </c>
      <c r="AD147" s="50" t="e">
        <f ca="1">VLOOKUP(Tableau1[[#This Row],[Key(ID-Actif)]],'DATA BTO'!A:N,8,FALSE)</f>
        <v>#N/A</v>
      </c>
      <c r="AE147" s="50" t="e">
        <f ca="1">IF(Tableau1[[#This Row],[First Day to POL]]&lt;=Tableau1[[#This Row],[Day Cut Off]],Tableau1[[#This Row],[Day ETD]],Tableau1[[#This Row],[Day ETD]]+7)</f>
        <v>#N/A</v>
      </c>
      <c r="AF147" s="50" t="e">
        <f ca="1">VLOOKUP(Tableau1[[#This Row],[Key(ID-Actif)]],'DATA BTO'!A:N,9,FALSE)</f>
        <v>#N/A</v>
      </c>
      <c r="AG147" s="3" t="e">
        <f ca="1">VLOOKUP(Tableau1[[#This Row],[Key(ID-Actif)]],'DATA BTO'!A:N,10,FALSE)</f>
        <v>#N/A</v>
      </c>
      <c r="AH147" s="3" t="e">
        <f ca="1">VLOOKUP(Tableau1[[#This Row],[Key(ID-Actif)]],'DATA BTO'!A:N,11,FALSE)</f>
        <v>#N/A</v>
      </c>
      <c r="AI147" s="50" t="e">
        <f ca="1">VLOOKUP(Tableau1[[#This Row],[Key(ID-Actif)]],'DATA BTO'!A:N,12,FALSE)</f>
        <v>#N/A</v>
      </c>
      <c r="AJ147" s="53" t="e">
        <f ca="1">VLOOKUP(Tableau1[[#This Row],[Key(ID-Actif)]],'DATA BTO'!A:N,14,FALSE)</f>
        <v>#N/A</v>
      </c>
      <c r="AK147" s="54" t="e">
        <f ca="1">VLOOKUP(Tableau1[[#This Row],[Key(POD -PFI- Usine)]],'DATA Consignee'!A:F,6,FALSE)</f>
        <v>#N/A</v>
      </c>
      <c r="AL147" s="125"/>
      <c r="AM147" s="483" t="str">
        <f>IF(Tableau1[[#This Row],[Name PFI/CDD]]="","-",VLOOKUP(Tableau1[[#This Row],[Name PFI/CDD]],Plant_AILN!I:J,2,FALSE))</f>
        <v>-</v>
      </c>
      <c r="AN14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7" s="2" t="e">
        <f ca="1">VLOOKUP(Tableau1[[#This Row],[Key(POD -PFI- Usine)]],'DATA Consignee'!A:J,10,FALSE)</f>
        <v>#N/A</v>
      </c>
      <c r="AQ147" s="50" t="e">
        <f ca="1">VLOOKUP(Tableau1[[#This Row],[Key(POD -PFI- Usine)]],'DATA Consignee'!A:N,14,FALSE)</f>
        <v>#N/A</v>
      </c>
      <c r="AR14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7" s="50" t="e">
        <f ca="1">Tableau1[[#This Row],[Transit time]]+Tableau1[[#This Row],[Time for security]]+Tableau1[[#This Row],[Time for security2 buffer]]</f>
        <v>#N/A</v>
      </c>
      <c r="AU14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7" s="389" t="e">
        <f ca="1">Tableau1[[#This Row],[Leadtime SI2C]]+Tableau1[[#This Row],[First Receipt Days]]-Tableau1[[#This Row],[Day Customer Order]]+1</f>
        <v>#N/A</v>
      </c>
      <c r="AW147" s="117" t="e">
        <f ca="1">IF(Tableau1[[#This Row],[Name ILN]]&lt;&gt;"SFK Freight Forwarder",Tableau1[[#This Row],[Cust. Leadtime]],Tableau1[[#This Row],[Leadtime SI2C]])</f>
        <v>#N/A</v>
      </c>
      <c r="AX147" s="51" t="e">
        <f>VLOOKUP(Tableau1[[#This Row],[ID]],'DATA BTO'!B:P,15,FALSE)</f>
        <v>#N/A</v>
      </c>
      <c r="AY147" s="328" t="e">
        <f ca="1">IFERROR(VLOOKUP(Tableau1[[#This Row],[Key(ID-Actif)]],'DATA BTO'!A:N,4,FALSE),VLOOKUP(Tableau1[[#This Row],[ID]],'DATA BTO'!B:N,3,FALSE))</f>
        <v>#N/A</v>
      </c>
      <c r="AZ14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7" s="50"/>
    </row>
    <row r="148" spans="2:57">
      <c r="B148" s="65" t="str">
        <f>_xlfn.CONCAT(Tableau1[[#This Row],[Name ILN]],"-",Tableau1[[#This Row],[Name Shipper]],"-",Tableau1[[#This Row],[Name Site]])</f>
        <v>--</v>
      </c>
      <c r="C148" s="65" t="e">
        <f>_xlfn.CONCAT(Tableau1[[#This Row],[Compte ILN]],"-",Tableau1[[#This Row],[Compte Shipper]],"-",Tableau1[[#This Row],[POL]],"-",Tableau1[[#This Row],[Compte Consignee]])</f>
        <v>#N/A</v>
      </c>
      <c r="D148" s="64" t="e">
        <f>_xlfn.CONCAT(Tableau1[[#This Row],[Compte ILN]],"-",Tableau1[[#This Row],[Compte Shipper]],"-",Tableau1[[#This Row],[POL]])</f>
        <v>#N/A</v>
      </c>
      <c r="E148" s="396" t="e">
        <f ca="1">_xlfn.CONCAT(Tableau1[[#This Row],[POL]],"-",Tableau1[[#This Row],[Carrier]],"-",Tableau1[[#This Row],[POD]])</f>
        <v>#N/A</v>
      </c>
      <c r="F148" s="64" t="str">
        <f>_xlfn.CONCAT(Tableau1[[#This Row],[ID]],"-","Actif")</f>
        <v>-Actif</v>
      </c>
      <c r="G148" s="64" t="e">
        <f ca="1">_xlfn.CONCAT(Tableau1[[#This Row],[POD]],"-",Tableau1[[#This Row],[Code PFI]],"-",Tableau1[[#This Row],[Compte Consignee]])</f>
        <v>#N/A</v>
      </c>
      <c r="H14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8" s="397" t="str">
        <f ca="1">IF(COUNTIF(I:I,Tableau1[[#This Row],[Plant-ILN-shipper-POL-Carrier-POD-PFI]])=1,"Non","Oui")</f>
        <v>Oui</v>
      </c>
      <c r="K148" s="398" t="e">
        <f>VLOOKUP(Tableau1[[#This Row],[Name Site]],Plant_AILN!A:D,4,FALSE)</f>
        <v>#N/A</v>
      </c>
      <c r="L148" s="285"/>
      <c r="M148" s="480" t="e">
        <f>VLOOKUP(Tableau1[[#This Row],[Name Site]],Plant_AILN!A:C,3,FALSE)</f>
        <v>#N/A</v>
      </c>
      <c r="N148" s="55" t="e">
        <f>VLOOKUP(Tableau1[[#This Row],[Compte Consignee]],Order!C:D,2,FALSE)</f>
        <v>#N/A</v>
      </c>
      <c r="O148" s="114"/>
      <c r="P148" s="481" t="e">
        <f>VLOOKUP(Tableau1[[#This Row],[Name ILN]],Plant_AILN!F:G,2,FALSE)</f>
        <v>#N/A</v>
      </c>
      <c r="Q148" s="50" t="e">
        <f>VLOOKUP(Tableau1[[#This Row],[Compte ILN]],'DATA ILN'!D:I,6,FALSE)</f>
        <v>#N/A</v>
      </c>
      <c r="R148" s="50" t="e">
        <f>IFERROR(VLOOKUP(Tableau1[[#This Row],[Key(Compte ILN - shipper - POL - plant)]],'DATA ILN'!A:J,10,FALSE),VLOOKUP(Tableau1[[#This Row],[Key(Compte ILN - shipper - POL)]],'DATA ILN'!B:J,9,FALSE))</f>
        <v>#N/A</v>
      </c>
      <c r="S148" s="50" t="e">
        <f>IFERROR(VLOOKUP(Tableau1[[#This Row],[Key(Compte ILN - shipper - POL - plant)]],'DATA ILN'!A:K,11,FALSE),VLOOKUP(Tableau1[[#This Row],[Key(Compte ILN - shipper - POL)]],'DATA ILN'!B:K,10,FALSE))</f>
        <v>#N/A</v>
      </c>
      <c r="T148" s="50" t="e">
        <f>IFERROR(VLOOKUP(Tableau1[[#This Row],[Key(Compte ILN - shipper - POL - plant)]],'DATA ILN'!A:L,12,FALSE),VLOOKUP(Tableau1[[#This Row],[Key(Compte ILN - shipper - POL)]],'DATA ILN'!B:L,11,FALSE))</f>
        <v>#N/A</v>
      </c>
      <c r="U148" s="50" t="e">
        <f>Tableau1[[#This Row],[Day ILN Order]]+Tableau1[[#This Row],[Delivery time to ILN/Shipper]]-1</f>
        <v>#N/A</v>
      </c>
      <c r="V148" s="50" t="e">
        <f>IFERROR(VLOOKUP(Tableau1[[#This Row],[Key(Compte ILN - shipper - POL - plant)]],'DATA ILN'!A:N,14,FALSE),VLOOKUP(Tableau1[[#This Row],[Key(Compte ILN - shipper - POL)]],'DATA ILN'!B:N,13,FALSE))</f>
        <v>#N/A</v>
      </c>
      <c r="W148" s="53" t="e">
        <f>IFERROR(VLOOKUP(Tableau1[[#This Row],[Key(Compte ILN - shipper - POL - plant)]],'DATA ILN'!A:P,16,FALSE),VLOOKUP(Tableau1[[#This Row],[Key(Compte ILN - shipper - POL)]],'DATA ILN'!B:P,15,FALSE))</f>
        <v>#N/A</v>
      </c>
      <c r="X148" s="114"/>
      <c r="Y148" s="482">
        <f>IFERROR(VLOOKUP(Tableau1[[#This Row],[Name Shipper]],Plant_AILN!L:M,2,FALSE),0)</f>
        <v>0</v>
      </c>
      <c r="Z148" s="358"/>
      <c r="AA148" s="353" t="e">
        <f ca="1">VLOOKUP(Tableau1[[#This Row],[Key(ID-Actif)]],'DATA BTO'!A:N,5,FALSE)</f>
        <v>#N/A</v>
      </c>
      <c r="AB148" s="3" t="e">
        <f ca="1">VLOOKUP(Tableau1[[#This Row],[Key(ID-Actif)]],'DATA BTO'!A:N,6,FALSE)</f>
        <v>#N/A</v>
      </c>
      <c r="AC148" s="50" t="e">
        <f ca="1">VLOOKUP(Tableau1[[#This Row],[Key(ID-Actif)]],'DATA BTO'!A:N,7,FALSE)</f>
        <v>#N/A</v>
      </c>
      <c r="AD148" s="50" t="e">
        <f ca="1">VLOOKUP(Tableau1[[#This Row],[Key(ID-Actif)]],'DATA BTO'!A:N,8,FALSE)</f>
        <v>#N/A</v>
      </c>
      <c r="AE148" s="50" t="e">
        <f ca="1">IF(Tableau1[[#This Row],[First Day to POL]]&lt;=Tableau1[[#This Row],[Day Cut Off]],Tableau1[[#This Row],[Day ETD]],Tableau1[[#This Row],[Day ETD]]+7)</f>
        <v>#N/A</v>
      </c>
      <c r="AF148" s="50" t="e">
        <f ca="1">VLOOKUP(Tableau1[[#This Row],[Key(ID-Actif)]],'DATA BTO'!A:N,9,FALSE)</f>
        <v>#N/A</v>
      </c>
      <c r="AG148" s="3" t="e">
        <f ca="1">VLOOKUP(Tableau1[[#This Row],[Key(ID-Actif)]],'DATA BTO'!A:N,10,FALSE)</f>
        <v>#N/A</v>
      </c>
      <c r="AH148" s="3" t="e">
        <f ca="1">VLOOKUP(Tableau1[[#This Row],[Key(ID-Actif)]],'DATA BTO'!A:N,11,FALSE)</f>
        <v>#N/A</v>
      </c>
      <c r="AI148" s="50" t="e">
        <f ca="1">VLOOKUP(Tableau1[[#This Row],[Key(ID-Actif)]],'DATA BTO'!A:N,12,FALSE)</f>
        <v>#N/A</v>
      </c>
      <c r="AJ148" s="53" t="e">
        <f ca="1">VLOOKUP(Tableau1[[#This Row],[Key(ID-Actif)]],'DATA BTO'!A:N,14,FALSE)</f>
        <v>#N/A</v>
      </c>
      <c r="AK148" s="54" t="e">
        <f ca="1">VLOOKUP(Tableau1[[#This Row],[Key(POD -PFI- Usine)]],'DATA Consignee'!A:F,6,FALSE)</f>
        <v>#N/A</v>
      </c>
      <c r="AL148" s="125"/>
      <c r="AM148" s="483" t="str">
        <f>IF(Tableau1[[#This Row],[Name PFI/CDD]]="","-",VLOOKUP(Tableau1[[#This Row],[Name PFI/CDD]],Plant_AILN!I:J,2,FALSE))</f>
        <v>-</v>
      </c>
      <c r="AN14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8" s="2" t="e">
        <f ca="1">VLOOKUP(Tableau1[[#This Row],[Key(POD -PFI- Usine)]],'DATA Consignee'!A:J,10,FALSE)</f>
        <v>#N/A</v>
      </c>
      <c r="AQ148" s="50" t="e">
        <f ca="1">VLOOKUP(Tableau1[[#This Row],[Key(POD -PFI- Usine)]],'DATA Consignee'!A:N,14,FALSE)</f>
        <v>#N/A</v>
      </c>
      <c r="AR14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8" s="50" t="e">
        <f ca="1">Tableau1[[#This Row],[Transit time]]+Tableau1[[#This Row],[Time for security]]+Tableau1[[#This Row],[Time for security2 buffer]]</f>
        <v>#N/A</v>
      </c>
      <c r="AU14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8" s="389" t="e">
        <f ca="1">Tableau1[[#This Row],[Leadtime SI2C]]+Tableau1[[#This Row],[First Receipt Days]]-Tableau1[[#This Row],[Day Customer Order]]+1</f>
        <v>#N/A</v>
      </c>
      <c r="AW148" s="117" t="e">
        <f ca="1">IF(Tableau1[[#This Row],[Name ILN]]&lt;&gt;"SFK Freight Forwarder",Tableau1[[#This Row],[Cust. Leadtime]],Tableau1[[#This Row],[Leadtime SI2C]])</f>
        <v>#N/A</v>
      </c>
      <c r="AX148" s="51" t="e">
        <f>VLOOKUP(Tableau1[[#This Row],[ID]],'DATA BTO'!B:P,15,FALSE)</f>
        <v>#N/A</v>
      </c>
      <c r="AY148" s="328" t="e">
        <f ca="1">IFERROR(VLOOKUP(Tableau1[[#This Row],[Key(ID-Actif)]],'DATA BTO'!A:N,4,FALSE),VLOOKUP(Tableau1[[#This Row],[ID]],'DATA BTO'!B:N,3,FALSE))</f>
        <v>#N/A</v>
      </c>
      <c r="AZ14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8" s="50"/>
    </row>
    <row r="149" spans="2:57">
      <c r="B149" s="65" t="str">
        <f>_xlfn.CONCAT(Tableau1[[#This Row],[Name ILN]],"-",Tableau1[[#This Row],[Name Shipper]],"-",Tableau1[[#This Row],[Name Site]])</f>
        <v>--</v>
      </c>
      <c r="C149" s="65" t="e">
        <f>_xlfn.CONCAT(Tableau1[[#This Row],[Compte ILN]],"-",Tableau1[[#This Row],[Compte Shipper]],"-",Tableau1[[#This Row],[POL]],"-",Tableau1[[#This Row],[Compte Consignee]])</f>
        <v>#N/A</v>
      </c>
      <c r="D149" s="64" t="e">
        <f>_xlfn.CONCAT(Tableau1[[#This Row],[Compte ILN]],"-",Tableau1[[#This Row],[Compte Shipper]],"-",Tableau1[[#This Row],[POL]])</f>
        <v>#N/A</v>
      </c>
      <c r="E149" s="396" t="e">
        <f ca="1">_xlfn.CONCAT(Tableau1[[#This Row],[POL]],"-",Tableau1[[#This Row],[Carrier]],"-",Tableau1[[#This Row],[POD]])</f>
        <v>#N/A</v>
      </c>
      <c r="F149" s="64" t="str">
        <f>_xlfn.CONCAT(Tableau1[[#This Row],[ID]],"-","Actif")</f>
        <v>-Actif</v>
      </c>
      <c r="G149" s="64" t="e">
        <f ca="1">_xlfn.CONCAT(Tableau1[[#This Row],[POD]],"-",Tableau1[[#This Row],[Code PFI]],"-",Tableau1[[#This Row],[Compte Consignee]])</f>
        <v>#N/A</v>
      </c>
      <c r="H14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4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49" s="397" t="str">
        <f ca="1">IF(COUNTIF(I:I,Tableau1[[#This Row],[Plant-ILN-shipper-POL-Carrier-POD-PFI]])=1,"Non","Oui")</f>
        <v>Oui</v>
      </c>
      <c r="K149" s="398" t="e">
        <f>VLOOKUP(Tableau1[[#This Row],[Name Site]],Plant_AILN!A:D,4,FALSE)</f>
        <v>#N/A</v>
      </c>
      <c r="L149" s="285"/>
      <c r="M149" s="480" t="e">
        <f>VLOOKUP(Tableau1[[#This Row],[Name Site]],Plant_AILN!A:C,3,FALSE)</f>
        <v>#N/A</v>
      </c>
      <c r="N149" s="55" t="e">
        <f>VLOOKUP(Tableau1[[#This Row],[Compte Consignee]],Order!C:D,2,FALSE)</f>
        <v>#N/A</v>
      </c>
      <c r="O149" s="114"/>
      <c r="P149" s="481" t="e">
        <f>VLOOKUP(Tableau1[[#This Row],[Name ILN]],Plant_AILN!F:G,2,FALSE)</f>
        <v>#N/A</v>
      </c>
      <c r="Q149" s="50" t="e">
        <f>VLOOKUP(Tableau1[[#This Row],[Compte ILN]],'DATA ILN'!D:I,6,FALSE)</f>
        <v>#N/A</v>
      </c>
      <c r="R149" s="50" t="e">
        <f>IFERROR(VLOOKUP(Tableau1[[#This Row],[Key(Compte ILN - shipper - POL - plant)]],'DATA ILN'!A:J,10,FALSE),VLOOKUP(Tableau1[[#This Row],[Key(Compte ILN - shipper - POL)]],'DATA ILN'!B:J,9,FALSE))</f>
        <v>#N/A</v>
      </c>
      <c r="S149" s="50" t="e">
        <f>IFERROR(VLOOKUP(Tableau1[[#This Row],[Key(Compte ILN - shipper - POL - plant)]],'DATA ILN'!A:K,11,FALSE),VLOOKUP(Tableau1[[#This Row],[Key(Compte ILN - shipper - POL)]],'DATA ILN'!B:K,10,FALSE))</f>
        <v>#N/A</v>
      </c>
      <c r="T149" s="50" t="e">
        <f>IFERROR(VLOOKUP(Tableau1[[#This Row],[Key(Compte ILN - shipper - POL - plant)]],'DATA ILN'!A:L,12,FALSE),VLOOKUP(Tableau1[[#This Row],[Key(Compte ILN - shipper - POL)]],'DATA ILN'!B:L,11,FALSE))</f>
        <v>#N/A</v>
      </c>
      <c r="U149" s="50" t="e">
        <f>Tableau1[[#This Row],[Day ILN Order]]+Tableau1[[#This Row],[Delivery time to ILN/Shipper]]-1</f>
        <v>#N/A</v>
      </c>
      <c r="V149" s="50" t="e">
        <f>IFERROR(VLOOKUP(Tableau1[[#This Row],[Key(Compte ILN - shipper - POL - plant)]],'DATA ILN'!A:N,14,FALSE),VLOOKUP(Tableau1[[#This Row],[Key(Compte ILN - shipper - POL)]],'DATA ILN'!B:N,13,FALSE))</f>
        <v>#N/A</v>
      </c>
      <c r="W149" s="53" t="e">
        <f>IFERROR(VLOOKUP(Tableau1[[#This Row],[Key(Compte ILN - shipper - POL - plant)]],'DATA ILN'!A:P,16,FALSE),VLOOKUP(Tableau1[[#This Row],[Key(Compte ILN - shipper - POL)]],'DATA ILN'!B:P,15,FALSE))</f>
        <v>#N/A</v>
      </c>
      <c r="X149" s="283"/>
      <c r="Y149" s="482">
        <f>IFERROR(VLOOKUP(Tableau1[[#This Row],[Name Shipper]],Plant_AILN!L:M,2,FALSE),0)</f>
        <v>0</v>
      </c>
      <c r="Z149" s="358"/>
      <c r="AA149" s="353" t="e">
        <f ca="1">VLOOKUP(Tableau1[[#This Row],[Key(ID-Actif)]],'DATA BTO'!A:N,5,FALSE)</f>
        <v>#N/A</v>
      </c>
      <c r="AB149" s="3" t="e">
        <f ca="1">VLOOKUP(Tableau1[[#This Row],[Key(ID-Actif)]],'DATA BTO'!A:N,6,FALSE)</f>
        <v>#N/A</v>
      </c>
      <c r="AC149" s="50" t="e">
        <f ca="1">VLOOKUP(Tableau1[[#This Row],[Key(ID-Actif)]],'DATA BTO'!A:N,7,FALSE)</f>
        <v>#N/A</v>
      </c>
      <c r="AD149" s="50" t="e">
        <f ca="1">VLOOKUP(Tableau1[[#This Row],[Key(ID-Actif)]],'DATA BTO'!A:N,8,FALSE)</f>
        <v>#N/A</v>
      </c>
      <c r="AE149" s="50" t="e">
        <f ca="1">IF(Tableau1[[#This Row],[First Day to POL]]&lt;=Tableau1[[#This Row],[Day Cut Off]],Tableau1[[#This Row],[Day ETD]],Tableau1[[#This Row],[Day ETD]]+7)</f>
        <v>#N/A</v>
      </c>
      <c r="AF149" s="50" t="e">
        <f ca="1">VLOOKUP(Tableau1[[#This Row],[Key(ID-Actif)]],'DATA BTO'!A:N,9,FALSE)</f>
        <v>#N/A</v>
      </c>
      <c r="AG149" s="3" t="e">
        <f ca="1">VLOOKUP(Tableau1[[#This Row],[Key(ID-Actif)]],'DATA BTO'!A:N,10,FALSE)</f>
        <v>#N/A</v>
      </c>
      <c r="AH149" s="3" t="e">
        <f ca="1">VLOOKUP(Tableau1[[#This Row],[Key(ID-Actif)]],'DATA BTO'!A:N,11,FALSE)</f>
        <v>#N/A</v>
      </c>
      <c r="AI149" s="50" t="e">
        <f ca="1">VLOOKUP(Tableau1[[#This Row],[Key(ID-Actif)]],'DATA BTO'!A:N,12,FALSE)</f>
        <v>#N/A</v>
      </c>
      <c r="AJ149" s="53" t="e">
        <f ca="1">VLOOKUP(Tableau1[[#This Row],[Key(ID-Actif)]],'DATA BTO'!A:N,14,FALSE)</f>
        <v>#N/A</v>
      </c>
      <c r="AK149" s="54" t="e">
        <f ca="1">VLOOKUP(Tableau1[[#This Row],[Key(POD -PFI- Usine)]],'DATA Consignee'!A:F,6,FALSE)</f>
        <v>#N/A</v>
      </c>
      <c r="AL149" s="125"/>
      <c r="AM149" s="483" t="str">
        <f>IF(Tableau1[[#This Row],[Name PFI/CDD]]="","-",VLOOKUP(Tableau1[[#This Row],[Name PFI/CDD]],Plant_AILN!I:J,2,FALSE))</f>
        <v>-</v>
      </c>
      <c r="AN14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4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49" s="2" t="e">
        <f ca="1">VLOOKUP(Tableau1[[#This Row],[Key(POD -PFI- Usine)]],'DATA Consignee'!A:J,10,FALSE)</f>
        <v>#N/A</v>
      </c>
      <c r="AQ149" s="50" t="e">
        <f ca="1">VLOOKUP(Tableau1[[#This Row],[Key(POD -PFI- Usine)]],'DATA Consignee'!A:N,14,FALSE)</f>
        <v>#N/A</v>
      </c>
      <c r="AR14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4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49" s="50" t="e">
        <f ca="1">Tableau1[[#This Row],[Transit time]]+Tableau1[[#This Row],[Time for security]]+Tableau1[[#This Row],[Time for security2 buffer]]</f>
        <v>#N/A</v>
      </c>
      <c r="AU14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49" s="389" t="e">
        <f ca="1">Tableau1[[#This Row],[Leadtime SI2C]]+Tableau1[[#This Row],[First Receipt Days]]-Tableau1[[#This Row],[Day Customer Order]]+1</f>
        <v>#N/A</v>
      </c>
      <c r="AW149" s="117" t="e">
        <f ca="1">IF(Tableau1[[#This Row],[Name ILN]]&lt;&gt;"SFK Freight Forwarder",Tableau1[[#This Row],[Cust. Leadtime]],Tableau1[[#This Row],[Leadtime SI2C]])</f>
        <v>#N/A</v>
      </c>
      <c r="AX149" s="51" t="e">
        <f>VLOOKUP(Tableau1[[#This Row],[ID]],'DATA BTO'!B:P,15,FALSE)</f>
        <v>#N/A</v>
      </c>
      <c r="AY149" s="328" t="e">
        <f ca="1">IFERROR(VLOOKUP(Tableau1[[#This Row],[Key(ID-Actif)]],'DATA BTO'!A:N,4,FALSE),VLOOKUP(Tableau1[[#This Row],[ID]],'DATA BTO'!B:N,3,FALSE))</f>
        <v>#N/A</v>
      </c>
      <c r="AZ14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4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4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9" s="50"/>
    </row>
    <row r="150" spans="2:57">
      <c r="B150" s="65" t="str">
        <f>_xlfn.CONCAT(Tableau1[[#This Row],[Name ILN]],"-",Tableau1[[#This Row],[Name Shipper]],"-",Tableau1[[#This Row],[Name Site]])</f>
        <v>--</v>
      </c>
      <c r="C150" s="65" t="e">
        <f>_xlfn.CONCAT(Tableau1[[#This Row],[Compte ILN]],"-",Tableau1[[#This Row],[Compte Shipper]],"-",Tableau1[[#This Row],[POL]],"-",Tableau1[[#This Row],[Compte Consignee]])</f>
        <v>#N/A</v>
      </c>
      <c r="D150" s="64" t="e">
        <f>_xlfn.CONCAT(Tableau1[[#This Row],[Compte ILN]],"-",Tableau1[[#This Row],[Compte Shipper]],"-",Tableau1[[#This Row],[POL]])</f>
        <v>#N/A</v>
      </c>
      <c r="E150" s="396" t="e">
        <f ca="1">_xlfn.CONCAT(Tableau1[[#This Row],[POL]],"-",Tableau1[[#This Row],[Carrier]],"-",Tableau1[[#This Row],[POD]])</f>
        <v>#N/A</v>
      </c>
      <c r="F150" s="64" t="str">
        <f>_xlfn.CONCAT(Tableau1[[#This Row],[ID]],"-","Actif")</f>
        <v>-Actif</v>
      </c>
      <c r="G150" s="64" t="e">
        <f ca="1">_xlfn.CONCAT(Tableau1[[#This Row],[POD]],"-",Tableau1[[#This Row],[Code PFI]],"-",Tableau1[[#This Row],[Compte Consignee]])</f>
        <v>#N/A</v>
      </c>
      <c r="H15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0" s="397" t="str">
        <f ca="1">IF(COUNTIF(I:I,Tableau1[[#This Row],[Plant-ILN-shipper-POL-Carrier-POD-PFI]])=1,"Non","Oui")</f>
        <v>Oui</v>
      </c>
      <c r="K150" s="398" t="e">
        <f>VLOOKUP(Tableau1[[#This Row],[Name Site]],Plant_AILN!A:D,4,FALSE)</f>
        <v>#N/A</v>
      </c>
      <c r="L150" s="285"/>
      <c r="M150" s="480" t="e">
        <f>VLOOKUP(Tableau1[[#This Row],[Name Site]],Plant_AILN!A:C,3,FALSE)</f>
        <v>#N/A</v>
      </c>
      <c r="N150" s="55" t="e">
        <f>VLOOKUP(Tableau1[[#This Row],[Compte Consignee]],Order!C:D,2,FALSE)</f>
        <v>#N/A</v>
      </c>
      <c r="O150" s="114"/>
      <c r="P150" s="481" t="e">
        <f>VLOOKUP(Tableau1[[#This Row],[Name ILN]],Plant_AILN!F:G,2,FALSE)</f>
        <v>#N/A</v>
      </c>
      <c r="Q150" s="50" t="e">
        <f>VLOOKUP(Tableau1[[#This Row],[Compte ILN]],'DATA ILN'!D:I,6,FALSE)</f>
        <v>#N/A</v>
      </c>
      <c r="R150" s="50" t="e">
        <f>IFERROR(VLOOKUP(Tableau1[[#This Row],[Key(Compte ILN - shipper - POL - plant)]],'DATA ILN'!A:J,10,FALSE),VLOOKUP(Tableau1[[#This Row],[Key(Compte ILN - shipper - POL)]],'DATA ILN'!B:J,9,FALSE))</f>
        <v>#N/A</v>
      </c>
      <c r="S150" s="50" t="e">
        <f>IFERROR(VLOOKUP(Tableau1[[#This Row],[Key(Compte ILN - shipper - POL - plant)]],'DATA ILN'!A:K,11,FALSE),VLOOKUP(Tableau1[[#This Row],[Key(Compte ILN - shipper - POL)]],'DATA ILN'!B:K,10,FALSE))</f>
        <v>#N/A</v>
      </c>
      <c r="T150" s="50" t="e">
        <f>IFERROR(VLOOKUP(Tableau1[[#This Row],[Key(Compte ILN - shipper - POL - plant)]],'DATA ILN'!A:L,12,FALSE),VLOOKUP(Tableau1[[#This Row],[Key(Compte ILN - shipper - POL)]],'DATA ILN'!B:L,11,FALSE))</f>
        <v>#N/A</v>
      </c>
      <c r="U150" s="50" t="e">
        <f>Tableau1[[#This Row],[Day ILN Order]]+Tableau1[[#This Row],[Delivery time to ILN/Shipper]]-1</f>
        <v>#N/A</v>
      </c>
      <c r="V150" s="50" t="e">
        <f>IFERROR(VLOOKUP(Tableau1[[#This Row],[Key(Compte ILN - shipper - POL - plant)]],'DATA ILN'!A:N,14,FALSE),VLOOKUP(Tableau1[[#This Row],[Key(Compte ILN - shipper - POL)]],'DATA ILN'!B:N,13,FALSE))</f>
        <v>#N/A</v>
      </c>
      <c r="W150" s="53" t="e">
        <f>IFERROR(VLOOKUP(Tableau1[[#This Row],[Key(Compte ILN - shipper - POL - plant)]],'DATA ILN'!A:P,16,FALSE),VLOOKUP(Tableau1[[#This Row],[Key(Compte ILN - shipper - POL)]],'DATA ILN'!B:P,15,FALSE))</f>
        <v>#N/A</v>
      </c>
      <c r="X150" s="283"/>
      <c r="Y150" s="482">
        <f>IFERROR(VLOOKUP(Tableau1[[#This Row],[Name Shipper]],Plant_AILN!L:M,2,FALSE),0)</f>
        <v>0</v>
      </c>
      <c r="Z150" s="358"/>
      <c r="AA150" s="353" t="e">
        <f ca="1">VLOOKUP(Tableau1[[#This Row],[Key(ID-Actif)]],'DATA BTO'!A:N,5,FALSE)</f>
        <v>#N/A</v>
      </c>
      <c r="AB150" s="3" t="e">
        <f ca="1">VLOOKUP(Tableau1[[#This Row],[Key(ID-Actif)]],'DATA BTO'!A:N,6,FALSE)</f>
        <v>#N/A</v>
      </c>
      <c r="AC150" s="50" t="e">
        <f ca="1">VLOOKUP(Tableau1[[#This Row],[Key(ID-Actif)]],'DATA BTO'!A:N,7,FALSE)</f>
        <v>#N/A</v>
      </c>
      <c r="AD150" s="50" t="e">
        <f ca="1">VLOOKUP(Tableau1[[#This Row],[Key(ID-Actif)]],'DATA BTO'!A:N,8,FALSE)</f>
        <v>#N/A</v>
      </c>
      <c r="AE150" s="50" t="e">
        <f ca="1">IF(Tableau1[[#This Row],[First Day to POL]]&lt;=Tableau1[[#This Row],[Day Cut Off]],Tableau1[[#This Row],[Day ETD]],Tableau1[[#This Row],[Day ETD]]+7)</f>
        <v>#N/A</v>
      </c>
      <c r="AF150" s="50" t="e">
        <f ca="1">VLOOKUP(Tableau1[[#This Row],[Key(ID-Actif)]],'DATA BTO'!A:N,9,FALSE)</f>
        <v>#N/A</v>
      </c>
      <c r="AG150" s="3" t="e">
        <f ca="1">VLOOKUP(Tableau1[[#This Row],[Key(ID-Actif)]],'DATA BTO'!A:N,10,FALSE)</f>
        <v>#N/A</v>
      </c>
      <c r="AH150" s="3" t="e">
        <f ca="1">VLOOKUP(Tableau1[[#This Row],[Key(ID-Actif)]],'DATA BTO'!A:N,11,FALSE)</f>
        <v>#N/A</v>
      </c>
      <c r="AI150" s="50" t="e">
        <f ca="1">VLOOKUP(Tableau1[[#This Row],[Key(ID-Actif)]],'DATA BTO'!A:N,12,FALSE)</f>
        <v>#N/A</v>
      </c>
      <c r="AJ150" s="53" t="e">
        <f ca="1">VLOOKUP(Tableau1[[#This Row],[Key(ID-Actif)]],'DATA BTO'!A:N,14,FALSE)</f>
        <v>#N/A</v>
      </c>
      <c r="AK150" s="54" t="e">
        <f ca="1">VLOOKUP(Tableau1[[#This Row],[Key(POD -PFI- Usine)]],'DATA Consignee'!A:F,6,FALSE)</f>
        <v>#N/A</v>
      </c>
      <c r="AL150" s="125"/>
      <c r="AM150" s="483" t="str">
        <f>IF(Tableau1[[#This Row],[Name PFI/CDD]]="","-",VLOOKUP(Tableau1[[#This Row],[Name PFI/CDD]],Plant_AILN!I:J,2,FALSE))</f>
        <v>-</v>
      </c>
      <c r="AN15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0" s="2" t="e">
        <f ca="1">VLOOKUP(Tableau1[[#This Row],[Key(POD -PFI- Usine)]],'DATA Consignee'!A:J,10,FALSE)</f>
        <v>#N/A</v>
      </c>
      <c r="AQ150" s="50" t="e">
        <f ca="1">VLOOKUP(Tableau1[[#This Row],[Key(POD -PFI- Usine)]],'DATA Consignee'!A:N,14,FALSE)</f>
        <v>#N/A</v>
      </c>
      <c r="AR15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0" s="50" t="e">
        <f ca="1">Tableau1[[#This Row],[Transit time]]+Tableau1[[#This Row],[Time for security]]+Tableau1[[#This Row],[Time for security2 buffer]]</f>
        <v>#N/A</v>
      </c>
      <c r="AU15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0" s="389" t="e">
        <f ca="1">Tableau1[[#This Row],[Leadtime SI2C]]+Tableau1[[#This Row],[First Receipt Days]]-Tableau1[[#This Row],[Day Customer Order]]+1</f>
        <v>#N/A</v>
      </c>
      <c r="AW150" s="117" t="e">
        <f ca="1">IF(Tableau1[[#This Row],[Name ILN]]&lt;&gt;"SFK Freight Forwarder",Tableau1[[#This Row],[Cust. Leadtime]],Tableau1[[#This Row],[Leadtime SI2C]])</f>
        <v>#N/A</v>
      </c>
      <c r="AX150" s="51" t="e">
        <f>VLOOKUP(Tableau1[[#This Row],[ID]],'DATA BTO'!B:P,15,FALSE)</f>
        <v>#N/A</v>
      </c>
      <c r="AY150" s="328" t="e">
        <f ca="1">IFERROR(VLOOKUP(Tableau1[[#This Row],[Key(ID-Actif)]],'DATA BTO'!A:N,4,FALSE),VLOOKUP(Tableau1[[#This Row],[ID]],'DATA BTO'!B:N,3,FALSE))</f>
        <v>#N/A</v>
      </c>
      <c r="AZ15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0" s="50"/>
    </row>
    <row r="151" spans="2:57">
      <c r="B151" s="65" t="str">
        <f>_xlfn.CONCAT(Tableau1[[#This Row],[Name ILN]],"-",Tableau1[[#This Row],[Name Shipper]],"-",Tableau1[[#This Row],[Name Site]])</f>
        <v>--</v>
      </c>
      <c r="C151" s="65" t="e">
        <f>_xlfn.CONCAT(Tableau1[[#This Row],[Compte ILN]],"-",Tableau1[[#This Row],[Compte Shipper]],"-",Tableau1[[#This Row],[POL]],"-",Tableau1[[#This Row],[Compte Consignee]])</f>
        <v>#N/A</v>
      </c>
      <c r="D151" s="64" t="e">
        <f>_xlfn.CONCAT(Tableau1[[#This Row],[Compte ILN]],"-",Tableau1[[#This Row],[Compte Shipper]],"-",Tableau1[[#This Row],[POL]])</f>
        <v>#N/A</v>
      </c>
      <c r="E151" s="396" t="e">
        <f ca="1">_xlfn.CONCAT(Tableau1[[#This Row],[POL]],"-",Tableau1[[#This Row],[Carrier]],"-",Tableau1[[#This Row],[POD]])</f>
        <v>#N/A</v>
      </c>
      <c r="F151" s="64" t="str">
        <f>_xlfn.CONCAT(Tableau1[[#This Row],[ID]],"-","Actif")</f>
        <v>-Actif</v>
      </c>
      <c r="G151" s="64" t="e">
        <f ca="1">_xlfn.CONCAT(Tableau1[[#This Row],[POD]],"-",Tableau1[[#This Row],[Code PFI]],"-",Tableau1[[#This Row],[Compte Consignee]])</f>
        <v>#N/A</v>
      </c>
      <c r="H15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1" s="397" t="str">
        <f ca="1">IF(COUNTIF(I:I,Tableau1[[#This Row],[Plant-ILN-shipper-POL-Carrier-POD-PFI]])=1,"Non","Oui")</f>
        <v>Oui</v>
      </c>
      <c r="K151" s="398" t="e">
        <f>VLOOKUP(Tableau1[[#This Row],[Name Site]],Plant_AILN!A:D,4,FALSE)</f>
        <v>#N/A</v>
      </c>
      <c r="L151" s="285"/>
      <c r="M151" s="480" t="e">
        <f>VLOOKUP(Tableau1[[#This Row],[Name Site]],Plant_AILN!A:C,3,FALSE)</f>
        <v>#N/A</v>
      </c>
      <c r="N151" s="55" t="e">
        <f>VLOOKUP(Tableau1[[#This Row],[Compte Consignee]],Order!C:D,2,FALSE)</f>
        <v>#N/A</v>
      </c>
      <c r="O151" s="114"/>
      <c r="P151" s="481" t="e">
        <f>VLOOKUP(Tableau1[[#This Row],[Name ILN]],Plant_AILN!F:G,2,FALSE)</f>
        <v>#N/A</v>
      </c>
      <c r="Q151" s="50" t="e">
        <f>VLOOKUP(Tableau1[[#This Row],[Compte ILN]],'DATA ILN'!D:I,6,FALSE)</f>
        <v>#N/A</v>
      </c>
      <c r="R151" s="50" t="e">
        <f>IFERROR(VLOOKUP(Tableau1[[#This Row],[Key(Compte ILN - shipper - POL - plant)]],'DATA ILN'!A:J,10,FALSE),VLOOKUP(Tableau1[[#This Row],[Key(Compte ILN - shipper - POL)]],'DATA ILN'!B:J,9,FALSE))</f>
        <v>#N/A</v>
      </c>
      <c r="S151" s="50" t="e">
        <f>IFERROR(VLOOKUP(Tableau1[[#This Row],[Key(Compte ILN - shipper - POL - plant)]],'DATA ILN'!A:K,11,FALSE),VLOOKUP(Tableau1[[#This Row],[Key(Compte ILN - shipper - POL)]],'DATA ILN'!B:K,10,FALSE))</f>
        <v>#N/A</v>
      </c>
      <c r="T151" s="50" t="e">
        <f>IFERROR(VLOOKUP(Tableau1[[#This Row],[Key(Compte ILN - shipper - POL - plant)]],'DATA ILN'!A:L,12,FALSE),VLOOKUP(Tableau1[[#This Row],[Key(Compte ILN - shipper - POL)]],'DATA ILN'!B:L,11,FALSE))</f>
        <v>#N/A</v>
      </c>
      <c r="U151" s="50" t="e">
        <f>Tableau1[[#This Row],[Day ILN Order]]+Tableau1[[#This Row],[Delivery time to ILN/Shipper]]-1</f>
        <v>#N/A</v>
      </c>
      <c r="V151" s="50" t="e">
        <f>IFERROR(VLOOKUP(Tableau1[[#This Row],[Key(Compte ILN - shipper - POL - plant)]],'DATA ILN'!A:N,14,FALSE),VLOOKUP(Tableau1[[#This Row],[Key(Compte ILN - shipper - POL)]],'DATA ILN'!B:N,13,FALSE))</f>
        <v>#N/A</v>
      </c>
      <c r="W151" s="53" t="e">
        <f>IFERROR(VLOOKUP(Tableau1[[#This Row],[Key(Compte ILN - shipper - POL - plant)]],'DATA ILN'!A:P,16,FALSE),VLOOKUP(Tableau1[[#This Row],[Key(Compte ILN - shipper - POL)]],'DATA ILN'!B:P,15,FALSE))</f>
        <v>#N/A</v>
      </c>
      <c r="X151" s="283"/>
      <c r="Y151" s="482">
        <f>IFERROR(VLOOKUP(Tableau1[[#This Row],[Name Shipper]],Plant_AILN!L:M,2,FALSE),0)</f>
        <v>0</v>
      </c>
      <c r="Z151" s="358"/>
      <c r="AA151" s="353" t="e">
        <f ca="1">VLOOKUP(Tableau1[[#This Row],[Key(ID-Actif)]],'DATA BTO'!A:N,5,FALSE)</f>
        <v>#N/A</v>
      </c>
      <c r="AB151" s="3" t="e">
        <f ca="1">VLOOKUP(Tableau1[[#This Row],[Key(ID-Actif)]],'DATA BTO'!A:N,6,FALSE)</f>
        <v>#N/A</v>
      </c>
      <c r="AC151" s="50" t="e">
        <f ca="1">VLOOKUP(Tableau1[[#This Row],[Key(ID-Actif)]],'DATA BTO'!A:N,7,FALSE)</f>
        <v>#N/A</v>
      </c>
      <c r="AD151" s="50" t="e">
        <f ca="1">VLOOKUP(Tableau1[[#This Row],[Key(ID-Actif)]],'DATA BTO'!A:N,8,FALSE)</f>
        <v>#N/A</v>
      </c>
      <c r="AE151" s="50" t="e">
        <f ca="1">IF(Tableau1[[#This Row],[First Day to POL]]&lt;=Tableau1[[#This Row],[Day Cut Off]],Tableau1[[#This Row],[Day ETD]],Tableau1[[#This Row],[Day ETD]]+7)</f>
        <v>#N/A</v>
      </c>
      <c r="AF151" s="50" t="e">
        <f ca="1">VLOOKUP(Tableau1[[#This Row],[Key(ID-Actif)]],'DATA BTO'!A:N,9,FALSE)</f>
        <v>#N/A</v>
      </c>
      <c r="AG151" s="3" t="e">
        <f ca="1">VLOOKUP(Tableau1[[#This Row],[Key(ID-Actif)]],'DATA BTO'!A:N,10,FALSE)</f>
        <v>#N/A</v>
      </c>
      <c r="AH151" s="3" t="e">
        <f ca="1">VLOOKUP(Tableau1[[#This Row],[Key(ID-Actif)]],'DATA BTO'!A:N,11,FALSE)</f>
        <v>#N/A</v>
      </c>
      <c r="AI151" s="50" t="e">
        <f ca="1">VLOOKUP(Tableau1[[#This Row],[Key(ID-Actif)]],'DATA BTO'!A:N,12,FALSE)</f>
        <v>#N/A</v>
      </c>
      <c r="AJ151" s="53" t="e">
        <f ca="1">VLOOKUP(Tableau1[[#This Row],[Key(ID-Actif)]],'DATA BTO'!A:N,14,FALSE)</f>
        <v>#N/A</v>
      </c>
      <c r="AK151" s="54" t="e">
        <f ca="1">VLOOKUP(Tableau1[[#This Row],[Key(POD -PFI- Usine)]],'DATA Consignee'!A:F,6,FALSE)</f>
        <v>#N/A</v>
      </c>
      <c r="AL151" s="125"/>
      <c r="AM151" s="483" t="str">
        <f>IF(Tableau1[[#This Row],[Name PFI/CDD]]="","-",VLOOKUP(Tableau1[[#This Row],[Name PFI/CDD]],Plant_AILN!I:J,2,FALSE))</f>
        <v>-</v>
      </c>
      <c r="AN15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1" s="2" t="e">
        <f ca="1">VLOOKUP(Tableau1[[#This Row],[Key(POD -PFI- Usine)]],'DATA Consignee'!A:J,10,FALSE)</f>
        <v>#N/A</v>
      </c>
      <c r="AQ151" s="50" t="e">
        <f ca="1">VLOOKUP(Tableau1[[#This Row],[Key(POD -PFI- Usine)]],'DATA Consignee'!A:N,14,FALSE)</f>
        <v>#N/A</v>
      </c>
      <c r="AR15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1" s="50" t="e">
        <f ca="1">Tableau1[[#This Row],[Transit time]]+Tableau1[[#This Row],[Time for security]]+Tableau1[[#This Row],[Time for security2 buffer]]</f>
        <v>#N/A</v>
      </c>
      <c r="AU15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1" s="389" t="e">
        <f ca="1">Tableau1[[#This Row],[Leadtime SI2C]]+Tableau1[[#This Row],[First Receipt Days]]-Tableau1[[#This Row],[Day Customer Order]]+1</f>
        <v>#N/A</v>
      </c>
      <c r="AW151" s="117" t="e">
        <f ca="1">IF(Tableau1[[#This Row],[Name ILN]]&lt;&gt;"SFK Freight Forwarder",Tableau1[[#This Row],[Cust. Leadtime]],Tableau1[[#This Row],[Leadtime SI2C]])</f>
        <v>#N/A</v>
      </c>
      <c r="AX151" s="51" t="e">
        <f>VLOOKUP(Tableau1[[#This Row],[ID]],'DATA BTO'!B:P,15,FALSE)</f>
        <v>#N/A</v>
      </c>
      <c r="AY151" s="328" t="e">
        <f ca="1">IFERROR(VLOOKUP(Tableau1[[#This Row],[Key(ID-Actif)]],'DATA BTO'!A:N,4,FALSE),VLOOKUP(Tableau1[[#This Row],[ID]],'DATA BTO'!B:N,3,FALSE))</f>
        <v>#N/A</v>
      </c>
      <c r="AZ15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1" s="50"/>
    </row>
    <row r="152" spans="2:57">
      <c r="B152" s="65" t="str">
        <f>_xlfn.CONCAT(Tableau1[[#This Row],[Name ILN]],"-",Tableau1[[#This Row],[Name Shipper]],"-",Tableau1[[#This Row],[Name Site]])</f>
        <v>--</v>
      </c>
      <c r="C152" s="65" t="e">
        <f>_xlfn.CONCAT(Tableau1[[#This Row],[Compte ILN]],"-",Tableau1[[#This Row],[Compte Shipper]],"-",Tableau1[[#This Row],[POL]],"-",Tableau1[[#This Row],[Compte Consignee]])</f>
        <v>#N/A</v>
      </c>
      <c r="D152" s="64" t="e">
        <f>_xlfn.CONCAT(Tableau1[[#This Row],[Compte ILN]],"-",Tableau1[[#This Row],[Compte Shipper]],"-",Tableau1[[#This Row],[POL]])</f>
        <v>#N/A</v>
      </c>
      <c r="E152" s="396" t="e">
        <f ca="1">_xlfn.CONCAT(Tableau1[[#This Row],[POL]],"-",Tableau1[[#This Row],[Carrier]],"-",Tableau1[[#This Row],[POD]])</f>
        <v>#N/A</v>
      </c>
      <c r="F152" s="64" t="str">
        <f>_xlfn.CONCAT(Tableau1[[#This Row],[ID]],"-","Actif")</f>
        <v>-Actif</v>
      </c>
      <c r="G152" s="64" t="e">
        <f ca="1">_xlfn.CONCAT(Tableau1[[#This Row],[POD]],"-",Tableau1[[#This Row],[Code PFI]],"-",Tableau1[[#This Row],[Compte Consignee]])</f>
        <v>#N/A</v>
      </c>
      <c r="H15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2" s="397" t="str">
        <f ca="1">IF(COUNTIF(I:I,Tableau1[[#This Row],[Plant-ILN-shipper-POL-Carrier-POD-PFI]])=1,"Non","Oui")</f>
        <v>Oui</v>
      </c>
      <c r="K152" s="398" t="e">
        <f>VLOOKUP(Tableau1[[#This Row],[Name Site]],Plant_AILN!A:D,4,FALSE)</f>
        <v>#N/A</v>
      </c>
      <c r="L152" s="285"/>
      <c r="M152" s="480" t="e">
        <f>VLOOKUP(Tableau1[[#This Row],[Name Site]],Plant_AILN!A:C,3,FALSE)</f>
        <v>#N/A</v>
      </c>
      <c r="N152" s="55" t="e">
        <f>VLOOKUP(Tableau1[[#This Row],[Compte Consignee]],Order!C:D,2,FALSE)</f>
        <v>#N/A</v>
      </c>
      <c r="O152" s="114"/>
      <c r="P152" s="481" t="e">
        <f>VLOOKUP(Tableau1[[#This Row],[Name ILN]],Plant_AILN!F:G,2,FALSE)</f>
        <v>#N/A</v>
      </c>
      <c r="Q152" s="50" t="e">
        <f>VLOOKUP(Tableau1[[#This Row],[Compte ILN]],'DATA ILN'!D:I,6,FALSE)</f>
        <v>#N/A</v>
      </c>
      <c r="R152" s="50" t="e">
        <f>IFERROR(VLOOKUP(Tableau1[[#This Row],[Key(Compte ILN - shipper - POL - plant)]],'DATA ILN'!A:J,10,FALSE),VLOOKUP(Tableau1[[#This Row],[Key(Compte ILN - shipper - POL)]],'DATA ILN'!B:J,9,FALSE))</f>
        <v>#N/A</v>
      </c>
      <c r="S152" s="50" t="e">
        <f>IFERROR(VLOOKUP(Tableau1[[#This Row],[Key(Compte ILN - shipper - POL - plant)]],'DATA ILN'!A:K,11,FALSE),VLOOKUP(Tableau1[[#This Row],[Key(Compte ILN - shipper - POL)]],'DATA ILN'!B:K,10,FALSE))</f>
        <v>#N/A</v>
      </c>
      <c r="T152" s="50" t="e">
        <f>IFERROR(VLOOKUP(Tableau1[[#This Row],[Key(Compte ILN - shipper - POL - plant)]],'DATA ILN'!A:L,12,FALSE),VLOOKUP(Tableau1[[#This Row],[Key(Compte ILN - shipper - POL)]],'DATA ILN'!B:L,11,FALSE))</f>
        <v>#N/A</v>
      </c>
      <c r="U152" s="50" t="e">
        <f>Tableau1[[#This Row],[Day ILN Order]]+Tableau1[[#This Row],[Delivery time to ILN/Shipper]]-1</f>
        <v>#N/A</v>
      </c>
      <c r="V152" s="50" t="e">
        <f>IFERROR(VLOOKUP(Tableau1[[#This Row],[Key(Compte ILN - shipper - POL - plant)]],'DATA ILN'!A:N,14,FALSE),VLOOKUP(Tableau1[[#This Row],[Key(Compte ILN - shipper - POL)]],'DATA ILN'!B:N,13,FALSE))</f>
        <v>#N/A</v>
      </c>
      <c r="W152" s="53" t="e">
        <f>IFERROR(VLOOKUP(Tableau1[[#This Row],[Key(Compte ILN - shipper - POL - plant)]],'DATA ILN'!A:P,16,FALSE),VLOOKUP(Tableau1[[#This Row],[Key(Compte ILN - shipper - POL)]],'DATA ILN'!B:P,15,FALSE))</f>
        <v>#N/A</v>
      </c>
      <c r="X152" s="283"/>
      <c r="Y152" s="482">
        <f>IFERROR(VLOOKUP(Tableau1[[#This Row],[Name Shipper]],Plant_AILN!L:M,2,FALSE),0)</f>
        <v>0</v>
      </c>
      <c r="Z152" s="358"/>
      <c r="AA152" s="353" t="e">
        <f ca="1">VLOOKUP(Tableau1[[#This Row],[Key(ID-Actif)]],'DATA BTO'!A:N,5,FALSE)</f>
        <v>#N/A</v>
      </c>
      <c r="AB152" s="3" t="e">
        <f ca="1">VLOOKUP(Tableau1[[#This Row],[Key(ID-Actif)]],'DATA BTO'!A:N,6,FALSE)</f>
        <v>#N/A</v>
      </c>
      <c r="AC152" s="50" t="e">
        <f ca="1">VLOOKUP(Tableau1[[#This Row],[Key(ID-Actif)]],'DATA BTO'!A:N,7,FALSE)</f>
        <v>#N/A</v>
      </c>
      <c r="AD152" s="50" t="e">
        <f ca="1">VLOOKUP(Tableau1[[#This Row],[Key(ID-Actif)]],'DATA BTO'!A:N,8,FALSE)</f>
        <v>#N/A</v>
      </c>
      <c r="AE152" s="50" t="e">
        <f ca="1">IF(Tableau1[[#This Row],[First Day to POL]]&lt;=Tableau1[[#This Row],[Day Cut Off]],Tableau1[[#This Row],[Day ETD]],Tableau1[[#This Row],[Day ETD]]+7)</f>
        <v>#N/A</v>
      </c>
      <c r="AF152" s="50" t="e">
        <f ca="1">VLOOKUP(Tableau1[[#This Row],[Key(ID-Actif)]],'DATA BTO'!A:N,9,FALSE)</f>
        <v>#N/A</v>
      </c>
      <c r="AG152" s="3" t="e">
        <f ca="1">VLOOKUP(Tableau1[[#This Row],[Key(ID-Actif)]],'DATA BTO'!A:N,10,FALSE)</f>
        <v>#N/A</v>
      </c>
      <c r="AH152" s="3" t="e">
        <f ca="1">VLOOKUP(Tableau1[[#This Row],[Key(ID-Actif)]],'DATA BTO'!A:N,11,FALSE)</f>
        <v>#N/A</v>
      </c>
      <c r="AI152" s="50" t="e">
        <f ca="1">VLOOKUP(Tableau1[[#This Row],[Key(ID-Actif)]],'DATA BTO'!A:N,12,FALSE)</f>
        <v>#N/A</v>
      </c>
      <c r="AJ152" s="53" t="e">
        <f ca="1">VLOOKUP(Tableau1[[#This Row],[Key(ID-Actif)]],'DATA BTO'!A:N,14,FALSE)</f>
        <v>#N/A</v>
      </c>
      <c r="AK152" s="54" t="e">
        <f ca="1">VLOOKUP(Tableau1[[#This Row],[Key(POD -PFI- Usine)]],'DATA Consignee'!A:F,6,FALSE)</f>
        <v>#N/A</v>
      </c>
      <c r="AL152" s="125"/>
      <c r="AM152" s="483" t="str">
        <f>IF(Tableau1[[#This Row],[Name PFI/CDD]]="","-",VLOOKUP(Tableau1[[#This Row],[Name PFI/CDD]],Plant_AILN!I:J,2,FALSE))</f>
        <v>-</v>
      </c>
      <c r="AN15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2" s="2" t="e">
        <f ca="1">VLOOKUP(Tableau1[[#This Row],[Key(POD -PFI- Usine)]],'DATA Consignee'!A:J,10,FALSE)</f>
        <v>#N/A</v>
      </c>
      <c r="AQ152" s="50" t="e">
        <f ca="1">VLOOKUP(Tableau1[[#This Row],[Key(POD -PFI- Usine)]],'DATA Consignee'!A:N,14,FALSE)</f>
        <v>#N/A</v>
      </c>
      <c r="AR15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2" s="50" t="e">
        <f ca="1">Tableau1[[#This Row],[Transit time]]+Tableau1[[#This Row],[Time for security]]+Tableau1[[#This Row],[Time for security2 buffer]]</f>
        <v>#N/A</v>
      </c>
      <c r="AU15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2" s="389" t="e">
        <f ca="1">Tableau1[[#This Row],[Leadtime SI2C]]+Tableau1[[#This Row],[First Receipt Days]]-Tableau1[[#This Row],[Day Customer Order]]+1</f>
        <v>#N/A</v>
      </c>
      <c r="AW152" s="117" t="e">
        <f ca="1">IF(Tableau1[[#This Row],[Name ILN]]&lt;&gt;"SFK Freight Forwarder",Tableau1[[#This Row],[Cust. Leadtime]],Tableau1[[#This Row],[Leadtime SI2C]])</f>
        <v>#N/A</v>
      </c>
      <c r="AX152" s="51" t="e">
        <f>VLOOKUP(Tableau1[[#This Row],[ID]],'DATA BTO'!B:P,15,FALSE)</f>
        <v>#N/A</v>
      </c>
      <c r="AY152" s="328" t="e">
        <f ca="1">IFERROR(VLOOKUP(Tableau1[[#This Row],[Key(ID-Actif)]],'DATA BTO'!A:N,4,FALSE),VLOOKUP(Tableau1[[#This Row],[ID]],'DATA BTO'!B:N,3,FALSE))</f>
        <v>#N/A</v>
      </c>
      <c r="AZ15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2" s="50"/>
    </row>
    <row r="153" spans="2:57">
      <c r="B153" s="65" t="str">
        <f>_xlfn.CONCAT(Tableau1[[#This Row],[Name ILN]],"-",Tableau1[[#This Row],[Name Shipper]],"-",Tableau1[[#This Row],[Name Site]])</f>
        <v>--</v>
      </c>
      <c r="C153" s="65" t="e">
        <f>_xlfn.CONCAT(Tableau1[[#This Row],[Compte ILN]],"-",Tableau1[[#This Row],[Compte Shipper]],"-",Tableau1[[#This Row],[POL]],"-",Tableau1[[#This Row],[Compte Consignee]])</f>
        <v>#N/A</v>
      </c>
      <c r="D153" s="64" t="e">
        <f>_xlfn.CONCAT(Tableau1[[#This Row],[Compte ILN]],"-",Tableau1[[#This Row],[Compte Shipper]],"-",Tableau1[[#This Row],[POL]])</f>
        <v>#N/A</v>
      </c>
      <c r="E153" s="396" t="e">
        <f ca="1">_xlfn.CONCAT(Tableau1[[#This Row],[POL]],"-",Tableau1[[#This Row],[Carrier]],"-",Tableau1[[#This Row],[POD]])</f>
        <v>#N/A</v>
      </c>
      <c r="F153" s="64" t="str">
        <f>_xlfn.CONCAT(Tableau1[[#This Row],[ID]],"-","Actif")</f>
        <v>-Actif</v>
      </c>
      <c r="G153" s="64" t="e">
        <f ca="1">_xlfn.CONCAT(Tableau1[[#This Row],[POD]],"-",Tableau1[[#This Row],[Code PFI]],"-",Tableau1[[#This Row],[Compte Consignee]])</f>
        <v>#N/A</v>
      </c>
      <c r="H15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3" s="397" t="str">
        <f ca="1">IF(COUNTIF(I:I,Tableau1[[#This Row],[Plant-ILN-shipper-POL-Carrier-POD-PFI]])=1,"Non","Oui")</f>
        <v>Oui</v>
      </c>
      <c r="K153" s="126" t="e">
        <f>VLOOKUP(Tableau1[[#This Row],[Name Site]],Plant_AILN!A:D,4,FALSE)</f>
        <v>#N/A</v>
      </c>
      <c r="L153" s="10"/>
      <c r="M153" s="480" t="e">
        <f>VLOOKUP(Tableau1[[#This Row],[Name Site]],Plant_AILN!A:C,3,FALSE)</f>
        <v>#N/A</v>
      </c>
      <c r="N153" s="55" t="e">
        <f>VLOOKUP(Tableau1[[#This Row],[Compte Consignee]],Order!C:D,2,FALSE)</f>
        <v>#N/A</v>
      </c>
      <c r="O153" s="114"/>
      <c r="P153" s="481" t="e">
        <f>VLOOKUP(Tableau1[[#This Row],[Name ILN]],Plant_AILN!F:G,2,FALSE)</f>
        <v>#N/A</v>
      </c>
      <c r="Q153" s="50" t="e">
        <f>VLOOKUP(Tableau1[[#This Row],[Compte ILN]],'DATA ILN'!D:I,6,FALSE)</f>
        <v>#N/A</v>
      </c>
      <c r="R153" s="50" t="e">
        <f>IFERROR(VLOOKUP(Tableau1[[#This Row],[Key(Compte ILN - shipper - POL - plant)]],'DATA ILN'!A:J,10,FALSE),VLOOKUP(Tableau1[[#This Row],[Key(Compte ILN - shipper - POL)]],'DATA ILN'!B:J,9,FALSE))</f>
        <v>#N/A</v>
      </c>
      <c r="S153" s="50" t="e">
        <f>IFERROR(VLOOKUP(Tableau1[[#This Row],[Key(Compte ILN - shipper - POL - plant)]],'DATA ILN'!A:K,11,FALSE),VLOOKUP(Tableau1[[#This Row],[Key(Compte ILN - shipper - POL)]],'DATA ILN'!B:K,10,FALSE))</f>
        <v>#N/A</v>
      </c>
      <c r="T153" s="50" t="e">
        <f>IFERROR(VLOOKUP(Tableau1[[#This Row],[Key(Compte ILN - shipper - POL - plant)]],'DATA ILN'!A:L,12,FALSE),VLOOKUP(Tableau1[[#This Row],[Key(Compte ILN - shipper - POL)]],'DATA ILN'!B:L,11,FALSE))</f>
        <v>#N/A</v>
      </c>
      <c r="U153" s="50" t="e">
        <f>Tableau1[[#This Row],[Day ILN Order]]+Tableau1[[#This Row],[Delivery time to ILN/Shipper]]-1</f>
        <v>#N/A</v>
      </c>
      <c r="V153" s="50" t="e">
        <f>IFERROR(VLOOKUP(Tableau1[[#This Row],[Key(Compte ILN - shipper - POL - plant)]],'DATA ILN'!A:N,14,FALSE),VLOOKUP(Tableau1[[#This Row],[Key(Compte ILN - shipper - POL)]],'DATA ILN'!B:N,13,FALSE))</f>
        <v>#N/A</v>
      </c>
      <c r="W153" s="53" t="e">
        <f>IFERROR(VLOOKUP(Tableau1[[#This Row],[Key(Compte ILN - shipper - POL - plant)]],'DATA ILN'!A:P,16,FALSE),VLOOKUP(Tableau1[[#This Row],[Key(Compte ILN - shipper - POL)]],'DATA ILN'!B:P,15,FALSE))</f>
        <v>#N/A</v>
      </c>
      <c r="X153" s="283"/>
      <c r="Y153" s="482">
        <f>IFERROR(VLOOKUP(Tableau1[[#This Row],[Name Shipper]],Plant_AILN!L:M,2,FALSE),0)</f>
        <v>0</v>
      </c>
      <c r="Z153" s="358"/>
      <c r="AA153" s="353" t="e">
        <f ca="1">VLOOKUP(Tableau1[[#This Row],[Key(ID-Actif)]],'DATA BTO'!A:N,5,FALSE)</f>
        <v>#N/A</v>
      </c>
      <c r="AB153" s="3" t="e">
        <f ca="1">VLOOKUP(Tableau1[[#This Row],[Key(ID-Actif)]],'DATA BTO'!A:N,6,FALSE)</f>
        <v>#N/A</v>
      </c>
      <c r="AC153" s="50" t="e">
        <f ca="1">VLOOKUP(Tableau1[[#This Row],[Key(ID-Actif)]],'DATA BTO'!A:N,7,FALSE)</f>
        <v>#N/A</v>
      </c>
      <c r="AD153" s="50" t="e">
        <f ca="1">VLOOKUP(Tableau1[[#This Row],[Key(ID-Actif)]],'DATA BTO'!A:N,8,FALSE)</f>
        <v>#N/A</v>
      </c>
      <c r="AE153" s="50" t="e">
        <f ca="1">IF(Tableau1[[#This Row],[First Day to POL]]&lt;=Tableau1[[#This Row],[Day Cut Off]],Tableau1[[#This Row],[Day ETD]],Tableau1[[#This Row],[Day ETD]]+7)</f>
        <v>#N/A</v>
      </c>
      <c r="AF153" s="50" t="e">
        <f ca="1">VLOOKUP(Tableau1[[#This Row],[Key(ID-Actif)]],'DATA BTO'!A:N,9,FALSE)</f>
        <v>#N/A</v>
      </c>
      <c r="AG153" s="3" t="e">
        <f ca="1">VLOOKUP(Tableau1[[#This Row],[Key(ID-Actif)]],'DATA BTO'!A:N,10,FALSE)</f>
        <v>#N/A</v>
      </c>
      <c r="AH153" s="3" t="e">
        <f ca="1">VLOOKUP(Tableau1[[#This Row],[Key(ID-Actif)]],'DATA BTO'!A:N,11,FALSE)</f>
        <v>#N/A</v>
      </c>
      <c r="AI153" s="50" t="e">
        <f ca="1">VLOOKUP(Tableau1[[#This Row],[Key(ID-Actif)]],'DATA BTO'!A:N,12,FALSE)</f>
        <v>#N/A</v>
      </c>
      <c r="AJ153" s="53" t="e">
        <f ca="1">VLOOKUP(Tableau1[[#This Row],[Key(ID-Actif)]],'DATA BTO'!A:N,14,FALSE)</f>
        <v>#N/A</v>
      </c>
      <c r="AK153" s="54" t="e">
        <f ca="1">VLOOKUP(Tableau1[[#This Row],[Key(POD -PFI- Usine)]],'DATA Consignee'!A:F,6,FALSE)</f>
        <v>#N/A</v>
      </c>
      <c r="AL153" s="125"/>
      <c r="AM153" s="483" t="str">
        <f>IF(Tableau1[[#This Row],[Name PFI/CDD]]="","-",VLOOKUP(Tableau1[[#This Row],[Name PFI/CDD]],Plant_AILN!I:J,2,FALSE))</f>
        <v>-</v>
      </c>
      <c r="AN15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3" s="2" t="e">
        <f ca="1">VLOOKUP(Tableau1[[#This Row],[Key(POD -PFI- Usine)]],'DATA Consignee'!A:J,10,FALSE)</f>
        <v>#N/A</v>
      </c>
      <c r="AQ153" s="50" t="e">
        <f ca="1">VLOOKUP(Tableau1[[#This Row],[Key(POD -PFI- Usine)]],'DATA Consignee'!A:N,14,FALSE)</f>
        <v>#N/A</v>
      </c>
      <c r="AR15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3" s="50" t="e">
        <f ca="1">Tableau1[[#This Row],[Transit time]]+Tableau1[[#This Row],[Time for security]]+Tableau1[[#This Row],[Time for security2 buffer]]</f>
        <v>#N/A</v>
      </c>
      <c r="AU15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3" s="389" t="e">
        <f ca="1">Tableau1[[#This Row],[Leadtime SI2C]]+Tableau1[[#This Row],[First Receipt Days]]-Tableau1[[#This Row],[Day Customer Order]]+1</f>
        <v>#N/A</v>
      </c>
      <c r="AW153" s="117" t="e">
        <f ca="1">IF(Tableau1[[#This Row],[Name ILN]]&lt;&gt;"SFK Freight Forwarder",Tableau1[[#This Row],[Cust. Leadtime]],Tableau1[[#This Row],[Leadtime SI2C]])</f>
        <v>#N/A</v>
      </c>
      <c r="AX153" s="51" t="e">
        <f>VLOOKUP(Tableau1[[#This Row],[ID]],'DATA BTO'!B:P,15,FALSE)</f>
        <v>#N/A</v>
      </c>
      <c r="AY153" s="328" t="e">
        <f ca="1">IFERROR(VLOOKUP(Tableau1[[#This Row],[Key(ID-Actif)]],'DATA BTO'!A:N,4,FALSE),VLOOKUP(Tableau1[[#This Row],[ID]],'DATA BTO'!B:N,3,FALSE))</f>
        <v>#N/A</v>
      </c>
      <c r="AZ15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3" s="50"/>
    </row>
    <row r="154" spans="2:57">
      <c r="B154" s="65" t="str">
        <f>_xlfn.CONCAT(Tableau1[[#This Row],[Name ILN]],"-",Tableau1[[#This Row],[Name Shipper]],"-",Tableau1[[#This Row],[Name Site]])</f>
        <v>--</v>
      </c>
      <c r="C154" s="65" t="e">
        <f>_xlfn.CONCAT(Tableau1[[#This Row],[Compte ILN]],"-",Tableau1[[#This Row],[Compte Shipper]],"-",Tableau1[[#This Row],[POL]],"-",Tableau1[[#This Row],[Compte Consignee]])</f>
        <v>#N/A</v>
      </c>
      <c r="D154" s="64" t="e">
        <f>_xlfn.CONCAT(Tableau1[[#This Row],[Compte ILN]],"-",Tableau1[[#This Row],[Compte Shipper]],"-",Tableau1[[#This Row],[POL]])</f>
        <v>#N/A</v>
      </c>
      <c r="E154" s="396" t="e">
        <f ca="1">_xlfn.CONCAT(Tableau1[[#This Row],[POL]],"-",Tableau1[[#This Row],[Carrier]],"-",Tableau1[[#This Row],[POD]])</f>
        <v>#N/A</v>
      </c>
      <c r="F154" s="64" t="str">
        <f>_xlfn.CONCAT(Tableau1[[#This Row],[ID]],"-","Actif")</f>
        <v>-Actif</v>
      </c>
      <c r="G154" s="64" t="e">
        <f ca="1">_xlfn.CONCAT(Tableau1[[#This Row],[POD]],"-",Tableau1[[#This Row],[Code PFI]],"-",Tableau1[[#This Row],[Compte Consignee]])</f>
        <v>#N/A</v>
      </c>
      <c r="H15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4" s="397" t="str">
        <f ca="1">IF(COUNTIF(I:I,Tableau1[[#This Row],[Plant-ILN-shipper-POL-Carrier-POD-PFI]])=1,"Non","Oui")</f>
        <v>Oui</v>
      </c>
      <c r="K154" s="398" t="e">
        <f>VLOOKUP(Tableau1[[#This Row],[Name Site]],Plant_AILN!A:D,4,FALSE)</f>
        <v>#N/A</v>
      </c>
      <c r="L154" s="285"/>
      <c r="M154" s="480" t="e">
        <f>VLOOKUP(Tableau1[[#This Row],[Name Site]],Plant_AILN!A:C,3,FALSE)</f>
        <v>#N/A</v>
      </c>
      <c r="N154" s="55" t="e">
        <f>VLOOKUP(Tableau1[[#This Row],[Compte Consignee]],Order!C:D,2,FALSE)</f>
        <v>#N/A</v>
      </c>
      <c r="O154" s="114"/>
      <c r="P154" s="481" t="e">
        <f>VLOOKUP(Tableau1[[#This Row],[Name ILN]],Plant_AILN!F:G,2,FALSE)</f>
        <v>#N/A</v>
      </c>
      <c r="Q154" s="50" t="e">
        <f>VLOOKUP(Tableau1[[#This Row],[Compte ILN]],'DATA ILN'!D:I,6,FALSE)</f>
        <v>#N/A</v>
      </c>
      <c r="R154" s="50" t="e">
        <f>IFERROR(VLOOKUP(Tableau1[[#This Row],[Key(Compte ILN - shipper - POL - plant)]],'DATA ILN'!A:J,10,FALSE),VLOOKUP(Tableau1[[#This Row],[Key(Compte ILN - shipper - POL)]],'DATA ILN'!B:J,9,FALSE))</f>
        <v>#N/A</v>
      </c>
      <c r="S154" s="50" t="e">
        <f>IFERROR(VLOOKUP(Tableau1[[#This Row],[Key(Compte ILN - shipper - POL - plant)]],'DATA ILN'!A:K,11,FALSE),VLOOKUP(Tableau1[[#This Row],[Key(Compte ILN - shipper - POL)]],'DATA ILN'!B:K,10,FALSE))</f>
        <v>#N/A</v>
      </c>
      <c r="T154" s="50" t="e">
        <f>IFERROR(VLOOKUP(Tableau1[[#This Row],[Key(Compte ILN - shipper - POL - plant)]],'DATA ILN'!A:L,12,FALSE),VLOOKUP(Tableau1[[#This Row],[Key(Compte ILN - shipper - POL)]],'DATA ILN'!B:L,11,FALSE))</f>
        <v>#N/A</v>
      </c>
      <c r="U154" s="50" t="e">
        <f>Tableau1[[#This Row],[Day ILN Order]]+Tableau1[[#This Row],[Delivery time to ILN/Shipper]]-1</f>
        <v>#N/A</v>
      </c>
      <c r="V154" s="50" t="e">
        <f>IFERROR(VLOOKUP(Tableau1[[#This Row],[Key(Compte ILN - shipper - POL - plant)]],'DATA ILN'!A:N,14,FALSE),VLOOKUP(Tableau1[[#This Row],[Key(Compte ILN - shipper - POL)]],'DATA ILN'!B:N,13,FALSE))</f>
        <v>#N/A</v>
      </c>
      <c r="W154" s="53" t="e">
        <f>IFERROR(VLOOKUP(Tableau1[[#This Row],[Key(Compte ILN - shipper - POL - plant)]],'DATA ILN'!A:P,16,FALSE),VLOOKUP(Tableau1[[#This Row],[Key(Compte ILN - shipper - POL)]],'DATA ILN'!B:P,15,FALSE))</f>
        <v>#N/A</v>
      </c>
      <c r="X154" s="283"/>
      <c r="Y154" s="482">
        <f>IFERROR(VLOOKUP(Tableau1[[#This Row],[Name Shipper]],Plant_AILN!L:M,2,FALSE),0)</f>
        <v>0</v>
      </c>
      <c r="Z154" s="358"/>
      <c r="AA154" s="353" t="e">
        <f ca="1">VLOOKUP(Tableau1[[#This Row],[Key(ID-Actif)]],'DATA BTO'!A:N,5,FALSE)</f>
        <v>#N/A</v>
      </c>
      <c r="AB154" s="3" t="e">
        <f ca="1">VLOOKUP(Tableau1[[#This Row],[Key(ID-Actif)]],'DATA BTO'!A:N,6,FALSE)</f>
        <v>#N/A</v>
      </c>
      <c r="AC154" s="50" t="e">
        <f ca="1">VLOOKUP(Tableau1[[#This Row],[Key(ID-Actif)]],'DATA BTO'!A:N,7,FALSE)</f>
        <v>#N/A</v>
      </c>
      <c r="AD154" s="50" t="e">
        <f ca="1">VLOOKUP(Tableau1[[#This Row],[Key(ID-Actif)]],'DATA BTO'!A:N,8,FALSE)</f>
        <v>#N/A</v>
      </c>
      <c r="AE154" s="50" t="e">
        <f ca="1">IF(Tableau1[[#This Row],[First Day to POL]]&lt;=Tableau1[[#This Row],[Day Cut Off]],Tableau1[[#This Row],[Day ETD]],Tableau1[[#This Row],[Day ETD]]+7)</f>
        <v>#N/A</v>
      </c>
      <c r="AF154" s="50" t="e">
        <f ca="1">VLOOKUP(Tableau1[[#This Row],[Key(ID-Actif)]],'DATA BTO'!A:N,9,FALSE)</f>
        <v>#N/A</v>
      </c>
      <c r="AG154" s="3" t="e">
        <f ca="1">VLOOKUP(Tableau1[[#This Row],[Key(ID-Actif)]],'DATA BTO'!A:N,10,FALSE)</f>
        <v>#N/A</v>
      </c>
      <c r="AH154" s="3" t="e">
        <f ca="1">VLOOKUP(Tableau1[[#This Row],[Key(ID-Actif)]],'DATA BTO'!A:N,11,FALSE)</f>
        <v>#N/A</v>
      </c>
      <c r="AI154" s="50" t="e">
        <f ca="1">VLOOKUP(Tableau1[[#This Row],[Key(ID-Actif)]],'DATA BTO'!A:N,12,FALSE)</f>
        <v>#N/A</v>
      </c>
      <c r="AJ154" s="53" t="e">
        <f ca="1">VLOOKUP(Tableau1[[#This Row],[Key(ID-Actif)]],'DATA BTO'!A:N,14,FALSE)</f>
        <v>#N/A</v>
      </c>
      <c r="AK154" s="54" t="e">
        <f ca="1">VLOOKUP(Tableau1[[#This Row],[Key(POD -PFI- Usine)]],'DATA Consignee'!A:F,6,FALSE)</f>
        <v>#N/A</v>
      </c>
      <c r="AL154" s="125"/>
      <c r="AM154" s="483" t="str">
        <f>IF(Tableau1[[#This Row],[Name PFI/CDD]]="","-",VLOOKUP(Tableau1[[#This Row],[Name PFI/CDD]],Plant_AILN!I:J,2,FALSE))</f>
        <v>-</v>
      </c>
      <c r="AN15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4" s="2" t="e">
        <f ca="1">VLOOKUP(Tableau1[[#This Row],[Key(POD -PFI- Usine)]],'DATA Consignee'!A:J,10,FALSE)</f>
        <v>#N/A</v>
      </c>
      <c r="AQ154" s="50" t="e">
        <f ca="1">VLOOKUP(Tableau1[[#This Row],[Key(POD -PFI- Usine)]],'DATA Consignee'!A:N,14,FALSE)</f>
        <v>#N/A</v>
      </c>
      <c r="AR15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4" s="50" t="e">
        <f ca="1">Tableau1[[#This Row],[Transit time]]+Tableau1[[#This Row],[Time for security]]+Tableau1[[#This Row],[Time for security2 buffer]]</f>
        <v>#N/A</v>
      </c>
      <c r="AU15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4" s="389" t="e">
        <f ca="1">Tableau1[[#This Row],[Leadtime SI2C]]+Tableau1[[#This Row],[First Receipt Days]]-Tableau1[[#This Row],[Day Customer Order]]+1</f>
        <v>#N/A</v>
      </c>
      <c r="AW154" s="117" t="e">
        <f ca="1">IF(Tableau1[[#This Row],[Name ILN]]&lt;&gt;"SFK Freight Forwarder",Tableau1[[#This Row],[Cust. Leadtime]],Tableau1[[#This Row],[Leadtime SI2C]])</f>
        <v>#N/A</v>
      </c>
      <c r="AX154" s="51" t="e">
        <f>VLOOKUP(Tableau1[[#This Row],[ID]],'DATA BTO'!B:P,15,FALSE)</f>
        <v>#N/A</v>
      </c>
      <c r="AY154" s="328" t="e">
        <f ca="1">IFERROR(VLOOKUP(Tableau1[[#This Row],[Key(ID-Actif)]],'DATA BTO'!A:N,4,FALSE),VLOOKUP(Tableau1[[#This Row],[ID]],'DATA BTO'!B:N,3,FALSE))</f>
        <v>#N/A</v>
      </c>
      <c r="AZ15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4" s="50"/>
    </row>
    <row r="155" spans="2:57">
      <c r="B155" s="65" t="str">
        <f>_xlfn.CONCAT(Tableau1[[#This Row],[Name ILN]],"-",Tableau1[[#This Row],[Name Shipper]],"-",Tableau1[[#This Row],[Name Site]])</f>
        <v>--</v>
      </c>
      <c r="C155" s="65" t="e">
        <f>_xlfn.CONCAT(Tableau1[[#This Row],[Compte ILN]],"-",Tableau1[[#This Row],[Compte Shipper]],"-",Tableau1[[#This Row],[POL]],"-",Tableau1[[#This Row],[Compte Consignee]])</f>
        <v>#N/A</v>
      </c>
      <c r="D155" s="64" t="e">
        <f>_xlfn.CONCAT(Tableau1[[#This Row],[Compte ILN]],"-",Tableau1[[#This Row],[Compte Shipper]],"-",Tableau1[[#This Row],[POL]])</f>
        <v>#N/A</v>
      </c>
      <c r="E155" s="396" t="e">
        <f ca="1">_xlfn.CONCAT(Tableau1[[#This Row],[POL]],"-",Tableau1[[#This Row],[Carrier]],"-",Tableau1[[#This Row],[POD]])</f>
        <v>#N/A</v>
      </c>
      <c r="F155" s="64" t="str">
        <f>_xlfn.CONCAT(Tableau1[[#This Row],[ID]],"-","Actif")</f>
        <v>-Actif</v>
      </c>
      <c r="G155" s="64" t="e">
        <f ca="1">_xlfn.CONCAT(Tableau1[[#This Row],[POD]],"-",Tableau1[[#This Row],[Code PFI]],"-",Tableau1[[#This Row],[Compte Consignee]])</f>
        <v>#N/A</v>
      </c>
      <c r="H15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5" s="397" t="str">
        <f ca="1">IF(COUNTIF(I:I,Tableau1[[#This Row],[Plant-ILN-shipper-POL-Carrier-POD-PFI]])=1,"Non","Oui")</f>
        <v>Oui</v>
      </c>
      <c r="K155" s="398" t="e">
        <f>VLOOKUP(Tableau1[[#This Row],[Name Site]],Plant_AILN!A:D,4,FALSE)</f>
        <v>#N/A</v>
      </c>
      <c r="L155" s="285"/>
      <c r="M155" s="480" t="e">
        <f>VLOOKUP(Tableau1[[#This Row],[Name Site]],Plant_AILN!A:C,3,FALSE)</f>
        <v>#N/A</v>
      </c>
      <c r="N155" s="55" t="e">
        <f>VLOOKUP(Tableau1[[#This Row],[Compte Consignee]],Order!C:D,2,FALSE)</f>
        <v>#N/A</v>
      </c>
      <c r="O155" s="114"/>
      <c r="P155" s="481" t="e">
        <f>VLOOKUP(Tableau1[[#This Row],[Name ILN]],Plant_AILN!F:G,2,FALSE)</f>
        <v>#N/A</v>
      </c>
      <c r="Q155" s="50" t="e">
        <f>VLOOKUP(Tableau1[[#This Row],[Compte ILN]],'DATA ILN'!D:I,6,FALSE)</f>
        <v>#N/A</v>
      </c>
      <c r="R155" s="50" t="e">
        <f>IFERROR(VLOOKUP(Tableau1[[#This Row],[Key(Compte ILN - shipper - POL - plant)]],'DATA ILN'!A:J,10,FALSE),VLOOKUP(Tableau1[[#This Row],[Key(Compte ILN - shipper - POL)]],'DATA ILN'!B:J,9,FALSE))</f>
        <v>#N/A</v>
      </c>
      <c r="S155" s="50" t="e">
        <f>IFERROR(VLOOKUP(Tableau1[[#This Row],[Key(Compte ILN - shipper - POL - plant)]],'DATA ILN'!A:K,11,FALSE),VLOOKUP(Tableau1[[#This Row],[Key(Compte ILN - shipper - POL)]],'DATA ILN'!B:K,10,FALSE))</f>
        <v>#N/A</v>
      </c>
      <c r="T155" s="50" t="e">
        <f>IFERROR(VLOOKUP(Tableau1[[#This Row],[Key(Compte ILN - shipper - POL - plant)]],'DATA ILN'!A:L,12,FALSE),VLOOKUP(Tableau1[[#This Row],[Key(Compte ILN - shipper - POL)]],'DATA ILN'!B:L,11,FALSE))</f>
        <v>#N/A</v>
      </c>
      <c r="U155" s="50" t="e">
        <f>Tableau1[[#This Row],[Day ILN Order]]+Tableau1[[#This Row],[Delivery time to ILN/Shipper]]-1</f>
        <v>#N/A</v>
      </c>
      <c r="V155" s="50" t="e">
        <f>IFERROR(VLOOKUP(Tableau1[[#This Row],[Key(Compte ILN - shipper - POL - plant)]],'DATA ILN'!A:N,14,FALSE),VLOOKUP(Tableau1[[#This Row],[Key(Compte ILN - shipper - POL)]],'DATA ILN'!B:N,13,FALSE))</f>
        <v>#N/A</v>
      </c>
      <c r="W155" s="53" t="e">
        <f>IFERROR(VLOOKUP(Tableau1[[#This Row],[Key(Compte ILN - shipper - POL - plant)]],'DATA ILN'!A:P,16,FALSE),VLOOKUP(Tableau1[[#This Row],[Key(Compte ILN - shipper - POL)]],'DATA ILN'!B:P,15,FALSE))</f>
        <v>#N/A</v>
      </c>
      <c r="X155" s="283"/>
      <c r="Y155" s="482">
        <f>IFERROR(VLOOKUP(Tableau1[[#This Row],[Name Shipper]],Plant_AILN!L:M,2,FALSE),0)</f>
        <v>0</v>
      </c>
      <c r="Z155" s="358"/>
      <c r="AA155" s="353" t="e">
        <f ca="1">VLOOKUP(Tableau1[[#This Row],[Key(ID-Actif)]],'DATA BTO'!A:N,5,FALSE)</f>
        <v>#N/A</v>
      </c>
      <c r="AB155" s="3" t="e">
        <f ca="1">VLOOKUP(Tableau1[[#This Row],[Key(ID-Actif)]],'DATA BTO'!A:N,6,FALSE)</f>
        <v>#N/A</v>
      </c>
      <c r="AC155" s="50" t="e">
        <f ca="1">VLOOKUP(Tableau1[[#This Row],[Key(ID-Actif)]],'DATA BTO'!A:N,7,FALSE)</f>
        <v>#N/A</v>
      </c>
      <c r="AD155" s="50" t="e">
        <f ca="1">VLOOKUP(Tableau1[[#This Row],[Key(ID-Actif)]],'DATA BTO'!A:N,8,FALSE)</f>
        <v>#N/A</v>
      </c>
      <c r="AE155" s="50" t="e">
        <f ca="1">IF(Tableau1[[#This Row],[First Day to POL]]&lt;=Tableau1[[#This Row],[Day Cut Off]],Tableau1[[#This Row],[Day ETD]],Tableau1[[#This Row],[Day ETD]]+7)</f>
        <v>#N/A</v>
      </c>
      <c r="AF155" s="50" t="e">
        <f ca="1">VLOOKUP(Tableau1[[#This Row],[Key(ID-Actif)]],'DATA BTO'!A:N,9,FALSE)</f>
        <v>#N/A</v>
      </c>
      <c r="AG155" s="3" t="e">
        <f ca="1">VLOOKUP(Tableau1[[#This Row],[Key(ID-Actif)]],'DATA BTO'!A:N,10,FALSE)</f>
        <v>#N/A</v>
      </c>
      <c r="AH155" s="3" t="e">
        <f ca="1">VLOOKUP(Tableau1[[#This Row],[Key(ID-Actif)]],'DATA BTO'!A:N,11,FALSE)</f>
        <v>#N/A</v>
      </c>
      <c r="AI155" s="50" t="e">
        <f ca="1">VLOOKUP(Tableau1[[#This Row],[Key(ID-Actif)]],'DATA BTO'!A:N,12,FALSE)</f>
        <v>#N/A</v>
      </c>
      <c r="AJ155" s="53" t="e">
        <f ca="1">VLOOKUP(Tableau1[[#This Row],[Key(ID-Actif)]],'DATA BTO'!A:N,14,FALSE)</f>
        <v>#N/A</v>
      </c>
      <c r="AK155" s="54" t="e">
        <f ca="1">VLOOKUP(Tableau1[[#This Row],[Key(POD -PFI- Usine)]],'DATA Consignee'!A:F,6,FALSE)</f>
        <v>#N/A</v>
      </c>
      <c r="AL155" s="125"/>
      <c r="AM155" s="483" t="str">
        <f>IF(Tableau1[[#This Row],[Name PFI/CDD]]="","-",VLOOKUP(Tableau1[[#This Row],[Name PFI/CDD]],Plant_AILN!I:J,2,FALSE))</f>
        <v>-</v>
      </c>
      <c r="AN15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5" s="2" t="e">
        <f ca="1">VLOOKUP(Tableau1[[#This Row],[Key(POD -PFI- Usine)]],'DATA Consignee'!A:J,10,FALSE)</f>
        <v>#N/A</v>
      </c>
      <c r="AQ155" s="50" t="e">
        <f ca="1">VLOOKUP(Tableau1[[#This Row],[Key(POD -PFI- Usine)]],'DATA Consignee'!A:N,14,FALSE)</f>
        <v>#N/A</v>
      </c>
      <c r="AR15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5" s="50" t="e">
        <f ca="1">Tableau1[[#This Row],[Transit time]]+Tableau1[[#This Row],[Time for security]]+Tableau1[[#This Row],[Time for security2 buffer]]</f>
        <v>#N/A</v>
      </c>
      <c r="AU15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5" s="389" t="e">
        <f ca="1">Tableau1[[#This Row],[Leadtime SI2C]]+Tableau1[[#This Row],[First Receipt Days]]-Tableau1[[#This Row],[Day Customer Order]]+1</f>
        <v>#N/A</v>
      </c>
      <c r="AW155" s="117" t="e">
        <f ca="1">IF(Tableau1[[#This Row],[Name ILN]]&lt;&gt;"SFK Freight Forwarder",Tableau1[[#This Row],[Cust. Leadtime]],Tableau1[[#This Row],[Leadtime SI2C]])</f>
        <v>#N/A</v>
      </c>
      <c r="AX155" s="51" t="e">
        <f>VLOOKUP(Tableau1[[#This Row],[ID]],'DATA BTO'!B:P,15,FALSE)</f>
        <v>#N/A</v>
      </c>
      <c r="AY155" s="328" t="e">
        <f ca="1">IFERROR(VLOOKUP(Tableau1[[#This Row],[Key(ID-Actif)]],'DATA BTO'!A:N,4,FALSE),VLOOKUP(Tableau1[[#This Row],[ID]],'DATA BTO'!B:N,3,FALSE))</f>
        <v>#N/A</v>
      </c>
      <c r="AZ15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5" s="50"/>
    </row>
    <row r="156" spans="2:57">
      <c r="B156" s="65" t="str">
        <f>_xlfn.CONCAT(Tableau1[[#This Row],[Name ILN]],"-",Tableau1[[#This Row],[Name Shipper]],"-",Tableau1[[#This Row],[Name Site]])</f>
        <v>--</v>
      </c>
      <c r="C156" s="65" t="e">
        <f>_xlfn.CONCAT(Tableau1[[#This Row],[Compte ILN]],"-",Tableau1[[#This Row],[Compte Shipper]],"-",Tableau1[[#This Row],[POL]],"-",Tableau1[[#This Row],[Compte Consignee]])</f>
        <v>#N/A</v>
      </c>
      <c r="D156" s="64" t="e">
        <f>_xlfn.CONCAT(Tableau1[[#This Row],[Compte ILN]],"-",Tableau1[[#This Row],[Compte Shipper]],"-",Tableau1[[#This Row],[POL]])</f>
        <v>#N/A</v>
      </c>
      <c r="E156" s="396" t="e">
        <f ca="1">_xlfn.CONCAT(Tableau1[[#This Row],[POL]],"-",Tableau1[[#This Row],[Carrier]],"-",Tableau1[[#This Row],[POD]])</f>
        <v>#N/A</v>
      </c>
      <c r="F156" s="64" t="str">
        <f>_xlfn.CONCAT(Tableau1[[#This Row],[ID]],"-","Actif")</f>
        <v>-Actif</v>
      </c>
      <c r="G156" s="64" t="e">
        <f ca="1">_xlfn.CONCAT(Tableau1[[#This Row],[POD]],"-",Tableau1[[#This Row],[Code PFI]],"-",Tableau1[[#This Row],[Compte Consignee]])</f>
        <v>#N/A</v>
      </c>
      <c r="H15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6" s="397" t="str">
        <f ca="1">IF(COUNTIF(I:I,Tableau1[[#This Row],[Plant-ILN-shipper-POL-Carrier-POD-PFI]])=1,"Non","Oui")</f>
        <v>Oui</v>
      </c>
      <c r="K156" s="398" t="e">
        <f>VLOOKUP(Tableau1[[#This Row],[Name Site]],Plant_AILN!A:D,4,FALSE)</f>
        <v>#N/A</v>
      </c>
      <c r="L156" s="285"/>
      <c r="M156" s="480" t="e">
        <f>VLOOKUP(Tableau1[[#This Row],[Name Site]],Plant_AILN!A:C,3,FALSE)</f>
        <v>#N/A</v>
      </c>
      <c r="N156" s="55" t="e">
        <f>VLOOKUP(Tableau1[[#This Row],[Compte Consignee]],Order!C:D,2,FALSE)</f>
        <v>#N/A</v>
      </c>
      <c r="O156" s="114"/>
      <c r="P156" s="481" t="e">
        <f>VLOOKUP(Tableau1[[#This Row],[Name ILN]],Plant_AILN!F:G,2,FALSE)</f>
        <v>#N/A</v>
      </c>
      <c r="Q156" s="50" t="e">
        <f>VLOOKUP(Tableau1[[#This Row],[Compte ILN]],'DATA ILN'!D:I,6,FALSE)</f>
        <v>#N/A</v>
      </c>
      <c r="R156" s="50" t="e">
        <f>IFERROR(VLOOKUP(Tableau1[[#This Row],[Key(Compte ILN - shipper - POL - plant)]],'DATA ILN'!A:J,10,FALSE),VLOOKUP(Tableau1[[#This Row],[Key(Compte ILN - shipper - POL)]],'DATA ILN'!B:J,9,FALSE))</f>
        <v>#N/A</v>
      </c>
      <c r="S156" s="50" t="e">
        <f>IFERROR(VLOOKUP(Tableau1[[#This Row],[Key(Compte ILN - shipper - POL - plant)]],'DATA ILN'!A:K,11,FALSE),VLOOKUP(Tableau1[[#This Row],[Key(Compte ILN - shipper - POL)]],'DATA ILN'!B:K,10,FALSE))</f>
        <v>#N/A</v>
      </c>
      <c r="T156" s="50" t="e">
        <f>IFERROR(VLOOKUP(Tableau1[[#This Row],[Key(Compte ILN - shipper - POL - plant)]],'DATA ILN'!A:L,12,FALSE),VLOOKUP(Tableau1[[#This Row],[Key(Compte ILN - shipper - POL)]],'DATA ILN'!B:L,11,FALSE))</f>
        <v>#N/A</v>
      </c>
      <c r="U156" s="50" t="e">
        <f>Tableau1[[#This Row],[Day ILN Order]]+Tableau1[[#This Row],[Delivery time to ILN/Shipper]]-1</f>
        <v>#N/A</v>
      </c>
      <c r="V156" s="50" t="e">
        <f>IFERROR(VLOOKUP(Tableau1[[#This Row],[Key(Compte ILN - shipper - POL - plant)]],'DATA ILN'!A:N,14,FALSE),VLOOKUP(Tableau1[[#This Row],[Key(Compte ILN - shipper - POL)]],'DATA ILN'!B:N,13,FALSE))</f>
        <v>#N/A</v>
      </c>
      <c r="W156" s="53" t="e">
        <f>IFERROR(VLOOKUP(Tableau1[[#This Row],[Key(Compte ILN - shipper - POL - plant)]],'DATA ILN'!A:P,16,FALSE),VLOOKUP(Tableau1[[#This Row],[Key(Compte ILN - shipper - POL)]],'DATA ILN'!B:P,15,FALSE))</f>
        <v>#N/A</v>
      </c>
      <c r="X156" s="283"/>
      <c r="Y156" s="482">
        <f>IFERROR(VLOOKUP(Tableau1[[#This Row],[Name Shipper]],Plant_AILN!L:M,2,FALSE),0)</f>
        <v>0</v>
      </c>
      <c r="Z156" s="358"/>
      <c r="AA156" s="353" t="e">
        <f ca="1">VLOOKUP(Tableau1[[#This Row],[Key(ID-Actif)]],'DATA BTO'!A:N,5,FALSE)</f>
        <v>#N/A</v>
      </c>
      <c r="AB156" s="3" t="e">
        <f ca="1">VLOOKUP(Tableau1[[#This Row],[Key(ID-Actif)]],'DATA BTO'!A:N,6,FALSE)</f>
        <v>#N/A</v>
      </c>
      <c r="AC156" s="50" t="e">
        <f ca="1">VLOOKUP(Tableau1[[#This Row],[Key(ID-Actif)]],'DATA BTO'!A:N,7,FALSE)</f>
        <v>#N/A</v>
      </c>
      <c r="AD156" s="50" t="e">
        <f ca="1">VLOOKUP(Tableau1[[#This Row],[Key(ID-Actif)]],'DATA BTO'!A:N,8,FALSE)</f>
        <v>#N/A</v>
      </c>
      <c r="AE156" s="50" t="e">
        <f ca="1">IF(Tableau1[[#This Row],[First Day to POL]]&lt;=Tableau1[[#This Row],[Day Cut Off]],Tableau1[[#This Row],[Day ETD]],Tableau1[[#This Row],[Day ETD]]+7)</f>
        <v>#N/A</v>
      </c>
      <c r="AF156" s="50" t="e">
        <f ca="1">VLOOKUP(Tableau1[[#This Row],[Key(ID-Actif)]],'DATA BTO'!A:N,9,FALSE)</f>
        <v>#N/A</v>
      </c>
      <c r="AG156" s="3" t="e">
        <f ca="1">VLOOKUP(Tableau1[[#This Row],[Key(ID-Actif)]],'DATA BTO'!A:N,10,FALSE)</f>
        <v>#N/A</v>
      </c>
      <c r="AH156" s="3" t="e">
        <f ca="1">VLOOKUP(Tableau1[[#This Row],[Key(ID-Actif)]],'DATA BTO'!A:N,11,FALSE)</f>
        <v>#N/A</v>
      </c>
      <c r="AI156" s="50" t="e">
        <f ca="1">VLOOKUP(Tableau1[[#This Row],[Key(ID-Actif)]],'DATA BTO'!A:N,12,FALSE)</f>
        <v>#N/A</v>
      </c>
      <c r="AJ156" s="53" t="e">
        <f ca="1">VLOOKUP(Tableau1[[#This Row],[Key(ID-Actif)]],'DATA BTO'!A:N,14,FALSE)</f>
        <v>#N/A</v>
      </c>
      <c r="AK156" s="54" t="e">
        <f ca="1">VLOOKUP(Tableau1[[#This Row],[Key(POD -PFI- Usine)]],'DATA Consignee'!A:F,6,FALSE)</f>
        <v>#N/A</v>
      </c>
      <c r="AL156" s="125"/>
      <c r="AM156" s="483" t="str">
        <f>IF(Tableau1[[#This Row],[Name PFI/CDD]]="","-",VLOOKUP(Tableau1[[#This Row],[Name PFI/CDD]],Plant_AILN!I:J,2,FALSE))</f>
        <v>-</v>
      </c>
      <c r="AN15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6" s="2" t="e">
        <f ca="1">VLOOKUP(Tableau1[[#This Row],[Key(POD -PFI- Usine)]],'DATA Consignee'!A:J,10,FALSE)</f>
        <v>#N/A</v>
      </c>
      <c r="AQ156" s="50" t="e">
        <f ca="1">VLOOKUP(Tableau1[[#This Row],[Key(POD -PFI- Usine)]],'DATA Consignee'!A:N,14,FALSE)</f>
        <v>#N/A</v>
      </c>
      <c r="AR15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6" s="50" t="e">
        <f ca="1">Tableau1[[#This Row],[Transit time]]+Tableau1[[#This Row],[Time for security]]+Tableau1[[#This Row],[Time for security2 buffer]]</f>
        <v>#N/A</v>
      </c>
      <c r="AU15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6" s="389" t="e">
        <f ca="1">Tableau1[[#This Row],[Leadtime SI2C]]+Tableau1[[#This Row],[First Receipt Days]]-Tableau1[[#This Row],[Day Customer Order]]+1</f>
        <v>#N/A</v>
      </c>
      <c r="AW156" s="117" t="e">
        <f ca="1">IF(Tableau1[[#This Row],[Name ILN]]&lt;&gt;"SFK Freight Forwarder",Tableau1[[#This Row],[Cust. Leadtime]],Tableau1[[#This Row],[Leadtime SI2C]])</f>
        <v>#N/A</v>
      </c>
      <c r="AX156" s="51" t="e">
        <f>VLOOKUP(Tableau1[[#This Row],[ID]],'DATA BTO'!B:P,15,FALSE)</f>
        <v>#N/A</v>
      </c>
      <c r="AY156" s="328" t="e">
        <f ca="1">IFERROR(VLOOKUP(Tableau1[[#This Row],[Key(ID-Actif)]],'DATA BTO'!A:N,4,FALSE),VLOOKUP(Tableau1[[#This Row],[ID]],'DATA BTO'!B:N,3,FALSE))</f>
        <v>#N/A</v>
      </c>
      <c r="AZ15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6" s="50"/>
    </row>
    <row r="157" spans="2:57">
      <c r="B157" s="65" t="str">
        <f>_xlfn.CONCAT(Tableau1[[#This Row],[Name ILN]],"-",Tableau1[[#This Row],[Name Shipper]],"-",Tableau1[[#This Row],[Name Site]])</f>
        <v>--</v>
      </c>
      <c r="C157" s="65" t="e">
        <f>_xlfn.CONCAT(Tableau1[[#This Row],[Compte ILN]],"-",Tableau1[[#This Row],[Compte Shipper]],"-",Tableau1[[#This Row],[POL]],"-",Tableau1[[#This Row],[Compte Consignee]])</f>
        <v>#N/A</v>
      </c>
      <c r="D157" s="64" t="e">
        <f>_xlfn.CONCAT(Tableau1[[#This Row],[Compte ILN]],"-",Tableau1[[#This Row],[Compte Shipper]],"-",Tableau1[[#This Row],[POL]])</f>
        <v>#N/A</v>
      </c>
      <c r="E157" s="396" t="e">
        <f ca="1">_xlfn.CONCAT(Tableau1[[#This Row],[POL]],"-",Tableau1[[#This Row],[Carrier]],"-",Tableau1[[#This Row],[POD]])</f>
        <v>#N/A</v>
      </c>
      <c r="F157" s="64" t="str">
        <f>_xlfn.CONCAT(Tableau1[[#This Row],[ID]],"-","Actif")</f>
        <v>-Actif</v>
      </c>
      <c r="G157" s="64" t="e">
        <f ca="1">_xlfn.CONCAT(Tableau1[[#This Row],[POD]],"-",Tableau1[[#This Row],[Code PFI]],"-",Tableau1[[#This Row],[Compte Consignee]])</f>
        <v>#N/A</v>
      </c>
      <c r="H15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7" s="397" t="str">
        <f ca="1">IF(COUNTIF(I:I,Tableau1[[#This Row],[Plant-ILN-shipper-POL-Carrier-POD-PFI]])=1,"Non","Oui")</f>
        <v>Oui</v>
      </c>
      <c r="K157" s="398" t="e">
        <f>VLOOKUP(Tableau1[[#This Row],[Name Site]],Plant_AILN!A:D,4,FALSE)</f>
        <v>#N/A</v>
      </c>
      <c r="L157" s="285"/>
      <c r="M157" s="480" t="e">
        <f>VLOOKUP(Tableau1[[#This Row],[Name Site]],Plant_AILN!A:C,3,FALSE)</f>
        <v>#N/A</v>
      </c>
      <c r="N157" s="55" t="e">
        <f>VLOOKUP(Tableau1[[#This Row],[Compte Consignee]],Order!C:D,2,FALSE)</f>
        <v>#N/A</v>
      </c>
      <c r="O157" s="114"/>
      <c r="P157" s="481" t="e">
        <f>VLOOKUP(Tableau1[[#This Row],[Name ILN]],Plant_AILN!F:G,2,FALSE)</f>
        <v>#N/A</v>
      </c>
      <c r="Q157" s="50" t="e">
        <f>VLOOKUP(Tableau1[[#This Row],[Compte ILN]],'DATA ILN'!D:I,6,FALSE)</f>
        <v>#N/A</v>
      </c>
      <c r="R157" s="50" t="e">
        <f>IFERROR(VLOOKUP(Tableau1[[#This Row],[Key(Compte ILN - shipper - POL - plant)]],'DATA ILN'!A:J,10,FALSE),VLOOKUP(Tableau1[[#This Row],[Key(Compte ILN - shipper - POL)]],'DATA ILN'!B:J,9,FALSE))</f>
        <v>#N/A</v>
      </c>
      <c r="S157" s="50" t="e">
        <f>IFERROR(VLOOKUP(Tableau1[[#This Row],[Key(Compte ILN - shipper - POL - plant)]],'DATA ILN'!A:K,11,FALSE),VLOOKUP(Tableau1[[#This Row],[Key(Compte ILN - shipper - POL)]],'DATA ILN'!B:K,10,FALSE))</f>
        <v>#N/A</v>
      </c>
      <c r="T157" s="50" t="e">
        <f>IFERROR(VLOOKUP(Tableau1[[#This Row],[Key(Compte ILN - shipper - POL - plant)]],'DATA ILN'!A:L,12,FALSE),VLOOKUP(Tableau1[[#This Row],[Key(Compte ILN - shipper - POL)]],'DATA ILN'!B:L,11,FALSE))</f>
        <v>#N/A</v>
      </c>
      <c r="U157" s="50" t="e">
        <f>Tableau1[[#This Row],[Day ILN Order]]+Tableau1[[#This Row],[Delivery time to ILN/Shipper]]-1</f>
        <v>#N/A</v>
      </c>
      <c r="V157" s="50" t="e">
        <f>IFERROR(VLOOKUP(Tableau1[[#This Row],[Key(Compte ILN - shipper - POL - plant)]],'DATA ILN'!A:N,14,FALSE),VLOOKUP(Tableau1[[#This Row],[Key(Compte ILN - shipper - POL)]],'DATA ILN'!B:N,13,FALSE))</f>
        <v>#N/A</v>
      </c>
      <c r="W157" s="53" t="e">
        <f>IFERROR(VLOOKUP(Tableau1[[#This Row],[Key(Compte ILN - shipper - POL - plant)]],'DATA ILN'!A:P,16,FALSE),VLOOKUP(Tableau1[[#This Row],[Key(Compte ILN - shipper - POL)]],'DATA ILN'!B:P,15,FALSE))</f>
        <v>#N/A</v>
      </c>
      <c r="X157" s="283"/>
      <c r="Y157" s="482">
        <f>IFERROR(VLOOKUP(Tableau1[[#This Row],[Name Shipper]],Plant_AILN!L:M,2,FALSE),0)</f>
        <v>0</v>
      </c>
      <c r="Z157" s="358"/>
      <c r="AA157" s="353" t="e">
        <f ca="1">VLOOKUP(Tableau1[[#This Row],[Key(ID-Actif)]],'DATA BTO'!A:N,5,FALSE)</f>
        <v>#N/A</v>
      </c>
      <c r="AB157" s="3" t="e">
        <f ca="1">VLOOKUP(Tableau1[[#This Row],[Key(ID-Actif)]],'DATA BTO'!A:N,6,FALSE)</f>
        <v>#N/A</v>
      </c>
      <c r="AC157" s="50" t="e">
        <f ca="1">VLOOKUP(Tableau1[[#This Row],[Key(ID-Actif)]],'DATA BTO'!A:N,7,FALSE)</f>
        <v>#N/A</v>
      </c>
      <c r="AD157" s="50" t="e">
        <f ca="1">VLOOKUP(Tableau1[[#This Row],[Key(ID-Actif)]],'DATA BTO'!A:N,8,FALSE)</f>
        <v>#N/A</v>
      </c>
      <c r="AE157" s="50" t="e">
        <f ca="1">IF(Tableau1[[#This Row],[First Day to POL]]&lt;=Tableau1[[#This Row],[Day Cut Off]],Tableau1[[#This Row],[Day ETD]],Tableau1[[#This Row],[Day ETD]]+7)</f>
        <v>#N/A</v>
      </c>
      <c r="AF157" s="50" t="e">
        <f ca="1">VLOOKUP(Tableau1[[#This Row],[Key(ID-Actif)]],'DATA BTO'!A:N,9,FALSE)</f>
        <v>#N/A</v>
      </c>
      <c r="AG157" s="3" t="e">
        <f ca="1">VLOOKUP(Tableau1[[#This Row],[Key(ID-Actif)]],'DATA BTO'!A:N,10,FALSE)</f>
        <v>#N/A</v>
      </c>
      <c r="AH157" s="3" t="e">
        <f ca="1">VLOOKUP(Tableau1[[#This Row],[Key(ID-Actif)]],'DATA BTO'!A:N,11,FALSE)</f>
        <v>#N/A</v>
      </c>
      <c r="AI157" s="50" t="e">
        <f ca="1">VLOOKUP(Tableau1[[#This Row],[Key(ID-Actif)]],'DATA BTO'!A:N,12,FALSE)</f>
        <v>#N/A</v>
      </c>
      <c r="AJ157" s="53" t="e">
        <f ca="1">VLOOKUP(Tableau1[[#This Row],[Key(ID-Actif)]],'DATA BTO'!A:N,14,FALSE)</f>
        <v>#N/A</v>
      </c>
      <c r="AK157" s="54" t="e">
        <f ca="1">VLOOKUP(Tableau1[[#This Row],[Key(POD -PFI- Usine)]],'DATA Consignee'!A:F,6,FALSE)</f>
        <v>#N/A</v>
      </c>
      <c r="AL157" s="125"/>
      <c r="AM157" s="483" t="str">
        <f>IF(Tableau1[[#This Row],[Name PFI/CDD]]="","-",VLOOKUP(Tableau1[[#This Row],[Name PFI/CDD]],Plant_AILN!I:J,2,FALSE))</f>
        <v>-</v>
      </c>
      <c r="AN15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7" s="2" t="e">
        <f ca="1">VLOOKUP(Tableau1[[#This Row],[Key(POD -PFI- Usine)]],'DATA Consignee'!A:J,10,FALSE)</f>
        <v>#N/A</v>
      </c>
      <c r="AQ157" s="50" t="e">
        <f ca="1">VLOOKUP(Tableau1[[#This Row],[Key(POD -PFI- Usine)]],'DATA Consignee'!A:N,14,FALSE)</f>
        <v>#N/A</v>
      </c>
      <c r="AR15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7" s="50" t="e">
        <f ca="1">Tableau1[[#This Row],[Transit time]]+Tableau1[[#This Row],[Time for security]]+Tableau1[[#This Row],[Time for security2 buffer]]</f>
        <v>#N/A</v>
      </c>
      <c r="AU15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7" s="389" t="e">
        <f ca="1">Tableau1[[#This Row],[Leadtime SI2C]]+Tableau1[[#This Row],[First Receipt Days]]-Tableau1[[#This Row],[Day Customer Order]]+1</f>
        <v>#N/A</v>
      </c>
      <c r="AW157" s="117" t="e">
        <f ca="1">IF(Tableau1[[#This Row],[Name ILN]]&lt;&gt;"SFK Freight Forwarder",Tableau1[[#This Row],[Cust. Leadtime]],Tableau1[[#This Row],[Leadtime SI2C]])</f>
        <v>#N/A</v>
      </c>
      <c r="AX157" s="51" t="e">
        <f>VLOOKUP(Tableau1[[#This Row],[ID]],'DATA BTO'!B:P,15,FALSE)</f>
        <v>#N/A</v>
      </c>
      <c r="AY157" s="328" t="e">
        <f ca="1">IFERROR(VLOOKUP(Tableau1[[#This Row],[Key(ID-Actif)]],'DATA BTO'!A:N,4,FALSE),VLOOKUP(Tableau1[[#This Row],[ID]],'DATA BTO'!B:N,3,FALSE))</f>
        <v>#N/A</v>
      </c>
      <c r="AZ15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7" s="50"/>
    </row>
    <row r="158" spans="2:57">
      <c r="B158" s="65" t="str">
        <f>_xlfn.CONCAT(Tableau1[[#This Row],[Name ILN]],"-",Tableau1[[#This Row],[Name Shipper]],"-",Tableau1[[#This Row],[Name Site]])</f>
        <v>--</v>
      </c>
      <c r="C158" s="65" t="e">
        <f>_xlfn.CONCAT(Tableau1[[#This Row],[Compte ILN]],"-",Tableau1[[#This Row],[Compte Shipper]],"-",Tableau1[[#This Row],[POL]],"-",Tableau1[[#This Row],[Compte Consignee]])</f>
        <v>#N/A</v>
      </c>
      <c r="D158" s="64" t="e">
        <f>_xlfn.CONCAT(Tableau1[[#This Row],[Compte ILN]],"-",Tableau1[[#This Row],[Compte Shipper]],"-",Tableau1[[#This Row],[POL]])</f>
        <v>#N/A</v>
      </c>
      <c r="E158" s="396" t="e">
        <f ca="1">_xlfn.CONCAT(Tableau1[[#This Row],[POL]],"-",Tableau1[[#This Row],[Carrier]],"-",Tableau1[[#This Row],[POD]])</f>
        <v>#N/A</v>
      </c>
      <c r="F158" s="64" t="str">
        <f>_xlfn.CONCAT(Tableau1[[#This Row],[ID]],"-","Actif")</f>
        <v>-Actif</v>
      </c>
      <c r="G158" s="64" t="e">
        <f ca="1">_xlfn.CONCAT(Tableau1[[#This Row],[POD]],"-",Tableau1[[#This Row],[Code PFI]],"-",Tableau1[[#This Row],[Compte Consignee]])</f>
        <v>#N/A</v>
      </c>
      <c r="H15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8" s="397" t="str">
        <f ca="1">IF(COUNTIF(I:I,Tableau1[[#This Row],[Plant-ILN-shipper-POL-Carrier-POD-PFI]])=1,"Non","Oui")</f>
        <v>Oui</v>
      </c>
      <c r="K158" s="398" t="e">
        <f>VLOOKUP(Tableau1[[#This Row],[Name Site]],Plant_AILN!A:D,4,FALSE)</f>
        <v>#N/A</v>
      </c>
      <c r="L158" s="285"/>
      <c r="M158" s="480" t="e">
        <f>VLOOKUP(Tableau1[[#This Row],[Name Site]],Plant_AILN!A:C,3,FALSE)</f>
        <v>#N/A</v>
      </c>
      <c r="N158" s="55" t="e">
        <f>VLOOKUP(Tableau1[[#This Row],[Compte Consignee]],Order!C:D,2,FALSE)</f>
        <v>#N/A</v>
      </c>
      <c r="O158" s="122"/>
      <c r="P158" s="481" t="e">
        <f>VLOOKUP(Tableau1[[#This Row],[Name ILN]],Plant_AILN!F:G,2,FALSE)</f>
        <v>#N/A</v>
      </c>
      <c r="Q158" s="50" t="e">
        <f>VLOOKUP(Tableau1[[#This Row],[Compte ILN]],'DATA ILN'!D:I,6,FALSE)</f>
        <v>#N/A</v>
      </c>
      <c r="R158" s="50" t="e">
        <f>IFERROR(VLOOKUP(Tableau1[[#This Row],[Key(Compte ILN - shipper - POL - plant)]],'DATA ILN'!A:J,10,FALSE),VLOOKUP(Tableau1[[#This Row],[Key(Compte ILN - shipper - POL)]],'DATA ILN'!B:J,9,FALSE))</f>
        <v>#N/A</v>
      </c>
      <c r="S158" s="50" t="e">
        <f>IFERROR(VLOOKUP(Tableau1[[#This Row],[Key(Compte ILN - shipper - POL - plant)]],'DATA ILN'!A:K,11,FALSE),VLOOKUP(Tableau1[[#This Row],[Key(Compte ILN - shipper - POL)]],'DATA ILN'!B:K,10,FALSE))</f>
        <v>#N/A</v>
      </c>
      <c r="T158" s="50" t="e">
        <f>IFERROR(VLOOKUP(Tableau1[[#This Row],[Key(Compte ILN - shipper - POL - plant)]],'DATA ILN'!A:L,12,FALSE),VLOOKUP(Tableau1[[#This Row],[Key(Compte ILN - shipper - POL)]],'DATA ILN'!B:L,11,FALSE))</f>
        <v>#N/A</v>
      </c>
      <c r="U158" s="50" t="e">
        <f>Tableau1[[#This Row],[Day ILN Order]]+Tableau1[[#This Row],[Delivery time to ILN/Shipper]]-1</f>
        <v>#N/A</v>
      </c>
      <c r="V158" s="50" t="e">
        <f>IFERROR(VLOOKUP(Tableau1[[#This Row],[Key(Compte ILN - shipper - POL - plant)]],'DATA ILN'!A:N,14,FALSE),VLOOKUP(Tableau1[[#This Row],[Key(Compte ILN - shipper - POL)]],'DATA ILN'!B:N,13,FALSE))</f>
        <v>#N/A</v>
      </c>
      <c r="W158" s="53" t="e">
        <f>IFERROR(VLOOKUP(Tableau1[[#This Row],[Key(Compte ILN - shipper - POL - plant)]],'DATA ILN'!A:P,16,FALSE),VLOOKUP(Tableau1[[#This Row],[Key(Compte ILN - shipper - POL)]],'DATA ILN'!B:P,15,FALSE))</f>
        <v>#N/A</v>
      </c>
      <c r="X158" s="283"/>
      <c r="Y158" s="482">
        <f>IFERROR(VLOOKUP(Tableau1[[#This Row],[Name Shipper]],Plant_AILN!L:M,2,FALSE),0)</f>
        <v>0</v>
      </c>
      <c r="Z158" s="358"/>
      <c r="AA158" s="353" t="e">
        <f ca="1">VLOOKUP(Tableau1[[#This Row],[Key(ID-Actif)]],'DATA BTO'!A:N,5,FALSE)</f>
        <v>#N/A</v>
      </c>
      <c r="AB158" s="3" t="e">
        <f ca="1">VLOOKUP(Tableau1[[#This Row],[Key(ID-Actif)]],'DATA BTO'!A:N,6,FALSE)</f>
        <v>#N/A</v>
      </c>
      <c r="AC158" s="50" t="e">
        <f ca="1">VLOOKUP(Tableau1[[#This Row],[Key(ID-Actif)]],'DATA BTO'!A:N,7,FALSE)</f>
        <v>#N/A</v>
      </c>
      <c r="AD158" s="50" t="e">
        <f ca="1">VLOOKUP(Tableau1[[#This Row],[Key(ID-Actif)]],'DATA BTO'!A:N,8,FALSE)</f>
        <v>#N/A</v>
      </c>
      <c r="AE158" s="50" t="e">
        <f ca="1">IF(Tableau1[[#This Row],[First Day to POL]]&lt;=Tableau1[[#This Row],[Day Cut Off]],Tableau1[[#This Row],[Day ETD]],Tableau1[[#This Row],[Day ETD]]+7)</f>
        <v>#N/A</v>
      </c>
      <c r="AF158" s="50" t="e">
        <f ca="1">VLOOKUP(Tableau1[[#This Row],[Key(ID-Actif)]],'DATA BTO'!A:N,9,FALSE)</f>
        <v>#N/A</v>
      </c>
      <c r="AG158" s="3" t="e">
        <f ca="1">VLOOKUP(Tableau1[[#This Row],[Key(ID-Actif)]],'DATA BTO'!A:N,10,FALSE)</f>
        <v>#N/A</v>
      </c>
      <c r="AH158" s="3" t="e">
        <f ca="1">VLOOKUP(Tableau1[[#This Row],[Key(ID-Actif)]],'DATA BTO'!A:N,11,FALSE)</f>
        <v>#N/A</v>
      </c>
      <c r="AI158" s="50" t="e">
        <f ca="1">VLOOKUP(Tableau1[[#This Row],[Key(ID-Actif)]],'DATA BTO'!A:N,12,FALSE)</f>
        <v>#N/A</v>
      </c>
      <c r="AJ158" s="53" t="e">
        <f ca="1">VLOOKUP(Tableau1[[#This Row],[Key(ID-Actif)]],'DATA BTO'!A:N,14,FALSE)</f>
        <v>#N/A</v>
      </c>
      <c r="AK158" s="54" t="e">
        <f ca="1">VLOOKUP(Tableau1[[#This Row],[Key(POD -PFI- Usine)]],'DATA Consignee'!A:F,6,FALSE)</f>
        <v>#N/A</v>
      </c>
      <c r="AL158" s="125"/>
      <c r="AM158" s="483" t="str">
        <f>IF(Tableau1[[#This Row],[Name PFI/CDD]]="","-",VLOOKUP(Tableau1[[#This Row],[Name PFI/CDD]],Plant_AILN!I:J,2,FALSE))</f>
        <v>-</v>
      </c>
      <c r="AN15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8" s="2" t="e">
        <f ca="1">VLOOKUP(Tableau1[[#This Row],[Key(POD -PFI- Usine)]],'DATA Consignee'!A:J,10,FALSE)</f>
        <v>#N/A</v>
      </c>
      <c r="AQ158" s="50" t="e">
        <f ca="1">VLOOKUP(Tableau1[[#This Row],[Key(POD -PFI- Usine)]],'DATA Consignee'!A:N,14,FALSE)</f>
        <v>#N/A</v>
      </c>
      <c r="AR15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8" s="50" t="e">
        <f ca="1">Tableau1[[#This Row],[Transit time]]+Tableau1[[#This Row],[Time for security]]+Tableau1[[#This Row],[Time for security2 buffer]]</f>
        <v>#N/A</v>
      </c>
      <c r="AU15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8" s="389" t="e">
        <f ca="1">Tableau1[[#This Row],[Leadtime SI2C]]+Tableau1[[#This Row],[First Receipt Days]]-Tableau1[[#This Row],[Day Customer Order]]+1</f>
        <v>#N/A</v>
      </c>
      <c r="AW158" s="117" t="e">
        <f ca="1">IF(Tableau1[[#This Row],[Name ILN]]&lt;&gt;"SFK Freight Forwarder",Tableau1[[#This Row],[Cust. Leadtime]],Tableau1[[#This Row],[Leadtime SI2C]])</f>
        <v>#N/A</v>
      </c>
      <c r="AX158" s="51" t="e">
        <f>VLOOKUP(Tableau1[[#This Row],[ID]],'DATA BTO'!B:P,15,FALSE)</f>
        <v>#N/A</v>
      </c>
      <c r="AY158" s="328" t="e">
        <f ca="1">IFERROR(VLOOKUP(Tableau1[[#This Row],[Key(ID-Actif)]],'DATA BTO'!A:N,4,FALSE),VLOOKUP(Tableau1[[#This Row],[ID]],'DATA BTO'!B:N,3,FALSE))</f>
        <v>#N/A</v>
      </c>
      <c r="AZ15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8" s="50"/>
    </row>
    <row r="159" spans="2:57">
      <c r="B159" s="65" t="str">
        <f>_xlfn.CONCAT(Tableau1[[#This Row],[Name ILN]],"-",Tableau1[[#This Row],[Name Shipper]],"-",Tableau1[[#This Row],[Name Site]])</f>
        <v>--</v>
      </c>
      <c r="C159" s="65" t="e">
        <f>_xlfn.CONCAT(Tableau1[[#This Row],[Compte ILN]],"-",Tableau1[[#This Row],[Compte Shipper]],"-",Tableau1[[#This Row],[POL]],"-",Tableau1[[#This Row],[Compte Consignee]])</f>
        <v>#N/A</v>
      </c>
      <c r="D159" s="64" t="e">
        <f>_xlfn.CONCAT(Tableau1[[#This Row],[Compte ILN]],"-",Tableau1[[#This Row],[Compte Shipper]],"-",Tableau1[[#This Row],[POL]])</f>
        <v>#N/A</v>
      </c>
      <c r="E159" s="396" t="e">
        <f ca="1">_xlfn.CONCAT(Tableau1[[#This Row],[POL]],"-",Tableau1[[#This Row],[Carrier]],"-",Tableau1[[#This Row],[POD]])</f>
        <v>#N/A</v>
      </c>
      <c r="F159" s="64" t="str">
        <f>_xlfn.CONCAT(Tableau1[[#This Row],[ID]],"-","Actif")</f>
        <v>-Actif</v>
      </c>
      <c r="G159" s="64" t="e">
        <f ca="1">_xlfn.CONCAT(Tableau1[[#This Row],[POD]],"-",Tableau1[[#This Row],[Code PFI]],"-",Tableau1[[#This Row],[Compte Consignee]])</f>
        <v>#N/A</v>
      </c>
      <c r="H15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5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59" s="397" t="str">
        <f ca="1">IF(COUNTIF(I:I,Tableau1[[#This Row],[Plant-ILN-shipper-POL-Carrier-POD-PFI]])=1,"Non","Oui")</f>
        <v>Oui</v>
      </c>
      <c r="K159" s="398" t="e">
        <f>VLOOKUP(Tableau1[[#This Row],[Name Site]],Plant_AILN!A:D,4,FALSE)</f>
        <v>#N/A</v>
      </c>
      <c r="L159" s="285"/>
      <c r="M159" s="480" t="e">
        <f>VLOOKUP(Tableau1[[#This Row],[Name Site]],Plant_AILN!A:C,3,FALSE)</f>
        <v>#N/A</v>
      </c>
      <c r="N159" s="55" t="e">
        <f>VLOOKUP(Tableau1[[#This Row],[Compte Consignee]],Order!C:D,2,FALSE)</f>
        <v>#N/A</v>
      </c>
      <c r="O159" s="122"/>
      <c r="P159" s="481" t="e">
        <f>VLOOKUP(Tableau1[[#This Row],[Name ILN]],Plant_AILN!F:G,2,FALSE)</f>
        <v>#N/A</v>
      </c>
      <c r="Q159" s="50" t="e">
        <f>VLOOKUP(Tableau1[[#This Row],[Compte ILN]],'DATA ILN'!D:I,6,FALSE)</f>
        <v>#N/A</v>
      </c>
      <c r="R159" s="50" t="e">
        <f>IFERROR(VLOOKUP(Tableau1[[#This Row],[Key(Compte ILN - shipper - POL - plant)]],'DATA ILN'!A:J,10,FALSE),VLOOKUP(Tableau1[[#This Row],[Key(Compte ILN - shipper - POL)]],'DATA ILN'!B:J,9,FALSE))</f>
        <v>#N/A</v>
      </c>
      <c r="S159" s="50" t="e">
        <f>IFERROR(VLOOKUP(Tableau1[[#This Row],[Key(Compte ILN - shipper - POL - plant)]],'DATA ILN'!A:K,11,FALSE),VLOOKUP(Tableau1[[#This Row],[Key(Compte ILN - shipper - POL)]],'DATA ILN'!B:K,10,FALSE))</f>
        <v>#N/A</v>
      </c>
      <c r="T159" s="50" t="e">
        <f>IFERROR(VLOOKUP(Tableau1[[#This Row],[Key(Compte ILN - shipper - POL - plant)]],'DATA ILN'!A:L,12,FALSE),VLOOKUP(Tableau1[[#This Row],[Key(Compte ILN - shipper - POL)]],'DATA ILN'!B:L,11,FALSE))</f>
        <v>#N/A</v>
      </c>
      <c r="U159" s="50" t="e">
        <f>Tableau1[[#This Row],[Day ILN Order]]+Tableau1[[#This Row],[Delivery time to ILN/Shipper]]-1</f>
        <v>#N/A</v>
      </c>
      <c r="V159" s="50" t="e">
        <f>IFERROR(VLOOKUP(Tableau1[[#This Row],[Key(Compte ILN - shipper - POL - plant)]],'DATA ILN'!A:N,14,FALSE),VLOOKUP(Tableau1[[#This Row],[Key(Compte ILN - shipper - POL)]],'DATA ILN'!B:N,13,FALSE))</f>
        <v>#N/A</v>
      </c>
      <c r="W159" s="53" t="e">
        <f>IFERROR(VLOOKUP(Tableau1[[#This Row],[Key(Compte ILN - shipper - POL - plant)]],'DATA ILN'!A:P,16,FALSE),VLOOKUP(Tableau1[[#This Row],[Key(Compte ILN - shipper - POL)]],'DATA ILN'!B:P,15,FALSE))</f>
        <v>#N/A</v>
      </c>
      <c r="X159" s="283"/>
      <c r="Y159" s="482">
        <f>IFERROR(VLOOKUP(Tableau1[[#This Row],[Name Shipper]],Plant_AILN!L:M,2,FALSE),0)</f>
        <v>0</v>
      </c>
      <c r="Z159" s="358"/>
      <c r="AA159" s="353" t="e">
        <f ca="1">VLOOKUP(Tableau1[[#This Row],[Key(ID-Actif)]],'DATA BTO'!A:N,5,FALSE)</f>
        <v>#N/A</v>
      </c>
      <c r="AB159" s="3" t="e">
        <f ca="1">VLOOKUP(Tableau1[[#This Row],[Key(ID-Actif)]],'DATA BTO'!A:N,6,FALSE)</f>
        <v>#N/A</v>
      </c>
      <c r="AC159" s="50" t="e">
        <f ca="1">VLOOKUP(Tableau1[[#This Row],[Key(ID-Actif)]],'DATA BTO'!A:N,7,FALSE)</f>
        <v>#N/A</v>
      </c>
      <c r="AD159" s="50" t="e">
        <f ca="1">VLOOKUP(Tableau1[[#This Row],[Key(ID-Actif)]],'DATA BTO'!A:N,8,FALSE)</f>
        <v>#N/A</v>
      </c>
      <c r="AE159" s="50" t="e">
        <f ca="1">IF(Tableau1[[#This Row],[First Day to POL]]&lt;=Tableau1[[#This Row],[Day Cut Off]],Tableau1[[#This Row],[Day ETD]],Tableau1[[#This Row],[Day ETD]]+7)</f>
        <v>#N/A</v>
      </c>
      <c r="AF159" s="50" t="e">
        <f ca="1">VLOOKUP(Tableau1[[#This Row],[Key(ID-Actif)]],'DATA BTO'!A:N,9,FALSE)</f>
        <v>#N/A</v>
      </c>
      <c r="AG159" s="3" t="e">
        <f ca="1">VLOOKUP(Tableau1[[#This Row],[Key(ID-Actif)]],'DATA BTO'!A:N,10,FALSE)</f>
        <v>#N/A</v>
      </c>
      <c r="AH159" s="3" t="e">
        <f ca="1">VLOOKUP(Tableau1[[#This Row],[Key(ID-Actif)]],'DATA BTO'!A:N,11,FALSE)</f>
        <v>#N/A</v>
      </c>
      <c r="AI159" s="50" t="e">
        <f ca="1">VLOOKUP(Tableau1[[#This Row],[Key(ID-Actif)]],'DATA BTO'!A:N,12,FALSE)</f>
        <v>#N/A</v>
      </c>
      <c r="AJ159" s="53" t="e">
        <f ca="1">VLOOKUP(Tableau1[[#This Row],[Key(ID-Actif)]],'DATA BTO'!A:N,14,FALSE)</f>
        <v>#N/A</v>
      </c>
      <c r="AK159" s="54" t="e">
        <f ca="1">VLOOKUP(Tableau1[[#This Row],[Key(POD -PFI- Usine)]],'DATA Consignee'!A:F,6,FALSE)</f>
        <v>#N/A</v>
      </c>
      <c r="AL159" s="125"/>
      <c r="AM159" s="483" t="str">
        <f>IF(Tableau1[[#This Row],[Name PFI/CDD]]="","-",VLOOKUP(Tableau1[[#This Row],[Name PFI/CDD]],Plant_AILN!I:J,2,FALSE))</f>
        <v>-</v>
      </c>
      <c r="AN15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5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59" s="2" t="e">
        <f ca="1">VLOOKUP(Tableau1[[#This Row],[Key(POD -PFI- Usine)]],'DATA Consignee'!A:J,10,FALSE)</f>
        <v>#N/A</v>
      </c>
      <c r="AQ159" s="50" t="e">
        <f ca="1">VLOOKUP(Tableau1[[#This Row],[Key(POD -PFI- Usine)]],'DATA Consignee'!A:N,14,FALSE)</f>
        <v>#N/A</v>
      </c>
      <c r="AR15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5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59" s="50" t="e">
        <f ca="1">Tableau1[[#This Row],[Transit time]]+Tableau1[[#This Row],[Time for security]]+Tableau1[[#This Row],[Time for security2 buffer]]</f>
        <v>#N/A</v>
      </c>
      <c r="AU15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59" s="389" t="e">
        <f ca="1">Tableau1[[#This Row],[Leadtime SI2C]]+Tableau1[[#This Row],[First Receipt Days]]-Tableau1[[#This Row],[Day Customer Order]]+1</f>
        <v>#N/A</v>
      </c>
      <c r="AW159" s="117" t="e">
        <f ca="1">IF(Tableau1[[#This Row],[Name ILN]]&lt;&gt;"SFK Freight Forwarder",Tableau1[[#This Row],[Cust. Leadtime]],Tableau1[[#This Row],[Leadtime SI2C]])</f>
        <v>#N/A</v>
      </c>
      <c r="AX159" s="51" t="e">
        <f>VLOOKUP(Tableau1[[#This Row],[ID]],'DATA BTO'!B:P,15,FALSE)</f>
        <v>#N/A</v>
      </c>
      <c r="AY159" s="328" t="e">
        <f ca="1">IFERROR(VLOOKUP(Tableau1[[#This Row],[Key(ID-Actif)]],'DATA BTO'!A:N,4,FALSE),VLOOKUP(Tableau1[[#This Row],[ID]],'DATA BTO'!B:N,3,FALSE))</f>
        <v>#N/A</v>
      </c>
      <c r="AZ15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5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5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9" s="50"/>
    </row>
    <row r="160" spans="2:57">
      <c r="B160" s="65" t="str">
        <f>_xlfn.CONCAT(Tableau1[[#This Row],[Name ILN]],"-",Tableau1[[#This Row],[Name Shipper]],"-",Tableau1[[#This Row],[Name Site]])</f>
        <v>--</v>
      </c>
      <c r="C160" s="65" t="e">
        <f>_xlfn.CONCAT(Tableau1[[#This Row],[Compte ILN]],"-",Tableau1[[#This Row],[Compte Shipper]],"-",Tableau1[[#This Row],[POL]],"-",Tableau1[[#This Row],[Compte Consignee]])</f>
        <v>#N/A</v>
      </c>
      <c r="D160" s="64" t="e">
        <f>_xlfn.CONCAT(Tableau1[[#This Row],[Compte ILN]],"-",Tableau1[[#This Row],[Compte Shipper]],"-",Tableau1[[#This Row],[POL]])</f>
        <v>#N/A</v>
      </c>
      <c r="E160" s="396" t="e">
        <f ca="1">_xlfn.CONCAT(Tableau1[[#This Row],[POL]],"-",Tableau1[[#This Row],[Carrier]],"-",Tableau1[[#This Row],[POD]])</f>
        <v>#N/A</v>
      </c>
      <c r="F160" s="64" t="str">
        <f>_xlfn.CONCAT(Tableau1[[#This Row],[ID]],"-","Actif")</f>
        <v>-Actif</v>
      </c>
      <c r="G160" s="64" t="e">
        <f ca="1">_xlfn.CONCAT(Tableau1[[#This Row],[POD]],"-",Tableau1[[#This Row],[Code PFI]],"-",Tableau1[[#This Row],[Compte Consignee]])</f>
        <v>#N/A</v>
      </c>
      <c r="H16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0" s="397" t="str">
        <f ca="1">IF(COUNTIF(I:I,Tableau1[[#This Row],[Plant-ILN-shipper-POL-Carrier-POD-PFI]])=1,"Non","Oui")</f>
        <v>Oui</v>
      </c>
      <c r="K160" s="398" t="e">
        <f>VLOOKUP(Tableau1[[#This Row],[Name Site]],Plant_AILN!A:D,4,FALSE)</f>
        <v>#N/A</v>
      </c>
      <c r="L160" s="285"/>
      <c r="M160" s="480" t="e">
        <f>VLOOKUP(Tableau1[[#This Row],[Name Site]],Plant_AILN!A:C,3,FALSE)</f>
        <v>#N/A</v>
      </c>
      <c r="N160" s="55" t="e">
        <f>VLOOKUP(Tableau1[[#This Row],[Compte Consignee]],Order!C:D,2,FALSE)</f>
        <v>#N/A</v>
      </c>
      <c r="O160" s="122"/>
      <c r="P160" s="481" t="e">
        <f>VLOOKUP(Tableau1[[#This Row],[Name ILN]],Plant_AILN!F:G,2,FALSE)</f>
        <v>#N/A</v>
      </c>
      <c r="Q160" s="50" t="e">
        <f>VLOOKUP(Tableau1[[#This Row],[Compte ILN]],'DATA ILN'!D:I,6,FALSE)</f>
        <v>#N/A</v>
      </c>
      <c r="R160" s="50" t="e">
        <f>IFERROR(VLOOKUP(Tableau1[[#This Row],[Key(Compte ILN - shipper - POL - plant)]],'DATA ILN'!A:J,10,FALSE),VLOOKUP(Tableau1[[#This Row],[Key(Compte ILN - shipper - POL)]],'DATA ILN'!B:J,9,FALSE))</f>
        <v>#N/A</v>
      </c>
      <c r="S160" s="50" t="e">
        <f>IFERROR(VLOOKUP(Tableau1[[#This Row],[Key(Compte ILN - shipper - POL - plant)]],'DATA ILN'!A:K,11,FALSE),VLOOKUP(Tableau1[[#This Row],[Key(Compte ILN - shipper - POL)]],'DATA ILN'!B:K,10,FALSE))</f>
        <v>#N/A</v>
      </c>
      <c r="T160" s="50" t="e">
        <f>IFERROR(VLOOKUP(Tableau1[[#This Row],[Key(Compte ILN - shipper - POL - plant)]],'DATA ILN'!A:L,12,FALSE),VLOOKUP(Tableau1[[#This Row],[Key(Compte ILN - shipper - POL)]],'DATA ILN'!B:L,11,FALSE))</f>
        <v>#N/A</v>
      </c>
      <c r="U160" s="50" t="e">
        <f>Tableau1[[#This Row],[Day ILN Order]]+Tableau1[[#This Row],[Delivery time to ILN/Shipper]]-1</f>
        <v>#N/A</v>
      </c>
      <c r="V160" s="50" t="e">
        <f>IFERROR(VLOOKUP(Tableau1[[#This Row],[Key(Compte ILN - shipper - POL - plant)]],'DATA ILN'!A:N,14,FALSE),VLOOKUP(Tableau1[[#This Row],[Key(Compte ILN - shipper - POL)]],'DATA ILN'!B:N,13,FALSE))</f>
        <v>#N/A</v>
      </c>
      <c r="W160" s="53" t="e">
        <f>IFERROR(VLOOKUP(Tableau1[[#This Row],[Key(Compte ILN - shipper - POL - plant)]],'DATA ILN'!A:P,16,FALSE),VLOOKUP(Tableau1[[#This Row],[Key(Compte ILN - shipper - POL)]],'DATA ILN'!B:P,15,FALSE))</f>
        <v>#N/A</v>
      </c>
      <c r="X160" s="283"/>
      <c r="Y160" s="482">
        <f>IFERROR(VLOOKUP(Tableau1[[#This Row],[Name Shipper]],Plant_AILN!L:M,2,FALSE),0)</f>
        <v>0</v>
      </c>
      <c r="Z160" s="358"/>
      <c r="AA160" s="353" t="e">
        <f ca="1">VLOOKUP(Tableau1[[#This Row],[Key(ID-Actif)]],'DATA BTO'!A:N,5,FALSE)</f>
        <v>#N/A</v>
      </c>
      <c r="AB160" s="3" t="e">
        <f ca="1">VLOOKUP(Tableau1[[#This Row],[Key(ID-Actif)]],'DATA BTO'!A:N,6,FALSE)</f>
        <v>#N/A</v>
      </c>
      <c r="AC160" s="50" t="e">
        <f ca="1">VLOOKUP(Tableau1[[#This Row],[Key(ID-Actif)]],'DATA BTO'!A:N,7,FALSE)</f>
        <v>#N/A</v>
      </c>
      <c r="AD160" s="50" t="e">
        <f ca="1">VLOOKUP(Tableau1[[#This Row],[Key(ID-Actif)]],'DATA BTO'!A:N,8,FALSE)</f>
        <v>#N/A</v>
      </c>
      <c r="AE160" s="50" t="e">
        <f ca="1">IF(Tableau1[[#This Row],[First Day to POL]]&lt;=Tableau1[[#This Row],[Day Cut Off]],Tableau1[[#This Row],[Day ETD]],Tableau1[[#This Row],[Day ETD]]+7)</f>
        <v>#N/A</v>
      </c>
      <c r="AF160" s="50" t="e">
        <f ca="1">VLOOKUP(Tableau1[[#This Row],[Key(ID-Actif)]],'DATA BTO'!A:N,9,FALSE)</f>
        <v>#N/A</v>
      </c>
      <c r="AG160" s="3" t="e">
        <f ca="1">VLOOKUP(Tableau1[[#This Row],[Key(ID-Actif)]],'DATA BTO'!A:N,10,FALSE)</f>
        <v>#N/A</v>
      </c>
      <c r="AH160" s="3" t="e">
        <f ca="1">VLOOKUP(Tableau1[[#This Row],[Key(ID-Actif)]],'DATA BTO'!A:N,11,FALSE)</f>
        <v>#N/A</v>
      </c>
      <c r="AI160" s="50" t="e">
        <f ca="1">VLOOKUP(Tableau1[[#This Row],[Key(ID-Actif)]],'DATA BTO'!A:N,12,FALSE)</f>
        <v>#N/A</v>
      </c>
      <c r="AJ160" s="53" t="e">
        <f ca="1">VLOOKUP(Tableau1[[#This Row],[Key(ID-Actif)]],'DATA BTO'!A:N,14,FALSE)</f>
        <v>#N/A</v>
      </c>
      <c r="AK160" s="54" t="e">
        <f ca="1">VLOOKUP(Tableau1[[#This Row],[Key(POD -PFI- Usine)]],'DATA Consignee'!A:F,6,FALSE)</f>
        <v>#N/A</v>
      </c>
      <c r="AL160" s="125"/>
      <c r="AM160" s="483" t="str">
        <f>IF(Tableau1[[#This Row],[Name PFI/CDD]]="","-",VLOOKUP(Tableau1[[#This Row],[Name PFI/CDD]],Plant_AILN!I:J,2,FALSE))</f>
        <v>-</v>
      </c>
      <c r="AN16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0" s="2" t="e">
        <f ca="1">VLOOKUP(Tableau1[[#This Row],[Key(POD -PFI- Usine)]],'DATA Consignee'!A:J,10,FALSE)</f>
        <v>#N/A</v>
      </c>
      <c r="AQ160" s="50" t="e">
        <f ca="1">VLOOKUP(Tableau1[[#This Row],[Key(POD -PFI- Usine)]],'DATA Consignee'!A:N,14,FALSE)</f>
        <v>#N/A</v>
      </c>
      <c r="AR16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0" s="50" t="e">
        <f ca="1">Tableau1[[#This Row],[Transit time]]+Tableau1[[#This Row],[Time for security]]+Tableau1[[#This Row],[Time for security2 buffer]]</f>
        <v>#N/A</v>
      </c>
      <c r="AU16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0" s="389" t="e">
        <f ca="1">Tableau1[[#This Row],[Leadtime SI2C]]+Tableau1[[#This Row],[First Receipt Days]]-Tableau1[[#This Row],[Day Customer Order]]+1</f>
        <v>#N/A</v>
      </c>
      <c r="AW160" s="117" t="e">
        <f ca="1">IF(Tableau1[[#This Row],[Name ILN]]&lt;&gt;"SFK Freight Forwarder",Tableau1[[#This Row],[Cust. Leadtime]],Tableau1[[#This Row],[Leadtime SI2C]])</f>
        <v>#N/A</v>
      </c>
      <c r="AX160" s="51" t="e">
        <f>VLOOKUP(Tableau1[[#This Row],[ID]],'DATA BTO'!B:P,15,FALSE)</f>
        <v>#N/A</v>
      </c>
      <c r="AY160" s="328" t="e">
        <f ca="1">IFERROR(VLOOKUP(Tableau1[[#This Row],[Key(ID-Actif)]],'DATA BTO'!A:N,4,FALSE),VLOOKUP(Tableau1[[#This Row],[ID]],'DATA BTO'!B:N,3,FALSE))</f>
        <v>#N/A</v>
      </c>
      <c r="AZ16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0" s="50"/>
    </row>
    <row r="161" spans="2:57">
      <c r="B161" s="65" t="str">
        <f>_xlfn.CONCAT(Tableau1[[#This Row],[Name ILN]],"-",Tableau1[[#This Row],[Name Shipper]],"-",Tableau1[[#This Row],[Name Site]])</f>
        <v>--</v>
      </c>
      <c r="C161" s="65" t="e">
        <f>_xlfn.CONCAT(Tableau1[[#This Row],[Compte ILN]],"-",Tableau1[[#This Row],[Compte Shipper]],"-",Tableau1[[#This Row],[POL]],"-",Tableau1[[#This Row],[Compte Consignee]])</f>
        <v>#N/A</v>
      </c>
      <c r="D161" s="64" t="e">
        <f>_xlfn.CONCAT(Tableau1[[#This Row],[Compte ILN]],"-",Tableau1[[#This Row],[Compte Shipper]],"-",Tableau1[[#This Row],[POL]])</f>
        <v>#N/A</v>
      </c>
      <c r="E161" s="396" t="e">
        <f ca="1">_xlfn.CONCAT(Tableau1[[#This Row],[POL]],"-",Tableau1[[#This Row],[Carrier]],"-",Tableau1[[#This Row],[POD]])</f>
        <v>#N/A</v>
      </c>
      <c r="F161" s="64" t="str">
        <f>_xlfn.CONCAT(Tableau1[[#This Row],[ID]],"-","Actif")</f>
        <v>-Actif</v>
      </c>
      <c r="G161" s="64" t="e">
        <f ca="1">_xlfn.CONCAT(Tableau1[[#This Row],[POD]],"-",Tableau1[[#This Row],[Code PFI]],"-",Tableau1[[#This Row],[Compte Consignee]])</f>
        <v>#N/A</v>
      </c>
      <c r="H16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1" s="397" t="str">
        <f ca="1">IF(COUNTIF(I:I,Tableau1[[#This Row],[Plant-ILN-shipper-POL-Carrier-POD-PFI]])=1,"Non","Oui")</f>
        <v>Oui</v>
      </c>
      <c r="K161" s="398" t="e">
        <f>VLOOKUP(Tableau1[[#This Row],[Name Site]],Plant_AILN!A:D,4,FALSE)</f>
        <v>#N/A</v>
      </c>
      <c r="L161" s="285"/>
      <c r="M161" s="480" t="e">
        <f>VLOOKUP(Tableau1[[#This Row],[Name Site]],Plant_AILN!A:C,3,FALSE)</f>
        <v>#N/A</v>
      </c>
      <c r="N161" s="55" t="e">
        <f>VLOOKUP(Tableau1[[#This Row],[Compte Consignee]],Order!C:D,2,FALSE)</f>
        <v>#N/A</v>
      </c>
      <c r="O161" s="122"/>
      <c r="P161" s="481" t="e">
        <f>VLOOKUP(Tableau1[[#This Row],[Name ILN]],Plant_AILN!F:G,2,FALSE)</f>
        <v>#N/A</v>
      </c>
      <c r="Q161" s="50" t="e">
        <f>VLOOKUP(Tableau1[[#This Row],[Compte ILN]],'DATA ILN'!D:I,6,FALSE)</f>
        <v>#N/A</v>
      </c>
      <c r="R161" s="50" t="e">
        <f>IFERROR(VLOOKUP(Tableau1[[#This Row],[Key(Compte ILN - shipper - POL - plant)]],'DATA ILN'!A:J,10,FALSE),VLOOKUP(Tableau1[[#This Row],[Key(Compte ILN - shipper - POL)]],'DATA ILN'!B:J,9,FALSE))</f>
        <v>#N/A</v>
      </c>
      <c r="S161" s="50" t="e">
        <f>IFERROR(VLOOKUP(Tableau1[[#This Row],[Key(Compte ILN - shipper - POL - plant)]],'DATA ILN'!A:K,11,FALSE),VLOOKUP(Tableau1[[#This Row],[Key(Compte ILN - shipper - POL)]],'DATA ILN'!B:K,10,FALSE))</f>
        <v>#N/A</v>
      </c>
      <c r="T161" s="50" t="e">
        <f>IFERROR(VLOOKUP(Tableau1[[#This Row],[Key(Compte ILN - shipper - POL - plant)]],'DATA ILN'!A:L,12,FALSE),VLOOKUP(Tableau1[[#This Row],[Key(Compte ILN - shipper - POL)]],'DATA ILN'!B:L,11,FALSE))</f>
        <v>#N/A</v>
      </c>
      <c r="U161" s="50" t="e">
        <f>Tableau1[[#This Row],[Day ILN Order]]+Tableau1[[#This Row],[Delivery time to ILN/Shipper]]-1</f>
        <v>#N/A</v>
      </c>
      <c r="V161" s="50" t="e">
        <f>IFERROR(VLOOKUP(Tableau1[[#This Row],[Key(Compte ILN - shipper - POL - plant)]],'DATA ILN'!A:N,14,FALSE),VLOOKUP(Tableau1[[#This Row],[Key(Compte ILN - shipper - POL)]],'DATA ILN'!B:N,13,FALSE))</f>
        <v>#N/A</v>
      </c>
      <c r="W161" s="53" t="e">
        <f>IFERROR(VLOOKUP(Tableau1[[#This Row],[Key(Compte ILN - shipper - POL - plant)]],'DATA ILN'!A:P,16,FALSE),VLOOKUP(Tableau1[[#This Row],[Key(Compte ILN - shipper - POL)]],'DATA ILN'!B:P,15,FALSE))</f>
        <v>#N/A</v>
      </c>
      <c r="X161" s="283"/>
      <c r="Y161" s="482">
        <f>IFERROR(VLOOKUP(Tableau1[[#This Row],[Name Shipper]],Plant_AILN!L:M,2,FALSE),0)</f>
        <v>0</v>
      </c>
      <c r="Z161" s="358"/>
      <c r="AA161" s="353" t="e">
        <f ca="1">VLOOKUP(Tableau1[[#This Row],[Key(ID-Actif)]],'DATA BTO'!A:N,5,FALSE)</f>
        <v>#N/A</v>
      </c>
      <c r="AB161" s="3" t="e">
        <f ca="1">VLOOKUP(Tableau1[[#This Row],[Key(ID-Actif)]],'DATA BTO'!A:N,6,FALSE)</f>
        <v>#N/A</v>
      </c>
      <c r="AC161" s="50" t="e">
        <f ca="1">VLOOKUP(Tableau1[[#This Row],[Key(ID-Actif)]],'DATA BTO'!A:N,7,FALSE)</f>
        <v>#N/A</v>
      </c>
      <c r="AD161" s="50" t="e">
        <f ca="1">VLOOKUP(Tableau1[[#This Row],[Key(ID-Actif)]],'DATA BTO'!A:N,8,FALSE)</f>
        <v>#N/A</v>
      </c>
      <c r="AE161" s="50" t="e">
        <f ca="1">IF(Tableau1[[#This Row],[First Day to POL]]&lt;=Tableau1[[#This Row],[Day Cut Off]],Tableau1[[#This Row],[Day ETD]],Tableau1[[#This Row],[Day ETD]]+7)</f>
        <v>#N/A</v>
      </c>
      <c r="AF161" s="50" t="e">
        <f ca="1">VLOOKUP(Tableau1[[#This Row],[Key(ID-Actif)]],'DATA BTO'!A:N,9,FALSE)</f>
        <v>#N/A</v>
      </c>
      <c r="AG161" s="3" t="e">
        <f ca="1">VLOOKUP(Tableau1[[#This Row],[Key(ID-Actif)]],'DATA BTO'!A:N,10,FALSE)</f>
        <v>#N/A</v>
      </c>
      <c r="AH161" s="3" t="e">
        <f ca="1">VLOOKUP(Tableau1[[#This Row],[Key(ID-Actif)]],'DATA BTO'!A:N,11,FALSE)</f>
        <v>#N/A</v>
      </c>
      <c r="AI161" s="50" t="e">
        <f ca="1">VLOOKUP(Tableau1[[#This Row],[Key(ID-Actif)]],'DATA BTO'!A:N,12,FALSE)</f>
        <v>#N/A</v>
      </c>
      <c r="AJ161" s="53" t="e">
        <f ca="1">VLOOKUP(Tableau1[[#This Row],[Key(ID-Actif)]],'DATA BTO'!A:N,14,FALSE)</f>
        <v>#N/A</v>
      </c>
      <c r="AK161" s="54" t="e">
        <f ca="1">VLOOKUP(Tableau1[[#This Row],[Key(POD -PFI- Usine)]],'DATA Consignee'!A:F,6,FALSE)</f>
        <v>#N/A</v>
      </c>
      <c r="AL161" s="125"/>
      <c r="AM161" s="483" t="str">
        <f>IF(Tableau1[[#This Row],[Name PFI/CDD]]="","-",VLOOKUP(Tableau1[[#This Row],[Name PFI/CDD]],Plant_AILN!I:J,2,FALSE))</f>
        <v>-</v>
      </c>
      <c r="AN16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1" s="2" t="e">
        <f ca="1">VLOOKUP(Tableau1[[#This Row],[Key(POD -PFI- Usine)]],'DATA Consignee'!A:J,10,FALSE)</f>
        <v>#N/A</v>
      </c>
      <c r="AQ161" s="50" t="e">
        <f ca="1">VLOOKUP(Tableau1[[#This Row],[Key(POD -PFI- Usine)]],'DATA Consignee'!A:N,14,FALSE)</f>
        <v>#N/A</v>
      </c>
      <c r="AR16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1" s="50" t="e">
        <f ca="1">Tableau1[[#This Row],[Transit time]]+Tableau1[[#This Row],[Time for security]]+Tableau1[[#This Row],[Time for security2 buffer]]</f>
        <v>#N/A</v>
      </c>
      <c r="AU16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1" s="389" t="e">
        <f ca="1">Tableau1[[#This Row],[Leadtime SI2C]]+Tableau1[[#This Row],[First Receipt Days]]-Tableau1[[#This Row],[Day Customer Order]]+1</f>
        <v>#N/A</v>
      </c>
      <c r="AW161" s="117" t="e">
        <f ca="1">IF(Tableau1[[#This Row],[Name ILN]]&lt;&gt;"SFK Freight Forwarder",Tableau1[[#This Row],[Cust. Leadtime]],Tableau1[[#This Row],[Leadtime SI2C]])</f>
        <v>#N/A</v>
      </c>
      <c r="AX161" s="51" t="e">
        <f>VLOOKUP(Tableau1[[#This Row],[ID]],'DATA BTO'!B:P,15,FALSE)</f>
        <v>#N/A</v>
      </c>
      <c r="AY161" s="328" t="e">
        <f ca="1">IFERROR(VLOOKUP(Tableau1[[#This Row],[Key(ID-Actif)]],'DATA BTO'!A:N,4,FALSE),VLOOKUP(Tableau1[[#This Row],[ID]],'DATA BTO'!B:N,3,FALSE))</f>
        <v>#N/A</v>
      </c>
      <c r="AZ16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1" s="50"/>
    </row>
    <row r="162" spans="2:57">
      <c r="B162" s="65" t="str">
        <f>_xlfn.CONCAT(Tableau1[[#This Row],[Name ILN]],"-",Tableau1[[#This Row],[Name Shipper]],"-",Tableau1[[#This Row],[Name Site]])</f>
        <v>--</v>
      </c>
      <c r="C162" s="65" t="e">
        <f>_xlfn.CONCAT(Tableau1[[#This Row],[Compte ILN]],"-",Tableau1[[#This Row],[Compte Shipper]],"-",Tableau1[[#This Row],[POL]],"-",Tableau1[[#This Row],[Compte Consignee]])</f>
        <v>#N/A</v>
      </c>
      <c r="D162" s="64" t="e">
        <f>_xlfn.CONCAT(Tableau1[[#This Row],[Compte ILN]],"-",Tableau1[[#This Row],[Compte Shipper]],"-",Tableau1[[#This Row],[POL]])</f>
        <v>#N/A</v>
      </c>
      <c r="E162" s="396" t="e">
        <f ca="1">_xlfn.CONCAT(Tableau1[[#This Row],[POL]],"-",Tableau1[[#This Row],[Carrier]],"-",Tableau1[[#This Row],[POD]])</f>
        <v>#N/A</v>
      </c>
      <c r="F162" s="64" t="str">
        <f>_xlfn.CONCAT(Tableau1[[#This Row],[ID]],"-","Actif")</f>
        <v>-Actif</v>
      </c>
      <c r="G162" s="64" t="e">
        <f ca="1">_xlfn.CONCAT(Tableau1[[#This Row],[POD]],"-",Tableau1[[#This Row],[Code PFI]],"-",Tableau1[[#This Row],[Compte Consignee]])</f>
        <v>#N/A</v>
      </c>
      <c r="H16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2" s="397" t="str">
        <f ca="1">IF(COUNTIF(I:I,Tableau1[[#This Row],[Plant-ILN-shipper-POL-Carrier-POD-PFI]])=1,"Non","Oui")</f>
        <v>Oui</v>
      </c>
      <c r="K162" s="398" t="e">
        <f>VLOOKUP(Tableau1[[#This Row],[Name Site]],Plant_AILN!A:D,4,FALSE)</f>
        <v>#N/A</v>
      </c>
      <c r="L162" s="285"/>
      <c r="M162" s="480" t="e">
        <f>VLOOKUP(Tableau1[[#This Row],[Name Site]],Plant_AILN!A:C,3,FALSE)</f>
        <v>#N/A</v>
      </c>
      <c r="N162" s="55" t="e">
        <f>VLOOKUP(Tableau1[[#This Row],[Compte Consignee]],Order!C:D,2,FALSE)</f>
        <v>#N/A</v>
      </c>
      <c r="O162" s="122"/>
      <c r="P162" s="481" t="e">
        <f>VLOOKUP(Tableau1[[#This Row],[Name ILN]],Plant_AILN!F:G,2,FALSE)</f>
        <v>#N/A</v>
      </c>
      <c r="Q162" s="50" t="e">
        <f>VLOOKUP(Tableau1[[#This Row],[Compte ILN]],'DATA ILN'!D:I,6,FALSE)</f>
        <v>#N/A</v>
      </c>
      <c r="R162" s="50" t="e">
        <f>IFERROR(VLOOKUP(Tableau1[[#This Row],[Key(Compte ILN - shipper - POL - plant)]],'DATA ILN'!A:J,10,FALSE),VLOOKUP(Tableau1[[#This Row],[Key(Compte ILN - shipper - POL)]],'DATA ILN'!B:J,9,FALSE))</f>
        <v>#N/A</v>
      </c>
      <c r="S162" s="50" t="e">
        <f>IFERROR(VLOOKUP(Tableau1[[#This Row],[Key(Compte ILN - shipper - POL - plant)]],'DATA ILN'!A:K,11,FALSE),VLOOKUP(Tableau1[[#This Row],[Key(Compte ILN - shipper - POL)]],'DATA ILN'!B:K,10,FALSE))</f>
        <v>#N/A</v>
      </c>
      <c r="T162" s="50" t="e">
        <f>IFERROR(VLOOKUP(Tableau1[[#This Row],[Key(Compte ILN - shipper - POL - plant)]],'DATA ILN'!A:L,12,FALSE),VLOOKUP(Tableau1[[#This Row],[Key(Compte ILN - shipper - POL)]],'DATA ILN'!B:L,11,FALSE))</f>
        <v>#N/A</v>
      </c>
      <c r="U162" s="50" t="e">
        <f>Tableau1[[#This Row],[Day ILN Order]]+Tableau1[[#This Row],[Delivery time to ILN/Shipper]]-1</f>
        <v>#N/A</v>
      </c>
      <c r="V162" s="50" t="e">
        <f>IFERROR(VLOOKUP(Tableau1[[#This Row],[Key(Compte ILN - shipper - POL - plant)]],'DATA ILN'!A:N,14,FALSE),VLOOKUP(Tableau1[[#This Row],[Key(Compte ILN - shipper - POL)]],'DATA ILN'!B:N,13,FALSE))</f>
        <v>#N/A</v>
      </c>
      <c r="W162" s="53" t="e">
        <f>IFERROR(VLOOKUP(Tableau1[[#This Row],[Key(Compte ILN - shipper - POL - plant)]],'DATA ILN'!A:P,16,FALSE),VLOOKUP(Tableau1[[#This Row],[Key(Compte ILN - shipper - POL)]],'DATA ILN'!B:P,15,FALSE))</f>
        <v>#N/A</v>
      </c>
      <c r="X162" s="283"/>
      <c r="Y162" s="482">
        <f>IFERROR(VLOOKUP(Tableau1[[#This Row],[Name Shipper]],Plant_AILN!L:M,2,FALSE),0)</f>
        <v>0</v>
      </c>
      <c r="Z162" s="358"/>
      <c r="AA162" s="353" t="e">
        <f ca="1">VLOOKUP(Tableau1[[#This Row],[Key(ID-Actif)]],'DATA BTO'!A:N,5,FALSE)</f>
        <v>#N/A</v>
      </c>
      <c r="AB162" s="3" t="e">
        <f ca="1">VLOOKUP(Tableau1[[#This Row],[Key(ID-Actif)]],'DATA BTO'!A:N,6,FALSE)</f>
        <v>#N/A</v>
      </c>
      <c r="AC162" s="50" t="e">
        <f ca="1">VLOOKUP(Tableau1[[#This Row],[Key(ID-Actif)]],'DATA BTO'!A:N,7,FALSE)</f>
        <v>#N/A</v>
      </c>
      <c r="AD162" s="50" t="e">
        <f ca="1">VLOOKUP(Tableau1[[#This Row],[Key(ID-Actif)]],'DATA BTO'!A:N,8,FALSE)</f>
        <v>#N/A</v>
      </c>
      <c r="AE162" s="50" t="e">
        <f ca="1">IF(Tableau1[[#This Row],[First Day to POL]]&lt;=Tableau1[[#This Row],[Day Cut Off]],Tableau1[[#This Row],[Day ETD]],Tableau1[[#This Row],[Day ETD]]+7)</f>
        <v>#N/A</v>
      </c>
      <c r="AF162" s="50" t="e">
        <f ca="1">VLOOKUP(Tableau1[[#This Row],[Key(ID-Actif)]],'DATA BTO'!A:N,9,FALSE)</f>
        <v>#N/A</v>
      </c>
      <c r="AG162" s="3" t="e">
        <f ca="1">VLOOKUP(Tableau1[[#This Row],[Key(ID-Actif)]],'DATA BTO'!A:N,10,FALSE)</f>
        <v>#N/A</v>
      </c>
      <c r="AH162" s="3" t="e">
        <f ca="1">VLOOKUP(Tableau1[[#This Row],[Key(ID-Actif)]],'DATA BTO'!A:N,11,FALSE)</f>
        <v>#N/A</v>
      </c>
      <c r="AI162" s="50" t="e">
        <f ca="1">VLOOKUP(Tableau1[[#This Row],[Key(ID-Actif)]],'DATA BTO'!A:N,12,FALSE)</f>
        <v>#N/A</v>
      </c>
      <c r="AJ162" s="53" t="e">
        <f ca="1">VLOOKUP(Tableau1[[#This Row],[Key(ID-Actif)]],'DATA BTO'!A:N,14,FALSE)</f>
        <v>#N/A</v>
      </c>
      <c r="AK162" s="54" t="e">
        <f ca="1">VLOOKUP(Tableau1[[#This Row],[Key(POD -PFI- Usine)]],'DATA Consignee'!A:F,6,FALSE)</f>
        <v>#N/A</v>
      </c>
      <c r="AL162" s="125"/>
      <c r="AM162" s="483" t="str">
        <f>IF(Tableau1[[#This Row],[Name PFI/CDD]]="","-",VLOOKUP(Tableau1[[#This Row],[Name PFI/CDD]],Plant_AILN!I:J,2,FALSE))</f>
        <v>-</v>
      </c>
      <c r="AN16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2" s="2" t="e">
        <f ca="1">VLOOKUP(Tableau1[[#This Row],[Key(POD -PFI- Usine)]],'DATA Consignee'!A:J,10,FALSE)</f>
        <v>#N/A</v>
      </c>
      <c r="AQ162" s="50" t="e">
        <f ca="1">VLOOKUP(Tableau1[[#This Row],[Key(POD -PFI- Usine)]],'DATA Consignee'!A:N,14,FALSE)</f>
        <v>#N/A</v>
      </c>
      <c r="AR16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2" s="50" t="e">
        <f ca="1">Tableau1[[#This Row],[Transit time]]+Tableau1[[#This Row],[Time for security]]+Tableau1[[#This Row],[Time for security2 buffer]]</f>
        <v>#N/A</v>
      </c>
      <c r="AU16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2" s="389" t="e">
        <f ca="1">Tableau1[[#This Row],[Leadtime SI2C]]+Tableau1[[#This Row],[First Receipt Days]]-Tableau1[[#This Row],[Day Customer Order]]+1</f>
        <v>#N/A</v>
      </c>
      <c r="AW162" s="117" t="e">
        <f ca="1">IF(Tableau1[[#This Row],[Name ILN]]&lt;&gt;"SFK Freight Forwarder",Tableau1[[#This Row],[Cust. Leadtime]],Tableau1[[#This Row],[Leadtime SI2C]])</f>
        <v>#N/A</v>
      </c>
      <c r="AX162" s="51" t="e">
        <f>VLOOKUP(Tableau1[[#This Row],[ID]],'DATA BTO'!B:P,15,FALSE)</f>
        <v>#N/A</v>
      </c>
      <c r="AY162" s="328" t="e">
        <f ca="1">IFERROR(VLOOKUP(Tableau1[[#This Row],[Key(ID-Actif)]],'DATA BTO'!A:N,4,FALSE),VLOOKUP(Tableau1[[#This Row],[ID]],'DATA BTO'!B:N,3,FALSE))</f>
        <v>#N/A</v>
      </c>
      <c r="AZ16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2" s="50"/>
    </row>
    <row r="163" spans="2:57">
      <c r="B163" s="65" t="str">
        <f>_xlfn.CONCAT(Tableau1[[#This Row],[Name ILN]],"-",Tableau1[[#This Row],[Name Shipper]],"-",Tableau1[[#This Row],[Name Site]])</f>
        <v>--</v>
      </c>
      <c r="C163" s="65" t="e">
        <f>_xlfn.CONCAT(Tableau1[[#This Row],[Compte ILN]],"-",Tableau1[[#This Row],[Compte Shipper]],"-",Tableau1[[#This Row],[POL]],"-",Tableau1[[#This Row],[Compte Consignee]])</f>
        <v>#N/A</v>
      </c>
      <c r="D163" s="64" t="e">
        <f>_xlfn.CONCAT(Tableau1[[#This Row],[Compte ILN]],"-",Tableau1[[#This Row],[Compte Shipper]],"-",Tableau1[[#This Row],[POL]])</f>
        <v>#N/A</v>
      </c>
      <c r="E163" s="396" t="e">
        <f ca="1">_xlfn.CONCAT(Tableau1[[#This Row],[POL]],"-",Tableau1[[#This Row],[Carrier]],"-",Tableau1[[#This Row],[POD]])</f>
        <v>#N/A</v>
      </c>
      <c r="F163" s="64" t="str">
        <f>_xlfn.CONCAT(Tableau1[[#This Row],[ID]],"-","Actif")</f>
        <v>-Actif</v>
      </c>
      <c r="G163" s="64" t="e">
        <f ca="1">_xlfn.CONCAT(Tableau1[[#This Row],[POD]],"-",Tableau1[[#This Row],[Code PFI]],"-",Tableau1[[#This Row],[Compte Consignee]])</f>
        <v>#N/A</v>
      </c>
      <c r="H16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3" s="397" t="str">
        <f ca="1">IF(COUNTIF(I:I,Tableau1[[#This Row],[Plant-ILN-shipper-POL-Carrier-POD-PFI]])=1,"Non","Oui")</f>
        <v>Oui</v>
      </c>
      <c r="K163" s="398" t="e">
        <f>VLOOKUP(Tableau1[[#This Row],[Name Site]],Plant_AILN!A:D,4,FALSE)</f>
        <v>#N/A</v>
      </c>
      <c r="L163" s="285"/>
      <c r="M163" s="480" t="e">
        <f>VLOOKUP(Tableau1[[#This Row],[Name Site]],Plant_AILN!A:C,3,FALSE)</f>
        <v>#N/A</v>
      </c>
      <c r="N163" s="55" t="e">
        <f>VLOOKUP(Tableau1[[#This Row],[Compte Consignee]],Order!C:D,2,FALSE)</f>
        <v>#N/A</v>
      </c>
      <c r="O163" s="122"/>
      <c r="P163" s="481" t="e">
        <f>VLOOKUP(Tableau1[[#This Row],[Name ILN]],Plant_AILN!F:G,2,FALSE)</f>
        <v>#N/A</v>
      </c>
      <c r="Q163" s="50" t="e">
        <f>VLOOKUP(Tableau1[[#This Row],[Compte ILN]],'DATA ILN'!D:I,6,FALSE)</f>
        <v>#N/A</v>
      </c>
      <c r="R163" s="50" t="e">
        <f>IFERROR(VLOOKUP(Tableau1[[#This Row],[Key(Compte ILN - shipper - POL - plant)]],'DATA ILN'!A:J,10,FALSE),VLOOKUP(Tableau1[[#This Row],[Key(Compte ILN - shipper - POL)]],'DATA ILN'!B:J,9,FALSE))</f>
        <v>#N/A</v>
      </c>
      <c r="S163" s="50" t="e">
        <f>IFERROR(VLOOKUP(Tableau1[[#This Row],[Key(Compte ILN - shipper - POL - plant)]],'DATA ILN'!A:K,11,FALSE),VLOOKUP(Tableau1[[#This Row],[Key(Compte ILN - shipper - POL)]],'DATA ILN'!B:K,10,FALSE))</f>
        <v>#N/A</v>
      </c>
      <c r="T163" s="50" t="e">
        <f>IFERROR(VLOOKUP(Tableau1[[#This Row],[Key(Compte ILN - shipper - POL - plant)]],'DATA ILN'!A:L,12,FALSE),VLOOKUP(Tableau1[[#This Row],[Key(Compte ILN - shipper - POL)]],'DATA ILN'!B:L,11,FALSE))</f>
        <v>#N/A</v>
      </c>
      <c r="U163" s="50" t="e">
        <f>Tableau1[[#This Row],[Day ILN Order]]+Tableau1[[#This Row],[Delivery time to ILN/Shipper]]-1</f>
        <v>#N/A</v>
      </c>
      <c r="V163" s="50" t="e">
        <f>IFERROR(VLOOKUP(Tableau1[[#This Row],[Key(Compte ILN - shipper - POL - plant)]],'DATA ILN'!A:N,14,FALSE),VLOOKUP(Tableau1[[#This Row],[Key(Compte ILN - shipper - POL)]],'DATA ILN'!B:N,13,FALSE))</f>
        <v>#N/A</v>
      </c>
      <c r="W163" s="53" t="e">
        <f>IFERROR(VLOOKUP(Tableau1[[#This Row],[Key(Compte ILN - shipper - POL - plant)]],'DATA ILN'!A:P,16,FALSE),VLOOKUP(Tableau1[[#This Row],[Key(Compte ILN - shipper - POL)]],'DATA ILN'!B:P,15,FALSE))</f>
        <v>#N/A</v>
      </c>
      <c r="X163" s="283"/>
      <c r="Y163" s="482">
        <f>IFERROR(VLOOKUP(Tableau1[[#This Row],[Name Shipper]],Plant_AILN!L:M,2,FALSE),0)</f>
        <v>0</v>
      </c>
      <c r="Z163" s="358"/>
      <c r="AA163" s="353" t="e">
        <f ca="1">VLOOKUP(Tableau1[[#This Row],[Key(ID-Actif)]],'DATA BTO'!A:N,5,FALSE)</f>
        <v>#N/A</v>
      </c>
      <c r="AB163" s="3" t="e">
        <f ca="1">VLOOKUP(Tableau1[[#This Row],[Key(ID-Actif)]],'DATA BTO'!A:N,6,FALSE)</f>
        <v>#N/A</v>
      </c>
      <c r="AC163" s="50" t="e">
        <f ca="1">VLOOKUP(Tableau1[[#This Row],[Key(ID-Actif)]],'DATA BTO'!A:N,7,FALSE)</f>
        <v>#N/A</v>
      </c>
      <c r="AD163" s="50" t="e">
        <f ca="1">VLOOKUP(Tableau1[[#This Row],[Key(ID-Actif)]],'DATA BTO'!A:N,8,FALSE)</f>
        <v>#N/A</v>
      </c>
      <c r="AE163" s="50" t="e">
        <f ca="1">IF(Tableau1[[#This Row],[First Day to POL]]&lt;=Tableau1[[#This Row],[Day Cut Off]],Tableau1[[#This Row],[Day ETD]],Tableau1[[#This Row],[Day ETD]]+7)</f>
        <v>#N/A</v>
      </c>
      <c r="AF163" s="50" t="e">
        <f ca="1">VLOOKUP(Tableau1[[#This Row],[Key(ID-Actif)]],'DATA BTO'!A:N,9,FALSE)</f>
        <v>#N/A</v>
      </c>
      <c r="AG163" s="3" t="e">
        <f ca="1">VLOOKUP(Tableau1[[#This Row],[Key(ID-Actif)]],'DATA BTO'!A:N,10,FALSE)</f>
        <v>#N/A</v>
      </c>
      <c r="AH163" s="3" t="e">
        <f ca="1">VLOOKUP(Tableau1[[#This Row],[Key(ID-Actif)]],'DATA BTO'!A:N,11,FALSE)</f>
        <v>#N/A</v>
      </c>
      <c r="AI163" s="50" t="e">
        <f ca="1">VLOOKUP(Tableau1[[#This Row],[Key(ID-Actif)]],'DATA BTO'!A:N,12,FALSE)</f>
        <v>#N/A</v>
      </c>
      <c r="AJ163" s="53" t="e">
        <f ca="1">VLOOKUP(Tableau1[[#This Row],[Key(ID-Actif)]],'DATA BTO'!A:N,14,FALSE)</f>
        <v>#N/A</v>
      </c>
      <c r="AK163" s="54" t="e">
        <f ca="1">VLOOKUP(Tableau1[[#This Row],[Key(POD -PFI- Usine)]],'DATA Consignee'!A:F,6,FALSE)</f>
        <v>#N/A</v>
      </c>
      <c r="AL163" s="125"/>
      <c r="AM163" s="483" t="str">
        <f>IF(Tableau1[[#This Row],[Name PFI/CDD]]="","-",VLOOKUP(Tableau1[[#This Row],[Name PFI/CDD]],Plant_AILN!I:J,2,FALSE))</f>
        <v>-</v>
      </c>
      <c r="AN16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3" s="2" t="e">
        <f ca="1">VLOOKUP(Tableau1[[#This Row],[Key(POD -PFI- Usine)]],'DATA Consignee'!A:J,10,FALSE)</f>
        <v>#N/A</v>
      </c>
      <c r="AQ163" s="50" t="e">
        <f ca="1">VLOOKUP(Tableau1[[#This Row],[Key(POD -PFI- Usine)]],'DATA Consignee'!A:N,14,FALSE)</f>
        <v>#N/A</v>
      </c>
      <c r="AR16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3" s="50" t="e">
        <f ca="1">Tableau1[[#This Row],[Transit time]]+Tableau1[[#This Row],[Time for security]]+Tableau1[[#This Row],[Time for security2 buffer]]</f>
        <v>#N/A</v>
      </c>
      <c r="AU16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3" s="389" t="e">
        <f ca="1">Tableau1[[#This Row],[Leadtime SI2C]]+Tableau1[[#This Row],[First Receipt Days]]-Tableau1[[#This Row],[Day Customer Order]]+1</f>
        <v>#N/A</v>
      </c>
      <c r="AW163" s="117" t="e">
        <f ca="1">IF(Tableau1[[#This Row],[Name ILN]]&lt;&gt;"SFK Freight Forwarder",Tableau1[[#This Row],[Cust. Leadtime]],Tableau1[[#This Row],[Leadtime SI2C]])</f>
        <v>#N/A</v>
      </c>
      <c r="AX163" s="51" t="e">
        <f>VLOOKUP(Tableau1[[#This Row],[ID]],'DATA BTO'!B:P,15,FALSE)</f>
        <v>#N/A</v>
      </c>
      <c r="AY163" s="328" t="e">
        <f ca="1">IFERROR(VLOOKUP(Tableau1[[#This Row],[Key(ID-Actif)]],'DATA BTO'!A:N,4,FALSE),VLOOKUP(Tableau1[[#This Row],[ID]],'DATA BTO'!B:N,3,FALSE))</f>
        <v>#N/A</v>
      </c>
      <c r="AZ16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3" s="50"/>
    </row>
    <row r="164" spans="2:57">
      <c r="B164" s="65" t="str">
        <f>_xlfn.CONCAT(Tableau1[[#This Row],[Name ILN]],"-",Tableau1[[#This Row],[Name Shipper]],"-",Tableau1[[#This Row],[Name Site]])</f>
        <v>--</v>
      </c>
      <c r="C164" s="65" t="e">
        <f>_xlfn.CONCAT(Tableau1[[#This Row],[Compte ILN]],"-",Tableau1[[#This Row],[Compte Shipper]],"-",Tableau1[[#This Row],[POL]],"-",Tableau1[[#This Row],[Compte Consignee]])</f>
        <v>#N/A</v>
      </c>
      <c r="D164" s="64" t="e">
        <f>_xlfn.CONCAT(Tableau1[[#This Row],[Compte ILN]],"-",Tableau1[[#This Row],[Compte Shipper]],"-",Tableau1[[#This Row],[POL]])</f>
        <v>#N/A</v>
      </c>
      <c r="E164" s="396" t="e">
        <f ca="1">_xlfn.CONCAT(Tableau1[[#This Row],[POL]],"-",Tableau1[[#This Row],[Carrier]],"-",Tableau1[[#This Row],[POD]])</f>
        <v>#N/A</v>
      </c>
      <c r="F164" s="64" t="str">
        <f>_xlfn.CONCAT(Tableau1[[#This Row],[ID]],"-","Actif")</f>
        <v>-Actif</v>
      </c>
      <c r="G164" s="64" t="e">
        <f ca="1">_xlfn.CONCAT(Tableau1[[#This Row],[POD]],"-",Tableau1[[#This Row],[Code PFI]],"-",Tableau1[[#This Row],[Compte Consignee]])</f>
        <v>#N/A</v>
      </c>
      <c r="H16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4" s="397" t="str">
        <f ca="1">IF(COUNTIF(I:I,Tableau1[[#This Row],[Plant-ILN-shipper-POL-Carrier-POD-PFI]])=1,"Non","Oui")</f>
        <v>Oui</v>
      </c>
      <c r="K164" s="398" t="e">
        <f>VLOOKUP(Tableau1[[#This Row],[Name Site]],Plant_AILN!A:D,4,FALSE)</f>
        <v>#N/A</v>
      </c>
      <c r="L164" s="285"/>
      <c r="M164" s="480" t="e">
        <f>VLOOKUP(Tableau1[[#This Row],[Name Site]],Plant_AILN!A:C,3,FALSE)</f>
        <v>#N/A</v>
      </c>
      <c r="N164" s="55" t="e">
        <f>VLOOKUP(Tableau1[[#This Row],[Compte Consignee]],Order!C:D,2,FALSE)</f>
        <v>#N/A</v>
      </c>
      <c r="O164" s="122"/>
      <c r="P164" s="481" t="e">
        <f>VLOOKUP(Tableau1[[#This Row],[Name ILN]],Plant_AILN!F:G,2,FALSE)</f>
        <v>#N/A</v>
      </c>
      <c r="Q164" s="50" t="e">
        <f>VLOOKUP(Tableau1[[#This Row],[Compte ILN]],'DATA ILN'!D:I,6,FALSE)</f>
        <v>#N/A</v>
      </c>
      <c r="R164" s="50" t="e">
        <f>IFERROR(VLOOKUP(Tableau1[[#This Row],[Key(Compte ILN - shipper - POL - plant)]],'DATA ILN'!A:J,10,FALSE),VLOOKUP(Tableau1[[#This Row],[Key(Compte ILN - shipper - POL)]],'DATA ILN'!B:J,9,FALSE))</f>
        <v>#N/A</v>
      </c>
      <c r="S164" s="50" t="e">
        <f>IFERROR(VLOOKUP(Tableau1[[#This Row],[Key(Compte ILN - shipper - POL - plant)]],'DATA ILN'!A:K,11,FALSE),VLOOKUP(Tableau1[[#This Row],[Key(Compte ILN - shipper - POL)]],'DATA ILN'!B:K,10,FALSE))</f>
        <v>#N/A</v>
      </c>
      <c r="T164" s="50" t="e">
        <f>IFERROR(VLOOKUP(Tableau1[[#This Row],[Key(Compte ILN - shipper - POL - plant)]],'DATA ILN'!A:L,12,FALSE),VLOOKUP(Tableau1[[#This Row],[Key(Compte ILN - shipper - POL)]],'DATA ILN'!B:L,11,FALSE))</f>
        <v>#N/A</v>
      </c>
      <c r="U164" s="50" t="e">
        <f>Tableau1[[#This Row],[Day ILN Order]]+Tableau1[[#This Row],[Delivery time to ILN/Shipper]]-1</f>
        <v>#N/A</v>
      </c>
      <c r="V164" s="50" t="e">
        <f>IFERROR(VLOOKUP(Tableau1[[#This Row],[Key(Compte ILN - shipper - POL - plant)]],'DATA ILN'!A:N,14,FALSE),VLOOKUP(Tableau1[[#This Row],[Key(Compte ILN - shipper - POL)]],'DATA ILN'!B:N,13,FALSE))</f>
        <v>#N/A</v>
      </c>
      <c r="W164" s="53" t="e">
        <f>IFERROR(VLOOKUP(Tableau1[[#This Row],[Key(Compte ILN - shipper - POL - plant)]],'DATA ILN'!A:P,16,FALSE),VLOOKUP(Tableau1[[#This Row],[Key(Compte ILN - shipper - POL)]],'DATA ILN'!B:P,15,FALSE))</f>
        <v>#N/A</v>
      </c>
      <c r="X164" s="283"/>
      <c r="Y164" s="482">
        <f>IFERROR(VLOOKUP(Tableau1[[#This Row],[Name Shipper]],Plant_AILN!L:M,2,FALSE),0)</f>
        <v>0</v>
      </c>
      <c r="Z164" s="358"/>
      <c r="AA164" s="353" t="e">
        <f ca="1">VLOOKUP(Tableau1[[#This Row],[Key(ID-Actif)]],'DATA BTO'!A:N,5,FALSE)</f>
        <v>#N/A</v>
      </c>
      <c r="AB164" s="3" t="e">
        <f ca="1">VLOOKUP(Tableau1[[#This Row],[Key(ID-Actif)]],'DATA BTO'!A:N,6,FALSE)</f>
        <v>#N/A</v>
      </c>
      <c r="AC164" s="50" t="e">
        <f ca="1">VLOOKUP(Tableau1[[#This Row],[Key(ID-Actif)]],'DATA BTO'!A:N,7,FALSE)</f>
        <v>#N/A</v>
      </c>
      <c r="AD164" s="50" t="e">
        <f ca="1">VLOOKUP(Tableau1[[#This Row],[Key(ID-Actif)]],'DATA BTO'!A:N,8,FALSE)</f>
        <v>#N/A</v>
      </c>
      <c r="AE164" s="50" t="e">
        <f ca="1">IF(Tableau1[[#This Row],[First Day to POL]]&lt;=Tableau1[[#This Row],[Day Cut Off]],Tableau1[[#This Row],[Day ETD]],Tableau1[[#This Row],[Day ETD]]+7)</f>
        <v>#N/A</v>
      </c>
      <c r="AF164" s="50" t="e">
        <f ca="1">VLOOKUP(Tableau1[[#This Row],[Key(ID-Actif)]],'DATA BTO'!A:N,9,FALSE)</f>
        <v>#N/A</v>
      </c>
      <c r="AG164" s="3" t="e">
        <f ca="1">VLOOKUP(Tableau1[[#This Row],[Key(ID-Actif)]],'DATA BTO'!A:N,10,FALSE)</f>
        <v>#N/A</v>
      </c>
      <c r="AH164" s="3" t="e">
        <f ca="1">VLOOKUP(Tableau1[[#This Row],[Key(ID-Actif)]],'DATA BTO'!A:N,11,FALSE)</f>
        <v>#N/A</v>
      </c>
      <c r="AI164" s="50" t="e">
        <f ca="1">VLOOKUP(Tableau1[[#This Row],[Key(ID-Actif)]],'DATA BTO'!A:N,12,FALSE)</f>
        <v>#N/A</v>
      </c>
      <c r="AJ164" s="53" t="e">
        <f ca="1">VLOOKUP(Tableau1[[#This Row],[Key(ID-Actif)]],'DATA BTO'!A:N,14,FALSE)</f>
        <v>#N/A</v>
      </c>
      <c r="AK164" s="54" t="e">
        <f ca="1">VLOOKUP(Tableau1[[#This Row],[Key(POD -PFI- Usine)]],'DATA Consignee'!A:F,6,FALSE)</f>
        <v>#N/A</v>
      </c>
      <c r="AL164" s="125"/>
      <c r="AM164" s="483" t="str">
        <f>IF(Tableau1[[#This Row],[Name PFI/CDD]]="","-",VLOOKUP(Tableau1[[#This Row],[Name PFI/CDD]],Plant_AILN!I:J,2,FALSE))</f>
        <v>-</v>
      </c>
      <c r="AN16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4" s="2" t="e">
        <f ca="1">VLOOKUP(Tableau1[[#This Row],[Key(POD -PFI- Usine)]],'DATA Consignee'!A:J,10,FALSE)</f>
        <v>#N/A</v>
      </c>
      <c r="AQ164" s="50" t="e">
        <f ca="1">VLOOKUP(Tableau1[[#This Row],[Key(POD -PFI- Usine)]],'DATA Consignee'!A:N,14,FALSE)</f>
        <v>#N/A</v>
      </c>
      <c r="AR16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4" s="50" t="e">
        <f ca="1">Tableau1[[#This Row],[Transit time]]+Tableau1[[#This Row],[Time for security]]+Tableau1[[#This Row],[Time for security2 buffer]]</f>
        <v>#N/A</v>
      </c>
      <c r="AU16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4" s="389" t="e">
        <f ca="1">Tableau1[[#This Row],[Leadtime SI2C]]+Tableau1[[#This Row],[First Receipt Days]]-Tableau1[[#This Row],[Day Customer Order]]+1</f>
        <v>#N/A</v>
      </c>
      <c r="AW164" s="117" t="e">
        <f ca="1">IF(Tableau1[[#This Row],[Name ILN]]&lt;&gt;"SFK Freight Forwarder",Tableau1[[#This Row],[Cust. Leadtime]],Tableau1[[#This Row],[Leadtime SI2C]])</f>
        <v>#N/A</v>
      </c>
      <c r="AX164" s="51" t="e">
        <f>VLOOKUP(Tableau1[[#This Row],[ID]],'DATA BTO'!B:P,15,FALSE)</f>
        <v>#N/A</v>
      </c>
      <c r="AY164" s="328" t="e">
        <f ca="1">IFERROR(VLOOKUP(Tableau1[[#This Row],[Key(ID-Actif)]],'DATA BTO'!A:N,4,FALSE),VLOOKUP(Tableau1[[#This Row],[ID]],'DATA BTO'!B:N,3,FALSE))</f>
        <v>#N/A</v>
      </c>
      <c r="AZ16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4" s="50"/>
    </row>
    <row r="165" spans="2:57">
      <c r="B165" s="65" t="str">
        <f>_xlfn.CONCAT(Tableau1[[#This Row],[Name ILN]],"-",Tableau1[[#This Row],[Name Shipper]],"-",Tableau1[[#This Row],[Name Site]])</f>
        <v>--</v>
      </c>
      <c r="C165" s="65" t="e">
        <f>_xlfn.CONCAT(Tableau1[[#This Row],[Compte ILN]],"-",Tableau1[[#This Row],[Compte Shipper]],"-",Tableau1[[#This Row],[POL]],"-",Tableau1[[#This Row],[Compte Consignee]])</f>
        <v>#N/A</v>
      </c>
      <c r="D165" s="64" t="e">
        <f>_xlfn.CONCAT(Tableau1[[#This Row],[Compte ILN]],"-",Tableau1[[#This Row],[Compte Shipper]],"-",Tableau1[[#This Row],[POL]])</f>
        <v>#N/A</v>
      </c>
      <c r="E165" s="396" t="e">
        <f ca="1">_xlfn.CONCAT(Tableau1[[#This Row],[POL]],"-",Tableau1[[#This Row],[Carrier]],"-",Tableau1[[#This Row],[POD]])</f>
        <v>#N/A</v>
      </c>
      <c r="F165" s="64" t="str">
        <f>_xlfn.CONCAT(Tableau1[[#This Row],[ID]],"-","Actif")</f>
        <v>-Actif</v>
      </c>
      <c r="G165" s="64" t="e">
        <f ca="1">_xlfn.CONCAT(Tableau1[[#This Row],[POD]],"-",Tableau1[[#This Row],[Code PFI]],"-",Tableau1[[#This Row],[Compte Consignee]])</f>
        <v>#N/A</v>
      </c>
      <c r="H16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5" s="397" t="str">
        <f ca="1">IF(COUNTIF(I:I,Tableau1[[#This Row],[Plant-ILN-shipper-POL-Carrier-POD-PFI]])=1,"Non","Oui")</f>
        <v>Oui</v>
      </c>
      <c r="K165" s="398" t="e">
        <f>VLOOKUP(Tableau1[[#This Row],[Name Site]],Plant_AILN!A:D,4,FALSE)</f>
        <v>#N/A</v>
      </c>
      <c r="L165" s="285"/>
      <c r="M165" s="480" t="e">
        <f>VLOOKUP(Tableau1[[#This Row],[Name Site]],Plant_AILN!A:C,3,FALSE)</f>
        <v>#N/A</v>
      </c>
      <c r="N165" s="55" t="e">
        <f>VLOOKUP(Tableau1[[#This Row],[Compte Consignee]],Order!C:D,2,FALSE)</f>
        <v>#N/A</v>
      </c>
      <c r="O165" s="122"/>
      <c r="P165" s="481" t="e">
        <f>VLOOKUP(Tableau1[[#This Row],[Name ILN]],Plant_AILN!F:G,2,FALSE)</f>
        <v>#N/A</v>
      </c>
      <c r="Q165" s="50" t="e">
        <f>VLOOKUP(Tableau1[[#This Row],[Compte ILN]],'DATA ILN'!D:I,6,FALSE)</f>
        <v>#N/A</v>
      </c>
      <c r="R165" s="50" t="e">
        <f>IFERROR(VLOOKUP(Tableau1[[#This Row],[Key(Compte ILN - shipper - POL - plant)]],'DATA ILN'!A:J,10,FALSE),VLOOKUP(Tableau1[[#This Row],[Key(Compte ILN - shipper - POL)]],'DATA ILN'!B:J,9,FALSE))</f>
        <v>#N/A</v>
      </c>
      <c r="S165" s="50" t="e">
        <f>IFERROR(VLOOKUP(Tableau1[[#This Row],[Key(Compte ILN - shipper - POL - plant)]],'DATA ILN'!A:K,11,FALSE),VLOOKUP(Tableau1[[#This Row],[Key(Compte ILN - shipper - POL)]],'DATA ILN'!B:K,10,FALSE))</f>
        <v>#N/A</v>
      </c>
      <c r="T165" s="50" t="e">
        <f>IFERROR(VLOOKUP(Tableau1[[#This Row],[Key(Compte ILN - shipper - POL - plant)]],'DATA ILN'!A:L,12,FALSE),VLOOKUP(Tableau1[[#This Row],[Key(Compte ILN - shipper - POL)]],'DATA ILN'!B:L,11,FALSE))</f>
        <v>#N/A</v>
      </c>
      <c r="U165" s="50" t="e">
        <f>Tableau1[[#This Row],[Day ILN Order]]+Tableau1[[#This Row],[Delivery time to ILN/Shipper]]-1</f>
        <v>#N/A</v>
      </c>
      <c r="V165" s="50" t="e">
        <f>IFERROR(VLOOKUP(Tableau1[[#This Row],[Key(Compte ILN - shipper - POL - plant)]],'DATA ILN'!A:N,14,FALSE),VLOOKUP(Tableau1[[#This Row],[Key(Compte ILN - shipper - POL)]],'DATA ILN'!B:N,13,FALSE))</f>
        <v>#N/A</v>
      </c>
      <c r="W165" s="53" t="e">
        <f>IFERROR(VLOOKUP(Tableau1[[#This Row],[Key(Compte ILN - shipper - POL - plant)]],'DATA ILN'!A:P,16,FALSE),VLOOKUP(Tableau1[[#This Row],[Key(Compte ILN - shipper - POL)]],'DATA ILN'!B:P,15,FALSE))</f>
        <v>#N/A</v>
      </c>
      <c r="X165" s="283"/>
      <c r="Y165" s="482">
        <f>IFERROR(VLOOKUP(Tableau1[[#This Row],[Name Shipper]],Plant_AILN!L:M,2,FALSE),0)</f>
        <v>0</v>
      </c>
      <c r="Z165" s="358"/>
      <c r="AA165" s="353" t="e">
        <f ca="1">VLOOKUP(Tableau1[[#This Row],[Key(ID-Actif)]],'DATA BTO'!A:N,5,FALSE)</f>
        <v>#N/A</v>
      </c>
      <c r="AB165" s="3" t="e">
        <f ca="1">VLOOKUP(Tableau1[[#This Row],[Key(ID-Actif)]],'DATA BTO'!A:N,6,FALSE)</f>
        <v>#N/A</v>
      </c>
      <c r="AC165" s="50" t="e">
        <f ca="1">VLOOKUP(Tableau1[[#This Row],[Key(ID-Actif)]],'DATA BTO'!A:N,7,FALSE)</f>
        <v>#N/A</v>
      </c>
      <c r="AD165" s="50" t="e">
        <f ca="1">VLOOKUP(Tableau1[[#This Row],[Key(ID-Actif)]],'DATA BTO'!A:N,8,FALSE)</f>
        <v>#N/A</v>
      </c>
      <c r="AE165" s="50" t="e">
        <f ca="1">IF(Tableau1[[#This Row],[First Day to POL]]&lt;=Tableau1[[#This Row],[Day Cut Off]],Tableau1[[#This Row],[Day ETD]],Tableau1[[#This Row],[Day ETD]]+7)</f>
        <v>#N/A</v>
      </c>
      <c r="AF165" s="50" t="e">
        <f ca="1">VLOOKUP(Tableau1[[#This Row],[Key(ID-Actif)]],'DATA BTO'!A:N,9,FALSE)</f>
        <v>#N/A</v>
      </c>
      <c r="AG165" s="3" t="e">
        <f ca="1">VLOOKUP(Tableau1[[#This Row],[Key(ID-Actif)]],'DATA BTO'!A:N,10,FALSE)</f>
        <v>#N/A</v>
      </c>
      <c r="AH165" s="3" t="e">
        <f ca="1">VLOOKUP(Tableau1[[#This Row],[Key(ID-Actif)]],'DATA BTO'!A:N,11,FALSE)</f>
        <v>#N/A</v>
      </c>
      <c r="AI165" s="50" t="e">
        <f ca="1">VLOOKUP(Tableau1[[#This Row],[Key(ID-Actif)]],'DATA BTO'!A:N,12,FALSE)</f>
        <v>#N/A</v>
      </c>
      <c r="AJ165" s="53" t="e">
        <f ca="1">VLOOKUP(Tableau1[[#This Row],[Key(ID-Actif)]],'DATA BTO'!A:N,14,FALSE)</f>
        <v>#N/A</v>
      </c>
      <c r="AK165" s="54" t="e">
        <f ca="1">VLOOKUP(Tableau1[[#This Row],[Key(POD -PFI- Usine)]],'DATA Consignee'!A:F,6,FALSE)</f>
        <v>#N/A</v>
      </c>
      <c r="AL165" s="125"/>
      <c r="AM165" s="483" t="str">
        <f>IF(Tableau1[[#This Row],[Name PFI/CDD]]="","-",VLOOKUP(Tableau1[[#This Row],[Name PFI/CDD]],Plant_AILN!I:J,2,FALSE))</f>
        <v>-</v>
      </c>
      <c r="AN16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5" s="2" t="e">
        <f ca="1">VLOOKUP(Tableau1[[#This Row],[Key(POD -PFI- Usine)]],'DATA Consignee'!A:J,10,FALSE)</f>
        <v>#N/A</v>
      </c>
      <c r="AQ165" s="50" t="e">
        <f ca="1">VLOOKUP(Tableau1[[#This Row],[Key(POD -PFI- Usine)]],'DATA Consignee'!A:N,14,FALSE)</f>
        <v>#N/A</v>
      </c>
      <c r="AR16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5" s="50" t="e">
        <f ca="1">Tableau1[[#This Row],[Transit time]]+Tableau1[[#This Row],[Time for security]]+Tableau1[[#This Row],[Time for security2 buffer]]</f>
        <v>#N/A</v>
      </c>
      <c r="AU16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5" s="389" t="e">
        <f ca="1">Tableau1[[#This Row],[Leadtime SI2C]]+Tableau1[[#This Row],[First Receipt Days]]-Tableau1[[#This Row],[Day Customer Order]]+1</f>
        <v>#N/A</v>
      </c>
      <c r="AW165" s="117" t="e">
        <f ca="1">IF(Tableau1[[#This Row],[Name ILN]]&lt;&gt;"SFK Freight Forwarder",Tableau1[[#This Row],[Cust. Leadtime]],Tableau1[[#This Row],[Leadtime SI2C]])</f>
        <v>#N/A</v>
      </c>
      <c r="AX165" s="51" t="e">
        <f>VLOOKUP(Tableau1[[#This Row],[ID]],'DATA BTO'!B:P,15,FALSE)</f>
        <v>#N/A</v>
      </c>
      <c r="AY165" s="328" t="e">
        <f ca="1">IFERROR(VLOOKUP(Tableau1[[#This Row],[Key(ID-Actif)]],'DATA BTO'!A:N,4,FALSE),VLOOKUP(Tableau1[[#This Row],[ID]],'DATA BTO'!B:N,3,FALSE))</f>
        <v>#N/A</v>
      </c>
      <c r="AZ16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5" s="50"/>
    </row>
    <row r="166" spans="2:57">
      <c r="B166" s="65" t="str">
        <f>_xlfn.CONCAT(Tableau1[[#This Row],[Name ILN]],"-",Tableau1[[#This Row],[Name Shipper]],"-",Tableau1[[#This Row],[Name Site]])</f>
        <v>--</v>
      </c>
      <c r="C166" s="65" t="e">
        <f>_xlfn.CONCAT(Tableau1[[#This Row],[Compte ILN]],"-",Tableau1[[#This Row],[Compte Shipper]],"-",Tableau1[[#This Row],[POL]],"-",Tableau1[[#This Row],[Compte Consignee]])</f>
        <v>#N/A</v>
      </c>
      <c r="D166" s="64" t="e">
        <f>_xlfn.CONCAT(Tableau1[[#This Row],[Compte ILN]],"-",Tableau1[[#This Row],[Compte Shipper]],"-",Tableau1[[#This Row],[POL]])</f>
        <v>#N/A</v>
      </c>
      <c r="E166" s="396" t="e">
        <f ca="1">_xlfn.CONCAT(Tableau1[[#This Row],[POL]],"-",Tableau1[[#This Row],[Carrier]],"-",Tableau1[[#This Row],[POD]])</f>
        <v>#N/A</v>
      </c>
      <c r="F166" s="64" t="str">
        <f>_xlfn.CONCAT(Tableau1[[#This Row],[ID]],"-","Actif")</f>
        <v>-Actif</v>
      </c>
      <c r="G166" s="64" t="e">
        <f ca="1">_xlfn.CONCAT(Tableau1[[#This Row],[POD]],"-",Tableau1[[#This Row],[Code PFI]],"-",Tableau1[[#This Row],[Compte Consignee]])</f>
        <v>#N/A</v>
      </c>
      <c r="H16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6" s="397" t="str">
        <f ca="1">IF(COUNTIF(I:I,Tableau1[[#This Row],[Plant-ILN-shipper-POL-Carrier-POD-PFI]])=1,"Non","Oui")</f>
        <v>Oui</v>
      </c>
      <c r="K166" s="398" t="e">
        <f>VLOOKUP(Tableau1[[#This Row],[Name Site]],Plant_AILN!A:D,4,FALSE)</f>
        <v>#N/A</v>
      </c>
      <c r="L166" s="285"/>
      <c r="M166" s="480" t="e">
        <f>VLOOKUP(Tableau1[[#This Row],[Name Site]],Plant_AILN!A:C,3,FALSE)</f>
        <v>#N/A</v>
      </c>
      <c r="N166" s="55" t="e">
        <f>VLOOKUP(Tableau1[[#This Row],[Compte Consignee]],Order!C:D,2,FALSE)</f>
        <v>#N/A</v>
      </c>
      <c r="O166" s="122"/>
      <c r="P166" s="481" t="e">
        <f>VLOOKUP(Tableau1[[#This Row],[Name ILN]],Plant_AILN!F:G,2,FALSE)</f>
        <v>#N/A</v>
      </c>
      <c r="Q166" s="50" t="e">
        <f>VLOOKUP(Tableau1[[#This Row],[Compte ILN]],'DATA ILN'!D:I,6,FALSE)</f>
        <v>#N/A</v>
      </c>
      <c r="R166" s="50" t="e">
        <f>IFERROR(VLOOKUP(Tableau1[[#This Row],[Key(Compte ILN - shipper - POL - plant)]],'DATA ILN'!A:J,10,FALSE),VLOOKUP(Tableau1[[#This Row],[Key(Compte ILN - shipper - POL)]],'DATA ILN'!B:J,9,FALSE))</f>
        <v>#N/A</v>
      </c>
      <c r="S166" s="50" t="e">
        <f>IFERROR(VLOOKUP(Tableau1[[#This Row],[Key(Compte ILN - shipper - POL - plant)]],'DATA ILN'!A:K,11,FALSE),VLOOKUP(Tableau1[[#This Row],[Key(Compte ILN - shipper - POL)]],'DATA ILN'!B:K,10,FALSE))</f>
        <v>#N/A</v>
      </c>
      <c r="T166" s="50" t="e">
        <f>IFERROR(VLOOKUP(Tableau1[[#This Row],[Key(Compte ILN - shipper - POL - plant)]],'DATA ILN'!A:L,12,FALSE),VLOOKUP(Tableau1[[#This Row],[Key(Compte ILN - shipper - POL)]],'DATA ILN'!B:L,11,FALSE))</f>
        <v>#N/A</v>
      </c>
      <c r="U166" s="50" t="e">
        <f>Tableau1[[#This Row],[Day ILN Order]]+Tableau1[[#This Row],[Delivery time to ILN/Shipper]]-1</f>
        <v>#N/A</v>
      </c>
      <c r="V166" s="50" t="e">
        <f>IFERROR(VLOOKUP(Tableau1[[#This Row],[Key(Compte ILN - shipper - POL - plant)]],'DATA ILN'!A:N,14,FALSE),VLOOKUP(Tableau1[[#This Row],[Key(Compte ILN - shipper - POL)]],'DATA ILN'!B:N,13,FALSE))</f>
        <v>#N/A</v>
      </c>
      <c r="W166" s="53" t="e">
        <f>IFERROR(VLOOKUP(Tableau1[[#This Row],[Key(Compte ILN - shipper - POL - plant)]],'DATA ILN'!A:P,16,FALSE),VLOOKUP(Tableau1[[#This Row],[Key(Compte ILN - shipper - POL)]],'DATA ILN'!B:P,15,FALSE))</f>
        <v>#N/A</v>
      </c>
      <c r="X166" s="283"/>
      <c r="Y166" s="482">
        <f>IFERROR(VLOOKUP(Tableau1[[#This Row],[Name Shipper]],Plant_AILN!L:M,2,FALSE),0)</f>
        <v>0</v>
      </c>
      <c r="Z166" s="358"/>
      <c r="AA166" s="353" t="e">
        <f ca="1">VLOOKUP(Tableau1[[#This Row],[Key(ID-Actif)]],'DATA BTO'!A:N,5,FALSE)</f>
        <v>#N/A</v>
      </c>
      <c r="AB166" s="3" t="e">
        <f ca="1">VLOOKUP(Tableau1[[#This Row],[Key(ID-Actif)]],'DATA BTO'!A:N,6,FALSE)</f>
        <v>#N/A</v>
      </c>
      <c r="AC166" s="50" t="e">
        <f ca="1">VLOOKUP(Tableau1[[#This Row],[Key(ID-Actif)]],'DATA BTO'!A:N,7,FALSE)</f>
        <v>#N/A</v>
      </c>
      <c r="AD166" s="50" t="e">
        <f ca="1">VLOOKUP(Tableau1[[#This Row],[Key(ID-Actif)]],'DATA BTO'!A:N,8,FALSE)</f>
        <v>#N/A</v>
      </c>
      <c r="AE166" s="50" t="e">
        <f ca="1">IF(Tableau1[[#This Row],[First Day to POL]]&lt;=Tableau1[[#This Row],[Day Cut Off]],Tableau1[[#This Row],[Day ETD]],Tableau1[[#This Row],[Day ETD]]+7)</f>
        <v>#N/A</v>
      </c>
      <c r="AF166" s="50" t="e">
        <f ca="1">VLOOKUP(Tableau1[[#This Row],[Key(ID-Actif)]],'DATA BTO'!A:N,9,FALSE)</f>
        <v>#N/A</v>
      </c>
      <c r="AG166" s="3" t="e">
        <f ca="1">VLOOKUP(Tableau1[[#This Row],[Key(ID-Actif)]],'DATA BTO'!A:N,10,FALSE)</f>
        <v>#N/A</v>
      </c>
      <c r="AH166" s="3" t="e">
        <f ca="1">VLOOKUP(Tableau1[[#This Row],[Key(ID-Actif)]],'DATA BTO'!A:N,11,FALSE)</f>
        <v>#N/A</v>
      </c>
      <c r="AI166" s="50" t="e">
        <f ca="1">VLOOKUP(Tableau1[[#This Row],[Key(ID-Actif)]],'DATA BTO'!A:N,12,FALSE)</f>
        <v>#N/A</v>
      </c>
      <c r="AJ166" s="53" t="e">
        <f ca="1">VLOOKUP(Tableau1[[#This Row],[Key(ID-Actif)]],'DATA BTO'!A:N,14,FALSE)</f>
        <v>#N/A</v>
      </c>
      <c r="AK166" s="54" t="e">
        <f ca="1">VLOOKUP(Tableau1[[#This Row],[Key(POD -PFI- Usine)]],'DATA Consignee'!A:F,6,FALSE)</f>
        <v>#N/A</v>
      </c>
      <c r="AL166" s="125"/>
      <c r="AM166" s="483" t="str">
        <f>IF(Tableau1[[#This Row],[Name PFI/CDD]]="","-",VLOOKUP(Tableau1[[#This Row],[Name PFI/CDD]],Plant_AILN!I:J,2,FALSE))</f>
        <v>-</v>
      </c>
      <c r="AN16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6" s="2" t="e">
        <f ca="1">VLOOKUP(Tableau1[[#This Row],[Key(POD -PFI- Usine)]],'DATA Consignee'!A:J,10,FALSE)</f>
        <v>#N/A</v>
      </c>
      <c r="AQ166" s="50" t="e">
        <f ca="1">VLOOKUP(Tableau1[[#This Row],[Key(POD -PFI- Usine)]],'DATA Consignee'!A:N,14,FALSE)</f>
        <v>#N/A</v>
      </c>
      <c r="AR16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6" s="50" t="e">
        <f ca="1">Tableau1[[#This Row],[Transit time]]+Tableau1[[#This Row],[Time for security]]+Tableau1[[#This Row],[Time for security2 buffer]]</f>
        <v>#N/A</v>
      </c>
      <c r="AU16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6" s="389" t="e">
        <f ca="1">Tableau1[[#This Row],[Leadtime SI2C]]+Tableau1[[#This Row],[First Receipt Days]]-Tableau1[[#This Row],[Day Customer Order]]+1</f>
        <v>#N/A</v>
      </c>
      <c r="AW166" s="117" t="e">
        <f ca="1">IF(Tableau1[[#This Row],[Name ILN]]&lt;&gt;"SFK Freight Forwarder",Tableau1[[#This Row],[Cust. Leadtime]],Tableau1[[#This Row],[Leadtime SI2C]])</f>
        <v>#N/A</v>
      </c>
      <c r="AX166" s="51" t="e">
        <f>VLOOKUP(Tableau1[[#This Row],[ID]],'DATA BTO'!B:P,15,FALSE)</f>
        <v>#N/A</v>
      </c>
      <c r="AY166" s="328" t="e">
        <f ca="1">IFERROR(VLOOKUP(Tableau1[[#This Row],[Key(ID-Actif)]],'DATA BTO'!A:N,4,FALSE),VLOOKUP(Tableau1[[#This Row],[ID]],'DATA BTO'!B:N,3,FALSE))</f>
        <v>#N/A</v>
      </c>
      <c r="AZ16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6" s="50"/>
    </row>
    <row r="167" spans="2:57">
      <c r="B167" s="65" t="str">
        <f>_xlfn.CONCAT(Tableau1[[#This Row],[Name ILN]],"-",Tableau1[[#This Row],[Name Shipper]],"-",Tableau1[[#This Row],[Name Site]])</f>
        <v>--</v>
      </c>
      <c r="C167" s="65" t="e">
        <f>_xlfn.CONCAT(Tableau1[[#This Row],[Compte ILN]],"-",Tableau1[[#This Row],[Compte Shipper]],"-",Tableau1[[#This Row],[POL]],"-",Tableau1[[#This Row],[Compte Consignee]])</f>
        <v>#N/A</v>
      </c>
      <c r="D167" s="64" t="e">
        <f>_xlfn.CONCAT(Tableau1[[#This Row],[Compte ILN]],"-",Tableau1[[#This Row],[Compte Shipper]],"-",Tableau1[[#This Row],[POL]])</f>
        <v>#N/A</v>
      </c>
      <c r="E167" s="396" t="e">
        <f ca="1">_xlfn.CONCAT(Tableau1[[#This Row],[POL]],"-",Tableau1[[#This Row],[Carrier]],"-",Tableau1[[#This Row],[POD]])</f>
        <v>#N/A</v>
      </c>
      <c r="F167" s="64" t="str">
        <f>_xlfn.CONCAT(Tableau1[[#This Row],[ID]],"-","Actif")</f>
        <v>-Actif</v>
      </c>
      <c r="G167" s="64" t="e">
        <f ca="1">_xlfn.CONCAT(Tableau1[[#This Row],[POD]],"-",Tableau1[[#This Row],[Code PFI]],"-",Tableau1[[#This Row],[Compte Consignee]])</f>
        <v>#N/A</v>
      </c>
      <c r="H16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7" s="397" t="str">
        <f ca="1">IF(COUNTIF(I:I,Tableau1[[#This Row],[Plant-ILN-shipper-POL-Carrier-POD-PFI]])=1,"Non","Oui")</f>
        <v>Oui</v>
      </c>
      <c r="K167" s="398" t="e">
        <f>VLOOKUP(Tableau1[[#This Row],[Name Site]],Plant_AILN!A:D,4,FALSE)</f>
        <v>#N/A</v>
      </c>
      <c r="L167" s="285"/>
      <c r="M167" s="480" t="e">
        <f>VLOOKUP(Tableau1[[#This Row],[Name Site]],Plant_AILN!A:C,3,FALSE)</f>
        <v>#N/A</v>
      </c>
      <c r="N167" s="55" t="e">
        <f>VLOOKUP(Tableau1[[#This Row],[Compte Consignee]],Order!C:D,2,FALSE)</f>
        <v>#N/A</v>
      </c>
      <c r="O167" s="122"/>
      <c r="P167" s="481" t="e">
        <f>VLOOKUP(Tableau1[[#This Row],[Name ILN]],Plant_AILN!F:G,2,FALSE)</f>
        <v>#N/A</v>
      </c>
      <c r="Q167" s="50" t="e">
        <f>VLOOKUP(Tableau1[[#This Row],[Compte ILN]],'DATA ILN'!D:I,6,FALSE)</f>
        <v>#N/A</v>
      </c>
      <c r="R167" s="50" t="e">
        <f>IFERROR(VLOOKUP(Tableau1[[#This Row],[Key(Compte ILN - shipper - POL - plant)]],'DATA ILN'!A:J,10,FALSE),VLOOKUP(Tableau1[[#This Row],[Key(Compte ILN - shipper - POL)]],'DATA ILN'!B:J,9,FALSE))</f>
        <v>#N/A</v>
      </c>
      <c r="S167" s="50" t="e">
        <f>IFERROR(VLOOKUP(Tableau1[[#This Row],[Key(Compte ILN - shipper - POL - plant)]],'DATA ILN'!A:K,11,FALSE),VLOOKUP(Tableau1[[#This Row],[Key(Compte ILN - shipper - POL)]],'DATA ILN'!B:K,10,FALSE))</f>
        <v>#N/A</v>
      </c>
      <c r="T167" s="50" t="e">
        <f>IFERROR(VLOOKUP(Tableau1[[#This Row],[Key(Compte ILN - shipper - POL - plant)]],'DATA ILN'!A:L,12,FALSE),VLOOKUP(Tableau1[[#This Row],[Key(Compte ILN - shipper - POL)]],'DATA ILN'!B:L,11,FALSE))</f>
        <v>#N/A</v>
      </c>
      <c r="U167" s="50" t="e">
        <f>Tableau1[[#This Row],[Day ILN Order]]+Tableau1[[#This Row],[Delivery time to ILN/Shipper]]-1</f>
        <v>#N/A</v>
      </c>
      <c r="V167" s="50" t="e">
        <f>IFERROR(VLOOKUP(Tableau1[[#This Row],[Key(Compte ILN - shipper - POL - plant)]],'DATA ILN'!A:N,14,FALSE),VLOOKUP(Tableau1[[#This Row],[Key(Compte ILN - shipper - POL)]],'DATA ILN'!B:N,13,FALSE))</f>
        <v>#N/A</v>
      </c>
      <c r="W167" s="53" t="e">
        <f>IFERROR(VLOOKUP(Tableau1[[#This Row],[Key(Compte ILN - shipper - POL - plant)]],'DATA ILN'!A:P,16,FALSE),VLOOKUP(Tableau1[[#This Row],[Key(Compte ILN - shipper - POL)]],'DATA ILN'!B:P,15,FALSE))</f>
        <v>#N/A</v>
      </c>
      <c r="X167" s="283"/>
      <c r="Y167" s="482">
        <f>IFERROR(VLOOKUP(Tableau1[[#This Row],[Name Shipper]],Plant_AILN!L:M,2,FALSE),0)</f>
        <v>0</v>
      </c>
      <c r="Z167" s="358"/>
      <c r="AA167" s="353" t="e">
        <f ca="1">VLOOKUP(Tableau1[[#This Row],[Key(ID-Actif)]],'DATA BTO'!A:N,5,FALSE)</f>
        <v>#N/A</v>
      </c>
      <c r="AB167" s="3" t="e">
        <f ca="1">VLOOKUP(Tableau1[[#This Row],[Key(ID-Actif)]],'DATA BTO'!A:N,6,FALSE)</f>
        <v>#N/A</v>
      </c>
      <c r="AC167" s="50" t="e">
        <f ca="1">VLOOKUP(Tableau1[[#This Row],[Key(ID-Actif)]],'DATA BTO'!A:N,7,FALSE)</f>
        <v>#N/A</v>
      </c>
      <c r="AD167" s="50" t="e">
        <f ca="1">VLOOKUP(Tableau1[[#This Row],[Key(ID-Actif)]],'DATA BTO'!A:N,8,FALSE)</f>
        <v>#N/A</v>
      </c>
      <c r="AE167" s="50" t="e">
        <f ca="1">IF(Tableau1[[#This Row],[First Day to POL]]&lt;=Tableau1[[#This Row],[Day Cut Off]],Tableau1[[#This Row],[Day ETD]],Tableau1[[#This Row],[Day ETD]]+7)</f>
        <v>#N/A</v>
      </c>
      <c r="AF167" s="50" t="e">
        <f ca="1">VLOOKUP(Tableau1[[#This Row],[Key(ID-Actif)]],'DATA BTO'!A:N,9,FALSE)</f>
        <v>#N/A</v>
      </c>
      <c r="AG167" s="3" t="e">
        <f ca="1">VLOOKUP(Tableau1[[#This Row],[Key(ID-Actif)]],'DATA BTO'!A:N,10,FALSE)</f>
        <v>#N/A</v>
      </c>
      <c r="AH167" s="3" t="e">
        <f ca="1">VLOOKUP(Tableau1[[#This Row],[Key(ID-Actif)]],'DATA BTO'!A:N,11,FALSE)</f>
        <v>#N/A</v>
      </c>
      <c r="AI167" s="50" t="e">
        <f ca="1">VLOOKUP(Tableau1[[#This Row],[Key(ID-Actif)]],'DATA BTO'!A:N,12,FALSE)</f>
        <v>#N/A</v>
      </c>
      <c r="AJ167" s="53" t="e">
        <f ca="1">VLOOKUP(Tableau1[[#This Row],[Key(ID-Actif)]],'DATA BTO'!A:N,14,FALSE)</f>
        <v>#N/A</v>
      </c>
      <c r="AK167" s="54" t="e">
        <f ca="1">VLOOKUP(Tableau1[[#This Row],[Key(POD -PFI- Usine)]],'DATA Consignee'!A:F,6,FALSE)</f>
        <v>#N/A</v>
      </c>
      <c r="AL167" s="125"/>
      <c r="AM167" s="483" t="str">
        <f>IF(Tableau1[[#This Row],[Name PFI/CDD]]="","-",VLOOKUP(Tableau1[[#This Row],[Name PFI/CDD]],Plant_AILN!I:J,2,FALSE))</f>
        <v>-</v>
      </c>
      <c r="AN16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7" s="2" t="e">
        <f ca="1">VLOOKUP(Tableau1[[#This Row],[Key(POD -PFI- Usine)]],'DATA Consignee'!A:J,10,FALSE)</f>
        <v>#N/A</v>
      </c>
      <c r="AQ167" s="50" t="e">
        <f ca="1">VLOOKUP(Tableau1[[#This Row],[Key(POD -PFI- Usine)]],'DATA Consignee'!A:N,14,FALSE)</f>
        <v>#N/A</v>
      </c>
      <c r="AR16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7" s="50" t="e">
        <f ca="1">Tableau1[[#This Row],[Transit time]]+Tableau1[[#This Row],[Time for security]]+Tableau1[[#This Row],[Time for security2 buffer]]</f>
        <v>#N/A</v>
      </c>
      <c r="AU16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7" s="389" t="e">
        <f ca="1">Tableau1[[#This Row],[Leadtime SI2C]]+Tableau1[[#This Row],[First Receipt Days]]-Tableau1[[#This Row],[Day Customer Order]]+1</f>
        <v>#N/A</v>
      </c>
      <c r="AW167" s="117" t="e">
        <f ca="1">IF(Tableau1[[#This Row],[Name ILN]]&lt;&gt;"SFK Freight Forwarder",Tableau1[[#This Row],[Cust. Leadtime]],Tableau1[[#This Row],[Leadtime SI2C]])</f>
        <v>#N/A</v>
      </c>
      <c r="AX167" s="51" t="e">
        <f>VLOOKUP(Tableau1[[#This Row],[ID]],'DATA BTO'!B:P,15,FALSE)</f>
        <v>#N/A</v>
      </c>
      <c r="AY167" s="328" t="e">
        <f ca="1">IFERROR(VLOOKUP(Tableau1[[#This Row],[Key(ID-Actif)]],'DATA BTO'!A:N,4,FALSE),VLOOKUP(Tableau1[[#This Row],[ID]],'DATA BTO'!B:N,3,FALSE))</f>
        <v>#N/A</v>
      </c>
      <c r="AZ16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7" s="50"/>
    </row>
    <row r="168" spans="2:57">
      <c r="B168" s="65" t="str">
        <f>_xlfn.CONCAT(Tableau1[[#This Row],[Name ILN]],"-",Tableau1[[#This Row],[Name Shipper]],"-",Tableau1[[#This Row],[Name Site]])</f>
        <v>--</v>
      </c>
      <c r="C168" s="65" t="e">
        <f>_xlfn.CONCAT(Tableau1[[#This Row],[Compte ILN]],"-",Tableau1[[#This Row],[Compte Shipper]],"-",Tableau1[[#This Row],[POL]],"-",Tableau1[[#This Row],[Compte Consignee]])</f>
        <v>#N/A</v>
      </c>
      <c r="D168" s="64" t="e">
        <f>_xlfn.CONCAT(Tableau1[[#This Row],[Compte ILN]],"-",Tableau1[[#This Row],[Compte Shipper]],"-",Tableau1[[#This Row],[POL]])</f>
        <v>#N/A</v>
      </c>
      <c r="E168" s="396" t="e">
        <f ca="1">_xlfn.CONCAT(Tableau1[[#This Row],[POL]],"-",Tableau1[[#This Row],[Carrier]],"-",Tableau1[[#This Row],[POD]])</f>
        <v>#N/A</v>
      </c>
      <c r="F168" s="64" t="str">
        <f>_xlfn.CONCAT(Tableau1[[#This Row],[ID]],"-","Actif")</f>
        <v>-Actif</v>
      </c>
      <c r="G168" s="64" t="e">
        <f ca="1">_xlfn.CONCAT(Tableau1[[#This Row],[POD]],"-",Tableau1[[#This Row],[Code PFI]],"-",Tableau1[[#This Row],[Compte Consignee]])</f>
        <v>#N/A</v>
      </c>
      <c r="H16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8" s="397" t="str">
        <f ca="1">IF(COUNTIF(I:I,Tableau1[[#This Row],[Plant-ILN-shipper-POL-Carrier-POD-PFI]])=1,"Non","Oui")</f>
        <v>Oui</v>
      </c>
      <c r="K168" s="398" t="e">
        <f>VLOOKUP(Tableau1[[#This Row],[Name Site]],Plant_AILN!A:D,4,FALSE)</f>
        <v>#N/A</v>
      </c>
      <c r="L168" s="285"/>
      <c r="M168" s="480" t="e">
        <f>VLOOKUP(Tableau1[[#This Row],[Name Site]],Plant_AILN!A:C,3,FALSE)</f>
        <v>#N/A</v>
      </c>
      <c r="N168" s="55" t="e">
        <f>VLOOKUP(Tableau1[[#This Row],[Compte Consignee]],Order!C:D,2,FALSE)</f>
        <v>#N/A</v>
      </c>
      <c r="O168" s="122"/>
      <c r="P168" s="481" t="e">
        <f>VLOOKUP(Tableau1[[#This Row],[Name ILN]],Plant_AILN!F:G,2,FALSE)</f>
        <v>#N/A</v>
      </c>
      <c r="Q168" s="50" t="e">
        <f>VLOOKUP(Tableau1[[#This Row],[Compte ILN]],'DATA ILN'!D:I,6,FALSE)</f>
        <v>#N/A</v>
      </c>
      <c r="R168" s="50" t="e">
        <f>IFERROR(VLOOKUP(Tableau1[[#This Row],[Key(Compte ILN - shipper - POL - plant)]],'DATA ILN'!A:J,10,FALSE),VLOOKUP(Tableau1[[#This Row],[Key(Compte ILN - shipper - POL)]],'DATA ILN'!B:J,9,FALSE))</f>
        <v>#N/A</v>
      </c>
      <c r="S168" s="50" t="e">
        <f>IFERROR(VLOOKUP(Tableau1[[#This Row],[Key(Compte ILN - shipper - POL - plant)]],'DATA ILN'!A:K,11,FALSE),VLOOKUP(Tableau1[[#This Row],[Key(Compte ILN - shipper - POL)]],'DATA ILN'!B:K,10,FALSE))</f>
        <v>#N/A</v>
      </c>
      <c r="T168" s="50" t="e">
        <f>IFERROR(VLOOKUP(Tableau1[[#This Row],[Key(Compte ILN - shipper - POL - plant)]],'DATA ILN'!A:L,12,FALSE),VLOOKUP(Tableau1[[#This Row],[Key(Compte ILN - shipper - POL)]],'DATA ILN'!B:L,11,FALSE))</f>
        <v>#N/A</v>
      </c>
      <c r="U168" s="50" t="e">
        <f>Tableau1[[#This Row],[Day ILN Order]]+Tableau1[[#This Row],[Delivery time to ILN/Shipper]]-1</f>
        <v>#N/A</v>
      </c>
      <c r="V168" s="50" t="e">
        <f>IFERROR(VLOOKUP(Tableau1[[#This Row],[Key(Compte ILN - shipper - POL - plant)]],'DATA ILN'!A:N,14,FALSE),VLOOKUP(Tableau1[[#This Row],[Key(Compte ILN - shipper - POL)]],'DATA ILN'!B:N,13,FALSE))</f>
        <v>#N/A</v>
      </c>
      <c r="W168" s="53" t="e">
        <f>IFERROR(VLOOKUP(Tableau1[[#This Row],[Key(Compte ILN - shipper - POL - plant)]],'DATA ILN'!A:P,16,FALSE),VLOOKUP(Tableau1[[#This Row],[Key(Compte ILN - shipper - POL)]],'DATA ILN'!B:P,15,FALSE))</f>
        <v>#N/A</v>
      </c>
      <c r="X168" s="283"/>
      <c r="Y168" s="482">
        <f>IFERROR(VLOOKUP(Tableau1[[#This Row],[Name Shipper]],Plant_AILN!L:M,2,FALSE),0)</f>
        <v>0</v>
      </c>
      <c r="Z168" s="358"/>
      <c r="AA168" s="353" t="e">
        <f ca="1">VLOOKUP(Tableau1[[#This Row],[Key(ID-Actif)]],'DATA BTO'!A:N,5,FALSE)</f>
        <v>#N/A</v>
      </c>
      <c r="AB168" s="3" t="e">
        <f ca="1">VLOOKUP(Tableau1[[#This Row],[Key(ID-Actif)]],'DATA BTO'!A:N,6,FALSE)</f>
        <v>#N/A</v>
      </c>
      <c r="AC168" s="50" t="e">
        <f ca="1">VLOOKUP(Tableau1[[#This Row],[Key(ID-Actif)]],'DATA BTO'!A:N,7,FALSE)</f>
        <v>#N/A</v>
      </c>
      <c r="AD168" s="50" t="e">
        <f ca="1">VLOOKUP(Tableau1[[#This Row],[Key(ID-Actif)]],'DATA BTO'!A:N,8,FALSE)</f>
        <v>#N/A</v>
      </c>
      <c r="AE168" s="50" t="e">
        <f ca="1">IF(Tableau1[[#This Row],[First Day to POL]]&lt;=Tableau1[[#This Row],[Day Cut Off]],Tableau1[[#This Row],[Day ETD]],Tableau1[[#This Row],[Day ETD]]+7)</f>
        <v>#N/A</v>
      </c>
      <c r="AF168" s="50" t="e">
        <f ca="1">VLOOKUP(Tableau1[[#This Row],[Key(ID-Actif)]],'DATA BTO'!A:N,9,FALSE)</f>
        <v>#N/A</v>
      </c>
      <c r="AG168" s="3" t="e">
        <f ca="1">VLOOKUP(Tableau1[[#This Row],[Key(ID-Actif)]],'DATA BTO'!A:N,10,FALSE)</f>
        <v>#N/A</v>
      </c>
      <c r="AH168" s="3" t="e">
        <f ca="1">VLOOKUP(Tableau1[[#This Row],[Key(ID-Actif)]],'DATA BTO'!A:N,11,FALSE)</f>
        <v>#N/A</v>
      </c>
      <c r="AI168" s="50" t="e">
        <f ca="1">VLOOKUP(Tableau1[[#This Row],[Key(ID-Actif)]],'DATA BTO'!A:N,12,FALSE)</f>
        <v>#N/A</v>
      </c>
      <c r="AJ168" s="53" t="e">
        <f ca="1">VLOOKUP(Tableau1[[#This Row],[Key(ID-Actif)]],'DATA BTO'!A:N,14,FALSE)</f>
        <v>#N/A</v>
      </c>
      <c r="AK168" s="54" t="e">
        <f ca="1">VLOOKUP(Tableau1[[#This Row],[Key(POD -PFI- Usine)]],'DATA Consignee'!A:F,6,FALSE)</f>
        <v>#N/A</v>
      </c>
      <c r="AL168" s="125"/>
      <c r="AM168" s="483" t="str">
        <f>IF(Tableau1[[#This Row],[Name PFI/CDD]]="","-",VLOOKUP(Tableau1[[#This Row],[Name PFI/CDD]],Plant_AILN!I:J,2,FALSE))</f>
        <v>-</v>
      </c>
      <c r="AN16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8" s="2" t="e">
        <f ca="1">VLOOKUP(Tableau1[[#This Row],[Key(POD -PFI- Usine)]],'DATA Consignee'!A:J,10,FALSE)</f>
        <v>#N/A</v>
      </c>
      <c r="AQ168" s="50" t="e">
        <f ca="1">VLOOKUP(Tableau1[[#This Row],[Key(POD -PFI- Usine)]],'DATA Consignee'!A:N,14,FALSE)</f>
        <v>#N/A</v>
      </c>
      <c r="AR16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8" s="50" t="e">
        <f ca="1">Tableau1[[#This Row],[Transit time]]+Tableau1[[#This Row],[Time for security]]+Tableau1[[#This Row],[Time for security2 buffer]]</f>
        <v>#N/A</v>
      </c>
      <c r="AU16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8" s="389" t="e">
        <f ca="1">Tableau1[[#This Row],[Leadtime SI2C]]+Tableau1[[#This Row],[First Receipt Days]]-Tableau1[[#This Row],[Day Customer Order]]+1</f>
        <v>#N/A</v>
      </c>
      <c r="AW168" s="117" t="e">
        <f ca="1">IF(Tableau1[[#This Row],[Name ILN]]&lt;&gt;"SFK Freight Forwarder",Tableau1[[#This Row],[Cust. Leadtime]],Tableau1[[#This Row],[Leadtime SI2C]])</f>
        <v>#N/A</v>
      </c>
      <c r="AX168" s="51" t="e">
        <f>VLOOKUP(Tableau1[[#This Row],[ID]],'DATA BTO'!B:P,15,FALSE)</f>
        <v>#N/A</v>
      </c>
      <c r="AY168" s="328" t="e">
        <f ca="1">IFERROR(VLOOKUP(Tableau1[[#This Row],[Key(ID-Actif)]],'DATA BTO'!A:N,4,FALSE),VLOOKUP(Tableau1[[#This Row],[ID]],'DATA BTO'!B:N,3,FALSE))</f>
        <v>#N/A</v>
      </c>
      <c r="AZ16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8" s="50"/>
    </row>
    <row r="169" spans="2:57">
      <c r="B169" s="65" t="str">
        <f>_xlfn.CONCAT(Tableau1[[#This Row],[Name ILN]],"-",Tableau1[[#This Row],[Name Shipper]],"-",Tableau1[[#This Row],[Name Site]])</f>
        <v>--</v>
      </c>
      <c r="C169" s="65" t="e">
        <f>_xlfn.CONCAT(Tableau1[[#This Row],[Compte ILN]],"-",Tableau1[[#This Row],[Compte Shipper]],"-",Tableau1[[#This Row],[POL]],"-",Tableau1[[#This Row],[Compte Consignee]])</f>
        <v>#N/A</v>
      </c>
      <c r="D169" s="64" t="e">
        <f>_xlfn.CONCAT(Tableau1[[#This Row],[Compte ILN]],"-",Tableau1[[#This Row],[Compte Shipper]],"-",Tableau1[[#This Row],[POL]])</f>
        <v>#N/A</v>
      </c>
      <c r="E169" s="396" t="e">
        <f ca="1">_xlfn.CONCAT(Tableau1[[#This Row],[POL]],"-",Tableau1[[#This Row],[Carrier]],"-",Tableau1[[#This Row],[POD]])</f>
        <v>#N/A</v>
      </c>
      <c r="F169" s="64" t="str">
        <f>_xlfn.CONCAT(Tableau1[[#This Row],[ID]],"-","Actif")</f>
        <v>-Actif</v>
      </c>
      <c r="G169" s="64" t="e">
        <f ca="1">_xlfn.CONCAT(Tableau1[[#This Row],[POD]],"-",Tableau1[[#This Row],[Code PFI]],"-",Tableau1[[#This Row],[Compte Consignee]])</f>
        <v>#N/A</v>
      </c>
      <c r="H16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6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69" s="397" t="str">
        <f ca="1">IF(COUNTIF(I:I,Tableau1[[#This Row],[Plant-ILN-shipper-POL-Carrier-POD-PFI]])=1,"Non","Oui")</f>
        <v>Oui</v>
      </c>
      <c r="K169" s="398" t="e">
        <f>VLOOKUP(Tableau1[[#This Row],[Name Site]],Plant_AILN!A:D,4,FALSE)</f>
        <v>#N/A</v>
      </c>
      <c r="L169" s="285"/>
      <c r="M169" s="480" t="e">
        <f>VLOOKUP(Tableau1[[#This Row],[Name Site]],Plant_AILN!A:C,3,FALSE)</f>
        <v>#N/A</v>
      </c>
      <c r="N169" s="55" t="e">
        <f>VLOOKUP(Tableau1[[#This Row],[Compte Consignee]],Order!C:D,2,FALSE)</f>
        <v>#N/A</v>
      </c>
      <c r="O169" s="122"/>
      <c r="P169" s="481" t="e">
        <f>VLOOKUP(Tableau1[[#This Row],[Name ILN]],Plant_AILN!F:G,2,FALSE)</f>
        <v>#N/A</v>
      </c>
      <c r="Q169" s="50" t="e">
        <f>VLOOKUP(Tableau1[[#This Row],[Compte ILN]],'DATA ILN'!D:I,6,FALSE)</f>
        <v>#N/A</v>
      </c>
      <c r="R169" s="50" t="e">
        <f>IFERROR(VLOOKUP(Tableau1[[#This Row],[Key(Compte ILN - shipper - POL - plant)]],'DATA ILN'!A:J,10,FALSE),VLOOKUP(Tableau1[[#This Row],[Key(Compte ILN - shipper - POL)]],'DATA ILN'!B:J,9,FALSE))</f>
        <v>#N/A</v>
      </c>
      <c r="S169" s="50" t="e">
        <f>IFERROR(VLOOKUP(Tableau1[[#This Row],[Key(Compte ILN - shipper - POL - plant)]],'DATA ILN'!A:K,11,FALSE),VLOOKUP(Tableau1[[#This Row],[Key(Compte ILN - shipper - POL)]],'DATA ILN'!B:K,10,FALSE))</f>
        <v>#N/A</v>
      </c>
      <c r="T169" s="50" t="e">
        <f>IFERROR(VLOOKUP(Tableau1[[#This Row],[Key(Compte ILN - shipper - POL - plant)]],'DATA ILN'!A:L,12,FALSE),VLOOKUP(Tableau1[[#This Row],[Key(Compte ILN - shipper - POL)]],'DATA ILN'!B:L,11,FALSE))</f>
        <v>#N/A</v>
      </c>
      <c r="U169" s="50" t="e">
        <f>Tableau1[[#This Row],[Day ILN Order]]+Tableau1[[#This Row],[Delivery time to ILN/Shipper]]-1</f>
        <v>#N/A</v>
      </c>
      <c r="V169" s="50" t="e">
        <f>IFERROR(VLOOKUP(Tableau1[[#This Row],[Key(Compte ILN - shipper - POL - plant)]],'DATA ILN'!A:N,14,FALSE),VLOOKUP(Tableau1[[#This Row],[Key(Compte ILN - shipper - POL)]],'DATA ILN'!B:N,13,FALSE))</f>
        <v>#N/A</v>
      </c>
      <c r="W169" s="53" t="e">
        <f>IFERROR(VLOOKUP(Tableau1[[#This Row],[Key(Compte ILN - shipper - POL - plant)]],'DATA ILN'!A:P,16,FALSE),VLOOKUP(Tableau1[[#This Row],[Key(Compte ILN - shipper - POL)]],'DATA ILN'!B:P,15,FALSE))</f>
        <v>#N/A</v>
      </c>
      <c r="X169" s="283"/>
      <c r="Y169" s="482">
        <f>IFERROR(VLOOKUP(Tableau1[[#This Row],[Name Shipper]],Plant_AILN!L:M,2,FALSE),0)</f>
        <v>0</v>
      </c>
      <c r="Z169" s="358"/>
      <c r="AA169" s="353" t="e">
        <f ca="1">VLOOKUP(Tableau1[[#This Row],[Key(ID-Actif)]],'DATA BTO'!A:N,5,FALSE)</f>
        <v>#N/A</v>
      </c>
      <c r="AB169" s="3" t="e">
        <f ca="1">VLOOKUP(Tableau1[[#This Row],[Key(ID-Actif)]],'DATA BTO'!A:N,6,FALSE)</f>
        <v>#N/A</v>
      </c>
      <c r="AC169" s="50" t="e">
        <f ca="1">VLOOKUP(Tableau1[[#This Row],[Key(ID-Actif)]],'DATA BTO'!A:N,7,FALSE)</f>
        <v>#N/A</v>
      </c>
      <c r="AD169" s="50" t="e">
        <f ca="1">VLOOKUP(Tableau1[[#This Row],[Key(ID-Actif)]],'DATA BTO'!A:N,8,FALSE)</f>
        <v>#N/A</v>
      </c>
      <c r="AE169" s="50" t="e">
        <f ca="1">IF(Tableau1[[#This Row],[First Day to POL]]&lt;=Tableau1[[#This Row],[Day Cut Off]],Tableau1[[#This Row],[Day ETD]],Tableau1[[#This Row],[Day ETD]]+7)</f>
        <v>#N/A</v>
      </c>
      <c r="AF169" s="50" t="e">
        <f ca="1">VLOOKUP(Tableau1[[#This Row],[Key(ID-Actif)]],'DATA BTO'!A:N,9,FALSE)</f>
        <v>#N/A</v>
      </c>
      <c r="AG169" s="3" t="e">
        <f ca="1">VLOOKUP(Tableau1[[#This Row],[Key(ID-Actif)]],'DATA BTO'!A:N,10,FALSE)</f>
        <v>#N/A</v>
      </c>
      <c r="AH169" s="3" t="e">
        <f ca="1">VLOOKUP(Tableau1[[#This Row],[Key(ID-Actif)]],'DATA BTO'!A:N,11,FALSE)</f>
        <v>#N/A</v>
      </c>
      <c r="AI169" s="50" t="e">
        <f ca="1">VLOOKUP(Tableau1[[#This Row],[Key(ID-Actif)]],'DATA BTO'!A:N,12,FALSE)</f>
        <v>#N/A</v>
      </c>
      <c r="AJ169" s="53" t="e">
        <f ca="1">VLOOKUP(Tableau1[[#This Row],[Key(ID-Actif)]],'DATA BTO'!A:N,14,FALSE)</f>
        <v>#N/A</v>
      </c>
      <c r="AK169" s="54" t="e">
        <f ca="1">VLOOKUP(Tableau1[[#This Row],[Key(POD -PFI- Usine)]],'DATA Consignee'!A:F,6,FALSE)</f>
        <v>#N/A</v>
      </c>
      <c r="AL169" s="125"/>
      <c r="AM169" s="483" t="str">
        <f>IF(Tableau1[[#This Row],[Name PFI/CDD]]="","-",VLOOKUP(Tableau1[[#This Row],[Name PFI/CDD]],Plant_AILN!I:J,2,FALSE))</f>
        <v>-</v>
      </c>
      <c r="AN16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6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69" s="2" t="e">
        <f ca="1">VLOOKUP(Tableau1[[#This Row],[Key(POD -PFI- Usine)]],'DATA Consignee'!A:J,10,FALSE)</f>
        <v>#N/A</v>
      </c>
      <c r="AQ169" s="50" t="e">
        <f ca="1">VLOOKUP(Tableau1[[#This Row],[Key(POD -PFI- Usine)]],'DATA Consignee'!A:N,14,FALSE)</f>
        <v>#N/A</v>
      </c>
      <c r="AR16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6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69" s="50" t="e">
        <f ca="1">Tableau1[[#This Row],[Transit time]]+Tableau1[[#This Row],[Time for security]]+Tableau1[[#This Row],[Time for security2 buffer]]</f>
        <v>#N/A</v>
      </c>
      <c r="AU16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69" s="389" t="e">
        <f ca="1">Tableau1[[#This Row],[Leadtime SI2C]]+Tableau1[[#This Row],[First Receipt Days]]-Tableau1[[#This Row],[Day Customer Order]]+1</f>
        <v>#N/A</v>
      </c>
      <c r="AW169" s="117" t="e">
        <f ca="1">IF(Tableau1[[#This Row],[Name ILN]]&lt;&gt;"SFK Freight Forwarder",Tableau1[[#This Row],[Cust. Leadtime]],Tableau1[[#This Row],[Leadtime SI2C]])</f>
        <v>#N/A</v>
      </c>
      <c r="AX169" s="51" t="e">
        <f>VLOOKUP(Tableau1[[#This Row],[ID]],'DATA BTO'!B:P,15,FALSE)</f>
        <v>#N/A</v>
      </c>
      <c r="AY169" s="328" t="e">
        <f ca="1">IFERROR(VLOOKUP(Tableau1[[#This Row],[Key(ID-Actif)]],'DATA BTO'!A:N,4,FALSE),VLOOKUP(Tableau1[[#This Row],[ID]],'DATA BTO'!B:N,3,FALSE))</f>
        <v>#N/A</v>
      </c>
      <c r="AZ16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6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6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9" s="50"/>
    </row>
    <row r="170" spans="2:57">
      <c r="B170" s="65" t="str">
        <f>_xlfn.CONCAT(Tableau1[[#This Row],[Name ILN]],"-",Tableau1[[#This Row],[Name Shipper]],"-",Tableau1[[#This Row],[Name Site]])</f>
        <v>--</v>
      </c>
      <c r="C170" s="65" t="e">
        <f>_xlfn.CONCAT(Tableau1[[#This Row],[Compte ILN]],"-",Tableau1[[#This Row],[Compte Shipper]],"-",Tableau1[[#This Row],[POL]],"-",Tableau1[[#This Row],[Compte Consignee]])</f>
        <v>#N/A</v>
      </c>
      <c r="D170" s="64" t="e">
        <f>_xlfn.CONCAT(Tableau1[[#This Row],[Compte ILN]],"-",Tableau1[[#This Row],[Compte Shipper]],"-",Tableau1[[#This Row],[POL]])</f>
        <v>#N/A</v>
      </c>
      <c r="E170" s="396" t="e">
        <f ca="1">_xlfn.CONCAT(Tableau1[[#This Row],[POL]],"-",Tableau1[[#This Row],[Carrier]],"-",Tableau1[[#This Row],[POD]])</f>
        <v>#N/A</v>
      </c>
      <c r="F170" s="64" t="str">
        <f>_xlfn.CONCAT(Tableau1[[#This Row],[ID]],"-","Actif")</f>
        <v>-Actif</v>
      </c>
      <c r="G170" s="64" t="e">
        <f ca="1">_xlfn.CONCAT(Tableau1[[#This Row],[POD]],"-",Tableau1[[#This Row],[Code PFI]],"-",Tableau1[[#This Row],[Compte Consignee]])</f>
        <v>#N/A</v>
      </c>
      <c r="H17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0" s="397" t="str">
        <f ca="1">IF(COUNTIF(I:I,Tableau1[[#This Row],[Plant-ILN-shipper-POL-Carrier-POD-PFI]])=1,"Non","Oui")</f>
        <v>Oui</v>
      </c>
      <c r="K170" s="398" t="e">
        <f>VLOOKUP(Tableau1[[#This Row],[Name Site]],Plant_AILN!A:D,4,FALSE)</f>
        <v>#N/A</v>
      </c>
      <c r="L170" s="285"/>
      <c r="M170" s="480" t="e">
        <f>VLOOKUP(Tableau1[[#This Row],[Name Site]],Plant_AILN!A:C,3,FALSE)</f>
        <v>#N/A</v>
      </c>
      <c r="N170" s="55" t="e">
        <f>VLOOKUP(Tableau1[[#This Row],[Compte Consignee]],Order!C:D,2,FALSE)</f>
        <v>#N/A</v>
      </c>
      <c r="O170" s="122"/>
      <c r="P170" s="481" t="e">
        <f>VLOOKUP(Tableau1[[#This Row],[Name ILN]],Plant_AILN!F:G,2,FALSE)</f>
        <v>#N/A</v>
      </c>
      <c r="Q170" s="50" t="e">
        <f>VLOOKUP(Tableau1[[#This Row],[Compte ILN]],'DATA ILN'!D:I,6,FALSE)</f>
        <v>#N/A</v>
      </c>
      <c r="R170" s="50" t="e">
        <f>IFERROR(VLOOKUP(Tableau1[[#This Row],[Key(Compte ILN - shipper - POL - plant)]],'DATA ILN'!A:J,10,FALSE),VLOOKUP(Tableau1[[#This Row],[Key(Compte ILN - shipper - POL)]],'DATA ILN'!B:J,9,FALSE))</f>
        <v>#N/A</v>
      </c>
      <c r="S170" s="50" t="e">
        <f>IFERROR(VLOOKUP(Tableau1[[#This Row],[Key(Compte ILN - shipper - POL - plant)]],'DATA ILN'!A:K,11,FALSE),VLOOKUP(Tableau1[[#This Row],[Key(Compte ILN - shipper - POL)]],'DATA ILN'!B:K,10,FALSE))</f>
        <v>#N/A</v>
      </c>
      <c r="T170" s="50" t="e">
        <f>IFERROR(VLOOKUP(Tableau1[[#This Row],[Key(Compte ILN - shipper - POL - plant)]],'DATA ILN'!A:L,12,FALSE),VLOOKUP(Tableau1[[#This Row],[Key(Compte ILN - shipper - POL)]],'DATA ILN'!B:L,11,FALSE))</f>
        <v>#N/A</v>
      </c>
      <c r="U170" s="50" t="e">
        <f>Tableau1[[#This Row],[Day ILN Order]]+Tableau1[[#This Row],[Delivery time to ILN/Shipper]]-1</f>
        <v>#N/A</v>
      </c>
      <c r="V170" s="50" t="e">
        <f>IFERROR(VLOOKUP(Tableau1[[#This Row],[Key(Compte ILN - shipper - POL - plant)]],'DATA ILN'!A:N,14,FALSE),VLOOKUP(Tableau1[[#This Row],[Key(Compte ILN - shipper - POL)]],'DATA ILN'!B:N,13,FALSE))</f>
        <v>#N/A</v>
      </c>
      <c r="W170" s="53" t="e">
        <f>IFERROR(VLOOKUP(Tableau1[[#This Row],[Key(Compte ILN - shipper - POL - plant)]],'DATA ILN'!A:P,16,FALSE),VLOOKUP(Tableau1[[#This Row],[Key(Compte ILN - shipper - POL)]],'DATA ILN'!B:P,15,FALSE))</f>
        <v>#N/A</v>
      </c>
      <c r="X170" s="283"/>
      <c r="Y170" s="482">
        <f>IFERROR(VLOOKUP(Tableau1[[#This Row],[Name Shipper]],Plant_AILN!L:M,2,FALSE),0)</f>
        <v>0</v>
      </c>
      <c r="Z170" s="358"/>
      <c r="AA170" s="353" t="e">
        <f ca="1">VLOOKUP(Tableau1[[#This Row],[Key(ID-Actif)]],'DATA BTO'!A:N,5,FALSE)</f>
        <v>#N/A</v>
      </c>
      <c r="AB170" s="3" t="e">
        <f ca="1">VLOOKUP(Tableau1[[#This Row],[Key(ID-Actif)]],'DATA BTO'!A:N,6,FALSE)</f>
        <v>#N/A</v>
      </c>
      <c r="AC170" s="50" t="e">
        <f ca="1">VLOOKUP(Tableau1[[#This Row],[Key(ID-Actif)]],'DATA BTO'!A:N,7,FALSE)</f>
        <v>#N/A</v>
      </c>
      <c r="AD170" s="50" t="e">
        <f ca="1">VLOOKUP(Tableau1[[#This Row],[Key(ID-Actif)]],'DATA BTO'!A:N,8,FALSE)</f>
        <v>#N/A</v>
      </c>
      <c r="AE170" s="50" t="e">
        <f ca="1">IF(Tableau1[[#This Row],[First Day to POL]]&lt;=Tableau1[[#This Row],[Day Cut Off]],Tableau1[[#This Row],[Day ETD]],Tableau1[[#This Row],[Day ETD]]+7)</f>
        <v>#N/A</v>
      </c>
      <c r="AF170" s="50" t="e">
        <f ca="1">VLOOKUP(Tableau1[[#This Row],[Key(ID-Actif)]],'DATA BTO'!A:N,9,FALSE)</f>
        <v>#N/A</v>
      </c>
      <c r="AG170" s="3" t="e">
        <f ca="1">VLOOKUP(Tableau1[[#This Row],[Key(ID-Actif)]],'DATA BTO'!A:N,10,FALSE)</f>
        <v>#N/A</v>
      </c>
      <c r="AH170" s="3" t="e">
        <f ca="1">VLOOKUP(Tableau1[[#This Row],[Key(ID-Actif)]],'DATA BTO'!A:N,11,FALSE)</f>
        <v>#N/A</v>
      </c>
      <c r="AI170" s="50" t="e">
        <f ca="1">VLOOKUP(Tableau1[[#This Row],[Key(ID-Actif)]],'DATA BTO'!A:N,12,FALSE)</f>
        <v>#N/A</v>
      </c>
      <c r="AJ170" s="53" t="e">
        <f ca="1">VLOOKUP(Tableau1[[#This Row],[Key(ID-Actif)]],'DATA BTO'!A:N,14,FALSE)</f>
        <v>#N/A</v>
      </c>
      <c r="AK170" s="54" t="e">
        <f ca="1">VLOOKUP(Tableau1[[#This Row],[Key(POD -PFI- Usine)]],'DATA Consignee'!A:F,6,FALSE)</f>
        <v>#N/A</v>
      </c>
      <c r="AL170" s="125"/>
      <c r="AM170" s="483" t="str">
        <f>IF(Tableau1[[#This Row],[Name PFI/CDD]]="","-",VLOOKUP(Tableau1[[#This Row],[Name PFI/CDD]],Plant_AILN!I:J,2,FALSE))</f>
        <v>-</v>
      </c>
      <c r="AN17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0" s="2" t="e">
        <f ca="1">VLOOKUP(Tableau1[[#This Row],[Key(POD -PFI- Usine)]],'DATA Consignee'!A:J,10,FALSE)</f>
        <v>#N/A</v>
      </c>
      <c r="AQ170" s="50" t="e">
        <f ca="1">VLOOKUP(Tableau1[[#This Row],[Key(POD -PFI- Usine)]],'DATA Consignee'!A:N,14,FALSE)</f>
        <v>#N/A</v>
      </c>
      <c r="AR17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0" s="50" t="e">
        <f ca="1">Tableau1[[#This Row],[Transit time]]+Tableau1[[#This Row],[Time for security]]+Tableau1[[#This Row],[Time for security2 buffer]]</f>
        <v>#N/A</v>
      </c>
      <c r="AU17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0" s="389" t="e">
        <f ca="1">Tableau1[[#This Row],[Leadtime SI2C]]+Tableau1[[#This Row],[First Receipt Days]]-Tableau1[[#This Row],[Day Customer Order]]+1</f>
        <v>#N/A</v>
      </c>
      <c r="AW170" s="117" t="e">
        <f ca="1">IF(Tableau1[[#This Row],[Name ILN]]&lt;&gt;"SFK Freight Forwarder",Tableau1[[#This Row],[Cust. Leadtime]],Tableau1[[#This Row],[Leadtime SI2C]])</f>
        <v>#N/A</v>
      </c>
      <c r="AX170" s="51" t="e">
        <f>VLOOKUP(Tableau1[[#This Row],[ID]],'DATA BTO'!B:P,15,FALSE)</f>
        <v>#N/A</v>
      </c>
      <c r="AY170" s="328" t="e">
        <f ca="1">IFERROR(VLOOKUP(Tableau1[[#This Row],[Key(ID-Actif)]],'DATA BTO'!A:N,4,FALSE),VLOOKUP(Tableau1[[#This Row],[ID]],'DATA BTO'!B:N,3,FALSE))</f>
        <v>#N/A</v>
      </c>
      <c r="AZ17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0" s="50"/>
    </row>
    <row r="171" spans="2:57">
      <c r="B171" s="65" t="str">
        <f>_xlfn.CONCAT(Tableau1[[#This Row],[Name ILN]],"-",Tableau1[[#This Row],[Name Shipper]],"-",Tableau1[[#This Row],[Name Site]])</f>
        <v>--</v>
      </c>
      <c r="C171" s="65" t="e">
        <f>_xlfn.CONCAT(Tableau1[[#This Row],[Compte ILN]],"-",Tableau1[[#This Row],[Compte Shipper]],"-",Tableau1[[#This Row],[POL]],"-",Tableau1[[#This Row],[Compte Consignee]])</f>
        <v>#N/A</v>
      </c>
      <c r="D171" s="64" t="e">
        <f>_xlfn.CONCAT(Tableau1[[#This Row],[Compte ILN]],"-",Tableau1[[#This Row],[Compte Shipper]],"-",Tableau1[[#This Row],[POL]])</f>
        <v>#N/A</v>
      </c>
      <c r="E171" s="396" t="e">
        <f ca="1">_xlfn.CONCAT(Tableau1[[#This Row],[POL]],"-",Tableau1[[#This Row],[Carrier]],"-",Tableau1[[#This Row],[POD]])</f>
        <v>#N/A</v>
      </c>
      <c r="F171" s="64" t="str">
        <f>_xlfn.CONCAT(Tableau1[[#This Row],[ID]],"-","Actif")</f>
        <v>-Actif</v>
      </c>
      <c r="G171" s="64" t="e">
        <f ca="1">_xlfn.CONCAT(Tableau1[[#This Row],[POD]],"-",Tableau1[[#This Row],[Code PFI]],"-",Tableau1[[#This Row],[Compte Consignee]])</f>
        <v>#N/A</v>
      </c>
      <c r="H17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1" s="397" t="str">
        <f ca="1">IF(COUNTIF(I:I,Tableau1[[#This Row],[Plant-ILN-shipper-POL-Carrier-POD-PFI]])=1,"Non","Oui")</f>
        <v>Oui</v>
      </c>
      <c r="K171" s="398" t="e">
        <f>VLOOKUP(Tableau1[[#This Row],[Name Site]],Plant_AILN!A:D,4,FALSE)</f>
        <v>#N/A</v>
      </c>
      <c r="L171" s="285"/>
      <c r="M171" s="480" t="e">
        <f>VLOOKUP(Tableau1[[#This Row],[Name Site]],Plant_AILN!A:C,3,FALSE)</f>
        <v>#N/A</v>
      </c>
      <c r="N171" s="55" t="e">
        <f>VLOOKUP(Tableau1[[#This Row],[Compte Consignee]],Order!C:D,2,FALSE)</f>
        <v>#N/A</v>
      </c>
      <c r="O171" s="122"/>
      <c r="P171" s="481" t="e">
        <f>VLOOKUP(Tableau1[[#This Row],[Name ILN]],Plant_AILN!F:G,2,FALSE)</f>
        <v>#N/A</v>
      </c>
      <c r="Q171" s="50" t="e">
        <f>VLOOKUP(Tableau1[[#This Row],[Compte ILN]],'DATA ILN'!D:I,6,FALSE)</f>
        <v>#N/A</v>
      </c>
      <c r="R171" s="50" t="e">
        <f>IFERROR(VLOOKUP(Tableau1[[#This Row],[Key(Compte ILN - shipper - POL - plant)]],'DATA ILN'!A:J,10,FALSE),VLOOKUP(Tableau1[[#This Row],[Key(Compte ILN - shipper - POL)]],'DATA ILN'!B:J,9,FALSE))</f>
        <v>#N/A</v>
      </c>
      <c r="S171" s="50" t="e">
        <f>IFERROR(VLOOKUP(Tableau1[[#This Row],[Key(Compte ILN - shipper - POL - plant)]],'DATA ILN'!A:K,11,FALSE),VLOOKUP(Tableau1[[#This Row],[Key(Compte ILN - shipper - POL)]],'DATA ILN'!B:K,10,FALSE))</f>
        <v>#N/A</v>
      </c>
      <c r="T171" s="50" t="e">
        <f>IFERROR(VLOOKUP(Tableau1[[#This Row],[Key(Compte ILN - shipper - POL - plant)]],'DATA ILN'!A:L,12,FALSE),VLOOKUP(Tableau1[[#This Row],[Key(Compte ILN - shipper - POL)]],'DATA ILN'!B:L,11,FALSE))</f>
        <v>#N/A</v>
      </c>
      <c r="U171" s="50" t="e">
        <f>Tableau1[[#This Row],[Day ILN Order]]+Tableau1[[#This Row],[Delivery time to ILN/Shipper]]-1</f>
        <v>#N/A</v>
      </c>
      <c r="V171" s="50" t="e">
        <f>IFERROR(VLOOKUP(Tableau1[[#This Row],[Key(Compte ILN - shipper - POL - plant)]],'DATA ILN'!A:N,14,FALSE),VLOOKUP(Tableau1[[#This Row],[Key(Compte ILN - shipper - POL)]],'DATA ILN'!B:N,13,FALSE))</f>
        <v>#N/A</v>
      </c>
      <c r="W171" s="53" t="e">
        <f>IFERROR(VLOOKUP(Tableau1[[#This Row],[Key(Compte ILN - shipper - POL - plant)]],'DATA ILN'!A:P,16,FALSE),VLOOKUP(Tableau1[[#This Row],[Key(Compte ILN - shipper - POL)]],'DATA ILN'!B:P,15,FALSE))</f>
        <v>#N/A</v>
      </c>
      <c r="X171" s="283"/>
      <c r="Y171" s="482">
        <f>IFERROR(VLOOKUP(Tableau1[[#This Row],[Name Shipper]],Plant_AILN!L:M,2,FALSE),0)</f>
        <v>0</v>
      </c>
      <c r="Z171" s="358"/>
      <c r="AA171" s="353" t="e">
        <f ca="1">VLOOKUP(Tableau1[[#This Row],[Key(ID-Actif)]],'DATA BTO'!A:N,5,FALSE)</f>
        <v>#N/A</v>
      </c>
      <c r="AB171" s="3" t="e">
        <f ca="1">VLOOKUP(Tableau1[[#This Row],[Key(ID-Actif)]],'DATA BTO'!A:N,6,FALSE)</f>
        <v>#N/A</v>
      </c>
      <c r="AC171" s="50" t="e">
        <f ca="1">VLOOKUP(Tableau1[[#This Row],[Key(ID-Actif)]],'DATA BTO'!A:N,7,FALSE)</f>
        <v>#N/A</v>
      </c>
      <c r="AD171" s="50" t="e">
        <f ca="1">VLOOKUP(Tableau1[[#This Row],[Key(ID-Actif)]],'DATA BTO'!A:N,8,FALSE)</f>
        <v>#N/A</v>
      </c>
      <c r="AE171" s="50" t="e">
        <f ca="1">IF(Tableau1[[#This Row],[First Day to POL]]&lt;=Tableau1[[#This Row],[Day Cut Off]],Tableau1[[#This Row],[Day ETD]],Tableau1[[#This Row],[Day ETD]]+7)</f>
        <v>#N/A</v>
      </c>
      <c r="AF171" s="50" t="e">
        <f ca="1">VLOOKUP(Tableau1[[#This Row],[Key(ID-Actif)]],'DATA BTO'!A:N,9,FALSE)</f>
        <v>#N/A</v>
      </c>
      <c r="AG171" s="3" t="e">
        <f ca="1">VLOOKUP(Tableau1[[#This Row],[Key(ID-Actif)]],'DATA BTO'!A:N,10,FALSE)</f>
        <v>#N/A</v>
      </c>
      <c r="AH171" s="3" t="e">
        <f ca="1">VLOOKUP(Tableau1[[#This Row],[Key(ID-Actif)]],'DATA BTO'!A:N,11,FALSE)</f>
        <v>#N/A</v>
      </c>
      <c r="AI171" s="50" t="e">
        <f ca="1">VLOOKUP(Tableau1[[#This Row],[Key(ID-Actif)]],'DATA BTO'!A:N,12,FALSE)</f>
        <v>#N/A</v>
      </c>
      <c r="AJ171" s="53" t="e">
        <f ca="1">VLOOKUP(Tableau1[[#This Row],[Key(ID-Actif)]],'DATA BTO'!A:N,14,FALSE)</f>
        <v>#N/A</v>
      </c>
      <c r="AK171" s="54" t="e">
        <f ca="1">VLOOKUP(Tableau1[[#This Row],[Key(POD -PFI- Usine)]],'DATA Consignee'!A:F,6,FALSE)</f>
        <v>#N/A</v>
      </c>
      <c r="AL171" s="125"/>
      <c r="AM171" s="483" t="str">
        <f>IF(Tableau1[[#This Row],[Name PFI/CDD]]="","-",VLOOKUP(Tableau1[[#This Row],[Name PFI/CDD]],Plant_AILN!I:J,2,FALSE))</f>
        <v>-</v>
      </c>
      <c r="AN17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1" s="2" t="e">
        <f ca="1">VLOOKUP(Tableau1[[#This Row],[Key(POD -PFI- Usine)]],'DATA Consignee'!A:J,10,FALSE)</f>
        <v>#N/A</v>
      </c>
      <c r="AQ171" s="50" t="e">
        <f ca="1">VLOOKUP(Tableau1[[#This Row],[Key(POD -PFI- Usine)]],'DATA Consignee'!A:N,14,FALSE)</f>
        <v>#N/A</v>
      </c>
      <c r="AR17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1" s="50" t="e">
        <f ca="1">Tableau1[[#This Row],[Transit time]]+Tableau1[[#This Row],[Time for security]]+Tableau1[[#This Row],[Time for security2 buffer]]</f>
        <v>#N/A</v>
      </c>
      <c r="AU17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1" s="389" t="e">
        <f ca="1">Tableau1[[#This Row],[Leadtime SI2C]]+Tableau1[[#This Row],[First Receipt Days]]-Tableau1[[#This Row],[Day Customer Order]]+1</f>
        <v>#N/A</v>
      </c>
      <c r="AW171" s="117" t="e">
        <f ca="1">IF(Tableau1[[#This Row],[Name ILN]]&lt;&gt;"SFK Freight Forwarder",Tableau1[[#This Row],[Cust. Leadtime]],Tableau1[[#This Row],[Leadtime SI2C]])</f>
        <v>#N/A</v>
      </c>
      <c r="AX171" s="51" t="e">
        <f>VLOOKUP(Tableau1[[#This Row],[ID]],'DATA BTO'!B:P,15,FALSE)</f>
        <v>#N/A</v>
      </c>
      <c r="AY171" s="328" t="e">
        <f ca="1">IFERROR(VLOOKUP(Tableau1[[#This Row],[Key(ID-Actif)]],'DATA BTO'!A:N,4,FALSE),VLOOKUP(Tableau1[[#This Row],[ID]],'DATA BTO'!B:N,3,FALSE))</f>
        <v>#N/A</v>
      </c>
      <c r="AZ17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1" s="50"/>
    </row>
    <row r="172" spans="2:57">
      <c r="B172" s="65" t="str">
        <f>_xlfn.CONCAT(Tableau1[[#This Row],[Name ILN]],"-",Tableau1[[#This Row],[Name Shipper]],"-",Tableau1[[#This Row],[Name Site]])</f>
        <v>--</v>
      </c>
      <c r="C172" s="65" t="e">
        <f>_xlfn.CONCAT(Tableau1[[#This Row],[Compte ILN]],"-",Tableau1[[#This Row],[Compte Shipper]],"-",Tableau1[[#This Row],[POL]],"-",Tableau1[[#This Row],[Compte Consignee]])</f>
        <v>#N/A</v>
      </c>
      <c r="D172" s="64" t="e">
        <f>_xlfn.CONCAT(Tableau1[[#This Row],[Compte ILN]],"-",Tableau1[[#This Row],[Compte Shipper]],"-",Tableau1[[#This Row],[POL]])</f>
        <v>#N/A</v>
      </c>
      <c r="E172" s="396" t="e">
        <f ca="1">_xlfn.CONCAT(Tableau1[[#This Row],[POL]],"-",Tableau1[[#This Row],[Carrier]],"-",Tableau1[[#This Row],[POD]])</f>
        <v>#N/A</v>
      </c>
      <c r="F172" s="64" t="str">
        <f>_xlfn.CONCAT(Tableau1[[#This Row],[ID]],"-","Actif")</f>
        <v>-Actif</v>
      </c>
      <c r="G172" s="64" t="e">
        <f ca="1">_xlfn.CONCAT(Tableau1[[#This Row],[POD]],"-",Tableau1[[#This Row],[Code PFI]],"-",Tableau1[[#This Row],[Compte Consignee]])</f>
        <v>#N/A</v>
      </c>
      <c r="H17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2" s="397" t="str">
        <f ca="1">IF(COUNTIF(I:I,Tableau1[[#This Row],[Plant-ILN-shipper-POL-Carrier-POD-PFI]])=1,"Non","Oui")</f>
        <v>Oui</v>
      </c>
      <c r="K172" s="398" t="e">
        <f>VLOOKUP(Tableau1[[#This Row],[Name Site]],Plant_AILN!A:D,4,FALSE)</f>
        <v>#N/A</v>
      </c>
      <c r="L172" s="285"/>
      <c r="M172" s="480" t="e">
        <f>VLOOKUP(Tableau1[[#This Row],[Name Site]],Plant_AILN!A:C,3,FALSE)</f>
        <v>#N/A</v>
      </c>
      <c r="N172" s="55" t="e">
        <f>VLOOKUP(Tableau1[[#This Row],[Compte Consignee]],Order!C:D,2,FALSE)</f>
        <v>#N/A</v>
      </c>
      <c r="O172" s="453"/>
      <c r="P172" s="481" t="e">
        <f>VLOOKUP(Tableau1[[#This Row],[Name ILN]],Plant_AILN!F:G,2,FALSE)</f>
        <v>#N/A</v>
      </c>
      <c r="Q172" s="50" t="e">
        <f>VLOOKUP(Tableau1[[#This Row],[Compte ILN]],'DATA ILN'!D:I,6,FALSE)</f>
        <v>#N/A</v>
      </c>
      <c r="R172" s="50" t="e">
        <f>IFERROR(VLOOKUP(Tableau1[[#This Row],[Key(Compte ILN - shipper - POL - plant)]],'DATA ILN'!A:J,10,FALSE),VLOOKUP(Tableau1[[#This Row],[Key(Compte ILN - shipper - POL)]],'DATA ILN'!B:J,9,FALSE))</f>
        <v>#N/A</v>
      </c>
      <c r="S172" s="50" t="e">
        <f>IFERROR(VLOOKUP(Tableau1[[#This Row],[Key(Compte ILN - shipper - POL - plant)]],'DATA ILN'!A:K,11,FALSE),VLOOKUP(Tableau1[[#This Row],[Key(Compte ILN - shipper - POL)]],'DATA ILN'!B:K,10,FALSE))</f>
        <v>#N/A</v>
      </c>
      <c r="T172" s="50" t="e">
        <f>IFERROR(VLOOKUP(Tableau1[[#This Row],[Key(Compte ILN - shipper - POL - plant)]],'DATA ILN'!A:L,12,FALSE),VLOOKUP(Tableau1[[#This Row],[Key(Compte ILN - shipper - POL)]],'DATA ILN'!B:L,11,FALSE))</f>
        <v>#N/A</v>
      </c>
      <c r="U172" s="50" t="e">
        <f>Tableau1[[#This Row],[Day ILN Order]]+Tableau1[[#This Row],[Delivery time to ILN/Shipper]]-1</f>
        <v>#N/A</v>
      </c>
      <c r="V172" s="50" t="e">
        <f>IFERROR(VLOOKUP(Tableau1[[#This Row],[Key(Compte ILN - shipper - POL - plant)]],'DATA ILN'!A:N,14,FALSE),VLOOKUP(Tableau1[[#This Row],[Key(Compte ILN - shipper - POL)]],'DATA ILN'!B:N,13,FALSE))</f>
        <v>#N/A</v>
      </c>
      <c r="W172" s="53" t="e">
        <f>IFERROR(VLOOKUP(Tableau1[[#This Row],[Key(Compte ILN - shipper - POL - plant)]],'DATA ILN'!A:P,16,FALSE),VLOOKUP(Tableau1[[#This Row],[Key(Compte ILN - shipper - POL)]],'DATA ILN'!B:P,15,FALSE))</f>
        <v>#N/A</v>
      </c>
      <c r="X172" s="283"/>
      <c r="Y172" s="482">
        <f>IFERROR(VLOOKUP(Tableau1[[#This Row],[Name Shipper]],Plant_AILN!L:M,2,FALSE),0)</f>
        <v>0</v>
      </c>
      <c r="Z172" s="358"/>
      <c r="AA172" s="353" t="e">
        <f ca="1">VLOOKUP(Tableau1[[#This Row],[Key(ID-Actif)]],'DATA BTO'!A:N,5,FALSE)</f>
        <v>#N/A</v>
      </c>
      <c r="AB172" s="3" t="e">
        <f ca="1">VLOOKUP(Tableau1[[#This Row],[Key(ID-Actif)]],'DATA BTO'!A:N,6,FALSE)</f>
        <v>#N/A</v>
      </c>
      <c r="AC172" s="50" t="e">
        <f ca="1">VLOOKUP(Tableau1[[#This Row],[Key(ID-Actif)]],'DATA BTO'!A:N,7,FALSE)</f>
        <v>#N/A</v>
      </c>
      <c r="AD172" s="50" t="e">
        <f ca="1">VLOOKUP(Tableau1[[#This Row],[Key(ID-Actif)]],'DATA BTO'!A:N,8,FALSE)</f>
        <v>#N/A</v>
      </c>
      <c r="AE172" s="50" t="e">
        <f ca="1">IF(Tableau1[[#This Row],[First Day to POL]]&lt;=Tableau1[[#This Row],[Day Cut Off]],Tableau1[[#This Row],[Day ETD]],Tableau1[[#This Row],[Day ETD]]+7)</f>
        <v>#N/A</v>
      </c>
      <c r="AF172" s="50" t="e">
        <f ca="1">VLOOKUP(Tableau1[[#This Row],[Key(ID-Actif)]],'DATA BTO'!A:N,9,FALSE)</f>
        <v>#N/A</v>
      </c>
      <c r="AG172" s="3" t="e">
        <f ca="1">VLOOKUP(Tableau1[[#This Row],[Key(ID-Actif)]],'DATA BTO'!A:N,10,FALSE)</f>
        <v>#N/A</v>
      </c>
      <c r="AH172" s="3" t="e">
        <f ca="1">VLOOKUP(Tableau1[[#This Row],[Key(ID-Actif)]],'DATA BTO'!A:N,11,FALSE)</f>
        <v>#N/A</v>
      </c>
      <c r="AI172" s="50" t="e">
        <f ca="1">VLOOKUP(Tableau1[[#This Row],[Key(ID-Actif)]],'DATA BTO'!A:N,12,FALSE)</f>
        <v>#N/A</v>
      </c>
      <c r="AJ172" s="53" t="e">
        <f ca="1">VLOOKUP(Tableau1[[#This Row],[Key(ID-Actif)]],'DATA BTO'!A:N,14,FALSE)</f>
        <v>#N/A</v>
      </c>
      <c r="AK172" s="54" t="e">
        <f ca="1">VLOOKUP(Tableau1[[#This Row],[Key(POD -PFI- Usine)]],'DATA Consignee'!A:F,6,FALSE)</f>
        <v>#N/A</v>
      </c>
      <c r="AL172" s="125"/>
      <c r="AM172" s="483" t="str">
        <f>IF(Tableau1[[#This Row],[Name PFI/CDD]]="","-",VLOOKUP(Tableau1[[#This Row],[Name PFI/CDD]],Plant_AILN!I:J,2,FALSE))</f>
        <v>-</v>
      </c>
      <c r="AN17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2" s="2" t="e">
        <f ca="1">VLOOKUP(Tableau1[[#This Row],[Key(POD -PFI- Usine)]],'DATA Consignee'!A:J,10,FALSE)</f>
        <v>#N/A</v>
      </c>
      <c r="AQ172" s="50" t="e">
        <f ca="1">VLOOKUP(Tableau1[[#This Row],[Key(POD -PFI- Usine)]],'DATA Consignee'!A:N,14,FALSE)</f>
        <v>#N/A</v>
      </c>
      <c r="AR17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2" s="50" t="e">
        <f ca="1">Tableau1[[#This Row],[Transit time]]+Tableau1[[#This Row],[Time for security]]+Tableau1[[#This Row],[Time for security2 buffer]]</f>
        <v>#N/A</v>
      </c>
      <c r="AU17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2" s="389" t="e">
        <f ca="1">Tableau1[[#This Row],[Leadtime SI2C]]+Tableau1[[#This Row],[First Receipt Days]]-Tableau1[[#This Row],[Day Customer Order]]+1</f>
        <v>#N/A</v>
      </c>
      <c r="AW172" s="117" t="e">
        <f ca="1">IF(Tableau1[[#This Row],[Name ILN]]&lt;&gt;"SFK Freight Forwarder",Tableau1[[#This Row],[Cust. Leadtime]],Tableau1[[#This Row],[Leadtime SI2C]])</f>
        <v>#N/A</v>
      </c>
      <c r="AX172" s="51" t="e">
        <f>VLOOKUP(Tableau1[[#This Row],[ID]],'DATA BTO'!B:P,15,FALSE)</f>
        <v>#N/A</v>
      </c>
      <c r="AY172" s="328" t="e">
        <f ca="1">IFERROR(VLOOKUP(Tableau1[[#This Row],[Key(ID-Actif)]],'DATA BTO'!A:N,4,FALSE),VLOOKUP(Tableau1[[#This Row],[ID]],'DATA BTO'!B:N,3,FALSE))</f>
        <v>#N/A</v>
      </c>
      <c r="AZ17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2" s="50"/>
    </row>
    <row r="173" spans="2:57">
      <c r="B173" s="65" t="str">
        <f>_xlfn.CONCAT(Tableau1[[#This Row],[Name ILN]],"-",Tableau1[[#This Row],[Name Shipper]],"-",Tableau1[[#This Row],[Name Site]])</f>
        <v>--</v>
      </c>
      <c r="C173" s="65" t="e">
        <f>_xlfn.CONCAT(Tableau1[[#This Row],[Compte ILN]],"-",Tableau1[[#This Row],[Compte Shipper]],"-",Tableau1[[#This Row],[POL]],"-",Tableau1[[#This Row],[Compte Consignee]])</f>
        <v>#N/A</v>
      </c>
      <c r="D173" s="64" t="e">
        <f>_xlfn.CONCAT(Tableau1[[#This Row],[Compte ILN]],"-",Tableau1[[#This Row],[Compte Shipper]],"-",Tableau1[[#This Row],[POL]])</f>
        <v>#N/A</v>
      </c>
      <c r="E173" s="396" t="e">
        <f ca="1">_xlfn.CONCAT(Tableau1[[#This Row],[POL]],"-",Tableau1[[#This Row],[Carrier]],"-",Tableau1[[#This Row],[POD]])</f>
        <v>#N/A</v>
      </c>
      <c r="F173" s="64" t="str">
        <f>_xlfn.CONCAT(Tableau1[[#This Row],[ID]],"-","Actif")</f>
        <v>-Actif</v>
      </c>
      <c r="G173" s="64" t="e">
        <f ca="1">_xlfn.CONCAT(Tableau1[[#This Row],[POD]],"-",Tableau1[[#This Row],[Code PFI]],"-",Tableau1[[#This Row],[Compte Consignee]])</f>
        <v>#N/A</v>
      </c>
      <c r="H17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3" s="397" t="str">
        <f ca="1">IF(COUNTIF(I:I,Tableau1[[#This Row],[Plant-ILN-shipper-POL-Carrier-POD-PFI]])=1,"Non","Oui")</f>
        <v>Oui</v>
      </c>
      <c r="K173" s="398" t="e">
        <f>VLOOKUP(Tableau1[[#This Row],[Name Site]],Plant_AILN!A:D,4,FALSE)</f>
        <v>#N/A</v>
      </c>
      <c r="L173" s="285"/>
      <c r="M173" s="480" t="e">
        <f>VLOOKUP(Tableau1[[#This Row],[Name Site]],Plant_AILN!A:C,3,FALSE)</f>
        <v>#N/A</v>
      </c>
      <c r="N173" s="55" t="e">
        <f>VLOOKUP(Tableau1[[#This Row],[Compte Consignee]],Order!C:D,2,FALSE)</f>
        <v>#N/A</v>
      </c>
      <c r="O173" s="453"/>
      <c r="P173" s="481" t="e">
        <f>VLOOKUP(Tableau1[[#This Row],[Name ILN]],Plant_AILN!F:G,2,FALSE)</f>
        <v>#N/A</v>
      </c>
      <c r="Q173" s="50" t="e">
        <f>VLOOKUP(Tableau1[[#This Row],[Compte ILN]],'DATA ILN'!D:I,6,FALSE)</f>
        <v>#N/A</v>
      </c>
      <c r="R173" s="50" t="e">
        <f>IFERROR(VLOOKUP(Tableau1[[#This Row],[Key(Compte ILN - shipper - POL - plant)]],'DATA ILN'!A:J,10,FALSE),VLOOKUP(Tableau1[[#This Row],[Key(Compte ILN - shipper - POL)]],'DATA ILN'!B:J,9,FALSE))</f>
        <v>#N/A</v>
      </c>
      <c r="S173" s="50" t="e">
        <f>IFERROR(VLOOKUP(Tableau1[[#This Row],[Key(Compte ILN - shipper - POL - plant)]],'DATA ILN'!A:K,11,FALSE),VLOOKUP(Tableau1[[#This Row],[Key(Compte ILN - shipper - POL)]],'DATA ILN'!B:K,10,FALSE))</f>
        <v>#N/A</v>
      </c>
      <c r="T173" s="50" t="e">
        <f>IFERROR(VLOOKUP(Tableau1[[#This Row],[Key(Compte ILN - shipper - POL - plant)]],'DATA ILN'!A:L,12,FALSE),VLOOKUP(Tableau1[[#This Row],[Key(Compte ILN - shipper - POL)]],'DATA ILN'!B:L,11,FALSE))</f>
        <v>#N/A</v>
      </c>
      <c r="U173" s="50" t="e">
        <f>Tableau1[[#This Row],[Day ILN Order]]+Tableau1[[#This Row],[Delivery time to ILN/Shipper]]-1</f>
        <v>#N/A</v>
      </c>
      <c r="V173" s="50" t="e">
        <f>IFERROR(VLOOKUP(Tableau1[[#This Row],[Key(Compte ILN - shipper - POL - plant)]],'DATA ILN'!A:N,14,FALSE),VLOOKUP(Tableau1[[#This Row],[Key(Compte ILN - shipper - POL)]],'DATA ILN'!B:N,13,FALSE))</f>
        <v>#N/A</v>
      </c>
      <c r="W173" s="53" t="e">
        <f>IFERROR(VLOOKUP(Tableau1[[#This Row],[Key(Compte ILN - shipper - POL - plant)]],'DATA ILN'!A:P,16,FALSE),VLOOKUP(Tableau1[[#This Row],[Key(Compte ILN - shipper - POL)]],'DATA ILN'!B:P,15,FALSE))</f>
        <v>#N/A</v>
      </c>
      <c r="X173" s="283"/>
      <c r="Y173" s="482">
        <f>IFERROR(VLOOKUP(Tableau1[[#This Row],[Name Shipper]],Plant_AILN!L:M,2,FALSE),0)</f>
        <v>0</v>
      </c>
      <c r="Z173" s="358"/>
      <c r="AA173" s="353" t="e">
        <f ca="1">VLOOKUP(Tableau1[[#This Row],[Key(ID-Actif)]],'DATA BTO'!A:N,5,FALSE)</f>
        <v>#N/A</v>
      </c>
      <c r="AB173" s="3" t="e">
        <f ca="1">VLOOKUP(Tableau1[[#This Row],[Key(ID-Actif)]],'DATA BTO'!A:N,6,FALSE)</f>
        <v>#N/A</v>
      </c>
      <c r="AC173" s="50" t="e">
        <f ca="1">VLOOKUP(Tableau1[[#This Row],[Key(ID-Actif)]],'DATA BTO'!A:N,7,FALSE)</f>
        <v>#N/A</v>
      </c>
      <c r="AD173" s="50" t="e">
        <f ca="1">VLOOKUP(Tableau1[[#This Row],[Key(ID-Actif)]],'DATA BTO'!A:N,8,FALSE)</f>
        <v>#N/A</v>
      </c>
      <c r="AE173" s="50" t="e">
        <f ca="1">IF(Tableau1[[#This Row],[First Day to POL]]&lt;=Tableau1[[#This Row],[Day Cut Off]],Tableau1[[#This Row],[Day ETD]],Tableau1[[#This Row],[Day ETD]]+7)</f>
        <v>#N/A</v>
      </c>
      <c r="AF173" s="50" t="e">
        <f ca="1">VLOOKUP(Tableau1[[#This Row],[Key(ID-Actif)]],'DATA BTO'!A:N,9,FALSE)</f>
        <v>#N/A</v>
      </c>
      <c r="AG173" s="3" t="e">
        <f ca="1">VLOOKUP(Tableau1[[#This Row],[Key(ID-Actif)]],'DATA BTO'!A:N,10,FALSE)</f>
        <v>#N/A</v>
      </c>
      <c r="AH173" s="3" t="e">
        <f ca="1">VLOOKUP(Tableau1[[#This Row],[Key(ID-Actif)]],'DATA BTO'!A:N,11,FALSE)</f>
        <v>#N/A</v>
      </c>
      <c r="AI173" s="50" t="e">
        <f ca="1">VLOOKUP(Tableau1[[#This Row],[Key(ID-Actif)]],'DATA BTO'!A:N,12,FALSE)</f>
        <v>#N/A</v>
      </c>
      <c r="AJ173" s="53" t="e">
        <f ca="1">VLOOKUP(Tableau1[[#This Row],[Key(ID-Actif)]],'DATA BTO'!A:N,14,FALSE)</f>
        <v>#N/A</v>
      </c>
      <c r="AK173" s="54" t="e">
        <f ca="1">VLOOKUP(Tableau1[[#This Row],[Key(POD -PFI- Usine)]],'DATA Consignee'!A:F,6,FALSE)</f>
        <v>#N/A</v>
      </c>
      <c r="AL173" s="125"/>
      <c r="AM173" s="483" t="str">
        <f>IF(Tableau1[[#This Row],[Name PFI/CDD]]="","-",VLOOKUP(Tableau1[[#This Row],[Name PFI/CDD]],Plant_AILN!I:J,2,FALSE))</f>
        <v>-</v>
      </c>
      <c r="AN17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3" s="2" t="e">
        <f ca="1">VLOOKUP(Tableau1[[#This Row],[Key(POD -PFI- Usine)]],'DATA Consignee'!A:J,10,FALSE)</f>
        <v>#N/A</v>
      </c>
      <c r="AQ173" s="50" t="e">
        <f ca="1">VLOOKUP(Tableau1[[#This Row],[Key(POD -PFI- Usine)]],'DATA Consignee'!A:N,14,FALSE)</f>
        <v>#N/A</v>
      </c>
      <c r="AR17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3" s="50" t="e">
        <f ca="1">Tableau1[[#This Row],[Transit time]]+Tableau1[[#This Row],[Time for security]]+Tableau1[[#This Row],[Time for security2 buffer]]</f>
        <v>#N/A</v>
      </c>
      <c r="AU17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3" s="389" t="e">
        <f ca="1">Tableau1[[#This Row],[Leadtime SI2C]]+Tableau1[[#This Row],[First Receipt Days]]-Tableau1[[#This Row],[Day Customer Order]]+1</f>
        <v>#N/A</v>
      </c>
      <c r="AW173" s="117" t="e">
        <f ca="1">IF(Tableau1[[#This Row],[Name ILN]]&lt;&gt;"SFK Freight Forwarder",Tableau1[[#This Row],[Cust. Leadtime]],Tableau1[[#This Row],[Leadtime SI2C]])</f>
        <v>#N/A</v>
      </c>
      <c r="AX173" s="51" t="e">
        <f>VLOOKUP(Tableau1[[#This Row],[ID]],'DATA BTO'!B:P,15,FALSE)</f>
        <v>#N/A</v>
      </c>
      <c r="AY173" s="328" t="e">
        <f ca="1">IFERROR(VLOOKUP(Tableau1[[#This Row],[Key(ID-Actif)]],'DATA BTO'!A:N,4,FALSE),VLOOKUP(Tableau1[[#This Row],[ID]],'DATA BTO'!B:N,3,FALSE))</f>
        <v>#N/A</v>
      </c>
      <c r="AZ17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3" s="50"/>
    </row>
    <row r="174" spans="2:57">
      <c r="B174" s="65" t="str">
        <f>_xlfn.CONCAT(Tableau1[[#This Row],[Name ILN]],"-",Tableau1[[#This Row],[Name Shipper]],"-",Tableau1[[#This Row],[Name Site]])</f>
        <v>--</v>
      </c>
      <c r="C174" s="65" t="e">
        <f>_xlfn.CONCAT(Tableau1[[#This Row],[Compte ILN]],"-",Tableau1[[#This Row],[Compte Shipper]],"-",Tableau1[[#This Row],[POL]],"-",Tableau1[[#This Row],[Compte Consignee]])</f>
        <v>#N/A</v>
      </c>
      <c r="D174" s="64" t="e">
        <f>_xlfn.CONCAT(Tableau1[[#This Row],[Compte ILN]],"-",Tableau1[[#This Row],[Compte Shipper]],"-",Tableau1[[#This Row],[POL]])</f>
        <v>#N/A</v>
      </c>
      <c r="E174" s="396" t="e">
        <f ca="1">_xlfn.CONCAT(Tableau1[[#This Row],[POL]],"-",Tableau1[[#This Row],[Carrier]],"-",Tableau1[[#This Row],[POD]])</f>
        <v>#N/A</v>
      </c>
      <c r="F174" s="64" t="str">
        <f>_xlfn.CONCAT(Tableau1[[#This Row],[ID]],"-","Actif")</f>
        <v>-Actif</v>
      </c>
      <c r="G174" s="64" t="e">
        <f ca="1">_xlfn.CONCAT(Tableau1[[#This Row],[POD]],"-",Tableau1[[#This Row],[Code PFI]],"-",Tableau1[[#This Row],[Compte Consignee]])</f>
        <v>#N/A</v>
      </c>
      <c r="H17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4" s="397" t="str">
        <f ca="1">IF(COUNTIF(I:I,Tableau1[[#This Row],[Plant-ILN-shipper-POL-Carrier-POD-PFI]])=1,"Non","Oui")</f>
        <v>Oui</v>
      </c>
      <c r="K174" s="398" t="e">
        <f>VLOOKUP(Tableau1[[#This Row],[Name Site]],Plant_AILN!A:D,4,FALSE)</f>
        <v>#N/A</v>
      </c>
      <c r="L174" s="285"/>
      <c r="M174" s="480" t="e">
        <f>VLOOKUP(Tableau1[[#This Row],[Name Site]],Plant_AILN!A:C,3,FALSE)</f>
        <v>#N/A</v>
      </c>
      <c r="N174" s="55" t="e">
        <f>VLOOKUP(Tableau1[[#This Row],[Compte Consignee]],Order!C:D,2,FALSE)</f>
        <v>#N/A</v>
      </c>
      <c r="O174" s="122"/>
      <c r="P174" s="481" t="e">
        <f>VLOOKUP(Tableau1[[#This Row],[Name ILN]],Plant_AILN!F:G,2,FALSE)</f>
        <v>#N/A</v>
      </c>
      <c r="Q174" s="50" t="e">
        <f>VLOOKUP(Tableau1[[#This Row],[Compte ILN]],'DATA ILN'!D:I,6,FALSE)</f>
        <v>#N/A</v>
      </c>
      <c r="R174" s="50" t="e">
        <f>IFERROR(VLOOKUP(Tableau1[[#This Row],[Key(Compte ILN - shipper - POL - plant)]],'DATA ILN'!A:J,10,FALSE),VLOOKUP(Tableau1[[#This Row],[Key(Compte ILN - shipper - POL)]],'DATA ILN'!B:J,9,FALSE))</f>
        <v>#N/A</v>
      </c>
      <c r="S174" s="50" t="e">
        <f>IFERROR(VLOOKUP(Tableau1[[#This Row],[Key(Compte ILN - shipper - POL - plant)]],'DATA ILN'!A:K,11,FALSE),VLOOKUP(Tableau1[[#This Row],[Key(Compte ILN - shipper - POL)]],'DATA ILN'!B:K,10,FALSE))</f>
        <v>#N/A</v>
      </c>
      <c r="T174" s="50" t="e">
        <f>IFERROR(VLOOKUP(Tableau1[[#This Row],[Key(Compte ILN - shipper - POL - plant)]],'DATA ILN'!A:L,12,FALSE),VLOOKUP(Tableau1[[#This Row],[Key(Compte ILN - shipper - POL)]],'DATA ILN'!B:L,11,FALSE))</f>
        <v>#N/A</v>
      </c>
      <c r="U174" s="50" t="e">
        <f>Tableau1[[#This Row],[Day ILN Order]]+Tableau1[[#This Row],[Delivery time to ILN/Shipper]]-1</f>
        <v>#N/A</v>
      </c>
      <c r="V174" s="50" t="e">
        <f>IFERROR(VLOOKUP(Tableau1[[#This Row],[Key(Compte ILN - shipper - POL - plant)]],'DATA ILN'!A:N,14,FALSE),VLOOKUP(Tableau1[[#This Row],[Key(Compte ILN - shipper - POL)]],'DATA ILN'!B:N,13,FALSE))</f>
        <v>#N/A</v>
      </c>
      <c r="W174" s="53" t="e">
        <f>IFERROR(VLOOKUP(Tableau1[[#This Row],[Key(Compte ILN - shipper - POL - plant)]],'DATA ILN'!A:P,16,FALSE),VLOOKUP(Tableau1[[#This Row],[Key(Compte ILN - shipper - POL)]],'DATA ILN'!B:P,15,FALSE))</f>
        <v>#N/A</v>
      </c>
      <c r="X174" s="283"/>
      <c r="Y174" s="482">
        <f>IFERROR(VLOOKUP(Tableau1[[#This Row],[Name Shipper]],Plant_AILN!L:M,2,FALSE),0)</f>
        <v>0</v>
      </c>
      <c r="Z174" s="358"/>
      <c r="AA174" s="353" t="e">
        <f ca="1">VLOOKUP(Tableau1[[#This Row],[Key(ID-Actif)]],'DATA BTO'!A:N,5,FALSE)</f>
        <v>#N/A</v>
      </c>
      <c r="AB174" s="3" t="e">
        <f ca="1">VLOOKUP(Tableau1[[#This Row],[Key(ID-Actif)]],'DATA BTO'!A:N,6,FALSE)</f>
        <v>#N/A</v>
      </c>
      <c r="AC174" s="50" t="e">
        <f ca="1">VLOOKUP(Tableau1[[#This Row],[Key(ID-Actif)]],'DATA BTO'!A:N,7,FALSE)</f>
        <v>#N/A</v>
      </c>
      <c r="AD174" s="50" t="e">
        <f ca="1">VLOOKUP(Tableau1[[#This Row],[Key(ID-Actif)]],'DATA BTO'!A:N,8,FALSE)</f>
        <v>#N/A</v>
      </c>
      <c r="AE174" s="50" t="e">
        <f ca="1">IF(Tableau1[[#This Row],[First Day to POL]]&lt;=Tableau1[[#This Row],[Day Cut Off]],Tableau1[[#This Row],[Day ETD]],Tableau1[[#This Row],[Day ETD]]+7)</f>
        <v>#N/A</v>
      </c>
      <c r="AF174" s="50" t="e">
        <f ca="1">VLOOKUP(Tableau1[[#This Row],[Key(ID-Actif)]],'DATA BTO'!A:N,9,FALSE)</f>
        <v>#N/A</v>
      </c>
      <c r="AG174" s="3" t="e">
        <f ca="1">VLOOKUP(Tableau1[[#This Row],[Key(ID-Actif)]],'DATA BTO'!A:N,10,FALSE)</f>
        <v>#N/A</v>
      </c>
      <c r="AH174" s="3" t="e">
        <f ca="1">VLOOKUP(Tableau1[[#This Row],[Key(ID-Actif)]],'DATA BTO'!A:N,11,FALSE)</f>
        <v>#N/A</v>
      </c>
      <c r="AI174" s="50" t="e">
        <f ca="1">VLOOKUP(Tableau1[[#This Row],[Key(ID-Actif)]],'DATA BTO'!A:N,12,FALSE)</f>
        <v>#N/A</v>
      </c>
      <c r="AJ174" s="53" t="e">
        <f ca="1">VLOOKUP(Tableau1[[#This Row],[Key(ID-Actif)]],'DATA BTO'!A:N,14,FALSE)</f>
        <v>#N/A</v>
      </c>
      <c r="AK174" s="54" t="e">
        <f ca="1">VLOOKUP(Tableau1[[#This Row],[Key(POD -PFI- Usine)]],'DATA Consignee'!A:F,6,FALSE)</f>
        <v>#N/A</v>
      </c>
      <c r="AL174" s="125"/>
      <c r="AM174" s="483" t="str">
        <f>IF(Tableau1[[#This Row],[Name PFI/CDD]]="","-",VLOOKUP(Tableau1[[#This Row],[Name PFI/CDD]],Plant_AILN!I:J,2,FALSE))</f>
        <v>-</v>
      </c>
      <c r="AN17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4" s="2" t="e">
        <f ca="1">VLOOKUP(Tableau1[[#This Row],[Key(POD -PFI- Usine)]],'DATA Consignee'!A:J,10,FALSE)</f>
        <v>#N/A</v>
      </c>
      <c r="AQ174" s="50" t="e">
        <f ca="1">VLOOKUP(Tableau1[[#This Row],[Key(POD -PFI- Usine)]],'DATA Consignee'!A:N,14,FALSE)</f>
        <v>#N/A</v>
      </c>
      <c r="AR17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4" s="50" t="e">
        <f ca="1">Tableau1[[#This Row],[Transit time]]+Tableau1[[#This Row],[Time for security]]+Tableau1[[#This Row],[Time for security2 buffer]]</f>
        <v>#N/A</v>
      </c>
      <c r="AU17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4" s="389" t="e">
        <f ca="1">Tableau1[[#This Row],[Leadtime SI2C]]+Tableau1[[#This Row],[First Receipt Days]]-Tableau1[[#This Row],[Day Customer Order]]+1</f>
        <v>#N/A</v>
      </c>
      <c r="AW174" s="117" t="e">
        <f ca="1">IF(Tableau1[[#This Row],[Name ILN]]&lt;&gt;"SFK Freight Forwarder",Tableau1[[#This Row],[Cust. Leadtime]],Tableau1[[#This Row],[Leadtime SI2C]])</f>
        <v>#N/A</v>
      </c>
      <c r="AX174" s="51" t="e">
        <f>VLOOKUP(Tableau1[[#This Row],[ID]],'DATA BTO'!B:P,15,FALSE)</f>
        <v>#N/A</v>
      </c>
      <c r="AY174" s="328" t="e">
        <f ca="1">IFERROR(VLOOKUP(Tableau1[[#This Row],[Key(ID-Actif)]],'DATA BTO'!A:N,4,FALSE),VLOOKUP(Tableau1[[#This Row],[ID]],'DATA BTO'!B:N,3,FALSE))</f>
        <v>#N/A</v>
      </c>
      <c r="AZ17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4" s="50"/>
    </row>
    <row r="175" spans="2:57">
      <c r="B175" s="65" t="str">
        <f>_xlfn.CONCAT(Tableau1[[#This Row],[Name ILN]],"-",Tableau1[[#This Row],[Name Shipper]],"-",Tableau1[[#This Row],[Name Site]])</f>
        <v>--</v>
      </c>
      <c r="C175" s="65" t="e">
        <f>_xlfn.CONCAT(Tableau1[[#This Row],[Compte ILN]],"-",Tableau1[[#This Row],[Compte Shipper]],"-",Tableau1[[#This Row],[POL]],"-",Tableau1[[#This Row],[Compte Consignee]])</f>
        <v>#N/A</v>
      </c>
      <c r="D175" s="64" t="e">
        <f>_xlfn.CONCAT(Tableau1[[#This Row],[Compte ILN]],"-",Tableau1[[#This Row],[Compte Shipper]],"-",Tableau1[[#This Row],[POL]])</f>
        <v>#N/A</v>
      </c>
      <c r="E175" s="396" t="e">
        <f ca="1">_xlfn.CONCAT(Tableau1[[#This Row],[POL]],"-",Tableau1[[#This Row],[Carrier]],"-",Tableau1[[#This Row],[POD]])</f>
        <v>#N/A</v>
      </c>
      <c r="F175" s="64" t="str">
        <f>_xlfn.CONCAT(Tableau1[[#This Row],[ID]],"-","Actif")</f>
        <v>-Actif</v>
      </c>
      <c r="G175" s="64" t="e">
        <f ca="1">_xlfn.CONCAT(Tableau1[[#This Row],[POD]],"-",Tableau1[[#This Row],[Code PFI]],"-",Tableau1[[#This Row],[Compte Consignee]])</f>
        <v>#N/A</v>
      </c>
      <c r="H17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5" s="397" t="str">
        <f ca="1">IF(COUNTIF(I:I,Tableau1[[#This Row],[Plant-ILN-shipper-POL-Carrier-POD-PFI]])=1,"Non","Oui")</f>
        <v>Oui</v>
      </c>
      <c r="K175" s="398" t="e">
        <f>VLOOKUP(Tableau1[[#This Row],[Name Site]],Plant_AILN!A:D,4,FALSE)</f>
        <v>#N/A</v>
      </c>
      <c r="L175" s="285"/>
      <c r="M175" s="480" t="e">
        <f>VLOOKUP(Tableau1[[#This Row],[Name Site]],Plant_AILN!A:C,3,FALSE)</f>
        <v>#N/A</v>
      </c>
      <c r="N175" s="55" t="e">
        <f>VLOOKUP(Tableau1[[#This Row],[Compte Consignee]],Order!C:D,2,FALSE)</f>
        <v>#N/A</v>
      </c>
      <c r="O175" s="122"/>
      <c r="P175" s="481" t="e">
        <f>VLOOKUP(Tableau1[[#This Row],[Name ILN]],Plant_AILN!F:G,2,FALSE)</f>
        <v>#N/A</v>
      </c>
      <c r="Q175" s="50" t="e">
        <f>VLOOKUP(Tableau1[[#This Row],[Compte ILN]],'DATA ILN'!D:I,6,FALSE)</f>
        <v>#N/A</v>
      </c>
      <c r="R175" s="50" t="e">
        <f>IFERROR(VLOOKUP(Tableau1[[#This Row],[Key(Compte ILN - shipper - POL - plant)]],'DATA ILN'!A:J,10,FALSE),VLOOKUP(Tableau1[[#This Row],[Key(Compte ILN - shipper - POL)]],'DATA ILN'!B:J,9,FALSE))</f>
        <v>#N/A</v>
      </c>
      <c r="S175" s="50" t="e">
        <f>IFERROR(VLOOKUP(Tableau1[[#This Row],[Key(Compte ILN - shipper - POL - plant)]],'DATA ILN'!A:K,11,FALSE),VLOOKUP(Tableau1[[#This Row],[Key(Compte ILN - shipper - POL)]],'DATA ILN'!B:K,10,FALSE))</f>
        <v>#N/A</v>
      </c>
      <c r="T175" s="50" t="e">
        <f>IFERROR(VLOOKUP(Tableau1[[#This Row],[Key(Compte ILN - shipper - POL - plant)]],'DATA ILN'!A:L,12,FALSE),VLOOKUP(Tableau1[[#This Row],[Key(Compte ILN - shipper - POL)]],'DATA ILN'!B:L,11,FALSE))</f>
        <v>#N/A</v>
      </c>
      <c r="U175" s="50" t="e">
        <f>Tableau1[[#This Row],[Day ILN Order]]+Tableau1[[#This Row],[Delivery time to ILN/Shipper]]-1</f>
        <v>#N/A</v>
      </c>
      <c r="V175" s="50" t="e">
        <f>IFERROR(VLOOKUP(Tableau1[[#This Row],[Key(Compte ILN - shipper - POL - plant)]],'DATA ILN'!A:N,14,FALSE),VLOOKUP(Tableau1[[#This Row],[Key(Compte ILN - shipper - POL)]],'DATA ILN'!B:N,13,FALSE))</f>
        <v>#N/A</v>
      </c>
      <c r="W175" s="53" t="e">
        <f>IFERROR(VLOOKUP(Tableau1[[#This Row],[Key(Compte ILN - shipper - POL - plant)]],'DATA ILN'!A:P,16,FALSE),VLOOKUP(Tableau1[[#This Row],[Key(Compte ILN - shipper - POL)]],'DATA ILN'!B:P,15,FALSE))</f>
        <v>#N/A</v>
      </c>
      <c r="X175" s="283"/>
      <c r="Y175" s="482">
        <f>IFERROR(VLOOKUP(Tableau1[[#This Row],[Name Shipper]],Plant_AILN!L:M,2,FALSE),0)</f>
        <v>0</v>
      </c>
      <c r="Z175" s="358"/>
      <c r="AA175" s="353" t="e">
        <f ca="1">VLOOKUP(Tableau1[[#This Row],[Key(ID-Actif)]],'DATA BTO'!A:N,5,FALSE)</f>
        <v>#N/A</v>
      </c>
      <c r="AB175" s="3" t="e">
        <f ca="1">VLOOKUP(Tableau1[[#This Row],[Key(ID-Actif)]],'DATA BTO'!A:N,6,FALSE)</f>
        <v>#N/A</v>
      </c>
      <c r="AC175" s="50" t="e">
        <f ca="1">VLOOKUP(Tableau1[[#This Row],[Key(ID-Actif)]],'DATA BTO'!A:N,7,FALSE)</f>
        <v>#N/A</v>
      </c>
      <c r="AD175" s="50" t="e">
        <f ca="1">VLOOKUP(Tableau1[[#This Row],[Key(ID-Actif)]],'DATA BTO'!A:N,8,FALSE)</f>
        <v>#N/A</v>
      </c>
      <c r="AE175" s="50" t="e">
        <f ca="1">IF(Tableau1[[#This Row],[First Day to POL]]&lt;=Tableau1[[#This Row],[Day Cut Off]],Tableau1[[#This Row],[Day ETD]],Tableau1[[#This Row],[Day ETD]]+7)</f>
        <v>#N/A</v>
      </c>
      <c r="AF175" s="50" t="e">
        <f ca="1">VLOOKUP(Tableau1[[#This Row],[Key(ID-Actif)]],'DATA BTO'!A:N,9,FALSE)</f>
        <v>#N/A</v>
      </c>
      <c r="AG175" s="3" t="e">
        <f ca="1">VLOOKUP(Tableau1[[#This Row],[Key(ID-Actif)]],'DATA BTO'!A:N,10,FALSE)</f>
        <v>#N/A</v>
      </c>
      <c r="AH175" s="3" t="e">
        <f ca="1">VLOOKUP(Tableau1[[#This Row],[Key(ID-Actif)]],'DATA BTO'!A:N,11,FALSE)</f>
        <v>#N/A</v>
      </c>
      <c r="AI175" s="50" t="e">
        <f ca="1">VLOOKUP(Tableau1[[#This Row],[Key(ID-Actif)]],'DATA BTO'!A:N,12,FALSE)</f>
        <v>#N/A</v>
      </c>
      <c r="AJ175" s="53" t="e">
        <f ca="1">VLOOKUP(Tableau1[[#This Row],[Key(ID-Actif)]],'DATA BTO'!A:N,14,FALSE)</f>
        <v>#N/A</v>
      </c>
      <c r="AK175" s="54" t="e">
        <f ca="1">VLOOKUP(Tableau1[[#This Row],[Key(POD -PFI- Usine)]],'DATA Consignee'!A:F,6,FALSE)</f>
        <v>#N/A</v>
      </c>
      <c r="AL175" s="125"/>
      <c r="AM175" s="483" t="str">
        <f>IF(Tableau1[[#This Row],[Name PFI/CDD]]="","-",VLOOKUP(Tableau1[[#This Row],[Name PFI/CDD]],Plant_AILN!I:J,2,FALSE))</f>
        <v>-</v>
      </c>
      <c r="AN17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5" s="2" t="e">
        <f ca="1">VLOOKUP(Tableau1[[#This Row],[Key(POD -PFI- Usine)]],'DATA Consignee'!A:J,10,FALSE)</f>
        <v>#N/A</v>
      </c>
      <c r="AQ175" s="50" t="e">
        <f ca="1">VLOOKUP(Tableau1[[#This Row],[Key(POD -PFI- Usine)]],'DATA Consignee'!A:N,14,FALSE)</f>
        <v>#N/A</v>
      </c>
      <c r="AR17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5" s="50" t="e">
        <f ca="1">Tableau1[[#This Row],[Transit time]]+Tableau1[[#This Row],[Time for security]]+Tableau1[[#This Row],[Time for security2 buffer]]</f>
        <v>#N/A</v>
      </c>
      <c r="AU17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5" s="389" t="e">
        <f ca="1">Tableau1[[#This Row],[Leadtime SI2C]]+Tableau1[[#This Row],[First Receipt Days]]-Tableau1[[#This Row],[Day Customer Order]]+1</f>
        <v>#N/A</v>
      </c>
      <c r="AW175" s="117" t="e">
        <f ca="1">IF(Tableau1[[#This Row],[Name ILN]]&lt;&gt;"SFK Freight Forwarder",Tableau1[[#This Row],[Cust. Leadtime]],Tableau1[[#This Row],[Leadtime SI2C]])</f>
        <v>#N/A</v>
      </c>
      <c r="AX175" s="51" t="e">
        <f>VLOOKUP(Tableau1[[#This Row],[ID]],'DATA BTO'!B:P,15,FALSE)</f>
        <v>#N/A</v>
      </c>
      <c r="AY175" s="328" t="e">
        <f ca="1">IFERROR(VLOOKUP(Tableau1[[#This Row],[Key(ID-Actif)]],'DATA BTO'!A:N,4,FALSE),VLOOKUP(Tableau1[[#This Row],[ID]],'DATA BTO'!B:N,3,FALSE))</f>
        <v>#N/A</v>
      </c>
      <c r="AZ17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5" s="50"/>
    </row>
    <row r="176" spans="2:57">
      <c r="B176" s="65" t="str">
        <f>_xlfn.CONCAT(Tableau1[[#This Row],[Name ILN]],"-",Tableau1[[#This Row],[Name Shipper]],"-",Tableau1[[#This Row],[Name Site]])</f>
        <v>--</v>
      </c>
      <c r="C176" s="65" t="e">
        <f>_xlfn.CONCAT(Tableau1[[#This Row],[Compte ILN]],"-",Tableau1[[#This Row],[Compte Shipper]],"-",Tableau1[[#This Row],[POL]],"-",Tableau1[[#This Row],[Compte Consignee]])</f>
        <v>#N/A</v>
      </c>
      <c r="D176" s="64" t="e">
        <f>_xlfn.CONCAT(Tableau1[[#This Row],[Compte ILN]],"-",Tableau1[[#This Row],[Compte Shipper]],"-",Tableau1[[#This Row],[POL]])</f>
        <v>#N/A</v>
      </c>
      <c r="E176" s="396" t="e">
        <f ca="1">_xlfn.CONCAT(Tableau1[[#This Row],[POL]],"-",Tableau1[[#This Row],[Carrier]],"-",Tableau1[[#This Row],[POD]])</f>
        <v>#N/A</v>
      </c>
      <c r="F176" s="64" t="str">
        <f>_xlfn.CONCAT(Tableau1[[#This Row],[ID]],"-","Actif")</f>
        <v>-Actif</v>
      </c>
      <c r="G176" s="64" t="e">
        <f ca="1">_xlfn.CONCAT(Tableau1[[#This Row],[POD]],"-",Tableau1[[#This Row],[Code PFI]],"-",Tableau1[[#This Row],[Compte Consignee]])</f>
        <v>#N/A</v>
      </c>
      <c r="H17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6" s="397" t="str">
        <f ca="1">IF(COUNTIF(I:I,Tableau1[[#This Row],[Plant-ILN-shipper-POL-Carrier-POD-PFI]])=1,"Non","Oui")</f>
        <v>Oui</v>
      </c>
      <c r="K176" s="398" t="e">
        <f>VLOOKUP(Tableau1[[#This Row],[Name Site]],Plant_AILN!A:D,4,FALSE)</f>
        <v>#N/A</v>
      </c>
      <c r="L176" s="285"/>
      <c r="M176" s="480" t="e">
        <f>VLOOKUP(Tableau1[[#This Row],[Name Site]],Plant_AILN!A:C,3,FALSE)</f>
        <v>#N/A</v>
      </c>
      <c r="N176" s="55" t="e">
        <f>VLOOKUP(Tableau1[[#This Row],[Compte Consignee]],Order!C:D,2,FALSE)</f>
        <v>#N/A</v>
      </c>
      <c r="O176" s="122"/>
      <c r="P176" s="481" t="e">
        <f>VLOOKUP(Tableau1[[#This Row],[Name ILN]],Plant_AILN!F:G,2,FALSE)</f>
        <v>#N/A</v>
      </c>
      <c r="Q176" s="50" t="e">
        <f>VLOOKUP(Tableau1[[#This Row],[Compte ILN]],'DATA ILN'!D:I,6,FALSE)</f>
        <v>#N/A</v>
      </c>
      <c r="R176" s="50" t="e">
        <f>IFERROR(VLOOKUP(Tableau1[[#This Row],[Key(Compte ILN - shipper - POL - plant)]],'DATA ILN'!A:J,10,FALSE),VLOOKUP(Tableau1[[#This Row],[Key(Compte ILN - shipper - POL)]],'DATA ILN'!B:J,9,FALSE))</f>
        <v>#N/A</v>
      </c>
      <c r="S176" s="50" t="e">
        <f>IFERROR(VLOOKUP(Tableau1[[#This Row],[Key(Compte ILN - shipper - POL - plant)]],'DATA ILN'!A:K,11,FALSE),VLOOKUP(Tableau1[[#This Row],[Key(Compte ILN - shipper - POL)]],'DATA ILN'!B:K,10,FALSE))</f>
        <v>#N/A</v>
      </c>
      <c r="T176" s="50" t="e">
        <f>IFERROR(VLOOKUP(Tableau1[[#This Row],[Key(Compte ILN - shipper - POL - plant)]],'DATA ILN'!A:L,12,FALSE),VLOOKUP(Tableau1[[#This Row],[Key(Compte ILN - shipper - POL)]],'DATA ILN'!B:L,11,FALSE))</f>
        <v>#N/A</v>
      </c>
      <c r="U176" s="50" t="e">
        <f>Tableau1[[#This Row],[Day ILN Order]]+Tableau1[[#This Row],[Delivery time to ILN/Shipper]]-1</f>
        <v>#N/A</v>
      </c>
      <c r="V176" s="50" t="e">
        <f>IFERROR(VLOOKUP(Tableau1[[#This Row],[Key(Compte ILN - shipper - POL - plant)]],'DATA ILN'!A:N,14,FALSE),VLOOKUP(Tableau1[[#This Row],[Key(Compte ILN - shipper - POL)]],'DATA ILN'!B:N,13,FALSE))</f>
        <v>#N/A</v>
      </c>
      <c r="W176" s="53" t="e">
        <f>IFERROR(VLOOKUP(Tableau1[[#This Row],[Key(Compte ILN - shipper - POL - plant)]],'DATA ILN'!A:P,16,FALSE),VLOOKUP(Tableau1[[#This Row],[Key(Compte ILN - shipper - POL)]],'DATA ILN'!B:P,15,FALSE))</f>
        <v>#N/A</v>
      </c>
      <c r="X176" s="283"/>
      <c r="Y176" s="482">
        <f>IFERROR(VLOOKUP(Tableau1[[#This Row],[Name Shipper]],Plant_AILN!L:M,2,FALSE),0)</f>
        <v>0</v>
      </c>
      <c r="Z176" s="358"/>
      <c r="AA176" s="353" t="e">
        <f ca="1">VLOOKUP(Tableau1[[#This Row],[Key(ID-Actif)]],'DATA BTO'!A:N,5,FALSE)</f>
        <v>#N/A</v>
      </c>
      <c r="AB176" s="3" t="e">
        <f ca="1">VLOOKUP(Tableau1[[#This Row],[Key(ID-Actif)]],'DATA BTO'!A:N,6,FALSE)</f>
        <v>#N/A</v>
      </c>
      <c r="AC176" s="50" t="e">
        <f ca="1">VLOOKUP(Tableau1[[#This Row],[Key(ID-Actif)]],'DATA BTO'!A:N,7,FALSE)</f>
        <v>#N/A</v>
      </c>
      <c r="AD176" s="50" t="e">
        <f ca="1">VLOOKUP(Tableau1[[#This Row],[Key(ID-Actif)]],'DATA BTO'!A:N,8,FALSE)</f>
        <v>#N/A</v>
      </c>
      <c r="AE176" s="50" t="e">
        <f ca="1">IF(Tableau1[[#This Row],[First Day to POL]]&lt;=Tableau1[[#This Row],[Day Cut Off]],Tableau1[[#This Row],[Day ETD]],Tableau1[[#This Row],[Day ETD]]+7)</f>
        <v>#N/A</v>
      </c>
      <c r="AF176" s="50" t="e">
        <f ca="1">VLOOKUP(Tableau1[[#This Row],[Key(ID-Actif)]],'DATA BTO'!A:N,9,FALSE)</f>
        <v>#N/A</v>
      </c>
      <c r="AG176" s="3" t="e">
        <f ca="1">VLOOKUP(Tableau1[[#This Row],[Key(ID-Actif)]],'DATA BTO'!A:N,10,FALSE)</f>
        <v>#N/A</v>
      </c>
      <c r="AH176" s="3" t="e">
        <f ca="1">VLOOKUP(Tableau1[[#This Row],[Key(ID-Actif)]],'DATA BTO'!A:N,11,FALSE)</f>
        <v>#N/A</v>
      </c>
      <c r="AI176" s="50" t="e">
        <f ca="1">VLOOKUP(Tableau1[[#This Row],[Key(ID-Actif)]],'DATA BTO'!A:N,12,FALSE)</f>
        <v>#N/A</v>
      </c>
      <c r="AJ176" s="53" t="e">
        <f ca="1">VLOOKUP(Tableau1[[#This Row],[Key(ID-Actif)]],'DATA BTO'!A:N,14,FALSE)</f>
        <v>#N/A</v>
      </c>
      <c r="AK176" s="54" t="e">
        <f ca="1">VLOOKUP(Tableau1[[#This Row],[Key(POD -PFI- Usine)]],'DATA Consignee'!A:F,6,FALSE)</f>
        <v>#N/A</v>
      </c>
      <c r="AL176" s="125"/>
      <c r="AM176" s="483" t="str">
        <f>IF(Tableau1[[#This Row],[Name PFI/CDD]]="","-",VLOOKUP(Tableau1[[#This Row],[Name PFI/CDD]],Plant_AILN!I:J,2,FALSE))</f>
        <v>-</v>
      </c>
      <c r="AN17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6" s="2" t="e">
        <f ca="1">VLOOKUP(Tableau1[[#This Row],[Key(POD -PFI- Usine)]],'DATA Consignee'!A:J,10,FALSE)</f>
        <v>#N/A</v>
      </c>
      <c r="AQ176" s="50" t="e">
        <f ca="1">VLOOKUP(Tableau1[[#This Row],[Key(POD -PFI- Usine)]],'DATA Consignee'!A:N,14,FALSE)</f>
        <v>#N/A</v>
      </c>
      <c r="AR17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6" s="50" t="e">
        <f ca="1">Tableau1[[#This Row],[Transit time]]+Tableau1[[#This Row],[Time for security]]+Tableau1[[#This Row],[Time for security2 buffer]]</f>
        <v>#N/A</v>
      </c>
      <c r="AU17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6" s="389" t="e">
        <f ca="1">Tableau1[[#This Row],[Leadtime SI2C]]+Tableau1[[#This Row],[First Receipt Days]]-Tableau1[[#This Row],[Day Customer Order]]+1</f>
        <v>#N/A</v>
      </c>
      <c r="AW176" s="117" t="e">
        <f ca="1">IF(Tableau1[[#This Row],[Name ILN]]&lt;&gt;"SFK Freight Forwarder",Tableau1[[#This Row],[Cust. Leadtime]],Tableau1[[#This Row],[Leadtime SI2C]])</f>
        <v>#N/A</v>
      </c>
      <c r="AX176" s="51" t="e">
        <f>VLOOKUP(Tableau1[[#This Row],[ID]],'DATA BTO'!B:P,15,FALSE)</f>
        <v>#N/A</v>
      </c>
      <c r="AY176" s="328" t="e">
        <f ca="1">IFERROR(VLOOKUP(Tableau1[[#This Row],[Key(ID-Actif)]],'DATA BTO'!A:N,4,FALSE),VLOOKUP(Tableau1[[#This Row],[ID]],'DATA BTO'!B:N,3,FALSE))</f>
        <v>#N/A</v>
      </c>
      <c r="AZ17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6" s="50"/>
    </row>
    <row r="177" spans="2:57">
      <c r="B177" s="65" t="str">
        <f>_xlfn.CONCAT(Tableau1[[#This Row],[Name ILN]],"-",Tableau1[[#This Row],[Name Shipper]],"-",Tableau1[[#This Row],[Name Site]])</f>
        <v>--</v>
      </c>
      <c r="C177" s="65" t="e">
        <f>_xlfn.CONCAT(Tableau1[[#This Row],[Compte ILN]],"-",Tableau1[[#This Row],[Compte Shipper]],"-",Tableau1[[#This Row],[POL]],"-",Tableau1[[#This Row],[Compte Consignee]])</f>
        <v>#N/A</v>
      </c>
      <c r="D177" s="64" t="e">
        <f>_xlfn.CONCAT(Tableau1[[#This Row],[Compte ILN]],"-",Tableau1[[#This Row],[Compte Shipper]],"-",Tableau1[[#This Row],[POL]])</f>
        <v>#N/A</v>
      </c>
      <c r="E177" s="396" t="e">
        <f ca="1">_xlfn.CONCAT(Tableau1[[#This Row],[POL]],"-",Tableau1[[#This Row],[Carrier]],"-",Tableau1[[#This Row],[POD]])</f>
        <v>#N/A</v>
      </c>
      <c r="F177" s="64" t="str">
        <f>_xlfn.CONCAT(Tableau1[[#This Row],[ID]],"-","Actif")</f>
        <v>-Actif</v>
      </c>
      <c r="G177" s="64" t="e">
        <f ca="1">_xlfn.CONCAT(Tableau1[[#This Row],[POD]],"-",Tableau1[[#This Row],[Code PFI]],"-",Tableau1[[#This Row],[Compte Consignee]])</f>
        <v>#N/A</v>
      </c>
      <c r="H17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7" s="397" t="str">
        <f ca="1">IF(COUNTIF(I:I,Tableau1[[#This Row],[Plant-ILN-shipper-POL-Carrier-POD-PFI]])=1,"Non","Oui")</f>
        <v>Oui</v>
      </c>
      <c r="K177" s="398" t="e">
        <f>VLOOKUP(Tableau1[[#This Row],[Name Site]],Plant_AILN!A:D,4,FALSE)</f>
        <v>#N/A</v>
      </c>
      <c r="L177" s="285"/>
      <c r="M177" s="480" t="e">
        <f>VLOOKUP(Tableau1[[#This Row],[Name Site]],Plant_AILN!A:C,3,FALSE)</f>
        <v>#N/A</v>
      </c>
      <c r="N177" s="55" t="e">
        <f>VLOOKUP(Tableau1[[#This Row],[Compte Consignee]],Order!C:D,2,FALSE)</f>
        <v>#N/A</v>
      </c>
      <c r="O177" s="122"/>
      <c r="P177" s="481" t="e">
        <f>VLOOKUP(Tableau1[[#This Row],[Name ILN]],Plant_AILN!F:G,2,FALSE)</f>
        <v>#N/A</v>
      </c>
      <c r="Q177" s="50" t="e">
        <f>VLOOKUP(Tableau1[[#This Row],[Compte ILN]],'DATA ILN'!D:I,6,FALSE)</f>
        <v>#N/A</v>
      </c>
      <c r="R177" s="50" t="e">
        <f>IFERROR(VLOOKUP(Tableau1[[#This Row],[Key(Compte ILN - shipper - POL - plant)]],'DATA ILN'!A:J,10,FALSE),VLOOKUP(Tableau1[[#This Row],[Key(Compte ILN - shipper - POL)]],'DATA ILN'!B:J,9,FALSE))</f>
        <v>#N/A</v>
      </c>
      <c r="S177" s="50" t="e">
        <f>IFERROR(VLOOKUP(Tableau1[[#This Row],[Key(Compte ILN - shipper - POL - plant)]],'DATA ILN'!A:K,11,FALSE),VLOOKUP(Tableau1[[#This Row],[Key(Compte ILN - shipper - POL)]],'DATA ILN'!B:K,10,FALSE))</f>
        <v>#N/A</v>
      </c>
      <c r="T177" s="50" t="e">
        <f>IFERROR(VLOOKUP(Tableau1[[#This Row],[Key(Compte ILN - shipper - POL - plant)]],'DATA ILN'!A:L,12,FALSE),VLOOKUP(Tableau1[[#This Row],[Key(Compte ILN - shipper - POL)]],'DATA ILN'!B:L,11,FALSE))</f>
        <v>#N/A</v>
      </c>
      <c r="U177" s="50" t="e">
        <f>Tableau1[[#This Row],[Day ILN Order]]+Tableau1[[#This Row],[Delivery time to ILN/Shipper]]-1</f>
        <v>#N/A</v>
      </c>
      <c r="V177" s="50" t="e">
        <f>IFERROR(VLOOKUP(Tableau1[[#This Row],[Key(Compte ILN - shipper - POL - plant)]],'DATA ILN'!A:N,14,FALSE),VLOOKUP(Tableau1[[#This Row],[Key(Compte ILN - shipper - POL)]],'DATA ILN'!B:N,13,FALSE))</f>
        <v>#N/A</v>
      </c>
      <c r="W177" s="53" t="e">
        <f>IFERROR(VLOOKUP(Tableau1[[#This Row],[Key(Compte ILN - shipper - POL - plant)]],'DATA ILN'!A:P,16,FALSE),VLOOKUP(Tableau1[[#This Row],[Key(Compte ILN - shipper - POL)]],'DATA ILN'!B:P,15,FALSE))</f>
        <v>#N/A</v>
      </c>
      <c r="X177" s="283"/>
      <c r="Y177" s="482">
        <f>IFERROR(VLOOKUP(Tableau1[[#This Row],[Name Shipper]],Plant_AILN!L:M,2,FALSE),0)</f>
        <v>0</v>
      </c>
      <c r="Z177" s="358"/>
      <c r="AA177" s="353" t="e">
        <f ca="1">VLOOKUP(Tableau1[[#This Row],[Key(ID-Actif)]],'DATA BTO'!A:N,5,FALSE)</f>
        <v>#N/A</v>
      </c>
      <c r="AB177" s="3" t="e">
        <f ca="1">VLOOKUP(Tableau1[[#This Row],[Key(ID-Actif)]],'DATA BTO'!A:N,6,FALSE)</f>
        <v>#N/A</v>
      </c>
      <c r="AC177" s="50" t="e">
        <f ca="1">VLOOKUP(Tableau1[[#This Row],[Key(ID-Actif)]],'DATA BTO'!A:N,7,FALSE)</f>
        <v>#N/A</v>
      </c>
      <c r="AD177" s="50" t="e">
        <f ca="1">VLOOKUP(Tableau1[[#This Row],[Key(ID-Actif)]],'DATA BTO'!A:N,8,FALSE)</f>
        <v>#N/A</v>
      </c>
      <c r="AE177" s="50" t="e">
        <f ca="1">IF(Tableau1[[#This Row],[First Day to POL]]&lt;=Tableau1[[#This Row],[Day Cut Off]],Tableau1[[#This Row],[Day ETD]],Tableau1[[#This Row],[Day ETD]]+7)</f>
        <v>#N/A</v>
      </c>
      <c r="AF177" s="50" t="e">
        <f ca="1">VLOOKUP(Tableau1[[#This Row],[Key(ID-Actif)]],'DATA BTO'!A:N,9,FALSE)</f>
        <v>#N/A</v>
      </c>
      <c r="AG177" s="3" t="e">
        <f ca="1">VLOOKUP(Tableau1[[#This Row],[Key(ID-Actif)]],'DATA BTO'!A:N,10,FALSE)</f>
        <v>#N/A</v>
      </c>
      <c r="AH177" s="3" t="e">
        <f ca="1">VLOOKUP(Tableau1[[#This Row],[Key(ID-Actif)]],'DATA BTO'!A:N,11,FALSE)</f>
        <v>#N/A</v>
      </c>
      <c r="AI177" s="50" t="e">
        <f ca="1">VLOOKUP(Tableau1[[#This Row],[Key(ID-Actif)]],'DATA BTO'!A:N,12,FALSE)</f>
        <v>#N/A</v>
      </c>
      <c r="AJ177" s="53" t="e">
        <f ca="1">VLOOKUP(Tableau1[[#This Row],[Key(ID-Actif)]],'DATA BTO'!A:N,14,FALSE)</f>
        <v>#N/A</v>
      </c>
      <c r="AK177" s="54" t="e">
        <f ca="1">VLOOKUP(Tableau1[[#This Row],[Key(POD -PFI- Usine)]],'DATA Consignee'!A:F,6,FALSE)</f>
        <v>#N/A</v>
      </c>
      <c r="AL177" s="125"/>
      <c r="AM177" s="483" t="str">
        <f>IF(Tableau1[[#This Row],[Name PFI/CDD]]="","-",VLOOKUP(Tableau1[[#This Row],[Name PFI/CDD]],Plant_AILN!I:J,2,FALSE))</f>
        <v>-</v>
      </c>
      <c r="AN17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7" s="2" t="e">
        <f ca="1">VLOOKUP(Tableau1[[#This Row],[Key(POD -PFI- Usine)]],'DATA Consignee'!A:J,10,FALSE)</f>
        <v>#N/A</v>
      </c>
      <c r="AQ177" s="50" t="e">
        <f ca="1">VLOOKUP(Tableau1[[#This Row],[Key(POD -PFI- Usine)]],'DATA Consignee'!A:N,14,FALSE)</f>
        <v>#N/A</v>
      </c>
      <c r="AR17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7" s="50" t="e">
        <f ca="1">Tableau1[[#This Row],[Transit time]]+Tableau1[[#This Row],[Time for security]]+Tableau1[[#This Row],[Time for security2 buffer]]</f>
        <v>#N/A</v>
      </c>
      <c r="AU17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7" s="389" t="e">
        <f ca="1">Tableau1[[#This Row],[Leadtime SI2C]]+Tableau1[[#This Row],[First Receipt Days]]-Tableau1[[#This Row],[Day Customer Order]]+1</f>
        <v>#N/A</v>
      </c>
      <c r="AW177" s="117" t="e">
        <f ca="1">IF(Tableau1[[#This Row],[Name ILN]]&lt;&gt;"SFK Freight Forwarder",Tableau1[[#This Row],[Cust. Leadtime]],Tableau1[[#This Row],[Leadtime SI2C]])</f>
        <v>#N/A</v>
      </c>
      <c r="AX177" s="51" t="e">
        <f>VLOOKUP(Tableau1[[#This Row],[ID]],'DATA BTO'!B:P,15,FALSE)</f>
        <v>#N/A</v>
      </c>
      <c r="AY177" s="328" t="e">
        <f ca="1">IFERROR(VLOOKUP(Tableau1[[#This Row],[Key(ID-Actif)]],'DATA BTO'!A:N,4,FALSE),VLOOKUP(Tableau1[[#This Row],[ID]],'DATA BTO'!B:N,3,FALSE))</f>
        <v>#N/A</v>
      </c>
      <c r="AZ17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7" s="50"/>
    </row>
    <row r="178" spans="2:57">
      <c r="B178" s="65" t="str">
        <f>_xlfn.CONCAT(Tableau1[[#This Row],[Name ILN]],"-",Tableau1[[#This Row],[Name Shipper]],"-",Tableau1[[#This Row],[Name Site]])</f>
        <v>--</v>
      </c>
      <c r="C178" s="65" t="e">
        <f>_xlfn.CONCAT(Tableau1[[#This Row],[Compte ILN]],"-",Tableau1[[#This Row],[Compte Shipper]],"-",Tableau1[[#This Row],[POL]],"-",Tableau1[[#This Row],[Compte Consignee]])</f>
        <v>#N/A</v>
      </c>
      <c r="D178" s="64" t="e">
        <f>_xlfn.CONCAT(Tableau1[[#This Row],[Compte ILN]],"-",Tableau1[[#This Row],[Compte Shipper]],"-",Tableau1[[#This Row],[POL]])</f>
        <v>#N/A</v>
      </c>
      <c r="E178" s="396" t="e">
        <f ca="1">_xlfn.CONCAT(Tableau1[[#This Row],[POL]],"-",Tableau1[[#This Row],[Carrier]],"-",Tableau1[[#This Row],[POD]])</f>
        <v>#N/A</v>
      </c>
      <c r="F178" s="64" t="str">
        <f>_xlfn.CONCAT(Tableau1[[#This Row],[ID]],"-","Actif")</f>
        <v>-Actif</v>
      </c>
      <c r="G178" s="64" t="e">
        <f ca="1">_xlfn.CONCAT(Tableau1[[#This Row],[POD]],"-",Tableau1[[#This Row],[Code PFI]],"-",Tableau1[[#This Row],[Compte Consignee]])</f>
        <v>#N/A</v>
      </c>
      <c r="H17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8" s="397" t="str">
        <f ca="1">IF(COUNTIF(I:I,Tableau1[[#This Row],[Plant-ILN-shipper-POL-Carrier-POD-PFI]])=1,"Non","Oui")</f>
        <v>Oui</v>
      </c>
      <c r="K178" s="398" t="e">
        <f>VLOOKUP(Tableau1[[#This Row],[Name Site]],Plant_AILN!A:D,4,FALSE)</f>
        <v>#N/A</v>
      </c>
      <c r="L178" s="285"/>
      <c r="M178" s="480" t="e">
        <f>VLOOKUP(Tableau1[[#This Row],[Name Site]],Plant_AILN!A:C,3,FALSE)</f>
        <v>#N/A</v>
      </c>
      <c r="N178" s="55" t="e">
        <f>VLOOKUP(Tableau1[[#This Row],[Compte Consignee]],Order!C:D,2,FALSE)</f>
        <v>#N/A</v>
      </c>
      <c r="O178" s="122"/>
      <c r="P178" s="481" t="e">
        <f>VLOOKUP(Tableau1[[#This Row],[Name ILN]],Plant_AILN!F:G,2,FALSE)</f>
        <v>#N/A</v>
      </c>
      <c r="Q178" s="50" t="e">
        <f>VLOOKUP(Tableau1[[#This Row],[Compte ILN]],'DATA ILN'!D:I,6,FALSE)</f>
        <v>#N/A</v>
      </c>
      <c r="R178" s="50" t="e">
        <f>IFERROR(VLOOKUP(Tableau1[[#This Row],[Key(Compte ILN - shipper - POL - plant)]],'DATA ILN'!A:J,10,FALSE),VLOOKUP(Tableau1[[#This Row],[Key(Compte ILN - shipper - POL)]],'DATA ILN'!B:J,9,FALSE))</f>
        <v>#N/A</v>
      </c>
      <c r="S178" s="50" t="e">
        <f>IFERROR(VLOOKUP(Tableau1[[#This Row],[Key(Compte ILN - shipper - POL - plant)]],'DATA ILN'!A:K,11,FALSE),VLOOKUP(Tableau1[[#This Row],[Key(Compte ILN - shipper - POL)]],'DATA ILN'!B:K,10,FALSE))</f>
        <v>#N/A</v>
      </c>
      <c r="T178" s="50" t="e">
        <f>IFERROR(VLOOKUP(Tableau1[[#This Row],[Key(Compte ILN - shipper - POL - plant)]],'DATA ILN'!A:L,12,FALSE),VLOOKUP(Tableau1[[#This Row],[Key(Compte ILN - shipper - POL)]],'DATA ILN'!B:L,11,FALSE))</f>
        <v>#N/A</v>
      </c>
      <c r="U178" s="50" t="e">
        <f>Tableau1[[#This Row],[Day ILN Order]]+Tableau1[[#This Row],[Delivery time to ILN/Shipper]]-1</f>
        <v>#N/A</v>
      </c>
      <c r="V178" s="50" t="e">
        <f>IFERROR(VLOOKUP(Tableau1[[#This Row],[Key(Compte ILN - shipper - POL - plant)]],'DATA ILN'!A:N,14,FALSE),VLOOKUP(Tableau1[[#This Row],[Key(Compte ILN - shipper - POL)]],'DATA ILN'!B:N,13,FALSE))</f>
        <v>#N/A</v>
      </c>
      <c r="W178" s="53" t="e">
        <f>IFERROR(VLOOKUP(Tableau1[[#This Row],[Key(Compte ILN - shipper - POL - plant)]],'DATA ILN'!A:P,16,FALSE),VLOOKUP(Tableau1[[#This Row],[Key(Compte ILN - shipper - POL)]],'DATA ILN'!B:P,15,FALSE))</f>
        <v>#N/A</v>
      </c>
      <c r="X178" s="283"/>
      <c r="Y178" s="482">
        <f>IFERROR(VLOOKUP(Tableau1[[#This Row],[Name Shipper]],Plant_AILN!L:M,2,FALSE),0)</f>
        <v>0</v>
      </c>
      <c r="Z178" s="358"/>
      <c r="AA178" s="353" t="e">
        <f ca="1">VLOOKUP(Tableau1[[#This Row],[Key(ID-Actif)]],'DATA BTO'!A:N,5,FALSE)</f>
        <v>#N/A</v>
      </c>
      <c r="AB178" s="3" t="e">
        <f ca="1">VLOOKUP(Tableau1[[#This Row],[Key(ID-Actif)]],'DATA BTO'!A:N,6,FALSE)</f>
        <v>#N/A</v>
      </c>
      <c r="AC178" s="50" t="e">
        <f ca="1">VLOOKUP(Tableau1[[#This Row],[Key(ID-Actif)]],'DATA BTO'!A:N,7,FALSE)</f>
        <v>#N/A</v>
      </c>
      <c r="AD178" s="50" t="e">
        <f ca="1">VLOOKUP(Tableau1[[#This Row],[Key(ID-Actif)]],'DATA BTO'!A:N,8,FALSE)</f>
        <v>#N/A</v>
      </c>
      <c r="AE178" s="50" t="e">
        <f ca="1">IF(Tableau1[[#This Row],[First Day to POL]]&lt;=Tableau1[[#This Row],[Day Cut Off]],Tableau1[[#This Row],[Day ETD]],Tableau1[[#This Row],[Day ETD]]+7)</f>
        <v>#N/A</v>
      </c>
      <c r="AF178" s="50" t="e">
        <f ca="1">VLOOKUP(Tableau1[[#This Row],[Key(ID-Actif)]],'DATA BTO'!A:N,9,FALSE)</f>
        <v>#N/A</v>
      </c>
      <c r="AG178" s="3" t="e">
        <f ca="1">VLOOKUP(Tableau1[[#This Row],[Key(ID-Actif)]],'DATA BTO'!A:N,10,FALSE)</f>
        <v>#N/A</v>
      </c>
      <c r="AH178" s="3" t="e">
        <f ca="1">VLOOKUP(Tableau1[[#This Row],[Key(ID-Actif)]],'DATA BTO'!A:N,11,FALSE)</f>
        <v>#N/A</v>
      </c>
      <c r="AI178" s="50" t="e">
        <f ca="1">VLOOKUP(Tableau1[[#This Row],[Key(ID-Actif)]],'DATA BTO'!A:N,12,FALSE)</f>
        <v>#N/A</v>
      </c>
      <c r="AJ178" s="53" t="e">
        <f ca="1">VLOOKUP(Tableau1[[#This Row],[Key(ID-Actif)]],'DATA BTO'!A:N,14,FALSE)</f>
        <v>#N/A</v>
      </c>
      <c r="AK178" s="54" t="e">
        <f ca="1">VLOOKUP(Tableau1[[#This Row],[Key(POD -PFI- Usine)]],'DATA Consignee'!A:F,6,FALSE)</f>
        <v>#N/A</v>
      </c>
      <c r="AL178" s="125"/>
      <c r="AM178" s="483" t="str">
        <f>IF(Tableau1[[#This Row],[Name PFI/CDD]]="","-",VLOOKUP(Tableau1[[#This Row],[Name PFI/CDD]],Plant_AILN!I:J,2,FALSE))</f>
        <v>-</v>
      </c>
      <c r="AN17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8" s="2" t="e">
        <f ca="1">VLOOKUP(Tableau1[[#This Row],[Key(POD -PFI- Usine)]],'DATA Consignee'!A:J,10,FALSE)</f>
        <v>#N/A</v>
      </c>
      <c r="AQ178" s="50" t="e">
        <f ca="1">VLOOKUP(Tableau1[[#This Row],[Key(POD -PFI- Usine)]],'DATA Consignee'!A:N,14,FALSE)</f>
        <v>#N/A</v>
      </c>
      <c r="AR17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8" s="50" t="e">
        <f ca="1">Tableau1[[#This Row],[Transit time]]+Tableau1[[#This Row],[Time for security]]+Tableau1[[#This Row],[Time for security2 buffer]]</f>
        <v>#N/A</v>
      </c>
      <c r="AU17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8" s="389" t="e">
        <f ca="1">Tableau1[[#This Row],[Leadtime SI2C]]+Tableau1[[#This Row],[First Receipt Days]]-Tableau1[[#This Row],[Day Customer Order]]+1</f>
        <v>#N/A</v>
      </c>
      <c r="AW178" s="117" t="e">
        <f ca="1">IF(Tableau1[[#This Row],[Name ILN]]&lt;&gt;"SFK Freight Forwarder",Tableau1[[#This Row],[Cust. Leadtime]],Tableau1[[#This Row],[Leadtime SI2C]])</f>
        <v>#N/A</v>
      </c>
      <c r="AX178" s="51" t="e">
        <f>VLOOKUP(Tableau1[[#This Row],[ID]],'DATA BTO'!B:P,15,FALSE)</f>
        <v>#N/A</v>
      </c>
      <c r="AY178" s="328" t="e">
        <f ca="1">IFERROR(VLOOKUP(Tableau1[[#This Row],[Key(ID-Actif)]],'DATA BTO'!A:N,4,FALSE),VLOOKUP(Tableau1[[#This Row],[ID]],'DATA BTO'!B:N,3,FALSE))</f>
        <v>#N/A</v>
      </c>
      <c r="AZ17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8" s="50"/>
    </row>
    <row r="179" spans="2:57">
      <c r="B179" s="65" t="str">
        <f>_xlfn.CONCAT(Tableau1[[#This Row],[Name ILN]],"-",Tableau1[[#This Row],[Name Shipper]],"-",Tableau1[[#This Row],[Name Site]])</f>
        <v>--</v>
      </c>
      <c r="C179" s="65" t="e">
        <f>_xlfn.CONCAT(Tableau1[[#This Row],[Compte ILN]],"-",Tableau1[[#This Row],[Compte Shipper]],"-",Tableau1[[#This Row],[POL]],"-",Tableau1[[#This Row],[Compte Consignee]])</f>
        <v>#N/A</v>
      </c>
      <c r="D179" s="64" t="e">
        <f>_xlfn.CONCAT(Tableau1[[#This Row],[Compte ILN]],"-",Tableau1[[#This Row],[Compte Shipper]],"-",Tableau1[[#This Row],[POL]])</f>
        <v>#N/A</v>
      </c>
      <c r="E179" s="396" t="e">
        <f ca="1">_xlfn.CONCAT(Tableau1[[#This Row],[POL]],"-",Tableau1[[#This Row],[Carrier]],"-",Tableau1[[#This Row],[POD]])</f>
        <v>#N/A</v>
      </c>
      <c r="F179" s="64" t="str">
        <f>_xlfn.CONCAT(Tableau1[[#This Row],[ID]],"-","Actif")</f>
        <v>-Actif</v>
      </c>
      <c r="G179" s="64" t="e">
        <f ca="1">_xlfn.CONCAT(Tableau1[[#This Row],[POD]],"-",Tableau1[[#This Row],[Code PFI]],"-",Tableau1[[#This Row],[Compte Consignee]])</f>
        <v>#N/A</v>
      </c>
      <c r="H17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7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79" s="397" t="str">
        <f ca="1">IF(COUNTIF(I:I,Tableau1[[#This Row],[Plant-ILN-shipper-POL-Carrier-POD-PFI]])=1,"Non","Oui")</f>
        <v>Oui</v>
      </c>
      <c r="K179" s="398" t="e">
        <f>VLOOKUP(Tableau1[[#This Row],[Name Site]],Plant_AILN!A:D,4,FALSE)</f>
        <v>#N/A</v>
      </c>
      <c r="L179" s="285"/>
      <c r="M179" s="480" t="e">
        <f>VLOOKUP(Tableau1[[#This Row],[Name Site]],Plant_AILN!A:C,3,FALSE)</f>
        <v>#N/A</v>
      </c>
      <c r="N179" s="55" t="e">
        <f>VLOOKUP(Tableau1[[#This Row],[Compte Consignee]],Order!C:D,2,FALSE)</f>
        <v>#N/A</v>
      </c>
      <c r="O179" s="122"/>
      <c r="P179" s="481" t="e">
        <f>VLOOKUP(Tableau1[[#This Row],[Name ILN]],Plant_AILN!F:G,2,FALSE)</f>
        <v>#N/A</v>
      </c>
      <c r="Q179" s="50" t="e">
        <f>VLOOKUP(Tableau1[[#This Row],[Compte ILN]],'DATA ILN'!D:I,6,FALSE)</f>
        <v>#N/A</v>
      </c>
      <c r="R179" s="50" t="e">
        <f>IFERROR(VLOOKUP(Tableau1[[#This Row],[Key(Compte ILN - shipper - POL - plant)]],'DATA ILN'!A:J,10,FALSE),VLOOKUP(Tableau1[[#This Row],[Key(Compte ILN - shipper - POL)]],'DATA ILN'!B:J,9,FALSE))</f>
        <v>#N/A</v>
      </c>
      <c r="S179" s="50" t="e">
        <f>IFERROR(VLOOKUP(Tableau1[[#This Row],[Key(Compte ILN - shipper - POL - plant)]],'DATA ILN'!A:K,11,FALSE),VLOOKUP(Tableau1[[#This Row],[Key(Compte ILN - shipper - POL)]],'DATA ILN'!B:K,10,FALSE))</f>
        <v>#N/A</v>
      </c>
      <c r="T179" s="50" t="e">
        <f>IFERROR(VLOOKUP(Tableau1[[#This Row],[Key(Compte ILN - shipper - POL - plant)]],'DATA ILN'!A:L,12,FALSE),VLOOKUP(Tableau1[[#This Row],[Key(Compte ILN - shipper - POL)]],'DATA ILN'!B:L,11,FALSE))</f>
        <v>#N/A</v>
      </c>
      <c r="U179" s="50" t="e">
        <f>Tableau1[[#This Row],[Day ILN Order]]+Tableau1[[#This Row],[Delivery time to ILN/Shipper]]-1</f>
        <v>#N/A</v>
      </c>
      <c r="V179" s="50" t="e">
        <f>IFERROR(VLOOKUP(Tableau1[[#This Row],[Key(Compte ILN - shipper - POL - plant)]],'DATA ILN'!A:N,14,FALSE),VLOOKUP(Tableau1[[#This Row],[Key(Compte ILN - shipper - POL)]],'DATA ILN'!B:N,13,FALSE))</f>
        <v>#N/A</v>
      </c>
      <c r="W179" s="53" t="e">
        <f>IFERROR(VLOOKUP(Tableau1[[#This Row],[Key(Compte ILN - shipper - POL - plant)]],'DATA ILN'!A:P,16,FALSE),VLOOKUP(Tableau1[[#This Row],[Key(Compte ILN - shipper - POL)]],'DATA ILN'!B:P,15,FALSE))</f>
        <v>#N/A</v>
      </c>
      <c r="X179" s="283"/>
      <c r="Y179" s="482">
        <f>IFERROR(VLOOKUP(Tableau1[[#This Row],[Name Shipper]],Plant_AILN!L:M,2,FALSE),0)</f>
        <v>0</v>
      </c>
      <c r="Z179" s="358"/>
      <c r="AA179" s="353" t="e">
        <f ca="1">VLOOKUP(Tableau1[[#This Row],[Key(ID-Actif)]],'DATA BTO'!A:N,5,FALSE)</f>
        <v>#N/A</v>
      </c>
      <c r="AB179" s="3" t="e">
        <f ca="1">VLOOKUP(Tableau1[[#This Row],[Key(ID-Actif)]],'DATA BTO'!A:N,6,FALSE)</f>
        <v>#N/A</v>
      </c>
      <c r="AC179" s="50" t="e">
        <f ca="1">VLOOKUP(Tableau1[[#This Row],[Key(ID-Actif)]],'DATA BTO'!A:N,7,FALSE)</f>
        <v>#N/A</v>
      </c>
      <c r="AD179" s="50" t="e">
        <f ca="1">VLOOKUP(Tableau1[[#This Row],[Key(ID-Actif)]],'DATA BTO'!A:N,8,FALSE)</f>
        <v>#N/A</v>
      </c>
      <c r="AE179" s="50" t="e">
        <f ca="1">IF(Tableau1[[#This Row],[First Day to POL]]&lt;=Tableau1[[#This Row],[Day Cut Off]],Tableau1[[#This Row],[Day ETD]],Tableau1[[#This Row],[Day ETD]]+7)</f>
        <v>#N/A</v>
      </c>
      <c r="AF179" s="50" t="e">
        <f ca="1">VLOOKUP(Tableau1[[#This Row],[Key(ID-Actif)]],'DATA BTO'!A:N,9,FALSE)</f>
        <v>#N/A</v>
      </c>
      <c r="AG179" s="3" t="e">
        <f ca="1">VLOOKUP(Tableau1[[#This Row],[Key(ID-Actif)]],'DATA BTO'!A:N,10,FALSE)</f>
        <v>#N/A</v>
      </c>
      <c r="AH179" s="3" t="e">
        <f ca="1">VLOOKUP(Tableau1[[#This Row],[Key(ID-Actif)]],'DATA BTO'!A:N,11,FALSE)</f>
        <v>#N/A</v>
      </c>
      <c r="AI179" s="50" t="e">
        <f ca="1">VLOOKUP(Tableau1[[#This Row],[Key(ID-Actif)]],'DATA BTO'!A:N,12,FALSE)</f>
        <v>#N/A</v>
      </c>
      <c r="AJ179" s="53" t="e">
        <f ca="1">VLOOKUP(Tableau1[[#This Row],[Key(ID-Actif)]],'DATA BTO'!A:N,14,FALSE)</f>
        <v>#N/A</v>
      </c>
      <c r="AK179" s="54" t="e">
        <f ca="1">VLOOKUP(Tableau1[[#This Row],[Key(POD -PFI- Usine)]],'DATA Consignee'!A:F,6,FALSE)</f>
        <v>#N/A</v>
      </c>
      <c r="AL179" s="125"/>
      <c r="AM179" s="483" t="str">
        <f>IF(Tableau1[[#This Row],[Name PFI/CDD]]="","-",VLOOKUP(Tableau1[[#This Row],[Name PFI/CDD]],Plant_AILN!I:J,2,FALSE))</f>
        <v>-</v>
      </c>
      <c r="AN17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7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79" s="2" t="e">
        <f ca="1">VLOOKUP(Tableau1[[#This Row],[Key(POD -PFI- Usine)]],'DATA Consignee'!A:J,10,FALSE)</f>
        <v>#N/A</v>
      </c>
      <c r="AQ179" s="50" t="e">
        <f ca="1">VLOOKUP(Tableau1[[#This Row],[Key(POD -PFI- Usine)]],'DATA Consignee'!A:N,14,FALSE)</f>
        <v>#N/A</v>
      </c>
      <c r="AR17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7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79" s="50" t="e">
        <f ca="1">Tableau1[[#This Row],[Transit time]]+Tableau1[[#This Row],[Time for security]]+Tableau1[[#This Row],[Time for security2 buffer]]</f>
        <v>#N/A</v>
      </c>
      <c r="AU17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79" s="389" t="e">
        <f ca="1">Tableau1[[#This Row],[Leadtime SI2C]]+Tableau1[[#This Row],[First Receipt Days]]-Tableau1[[#This Row],[Day Customer Order]]+1</f>
        <v>#N/A</v>
      </c>
      <c r="AW179" s="117" t="e">
        <f ca="1">IF(Tableau1[[#This Row],[Name ILN]]&lt;&gt;"SFK Freight Forwarder",Tableau1[[#This Row],[Cust. Leadtime]],Tableau1[[#This Row],[Leadtime SI2C]])</f>
        <v>#N/A</v>
      </c>
      <c r="AX179" s="51" t="e">
        <f>VLOOKUP(Tableau1[[#This Row],[ID]],'DATA BTO'!B:P,15,FALSE)</f>
        <v>#N/A</v>
      </c>
      <c r="AY179" s="328" t="e">
        <f ca="1">IFERROR(VLOOKUP(Tableau1[[#This Row],[Key(ID-Actif)]],'DATA BTO'!A:N,4,FALSE),VLOOKUP(Tableau1[[#This Row],[ID]],'DATA BTO'!B:N,3,FALSE))</f>
        <v>#N/A</v>
      </c>
      <c r="AZ17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7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7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9" s="50"/>
    </row>
    <row r="180" spans="2:57">
      <c r="B180" s="65" t="str">
        <f>_xlfn.CONCAT(Tableau1[[#This Row],[Name ILN]],"-",Tableau1[[#This Row],[Name Shipper]],"-",Tableau1[[#This Row],[Name Site]])</f>
        <v>--</v>
      </c>
      <c r="C180" s="65" t="e">
        <f>_xlfn.CONCAT(Tableau1[[#This Row],[Compte ILN]],"-",Tableau1[[#This Row],[Compte Shipper]],"-",Tableau1[[#This Row],[POL]],"-",Tableau1[[#This Row],[Compte Consignee]])</f>
        <v>#N/A</v>
      </c>
      <c r="D180" s="64" t="e">
        <f>_xlfn.CONCAT(Tableau1[[#This Row],[Compte ILN]],"-",Tableau1[[#This Row],[Compte Shipper]],"-",Tableau1[[#This Row],[POL]])</f>
        <v>#N/A</v>
      </c>
      <c r="E180" s="396" t="e">
        <f ca="1">_xlfn.CONCAT(Tableau1[[#This Row],[POL]],"-",Tableau1[[#This Row],[Carrier]],"-",Tableau1[[#This Row],[POD]])</f>
        <v>#N/A</v>
      </c>
      <c r="F180" s="64" t="str">
        <f>_xlfn.CONCAT(Tableau1[[#This Row],[ID]],"-","Actif")</f>
        <v>-Actif</v>
      </c>
      <c r="G180" s="64" t="e">
        <f ca="1">_xlfn.CONCAT(Tableau1[[#This Row],[POD]],"-",Tableau1[[#This Row],[Code PFI]],"-",Tableau1[[#This Row],[Compte Consignee]])</f>
        <v>#N/A</v>
      </c>
      <c r="H18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0" s="397" t="str">
        <f ca="1">IF(COUNTIF(I:I,Tableau1[[#This Row],[Plant-ILN-shipper-POL-Carrier-POD-PFI]])=1,"Non","Oui")</f>
        <v>Oui</v>
      </c>
      <c r="K180" s="398" t="e">
        <f>VLOOKUP(Tableau1[[#This Row],[Name Site]],Plant_AILN!A:D,4,FALSE)</f>
        <v>#N/A</v>
      </c>
      <c r="L180" s="285"/>
      <c r="M180" s="480" t="e">
        <f>VLOOKUP(Tableau1[[#This Row],[Name Site]],Plant_AILN!A:C,3,FALSE)</f>
        <v>#N/A</v>
      </c>
      <c r="N180" s="55" t="e">
        <f>VLOOKUP(Tableau1[[#This Row],[Compte Consignee]],Order!C:D,2,FALSE)</f>
        <v>#N/A</v>
      </c>
      <c r="O180" s="122"/>
      <c r="P180" s="481" t="e">
        <f>VLOOKUP(Tableau1[[#This Row],[Name ILN]],Plant_AILN!F:G,2,FALSE)</f>
        <v>#N/A</v>
      </c>
      <c r="Q180" s="50" t="e">
        <f>VLOOKUP(Tableau1[[#This Row],[Compte ILN]],'DATA ILN'!D:I,6,FALSE)</f>
        <v>#N/A</v>
      </c>
      <c r="R180" s="50" t="e">
        <f>IFERROR(VLOOKUP(Tableau1[[#This Row],[Key(Compte ILN - shipper - POL - plant)]],'DATA ILN'!A:J,10,FALSE),VLOOKUP(Tableau1[[#This Row],[Key(Compte ILN - shipper - POL)]],'DATA ILN'!B:J,9,FALSE))</f>
        <v>#N/A</v>
      </c>
      <c r="S180" s="50" t="e">
        <f>IFERROR(VLOOKUP(Tableau1[[#This Row],[Key(Compte ILN - shipper - POL - plant)]],'DATA ILN'!A:K,11,FALSE),VLOOKUP(Tableau1[[#This Row],[Key(Compte ILN - shipper - POL)]],'DATA ILN'!B:K,10,FALSE))</f>
        <v>#N/A</v>
      </c>
      <c r="T180" s="50" t="e">
        <f>IFERROR(VLOOKUP(Tableau1[[#This Row],[Key(Compte ILN - shipper - POL - plant)]],'DATA ILN'!A:L,12,FALSE),VLOOKUP(Tableau1[[#This Row],[Key(Compte ILN - shipper - POL)]],'DATA ILN'!B:L,11,FALSE))</f>
        <v>#N/A</v>
      </c>
      <c r="U180" s="50" t="e">
        <f>Tableau1[[#This Row],[Day ILN Order]]+Tableau1[[#This Row],[Delivery time to ILN/Shipper]]-1</f>
        <v>#N/A</v>
      </c>
      <c r="V180" s="50" t="e">
        <f>IFERROR(VLOOKUP(Tableau1[[#This Row],[Key(Compte ILN - shipper - POL - plant)]],'DATA ILN'!A:N,14,FALSE),VLOOKUP(Tableau1[[#This Row],[Key(Compte ILN - shipper - POL)]],'DATA ILN'!B:N,13,FALSE))</f>
        <v>#N/A</v>
      </c>
      <c r="W180" s="53" t="e">
        <f>IFERROR(VLOOKUP(Tableau1[[#This Row],[Key(Compte ILN - shipper - POL - plant)]],'DATA ILN'!A:P,16,FALSE),VLOOKUP(Tableau1[[#This Row],[Key(Compte ILN - shipper - POL)]],'DATA ILN'!B:P,15,FALSE))</f>
        <v>#N/A</v>
      </c>
      <c r="X180" s="283"/>
      <c r="Y180" s="482">
        <f>IFERROR(VLOOKUP(Tableau1[[#This Row],[Name Shipper]],Plant_AILN!L:M,2,FALSE),0)</f>
        <v>0</v>
      </c>
      <c r="Z180" s="358"/>
      <c r="AA180" s="353" t="e">
        <f ca="1">VLOOKUP(Tableau1[[#This Row],[Key(ID-Actif)]],'DATA BTO'!A:N,5,FALSE)</f>
        <v>#N/A</v>
      </c>
      <c r="AB180" s="3" t="e">
        <f ca="1">VLOOKUP(Tableau1[[#This Row],[Key(ID-Actif)]],'DATA BTO'!A:N,6,FALSE)</f>
        <v>#N/A</v>
      </c>
      <c r="AC180" s="50" t="e">
        <f ca="1">VLOOKUP(Tableau1[[#This Row],[Key(ID-Actif)]],'DATA BTO'!A:N,7,FALSE)</f>
        <v>#N/A</v>
      </c>
      <c r="AD180" s="50" t="e">
        <f ca="1">VLOOKUP(Tableau1[[#This Row],[Key(ID-Actif)]],'DATA BTO'!A:N,8,FALSE)</f>
        <v>#N/A</v>
      </c>
      <c r="AE180" s="50" t="e">
        <f ca="1">IF(Tableau1[[#This Row],[First Day to POL]]&lt;=Tableau1[[#This Row],[Day Cut Off]],Tableau1[[#This Row],[Day ETD]],Tableau1[[#This Row],[Day ETD]]+7)</f>
        <v>#N/A</v>
      </c>
      <c r="AF180" s="50" t="e">
        <f ca="1">VLOOKUP(Tableau1[[#This Row],[Key(ID-Actif)]],'DATA BTO'!A:N,9,FALSE)</f>
        <v>#N/A</v>
      </c>
      <c r="AG180" s="3" t="e">
        <f ca="1">VLOOKUP(Tableau1[[#This Row],[Key(ID-Actif)]],'DATA BTO'!A:N,10,FALSE)</f>
        <v>#N/A</v>
      </c>
      <c r="AH180" s="3" t="e">
        <f ca="1">VLOOKUP(Tableau1[[#This Row],[Key(ID-Actif)]],'DATA BTO'!A:N,11,FALSE)</f>
        <v>#N/A</v>
      </c>
      <c r="AI180" s="50" t="e">
        <f ca="1">VLOOKUP(Tableau1[[#This Row],[Key(ID-Actif)]],'DATA BTO'!A:N,12,FALSE)</f>
        <v>#N/A</v>
      </c>
      <c r="AJ180" s="53" t="e">
        <f ca="1">VLOOKUP(Tableau1[[#This Row],[Key(ID-Actif)]],'DATA BTO'!A:N,14,FALSE)</f>
        <v>#N/A</v>
      </c>
      <c r="AK180" s="54" t="e">
        <f ca="1">VLOOKUP(Tableau1[[#This Row],[Key(POD -PFI- Usine)]],'DATA Consignee'!A:F,6,FALSE)</f>
        <v>#N/A</v>
      </c>
      <c r="AL180" s="125"/>
      <c r="AM180" s="483" t="str">
        <f>IF(Tableau1[[#This Row],[Name PFI/CDD]]="","-",VLOOKUP(Tableau1[[#This Row],[Name PFI/CDD]],Plant_AILN!I:J,2,FALSE))</f>
        <v>-</v>
      </c>
      <c r="AN18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0" s="2" t="e">
        <f ca="1">VLOOKUP(Tableau1[[#This Row],[Key(POD -PFI- Usine)]],'DATA Consignee'!A:J,10,FALSE)</f>
        <v>#N/A</v>
      </c>
      <c r="AQ180" s="50" t="e">
        <f ca="1">VLOOKUP(Tableau1[[#This Row],[Key(POD -PFI- Usine)]],'DATA Consignee'!A:N,14,FALSE)</f>
        <v>#N/A</v>
      </c>
      <c r="AR18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0" s="50" t="e">
        <f ca="1">Tableau1[[#This Row],[Transit time]]+Tableau1[[#This Row],[Time for security]]+Tableau1[[#This Row],[Time for security2 buffer]]</f>
        <v>#N/A</v>
      </c>
      <c r="AU18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0" s="389" t="e">
        <f ca="1">Tableau1[[#This Row],[Leadtime SI2C]]+Tableau1[[#This Row],[First Receipt Days]]-Tableau1[[#This Row],[Day Customer Order]]+1</f>
        <v>#N/A</v>
      </c>
      <c r="AW180" s="117" t="e">
        <f ca="1">IF(Tableau1[[#This Row],[Name ILN]]&lt;&gt;"SFK Freight Forwarder",Tableau1[[#This Row],[Cust. Leadtime]],Tableau1[[#This Row],[Leadtime SI2C]])</f>
        <v>#N/A</v>
      </c>
      <c r="AX180" s="51" t="e">
        <f>VLOOKUP(Tableau1[[#This Row],[ID]],'DATA BTO'!B:P,15,FALSE)</f>
        <v>#N/A</v>
      </c>
      <c r="AY180" s="328" t="e">
        <f ca="1">IFERROR(VLOOKUP(Tableau1[[#This Row],[Key(ID-Actif)]],'DATA BTO'!A:N,4,FALSE),VLOOKUP(Tableau1[[#This Row],[ID]],'DATA BTO'!B:N,3,FALSE))</f>
        <v>#N/A</v>
      </c>
      <c r="AZ18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0" s="50"/>
    </row>
    <row r="181" spans="2:57">
      <c r="B181" s="65" t="str">
        <f>_xlfn.CONCAT(Tableau1[[#This Row],[Name ILN]],"-",Tableau1[[#This Row],[Name Shipper]],"-",Tableau1[[#This Row],[Name Site]])</f>
        <v>--</v>
      </c>
      <c r="C181" s="65" t="e">
        <f>_xlfn.CONCAT(Tableau1[[#This Row],[Compte ILN]],"-",Tableau1[[#This Row],[Compte Shipper]],"-",Tableau1[[#This Row],[POL]],"-",Tableau1[[#This Row],[Compte Consignee]])</f>
        <v>#N/A</v>
      </c>
      <c r="D181" s="64" t="e">
        <f>_xlfn.CONCAT(Tableau1[[#This Row],[Compte ILN]],"-",Tableau1[[#This Row],[Compte Shipper]],"-",Tableau1[[#This Row],[POL]])</f>
        <v>#N/A</v>
      </c>
      <c r="E181" s="396" t="e">
        <f ca="1">_xlfn.CONCAT(Tableau1[[#This Row],[POL]],"-",Tableau1[[#This Row],[Carrier]],"-",Tableau1[[#This Row],[POD]])</f>
        <v>#N/A</v>
      </c>
      <c r="F181" s="64" t="str">
        <f>_xlfn.CONCAT(Tableau1[[#This Row],[ID]],"-","Actif")</f>
        <v>-Actif</v>
      </c>
      <c r="G181" s="64" t="e">
        <f ca="1">_xlfn.CONCAT(Tableau1[[#This Row],[POD]],"-",Tableau1[[#This Row],[Code PFI]],"-",Tableau1[[#This Row],[Compte Consignee]])</f>
        <v>#N/A</v>
      </c>
      <c r="H18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1" s="397" t="str">
        <f ca="1">IF(COUNTIF(I:I,Tableau1[[#This Row],[Plant-ILN-shipper-POL-Carrier-POD-PFI]])=1,"Non","Oui")</f>
        <v>Oui</v>
      </c>
      <c r="K181" s="398" t="e">
        <f>VLOOKUP(Tableau1[[#This Row],[Name Site]],Plant_AILN!A:D,4,FALSE)</f>
        <v>#N/A</v>
      </c>
      <c r="L181" s="285"/>
      <c r="M181" s="480" t="e">
        <f>VLOOKUP(Tableau1[[#This Row],[Name Site]],Plant_AILN!A:C,3,FALSE)</f>
        <v>#N/A</v>
      </c>
      <c r="N181" s="55" t="e">
        <f>VLOOKUP(Tableau1[[#This Row],[Compte Consignee]],Order!C:D,2,FALSE)</f>
        <v>#N/A</v>
      </c>
      <c r="O181" s="122"/>
      <c r="P181" s="481" t="e">
        <f>VLOOKUP(Tableau1[[#This Row],[Name ILN]],Plant_AILN!F:G,2,FALSE)</f>
        <v>#N/A</v>
      </c>
      <c r="Q181" s="50" t="e">
        <f>VLOOKUP(Tableau1[[#This Row],[Compte ILN]],'DATA ILN'!D:I,6,FALSE)</f>
        <v>#N/A</v>
      </c>
      <c r="R181" s="50" t="e">
        <f>IFERROR(VLOOKUP(Tableau1[[#This Row],[Key(Compte ILN - shipper - POL - plant)]],'DATA ILN'!A:J,10,FALSE),VLOOKUP(Tableau1[[#This Row],[Key(Compte ILN - shipper - POL)]],'DATA ILN'!B:J,9,FALSE))</f>
        <v>#N/A</v>
      </c>
      <c r="S181" s="50" t="e">
        <f>IFERROR(VLOOKUP(Tableau1[[#This Row],[Key(Compte ILN - shipper - POL - plant)]],'DATA ILN'!A:K,11,FALSE),VLOOKUP(Tableau1[[#This Row],[Key(Compte ILN - shipper - POL)]],'DATA ILN'!B:K,10,FALSE))</f>
        <v>#N/A</v>
      </c>
      <c r="T181" s="50" t="e">
        <f>IFERROR(VLOOKUP(Tableau1[[#This Row],[Key(Compte ILN - shipper - POL - plant)]],'DATA ILN'!A:L,12,FALSE),VLOOKUP(Tableau1[[#This Row],[Key(Compte ILN - shipper - POL)]],'DATA ILN'!B:L,11,FALSE))</f>
        <v>#N/A</v>
      </c>
      <c r="U181" s="50" t="e">
        <f>Tableau1[[#This Row],[Day ILN Order]]+Tableau1[[#This Row],[Delivery time to ILN/Shipper]]-1</f>
        <v>#N/A</v>
      </c>
      <c r="V181" s="50" t="e">
        <f>IFERROR(VLOOKUP(Tableau1[[#This Row],[Key(Compte ILN - shipper - POL - plant)]],'DATA ILN'!A:N,14,FALSE),VLOOKUP(Tableau1[[#This Row],[Key(Compte ILN - shipper - POL)]],'DATA ILN'!B:N,13,FALSE))</f>
        <v>#N/A</v>
      </c>
      <c r="W181" s="53" t="e">
        <f>IFERROR(VLOOKUP(Tableau1[[#This Row],[Key(Compte ILN - shipper - POL - plant)]],'DATA ILN'!A:P,16,FALSE),VLOOKUP(Tableau1[[#This Row],[Key(Compte ILN - shipper - POL)]],'DATA ILN'!B:P,15,FALSE))</f>
        <v>#N/A</v>
      </c>
      <c r="X181" s="283"/>
      <c r="Y181" s="482">
        <f>IFERROR(VLOOKUP(Tableau1[[#This Row],[Name Shipper]],Plant_AILN!L:M,2,FALSE),0)</f>
        <v>0</v>
      </c>
      <c r="Z181" s="358"/>
      <c r="AA181" s="353" t="e">
        <f ca="1">VLOOKUP(Tableau1[[#This Row],[Key(ID-Actif)]],'DATA BTO'!A:N,5,FALSE)</f>
        <v>#N/A</v>
      </c>
      <c r="AB181" s="3" t="e">
        <f ca="1">VLOOKUP(Tableau1[[#This Row],[Key(ID-Actif)]],'DATA BTO'!A:N,6,FALSE)</f>
        <v>#N/A</v>
      </c>
      <c r="AC181" s="50" t="e">
        <f ca="1">VLOOKUP(Tableau1[[#This Row],[Key(ID-Actif)]],'DATA BTO'!A:N,7,FALSE)</f>
        <v>#N/A</v>
      </c>
      <c r="AD181" s="50" t="e">
        <f ca="1">VLOOKUP(Tableau1[[#This Row],[Key(ID-Actif)]],'DATA BTO'!A:N,8,FALSE)</f>
        <v>#N/A</v>
      </c>
      <c r="AE181" s="50" t="e">
        <f ca="1">IF(Tableau1[[#This Row],[First Day to POL]]&lt;=Tableau1[[#This Row],[Day Cut Off]],Tableau1[[#This Row],[Day ETD]],Tableau1[[#This Row],[Day ETD]]+7)</f>
        <v>#N/A</v>
      </c>
      <c r="AF181" s="50" t="e">
        <f ca="1">VLOOKUP(Tableau1[[#This Row],[Key(ID-Actif)]],'DATA BTO'!A:N,9,FALSE)</f>
        <v>#N/A</v>
      </c>
      <c r="AG181" s="3" t="e">
        <f ca="1">VLOOKUP(Tableau1[[#This Row],[Key(ID-Actif)]],'DATA BTO'!A:N,10,FALSE)</f>
        <v>#N/A</v>
      </c>
      <c r="AH181" s="3" t="e">
        <f ca="1">VLOOKUP(Tableau1[[#This Row],[Key(ID-Actif)]],'DATA BTO'!A:N,11,FALSE)</f>
        <v>#N/A</v>
      </c>
      <c r="AI181" s="50" t="e">
        <f ca="1">VLOOKUP(Tableau1[[#This Row],[Key(ID-Actif)]],'DATA BTO'!A:N,12,FALSE)</f>
        <v>#N/A</v>
      </c>
      <c r="AJ181" s="53" t="e">
        <f ca="1">VLOOKUP(Tableau1[[#This Row],[Key(ID-Actif)]],'DATA BTO'!A:N,14,FALSE)</f>
        <v>#N/A</v>
      </c>
      <c r="AK181" s="54" t="e">
        <f ca="1">VLOOKUP(Tableau1[[#This Row],[Key(POD -PFI- Usine)]],'DATA Consignee'!A:F,6,FALSE)</f>
        <v>#N/A</v>
      </c>
      <c r="AL181" s="125"/>
      <c r="AM181" s="483" t="str">
        <f>IF(Tableau1[[#This Row],[Name PFI/CDD]]="","-",VLOOKUP(Tableau1[[#This Row],[Name PFI/CDD]],Plant_AILN!I:J,2,FALSE))</f>
        <v>-</v>
      </c>
      <c r="AN18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1" s="2" t="e">
        <f ca="1">VLOOKUP(Tableau1[[#This Row],[Key(POD -PFI- Usine)]],'DATA Consignee'!A:J,10,FALSE)</f>
        <v>#N/A</v>
      </c>
      <c r="AQ181" s="50" t="e">
        <f ca="1">VLOOKUP(Tableau1[[#This Row],[Key(POD -PFI- Usine)]],'DATA Consignee'!A:N,14,FALSE)</f>
        <v>#N/A</v>
      </c>
      <c r="AR18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1" s="50" t="e">
        <f ca="1">Tableau1[[#This Row],[Transit time]]+Tableau1[[#This Row],[Time for security]]+Tableau1[[#This Row],[Time for security2 buffer]]</f>
        <v>#N/A</v>
      </c>
      <c r="AU18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1" s="389" t="e">
        <f ca="1">Tableau1[[#This Row],[Leadtime SI2C]]+Tableau1[[#This Row],[First Receipt Days]]-Tableau1[[#This Row],[Day Customer Order]]+1</f>
        <v>#N/A</v>
      </c>
      <c r="AW181" s="117" t="e">
        <f ca="1">IF(Tableau1[[#This Row],[Name ILN]]&lt;&gt;"SFK Freight Forwarder",Tableau1[[#This Row],[Cust. Leadtime]],Tableau1[[#This Row],[Leadtime SI2C]])</f>
        <v>#N/A</v>
      </c>
      <c r="AX181" s="51" t="e">
        <f>VLOOKUP(Tableau1[[#This Row],[ID]],'DATA BTO'!B:P,15,FALSE)</f>
        <v>#N/A</v>
      </c>
      <c r="AY181" s="328" t="e">
        <f ca="1">IFERROR(VLOOKUP(Tableau1[[#This Row],[Key(ID-Actif)]],'DATA BTO'!A:N,4,FALSE),VLOOKUP(Tableau1[[#This Row],[ID]],'DATA BTO'!B:N,3,FALSE))</f>
        <v>#N/A</v>
      </c>
      <c r="AZ18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1" s="50"/>
    </row>
    <row r="182" spans="2:57">
      <c r="B182" s="65" t="str">
        <f>_xlfn.CONCAT(Tableau1[[#This Row],[Name ILN]],"-",Tableau1[[#This Row],[Name Shipper]],"-",Tableau1[[#This Row],[Name Site]])</f>
        <v>--</v>
      </c>
      <c r="C182" s="65" t="e">
        <f>_xlfn.CONCAT(Tableau1[[#This Row],[Compte ILN]],"-",Tableau1[[#This Row],[Compte Shipper]],"-",Tableau1[[#This Row],[POL]],"-",Tableau1[[#This Row],[Compte Consignee]])</f>
        <v>#N/A</v>
      </c>
      <c r="D182" s="64" t="e">
        <f>_xlfn.CONCAT(Tableau1[[#This Row],[Compte ILN]],"-",Tableau1[[#This Row],[Compte Shipper]],"-",Tableau1[[#This Row],[POL]])</f>
        <v>#N/A</v>
      </c>
      <c r="E182" s="396" t="e">
        <f ca="1">_xlfn.CONCAT(Tableau1[[#This Row],[POL]],"-",Tableau1[[#This Row],[Carrier]],"-",Tableau1[[#This Row],[POD]])</f>
        <v>#N/A</v>
      </c>
      <c r="F182" s="64" t="str">
        <f>_xlfn.CONCAT(Tableau1[[#This Row],[ID]],"-","Actif")</f>
        <v>-Actif</v>
      </c>
      <c r="G182" s="64" t="e">
        <f ca="1">_xlfn.CONCAT(Tableau1[[#This Row],[POD]],"-",Tableau1[[#This Row],[Code PFI]],"-",Tableau1[[#This Row],[Compte Consignee]])</f>
        <v>#N/A</v>
      </c>
      <c r="H18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2" s="397" t="str">
        <f ca="1">IF(COUNTIF(I:I,Tableau1[[#This Row],[Plant-ILN-shipper-POL-Carrier-POD-PFI]])=1,"Non","Oui")</f>
        <v>Oui</v>
      </c>
      <c r="K182" s="399" t="e">
        <f>VLOOKUP(Tableau1[[#This Row],[Name Site]],Plant_AILN!A:D,4,FALSE)</f>
        <v>#N/A</v>
      </c>
      <c r="L182" s="10"/>
      <c r="M182" s="480" t="e">
        <f>VLOOKUP(Tableau1[[#This Row],[Name Site]],Plant_AILN!A:C,3,FALSE)</f>
        <v>#N/A</v>
      </c>
      <c r="N182" s="55" t="e">
        <f>VLOOKUP(Tableau1[[#This Row],[Compte Consignee]],Order!C:D,2,FALSE)</f>
        <v>#N/A</v>
      </c>
      <c r="O182" s="122"/>
      <c r="P182" s="481" t="e">
        <f>VLOOKUP(Tableau1[[#This Row],[Name ILN]],Plant_AILN!F:G,2,FALSE)</f>
        <v>#N/A</v>
      </c>
      <c r="Q182" s="50" t="e">
        <f>VLOOKUP(Tableau1[[#This Row],[Compte ILN]],'DATA ILN'!D:I,6,FALSE)</f>
        <v>#N/A</v>
      </c>
      <c r="R182" s="50" t="e">
        <f>IFERROR(VLOOKUP(Tableau1[[#This Row],[Key(Compte ILN - shipper - POL - plant)]],'DATA ILN'!A:J,10,FALSE),VLOOKUP(Tableau1[[#This Row],[Key(Compte ILN - shipper - POL)]],'DATA ILN'!B:J,9,FALSE))</f>
        <v>#N/A</v>
      </c>
      <c r="S182" s="50" t="e">
        <f>IFERROR(VLOOKUP(Tableau1[[#This Row],[Key(Compte ILN - shipper - POL - plant)]],'DATA ILN'!A:K,11,FALSE),VLOOKUP(Tableau1[[#This Row],[Key(Compte ILN - shipper - POL)]],'DATA ILN'!B:K,10,FALSE))</f>
        <v>#N/A</v>
      </c>
      <c r="T182" s="50" t="e">
        <f>IFERROR(VLOOKUP(Tableau1[[#This Row],[Key(Compte ILN - shipper - POL - plant)]],'DATA ILN'!A:L,12,FALSE),VLOOKUP(Tableau1[[#This Row],[Key(Compte ILN - shipper - POL)]],'DATA ILN'!B:L,11,FALSE))</f>
        <v>#N/A</v>
      </c>
      <c r="U182" s="50" t="e">
        <f>Tableau1[[#This Row],[Day ILN Order]]+Tableau1[[#This Row],[Delivery time to ILN/Shipper]]-1</f>
        <v>#N/A</v>
      </c>
      <c r="V182" s="50" t="e">
        <f>IFERROR(VLOOKUP(Tableau1[[#This Row],[Key(Compte ILN - shipper - POL - plant)]],'DATA ILN'!A:N,14,FALSE),VLOOKUP(Tableau1[[#This Row],[Key(Compte ILN - shipper - POL)]],'DATA ILN'!B:N,13,FALSE))</f>
        <v>#N/A</v>
      </c>
      <c r="W182" s="53" t="e">
        <f>IFERROR(VLOOKUP(Tableau1[[#This Row],[Key(Compte ILN - shipper - POL - plant)]],'DATA ILN'!A:P,16,FALSE),VLOOKUP(Tableau1[[#This Row],[Key(Compte ILN - shipper - POL)]],'DATA ILN'!B:P,15,FALSE))</f>
        <v>#N/A</v>
      </c>
      <c r="X182" s="283"/>
      <c r="Y182" s="482">
        <f>IFERROR(VLOOKUP(Tableau1[[#This Row],[Name Shipper]],Plant_AILN!L:M,2,FALSE),0)</f>
        <v>0</v>
      </c>
      <c r="Z182" s="358"/>
      <c r="AA182" s="353" t="e">
        <f ca="1">VLOOKUP(Tableau1[[#This Row],[Key(ID-Actif)]],'DATA BTO'!A:N,5,FALSE)</f>
        <v>#N/A</v>
      </c>
      <c r="AB182" s="3" t="e">
        <f ca="1">VLOOKUP(Tableau1[[#This Row],[Key(ID-Actif)]],'DATA BTO'!A:N,6,FALSE)</f>
        <v>#N/A</v>
      </c>
      <c r="AC182" s="50" t="e">
        <f ca="1">VLOOKUP(Tableau1[[#This Row],[Key(ID-Actif)]],'DATA BTO'!A:N,7,FALSE)</f>
        <v>#N/A</v>
      </c>
      <c r="AD182" s="50" t="e">
        <f ca="1">VLOOKUP(Tableau1[[#This Row],[Key(ID-Actif)]],'DATA BTO'!A:N,8,FALSE)</f>
        <v>#N/A</v>
      </c>
      <c r="AE182" s="50" t="e">
        <f ca="1">IF(Tableau1[[#This Row],[First Day to POL]]&lt;=Tableau1[[#This Row],[Day Cut Off]],Tableau1[[#This Row],[Day ETD]],Tableau1[[#This Row],[Day ETD]]+7)</f>
        <v>#N/A</v>
      </c>
      <c r="AF182" s="50" t="e">
        <f ca="1">VLOOKUP(Tableau1[[#This Row],[Key(ID-Actif)]],'DATA BTO'!A:N,9,FALSE)</f>
        <v>#N/A</v>
      </c>
      <c r="AG182" s="3" t="e">
        <f ca="1">VLOOKUP(Tableau1[[#This Row],[Key(ID-Actif)]],'DATA BTO'!A:N,10,FALSE)</f>
        <v>#N/A</v>
      </c>
      <c r="AH182" s="3" t="e">
        <f ca="1">VLOOKUP(Tableau1[[#This Row],[Key(ID-Actif)]],'DATA BTO'!A:N,11,FALSE)</f>
        <v>#N/A</v>
      </c>
      <c r="AI182" s="50" t="e">
        <f ca="1">VLOOKUP(Tableau1[[#This Row],[Key(ID-Actif)]],'DATA BTO'!A:N,12,FALSE)</f>
        <v>#N/A</v>
      </c>
      <c r="AJ182" s="53" t="e">
        <f ca="1">VLOOKUP(Tableau1[[#This Row],[Key(ID-Actif)]],'DATA BTO'!A:N,14,FALSE)</f>
        <v>#N/A</v>
      </c>
      <c r="AK182" s="54" t="e">
        <f ca="1">VLOOKUP(Tableau1[[#This Row],[Key(POD -PFI- Usine)]],'DATA Consignee'!A:F,6,FALSE)</f>
        <v>#N/A</v>
      </c>
      <c r="AL182" s="125"/>
      <c r="AM182" s="483" t="str">
        <f>IF(Tableau1[[#This Row],[Name PFI/CDD]]="","-",VLOOKUP(Tableau1[[#This Row],[Name PFI/CDD]],Plant_AILN!I:J,2,FALSE))</f>
        <v>-</v>
      </c>
      <c r="AN18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2" s="2" t="e">
        <f ca="1">VLOOKUP(Tableau1[[#This Row],[Key(POD -PFI- Usine)]],'DATA Consignee'!A:J,10,FALSE)</f>
        <v>#N/A</v>
      </c>
      <c r="AQ182" s="50" t="e">
        <f ca="1">VLOOKUP(Tableau1[[#This Row],[Key(POD -PFI- Usine)]],'DATA Consignee'!A:N,14,FALSE)</f>
        <v>#N/A</v>
      </c>
      <c r="AR18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2" s="50" t="e">
        <f ca="1">Tableau1[[#This Row],[Transit time]]+Tableau1[[#This Row],[Time for security]]+Tableau1[[#This Row],[Time for security2 buffer]]</f>
        <v>#N/A</v>
      </c>
      <c r="AU18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2" s="389" t="e">
        <f ca="1">Tableau1[[#This Row],[Leadtime SI2C]]+Tableau1[[#This Row],[First Receipt Days]]-Tableau1[[#This Row],[Day Customer Order]]+1</f>
        <v>#N/A</v>
      </c>
      <c r="AW182" s="117" t="e">
        <f ca="1">IF(Tableau1[[#This Row],[Name ILN]]&lt;&gt;"SFK Freight Forwarder",Tableau1[[#This Row],[Cust. Leadtime]],Tableau1[[#This Row],[Leadtime SI2C]])</f>
        <v>#N/A</v>
      </c>
      <c r="AX182" s="51" t="e">
        <f>VLOOKUP(Tableau1[[#This Row],[ID]],'DATA BTO'!B:P,15,FALSE)</f>
        <v>#N/A</v>
      </c>
      <c r="AY182" s="328" t="e">
        <f ca="1">IFERROR(VLOOKUP(Tableau1[[#This Row],[Key(ID-Actif)]],'DATA BTO'!A:N,4,FALSE),VLOOKUP(Tableau1[[#This Row],[ID]],'DATA BTO'!B:N,3,FALSE))</f>
        <v>#N/A</v>
      </c>
      <c r="AZ18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2" s="50"/>
    </row>
    <row r="183" spans="2:57">
      <c r="B183" s="65" t="str">
        <f>_xlfn.CONCAT(Tableau1[[#This Row],[Name ILN]],"-",Tableau1[[#This Row],[Name Shipper]],"-",Tableau1[[#This Row],[Name Site]])</f>
        <v>--</v>
      </c>
      <c r="C183" s="65" t="e">
        <f>_xlfn.CONCAT(Tableau1[[#This Row],[Compte ILN]],"-",Tableau1[[#This Row],[Compte Shipper]],"-",Tableau1[[#This Row],[POL]],"-",Tableau1[[#This Row],[Compte Consignee]])</f>
        <v>#N/A</v>
      </c>
      <c r="D183" s="64" t="e">
        <f>_xlfn.CONCAT(Tableau1[[#This Row],[Compte ILN]],"-",Tableau1[[#This Row],[Compte Shipper]],"-",Tableau1[[#This Row],[POL]])</f>
        <v>#N/A</v>
      </c>
      <c r="E183" s="396" t="e">
        <f ca="1">_xlfn.CONCAT(Tableau1[[#This Row],[POL]],"-",Tableau1[[#This Row],[Carrier]],"-",Tableau1[[#This Row],[POD]])</f>
        <v>#N/A</v>
      </c>
      <c r="F183" s="64" t="str">
        <f>_xlfn.CONCAT(Tableau1[[#This Row],[ID]],"-","Actif")</f>
        <v>-Actif</v>
      </c>
      <c r="G183" s="64" t="e">
        <f ca="1">_xlfn.CONCAT(Tableau1[[#This Row],[POD]],"-",Tableau1[[#This Row],[Code PFI]],"-",Tableau1[[#This Row],[Compte Consignee]])</f>
        <v>#N/A</v>
      </c>
      <c r="H18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3" s="397" t="str">
        <f ca="1">IF(COUNTIF(I:I,Tableau1[[#This Row],[Plant-ILN-shipper-POL-Carrier-POD-PFI]])=1,"Non","Oui")</f>
        <v>Oui</v>
      </c>
      <c r="K183" s="399" t="e">
        <f>VLOOKUP(Tableau1[[#This Row],[Name Site]],Plant_AILN!A:D,4,FALSE)</f>
        <v>#N/A</v>
      </c>
      <c r="L183" s="10"/>
      <c r="M183" s="480" t="e">
        <f>VLOOKUP(Tableau1[[#This Row],[Name Site]],Plant_AILN!A:C,3,FALSE)</f>
        <v>#N/A</v>
      </c>
      <c r="N183" s="55" t="e">
        <f>VLOOKUP(Tableau1[[#This Row],[Compte Consignee]],Order!C:D,2,FALSE)</f>
        <v>#N/A</v>
      </c>
      <c r="O183" s="122"/>
      <c r="P183" s="481" t="e">
        <f>VLOOKUP(Tableau1[[#This Row],[Name ILN]],Plant_AILN!F:G,2,FALSE)</f>
        <v>#N/A</v>
      </c>
      <c r="Q183" s="50" t="e">
        <f>VLOOKUP(Tableau1[[#This Row],[Compte ILN]],'DATA ILN'!D:I,6,FALSE)</f>
        <v>#N/A</v>
      </c>
      <c r="R183" s="50" t="e">
        <f>IFERROR(VLOOKUP(Tableau1[[#This Row],[Key(Compte ILN - shipper - POL - plant)]],'DATA ILN'!A:J,10,FALSE),VLOOKUP(Tableau1[[#This Row],[Key(Compte ILN - shipper - POL)]],'DATA ILN'!B:J,9,FALSE))</f>
        <v>#N/A</v>
      </c>
      <c r="S183" s="50" t="e">
        <f>IFERROR(VLOOKUP(Tableau1[[#This Row],[Key(Compte ILN - shipper - POL - plant)]],'DATA ILN'!A:K,11,FALSE),VLOOKUP(Tableau1[[#This Row],[Key(Compte ILN - shipper - POL)]],'DATA ILN'!B:K,10,FALSE))</f>
        <v>#N/A</v>
      </c>
      <c r="T183" s="50" t="e">
        <f>IFERROR(VLOOKUP(Tableau1[[#This Row],[Key(Compte ILN - shipper - POL - plant)]],'DATA ILN'!A:L,12,FALSE),VLOOKUP(Tableau1[[#This Row],[Key(Compte ILN - shipper - POL)]],'DATA ILN'!B:L,11,FALSE))</f>
        <v>#N/A</v>
      </c>
      <c r="U183" s="50" t="e">
        <f>Tableau1[[#This Row],[Day ILN Order]]+Tableau1[[#This Row],[Delivery time to ILN/Shipper]]-1</f>
        <v>#N/A</v>
      </c>
      <c r="V183" s="50" t="e">
        <f>IFERROR(VLOOKUP(Tableau1[[#This Row],[Key(Compte ILN - shipper - POL - plant)]],'DATA ILN'!A:N,14,FALSE),VLOOKUP(Tableau1[[#This Row],[Key(Compte ILN - shipper - POL)]],'DATA ILN'!B:N,13,FALSE))</f>
        <v>#N/A</v>
      </c>
      <c r="W183" s="53" t="e">
        <f>IFERROR(VLOOKUP(Tableau1[[#This Row],[Key(Compte ILN - shipper - POL - plant)]],'DATA ILN'!A:P,16,FALSE),VLOOKUP(Tableau1[[#This Row],[Key(Compte ILN - shipper - POL)]],'DATA ILN'!B:P,15,FALSE))</f>
        <v>#N/A</v>
      </c>
      <c r="X183" s="283"/>
      <c r="Y183" s="482">
        <f>IFERROR(VLOOKUP(Tableau1[[#This Row],[Name Shipper]],Plant_AILN!L:M,2,FALSE),0)</f>
        <v>0</v>
      </c>
      <c r="Z183" s="358"/>
      <c r="AA183" s="353" t="e">
        <f ca="1">VLOOKUP(Tableau1[[#This Row],[Key(ID-Actif)]],'DATA BTO'!A:N,5,FALSE)</f>
        <v>#N/A</v>
      </c>
      <c r="AB183" s="3" t="e">
        <f ca="1">VLOOKUP(Tableau1[[#This Row],[Key(ID-Actif)]],'DATA BTO'!A:N,6,FALSE)</f>
        <v>#N/A</v>
      </c>
      <c r="AC183" s="50" t="e">
        <f ca="1">VLOOKUP(Tableau1[[#This Row],[Key(ID-Actif)]],'DATA BTO'!A:N,7,FALSE)</f>
        <v>#N/A</v>
      </c>
      <c r="AD183" s="50" t="e">
        <f ca="1">VLOOKUP(Tableau1[[#This Row],[Key(ID-Actif)]],'DATA BTO'!A:N,8,FALSE)</f>
        <v>#N/A</v>
      </c>
      <c r="AE183" s="50" t="e">
        <f ca="1">IF(Tableau1[[#This Row],[First Day to POL]]&lt;=Tableau1[[#This Row],[Day Cut Off]],Tableau1[[#This Row],[Day ETD]],Tableau1[[#This Row],[Day ETD]]+7)</f>
        <v>#N/A</v>
      </c>
      <c r="AF183" s="50" t="e">
        <f ca="1">VLOOKUP(Tableau1[[#This Row],[Key(ID-Actif)]],'DATA BTO'!A:N,9,FALSE)</f>
        <v>#N/A</v>
      </c>
      <c r="AG183" s="3" t="e">
        <f ca="1">VLOOKUP(Tableau1[[#This Row],[Key(ID-Actif)]],'DATA BTO'!A:N,10,FALSE)</f>
        <v>#N/A</v>
      </c>
      <c r="AH183" s="3" t="e">
        <f ca="1">VLOOKUP(Tableau1[[#This Row],[Key(ID-Actif)]],'DATA BTO'!A:N,11,FALSE)</f>
        <v>#N/A</v>
      </c>
      <c r="AI183" s="50" t="e">
        <f ca="1">VLOOKUP(Tableau1[[#This Row],[Key(ID-Actif)]],'DATA BTO'!A:N,12,FALSE)</f>
        <v>#N/A</v>
      </c>
      <c r="AJ183" s="53" t="e">
        <f ca="1">VLOOKUP(Tableau1[[#This Row],[Key(ID-Actif)]],'DATA BTO'!A:N,14,FALSE)</f>
        <v>#N/A</v>
      </c>
      <c r="AK183" s="54" t="e">
        <f ca="1">VLOOKUP(Tableau1[[#This Row],[Key(POD -PFI- Usine)]],'DATA Consignee'!A:F,6,FALSE)</f>
        <v>#N/A</v>
      </c>
      <c r="AL183" s="125"/>
      <c r="AM183" s="483" t="str">
        <f>IF(Tableau1[[#This Row],[Name PFI/CDD]]="","-",VLOOKUP(Tableau1[[#This Row],[Name PFI/CDD]],Plant_AILN!I:J,2,FALSE))</f>
        <v>-</v>
      </c>
      <c r="AN18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3" s="2" t="e">
        <f ca="1">VLOOKUP(Tableau1[[#This Row],[Key(POD -PFI- Usine)]],'DATA Consignee'!A:J,10,FALSE)</f>
        <v>#N/A</v>
      </c>
      <c r="AQ183" s="50" t="e">
        <f ca="1">VLOOKUP(Tableau1[[#This Row],[Key(POD -PFI- Usine)]],'DATA Consignee'!A:N,14,FALSE)</f>
        <v>#N/A</v>
      </c>
      <c r="AR18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3" s="50" t="e">
        <f ca="1">Tableau1[[#This Row],[Transit time]]+Tableau1[[#This Row],[Time for security]]+Tableau1[[#This Row],[Time for security2 buffer]]</f>
        <v>#N/A</v>
      </c>
      <c r="AU18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3" s="389" t="e">
        <f ca="1">Tableau1[[#This Row],[Leadtime SI2C]]+Tableau1[[#This Row],[First Receipt Days]]-Tableau1[[#This Row],[Day Customer Order]]+1</f>
        <v>#N/A</v>
      </c>
      <c r="AW183" s="117" t="e">
        <f ca="1">IF(Tableau1[[#This Row],[Name ILN]]&lt;&gt;"SFK Freight Forwarder",Tableau1[[#This Row],[Cust. Leadtime]],Tableau1[[#This Row],[Leadtime SI2C]])</f>
        <v>#N/A</v>
      </c>
      <c r="AX183" s="51" t="e">
        <f>VLOOKUP(Tableau1[[#This Row],[ID]],'DATA BTO'!B:P,15,FALSE)</f>
        <v>#N/A</v>
      </c>
      <c r="AY183" s="328" t="e">
        <f ca="1">IFERROR(VLOOKUP(Tableau1[[#This Row],[Key(ID-Actif)]],'DATA BTO'!A:N,4,FALSE),VLOOKUP(Tableau1[[#This Row],[ID]],'DATA BTO'!B:N,3,FALSE))</f>
        <v>#N/A</v>
      </c>
      <c r="AZ18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3" s="50"/>
    </row>
    <row r="184" spans="2:57">
      <c r="B184" s="65" t="str">
        <f>_xlfn.CONCAT(Tableau1[[#This Row],[Name ILN]],"-",Tableau1[[#This Row],[Name Shipper]],"-",Tableau1[[#This Row],[Name Site]])</f>
        <v>--</v>
      </c>
      <c r="C184" s="65" t="e">
        <f>_xlfn.CONCAT(Tableau1[[#This Row],[Compte ILN]],"-",Tableau1[[#This Row],[Compte Shipper]],"-",Tableau1[[#This Row],[POL]],"-",Tableau1[[#This Row],[Compte Consignee]])</f>
        <v>#N/A</v>
      </c>
      <c r="D184" s="64" t="e">
        <f>_xlfn.CONCAT(Tableau1[[#This Row],[Compte ILN]],"-",Tableau1[[#This Row],[Compte Shipper]],"-",Tableau1[[#This Row],[POL]])</f>
        <v>#N/A</v>
      </c>
      <c r="E184" s="396" t="e">
        <f ca="1">_xlfn.CONCAT(Tableau1[[#This Row],[POL]],"-",Tableau1[[#This Row],[Carrier]],"-",Tableau1[[#This Row],[POD]])</f>
        <v>#N/A</v>
      </c>
      <c r="F184" s="64" t="str">
        <f>_xlfn.CONCAT(Tableau1[[#This Row],[ID]],"-","Actif")</f>
        <v>-Actif</v>
      </c>
      <c r="G184" s="64" t="e">
        <f ca="1">_xlfn.CONCAT(Tableau1[[#This Row],[POD]],"-",Tableau1[[#This Row],[Code PFI]],"-",Tableau1[[#This Row],[Compte Consignee]])</f>
        <v>#N/A</v>
      </c>
      <c r="H18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4" s="397" t="str">
        <f ca="1">IF(COUNTIF(I:I,Tableau1[[#This Row],[Plant-ILN-shipper-POL-Carrier-POD-PFI]])=1,"Non","Oui")</f>
        <v>Oui</v>
      </c>
      <c r="K184" s="399" t="e">
        <f>VLOOKUP(Tableau1[[#This Row],[Name Site]],Plant_AILN!A:D,4,FALSE)</f>
        <v>#N/A</v>
      </c>
      <c r="L184" s="10"/>
      <c r="M184" s="480" t="e">
        <f>VLOOKUP(Tableau1[[#This Row],[Name Site]],Plant_AILN!A:C,3,FALSE)</f>
        <v>#N/A</v>
      </c>
      <c r="N184" s="55" t="e">
        <f>VLOOKUP(Tableau1[[#This Row],[Compte Consignee]],Order!C:D,2,FALSE)</f>
        <v>#N/A</v>
      </c>
      <c r="O184" s="122"/>
      <c r="P184" s="481" t="e">
        <f>VLOOKUP(Tableau1[[#This Row],[Name ILN]],Plant_AILN!F:G,2,FALSE)</f>
        <v>#N/A</v>
      </c>
      <c r="Q184" s="50" t="e">
        <f>VLOOKUP(Tableau1[[#This Row],[Compte ILN]],'DATA ILN'!D:I,6,FALSE)</f>
        <v>#N/A</v>
      </c>
      <c r="R184" s="50" t="e">
        <f>IFERROR(VLOOKUP(Tableau1[[#This Row],[Key(Compte ILN - shipper - POL - plant)]],'DATA ILN'!A:J,10,FALSE),VLOOKUP(Tableau1[[#This Row],[Key(Compte ILN - shipper - POL)]],'DATA ILN'!B:J,9,FALSE))</f>
        <v>#N/A</v>
      </c>
      <c r="S184" s="50" t="e">
        <f>IFERROR(VLOOKUP(Tableau1[[#This Row],[Key(Compte ILN - shipper - POL - plant)]],'DATA ILN'!A:K,11,FALSE),VLOOKUP(Tableau1[[#This Row],[Key(Compte ILN - shipper - POL)]],'DATA ILN'!B:K,10,FALSE))</f>
        <v>#N/A</v>
      </c>
      <c r="T184" s="50" t="e">
        <f>IFERROR(VLOOKUP(Tableau1[[#This Row],[Key(Compte ILN - shipper - POL - plant)]],'DATA ILN'!A:L,12,FALSE),VLOOKUP(Tableau1[[#This Row],[Key(Compte ILN - shipper - POL)]],'DATA ILN'!B:L,11,FALSE))</f>
        <v>#N/A</v>
      </c>
      <c r="U184" s="50" t="e">
        <f>Tableau1[[#This Row],[Day ILN Order]]+Tableau1[[#This Row],[Delivery time to ILN/Shipper]]-1</f>
        <v>#N/A</v>
      </c>
      <c r="V184" s="50" t="e">
        <f>IFERROR(VLOOKUP(Tableau1[[#This Row],[Key(Compte ILN - shipper - POL - plant)]],'DATA ILN'!A:N,14,FALSE),VLOOKUP(Tableau1[[#This Row],[Key(Compte ILN - shipper - POL)]],'DATA ILN'!B:N,13,FALSE))</f>
        <v>#N/A</v>
      </c>
      <c r="W184" s="53" t="e">
        <f>IFERROR(VLOOKUP(Tableau1[[#This Row],[Key(Compte ILN - shipper - POL - plant)]],'DATA ILN'!A:P,16,FALSE),VLOOKUP(Tableau1[[#This Row],[Key(Compte ILN - shipper - POL)]],'DATA ILN'!B:P,15,FALSE))</f>
        <v>#N/A</v>
      </c>
      <c r="X184" s="283"/>
      <c r="Y184" s="482">
        <f>IFERROR(VLOOKUP(Tableau1[[#This Row],[Name Shipper]],Plant_AILN!L:M,2,FALSE),0)</f>
        <v>0</v>
      </c>
      <c r="Z184" s="358"/>
      <c r="AA184" s="353" t="e">
        <f ca="1">VLOOKUP(Tableau1[[#This Row],[Key(ID-Actif)]],'DATA BTO'!A:N,5,FALSE)</f>
        <v>#N/A</v>
      </c>
      <c r="AB184" s="3" t="e">
        <f ca="1">VLOOKUP(Tableau1[[#This Row],[Key(ID-Actif)]],'DATA BTO'!A:N,6,FALSE)</f>
        <v>#N/A</v>
      </c>
      <c r="AC184" s="50" t="e">
        <f ca="1">VLOOKUP(Tableau1[[#This Row],[Key(ID-Actif)]],'DATA BTO'!A:N,7,FALSE)</f>
        <v>#N/A</v>
      </c>
      <c r="AD184" s="50" t="e">
        <f ca="1">VLOOKUP(Tableau1[[#This Row],[Key(ID-Actif)]],'DATA BTO'!A:N,8,FALSE)</f>
        <v>#N/A</v>
      </c>
      <c r="AE184" s="50" t="e">
        <f ca="1">IF(Tableau1[[#This Row],[First Day to POL]]&lt;=Tableau1[[#This Row],[Day Cut Off]],Tableau1[[#This Row],[Day ETD]],Tableau1[[#This Row],[Day ETD]]+7)</f>
        <v>#N/A</v>
      </c>
      <c r="AF184" s="50" t="e">
        <f ca="1">VLOOKUP(Tableau1[[#This Row],[Key(ID-Actif)]],'DATA BTO'!A:N,9,FALSE)</f>
        <v>#N/A</v>
      </c>
      <c r="AG184" s="3" t="e">
        <f ca="1">VLOOKUP(Tableau1[[#This Row],[Key(ID-Actif)]],'DATA BTO'!A:N,10,FALSE)</f>
        <v>#N/A</v>
      </c>
      <c r="AH184" s="3" t="e">
        <f ca="1">VLOOKUP(Tableau1[[#This Row],[Key(ID-Actif)]],'DATA BTO'!A:N,11,FALSE)</f>
        <v>#N/A</v>
      </c>
      <c r="AI184" s="50" t="e">
        <f ca="1">VLOOKUP(Tableau1[[#This Row],[Key(ID-Actif)]],'DATA BTO'!A:N,12,FALSE)</f>
        <v>#N/A</v>
      </c>
      <c r="AJ184" s="53" t="e">
        <f ca="1">VLOOKUP(Tableau1[[#This Row],[Key(ID-Actif)]],'DATA BTO'!A:N,14,FALSE)</f>
        <v>#N/A</v>
      </c>
      <c r="AK184" s="54" t="e">
        <f ca="1">VLOOKUP(Tableau1[[#This Row],[Key(POD -PFI- Usine)]],'DATA Consignee'!A:F,6,FALSE)</f>
        <v>#N/A</v>
      </c>
      <c r="AL184" s="125"/>
      <c r="AM184" s="483" t="str">
        <f>IF(Tableau1[[#This Row],[Name PFI/CDD]]="","-",VLOOKUP(Tableau1[[#This Row],[Name PFI/CDD]],Plant_AILN!I:J,2,FALSE))</f>
        <v>-</v>
      </c>
      <c r="AN18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4" s="2" t="e">
        <f ca="1">VLOOKUP(Tableau1[[#This Row],[Key(POD -PFI- Usine)]],'DATA Consignee'!A:J,10,FALSE)</f>
        <v>#N/A</v>
      </c>
      <c r="AQ184" s="50" t="e">
        <f ca="1">VLOOKUP(Tableau1[[#This Row],[Key(POD -PFI- Usine)]],'DATA Consignee'!A:N,14,FALSE)</f>
        <v>#N/A</v>
      </c>
      <c r="AR18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4" s="50" t="e">
        <f ca="1">Tableau1[[#This Row],[Transit time]]+Tableau1[[#This Row],[Time for security]]+Tableau1[[#This Row],[Time for security2 buffer]]</f>
        <v>#N/A</v>
      </c>
      <c r="AU18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4" s="389" t="e">
        <f ca="1">Tableau1[[#This Row],[Leadtime SI2C]]+Tableau1[[#This Row],[First Receipt Days]]-Tableau1[[#This Row],[Day Customer Order]]+1</f>
        <v>#N/A</v>
      </c>
      <c r="AW184" s="117" t="e">
        <f ca="1">IF(Tableau1[[#This Row],[Name ILN]]&lt;&gt;"SFK Freight Forwarder",Tableau1[[#This Row],[Cust. Leadtime]],Tableau1[[#This Row],[Leadtime SI2C]])</f>
        <v>#N/A</v>
      </c>
      <c r="AX184" s="51" t="e">
        <f>VLOOKUP(Tableau1[[#This Row],[ID]],'DATA BTO'!B:P,15,FALSE)</f>
        <v>#N/A</v>
      </c>
      <c r="AY184" s="328" t="e">
        <f ca="1">IFERROR(VLOOKUP(Tableau1[[#This Row],[Key(ID-Actif)]],'DATA BTO'!A:N,4,FALSE),VLOOKUP(Tableau1[[#This Row],[ID]],'DATA BTO'!B:N,3,FALSE))</f>
        <v>#N/A</v>
      </c>
      <c r="AZ18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4" s="50"/>
    </row>
    <row r="185" spans="2:57">
      <c r="B185" s="65" t="str">
        <f>_xlfn.CONCAT(Tableau1[[#This Row],[Name ILN]],"-",Tableau1[[#This Row],[Name Shipper]],"-",Tableau1[[#This Row],[Name Site]])</f>
        <v>--</v>
      </c>
      <c r="C185" s="65" t="e">
        <f>_xlfn.CONCAT(Tableau1[[#This Row],[Compte ILN]],"-",Tableau1[[#This Row],[Compte Shipper]],"-",Tableau1[[#This Row],[POL]],"-",Tableau1[[#This Row],[Compte Consignee]])</f>
        <v>#N/A</v>
      </c>
      <c r="D185" s="64" t="e">
        <f>_xlfn.CONCAT(Tableau1[[#This Row],[Compte ILN]],"-",Tableau1[[#This Row],[Compte Shipper]],"-",Tableau1[[#This Row],[POL]])</f>
        <v>#N/A</v>
      </c>
      <c r="E185" s="396" t="e">
        <f ca="1">_xlfn.CONCAT(Tableau1[[#This Row],[POL]],"-",Tableau1[[#This Row],[Carrier]],"-",Tableau1[[#This Row],[POD]])</f>
        <v>#N/A</v>
      </c>
      <c r="F185" s="64" t="str">
        <f>_xlfn.CONCAT(Tableau1[[#This Row],[ID]],"-","Actif")</f>
        <v>-Actif</v>
      </c>
      <c r="G185" s="64" t="e">
        <f ca="1">_xlfn.CONCAT(Tableau1[[#This Row],[POD]],"-",Tableau1[[#This Row],[Code PFI]],"-",Tableau1[[#This Row],[Compte Consignee]])</f>
        <v>#N/A</v>
      </c>
      <c r="H18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5" s="397" t="str">
        <f ca="1">IF(COUNTIF(I:I,Tableau1[[#This Row],[Plant-ILN-shipper-POL-Carrier-POD-PFI]])=1,"Non","Oui")</f>
        <v>Oui</v>
      </c>
      <c r="K185" s="399" t="e">
        <f>VLOOKUP(Tableau1[[#This Row],[Name Site]],Plant_AILN!A:D,4,FALSE)</f>
        <v>#N/A</v>
      </c>
      <c r="L185" s="10"/>
      <c r="M185" s="480" t="e">
        <f>VLOOKUP(Tableau1[[#This Row],[Name Site]],Plant_AILN!A:C,3,FALSE)</f>
        <v>#N/A</v>
      </c>
      <c r="N185" s="55" t="e">
        <f>VLOOKUP(Tableau1[[#This Row],[Compte Consignee]],Order!C:D,2,FALSE)</f>
        <v>#N/A</v>
      </c>
      <c r="O185" s="122"/>
      <c r="P185" s="481" t="e">
        <f>VLOOKUP(Tableau1[[#This Row],[Name ILN]],Plant_AILN!F:G,2,FALSE)</f>
        <v>#N/A</v>
      </c>
      <c r="Q185" s="50" t="e">
        <f>VLOOKUP(Tableau1[[#This Row],[Compte ILN]],'DATA ILN'!D:I,6,FALSE)</f>
        <v>#N/A</v>
      </c>
      <c r="R185" s="50" t="e">
        <f>IFERROR(VLOOKUP(Tableau1[[#This Row],[Key(Compte ILN - shipper - POL - plant)]],'DATA ILN'!A:J,10,FALSE),VLOOKUP(Tableau1[[#This Row],[Key(Compte ILN - shipper - POL)]],'DATA ILN'!B:J,9,FALSE))</f>
        <v>#N/A</v>
      </c>
      <c r="S185" s="50" t="e">
        <f>IFERROR(VLOOKUP(Tableau1[[#This Row],[Key(Compte ILN - shipper - POL - plant)]],'DATA ILN'!A:K,11,FALSE),VLOOKUP(Tableau1[[#This Row],[Key(Compte ILN - shipper - POL)]],'DATA ILN'!B:K,10,FALSE))</f>
        <v>#N/A</v>
      </c>
      <c r="T185" s="50" t="e">
        <f>IFERROR(VLOOKUP(Tableau1[[#This Row],[Key(Compte ILN - shipper - POL - plant)]],'DATA ILN'!A:L,12,FALSE),VLOOKUP(Tableau1[[#This Row],[Key(Compte ILN - shipper - POL)]],'DATA ILN'!B:L,11,FALSE))</f>
        <v>#N/A</v>
      </c>
      <c r="U185" s="50" t="e">
        <f>Tableau1[[#This Row],[Day ILN Order]]+Tableau1[[#This Row],[Delivery time to ILN/Shipper]]-1</f>
        <v>#N/A</v>
      </c>
      <c r="V185" s="50" t="e">
        <f>IFERROR(VLOOKUP(Tableau1[[#This Row],[Key(Compte ILN - shipper - POL - plant)]],'DATA ILN'!A:N,14,FALSE),VLOOKUP(Tableau1[[#This Row],[Key(Compte ILN - shipper - POL)]],'DATA ILN'!B:N,13,FALSE))</f>
        <v>#N/A</v>
      </c>
      <c r="W185" s="53" t="e">
        <f>IFERROR(VLOOKUP(Tableau1[[#This Row],[Key(Compte ILN - shipper - POL - plant)]],'DATA ILN'!A:P,16,FALSE),VLOOKUP(Tableau1[[#This Row],[Key(Compte ILN - shipper - POL)]],'DATA ILN'!B:P,15,FALSE))</f>
        <v>#N/A</v>
      </c>
      <c r="X185" s="283"/>
      <c r="Y185" s="482">
        <f>IFERROR(VLOOKUP(Tableau1[[#This Row],[Name Shipper]],Plant_AILN!L:M,2,FALSE),0)</f>
        <v>0</v>
      </c>
      <c r="Z185" s="358"/>
      <c r="AA185" s="353" t="e">
        <f ca="1">VLOOKUP(Tableau1[[#This Row],[Key(ID-Actif)]],'DATA BTO'!A:N,5,FALSE)</f>
        <v>#N/A</v>
      </c>
      <c r="AB185" s="3" t="e">
        <f ca="1">VLOOKUP(Tableau1[[#This Row],[Key(ID-Actif)]],'DATA BTO'!A:N,6,FALSE)</f>
        <v>#N/A</v>
      </c>
      <c r="AC185" s="50" t="e">
        <f ca="1">VLOOKUP(Tableau1[[#This Row],[Key(ID-Actif)]],'DATA BTO'!A:N,7,FALSE)</f>
        <v>#N/A</v>
      </c>
      <c r="AD185" s="50" t="e">
        <f ca="1">VLOOKUP(Tableau1[[#This Row],[Key(ID-Actif)]],'DATA BTO'!A:N,8,FALSE)</f>
        <v>#N/A</v>
      </c>
      <c r="AE185" s="50" t="e">
        <f ca="1">IF(Tableau1[[#This Row],[First Day to POL]]&lt;=Tableau1[[#This Row],[Day Cut Off]],Tableau1[[#This Row],[Day ETD]],Tableau1[[#This Row],[Day ETD]]+7)</f>
        <v>#N/A</v>
      </c>
      <c r="AF185" s="50" t="e">
        <f ca="1">VLOOKUP(Tableau1[[#This Row],[Key(ID-Actif)]],'DATA BTO'!A:N,9,FALSE)</f>
        <v>#N/A</v>
      </c>
      <c r="AG185" s="3" t="e">
        <f ca="1">VLOOKUP(Tableau1[[#This Row],[Key(ID-Actif)]],'DATA BTO'!A:N,10,FALSE)</f>
        <v>#N/A</v>
      </c>
      <c r="AH185" s="3" t="e">
        <f ca="1">VLOOKUP(Tableau1[[#This Row],[Key(ID-Actif)]],'DATA BTO'!A:N,11,FALSE)</f>
        <v>#N/A</v>
      </c>
      <c r="AI185" s="50" t="e">
        <f ca="1">VLOOKUP(Tableau1[[#This Row],[Key(ID-Actif)]],'DATA BTO'!A:N,12,FALSE)</f>
        <v>#N/A</v>
      </c>
      <c r="AJ185" s="53" t="e">
        <f ca="1">VLOOKUP(Tableau1[[#This Row],[Key(ID-Actif)]],'DATA BTO'!A:N,14,FALSE)</f>
        <v>#N/A</v>
      </c>
      <c r="AK185" s="54" t="e">
        <f ca="1">VLOOKUP(Tableau1[[#This Row],[Key(POD -PFI- Usine)]],'DATA Consignee'!A:F,6,FALSE)</f>
        <v>#N/A</v>
      </c>
      <c r="AL185" s="125"/>
      <c r="AM185" s="483" t="str">
        <f>IF(Tableau1[[#This Row],[Name PFI/CDD]]="","-",VLOOKUP(Tableau1[[#This Row],[Name PFI/CDD]],Plant_AILN!I:J,2,FALSE))</f>
        <v>-</v>
      </c>
      <c r="AN18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5" s="2" t="e">
        <f ca="1">VLOOKUP(Tableau1[[#This Row],[Key(POD -PFI- Usine)]],'DATA Consignee'!A:J,10,FALSE)</f>
        <v>#N/A</v>
      </c>
      <c r="AQ185" s="50" t="e">
        <f ca="1">VLOOKUP(Tableau1[[#This Row],[Key(POD -PFI- Usine)]],'DATA Consignee'!A:N,14,FALSE)</f>
        <v>#N/A</v>
      </c>
      <c r="AR18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5" s="50" t="e">
        <f ca="1">Tableau1[[#This Row],[Transit time]]+Tableau1[[#This Row],[Time for security]]+Tableau1[[#This Row],[Time for security2 buffer]]</f>
        <v>#N/A</v>
      </c>
      <c r="AU18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5" s="389" t="e">
        <f ca="1">Tableau1[[#This Row],[Leadtime SI2C]]+Tableau1[[#This Row],[First Receipt Days]]-Tableau1[[#This Row],[Day Customer Order]]+1</f>
        <v>#N/A</v>
      </c>
      <c r="AW185" s="117" t="e">
        <f ca="1">IF(Tableau1[[#This Row],[Name ILN]]&lt;&gt;"SFK Freight Forwarder",Tableau1[[#This Row],[Cust. Leadtime]],Tableau1[[#This Row],[Leadtime SI2C]])</f>
        <v>#N/A</v>
      </c>
      <c r="AX185" s="51" t="e">
        <f>VLOOKUP(Tableau1[[#This Row],[ID]],'DATA BTO'!B:P,15,FALSE)</f>
        <v>#N/A</v>
      </c>
      <c r="AY185" s="328" t="e">
        <f ca="1">IFERROR(VLOOKUP(Tableau1[[#This Row],[Key(ID-Actif)]],'DATA BTO'!A:N,4,FALSE),VLOOKUP(Tableau1[[#This Row],[ID]],'DATA BTO'!B:N,3,FALSE))</f>
        <v>#N/A</v>
      </c>
      <c r="AZ18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5" s="50"/>
    </row>
    <row r="186" spans="2:57">
      <c r="B186" s="65" t="str">
        <f>_xlfn.CONCAT(Tableau1[[#This Row],[Name ILN]],"-",Tableau1[[#This Row],[Name Shipper]],"-",Tableau1[[#This Row],[Name Site]])</f>
        <v>--</v>
      </c>
      <c r="C186" s="65" t="e">
        <f>_xlfn.CONCAT(Tableau1[[#This Row],[Compte ILN]],"-",Tableau1[[#This Row],[Compte Shipper]],"-",Tableau1[[#This Row],[POL]],"-",Tableau1[[#This Row],[Compte Consignee]])</f>
        <v>#N/A</v>
      </c>
      <c r="D186" s="64" t="e">
        <f>_xlfn.CONCAT(Tableau1[[#This Row],[Compte ILN]],"-",Tableau1[[#This Row],[Compte Shipper]],"-",Tableau1[[#This Row],[POL]])</f>
        <v>#N/A</v>
      </c>
      <c r="E186" s="396" t="e">
        <f ca="1">_xlfn.CONCAT(Tableau1[[#This Row],[POL]],"-",Tableau1[[#This Row],[Carrier]],"-",Tableau1[[#This Row],[POD]])</f>
        <v>#N/A</v>
      </c>
      <c r="F186" s="64" t="str">
        <f>_xlfn.CONCAT(Tableau1[[#This Row],[ID]],"-","Actif")</f>
        <v>-Actif</v>
      </c>
      <c r="G186" s="64" t="e">
        <f ca="1">_xlfn.CONCAT(Tableau1[[#This Row],[POD]],"-",Tableau1[[#This Row],[Code PFI]],"-",Tableau1[[#This Row],[Compte Consignee]])</f>
        <v>#N/A</v>
      </c>
      <c r="H18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6" s="397" t="str">
        <f ca="1">IF(COUNTIF(I:I,Tableau1[[#This Row],[Plant-ILN-shipper-POL-Carrier-POD-PFI]])=1,"Non","Oui")</f>
        <v>Oui</v>
      </c>
      <c r="K186" s="399" t="e">
        <f>VLOOKUP(Tableau1[[#This Row],[Name Site]],Plant_AILN!A:D,4,FALSE)</f>
        <v>#N/A</v>
      </c>
      <c r="L186" s="10"/>
      <c r="M186" s="480" t="e">
        <f>VLOOKUP(Tableau1[[#This Row],[Name Site]],Plant_AILN!A:C,3,FALSE)</f>
        <v>#N/A</v>
      </c>
      <c r="N186" s="55" t="e">
        <f>VLOOKUP(Tableau1[[#This Row],[Compte Consignee]],Order!C:D,2,FALSE)</f>
        <v>#N/A</v>
      </c>
      <c r="O186" s="122"/>
      <c r="P186" s="481" t="e">
        <f>VLOOKUP(Tableau1[[#This Row],[Name ILN]],Plant_AILN!F:G,2,FALSE)</f>
        <v>#N/A</v>
      </c>
      <c r="Q186" s="50" t="e">
        <f>VLOOKUP(Tableau1[[#This Row],[Compte ILN]],'DATA ILN'!D:I,6,FALSE)</f>
        <v>#N/A</v>
      </c>
      <c r="R186" s="50" t="e">
        <f>IFERROR(VLOOKUP(Tableau1[[#This Row],[Key(Compte ILN - shipper - POL - plant)]],'DATA ILN'!A:J,10,FALSE),VLOOKUP(Tableau1[[#This Row],[Key(Compte ILN - shipper - POL)]],'DATA ILN'!B:J,9,FALSE))</f>
        <v>#N/A</v>
      </c>
      <c r="S186" s="50" t="e">
        <f>IFERROR(VLOOKUP(Tableau1[[#This Row],[Key(Compte ILN - shipper - POL - plant)]],'DATA ILN'!A:K,11,FALSE),VLOOKUP(Tableau1[[#This Row],[Key(Compte ILN - shipper - POL)]],'DATA ILN'!B:K,10,FALSE))</f>
        <v>#N/A</v>
      </c>
      <c r="T186" s="50" t="e">
        <f>IFERROR(VLOOKUP(Tableau1[[#This Row],[Key(Compte ILN - shipper - POL - plant)]],'DATA ILN'!A:L,12,FALSE),VLOOKUP(Tableau1[[#This Row],[Key(Compte ILN - shipper - POL)]],'DATA ILN'!B:L,11,FALSE))</f>
        <v>#N/A</v>
      </c>
      <c r="U186" s="50" t="e">
        <f>Tableau1[[#This Row],[Day ILN Order]]+Tableau1[[#This Row],[Delivery time to ILN/Shipper]]-1</f>
        <v>#N/A</v>
      </c>
      <c r="V186" s="50" t="e">
        <f>IFERROR(VLOOKUP(Tableau1[[#This Row],[Key(Compte ILN - shipper - POL - plant)]],'DATA ILN'!A:N,14,FALSE),VLOOKUP(Tableau1[[#This Row],[Key(Compte ILN - shipper - POL)]],'DATA ILN'!B:N,13,FALSE))</f>
        <v>#N/A</v>
      </c>
      <c r="W186" s="53" t="e">
        <f>IFERROR(VLOOKUP(Tableau1[[#This Row],[Key(Compte ILN - shipper - POL - plant)]],'DATA ILN'!A:P,16,FALSE),VLOOKUP(Tableau1[[#This Row],[Key(Compte ILN - shipper - POL)]],'DATA ILN'!B:P,15,FALSE))</f>
        <v>#N/A</v>
      </c>
      <c r="X186" s="283"/>
      <c r="Y186" s="482">
        <f>IFERROR(VLOOKUP(Tableau1[[#This Row],[Name Shipper]],Plant_AILN!L:M,2,FALSE),0)</f>
        <v>0</v>
      </c>
      <c r="Z186" s="358"/>
      <c r="AA186" s="353" t="e">
        <f ca="1">VLOOKUP(Tableau1[[#This Row],[Key(ID-Actif)]],'DATA BTO'!A:N,5,FALSE)</f>
        <v>#N/A</v>
      </c>
      <c r="AB186" s="3" t="e">
        <f ca="1">VLOOKUP(Tableau1[[#This Row],[Key(ID-Actif)]],'DATA BTO'!A:N,6,FALSE)</f>
        <v>#N/A</v>
      </c>
      <c r="AC186" s="50" t="e">
        <f ca="1">VLOOKUP(Tableau1[[#This Row],[Key(ID-Actif)]],'DATA BTO'!A:N,7,FALSE)</f>
        <v>#N/A</v>
      </c>
      <c r="AD186" s="50" t="e">
        <f ca="1">VLOOKUP(Tableau1[[#This Row],[Key(ID-Actif)]],'DATA BTO'!A:N,8,FALSE)</f>
        <v>#N/A</v>
      </c>
      <c r="AE186" s="50" t="e">
        <f ca="1">IF(Tableau1[[#This Row],[First Day to POL]]&lt;=Tableau1[[#This Row],[Day Cut Off]],Tableau1[[#This Row],[Day ETD]],Tableau1[[#This Row],[Day ETD]]+7)</f>
        <v>#N/A</v>
      </c>
      <c r="AF186" s="50" t="e">
        <f ca="1">VLOOKUP(Tableau1[[#This Row],[Key(ID-Actif)]],'DATA BTO'!A:N,9,FALSE)</f>
        <v>#N/A</v>
      </c>
      <c r="AG186" s="3" t="e">
        <f ca="1">VLOOKUP(Tableau1[[#This Row],[Key(ID-Actif)]],'DATA BTO'!A:N,10,FALSE)</f>
        <v>#N/A</v>
      </c>
      <c r="AH186" s="3" t="e">
        <f ca="1">VLOOKUP(Tableau1[[#This Row],[Key(ID-Actif)]],'DATA BTO'!A:N,11,FALSE)</f>
        <v>#N/A</v>
      </c>
      <c r="AI186" s="50" t="e">
        <f ca="1">VLOOKUP(Tableau1[[#This Row],[Key(ID-Actif)]],'DATA BTO'!A:N,12,FALSE)</f>
        <v>#N/A</v>
      </c>
      <c r="AJ186" s="53" t="e">
        <f ca="1">VLOOKUP(Tableau1[[#This Row],[Key(ID-Actif)]],'DATA BTO'!A:N,14,FALSE)</f>
        <v>#N/A</v>
      </c>
      <c r="AK186" s="54" t="e">
        <f ca="1">VLOOKUP(Tableau1[[#This Row],[Key(POD -PFI- Usine)]],'DATA Consignee'!A:F,6,FALSE)</f>
        <v>#N/A</v>
      </c>
      <c r="AL186" s="125"/>
      <c r="AM186" s="483" t="str">
        <f>IF(Tableau1[[#This Row],[Name PFI/CDD]]="","-",VLOOKUP(Tableau1[[#This Row],[Name PFI/CDD]],Plant_AILN!I:J,2,FALSE))</f>
        <v>-</v>
      </c>
      <c r="AN18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6" s="2" t="e">
        <f ca="1">VLOOKUP(Tableau1[[#This Row],[Key(POD -PFI- Usine)]],'DATA Consignee'!A:J,10,FALSE)</f>
        <v>#N/A</v>
      </c>
      <c r="AQ186" s="50" t="e">
        <f ca="1">VLOOKUP(Tableau1[[#This Row],[Key(POD -PFI- Usine)]],'DATA Consignee'!A:N,14,FALSE)</f>
        <v>#N/A</v>
      </c>
      <c r="AR18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6" s="50" t="e">
        <f ca="1">Tableau1[[#This Row],[Transit time]]+Tableau1[[#This Row],[Time for security]]+Tableau1[[#This Row],[Time for security2 buffer]]</f>
        <v>#N/A</v>
      </c>
      <c r="AU18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6" s="389" t="e">
        <f ca="1">Tableau1[[#This Row],[Leadtime SI2C]]+Tableau1[[#This Row],[First Receipt Days]]-Tableau1[[#This Row],[Day Customer Order]]+1</f>
        <v>#N/A</v>
      </c>
      <c r="AW186" s="117" t="e">
        <f ca="1">IF(Tableau1[[#This Row],[Name ILN]]&lt;&gt;"SFK Freight Forwarder",Tableau1[[#This Row],[Cust. Leadtime]],Tableau1[[#This Row],[Leadtime SI2C]])</f>
        <v>#N/A</v>
      </c>
      <c r="AX186" s="51" t="e">
        <f>VLOOKUP(Tableau1[[#This Row],[ID]],'DATA BTO'!B:P,15,FALSE)</f>
        <v>#N/A</v>
      </c>
      <c r="AY186" s="328" t="e">
        <f ca="1">IFERROR(VLOOKUP(Tableau1[[#This Row],[Key(ID-Actif)]],'DATA BTO'!A:N,4,FALSE),VLOOKUP(Tableau1[[#This Row],[ID]],'DATA BTO'!B:N,3,FALSE))</f>
        <v>#N/A</v>
      </c>
      <c r="AZ18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6" s="50"/>
    </row>
    <row r="187" spans="2:57">
      <c r="B187" s="65" t="str">
        <f>_xlfn.CONCAT(Tableau1[[#This Row],[Name ILN]],"-",Tableau1[[#This Row],[Name Shipper]],"-",Tableau1[[#This Row],[Name Site]])</f>
        <v>--</v>
      </c>
      <c r="C187" s="65" t="e">
        <f>_xlfn.CONCAT(Tableau1[[#This Row],[Compte ILN]],"-",Tableau1[[#This Row],[Compte Shipper]],"-",Tableau1[[#This Row],[POL]],"-",Tableau1[[#This Row],[Compte Consignee]])</f>
        <v>#N/A</v>
      </c>
      <c r="D187" s="64" t="e">
        <f>_xlfn.CONCAT(Tableau1[[#This Row],[Compte ILN]],"-",Tableau1[[#This Row],[Compte Shipper]],"-",Tableau1[[#This Row],[POL]])</f>
        <v>#N/A</v>
      </c>
      <c r="E187" s="396" t="e">
        <f ca="1">_xlfn.CONCAT(Tableau1[[#This Row],[POL]],"-",Tableau1[[#This Row],[Carrier]],"-",Tableau1[[#This Row],[POD]])</f>
        <v>#N/A</v>
      </c>
      <c r="F187" s="64" t="str">
        <f>_xlfn.CONCAT(Tableau1[[#This Row],[ID]],"-","Actif")</f>
        <v>-Actif</v>
      </c>
      <c r="G187" s="64" t="e">
        <f ca="1">_xlfn.CONCAT(Tableau1[[#This Row],[POD]],"-",Tableau1[[#This Row],[Code PFI]],"-",Tableau1[[#This Row],[Compte Consignee]])</f>
        <v>#N/A</v>
      </c>
      <c r="H18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7" s="397" t="str">
        <f ca="1">IF(COUNTIF(I:I,Tableau1[[#This Row],[Plant-ILN-shipper-POL-Carrier-POD-PFI]])=1,"Non","Oui")</f>
        <v>Oui</v>
      </c>
      <c r="K187" s="399" t="e">
        <f>VLOOKUP(Tableau1[[#This Row],[Name Site]],Plant_AILN!A:D,4,FALSE)</f>
        <v>#N/A</v>
      </c>
      <c r="L187" s="10"/>
      <c r="M187" s="480" t="e">
        <f>VLOOKUP(Tableau1[[#This Row],[Name Site]],Plant_AILN!A:C,3,FALSE)</f>
        <v>#N/A</v>
      </c>
      <c r="N187" s="55" t="e">
        <f>VLOOKUP(Tableau1[[#This Row],[Compte Consignee]],Order!C:D,2,FALSE)</f>
        <v>#N/A</v>
      </c>
      <c r="O187" s="122"/>
      <c r="P187" s="481" t="e">
        <f>VLOOKUP(Tableau1[[#This Row],[Name ILN]],Plant_AILN!F:G,2,FALSE)</f>
        <v>#N/A</v>
      </c>
      <c r="Q187" s="50" t="e">
        <f>VLOOKUP(Tableau1[[#This Row],[Compte ILN]],'DATA ILN'!D:I,6,FALSE)</f>
        <v>#N/A</v>
      </c>
      <c r="R187" s="50" t="e">
        <f>IFERROR(VLOOKUP(Tableau1[[#This Row],[Key(Compte ILN - shipper - POL - plant)]],'DATA ILN'!A:J,10,FALSE),VLOOKUP(Tableau1[[#This Row],[Key(Compte ILN - shipper - POL)]],'DATA ILN'!B:J,9,FALSE))</f>
        <v>#N/A</v>
      </c>
      <c r="S187" s="50" t="e">
        <f>IFERROR(VLOOKUP(Tableau1[[#This Row],[Key(Compte ILN - shipper - POL - plant)]],'DATA ILN'!A:K,11,FALSE),VLOOKUP(Tableau1[[#This Row],[Key(Compte ILN - shipper - POL)]],'DATA ILN'!B:K,10,FALSE))</f>
        <v>#N/A</v>
      </c>
      <c r="T187" s="50" t="e">
        <f>IFERROR(VLOOKUP(Tableau1[[#This Row],[Key(Compte ILN - shipper - POL - plant)]],'DATA ILN'!A:L,12,FALSE),VLOOKUP(Tableau1[[#This Row],[Key(Compte ILN - shipper - POL)]],'DATA ILN'!B:L,11,FALSE))</f>
        <v>#N/A</v>
      </c>
      <c r="U187" s="50" t="e">
        <f>Tableau1[[#This Row],[Day ILN Order]]+Tableau1[[#This Row],[Delivery time to ILN/Shipper]]-1</f>
        <v>#N/A</v>
      </c>
      <c r="V187" s="50" t="e">
        <f>IFERROR(VLOOKUP(Tableau1[[#This Row],[Key(Compte ILN - shipper - POL - plant)]],'DATA ILN'!A:N,14,FALSE),VLOOKUP(Tableau1[[#This Row],[Key(Compte ILN - shipper - POL)]],'DATA ILN'!B:N,13,FALSE))</f>
        <v>#N/A</v>
      </c>
      <c r="W187" s="53" t="e">
        <f>IFERROR(VLOOKUP(Tableau1[[#This Row],[Key(Compte ILN - shipper - POL - plant)]],'DATA ILN'!A:P,16,FALSE),VLOOKUP(Tableau1[[#This Row],[Key(Compte ILN - shipper - POL)]],'DATA ILN'!B:P,15,FALSE))</f>
        <v>#N/A</v>
      </c>
      <c r="X187" s="283"/>
      <c r="Y187" s="482">
        <f>IFERROR(VLOOKUP(Tableau1[[#This Row],[Name Shipper]],Plant_AILN!L:M,2,FALSE),0)</f>
        <v>0</v>
      </c>
      <c r="Z187" s="358"/>
      <c r="AA187" s="353" t="e">
        <f ca="1">VLOOKUP(Tableau1[[#This Row],[Key(ID-Actif)]],'DATA BTO'!A:N,5,FALSE)</f>
        <v>#N/A</v>
      </c>
      <c r="AB187" s="3" t="e">
        <f ca="1">VLOOKUP(Tableau1[[#This Row],[Key(ID-Actif)]],'DATA BTO'!A:N,6,FALSE)</f>
        <v>#N/A</v>
      </c>
      <c r="AC187" s="50" t="e">
        <f ca="1">VLOOKUP(Tableau1[[#This Row],[Key(ID-Actif)]],'DATA BTO'!A:N,7,FALSE)</f>
        <v>#N/A</v>
      </c>
      <c r="AD187" s="50" t="e">
        <f ca="1">VLOOKUP(Tableau1[[#This Row],[Key(ID-Actif)]],'DATA BTO'!A:N,8,FALSE)</f>
        <v>#N/A</v>
      </c>
      <c r="AE187" s="50" t="e">
        <f ca="1">IF(Tableau1[[#This Row],[First Day to POL]]&lt;=Tableau1[[#This Row],[Day Cut Off]],Tableau1[[#This Row],[Day ETD]],Tableau1[[#This Row],[Day ETD]]+7)</f>
        <v>#N/A</v>
      </c>
      <c r="AF187" s="50" t="e">
        <f ca="1">VLOOKUP(Tableau1[[#This Row],[Key(ID-Actif)]],'DATA BTO'!A:N,9,FALSE)</f>
        <v>#N/A</v>
      </c>
      <c r="AG187" s="3" t="e">
        <f ca="1">VLOOKUP(Tableau1[[#This Row],[Key(ID-Actif)]],'DATA BTO'!A:N,10,FALSE)</f>
        <v>#N/A</v>
      </c>
      <c r="AH187" s="3" t="e">
        <f ca="1">VLOOKUP(Tableau1[[#This Row],[Key(ID-Actif)]],'DATA BTO'!A:N,11,FALSE)</f>
        <v>#N/A</v>
      </c>
      <c r="AI187" s="50" t="e">
        <f ca="1">VLOOKUP(Tableau1[[#This Row],[Key(ID-Actif)]],'DATA BTO'!A:N,12,FALSE)</f>
        <v>#N/A</v>
      </c>
      <c r="AJ187" s="53" t="e">
        <f ca="1">VLOOKUP(Tableau1[[#This Row],[Key(ID-Actif)]],'DATA BTO'!A:N,14,FALSE)</f>
        <v>#N/A</v>
      </c>
      <c r="AK187" s="54" t="e">
        <f ca="1">VLOOKUP(Tableau1[[#This Row],[Key(POD -PFI- Usine)]],'DATA Consignee'!A:F,6,FALSE)</f>
        <v>#N/A</v>
      </c>
      <c r="AL187" s="125"/>
      <c r="AM187" s="483" t="str">
        <f>IF(Tableau1[[#This Row],[Name PFI/CDD]]="","-",VLOOKUP(Tableau1[[#This Row],[Name PFI/CDD]],Plant_AILN!I:J,2,FALSE))</f>
        <v>-</v>
      </c>
      <c r="AN18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7" s="2" t="e">
        <f ca="1">VLOOKUP(Tableau1[[#This Row],[Key(POD -PFI- Usine)]],'DATA Consignee'!A:J,10,FALSE)</f>
        <v>#N/A</v>
      </c>
      <c r="AQ187" s="50" t="e">
        <f ca="1">VLOOKUP(Tableau1[[#This Row],[Key(POD -PFI- Usine)]],'DATA Consignee'!A:N,14,FALSE)</f>
        <v>#N/A</v>
      </c>
      <c r="AR18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7" s="50" t="e">
        <f ca="1">Tableau1[[#This Row],[Transit time]]+Tableau1[[#This Row],[Time for security]]+Tableau1[[#This Row],[Time for security2 buffer]]</f>
        <v>#N/A</v>
      </c>
      <c r="AU18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7" s="389" t="e">
        <f ca="1">Tableau1[[#This Row],[Leadtime SI2C]]+Tableau1[[#This Row],[First Receipt Days]]-Tableau1[[#This Row],[Day Customer Order]]+1</f>
        <v>#N/A</v>
      </c>
      <c r="AW187" s="117" t="e">
        <f ca="1">IF(Tableau1[[#This Row],[Name ILN]]&lt;&gt;"SFK Freight Forwarder",Tableau1[[#This Row],[Cust. Leadtime]],Tableau1[[#This Row],[Leadtime SI2C]])</f>
        <v>#N/A</v>
      </c>
      <c r="AX187" s="51" t="e">
        <f>VLOOKUP(Tableau1[[#This Row],[ID]],'DATA BTO'!B:P,15,FALSE)</f>
        <v>#N/A</v>
      </c>
      <c r="AY187" s="328" t="e">
        <f ca="1">IFERROR(VLOOKUP(Tableau1[[#This Row],[Key(ID-Actif)]],'DATA BTO'!A:N,4,FALSE),VLOOKUP(Tableau1[[#This Row],[ID]],'DATA BTO'!B:N,3,FALSE))</f>
        <v>#N/A</v>
      </c>
      <c r="AZ18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7" s="397"/>
    </row>
    <row r="188" spans="2:57">
      <c r="B188" s="65" t="str">
        <f>_xlfn.CONCAT(Tableau1[[#This Row],[Name ILN]],"-",Tableau1[[#This Row],[Name Shipper]],"-",Tableau1[[#This Row],[Name Site]])</f>
        <v>--</v>
      </c>
      <c r="C188" s="65" t="e">
        <f>_xlfn.CONCAT(Tableau1[[#This Row],[Compte ILN]],"-",Tableau1[[#This Row],[Compte Shipper]],"-",Tableau1[[#This Row],[POL]],"-",Tableau1[[#This Row],[Compte Consignee]])</f>
        <v>#N/A</v>
      </c>
      <c r="D188" s="64" t="e">
        <f>_xlfn.CONCAT(Tableau1[[#This Row],[Compte ILN]],"-",Tableau1[[#This Row],[Compte Shipper]],"-",Tableau1[[#This Row],[POL]])</f>
        <v>#N/A</v>
      </c>
      <c r="E188" s="396" t="e">
        <f ca="1">_xlfn.CONCAT(Tableau1[[#This Row],[POL]],"-",Tableau1[[#This Row],[Carrier]],"-",Tableau1[[#This Row],[POD]])</f>
        <v>#N/A</v>
      </c>
      <c r="F188" s="64" t="str">
        <f>_xlfn.CONCAT(Tableau1[[#This Row],[ID]],"-","Actif")</f>
        <v>-Actif</v>
      </c>
      <c r="G188" s="64" t="e">
        <f ca="1">_xlfn.CONCAT(Tableau1[[#This Row],[POD]],"-",Tableau1[[#This Row],[Code PFI]],"-",Tableau1[[#This Row],[Compte Consignee]])</f>
        <v>#N/A</v>
      </c>
      <c r="H18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8" s="397" t="str">
        <f ca="1">IF(COUNTIF(I:I,Tableau1[[#This Row],[Plant-ILN-shipper-POL-Carrier-POD-PFI]])=1,"Non","Oui")</f>
        <v>Oui</v>
      </c>
      <c r="K188" s="399" t="e">
        <f>VLOOKUP(Tableau1[[#This Row],[Name Site]],Plant_AILN!A:D,4,FALSE)</f>
        <v>#N/A</v>
      </c>
      <c r="L188" s="10"/>
      <c r="M188" s="480" t="e">
        <f>VLOOKUP(Tableau1[[#This Row],[Name Site]],Plant_AILN!A:C,3,FALSE)</f>
        <v>#N/A</v>
      </c>
      <c r="N188" s="55" t="e">
        <f>VLOOKUP(Tableau1[[#This Row],[Compte Consignee]],Order!C:D,2,FALSE)</f>
        <v>#N/A</v>
      </c>
      <c r="O188" s="122"/>
      <c r="P188" s="481" t="e">
        <f>VLOOKUP(Tableau1[[#This Row],[Name ILN]],Plant_AILN!F:G,2,FALSE)</f>
        <v>#N/A</v>
      </c>
      <c r="Q188" s="50" t="e">
        <f>VLOOKUP(Tableau1[[#This Row],[Compte ILN]],'DATA ILN'!D:I,6,FALSE)</f>
        <v>#N/A</v>
      </c>
      <c r="R188" s="50" t="e">
        <f>IFERROR(VLOOKUP(Tableau1[[#This Row],[Key(Compte ILN - shipper - POL - plant)]],'DATA ILN'!A:J,10,FALSE),VLOOKUP(Tableau1[[#This Row],[Key(Compte ILN - shipper - POL)]],'DATA ILN'!B:J,9,FALSE))</f>
        <v>#N/A</v>
      </c>
      <c r="S188" s="50" t="e">
        <f>IFERROR(VLOOKUP(Tableau1[[#This Row],[Key(Compte ILN - shipper - POL - plant)]],'DATA ILN'!A:K,11,FALSE),VLOOKUP(Tableau1[[#This Row],[Key(Compte ILN - shipper - POL)]],'DATA ILN'!B:K,10,FALSE))</f>
        <v>#N/A</v>
      </c>
      <c r="T188" s="50" t="e">
        <f>IFERROR(VLOOKUP(Tableau1[[#This Row],[Key(Compte ILN - shipper - POL - plant)]],'DATA ILN'!A:L,12,FALSE),VLOOKUP(Tableau1[[#This Row],[Key(Compte ILN - shipper - POL)]],'DATA ILN'!B:L,11,FALSE))</f>
        <v>#N/A</v>
      </c>
      <c r="U188" s="50" t="e">
        <f>Tableau1[[#This Row],[Day ILN Order]]+Tableau1[[#This Row],[Delivery time to ILN/Shipper]]-1</f>
        <v>#N/A</v>
      </c>
      <c r="V188" s="50" t="e">
        <f>IFERROR(VLOOKUP(Tableau1[[#This Row],[Key(Compte ILN - shipper - POL - plant)]],'DATA ILN'!A:N,14,FALSE),VLOOKUP(Tableau1[[#This Row],[Key(Compte ILN - shipper - POL)]],'DATA ILN'!B:N,13,FALSE))</f>
        <v>#N/A</v>
      </c>
      <c r="W188" s="53" t="e">
        <f>IFERROR(VLOOKUP(Tableau1[[#This Row],[Key(Compte ILN - shipper - POL - plant)]],'DATA ILN'!A:P,16,FALSE),VLOOKUP(Tableau1[[#This Row],[Key(Compte ILN - shipper - POL)]],'DATA ILN'!B:P,15,FALSE))</f>
        <v>#N/A</v>
      </c>
      <c r="X188" s="283"/>
      <c r="Y188" s="482">
        <f>IFERROR(VLOOKUP(Tableau1[[#This Row],[Name Shipper]],Plant_AILN!L:M,2,FALSE),0)</f>
        <v>0</v>
      </c>
      <c r="Z188" s="358"/>
      <c r="AA188" s="353" t="e">
        <f ca="1">VLOOKUP(Tableau1[[#This Row],[Key(ID-Actif)]],'DATA BTO'!A:N,5,FALSE)</f>
        <v>#N/A</v>
      </c>
      <c r="AB188" s="3" t="e">
        <f ca="1">VLOOKUP(Tableau1[[#This Row],[Key(ID-Actif)]],'DATA BTO'!A:N,6,FALSE)</f>
        <v>#N/A</v>
      </c>
      <c r="AC188" s="50" t="e">
        <f ca="1">VLOOKUP(Tableau1[[#This Row],[Key(ID-Actif)]],'DATA BTO'!A:N,7,FALSE)</f>
        <v>#N/A</v>
      </c>
      <c r="AD188" s="50" t="e">
        <f ca="1">VLOOKUP(Tableau1[[#This Row],[Key(ID-Actif)]],'DATA BTO'!A:N,8,FALSE)</f>
        <v>#N/A</v>
      </c>
      <c r="AE188" s="50" t="e">
        <f ca="1">IF(Tableau1[[#This Row],[First Day to POL]]&lt;=Tableau1[[#This Row],[Day Cut Off]],Tableau1[[#This Row],[Day ETD]],Tableau1[[#This Row],[Day ETD]]+7)</f>
        <v>#N/A</v>
      </c>
      <c r="AF188" s="50" t="e">
        <f ca="1">VLOOKUP(Tableau1[[#This Row],[Key(ID-Actif)]],'DATA BTO'!A:N,9,FALSE)</f>
        <v>#N/A</v>
      </c>
      <c r="AG188" s="3" t="e">
        <f ca="1">VLOOKUP(Tableau1[[#This Row],[Key(ID-Actif)]],'DATA BTO'!A:N,10,FALSE)</f>
        <v>#N/A</v>
      </c>
      <c r="AH188" s="3" t="e">
        <f ca="1">VLOOKUP(Tableau1[[#This Row],[Key(ID-Actif)]],'DATA BTO'!A:N,11,FALSE)</f>
        <v>#N/A</v>
      </c>
      <c r="AI188" s="50" t="e">
        <f ca="1">VLOOKUP(Tableau1[[#This Row],[Key(ID-Actif)]],'DATA BTO'!A:N,12,FALSE)</f>
        <v>#N/A</v>
      </c>
      <c r="AJ188" s="53" t="e">
        <f ca="1">VLOOKUP(Tableau1[[#This Row],[Key(ID-Actif)]],'DATA BTO'!A:N,14,FALSE)</f>
        <v>#N/A</v>
      </c>
      <c r="AK188" s="54" t="e">
        <f ca="1">VLOOKUP(Tableau1[[#This Row],[Key(POD -PFI- Usine)]],'DATA Consignee'!A:F,6,FALSE)</f>
        <v>#N/A</v>
      </c>
      <c r="AL188" s="125"/>
      <c r="AM188" s="483" t="str">
        <f>IF(Tableau1[[#This Row],[Name PFI/CDD]]="","-",VLOOKUP(Tableau1[[#This Row],[Name PFI/CDD]],Plant_AILN!I:J,2,FALSE))</f>
        <v>-</v>
      </c>
      <c r="AN18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8" s="2" t="e">
        <f ca="1">VLOOKUP(Tableau1[[#This Row],[Key(POD -PFI- Usine)]],'DATA Consignee'!A:J,10,FALSE)</f>
        <v>#N/A</v>
      </c>
      <c r="AQ188" s="50" t="e">
        <f ca="1">VLOOKUP(Tableau1[[#This Row],[Key(POD -PFI- Usine)]],'DATA Consignee'!A:N,14,FALSE)</f>
        <v>#N/A</v>
      </c>
      <c r="AR18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8" s="50" t="e">
        <f ca="1">Tableau1[[#This Row],[Transit time]]+Tableau1[[#This Row],[Time for security]]+Tableau1[[#This Row],[Time for security2 buffer]]</f>
        <v>#N/A</v>
      </c>
      <c r="AU18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8" s="389" t="e">
        <f ca="1">Tableau1[[#This Row],[Leadtime SI2C]]+Tableau1[[#This Row],[First Receipt Days]]-Tableau1[[#This Row],[Day Customer Order]]+1</f>
        <v>#N/A</v>
      </c>
      <c r="AW188" s="117" t="e">
        <f ca="1">IF(Tableau1[[#This Row],[Name ILN]]&lt;&gt;"SFK Freight Forwarder",Tableau1[[#This Row],[Cust. Leadtime]],Tableau1[[#This Row],[Leadtime SI2C]])</f>
        <v>#N/A</v>
      </c>
      <c r="AX188" s="51" t="e">
        <f>VLOOKUP(Tableau1[[#This Row],[ID]],'DATA BTO'!B:P,15,FALSE)</f>
        <v>#N/A</v>
      </c>
      <c r="AY188" s="328" t="e">
        <f ca="1">IFERROR(VLOOKUP(Tableau1[[#This Row],[Key(ID-Actif)]],'DATA BTO'!A:N,4,FALSE),VLOOKUP(Tableau1[[#This Row],[ID]],'DATA BTO'!B:N,3,FALSE))</f>
        <v>#N/A</v>
      </c>
      <c r="AZ18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8" s="50"/>
    </row>
    <row r="189" spans="2:57">
      <c r="B189" s="65" t="str">
        <f>_xlfn.CONCAT(Tableau1[[#This Row],[Name ILN]],"-",Tableau1[[#This Row],[Name Shipper]],"-",Tableau1[[#This Row],[Name Site]])</f>
        <v>--</v>
      </c>
      <c r="C189" s="65" t="e">
        <f>_xlfn.CONCAT(Tableau1[[#This Row],[Compte ILN]],"-",Tableau1[[#This Row],[Compte Shipper]],"-",Tableau1[[#This Row],[POL]],"-",Tableau1[[#This Row],[Compte Consignee]])</f>
        <v>#N/A</v>
      </c>
      <c r="D189" s="64" t="e">
        <f>_xlfn.CONCAT(Tableau1[[#This Row],[Compte ILN]],"-",Tableau1[[#This Row],[Compte Shipper]],"-",Tableau1[[#This Row],[POL]])</f>
        <v>#N/A</v>
      </c>
      <c r="E189" s="396" t="e">
        <f ca="1">_xlfn.CONCAT(Tableau1[[#This Row],[POL]],"-",Tableau1[[#This Row],[Carrier]],"-",Tableau1[[#This Row],[POD]])</f>
        <v>#N/A</v>
      </c>
      <c r="F189" s="64" t="str">
        <f>_xlfn.CONCAT(Tableau1[[#This Row],[ID]],"-","Actif")</f>
        <v>-Actif</v>
      </c>
      <c r="G189" s="64" t="e">
        <f ca="1">_xlfn.CONCAT(Tableau1[[#This Row],[POD]],"-",Tableau1[[#This Row],[Code PFI]],"-",Tableau1[[#This Row],[Compte Consignee]])</f>
        <v>#N/A</v>
      </c>
      <c r="H18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8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89" s="397" t="str">
        <f ca="1">IF(COUNTIF(I:I,Tableau1[[#This Row],[Plant-ILN-shipper-POL-Carrier-POD-PFI]])=1,"Non","Oui")</f>
        <v>Oui</v>
      </c>
      <c r="K189" s="399" t="e">
        <f>VLOOKUP(Tableau1[[#This Row],[Name Site]],Plant_AILN!A:D,4,FALSE)</f>
        <v>#N/A</v>
      </c>
      <c r="L189" s="10"/>
      <c r="M189" s="480" t="e">
        <f>VLOOKUP(Tableau1[[#This Row],[Name Site]],Plant_AILN!A:C,3,FALSE)</f>
        <v>#N/A</v>
      </c>
      <c r="N189" s="55" t="e">
        <f>VLOOKUP(Tableau1[[#This Row],[Compte Consignee]],Order!C:D,2,FALSE)</f>
        <v>#N/A</v>
      </c>
      <c r="O189" s="122"/>
      <c r="P189" s="481" t="e">
        <f>VLOOKUP(Tableau1[[#This Row],[Name ILN]],Plant_AILN!F:G,2,FALSE)</f>
        <v>#N/A</v>
      </c>
      <c r="Q189" s="50" t="e">
        <f>VLOOKUP(Tableau1[[#This Row],[Compte ILN]],'DATA ILN'!D:I,6,FALSE)</f>
        <v>#N/A</v>
      </c>
      <c r="R189" s="50" t="e">
        <f>IFERROR(VLOOKUP(Tableau1[[#This Row],[Key(Compte ILN - shipper - POL - plant)]],'DATA ILN'!A:J,10,FALSE),VLOOKUP(Tableau1[[#This Row],[Key(Compte ILN - shipper - POL)]],'DATA ILN'!B:J,9,FALSE))</f>
        <v>#N/A</v>
      </c>
      <c r="S189" s="50" t="e">
        <f>IFERROR(VLOOKUP(Tableau1[[#This Row],[Key(Compte ILN - shipper - POL - plant)]],'DATA ILN'!A:K,11,FALSE),VLOOKUP(Tableau1[[#This Row],[Key(Compte ILN - shipper - POL)]],'DATA ILN'!B:K,10,FALSE))</f>
        <v>#N/A</v>
      </c>
      <c r="T189" s="50" t="e">
        <f>IFERROR(VLOOKUP(Tableau1[[#This Row],[Key(Compte ILN - shipper - POL - plant)]],'DATA ILN'!A:L,12,FALSE),VLOOKUP(Tableau1[[#This Row],[Key(Compte ILN - shipper - POL)]],'DATA ILN'!B:L,11,FALSE))</f>
        <v>#N/A</v>
      </c>
      <c r="U189" s="50" t="e">
        <f>Tableau1[[#This Row],[Day ILN Order]]+Tableau1[[#This Row],[Delivery time to ILN/Shipper]]-1</f>
        <v>#N/A</v>
      </c>
      <c r="V189" s="50" t="e">
        <f>IFERROR(VLOOKUP(Tableau1[[#This Row],[Key(Compte ILN - shipper - POL - plant)]],'DATA ILN'!A:N,14,FALSE),VLOOKUP(Tableau1[[#This Row],[Key(Compte ILN - shipper - POL)]],'DATA ILN'!B:N,13,FALSE))</f>
        <v>#N/A</v>
      </c>
      <c r="W189" s="53" t="e">
        <f>IFERROR(VLOOKUP(Tableau1[[#This Row],[Key(Compte ILN - shipper - POL - plant)]],'DATA ILN'!A:P,16,FALSE),VLOOKUP(Tableau1[[#This Row],[Key(Compte ILN - shipper - POL)]],'DATA ILN'!B:P,15,FALSE))</f>
        <v>#N/A</v>
      </c>
      <c r="X189" s="283"/>
      <c r="Y189" s="482">
        <f>IFERROR(VLOOKUP(Tableau1[[#This Row],[Name Shipper]],Plant_AILN!L:M,2,FALSE),0)</f>
        <v>0</v>
      </c>
      <c r="Z189" s="358"/>
      <c r="AA189" s="353" t="e">
        <f ca="1">VLOOKUP(Tableau1[[#This Row],[Key(ID-Actif)]],'DATA BTO'!A:N,5,FALSE)</f>
        <v>#N/A</v>
      </c>
      <c r="AB189" s="3" t="e">
        <f ca="1">VLOOKUP(Tableau1[[#This Row],[Key(ID-Actif)]],'DATA BTO'!A:N,6,FALSE)</f>
        <v>#N/A</v>
      </c>
      <c r="AC189" s="50" t="e">
        <f ca="1">VLOOKUP(Tableau1[[#This Row],[Key(ID-Actif)]],'DATA BTO'!A:N,7,FALSE)</f>
        <v>#N/A</v>
      </c>
      <c r="AD189" s="50" t="e">
        <f ca="1">VLOOKUP(Tableau1[[#This Row],[Key(ID-Actif)]],'DATA BTO'!A:N,8,FALSE)</f>
        <v>#N/A</v>
      </c>
      <c r="AE189" s="50" t="e">
        <f ca="1">IF(Tableau1[[#This Row],[First Day to POL]]&lt;=Tableau1[[#This Row],[Day Cut Off]],Tableau1[[#This Row],[Day ETD]],Tableau1[[#This Row],[Day ETD]]+7)</f>
        <v>#N/A</v>
      </c>
      <c r="AF189" s="50" t="e">
        <f ca="1">VLOOKUP(Tableau1[[#This Row],[Key(ID-Actif)]],'DATA BTO'!A:N,9,FALSE)</f>
        <v>#N/A</v>
      </c>
      <c r="AG189" s="3" t="e">
        <f ca="1">VLOOKUP(Tableau1[[#This Row],[Key(ID-Actif)]],'DATA BTO'!A:N,10,FALSE)</f>
        <v>#N/A</v>
      </c>
      <c r="AH189" s="3" t="e">
        <f ca="1">VLOOKUP(Tableau1[[#This Row],[Key(ID-Actif)]],'DATA BTO'!A:N,11,FALSE)</f>
        <v>#N/A</v>
      </c>
      <c r="AI189" s="50" t="e">
        <f ca="1">VLOOKUP(Tableau1[[#This Row],[Key(ID-Actif)]],'DATA BTO'!A:N,12,FALSE)</f>
        <v>#N/A</v>
      </c>
      <c r="AJ189" s="53" t="e">
        <f ca="1">VLOOKUP(Tableau1[[#This Row],[Key(ID-Actif)]],'DATA BTO'!A:N,14,FALSE)</f>
        <v>#N/A</v>
      </c>
      <c r="AK189" s="54" t="e">
        <f ca="1">VLOOKUP(Tableau1[[#This Row],[Key(POD -PFI- Usine)]],'DATA Consignee'!A:F,6,FALSE)</f>
        <v>#N/A</v>
      </c>
      <c r="AL189" s="125"/>
      <c r="AM189" s="483" t="str">
        <f>IF(Tableau1[[#This Row],[Name PFI/CDD]]="","-",VLOOKUP(Tableau1[[#This Row],[Name PFI/CDD]],Plant_AILN!I:J,2,FALSE))</f>
        <v>-</v>
      </c>
      <c r="AN18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8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89" s="2" t="e">
        <f ca="1">VLOOKUP(Tableau1[[#This Row],[Key(POD -PFI- Usine)]],'DATA Consignee'!A:J,10,FALSE)</f>
        <v>#N/A</v>
      </c>
      <c r="AQ189" s="50" t="e">
        <f ca="1">VLOOKUP(Tableau1[[#This Row],[Key(POD -PFI- Usine)]],'DATA Consignee'!A:N,14,FALSE)</f>
        <v>#N/A</v>
      </c>
      <c r="AR18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8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89" s="50" t="e">
        <f ca="1">Tableau1[[#This Row],[Transit time]]+Tableau1[[#This Row],[Time for security]]+Tableau1[[#This Row],[Time for security2 buffer]]</f>
        <v>#N/A</v>
      </c>
      <c r="AU18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89" s="389" t="e">
        <f ca="1">Tableau1[[#This Row],[Leadtime SI2C]]+Tableau1[[#This Row],[First Receipt Days]]-Tableau1[[#This Row],[Day Customer Order]]+1</f>
        <v>#N/A</v>
      </c>
      <c r="AW189" s="117" t="e">
        <f ca="1">IF(Tableau1[[#This Row],[Name ILN]]&lt;&gt;"SFK Freight Forwarder",Tableau1[[#This Row],[Cust. Leadtime]],Tableau1[[#This Row],[Leadtime SI2C]])</f>
        <v>#N/A</v>
      </c>
      <c r="AX189" s="51" t="e">
        <f>VLOOKUP(Tableau1[[#This Row],[ID]],'DATA BTO'!B:P,15,FALSE)</f>
        <v>#N/A</v>
      </c>
      <c r="AY189" s="328" t="e">
        <f ca="1">IFERROR(VLOOKUP(Tableau1[[#This Row],[Key(ID-Actif)]],'DATA BTO'!A:N,4,FALSE),VLOOKUP(Tableau1[[#This Row],[ID]],'DATA BTO'!B:N,3,FALSE))</f>
        <v>#N/A</v>
      </c>
      <c r="AZ18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8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8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9" s="50"/>
    </row>
    <row r="190" spans="2:57">
      <c r="B190" s="65" t="str">
        <f>_xlfn.CONCAT(Tableau1[[#This Row],[Name ILN]],"-",Tableau1[[#This Row],[Name Shipper]],"-",Tableau1[[#This Row],[Name Site]])</f>
        <v>--</v>
      </c>
      <c r="C190" s="65" t="e">
        <f>_xlfn.CONCAT(Tableau1[[#This Row],[Compte ILN]],"-",Tableau1[[#This Row],[Compte Shipper]],"-",Tableau1[[#This Row],[POL]],"-",Tableau1[[#This Row],[Compte Consignee]])</f>
        <v>#N/A</v>
      </c>
      <c r="D190" s="64" t="e">
        <f>_xlfn.CONCAT(Tableau1[[#This Row],[Compte ILN]],"-",Tableau1[[#This Row],[Compte Shipper]],"-",Tableau1[[#This Row],[POL]])</f>
        <v>#N/A</v>
      </c>
      <c r="E190" s="396" t="e">
        <f ca="1">_xlfn.CONCAT(Tableau1[[#This Row],[POL]],"-",Tableau1[[#This Row],[Carrier]],"-",Tableau1[[#This Row],[POD]])</f>
        <v>#N/A</v>
      </c>
      <c r="F190" s="64" t="str">
        <f>_xlfn.CONCAT(Tableau1[[#This Row],[ID]],"-","Actif")</f>
        <v>-Actif</v>
      </c>
      <c r="G190" s="64" t="e">
        <f ca="1">_xlfn.CONCAT(Tableau1[[#This Row],[POD]],"-",Tableau1[[#This Row],[Code PFI]],"-",Tableau1[[#This Row],[Compte Consignee]])</f>
        <v>#N/A</v>
      </c>
      <c r="H19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0" s="397" t="str">
        <f ca="1">IF(COUNTIF(I:I,Tableau1[[#This Row],[Plant-ILN-shipper-POL-Carrier-POD-PFI]])=1,"Non","Oui")</f>
        <v>Oui</v>
      </c>
      <c r="K190" s="399" t="e">
        <f>VLOOKUP(Tableau1[[#This Row],[Name Site]],Plant_AILN!A:D,4,FALSE)</f>
        <v>#N/A</v>
      </c>
      <c r="L190" s="10"/>
      <c r="M190" s="480" t="e">
        <f>VLOOKUP(Tableau1[[#This Row],[Name Site]],Plant_AILN!A:C,3,FALSE)</f>
        <v>#N/A</v>
      </c>
      <c r="N190" s="55" t="e">
        <f>VLOOKUP(Tableau1[[#This Row],[Compte Consignee]],Order!C:D,2,FALSE)</f>
        <v>#N/A</v>
      </c>
      <c r="O190" s="122"/>
      <c r="P190" s="481" t="e">
        <f>VLOOKUP(Tableau1[[#This Row],[Name ILN]],Plant_AILN!F:G,2,FALSE)</f>
        <v>#N/A</v>
      </c>
      <c r="Q190" s="50" t="e">
        <f>VLOOKUP(Tableau1[[#This Row],[Compte ILN]],'DATA ILN'!D:I,6,FALSE)</f>
        <v>#N/A</v>
      </c>
      <c r="R190" s="50" t="e">
        <f>IFERROR(VLOOKUP(Tableau1[[#This Row],[Key(Compte ILN - shipper - POL - plant)]],'DATA ILN'!A:J,10,FALSE),VLOOKUP(Tableau1[[#This Row],[Key(Compte ILN - shipper - POL)]],'DATA ILN'!B:J,9,FALSE))</f>
        <v>#N/A</v>
      </c>
      <c r="S190" s="50" t="e">
        <f>IFERROR(VLOOKUP(Tableau1[[#This Row],[Key(Compte ILN - shipper - POL - plant)]],'DATA ILN'!A:K,11,FALSE),VLOOKUP(Tableau1[[#This Row],[Key(Compte ILN - shipper - POL)]],'DATA ILN'!B:K,10,FALSE))</f>
        <v>#N/A</v>
      </c>
      <c r="T190" s="50" t="e">
        <f>IFERROR(VLOOKUP(Tableau1[[#This Row],[Key(Compte ILN - shipper - POL - plant)]],'DATA ILN'!A:L,12,FALSE),VLOOKUP(Tableau1[[#This Row],[Key(Compte ILN - shipper - POL)]],'DATA ILN'!B:L,11,FALSE))</f>
        <v>#N/A</v>
      </c>
      <c r="U190" s="50" t="e">
        <f>Tableau1[[#This Row],[Day ILN Order]]+Tableau1[[#This Row],[Delivery time to ILN/Shipper]]-1</f>
        <v>#N/A</v>
      </c>
      <c r="V190" s="50" t="e">
        <f>IFERROR(VLOOKUP(Tableau1[[#This Row],[Key(Compte ILN - shipper - POL - plant)]],'DATA ILN'!A:N,14,FALSE),VLOOKUP(Tableau1[[#This Row],[Key(Compte ILN - shipper - POL)]],'DATA ILN'!B:N,13,FALSE))</f>
        <v>#N/A</v>
      </c>
      <c r="W190" s="53" t="e">
        <f>IFERROR(VLOOKUP(Tableau1[[#This Row],[Key(Compte ILN - shipper - POL - plant)]],'DATA ILN'!A:P,16,FALSE),VLOOKUP(Tableau1[[#This Row],[Key(Compte ILN - shipper - POL)]],'DATA ILN'!B:P,15,FALSE))</f>
        <v>#N/A</v>
      </c>
      <c r="X190" s="283"/>
      <c r="Y190" s="482">
        <f>IFERROR(VLOOKUP(Tableau1[[#This Row],[Name Shipper]],Plant_AILN!L:M,2,FALSE),0)</f>
        <v>0</v>
      </c>
      <c r="Z190" s="358"/>
      <c r="AA190" s="353" t="e">
        <f ca="1">VLOOKUP(Tableau1[[#This Row],[Key(ID-Actif)]],'DATA BTO'!A:N,5,FALSE)</f>
        <v>#N/A</v>
      </c>
      <c r="AB190" s="3" t="e">
        <f ca="1">VLOOKUP(Tableau1[[#This Row],[Key(ID-Actif)]],'DATA BTO'!A:N,6,FALSE)</f>
        <v>#N/A</v>
      </c>
      <c r="AC190" s="50" t="e">
        <f ca="1">VLOOKUP(Tableau1[[#This Row],[Key(ID-Actif)]],'DATA BTO'!A:N,7,FALSE)</f>
        <v>#N/A</v>
      </c>
      <c r="AD190" s="50" t="e">
        <f ca="1">VLOOKUP(Tableau1[[#This Row],[Key(ID-Actif)]],'DATA BTO'!A:N,8,FALSE)</f>
        <v>#N/A</v>
      </c>
      <c r="AE190" s="50" t="e">
        <f ca="1">IF(Tableau1[[#This Row],[First Day to POL]]&lt;=Tableau1[[#This Row],[Day Cut Off]],Tableau1[[#This Row],[Day ETD]],Tableau1[[#This Row],[Day ETD]]+7)</f>
        <v>#N/A</v>
      </c>
      <c r="AF190" s="50" t="e">
        <f ca="1">VLOOKUP(Tableau1[[#This Row],[Key(ID-Actif)]],'DATA BTO'!A:N,9,FALSE)</f>
        <v>#N/A</v>
      </c>
      <c r="AG190" s="3" t="e">
        <f ca="1">VLOOKUP(Tableau1[[#This Row],[Key(ID-Actif)]],'DATA BTO'!A:N,10,FALSE)</f>
        <v>#N/A</v>
      </c>
      <c r="AH190" s="3" t="e">
        <f ca="1">VLOOKUP(Tableau1[[#This Row],[Key(ID-Actif)]],'DATA BTO'!A:N,11,FALSE)</f>
        <v>#N/A</v>
      </c>
      <c r="AI190" s="50" t="e">
        <f ca="1">VLOOKUP(Tableau1[[#This Row],[Key(ID-Actif)]],'DATA BTO'!A:N,12,FALSE)</f>
        <v>#N/A</v>
      </c>
      <c r="AJ190" s="53" t="e">
        <f ca="1">VLOOKUP(Tableau1[[#This Row],[Key(ID-Actif)]],'DATA BTO'!A:N,14,FALSE)</f>
        <v>#N/A</v>
      </c>
      <c r="AK190" s="54" t="e">
        <f ca="1">VLOOKUP(Tableau1[[#This Row],[Key(POD -PFI- Usine)]],'DATA Consignee'!A:F,6,FALSE)</f>
        <v>#N/A</v>
      </c>
      <c r="AL190" s="125"/>
      <c r="AM190" s="483" t="str">
        <f>IF(Tableau1[[#This Row],[Name PFI/CDD]]="","-",VLOOKUP(Tableau1[[#This Row],[Name PFI/CDD]],Plant_AILN!I:J,2,FALSE))</f>
        <v>-</v>
      </c>
      <c r="AN19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0" s="2" t="e">
        <f ca="1">VLOOKUP(Tableau1[[#This Row],[Key(POD -PFI- Usine)]],'DATA Consignee'!A:J,10,FALSE)</f>
        <v>#N/A</v>
      </c>
      <c r="AQ190" s="50" t="e">
        <f ca="1">VLOOKUP(Tableau1[[#This Row],[Key(POD -PFI- Usine)]],'DATA Consignee'!A:N,14,FALSE)</f>
        <v>#N/A</v>
      </c>
      <c r="AR19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0" s="50" t="e">
        <f ca="1">Tableau1[[#This Row],[Transit time]]+Tableau1[[#This Row],[Time for security]]+Tableau1[[#This Row],[Time for security2 buffer]]</f>
        <v>#N/A</v>
      </c>
      <c r="AU19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0" s="389" t="e">
        <f ca="1">Tableau1[[#This Row],[Leadtime SI2C]]+Tableau1[[#This Row],[First Receipt Days]]-Tableau1[[#This Row],[Day Customer Order]]+1</f>
        <v>#N/A</v>
      </c>
      <c r="AW190" s="117" t="e">
        <f ca="1">IF(Tableau1[[#This Row],[Name ILN]]&lt;&gt;"SFK Freight Forwarder",Tableau1[[#This Row],[Cust. Leadtime]],Tableau1[[#This Row],[Leadtime SI2C]])</f>
        <v>#N/A</v>
      </c>
      <c r="AX190" s="51" t="e">
        <f>VLOOKUP(Tableau1[[#This Row],[ID]],'DATA BTO'!B:P,15,FALSE)</f>
        <v>#N/A</v>
      </c>
      <c r="AY190" s="328" t="e">
        <f ca="1">IFERROR(VLOOKUP(Tableau1[[#This Row],[Key(ID-Actif)]],'DATA BTO'!A:N,4,FALSE),VLOOKUP(Tableau1[[#This Row],[ID]],'DATA BTO'!B:N,3,FALSE))</f>
        <v>#N/A</v>
      </c>
      <c r="AZ19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0" s="50"/>
    </row>
    <row r="191" spans="2:57">
      <c r="B191" s="65" t="str">
        <f>_xlfn.CONCAT(Tableau1[[#This Row],[Name ILN]],"-",Tableau1[[#This Row],[Name Shipper]],"-",Tableau1[[#This Row],[Name Site]])</f>
        <v>--</v>
      </c>
      <c r="C191" s="65" t="e">
        <f>_xlfn.CONCAT(Tableau1[[#This Row],[Compte ILN]],"-",Tableau1[[#This Row],[Compte Shipper]],"-",Tableau1[[#This Row],[POL]],"-",Tableau1[[#This Row],[Compte Consignee]])</f>
        <v>#N/A</v>
      </c>
      <c r="D191" s="64" t="e">
        <f>_xlfn.CONCAT(Tableau1[[#This Row],[Compte ILN]],"-",Tableau1[[#This Row],[Compte Shipper]],"-",Tableau1[[#This Row],[POL]])</f>
        <v>#N/A</v>
      </c>
      <c r="E191" s="396" t="e">
        <f ca="1">_xlfn.CONCAT(Tableau1[[#This Row],[POL]],"-",Tableau1[[#This Row],[Carrier]],"-",Tableau1[[#This Row],[POD]])</f>
        <v>#N/A</v>
      </c>
      <c r="F191" s="64" t="str">
        <f>_xlfn.CONCAT(Tableau1[[#This Row],[ID]],"-","Actif")</f>
        <v>-Actif</v>
      </c>
      <c r="G191" s="64" t="e">
        <f ca="1">_xlfn.CONCAT(Tableau1[[#This Row],[POD]],"-",Tableau1[[#This Row],[Code PFI]],"-",Tableau1[[#This Row],[Compte Consignee]])</f>
        <v>#N/A</v>
      </c>
      <c r="H191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1" s="397" t="str">
        <f ca="1">IF(COUNTIF(I:I,Tableau1[[#This Row],[Plant-ILN-shipper-POL-Carrier-POD-PFI]])=1,"Non","Oui")</f>
        <v>Oui</v>
      </c>
      <c r="K191" s="399" t="e">
        <f>VLOOKUP(Tableau1[[#This Row],[Name Site]],Plant_AILN!A:D,4,FALSE)</f>
        <v>#N/A</v>
      </c>
      <c r="L191" s="10"/>
      <c r="M191" s="480" t="e">
        <f>VLOOKUP(Tableau1[[#This Row],[Name Site]],Plant_AILN!A:C,3,FALSE)</f>
        <v>#N/A</v>
      </c>
      <c r="N191" s="55" t="e">
        <f>VLOOKUP(Tableau1[[#This Row],[Compte Consignee]],Order!C:D,2,FALSE)</f>
        <v>#N/A</v>
      </c>
      <c r="O191" s="122"/>
      <c r="P191" s="481" t="e">
        <f>VLOOKUP(Tableau1[[#This Row],[Name ILN]],Plant_AILN!F:G,2,FALSE)</f>
        <v>#N/A</v>
      </c>
      <c r="Q191" s="50" t="e">
        <f>VLOOKUP(Tableau1[[#This Row],[Compte ILN]],'DATA ILN'!D:I,6,FALSE)</f>
        <v>#N/A</v>
      </c>
      <c r="R191" s="50" t="e">
        <f>IFERROR(VLOOKUP(Tableau1[[#This Row],[Key(Compte ILN - shipper - POL - plant)]],'DATA ILN'!A:J,10,FALSE),VLOOKUP(Tableau1[[#This Row],[Key(Compte ILN - shipper - POL)]],'DATA ILN'!B:J,9,FALSE))</f>
        <v>#N/A</v>
      </c>
      <c r="S191" s="50" t="e">
        <f>IFERROR(VLOOKUP(Tableau1[[#This Row],[Key(Compte ILN - shipper - POL - plant)]],'DATA ILN'!A:K,11,FALSE),VLOOKUP(Tableau1[[#This Row],[Key(Compte ILN - shipper - POL)]],'DATA ILN'!B:K,10,FALSE))</f>
        <v>#N/A</v>
      </c>
      <c r="T191" s="50" t="e">
        <f>IFERROR(VLOOKUP(Tableau1[[#This Row],[Key(Compte ILN - shipper - POL - plant)]],'DATA ILN'!A:L,12,FALSE),VLOOKUP(Tableau1[[#This Row],[Key(Compte ILN - shipper - POL)]],'DATA ILN'!B:L,11,FALSE))</f>
        <v>#N/A</v>
      </c>
      <c r="U191" s="50" t="e">
        <f>Tableau1[[#This Row],[Day ILN Order]]+Tableau1[[#This Row],[Delivery time to ILN/Shipper]]-1</f>
        <v>#N/A</v>
      </c>
      <c r="V191" s="50" t="e">
        <f>IFERROR(VLOOKUP(Tableau1[[#This Row],[Key(Compte ILN - shipper - POL - plant)]],'DATA ILN'!A:N,14,FALSE),VLOOKUP(Tableau1[[#This Row],[Key(Compte ILN - shipper - POL)]],'DATA ILN'!B:N,13,FALSE))</f>
        <v>#N/A</v>
      </c>
      <c r="W191" s="53" t="e">
        <f>IFERROR(VLOOKUP(Tableau1[[#This Row],[Key(Compte ILN - shipper - POL - plant)]],'DATA ILN'!A:P,16,FALSE),VLOOKUP(Tableau1[[#This Row],[Key(Compte ILN - shipper - POL)]],'DATA ILN'!B:P,15,FALSE))</f>
        <v>#N/A</v>
      </c>
      <c r="X191" s="283"/>
      <c r="Y191" s="482">
        <f>IFERROR(VLOOKUP(Tableau1[[#This Row],[Name Shipper]],Plant_AILN!L:M,2,FALSE),0)</f>
        <v>0</v>
      </c>
      <c r="Z191" s="358"/>
      <c r="AA191" s="353" t="e">
        <f ca="1">VLOOKUP(Tableau1[[#This Row],[Key(ID-Actif)]],'DATA BTO'!A:N,5,FALSE)</f>
        <v>#N/A</v>
      </c>
      <c r="AB191" s="3" t="e">
        <f ca="1">VLOOKUP(Tableau1[[#This Row],[Key(ID-Actif)]],'DATA BTO'!A:N,6,FALSE)</f>
        <v>#N/A</v>
      </c>
      <c r="AC191" s="50" t="e">
        <f ca="1">VLOOKUP(Tableau1[[#This Row],[Key(ID-Actif)]],'DATA BTO'!A:N,7,FALSE)</f>
        <v>#N/A</v>
      </c>
      <c r="AD191" s="50" t="e">
        <f ca="1">VLOOKUP(Tableau1[[#This Row],[Key(ID-Actif)]],'DATA BTO'!A:N,8,FALSE)</f>
        <v>#N/A</v>
      </c>
      <c r="AE191" s="50" t="e">
        <f ca="1">IF(Tableau1[[#This Row],[First Day to POL]]&lt;=Tableau1[[#This Row],[Day Cut Off]],Tableau1[[#This Row],[Day ETD]],Tableau1[[#This Row],[Day ETD]]+7)</f>
        <v>#N/A</v>
      </c>
      <c r="AF191" s="50" t="e">
        <f ca="1">VLOOKUP(Tableau1[[#This Row],[Key(ID-Actif)]],'DATA BTO'!A:N,9,FALSE)</f>
        <v>#N/A</v>
      </c>
      <c r="AG191" s="3" t="e">
        <f ca="1">VLOOKUP(Tableau1[[#This Row],[Key(ID-Actif)]],'DATA BTO'!A:N,10,FALSE)</f>
        <v>#N/A</v>
      </c>
      <c r="AH191" s="3" t="e">
        <f ca="1">VLOOKUP(Tableau1[[#This Row],[Key(ID-Actif)]],'DATA BTO'!A:N,11,FALSE)</f>
        <v>#N/A</v>
      </c>
      <c r="AI191" s="50" t="e">
        <f ca="1">VLOOKUP(Tableau1[[#This Row],[Key(ID-Actif)]],'DATA BTO'!A:N,12,FALSE)</f>
        <v>#N/A</v>
      </c>
      <c r="AJ191" s="53" t="e">
        <f ca="1">VLOOKUP(Tableau1[[#This Row],[Key(ID-Actif)]],'DATA BTO'!A:N,14,FALSE)</f>
        <v>#N/A</v>
      </c>
      <c r="AK191" s="54" t="e">
        <f ca="1">VLOOKUP(Tableau1[[#This Row],[Key(POD -PFI- Usine)]],'DATA Consignee'!A:F,6,FALSE)</f>
        <v>#N/A</v>
      </c>
      <c r="AL191" s="125"/>
      <c r="AM191" s="483" t="str">
        <f>IF(Tableau1[[#This Row],[Name PFI/CDD]]="","-",VLOOKUP(Tableau1[[#This Row],[Name PFI/CDD]],Plant_AILN!I:J,2,FALSE))</f>
        <v>-</v>
      </c>
      <c r="AN19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1" s="2" t="e">
        <f ca="1">VLOOKUP(Tableau1[[#This Row],[Key(POD -PFI- Usine)]],'DATA Consignee'!A:J,10,FALSE)</f>
        <v>#N/A</v>
      </c>
      <c r="AQ191" s="50" t="e">
        <f ca="1">VLOOKUP(Tableau1[[#This Row],[Key(POD -PFI- Usine)]],'DATA Consignee'!A:N,14,FALSE)</f>
        <v>#N/A</v>
      </c>
      <c r="AR19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1" s="50" t="e">
        <f ca="1">Tableau1[[#This Row],[Transit time]]+Tableau1[[#This Row],[Time for security]]+Tableau1[[#This Row],[Time for security2 buffer]]</f>
        <v>#N/A</v>
      </c>
      <c r="AU19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1" s="389" t="e">
        <f ca="1">Tableau1[[#This Row],[Leadtime SI2C]]+Tableau1[[#This Row],[First Receipt Days]]-Tableau1[[#This Row],[Day Customer Order]]+1</f>
        <v>#N/A</v>
      </c>
      <c r="AW191" s="117" t="e">
        <f ca="1">IF(Tableau1[[#This Row],[Name ILN]]&lt;&gt;"SFK Freight Forwarder",Tableau1[[#This Row],[Cust. Leadtime]],Tableau1[[#This Row],[Leadtime SI2C]])</f>
        <v>#N/A</v>
      </c>
      <c r="AX191" s="51" t="e">
        <f>VLOOKUP(Tableau1[[#This Row],[ID]],'DATA BTO'!B:P,15,FALSE)</f>
        <v>#N/A</v>
      </c>
      <c r="AY191" s="328" t="e">
        <f ca="1">IFERROR(VLOOKUP(Tableau1[[#This Row],[Key(ID-Actif)]],'DATA BTO'!A:N,4,FALSE),VLOOKUP(Tableau1[[#This Row],[ID]],'DATA BTO'!B:N,3,FALSE))</f>
        <v>#N/A</v>
      </c>
      <c r="AZ19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1" s="50"/>
    </row>
    <row r="192" spans="2:57">
      <c r="B192" s="65" t="str">
        <f>_xlfn.CONCAT(Tableau1[[#This Row],[Name ILN]],"-",Tableau1[[#This Row],[Name Shipper]],"-",Tableau1[[#This Row],[Name Site]])</f>
        <v>--</v>
      </c>
      <c r="C192" s="65" t="e">
        <f>_xlfn.CONCAT(Tableau1[[#This Row],[Compte ILN]],"-",Tableau1[[#This Row],[Compte Shipper]],"-",Tableau1[[#This Row],[POL]],"-",Tableau1[[#This Row],[Compte Consignee]])</f>
        <v>#N/A</v>
      </c>
      <c r="D192" s="64" t="e">
        <f>_xlfn.CONCAT(Tableau1[[#This Row],[Compte ILN]],"-",Tableau1[[#This Row],[Compte Shipper]],"-",Tableau1[[#This Row],[POL]])</f>
        <v>#N/A</v>
      </c>
      <c r="E192" s="396" t="e">
        <f ca="1">_xlfn.CONCAT(Tableau1[[#This Row],[POL]],"-",Tableau1[[#This Row],[Carrier]],"-",Tableau1[[#This Row],[POD]])</f>
        <v>#N/A</v>
      </c>
      <c r="F192" s="64" t="str">
        <f>_xlfn.CONCAT(Tableau1[[#This Row],[ID]],"-","Actif")</f>
        <v>-Actif</v>
      </c>
      <c r="G192" s="64" t="e">
        <f ca="1">_xlfn.CONCAT(Tableau1[[#This Row],[POD]],"-",Tableau1[[#This Row],[Code PFI]],"-",Tableau1[[#This Row],[Compte Consignee]])</f>
        <v>#N/A</v>
      </c>
      <c r="H192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2" s="397" t="str">
        <f ca="1">IF(COUNTIF(I:I,Tableau1[[#This Row],[Plant-ILN-shipper-POL-Carrier-POD-PFI]])=1,"Non","Oui")</f>
        <v>Oui</v>
      </c>
      <c r="K192" s="399" t="e">
        <f>VLOOKUP(Tableau1[[#This Row],[Name Site]],Plant_AILN!A:D,4,FALSE)</f>
        <v>#N/A</v>
      </c>
      <c r="L192" s="10"/>
      <c r="M192" s="480" t="e">
        <f>VLOOKUP(Tableau1[[#This Row],[Name Site]],Plant_AILN!A:C,3,FALSE)</f>
        <v>#N/A</v>
      </c>
      <c r="N192" s="55" t="e">
        <f>VLOOKUP(Tableau1[[#This Row],[Compte Consignee]],Order!C:D,2,FALSE)</f>
        <v>#N/A</v>
      </c>
      <c r="O192" s="122"/>
      <c r="P192" s="481" t="e">
        <f>VLOOKUP(Tableau1[[#This Row],[Name ILN]],Plant_AILN!F:G,2,FALSE)</f>
        <v>#N/A</v>
      </c>
      <c r="Q192" s="50" t="e">
        <f>VLOOKUP(Tableau1[[#This Row],[Compte ILN]],'DATA ILN'!D:I,6,FALSE)</f>
        <v>#N/A</v>
      </c>
      <c r="R192" s="50" t="e">
        <f>IFERROR(VLOOKUP(Tableau1[[#This Row],[Key(Compte ILN - shipper - POL - plant)]],'DATA ILN'!A:J,10,FALSE),VLOOKUP(Tableau1[[#This Row],[Key(Compte ILN - shipper - POL)]],'DATA ILN'!B:J,9,FALSE))</f>
        <v>#N/A</v>
      </c>
      <c r="S192" s="50" t="e">
        <f>IFERROR(VLOOKUP(Tableau1[[#This Row],[Key(Compte ILN - shipper - POL - plant)]],'DATA ILN'!A:K,11,FALSE),VLOOKUP(Tableau1[[#This Row],[Key(Compte ILN - shipper - POL)]],'DATA ILN'!B:K,10,FALSE))</f>
        <v>#N/A</v>
      </c>
      <c r="T192" s="50" t="e">
        <f>IFERROR(VLOOKUP(Tableau1[[#This Row],[Key(Compte ILN - shipper - POL - plant)]],'DATA ILN'!A:L,12,FALSE),VLOOKUP(Tableau1[[#This Row],[Key(Compte ILN - shipper - POL)]],'DATA ILN'!B:L,11,FALSE))</f>
        <v>#N/A</v>
      </c>
      <c r="U192" s="50" t="e">
        <f>Tableau1[[#This Row],[Day ILN Order]]+Tableau1[[#This Row],[Delivery time to ILN/Shipper]]-1</f>
        <v>#N/A</v>
      </c>
      <c r="V192" s="50" t="e">
        <f>IFERROR(VLOOKUP(Tableau1[[#This Row],[Key(Compte ILN - shipper - POL - plant)]],'DATA ILN'!A:N,14,FALSE),VLOOKUP(Tableau1[[#This Row],[Key(Compte ILN - shipper - POL)]],'DATA ILN'!B:N,13,FALSE))</f>
        <v>#N/A</v>
      </c>
      <c r="W192" s="53" t="e">
        <f>IFERROR(VLOOKUP(Tableau1[[#This Row],[Key(Compte ILN - shipper - POL - plant)]],'DATA ILN'!A:P,16,FALSE),VLOOKUP(Tableau1[[#This Row],[Key(Compte ILN - shipper - POL)]],'DATA ILN'!B:P,15,FALSE))</f>
        <v>#N/A</v>
      </c>
      <c r="X192" s="283"/>
      <c r="Y192" s="482">
        <f>IFERROR(VLOOKUP(Tableau1[[#This Row],[Name Shipper]],Plant_AILN!L:M,2,FALSE),0)</f>
        <v>0</v>
      </c>
      <c r="Z192" s="358"/>
      <c r="AA192" s="353" t="e">
        <f ca="1">VLOOKUP(Tableau1[[#This Row],[Key(ID-Actif)]],'DATA BTO'!A:N,5,FALSE)</f>
        <v>#N/A</v>
      </c>
      <c r="AB192" s="3" t="e">
        <f ca="1">VLOOKUP(Tableau1[[#This Row],[Key(ID-Actif)]],'DATA BTO'!A:N,6,FALSE)</f>
        <v>#N/A</v>
      </c>
      <c r="AC192" s="50" t="e">
        <f ca="1">VLOOKUP(Tableau1[[#This Row],[Key(ID-Actif)]],'DATA BTO'!A:N,7,FALSE)</f>
        <v>#N/A</v>
      </c>
      <c r="AD192" s="50" t="e">
        <f ca="1">VLOOKUP(Tableau1[[#This Row],[Key(ID-Actif)]],'DATA BTO'!A:N,8,FALSE)</f>
        <v>#N/A</v>
      </c>
      <c r="AE192" s="50" t="e">
        <f ca="1">IF(Tableau1[[#This Row],[First Day to POL]]&lt;=Tableau1[[#This Row],[Day Cut Off]],Tableau1[[#This Row],[Day ETD]],Tableau1[[#This Row],[Day ETD]]+7)</f>
        <v>#N/A</v>
      </c>
      <c r="AF192" s="50" t="e">
        <f ca="1">VLOOKUP(Tableau1[[#This Row],[Key(ID-Actif)]],'DATA BTO'!A:N,9,FALSE)</f>
        <v>#N/A</v>
      </c>
      <c r="AG192" s="3" t="e">
        <f ca="1">VLOOKUP(Tableau1[[#This Row],[Key(ID-Actif)]],'DATA BTO'!A:N,10,FALSE)</f>
        <v>#N/A</v>
      </c>
      <c r="AH192" s="3" t="e">
        <f ca="1">VLOOKUP(Tableau1[[#This Row],[Key(ID-Actif)]],'DATA BTO'!A:N,11,FALSE)</f>
        <v>#N/A</v>
      </c>
      <c r="AI192" s="50" t="e">
        <f ca="1">VLOOKUP(Tableau1[[#This Row],[Key(ID-Actif)]],'DATA BTO'!A:N,12,FALSE)</f>
        <v>#N/A</v>
      </c>
      <c r="AJ192" s="53" t="e">
        <f ca="1">VLOOKUP(Tableau1[[#This Row],[Key(ID-Actif)]],'DATA BTO'!A:N,14,FALSE)</f>
        <v>#N/A</v>
      </c>
      <c r="AK192" s="54" t="e">
        <f ca="1">VLOOKUP(Tableau1[[#This Row],[Key(POD -PFI- Usine)]],'DATA Consignee'!A:F,6,FALSE)</f>
        <v>#N/A</v>
      </c>
      <c r="AL192" s="125"/>
      <c r="AM192" s="483" t="str">
        <f>IF(Tableau1[[#This Row],[Name PFI/CDD]]="","-",VLOOKUP(Tableau1[[#This Row],[Name PFI/CDD]],Plant_AILN!I:J,2,FALSE))</f>
        <v>-</v>
      </c>
      <c r="AN19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2" s="2" t="e">
        <f ca="1">VLOOKUP(Tableau1[[#This Row],[Key(POD -PFI- Usine)]],'DATA Consignee'!A:J,10,FALSE)</f>
        <v>#N/A</v>
      </c>
      <c r="AQ192" s="50" t="e">
        <f ca="1">VLOOKUP(Tableau1[[#This Row],[Key(POD -PFI- Usine)]],'DATA Consignee'!A:N,14,FALSE)</f>
        <v>#N/A</v>
      </c>
      <c r="AR19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2" s="50" t="e">
        <f ca="1">Tableau1[[#This Row],[Transit time]]+Tableau1[[#This Row],[Time for security]]+Tableau1[[#This Row],[Time for security2 buffer]]</f>
        <v>#N/A</v>
      </c>
      <c r="AU19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2" s="389" t="e">
        <f ca="1">Tableau1[[#This Row],[Leadtime SI2C]]+Tableau1[[#This Row],[First Receipt Days]]-Tableau1[[#This Row],[Day Customer Order]]+1</f>
        <v>#N/A</v>
      </c>
      <c r="AW192" s="117" t="e">
        <f ca="1">IF(Tableau1[[#This Row],[Name ILN]]&lt;&gt;"SFK Freight Forwarder",Tableau1[[#This Row],[Cust. Leadtime]],Tableau1[[#This Row],[Leadtime SI2C]])</f>
        <v>#N/A</v>
      </c>
      <c r="AX192" s="51" t="e">
        <f>VLOOKUP(Tableau1[[#This Row],[ID]],'DATA BTO'!B:P,15,FALSE)</f>
        <v>#N/A</v>
      </c>
      <c r="AY192" s="328" t="e">
        <f ca="1">IFERROR(VLOOKUP(Tableau1[[#This Row],[Key(ID-Actif)]],'DATA BTO'!A:N,4,FALSE),VLOOKUP(Tableau1[[#This Row],[ID]],'DATA BTO'!B:N,3,FALSE))</f>
        <v>#N/A</v>
      </c>
      <c r="AZ19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2" s="50"/>
    </row>
    <row r="193" spans="2:57">
      <c r="B193" s="65" t="str">
        <f>_xlfn.CONCAT(Tableau1[[#This Row],[Name ILN]],"-",Tableau1[[#This Row],[Name Shipper]],"-",Tableau1[[#This Row],[Name Site]])</f>
        <v>--</v>
      </c>
      <c r="C193" s="65" t="e">
        <f>_xlfn.CONCAT(Tableau1[[#This Row],[Compte ILN]],"-",Tableau1[[#This Row],[Compte Shipper]],"-",Tableau1[[#This Row],[POL]],"-",Tableau1[[#This Row],[Compte Consignee]])</f>
        <v>#N/A</v>
      </c>
      <c r="D193" s="64" t="e">
        <f>_xlfn.CONCAT(Tableau1[[#This Row],[Compte ILN]],"-",Tableau1[[#This Row],[Compte Shipper]],"-",Tableau1[[#This Row],[POL]])</f>
        <v>#N/A</v>
      </c>
      <c r="E193" s="396" t="e">
        <f ca="1">_xlfn.CONCAT(Tableau1[[#This Row],[POL]],"-",Tableau1[[#This Row],[Carrier]],"-",Tableau1[[#This Row],[POD]])</f>
        <v>#N/A</v>
      </c>
      <c r="F193" s="64" t="str">
        <f>_xlfn.CONCAT(Tableau1[[#This Row],[ID]],"-","Actif")</f>
        <v>-Actif</v>
      </c>
      <c r="G193" s="64" t="e">
        <f ca="1">_xlfn.CONCAT(Tableau1[[#This Row],[POD]],"-",Tableau1[[#This Row],[Code PFI]],"-",Tableau1[[#This Row],[Compte Consignee]])</f>
        <v>#N/A</v>
      </c>
      <c r="H193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3" s="397" t="str">
        <f ca="1">IF(COUNTIF(I:I,Tableau1[[#This Row],[Plant-ILN-shipper-POL-Carrier-POD-PFI]])=1,"Non","Oui")</f>
        <v>Oui</v>
      </c>
      <c r="K193" s="399" t="e">
        <f>VLOOKUP(Tableau1[[#This Row],[Name Site]],Plant_AILN!A:D,4,FALSE)</f>
        <v>#N/A</v>
      </c>
      <c r="L193" s="10"/>
      <c r="M193" s="480" t="e">
        <f>VLOOKUP(Tableau1[[#This Row],[Name Site]],Plant_AILN!A:C,3,FALSE)</f>
        <v>#N/A</v>
      </c>
      <c r="N193" s="55" t="e">
        <f>VLOOKUP(Tableau1[[#This Row],[Compte Consignee]],Order!C:D,2,FALSE)</f>
        <v>#N/A</v>
      </c>
      <c r="O193" s="122"/>
      <c r="P193" s="481" t="e">
        <f>VLOOKUP(Tableau1[[#This Row],[Name ILN]],Plant_AILN!F:G,2,FALSE)</f>
        <v>#N/A</v>
      </c>
      <c r="Q193" s="50" t="e">
        <f>VLOOKUP(Tableau1[[#This Row],[Compte ILN]],'DATA ILN'!D:I,6,FALSE)</f>
        <v>#N/A</v>
      </c>
      <c r="R193" s="50" t="e">
        <f>IFERROR(VLOOKUP(Tableau1[[#This Row],[Key(Compte ILN - shipper - POL - plant)]],'DATA ILN'!A:J,10,FALSE),VLOOKUP(Tableau1[[#This Row],[Key(Compte ILN - shipper - POL)]],'DATA ILN'!B:J,9,FALSE))</f>
        <v>#N/A</v>
      </c>
      <c r="S193" s="50" t="e">
        <f>IFERROR(VLOOKUP(Tableau1[[#This Row],[Key(Compte ILN - shipper - POL - plant)]],'DATA ILN'!A:K,11,FALSE),VLOOKUP(Tableau1[[#This Row],[Key(Compte ILN - shipper - POL)]],'DATA ILN'!B:K,10,FALSE))</f>
        <v>#N/A</v>
      </c>
      <c r="T193" s="50" t="e">
        <f>IFERROR(VLOOKUP(Tableau1[[#This Row],[Key(Compte ILN - shipper - POL - plant)]],'DATA ILN'!A:L,12,FALSE),VLOOKUP(Tableau1[[#This Row],[Key(Compte ILN - shipper - POL)]],'DATA ILN'!B:L,11,FALSE))</f>
        <v>#N/A</v>
      </c>
      <c r="U193" s="50" t="e">
        <f>Tableau1[[#This Row],[Day ILN Order]]+Tableau1[[#This Row],[Delivery time to ILN/Shipper]]-1</f>
        <v>#N/A</v>
      </c>
      <c r="V193" s="50" t="e">
        <f>IFERROR(VLOOKUP(Tableau1[[#This Row],[Key(Compte ILN - shipper - POL - plant)]],'DATA ILN'!A:N,14,FALSE),VLOOKUP(Tableau1[[#This Row],[Key(Compte ILN - shipper - POL)]],'DATA ILN'!B:N,13,FALSE))</f>
        <v>#N/A</v>
      </c>
      <c r="W193" s="53" t="e">
        <f>IFERROR(VLOOKUP(Tableau1[[#This Row],[Key(Compte ILN - shipper - POL - plant)]],'DATA ILN'!A:P,16,FALSE),VLOOKUP(Tableau1[[#This Row],[Key(Compte ILN - shipper - POL)]],'DATA ILN'!B:P,15,FALSE))</f>
        <v>#N/A</v>
      </c>
      <c r="X193" s="283"/>
      <c r="Y193" s="482">
        <f>IFERROR(VLOOKUP(Tableau1[[#This Row],[Name Shipper]],Plant_AILN!L:M,2,FALSE),0)</f>
        <v>0</v>
      </c>
      <c r="Z193" s="358"/>
      <c r="AA193" s="353" t="e">
        <f ca="1">VLOOKUP(Tableau1[[#This Row],[Key(ID-Actif)]],'DATA BTO'!A:N,5,FALSE)</f>
        <v>#N/A</v>
      </c>
      <c r="AB193" s="3" t="e">
        <f ca="1">VLOOKUP(Tableau1[[#This Row],[Key(ID-Actif)]],'DATA BTO'!A:N,6,FALSE)</f>
        <v>#N/A</v>
      </c>
      <c r="AC193" s="50" t="e">
        <f ca="1">VLOOKUP(Tableau1[[#This Row],[Key(ID-Actif)]],'DATA BTO'!A:N,7,FALSE)</f>
        <v>#N/A</v>
      </c>
      <c r="AD193" s="50" t="e">
        <f ca="1">VLOOKUP(Tableau1[[#This Row],[Key(ID-Actif)]],'DATA BTO'!A:N,8,FALSE)</f>
        <v>#N/A</v>
      </c>
      <c r="AE193" s="50" t="e">
        <f ca="1">IF(Tableau1[[#This Row],[First Day to POL]]&lt;=Tableau1[[#This Row],[Day Cut Off]],Tableau1[[#This Row],[Day ETD]],Tableau1[[#This Row],[Day ETD]]+7)</f>
        <v>#N/A</v>
      </c>
      <c r="AF193" s="50" t="e">
        <f ca="1">VLOOKUP(Tableau1[[#This Row],[Key(ID-Actif)]],'DATA BTO'!A:N,9,FALSE)</f>
        <v>#N/A</v>
      </c>
      <c r="AG193" s="3" t="e">
        <f ca="1">VLOOKUP(Tableau1[[#This Row],[Key(ID-Actif)]],'DATA BTO'!A:N,10,FALSE)</f>
        <v>#N/A</v>
      </c>
      <c r="AH193" s="3" t="e">
        <f ca="1">VLOOKUP(Tableau1[[#This Row],[Key(ID-Actif)]],'DATA BTO'!A:N,11,FALSE)</f>
        <v>#N/A</v>
      </c>
      <c r="AI193" s="50" t="e">
        <f ca="1">VLOOKUP(Tableau1[[#This Row],[Key(ID-Actif)]],'DATA BTO'!A:N,12,FALSE)</f>
        <v>#N/A</v>
      </c>
      <c r="AJ193" s="53" t="e">
        <f ca="1">VLOOKUP(Tableau1[[#This Row],[Key(ID-Actif)]],'DATA BTO'!A:N,14,FALSE)</f>
        <v>#N/A</v>
      </c>
      <c r="AK193" s="54" t="e">
        <f ca="1">VLOOKUP(Tableau1[[#This Row],[Key(POD -PFI- Usine)]],'DATA Consignee'!A:F,6,FALSE)</f>
        <v>#N/A</v>
      </c>
      <c r="AL193" s="125"/>
      <c r="AM193" s="483" t="str">
        <f>IF(Tableau1[[#This Row],[Name PFI/CDD]]="","-",VLOOKUP(Tableau1[[#This Row],[Name PFI/CDD]],Plant_AILN!I:J,2,FALSE))</f>
        <v>-</v>
      </c>
      <c r="AN19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3" s="2" t="e">
        <f ca="1">VLOOKUP(Tableau1[[#This Row],[Key(POD -PFI- Usine)]],'DATA Consignee'!A:J,10,FALSE)</f>
        <v>#N/A</v>
      </c>
      <c r="AQ193" s="50" t="e">
        <f ca="1">VLOOKUP(Tableau1[[#This Row],[Key(POD -PFI- Usine)]],'DATA Consignee'!A:N,14,FALSE)</f>
        <v>#N/A</v>
      </c>
      <c r="AR19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3" s="50" t="e">
        <f ca="1">Tableau1[[#This Row],[Transit time]]+Tableau1[[#This Row],[Time for security]]+Tableau1[[#This Row],[Time for security2 buffer]]</f>
        <v>#N/A</v>
      </c>
      <c r="AU19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3" s="389" t="e">
        <f ca="1">Tableau1[[#This Row],[Leadtime SI2C]]+Tableau1[[#This Row],[First Receipt Days]]-Tableau1[[#This Row],[Day Customer Order]]+1</f>
        <v>#N/A</v>
      </c>
      <c r="AW193" s="117" t="e">
        <f ca="1">IF(Tableau1[[#This Row],[Name ILN]]&lt;&gt;"SFK Freight Forwarder",Tableau1[[#This Row],[Cust. Leadtime]],Tableau1[[#This Row],[Leadtime SI2C]])</f>
        <v>#N/A</v>
      </c>
      <c r="AX193" s="51" t="e">
        <f>VLOOKUP(Tableau1[[#This Row],[ID]],'DATA BTO'!B:P,15,FALSE)</f>
        <v>#N/A</v>
      </c>
      <c r="AY193" s="328" t="e">
        <f ca="1">IFERROR(VLOOKUP(Tableau1[[#This Row],[Key(ID-Actif)]],'DATA BTO'!A:N,4,FALSE),VLOOKUP(Tableau1[[#This Row],[ID]],'DATA BTO'!B:N,3,FALSE))</f>
        <v>#N/A</v>
      </c>
      <c r="AZ19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3" s="50"/>
    </row>
    <row r="194" spans="2:57">
      <c r="B194" s="65" t="str">
        <f>_xlfn.CONCAT(Tableau1[[#This Row],[Name ILN]],"-",Tableau1[[#This Row],[Name Shipper]],"-",Tableau1[[#This Row],[Name Site]])</f>
        <v>--</v>
      </c>
      <c r="C194" s="65" t="e">
        <f>_xlfn.CONCAT(Tableau1[[#This Row],[Compte ILN]],"-",Tableau1[[#This Row],[Compte Shipper]],"-",Tableau1[[#This Row],[POL]],"-",Tableau1[[#This Row],[Compte Consignee]])</f>
        <v>#N/A</v>
      </c>
      <c r="D194" s="64" t="e">
        <f>_xlfn.CONCAT(Tableau1[[#This Row],[Compte ILN]],"-",Tableau1[[#This Row],[Compte Shipper]],"-",Tableau1[[#This Row],[POL]])</f>
        <v>#N/A</v>
      </c>
      <c r="E194" s="396" t="e">
        <f ca="1">_xlfn.CONCAT(Tableau1[[#This Row],[POL]],"-",Tableau1[[#This Row],[Carrier]],"-",Tableau1[[#This Row],[POD]])</f>
        <v>#N/A</v>
      </c>
      <c r="F194" s="64" t="str">
        <f>_xlfn.CONCAT(Tableau1[[#This Row],[ID]],"-","Actif")</f>
        <v>-Actif</v>
      </c>
      <c r="G194" s="64" t="e">
        <f ca="1">_xlfn.CONCAT(Tableau1[[#This Row],[POD]],"-",Tableau1[[#This Row],[Code PFI]],"-",Tableau1[[#This Row],[Compte Consignee]])</f>
        <v>#N/A</v>
      </c>
      <c r="H194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4" s="397" t="str">
        <f ca="1">IF(COUNTIF(I:I,Tableau1[[#This Row],[Plant-ILN-shipper-POL-Carrier-POD-PFI]])=1,"Non","Oui")</f>
        <v>Oui</v>
      </c>
      <c r="K194" s="399" t="e">
        <f>VLOOKUP(Tableau1[[#This Row],[Name Site]],Plant_AILN!A:D,4,FALSE)</f>
        <v>#N/A</v>
      </c>
      <c r="L194" s="10"/>
      <c r="M194" s="480" t="e">
        <f>VLOOKUP(Tableau1[[#This Row],[Name Site]],Plant_AILN!A:C,3,FALSE)</f>
        <v>#N/A</v>
      </c>
      <c r="N194" s="55" t="e">
        <f>VLOOKUP(Tableau1[[#This Row],[Compte Consignee]],Order!C:D,2,FALSE)</f>
        <v>#N/A</v>
      </c>
      <c r="O194" s="122"/>
      <c r="P194" s="481" t="e">
        <f>VLOOKUP(Tableau1[[#This Row],[Name ILN]],Plant_AILN!F:G,2,FALSE)</f>
        <v>#N/A</v>
      </c>
      <c r="Q194" s="50" t="e">
        <f>VLOOKUP(Tableau1[[#This Row],[Compte ILN]],'DATA ILN'!D:I,6,FALSE)</f>
        <v>#N/A</v>
      </c>
      <c r="R194" s="50" t="e">
        <f>IFERROR(VLOOKUP(Tableau1[[#This Row],[Key(Compte ILN - shipper - POL - plant)]],'DATA ILN'!A:J,10,FALSE),VLOOKUP(Tableau1[[#This Row],[Key(Compte ILN - shipper - POL)]],'DATA ILN'!B:J,9,FALSE))</f>
        <v>#N/A</v>
      </c>
      <c r="S194" s="50" t="e">
        <f>IFERROR(VLOOKUP(Tableau1[[#This Row],[Key(Compte ILN - shipper - POL - plant)]],'DATA ILN'!A:K,11,FALSE),VLOOKUP(Tableau1[[#This Row],[Key(Compte ILN - shipper - POL)]],'DATA ILN'!B:K,10,FALSE))</f>
        <v>#N/A</v>
      </c>
      <c r="T194" s="50" t="e">
        <f>IFERROR(VLOOKUP(Tableau1[[#This Row],[Key(Compte ILN - shipper - POL - plant)]],'DATA ILN'!A:L,12,FALSE),VLOOKUP(Tableau1[[#This Row],[Key(Compte ILN - shipper - POL)]],'DATA ILN'!B:L,11,FALSE))</f>
        <v>#N/A</v>
      </c>
      <c r="U194" s="50" t="e">
        <f>Tableau1[[#This Row],[Day ILN Order]]+Tableau1[[#This Row],[Delivery time to ILN/Shipper]]-1</f>
        <v>#N/A</v>
      </c>
      <c r="V194" s="50" t="e">
        <f>IFERROR(VLOOKUP(Tableau1[[#This Row],[Key(Compte ILN - shipper - POL - plant)]],'DATA ILN'!A:N,14,FALSE),VLOOKUP(Tableau1[[#This Row],[Key(Compte ILN - shipper - POL)]],'DATA ILN'!B:N,13,FALSE))</f>
        <v>#N/A</v>
      </c>
      <c r="W194" s="53" t="e">
        <f>IFERROR(VLOOKUP(Tableau1[[#This Row],[Key(Compte ILN - shipper - POL - plant)]],'DATA ILN'!A:P,16,FALSE),VLOOKUP(Tableau1[[#This Row],[Key(Compte ILN - shipper - POL)]],'DATA ILN'!B:P,15,FALSE))</f>
        <v>#N/A</v>
      </c>
      <c r="X194" s="283"/>
      <c r="Y194" s="482">
        <f>IFERROR(VLOOKUP(Tableau1[[#This Row],[Name Shipper]],Plant_AILN!L:M,2,FALSE),0)</f>
        <v>0</v>
      </c>
      <c r="Z194" s="358"/>
      <c r="AA194" s="353" t="e">
        <f ca="1">VLOOKUP(Tableau1[[#This Row],[Key(ID-Actif)]],'DATA BTO'!A:N,5,FALSE)</f>
        <v>#N/A</v>
      </c>
      <c r="AB194" s="3" t="e">
        <f ca="1">VLOOKUP(Tableau1[[#This Row],[Key(ID-Actif)]],'DATA BTO'!A:N,6,FALSE)</f>
        <v>#N/A</v>
      </c>
      <c r="AC194" s="50" t="e">
        <f ca="1">VLOOKUP(Tableau1[[#This Row],[Key(ID-Actif)]],'DATA BTO'!A:N,7,FALSE)</f>
        <v>#N/A</v>
      </c>
      <c r="AD194" s="50" t="e">
        <f ca="1">VLOOKUP(Tableau1[[#This Row],[Key(ID-Actif)]],'DATA BTO'!A:N,8,FALSE)</f>
        <v>#N/A</v>
      </c>
      <c r="AE194" s="50" t="e">
        <f ca="1">IF(Tableau1[[#This Row],[First Day to POL]]&lt;=Tableau1[[#This Row],[Day Cut Off]],Tableau1[[#This Row],[Day ETD]],Tableau1[[#This Row],[Day ETD]]+7)</f>
        <v>#N/A</v>
      </c>
      <c r="AF194" s="50" t="e">
        <f ca="1">VLOOKUP(Tableau1[[#This Row],[Key(ID-Actif)]],'DATA BTO'!A:N,9,FALSE)</f>
        <v>#N/A</v>
      </c>
      <c r="AG194" s="3" t="e">
        <f ca="1">VLOOKUP(Tableau1[[#This Row],[Key(ID-Actif)]],'DATA BTO'!A:N,10,FALSE)</f>
        <v>#N/A</v>
      </c>
      <c r="AH194" s="3" t="e">
        <f ca="1">VLOOKUP(Tableau1[[#This Row],[Key(ID-Actif)]],'DATA BTO'!A:N,11,FALSE)</f>
        <v>#N/A</v>
      </c>
      <c r="AI194" s="50" t="e">
        <f ca="1">VLOOKUP(Tableau1[[#This Row],[Key(ID-Actif)]],'DATA BTO'!A:N,12,FALSE)</f>
        <v>#N/A</v>
      </c>
      <c r="AJ194" s="53" t="e">
        <f ca="1">VLOOKUP(Tableau1[[#This Row],[Key(ID-Actif)]],'DATA BTO'!A:N,14,FALSE)</f>
        <v>#N/A</v>
      </c>
      <c r="AK194" s="54" t="e">
        <f ca="1">VLOOKUP(Tableau1[[#This Row],[Key(POD -PFI- Usine)]],'DATA Consignee'!A:F,6,FALSE)</f>
        <v>#N/A</v>
      </c>
      <c r="AL194" s="125"/>
      <c r="AM194" s="483" t="str">
        <f>IF(Tableau1[[#This Row],[Name PFI/CDD]]="","-",VLOOKUP(Tableau1[[#This Row],[Name PFI/CDD]],Plant_AILN!I:J,2,FALSE))</f>
        <v>-</v>
      </c>
      <c r="AN19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4" s="2" t="e">
        <f ca="1">VLOOKUP(Tableau1[[#This Row],[Key(POD -PFI- Usine)]],'DATA Consignee'!A:J,10,FALSE)</f>
        <v>#N/A</v>
      </c>
      <c r="AQ194" s="50" t="e">
        <f ca="1">VLOOKUP(Tableau1[[#This Row],[Key(POD -PFI- Usine)]],'DATA Consignee'!A:N,14,FALSE)</f>
        <v>#N/A</v>
      </c>
      <c r="AR19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4" s="50" t="e">
        <f ca="1">Tableau1[[#This Row],[Transit time]]+Tableau1[[#This Row],[Time for security]]+Tableau1[[#This Row],[Time for security2 buffer]]</f>
        <v>#N/A</v>
      </c>
      <c r="AU19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4" s="389" t="e">
        <f ca="1">Tableau1[[#This Row],[Leadtime SI2C]]+Tableau1[[#This Row],[First Receipt Days]]-Tableau1[[#This Row],[Day Customer Order]]+1</f>
        <v>#N/A</v>
      </c>
      <c r="AW194" s="117" t="e">
        <f ca="1">IF(Tableau1[[#This Row],[Name ILN]]&lt;&gt;"SFK Freight Forwarder",Tableau1[[#This Row],[Cust. Leadtime]],Tableau1[[#This Row],[Leadtime SI2C]])</f>
        <v>#N/A</v>
      </c>
      <c r="AX194" s="51" t="e">
        <f>VLOOKUP(Tableau1[[#This Row],[ID]],'DATA BTO'!B:P,15,FALSE)</f>
        <v>#N/A</v>
      </c>
      <c r="AY194" s="328" t="e">
        <f ca="1">IFERROR(VLOOKUP(Tableau1[[#This Row],[Key(ID-Actif)]],'DATA BTO'!A:N,4,FALSE),VLOOKUP(Tableau1[[#This Row],[ID]],'DATA BTO'!B:N,3,FALSE))</f>
        <v>#N/A</v>
      </c>
      <c r="AZ19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4" s="50"/>
    </row>
    <row r="195" spans="2:57">
      <c r="B195" s="65" t="str">
        <f>_xlfn.CONCAT(Tableau1[[#This Row],[Name ILN]],"-",Tableau1[[#This Row],[Name Shipper]],"-",Tableau1[[#This Row],[Name Site]])</f>
        <v>--</v>
      </c>
      <c r="C195" s="65" t="e">
        <f>_xlfn.CONCAT(Tableau1[[#This Row],[Compte ILN]],"-",Tableau1[[#This Row],[Compte Shipper]],"-",Tableau1[[#This Row],[POL]],"-",Tableau1[[#This Row],[Compte Consignee]])</f>
        <v>#N/A</v>
      </c>
      <c r="D195" s="64" t="e">
        <f>_xlfn.CONCAT(Tableau1[[#This Row],[Compte ILN]],"-",Tableau1[[#This Row],[Compte Shipper]],"-",Tableau1[[#This Row],[POL]])</f>
        <v>#N/A</v>
      </c>
      <c r="E195" s="396" t="e">
        <f ca="1">_xlfn.CONCAT(Tableau1[[#This Row],[POL]],"-",Tableau1[[#This Row],[Carrier]],"-",Tableau1[[#This Row],[POD]])</f>
        <v>#N/A</v>
      </c>
      <c r="F195" s="64" t="str">
        <f>_xlfn.CONCAT(Tableau1[[#This Row],[ID]],"-","Actif")</f>
        <v>-Actif</v>
      </c>
      <c r="G195" s="64" t="e">
        <f ca="1">_xlfn.CONCAT(Tableau1[[#This Row],[POD]],"-",Tableau1[[#This Row],[Code PFI]],"-",Tableau1[[#This Row],[Compte Consignee]])</f>
        <v>#N/A</v>
      </c>
      <c r="H195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5" s="397" t="str">
        <f ca="1">IF(COUNTIF(I:I,Tableau1[[#This Row],[Plant-ILN-shipper-POL-Carrier-POD-PFI]])=1,"Non","Oui")</f>
        <v>Oui</v>
      </c>
      <c r="K195" s="399" t="e">
        <f>VLOOKUP(Tableau1[[#This Row],[Name Site]],Plant_AILN!A:D,4,FALSE)</f>
        <v>#N/A</v>
      </c>
      <c r="L195" s="10"/>
      <c r="M195" s="480" t="e">
        <f>VLOOKUP(Tableau1[[#This Row],[Name Site]],Plant_AILN!A:C,3,FALSE)</f>
        <v>#N/A</v>
      </c>
      <c r="N195" s="55" t="e">
        <f>VLOOKUP(Tableau1[[#This Row],[Compte Consignee]],Order!C:D,2,FALSE)</f>
        <v>#N/A</v>
      </c>
      <c r="O195" s="122"/>
      <c r="P195" s="481" t="e">
        <f>VLOOKUP(Tableau1[[#This Row],[Name ILN]],Plant_AILN!F:G,2,FALSE)</f>
        <v>#N/A</v>
      </c>
      <c r="Q195" s="50" t="e">
        <f>VLOOKUP(Tableau1[[#This Row],[Compte ILN]],'DATA ILN'!D:I,6,FALSE)</f>
        <v>#N/A</v>
      </c>
      <c r="R195" s="50" t="e">
        <f>IFERROR(VLOOKUP(Tableau1[[#This Row],[Key(Compte ILN - shipper - POL - plant)]],'DATA ILN'!A:J,10,FALSE),VLOOKUP(Tableau1[[#This Row],[Key(Compte ILN - shipper - POL)]],'DATA ILN'!B:J,9,FALSE))</f>
        <v>#N/A</v>
      </c>
      <c r="S195" s="50" t="e">
        <f>IFERROR(VLOOKUP(Tableau1[[#This Row],[Key(Compte ILN - shipper - POL - plant)]],'DATA ILN'!A:K,11,FALSE),VLOOKUP(Tableau1[[#This Row],[Key(Compte ILN - shipper - POL)]],'DATA ILN'!B:K,10,FALSE))</f>
        <v>#N/A</v>
      </c>
      <c r="T195" s="50" t="e">
        <f>IFERROR(VLOOKUP(Tableau1[[#This Row],[Key(Compte ILN - shipper - POL - plant)]],'DATA ILN'!A:L,12,FALSE),VLOOKUP(Tableau1[[#This Row],[Key(Compte ILN - shipper - POL)]],'DATA ILN'!B:L,11,FALSE))</f>
        <v>#N/A</v>
      </c>
      <c r="U195" s="50" t="e">
        <f>Tableau1[[#This Row],[Day ILN Order]]+Tableau1[[#This Row],[Delivery time to ILN/Shipper]]-1</f>
        <v>#N/A</v>
      </c>
      <c r="V195" s="50" t="e">
        <f>IFERROR(VLOOKUP(Tableau1[[#This Row],[Key(Compte ILN - shipper - POL - plant)]],'DATA ILN'!A:N,14,FALSE),VLOOKUP(Tableau1[[#This Row],[Key(Compte ILN - shipper - POL)]],'DATA ILN'!B:N,13,FALSE))</f>
        <v>#N/A</v>
      </c>
      <c r="W195" s="53" t="e">
        <f>IFERROR(VLOOKUP(Tableau1[[#This Row],[Key(Compte ILN - shipper - POL - plant)]],'DATA ILN'!A:P,16,FALSE),VLOOKUP(Tableau1[[#This Row],[Key(Compte ILN - shipper - POL)]],'DATA ILN'!B:P,15,FALSE))</f>
        <v>#N/A</v>
      </c>
      <c r="X195" s="283"/>
      <c r="Y195" s="482">
        <f>IFERROR(VLOOKUP(Tableau1[[#This Row],[Name Shipper]],Plant_AILN!L:M,2,FALSE),0)</f>
        <v>0</v>
      </c>
      <c r="Z195" s="358"/>
      <c r="AA195" s="353" t="e">
        <f ca="1">VLOOKUP(Tableau1[[#This Row],[Key(ID-Actif)]],'DATA BTO'!A:N,5,FALSE)</f>
        <v>#N/A</v>
      </c>
      <c r="AB195" s="3" t="e">
        <f ca="1">VLOOKUP(Tableau1[[#This Row],[Key(ID-Actif)]],'DATA BTO'!A:N,6,FALSE)</f>
        <v>#N/A</v>
      </c>
      <c r="AC195" s="50" t="e">
        <f ca="1">VLOOKUP(Tableau1[[#This Row],[Key(ID-Actif)]],'DATA BTO'!A:N,7,FALSE)</f>
        <v>#N/A</v>
      </c>
      <c r="AD195" s="50" t="e">
        <f ca="1">VLOOKUP(Tableau1[[#This Row],[Key(ID-Actif)]],'DATA BTO'!A:N,8,FALSE)</f>
        <v>#N/A</v>
      </c>
      <c r="AE195" s="50" t="e">
        <f ca="1">IF(Tableau1[[#This Row],[First Day to POL]]&lt;=Tableau1[[#This Row],[Day Cut Off]],Tableau1[[#This Row],[Day ETD]],Tableau1[[#This Row],[Day ETD]]+7)</f>
        <v>#N/A</v>
      </c>
      <c r="AF195" s="50" t="e">
        <f ca="1">VLOOKUP(Tableau1[[#This Row],[Key(ID-Actif)]],'DATA BTO'!A:N,9,FALSE)</f>
        <v>#N/A</v>
      </c>
      <c r="AG195" s="3" t="e">
        <f ca="1">VLOOKUP(Tableau1[[#This Row],[Key(ID-Actif)]],'DATA BTO'!A:N,10,FALSE)</f>
        <v>#N/A</v>
      </c>
      <c r="AH195" s="3" t="e">
        <f ca="1">VLOOKUP(Tableau1[[#This Row],[Key(ID-Actif)]],'DATA BTO'!A:N,11,FALSE)</f>
        <v>#N/A</v>
      </c>
      <c r="AI195" s="50" t="e">
        <f ca="1">VLOOKUP(Tableau1[[#This Row],[Key(ID-Actif)]],'DATA BTO'!A:N,12,FALSE)</f>
        <v>#N/A</v>
      </c>
      <c r="AJ195" s="53" t="e">
        <f ca="1">VLOOKUP(Tableau1[[#This Row],[Key(ID-Actif)]],'DATA BTO'!A:N,14,FALSE)</f>
        <v>#N/A</v>
      </c>
      <c r="AK195" s="54" t="e">
        <f ca="1">VLOOKUP(Tableau1[[#This Row],[Key(POD -PFI- Usine)]],'DATA Consignee'!A:F,6,FALSE)</f>
        <v>#N/A</v>
      </c>
      <c r="AL195" s="125"/>
      <c r="AM195" s="483" t="str">
        <f>IF(Tableau1[[#This Row],[Name PFI/CDD]]="","-",VLOOKUP(Tableau1[[#This Row],[Name PFI/CDD]],Plant_AILN!I:J,2,FALSE))</f>
        <v>-</v>
      </c>
      <c r="AN19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5" s="2" t="e">
        <f ca="1">VLOOKUP(Tableau1[[#This Row],[Key(POD -PFI- Usine)]],'DATA Consignee'!A:J,10,FALSE)</f>
        <v>#N/A</v>
      </c>
      <c r="AQ195" s="50" t="e">
        <f ca="1">VLOOKUP(Tableau1[[#This Row],[Key(POD -PFI- Usine)]],'DATA Consignee'!A:N,14,FALSE)</f>
        <v>#N/A</v>
      </c>
      <c r="AR19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5" s="50" t="e">
        <f ca="1">Tableau1[[#This Row],[Transit time]]+Tableau1[[#This Row],[Time for security]]+Tableau1[[#This Row],[Time for security2 buffer]]</f>
        <v>#N/A</v>
      </c>
      <c r="AU19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5" s="389" t="e">
        <f ca="1">Tableau1[[#This Row],[Leadtime SI2C]]+Tableau1[[#This Row],[First Receipt Days]]-Tableau1[[#This Row],[Day Customer Order]]+1</f>
        <v>#N/A</v>
      </c>
      <c r="AW195" s="117" t="e">
        <f ca="1">IF(Tableau1[[#This Row],[Name ILN]]&lt;&gt;"SFK Freight Forwarder",Tableau1[[#This Row],[Cust. Leadtime]],Tableau1[[#This Row],[Leadtime SI2C]])</f>
        <v>#N/A</v>
      </c>
      <c r="AX195" s="51" t="e">
        <f>VLOOKUP(Tableau1[[#This Row],[ID]],'DATA BTO'!B:P,15,FALSE)</f>
        <v>#N/A</v>
      </c>
      <c r="AY195" s="328" t="e">
        <f ca="1">IFERROR(VLOOKUP(Tableau1[[#This Row],[Key(ID-Actif)]],'DATA BTO'!A:N,4,FALSE),VLOOKUP(Tableau1[[#This Row],[ID]],'DATA BTO'!B:N,3,FALSE))</f>
        <v>#N/A</v>
      </c>
      <c r="AZ19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5" s="50"/>
    </row>
    <row r="196" spans="2:57">
      <c r="B196" s="65" t="str">
        <f>_xlfn.CONCAT(Tableau1[[#This Row],[Name ILN]],"-",Tableau1[[#This Row],[Name Shipper]],"-",Tableau1[[#This Row],[Name Site]])</f>
        <v>--</v>
      </c>
      <c r="C196" s="65" t="e">
        <f>_xlfn.CONCAT(Tableau1[[#This Row],[Compte ILN]],"-",Tableau1[[#This Row],[Compte Shipper]],"-",Tableau1[[#This Row],[POL]],"-",Tableau1[[#This Row],[Compte Consignee]])</f>
        <v>#N/A</v>
      </c>
      <c r="D196" s="64" t="e">
        <f>_xlfn.CONCAT(Tableau1[[#This Row],[Compte ILN]],"-",Tableau1[[#This Row],[Compte Shipper]],"-",Tableau1[[#This Row],[POL]])</f>
        <v>#N/A</v>
      </c>
      <c r="E196" s="396" t="e">
        <f ca="1">_xlfn.CONCAT(Tableau1[[#This Row],[POL]],"-",Tableau1[[#This Row],[Carrier]],"-",Tableau1[[#This Row],[POD]])</f>
        <v>#N/A</v>
      </c>
      <c r="F196" s="64" t="str">
        <f>_xlfn.CONCAT(Tableau1[[#This Row],[ID]],"-","Actif")</f>
        <v>-Actif</v>
      </c>
      <c r="G196" s="64" t="e">
        <f ca="1">_xlfn.CONCAT(Tableau1[[#This Row],[POD]],"-",Tableau1[[#This Row],[Code PFI]],"-",Tableau1[[#This Row],[Compte Consignee]])</f>
        <v>#N/A</v>
      </c>
      <c r="H196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6" s="397" t="str">
        <f ca="1">IF(COUNTIF(I:I,Tableau1[[#This Row],[Plant-ILN-shipper-POL-Carrier-POD-PFI]])=1,"Non","Oui")</f>
        <v>Oui</v>
      </c>
      <c r="K196" s="399" t="e">
        <f>VLOOKUP(Tableau1[[#This Row],[Name Site]],Plant_AILN!A:D,4,FALSE)</f>
        <v>#N/A</v>
      </c>
      <c r="L196" s="10"/>
      <c r="M196" s="480" t="e">
        <f>VLOOKUP(Tableau1[[#This Row],[Name Site]],Plant_AILN!A:C,3,FALSE)</f>
        <v>#N/A</v>
      </c>
      <c r="N196" s="55" t="e">
        <f>VLOOKUP(Tableau1[[#This Row],[Compte Consignee]],Order!C:D,2,FALSE)</f>
        <v>#N/A</v>
      </c>
      <c r="O196" s="122"/>
      <c r="P196" s="481" t="e">
        <f>VLOOKUP(Tableau1[[#This Row],[Name ILN]],Plant_AILN!F:G,2,FALSE)</f>
        <v>#N/A</v>
      </c>
      <c r="Q196" s="50" t="e">
        <f>VLOOKUP(Tableau1[[#This Row],[Compte ILN]],'DATA ILN'!D:I,6,FALSE)</f>
        <v>#N/A</v>
      </c>
      <c r="R196" s="50" t="e">
        <f>IFERROR(VLOOKUP(Tableau1[[#This Row],[Key(Compte ILN - shipper - POL - plant)]],'DATA ILN'!A:J,10,FALSE),VLOOKUP(Tableau1[[#This Row],[Key(Compte ILN - shipper - POL)]],'DATA ILN'!B:J,9,FALSE))</f>
        <v>#N/A</v>
      </c>
      <c r="S196" s="50" t="e">
        <f>IFERROR(VLOOKUP(Tableau1[[#This Row],[Key(Compte ILN - shipper - POL - plant)]],'DATA ILN'!A:K,11,FALSE),VLOOKUP(Tableau1[[#This Row],[Key(Compte ILN - shipper - POL)]],'DATA ILN'!B:K,10,FALSE))</f>
        <v>#N/A</v>
      </c>
      <c r="T196" s="50" t="e">
        <f>IFERROR(VLOOKUP(Tableau1[[#This Row],[Key(Compte ILN - shipper - POL - plant)]],'DATA ILN'!A:L,12,FALSE),VLOOKUP(Tableau1[[#This Row],[Key(Compte ILN - shipper - POL)]],'DATA ILN'!B:L,11,FALSE))</f>
        <v>#N/A</v>
      </c>
      <c r="U196" s="50" t="e">
        <f>Tableau1[[#This Row],[Day ILN Order]]+Tableau1[[#This Row],[Delivery time to ILN/Shipper]]-1</f>
        <v>#N/A</v>
      </c>
      <c r="V196" s="50" t="e">
        <f>IFERROR(VLOOKUP(Tableau1[[#This Row],[Key(Compte ILN - shipper - POL - plant)]],'DATA ILN'!A:N,14,FALSE),VLOOKUP(Tableau1[[#This Row],[Key(Compte ILN - shipper - POL)]],'DATA ILN'!B:N,13,FALSE))</f>
        <v>#N/A</v>
      </c>
      <c r="W196" s="53" t="e">
        <f>IFERROR(VLOOKUP(Tableau1[[#This Row],[Key(Compte ILN - shipper - POL - plant)]],'DATA ILN'!A:P,16,FALSE),VLOOKUP(Tableau1[[#This Row],[Key(Compte ILN - shipper - POL)]],'DATA ILN'!B:P,15,FALSE))</f>
        <v>#N/A</v>
      </c>
      <c r="X196" s="283"/>
      <c r="Y196" s="482">
        <f>IFERROR(VLOOKUP(Tableau1[[#This Row],[Name Shipper]],Plant_AILN!L:M,2,FALSE),0)</f>
        <v>0</v>
      </c>
      <c r="Z196" s="358"/>
      <c r="AA196" s="353" t="e">
        <f ca="1">VLOOKUP(Tableau1[[#This Row],[Key(ID-Actif)]],'DATA BTO'!A:N,5,FALSE)</f>
        <v>#N/A</v>
      </c>
      <c r="AB196" s="3" t="e">
        <f ca="1">VLOOKUP(Tableau1[[#This Row],[Key(ID-Actif)]],'DATA BTO'!A:N,6,FALSE)</f>
        <v>#N/A</v>
      </c>
      <c r="AC196" s="50" t="e">
        <f ca="1">VLOOKUP(Tableau1[[#This Row],[Key(ID-Actif)]],'DATA BTO'!A:N,7,FALSE)</f>
        <v>#N/A</v>
      </c>
      <c r="AD196" s="50" t="e">
        <f ca="1">VLOOKUP(Tableau1[[#This Row],[Key(ID-Actif)]],'DATA BTO'!A:N,8,FALSE)</f>
        <v>#N/A</v>
      </c>
      <c r="AE196" s="50" t="e">
        <f ca="1">IF(Tableau1[[#This Row],[First Day to POL]]&lt;=Tableau1[[#This Row],[Day Cut Off]],Tableau1[[#This Row],[Day ETD]],Tableau1[[#This Row],[Day ETD]]+7)</f>
        <v>#N/A</v>
      </c>
      <c r="AF196" s="50" t="e">
        <f ca="1">VLOOKUP(Tableau1[[#This Row],[Key(ID-Actif)]],'DATA BTO'!A:N,9,FALSE)</f>
        <v>#N/A</v>
      </c>
      <c r="AG196" s="3" t="e">
        <f ca="1">VLOOKUP(Tableau1[[#This Row],[Key(ID-Actif)]],'DATA BTO'!A:N,10,FALSE)</f>
        <v>#N/A</v>
      </c>
      <c r="AH196" s="3" t="e">
        <f ca="1">VLOOKUP(Tableau1[[#This Row],[Key(ID-Actif)]],'DATA BTO'!A:N,11,FALSE)</f>
        <v>#N/A</v>
      </c>
      <c r="AI196" s="50" t="e">
        <f ca="1">VLOOKUP(Tableau1[[#This Row],[Key(ID-Actif)]],'DATA BTO'!A:N,12,FALSE)</f>
        <v>#N/A</v>
      </c>
      <c r="AJ196" s="53" t="e">
        <f ca="1">VLOOKUP(Tableau1[[#This Row],[Key(ID-Actif)]],'DATA BTO'!A:N,14,FALSE)</f>
        <v>#N/A</v>
      </c>
      <c r="AK196" s="54" t="e">
        <f ca="1">VLOOKUP(Tableau1[[#This Row],[Key(POD -PFI- Usine)]],'DATA Consignee'!A:F,6,FALSE)</f>
        <v>#N/A</v>
      </c>
      <c r="AL196" s="125"/>
      <c r="AM196" s="483" t="str">
        <f>IF(Tableau1[[#This Row],[Name PFI/CDD]]="","-",VLOOKUP(Tableau1[[#This Row],[Name PFI/CDD]],Plant_AILN!I:J,2,FALSE))</f>
        <v>-</v>
      </c>
      <c r="AN19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6" s="2" t="e">
        <f ca="1">VLOOKUP(Tableau1[[#This Row],[Key(POD -PFI- Usine)]],'DATA Consignee'!A:J,10,FALSE)</f>
        <v>#N/A</v>
      </c>
      <c r="AQ196" s="50" t="e">
        <f ca="1">VLOOKUP(Tableau1[[#This Row],[Key(POD -PFI- Usine)]],'DATA Consignee'!A:N,14,FALSE)</f>
        <v>#N/A</v>
      </c>
      <c r="AR19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6" s="50" t="e">
        <f ca="1">Tableau1[[#This Row],[Transit time]]+Tableau1[[#This Row],[Time for security]]+Tableau1[[#This Row],[Time for security2 buffer]]</f>
        <v>#N/A</v>
      </c>
      <c r="AU19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6" s="389" t="e">
        <f ca="1">Tableau1[[#This Row],[Leadtime SI2C]]+Tableau1[[#This Row],[First Receipt Days]]-Tableau1[[#This Row],[Day Customer Order]]+1</f>
        <v>#N/A</v>
      </c>
      <c r="AW196" s="117" t="e">
        <f ca="1">IF(Tableau1[[#This Row],[Name ILN]]&lt;&gt;"SFK Freight Forwarder",Tableau1[[#This Row],[Cust. Leadtime]],Tableau1[[#This Row],[Leadtime SI2C]])</f>
        <v>#N/A</v>
      </c>
      <c r="AX196" s="51" t="e">
        <f>VLOOKUP(Tableau1[[#This Row],[ID]],'DATA BTO'!B:P,15,FALSE)</f>
        <v>#N/A</v>
      </c>
      <c r="AY196" s="328" t="e">
        <f ca="1">IFERROR(VLOOKUP(Tableau1[[#This Row],[Key(ID-Actif)]],'DATA BTO'!A:N,4,FALSE),VLOOKUP(Tableau1[[#This Row],[ID]],'DATA BTO'!B:N,3,FALSE))</f>
        <v>#N/A</v>
      </c>
      <c r="AZ19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6" s="50"/>
    </row>
    <row r="197" spans="2:57">
      <c r="B197" s="65" t="str">
        <f>_xlfn.CONCAT(Tableau1[[#This Row],[Name ILN]],"-",Tableau1[[#This Row],[Name Shipper]],"-",Tableau1[[#This Row],[Name Site]])</f>
        <v>--</v>
      </c>
      <c r="C197" s="65" t="e">
        <f>_xlfn.CONCAT(Tableau1[[#This Row],[Compte ILN]],"-",Tableau1[[#This Row],[Compte Shipper]],"-",Tableau1[[#This Row],[POL]],"-",Tableau1[[#This Row],[Compte Consignee]])</f>
        <v>#N/A</v>
      </c>
      <c r="D197" s="64" t="e">
        <f>_xlfn.CONCAT(Tableau1[[#This Row],[Compte ILN]],"-",Tableau1[[#This Row],[Compte Shipper]],"-",Tableau1[[#This Row],[POL]])</f>
        <v>#N/A</v>
      </c>
      <c r="E197" s="396" t="e">
        <f ca="1">_xlfn.CONCAT(Tableau1[[#This Row],[POL]],"-",Tableau1[[#This Row],[Carrier]],"-",Tableau1[[#This Row],[POD]])</f>
        <v>#N/A</v>
      </c>
      <c r="F197" s="64" t="str">
        <f>_xlfn.CONCAT(Tableau1[[#This Row],[ID]],"-","Actif")</f>
        <v>-Actif</v>
      </c>
      <c r="G197" s="64" t="e">
        <f ca="1">_xlfn.CONCAT(Tableau1[[#This Row],[POD]],"-",Tableau1[[#This Row],[Code PFI]],"-",Tableau1[[#This Row],[Compte Consignee]])</f>
        <v>#N/A</v>
      </c>
      <c r="H197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7" s="397" t="str">
        <f ca="1">IF(COUNTIF(I:I,Tableau1[[#This Row],[Plant-ILN-shipper-POL-Carrier-POD-PFI]])=1,"Non","Oui")</f>
        <v>Oui</v>
      </c>
      <c r="K197" s="399" t="e">
        <f>VLOOKUP(Tableau1[[#This Row],[Name Site]],Plant_AILN!A:D,4,FALSE)</f>
        <v>#N/A</v>
      </c>
      <c r="L197" s="10"/>
      <c r="M197" s="480" t="e">
        <f>VLOOKUP(Tableau1[[#This Row],[Name Site]],Plant_AILN!A:C,3,FALSE)</f>
        <v>#N/A</v>
      </c>
      <c r="N197" s="55" t="e">
        <f>VLOOKUP(Tableau1[[#This Row],[Compte Consignee]],Order!C:D,2,FALSE)</f>
        <v>#N/A</v>
      </c>
      <c r="O197" s="122"/>
      <c r="P197" s="481" t="e">
        <f>VLOOKUP(Tableau1[[#This Row],[Name ILN]],Plant_AILN!F:G,2,FALSE)</f>
        <v>#N/A</v>
      </c>
      <c r="Q197" s="50" t="e">
        <f>VLOOKUP(Tableau1[[#This Row],[Compte ILN]],'DATA ILN'!D:I,6,FALSE)</f>
        <v>#N/A</v>
      </c>
      <c r="R197" s="50" t="e">
        <f>IFERROR(VLOOKUP(Tableau1[[#This Row],[Key(Compte ILN - shipper - POL - plant)]],'DATA ILN'!A:J,10,FALSE),VLOOKUP(Tableau1[[#This Row],[Key(Compte ILN - shipper - POL)]],'DATA ILN'!B:J,9,FALSE))</f>
        <v>#N/A</v>
      </c>
      <c r="S197" s="50" t="e">
        <f>IFERROR(VLOOKUP(Tableau1[[#This Row],[Key(Compte ILN - shipper - POL - plant)]],'DATA ILN'!A:K,11,FALSE),VLOOKUP(Tableau1[[#This Row],[Key(Compte ILN - shipper - POL)]],'DATA ILN'!B:K,10,FALSE))</f>
        <v>#N/A</v>
      </c>
      <c r="T197" s="50" t="e">
        <f>IFERROR(VLOOKUP(Tableau1[[#This Row],[Key(Compte ILN - shipper - POL - plant)]],'DATA ILN'!A:L,12,FALSE),VLOOKUP(Tableau1[[#This Row],[Key(Compte ILN - shipper - POL)]],'DATA ILN'!B:L,11,FALSE))</f>
        <v>#N/A</v>
      </c>
      <c r="U197" s="50" t="e">
        <f>Tableau1[[#This Row],[Day ILN Order]]+Tableau1[[#This Row],[Delivery time to ILN/Shipper]]-1</f>
        <v>#N/A</v>
      </c>
      <c r="V197" s="50" t="e">
        <f>IFERROR(VLOOKUP(Tableau1[[#This Row],[Key(Compte ILN - shipper - POL - plant)]],'DATA ILN'!A:N,14,FALSE),VLOOKUP(Tableau1[[#This Row],[Key(Compte ILN - shipper - POL)]],'DATA ILN'!B:N,13,FALSE))</f>
        <v>#N/A</v>
      </c>
      <c r="W197" s="53" t="e">
        <f>IFERROR(VLOOKUP(Tableau1[[#This Row],[Key(Compte ILN - shipper - POL - plant)]],'DATA ILN'!A:P,16,FALSE),VLOOKUP(Tableau1[[#This Row],[Key(Compte ILN - shipper - POL)]],'DATA ILN'!B:P,15,FALSE))</f>
        <v>#N/A</v>
      </c>
      <c r="X197" s="283"/>
      <c r="Y197" s="482">
        <f>IFERROR(VLOOKUP(Tableau1[[#This Row],[Name Shipper]],Plant_AILN!L:M,2,FALSE),0)</f>
        <v>0</v>
      </c>
      <c r="Z197" s="358"/>
      <c r="AA197" s="353" t="e">
        <f ca="1">VLOOKUP(Tableau1[[#This Row],[Key(ID-Actif)]],'DATA BTO'!A:N,5,FALSE)</f>
        <v>#N/A</v>
      </c>
      <c r="AB197" s="3" t="e">
        <f ca="1">VLOOKUP(Tableau1[[#This Row],[Key(ID-Actif)]],'DATA BTO'!A:N,6,FALSE)</f>
        <v>#N/A</v>
      </c>
      <c r="AC197" s="50" t="e">
        <f ca="1">VLOOKUP(Tableau1[[#This Row],[Key(ID-Actif)]],'DATA BTO'!A:N,7,FALSE)</f>
        <v>#N/A</v>
      </c>
      <c r="AD197" s="50" t="e">
        <f ca="1">VLOOKUP(Tableau1[[#This Row],[Key(ID-Actif)]],'DATA BTO'!A:N,8,FALSE)</f>
        <v>#N/A</v>
      </c>
      <c r="AE197" s="50" t="e">
        <f ca="1">IF(Tableau1[[#This Row],[First Day to POL]]&lt;=Tableau1[[#This Row],[Day Cut Off]],Tableau1[[#This Row],[Day ETD]],Tableau1[[#This Row],[Day ETD]]+7)</f>
        <v>#N/A</v>
      </c>
      <c r="AF197" s="50" t="e">
        <f ca="1">VLOOKUP(Tableau1[[#This Row],[Key(ID-Actif)]],'DATA BTO'!A:N,9,FALSE)</f>
        <v>#N/A</v>
      </c>
      <c r="AG197" s="3" t="e">
        <f ca="1">VLOOKUP(Tableau1[[#This Row],[Key(ID-Actif)]],'DATA BTO'!A:N,10,FALSE)</f>
        <v>#N/A</v>
      </c>
      <c r="AH197" s="3" t="e">
        <f ca="1">VLOOKUP(Tableau1[[#This Row],[Key(ID-Actif)]],'DATA BTO'!A:N,11,FALSE)</f>
        <v>#N/A</v>
      </c>
      <c r="AI197" s="50" t="e">
        <f ca="1">VLOOKUP(Tableau1[[#This Row],[Key(ID-Actif)]],'DATA BTO'!A:N,12,FALSE)</f>
        <v>#N/A</v>
      </c>
      <c r="AJ197" s="53" t="e">
        <f ca="1">VLOOKUP(Tableau1[[#This Row],[Key(ID-Actif)]],'DATA BTO'!A:N,14,FALSE)</f>
        <v>#N/A</v>
      </c>
      <c r="AK197" s="54" t="e">
        <f ca="1">VLOOKUP(Tableau1[[#This Row],[Key(POD -PFI- Usine)]],'DATA Consignee'!A:F,6,FALSE)</f>
        <v>#N/A</v>
      </c>
      <c r="AL197" s="125"/>
      <c r="AM197" s="483" t="str">
        <f>IF(Tableau1[[#This Row],[Name PFI/CDD]]="","-",VLOOKUP(Tableau1[[#This Row],[Name PFI/CDD]],Plant_AILN!I:J,2,FALSE))</f>
        <v>-</v>
      </c>
      <c r="AN19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7" s="2" t="e">
        <f ca="1">VLOOKUP(Tableau1[[#This Row],[Key(POD -PFI- Usine)]],'DATA Consignee'!A:J,10,FALSE)</f>
        <v>#N/A</v>
      </c>
      <c r="AQ197" s="50" t="e">
        <f ca="1">VLOOKUP(Tableau1[[#This Row],[Key(POD -PFI- Usine)]],'DATA Consignee'!A:N,14,FALSE)</f>
        <v>#N/A</v>
      </c>
      <c r="AR19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7" s="50" t="e">
        <f ca="1">Tableau1[[#This Row],[Transit time]]+Tableau1[[#This Row],[Time for security]]+Tableau1[[#This Row],[Time for security2 buffer]]</f>
        <v>#N/A</v>
      </c>
      <c r="AU19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7" s="389" t="e">
        <f ca="1">Tableau1[[#This Row],[Leadtime SI2C]]+Tableau1[[#This Row],[First Receipt Days]]-Tableau1[[#This Row],[Day Customer Order]]+1</f>
        <v>#N/A</v>
      </c>
      <c r="AW197" s="117" t="e">
        <f ca="1">IF(Tableau1[[#This Row],[Name ILN]]&lt;&gt;"SFK Freight Forwarder",Tableau1[[#This Row],[Cust. Leadtime]],Tableau1[[#This Row],[Leadtime SI2C]])</f>
        <v>#N/A</v>
      </c>
      <c r="AX197" s="51" t="e">
        <f>VLOOKUP(Tableau1[[#This Row],[ID]],'DATA BTO'!B:P,15,FALSE)</f>
        <v>#N/A</v>
      </c>
      <c r="AY197" s="328" t="e">
        <f ca="1">IFERROR(VLOOKUP(Tableau1[[#This Row],[Key(ID-Actif)]],'DATA BTO'!A:N,4,FALSE),VLOOKUP(Tableau1[[#This Row],[ID]],'DATA BTO'!B:N,3,FALSE))</f>
        <v>#N/A</v>
      </c>
      <c r="AZ19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7" s="50"/>
    </row>
    <row r="198" spans="2:57">
      <c r="B198" s="65" t="str">
        <f>_xlfn.CONCAT(Tableau1[[#This Row],[Name ILN]],"-",Tableau1[[#This Row],[Name Shipper]],"-",Tableau1[[#This Row],[Name Site]])</f>
        <v>--</v>
      </c>
      <c r="C198" s="65" t="e">
        <f>_xlfn.CONCAT(Tableau1[[#This Row],[Compte ILN]],"-",Tableau1[[#This Row],[Compte Shipper]],"-",Tableau1[[#This Row],[POL]],"-",Tableau1[[#This Row],[Compte Consignee]])</f>
        <v>#N/A</v>
      </c>
      <c r="D198" s="64" t="e">
        <f>_xlfn.CONCAT(Tableau1[[#This Row],[Compte ILN]],"-",Tableau1[[#This Row],[Compte Shipper]],"-",Tableau1[[#This Row],[POL]])</f>
        <v>#N/A</v>
      </c>
      <c r="E198" s="396" t="e">
        <f ca="1">_xlfn.CONCAT(Tableau1[[#This Row],[POL]],"-",Tableau1[[#This Row],[Carrier]],"-",Tableau1[[#This Row],[POD]])</f>
        <v>#N/A</v>
      </c>
      <c r="F198" s="64" t="str">
        <f>_xlfn.CONCAT(Tableau1[[#This Row],[ID]],"-","Actif")</f>
        <v>-Actif</v>
      </c>
      <c r="G198" s="64" t="e">
        <f ca="1">_xlfn.CONCAT(Tableau1[[#This Row],[POD]],"-",Tableau1[[#This Row],[Code PFI]],"-",Tableau1[[#This Row],[Compte Consignee]])</f>
        <v>#N/A</v>
      </c>
      <c r="H198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8" s="397" t="str">
        <f ca="1">IF(COUNTIF(I:I,Tableau1[[#This Row],[Plant-ILN-shipper-POL-Carrier-POD-PFI]])=1,"Non","Oui")</f>
        <v>Oui</v>
      </c>
      <c r="K198" s="399" t="e">
        <f>VLOOKUP(Tableau1[[#This Row],[Name Site]],Plant_AILN!A:D,4,FALSE)</f>
        <v>#N/A</v>
      </c>
      <c r="L198" s="10"/>
      <c r="M198" s="480" t="e">
        <f>VLOOKUP(Tableau1[[#This Row],[Name Site]],Plant_AILN!A:C,3,FALSE)</f>
        <v>#N/A</v>
      </c>
      <c r="N198" s="55" t="e">
        <f>VLOOKUP(Tableau1[[#This Row],[Compte Consignee]],Order!C:D,2,FALSE)</f>
        <v>#N/A</v>
      </c>
      <c r="O198" s="122"/>
      <c r="P198" s="481" t="e">
        <f>VLOOKUP(Tableau1[[#This Row],[Name ILN]],Plant_AILN!F:G,2,FALSE)</f>
        <v>#N/A</v>
      </c>
      <c r="Q198" s="50" t="e">
        <f>VLOOKUP(Tableau1[[#This Row],[Compte ILN]],'DATA ILN'!D:I,6,FALSE)</f>
        <v>#N/A</v>
      </c>
      <c r="R198" s="50" t="e">
        <f>IFERROR(VLOOKUP(Tableau1[[#This Row],[Key(Compte ILN - shipper - POL - plant)]],'DATA ILN'!A:J,10,FALSE),VLOOKUP(Tableau1[[#This Row],[Key(Compte ILN - shipper - POL)]],'DATA ILN'!B:J,9,FALSE))</f>
        <v>#N/A</v>
      </c>
      <c r="S198" s="50" t="e">
        <f>IFERROR(VLOOKUP(Tableau1[[#This Row],[Key(Compte ILN - shipper - POL - plant)]],'DATA ILN'!A:K,11,FALSE),VLOOKUP(Tableau1[[#This Row],[Key(Compte ILN - shipper - POL)]],'DATA ILN'!B:K,10,FALSE))</f>
        <v>#N/A</v>
      </c>
      <c r="T198" s="50" t="e">
        <f>IFERROR(VLOOKUP(Tableau1[[#This Row],[Key(Compte ILN - shipper - POL - plant)]],'DATA ILN'!A:L,12,FALSE),VLOOKUP(Tableau1[[#This Row],[Key(Compte ILN - shipper - POL)]],'DATA ILN'!B:L,11,FALSE))</f>
        <v>#N/A</v>
      </c>
      <c r="U198" s="50" t="e">
        <f>Tableau1[[#This Row],[Day ILN Order]]+Tableau1[[#This Row],[Delivery time to ILN/Shipper]]-1</f>
        <v>#N/A</v>
      </c>
      <c r="V198" s="50" t="e">
        <f>IFERROR(VLOOKUP(Tableau1[[#This Row],[Key(Compte ILN - shipper - POL - plant)]],'DATA ILN'!A:N,14,FALSE),VLOOKUP(Tableau1[[#This Row],[Key(Compte ILN - shipper - POL)]],'DATA ILN'!B:N,13,FALSE))</f>
        <v>#N/A</v>
      </c>
      <c r="W198" s="53" t="e">
        <f>IFERROR(VLOOKUP(Tableau1[[#This Row],[Key(Compte ILN - shipper - POL - plant)]],'DATA ILN'!A:P,16,FALSE),VLOOKUP(Tableau1[[#This Row],[Key(Compte ILN - shipper - POL)]],'DATA ILN'!B:P,15,FALSE))</f>
        <v>#N/A</v>
      </c>
      <c r="X198" s="283"/>
      <c r="Y198" s="482">
        <f>IFERROR(VLOOKUP(Tableau1[[#This Row],[Name Shipper]],Plant_AILN!L:M,2,FALSE),0)</f>
        <v>0</v>
      </c>
      <c r="Z198" s="358"/>
      <c r="AA198" s="353" t="e">
        <f ca="1">VLOOKUP(Tableau1[[#This Row],[Key(ID-Actif)]],'DATA BTO'!A:N,5,FALSE)</f>
        <v>#N/A</v>
      </c>
      <c r="AB198" s="3" t="e">
        <f ca="1">VLOOKUP(Tableau1[[#This Row],[Key(ID-Actif)]],'DATA BTO'!A:N,6,FALSE)</f>
        <v>#N/A</v>
      </c>
      <c r="AC198" s="50" t="e">
        <f ca="1">VLOOKUP(Tableau1[[#This Row],[Key(ID-Actif)]],'DATA BTO'!A:N,7,FALSE)</f>
        <v>#N/A</v>
      </c>
      <c r="AD198" s="50" t="e">
        <f ca="1">VLOOKUP(Tableau1[[#This Row],[Key(ID-Actif)]],'DATA BTO'!A:N,8,FALSE)</f>
        <v>#N/A</v>
      </c>
      <c r="AE198" s="50" t="e">
        <f ca="1">IF(Tableau1[[#This Row],[First Day to POL]]&lt;=Tableau1[[#This Row],[Day Cut Off]],Tableau1[[#This Row],[Day ETD]],Tableau1[[#This Row],[Day ETD]]+7)</f>
        <v>#N/A</v>
      </c>
      <c r="AF198" s="50" t="e">
        <f ca="1">VLOOKUP(Tableau1[[#This Row],[Key(ID-Actif)]],'DATA BTO'!A:N,9,FALSE)</f>
        <v>#N/A</v>
      </c>
      <c r="AG198" s="3" t="e">
        <f ca="1">VLOOKUP(Tableau1[[#This Row],[Key(ID-Actif)]],'DATA BTO'!A:N,10,FALSE)</f>
        <v>#N/A</v>
      </c>
      <c r="AH198" s="3" t="e">
        <f ca="1">VLOOKUP(Tableau1[[#This Row],[Key(ID-Actif)]],'DATA BTO'!A:N,11,FALSE)</f>
        <v>#N/A</v>
      </c>
      <c r="AI198" s="50" t="e">
        <f ca="1">VLOOKUP(Tableau1[[#This Row],[Key(ID-Actif)]],'DATA BTO'!A:N,12,FALSE)</f>
        <v>#N/A</v>
      </c>
      <c r="AJ198" s="53" t="e">
        <f ca="1">VLOOKUP(Tableau1[[#This Row],[Key(ID-Actif)]],'DATA BTO'!A:N,14,FALSE)</f>
        <v>#N/A</v>
      </c>
      <c r="AK198" s="54" t="e">
        <f ca="1">VLOOKUP(Tableau1[[#This Row],[Key(POD -PFI- Usine)]],'DATA Consignee'!A:F,6,FALSE)</f>
        <v>#N/A</v>
      </c>
      <c r="AL198" s="125"/>
      <c r="AM198" s="483" t="str">
        <f>IF(Tableau1[[#This Row],[Name PFI/CDD]]="","-",VLOOKUP(Tableau1[[#This Row],[Name PFI/CDD]],Plant_AILN!I:J,2,FALSE))</f>
        <v>-</v>
      </c>
      <c r="AN19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8" s="2" t="e">
        <f ca="1">VLOOKUP(Tableau1[[#This Row],[Key(POD -PFI- Usine)]],'DATA Consignee'!A:J,10,FALSE)</f>
        <v>#N/A</v>
      </c>
      <c r="AQ198" s="50" t="e">
        <f ca="1">VLOOKUP(Tableau1[[#This Row],[Key(POD -PFI- Usine)]],'DATA Consignee'!A:N,14,FALSE)</f>
        <v>#N/A</v>
      </c>
      <c r="AR19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8" s="50" t="e">
        <f ca="1">Tableau1[[#This Row],[Transit time]]+Tableau1[[#This Row],[Time for security]]+Tableau1[[#This Row],[Time for security2 buffer]]</f>
        <v>#N/A</v>
      </c>
      <c r="AU19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8" s="389" t="e">
        <f ca="1">Tableau1[[#This Row],[Leadtime SI2C]]+Tableau1[[#This Row],[First Receipt Days]]-Tableau1[[#This Row],[Day Customer Order]]+1</f>
        <v>#N/A</v>
      </c>
      <c r="AW198" s="117" t="e">
        <f ca="1">IF(Tableau1[[#This Row],[Name ILN]]&lt;&gt;"SFK Freight Forwarder",Tableau1[[#This Row],[Cust. Leadtime]],Tableau1[[#This Row],[Leadtime SI2C]])</f>
        <v>#N/A</v>
      </c>
      <c r="AX198" s="51" t="e">
        <f>VLOOKUP(Tableau1[[#This Row],[ID]],'DATA BTO'!B:P,15,FALSE)</f>
        <v>#N/A</v>
      </c>
      <c r="AY198" s="328" t="e">
        <f ca="1">IFERROR(VLOOKUP(Tableau1[[#This Row],[Key(ID-Actif)]],'DATA BTO'!A:N,4,FALSE),VLOOKUP(Tableau1[[#This Row],[ID]],'DATA BTO'!B:N,3,FALSE))</f>
        <v>#N/A</v>
      </c>
      <c r="AZ19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8" s="50"/>
    </row>
    <row r="199" spans="2:57">
      <c r="B199" s="65" t="str">
        <f>_xlfn.CONCAT(Tableau1[[#This Row],[Name ILN]],"-",Tableau1[[#This Row],[Name Shipper]],"-",Tableau1[[#This Row],[Name Site]])</f>
        <v>--</v>
      </c>
      <c r="C199" s="65" t="e">
        <f>_xlfn.CONCAT(Tableau1[[#This Row],[Compte ILN]],"-",Tableau1[[#This Row],[Compte Shipper]],"-",Tableau1[[#This Row],[POL]],"-",Tableau1[[#This Row],[Compte Consignee]])</f>
        <v>#N/A</v>
      </c>
      <c r="D199" s="64" t="e">
        <f>_xlfn.CONCAT(Tableau1[[#This Row],[Compte ILN]],"-",Tableau1[[#This Row],[Compte Shipper]],"-",Tableau1[[#This Row],[POL]])</f>
        <v>#N/A</v>
      </c>
      <c r="E199" s="396" t="e">
        <f ca="1">_xlfn.CONCAT(Tableau1[[#This Row],[POL]],"-",Tableau1[[#This Row],[Carrier]],"-",Tableau1[[#This Row],[POD]])</f>
        <v>#N/A</v>
      </c>
      <c r="F199" s="64" t="str">
        <f>_xlfn.CONCAT(Tableau1[[#This Row],[ID]],"-","Actif")</f>
        <v>-Actif</v>
      </c>
      <c r="G199" s="64" t="e">
        <f ca="1">_xlfn.CONCAT(Tableau1[[#This Row],[POD]],"-",Tableau1[[#This Row],[Code PFI]],"-",Tableau1[[#This Row],[Compte Consignee]])</f>
        <v>#N/A</v>
      </c>
      <c r="H199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19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199" s="397" t="str">
        <f ca="1">IF(COUNTIF(I:I,Tableau1[[#This Row],[Plant-ILN-shipper-POL-Carrier-POD-PFI]])=1,"Non","Oui")</f>
        <v>Oui</v>
      </c>
      <c r="K199" s="399" t="e">
        <f>VLOOKUP(Tableau1[[#This Row],[Name Site]],Plant_AILN!A:D,4,FALSE)</f>
        <v>#N/A</v>
      </c>
      <c r="L199" s="10"/>
      <c r="M199" s="480" t="e">
        <f>VLOOKUP(Tableau1[[#This Row],[Name Site]],Plant_AILN!A:C,3,FALSE)</f>
        <v>#N/A</v>
      </c>
      <c r="N199" s="55" t="e">
        <f>VLOOKUP(Tableau1[[#This Row],[Compte Consignee]],Order!C:D,2,FALSE)</f>
        <v>#N/A</v>
      </c>
      <c r="O199" s="122"/>
      <c r="P199" s="481" t="e">
        <f>VLOOKUP(Tableau1[[#This Row],[Name ILN]],Plant_AILN!F:G,2,FALSE)</f>
        <v>#N/A</v>
      </c>
      <c r="Q199" s="50" t="e">
        <f>VLOOKUP(Tableau1[[#This Row],[Compte ILN]],'DATA ILN'!D:I,6,FALSE)</f>
        <v>#N/A</v>
      </c>
      <c r="R199" s="50" t="e">
        <f>IFERROR(VLOOKUP(Tableau1[[#This Row],[Key(Compte ILN - shipper - POL - plant)]],'DATA ILN'!A:J,10,FALSE),VLOOKUP(Tableau1[[#This Row],[Key(Compte ILN - shipper - POL)]],'DATA ILN'!B:J,9,FALSE))</f>
        <v>#N/A</v>
      </c>
      <c r="S199" s="50" t="e">
        <f>IFERROR(VLOOKUP(Tableau1[[#This Row],[Key(Compte ILN - shipper - POL - plant)]],'DATA ILN'!A:K,11,FALSE),VLOOKUP(Tableau1[[#This Row],[Key(Compte ILN - shipper - POL)]],'DATA ILN'!B:K,10,FALSE))</f>
        <v>#N/A</v>
      </c>
      <c r="T199" s="50" t="e">
        <f>IFERROR(VLOOKUP(Tableau1[[#This Row],[Key(Compte ILN - shipper - POL - plant)]],'DATA ILN'!A:L,12,FALSE),VLOOKUP(Tableau1[[#This Row],[Key(Compte ILN - shipper - POL)]],'DATA ILN'!B:L,11,FALSE))</f>
        <v>#N/A</v>
      </c>
      <c r="U199" s="50" t="e">
        <f>Tableau1[[#This Row],[Day ILN Order]]+Tableau1[[#This Row],[Delivery time to ILN/Shipper]]-1</f>
        <v>#N/A</v>
      </c>
      <c r="V199" s="50" t="e">
        <f>IFERROR(VLOOKUP(Tableau1[[#This Row],[Key(Compte ILN - shipper - POL - plant)]],'DATA ILN'!A:N,14,FALSE),VLOOKUP(Tableau1[[#This Row],[Key(Compte ILN - shipper - POL)]],'DATA ILN'!B:N,13,FALSE))</f>
        <v>#N/A</v>
      </c>
      <c r="W199" s="53" t="e">
        <f>IFERROR(VLOOKUP(Tableau1[[#This Row],[Key(Compte ILN - shipper - POL - plant)]],'DATA ILN'!A:P,16,FALSE),VLOOKUP(Tableau1[[#This Row],[Key(Compte ILN - shipper - POL)]],'DATA ILN'!B:P,15,FALSE))</f>
        <v>#N/A</v>
      </c>
      <c r="X199" s="283"/>
      <c r="Y199" s="482">
        <f>IFERROR(VLOOKUP(Tableau1[[#This Row],[Name Shipper]],Plant_AILN!L:M,2,FALSE),0)</f>
        <v>0</v>
      </c>
      <c r="Z199" s="358"/>
      <c r="AA199" s="353" t="e">
        <f ca="1">VLOOKUP(Tableau1[[#This Row],[Key(ID-Actif)]],'DATA BTO'!A:N,5,FALSE)</f>
        <v>#N/A</v>
      </c>
      <c r="AB199" s="3" t="e">
        <f ca="1">VLOOKUP(Tableau1[[#This Row],[Key(ID-Actif)]],'DATA BTO'!A:N,6,FALSE)</f>
        <v>#N/A</v>
      </c>
      <c r="AC199" s="50" t="e">
        <f ca="1">VLOOKUP(Tableau1[[#This Row],[Key(ID-Actif)]],'DATA BTO'!A:N,7,FALSE)</f>
        <v>#N/A</v>
      </c>
      <c r="AD199" s="50" t="e">
        <f ca="1">VLOOKUP(Tableau1[[#This Row],[Key(ID-Actif)]],'DATA BTO'!A:N,8,FALSE)</f>
        <v>#N/A</v>
      </c>
      <c r="AE199" s="50" t="e">
        <f ca="1">IF(Tableau1[[#This Row],[First Day to POL]]&lt;=Tableau1[[#This Row],[Day Cut Off]],Tableau1[[#This Row],[Day ETD]],Tableau1[[#This Row],[Day ETD]]+7)</f>
        <v>#N/A</v>
      </c>
      <c r="AF199" s="50" t="e">
        <f ca="1">VLOOKUP(Tableau1[[#This Row],[Key(ID-Actif)]],'DATA BTO'!A:N,9,FALSE)</f>
        <v>#N/A</v>
      </c>
      <c r="AG199" s="3" t="e">
        <f ca="1">VLOOKUP(Tableau1[[#This Row],[Key(ID-Actif)]],'DATA BTO'!A:N,10,FALSE)</f>
        <v>#N/A</v>
      </c>
      <c r="AH199" s="3" t="e">
        <f ca="1">VLOOKUP(Tableau1[[#This Row],[Key(ID-Actif)]],'DATA BTO'!A:N,11,FALSE)</f>
        <v>#N/A</v>
      </c>
      <c r="AI199" s="50" t="e">
        <f ca="1">VLOOKUP(Tableau1[[#This Row],[Key(ID-Actif)]],'DATA BTO'!A:N,12,FALSE)</f>
        <v>#N/A</v>
      </c>
      <c r="AJ199" s="53" t="e">
        <f ca="1">VLOOKUP(Tableau1[[#This Row],[Key(ID-Actif)]],'DATA BTO'!A:N,14,FALSE)</f>
        <v>#N/A</v>
      </c>
      <c r="AK199" s="54" t="e">
        <f ca="1">VLOOKUP(Tableau1[[#This Row],[Key(POD -PFI- Usine)]],'DATA Consignee'!A:F,6,FALSE)</f>
        <v>#N/A</v>
      </c>
      <c r="AL199" s="125"/>
      <c r="AM199" s="483" t="str">
        <f>IF(Tableau1[[#This Row],[Name PFI/CDD]]="","-",VLOOKUP(Tableau1[[#This Row],[Name PFI/CDD]],Plant_AILN!I:J,2,FALSE))</f>
        <v>-</v>
      </c>
      <c r="AN19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19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199" s="2" t="e">
        <f ca="1">VLOOKUP(Tableau1[[#This Row],[Key(POD -PFI- Usine)]],'DATA Consignee'!A:J,10,FALSE)</f>
        <v>#N/A</v>
      </c>
      <c r="AQ199" s="50" t="e">
        <f ca="1">VLOOKUP(Tableau1[[#This Row],[Key(POD -PFI- Usine)]],'DATA Consignee'!A:N,14,FALSE)</f>
        <v>#N/A</v>
      </c>
      <c r="AR19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19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199" s="50" t="e">
        <f ca="1">Tableau1[[#This Row],[Transit time]]+Tableau1[[#This Row],[Time for security]]+Tableau1[[#This Row],[Time for security2 buffer]]</f>
        <v>#N/A</v>
      </c>
      <c r="AU19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199" s="389" t="e">
        <f ca="1">Tableau1[[#This Row],[Leadtime SI2C]]+Tableau1[[#This Row],[First Receipt Days]]-Tableau1[[#This Row],[Day Customer Order]]+1</f>
        <v>#N/A</v>
      </c>
      <c r="AW199" s="117" t="e">
        <f ca="1">IF(Tableau1[[#This Row],[Name ILN]]&lt;&gt;"SFK Freight Forwarder",Tableau1[[#This Row],[Cust. Leadtime]],Tableau1[[#This Row],[Leadtime SI2C]])</f>
        <v>#N/A</v>
      </c>
      <c r="AX199" s="51" t="e">
        <f>VLOOKUP(Tableau1[[#This Row],[ID]],'DATA BTO'!B:P,15,FALSE)</f>
        <v>#N/A</v>
      </c>
      <c r="AY199" s="328" t="e">
        <f ca="1">IFERROR(VLOOKUP(Tableau1[[#This Row],[Key(ID-Actif)]],'DATA BTO'!A:N,4,FALSE),VLOOKUP(Tableau1[[#This Row],[ID]],'DATA BTO'!B:N,3,FALSE))</f>
        <v>#N/A</v>
      </c>
      <c r="AZ19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19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19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9" s="50"/>
    </row>
    <row r="200" spans="2:57">
      <c r="B200" s="65" t="str">
        <f>_xlfn.CONCAT(Tableau1[[#This Row],[Name ILN]],"-",Tableau1[[#This Row],[Name Shipper]],"-",Tableau1[[#This Row],[Name Site]])</f>
        <v>--</v>
      </c>
      <c r="C200" s="65" t="e">
        <f>_xlfn.CONCAT(Tableau1[[#This Row],[Compte ILN]],"-",Tableau1[[#This Row],[Compte Shipper]],"-",Tableau1[[#This Row],[POL]],"-",Tableau1[[#This Row],[Compte Consignee]])</f>
        <v>#N/A</v>
      </c>
      <c r="D200" s="64" t="e">
        <f>_xlfn.CONCAT(Tableau1[[#This Row],[Compte ILN]],"-",Tableau1[[#This Row],[Compte Shipper]],"-",Tableau1[[#This Row],[POL]])</f>
        <v>#N/A</v>
      </c>
      <c r="E200" s="396" t="e">
        <f ca="1">_xlfn.CONCAT(Tableau1[[#This Row],[POL]],"-",Tableau1[[#This Row],[Carrier]],"-",Tableau1[[#This Row],[POD]])</f>
        <v>#N/A</v>
      </c>
      <c r="F200" s="64" t="str">
        <f>_xlfn.CONCAT(Tableau1[[#This Row],[ID]],"-","Actif")</f>
        <v>-Actif</v>
      </c>
      <c r="G200" s="64" t="e">
        <f ca="1">_xlfn.CONCAT(Tableau1[[#This Row],[POD]],"-",Tableau1[[#This Row],[Code PFI]],"-",Tableau1[[#This Row],[Compte Consignee]])</f>
        <v>#N/A</v>
      </c>
      <c r="H200" s="396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0" s="397" t="str">
        <f ca="1">IF(COUNTIF(I:I,Tableau1[[#This Row],[Plant-ILN-shipper-POL-Carrier-POD-PFI]])=1,"Non","Oui")</f>
        <v>Oui</v>
      </c>
      <c r="K200" s="399" t="e">
        <f>VLOOKUP(Tableau1[[#This Row],[Name Site]],Plant_AILN!A:D,4,FALSE)</f>
        <v>#N/A</v>
      </c>
      <c r="L200" s="10"/>
      <c r="M200" s="480" t="e">
        <f>VLOOKUP(Tableau1[[#This Row],[Name Site]],Plant_AILN!A:C,3,FALSE)</f>
        <v>#N/A</v>
      </c>
      <c r="N200" s="55" t="e">
        <f>VLOOKUP(Tableau1[[#This Row],[Compte Consignee]],Order!C:D,2,FALSE)</f>
        <v>#N/A</v>
      </c>
      <c r="O200" s="122"/>
      <c r="P200" s="481" t="e">
        <f>VLOOKUP(Tableau1[[#This Row],[Name ILN]],Plant_AILN!F:G,2,FALSE)</f>
        <v>#N/A</v>
      </c>
      <c r="Q200" s="50" t="e">
        <f>VLOOKUP(Tableau1[[#This Row],[Compte ILN]],'DATA ILN'!D:I,6,FALSE)</f>
        <v>#N/A</v>
      </c>
      <c r="R200" s="50" t="e">
        <f>IFERROR(VLOOKUP(Tableau1[[#This Row],[Key(Compte ILN - shipper - POL - plant)]],'DATA ILN'!A:J,10,FALSE),VLOOKUP(Tableau1[[#This Row],[Key(Compte ILN - shipper - POL)]],'DATA ILN'!B:J,9,FALSE))</f>
        <v>#N/A</v>
      </c>
      <c r="S200" s="50" t="e">
        <f>IFERROR(VLOOKUP(Tableau1[[#This Row],[Key(Compte ILN - shipper - POL - plant)]],'DATA ILN'!A:K,11,FALSE),VLOOKUP(Tableau1[[#This Row],[Key(Compte ILN - shipper - POL)]],'DATA ILN'!B:K,10,FALSE))</f>
        <v>#N/A</v>
      </c>
      <c r="T200" s="50" t="e">
        <f>IFERROR(VLOOKUP(Tableau1[[#This Row],[Key(Compte ILN - shipper - POL - plant)]],'DATA ILN'!A:L,12,FALSE),VLOOKUP(Tableau1[[#This Row],[Key(Compte ILN - shipper - POL)]],'DATA ILN'!B:L,11,FALSE))</f>
        <v>#N/A</v>
      </c>
      <c r="U200" s="50" t="e">
        <f>Tableau1[[#This Row],[Day ILN Order]]+Tableau1[[#This Row],[Delivery time to ILN/Shipper]]-1</f>
        <v>#N/A</v>
      </c>
      <c r="V200" s="50" t="e">
        <f>IFERROR(VLOOKUP(Tableau1[[#This Row],[Key(Compte ILN - shipper - POL - plant)]],'DATA ILN'!A:N,14,FALSE),VLOOKUP(Tableau1[[#This Row],[Key(Compte ILN - shipper - POL)]],'DATA ILN'!B:N,13,FALSE))</f>
        <v>#N/A</v>
      </c>
      <c r="W200" s="53" t="e">
        <f>IFERROR(VLOOKUP(Tableau1[[#This Row],[Key(Compte ILN - shipper - POL - plant)]],'DATA ILN'!A:P,16,FALSE),VLOOKUP(Tableau1[[#This Row],[Key(Compte ILN - shipper - POL)]],'DATA ILN'!B:P,15,FALSE))</f>
        <v>#N/A</v>
      </c>
      <c r="X200" s="283"/>
      <c r="Y200" s="482">
        <f>IFERROR(VLOOKUP(Tableau1[[#This Row],[Name Shipper]],Plant_AILN!L:M,2,FALSE),0)</f>
        <v>0</v>
      </c>
      <c r="Z200" s="358"/>
      <c r="AA200" s="353" t="e">
        <f ca="1">VLOOKUP(Tableau1[[#This Row],[Key(ID-Actif)]],'DATA BTO'!A:N,5,FALSE)</f>
        <v>#N/A</v>
      </c>
      <c r="AB200" s="3" t="e">
        <f ca="1">VLOOKUP(Tableau1[[#This Row],[Key(ID-Actif)]],'DATA BTO'!A:N,6,FALSE)</f>
        <v>#N/A</v>
      </c>
      <c r="AC200" s="50" t="e">
        <f ca="1">VLOOKUP(Tableau1[[#This Row],[Key(ID-Actif)]],'DATA BTO'!A:N,7,FALSE)</f>
        <v>#N/A</v>
      </c>
      <c r="AD200" s="50" t="e">
        <f ca="1">VLOOKUP(Tableau1[[#This Row],[Key(ID-Actif)]],'DATA BTO'!A:N,8,FALSE)</f>
        <v>#N/A</v>
      </c>
      <c r="AE200" s="50" t="e">
        <f ca="1">IF(Tableau1[[#This Row],[First Day to POL]]&lt;=Tableau1[[#This Row],[Day Cut Off]],Tableau1[[#This Row],[Day ETD]],Tableau1[[#This Row],[Day ETD]]+7)</f>
        <v>#N/A</v>
      </c>
      <c r="AF200" s="50" t="e">
        <f ca="1">VLOOKUP(Tableau1[[#This Row],[Key(ID-Actif)]],'DATA BTO'!A:N,9,FALSE)</f>
        <v>#N/A</v>
      </c>
      <c r="AG200" s="3" t="e">
        <f ca="1">VLOOKUP(Tableau1[[#This Row],[Key(ID-Actif)]],'DATA BTO'!A:N,10,FALSE)</f>
        <v>#N/A</v>
      </c>
      <c r="AH200" s="3" t="e">
        <f ca="1">VLOOKUP(Tableau1[[#This Row],[Key(ID-Actif)]],'DATA BTO'!A:N,11,FALSE)</f>
        <v>#N/A</v>
      </c>
      <c r="AI200" s="50" t="e">
        <f ca="1">VLOOKUP(Tableau1[[#This Row],[Key(ID-Actif)]],'DATA BTO'!A:N,12,FALSE)</f>
        <v>#N/A</v>
      </c>
      <c r="AJ200" s="53" t="e">
        <f ca="1">VLOOKUP(Tableau1[[#This Row],[Key(ID-Actif)]],'DATA BTO'!A:N,14,FALSE)</f>
        <v>#N/A</v>
      </c>
      <c r="AK200" s="54" t="e">
        <f ca="1">VLOOKUP(Tableau1[[#This Row],[Key(POD -PFI- Usine)]],'DATA Consignee'!A:F,6,FALSE)</f>
        <v>#N/A</v>
      </c>
      <c r="AL200" s="125"/>
      <c r="AM200" s="483" t="str">
        <f>IF(Tableau1[[#This Row],[Name PFI/CDD]]="","-",VLOOKUP(Tableau1[[#This Row],[Name PFI/CDD]],Plant_AILN!I:J,2,FALSE))</f>
        <v>-</v>
      </c>
      <c r="AN20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0" s="2" t="e">
        <f ca="1">VLOOKUP(Tableau1[[#This Row],[Key(POD -PFI- Usine)]],'DATA Consignee'!A:J,10,FALSE)</f>
        <v>#N/A</v>
      </c>
      <c r="AQ200" s="50" t="e">
        <f ca="1">VLOOKUP(Tableau1[[#This Row],[Key(POD -PFI- Usine)]],'DATA Consignee'!A:N,14,FALSE)</f>
        <v>#N/A</v>
      </c>
      <c r="AR20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0" s="50" t="e">
        <f ca="1">Tableau1[[#This Row],[Transit time]]+Tableau1[[#This Row],[Time for security]]+Tableau1[[#This Row],[Time for security2 buffer]]</f>
        <v>#N/A</v>
      </c>
      <c r="AU20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0" s="389" t="e">
        <f ca="1">Tableau1[[#This Row],[Leadtime SI2C]]+Tableau1[[#This Row],[First Receipt Days]]-Tableau1[[#This Row],[Day Customer Order]]+1</f>
        <v>#N/A</v>
      </c>
      <c r="AW200" s="117" t="e">
        <f ca="1">IF(Tableau1[[#This Row],[Name ILN]]&lt;&gt;"SFK Freight Forwarder",Tableau1[[#This Row],[Cust. Leadtime]],Tableau1[[#This Row],[Leadtime SI2C]])</f>
        <v>#N/A</v>
      </c>
      <c r="AX200" s="51" t="e">
        <f>VLOOKUP(Tableau1[[#This Row],[ID]],'DATA BTO'!B:P,15,FALSE)</f>
        <v>#N/A</v>
      </c>
      <c r="AY200" s="328" t="e">
        <f ca="1">IFERROR(VLOOKUP(Tableau1[[#This Row],[Key(ID-Actif)]],'DATA BTO'!A:N,4,FALSE),VLOOKUP(Tableau1[[#This Row],[ID]],'DATA BTO'!B:N,3,FALSE))</f>
        <v>#N/A</v>
      </c>
      <c r="AZ20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0" s="50"/>
    </row>
    <row r="201" spans="2:57">
      <c r="B201" s="65" t="str">
        <f>_xlfn.CONCAT(Tableau1[[#This Row],[Name ILN]],"-",Tableau1[[#This Row],[Name Shipper]],"-",Tableau1[[#This Row],[Name Site]])</f>
        <v>--</v>
      </c>
      <c r="C201" s="65" t="e">
        <f>_xlfn.CONCAT(Tableau1[[#This Row],[Compte ILN]],"-",Tableau1[[#This Row],[Compte Shipper]],"-",Tableau1[[#This Row],[POL]],"-",Tableau1[[#This Row],[Compte Consignee]])</f>
        <v>#N/A</v>
      </c>
      <c r="D201" s="80" t="e">
        <f>_xlfn.CONCAT(Tableau1[[#This Row],[Compte ILN]],"-",Tableau1[[#This Row],[Compte Shipper]],"-",Tableau1[[#This Row],[POL]])</f>
        <v>#N/A</v>
      </c>
      <c r="E201" s="81" t="e">
        <f ca="1">_xlfn.CONCAT(Tableau1[[#This Row],[POL]],"-",Tableau1[[#This Row],[Carrier]],"-",Tableau1[[#This Row],[POD]])</f>
        <v>#N/A</v>
      </c>
      <c r="F201" s="80" t="str">
        <f>_xlfn.CONCAT(Tableau1[[#This Row],[ID]],"-","Actif")</f>
        <v>-Actif</v>
      </c>
      <c r="G201" s="80" t="e">
        <f ca="1">_xlfn.CONCAT(Tableau1[[#This Row],[POD]],"-",Tableau1[[#This Row],[Code PFI]],"-",Tableau1[[#This Row],[Compte Consignee]])</f>
        <v>#N/A</v>
      </c>
      <c r="H20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1" s="397" t="str">
        <f ca="1">IF(COUNTIF(I:I,Tableau1[[#This Row],[Plant-ILN-shipper-POL-Carrier-POD-PFI]])=1,"Non","Oui")</f>
        <v>Oui</v>
      </c>
      <c r="K201" s="399" t="e">
        <f>VLOOKUP(Tableau1[[#This Row],[Name Site]],Plant_AILN!A:D,4,FALSE)</f>
        <v>#N/A</v>
      </c>
      <c r="L201" s="10"/>
      <c r="M201" s="480" t="e">
        <f>VLOOKUP(Tableau1[[#This Row],[Name Site]],Plant_AILN!A:C,3,FALSE)</f>
        <v>#N/A</v>
      </c>
      <c r="N201" s="55" t="e">
        <f>VLOOKUP(Tableau1[[#This Row],[Compte Consignee]],Order!C:D,2,FALSE)</f>
        <v>#N/A</v>
      </c>
      <c r="O201" s="122"/>
      <c r="P201" s="481" t="e">
        <f>VLOOKUP(Tableau1[[#This Row],[Name ILN]],Plant_AILN!F:G,2,FALSE)</f>
        <v>#N/A</v>
      </c>
      <c r="Q201" s="50" t="e">
        <f>VLOOKUP(Tableau1[[#This Row],[Compte ILN]],'DATA ILN'!D:I,6,FALSE)</f>
        <v>#N/A</v>
      </c>
      <c r="R201" s="50" t="e">
        <f>IFERROR(VLOOKUP(Tableau1[[#This Row],[Key(Compte ILN - shipper - POL - plant)]],'DATA ILN'!A:J,10,FALSE),VLOOKUP(Tableau1[[#This Row],[Key(Compte ILN - shipper - POL)]],'DATA ILN'!B:J,9,FALSE))</f>
        <v>#N/A</v>
      </c>
      <c r="S201" s="50" t="e">
        <f>IFERROR(VLOOKUP(Tableau1[[#This Row],[Key(Compte ILN - shipper - POL - plant)]],'DATA ILN'!A:K,11,FALSE),VLOOKUP(Tableau1[[#This Row],[Key(Compte ILN - shipper - POL)]],'DATA ILN'!B:K,10,FALSE))</f>
        <v>#N/A</v>
      </c>
      <c r="T201" s="50" t="e">
        <f>IFERROR(VLOOKUP(Tableau1[[#This Row],[Key(Compte ILN - shipper - POL - plant)]],'DATA ILN'!A:L,12,FALSE),VLOOKUP(Tableau1[[#This Row],[Key(Compte ILN - shipper - POL)]],'DATA ILN'!B:L,11,FALSE))</f>
        <v>#N/A</v>
      </c>
      <c r="U201" s="50" t="e">
        <f>Tableau1[[#This Row],[Day ILN Order]]+Tableau1[[#This Row],[Delivery time to ILN/Shipper]]-1</f>
        <v>#N/A</v>
      </c>
      <c r="V201" s="50" t="e">
        <f>IFERROR(VLOOKUP(Tableau1[[#This Row],[Key(Compte ILN - shipper - POL - plant)]],'DATA ILN'!A:N,14,FALSE),VLOOKUP(Tableau1[[#This Row],[Key(Compte ILN - shipper - POL)]],'DATA ILN'!B:N,13,FALSE))</f>
        <v>#N/A</v>
      </c>
      <c r="W201" s="53" t="e">
        <f>IFERROR(VLOOKUP(Tableau1[[#This Row],[Key(Compte ILN - shipper - POL - plant)]],'DATA ILN'!A:P,16,FALSE),VLOOKUP(Tableau1[[#This Row],[Key(Compte ILN - shipper - POL)]],'DATA ILN'!B:P,15,FALSE))</f>
        <v>#N/A</v>
      </c>
      <c r="X201" s="283"/>
      <c r="Y201" s="482">
        <f>IFERROR(VLOOKUP(Tableau1[[#This Row],[Name Shipper]],Plant_AILN!L:M,2,FALSE),0)</f>
        <v>0</v>
      </c>
      <c r="Z201" s="358"/>
      <c r="AA201" s="353" t="e">
        <f ca="1">VLOOKUP(Tableau1[[#This Row],[Key(ID-Actif)]],'DATA BTO'!A:N,5,FALSE)</f>
        <v>#N/A</v>
      </c>
      <c r="AB201" s="3" t="e">
        <f ca="1">VLOOKUP(Tableau1[[#This Row],[Key(ID-Actif)]],'DATA BTO'!A:N,6,FALSE)</f>
        <v>#N/A</v>
      </c>
      <c r="AC201" s="50" t="e">
        <f ca="1">VLOOKUP(Tableau1[[#This Row],[Key(ID-Actif)]],'DATA BTO'!A:N,7,FALSE)</f>
        <v>#N/A</v>
      </c>
      <c r="AD201" s="50" t="e">
        <f ca="1">VLOOKUP(Tableau1[[#This Row],[Key(ID-Actif)]],'DATA BTO'!A:N,8,FALSE)</f>
        <v>#N/A</v>
      </c>
      <c r="AE201" s="50" t="e">
        <f ca="1">IF(Tableau1[[#This Row],[First Day to POL]]&lt;=Tableau1[[#This Row],[Day Cut Off]],Tableau1[[#This Row],[Day ETD]],Tableau1[[#This Row],[Day ETD]]+7)</f>
        <v>#N/A</v>
      </c>
      <c r="AF201" s="50" t="e">
        <f ca="1">VLOOKUP(Tableau1[[#This Row],[Key(ID-Actif)]],'DATA BTO'!A:N,9,FALSE)</f>
        <v>#N/A</v>
      </c>
      <c r="AG201" s="3" t="e">
        <f ca="1">VLOOKUP(Tableau1[[#This Row],[Key(ID-Actif)]],'DATA BTO'!A:N,10,FALSE)</f>
        <v>#N/A</v>
      </c>
      <c r="AH201" s="3" t="e">
        <f ca="1">VLOOKUP(Tableau1[[#This Row],[Key(ID-Actif)]],'DATA BTO'!A:N,11,FALSE)</f>
        <v>#N/A</v>
      </c>
      <c r="AI201" s="50" t="e">
        <f ca="1">VLOOKUP(Tableau1[[#This Row],[Key(ID-Actif)]],'DATA BTO'!A:N,12,FALSE)</f>
        <v>#N/A</v>
      </c>
      <c r="AJ201" s="53" t="e">
        <f ca="1">VLOOKUP(Tableau1[[#This Row],[Key(ID-Actif)]],'DATA BTO'!A:N,14,FALSE)</f>
        <v>#N/A</v>
      </c>
      <c r="AK201" s="54" t="e">
        <f ca="1">VLOOKUP(Tableau1[[#This Row],[Key(POD -PFI- Usine)]],'DATA Consignee'!A:F,6,FALSE)</f>
        <v>#N/A</v>
      </c>
      <c r="AL201" s="125"/>
      <c r="AM201" s="483" t="str">
        <f>IF(Tableau1[[#This Row],[Name PFI/CDD]]="","-",VLOOKUP(Tableau1[[#This Row],[Name PFI/CDD]],Plant_AILN!I:J,2,FALSE))</f>
        <v>-</v>
      </c>
      <c r="AN20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1" s="2" t="e">
        <f ca="1">VLOOKUP(Tableau1[[#This Row],[Key(POD -PFI- Usine)]],'DATA Consignee'!A:J,10,FALSE)</f>
        <v>#N/A</v>
      </c>
      <c r="AQ201" s="50" t="e">
        <f ca="1">VLOOKUP(Tableau1[[#This Row],[Key(POD -PFI- Usine)]],'DATA Consignee'!A:N,14,FALSE)</f>
        <v>#N/A</v>
      </c>
      <c r="AR20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1" s="50" t="e">
        <f ca="1">Tableau1[[#This Row],[Transit time]]+Tableau1[[#This Row],[Time for security]]+Tableau1[[#This Row],[Time for security2 buffer]]</f>
        <v>#N/A</v>
      </c>
      <c r="AU20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1" s="389" t="e">
        <f ca="1">Tableau1[[#This Row],[Leadtime SI2C]]+Tableau1[[#This Row],[First Receipt Days]]-Tableau1[[#This Row],[Day Customer Order]]+1</f>
        <v>#N/A</v>
      </c>
      <c r="AW201" s="117" t="e">
        <f ca="1">IF(Tableau1[[#This Row],[Name ILN]]&lt;&gt;"SFK Freight Forwarder",Tableau1[[#This Row],[Cust. Leadtime]],Tableau1[[#This Row],[Leadtime SI2C]])</f>
        <v>#N/A</v>
      </c>
      <c r="AX201" s="51" t="e">
        <f>VLOOKUP(Tableau1[[#This Row],[ID]],'DATA BTO'!B:P,15,FALSE)</f>
        <v>#N/A</v>
      </c>
      <c r="AY201" s="328" t="e">
        <f ca="1">IFERROR(VLOOKUP(Tableau1[[#This Row],[Key(ID-Actif)]],'DATA BTO'!A:N,4,FALSE),VLOOKUP(Tableau1[[#This Row],[ID]],'DATA BTO'!B:N,3,FALSE))</f>
        <v>#N/A</v>
      </c>
      <c r="AZ20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1" s="50"/>
    </row>
    <row r="202" spans="2:57">
      <c r="B202" s="65" t="str">
        <f>_xlfn.CONCAT(Tableau1[[#This Row],[Name ILN]],"-",Tableau1[[#This Row],[Name Shipper]],"-",Tableau1[[#This Row],[Name Site]])</f>
        <v>--</v>
      </c>
      <c r="C202" s="65" t="e">
        <f>_xlfn.CONCAT(Tableau1[[#This Row],[Compte ILN]],"-",Tableau1[[#This Row],[Compte Shipper]],"-",Tableau1[[#This Row],[POL]],"-",Tableau1[[#This Row],[Compte Consignee]])</f>
        <v>#N/A</v>
      </c>
      <c r="D202" s="64" t="e">
        <f>_xlfn.CONCAT(Tableau1[[#This Row],[Compte ILN]],"-",Tableau1[[#This Row],[Compte Shipper]],"-",Tableau1[[#This Row],[POL]])</f>
        <v>#N/A</v>
      </c>
      <c r="E202" s="128" t="e">
        <f ca="1">_xlfn.CONCAT(Tableau1[[#This Row],[POL]],"-",Tableau1[[#This Row],[Carrier]],"-",Tableau1[[#This Row],[POD]])</f>
        <v>#N/A</v>
      </c>
      <c r="F202" s="64" t="str">
        <f>_xlfn.CONCAT(Tableau1[[#This Row],[ID]],"-","Actif")</f>
        <v>-Actif</v>
      </c>
      <c r="G202" s="64" t="e">
        <f ca="1">_xlfn.CONCAT(Tableau1[[#This Row],[POD]],"-",Tableau1[[#This Row],[Code PFI]],"-",Tableau1[[#This Row],[Compte Consignee]])</f>
        <v>#N/A</v>
      </c>
      <c r="H20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2" s="397" t="str">
        <f ca="1">IF(COUNTIF(I:I,Tableau1[[#This Row],[Plant-ILN-shipper-POL-Carrier-POD-PFI]])=1,"Non","Oui")</f>
        <v>Oui</v>
      </c>
      <c r="K202" s="399" t="e">
        <f>VLOOKUP(Tableau1[[#This Row],[Name Site]],Plant_AILN!A:D,4,FALSE)</f>
        <v>#N/A</v>
      </c>
      <c r="L202" s="10"/>
      <c r="M202" s="480" t="e">
        <f>VLOOKUP(Tableau1[[#This Row],[Name Site]],Plant_AILN!A:C,3,FALSE)</f>
        <v>#N/A</v>
      </c>
      <c r="N202" s="55" t="e">
        <f>VLOOKUP(Tableau1[[#This Row],[Compte Consignee]],Order!C:D,2,FALSE)</f>
        <v>#N/A</v>
      </c>
      <c r="O202" s="122"/>
      <c r="P202" s="481" t="e">
        <f>VLOOKUP(Tableau1[[#This Row],[Name ILN]],Plant_AILN!F:G,2,FALSE)</f>
        <v>#N/A</v>
      </c>
      <c r="Q202" s="50" t="e">
        <f>VLOOKUP(Tableau1[[#This Row],[Compte ILN]],'DATA ILN'!D:I,6,FALSE)</f>
        <v>#N/A</v>
      </c>
      <c r="R202" s="50" t="e">
        <f>IFERROR(VLOOKUP(Tableau1[[#This Row],[Key(Compte ILN - shipper - POL - plant)]],'DATA ILN'!A:J,10,FALSE),VLOOKUP(Tableau1[[#This Row],[Key(Compte ILN - shipper - POL)]],'DATA ILN'!B:J,9,FALSE))</f>
        <v>#N/A</v>
      </c>
      <c r="S202" s="50" t="e">
        <f>IFERROR(VLOOKUP(Tableau1[[#This Row],[Key(Compte ILN - shipper - POL - plant)]],'DATA ILN'!A:K,11,FALSE),VLOOKUP(Tableau1[[#This Row],[Key(Compte ILN - shipper - POL)]],'DATA ILN'!B:K,10,FALSE))</f>
        <v>#N/A</v>
      </c>
      <c r="T202" s="50" t="e">
        <f>IFERROR(VLOOKUP(Tableau1[[#This Row],[Key(Compte ILN - shipper - POL - plant)]],'DATA ILN'!A:L,12,FALSE),VLOOKUP(Tableau1[[#This Row],[Key(Compte ILN - shipper - POL)]],'DATA ILN'!B:L,11,FALSE))</f>
        <v>#N/A</v>
      </c>
      <c r="U202" s="50" t="e">
        <f>Tableau1[[#This Row],[Day ILN Order]]+Tableau1[[#This Row],[Delivery time to ILN/Shipper]]-1</f>
        <v>#N/A</v>
      </c>
      <c r="V202" s="50" t="e">
        <f>IFERROR(VLOOKUP(Tableau1[[#This Row],[Key(Compte ILN - shipper - POL - plant)]],'DATA ILN'!A:N,14,FALSE),VLOOKUP(Tableau1[[#This Row],[Key(Compte ILN - shipper - POL)]],'DATA ILN'!B:N,13,FALSE))</f>
        <v>#N/A</v>
      </c>
      <c r="W202" s="53" t="e">
        <f>IFERROR(VLOOKUP(Tableau1[[#This Row],[Key(Compte ILN - shipper - POL - plant)]],'DATA ILN'!A:P,16,FALSE),VLOOKUP(Tableau1[[#This Row],[Key(Compte ILN - shipper - POL)]],'DATA ILN'!B:P,15,FALSE))</f>
        <v>#N/A</v>
      </c>
      <c r="X202" s="283"/>
      <c r="Y202" s="482">
        <f>IFERROR(VLOOKUP(Tableau1[[#This Row],[Name Shipper]],Plant_AILN!L:M,2,FALSE),0)</f>
        <v>0</v>
      </c>
      <c r="Z202" s="358"/>
      <c r="AA202" s="353" t="e">
        <f ca="1">VLOOKUP(Tableau1[[#This Row],[Key(ID-Actif)]],'DATA BTO'!A:N,5,FALSE)</f>
        <v>#N/A</v>
      </c>
      <c r="AB202" s="3" t="e">
        <f ca="1">VLOOKUP(Tableau1[[#This Row],[Key(ID-Actif)]],'DATA BTO'!A:N,6,FALSE)</f>
        <v>#N/A</v>
      </c>
      <c r="AC202" s="50" t="e">
        <f ca="1">VLOOKUP(Tableau1[[#This Row],[Key(ID-Actif)]],'DATA BTO'!A:N,7,FALSE)</f>
        <v>#N/A</v>
      </c>
      <c r="AD202" s="50" t="e">
        <f ca="1">VLOOKUP(Tableau1[[#This Row],[Key(ID-Actif)]],'DATA BTO'!A:N,8,FALSE)</f>
        <v>#N/A</v>
      </c>
      <c r="AE202" s="50" t="e">
        <f ca="1">IF(Tableau1[[#This Row],[First Day to POL]]&lt;=Tableau1[[#This Row],[Day Cut Off]],Tableau1[[#This Row],[Day ETD]],Tableau1[[#This Row],[Day ETD]]+7)</f>
        <v>#N/A</v>
      </c>
      <c r="AF202" s="50" t="e">
        <f ca="1">VLOOKUP(Tableau1[[#This Row],[Key(ID-Actif)]],'DATA BTO'!A:N,9,FALSE)</f>
        <v>#N/A</v>
      </c>
      <c r="AG202" s="3" t="e">
        <f ca="1">VLOOKUP(Tableau1[[#This Row],[Key(ID-Actif)]],'DATA BTO'!A:N,10,FALSE)</f>
        <v>#N/A</v>
      </c>
      <c r="AH202" s="3" t="e">
        <f ca="1">VLOOKUP(Tableau1[[#This Row],[Key(ID-Actif)]],'DATA BTO'!A:N,11,FALSE)</f>
        <v>#N/A</v>
      </c>
      <c r="AI202" s="50" t="e">
        <f ca="1">VLOOKUP(Tableau1[[#This Row],[Key(ID-Actif)]],'DATA BTO'!A:N,12,FALSE)</f>
        <v>#N/A</v>
      </c>
      <c r="AJ202" s="53" t="e">
        <f ca="1">VLOOKUP(Tableau1[[#This Row],[Key(ID-Actif)]],'DATA BTO'!A:N,14,FALSE)</f>
        <v>#N/A</v>
      </c>
      <c r="AK202" s="54" t="e">
        <f ca="1">VLOOKUP(Tableau1[[#This Row],[Key(POD -PFI- Usine)]],'DATA Consignee'!A:F,6,FALSE)</f>
        <v>#N/A</v>
      </c>
      <c r="AL202" s="125"/>
      <c r="AM202" s="483" t="str">
        <f>IF(Tableau1[[#This Row],[Name PFI/CDD]]="","-",VLOOKUP(Tableau1[[#This Row],[Name PFI/CDD]],Plant_AILN!I:J,2,FALSE))</f>
        <v>-</v>
      </c>
      <c r="AN20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2" s="2" t="e">
        <f ca="1">VLOOKUP(Tableau1[[#This Row],[Key(POD -PFI- Usine)]],'DATA Consignee'!A:J,10,FALSE)</f>
        <v>#N/A</v>
      </c>
      <c r="AQ202" s="50" t="e">
        <f ca="1">VLOOKUP(Tableau1[[#This Row],[Key(POD -PFI- Usine)]],'DATA Consignee'!A:N,14,FALSE)</f>
        <v>#N/A</v>
      </c>
      <c r="AR20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2" s="50" t="e">
        <f ca="1">Tableau1[[#This Row],[Transit time]]+Tableau1[[#This Row],[Time for security]]+Tableau1[[#This Row],[Time for security2 buffer]]</f>
        <v>#N/A</v>
      </c>
      <c r="AU20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2" s="389" t="e">
        <f ca="1">Tableau1[[#This Row],[Leadtime SI2C]]+Tableau1[[#This Row],[First Receipt Days]]-Tableau1[[#This Row],[Day Customer Order]]+1</f>
        <v>#N/A</v>
      </c>
      <c r="AW202" s="117" t="e">
        <f ca="1">IF(Tableau1[[#This Row],[Name ILN]]&lt;&gt;"SFK Freight Forwarder",Tableau1[[#This Row],[Cust. Leadtime]],Tableau1[[#This Row],[Leadtime SI2C]])</f>
        <v>#N/A</v>
      </c>
      <c r="AX202" s="51" t="e">
        <f>VLOOKUP(Tableau1[[#This Row],[ID]],'DATA BTO'!B:P,15,FALSE)</f>
        <v>#N/A</v>
      </c>
      <c r="AY202" s="328" t="e">
        <f ca="1">IFERROR(VLOOKUP(Tableau1[[#This Row],[Key(ID-Actif)]],'DATA BTO'!A:N,4,FALSE),VLOOKUP(Tableau1[[#This Row],[ID]],'DATA BTO'!B:N,3,FALSE))</f>
        <v>#N/A</v>
      </c>
      <c r="AZ20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2" s="50"/>
    </row>
    <row r="203" spans="2:57">
      <c r="B203" s="65" t="str">
        <f>_xlfn.CONCAT(Tableau1[[#This Row],[Name ILN]],"-",Tableau1[[#This Row],[Name Shipper]],"-",Tableau1[[#This Row],[Name Site]])</f>
        <v>--</v>
      </c>
      <c r="C203" s="65" t="e">
        <f>_xlfn.CONCAT(Tableau1[[#This Row],[Compte ILN]],"-",Tableau1[[#This Row],[Compte Shipper]],"-",Tableau1[[#This Row],[POL]],"-",Tableau1[[#This Row],[Compte Consignee]])</f>
        <v>#N/A</v>
      </c>
      <c r="D203" s="64" t="e">
        <f>_xlfn.CONCAT(Tableau1[[#This Row],[Compte ILN]],"-",Tableau1[[#This Row],[Compte Shipper]],"-",Tableau1[[#This Row],[POL]])</f>
        <v>#N/A</v>
      </c>
      <c r="E203" s="128" t="e">
        <f ca="1">_xlfn.CONCAT(Tableau1[[#This Row],[POL]],"-",Tableau1[[#This Row],[Carrier]],"-",Tableau1[[#This Row],[POD]])</f>
        <v>#N/A</v>
      </c>
      <c r="F203" s="64" t="str">
        <f>_xlfn.CONCAT(Tableau1[[#This Row],[ID]],"-","Actif")</f>
        <v>-Actif</v>
      </c>
      <c r="G203" s="64" t="e">
        <f ca="1">_xlfn.CONCAT(Tableau1[[#This Row],[POD]],"-",Tableau1[[#This Row],[Code PFI]],"-",Tableau1[[#This Row],[Compte Consignee]])</f>
        <v>#N/A</v>
      </c>
      <c r="H20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3" s="400" t="str">
        <f ca="1">IF(COUNTIF(I:I,Tableau1[[#This Row],[Plant-ILN-shipper-POL-Carrier-POD-PFI]])=1,"Non","Oui")</f>
        <v>Oui</v>
      </c>
      <c r="K203" s="399" t="e">
        <f>VLOOKUP(Tableau1[[#This Row],[Name Site]],Plant_AILN!A:D,4,FALSE)</f>
        <v>#N/A</v>
      </c>
      <c r="L203" s="10"/>
      <c r="M203" s="480" t="e">
        <f>VLOOKUP(Tableau1[[#This Row],[Name Site]],Plant_AILN!A:C,3,FALSE)</f>
        <v>#N/A</v>
      </c>
      <c r="N203" s="55" t="e">
        <f>VLOOKUP(Tableau1[[#This Row],[Compte Consignee]],Order!C:D,2,FALSE)</f>
        <v>#N/A</v>
      </c>
      <c r="O203" s="124"/>
      <c r="P203" s="481" t="e">
        <f>VLOOKUP(Tableau1[[#This Row],[Name ILN]],Plant_AILN!F:G,2,FALSE)</f>
        <v>#N/A</v>
      </c>
      <c r="Q203" s="50" t="e">
        <f>VLOOKUP(Tableau1[[#This Row],[Compte ILN]],'DATA ILN'!D:I,6,FALSE)</f>
        <v>#N/A</v>
      </c>
      <c r="R203" s="50" t="e">
        <f>IFERROR(VLOOKUP(Tableau1[[#This Row],[Key(Compte ILN - shipper - POL - plant)]],'DATA ILN'!A:J,10,FALSE),VLOOKUP(Tableau1[[#This Row],[Key(Compte ILN - shipper - POL)]],'DATA ILN'!B:J,9,FALSE))</f>
        <v>#N/A</v>
      </c>
      <c r="S203" s="50" t="e">
        <f>IFERROR(VLOOKUP(Tableau1[[#This Row],[Key(Compte ILN - shipper - POL - plant)]],'DATA ILN'!A:K,11,FALSE),VLOOKUP(Tableau1[[#This Row],[Key(Compte ILN - shipper - POL)]],'DATA ILN'!B:K,10,FALSE))</f>
        <v>#N/A</v>
      </c>
      <c r="T203" s="50" t="e">
        <f>IFERROR(VLOOKUP(Tableau1[[#This Row],[Key(Compte ILN - shipper - POL - plant)]],'DATA ILN'!A:L,12,FALSE),VLOOKUP(Tableau1[[#This Row],[Key(Compte ILN - shipper - POL)]],'DATA ILN'!B:L,11,FALSE))</f>
        <v>#N/A</v>
      </c>
      <c r="U203" s="50" t="e">
        <f>Tableau1[[#This Row],[Day ILN Order]]+Tableau1[[#This Row],[Delivery time to ILN/Shipper]]-1</f>
        <v>#N/A</v>
      </c>
      <c r="V203" s="50" t="e">
        <f>IFERROR(VLOOKUP(Tableau1[[#This Row],[Key(Compte ILN - shipper - POL - plant)]],'DATA ILN'!A:N,14,FALSE),VLOOKUP(Tableau1[[#This Row],[Key(Compte ILN - shipper - POL)]],'DATA ILN'!B:N,13,FALSE))</f>
        <v>#N/A</v>
      </c>
      <c r="W203" s="53" t="e">
        <f>IFERROR(VLOOKUP(Tableau1[[#This Row],[Key(Compte ILN - shipper - POL - plant)]],'DATA ILN'!A:P,16,FALSE),VLOOKUP(Tableau1[[#This Row],[Key(Compte ILN - shipper - POL)]],'DATA ILN'!B:P,15,FALSE))</f>
        <v>#N/A</v>
      </c>
      <c r="X203" s="283"/>
      <c r="Y203" s="482">
        <f>IFERROR(VLOOKUP(Tableau1[[#This Row],[Name Shipper]],Plant_AILN!L:M,2,FALSE),0)</f>
        <v>0</v>
      </c>
      <c r="Z203" s="358"/>
      <c r="AA203" s="353" t="e">
        <f ca="1">VLOOKUP(Tableau1[[#This Row],[Key(ID-Actif)]],'DATA BTO'!A:N,5,FALSE)</f>
        <v>#N/A</v>
      </c>
      <c r="AB203" s="3" t="e">
        <f ca="1">VLOOKUP(Tableau1[[#This Row],[Key(ID-Actif)]],'DATA BTO'!A:N,6,FALSE)</f>
        <v>#N/A</v>
      </c>
      <c r="AC203" s="50" t="e">
        <f ca="1">VLOOKUP(Tableau1[[#This Row],[Key(ID-Actif)]],'DATA BTO'!A:N,7,FALSE)</f>
        <v>#N/A</v>
      </c>
      <c r="AD203" s="50" t="e">
        <f ca="1">VLOOKUP(Tableau1[[#This Row],[Key(ID-Actif)]],'DATA BTO'!A:N,8,FALSE)</f>
        <v>#N/A</v>
      </c>
      <c r="AE203" s="50" t="e">
        <f ca="1">IF(Tableau1[[#This Row],[First Day to POL]]&lt;=Tableau1[[#This Row],[Day Cut Off]],Tableau1[[#This Row],[Day ETD]],Tableau1[[#This Row],[Day ETD]]+7)</f>
        <v>#N/A</v>
      </c>
      <c r="AF203" s="50" t="e">
        <f ca="1">VLOOKUP(Tableau1[[#This Row],[Key(ID-Actif)]],'DATA BTO'!A:N,9,FALSE)</f>
        <v>#N/A</v>
      </c>
      <c r="AG203" s="3" t="e">
        <f ca="1">VLOOKUP(Tableau1[[#This Row],[Key(ID-Actif)]],'DATA BTO'!A:N,10,FALSE)</f>
        <v>#N/A</v>
      </c>
      <c r="AH203" s="3" t="e">
        <f ca="1">VLOOKUP(Tableau1[[#This Row],[Key(ID-Actif)]],'DATA BTO'!A:N,11,FALSE)</f>
        <v>#N/A</v>
      </c>
      <c r="AI203" s="50" t="e">
        <f ca="1">VLOOKUP(Tableau1[[#This Row],[Key(ID-Actif)]],'DATA BTO'!A:N,12,FALSE)</f>
        <v>#N/A</v>
      </c>
      <c r="AJ203" s="53" t="e">
        <f ca="1">VLOOKUP(Tableau1[[#This Row],[Key(ID-Actif)]],'DATA BTO'!A:N,14,FALSE)</f>
        <v>#N/A</v>
      </c>
      <c r="AK203" s="54" t="e">
        <f ca="1">VLOOKUP(Tableau1[[#This Row],[Key(POD -PFI- Usine)]],'DATA Consignee'!A:F,6,FALSE)</f>
        <v>#N/A</v>
      </c>
      <c r="AL203" s="125"/>
      <c r="AM203" s="483" t="str">
        <f>IF(Tableau1[[#This Row],[Name PFI/CDD]]="","-",VLOOKUP(Tableau1[[#This Row],[Name PFI/CDD]],Plant_AILN!I:J,2,FALSE))</f>
        <v>-</v>
      </c>
      <c r="AN20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3" s="2" t="e">
        <f ca="1">VLOOKUP(Tableau1[[#This Row],[Key(POD -PFI- Usine)]],'DATA Consignee'!A:J,10,FALSE)</f>
        <v>#N/A</v>
      </c>
      <c r="AQ203" s="50" t="e">
        <f ca="1">VLOOKUP(Tableau1[[#This Row],[Key(POD -PFI- Usine)]],'DATA Consignee'!A:N,14,FALSE)</f>
        <v>#N/A</v>
      </c>
      <c r="AR20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3" s="50" t="e">
        <f ca="1">Tableau1[[#This Row],[Transit time]]+Tableau1[[#This Row],[Time for security]]+Tableau1[[#This Row],[Time for security2 buffer]]</f>
        <v>#N/A</v>
      </c>
      <c r="AU20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3" s="50" t="e">
        <f ca="1">Tableau1[[#This Row],[Leadtime SI2C]]+Tableau1[[#This Row],[First Receipt Days]]-Tableau1[[#This Row],[Day Customer Order]]+1</f>
        <v>#N/A</v>
      </c>
      <c r="AW203" s="117" t="e">
        <f ca="1">IF(Tableau1[[#This Row],[Name ILN]]&lt;&gt;"SFK Freight Forwarder",Tableau1[[#This Row],[Cust. Leadtime]],Tableau1[[#This Row],[Leadtime SI2C]])</f>
        <v>#N/A</v>
      </c>
      <c r="AX203" s="51" t="e">
        <f>VLOOKUP(Tableau1[[#This Row],[ID]],'DATA BTO'!B:P,15,FALSE)</f>
        <v>#N/A</v>
      </c>
      <c r="AY203" s="328" t="e">
        <f ca="1">IFERROR(VLOOKUP(Tableau1[[#This Row],[Key(ID-Actif)]],'DATA BTO'!A:N,4,FALSE),VLOOKUP(Tableau1[[#This Row],[ID]],'DATA BTO'!B:N,3,FALSE))</f>
        <v>#N/A</v>
      </c>
      <c r="AZ20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3" s="50"/>
    </row>
    <row r="204" spans="2:57">
      <c r="B204" s="65" t="str">
        <f>_xlfn.CONCAT(Tableau1[[#This Row],[Name ILN]],"-",Tableau1[[#This Row],[Name Shipper]],"-",Tableau1[[#This Row],[Name Site]])</f>
        <v>--</v>
      </c>
      <c r="C204" s="65" t="e">
        <f>_xlfn.CONCAT(Tableau1[[#This Row],[Compte ILN]],"-",Tableau1[[#This Row],[Compte Shipper]],"-",Tableau1[[#This Row],[POL]],"-",Tableau1[[#This Row],[Compte Consignee]])</f>
        <v>#N/A</v>
      </c>
      <c r="D204" s="80" t="e">
        <f>_xlfn.CONCAT(Tableau1[[#This Row],[Compte ILN]],"-",Tableau1[[#This Row],[Compte Shipper]],"-",Tableau1[[#This Row],[POL]])</f>
        <v>#N/A</v>
      </c>
      <c r="E204" s="81" t="e">
        <f ca="1">_xlfn.CONCAT(Tableau1[[#This Row],[POL]],"-",Tableau1[[#This Row],[Carrier]],"-",Tableau1[[#This Row],[POD]])</f>
        <v>#N/A</v>
      </c>
      <c r="F204" s="80" t="str">
        <f>_xlfn.CONCAT(Tableau1[[#This Row],[ID]],"-","Actif")</f>
        <v>-Actif</v>
      </c>
      <c r="G204" s="80" t="e">
        <f ca="1">_xlfn.CONCAT(Tableau1[[#This Row],[POD]],"-",Tableau1[[#This Row],[Code PFI]],"-",Tableau1[[#This Row],[Compte Consignee]])</f>
        <v>#N/A</v>
      </c>
      <c r="H20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4" s="397" t="str">
        <f ca="1">IF(COUNTIF(I:I,Tableau1[[#This Row],[Plant-ILN-shipper-POL-Carrier-POD-PFI]])=1,"Non","Oui")</f>
        <v>Oui</v>
      </c>
      <c r="K204" s="449" t="e">
        <f>VLOOKUP(Tableau1[[#This Row],[Name Site]],Plant_AILN!A:D,4,FALSE)</f>
        <v>#N/A</v>
      </c>
      <c r="L204" s="10"/>
      <c r="M204" s="480" t="e">
        <f>VLOOKUP(Tableau1[[#This Row],[Name Site]],Plant_AILN!A:C,3,FALSE)</f>
        <v>#N/A</v>
      </c>
      <c r="N204" s="102" t="e">
        <f>VLOOKUP(Tableau1[[#This Row],[Compte Consignee]],Order!C:D,2,FALSE)</f>
        <v>#N/A</v>
      </c>
      <c r="O204" s="124"/>
      <c r="P204" s="484" t="e">
        <f>VLOOKUP(Tableau1[[#This Row],[Name ILN]],Plant_AILN!F:G,2,FALSE)</f>
        <v>#N/A</v>
      </c>
      <c r="Q204" s="79" t="e">
        <f>VLOOKUP(Tableau1[[#This Row],[Compte ILN]],'DATA ILN'!D:I,6,FALSE)</f>
        <v>#N/A</v>
      </c>
      <c r="R204" s="50" t="e">
        <f>IFERROR(VLOOKUP(Tableau1[[#This Row],[Key(Compte ILN - shipper - POL - plant)]],'DATA ILN'!A:J,10,FALSE),VLOOKUP(Tableau1[[#This Row],[Key(Compte ILN - shipper - POL)]],'DATA ILN'!B:J,9,FALSE))</f>
        <v>#N/A</v>
      </c>
      <c r="S204" s="79" t="e">
        <f>IFERROR(VLOOKUP(Tableau1[[#This Row],[Key(Compte ILN - shipper - POL - plant)]],'DATA ILN'!A:K,11,FALSE),VLOOKUP(Tableau1[[#This Row],[Key(Compte ILN - shipper - POL)]],'DATA ILN'!B:K,10,FALSE))</f>
        <v>#N/A</v>
      </c>
      <c r="T204" s="79" t="e">
        <f>IFERROR(VLOOKUP(Tableau1[[#This Row],[Key(Compte ILN - shipper - POL - plant)]],'DATA ILN'!A:L,12,FALSE),VLOOKUP(Tableau1[[#This Row],[Key(Compte ILN - shipper - POL)]],'DATA ILN'!B:L,11,FALSE))</f>
        <v>#N/A</v>
      </c>
      <c r="U204" s="79" t="e">
        <f>Tableau1[[#This Row],[Day ILN Order]]+Tableau1[[#This Row],[Delivery time to ILN/Shipper]]-1</f>
        <v>#N/A</v>
      </c>
      <c r="V204" s="79" t="e">
        <f>IFERROR(VLOOKUP(Tableau1[[#This Row],[Key(Compte ILN - shipper - POL - plant)]],'DATA ILN'!A:N,14,FALSE),VLOOKUP(Tableau1[[#This Row],[Key(Compte ILN - shipper - POL)]],'DATA ILN'!B:N,13,FALSE))</f>
        <v>#N/A</v>
      </c>
      <c r="W204" s="104" t="e">
        <f>IFERROR(VLOOKUP(Tableau1[[#This Row],[Key(Compte ILN - shipper - POL - plant)]],'DATA ILN'!A:P,16,FALSE),VLOOKUP(Tableau1[[#This Row],[Key(Compte ILN - shipper - POL)]],'DATA ILN'!B:P,15,FALSE))</f>
        <v>#N/A</v>
      </c>
      <c r="X204" s="283"/>
      <c r="Y204" s="487">
        <f>IFERROR(VLOOKUP(Tableau1[[#This Row],[Name Shipper]],Plant_AILN!L:M,2,FALSE),0)</f>
        <v>0</v>
      </c>
      <c r="Z204" s="358"/>
      <c r="AA204" s="354" t="e">
        <f ca="1">VLOOKUP(Tableau1[[#This Row],[Key(ID-Actif)]],'DATA BTO'!A:N,5,FALSE)</f>
        <v>#N/A</v>
      </c>
      <c r="AB204" s="3" t="e">
        <f ca="1">VLOOKUP(Tableau1[[#This Row],[Key(ID-Actif)]],'DATA BTO'!A:N,6,FALSE)</f>
        <v>#N/A</v>
      </c>
      <c r="AC204" s="79" t="e">
        <f ca="1">VLOOKUP(Tableau1[[#This Row],[Key(ID-Actif)]],'DATA BTO'!A:N,7,FALSE)</f>
        <v>#N/A</v>
      </c>
      <c r="AD204" s="79" t="e">
        <f ca="1">VLOOKUP(Tableau1[[#This Row],[Key(ID-Actif)]],'DATA BTO'!A:N,8,FALSE)</f>
        <v>#N/A</v>
      </c>
      <c r="AE204" s="79" t="e">
        <f ca="1">IF(Tableau1[[#This Row],[First Day to POL]]&lt;=Tableau1[[#This Row],[Day Cut Off]],Tableau1[[#This Row],[Day ETD]],Tableau1[[#This Row],[Day ETD]]+7)</f>
        <v>#N/A</v>
      </c>
      <c r="AF204" s="79" t="e">
        <f ca="1">VLOOKUP(Tableau1[[#This Row],[Key(ID-Actif)]],'DATA BTO'!A:N,9,FALSE)</f>
        <v>#N/A</v>
      </c>
      <c r="AG204" s="106" t="e">
        <f ca="1">VLOOKUP(Tableau1[[#This Row],[Key(ID-Actif)]],'DATA BTO'!A:N,10,FALSE)</f>
        <v>#N/A</v>
      </c>
      <c r="AH204" s="106" t="e">
        <f ca="1">VLOOKUP(Tableau1[[#This Row],[Key(ID-Actif)]],'DATA BTO'!A:N,11,FALSE)</f>
        <v>#N/A</v>
      </c>
      <c r="AI204" s="79" t="e">
        <f ca="1">VLOOKUP(Tableau1[[#This Row],[Key(ID-Actif)]],'DATA BTO'!A:N,12,FALSE)</f>
        <v>#N/A</v>
      </c>
      <c r="AJ204" s="104" t="e">
        <f ca="1">VLOOKUP(Tableau1[[#This Row],[Key(ID-Actif)]],'DATA BTO'!A:N,14,FALSE)</f>
        <v>#N/A</v>
      </c>
      <c r="AK204" s="105" t="e">
        <f ca="1">VLOOKUP(Tableau1[[#This Row],[Key(POD -PFI- Usine)]],'DATA Consignee'!A:F,6,FALSE)</f>
        <v>#N/A</v>
      </c>
      <c r="AL204" s="136"/>
      <c r="AM204" s="488" t="str">
        <f>IF(Tableau1[[#This Row],[Name PFI/CDD]]="","-",VLOOKUP(Tableau1[[#This Row],[Name PFI/CDD]],Plant_AILN!I:J,2,FALSE))</f>
        <v>-</v>
      </c>
      <c r="AN20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4" s="108" t="e">
        <f ca="1">VLOOKUP(Tableau1[[#This Row],[Key(POD -PFI- Usine)]],'DATA Consignee'!A:J,10,FALSE)</f>
        <v>#N/A</v>
      </c>
      <c r="AQ204" s="79" t="e">
        <f ca="1">VLOOKUP(Tableau1[[#This Row],[Key(POD -PFI- Usine)]],'DATA Consignee'!A:N,14,FALSE)</f>
        <v>#N/A</v>
      </c>
      <c r="AR20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4" s="79" t="e">
        <f ca="1">Tableau1[[#This Row],[Transit time]]+Tableau1[[#This Row],[Time for security]]+Tableau1[[#This Row],[Time for security2 buffer]]</f>
        <v>#N/A</v>
      </c>
      <c r="AU20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4" s="104" t="e">
        <f ca="1">Tableau1[[#This Row],[Leadtime SI2C]]+Tableau1[[#This Row],[First Receipt Days]]-Tableau1[[#This Row],[Day Customer Order]]+1</f>
        <v>#N/A</v>
      </c>
      <c r="AW204" s="118" t="e">
        <f ca="1">IF(Tableau1[[#This Row],[Name ILN]]&lt;&gt;"SFK Freight Forwarder",Tableau1[[#This Row],[Cust. Leadtime]],Tableau1[[#This Row],[Leadtime SI2C]])</f>
        <v>#N/A</v>
      </c>
      <c r="AX204" s="51" t="e">
        <f>VLOOKUP(Tableau1[[#This Row],[ID]],'DATA BTO'!B:P,15,FALSE)</f>
        <v>#N/A</v>
      </c>
      <c r="AY204" s="328" t="e">
        <f ca="1">IFERROR(VLOOKUP(Tableau1[[#This Row],[Key(ID-Actif)]],'DATA BTO'!A:N,4,FALSE),VLOOKUP(Tableau1[[#This Row],[ID]],'DATA BTO'!B:N,3,FALSE))</f>
        <v>#N/A</v>
      </c>
      <c r="AZ20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4" s="50"/>
    </row>
    <row r="205" spans="2:57">
      <c r="B205" s="65" t="str">
        <f>_xlfn.CONCAT(Tableau1[[#This Row],[Name ILN]],"-",Tableau1[[#This Row],[Name Shipper]],"-",Tableau1[[#This Row],[Name Site]])</f>
        <v>--</v>
      </c>
      <c r="C205" s="65" t="e">
        <f>_xlfn.CONCAT(Tableau1[[#This Row],[Compte ILN]],"-",Tableau1[[#This Row],[Compte Shipper]],"-",Tableau1[[#This Row],[POL]],"-",Tableau1[[#This Row],[Compte Consignee]])</f>
        <v>#N/A</v>
      </c>
      <c r="D205" s="80" t="e">
        <f>_xlfn.CONCAT(Tableau1[[#This Row],[Compte ILN]],"-",Tableau1[[#This Row],[Compte Shipper]],"-",Tableau1[[#This Row],[POL]])</f>
        <v>#N/A</v>
      </c>
      <c r="E205" s="81" t="e">
        <f ca="1">_xlfn.CONCAT(Tableau1[[#This Row],[POL]],"-",Tableau1[[#This Row],[Carrier]],"-",Tableau1[[#This Row],[POD]])</f>
        <v>#N/A</v>
      </c>
      <c r="F205" s="80" t="str">
        <f>_xlfn.CONCAT(Tableau1[[#This Row],[ID]],"-","Actif")</f>
        <v>-Actif</v>
      </c>
      <c r="G205" s="80" t="e">
        <f ca="1">_xlfn.CONCAT(Tableau1[[#This Row],[POD]],"-",Tableau1[[#This Row],[Code PFI]],"-",Tableau1[[#This Row],[Compte Consignee]])</f>
        <v>#N/A</v>
      </c>
      <c r="H20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5" s="397" t="str">
        <f ca="1">IF(COUNTIF(I:I,Tableau1[[#This Row],[Plant-ILN-shipper-POL-Carrier-POD-PFI]])=1,"Non","Oui")</f>
        <v>Oui</v>
      </c>
      <c r="K205" s="402" t="e">
        <f>VLOOKUP(Tableau1[[#This Row],[Name Site]],Plant_AILN!A:D,4,FALSE)</f>
        <v>#N/A</v>
      </c>
      <c r="L205" s="363"/>
      <c r="M205" s="480" t="e">
        <f>VLOOKUP(Tableau1[[#This Row],[Name Site]],Plant_AILN!A:C,3,FALSE)</f>
        <v>#N/A</v>
      </c>
      <c r="N205" s="102" t="e">
        <f>VLOOKUP(Tableau1[[#This Row],[Compte Consignee]],Order!C:D,2,FALSE)</f>
        <v>#N/A</v>
      </c>
      <c r="O205" s="124"/>
      <c r="P205" s="484" t="e">
        <f>VLOOKUP(Tableau1[[#This Row],[Name ILN]],Plant_AILN!F:G,2,FALSE)</f>
        <v>#N/A</v>
      </c>
      <c r="Q205" s="79" t="e">
        <f>VLOOKUP(Tableau1[[#This Row],[Compte ILN]],'DATA ILN'!D:I,6,FALSE)</f>
        <v>#N/A</v>
      </c>
      <c r="R205" s="50" t="e">
        <f>IFERROR(VLOOKUP(Tableau1[[#This Row],[Key(Compte ILN - shipper - POL - plant)]],'DATA ILN'!A:J,10,FALSE),VLOOKUP(Tableau1[[#This Row],[Key(Compte ILN - shipper - POL)]],'DATA ILN'!B:J,9,FALSE))</f>
        <v>#N/A</v>
      </c>
      <c r="S205" s="79" t="e">
        <f>IFERROR(VLOOKUP(Tableau1[[#This Row],[Key(Compte ILN - shipper - POL - plant)]],'DATA ILN'!A:K,11,FALSE),VLOOKUP(Tableau1[[#This Row],[Key(Compte ILN - shipper - POL)]],'DATA ILN'!B:K,10,FALSE))</f>
        <v>#N/A</v>
      </c>
      <c r="T205" s="79" t="e">
        <f>IFERROR(VLOOKUP(Tableau1[[#This Row],[Key(Compte ILN - shipper - POL - plant)]],'DATA ILN'!A:L,12,FALSE),VLOOKUP(Tableau1[[#This Row],[Key(Compte ILN - shipper - POL)]],'DATA ILN'!B:L,11,FALSE))</f>
        <v>#N/A</v>
      </c>
      <c r="U205" s="79" t="e">
        <f>Tableau1[[#This Row],[Day ILN Order]]+Tableau1[[#This Row],[Delivery time to ILN/Shipper]]-1</f>
        <v>#N/A</v>
      </c>
      <c r="V205" s="79" t="e">
        <f>IFERROR(VLOOKUP(Tableau1[[#This Row],[Key(Compte ILN - shipper - POL - plant)]],'DATA ILN'!A:N,14,FALSE),VLOOKUP(Tableau1[[#This Row],[Key(Compte ILN - shipper - POL)]],'DATA ILN'!B:N,13,FALSE))</f>
        <v>#N/A</v>
      </c>
      <c r="W205" s="104" t="e">
        <f>IFERROR(VLOOKUP(Tableau1[[#This Row],[Key(Compte ILN - shipper - POL - plant)]],'DATA ILN'!A:P,16,FALSE),VLOOKUP(Tableau1[[#This Row],[Key(Compte ILN - shipper - POL)]],'DATA ILN'!B:P,15,FALSE))</f>
        <v>#N/A</v>
      </c>
      <c r="X205" s="283"/>
      <c r="Y205" s="487">
        <f>IFERROR(VLOOKUP(Tableau1[[#This Row],[Name Shipper]],Plant_AILN!L:M,2,FALSE),0)</f>
        <v>0</v>
      </c>
      <c r="Z205" s="358"/>
      <c r="AA205" s="354" t="e">
        <f ca="1">VLOOKUP(Tableau1[[#This Row],[Key(ID-Actif)]],'DATA BTO'!A:N,5,FALSE)</f>
        <v>#N/A</v>
      </c>
      <c r="AB205" s="3" t="e">
        <f ca="1">VLOOKUP(Tableau1[[#This Row],[Key(ID-Actif)]],'DATA BTO'!A:N,6,FALSE)</f>
        <v>#N/A</v>
      </c>
      <c r="AC205" s="79" t="e">
        <f ca="1">VLOOKUP(Tableau1[[#This Row],[Key(ID-Actif)]],'DATA BTO'!A:N,7,FALSE)</f>
        <v>#N/A</v>
      </c>
      <c r="AD205" s="79" t="e">
        <f ca="1">VLOOKUP(Tableau1[[#This Row],[Key(ID-Actif)]],'DATA BTO'!A:N,8,FALSE)</f>
        <v>#N/A</v>
      </c>
      <c r="AE205" s="79" t="e">
        <f ca="1">IF(Tableau1[[#This Row],[First Day to POL]]&lt;=Tableau1[[#This Row],[Day Cut Off]],Tableau1[[#This Row],[Day ETD]],Tableau1[[#This Row],[Day ETD]]+7)</f>
        <v>#N/A</v>
      </c>
      <c r="AF205" s="79" t="e">
        <f ca="1">VLOOKUP(Tableau1[[#This Row],[Key(ID-Actif)]],'DATA BTO'!A:N,9,FALSE)</f>
        <v>#N/A</v>
      </c>
      <c r="AG205" s="106" t="e">
        <f ca="1">VLOOKUP(Tableau1[[#This Row],[Key(ID-Actif)]],'DATA BTO'!A:N,10,FALSE)</f>
        <v>#N/A</v>
      </c>
      <c r="AH205" s="106" t="e">
        <f ca="1">VLOOKUP(Tableau1[[#This Row],[Key(ID-Actif)]],'DATA BTO'!A:N,11,FALSE)</f>
        <v>#N/A</v>
      </c>
      <c r="AI205" s="79" t="e">
        <f ca="1">VLOOKUP(Tableau1[[#This Row],[Key(ID-Actif)]],'DATA BTO'!A:N,12,FALSE)</f>
        <v>#N/A</v>
      </c>
      <c r="AJ205" s="104" t="e">
        <f ca="1">VLOOKUP(Tableau1[[#This Row],[Key(ID-Actif)]],'DATA BTO'!A:N,14,FALSE)</f>
        <v>#N/A</v>
      </c>
      <c r="AK205" s="105" t="e">
        <f ca="1">VLOOKUP(Tableau1[[#This Row],[Key(POD -PFI- Usine)]],'DATA Consignee'!A:F,6,FALSE)</f>
        <v>#N/A</v>
      </c>
      <c r="AL205" s="136"/>
      <c r="AM205" s="488" t="str">
        <f>IF(Tableau1[[#This Row],[Name PFI/CDD]]="","-",VLOOKUP(Tableau1[[#This Row],[Name PFI/CDD]],Plant_AILN!I:J,2,FALSE))</f>
        <v>-</v>
      </c>
      <c r="AN20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5" s="108" t="e">
        <f ca="1">VLOOKUP(Tableau1[[#This Row],[Key(POD -PFI- Usine)]],'DATA Consignee'!A:J,10,FALSE)</f>
        <v>#N/A</v>
      </c>
      <c r="AQ205" s="79" t="e">
        <f ca="1">VLOOKUP(Tableau1[[#This Row],[Key(POD -PFI- Usine)]],'DATA Consignee'!A:N,14,FALSE)</f>
        <v>#N/A</v>
      </c>
      <c r="AR20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5" s="79" t="e">
        <f ca="1">Tableau1[[#This Row],[Transit time]]+Tableau1[[#This Row],[Time for security]]+Tableau1[[#This Row],[Time for security2 buffer]]</f>
        <v>#N/A</v>
      </c>
      <c r="AU20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5" s="104" t="e">
        <f ca="1">Tableau1[[#This Row],[Leadtime SI2C]]+Tableau1[[#This Row],[First Receipt Days]]-Tableau1[[#This Row],[Day Customer Order]]+1</f>
        <v>#N/A</v>
      </c>
      <c r="AW205" s="118" t="e">
        <f ca="1">IF(Tableau1[[#This Row],[Name ILN]]&lt;&gt;"SFK Freight Forwarder",Tableau1[[#This Row],[Cust. Leadtime]],Tableau1[[#This Row],[Leadtime SI2C]])</f>
        <v>#N/A</v>
      </c>
      <c r="AX205" s="51" t="e">
        <f>VLOOKUP(Tableau1[[#This Row],[ID]],'DATA BTO'!B:P,15,FALSE)</f>
        <v>#N/A</v>
      </c>
      <c r="AY205" s="328" t="e">
        <f ca="1">IFERROR(VLOOKUP(Tableau1[[#This Row],[Key(ID-Actif)]],'DATA BTO'!A:N,4,FALSE),VLOOKUP(Tableau1[[#This Row],[ID]],'DATA BTO'!B:N,3,FALSE))</f>
        <v>#N/A</v>
      </c>
      <c r="AZ20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5" s="50"/>
    </row>
    <row r="206" spans="2:57">
      <c r="B206" s="65" t="str">
        <f>_xlfn.CONCAT(Tableau1[[#This Row],[Name ILN]],"-",Tableau1[[#This Row],[Name Shipper]],"-",Tableau1[[#This Row],[Name Site]])</f>
        <v>--</v>
      </c>
      <c r="C206" s="65" t="e">
        <f>_xlfn.CONCAT(Tableau1[[#This Row],[Compte ILN]],"-",Tableau1[[#This Row],[Compte Shipper]],"-",Tableau1[[#This Row],[POL]],"-",Tableau1[[#This Row],[Compte Consignee]])</f>
        <v>#N/A</v>
      </c>
      <c r="D206" s="80" t="e">
        <f>_xlfn.CONCAT(Tableau1[[#This Row],[Compte ILN]],"-",Tableau1[[#This Row],[Compte Shipper]],"-",Tableau1[[#This Row],[POL]])</f>
        <v>#N/A</v>
      </c>
      <c r="E206" s="81" t="e">
        <f ca="1">_xlfn.CONCAT(Tableau1[[#This Row],[POL]],"-",Tableau1[[#This Row],[Carrier]],"-",Tableau1[[#This Row],[POD]])</f>
        <v>#N/A</v>
      </c>
      <c r="F206" s="80" t="str">
        <f>_xlfn.CONCAT(Tableau1[[#This Row],[ID]],"-","Actif")</f>
        <v>-Actif</v>
      </c>
      <c r="G206" s="80" t="e">
        <f ca="1">_xlfn.CONCAT(Tableau1[[#This Row],[POD]],"-",Tableau1[[#This Row],[Code PFI]],"-",Tableau1[[#This Row],[Compte Consignee]])</f>
        <v>#N/A</v>
      </c>
      <c r="H206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6" s="397" t="str">
        <f ca="1">IF(COUNTIF(I:I,Tableau1[[#This Row],[Plant-ILN-shipper-POL-Carrier-POD-PFI]])=1,"Non","Oui")</f>
        <v>Oui</v>
      </c>
      <c r="K206" s="449" t="e">
        <f>VLOOKUP(Tableau1[[#This Row],[Name Site]],Plant_AILN!A:D,4,FALSE)</f>
        <v>#N/A</v>
      </c>
      <c r="L206" s="10"/>
      <c r="M206" s="480" t="e">
        <f>VLOOKUP(Tableau1[[#This Row],[Name Site]],Plant_AILN!A:C,3,FALSE)</f>
        <v>#N/A</v>
      </c>
      <c r="N206" s="102" t="e">
        <f>VLOOKUP(Tableau1[[#This Row],[Compte Consignee]],Order!C:D,2,FALSE)</f>
        <v>#N/A</v>
      </c>
      <c r="O206" s="124"/>
      <c r="P206" s="484" t="e">
        <f>VLOOKUP(Tableau1[[#This Row],[Name ILN]],Plant_AILN!F:G,2,FALSE)</f>
        <v>#N/A</v>
      </c>
      <c r="Q206" s="79" t="e">
        <f>VLOOKUP(Tableau1[[#This Row],[Compte ILN]],'DATA ILN'!D:I,6,FALSE)</f>
        <v>#N/A</v>
      </c>
      <c r="R206" s="50" t="e">
        <f>IFERROR(VLOOKUP(Tableau1[[#This Row],[Key(Compte ILN - shipper - POL - plant)]],'DATA ILN'!A:J,10,FALSE),VLOOKUP(Tableau1[[#This Row],[Key(Compte ILN - shipper - POL)]],'DATA ILN'!B:J,9,FALSE))</f>
        <v>#N/A</v>
      </c>
      <c r="S206" s="79" t="e">
        <f>IFERROR(VLOOKUP(Tableau1[[#This Row],[Key(Compte ILN - shipper - POL - plant)]],'DATA ILN'!A:K,11,FALSE),VLOOKUP(Tableau1[[#This Row],[Key(Compte ILN - shipper - POL)]],'DATA ILN'!B:K,10,FALSE))</f>
        <v>#N/A</v>
      </c>
      <c r="T206" s="79" t="e">
        <f>IFERROR(VLOOKUP(Tableau1[[#This Row],[Key(Compte ILN - shipper - POL - plant)]],'DATA ILN'!A:L,12,FALSE),VLOOKUP(Tableau1[[#This Row],[Key(Compte ILN - shipper - POL)]],'DATA ILN'!B:L,11,FALSE))</f>
        <v>#N/A</v>
      </c>
      <c r="U206" s="79" t="e">
        <f>Tableau1[[#This Row],[Day ILN Order]]+Tableau1[[#This Row],[Delivery time to ILN/Shipper]]-1</f>
        <v>#N/A</v>
      </c>
      <c r="V206" s="79" t="e">
        <f>IFERROR(VLOOKUP(Tableau1[[#This Row],[Key(Compte ILN - shipper - POL - plant)]],'DATA ILN'!A:N,14,FALSE),VLOOKUP(Tableau1[[#This Row],[Key(Compte ILN - shipper - POL)]],'DATA ILN'!B:N,13,FALSE))</f>
        <v>#N/A</v>
      </c>
      <c r="W206" s="104" t="e">
        <f>IFERROR(VLOOKUP(Tableau1[[#This Row],[Key(Compte ILN - shipper - POL - plant)]],'DATA ILN'!A:P,16,FALSE),VLOOKUP(Tableau1[[#This Row],[Key(Compte ILN - shipper - POL)]],'DATA ILN'!B:P,15,FALSE))</f>
        <v>#N/A</v>
      </c>
      <c r="X206" s="283"/>
      <c r="Y206" s="487">
        <f>IFERROR(VLOOKUP(Tableau1[[#This Row],[Name Shipper]],Plant_AILN!L:M,2,FALSE),0)</f>
        <v>0</v>
      </c>
      <c r="Z206" s="358"/>
      <c r="AA206" s="354" t="e">
        <f ca="1">VLOOKUP(Tableau1[[#This Row],[Key(ID-Actif)]],'DATA BTO'!A:N,5,FALSE)</f>
        <v>#N/A</v>
      </c>
      <c r="AB206" s="3" t="e">
        <f ca="1">VLOOKUP(Tableau1[[#This Row],[Key(ID-Actif)]],'DATA BTO'!A:N,6,FALSE)</f>
        <v>#N/A</v>
      </c>
      <c r="AC206" s="79" t="e">
        <f ca="1">VLOOKUP(Tableau1[[#This Row],[Key(ID-Actif)]],'DATA BTO'!A:N,7,FALSE)</f>
        <v>#N/A</v>
      </c>
      <c r="AD206" s="79" t="e">
        <f ca="1">VLOOKUP(Tableau1[[#This Row],[Key(ID-Actif)]],'DATA BTO'!A:N,8,FALSE)</f>
        <v>#N/A</v>
      </c>
      <c r="AE206" s="79" t="e">
        <f ca="1">IF(Tableau1[[#This Row],[First Day to POL]]&lt;=Tableau1[[#This Row],[Day Cut Off]],Tableau1[[#This Row],[Day ETD]],Tableau1[[#This Row],[Day ETD]]+7)</f>
        <v>#N/A</v>
      </c>
      <c r="AF206" s="79" t="e">
        <f ca="1">VLOOKUP(Tableau1[[#This Row],[Key(ID-Actif)]],'DATA BTO'!A:N,9,FALSE)</f>
        <v>#N/A</v>
      </c>
      <c r="AG206" s="106" t="e">
        <f ca="1">VLOOKUP(Tableau1[[#This Row],[Key(ID-Actif)]],'DATA BTO'!A:N,10,FALSE)</f>
        <v>#N/A</v>
      </c>
      <c r="AH206" s="106" t="e">
        <f ca="1">VLOOKUP(Tableau1[[#This Row],[Key(ID-Actif)]],'DATA BTO'!A:N,11,FALSE)</f>
        <v>#N/A</v>
      </c>
      <c r="AI206" s="79" t="e">
        <f ca="1">VLOOKUP(Tableau1[[#This Row],[Key(ID-Actif)]],'DATA BTO'!A:N,12,FALSE)</f>
        <v>#N/A</v>
      </c>
      <c r="AJ206" s="104" t="e">
        <f ca="1">VLOOKUP(Tableau1[[#This Row],[Key(ID-Actif)]],'DATA BTO'!A:N,14,FALSE)</f>
        <v>#N/A</v>
      </c>
      <c r="AK206" s="105" t="e">
        <f ca="1">VLOOKUP(Tableau1[[#This Row],[Key(POD -PFI- Usine)]],'DATA Consignee'!A:F,6,FALSE)</f>
        <v>#N/A</v>
      </c>
      <c r="AL206" s="136"/>
      <c r="AM206" s="488" t="str">
        <f>IF(Tableau1[[#This Row],[Name PFI/CDD]]="","-",VLOOKUP(Tableau1[[#This Row],[Name PFI/CDD]],Plant_AILN!I:J,2,FALSE))</f>
        <v>-</v>
      </c>
      <c r="AN206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6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6" s="108" t="e">
        <f ca="1">VLOOKUP(Tableau1[[#This Row],[Key(POD -PFI- Usine)]],'DATA Consignee'!A:J,10,FALSE)</f>
        <v>#N/A</v>
      </c>
      <c r="AQ206" s="79" t="e">
        <f ca="1">VLOOKUP(Tableau1[[#This Row],[Key(POD -PFI- Usine)]],'DATA Consignee'!A:N,14,FALSE)</f>
        <v>#N/A</v>
      </c>
      <c r="AR206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6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6" s="79" t="e">
        <f ca="1">Tableau1[[#This Row],[Transit time]]+Tableau1[[#This Row],[Time for security]]+Tableau1[[#This Row],[Time for security2 buffer]]</f>
        <v>#N/A</v>
      </c>
      <c r="AU206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6" s="104" t="e">
        <f ca="1">Tableau1[[#This Row],[Leadtime SI2C]]+Tableau1[[#This Row],[First Receipt Days]]-Tableau1[[#This Row],[Day Customer Order]]+1</f>
        <v>#N/A</v>
      </c>
      <c r="AW206" s="118" t="e">
        <f ca="1">IF(Tableau1[[#This Row],[Name ILN]]&lt;&gt;"SFK Freight Forwarder",Tableau1[[#This Row],[Cust. Leadtime]],Tableau1[[#This Row],[Leadtime SI2C]])</f>
        <v>#N/A</v>
      </c>
      <c r="AX206" s="51" t="e">
        <f>VLOOKUP(Tableau1[[#This Row],[ID]],'DATA BTO'!B:P,15,FALSE)</f>
        <v>#N/A</v>
      </c>
      <c r="AY206" s="328" t="e">
        <f ca="1">IFERROR(VLOOKUP(Tableau1[[#This Row],[Key(ID-Actif)]],'DATA BTO'!A:N,4,FALSE),VLOOKUP(Tableau1[[#This Row],[ID]],'DATA BTO'!B:N,3,FALSE))</f>
        <v>#N/A</v>
      </c>
      <c r="AZ20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6" s="50"/>
    </row>
    <row r="207" spans="2:57">
      <c r="B207" s="65" t="str">
        <f>_xlfn.CONCAT(Tableau1[[#This Row],[Name ILN]],"-",Tableau1[[#This Row],[Name Shipper]],"-",Tableau1[[#This Row],[Name Site]])</f>
        <v>--</v>
      </c>
      <c r="C207" s="65" t="e">
        <f>_xlfn.CONCAT(Tableau1[[#This Row],[Compte ILN]],"-",Tableau1[[#This Row],[Compte Shipper]],"-",Tableau1[[#This Row],[POL]],"-",Tableau1[[#This Row],[Compte Consignee]])</f>
        <v>#N/A</v>
      </c>
      <c r="D207" s="80" t="e">
        <f>_xlfn.CONCAT(Tableau1[[#This Row],[Compte ILN]],"-",Tableau1[[#This Row],[Compte Shipper]],"-",Tableau1[[#This Row],[POL]])</f>
        <v>#N/A</v>
      </c>
      <c r="E207" s="81" t="e">
        <f ca="1">_xlfn.CONCAT(Tableau1[[#This Row],[POL]],"-",Tableau1[[#This Row],[Carrier]],"-",Tableau1[[#This Row],[POD]])</f>
        <v>#N/A</v>
      </c>
      <c r="F207" s="80" t="str">
        <f>_xlfn.CONCAT(Tableau1[[#This Row],[ID]],"-","Actif")</f>
        <v>-Actif</v>
      </c>
      <c r="G207" s="80" t="e">
        <f ca="1">_xlfn.CONCAT(Tableau1[[#This Row],[POD]],"-",Tableau1[[#This Row],[Code PFI]],"-",Tableau1[[#This Row],[Compte Consignee]])</f>
        <v>#N/A</v>
      </c>
      <c r="H207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7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7" s="401" t="str">
        <f ca="1">IF(COUNTIF(I:I,Tableau1[[#This Row],[Plant-ILN-shipper-POL-Carrier-POD-PFI]])=1,"Non","Oui")</f>
        <v>Oui</v>
      </c>
      <c r="K207" s="449" t="e">
        <f>VLOOKUP(Tableau1[[#This Row],[Name Site]],Plant_AILN!A:D,4,FALSE)</f>
        <v>#N/A</v>
      </c>
      <c r="L207" s="10"/>
      <c r="M207" s="480" t="e">
        <f>VLOOKUP(Tableau1[[#This Row],[Name Site]],Plant_AILN!A:C,3,FALSE)</f>
        <v>#N/A</v>
      </c>
      <c r="N207" s="102" t="e">
        <f>VLOOKUP(Tableau1[[#This Row],[Compte Consignee]],Order!C:D,2,FALSE)</f>
        <v>#N/A</v>
      </c>
      <c r="O207" s="124"/>
      <c r="P207" s="484" t="e">
        <f>VLOOKUP(Tableau1[[#This Row],[Name ILN]],Plant_AILN!F:G,2,FALSE)</f>
        <v>#N/A</v>
      </c>
      <c r="Q207" s="79" t="e">
        <f>VLOOKUP(Tableau1[[#This Row],[Compte ILN]],'DATA ILN'!D:I,6,FALSE)</f>
        <v>#N/A</v>
      </c>
      <c r="R207" s="50" t="e">
        <f>IFERROR(VLOOKUP(Tableau1[[#This Row],[Key(Compte ILN - shipper - POL - plant)]],'DATA ILN'!A:J,10,FALSE),VLOOKUP(Tableau1[[#This Row],[Key(Compte ILN - shipper - POL)]],'DATA ILN'!B:J,9,FALSE))</f>
        <v>#N/A</v>
      </c>
      <c r="S207" s="79" t="e">
        <f>IFERROR(VLOOKUP(Tableau1[[#This Row],[Key(Compte ILN - shipper - POL - plant)]],'DATA ILN'!A:K,11,FALSE),VLOOKUP(Tableau1[[#This Row],[Key(Compte ILN - shipper - POL)]],'DATA ILN'!B:K,10,FALSE))</f>
        <v>#N/A</v>
      </c>
      <c r="T207" s="79" t="e">
        <f>IFERROR(VLOOKUP(Tableau1[[#This Row],[Key(Compte ILN - shipper - POL - plant)]],'DATA ILN'!A:L,12,FALSE),VLOOKUP(Tableau1[[#This Row],[Key(Compte ILN - shipper - POL)]],'DATA ILN'!B:L,11,FALSE))</f>
        <v>#N/A</v>
      </c>
      <c r="U207" s="79" t="e">
        <f>Tableau1[[#This Row],[Day ILN Order]]+Tableau1[[#This Row],[Delivery time to ILN/Shipper]]-1</f>
        <v>#N/A</v>
      </c>
      <c r="V207" s="79" t="e">
        <f>IFERROR(VLOOKUP(Tableau1[[#This Row],[Key(Compte ILN - shipper - POL - plant)]],'DATA ILN'!A:N,14,FALSE),VLOOKUP(Tableau1[[#This Row],[Key(Compte ILN - shipper - POL)]],'DATA ILN'!B:N,13,FALSE))</f>
        <v>#N/A</v>
      </c>
      <c r="W207" s="104" t="e">
        <f>IFERROR(VLOOKUP(Tableau1[[#This Row],[Key(Compte ILN - shipper - POL - plant)]],'DATA ILN'!A:P,16,FALSE),VLOOKUP(Tableau1[[#This Row],[Key(Compte ILN - shipper - POL)]],'DATA ILN'!B:P,15,FALSE))</f>
        <v>#N/A</v>
      </c>
      <c r="X207" s="283"/>
      <c r="Y207" s="487">
        <f>IFERROR(VLOOKUP(Tableau1[[#This Row],[Name Shipper]],Plant_AILN!L:M,2,FALSE),0)</f>
        <v>0</v>
      </c>
      <c r="Z207" s="358"/>
      <c r="AA207" s="354" t="e">
        <f ca="1">VLOOKUP(Tableau1[[#This Row],[Key(ID-Actif)]],'DATA BTO'!A:N,5,FALSE)</f>
        <v>#N/A</v>
      </c>
      <c r="AB207" s="106" t="e">
        <f ca="1">VLOOKUP(Tableau1[[#This Row],[Key(ID-Actif)]],'DATA BTO'!A:N,6,FALSE)</f>
        <v>#N/A</v>
      </c>
      <c r="AC207" s="79" t="e">
        <f ca="1">VLOOKUP(Tableau1[[#This Row],[Key(ID-Actif)]],'DATA BTO'!A:N,7,FALSE)</f>
        <v>#N/A</v>
      </c>
      <c r="AD207" s="79" t="e">
        <f ca="1">VLOOKUP(Tableau1[[#This Row],[Key(ID-Actif)]],'DATA BTO'!A:N,8,FALSE)</f>
        <v>#N/A</v>
      </c>
      <c r="AE207" s="79" t="e">
        <f ca="1">IF(Tableau1[[#This Row],[First Day to POL]]&lt;=Tableau1[[#This Row],[Day Cut Off]],Tableau1[[#This Row],[Day ETD]],Tableau1[[#This Row],[Day ETD]]+7)</f>
        <v>#N/A</v>
      </c>
      <c r="AF207" s="79" t="e">
        <f ca="1">VLOOKUP(Tableau1[[#This Row],[Key(ID-Actif)]],'DATA BTO'!A:N,9,FALSE)</f>
        <v>#N/A</v>
      </c>
      <c r="AG207" s="106" t="e">
        <f ca="1">VLOOKUP(Tableau1[[#This Row],[Key(ID-Actif)]],'DATA BTO'!A:N,10,FALSE)</f>
        <v>#N/A</v>
      </c>
      <c r="AH207" s="106" t="e">
        <f ca="1">VLOOKUP(Tableau1[[#This Row],[Key(ID-Actif)]],'DATA BTO'!A:N,11,FALSE)</f>
        <v>#N/A</v>
      </c>
      <c r="AI207" s="79" t="e">
        <f ca="1">VLOOKUP(Tableau1[[#This Row],[Key(ID-Actif)]],'DATA BTO'!A:N,12,FALSE)</f>
        <v>#N/A</v>
      </c>
      <c r="AJ207" s="104" t="e">
        <f ca="1">VLOOKUP(Tableau1[[#This Row],[Key(ID-Actif)]],'DATA BTO'!A:N,14,FALSE)</f>
        <v>#N/A</v>
      </c>
      <c r="AK207" s="105" t="e">
        <f ca="1">VLOOKUP(Tableau1[[#This Row],[Key(POD -PFI- Usine)]],'DATA Consignee'!A:F,6,FALSE)</f>
        <v>#N/A</v>
      </c>
      <c r="AL207" s="125"/>
      <c r="AM207" s="488" t="str">
        <f>IF(Tableau1[[#This Row],[Name PFI/CDD]]="","-",VLOOKUP(Tableau1[[#This Row],[Name PFI/CDD]],Plant_AILN!I:J,2,FALSE))</f>
        <v>-</v>
      </c>
      <c r="AN207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7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7" s="108" t="e">
        <f ca="1">VLOOKUP(Tableau1[[#This Row],[Key(POD -PFI- Usine)]],'DATA Consignee'!A:J,10,FALSE)</f>
        <v>#N/A</v>
      </c>
      <c r="AQ207" s="79" t="e">
        <f ca="1">VLOOKUP(Tableau1[[#This Row],[Key(POD -PFI- Usine)]],'DATA Consignee'!A:N,14,FALSE)</f>
        <v>#N/A</v>
      </c>
      <c r="AR207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7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7" s="79" t="e">
        <f ca="1">Tableau1[[#This Row],[Transit time]]+Tableau1[[#This Row],[Time for security]]+Tableau1[[#This Row],[Time for security2 buffer]]</f>
        <v>#N/A</v>
      </c>
      <c r="AU207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7" s="79" t="e">
        <f ca="1">Tableau1[[#This Row],[Leadtime SI2C]]+Tableau1[[#This Row],[First Receipt Days]]-Tableau1[[#This Row],[Day Customer Order]]+1</f>
        <v>#N/A</v>
      </c>
      <c r="AW207" s="118" t="e">
        <f ca="1">IF(Tableau1[[#This Row],[Name ILN]]&lt;&gt;"SFK Freight Forwarder",Tableau1[[#This Row],[Cust. Leadtime]],Tableau1[[#This Row],[Leadtime SI2C]])</f>
        <v>#N/A</v>
      </c>
      <c r="AX207" s="51" t="e">
        <f>VLOOKUP(Tableau1[[#This Row],[ID]],'DATA BTO'!B:P,15,FALSE)</f>
        <v>#N/A</v>
      </c>
      <c r="AY207" s="328" t="e">
        <f ca="1">IFERROR(VLOOKUP(Tableau1[[#This Row],[Key(ID-Actif)]],'DATA BTO'!A:N,4,FALSE),VLOOKUP(Tableau1[[#This Row],[ID]],'DATA BTO'!B:N,3,FALSE))</f>
        <v>#N/A</v>
      </c>
      <c r="AZ20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7" s="50"/>
    </row>
    <row r="208" spans="2:57">
      <c r="B208" s="65" t="str">
        <f>_xlfn.CONCAT(Tableau1[[#This Row],[Name ILN]],"-",Tableau1[[#This Row],[Name Shipper]],"-",Tableau1[[#This Row],[Name Site]])</f>
        <v>--</v>
      </c>
      <c r="C208" s="65" t="e">
        <f>_xlfn.CONCAT(Tableau1[[#This Row],[Compte ILN]],"-",Tableau1[[#This Row],[Compte Shipper]],"-",Tableau1[[#This Row],[POL]],"-",Tableau1[[#This Row],[Compte Consignee]])</f>
        <v>#N/A</v>
      </c>
      <c r="D208" s="80" t="e">
        <f>_xlfn.CONCAT(Tableau1[[#This Row],[Compte ILN]],"-",Tableau1[[#This Row],[Compte Shipper]],"-",Tableau1[[#This Row],[POL]])</f>
        <v>#N/A</v>
      </c>
      <c r="E208" s="81" t="e">
        <f ca="1">_xlfn.CONCAT(Tableau1[[#This Row],[POL]],"-",Tableau1[[#This Row],[Carrier]],"-",Tableau1[[#This Row],[POD]])</f>
        <v>#N/A</v>
      </c>
      <c r="F208" s="80" t="str">
        <f>_xlfn.CONCAT(Tableau1[[#This Row],[ID]],"-","Actif")</f>
        <v>-Actif</v>
      </c>
      <c r="G208" s="80" t="e">
        <f ca="1">_xlfn.CONCAT(Tableau1[[#This Row],[POD]],"-",Tableau1[[#This Row],[Code PFI]],"-",Tableau1[[#This Row],[Compte Consignee]])</f>
        <v>#N/A</v>
      </c>
      <c r="H208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8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8" s="401" t="str">
        <f ca="1">IF(COUNTIF(I:I,Tableau1[[#This Row],[Plant-ILN-shipper-POL-Carrier-POD-PFI]])=1,"Non","Oui")</f>
        <v>Oui</v>
      </c>
      <c r="K208" s="449" t="e">
        <f>VLOOKUP(Tableau1[[#This Row],[Name Site]],Plant_AILN!A:D,4,FALSE)</f>
        <v>#N/A</v>
      </c>
      <c r="L208" s="10"/>
      <c r="M208" s="480" t="e">
        <f>VLOOKUP(Tableau1[[#This Row],[Name Site]],Plant_AILN!A:C,3,FALSE)</f>
        <v>#N/A</v>
      </c>
      <c r="N208" s="102" t="e">
        <f>VLOOKUP(Tableau1[[#This Row],[Compte Consignee]],Order!C:D,2,FALSE)</f>
        <v>#N/A</v>
      </c>
      <c r="O208" s="124"/>
      <c r="P208" s="484" t="e">
        <f>VLOOKUP(Tableau1[[#This Row],[Name ILN]],Plant_AILN!F:G,2,FALSE)</f>
        <v>#N/A</v>
      </c>
      <c r="Q208" s="79" t="e">
        <f>VLOOKUP(Tableau1[[#This Row],[Compte ILN]],'DATA ILN'!D:I,6,FALSE)</f>
        <v>#N/A</v>
      </c>
      <c r="R208" s="50" t="e">
        <f>IFERROR(VLOOKUP(Tableau1[[#This Row],[Key(Compte ILN - shipper - POL - plant)]],'DATA ILN'!A:J,10,FALSE),VLOOKUP(Tableau1[[#This Row],[Key(Compte ILN - shipper - POL)]],'DATA ILN'!B:J,9,FALSE))</f>
        <v>#N/A</v>
      </c>
      <c r="S208" s="79" t="e">
        <f>IFERROR(VLOOKUP(Tableau1[[#This Row],[Key(Compte ILN - shipper - POL - plant)]],'DATA ILN'!A:K,11,FALSE),VLOOKUP(Tableau1[[#This Row],[Key(Compte ILN - shipper - POL)]],'DATA ILN'!B:K,10,FALSE))</f>
        <v>#N/A</v>
      </c>
      <c r="T208" s="79" t="e">
        <f>IFERROR(VLOOKUP(Tableau1[[#This Row],[Key(Compte ILN - shipper - POL - plant)]],'DATA ILN'!A:L,12,FALSE),VLOOKUP(Tableau1[[#This Row],[Key(Compte ILN - shipper - POL)]],'DATA ILN'!B:L,11,FALSE))</f>
        <v>#N/A</v>
      </c>
      <c r="U208" s="79" t="e">
        <f>Tableau1[[#This Row],[Day ILN Order]]+Tableau1[[#This Row],[Delivery time to ILN/Shipper]]-1</f>
        <v>#N/A</v>
      </c>
      <c r="V208" s="79" t="e">
        <f>IFERROR(VLOOKUP(Tableau1[[#This Row],[Key(Compte ILN - shipper - POL - plant)]],'DATA ILN'!A:N,14,FALSE),VLOOKUP(Tableau1[[#This Row],[Key(Compte ILN - shipper - POL)]],'DATA ILN'!B:N,13,FALSE))</f>
        <v>#N/A</v>
      </c>
      <c r="W208" s="104" t="e">
        <f>IFERROR(VLOOKUP(Tableau1[[#This Row],[Key(Compte ILN - shipper - POL - plant)]],'DATA ILN'!A:P,16,FALSE),VLOOKUP(Tableau1[[#This Row],[Key(Compte ILN - shipper - POL)]],'DATA ILN'!B:P,15,FALSE))</f>
        <v>#N/A</v>
      </c>
      <c r="X208" s="283"/>
      <c r="Y208" s="487">
        <f>IFERROR(VLOOKUP(Tableau1[[#This Row],[Name Shipper]],Plant_AILN!L:M,2,FALSE),0)</f>
        <v>0</v>
      </c>
      <c r="Z208" s="358"/>
      <c r="AA208" s="354" t="e">
        <f ca="1">VLOOKUP(Tableau1[[#This Row],[Key(ID-Actif)]],'DATA BTO'!A:N,5,FALSE)</f>
        <v>#N/A</v>
      </c>
      <c r="AB208" s="106" t="e">
        <f ca="1">VLOOKUP(Tableau1[[#This Row],[Key(ID-Actif)]],'DATA BTO'!A:N,6,FALSE)</f>
        <v>#N/A</v>
      </c>
      <c r="AC208" s="79" t="e">
        <f ca="1">VLOOKUP(Tableau1[[#This Row],[Key(ID-Actif)]],'DATA BTO'!A:N,7,FALSE)</f>
        <v>#N/A</v>
      </c>
      <c r="AD208" s="79" t="e">
        <f ca="1">VLOOKUP(Tableau1[[#This Row],[Key(ID-Actif)]],'DATA BTO'!A:N,8,FALSE)</f>
        <v>#N/A</v>
      </c>
      <c r="AE208" s="79" t="e">
        <f ca="1">IF(Tableau1[[#This Row],[First Day to POL]]&lt;=Tableau1[[#This Row],[Day Cut Off]],Tableau1[[#This Row],[Day ETD]],Tableau1[[#This Row],[Day ETD]]+7)</f>
        <v>#N/A</v>
      </c>
      <c r="AF208" s="79" t="e">
        <f ca="1">VLOOKUP(Tableau1[[#This Row],[Key(ID-Actif)]],'DATA BTO'!A:N,9,FALSE)</f>
        <v>#N/A</v>
      </c>
      <c r="AG208" s="106" t="e">
        <f ca="1">VLOOKUP(Tableau1[[#This Row],[Key(ID-Actif)]],'DATA BTO'!A:N,10,FALSE)</f>
        <v>#N/A</v>
      </c>
      <c r="AH208" s="106" t="e">
        <f ca="1">VLOOKUP(Tableau1[[#This Row],[Key(ID-Actif)]],'DATA BTO'!A:N,11,FALSE)</f>
        <v>#N/A</v>
      </c>
      <c r="AI208" s="79" t="e">
        <f ca="1">VLOOKUP(Tableau1[[#This Row],[Key(ID-Actif)]],'DATA BTO'!A:N,12,FALSE)</f>
        <v>#N/A</v>
      </c>
      <c r="AJ208" s="104" t="e">
        <f ca="1">VLOOKUP(Tableau1[[#This Row],[Key(ID-Actif)]],'DATA BTO'!A:N,14,FALSE)</f>
        <v>#N/A</v>
      </c>
      <c r="AK208" s="105" t="e">
        <f ca="1">VLOOKUP(Tableau1[[#This Row],[Key(POD -PFI- Usine)]],'DATA Consignee'!A:F,6,FALSE)</f>
        <v>#N/A</v>
      </c>
      <c r="AL208" s="125"/>
      <c r="AM208" s="488" t="str">
        <f>IF(Tableau1[[#This Row],[Name PFI/CDD]]="","-",VLOOKUP(Tableau1[[#This Row],[Name PFI/CDD]],Plant_AILN!I:J,2,FALSE))</f>
        <v>-</v>
      </c>
      <c r="AN208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8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8" s="108" t="e">
        <f ca="1">VLOOKUP(Tableau1[[#This Row],[Key(POD -PFI- Usine)]],'DATA Consignee'!A:J,10,FALSE)</f>
        <v>#N/A</v>
      </c>
      <c r="AQ208" s="79" t="e">
        <f ca="1">VLOOKUP(Tableau1[[#This Row],[Key(POD -PFI- Usine)]],'DATA Consignee'!A:N,14,FALSE)</f>
        <v>#N/A</v>
      </c>
      <c r="AR208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8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8" s="79" t="e">
        <f ca="1">Tableau1[[#This Row],[Transit time]]+Tableau1[[#This Row],[Time for security]]+Tableau1[[#This Row],[Time for security2 buffer]]</f>
        <v>#N/A</v>
      </c>
      <c r="AU208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8" s="79" t="e">
        <f ca="1">Tableau1[[#This Row],[Leadtime SI2C]]+Tableau1[[#This Row],[First Receipt Days]]-Tableau1[[#This Row],[Day Customer Order]]+1</f>
        <v>#N/A</v>
      </c>
      <c r="AW208" s="118" t="e">
        <f ca="1">IF(Tableau1[[#This Row],[Name ILN]]&lt;&gt;"SFK Freight Forwarder",Tableau1[[#This Row],[Cust. Leadtime]],Tableau1[[#This Row],[Leadtime SI2C]])</f>
        <v>#N/A</v>
      </c>
      <c r="AX208" s="51" t="e">
        <f>VLOOKUP(Tableau1[[#This Row],[ID]],'DATA BTO'!B:P,15,FALSE)</f>
        <v>#N/A</v>
      </c>
      <c r="AY208" s="328" t="e">
        <f ca="1">IFERROR(VLOOKUP(Tableau1[[#This Row],[Key(ID-Actif)]],'DATA BTO'!A:N,4,FALSE),VLOOKUP(Tableau1[[#This Row],[ID]],'DATA BTO'!B:N,3,FALSE))</f>
        <v>#N/A</v>
      </c>
      <c r="AZ20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8" s="50"/>
    </row>
    <row r="209" spans="2:57">
      <c r="B209" s="65" t="str">
        <f>_xlfn.CONCAT(Tableau1[[#This Row],[Name ILN]],"-",Tableau1[[#This Row],[Name Shipper]],"-",Tableau1[[#This Row],[Name Site]])</f>
        <v>--</v>
      </c>
      <c r="C209" s="65" t="e">
        <f>_xlfn.CONCAT(Tableau1[[#This Row],[Compte ILN]],"-",Tableau1[[#This Row],[Compte Shipper]],"-",Tableau1[[#This Row],[POL]],"-",Tableau1[[#This Row],[Compte Consignee]])</f>
        <v>#N/A</v>
      </c>
      <c r="D209" s="80" t="e">
        <f>_xlfn.CONCAT(Tableau1[[#This Row],[Compte ILN]],"-",Tableau1[[#This Row],[Compte Shipper]],"-",Tableau1[[#This Row],[POL]])</f>
        <v>#N/A</v>
      </c>
      <c r="E209" s="81" t="e">
        <f ca="1">_xlfn.CONCAT(Tableau1[[#This Row],[POL]],"-",Tableau1[[#This Row],[Carrier]],"-",Tableau1[[#This Row],[POD]])</f>
        <v>#N/A</v>
      </c>
      <c r="F209" s="80" t="str">
        <f>_xlfn.CONCAT(Tableau1[[#This Row],[ID]],"-","Actif")</f>
        <v>-Actif</v>
      </c>
      <c r="G209" s="80" t="e">
        <f ca="1">_xlfn.CONCAT(Tableau1[[#This Row],[POD]],"-",Tableau1[[#This Row],[Code PFI]],"-",Tableau1[[#This Row],[Compte Consignee]])</f>
        <v>#N/A</v>
      </c>
      <c r="H209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09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09" s="401" t="str">
        <f ca="1">IF(COUNTIF(I:I,Tableau1[[#This Row],[Plant-ILN-shipper-POL-Carrier-POD-PFI]])=1,"Non","Oui")</f>
        <v>Oui</v>
      </c>
      <c r="K209" s="449" t="e">
        <f>VLOOKUP(Tableau1[[#This Row],[Name Site]],Plant_AILN!A:D,4,FALSE)</f>
        <v>#N/A</v>
      </c>
      <c r="L209" s="10"/>
      <c r="M209" s="480" t="e">
        <f>VLOOKUP(Tableau1[[#This Row],[Name Site]],Plant_AILN!A:C,3,FALSE)</f>
        <v>#N/A</v>
      </c>
      <c r="N209" s="102" t="e">
        <f>VLOOKUP(Tableau1[[#This Row],[Compte Consignee]],Order!C:D,2,FALSE)</f>
        <v>#N/A</v>
      </c>
      <c r="O209" s="124"/>
      <c r="P209" s="484" t="e">
        <f>VLOOKUP(Tableau1[[#This Row],[Name ILN]],Plant_AILN!F:G,2,FALSE)</f>
        <v>#N/A</v>
      </c>
      <c r="Q209" s="79" t="e">
        <f>VLOOKUP(Tableau1[[#This Row],[Compte ILN]],'DATA ILN'!D:I,6,FALSE)</f>
        <v>#N/A</v>
      </c>
      <c r="R209" s="50" t="e">
        <f>IFERROR(VLOOKUP(Tableau1[[#This Row],[Key(Compte ILN - shipper - POL - plant)]],'DATA ILN'!A:J,10,FALSE),VLOOKUP(Tableau1[[#This Row],[Key(Compte ILN - shipper - POL)]],'DATA ILN'!B:J,9,FALSE))</f>
        <v>#N/A</v>
      </c>
      <c r="S209" s="79" t="e">
        <f>IFERROR(VLOOKUP(Tableau1[[#This Row],[Key(Compte ILN - shipper - POL - plant)]],'DATA ILN'!A:K,11,FALSE),VLOOKUP(Tableau1[[#This Row],[Key(Compte ILN - shipper - POL)]],'DATA ILN'!B:K,10,FALSE))</f>
        <v>#N/A</v>
      </c>
      <c r="T209" s="79" t="e">
        <f>IFERROR(VLOOKUP(Tableau1[[#This Row],[Key(Compte ILN - shipper - POL - plant)]],'DATA ILN'!A:L,12,FALSE),VLOOKUP(Tableau1[[#This Row],[Key(Compte ILN - shipper - POL)]],'DATA ILN'!B:L,11,FALSE))</f>
        <v>#N/A</v>
      </c>
      <c r="U209" s="79" t="e">
        <f>Tableau1[[#This Row],[Day ILN Order]]+Tableau1[[#This Row],[Delivery time to ILN/Shipper]]-1</f>
        <v>#N/A</v>
      </c>
      <c r="V209" s="79" t="e">
        <f>IFERROR(VLOOKUP(Tableau1[[#This Row],[Key(Compte ILN - shipper - POL - plant)]],'DATA ILN'!A:N,14,FALSE),VLOOKUP(Tableau1[[#This Row],[Key(Compte ILN - shipper - POL)]],'DATA ILN'!B:N,13,FALSE))</f>
        <v>#N/A</v>
      </c>
      <c r="W209" s="104" t="e">
        <f>IFERROR(VLOOKUP(Tableau1[[#This Row],[Key(Compte ILN - shipper - POL - plant)]],'DATA ILN'!A:P,16,FALSE),VLOOKUP(Tableau1[[#This Row],[Key(Compte ILN - shipper - POL)]],'DATA ILN'!B:P,15,FALSE))</f>
        <v>#N/A</v>
      </c>
      <c r="X209" s="283"/>
      <c r="Y209" s="487">
        <f>IFERROR(VLOOKUP(Tableau1[[#This Row],[Name Shipper]],Plant_AILN!L:M,2,FALSE),0)</f>
        <v>0</v>
      </c>
      <c r="Z209" s="358"/>
      <c r="AA209" s="354" t="e">
        <f ca="1">VLOOKUP(Tableau1[[#This Row],[Key(ID-Actif)]],'DATA BTO'!A:N,5,FALSE)</f>
        <v>#N/A</v>
      </c>
      <c r="AB209" s="106" t="e">
        <f ca="1">VLOOKUP(Tableau1[[#This Row],[Key(ID-Actif)]],'DATA BTO'!A:N,6,FALSE)</f>
        <v>#N/A</v>
      </c>
      <c r="AC209" s="79" t="e">
        <f ca="1">VLOOKUP(Tableau1[[#This Row],[Key(ID-Actif)]],'DATA BTO'!A:N,7,FALSE)</f>
        <v>#N/A</v>
      </c>
      <c r="AD209" s="79" t="e">
        <f ca="1">VLOOKUP(Tableau1[[#This Row],[Key(ID-Actif)]],'DATA BTO'!A:N,8,FALSE)</f>
        <v>#N/A</v>
      </c>
      <c r="AE209" s="79" t="e">
        <f ca="1">IF(Tableau1[[#This Row],[First Day to POL]]&lt;=Tableau1[[#This Row],[Day Cut Off]],Tableau1[[#This Row],[Day ETD]],Tableau1[[#This Row],[Day ETD]]+7)</f>
        <v>#N/A</v>
      </c>
      <c r="AF209" s="79" t="e">
        <f ca="1">VLOOKUP(Tableau1[[#This Row],[Key(ID-Actif)]],'DATA BTO'!A:N,9,FALSE)</f>
        <v>#N/A</v>
      </c>
      <c r="AG209" s="106" t="e">
        <f ca="1">VLOOKUP(Tableau1[[#This Row],[Key(ID-Actif)]],'DATA BTO'!A:N,10,FALSE)</f>
        <v>#N/A</v>
      </c>
      <c r="AH209" s="106" t="e">
        <f ca="1">VLOOKUP(Tableau1[[#This Row],[Key(ID-Actif)]],'DATA BTO'!A:N,11,FALSE)</f>
        <v>#N/A</v>
      </c>
      <c r="AI209" s="79" t="e">
        <f ca="1">VLOOKUP(Tableau1[[#This Row],[Key(ID-Actif)]],'DATA BTO'!A:N,12,FALSE)</f>
        <v>#N/A</v>
      </c>
      <c r="AJ209" s="104" t="e">
        <f ca="1">VLOOKUP(Tableau1[[#This Row],[Key(ID-Actif)]],'DATA BTO'!A:N,14,FALSE)</f>
        <v>#N/A</v>
      </c>
      <c r="AK209" s="105" t="e">
        <f ca="1">VLOOKUP(Tableau1[[#This Row],[Key(POD -PFI- Usine)]],'DATA Consignee'!A:F,6,FALSE)</f>
        <v>#N/A</v>
      </c>
      <c r="AL209" s="125"/>
      <c r="AM209" s="488" t="str">
        <f>IF(Tableau1[[#This Row],[Name PFI/CDD]]="","-",VLOOKUP(Tableau1[[#This Row],[Name PFI/CDD]],Plant_AILN!I:J,2,FALSE))</f>
        <v>-</v>
      </c>
      <c r="AN209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09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09" s="108" t="e">
        <f ca="1">VLOOKUP(Tableau1[[#This Row],[Key(POD -PFI- Usine)]],'DATA Consignee'!A:J,10,FALSE)</f>
        <v>#N/A</v>
      </c>
      <c r="AQ209" s="79" t="e">
        <f ca="1">VLOOKUP(Tableau1[[#This Row],[Key(POD -PFI- Usine)]],'DATA Consignee'!A:N,14,FALSE)</f>
        <v>#N/A</v>
      </c>
      <c r="AR209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09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09" s="79" t="e">
        <f ca="1">Tableau1[[#This Row],[Transit time]]+Tableau1[[#This Row],[Time for security]]+Tableau1[[#This Row],[Time for security2 buffer]]</f>
        <v>#N/A</v>
      </c>
      <c r="AU209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09" s="79" t="e">
        <f ca="1">Tableau1[[#This Row],[Leadtime SI2C]]+Tableau1[[#This Row],[First Receipt Days]]-Tableau1[[#This Row],[Day Customer Order]]+1</f>
        <v>#N/A</v>
      </c>
      <c r="AW209" s="118" t="e">
        <f ca="1">IF(Tableau1[[#This Row],[Name ILN]]&lt;&gt;"SFK Freight Forwarder",Tableau1[[#This Row],[Cust. Leadtime]],Tableau1[[#This Row],[Leadtime SI2C]])</f>
        <v>#N/A</v>
      </c>
      <c r="AX209" s="51" t="e">
        <f>VLOOKUP(Tableau1[[#This Row],[ID]],'DATA BTO'!B:P,15,FALSE)</f>
        <v>#N/A</v>
      </c>
      <c r="AY209" s="328" t="e">
        <f ca="1">IFERROR(VLOOKUP(Tableau1[[#This Row],[Key(ID-Actif)]],'DATA BTO'!A:N,4,FALSE),VLOOKUP(Tableau1[[#This Row],[ID]],'DATA BTO'!B:N,3,FALSE))</f>
        <v>#N/A</v>
      </c>
      <c r="AZ20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0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0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9" s="50"/>
    </row>
    <row r="210" spans="2:57" ht="15" customHeight="1">
      <c r="B210" s="447" t="str">
        <f>_xlfn.CONCAT(Tableau1[[#This Row],[Name ILN]],"-",Tableau1[[#This Row],[Name Shipper]],"-",Tableau1[[#This Row],[Name Site]])</f>
        <v>--</v>
      </c>
      <c r="C210" s="65" t="e">
        <f>_xlfn.CONCAT(Tableau1[[#This Row],[Compte ILN]],"-",Tableau1[[#This Row],[Compte Shipper]],"-",Tableau1[[#This Row],[POL]],"-",Tableau1[[#This Row],[Compte Consignee]])</f>
        <v>#N/A</v>
      </c>
      <c r="D210" s="80" t="e">
        <f>_xlfn.CONCAT(Tableau1[[#This Row],[Compte ILN]],"-",Tableau1[[#This Row],[Compte Shipper]],"-",Tableau1[[#This Row],[POL]])</f>
        <v>#N/A</v>
      </c>
      <c r="E210" s="81" t="e">
        <f ca="1">_xlfn.CONCAT(Tableau1[[#This Row],[POL]],"-",Tableau1[[#This Row],[Carrier]],"-",Tableau1[[#This Row],[POD]])</f>
        <v>#N/A</v>
      </c>
      <c r="F210" s="80" t="str">
        <f>_xlfn.CONCAT(Tableau1[[#This Row],[ID]],"-","Actif")</f>
        <v>-Actif</v>
      </c>
      <c r="G210" s="80" t="e">
        <f ca="1">_xlfn.CONCAT(Tableau1[[#This Row],[POD]],"-",Tableau1[[#This Row],[Code PFI]],"-",Tableau1[[#This Row],[Compte Consignee]])</f>
        <v>#N/A</v>
      </c>
      <c r="H210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0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0" s="401" t="str">
        <f ca="1">IF(COUNTIF(I:I,Tableau1[[#This Row],[Plant-ILN-shipper-POL-Carrier-POD-PFI]])=1,"Non","Oui")</f>
        <v>Oui</v>
      </c>
      <c r="K210" s="101" t="e">
        <f>VLOOKUP(Tableau1[[#This Row],[Name Site]],Plant_AILN!A:D,4,FALSE)</f>
        <v>#N/A</v>
      </c>
      <c r="L210" s="363"/>
      <c r="M210" s="480" t="e">
        <f>VLOOKUP(Tableau1[[#This Row],[Name Site]],Plant_AILN!A:C,3,FALSE)</f>
        <v>#N/A</v>
      </c>
      <c r="N210" s="102" t="e">
        <f>VLOOKUP(Tableau1[[#This Row],[Compte Consignee]],Order!C:D,2,FALSE)</f>
        <v>#N/A</v>
      </c>
      <c r="O210" s="124"/>
      <c r="P210" s="484" t="e">
        <f>VLOOKUP(Tableau1[[#This Row],[Name ILN]],Plant_AILN!F:G,2,FALSE)</f>
        <v>#N/A</v>
      </c>
      <c r="Q210" s="79" t="e">
        <f>VLOOKUP(Tableau1[[#This Row],[Compte ILN]],'DATA ILN'!D:I,6,FALSE)</f>
        <v>#N/A</v>
      </c>
      <c r="R210" s="79" t="e">
        <f>IFERROR(VLOOKUP(Tableau1[[#This Row],[Key(Compte ILN - shipper - POL - plant)]],'DATA ILN'!A:J,10,FALSE),VLOOKUP(Tableau1[[#This Row],[Key(Compte ILN - shipper - POL)]],'DATA ILN'!B:J,9,FALSE))</f>
        <v>#N/A</v>
      </c>
      <c r="S210" s="79" t="e">
        <f>IFERROR(VLOOKUP(Tableau1[[#This Row],[Key(Compte ILN - shipper - POL - plant)]],'DATA ILN'!A:K,11,FALSE),VLOOKUP(Tableau1[[#This Row],[Key(Compte ILN - shipper - POL)]],'DATA ILN'!B:K,10,FALSE))</f>
        <v>#N/A</v>
      </c>
      <c r="T210" s="79" t="e">
        <f>IFERROR(VLOOKUP(Tableau1[[#This Row],[Key(Compte ILN - shipper - POL - plant)]],'DATA ILN'!A:L,12,FALSE),VLOOKUP(Tableau1[[#This Row],[Key(Compte ILN - shipper - POL)]],'DATA ILN'!B:L,11,FALSE))</f>
        <v>#N/A</v>
      </c>
      <c r="U210" s="79" t="e">
        <f>Tableau1[[#This Row],[Day ILN Order]]+Tableau1[[#This Row],[Delivery time to ILN/Shipper]]-1</f>
        <v>#N/A</v>
      </c>
      <c r="V210" s="79" t="e">
        <f>IFERROR(VLOOKUP(Tableau1[[#This Row],[Key(Compte ILN - shipper - POL - plant)]],'DATA ILN'!A:N,14,FALSE),VLOOKUP(Tableau1[[#This Row],[Key(Compte ILN - shipper - POL)]],'DATA ILN'!B:N,13,FALSE))</f>
        <v>#N/A</v>
      </c>
      <c r="W210" s="104" t="e">
        <f>IFERROR(VLOOKUP(Tableau1[[#This Row],[Key(Compte ILN - shipper - POL - plant)]],'DATA ILN'!A:P,16,FALSE),VLOOKUP(Tableau1[[#This Row],[Key(Compte ILN - shipper - POL)]],'DATA ILN'!B:P,15,FALSE))</f>
        <v>#N/A</v>
      </c>
      <c r="X210" s="283"/>
      <c r="Y210" s="487">
        <f>IFERROR(VLOOKUP(Tableau1[[#This Row],[Name Shipper]],Plant_AILN!L:M,2,FALSE),0)</f>
        <v>0</v>
      </c>
      <c r="Z210" s="358"/>
      <c r="AA210" s="354" t="e">
        <f ca="1">VLOOKUP(Tableau1[[#This Row],[Key(ID-Actif)]],'DATA BTO'!A:N,5,FALSE)</f>
        <v>#N/A</v>
      </c>
      <c r="AB210" s="106" t="e">
        <f ca="1">VLOOKUP(Tableau1[[#This Row],[Key(ID-Actif)]],'DATA BTO'!A:N,6,FALSE)</f>
        <v>#N/A</v>
      </c>
      <c r="AC210" s="79" t="e">
        <f ca="1">VLOOKUP(Tableau1[[#This Row],[Key(ID-Actif)]],'DATA BTO'!A:N,7,FALSE)</f>
        <v>#N/A</v>
      </c>
      <c r="AD210" s="79" t="e">
        <f ca="1">VLOOKUP(Tableau1[[#This Row],[Key(ID-Actif)]],'DATA BTO'!A:N,8,FALSE)</f>
        <v>#N/A</v>
      </c>
      <c r="AE210" s="79" t="e">
        <f ca="1">IF(Tableau1[[#This Row],[First Day to POL]]&lt;=Tableau1[[#This Row],[Day Cut Off]],Tableau1[[#This Row],[Day ETD]],Tableau1[[#This Row],[Day ETD]]+7)</f>
        <v>#N/A</v>
      </c>
      <c r="AF210" s="79" t="e">
        <f ca="1">VLOOKUP(Tableau1[[#This Row],[Key(ID-Actif)]],'DATA BTO'!A:N,9,FALSE)</f>
        <v>#N/A</v>
      </c>
      <c r="AG210" s="106" t="e">
        <f ca="1">VLOOKUP(Tableau1[[#This Row],[Key(ID-Actif)]],'DATA BTO'!A:N,10,FALSE)</f>
        <v>#N/A</v>
      </c>
      <c r="AH210" s="106" t="e">
        <f ca="1">VLOOKUP(Tableau1[[#This Row],[Key(ID-Actif)]],'DATA BTO'!A:N,11,FALSE)</f>
        <v>#N/A</v>
      </c>
      <c r="AI210" s="79" t="e">
        <f ca="1">VLOOKUP(Tableau1[[#This Row],[Key(ID-Actif)]],'DATA BTO'!A:N,12,FALSE)</f>
        <v>#N/A</v>
      </c>
      <c r="AJ210" s="104" t="e">
        <f ca="1">VLOOKUP(Tableau1[[#This Row],[Key(ID-Actif)]],'DATA BTO'!A:N,14,FALSE)</f>
        <v>#N/A</v>
      </c>
      <c r="AK210" s="105" t="e">
        <f ca="1">VLOOKUP(Tableau1[[#This Row],[Key(POD -PFI- Usine)]],'DATA Consignee'!A:F,6,FALSE)</f>
        <v>#N/A</v>
      </c>
      <c r="AL210" s="136"/>
      <c r="AM210" s="488" t="str">
        <f>IF(Tableau1[[#This Row],[Name PFI/CDD]]="","-",VLOOKUP(Tableau1[[#This Row],[Name PFI/CDD]],Plant_AILN!I:J,2,FALSE))</f>
        <v>-</v>
      </c>
      <c r="AN210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0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0" s="108" t="e">
        <f ca="1">VLOOKUP(Tableau1[[#This Row],[Key(POD -PFI- Usine)]],'DATA Consignee'!A:J,10,FALSE)</f>
        <v>#N/A</v>
      </c>
      <c r="AQ210" s="79" t="e">
        <f ca="1">VLOOKUP(Tableau1[[#This Row],[Key(POD -PFI- Usine)]],'DATA Consignee'!A:N,14,FALSE)</f>
        <v>#N/A</v>
      </c>
      <c r="AR210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0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0" s="79" t="e">
        <f ca="1">Tableau1[[#This Row],[Transit time]]+Tableau1[[#This Row],[Time for security]]+Tableau1[[#This Row],[Time for security2 buffer]]</f>
        <v>#N/A</v>
      </c>
      <c r="AU210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0" s="79" t="e">
        <f ca="1">Tableau1[[#This Row],[Leadtime SI2C]]+Tableau1[[#This Row],[First Receipt Days]]-Tableau1[[#This Row],[Day Customer Order]]+1</f>
        <v>#N/A</v>
      </c>
      <c r="AW210" s="118" t="e">
        <f ca="1">IF(Tableau1[[#This Row],[Name ILN]]&lt;&gt;"SFK Freight Forwarder",Tableau1[[#This Row],[Cust. Leadtime]],Tableau1[[#This Row],[Leadtime SI2C]])</f>
        <v>#N/A</v>
      </c>
      <c r="AX210" s="51" t="e">
        <f>VLOOKUP(Tableau1[[#This Row],[ID]],'DATA BTO'!B:P,15,FALSE)</f>
        <v>#N/A</v>
      </c>
      <c r="AY210" s="328" t="e">
        <f ca="1">IFERROR(VLOOKUP(Tableau1[[#This Row],[Key(ID-Actif)]],'DATA BTO'!A:N,4,FALSE),VLOOKUP(Tableau1[[#This Row],[ID]],'DATA BTO'!B:N,3,FALSE))</f>
        <v>#N/A</v>
      </c>
      <c r="AZ21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0" s="50"/>
    </row>
    <row r="211" spans="2:57">
      <c r="B211" s="447" t="str">
        <f>_xlfn.CONCAT(Tableau1[[#This Row],[Name ILN]],"-",Tableau1[[#This Row],[Name Shipper]],"-",Tableau1[[#This Row],[Name Site]])</f>
        <v>--</v>
      </c>
      <c r="C211" s="65" t="e">
        <f>_xlfn.CONCAT(Tableau1[[#This Row],[Compte ILN]],"-",Tableau1[[#This Row],[Compte Shipper]],"-",Tableau1[[#This Row],[POL]],"-",Tableau1[[#This Row],[Compte Consignee]])</f>
        <v>#N/A</v>
      </c>
      <c r="D211" s="80" t="e">
        <f>_xlfn.CONCAT(Tableau1[[#This Row],[Compte ILN]],"-",Tableau1[[#This Row],[Compte Shipper]],"-",Tableau1[[#This Row],[POL]])</f>
        <v>#N/A</v>
      </c>
      <c r="E211" s="81" t="e">
        <f ca="1">_xlfn.CONCAT(Tableau1[[#This Row],[POL]],"-",Tableau1[[#This Row],[Carrier]],"-",Tableau1[[#This Row],[POD]])</f>
        <v>#N/A</v>
      </c>
      <c r="F211" s="80" t="str">
        <f>_xlfn.CONCAT(Tableau1[[#This Row],[ID]],"-","Actif")</f>
        <v>-Actif</v>
      </c>
      <c r="G211" s="80" t="e">
        <f ca="1">_xlfn.CONCAT(Tableau1[[#This Row],[POD]],"-",Tableau1[[#This Row],[Code PFI]],"-",Tableau1[[#This Row],[Compte Consignee]])</f>
        <v>#N/A</v>
      </c>
      <c r="H21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1" s="401" t="str">
        <f ca="1">IF(COUNTIF(I:I,Tableau1[[#This Row],[Plant-ILN-shipper-POL-Carrier-POD-PFI]])=1,"Non","Oui")</f>
        <v>Oui</v>
      </c>
      <c r="K211" s="101" t="e">
        <f>VLOOKUP(Tableau1[[#This Row],[Name Site]],Plant_AILN!A:D,4,FALSE)</f>
        <v>#N/A</v>
      </c>
      <c r="L211" s="363"/>
      <c r="M211" s="480" t="e">
        <f>VLOOKUP(Tableau1[[#This Row],[Name Site]],Plant_AILN!A:C,3,FALSE)</f>
        <v>#N/A</v>
      </c>
      <c r="N211" s="102" t="e">
        <f>VLOOKUP(Tableau1[[#This Row],[Compte Consignee]],Order!C:D,2,FALSE)</f>
        <v>#N/A</v>
      </c>
      <c r="O211" s="124"/>
      <c r="P211" s="484" t="e">
        <f>VLOOKUP(Tableau1[[#This Row],[Name ILN]],Plant_AILN!F:G,2,FALSE)</f>
        <v>#N/A</v>
      </c>
      <c r="Q211" s="79" t="e">
        <f>VLOOKUP(Tableau1[[#This Row],[Compte ILN]],'DATA ILN'!D:I,6,FALSE)</f>
        <v>#N/A</v>
      </c>
      <c r="R211" s="79" t="e">
        <f>IFERROR(VLOOKUP(Tableau1[[#This Row],[Key(Compte ILN - shipper - POL - plant)]],'DATA ILN'!A:J,10,FALSE),VLOOKUP(Tableau1[[#This Row],[Key(Compte ILN - shipper - POL)]],'DATA ILN'!B:J,9,FALSE))</f>
        <v>#N/A</v>
      </c>
      <c r="S211" s="79" t="e">
        <f>IFERROR(VLOOKUP(Tableau1[[#This Row],[Key(Compte ILN - shipper - POL - plant)]],'DATA ILN'!A:K,11,FALSE),VLOOKUP(Tableau1[[#This Row],[Key(Compte ILN - shipper - POL)]],'DATA ILN'!B:K,10,FALSE))</f>
        <v>#N/A</v>
      </c>
      <c r="T211" s="79" t="e">
        <f>IFERROR(VLOOKUP(Tableau1[[#This Row],[Key(Compte ILN - shipper - POL - plant)]],'DATA ILN'!A:L,12,FALSE),VLOOKUP(Tableau1[[#This Row],[Key(Compte ILN - shipper - POL)]],'DATA ILN'!B:L,11,FALSE))</f>
        <v>#N/A</v>
      </c>
      <c r="U211" s="79" t="e">
        <f>Tableau1[[#This Row],[Day ILN Order]]+Tableau1[[#This Row],[Delivery time to ILN/Shipper]]-1</f>
        <v>#N/A</v>
      </c>
      <c r="V211" s="79" t="e">
        <f>IFERROR(VLOOKUP(Tableau1[[#This Row],[Key(Compte ILN - shipper - POL - plant)]],'DATA ILN'!A:N,14,FALSE),VLOOKUP(Tableau1[[#This Row],[Key(Compte ILN - shipper - POL)]],'DATA ILN'!B:N,13,FALSE))</f>
        <v>#N/A</v>
      </c>
      <c r="W211" s="104" t="e">
        <f>IFERROR(VLOOKUP(Tableau1[[#This Row],[Key(Compte ILN - shipper - POL - plant)]],'DATA ILN'!A:P,16,FALSE),VLOOKUP(Tableau1[[#This Row],[Key(Compte ILN - shipper - POL)]],'DATA ILN'!B:P,15,FALSE))</f>
        <v>#N/A</v>
      </c>
      <c r="X211" s="283"/>
      <c r="Y211" s="487">
        <f>IFERROR(VLOOKUP(Tableau1[[#This Row],[Name Shipper]],Plant_AILN!L:M,2,FALSE),0)</f>
        <v>0</v>
      </c>
      <c r="Z211" s="358"/>
      <c r="AA211" s="354" t="e">
        <f ca="1">VLOOKUP(Tableau1[[#This Row],[Key(ID-Actif)]],'DATA BTO'!A:N,5,FALSE)</f>
        <v>#N/A</v>
      </c>
      <c r="AB211" s="106" t="e">
        <f ca="1">VLOOKUP(Tableau1[[#This Row],[Key(ID-Actif)]],'DATA BTO'!A:N,6,FALSE)</f>
        <v>#N/A</v>
      </c>
      <c r="AC211" s="79" t="e">
        <f ca="1">VLOOKUP(Tableau1[[#This Row],[Key(ID-Actif)]],'DATA BTO'!A:N,7,FALSE)</f>
        <v>#N/A</v>
      </c>
      <c r="AD211" s="79" t="e">
        <f ca="1">VLOOKUP(Tableau1[[#This Row],[Key(ID-Actif)]],'DATA BTO'!A:N,8,FALSE)</f>
        <v>#N/A</v>
      </c>
      <c r="AE211" s="79" t="e">
        <f ca="1">IF(Tableau1[[#This Row],[First Day to POL]]&lt;=Tableau1[[#This Row],[Day Cut Off]],Tableau1[[#This Row],[Day ETD]],Tableau1[[#This Row],[Day ETD]]+7)</f>
        <v>#N/A</v>
      </c>
      <c r="AF211" s="79" t="e">
        <f ca="1">VLOOKUP(Tableau1[[#This Row],[Key(ID-Actif)]],'DATA BTO'!A:N,9,FALSE)</f>
        <v>#N/A</v>
      </c>
      <c r="AG211" s="106" t="e">
        <f ca="1">VLOOKUP(Tableau1[[#This Row],[Key(ID-Actif)]],'DATA BTO'!A:N,10,FALSE)</f>
        <v>#N/A</v>
      </c>
      <c r="AH211" s="106" t="e">
        <f ca="1">VLOOKUP(Tableau1[[#This Row],[Key(ID-Actif)]],'DATA BTO'!A:N,11,FALSE)</f>
        <v>#N/A</v>
      </c>
      <c r="AI211" s="79" t="e">
        <f ca="1">VLOOKUP(Tableau1[[#This Row],[Key(ID-Actif)]],'DATA BTO'!A:N,12,FALSE)</f>
        <v>#N/A</v>
      </c>
      <c r="AJ211" s="104" t="e">
        <f ca="1">VLOOKUP(Tableau1[[#This Row],[Key(ID-Actif)]],'DATA BTO'!A:N,14,FALSE)</f>
        <v>#N/A</v>
      </c>
      <c r="AK211" s="105" t="e">
        <f ca="1">VLOOKUP(Tableau1[[#This Row],[Key(POD -PFI- Usine)]],'DATA Consignee'!A:F,6,FALSE)</f>
        <v>#N/A</v>
      </c>
      <c r="AL211" s="136"/>
      <c r="AM211" s="488" t="str">
        <f>IF(Tableau1[[#This Row],[Name PFI/CDD]]="","-",VLOOKUP(Tableau1[[#This Row],[Name PFI/CDD]],Plant_AILN!I:J,2,FALSE))</f>
        <v>-</v>
      </c>
      <c r="AN21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1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1" s="108" t="e">
        <f ca="1">VLOOKUP(Tableau1[[#This Row],[Key(POD -PFI- Usine)]],'DATA Consignee'!A:J,10,FALSE)</f>
        <v>#N/A</v>
      </c>
      <c r="AQ211" s="79" t="e">
        <f ca="1">VLOOKUP(Tableau1[[#This Row],[Key(POD -PFI- Usine)]],'DATA Consignee'!A:N,14,FALSE)</f>
        <v>#N/A</v>
      </c>
      <c r="AR21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1" s="79" t="e">
        <f ca="1">Tableau1[[#This Row],[Transit time]]+Tableau1[[#This Row],[Time for security]]+Tableau1[[#This Row],[Time for security2 buffer]]</f>
        <v>#N/A</v>
      </c>
      <c r="AU21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1" s="79" t="e">
        <f ca="1">Tableau1[[#This Row],[Leadtime SI2C]]+Tableau1[[#This Row],[First Receipt Days]]-Tableau1[[#This Row],[Day Customer Order]]+1</f>
        <v>#N/A</v>
      </c>
      <c r="AW211" s="118" t="e">
        <f ca="1">IF(Tableau1[[#This Row],[Name ILN]]&lt;&gt;"SFK Freight Forwarder",Tableau1[[#This Row],[Cust. Leadtime]],Tableau1[[#This Row],[Leadtime SI2C]])</f>
        <v>#N/A</v>
      </c>
      <c r="AX211" s="51" t="e">
        <f>VLOOKUP(Tableau1[[#This Row],[ID]],'DATA BTO'!B:P,15,FALSE)</f>
        <v>#N/A</v>
      </c>
      <c r="AY211" s="328" t="e">
        <f ca="1">IFERROR(VLOOKUP(Tableau1[[#This Row],[Key(ID-Actif)]],'DATA BTO'!A:N,4,FALSE),VLOOKUP(Tableau1[[#This Row],[ID]],'DATA BTO'!B:N,3,FALSE))</f>
        <v>#N/A</v>
      </c>
      <c r="AZ21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1" s="50"/>
    </row>
    <row r="212" spans="2:57">
      <c r="B212" s="65" t="str">
        <f>_xlfn.CONCAT(Tableau1[[#This Row],[Name ILN]],"-",Tableau1[[#This Row],[Name Shipper]],"-",Tableau1[[#This Row],[Name Site]])</f>
        <v>--</v>
      </c>
      <c r="C212" s="65" t="e">
        <f>_xlfn.CONCAT(Tableau1[[#This Row],[Compte ILN]],"-",Tableau1[[#This Row],[Compte Shipper]],"-",Tableau1[[#This Row],[POL]],"-",Tableau1[[#This Row],[Compte Consignee]])</f>
        <v>#N/A</v>
      </c>
      <c r="D212" s="80" t="e">
        <f>_xlfn.CONCAT(Tableau1[[#This Row],[Compte ILN]],"-",Tableau1[[#This Row],[Compte Shipper]],"-",Tableau1[[#This Row],[POL]])</f>
        <v>#N/A</v>
      </c>
      <c r="E212" s="81" t="e">
        <f ca="1">_xlfn.CONCAT(Tableau1[[#This Row],[POL]],"-",Tableau1[[#This Row],[Carrier]],"-",Tableau1[[#This Row],[POD]])</f>
        <v>#N/A</v>
      </c>
      <c r="F212" s="80" t="str">
        <f>_xlfn.CONCAT(Tableau1[[#This Row],[ID]],"-","Actif")</f>
        <v>-Actif</v>
      </c>
      <c r="G212" s="80" t="e">
        <f ca="1">_xlfn.CONCAT(Tableau1[[#This Row],[POD]],"-",Tableau1[[#This Row],[Code PFI]],"-",Tableau1[[#This Row],[Compte Consignee]])</f>
        <v>#N/A</v>
      </c>
      <c r="H21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2" s="401" t="str">
        <f ca="1">IF(COUNTIF(I:I,Tableau1[[#This Row],[Plant-ILN-shipper-POL-Carrier-POD-PFI]])=1,"Non","Oui")</f>
        <v>Oui</v>
      </c>
      <c r="K212" s="449" t="e">
        <f>VLOOKUP(Tableau1[[#This Row],[Name Site]],Plant_AILN!A:D,4,FALSE)</f>
        <v>#N/A</v>
      </c>
      <c r="L212" s="10"/>
      <c r="M212" s="480" t="e">
        <f>VLOOKUP(Tableau1[[#This Row],[Name Site]],Plant_AILN!A:C,3,FALSE)</f>
        <v>#N/A</v>
      </c>
      <c r="N212" s="102" t="e">
        <f>VLOOKUP(Tableau1[[#This Row],[Compte Consignee]],Order!C:D,2,FALSE)</f>
        <v>#N/A</v>
      </c>
      <c r="O212" s="114"/>
      <c r="P212" s="484" t="e">
        <f>VLOOKUP(Tableau1[[#This Row],[Name ILN]],Plant_AILN!F:G,2,FALSE)</f>
        <v>#N/A</v>
      </c>
      <c r="Q212" s="79" t="e">
        <f>VLOOKUP(Tableau1[[#This Row],[Compte ILN]],'DATA ILN'!D:I,6,FALSE)</f>
        <v>#N/A</v>
      </c>
      <c r="R212" s="79" t="e">
        <f>IFERROR(VLOOKUP(Tableau1[[#This Row],[Key(Compte ILN - shipper - POL - plant)]],'DATA ILN'!A:J,10,FALSE),VLOOKUP(Tableau1[[#This Row],[Key(Compte ILN - shipper - POL)]],'DATA ILN'!B:J,9,FALSE))</f>
        <v>#N/A</v>
      </c>
      <c r="S212" s="79" t="e">
        <f>IFERROR(VLOOKUP(Tableau1[[#This Row],[Key(Compte ILN - shipper - POL - plant)]],'DATA ILN'!A:K,11,FALSE),VLOOKUP(Tableau1[[#This Row],[Key(Compte ILN - shipper - POL)]],'DATA ILN'!B:K,10,FALSE))</f>
        <v>#N/A</v>
      </c>
      <c r="T212" s="79" t="e">
        <f>IFERROR(VLOOKUP(Tableau1[[#This Row],[Key(Compte ILN - shipper - POL - plant)]],'DATA ILN'!A:L,12,FALSE),VLOOKUP(Tableau1[[#This Row],[Key(Compte ILN - shipper - POL)]],'DATA ILN'!B:L,11,FALSE))</f>
        <v>#N/A</v>
      </c>
      <c r="U212" s="79" t="e">
        <f>Tableau1[[#This Row],[Day ILN Order]]+Tableau1[[#This Row],[Delivery time to ILN/Shipper]]-1</f>
        <v>#N/A</v>
      </c>
      <c r="V212" s="79" t="e">
        <f>IFERROR(VLOOKUP(Tableau1[[#This Row],[Key(Compte ILN - shipper - POL - plant)]],'DATA ILN'!A:N,14,FALSE),VLOOKUP(Tableau1[[#This Row],[Key(Compte ILN - shipper - POL)]],'DATA ILN'!B:N,13,FALSE))</f>
        <v>#N/A</v>
      </c>
      <c r="W212" s="104" t="e">
        <f>IFERROR(VLOOKUP(Tableau1[[#This Row],[Key(Compte ILN - shipper - POL - plant)]],'DATA ILN'!A:P,16,FALSE),VLOOKUP(Tableau1[[#This Row],[Key(Compte ILN - shipper - POL)]],'DATA ILN'!B:P,15,FALSE))</f>
        <v>#N/A</v>
      </c>
      <c r="X212" s="283"/>
      <c r="Y212" s="487">
        <f>IFERROR(VLOOKUP(Tableau1[[#This Row],[Name Shipper]],Plant_AILN!L:M,2,FALSE),0)</f>
        <v>0</v>
      </c>
      <c r="Z212" s="358"/>
      <c r="AA212" s="354" t="e">
        <f ca="1">VLOOKUP(Tableau1[[#This Row],[Key(ID-Actif)]],'DATA BTO'!A:N,5,FALSE)</f>
        <v>#N/A</v>
      </c>
      <c r="AB212" s="106" t="e">
        <f ca="1">VLOOKUP(Tableau1[[#This Row],[Key(ID-Actif)]],'DATA BTO'!A:N,6,FALSE)</f>
        <v>#N/A</v>
      </c>
      <c r="AC212" s="79" t="e">
        <f ca="1">VLOOKUP(Tableau1[[#This Row],[Key(ID-Actif)]],'DATA BTO'!A:N,7,FALSE)</f>
        <v>#N/A</v>
      </c>
      <c r="AD212" s="79" t="e">
        <f ca="1">VLOOKUP(Tableau1[[#This Row],[Key(ID-Actif)]],'DATA BTO'!A:N,8,FALSE)</f>
        <v>#N/A</v>
      </c>
      <c r="AE212" s="79" t="e">
        <f ca="1">IF(Tableau1[[#This Row],[First Day to POL]]&lt;=Tableau1[[#This Row],[Day Cut Off]],Tableau1[[#This Row],[Day ETD]],Tableau1[[#This Row],[Day ETD]]+7)</f>
        <v>#N/A</v>
      </c>
      <c r="AF212" s="79" t="e">
        <f ca="1">VLOOKUP(Tableau1[[#This Row],[Key(ID-Actif)]],'DATA BTO'!A:N,9,FALSE)</f>
        <v>#N/A</v>
      </c>
      <c r="AG212" s="106" t="e">
        <f ca="1">VLOOKUP(Tableau1[[#This Row],[Key(ID-Actif)]],'DATA BTO'!A:N,10,FALSE)</f>
        <v>#N/A</v>
      </c>
      <c r="AH212" s="106" t="e">
        <f ca="1">VLOOKUP(Tableau1[[#This Row],[Key(ID-Actif)]],'DATA BTO'!A:N,11,FALSE)</f>
        <v>#N/A</v>
      </c>
      <c r="AI212" s="79" t="e">
        <f ca="1">VLOOKUP(Tableau1[[#This Row],[Key(ID-Actif)]],'DATA BTO'!A:N,12,FALSE)</f>
        <v>#N/A</v>
      </c>
      <c r="AJ212" s="104" t="e">
        <f ca="1">VLOOKUP(Tableau1[[#This Row],[Key(ID-Actif)]],'DATA BTO'!A:N,14,FALSE)</f>
        <v>#N/A</v>
      </c>
      <c r="AK212" s="105" t="e">
        <f ca="1">VLOOKUP(Tableau1[[#This Row],[Key(POD -PFI- Usine)]],'DATA Consignee'!A:F,6,FALSE)</f>
        <v>#N/A</v>
      </c>
      <c r="AL212" s="136"/>
      <c r="AM212" s="488" t="str">
        <f>IF(Tableau1[[#This Row],[Name PFI/CDD]]="","-",VLOOKUP(Tableau1[[#This Row],[Name PFI/CDD]],Plant_AILN!I:J,2,FALSE))</f>
        <v>-</v>
      </c>
      <c r="AN21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2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2" s="108" t="e">
        <f ca="1">VLOOKUP(Tableau1[[#This Row],[Key(POD -PFI- Usine)]],'DATA Consignee'!A:J,10,FALSE)</f>
        <v>#N/A</v>
      </c>
      <c r="AQ212" s="79" t="e">
        <f ca="1">VLOOKUP(Tableau1[[#This Row],[Key(POD -PFI- Usine)]],'DATA Consignee'!A:N,14,FALSE)</f>
        <v>#N/A</v>
      </c>
      <c r="AR21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2" s="79" t="e">
        <f ca="1">Tableau1[[#This Row],[Transit time]]+Tableau1[[#This Row],[Time for security]]+Tableau1[[#This Row],[Time for security2 buffer]]</f>
        <v>#N/A</v>
      </c>
      <c r="AU21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2" s="79" t="e">
        <f ca="1">Tableau1[[#This Row],[Leadtime SI2C]]+Tableau1[[#This Row],[First Receipt Days]]-Tableau1[[#This Row],[Day Customer Order]]+1</f>
        <v>#N/A</v>
      </c>
      <c r="AW212" s="118" t="e">
        <f ca="1">IF(Tableau1[[#This Row],[Name ILN]]&lt;&gt;"SFK Freight Forwarder",Tableau1[[#This Row],[Cust. Leadtime]],Tableau1[[#This Row],[Leadtime SI2C]])</f>
        <v>#N/A</v>
      </c>
      <c r="AX212" s="51" t="e">
        <f>VLOOKUP(Tableau1[[#This Row],[ID]],'DATA BTO'!B:P,15,FALSE)</f>
        <v>#N/A</v>
      </c>
      <c r="AY212" s="328" t="e">
        <f ca="1">IFERROR(VLOOKUP(Tableau1[[#This Row],[Key(ID-Actif)]],'DATA BTO'!A:N,4,FALSE),VLOOKUP(Tableau1[[#This Row],[ID]],'DATA BTO'!B:N,3,FALSE))</f>
        <v>#N/A</v>
      </c>
      <c r="AZ21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2" s="50"/>
    </row>
    <row r="213" spans="2:57">
      <c r="B213" s="65" t="str">
        <f>_xlfn.CONCAT(Tableau1[[#This Row],[Name ILN]],"-",Tableau1[[#This Row],[Name Shipper]],"-",Tableau1[[#This Row],[Name Site]])</f>
        <v>--</v>
      </c>
      <c r="C213" s="65" t="e">
        <f>_xlfn.CONCAT(Tableau1[[#This Row],[Compte ILN]],"-",Tableau1[[#This Row],[Compte Shipper]],"-",Tableau1[[#This Row],[POL]],"-",Tableau1[[#This Row],[Compte Consignee]])</f>
        <v>#N/A</v>
      </c>
      <c r="D213" s="80" t="e">
        <f>_xlfn.CONCAT(Tableau1[[#This Row],[Compte ILN]],"-",Tableau1[[#This Row],[Compte Shipper]],"-",Tableau1[[#This Row],[POL]])</f>
        <v>#N/A</v>
      </c>
      <c r="E213" s="81" t="e">
        <f ca="1">_xlfn.CONCAT(Tableau1[[#This Row],[POL]],"-",Tableau1[[#This Row],[Carrier]],"-",Tableau1[[#This Row],[POD]])</f>
        <v>#N/A</v>
      </c>
      <c r="F213" s="80" t="str">
        <f>_xlfn.CONCAT(Tableau1[[#This Row],[ID]],"-","Actif")</f>
        <v>-Actif</v>
      </c>
      <c r="G213" s="80" t="e">
        <f ca="1">_xlfn.CONCAT(Tableau1[[#This Row],[POD]],"-",Tableau1[[#This Row],[Code PFI]],"-",Tableau1[[#This Row],[Compte Consignee]])</f>
        <v>#N/A</v>
      </c>
      <c r="H21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3" s="401" t="str">
        <f ca="1">IF(COUNTIF(I:I,Tableau1[[#This Row],[Plant-ILN-shipper-POL-Carrier-POD-PFI]])=1,"Non","Oui")</f>
        <v>Oui</v>
      </c>
      <c r="K213" s="449" t="e">
        <f>VLOOKUP(Tableau1[[#This Row],[Name Site]],Plant_AILN!A:D,4,FALSE)</f>
        <v>#N/A</v>
      </c>
      <c r="L213" s="10"/>
      <c r="M213" s="480" t="e">
        <f>VLOOKUP(Tableau1[[#This Row],[Name Site]],Plant_AILN!A:C,3,FALSE)</f>
        <v>#N/A</v>
      </c>
      <c r="N213" s="102" t="e">
        <f>VLOOKUP(Tableau1[[#This Row],[Compte Consignee]],Order!C:D,2,FALSE)</f>
        <v>#N/A</v>
      </c>
      <c r="O213" s="124"/>
      <c r="P213" s="484" t="e">
        <f>VLOOKUP(Tableau1[[#This Row],[Name ILN]],Plant_AILN!F:G,2,FALSE)</f>
        <v>#N/A</v>
      </c>
      <c r="Q213" s="79" t="e">
        <f>VLOOKUP(Tableau1[[#This Row],[Compte ILN]],'DATA ILN'!D:I,6,FALSE)</f>
        <v>#N/A</v>
      </c>
      <c r="R213" s="79" t="e">
        <f>IFERROR(VLOOKUP(Tableau1[[#This Row],[Key(Compte ILN - shipper - POL - plant)]],'DATA ILN'!A:J,10,FALSE),VLOOKUP(Tableau1[[#This Row],[Key(Compte ILN - shipper - POL)]],'DATA ILN'!B:J,9,FALSE))</f>
        <v>#N/A</v>
      </c>
      <c r="S213" s="79" t="e">
        <f>IFERROR(VLOOKUP(Tableau1[[#This Row],[Key(Compte ILN - shipper - POL - plant)]],'DATA ILN'!A:K,11,FALSE),VLOOKUP(Tableau1[[#This Row],[Key(Compte ILN - shipper - POL)]],'DATA ILN'!B:K,10,FALSE))</f>
        <v>#N/A</v>
      </c>
      <c r="T213" s="79" t="e">
        <f>IFERROR(VLOOKUP(Tableau1[[#This Row],[Key(Compte ILN - shipper - POL - plant)]],'DATA ILN'!A:L,12,FALSE),VLOOKUP(Tableau1[[#This Row],[Key(Compte ILN - shipper - POL)]],'DATA ILN'!B:L,11,FALSE))</f>
        <v>#N/A</v>
      </c>
      <c r="U213" s="79" t="e">
        <f>Tableau1[[#This Row],[Day ILN Order]]+Tableau1[[#This Row],[Delivery time to ILN/Shipper]]-1</f>
        <v>#N/A</v>
      </c>
      <c r="V213" s="79" t="e">
        <f>IFERROR(VLOOKUP(Tableau1[[#This Row],[Key(Compte ILN - shipper - POL - plant)]],'DATA ILN'!A:N,14,FALSE),VLOOKUP(Tableau1[[#This Row],[Key(Compte ILN - shipper - POL)]],'DATA ILN'!B:N,13,FALSE))</f>
        <v>#N/A</v>
      </c>
      <c r="W213" s="104" t="e">
        <f>IFERROR(VLOOKUP(Tableau1[[#This Row],[Key(Compte ILN - shipper - POL - plant)]],'DATA ILN'!A:P,16,FALSE),VLOOKUP(Tableau1[[#This Row],[Key(Compte ILN - shipper - POL)]],'DATA ILN'!B:P,15,FALSE))</f>
        <v>#N/A</v>
      </c>
      <c r="X213" s="283"/>
      <c r="Y213" s="487">
        <f>IFERROR(VLOOKUP(Tableau1[[#This Row],[Name Shipper]],Plant_AILN!L:M,2,FALSE),0)</f>
        <v>0</v>
      </c>
      <c r="Z213" s="358"/>
      <c r="AA213" s="354" t="e">
        <f ca="1">VLOOKUP(Tableau1[[#This Row],[Key(ID-Actif)]],'DATA BTO'!A:N,5,FALSE)</f>
        <v>#N/A</v>
      </c>
      <c r="AB213" s="106" t="e">
        <f ca="1">VLOOKUP(Tableau1[[#This Row],[Key(ID-Actif)]],'DATA BTO'!A:N,6,FALSE)</f>
        <v>#N/A</v>
      </c>
      <c r="AC213" s="79" t="e">
        <f ca="1">VLOOKUP(Tableau1[[#This Row],[Key(ID-Actif)]],'DATA BTO'!A:N,7,FALSE)</f>
        <v>#N/A</v>
      </c>
      <c r="AD213" s="79" t="e">
        <f ca="1">VLOOKUP(Tableau1[[#This Row],[Key(ID-Actif)]],'DATA BTO'!A:N,8,FALSE)</f>
        <v>#N/A</v>
      </c>
      <c r="AE213" s="79" t="e">
        <f ca="1">IF(Tableau1[[#This Row],[First Day to POL]]&lt;=Tableau1[[#This Row],[Day Cut Off]],Tableau1[[#This Row],[Day ETD]],Tableau1[[#This Row],[Day ETD]]+7)</f>
        <v>#N/A</v>
      </c>
      <c r="AF213" s="79" t="e">
        <f ca="1">VLOOKUP(Tableau1[[#This Row],[Key(ID-Actif)]],'DATA BTO'!A:N,9,FALSE)</f>
        <v>#N/A</v>
      </c>
      <c r="AG213" s="106" t="e">
        <f ca="1">VLOOKUP(Tableau1[[#This Row],[Key(ID-Actif)]],'DATA BTO'!A:N,10,FALSE)</f>
        <v>#N/A</v>
      </c>
      <c r="AH213" s="106" t="e">
        <f ca="1">VLOOKUP(Tableau1[[#This Row],[Key(ID-Actif)]],'DATA BTO'!A:N,11,FALSE)</f>
        <v>#N/A</v>
      </c>
      <c r="AI213" s="79" t="e">
        <f ca="1">VLOOKUP(Tableau1[[#This Row],[Key(ID-Actif)]],'DATA BTO'!A:N,12,FALSE)</f>
        <v>#N/A</v>
      </c>
      <c r="AJ213" s="104" t="e">
        <f ca="1">VLOOKUP(Tableau1[[#This Row],[Key(ID-Actif)]],'DATA BTO'!A:N,14,FALSE)</f>
        <v>#N/A</v>
      </c>
      <c r="AK213" s="105" t="e">
        <f ca="1">VLOOKUP(Tableau1[[#This Row],[Key(POD -PFI- Usine)]],'DATA Consignee'!A:F,6,FALSE)</f>
        <v>#N/A</v>
      </c>
      <c r="AL213" s="136"/>
      <c r="AM213" s="488" t="str">
        <f>IF(Tableau1[[#This Row],[Name PFI/CDD]]="","-",VLOOKUP(Tableau1[[#This Row],[Name PFI/CDD]],Plant_AILN!I:J,2,FALSE))</f>
        <v>-</v>
      </c>
      <c r="AN21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3" s="108" t="e">
        <f ca="1">VLOOKUP(Tableau1[[#This Row],[Key(POD -PFI- Usine)]],'DATA Consignee'!A:J,10,FALSE)</f>
        <v>#N/A</v>
      </c>
      <c r="AQ213" s="79" t="e">
        <f ca="1">VLOOKUP(Tableau1[[#This Row],[Key(POD -PFI- Usine)]],'DATA Consignee'!A:N,14,FALSE)</f>
        <v>#N/A</v>
      </c>
      <c r="AR21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3" s="79" t="e">
        <f ca="1">Tableau1[[#This Row],[Transit time]]+Tableau1[[#This Row],[Time for security]]+Tableau1[[#This Row],[Time for security2 buffer]]</f>
        <v>#N/A</v>
      </c>
      <c r="AU21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3" s="79" t="e">
        <f ca="1">Tableau1[[#This Row],[Leadtime SI2C]]+Tableau1[[#This Row],[First Receipt Days]]-Tableau1[[#This Row],[Day Customer Order]]+1</f>
        <v>#N/A</v>
      </c>
      <c r="AW213" s="118" t="e">
        <f ca="1">IF(Tableau1[[#This Row],[Name ILN]]&lt;&gt;"SFK Freight Forwarder",Tableau1[[#This Row],[Cust. Leadtime]],Tableau1[[#This Row],[Leadtime SI2C]])</f>
        <v>#N/A</v>
      </c>
      <c r="AX213" s="51" t="e">
        <f>VLOOKUP(Tableau1[[#This Row],[ID]],'DATA BTO'!B:P,15,FALSE)</f>
        <v>#N/A</v>
      </c>
      <c r="AY213" s="328" t="e">
        <f ca="1">IFERROR(VLOOKUP(Tableau1[[#This Row],[Key(ID-Actif)]],'DATA BTO'!A:N,4,FALSE),VLOOKUP(Tableau1[[#This Row],[ID]],'DATA BTO'!B:N,3,FALSE))</f>
        <v>#N/A</v>
      </c>
      <c r="AZ21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3" s="50"/>
    </row>
    <row r="214" spans="2:57">
      <c r="B214" s="65" t="str">
        <f>_xlfn.CONCAT(Tableau1[[#This Row],[Name ILN]],"-",Tableau1[[#This Row],[Name Shipper]],"-",Tableau1[[#This Row],[Name Site]])</f>
        <v>--</v>
      </c>
      <c r="C214" s="65" t="e">
        <f>_xlfn.CONCAT(Tableau1[[#This Row],[Compte ILN]],"-",Tableau1[[#This Row],[Compte Shipper]],"-",Tableau1[[#This Row],[POL]],"-",Tableau1[[#This Row],[Compte Consignee]])</f>
        <v>#N/A</v>
      </c>
      <c r="D214" s="80" t="e">
        <f>_xlfn.CONCAT(Tableau1[[#This Row],[Compte ILN]],"-",Tableau1[[#This Row],[Compte Shipper]],"-",Tableau1[[#This Row],[POL]])</f>
        <v>#N/A</v>
      </c>
      <c r="E214" s="81" t="e">
        <f ca="1">_xlfn.CONCAT(Tableau1[[#This Row],[POL]],"-",Tableau1[[#This Row],[Carrier]],"-",Tableau1[[#This Row],[POD]])</f>
        <v>#N/A</v>
      </c>
      <c r="F214" s="80" t="str">
        <f>_xlfn.CONCAT(Tableau1[[#This Row],[ID]],"-","Actif")</f>
        <v>-Actif</v>
      </c>
      <c r="G214" s="80" t="e">
        <f ca="1">_xlfn.CONCAT(Tableau1[[#This Row],[POD]],"-",Tableau1[[#This Row],[Code PFI]],"-",Tableau1[[#This Row],[Compte Consignee]])</f>
        <v>#N/A</v>
      </c>
      <c r="H21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4" s="401" t="str">
        <f ca="1">IF(COUNTIF(I:I,Tableau1[[#This Row],[Plant-ILN-shipper-POL-Carrier-POD-PFI]])=1,"Non","Oui")</f>
        <v>Oui</v>
      </c>
      <c r="K214" s="449" t="e">
        <f>VLOOKUP(Tableau1[[#This Row],[Name Site]],Plant_AILN!A:D,4,FALSE)</f>
        <v>#N/A</v>
      </c>
      <c r="L214" s="10"/>
      <c r="M214" s="480" t="e">
        <f>VLOOKUP(Tableau1[[#This Row],[Name Site]],Plant_AILN!A:C,3,FALSE)</f>
        <v>#N/A</v>
      </c>
      <c r="N214" s="102" t="e">
        <f>VLOOKUP(Tableau1[[#This Row],[Compte Consignee]],Order!C:D,2,FALSE)</f>
        <v>#N/A</v>
      </c>
      <c r="O214" s="124"/>
      <c r="P214" s="484" t="e">
        <f>VLOOKUP(Tableau1[[#This Row],[Name ILN]],Plant_AILN!F:G,2,FALSE)</f>
        <v>#N/A</v>
      </c>
      <c r="Q214" s="79" t="e">
        <f>VLOOKUP(Tableau1[[#This Row],[Compte ILN]],'DATA ILN'!D:I,6,FALSE)</f>
        <v>#N/A</v>
      </c>
      <c r="R214" s="79" t="e">
        <f>IFERROR(VLOOKUP(Tableau1[[#This Row],[Key(Compte ILN - shipper - POL - plant)]],'DATA ILN'!A:J,10,FALSE),VLOOKUP(Tableau1[[#This Row],[Key(Compte ILN - shipper - POL)]],'DATA ILN'!B:J,9,FALSE))</f>
        <v>#N/A</v>
      </c>
      <c r="S214" s="79" t="e">
        <f>IFERROR(VLOOKUP(Tableau1[[#This Row],[Key(Compte ILN - shipper - POL - plant)]],'DATA ILN'!A:K,11,FALSE),VLOOKUP(Tableau1[[#This Row],[Key(Compte ILN - shipper - POL)]],'DATA ILN'!B:K,10,FALSE))</f>
        <v>#N/A</v>
      </c>
      <c r="T214" s="79" t="e">
        <f>IFERROR(VLOOKUP(Tableau1[[#This Row],[Key(Compte ILN - shipper - POL - plant)]],'DATA ILN'!A:L,12,FALSE),VLOOKUP(Tableau1[[#This Row],[Key(Compte ILN - shipper - POL)]],'DATA ILN'!B:L,11,FALSE))</f>
        <v>#N/A</v>
      </c>
      <c r="U214" s="79" t="e">
        <f>Tableau1[[#This Row],[Day ILN Order]]+Tableau1[[#This Row],[Delivery time to ILN/Shipper]]-1</f>
        <v>#N/A</v>
      </c>
      <c r="V214" s="79" t="e">
        <f>IFERROR(VLOOKUP(Tableau1[[#This Row],[Key(Compte ILN - shipper - POL - plant)]],'DATA ILN'!A:N,14,FALSE),VLOOKUP(Tableau1[[#This Row],[Key(Compte ILN - shipper - POL)]],'DATA ILN'!B:N,13,FALSE))</f>
        <v>#N/A</v>
      </c>
      <c r="W214" s="104" t="e">
        <f>IFERROR(VLOOKUP(Tableau1[[#This Row],[Key(Compte ILN - shipper - POL - plant)]],'DATA ILN'!A:P,16,FALSE),VLOOKUP(Tableau1[[#This Row],[Key(Compte ILN - shipper - POL)]],'DATA ILN'!B:P,15,FALSE))</f>
        <v>#N/A</v>
      </c>
      <c r="X214" s="283"/>
      <c r="Y214" s="487">
        <f>IFERROR(VLOOKUP(Tableau1[[#This Row],[Name Shipper]],Plant_AILN!L:M,2,FALSE),0)</f>
        <v>0</v>
      </c>
      <c r="Z214" s="358"/>
      <c r="AA214" s="354" t="e">
        <f ca="1">VLOOKUP(Tableau1[[#This Row],[Key(ID-Actif)]],'DATA BTO'!A:N,5,FALSE)</f>
        <v>#N/A</v>
      </c>
      <c r="AB214" s="106" t="e">
        <f ca="1">VLOOKUP(Tableau1[[#This Row],[Key(ID-Actif)]],'DATA BTO'!A:N,6,FALSE)</f>
        <v>#N/A</v>
      </c>
      <c r="AC214" s="79" t="e">
        <f ca="1">VLOOKUP(Tableau1[[#This Row],[Key(ID-Actif)]],'DATA BTO'!A:N,7,FALSE)</f>
        <v>#N/A</v>
      </c>
      <c r="AD214" s="79" t="e">
        <f ca="1">VLOOKUP(Tableau1[[#This Row],[Key(ID-Actif)]],'DATA BTO'!A:N,8,FALSE)</f>
        <v>#N/A</v>
      </c>
      <c r="AE214" s="79" t="e">
        <f ca="1">IF(Tableau1[[#This Row],[First Day to POL]]&lt;=Tableau1[[#This Row],[Day Cut Off]],Tableau1[[#This Row],[Day ETD]],Tableau1[[#This Row],[Day ETD]]+7)</f>
        <v>#N/A</v>
      </c>
      <c r="AF214" s="79" t="e">
        <f ca="1">VLOOKUP(Tableau1[[#This Row],[Key(ID-Actif)]],'DATA BTO'!A:N,9,FALSE)</f>
        <v>#N/A</v>
      </c>
      <c r="AG214" s="106" t="e">
        <f ca="1">VLOOKUP(Tableau1[[#This Row],[Key(ID-Actif)]],'DATA BTO'!A:N,10,FALSE)</f>
        <v>#N/A</v>
      </c>
      <c r="AH214" s="106" t="e">
        <f ca="1">VLOOKUP(Tableau1[[#This Row],[Key(ID-Actif)]],'DATA BTO'!A:N,11,FALSE)</f>
        <v>#N/A</v>
      </c>
      <c r="AI214" s="79" t="e">
        <f ca="1">VLOOKUP(Tableau1[[#This Row],[Key(ID-Actif)]],'DATA BTO'!A:N,12,FALSE)</f>
        <v>#N/A</v>
      </c>
      <c r="AJ214" s="104" t="e">
        <f ca="1">VLOOKUP(Tableau1[[#This Row],[Key(ID-Actif)]],'DATA BTO'!A:N,14,FALSE)</f>
        <v>#N/A</v>
      </c>
      <c r="AK214" s="105" t="e">
        <f ca="1">VLOOKUP(Tableau1[[#This Row],[Key(POD -PFI- Usine)]],'DATA Consignee'!A:F,6,FALSE)</f>
        <v>#N/A</v>
      </c>
      <c r="AL214" s="125"/>
      <c r="AM214" s="488" t="str">
        <f>IF(Tableau1[[#This Row],[Name PFI/CDD]]="","-",VLOOKUP(Tableau1[[#This Row],[Name PFI/CDD]],Plant_AILN!I:J,2,FALSE))</f>
        <v>-</v>
      </c>
      <c r="AN21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4" s="108" t="e">
        <f ca="1">VLOOKUP(Tableau1[[#This Row],[Key(POD -PFI- Usine)]],'DATA Consignee'!A:J,10,FALSE)</f>
        <v>#N/A</v>
      </c>
      <c r="AQ214" s="79" t="e">
        <f ca="1">VLOOKUP(Tableau1[[#This Row],[Key(POD -PFI- Usine)]],'DATA Consignee'!A:N,14,FALSE)</f>
        <v>#N/A</v>
      </c>
      <c r="AR21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4" s="79" t="e">
        <f ca="1">Tableau1[[#This Row],[Transit time]]+Tableau1[[#This Row],[Time for security]]+Tableau1[[#This Row],[Time for security2 buffer]]</f>
        <v>#N/A</v>
      </c>
      <c r="AU21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4" s="79" t="e">
        <f ca="1">Tableau1[[#This Row],[Leadtime SI2C]]+Tableau1[[#This Row],[First Receipt Days]]-Tableau1[[#This Row],[Day Customer Order]]+1</f>
        <v>#N/A</v>
      </c>
      <c r="AW214" s="118" t="e">
        <f ca="1">IF(Tableau1[[#This Row],[Name ILN]]&lt;&gt;"SFK Freight Forwarder",Tableau1[[#This Row],[Cust. Leadtime]],Tableau1[[#This Row],[Leadtime SI2C]])</f>
        <v>#N/A</v>
      </c>
      <c r="AX214" s="51" t="e">
        <f>VLOOKUP(Tableau1[[#This Row],[ID]],'DATA BTO'!B:P,15,FALSE)</f>
        <v>#N/A</v>
      </c>
      <c r="AY214" s="328" t="e">
        <f ca="1">IFERROR(VLOOKUP(Tableau1[[#This Row],[Key(ID-Actif)]],'DATA BTO'!A:N,4,FALSE),VLOOKUP(Tableau1[[#This Row],[ID]],'DATA BTO'!B:N,3,FALSE))</f>
        <v>#N/A</v>
      </c>
      <c r="AZ21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4" s="50"/>
    </row>
    <row r="215" spans="2:57">
      <c r="B215" s="65" t="str">
        <f>_xlfn.CONCAT(Tableau1[[#This Row],[Name ILN]],"-",Tableau1[[#This Row],[Name Shipper]],"-",Tableau1[[#This Row],[Name Site]])</f>
        <v>--</v>
      </c>
      <c r="C215" s="65" t="e">
        <f>_xlfn.CONCAT(Tableau1[[#This Row],[Compte ILN]],"-",Tableau1[[#This Row],[Compte Shipper]],"-",Tableau1[[#This Row],[POL]],"-",Tableau1[[#This Row],[Compte Consignee]])</f>
        <v>#N/A</v>
      </c>
      <c r="D215" s="80" t="e">
        <f>_xlfn.CONCAT(Tableau1[[#This Row],[Compte ILN]],"-",Tableau1[[#This Row],[Compte Shipper]],"-",Tableau1[[#This Row],[POL]])</f>
        <v>#N/A</v>
      </c>
      <c r="E215" s="81" t="e">
        <f ca="1">_xlfn.CONCAT(Tableau1[[#This Row],[POL]],"-",Tableau1[[#This Row],[Carrier]],"-",Tableau1[[#This Row],[POD]])</f>
        <v>#N/A</v>
      </c>
      <c r="F215" s="80" t="str">
        <f>_xlfn.CONCAT(Tableau1[[#This Row],[ID]],"-","Actif")</f>
        <v>-Actif</v>
      </c>
      <c r="G215" s="80" t="e">
        <f ca="1">_xlfn.CONCAT(Tableau1[[#This Row],[POD]],"-",Tableau1[[#This Row],[Code PFI]],"-",Tableau1[[#This Row],[Compte Consignee]])</f>
        <v>#N/A</v>
      </c>
      <c r="H21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5" s="401" t="str">
        <f ca="1">IF(COUNTIF(I:I,Tableau1[[#This Row],[Plant-ILN-shipper-POL-Carrier-POD-PFI]])=1,"Non","Oui")</f>
        <v>Oui</v>
      </c>
      <c r="K215" s="449" t="e">
        <f>VLOOKUP(Tableau1[[#This Row],[Name Site]],Plant_AILN!A:D,4,FALSE)</f>
        <v>#N/A</v>
      </c>
      <c r="L215" s="10"/>
      <c r="M215" s="480" t="e">
        <f>VLOOKUP(Tableau1[[#This Row],[Name Site]],Plant_AILN!A:C,3,FALSE)</f>
        <v>#N/A</v>
      </c>
      <c r="N215" s="102" t="e">
        <f>VLOOKUP(Tableau1[[#This Row],[Compte Consignee]],Order!C:D,2,FALSE)</f>
        <v>#N/A</v>
      </c>
      <c r="O215" s="121"/>
      <c r="P215" s="484" t="e">
        <f>VLOOKUP(Tableau1[[#This Row],[Name ILN]],Plant_AILN!F:G,2,FALSE)</f>
        <v>#N/A</v>
      </c>
      <c r="Q215" s="79" t="e">
        <f>VLOOKUP(Tableau1[[#This Row],[Compte ILN]],'DATA ILN'!D:I,6,FALSE)</f>
        <v>#N/A</v>
      </c>
      <c r="R215" s="79" t="e">
        <f>IFERROR(VLOOKUP(Tableau1[[#This Row],[Key(Compte ILN - shipper - POL - plant)]],'DATA ILN'!A:J,10,FALSE),VLOOKUP(Tableau1[[#This Row],[Key(Compte ILN - shipper - POL)]],'DATA ILN'!B:J,9,FALSE))</f>
        <v>#N/A</v>
      </c>
      <c r="S215" s="79" t="e">
        <f>IFERROR(VLOOKUP(Tableau1[[#This Row],[Key(Compte ILN - shipper - POL - plant)]],'DATA ILN'!A:K,11,FALSE),VLOOKUP(Tableau1[[#This Row],[Key(Compte ILN - shipper - POL)]],'DATA ILN'!B:K,10,FALSE))</f>
        <v>#N/A</v>
      </c>
      <c r="T215" s="79" t="e">
        <f>IFERROR(VLOOKUP(Tableau1[[#This Row],[Key(Compte ILN - shipper - POL - plant)]],'DATA ILN'!A:L,12,FALSE),VLOOKUP(Tableau1[[#This Row],[Key(Compte ILN - shipper - POL)]],'DATA ILN'!B:L,11,FALSE))</f>
        <v>#N/A</v>
      </c>
      <c r="U215" s="79" t="e">
        <f>Tableau1[[#This Row],[Day ILN Order]]+Tableau1[[#This Row],[Delivery time to ILN/Shipper]]-1</f>
        <v>#N/A</v>
      </c>
      <c r="V215" s="79" t="e">
        <f>IFERROR(VLOOKUP(Tableau1[[#This Row],[Key(Compte ILN - shipper - POL - plant)]],'DATA ILN'!A:N,14,FALSE),VLOOKUP(Tableau1[[#This Row],[Key(Compte ILN - shipper - POL)]],'DATA ILN'!B:N,13,FALSE))</f>
        <v>#N/A</v>
      </c>
      <c r="W215" s="104" t="e">
        <f>IFERROR(VLOOKUP(Tableau1[[#This Row],[Key(Compte ILN - shipper - POL - plant)]],'DATA ILN'!A:P,16,FALSE),VLOOKUP(Tableau1[[#This Row],[Key(Compte ILN - shipper - POL)]],'DATA ILN'!B:P,15,FALSE))</f>
        <v>#N/A</v>
      </c>
      <c r="X215" s="283"/>
      <c r="Y215" s="487">
        <f>IFERROR(VLOOKUP(Tableau1[[#This Row],[Name Shipper]],Plant_AILN!L:M,2,FALSE),0)</f>
        <v>0</v>
      </c>
      <c r="Z215" s="358"/>
      <c r="AA215" s="354" t="e">
        <f ca="1">VLOOKUP(Tableau1[[#This Row],[Key(ID-Actif)]],'DATA BTO'!A:N,5,FALSE)</f>
        <v>#N/A</v>
      </c>
      <c r="AB215" s="106" t="e">
        <f ca="1">VLOOKUP(Tableau1[[#This Row],[Key(ID-Actif)]],'DATA BTO'!A:N,6,FALSE)</f>
        <v>#N/A</v>
      </c>
      <c r="AC215" s="79" t="e">
        <f ca="1">VLOOKUP(Tableau1[[#This Row],[Key(ID-Actif)]],'DATA BTO'!A:N,7,FALSE)</f>
        <v>#N/A</v>
      </c>
      <c r="AD215" s="79" t="e">
        <f ca="1">VLOOKUP(Tableau1[[#This Row],[Key(ID-Actif)]],'DATA BTO'!A:N,8,FALSE)</f>
        <v>#N/A</v>
      </c>
      <c r="AE215" s="79" t="e">
        <f ca="1">IF(Tableau1[[#This Row],[First Day to POL]]&lt;=Tableau1[[#This Row],[Day Cut Off]],Tableau1[[#This Row],[Day ETD]],Tableau1[[#This Row],[Day ETD]]+7)</f>
        <v>#N/A</v>
      </c>
      <c r="AF215" s="79" t="e">
        <f ca="1">VLOOKUP(Tableau1[[#This Row],[Key(ID-Actif)]],'DATA BTO'!A:N,9,FALSE)</f>
        <v>#N/A</v>
      </c>
      <c r="AG215" s="106" t="e">
        <f ca="1">VLOOKUP(Tableau1[[#This Row],[Key(ID-Actif)]],'DATA BTO'!A:N,10,FALSE)</f>
        <v>#N/A</v>
      </c>
      <c r="AH215" s="106" t="e">
        <f ca="1">VLOOKUP(Tableau1[[#This Row],[Key(ID-Actif)]],'DATA BTO'!A:N,11,FALSE)</f>
        <v>#N/A</v>
      </c>
      <c r="AI215" s="79" t="e">
        <f ca="1">VLOOKUP(Tableau1[[#This Row],[Key(ID-Actif)]],'DATA BTO'!A:N,12,FALSE)</f>
        <v>#N/A</v>
      </c>
      <c r="AJ215" s="104" t="e">
        <f ca="1">VLOOKUP(Tableau1[[#This Row],[Key(ID-Actif)]],'DATA BTO'!A:N,14,FALSE)</f>
        <v>#N/A</v>
      </c>
      <c r="AK215" s="105" t="e">
        <f ca="1">VLOOKUP(Tableau1[[#This Row],[Key(POD -PFI- Usine)]],'DATA Consignee'!A:F,6,FALSE)</f>
        <v>#N/A</v>
      </c>
      <c r="AL215" s="135"/>
      <c r="AM215" s="488" t="str">
        <f>IF(Tableau1[[#This Row],[Name PFI/CDD]]="","-",VLOOKUP(Tableau1[[#This Row],[Name PFI/CDD]],Plant_AILN!I:J,2,FALSE))</f>
        <v>-</v>
      </c>
      <c r="AN21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5" s="108" t="e">
        <f ca="1">VLOOKUP(Tableau1[[#This Row],[Key(POD -PFI- Usine)]],'DATA Consignee'!A:J,10,FALSE)</f>
        <v>#N/A</v>
      </c>
      <c r="AQ215" s="79" t="e">
        <f ca="1">VLOOKUP(Tableau1[[#This Row],[Key(POD -PFI- Usine)]],'DATA Consignee'!A:N,14,FALSE)</f>
        <v>#N/A</v>
      </c>
      <c r="AR21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5" s="79" t="e">
        <f ca="1">Tableau1[[#This Row],[Transit time]]+Tableau1[[#This Row],[Time for security]]+Tableau1[[#This Row],[Time for security2 buffer]]</f>
        <v>#N/A</v>
      </c>
      <c r="AU21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5" s="79" t="e">
        <f ca="1">Tableau1[[#This Row],[Leadtime SI2C]]+Tableau1[[#This Row],[First Receipt Days]]-Tableau1[[#This Row],[Day Customer Order]]+1</f>
        <v>#N/A</v>
      </c>
      <c r="AW215" s="118" t="e">
        <f ca="1">IF(Tableau1[[#This Row],[Name ILN]]&lt;&gt;"SFK Freight Forwarder",Tableau1[[#This Row],[Cust. Leadtime]],Tableau1[[#This Row],[Leadtime SI2C]])</f>
        <v>#N/A</v>
      </c>
      <c r="AX215" s="51" t="e">
        <f>VLOOKUP(Tableau1[[#This Row],[ID]],'DATA BTO'!B:P,15,FALSE)</f>
        <v>#N/A</v>
      </c>
      <c r="AY215" s="328" t="e">
        <f ca="1">IFERROR(VLOOKUP(Tableau1[[#This Row],[Key(ID-Actif)]],'DATA BTO'!A:N,4,FALSE),VLOOKUP(Tableau1[[#This Row],[ID]],'DATA BTO'!B:N,3,FALSE))</f>
        <v>#N/A</v>
      </c>
      <c r="AZ21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5" s="50"/>
    </row>
    <row r="216" spans="2:57">
      <c r="B216" s="65" t="str">
        <f>_xlfn.CONCAT(Tableau1[[#This Row],[Name ILN]],"-",Tableau1[[#This Row],[Name Shipper]],"-",Tableau1[[#This Row],[Name Site]])</f>
        <v>--</v>
      </c>
      <c r="C216" s="65" t="e">
        <f>_xlfn.CONCAT(Tableau1[[#This Row],[Compte ILN]],"-",Tableau1[[#This Row],[Compte Shipper]],"-",Tableau1[[#This Row],[POL]],"-",Tableau1[[#This Row],[Compte Consignee]])</f>
        <v>#N/A</v>
      </c>
      <c r="D216" s="64" t="e">
        <f>_xlfn.CONCAT(Tableau1[[#This Row],[Compte ILN]],"-",Tableau1[[#This Row],[Compte Shipper]],"-",Tableau1[[#This Row],[POL]])</f>
        <v>#N/A</v>
      </c>
      <c r="E216" s="128" t="e">
        <f ca="1">_xlfn.CONCAT(Tableau1[[#This Row],[POL]],"-",Tableau1[[#This Row],[Carrier]],"-",Tableau1[[#This Row],[POD]])</f>
        <v>#N/A</v>
      </c>
      <c r="F216" s="64" t="str">
        <f>_xlfn.CONCAT(Tableau1[[#This Row],[ID]],"-","Actif")</f>
        <v>-Actif</v>
      </c>
      <c r="G216" s="64" t="e">
        <f ca="1">_xlfn.CONCAT(Tableau1[[#This Row],[POD]],"-",Tableau1[[#This Row],[Code PFI]],"-",Tableau1[[#This Row],[Compte Consignee]])</f>
        <v>#N/A</v>
      </c>
      <c r="H21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6" s="400" t="str">
        <f ca="1">IF(COUNTIF(I:I,Tableau1[[#This Row],[Plant-ILN-shipper-POL-Carrier-POD-PFI]])=1,"Non","Oui")</f>
        <v>Oui</v>
      </c>
      <c r="K216" s="399" t="e">
        <f>VLOOKUP(Tableau1[[#This Row],[Name Site]],Plant_AILN!A:D,4,FALSE)</f>
        <v>#N/A</v>
      </c>
      <c r="L216" s="10"/>
      <c r="M216" s="480" t="e">
        <f>VLOOKUP(Tableau1[[#This Row],[Name Site]],Plant_AILN!A:C,3,FALSE)</f>
        <v>#N/A</v>
      </c>
      <c r="N216" s="55" t="e">
        <f>VLOOKUP(Tableau1[[#This Row],[Compte Consignee]],Order!C:D,2,FALSE)</f>
        <v>#N/A</v>
      </c>
      <c r="O216" s="114"/>
      <c r="P216" s="481" t="e">
        <f>VLOOKUP(Tableau1[[#This Row],[Name ILN]],Plant_AILN!F:G,2,FALSE)</f>
        <v>#N/A</v>
      </c>
      <c r="Q216" s="50" t="e">
        <f>VLOOKUP(Tableau1[[#This Row],[Compte ILN]],'DATA ILN'!D:I,6,FALSE)</f>
        <v>#N/A</v>
      </c>
      <c r="R216" s="50" t="e">
        <f>IFERROR(VLOOKUP(Tableau1[[#This Row],[Key(Compte ILN - shipper - POL - plant)]],'DATA ILN'!A:J,10,FALSE),VLOOKUP(Tableau1[[#This Row],[Key(Compte ILN - shipper - POL)]],'DATA ILN'!B:J,9,FALSE))</f>
        <v>#N/A</v>
      </c>
      <c r="S216" s="50" t="e">
        <f>IFERROR(VLOOKUP(Tableau1[[#This Row],[Key(Compte ILN - shipper - POL - plant)]],'DATA ILN'!A:K,11,FALSE),VLOOKUP(Tableau1[[#This Row],[Key(Compte ILN - shipper - POL)]],'DATA ILN'!B:K,10,FALSE))</f>
        <v>#N/A</v>
      </c>
      <c r="T216" s="50" t="e">
        <f>IFERROR(VLOOKUP(Tableau1[[#This Row],[Key(Compte ILN - shipper - POL - plant)]],'DATA ILN'!A:L,12,FALSE),VLOOKUP(Tableau1[[#This Row],[Key(Compte ILN - shipper - POL)]],'DATA ILN'!B:L,11,FALSE))</f>
        <v>#N/A</v>
      </c>
      <c r="U216" s="50" t="e">
        <f>Tableau1[[#This Row],[Day ILN Order]]+Tableau1[[#This Row],[Delivery time to ILN/Shipper]]-1</f>
        <v>#N/A</v>
      </c>
      <c r="V216" s="50" t="e">
        <f>IFERROR(VLOOKUP(Tableau1[[#This Row],[Key(Compte ILN - shipper - POL - plant)]],'DATA ILN'!A:N,14,FALSE),VLOOKUP(Tableau1[[#This Row],[Key(Compte ILN - shipper - POL)]],'DATA ILN'!B:N,13,FALSE))</f>
        <v>#N/A</v>
      </c>
      <c r="W216" s="53" t="e">
        <f>IFERROR(VLOOKUP(Tableau1[[#This Row],[Key(Compte ILN - shipper - POL - plant)]],'DATA ILN'!A:P,16,FALSE),VLOOKUP(Tableau1[[#This Row],[Key(Compte ILN - shipper - POL)]],'DATA ILN'!B:P,15,FALSE))</f>
        <v>#N/A</v>
      </c>
      <c r="X216" s="283"/>
      <c r="Y216" s="482">
        <f>IFERROR(VLOOKUP(Tableau1[[#This Row],[Name Shipper]],Plant_AILN!L:M,2,FALSE),0)</f>
        <v>0</v>
      </c>
      <c r="Z216" s="358"/>
      <c r="AA216" s="353" t="e">
        <f ca="1">VLOOKUP(Tableau1[[#This Row],[Key(ID-Actif)]],'DATA BTO'!A:N,5,FALSE)</f>
        <v>#N/A</v>
      </c>
      <c r="AB216" s="3" t="e">
        <f ca="1">VLOOKUP(Tableau1[[#This Row],[Key(ID-Actif)]],'DATA BTO'!A:N,6,FALSE)</f>
        <v>#N/A</v>
      </c>
      <c r="AC216" s="50" t="e">
        <f ca="1">VLOOKUP(Tableau1[[#This Row],[Key(ID-Actif)]],'DATA BTO'!A:N,7,FALSE)</f>
        <v>#N/A</v>
      </c>
      <c r="AD216" s="50" t="e">
        <f ca="1">VLOOKUP(Tableau1[[#This Row],[Key(ID-Actif)]],'DATA BTO'!A:N,8,FALSE)</f>
        <v>#N/A</v>
      </c>
      <c r="AE216" s="50" t="e">
        <f ca="1">IF(Tableau1[[#This Row],[First Day to POL]]&lt;=Tableau1[[#This Row],[Day Cut Off]],Tableau1[[#This Row],[Day ETD]],Tableau1[[#This Row],[Day ETD]]+7)</f>
        <v>#N/A</v>
      </c>
      <c r="AF216" s="50" t="e">
        <f ca="1">VLOOKUP(Tableau1[[#This Row],[Key(ID-Actif)]],'DATA BTO'!A:N,9,FALSE)</f>
        <v>#N/A</v>
      </c>
      <c r="AG216" s="3" t="e">
        <f ca="1">VLOOKUP(Tableau1[[#This Row],[Key(ID-Actif)]],'DATA BTO'!A:N,10,FALSE)</f>
        <v>#N/A</v>
      </c>
      <c r="AH216" s="3" t="e">
        <f ca="1">VLOOKUP(Tableau1[[#This Row],[Key(ID-Actif)]],'DATA BTO'!A:N,11,FALSE)</f>
        <v>#N/A</v>
      </c>
      <c r="AI216" s="50" t="e">
        <f ca="1">VLOOKUP(Tableau1[[#This Row],[Key(ID-Actif)]],'DATA BTO'!A:N,12,FALSE)</f>
        <v>#N/A</v>
      </c>
      <c r="AJ216" s="53" t="e">
        <f ca="1">VLOOKUP(Tableau1[[#This Row],[Key(ID-Actif)]],'DATA BTO'!A:N,14,FALSE)</f>
        <v>#N/A</v>
      </c>
      <c r="AK216" s="54" t="e">
        <f ca="1">VLOOKUP(Tableau1[[#This Row],[Key(POD -PFI- Usine)]],'DATA Consignee'!A:F,6,FALSE)</f>
        <v>#N/A</v>
      </c>
      <c r="AL216" s="125"/>
      <c r="AM216" s="483" t="str">
        <f>IF(Tableau1[[#This Row],[Name PFI/CDD]]="","-",VLOOKUP(Tableau1[[#This Row],[Name PFI/CDD]],Plant_AILN!I:J,2,FALSE))</f>
        <v>-</v>
      </c>
      <c r="AN21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6" s="2" t="e">
        <f ca="1">VLOOKUP(Tableau1[[#This Row],[Key(POD -PFI- Usine)]],'DATA Consignee'!A:J,10,FALSE)</f>
        <v>#N/A</v>
      </c>
      <c r="AQ216" s="50" t="e">
        <f ca="1">VLOOKUP(Tableau1[[#This Row],[Key(POD -PFI- Usine)]],'DATA Consignee'!A:N,14,FALSE)</f>
        <v>#N/A</v>
      </c>
      <c r="AR21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6" s="50" t="e">
        <f ca="1">Tableau1[[#This Row],[Transit time]]+Tableau1[[#This Row],[Time for security]]+Tableau1[[#This Row],[Time for security2 buffer]]</f>
        <v>#N/A</v>
      </c>
      <c r="AU21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6" s="50" t="e">
        <f ca="1">Tableau1[[#This Row],[Leadtime SI2C]]+Tableau1[[#This Row],[First Receipt Days]]-Tableau1[[#This Row],[Day Customer Order]]+1</f>
        <v>#N/A</v>
      </c>
      <c r="AW216" s="117" t="e">
        <f ca="1">IF(Tableau1[[#This Row],[Name ILN]]&lt;&gt;"SFK Freight Forwarder",Tableau1[[#This Row],[Cust. Leadtime]],Tableau1[[#This Row],[Leadtime SI2C]])</f>
        <v>#N/A</v>
      </c>
      <c r="AX216" s="51" t="e">
        <f>VLOOKUP(Tableau1[[#This Row],[ID]],'DATA BTO'!B:P,15,FALSE)</f>
        <v>#N/A</v>
      </c>
      <c r="AY216" s="328" t="e">
        <f ca="1">IFERROR(VLOOKUP(Tableau1[[#This Row],[Key(ID-Actif)]],'DATA BTO'!A:N,4,FALSE),VLOOKUP(Tableau1[[#This Row],[ID]],'DATA BTO'!B:N,3,FALSE))</f>
        <v>#N/A</v>
      </c>
      <c r="AZ21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6" s="50"/>
    </row>
    <row r="217" spans="2:57">
      <c r="B217" s="65" t="str">
        <f>_xlfn.CONCAT(Tableau1[[#This Row],[Name ILN]],"-",Tableau1[[#This Row],[Name Shipper]],"-",Tableau1[[#This Row],[Name Site]])</f>
        <v>--</v>
      </c>
      <c r="C217" s="65" t="e">
        <f>_xlfn.CONCAT(Tableau1[[#This Row],[Compte ILN]],"-",Tableau1[[#This Row],[Compte Shipper]],"-",Tableau1[[#This Row],[POL]],"-",Tableau1[[#This Row],[Compte Consignee]])</f>
        <v>#N/A</v>
      </c>
      <c r="D217" s="64" t="e">
        <f>_xlfn.CONCAT(Tableau1[[#This Row],[Compte ILN]],"-",Tableau1[[#This Row],[Compte Shipper]],"-",Tableau1[[#This Row],[POL]])</f>
        <v>#N/A</v>
      </c>
      <c r="E217" s="128" t="e">
        <f ca="1">_xlfn.CONCAT(Tableau1[[#This Row],[POL]],"-",Tableau1[[#This Row],[Carrier]],"-",Tableau1[[#This Row],[POD]])</f>
        <v>#N/A</v>
      </c>
      <c r="F217" s="64" t="str">
        <f>_xlfn.CONCAT(Tableau1[[#This Row],[ID]],"-","Actif")</f>
        <v>-Actif</v>
      </c>
      <c r="G217" s="64" t="e">
        <f ca="1">_xlfn.CONCAT(Tableau1[[#This Row],[POD]],"-",Tableau1[[#This Row],[Code PFI]],"-",Tableau1[[#This Row],[Compte Consignee]])</f>
        <v>#N/A</v>
      </c>
      <c r="H21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7" s="400" t="str">
        <f ca="1">IF(COUNTIF(I:I,Tableau1[[#This Row],[Plant-ILN-shipper-POL-Carrier-POD-PFI]])=1,"Non","Oui")</f>
        <v>Oui</v>
      </c>
      <c r="K217" s="399" t="e">
        <f>VLOOKUP(Tableau1[[#This Row],[Name Site]],Plant_AILN!A:D,4,FALSE)</f>
        <v>#N/A</v>
      </c>
      <c r="L217" s="10"/>
      <c r="M217" s="480" t="e">
        <f>VLOOKUP(Tableau1[[#This Row],[Name Site]],Plant_AILN!A:C,3,FALSE)</f>
        <v>#N/A</v>
      </c>
      <c r="N217" s="55" t="e">
        <f>VLOOKUP(Tableau1[[#This Row],[Compte Consignee]],Order!C:D,2,FALSE)</f>
        <v>#N/A</v>
      </c>
      <c r="O217" s="114"/>
      <c r="P217" s="481" t="e">
        <f>VLOOKUP(Tableau1[[#This Row],[Name ILN]],Plant_AILN!F:G,2,FALSE)</f>
        <v>#N/A</v>
      </c>
      <c r="Q217" s="50" t="e">
        <f>VLOOKUP(Tableau1[[#This Row],[Compte ILN]],'DATA ILN'!D:I,6,FALSE)</f>
        <v>#N/A</v>
      </c>
      <c r="R217" s="50" t="e">
        <f>IFERROR(VLOOKUP(Tableau1[[#This Row],[Key(Compte ILN - shipper - POL - plant)]],'DATA ILN'!A:J,10,FALSE),VLOOKUP(Tableau1[[#This Row],[Key(Compte ILN - shipper - POL)]],'DATA ILN'!B:J,9,FALSE))</f>
        <v>#N/A</v>
      </c>
      <c r="S217" s="50" t="e">
        <f>IFERROR(VLOOKUP(Tableau1[[#This Row],[Key(Compte ILN - shipper - POL - plant)]],'DATA ILN'!A:K,11,FALSE),VLOOKUP(Tableau1[[#This Row],[Key(Compte ILN - shipper - POL)]],'DATA ILN'!B:K,10,FALSE))</f>
        <v>#N/A</v>
      </c>
      <c r="T217" s="50" t="e">
        <f>IFERROR(VLOOKUP(Tableau1[[#This Row],[Key(Compte ILN - shipper - POL - plant)]],'DATA ILN'!A:L,12,FALSE),VLOOKUP(Tableau1[[#This Row],[Key(Compte ILN - shipper - POL)]],'DATA ILN'!B:L,11,FALSE))</f>
        <v>#N/A</v>
      </c>
      <c r="U217" s="50" t="e">
        <f>Tableau1[[#This Row],[Day ILN Order]]+Tableau1[[#This Row],[Delivery time to ILN/Shipper]]-1</f>
        <v>#N/A</v>
      </c>
      <c r="V217" s="50" t="e">
        <f>IFERROR(VLOOKUP(Tableau1[[#This Row],[Key(Compte ILN - shipper - POL - plant)]],'DATA ILN'!A:N,14,FALSE),VLOOKUP(Tableau1[[#This Row],[Key(Compte ILN - shipper - POL)]],'DATA ILN'!B:N,13,FALSE))</f>
        <v>#N/A</v>
      </c>
      <c r="W217" s="53" t="e">
        <f>IFERROR(VLOOKUP(Tableau1[[#This Row],[Key(Compte ILN - shipper - POL - plant)]],'DATA ILN'!A:P,16,FALSE),VLOOKUP(Tableau1[[#This Row],[Key(Compte ILN - shipper - POL)]],'DATA ILN'!B:P,15,FALSE))</f>
        <v>#N/A</v>
      </c>
      <c r="X217" s="283"/>
      <c r="Y217" s="482">
        <f>IFERROR(VLOOKUP(Tableau1[[#This Row],[Name Shipper]],Plant_AILN!L:M,2,FALSE),0)</f>
        <v>0</v>
      </c>
      <c r="Z217" s="358"/>
      <c r="AA217" s="353" t="e">
        <f ca="1">VLOOKUP(Tableau1[[#This Row],[Key(ID-Actif)]],'DATA BTO'!A:N,5,FALSE)</f>
        <v>#N/A</v>
      </c>
      <c r="AB217" s="3" t="e">
        <f ca="1">VLOOKUP(Tableau1[[#This Row],[Key(ID-Actif)]],'DATA BTO'!A:N,6,FALSE)</f>
        <v>#N/A</v>
      </c>
      <c r="AC217" s="50" t="e">
        <f ca="1">VLOOKUP(Tableau1[[#This Row],[Key(ID-Actif)]],'DATA BTO'!A:N,7,FALSE)</f>
        <v>#N/A</v>
      </c>
      <c r="AD217" s="50" t="e">
        <f ca="1">VLOOKUP(Tableau1[[#This Row],[Key(ID-Actif)]],'DATA BTO'!A:N,8,FALSE)</f>
        <v>#N/A</v>
      </c>
      <c r="AE217" s="50" t="e">
        <f ca="1">IF(Tableau1[[#This Row],[First Day to POL]]&lt;=Tableau1[[#This Row],[Day Cut Off]],Tableau1[[#This Row],[Day ETD]],Tableau1[[#This Row],[Day ETD]]+7)</f>
        <v>#N/A</v>
      </c>
      <c r="AF217" s="50" t="e">
        <f ca="1">VLOOKUP(Tableau1[[#This Row],[Key(ID-Actif)]],'DATA BTO'!A:N,9,FALSE)</f>
        <v>#N/A</v>
      </c>
      <c r="AG217" s="3" t="e">
        <f ca="1">VLOOKUP(Tableau1[[#This Row],[Key(ID-Actif)]],'DATA BTO'!A:N,10,FALSE)</f>
        <v>#N/A</v>
      </c>
      <c r="AH217" s="3" t="e">
        <f ca="1">VLOOKUP(Tableau1[[#This Row],[Key(ID-Actif)]],'DATA BTO'!A:N,11,FALSE)</f>
        <v>#N/A</v>
      </c>
      <c r="AI217" s="50" t="e">
        <f ca="1">VLOOKUP(Tableau1[[#This Row],[Key(ID-Actif)]],'DATA BTO'!A:N,12,FALSE)</f>
        <v>#N/A</v>
      </c>
      <c r="AJ217" s="53" t="e">
        <f ca="1">VLOOKUP(Tableau1[[#This Row],[Key(ID-Actif)]],'DATA BTO'!A:N,14,FALSE)</f>
        <v>#N/A</v>
      </c>
      <c r="AK217" s="54" t="e">
        <f ca="1">VLOOKUP(Tableau1[[#This Row],[Key(POD -PFI- Usine)]],'DATA Consignee'!A:F,6,FALSE)</f>
        <v>#N/A</v>
      </c>
      <c r="AL217" s="125"/>
      <c r="AM217" s="483" t="str">
        <f>IF(Tableau1[[#This Row],[Name PFI/CDD]]="","-",VLOOKUP(Tableau1[[#This Row],[Name PFI/CDD]],Plant_AILN!I:J,2,FALSE))</f>
        <v>-</v>
      </c>
      <c r="AN21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7" s="2" t="e">
        <f ca="1">VLOOKUP(Tableau1[[#This Row],[Key(POD -PFI- Usine)]],'DATA Consignee'!A:J,10,FALSE)</f>
        <v>#N/A</v>
      </c>
      <c r="AQ217" s="50" t="e">
        <f ca="1">VLOOKUP(Tableau1[[#This Row],[Key(POD -PFI- Usine)]],'DATA Consignee'!A:N,14,FALSE)</f>
        <v>#N/A</v>
      </c>
      <c r="AR21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7" s="50" t="e">
        <f ca="1">Tableau1[[#This Row],[Transit time]]+Tableau1[[#This Row],[Time for security]]+Tableau1[[#This Row],[Time for security2 buffer]]</f>
        <v>#N/A</v>
      </c>
      <c r="AU21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7" s="50" t="e">
        <f ca="1">Tableau1[[#This Row],[Leadtime SI2C]]+Tableau1[[#This Row],[First Receipt Days]]-Tableau1[[#This Row],[Day Customer Order]]+1</f>
        <v>#N/A</v>
      </c>
      <c r="AW217" s="117" t="e">
        <f ca="1">IF(Tableau1[[#This Row],[Name ILN]]&lt;&gt;"SFK Freight Forwarder",Tableau1[[#This Row],[Cust. Leadtime]],Tableau1[[#This Row],[Leadtime SI2C]])</f>
        <v>#N/A</v>
      </c>
      <c r="AX217" s="51" t="e">
        <f>VLOOKUP(Tableau1[[#This Row],[ID]],'DATA BTO'!B:P,15,FALSE)</f>
        <v>#N/A</v>
      </c>
      <c r="AY217" s="328" t="e">
        <f ca="1">IFERROR(VLOOKUP(Tableau1[[#This Row],[Key(ID-Actif)]],'DATA BTO'!A:N,4,FALSE),VLOOKUP(Tableau1[[#This Row],[ID]],'DATA BTO'!B:N,3,FALSE))</f>
        <v>#N/A</v>
      </c>
      <c r="AZ21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7" s="50"/>
    </row>
    <row r="218" spans="2:57">
      <c r="B218" s="65" t="str">
        <f>_xlfn.CONCAT(Tableau1[[#This Row],[Name ILN]],"-",Tableau1[[#This Row],[Name Shipper]],"-",Tableau1[[#This Row],[Name Site]])</f>
        <v>--</v>
      </c>
      <c r="C218" s="65" t="e">
        <f>_xlfn.CONCAT(Tableau1[[#This Row],[Compte ILN]],"-",Tableau1[[#This Row],[Compte Shipper]],"-",Tableau1[[#This Row],[POL]],"-",Tableau1[[#This Row],[Compte Consignee]])</f>
        <v>#N/A</v>
      </c>
      <c r="D218" s="64" t="e">
        <f>_xlfn.CONCAT(Tableau1[[#This Row],[Compte ILN]],"-",Tableau1[[#This Row],[Compte Shipper]],"-",Tableau1[[#This Row],[POL]])</f>
        <v>#N/A</v>
      </c>
      <c r="E218" s="128" t="e">
        <f ca="1">_xlfn.CONCAT(Tableau1[[#This Row],[POL]],"-",Tableau1[[#This Row],[Carrier]],"-",Tableau1[[#This Row],[POD]])</f>
        <v>#N/A</v>
      </c>
      <c r="F218" s="64" t="str">
        <f>_xlfn.CONCAT(Tableau1[[#This Row],[ID]],"-","Actif")</f>
        <v>-Actif</v>
      </c>
      <c r="G218" s="64" t="e">
        <f ca="1">_xlfn.CONCAT(Tableau1[[#This Row],[POD]],"-",Tableau1[[#This Row],[Code PFI]],"-",Tableau1[[#This Row],[Compte Consignee]])</f>
        <v>#N/A</v>
      </c>
      <c r="H21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8" s="400" t="str">
        <f ca="1">IF(COUNTIF(I:I,Tableau1[[#This Row],[Plant-ILN-shipper-POL-Carrier-POD-PFI]])=1,"Non","Oui")</f>
        <v>Oui</v>
      </c>
      <c r="K218" s="399" t="e">
        <f>VLOOKUP(Tableau1[[#This Row],[Name Site]],Plant_AILN!A:D,4,FALSE)</f>
        <v>#N/A</v>
      </c>
      <c r="L218" s="10"/>
      <c r="M218" s="480" t="e">
        <f>VLOOKUP(Tableau1[[#This Row],[Name Site]],Plant_AILN!A:C,3,FALSE)</f>
        <v>#N/A</v>
      </c>
      <c r="N218" s="55" t="e">
        <f>VLOOKUP(Tableau1[[#This Row],[Compte Consignee]],Order!C:D,2,FALSE)</f>
        <v>#N/A</v>
      </c>
      <c r="O218" s="114"/>
      <c r="P218" s="481" t="e">
        <f>VLOOKUP(Tableau1[[#This Row],[Name ILN]],Plant_AILN!F:G,2,FALSE)</f>
        <v>#N/A</v>
      </c>
      <c r="Q218" s="50" t="e">
        <f>VLOOKUP(Tableau1[[#This Row],[Compte ILN]],'DATA ILN'!D:I,6,FALSE)</f>
        <v>#N/A</v>
      </c>
      <c r="R218" s="50" t="e">
        <f>IFERROR(VLOOKUP(Tableau1[[#This Row],[Key(Compte ILN - shipper - POL - plant)]],'DATA ILN'!A:J,10,FALSE),VLOOKUP(Tableau1[[#This Row],[Key(Compte ILN - shipper - POL)]],'DATA ILN'!B:J,9,FALSE))</f>
        <v>#N/A</v>
      </c>
      <c r="S218" s="50" t="e">
        <f>IFERROR(VLOOKUP(Tableau1[[#This Row],[Key(Compte ILN - shipper - POL - plant)]],'DATA ILN'!A:K,11,FALSE),VLOOKUP(Tableau1[[#This Row],[Key(Compte ILN - shipper - POL)]],'DATA ILN'!B:K,10,FALSE))</f>
        <v>#N/A</v>
      </c>
      <c r="T218" s="50" t="e">
        <f>IFERROR(VLOOKUP(Tableau1[[#This Row],[Key(Compte ILN - shipper - POL - plant)]],'DATA ILN'!A:L,12,FALSE),VLOOKUP(Tableau1[[#This Row],[Key(Compte ILN - shipper - POL)]],'DATA ILN'!B:L,11,FALSE))</f>
        <v>#N/A</v>
      </c>
      <c r="U218" s="50" t="e">
        <f>Tableau1[[#This Row],[Day ILN Order]]+Tableau1[[#This Row],[Delivery time to ILN/Shipper]]-1</f>
        <v>#N/A</v>
      </c>
      <c r="V218" s="50" t="e">
        <f>IFERROR(VLOOKUP(Tableau1[[#This Row],[Key(Compte ILN - shipper - POL - plant)]],'DATA ILN'!A:N,14,FALSE),VLOOKUP(Tableau1[[#This Row],[Key(Compte ILN - shipper - POL)]],'DATA ILN'!B:N,13,FALSE))</f>
        <v>#N/A</v>
      </c>
      <c r="W218" s="53" t="e">
        <f>IFERROR(VLOOKUP(Tableau1[[#This Row],[Key(Compte ILN - shipper - POL - plant)]],'DATA ILN'!A:P,16,FALSE),VLOOKUP(Tableau1[[#This Row],[Key(Compte ILN - shipper - POL)]],'DATA ILN'!B:P,15,FALSE))</f>
        <v>#N/A</v>
      </c>
      <c r="X218" s="283"/>
      <c r="Y218" s="482">
        <f>IFERROR(VLOOKUP(Tableau1[[#This Row],[Name Shipper]],Plant_AILN!L:M,2,FALSE),0)</f>
        <v>0</v>
      </c>
      <c r="Z218" s="358"/>
      <c r="AA218" s="353" t="e">
        <f ca="1">VLOOKUP(Tableau1[[#This Row],[Key(ID-Actif)]],'DATA BTO'!A:N,5,FALSE)</f>
        <v>#N/A</v>
      </c>
      <c r="AB218" s="3" t="e">
        <f ca="1">VLOOKUP(Tableau1[[#This Row],[Key(ID-Actif)]],'DATA BTO'!A:N,6,FALSE)</f>
        <v>#N/A</v>
      </c>
      <c r="AC218" s="50" t="e">
        <f ca="1">VLOOKUP(Tableau1[[#This Row],[Key(ID-Actif)]],'DATA BTO'!A:N,7,FALSE)</f>
        <v>#N/A</v>
      </c>
      <c r="AD218" s="50" t="e">
        <f ca="1">VLOOKUP(Tableau1[[#This Row],[Key(ID-Actif)]],'DATA BTO'!A:N,8,FALSE)</f>
        <v>#N/A</v>
      </c>
      <c r="AE218" s="50" t="e">
        <f ca="1">IF(Tableau1[[#This Row],[First Day to POL]]&lt;=Tableau1[[#This Row],[Day Cut Off]],Tableau1[[#This Row],[Day ETD]],Tableau1[[#This Row],[Day ETD]]+7)</f>
        <v>#N/A</v>
      </c>
      <c r="AF218" s="50" t="e">
        <f ca="1">VLOOKUP(Tableau1[[#This Row],[Key(ID-Actif)]],'DATA BTO'!A:N,9,FALSE)</f>
        <v>#N/A</v>
      </c>
      <c r="AG218" s="3" t="e">
        <f ca="1">VLOOKUP(Tableau1[[#This Row],[Key(ID-Actif)]],'DATA BTO'!A:N,10,FALSE)</f>
        <v>#N/A</v>
      </c>
      <c r="AH218" s="3" t="e">
        <f ca="1">VLOOKUP(Tableau1[[#This Row],[Key(ID-Actif)]],'DATA BTO'!A:N,11,FALSE)</f>
        <v>#N/A</v>
      </c>
      <c r="AI218" s="50" t="e">
        <f ca="1">VLOOKUP(Tableau1[[#This Row],[Key(ID-Actif)]],'DATA BTO'!A:N,12,FALSE)</f>
        <v>#N/A</v>
      </c>
      <c r="AJ218" s="53" t="e">
        <f ca="1">VLOOKUP(Tableau1[[#This Row],[Key(ID-Actif)]],'DATA BTO'!A:N,14,FALSE)</f>
        <v>#N/A</v>
      </c>
      <c r="AK218" s="54" t="e">
        <f ca="1">VLOOKUP(Tableau1[[#This Row],[Key(POD -PFI- Usine)]],'DATA Consignee'!A:F,6,FALSE)</f>
        <v>#N/A</v>
      </c>
      <c r="AL218" s="125"/>
      <c r="AM218" s="483" t="str">
        <f>IF(Tableau1[[#This Row],[Name PFI/CDD]]="","-",VLOOKUP(Tableau1[[#This Row],[Name PFI/CDD]],Plant_AILN!I:J,2,FALSE))</f>
        <v>-</v>
      </c>
      <c r="AN21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8" s="2" t="e">
        <f ca="1">VLOOKUP(Tableau1[[#This Row],[Key(POD -PFI- Usine)]],'DATA Consignee'!A:J,10,FALSE)</f>
        <v>#N/A</v>
      </c>
      <c r="AQ218" s="50" t="e">
        <f ca="1">VLOOKUP(Tableau1[[#This Row],[Key(POD -PFI- Usine)]],'DATA Consignee'!A:N,14,FALSE)</f>
        <v>#N/A</v>
      </c>
      <c r="AR21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8" s="50" t="e">
        <f ca="1">Tableau1[[#This Row],[Transit time]]+Tableau1[[#This Row],[Time for security]]+Tableau1[[#This Row],[Time for security2 buffer]]</f>
        <v>#N/A</v>
      </c>
      <c r="AU21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8" s="50" t="e">
        <f ca="1">Tableau1[[#This Row],[Leadtime SI2C]]+Tableau1[[#This Row],[First Receipt Days]]-Tableau1[[#This Row],[Day Customer Order]]+1</f>
        <v>#N/A</v>
      </c>
      <c r="AW218" s="117" t="e">
        <f ca="1">IF(Tableau1[[#This Row],[Name ILN]]&lt;&gt;"SFK Freight Forwarder",Tableau1[[#This Row],[Cust. Leadtime]],Tableau1[[#This Row],[Leadtime SI2C]])</f>
        <v>#N/A</v>
      </c>
      <c r="AX218" s="51" t="e">
        <f>VLOOKUP(Tableau1[[#This Row],[ID]],'DATA BTO'!B:P,15,FALSE)</f>
        <v>#N/A</v>
      </c>
      <c r="AY218" s="328" t="e">
        <f ca="1">IFERROR(VLOOKUP(Tableau1[[#This Row],[Key(ID-Actif)]],'DATA BTO'!A:N,4,FALSE),VLOOKUP(Tableau1[[#This Row],[ID]],'DATA BTO'!B:N,3,FALSE))</f>
        <v>#N/A</v>
      </c>
      <c r="AZ21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8" s="50"/>
    </row>
    <row r="219" spans="2:57">
      <c r="B219" s="65" t="str">
        <f>_xlfn.CONCAT(Tableau1[[#This Row],[Name ILN]],"-",Tableau1[[#This Row],[Name Shipper]],"-",Tableau1[[#This Row],[Name Site]])</f>
        <v>--</v>
      </c>
      <c r="C219" s="65" t="e">
        <f>_xlfn.CONCAT(Tableau1[[#This Row],[Compte ILN]],"-",Tableau1[[#This Row],[Compte Shipper]],"-",Tableau1[[#This Row],[POL]],"-",Tableau1[[#This Row],[Compte Consignee]])</f>
        <v>#N/A</v>
      </c>
      <c r="D219" s="64" t="e">
        <f>_xlfn.CONCAT(Tableau1[[#This Row],[Compte ILN]],"-",Tableau1[[#This Row],[Compte Shipper]],"-",Tableau1[[#This Row],[POL]])</f>
        <v>#N/A</v>
      </c>
      <c r="E219" s="128" t="e">
        <f ca="1">_xlfn.CONCAT(Tableau1[[#This Row],[POL]],"-",Tableau1[[#This Row],[Carrier]],"-",Tableau1[[#This Row],[POD]])</f>
        <v>#N/A</v>
      </c>
      <c r="F219" s="64" t="str">
        <f>_xlfn.CONCAT(Tableau1[[#This Row],[ID]],"-","Actif")</f>
        <v>-Actif</v>
      </c>
      <c r="G219" s="64" t="e">
        <f ca="1">_xlfn.CONCAT(Tableau1[[#This Row],[POD]],"-",Tableau1[[#This Row],[Code PFI]],"-",Tableau1[[#This Row],[Compte Consignee]])</f>
        <v>#N/A</v>
      </c>
      <c r="H21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1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19" s="400" t="str">
        <f ca="1">IF(COUNTIF(I:I,Tableau1[[#This Row],[Plant-ILN-shipper-POL-Carrier-POD-PFI]])=1,"Non","Oui")</f>
        <v>Oui</v>
      </c>
      <c r="K219" s="399" t="e">
        <f>VLOOKUP(Tableau1[[#This Row],[Name Site]],Plant_AILN!A:D,4,FALSE)</f>
        <v>#N/A</v>
      </c>
      <c r="L219" s="10"/>
      <c r="M219" s="480" t="e">
        <f>VLOOKUP(Tableau1[[#This Row],[Name Site]],Plant_AILN!A:C,3,FALSE)</f>
        <v>#N/A</v>
      </c>
      <c r="N219" s="55" t="e">
        <f>VLOOKUP(Tableau1[[#This Row],[Compte Consignee]],Order!C:D,2,FALSE)</f>
        <v>#N/A</v>
      </c>
      <c r="O219" s="114"/>
      <c r="P219" s="481" t="e">
        <f>VLOOKUP(Tableau1[[#This Row],[Name ILN]],Plant_AILN!F:G,2,FALSE)</f>
        <v>#N/A</v>
      </c>
      <c r="Q219" s="50" t="e">
        <f>VLOOKUP(Tableau1[[#This Row],[Compte ILN]],'DATA ILN'!D:I,6,FALSE)</f>
        <v>#N/A</v>
      </c>
      <c r="R219" s="50" t="e">
        <f>IFERROR(VLOOKUP(Tableau1[[#This Row],[Key(Compte ILN - shipper - POL - plant)]],'DATA ILN'!A:J,10,FALSE),VLOOKUP(Tableau1[[#This Row],[Key(Compte ILN - shipper - POL)]],'DATA ILN'!B:J,9,FALSE))</f>
        <v>#N/A</v>
      </c>
      <c r="S219" s="50" t="e">
        <f>IFERROR(VLOOKUP(Tableau1[[#This Row],[Key(Compte ILN - shipper - POL - plant)]],'DATA ILN'!A:K,11,FALSE),VLOOKUP(Tableau1[[#This Row],[Key(Compte ILN - shipper - POL)]],'DATA ILN'!B:K,10,FALSE))</f>
        <v>#N/A</v>
      </c>
      <c r="T219" s="50" t="e">
        <f>IFERROR(VLOOKUP(Tableau1[[#This Row],[Key(Compte ILN - shipper - POL - plant)]],'DATA ILN'!A:L,12,FALSE),VLOOKUP(Tableau1[[#This Row],[Key(Compte ILN - shipper - POL)]],'DATA ILN'!B:L,11,FALSE))</f>
        <v>#N/A</v>
      </c>
      <c r="U219" s="50" t="e">
        <f>Tableau1[[#This Row],[Day ILN Order]]+Tableau1[[#This Row],[Delivery time to ILN/Shipper]]-1</f>
        <v>#N/A</v>
      </c>
      <c r="V219" s="50" t="e">
        <f>IFERROR(VLOOKUP(Tableau1[[#This Row],[Key(Compte ILN - shipper - POL - plant)]],'DATA ILN'!A:N,14,FALSE),VLOOKUP(Tableau1[[#This Row],[Key(Compte ILN - shipper - POL)]],'DATA ILN'!B:N,13,FALSE))</f>
        <v>#N/A</v>
      </c>
      <c r="W219" s="53" t="e">
        <f>IFERROR(VLOOKUP(Tableau1[[#This Row],[Key(Compte ILN - shipper - POL - plant)]],'DATA ILN'!A:P,16,FALSE),VLOOKUP(Tableau1[[#This Row],[Key(Compte ILN - shipper - POL)]],'DATA ILN'!B:P,15,FALSE))</f>
        <v>#N/A</v>
      </c>
      <c r="X219" s="283"/>
      <c r="Y219" s="482">
        <f>IFERROR(VLOOKUP(Tableau1[[#This Row],[Name Shipper]],Plant_AILN!L:M,2,FALSE),0)</f>
        <v>0</v>
      </c>
      <c r="Z219" s="358"/>
      <c r="AA219" s="353" t="e">
        <f ca="1">VLOOKUP(Tableau1[[#This Row],[Key(ID-Actif)]],'DATA BTO'!A:N,5,FALSE)</f>
        <v>#N/A</v>
      </c>
      <c r="AB219" s="3" t="e">
        <f ca="1">VLOOKUP(Tableau1[[#This Row],[Key(ID-Actif)]],'DATA BTO'!A:N,6,FALSE)</f>
        <v>#N/A</v>
      </c>
      <c r="AC219" s="50" t="e">
        <f ca="1">VLOOKUP(Tableau1[[#This Row],[Key(ID-Actif)]],'DATA BTO'!A:N,7,FALSE)</f>
        <v>#N/A</v>
      </c>
      <c r="AD219" s="50" t="e">
        <f ca="1">VLOOKUP(Tableau1[[#This Row],[Key(ID-Actif)]],'DATA BTO'!A:N,8,FALSE)</f>
        <v>#N/A</v>
      </c>
      <c r="AE219" s="50" t="e">
        <f ca="1">IF(Tableau1[[#This Row],[First Day to POL]]&lt;=Tableau1[[#This Row],[Day Cut Off]],Tableau1[[#This Row],[Day ETD]],Tableau1[[#This Row],[Day ETD]]+7)</f>
        <v>#N/A</v>
      </c>
      <c r="AF219" s="50" t="e">
        <f ca="1">VLOOKUP(Tableau1[[#This Row],[Key(ID-Actif)]],'DATA BTO'!A:N,9,FALSE)</f>
        <v>#N/A</v>
      </c>
      <c r="AG219" s="3" t="e">
        <f ca="1">VLOOKUP(Tableau1[[#This Row],[Key(ID-Actif)]],'DATA BTO'!A:N,10,FALSE)</f>
        <v>#N/A</v>
      </c>
      <c r="AH219" s="3" t="e">
        <f ca="1">VLOOKUP(Tableau1[[#This Row],[Key(ID-Actif)]],'DATA BTO'!A:N,11,FALSE)</f>
        <v>#N/A</v>
      </c>
      <c r="AI219" s="50" t="e">
        <f ca="1">VLOOKUP(Tableau1[[#This Row],[Key(ID-Actif)]],'DATA BTO'!A:N,12,FALSE)</f>
        <v>#N/A</v>
      </c>
      <c r="AJ219" s="53" t="e">
        <f ca="1">VLOOKUP(Tableau1[[#This Row],[Key(ID-Actif)]],'DATA BTO'!A:N,14,FALSE)</f>
        <v>#N/A</v>
      </c>
      <c r="AK219" s="54" t="e">
        <f ca="1">VLOOKUP(Tableau1[[#This Row],[Key(POD -PFI- Usine)]],'DATA Consignee'!A:F,6,FALSE)</f>
        <v>#N/A</v>
      </c>
      <c r="AL219" s="125"/>
      <c r="AM219" s="483" t="str">
        <f>IF(Tableau1[[#This Row],[Name PFI/CDD]]="","-",VLOOKUP(Tableau1[[#This Row],[Name PFI/CDD]],Plant_AILN!I:J,2,FALSE))</f>
        <v>-</v>
      </c>
      <c r="AN21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1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19" s="2" t="e">
        <f ca="1">VLOOKUP(Tableau1[[#This Row],[Key(POD -PFI- Usine)]],'DATA Consignee'!A:J,10,FALSE)</f>
        <v>#N/A</v>
      </c>
      <c r="AQ219" s="50" t="e">
        <f ca="1">VLOOKUP(Tableau1[[#This Row],[Key(POD -PFI- Usine)]],'DATA Consignee'!A:N,14,FALSE)</f>
        <v>#N/A</v>
      </c>
      <c r="AR21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1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19" s="50" t="e">
        <f ca="1">Tableau1[[#This Row],[Transit time]]+Tableau1[[#This Row],[Time for security]]+Tableau1[[#This Row],[Time for security2 buffer]]</f>
        <v>#N/A</v>
      </c>
      <c r="AU21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19" s="50" t="e">
        <f ca="1">Tableau1[[#This Row],[Leadtime SI2C]]+Tableau1[[#This Row],[First Receipt Days]]-Tableau1[[#This Row],[Day Customer Order]]+1</f>
        <v>#N/A</v>
      </c>
      <c r="AW219" s="117" t="e">
        <f ca="1">IF(Tableau1[[#This Row],[Name ILN]]&lt;&gt;"SFK Freight Forwarder",Tableau1[[#This Row],[Cust. Leadtime]],Tableau1[[#This Row],[Leadtime SI2C]])</f>
        <v>#N/A</v>
      </c>
      <c r="AX219" s="51" t="e">
        <f>VLOOKUP(Tableau1[[#This Row],[ID]],'DATA BTO'!B:P,15,FALSE)</f>
        <v>#N/A</v>
      </c>
      <c r="AY219" s="328" t="e">
        <f ca="1">IFERROR(VLOOKUP(Tableau1[[#This Row],[Key(ID-Actif)]],'DATA BTO'!A:N,4,FALSE),VLOOKUP(Tableau1[[#This Row],[ID]],'DATA BTO'!B:N,3,FALSE))</f>
        <v>#N/A</v>
      </c>
      <c r="AZ21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1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1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9" s="50"/>
    </row>
    <row r="220" spans="2:57">
      <c r="B220" s="65" t="str">
        <f>_xlfn.CONCAT(Tableau1[[#This Row],[Name ILN]],"-",Tableau1[[#This Row],[Name Shipper]],"-",Tableau1[[#This Row],[Name Site]])</f>
        <v>--</v>
      </c>
      <c r="C220" s="65" t="e">
        <f>_xlfn.CONCAT(Tableau1[[#This Row],[Compte ILN]],"-",Tableau1[[#This Row],[Compte Shipper]],"-",Tableau1[[#This Row],[POL]],"-",Tableau1[[#This Row],[Compte Consignee]])</f>
        <v>#N/A</v>
      </c>
      <c r="D220" s="64" t="e">
        <f>_xlfn.CONCAT(Tableau1[[#This Row],[Compte ILN]],"-",Tableau1[[#This Row],[Compte Shipper]],"-",Tableau1[[#This Row],[POL]])</f>
        <v>#N/A</v>
      </c>
      <c r="E220" s="128" t="e">
        <f ca="1">_xlfn.CONCAT(Tableau1[[#This Row],[POL]],"-",Tableau1[[#This Row],[Carrier]],"-",Tableau1[[#This Row],[POD]])</f>
        <v>#N/A</v>
      </c>
      <c r="F220" s="64" t="str">
        <f>_xlfn.CONCAT(Tableau1[[#This Row],[ID]],"-","Actif")</f>
        <v>-Actif</v>
      </c>
      <c r="G220" s="64" t="e">
        <f ca="1">_xlfn.CONCAT(Tableau1[[#This Row],[POD]],"-",Tableau1[[#This Row],[Code PFI]],"-",Tableau1[[#This Row],[Compte Consignee]])</f>
        <v>#N/A</v>
      </c>
      <c r="H22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0" s="400" t="str">
        <f ca="1">IF(COUNTIF(I:I,Tableau1[[#This Row],[Plant-ILN-shipper-POL-Carrier-POD-PFI]])=1,"Non","Oui")</f>
        <v>Oui</v>
      </c>
      <c r="K220" s="398" t="e">
        <f>VLOOKUP(Tableau1[[#This Row],[Name Site]],Plant_AILN!A:D,4,FALSE)</f>
        <v>#N/A</v>
      </c>
      <c r="L220" s="363"/>
      <c r="M220" s="480" t="e">
        <f>VLOOKUP(Tableau1[[#This Row],[Name Site]],Plant_AILN!A:C,3,FALSE)</f>
        <v>#N/A</v>
      </c>
      <c r="N220" s="55" t="e">
        <f>VLOOKUP(Tableau1[[#This Row],[Compte Consignee]],Order!C:D,2,FALSE)</f>
        <v>#N/A</v>
      </c>
      <c r="O220" s="114"/>
      <c r="P220" s="481" t="e">
        <f>VLOOKUP(Tableau1[[#This Row],[Name ILN]],Plant_AILN!F:G,2,FALSE)</f>
        <v>#N/A</v>
      </c>
      <c r="Q220" s="50" t="e">
        <f>VLOOKUP(Tableau1[[#This Row],[Compte ILN]],'DATA ILN'!D:I,6,FALSE)</f>
        <v>#N/A</v>
      </c>
      <c r="R220" s="50" t="e">
        <f>IFERROR(VLOOKUP(Tableau1[[#This Row],[Key(Compte ILN - shipper - POL - plant)]],'DATA ILN'!A:J,10,FALSE),VLOOKUP(Tableau1[[#This Row],[Key(Compte ILN - shipper - POL)]],'DATA ILN'!B:J,9,FALSE))</f>
        <v>#N/A</v>
      </c>
      <c r="S220" s="50" t="e">
        <f>IFERROR(VLOOKUP(Tableau1[[#This Row],[Key(Compte ILN - shipper - POL - plant)]],'DATA ILN'!A:K,11,FALSE),VLOOKUP(Tableau1[[#This Row],[Key(Compte ILN - shipper - POL)]],'DATA ILN'!B:K,10,FALSE))</f>
        <v>#N/A</v>
      </c>
      <c r="T220" s="50" t="e">
        <f>IFERROR(VLOOKUP(Tableau1[[#This Row],[Key(Compte ILN - shipper - POL - plant)]],'DATA ILN'!A:L,12,FALSE),VLOOKUP(Tableau1[[#This Row],[Key(Compte ILN - shipper - POL)]],'DATA ILN'!B:L,11,FALSE))</f>
        <v>#N/A</v>
      </c>
      <c r="U220" s="50" t="e">
        <f>Tableau1[[#This Row],[Day ILN Order]]+Tableau1[[#This Row],[Delivery time to ILN/Shipper]]-1</f>
        <v>#N/A</v>
      </c>
      <c r="V220" s="50" t="e">
        <f>IFERROR(VLOOKUP(Tableau1[[#This Row],[Key(Compte ILN - shipper - POL - plant)]],'DATA ILN'!A:N,14,FALSE),VLOOKUP(Tableau1[[#This Row],[Key(Compte ILN - shipper - POL)]],'DATA ILN'!B:N,13,FALSE))</f>
        <v>#N/A</v>
      </c>
      <c r="W220" s="53" t="e">
        <f>IFERROR(VLOOKUP(Tableau1[[#This Row],[Key(Compte ILN - shipper - POL - plant)]],'DATA ILN'!A:P,16,FALSE),VLOOKUP(Tableau1[[#This Row],[Key(Compte ILN - shipper - POL)]],'DATA ILN'!B:P,15,FALSE))</f>
        <v>#N/A</v>
      </c>
      <c r="X220" s="283"/>
      <c r="Y220" s="482">
        <f>IFERROR(VLOOKUP(Tableau1[[#This Row],[Name Shipper]],Plant_AILN!L:M,2,FALSE),0)</f>
        <v>0</v>
      </c>
      <c r="Z220" s="358"/>
      <c r="AA220" s="353" t="e">
        <f ca="1">VLOOKUP(Tableau1[[#This Row],[Key(ID-Actif)]],'DATA BTO'!A:N,5,FALSE)</f>
        <v>#N/A</v>
      </c>
      <c r="AB220" s="3" t="e">
        <f ca="1">VLOOKUP(Tableau1[[#This Row],[Key(ID-Actif)]],'DATA BTO'!A:N,6,FALSE)</f>
        <v>#N/A</v>
      </c>
      <c r="AC220" s="50" t="e">
        <f ca="1">VLOOKUP(Tableau1[[#This Row],[Key(ID-Actif)]],'DATA BTO'!A:N,7,FALSE)</f>
        <v>#N/A</v>
      </c>
      <c r="AD220" s="50" t="e">
        <f ca="1">VLOOKUP(Tableau1[[#This Row],[Key(ID-Actif)]],'DATA BTO'!A:N,8,FALSE)</f>
        <v>#N/A</v>
      </c>
      <c r="AE220" s="50" t="e">
        <f ca="1">IF(Tableau1[[#This Row],[First Day to POL]]&lt;=Tableau1[[#This Row],[Day Cut Off]],Tableau1[[#This Row],[Day ETD]],Tableau1[[#This Row],[Day ETD]]+7)</f>
        <v>#N/A</v>
      </c>
      <c r="AF220" s="50" t="e">
        <f ca="1">VLOOKUP(Tableau1[[#This Row],[Key(ID-Actif)]],'DATA BTO'!A:N,9,FALSE)</f>
        <v>#N/A</v>
      </c>
      <c r="AG220" s="3" t="e">
        <f ca="1">VLOOKUP(Tableau1[[#This Row],[Key(ID-Actif)]],'DATA BTO'!A:N,10,FALSE)</f>
        <v>#N/A</v>
      </c>
      <c r="AH220" s="3" t="e">
        <f ca="1">VLOOKUP(Tableau1[[#This Row],[Key(ID-Actif)]],'DATA BTO'!A:N,11,FALSE)</f>
        <v>#N/A</v>
      </c>
      <c r="AI220" s="50" t="e">
        <f ca="1">VLOOKUP(Tableau1[[#This Row],[Key(ID-Actif)]],'DATA BTO'!A:N,12,FALSE)</f>
        <v>#N/A</v>
      </c>
      <c r="AJ220" s="53" t="e">
        <f ca="1">VLOOKUP(Tableau1[[#This Row],[Key(ID-Actif)]],'DATA BTO'!A:N,14,FALSE)</f>
        <v>#N/A</v>
      </c>
      <c r="AK220" s="54" t="e">
        <f ca="1">VLOOKUP(Tableau1[[#This Row],[Key(POD -PFI- Usine)]],'DATA Consignee'!A:F,6,FALSE)</f>
        <v>#N/A</v>
      </c>
      <c r="AL220" s="125"/>
      <c r="AM220" s="483" t="str">
        <f>IF(Tableau1[[#This Row],[Name PFI/CDD]]="","-",VLOOKUP(Tableau1[[#This Row],[Name PFI/CDD]],Plant_AILN!I:J,2,FALSE))</f>
        <v>-</v>
      </c>
      <c r="AN22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0" s="2" t="e">
        <f ca="1">VLOOKUP(Tableau1[[#This Row],[Key(POD -PFI- Usine)]],'DATA Consignee'!A:J,10,FALSE)</f>
        <v>#N/A</v>
      </c>
      <c r="AQ220" s="50" t="e">
        <f ca="1">VLOOKUP(Tableau1[[#This Row],[Key(POD -PFI- Usine)]],'DATA Consignee'!A:N,14,FALSE)</f>
        <v>#N/A</v>
      </c>
      <c r="AR22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0" s="50" t="e">
        <f ca="1">Tableau1[[#This Row],[Transit time]]+Tableau1[[#This Row],[Time for security]]+Tableau1[[#This Row],[Time for security2 buffer]]</f>
        <v>#N/A</v>
      </c>
      <c r="AU22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0" s="50" t="e">
        <f ca="1">Tableau1[[#This Row],[Leadtime SI2C]]+Tableau1[[#This Row],[First Receipt Days]]-Tableau1[[#This Row],[Day Customer Order]]+1</f>
        <v>#N/A</v>
      </c>
      <c r="AW220" s="117" t="e">
        <f ca="1">IF(Tableau1[[#This Row],[Name ILN]]&lt;&gt;"SFK Freight Forwarder",Tableau1[[#This Row],[Cust. Leadtime]],Tableau1[[#This Row],[Leadtime SI2C]])</f>
        <v>#N/A</v>
      </c>
      <c r="AX220" s="51" t="e">
        <f>VLOOKUP(Tableau1[[#This Row],[ID]],'DATA BTO'!B:P,15,FALSE)</f>
        <v>#N/A</v>
      </c>
      <c r="AY220" s="328" t="e">
        <f ca="1">IFERROR(VLOOKUP(Tableau1[[#This Row],[Key(ID-Actif)]],'DATA BTO'!A:N,4,FALSE),VLOOKUP(Tableau1[[#This Row],[ID]],'DATA BTO'!B:N,3,FALSE))</f>
        <v>#N/A</v>
      </c>
      <c r="AZ22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0" s="50"/>
    </row>
    <row r="221" spans="2:57">
      <c r="B221" s="65" t="str">
        <f>_xlfn.CONCAT(Tableau1[[#This Row],[Name ILN]],"-",Tableau1[[#This Row],[Name Shipper]],"-",Tableau1[[#This Row],[Name Site]])</f>
        <v>--</v>
      </c>
      <c r="C221" s="65" t="e">
        <f>_xlfn.CONCAT(Tableau1[[#This Row],[Compte ILN]],"-",Tableau1[[#This Row],[Compte Shipper]],"-",Tableau1[[#This Row],[POL]],"-",Tableau1[[#This Row],[Compte Consignee]])</f>
        <v>#N/A</v>
      </c>
      <c r="D221" s="80" t="e">
        <f>_xlfn.CONCAT(Tableau1[[#This Row],[Compte ILN]],"-",Tableau1[[#This Row],[Compte Shipper]],"-",Tableau1[[#This Row],[POL]])</f>
        <v>#N/A</v>
      </c>
      <c r="E221" s="81" t="e">
        <f ca="1">_xlfn.CONCAT(Tableau1[[#This Row],[POL]],"-",Tableau1[[#This Row],[Carrier]],"-",Tableau1[[#This Row],[POD]])</f>
        <v>#N/A</v>
      </c>
      <c r="F221" s="80" t="str">
        <f>_xlfn.CONCAT(Tableau1[[#This Row],[ID]],"-","Actif")</f>
        <v>-Actif</v>
      </c>
      <c r="G221" s="80" t="e">
        <f ca="1">_xlfn.CONCAT(Tableau1[[#This Row],[POD]],"-",Tableau1[[#This Row],[Code PFI]],"-",Tableau1[[#This Row],[Compte Consignee]])</f>
        <v>#N/A</v>
      </c>
      <c r="H22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1" s="401" t="str">
        <f ca="1">IF(COUNTIF(I:I,Tableau1[[#This Row],[Plant-ILN-shipper-POL-Carrier-POD-PFI]])=1,"Non","Oui")</f>
        <v>Oui</v>
      </c>
      <c r="K221" s="449" t="e">
        <f>VLOOKUP(Tableau1[[#This Row],[Name Site]],Plant_AILN!A:D,4,FALSE)</f>
        <v>#N/A</v>
      </c>
      <c r="L221" s="10"/>
      <c r="M221" s="480" t="e">
        <f>VLOOKUP(Tableau1[[#This Row],[Name Site]],Plant_AILN!A:C,3,FALSE)</f>
        <v>#N/A</v>
      </c>
      <c r="N221" s="102" t="e">
        <f>VLOOKUP(Tableau1[[#This Row],[Compte Consignee]],Order!C:D,2,FALSE)</f>
        <v>#N/A</v>
      </c>
      <c r="O221" s="114"/>
      <c r="P221" s="484" t="e">
        <f>VLOOKUP(Tableau1[[#This Row],[Name ILN]],Plant_AILN!F:G,2,FALSE)</f>
        <v>#N/A</v>
      </c>
      <c r="Q221" s="79" t="e">
        <f>VLOOKUP(Tableau1[[#This Row],[Compte ILN]],'DATA ILN'!D:I,6,FALSE)</f>
        <v>#N/A</v>
      </c>
      <c r="R221" s="79" t="e">
        <f>IFERROR(VLOOKUP(Tableau1[[#This Row],[Key(Compte ILN - shipper - POL - plant)]],'DATA ILN'!A:J,10,FALSE),VLOOKUP(Tableau1[[#This Row],[Key(Compte ILN - shipper - POL)]],'DATA ILN'!B:J,9,FALSE))</f>
        <v>#N/A</v>
      </c>
      <c r="S221" s="79" t="e">
        <f>IFERROR(VLOOKUP(Tableau1[[#This Row],[Key(Compte ILN - shipper - POL - plant)]],'DATA ILN'!A:K,11,FALSE),VLOOKUP(Tableau1[[#This Row],[Key(Compte ILN - shipper - POL)]],'DATA ILN'!B:K,10,FALSE))</f>
        <v>#N/A</v>
      </c>
      <c r="T221" s="79" t="e">
        <f>IFERROR(VLOOKUP(Tableau1[[#This Row],[Key(Compte ILN - shipper - POL - plant)]],'DATA ILN'!A:L,12,FALSE),VLOOKUP(Tableau1[[#This Row],[Key(Compte ILN - shipper - POL)]],'DATA ILN'!B:L,11,FALSE))</f>
        <v>#N/A</v>
      </c>
      <c r="U221" s="79" t="e">
        <f>Tableau1[[#This Row],[Day ILN Order]]+Tableau1[[#This Row],[Delivery time to ILN/Shipper]]-1</f>
        <v>#N/A</v>
      </c>
      <c r="V221" s="79" t="e">
        <f>IFERROR(VLOOKUP(Tableau1[[#This Row],[Key(Compte ILN - shipper - POL - plant)]],'DATA ILN'!A:N,14,FALSE),VLOOKUP(Tableau1[[#This Row],[Key(Compte ILN - shipper - POL)]],'DATA ILN'!B:N,13,FALSE))</f>
        <v>#N/A</v>
      </c>
      <c r="W221" s="104" t="e">
        <f>IFERROR(VLOOKUP(Tableau1[[#This Row],[Key(Compte ILN - shipper - POL - plant)]],'DATA ILN'!A:P,16,FALSE),VLOOKUP(Tableau1[[#This Row],[Key(Compte ILN - shipper - POL)]],'DATA ILN'!B:P,15,FALSE))</f>
        <v>#N/A</v>
      </c>
      <c r="X221" s="283"/>
      <c r="Y221" s="487">
        <f>IFERROR(VLOOKUP(Tableau1[[#This Row],[Name Shipper]],Plant_AILN!L:M,2,FALSE),0)</f>
        <v>0</v>
      </c>
      <c r="Z221" s="358"/>
      <c r="AA221" s="354" t="e">
        <f ca="1">VLOOKUP(Tableau1[[#This Row],[Key(ID-Actif)]],'DATA BTO'!A:N,5,FALSE)</f>
        <v>#N/A</v>
      </c>
      <c r="AB221" s="106" t="e">
        <f ca="1">VLOOKUP(Tableau1[[#This Row],[Key(ID-Actif)]],'DATA BTO'!A:N,6,FALSE)</f>
        <v>#N/A</v>
      </c>
      <c r="AC221" s="79" t="e">
        <f ca="1">VLOOKUP(Tableau1[[#This Row],[Key(ID-Actif)]],'DATA BTO'!A:N,7,FALSE)</f>
        <v>#N/A</v>
      </c>
      <c r="AD221" s="79" t="e">
        <f ca="1">VLOOKUP(Tableau1[[#This Row],[Key(ID-Actif)]],'DATA BTO'!A:N,8,FALSE)</f>
        <v>#N/A</v>
      </c>
      <c r="AE221" s="79" t="e">
        <f ca="1">IF(Tableau1[[#This Row],[First Day to POL]]&lt;=Tableau1[[#This Row],[Day Cut Off]],Tableau1[[#This Row],[Day ETD]],Tableau1[[#This Row],[Day ETD]]+7)</f>
        <v>#N/A</v>
      </c>
      <c r="AF221" s="79" t="e">
        <f ca="1">VLOOKUP(Tableau1[[#This Row],[Key(ID-Actif)]],'DATA BTO'!A:N,9,FALSE)</f>
        <v>#N/A</v>
      </c>
      <c r="AG221" s="106" t="e">
        <f ca="1">VLOOKUP(Tableau1[[#This Row],[Key(ID-Actif)]],'DATA BTO'!A:N,10,FALSE)</f>
        <v>#N/A</v>
      </c>
      <c r="AH221" s="106" t="e">
        <f ca="1">VLOOKUP(Tableau1[[#This Row],[Key(ID-Actif)]],'DATA BTO'!A:N,11,FALSE)</f>
        <v>#N/A</v>
      </c>
      <c r="AI221" s="79" t="e">
        <f ca="1">VLOOKUP(Tableau1[[#This Row],[Key(ID-Actif)]],'DATA BTO'!A:N,12,FALSE)</f>
        <v>#N/A</v>
      </c>
      <c r="AJ221" s="104" t="e">
        <f ca="1">VLOOKUP(Tableau1[[#This Row],[Key(ID-Actif)]],'DATA BTO'!A:N,14,FALSE)</f>
        <v>#N/A</v>
      </c>
      <c r="AK221" s="105" t="e">
        <f ca="1">VLOOKUP(Tableau1[[#This Row],[Key(POD -PFI- Usine)]],'DATA Consignee'!A:F,6,FALSE)</f>
        <v>#N/A</v>
      </c>
      <c r="AL221" s="125"/>
      <c r="AM221" s="488" t="str">
        <f>IF(Tableau1[[#This Row],[Name PFI/CDD]]="","-",VLOOKUP(Tableau1[[#This Row],[Name PFI/CDD]],Plant_AILN!I:J,2,FALSE))</f>
        <v>-</v>
      </c>
      <c r="AN22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1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1" s="108" t="e">
        <f ca="1">VLOOKUP(Tableau1[[#This Row],[Key(POD -PFI- Usine)]],'DATA Consignee'!A:J,10,FALSE)</f>
        <v>#N/A</v>
      </c>
      <c r="AQ221" s="79" t="e">
        <f ca="1">VLOOKUP(Tableau1[[#This Row],[Key(POD -PFI- Usine)]],'DATA Consignee'!A:N,14,FALSE)</f>
        <v>#N/A</v>
      </c>
      <c r="AR22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1" s="79" t="e">
        <f ca="1">Tableau1[[#This Row],[Transit time]]+Tableau1[[#This Row],[Time for security]]+Tableau1[[#This Row],[Time for security2 buffer]]</f>
        <v>#N/A</v>
      </c>
      <c r="AU22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1" s="79" t="e">
        <f ca="1">Tableau1[[#This Row],[Leadtime SI2C]]+Tableau1[[#This Row],[First Receipt Days]]-Tableau1[[#This Row],[Day Customer Order]]+1</f>
        <v>#N/A</v>
      </c>
      <c r="AW221" s="118" t="e">
        <f ca="1">IF(Tableau1[[#This Row],[Name ILN]]&lt;&gt;"SFK Freight Forwarder",Tableau1[[#This Row],[Cust. Leadtime]],Tableau1[[#This Row],[Leadtime SI2C]])</f>
        <v>#N/A</v>
      </c>
      <c r="AX221" s="51" t="e">
        <f>VLOOKUP(Tableau1[[#This Row],[ID]],'DATA BTO'!B:P,15,FALSE)</f>
        <v>#N/A</v>
      </c>
      <c r="AY221" s="328" t="e">
        <f ca="1">IFERROR(VLOOKUP(Tableau1[[#This Row],[Key(ID-Actif)]],'DATA BTO'!A:N,4,FALSE),VLOOKUP(Tableau1[[#This Row],[ID]],'DATA BTO'!B:N,3,FALSE))</f>
        <v>#N/A</v>
      </c>
      <c r="AZ22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1" s="50"/>
    </row>
    <row r="222" spans="2:57">
      <c r="B222" s="65" t="str">
        <f>_xlfn.CONCAT(Tableau1[[#This Row],[Name ILN]],"-",Tableau1[[#This Row],[Name Shipper]],"-",Tableau1[[#This Row],[Name Site]])</f>
        <v>--</v>
      </c>
      <c r="C222" s="65" t="e">
        <f>_xlfn.CONCAT(Tableau1[[#This Row],[Compte ILN]],"-",Tableau1[[#This Row],[Compte Shipper]],"-",Tableau1[[#This Row],[POL]],"-",Tableau1[[#This Row],[Compte Consignee]])</f>
        <v>#N/A</v>
      </c>
      <c r="D222" s="64" t="e">
        <f>_xlfn.CONCAT(Tableau1[[#This Row],[Compte ILN]],"-",Tableau1[[#This Row],[Compte Shipper]],"-",Tableau1[[#This Row],[POL]])</f>
        <v>#N/A</v>
      </c>
      <c r="E222" s="128" t="e">
        <f ca="1">_xlfn.CONCAT(Tableau1[[#This Row],[POL]],"-",Tableau1[[#This Row],[Carrier]],"-",Tableau1[[#This Row],[POD]])</f>
        <v>#N/A</v>
      </c>
      <c r="F222" s="64" t="str">
        <f>_xlfn.CONCAT(Tableau1[[#This Row],[ID]],"-","Actif")</f>
        <v>-Actif</v>
      </c>
      <c r="G222" s="64" t="e">
        <f ca="1">_xlfn.CONCAT(Tableau1[[#This Row],[POD]],"-",Tableau1[[#This Row],[Code PFI]],"-",Tableau1[[#This Row],[Compte Consignee]])</f>
        <v>#N/A</v>
      </c>
      <c r="H22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2" s="400" t="str">
        <f ca="1">IF(COUNTIF(I:I,Tableau1[[#This Row],[Plant-ILN-shipper-POL-Carrier-POD-PFI]])=1,"Non","Oui")</f>
        <v>Oui</v>
      </c>
      <c r="K222" s="399" t="e">
        <f>VLOOKUP(Tableau1[[#This Row],[Name Site]],Plant_AILN!A:D,4,FALSE)</f>
        <v>#N/A</v>
      </c>
      <c r="L222" s="10"/>
      <c r="M222" s="480" t="e">
        <f>VLOOKUP(Tableau1[[#This Row],[Name Site]],Plant_AILN!A:C,3,FALSE)</f>
        <v>#N/A</v>
      </c>
      <c r="N222" s="55" t="e">
        <f>VLOOKUP(Tableau1[[#This Row],[Compte Consignee]],Order!C:D,2,FALSE)</f>
        <v>#N/A</v>
      </c>
      <c r="O222" s="114"/>
      <c r="P222" s="481" t="e">
        <f>VLOOKUP(Tableau1[[#This Row],[Name ILN]],Plant_AILN!F:G,2,FALSE)</f>
        <v>#N/A</v>
      </c>
      <c r="Q222" s="50" t="e">
        <f>VLOOKUP(Tableau1[[#This Row],[Compte ILN]],'DATA ILN'!D:I,6,FALSE)</f>
        <v>#N/A</v>
      </c>
      <c r="R222" s="50" t="e">
        <f>IFERROR(VLOOKUP(Tableau1[[#This Row],[Key(Compte ILN - shipper - POL - plant)]],'DATA ILN'!A:J,10,FALSE),VLOOKUP(Tableau1[[#This Row],[Key(Compte ILN - shipper - POL)]],'DATA ILN'!B:J,9,FALSE))</f>
        <v>#N/A</v>
      </c>
      <c r="S222" s="50" t="e">
        <f>IFERROR(VLOOKUP(Tableau1[[#This Row],[Key(Compte ILN - shipper - POL - plant)]],'DATA ILN'!A:K,11,FALSE),VLOOKUP(Tableau1[[#This Row],[Key(Compte ILN - shipper - POL)]],'DATA ILN'!B:K,10,FALSE))</f>
        <v>#N/A</v>
      </c>
      <c r="T222" s="50" t="e">
        <f>IFERROR(VLOOKUP(Tableau1[[#This Row],[Key(Compte ILN - shipper - POL - plant)]],'DATA ILN'!A:L,12,FALSE),VLOOKUP(Tableau1[[#This Row],[Key(Compte ILN - shipper - POL)]],'DATA ILN'!B:L,11,FALSE))</f>
        <v>#N/A</v>
      </c>
      <c r="U222" s="50" t="e">
        <f>Tableau1[[#This Row],[Day ILN Order]]+Tableau1[[#This Row],[Delivery time to ILN/Shipper]]-1</f>
        <v>#N/A</v>
      </c>
      <c r="V222" s="50" t="e">
        <f>IFERROR(VLOOKUP(Tableau1[[#This Row],[Key(Compte ILN - shipper - POL - plant)]],'DATA ILN'!A:N,14,FALSE),VLOOKUP(Tableau1[[#This Row],[Key(Compte ILN - shipper - POL)]],'DATA ILN'!B:N,13,FALSE))</f>
        <v>#N/A</v>
      </c>
      <c r="W222" s="53" t="e">
        <f>IFERROR(VLOOKUP(Tableau1[[#This Row],[Key(Compte ILN - shipper - POL - plant)]],'DATA ILN'!A:P,16,FALSE),VLOOKUP(Tableau1[[#This Row],[Key(Compte ILN - shipper - POL)]],'DATA ILN'!B:P,15,FALSE))</f>
        <v>#N/A</v>
      </c>
      <c r="X222" s="283"/>
      <c r="Y222" s="482">
        <f>IFERROR(VLOOKUP(Tableau1[[#This Row],[Name Shipper]],Plant_AILN!L:M,2,FALSE),0)</f>
        <v>0</v>
      </c>
      <c r="Z222" s="358"/>
      <c r="AA222" s="353" t="e">
        <f ca="1">VLOOKUP(Tableau1[[#This Row],[Key(ID-Actif)]],'DATA BTO'!A:N,5,FALSE)</f>
        <v>#N/A</v>
      </c>
      <c r="AB222" s="3" t="e">
        <f ca="1">VLOOKUP(Tableau1[[#This Row],[Key(ID-Actif)]],'DATA BTO'!A:N,6,FALSE)</f>
        <v>#N/A</v>
      </c>
      <c r="AC222" s="50" t="e">
        <f ca="1">VLOOKUP(Tableau1[[#This Row],[Key(ID-Actif)]],'DATA BTO'!A:N,7,FALSE)</f>
        <v>#N/A</v>
      </c>
      <c r="AD222" s="50" t="e">
        <f ca="1">VLOOKUP(Tableau1[[#This Row],[Key(ID-Actif)]],'DATA BTO'!A:N,8,FALSE)</f>
        <v>#N/A</v>
      </c>
      <c r="AE222" s="50" t="e">
        <f ca="1">IF(Tableau1[[#This Row],[First Day to POL]]&lt;=Tableau1[[#This Row],[Day Cut Off]],Tableau1[[#This Row],[Day ETD]],Tableau1[[#This Row],[Day ETD]]+7)</f>
        <v>#N/A</v>
      </c>
      <c r="AF222" s="50" t="e">
        <f ca="1">VLOOKUP(Tableau1[[#This Row],[Key(ID-Actif)]],'DATA BTO'!A:N,9,FALSE)</f>
        <v>#N/A</v>
      </c>
      <c r="AG222" s="3" t="e">
        <f ca="1">VLOOKUP(Tableau1[[#This Row],[Key(ID-Actif)]],'DATA BTO'!A:N,10,FALSE)</f>
        <v>#N/A</v>
      </c>
      <c r="AH222" s="3" t="e">
        <f ca="1">VLOOKUP(Tableau1[[#This Row],[Key(ID-Actif)]],'DATA BTO'!A:N,11,FALSE)</f>
        <v>#N/A</v>
      </c>
      <c r="AI222" s="50" t="e">
        <f ca="1">VLOOKUP(Tableau1[[#This Row],[Key(ID-Actif)]],'DATA BTO'!A:N,12,FALSE)</f>
        <v>#N/A</v>
      </c>
      <c r="AJ222" s="53" t="e">
        <f ca="1">VLOOKUP(Tableau1[[#This Row],[Key(ID-Actif)]],'DATA BTO'!A:N,14,FALSE)</f>
        <v>#N/A</v>
      </c>
      <c r="AK222" s="54" t="e">
        <f ca="1">VLOOKUP(Tableau1[[#This Row],[Key(POD -PFI- Usine)]],'DATA Consignee'!A:F,6,FALSE)</f>
        <v>#N/A</v>
      </c>
      <c r="AL222" s="125"/>
      <c r="AM222" s="483" t="str">
        <f>IF(Tableau1[[#This Row],[Name PFI/CDD]]="","-",VLOOKUP(Tableau1[[#This Row],[Name PFI/CDD]],Plant_AILN!I:J,2,FALSE))</f>
        <v>-</v>
      </c>
      <c r="AN22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2" s="2" t="e">
        <f ca="1">VLOOKUP(Tableau1[[#This Row],[Key(POD -PFI- Usine)]],'DATA Consignee'!A:J,10,FALSE)</f>
        <v>#N/A</v>
      </c>
      <c r="AQ222" s="50" t="e">
        <f ca="1">VLOOKUP(Tableau1[[#This Row],[Key(POD -PFI- Usine)]],'DATA Consignee'!A:N,14,FALSE)</f>
        <v>#N/A</v>
      </c>
      <c r="AR22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2" s="50" t="e">
        <f ca="1">Tableau1[[#This Row],[Transit time]]+Tableau1[[#This Row],[Time for security]]+Tableau1[[#This Row],[Time for security2 buffer]]</f>
        <v>#N/A</v>
      </c>
      <c r="AU22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2" s="50" t="e">
        <f ca="1">Tableau1[[#This Row],[Leadtime SI2C]]+Tableau1[[#This Row],[First Receipt Days]]-Tableau1[[#This Row],[Day Customer Order]]+1</f>
        <v>#N/A</v>
      </c>
      <c r="AW222" s="117" t="e">
        <f ca="1">IF(Tableau1[[#This Row],[Name ILN]]&lt;&gt;"SFK Freight Forwarder",Tableau1[[#This Row],[Cust. Leadtime]],Tableau1[[#This Row],[Leadtime SI2C]])</f>
        <v>#N/A</v>
      </c>
      <c r="AX222" s="51" t="e">
        <f>VLOOKUP(Tableau1[[#This Row],[ID]],'DATA BTO'!B:P,15,FALSE)</f>
        <v>#N/A</v>
      </c>
      <c r="AY222" s="328" t="e">
        <f ca="1">IFERROR(VLOOKUP(Tableau1[[#This Row],[Key(ID-Actif)]],'DATA BTO'!A:N,4,FALSE),VLOOKUP(Tableau1[[#This Row],[ID]],'DATA BTO'!B:N,3,FALSE))</f>
        <v>#N/A</v>
      </c>
      <c r="AZ22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2" s="50"/>
    </row>
    <row r="223" spans="2:57">
      <c r="B223" s="65" t="str">
        <f>_xlfn.CONCAT(Tableau1[[#This Row],[Name ILN]],"-",Tableau1[[#This Row],[Name Shipper]],"-",Tableau1[[#This Row],[Name Site]])</f>
        <v>--</v>
      </c>
      <c r="C223" s="65" t="e">
        <f>_xlfn.CONCAT(Tableau1[[#This Row],[Compte ILN]],"-",Tableau1[[#This Row],[Compte Shipper]],"-",Tableau1[[#This Row],[POL]],"-",Tableau1[[#This Row],[Compte Consignee]])</f>
        <v>#N/A</v>
      </c>
      <c r="D223" s="80" t="e">
        <f>_xlfn.CONCAT(Tableau1[[#This Row],[Compte ILN]],"-",Tableau1[[#This Row],[Compte Shipper]],"-",Tableau1[[#This Row],[POL]])</f>
        <v>#N/A</v>
      </c>
      <c r="E223" s="81" t="e">
        <f ca="1">_xlfn.CONCAT(Tableau1[[#This Row],[POL]],"-",Tableau1[[#This Row],[Carrier]],"-",Tableau1[[#This Row],[POD]])</f>
        <v>#N/A</v>
      </c>
      <c r="F223" s="80" t="str">
        <f>_xlfn.CONCAT(Tableau1[[#This Row],[ID]],"-","Actif")</f>
        <v>-Actif</v>
      </c>
      <c r="G223" s="80" t="e">
        <f ca="1">_xlfn.CONCAT(Tableau1[[#This Row],[POD]],"-",Tableau1[[#This Row],[Code PFI]],"-",Tableau1[[#This Row],[Compte Consignee]])</f>
        <v>#N/A</v>
      </c>
      <c r="H22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3" s="401" t="str">
        <f ca="1">IF(COUNTIF(I:I,Tableau1[[#This Row],[Plant-ILN-shipper-POL-Carrier-POD-PFI]])=1,"Non","Oui")</f>
        <v>Oui</v>
      </c>
      <c r="K223" s="449" t="e">
        <f>VLOOKUP(Tableau1[[#This Row],[Name Site]],Plant_AILN!A:D,4,FALSE)</f>
        <v>#N/A</v>
      </c>
      <c r="L223" s="10"/>
      <c r="M223" s="480" t="e">
        <f>VLOOKUP(Tableau1[[#This Row],[Name Site]],Plant_AILN!A:C,3,FALSE)</f>
        <v>#N/A</v>
      </c>
      <c r="N223" s="102" t="e">
        <f>VLOOKUP(Tableau1[[#This Row],[Compte Consignee]],Order!C:D,2,FALSE)</f>
        <v>#N/A</v>
      </c>
      <c r="O223" s="114"/>
      <c r="P223" s="484" t="e">
        <f>VLOOKUP(Tableau1[[#This Row],[Name ILN]],Plant_AILN!F:G,2,FALSE)</f>
        <v>#N/A</v>
      </c>
      <c r="Q223" s="79" t="e">
        <f>VLOOKUP(Tableau1[[#This Row],[Compte ILN]],'DATA ILN'!D:I,6,FALSE)</f>
        <v>#N/A</v>
      </c>
      <c r="R223" s="79" t="e">
        <f>IFERROR(VLOOKUP(Tableau1[[#This Row],[Key(Compte ILN - shipper - POL - plant)]],'DATA ILN'!A:J,10,FALSE),VLOOKUP(Tableau1[[#This Row],[Key(Compte ILN - shipper - POL)]],'DATA ILN'!B:J,9,FALSE))</f>
        <v>#N/A</v>
      </c>
      <c r="S223" s="79" t="e">
        <f>IFERROR(VLOOKUP(Tableau1[[#This Row],[Key(Compte ILN - shipper - POL - plant)]],'DATA ILN'!A:K,11,FALSE),VLOOKUP(Tableau1[[#This Row],[Key(Compte ILN - shipper - POL)]],'DATA ILN'!B:K,10,FALSE))</f>
        <v>#N/A</v>
      </c>
      <c r="T223" s="79" t="e">
        <f>IFERROR(VLOOKUP(Tableau1[[#This Row],[Key(Compte ILN - shipper - POL - plant)]],'DATA ILN'!A:L,12,FALSE),VLOOKUP(Tableau1[[#This Row],[Key(Compte ILN - shipper - POL)]],'DATA ILN'!B:L,11,FALSE))</f>
        <v>#N/A</v>
      </c>
      <c r="U223" s="79" t="e">
        <f>Tableau1[[#This Row],[Day ILN Order]]+Tableau1[[#This Row],[Delivery time to ILN/Shipper]]-1</f>
        <v>#N/A</v>
      </c>
      <c r="V223" s="79" t="e">
        <f>IFERROR(VLOOKUP(Tableau1[[#This Row],[Key(Compte ILN - shipper - POL - plant)]],'DATA ILN'!A:N,14,FALSE),VLOOKUP(Tableau1[[#This Row],[Key(Compte ILN - shipper - POL)]],'DATA ILN'!B:N,13,FALSE))</f>
        <v>#N/A</v>
      </c>
      <c r="W223" s="104" t="e">
        <f>IFERROR(VLOOKUP(Tableau1[[#This Row],[Key(Compte ILN - shipper - POL - plant)]],'DATA ILN'!A:P,16,FALSE),VLOOKUP(Tableau1[[#This Row],[Key(Compte ILN - shipper - POL)]],'DATA ILN'!B:P,15,FALSE))</f>
        <v>#N/A</v>
      </c>
      <c r="X223" s="283"/>
      <c r="Y223" s="487">
        <f>IFERROR(VLOOKUP(Tableau1[[#This Row],[Name Shipper]],Plant_AILN!L:M,2,FALSE),0)</f>
        <v>0</v>
      </c>
      <c r="Z223" s="358"/>
      <c r="AA223" s="354" t="e">
        <f ca="1">VLOOKUP(Tableau1[[#This Row],[Key(ID-Actif)]],'DATA BTO'!A:N,5,FALSE)</f>
        <v>#N/A</v>
      </c>
      <c r="AB223" s="106" t="e">
        <f ca="1">VLOOKUP(Tableau1[[#This Row],[Key(ID-Actif)]],'DATA BTO'!A:N,6,FALSE)</f>
        <v>#N/A</v>
      </c>
      <c r="AC223" s="79" t="e">
        <f ca="1">VLOOKUP(Tableau1[[#This Row],[Key(ID-Actif)]],'DATA BTO'!A:N,7,FALSE)</f>
        <v>#N/A</v>
      </c>
      <c r="AD223" s="79" t="e">
        <f ca="1">VLOOKUP(Tableau1[[#This Row],[Key(ID-Actif)]],'DATA BTO'!A:N,8,FALSE)</f>
        <v>#N/A</v>
      </c>
      <c r="AE223" s="79" t="e">
        <f ca="1">IF(Tableau1[[#This Row],[First Day to POL]]&lt;=Tableau1[[#This Row],[Day Cut Off]],Tableau1[[#This Row],[Day ETD]],Tableau1[[#This Row],[Day ETD]]+7)</f>
        <v>#N/A</v>
      </c>
      <c r="AF223" s="79" t="e">
        <f ca="1">VLOOKUP(Tableau1[[#This Row],[Key(ID-Actif)]],'DATA BTO'!A:N,9,FALSE)</f>
        <v>#N/A</v>
      </c>
      <c r="AG223" s="106" t="e">
        <f ca="1">VLOOKUP(Tableau1[[#This Row],[Key(ID-Actif)]],'DATA BTO'!A:N,10,FALSE)</f>
        <v>#N/A</v>
      </c>
      <c r="AH223" s="106" t="e">
        <f ca="1">VLOOKUP(Tableau1[[#This Row],[Key(ID-Actif)]],'DATA BTO'!A:N,11,FALSE)</f>
        <v>#N/A</v>
      </c>
      <c r="AI223" s="79" t="e">
        <f ca="1">VLOOKUP(Tableau1[[#This Row],[Key(ID-Actif)]],'DATA BTO'!A:N,12,FALSE)</f>
        <v>#N/A</v>
      </c>
      <c r="AJ223" s="104" t="e">
        <f ca="1">VLOOKUP(Tableau1[[#This Row],[Key(ID-Actif)]],'DATA BTO'!A:N,14,FALSE)</f>
        <v>#N/A</v>
      </c>
      <c r="AK223" s="105" t="e">
        <f ca="1">VLOOKUP(Tableau1[[#This Row],[Key(POD -PFI- Usine)]],'DATA Consignee'!A:F,6,FALSE)</f>
        <v>#N/A</v>
      </c>
      <c r="AL223" s="125"/>
      <c r="AM223" s="488" t="str">
        <f>IF(Tableau1[[#This Row],[Name PFI/CDD]]="","-",VLOOKUP(Tableau1[[#This Row],[Name PFI/CDD]],Plant_AILN!I:J,2,FALSE))</f>
        <v>-</v>
      </c>
      <c r="AN22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3" s="108" t="e">
        <f ca="1">VLOOKUP(Tableau1[[#This Row],[Key(POD -PFI- Usine)]],'DATA Consignee'!A:J,10,FALSE)</f>
        <v>#N/A</v>
      </c>
      <c r="AQ223" s="79" t="e">
        <f ca="1">VLOOKUP(Tableau1[[#This Row],[Key(POD -PFI- Usine)]],'DATA Consignee'!A:N,14,FALSE)</f>
        <v>#N/A</v>
      </c>
      <c r="AR22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3" s="79" t="e">
        <f ca="1">Tableau1[[#This Row],[Transit time]]+Tableau1[[#This Row],[Time for security]]+Tableau1[[#This Row],[Time for security2 buffer]]</f>
        <v>#N/A</v>
      </c>
      <c r="AU22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3" s="79" t="e">
        <f ca="1">Tableau1[[#This Row],[Leadtime SI2C]]+Tableau1[[#This Row],[First Receipt Days]]-Tableau1[[#This Row],[Day Customer Order]]+1</f>
        <v>#N/A</v>
      </c>
      <c r="AW223" s="118" t="e">
        <f ca="1">IF(Tableau1[[#This Row],[Name ILN]]&lt;&gt;"SFK Freight Forwarder",Tableau1[[#This Row],[Cust. Leadtime]],Tableau1[[#This Row],[Leadtime SI2C]])</f>
        <v>#N/A</v>
      </c>
      <c r="AX223" s="51" t="e">
        <f>VLOOKUP(Tableau1[[#This Row],[ID]],'DATA BTO'!B:P,15,FALSE)</f>
        <v>#N/A</v>
      </c>
      <c r="AY223" s="328" t="e">
        <f ca="1">IFERROR(VLOOKUP(Tableau1[[#This Row],[Key(ID-Actif)]],'DATA BTO'!A:N,4,FALSE),VLOOKUP(Tableau1[[#This Row],[ID]],'DATA BTO'!B:N,3,FALSE))</f>
        <v>#N/A</v>
      </c>
      <c r="AZ22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3" s="50"/>
    </row>
    <row r="224" spans="2:57">
      <c r="B224" s="65" t="str">
        <f>_xlfn.CONCAT(Tableau1[[#This Row],[Name ILN]],"-",Tableau1[[#This Row],[Name Shipper]],"-",Tableau1[[#This Row],[Name Site]])</f>
        <v>--</v>
      </c>
      <c r="C224" s="65" t="e">
        <f>_xlfn.CONCAT(Tableau1[[#This Row],[Compte ILN]],"-",Tableau1[[#This Row],[Compte Shipper]],"-",Tableau1[[#This Row],[POL]],"-",Tableau1[[#This Row],[Compte Consignee]])</f>
        <v>#N/A</v>
      </c>
      <c r="D224" s="80" t="e">
        <f>_xlfn.CONCAT(Tableau1[[#This Row],[Compte ILN]],"-",Tableau1[[#This Row],[Compte Shipper]],"-",Tableau1[[#This Row],[POL]])</f>
        <v>#N/A</v>
      </c>
      <c r="E224" s="81" t="e">
        <f ca="1">_xlfn.CONCAT(Tableau1[[#This Row],[POL]],"-",Tableau1[[#This Row],[Carrier]],"-",Tableau1[[#This Row],[POD]])</f>
        <v>#N/A</v>
      </c>
      <c r="F224" s="80" t="str">
        <f>_xlfn.CONCAT(Tableau1[[#This Row],[ID]],"-","Actif")</f>
        <v>-Actif</v>
      </c>
      <c r="G224" s="80" t="e">
        <f ca="1">_xlfn.CONCAT(Tableau1[[#This Row],[POD]],"-",Tableau1[[#This Row],[Code PFI]],"-",Tableau1[[#This Row],[Compte Consignee]])</f>
        <v>#N/A</v>
      </c>
      <c r="H22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4" s="401" t="str">
        <f ca="1">IF(COUNTIF(I:I,Tableau1[[#This Row],[Plant-ILN-shipper-POL-Carrier-POD-PFI]])=1,"Non","Oui")</f>
        <v>Oui</v>
      </c>
      <c r="K224" s="449" t="e">
        <f>VLOOKUP(Tableau1[[#This Row],[Name Site]],Plant_AILN!A:D,4,FALSE)</f>
        <v>#N/A</v>
      </c>
      <c r="L224" s="10"/>
      <c r="M224" s="480" t="e">
        <f>VLOOKUP(Tableau1[[#This Row],[Name Site]],Plant_AILN!A:C,3,FALSE)</f>
        <v>#N/A</v>
      </c>
      <c r="N224" s="102" t="e">
        <f>VLOOKUP(Tableau1[[#This Row],[Compte Consignee]],Order!C:D,2,FALSE)</f>
        <v>#N/A</v>
      </c>
      <c r="O224" s="114"/>
      <c r="P224" s="484" t="e">
        <f>VLOOKUP(Tableau1[[#This Row],[Name ILN]],Plant_AILN!F:G,2,FALSE)</f>
        <v>#N/A</v>
      </c>
      <c r="Q224" s="79" t="e">
        <f>VLOOKUP(Tableau1[[#This Row],[Compte ILN]],'DATA ILN'!D:I,6,FALSE)</f>
        <v>#N/A</v>
      </c>
      <c r="R224" s="79" t="e">
        <f>IFERROR(VLOOKUP(Tableau1[[#This Row],[Key(Compte ILN - shipper - POL - plant)]],'DATA ILN'!A:J,10,FALSE),VLOOKUP(Tableau1[[#This Row],[Key(Compte ILN - shipper - POL)]],'DATA ILN'!B:J,9,FALSE))</f>
        <v>#N/A</v>
      </c>
      <c r="S224" s="79" t="e">
        <f>IFERROR(VLOOKUP(Tableau1[[#This Row],[Key(Compte ILN - shipper - POL - plant)]],'DATA ILN'!A:K,11,FALSE),VLOOKUP(Tableau1[[#This Row],[Key(Compte ILN - shipper - POL)]],'DATA ILN'!B:K,10,FALSE))</f>
        <v>#N/A</v>
      </c>
      <c r="T224" s="79" t="e">
        <f>IFERROR(VLOOKUP(Tableau1[[#This Row],[Key(Compte ILN - shipper - POL - plant)]],'DATA ILN'!A:L,12,FALSE),VLOOKUP(Tableau1[[#This Row],[Key(Compte ILN - shipper - POL)]],'DATA ILN'!B:L,11,FALSE))</f>
        <v>#N/A</v>
      </c>
      <c r="U224" s="79" t="e">
        <f>Tableau1[[#This Row],[Day ILN Order]]+Tableau1[[#This Row],[Delivery time to ILN/Shipper]]-1</f>
        <v>#N/A</v>
      </c>
      <c r="V224" s="79" t="e">
        <f>IFERROR(VLOOKUP(Tableau1[[#This Row],[Key(Compte ILN - shipper - POL - plant)]],'DATA ILN'!A:N,14,FALSE),VLOOKUP(Tableau1[[#This Row],[Key(Compte ILN - shipper - POL)]],'DATA ILN'!B:N,13,FALSE))</f>
        <v>#N/A</v>
      </c>
      <c r="W224" s="104" t="e">
        <f>IFERROR(VLOOKUP(Tableau1[[#This Row],[Key(Compte ILN - shipper - POL - plant)]],'DATA ILN'!A:P,16,FALSE),VLOOKUP(Tableau1[[#This Row],[Key(Compte ILN - shipper - POL)]],'DATA ILN'!B:P,15,FALSE))</f>
        <v>#N/A</v>
      </c>
      <c r="X224" s="283"/>
      <c r="Y224" s="487">
        <f>IFERROR(VLOOKUP(Tableau1[[#This Row],[Name Shipper]],Plant_AILN!L:M,2,FALSE),0)</f>
        <v>0</v>
      </c>
      <c r="Z224" s="358"/>
      <c r="AA224" s="354" t="e">
        <f ca="1">VLOOKUP(Tableau1[[#This Row],[Key(ID-Actif)]],'DATA BTO'!A:N,5,FALSE)</f>
        <v>#N/A</v>
      </c>
      <c r="AB224" s="106" t="e">
        <f ca="1">VLOOKUP(Tableau1[[#This Row],[Key(ID-Actif)]],'DATA BTO'!A:N,6,FALSE)</f>
        <v>#N/A</v>
      </c>
      <c r="AC224" s="79" t="e">
        <f ca="1">VLOOKUP(Tableau1[[#This Row],[Key(ID-Actif)]],'DATA BTO'!A:N,7,FALSE)</f>
        <v>#N/A</v>
      </c>
      <c r="AD224" s="79" t="e">
        <f ca="1">VLOOKUP(Tableau1[[#This Row],[Key(ID-Actif)]],'DATA BTO'!A:N,8,FALSE)</f>
        <v>#N/A</v>
      </c>
      <c r="AE224" s="79" t="e">
        <f ca="1">IF(Tableau1[[#This Row],[First Day to POL]]&lt;=Tableau1[[#This Row],[Day Cut Off]],Tableau1[[#This Row],[Day ETD]],Tableau1[[#This Row],[Day ETD]]+7)</f>
        <v>#N/A</v>
      </c>
      <c r="AF224" s="79" t="e">
        <f ca="1">VLOOKUP(Tableau1[[#This Row],[Key(ID-Actif)]],'DATA BTO'!A:N,9,FALSE)</f>
        <v>#N/A</v>
      </c>
      <c r="AG224" s="106" t="e">
        <f ca="1">VLOOKUP(Tableau1[[#This Row],[Key(ID-Actif)]],'DATA BTO'!A:N,10,FALSE)</f>
        <v>#N/A</v>
      </c>
      <c r="AH224" s="106" t="e">
        <f ca="1">VLOOKUP(Tableau1[[#This Row],[Key(ID-Actif)]],'DATA BTO'!A:N,11,FALSE)</f>
        <v>#N/A</v>
      </c>
      <c r="AI224" s="79" t="e">
        <f ca="1">VLOOKUP(Tableau1[[#This Row],[Key(ID-Actif)]],'DATA BTO'!A:N,12,FALSE)</f>
        <v>#N/A</v>
      </c>
      <c r="AJ224" s="104" t="e">
        <f ca="1">VLOOKUP(Tableau1[[#This Row],[Key(ID-Actif)]],'DATA BTO'!A:N,14,FALSE)</f>
        <v>#N/A</v>
      </c>
      <c r="AK224" s="105" t="e">
        <f ca="1">VLOOKUP(Tableau1[[#This Row],[Key(POD -PFI- Usine)]],'DATA Consignee'!A:F,6,FALSE)</f>
        <v>#N/A</v>
      </c>
      <c r="AL224" s="125"/>
      <c r="AM224" s="488" t="str">
        <f>IF(Tableau1[[#This Row],[Name PFI/CDD]]="","-",VLOOKUP(Tableau1[[#This Row],[Name PFI/CDD]],Plant_AILN!I:J,2,FALSE))</f>
        <v>-</v>
      </c>
      <c r="AN22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4" s="108" t="e">
        <f ca="1">VLOOKUP(Tableau1[[#This Row],[Key(POD -PFI- Usine)]],'DATA Consignee'!A:J,10,FALSE)</f>
        <v>#N/A</v>
      </c>
      <c r="AQ224" s="79" t="e">
        <f ca="1">VLOOKUP(Tableau1[[#This Row],[Key(POD -PFI- Usine)]],'DATA Consignee'!A:N,14,FALSE)</f>
        <v>#N/A</v>
      </c>
      <c r="AR22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4" s="79" t="e">
        <f ca="1">Tableau1[[#This Row],[Transit time]]+Tableau1[[#This Row],[Time for security]]+Tableau1[[#This Row],[Time for security2 buffer]]</f>
        <v>#N/A</v>
      </c>
      <c r="AU22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4" s="79" t="e">
        <f ca="1">Tableau1[[#This Row],[Leadtime SI2C]]+Tableau1[[#This Row],[First Receipt Days]]-Tableau1[[#This Row],[Day Customer Order]]+1</f>
        <v>#N/A</v>
      </c>
      <c r="AW224" s="118" t="e">
        <f ca="1">IF(Tableau1[[#This Row],[Name ILN]]&lt;&gt;"SFK Freight Forwarder",Tableau1[[#This Row],[Cust. Leadtime]],Tableau1[[#This Row],[Leadtime SI2C]])</f>
        <v>#N/A</v>
      </c>
      <c r="AX224" s="51" t="e">
        <f>VLOOKUP(Tableau1[[#This Row],[ID]],'DATA BTO'!B:P,15,FALSE)</f>
        <v>#N/A</v>
      </c>
      <c r="AY224" s="328" t="e">
        <f ca="1">IFERROR(VLOOKUP(Tableau1[[#This Row],[Key(ID-Actif)]],'DATA BTO'!A:N,4,FALSE),VLOOKUP(Tableau1[[#This Row],[ID]],'DATA BTO'!B:N,3,FALSE))</f>
        <v>#N/A</v>
      </c>
      <c r="AZ22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4" s="50"/>
    </row>
    <row r="225" spans="2:57">
      <c r="B225" s="65" t="str">
        <f>_xlfn.CONCAT(Tableau1[[#This Row],[Name ILN]],"-",Tableau1[[#This Row],[Name Shipper]],"-",Tableau1[[#This Row],[Name Site]])</f>
        <v>--</v>
      </c>
      <c r="C225" s="65" t="e">
        <f>_xlfn.CONCAT(Tableau1[[#This Row],[Compte ILN]],"-",Tableau1[[#This Row],[Compte Shipper]],"-",Tableau1[[#This Row],[POL]],"-",Tableau1[[#This Row],[Compte Consignee]])</f>
        <v>#N/A</v>
      </c>
      <c r="D225" s="64" t="e">
        <f>_xlfn.CONCAT(Tableau1[[#This Row],[Compte ILN]],"-",Tableau1[[#This Row],[Compte Shipper]],"-",Tableau1[[#This Row],[POL]])</f>
        <v>#N/A</v>
      </c>
      <c r="E225" s="128" t="e">
        <f ca="1">_xlfn.CONCAT(Tableau1[[#This Row],[POL]],"-",Tableau1[[#This Row],[Carrier]],"-",Tableau1[[#This Row],[POD]])</f>
        <v>#N/A</v>
      </c>
      <c r="F225" s="64" t="str">
        <f>_xlfn.CONCAT(Tableau1[[#This Row],[ID]],"-","Actif")</f>
        <v>-Actif</v>
      </c>
      <c r="G225" s="64" t="e">
        <f ca="1">_xlfn.CONCAT(Tableau1[[#This Row],[POD]],"-",Tableau1[[#This Row],[Code PFI]],"-",Tableau1[[#This Row],[Compte Consignee]])</f>
        <v>#N/A</v>
      </c>
      <c r="H22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5" s="400" t="str">
        <f ca="1">IF(COUNTIF(I:I,Tableau1[[#This Row],[Plant-ILN-shipper-POL-Carrier-POD-PFI]])=1,"Non","Oui")</f>
        <v>Oui</v>
      </c>
      <c r="K225" s="399" t="e">
        <f>VLOOKUP(Tableau1[[#This Row],[Name Site]],Plant_AILN!A:D,4,FALSE)</f>
        <v>#N/A</v>
      </c>
      <c r="L225" s="10"/>
      <c r="M225" s="480" t="e">
        <f>VLOOKUP(Tableau1[[#This Row],[Name Site]],Plant_AILN!A:C,3,FALSE)</f>
        <v>#N/A</v>
      </c>
      <c r="N225" s="55" t="e">
        <f>VLOOKUP(Tableau1[[#This Row],[Compte Consignee]],Order!C:D,2,FALSE)</f>
        <v>#N/A</v>
      </c>
      <c r="O225" s="114"/>
      <c r="P225" s="481" t="e">
        <f>VLOOKUP(Tableau1[[#This Row],[Name ILN]],Plant_AILN!F:G,2,FALSE)</f>
        <v>#N/A</v>
      </c>
      <c r="Q225" s="50" t="e">
        <f>VLOOKUP(Tableau1[[#This Row],[Compte ILN]],'DATA ILN'!D:I,6,FALSE)</f>
        <v>#N/A</v>
      </c>
      <c r="R225" s="50" t="e">
        <f>IFERROR(VLOOKUP(Tableau1[[#This Row],[Key(Compte ILN - shipper - POL - plant)]],'DATA ILN'!A:J,10,FALSE),VLOOKUP(Tableau1[[#This Row],[Key(Compte ILN - shipper - POL)]],'DATA ILN'!B:J,9,FALSE))</f>
        <v>#N/A</v>
      </c>
      <c r="S225" s="50" t="e">
        <f>IFERROR(VLOOKUP(Tableau1[[#This Row],[Key(Compte ILN - shipper - POL - plant)]],'DATA ILN'!A:K,11,FALSE),VLOOKUP(Tableau1[[#This Row],[Key(Compte ILN - shipper - POL)]],'DATA ILN'!B:K,10,FALSE))</f>
        <v>#N/A</v>
      </c>
      <c r="T225" s="50" t="e">
        <f>IFERROR(VLOOKUP(Tableau1[[#This Row],[Key(Compte ILN - shipper - POL - plant)]],'DATA ILN'!A:L,12,FALSE),VLOOKUP(Tableau1[[#This Row],[Key(Compte ILN - shipper - POL)]],'DATA ILN'!B:L,11,FALSE))</f>
        <v>#N/A</v>
      </c>
      <c r="U225" s="50" t="e">
        <f>Tableau1[[#This Row],[Day ILN Order]]+Tableau1[[#This Row],[Delivery time to ILN/Shipper]]-1</f>
        <v>#N/A</v>
      </c>
      <c r="V225" s="50" t="e">
        <f>IFERROR(VLOOKUP(Tableau1[[#This Row],[Key(Compte ILN - shipper - POL - plant)]],'DATA ILN'!A:N,14,FALSE),VLOOKUP(Tableau1[[#This Row],[Key(Compte ILN - shipper - POL)]],'DATA ILN'!B:N,13,FALSE))</f>
        <v>#N/A</v>
      </c>
      <c r="W225" s="53" t="e">
        <f>IFERROR(VLOOKUP(Tableau1[[#This Row],[Key(Compte ILN - shipper - POL - plant)]],'DATA ILN'!A:P,16,FALSE),VLOOKUP(Tableau1[[#This Row],[Key(Compte ILN - shipper - POL)]],'DATA ILN'!B:P,15,FALSE))</f>
        <v>#N/A</v>
      </c>
      <c r="X225" s="283"/>
      <c r="Y225" s="482">
        <f>IFERROR(VLOOKUP(Tableau1[[#This Row],[Name Shipper]],Plant_AILN!L:M,2,FALSE),0)</f>
        <v>0</v>
      </c>
      <c r="Z225" s="358"/>
      <c r="AA225" s="353" t="e">
        <f ca="1">VLOOKUP(Tableau1[[#This Row],[Key(ID-Actif)]],'DATA BTO'!A:N,5,FALSE)</f>
        <v>#N/A</v>
      </c>
      <c r="AB225" s="3" t="e">
        <f ca="1">VLOOKUP(Tableau1[[#This Row],[Key(ID-Actif)]],'DATA BTO'!A:N,6,FALSE)</f>
        <v>#N/A</v>
      </c>
      <c r="AC225" s="50" t="e">
        <f ca="1">VLOOKUP(Tableau1[[#This Row],[Key(ID-Actif)]],'DATA BTO'!A:N,7,FALSE)</f>
        <v>#N/A</v>
      </c>
      <c r="AD225" s="50" t="e">
        <f ca="1">VLOOKUP(Tableau1[[#This Row],[Key(ID-Actif)]],'DATA BTO'!A:N,8,FALSE)</f>
        <v>#N/A</v>
      </c>
      <c r="AE225" s="50" t="e">
        <f ca="1">IF(Tableau1[[#This Row],[First Day to POL]]&lt;=Tableau1[[#This Row],[Day Cut Off]],Tableau1[[#This Row],[Day ETD]],Tableau1[[#This Row],[Day ETD]]+7)</f>
        <v>#N/A</v>
      </c>
      <c r="AF225" s="50" t="e">
        <f ca="1">VLOOKUP(Tableau1[[#This Row],[Key(ID-Actif)]],'DATA BTO'!A:N,9,FALSE)</f>
        <v>#N/A</v>
      </c>
      <c r="AG225" s="3" t="e">
        <f ca="1">VLOOKUP(Tableau1[[#This Row],[Key(ID-Actif)]],'DATA BTO'!A:N,10,FALSE)</f>
        <v>#N/A</v>
      </c>
      <c r="AH225" s="3" t="e">
        <f ca="1">VLOOKUP(Tableau1[[#This Row],[Key(ID-Actif)]],'DATA BTO'!A:N,11,FALSE)</f>
        <v>#N/A</v>
      </c>
      <c r="AI225" s="50" t="e">
        <f ca="1">VLOOKUP(Tableau1[[#This Row],[Key(ID-Actif)]],'DATA BTO'!A:N,12,FALSE)</f>
        <v>#N/A</v>
      </c>
      <c r="AJ225" s="53" t="e">
        <f ca="1">VLOOKUP(Tableau1[[#This Row],[Key(ID-Actif)]],'DATA BTO'!A:N,14,FALSE)</f>
        <v>#N/A</v>
      </c>
      <c r="AK225" s="54" t="e">
        <f ca="1">VLOOKUP(Tableau1[[#This Row],[Key(POD -PFI- Usine)]],'DATA Consignee'!A:F,6,FALSE)</f>
        <v>#N/A</v>
      </c>
      <c r="AL225" s="125"/>
      <c r="AM225" s="483" t="str">
        <f>IF(Tableau1[[#This Row],[Name PFI/CDD]]="","-",VLOOKUP(Tableau1[[#This Row],[Name PFI/CDD]],Plant_AILN!I:J,2,FALSE))</f>
        <v>-</v>
      </c>
      <c r="AN22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5" s="2" t="e">
        <f ca="1">VLOOKUP(Tableau1[[#This Row],[Key(POD -PFI- Usine)]],'DATA Consignee'!A:J,10,FALSE)</f>
        <v>#N/A</v>
      </c>
      <c r="AQ225" s="50" t="e">
        <f ca="1">VLOOKUP(Tableau1[[#This Row],[Key(POD -PFI- Usine)]],'DATA Consignee'!A:N,14,FALSE)</f>
        <v>#N/A</v>
      </c>
      <c r="AR22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5" s="50" t="e">
        <f ca="1">Tableau1[[#This Row],[Transit time]]+Tableau1[[#This Row],[Time for security]]+Tableau1[[#This Row],[Time for security2 buffer]]</f>
        <v>#N/A</v>
      </c>
      <c r="AU22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5" s="50" t="e">
        <f ca="1">Tableau1[[#This Row],[Leadtime SI2C]]+Tableau1[[#This Row],[First Receipt Days]]-Tableau1[[#This Row],[Day Customer Order]]+1</f>
        <v>#N/A</v>
      </c>
      <c r="AW225" s="117" t="e">
        <f ca="1">IF(Tableau1[[#This Row],[Name ILN]]&lt;&gt;"SFK Freight Forwarder",Tableau1[[#This Row],[Cust. Leadtime]],Tableau1[[#This Row],[Leadtime SI2C]])</f>
        <v>#N/A</v>
      </c>
      <c r="AX225" s="51" t="e">
        <f>VLOOKUP(Tableau1[[#This Row],[ID]],'DATA BTO'!B:P,15,FALSE)</f>
        <v>#N/A</v>
      </c>
      <c r="AY225" s="328" t="e">
        <f ca="1">IFERROR(VLOOKUP(Tableau1[[#This Row],[Key(ID-Actif)]],'DATA BTO'!A:N,4,FALSE),VLOOKUP(Tableau1[[#This Row],[ID]],'DATA BTO'!B:N,3,FALSE))</f>
        <v>#N/A</v>
      </c>
      <c r="AZ22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5" s="50"/>
    </row>
    <row r="226" spans="2:57" ht="15" customHeight="1">
      <c r="B226" s="65" t="str">
        <f>_xlfn.CONCAT(Tableau1[[#This Row],[Name ILN]],"-",Tableau1[[#This Row],[Name Shipper]],"-",Tableau1[[#This Row],[Name Site]])</f>
        <v>--</v>
      </c>
      <c r="C226" s="65" t="e">
        <f>_xlfn.CONCAT(Tableau1[[#This Row],[Compte ILN]],"-",Tableau1[[#This Row],[Compte Shipper]],"-",Tableau1[[#This Row],[POL]],"-",Tableau1[[#This Row],[Compte Consignee]])</f>
        <v>#N/A</v>
      </c>
      <c r="D226" s="80" t="e">
        <f>_xlfn.CONCAT(Tableau1[[#This Row],[Compte ILN]],"-",Tableau1[[#This Row],[Compte Shipper]],"-",Tableau1[[#This Row],[POL]])</f>
        <v>#N/A</v>
      </c>
      <c r="E226" s="81" t="e">
        <f ca="1">_xlfn.CONCAT(Tableau1[[#This Row],[POL]],"-",Tableau1[[#This Row],[Carrier]],"-",Tableau1[[#This Row],[POD]])</f>
        <v>#N/A</v>
      </c>
      <c r="F226" s="80" t="str">
        <f>_xlfn.CONCAT(Tableau1[[#This Row],[ID]],"-","Actif")</f>
        <v>-Actif</v>
      </c>
      <c r="G226" s="80" t="e">
        <f ca="1">_xlfn.CONCAT(Tableau1[[#This Row],[POD]],"-",Tableau1[[#This Row],[Code PFI]],"-",Tableau1[[#This Row],[Compte Consignee]])</f>
        <v>#N/A</v>
      </c>
      <c r="H226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6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6" s="401" t="str">
        <f ca="1">IF(COUNTIF(I:I,Tableau1[[#This Row],[Plant-ILN-shipper-POL-Carrier-POD-PFI]])=1,"Non","Oui")</f>
        <v>Oui</v>
      </c>
      <c r="K226" s="449" t="e">
        <f>VLOOKUP(Tableau1[[#This Row],[Name Site]],Plant_AILN!A:D,4,FALSE)</f>
        <v>#N/A</v>
      </c>
      <c r="L226" s="10"/>
      <c r="M226" s="480" t="e">
        <f>VLOOKUP(Tableau1[[#This Row],[Name Site]],Plant_AILN!A:C,3,FALSE)</f>
        <v>#N/A</v>
      </c>
      <c r="N226" s="102" t="e">
        <f>VLOOKUP(Tableau1[[#This Row],[Compte Consignee]],Order!C:D,2,FALSE)</f>
        <v>#N/A</v>
      </c>
      <c r="O226" s="124"/>
      <c r="P226" s="484" t="e">
        <f>VLOOKUP(Tableau1[[#This Row],[Name ILN]],Plant_AILN!F:G,2,FALSE)</f>
        <v>#N/A</v>
      </c>
      <c r="Q226" s="79" t="e">
        <f>VLOOKUP(Tableau1[[#This Row],[Compte ILN]],'DATA ILN'!D:I,6,FALSE)</f>
        <v>#N/A</v>
      </c>
      <c r="R226" s="79" t="e">
        <f>IFERROR(VLOOKUP(Tableau1[[#This Row],[Key(Compte ILN - shipper - POL - plant)]],'DATA ILN'!A:J,10,FALSE),VLOOKUP(Tableau1[[#This Row],[Key(Compte ILN - shipper - POL)]],'DATA ILN'!B:J,9,FALSE))</f>
        <v>#N/A</v>
      </c>
      <c r="S226" s="79" t="e">
        <f>IFERROR(VLOOKUP(Tableau1[[#This Row],[Key(Compte ILN - shipper - POL - plant)]],'DATA ILN'!A:K,11,FALSE),VLOOKUP(Tableau1[[#This Row],[Key(Compte ILN - shipper - POL)]],'DATA ILN'!B:K,10,FALSE))</f>
        <v>#N/A</v>
      </c>
      <c r="T226" s="79" t="e">
        <f>IFERROR(VLOOKUP(Tableau1[[#This Row],[Key(Compte ILN - shipper - POL - plant)]],'DATA ILN'!A:L,12,FALSE),VLOOKUP(Tableau1[[#This Row],[Key(Compte ILN - shipper - POL)]],'DATA ILN'!B:L,11,FALSE))</f>
        <v>#N/A</v>
      </c>
      <c r="U226" s="79" t="e">
        <f>Tableau1[[#This Row],[Day ILN Order]]+Tableau1[[#This Row],[Delivery time to ILN/Shipper]]-1</f>
        <v>#N/A</v>
      </c>
      <c r="V226" s="79" t="e">
        <f>IFERROR(VLOOKUP(Tableau1[[#This Row],[Key(Compte ILN - shipper - POL - plant)]],'DATA ILN'!A:N,14,FALSE),VLOOKUP(Tableau1[[#This Row],[Key(Compte ILN - shipper - POL)]],'DATA ILN'!B:N,13,FALSE))</f>
        <v>#N/A</v>
      </c>
      <c r="W226" s="104" t="e">
        <f>IFERROR(VLOOKUP(Tableau1[[#This Row],[Key(Compte ILN - shipper - POL - plant)]],'DATA ILN'!A:P,16,FALSE),VLOOKUP(Tableau1[[#This Row],[Key(Compte ILN - shipper - POL)]],'DATA ILN'!B:P,15,FALSE))</f>
        <v>#N/A</v>
      </c>
      <c r="X226" s="283"/>
      <c r="Y226" s="487">
        <f>IFERROR(VLOOKUP(Tableau1[[#This Row],[Name Shipper]],Plant_AILN!L:M,2,FALSE),0)</f>
        <v>0</v>
      </c>
      <c r="Z226" s="358"/>
      <c r="AA226" s="354" t="e">
        <f ca="1">VLOOKUP(Tableau1[[#This Row],[Key(ID-Actif)]],'DATA BTO'!A:N,5,FALSE)</f>
        <v>#N/A</v>
      </c>
      <c r="AB226" s="106" t="e">
        <f ca="1">VLOOKUP(Tableau1[[#This Row],[Key(ID-Actif)]],'DATA BTO'!A:N,6,FALSE)</f>
        <v>#N/A</v>
      </c>
      <c r="AC226" s="79" t="e">
        <f ca="1">VLOOKUP(Tableau1[[#This Row],[Key(ID-Actif)]],'DATA BTO'!A:N,7,FALSE)</f>
        <v>#N/A</v>
      </c>
      <c r="AD226" s="79" t="e">
        <f ca="1">VLOOKUP(Tableau1[[#This Row],[Key(ID-Actif)]],'DATA BTO'!A:N,8,FALSE)</f>
        <v>#N/A</v>
      </c>
      <c r="AE226" s="79" t="e">
        <f ca="1">IF(Tableau1[[#This Row],[First Day to POL]]&lt;=Tableau1[[#This Row],[Day Cut Off]],Tableau1[[#This Row],[Day ETD]],Tableau1[[#This Row],[Day ETD]]+7)</f>
        <v>#N/A</v>
      </c>
      <c r="AF226" s="79" t="e">
        <f ca="1">VLOOKUP(Tableau1[[#This Row],[Key(ID-Actif)]],'DATA BTO'!A:N,9,FALSE)</f>
        <v>#N/A</v>
      </c>
      <c r="AG226" s="106" t="e">
        <f ca="1">VLOOKUP(Tableau1[[#This Row],[Key(ID-Actif)]],'DATA BTO'!A:N,10,FALSE)</f>
        <v>#N/A</v>
      </c>
      <c r="AH226" s="106" t="e">
        <f ca="1">VLOOKUP(Tableau1[[#This Row],[Key(ID-Actif)]],'DATA BTO'!A:N,11,FALSE)</f>
        <v>#N/A</v>
      </c>
      <c r="AI226" s="79" t="e">
        <f ca="1">VLOOKUP(Tableau1[[#This Row],[Key(ID-Actif)]],'DATA BTO'!A:N,12,FALSE)</f>
        <v>#N/A</v>
      </c>
      <c r="AJ226" s="104" t="e">
        <f ca="1">VLOOKUP(Tableau1[[#This Row],[Key(ID-Actif)]],'DATA BTO'!A:N,14,FALSE)</f>
        <v>#N/A</v>
      </c>
      <c r="AK226" s="105" t="e">
        <f ca="1">VLOOKUP(Tableau1[[#This Row],[Key(POD -PFI- Usine)]],'DATA Consignee'!A:F,6,FALSE)</f>
        <v>#N/A</v>
      </c>
      <c r="AL226" s="461"/>
      <c r="AM226" s="488" t="str">
        <f>IF(Tableau1[[#This Row],[Name PFI/CDD]]="","-",VLOOKUP(Tableau1[[#This Row],[Name PFI/CDD]],Plant_AILN!I:J,2,FALSE))</f>
        <v>-</v>
      </c>
      <c r="AN226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6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6" s="108" t="e">
        <f ca="1">VLOOKUP(Tableau1[[#This Row],[Key(POD -PFI- Usine)]],'DATA Consignee'!A:J,10,FALSE)</f>
        <v>#N/A</v>
      </c>
      <c r="AQ226" s="79" t="e">
        <f ca="1">VLOOKUP(Tableau1[[#This Row],[Key(POD -PFI- Usine)]],'DATA Consignee'!A:N,14,FALSE)</f>
        <v>#N/A</v>
      </c>
      <c r="AR226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6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6" s="79" t="e">
        <f ca="1">Tableau1[[#This Row],[Transit time]]+Tableau1[[#This Row],[Time for security]]+Tableau1[[#This Row],[Time for security2 buffer]]</f>
        <v>#N/A</v>
      </c>
      <c r="AU226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6" s="79" t="e">
        <f ca="1">Tableau1[[#This Row],[Leadtime SI2C]]+Tableau1[[#This Row],[First Receipt Days]]-Tableau1[[#This Row],[Day Customer Order]]+1</f>
        <v>#N/A</v>
      </c>
      <c r="AW226" s="118" t="e">
        <f ca="1">IF(Tableau1[[#This Row],[Name ILN]]&lt;&gt;"SFK Freight Forwarder",Tableau1[[#This Row],[Cust. Leadtime]],Tableau1[[#This Row],[Leadtime SI2C]])</f>
        <v>#N/A</v>
      </c>
      <c r="AX226" s="51" t="e">
        <f>VLOOKUP(Tableau1[[#This Row],[ID]],'DATA BTO'!B:P,15,FALSE)</f>
        <v>#N/A</v>
      </c>
      <c r="AY226" s="328" t="e">
        <f ca="1">IFERROR(VLOOKUP(Tableau1[[#This Row],[Key(ID-Actif)]],'DATA BTO'!A:N,4,FALSE),VLOOKUP(Tableau1[[#This Row],[ID]],'DATA BTO'!B:N,3,FALSE))</f>
        <v>#N/A</v>
      </c>
      <c r="AZ22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6" s="50"/>
    </row>
    <row r="227" spans="2:57">
      <c r="B227" s="65" t="str">
        <f>_xlfn.CONCAT(Tableau1[[#This Row],[Name ILN]],"-",Tableau1[[#This Row],[Name Shipper]],"-",Tableau1[[#This Row],[Name Site]])</f>
        <v>--</v>
      </c>
      <c r="C227" s="65" t="e">
        <f>_xlfn.CONCAT(Tableau1[[#This Row],[Compte ILN]],"-",Tableau1[[#This Row],[Compte Shipper]],"-",Tableau1[[#This Row],[POL]],"-",Tableau1[[#This Row],[Compte Consignee]])</f>
        <v>#N/A</v>
      </c>
      <c r="D227" s="80" t="e">
        <f>_xlfn.CONCAT(Tableau1[[#This Row],[Compte ILN]],"-",Tableau1[[#This Row],[Compte Shipper]],"-",Tableau1[[#This Row],[POL]])</f>
        <v>#N/A</v>
      </c>
      <c r="E227" s="81" t="e">
        <f ca="1">_xlfn.CONCAT(Tableau1[[#This Row],[POL]],"-",Tableau1[[#This Row],[Carrier]],"-",Tableau1[[#This Row],[POD]])</f>
        <v>#N/A</v>
      </c>
      <c r="F227" s="80" t="str">
        <f>_xlfn.CONCAT(Tableau1[[#This Row],[ID]],"-","Actif")</f>
        <v>-Actif</v>
      </c>
      <c r="G227" s="80" t="e">
        <f ca="1">_xlfn.CONCAT(Tableau1[[#This Row],[POD]],"-",Tableau1[[#This Row],[Code PFI]],"-",Tableau1[[#This Row],[Compte Consignee]])</f>
        <v>#N/A</v>
      </c>
      <c r="H227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7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7" s="401" t="str">
        <f ca="1">IF(COUNTIF(I:I,Tableau1[[#This Row],[Plant-ILN-shipper-POL-Carrier-POD-PFI]])=1,"Non","Oui")</f>
        <v>Oui</v>
      </c>
      <c r="K227" s="449" t="e">
        <f>VLOOKUP(Tableau1[[#This Row],[Name Site]],Plant_AILN!A:D,4,FALSE)</f>
        <v>#N/A</v>
      </c>
      <c r="L227" s="10"/>
      <c r="M227" s="480" t="e">
        <f>VLOOKUP(Tableau1[[#This Row],[Name Site]],Plant_AILN!A:C,3,FALSE)</f>
        <v>#N/A</v>
      </c>
      <c r="N227" s="102" t="e">
        <f>VLOOKUP(Tableau1[[#This Row],[Compte Consignee]],Order!C:D,2,FALSE)</f>
        <v>#N/A</v>
      </c>
      <c r="O227" s="124"/>
      <c r="P227" s="484" t="e">
        <f>VLOOKUP(Tableau1[[#This Row],[Name ILN]],Plant_AILN!F:G,2,FALSE)</f>
        <v>#N/A</v>
      </c>
      <c r="Q227" s="79" t="e">
        <f>VLOOKUP(Tableau1[[#This Row],[Compte ILN]],'DATA ILN'!D:I,6,FALSE)</f>
        <v>#N/A</v>
      </c>
      <c r="R227" s="79" t="e">
        <f>IFERROR(VLOOKUP(Tableau1[[#This Row],[Key(Compte ILN - shipper - POL - plant)]],'DATA ILN'!A:J,10,FALSE),VLOOKUP(Tableau1[[#This Row],[Key(Compte ILN - shipper - POL)]],'DATA ILN'!B:J,9,FALSE))</f>
        <v>#N/A</v>
      </c>
      <c r="S227" s="79" t="e">
        <f>IFERROR(VLOOKUP(Tableau1[[#This Row],[Key(Compte ILN - shipper - POL - plant)]],'DATA ILN'!A:K,11,FALSE),VLOOKUP(Tableau1[[#This Row],[Key(Compte ILN - shipper - POL)]],'DATA ILN'!B:K,10,FALSE))</f>
        <v>#N/A</v>
      </c>
      <c r="T227" s="79" t="e">
        <f>IFERROR(VLOOKUP(Tableau1[[#This Row],[Key(Compte ILN - shipper - POL - plant)]],'DATA ILN'!A:L,12,FALSE),VLOOKUP(Tableau1[[#This Row],[Key(Compte ILN - shipper - POL)]],'DATA ILN'!B:L,11,FALSE))</f>
        <v>#N/A</v>
      </c>
      <c r="U227" s="79" t="e">
        <f>Tableau1[[#This Row],[Day ILN Order]]+Tableau1[[#This Row],[Delivery time to ILN/Shipper]]-1</f>
        <v>#N/A</v>
      </c>
      <c r="V227" s="79" t="e">
        <f>IFERROR(VLOOKUP(Tableau1[[#This Row],[Key(Compte ILN - shipper - POL - plant)]],'DATA ILN'!A:N,14,FALSE),VLOOKUP(Tableau1[[#This Row],[Key(Compte ILN - shipper - POL)]],'DATA ILN'!B:N,13,FALSE))</f>
        <v>#N/A</v>
      </c>
      <c r="W227" s="104" t="e">
        <f>IFERROR(VLOOKUP(Tableau1[[#This Row],[Key(Compte ILN - shipper - POL - plant)]],'DATA ILN'!A:P,16,FALSE),VLOOKUP(Tableau1[[#This Row],[Key(Compte ILN - shipper - POL)]],'DATA ILN'!B:P,15,FALSE))</f>
        <v>#N/A</v>
      </c>
      <c r="X227" s="283"/>
      <c r="Y227" s="487">
        <f>IFERROR(VLOOKUP(Tableau1[[#This Row],[Name Shipper]],Plant_AILN!L:M,2,FALSE),0)</f>
        <v>0</v>
      </c>
      <c r="Z227" s="358"/>
      <c r="AA227" s="354" t="e">
        <f ca="1">VLOOKUP(Tableau1[[#This Row],[Key(ID-Actif)]],'DATA BTO'!A:N,5,FALSE)</f>
        <v>#N/A</v>
      </c>
      <c r="AB227" s="106" t="e">
        <f ca="1">VLOOKUP(Tableau1[[#This Row],[Key(ID-Actif)]],'DATA BTO'!A:N,6,FALSE)</f>
        <v>#N/A</v>
      </c>
      <c r="AC227" s="79" t="e">
        <f ca="1">VLOOKUP(Tableau1[[#This Row],[Key(ID-Actif)]],'DATA BTO'!A:N,7,FALSE)</f>
        <v>#N/A</v>
      </c>
      <c r="AD227" s="79" t="e">
        <f ca="1">VLOOKUP(Tableau1[[#This Row],[Key(ID-Actif)]],'DATA BTO'!A:N,8,FALSE)</f>
        <v>#N/A</v>
      </c>
      <c r="AE227" s="79" t="e">
        <f ca="1">IF(Tableau1[[#This Row],[First Day to POL]]&lt;=Tableau1[[#This Row],[Day Cut Off]],Tableau1[[#This Row],[Day ETD]],Tableau1[[#This Row],[Day ETD]]+7)</f>
        <v>#N/A</v>
      </c>
      <c r="AF227" s="79" t="e">
        <f ca="1">VLOOKUP(Tableau1[[#This Row],[Key(ID-Actif)]],'DATA BTO'!A:N,9,FALSE)</f>
        <v>#N/A</v>
      </c>
      <c r="AG227" s="106" t="e">
        <f ca="1">VLOOKUP(Tableau1[[#This Row],[Key(ID-Actif)]],'DATA BTO'!A:N,10,FALSE)</f>
        <v>#N/A</v>
      </c>
      <c r="AH227" s="106" t="e">
        <f ca="1">VLOOKUP(Tableau1[[#This Row],[Key(ID-Actif)]],'DATA BTO'!A:N,11,FALSE)</f>
        <v>#N/A</v>
      </c>
      <c r="AI227" s="79" t="e">
        <f ca="1">VLOOKUP(Tableau1[[#This Row],[Key(ID-Actif)]],'DATA BTO'!A:N,12,FALSE)</f>
        <v>#N/A</v>
      </c>
      <c r="AJ227" s="104" t="e">
        <f ca="1">VLOOKUP(Tableau1[[#This Row],[Key(ID-Actif)]],'DATA BTO'!A:N,14,FALSE)</f>
        <v>#N/A</v>
      </c>
      <c r="AK227" s="105" t="e">
        <f ca="1">VLOOKUP(Tableau1[[#This Row],[Key(POD -PFI- Usine)]],'DATA Consignee'!A:F,6,FALSE)</f>
        <v>#N/A</v>
      </c>
      <c r="AL227" s="461"/>
      <c r="AM227" s="488" t="str">
        <f>IF(Tableau1[[#This Row],[Name PFI/CDD]]="","-",VLOOKUP(Tableau1[[#This Row],[Name PFI/CDD]],Plant_AILN!I:J,2,FALSE))</f>
        <v>-</v>
      </c>
      <c r="AN227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7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7" s="108" t="e">
        <f ca="1">VLOOKUP(Tableau1[[#This Row],[Key(POD -PFI- Usine)]],'DATA Consignee'!A:J,10,FALSE)</f>
        <v>#N/A</v>
      </c>
      <c r="AQ227" s="79" t="e">
        <f ca="1">VLOOKUP(Tableau1[[#This Row],[Key(POD -PFI- Usine)]],'DATA Consignee'!A:N,14,FALSE)</f>
        <v>#N/A</v>
      </c>
      <c r="AR227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7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7" s="79" t="e">
        <f ca="1">Tableau1[[#This Row],[Transit time]]+Tableau1[[#This Row],[Time for security]]+Tableau1[[#This Row],[Time for security2 buffer]]</f>
        <v>#N/A</v>
      </c>
      <c r="AU227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7" s="79" t="e">
        <f ca="1">Tableau1[[#This Row],[Leadtime SI2C]]+Tableau1[[#This Row],[First Receipt Days]]-Tableau1[[#This Row],[Day Customer Order]]+1</f>
        <v>#N/A</v>
      </c>
      <c r="AW227" s="118" t="e">
        <f ca="1">IF(Tableau1[[#This Row],[Name ILN]]&lt;&gt;"SFK Freight Forwarder",Tableau1[[#This Row],[Cust. Leadtime]],Tableau1[[#This Row],[Leadtime SI2C]])</f>
        <v>#N/A</v>
      </c>
      <c r="AX227" s="51" t="e">
        <f>VLOOKUP(Tableau1[[#This Row],[ID]],'DATA BTO'!B:P,15,FALSE)</f>
        <v>#N/A</v>
      </c>
      <c r="AY227" s="328" t="e">
        <f ca="1">IFERROR(VLOOKUP(Tableau1[[#This Row],[Key(ID-Actif)]],'DATA BTO'!A:N,4,FALSE),VLOOKUP(Tableau1[[#This Row],[ID]],'DATA BTO'!B:N,3,FALSE))</f>
        <v>#N/A</v>
      </c>
      <c r="AZ22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7" s="50"/>
    </row>
    <row r="228" spans="2:57">
      <c r="B228" s="65" t="str">
        <f>_xlfn.CONCAT(Tableau1[[#This Row],[Name ILN]],"-",Tableau1[[#This Row],[Name Shipper]],"-",Tableau1[[#This Row],[Name Site]])</f>
        <v>--</v>
      </c>
      <c r="C228" s="65" t="e">
        <f>_xlfn.CONCAT(Tableau1[[#This Row],[Compte ILN]],"-",Tableau1[[#This Row],[Compte Shipper]],"-",Tableau1[[#This Row],[POL]],"-",Tableau1[[#This Row],[Compte Consignee]])</f>
        <v>#N/A</v>
      </c>
      <c r="D228" s="80" t="e">
        <f>_xlfn.CONCAT(Tableau1[[#This Row],[Compte ILN]],"-",Tableau1[[#This Row],[Compte Shipper]],"-",Tableau1[[#This Row],[POL]])</f>
        <v>#N/A</v>
      </c>
      <c r="E228" s="81" t="e">
        <f ca="1">_xlfn.CONCAT(Tableau1[[#This Row],[POL]],"-",Tableau1[[#This Row],[Carrier]],"-",Tableau1[[#This Row],[POD]])</f>
        <v>#N/A</v>
      </c>
      <c r="F228" s="80" t="str">
        <f>_xlfn.CONCAT(Tableau1[[#This Row],[ID]],"-","Actif")</f>
        <v>-Actif</v>
      </c>
      <c r="G228" s="80" t="e">
        <f ca="1">_xlfn.CONCAT(Tableau1[[#This Row],[POD]],"-",Tableau1[[#This Row],[Code PFI]],"-",Tableau1[[#This Row],[Compte Consignee]])</f>
        <v>#N/A</v>
      </c>
      <c r="H228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8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8" s="401" t="str">
        <f ca="1">IF(COUNTIF(I:I,Tableau1[[#This Row],[Plant-ILN-shipper-POL-Carrier-POD-PFI]])=1,"Non","Oui")</f>
        <v>Oui</v>
      </c>
      <c r="K228" s="449" t="e">
        <f>VLOOKUP(Tableau1[[#This Row],[Name Site]],Plant_AILN!A:D,4,FALSE)</f>
        <v>#N/A</v>
      </c>
      <c r="L228" s="10"/>
      <c r="M228" s="480" t="e">
        <f>VLOOKUP(Tableau1[[#This Row],[Name Site]],Plant_AILN!A:C,3,FALSE)</f>
        <v>#N/A</v>
      </c>
      <c r="N228" s="102" t="e">
        <f>VLOOKUP(Tableau1[[#This Row],[Compte Consignee]],Order!C:D,2,FALSE)</f>
        <v>#N/A</v>
      </c>
      <c r="O228" s="124"/>
      <c r="P228" s="484" t="e">
        <f>VLOOKUP(Tableau1[[#This Row],[Name ILN]],Plant_AILN!F:G,2,FALSE)</f>
        <v>#N/A</v>
      </c>
      <c r="Q228" s="79" t="e">
        <f>VLOOKUP(Tableau1[[#This Row],[Compte ILN]],'DATA ILN'!D:I,6,FALSE)</f>
        <v>#N/A</v>
      </c>
      <c r="R228" s="79" t="e">
        <f>IFERROR(VLOOKUP(Tableau1[[#This Row],[Key(Compte ILN - shipper - POL - plant)]],'DATA ILN'!A:J,10,FALSE),VLOOKUP(Tableau1[[#This Row],[Key(Compte ILN - shipper - POL)]],'DATA ILN'!B:J,9,FALSE))</f>
        <v>#N/A</v>
      </c>
      <c r="S228" s="79" t="e">
        <f>IFERROR(VLOOKUP(Tableau1[[#This Row],[Key(Compte ILN - shipper - POL - plant)]],'DATA ILN'!A:K,11,FALSE),VLOOKUP(Tableau1[[#This Row],[Key(Compte ILN - shipper - POL)]],'DATA ILN'!B:K,10,FALSE))</f>
        <v>#N/A</v>
      </c>
      <c r="T228" s="79" t="e">
        <f>IFERROR(VLOOKUP(Tableau1[[#This Row],[Key(Compte ILN - shipper - POL - plant)]],'DATA ILN'!A:L,12,FALSE),VLOOKUP(Tableau1[[#This Row],[Key(Compte ILN - shipper - POL)]],'DATA ILN'!B:L,11,FALSE))</f>
        <v>#N/A</v>
      </c>
      <c r="U228" s="79" t="e">
        <f>Tableau1[[#This Row],[Day ILN Order]]+Tableau1[[#This Row],[Delivery time to ILN/Shipper]]-1</f>
        <v>#N/A</v>
      </c>
      <c r="V228" s="79" t="e">
        <f>IFERROR(VLOOKUP(Tableau1[[#This Row],[Key(Compte ILN - shipper - POL - plant)]],'DATA ILN'!A:N,14,FALSE),VLOOKUP(Tableau1[[#This Row],[Key(Compte ILN - shipper - POL)]],'DATA ILN'!B:N,13,FALSE))</f>
        <v>#N/A</v>
      </c>
      <c r="W228" s="104" t="e">
        <f>IFERROR(VLOOKUP(Tableau1[[#This Row],[Key(Compte ILN - shipper - POL - plant)]],'DATA ILN'!A:P,16,FALSE),VLOOKUP(Tableau1[[#This Row],[Key(Compte ILN - shipper - POL)]],'DATA ILN'!B:P,15,FALSE))</f>
        <v>#N/A</v>
      </c>
      <c r="X228" s="283"/>
      <c r="Y228" s="487">
        <f>IFERROR(VLOOKUP(Tableau1[[#This Row],[Name Shipper]],Plant_AILN!L:M,2,FALSE),0)</f>
        <v>0</v>
      </c>
      <c r="Z228" s="358"/>
      <c r="AA228" s="354" t="e">
        <f ca="1">VLOOKUP(Tableau1[[#This Row],[Key(ID-Actif)]],'DATA BTO'!A:N,5,FALSE)</f>
        <v>#N/A</v>
      </c>
      <c r="AB228" s="106" t="e">
        <f ca="1">VLOOKUP(Tableau1[[#This Row],[Key(ID-Actif)]],'DATA BTO'!A:N,6,FALSE)</f>
        <v>#N/A</v>
      </c>
      <c r="AC228" s="79" t="e">
        <f ca="1">VLOOKUP(Tableau1[[#This Row],[Key(ID-Actif)]],'DATA BTO'!A:N,7,FALSE)</f>
        <v>#N/A</v>
      </c>
      <c r="AD228" s="79" t="e">
        <f ca="1">VLOOKUP(Tableau1[[#This Row],[Key(ID-Actif)]],'DATA BTO'!A:N,8,FALSE)</f>
        <v>#N/A</v>
      </c>
      <c r="AE228" s="79" t="e">
        <f ca="1">IF(Tableau1[[#This Row],[First Day to POL]]&lt;=Tableau1[[#This Row],[Day Cut Off]],Tableau1[[#This Row],[Day ETD]],Tableau1[[#This Row],[Day ETD]]+7)</f>
        <v>#N/A</v>
      </c>
      <c r="AF228" s="79" t="e">
        <f ca="1">VLOOKUP(Tableau1[[#This Row],[Key(ID-Actif)]],'DATA BTO'!A:N,9,FALSE)</f>
        <v>#N/A</v>
      </c>
      <c r="AG228" s="106" t="e">
        <f ca="1">VLOOKUP(Tableau1[[#This Row],[Key(ID-Actif)]],'DATA BTO'!A:N,10,FALSE)</f>
        <v>#N/A</v>
      </c>
      <c r="AH228" s="106" t="e">
        <f ca="1">VLOOKUP(Tableau1[[#This Row],[Key(ID-Actif)]],'DATA BTO'!A:N,11,FALSE)</f>
        <v>#N/A</v>
      </c>
      <c r="AI228" s="79" t="e">
        <f ca="1">VLOOKUP(Tableau1[[#This Row],[Key(ID-Actif)]],'DATA BTO'!A:N,12,FALSE)</f>
        <v>#N/A</v>
      </c>
      <c r="AJ228" s="104" t="e">
        <f ca="1">VLOOKUP(Tableau1[[#This Row],[Key(ID-Actif)]],'DATA BTO'!A:N,14,FALSE)</f>
        <v>#N/A</v>
      </c>
      <c r="AK228" s="105" t="e">
        <f ca="1">VLOOKUP(Tableau1[[#This Row],[Key(POD -PFI- Usine)]],'DATA Consignee'!A:F,6,FALSE)</f>
        <v>#N/A</v>
      </c>
      <c r="AL228" s="461"/>
      <c r="AM228" s="488" t="str">
        <f>IF(Tableau1[[#This Row],[Name PFI/CDD]]="","-",VLOOKUP(Tableau1[[#This Row],[Name PFI/CDD]],Plant_AILN!I:J,2,FALSE))</f>
        <v>-</v>
      </c>
      <c r="AN228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8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8" s="108" t="e">
        <f ca="1">VLOOKUP(Tableau1[[#This Row],[Key(POD -PFI- Usine)]],'DATA Consignee'!A:J,10,FALSE)</f>
        <v>#N/A</v>
      </c>
      <c r="AQ228" s="79" t="e">
        <f ca="1">VLOOKUP(Tableau1[[#This Row],[Key(POD -PFI- Usine)]],'DATA Consignee'!A:N,14,FALSE)</f>
        <v>#N/A</v>
      </c>
      <c r="AR228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8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8" s="79" t="e">
        <f ca="1">Tableau1[[#This Row],[Transit time]]+Tableau1[[#This Row],[Time for security]]+Tableau1[[#This Row],[Time for security2 buffer]]</f>
        <v>#N/A</v>
      </c>
      <c r="AU228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8" s="79" t="e">
        <f ca="1">Tableau1[[#This Row],[Leadtime SI2C]]+Tableau1[[#This Row],[First Receipt Days]]-Tableau1[[#This Row],[Day Customer Order]]+1</f>
        <v>#N/A</v>
      </c>
      <c r="AW228" s="118" t="e">
        <f ca="1">IF(Tableau1[[#This Row],[Name ILN]]&lt;&gt;"SFK Freight Forwarder",Tableau1[[#This Row],[Cust. Leadtime]],Tableau1[[#This Row],[Leadtime SI2C]])</f>
        <v>#N/A</v>
      </c>
      <c r="AX228" s="51" t="e">
        <f>VLOOKUP(Tableau1[[#This Row],[ID]],'DATA BTO'!B:P,15,FALSE)</f>
        <v>#N/A</v>
      </c>
      <c r="AY228" s="328" t="e">
        <f ca="1">IFERROR(VLOOKUP(Tableau1[[#This Row],[Key(ID-Actif)]],'DATA BTO'!A:N,4,FALSE),VLOOKUP(Tableau1[[#This Row],[ID]],'DATA BTO'!B:N,3,FALSE))</f>
        <v>#N/A</v>
      </c>
      <c r="AZ22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8" s="50"/>
    </row>
    <row r="229" spans="2:57">
      <c r="B229" s="65" t="str">
        <f>_xlfn.CONCAT(Tableau1[[#This Row],[Name ILN]],"-",Tableau1[[#This Row],[Name Shipper]],"-",Tableau1[[#This Row],[Name Site]])</f>
        <v>--</v>
      </c>
      <c r="C229" s="65" t="e">
        <f>_xlfn.CONCAT(Tableau1[[#This Row],[Compte ILN]],"-",Tableau1[[#This Row],[Compte Shipper]],"-",Tableau1[[#This Row],[POL]],"-",Tableau1[[#This Row],[Compte Consignee]])</f>
        <v>#N/A</v>
      </c>
      <c r="D229" s="80" t="e">
        <f>_xlfn.CONCAT(Tableau1[[#This Row],[Compte ILN]],"-",Tableau1[[#This Row],[Compte Shipper]],"-",Tableau1[[#This Row],[POL]])</f>
        <v>#N/A</v>
      </c>
      <c r="E229" s="81" t="e">
        <f ca="1">_xlfn.CONCAT(Tableau1[[#This Row],[POL]],"-",Tableau1[[#This Row],[Carrier]],"-",Tableau1[[#This Row],[POD]])</f>
        <v>#N/A</v>
      </c>
      <c r="F229" s="80" t="str">
        <f>_xlfn.CONCAT(Tableau1[[#This Row],[ID]],"-","Actif")</f>
        <v>-Actif</v>
      </c>
      <c r="G229" s="80" t="e">
        <f ca="1">_xlfn.CONCAT(Tableau1[[#This Row],[POD]],"-",Tableau1[[#This Row],[Code PFI]],"-",Tableau1[[#This Row],[Compte Consignee]])</f>
        <v>#N/A</v>
      </c>
      <c r="H229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29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29" s="401" t="str">
        <f ca="1">IF(COUNTIF(I:I,Tableau1[[#This Row],[Plant-ILN-shipper-POL-Carrier-POD-PFI]])=1,"Non","Oui")</f>
        <v>Oui</v>
      </c>
      <c r="K229" s="449" t="e">
        <f>VLOOKUP(Tableau1[[#This Row],[Name Site]],Plant_AILN!A:D,4,FALSE)</f>
        <v>#N/A</v>
      </c>
      <c r="L229" s="10"/>
      <c r="M229" s="480" t="e">
        <f>VLOOKUP(Tableau1[[#This Row],[Name Site]],Plant_AILN!A:C,3,FALSE)</f>
        <v>#N/A</v>
      </c>
      <c r="N229" s="102" t="e">
        <f>VLOOKUP(Tableau1[[#This Row],[Compte Consignee]],Order!C:D,2,FALSE)</f>
        <v>#N/A</v>
      </c>
      <c r="O229" s="114"/>
      <c r="P229" s="484" t="e">
        <f>VLOOKUP(Tableau1[[#This Row],[Name ILN]],Plant_AILN!F:G,2,FALSE)</f>
        <v>#N/A</v>
      </c>
      <c r="Q229" s="79" t="e">
        <f>VLOOKUP(Tableau1[[#This Row],[Compte ILN]],'DATA ILN'!D:I,6,FALSE)</f>
        <v>#N/A</v>
      </c>
      <c r="R229" s="79" t="e">
        <f>IFERROR(VLOOKUP(Tableau1[[#This Row],[Key(Compte ILN - shipper - POL - plant)]],'DATA ILN'!A:J,10,FALSE),VLOOKUP(Tableau1[[#This Row],[Key(Compte ILN - shipper - POL)]],'DATA ILN'!B:J,9,FALSE))</f>
        <v>#N/A</v>
      </c>
      <c r="S229" s="79" t="e">
        <f>IFERROR(VLOOKUP(Tableau1[[#This Row],[Key(Compte ILN - shipper - POL - plant)]],'DATA ILN'!A:K,11,FALSE),VLOOKUP(Tableau1[[#This Row],[Key(Compte ILN - shipper - POL)]],'DATA ILN'!B:K,10,FALSE))</f>
        <v>#N/A</v>
      </c>
      <c r="T229" s="79" t="e">
        <f>IFERROR(VLOOKUP(Tableau1[[#This Row],[Key(Compte ILN - shipper - POL - plant)]],'DATA ILN'!A:L,12,FALSE),VLOOKUP(Tableau1[[#This Row],[Key(Compte ILN - shipper - POL)]],'DATA ILN'!B:L,11,FALSE))</f>
        <v>#N/A</v>
      </c>
      <c r="U229" s="79" t="e">
        <f>Tableau1[[#This Row],[Day ILN Order]]+Tableau1[[#This Row],[Delivery time to ILN/Shipper]]-1</f>
        <v>#N/A</v>
      </c>
      <c r="V229" s="79" t="e">
        <f>IFERROR(VLOOKUP(Tableau1[[#This Row],[Key(Compte ILN - shipper - POL - plant)]],'DATA ILN'!A:N,14,FALSE),VLOOKUP(Tableau1[[#This Row],[Key(Compte ILN - shipper - POL)]],'DATA ILN'!B:N,13,FALSE))</f>
        <v>#N/A</v>
      </c>
      <c r="W229" s="104" t="e">
        <f>IFERROR(VLOOKUP(Tableau1[[#This Row],[Key(Compte ILN - shipper - POL - plant)]],'DATA ILN'!A:P,16,FALSE),VLOOKUP(Tableau1[[#This Row],[Key(Compte ILN - shipper - POL)]],'DATA ILN'!B:P,15,FALSE))</f>
        <v>#N/A</v>
      </c>
      <c r="X229" s="283"/>
      <c r="Y229" s="487">
        <f>IFERROR(VLOOKUP(Tableau1[[#This Row],[Name Shipper]],Plant_AILN!L:M,2,FALSE),0)</f>
        <v>0</v>
      </c>
      <c r="Z229" s="358"/>
      <c r="AA229" s="354" t="e">
        <f ca="1">VLOOKUP(Tableau1[[#This Row],[Key(ID-Actif)]],'DATA BTO'!A:N,5,FALSE)</f>
        <v>#N/A</v>
      </c>
      <c r="AB229" s="106" t="e">
        <f ca="1">VLOOKUP(Tableau1[[#This Row],[Key(ID-Actif)]],'DATA BTO'!A:N,6,FALSE)</f>
        <v>#N/A</v>
      </c>
      <c r="AC229" s="79" t="e">
        <f ca="1">VLOOKUP(Tableau1[[#This Row],[Key(ID-Actif)]],'DATA BTO'!A:N,7,FALSE)</f>
        <v>#N/A</v>
      </c>
      <c r="AD229" s="79" t="e">
        <f ca="1">VLOOKUP(Tableau1[[#This Row],[Key(ID-Actif)]],'DATA BTO'!A:N,8,FALSE)</f>
        <v>#N/A</v>
      </c>
      <c r="AE229" s="79" t="e">
        <f ca="1">IF(Tableau1[[#This Row],[First Day to POL]]&lt;=Tableau1[[#This Row],[Day Cut Off]],Tableau1[[#This Row],[Day ETD]],Tableau1[[#This Row],[Day ETD]]+7)</f>
        <v>#N/A</v>
      </c>
      <c r="AF229" s="79" t="e">
        <f ca="1">VLOOKUP(Tableau1[[#This Row],[Key(ID-Actif)]],'DATA BTO'!A:N,9,FALSE)</f>
        <v>#N/A</v>
      </c>
      <c r="AG229" s="106" t="e">
        <f ca="1">VLOOKUP(Tableau1[[#This Row],[Key(ID-Actif)]],'DATA BTO'!A:N,10,FALSE)</f>
        <v>#N/A</v>
      </c>
      <c r="AH229" s="106" t="e">
        <f ca="1">VLOOKUP(Tableau1[[#This Row],[Key(ID-Actif)]],'DATA BTO'!A:N,11,FALSE)</f>
        <v>#N/A</v>
      </c>
      <c r="AI229" s="79" t="e">
        <f ca="1">VLOOKUP(Tableau1[[#This Row],[Key(ID-Actif)]],'DATA BTO'!A:N,12,FALSE)</f>
        <v>#N/A</v>
      </c>
      <c r="AJ229" s="104" t="e">
        <f ca="1">VLOOKUP(Tableau1[[#This Row],[Key(ID-Actif)]],'DATA BTO'!A:N,14,FALSE)</f>
        <v>#N/A</v>
      </c>
      <c r="AK229" s="105" t="e">
        <f ca="1">VLOOKUP(Tableau1[[#This Row],[Key(POD -PFI- Usine)]],'DATA Consignee'!A:F,6,FALSE)</f>
        <v>#N/A</v>
      </c>
      <c r="AL229" s="461"/>
      <c r="AM229" s="488" t="str">
        <f>IF(Tableau1[[#This Row],[Name PFI/CDD]]="","-",VLOOKUP(Tableau1[[#This Row],[Name PFI/CDD]],Plant_AILN!I:J,2,FALSE))</f>
        <v>-</v>
      </c>
      <c r="AN229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29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29" s="108" t="e">
        <f ca="1">VLOOKUP(Tableau1[[#This Row],[Key(POD -PFI- Usine)]],'DATA Consignee'!A:J,10,FALSE)</f>
        <v>#N/A</v>
      </c>
      <c r="AQ229" s="79" t="e">
        <f ca="1">VLOOKUP(Tableau1[[#This Row],[Key(POD -PFI- Usine)]],'DATA Consignee'!A:N,14,FALSE)</f>
        <v>#N/A</v>
      </c>
      <c r="AR229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29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29" s="79" t="e">
        <f ca="1">Tableau1[[#This Row],[Transit time]]+Tableau1[[#This Row],[Time for security]]+Tableau1[[#This Row],[Time for security2 buffer]]</f>
        <v>#N/A</v>
      </c>
      <c r="AU229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29" s="79" t="e">
        <f ca="1">Tableau1[[#This Row],[Leadtime SI2C]]+Tableau1[[#This Row],[First Receipt Days]]-Tableau1[[#This Row],[Day Customer Order]]+1</f>
        <v>#N/A</v>
      </c>
      <c r="AW229" s="118" t="e">
        <f ca="1">IF(Tableau1[[#This Row],[Name ILN]]&lt;&gt;"SFK Freight Forwarder",Tableau1[[#This Row],[Cust. Leadtime]],Tableau1[[#This Row],[Leadtime SI2C]])</f>
        <v>#N/A</v>
      </c>
      <c r="AX229" s="51" t="e">
        <f>VLOOKUP(Tableau1[[#This Row],[ID]],'DATA BTO'!B:P,15,FALSE)</f>
        <v>#N/A</v>
      </c>
      <c r="AY229" s="328" t="e">
        <f ca="1">IFERROR(VLOOKUP(Tableau1[[#This Row],[Key(ID-Actif)]],'DATA BTO'!A:N,4,FALSE),VLOOKUP(Tableau1[[#This Row],[ID]],'DATA BTO'!B:N,3,FALSE))</f>
        <v>#N/A</v>
      </c>
      <c r="AZ22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2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2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9" s="50"/>
    </row>
    <row r="230" spans="2:57">
      <c r="B230" s="65" t="str">
        <f>_xlfn.CONCAT(Tableau1[[#This Row],[Name ILN]],"-",Tableau1[[#This Row],[Name Shipper]],"-",Tableau1[[#This Row],[Name Site]])</f>
        <v>--</v>
      </c>
      <c r="C230" s="65" t="e">
        <f>_xlfn.CONCAT(Tableau1[[#This Row],[Compte ILN]],"-",Tableau1[[#This Row],[Compte Shipper]],"-",Tableau1[[#This Row],[POL]],"-",Tableau1[[#This Row],[Compte Consignee]])</f>
        <v>#N/A</v>
      </c>
      <c r="D230" s="80" t="e">
        <f>_xlfn.CONCAT(Tableau1[[#This Row],[Compte ILN]],"-",Tableau1[[#This Row],[Compte Shipper]],"-",Tableau1[[#This Row],[POL]])</f>
        <v>#N/A</v>
      </c>
      <c r="E230" s="81" t="e">
        <f ca="1">_xlfn.CONCAT(Tableau1[[#This Row],[POL]],"-",Tableau1[[#This Row],[Carrier]],"-",Tableau1[[#This Row],[POD]])</f>
        <v>#N/A</v>
      </c>
      <c r="F230" s="80" t="str">
        <f>_xlfn.CONCAT(Tableau1[[#This Row],[ID]],"-","Actif")</f>
        <v>-Actif</v>
      </c>
      <c r="G230" s="80" t="e">
        <f ca="1">_xlfn.CONCAT(Tableau1[[#This Row],[POD]],"-",Tableau1[[#This Row],[Code PFI]],"-",Tableau1[[#This Row],[Compte Consignee]])</f>
        <v>#N/A</v>
      </c>
      <c r="H230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0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0" s="401" t="str">
        <f ca="1">IF(COUNTIF(I:I,Tableau1[[#This Row],[Plant-ILN-shipper-POL-Carrier-POD-PFI]])=1,"Non","Oui")</f>
        <v>Oui</v>
      </c>
      <c r="K230" s="449" t="e">
        <f>VLOOKUP(Tableau1[[#This Row],[Name Site]],Plant_AILN!A:D,4,FALSE)</f>
        <v>#N/A</v>
      </c>
      <c r="L230" s="10"/>
      <c r="M230" s="480" t="e">
        <f>VLOOKUP(Tableau1[[#This Row],[Name Site]],Plant_AILN!A:C,3,FALSE)</f>
        <v>#N/A</v>
      </c>
      <c r="N230" s="102" t="e">
        <f>VLOOKUP(Tableau1[[#This Row],[Compte Consignee]],Order!C:D,2,FALSE)</f>
        <v>#N/A</v>
      </c>
      <c r="O230" s="114"/>
      <c r="P230" s="484" t="e">
        <f>VLOOKUP(Tableau1[[#This Row],[Name ILN]],Plant_AILN!F:G,2,FALSE)</f>
        <v>#N/A</v>
      </c>
      <c r="Q230" s="79" t="e">
        <f>VLOOKUP(Tableau1[[#This Row],[Compte ILN]],'DATA ILN'!D:I,6,FALSE)</f>
        <v>#N/A</v>
      </c>
      <c r="R230" s="79" t="e">
        <f>IFERROR(VLOOKUP(Tableau1[[#This Row],[Key(Compte ILN - shipper - POL - plant)]],'DATA ILN'!A:J,10,FALSE),VLOOKUP(Tableau1[[#This Row],[Key(Compte ILN - shipper - POL)]],'DATA ILN'!B:J,9,FALSE))</f>
        <v>#N/A</v>
      </c>
      <c r="S230" s="79" t="e">
        <f>IFERROR(VLOOKUP(Tableau1[[#This Row],[Key(Compte ILN - shipper - POL - plant)]],'DATA ILN'!A:K,11,FALSE),VLOOKUP(Tableau1[[#This Row],[Key(Compte ILN - shipper - POL)]],'DATA ILN'!B:K,10,FALSE))</f>
        <v>#N/A</v>
      </c>
      <c r="T230" s="79" t="e">
        <f>IFERROR(VLOOKUP(Tableau1[[#This Row],[Key(Compte ILN - shipper - POL - plant)]],'DATA ILN'!A:L,12,FALSE),VLOOKUP(Tableau1[[#This Row],[Key(Compte ILN - shipper - POL)]],'DATA ILN'!B:L,11,FALSE))</f>
        <v>#N/A</v>
      </c>
      <c r="U230" s="79" t="e">
        <f>Tableau1[[#This Row],[Day ILN Order]]+Tableau1[[#This Row],[Delivery time to ILN/Shipper]]-1</f>
        <v>#N/A</v>
      </c>
      <c r="V230" s="79" t="e">
        <f>IFERROR(VLOOKUP(Tableau1[[#This Row],[Key(Compte ILN - shipper - POL - plant)]],'DATA ILN'!A:N,14,FALSE),VLOOKUP(Tableau1[[#This Row],[Key(Compte ILN - shipper - POL)]],'DATA ILN'!B:N,13,FALSE))</f>
        <v>#N/A</v>
      </c>
      <c r="W230" s="104" t="e">
        <f>IFERROR(VLOOKUP(Tableau1[[#This Row],[Key(Compte ILN - shipper - POL - plant)]],'DATA ILN'!A:P,16,FALSE),VLOOKUP(Tableau1[[#This Row],[Key(Compte ILN - shipper - POL)]],'DATA ILN'!B:P,15,FALSE))</f>
        <v>#N/A</v>
      </c>
      <c r="X230" s="283"/>
      <c r="Y230" s="487">
        <f>IFERROR(VLOOKUP(Tableau1[[#This Row],[Name Shipper]],Plant_AILN!L:M,2,FALSE),0)</f>
        <v>0</v>
      </c>
      <c r="Z230" s="358"/>
      <c r="AA230" s="354" t="e">
        <f ca="1">VLOOKUP(Tableau1[[#This Row],[Key(ID-Actif)]],'DATA BTO'!A:N,5,FALSE)</f>
        <v>#N/A</v>
      </c>
      <c r="AB230" s="106" t="e">
        <f ca="1">VLOOKUP(Tableau1[[#This Row],[Key(ID-Actif)]],'DATA BTO'!A:N,6,FALSE)</f>
        <v>#N/A</v>
      </c>
      <c r="AC230" s="79" t="e">
        <f ca="1">VLOOKUP(Tableau1[[#This Row],[Key(ID-Actif)]],'DATA BTO'!A:N,7,FALSE)</f>
        <v>#N/A</v>
      </c>
      <c r="AD230" s="79" t="e">
        <f ca="1">VLOOKUP(Tableau1[[#This Row],[Key(ID-Actif)]],'DATA BTO'!A:N,8,FALSE)</f>
        <v>#N/A</v>
      </c>
      <c r="AE230" s="79" t="e">
        <f ca="1">IF(Tableau1[[#This Row],[First Day to POL]]&lt;=Tableau1[[#This Row],[Day Cut Off]],Tableau1[[#This Row],[Day ETD]],Tableau1[[#This Row],[Day ETD]]+7)</f>
        <v>#N/A</v>
      </c>
      <c r="AF230" s="79" t="e">
        <f ca="1">VLOOKUP(Tableau1[[#This Row],[Key(ID-Actif)]],'DATA BTO'!A:N,9,FALSE)</f>
        <v>#N/A</v>
      </c>
      <c r="AG230" s="106" t="e">
        <f ca="1">VLOOKUP(Tableau1[[#This Row],[Key(ID-Actif)]],'DATA BTO'!A:N,10,FALSE)</f>
        <v>#N/A</v>
      </c>
      <c r="AH230" s="106" t="e">
        <f ca="1">VLOOKUP(Tableau1[[#This Row],[Key(ID-Actif)]],'DATA BTO'!A:N,11,FALSE)</f>
        <v>#N/A</v>
      </c>
      <c r="AI230" s="79" t="e">
        <f ca="1">VLOOKUP(Tableau1[[#This Row],[Key(ID-Actif)]],'DATA BTO'!A:N,12,FALSE)</f>
        <v>#N/A</v>
      </c>
      <c r="AJ230" s="104" t="e">
        <f ca="1">VLOOKUP(Tableau1[[#This Row],[Key(ID-Actif)]],'DATA BTO'!A:N,14,FALSE)</f>
        <v>#N/A</v>
      </c>
      <c r="AK230" s="105" t="e">
        <f ca="1">VLOOKUP(Tableau1[[#This Row],[Key(POD -PFI- Usine)]],'DATA Consignee'!A:F,6,FALSE)</f>
        <v>#N/A</v>
      </c>
      <c r="AL230" s="136"/>
      <c r="AM230" s="488" t="str">
        <f>IF(Tableau1[[#This Row],[Name PFI/CDD]]="","-",VLOOKUP(Tableau1[[#This Row],[Name PFI/CDD]],Plant_AILN!I:J,2,FALSE))</f>
        <v>-</v>
      </c>
      <c r="AN230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0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0" s="108" t="e">
        <f ca="1">VLOOKUP(Tableau1[[#This Row],[Key(POD -PFI- Usine)]],'DATA Consignee'!A:J,10,FALSE)</f>
        <v>#N/A</v>
      </c>
      <c r="AQ230" s="79" t="e">
        <f ca="1">VLOOKUP(Tableau1[[#This Row],[Key(POD -PFI- Usine)]],'DATA Consignee'!A:N,14,FALSE)</f>
        <v>#N/A</v>
      </c>
      <c r="AR230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0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0" s="79" t="e">
        <f ca="1">Tableau1[[#This Row],[Transit time]]+Tableau1[[#This Row],[Time for security]]+Tableau1[[#This Row],[Time for security2 buffer]]</f>
        <v>#N/A</v>
      </c>
      <c r="AU230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0" s="79" t="e">
        <f ca="1">Tableau1[[#This Row],[Leadtime SI2C]]+Tableau1[[#This Row],[First Receipt Days]]-Tableau1[[#This Row],[Day Customer Order]]+1</f>
        <v>#N/A</v>
      </c>
      <c r="AW230" s="118" t="e">
        <f ca="1">IF(Tableau1[[#This Row],[Name ILN]]&lt;&gt;"SFK Freight Forwarder",Tableau1[[#This Row],[Cust. Leadtime]],Tableau1[[#This Row],[Leadtime SI2C]])</f>
        <v>#N/A</v>
      </c>
      <c r="AX230" s="51" t="e">
        <f>VLOOKUP(Tableau1[[#This Row],[ID]],'DATA BTO'!B:P,15,FALSE)</f>
        <v>#N/A</v>
      </c>
      <c r="AY230" s="328" t="e">
        <f ca="1">IFERROR(VLOOKUP(Tableau1[[#This Row],[Key(ID-Actif)]],'DATA BTO'!A:N,4,FALSE),VLOOKUP(Tableau1[[#This Row],[ID]],'DATA BTO'!B:N,3,FALSE))</f>
        <v>#N/A</v>
      </c>
      <c r="AZ23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0" s="50"/>
    </row>
    <row r="231" spans="2:57">
      <c r="B231" s="65" t="str">
        <f>_xlfn.CONCAT(Tableau1[[#This Row],[Name ILN]],"-",Tableau1[[#This Row],[Name Shipper]],"-",Tableau1[[#This Row],[Name Site]])</f>
        <v>--</v>
      </c>
      <c r="C231" s="65" t="e">
        <f>_xlfn.CONCAT(Tableau1[[#This Row],[Compte ILN]],"-",Tableau1[[#This Row],[Compte Shipper]],"-",Tableau1[[#This Row],[POL]],"-",Tableau1[[#This Row],[Compte Consignee]])</f>
        <v>#N/A</v>
      </c>
      <c r="D231" s="80" t="e">
        <f>_xlfn.CONCAT(Tableau1[[#This Row],[Compte ILN]],"-",Tableau1[[#This Row],[Compte Shipper]],"-",Tableau1[[#This Row],[POL]])</f>
        <v>#N/A</v>
      </c>
      <c r="E231" s="81" t="e">
        <f ca="1">_xlfn.CONCAT(Tableau1[[#This Row],[POL]],"-",Tableau1[[#This Row],[Carrier]],"-",Tableau1[[#This Row],[POD]])</f>
        <v>#N/A</v>
      </c>
      <c r="F231" s="80" t="str">
        <f>_xlfn.CONCAT(Tableau1[[#This Row],[ID]],"-","Actif")</f>
        <v>-Actif</v>
      </c>
      <c r="G231" s="80" t="e">
        <f ca="1">_xlfn.CONCAT(Tableau1[[#This Row],[POD]],"-",Tableau1[[#This Row],[Code PFI]],"-",Tableau1[[#This Row],[Compte Consignee]])</f>
        <v>#N/A</v>
      </c>
      <c r="H23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1" s="118" t="str">
        <f ca="1">IF(COUNTIF(I:I,Tableau1[[#This Row],[Plant-ILN-shipper-POL-Carrier-POD-PFI]])=1,"Non","Oui")</f>
        <v>Oui</v>
      </c>
      <c r="K231" s="449" t="e">
        <f>VLOOKUP(Tableau1[[#This Row],[Name Site]],Plant_AILN!A:D,4,FALSE)</f>
        <v>#N/A</v>
      </c>
      <c r="L231" s="10"/>
      <c r="M231" s="480" t="e">
        <f>VLOOKUP(Tableau1[[#This Row],[Name Site]],Plant_AILN!A:C,3,FALSE)</f>
        <v>#N/A</v>
      </c>
      <c r="N231" s="102" t="e">
        <f>VLOOKUP(Tableau1[[#This Row],[Compte Consignee]],Order!C:D,2,FALSE)</f>
        <v>#N/A</v>
      </c>
      <c r="O231" s="122"/>
      <c r="P231" s="484" t="e">
        <f>VLOOKUP(Tableau1[[#This Row],[Name ILN]],Plant_AILN!F:G,2,FALSE)</f>
        <v>#N/A</v>
      </c>
      <c r="Q231" s="79" t="e">
        <f>VLOOKUP(Tableau1[[#This Row],[Compte ILN]],'DATA ILN'!D:I,6,FALSE)</f>
        <v>#N/A</v>
      </c>
      <c r="R231" s="79" t="e">
        <f>IFERROR(VLOOKUP(Tableau1[[#This Row],[Key(Compte ILN - shipper - POL - plant)]],'DATA ILN'!A:J,10,FALSE),VLOOKUP(Tableau1[[#This Row],[Key(Compte ILN - shipper - POL)]],'DATA ILN'!B:J,9,FALSE))</f>
        <v>#N/A</v>
      </c>
      <c r="S231" s="79" t="e">
        <f>IFERROR(VLOOKUP(Tableau1[[#This Row],[Key(Compte ILN - shipper - POL - plant)]],'DATA ILN'!A:K,11,FALSE),VLOOKUP(Tableau1[[#This Row],[Key(Compte ILN - shipper - POL)]],'DATA ILN'!B:K,10,FALSE))</f>
        <v>#N/A</v>
      </c>
      <c r="T231" s="79" t="e">
        <f>IFERROR(VLOOKUP(Tableau1[[#This Row],[Key(Compte ILN - shipper - POL - plant)]],'DATA ILN'!A:L,12,FALSE),VLOOKUP(Tableau1[[#This Row],[Key(Compte ILN - shipper - POL)]],'DATA ILN'!B:L,11,FALSE))</f>
        <v>#N/A</v>
      </c>
      <c r="U231" s="79" t="e">
        <f>Tableau1[[#This Row],[Day ILN Order]]+Tableau1[[#This Row],[Delivery time to ILN/Shipper]]-1</f>
        <v>#N/A</v>
      </c>
      <c r="V231" s="79" t="e">
        <f>IFERROR(VLOOKUP(Tableau1[[#This Row],[Key(Compte ILN - shipper - POL - plant)]],'DATA ILN'!A:N,14,FALSE),VLOOKUP(Tableau1[[#This Row],[Key(Compte ILN - shipper - POL)]],'DATA ILN'!B:N,13,FALSE))</f>
        <v>#N/A</v>
      </c>
      <c r="W231" s="104" t="e">
        <f>IFERROR(VLOOKUP(Tableau1[[#This Row],[Key(Compte ILN - shipper - POL - plant)]],'DATA ILN'!A:P,16,FALSE),VLOOKUP(Tableau1[[#This Row],[Key(Compte ILN - shipper - POL)]],'DATA ILN'!B:P,15,FALSE))</f>
        <v>#N/A</v>
      </c>
      <c r="X231" s="283"/>
      <c r="Y231" s="487">
        <f>IFERROR(VLOOKUP(Tableau1[[#This Row],[Name Shipper]],Plant_AILN!L:M,2,FALSE),0)</f>
        <v>0</v>
      </c>
      <c r="Z231" s="358"/>
      <c r="AA231" s="354" t="e">
        <f ca="1">VLOOKUP(Tableau1[[#This Row],[Key(ID-Actif)]],'DATA BTO'!A:N,5,FALSE)</f>
        <v>#N/A</v>
      </c>
      <c r="AB231" s="106" t="e">
        <f ca="1">VLOOKUP(Tableau1[[#This Row],[Key(ID-Actif)]],'DATA BTO'!A:N,6,FALSE)</f>
        <v>#N/A</v>
      </c>
      <c r="AC231" s="79" t="e">
        <f ca="1">VLOOKUP(Tableau1[[#This Row],[Key(ID-Actif)]],'DATA BTO'!A:N,7,FALSE)</f>
        <v>#N/A</v>
      </c>
      <c r="AD231" s="79" t="e">
        <f ca="1">VLOOKUP(Tableau1[[#This Row],[Key(ID-Actif)]],'DATA BTO'!A:N,8,FALSE)</f>
        <v>#N/A</v>
      </c>
      <c r="AE231" s="79" t="e">
        <f ca="1">IF(Tableau1[[#This Row],[First Day to POL]]&lt;=Tableau1[[#This Row],[Day Cut Off]],Tableau1[[#This Row],[Day ETD]],Tableau1[[#This Row],[Day ETD]]+7)</f>
        <v>#N/A</v>
      </c>
      <c r="AF231" s="79" t="e">
        <f ca="1">VLOOKUP(Tableau1[[#This Row],[Key(ID-Actif)]],'DATA BTO'!A:N,9,FALSE)</f>
        <v>#N/A</v>
      </c>
      <c r="AG231" s="106" t="e">
        <f ca="1">VLOOKUP(Tableau1[[#This Row],[Key(ID-Actif)]],'DATA BTO'!A:N,10,FALSE)</f>
        <v>#N/A</v>
      </c>
      <c r="AH231" s="106" t="e">
        <f ca="1">VLOOKUP(Tableau1[[#This Row],[Key(ID-Actif)]],'DATA BTO'!A:N,11,FALSE)</f>
        <v>#N/A</v>
      </c>
      <c r="AI231" s="79" t="e">
        <f ca="1">VLOOKUP(Tableau1[[#This Row],[Key(ID-Actif)]],'DATA BTO'!A:N,12,FALSE)</f>
        <v>#N/A</v>
      </c>
      <c r="AJ231" s="104" t="e">
        <f ca="1">VLOOKUP(Tableau1[[#This Row],[Key(ID-Actif)]],'DATA BTO'!A:N,14,FALSE)</f>
        <v>#N/A</v>
      </c>
      <c r="AK231" s="105" t="e">
        <f ca="1">VLOOKUP(Tableau1[[#This Row],[Key(POD -PFI- Usine)]],'DATA Consignee'!A:F,6,FALSE)</f>
        <v>#N/A</v>
      </c>
      <c r="AL231" s="136"/>
      <c r="AM231" s="486" t="str">
        <f>IF(Tableau1[[#This Row],[Name PFI/CDD]]="","-",VLOOKUP(Tableau1[[#This Row],[Name PFI/CDD]],Plant_AILN!I:J,2,FALSE))</f>
        <v>-</v>
      </c>
      <c r="AN23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1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1" s="108" t="e">
        <f ca="1">VLOOKUP(Tableau1[[#This Row],[Key(POD -PFI- Usine)]],'DATA Consignee'!A:J,10,FALSE)</f>
        <v>#N/A</v>
      </c>
      <c r="AQ231" s="79" t="e">
        <f ca="1">VLOOKUP(Tableau1[[#This Row],[Key(POD -PFI- Usine)]],'DATA Consignee'!A:N,14,FALSE)</f>
        <v>#N/A</v>
      </c>
      <c r="AR23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1" s="79" t="e">
        <f ca="1">Tableau1[[#This Row],[Transit time]]+Tableau1[[#This Row],[Time for security]]+Tableau1[[#This Row],[Time for security2 buffer]]</f>
        <v>#N/A</v>
      </c>
      <c r="AU23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1" s="79" t="e">
        <f ca="1">Tableau1[[#This Row],[Leadtime SI2C]]+Tableau1[[#This Row],[First Receipt Days]]-Tableau1[[#This Row],[Day Customer Order]]+1</f>
        <v>#N/A</v>
      </c>
      <c r="AW231" s="118" t="e">
        <f ca="1">IF(Tableau1[[#This Row],[Name ILN]]&lt;&gt;"SFK Freight Forwarder",Tableau1[[#This Row],[Cust. Leadtime]],Tableau1[[#This Row],[Leadtime SI2C]])</f>
        <v>#N/A</v>
      </c>
      <c r="AX231" s="51" t="e">
        <f>VLOOKUP(Tableau1[[#This Row],[ID]],'DATA BTO'!B:P,15,FALSE)</f>
        <v>#N/A</v>
      </c>
      <c r="AY231" s="328" t="e">
        <f ca="1">IFERROR(VLOOKUP(Tableau1[[#This Row],[Key(ID-Actif)]],'DATA BTO'!A:N,4,FALSE),VLOOKUP(Tableau1[[#This Row],[ID]],'DATA BTO'!B:N,3,FALSE))</f>
        <v>#N/A</v>
      </c>
      <c r="AZ23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1" s="50"/>
    </row>
    <row r="232" spans="2:57">
      <c r="B232" s="65" t="str">
        <f>_xlfn.CONCAT(Tableau1[[#This Row],[Name ILN]],"-",Tableau1[[#This Row],[Name Shipper]],"-",Tableau1[[#This Row],[Name Site]])</f>
        <v>--</v>
      </c>
      <c r="C232" s="65" t="e">
        <f>_xlfn.CONCAT(Tableau1[[#This Row],[Compte ILN]],"-",Tableau1[[#This Row],[Compte Shipper]],"-",Tableau1[[#This Row],[POL]],"-",Tableau1[[#This Row],[Compte Consignee]])</f>
        <v>#N/A</v>
      </c>
      <c r="D232" s="80" t="e">
        <f>_xlfn.CONCAT(Tableau1[[#This Row],[Compte ILN]],"-",Tableau1[[#This Row],[Compte Shipper]],"-",Tableau1[[#This Row],[POL]])</f>
        <v>#N/A</v>
      </c>
      <c r="E232" s="81" t="e">
        <f ca="1">_xlfn.CONCAT(Tableau1[[#This Row],[POL]],"-",Tableau1[[#This Row],[Carrier]],"-",Tableau1[[#This Row],[POD]])</f>
        <v>#N/A</v>
      </c>
      <c r="F232" s="80" t="str">
        <f>_xlfn.CONCAT(Tableau1[[#This Row],[ID]],"-","Actif")</f>
        <v>-Actif</v>
      </c>
      <c r="G232" s="80" t="e">
        <f ca="1">_xlfn.CONCAT(Tableau1[[#This Row],[POD]],"-",Tableau1[[#This Row],[Code PFI]],"-",Tableau1[[#This Row],[Compte Consignee]])</f>
        <v>#N/A</v>
      </c>
      <c r="H23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2" s="118" t="str">
        <f ca="1">IF(COUNTIF(I:I,Tableau1[[#This Row],[Plant-ILN-shipper-POL-Carrier-POD-PFI]])=1,"Non","Oui")</f>
        <v>Oui</v>
      </c>
      <c r="K232" s="449" t="e">
        <f>VLOOKUP(Tableau1[[#This Row],[Name Site]],Plant_AILN!A:D,4,FALSE)</f>
        <v>#N/A</v>
      </c>
      <c r="L232" s="10"/>
      <c r="M232" s="480" t="e">
        <f>VLOOKUP(Tableau1[[#This Row],[Name Site]],Plant_AILN!A:C,3,FALSE)</f>
        <v>#N/A</v>
      </c>
      <c r="N232" s="102" t="e">
        <f>VLOOKUP(Tableau1[[#This Row],[Compte Consignee]],Order!C:D,2,FALSE)</f>
        <v>#N/A</v>
      </c>
      <c r="O232" s="122"/>
      <c r="P232" s="484" t="e">
        <f>VLOOKUP(Tableau1[[#This Row],[Name ILN]],Plant_AILN!F:G,2,FALSE)</f>
        <v>#N/A</v>
      </c>
      <c r="Q232" s="79" t="e">
        <f>VLOOKUP(Tableau1[[#This Row],[Compte ILN]],'DATA ILN'!D:I,6,FALSE)</f>
        <v>#N/A</v>
      </c>
      <c r="R232" s="79" t="e">
        <f>IFERROR(VLOOKUP(Tableau1[[#This Row],[Key(Compte ILN - shipper - POL - plant)]],'DATA ILN'!A:J,10,FALSE),VLOOKUP(Tableau1[[#This Row],[Key(Compte ILN - shipper - POL)]],'DATA ILN'!B:J,9,FALSE))</f>
        <v>#N/A</v>
      </c>
      <c r="S232" s="79" t="e">
        <f>IFERROR(VLOOKUP(Tableau1[[#This Row],[Key(Compte ILN - shipper - POL - plant)]],'DATA ILN'!A:K,11,FALSE),VLOOKUP(Tableau1[[#This Row],[Key(Compte ILN - shipper - POL)]],'DATA ILN'!B:K,10,FALSE))</f>
        <v>#N/A</v>
      </c>
      <c r="T232" s="79" t="e">
        <f>IFERROR(VLOOKUP(Tableau1[[#This Row],[Key(Compte ILN - shipper - POL - plant)]],'DATA ILN'!A:L,12,FALSE),VLOOKUP(Tableau1[[#This Row],[Key(Compte ILN - shipper - POL)]],'DATA ILN'!B:L,11,FALSE))</f>
        <v>#N/A</v>
      </c>
      <c r="U232" s="79" t="e">
        <f>Tableau1[[#This Row],[Day ILN Order]]+Tableau1[[#This Row],[Delivery time to ILN/Shipper]]-1</f>
        <v>#N/A</v>
      </c>
      <c r="V232" s="79" t="e">
        <f>IFERROR(VLOOKUP(Tableau1[[#This Row],[Key(Compte ILN - shipper - POL - plant)]],'DATA ILN'!A:N,14,FALSE),VLOOKUP(Tableau1[[#This Row],[Key(Compte ILN - shipper - POL)]],'DATA ILN'!B:N,13,FALSE))</f>
        <v>#N/A</v>
      </c>
      <c r="W232" s="104" t="e">
        <f>IFERROR(VLOOKUP(Tableau1[[#This Row],[Key(Compte ILN - shipper - POL - plant)]],'DATA ILN'!A:P,16,FALSE),VLOOKUP(Tableau1[[#This Row],[Key(Compte ILN - shipper - POL)]],'DATA ILN'!B:P,15,FALSE))</f>
        <v>#N/A</v>
      </c>
      <c r="X232" s="283"/>
      <c r="Y232" s="487">
        <f>IFERROR(VLOOKUP(Tableau1[[#This Row],[Name Shipper]],Plant_AILN!L:M,2,FALSE),0)</f>
        <v>0</v>
      </c>
      <c r="Z232" s="358"/>
      <c r="AA232" s="354" t="e">
        <f ca="1">VLOOKUP(Tableau1[[#This Row],[Key(ID-Actif)]],'DATA BTO'!A:N,5,FALSE)</f>
        <v>#N/A</v>
      </c>
      <c r="AB232" s="106" t="e">
        <f ca="1">VLOOKUP(Tableau1[[#This Row],[Key(ID-Actif)]],'DATA BTO'!A:N,6,FALSE)</f>
        <v>#N/A</v>
      </c>
      <c r="AC232" s="79" t="e">
        <f ca="1">VLOOKUP(Tableau1[[#This Row],[Key(ID-Actif)]],'DATA BTO'!A:N,7,FALSE)</f>
        <v>#N/A</v>
      </c>
      <c r="AD232" s="79" t="e">
        <f ca="1">VLOOKUP(Tableau1[[#This Row],[Key(ID-Actif)]],'DATA BTO'!A:N,8,FALSE)</f>
        <v>#N/A</v>
      </c>
      <c r="AE232" s="79" t="e">
        <f ca="1">IF(Tableau1[[#This Row],[First Day to POL]]&lt;=Tableau1[[#This Row],[Day Cut Off]],Tableau1[[#This Row],[Day ETD]],Tableau1[[#This Row],[Day ETD]]+7)</f>
        <v>#N/A</v>
      </c>
      <c r="AF232" s="79" t="e">
        <f ca="1">VLOOKUP(Tableau1[[#This Row],[Key(ID-Actif)]],'DATA BTO'!A:N,9,FALSE)</f>
        <v>#N/A</v>
      </c>
      <c r="AG232" s="106" t="e">
        <f ca="1">VLOOKUP(Tableau1[[#This Row],[Key(ID-Actif)]],'DATA BTO'!A:N,10,FALSE)</f>
        <v>#N/A</v>
      </c>
      <c r="AH232" s="106" t="e">
        <f ca="1">VLOOKUP(Tableau1[[#This Row],[Key(ID-Actif)]],'DATA BTO'!A:N,11,FALSE)</f>
        <v>#N/A</v>
      </c>
      <c r="AI232" s="79" t="e">
        <f ca="1">VLOOKUP(Tableau1[[#This Row],[Key(ID-Actif)]],'DATA BTO'!A:N,12,FALSE)</f>
        <v>#N/A</v>
      </c>
      <c r="AJ232" s="104" t="e">
        <f ca="1">VLOOKUP(Tableau1[[#This Row],[Key(ID-Actif)]],'DATA BTO'!A:N,14,FALSE)</f>
        <v>#N/A</v>
      </c>
      <c r="AK232" s="105" t="e">
        <f ca="1">VLOOKUP(Tableau1[[#This Row],[Key(POD -PFI- Usine)]],'DATA Consignee'!A:F,6,FALSE)</f>
        <v>#N/A</v>
      </c>
      <c r="AL232" s="136"/>
      <c r="AM232" s="486" t="str">
        <f>IF(Tableau1[[#This Row],[Name PFI/CDD]]="","-",VLOOKUP(Tableau1[[#This Row],[Name PFI/CDD]],Plant_AILN!I:J,2,FALSE))</f>
        <v>-</v>
      </c>
      <c r="AN23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2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2" s="108" t="e">
        <f ca="1">VLOOKUP(Tableau1[[#This Row],[Key(POD -PFI- Usine)]],'DATA Consignee'!A:J,10,FALSE)</f>
        <v>#N/A</v>
      </c>
      <c r="AQ232" s="79" t="e">
        <f ca="1">VLOOKUP(Tableau1[[#This Row],[Key(POD -PFI- Usine)]],'DATA Consignee'!A:N,14,FALSE)</f>
        <v>#N/A</v>
      </c>
      <c r="AR23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2" s="79" t="e">
        <f ca="1">Tableau1[[#This Row],[Transit time]]+Tableau1[[#This Row],[Time for security]]+Tableau1[[#This Row],[Time for security2 buffer]]</f>
        <v>#N/A</v>
      </c>
      <c r="AU23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2" s="79" t="e">
        <f ca="1">Tableau1[[#This Row],[Leadtime SI2C]]+Tableau1[[#This Row],[First Receipt Days]]-Tableau1[[#This Row],[Day Customer Order]]+1</f>
        <v>#N/A</v>
      </c>
      <c r="AW232" s="118" t="e">
        <f ca="1">IF(Tableau1[[#This Row],[Name ILN]]&lt;&gt;"SFK Freight Forwarder",Tableau1[[#This Row],[Cust. Leadtime]],Tableau1[[#This Row],[Leadtime SI2C]])</f>
        <v>#N/A</v>
      </c>
      <c r="AX232" s="51" t="e">
        <f>VLOOKUP(Tableau1[[#This Row],[ID]],'DATA BTO'!B:P,15,FALSE)</f>
        <v>#N/A</v>
      </c>
      <c r="AY232" s="328" t="e">
        <f ca="1">IFERROR(VLOOKUP(Tableau1[[#This Row],[Key(ID-Actif)]],'DATA BTO'!A:N,4,FALSE),VLOOKUP(Tableau1[[#This Row],[ID]],'DATA BTO'!B:N,3,FALSE))</f>
        <v>#N/A</v>
      </c>
      <c r="AZ23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2" s="50"/>
    </row>
    <row r="233" spans="2:57">
      <c r="B233" s="65" t="str">
        <f>_xlfn.CONCAT(Tableau1[[#This Row],[Name ILN]],"-",Tableau1[[#This Row],[Name Shipper]],"-",Tableau1[[#This Row],[Name Site]])</f>
        <v>--</v>
      </c>
      <c r="C233" s="65" t="e">
        <f>_xlfn.CONCAT(Tableau1[[#This Row],[Compte ILN]],"-",Tableau1[[#This Row],[Compte Shipper]],"-",Tableau1[[#This Row],[POL]],"-",Tableau1[[#This Row],[Compte Consignee]])</f>
        <v>#N/A</v>
      </c>
      <c r="D233" s="80" t="e">
        <f>_xlfn.CONCAT(Tableau1[[#This Row],[Compte ILN]],"-",Tableau1[[#This Row],[Compte Shipper]],"-",Tableau1[[#This Row],[POL]])</f>
        <v>#N/A</v>
      </c>
      <c r="E233" s="81" t="e">
        <f ca="1">_xlfn.CONCAT(Tableau1[[#This Row],[POL]],"-",Tableau1[[#This Row],[Carrier]],"-",Tableau1[[#This Row],[POD]])</f>
        <v>#N/A</v>
      </c>
      <c r="F233" s="80" t="str">
        <f>_xlfn.CONCAT(Tableau1[[#This Row],[ID]],"-","Actif")</f>
        <v>-Actif</v>
      </c>
      <c r="G233" s="80" t="e">
        <f ca="1">_xlfn.CONCAT(Tableau1[[#This Row],[POD]],"-",Tableau1[[#This Row],[Code PFI]],"-",Tableau1[[#This Row],[Compte Consignee]])</f>
        <v>#N/A</v>
      </c>
      <c r="H23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3" s="118" t="str">
        <f ca="1">IF(COUNTIF(I:I,Tableau1[[#This Row],[Plant-ILN-shipper-POL-Carrier-POD-PFI]])=1,"Non","Oui")</f>
        <v>Oui</v>
      </c>
      <c r="K233" s="449" t="e">
        <f>VLOOKUP(Tableau1[[#This Row],[Name Site]],Plant_AILN!A:D,4,FALSE)</f>
        <v>#N/A</v>
      </c>
      <c r="L233" s="10"/>
      <c r="M233" s="480" t="e">
        <f>VLOOKUP(Tableau1[[#This Row],[Name Site]],Plant_AILN!A:C,3,FALSE)</f>
        <v>#N/A</v>
      </c>
      <c r="N233" s="102" t="e">
        <f>VLOOKUP(Tableau1[[#This Row],[Compte Consignee]],Order!C:D,2,FALSE)</f>
        <v>#N/A</v>
      </c>
      <c r="O233" s="114"/>
      <c r="P233" s="484" t="e">
        <f>VLOOKUP(Tableau1[[#This Row],[Name ILN]],Plant_AILN!F:G,2,FALSE)</f>
        <v>#N/A</v>
      </c>
      <c r="Q233" s="79" t="e">
        <f>VLOOKUP(Tableau1[[#This Row],[Compte ILN]],'DATA ILN'!D:I,6,FALSE)</f>
        <v>#N/A</v>
      </c>
      <c r="R233" s="79" t="e">
        <f>IFERROR(VLOOKUP(Tableau1[[#This Row],[Key(Compte ILN - shipper - POL - plant)]],'DATA ILN'!A:J,10,FALSE),VLOOKUP(Tableau1[[#This Row],[Key(Compte ILN - shipper - POL)]],'DATA ILN'!B:J,9,FALSE))</f>
        <v>#N/A</v>
      </c>
      <c r="S233" s="79" t="e">
        <f>IFERROR(VLOOKUP(Tableau1[[#This Row],[Key(Compte ILN - shipper - POL - plant)]],'DATA ILN'!A:K,11,FALSE),VLOOKUP(Tableau1[[#This Row],[Key(Compte ILN - shipper - POL)]],'DATA ILN'!B:K,10,FALSE))</f>
        <v>#N/A</v>
      </c>
      <c r="T233" s="79" t="e">
        <f>IFERROR(VLOOKUP(Tableau1[[#This Row],[Key(Compte ILN - shipper - POL - plant)]],'DATA ILN'!A:L,12,FALSE),VLOOKUP(Tableau1[[#This Row],[Key(Compte ILN - shipper - POL)]],'DATA ILN'!B:L,11,FALSE))</f>
        <v>#N/A</v>
      </c>
      <c r="U233" s="79" t="e">
        <f>Tableau1[[#This Row],[Day ILN Order]]+Tableau1[[#This Row],[Delivery time to ILN/Shipper]]-1</f>
        <v>#N/A</v>
      </c>
      <c r="V233" s="79" t="e">
        <f>IFERROR(VLOOKUP(Tableau1[[#This Row],[Key(Compte ILN - shipper - POL - plant)]],'DATA ILN'!A:N,14,FALSE),VLOOKUP(Tableau1[[#This Row],[Key(Compte ILN - shipper - POL)]],'DATA ILN'!B:N,13,FALSE))</f>
        <v>#N/A</v>
      </c>
      <c r="W233" s="104" t="e">
        <f>IFERROR(VLOOKUP(Tableau1[[#This Row],[Key(Compte ILN - shipper - POL - plant)]],'DATA ILN'!A:P,16,FALSE),VLOOKUP(Tableau1[[#This Row],[Key(Compte ILN - shipper - POL)]],'DATA ILN'!B:P,15,FALSE))</f>
        <v>#N/A</v>
      </c>
      <c r="X233" s="283"/>
      <c r="Y233" s="487">
        <f>IFERROR(VLOOKUP(Tableau1[[#This Row],[Name Shipper]],Plant_AILN!L:M,2,FALSE),0)</f>
        <v>0</v>
      </c>
      <c r="Z233" s="358"/>
      <c r="AA233" s="354" t="e">
        <f ca="1">VLOOKUP(Tableau1[[#This Row],[Key(ID-Actif)]],'DATA BTO'!A:N,5,FALSE)</f>
        <v>#N/A</v>
      </c>
      <c r="AB233" s="106" t="e">
        <f ca="1">VLOOKUP(Tableau1[[#This Row],[Key(ID-Actif)]],'DATA BTO'!A:N,6,FALSE)</f>
        <v>#N/A</v>
      </c>
      <c r="AC233" s="79" t="e">
        <f ca="1">VLOOKUP(Tableau1[[#This Row],[Key(ID-Actif)]],'DATA BTO'!A:N,7,FALSE)</f>
        <v>#N/A</v>
      </c>
      <c r="AD233" s="79" t="e">
        <f ca="1">VLOOKUP(Tableau1[[#This Row],[Key(ID-Actif)]],'DATA BTO'!A:N,8,FALSE)</f>
        <v>#N/A</v>
      </c>
      <c r="AE233" s="79" t="e">
        <f ca="1">IF(Tableau1[[#This Row],[First Day to POL]]&lt;=Tableau1[[#This Row],[Day Cut Off]],Tableau1[[#This Row],[Day ETD]],Tableau1[[#This Row],[Day ETD]]+7)</f>
        <v>#N/A</v>
      </c>
      <c r="AF233" s="79" t="e">
        <f ca="1">VLOOKUP(Tableau1[[#This Row],[Key(ID-Actif)]],'DATA BTO'!A:N,9,FALSE)</f>
        <v>#N/A</v>
      </c>
      <c r="AG233" s="106" t="e">
        <f ca="1">VLOOKUP(Tableau1[[#This Row],[Key(ID-Actif)]],'DATA BTO'!A:N,10,FALSE)</f>
        <v>#N/A</v>
      </c>
      <c r="AH233" s="106" t="e">
        <f ca="1">VLOOKUP(Tableau1[[#This Row],[Key(ID-Actif)]],'DATA BTO'!A:N,11,FALSE)</f>
        <v>#N/A</v>
      </c>
      <c r="AI233" s="79" t="e">
        <f ca="1">VLOOKUP(Tableau1[[#This Row],[Key(ID-Actif)]],'DATA BTO'!A:N,12,FALSE)</f>
        <v>#N/A</v>
      </c>
      <c r="AJ233" s="104" t="e">
        <f ca="1">VLOOKUP(Tableau1[[#This Row],[Key(ID-Actif)]],'DATA BTO'!A:N,14,FALSE)</f>
        <v>#N/A</v>
      </c>
      <c r="AK233" s="105" t="e">
        <f ca="1">VLOOKUP(Tableau1[[#This Row],[Key(POD -PFI- Usine)]],'DATA Consignee'!A:F,6,FALSE)</f>
        <v>#N/A</v>
      </c>
      <c r="AL233" s="136"/>
      <c r="AM233" s="486" t="str">
        <f>IF(Tableau1[[#This Row],[Name PFI/CDD]]="","-",VLOOKUP(Tableau1[[#This Row],[Name PFI/CDD]],Plant_AILN!I:J,2,FALSE))</f>
        <v>-</v>
      </c>
      <c r="AN23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3" s="108" t="e">
        <f ca="1">VLOOKUP(Tableau1[[#This Row],[Key(POD -PFI- Usine)]],'DATA Consignee'!A:J,10,FALSE)</f>
        <v>#N/A</v>
      </c>
      <c r="AQ233" s="79" t="e">
        <f ca="1">VLOOKUP(Tableau1[[#This Row],[Key(POD -PFI- Usine)]],'DATA Consignee'!A:N,14,FALSE)</f>
        <v>#N/A</v>
      </c>
      <c r="AR23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3" s="79" t="e">
        <f ca="1">Tableau1[[#This Row],[Transit time]]+Tableau1[[#This Row],[Time for security]]+Tableau1[[#This Row],[Time for security2 buffer]]</f>
        <v>#N/A</v>
      </c>
      <c r="AU23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3" s="79" t="e">
        <f ca="1">Tableau1[[#This Row],[Leadtime SI2C]]+Tableau1[[#This Row],[First Receipt Days]]-Tableau1[[#This Row],[Day Customer Order]]+1</f>
        <v>#N/A</v>
      </c>
      <c r="AW233" s="118" t="e">
        <f ca="1">IF(Tableau1[[#This Row],[Name ILN]]&lt;&gt;"SFK Freight Forwarder",Tableau1[[#This Row],[Cust. Leadtime]],Tableau1[[#This Row],[Leadtime SI2C]])</f>
        <v>#N/A</v>
      </c>
      <c r="AX233" s="51" t="e">
        <f>VLOOKUP(Tableau1[[#This Row],[ID]],'DATA BTO'!B:P,15,FALSE)</f>
        <v>#N/A</v>
      </c>
      <c r="AY233" s="328" t="e">
        <f ca="1">IFERROR(VLOOKUP(Tableau1[[#This Row],[Key(ID-Actif)]],'DATA BTO'!A:N,4,FALSE),VLOOKUP(Tableau1[[#This Row],[ID]],'DATA BTO'!B:N,3,FALSE))</f>
        <v>#N/A</v>
      </c>
      <c r="AZ23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3" s="50"/>
    </row>
    <row r="234" spans="2:57">
      <c r="B234" s="65" t="str">
        <f>_xlfn.CONCAT(Tableau1[[#This Row],[Name ILN]],"-",Tableau1[[#This Row],[Name Shipper]],"-",Tableau1[[#This Row],[Name Site]])</f>
        <v>--</v>
      </c>
      <c r="C234" s="65" t="e">
        <f>_xlfn.CONCAT(Tableau1[[#This Row],[Compte ILN]],"-",Tableau1[[#This Row],[Compte Shipper]],"-",Tableau1[[#This Row],[POL]],"-",Tableau1[[#This Row],[Compte Consignee]])</f>
        <v>#N/A</v>
      </c>
      <c r="D234" s="80" t="e">
        <f>_xlfn.CONCAT(Tableau1[[#This Row],[Compte ILN]],"-",Tableau1[[#This Row],[Compte Shipper]],"-",Tableau1[[#This Row],[POL]])</f>
        <v>#N/A</v>
      </c>
      <c r="E234" s="81" t="e">
        <f ca="1">_xlfn.CONCAT(Tableau1[[#This Row],[POL]],"-",Tableau1[[#This Row],[Carrier]],"-",Tableau1[[#This Row],[POD]])</f>
        <v>#N/A</v>
      </c>
      <c r="F234" s="80" t="str">
        <f>_xlfn.CONCAT(Tableau1[[#This Row],[ID]],"-","Actif")</f>
        <v>-Actif</v>
      </c>
      <c r="G234" s="80" t="e">
        <f ca="1">_xlfn.CONCAT(Tableau1[[#This Row],[POD]],"-",Tableau1[[#This Row],[Code PFI]],"-",Tableau1[[#This Row],[Compte Consignee]])</f>
        <v>#N/A</v>
      </c>
      <c r="H23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4" s="118" t="str">
        <f ca="1">IF(COUNTIF(I:I,Tableau1[[#This Row],[Plant-ILN-shipper-POL-Carrier-POD-PFI]])=1,"Non","Oui")</f>
        <v>Oui</v>
      </c>
      <c r="K234" s="449" t="e">
        <f>VLOOKUP(Tableau1[[#This Row],[Name Site]],Plant_AILN!A:D,4,FALSE)</f>
        <v>#N/A</v>
      </c>
      <c r="L234" s="10"/>
      <c r="M234" s="480" t="e">
        <f>VLOOKUP(Tableau1[[#This Row],[Name Site]],Plant_AILN!A:C,3,FALSE)</f>
        <v>#N/A</v>
      </c>
      <c r="N234" s="102" t="e">
        <f>VLOOKUP(Tableau1[[#This Row],[Compte Consignee]],Order!C:D,2,FALSE)</f>
        <v>#N/A</v>
      </c>
      <c r="O234" s="124"/>
      <c r="P234" s="484" t="e">
        <f>VLOOKUP(Tableau1[[#This Row],[Name ILN]],Plant_AILN!F:G,2,FALSE)</f>
        <v>#N/A</v>
      </c>
      <c r="Q234" s="79" t="e">
        <f>VLOOKUP(Tableau1[[#This Row],[Compte ILN]],'DATA ILN'!D:I,6,FALSE)</f>
        <v>#N/A</v>
      </c>
      <c r="R234" s="79" t="e">
        <f>IFERROR(VLOOKUP(Tableau1[[#This Row],[Key(Compte ILN - shipper - POL - plant)]],'DATA ILN'!A:J,10,FALSE),VLOOKUP(Tableau1[[#This Row],[Key(Compte ILN - shipper - POL)]],'DATA ILN'!B:J,9,FALSE))</f>
        <v>#N/A</v>
      </c>
      <c r="S234" s="79" t="e">
        <f>IFERROR(VLOOKUP(Tableau1[[#This Row],[Key(Compte ILN - shipper - POL - plant)]],'DATA ILN'!A:K,11,FALSE),VLOOKUP(Tableau1[[#This Row],[Key(Compte ILN - shipper - POL)]],'DATA ILN'!B:K,10,FALSE))</f>
        <v>#N/A</v>
      </c>
      <c r="T234" s="79" t="e">
        <f>IFERROR(VLOOKUP(Tableau1[[#This Row],[Key(Compte ILN - shipper - POL - plant)]],'DATA ILN'!A:L,12,FALSE),VLOOKUP(Tableau1[[#This Row],[Key(Compte ILN - shipper - POL)]],'DATA ILN'!B:L,11,FALSE))</f>
        <v>#N/A</v>
      </c>
      <c r="U234" s="79" t="e">
        <f>Tableau1[[#This Row],[Day ILN Order]]+Tableau1[[#This Row],[Delivery time to ILN/Shipper]]-1</f>
        <v>#N/A</v>
      </c>
      <c r="V234" s="79" t="e">
        <f>IFERROR(VLOOKUP(Tableau1[[#This Row],[Key(Compte ILN - shipper - POL - plant)]],'DATA ILN'!A:N,14,FALSE),VLOOKUP(Tableau1[[#This Row],[Key(Compte ILN - shipper - POL)]],'DATA ILN'!B:N,13,FALSE))</f>
        <v>#N/A</v>
      </c>
      <c r="W234" s="104" t="e">
        <f>IFERROR(VLOOKUP(Tableau1[[#This Row],[Key(Compte ILN - shipper - POL - plant)]],'DATA ILN'!A:P,16,FALSE),VLOOKUP(Tableau1[[#This Row],[Key(Compte ILN - shipper - POL)]],'DATA ILN'!B:P,15,FALSE))</f>
        <v>#N/A</v>
      </c>
      <c r="X234" s="283"/>
      <c r="Y234" s="487">
        <f>IFERROR(VLOOKUP(Tableau1[[#This Row],[Name Shipper]],Plant_AILN!L:M,2,FALSE),0)</f>
        <v>0</v>
      </c>
      <c r="Z234" s="358"/>
      <c r="AA234" s="354" t="e">
        <f ca="1">VLOOKUP(Tableau1[[#This Row],[Key(ID-Actif)]],'DATA BTO'!A:N,5,FALSE)</f>
        <v>#N/A</v>
      </c>
      <c r="AB234" s="106" t="e">
        <f ca="1">VLOOKUP(Tableau1[[#This Row],[Key(ID-Actif)]],'DATA BTO'!A:N,6,FALSE)</f>
        <v>#N/A</v>
      </c>
      <c r="AC234" s="79" t="e">
        <f ca="1">VLOOKUP(Tableau1[[#This Row],[Key(ID-Actif)]],'DATA BTO'!A:N,7,FALSE)</f>
        <v>#N/A</v>
      </c>
      <c r="AD234" s="79" t="e">
        <f ca="1">VLOOKUP(Tableau1[[#This Row],[Key(ID-Actif)]],'DATA BTO'!A:N,8,FALSE)</f>
        <v>#N/A</v>
      </c>
      <c r="AE234" s="79" t="e">
        <f ca="1">IF(Tableau1[[#This Row],[First Day to POL]]&lt;=Tableau1[[#This Row],[Day Cut Off]],Tableau1[[#This Row],[Day ETD]],Tableau1[[#This Row],[Day ETD]]+7)</f>
        <v>#N/A</v>
      </c>
      <c r="AF234" s="79" t="e">
        <f ca="1">VLOOKUP(Tableau1[[#This Row],[Key(ID-Actif)]],'DATA BTO'!A:N,9,FALSE)</f>
        <v>#N/A</v>
      </c>
      <c r="AG234" s="106" t="e">
        <f ca="1">VLOOKUP(Tableau1[[#This Row],[Key(ID-Actif)]],'DATA BTO'!A:N,10,FALSE)</f>
        <v>#N/A</v>
      </c>
      <c r="AH234" s="106" t="e">
        <f ca="1">VLOOKUP(Tableau1[[#This Row],[Key(ID-Actif)]],'DATA BTO'!A:N,11,FALSE)</f>
        <v>#N/A</v>
      </c>
      <c r="AI234" s="79" t="e">
        <f ca="1">VLOOKUP(Tableau1[[#This Row],[Key(ID-Actif)]],'DATA BTO'!A:N,12,FALSE)</f>
        <v>#N/A</v>
      </c>
      <c r="AJ234" s="104" t="e">
        <f ca="1">VLOOKUP(Tableau1[[#This Row],[Key(ID-Actif)]],'DATA BTO'!A:N,14,FALSE)</f>
        <v>#N/A</v>
      </c>
      <c r="AK234" s="105" t="e">
        <f ca="1">VLOOKUP(Tableau1[[#This Row],[Key(POD -PFI- Usine)]],'DATA Consignee'!A:F,6,FALSE)</f>
        <v>#N/A</v>
      </c>
      <c r="AL234" s="136"/>
      <c r="AM234" s="486" t="str">
        <f>IF(Tableau1[[#This Row],[Name PFI/CDD]]="","-",VLOOKUP(Tableau1[[#This Row],[Name PFI/CDD]],Plant_AILN!I:J,2,FALSE))</f>
        <v>-</v>
      </c>
      <c r="AN23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4" s="108" t="e">
        <f ca="1">VLOOKUP(Tableau1[[#This Row],[Key(POD -PFI- Usine)]],'DATA Consignee'!A:J,10,FALSE)</f>
        <v>#N/A</v>
      </c>
      <c r="AQ234" s="79" t="e">
        <f ca="1">VLOOKUP(Tableau1[[#This Row],[Key(POD -PFI- Usine)]],'DATA Consignee'!A:N,14,FALSE)</f>
        <v>#N/A</v>
      </c>
      <c r="AR23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4" s="79" t="e">
        <f ca="1">Tableau1[[#This Row],[Transit time]]+Tableau1[[#This Row],[Time for security]]+Tableau1[[#This Row],[Time for security2 buffer]]</f>
        <v>#N/A</v>
      </c>
      <c r="AU23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4" s="79" t="e">
        <f ca="1">Tableau1[[#This Row],[Leadtime SI2C]]+Tableau1[[#This Row],[First Receipt Days]]-Tableau1[[#This Row],[Day Customer Order]]+1</f>
        <v>#N/A</v>
      </c>
      <c r="AW234" s="118" t="e">
        <f ca="1">IF(Tableau1[[#This Row],[Name ILN]]&lt;&gt;"SFK Freight Forwarder",Tableau1[[#This Row],[Cust. Leadtime]],Tableau1[[#This Row],[Leadtime SI2C]])</f>
        <v>#N/A</v>
      </c>
      <c r="AX234" s="51" t="e">
        <f>VLOOKUP(Tableau1[[#This Row],[ID]],'DATA BTO'!B:P,15,FALSE)</f>
        <v>#N/A</v>
      </c>
      <c r="AY234" s="328" t="e">
        <f ca="1">IFERROR(VLOOKUP(Tableau1[[#This Row],[Key(ID-Actif)]],'DATA BTO'!A:N,4,FALSE),VLOOKUP(Tableau1[[#This Row],[ID]],'DATA BTO'!B:N,3,FALSE))</f>
        <v>#N/A</v>
      </c>
      <c r="AZ23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4" s="50"/>
    </row>
    <row r="235" spans="2:57">
      <c r="B235" s="447" t="str">
        <f>_xlfn.CONCAT(Tableau1[[#This Row],[Name ILN]],"-",Tableau1[[#This Row],[Name Shipper]],"-",Tableau1[[#This Row],[Name Site]])</f>
        <v>--</v>
      </c>
      <c r="C235" s="65" t="e">
        <f>_xlfn.CONCAT(Tableau1[[#This Row],[Compte ILN]],"-",Tableau1[[#This Row],[Compte Shipper]],"-",Tableau1[[#This Row],[POL]],"-",Tableau1[[#This Row],[Compte Consignee]])</f>
        <v>#N/A</v>
      </c>
      <c r="D235" s="80" t="e">
        <f>_xlfn.CONCAT(Tableau1[[#This Row],[Compte ILN]],"-",Tableau1[[#This Row],[Compte Shipper]],"-",Tableau1[[#This Row],[POL]])</f>
        <v>#N/A</v>
      </c>
      <c r="E235" s="81" t="e">
        <f ca="1">_xlfn.CONCAT(Tableau1[[#This Row],[POL]],"-",Tableau1[[#This Row],[Carrier]],"-",Tableau1[[#This Row],[POD]])</f>
        <v>#N/A</v>
      </c>
      <c r="F235" s="80" t="str">
        <f>_xlfn.CONCAT(Tableau1[[#This Row],[ID]],"-","Actif")</f>
        <v>-Actif</v>
      </c>
      <c r="G235" s="80" t="e">
        <f ca="1">_xlfn.CONCAT(Tableau1[[#This Row],[POD]],"-",Tableau1[[#This Row],[Code PFI]],"-",Tableau1[[#This Row],[Compte Consignee]])</f>
        <v>#N/A</v>
      </c>
      <c r="H23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5" s="118" t="str">
        <f ca="1">IF(COUNTIF(I:I,Tableau1[[#This Row],[Plant-ILN-shipper-POL-Carrier-POD-PFI]])=1,"Non","Oui")</f>
        <v>Oui</v>
      </c>
      <c r="K235" s="101" t="e">
        <f>VLOOKUP(Tableau1[[#This Row],[Name Site]],Plant_AILN!A:D,4,FALSE)</f>
        <v>#N/A</v>
      </c>
      <c r="L235" s="363"/>
      <c r="M235" s="480" t="e">
        <f>VLOOKUP(Tableau1[[#This Row],[Name Site]],Plant_AILN!A:C,3,FALSE)</f>
        <v>#N/A</v>
      </c>
      <c r="N235" s="102">
        <v>7</v>
      </c>
      <c r="O235" s="124"/>
      <c r="P235" s="484" t="e">
        <f>VLOOKUP(Tableau1[[#This Row],[Name ILN]],Plant_AILN!F:G,2,FALSE)</f>
        <v>#N/A</v>
      </c>
      <c r="Q235" s="79" t="e">
        <f>VLOOKUP(Tableau1[[#This Row],[Compte ILN]],'DATA ILN'!D:I,6,FALSE)</f>
        <v>#N/A</v>
      </c>
      <c r="R235" s="79" t="e">
        <f>IFERROR(VLOOKUP(Tableau1[[#This Row],[Key(Compte ILN - shipper - POL - plant)]],'DATA ILN'!A:J,10,FALSE),VLOOKUP(Tableau1[[#This Row],[Key(Compte ILN - shipper - POL)]],'DATA ILN'!B:J,9,FALSE))</f>
        <v>#N/A</v>
      </c>
      <c r="S235" s="79" t="e">
        <f>IFERROR(VLOOKUP(Tableau1[[#This Row],[Key(Compte ILN - shipper - POL - plant)]],'DATA ILN'!A:K,11,FALSE),VLOOKUP(Tableau1[[#This Row],[Key(Compte ILN - shipper - POL)]],'DATA ILN'!B:K,10,FALSE))</f>
        <v>#N/A</v>
      </c>
      <c r="T235" s="79" t="e">
        <f>IFERROR(VLOOKUP(Tableau1[[#This Row],[Key(Compte ILN - shipper - POL - plant)]],'DATA ILN'!A:L,12,FALSE),VLOOKUP(Tableau1[[#This Row],[Key(Compte ILN - shipper - POL)]],'DATA ILN'!B:L,11,FALSE))</f>
        <v>#N/A</v>
      </c>
      <c r="U235" s="79" t="e">
        <f>Tableau1[[#This Row],[Day ILN Order]]+Tableau1[[#This Row],[Delivery time to ILN/Shipper]]-1</f>
        <v>#N/A</v>
      </c>
      <c r="V235" s="79" t="e">
        <f>IFERROR(VLOOKUP(Tableau1[[#This Row],[Key(Compte ILN - shipper - POL - plant)]],'DATA ILN'!A:N,14,FALSE),VLOOKUP(Tableau1[[#This Row],[Key(Compte ILN - shipper - POL)]],'DATA ILN'!B:N,13,FALSE))</f>
        <v>#N/A</v>
      </c>
      <c r="W235" s="104" t="e">
        <f>IFERROR(VLOOKUP(Tableau1[[#This Row],[Key(Compte ILN - shipper - POL - plant)]],'DATA ILN'!A:P,16,FALSE),VLOOKUP(Tableau1[[#This Row],[Key(Compte ILN - shipper - POL)]],'DATA ILN'!B:P,15,FALSE))</f>
        <v>#N/A</v>
      </c>
      <c r="X235" s="283"/>
      <c r="Y235" s="487">
        <f>IFERROR(VLOOKUP(Tableau1[[#This Row],[Name Shipper]],Plant_AILN!L:M,2,FALSE),0)</f>
        <v>0</v>
      </c>
      <c r="Z235" s="358"/>
      <c r="AA235" s="354" t="e">
        <f ca="1">VLOOKUP(Tableau1[[#This Row],[Key(ID-Actif)]],'DATA BTO'!A:N,5,FALSE)</f>
        <v>#N/A</v>
      </c>
      <c r="AB235" s="106" t="e">
        <f ca="1">VLOOKUP(Tableau1[[#This Row],[Key(ID-Actif)]],'DATA BTO'!A:N,6,FALSE)</f>
        <v>#N/A</v>
      </c>
      <c r="AC235" s="79" t="e">
        <f ca="1">VLOOKUP(Tableau1[[#This Row],[Key(ID-Actif)]],'DATA BTO'!A:N,7,FALSE)</f>
        <v>#N/A</v>
      </c>
      <c r="AD235" s="79" t="e">
        <f ca="1">VLOOKUP(Tableau1[[#This Row],[Key(ID-Actif)]],'DATA BTO'!A:N,8,FALSE)</f>
        <v>#N/A</v>
      </c>
      <c r="AE235" s="79" t="e">
        <f ca="1">IF(Tableau1[[#This Row],[First Day to POL]]&lt;=Tableau1[[#This Row],[Day Cut Off]],Tableau1[[#This Row],[Day ETD]],Tableau1[[#This Row],[Day ETD]]+7)</f>
        <v>#N/A</v>
      </c>
      <c r="AF235" s="79" t="e">
        <f ca="1">VLOOKUP(Tableau1[[#This Row],[Key(ID-Actif)]],'DATA BTO'!A:N,9,FALSE)</f>
        <v>#N/A</v>
      </c>
      <c r="AG235" s="106" t="e">
        <f ca="1">VLOOKUP(Tableau1[[#This Row],[Key(ID-Actif)]],'DATA BTO'!A:N,10,FALSE)</f>
        <v>#N/A</v>
      </c>
      <c r="AH235" s="106" t="e">
        <f ca="1">VLOOKUP(Tableau1[[#This Row],[Key(ID-Actif)]],'DATA BTO'!A:N,11,FALSE)</f>
        <v>#N/A</v>
      </c>
      <c r="AI235" s="79" t="e">
        <f ca="1">VLOOKUP(Tableau1[[#This Row],[Key(ID-Actif)]],'DATA BTO'!A:N,12,FALSE)</f>
        <v>#N/A</v>
      </c>
      <c r="AJ235" s="104" t="e">
        <f ca="1">VLOOKUP(Tableau1[[#This Row],[Key(ID-Actif)]],'DATA BTO'!A:N,14,FALSE)</f>
        <v>#N/A</v>
      </c>
      <c r="AK235" s="105" t="e">
        <f ca="1">VLOOKUP(Tableau1[[#This Row],[Key(POD -PFI- Usine)]],'DATA Consignee'!A:F,6,FALSE)</f>
        <v>#N/A</v>
      </c>
      <c r="AL235" s="136"/>
      <c r="AM235" s="486" t="str">
        <f>IF(Tableau1[[#This Row],[Name PFI/CDD]]="","-",VLOOKUP(Tableau1[[#This Row],[Name PFI/CDD]],Plant_AILN!I:J,2,FALSE))</f>
        <v>-</v>
      </c>
      <c r="AN23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5" s="108" t="e">
        <f ca="1">VLOOKUP(Tableau1[[#This Row],[Key(POD -PFI- Usine)]],'DATA Consignee'!A:J,10,FALSE)</f>
        <v>#N/A</v>
      </c>
      <c r="AQ235" s="79" t="e">
        <f ca="1">VLOOKUP(Tableau1[[#This Row],[Key(POD -PFI- Usine)]],'DATA Consignee'!A:N,14,FALSE)</f>
        <v>#N/A</v>
      </c>
      <c r="AR23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5" s="79" t="e">
        <f ca="1">Tableau1[[#This Row],[Transit time]]+Tableau1[[#This Row],[Time for security]]+Tableau1[[#This Row],[Time for security2 buffer]]</f>
        <v>#N/A</v>
      </c>
      <c r="AU23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5" s="79" t="e">
        <f ca="1">Tableau1[[#This Row],[Leadtime SI2C]]+Tableau1[[#This Row],[First Receipt Days]]-Tableau1[[#This Row],[Day Customer Order]]+1</f>
        <v>#N/A</v>
      </c>
      <c r="AW235" s="118" t="e">
        <f ca="1">IF(Tableau1[[#This Row],[Name ILN]]&lt;&gt;"SFK Freight Forwarder",Tableau1[[#This Row],[Cust. Leadtime]],Tableau1[[#This Row],[Leadtime SI2C]])</f>
        <v>#N/A</v>
      </c>
      <c r="AX235" s="51" t="e">
        <f>VLOOKUP(Tableau1[[#This Row],[ID]],'DATA BTO'!B:P,15,FALSE)</f>
        <v>#N/A</v>
      </c>
      <c r="AY235" s="328" t="e">
        <f ca="1">IFERROR(VLOOKUP(Tableau1[[#This Row],[Key(ID-Actif)]],'DATA BTO'!A:N,4,FALSE),VLOOKUP(Tableau1[[#This Row],[ID]],'DATA BTO'!B:N,3,FALSE))</f>
        <v>#N/A</v>
      </c>
      <c r="AZ235" s="50" t="str">
        <f>IF(ISNUMBER(Tableau1[[#This Row],[Day Customer Order]]),"-","Please Check 'Name' information in 'Order' Sheet to make sure they have information")</f>
        <v>-</v>
      </c>
      <c r="BA23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5" s="50"/>
    </row>
    <row r="236" spans="2:57">
      <c r="B236" s="65" t="str">
        <f>_xlfn.CONCAT(Tableau1[[#This Row],[Name ILN]],"-",Tableau1[[#This Row],[Name Shipper]],"-",Tableau1[[#This Row],[Name Site]])</f>
        <v>--</v>
      </c>
      <c r="C236" s="65" t="e">
        <f>_xlfn.CONCAT(Tableau1[[#This Row],[Compte ILN]],"-",Tableau1[[#This Row],[Compte Shipper]],"-",Tableau1[[#This Row],[POL]],"-",Tableau1[[#This Row],[Compte Consignee]])</f>
        <v>#N/A</v>
      </c>
      <c r="D236" s="64" t="e">
        <f>_xlfn.CONCAT(Tableau1[[#This Row],[Compte ILN]],"-",Tableau1[[#This Row],[Compte Shipper]],"-",Tableau1[[#This Row],[POL]])</f>
        <v>#N/A</v>
      </c>
      <c r="E236" s="128" t="e">
        <f ca="1">_xlfn.CONCAT(Tableau1[[#This Row],[POL]],"-",Tableau1[[#This Row],[Carrier]],"-",Tableau1[[#This Row],[POD]])</f>
        <v>#N/A</v>
      </c>
      <c r="F236" s="64" t="str">
        <f>_xlfn.CONCAT(Tableau1[[#This Row],[ID]],"-","Actif")</f>
        <v>-Actif</v>
      </c>
      <c r="G236" s="64" t="e">
        <f ca="1">_xlfn.CONCAT(Tableau1[[#This Row],[POD]],"-",Tableau1[[#This Row],[Code PFI]],"-",Tableau1[[#This Row],[Compte Consignee]])</f>
        <v>#N/A</v>
      </c>
      <c r="H23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6" s="117" t="str">
        <f ca="1">IF(COUNTIF(I:I,Tableau1[[#This Row],[Plant-ILN-shipper-POL-Carrier-POD-PFI]])=1,"Non","Oui")</f>
        <v>Oui</v>
      </c>
      <c r="K236" s="399" t="e">
        <f>VLOOKUP(Tableau1[[#This Row],[Name Site]],Plant_AILN!A:D,4,FALSE)</f>
        <v>#N/A</v>
      </c>
      <c r="L236" s="10"/>
      <c r="M236" s="480" t="e">
        <f>VLOOKUP(Tableau1[[#This Row],[Name Site]],Plant_AILN!A:C,3,FALSE)</f>
        <v>#N/A</v>
      </c>
      <c r="N236" s="55" t="e">
        <f>VLOOKUP(Tableau1[[#This Row],[Compte Consignee]],Order!C:D,2,FALSE)</f>
        <v>#N/A</v>
      </c>
      <c r="O236" s="122"/>
      <c r="P236" s="481" t="e">
        <f>VLOOKUP(Tableau1[[#This Row],[Name ILN]],Plant_AILN!F:G,2,FALSE)</f>
        <v>#N/A</v>
      </c>
      <c r="Q236" s="50" t="e">
        <f>VLOOKUP(Tableau1[[#This Row],[Compte ILN]],'DATA ILN'!D:I,6,FALSE)</f>
        <v>#N/A</v>
      </c>
      <c r="R236" s="50" t="e">
        <f>IFERROR(VLOOKUP(Tableau1[[#This Row],[Key(Compte ILN - shipper - POL - plant)]],'DATA ILN'!A:J,10,FALSE),VLOOKUP(Tableau1[[#This Row],[Key(Compte ILN - shipper - POL)]],'DATA ILN'!B:J,9,FALSE))</f>
        <v>#N/A</v>
      </c>
      <c r="S236" s="50" t="e">
        <f>IFERROR(VLOOKUP(Tableau1[[#This Row],[Key(Compte ILN - shipper - POL - plant)]],'DATA ILN'!A:K,11,FALSE),VLOOKUP(Tableau1[[#This Row],[Key(Compte ILN - shipper - POL)]],'DATA ILN'!B:K,10,FALSE))</f>
        <v>#N/A</v>
      </c>
      <c r="T236" s="50" t="e">
        <f>IFERROR(VLOOKUP(Tableau1[[#This Row],[Key(Compte ILN - shipper - POL - plant)]],'DATA ILN'!A:L,12,FALSE),VLOOKUP(Tableau1[[#This Row],[Key(Compte ILN - shipper - POL)]],'DATA ILN'!B:L,11,FALSE))</f>
        <v>#N/A</v>
      </c>
      <c r="U236" s="50" t="e">
        <f>Tableau1[[#This Row],[Day ILN Order]]+Tableau1[[#This Row],[Delivery time to ILN/Shipper]]-1</f>
        <v>#N/A</v>
      </c>
      <c r="V236" s="50" t="e">
        <f>IFERROR(VLOOKUP(Tableau1[[#This Row],[Key(Compte ILN - shipper - POL - plant)]],'DATA ILN'!A:N,14,FALSE),VLOOKUP(Tableau1[[#This Row],[Key(Compte ILN - shipper - POL)]],'DATA ILN'!B:N,13,FALSE))</f>
        <v>#N/A</v>
      </c>
      <c r="W236" s="50" t="e">
        <f>IFERROR(VLOOKUP(Tableau1[[#This Row],[Key(Compte ILN - shipper - POL - plant)]],'DATA ILN'!A:P,16,FALSE),VLOOKUP(Tableau1[[#This Row],[Key(Compte ILN - shipper - POL)]],'DATA ILN'!B:P,15,FALSE))</f>
        <v>#N/A</v>
      </c>
      <c r="X236" s="283"/>
      <c r="Y236" s="489">
        <f>IFERROR(VLOOKUP(Tableau1[[#This Row],[Name Shipper]],Plant_AILN!L:M,2,FALSE),0)</f>
        <v>0</v>
      </c>
      <c r="Z236" s="358"/>
      <c r="AA236" s="353" t="e">
        <f ca="1">VLOOKUP(Tableau1[[#This Row],[Key(ID-Actif)]],'DATA BTO'!A:N,5,FALSE)</f>
        <v>#N/A</v>
      </c>
      <c r="AB236" s="3" t="e">
        <f ca="1">VLOOKUP(Tableau1[[#This Row],[Key(ID-Actif)]],'DATA BTO'!A:N,6,FALSE)</f>
        <v>#N/A</v>
      </c>
      <c r="AC236" s="50" t="e">
        <f ca="1">VLOOKUP(Tableau1[[#This Row],[Key(ID-Actif)]],'DATA BTO'!A:N,7,FALSE)</f>
        <v>#N/A</v>
      </c>
      <c r="AD236" s="50" t="e">
        <f ca="1">VLOOKUP(Tableau1[[#This Row],[Key(ID-Actif)]],'DATA BTO'!A:N,8,FALSE)</f>
        <v>#N/A</v>
      </c>
      <c r="AE236" s="50" t="e">
        <f ca="1">IF(Tableau1[[#This Row],[First Day to POL]]&lt;=Tableau1[[#This Row],[Day Cut Off]],Tableau1[[#This Row],[Day ETD]],Tableau1[[#This Row],[Day ETD]]+7)</f>
        <v>#N/A</v>
      </c>
      <c r="AF236" s="50" t="e">
        <f ca="1">VLOOKUP(Tableau1[[#This Row],[Key(ID-Actif)]],'DATA BTO'!A:N,9,FALSE)</f>
        <v>#N/A</v>
      </c>
      <c r="AG236" s="3" t="e">
        <f ca="1">VLOOKUP(Tableau1[[#This Row],[Key(ID-Actif)]],'DATA BTO'!A:N,10,FALSE)</f>
        <v>#N/A</v>
      </c>
      <c r="AH236" s="3" t="e">
        <f ca="1">VLOOKUP(Tableau1[[#This Row],[Key(ID-Actif)]],'DATA BTO'!A:N,11,FALSE)</f>
        <v>#N/A</v>
      </c>
      <c r="AI236" s="50" t="e">
        <f ca="1">VLOOKUP(Tableau1[[#This Row],[Key(ID-Actif)]],'DATA BTO'!A:N,12,FALSE)</f>
        <v>#N/A</v>
      </c>
      <c r="AJ236" s="53" t="e">
        <f ca="1">VLOOKUP(Tableau1[[#This Row],[Key(ID-Actif)]],'DATA BTO'!A:N,14,FALSE)</f>
        <v>#N/A</v>
      </c>
      <c r="AK236" s="54" t="e">
        <f ca="1">VLOOKUP(Tableau1[[#This Row],[Key(POD -PFI- Usine)]],'DATA Consignee'!A:F,6,FALSE)</f>
        <v>#N/A</v>
      </c>
      <c r="AL236" s="136"/>
      <c r="AM236" s="490" t="str">
        <f>IF(Tableau1[[#This Row],[Name PFI/CDD]]="","-",VLOOKUP(Tableau1[[#This Row],[Name PFI/CDD]],Plant_AILN!I:J,2,FALSE))</f>
        <v>-</v>
      </c>
      <c r="AN23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6" s="2" t="e">
        <f ca="1">VLOOKUP(Tableau1[[#This Row],[Key(POD -PFI- Usine)]],'DATA Consignee'!A:J,10,FALSE)</f>
        <v>#N/A</v>
      </c>
      <c r="AQ236" s="50" t="e">
        <f ca="1">VLOOKUP(Tableau1[[#This Row],[Key(POD -PFI- Usine)]],'DATA Consignee'!A:N,14,FALSE)</f>
        <v>#N/A</v>
      </c>
      <c r="AR23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6" s="50" t="e">
        <f ca="1">Tableau1[[#This Row],[Transit time]]+Tableau1[[#This Row],[Time for security]]+Tableau1[[#This Row],[Time for security2 buffer]]</f>
        <v>#N/A</v>
      </c>
      <c r="AU23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6" s="50" t="e">
        <f ca="1">Tableau1[[#This Row],[Leadtime SI2C]]+Tableau1[[#This Row],[First Receipt Days]]-Tableau1[[#This Row],[Day Customer Order]]+1</f>
        <v>#N/A</v>
      </c>
      <c r="AW236" s="117" t="e">
        <f ca="1">IF(Tableau1[[#This Row],[Name ILN]]&lt;&gt;"SFK Freight Forwarder",Tableau1[[#This Row],[Cust. Leadtime]],Tableau1[[#This Row],[Leadtime SI2C]])</f>
        <v>#N/A</v>
      </c>
      <c r="AX236" s="51" t="e">
        <f>VLOOKUP(Tableau1[[#This Row],[ID]],'DATA BTO'!B:P,15,FALSE)</f>
        <v>#N/A</v>
      </c>
      <c r="AY236" s="328" t="e">
        <f ca="1">IFERROR(VLOOKUP(Tableau1[[#This Row],[Key(ID-Actif)]],'DATA BTO'!A:N,4,FALSE),VLOOKUP(Tableau1[[#This Row],[ID]],'DATA BTO'!B:N,3,FALSE))</f>
        <v>#N/A</v>
      </c>
      <c r="AZ23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6" s="50"/>
    </row>
    <row r="237" spans="2:57">
      <c r="B237" s="65" t="str">
        <f>_xlfn.CONCAT(Tableau1[[#This Row],[Name ILN]],"-",Tableau1[[#This Row],[Name Shipper]],"-",Tableau1[[#This Row],[Name Site]])</f>
        <v>--</v>
      </c>
      <c r="C237" s="65" t="e">
        <f>_xlfn.CONCAT(Tableau1[[#This Row],[Compte ILN]],"-",Tableau1[[#This Row],[Compte Shipper]],"-",Tableau1[[#This Row],[POL]],"-",Tableau1[[#This Row],[Compte Consignee]])</f>
        <v>#N/A</v>
      </c>
      <c r="D237" s="64" t="e">
        <f>_xlfn.CONCAT(Tableau1[[#This Row],[Compte ILN]],"-",Tableau1[[#This Row],[Compte Shipper]],"-",Tableau1[[#This Row],[POL]])</f>
        <v>#N/A</v>
      </c>
      <c r="E237" s="128" t="e">
        <f ca="1">_xlfn.CONCAT(Tableau1[[#This Row],[POL]],"-",Tableau1[[#This Row],[Carrier]],"-",Tableau1[[#This Row],[POD]])</f>
        <v>#N/A</v>
      </c>
      <c r="F237" s="64" t="str">
        <f>_xlfn.CONCAT(Tableau1[[#This Row],[ID]],"-","Actif")</f>
        <v>-Actif</v>
      </c>
      <c r="G237" s="64" t="e">
        <f ca="1">_xlfn.CONCAT(Tableau1[[#This Row],[POD]],"-",Tableau1[[#This Row],[Code PFI]],"-",Tableau1[[#This Row],[Compte Consignee]])</f>
        <v>#N/A</v>
      </c>
      <c r="H23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7" s="117" t="str">
        <f ca="1">IF(COUNTIF(I:I,Tableau1[[#This Row],[Plant-ILN-shipper-POL-Carrier-POD-PFI]])=1,"Non","Oui")</f>
        <v>Oui</v>
      </c>
      <c r="K237" s="399" t="e">
        <f>VLOOKUP(Tableau1[[#This Row],[Name Site]],Plant_AILN!A:D,4,FALSE)</f>
        <v>#N/A</v>
      </c>
      <c r="L237" s="10"/>
      <c r="M237" s="480" t="e">
        <f>VLOOKUP(Tableau1[[#This Row],[Name Site]],Plant_AILN!A:C,3,FALSE)</f>
        <v>#N/A</v>
      </c>
      <c r="N237" s="55" t="e">
        <f>VLOOKUP(Tableau1[[#This Row],[Compte Consignee]],Order!C:D,2,FALSE)</f>
        <v>#N/A</v>
      </c>
      <c r="O237" s="122"/>
      <c r="P237" s="481" t="e">
        <f>VLOOKUP(Tableau1[[#This Row],[Name ILN]],Plant_AILN!F:G,2,FALSE)</f>
        <v>#N/A</v>
      </c>
      <c r="Q237" s="50" t="e">
        <f>VLOOKUP(Tableau1[[#This Row],[Compte ILN]],'DATA ILN'!D:I,6,FALSE)</f>
        <v>#N/A</v>
      </c>
      <c r="R237" s="50" t="e">
        <f>IFERROR(VLOOKUP(Tableau1[[#This Row],[Key(Compte ILN - shipper - POL - plant)]],'DATA ILN'!A:J,10,FALSE),VLOOKUP(Tableau1[[#This Row],[Key(Compte ILN - shipper - POL)]],'DATA ILN'!B:J,9,FALSE))</f>
        <v>#N/A</v>
      </c>
      <c r="S237" s="50" t="e">
        <f>IFERROR(VLOOKUP(Tableau1[[#This Row],[Key(Compte ILN - shipper - POL - plant)]],'DATA ILN'!A:K,11,FALSE),VLOOKUP(Tableau1[[#This Row],[Key(Compte ILN - shipper - POL)]],'DATA ILN'!B:K,10,FALSE))</f>
        <v>#N/A</v>
      </c>
      <c r="T237" s="50" t="e">
        <f>IFERROR(VLOOKUP(Tableau1[[#This Row],[Key(Compte ILN - shipper - POL - plant)]],'DATA ILN'!A:L,12,FALSE),VLOOKUP(Tableau1[[#This Row],[Key(Compte ILN - shipper - POL)]],'DATA ILN'!B:L,11,FALSE))</f>
        <v>#N/A</v>
      </c>
      <c r="U237" s="50" t="e">
        <f>Tableau1[[#This Row],[Day ILN Order]]+Tableau1[[#This Row],[Delivery time to ILN/Shipper]]-1</f>
        <v>#N/A</v>
      </c>
      <c r="V237" s="50" t="e">
        <f>IFERROR(VLOOKUP(Tableau1[[#This Row],[Key(Compte ILN - shipper - POL - plant)]],'DATA ILN'!A:N,14,FALSE),VLOOKUP(Tableau1[[#This Row],[Key(Compte ILN - shipper - POL)]],'DATA ILN'!B:N,13,FALSE))</f>
        <v>#N/A</v>
      </c>
      <c r="W237" s="50" t="e">
        <f>IFERROR(VLOOKUP(Tableau1[[#This Row],[Key(Compte ILN - shipper - POL - plant)]],'DATA ILN'!A:P,16,FALSE),VLOOKUP(Tableau1[[#This Row],[Key(Compte ILN - shipper - POL)]],'DATA ILN'!B:P,15,FALSE))</f>
        <v>#N/A</v>
      </c>
      <c r="X237" s="283"/>
      <c r="Y237" s="489">
        <f>IFERROR(VLOOKUP(Tableau1[[#This Row],[Name Shipper]],Plant_AILN!L:M,2,FALSE),0)</f>
        <v>0</v>
      </c>
      <c r="Z237" s="358"/>
      <c r="AA237" s="353" t="e">
        <f ca="1">VLOOKUP(Tableau1[[#This Row],[Key(ID-Actif)]],'DATA BTO'!A:N,5,FALSE)</f>
        <v>#N/A</v>
      </c>
      <c r="AB237" s="3" t="e">
        <f ca="1">VLOOKUP(Tableau1[[#This Row],[Key(ID-Actif)]],'DATA BTO'!A:N,6,FALSE)</f>
        <v>#N/A</v>
      </c>
      <c r="AC237" s="50" t="e">
        <f ca="1">VLOOKUP(Tableau1[[#This Row],[Key(ID-Actif)]],'DATA BTO'!A:N,7,FALSE)</f>
        <v>#N/A</v>
      </c>
      <c r="AD237" s="50" t="e">
        <f ca="1">VLOOKUP(Tableau1[[#This Row],[Key(ID-Actif)]],'DATA BTO'!A:N,8,FALSE)</f>
        <v>#N/A</v>
      </c>
      <c r="AE237" s="50" t="e">
        <f ca="1">IF(Tableau1[[#This Row],[First Day to POL]]&lt;=Tableau1[[#This Row],[Day Cut Off]],Tableau1[[#This Row],[Day ETD]],Tableau1[[#This Row],[Day ETD]]+7)</f>
        <v>#N/A</v>
      </c>
      <c r="AF237" s="50" t="e">
        <f ca="1">VLOOKUP(Tableau1[[#This Row],[Key(ID-Actif)]],'DATA BTO'!A:N,9,FALSE)</f>
        <v>#N/A</v>
      </c>
      <c r="AG237" s="3" t="e">
        <f ca="1">VLOOKUP(Tableau1[[#This Row],[Key(ID-Actif)]],'DATA BTO'!A:N,10,FALSE)</f>
        <v>#N/A</v>
      </c>
      <c r="AH237" s="3" t="e">
        <f ca="1">VLOOKUP(Tableau1[[#This Row],[Key(ID-Actif)]],'DATA BTO'!A:N,11,FALSE)</f>
        <v>#N/A</v>
      </c>
      <c r="AI237" s="50" t="e">
        <f ca="1">VLOOKUP(Tableau1[[#This Row],[Key(ID-Actif)]],'DATA BTO'!A:N,12,FALSE)</f>
        <v>#N/A</v>
      </c>
      <c r="AJ237" s="53" t="e">
        <f ca="1">VLOOKUP(Tableau1[[#This Row],[Key(ID-Actif)]],'DATA BTO'!A:N,14,FALSE)</f>
        <v>#N/A</v>
      </c>
      <c r="AK237" s="54" t="e">
        <f ca="1">VLOOKUP(Tableau1[[#This Row],[Key(POD -PFI- Usine)]],'DATA Consignee'!A:F,6,FALSE)</f>
        <v>#N/A</v>
      </c>
      <c r="AL237" s="136"/>
      <c r="AM237" s="490" t="str">
        <f>IF(Tableau1[[#This Row],[Name PFI/CDD]]="","-",VLOOKUP(Tableau1[[#This Row],[Name PFI/CDD]],Plant_AILN!I:J,2,FALSE))</f>
        <v>-</v>
      </c>
      <c r="AN23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7" s="2" t="e">
        <f ca="1">VLOOKUP(Tableau1[[#This Row],[Key(POD -PFI- Usine)]],'DATA Consignee'!A:J,10,FALSE)</f>
        <v>#N/A</v>
      </c>
      <c r="AQ237" s="50" t="e">
        <f ca="1">VLOOKUP(Tableau1[[#This Row],[Key(POD -PFI- Usine)]],'DATA Consignee'!A:N,14,FALSE)</f>
        <v>#N/A</v>
      </c>
      <c r="AR23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7" s="50" t="e">
        <f ca="1">Tableau1[[#This Row],[Transit time]]+Tableau1[[#This Row],[Time for security]]+Tableau1[[#This Row],[Time for security2 buffer]]</f>
        <v>#N/A</v>
      </c>
      <c r="AU23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7" s="50" t="e">
        <f ca="1">Tableau1[[#This Row],[Leadtime SI2C]]+Tableau1[[#This Row],[First Receipt Days]]-Tableau1[[#This Row],[Day Customer Order]]+1</f>
        <v>#N/A</v>
      </c>
      <c r="AW237" s="117" t="e">
        <f ca="1">IF(Tableau1[[#This Row],[Name ILN]]&lt;&gt;"SFK Freight Forwarder",Tableau1[[#This Row],[Cust. Leadtime]],Tableau1[[#This Row],[Leadtime SI2C]])</f>
        <v>#N/A</v>
      </c>
      <c r="AX237" s="51" t="e">
        <f>VLOOKUP(Tableau1[[#This Row],[ID]],'DATA BTO'!B:P,15,FALSE)</f>
        <v>#N/A</v>
      </c>
      <c r="AY237" s="328" t="e">
        <f ca="1">IFERROR(VLOOKUP(Tableau1[[#This Row],[Key(ID-Actif)]],'DATA BTO'!A:N,4,FALSE),VLOOKUP(Tableau1[[#This Row],[ID]],'DATA BTO'!B:N,3,FALSE))</f>
        <v>#N/A</v>
      </c>
      <c r="AZ23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7" s="50"/>
    </row>
    <row r="238" spans="2:57">
      <c r="B238" s="65" t="str">
        <f>_xlfn.CONCAT(Tableau1[[#This Row],[Name ILN]],"-",Tableau1[[#This Row],[Name Shipper]],"-",Tableau1[[#This Row],[Name Site]])</f>
        <v>--</v>
      </c>
      <c r="C238" s="65" t="e">
        <f>_xlfn.CONCAT(Tableau1[[#This Row],[Compte ILN]],"-",Tableau1[[#This Row],[Compte Shipper]],"-",Tableau1[[#This Row],[POL]],"-",Tableau1[[#This Row],[Compte Consignee]])</f>
        <v>#N/A</v>
      </c>
      <c r="D238" s="64" t="e">
        <f>_xlfn.CONCAT(Tableau1[[#This Row],[Compte ILN]],"-",Tableau1[[#This Row],[Compte Shipper]],"-",Tableau1[[#This Row],[POL]])</f>
        <v>#N/A</v>
      </c>
      <c r="E238" s="128" t="e">
        <f ca="1">_xlfn.CONCAT(Tableau1[[#This Row],[POL]],"-",Tableau1[[#This Row],[Carrier]],"-",Tableau1[[#This Row],[POD]])</f>
        <v>#N/A</v>
      </c>
      <c r="F238" s="64" t="str">
        <f>_xlfn.CONCAT(Tableau1[[#This Row],[ID]],"-","Actif")</f>
        <v>-Actif</v>
      </c>
      <c r="G238" s="64" t="e">
        <f ca="1">_xlfn.CONCAT(Tableau1[[#This Row],[POD]],"-",Tableau1[[#This Row],[Code PFI]],"-",Tableau1[[#This Row],[Compte Consignee]])</f>
        <v>#N/A</v>
      </c>
      <c r="H23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8" s="117" t="str">
        <f ca="1">IF(COUNTIF(I:I,Tableau1[[#This Row],[Plant-ILN-shipper-POL-Carrier-POD-PFI]])=1,"Non","Oui")</f>
        <v>Oui</v>
      </c>
      <c r="K238" s="399" t="e">
        <f>VLOOKUP(Tableau1[[#This Row],[Name Site]],Plant_AILN!A:D,4,FALSE)</f>
        <v>#N/A</v>
      </c>
      <c r="L238" s="10"/>
      <c r="M238" s="480" t="e">
        <f>VLOOKUP(Tableau1[[#This Row],[Name Site]],Plant_AILN!A:C,3,FALSE)</f>
        <v>#N/A</v>
      </c>
      <c r="N238" s="55" t="e">
        <f>VLOOKUP(Tableau1[[#This Row],[Compte Consignee]],Order!C:D,2,FALSE)</f>
        <v>#N/A</v>
      </c>
      <c r="O238" s="122"/>
      <c r="P238" s="481" t="e">
        <f>VLOOKUP(Tableau1[[#This Row],[Name ILN]],Plant_AILN!F:G,2,FALSE)</f>
        <v>#N/A</v>
      </c>
      <c r="Q238" s="50" t="e">
        <f>VLOOKUP(Tableau1[[#This Row],[Compte ILN]],'DATA ILN'!D:I,6,FALSE)</f>
        <v>#N/A</v>
      </c>
      <c r="R238" s="50" t="e">
        <f>IFERROR(VLOOKUP(Tableau1[[#This Row],[Key(Compte ILN - shipper - POL - plant)]],'DATA ILN'!A:J,10,FALSE),VLOOKUP(Tableau1[[#This Row],[Key(Compte ILN - shipper - POL)]],'DATA ILN'!B:J,9,FALSE))</f>
        <v>#N/A</v>
      </c>
      <c r="S238" s="50" t="e">
        <f>IFERROR(VLOOKUP(Tableau1[[#This Row],[Key(Compte ILN - shipper - POL - plant)]],'DATA ILN'!A:K,11,FALSE),VLOOKUP(Tableau1[[#This Row],[Key(Compte ILN - shipper - POL)]],'DATA ILN'!B:K,10,FALSE))</f>
        <v>#N/A</v>
      </c>
      <c r="T238" s="50" t="e">
        <f>IFERROR(VLOOKUP(Tableau1[[#This Row],[Key(Compte ILN - shipper - POL - plant)]],'DATA ILN'!A:L,12,FALSE),VLOOKUP(Tableau1[[#This Row],[Key(Compte ILN - shipper - POL)]],'DATA ILN'!B:L,11,FALSE))</f>
        <v>#N/A</v>
      </c>
      <c r="U238" s="50" t="e">
        <f>Tableau1[[#This Row],[Day ILN Order]]+Tableau1[[#This Row],[Delivery time to ILN/Shipper]]-1</f>
        <v>#N/A</v>
      </c>
      <c r="V238" s="50" t="e">
        <f>IFERROR(VLOOKUP(Tableau1[[#This Row],[Key(Compte ILN - shipper - POL - plant)]],'DATA ILN'!A:N,14,FALSE),VLOOKUP(Tableau1[[#This Row],[Key(Compte ILN - shipper - POL)]],'DATA ILN'!B:N,13,FALSE))</f>
        <v>#N/A</v>
      </c>
      <c r="W238" s="50" t="e">
        <f>IFERROR(VLOOKUP(Tableau1[[#This Row],[Key(Compte ILN - shipper - POL - plant)]],'DATA ILN'!A:P,16,FALSE),VLOOKUP(Tableau1[[#This Row],[Key(Compte ILN - shipper - POL)]],'DATA ILN'!B:P,15,FALSE))</f>
        <v>#N/A</v>
      </c>
      <c r="X238" s="283"/>
      <c r="Y238" s="489">
        <f>IFERROR(VLOOKUP(Tableau1[[#This Row],[Name Shipper]],Plant_AILN!L:M,2,FALSE),0)</f>
        <v>0</v>
      </c>
      <c r="Z238" s="358"/>
      <c r="AA238" s="353" t="e">
        <f ca="1">VLOOKUP(Tableau1[[#This Row],[Key(ID-Actif)]],'DATA BTO'!A:N,5,FALSE)</f>
        <v>#N/A</v>
      </c>
      <c r="AB238" s="3" t="e">
        <f ca="1">VLOOKUP(Tableau1[[#This Row],[Key(ID-Actif)]],'DATA BTO'!A:N,6,FALSE)</f>
        <v>#N/A</v>
      </c>
      <c r="AC238" s="50" t="e">
        <f ca="1">VLOOKUP(Tableau1[[#This Row],[Key(ID-Actif)]],'DATA BTO'!A:N,7,FALSE)</f>
        <v>#N/A</v>
      </c>
      <c r="AD238" s="50" t="e">
        <f ca="1">VLOOKUP(Tableau1[[#This Row],[Key(ID-Actif)]],'DATA BTO'!A:N,8,FALSE)</f>
        <v>#N/A</v>
      </c>
      <c r="AE238" s="50" t="e">
        <f ca="1">IF(Tableau1[[#This Row],[First Day to POL]]&lt;=Tableau1[[#This Row],[Day Cut Off]],Tableau1[[#This Row],[Day ETD]],Tableau1[[#This Row],[Day ETD]]+7)</f>
        <v>#N/A</v>
      </c>
      <c r="AF238" s="50" t="e">
        <f ca="1">VLOOKUP(Tableau1[[#This Row],[Key(ID-Actif)]],'DATA BTO'!A:N,9,FALSE)</f>
        <v>#N/A</v>
      </c>
      <c r="AG238" s="3" t="e">
        <f ca="1">VLOOKUP(Tableau1[[#This Row],[Key(ID-Actif)]],'DATA BTO'!A:N,10,FALSE)</f>
        <v>#N/A</v>
      </c>
      <c r="AH238" s="3" t="e">
        <f ca="1">VLOOKUP(Tableau1[[#This Row],[Key(ID-Actif)]],'DATA BTO'!A:N,11,FALSE)</f>
        <v>#N/A</v>
      </c>
      <c r="AI238" s="50" t="e">
        <f ca="1">VLOOKUP(Tableau1[[#This Row],[Key(ID-Actif)]],'DATA BTO'!A:N,12,FALSE)</f>
        <v>#N/A</v>
      </c>
      <c r="AJ238" s="53" t="e">
        <f ca="1">VLOOKUP(Tableau1[[#This Row],[Key(ID-Actif)]],'DATA BTO'!A:N,14,FALSE)</f>
        <v>#N/A</v>
      </c>
      <c r="AK238" s="54" t="e">
        <f ca="1">VLOOKUP(Tableau1[[#This Row],[Key(POD -PFI- Usine)]],'DATA Consignee'!A:F,6,FALSE)</f>
        <v>#N/A</v>
      </c>
      <c r="AL238" s="136"/>
      <c r="AM238" s="490" t="str">
        <f>IF(Tableau1[[#This Row],[Name PFI/CDD]]="","-",VLOOKUP(Tableau1[[#This Row],[Name PFI/CDD]],Plant_AILN!I:J,2,FALSE))</f>
        <v>-</v>
      </c>
      <c r="AN23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8" s="2" t="e">
        <f ca="1">VLOOKUP(Tableau1[[#This Row],[Key(POD -PFI- Usine)]],'DATA Consignee'!A:J,10,FALSE)</f>
        <v>#N/A</v>
      </c>
      <c r="AQ238" s="50" t="e">
        <f ca="1">VLOOKUP(Tableau1[[#This Row],[Key(POD -PFI- Usine)]],'DATA Consignee'!A:N,14,FALSE)</f>
        <v>#N/A</v>
      </c>
      <c r="AR23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8" s="50" t="e">
        <f ca="1">Tableau1[[#This Row],[Transit time]]+Tableau1[[#This Row],[Time for security]]+Tableau1[[#This Row],[Time for security2 buffer]]</f>
        <v>#N/A</v>
      </c>
      <c r="AU23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8" s="50" t="e">
        <f ca="1">Tableau1[[#This Row],[Leadtime SI2C]]+Tableau1[[#This Row],[First Receipt Days]]-Tableau1[[#This Row],[Day Customer Order]]+1</f>
        <v>#N/A</v>
      </c>
      <c r="AW238" s="117" t="e">
        <f ca="1">IF(Tableau1[[#This Row],[Name ILN]]&lt;&gt;"SFK Freight Forwarder",Tableau1[[#This Row],[Cust. Leadtime]],Tableau1[[#This Row],[Leadtime SI2C]])</f>
        <v>#N/A</v>
      </c>
      <c r="AX238" s="51" t="e">
        <f>VLOOKUP(Tableau1[[#This Row],[ID]],'DATA BTO'!B:P,15,FALSE)</f>
        <v>#N/A</v>
      </c>
      <c r="AY238" s="328" t="e">
        <f ca="1">IFERROR(VLOOKUP(Tableau1[[#This Row],[Key(ID-Actif)]],'DATA BTO'!A:N,4,FALSE),VLOOKUP(Tableau1[[#This Row],[ID]],'DATA BTO'!B:N,3,FALSE))</f>
        <v>#N/A</v>
      </c>
      <c r="AZ23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8" s="50"/>
    </row>
    <row r="239" spans="2:57">
      <c r="B239" s="65" t="str">
        <f>_xlfn.CONCAT(Tableau1[[#This Row],[Name ILN]],"-",Tableau1[[#This Row],[Name Shipper]],"-",Tableau1[[#This Row],[Name Site]])</f>
        <v>--</v>
      </c>
      <c r="C239" s="65" t="e">
        <f>_xlfn.CONCAT(Tableau1[[#This Row],[Compte ILN]],"-",Tableau1[[#This Row],[Compte Shipper]],"-",Tableau1[[#This Row],[POL]],"-",Tableau1[[#This Row],[Compte Consignee]])</f>
        <v>#N/A</v>
      </c>
      <c r="D239" s="64" t="e">
        <f>_xlfn.CONCAT(Tableau1[[#This Row],[Compte ILN]],"-",Tableau1[[#This Row],[Compte Shipper]],"-",Tableau1[[#This Row],[POL]])</f>
        <v>#N/A</v>
      </c>
      <c r="E239" s="128" t="e">
        <f ca="1">_xlfn.CONCAT(Tableau1[[#This Row],[POL]],"-",Tableau1[[#This Row],[Carrier]],"-",Tableau1[[#This Row],[POD]])</f>
        <v>#N/A</v>
      </c>
      <c r="F239" s="64" t="str">
        <f>_xlfn.CONCAT(Tableau1[[#This Row],[ID]],"-","Actif")</f>
        <v>-Actif</v>
      </c>
      <c r="G239" s="64" t="e">
        <f ca="1">_xlfn.CONCAT(Tableau1[[#This Row],[POD]],"-",Tableau1[[#This Row],[Code PFI]],"-",Tableau1[[#This Row],[Compte Consignee]])</f>
        <v>#N/A</v>
      </c>
      <c r="H23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3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39" s="117" t="str">
        <f ca="1">IF(COUNTIF(I:I,Tableau1[[#This Row],[Plant-ILN-shipper-POL-Carrier-POD-PFI]])=1,"Non","Oui")</f>
        <v>Oui</v>
      </c>
      <c r="K239" s="399" t="e">
        <f>VLOOKUP(Tableau1[[#This Row],[Name Site]],Plant_AILN!A:D,4,FALSE)</f>
        <v>#N/A</v>
      </c>
      <c r="L239" s="10"/>
      <c r="M239" s="480" t="e">
        <f>VLOOKUP(Tableau1[[#This Row],[Name Site]],Plant_AILN!A:C,3,FALSE)</f>
        <v>#N/A</v>
      </c>
      <c r="N239" s="55" t="e">
        <f>VLOOKUP(Tableau1[[#This Row],[Compte Consignee]],Order!C:D,2,FALSE)</f>
        <v>#N/A</v>
      </c>
      <c r="O239" s="123"/>
      <c r="P239" s="481" t="e">
        <f>VLOOKUP(Tableau1[[#This Row],[Name ILN]],Plant_AILN!F:G,2,FALSE)</f>
        <v>#N/A</v>
      </c>
      <c r="Q239" s="50" t="e">
        <f>VLOOKUP(Tableau1[[#This Row],[Compte ILN]],'DATA ILN'!D:I,6,FALSE)</f>
        <v>#N/A</v>
      </c>
      <c r="R239" s="50" t="e">
        <f>IFERROR(VLOOKUP(Tableau1[[#This Row],[Key(Compte ILN - shipper - POL - plant)]],'DATA ILN'!A:J,10,FALSE),VLOOKUP(Tableau1[[#This Row],[Key(Compte ILN - shipper - POL)]],'DATA ILN'!B:J,9,FALSE))</f>
        <v>#N/A</v>
      </c>
      <c r="S239" s="50" t="e">
        <f>IFERROR(VLOOKUP(Tableau1[[#This Row],[Key(Compte ILN - shipper - POL - plant)]],'DATA ILN'!A:K,11,FALSE),VLOOKUP(Tableau1[[#This Row],[Key(Compte ILN - shipper - POL)]],'DATA ILN'!B:K,10,FALSE))</f>
        <v>#N/A</v>
      </c>
      <c r="T239" s="50" t="e">
        <f>IFERROR(VLOOKUP(Tableau1[[#This Row],[Key(Compte ILN - shipper - POL - plant)]],'DATA ILN'!A:L,12,FALSE),VLOOKUP(Tableau1[[#This Row],[Key(Compte ILN - shipper - POL)]],'DATA ILN'!B:L,11,FALSE))</f>
        <v>#N/A</v>
      </c>
      <c r="U239" s="50" t="e">
        <f>Tableau1[[#This Row],[Day ILN Order]]+Tableau1[[#This Row],[Delivery time to ILN/Shipper]]-1</f>
        <v>#N/A</v>
      </c>
      <c r="V239" s="50" t="e">
        <f>IFERROR(VLOOKUP(Tableau1[[#This Row],[Key(Compte ILN - shipper - POL - plant)]],'DATA ILN'!A:N,14,FALSE),VLOOKUP(Tableau1[[#This Row],[Key(Compte ILN - shipper - POL)]],'DATA ILN'!B:N,13,FALSE))</f>
        <v>#N/A</v>
      </c>
      <c r="W239" s="50" t="e">
        <f>IFERROR(VLOOKUP(Tableau1[[#This Row],[Key(Compte ILN - shipper - POL - plant)]],'DATA ILN'!A:P,16,FALSE),VLOOKUP(Tableau1[[#This Row],[Key(Compte ILN - shipper - POL)]],'DATA ILN'!B:P,15,FALSE))</f>
        <v>#N/A</v>
      </c>
      <c r="X239" s="283"/>
      <c r="Y239" s="489">
        <f>IFERROR(VLOOKUP(Tableau1[[#This Row],[Name Shipper]],Plant_AILN!L:M,2,FALSE),0)</f>
        <v>0</v>
      </c>
      <c r="Z239" s="358"/>
      <c r="AA239" s="353" t="e">
        <f ca="1">VLOOKUP(Tableau1[[#This Row],[Key(ID-Actif)]],'DATA BTO'!A:N,5,FALSE)</f>
        <v>#N/A</v>
      </c>
      <c r="AB239" s="3" t="e">
        <f ca="1">VLOOKUP(Tableau1[[#This Row],[Key(ID-Actif)]],'DATA BTO'!A:N,6,FALSE)</f>
        <v>#N/A</v>
      </c>
      <c r="AC239" s="50" t="e">
        <f ca="1">VLOOKUP(Tableau1[[#This Row],[Key(ID-Actif)]],'DATA BTO'!A:N,7,FALSE)</f>
        <v>#N/A</v>
      </c>
      <c r="AD239" s="50" t="e">
        <f ca="1">VLOOKUP(Tableau1[[#This Row],[Key(ID-Actif)]],'DATA BTO'!A:N,8,FALSE)</f>
        <v>#N/A</v>
      </c>
      <c r="AE239" s="50" t="e">
        <f ca="1">IF(Tableau1[[#This Row],[First Day to POL]]&lt;=Tableau1[[#This Row],[Day Cut Off]],Tableau1[[#This Row],[Day ETD]],Tableau1[[#This Row],[Day ETD]]+7)</f>
        <v>#N/A</v>
      </c>
      <c r="AF239" s="50" t="e">
        <f ca="1">VLOOKUP(Tableau1[[#This Row],[Key(ID-Actif)]],'DATA BTO'!A:N,9,FALSE)</f>
        <v>#N/A</v>
      </c>
      <c r="AG239" s="3" t="e">
        <f ca="1">VLOOKUP(Tableau1[[#This Row],[Key(ID-Actif)]],'DATA BTO'!A:N,10,FALSE)</f>
        <v>#N/A</v>
      </c>
      <c r="AH239" s="3" t="e">
        <f ca="1">VLOOKUP(Tableau1[[#This Row],[Key(ID-Actif)]],'DATA BTO'!A:N,11,FALSE)</f>
        <v>#N/A</v>
      </c>
      <c r="AI239" s="50" t="e">
        <f ca="1">VLOOKUP(Tableau1[[#This Row],[Key(ID-Actif)]],'DATA BTO'!A:N,12,FALSE)</f>
        <v>#N/A</v>
      </c>
      <c r="AJ239" s="53" t="e">
        <f ca="1">VLOOKUP(Tableau1[[#This Row],[Key(ID-Actif)]],'DATA BTO'!A:N,14,FALSE)</f>
        <v>#N/A</v>
      </c>
      <c r="AK239" s="54" t="e">
        <f ca="1">VLOOKUP(Tableau1[[#This Row],[Key(POD -PFI- Usine)]],'DATA Consignee'!A:F,6,FALSE)</f>
        <v>#N/A</v>
      </c>
      <c r="AL239" s="136"/>
      <c r="AM239" s="490" t="str">
        <f>IF(Tableau1[[#This Row],[Name PFI/CDD]]="","-",VLOOKUP(Tableau1[[#This Row],[Name PFI/CDD]],Plant_AILN!I:J,2,FALSE))</f>
        <v>-</v>
      </c>
      <c r="AN23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3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39" s="2" t="e">
        <f ca="1">VLOOKUP(Tableau1[[#This Row],[Key(POD -PFI- Usine)]],'DATA Consignee'!A:J,10,FALSE)</f>
        <v>#N/A</v>
      </c>
      <c r="AQ239" s="50" t="e">
        <f ca="1">VLOOKUP(Tableau1[[#This Row],[Key(POD -PFI- Usine)]],'DATA Consignee'!A:N,14,FALSE)</f>
        <v>#N/A</v>
      </c>
      <c r="AR23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3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39" s="50" t="e">
        <f ca="1">Tableau1[[#This Row],[Transit time]]+Tableau1[[#This Row],[Time for security]]+Tableau1[[#This Row],[Time for security2 buffer]]</f>
        <v>#N/A</v>
      </c>
      <c r="AU23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39" s="50" t="e">
        <f ca="1">Tableau1[[#This Row],[Leadtime SI2C]]+Tableau1[[#This Row],[First Receipt Days]]-Tableau1[[#This Row],[Day Customer Order]]+1</f>
        <v>#N/A</v>
      </c>
      <c r="AW239" s="117" t="e">
        <f ca="1">IF(Tableau1[[#This Row],[Name ILN]]&lt;&gt;"SFK Freight Forwarder",Tableau1[[#This Row],[Cust. Leadtime]],Tableau1[[#This Row],[Leadtime SI2C]])</f>
        <v>#N/A</v>
      </c>
      <c r="AX239" s="51" t="e">
        <f>VLOOKUP(Tableau1[[#This Row],[ID]],'DATA BTO'!B:P,15,FALSE)</f>
        <v>#N/A</v>
      </c>
      <c r="AY239" s="328" t="e">
        <f ca="1">IFERROR(VLOOKUP(Tableau1[[#This Row],[Key(ID-Actif)]],'DATA BTO'!A:N,4,FALSE),VLOOKUP(Tableau1[[#This Row],[ID]],'DATA BTO'!B:N,3,FALSE))</f>
        <v>#N/A</v>
      </c>
      <c r="AZ23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3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3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9" s="50"/>
    </row>
    <row r="240" spans="2:57">
      <c r="B240" s="65" t="str">
        <f>_xlfn.CONCAT(Tableau1[[#This Row],[Name ILN]],"-",Tableau1[[#This Row],[Name Shipper]],"-",Tableau1[[#This Row],[Name Site]])</f>
        <v>--</v>
      </c>
      <c r="C240" s="65" t="e">
        <f>_xlfn.CONCAT(Tableau1[[#This Row],[Compte ILN]],"-",Tableau1[[#This Row],[Compte Shipper]],"-",Tableau1[[#This Row],[POL]],"-",Tableau1[[#This Row],[Compte Consignee]])</f>
        <v>#N/A</v>
      </c>
      <c r="D240" s="64" t="e">
        <f>_xlfn.CONCAT(Tableau1[[#This Row],[Compte ILN]],"-",Tableau1[[#This Row],[Compte Shipper]],"-",Tableau1[[#This Row],[POL]])</f>
        <v>#N/A</v>
      </c>
      <c r="E240" s="128" t="e">
        <f ca="1">_xlfn.CONCAT(Tableau1[[#This Row],[POL]],"-",Tableau1[[#This Row],[Carrier]],"-",Tableau1[[#This Row],[POD]])</f>
        <v>#N/A</v>
      </c>
      <c r="F240" s="64" t="str">
        <f>_xlfn.CONCAT(Tableau1[[#This Row],[ID]],"-","Actif")</f>
        <v>-Actif</v>
      </c>
      <c r="G240" s="64" t="e">
        <f ca="1">_xlfn.CONCAT(Tableau1[[#This Row],[POD]],"-",Tableau1[[#This Row],[Code PFI]],"-",Tableau1[[#This Row],[Compte Consignee]])</f>
        <v>#N/A</v>
      </c>
      <c r="H24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0" s="117" t="str">
        <f ca="1">IF(COUNTIF(I:I,Tableau1[[#This Row],[Plant-ILN-shipper-POL-Carrier-POD-PFI]])=1,"Non","Oui")</f>
        <v>Oui</v>
      </c>
      <c r="K240" s="399" t="e">
        <f>VLOOKUP(Tableau1[[#This Row],[Name Site]],Plant_AILN!A:D,4,FALSE)</f>
        <v>#N/A</v>
      </c>
      <c r="L240" s="10"/>
      <c r="M240" s="480" t="e">
        <f>VLOOKUP(Tableau1[[#This Row],[Name Site]],Plant_AILN!A:C,3,FALSE)</f>
        <v>#N/A</v>
      </c>
      <c r="N240" s="55" t="e">
        <f>VLOOKUP(Tableau1[[#This Row],[Compte Consignee]],Order!C:D,2,FALSE)</f>
        <v>#N/A</v>
      </c>
      <c r="O240" s="122"/>
      <c r="P240" s="481" t="e">
        <f>VLOOKUP(Tableau1[[#This Row],[Name ILN]],Plant_AILN!F:G,2,FALSE)</f>
        <v>#N/A</v>
      </c>
      <c r="Q240" s="50" t="e">
        <f>VLOOKUP(Tableau1[[#This Row],[Compte ILN]],'DATA ILN'!D:I,6,FALSE)</f>
        <v>#N/A</v>
      </c>
      <c r="R240" s="50" t="e">
        <f>IFERROR(VLOOKUP(Tableau1[[#This Row],[Key(Compte ILN - shipper - POL - plant)]],'DATA ILN'!A:J,10,FALSE),VLOOKUP(Tableau1[[#This Row],[Key(Compte ILN - shipper - POL)]],'DATA ILN'!B:J,9,FALSE))</f>
        <v>#N/A</v>
      </c>
      <c r="S240" s="50" t="e">
        <f>IFERROR(VLOOKUP(Tableau1[[#This Row],[Key(Compte ILN - shipper - POL - plant)]],'DATA ILN'!A:K,11,FALSE),VLOOKUP(Tableau1[[#This Row],[Key(Compte ILN - shipper - POL)]],'DATA ILN'!B:K,10,FALSE))</f>
        <v>#N/A</v>
      </c>
      <c r="T240" s="50" t="e">
        <f>IFERROR(VLOOKUP(Tableau1[[#This Row],[Key(Compte ILN - shipper - POL - plant)]],'DATA ILN'!A:L,12,FALSE),VLOOKUP(Tableau1[[#This Row],[Key(Compte ILN - shipper - POL)]],'DATA ILN'!B:L,11,FALSE))</f>
        <v>#N/A</v>
      </c>
      <c r="U240" s="50" t="e">
        <f>Tableau1[[#This Row],[Day ILN Order]]+Tableau1[[#This Row],[Delivery time to ILN/Shipper]]-1</f>
        <v>#N/A</v>
      </c>
      <c r="V240" s="50" t="e">
        <f>IFERROR(VLOOKUP(Tableau1[[#This Row],[Key(Compte ILN - shipper - POL - plant)]],'DATA ILN'!A:N,14,FALSE),VLOOKUP(Tableau1[[#This Row],[Key(Compte ILN - shipper - POL)]],'DATA ILN'!B:N,13,FALSE))</f>
        <v>#N/A</v>
      </c>
      <c r="W240" s="50" t="e">
        <f>IFERROR(VLOOKUP(Tableau1[[#This Row],[Key(Compte ILN - shipper - POL - plant)]],'DATA ILN'!A:P,16,FALSE),VLOOKUP(Tableau1[[#This Row],[Key(Compte ILN - shipper - POL)]],'DATA ILN'!B:P,15,FALSE))</f>
        <v>#N/A</v>
      </c>
      <c r="X240" s="283"/>
      <c r="Y240" s="489">
        <f>IFERROR(VLOOKUP(Tableau1[[#This Row],[Name Shipper]],Plant_AILN!L:M,2,FALSE),0)</f>
        <v>0</v>
      </c>
      <c r="Z240" s="358"/>
      <c r="AA240" s="353" t="e">
        <f ca="1">VLOOKUP(Tableau1[[#This Row],[Key(ID-Actif)]],'DATA BTO'!A:N,5,FALSE)</f>
        <v>#N/A</v>
      </c>
      <c r="AB240" s="3" t="e">
        <f ca="1">VLOOKUP(Tableau1[[#This Row],[Key(ID-Actif)]],'DATA BTO'!A:N,6,FALSE)</f>
        <v>#N/A</v>
      </c>
      <c r="AC240" s="50" t="e">
        <f ca="1">VLOOKUP(Tableau1[[#This Row],[Key(ID-Actif)]],'DATA BTO'!A:N,7,FALSE)</f>
        <v>#N/A</v>
      </c>
      <c r="AD240" s="50" t="e">
        <f ca="1">VLOOKUP(Tableau1[[#This Row],[Key(ID-Actif)]],'DATA BTO'!A:N,8,FALSE)</f>
        <v>#N/A</v>
      </c>
      <c r="AE240" s="50" t="e">
        <f ca="1">IF(Tableau1[[#This Row],[First Day to POL]]&lt;=Tableau1[[#This Row],[Day Cut Off]],Tableau1[[#This Row],[Day ETD]],Tableau1[[#This Row],[Day ETD]]+7)</f>
        <v>#N/A</v>
      </c>
      <c r="AF240" s="50" t="e">
        <f ca="1">VLOOKUP(Tableau1[[#This Row],[Key(ID-Actif)]],'DATA BTO'!A:N,9,FALSE)</f>
        <v>#N/A</v>
      </c>
      <c r="AG240" s="3" t="e">
        <f ca="1">VLOOKUP(Tableau1[[#This Row],[Key(ID-Actif)]],'DATA BTO'!A:N,10,FALSE)</f>
        <v>#N/A</v>
      </c>
      <c r="AH240" s="3" t="e">
        <f ca="1">VLOOKUP(Tableau1[[#This Row],[Key(ID-Actif)]],'DATA BTO'!A:N,11,FALSE)</f>
        <v>#N/A</v>
      </c>
      <c r="AI240" s="50" t="e">
        <f ca="1">VLOOKUP(Tableau1[[#This Row],[Key(ID-Actif)]],'DATA BTO'!A:N,12,FALSE)</f>
        <v>#N/A</v>
      </c>
      <c r="AJ240" s="53" t="e">
        <f ca="1">VLOOKUP(Tableau1[[#This Row],[Key(ID-Actif)]],'DATA BTO'!A:N,14,FALSE)</f>
        <v>#N/A</v>
      </c>
      <c r="AK240" s="54" t="e">
        <f ca="1">VLOOKUP(Tableau1[[#This Row],[Key(POD -PFI- Usine)]],'DATA Consignee'!A:F,6,FALSE)</f>
        <v>#N/A</v>
      </c>
      <c r="AL240" s="136"/>
      <c r="AM240" s="490" t="str">
        <f>IF(Tableau1[[#This Row],[Name PFI/CDD]]="","-",VLOOKUP(Tableau1[[#This Row],[Name PFI/CDD]],Plant_AILN!I:J,2,FALSE))</f>
        <v>-</v>
      </c>
      <c r="AN24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0" s="2" t="e">
        <f ca="1">VLOOKUP(Tableau1[[#This Row],[Key(POD -PFI- Usine)]],'DATA Consignee'!A:J,10,FALSE)</f>
        <v>#N/A</v>
      </c>
      <c r="AQ240" s="50" t="e">
        <f ca="1">VLOOKUP(Tableau1[[#This Row],[Key(POD -PFI- Usine)]],'DATA Consignee'!A:N,14,FALSE)</f>
        <v>#N/A</v>
      </c>
      <c r="AR24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0" s="50" t="e">
        <f ca="1">Tableau1[[#This Row],[Transit time]]+Tableau1[[#This Row],[Time for security]]+Tableau1[[#This Row],[Time for security2 buffer]]</f>
        <v>#N/A</v>
      </c>
      <c r="AU24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0" s="50" t="e">
        <f ca="1">Tableau1[[#This Row],[Leadtime SI2C]]+Tableau1[[#This Row],[First Receipt Days]]-Tableau1[[#This Row],[Day Customer Order]]+1</f>
        <v>#N/A</v>
      </c>
      <c r="AW240" s="117" t="e">
        <f ca="1">IF(Tableau1[[#This Row],[Name ILN]]&lt;&gt;"SFK Freight Forwarder",Tableau1[[#This Row],[Cust. Leadtime]],Tableau1[[#This Row],[Leadtime SI2C]])</f>
        <v>#N/A</v>
      </c>
      <c r="AX240" s="51" t="e">
        <f>VLOOKUP(Tableau1[[#This Row],[ID]],'DATA BTO'!B:P,15,FALSE)</f>
        <v>#N/A</v>
      </c>
      <c r="AY240" s="328" t="e">
        <f ca="1">IFERROR(VLOOKUP(Tableau1[[#This Row],[Key(ID-Actif)]],'DATA BTO'!A:N,4,FALSE),VLOOKUP(Tableau1[[#This Row],[ID]],'DATA BTO'!B:N,3,FALSE))</f>
        <v>#N/A</v>
      </c>
      <c r="AZ24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0" s="50"/>
    </row>
    <row r="241" spans="2:57">
      <c r="B241" s="65" t="str">
        <f>_xlfn.CONCAT(Tableau1[[#This Row],[Name ILN]],"-",Tableau1[[#This Row],[Name Shipper]],"-",Tableau1[[#This Row],[Name Site]])</f>
        <v>--</v>
      </c>
      <c r="C241" s="65" t="e">
        <f>_xlfn.CONCAT(Tableau1[[#This Row],[Compte ILN]],"-",Tableau1[[#This Row],[Compte Shipper]],"-",Tableau1[[#This Row],[POL]],"-",Tableau1[[#This Row],[Compte Consignee]])</f>
        <v>#N/A</v>
      </c>
      <c r="D241" s="64" t="e">
        <f>_xlfn.CONCAT(Tableau1[[#This Row],[Compte ILN]],"-",Tableau1[[#This Row],[Compte Shipper]],"-",Tableau1[[#This Row],[POL]])</f>
        <v>#N/A</v>
      </c>
      <c r="E241" s="128" t="e">
        <f ca="1">_xlfn.CONCAT(Tableau1[[#This Row],[POL]],"-",Tableau1[[#This Row],[Carrier]],"-",Tableau1[[#This Row],[POD]])</f>
        <v>#N/A</v>
      </c>
      <c r="F241" s="64" t="str">
        <f>_xlfn.CONCAT(Tableau1[[#This Row],[ID]],"-","Actif")</f>
        <v>-Actif</v>
      </c>
      <c r="G241" s="64" t="e">
        <f ca="1">_xlfn.CONCAT(Tableau1[[#This Row],[POD]],"-",Tableau1[[#This Row],[Code PFI]],"-",Tableau1[[#This Row],[Compte Consignee]])</f>
        <v>#N/A</v>
      </c>
      <c r="H24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1" s="117" t="str">
        <f ca="1">IF(COUNTIF(I:I,Tableau1[[#This Row],[Plant-ILN-shipper-POL-Carrier-POD-PFI]])=1,"Non","Oui")</f>
        <v>Oui</v>
      </c>
      <c r="K241" s="399" t="e">
        <f>VLOOKUP(Tableau1[[#This Row],[Name Site]],Plant_AILN!A:D,4,FALSE)</f>
        <v>#N/A</v>
      </c>
      <c r="L241" s="10"/>
      <c r="M241" s="480" t="e">
        <f>VLOOKUP(Tableau1[[#This Row],[Name Site]],Plant_AILN!A:C,3,FALSE)</f>
        <v>#N/A</v>
      </c>
      <c r="N241" s="55" t="e">
        <f>VLOOKUP(Tableau1[[#This Row],[Compte Consignee]],Order!C:D,2,FALSE)</f>
        <v>#N/A</v>
      </c>
      <c r="O241" s="122"/>
      <c r="P241" s="481" t="e">
        <f>VLOOKUP(Tableau1[[#This Row],[Name ILN]],Plant_AILN!F:G,2,FALSE)</f>
        <v>#N/A</v>
      </c>
      <c r="Q241" s="50" t="e">
        <f>VLOOKUP(Tableau1[[#This Row],[Compte ILN]],'DATA ILN'!D:I,6,FALSE)</f>
        <v>#N/A</v>
      </c>
      <c r="R241" s="50" t="e">
        <f>IFERROR(VLOOKUP(Tableau1[[#This Row],[Key(Compte ILN - shipper - POL - plant)]],'DATA ILN'!A:J,10,FALSE),VLOOKUP(Tableau1[[#This Row],[Key(Compte ILN - shipper - POL)]],'DATA ILN'!B:J,9,FALSE))</f>
        <v>#N/A</v>
      </c>
      <c r="S241" s="50" t="e">
        <f>IFERROR(VLOOKUP(Tableau1[[#This Row],[Key(Compte ILN - shipper - POL - plant)]],'DATA ILN'!A:K,11,FALSE),VLOOKUP(Tableau1[[#This Row],[Key(Compte ILN - shipper - POL)]],'DATA ILN'!B:K,10,FALSE))</f>
        <v>#N/A</v>
      </c>
      <c r="T241" s="50" t="e">
        <f>IFERROR(VLOOKUP(Tableau1[[#This Row],[Key(Compte ILN - shipper - POL - plant)]],'DATA ILN'!A:L,12,FALSE),VLOOKUP(Tableau1[[#This Row],[Key(Compte ILN - shipper - POL)]],'DATA ILN'!B:L,11,FALSE))</f>
        <v>#N/A</v>
      </c>
      <c r="U241" s="50" t="e">
        <f>Tableau1[[#This Row],[Day ILN Order]]+Tableau1[[#This Row],[Delivery time to ILN/Shipper]]-1</f>
        <v>#N/A</v>
      </c>
      <c r="V241" s="50" t="e">
        <f>IFERROR(VLOOKUP(Tableau1[[#This Row],[Key(Compte ILN - shipper - POL - plant)]],'DATA ILN'!A:N,14,FALSE),VLOOKUP(Tableau1[[#This Row],[Key(Compte ILN - shipper - POL)]],'DATA ILN'!B:N,13,FALSE))</f>
        <v>#N/A</v>
      </c>
      <c r="W241" s="50" t="e">
        <f>IFERROR(VLOOKUP(Tableau1[[#This Row],[Key(Compte ILN - shipper - POL - plant)]],'DATA ILN'!A:P,16,FALSE),VLOOKUP(Tableau1[[#This Row],[Key(Compte ILN - shipper - POL)]],'DATA ILN'!B:P,15,FALSE))</f>
        <v>#N/A</v>
      </c>
      <c r="X241" s="283"/>
      <c r="Y241" s="489">
        <f>IFERROR(VLOOKUP(Tableau1[[#This Row],[Name Shipper]],Plant_AILN!L:M,2,FALSE),0)</f>
        <v>0</v>
      </c>
      <c r="Z241" s="358"/>
      <c r="AA241" s="353" t="e">
        <f ca="1">VLOOKUP(Tableau1[[#This Row],[Key(ID-Actif)]],'DATA BTO'!A:N,5,FALSE)</f>
        <v>#N/A</v>
      </c>
      <c r="AB241" s="3" t="e">
        <f ca="1">VLOOKUP(Tableau1[[#This Row],[Key(ID-Actif)]],'DATA BTO'!A:N,6,FALSE)</f>
        <v>#N/A</v>
      </c>
      <c r="AC241" s="50" t="e">
        <f ca="1">VLOOKUP(Tableau1[[#This Row],[Key(ID-Actif)]],'DATA BTO'!A:N,7,FALSE)</f>
        <v>#N/A</v>
      </c>
      <c r="AD241" s="50" t="e">
        <f ca="1">VLOOKUP(Tableau1[[#This Row],[Key(ID-Actif)]],'DATA BTO'!A:N,8,FALSE)</f>
        <v>#N/A</v>
      </c>
      <c r="AE241" s="50" t="e">
        <f ca="1">IF(Tableau1[[#This Row],[First Day to POL]]&lt;=Tableau1[[#This Row],[Day Cut Off]],Tableau1[[#This Row],[Day ETD]],Tableau1[[#This Row],[Day ETD]]+7)</f>
        <v>#N/A</v>
      </c>
      <c r="AF241" s="50" t="e">
        <f ca="1">VLOOKUP(Tableau1[[#This Row],[Key(ID-Actif)]],'DATA BTO'!A:N,9,FALSE)</f>
        <v>#N/A</v>
      </c>
      <c r="AG241" s="3" t="e">
        <f ca="1">VLOOKUP(Tableau1[[#This Row],[Key(ID-Actif)]],'DATA BTO'!A:N,10,FALSE)</f>
        <v>#N/A</v>
      </c>
      <c r="AH241" s="3" t="e">
        <f ca="1">VLOOKUP(Tableau1[[#This Row],[Key(ID-Actif)]],'DATA BTO'!A:N,11,FALSE)</f>
        <v>#N/A</v>
      </c>
      <c r="AI241" s="50" t="e">
        <f ca="1">VLOOKUP(Tableau1[[#This Row],[Key(ID-Actif)]],'DATA BTO'!A:N,12,FALSE)</f>
        <v>#N/A</v>
      </c>
      <c r="AJ241" s="53" t="e">
        <f ca="1">VLOOKUP(Tableau1[[#This Row],[Key(ID-Actif)]],'DATA BTO'!A:N,14,FALSE)</f>
        <v>#N/A</v>
      </c>
      <c r="AK241" s="54" t="e">
        <f ca="1">VLOOKUP(Tableau1[[#This Row],[Key(POD -PFI- Usine)]],'DATA Consignee'!A:F,6,FALSE)</f>
        <v>#N/A</v>
      </c>
      <c r="AL241" s="136"/>
      <c r="AM241" s="490" t="str">
        <f>IF(Tableau1[[#This Row],[Name PFI/CDD]]="","-",VLOOKUP(Tableau1[[#This Row],[Name PFI/CDD]],Plant_AILN!I:J,2,FALSE))</f>
        <v>-</v>
      </c>
      <c r="AN24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1" s="2" t="e">
        <f ca="1">VLOOKUP(Tableau1[[#This Row],[Key(POD -PFI- Usine)]],'DATA Consignee'!A:J,10,FALSE)</f>
        <v>#N/A</v>
      </c>
      <c r="AQ241" s="50" t="e">
        <f ca="1">VLOOKUP(Tableau1[[#This Row],[Key(POD -PFI- Usine)]],'DATA Consignee'!A:N,14,FALSE)</f>
        <v>#N/A</v>
      </c>
      <c r="AR24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1" s="50" t="e">
        <f ca="1">Tableau1[[#This Row],[Transit time]]+Tableau1[[#This Row],[Time for security]]+Tableau1[[#This Row],[Time for security2 buffer]]</f>
        <v>#N/A</v>
      </c>
      <c r="AU24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1" s="50" t="e">
        <f ca="1">Tableau1[[#This Row],[Leadtime SI2C]]+Tableau1[[#This Row],[First Receipt Days]]-Tableau1[[#This Row],[Day Customer Order]]+1</f>
        <v>#N/A</v>
      </c>
      <c r="AW241" s="117" t="e">
        <f ca="1">IF(Tableau1[[#This Row],[Name ILN]]&lt;&gt;"SFK Freight Forwarder",Tableau1[[#This Row],[Cust. Leadtime]],Tableau1[[#This Row],[Leadtime SI2C]])</f>
        <v>#N/A</v>
      </c>
      <c r="AX241" s="51" t="e">
        <f>VLOOKUP(Tableau1[[#This Row],[ID]],'DATA BTO'!B:P,15,FALSE)</f>
        <v>#N/A</v>
      </c>
      <c r="AY241" s="328" t="e">
        <f ca="1">IFERROR(VLOOKUP(Tableau1[[#This Row],[Key(ID-Actif)]],'DATA BTO'!A:N,4,FALSE),VLOOKUP(Tableau1[[#This Row],[ID]],'DATA BTO'!B:N,3,FALSE))</f>
        <v>#N/A</v>
      </c>
      <c r="AZ24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1" s="50"/>
    </row>
    <row r="242" spans="2:57">
      <c r="B242" s="65" t="str">
        <f>_xlfn.CONCAT(Tableau1[[#This Row],[Name ILN]],"-",Tableau1[[#This Row],[Name Shipper]],"-",Tableau1[[#This Row],[Name Site]])</f>
        <v>--</v>
      </c>
      <c r="C242" s="65" t="e">
        <f>_xlfn.CONCAT(Tableau1[[#This Row],[Compte ILN]],"-",Tableau1[[#This Row],[Compte Shipper]],"-",Tableau1[[#This Row],[POL]],"-",Tableau1[[#This Row],[Compte Consignee]])</f>
        <v>#N/A</v>
      </c>
      <c r="D242" s="64" t="e">
        <f>_xlfn.CONCAT(Tableau1[[#This Row],[Compte ILN]],"-",Tableau1[[#This Row],[Compte Shipper]],"-",Tableau1[[#This Row],[POL]])</f>
        <v>#N/A</v>
      </c>
      <c r="E242" s="128" t="e">
        <f ca="1">_xlfn.CONCAT(Tableau1[[#This Row],[POL]],"-",Tableau1[[#This Row],[Carrier]],"-",Tableau1[[#This Row],[POD]])</f>
        <v>#N/A</v>
      </c>
      <c r="F242" s="64" t="str">
        <f>_xlfn.CONCAT(Tableau1[[#This Row],[ID]],"-","Actif")</f>
        <v>-Actif</v>
      </c>
      <c r="G242" s="64" t="e">
        <f ca="1">_xlfn.CONCAT(Tableau1[[#This Row],[POD]],"-",Tableau1[[#This Row],[Code PFI]],"-",Tableau1[[#This Row],[Compte Consignee]])</f>
        <v>#N/A</v>
      </c>
      <c r="H24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2" s="117" t="str">
        <f ca="1">IF(COUNTIF(I:I,Tableau1[[#This Row],[Plant-ILN-shipper-POL-Carrier-POD-PFI]])=1,"Non","Oui")</f>
        <v>Oui</v>
      </c>
      <c r="K242" s="399" t="e">
        <f>VLOOKUP(Tableau1[[#This Row],[Name Site]],Plant_AILN!A:D,4,FALSE)</f>
        <v>#N/A</v>
      </c>
      <c r="L242" s="10"/>
      <c r="M242" s="480" t="e">
        <f>VLOOKUP(Tableau1[[#This Row],[Name Site]],Plant_AILN!A:C,3,FALSE)</f>
        <v>#N/A</v>
      </c>
      <c r="N242" s="55" t="e">
        <f>VLOOKUP(Tableau1[[#This Row],[Compte Consignee]],Order!C:D,2,FALSE)</f>
        <v>#N/A</v>
      </c>
      <c r="O242" s="122"/>
      <c r="P242" s="481" t="e">
        <f>VLOOKUP(Tableau1[[#This Row],[Name ILN]],Plant_AILN!F:G,2,FALSE)</f>
        <v>#N/A</v>
      </c>
      <c r="Q242" s="50" t="e">
        <f>VLOOKUP(Tableau1[[#This Row],[Compte ILN]],'DATA ILN'!D:I,6,FALSE)</f>
        <v>#N/A</v>
      </c>
      <c r="R242" s="50" t="e">
        <f>IFERROR(VLOOKUP(Tableau1[[#This Row],[Key(Compte ILN - shipper - POL - plant)]],'DATA ILN'!A:J,10,FALSE),VLOOKUP(Tableau1[[#This Row],[Key(Compte ILN - shipper - POL)]],'DATA ILN'!B:J,9,FALSE))</f>
        <v>#N/A</v>
      </c>
      <c r="S242" s="50" t="e">
        <f>IFERROR(VLOOKUP(Tableau1[[#This Row],[Key(Compte ILN - shipper - POL - plant)]],'DATA ILN'!A:K,11,FALSE),VLOOKUP(Tableau1[[#This Row],[Key(Compte ILN - shipper - POL)]],'DATA ILN'!B:K,10,FALSE))</f>
        <v>#N/A</v>
      </c>
      <c r="T242" s="50" t="e">
        <f>IFERROR(VLOOKUP(Tableau1[[#This Row],[Key(Compte ILN - shipper - POL - plant)]],'DATA ILN'!A:L,12,FALSE),VLOOKUP(Tableau1[[#This Row],[Key(Compte ILN - shipper - POL)]],'DATA ILN'!B:L,11,FALSE))</f>
        <v>#N/A</v>
      </c>
      <c r="U242" s="50" t="e">
        <f>Tableau1[[#This Row],[Day ILN Order]]+Tableau1[[#This Row],[Delivery time to ILN/Shipper]]-1</f>
        <v>#N/A</v>
      </c>
      <c r="V242" s="50" t="e">
        <f>IFERROR(VLOOKUP(Tableau1[[#This Row],[Key(Compte ILN - shipper - POL - plant)]],'DATA ILN'!A:N,14,FALSE),VLOOKUP(Tableau1[[#This Row],[Key(Compte ILN - shipper - POL)]],'DATA ILN'!B:N,13,FALSE))</f>
        <v>#N/A</v>
      </c>
      <c r="W242" s="50" t="e">
        <f>IFERROR(VLOOKUP(Tableau1[[#This Row],[Key(Compte ILN - shipper - POL - plant)]],'DATA ILN'!A:P,16,FALSE),VLOOKUP(Tableau1[[#This Row],[Key(Compte ILN - shipper - POL)]],'DATA ILN'!B:P,15,FALSE))</f>
        <v>#N/A</v>
      </c>
      <c r="X242" s="283"/>
      <c r="Y242" s="489">
        <f>IFERROR(VLOOKUP(Tableau1[[#This Row],[Name Shipper]],Plant_AILN!L:M,2,FALSE),0)</f>
        <v>0</v>
      </c>
      <c r="Z242" s="358"/>
      <c r="AA242" s="353" t="e">
        <f ca="1">VLOOKUP(Tableau1[[#This Row],[Key(ID-Actif)]],'DATA BTO'!A:N,5,FALSE)</f>
        <v>#N/A</v>
      </c>
      <c r="AB242" s="3" t="e">
        <f ca="1">VLOOKUP(Tableau1[[#This Row],[Key(ID-Actif)]],'DATA BTO'!A:N,6,FALSE)</f>
        <v>#N/A</v>
      </c>
      <c r="AC242" s="50" t="e">
        <f ca="1">VLOOKUP(Tableau1[[#This Row],[Key(ID-Actif)]],'DATA BTO'!A:N,7,FALSE)</f>
        <v>#N/A</v>
      </c>
      <c r="AD242" s="50" t="e">
        <f ca="1">VLOOKUP(Tableau1[[#This Row],[Key(ID-Actif)]],'DATA BTO'!A:N,8,FALSE)</f>
        <v>#N/A</v>
      </c>
      <c r="AE242" s="50" t="e">
        <f ca="1">IF(Tableau1[[#This Row],[First Day to POL]]&lt;=Tableau1[[#This Row],[Day Cut Off]],Tableau1[[#This Row],[Day ETD]],Tableau1[[#This Row],[Day ETD]]+7)</f>
        <v>#N/A</v>
      </c>
      <c r="AF242" s="50" t="e">
        <f ca="1">VLOOKUP(Tableau1[[#This Row],[Key(ID-Actif)]],'DATA BTO'!A:N,9,FALSE)</f>
        <v>#N/A</v>
      </c>
      <c r="AG242" s="3" t="e">
        <f ca="1">VLOOKUP(Tableau1[[#This Row],[Key(ID-Actif)]],'DATA BTO'!A:N,10,FALSE)</f>
        <v>#N/A</v>
      </c>
      <c r="AH242" s="3" t="e">
        <f ca="1">VLOOKUP(Tableau1[[#This Row],[Key(ID-Actif)]],'DATA BTO'!A:N,11,FALSE)</f>
        <v>#N/A</v>
      </c>
      <c r="AI242" s="50" t="e">
        <f ca="1">VLOOKUP(Tableau1[[#This Row],[Key(ID-Actif)]],'DATA BTO'!A:N,12,FALSE)</f>
        <v>#N/A</v>
      </c>
      <c r="AJ242" s="53" t="e">
        <f ca="1">VLOOKUP(Tableau1[[#This Row],[Key(ID-Actif)]],'DATA BTO'!A:N,14,FALSE)</f>
        <v>#N/A</v>
      </c>
      <c r="AK242" s="54" t="e">
        <f ca="1">VLOOKUP(Tableau1[[#This Row],[Key(POD -PFI- Usine)]],'DATA Consignee'!A:F,6,FALSE)</f>
        <v>#N/A</v>
      </c>
      <c r="AL242" s="136"/>
      <c r="AM242" s="490" t="str">
        <f>IF(Tableau1[[#This Row],[Name PFI/CDD]]="","-",VLOOKUP(Tableau1[[#This Row],[Name PFI/CDD]],Plant_AILN!I:J,2,FALSE))</f>
        <v>-</v>
      </c>
      <c r="AN24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2" s="2" t="e">
        <f ca="1">VLOOKUP(Tableau1[[#This Row],[Key(POD -PFI- Usine)]],'DATA Consignee'!A:J,10,FALSE)</f>
        <v>#N/A</v>
      </c>
      <c r="AQ242" s="50" t="e">
        <f ca="1">VLOOKUP(Tableau1[[#This Row],[Key(POD -PFI- Usine)]],'DATA Consignee'!A:N,14,FALSE)</f>
        <v>#N/A</v>
      </c>
      <c r="AR24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2" s="50" t="e">
        <f ca="1">Tableau1[[#This Row],[Transit time]]+Tableau1[[#This Row],[Time for security]]+Tableau1[[#This Row],[Time for security2 buffer]]</f>
        <v>#N/A</v>
      </c>
      <c r="AU24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2" s="50" t="e">
        <f ca="1">Tableau1[[#This Row],[Leadtime SI2C]]+Tableau1[[#This Row],[First Receipt Days]]-Tableau1[[#This Row],[Day Customer Order]]+1</f>
        <v>#N/A</v>
      </c>
      <c r="AW242" s="117" t="e">
        <f ca="1">IF(Tableau1[[#This Row],[Name ILN]]&lt;&gt;"SFK Freight Forwarder",Tableau1[[#This Row],[Cust. Leadtime]],Tableau1[[#This Row],[Leadtime SI2C]])</f>
        <v>#N/A</v>
      </c>
      <c r="AX242" s="51" t="e">
        <f>VLOOKUP(Tableau1[[#This Row],[ID]],'DATA BTO'!B:P,15,FALSE)</f>
        <v>#N/A</v>
      </c>
      <c r="AY242" s="328" t="e">
        <f ca="1">IFERROR(VLOOKUP(Tableau1[[#This Row],[Key(ID-Actif)]],'DATA BTO'!A:N,4,FALSE),VLOOKUP(Tableau1[[#This Row],[ID]],'DATA BTO'!B:N,3,FALSE))</f>
        <v>#N/A</v>
      </c>
      <c r="AZ24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2" s="50"/>
    </row>
    <row r="243" spans="2:57">
      <c r="B243" s="65" t="str">
        <f>_xlfn.CONCAT(Tableau1[[#This Row],[Name ILN]],"-",Tableau1[[#This Row],[Name Shipper]],"-",Tableau1[[#This Row],[Name Site]])</f>
        <v>--</v>
      </c>
      <c r="C243" s="65" t="e">
        <f>_xlfn.CONCAT(Tableau1[[#This Row],[Compte ILN]],"-",Tableau1[[#This Row],[Compte Shipper]],"-",Tableau1[[#This Row],[POL]],"-",Tableau1[[#This Row],[Compte Consignee]])</f>
        <v>#N/A</v>
      </c>
      <c r="D243" s="80" t="e">
        <f>_xlfn.CONCAT(Tableau1[[#This Row],[Compte ILN]],"-",Tableau1[[#This Row],[Compte Shipper]],"-",Tableau1[[#This Row],[POL]])</f>
        <v>#N/A</v>
      </c>
      <c r="E243" s="81" t="e">
        <f ca="1">_xlfn.CONCAT(Tableau1[[#This Row],[POL]],"-",Tableau1[[#This Row],[Carrier]],"-",Tableau1[[#This Row],[POD]])</f>
        <v>#N/A</v>
      </c>
      <c r="F243" s="80" t="str">
        <f>_xlfn.CONCAT(Tableau1[[#This Row],[ID]],"-","Actif")</f>
        <v>-Actif</v>
      </c>
      <c r="G243" s="80" t="e">
        <f ca="1">_xlfn.CONCAT(Tableau1[[#This Row],[POD]],"-",Tableau1[[#This Row],[Code PFI]],"-",Tableau1[[#This Row],[Compte Consignee]])</f>
        <v>#N/A</v>
      </c>
      <c r="H24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3" s="118" t="str">
        <f ca="1">IF(COUNTIF(I:I,Tableau1[[#This Row],[Plant-ILN-shipper-POL-Carrier-POD-PFI]])=1,"Non","Oui")</f>
        <v>Oui</v>
      </c>
      <c r="K243" s="449" t="e">
        <f>VLOOKUP(Tableau1[[#This Row],[Name Site]],Plant_AILN!A:D,4,FALSE)</f>
        <v>#N/A</v>
      </c>
      <c r="L243" s="451"/>
      <c r="M243" s="480" t="e">
        <f>VLOOKUP(Tableau1[[#This Row],[Name Site]],Plant_AILN!A:C,3,FALSE)</f>
        <v>#N/A</v>
      </c>
      <c r="N243" s="102" t="e">
        <f>VLOOKUP(Tableau1[[#This Row],[Compte Consignee]],Order!C:D,2,FALSE)</f>
        <v>#N/A</v>
      </c>
      <c r="O243" s="124"/>
      <c r="P243" s="484" t="e">
        <f>VLOOKUP(Tableau1[[#This Row],[Name ILN]],Plant_AILN!F:G,2,FALSE)</f>
        <v>#N/A</v>
      </c>
      <c r="Q243" s="79" t="e">
        <f>VLOOKUP(Tableau1[[#This Row],[Compte ILN]],'DATA ILN'!D:I,6,FALSE)</f>
        <v>#N/A</v>
      </c>
      <c r="R243" s="79" t="e">
        <f>IFERROR(VLOOKUP(Tableau1[[#This Row],[Key(Compte ILN - shipper - POL - plant)]],'DATA ILN'!A:J,10,FALSE),VLOOKUP(Tableau1[[#This Row],[Key(Compte ILN - shipper - POL)]],'DATA ILN'!B:J,9,FALSE))</f>
        <v>#N/A</v>
      </c>
      <c r="S243" s="79" t="e">
        <f>IFERROR(VLOOKUP(Tableau1[[#This Row],[Key(Compte ILN - shipper - POL - plant)]],'DATA ILN'!A:K,11,FALSE),VLOOKUP(Tableau1[[#This Row],[Key(Compte ILN - shipper - POL)]],'DATA ILN'!B:K,10,FALSE))</f>
        <v>#N/A</v>
      </c>
      <c r="T243" s="79" t="e">
        <f>IFERROR(VLOOKUP(Tableau1[[#This Row],[Key(Compte ILN - shipper - POL - plant)]],'DATA ILN'!A:L,12,FALSE),VLOOKUP(Tableau1[[#This Row],[Key(Compte ILN - shipper - POL)]],'DATA ILN'!B:L,11,FALSE))</f>
        <v>#N/A</v>
      </c>
      <c r="U243" s="79" t="e">
        <f>Tableau1[[#This Row],[Day ILN Order]]+Tableau1[[#This Row],[Delivery time to ILN/Shipper]]-1</f>
        <v>#N/A</v>
      </c>
      <c r="V243" s="79" t="e">
        <f>IFERROR(VLOOKUP(Tableau1[[#This Row],[Key(Compte ILN - shipper - POL - plant)]],'DATA ILN'!A:N,14,FALSE),VLOOKUP(Tableau1[[#This Row],[Key(Compte ILN - shipper - POL)]],'DATA ILN'!B:N,13,FALSE))</f>
        <v>#N/A</v>
      </c>
      <c r="W243" s="79" t="e">
        <f>IFERROR(VLOOKUP(Tableau1[[#This Row],[Key(Compte ILN - shipper - POL - plant)]],'DATA ILN'!A:P,16,FALSE),VLOOKUP(Tableau1[[#This Row],[Key(Compte ILN - shipper - POL)]],'DATA ILN'!B:P,15,FALSE))</f>
        <v>#N/A</v>
      </c>
      <c r="X243" s="124"/>
      <c r="Y243" s="485">
        <f>IFERROR(VLOOKUP(Tableau1[[#This Row],[Name Shipper]],Plant_AILN!L:M,2,FALSE),0)</f>
        <v>0</v>
      </c>
      <c r="Z243" s="369"/>
      <c r="AA243" s="354" t="e">
        <f ca="1">VLOOKUP(Tableau1[[#This Row],[Key(ID-Actif)]],'DATA BTO'!A:N,5,FALSE)</f>
        <v>#N/A</v>
      </c>
      <c r="AB243" s="106" t="e">
        <f ca="1">VLOOKUP(Tableau1[[#This Row],[Key(ID-Actif)]],'DATA BTO'!A:N,6,FALSE)</f>
        <v>#N/A</v>
      </c>
      <c r="AC243" s="79" t="e">
        <f ca="1">VLOOKUP(Tableau1[[#This Row],[Key(ID-Actif)]],'DATA BTO'!A:N,7,FALSE)</f>
        <v>#N/A</v>
      </c>
      <c r="AD243" s="79" t="e">
        <f ca="1">VLOOKUP(Tableau1[[#This Row],[Key(ID-Actif)]],'DATA BTO'!A:N,8,FALSE)</f>
        <v>#N/A</v>
      </c>
      <c r="AE243" s="79" t="e">
        <f ca="1">IF(Tableau1[[#This Row],[First Day to POL]]&lt;=Tableau1[[#This Row],[Day Cut Off]],Tableau1[[#This Row],[Day ETD]],Tableau1[[#This Row],[Day ETD]]+7)</f>
        <v>#N/A</v>
      </c>
      <c r="AF243" s="79" t="e">
        <f ca="1">VLOOKUP(Tableau1[[#This Row],[Key(ID-Actif)]],'DATA BTO'!A:N,9,FALSE)</f>
        <v>#N/A</v>
      </c>
      <c r="AG243" s="106" t="e">
        <f ca="1">VLOOKUP(Tableau1[[#This Row],[Key(ID-Actif)]],'DATA BTO'!A:N,10,FALSE)</f>
        <v>#N/A</v>
      </c>
      <c r="AH243" s="106" t="e">
        <f ca="1">VLOOKUP(Tableau1[[#This Row],[Key(ID-Actif)]],'DATA BTO'!A:N,11,FALSE)</f>
        <v>#N/A</v>
      </c>
      <c r="AI243" s="79" t="e">
        <f ca="1">VLOOKUP(Tableau1[[#This Row],[Key(ID-Actif)]],'DATA BTO'!A:N,12,FALSE)</f>
        <v>#N/A</v>
      </c>
      <c r="AJ243" s="104" t="e">
        <f ca="1">VLOOKUP(Tableau1[[#This Row],[Key(ID-Actif)]],'DATA BTO'!A:N,14,FALSE)</f>
        <v>#N/A</v>
      </c>
      <c r="AK243" s="105" t="e">
        <f ca="1">VLOOKUP(Tableau1[[#This Row],[Key(POD -PFI- Usine)]],'DATA Consignee'!A:F,6,FALSE)</f>
        <v>#N/A</v>
      </c>
      <c r="AL243" s="136"/>
      <c r="AM243" s="486" t="str">
        <f>IF(Tableau1[[#This Row],[Name PFI/CDD]]="","-",VLOOKUP(Tableau1[[#This Row],[Name PFI/CDD]],Plant_AILN!I:J,2,FALSE))</f>
        <v>-</v>
      </c>
      <c r="AN24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3" s="108" t="e">
        <f ca="1">VLOOKUP(Tableau1[[#This Row],[Key(POD -PFI- Usine)]],'DATA Consignee'!A:J,10,FALSE)</f>
        <v>#N/A</v>
      </c>
      <c r="AQ243" s="79" t="e">
        <f ca="1">VLOOKUP(Tableau1[[#This Row],[Key(POD -PFI- Usine)]],'DATA Consignee'!A:N,14,FALSE)</f>
        <v>#N/A</v>
      </c>
      <c r="AR24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3" s="79" t="e">
        <f ca="1">Tableau1[[#This Row],[Transit time]]+Tableau1[[#This Row],[Time for security]]+Tableau1[[#This Row],[Time for security2 buffer]]</f>
        <v>#N/A</v>
      </c>
      <c r="AU24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3" s="79" t="e">
        <f ca="1">Tableau1[[#This Row],[Leadtime SI2C]]+Tableau1[[#This Row],[First Receipt Days]]-Tableau1[[#This Row],[Day Customer Order]]+1</f>
        <v>#N/A</v>
      </c>
      <c r="AW243" s="118" t="e">
        <f ca="1">IF(Tableau1[[#This Row],[Name ILN]]&lt;&gt;"SFK Freight Forwarder",Tableau1[[#This Row],[Cust. Leadtime]],Tableau1[[#This Row],[Leadtime SI2C]])</f>
        <v>#N/A</v>
      </c>
      <c r="AX243" s="51" t="e">
        <f>VLOOKUP(Tableau1[[#This Row],[ID]],'DATA BTO'!B:P,15,FALSE)</f>
        <v>#N/A</v>
      </c>
      <c r="AY243" s="328" t="e">
        <f ca="1">IFERROR(VLOOKUP(Tableau1[[#This Row],[Key(ID-Actif)]],'DATA BTO'!A:N,4,FALSE),VLOOKUP(Tableau1[[#This Row],[ID]],'DATA BTO'!B:N,3,FALSE))</f>
        <v>#N/A</v>
      </c>
      <c r="AZ24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3" s="50"/>
    </row>
    <row r="244" spans="2:57">
      <c r="B244" s="65" t="str">
        <f>_xlfn.CONCAT(Tableau1[[#This Row],[Name ILN]],"-",Tableau1[[#This Row],[Name Shipper]],"-",Tableau1[[#This Row],[Name Site]])</f>
        <v>--</v>
      </c>
      <c r="C244" s="65" t="e">
        <f>_xlfn.CONCAT(Tableau1[[#This Row],[Compte ILN]],"-",Tableau1[[#This Row],[Compte Shipper]],"-",Tableau1[[#This Row],[POL]],"-",Tableau1[[#This Row],[Compte Consignee]])</f>
        <v>#N/A</v>
      </c>
      <c r="D244" s="80" t="e">
        <f>_xlfn.CONCAT(Tableau1[[#This Row],[Compte ILN]],"-",Tableau1[[#This Row],[Compte Shipper]],"-",Tableau1[[#This Row],[POL]])</f>
        <v>#N/A</v>
      </c>
      <c r="E244" s="81" t="e">
        <f ca="1">_xlfn.CONCAT(Tableau1[[#This Row],[POL]],"-",Tableau1[[#This Row],[Carrier]],"-",Tableau1[[#This Row],[POD]])</f>
        <v>#N/A</v>
      </c>
      <c r="F244" s="80" t="str">
        <f>_xlfn.CONCAT(Tableau1[[#This Row],[ID]],"-","Actif")</f>
        <v>-Actif</v>
      </c>
      <c r="G244" s="80" t="e">
        <f ca="1">_xlfn.CONCAT(Tableau1[[#This Row],[POD]],"-",Tableau1[[#This Row],[Code PFI]],"-",Tableau1[[#This Row],[Compte Consignee]])</f>
        <v>#N/A</v>
      </c>
      <c r="H24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4" s="118" t="str">
        <f ca="1">IF(COUNTIF(I:I,Tableau1[[#This Row],[Plant-ILN-shipper-POL-Carrier-POD-PFI]])=1,"Non","Oui")</f>
        <v>Oui</v>
      </c>
      <c r="K244" s="449" t="e">
        <f>VLOOKUP(Tableau1[[#This Row],[Name Site]],Plant_AILN!A:D,4,FALSE)</f>
        <v>#N/A</v>
      </c>
      <c r="L244" s="10"/>
      <c r="M244" s="480" t="e">
        <f>VLOOKUP(Tableau1[[#This Row],[Name Site]],Plant_AILN!A:C,3,FALSE)</f>
        <v>#N/A</v>
      </c>
      <c r="N244" s="102" t="e">
        <f>VLOOKUP(Tableau1[[#This Row],[Compte Consignee]],Order!C:D,2,FALSE)</f>
        <v>#N/A</v>
      </c>
      <c r="O244" s="124"/>
      <c r="P244" s="484" t="e">
        <f>VLOOKUP(Tableau1[[#This Row],[Name ILN]],Plant_AILN!F:G,2,FALSE)</f>
        <v>#N/A</v>
      </c>
      <c r="Q244" s="79" t="e">
        <f>VLOOKUP(Tableau1[[#This Row],[Compte ILN]],'DATA ILN'!D:I,6,FALSE)</f>
        <v>#N/A</v>
      </c>
      <c r="R244" s="79" t="e">
        <f>IFERROR(VLOOKUP(Tableau1[[#This Row],[Key(Compte ILN - shipper - POL - plant)]],'DATA ILN'!A:J,10,FALSE),VLOOKUP(Tableau1[[#This Row],[Key(Compte ILN - shipper - POL)]],'DATA ILN'!B:J,9,FALSE))</f>
        <v>#N/A</v>
      </c>
      <c r="S244" s="79" t="e">
        <f>IFERROR(VLOOKUP(Tableau1[[#This Row],[Key(Compte ILN - shipper - POL - plant)]],'DATA ILN'!A:K,11,FALSE),VLOOKUP(Tableau1[[#This Row],[Key(Compte ILN - shipper - POL)]],'DATA ILN'!B:K,10,FALSE))</f>
        <v>#N/A</v>
      </c>
      <c r="T244" s="79" t="e">
        <f>IFERROR(VLOOKUP(Tableau1[[#This Row],[Key(Compte ILN - shipper - POL - plant)]],'DATA ILN'!A:L,12,FALSE),VLOOKUP(Tableau1[[#This Row],[Key(Compte ILN - shipper - POL)]],'DATA ILN'!B:L,11,FALSE))</f>
        <v>#N/A</v>
      </c>
      <c r="U244" s="79" t="e">
        <f>Tableau1[[#This Row],[Day ILN Order]]+Tableau1[[#This Row],[Delivery time to ILN/Shipper]]-1</f>
        <v>#N/A</v>
      </c>
      <c r="V244" s="79" t="e">
        <f>IFERROR(VLOOKUP(Tableau1[[#This Row],[Key(Compte ILN - shipper - POL - plant)]],'DATA ILN'!A:N,14,FALSE),VLOOKUP(Tableau1[[#This Row],[Key(Compte ILN - shipper - POL)]],'DATA ILN'!B:N,13,FALSE))</f>
        <v>#N/A</v>
      </c>
      <c r="W244" s="79" t="e">
        <f>IFERROR(VLOOKUP(Tableau1[[#This Row],[Key(Compte ILN - shipper - POL - plant)]],'DATA ILN'!A:P,16,FALSE),VLOOKUP(Tableau1[[#This Row],[Key(Compte ILN - shipper - POL)]],'DATA ILN'!B:P,15,FALSE))</f>
        <v>#N/A</v>
      </c>
      <c r="X244" s="124"/>
      <c r="Y244" s="485">
        <f>IFERROR(VLOOKUP(Tableau1[[#This Row],[Name Shipper]],Plant_AILN!L:M,2,FALSE),0)</f>
        <v>0</v>
      </c>
      <c r="Z244" s="369"/>
      <c r="AA244" s="354" t="e">
        <f ca="1">VLOOKUP(Tableau1[[#This Row],[Key(ID-Actif)]],'DATA BTO'!A:N,5,FALSE)</f>
        <v>#N/A</v>
      </c>
      <c r="AB244" s="106" t="e">
        <f ca="1">VLOOKUP(Tableau1[[#This Row],[Key(ID-Actif)]],'DATA BTO'!A:N,6,FALSE)</f>
        <v>#N/A</v>
      </c>
      <c r="AC244" s="79" t="e">
        <f ca="1">VLOOKUP(Tableau1[[#This Row],[Key(ID-Actif)]],'DATA BTO'!A:N,7,FALSE)</f>
        <v>#N/A</v>
      </c>
      <c r="AD244" s="79" t="e">
        <f ca="1">VLOOKUP(Tableau1[[#This Row],[Key(ID-Actif)]],'DATA BTO'!A:N,8,FALSE)</f>
        <v>#N/A</v>
      </c>
      <c r="AE244" s="79" t="e">
        <f ca="1">IF(Tableau1[[#This Row],[First Day to POL]]&lt;=Tableau1[[#This Row],[Day Cut Off]],Tableau1[[#This Row],[Day ETD]],Tableau1[[#This Row],[Day ETD]]+7)</f>
        <v>#N/A</v>
      </c>
      <c r="AF244" s="79" t="e">
        <f ca="1">VLOOKUP(Tableau1[[#This Row],[Key(ID-Actif)]],'DATA BTO'!A:N,9,FALSE)</f>
        <v>#N/A</v>
      </c>
      <c r="AG244" s="106" t="e">
        <f ca="1">VLOOKUP(Tableau1[[#This Row],[Key(ID-Actif)]],'DATA BTO'!A:N,10,FALSE)</f>
        <v>#N/A</v>
      </c>
      <c r="AH244" s="106" t="e">
        <f ca="1">VLOOKUP(Tableau1[[#This Row],[Key(ID-Actif)]],'DATA BTO'!A:N,11,FALSE)</f>
        <v>#N/A</v>
      </c>
      <c r="AI244" s="79" t="e">
        <f ca="1">VLOOKUP(Tableau1[[#This Row],[Key(ID-Actif)]],'DATA BTO'!A:N,12,FALSE)</f>
        <v>#N/A</v>
      </c>
      <c r="AJ244" s="104" t="e">
        <f ca="1">VLOOKUP(Tableau1[[#This Row],[Key(ID-Actif)]],'DATA BTO'!A:N,14,FALSE)</f>
        <v>#N/A</v>
      </c>
      <c r="AK244" s="105" t="e">
        <f ca="1">VLOOKUP(Tableau1[[#This Row],[Key(POD -PFI- Usine)]],'DATA Consignee'!A:F,6,FALSE)</f>
        <v>#N/A</v>
      </c>
      <c r="AL244" s="136"/>
      <c r="AM244" s="486" t="str">
        <f>IF(Tableau1[[#This Row],[Name PFI/CDD]]="","-",VLOOKUP(Tableau1[[#This Row],[Name PFI/CDD]],Plant_AILN!I:J,2,FALSE))</f>
        <v>-</v>
      </c>
      <c r="AN24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4" s="108" t="e">
        <f ca="1">VLOOKUP(Tableau1[[#This Row],[Key(POD -PFI- Usine)]],'DATA Consignee'!A:J,10,FALSE)</f>
        <v>#N/A</v>
      </c>
      <c r="AQ244" s="79" t="e">
        <f ca="1">VLOOKUP(Tableau1[[#This Row],[Key(POD -PFI- Usine)]],'DATA Consignee'!A:N,14,FALSE)</f>
        <v>#N/A</v>
      </c>
      <c r="AR24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4" s="79" t="e">
        <f ca="1">Tableau1[[#This Row],[Transit time]]+Tableau1[[#This Row],[Time for security]]+Tableau1[[#This Row],[Time for security2 buffer]]</f>
        <v>#N/A</v>
      </c>
      <c r="AU24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4" s="79" t="e">
        <f ca="1">Tableau1[[#This Row],[Leadtime SI2C]]+Tableau1[[#This Row],[First Receipt Days]]-Tableau1[[#This Row],[Day Customer Order]]+1</f>
        <v>#N/A</v>
      </c>
      <c r="AW244" s="118" t="e">
        <f ca="1">IF(Tableau1[[#This Row],[Name ILN]]&lt;&gt;"SFK Freight Forwarder",Tableau1[[#This Row],[Cust. Leadtime]],Tableau1[[#This Row],[Leadtime SI2C]])</f>
        <v>#N/A</v>
      </c>
      <c r="AX244" s="51" t="e">
        <f>VLOOKUP(Tableau1[[#This Row],[ID]],'DATA BTO'!B:P,15,FALSE)</f>
        <v>#N/A</v>
      </c>
      <c r="AY244" s="328" t="e">
        <f ca="1">IFERROR(VLOOKUP(Tableau1[[#This Row],[Key(ID-Actif)]],'DATA BTO'!A:N,4,FALSE),VLOOKUP(Tableau1[[#This Row],[ID]],'DATA BTO'!B:N,3,FALSE))</f>
        <v>#N/A</v>
      </c>
      <c r="AZ24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4" s="50"/>
    </row>
    <row r="245" spans="2:57" ht="15.75" customHeight="1" thickBot="1">
      <c r="B245" s="65" t="str">
        <f>_xlfn.CONCAT(Tableau1[[#This Row],[Name ILN]],"-",Tableau1[[#This Row],[Name Shipper]],"-",Tableau1[[#This Row],[Name Site]])</f>
        <v>--</v>
      </c>
      <c r="C245" s="65" t="e">
        <f>_xlfn.CONCAT(Tableau1[[#This Row],[Compte ILN]],"-",Tableau1[[#This Row],[Compte Shipper]],"-",Tableau1[[#This Row],[POL]],"-",Tableau1[[#This Row],[Compte Consignee]])</f>
        <v>#N/A</v>
      </c>
      <c r="D245" s="80" t="e">
        <f>_xlfn.CONCAT(Tableau1[[#This Row],[Compte ILN]],"-",Tableau1[[#This Row],[Compte Shipper]],"-",Tableau1[[#This Row],[POL]])</f>
        <v>#N/A</v>
      </c>
      <c r="E245" s="81" t="e">
        <f ca="1">_xlfn.CONCAT(Tableau1[[#This Row],[POL]],"-",Tableau1[[#This Row],[Carrier]],"-",Tableau1[[#This Row],[POD]])</f>
        <v>#N/A</v>
      </c>
      <c r="F245" s="80" t="str">
        <f>_xlfn.CONCAT(Tableau1[[#This Row],[ID]],"-","Actif")</f>
        <v>-Actif</v>
      </c>
      <c r="G245" s="80" t="e">
        <f ca="1">_xlfn.CONCAT(Tableau1[[#This Row],[POD]],"-",Tableau1[[#This Row],[Code PFI]],"-",Tableau1[[#This Row],[Compte Consignee]])</f>
        <v>#N/A</v>
      </c>
      <c r="H24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5" s="118" t="str">
        <f ca="1">IF(COUNTIF(I:I,Tableau1[[#This Row],[Plant-ILN-shipper-POL-Carrier-POD-PFI]])=1,"Non","Oui")</f>
        <v>Oui</v>
      </c>
      <c r="K245" s="449" t="e">
        <f>VLOOKUP(Tableau1[[#This Row],[Name Site]],Plant_AILN!A:D,4,FALSE)</f>
        <v>#N/A</v>
      </c>
      <c r="L245" s="451"/>
      <c r="M245" s="480" t="e">
        <f>VLOOKUP(Tableau1[[#This Row],[Name Site]],Plant_AILN!A:C,3,FALSE)</f>
        <v>#N/A</v>
      </c>
      <c r="N245" s="102" t="e">
        <f>VLOOKUP(Tableau1[[#This Row],[Compte Consignee]],Order!C:D,2,FALSE)</f>
        <v>#N/A</v>
      </c>
      <c r="O245" s="124"/>
      <c r="P245" s="484" t="e">
        <f>VLOOKUP(Tableau1[[#This Row],[Name ILN]],Plant_AILN!F:G,2,FALSE)</f>
        <v>#N/A</v>
      </c>
      <c r="Q245" s="79" t="e">
        <f>VLOOKUP(Tableau1[[#This Row],[Compte ILN]],'DATA ILN'!D:I,6,FALSE)</f>
        <v>#N/A</v>
      </c>
      <c r="R245" s="79" t="e">
        <f>IFERROR(VLOOKUP(Tableau1[[#This Row],[Key(Compte ILN - shipper - POL - plant)]],'DATA ILN'!A:J,10,FALSE),VLOOKUP(Tableau1[[#This Row],[Key(Compte ILN - shipper - POL)]],'DATA ILN'!B:J,9,FALSE))</f>
        <v>#N/A</v>
      </c>
      <c r="S245" s="79" t="e">
        <f>IFERROR(VLOOKUP(Tableau1[[#This Row],[Key(Compte ILN - shipper - POL - plant)]],'DATA ILN'!A:K,11,FALSE),VLOOKUP(Tableau1[[#This Row],[Key(Compte ILN - shipper - POL)]],'DATA ILN'!B:K,10,FALSE))</f>
        <v>#N/A</v>
      </c>
      <c r="T245" s="79" t="e">
        <f>IFERROR(VLOOKUP(Tableau1[[#This Row],[Key(Compte ILN - shipper - POL - plant)]],'DATA ILN'!A:L,12,FALSE),VLOOKUP(Tableau1[[#This Row],[Key(Compte ILN - shipper - POL)]],'DATA ILN'!B:L,11,FALSE))</f>
        <v>#N/A</v>
      </c>
      <c r="U245" s="79" t="e">
        <f>Tableau1[[#This Row],[Day ILN Order]]+Tableau1[[#This Row],[Delivery time to ILN/Shipper]]-1</f>
        <v>#N/A</v>
      </c>
      <c r="V245" s="79" t="e">
        <f>IFERROR(VLOOKUP(Tableau1[[#This Row],[Key(Compte ILN - shipper - POL - plant)]],'DATA ILN'!A:N,14,FALSE),VLOOKUP(Tableau1[[#This Row],[Key(Compte ILN - shipper - POL)]],'DATA ILN'!B:N,13,FALSE))</f>
        <v>#N/A</v>
      </c>
      <c r="W245" s="79" t="e">
        <f>IFERROR(VLOOKUP(Tableau1[[#This Row],[Key(Compte ILN - shipper - POL - plant)]],'DATA ILN'!A:P,16,FALSE),VLOOKUP(Tableau1[[#This Row],[Key(Compte ILN - shipper - POL)]],'DATA ILN'!B:P,15,FALSE))</f>
        <v>#N/A</v>
      </c>
      <c r="X245" s="100"/>
      <c r="Y245" s="487">
        <f>IFERROR(VLOOKUP(Tableau1[[#This Row],[Name Shipper]],Plant_AILN!L:M,2,FALSE),0)</f>
        <v>0</v>
      </c>
      <c r="Z245" s="358"/>
      <c r="AA245" s="354" t="e">
        <f ca="1">VLOOKUP(Tableau1[[#This Row],[Key(ID-Actif)]],'DATA BTO'!A:N,5,FALSE)</f>
        <v>#N/A</v>
      </c>
      <c r="AB245" s="106" t="e">
        <f ca="1">VLOOKUP(Tableau1[[#This Row],[Key(ID-Actif)]],'DATA BTO'!A:N,6,FALSE)</f>
        <v>#N/A</v>
      </c>
      <c r="AC245" s="79" t="e">
        <f ca="1">VLOOKUP(Tableau1[[#This Row],[Key(ID-Actif)]],'DATA BTO'!A:N,7,FALSE)</f>
        <v>#N/A</v>
      </c>
      <c r="AD245" s="79" t="e">
        <f ca="1">VLOOKUP(Tableau1[[#This Row],[Key(ID-Actif)]],'DATA BTO'!A:N,8,FALSE)</f>
        <v>#N/A</v>
      </c>
      <c r="AE245" s="79" t="e">
        <f ca="1">IF(Tableau1[[#This Row],[First Day to POL]]&lt;=Tableau1[[#This Row],[Day Cut Off]],Tableau1[[#This Row],[Day ETD]],Tableau1[[#This Row],[Day ETD]]+7)</f>
        <v>#N/A</v>
      </c>
      <c r="AF245" s="79" t="e">
        <f ca="1">VLOOKUP(Tableau1[[#This Row],[Key(ID-Actif)]],'DATA BTO'!A:N,9,FALSE)</f>
        <v>#N/A</v>
      </c>
      <c r="AG245" s="106" t="e">
        <f ca="1">VLOOKUP(Tableau1[[#This Row],[Key(ID-Actif)]],'DATA BTO'!A:N,10,FALSE)</f>
        <v>#N/A</v>
      </c>
      <c r="AH245" s="106" t="e">
        <f ca="1">VLOOKUP(Tableau1[[#This Row],[Key(ID-Actif)]],'DATA BTO'!A:N,11,FALSE)</f>
        <v>#N/A</v>
      </c>
      <c r="AI245" s="79" t="e">
        <f ca="1">VLOOKUP(Tableau1[[#This Row],[Key(ID-Actif)]],'DATA BTO'!A:N,12,FALSE)</f>
        <v>#N/A</v>
      </c>
      <c r="AJ245" s="104" t="e">
        <f ca="1">VLOOKUP(Tableau1[[#This Row],[Key(ID-Actif)]],'DATA BTO'!A:N,14,FALSE)</f>
        <v>#N/A</v>
      </c>
      <c r="AK245" s="105" t="e">
        <f ca="1">VLOOKUP(Tableau1[[#This Row],[Key(POD -PFI- Usine)]],'DATA Consignee'!A:F,6,FALSE)</f>
        <v>#N/A</v>
      </c>
      <c r="AL245" s="136"/>
      <c r="AM245" s="486" t="str">
        <f>IF(Tableau1[[#This Row],[Name PFI/CDD]]="","-",VLOOKUP(Tableau1[[#This Row],[Name PFI/CDD]],Plant_AILN!I:J,2,FALSE))</f>
        <v>-</v>
      </c>
      <c r="AN24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5" s="108" t="e">
        <f ca="1">VLOOKUP(Tableau1[[#This Row],[Key(POD -PFI- Usine)]],'DATA Consignee'!A:J,10,FALSE)</f>
        <v>#N/A</v>
      </c>
      <c r="AQ245" s="79" t="e">
        <f ca="1">VLOOKUP(Tableau1[[#This Row],[Key(POD -PFI- Usine)]],'DATA Consignee'!A:N,14,FALSE)</f>
        <v>#N/A</v>
      </c>
      <c r="AR24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5" s="79" t="e">
        <f ca="1">Tableau1[[#This Row],[Transit time]]+Tableau1[[#This Row],[Time for security]]+Tableau1[[#This Row],[Time for security2 buffer]]</f>
        <v>#N/A</v>
      </c>
      <c r="AU24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5" s="79" t="e">
        <f ca="1">Tableau1[[#This Row],[Leadtime SI2C]]+Tableau1[[#This Row],[First Receipt Days]]-Tableau1[[#This Row],[Day Customer Order]]+1</f>
        <v>#N/A</v>
      </c>
      <c r="AW245" s="118" t="e">
        <f ca="1">IF(Tableau1[[#This Row],[Name ILN]]&lt;&gt;"SFK Freight Forwarder",Tableau1[[#This Row],[Cust. Leadtime]],Tableau1[[#This Row],[Leadtime SI2C]])</f>
        <v>#N/A</v>
      </c>
      <c r="AX245" s="51" t="e">
        <f>VLOOKUP(Tableau1[[#This Row],[ID]],'DATA BTO'!B:P,15,FALSE)</f>
        <v>#N/A</v>
      </c>
      <c r="AY245" s="328" t="e">
        <f ca="1">IFERROR(VLOOKUP(Tableau1[[#This Row],[Key(ID-Actif)]],'DATA BTO'!A:N,4,FALSE),VLOOKUP(Tableau1[[#This Row],[ID]],'DATA BTO'!B:N,3,FALSE))</f>
        <v>#N/A</v>
      </c>
      <c r="AZ24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5" s="403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5" s="403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5" s="403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5" s="404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5" s="50"/>
    </row>
    <row r="246" spans="2:57">
      <c r="B246" s="65" t="str">
        <f>_xlfn.CONCAT(Tableau1[[#This Row],[Name ILN]],"-",Tableau1[[#This Row],[Name Shipper]],"-",Tableau1[[#This Row],[Name Site]])</f>
        <v>--</v>
      </c>
      <c r="C246" s="80" t="e">
        <f>_xlfn.CONCAT(Tableau1[[#This Row],[Compte ILN]],"-",Tableau1[[#This Row],[Compte Shipper]],"-",Tableau1[[#This Row],[POL]],"-",Tableau1[[#This Row],[Compte Consignee]])</f>
        <v>#N/A</v>
      </c>
      <c r="D246" s="80" t="e">
        <f>_xlfn.CONCAT(Tableau1[[#This Row],[Compte ILN]],"-",Tableau1[[#This Row],[Compte Shipper]],"-",Tableau1[[#This Row],[POL]])</f>
        <v>#N/A</v>
      </c>
      <c r="E246" s="81" t="e">
        <f ca="1">_xlfn.CONCAT(Tableau1[[#This Row],[POL]],"-",Tableau1[[#This Row],[Carrier]],"-",Tableau1[[#This Row],[POD]])</f>
        <v>#N/A</v>
      </c>
      <c r="F246" s="80" t="str">
        <f>_xlfn.CONCAT(Tableau1[[#This Row],[ID]],"-","Actif")</f>
        <v>-Actif</v>
      </c>
      <c r="G246" s="80" t="e">
        <f ca="1">_xlfn.CONCAT(Tableau1[[#This Row],[POD]],"-",Tableau1[[#This Row],[Code PFI]],"-",Tableau1[[#This Row],[Compte Consignee]])</f>
        <v>#N/A</v>
      </c>
      <c r="H246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6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6" s="118" t="str">
        <f ca="1">IF(COUNTIF(I:I,Tableau1[[#This Row],[Plant-ILN-shipper-POL-Carrier-POD-PFI]])=1,"Non","Oui")</f>
        <v>Oui</v>
      </c>
      <c r="K246" s="449" t="e">
        <f>VLOOKUP(Tableau1[[#This Row],[Name Site]],Plant_AILN!A:D,4,FALSE)</f>
        <v>#N/A</v>
      </c>
      <c r="L246" s="451"/>
      <c r="M246" s="480" t="e">
        <f>VLOOKUP(Tableau1[[#This Row],[Name Site]],Plant_AILN!A:C,3,FALSE)</f>
        <v>#N/A</v>
      </c>
      <c r="N246" s="102" t="e">
        <f>VLOOKUP(Tableau1[[#This Row],[Compte Consignee]],Order!C:D,2,FALSE)</f>
        <v>#N/A</v>
      </c>
      <c r="O246" s="124"/>
      <c r="P246" s="484" t="e">
        <f>VLOOKUP(Tableau1[[#This Row],[Name ILN]],Plant_AILN!F:G,2,FALSE)</f>
        <v>#N/A</v>
      </c>
      <c r="Q246" s="79" t="e">
        <f>VLOOKUP(Tableau1[[#This Row],[Compte ILN]],'DATA ILN'!D:I,6,FALSE)</f>
        <v>#N/A</v>
      </c>
      <c r="R246" s="79" t="e">
        <f>IFERROR(VLOOKUP(Tableau1[[#This Row],[Key(Compte ILN - shipper - POL - plant)]],'DATA ILN'!A:J,10,FALSE),VLOOKUP(Tableau1[[#This Row],[Key(Compte ILN - shipper - POL)]],'DATA ILN'!B:J,9,FALSE))</f>
        <v>#N/A</v>
      </c>
      <c r="S246" s="79" t="e">
        <f>IFERROR(VLOOKUP(Tableau1[[#This Row],[Key(Compte ILN - shipper - POL - plant)]],'DATA ILN'!A:K,11,FALSE),VLOOKUP(Tableau1[[#This Row],[Key(Compte ILN - shipper - POL)]],'DATA ILN'!B:K,10,FALSE))</f>
        <v>#N/A</v>
      </c>
      <c r="T246" s="79" t="e">
        <f>IFERROR(VLOOKUP(Tableau1[[#This Row],[Key(Compte ILN - shipper - POL - plant)]],'DATA ILN'!A:L,12,FALSE),VLOOKUP(Tableau1[[#This Row],[Key(Compte ILN - shipper - POL)]],'DATA ILN'!B:L,11,FALSE))</f>
        <v>#N/A</v>
      </c>
      <c r="U246" s="79" t="e">
        <f>Tableau1[[#This Row],[Day ILN Order]]+Tableau1[[#This Row],[Delivery time to ILN/Shipper]]-1</f>
        <v>#N/A</v>
      </c>
      <c r="V246" s="79" t="e">
        <f>IFERROR(VLOOKUP(Tableau1[[#This Row],[Key(Compte ILN - shipper - POL - plant)]],'DATA ILN'!A:N,14,FALSE),VLOOKUP(Tableau1[[#This Row],[Key(Compte ILN - shipper - POL)]],'DATA ILN'!B:N,13,FALSE))</f>
        <v>#N/A</v>
      </c>
      <c r="W246" s="79" t="e">
        <f>IFERROR(VLOOKUP(Tableau1[[#This Row],[Key(Compte ILN - shipper - POL - plant)]],'DATA ILN'!A:P,16,FALSE),VLOOKUP(Tableau1[[#This Row],[Key(Compte ILN - shipper - POL)]],'DATA ILN'!B:P,15,FALSE))</f>
        <v>#N/A</v>
      </c>
      <c r="X246" s="100"/>
      <c r="Y246" s="485">
        <f>IFERROR(VLOOKUP(Tableau1[[#This Row],[Name Shipper]],Plant_AILN!L:M,2,FALSE),0)</f>
        <v>0</v>
      </c>
      <c r="Z246" s="369"/>
      <c r="AA246" s="354" t="e">
        <f ca="1">VLOOKUP(Tableau1[[#This Row],[Key(ID-Actif)]],'DATA BTO'!A:N,5,FALSE)</f>
        <v>#N/A</v>
      </c>
      <c r="AB246" s="106" t="e">
        <f ca="1">VLOOKUP(Tableau1[[#This Row],[Key(ID-Actif)]],'DATA BTO'!A:N,6,FALSE)</f>
        <v>#N/A</v>
      </c>
      <c r="AC246" s="79" t="e">
        <f ca="1">VLOOKUP(Tableau1[[#This Row],[Key(ID-Actif)]],'DATA BTO'!A:N,7,FALSE)</f>
        <v>#N/A</v>
      </c>
      <c r="AD246" s="79" t="e">
        <f ca="1">VLOOKUP(Tableau1[[#This Row],[Key(ID-Actif)]],'DATA BTO'!A:N,8,FALSE)</f>
        <v>#N/A</v>
      </c>
      <c r="AE246" s="79" t="e">
        <f ca="1">IF(Tableau1[[#This Row],[First Day to POL]]&lt;=Tableau1[[#This Row],[Day Cut Off]],Tableau1[[#This Row],[Day ETD]],Tableau1[[#This Row],[Day ETD]]+7)</f>
        <v>#N/A</v>
      </c>
      <c r="AF246" s="79" t="e">
        <f ca="1">VLOOKUP(Tableau1[[#This Row],[Key(ID-Actif)]],'DATA BTO'!A:N,9,FALSE)</f>
        <v>#N/A</v>
      </c>
      <c r="AG246" s="106" t="e">
        <f ca="1">VLOOKUP(Tableau1[[#This Row],[Key(ID-Actif)]],'DATA BTO'!A:N,10,FALSE)</f>
        <v>#N/A</v>
      </c>
      <c r="AH246" s="106" t="e">
        <f ca="1">VLOOKUP(Tableau1[[#This Row],[Key(ID-Actif)]],'DATA BTO'!A:N,11,FALSE)</f>
        <v>#N/A</v>
      </c>
      <c r="AI246" s="79" t="e">
        <f ca="1">VLOOKUP(Tableau1[[#This Row],[Key(ID-Actif)]],'DATA BTO'!A:N,12,FALSE)</f>
        <v>#N/A</v>
      </c>
      <c r="AJ246" s="104" t="e">
        <f ca="1">VLOOKUP(Tableau1[[#This Row],[Key(ID-Actif)]],'DATA BTO'!A:N,14,FALSE)</f>
        <v>#N/A</v>
      </c>
      <c r="AK246" s="105" t="e">
        <f ca="1">VLOOKUP(Tableau1[[#This Row],[Key(POD -PFI- Usine)]],'DATA Consignee'!A:F,6,FALSE)</f>
        <v>#N/A</v>
      </c>
      <c r="AL246" s="136"/>
      <c r="AM246" s="486" t="str">
        <f>IF(Tableau1[[#This Row],[Name PFI/CDD]]="","-",VLOOKUP(Tableau1[[#This Row],[Name PFI/CDD]],Plant_AILN!I:J,2,FALSE))</f>
        <v>-</v>
      </c>
      <c r="AN246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6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6" s="108" t="e">
        <f ca="1">VLOOKUP(Tableau1[[#This Row],[Key(POD -PFI- Usine)]],'DATA Consignee'!A:J,10,FALSE)</f>
        <v>#N/A</v>
      </c>
      <c r="AQ246" s="79" t="e">
        <f ca="1">VLOOKUP(Tableau1[[#This Row],[Key(POD -PFI- Usine)]],'DATA Consignee'!A:N,14,FALSE)</f>
        <v>#N/A</v>
      </c>
      <c r="AR246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6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6" s="79" t="e">
        <f ca="1">Tableau1[[#This Row],[Transit time]]+Tableau1[[#This Row],[Time for security]]+Tableau1[[#This Row],[Time for security2 buffer]]</f>
        <v>#N/A</v>
      </c>
      <c r="AU246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6" s="79" t="e">
        <f ca="1">Tableau1[[#This Row],[Leadtime SI2C]]+Tableau1[[#This Row],[First Receipt Days]]-Tableau1[[#This Row],[Day Customer Order]]+1</f>
        <v>#N/A</v>
      </c>
      <c r="AW246" s="118" t="e">
        <f ca="1">IF(Tableau1[[#This Row],[Name ILN]]&lt;&gt;"SFK Freight Forwarder",Tableau1[[#This Row],[Cust. Leadtime]],Tableau1[[#This Row],[Leadtime SI2C]])</f>
        <v>#N/A</v>
      </c>
      <c r="AX246" s="51" t="e">
        <f>VLOOKUP(Tableau1[[#This Row],[ID]],'DATA BTO'!B:P,15,FALSE)</f>
        <v>#N/A</v>
      </c>
      <c r="AY246" s="328" t="e">
        <f ca="1">IFERROR(VLOOKUP(Tableau1[[#This Row],[Key(ID-Actif)]],'DATA BTO'!A:N,4,FALSE),VLOOKUP(Tableau1[[#This Row],[ID]],'DATA BTO'!B:N,3,FALSE))</f>
        <v>#N/A</v>
      </c>
      <c r="AZ24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6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6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6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6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6" s="50"/>
    </row>
    <row r="247" spans="2:57">
      <c r="B247" s="80" t="str">
        <f>_xlfn.CONCAT(Tableau1[[#This Row],[Name ILN]],"-",Tableau1[[#This Row],[Name Shipper]],"-",Tableau1[[#This Row],[Name Site]])</f>
        <v>--</v>
      </c>
      <c r="C247" s="80" t="e">
        <f>_xlfn.CONCAT(Tableau1[[#This Row],[Compte ILN]],"-",Tableau1[[#This Row],[Compte Shipper]],"-",Tableau1[[#This Row],[POL]],"-",Tableau1[[#This Row],[Compte Consignee]])</f>
        <v>#N/A</v>
      </c>
      <c r="D247" s="80" t="e">
        <f>_xlfn.CONCAT(Tableau1[[#This Row],[Compte ILN]],"-",Tableau1[[#This Row],[Compte Shipper]],"-",Tableau1[[#This Row],[POL]])</f>
        <v>#N/A</v>
      </c>
      <c r="E247" s="81" t="e">
        <f ca="1">_xlfn.CONCAT(Tableau1[[#This Row],[POL]],"-",Tableau1[[#This Row],[Carrier]],"-",Tableau1[[#This Row],[POD]])</f>
        <v>#N/A</v>
      </c>
      <c r="F247" s="80" t="str">
        <f>_xlfn.CONCAT(Tableau1[[#This Row],[ID]],"-","Actif")</f>
        <v>-Actif</v>
      </c>
      <c r="G247" s="80" t="e">
        <f ca="1">_xlfn.CONCAT(Tableau1[[#This Row],[POD]],"-",Tableau1[[#This Row],[Code PFI]],"-",Tableau1[[#This Row],[Compte Consignee]])</f>
        <v>#N/A</v>
      </c>
      <c r="H247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7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7" s="118" t="str">
        <f ca="1">IF(COUNTIF(I:I,Tableau1[[#This Row],[Plant-ILN-shipper-POL-Carrier-POD-PFI]])=1,"Non","Oui")</f>
        <v>Oui</v>
      </c>
      <c r="K247" s="449" t="e">
        <f>VLOOKUP(Tableau1[[#This Row],[Name Site]],Plant_AILN!A:D,4,FALSE)</f>
        <v>#N/A</v>
      </c>
      <c r="L247" s="451"/>
      <c r="M247" s="480" t="e">
        <f>VLOOKUP(Tableau1[[#This Row],[Name Site]],Plant_AILN!A:C,3,FALSE)</f>
        <v>#N/A</v>
      </c>
      <c r="N247" s="102" t="e">
        <f>VLOOKUP(Tableau1[[#This Row],[Compte Consignee]],Order!C:D,2,FALSE)</f>
        <v>#N/A</v>
      </c>
      <c r="O247" s="124"/>
      <c r="P247" s="484" t="e">
        <f>VLOOKUP(Tableau1[[#This Row],[Name ILN]],Plant_AILN!F:G,2,FALSE)</f>
        <v>#N/A</v>
      </c>
      <c r="Q247" s="79" t="e">
        <f>VLOOKUP(Tableau1[[#This Row],[Compte ILN]],'DATA ILN'!D:I,6,FALSE)</f>
        <v>#N/A</v>
      </c>
      <c r="R247" s="79" t="e">
        <f>IFERROR(VLOOKUP(Tableau1[[#This Row],[Key(Compte ILN - shipper - POL - plant)]],'DATA ILN'!A:J,10,FALSE),VLOOKUP(Tableau1[[#This Row],[Key(Compte ILN - shipper - POL)]],'DATA ILN'!B:J,9,FALSE))</f>
        <v>#N/A</v>
      </c>
      <c r="S247" s="79" t="e">
        <f>IFERROR(VLOOKUP(Tableau1[[#This Row],[Key(Compte ILN - shipper - POL - plant)]],'DATA ILN'!A:K,11,FALSE),VLOOKUP(Tableau1[[#This Row],[Key(Compte ILN - shipper - POL)]],'DATA ILN'!B:K,10,FALSE))</f>
        <v>#N/A</v>
      </c>
      <c r="T247" s="79" t="e">
        <f>IFERROR(VLOOKUP(Tableau1[[#This Row],[Key(Compte ILN - shipper - POL - plant)]],'DATA ILN'!A:L,12,FALSE),VLOOKUP(Tableau1[[#This Row],[Key(Compte ILN - shipper - POL)]],'DATA ILN'!B:L,11,FALSE))</f>
        <v>#N/A</v>
      </c>
      <c r="U247" s="79" t="e">
        <f>Tableau1[[#This Row],[Day ILN Order]]+Tableau1[[#This Row],[Delivery time to ILN/Shipper]]-1</f>
        <v>#N/A</v>
      </c>
      <c r="V247" s="79" t="e">
        <f>IFERROR(VLOOKUP(Tableau1[[#This Row],[Key(Compte ILN - shipper - POL - plant)]],'DATA ILN'!A:N,14,FALSE),VLOOKUP(Tableau1[[#This Row],[Key(Compte ILN - shipper - POL)]],'DATA ILN'!B:N,13,FALSE))</f>
        <v>#N/A</v>
      </c>
      <c r="W247" s="79" t="e">
        <f>IFERROR(VLOOKUP(Tableau1[[#This Row],[Key(Compte ILN - shipper - POL - plant)]],'DATA ILN'!A:P,16,FALSE),VLOOKUP(Tableau1[[#This Row],[Key(Compte ILN - shipper - POL)]],'DATA ILN'!B:P,15,FALSE))</f>
        <v>#N/A</v>
      </c>
      <c r="X247" s="100"/>
      <c r="Y247" s="485">
        <f>IFERROR(VLOOKUP(Tableau1[[#This Row],[Name Shipper]],Plant_AILN!L:M,2,FALSE),0)</f>
        <v>0</v>
      </c>
      <c r="Z247" s="459"/>
      <c r="AA247" s="354" t="e">
        <f ca="1">VLOOKUP(Tableau1[[#This Row],[Key(ID-Actif)]],'DATA BTO'!A:N,5,FALSE)</f>
        <v>#N/A</v>
      </c>
      <c r="AB247" s="106" t="e">
        <f ca="1">VLOOKUP(Tableau1[[#This Row],[Key(ID-Actif)]],'DATA BTO'!A:N,6,FALSE)</f>
        <v>#N/A</v>
      </c>
      <c r="AC247" s="79" t="e">
        <f ca="1">VLOOKUP(Tableau1[[#This Row],[Key(ID-Actif)]],'DATA BTO'!A:N,7,FALSE)</f>
        <v>#N/A</v>
      </c>
      <c r="AD247" s="79" t="e">
        <f ca="1">VLOOKUP(Tableau1[[#This Row],[Key(ID-Actif)]],'DATA BTO'!A:N,8,FALSE)</f>
        <v>#N/A</v>
      </c>
      <c r="AE247" s="79" t="e">
        <f ca="1">IF(Tableau1[[#This Row],[First Day to POL]]&lt;=Tableau1[[#This Row],[Day Cut Off]],Tableau1[[#This Row],[Day ETD]],Tableau1[[#This Row],[Day ETD]]+7)</f>
        <v>#N/A</v>
      </c>
      <c r="AF247" s="79" t="e">
        <f ca="1">VLOOKUP(Tableau1[[#This Row],[Key(ID-Actif)]],'DATA BTO'!A:N,9,FALSE)</f>
        <v>#N/A</v>
      </c>
      <c r="AG247" s="106" t="e">
        <f ca="1">VLOOKUP(Tableau1[[#This Row],[Key(ID-Actif)]],'DATA BTO'!A:N,10,FALSE)</f>
        <v>#N/A</v>
      </c>
      <c r="AH247" s="106" t="e">
        <f ca="1">VLOOKUP(Tableau1[[#This Row],[Key(ID-Actif)]],'DATA BTO'!A:N,11,FALSE)</f>
        <v>#N/A</v>
      </c>
      <c r="AI247" s="79" t="e">
        <f ca="1">VLOOKUP(Tableau1[[#This Row],[Key(ID-Actif)]],'DATA BTO'!A:N,12,FALSE)</f>
        <v>#N/A</v>
      </c>
      <c r="AJ247" s="104" t="e">
        <f ca="1">VLOOKUP(Tableau1[[#This Row],[Key(ID-Actif)]],'DATA BTO'!A:N,14,FALSE)</f>
        <v>#N/A</v>
      </c>
      <c r="AK247" s="105" t="e">
        <f ca="1">VLOOKUP(Tableau1[[#This Row],[Key(POD -PFI- Usine)]],'DATA Consignee'!A:F,6,FALSE)</f>
        <v>#N/A</v>
      </c>
      <c r="AL247" s="100"/>
      <c r="AM247" s="486" t="str">
        <f>IF(Tableau1[[#This Row],[Name PFI/CDD]]="","-",VLOOKUP(Tableau1[[#This Row],[Name PFI/CDD]],Plant_AILN!I:J,2,FALSE))</f>
        <v>-</v>
      </c>
      <c r="AN247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7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7" s="108" t="e">
        <f ca="1">VLOOKUP(Tableau1[[#This Row],[Key(POD -PFI- Usine)]],'DATA Consignee'!A:J,10,FALSE)</f>
        <v>#N/A</v>
      </c>
      <c r="AQ247" s="79" t="e">
        <f ca="1">VLOOKUP(Tableau1[[#This Row],[Key(POD -PFI- Usine)]],'DATA Consignee'!A:N,14,FALSE)</f>
        <v>#N/A</v>
      </c>
      <c r="AR247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7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7" s="79" t="e">
        <f ca="1">Tableau1[[#This Row],[Transit time]]+Tableau1[[#This Row],[Time for security]]+Tableau1[[#This Row],[Time for security2 buffer]]</f>
        <v>#N/A</v>
      </c>
      <c r="AU247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7" s="79" t="e">
        <f ca="1">Tableau1[[#This Row],[Leadtime SI2C]]+Tableau1[[#This Row],[First Receipt Days]]-Tableau1[[#This Row],[Day Customer Order]]+1</f>
        <v>#N/A</v>
      </c>
      <c r="AW247" s="118" t="e">
        <f ca="1">IF(Tableau1[[#This Row],[Name ILN]]&lt;&gt;"SFK Freight Forwarder",Tableau1[[#This Row],[Cust. Leadtime]],Tableau1[[#This Row],[Leadtime SI2C]])</f>
        <v>#N/A</v>
      </c>
      <c r="AX247" s="51" t="e">
        <f>VLOOKUP(Tableau1[[#This Row],[ID]],'DATA BTO'!B:P,15,FALSE)</f>
        <v>#N/A</v>
      </c>
      <c r="AY247" s="347" t="e">
        <f ca="1">IFERROR(VLOOKUP(Tableau1[[#This Row],[Key(ID-Actif)]],'DATA BTO'!A:N,4,FALSE),VLOOKUP(Tableau1[[#This Row],[ID]],'DATA BTO'!B:N,3,FALSE))</f>
        <v>#N/A</v>
      </c>
      <c r="AZ247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7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7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7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7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7" s="50"/>
    </row>
    <row r="248" spans="2:57">
      <c r="B248" s="80" t="str">
        <f>_xlfn.CONCAT(Tableau1[[#This Row],[Name ILN]],"-",Tableau1[[#This Row],[Name Shipper]],"-",Tableau1[[#This Row],[Name Site]])</f>
        <v>--</v>
      </c>
      <c r="C248" s="80" t="e">
        <f>_xlfn.CONCAT(Tableau1[[#This Row],[Compte ILN]],"-",Tableau1[[#This Row],[Compte Shipper]],"-",Tableau1[[#This Row],[POL]],"-",Tableau1[[#This Row],[Compte Consignee]])</f>
        <v>#N/A</v>
      </c>
      <c r="D248" s="80" t="e">
        <f>_xlfn.CONCAT(Tableau1[[#This Row],[Compte ILN]],"-",Tableau1[[#This Row],[Compte Shipper]],"-",Tableau1[[#This Row],[POL]])</f>
        <v>#N/A</v>
      </c>
      <c r="E248" s="81" t="e">
        <f ca="1">_xlfn.CONCAT(Tableau1[[#This Row],[POL]],"-",Tableau1[[#This Row],[Carrier]],"-",Tableau1[[#This Row],[POD]])</f>
        <v>#N/A</v>
      </c>
      <c r="F248" s="80" t="str">
        <f>_xlfn.CONCAT(Tableau1[[#This Row],[ID]],"-","Actif")</f>
        <v>-Actif</v>
      </c>
      <c r="G248" s="80" t="e">
        <f ca="1">_xlfn.CONCAT(Tableau1[[#This Row],[POD]],"-",Tableau1[[#This Row],[Code PFI]],"-",Tableau1[[#This Row],[Compte Consignee]])</f>
        <v>#N/A</v>
      </c>
      <c r="H248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8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8" s="118" t="str">
        <f ca="1">IF(COUNTIF(I:I,Tableau1[[#This Row],[Plant-ILN-shipper-POL-Carrier-POD-PFI]])=1,"Non","Oui")</f>
        <v>Oui</v>
      </c>
      <c r="K248" s="402" t="e">
        <f>VLOOKUP(Tableau1[[#This Row],[Name Site]],Plant_AILN!A:D,4,FALSE)</f>
        <v>#N/A</v>
      </c>
      <c r="L248" s="451"/>
      <c r="M248" s="480" t="e">
        <f>VLOOKUP(Tableau1[[#This Row],[Name Site]],Plant_AILN!A:C,3,FALSE)</f>
        <v>#N/A</v>
      </c>
      <c r="N248" s="102" t="e">
        <f>VLOOKUP(Tableau1[[#This Row],[Compte Consignee]],Order!C:D,2,FALSE)</f>
        <v>#N/A</v>
      </c>
      <c r="O248" s="114"/>
      <c r="P248" s="484" t="e">
        <f>VLOOKUP(Tableau1[[#This Row],[Name ILN]],Plant_AILN!F:G,2,FALSE)</f>
        <v>#N/A</v>
      </c>
      <c r="Q248" s="79" t="e">
        <f>VLOOKUP(Tableau1[[#This Row],[Compte ILN]],'DATA ILN'!D:I,6,FALSE)</f>
        <v>#N/A</v>
      </c>
      <c r="R248" s="79" t="e">
        <f>IFERROR(VLOOKUP(Tableau1[[#This Row],[Key(Compte ILN - shipper - POL - plant)]],'DATA ILN'!A:J,10,FALSE),VLOOKUP(Tableau1[[#This Row],[Key(Compte ILN - shipper - POL)]],'DATA ILN'!B:J,9,FALSE))</f>
        <v>#N/A</v>
      </c>
      <c r="S248" s="79" t="e">
        <f>IFERROR(VLOOKUP(Tableau1[[#This Row],[Key(Compte ILN - shipper - POL - plant)]],'DATA ILN'!A:K,11,FALSE),VLOOKUP(Tableau1[[#This Row],[Key(Compte ILN - shipper - POL)]],'DATA ILN'!B:K,10,FALSE))</f>
        <v>#N/A</v>
      </c>
      <c r="T248" s="79" t="e">
        <f>IFERROR(VLOOKUP(Tableau1[[#This Row],[Key(Compte ILN - shipper - POL - plant)]],'DATA ILN'!A:L,12,FALSE),VLOOKUP(Tableau1[[#This Row],[Key(Compte ILN - shipper - POL)]],'DATA ILN'!B:L,11,FALSE))</f>
        <v>#N/A</v>
      </c>
      <c r="U248" s="79" t="e">
        <f>Tableau1[[#This Row],[Day ILN Order]]+Tableau1[[#This Row],[Delivery time to ILN/Shipper]]-1</f>
        <v>#N/A</v>
      </c>
      <c r="V248" s="79" t="e">
        <f>IFERROR(VLOOKUP(Tableau1[[#This Row],[Key(Compte ILN - shipper - POL - plant)]],'DATA ILN'!A:N,14,FALSE),VLOOKUP(Tableau1[[#This Row],[Key(Compte ILN - shipper - POL)]],'DATA ILN'!B:N,13,FALSE))</f>
        <v>#N/A</v>
      </c>
      <c r="W248" s="79" t="e">
        <f>IFERROR(VLOOKUP(Tableau1[[#This Row],[Key(Compte ILN - shipper - POL - plant)]],'DATA ILN'!A:P,16,FALSE),VLOOKUP(Tableau1[[#This Row],[Key(Compte ILN - shipper - POL)]],'DATA ILN'!B:P,15,FALSE))</f>
        <v>#N/A</v>
      </c>
      <c r="X248" s="283"/>
      <c r="Y248" s="491">
        <f>IFERROR(VLOOKUP(Tableau1[[#This Row],[Name Shipper]],Plant_AILN!L:M,2,FALSE),0)</f>
        <v>0</v>
      </c>
      <c r="Z248" s="369"/>
      <c r="AA248" s="354" t="e">
        <f ca="1">VLOOKUP(Tableau1[[#This Row],[Key(ID-Actif)]],'DATA BTO'!A:N,5,FALSE)</f>
        <v>#N/A</v>
      </c>
      <c r="AB248" s="106" t="e">
        <f ca="1">VLOOKUP(Tableau1[[#This Row],[Key(ID-Actif)]],'DATA BTO'!A:N,6,FALSE)</f>
        <v>#N/A</v>
      </c>
      <c r="AC248" s="79" t="e">
        <f ca="1">VLOOKUP(Tableau1[[#This Row],[Key(ID-Actif)]],'DATA BTO'!A:N,7,FALSE)</f>
        <v>#N/A</v>
      </c>
      <c r="AD248" s="79" t="e">
        <f ca="1">VLOOKUP(Tableau1[[#This Row],[Key(ID-Actif)]],'DATA BTO'!A:N,8,FALSE)</f>
        <v>#N/A</v>
      </c>
      <c r="AE248" s="79" t="e">
        <f ca="1">IF(Tableau1[[#This Row],[First Day to POL]]&lt;=Tableau1[[#This Row],[Day Cut Off]],Tableau1[[#This Row],[Day ETD]],Tableau1[[#This Row],[Day ETD]]+7)</f>
        <v>#N/A</v>
      </c>
      <c r="AF248" s="79" t="e">
        <f ca="1">VLOOKUP(Tableau1[[#This Row],[Key(ID-Actif)]],'DATA BTO'!A:N,9,FALSE)</f>
        <v>#N/A</v>
      </c>
      <c r="AG248" s="106" t="e">
        <f ca="1">VLOOKUP(Tableau1[[#This Row],[Key(ID-Actif)]],'DATA BTO'!A:N,10,FALSE)</f>
        <v>#N/A</v>
      </c>
      <c r="AH248" s="106" t="e">
        <f ca="1">VLOOKUP(Tableau1[[#This Row],[Key(ID-Actif)]],'DATA BTO'!A:N,11,FALSE)</f>
        <v>#N/A</v>
      </c>
      <c r="AI248" s="79" t="e">
        <f ca="1">VLOOKUP(Tableau1[[#This Row],[Key(ID-Actif)]],'DATA BTO'!A:N,12,FALSE)</f>
        <v>#N/A</v>
      </c>
      <c r="AJ248" s="104" t="e">
        <f ca="1">VLOOKUP(Tableau1[[#This Row],[Key(ID-Actif)]],'DATA BTO'!A:N,14,FALSE)</f>
        <v>#N/A</v>
      </c>
      <c r="AK248" s="105" t="e">
        <f ca="1">VLOOKUP(Tableau1[[#This Row],[Key(POD -PFI- Usine)]],'DATA Consignee'!A:F,6,FALSE)</f>
        <v>#N/A</v>
      </c>
      <c r="AL248" s="125"/>
      <c r="AM248" s="486" t="str">
        <f>IF(Tableau1[[#This Row],[Name PFI/CDD]]="","-",VLOOKUP(Tableau1[[#This Row],[Name PFI/CDD]],Plant_AILN!I:J,2,FALSE))</f>
        <v>-</v>
      </c>
      <c r="AN248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8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8" s="108" t="e">
        <f ca="1">VLOOKUP(Tableau1[[#This Row],[Key(POD -PFI- Usine)]],'DATA Consignee'!A:J,10,FALSE)</f>
        <v>#N/A</v>
      </c>
      <c r="AQ248" s="79" t="e">
        <f ca="1">VLOOKUP(Tableau1[[#This Row],[Key(POD -PFI- Usine)]],'DATA Consignee'!A:N,14,FALSE)</f>
        <v>#N/A</v>
      </c>
      <c r="AR248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8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8" s="79" t="e">
        <f ca="1">Tableau1[[#This Row],[Transit time]]+Tableau1[[#This Row],[Time for security]]+Tableau1[[#This Row],[Time for security2 buffer]]</f>
        <v>#N/A</v>
      </c>
      <c r="AU248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8" s="79" t="e">
        <f ca="1">Tableau1[[#This Row],[Leadtime SI2C]]+Tableau1[[#This Row],[First Receipt Days]]-Tableau1[[#This Row],[Day Customer Order]]+1</f>
        <v>#N/A</v>
      </c>
      <c r="AW248" s="118" t="e">
        <f ca="1">IF(Tableau1[[#This Row],[Name ILN]]&lt;&gt;"SFK Freight Forwarder",Tableau1[[#This Row],[Cust. Leadtime]],Tableau1[[#This Row],[Leadtime SI2C]])</f>
        <v>#N/A</v>
      </c>
      <c r="AX248" s="51" t="e">
        <f>VLOOKUP(Tableau1[[#This Row],[ID]],'DATA BTO'!B:P,15,FALSE)</f>
        <v>#N/A</v>
      </c>
      <c r="AY248" s="347" t="e">
        <f ca="1">IFERROR(VLOOKUP(Tableau1[[#This Row],[Key(ID-Actif)]],'DATA BTO'!A:N,4,FALSE),VLOOKUP(Tableau1[[#This Row],[ID]],'DATA BTO'!B:N,3,FALSE))</f>
        <v>#N/A</v>
      </c>
      <c r="AZ248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8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8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8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8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8" s="8" t="s">
        <v>192</v>
      </c>
    </row>
    <row r="249" spans="2:57">
      <c r="B249" s="80" t="str">
        <f>_xlfn.CONCAT(Tableau1[[#This Row],[Name ILN]],"-",Tableau1[[#This Row],[Name Shipper]],"-",Tableau1[[#This Row],[Name Site]])</f>
        <v>--</v>
      </c>
      <c r="C249" s="80" t="e">
        <f>_xlfn.CONCAT(Tableau1[[#This Row],[Compte ILN]],"-",Tableau1[[#This Row],[Compte Shipper]],"-",Tableau1[[#This Row],[POL]],"-",Tableau1[[#This Row],[Compte Consignee]])</f>
        <v>#N/A</v>
      </c>
      <c r="D249" s="80" t="e">
        <f>_xlfn.CONCAT(Tableau1[[#This Row],[Compte ILN]],"-",Tableau1[[#This Row],[Compte Shipper]],"-",Tableau1[[#This Row],[POL]])</f>
        <v>#N/A</v>
      </c>
      <c r="E249" s="81" t="e">
        <f ca="1">_xlfn.CONCAT(Tableau1[[#This Row],[POL]],"-",Tableau1[[#This Row],[Carrier]],"-",Tableau1[[#This Row],[POD]])</f>
        <v>#N/A</v>
      </c>
      <c r="F249" s="80" t="str">
        <f>_xlfn.CONCAT(Tableau1[[#This Row],[ID]],"-","Actif")</f>
        <v>-Actif</v>
      </c>
      <c r="G249" s="80" t="e">
        <f ca="1">_xlfn.CONCAT(Tableau1[[#This Row],[POD]],"-",Tableau1[[#This Row],[Code PFI]],"-",Tableau1[[#This Row],[Compte Consignee]])</f>
        <v>#N/A</v>
      </c>
      <c r="H249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49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49" s="118" t="str">
        <f ca="1">IF(COUNTIF(I:I,Tableau1[[#This Row],[Plant-ILN-shipper-POL-Carrier-POD-PFI]])=1,"Non","Oui")</f>
        <v>Oui</v>
      </c>
      <c r="K249" s="449" t="e">
        <f>VLOOKUP(Tableau1[[#This Row],[Name Site]],Plant_AILN!A:D,4,FALSE)</f>
        <v>#N/A</v>
      </c>
      <c r="L249" s="451"/>
      <c r="M249" s="480" t="e">
        <f>VLOOKUP(Tableau1[[#This Row],[Name Site]],Plant_AILN!A:C,3,FALSE)</f>
        <v>#N/A</v>
      </c>
      <c r="N249" s="102" t="e">
        <f>VLOOKUP(Tableau1[[#This Row],[Compte Consignee]],Order!C:D,2,FALSE)</f>
        <v>#N/A</v>
      </c>
      <c r="O249" s="124"/>
      <c r="P249" s="484" t="e">
        <f>VLOOKUP(Tableau1[[#This Row],[Name ILN]],Plant_AILN!F:G,2,FALSE)</f>
        <v>#N/A</v>
      </c>
      <c r="Q249" s="79" t="e">
        <f>VLOOKUP(Tableau1[[#This Row],[Compte ILN]],'DATA ILN'!D:I,6,FALSE)</f>
        <v>#N/A</v>
      </c>
      <c r="R249" s="79" t="e">
        <f>IFERROR(VLOOKUP(Tableau1[[#This Row],[Key(Compte ILN - shipper - POL - plant)]],'DATA ILN'!A:J,10,FALSE),VLOOKUP(Tableau1[[#This Row],[Key(Compte ILN - shipper - POL)]],'DATA ILN'!B:J,9,FALSE))</f>
        <v>#N/A</v>
      </c>
      <c r="S249" s="79" t="e">
        <f>IFERROR(VLOOKUP(Tableau1[[#This Row],[Key(Compte ILN - shipper - POL - plant)]],'DATA ILN'!A:K,11,FALSE),VLOOKUP(Tableau1[[#This Row],[Key(Compte ILN - shipper - POL)]],'DATA ILN'!B:K,10,FALSE))</f>
        <v>#N/A</v>
      </c>
      <c r="T249" s="79" t="e">
        <f>IFERROR(VLOOKUP(Tableau1[[#This Row],[Key(Compte ILN - shipper - POL - plant)]],'DATA ILN'!A:L,12,FALSE),VLOOKUP(Tableau1[[#This Row],[Key(Compte ILN - shipper - POL)]],'DATA ILN'!B:L,11,FALSE))</f>
        <v>#N/A</v>
      </c>
      <c r="U249" s="79" t="e">
        <f>Tableau1[[#This Row],[Day ILN Order]]+Tableau1[[#This Row],[Delivery time to ILN/Shipper]]-1</f>
        <v>#N/A</v>
      </c>
      <c r="V249" s="79" t="e">
        <f>IFERROR(VLOOKUP(Tableau1[[#This Row],[Key(Compte ILN - shipper - POL - plant)]],'DATA ILN'!A:N,14,FALSE),VLOOKUP(Tableau1[[#This Row],[Key(Compte ILN - shipper - POL)]],'DATA ILN'!B:N,13,FALSE))</f>
        <v>#N/A</v>
      </c>
      <c r="W249" s="79" t="e">
        <f>IFERROR(VLOOKUP(Tableau1[[#This Row],[Key(Compte ILN - shipper - POL - plant)]],'DATA ILN'!A:P,16,FALSE),VLOOKUP(Tableau1[[#This Row],[Key(Compte ILN - shipper - POL)]],'DATA ILN'!B:P,15,FALSE))</f>
        <v>#N/A</v>
      </c>
      <c r="X249" s="457"/>
      <c r="Y249" s="485">
        <f>IFERROR(VLOOKUP(Tableau1[[#This Row],[Name Shipper]],Plant_AILN!L:M,2,FALSE),0)</f>
        <v>0</v>
      </c>
      <c r="Z249" s="369"/>
      <c r="AA249" s="354" t="e">
        <f ca="1">VLOOKUP(Tableau1[[#This Row],[Key(ID-Actif)]],'DATA BTO'!A:N,5,FALSE)</f>
        <v>#N/A</v>
      </c>
      <c r="AB249" s="106" t="e">
        <f ca="1">VLOOKUP(Tableau1[[#This Row],[Key(ID-Actif)]],'DATA BTO'!A:N,6,FALSE)</f>
        <v>#N/A</v>
      </c>
      <c r="AC249" s="79" t="e">
        <f ca="1">VLOOKUP(Tableau1[[#This Row],[Key(ID-Actif)]],'DATA BTO'!A:N,7,FALSE)</f>
        <v>#N/A</v>
      </c>
      <c r="AD249" s="79" t="e">
        <f ca="1">VLOOKUP(Tableau1[[#This Row],[Key(ID-Actif)]],'DATA BTO'!A:N,8,FALSE)</f>
        <v>#N/A</v>
      </c>
      <c r="AE249" s="79" t="e">
        <f ca="1">IF(Tableau1[[#This Row],[First Day to POL]]&lt;=Tableau1[[#This Row],[Day Cut Off]],Tableau1[[#This Row],[Day ETD]],Tableau1[[#This Row],[Day ETD]]+7)</f>
        <v>#N/A</v>
      </c>
      <c r="AF249" s="79" t="e">
        <f ca="1">VLOOKUP(Tableau1[[#This Row],[Key(ID-Actif)]],'DATA BTO'!A:N,9,FALSE)</f>
        <v>#N/A</v>
      </c>
      <c r="AG249" s="106" t="e">
        <f ca="1">VLOOKUP(Tableau1[[#This Row],[Key(ID-Actif)]],'DATA BTO'!A:N,10,FALSE)</f>
        <v>#N/A</v>
      </c>
      <c r="AH249" s="106" t="e">
        <f ca="1">VLOOKUP(Tableau1[[#This Row],[Key(ID-Actif)]],'DATA BTO'!A:N,11,FALSE)</f>
        <v>#N/A</v>
      </c>
      <c r="AI249" s="79" t="e">
        <f ca="1">VLOOKUP(Tableau1[[#This Row],[Key(ID-Actif)]],'DATA BTO'!A:N,12,FALSE)</f>
        <v>#N/A</v>
      </c>
      <c r="AJ249" s="104" t="e">
        <f ca="1">VLOOKUP(Tableau1[[#This Row],[Key(ID-Actif)]],'DATA BTO'!A:N,14,FALSE)</f>
        <v>#N/A</v>
      </c>
      <c r="AK249" s="105" t="e">
        <f ca="1">VLOOKUP(Tableau1[[#This Row],[Key(POD -PFI- Usine)]],'DATA Consignee'!A:F,6,FALSE)</f>
        <v>#N/A</v>
      </c>
      <c r="AL249" s="100"/>
      <c r="AM249" s="486" t="str">
        <f>IF(Tableau1[[#This Row],[Name PFI/CDD]]="","-",VLOOKUP(Tableau1[[#This Row],[Name PFI/CDD]],Plant_AILN!I:J,2,FALSE))</f>
        <v>-</v>
      </c>
      <c r="AN249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49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49" s="108" t="e">
        <f ca="1">VLOOKUP(Tableau1[[#This Row],[Key(POD -PFI- Usine)]],'DATA Consignee'!A:J,10,FALSE)</f>
        <v>#N/A</v>
      </c>
      <c r="AQ249" s="79" t="e">
        <f ca="1">VLOOKUP(Tableau1[[#This Row],[Key(POD -PFI- Usine)]],'DATA Consignee'!A:N,14,FALSE)</f>
        <v>#N/A</v>
      </c>
      <c r="AR249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49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49" s="79" t="e">
        <f ca="1">Tableau1[[#This Row],[Transit time]]+Tableau1[[#This Row],[Time for security]]+Tableau1[[#This Row],[Time for security2 buffer]]</f>
        <v>#N/A</v>
      </c>
      <c r="AU249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49" s="79" t="e">
        <f ca="1">Tableau1[[#This Row],[Leadtime SI2C]]+Tableau1[[#This Row],[First Receipt Days]]-Tableau1[[#This Row],[Day Customer Order]]+1</f>
        <v>#N/A</v>
      </c>
      <c r="AW249" s="118" t="e">
        <f ca="1">IF(Tableau1[[#This Row],[Name ILN]]&lt;&gt;"SFK Freight Forwarder",Tableau1[[#This Row],[Cust. Leadtime]],Tableau1[[#This Row],[Leadtime SI2C]])</f>
        <v>#N/A</v>
      </c>
      <c r="AX249" s="51" t="e">
        <f>VLOOKUP(Tableau1[[#This Row],[ID]],'DATA BTO'!B:P,15,FALSE)</f>
        <v>#N/A</v>
      </c>
      <c r="AY249" s="347" t="e">
        <f ca="1">IFERROR(VLOOKUP(Tableau1[[#This Row],[Key(ID-Actif)]],'DATA BTO'!A:N,4,FALSE),VLOOKUP(Tableau1[[#This Row],[ID]],'DATA BTO'!B:N,3,FALSE))</f>
        <v>#N/A</v>
      </c>
      <c r="AZ249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49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9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49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9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9" s="50"/>
    </row>
    <row r="250" spans="2:57">
      <c r="B250" s="80" t="str">
        <f>_xlfn.CONCAT(Tableau1[[#This Row],[Name ILN]],"-",Tableau1[[#This Row],[Name Shipper]],"-",Tableau1[[#This Row],[Name Site]])</f>
        <v>--</v>
      </c>
      <c r="C250" s="80" t="e">
        <f>_xlfn.CONCAT(Tableau1[[#This Row],[Compte ILN]],"-",Tableau1[[#This Row],[Compte Shipper]],"-",Tableau1[[#This Row],[POL]],"-",Tableau1[[#This Row],[Compte Consignee]])</f>
        <v>#N/A</v>
      </c>
      <c r="D250" s="80" t="e">
        <f>_xlfn.CONCAT(Tableau1[[#This Row],[Compte ILN]],"-",Tableau1[[#This Row],[Compte Shipper]],"-",Tableau1[[#This Row],[POL]])</f>
        <v>#N/A</v>
      </c>
      <c r="E250" s="81" t="e">
        <f ca="1">_xlfn.CONCAT(Tableau1[[#This Row],[POL]],"-",Tableau1[[#This Row],[Carrier]],"-",Tableau1[[#This Row],[POD]])</f>
        <v>#N/A</v>
      </c>
      <c r="F250" s="80" t="str">
        <f>_xlfn.CONCAT(Tableau1[[#This Row],[ID]],"-","Actif")</f>
        <v>-Actif</v>
      </c>
      <c r="G250" s="80" t="e">
        <f ca="1">_xlfn.CONCAT(Tableau1[[#This Row],[POD]],"-",Tableau1[[#This Row],[Code PFI]],"-",Tableau1[[#This Row],[Compte Consignee]])</f>
        <v>#N/A</v>
      </c>
      <c r="H250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0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0" s="118" t="str">
        <f ca="1">IF(COUNTIF(I:I,Tableau1[[#This Row],[Plant-ILN-shipper-POL-Carrier-POD-PFI]])=1,"Non","Oui")</f>
        <v>Oui</v>
      </c>
      <c r="K250" s="402" t="e">
        <f>VLOOKUP(Tableau1[[#This Row],[Name Site]],Plant_AILN!A:D,4,FALSE)</f>
        <v>#N/A</v>
      </c>
      <c r="L250" s="368"/>
      <c r="M250" s="480" t="e">
        <f>VLOOKUP(Tableau1[[#This Row],[Name Site]],Plant_AILN!A:C,3,FALSE)</f>
        <v>#N/A</v>
      </c>
      <c r="N250" s="102" t="e">
        <f>VLOOKUP(Tableau1[[#This Row],[Compte Consignee]],Order!C:D,2,FALSE)</f>
        <v>#N/A</v>
      </c>
      <c r="O250" s="124"/>
      <c r="P250" s="484" t="e">
        <f>VLOOKUP(Tableau1[[#This Row],[Name ILN]],Plant_AILN!F:G,2,FALSE)</f>
        <v>#N/A</v>
      </c>
      <c r="Q250" s="79" t="e">
        <f>VLOOKUP(Tableau1[[#This Row],[Compte ILN]],'DATA ILN'!D:I,6,FALSE)</f>
        <v>#N/A</v>
      </c>
      <c r="R250" s="79" t="e">
        <f>IFERROR(VLOOKUP(Tableau1[[#This Row],[Key(Compte ILN - shipper - POL - plant)]],'DATA ILN'!A:J,10,FALSE),VLOOKUP(Tableau1[[#This Row],[Key(Compte ILN - shipper - POL)]],'DATA ILN'!B:J,9,FALSE))</f>
        <v>#N/A</v>
      </c>
      <c r="S250" s="79" t="e">
        <f>IFERROR(VLOOKUP(Tableau1[[#This Row],[Key(Compte ILN - shipper - POL - plant)]],'DATA ILN'!A:K,11,FALSE),VLOOKUP(Tableau1[[#This Row],[Key(Compte ILN - shipper - POL)]],'DATA ILN'!B:K,10,FALSE))</f>
        <v>#N/A</v>
      </c>
      <c r="T250" s="79" t="e">
        <f>IFERROR(VLOOKUP(Tableau1[[#This Row],[Key(Compte ILN - shipper - POL - plant)]],'DATA ILN'!A:L,12,FALSE),VLOOKUP(Tableau1[[#This Row],[Key(Compte ILN - shipper - POL)]],'DATA ILN'!B:L,11,FALSE))</f>
        <v>#N/A</v>
      </c>
      <c r="U250" s="79" t="e">
        <f>Tableau1[[#This Row],[Day ILN Order]]+Tableau1[[#This Row],[Delivery time to ILN/Shipper]]-1</f>
        <v>#N/A</v>
      </c>
      <c r="V250" s="79" t="e">
        <f>IFERROR(VLOOKUP(Tableau1[[#This Row],[Key(Compte ILN - shipper - POL - plant)]],'DATA ILN'!A:N,14,FALSE),VLOOKUP(Tableau1[[#This Row],[Key(Compte ILN - shipper - POL)]],'DATA ILN'!B:N,13,FALSE))</f>
        <v>#N/A</v>
      </c>
      <c r="W250" s="79" t="e">
        <f>IFERROR(VLOOKUP(Tableau1[[#This Row],[Key(Compte ILN - shipper - POL - plant)]],'DATA ILN'!A:P,16,FALSE),VLOOKUP(Tableau1[[#This Row],[Key(Compte ILN - shipper - POL)]],'DATA ILN'!B:P,15,FALSE))</f>
        <v>#N/A</v>
      </c>
      <c r="X250" s="100"/>
      <c r="Y250" s="485">
        <f>IFERROR(VLOOKUP(Tableau1[[#This Row],[Name Shipper]],Plant_AILN!L:M,2,FALSE),0)</f>
        <v>0</v>
      </c>
      <c r="Z250" s="369"/>
      <c r="AA250" s="354" t="e">
        <f ca="1">VLOOKUP(Tableau1[[#This Row],[Key(ID-Actif)]],'DATA BTO'!A:N,5,FALSE)</f>
        <v>#N/A</v>
      </c>
      <c r="AB250" s="106" t="e">
        <f ca="1">VLOOKUP(Tableau1[[#This Row],[Key(ID-Actif)]],'DATA BTO'!A:N,6,FALSE)</f>
        <v>#N/A</v>
      </c>
      <c r="AC250" s="79" t="e">
        <f ca="1">VLOOKUP(Tableau1[[#This Row],[Key(ID-Actif)]],'DATA BTO'!A:N,7,FALSE)</f>
        <v>#N/A</v>
      </c>
      <c r="AD250" s="79" t="e">
        <f ca="1">VLOOKUP(Tableau1[[#This Row],[Key(ID-Actif)]],'DATA BTO'!A:N,8,FALSE)</f>
        <v>#N/A</v>
      </c>
      <c r="AE250" s="79" t="e">
        <f ca="1">IF(Tableau1[[#This Row],[First Day to POL]]&lt;=Tableau1[[#This Row],[Day Cut Off]],Tableau1[[#This Row],[Day ETD]],Tableau1[[#This Row],[Day ETD]]+7)</f>
        <v>#N/A</v>
      </c>
      <c r="AF250" s="79" t="e">
        <f ca="1">VLOOKUP(Tableau1[[#This Row],[Key(ID-Actif)]],'DATA BTO'!A:N,9,FALSE)</f>
        <v>#N/A</v>
      </c>
      <c r="AG250" s="106" t="e">
        <f ca="1">VLOOKUP(Tableau1[[#This Row],[Key(ID-Actif)]],'DATA BTO'!A:N,10,FALSE)</f>
        <v>#N/A</v>
      </c>
      <c r="AH250" s="106" t="e">
        <f ca="1">VLOOKUP(Tableau1[[#This Row],[Key(ID-Actif)]],'DATA BTO'!A:N,11,FALSE)</f>
        <v>#N/A</v>
      </c>
      <c r="AI250" s="79" t="e">
        <f ca="1">VLOOKUP(Tableau1[[#This Row],[Key(ID-Actif)]],'DATA BTO'!A:N,12,FALSE)</f>
        <v>#N/A</v>
      </c>
      <c r="AJ250" s="104" t="e">
        <f ca="1">VLOOKUP(Tableau1[[#This Row],[Key(ID-Actif)]],'DATA BTO'!A:N,14,FALSE)</f>
        <v>#N/A</v>
      </c>
      <c r="AK250" s="105" t="e">
        <f ca="1">VLOOKUP(Tableau1[[#This Row],[Key(POD -PFI- Usine)]],'DATA Consignee'!A:F,6,FALSE)</f>
        <v>#N/A</v>
      </c>
      <c r="AL250" s="100"/>
      <c r="AM250" s="486" t="str">
        <f>IF(Tableau1[[#This Row],[Name PFI/CDD]]="","-",VLOOKUP(Tableau1[[#This Row],[Name PFI/CDD]],Plant_AILN!I:J,2,FALSE))</f>
        <v>-</v>
      </c>
      <c r="AN250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0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0" s="108" t="e">
        <f ca="1">VLOOKUP(Tableau1[[#This Row],[Key(POD -PFI- Usine)]],'DATA Consignee'!A:J,10,FALSE)</f>
        <v>#N/A</v>
      </c>
      <c r="AQ250" s="79" t="e">
        <f ca="1">VLOOKUP(Tableau1[[#This Row],[Key(POD -PFI- Usine)]],'DATA Consignee'!A:N,14,FALSE)</f>
        <v>#N/A</v>
      </c>
      <c r="AR250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0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0" s="79" t="e">
        <f ca="1">Tableau1[[#This Row],[Transit time]]+Tableau1[[#This Row],[Time for security]]+Tableau1[[#This Row],[Time for security2 buffer]]</f>
        <v>#N/A</v>
      </c>
      <c r="AU250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0" s="79" t="e">
        <f ca="1">Tableau1[[#This Row],[Leadtime SI2C]]+Tableau1[[#This Row],[First Receipt Days]]-Tableau1[[#This Row],[Day Customer Order]]+1</f>
        <v>#N/A</v>
      </c>
      <c r="AW250" s="118" t="e">
        <f ca="1">IF(Tableau1[[#This Row],[Name ILN]]&lt;&gt;"SFK Freight Forwarder",Tableau1[[#This Row],[Cust. Leadtime]],Tableau1[[#This Row],[Leadtime SI2C]])</f>
        <v>#N/A</v>
      </c>
      <c r="AX250" s="51" t="e">
        <f>VLOOKUP(Tableau1[[#This Row],[ID]],'DATA BTO'!B:P,15,FALSE)</f>
        <v>#N/A</v>
      </c>
      <c r="AY250" s="347" t="e">
        <f ca="1">IFERROR(VLOOKUP(Tableau1[[#This Row],[Key(ID-Actif)]],'DATA BTO'!A:N,4,FALSE),VLOOKUP(Tableau1[[#This Row],[ID]],'DATA BTO'!B:N,3,FALSE))</f>
        <v>#N/A</v>
      </c>
      <c r="AZ250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0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0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0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0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0" s="50"/>
    </row>
    <row r="251" spans="2:57">
      <c r="B251" s="80" t="str">
        <f>_xlfn.CONCAT(Tableau1[[#This Row],[Name ILN]],"-",Tableau1[[#This Row],[Name Shipper]],"-",Tableau1[[#This Row],[Name Site]])</f>
        <v>--</v>
      </c>
      <c r="C251" s="80" t="e">
        <f>_xlfn.CONCAT(Tableau1[[#This Row],[Compte ILN]],"-",Tableau1[[#This Row],[Compte Shipper]],"-",Tableau1[[#This Row],[POL]],"-",Tableau1[[#This Row],[Compte Consignee]])</f>
        <v>#N/A</v>
      </c>
      <c r="D251" s="80" t="e">
        <f>_xlfn.CONCAT(Tableau1[[#This Row],[Compte ILN]],"-",Tableau1[[#This Row],[Compte Shipper]],"-",Tableau1[[#This Row],[POL]])</f>
        <v>#N/A</v>
      </c>
      <c r="E251" s="81" t="e">
        <f ca="1">_xlfn.CONCAT(Tableau1[[#This Row],[POL]],"-",Tableau1[[#This Row],[Carrier]],"-",Tableau1[[#This Row],[POD]])</f>
        <v>#N/A</v>
      </c>
      <c r="F251" s="80" t="str">
        <f>_xlfn.CONCAT(Tableau1[[#This Row],[ID]],"-","Actif")</f>
        <v>-Actif</v>
      </c>
      <c r="G251" s="80" t="e">
        <f ca="1">_xlfn.CONCAT(Tableau1[[#This Row],[POD]],"-",Tableau1[[#This Row],[Code PFI]],"-",Tableau1[[#This Row],[Compte Consignee]])</f>
        <v>#N/A</v>
      </c>
      <c r="H25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1" s="118" t="str">
        <f ca="1">IF(COUNTIF(I:I,Tableau1[[#This Row],[Plant-ILN-shipper-POL-Carrier-POD-PFI]])=1,"Non","Oui")</f>
        <v>Oui</v>
      </c>
      <c r="K251" s="402" t="e">
        <f>VLOOKUP(Tableau1[[#This Row],[Name Site]],Plant_AILN!A:D,4,FALSE)</f>
        <v>#N/A</v>
      </c>
      <c r="L251" s="368"/>
      <c r="M251" s="480" t="e">
        <f>VLOOKUP(Tableau1[[#This Row],[Name Site]],Plant_AILN!A:C,3,FALSE)</f>
        <v>#N/A</v>
      </c>
      <c r="N251" s="102" t="e">
        <f>VLOOKUP(Tableau1[[#This Row],[Compte Consignee]],Order!C:D,2,FALSE)</f>
        <v>#N/A</v>
      </c>
      <c r="O251" s="124"/>
      <c r="P251" s="484" t="e">
        <f>VLOOKUP(Tableau1[[#This Row],[Name ILN]],Plant_AILN!F:G,2,FALSE)</f>
        <v>#N/A</v>
      </c>
      <c r="Q251" s="79" t="e">
        <f>VLOOKUP(Tableau1[[#This Row],[Compte ILN]],'DATA ILN'!D:I,6,FALSE)</f>
        <v>#N/A</v>
      </c>
      <c r="R251" s="79" t="e">
        <f>IFERROR(VLOOKUP(Tableau1[[#This Row],[Key(Compte ILN - shipper - POL - plant)]],'DATA ILN'!A:J,10,FALSE),VLOOKUP(Tableau1[[#This Row],[Key(Compte ILN - shipper - POL)]],'DATA ILN'!B:J,9,FALSE))</f>
        <v>#N/A</v>
      </c>
      <c r="S251" s="79" t="e">
        <f>IFERROR(VLOOKUP(Tableau1[[#This Row],[Key(Compte ILN - shipper - POL - plant)]],'DATA ILN'!A:K,11,FALSE),VLOOKUP(Tableau1[[#This Row],[Key(Compte ILN - shipper - POL)]],'DATA ILN'!B:K,10,FALSE))</f>
        <v>#N/A</v>
      </c>
      <c r="T251" s="79" t="e">
        <f>IFERROR(VLOOKUP(Tableau1[[#This Row],[Key(Compte ILN - shipper - POL - plant)]],'DATA ILN'!A:L,12,FALSE),VLOOKUP(Tableau1[[#This Row],[Key(Compte ILN - shipper - POL)]],'DATA ILN'!B:L,11,FALSE))</f>
        <v>#N/A</v>
      </c>
      <c r="U251" s="79" t="e">
        <f>Tableau1[[#This Row],[Day ILN Order]]+Tableau1[[#This Row],[Delivery time to ILN/Shipper]]-1</f>
        <v>#N/A</v>
      </c>
      <c r="V251" s="79" t="e">
        <f>IFERROR(VLOOKUP(Tableau1[[#This Row],[Key(Compte ILN - shipper - POL - plant)]],'DATA ILN'!A:N,14,FALSE),VLOOKUP(Tableau1[[#This Row],[Key(Compte ILN - shipper - POL)]],'DATA ILN'!B:N,13,FALSE))</f>
        <v>#N/A</v>
      </c>
      <c r="W251" s="79" t="e">
        <f>IFERROR(VLOOKUP(Tableau1[[#This Row],[Key(Compte ILN - shipper - POL - plant)]],'DATA ILN'!A:P,16,FALSE),VLOOKUP(Tableau1[[#This Row],[Key(Compte ILN - shipper - POL)]],'DATA ILN'!B:P,15,FALSE))</f>
        <v>#N/A</v>
      </c>
      <c r="X251" s="100"/>
      <c r="Y251" s="485">
        <f>IFERROR(VLOOKUP(Tableau1[[#This Row],[Name Shipper]],Plant_AILN!L:M,2,FALSE),0)</f>
        <v>0</v>
      </c>
      <c r="Z251" s="369"/>
      <c r="AA251" s="354" t="e">
        <f ca="1">VLOOKUP(Tableau1[[#This Row],[Key(ID-Actif)]],'DATA BTO'!A:N,5,FALSE)</f>
        <v>#N/A</v>
      </c>
      <c r="AB251" s="106" t="e">
        <f ca="1">VLOOKUP(Tableau1[[#This Row],[Key(ID-Actif)]],'DATA BTO'!A:N,6,FALSE)</f>
        <v>#N/A</v>
      </c>
      <c r="AC251" s="79" t="e">
        <f ca="1">VLOOKUP(Tableau1[[#This Row],[Key(ID-Actif)]],'DATA BTO'!A:N,7,FALSE)</f>
        <v>#N/A</v>
      </c>
      <c r="AD251" s="79" t="e">
        <f ca="1">VLOOKUP(Tableau1[[#This Row],[Key(ID-Actif)]],'DATA BTO'!A:N,8,FALSE)</f>
        <v>#N/A</v>
      </c>
      <c r="AE251" s="79" t="e">
        <f ca="1">IF(Tableau1[[#This Row],[First Day to POL]]&lt;=Tableau1[[#This Row],[Day Cut Off]],Tableau1[[#This Row],[Day ETD]],Tableau1[[#This Row],[Day ETD]]+7)</f>
        <v>#N/A</v>
      </c>
      <c r="AF251" s="79" t="e">
        <f ca="1">VLOOKUP(Tableau1[[#This Row],[Key(ID-Actif)]],'DATA BTO'!A:N,9,FALSE)</f>
        <v>#N/A</v>
      </c>
      <c r="AG251" s="106" t="e">
        <f ca="1">VLOOKUP(Tableau1[[#This Row],[Key(ID-Actif)]],'DATA BTO'!A:N,10,FALSE)</f>
        <v>#N/A</v>
      </c>
      <c r="AH251" s="106" t="e">
        <f ca="1">VLOOKUP(Tableau1[[#This Row],[Key(ID-Actif)]],'DATA BTO'!A:N,11,FALSE)</f>
        <v>#N/A</v>
      </c>
      <c r="AI251" s="79" t="e">
        <f ca="1">VLOOKUP(Tableau1[[#This Row],[Key(ID-Actif)]],'DATA BTO'!A:N,12,FALSE)</f>
        <v>#N/A</v>
      </c>
      <c r="AJ251" s="104" t="e">
        <f ca="1">VLOOKUP(Tableau1[[#This Row],[Key(ID-Actif)]],'DATA BTO'!A:N,14,FALSE)</f>
        <v>#N/A</v>
      </c>
      <c r="AK251" s="105" t="e">
        <f ca="1">VLOOKUP(Tableau1[[#This Row],[Key(POD -PFI- Usine)]],'DATA Consignee'!A:F,6,FALSE)</f>
        <v>#N/A</v>
      </c>
      <c r="AL251" s="100"/>
      <c r="AM251" s="486" t="str">
        <f>IF(Tableau1[[#This Row],[Name PFI/CDD]]="","-",VLOOKUP(Tableau1[[#This Row],[Name PFI/CDD]],Plant_AILN!I:J,2,FALSE))</f>
        <v>-</v>
      </c>
      <c r="AN25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1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1" s="108" t="e">
        <f ca="1">VLOOKUP(Tableau1[[#This Row],[Key(POD -PFI- Usine)]],'DATA Consignee'!A:J,10,FALSE)</f>
        <v>#N/A</v>
      </c>
      <c r="AQ251" s="79" t="e">
        <f ca="1">VLOOKUP(Tableau1[[#This Row],[Key(POD -PFI- Usine)]],'DATA Consignee'!A:N,14,FALSE)</f>
        <v>#N/A</v>
      </c>
      <c r="AR25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1" s="79" t="e">
        <f ca="1">Tableau1[[#This Row],[Transit time]]+Tableau1[[#This Row],[Time for security]]+Tableau1[[#This Row],[Time for security2 buffer]]</f>
        <v>#N/A</v>
      </c>
      <c r="AU25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1" s="79" t="e">
        <f ca="1">Tableau1[[#This Row],[Leadtime SI2C]]+Tableau1[[#This Row],[First Receipt Days]]-Tableau1[[#This Row],[Day Customer Order]]+1</f>
        <v>#N/A</v>
      </c>
      <c r="AW251" s="118" t="e">
        <f ca="1">IF(Tableau1[[#This Row],[Name ILN]]&lt;&gt;"SFK Freight Forwarder",Tableau1[[#This Row],[Cust. Leadtime]],Tableau1[[#This Row],[Leadtime SI2C]])</f>
        <v>#N/A</v>
      </c>
      <c r="AX251" s="51" t="e">
        <f>VLOOKUP(Tableau1[[#This Row],[ID]],'DATA BTO'!B:P,15,FALSE)</f>
        <v>#N/A</v>
      </c>
      <c r="AY251" s="347" t="e">
        <f ca="1">IFERROR(VLOOKUP(Tableau1[[#This Row],[Key(ID-Actif)]],'DATA BTO'!A:N,4,FALSE),VLOOKUP(Tableau1[[#This Row],[ID]],'DATA BTO'!B:N,3,FALSE))</f>
        <v>#N/A</v>
      </c>
      <c r="AZ251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1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1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1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1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1" s="50"/>
    </row>
    <row r="252" spans="2:57">
      <c r="B252" s="80" t="str">
        <f>_xlfn.CONCAT(Tableau1[[#This Row],[Name ILN]],"-",Tableau1[[#This Row],[Name Shipper]],"-",Tableau1[[#This Row],[Name Site]])</f>
        <v>--</v>
      </c>
      <c r="C252" s="80" t="e">
        <f>_xlfn.CONCAT(Tableau1[[#This Row],[Compte ILN]],"-",Tableau1[[#This Row],[Compte Shipper]],"-",Tableau1[[#This Row],[POL]],"-",Tableau1[[#This Row],[Compte Consignee]])</f>
        <v>#N/A</v>
      </c>
      <c r="D252" s="80" t="e">
        <f>_xlfn.CONCAT(Tableau1[[#This Row],[Compte ILN]],"-",Tableau1[[#This Row],[Compte Shipper]],"-",Tableau1[[#This Row],[POL]])</f>
        <v>#N/A</v>
      </c>
      <c r="E252" s="81" t="e">
        <f ca="1">_xlfn.CONCAT(Tableau1[[#This Row],[POL]],"-",Tableau1[[#This Row],[Carrier]],"-",Tableau1[[#This Row],[POD]])</f>
        <v>#N/A</v>
      </c>
      <c r="F252" s="80" t="str">
        <f>_xlfn.CONCAT(Tableau1[[#This Row],[ID]],"-","Actif")</f>
        <v>-Actif</v>
      </c>
      <c r="G252" s="80" t="e">
        <f ca="1">_xlfn.CONCAT(Tableau1[[#This Row],[POD]],"-",Tableau1[[#This Row],[Code PFI]],"-",Tableau1[[#This Row],[Compte Consignee]])</f>
        <v>#N/A</v>
      </c>
      <c r="H25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2" s="118" t="str">
        <f ca="1">IF(COUNTIF(I:I,Tableau1[[#This Row],[Plant-ILN-shipper-POL-Carrier-POD-PFI]])=1,"Non","Oui")</f>
        <v>Oui</v>
      </c>
      <c r="K252" s="402" t="e">
        <f>VLOOKUP(Tableau1[[#This Row],[Name Site]],Plant_AILN!A:D,4,FALSE)</f>
        <v>#N/A</v>
      </c>
      <c r="L252" s="368"/>
      <c r="M252" s="480" t="e">
        <f>VLOOKUP(Tableau1[[#This Row],[Name Site]],Plant_AILN!A:C,3,FALSE)</f>
        <v>#N/A</v>
      </c>
      <c r="N252" s="102" t="e">
        <f>VLOOKUP(Tableau1[[#This Row],[Compte Consignee]],Order!C:D,2,FALSE)</f>
        <v>#N/A</v>
      </c>
      <c r="O252" s="124"/>
      <c r="P252" s="484" t="e">
        <f>VLOOKUP(Tableau1[[#This Row],[Name ILN]],Plant_AILN!F:G,2,FALSE)</f>
        <v>#N/A</v>
      </c>
      <c r="Q252" s="79" t="e">
        <f>VLOOKUP(Tableau1[[#This Row],[Compte ILN]],'DATA ILN'!D:I,6,FALSE)</f>
        <v>#N/A</v>
      </c>
      <c r="R252" s="79" t="e">
        <f>IFERROR(VLOOKUP(Tableau1[[#This Row],[Key(Compte ILN - shipper - POL - plant)]],'DATA ILN'!A:J,10,FALSE),VLOOKUP(Tableau1[[#This Row],[Key(Compte ILN - shipper - POL)]],'DATA ILN'!B:J,9,FALSE))</f>
        <v>#N/A</v>
      </c>
      <c r="S252" s="79" t="e">
        <f>IFERROR(VLOOKUP(Tableau1[[#This Row],[Key(Compte ILN - shipper - POL - plant)]],'DATA ILN'!A:K,11,FALSE),VLOOKUP(Tableau1[[#This Row],[Key(Compte ILN - shipper - POL)]],'DATA ILN'!B:K,10,FALSE))</f>
        <v>#N/A</v>
      </c>
      <c r="T252" s="79" t="e">
        <f>IFERROR(VLOOKUP(Tableau1[[#This Row],[Key(Compte ILN - shipper - POL - plant)]],'DATA ILN'!A:L,12,FALSE),VLOOKUP(Tableau1[[#This Row],[Key(Compte ILN - shipper - POL)]],'DATA ILN'!B:L,11,FALSE))</f>
        <v>#N/A</v>
      </c>
      <c r="U252" s="79" t="e">
        <f>Tableau1[[#This Row],[Day ILN Order]]+Tableau1[[#This Row],[Delivery time to ILN/Shipper]]-1</f>
        <v>#N/A</v>
      </c>
      <c r="V252" s="79" t="e">
        <f>IFERROR(VLOOKUP(Tableau1[[#This Row],[Key(Compte ILN - shipper - POL - plant)]],'DATA ILN'!A:N,14,FALSE),VLOOKUP(Tableau1[[#This Row],[Key(Compte ILN - shipper - POL)]],'DATA ILN'!B:N,13,FALSE))</f>
        <v>#N/A</v>
      </c>
      <c r="W252" s="79" t="e">
        <f>IFERROR(VLOOKUP(Tableau1[[#This Row],[Key(Compte ILN - shipper - POL - plant)]],'DATA ILN'!A:P,16,FALSE),VLOOKUP(Tableau1[[#This Row],[Key(Compte ILN - shipper - POL)]],'DATA ILN'!B:P,15,FALSE))</f>
        <v>#N/A</v>
      </c>
      <c r="X252" s="100"/>
      <c r="Y252" s="485">
        <f>IFERROR(VLOOKUP(Tableau1[[#This Row],[Name Shipper]],Plant_AILN!L:M,2,FALSE),0)</f>
        <v>0</v>
      </c>
      <c r="Z252" s="459"/>
      <c r="AA252" s="354" t="e">
        <f ca="1">VLOOKUP(Tableau1[[#This Row],[Key(ID-Actif)]],'DATA BTO'!A:N,5,FALSE)</f>
        <v>#N/A</v>
      </c>
      <c r="AB252" s="106" t="e">
        <f ca="1">VLOOKUP(Tableau1[[#This Row],[Key(ID-Actif)]],'DATA BTO'!A:N,6,FALSE)</f>
        <v>#N/A</v>
      </c>
      <c r="AC252" s="79" t="e">
        <f ca="1">VLOOKUP(Tableau1[[#This Row],[Key(ID-Actif)]],'DATA BTO'!A:N,7,FALSE)</f>
        <v>#N/A</v>
      </c>
      <c r="AD252" s="79" t="e">
        <f ca="1">VLOOKUP(Tableau1[[#This Row],[Key(ID-Actif)]],'DATA BTO'!A:N,8,FALSE)</f>
        <v>#N/A</v>
      </c>
      <c r="AE252" s="79" t="e">
        <f ca="1">IF(Tableau1[[#This Row],[First Day to POL]]&lt;=Tableau1[[#This Row],[Day Cut Off]],Tableau1[[#This Row],[Day ETD]],Tableau1[[#This Row],[Day ETD]]+7)</f>
        <v>#N/A</v>
      </c>
      <c r="AF252" s="79" t="e">
        <f ca="1">VLOOKUP(Tableau1[[#This Row],[Key(ID-Actif)]],'DATA BTO'!A:N,9,FALSE)</f>
        <v>#N/A</v>
      </c>
      <c r="AG252" s="106" t="e">
        <f ca="1">VLOOKUP(Tableau1[[#This Row],[Key(ID-Actif)]],'DATA BTO'!A:N,10,FALSE)</f>
        <v>#N/A</v>
      </c>
      <c r="AH252" s="106" t="e">
        <f ca="1">VLOOKUP(Tableau1[[#This Row],[Key(ID-Actif)]],'DATA BTO'!A:N,11,FALSE)</f>
        <v>#N/A</v>
      </c>
      <c r="AI252" s="79" t="e">
        <f ca="1">VLOOKUP(Tableau1[[#This Row],[Key(ID-Actif)]],'DATA BTO'!A:N,12,FALSE)</f>
        <v>#N/A</v>
      </c>
      <c r="AJ252" s="104" t="e">
        <f ca="1">VLOOKUP(Tableau1[[#This Row],[Key(ID-Actif)]],'DATA BTO'!A:N,14,FALSE)</f>
        <v>#N/A</v>
      </c>
      <c r="AK252" s="105" t="e">
        <f ca="1">VLOOKUP(Tableau1[[#This Row],[Key(POD -PFI- Usine)]],'DATA Consignee'!A:F,6,FALSE)</f>
        <v>#N/A</v>
      </c>
      <c r="AL252" s="100"/>
      <c r="AM252" s="486" t="str">
        <f>IF(Tableau1[[#This Row],[Name PFI/CDD]]="","-",VLOOKUP(Tableau1[[#This Row],[Name PFI/CDD]],Plant_AILN!I:J,2,FALSE))</f>
        <v>-</v>
      </c>
      <c r="AN25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2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2" s="108" t="e">
        <f ca="1">VLOOKUP(Tableau1[[#This Row],[Key(POD -PFI- Usine)]],'DATA Consignee'!A:J,10,FALSE)</f>
        <v>#N/A</v>
      </c>
      <c r="AQ252" s="79" t="e">
        <f ca="1">VLOOKUP(Tableau1[[#This Row],[Key(POD -PFI- Usine)]],'DATA Consignee'!A:N,14,FALSE)</f>
        <v>#N/A</v>
      </c>
      <c r="AR25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2" s="79" t="e">
        <f ca="1">Tableau1[[#This Row],[Transit time]]+Tableau1[[#This Row],[Time for security]]+Tableau1[[#This Row],[Time for security2 buffer]]</f>
        <v>#N/A</v>
      </c>
      <c r="AU25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2" s="79" t="e">
        <f ca="1">Tableau1[[#This Row],[Leadtime SI2C]]+Tableau1[[#This Row],[First Receipt Days]]-Tableau1[[#This Row],[Day Customer Order]]+1</f>
        <v>#N/A</v>
      </c>
      <c r="AW252" s="118" t="e">
        <f ca="1">IF(Tableau1[[#This Row],[Name ILN]]&lt;&gt;"SFK Freight Forwarder",Tableau1[[#This Row],[Cust. Leadtime]],Tableau1[[#This Row],[Leadtime SI2C]])</f>
        <v>#N/A</v>
      </c>
      <c r="AX252" s="51" t="e">
        <f>VLOOKUP(Tableau1[[#This Row],[ID]],'DATA BTO'!B:P,15,FALSE)</f>
        <v>#N/A</v>
      </c>
      <c r="AY252" s="347" t="e">
        <f ca="1">IFERROR(VLOOKUP(Tableau1[[#This Row],[Key(ID-Actif)]],'DATA BTO'!A:N,4,FALSE),VLOOKUP(Tableau1[[#This Row],[ID]],'DATA BTO'!B:N,3,FALSE))</f>
        <v>#N/A</v>
      </c>
      <c r="AZ252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2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2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2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2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2" s="50"/>
    </row>
    <row r="253" spans="2:57">
      <c r="B253" s="80" t="str">
        <f>_xlfn.CONCAT(Tableau1[[#This Row],[Name ILN]],"-",Tableau1[[#This Row],[Name Shipper]],"-",Tableau1[[#This Row],[Name Site]])</f>
        <v>--</v>
      </c>
      <c r="C253" s="80" t="e">
        <f>_xlfn.CONCAT(Tableau1[[#This Row],[Compte ILN]],"-",Tableau1[[#This Row],[Compte Shipper]],"-",Tableau1[[#This Row],[POL]],"-",Tableau1[[#This Row],[Compte Consignee]])</f>
        <v>#N/A</v>
      </c>
      <c r="D253" s="80" t="e">
        <f>_xlfn.CONCAT(Tableau1[[#This Row],[Compte ILN]],"-",Tableau1[[#This Row],[Compte Shipper]],"-",Tableau1[[#This Row],[POL]])</f>
        <v>#N/A</v>
      </c>
      <c r="E253" s="81" t="e">
        <f ca="1">_xlfn.CONCAT(Tableau1[[#This Row],[POL]],"-",Tableau1[[#This Row],[Carrier]],"-",Tableau1[[#This Row],[POD]])</f>
        <v>#N/A</v>
      </c>
      <c r="F253" s="80" t="str">
        <f>_xlfn.CONCAT(Tableau1[[#This Row],[ID]],"-","Actif")</f>
        <v>-Actif</v>
      </c>
      <c r="G253" s="80" t="e">
        <f ca="1">_xlfn.CONCAT(Tableau1[[#This Row],[POD]],"-",Tableau1[[#This Row],[Code PFI]],"-",Tableau1[[#This Row],[Compte Consignee]])</f>
        <v>#N/A</v>
      </c>
      <c r="H25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3" s="118" t="str">
        <f ca="1">IF(COUNTIF(I:I,Tableau1[[#This Row],[Plant-ILN-shipper-POL-Carrier-POD-PFI]])=1,"Non","Oui")</f>
        <v>Oui</v>
      </c>
      <c r="K253" s="402" t="e">
        <f>VLOOKUP(Tableau1[[#This Row],[Name Site]],Plant_AILN!A:D,4,FALSE)</f>
        <v>#N/A</v>
      </c>
      <c r="L253" s="450"/>
      <c r="M253" s="480" t="e">
        <f>VLOOKUP(Tableau1[[#This Row],[Name Site]],Plant_AILN!A:C,3,FALSE)</f>
        <v>#N/A</v>
      </c>
      <c r="N253" s="102" t="e">
        <f>VLOOKUP(Tableau1[[#This Row],[Compte Consignee]],Order!C:D,2,FALSE)</f>
        <v>#N/A</v>
      </c>
      <c r="O253" s="124"/>
      <c r="P253" s="484" t="e">
        <f>VLOOKUP(Tableau1[[#This Row],[Name ILN]],Plant_AILN!F:G,2,FALSE)</f>
        <v>#N/A</v>
      </c>
      <c r="Q253" s="79" t="e">
        <f>VLOOKUP(Tableau1[[#This Row],[Compte ILN]],'DATA ILN'!D:I,6,FALSE)</f>
        <v>#N/A</v>
      </c>
      <c r="R253" s="79" t="e">
        <f>IFERROR(VLOOKUP(Tableau1[[#This Row],[Key(Compte ILN - shipper - POL - plant)]],'DATA ILN'!A:J,10,FALSE),VLOOKUP(Tableau1[[#This Row],[Key(Compte ILN - shipper - POL)]],'DATA ILN'!B:J,9,FALSE))</f>
        <v>#N/A</v>
      </c>
      <c r="S253" s="79" t="e">
        <f>IFERROR(VLOOKUP(Tableau1[[#This Row],[Key(Compte ILN - shipper - POL - plant)]],'DATA ILN'!A:K,11,FALSE),VLOOKUP(Tableau1[[#This Row],[Key(Compte ILN - shipper - POL)]],'DATA ILN'!B:K,10,FALSE))</f>
        <v>#N/A</v>
      </c>
      <c r="T253" s="79" t="e">
        <f>IFERROR(VLOOKUP(Tableau1[[#This Row],[Key(Compte ILN - shipper - POL - plant)]],'DATA ILN'!A:L,12,FALSE),VLOOKUP(Tableau1[[#This Row],[Key(Compte ILN - shipper - POL)]],'DATA ILN'!B:L,11,FALSE))</f>
        <v>#N/A</v>
      </c>
      <c r="U253" s="79" t="e">
        <f>Tableau1[[#This Row],[Day ILN Order]]+Tableau1[[#This Row],[Delivery time to ILN/Shipper]]-1</f>
        <v>#N/A</v>
      </c>
      <c r="V253" s="79" t="e">
        <f>IFERROR(VLOOKUP(Tableau1[[#This Row],[Key(Compte ILN - shipper - POL - plant)]],'DATA ILN'!A:N,14,FALSE),VLOOKUP(Tableau1[[#This Row],[Key(Compte ILN - shipper - POL)]],'DATA ILN'!B:N,13,FALSE))</f>
        <v>#N/A</v>
      </c>
      <c r="W253" s="79" t="e">
        <f>IFERROR(VLOOKUP(Tableau1[[#This Row],[Key(Compte ILN - shipper - POL - plant)]],'DATA ILN'!A:P,16,FALSE),VLOOKUP(Tableau1[[#This Row],[Key(Compte ILN - shipper - POL)]],'DATA ILN'!B:P,15,FALSE))</f>
        <v>#N/A</v>
      </c>
      <c r="X253" s="100"/>
      <c r="Y253" s="485">
        <f>IFERROR(VLOOKUP(Tableau1[[#This Row],[Name Shipper]],Plant_AILN!L:M,2,FALSE),0)</f>
        <v>0</v>
      </c>
      <c r="Z253" s="369"/>
      <c r="AA253" s="354" t="e">
        <f ca="1">VLOOKUP(Tableau1[[#This Row],[Key(ID-Actif)]],'DATA BTO'!A:N,5,FALSE)</f>
        <v>#N/A</v>
      </c>
      <c r="AB253" s="106" t="e">
        <f ca="1">VLOOKUP(Tableau1[[#This Row],[Key(ID-Actif)]],'DATA BTO'!A:N,6,FALSE)</f>
        <v>#N/A</v>
      </c>
      <c r="AC253" s="79" t="e">
        <f ca="1">VLOOKUP(Tableau1[[#This Row],[Key(ID-Actif)]],'DATA BTO'!A:N,7,FALSE)</f>
        <v>#N/A</v>
      </c>
      <c r="AD253" s="79" t="e">
        <f ca="1">VLOOKUP(Tableau1[[#This Row],[Key(ID-Actif)]],'DATA BTO'!A:N,8,FALSE)</f>
        <v>#N/A</v>
      </c>
      <c r="AE253" s="79" t="e">
        <f ca="1">IF(Tableau1[[#This Row],[First Day to POL]]&lt;=Tableau1[[#This Row],[Day Cut Off]],Tableau1[[#This Row],[Day ETD]],Tableau1[[#This Row],[Day ETD]]+7)</f>
        <v>#N/A</v>
      </c>
      <c r="AF253" s="79" t="e">
        <f ca="1">VLOOKUP(Tableau1[[#This Row],[Key(ID-Actif)]],'DATA BTO'!A:N,9,FALSE)</f>
        <v>#N/A</v>
      </c>
      <c r="AG253" s="106" t="e">
        <f ca="1">VLOOKUP(Tableau1[[#This Row],[Key(ID-Actif)]],'DATA BTO'!A:N,10,FALSE)</f>
        <v>#N/A</v>
      </c>
      <c r="AH253" s="106" t="e">
        <f ca="1">VLOOKUP(Tableau1[[#This Row],[Key(ID-Actif)]],'DATA BTO'!A:N,11,FALSE)</f>
        <v>#N/A</v>
      </c>
      <c r="AI253" s="79" t="e">
        <f ca="1">VLOOKUP(Tableau1[[#This Row],[Key(ID-Actif)]],'DATA BTO'!A:N,12,FALSE)</f>
        <v>#N/A</v>
      </c>
      <c r="AJ253" s="104" t="e">
        <f ca="1">VLOOKUP(Tableau1[[#This Row],[Key(ID-Actif)]],'DATA BTO'!A:N,14,FALSE)</f>
        <v>#N/A</v>
      </c>
      <c r="AK253" s="105" t="e">
        <f ca="1">VLOOKUP(Tableau1[[#This Row],[Key(POD -PFI- Usine)]],'DATA Consignee'!A:F,6,FALSE)</f>
        <v>#N/A</v>
      </c>
      <c r="AL253" s="100"/>
      <c r="AM253" s="486" t="str">
        <f>IF(Tableau1[[#This Row],[Name PFI/CDD]]="","-",VLOOKUP(Tableau1[[#This Row],[Name PFI/CDD]],Plant_AILN!I:J,2,FALSE))</f>
        <v>-</v>
      </c>
      <c r="AN25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3" s="108" t="e">
        <f ca="1">VLOOKUP(Tableau1[[#This Row],[Key(POD -PFI- Usine)]],'DATA Consignee'!A:J,10,FALSE)</f>
        <v>#N/A</v>
      </c>
      <c r="AQ253" s="79" t="e">
        <f ca="1">VLOOKUP(Tableau1[[#This Row],[Key(POD -PFI- Usine)]],'DATA Consignee'!A:N,14,FALSE)</f>
        <v>#N/A</v>
      </c>
      <c r="AR25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3" s="79" t="e">
        <f ca="1">Tableau1[[#This Row],[Transit time]]+Tableau1[[#This Row],[Time for security]]+Tableau1[[#This Row],[Time for security2 buffer]]</f>
        <v>#N/A</v>
      </c>
      <c r="AU25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3" s="79" t="e">
        <f ca="1">Tableau1[[#This Row],[Leadtime SI2C]]+Tableau1[[#This Row],[First Receipt Days]]-Tableau1[[#This Row],[Day Customer Order]]+1</f>
        <v>#N/A</v>
      </c>
      <c r="AW253" s="118" t="e">
        <f ca="1">IF(Tableau1[[#This Row],[Name ILN]]&lt;&gt;"SFK Freight Forwarder",Tableau1[[#This Row],[Cust. Leadtime]],Tableau1[[#This Row],[Leadtime SI2C]])</f>
        <v>#N/A</v>
      </c>
      <c r="AX253" s="51" t="e">
        <f>VLOOKUP(Tableau1[[#This Row],[ID]],'DATA BTO'!B:P,15,FALSE)</f>
        <v>#N/A</v>
      </c>
      <c r="AY253" s="347" t="e">
        <f ca="1">IFERROR(VLOOKUP(Tableau1[[#This Row],[Key(ID-Actif)]],'DATA BTO'!A:N,4,FALSE),VLOOKUP(Tableau1[[#This Row],[ID]],'DATA BTO'!B:N,3,FALSE))</f>
        <v>#N/A</v>
      </c>
      <c r="AZ253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3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3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3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3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3" s="397"/>
    </row>
    <row r="254" spans="2:57">
      <c r="B254" s="80" t="str">
        <f>_xlfn.CONCAT(Tableau1[[#This Row],[Name ILN]],"-",Tableau1[[#This Row],[Name Shipper]],"-",Tableau1[[#This Row],[Name Site]])</f>
        <v>--</v>
      </c>
      <c r="C254" s="80" t="e">
        <f>_xlfn.CONCAT(Tableau1[[#This Row],[Compte ILN]],"-",Tableau1[[#This Row],[Compte Shipper]],"-",Tableau1[[#This Row],[POL]],"-",Tableau1[[#This Row],[Compte Consignee]])</f>
        <v>#N/A</v>
      </c>
      <c r="D254" s="80" t="e">
        <f>_xlfn.CONCAT(Tableau1[[#This Row],[Compte ILN]],"-",Tableau1[[#This Row],[Compte Shipper]],"-",Tableau1[[#This Row],[POL]])</f>
        <v>#N/A</v>
      </c>
      <c r="E254" s="81" t="e">
        <f ca="1">_xlfn.CONCAT(Tableau1[[#This Row],[POL]],"-",Tableau1[[#This Row],[Carrier]],"-",Tableau1[[#This Row],[POD]])</f>
        <v>#N/A</v>
      </c>
      <c r="F254" s="80" t="str">
        <f>_xlfn.CONCAT(Tableau1[[#This Row],[ID]],"-","Actif")</f>
        <v>-Actif</v>
      </c>
      <c r="G254" s="80" t="e">
        <f ca="1">_xlfn.CONCAT(Tableau1[[#This Row],[POD]],"-",Tableau1[[#This Row],[Code PFI]],"-",Tableau1[[#This Row],[Compte Consignee]])</f>
        <v>#N/A</v>
      </c>
      <c r="H25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4" s="118" t="str">
        <f ca="1">IF(COUNTIF(I:I,Tableau1[[#This Row],[Plant-ILN-shipper-POL-Carrier-POD-PFI]])=1,"Non","Oui")</f>
        <v>Oui</v>
      </c>
      <c r="K254" s="402" t="e">
        <f>VLOOKUP(Tableau1[[#This Row],[Name Site]],Plant_AILN!A:D,4,FALSE)</f>
        <v>#N/A</v>
      </c>
      <c r="L254" s="368"/>
      <c r="M254" s="480" t="e">
        <f>VLOOKUP(Tableau1[[#This Row],[Name Site]],Plant_AILN!A:C,3,FALSE)</f>
        <v>#N/A</v>
      </c>
      <c r="N254" s="102" t="e">
        <f>VLOOKUP(Tableau1[[#This Row],[Compte Consignee]],Order!C:D,2,FALSE)</f>
        <v>#N/A</v>
      </c>
      <c r="O254" s="124"/>
      <c r="P254" s="484" t="e">
        <f>VLOOKUP(Tableau1[[#This Row],[Name ILN]],Plant_AILN!F:G,2,FALSE)</f>
        <v>#N/A</v>
      </c>
      <c r="Q254" s="79" t="e">
        <f>VLOOKUP(Tableau1[[#This Row],[Compte ILN]],'DATA ILN'!D:I,6,FALSE)</f>
        <v>#N/A</v>
      </c>
      <c r="R254" s="79" t="e">
        <f>IFERROR(VLOOKUP(Tableau1[[#This Row],[Key(Compte ILN - shipper - POL - plant)]],'DATA ILN'!A:J,10,FALSE),VLOOKUP(Tableau1[[#This Row],[Key(Compte ILN - shipper - POL)]],'DATA ILN'!B:J,9,FALSE))</f>
        <v>#N/A</v>
      </c>
      <c r="S254" s="79" t="e">
        <f>IFERROR(VLOOKUP(Tableau1[[#This Row],[Key(Compte ILN - shipper - POL - plant)]],'DATA ILN'!A:K,11,FALSE),VLOOKUP(Tableau1[[#This Row],[Key(Compte ILN - shipper - POL)]],'DATA ILN'!B:K,10,FALSE))</f>
        <v>#N/A</v>
      </c>
      <c r="T254" s="79" t="e">
        <f>IFERROR(VLOOKUP(Tableau1[[#This Row],[Key(Compte ILN - shipper - POL - plant)]],'DATA ILN'!A:L,12,FALSE),VLOOKUP(Tableau1[[#This Row],[Key(Compte ILN - shipper - POL)]],'DATA ILN'!B:L,11,FALSE))</f>
        <v>#N/A</v>
      </c>
      <c r="U254" s="79" t="e">
        <f>Tableau1[[#This Row],[Day ILN Order]]+Tableau1[[#This Row],[Delivery time to ILN/Shipper]]-1</f>
        <v>#N/A</v>
      </c>
      <c r="V254" s="79" t="e">
        <f>IFERROR(VLOOKUP(Tableau1[[#This Row],[Key(Compte ILN - shipper - POL - plant)]],'DATA ILN'!A:N,14,FALSE),VLOOKUP(Tableau1[[#This Row],[Key(Compte ILN - shipper - POL)]],'DATA ILN'!B:N,13,FALSE))</f>
        <v>#N/A</v>
      </c>
      <c r="W254" s="79" t="e">
        <f>IFERROR(VLOOKUP(Tableau1[[#This Row],[Key(Compte ILN - shipper - POL - plant)]],'DATA ILN'!A:P,16,FALSE),VLOOKUP(Tableau1[[#This Row],[Key(Compte ILN - shipper - POL)]],'DATA ILN'!B:P,15,FALSE))</f>
        <v>#N/A</v>
      </c>
      <c r="X254" s="100"/>
      <c r="Y254" s="485">
        <f>IFERROR(VLOOKUP(Tableau1[[#This Row],[Name Shipper]],Plant_AILN!L:M,2,FALSE),0)</f>
        <v>0</v>
      </c>
      <c r="Z254" s="369"/>
      <c r="AA254" s="354" t="e">
        <f ca="1">VLOOKUP(Tableau1[[#This Row],[Key(ID-Actif)]],'DATA BTO'!A:N,5,FALSE)</f>
        <v>#N/A</v>
      </c>
      <c r="AB254" s="106" t="e">
        <f ca="1">VLOOKUP(Tableau1[[#This Row],[Key(ID-Actif)]],'DATA BTO'!A:N,6,FALSE)</f>
        <v>#N/A</v>
      </c>
      <c r="AC254" s="79" t="e">
        <f ca="1">VLOOKUP(Tableau1[[#This Row],[Key(ID-Actif)]],'DATA BTO'!A:N,7,FALSE)</f>
        <v>#N/A</v>
      </c>
      <c r="AD254" s="79" t="e">
        <f ca="1">VLOOKUP(Tableau1[[#This Row],[Key(ID-Actif)]],'DATA BTO'!A:N,8,FALSE)</f>
        <v>#N/A</v>
      </c>
      <c r="AE254" s="79" t="e">
        <f ca="1">IF(Tableau1[[#This Row],[First Day to POL]]&lt;=Tableau1[[#This Row],[Day Cut Off]],Tableau1[[#This Row],[Day ETD]],Tableau1[[#This Row],[Day ETD]]+7)</f>
        <v>#N/A</v>
      </c>
      <c r="AF254" s="79" t="e">
        <f ca="1">VLOOKUP(Tableau1[[#This Row],[Key(ID-Actif)]],'DATA BTO'!A:N,9,FALSE)</f>
        <v>#N/A</v>
      </c>
      <c r="AG254" s="106" t="e">
        <f ca="1">VLOOKUP(Tableau1[[#This Row],[Key(ID-Actif)]],'DATA BTO'!A:N,10,FALSE)</f>
        <v>#N/A</v>
      </c>
      <c r="AH254" s="106" t="e">
        <f ca="1">VLOOKUP(Tableau1[[#This Row],[Key(ID-Actif)]],'DATA BTO'!A:N,11,FALSE)</f>
        <v>#N/A</v>
      </c>
      <c r="AI254" s="79" t="e">
        <f ca="1">VLOOKUP(Tableau1[[#This Row],[Key(ID-Actif)]],'DATA BTO'!A:N,12,FALSE)</f>
        <v>#N/A</v>
      </c>
      <c r="AJ254" s="104" t="e">
        <f ca="1">VLOOKUP(Tableau1[[#This Row],[Key(ID-Actif)]],'DATA BTO'!A:N,14,FALSE)</f>
        <v>#N/A</v>
      </c>
      <c r="AK254" s="105" t="e">
        <f ca="1">VLOOKUP(Tableau1[[#This Row],[Key(POD -PFI- Usine)]],'DATA Consignee'!A:F,6,FALSE)</f>
        <v>#N/A</v>
      </c>
      <c r="AL254" s="100"/>
      <c r="AM254" s="486" t="str">
        <f>IF(Tableau1[[#This Row],[Name PFI/CDD]]="","-",VLOOKUP(Tableau1[[#This Row],[Name PFI/CDD]],Plant_AILN!I:J,2,FALSE))</f>
        <v>-</v>
      </c>
      <c r="AN25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4" s="108" t="e">
        <f ca="1">VLOOKUP(Tableau1[[#This Row],[Key(POD -PFI- Usine)]],'DATA Consignee'!A:J,10,FALSE)</f>
        <v>#N/A</v>
      </c>
      <c r="AQ254" s="79" t="e">
        <f ca="1">VLOOKUP(Tableau1[[#This Row],[Key(POD -PFI- Usine)]],'DATA Consignee'!A:N,14,FALSE)</f>
        <v>#N/A</v>
      </c>
      <c r="AR25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4" s="79" t="e">
        <f ca="1">Tableau1[[#This Row],[Transit time]]+Tableau1[[#This Row],[Time for security]]+Tableau1[[#This Row],[Time for security2 buffer]]</f>
        <v>#N/A</v>
      </c>
      <c r="AU25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4" s="79" t="e">
        <f ca="1">Tableau1[[#This Row],[Leadtime SI2C]]+Tableau1[[#This Row],[First Receipt Days]]-Tableau1[[#This Row],[Day Customer Order]]+1</f>
        <v>#N/A</v>
      </c>
      <c r="AW254" s="118" t="e">
        <f ca="1">IF(Tableau1[[#This Row],[Name ILN]]&lt;&gt;"SFK Freight Forwarder",Tableau1[[#This Row],[Cust. Leadtime]],Tableau1[[#This Row],[Leadtime SI2C]])</f>
        <v>#N/A</v>
      </c>
      <c r="AX254" s="51" t="e">
        <f>VLOOKUP(Tableau1[[#This Row],[ID]],'DATA BTO'!B:P,15,FALSE)</f>
        <v>#N/A</v>
      </c>
      <c r="AY254" s="347" t="e">
        <f ca="1">IFERROR(VLOOKUP(Tableau1[[#This Row],[Key(ID-Actif)]],'DATA BTO'!A:N,4,FALSE),VLOOKUP(Tableau1[[#This Row],[ID]],'DATA BTO'!B:N,3,FALSE))</f>
        <v>#N/A</v>
      </c>
      <c r="AZ254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4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4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4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4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4" s="397"/>
    </row>
    <row r="255" spans="2:57">
      <c r="B255" s="80" t="str">
        <f>_xlfn.CONCAT(Tableau1[[#This Row],[Name ILN]],"-",Tableau1[[#This Row],[Name Shipper]],"-",Tableau1[[#This Row],[Name Site]])</f>
        <v>--</v>
      </c>
      <c r="C255" s="80" t="e">
        <f>_xlfn.CONCAT(Tableau1[[#This Row],[Compte ILN]],"-",Tableau1[[#This Row],[Compte Shipper]],"-",Tableau1[[#This Row],[POL]],"-",Tableau1[[#This Row],[Compte Consignee]])</f>
        <v>#N/A</v>
      </c>
      <c r="D255" s="80" t="e">
        <f>_xlfn.CONCAT(Tableau1[[#This Row],[Compte ILN]],"-",Tableau1[[#This Row],[Compte Shipper]],"-",Tableau1[[#This Row],[POL]])</f>
        <v>#N/A</v>
      </c>
      <c r="E255" s="81" t="e">
        <f ca="1">_xlfn.CONCAT(Tableau1[[#This Row],[POL]],"-",Tableau1[[#This Row],[Carrier]],"-",Tableau1[[#This Row],[POD]])</f>
        <v>#N/A</v>
      </c>
      <c r="F255" s="80" t="str">
        <f>_xlfn.CONCAT(Tableau1[[#This Row],[ID]],"-","Actif")</f>
        <v>-Actif</v>
      </c>
      <c r="G255" s="80" t="e">
        <f ca="1">_xlfn.CONCAT(Tableau1[[#This Row],[POD]],"-",Tableau1[[#This Row],[Code PFI]],"-",Tableau1[[#This Row],[Compte Consignee]])</f>
        <v>#N/A</v>
      </c>
      <c r="H25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5" s="118" t="str">
        <f ca="1">IF(COUNTIF(I:I,Tableau1[[#This Row],[Plant-ILN-shipper-POL-Carrier-POD-PFI]])=1,"Non","Oui")</f>
        <v>Oui</v>
      </c>
      <c r="K255" s="402" t="e">
        <f>VLOOKUP(Tableau1[[#This Row],[Name Site]],Plant_AILN!A:D,4,FALSE)</f>
        <v>#N/A</v>
      </c>
      <c r="L255" s="368"/>
      <c r="M255" s="480" t="e">
        <f>VLOOKUP(Tableau1[[#This Row],[Name Site]],Plant_AILN!A:C,3,FALSE)</f>
        <v>#N/A</v>
      </c>
      <c r="N255" s="102" t="e">
        <f>VLOOKUP(Tableau1[[#This Row],[Compte Consignee]],Order!C:D,2,FALSE)</f>
        <v>#N/A</v>
      </c>
      <c r="O255" s="124"/>
      <c r="P255" s="484" t="e">
        <f>VLOOKUP(Tableau1[[#This Row],[Name ILN]],Plant_AILN!F:G,2,FALSE)</f>
        <v>#N/A</v>
      </c>
      <c r="Q255" s="79" t="e">
        <f>VLOOKUP(Tableau1[[#This Row],[Compte ILN]],'DATA ILN'!D:I,6,FALSE)</f>
        <v>#N/A</v>
      </c>
      <c r="R255" s="79" t="e">
        <f>IFERROR(VLOOKUP(Tableau1[[#This Row],[Key(Compte ILN - shipper - POL - plant)]],'DATA ILN'!A:J,10,FALSE),VLOOKUP(Tableau1[[#This Row],[Key(Compte ILN - shipper - POL)]],'DATA ILN'!B:J,9,FALSE))</f>
        <v>#N/A</v>
      </c>
      <c r="S255" s="79" t="e">
        <f>IFERROR(VLOOKUP(Tableau1[[#This Row],[Key(Compte ILN - shipper - POL - plant)]],'DATA ILN'!A:K,11,FALSE),VLOOKUP(Tableau1[[#This Row],[Key(Compte ILN - shipper - POL)]],'DATA ILN'!B:K,10,FALSE))</f>
        <v>#N/A</v>
      </c>
      <c r="T255" s="79" t="e">
        <f>IFERROR(VLOOKUP(Tableau1[[#This Row],[Key(Compte ILN - shipper - POL - plant)]],'DATA ILN'!A:L,12,FALSE),VLOOKUP(Tableau1[[#This Row],[Key(Compte ILN - shipper - POL)]],'DATA ILN'!B:L,11,FALSE))</f>
        <v>#N/A</v>
      </c>
      <c r="U255" s="79" t="e">
        <f>Tableau1[[#This Row],[Day ILN Order]]+Tableau1[[#This Row],[Delivery time to ILN/Shipper]]-1</f>
        <v>#N/A</v>
      </c>
      <c r="V255" s="79" t="e">
        <f>IFERROR(VLOOKUP(Tableau1[[#This Row],[Key(Compte ILN - shipper - POL - plant)]],'DATA ILN'!A:N,14,FALSE),VLOOKUP(Tableau1[[#This Row],[Key(Compte ILN - shipper - POL)]],'DATA ILN'!B:N,13,FALSE))</f>
        <v>#N/A</v>
      </c>
      <c r="W255" s="79" t="e">
        <f>IFERROR(VLOOKUP(Tableau1[[#This Row],[Key(Compte ILN - shipper - POL - plant)]],'DATA ILN'!A:P,16,FALSE),VLOOKUP(Tableau1[[#This Row],[Key(Compte ILN - shipper - POL)]],'DATA ILN'!B:P,15,FALSE))</f>
        <v>#N/A</v>
      </c>
      <c r="X255" s="100"/>
      <c r="Y255" s="485">
        <f>IFERROR(VLOOKUP(Tableau1[[#This Row],[Name Shipper]],Plant_AILN!L:M,2,FALSE),0)</f>
        <v>0</v>
      </c>
      <c r="Z255" s="369"/>
      <c r="AA255" s="354" t="e">
        <f ca="1">VLOOKUP(Tableau1[[#This Row],[Key(ID-Actif)]],'DATA BTO'!A:N,5,FALSE)</f>
        <v>#N/A</v>
      </c>
      <c r="AB255" s="106" t="e">
        <f ca="1">VLOOKUP(Tableau1[[#This Row],[Key(ID-Actif)]],'DATA BTO'!A:N,6,FALSE)</f>
        <v>#N/A</v>
      </c>
      <c r="AC255" s="79" t="e">
        <f ca="1">VLOOKUP(Tableau1[[#This Row],[Key(ID-Actif)]],'DATA BTO'!A:N,7,FALSE)</f>
        <v>#N/A</v>
      </c>
      <c r="AD255" s="79" t="e">
        <f ca="1">VLOOKUP(Tableau1[[#This Row],[Key(ID-Actif)]],'DATA BTO'!A:N,8,FALSE)</f>
        <v>#N/A</v>
      </c>
      <c r="AE255" s="79" t="e">
        <f ca="1">IF(Tableau1[[#This Row],[First Day to POL]]&lt;=Tableau1[[#This Row],[Day Cut Off]],Tableau1[[#This Row],[Day ETD]],Tableau1[[#This Row],[Day ETD]]+7)</f>
        <v>#N/A</v>
      </c>
      <c r="AF255" s="79" t="e">
        <f ca="1">VLOOKUP(Tableau1[[#This Row],[Key(ID-Actif)]],'DATA BTO'!A:N,9,FALSE)</f>
        <v>#N/A</v>
      </c>
      <c r="AG255" s="106" t="e">
        <f ca="1">VLOOKUP(Tableau1[[#This Row],[Key(ID-Actif)]],'DATA BTO'!A:N,10,FALSE)</f>
        <v>#N/A</v>
      </c>
      <c r="AH255" s="106" t="e">
        <f ca="1">VLOOKUP(Tableau1[[#This Row],[Key(ID-Actif)]],'DATA BTO'!A:N,11,FALSE)</f>
        <v>#N/A</v>
      </c>
      <c r="AI255" s="79" t="e">
        <f ca="1">VLOOKUP(Tableau1[[#This Row],[Key(ID-Actif)]],'DATA BTO'!A:N,12,FALSE)</f>
        <v>#N/A</v>
      </c>
      <c r="AJ255" s="104" t="e">
        <f ca="1">VLOOKUP(Tableau1[[#This Row],[Key(ID-Actif)]],'DATA BTO'!A:N,14,FALSE)</f>
        <v>#N/A</v>
      </c>
      <c r="AK255" s="105" t="e">
        <f ca="1">VLOOKUP(Tableau1[[#This Row],[Key(POD -PFI- Usine)]],'DATA Consignee'!A:F,6,FALSE)</f>
        <v>#N/A</v>
      </c>
      <c r="AL255" s="100"/>
      <c r="AM255" s="486" t="str">
        <f>IF(Tableau1[[#This Row],[Name PFI/CDD]]="","-",VLOOKUP(Tableau1[[#This Row],[Name PFI/CDD]],Plant_AILN!I:J,2,FALSE))</f>
        <v>-</v>
      </c>
      <c r="AN25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5" s="108" t="e">
        <f ca="1">VLOOKUP(Tableau1[[#This Row],[Key(POD -PFI- Usine)]],'DATA Consignee'!A:J,10,FALSE)</f>
        <v>#N/A</v>
      </c>
      <c r="AQ255" s="79" t="e">
        <f ca="1">VLOOKUP(Tableau1[[#This Row],[Key(POD -PFI- Usine)]],'DATA Consignee'!A:N,14,FALSE)</f>
        <v>#N/A</v>
      </c>
      <c r="AR25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5" s="79" t="e">
        <f ca="1">Tableau1[[#This Row],[Transit time]]+Tableau1[[#This Row],[Time for security]]+Tableau1[[#This Row],[Time for security2 buffer]]</f>
        <v>#N/A</v>
      </c>
      <c r="AU25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5" s="79" t="e">
        <f ca="1">Tableau1[[#This Row],[Leadtime SI2C]]+Tableau1[[#This Row],[First Receipt Days]]-Tableau1[[#This Row],[Day Customer Order]]+1</f>
        <v>#N/A</v>
      </c>
      <c r="AW255" s="118" t="e">
        <f ca="1">IF(Tableau1[[#This Row],[Name ILN]]&lt;&gt;"SFK Freight Forwarder",Tableau1[[#This Row],[Cust. Leadtime]],Tableau1[[#This Row],[Leadtime SI2C]])</f>
        <v>#N/A</v>
      </c>
      <c r="AX255" s="51" t="e">
        <f>VLOOKUP(Tableau1[[#This Row],[ID]],'DATA BTO'!B:P,15,FALSE)</f>
        <v>#N/A</v>
      </c>
      <c r="AY255" s="347" t="e">
        <f ca="1">IFERROR(VLOOKUP(Tableau1[[#This Row],[Key(ID-Actif)]],'DATA BTO'!A:N,4,FALSE),VLOOKUP(Tableau1[[#This Row],[ID]],'DATA BTO'!B:N,3,FALSE))</f>
        <v>#N/A</v>
      </c>
      <c r="AZ255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5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5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5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5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5" s="50"/>
    </row>
    <row r="256" spans="2:57">
      <c r="B256" s="80" t="str">
        <f>_xlfn.CONCAT(Tableau1[[#This Row],[Name ILN]],"-",Tableau1[[#This Row],[Name Shipper]],"-",Tableau1[[#This Row],[Name Site]])</f>
        <v>--</v>
      </c>
      <c r="C256" s="80" t="e">
        <f>_xlfn.CONCAT(Tableau1[[#This Row],[Compte ILN]],"-",Tableau1[[#This Row],[Compte Shipper]],"-",Tableau1[[#This Row],[POL]],"-",Tableau1[[#This Row],[Compte Consignee]])</f>
        <v>#N/A</v>
      </c>
      <c r="D256" s="80" t="e">
        <f>_xlfn.CONCAT(Tableau1[[#This Row],[Compte ILN]],"-",Tableau1[[#This Row],[Compte Shipper]],"-",Tableau1[[#This Row],[POL]])</f>
        <v>#N/A</v>
      </c>
      <c r="E256" s="81" t="e">
        <f ca="1">_xlfn.CONCAT(Tableau1[[#This Row],[POL]],"-",Tableau1[[#This Row],[Carrier]],"-",Tableau1[[#This Row],[POD]])</f>
        <v>#N/A</v>
      </c>
      <c r="F256" s="80" t="str">
        <f>_xlfn.CONCAT(Tableau1[[#This Row],[ID]],"-","Actif")</f>
        <v>-Actif</v>
      </c>
      <c r="G256" s="80" t="e">
        <f ca="1">_xlfn.CONCAT(Tableau1[[#This Row],[POD]],"-",Tableau1[[#This Row],[Code PFI]],"-",Tableau1[[#This Row],[Compte Consignee]])</f>
        <v>#N/A</v>
      </c>
      <c r="H256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6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6" s="118" t="str">
        <f ca="1">IF(COUNTIF(I:I,Tableau1[[#This Row],[Plant-ILN-shipper-POL-Carrier-POD-PFI]])=1,"Non","Oui")</f>
        <v>Oui</v>
      </c>
      <c r="K256" s="402" t="e">
        <f>VLOOKUP(Tableau1[[#This Row],[Name Site]],Plant_AILN!A:D,4,FALSE)</f>
        <v>#N/A</v>
      </c>
      <c r="L256" s="368"/>
      <c r="M256" s="480" t="e">
        <f>VLOOKUP(Tableau1[[#This Row],[Name Site]],Plant_AILN!A:C,3,FALSE)</f>
        <v>#N/A</v>
      </c>
      <c r="N256" s="102" t="e">
        <f>VLOOKUP(Tableau1[[#This Row],[Compte Consignee]],Order!C:D,2,FALSE)</f>
        <v>#N/A</v>
      </c>
      <c r="O256" s="124"/>
      <c r="P256" s="484" t="e">
        <f>VLOOKUP(Tableau1[[#This Row],[Name ILN]],Plant_AILN!F:G,2,FALSE)</f>
        <v>#N/A</v>
      </c>
      <c r="Q256" s="79" t="e">
        <f>VLOOKUP(Tableau1[[#This Row],[Compte ILN]],'DATA ILN'!D:I,6,FALSE)</f>
        <v>#N/A</v>
      </c>
      <c r="R256" s="79" t="e">
        <f>IFERROR(VLOOKUP(Tableau1[[#This Row],[Key(Compte ILN - shipper - POL - plant)]],'DATA ILN'!A:J,10,FALSE),VLOOKUP(Tableau1[[#This Row],[Key(Compte ILN - shipper - POL)]],'DATA ILN'!B:J,9,FALSE))</f>
        <v>#N/A</v>
      </c>
      <c r="S256" s="79" t="e">
        <f>IFERROR(VLOOKUP(Tableau1[[#This Row],[Key(Compte ILN - shipper - POL - plant)]],'DATA ILN'!A:K,11,FALSE),VLOOKUP(Tableau1[[#This Row],[Key(Compte ILN - shipper - POL)]],'DATA ILN'!B:K,10,FALSE))</f>
        <v>#N/A</v>
      </c>
      <c r="T256" s="79" t="e">
        <f>IFERROR(VLOOKUP(Tableau1[[#This Row],[Key(Compte ILN - shipper - POL - plant)]],'DATA ILN'!A:L,12,FALSE),VLOOKUP(Tableau1[[#This Row],[Key(Compte ILN - shipper - POL)]],'DATA ILN'!B:L,11,FALSE))</f>
        <v>#N/A</v>
      </c>
      <c r="U256" s="79" t="e">
        <f>Tableau1[[#This Row],[Day ILN Order]]+Tableau1[[#This Row],[Delivery time to ILN/Shipper]]-1</f>
        <v>#N/A</v>
      </c>
      <c r="V256" s="79" t="e">
        <f>IFERROR(VLOOKUP(Tableau1[[#This Row],[Key(Compte ILN - shipper - POL - plant)]],'DATA ILN'!A:N,14,FALSE),VLOOKUP(Tableau1[[#This Row],[Key(Compte ILN - shipper - POL)]],'DATA ILN'!B:N,13,FALSE))</f>
        <v>#N/A</v>
      </c>
      <c r="W256" s="79" t="e">
        <f>IFERROR(VLOOKUP(Tableau1[[#This Row],[Key(Compte ILN - shipper - POL - plant)]],'DATA ILN'!A:P,16,FALSE),VLOOKUP(Tableau1[[#This Row],[Key(Compte ILN - shipper - POL)]],'DATA ILN'!B:P,15,FALSE))</f>
        <v>#N/A</v>
      </c>
      <c r="X256" s="100"/>
      <c r="Y256" s="485">
        <f>IFERROR(VLOOKUP(Tableau1[[#This Row],[Name Shipper]],Plant_AILN!L:M,2,FALSE),0)</f>
        <v>0</v>
      </c>
      <c r="Z256" s="369"/>
      <c r="AA256" s="354" t="e">
        <f ca="1">VLOOKUP(Tableau1[[#This Row],[Key(ID-Actif)]],'DATA BTO'!A:N,5,FALSE)</f>
        <v>#N/A</v>
      </c>
      <c r="AB256" s="106" t="e">
        <f ca="1">VLOOKUP(Tableau1[[#This Row],[Key(ID-Actif)]],'DATA BTO'!A:N,6,FALSE)</f>
        <v>#N/A</v>
      </c>
      <c r="AC256" s="79" t="e">
        <f ca="1">VLOOKUP(Tableau1[[#This Row],[Key(ID-Actif)]],'DATA BTO'!A:N,7,FALSE)</f>
        <v>#N/A</v>
      </c>
      <c r="AD256" s="79" t="e">
        <f ca="1">VLOOKUP(Tableau1[[#This Row],[Key(ID-Actif)]],'DATA BTO'!A:N,8,FALSE)</f>
        <v>#N/A</v>
      </c>
      <c r="AE256" s="79" t="e">
        <f ca="1">IF(Tableau1[[#This Row],[First Day to POL]]&lt;=Tableau1[[#This Row],[Day Cut Off]],Tableau1[[#This Row],[Day ETD]],Tableau1[[#This Row],[Day ETD]]+7)</f>
        <v>#N/A</v>
      </c>
      <c r="AF256" s="79" t="e">
        <f ca="1">VLOOKUP(Tableau1[[#This Row],[Key(ID-Actif)]],'DATA BTO'!A:N,9,FALSE)</f>
        <v>#N/A</v>
      </c>
      <c r="AG256" s="106" t="e">
        <f ca="1">VLOOKUP(Tableau1[[#This Row],[Key(ID-Actif)]],'DATA BTO'!A:N,10,FALSE)</f>
        <v>#N/A</v>
      </c>
      <c r="AH256" s="106" t="e">
        <f ca="1">VLOOKUP(Tableau1[[#This Row],[Key(ID-Actif)]],'DATA BTO'!A:N,11,FALSE)</f>
        <v>#N/A</v>
      </c>
      <c r="AI256" s="79" t="e">
        <f ca="1">VLOOKUP(Tableau1[[#This Row],[Key(ID-Actif)]],'DATA BTO'!A:N,12,FALSE)</f>
        <v>#N/A</v>
      </c>
      <c r="AJ256" s="104" t="e">
        <f ca="1">VLOOKUP(Tableau1[[#This Row],[Key(ID-Actif)]],'DATA BTO'!A:N,14,FALSE)</f>
        <v>#N/A</v>
      </c>
      <c r="AK256" s="105" t="e">
        <f ca="1">VLOOKUP(Tableau1[[#This Row],[Key(POD -PFI- Usine)]],'DATA Consignee'!A:F,6,FALSE)</f>
        <v>#N/A</v>
      </c>
      <c r="AL256" s="100"/>
      <c r="AM256" s="486" t="str">
        <f>IF(Tableau1[[#This Row],[Name PFI/CDD]]="","-",VLOOKUP(Tableau1[[#This Row],[Name PFI/CDD]],Plant_AILN!I:J,2,FALSE))</f>
        <v>-</v>
      </c>
      <c r="AN256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6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6" s="108" t="e">
        <f ca="1">VLOOKUP(Tableau1[[#This Row],[Key(POD -PFI- Usine)]],'DATA Consignee'!A:J,10,FALSE)</f>
        <v>#N/A</v>
      </c>
      <c r="AQ256" s="79" t="e">
        <f ca="1">VLOOKUP(Tableau1[[#This Row],[Key(POD -PFI- Usine)]],'DATA Consignee'!A:N,14,FALSE)</f>
        <v>#N/A</v>
      </c>
      <c r="AR256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6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6" s="79" t="e">
        <f ca="1">Tableau1[[#This Row],[Transit time]]+Tableau1[[#This Row],[Time for security]]+Tableau1[[#This Row],[Time for security2 buffer]]</f>
        <v>#N/A</v>
      </c>
      <c r="AU256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6" s="79" t="e">
        <f ca="1">Tableau1[[#This Row],[Leadtime SI2C]]+Tableau1[[#This Row],[First Receipt Days]]-Tableau1[[#This Row],[Day Customer Order]]+1</f>
        <v>#N/A</v>
      </c>
      <c r="AW256" s="118" t="e">
        <f ca="1">IF(Tableau1[[#This Row],[Name ILN]]&lt;&gt;"SFK Freight Forwarder",Tableau1[[#This Row],[Cust. Leadtime]],Tableau1[[#This Row],[Leadtime SI2C]])</f>
        <v>#N/A</v>
      </c>
      <c r="AX256" s="51" t="e">
        <f>VLOOKUP(Tableau1[[#This Row],[ID]],'DATA BTO'!B:P,15,FALSE)</f>
        <v>#N/A</v>
      </c>
      <c r="AY256" s="347" t="e">
        <f ca="1">IFERROR(VLOOKUP(Tableau1[[#This Row],[Key(ID-Actif)]],'DATA BTO'!A:N,4,FALSE),VLOOKUP(Tableau1[[#This Row],[ID]],'DATA BTO'!B:N,3,FALSE))</f>
        <v>#N/A</v>
      </c>
      <c r="AZ256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6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6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6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6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6" s="50"/>
    </row>
    <row r="257" spans="2:57">
      <c r="B257" s="80" t="str">
        <f>_xlfn.CONCAT(Tableau1[[#This Row],[Name ILN]],"-",Tableau1[[#This Row],[Name Shipper]],"-",Tableau1[[#This Row],[Name Site]])</f>
        <v>--</v>
      </c>
      <c r="C257" s="80" t="e">
        <f>_xlfn.CONCAT(Tableau1[[#This Row],[Compte ILN]],"-",Tableau1[[#This Row],[Compte Shipper]],"-",Tableau1[[#This Row],[POL]],"-",Tableau1[[#This Row],[Compte Consignee]])</f>
        <v>#N/A</v>
      </c>
      <c r="D257" s="80" t="e">
        <f>_xlfn.CONCAT(Tableau1[[#This Row],[Compte ILN]],"-",Tableau1[[#This Row],[Compte Shipper]],"-",Tableau1[[#This Row],[POL]])</f>
        <v>#N/A</v>
      </c>
      <c r="E257" s="81" t="e">
        <f ca="1">_xlfn.CONCAT(Tableau1[[#This Row],[POL]],"-",Tableau1[[#This Row],[Carrier]],"-",Tableau1[[#This Row],[POD]])</f>
        <v>#N/A</v>
      </c>
      <c r="F257" s="80" t="str">
        <f>_xlfn.CONCAT(Tableau1[[#This Row],[ID]],"-","Actif")</f>
        <v>-Actif</v>
      </c>
      <c r="G257" s="80" t="e">
        <f ca="1">_xlfn.CONCAT(Tableau1[[#This Row],[POD]],"-",Tableau1[[#This Row],[Code PFI]],"-",Tableau1[[#This Row],[Compte Consignee]])</f>
        <v>#N/A</v>
      </c>
      <c r="H257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7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7" s="118" t="str">
        <f ca="1">IF(COUNTIF(I:I,Tableau1[[#This Row],[Plant-ILN-shipper-POL-Carrier-POD-PFI]])=1,"Non","Oui")</f>
        <v>Oui</v>
      </c>
      <c r="K257" s="101" t="e">
        <f>VLOOKUP(Tableau1[[#This Row],[Name Site]],Plant_AILN!A:D,4,FALSE)</f>
        <v>#N/A</v>
      </c>
      <c r="L257" s="451"/>
      <c r="M257" s="480" t="e">
        <f>VLOOKUP(Tableau1[[#This Row],[Name Site]],Plant_AILN!A:C,3,FALSE)</f>
        <v>#N/A</v>
      </c>
      <c r="N257" s="102" t="e">
        <f>VLOOKUP(Tableau1[[#This Row],[Compte Consignee]],Order!C:D,2,FALSE)</f>
        <v>#N/A</v>
      </c>
      <c r="O257" s="124"/>
      <c r="P257" s="484" t="e">
        <f>VLOOKUP(Tableau1[[#This Row],[Name ILN]],Plant_AILN!F:G,2,FALSE)</f>
        <v>#N/A</v>
      </c>
      <c r="Q257" s="79" t="e">
        <f>VLOOKUP(Tableau1[[#This Row],[Compte ILN]],'DATA ILN'!D:I,6,FALSE)</f>
        <v>#N/A</v>
      </c>
      <c r="R257" s="79" t="e">
        <f>IFERROR(VLOOKUP(Tableau1[[#This Row],[Key(Compte ILN - shipper - POL - plant)]],'DATA ILN'!A:J,10,FALSE),VLOOKUP(Tableau1[[#This Row],[Key(Compte ILN - shipper - POL)]],'DATA ILN'!B:J,9,FALSE))</f>
        <v>#N/A</v>
      </c>
      <c r="S257" s="79" t="e">
        <f>IFERROR(VLOOKUP(Tableau1[[#This Row],[Key(Compte ILN - shipper - POL - plant)]],'DATA ILN'!A:K,11,FALSE),VLOOKUP(Tableau1[[#This Row],[Key(Compte ILN - shipper - POL)]],'DATA ILN'!B:K,10,FALSE))</f>
        <v>#N/A</v>
      </c>
      <c r="T257" s="79" t="e">
        <f>IFERROR(VLOOKUP(Tableau1[[#This Row],[Key(Compte ILN - shipper - POL - plant)]],'DATA ILN'!A:L,12,FALSE),VLOOKUP(Tableau1[[#This Row],[Key(Compte ILN - shipper - POL)]],'DATA ILN'!B:L,11,FALSE))</f>
        <v>#N/A</v>
      </c>
      <c r="U257" s="79" t="e">
        <f>Tableau1[[#This Row],[Day ILN Order]]+Tableau1[[#This Row],[Delivery time to ILN/Shipper]]-1</f>
        <v>#N/A</v>
      </c>
      <c r="V257" s="79" t="e">
        <f>IFERROR(VLOOKUP(Tableau1[[#This Row],[Key(Compte ILN - shipper - POL - plant)]],'DATA ILN'!A:N,14,FALSE),VLOOKUP(Tableau1[[#This Row],[Key(Compte ILN - shipper - POL)]],'DATA ILN'!B:N,13,FALSE))</f>
        <v>#N/A</v>
      </c>
      <c r="W257" s="79" t="e">
        <f>IFERROR(VLOOKUP(Tableau1[[#This Row],[Key(Compte ILN - shipper - POL - plant)]],'DATA ILN'!A:P,16,FALSE),VLOOKUP(Tableau1[[#This Row],[Key(Compte ILN - shipper - POL)]],'DATA ILN'!B:P,15,FALSE))</f>
        <v>#N/A</v>
      </c>
      <c r="X257" s="100"/>
      <c r="Y257" s="485">
        <f>IFERROR(VLOOKUP(Tableau1[[#This Row],[Name Shipper]],Plant_AILN!L:M,2,FALSE),0)</f>
        <v>0</v>
      </c>
      <c r="Z257" s="459"/>
      <c r="AA257" s="354" t="e">
        <f ca="1">VLOOKUP(Tableau1[[#This Row],[Key(ID-Actif)]],'DATA BTO'!A:N,5,FALSE)</f>
        <v>#N/A</v>
      </c>
      <c r="AB257" s="106" t="e">
        <f ca="1">VLOOKUP(Tableau1[[#This Row],[Key(ID-Actif)]],'DATA BTO'!A:N,6,FALSE)</f>
        <v>#N/A</v>
      </c>
      <c r="AC257" s="79" t="e">
        <f ca="1">VLOOKUP(Tableau1[[#This Row],[Key(ID-Actif)]],'DATA BTO'!A:N,7,FALSE)</f>
        <v>#N/A</v>
      </c>
      <c r="AD257" s="79" t="e">
        <f ca="1">VLOOKUP(Tableau1[[#This Row],[Key(ID-Actif)]],'DATA BTO'!A:N,8,FALSE)</f>
        <v>#N/A</v>
      </c>
      <c r="AE257" s="79" t="e">
        <f ca="1">IF(Tableau1[[#This Row],[First Day to POL]]&lt;=Tableau1[[#This Row],[Day Cut Off]],Tableau1[[#This Row],[Day ETD]],Tableau1[[#This Row],[Day ETD]]+7)</f>
        <v>#N/A</v>
      </c>
      <c r="AF257" s="79" t="e">
        <f ca="1">VLOOKUP(Tableau1[[#This Row],[Key(ID-Actif)]],'DATA BTO'!A:N,9,FALSE)</f>
        <v>#N/A</v>
      </c>
      <c r="AG257" s="106" t="e">
        <f ca="1">VLOOKUP(Tableau1[[#This Row],[Key(ID-Actif)]],'DATA BTO'!A:N,10,FALSE)</f>
        <v>#N/A</v>
      </c>
      <c r="AH257" s="106" t="e">
        <f ca="1">VLOOKUP(Tableau1[[#This Row],[Key(ID-Actif)]],'DATA BTO'!A:N,11,FALSE)</f>
        <v>#N/A</v>
      </c>
      <c r="AI257" s="79" t="e">
        <f ca="1">VLOOKUP(Tableau1[[#This Row],[Key(ID-Actif)]],'DATA BTO'!A:N,12,FALSE)</f>
        <v>#N/A</v>
      </c>
      <c r="AJ257" s="104" t="e">
        <f ca="1">VLOOKUP(Tableau1[[#This Row],[Key(ID-Actif)]],'DATA BTO'!A:N,14,FALSE)</f>
        <v>#N/A</v>
      </c>
      <c r="AK257" s="105" t="e">
        <f ca="1">VLOOKUP(Tableau1[[#This Row],[Key(POD -PFI- Usine)]],'DATA Consignee'!A:F,6,FALSE)</f>
        <v>#N/A</v>
      </c>
      <c r="AL257" s="100"/>
      <c r="AM257" s="486" t="str">
        <f>IF(Tableau1[[#This Row],[Name PFI/CDD]]="","-",VLOOKUP(Tableau1[[#This Row],[Name PFI/CDD]],Plant_AILN!I:J,2,FALSE))</f>
        <v>-</v>
      </c>
      <c r="AN257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7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7" s="108" t="e">
        <f ca="1">VLOOKUP(Tableau1[[#This Row],[Key(POD -PFI- Usine)]],'DATA Consignee'!A:J,10,FALSE)</f>
        <v>#N/A</v>
      </c>
      <c r="AQ257" s="79" t="e">
        <f ca="1">VLOOKUP(Tableau1[[#This Row],[Key(POD -PFI- Usine)]],'DATA Consignee'!A:N,14,FALSE)</f>
        <v>#N/A</v>
      </c>
      <c r="AR257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7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7" s="79" t="e">
        <f ca="1">Tableau1[[#This Row],[Transit time]]+Tableau1[[#This Row],[Time for security]]+Tableau1[[#This Row],[Time for security2 buffer]]</f>
        <v>#N/A</v>
      </c>
      <c r="AU257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7" s="79" t="e">
        <f ca="1">Tableau1[[#This Row],[Leadtime SI2C]]+Tableau1[[#This Row],[First Receipt Days]]-Tableau1[[#This Row],[Day Customer Order]]+1</f>
        <v>#N/A</v>
      </c>
      <c r="AW257" s="118" t="e">
        <f ca="1">IF(Tableau1[[#This Row],[Name ILN]]&lt;&gt;"SFK Freight Forwarder",Tableau1[[#This Row],[Cust. Leadtime]],Tableau1[[#This Row],[Leadtime SI2C]])</f>
        <v>#N/A</v>
      </c>
      <c r="AX257" s="51" t="e">
        <f>VLOOKUP(Tableau1[[#This Row],[ID]],'DATA BTO'!B:P,15,FALSE)</f>
        <v>#N/A</v>
      </c>
      <c r="AY257" s="347" t="e">
        <f ca="1">IFERROR(VLOOKUP(Tableau1[[#This Row],[Key(ID-Actif)]],'DATA BTO'!A:N,4,FALSE),VLOOKUP(Tableau1[[#This Row],[ID]],'DATA BTO'!B:N,3,FALSE))</f>
        <v>#N/A</v>
      </c>
      <c r="AZ257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7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7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7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7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7" s="79"/>
    </row>
    <row r="258" spans="2:57">
      <c r="B258" s="80" t="str">
        <f>_xlfn.CONCAT(Tableau1[[#This Row],[Name ILN]],"-",Tableau1[[#This Row],[Name Shipper]],"-",Tableau1[[#This Row],[Name Site]])</f>
        <v>--</v>
      </c>
      <c r="C258" s="80" t="e">
        <f>_xlfn.CONCAT(Tableau1[[#This Row],[Compte ILN]],"-",Tableau1[[#This Row],[Compte Shipper]],"-",Tableau1[[#This Row],[POL]],"-",Tableau1[[#This Row],[Compte Consignee]])</f>
        <v>#N/A</v>
      </c>
      <c r="D258" s="80" t="e">
        <f>_xlfn.CONCAT(Tableau1[[#This Row],[Compte ILN]],"-",Tableau1[[#This Row],[Compte Shipper]],"-",Tableau1[[#This Row],[POL]])</f>
        <v>#N/A</v>
      </c>
      <c r="E258" s="81" t="e">
        <f ca="1">_xlfn.CONCAT(Tableau1[[#This Row],[POL]],"-",Tableau1[[#This Row],[Carrier]],"-",Tableau1[[#This Row],[POD]])</f>
        <v>#N/A</v>
      </c>
      <c r="F258" s="80" t="str">
        <f>_xlfn.CONCAT(Tableau1[[#This Row],[ID]],"-","Actif")</f>
        <v>-Actif</v>
      </c>
      <c r="G258" s="80" t="e">
        <f ca="1">_xlfn.CONCAT(Tableau1[[#This Row],[POD]],"-",Tableau1[[#This Row],[Code PFI]],"-",Tableau1[[#This Row],[Compte Consignee]])</f>
        <v>#N/A</v>
      </c>
      <c r="H258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8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8" s="118" t="str">
        <f ca="1">IF(COUNTIF(I:I,Tableau1[[#This Row],[Plant-ILN-shipper-POL-Carrier-POD-PFI]])=1,"Non","Oui")</f>
        <v>Oui</v>
      </c>
      <c r="K258" s="101" t="e">
        <f>VLOOKUP(Tableau1[[#This Row],[Name Site]],Plant_AILN!A:D,4,FALSE)</f>
        <v>#N/A</v>
      </c>
      <c r="L258" s="451"/>
      <c r="M258" s="480" t="e">
        <f>VLOOKUP(Tableau1[[#This Row],[Name Site]],Plant_AILN!A:C,3,FALSE)</f>
        <v>#N/A</v>
      </c>
      <c r="N258" s="102" t="e">
        <f>VLOOKUP(Tableau1[[#This Row],[Compte Consignee]],Order!C:D,2,FALSE)</f>
        <v>#N/A</v>
      </c>
      <c r="O258" s="124"/>
      <c r="P258" s="484" t="e">
        <f>VLOOKUP(Tableau1[[#This Row],[Name ILN]],Plant_AILN!F:G,2,FALSE)</f>
        <v>#N/A</v>
      </c>
      <c r="Q258" s="79" t="e">
        <f>VLOOKUP(Tableau1[[#This Row],[Compte ILN]],'DATA ILN'!D:I,6,FALSE)</f>
        <v>#N/A</v>
      </c>
      <c r="R258" s="79" t="e">
        <f>IFERROR(VLOOKUP(Tableau1[[#This Row],[Key(Compte ILN - shipper - POL - plant)]],'DATA ILN'!A:J,10,FALSE),VLOOKUP(Tableau1[[#This Row],[Key(Compte ILN - shipper - POL)]],'DATA ILN'!B:J,9,FALSE))</f>
        <v>#N/A</v>
      </c>
      <c r="S258" s="79" t="e">
        <f>IFERROR(VLOOKUP(Tableau1[[#This Row],[Key(Compte ILN - shipper - POL - plant)]],'DATA ILN'!A:K,11,FALSE),VLOOKUP(Tableau1[[#This Row],[Key(Compte ILN - shipper - POL)]],'DATA ILN'!B:K,10,FALSE))</f>
        <v>#N/A</v>
      </c>
      <c r="T258" s="79" t="e">
        <f>IFERROR(VLOOKUP(Tableau1[[#This Row],[Key(Compte ILN - shipper - POL - plant)]],'DATA ILN'!A:L,12,FALSE),VLOOKUP(Tableau1[[#This Row],[Key(Compte ILN - shipper - POL)]],'DATA ILN'!B:L,11,FALSE))</f>
        <v>#N/A</v>
      </c>
      <c r="U258" s="79" t="e">
        <f>Tableau1[[#This Row],[Day ILN Order]]+Tableau1[[#This Row],[Delivery time to ILN/Shipper]]-1</f>
        <v>#N/A</v>
      </c>
      <c r="V258" s="79" t="e">
        <f>IFERROR(VLOOKUP(Tableau1[[#This Row],[Key(Compte ILN - shipper - POL - plant)]],'DATA ILN'!A:N,14,FALSE),VLOOKUP(Tableau1[[#This Row],[Key(Compte ILN - shipper - POL)]],'DATA ILN'!B:N,13,FALSE))</f>
        <v>#N/A</v>
      </c>
      <c r="W258" s="79" t="e">
        <f>IFERROR(VLOOKUP(Tableau1[[#This Row],[Key(Compte ILN - shipper - POL - plant)]],'DATA ILN'!A:P,16,FALSE),VLOOKUP(Tableau1[[#This Row],[Key(Compte ILN - shipper - POL)]],'DATA ILN'!B:P,15,FALSE))</f>
        <v>#N/A</v>
      </c>
      <c r="X258" s="456"/>
      <c r="Y258" s="485">
        <f>IFERROR(VLOOKUP(Tableau1[[#This Row],[Name Shipper]],Plant_AILN!L:M,2,FALSE),0)</f>
        <v>0</v>
      </c>
      <c r="Z258" s="369"/>
      <c r="AA258" s="354" t="e">
        <f ca="1">VLOOKUP(Tableau1[[#This Row],[Key(ID-Actif)]],'DATA BTO'!A:N,5,FALSE)</f>
        <v>#N/A</v>
      </c>
      <c r="AB258" s="106" t="e">
        <f ca="1">VLOOKUP(Tableau1[[#This Row],[Key(ID-Actif)]],'DATA BTO'!A:N,6,FALSE)</f>
        <v>#N/A</v>
      </c>
      <c r="AC258" s="79" t="e">
        <f ca="1">VLOOKUP(Tableau1[[#This Row],[Key(ID-Actif)]],'DATA BTO'!A:N,7,FALSE)</f>
        <v>#N/A</v>
      </c>
      <c r="AD258" s="79" t="e">
        <f ca="1">VLOOKUP(Tableau1[[#This Row],[Key(ID-Actif)]],'DATA BTO'!A:N,8,FALSE)</f>
        <v>#N/A</v>
      </c>
      <c r="AE258" s="79" t="e">
        <f ca="1">IF(Tableau1[[#This Row],[First Day to POL]]&lt;=Tableau1[[#This Row],[Day Cut Off]],Tableau1[[#This Row],[Day ETD]],Tableau1[[#This Row],[Day ETD]]+7)</f>
        <v>#N/A</v>
      </c>
      <c r="AF258" s="79" t="e">
        <f ca="1">VLOOKUP(Tableau1[[#This Row],[Key(ID-Actif)]],'DATA BTO'!A:N,9,FALSE)</f>
        <v>#N/A</v>
      </c>
      <c r="AG258" s="106" t="e">
        <f ca="1">VLOOKUP(Tableau1[[#This Row],[Key(ID-Actif)]],'DATA BTO'!A:N,10,FALSE)</f>
        <v>#N/A</v>
      </c>
      <c r="AH258" s="106" t="e">
        <f ca="1">VLOOKUP(Tableau1[[#This Row],[Key(ID-Actif)]],'DATA BTO'!A:N,11,FALSE)</f>
        <v>#N/A</v>
      </c>
      <c r="AI258" s="79" t="e">
        <f ca="1">VLOOKUP(Tableau1[[#This Row],[Key(ID-Actif)]],'DATA BTO'!A:N,12,FALSE)</f>
        <v>#N/A</v>
      </c>
      <c r="AJ258" s="104" t="e">
        <f ca="1">VLOOKUP(Tableau1[[#This Row],[Key(ID-Actif)]],'DATA BTO'!A:N,14,FALSE)</f>
        <v>#N/A</v>
      </c>
      <c r="AK258" s="105" t="e">
        <f ca="1">VLOOKUP(Tableau1[[#This Row],[Key(POD -PFI- Usine)]],'DATA Consignee'!A:F,6,FALSE)</f>
        <v>#N/A</v>
      </c>
      <c r="AL258" s="100"/>
      <c r="AM258" s="486" t="str">
        <f>IF(Tableau1[[#This Row],[Name PFI/CDD]]="","-",VLOOKUP(Tableau1[[#This Row],[Name PFI/CDD]],Plant_AILN!I:J,2,FALSE))</f>
        <v>-</v>
      </c>
      <c r="AN258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8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8" s="108" t="e">
        <f ca="1">VLOOKUP(Tableau1[[#This Row],[Key(POD -PFI- Usine)]],'DATA Consignee'!A:J,10,FALSE)</f>
        <v>#N/A</v>
      </c>
      <c r="AQ258" s="79" t="e">
        <f ca="1">VLOOKUP(Tableau1[[#This Row],[Key(POD -PFI- Usine)]],'DATA Consignee'!A:N,14,FALSE)</f>
        <v>#N/A</v>
      </c>
      <c r="AR258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8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8" s="79" t="e">
        <f ca="1">Tableau1[[#This Row],[Transit time]]+Tableau1[[#This Row],[Time for security]]+Tableau1[[#This Row],[Time for security2 buffer]]</f>
        <v>#N/A</v>
      </c>
      <c r="AU258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8" s="79" t="e">
        <f ca="1">Tableau1[[#This Row],[Leadtime SI2C]]+Tableau1[[#This Row],[First Receipt Days]]-Tableau1[[#This Row],[Day Customer Order]]+1</f>
        <v>#N/A</v>
      </c>
      <c r="AW258" s="118" t="e">
        <f ca="1">IF(Tableau1[[#This Row],[Name ILN]]&lt;&gt;"SFK Freight Forwarder",Tableau1[[#This Row],[Cust. Leadtime]],Tableau1[[#This Row],[Leadtime SI2C]])</f>
        <v>#N/A</v>
      </c>
      <c r="AX258" s="74" t="e">
        <f>VLOOKUP(Tableau1[[#This Row],[ID]],'DATA BTO'!B:P,15,FALSE)</f>
        <v>#N/A</v>
      </c>
      <c r="AY258" s="347" t="e">
        <f ca="1">IFERROR(VLOOKUP(Tableau1[[#This Row],[Key(ID-Actif)]],'DATA BTO'!A:N,4,FALSE),VLOOKUP(Tableau1[[#This Row],[ID]],'DATA BTO'!B:N,3,FALSE))</f>
        <v>#N/A</v>
      </c>
      <c r="AZ258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8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8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8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8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8" s="79"/>
    </row>
    <row r="259" spans="2:57">
      <c r="B259" s="80" t="str">
        <f>_xlfn.CONCAT(Tableau1[[#This Row],[Name ILN]],"-",Tableau1[[#This Row],[Name Shipper]],"-",Tableau1[[#This Row],[Name Site]])</f>
        <v>--</v>
      </c>
      <c r="C259" s="80" t="e">
        <f>_xlfn.CONCAT(Tableau1[[#This Row],[Compte ILN]],"-",Tableau1[[#This Row],[Compte Shipper]],"-",Tableau1[[#This Row],[POL]],"-",Tableau1[[#This Row],[Compte Consignee]])</f>
        <v>#N/A</v>
      </c>
      <c r="D259" s="80" t="e">
        <f>_xlfn.CONCAT(Tableau1[[#This Row],[Compte ILN]],"-",Tableau1[[#This Row],[Compte Shipper]],"-",Tableau1[[#This Row],[POL]])</f>
        <v>#N/A</v>
      </c>
      <c r="E259" s="81" t="e">
        <f ca="1">_xlfn.CONCAT(Tableau1[[#This Row],[POL]],"-",Tableau1[[#This Row],[Carrier]],"-",Tableau1[[#This Row],[POD]])</f>
        <v>#N/A</v>
      </c>
      <c r="F259" s="80" t="str">
        <f>_xlfn.CONCAT(Tableau1[[#This Row],[ID]],"-","Actif")</f>
        <v>-Actif</v>
      </c>
      <c r="G259" s="80" t="e">
        <f ca="1">_xlfn.CONCAT(Tableau1[[#This Row],[POD]],"-",Tableau1[[#This Row],[Code PFI]],"-",Tableau1[[#This Row],[Compte Consignee]])</f>
        <v>#N/A</v>
      </c>
      <c r="H259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59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59" s="118" t="str">
        <f ca="1">IF(COUNTIF(I:I,Tableau1[[#This Row],[Plant-ILN-shipper-POL-Carrier-POD-PFI]])=1,"Non","Oui")</f>
        <v>Oui</v>
      </c>
      <c r="K259" s="101" t="e">
        <f>VLOOKUP(Tableau1[[#This Row],[Name Site]],Plant_AILN!A:D,4,FALSE)</f>
        <v>#N/A</v>
      </c>
      <c r="L259" s="451"/>
      <c r="M259" s="480" t="e">
        <f>VLOOKUP(Tableau1[[#This Row],[Name Site]],Plant_AILN!A:C,3,FALSE)</f>
        <v>#N/A</v>
      </c>
      <c r="N259" s="102" t="e">
        <f>VLOOKUP(Tableau1[[#This Row],[Compte Consignee]],Order!C:D,2,FALSE)</f>
        <v>#N/A</v>
      </c>
      <c r="O259" s="124"/>
      <c r="P259" s="484" t="e">
        <f>VLOOKUP(Tableau1[[#This Row],[Name ILN]],Plant_AILN!F:G,2,FALSE)</f>
        <v>#N/A</v>
      </c>
      <c r="Q259" s="79" t="e">
        <f>VLOOKUP(Tableau1[[#This Row],[Compte ILN]],'DATA ILN'!D:I,6,FALSE)</f>
        <v>#N/A</v>
      </c>
      <c r="R259" s="79" t="e">
        <f>IFERROR(VLOOKUP(Tableau1[[#This Row],[Key(Compte ILN - shipper - POL - plant)]],'DATA ILN'!A:J,10,FALSE),VLOOKUP(Tableau1[[#This Row],[Key(Compte ILN - shipper - POL)]],'DATA ILN'!B:J,9,FALSE))</f>
        <v>#N/A</v>
      </c>
      <c r="S259" s="79" t="e">
        <f>IFERROR(VLOOKUP(Tableau1[[#This Row],[Key(Compte ILN - shipper - POL - plant)]],'DATA ILN'!A:K,11,FALSE),VLOOKUP(Tableau1[[#This Row],[Key(Compte ILN - shipper - POL)]],'DATA ILN'!B:K,10,FALSE))</f>
        <v>#N/A</v>
      </c>
      <c r="T259" s="79" t="e">
        <f>IFERROR(VLOOKUP(Tableau1[[#This Row],[Key(Compte ILN - shipper - POL - plant)]],'DATA ILN'!A:L,12,FALSE),VLOOKUP(Tableau1[[#This Row],[Key(Compte ILN - shipper - POL)]],'DATA ILN'!B:L,11,FALSE))</f>
        <v>#N/A</v>
      </c>
      <c r="U259" s="79" t="e">
        <f>Tableau1[[#This Row],[Day ILN Order]]+Tableau1[[#This Row],[Delivery time to ILN/Shipper]]-1</f>
        <v>#N/A</v>
      </c>
      <c r="V259" s="79" t="e">
        <f>IFERROR(VLOOKUP(Tableau1[[#This Row],[Key(Compte ILN - shipper - POL - plant)]],'DATA ILN'!A:N,14,FALSE),VLOOKUP(Tableau1[[#This Row],[Key(Compte ILN - shipper - POL)]],'DATA ILN'!B:N,13,FALSE))</f>
        <v>#N/A</v>
      </c>
      <c r="W259" s="79" t="e">
        <f>IFERROR(VLOOKUP(Tableau1[[#This Row],[Key(Compte ILN - shipper - POL - plant)]],'DATA ILN'!A:P,16,FALSE),VLOOKUP(Tableau1[[#This Row],[Key(Compte ILN - shipper - POL)]],'DATA ILN'!B:P,15,FALSE))</f>
        <v>#N/A</v>
      </c>
      <c r="X259" s="100"/>
      <c r="Y259" s="485">
        <f>IFERROR(VLOOKUP(Tableau1[[#This Row],[Name Shipper]],Plant_AILN!L:M,2,FALSE),0)</f>
        <v>0</v>
      </c>
      <c r="Z259" s="369"/>
      <c r="AA259" s="354" t="e">
        <f ca="1">VLOOKUP(Tableau1[[#This Row],[Key(ID-Actif)]],'DATA BTO'!A:N,5,FALSE)</f>
        <v>#N/A</v>
      </c>
      <c r="AB259" s="106" t="e">
        <f ca="1">VLOOKUP(Tableau1[[#This Row],[Key(ID-Actif)]],'DATA BTO'!A:N,6,FALSE)</f>
        <v>#N/A</v>
      </c>
      <c r="AC259" s="79" t="e">
        <f ca="1">VLOOKUP(Tableau1[[#This Row],[Key(ID-Actif)]],'DATA BTO'!A:N,7,FALSE)</f>
        <v>#N/A</v>
      </c>
      <c r="AD259" s="79" t="e">
        <f ca="1">VLOOKUP(Tableau1[[#This Row],[Key(ID-Actif)]],'DATA BTO'!A:N,8,FALSE)</f>
        <v>#N/A</v>
      </c>
      <c r="AE259" s="79" t="e">
        <f ca="1">IF(Tableau1[[#This Row],[First Day to POL]]&lt;=Tableau1[[#This Row],[Day Cut Off]],Tableau1[[#This Row],[Day ETD]],Tableau1[[#This Row],[Day ETD]]+7)</f>
        <v>#N/A</v>
      </c>
      <c r="AF259" s="79" t="e">
        <f ca="1">VLOOKUP(Tableau1[[#This Row],[Key(ID-Actif)]],'DATA BTO'!A:N,9,FALSE)</f>
        <v>#N/A</v>
      </c>
      <c r="AG259" s="106" t="e">
        <f ca="1">VLOOKUP(Tableau1[[#This Row],[Key(ID-Actif)]],'DATA BTO'!A:N,10,FALSE)</f>
        <v>#N/A</v>
      </c>
      <c r="AH259" s="106" t="e">
        <f ca="1">VLOOKUP(Tableau1[[#This Row],[Key(ID-Actif)]],'DATA BTO'!A:N,11,FALSE)</f>
        <v>#N/A</v>
      </c>
      <c r="AI259" s="79" t="e">
        <f ca="1">VLOOKUP(Tableau1[[#This Row],[Key(ID-Actif)]],'DATA BTO'!A:N,12,FALSE)</f>
        <v>#N/A</v>
      </c>
      <c r="AJ259" s="104" t="e">
        <f ca="1">VLOOKUP(Tableau1[[#This Row],[Key(ID-Actif)]],'DATA BTO'!A:N,14,FALSE)</f>
        <v>#N/A</v>
      </c>
      <c r="AK259" s="105" t="e">
        <f ca="1">VLOOKUP(Tableau1[[#This Row],[Key(POD -PFI- Usine)]],'DATA Consignee'!A:F,6,FALSE)</f>
        <v>#N/A</v>
      </c>
      <c r="AL259" s="100"/>
      <c r="AM259" s="486" t="str">
        <f>IF(Tableau1[[#This Row],[Name PFI/CDD]]="","-",VLOOKUP(Tableau1[[#This Row],[Name PFI/CDD]],Plant_AILN!I:J,2,FALSE))</f>
        <v>-</v>
      </c>
      <c r="AN259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59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59" s="108" t="e">
        <f ca="1">VLOOKUP(Tableau1[[#This Row],[Key(POD -PFI- Usine)]],'DATA Consignee'!A:J,10,FALSE)</f>
        <v>#N/A</v>
      </c>
      <c r="AQ259" s="79" t="e">
        <f ca="1">VLOOKUP(Tableau1[[#This Row],[Key(POD -PFI- Usine)]],'DATA Consignee'!A:N,14,FALSE)</f>
        <v>#N/A</v>
      </c>
      <c r="AR259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59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59" s="79" t="e">
        <f ca="1">Tableau1[[#This Row],[Transit time]]+Tableau1[[#This Row],[Time for security]]+Tableau1[[#This Row],[Time for security2 buffer]]</f>
        <v>#N/A</v>
      </c>
      <c r="AU259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59" s="79" t="e">
        <f ca="1">Tableau1[[#This Row],[Leadtime SI2C]]+Tableau1[[#This Row],[First Receipt Days]]-Tableau1[[#This Row],[Day Customer Order]]+1</f>
        <v>#N/A</v>
      </c>
      <c r="AW259" s="118" t="e">
        <f ca="1">IF(Tableau1[[#This Row],[Name ILN]]&lt;&gt;"SFK Freight Forwarder",Tableau1[[#This Row],[Cust. Leadtime]],Tableau1[[#This Row],[Leadtime SI2C]])</f>
        <v>#N/A</v>
      </c>
      <c r="AX259" s="74" t="e">
        <f>VLOOKUP(Tableau1[[#This Row],[ID]],'DATA BTO'!B:P,15,FALSE)</f>
        <v>#N/A</v>
      </c>
      <c r="AY259" s="347" t="e">
        <f ca="1">IFERROR(VLOOKUP(Tableau1[[#This Row],[Key(ID-Actif)]],'DATA BTO'!A:N,4,FALSE),VLOOKUP(Tableau1[[#This Row],[ID]],'DATA BTO'!B:N,3,FALSE))</f>
        <v>#N/A</v>
      </c>
      <c r="AZ259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59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9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59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9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9" s="79"/>
    </row>
    <row r="260" spans="2:57">
      <c r="B260" s="80" t="str">
        <f>_xlfn.CONCAT(Tableau1[[#This Row],[Name ILN]],"-",Tableau1[[#This Row],[Name Shipper]],"-",Tableau1[[#This Row],[Name Site]])</f>
        <v>--</v>
      </c>
      <c r="C260" s="80" t="e">
        <f>_xlfn.CONCAT(Tableau1[[#This Row],[Compte ILN]],"-",Tableau1[[#This Row],[Compte Shipper]],"-",Tableau1[[#This Row],[POL]],"-",Tableau1[[#This Row],[Compte Consignee]])</f>
        <v>#N/A</v>
      </c>
      <c r="D260" s="80" t="e">
        <f>_xlfn.CONCAT(Tableau1[[#This Row],[Compte ILN]],"-",Tableau1[[#This Row],[Compte Shipper]],"-",Tableau1[[#This Row],[POL]])</f>
        <v>#N/A</v>
      </c>
      <c r="E260" s="81" t="e">
        <f ca="1">_xlfn.CONCAT(Tableau1[[#This Row],[POL]],"-",Tableau1[[#This Row],[Carrier]],"-",Tableau1[[#This Row],[POD]])</f>
        <v>#N/A</v>
      </c>
      <c r="F260" s="80" t="str">
        <f>_xlfn.CONCAT(Tableau1[[#This Row],[ID]],"-","Actif")</f>
        <v>-Actif</v>
      </c>
      <c r="G260" s="80" t="e">
        <f ca="1">_xlfn.CONCAT(Tableau1[[#This Row],[POD]],"-",Tableau1[[#This Row],[Code PFI]],"-",Tableau1[[#This Row],[Compte Consignee]])</f>
        <v>#N/A</v>
      </c>
      <c r="H260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0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0" s="118" t="str">
        <f ca="1">IF(COUNTIF(I:I,Tableau1[[#This Row],[Plant-ILN-shipper-POL-Carrier-POD-PFI]])=1,"Non","Oui")</f>
        <v>Oui</v>
      </c>
      <c r="K260" s="101" t="e">
        <f>VLOOKUP(Tableau1[[#This Row],[Name Site]],Plant_AILN!A:D,4,FALSE)</f>
        <v>#N/A</v>
      </c>
      <c r="L260" s="451"/>
      <c r="M260" s="480" t="e">
        <f>VLOOKUP(Tableau1[[#This Row],[Name Site]],Plant_AILN!A:C,3,FALSE)</f>
        <v>#N/A</v>
      </c>
      <c r="N260" s="102" t="e">
        <f>VLOOKUP(Tableau1[[#This Row],[Compte Consignee]],Order!C:D,2,FALSE)</f>
        <v>#N/A</v>
      </c>
      <c r="O260" s="124"/>
      <c r="P260" s="484" t="e">
        <f>VLOOKUP(Tableau1[[#This Row],[Name ILN]],Plant_AILN!F:G,2,FALSE)</f>
        <v>#N/A</v>
      </c>
      <c r="Q260" s="79" t="e">
        <f>VLOOKUP(Tableau1[[#This Row],[Compte ILN]],'DATA ILN'!D:I,6,FALSE)</f>
        <v>#N/A</v>
      </c>
      <c r="R260" s="79" t="e">
        <f>IFERROR(VLOOKUP(Tableau1[[#This Row],[Key(Compte ILN - shipper - POL - plant)]],'DATA ILN'!A:J,10,FALSE),VLOOKUP(Tableau1[[#This Row],[Key(Compte ILN - shipper - POL)]],'DATA ILN'!B:J,9,FALSE))</f>
        <v>#N/A</v>
      </c>
      <c r="S260" s="79" t="e">
        <f>IFERROR(VLOOKUP(Tableau1[[#This Row],[Key(Compte ILN - shipper - POL - plant)]],'DATA ILN'!A:K,11,FALSE),VLOOKUP(Tableau1[[#This Row],[Key(Compte ILN - shipper - POL)]],'DATA ILN'!B:K,10,FALSE))</f>
        <v>#N/A</v>
      </c>
      <c r="T260" s="79" t="e">
        <f>IFERROR(VLOOKUP(Tableau1[[#This Row],[Key(Compte ILN - shipper - POL - plant)]],'DATA ILN'!A:L,12,FALSE),VLOOKUP(Tableau1[[#This Row],[Key(Compte ILN - shipper - POL)]],'DATA ILN'!B:L,11,FALSE))</f>
        <v>#N/A</v>
      </c>
      <c r="U260" s="79" t="e">
        <f>Tableau1[[#This Row],[Day ILN Order]]+Tableau1[[#This Row],[Delivery time to ILN/Shipper]]-1</f>
        <v>#N/A</v>
      </c>
      <c r="V260" s="79" t="e">
        <f>IFERROR(VLOOKUP(Tableau1[[#This Row],[Key(Compte ILN - shipper - POL - plant)]],'DATA ILN'!A:N,14,FALSE),VLOOKUP(Tableau1[[#This Row],[Key(Compte ILN - shipper - POL)]],'DATA ILN'!B:N,13,FALSE))</f>
        <v>#N/A</v>
      </c>
      <c r="W260" s="79" t="e">
        <f>IFERROR(VLOOKUP(Tableau1[[#This Row],[Key(Compte ILN - shipper - POL - plant)]],'DATA ILN'!A:P,16,FALSE),VLOOKUP(Tableau1[[#This Row],[Key(Compte ILN - shipper - POL)]],'DATA ILN'!B:P,15,FALSE))</f>
        <v>#N/A</v>
      </c>
      <c r="X260" s="100"/>
      <c r="Y260" s="485">
        <f>IFERROR(VLOOKUP(Tableau1[[#This Row],[Name Shipper]],Plant_AILN!L:M,2,FALSE),0)</f>
        <v>0</v>
      </c>
      <c r="Z260" s="369"/>
      <c r="AA260" s="354" t="e">
        <f ca="1">VLOOKUP(Tableau1[[#This Row],[Key(ID-Actif)]],'DATA BTO'!A:N,5,FALSE)</f>
        <v>#N/A</v>
      </c>
      <c r="AB260" s="106" t="e">
        <f ca="1">VLOOKUP(Tableau1[[#This Row],[Key(ID-Actif)]],'DATA BTO'!A:N,6,FALSE)</f>
        <v>#N/A</v>
      </c>
      <c r="AC260" s="79" t="e">
        <f ca="1">VLOOKUP(Tableau1[[#This Row],[Key(ID-Actif)]],'DATA BTO'!A:N,7,FALSE)</f>
        <v>#N/A</v>
      </c>
      <c r="AD260" s="79" t="e">
        <f ca="1">VLOOKUP(Tableau1[[#This Row],[Key(ID-Actif)]],'DATA BTO'!A:N,8,FALSE)</f>
        <v>#N/A</v>
      </c>
      <c r="AE260" s="79" t="e">
        <f ca="1">IF(Tableau1[[#This Row],[First Day to POL]]&lt;=Tableau1[[#This Row],[Day Cut Off]],Tableau1[[#This Row],[Day ETD]],Tableau1[[#This Row],[Day ETD]]+7)</f>
        <v>#N/A</v>
      </c>
      <c r="AF260" s="79" t="e">
        <f ca="1">VLOOKUP(Tableau1[[#This Row],[Key(ID-Actif)]],'DATA BTO'!A:N,9,FALSE)</f>
        <v>#N/A</v>
      </c>
      <c r="AG260" s="106" t="e">
        <f ca="1">VLOOKUP(Tableau1[[#This Row],[Key(ID-Actif)]],'DATA BTO'!A:N,10,FALSE)</f>
        <v>#N/A</v>
      </c>
      <c r="AH260" s="106" t="e">
        <f ca="1">VLOOKUP(Tableau1[[#This Row],[Key(ID-Actif)]],'DATA BTO'!A:N,11,FALSE)</f>
        <v>#N/A</v>
      </c>
      <c r="AI260" s="79" t="e">
        <f ca="1">VLOOKUP(Tableau1[[#This Row],[Key(ID-Actif)]],'DATA BTO'!A:N,12,FALSE)</f>
        <v>#N/A</v>
      </c>
      <c r="AJ260" s="104" t="e">
        <f ca="1">VLOOKUP(Tableau1[[#This Row],[Key(ID-Actif)]],'DATA BTO'!A:N,14,FALSE)</f>
        <v>#N/A</v>
      </c>
      <c r="AK260" s="105" t="e">
        <f ca="1">VLOOKUP(Tableau1[[#This Row],[Key(POD -PFI- Usine)]],'DATA Consignee'!A:F,6,FALSE)</f>
        <v>#N/A</v>
      </c>
      <c r="AL260" s="100"/>
      <c r="AM260" s="486" t="str">
        <f>IF(Tableau1[[#This Row],[Name PFI/CDD]]="","-",VLOOKUP(Tableau1[[#This Row],[Name PFI/CDD]],Plant_AILN!I:J,2,FALSE))</f>
        <v>-</v>
      </c>
      <c r="AN260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0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0" s="108" t="e">
        <f ca="1">VLOOKUP(Tableau1[[#This Row],[Key(POD -PFI- Usine)]],'DATA Consignee'!A:J,10,FALSE)</f>
        <v>#N/A</v>
      </c>
      <c r="AQ260" s="79" t="e">
        <f ca="1">VLOOKUP(Tableau1[[#This Row],[Key(POD -PFI- Usine)]],'DATA Consignee'!A:N,14,FALSE)</f>
        <v>#N/A</v>
      </c>
      <c r="AR260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0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0" s="79" t="e">
        <f ca="1">Tableau1[[#This Row],[Transit time]]+Tableau1[[#This Row],[Time for security]]+Tableau1[[#This Row],[Time for security2 buffer]]</f>
        <v>#N/A</v>
      </c>
      <c r="AU260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0" s="79" t="e">
        <f ca="1">Tableau1[[#This Row],[Leadtime SI2C]]+Tableau1[[#This Row],[First Receipt Days]]-Tableau1[[#This Row],[Day Customer Order]]+1</f>
        <v>#N/A</v>
      </c>
      <c r="AW260" s="118" t="e">
        <f ca="1">IF(Tableau1[[#This Row],[Name ILN]]&lt;&gt;"SFK Freight Forwarder",Tableau1[[#This Row],[Cust. Leadtime]],Tableau1[[#This Row],[Leadtime SI2C]])</f>
        <v>#N/A</v>
      </c>
      <c r="AX260" s="74" t="e">
        <f>VLOOKUP(Tableau1[[#This Row],[ID]],'DATA BTO'!B:P,15,FALSE)</f>
        <v>#N/A</v>
      </c>
      <c r="AY260" s="347" t="e">
        <f ca="1">IFERROR(VLOOKUP(Tableau1[[#This Row],[Key(ID-Actif)]],'DATA BTO'!A:N,4,FALSE),VLOOKUP(Tableau1[[#This Row],[ID]],'DATA BTO'!B:N,3,FALSE))</f>
        <v>#N/A</v>
      </c>
      <c r="AZ260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0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0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0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0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0" s="79"/>
    </row>
    <row r="261" spans="2:57">
      <c r="B261" s="80" t="str">
        <f>_xlfn.CONCAT(Tableau1[[#This Row],[Name ILN]],"-",Tableau1[[#This Row],[Name Shipper]],"-",Tableau1[[#This Row],[Name Site]])</f>
        <v>--</v>
      </c>
      <c r="C261" s="80" t="e">
        <f>_xlfn.CONCAT(Tableau1[[#This Row],[Compte ILN]],"-",Tableau1[[#This Row],[Compte Shipper]],"-",Tableau1[[#This Row],[POL]],"-",Tableau1[[#This Row],[Compte Consignee]])</f>
        <v>#N/A</v>
      </c>
      <c r="D261" s="80" t="e">
        <f>_xlfn.CONCAT(Tableau1[[#This Row],[Compte ILN]],"-",Tableau1[[#This Row],[Compte Shipper]],"-",Tableau1[[#This Row],[POL]])</f>
        <v>#N/A</v>
      </c>
      <c r="E261" s="81" t="e">
        <f ca="1">_xlfn.CONCAT(Tableau1[[#This Row],[POL]],"-",Tableau1[[#This Row],[Carrier]],"-",Tableau1[[#This Row],[POD]])</f>
        <v>#N/A</v>
      </c>
      <c r="F261" s="80" t="str">
        <f>_xlfn.CONCAT(Tableau1[[#This Row],[ID]],"-","Actif")</f>
        <v>-Actif</v>
      </c>
      <c r="G261" s="80" t="e">
        <f ca="1">_xlfn.CONCAT(Tableau1[[#This Row],[POD]],"-",Tableau1[[#This Row],[Code PFI]],"-",Tableau1[[#This Row],[Compte Consignee]])</f>
        <v>#N/A</v>
      </c>
      <c r="H26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1" s="118" t="str">
        <f ca="1">IF(COUNTIF(I:I,Tableau1[[#This Row],[Plant-ILN-shipper-POL-Carrier-POD-PFI]])=1,"Non","Oui")</f>
        <v>Oui</v>
      </c>
      <c r="K261" s="101" t="e">
        <f>VLOOKUP(Tableau1[[#This Row],[Name Site]],Plant_AILN!A:D,4,FALSE)</f>
        <v>#N/A</v>
      </c>
      <c r="L261" s="451"/>
      <c r="M261" s="480" t="e">
        <f>VLOOKUP(Tableau1[[#This Row],[Name Site]],Plant_AILN!A:C,3,FALSE)</f>
        <v>#N/A</v>
      </c>
      <c r="N261" s="102" t="e">
        <f>VLOOKUP(Tableau1[[#This Row],[Compte Consignee]],Order!C:D,2,FALSE)</f>
        <v>#N/A</v>
      </c>
      <c r="O261" s="124"/>
      <c r="P261" s="484" t="e">
        <f>VLOOKUP(Tableau1[[#This Row],[Name ILN]],Plant_AILN!F:G,2,FALSE)</f>
        <v>#N/A</v>
      </c>
      <c r="Q261" s="79" t="e">
        <f>VLOOKUP(Tableau1[[#This Row],[Compte ILN]],'DATA ILN'!D:I,6,FALSE)</f>
        <v>#N/A</v>
      </c>
      <c r="R261" s="79" t="e">
        <f>IFERROR(VLOOKUP(Tableau1[[#This Row],[Key(Compte ILN - shipper - POL - plant)]],'DATA ILN'!A:J,10,FALSE),VLOOKUP(Tableau1[[#This Row],[Key(Compte ILN - shipper - POL)]],'DATA ILN'!B:J,9,FALSE))</f>
        <v>#N/A</v>
      </c>
      <c r="S261" s="79" t="e">
        <f>IFERROR(VLOOKUP(Tableau1[[#This Row],[Key(Compte ILN - shipper - POL - plant)]],'DATA ILN'!A:K,11,FALSE),VLOOKUP(Tableau1[[#This Row],[Key(Compte ILN - shipper - POL)]],'DATA ILN'!B:K,10,FALSE))</f>
        <v>#N/A</v>
      </c>
      <c r="T261" s="79" t="e">
        <f>IFERROR(VLOOKUP(Tableau1[[#This Row],[Key(Compte ILN - shipper - POL - plant)]],'DATA ILN'!A:L,12,FALSE),VLOOKUP(Tableau1[[#This Row],[Key(Compte ILN - shipper - POL)]],'DATA ILN'!B:L,11,FALSE))</f>
        <v>#N/A</v>
      </c>
      <c r="U261" s="79" t="e">
        <f>Tableau1[[#This Row],[Day ILN Order]]+Tableau1[[#This Row],[Delivery time to ILN/Shipper]]-1</f>
        <v>#N/A</v>
      </c>
      <c r="V261" s="79" t="e">
        <f>IFERROR(VLOOKUP(Tableau1[[#This Row],[Key(Compte ILN - shipper - POL - plant)]],'DATA ILN'!A:N,14,FALSE),VLOOKUP(Tableau1[[#This Row],[Key(Compte ILN - shipper - POL)]],'DATA ILN'!B:N,13,FALSE))</f>
        <v>#N/A</v>
      </c>
      <c r="W261" s="79" t="e">
        <f>IFERROR(VLOOKUP(Tableau1[[#This Row],[Key(Compte ILN - shipper - POL - plant)]],'DATA ILN'!A:P,16,FALSE),VLOOKUP(Tableau1[[#This Row],[Key(Compte ILN - shipper - POL)]],'DATA ILN'!B:P,15,FALSE))</f>
        <v>#N/A</v>
      </c>
      <c r="X261" s="100"/>
      <c r="Y261" s="485">
        <f>IFERROR(VLOOKUP(Tableau1[[#This Row],[Name Shipper]],Plant_AILN!L:M,2,FALSE),0)</f>
        <v>0</v>
      </c>
      <c r="Z261" s="369"/>
      <c r="AA261" s="354" t="e">
        <f ca="1">VLOOKUP(Tableau1[[#This Row],[Key(ID-Actif)]],'DATA BTO'!A:N,5,FALSE)</f>
        <v>#N/A</v>
      </c>
      <c r="AB261" s="106" t="e">
        <f ca="1">VLOOKUP(Tableau1[[#This Row],[Key(ID-Actif)]],'DATA BTO'!A:N,6,FALSE)</f>
        <v>#N/A</v>
      </c>
      <c r="AC261" s="79" t="e">
        <f ca="1">VLOOKUP(Tableau1[[#This Row],[Key(ID-Actif)]],'DATA BTO'!A:N,7,FALSE)</f>
        <v>#N/A</v>
      </c>
      <c r="AD261" s="79" t="e">
        <f ca="1">VLOOKUP(Tableau1[[#This Row],[Key(ID-Actif)]],'DATA BTO'!A:N,8,FALSE)</f>
        <v>#N/A</v>
      </c>
      <c r="AE261" s="79" t="e">
        <f ca="1">IF(Tableau1[[#This Row],[First Day to POL]]&lt;=Tableau1[[#This Row],[Day Cut Off]],Tableau1[[#This Row],[Day ETD]],Tableau1[[#This Row],[Day ETD]]+7)</f>
        <v>#N/A</v>
      </c>
      <c r="AF261" s="79" t="e">
        <f ca="1">VLOOKUP(Tableau1[[#This Row],[Key(ID-Actif)]],'DATA BTO'!A:N,9,FALSE)</f>
        <v>#N/A</v>
      </c>
      <c r="AG261" s="106" t="e">
        <f ca="1">VLOOKUP(Tableau1[[#This Row],[Key(ID-Actif)]],'DATA BTO'!A:N,10,FALSE)</f>
        <v>#N/A</v>
      </c>
      <c r="AH261" s="106" t="e">
        <f ca="1">VLOOKUP(Tableau1[[#This Row],[Key(ID-Actif)]],'DATA BTO'!A:N,11,FALSE)</f>
        <v>#N/A</v>
      </c>
      <c r="AI261" s="79" t="e">
        <f ca="1">VLOOKUP(Tableau1[[#This Row],[Key(ID-Actif)]],'DATA BTO'!A:N,12,FALSE)</f>
        <v>#N/A</v>
      </c>
      <c r="AJ261" s="104" t="e">
        <f ca="1">VLOOKUP(Tableau1[[#This Row],[Key(ID-Actif)]],'DATA BTO'!A:N,14,FALSE)</f>
        <v>#N/A</v>
      </c>
      <c r="AK261" s="105" t="e">
        <f ca="1">VLOOKUP(Tableau1[[#This Row],[Key(POD -PFI- Usine)]],'DATA Consignee'!A:F,6,FALSE)</f>
        <v>#N/A</v>
      </c>
      <c r="AL261" s="100"/>
      <c r="AM261" s="486" t="str">
        <f>IF(Tableau1[[#This Row],[Name PFI/CDD]]="","-",VLOOKUP(Tableau1[[#This Row],[Name PFI/CDD]],Plant_AILN!I:J,2,FALSE))</f>
        <v>-</v>
      </c>
      <c r="AN26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1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1" s="108" t="e">
        <f ca="1">VLOOKUP(Tableau1[[#This Row],[Key(POD -PFI- Usine)]],'DATA Consignee'!A:J,10,FALSE)</f>
        <v>#N/A</v>
      </c>
      <c r="AQ261" s="79" t="e">
        <f ca="1">VLOOKUP(Tableau1[[#This Row],[Key(POD -PFI- Usine)]],'DATA Consignee'!A:N,14,FALSE)</f>
        <v>#N/A</v>
      </c>
      <c r="AR26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1" s="79" t="e">
        <f ca="1">Tableau1[[#This Row],[Transit time]]+Tableau1[[#This Row],[Time for security]]+Tableau1[[#This Row],[Time for security2 buffer]]</f>
        <v>#N/A</v>
      </c>
      <c r="AU26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1" s="79" t="e">
        <f ca="1">Tableau1[[#This Row],[Leadtime SI2C]]+Tableau1[[#This Row],[First Receipt Days]]-Tableau1[[#This Row],[Day Customer Order]]+1</f>
        <v>#N/A</v>
      </c>
      <c r="AW261" s="118" t="e">
        <f ca="1">IF(Tableau1[[#This Row],[Name ILN]]&lt;&gt;"SFK Freight Forwarder",Tableau1[[#This Row],[Cust. Leadtime]],Tableau1[[#This Row],[Leadtime SI2C]])</f>
        <v>#N/A</v>
      </c>
      <c r="AX261" s="74" t="e">
        <f>VLOOKUP(Tableau1[[#This Row],[ID]],'DATA BTO'!B:P,15,FALSE)</f>
        <v>#N/A</v>
      </c>
      <c r="AY261" s="347" t="e">
        <f ca="1">IFERROR(VLOOKUP(Tableau1[[#This Row],[Key(ID-Actif)]],'DATA BTO'!A:N,4,FALSE),VLOOKUP(Tableau1[[#This Row],[ID]],'DATA BTO'!B:N,3,FALSE))</f>
        <v>#N/A</v>
      </c>
      <c r="AZ261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1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1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1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1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1" s="79"/>
    </row>
    <row r="262" spans="2:57">
      <c r="B262" s="80" t="str">
        <f>_xlfn.CONCAT(Tableau1[[#This Row],[Name ILN]],"-",Tableau1[[#This Row],[Name Shipper]],"-",Tableau1[[#This Row],[Name Site]])</f>
        <v>--</v>
      </c>
      <c r="C262" s="80" t="e">
        <f>_xlfn.CONCAT(Tableau1[[#This Row],[Compte ILN]],"-",Tableau1[[#This Row],[Compte Shipper]],"-",Tableau1[[#This Row],[POL]],"-",Tableau1[[#This Row],[Compte Consignee]])</f>
        <v>#N/A</v>
      </c>
      <c r="D262" s="80" t="e">
        <f>_xlfn.CONCAT(Tableau1[[#This Row],[Compte ILN]],"-",Tableau1[[#This Row],[Compte Shipper]],"-",Tableau1[[#This Row],[POL]])</f>
        <v>#N/A</v>
      </c>
      <c r="E262" s="81" t="e">
        <f ca="1">_xlfn.CONCAT(Tableau1[[#This Row],[POL]],"-",Tableau1[[#This Row],[Carrier]],"-",Tableau1[[#This Row],[POD]])</f>
        <v>#N/A</v>
      </c>
      <c r="F262" s="80" t="str">
        <f>_xlfn.CONCAT(Tableau1[[#This Row],[ID]],"-","Actif")</f>
        <v>-Actif</v>
      </c>
      <c r="G262" s="80" t="e">
        <f ca="1">_xlfn.CONCAT(Tableau1[[#This Row],[POD]],"-",Tableau1[[#This Row],[Code PFI]],"-",Tableau1[[#This Row],[Compte Consignee]])</f>
        <v>#N/A</v>
      </c>
      <c r="H26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2" s="118" t="str">
        <f ca="1">IF(COUNTIF(I:I,Tableau1[[#This Row],[Plant-ILN-shipper-POL-Carrier-POD-PFI]])=1,"Non","Oui")</f>
        <v>Oui</v>
      </c>
      <c r="K262" s="101" t="e">
        <f>VLOOKUP(Tableau1[[#This Row],[Name Site]],Plant_AILN!A:D,4,FALSE)</f>
        <v>#N/A</v>
      </c>
      <c r="L262" s="451"/>
      <c r="M262" s="480" t="e">
        <f>VLOOKUP(Tableau1[[#This Row],[Name Site]],Plant_AILN!A:C,3,FALSE)</f>
        <v>#N/A</v>
      </c>
      <c r="N262" s="102" t="e">
        <f>VLOOKUP(Tableau1[[#This Row],[Compte Consignee]],Order!C:D,2,FALSE)</f>
        <v>#N/A</v>
      </c>
      <c r="O262" s="124"/>
      <c r="P262" s="484" t="e">
        <f>VLOOKUP(Tableau1[[#This Row],[Name ILN]],Plant_AILN!F:G,2,FALSE)</f>
        <v>#N/A</v>
      </c>
      <c r="Q262" s="79" t="e">
        <f>VLOOKUP(Tableau1[[#This Row],[Compte ILN]],'DATA ILN'!D:I,6,FALSE)</f>
        <v>#N/A</v>
      </c>
      <c r="R262" s="79" t="e">
        <f>IFERROR(VLOOKUP(Tableau1[[#This Row],[Key(Compte ILN - shipper - POL - plant)]],'DATA ILN'!A:J,10,FALSE),VLOOKUP(Tableau1[[#This Row],[Key(Compte ILN - shipper - POL)]],'DATA ILN'!B:J,9,FALSE))</f>
        <v>#N/A</v>
      </c>
      <c r="S262" s="79" t="e">
        <f>IFERROR(VLOOKUP(Tableau1[[#This Row],[Key(Compte ILN - shipper - POL - plant)]],'DATA ILN'!A:K,11,FALSE),VLOOKUP(Tableau1[[#This Row],[Key(Compte ILN - shipper - POL)]],'DATA ILN'!B:K,10,FALSE))</f>
        <v>#N/A</v>
      </c>
      <c r="T262" s="79" t="e">
        <f>IFERROR(VLOOKUP(Tableau1[[#This Row],[Key(Compte ILN - shipper - POL - plant)]],'DATA ILN'!A:L,12,FALSE),VLOOKUP(Tableau1[[#This Row],[Key(Compte ILN - shipper - POL)]],'DATA ILN'!B:L,11,FALSE))</f>
        <v>#N/A</v>
      </c>
      <c r="U262" s="79" t="e">
        <f>Tableau1[[#This Row],[Day ILN Order]]+Tableau1[[#This Row],[Delivery time to ILN/Shipper]]-1</f>
        <v>#N/A</v>
      </c>
      <c r="V262" s="79" t="e">
        <f>IFERROR(VLOOKUP(Tableau1[[#This Row],[Key(Compte ILN - shipper - POL - plant)]],'DATA ILN'!A:N,14,FALSE),VLOOKUP(Tableau1[[#This Row],[Key(Compte ILN - shipper - POL)]],'DATA ILN'!B:N,13,FALSE))</f>
        <v>#N/A</v>
      </c>
      <c r="W262" s="79" t="e">
        <f>IFERROR(VLOOKUP(Tableau1[[#This Row],[Key(Compte ILN - shipper - POL - plant)]],'DATA ILN'!A:P,16,FALSE),VLOOKUP(Tableau1[[#This Row],[Key(Compte ILN - shipper - POL)]],'DATA ILN'!B:P,15,FALSE))</f>
        <v>#N/A</v>
      </c>
      <c r="X262" s="100"/>
      <c r="Y262" s="485">
        <f>IFERROR(VLOOKUP(Tableau1[[#This Row],[Name Shipper]],Plant_AILN!L:M,2,FALSE),0)</f>
        <v>0</v>
      </c>
      <c r="Z262" s="369"/>
      <c r="AA262" s="354" t="e">
        <f ca="1">VLOOKUP(Tableau1[[#This Row],[Key(ID-Actif)]],'DATA BTO'!A:N,5,FALSE)</f>
        <v>#N/A</v>
      </c>
      <c r="AB262" s="106" t="e">
        <f ca="1">VLOOKUP(Tableau1[[#This Row],[Key(ID-Actif)]],'DATA BTO'!A:N,6,FALSE)</f>
        <v>#N/A</v>
      </c>
      <c r="AC262" s="79" t="e">
        <f ca="1">VLOOKUP(Tableau1[[#This Row],[Key(ID-Actif)]],'DATA BTO'!A:N,7,FALSE)</f>
        <v>#N/A</v>
      </c>
      <c r="AD262" s="79" t="e">
        <f ca="1">VLOOKUP(Tableau1[[#This Row],[Key(ID-Actif)]],'DATA BTO'!A:N,8,FALSE)</f>
        <v>#N/A</v>
      </c>
      <c r="AE262" s="79" t="e">
        <f ca="1">IF(Tableau1[[#This Row],[First Day to POL]]&lt;=Tableau1[[#This Row],[Day Cut Off]],Tableau1[[#This Row],[Day ETD]],Tableau1[[#This Row],[Day ETD]]+7)</f>
        <v>#N/A</v>
      </c>
      <c r="AF262" s="79" t="e">
        <f ca="1">VLOOKUP(Tableau1[[#This Row],[Key(ID-Actif)]],'DATA BTO'!A:N,9,FALSE)</f>
        <v>#N/A</v>
      </c>
      <c r="AG262" s="106" t="e">
        <f ca="1">VLOOKUP(Tableau1[[#This Row],[Key(ID-Actif)]],'DATA BTO'!A:N,10,FALSE)</f>
        <v>#N/A</v>
      </c>
      <c r="AH262" s="106" t="e">
        <f ca="1">VLOOKUP(Tableau1[[#This Row],[Key(ID-Actif)]],'DATA BTO'!A:N,11,FALSE)</f>
        <v>#N/A</v>
      </c>
      <c r="AI262" s="79" t="e">
        <f ca="1">VLOOKUP(Tableau1[[#This Row],[Key(ID-Actif)]],'DATA BTO'!A:N,12,FALSE)</f>
        <v>#N/A</v>
      </c>
      <c r="AJ262" s="104" t="e">
        <f ca="1">VLOOKUP(Tableau1[[#This Row],[Key(ID-Actif)]],'DATA BTO'!A:N,14,FALSE)</f>
        <v>#N/A</v>
      </c>
      <c r="AK262" s="105" t="e">
        <f ca="1">VLOOKUP(Tableau1[[#This Row],[Key(POD -PFI- Usine)]],'DATA Consignee'!A:F,6,FALSE)</f>
        <v>#N/A</v>
      </c>
      <c r="AL262" s="100"/>
      <c r="AM262" s="486" t="str">
        <f>IF(Tableau1[[#This Row],[Name PFI/CDD]]="","-",VLOOKUP(Tableau1[[#This Row],[Name PFI/CDD]],Plant_AILN!I:J,2,FALSE))</f>
        <v>-</v>
      </c>
      <c r="AN26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2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2" s="108" t="e">
        <f ca="1">VLOOKUP(Tableau1[[#This Row],[Key(POD -PFI- Usine)]],'DATA Consignee'!A:J,10,FALSE)</f>
        <v>#N/A</v>
      </c>
      <c r="AQ262" s="79" t="e">
        <f ca="1">VLOOKUP(Tableau1[[#This Row],[Key(POD -PFI- Usine)]],'DATA Consignee'!A:N,14,FALSE)</f>
        <v>#N/A</v>
      </c>
      <c r="AR26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2" s="79" t="e">
        <f ca="1">Tableau1[[#This Row],[Transit time]]+Tableau1[[#This Row],[Time for security]]+Tableau1[[#This Row],[Time for security2 buffer]]</f>
        <v>#N/A</v>
      </c>
      <c r="AU26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2" s="79" t="e">
        <f ca="1">Tableau1[[#This Row],[Leadtime SI2C]]+Tableau1[[#This Row],[First Receipt Days]]-Tableau1[[#This Row],[Day Customer Order]]+1</f>
        <v>#N/A</v>
      </c>
      <c r="AW262" s="118" t="e">
        <f ca="1">IF(Tableau1[[#This Row],[Name ILN]]&lt;&gt;"SFK Freight Forwarder",Tableau1[[#This Row],[Cust. Leadtime]],Tableau1[[#This Row],[Leadtime SI2C]])</f>
        <v>#N/A</v>
      </c>
      <c r="AX262" s="74" t="e">
        <f>VLOOKUP(Tableau1[[#This Row],[ID]],'DATA BTO'!B:P,15,FALSE)</f>
        <v>#N/A</v>
      </c>
      <c r="AY262" s="347" t="e">
        <f ca="1">IFERROR(VLOOKUP(Tableau1[[#This Row],[Key(ID-Actif)]],'DATA BTO'!A:N,4,FALSE),VLOOKUP(Tableau1[[#This Row],[ID]],'DATA BTO'!B:N,3,FALSE))</f>
        <v>#N/A</v>
      </c>
      <c r="AZ262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2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2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2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2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2" s="79"/>
    </row>
    <row r="263" spans="2:57">
      <c r="B263" s="80" t="str">
        <f>_xlfn.CONCAT(Tableau1[[#This Row],[Name ILN]],"-",Tableau1[[#This Row],[Name Shipper]],"-",Tableau1[[#This Row],[Name Site]])</f>
        <v>--</v>
      </c>
      <c r="C263" s="80" t="e">
        <f>_xlfn.CONCAT(Tableau1[[#This Row],[Compte ILN]],"-",Tableau1[[#This Row],[Compte Shipper]],"-",Tableau1[[#This Row],[POL]],"-",Tableau1[[#This Row],[Compte Consignee]])</f>
        <v>#N/A</v>
      </c>
      <c r="D263" s="80" t="e">
        <f>_xlfn.CONCAT(Tableau1[[#This Row],[Compte ILN]],"-",Tableau1[[#This Row],[Compte Shipper]],"-",Tableau1[[#This Row],[POL]])</f>
        <v>#N/A</v>
      </c>
      <c r="E263" s="81" t="e">
        <f ca="1">_xlfn.CONCAT(Tableau1[[#This Row],[POL]],"-",Tableau1[[#This Row],[Carrier]],"-",Tableau1[[#This Row],[POD]])</f>
        <v>#N/A</v>
      </c>
      <c r="F263" s="80" t="str">
        <f>_xlfn.CONCAT(Tableau1[[#This Row],[ID]],"-","Actif")</f>
        <v>-Actif</v>
      </c>
      <c r="G263" s="80" t="e">
        <f ca="1">_xlfn.CONCAT(Tableau1[[#This Row],[POD]],"-",Tableau1[[#This Row],[Code PFI]],"-",Tableau1[[#This Row],[Compte Consignee]])</f>
        <v>#N/A</v>
      </c>
      <c r="H26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3" s="118" t="str">
        <f ca="1">IF(COUNTIF(I:I,Tableau1[[#This Row],[Plant-ILN-shipper-POL-Carrier-POD-PFI]])=1,"Non","Oui")</f>
        <v>Oui</v>
      </c>
      <c r="K263" s="402" t="e">
        <f>VLOOKUP(Tableau1[[#This Row],[Name Site]],Plant_AILN!A:D,4,FALSE)</f>
        <v>#N/A</v>
      </c>
      <c r="L263" s="450"/>
      <c r="M263" s="480" t="e">
        <f>VLOOKUP(Tableau1[[#This Row],[Name Site]],Plant_AILN!A:C,3,FALSE)</f>
        <v>#N/A</v>
      </c>
      <c r="N263" s="102" t="e">
        <f>VLOOKUP(Tableau1[[#This Row],[Compte Consignee]],Order!C:D,2,FALSE)</f>
        <v>#N/A</v>
      </c>
      <c r="O263" s="124"/>
      <c r="P263" s="484" t="e">
        <f>VLOOKUP(Tableau1[[#This Row],[Name ILN]],Plant_AILN!F:G,2,FALSE)</f>
        <v>#N/A</v>
      </c>
      <c r="Q263" s="79" t="e">
        <f>VLOOKUP(Tableau1[[#This Row],[Compte ILN]],'DATA ILN'!D:I,6,FALSE)</f>
        <v>#N/A</v>
      </c>
      <c r="R263" s="79" t="e">
        <f>IFERROR(VLOOKUP(Tableau1[[#This Row],[Key(Compte ILN - shipper - POL - plant)]],'DATA ILN'!A:J,10,FALSE),VLOOKUP(Tableau1[[#This Row],[Key(Compte ILN - shipper - POL)]],'DATA ILN'!B:J,9,FALSE))</f>
        <v>#N/A</v>
      </c>
      <c r="S263" s="79" t="e">
        <f>IFERROR(VLOOKUP(Tableau1[[#This Row],[Key(Compte ILN - shipper - POL - plant)]],'DATA ILN'!A:K,11,FALSE),VLOOKUP(Tableau1[[#This Row],[Key(Compte ILN - shipper - POL)]],'DATA ILN'!B:K,10,FALSE))</f>
        <v>#N/A</v>
      </c>
      <c r="T263" s="79" t="e">
        <f>IFERROR(VLOOKUP(Tableau1[[#This Row],[Key(Compte ILN - shipper - POL - plant)]],'DATA ILN'!A:L,12,FALSE),VLOOKUP(Tableau1[[#This Row],[Key(Compte ILN - shipper - POL)]],'DATA ILN'!B:L,11,FALSE))</f>
        <v>#N/A</v>
      </c>
      <c r="U263" s="79" t="e">
        <f>Tableau1[[#This Row],[Day ILN Order]]+Tableau1[[#This Row],[Delivery time to ILN/Shipper]]-1</f>
        <v>#N/A</v>
      </c>
      <c r="V263" s="79" t="e">
        <f>IFERROR(VLOOKUP(Tableau1[[#This Row],[Key(Compte ILN - shipper - POL - plant)]],'DATA ILN'!A:N,14,FALSE),VLOOKUP(Tableau1[[#This Row],[Key(Compte ILN - shipper - POL)]],'DATA ILN'!B:N,13,FALSE))</f>
        <v>#N/A</v>
      </c>
      <c r="W263" s="79" t="e">
        <f>IFERROR(VLOOKUP(Tableau1[[#This Row],[Key(Compte ILN - shipper - POL - plant)]],'DATA ILN'!A:P,16,FALSE),VLOOKUP(Tableau1[[#This Row],[Key(Compte ILN - shipper - POL)]],'DATA ILN'!B:P,15,FALSE))</f>
        <v>#N/A</v>
      </c>
      <c r="X263" s="100"/>
      <c r="Y263" s="485">
        <f>IFERROR(VLOOKUP(Tableau1[[#This Row],[Name Shipper]],Plant_AILN!L:M,2,FALSE),0)</f>
        <v>0</v>
      </c>
      <c r="Z263" s="369"/>
      <c r="AA263" s="354" t="e">
        <f ca="1">VLOOKUP(Tableau1[[#This Row],[Key(ID-Actif)]],'DATA BTO'!A:N,5,FALSE)</f>
        <v>#N/A</v>
      </c>
      <c r="AB263" s="106" t="e">
        <f ca="1">VLOOKUP(Tableau1[[#This Row],[Key(ID-Actif)]],'DATA BTO'!A:N,6,FALSE)</f>
        <v>#N/A</v>
      </c>
      <c r="AC263" s="79" t="e">
        <f ca="1">VLOOKUP(Tableau1[[#This Row],[Key(ID-Actif)]],'DATA BTO'!A:N,7,FALSE)</f>
        <v>#N/A</v>
      </c>
      <c r="AD263" s="79" t="e">
        <f ca="1">VLOOKUP(Tableau1[[#This Row],[Key(ID-Actif)]],'DATA BTO'!A:N,8,FALSE)</f>
        <v>#N/A</v>
      </c>
      <c r="AE263" s="79" t="e">
        <f ca="1">IF(Tableau1[[#This Row],[First Day to POL]]&lt;=Tableau1[[#This Row],[Day Cut Off]],Tableau1[[#This Row],[Day ETD]],Tableau1[[#This Row],[Day ETD]]+7)</f>
        <v>#N/A</v>
      </c>
      <c r="AF263" s="79" t="e">
        <f ca="1">VLOOKUP(Tableau1[[#This Row],[Key(ID-Actif)]],'DATA BTO'!A:N,9,FALSE)</f>
        <v>#N/A</v>
      </c>
      <c r="AG263" s="106" t="e">
        <f ca="1">VLOOKUP(Tableau1[[#This Row],[Key(ID-Actif)]],'DATA BTO'!A:N,10,FALSE)</f>
        <v>#N/A</v>
      </c>
      <c r="AH263" s="106" t="e">
        <f ca="1">VLOOKUP(Tableau1[[#This Row],[Key(ID-Actif)]],'DATA BTO'!A:N,11,FALSE)</f>
        <v>#N/A</v>
      </c>
      <c r="AI263" s="79" t="e">
        <f ca="1">VLOOKUP(Tableau1[[#This Row],[Key(ID-Actif)]],'DATA BTO'!A:N,12,FALSE)</f>
        <v>#N/A</v>
      </c>
      <c r="AJ263" s="104" t="e">
        <f ca="1">VLOOKUP(Tableau1[[#This Row],[Key(ID-Actif)]],'DATA BTO'!A:N,14,FALSE)</f>
        <v>#N/A</v>
      </c>
      <c r="AK263" s="105" t="e">
        <f ca="1">VLOOKUP(Tableau1[[#This Row],[Key(POD -PFI- Usine)]],'DATA Consignee'!A:F,6,FALSE)</f>
        <v>#N/A</v>
      </c>
      <c r="AL263" s="100"/>
      <c r="AM263" s="486" t="str">
        <f>IF(Tableau1[[#This Row],[Name PFI/CDD]]="","-",VLOOKUP(Tableau1[[#This Row],[Name PFI/CDD]],Plant_AILN!I:J,2,FALSE))</f>
        <v>-</v>
      </c>
      <c r="AN26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3" s="108" t="e">
        <f ca="1">VLOOKUP(Tableau1[[#This Row],[Key(POD -PFI- Usine)]],'DATA Consignee'!A:J,10,FALSE)</f>
        <v>#N/A</v>
      </c>
      <c r="AQ263" s="79" t="e">
        <f ca="1">VLOOKUP(Tableau1[[#This Row],[Key(POD -PFI- Usine)]],'DATA Consignee'!A:N,14,FALSE)</f>
        <v>#N/A</v>
      </c>
      <c r="AR26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3" s="79" t="e">
        <f ca="1">Tableau1[[#This Row],[Transit time]]+Tableau1[[#This Row],[Time for security]]+Tableau1[[#This Row],[Time for security2 buffer]]</f>
        <v>#N/A</v>
      </c>
      <c r="AU26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3" s="79" t="e">
        <f ca="1">Tableau1[[#This Row],[Leadtime SI2C]]+Tableau1[[#This Row],[First Receipt Days]]-Tableau1[[#This Row],[Day Customer Order]]+1</f>
        <v>#N/A</v>
      </c>
      <c r="AW263" s="118" t="e">
        <f ca="1">IF(Tableau1[[#This Row],[Name ILN]]&lt;&gt;"SFK Freight Forwarder",Tableau1[[#This Row],[Cust. Leadtime]],Tableau1[[#This Row],[Leadtime SI2C]])</f>
        <v>#N/A</v>
      </c>
      <c r="AX263" s="74" t="e">
        <f>VLOOKUP(Tableau1[[#This Row],[ID]],'DATA BTO'!B:P,15,FALSE)</f>
        <v>#N/A</v>
      </c>
      <c r="AY263" s="347" t="e">
        <f ca="1">IFERROR(VLOOKUP(Tableau1[[#This Row],[Key(ID-Actif)]],'DATA BTO'!A:N,4,FALSE),VLOOKUP(Tableau1[[#This Row],[ID]],'DATA BTO'!B:N,3,FALSE))</f>
        <v>#N/A</v>
      </c>
      <c r="AZ263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3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3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3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3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3" s="79"/>
    </row>
    <row r="264" spans="2:57">
      <c r="B264" s="80" t="str">
        <f>_xlfn.CONCAT(Tableau1[[#This Row],[Name ILN]],"-",Tableau1[[#This Row],[Name Shipper]],"-",Tableau1[[#This Row],[Name Site]])</f>
        <v>--</v>
      </c>
      <c r="C264" s="80" t="e">
        <f>_xlfn.CONCAT(Tableau1[[#This Row],[Compte ILN]],"-",Tableau1[[#This Row],[Compte Shipper]],"-",Tableau1[[#This Row],[POL]],"-",Tableau1[[#This Row],[Compte Consignee]])</f>
        <v>#N/A</v>
      </c>
      <c r="D264" s="80" t="e">
        <f>_xlfn.CONCAT(Tableau1[[#This Row],[Compte ILN]],"-",Tableau1[[#This Row],[Compte Shipper]],"-",Tableau1[[#This Row],[POL]])</f>
        <v>#N/A</v>
      </c>
      <c r="E264" s="81" t="e">
        <f ca="1">_xlfn.CONCAT(Tableau1[[#This Row],[POL]],"-",Tableau1[[#This Row],[Carrier]],"-",Tableau1[[#This Row],[POD]])</f>
        <v>#N/A</v>
      </c>
      <c r="F264" s="80" t="str">
        <f>_xlfn.CONCAT(Tableau1[[#This Row],[ID]],"-","Actif")</f>
        <v>-Actif</v>
      </c>
      <c r="G264" s="80" t="e">
        <f ca="1">_xlfn.CONCAT(Tableau1[[#This Row],[POD]],"-",Tableau1[[#This Row],[Code PFI]],"-",Tableau1[[#This Row],[Compte Consignee]])</f>
        <v>#N/A</v>
      </c>
      <c r="H26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4" s="118" t="str">
        <f ca="1">IF(COUNTIF(I:I,Tableau1[[#This Row],[Plant-ILN-shipper-POL-Carrier-POD-PFI]])=1,"Non","Oui")</f>
        <v>Oui</v>
      </c>
      <c r="K264" s="101" t="e">
        <f>VLOOKUP(Tableau1[[#This Row],[Name Site]],Plant_AILN!A:D,4,FALSE)</f>
        <v>#N/A</v>
      </c>
      <c r="L264" s="451"/>
      <c r="M264" s="480" t="e">
        <f>VLOOKUP(Tableau1[[#This Row],[Name Site]],Plant_AILN!A:C,3,FALSE)</f>
        <v>#N/A</v>
      </c>
      <c r="N264" s="102" t="e">
        <f>VLOOKUP(Tableau1[[#This Row],[Compte Consignee]],Order!C:D,2,FALSE)</f>
        <v>#N/A</v>
      </c>
      <c r="O264" s="124"/>
      <c r="P264" s="484" t="e">
        <f>VLOOKUP(Tableau1[[#This Row],[Name ILN]],Plant_AILN!F:G,2,FALSE)</f>
        <v>#N/A</v>
      </c>
      <c r="Q264" s="79" t="e">
        <f>VLOOKUP(Tableau1[[#This Row],[Compte ILN]],'DATA ILN'!D:I,6,FALSE)</f>
        <v>#N/A</v>
      </c>
      <c r="R264" s="79" t="e">
        <f>IFERROR(VLOOKUP(Tableau1[[#This Row],[Key(Compte ILN - shipper - POL - plant)]],'DATA ILN'!A:J,10,FALSE),VLOOKUP(Tableau1[[#This Row],[Key(Compte ILN - shipper - POL)]],'DATA ILN'!B:J,9,FALSE))</f>
        <v>#N/A</v>
      </c>
      <c r="S264" s="79" t="e">
        <f>IFERROR(VLOOKUP(Tableau1[[#This Row],[Key(Compte ILN - shipper - POL - plant)]],'DATA ILN'!A:K,11,FALSE),VLOOKUP(Tableau1[[#This Row],[Key(Compte ILN - shipper - POL)]],'DATA ILN'!B:K,10,FALSE))</f>
        <v>#N/A</v>
      </c>
      <c r="T264" s="79" t="e">
        <f>IFERROR(VLOOKUP(Tableau1[[#This Row],[Key(Compte ILN - shipper - POL - plant)]],'DATA ILN'!A:L,12,FALSE),VLOOKUP(Tableau1[[#This Row],[Key(Compte ILN - shipper - POL)]],'DATA ILN'!B:L,11,FALSE))</f>
        <v>#N/A</v>
      </c>
      <c r="U264" s="79" t="e">
        <f>Tableau1[[#This Row],[Day ILN Order]]+Tableau1[[#This Row],[Delivery time to ILN/Shipper]]-1</f>
        <v>#N/A</v>
      </c>
      <c r="V264" s="79" t="e">
        <f>IFERROR(VLOOKUP(Tableau1[[#This Row],[Key(Compte ILN - shipper - POL - plant)]],'DATA ILN'!A:N,14,FALSE),VLOOKUP(Tableau1[[#This Row],[Key(Compte ILN - shipper - POL)]],'DATA ILN'!B:N,13,FALSE))</f>
        <v>#N/A</v>
      </c>
      <c r="W264" s="79" t="e">
        <f>IFERROR(VLOOKUP(Tableau1[[#This Row],[Key(Compte ILN - shipper - POL - plant)]],'DATA ILN'!A:P,16,FALSE),VLOOKUP(Tableau1[[#This Row],[Key(Compte ILN - shipper - POL)]],'DATA ILN'!B:P,15,FALSE))</f>
        <v>#N/A</v>
      </c>
      <c r="X264" s="100"/>
      <c r="Y264" s="485">
        <f>IFERROR(VLOOKUP(Tableau1[[#This Row],[Name Shipper]],Plant_AILN!L:M,2,FALSE),0)</f>
        <v>0</v>
      </c>
      <c r="Z264" s="369"/>
      <c r="AA264" s="354" t="e">
        <f ca="1">VLOOKUP(Tableau1[[#This Row],[Key(ID-Actif)]],'DATA BTO'!A:N,5,FALSE)</f>
        <v>#N/A</v>
      </c>
      <c r="AB264" s="106" t="e">
        <f ca="1">VLOOKUP(Tableau1[[#This Row],[Key(ID-Actif)]],'DATA BTO'!A:N,6,FALSE)</f>
        <v>#N/A</v>
      </c>
      <c r="AC264" s="79" t="e">
        <f ca="1">VLOOKUP(Tableau1[[#This Row],[Key(ID-Actif)]],'DATA BTO'!A:N,7,FALSE)</f>
        <v>#N/A</v>
      </c>
      <c r="AD264" s="79" t="e">
        <f ca="1">VLOOKUP(Tableau1[[#This Row],[Key(ID-Actif)]],'DATA BTO'!A:N,8,FALSE)</f>
        <v>#N/A</v>
      </c>
      <c r="AE264" s="79" t="e">
        <f ca="1">IF(Tableau1[[#This Row],[First Day to POL]]&lt;=Tableau1[[#This Row],[Day Cut Off]],Tableau1[[#This Row],[Day ETD]],Tableau1[[#This Row],[Day ETD]]+7)</f>
        <v>#N/A</v>
      </c>
      <c r="AF264" s="79" t="e">
        <f ca="1">VLOOKUP(Tableau1[[#This Row],[Key(ID-Actif)]],'DATA BTO'!A:N,9,FALSE)</f>
        <v>#N/A</v>
      </c>
      <c r="AG264" s="106" t="e">
        <f ca="1">VLOOKUP(Tableau1[[#This Row],[Key(ID-Actif)]],'DATA BTO'!A:N,10,FALSE)</f>
        <v>#N/A</v>
      </c>
      <c r="AH264" s="106" t="e">
        <f ca="1">VLOOKUP(Tableau1[[#This Row],[Key(ID-Actif)]],'DATA BTO'!A:N,11,FALSE)</f>
        <v>#N/A</v>
      </c>
      <c r="AI264" s="79" t="e">
        <f ca="1">VLOOKUP(Tableau1[[#This Row],[Key(ID-Actif)]],'DATA BTO'!A:N,12,FALSE)</f>
        <v>#N/A</v>
      </c>
      <c r="AJ264" s="104" t="e">
        <f ca="1">VLOOKUP(Tableau1[[#This Row],[Key(ID-Actif)]],'DATA BTO'!A:N,14,FALSE)</f>
        <v>#N/A</v>
      </c>
      <c r="AK264" s="105" t="e">
        <f ca="1">VLOOKUP(Tableau1[[#This Row],[Key(POD -PFI- Usine)]],'DATA Consignee'!A:F,6,FALSE)</f>
        <v>#N/A</v>
      </c>
      <c r="AL264" s="100"/>
      <c r="AM264" s="486" t="str">
        <f>IF(Tableau1[[#This Row],[Name PFI/CDD]]="","-",VLOOKUP(Tableau1[[#This Row],[Name PFI/CDD]],Plant_AILN!I:J,2,FALSE))</f>
        <v>-</v>
      </c>
      <c r="AN26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4" s="108" t="e">
        <f ca="1">VLOOKUP(Tableau1[[#This Row],[Key(POD -PFI- Usine)]],'DATA Consignee'!A:J,10,FALSE)</f>
        <v>#N/A</v>
      </c>
      <c r="AQ264" s="79" t="e">
        <f ca="1">VLOOKUP(Tableau1[[#This Row],[Key(POD -PFI- Usine)]],'DATA Consignee'!A:N,14,FALSE)</f>
        <v>#N/A</v>
      </c>
      <c r="AR26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4" s="79" t="e">
        <f ca="1">Tableau1[[#This Row],[Transit time]]+Tableau1[[#This Row],[Time for security]]+Tableau1[[#This Row],[Time for security2 buffer]]</f>
        <v>#N/A</v>
      </c>
      <c r="AU26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4" s="79" t="e">
        <f ca="1">Tableau1[[#This Row],[Leadtime SI2C]]+Tableau1[[#This Row],[First Receipt Days]]-Tableau1[[#This Row],[Day Customer Order]]+1</f>
        <v>#N/A</v>
      </c>
      <c r="AW264" s="118" t="e">
        <f ca="1">IF(Tableau1[[#This Row],[Name ILN]]&lt;&gt;"SFK Freight Forwarder",Tableau1[[#This Row],[Cust. Leadtime]],Tableau1[[#This Row],[Leadtime SI2C]])</f>
        <v>#N/A</v>
      </c>
      <c r="AX264" s="74" t="e">
        <f>VLOOKUP(Tableau1[[#This Row],[ID]],'DATA BTO'!B:P,15,FALSE)</f>
        <v>#N/A</v>
      </c>
      <c r="AY264" s="347" t="e">
        <f ca="1">IFERROR(VLOOKUP(Tableau1[[#This Row],[Key(ID-Actif)]],'DATA BTO'!A:N,4,FALSE),VLOOKUP(Tableau1[[#This Row],[ID]],'DATA BTO'!B:N,3,FALSE))</f>
        <v>#N/A</v>
      </c>
      <c r="AZ264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4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4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4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4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4" s="79"/>
    </row>
    <row r="265" spans="2:57">
      <c r="B265" s="80" t="str">
        <f>_xlfn.CONCAT(Tableau1[[#This Row],[Name ILN]],"-",Tableau1[[#This Row],[Name Shipper]],"-",Tableau1[[#This Row],[Name Site]])</f>
        <v>--</v>
      </c>
      <c r="C265" s="80" t="e">
        <f>_xlfn.CONCAT(Tableau1[[#This Row],[Compte ILN]],"-",Tableau1[[#This Row],[Compte Shipper]],"-",Tableau1[[#This Row],[POL]],"-",Tableau1[[#This Row],[Compte Consignee]])</f>
        <v>#N/A</v>
      </c>
      <c r="D265" s="80" t="e">
        <f>_xlfn.CONCAT(Tableau1[[#This Row],[Compte ILN]],"-",Tableau1[[#This Row],[Compte Shipper]],"-",Tableau1[[#This Row],[POL]])</f>
        <v>#N/A</v>
      </c>
      <c r="E265" s="81" t="e">
        <f ca="1">_xlfn.CONCAT(Tableau1[[#This Row],[POL]],"-",Tableau1[[#This Row],[Carrier]],"-",Tableau1[[#This Row],[POD]])</f>
        <v>#N/A</v>
      </c>
      <c r="F265" s="80" t="str">
        <f>_xlfn.CONCAT(Tableau1[[#This Row],[ID]],"-","Actif")</f>
        <v>-Actif</v>
      </c>
      <c r="G265" s="80" t="e">
        <f ca="1">_xlfn.CONCAT(Tableau1[[#This Row],[POD]],"-",Tableau1[[#This Row],[Code PFI]],"-",Tableau1[[#This Row],[Compte Consignee]])</f>
        <v>#N/A</v>
      </c>
      <c r="H26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5" s="118" t="str">
        <f ca="1">IF(COUNTIF(I:I,Tableau1[[#This Row],[Plant-ILN-shipper-POL-Carrier-POD-PFI]])=1,"Non","Oui")</f>
        <v>Oui</v>
      </c>
      <c r="K265" s="101" t="e">
        <f>VLOOKUP(Tableau1[[#This Row],[Name Site]],Plant_AILN!A:D,4,FALSE)</f>
        <v>#N/A</v>
      </c>
      <c r="L265" s="451"/>
      <c r="M265" s="480" t="e">
        <f>VLOOKUP(Tableau1[[#This Row],[Name Site]],Plant_AILN!A:C,3,FALSE)</f>
        <v>#N/A</v>
      </c>
      <c r="N265" s="102" t="e">
        <f>VLOOKUP(Tableau1[[#This Row],[Compte Consignee]],Order!C:D,2,FALSE)</f>
        <v>#N/A</v>
      </c>
      <c r="O265" s="124"/>
      <c r="P265" s="484" t="e">
        <f>VLOOKUP(Tableau1[[#This Row],[Name ILN]],Plant_AILN!F:G,2,FALSE)</f>
        <v>#N/A</v>
      </c>
      <c r="Q265" s="79" t="e">
        <f>VLOOKUP(Tableau1[[#This Row],[Compte ILN]],'DATA ILN'!D:I,6,FALSE)</f>
        <v>#N/A</v>
      </c>
      <c r="R265" s="79" t="e">
        <f>IFERROR(VLOOKUP(Tableau1[[#This Row],[Key(Compte ILN - shipper - POL - plant)]],'DATA ILN'!A:J,10,FALSE),VLOOKUP(Tableau1[[#This Row],[Key(Compte ILN - shipper - POL)]],'DATA ILN'!B:J,9,FALSE))</f>
        <v>#N/A</v>
      </c>
      <c r="S265" s="79" t="e">
        <f>IFERROR(VLOOKUP(Tableau1[[#This Row],[Key(Compte ILN - shipper - POL - plant)]],'DATA ILN'!A:K,11,FALSE),VLOOKUP(Tableau1[[#This Row],[Key(Compte ILN - shipper - POL)]],'DATA ILN'!B:K,10,FALSE))</f>
        <v>#N/A</v>
      </c>
      <c r="T265" s="79" t="e">
        <f>IFERROR(VLOOKUP(Tableau1[[#This Row],[Key(Compte ILN - shipper - POL - plant)]],'DATA ILN'!A:L,12,FALSE),VLOOKUP(Tableau1[[#This Row],[Key(Compte ILN - shipper - POL)]],'DATA ILN'!B:L,11,FALSE))</f>
        <v>#N/A</v>
      </c>
      <c r="U265" s="79" t="e">
        <f>Tableau1[[#This Row],[Day ILN Order]]+Tableau1[[#This Row],[Delivery time to ILN/Shipper]]-1</f>
        <v>#N/A</v>
      </c>
      <c r="V265" s="79" t="e">
        <f>IFERROR(VLOOKUP(Tableau1[[#This Row],[Key(Compte ILN - shipper - POL - plant)]],'DATA ILN'!A:N,14,FALSE),VLOOKUP(Tableau1[[#This Row],[Key(Compte ILN - shipper - POL)]],'DATA ILN'!B:N,13,FALSE))</f>
        <v>#N/A</v>
      </c>
      <c r="W265" s="79" t="e">
        <f>IFERROR(VLOOKUP(Tableau1[[#This Row],[Key(Compte ILN - shipper - POL - plant)]],'DATA ILN'!A:P,16,FALSE),VLOOKUP(Tableau1[[#This Row],[Key(Compte ILN - shipper - POL)]],'DATA ILN'!B:P,15,FALSE))</f>
        <v>#N/A</v>
      </c>
      <c r="X265" s="100"/>
      <c r="Y265" s="485">
        <f>IFERROR(VLOOKUP(Tableau1[[#This Row],[Name Shipper]],Plant_AILN!L:M,2,FALSE),0)</f>
        <v>0</v>
      </c>
      <c r="Z265" s="369"/>
      <c r="AA265" s="354" t="e">
        <f ca="1">VLOOKUP(Tableau1[[#This Row],[Key(ID-Actif)]],'DATA BTO'!A:N,5,FALSE)</f>
        <v>#N/A</v>
      </c>
      <c r="AB265" s="106" t="e">
        <f ca="1">VLOOKUP(Tableau1[[#This Row],[Key(ID-Actif)]],'DATA BTO'!A:N,6,FALSE)</f>
        <v>#N/A</v>
      </c>
      <c r="AC265" s="79" t="e">
        <f ca="1">VLOOKUP(Tableau1[[#This Row],[Key(ID-Actif)]],'DATA BTO'!A:N,7,FALSE)</f>
        <v>#N/A</v>
      </c>
      <c r="AD265" s="79" t="e">
        <f ca="1">VLOOKUP(Tableau1[[#This Row],[Key(ID-Actif)]],'DATA BTO'!A:N,8,FALSE)</f>
        <v>#N/A</v>
      </c>
      <c r="AE265" s="79" t="e">
        <f ca="1">IF(Tableau1[[#This Row],[First Day to POL]]&lt;=Tableau1[[#This Row],[Day Cut Off]],Tableau1[[#This Row],[Day ETD]],Tableau1[[#This Row],[Day ETD]]+7)</f>
        <v>#N/A</v>
      </c>
      <c r="AF265" s="79" t="e">
        <f ca="1">VLOOKUP(Tableau1[[#This Row],[Key(ID-Actif)]],'DATA BTO'!A:N,9,FALSE)</f>
        <v>#N/A</v>
      </c>
      <c r="AG265" s="106" t="e">
        <f ca="1">VLOOKUP(Tableau1[[#This Row],[Key(ID-Actif)]],'DATA BTO'!A:N,10,FALSE)</f>
        <v>#N/A</v>
      </c>
      <c r="AH265" s="106" t="e">
        <f ca="1">VLOOKUP(Tableau1[[#This Row],[Key(ID-Actif)]],'DATA BTO'!A:N,11,FALSE)</f>
        <v>#N/A</v>
      </c>
      <c r="AI265" s="79" t="e">
        <f ca="1">VLOOKUP(Tableau1[[#This Row],[Key(ID-Actif)]],'DATA BTO'!A:N,12,FALSE)</f>
        <v>#N/A</v>
      </c>
      <c r="AJ265" s="104" t="e">
        <f ca="1">VLOOKUP(Tableau1[[#This Row],[Key(ID-Actif)]],'DATA BTO'!A:N,14,FALSE)</f>
        <v>#N/A</v>
      </c>
      <c r="AK265" s="105" t="e">
        <f ca="1">VLOOKUP(Tableau1[[#This Row],[Key(POD -PFI- Usine)]],'DATA Consignee'!A:F,6,FALSE)</f>
        <v>#N/A</v>
      </c>
      <c r="AL265" s="100"/>
      <c r="AM265" s="486" t="str">
        <f>IF(Tableau1[[#This Row],[Name PFI/CDD]]="","-",VLOOKUP(Tableau1[[#This Row],[Name PFI/CDD]],Plant_AILN!I:J,2,FALSE))</f>
        <v>-</v>
      </c>
      <c r="AN26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5" s="108" t="e">
        <f ca="1">VLOOKUP(Tableau1[[#This Row],[Key(POD -PFI- Usine)]],'DATA Consignee'!A:J,10,FALSE)</f>
        <v>#N/A</v>
      </c>
      <c r="AQ265" s="79" t="e">
        <f ca="1">VLOOKUP(Tableau1[[#This Row],[Key(POD -PFI- Usine)]],'DATA Consignee'!A:N,14,FALSE)</f>
        <v>#N/A</v>
      </c>
      <c r="AR26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5" s="79" t="e">
        <f ca="1">Tableau1[[#This Row],[Transit time]]+Tableau1[[#This Row],[Time for security]]+Tableau1[[#This Row],[Time for security2 buffer]]</f>
        <v>#N/A</v>
      </c>
      <c r="AU26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5" s="79" t="e">
        <f ca="1">Tableau1[[#This Row],[Leadtime SI2C]]+Tableau1[[#This Row],[First Receipt Days]]-Tableau1[[#This Row],[Day Customer Order]]+1</f>
        <v>#N/A</v>
      </c>
      <c r="AW265" s="118" t="e">
        <f ca="1">IF(Tableau1[[#This Row],[Name ILN]]&lt;&gt;"SFK Freight Forwarder",Tableau1[[#This Row],[Cust. Leadtime]],Tableau1[[#This Row],[Leadtime SI2C]])</f>
        <v>#N/A</v>
      </c>
      <c r="AX265" s="74" t="e">
        <f>VLOOKUP(Tableau1[[#This Row],[ID]],'DATA BTO'!B:P,15,FALSE)</f>
        <v>#N/A</v>
      </c>
      <c r="AY265" s="347" t="e">
        <f ca="1">IFERROR(VLOOKUP(Tableau1[[#This Row],[Key(ID-Actif)]],'DATA BTO'!A:N,4,FALSE),VLOOKUP(Tableau1[[#This Row],[ID]],'DATA BTO'!B:N,3,FALSE))</f>
        <v>#N/A</v>
      </c>
      <c r="AZ265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5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5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5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5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5" s="79"/>
    </row>
    <row r="266" spans="2:57">
      <c r="B266" s="80" t="str">
        <f>_xlfn.CONCAT(Tableau1[[#This Row],[Name ILN]],"-",Tableau1[[#This Row],[Name Shipper]],"-",Tableau1[[#This Row],[Name Site]])</f>
        <v>--</v>
      </c>
      <c r="C266" s="80" t="e">
        <f>_xlfn.CONCAT(Tableau1[[#This Row],[Compte ILN]],"-",Tableau1[[#This Row],[Compte Shipper]],"-",Tableau1[[#This Row],[POL]],"-",Tableau1[[#This Row],[Compte Consignee]])</f>
        <v>#N/A</v>
      </c>
      <c r="D266" s="80" t="e">
        <f>_xlfn.CONCAT(Tableau1[[#This Row],[Compte ILN]],"-",Tableau1[[#This Row],[Compte Shipper]],"-",Tableau1[[#This Row],[POL]])</f>
        <v>#N/A</v>
      </c>
      <c r="E266" s="81" t="e">
        <f ca="1">_xlfn.CONCAT(Tableau1[[#This Row],[POL]],"-",Tableau1[[#This Row],[Carrier]],"-",Tableau1[[#This Row],[POD]])</f>
        <v>#N/A</v>
      </c>
      <c r="F266" s="80" t="str">
        <f>_xlfn.CONCAT(Tableau1[[#This Row],[ID]],"-","Actif")</f>
        <v>-Actif</v>
      </c>
      <c r="G266" s="80" t="e">
        <f ca="1">_xlfn.CONCAT(Tableau1[[#This Row],[POD]],"-",Tableau1[[#This Row],[Code PFI]],"-",Tableau1[[#This Row],[Compte Consignee]])</f>
        <v>#N/A</v>
      </c>
      <c r="H266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6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6" s="118" t="str">
        <f ca="1">IF(COUNTIF(I:I,Tableau1[[#This Row],[Plant-ILN-shipper-POL-Carrier-POD-PFI]])=1,"Non","Oui")</f>
        <v>Oui</v>
      </c>
      <c r="K266" s="101" t="e">
        <f>VLOOKUP(Tableau1[[#This Row],[Name Site]],Plant_AILN!A:D,4,FALSE)</f>
        <v>#N/A</v>
      </c>
      <c r="L266" s="368"/>
      <c r="M266" s="480" t="e">
        <f>VLOOKUP(Tableau1[[#This Row],[Name Site]],Plant_AILN!A:C,3,FALSE)</f>
        <v>#N/A</v>
      </c>
      <c r="N266" s="102" t="e">
        <f>VLOOKUP(Tableau1[[#This Row],[Compte Consignee]],Order!C:D,2,FALSE)</f>
        <v>#N/A</v>
      </c>
      <c r="O266" s="124"/>
      <c r="P266" s="484" t="e">
        <f>VLOOKUP(Tableau1[[#This Row],[Name ILN]],Plant_AILN!F:G,2,FALSE)</f>
        <v>#N/A</v>
      </c>
      <c r="Q266" s="79" t="e">
        <f>VLOOKUP(Tableau1[[#This Row],[Compte ILN]],'DATA ILN'!D:I,6,FALSE)</f>
        <v>#N/A</v>
      </c>
      <c r="R266" s="79" t="e">
        <f>IFERROR(VLOOKUP(Tableau1[[#This Row],[Key(Compte ILN - shipper - POL - plant)]],'DATA ILN'!A:J,10,FALSE),VLOOKUP(Tableau1[[#This Row],[Key(Compte ILN - shipper - POL)]],'DATA ILN'!B:J,9,FALSE))</f>
        <v>#N/A</v>
      </c>
      <c r="S266" s="79" t="e">
        <f>IFERROR(VLOOKUP(Tableau1[[#This Row],[Key(Compte ILN - shipper - POL - plant)]],'DATA ILN'!A:K,11,FALSE),VLOOKUP(Tableau1[[#This Row],[Key(Compte ILN - shipper - POL)]],'DATA ILN'!B:K,10,FALSE))</f>
        <v>#N/A</v>
      </c>
      <c r="T266" s="79" t="e">
        <f>IFERROR(VLOOKUP(Tableau1[[#This Row],[Key(Compte ILN - shipper - POL - plant)]],'DATA ILN'!A:L,12,FALSE),VLOOKUP(Tableau1[[#This Row],[Key(Compte ILN - shipper - POL)]],'DATA ILN'!B:L,11,FALSE))</f>
        <v>#N/A</v>
      </c>
      <c r="U266" s="79" t="e">
        <f>Tableau1[[#This Row],[Day ILN Order]]+Tableau1[[#This Row],[Delivery time to ILN/Shipper]]-1</f>
        <v>#N/A</v>
      </c>
      <c r="V266" s="79" t="e">
        <f>IFERROR(VLOOKUP(Tableau1[[#This Row],[Key(Compte ILN - shipper - POL - plant)]],'DATA ILN'!A:N,14,FALSE),VLOOKUP(Tableau1[[#This Row],[Key(Compte ILN - shipper - POL)]],'DATA ILN'!B:N,13,FALSE))</f>
        <v>#N/A</v>
      </c>
      <c r="W266" s="79" t="e">
        <f>IFERROR(VLOOKUP(Tableau1[[#This Row],[Key(Compte ILN - shipper - POL - plant)]],'DATA ILN'!A:P,16,FALSE),VLOOKUP(Tableau1[[#This Row],[Key(Compte ILN - shipper - POL)]],'DATA ILN'!B:P,15,FALSE))</f>
        <v>#N/A</v>
      </c>
      <c r="X266" s="100"/>
      <c r="Y266" s="485">
        <f>IFERROR(VLOOKUP(Tableau1[[#This Row],[Name Shipper]],Plant_AILN!L:M,2,FALSE),0)</f>
        <v>0</v>
      </c>
      <c r="Z266" s="369"/>
      <c r="AA266" s="354" t="e">
        <f ca="1">VLOOKUP(Tableau1[[#This Row],[Key(ID-Actif)]],'DATA BTO'!A:N,5,FALSE)</f>
        <v>#N/A</v>
      </c>
      <c r="AB266" s="106" t="e">
        <f ca="1">VLOOKUP(Tableau1[[#This Row],[Key(ID-Actif)]],'DATA BTO'!A:N,6,FALSE)</f>
        <v>#N/A</v>
      </c>
      <c r="AC266" s="79" t="e">
        <f ca="1">VLOOKUP(Tableau1[[#This Row],[Key(ID-Actif)]],'DATA BTO'!A:N,7,FALSE)</f>
        <v>#N/A</v>
      </c>
      <c r="AD266" s="79" t="e">
        <f ca="1">VLOOKUP(Tableau1[[#This Row],[Key(ID-Actif)]],'DATA BTO'!A:N,8,FALSE)</f>
        <v>#N/A</v>
      </c>
      <c r="AE266" s="79" t="e">
        <f ca="1">IF(Tableau1[[#This Row],[First Day to POL]]&lt;=Tableau1[[#This Row],[Day Cut Off]],Tableau1[[#This Row],[Day ETD]],Tableau1[[#This Row],[Day ETD]]+7)</f>
        <v>#N/A</v>
      </c>
      <c r="AF266" s="79" t="e">
        <f ca="1">VLOOKUP(Tableau1[[#This Row],[Key(ID-Actif)]],'DATA BTO'!A:N,9,FALSE)</f>
        <v>#N/A</v>
      </c>
      <c r="AG266" s="106" t="e">
        <f ca="1">VLOOKUP(Tableau1[[#This Row],[Key(ID-Actif)]],'DATA BTO'!A:N,10,FALSE)</f>
        <v>#N/A</v>
      </c>
      <c r="AH266" s="106" t="e">
        <f ca="1">VLOOKUP(Tableau1[[#This Row],[Key(ID-Actif)]],'DATA BTO'!A:N,11,FALSE)</f>
        <v>#N/A</v>
      </c>
      <c r="AI266" s="79" t="e">
        <f ca="1">VLOOKUP(Tableau1[[#This Row],[Key(ID-Actif)]],'DATA BTO'!A:N,12,FALSE)</f>
        <v>#N/A</v>
      </c>
      <c r="AJ266" s="104" t="e">
        <f ca="1">VLOOKUP(Tableau1[[#This Row],[Key(ID-Actif)]],'DATA BTO'!A:N,14,FALSE)</f>
        <v>#N/A</v>
      </c>
      <c r="AK266" s="105" t="e">
        <f ca="1">VLOOKUP(Tableau1[[#This Row],[Key(POD -PFI- Usine)]],'DATA Consignee'!A:F,6,FALSE)</f>
        <v>#N/A</v>
      </c>
      <c r="AL266" s="100"/>
      <c r="AM266" s="486" t="str">
        <f>IF(Tableau1[[#This Row],[Name PFI/CDD]]="","-",VLOOKUP(Tableau1[[#This Row],[Name PFI/CDD]],Plant_AILN!I:J,2,FALSE))</f>
        <v>-</v>
      </c>
      <c r="AN266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6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6" s="108" t="e">
        <f ca="1">VLOOKUP(Tableau1[[#This Row],[Key(POD -PFI- Usine)]],'DATA Consignee'!A:J,10,FALSE)</f>
        <v>#N/A</v>
      </c>
      <c r="AQ266" s="79" t="e">
        <f ca="1">VLOOKUP(Tableau1[[#This Row],[Key(POD -PFI- Usine)]],'DATA Consignee'!A:N,14,FALSE)</f>
        <v>#N/A</v>
      </c>
      <c r="AR266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6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6" s="79" t="e">
        <f ca="1">Tableau1[[#This Row],[Transit time]]+Tableau1[[#This Row],[Time for security]]+Tableau1[[#This Row],[Time for security2 buffer]]</f>
        <v>#N/A</v>
      </c>
      <c r="AU266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6" s="79" t="e">
        <f ca="1">Tableau1[[#This Row],[Leadtime SI2C]]+Tableau1[[#This Row],[First Receipt Days]]-Tableau1[[#This Row],[Day Customer Order]]+1</f>
        <v>#N/A</v>
      </c>
      <c r="AW266" s="118" t="e">
        <f ca="1">IF(Tableau1[[#This Row],[Name ILN]]&lt;&gt;"SFK Freight Forwarder",Tableau1[[#This Row],[Cust. Leadtime]],Tableau1[[#This Row],[Leadtime SI2C]])</f>
        <v>#N/A</v>
      </c>
      <c r="AX266" s="74" t="e">
        <f>VLOOKUP(Tableau1[[#This Row],[ID]],'DATA BTO'!B:P,15,FALSE)</f>
        <v>#N/A</v>
      </c>
      <c r="AY266" s="347" t="e">
        <f ca="1">IFERROR(VLOOKUP(Tableau1[[#This Row],[Key(ID-Actif)]],'DATA BTO'!A:N,4,FALSE),VLOOKUP(Tableau1[[#This Row],[ID]],'DATA BTO'!B:N,3,FALSE))</f>
        <v>#N/A</v>
      </c>
      <c r="AZ266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6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6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6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6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6" s="79"/>
    </row>
    <row r="267" spans="2:57">
      <c r="B267" s="80" t="str">
        <f>_xlfn.CONCAT(Tableau1[[#This Row],[Name ILN]],"-",Tableau1[[#This Row],[Name Shipper]],"-",Tableau1[[#This Row],[Name Site]])</f>
        <v>--</v>
      </c>
      <c r="C267" s="80" t="e">
        <f>_xlfn.CONCAT(Tableau1[[#This Row],[Compte ILN]],"-",Tableau1[[#This Row],[Compte Shipper]],"-",Tableau1[[#This Row],[POL]],"-",Tableau1[[#This Row],[Compte Consignee]])</f>
        <v>#N/A</v>
      </c>
      <c r="D267" s="80" t="e">
        <f>_xlfn.CONCAT(Tableau1[[#This Row],[Compte ILN]],"-",Tableau1[[#This Row],[Compte Shipper]],"-",Tableau1[[#This Row],[POL]])</f>
        <v>#N/A</v>
      </c>
      <c r="E267" s="81" t="e">
        <f ca="1">_xlfn.CONCAT(Tableau1[[#This Row],[POL]],"-",Tableau1[[#This Row],[Carrier]],"-",Tableau1[[#This Row],[POD]])</f>
        <v>#N/A</v>
      </c>
      <c r="F267" s="80" t="str">
        <f>_xlfn.CONCAT(Tableau1[[#This Row],[ID]],"-","Actif")</f>
        <v>-Actif</v>
      </c>
      <c r="G267" s="80" t="e">
        <f ca="1">_xlfn.CONCAT(Tableau1[[#This Row],[POD]],"-",Tableau1[[#This Row],[Code PFI]],"-",Tableau1[[#This Row],[Compte Consignee]])</f>
        <v>#N/A</v>
      </c>
      <c r="H267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7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7" s="118" t="str">
        <f ca="1">IF(COUNTIF(I:I,Tableau1[[#This Row],[Plant-ILN-shipper-POL-Carrier-POD-PFI]])=1,"Non","Oui")</f>
        <v>Oui</v>
      </c>
      <c r="K267" s="101" t="e">
        <f>VLOOKUP(Tableau1[[#This Row],[Name Site]],Plant_AILN!A:D,4,FALSE)</f>
        <v>#N/A</v>
      </c>
      <c r="L267" s="451"/>
      <c r="M267" s="480" t="e">
        <f>VLOOKUP(Tableau1[[#This Row],[Name Site]],Plant_AILN!A:C,3,FALSE)</f>
        <v>#N/A</v>
      </c>
      <c r="N267" s="102" t="e">
        <f>VLOOKUP(Tableau1[[#This Row],[Compte Consignee]],Order!C:D,2,FALSE)</f>
        <v>#N/A</v>
      </c>
      <c r="O267" s="124"/>
      <c r="P267" s="484" t="e">
        <f>VLOOKUP(Tableau1[[#This Row],[Name ILN]],Plant_AILN!F:G,2,FALSE)</f>
        <v>#N/A</v>
      </c>
      <c r="Q267" s="79" t="e">
        <f>VLOOKUP(Tableau1[[#This Row],[Compte ILN]],'DATA ILN'!D:I,6,FALSE)</f>
        <v>#N/A</v>
      </c>
      <c r="R267" s="79" t="e">
        <f>IFERROR(VLOOKUP(Tableau1[[#This Row],[Key(Compte ILN - shipper - POL - plant)]],'DATA ILN'!A:J,10,FALSE),VLOOKUP(Tableau1[[#This Row],[Key(Compte ILN - shipper - POL)]],'DATA ILN'!B:J,9,FALSE))</f>
        <v>#N/A</v>
      </c>
      <c r="S267" s="79" t="e">
        <f>IFERROR(VLOOKUP(Tableau1[[#This Row],[Key(Compte ILN - shipper - POL - plant)]],'DATA ILN'!A:K,11,FALSE),VLOOKUP(Tableau1[[#This Row],[Key(Compte ILN - shipper - POL)]],'DATA ILN'!B:K,10,FALSE))</f>
        <v>#N/A</v>
      </c>
      <c r="T267" s="79" t="e">
        <f>IFERROR(VLOOKUP(Tableau1[[#This Row],[Key(Compte ILN - shipper - POL - plant)]],'DATA ILN'!A:L,12,FALSE),VLOOKUP(Tableau1[[#This Row],[Key(Compte ILN - shipper - POL)]],'DATA ILN'!B:L,11,FALSE))</f>
        <v>#N/A</v>
      </c>
      <c r="U267" s="79" t="e">
        <f>Tableau1[[#This Row],[Day ILN Order]]+Tableau1[[#This Row],[Delivery time to ILN/Shipper]]-1</f>
        <v>#N/A</v>
      </c>
      <c r="V267" s="79" t="e">
        <f>IFERROR(VLOOKUP(Tableau1[[#This Row],[Key(Compte ILN - shipper - POL - plant)]],'DATA ILN'!A:N,14,FALSE),VLOOKUP(Tableau1[[#This Row],[Key(Compte ILN - shipper - POL)]],'DATA ILN'!B:N,13,FALSE))</f>
        <v>#N/A</v>
      </c>
      <c r="W267" s="79" t="e">
        <f>IFERROR(VLOOKUP(Tableau1[[#This Row],[Key(Compte ILN - shipper - POL - plant)]],'DATA ILN'!A:P,16,FALSE),VLOOKUP(Tableau1[[#This Row],[Key(Compte ILN - shipper - POL)]],'DATA ILN'!B:P,15,FALSE))</f>
        <v>#N/A</v>
      </c>
      <c r="X267" s="100"/>
      <c r="Y267" s="485">
        <f>IFERROR(VLOOKUP(Tableau1[[#This Row],[Name Shipper]],Plant_AILN!L:M,2,FALSE),0)</f>
        <v>0</v>
      </c>
      <c r="Z267" s="369"/>
      <c r="AA267" s="354" t="e">
        <f ca="1">VLOOKUP(Tableau1[[#This Row],[Key(ID-Actif)]],'DATA BTO'!A:N,5,FALSE)</f>
        <v>#N/A</v>
      </c>
      <c r="AB267" s="106" t="e">
        <f ca="1">VLOOKUP(Tableau1[[#This Row],[Key(ID-Actif)]],'DATA BTO'!A:N,6,FALSE)</f>
        <v>#N/A</v>
      </c>
      <c r="AC267" s="79" t="e">
        <f ca="1">VLOOKUP(Tableau1[[#This Row],[Key(ID-Actif)]],'DATA BTO'!A:N,7,FALSE)</f>
        <v>#N/A</v>
      </c>
      <c r="AD267" s="79" t="e">
        <f ca="1">VLOOKUP(Tableau1[[#This Row],[Key(ID-Actif)]],'DATA BTO'!A:N,8,FALSE)</f>
        <v>#N/A</v>
      </c>
      <c r="AE267" s="79" t="e">
        <f ca="1">IF(Tableau1[[#This Row],[First Day to POL]]&lt;=Tableau1[[#This Row],[Day Cut Off]],Tableau1[[#This Row],[Day ETD]],Tableau1[[#This Row],[Day ETD]]+7)</f>
        <v>#N/A</v>
      </c>
      <c r="AF267" s="79" t="e">
        <f ca="1">VLOOKUP(Tableau1[[#This Row],[Key(ID-Actif)]],'DATA BTO'!A:N,9,FALSE)</f>
        <v>#N/A</v>
      </c>
      <c r="AG267" s="106" t="e">
        <f ca="1">VLOOKUP(Tableau1[[#This Row],[Key(ID-Actif)]],'DATA BTO'!A:N,10,FALSE)</f>
        <v>#N/A</v>
      </c>
      <c r="AH267" s="106" t="e">
        <f ca="1">VLOOKUP(Tableau1[[#This Row],[Key(ID-Actif)]],'DATA BTO'!A:N,11,FALSE)</f>
        <v>#N/A</v>
      </c>
      <c r="AI267" s="79" t="e">
        <f ca="1">VLOOKUP(Tableau1[[#This Row],[Key(ID-Actif)]],'DATA BTO'!A:N,12,FALSE)</f>
        <v>#N/A</v>
      </c>
      <c r="AJ267" s="104" t="e">
        <f ca="1">VLOOKUP(Tableau1[[#This Row],[Key(ID-Actif)]],'DATA BTO'!A:N,14,FALSE)</f>
        <v>#N/A</v>
      </c>
      <c r="AK267" s="105" t="e">
        <f ca="1">VLOOKUP(Tableau1[[#This Row],[Key(POD -PFI- Usine)]],'DATA Consignee'!A:F,6,FALSE)</f>
        <v>#N/A</v>
      </c>
      <c r="AL267" s="100"/>
      <c r="AM267" s="486" t="str">
        <f>IF(Tableau1[[#This Row],[Name PFI/CDD]]="","-",VLOOKUP(Tableau1[[#This Row],[Name PFI/CDD]],Plant_AILN!I:J,2,FALSE))</f>
        <v>-</v>
      </c>
      <c r="AN267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7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7" s="108" t="e">
        <f ca="1">VLOOKUP(Tableau1[[#This Row],[Key(POD -PFI- Usine)]],'DATA Consignee'!A:J,10,FALSE)</f>
        <v>#N/A</v>
      </c>
      <c r="AQ267" s="79" t="e">
        <f ca="1">VLOOKUP(Tableau1[[#This Row],[Key(POD -PFI- Usine)]],'DATA Consignee'!A:N,14,FALSE)</f>
        <v>#N/A</v>
      </c>
      <c r="AR267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7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7" s="79" t="e">
        <f ca="1">Tableau1[[#This Row],[Transit time]]+Tableau1[[#This Row],[Time for security]]+Tableau1[[#This Row],[Time for security2 buffer]]</f>
        <v>#N/A</v>
      </c>
      <c r="AU267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7" s="79" t="e">
        <f ca="1">Tableau1[[#This Row],[Leadtime SI2C]]+Tableau1[[#This Row],[First Receipt Days]]-Tableau1[[#This Row],[Day Customer Order]]+1</f>
        <v>#N/A</v>
      </c>
      <c r="AW267" s="118" t="e">
        <f ca="1">IF(Tableau1[[#This Row],[Name ILN]]&lt;&gt;"SFK Freight Forwarder",Tableau1[[#This Row],[Cust. Leadtime]],Tableau1[[#This Row],[Leadtime SI2C]])</f>
        <v>#N/A</v>
      </c>
      <c r="AX267" s="74" t="e">
        <f>VLOOKUP(Tableau1[[#This Row],[ID]],'DATA BTO'!B:P,15,FALSE)</f>
        <v>#N/A</v>
      </c>
      <c r="AY267" s="347" t="e">
        <f ca="1">IFERROR(VLOOKUP(Tableau1[[#This Row],[Key(ID-Actif)]],'DATA BTO'!A:N,4,FALSE),VLOOKUP(Tableau1[[#This Row],[ID]],'DATA BTO'!B:N,3,FALSE))</f>
        <v>#N/A</v>
      </c>
      <c r="AZ267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7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7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7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7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7" s="79"/>
    </row>
    <row r="268" spans="2:57">
      <c r="B268" s="80" t="str">
        <f>_xlfn.CONCAT(Tableau1[[#This Row],[Name ILN]],"-",Tableau1[[#This Row],[Name Shipper]],"-",Tableau1[[#This Row],[Name Site]])</f>
        <v>--</v>
      </c>
      <c r="C268" s="80" t="e">
        <f>_xlfn.CONCAT(Tableau1[[#This Row],[Compte ILN]],"-",Tableau1[[#This Row],[Compte Shipper]],"-",Tableau1[[#This Row],[POL]],"-",Tableau1[[#This Row],[Compte Consignee]])</f>
        <v>#N/A</v>
      </c>
      <c r="D268" s="80" t="e">
        <f>_xlfn.CONCAT(Tableau1[[#This Row],[Compte ILN]],"-",Tableau1[[#This Row],[Compte Shipper]],"-",Tableau1[[#This Row],[POL]])</f>
        <v>#N/A</v>
      </c>
      <c r="E268" s="81" t="e">
        <f ca="1">_xlfn.CONCAT(Tableau1[[#This Row],[POL]],"-",Tableau1[[#This Row],[Carrier]],"-",Tableau1[[#This Row],[POD]])</f>
        <v>#N/A</v>
      </c>
      <c r="F268" s="80" t="str">
        <f>_xlfn.CONCAT(Tableau1[[#This Row],[ID]],"-","Actif")</f>
        <v>-Actif</v>
      </c>
      <c r="G268" s="80" t="e">
        <f ca="1">_xlfn.CONCAT(Tableau1[[#This Row],[POD]],"-",Tableau1[[#This Row],[Code PFI]],"-",Tableau1[[#This Row],[Compte Consignee]])</f>
        <v>#N/A</v>
      </c>
      <c r="H268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8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8" s="118" t="str">
        <f ca="1">IF(COUNTIF(I:I,Tableau1[[#This Row],[Plant-ILN-shipper-POL-Carrier-POD-PFI]])=1,"Non","Oui")</f>
        <v>Oui</v>
      </c>
      <c r="K268" s="101" t="e">
        <f>VLOOKUP(Tableau1[[#This Row],[Name Site]],Plant_AILN!A:D,4,FALSE)</f>
        <v>#N/A</v>
      </c>
      <c r="L268" s="451"/>
      <c r="M268" s="480" t="e">
        <f>VLOOKUP(Tableau1[[#This Row],[Name Site]],Plant_AILN!A:C,3,FALSE)</f>
        <v>#N/A</v>
      </c>
      <c r="N268" s="102" t="e">
        <f>VLOOKUP(Tableau1[[#This Row],[Compte Consignee]],Order!C:D,2,FALSE)</f>
        <v>#N/A</v>
      </c>
      <c r="O268" s="124"/>
      <c r="P268" s="484" t="e">
        <f>VLOOKUP(Tableau1[[#This Row],[Name ILN]],Plant_AILN!F:G,2,FALSE)</f>
        <v>#N/A</v>
      </c>
      <c r="Q268" s="79" t="e">
        <f>VLOOKUP(Tableau1[[#This Row],[Compte ILN]],'DATA ILN'!D:I,6,FALSE)</f>
        <v>#N/A</v>
      </c>
      <c r="R268" s="79" t="e">
        <f>IFERROR(VLOOKUP(Tableau1[[#This Row],[Key(Compte ILN - shipper - POL - plant)]],'DATA ILN'!A:J,10,FALSE),VLOOKUP(Tableau1[[#This Row],[Key(Compte ILN - shipper - POL)]],'DATA ILN'!B:J,9,FALSE))</f>
        <v>#N/A</v>
      </c>
      <c r="S268" s="79" t="e">
        <f>IFERROR(VLOOKUP(Tableau1[[#This Row],[Key(Compte ILN - shipper - POL - plant)]],'DATA ILN'!A:K,11,FALSE),VLOOKUP(Tableau1[[#This Row],[Key(Compte ILN - shipper - POL)]],'DATA ILN'!B:K,10,FALSE))</f>
        <v>#N/A</v>
      </c>
      <c r="T268" s="79" t="e">
        <f>IFERROR(VLOOKUP(Tableau1[[#This Row],[Key(Compte ILN - shipper - POL - plant)]],'DATA ILN'!A:L,12,FALSE),VLOOKUP(Tableau1[[#This Row],[Key(Compte ILN - shipper - POL)]],'DATA ILN'!B:L,11,FALSE))</f>
        <v>#N/A</v>
      </c>
      <c r="U268" s="79" t="e">
        <f>Tableau1[[#This Row],[Day ILN Order]]+Tableau1[[#This Row],[Delivery time to ILN/Shipper]]-1</f>
        <v>#N/A</v>
      </c>
      <c r="V268" s="79" t="e">
        <f>IFERROR(VLOOKUP(Tableau1[[#This Row],[Key(Compte ILN - shipper - POL - plant)]],'DATA ILN'!A:N,14,FALSE),VLOOKUP(Tableau1[[#This Row],[Key(Compte ILN - shipper - POL)]],'DATA ILN'!B:N,13,FALSE))</f>
        <v>#N/A</v>
      </c>
      <c r="W268" s="79" t="e">
        <f>IFERROR(VLOOKUP(Tableau1[[#This Row],[Key(Compte ILN - shipper - POL - plant)]],'DATA ILN'!A:P,16,FALSE),VLOOKUP(Tableau1[[#This Row],[Key(Compte ILN - shipper - POL)]],'DATA ILN'!B:P,15,FALSE))</f>
        <v>#N/A</v>
      </c>
      <c r="X268" s="100"/>
      <c r="Y268" s="485">
        <f>IFERROR(VLOOKUP(Tableau1[[#This Row],[Name Shipper]],Plant_AILN!L:M,2,FALSE),0)</f>
        <v>0</v>
      </c>
      <c r="Z268" s="369"/>
      <c r="AA268" s="354" t="e">
        <f ca="1">VLOOKUP(Tableau1[[#This Row],[Key(ID-Actif)]],'DATA BTO'!A:N,5,FALSE)</f>
        <v>#N/A</v>
      </c>
      <c r="AB268" s="106" t="e">
        <f ca="1">VLOOKUP(Tableau1[[#This Row],[Key(ID-Actif)]],'DATA BTO'!A:N,6,FALSE)</f>
        <v>#N/A</v>
      </c>
      <c r="AC268" s="79" t="e">
        <f ca="1">VLOOKUP(Tableau1[[#This Row],[Key(ID-Actif)]],'DATA BTO'!A:N,7,FALSE)</f>
        <v>#N/A</v>
      </c>
      <c r="AD268" s="79" t="e">
        <f ca="1">VLOOKUP(Tableau1[[#This Row],[Key(ID-Actif)]],'DATA BTO'!A:N,8,FALSE)</f>
        <v>#N/A</v>
      </c>
      <c r="AE268" s="79" t="e">
        <f ca="1">IF(Tableau1[[#This Row],[First Day to POL]]&lt;=Tableau1[[#This Row],[Day Cut Off]],Tableau1[[#This Row],[Day ETD]],Tableau1[[#This Row],[Day ETD]]+7)</f>
        <v>#N/A</v>
      </c>
      <c r="AF268" s="79" t="e">
        <f ca="1">VLOOKUP(Tableau1[[#This Row],[Key(ID-Actif)]],'DATA BTO'!A:N,9,FALSE)</f>
        <v>#N/A</v>
      </c>
      <c r="AG268" s="106" t="e">
        <f ca="1">VLOOKUP(Tableau1[[#This Row],[Key(ID-Actif)]],'DATA BTO'!A:N,10,FALSE)</f>
        <v>#N/A</v>
      </c>
      <c r="AH268" s="106" t="e">
        <f ca="1">VLOOKUP(Tableau1[[#This Row],[Key(ID-Actif)]],'DATA BTO'!A:N,11,FALSE)</f>
        <v>#N/A</v>
      </c>
      <c r="AI268" s="79" t="e">
        <f ca="1">VLOOKUP(Tableau1[[#This Row],[Key(ID-Actif)]],'DATA BTO'!A:N,12,FALSE)</f>
        <v>#N/A</v>
      </c>
      <c r="AJ268" s="104" t="e">
        <f ca="1">VLOOKUP(Tableau1[[#This Row],[Key(ID-Actif)]],'DATA BTO'!A:N,14,FALSE)</f>
        <v>#N/A</v>
      </c>
      <c r="AK268" s="105" t="e">
        <f ca="1">VLOOKUP(Tableau1[[#This Row],[Key(POD -PFI- Usine)]],'DATA Consignee'!A:F,6,FALSE)</f>
        <v>#N/A</v>
      </c>
      <c r="AL268" s="100"/>
      <c r="AM268" s="486" t="str">
        <f>IF(Tableau1[[#This Row],[Name PFI/CDD]]="","-",VLOOKUP(Tableau1[[#This Row],[Name PFI/CDD]],Plant_AILN!I:J,2,FALSE))</f>
        <v>-</v>
      </c>
      <c r="AN268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8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8" s="108" t="e">
        <f ca="1">VLOOKUP(Tableau1[[#This Row],[Key(POD -PFI- Usine)]],'DATA Consignee'!A:J,10,FALSE)</f>
        <v>#N/A</v>
      </c>
      <c r="AQ268" s="79" t="e">
        <f ca="1">VLOOKUP(Tableau1[[#This Row],[Key(POD -PFI- Usine)]],'DATA Consignee'!A:N,14,FALSE)</f>
        <v>#N/A</v>
      </c>
      <c r="AR268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8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8" s="79" t="e">
        <f ca="1">Tableau1[[#This Row],[Transit time]]+Tableau1[[#This Row],[Time for security]]+Tableau1[[#This Row],[Time for security2 buffer]]</f>
        <v>#N/A</v>
      </c>
      <c r="AU268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8" s="79" t="e">
        <f ca="1">Tableau1[[#This Row],[Leadtime SI2C]]+Tableau1[[#This Row],[First Receipt Days]]-Tableau1[[#This Row],[Day Customer Order]]+1</f>
        <v>#N/A</v>
      </c>
      <c r="AW268" s="118" t="e">
        <f ca="1">IF(Tableau1[[#This Row],[Name ILN]]&lt;&gt;"SFK Freight Forwarder",Tableau1[[#This Row],[Cust. Leadtime]],Tableau1[[#This Row],[Leadtime SI2C]])</f>
        <v>#N/A</v>
      </c>
      <c r="AX268" s="74" t="e">
        <f>VLOOKUP(Tableau1[[#This Row],[ID]],'DATA BTO'!B:P,15,FALSE)</f>
        <v>#N/A</v>
      </c>
      <c r="AY268" s="347" t="e">
        <f ca="1">IFERROR(VLOOKUP(Tableau1[[#This Row],[Key(ID-Actif)]],'DATA BTO'!A:N,4,FALSE),VLOOKUP(Tableau1[[#This Row],[ID]],'DATA BTO'!B:N,3,FALSE))</f>
        <v>#N/A</v>
      </c>
      <c r="AZ268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8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8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8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8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8" s="79"/>
    </row>
    <row r="269" spans="2:57">
      <c r="B269" s="80" t="str">
        <f>_xlfn.CONCAT(Tableau1[[#This Row],[Name ILN]],"-",Tableau1[[#This Row],[Name Shipper]],"-",Tableau1[[#This Row],[Name Site]])</f>
        <v>--</v>
      </c>
      <c r="C269" s="80" t="e">
        <f>_xlfn.CONCAT(Tableau1[[#This Row],[Compte ILN]],"-",Tableau1[[#This Row],[Compte Shipper]],"-",Tableau1[[#This Row],[POL]],"-",Tableau1[[#This Row],[Compte Consignee]])</f>
        <v>#N/A</v>
      </c>
      <c r="D269" s="80" t="e">
        <f>_xlfn.CONCAT(Tableau1[[#This Row],[Compte ILN]],"-",Tableau1[[#This Row],[Compte Shipper]],"-",Tableau1[[#This Row],[POL]])</f>
        <v>#N/A</v>
      </c>
      <c r="E269" s="81" t="e">
        <f ca="1">_xlfn.CONCAT(Tableau1[[#This Row],[POL]],"-",Tableau1[[#This Row],[Carrier]],"-",Tableau1[[#This Row],[POD]])</f>
        <v>#N/A</v>
      </c>
      <c r="F269" s="80" t="str">
        <f>_xlfn.CONCAT(Tableau1[[#This Row],[ID]],"-","Actif")</f>
        <v>-Actif</v>
      </c>
      <c r="G269" s="80" t="e">
        <f ca="1">_xlfn.CONCAT(Tableau1[[#This Row],[POD]],"-",Tableau1[[#This Row],[Code PFI]],"-",Tableau1[[#This Row],[Compte Consignee]])</f>
        <v>#N/A</v>
      </c>
      <c r="H269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69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69" s="118" t="str">
        <f ca="1">IF(COUNTIF(I:I,Tableau1[[#This Row],[Plant-ILN-shipper-POL-Carrier-POD-PFI]])=1,"Non","Oui")</f>
        <v>Oui</v>
      </c>
      <c r="K269" s="101" t="e">
        <f>VLOOKUP(Tableau1[[#This Row],[Name Site]],Plant_AILN!A:D,4,FALSE)</f>
        <v>#N/A</v>
      </c>
      <c r="L269" s="451"/>
      <c r="M269" s="480" t="e">
        <f>VLOOKUP(Tableau1[[#This Row],[Name Site]],Plant_AILN!A:C,3,FALSE)</f>
        <v>#N/A</v>
      </c>
      <c r="N269" s="102" t="e">
        <f>VLOOKUP(Tableau1[[#This Row],[Compte Consignee]],Order!C:D,2,FALSE)</f>
        <v>#N/A</v>
      </c>
      <c r="O269" s="124"/>
      <c r="P269" s="484" t="e">
        <f>VLOOKUP(Tableau1[[#This Row],[Name ILN]],Plant_AILN!F:G,2,FALSE)</f>
        <v>#N/A</v>
      </c>
      <c r="Q269" s="79" t="e">
        <f>VLOOKUP(Tableau1[[#This Row],[Compte ILN]],'DATA ILN'!D:I,6,FALSE)</f>
        <v>#N/A</v>
      </c>
      <c r="R269" s="79" t="e">
        <f>IFERROR(VLOOKUP(Tableau1[[#This Row],[Key(Compte ILN - shipper - POL - plant)]],'DATA ILN'!A:J,10,FALSE),VLOOKUP(Tableau1[[#This Row],[Key(Compte ILN - shipper - POL)]],'DATA ILN'!B:J,9,FALSE))</f>
        <v>#N/A</v>
      </c>
      <c r="S269" s="79" t="e">
        <f>IFERROR(VLOOKUP(Tableau1[[#This Row],[Key(Compte ILN - shipper - POL - plant)]],'DATA ILN'!A:K,11,FALSE),VLOOKUP(Tableau1[[#This Row],[Key(Compte ILN - shipper - POL)]],'DATA ILN'!B:K,10,FALSE))</f>
        <v>#N/A</v>
      </c>
      <c r="T269" s="79" t="e">
        <f>IFERROR(VLOOKUP(Tableau1[[#This Row],[Key(Compte ILN - shipper - POL - plant)]],'DATA ILN'!A:L,12,FALSE),VLOOKUP(Tableau1[[#This Row],[Key(Compte ILN - shipper - POL)]],'DATA ILN'!B:L,11,FALSE))</f>
        <v>#N/A</v>
      </c>
      <c r="U269" s="79" t="e">
        <f>Tableau1[[#This Row],[Day ILN Order]]+Tableau1[[#This Row],[Delivery time to ILN/Shipper]]-1</f>
        <v>#N/A</v>
      </c>
      <c r="V269" s="79" t="e">
        <f>IFERROR(VLOOKUP(Tableau1[[#This Row],[Key(Compte ILN - shipper - POL - plant)]],'DATA ILN'!A:N,14,FALSE),VLOOKUP(Tableau1[[#This Row],[Key(Compte ILN - shipper - POL)]],'DATA ILN'!B:N,13,FALSE))</f>
        <v>#N/A</v>
      </c>
      <c r="W269" s="79" t="e">
        <f>IFERROR(VLOOKUP(Tableau1[[#This Row],[Key(Compte ILN - shipper - POL - plant)]],'DATA ILN'!A:P,16,FALSE),VLOOKUP(Tableau1[[#This Row],[Key(Compte ILN - shipper - POL)]],'DATA ILN'!B:P,15,FALSE))</f>
        <v>#N/A</v>
      </c>
      <c r="X269" s="100"/>
      <c r="Y269" s="485">
        <f>IFERROR(VLOOKUP(Tableau1[[#This Row],[Name Shipper]],Plant_AILN!L:M,2,FALSE),0)</f>
        <v>0</v>
      </c>
      <c r="Z269" s="369"/>
      <c r="AA269" s="354" t="e">
        <f ca="1">VLOOKUP(Tableau1[[#This Row],[Key(ID-Actif)]],'DATA BTO'!A:N,5,FALSE)</f>
        <v>#N/A</v>
      </c>
      <c r="AB269" s="106" t="e">
        <f ca="1">VLOOKUP(Tableau1[[#This Row],[Key(ID-Actif)]],'DATA BTO'!A:N,6,FALSE)</f>
        <v>#N/A</v>
      </c>
      <c r="AC269" s="79" t="e">
        <f ca="1">VLOOKUP(Tableau1[[#This Row],[Key(ID-Actif)]],'DATA BTO'!A:N,7,FALSE)</f>
        <v>#N/A</v>
      </c>
      <c r="AD269" s="79" t="e">
        <f ca="1">VLOOKUP(Tableau1[[#This Row],[Key(ID-Actif)]],'DATA BTO'!A:N,8,FALSE)</f>
        <v>#N/A</v>
      </c>
      <c r="AE269" s="79" t="e">
        <f ca="1">IF(Tableau1[[#This Row],[First Day to POL]]&lt;=Tableau1[[#This Row],[Day Cut Off]],Tableau1[[#This Row],[Day ETD]],Tableau1[[#This Row],[Day ETD]]+7)</f>
        <v>#N/A</v>
      </c>
      <c r="AF269" s="79" t="e">
        <f ca="1">VLOOKUP(Tableau1[[#This Row],[Key(ID-Actif)]],'DATA BTO'!A:N,9,FALSE)</f>
        <v>#N/A</v>
      </c>
      <c r="AG269" s="106" t="e">
        <f ca="1">VLOOKUP(Tableau1[[#This Row],[Key(ID-Actif)]],'DATA BTO'!A:N,10,FALSE)</f>
        <v>#N/A</v>
      </c>
      <c r="AH269" s="106" t="e">
        <f ca="1">VLOOKUP(Tableau1[[#This Row],[Key(ID-Actif)]],'DATA BTO'!A:N,11,FALSE)</f>
        <v>#N/A</v>
      </c>
      <c r="AI269" s="79" t="e">
        <f ca="1">VLOOKUP(Tableau1[[#This Row],[Key(ID-Actif)]],'DATA BTO'!A:N,12,FALSE)</f>
        <v>#N/A</v>
      </c>
      <c r="AJ269" s="104" t="e">
        <f ca="1">VLOOKUP(Tableau1[[#This Row],[Key(ID-Actif)]],'DATA BTO'!A:N,14,FALSE)</f>
        <v>#N/A</v>
      </c>
      <c r="AK269" s="105" t="e">
        <f ca="1">VLOOKUP(Tableau1[[#This Row],[Key(POD -PFI- Usine)]],'DATA Consignee'!A:F,6,FALSE)</f>
        <v>#N/A</v>
      </c>
      <c r="AL269" s="100"/>
      <c r="AM269" s="486" t="str">
        <f>IF(Tableau1[[#This Row],[Name PFI/CDD]]="","-",VLOOKUP(Tableau1[[#This Row],[Name PFI/CDD]],Plant_AILN!I:J,2,FALSE))</f>
        <v>-</v>
      </c>
      <c r="AN269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69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69" s="108" t="e">
        <f ca="1">VLOOKUP(Tableau1[[#This Row],[Key(POD -PFI- Usine)]],'DATA Consignee'!A:J,10,FALSE)</f>
        <v>#N/A</v>
      </c>
      <c r="AQ269" s="79" t="e">
        <f ca="1">VLOOKUP(Tableau1[[#This Row],[Key(POD -PFI- Usine)]],'DATA Consignee'!A:N,14,FALSE)</f>
        <v>#N/A</v>
      </c>
      <c r="AR269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69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69" s="79" t="e">
        <f ca="1">Tableau1[[#This Row],[Transit time]]+Tableau1[[#This Row],[Time for security]]+Tableau1[[#This Row],[Time for security2 buffer]]</f>
        <v>#N/A</v>
      </c>
      <c r="AU269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69" s="79" t="e">
        <f ca="1">Tableau1[[#This Row],[Leadtime SI2C]]+Tableau1[[#This Row],[First Receipt Days]]-Tableau1[[#This Row],[Day Customer Order]]+1</f>
        <v>#N/A</v>
      </c>
      <c r="AW269" s="118" t="e">
        <f ca="1">IF(Tableau1[[#This Row],[Name ILN]]&lt;&gt;"SFK Freight Forwarder",Tableau1[[#This Row],[Cust. Leadtime]],Tableau1[[#This Row],[Leadtime SI2C]])</f>
        <v>#N/A</v>
      </c>
      <c r="AX269" s="74" t="e">
        <f>VLOOKUP(Tableau1[[#This Row],[ID]],'DATA BTO'!B:P,15,FALSE)</f>
        <v>#N/A</v>
      </c>
      <c r="AY269" s="347" t="e">
        <f ca="1">IFERROR(VLOOKUP(Tableau1[[#This Row],[Key(ID-Actif)]],'DATA BTO'!A:N,4,FALSE),VLOOKUP(Tableau1[[#This Row],[ID]],'DATA BTO'!B:N,3,FALSE))</f>
        <v>#N/A</v>
      </c>
      <c r="AZ269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69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9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69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9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9" s="79"/>
    </row>
    <row r="270" spans="2:57">
      <c r="B270" s="80" t="str">
        <f>_xlfn.CONCAT(Tableau1[[#This Row],[Name ILN]],"-",Tableau1[[#This Row],[Name Shipper]],"-",Tableau1[[#This Row],[Name Site]])</f>
        <v>--</v>
      </c>
      <c r="C270" s="80" t="e">
        <f>_xlfn.CONCAT(Tableau1[[#This Row],[Compte ILN]],"-",Tableau1[[#This Row],[Compte Shipper]],"-",Tableau1[[#This Row],[POL]],"-",Tableau1[[#This Row],[Compte Consignee]])</f>
        <v>#N/A</v>
      </c>
      <c r="D270" s="80" t="e">
        <f>_xlfn.CONCAT(Tableau1[[#This Row],[Compte ILN]],"-",Tableau1[[#This Row],[Compte Shipper]],"-",Tableau1[[#This Row],[POL]])</f>
        <v>#N/A</v>
      </c>
      <c r="E270" s="81" t="e">
        <f ca="1">_xlfn.CONCAT(Tableau1[[#This Row],[POL]],"-",Tableau1[[#This Row],[Carrier]],"-",Tableau1[[#This Row],[POD]])</f>
        <v>#N/A</v>
      </c>
      <c r="F270" s="80" t="str">
        <f>_xlfn.CONCAT(Tableau1[[#This Row],[ID]],"-","Actif")</f>
        <v>-Actif</v>
      </c>
      <c r="G270" s="80" t="e">
        <f ca="1">_xlfn.CONCAT(Tableau1[[#This Row],[POD]],"-",Tableau1[[#This Row],[Code PFI]],"-",Tableau1[[#This Row],[Compte Consignee]])</f>
        <v>#N/A</v>
      </c>
      <c r="H270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0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0" s="118" t="str">
        <f ca="1">IF(COUNTIF(I:I,Tableau1[[#This Row],[Plant-ILN-shipper-POL-Carrier-POD-PFI]])=1,"Non","Oui")</f>
        <v>Oui</v>
      </c>
      <c r="K270" s="101" t="e">
        <f>VLOOKUP(Tableau1[[#This Row],[Name Site]],Plant_AILN!A:D,4,FALSE)</f>
        <v>#N/A</v>
      </c>
      <c r="L270" s="451"/>
      <c r="M270" s="480" t="e">
        <f>VLOOKUP(Tableau1[[#This Row],[Name Site]],Plant_AILN!A:C,3,FALSE)</f>
        <v>#N/A</v>
      </c>
      <c r="N270" s="102" t="e">
        <f>VLOOKUP(Tableau1[[#This Row],[Compte Consignee]],Order!C:D,2,FALSE)</f>
        <v>#N/A</v>
      </c>
      <c r="O270" s="124"/>
      <c r="P270" s="484" t="e">
        <f>VLOOKUP(Tableau1[[#This Row],[Name ILN]],Plant_AILN!F:G,2,FALSE)</f>
        <v>#N/A</v>
      </c>
      <c r="Q270" s="79" t="e">
        <f>VLOOKUP(Tableau1[[#This Row],[Compte ILN]],'DATA ILN'!D:I,6,FALSE)</f>
        <v>#N/A</v>
      </c>
      <c r="R270" s="79" t="e">
        <f>IFERROR(VLOOKUP(Tableau1[[#This Row],[Key(Compte ILN - shipper - POL - plant)]],'DATA ILN'!A:J,10,FALSE),VLOOKUP(Tableau1[[#This Row],[Key(Compte ILN - shipper - POL)]],'DATA ILN'!B:J,9,FALSE))</f>
        <v>#N/A</v>
      </c>
      <c r="S270" s="79" t="e">
        <f>IFERROR(VLOOKUP(Tableau1[[#This Row],[Key(Compte ILN - shipper - POL - plant)]],'DATA ILN'!A:K,11,FALSE),VLOOKUP(Tableau1[[#This Row],[Key(Compte ILN - shipper - POL)]],'DATA ILN'!B:K,10,FALSE))</f>
        <v>#N/A</v>
      </c>
      <c r="T270" s="79" t="e">
        <f>IFERROR(VLOOKUP(Tableau1[[#This Row],[Key(Compte ILN - shipper - POL - plant)]],'DATA ILN'!A:L,12,FALSE),VLOOKUP(Tableau1[[#This Row],[Key(Compte ILN - shipper - POL)]],'DATA ILN'!B:L,11,FALSE))</f>
        <v>#N/A</v>
      </c>
      <c r="U270" s="79" t="e">
        <f>Tableau1[[#This Row],[Day ILN Order]]+Tableau1[[#This Row],[Delivery time to ILN/Shipper]]-1</f>
        <v>#N/A</v>
      </c>
      <c r="V270" s="79" t="e">
        <f>IFERROR(VLOOKUP(Tableau1[[#This Row],[Key(Compte ILN - shipper - POL - plant)]],'DATA ILN'!A:N,14,FALSE),VLOOKUP(Tableau1[[#This Row],[Key(Compte ILN - shipper - POL)]],'DATA ILN'!B:N,13,FALSE))</f>
        <v>#N/A</v>
      </c>
      <c r="W270" s="79" t="e">
        <f>IFERROR(VLOOKUP(Tableau1[[#This Row],[Key(Compte ILN - shipper - POL - plant)]],'DATA ILN'!A:P,16,FALSE),VLOOKUP(Tableau1[[#This Row],[Key(Compte ILN - shipper - POL)]],'DATA ILN'!B:P,15,FALSE))</f>
        <v>#N/A</v>
      </c>
      <c r="X270" s="283"/>
      <c r="Y270" s="485">
        <f>IFERROR(VLOOKUP(Tableau1[[#This Row],[Name Shipper]],Plant_AILN!L:M,2,FALSE),0)</f>
        <v>0</v>
      </c>
      <c r="Z270" s="369"/>
      <c r="AA270" s="354" t="e">
        <f ca="1">VLOOKUP(Tableau1[[#This Row],[Key(ID-Actif)]],'DATA BTO'!A:N,5,FALSE)</f>
        <v>#N/A</v>
      </c>
      <c r="AB270" s="106" t="e">
        <f ca="1">VLOOKUP(Tableau1[[#This Row],[Key(ID-Actif)]],'DATA BTO'!A:N,6,FALSE)</f>
        <v>#N/A</v>
      </c>
      <c r="AC270" s="79" t="e">
        <f ca="1">VLOOKUP(Tableau1[[#This Row],[Key(ID-Actif)]],'DATA BTO'!A:N,7,FALSE)</f>
        <v>#N/A</v>
      </c>
      <c r="AD270" s="79" t="e">
        <f ca="1">VLOOKUP(Tableau1[[#This Row],[Key(ID-Actif)]],'DATA BTO'!A:N,8,FALSE)</f>
        <v>#N/A</v>
      </c>
      <c r="AE270" s="79" t="e">
        <f ca="1">IF(Tableau1[[#This Row],[First Day to POL]]&lt;=Tableau1[[#This Row],[Day Cut Off]],Tableau1[[#This Row],[Day ETD]],Tableau1[[#This Row],[Day ETD]]+7)</f>
        <v>#N/A</v>
      </c>
      <c r="AF270" s="79" t="e">
        <f ca="1">VLOOKUP(Tableau1[[#This Row],[Key(ID-Actif)]],'DATA BTO'!A:N,9,FALSE)</f>
        <v>#N/A</v>
      </c>
      <c r="AG270" s="106" t="e">
        <f ca="1">VLOOKUP(Tableau1[[#This Row],[Key(ID-Actif)]],'DATA BTO'!A:N,10,FALSE)</f>
        <v>#N/A</v>
      </c>
      <c r="AH270" s="106" t="e">
        <f ca="1">VLOOKUP(Tableau1[[#This Row],[Key(ID-Actif)]],'DATA BTO'!A:N,11,FALSE)</f>
        <v>#N/A</v>
      </c>
      <c r="AI270" s="79" t="e">
        <f ca="1">VLOOKUP(Tableau1[[#This Row],[Key(ID-Actif)]],'DATA BTO'!A:N,12,FALSE)</f>
        <v>#N/A</v>
      </c>
      <c r="AJ270" s="104" t="e">
        <f ca="1">VLOOKUP(Tableau1[[#This Row],[Key(ID-Actif)]],'DATA BTO'!A:N,14,FALSE)</f>
        <v>#N/A</v>
      </c>
      <c r="AK270" s="105" t="e">
        <f ca="1">VLOOKUP(Tableau1[[#This Row],[Key(POD -PFI- Usine)]],'DATA Consignee'!A:F,6,FALSE)</f>
        <v>#N/A</v>
      </c>
      <c r="AL270" s="100"/>
      <c r="AM270" s="486" t="str">
        <f>IF(Tableau1[[#This Row],[Name PFI/CDD]]="","-",VLOOKUP(Tableau1[[#This Row],[Name PFI/CDD]],Plant_AILN!I:J,2,FALSE))</f>
        <v>-</v>
      </c>
      <c r="AN270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0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0" s="108" t="e">
        <f ca="1">VLOOKUP(Tableau1[[#This Row],[Key(POD -PFI- Usine)]],'DATA Consignee'!A:J,10,FALSE)</f>
        <v>#N/A</v>
      </c>
      <c r="AQ270" s="79" t="e">
        <f ca="1">VLOOKUP(Tableau1[[#This Row],[Key(POD -PFI- Usine)]],'DATA Consignee'!A:N,14,FALSE)</f>
        <v>#N/A</v>
      </c>
      <c r="AR270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0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0" s="79" t="e">
        <f ca="1">Tableau1[[#This Row],[Transit time]]+Tableau1[[#This Row],[Time for security]]+Tableau1[[#This Row],[Time for security2 buffer]]</f>
        <v>#N/A</v>
      </c>
      <c r="AU270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0" s="79" t="e">
        <f ca="1">Tableau1[[#This Row],[Leadtime SI2C]]+Tableau1[[#This Row],[First Receipt Days]]-Tableau1[[#This Row],[Day Customer Order]]+1</f>
        <v>#N/A</v>
      </c>
      <c r="AW270" s="118" t="e">
        <f ca="1">IF(Tableau1[[#This Row],[Name ILN]]&lt;&gt;"SFK Freight Forwarder",Tableau1[[#This Row],[Cust. Leadtime]],Tableau1[[#This Row],[Leadtime SI2C]])</f>
        <v>#N/A</v>
      </c>
      <c r="AX270" s="74" t="e">
        <f>VLOOKUP(Tableau1[[#This Row],[ID]],'DATA BTO'!B:P,15,FALSE)</f>
        <v>#N/A</v>
      </c>
      <c r="AY270" s="347" t="e">
        <f ca="1">IFERROR(VLOOKUP(Tableau1[[#This Row],[Key(ID-Actif)]],'DATA BTO'!A:N,4,FALSE),VLOOKUP(Tableau1[[#This Row],[ID]],'DATA BTO'!B:N,3,FALSE))</f>
        <v>#N/A</v>
      </c>
      <c r="AZ270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0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0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0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0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0" s="79"/>
    </row>
    <row r="271" spans="2:57">
      <c r="B271" s="80" t="str">
        <f>_xlfn.CONCAT(Tableau1[[#This Row],[Name ILN]],"-",Tableau1[[#This Row],[Name Shipper]],"-",Tableau1[[#This Row],[Name Site]])</f>
        <v>--</v>
      </c>
      <c r="C271" s="80" t="e">
        <f>_xlfn.CONCAT(Tableau1[[#This Row],[Compte ILN]],"-",Tableau1[[#This Row],[Compte Shipper]],"-",Tableau1[[#This Row],[POL]],"-",Tableau1[[#This Row],[Compte Consignee]])</f>
        <v>#N/A</v>
      </c>
      <c r="D271" s="80" t="e">
        <f>_xlfn.CONCAT(Tableau1[[#This Row],[Compte ILN]],"-",Tableau1[[#This Row],[Compte Shipper]],"-",Tableau1[[#This Row],[POL]])</f>
        <v>#N/A</v>
      </c>
      <c r="E271" s="81" t="e">
        <f ca="1">_xlfn.CONCAT(Tableau1[[#This Row],[POL]],"-",Tableau1[[#This Row],[Carrier]],"-",Tableau1[[#This Row],[POD]])</f>
        <v>#N/A</v>
      </c>
      <c r="F271" s="80" t="str">
        <f>_xlfn.CONCAT(Tableau1[[#This Row],[ID]],"-","Actif")</f>
        <v>-Actif</v>
      </c>
      <c r="G271" s="80" t="e">
        <f ca="1">_xlfn.CONCAT(Tableau1[[#This Row],[POD]],"-",Tableau1[[#This Row],[Code PFI]],"-",Tableau1[[#This Row],[Compte Consignee]])</f>
        <v>#N/A</v>
      </c>
      <c r="H271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1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1" s="118" t="str">
        <f ca="1">IF(COUNTIF(I:I,Tableau1[[#This Row],[Plant-ILN-shipper-POL-Carrier-POD-PFI]])=1,"Non","Oui")</f>
        <v>Oui</v>
      </c>
      <c r="K271" s="101" t="e">
        <f>VLOOKUP(Tableau1[[#This Row],[Name Site]],Plant_AILN!A:D,4,FALSE)</f>
        <v>#N/A</v>
      </c>
      <c r="L271" s="451"/>
      <c r="M271" s="480" t="e">
        <f>VLOOKUP(Tableau1[[#This Row],[Name Site]],Plant_AILN!A:C,3,FALSE)</f>
        <v>#N/A</v>
      </c>
      <c r="N271" s="102" t="e">
        <f>VLOOKUP(Tableau1[[#This Row],[Compte Consignee]],Order!C:D,2,FALSE)</f>
        <v>#N/A</v>
      </c>
      <c r="O271" s="124"/>
      <c r="P271" s="484" t="e">
        <f>VLOOKUP(Tableau1[[#This Row],[Name ILN]],Plant_AILN!F:G,2,FALSE)</f>
        <v>#N/A</v>
      </c>
      <c r="Q271" s="79" t="e">
        <f>VLOOKUP(Tableau1[[#This Row],[Compte ILN]],'DATA ILN'!D:I,6,FALSE)</f>
        <v>#N/A</v>
      </c>
      <c r="R271" s="79" t="e">
        <f>IFERROR(VLOOKUP(Tableau1[[#This Row],[Key(Compte ILN - shipper - POL - plant)]],'DATA ILN'!A:J,10,FALSE),VLOOKUP(Tableau1[[#This Row],[Key(Compte ILN - shipper - POL)]],'DATA ILN'!B:J,9,FALSE))</f>
        <v>#N/A</v>
      </c>
      <c r="S271" s="79" t="e">
        <f>IFERROR(VLOOKUP(Tableau1[[#This Row],[Key(Compte ILN - shipper - POL - plant)]],'DATA ILN'!A:K,11,FALSE),VLOOKUP(Tableau1[[#This Row],[Key(Compte ILN - shipper - POL)]],'DATA ILN'!B:K,10,FALSE))</f>
        <v>#N/A</v>
      </c>
      <c r="T271" s="79" t="e">
        <f>IFERROR(VLOOKUP(Tableau1[[#This Row],[Key(Compte ILN - shipper - POL - plant)]],'DATA ILN'!A:L,12,FALSE),VLOOKUP(Tableau1[[#This Row],[Key(Compte ILN - shipper - POL)]],'DATA ILN'!B:L,11,FALSE))</f>
        <v>#N/A</v>
      </c>
      <c r="U271" s="79" t="e">
        <f>Tableau1[[#This Row],[Day ILN Order]]+Tableau1[[#This Row],[Delivery time to ILN/Shipper]]-1</f>
        <v>#N/A</v>
      </c>
      <c r="V271" s="79" t="e">
        <f>IFERROR(VLOOKUP(Tableau1[[#This Row],[Key(Compte ILN - shipper - POL - plant)]],'DATA ILN'!A:N,14,FALSE),VLOOKUP(Tableau1[[#This Row],[Key(Compte ILN - shipper - POL)]],'DATA ILN'!B:N,13,FALSE))</f>
        <v>#N/A</v>
      </c>
      <c r="W271" s="79" t="e">
        <f>IFERROR(VLOOKUP(Tableau1[[#This Row],[Key(Compte ILN - shipper - POL - plant)]],'DATA ILN'!A:P,16,FALSE),VLOOKUP(Tableau1[[#This Row],[Key(Compte ILN - shipper - POL)]],'DATA ILN'!B:P,15,FALSE))</f>
        <v>#N/A</v>
      </c>
      <c r="X271" s="283"/>
      <c r="Y271" s="485">
        <f>IFERROR(VLOOKUP(Tableau1[[#This Row],[Name Shipper]],Plant_AILN!L:M,2,FALSE),0)</f>
        <v>0</v>
      </c>
      <c r="Z271" s="369"/>
      <c r="AA271" s="354" t="e">
        <f ca="1">VLOOKUP(Tableau1[[#This Row],[Key(ID-Actif)]],'DATA BTO'!A:N,5,FALSE)</f>
        <v>#N/A</v>
      </c>
      <c r="AB271" s="106" t="e">
        <f ca="1">VLOOKUP(Tableau1[[#This Row],[Key(ID-Actif)]],'DATA BTO'!A:N,6,FALSE)</f>
        <v>#N/A</v>
      </c>
      <c r="AC271" s="79" t="e">
        <f ca="1">VLOOKUP(Tableau1[[#This Row],[Key(ID-Actif)]],'DATA BTO'!A:N,7,FALSE)</f>
        <v>#N/A</v>
      </c>
      <c r="AD271" s="79" t="e">
        <f ca="1">VLOOKUP(Tableau1[[#This Row],[Key(ID-Actif)]],'DATA BTO'!A:N,8,FALSE)</f>
        <v>#N/A</v>
      </c>
      <c r="AE271" s="79" t="e">
        <f ca="1">IF(Tableau1[[#This Row],[First Day to POL]]&lt;=Tableau1[[#This Row],[Day Cut Off]],Tableau1[[#This Row],[Day ETD]],Tableau1[[#This Row],[Day ETD]]+7)</f>
        <v>#N/A</v>
      </c>
      <c r="AF271" s="79" t="e">
        <f ca="1">VLOOKUP(Tableau1[[#This Row],[Key(ID-Actif)]],'DATA BTO'!A:N,9,FALSE)</f>
        <v>#N/A</v>
      </c>
      <c r="AG271" s="106" t="e">
        <f ca="1">VLOOKUP(Tableau1[[#This Row],[Key(ID-Actif)]],'DATA BTO'!A:N,10,FALSE)</f>
        <v>#N/A</v>
      </c>
      <c r="AH271" s="106" t="e">
        <f ca="1">VLOOKUP(Tableau1[[#This Row],[Key(ID-Actif)]],'DATA BTO'!A:N,11,FALSE)</f>
        <v>#N/A</v>
      </c>
      <c r="AI271" s="79" t="e">
        <f ca="1">VLOOKUP(Tableau1[[#This Row],[Key(ID-Actif)]],'DATA BTO'!A:N,12,FALSE)</f>
        <v>#N/A</v>
      </c>
      <c r="AJ271" s="104" t="e">
        <f ca="1">VLOOKUP(Tableau1[[#This Row],[Key(ID-Actif)]],'DATA BTO'!A:N,14,FALSE)</f>
        <v>#N/A</v>
      </c>
      <c r="AK271" s="105" t="e">
        <f ca="1">VLOOKUP(Tableau1[[#This Row],[Key(POD -PFI- Usine)]],'DATA Consignee'!A:F,6,FALSE)</f>
        <v>#N/A</v>
      </c>
      <c r="AL271" s="100"/>
      <c r="AM271" s="486" t="str">
        <f>IF(Tableau1[[#This Row],[Name PFI/CDD]]="","-",VLOOKUP(Tableau1[[#This Row],[Name PFI/CDD]],Plant_AILN!I:J,2,FALSE))</f>
        <v>-</v>
      </c>
      <c r="AN271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1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1" s="108" t="e">
        <f ca="1">VLOOKUP(Tableau1[[#This Row],[Key(POD -PFI- Usine)]],'DATA Consignee'!A:J,10,FALSE)</f>
        <v>#N/A</v>
      </c>
      <c r="AQ271" s="79" t="e">
        <f ca="1">VLOOKUP(Tableau1[[#This Row],[Key(POD -PFI- Usine)]],'DATA Consignee'!A:N,14,FALSE)</f>
        <v>#N/A</v>
      </c>
      <c r="AR271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1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1" s="79" t="e">
        <f ca="1">Tableau1[[#This Row],[Transit time]]+Tableau1[[#This Row],[Time for security]]+Tableau1[[#This Row],[Time for security2 buffer]]</f>
        <v>#N/A</v>
      </c>
      <c r="AU271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1" s="79" t="e">
        <f ca="1">Tableau1[[#This Row],[Leadtime SI2C]]+Tableau1[[#This Row],[First Receipt Days]]-Tableau1[[#This Row],[Day Customer Order]]+1</f>
        <v>#N/A</v>
      </c>
      <c r="AW271" s="118" t="e">
        <f ca="1">IF(Tableau1[[#This Row],[Name ILN]]&lt;&gt;"SFK Freight Forwarder",Tableau1[[#This Row],[Cust. Leadtime]],Tableau1[[#This Row],[Leadtime SI2C]])</f>
        <v>#N/A</v>
      </c>
      <c r="AX271" s="74" t="e">
        <f>VLOOKUP(Tableau1[[#This Row],[ID]],'DATA BTO'!B:P,15,FALSE)</f>
        <v>#N/A</v>
      </c>
      <c r="AY271" s="347" t="e">
        <f ca="1">IFERROR(VLOOKUP(Tableau1[[#This Row],[Key(ID-Actif)]],'DATA BTO'!A:N,4,FALSE),VLOOKUP(Tableau1[[#This Row],[ID]],'DATA BTO'!B:N,3,FALSE))</f>
        <v>#N/A</v>
      </c>
      <c r="AZ271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1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1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1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1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1" s="79"/>
    </row>
    <row r="272" spans="2:57">
      <c r="B272" s="80" t="str">
        <f>_xlfn.CONCAT(Tableau1[[#This Row],[Name ILN]],"-",Tableau1[[#This Row],[Name Shipper]],"-",Tableau1[[#This Row],[Name Site]])</f>
        <v>--</v>
      </c>
      <c r="C272" s="80" t="e">
        <f>_xlfn.CONCAT(Tableau1[[#This Row],[Compte ILN]],"-",Tableau1[[#This Row],[Compte Shipper]],"-",Tableau1[[#This Row],[POL]],"-",Tableau1[[#This Row],[Compte Consignee]])</f>
        <v>#N/A</v>
      </c>
      <c r="D272" s="80" t="e">
        <f>_xlfn.CONCAT(Tableau1[[#This Row],[Compte ILN]],"-",Tableau1[[#This Row],[Compte Shipper]],"-",Tableau1[[#This Row],[POL]])</f>
        <v>#N/A</v>
      </c>
      <c r="E272" s="81" t="e">
        <f ca="1">_xlfn.CONCAT(Tableau1[[#This Row],[POL]],"-",Tableau1[[#This Row],[Carrier]],"-",Tableau1[[#This Row],[POD]])</f>
        <v>#N/A</v>
      </c>
      <c r="F272" s="80" t="str">
        <f>_xlfn.CONCAT(Tableau1[[#This Row],[ID]],"-","Actif")</f>
        <v>-Actif</v>
      </c>
      <c r="G272" s="80" t="e">
        <f ca="1">_xlfn.CONCAT(Tableau1[[#This Row],[POD]],"-",Tableau1[[#This Row],[Code PFI]],"-",Tableau1[[#This Row],[Compte Consignee]])</f>
        <v>#N/A</v>
      </c>
      <c r="H27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2" s="118" t="str">
        <f ca="1">IF(COUNTIF(I:I,Tableau1[[#This Row],[Plant-ILN-shipper-POL-Carrier-POD-PFI]])=1,"Non","Oui")</f>
        <v>Oui</v>
      </c>
      <c r="K272" s="101" t="e">
        <f>VLOOKUP(Tableau1[[#This Row],[Name Site]],Plant_AILN!A:D,4,FALSE)</f>
        <v>#N/A</v>
      </c>
      <c r="L272" s="451"/>
      <c r="M272" s="480" t="e">
        <f>VLOOKUP(Tableau1[[#This Row],[Name Site]],Plant_AILN!A:C,3,FALSE)</f>
        <v>#N/A</v>
      </c>
      <c r="N272" s="102" t="e">
        <f>VLOOKUP(Tableau1[[#This Row],[Compte Consignee]],Order!C:D,2,FALSE)</f>
        <v>#N/A</v>
      </c>
      <c r="O272" s="124"/>
      <c r="P272" s="484" t="e">
        <f>VLOOKUP(Tableau1[[#This Row],[Name ILN]],Plant_AILN!F:G,2,FALSE)</f>
        <v>#N/A</v>
      </c>
      <c r="Q272" s="79" t="e">
        <f>VLOOKUP(Tableau1[[#This Row],[Compte ILN]],'DATA ILN'!D:I,6,FALSE)</f>
        <v>#N/A</v>
      </c>
      <c r="R272" s="79" t="e">
        <f>IFERROR(VLOOKUP(Tableau1[[#This Row],[Key(Compte ILN - shipper - POL - plant)]],'DATA ILN'!A:J,10,FALSE),VLOOKUP(Tableau1[[#This Row],[Key(Compte ILN - shipper - POL)]],'DATA ILN'!B:J,9,FALSE))</f>
        <v>#N/A</v>
      </c>
      <c r="S272" s="79" t="e">
        <f>IFERROR(VLOOKUP(Tableau1[[#This Row],[Key(Compte ILN - shipper - POL - plant)]],'DATA ILN'!A:K,11,FALSE),VLOOKUP(Tableau1[[#This Row],[Key(Compte ILN - shipper - POL)]],'DATA ILN'!B:K,10,FALSE))</f>
        <v>#N/A</v>
      </c>
      <c r="T272" s="79" t="e">
        <f>IFERROR(VLOOKUP(Tableau1[[#This Row],[Key(Compte ILN - shipper - POL - plant)]],'DATA ILN'!A:L,12,FALSE),VLOOKUP(Tableau1[[#This Row],[Key(Compte ILN - shipper - POL)]],'DATA ILN'!B:L,11,FALSE))</f>
        <v>#N/A</v>
      </c>
      <c r="U272" s="79" t="e">
        <f>Tableau1[[#This Row],[Day ILN Order]]+Tableau1[[#This Row],[Delivery time to ILN/Shipper]]-1</f>
        <v>#N/A</v>
      </c>
      <c r="V272" s="79" t="e">
        <f>IFERROR(VLOOKUP(Tableau1[[#This Row],[Key(Compte ILN - shipper - POL - plant)]],'DATA ILN'!A:N,14,FALSE),VLOOKUP(Tableau1[[#This Row],[Key(Compte ILN - shipper - POL)]],'DATA ILN'!B:N,13,FALSE))</f>
        <v>#N/A</v>
      </c>
      <c r="W272" s="79" t="e">
        <f>IFERROR(VLOOKUP(Tableau1[[#This Row],[Key(Compte ILN - shipper - POL - plant)]],'DATA ILN'!A:P,16,FALSE),VLOOKUP(Tableau1[[#This Row],[Key(Compte ILN - shipper - POL)]],'DATA ILN'!B:P,15,FALSE))</f>
        <v>#N/A</v>
      </c>
      <c r="X272" s="124"/>
      <c r="Y272" s="485">
        <f>IFERROR(VLOOKUP(Tableau1[[#This Row],[Name Shipper]],Plant_AILN!L:M,2,FALSE),0)</f>
        <v>0</v>
      </c>
      <c r="Z272" s="369"/>
      <c r="AA272" s="354" t="e">
        <f ca="1">VLOOKUP(Tableau1[[#This Row],[Key(ID-Actif)]],'DATA BTO'!A:N,5,FALSE)</f>
        <v>#N/A</v>
      </c>
      <c r="AB272" s="106" t="e">
        <f ca="1">VLOOKUP(Tableau1[[#This Row],[Key(ID-Actif)]],'DATA BTO'!A:N,6,FALSE)</f>
        <v>#N/A</v>
      </c>
      <c r="AC272" s="79" t="e">
        <f ca="1">VLOOKUP(Tableau1[[#This Row],[Key(ID-Actif)]],'DATA BTO'!A:N,7,FALSE)</f>
        <v>#N/A</v>
      </c>
      <c r="AD272" s="79" t="e">
        <f ca="1">VLOOKUP(Tableau1[[#This Row],[Key(ID-Actif)]],'DATA BTO'!A:N,8,FALSE)</f>
        <v>#N/A</v>
      </c>
      <c r="AE272" s="79" t="e">
        <f ca="1">IF(Tableau1[[#This Row],[First Day to POL]]&lt;=Tableau1[[#This Row],[Day Cut Off]],Tableau1[[#This Row],[Day ETD]],Tableau1[[#This Row],[Day ETD]]+7)</f>
        <v>#N/A</v>
      </c>
      <c r="AF272" s="79" t="e">
        <f ca="1">VLOOKUP(Tableau1[[#This Row],[Key(ID-Actif)]],'DATA BTO'!A:N,9,FALSE)</f>
        <v>#N/A</v>
      </c>
      <c r="AG272" s="106" t="e">
        <f ca="1">VLOOKUP(Tableau1[[#This Row],[Key(ID-Actif)]],'DATA BTO'!A:N,10,FALSE)</f>
        <v>#N/A</v>
      </c>
      <c r="AH272" s="106" t="e">
        <f ca="1">VLOOKUP(Tableau1[[#This Row],[Key(ID-Actif)]],'DATA BTO'!A:N,11,FALSE)</f>
        <v>#N/A</v>
      </c>
      <c r="AI272" s="79" t="e">
        <f ca="1">VLOOKUP(Tableau1[[#This Row],[Key(ID-Actif)]],'DATA BTO'!A:N,12,FALSE)</f>
        <v>#N/A</v>
      </c>
      <c r="AJ272" s="104" t="e">
        <f ca="1">VLOOKUP(Tableau1[[#This Row],[Key(ID-Actif)]],'DATA BTO'!A:N,14,FALSE)</f>
        <v>#N/A</v>
      </c>
      <c r="AK272" s="105" t="e">
        <f ca="1">VLOOKUP(Tableau1[[#This Row],[Key(POD -PFI- Usine)]],'DATA Consignee'!A:F,6,FALSE)</f>
        <v>#N/A</v>
      </c>
      <c r="AL272" s="100"/>
      <c r="AM272" s="486" t="str">
        <f>IF(Tableau1[[#This Row],[Name PFI/CDD]]="","-",VLOOKUP(Tableau1[[#This Row],[Name PFI/CDD]],Plant_AILN!I:J,2,FALSE))</f>
        <v>-</v>
      </c>
      <c r="AN27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2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2" s="108" t="e">
        <f ca="1">VLOOKUP(Tableau1[[#This Row],[Key(POD -PFI- Usine)]],'DATA Consignee'!A:J,10,FALSE)</f>
        <v>#N/A</v>
      </c>
      <c r="AQ272" s="79" t="e">
        <f ca="1">VLOOKUP(Tableau1[[#This Row],[Key(POD -PFI- Usine)]],'DATA Consignee'!A:N,14,FALSE)</f>
        <v>#N/A</v>
      </c>
      <c r="AR27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2" s="79" t="e">
        <f ca="1">Tableau1[[#This Row],[Transit time]]+Tableau1[[#This Row],[Time for security]]+Tableau1[[#This Row],[Time for security2 buffer]]</f>
        <v>#N/A</v>
      </c>
      <c r="AU27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2" s="79" t="e">
        <f ca="1">Tableau1[[#This Row],[Leadtime SI2C]]+Tableau1[[#This Row],[First Receipt Days]]-Tableau1[[#This Row],[Day Customer Order]]+1</f>
        <v>#N/A</v>
      </c>
      <c r="AW272" s="118" t="e">
        <f ca="1">IF(Tableau1[[#This Row],[Name ILN]]&lt;&gt;"SFK Freight Forwarder",Tableau1[[#This Row],[Cust. Leadtime]],Tableau1[[#This Row],[Leadtime SI2C]])</f>
        <v>#N/A</v>
      </c>
      <c r="AX272" s="74" t="e">
        <f>VLOOKUP(Tableau1[[#This Row],[ID]],'DATA BTO'!B:P,15,FALSE)</f>
        <v>#N/A</v>
      </c>
      <c r="AY272" s="347" t="e">
        <f ca="1">IFERROR(VLOOKUP(Tableau1[[#This Row],[Key(ID-Actif)]],'DATA BTO'!A:N,4,FALSE),VLOOKUP(Tableau1[[#This Row],[ID]],'DATA BTO'!B:N,3,FALSE))</f>
        <v>#N/A</v>
      </c>
      <c r="AZ272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2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2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2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2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2" s="79"/>
    </row>
    <row r="273" spans="2:57">
      <c r="B273" s="80" t="str">
        <f>_xlfn.CONCAT(Tableau1[[#This Row],[Name ILN]],"-",Tableau1[[#This Row],[Name Shipper]],"-",Tableau1[[#This Row],[Name Site]])</f>
        <v>--</v>
      </c>
      <c r="C273" s="80" t="e">
        <f>_xlfn.CONCAT(Tableau1[[#This Row],[Compte ILN]],"-",Tableau1[[#This Row],[Compte Shipper]],"-",Tableau1[[#This Row],[POL]],"-",Tableau1[[#This Row],[Compte Consignee]])</f>
        <v>#N/A</v>
      </c>
      <c r="D273" s="80" t="e">
        <f>_xlfn.CONCAT(Tableau1[[#This Row],[Compte ILN]],"-",Tableau1[[#This Row],[Compte Shipper]],"-",Tableau1[[#This Row],[POL]])</f>
        <v>#N/A</v>
      </c>
      <c r="E273" s="81" t="e">
        <f ca="1">_xlfn.CONCAT(Tableau1[[#This Row],[POL]],"-",Tableau1[[#This Row],[Carrier]],"-",Tableau1[[#This Row],[POD]])</f>
        <v>#N/A</v>
      </c>
      <c r="F273" s="80" t="str">
        <f>_xlfn.CONCAT(Tableau1[[#This Row],[ID]],"-","Actif")</f>
        <v>-Actif</v>
      </c>
      <c r="G273" s="80" t="e">
        <f ca="1">_xlfn.CONCAT(Tableau1[[#This Row],[POD]],"-",Tableau1[[#This Row],[Code PFI]],"-",Tableau1[[#This Row],[Compte Consignee]])</f>
        <v>#N/A</v>
      </c>
      <c r="H27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3" s="118" t="str">
        <f ca="1">IF(COUNTIF(I:I,Tableau1[[#This Row],[Plant-ILN-shipper-POL-Carrier-POD-PFI]])=1,"Non","Oui")</f>
        <v>Oui</v>
      </c>
      <c r="K273" s="101" t="e">
        <f>VLOOKUP(Tableau1[[#This Row],[Name Site]],Plant_AILN!A:D,4,FALSE)</f>
        <v>#N/A</v>
      </c>
      <c r="L273" s="451"/>
      <c r="M273" s="480" t="e">
        <f>VLOOKUP(Tableau1[[#This Row],[Name Site]],Plant_AILN!A:C,3,FALSE)</f>
        <v>#N/A</v>
      </c>
      <c r="N273" s="102" t="e">
        <f>VLOOKUP(Tableau1[[#This Row],[Compte Consignee]],Order!C:D,2,FALSE)</f>
        <v>#N/A</v>
      </c>
      <c r="O273" s="124"/>
      <c r="P273" s="484" t="e">
        <f>VLOOKUP(Tableau1[[#This Row],[Name ILN]],Plant_AILN!F:G,2,FALSE)</f>
        <v>#N/A</v>
      </c>
      <c r="Q273" s="79" t="e">
        <f>VLOOKUP(Tableau1[[#This Row],[Compte ILN]],'DATA ILN'!D:I,6,FALSE)</f>
        <v>#N/A</v>
      </c>
      <c r="R273" s="79" t="e">
        <f>IFERROR(VLOOKUP(Tableau1[[#This Row],[Key(Compte ILN - shipper - POL - plant)]],'DATA ILN'!A:J,10,FALSE),VLOOKUP(Tableau1[[#This Row],[Key(Compte ILN - shipper - POL)]],'DATA ILN'!B:J,9,FALSE))</f>
        <v>#N/A</v>
      </c>
      <c r="S273" s="79" t="e">
        <f>IFERROR(VLOOKUP(Tableau1[[#This Row],[Key(Compte ILN - shipper - POL - plant)]],'DATA ILN'!A:K,11,FALSE),VLOOKUP(Tableau1[[#This Row],[Key(Compte ILN - shipper - POL)]],'DATA ILN'!B:K,10,FALSE))</f>
        <v>#N/A</v>
      </c>
      <c r="T273" s="79" t="e">
        <f>IFERROR(VLOOKUP(Tableau1[[#This Row],[Key(Compte ILN - shipper - POL - plant)]],'DATA ILN'!A:L,12,FALSE),VLOOKUP(Tableau1[[#This Row],[Key(Compte ILN - shipper - POL)]],'DATA ILN'!B:L,11,FALSE))</f>
        <v>#N/A</v>
      </c>
      <c r="U273" s="79" t="e">
        <f>Tableau1[[#This Row],[Day ILN Order]]+Tableau1[[#This Row],[Delivery time to ILN/Shipper]]-1</f>
        <v>#N/A</v>
      </c>
      <c r="V273" s="79" t="e">
        <f>IFERROR(VLOOKUP(Tableau1[[#This Row],[Key(Compte ILN - shipper - POL - plant)]],'DATA ILN'!A:N,14,FALSE),VLOOKUP(Tableau1[[#This Row],[Key(Compte ILN - shipper - POL)]],'DATA ILN'!B:N,13,FALSE))</f>
        <v>#N/A</v>
      </c>
      <c r="W273" s="79" t="e">
        <f>IFERROR(VLOOKUP(Tableau1[[#This Row],[Key(Compte ILN - shipper - POL - plant)]],'DATA ILN'!A:P,16,FALSE),VLOOKUP(Tableau1[[#This Row],[Key(Compte ILN - shipper - POL)]],'DATA ILN'!B:P,15,FALSE))</f>
        <v>#N/A</v>
      </c>
      <c r="X273" s="124"/>
      <c r="Y273" s="485">
        <f>IFERROR(VLOOKUP(Tableau1[[#This Row],[Name Shipper]],Plant_AILN!L:M,2,FALSE),0)</f>
        <v>0</v>
      </c>
      <c r="Z273" s="369"/>
      <c r="AA273" s="354" t="e">
        <f ca="1">VLOOKUP(Tableau1[[#This Row],[Key(ID-Actif)]],'DATA BTO'!A:N,5,FALSE)</f>
        <v>#N/A</v>
      </c>
      <c r="AB273" s="106" t="e">
        <f ca="1">VLOOKUP(Tableau1[[#This Row],[Key(ID-Actif)]],'DATA BTO'!A:N,6,FALSE)</f>
        <v>#N/A</v>
      </c>
      <c r="AC273" s="79" t="e">
        <f ca="1">VLOOKUP(Tableau1[[#This Row],[Key(ID-Actif)]],'DATA BTO'!A:N,7,FALSE)</f>
        <v>#N/A</v>
      </c>
      <c r="AD273" s="79" t="e">
        <f ca="1">VLOOKUP(Tableau1[[#This Row],[Key(ID-Actif)]],'DATA BTO'!A:N,8,FALSE)</f>
        <v>#N/A</v>
      </c>
      <c r="AE273" s="79" t="e">
        <f ca="1">IF(Tableau1[[#This Row],[First Day to POL]]&lt;=Tableau1[[#This Row],[Day Cut Off]],Tableau1[[#This Row],[Day ETD]],Tableau1[[#This Row],[Day ETD]]+7)</f>
        <v>#N/A</v>
      </c>
      <c r="AF273" s="79" t="e">
        <f ca="1">VLOOKUP(Tableau1[[#This Row],[Key(ID-Actif)]],'DATA BTO'!A:N,9,FALSE)</f>
        <v>#N/A</v>
      </c>
      <c r="AG273" s="106" t="e">
        <f ca="1">VLOOKUP(Tableau1[[#This Row],[Key(ID-Actif)]],'DATA BTO'!A:N,10,FALSE)</f>
        <v>#N/A</v>
      </c>
      <c r="AH273" s="106" t="e">
        <f ca="1">VLOOKUP(Tableau1[[#This Row],[Key(ID-Actif)]],'DATA BTO'!A:N,11,FALSE)</f>
        <v>#N/A</v>
      </c>
      <c r="AI273" s="79" t="e">
        <f ca="1">VLOOKUP(Tableau1[[#This Row],[Key(ID-Actif)]],'DATA BTO'!A:N,12,FALSE)</f>
        <v>#N/A</v>
      </c>
      <c r="AJ273" s="104" t="e">
        <f ca="1">VLOOKUP(Tableau1[[#This Row],[Key(ID-Actif)]],'DATA BTO'!A:N,14,FALSE)</f>
        <v>#N/A</v>
      </c>
      <c r="AK273" s="105" t="e">
        <f ca="1">VLOOKUP(Tableau1[[#This Row],[Key(POD -PFI- Usine)]],'DATA Consignee'!A:F,6,FALSE)</f>
        <v>#N/A</v>
      </c>
      <c r="AL273" s="100"/>
      <c r="AM273" s="486" t="str">
        <f>IF(Tableau1[[#This Row],[Name PFI/CDD]]="","-",VLOOKUP(Tableau1[[#This Row],[Name PFI/CDD]],Plant_AILN!I:J,2,FALSE))</f>
        <v>-</v>
      </c>
      <c r="AN27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3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3" s="108" t="e">
        <f ca="1">VLOOKUP(Tableau1[[#This Row],[Key(POD -PFI- Usine)]],'DATA Consignee'!A:J,10,FALSE)</f>
        <v>#N/A</v>
      </c>
      <c r="AQ273" s="79" t="e">
        <f ca="1">VLOOKUP(Tableau1[[#This Row],[Key(POD -PFI- Usine)]],'DATA Consignee'!A:N,14,FALSE)</f>
        <v>#N/A</v>
      </c>
      <c r="AR27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3" s="79" t="e">
        <f ca="1">Tableau1[[#This Row],[Transit time]]+Tableau1[[#This Row],[Time for security]]+Tableau1[[#This Row],[Time for security2 buffer]]</f>
        <v>#N/A</v>
      </c>
      <c r="AU27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3" s="79" t="e">
        <f ca="1">Tableau1[[#This Row],[Leadtime SI2C]]+Tableau1[[#This Row],[First Receipt Days]]-Tableau1[[#This Row],[Day Customer Order]]+1</f>
        <v>#N/A</v>
      </c>
      <c r="AW273" s="118" t="e">
        <f ca="1">IF(Tableau1[[#This Row],[Name ILN]]&lt;&gt;"SFK Freight Forwarder",Tableau1[[#This Row],[Cust. Leadtime]],Tableau1[[#This Row],[Leadtime SI2C]])</f>
        <v>#N/A</v>
      </c>
      <c r="AX273" s="74" t="e">
        <f>VLOOKUP(Tableau1[[#This Row],[ID]],'DATA BTO'!B:P,15,FALSE)</f>
        <v>#N/A</v>
      </c>
      <c r="AY273" s="347" t="e">
        <f ca="1">IFERROR(VLOOKUP(Tableau1[[#This Row],[Key(ID-Actif)]],'DATA BTO'!A:N,4,FALSE),VLOOKUP(Tableau1[[#This Row],[ID]],'DATA BTO'!B:N,3,FALSE))</f>
        <v>#N/A</v>
      </c>
      <c r="AZ273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3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3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3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3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3" s="79"/>
    </row>
    <row r="274" spans="2:57">
      <c r="B274" s="80" t="str">
        <f>_xlfn.CONCAT(Tableau1[[#This Row],[Name ILN]],"-",Tableau1[[#This Row],[Name Shipper]],"-",Tableau1[[#This Row],[Name Site]])</f>
        <v>--</v>
      </c>
      <c r="C274" s="80" t="e">
        <f>_xlfn.CONCAT(Tableau1[[#This Row],[Compte ILN]],"-",Tableau1[[#This Row],[Compte Shipper]],"-",Tableau1[[#This Row],[POL]],"-",Tableau1[[#This Row],[Compte Consignee]])</f>
        <v>#N/A</v>
      </c>
      <c r="D274" s="80" t="e">
        <f>_xlfn.CONCAT(Tableau1[[#This Row],[Compte ILN]],"-",Tableau1[[#This Row],[Compte Shipper]],"-",Tableau1[[#This Row],[POL]])</f>
        <v>#N/A</v>
      </c>
      <c r="E274" s="81" t="e">
        <f ca="1">_xlfn.CONCAT(Tableau1[[#This Row],[POL]],"-",Tableau1[[#This Row],[Carrier]],"-",Tableau1[[#This Row],[POD]])</f>
        <v>#N/A</v>
      </c>
      <c r="F274" s="80" t="str">
        <f>_xlfn.CONCAT(Tableau1[[#This Row],[ID]],"-","Actif")</f>
        <v>-Actif</v>
      </c>
      <c r="G274" s="80" t="e">
        <f ca="1">_xlfn.CONCAT(Tableau1[[#This Row],[POD]],"-",Tableau1[[#This Row],[Code PFI]],"-",Tableau1[[#This Row],[Compte Consignee]])</f>
        <v>#N/A</v>
      </c>
      <c r="H27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4" s="118" t="str">
        <f ca="1">IF(COUNTIF(I:I,Tableau1[[#This Row],[Plant-ILN-shipper-POL-Carrier-POD-PFI]])=1,"Non","Oui")</f>
        <v>Oui</v>
      </c>
      <c r="K274" s="101" t="e">
        <f>VLOOKUP(Tableau1[[#This Row],[Name Site]],Plant_AILN!A:D,4,FALSE)</f>
        <v>#N/A</v>
      </c>
      <c r="L274" s="451"/>
      <c r="M274" s="480" t="e">
        <f>VLOOKUP(Tableau1[[#This Row],[Name Site]],Plant_AILN!A:C,3,FALSE)</f>
        <v>#N/A</v>
      </c>
      <c r="N274" s="102" t="e">
        <f>VLOOKUP(Tableau1[[#This Row],[Compte Consignee]],Order!C:D,2,FALSE)</f>
        <v>#N/A</v>
      </c>
      <c r="O274" s="124"/>
      <c r="P274" s="484" t="e">
        <f>VLOOKUP(Tableau1[[#This Row],[Name ILN]],Plant_AILN!F:G,2,FALSE)</f>
        <v>#N/A</v>
      </c>
      <c r="Q274" s="79" t="e">
        <f>VLOOKUP(Tableau1[[#This Row],[Compte ILN]],'DATA ILN'!D:I,6,FALSE)</f>
        <v>#N/A</v>
      </c>
      <c r="R274" s="79" t="e">
        <f>IFERROR(VLOOKUP(Tableau1[[#This Row],[Key(Compte ILN - shipper - POL - plant)]],'DATA ILN'!A:J,10,FALSE),VLOOKUP(Tableau1[[#This Row],[Key(Compte ILN - shipper - POL)]],'DATA ILN'!B:J,9,FALSE))</f>
        <v>#N/A</v>
      </c>
      <c r="S274" s="79" t="e">
        <f>IFERROR(VLOOKUP(Tableau1[[#This Row],[Key(Compte ILN - shipper - POL - plant)]],'DATA ILN'!A:K,11,FALSE),VLOOKUP(Tableau1[[#This Row],[Key(Compte ILN - shipper - POL)]],'DATA ILN'!B:K,10,FALSE))</f>
        <v>#N/A</v>
      </c>
      <c r="T274" s="79" t="e">
        <f>IFERROR(VLOOKUP(Tableau1[[#This Row],[Key(Compte ILN - shipper - POL - plant)]],'DATA ILN'!A:L,12,FALSE),VLOOKUP(Tableau1[[#This Row],[Key(Compte ILN - shipper - POL)]],'DATA ILN'!B:L,11,FALSE))</f>
        <v>#N/A</v>
      </c>
      <c r="U274" s="79" t="e">
        <f>Tableau1[[#This Row],[Day ILN Order]]+Tableau1[[#This Row],[Delivery time to ILN/Shipper]]-1</f>
        <v>#N/A</v>
      </c>
      <c r="V274" s="79" t="e">
        <f>IFERROR(VLOOKUP(Tableau1[[#This Row],[Key(Compte ILN - shipper - POL - plant)]],'DATA ILN'!A:N,14,FALSE),VLOOKUP(Tableau1[[#This Row],[Key(Compte ILN - shipper - POL)]],'DATA ILN'!B:N,13,FALSE))</f>
        <v>#N/A</v>
      </c>
      <c r="W274" s="79" t="e">
        <f>IFERROR(VLOOKUP(Tableau1[[#This Row],[Key(Compte ILN - shipper - POL - plant)]],'DATA ILN'!A:P,16,FALSE),VLOOKUP(Tableau1[[#This Row],[Key(Compte ILN - shipper - POL)]],'DATA ILN'!B:P,15,FALSE))</f>
        <v>#N/A</v>
      </c>
      <c r="X274" s="100"/>
      <c r="Y274" s="485">
        <f>IFERROR(VLOOKUP(Tableau1[[#This Row],[Name Shipper]],Plant_AILN!L:M,2,FALSE),0)</f>
        <v>0</v>
      </c>
      <c r="Z274" s="369"/>
      <c r="AA274" s="354" t="e">
        <f ca="1">VLOOKUP(Tableau1[[#This Row],[Key(ID-Actif)]],'DATA BTO'!A:N,5,FALSE)</f>
        <v>#N/A</v>
      </c>
      <c r="AB274" s="106" t="e">
        <f ca="1">VLOOKUP(Tableau1[[#This Row],[Key(ID-Actif)]],'DATA BTO'!A:N,6,FALSE)</f>
        <v>#N/A</v>
      </c>
      <c r="AC274" s="79" t="e">
        <f ca="1">VLOOKUP(Tableau1[[#This Row],[Key(ID-Actif)]],'DATA BTO'!A:N,7,FALSE)</f>
        <v>#N/A</v>
      </c>
      <c r="AD274" s="79" t="e">
        <f ca="1">VLOOKUP(Tableau1[[#This Row],[Key(ID-Actif)]],'DATA BTO'!A:N,8,FALSE)</f>
        <v>#N/A</v>
      </c>
      <c r="AE274" s="79" t="e">
        <f ca="1">IF(Tableau1[[#This Row],[First Day to POL]]&lt;=Tableau1[[#This Row],[Day Cut Off]],Tableau1[[#This Row],[Day ETD]],Tableau1[[#This Row],[Day ETD]]+7)</f>
        <v>#N/A</v>
      </c>
      <c r="AF274" s="79" t="e">
        <f ca="1">VLOOKUP(Tableau1[[#This Row],[Key(ID-Actif)]],'DATA BTO'!A:N,9,FALSE)</f>
        <v>#N/A</v>
      </c>
      <c r="AG274" s="106" t="e">
        <f ca="1">VLOOKUP(Tableau1[[#This Row],[Key(ID-Actif)]],'DATA BTO'!A:N,10,FALSE)</f>
        <v>#N/A</v>
      </c>
      <c r="AH274" s="106" t="e">
        <f ca="1">VLOOKUP(Tableau1[[#This Row],[Key(ID-Actif)]],'DATA BTO'!A:N,11,FALSE)</f>
        <v>#N/A</v>
      </c>
      <c r="AI274" s="79" t="e">
        <f ca="1">VLOOKUP(Tableau1[[#This Row],[Key(ID-Actif)]],'DATA BTO'!A:N,12,FALSE)</f>
        <v>#N/A</v>
      </c>
      <c r="AJ274" s="104" t="e">
        <f ca="1">VLOOKUP(Tableau1[[#This Row],[Key(ID-Actif)]],'DATA BTO'!A:N,14,FALSE)</f>
        <v>#N/A</v>
      </c>
      <c r="AK274" s="105" t="e">
        <f ca="1">VLOOKUP(Tableau1[[#This Row],[Key(POD -PFI- Usine)]],'DATA Consignee'!A:F,6,FALSE)</f>
        <v>#N/A</v>
      </c>
      <c r="AL274" s="100"/>
      <c r="AM274" s="486" t="str">
        <f>IF(Tableau1[[#This Row],[Name PFI/CDD]]="","-",VLOOKUP(Tableau1[[#This Row],[Name PFI/CDD]],Plant_AILN!I:J,2,FALSE))</f>
        <v>-</v>
      </c>
      <c r="AN27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4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4" s="108" t="e">
        <f ca="1">VLOOKUP(Tableau1[[#This Row],[Key(POD -PFI- Usine)]],'DATA Consignee'!A:J,10,FALSE)</f>
        <v>#N/A</v>
      </c>
      <c r="AQ274" s="79" t="e">
        <f ca="1">VLOOKUP(Tableau1[[#This Row],[Key(POD -PFI- Usine)]],'DATA Consignee'!A:N,14,FALSE)</f>
        <v>#N/A</v>
      </c>
      <c r="AR27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4" s="79" t="e">
        <f ca="1">Tableau1[[#This Row],[Transit time]]+Tableau1[[#This Row],[Time for security]]+Tableau1[[#This Row],[Time for security2 buffer]]</f>
        <v>#N/A</v>
      </c>
      <c r="AU27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4" s="79" t="e">
        <f ca="1">Tableau1[[#This Row],[Leadtime SI2C]]+Tableau1[[#This Row],[First Receipt Days]]-Tableau1[[#This Row],[Day Customer Order]]+1</f>
        <v>#N/A</v>
      </c>
      <c r="AW274" s="118" t="e">
        <f ca="1">IF(Tableau1[[#This Row],[Name ILN]]&lt;&gt;"SFK Freight Forwarder",Tableau1[[#This Row],[Cust. Leadtime]],Tableau1[[#This Row],[Leadtime SI2C]])</f>
        <v>#N/A</v>
      </c>
      <c r="AX274" s="74" t="e">
        <f>VLOOKUP(Tableau1[[#This Row],[ID]],'DATA BTO'!B:P,15,FALSE)</f>
        <v>#N/A</v>
      </c>
      <c r="AY274" s="347" t="e">
        <f ca="1">IFERROR(VLOOKUP(Tableau1[[#This Row],[Key(ID-Actif)]],'DATA BTO'!A:N,4,FALSE),VLOOKUP(Tableau1[[#This Row],[ID]],'DATA BTO'!B:N,3,FALSE))</f>
        <v>#N/A</v>
      </c>
      <c r="AZ274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4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4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4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4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4" s="79"/>
    </row>
    <row r="275" spans="2:57">
      <c r="B275" s="80" t="str">
        <f>_xlfn.CONCAT(Tableau1[[#This Row],[Name ILN]],"-",Tableau1[[#This Row],[Name Shipper]],"-",Tableau1[[#This Row],[Name Site]])</f>
        <v>--</v>
      </c>
      <c r="C275" s="80" t="e">
        <f>_xlfn.CONCAT(Tableau1[[#This Row],[Compte ILN]],"-",Tableau1[[#This Row],[Compte Shipper]],"-",Tableau1[[#This Row],[POL]],"-",Tableau1[[#This Row],[Compte Consignee]])</f>
        <v>#N/A</v>
      </c>
      <c r="D275" s="80" t="e">
        <f>_xlfn.CONCAT(Tableau1[[#This Row],[Compte ILN]],"-",Tableau1[[#This Row],[Compte Shipper]],"-",Tableau1[[#This Row],[POL]])</f>
        <v>#N/A</v>
      </c>
      <c r="E275" s="81" t="e">
        <f ca="1">_xlfn.CONCAT(Tableau1[[#This Row],[POL]],"-",Tableau1[[#This Row],[Carrier]],"-",Tableau1[[#This Row],[POD]])</f>
        <v>#N/A</v>
      </c>
      <c r="F275" s="80" t="str">
        <f>_xlfn.CONCAT(Tableau1[[#This Row],[ID]],"-","Actif")</f>
        <v>-Actif</v>
      </c>
      <c r="G275" s="80" t="e">
        <f ca="1">_xlfn.CONCAT(Tableau1[[#This Row],[POD]],"-",Tableau1[[#This Row],[Code PFI]],"-",Tableau1[[#This Row],[Compte Consignee]])</f>
        <v>#N/A</v>
      </c>
      <c r="H27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5" s="118" t="str">
        <f ca="1">IF(COUNTIF(I:I,Tableau1[[#This Row],[Plant-ILN-shipper-POL-Carrier-POD-PFI]])=1,"Non","Oui")</f>
        <v>Oui</v>
      </c>
      <c r="K275" s="101" t="e">
        <f>VLOOKUP(Tableau1[[#This Row],[Name Site]],Plant_AILN!A:D,4,FALSE)</f>
        <v>#N/A</v>
      </c>
      <c r="L275" s="451"/>
      <c r="M275" s="480" t="e">
        <f>VLOOKUP(Tableau1[[#This Row],[Name Site]],Plant_AILN!A:C,3,FALSE)</f>
        <v>#N/A</v>
      </c>
      <c r="N275" s="102" t="e">
        <f>VLOOKUP(Tableau1[[#This Row],[Compte Consignee]],Order!C:D,2,FALSE)</f>
        <v>#N/A</v>
      </c>
      <c r="O275" s="124"/>
      <c r="P275" s="484" t="e">
        <f>VLOOKUP(Tableau1[[#This Row],[Name ILN]],Plant_AILN!F:G,2,FALSE)</f>
        <v>#N/A</v>
      </c>
      <c r="Q275" s="79" t="e">
        <f>VLOOKUP(Tableau1[[#This Row],[Compte ILN]],'DATA ILN'!D:I,6,FALSE)</f>
        <v>#N/A</v>
      </c>
      <c r="R275" s="79" t="e">
        <f>IFERROR(VLOOKUP(Tableau1[[#This Row],[Key(Compte ILN - shipper - POL - plant)]],'DATA ILN'!A:J,10,FALSE),VLOOKUP(Tableau1[[#This Row],[Key(Compte ILN - shipper - POL)]],'DATA ILN'!B:J,9,FALSE))</f>
        <v>#N/A</v>
      </c>
      <c r="S275" s="79" t="e">
        <f>IFERROR(VLOOKUP(Tableau1[[#This Row],[Key(Compte ILN - shipper - POL - plant)]],'DATA ILN'!A:K,11,FALSE),VLOOKUP(Tableau1[[#This Row],[Key(Compte ILN - shipper - POL)]],'DATA ILN'!B:K,10,FALSE))</f>
        <v>#N/A</v>
      </c>
      <c r="T275" s="79" t="e">
        <f>IFERROR(VLOOKUP(Tableau1[[#This Row],[Key(Compte ILN - shipper - POL - plant)]],'DATA ILN'!A:L,12,FALSE),VLOOKUP(Tableau1[[#This Row],[Key(Compte ILN - shipper - POL)]],'DATA ILN'!B:L,11,FALSE))</f>
        <v>#N/A</v>
      </c>
      <c r="U275" s="79" t="e">
        <f>Tableau1[[#This Row],[Day ILN Order]]+Tableau1[[#This Row],[Delivery time to ILN/Shipper]]-1</f>
        <v>#N/A</v>
      </c>
      <c r="V275" s="79" t="e">
        <f>IFERROR(VLOOKUP(Tableau1[[#This Row],[Key(Compte ILN - shipper - POL - plant)]],'DATA ILN'!A:N,14,FALSE),VLOOKUP(Tableau1[[#This Row],[Key(Compte ILN - shipper - POL)]],'DATA ILN'!B:N,13,FALSE))</f>
        <v>#N/A</v>
      </c>
      <c r="W275" s="79" t="e">
        <f>IFERROR(VLOOKUP(Tableau1[[#This Row],[Key(Compte ILN - shipper - POL - plant)]],'DATA ILN'!A:P,16,FALSE),VLOOKUP(Tableau1[[#This Row],[Key(Compte ILN - shipper - POL)]],'DATA ILN'!B:P,15,FALSE))</f>
        <v>#N/A</v>
      </c>
      <c r="X275" s="100"/>
      <c r="Y275" s="485">
        <f>IFERROR(VLOOKUP(Tableau1[[#This Row],[Name Shipper]],Plant_AILN!L:M,2,FALSE),0)</f>
        <v>0</v>
      </c>
      <c r="Z275" s="369"/>
      <c r="AA275" s="354" t="e">
        <f ca="1">VLOOKUP(Tableau1[[#This Row],[Key(ID-Actif)]],'DATA BTO'!A:N,5,FALSE)</f>
        <v>#N/A</v>
      </c>
      <c r="AB275" s="106" t="e">
        <f ca="1">VLOOKUP(Tableau1[[#This Row],[Key(ID-Actif)]],'DATA BTO'!A:N,6,FALSE)</f>
        <v>#N/A</v>
      </c>
      <c r="AC275" s="79" t="e">
        <f ca="1">VLOOKUP(Tableau1[[#This Row],[Key(ID-Actif)]],'DATA BTO'!A:N,7,FALSE)</f>
        <v>#N/A</v>
      </c>
      <c r="AD275" s="79" t="e">
        <f ca="1">VLOOKUP(Tableau1[[#This Row],[Key(ID-Actif)]],'DATA BTO'!A:N,8,FALSE)</f>
        <v>#N/A</v>
      </c>
      <c r="AE275" s="79" t="e">
        <f ca="1">IF(Tableau1[[#This Row],[First Day to POL]]&lt;=Tableau1[[#This Row],[Day Cut Off]],Tableau1[[#This Row],[Day ETD]],Tableau1[[#This Row],[Day ETD]]+7)</f>
        <v>#N/A</v>
      </c>
      <c r="AF275" s="79" t="e">
        <f ca="1">VLOOKUP(Tableau1[[#This Row],[Key(ID-Actif)]],'DATA BTO'!A:N,9,FALSE)</f>
        <v>#N/A</v>
      </c>
      <c r="AG275" s="106" t="e">
        <f ca="1">VLOOKUP(Tableau1[[#This Row],[Key(ID-Actif)]],'DATA BTO'!A:N,10,FALSE)</f>
        <v>#N/A</v>
      </c>
      <c r="AH275" s="106" t="e">
        <f ca="1">VLOOKUP(Tableau1[[#This Row],[Key(ID-Actif)]],'DATA BTO'!A:N,11,FALSE)</f>
        <v>#N/A</v>
      </c>
      <c r="AI275" s="79" t="e">
        <f ca="1">VLOOKUP(Tableau1[[#This Row],[Key(ID-Actif)]],'DATA BTO'!A:N,12,FALSE)</f>
        <v>#N/A</v>
      </c>
      <c r="AJ275" s="104" t="e">
        <f ca="1">VLOOKUP(Tableau1[[#This Row],[Key(ID-Actif)]],'DATA BTO'!A:N,14,FALSE)</f>
        <v>#N/A</v>
      </c>
      <c r="AK275" s="105" t="e">
        <f ca="1">VLOOKUP(Tableau1[[#This Row],[Key(POD -PFI- Usine)]],'DATA Consignee'!A:F,6,FALSE)</f>
        <v>#N/A</v>
      </c>
      <c r="AL275" s="100"/>
      <c r="AM275" s="486" t="str">
        <f>IF(Tableau1[[#This Row],[Name PFI/CDD]]="","-",VLOOKUP(Tableau1[[#This Row],[Name PFI/CDD]],Plant_AILN!I:J,2,FALSE))</f>
        <v>-</v>
      </c>
      <c r="AN27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5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5" s="108" t="e">
        <f ca="1">VLOOKUP(Tableau1[[#This Row],[Key(POD -PFI- Usine)]],'DATA Consignee'!A:J,10,FALSE)</f>
        <v>#N/A</v>
      </c>
      <c r="AQ275" s="79" t="e">
        <f ca="1">VLOOKUP(Tableau1[[#This Row],[Key(POD -PFI- Usine)]],'DATA Consignee'!A:N,14,FALSE)</f>
        <v>#N/A</v>
      </c>
      <c r="AR27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5" s="79" t="e">
        <f ca="1">Tableau1[[#This Row],[Transit time]]+Tableau1[[#This Row],[Time for security]]+Tableau1[[#This Row],[Time for security2 buffer]]</f>
        <v>#N/A</v>
      </c>
      <c r="AU27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5" s="79" t="e">
        <f ca="1">Tableau1[[#This Row],[Leadtime SI2C]]+Tableau1[[#This Row],[First Receipt Days]]-Tableau1[[#This Row],[Day Customer Order]]+1</f>
        <v>#N/A</v>
      </c>
      <c r="AW275" s="118" t="e">
        <f ca="1">IF(Tableau1[[#This Row],[Name ILN]]&lt;&gt;"SFK Freight Forwarder",Tableau1[[#This Row],[Cust. Leadtime]],Tableau1[[#This Row],[Leadtime SI2C]])</f>
        <v>#N/A</v>
      </c>
      <c r="AX275" s="74" t="e">
        <f>VLOOKUP(Tableau1[[#This Row],[ID]],'DATA BTO'!B:P,15,FALSE)</f>
        <v>#N/A</v>
      </c>
      <c r="AY275" s="347" t="e">
        <f ca="1">IFERROR(VLOOKUP(Tableau1[[#This Row],[Key(ID-Actif)]],'DATA BTO'!A:N,4,FALSE),VLOOKUP(Tableau1[[#This Row],[ID]],'DATA BTO'!B:N,3,FALSE))</f>
        <v>#N/A</v>
      </c>
      <c r="AZ275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5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5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5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5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5" s="79"/>
    </row>
    <row r="276" spans="2:57">
      <c r="B276" s="64" t="str">
        <f>_xlfn.CONCAT(Tableau1[[#This Row],[Name ILN]],"-",Tableau1[[#This Row],[Name Shipper]],"-",Tableau1[[#This Row],[Name Site]])</f>
        <v>--</v>
      </c>
      <c r="C276" s="64" t="e">
        <f>_xlfn.CONCAT(Tableau1[[#This Row],[Compte ILN]],"-",Tableau1[[#This Row],[Compte Shipper]],"-",Tableau1[[#This Row],[POL]],"-",Tableau1[[#This Row],[Compte Consignee]])</f>
        <v>#N/A</v>
      </c>
      <c r="D276" s="64" t="e">
        <f>_xlfn.CONCAT(Tableau1[[#This Row],[Compte ILN]],"-",Tableau1[[#This Row],[Compte Shipper]],"-",Tableau1[[#This Row],[POL]])</f>
        <v>#N/A</v>
      </c>
      <c r="E276" s="128" t="e">
        <f ca="1">_xlfn.CONCAT(Tableau1[[#This Row],[POL]],"-",Tableau1[[#This Row],[Carrier]],"-",Tableau1[[#This Row],[POD]])</f>
        <v>#N/A</v>
      </c>
      <c r="F276" s="64" t="str">
        <f>_xlfn.CONCAT(Tableau1[[#This Row],[ID]],"-","Actif")</f>
        <v>-Actif</v>
      </c>
      <c r="G276" s="64" t="e">
        <f ca="1">_xlfn.CONCAT(Tableau1[[#This Row],[POD]],"-",Tableau1[[#This Row],[Code PFI]],"-",Tableau1[[#This Row],[Compte Consignee]])</f>
        <v>#N/A</v>
      </c>
      <c r="H27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6" s="117" t="str">
        <f ca="1">IF(COUNTIF(I:I,Tableau1[[#This Row],[Plant-ILN-shipper-POL-Carrier-POD-PFI]])=1,"Non","Oui")</f>
        <v>Oui</v>
      </c>
      <c r="K276" s="126" t="e">
        <f>VLOOKUP(Tableau1[[#This Row],[Name Site]],Plant_AILN!A:D,4,FALSE)</f>
        <v>#N/A</v>
      </c>
      <c r="L276" s="10"/>
      <c r="M276" s="480" t="e">
        <f>VLOOKUP(Tableau1[[#This Row],[Name Site]],Plant_AILN!A:C,3,FALSE)</f>
        <v>#N/A</v>
      </c>
      <c r="N276" s="55" t="e">
        <f>VLOOKUP(Tableau1[[#This Row],[Compte Consignee]],Order!C:D,2,FALSE)</f>
        <v>#N/A</v>
      </c>
      <c r="O276" s="123"/>
      <c r="P276" s="481" t="e">
        <f>VLOOKUP(Tableau1[[#This Row],[Name ILN]],Plant_AILN!F:G,2,FALSE)</f>
        <v>#N/A</v>
      </c>
      <c r="Q276" s="50" t="e">
        <f>VLOOKUP(Tableau1[[#This Row],[Compte ILN]],'DATA ILN'!D:I,6,FALSE)</f>
        <v>#N/A</v>
      </c>
      <c r="R276" s="50" t="e">
        <f>IFERROR(VLOOKUP(Tableau1[[#This Row],[Key(Compte ILN - shipper - POL - plant)]],'DATA ILN'!A:J,10,FALSE),VLOOKUP(Tableau1[[#This Row],[Key(Compte ILN - shipper - POL)]],'DATA ILN'!B:J,9,FALSE))</f>
        <v>#N/A</v>
      </c>
      <c r="S276" s="50" t="e">
        <f>IFERROR(VLOOKUP(Tableau1[[#This Row],[Key(Compte ILN - shipper - POL - plant)]],'DATA ILN'!A:K,11,FALSE),VLOOKUP(Tableau1[[#This Row],[Key(Compte ILN - shipper - POL)]],'DATA ILN'!B:K,10,FALSE))</f>
        <v>#N/A</v>
      </c>
      <c r="T276" s="50" t="e">
        <f>IFERROR(VLOOKUP(Tableau1[[#This Row],[Key(Compte ILN - shipper - POL - plant)]],'DATA ILN'!A:L,12,FALSE),VLOOKUP(Tableau1[[#This Row],[Key(Compte ILN - shipper - POL)]],'DATA ILN'!B:L,11,FALSE))</f>
        <v>#N/A</v>
      </c>
      <c r="U276" s="50" t="e">
        <f>Tableau1[[#This Row],[Day ILN Order]]+Tableau1[[#This Row],[Delivery time to ILN/Shipper]]-1</f>
        <v>#N/A</v>
      </c>
      <c r="V276" s="50" t="e">
        <f>IFERROR(VLOOKUP(Tableau1[[#This Row],[Key(Compte ILN - shipper - POL - plant)]],'DATA ILN'!A:N,14,FALSE),VLOOKUP(Tableau1[[#This Row],[Key(Compte ILN - shipper - POL)]],'DATA ILN'!B:N,13,FALSE))</f>
        <v>#N/A</v>
      </c>
      <c r="W276" s="50" t="e">
        <f>IFERROR(VLOOKUP(Tableau1[[#This Row],[Key(Compte ILN - shipper - POL - plant)]],'DATA ILN'!A:P,16,FALSE),VLOOKUP(Tableau1[[#This Row],[Key(Compte ILN - shipper - POL)]],'DATA ILN'!B:P,15,FALSE))</f>
        <v>#N/A</v>
      </c>
      <c r="X276" s="458"/>
      <c r="Y276" s="489">
        <f>IFERROR(VLOOKUP(Tableau1[[#This Row],[Name Shipper]],Plant_AILN!L:M,2,FALSE),0)</f>
        <v>0</v>
      </c>
      <c r="Z276" s="358"/>
      <c r="AA276" s="353" t="e">
        <f ca="1">VLOOKUP(Tableau1[[#This Row],[Key(ID-Actif)]],'DATA BTO'!A:N,5,FALSE)</f>
        <v>#N/A</v>
      </c>
      <c r="AB276" s="3" t="e">
        <f ca="1">VLOOKUP(Tableau1[[#This Row],[Key(ID-Actif)]],'DATA BTO'!A:N,6,FALSE)</f>
        <v>#N/A</v>
      </c>
      <c r="AC276" s="50" t="e">
        <f ca="1">VLOOKUP(Tableau1[[#This Row],[Key(ID-Actif)]],'DATA BTO'!A:N,7,FALSE)</f>
        <v>#N/A</v>
      </c>
      <c r="AD276" s="50" t="e">
        <f ca="1">VLOOKUP(Tableau1[[#This Row],[Key(ID-Actif)]],'DATA BTO'!A:N,8,FALSE)</f>
        <v>#N/A</v>
      </c>
      <c r="AE276" s="79" t="e">
        <f ca="1">IF(Tableau1[[#This Row],[First Day to POL]]&lt;=Tableau1[[#This Row],[Day Cut Off]],Tableau1[[#This Row],[Day ETD]],Tableau1[[#This Row],[Day ETD]]+7)</f>
        <v>#N/A</v>
      </c>
      <c r="AF276" s="50" t="e">
        <f ca="1">VLOOKUP(Tableau1[[#This Row],[Key(ID-Actif)]],'DATA BTO'!A:N,9,FALSE)</f>
        <v>#N/A</v>
      </c>
      <c r="AG276" s="3" t="e">
        <f ca="1">VLOOKUP(Tableau1[[#This Row],[Key(ID-Actif)]],'DATA BTO'!A:N,10,FALSE)</f>
        <v>#N/A</v>
      </c>
      <c r="AH276" s="3" t="e">
        <f ca="1">VLOOKUP(Tableau1[[#This Row],[Key(ID-Actif)]],'DATA BTO'!A:N,11,FALSE)</f>
        <v>#N/A</v>
      </c>
      <c r="AI276" s="50" t="e">
        <f ca="1">VLOOKUP(Tableau1[[#This Row],[Key(ID-Actif)]],'DATA BTO'!A:N,12,FALSE)</f>
        <v>#N/A</v>
      </c>
      <c r="AJ276" s="53" t="e">
        <f ca="1">VLOOKUP(Tableau1[[#This Row],[Key(ID-Actif)]],'DATA BTO'!A:N,14,FALSE)</f>
        <v>#N/A</v>
      </c>
      <c r="AK276" s="54" t="e">
        <f ca="1">VLOOKUP(Tableau1[[#This Row],[Key(POD -PFI- Usine)]],'DATA Consignee'!A:F,6,FALSE)</f>
        <v>#N/A</v>
      </c>
      <c r="AL276" s="283"/>
      <c r="AM276" s="490" t="str">
        <f>IF(Tableau1[[#This Row],[Name PFI/CDD]]="","-",VLOOKUP(Tableau1[[#This Row],[Name PFI/CDD]],Plant_AILN!I:J,2,FALSE))</f>
        <v>-</v>
      </c>
      <c r="AN27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6" s="2" t="e">
        <f ca="1">VLOOKUP(Tableau1[[#This Row],[Key(POD -PFI- Usine)]],'DATA Consignee'!A:J,10,FALSE)</f>
        <v>#N/A</v>
      </c>
      <c r="AQ276" s="50" t="e">
        <f ca="1">VLOOKUP(Tableau1[[#This Row],[Key(POD -PFI- Usine)]],'DATA Consignee'!A:N,14,FALSE)</f>
        <v>#N/A</v>
      </c>
      <c r="AR27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6" s="50" t="e">
        <f ca="1">Tableau1[[#This Row],[Transit time]]+Tableau1[[#This Row],[Time for security]]+Tableau1[[#This Row],[Time for security2 buffer]]</f>
        <v>#N/A</v>
      </c>
      <c r="AU27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6" s="50" t="e">
        <f ca="1">Tableau1[[#This Row],[Leadtime SI2C]]+Tableau1[[#This Row],[First Receipt Days]]-Tableau1[[#This Row],[Day Customer Order]]+1</f>
        <v>#N/A</v>
      </c>
      <c r="AW276" s="117" t="e">
        <f ca="1">IF(Tableau1[[#This Row],[Name ILN]]&lt;&gt;"SFK Freight Forwarder",Tableau1[[#This Row],[Cust. Leadtime]],Tableau1[[#This Row],[Leadtime SI2C]])</f>
        <v>#N/A</v>
      </c>
      <c r="AX276" s="57" t="e">
        <f>VLOOKUP(Tableau1[[#This Row],[ID]],'DATA BTO'!B:P,15,FALSE)</f>
        <v>#N/A</v>
      </c>
      <c r="AY276" s="328" t="e">
        <f ca="1">IFERROR(VLOOKUP(Tableau1[[#This Row],[Key(ID-Actif)]],'DATA BTO'!A:N,4,FALSE),VLOOKUP(Tableau1[[#This Row],[ID]],'DATA BTO'!B:N,3,FALSE))</f>
        <v>#N/A</v>
      </c>
      <c r="AZ27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6" s="50"/>
    </row>
    <row r="277" spans="2:57">
      <c r="B277" s="64" t="str">
        <f>_xlfn.CONCAT(Tableau1[[#This Row],[Name ILN]],"-",Tableau1[[#This Row],[Name Shipper]],"-",Tableau1[[#This Row],[Name Site]])</f>
        <v>--</v>
      </c>
      <c r="C277" s="64" t="e">
        <f>_xlfn.CONCAT(Tableau1[[#This Row],[Compte ILN]],"-",Tableau1[[#This Row],[Compte Shipper]],"-",Tableau1[[#This Row],[POL]],"-",Tableau1[[#This Row],[Compte Consignee]])</f>
        <v>#N/A</v>
      </c>
      <c r="D277" s="64" t="e">
        <f>_xlfn.CONCAT(Tableau1[[#This Row],[Compte ILN]],"-",Tableau1[[#This Row],[Compte Shipper]],"-",Tableau1[[#This Row],[POL]])</f>
        <v>#N/A</v>
      </c>
      <c r="E277" s="128" t="e">
        <f ca="1">_xlfn.CONCAT(Tableau1[[#This Row],[POL]],"-",Tableau1[[#This Row],[Carrier]],"-",Tableau1[[#This Row],[POD]])</f>
        <v>#N/A</v>
      </c>
      <c r="F277" s="64" t="str">
        <f>_xlfn.CONCAT(Tableau1[[#This Row],[ID]],"-","Actif")</f>
        <v>-Actif</v>
      </c>
      <c r="G277" s="64" t="e">
        <f ca="1">_xlfn.CONCAT(Tableau1[[#This Row],[POD]],"-",Tableau1[[#This Row],[Code PFI]],"-",Tableau1[[#This Row],[Compte Consignee]])</f>
        <v>#N/A</v>
      </c>
      <c r="H27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7" s="117" t="str">
        <f ca="1">IF(COUNTIF(I:I,Tableau1[[#This Row],[Plant-ILN-shipper-POL-Carrier-POD-PFI]])=1,"Non","Oui")</f>
        <v>Oui</v>
      </c>
      <c r="K277" s="126" t="e">
        <f>VLOOKUP(Tableau1[[#This Row],[Name Site]],Plant_AILN!A:D,4,FALSE)</f>
        <v>#N/A</v>
      </c>
      <c r="L277" s="10"/>
      <c r="M277" s="480" t="e">
        <f>VLOOKUP(Tableau1[[#This Row],[Name Site]],Plant_AILN!A:C,3,FALSE)</f>
        <v>#N/A</v>
      </c>
      <c r="N277" s="55" t="e">
        <f>VLOOKUP(Tableau1[[#This Row],[Compte Consignee]],Order!C:D,2,FALSE)</f>
        <v>#N/A</v>
      </c>
      <c r="O277" s="122"/>
      <c r="P277" s="481" t="e">
        <f>VLOOKUP(Tableau1[[#This Row],[Name ILN]],Plant_AILN!F:G,2,FALSE)</f>
        <v>#N/A</v>
      </c>
      <c r="Q277" s="50" t="e">
        <f>VLOOKUP(Tableau1[[#This Row],[Compte ILN]],'DATA ILN'!D:I,6,FALSE)</f>
        <v>#N/A</v>
      </c>
      <c r="R277" s="50" t="e">
        <f>IFERROR(VLOOKUP(Tableau1[[#This Row],[Key(Compte ILN - shipper - POL - plant)]],'DATA ILN'!A:J,10,FALSE),VLOOKUP(Tableau1[[#This Row],[Key(Compte ILN - shipper - POL)]],'DATA ILN'!B:J,9,FALSE))</f>
        <v>#N/A</v>
      </c>
      <c r="S277" s="50" t="e">
        <f>IFERROR(VLOOKUP(Tableau1[[#This Row],[Key(Compte ILN - shipper - POL - plant)]],'DATA ILN'!A:K,11,FALSE),VLOOKUP(Tableau1[[#This Row],[Key(Compte ILN - shipper - POL)]],'DATA ILN'!B:K,10,FALSE))</f>
        <v>#N/A</v>
      </c>
      <c r="T277" s="50" t="e">
        <f>IFERROR(VLOOKUP(Tableau1[[#This Row],[Key(Compte ILN - shipper - POL - plant)]],'DATA ILN'!A:L,12,FALSE),VLOOKUP(Tableau1[[#This Row],[Key(Compte ILN - shipper - POL)]],'DATA ILN'!B:L,11,FALSE))</f>
        <v>#N/A</v>
      </c>
      <c r="U277" s="50" t="e">
        <f>Tableau1[[#This Row],[Day ILN Order]]+Tableau1[[#This Row],[Delivery time to ILN/Shipper]]-1</f>
        <v>#N/A</v>
      </c>
      <c r="V277" s="50" t="e">
        <f>IFERROR(VLOOKUP(Tableau1[[#This Row],[Key(Compte ILN - shipper - POL - plant)]],'DATA ILN'!A:N,14,FALSE),VLOOKUP(Tableau1[[#This Row],[Key(Compte ILN - shipper - POL)]],'DATA ILN'!B:N,13,FALSE))</f>
        <v>#N/A</v>
      </c>
      <c r="W277" s="50" t="e">
        <f>IFERROR(VLOOKUP(Tableau1[[#This Row],[Key(Compte ILN - shipper - POL - plant)]],'DATA ILN'!A:P,16,FALSE),VLOOKUP(Tableau1[[#This Row],[Key(Compte ILN - shipper - POL)]],'DATA ILN'!B:P,15,FALSE))</f>
        <v>#N/A</v>
      </c>
      <c r="X277" s="283"/>
      <c r="Y277" s="489">
        <f>IFERROR(VLOOKUP(Tableau1[[#This Row],[Name Shipper]],Plant_AILN!L:M,2,FALSE),0)</f>
        <v>0</v>
      </c>
      <c r="Z277" s="358"/>
      <c r="AA277" s="353" t="e">
        <f ca="1">VLOOKUP(Tableau1[[#This Row],[Key(ID-Actif)]],'DATA BTO'!A:N,5,FALSE)</f>
        <v>#N/A</v>
      </c>
      <c r="AB277" s="3" t="e">
        <f ca="1">VLOOKUP(Tableau1[[#This Row],[Key(ID-Actif)]],'DATA BTO'!A:N,6,FALSE)</f>
        <v>#N/A</v>
      </c>
      <c r="AC277" s="50" t="e">
        <f ca="1">VLOOKUP(Tableau1[[#This Row],[Key(ID-Actif)]],'DATA BTO'!A:N,7,FALSE)</f>
        <v>#N/A</v>
      </c>
      <c r="AD277" s="50" t="e">
        <f ca="1">VLOOKUP(Tableau1[[#This Row],[Key(ID-Actif)]],'DATA BTO'!A:N,8,FALSE)</f>
        <v>#N/A</v>
      </c>
      <c r="AE277" s="79" t="e">
        <f ca="1">IF(Tableau1[[#This Row],[First Day to POL]]&lt;=Tableau1[[#This Row],[Day Cut Off]],Tableau1[[#This Row],[Day ETD]],Tableau1[[#This Row],[Day ETD]]+7)</f>
        <v>#N/A</v>
      </c>
      <c r="AF277" s="50" t="e">
        <f ca="1">VLOOKUP(Tableau1[[#This Row],[Key(ID-Actif)]],'DATA BTO'!A:N,9,FALSE)</f>
        <v>#N/A</v>
      </c>
      <c r="AG277" s="3" t="e">
        <f ca="1">VLOOKUP(Tableau1[[#This Row],[Key(ID-Actif)]],'DATA BTO'!A:N,10,FALSE)</f>
        <v>#N/A</v>
      </c>
      <c r="AH277" s="3" t="e">
        <f ca="1">VLOOKUP(Tableau1[[#This Row],[Key(ID-Actif)]],'DATA BTO'!A:N,11,FALSE)</f>
        <v>#N/A</v>
      </c>
      <c r="AI277" s="50" t="e">
        <f ca="1">VLOOKUP(Tableau1[[#This Row],[Key(ID-Actif)]],'DATA BTO'!A:N,12,FALSE)</f>
        <v>#N/A</v>
      </c>
      <c r="AJ277" s="53" t="e">
        <f ca="1">VLOOKUP(Tableau1[[#This Row],[Key(ID-Actif)]],'DATA BTO'!A:N,14,FALSE)</f>
        <v>#N/A</v>
      </c>
      <c r="AK277" s="54" t="e">
        <f ca="1">VLOOKUP(Tableau1[[#This Row],[Key(POD -PFI- Usine)]],'DATA Consignee'!A:F,6,FALSE)</f>
        <v>#N/A</v>
      </c>
      <c r="AL277" s="283"/>
      <c r="AM277" s="490" t="str">
        <f>IF(Tableau1[[#This Row],[Name PFI/CDD]]="","-",VLOOKUP(Tableau1[[#This Row],[Name PFI/CDD]],Plant_AILN!I:J,2,FALSE))</f>
        <v>-</v>
      </c>
      <c r="AN27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7" s="2" t="e">
        <f ca="1">VLOOKUP(Tableau1[[#This Row],[Key(POD -PFI- Usine)]],'DATA Consignee'!A:J,10,FALSE)</f>
        <v>#N/A</v>
      </c>
      <c r="AQ277" s="50" t="e">
        <f ca="1">VLOOKUP(Tableau1[[#This Row],[Key(POD -PFI- Usine)]],'DATA Consignee'!A:N,14,FALSE)</f>
        <v>#N/A</v>
      </c>
      <c r="AR27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7" s="50" t="e">
        <f ca="1">Tableau1[[#This Row],[Transit time]]+Tableau1[[#This Row],[Time for security]]+Tableau1[[#This Row],[Time for security2 buffer]]</f>
        <v>#N/A</v>
      </c>
      <c r="AU27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7" s="50" t="e">
        <f ca="1">Tableau1[[#This Row],[Leadtime SI2C]]+Tableau1[[#This Row],[First Receipt Days]]-Tableau1[[#This Row],[Day Customer Order]]+1</f>
        <v>#N/A</v>
      </c>
      <c r="AW277" s="117" t="e">
        <f ca="1">IF(Tableau1[[#This Row],[Name ILN]]&lt;&gt;"SFK Freight Forwarder",Tableau1[[#This Row],[Cust. Leadtime]],Tableau1[[#This Row],[Leadtime SI2C]])</f>
        <v>#N/A</v>
      </c>
      <c r="AX277" s="57" t="e">
        <f>VLOOKUP(Tableau1[[#This Row],[ID]],'DATA BTO'!B:P,15,FALSE)</f>
        <v>#N/A</v>
      </c>
      <c r="AY277" s="328" t="e">
        <f ca="1">IFERROR(VLOOKUP(Tableau1[[#This Row],[Key(ID-Actif)]],'DATA BTO'!A:N,4,FALSE),VLOOKUP(Tableau1[[#This Row],[ID]],'DATA BTO'!B:N,3,FALSE))</f>
        <v>#N/A</v>
      </c>
      <c r="AZ27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7" s="50"/>
    </row>
    <row r="278" spans="2:57">
      <c r="B278" s="64" t="str">
        <f>_xlfn.CONCAT(Tableau1[[#This Row],[Name ILN]],"-",Tableau1[[#This Row],[Name Shipper]],"-",Tableau1[[#This Row],[Name Site]])</f>
        <v>--</v>
      </c>
      <c r="C278" s="64" t="e">
        <f>_xlfn.CONCAT(Tableau1[[#This Row],[Compte ILN]],"-",Tableau1[[#This Row],[Compte Shipper]],"-",Tableau1[[#This Row],[POL]],"-",Tableau1[[#This Row],[Compte Consignee]])</f>
        <v>#N/A</v>
      </c>
      <c r="D278" s="64" t="e">
        <f>_xlfn.CONCAT(Tableau1[[#This Row],[Compte ILN]],"-",Tableau1[[#This Row],[Compte Shipper]],"-",Tableau1[[#This Row],[POL]])</f>
        <v>#N/A</v>
      </c>
      <c r="E278" s="128" t="e">
        <f ca="1">_xlfn.CONCAT(Tableau1[[#This Row],[POL]],"-",Tableau1[[#This Row],[Carrier]],"-",Tableau1[[#This Row],[POD]])</f>
        <v>#N/A</v>
      </c>
      <c r="F278" s="64" t="str">
        <f>_xlfn.CONCAT(Tableau1[[#This Row],[ID]],"-","Actif")</f>
        <v>-Actif</v>
      </c>
      <c r="G278" s="64" t="e">
        <f ca="1">_xlfn.CONCAT(Tableau1[[#This Row],[POD]],"-",Tableau1[[#This Row],[Code PFI]],"-",Tableau1[[#This Row],[Compte Consignee]])</f>
        <v>#N/A</v>
      </c>
      <c r="H27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8" s="117" t="str">
        <f ca="1">IF(COUNTIF(I:I,Tableau1[[#This Row],[Plant-ILN-shipper-POL-Carrier-POD-PFI]])=1,"Non","Oui")</f>
        <v>Oui</v>
      </c>
      <c r="K278" s="126" t="e">
        <f>VLOOKUP(Tableau1[[#This Row],[Name Site]],Plant_AILN!A:D,4,FALSE)</f>
        <v>#N/A</v>
      </c>
      <c r="L278" s="364"/>
      <c r="M278" s="480" t="e">
        <f>VLOOKUP(Tableau1[[#This Row],[Name Site]],Plant_AILN!A:C,3,FALSE)</f>
        <v>#N/A</v>
      </c>
      <c r="N278" s="55" t="e">
        <f>VLOOKUP(Tableau1[[#This Row],[Compte Consignee]],Order!C:D,2,FALSE)</f>
        <v>#N/A</v>
      </c>
      <c r="O278" s="122"/>
      <c r="P278" s="481" t="e">
        <f>VLOOKUP(Tableau1[[#This Row],[Name ILN]],Plant_AILN!F:G,2,FALSE)</f>
        <v>#N/A</v>
      </c>
      <c r="Q278" s="50" t="e">
        <f>VLOOKUP(Tableau1[[#This Row],[Compte ILN]],'DATA ILN'!D:I,6,FALSE)</f>
        <v>#N/A</v>
      </c>
      <c r="R278" s="50" t="e">
        <f>IFERROR(VLOOKUP(Tableau1[[#This Row],[Key(Compte ILN - shipper - POL - plant)]],'DATA ILN'!A:J,10,FALSE),VLOOKUP(Tableau1[[#This Row],[Key(Compte ILN - shipper - POL)]],'DATA ILN'!B:J,9,FALSE))</f>
        <v>#N/A</v>
      </c>
      <c r="S278" s="50" t="e">
        <f>IFERROR(VLOOKUP(Tableau1[[#This Row],[Key(Compte ILN - shipper - POL - plant)]],'DATA ILN'!A:K,11,FALSE),VLOOKUP(Tableau1[[#This Row],[Key(Compte ILN - shipper - POL)]],'DATA ILN'!B:K,10,FALSE))</f>
        <v>#N/A</v>
      </c>
      <c r="T278" s="50" t="e">
        <f>IFERROR(VLOOKUP(Tableau1[[#This Row],[Key(Compte ILN - shipper - POL - plant)]],'DATA ILN'!A:L,12,FALSE),VLOOKUP(Tableau1[[#This Row],[Key(Compte ILN - shipper - POL)]],'DATA ILN'!B:L,11,FALSE))</f>
        <v>#N/A</v>
      </c>
      <c r="U278" s="50" t="e">
        <f>Tableau1[[#This Row],[Day ILN Order]]+Tableau1[[#This Row],[Delivery time to ILN/Shipper]]-1</f>
        <v>#N/A</v>
      </c>
      <c r="V278" s="50" t="e">
        <f>IFERROR(VLOOKUP(Tableau1[[#This Row],[Key(Compte ILN - shipper - POL - plant)]],'DATA ILN'!A:N,14,FALSE),VLOOKUP(Tableau1[[#This Row],[Key(Compte ILN - shipper - POL)]],'DATA ILN'!B:N,13,FALSE))</f>
        <v>#N/A</v>
      </c>
      <c r="W278" s="50" t="e">
        <f>IFERROR(VLOOKUP(Tableau1[[#This Row],[Key(Compte ILN - shipper - POL - plant)]],'DATA ILN'!A:P,16,FALSE),VLOOKUP(Tableau1[[#This Row],[Key(Compte ILN - shipper - POL)]],'DATA ILN'!B:P,15,FALSE))</f>
        <v>#N/A</v>
      </c>
      <c r="X278" s="283"/>
      <c r="Y278" s="489">
        <f>IFERROR(VLOOKUP(Tableau1[[#This Row],[Name Shipper]],Plant_AILN!L:M,2,FALSE),0)</f>
        <v>0</v>
      </c>
      <c r="Z278" s="358"/>
      <c r="AA278" s="353" t="e">
        <f ca="1">VLOOKUP(Tableau1[[#This Row],[Key(ID-Actif)]],'DATA BTO'!A:N,5,FALSE)</f>
        <v>#N/A</v>
      </c>
      <c r="AB278" s="3" t="e">
        <f ca="1">VLOOKUP(Tableau1[[#This Row],[Key(ID-Actif)]],'DATA BTO'!A:N,6,FALSE)</f>
        <v>#N/A</v>
      </c>
      <c r="AC278" s="50" t="e">
        <f ca="1">VLOOKUP(Tableau1[[#This Row],[Key(ID-Actif)]],'DATA BTO'!A:N,7,FALSE)</f>
        <v>#N/A</v>
      </c>
      <c r="AD278" s="50" t="e">
        <f ca="1">VLOOKUP(Tableau1[[#This Row],[Key(ID-Actif)]],'DATA BTO'!A:N,8,FALSE)</f>
        <v>#N/A</v>
      </c>
      <c r="AE278" s="406" t="e">
        <f ca="1">IF(Tableau1[[#This Row],[First Day to POL]]&lt;=Tableau1[[#This Row],[Day Cut Off]],Tableau1[[#This Row],[Day ETD]],Tableau1[[#This Row],[Day ETD]]+7)</f>
        <v>#N/A</v>
      </c>
      <c r="AF278" s="50" t="e">
        <f ca="1">VLOOKUP(Tableau1[[#This Row],[Key(ID-Actif)]],'DATA BTO'!A:N,9,FALSE)</f>
        <v>#N/A</v>
      </c>
      <c r="AG278" s="3" t="e">
        <f ca="1">VLOOKUP(Tableau1[[#This Row],[Key(ID-Actif)]],'DATA BTO'!A:N,10,FALSE)</f>
        <v>#N/A</v>
      </c>
      <c r="AH278" s="3" t="e">
        <f ca="1">VLOOKUP(Tableau1[[#This Row],[Key(ID-Actif)]],'DATA BTO'!A:N,11,FALSE)</f>
        <v>#N/A</v>
      </c>
      <c r="AI278" s="50" t="e">
        <f ca="1">VLOOKUP(Tableau1[[#This Row],[Key(ID-Actif)]],'DATA BTO'!A:N,12,FALSE)</f>
        <v>#N/A</v>
      </c>
      <c r="AJ278" s="53" t="e">
        <f ca="1">VLOOKUP(Tableau1[[#This Row],[Key(ID-Actif)]],'DATA BTO'!A:N,14,FALSE)</f>
        <v>#N/A</v>
      </c>
      <c r="AK278" s="54" t="e">
        <f ca="1">VLOOKUP(Tableau1[[#This Row],[Key(POD -PFI- Usine)]],'DATA Consignee'!A:F,6,FALSE)</f>
        <v>#N/A</v>
      </c>
      <c r="AL278" s="462"/>
      <c r="AM278" s="490" t="str">
        <f>IF(Tableau1[[#This Row],[Name PFI/CDD]]="","-",VLOOKUP(Tableau1[[#This Row],[Name PFI/CDD]],Plant_AILN!I:J,2,FALSE))</f>
        <v>-</v>
      </c>
      <c r="AN27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8" s="2" t="e">
        <f ca="1">VLOOKUP(Tableau1[[#This Row],[Key(POD -PFI- Usine)]],'DATA Consignee'!A:J,10,FALSE)</f>
        <v>#N/A</v>
      </c>
      <c r="AQ278" s="50" t="e">
        <f ca="1">VLOOKUP(Tableau1[[#This Row],[Key(POD -PFI- Usine)]],'DATA Consignee'!A:N,14,FALSE)</f>
        <v>#N/A</v>
      </c>
      <c r="AR27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8" s="50" t="e">
        <f ca="1">Tableau1[[#This Row],[Transit time]]+Tableau1[[#This Row],[Time for security]]+Tableau1[[#This Row],[Time for security2 buffer]]</f>
        <v>#N/A</v>
      </c>
      <c r="AU27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8" s="50" t="e">
        <f ca="1">Tableau1[[#This Row],[Leadtime SI2C]]+Tableau1[[#This Row],[First Receipt Days]]-Tableau1[[#This Row],[Day Customer Order]]+1</f>
        <v>#N/A</v>
      </c>
      <c r="AW278" s="117" t="e">
        <f ca="1">IF(Tableau1[[#This Row],[Name ILN]]&lt;&gt;"SFK Freight Forwarder",Tableau1[[#This Row],[Cust. Leadtime]],Tableau1[[#This Row],[Leadtime SI2C]])</f>
        <v>#N/A</v>
      </c>
      <c r="AX278" s="57" t="e">
        <f>VLOOKUP(Tableau1[[#This Row],[ID]],'DATA BTO'!B:P,15,FALSE)</f>
        <v>#N/A</v>
      </c>
      <c r="AY278" s="328" t="e">
        <f ca="1">IFERROR(VLOOKUP(Tableau1[[#This Row],[Key(ID-Actif)]],'DATA BTO'!A:N,4,FALSE),VLOOKUP(Tableau1[[#This Row],[ID]],'DATA BTO'!B:N,3,FALSE))</f>
        <v>#N/A</v>
      </c>
      <c r="AZ27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8" s="50"/>
    </row>
    <row r="279" spans="2:57">
      <c r="B279" s="64" t="str">
        <f>_xlfn.CONCAT(Tableau1[[#This Row],[Name ILN]],"-",Tableau1[[#This Row],[Name Shipper]],"-",Tableau1[[#This Row],[Name Site]])</f>
        <v>--</v>
      </c>
      <c r="C279" s="64" t="e">
        <f>_xlfn.CONCAT(Tableau1[[#This Row],[Compte ILN]],"-",Tableau1[[#This Row],[Compte Shipper]],"-",Tableau1[[#This Row],[POL]],"-",Tableau1[[#This Row],[Compte Consignee]])</f>
        <v>#N/A</v>
      </c>
      <c r="D279" s="64" t="e">
        <f>_xlfn.CONCAT(Tableau1[[#This Row],[Compte ILN]],"-",Tableau1[[#This Row],[Compte Shipper]],"-",Tableau1[[#This Row],[POL]])</f>
        <v>#N/A</v>
      </c>
      <c r="E279" s="128" t="e">
        <f ca="1">_xlfn.CONCAT(Tableau1[[#This Row],[POL]],"-",Tableau1[[#This Row],[Carrier]],"-",Tableau1[[#This Row],[POD]])</f>
        <v>#N/A</v>
      </c>
      <c r="F279" s="64" t="str">
        <f>_xlfn.CONCAT(Tableau1[[#This Row],[ID]],"-","Actif")</f>
        <v>-Actif</v>
      </c>
      <c r="G279" s="64" t="e">
        <f ca="1">_xlfn.CONCAT(Tableau1[[#This Row],[POD]],"-",Tableau1[[#This Row],[Code PFI]],"-",Tableau1[[#This Row],[Compte Consignee]])</f>
        <v>#N/A</v>
      </c>
      <c r="H27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7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79" s="117" t="str">
        <f ca="1">IF(COUNTIF(I:I,Tableau1[[#This Row],[Plant-ILN-shipper-POL-Carrier-POD-PFI]])=1,"Non","Oui")</f>
        <v>Oui</v>
      </c>
      <c r="K279" s="126" t="e">
        <f>VLOOKUP(Tableau1[[#This Row],[Name Site]],Plant_AILN!A:D,4,FALSE)</f>
        <v>#N/A</v>
      </c>
      <c r="L279" s="364"/>
      <c r="M279" s="480" t="e">
        <f>VLOOKUP(Tableau1[[#This Row],[Name Site]],Plant_AILN!A:C,3,FALSE)</f>
        <v>#N/A</v>
      </c>
      <c r="N279" s="55" t="e">
        <f>VLOOKUP(Tableau1[[#This Row],[Compte Consignee]],Order!C:D,2,FALSE)</f>
        <v>#N/A</v>
      </c>
      <c r="O279" s="122"/>
      <c r="P279" s="481" t="e">
        <f>VLOOKUP(Tableau1[[#This Row],[Name ILN]],Plant_AILN!F:G,2,FALSE)</f>
        <v>#N/A</v>
      </c>
      <c r="Q279" s="50" t="e">
        <f>VLOOKUP(Tableau1[[#This Row],[Compte ILN]],'DATA ILN'!D:I,6,FALSE)</f>
        <v>#N/A</v>
      </c>
      <c r="R279" s="50" t="e">
        <f>IFERROR(VLOOKUP(Tableau1[[#This Row],[Key(Compte ILN - shipper - POL - plant)]],'DATA ILN'!A:J,10,FALSE),VLOOKUP(Tableau1[[#This Row],[Key(Compte ILN - shipper - POL)]],'DATA ILN'!B:J,9,FALSE))</f>
        <v>#N/A</v>
      </c>
      <c r="S279" s="50" t="e">
        <f>IFERROR(VLOOKUP(Tableau1[[#This Row],[Key(Compte ILN - shipper - POL - plant)]],'DATA ILN'!A:K,11,FALSE),VLOOKUP(Tableau1[[#This Row],[Key(Compte ILN - shipper - POL)]],'DATA ILN'!B:K,10,FALSE))</f>
        <v>#N/A</v>
      </c>
      <c r="T279" s="50" t="e">
        <f>IFERROR(VLOOKUP(Tableau1[[#This Row],[Key(Compte ILN - shipper - POL - plant)]],'DATA ILN'!A:L,12,FALSE),VLOOKUP(Tableau1[[#This Row],[Key(Compte ILN - shipper - POL)]],'DATA ILN'!B:L,11,FALSE))</f>
        <v>#N/A</v>
      </c>
      <c r="U279" s="50" t="e">
        <f>Tableau1[[#This Row],[Day ILN Order]]+Tableau1[[#This Row],[Delivery time to ILN/Shipper]]-1</f>
        <v>#N/A</v>
      </c>
      <c r="V279" s="50" t="e">
        <f>IFERROR(VLOOKUP(Tableau1[[#This Row],[Key(Compte ILN - shipper - POL - plant)]],'DATA ILN'!A:N,14,FALSE),VLOOKUP(Tableau1[[#This Row],[Key(Compte ILN - shipper - POL)]],'DATA ILN'!B:N,13,FALSE))</f>
        <v>#N/A</v>
      </c>
      <c r="W279" s="50" t="e">
        <f>IFERROR(VLOOKUP(Tableau1[[#This Row],[Key(Compte ILN - shipper - POL - plant)]],'DATA ILN'!A:P,16,FALSE),VLOOKUP(Tableau1[[#This Row],[Key(Compte ILN - shipper - POL)]],'DATA ILN'!B:P,15,FALSE))</f>
        <v>#N/A</v>
      </c>
      <c r="X279" s="283"/>
      <c r="Y279" s="489">
        <f>IFERROR(VLOOKUP(Tableau1[[#This Row],[Name Shipper]],Plant_AILN!L:M,2,FALSE),0)</f>
        <v>0</v>
      </c>
      <c r="Z279" s="358"/>
      <c r="AA279" s="353" t="e">
        <f ca="1">VLOOKUP(Tableau1[[#This Row],[Key(ID-Actif)]],'DATA BTO'!A:N,5,FALSE)</f>
        <v>#N/A</v>
      </c>
      <c r="AB279" s="3" t="e">
        <f ca="1">VLOOKUP(Tableau1[[#This Row],[Key(ID-Actif)]],'DATA BTO'!A:N,6,FALSE)</f>
        <v>#N/A</v>
      </c>
      <c r="AC279" s="50" t="e">
        <f ca="1">VLOOKUP(Tableau1[[#This Row],[Key(ID-Actif)]],'DATA BTO'!A:N,7,FALSE)</f>
        <v>#N/A</v>
      </c>
      <c r="AD279" s="50" t="e">
        <f ca="1">VLOOKUP(Tableau1[[#This Row],[Key(ID-Actif)]],'DATA BTO'!A:N,8,FALSE)</f>
        <v>#N/A</v>
      </c>
      <c r="AE279" s="406" t="e">
        <f ca="1">IF(Tableau1[[#This Row],[First Day to POL]]&lt;=Tableau1[[#This Row],[Day Cut Off]],Tableau1[[#This Row],[Day ETD]],Tableau1[[#This Row],[Day ETD]]+7)</f>
        <v>#N/A</v>
      </c>
      <c r="AF279" s="50" t="e">
        <f ca="1">VLOOKUP(Tableau1[[#This Row],[Key(ID-Actif)]],'DATA BTO'!A:N,9,FALSE)</f>
        <v>#N/A</v>
      </c>
      <c r="AG279" s="3" t="e">
        <f ca="1">VLOOKUP(Tableau1[[#This Row],[Key(ID-Actif)]],'DATA BTO'!A:N,10,FALSE)</f>
        <v>#N/A</v>
      </c>
      <c r="AH279" s="3" t="e">
        <f ca="1">VLOOKUP(Tableau1[[#This Row],[Key(ID-Actif)]],'DATA BTO'!A:N,11,FALSE)</f>
        <v>#N/A</v>
      </c>
      <c r="AI279" s="50" t="e">
        <f ca="1">VLOOKUP(Tableau1[[#This Row],[Key(ID-Actif)]],'DATA BTO'!A:N,12,FALSE)</f>
        <v>#N/A</v>
      </c>
      <c r="AJ279" s="53" t="e">
        <f ca="1">VLOOKUP(Tableau1[[#This Row],[Key(ID-Actif)]],'DATA BTO'!A:N,14,FALSE)</f>
        <v>#N/A</v>
      </c>
      <c r="AK279" s="54" t="e">
        <f ca="1">VLOOKUP(Tableau1[[#This Row],[Key(POD -PFI- Usine)]],'DATA Consignee'!A:F,6,FALSE)</f>
        <v>#N/A</v>
      </c>
      <c r="AL279" s="462"/>
      <c r="AM279" s="490" t="str">
        <f>IF(Tableau1[[#This Row],[Name PFI/CDD]]="","-",VLOOKUP(Tableau1[[#This Row],[Name PFI/CDD]],Plant_AILN!I:J,2,FALSE))</f>
        <v>-</v>
      </c>
      <c r="AN27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7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79" s="2" t="e">
        <f ca="1">VLOOKUP(Tableau1[[#This Row],[Key(POD -PFI- Usine)]],'DATA Consignee'!A:J,10,FALSE)</f>
        <v>#N/A</v>
      </c>
      <c r="AQ279" s="50" t="e">
        <f ca="1">VLOOKUP(Tableau1[[#This Row],[Key(POD -PFI- Usine)]],'DATA Consignee'!A:N,14,FALSE)</f>
        <v>#N/A</v>
      </c>
      <c r="AR27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7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79" s="50" t="e">
        <f ca="1">Tableau1[[#This Row],[Transit time]]+Tableau1[[#This Row],[Time for security]]+Tableau1[[#This Row],[Time for security2 buffer]]</f>
        <v>#N/A</v>
      </c>
      <c r="AU27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79" s="50" t="e">
        <f ca="1">Tableau1[[#This Row],[Leadtime SI2C]]+Tableau1[[#This Row],[First Receipt Days]]-Tableau1[[#This Row],[Day Customer Order]]+1</f>
        <v>#N/A</v>
      </c>
      <c r="AW279" s="117" t="e">
        <f ca="1">IF(Tableau1[[#This Row],[Name ILN]]&lt;&gt;"SFK Freight Forwarder",Tableau1[[#This Row],[Cust. Leadtime]],Tableau1[[#This Row],[Leadtime SI2C]])</f>
        <v>#N/A</v>
      </c>
      <c r="AX279" s="57" t="e">
        <f>VLOOKUP(Tableau1[[#This Row],[ID]],'DATA BTO'!B:P,15,FALSE)</f>
        <v>#N/A</v>
      </c>
      <c r="AY279" s="328" t="e">
        <f ca="1">IFERROR(VLOOKUP(Tableau1[[#This Row],[Key(ID-Actif)]],'DATA BTO'!A:N,4,FALSE),VLOOKUP(Tableau1[[#This Row],[ID]],'DATA BTO'!B:N,3,FALSE))</f>
        <v>#N/A</v>
      </c>
      <c r="AZ27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7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7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9" s="50"/>
    </row>
    <row r="280" spans="2:57">
      <c r="B280" s="64" t="str">
        <f>_xlfn.CONCAT(Tableau1[[#This Row],[Name ILN]],"-",Tableau1[[#This Row],[Name Shipper]],"-",Tableau1[[#This Row],[Name Site]])</f>
        <v>--</v>
      </c>
      <c r="C280" s="64" t="e">
        <f>_xlfn.CONCAT(Tableau1[[#This Row],[Compte ILN]],"-",Tableau1[[#This Row],[Compte Shipper]],"-",Tableau1[[#This Row],[POL]],"-",Tableau1[[#This Row],[Compte Consignee]])</f>
        <v>#N/A</v>
      </c>
      <c r="D280" s="64" t="e">
        <f>_xlfn.CONCAT(Tableau1[[#This Row],[Compte ILN]],"-",Tableau1[[#This Row],[Compte Shipper]],"-",Tableau1[[#This Row],[POL]])</f>
        <v>#N/A</v>
      </c>
      <c r="E280" s="128" t="e">
        <f ca="1">_xlfn.CONCAT(Tableau1[[#This Row],[POL]],"-",Tableau1[[#This Row],[Carrier]],"-",Tableau1[[#This Row],[POD]])</f>
        <v>#N/A</v>
      </c>
      <c r="F280" s="64" t="str">
        <f>_xlfn.CONCAT(Tableau1[[#This Row],[ID]],"-","Actif")</f>
        <v>-Actif</v>
      </c>
      <c r="G280" s="64" t="e">
        <f ca="1">_xlfn.CONCAT(Tableau1[[#This Row],[POD]],"-",Tableau1[[#This Row],[Code PFI]],"-",Tableau1[[#This Row],[Compte Consignee]])</f>
        <v>#N/A</v>
      </c>
      <c r="H28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0" s="117" t="str">
        <f ca="1">IF(COUNTIF(I:I,Tableau1[[#This Row],[Plant-ILN-shipper-POL-Carrier-POD-PFI]])=1,"Non","Oui")</f>
        <v>Oui</v>
      </c>
      <c r="K280" s="126" t="e">
        <f>VLOOKUP(Tableau1[[#This Row],[Name Site]],Plant_AILN!A:D,4,FALSE)</f>
        <v>#N/A</v>
      </c>
      <c r="L280" s="285"/>
      <c r="M280" s="492" t="e">
        <f>VLOOKUP(Tableau1[[#This Row],[Name Site]],Plant_AILN!A:C,3,FALSE)</f>
        <v>#N/A</v>
      </c>
      <c r="N280" s="55" t="e">
        <f>VLOOKUP(Tableau1[[#This Row],[Compte Consignee]],Order!C:D,2,FALSE)</f>
        <v>#N/A</v>
      </c>
      <c r="O280" s="122"/>
      <c r="P280" s="481" t="e">
        <f>VLOOKUP(Tableau1[[#This Row],[Name ILN]],Plant_AILN!F:G,2,FALSE)</f>
        <v>#N/A</v>
      </c>
      <c r="Q280" s="50" t="e">
        <f>VLOOKUP(Tableau1[[#This Row],[Compte ILN]],'DATA ILN'!D:I,6,FALSE)</f>
        <v>#N/A</v>
      </c>
      <c r="R280" s="50" t="e">
        <f>IFERROR(VLOOKUP(Tableau1[[#This Row],[Key(Compte ILN - shipper - POL - plant)]],'DATA ILN'!A:J,10,FALSE),VLOOKUP(Tableau1[[#This Row],[Key(Compte ILN - shipper - POL)]],'DATA ILN'!B:J,9,FALSE))</f>
        <v>#N/A</v>
      </c>
      <c r="S280" s="50" t="e">
        <f>IFERROR(VLOOKUP(Tableau1[[#This Row],[Key(Compte ILN - shipper - POL - plant)]],'DATA ILN'!A:K,11,FALSE),VLOOKUP(Tableau1[[#This Row],[Key(Compte ILN - shipper - POL)]],'DATA ILN'!B:K,10,FALSE))</f>
        <v>#N/A</v>
      </c>
      <c r="T280" s="50" t="e">
        <f>IFERROR(VLOOKUP(Tableau1[[#This Row],[Key(Compte ILN - shipper - POL - plant)]],'DATA ILN'!A:L,12,FALSE),VLOOKUP(Tableau1[[#This Row],[Key(Compte ILN - shipper - POL)]],'DATA ILN'!B:L,11,FALSE))</f>
        <v>#N/A</v>
      </c>
      <c r="U280" s="50" t="e">
        <f>Tableau1[[#This Row],[Day ILN Order]]+Tableau1[[#This Row],[Delivery time to ILN/Shipper]]-1</f>
        <v>#N/A</v>
      </c>
      <c r="V280" s="50" t="e">
        <f>IFERROR(VLOOKUP(Tableau1[[#This Row],[Key(Compte ILN - shipper - POL - plant)]],'DATA ILN'!A:N,14,FALSE),VLOOKUP(Tableau1[[#This Row],[Key(Compte ILN - shipper - POL)]],'DATA ILN'!B:N,13,FALSE))</f>
        <v>#N/A</v>
      </c>
      <c r="W280" s="50" t="e">
        <f>IFERROR(VLOOKUP(Tableau1[[#This Row],[Key(Compte ILN - shipper - POL - plant)]],'DATA ILN'!A:P,16,FALSE),VLOOKUP(Tableau1[[#This Row],[Key(Compte ILN - shipper - POL)]],'DATA ILN'!B:P,15,FALSE))</f>
        <v>#N/A</v>
      </c>
      <c r="X280" s="283"/>
      <c r="Y280" s="489">
        <f>IFERROR(VLOOKUP(Tableau1[[#This Row],[Name Shipper]],Plant_AILN!L:M,2,FALSE),0)</f>
        <v>0</v>
      </c>
      <c r="Z280" s="358"/>
      <c r="AA280" s="353" t="e">
        <f ca="1">VLOOKUP(Tableau1[[#This Row],[Key(ID-Actif)]],'DATA BTO'!A:N,5,FALSE)</f>
        <v>#N/A</v>
      </c>
      <c r="AB280" s="3" t="e">
        <f ca="1">VLOOKUP(Tableau1[[#This Row],[Key(ID-Actif)]],'DATA BTO'!A:N,6,FALSE)</f>
        <v>#N/A</v>
      </c>
      <c r="AC280" s="50" t="e">
        <f ca="1">VLOOKUP(Tableau1[[#This Row],[Key(ID-Actif)]],'DATA BTO'!A:N,7,FALSE)</f>
        <v>#N/A</v>
      </c>
      <c r="AD280" s="50" t="e">
        <f ca="1">VLOOKUP(Tableau1[[#This Row],[Key(ID-Actif)]],'DATA BTO'!A:N,8,FALSE)</f>
        <v>#N/A</v>
      </c>
      <c r="AE280" s="406" t="e">
        <f ca="1">IF(Tableau1[[#This Row],[First Day to POL]]&lt;=Tableau1[[#This Row],[Day Cut Off]],Tableau1[[#This Row],[Day ETD]],Tableau1[[#This Row],[Day ETD]]+7)</f>
        <v>#N/A</v>
      </c>
      <c r="AF280" s="50" t="e">
        <f ca="1">VLOOKUP(Tableau1[[#This Row],[Key(ID-Actif)]],'DATA BTO'!A:N,9,FALSE)</f>
        <v>#N/A</v>
      </c>
      <c r="AG280" s="3" t="e">
        <f ca="1">VLOOKUP(Tableau1[[#This Row],[Key(ID-Actif)]],'DATA BTO'!A:N,10,FALSE)</f>
        <v>#N/A</v>
      </c>
      <c r="AH280" s="3" t="e">
        <f ca="1">VLOOKUP(Tableau1[[#This Row],[Key(ID-Actif)]],'DATA BTO'!A:N,11,FALSE)</f>
        <v>#N/A</v>
      </c>
      <c r="AI280" s="50" t="e">
        <f ca="1">VLOOKUP(Tableau1[[#This Row],[Key(ID-Actif)]],'DATA BTO'!A:N,12,FALSE)</f>
        <v>#N/A</v>
      </c>
      <c r="AJ280" s="53" t="e">
        <f ca="1">VLOOKUP(Tableau1[[#This Row],[Key(ID-Actif)]],'DATA BTO'!A:N,14,FALSE)</f>
        <v>#N/A</v>
      </c>
      <c r="AK280" s="54" t="e">
        <f ca="1">VLOOKUP(Tableau1[[#This Row],[Key(POD -PFI- Usine)]],'DATA Consignee'!A:F,6,FALSE)</f>
        <v>#N/A</v>
      </c>
      <c r="AL280" s="283"/>
      <c r="AM280" s="490" t="str">
        <f>IF(Tableau1[[#This Row],[Name PFI/CDD]]="","-",VLOOKUP(Tableau1[[#This Row],[Name PFI/CDD]],Plant_AILN!I:J,2,FALSE))</f>
        <v>-</v>
      </c>
      <c r="AN28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0" s="2" t="e">
        <f ca="1">VLOOKUP(Tableau1[[#This Row],[Key(POD -PFI- Usine)]],'DATA Consignee'!A:J,10,FALSE)</f>
        <v>#N/A</v>
      </c>
      <c r="AQ280" s="50" t="e">
        <f ca="1">VLOOKUP(Tableau1[[#This Row],[Key(POD -PFI- Usine)]],'DATA Consignee'!A:N,14,FALSE)</f>
        <v>#N/A</v>
      </c>
      <c r="AR28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0" s="50" t="e">
        <f ca="1">Tableau1[[#This Row],[Transit time]]+Tableau1[[#This Row],[Time for security]]+Tableau1[[#This Row],[Time for security2 buffer]]</f>
        <v>#N/A</v>
      </c>
      <c r="AU28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0" s="50" t="e">
        <f ca="1">Tableau1[[#This Row],[Leadtime SI2C]]+Tableau1[[#This Row],[First Receipt Days]]-Tableau1[[#This Row],[Day Customer Order]]+1</f>
        <v>#N/A</v>
      </c>
      <c r="AW280" s="117" t="e">
        <f ca="1">IF(Tableau1[[#This Row],[Name ILN]]&lt;&gt;"SFK Freight Forwarder",Tableau1[[#This Row],[Cust. Leadtime]],Tableau1[[#This Row],[Leadtime SI2C]])</f>
        <v>#N/A</v>
      </c>
      <c r="AX280" s="57" t="e">
        <f>VLOOKUP(Tableau1[[#This Row],[ID]],'DATA BTO'!B:P,15,FALSE)</f>
        <v>#N/A</v>
      </c>
      <c r="AY280" s="328" t="e">
        <f ca="1">IFERROR(VLOOKUP(Tableau1[[#This Row],[Key(ID-Actif)]],'DATA BTO'!A:N,4,FALSE),VLOOKUP(Tableau1[[#This Row],[ID]],'DATA BTO'!B:N,3,FALSE))</f>
        <v>#N/A</v>
      </c>
      <c r="AZ28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0" s="50"/>
    </row>
    <row r="281" spans="2:57">
      <c r="B281" s="64" t="str">
        <f>_xlfn.CONCAT(Tableau1[[#This Row],[Name ILN]],"-",Tableau1[[#This Row],[Name Shipper]],"-",Tableau1[[#This Row],[Name Site]])</f>
        <v>--</v>
      </c>
      <c r="C281" s="64" t="e">
        <f>_xlfn.CONCAT(Tableau1[[#This Row],[Compte ILN]],"-",Tableau1[[#This Row],[Compte Shipper]],"-",Tableau1[[#This Row],[POL]],"-",Tableau1[[#This Row],[Compte Consignee]])</f>
        <v>#N/A</v>
      </c>
      <c r="D281" s="64" t="e">
        <f>_xlfn.CONCAT(Tableau1[[#This Row],[Compte ILN]],"-",Tableau1[[#This Row],[Compte Shipper]],"-",Tableau1[[#This Row],[POL]])</f>
        <v>#N/A</v>
      </c>
      <c r="E281" s="128" t="e">
        <f ca="1">_xlfn.CONCAT(Tableau1[[#This Row],[POL]],"-",Tableau1[[#This Row],[Carrier]],"-",Tableau1[[#This Row],[POD]])</f>
        <v>#N/A</v>
      </c>
      <c r="F281" s="64" t="str">
        <f>_xlfn.CONCAT(Tableau1[[#This Row],[ID]],"-","Actif")</f>
        <v>-Actif</v>
      </c>
      <c r="G281" s="64" t="e">
        <f ca="1">_xlfn.CONCAT(Tableau1[[#This Row],[POD]],"-",Tableau1[[#This Row],[Code PFI]],"-",Tableau1[[#This Row],[Compte Consignee]])</f>
        <v>#N/A</v>
      </c>
      <c r="H28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1" s="117" t="str">
        <f ca="1">IF(COUNTIF(I:I,Tableau1[[#This Row],[Plant-ILN-shipper-POL-Carrier-POD-PFI]])=1,"Non","Oui")</f>
        <v>Oui</v>
      </c>
      <c r="K281" s="126" t="e">
        <f>VLOOKUP(Tableau1[[#This Row],[Name Site]],Plant_AILN!A:D,4,FALSE)</f>
        <v>#N/A</v>
      </c>
      <c r="L281" s="10"/>
      <c r="M281" s="492" t="e">
        <f>VLOOKUP(Tableau1[[#This Row],[Name Site]],Plant_AILN!A:C,3,FALSE)</f>
        <v>#N/A</v>
      </c>
      <c r="N281" s="55" t="e">
        <f>VLOOKUP(Tableau1[[#This Row],[Compte Consignee]],Order!C:D,2,FALSE)</f>
        <v>#N/A</v>
      </c>
      <c r="O281" s="114"/>
      <c r="P281" s="481" t="e">
        <f>VLOOKUP(Tableau1[[#This Row],[Name ILN]],Plant_AILN!F:G,2,FALSE)</f>
        <v>#N/A</v>
      </c>
      <c r="Q281" s="50" t="e">
        <f>VLOOKUP(Tableau1[[#This Row],[Compte ILN]],'DATA ILN'!D:I,6,FALSE)</f>
        <v>#N/A</v>
      </c>
      <c r="R281" s="50" t="e">
        <f>IFERROR(VLOOKUP(Tableau1[[#This Row],[Key(Compte ILN - shipper - POL - plant)]],'DATA ILN'!A:J,10,FALSE),VLOOKUP(Tableau1[[#This Row],[Key(Compte ILN - shipper - POL)]],'DATA ILN'!B:J,9,FALSE))</f>
        <v>#N/A</v>
      </c>
      <c r="S281" s="50" t="e">
        <f>IFERROR(VLOOKUP(Tableau1[[#This Row],[Key(Compte ILN - shipper - POL - plant)]],'DATA ILN'!A:K,11,FALSE),VLOOKUP(Tableau1[[#This Row],[Key(Compte ILN - shipper - POL)]],'DATA ILN'!B:K,10,FALSE))</f>
        <v>#N/A</v>
      </c>
      <c r="T281" s="50" t="e">
        <f>IFERROR(VLOOKUP(Tableau1[[#This Row],[Key(Compte ILN - shipper - POL - plant)]],'DATA ILN'!A:L,12,FALSE),VLOOKUP(Tableau1[[#This Row],[Key(Compte ILN - shipper - POL)]],'DATA ILN'!B:L,11,FALSE))</f>
        <v>#N/A</v>
      </c>
      <c r="U281" s="50" t="e">
        <f>Tableau1[[#This Row],[Day ILN Order]]+Tableau1[[#This Row],[Delivery time to ILN/Shipper]]-1</f>
        <v>#N/A</v>
      </c>
      <c r="V281" s="50" t="e">
        <f>IFERROR(VLOOKUP(Tableau1[[#This Row],[Key(Compte ILN - shipper - POL - plant)]],'DATA ILN'!A:N,14,FALSE),VLOOKUP(Tableau1[[#This Row],[Key(Compte ILN - shipper - POL)]],'DATA ILN'!B:N,13,FALSE))</f>
        <v>#N/A</v>
      </c>
      <c r="W281" s="50" t="e">
        <f>IFERROR(VLOOKUP(Tableau1[[#This Row],[Key(Compte ILN - shipper - POL - plant)]],'DATA ILN'!A:P,16,FALSE),VLOOKUP(Tableau1[[#This Row],[Key(Compte ILN - shipper - POL)]],'DATA ILN'!B:P,15,FALSE))</f>
        <v>#N/A</v>
      </c>
      <c r="X281" s="283"/>
      <c r="Y281" s="489">
        <f>IFERROR(VLOOKUP(Tableau1[[#This Row],[Name Shipper]],Plant_AILN!L:M,2,FALSE),0)</f>
        <v>0</v>
      </c>
      <c r="Z281" s="358"/>
      <c r="AA281" s="353" t="e">
        <f ca="1">VLOOKUP(Tableau1[[#This Row],[Key(ID-Actif)]],'DATA BTO'!A:N,5,FALSE)</f>
        <v>#N/A</v>
      </c>
      <c r="AB281" s="3" t="e">
        <f ca="1">VLOOKUP(Tableau1[[#This Row],[Key(ID-Actif)]],'DATA BTO'!A:N,6,FALSE)</f>
        <v>#N/A</v>
      </c>
      <c r="AC281" s="50" t="e">
        <f ca="1">VLOOKUP(Tableau1[[#This Row],[Key(ID-Actif)]],'DATA BTO'!A:N,7,FALSE)</f>
        <v>#N/A</v>
      </c>
      <c r="AD281" s="50" t="e">
        <f ca="1">VLOOKUP(Tableau1[[#This Row],[Key(ID-Actif)]],'DATA BTO'!A:N,8,FALSE)</f>
        <v>#N/A</v>
      </c>
      <c r="AE281" s="406" t="e">
        <f ca="1">IF(Tableau1[[#This Row],[First Day to POL]]&lt;=Tableau1[[#This Row],[Day Cut Off]],Tableau1[[#This Row],[Day ETD]],Tableau1[[#This Row],[Day ETD]]+7)</f>
        <v>#N/A</v>
      </c>
      <c r="AF281" s="50" t="e">
        <f ca="1">VLOOKUP(Tableau1[[#This Row],[Key(ID-Actif)]],'DATA BTO'!A:N,9,FALSE)</f>
        <v>#N/A</v>
      </c>
      <c r="AG281" s="3" t="e">
        <f ca="1">VLOOKUP(Tableau1[[#This Row],[Key(ID-Actif)]],'DATA BTO'!A:N,10,FALSE)</f>
        <v>#N/A</v>
      </c>
      <c r="AH281" s="3" t="e">
        <f ca="1">VLOOKUP(Tableau1[[#This Row],[Key(ID-Actif)]],'DATA BTO'!A:N,11,FALSE)</f>
        <v>#N/A</v>
      </c>
      <c r="AI281" s="50" t="e">
        <f ca="1">VLOOKUP(Tableau1[[#This Row],[Key(ID-Actif)]],'DATA BTO'!A:N,12,FALSE)</f>
        <v>#N/A</v>
      </c>
      <c r="AJ281" s="53" t="e">
        <f ca="1">VLOOKUP(Tableau1[[#This Row],[Key(ID-Actif)]],'DATA BTO'!A:N,14,FALSE)</f>
        <v>#N/A</v>
      </c>
      <c r="AK281" s="54" t="e">
        <f ca="1">VLOOKUP(Tableau1[[#This Row],[Key(POD -PFI- Usine)]],'DATA Consignee'!A:F,6,FALSE)</f>
        <v>#N/A</v>
      </c>
      <c r="AL281" s="283"/>
      <c r="AM281" s="490" t="str">
        <f>IF(Tableau1[[#This Row],[Name PFI/CDD]]="","-",VLOOKUP(Tableau1[[#This Row],[Name PFI/CDD]],Plant_AILN!I:J,2,FALSE))</f>
        <v>-</v>
      </c>
      <c r="AN28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1" s="2" t="e">
        <f ca="1">VLOOKUP(Tableau1[[#This Row],[Key(POD -PFI- Usine)]],'DATA Consignee'!A:J,10,FALSE)</f>
        <v>#N/A</v>
      </c>
      <c r="AQ281" s="50" t="e">
        <f ca="1">VLOOKUP(Tableau1[[#This Row],[Key(POD -PFI- Usine)]],'DATA Consignee'!A:N,14,FALSE)</f>
        <v>#N/A</v>
      </c>
      <c r="AR28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1" s="50" t="e">
        <f ca="1">Tableau1[[#This Row],[Transit time]]+Tableau1[[#This Row],[Time for security]]+Tableau1[[#This Row],[Time for security2 buffer]]</f>
        <v>#N/A</v>
      </c>
      <c r="AU28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1" s="50" t="e">
        <f ca="1">Tableau1[[#This Row],[Leadtime SI2C]]+Tableau1[[#This Row],[First Receipt Days]]-Tableau1[[#This Row],[Day Customer Order]]+1</f>
        <v>#N/A</v>
      </c>
      <c r="AW281" s="117" t="e">
        <f ca="1">IF(Tableau1[[#This Row],[Name ILN]]&lt;&gt;"SFK Freight Forwarder",Tableau1[[#This Row],[Cust. Leadtime]],Tableau1[[#This Row],[Leadtime SI2C]])</f>
        <v>#N/A</v>
      </c>
      <c r="AX281" s="57" t="e">
        <f>VLOOKUP(Tableau1[[#This Row],[ID]],'DATA BTO'!B:P,15,FALSE)</f>
        <v>#N/A</v>
      </c>
      <c r="AY281" s="328" t="e">
        <f ca="1">IFERROR(VLOOKUP(Tableau1[[#This Row],[Key(ID-Actif)]],'DATA BTO'!A:N,4,FALSE),VLOOKUP(Tableau1[[#This Row],[ID]],'DATA BTO'!B:N,3,FALSE))</f>
        <v>#N/A</v>
      </c>
      <c r="AZ28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1" s="50"/>
    </row>
    <row r="282" spans="2:57">
      <c r="B282" s="80" t="str">
        <f>_xlfn.CONCAT(Tableau1[[#This Row],[Name ILN]],"-",Tableau1[[#This Row],[Name Shipper]],"-",Tableau1[[#This Row],[Name Site]])</f>
        <v>--</v>
      </c>
      <c r="C282" s="80" t="e">
        <f>_xlfn.CONCAT(Tableau1[[#This Row],[Compte ILN]],"-",Tableau1[[#This Row],[Compte Shipper]],"-",Tableau1[[#This Row],[POL]],"-",Tableau1[[#This Row],[Compte Consignee]])</f>
        <v>#N/A</v>
      </c>
      <c r="D282" s="80" t="e">
        <f>_xlfn.CONCAT(Tableau1[[#This Row],[Compte ILN]],"-",Tableau1[[#This Row],[Compte Shipper]],"-",Tableau1[[#This Row],[POL]])</f>
        <v>#N/A</v>
      </c>
      <c r="E282" s="81" t="e">
        <f ca="1">_xlfn.CONCAT(Tableau1[[#This Row],[POL]],"-",Tableau1[[#This Row],[Carrier]],"-",Tableau1[[#This Row],[POD]])</f>
        <v>#N/A</v>
      </c>
      <c r="F282" s="80" t="str">
        <f>_xlfn.CONCAT(Tableau1[[#This Row],[ID]],"-","Actif")</f>
        <v>-Actif</v>
      </c>
      <c r="G282" s="80" t="e">
        <f ca="1">_xlfn.CONCAT(Tableau1[[#This Row],[POD]],"-",Tableau1[[#This Row],[Code PFI]],"-",Tableau1[[#This Row],[Compte Consignee]])</f>
        <v>#N/A</v>
      </c>
      <c r="H282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2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2" s="118" t="str">
        <f ca="1">IF(COUNTIF(I:I,Tableau1[[#This Row],[Plant-ILN-shipper-POL-Carrier-POD-PFI]])=1,"Non","Oui")</f>
        <v>Oui</v>
      </c>
      <c r="K282" s="101" t="e">
        <f>VLOOKUP(Tableau1[[#This Row],[Name Site]],Plant_AILN!A:D,4,FALSE)</f>
        <v>#N/A</v>
      </c>
      <c r="L282" s="450"/>
      <c r="M282" s="480" t="e">
        <f>VLOOKUP(Tableau1[[#This Row],[Name Site]],Plant_AILN!A:C,3,FALSE)</f>
        <v>#N/A</v>
      </c>
      <c r="N282" s="102" t="e">
        <f>VLOOKUP(Tableau1[[#This Row],[Compte Consignee]],Order!C:D,2,FALSE)</f>
        <v>#N/A</v>
      </c>
      <c r="O282" s="124"/>
      <c r="P282" s="484" t="e">
        <f>VLOOKUP(Tableau1[[#This Row],[Name ILN]],Plant_AILN!F:G,2,FALSE)</f>
        <v>#N/A</v>
      </c>
      <c r="Q282" s="79" t="e">
        <f>VLOOKUP(Tableau1[[#This Row],[Compte ILN]],'DATA ILN'!D:I,6,FALSE)</f>
        <v>#N/A</v>
      </c>
      <c r="R282" s="79" t="e">
        <f>IFERROR(VLOOKUP(Tableau1[[#This Row],[Key(Compte ILN - shipper - POL - plant)]],'DATA ILN'!A:J,10,FALSE),VLOOKUP(Tableau1[[#This Row],[Key(Compte ILN - shipper - POL)]],'DATA ILN'!B:J,9,FALSE))</f>
        <v>#N/A</v>
      </c>
      <c r="S282" s="79" t="e">
        <f>IFERROR(VLOOKUP(Tableau1[[#This Row],[Key(Compte ILN - shipper - POL - plant)]],'DATA ILN'!A:K,11,FALSE),VLOOKUP(Tableau1[[#This Row],[Key(Compte ILN - shipper - POL)]],'DATA ILN'!B:K,10,FALSE))</f>
        <v>#N/A</v>
      </c>
      <c r="T282" s="79" t="e">
        <f>IFERROR(VLOOKUP(Tableau1[[#This Row],[Key(Compte ILN - shipper - POL - plant)]],'DATA ILN'!A:L,12,FALSE),VLOOKUP(Tableau1[[#This Row],[Key(Compte ILN - shipper - POL)]],'DATA ILN'!B:L,11,FALSE))</f>
        <v>#N/A</v>
      </c>
      <c r="U282" s="79" t="e">
        <f>Tableau1[[#This Row],[Day ILN Order]]+Tableau1[[#This Row],[Delivery time to ILN/Shipper]]-1</f>
        <v>#N/A</v>
      </c>
      <c r="V282" s="79" t="e">
        <f>IFERROR(VLOOKUP(Tableau1[[#This Row],[Key(Compte ILN - shipper - POL - plant)]],'DATA ILN'!A:N,14,FALSE),VLOOKUP(Tableau1[[#This Row],[Key(Compte ILN - shipper - POL)]],'DATA ILN'!B:N,13,FALSE))</f>
        <v>#N/A</v>
      </c>
      <c r="W282" s="79" t="e">
        <f>IFERROR(VLOOKUP(Tableau1[[#This Row],[Key(Compte ILN - shipper - POL - plant)]],'DATA ILN'!A:P,16,FALSE),VLOOKUP(Tableau1[[#This Row],[Key(Compte ILN - shipper - POL)]],'DATA ILN'!B:P,15,FALSE))</f>
        <v>#N/A</v>
      </c>
      <c r="X282" s="456"/>
      <c r="Y282" s="485">
        <f>IFERROR(VLOOKUP(Tableau1[[#This Row],[Name Shipper]],Plant_AILN!L:M,2,FALSE),0)</f>
        <v>0</v>
      </c>
      <c r="Z282" s="369"/>
      <c r="AA282" s="354" t="e">
        <f ca="1">VLOOKUP(Tableau1[[#This Row],[Key(ID-Actif)]],'DATA BTO'!A:N,5,FALSE)</f>
        <v>#N/A</v>
      </c>
      <c r="AB282" s="106" t="e">
        <f ca="1">VLOOKUP(Tableau1[[#This Row],[Key(ID-Actif)]],'DATA BTO'!A:N,6,FALSE)</f>
        <v>#N/A</v>
      </c>
      <c r="AC282" s="79" t="e">
        <f ca="1">VLOOKUP(Tableau1[[#This Row],[Key(ID-Actif)]],'DATA BTO'!A:N,7,FALSE)</f>
        <v>#N/A</v>
      </c>
      <c r="AD282" s="79" t="e">
        <f ca="1">VLOOKUP(Tableau1[[#This Row],[Key(ID-Actif)]],'DATA BTO'!A:N,8,FALSE)</f>
        <v>#N/A</v>
      </c>
      <c r="AE282" s="79" t="e">
        <f ca="1">IF(Tableau1[[#This Row],[First Day to POL]]&lt;=Tableau1[[#This Row],[Day Cut Off]],Tableau1[[#This Row],[Day ETD]],Tableau1[[#This Row],[Day ETD]]+7)</f>
        <v>#N/A</v>
      </c>
      <c r="AF282" s="79" t="e">
        <f ca="1">VLOOKUP(Tableau1[[#This Row],[Key(ID-Actif)]],'DATA BTO'!A:N,9,FALSE)</f>
        <v>#N/A</v>
      </c>
      <c r="AG282" s="106" t="e">
        <f ca="1">VLOOKUP(Tableau1[[#This Row],[Key(ID-Actif)]],'DATA BTO'!A:N,10,FALSE)</f>
        <v>#N/A</v>
      </c>
      <c r="AH282" s="106" t="e">
        <f ca="1">VLOOKUP(Tableau1[[#This Row],[Key(ID-Actif)]],'DATA BTO'!A:N,11,FALSE)</f>
        <v>#N/A</v>
      </c>
      <c r="AI282" s="79" t="e">
        <f ca="1">VLOOKUP(Tableau1[[#This Row],[Key(ID-Actif)]],'DATA BTO'!A:N,12,FALSE)</f>
        <v>#N/A</v>
      </c>
      <c r="AJ282" s="104" t="e">
        <f ca="1">VLOOKUP(Tableau1[[#This Row],[Key(ID-Actif)]],'DATA BTO'!A:N,14,FALSE)</f>
        <v>#N/A</v>
      </c>
      <c r="AK282" s="105" t="e">
        <f ca="1">VLOOKUP(Tableau1[[#This Row],[Key(POD -PFI- Usine)]],'DATA Consignee'!A:F,6,FALSE)</f>
        <v>#N/A</v>
      </c>
      <c r="AL282" s="100"/>
      <c r="AM282" s="486" t="str">
        <f>IF(Tableau1[[#This Row],[Name PFI/CDD]]="","-",VLOOKUP(Tableau1[[#This Row],[Name PFI/CDD]],Plant_AILN!I:J,2,FALSE))</f>
        <v>-</v>
      </c>
      <c r="AN282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2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2" s="108" t="e">
        <f ca="1">VLOOKUP(Tableau1[[#This Row],[Key(POD -PFI- Usine)]],'DATA Consignee'!A:J,10,FALSE)</f>
        <v>#N/A</v>
      </c>
      <c r="AQ282" s="79" t="e">
        <f ca="1">VLOOKUP(Tableau1[[#This Row],[Key(POD -PFI- Usine)]],'DATA Consignee'!A:N,14,FALSE)</f>
        <v>#N/A</v>
      </c>
      <c r="AR282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2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2" s="79" t="e">
        <f ca="1">Tableau1[[#This Row],[Transit time]]+Tableau1[[#This Row],[Time for security]]+Tableau1[[#This Row],[Time for security2 buffer]]</f>
        <v>#N/A</v>
      </c>
      <c r="AU282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2" s="79" t="e">
        <f ca="1">Tableau1[[#This Row],[Leadtime SI2C]]+Tableau1[[#This Row],[First Receipt Days]]-Tableau1[[#This Row],[Day Customer Order]]+1</f>
        <v>#N/A</v>
      </c>
      <c r="AW282" s="118" t="e">
        <f ca="1">IF(Tableau1[[#This Row],[Name ILN]]&lt;&gt;"SFK Freight Forwarder",Tableau1[[#This Row],[Cust. Leadtime]],Tableau1[[#This Row],[Leadtime SI2C]])</f>
        <v>#N/A</v>
      </c>
      <c r="AX282" s="74" t="e">
        <f>VLOOKUP(Tableau1[[#This Row],[ID]],'DATA BTO'!B:P,15,FALSE)</f>
        <v>#N/A</v>
      </c>
      <c r="AY282" s="347" t="e">
        <f ca="1">IFERROR(VLOOKUP(Tableau1[[#This Row],[Key(ID-Actif)]],'DATA BTO'!A:N,4,FALSE),VLOOKUP(Tableau1[[#This Row],[ID]],'DATA BTO'!B:N,3,FALSE))</f>
        <v>#N/A</v>
      </c>
      <c r="AZ282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2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2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2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2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2" s="79"/>
    </row>
    <row r="283" spans="2:57">
      <c r="B283" s="64" t="str">
        <f>_xlfn.CONCAT(Tableau1[[#This Row],[Name ILN]],"-",Tableau1[[#This Row],[Name Shipper]],"-",Tableau1[[#This Row],[Name Site]])</f>
        <v>--</v>
      </c>
      <c r="C283" s="64" t="e">
        <f>_xlfn.CONCAT(Tableau1[[#This Row],[Compte ILN]],"-",Tableau1[[#This Row],[Compte Shipper]],"-",Tableau1[[#This Row],[POL]],"-",Tableau1[[#This Row],[Compte Consignee]])</f>
        <v>#N/A</v>
      </c>
      <c r="D283" s="64" t="e">
        <f>_xlfn.CONCAT(Tableau1[[#This Row],[Compte ILN]],"-",Tableau1[[#This Row],[Compte Shipper]],"-",Tableau1[[#This Row],[POL]])</f>
        <v>#N/A</v>
      </c>
      <c r="E283" s="128" t="e">
        <f ca="1">_xlfn.CONCAT(Tableau1[[#This Row],[POL]],"-",Tableau1[[#This Row],[Carrier]],"-",Tableau1[[#This Row],[POD]])</f>
        <v>#N/A</v>
      </c>
      <c r="F283" s="64" t="str">
        <f>_xlfn.CONCAT(Tableau1[[#This Row],[ID]],"-","Actif")</f>
        <v>-Actif</v>
      </c>
      <c r="G283" s="64" t="e">
        <f ca="1">_xlfn.CONCAT(Tableau1[[#This Row],[POD]],"-",Tableau1[[#This Row],[Code PFI]],"-",Tableau1[[#This Row],[Compte Consignee]])</f>
        <v>#N/A</v>
      </c>
      <c r="H28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3" s="117" t="str">
        <f ca="1">IF(COUNTIF(I:I,Tableau1[[#This Row],[Plant-ILN-shipper-POL-Carrier-POD-PFI]])=1,"Non","Oui")</f>
        <v>Oui</v>
      </c>
      <c r="K283" s="126" t="e">
        <f>VLOOKUP(Tableau1[[#This Row],[Name Site]],Plant_AILN!A:D,4,FALSE)</f>
        <v>#N/A</v>
      </c>
      <c r="L283" s="364"/>
      <c r="M283" s="492" t="e">
        <f>VLOOKUP(Tableau1[[#This Row],[Name Site]],Plant_AILN!A:C,3,FALSE)</f>
        <v>#N/A</v>
      </c>
      <c r="N283" s="55" t="e">
        <f>VLOOKUP(Tableau1[[#This Row],[Compte Consignee]],Order!C:D,2,FALSE)</f>
        <v>#N/A</v>
      </c>
      <c r="O283" s="455"/>
      <c r="P283" s="481" t="e">
        <f>VLOOKUP(Tableau1[[#This Row],[Name ILN]],Plant_AILN!F:G,2,FALSE)</f>
        <v>#N/A</v>
      </c>
      <c r="Q283" s="50" t="e">
        <f>VLOOKUP(Tableau1[[#This Row],[Compte ILN]],'DATA ILN'!D:I,6,FALSE)</f>
        <v>#N/A</v>
      </c>
      <c r="R283" s="50" t="e">
        <f>IFERROR(VLOOKUP(Tableau1[[#This Row],[Key(Compte ILN - shipper - POL - plant)]],'DATA ILN'!A:J,10,FALSE),VLOOKUP(Tableau1[[#This Row],[Key(Compte ILN - shipper - POL)]],'DATA ILN'!B:J,9,FALSE))</f>
        <v>#N/A</v>
      </c>
      <c r="S283" s="50" t="e">
        <f>IFERROR(VLOOKUP(Tableau1[[#This Row],[Key(Compte ILN - shipper - POL - plant)]],'DATA ILN'!A:K,11,FALSE),VLOOKUP(Tableau1[[#This Row],[Key(Compte ILN - shipper - POL)]],'DATA ILN'!B:K,10,FALSE))</f>
        <v>#N/A</v>
      </c>
      <c r="T283" s="50" t="e">
        <f>IFERROR(VLOOKUP(Tableau1[[#This Row],[Key(Compte ILN - shipper - POL - plant)]],'DATA ILN'!A:L,12,FALSE),VLOOKUP(Tableau1[[#This Row],[Key(Compte ILN - shipper - POL)]],'DATA ILN'!B:L,11,FALSE))</f>
        <v>#N/A</v>
      </c>
      <c r="U283" s="50" t="e">
        <f>Tableau1[[#This Row],[Day ILN Order]]+Tableau1[[#This Row],[Delivery time to ILN/Shipper]]-1</f>
        <v>#N/A</v>
      </c>
      <c r="V283" s="50" t="e">
        <f>IFERROR(VLOOKUP(Tableau1[[#This Row],[Key(Compte ILN - shipper - POL - plant)]],'DATA ILN'!A:N,14,FALSE),VLOOKUP(Tableau1[[#This Row],[Key(Compte ILN - shipper - POL)]],'DATA ILN'!B:N,13,FALSE))</f>
        <v>#N/A</v>
      </c>
      <c r="W283" s="50" t="e">
        <f>IFERROR(VLOOKUP(Tableau1[[#This Row],[Key(Compte ILN - shipper - POL - plant)]],'DATA ILN'!A:P,16,FALSE),VLOOKUP(Tableau1[[#This Row],[Key(Compte ILN - shipper - POL)]],'DATA ILN'!B:P,15,FALSE))</f>
        <v>#N/A</v>
      </c>
      <c r="X283" s="283"/>
      <c r="Y283" s="489">
        <f>IFERROR(VLOOKUP(Tableau1[[#This Row],[Name Shipper]],Plant_AILN!L:M,2,FALSE),0)</f>
        <v>0</v>
      </c>
      <c r="Z283" s="367"/>
      <c r="AA283" s="353" t="e">
        <f ca="1">VLOOKUP(Tableau1[[#This Row],[Key(ID-Actif)]],'DATA BTO'!A:N,5,FALSE)</f>
        <v>#N/A</v>
      </c>
      <c r="AB283" s="3" t="e">
        <f ca="1">VLOOKUP(Tableau1[[#This Row],[Key(ID-Actif)]],'DATA BTO'!A:N,6,FALSE)</f>
        <v>#N/A</v>
      </c>
      <c r="AC283" s="50" t="e">
        <f ca="1">VLOOKUP(Tableau1[[#This Row],[Key(ID-Actif)]],'DATA BTO'!A:N,7,FALSE)</f>
        <v>#N/A</v>
      </c>
      <c r="AD283" s="50" t="e">
        <f ca="1">VLOOKUP(Tableau1[[#This Row],[Key(ID-Actif)]],'DATA BTO'!A:N,8,FALSE)</f>
        <v>#N/A</v>
      </c>
      <c r="AE283" s="406" t="e">
        <f ca="1">IF(Tableau1[[#This Row],[First Day to POL]]&lt;=Tableau1[[#This Row],[Day Cut Off]],Tableau1[[#This Row],[Day ETD]],Tableau1[[#This Row],[Day ETD]]+7)</f>
        <v>#N/A</v>
      </c>
      <c r="AF283" s="50" t="e">
        <f ca="1">VLOOKUP(Tableau1[[#This Row],[Key(ID-Actif)]],'DATA BTO'!A:N,9,FALSE)</f>
        <v>#N/A</v>
      </c>
      <c r="AG283" s="3" t="e">
        <f ca="1">VLOOKUP(Tableau1[[#This Row],[Key(ID-Actif)]],'DATA BTO'!A:N,10,FALSE)</f>
        <v>#N/A</v>
      </c>
      <c r="AH283" s="3" t="e">
        <f ca="1">VLOOKUP(Tableau1[[#This Row],[Key(ID-Actif)]],'DATA BTO'!A:N,11,FALSE)</f>
        <v>#N/A</v>
      </c>
      <c r="AI283" s="50" t="e">
        <f ca="1">VLOOKUP(Tableau1[[#This Row],[Key(ID-Actif)]],'DATA BTO'!A:N,12,FALSE)</f>
        <v>#N/A</v>
      </c>
      <c r="AJ283" s="53" t="e">
        <f ca="1">VLOOKUP(Tableau1[[#This Row],[Key(ID-Actif)]],'DATA BTO'!A:N,14,FALSE)</f>
        <v>#N/A</v>
      </c>
      <c r="AK283" s="54" t="e">
        <f ca="1">VLOOKUP(Tableau1[[#This Row],[Key(POD -PFI- Usine)]],'DATA Consignee'!A:F,6,FALSE)</f>
        <v>#N/A</v>
      </c>
      <c r="AL283" s="283"/>
      <c r="AM283" s="490" t="str">
        <f>IF(Tableau1[[#This Row],[Name PFI/CDD]]="","-",VLOOKUP(Tableau1[[#This Row],[Name PFI/CDD]],Plant_AILN!I:J,2,FALSE))</f>
        <v>-</v>
      </c>
      <c r="AN28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3" s="2" t="e">
        <f ca="1">VLOOKUP(Tableau1[[#This Row],[Key(POD -PFI- Usine)]],'DATA Consignee'!A:J,10,FALSE)</f>
        <v>#N/A</v>
      </c>
      <c r="AQ283" s="50" t="e">
        <f ca="1">VLOOKUP(Tableau1[[#This Row],[Key(POD -PFI- Usine)]],'DATA Consignee'!A:N,14,FALSE)</f>
        <v>#N/A</v>
      </c>
      <c r="AR28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3" s="50" t="e">
        <f ca="1">Tableau1[[#This Row],[Transit time]]+Tableau1[[#This Row],[Time for security]]+Tableau1[[#This Row],[Time for security2 buffer]]</f>
        <v>#N/A</v>
      </c>
      <c r="AU28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3" s="50" t="e">
        <f ca="1">Tableau1[[#This Row],[Leadtime SI2C]]+Tableau1[[#This Row],[First Receipt Days]]-Tableau1[[#This Row],[Day Customer Order]]+1</f>
        <v>#N/A</v>
      </c>
      <c r="AW283" s="117" t="e">
        <f ca="1">IF(Tableau1[[#This Row],[Name ILN]]&lt;&gt;"SFK Freight Forwarder",Tableau1[[#This Row],[Cust. Leadtime]],Tableau1[[#This Row],[Leadtime SI2C]])</f>
        <v>#N/A</v>
      </c>
      <c r="AX283" s="57" t="e">
        <f>VLOOKUP(Tableau1[[#This Row],[ID]],'DATA BTO'!B:P,15,FALSE)</f>
        <v>#N/A</v>
      </c>
      <c r="AY283" s="328" t="e">
        <f ca="1">IFERROR(VLOOKUP(Tableau1[[#This Row],[Key(ID-Actif)]],'DATA BTO'!A:N,4,FALSE),VLOOKUP(Tableau1[[#This Row],[ID]],'DATA BTO'!B:N,3,FALSE))</f>
        <v>#N/A</v>
      </c>
      <c r="AZ28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3" s="50"/>
    </row>
    <row r="284" spans="2:57">
      <c r="B284" s="64" t="str">
        <f>_xlfn.CONCAT(Tableau1[[#This Row],[Name ILN]],"-",Tableau1[[#This Row],[Name Shipper]],"-",Tableau1[[#This Row],[Name Site]])</f>
        <v>--</v>
      </c>
      <c r="C284" s="64" t="e">
        <f>_xlfn.CONCAT(Tableau1[[#This Row],[Compte ILN]],"-",Tableau1[[#This Row],[Compte Shipper]],"-",Tableau1[[#This Row],[POL]],"-",Tableau1[[#This Row],[Compte Consignee]])</f>
        <v>#N/A</v>
      </c>
      <c r="D284" s="64" t="e">
        <f>_xlfn.CONCAT(Tableau1[[#This Row],[Compte ILN]],"-",Tableau1[[#This Row],[Compte Shipper]],"-",Tableau1[[#This Row],[POL]])</f>
        <v>#N/A</v>
      </c>
      <c r="E284" s="128" t="e">
        <f ca="1">_xlfn.CONCAT(Tableau1[[#This Row],[POL]],"-",Tableau1[[#This Row],[Carrier]],"-",Tableau1[[#This Row],[POD]])</f>
        <v>#N/A</v>
      </c>
      <c r="F284" s="64" t="str">
        <f>_xlfn.CONCAT(Tableau1[[#This Row],[ID]],"-","Actif")</f>
        <v>-Actif</v>
      </c>
      <c r="G284" s="64" t="e">
        <f ca="1">_xlfn.CONCAT(Tableau1[[#This Row],[POD]],"-",Tableau1[[#This Row],[Code PFI]],"-",Tableau1[[#This Row],[Compte Consignee]])</f>
        <v>#N/A</v>
      </c>
      <c r="H28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4" s="117" t="str">
        <f ca="1">IF(COUNTIF(I:I,Tableau1[[#This Row],[Plant-ILN-shipper-POL-Carrier-POD-PFI]])=1,"Non","Oui")</f>
        <v>Oui</v>
      </c>
      <c r="K284" s="126" t="e">
        <f>VLOOKUP(Tableau1[[#This Row],[Name Site]],Plant_AILN!A:D,4,FALSE)</f>
        <v>#N/A</v>
      </c>
      <c r="L284" s="364"/>
      <c r="M284" s="492" t="e">
        <f>VLOOKUP(Tableau1[[#This Row],[Name Site]],Plant_AILN!A:C,3,FALSE)</f>
        <v>#N/A</v>
      </c>
      <c r="N284" s="55" t="e">
        <f>VLOOKUP(Tableau1[[#This Row],[Compte Consignee]],Order!C:D,2,FALSE)</f>
        <v>#N/A</v>
      </c>
      <c r="O284" s="122"/>
      <c r="P284" s="481" t="e">
        <f>VLOOKUP(Tableau1[[#This Row],[Name ILN]],Plant_AILN!F:G,2,FALSE)</f>
        <v>#N/A</v>
      </c>
      <c r="Q284" s="50" t="e">
        <f>VLOOKUP(Tableau1[[#This Row],[Compte ILN]],'DATA ILN'!D:I,6,FALSE)</f>
        <v>#N/A</v>
      </c>
      <c r="R284" s="50" t="e">
        <f>IFERROR(VLOOKUP(Tableau1[[#This Row],[Key(Compte ILN - shipper - POL - plant)]],'DATA ILN'!A:J,10,FALSE),VLOOKUP(Tableau1[[#This Row],[Key(Compte ILN - shipper - POL)]],'DATA ILN'!B:J,9,FALSE))</f>
        <v>#N/A</v>
      </c>
      <c r="S284" s="50" t="e">
        <f>IFERROR(VLOOKUP(Tableau1[[#This Row],[Key(Compte ILN - shipper - POL - plant)]],'DATA ILN'!A:K,11,FALSE),VLOOKUP(Tableau1[[#This Row],[Key(Compte ILN - shipper - POL)]],'DATA ILN'!B:K,10,FALSE))</f>
        <v>#N/A</v>
      </c>
      <c r="T284" s="50" t="e">
        <f>IFERROR(VLOOKUP(Tableau1[[#This Row],[Key(Compte ILN - shipper - POL - plant)]],'DATA ILN'!A:L,12,FALSE),VLOOKUP(Tableau1[[#This Row],[Key(Compte ILN - shipper - POL)]],'DATA ILN'!B:L,11,FALSE))</f>
        <v>#N/A</v>
      </c>
      <c r="U284" s="50" t="e">
        <f>Tableau1[[#This Row],[Day ILN Order]]+Tableau1[[#This Row],[Delivery time to ILN/Shipper]]-1</f>
        <v>#N/A</v>
      </c>
      <c r="V284" s="50" t="e">
        <f>IFERROR(VLOOKUP(Tableau1[[#This Row],[Key(Compte ILN - shipper - POL - plant)]],'DATA ILN'!A:N,14,FALSE),VLOOKUP(Tableau1[[#This Row],[Key(Compte ILN - shipper - POL)]],'DATA ILN'!B:N,13,FALSE))</f>
        <v>#N/A</v>
      </c>
      <c r="W284" s="50" t="e">
        <f>IFERROR(VLOOKUP(Tableau1[[#This Row],[Key(Compte ILN - shipper - POL - plant)]],'DATA ILN'!A:P,16,FALSE),VLOOKUP(Tableau1[[#This Row],[Key(Compte ILN - shipper - POL)]],'DATA ILN'!B:P,15,FALSE))</f>
        <v>#N/A</v>
      </c>
      <c r="X284" s="283"/>
      <c r="Y284" s="489">
        <f>IFERROR(VLOOKUP(Tableau1[[#This Row],[Name Shipper]],Plant_AILN!L:M,2,FALSE),0)</f>
        <v>0</v>
      </c>
      <c r="Z284" s="358"/>
      <c r="AA284" s="353" t="e">
        <f ca="1">VLOOKUP(Tableau1[[#This Row],[Key(ID-Actif)]],'DATA BTO'!A:N,5,FALSE)</f>
        <v>#N/A</v>
      </c>
      <c r="AB284" s="3" t="e">
        <f ca="1">VLOOKUP(Tableau1[[#This Row],[Key(ID-Actif)]],'DATA BTO'!A:N,6,FALSE)</f>
        <v>#N/A</v>
      </c>
      <c r="AC284" s="50" t="e">
        <f ca="1">VLOOKUP(Tableau1[[#This Row],[Key(ID-Actif)]],'DATA BTO'!A:N,7,FALSE)</f>
        <v>#N/A</v>
      </c>
      <c r="AD284" s="50" t="e">
        <f ca="1">VLOOKUP(Tableau1[[#This Row],[Key(ID-Actif)]],'DATA BTO'!A:N,8,FALSE)</f>
        <v>#N/A</v>
      </c>
      <c r="AE284" s="406" t="e">
        <f ca="1">IF(Tableau1[[#This Row],[First Day to POL]]&lt;=Tableau1[[#This Row],[Day Cut Off]],Tableau1[[#This Row],[Day ETD]],Tableau1[[#This Row],[Day ETD]]+7)</f>
        <v>#N/A</v>
      </c>
      <c r="AF284" s="50" t="e">
        <f ca="1">VLOOKUP(Tableau1[[#This Row],[Key(ID-Actif)]],'DATA BTO'!A:N,9,FALSE)</f>
        <v>#N/A</v>
      </c>
      <c r="AG284" s="3" t="e">
        <f ca="1">VLOOKUP(Tableau1[[#This Row],[Key(ID-Actif)]],'DATA BTO'!A:N,10,FALSE)</f>
        <v>#N/A</v>
      </c>
      <c r="AH284" s="3" t="e">
        <f ca="1">VLOOKUP(Tableau1[[#This Row],[Key(ID-Actif)]],'DATA BTO'!A:N,11,FALSE)</f>
        <v>#N/A</v>
      </c>
      <c r="AI284" s="50" t="e">
        <f ca="1">VLOOKUP(Tableau1[[#This Row],[Key(ID-Actif)]],'DATA BTO'!A:N,12,FALSE)</f>
        <v>#N/A</v>
      </c>
      <c r="AJ284" s="53" t="e">
        <f ca="1">VLOOKUP(Tableau1[[#This Row],[Key(ID-Actif)]],'DATA BTO'!A:N,14,FALSE)</f>
        <v>#N/A</v>
      </c>
      <c r="AK284" s="54" t="e">
        <f ca="1">VLOOKUP(Tableau1[[#This Row],[Key(POD -PFI- Usine)]],'DATA Consignee'!A:F,6,FALSE)</f>
        <v>#N/A</v>
      </c>
      <c r="AL284" s="283"/>
      <c r="AM284" s="490" t="str">
        <f>IF(Tableau1[[#This Row],[Name PFI/CDD]]="","-",VLOOKUP(Tableau1[[#This Row],[Name PFI/CDD]],Plant_AILN!I:J,2,FALSE))</f>
        <v>-</v>
      </c>
      <c r="AN28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4" s="2" t="e">
        <f ca="1">VLOOKUP(Tableau1[[#This Row],[Key(POD -PFI- Usine)]],'DATA Consignee'!A:J,10,FALSE)</f>
        <v>#N/A</v>
      </c>
      <c r="AQ284" s="50" t="e">
        <f ca="1">VLOOKUP(Tableau1[[#This Row],[Key(POD -PFI- Usine)]],'DATA Consignee'!A:N,14,FALSE)</f>
        <v>#N/A</v>
      </c>
      <c r="AR28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4" s="50" t="e">
        <f ca="1">Tableau1[[#This Row],[Transit time]]+Tableau1[[#This Row],[Time for security]]+Tableau1[[#This Row],[Time for security2 buffer]]</f>
        <v>#N/A</v>
      </c>
      <c r="AU28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4" s="50" t="e">
        <f ca="1">Tableau1[[#This Row],[Leadtime SI2C]]+Tableau1[[#This Row],[First Receipt Days]]-Tableau1[[#This Row],[Day Customer Order]]+1</f>
        <v>#N/A</v>
      </c>
      <c r="AW284" s="117" t="e">
        <f ca="1">IF(Tableau1[[#This Row],[Name ILN]]&lt;&gt;"SFK Freight Forwarder",Tableau1[[#This Row],[Cust. Leadtime]],Tableau1[[#This Row],[Leadtime SI2C]])</f>
        <v>#N/A</v>
      </c>
      <c r="AX284" s="57" t="e">
        <f>VLOOKUP(Tableau1[[#This Row],[ID]],'DATA BTO'!B:P,15,FALSE)</f>
        <v>#N/A</v>
      </c>
      <c r="AY284" s="328" t="e">
        <f ca="1">IFERROR(VLOOKUP(Tableau1[[#This Row],[Key(ID-Actif)]],'DATA BTO'!A:N,4,FALSE),VLOOKUP(Tableau1[[#This Row],[ID]],'DATA BTO'!B:N,3,FALSE))</f>
        <v>#N/A</v>
      </c>
      <c r="AZ28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4" s="50"/>
    </row>
    <row r="285" spans="2:57">
      <c r="B285" s="64" t="str">
        <f>_xlfn.CONCAT(Tableau1[[#This Row],[Name ILN]],"-",Tableau1[[#This Row],[Name Shipper]],"-",Tableau1[[#This Row],[Name Site]])</f>
        <v>--</v>
      </c>
      <c r="C285" s="64" t="e">
        <f>_xlfn.CONCAT(Tableau1[[#This Row],[Compte ILN]],"-",Tableau1[[#This Row],[Compte Shipper]],"-",Tableau1[[#This Row],[POL]],"-",Tableau1[[#This Row],[Compte Consignee]])</f>
        <v>#N/A</v>
      </c>
      <c r="D285" s="64" t="e">
        <f>_xlfn.CONCAT(Tableau1[[#This Row],[Compte ILN]],"-",Tableau1[[#This Row],[Compte Shipper]],"-",Tableau1[[#This Row],[POL]])</f>
        <v>#N/A</v>
      </c>
      <c r="E285" s="128" t="e">
        <f ca="1">_xlfn.CONCAT(Tableau1[[#This Row],[POL]],"-",Tableau1[[#This Row],[Carrier]],"-",Tableau1[[#This Row],[POD]])</f>
        <v>#N/A</v>
      </c>
      <c r="F285" s="64" t="str">
        <f>_xlfn.CONCAT(Tableau1[[#This Row],[ID]],"-","Actif")</f>
        <v>-Actif</v>
      </c>
      <c r="G285" s="64" t="e">
        <f ca="1">_xlfn.CONCAT(Tableau1[[#This Row],[POD]],"-",Tableau1[[#This Row],[Code PFI]],"-",Tableau1[[#This Row],[Compte Consignee]])</f>
        <v>#N/A</v>
      </c>
      <c r="H28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5" s="117" t="str">
        <f ca="1">IF(COUNTIF(I:I,Tableau1[[#This Row],[Plant-ILN-shipper-POL-Carrier-POD-PFI]])=1,"Non","Oui")</f>
        <v>Oui</v>
      </c>
      <c r="K285" s="126" t="e">
        <f>VLOOKUP(Tableau1[[#This Row],[Name Site]],Plant_AILN!A:D,4,FALSE)</f>
        <v>#N/A</v>
      </c>
      <c r="L285" s="364"/>
      <c r="M285" s="492" t="e">
        <f>VLOOKUP(Tableau1[[#This Row],[Name Site]],Plant_AILN!A:C,3,FALSE)</f>
        <v>#N/A</v>
      </c>
      <c r="N285" s="55" t="e">
        <f>VLOOKUP(Tableau1[[#This Row],[Compte Consignee]],Order!C:D,2,FALSE)</f>
        <v>#N/A</v>
      </c>
      <c r="O285" s="122"/>
      <c r="P285" s="481" t="e">
        <f>VLOOKUP(Tableau1[[#This Row],[Name ILN]],Plant_AILN!F:G,2,FALSE)</f>
        <v>#N/A</v>
      </c>
      <c r="Q285" s="50" t="e">
        <f>VLOOKUP(Tableau1[[#This Row],[Compte ILN]],'DATA ILN'!D:I,6,FALSE)</f>
        <v>#N/A</v>
      </c>
      <c r="R285" s="50" t="e">
        <f>IFERROR(VLOOKUP(Tableau1[[#This Row],[Key(Compte ILN - shipper - POL - plant)]],'DATA ILN'!A:J,10,FALSE),VLOOKUP(Tableau1[[#This Row],[Key(Compte ILN - shipper - POL)]],'DATA ILN'!B:J,9,FALSE))</f>
        <v>#N/A</v>
      </c>
      <c r="S285" s="50" t="e">
        <f>IFERROR(VLOOKUP(Tableau1[[#This Row],[Key(Compte ILN - shipper - POL - plant)]],'DATA ILN'!A:K,11,FALSE),VLOOKUP(Tableau1[[#This Row],[Key(Compte ILN - shipper - POL)]],'DATA ILN'!B:K,10,FALSE))</f>
        <v>#N/A</v>
      </c>
      <c r="T285" s="50" t="e">
        <f>IFERROR(VLOOKUP(Tableau1[[#This Row],[Key(Compte ILN - shipper - POL - plant)]],'DATA ILN'!A:L,12,FALSE),VLOOKUP(Tableau1[[#This Row],[Key(Compte ILN - shipper - POL)]],'DATA ILN'!B:L,11,FALSE))</f>
        <v>#N/A</v>
      </c>
      <c r="U285" s="50" t="e">
        <f>Tableau1[[#This Row],[Day ILN Order]]+Tableau1[[#This Row],[Delivery time to ILN/Shipper]]-1</f>
        <v>#N/A</v>
      </c>
      <c r="V285" s="50" t="e">
        <f>IFERROR(VLOOKUP(Tableau1[[#This Row],[Key(Compte ILN - shipper - POL - plant)]],'DATA ILN'!A:N,14,FALSE),VLOOKUP(Tableau1[[#This Row],[Key(Compte ILN - shipper - POL)]],'DATA ILN'!B:N,13,FALSE))</f>
        <v>#N/A</v>
      </c>
      <c r="W285" s="50" t="e">
        <f>IFERROR(VLOOKUP(Tableau1[[#This Row],[Key(Compte ILN - shipper - POL - plant)]],'DATA ILN'!A:P,16,FALSE),VLOOKUP(Tableau1[[#This Row],[Key(Compte ILN - shipper - POL)]],'DATA ILN'!B:P,15,FALSE))</f>
        <v>#N/A</v>
      </c>
      <c r="X285" s="283"/>
      <c r="Y285" s="489">
        <f>IFERROR(VLOOKUP(Tableau1[[#This Row],[Name Shipper]],Plant_AILN!L:M,2,FALSE),0)</f>
        <v>0</v>
      </c>
      <c r="Z285" s="358"/>
      <c r="AA285" s="353" t="e">
        <f ca="1">VLOOKUP(Tableau1[[#This Row],[Key(ID-Actif)]],'DATA BTO'!A:N,5,FALSE)</f>
        <v>#N/A</v>
      </c>
      <c r="AB285" s="3" t="e">
        <f ca="1">VLOOKUP(Tableau1[[#This Row],[Key(ID-Actif)]],'DATA BTO'!A:N,6,FALSE)</f>
        <v>#N/A</v>
      </c>
      <c r="AC285" s="50" t="e">
        <f ca="1">VLOOKUP(Tableau1[[#This Row],[Key(ID-Actif)]],'DATA BTO'!A:N,7,FALSE)</f>
        <v>#N/A</v>
      </c>
      <c r="AD285" s="50" t="e">
        <f ca="1">VLOOKUP(Tableau1[[#This Row],[Key(ID-Actif)]],'DATA BTO'!A:N,8,FALSE)</f>
        <v>#N/A</v>
      </c>
      <c r="AE285" s="406" t="e">
        <f ca="1">IF(Tableau1[[#This Row],[First Day to POL]]&lt;=Tableau1[[#This Row],[Day Cut Off]],Tableau1[[#This Row],[Day ETD]],Tableau1[[#This Row],[Day ETD]]+7)</f>
        <v>#N/A</v>
      </c>
      <c r="AF285" s="50" t="e">
        <f ca="1">VLOOKUP(Tableau1[[#This Row],[Key(ID-Actif)]],'DATA BTO'!A:N,9,FALSE)</f>
        <v>#N/A</v>
      </c>
      <c r="AG285" s="3" t="e">
        <f ca="1">VLOOKUP(Tableau1[[#This Row],[Key(ID-Actif)]],'DATA BTO'!A:N,10,FALSE)</f>
        <v>#N/A</v>
      </c>
      <c r="AH285" s="3" t="e">
        <f ca="1">VLOOKUP(Tableau1[[#This Row],[Key(ID-Actif)]],'DATA BTO'!A:N,11,FALSE)</f>
        <v>#N/A</v>
      </c>
      <c r="AI285" s="50" t="e">
        <f ca="1">VLOOKUP(Tableau1[[#This Row],[Key(ID-Actif)]],'DATA BTO'!A:N,12,FALSE)</f>
        <v>#N/A</v>
      </c>
      <c r="AJ285" s="53" t="e">
        <f ca="1">VLOOKUP(Tableau1[[#This Row],[Key(ID-Actif)]],'DATA BTO'!A:N,14,FALSE)</f>
        <v>#N/A</v>
      </c>
      <c r="AK285" s="54" t="e">
        <f ca="1">VLOOKUP(Tableau1[[#This Row],[Key(POD -PFI- Usine)]],'DATA Consignee'!A:F,6,FALSE)</f>
        <v>#N/A</v>
      </c>
      <c r="AL285" s="283"/>
      <c r="AM285" s="490" t="str">
        <f>IF(Tableau1[[#This Row],[Name PFI/CDD]]="","-",VLOOKUP(Tableau1[[#This Row],[Name PFI/CDD]],Plant_AILN!I:J,2,FALSE))</f>
        <v>-</v>
      </c>
      <c r="AN28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5" s="2" t="e">
        <f ca="1">VLOOKUP(Tableau1[[#This Row],[Key(POD -PFI- Usine)]],'DATA Consignee'!A:J,10,FALSE)</f>
        <v>#N/A</v>
      </c>
      <c r="AQ285" s="50" t="e">
        <f ca="1">VLOOKUP(Tableau1[[#This Row],[Key(POD -PFI- Usine)]],'DATA Consignee'!A:N,14,FALSE)</f>
        <v>#N/A</v>
      </c>
      <c r="AR28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5" s="50" t="e">
        <f ca="1">Tableau1[[#This Row],[Transit time]]+Tableau1[[#This Row],[Time for security]]+Tableau1[[#This Row],[Time for security2 buffer]]</f>
        <v>#N/A</v>
      </c>
      <c r="AU28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5" s="50" t="e">
        <f ca="1">Tableau1[[#This Row],[Leadtime SI2C]]+Tableau1[[#This Row],[First Receipt Days]]-Tableau1[[#This Row],[Day Customer Order]]+1</f>
        <v>#N/A</v>
      </c>
      <c r="AW285" s="117" t="e">
        <f ca="1">IF(Tableau1[[#This Row],[Name ILN]]&lt;&gt;"SFK Freight Forwarder",Tableau1[[#This Row],[Cust. Leadtime]],Tableau1[[#This Row],[Leadtime SI2C]])</f>
        <v>#N/A</v>
      </c>
      <c r="AX285" s="57" t="e">
        <f>VLOOKUP(Tableau1[[#This Row],[ID]],'DATA BTO'!B:P,15,FALSE)</f>
        <v>#N/A</v>
      </c>
      <c r="AY285" s="328" t="e">
        <f ca="1">IFERROR(VLOOKUP(Tableau1[[#This Row],[Key(ID-Actif)]],'DATA BTO'!A:N,4,FALSE),VLOOKUP(Tableau1[[#This Row],[ID]],'DATA BTO'!B:N,3,FALSE))</f>
        <v>#N/A</v>
      </c>
      <c r="AZ28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5" s="50"/>
    </row>
    <row r="286" spans="2:57">
      <c r="B286" s="64" t="str">
        <f>_xlfn.CONCAT(Tableau1[[#This Row],[Name ILN]],"-",Tableau1[[#This Row],[Name Shipper]],"-",Tableau1[[#This Row],[Name Site]])</f>
        <v>--</v>
      </c>
      <c r="C286" s="64" t="e">
        <f>_xlfn.CONCAT(Tableau1[[#This Row],[Compte ILN]],"-",Tableau1[[#This Row],[Compte Shipper]],"-",Tableau1[[#This Row],[POL]],"-",Tableau1[[#This Row],[Compte Consignee]])</f>
        <v>#N/A</v>
      </c>
      <c r="D286" s="64" t="e">
        <f>_xlfn.CONCAT(Tableau1[[#This Row],[Compte ILN]],"-",Tableau1[[#This Row],[Compte Shipper]],"-",Tableau1[[#This Row],[POL]])</f>
        <v>#N/A</v>
      </c>
      <c r="E286" s="128" t="e">
        <f ca="1">_xlfn.CONCAT(Tableau1[[#This Row],[POL]],"-",Tableau1[[#This Row],[Carrier]],"-",Tableau1[[#This Row],[POD]])</f>
        <v>#N/A</v>
      </c>
      <c r="F286" s="64" t="str">
        <f>_xlfn.CONCAT(Tableau1[[#This Row],[ID]],"-","Actif")</f>
        <v>-Actif</v>
      </c>
      <c r="G286" s="64" t="e">
        <f ca="1">_xlfn.CONCAT(Tableau1[[#This Row],[POD]],"-",Tableau1[[#This Row],[Code PFI]],"-",Tableau1[[#This Row],[Compte Consignee]])</f>
        <v>#N/A</v>
      </c>
      <c r="H28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6" s="117" t="str">
        <f ca="1">IF(COUNTIF(I:I,Tableau1[[#This Row],[Plant-ILN-shipper-POL-Carrier-POD-PFI]])=1,"Non","Oui")</f>
        <v>Oui</v>
      </c>
      <c r="K286" s="126" t="e">
        <f>VLOOKUP(Tableau1[[#This Row],[Name Site]],Plant_AILN!A:D,4,FALSE)</f>
        <v>#N/A</v>
      </c>
      <c r="L286" s="364"/>
      <c r="M286" s="492" t="e">
        <f>VLOOKUP(Tableau1[[#This Row],[Name Site]],Plant_AILN!A:C,3,FALSE)</f>
        <v>#N/A</v>
      </c>
      <c r="N286" s="55" t="e">
        <f>VLOOKUP(Tableau1[[#This Row],[Compte Consignee]],Order!C:D,2,FALSE)</f>
        <v>#N/A</v>
      </c>
      <c r="O286" s="122"/>
      <c r="P286" s="481" t="e">
        <f>VLOOKUP(Tableau1[[#This Row],[Name ILN]],Plant_AILN!F:G,2,FALSE)</f>
        <v>#N/A</v>
      </c>
      <c r="Q286" s="50" t="e">
        <f>VLOOKUP(Tableau1[[#This Row],[Compte ILN]],'DATA ILN'!D:I,6,FALSE)</f>
        <v>#N/A</v>
      </c>
      <c r="R286" s="50" t="e">
        <f>IFERROR(VLOOKUP(Tableau1[[#This Row],[Key(Compte ILN - shipper - POL - plant)]],'DATA ILN'!A:J,10,FALSE),VLOOKUP(Tableau1[[#This Row],[Key(Compte ILN - shipper - POL)]],'DATA ILN'!B:J,9,FALSE))</f>
        <v>#N/A</v>
      </c>
      <c r="S286" s="50" t="e">
        <f>IFERROR(VLOOKUP(Tableau1[[#This Row],[Key(Compte ILN - shipper - POL - plant)]],'DATA ILN'!A:K,11,FALSE),VLOOKUP(Tableau1[[#This Row],[Key(Compte ILN - shipper - POL)]],'DATA ILN'!B:K,10,FALSE))</f>
        <v>#N/A</v>
      </c>
      <c r="T286" s="50" t="e">
        <f>IFERROR(VLOOKUP(Tableau1[[#This Row],[Key(Compte ILN - shipper - POL - plant)]],'DATA ILN'!A:L,12,FALSE),VLOOKUP(Tableau1[[#This Row],[Key(Compte ILN - shipper - POL)]],'DATA ILN'!B:L,11,FALSE))</f>
        <v>#N/A</v>
      </c>
      <c r="U286" s="50" t="e">
        <f>Tableau1[[#This Row],[Day ILN Order]]+Tableau1[[#This Row],[Delivery time to ILN/Shipper]]-1</f>
        <v>#N/A</v>
      </c>
      <c r="V286" s="50" t="e">
        <f>IFERROR(VLOOKUP(Tableau1[[#This Row],[Key(Compte ILN - shipper - POL - plant)]],'DATA ILN'!A:N,14,FALSE),VLOOKUP(Tableau1[[#This Row],[Key(Compte ILN - shipper - POL)]],'DATA ILN'!B:N,13,FALSE))</f>
        <v>#N/A</v>
      </c>
      <c r="W286" s="50" t="e">
        <f>IFERROR(VLOOKUP(Tableau1[[#This Row],[Key(Compte ILN - shipper - POL - plant)]],'DATA ILN'!A:P,16,FALSE),VLOOKUP(Tableau1[[#This Row],[Key(Compte ILN - shipper - POL)]],'DATA ILN'!B:P,15,FALSE))</f>
        <v>#N/A</v>
      </c>
      <c r="X286" s="283"/>
      <c r="Y286" s="489">
        <f>IFERROR(VLOOKUP(Tableau1[[#This Row],[Name Shipper]],Plant_AILN!L:M,2,FALSE),0)</f>
        <v>0</v>
      </c>
      <c r="Z286" s="358"/>
      <c r="AA286" s="353" t="e">
        <f ca="1">VLOOKUP(Tableau1[[#This Row],[Key(ID-Actif)]],'DATA BTO'!A:N,5,FALSE)</f>
        <v>#N/A</v>
      </c>
      <c r="AB286" s="3" t="e">
        <f ca="1">VLOOKUP(Tableau1[[#This Row],[Key(ID-Actif)]],'DATA BTO'!A:N,6,FALSE)</f>
        <v>#N/A</v>
      </c>
      <c r="AC286" s="50" t="e">
        <f ca="1">VLOOKUP(Tableau1[[#This Row],[Key(ID-Actif)]],'DATA BTO'!A:N,7,FALSE)</f>
        <v>#N/A</v>
      </c>
      <c r="AD286" s="50" t="e">
        <f ca="1">VLOOKUP(Tableau1[[#This Row],[Key(ID-Actif)]],'DATA BTO'!A:N,8,FALSE)</f>
        <v>#N/A</v>
      </c>
      <c r="AE286" s="406" t="e">
        <f ca="1">IF(Tableau1[[#This Row],[First Day to POL]]&lt;=Tableau1[[#This Row],[Day Cut Off]],Tableau1[[#This Row],[Day ETD]],Tableau1[[#This Row],[Day ETD]]+7)</f>
        <v>#N/A</v>
      </c>
      <c r="AF286" s="50" t="e">
        <f ca="1">VLOOKUP(Tableau1[[#This Row],[Key(ID-Actif)]],'DATA BTO'!A:N,9,FALSE)</f>
        <v>#N/A</v>
      </c>
      <c r="AG286" s="3" t="e">
        <f ca="1">VLOOKUP(Tableau1[[#This Row],[Key(ID-Actif)]],'DATA BTO'!A:N,10,FALSE)</f>
        <v>#N/A</v>
      </c>
      <c r="AH286" s="3" t="e">
        <f ca="1">VLOOKUP(Tableau1[[#This Row],[Key(ID-Actif)]],'DATA BTO'!A:N,11,FALSE)</f>
        <v>#N/A</v>
      </c>
      <c r="AI286" s="50" t="e">
        <f ca="1">VLOOKUP(Tableau1[[#This Row],[Key(ID-Actif)]],'DATA BTO'!A:N,12,FALSE)</f>
        <v>#N/A</v>
      </c>
      <c r="AJ286" s="53" t="e">
        <f ca="1">VLOOKUP(Tableau1[[#This Row],[Key(ID-Actif)]],'DATA BTO'!A:N,14,FALSE)</f>
        <v>#N/A</v>
      </c>
      <c r="AK286" s="54" t="e">
        <f ca="1">VLOOKUP(Tableau1[[#This Row],[Key(POD -PFI- Usine)]],'DATA Consignee'!A:F,6,FALSE)</f>
        <v>#N/A</v>
      </c>
      <c r="AL286" s="283"/>
      <c r="AM286" s="490" t="str">
        <f>IF(Tableau1[[#This Row],[Name PFI/CDD]]="","-",VLOOKUP(Tableau1[[#This Row],[Name PFI/CDD]],Plant_AILN!I:J,2,FALSE))</f>
        <v>-</v>
      </c>
      <c r="AN28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6" s="2" t="e">
        <f ca="1">VLOOKUP(Tableau1[[#This Row],[Key(POD -PFI- Usine)]],'DATA Consignee'!A:J,10,FALSE)</f>
        <v>#N/A</v>
      </c>
      <c r="AQ286" s="50" t="e">
        <f ca="1">VLOOKUP(Tableau1[[#This Row],[Key(POD -PFI- Usine)]],'DATA Consignee'!A:N,14,FALSE)</f>
        <v>#N/A</v>
      </c>
      <c r="AR28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6" s="50" t="e">
        <f ca="1">Tableau1[[#This Row],[Transit time]]+Tableau1[[#This Row],[Time for security]]+Tableau1[[#This Row],[Time for security2 buffer]]</f>
        <v>#N/A</v>
      </c>
      <c r="AU28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6" s="50" t="e">
        <f ca="1">Tableau1[[#This Row],[Leadtime SI2C]]+Tableau1[[#This Row],[First Receipt Days]]-Tableau1[[#This Row],[Day Customer Order]]+1</f>
        <v>#N/A</v>
      </c>
      <c r="AW286" s="117" t="e">
        <f ca="1">IF(Tableau1[[#This Row],[Name ILN]]&lt;&gt;"SFK Freight Forwarder",Tableau1[[#This Row],[Cust. Leadtime]],Tableau1[[#This Row],[Leadtime SI2C]])</f>
        <v>#N/A</v>
      </c>
      <c r="AX286" s="57" t="e">
        <f>VLOOKUP(Tableau1[[#This Row],[ID]],'DATA BTO'!B:P,15,FALSE)</f>
        <v>#N/A</v>
      </c>
      <c r="AY286" s="328" t="e">
        <f ca="1">IFERROR(VLOOKUP(Tableau1[[#This Row],[Key(ID-Actif)]],'DATA BTO'!A:N,4,FALSE),VLOOKUP(Tableau1[[#This Row],[ID]],'DATA BTO'!B:N,3,FALSE))</f>
        <v>#N/A</v>
      </c>
      <c r="AZ28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6" s="50"/>
    </row>
    <row r="287" spans="2:57">
      <c r="B287" s="64" t="str">
        <f>_xlfn.CONCAT(Tableau1[[#This Row],[Name ILN]],"-",Tableau1[[#This Row],[Name Shipper]],"-",Tableau1[[#This Row],[Name Site]])</f>
        <v>--</v>
      </c>
      <c r="C287" s="64" t="e">
        <f>_xlfn.CONCAT(Tableau1[[#This Row],[Compte ILN]],"-",Tableau1[[#This Row],[Compte Shipper]],"-",Tableau1[[#This Row],[POL]],"-",Tableau1[[#This Row],[Compte Consignee]])</f>
        <v>#N/A</v>
      </c>
      <c r="D287" s="64" t="e">
        <f>_xlfn.CONCAT(Tableau1[[#This Row],[Compte ILN]],"-",Tableau1[[#This Row],[Compte Shipper]],"-",Tableau1[[#This Row],[POL]])</f>
        <v>#N/A</v>
      </c>
      <c r="E287" s="128" t="e">
        <f ca="1">_xlfn.CONCAT(Tableau1[[#This Row],[POL]],"-",Tableau1[[#This Row],[Carrier]],"-",Tableau1[[#This Row],[POD]])</f>
        <v>#N/A</v>
      </c>
      <c r="F287" s="64" t="str">
        <f>_xlfn.CONCAT(Tableau1[[#This Row],[ID]],"-","Actif")</f>
        <v>-Actif</v>
      </c>
      <c r="G287" s="64" t="e">
        <f ca="1">_xlfn.CONCAT(Tableau1[[#This Row],[POD]],"-",Tableau1[[#This Row],[Code PFI]],"-",Tableau1[[#This Row],[Compte Consignee]])</f>
        <v>#N/A</v>
      </c>
      <c r="H28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7" s="117" t="str">
        <f ca="1">IF(COUNTIF(I:I,Tableau1[[#This Row],[Plant-ILN-shipper-POL-Carrier-POD-PFI]])=1,"Non","Oui")</f>
        <v>Oui</v>
      </c>
      <c r="K287" s="126" t="e">
        <f>VLOOKUP(Tableau1[[#This Row],[Name Site]],Plant_AILN!A:D,4,FALSE)</f>
        <v>#N/A</v>
      </c>
      <c r="L287" s="364"/>
      <c r="M287" s="492" t="e">
        <f>VLOOKUP(Tableau1[[#This Row],[Name Site]],Plant_AILN!A:C,3,FALSE)</f>
        <v>#N/A</v>
      </c>
      <c r="N287" s="55" t="e">
        <f>VLOOKUP(Tableau1[[#This Row],[Compte Consignee]],Order!C:D,2,FALSE)</f>
        <v>#N/A</v>
      </c>
      <c r="O287" s="122"/>
      <c r="P287" s="481" t="e">
        <f>VLOOKUP(Tableau1[[#This Row],[Name ILN]],Plant_AILN!F:G,2,FALSE)</f>
        <v>#N/A</v>
      </c>
      <c r="Q287" s="50" t="e">
        <f>VLOOKUP(Tableau1[[#This Row],[Compte ILN]],'DATA ILN'!D:I,6,FALSE)</f>
        <v>#N/A</v>
      </c>
      <c r="R287" s="50" t="e">
        <f>IFERROR(VLOOKUP(Tableau1[[#This Row],[Key(Compte ILN - shipper - POL - plant)]],'DATA ILN'!A:J,10,FALSE),VLOOKUP(Tableau1[[#This Row],[Key(Compte ILN - shipper - POL)]],'DATA ILN'!B:J,9,FALSE))</f>
        <v>#N/A</v>
      </c>
      <c r="S287" s="50" t="e">
        <f>IFERROR(VLOOKUP(Tableau1[[#This Row],[Key(Compte ILN - shipper - POL - plant)]],'DATA ILN'!A:K,11,FALSE),VLOOKUP(Tableau1[[#This Row],[Key(Compte ILN - shipper - POL)]],'DATA ILN'!B:K,10,FALSE))</f>
        <v>#N/A</v>
      </c>
      <c r="T287" s="50" t="e">
        <f>IFERROR(VLOOKUP(Tableau1[[#This Row],[Key(Compte ILN - shipper - POL - plant)]],'DATA ILN'!A:L,12,FALSE),VLOOKUP(Tableau1[[#This Row],[Key(Compte ILN - shipper - POL)]],'DATA ILN'!B:L,11,FALSE))</f>
        <v>#N/A</v>
      </c>
      <c r="U287" s="50" t="e">
        <f>Tableau1[[#This Row],[Day ILN Order]]+Tableau1[[#This Row],[Delivery time to ILN/Shipper]]-1</f>
        <v>#N/A</v>
      </c>
      <c r="V287" s="50" t="e">
        <f>IFERROR(VLOOKUP(Tableau1[[#This Row],[Key(Compte ILN - shipper - POL - plant)]],'DATA ILN'!A:N,14,FALSE),VLOOKUP(Tableau1[[#This Row],[Key(Compte ILN - shipper - POL)]],'DATA ILN'!B:N,13,FALSE))</f>
        <v>#N/A</v>
      </c>
      <c r="W287" s="50" t="e">
        <f>IFERROR(VLOOKUP(Tableau1[[#This Row],[Key(Compte ILN - shipper - POL - plant)]],'DATA ILN'!A:P,16,FALSE),VLOOKUP(Tableau1[[#This Row],[Key(Compte ILN - shipper - POL)]],'DATA ILN'!B:P,15,FALSE))</f>
        <v>#N/A</v>
      </c>
      <c r="X287" s="283"/>
      <c r="Y287" s="489">
        <f>IFERROR(VLOOKUP(Tableau1[[#This Row],[Name Shipper]],Plant_AILN!L:M,2,FALSE),0)</f>
        <v>0</v>
      </c>
      <c r="Z287" s="358"/>
      <c r="AA287" s="353" t="e">
        <f ca="1">VLOOKUP(Tableau1[[#This Row],[Key(ID-Actif)]],'DATA BTO'!A:N,5,FALSE)</f>
        <v>#N/A</v>
      </c>
      <c r="AB287" s="3" t="e">
        <f ca="1">VLOOKUP(Tableau1[[#This Row],[Key(ID-Actif)]],'DATA BTO'!A:N,6,FALSE)</f>
        <v>#N/A</v>
      </c>
      <c r="AC287" s="50" t="e">
        <f ca="1">VLOOKUP(Tableau1[[#This Row],[Key(ID-Actif)]],'DATA BTO'!A:N,7,FALSE)</f>
        <v>#N/A</v>
      </c>
      <c r="AD287" s="50" t="e">
        <f ca="1">VLOOKUP(Tableau1[[#This Row],[Key(ID-Actif)]],'DATA BTO'!A:N,8,FALSE)</f>
        <v>#N/A</v>
      </c>
      <c r="AE287" s="406" t="e">
        <f ca="1">IF(Tableau1[[#This Row],[First Day to POL]]&lt;=Tableau1[[#This Row],[Day Cut Off]],Tableau1[[#This Row],[Day ETD]],Tableau1[[#This Row],[Day ETD]]+7)</f>
        <v>#N/A</v>
      </c>
      <c r="AF287" s="50" t="e">
        <f ca="1">VLOOKUP(Tableau1[[#This Row],[Key(ID-Actif)]],'DATA BTO'!A:N,9,FALSE)</f>
        <v>#N/A</v>
      </c>
      <c r="AG287" s="3" t="e">
        <f ca="1">VLOOKUP(Tableau1[[#This Row],[Key(ID-Actif)]],'DATA BTO'!A:N,10,FALSE)</f>
        <v>#N/A</v>
      </c>
      <c r="AH287" s="3" t="e">
        <f ca="1">VLOOKUP(Tableau1[[#This Row],[Key(ID-Actif)]],'DATA BTO'!A:N,11,FALSE)</f>
        <v>#N/A</v>
      </c>
      <c r="AI287" s="50" t="e">
        <f ca="1">VLOOKUP(Tableau1[[#This Row],[Key(ID-Actif)]],'DATA BTO'!A:N,12,FALSE)</f>
        <v>#N/A</v>
      </c>
      <c r="AJ287" s="53" t="e">
        <f ca="1">VLOOKUP(Tableau1[[#This Row],[Key(ID-Actif)]],'DATA BTO'!A:N,14,FALSE)</f>
        <v>#N/A</v>
      </c>
      <c r="AK287" s="54" t="e">
        <f ca="1">VLOOKUP(Tableau1[[#This Row],[Key(POD -PFI- Usine)]],'DATA Consignee'!A:F,6,FALSE)</f>
        <v>#N/A</v>
      </c>
      <c r="AL287" s="283"/>
      <c r="AM287" s="490" t="str">
        <f>IF(Tableau1[[#This Row],[Name PFI/CDD]]="","-",VLOOKUP(Tableau1[[#This Row],[Name PFI/CDD]],Plant_AILN!I:J,2,FALSE))</f>
        <v>-</v>
      </c>
      <c r="AN28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7" s="2" t="e">
        <f ca="1">VLOOKUP(Tableau1[[#This Row],[Key(POD -PFI- Usine)]],'DATA Consignee'!A:J,10,FALSE)</f>
        <v>#N/A</v>
      </c>
      <c r="AQ287" s="50" t="e">
        <f ca="1">VLOOKUP(Tableau1[[#This Row],[Key(POD -PFI- Usine)]],'DATA Consignee'!A:N,14,FALSE)</f>
        <v>#N/A</v>
      </c>
      <c r="AR28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7" s="50" t="e">
        <f ca="1">Tableau1[[#This Row],[Transit time]]+Tableau1[[#This Row],[Time for security]]+Tableau1[[#This Row],[Time for security2 buffer]]</f>
        <v>#N/A</v>
      </c>
      <c r="AU28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7" s="50" t="e">
        <f ca="1">Tableau1[[#This Row],[Leadtime SI2C]]+Tableau1[[#This Row],[First Receipt Days]]-Tableau1[[#This Row],[Day Customer Order]]+1</f>
        <v>#N/A</v>
      </c>
      <c r="AW287" s="117" t="e">
        <f ca="1">IF(Tableau1[[#This Row],[Name ILN]]&lt;&gt;"SFK Freight Forwarder",Tableau1[[#This Row],[Cust. Leadtime]],Tableau1[[#This Row],[Leadtime SI2C]])</f>
        <v>#N/A</v>
      </c>
      <c r="AX287" s="57" t="e">
        <f>VLOOKUP(Tableau1[[#This Row],[ID]],'DATA BTO'!B:P,15,FALSE)</f>
        <v>#N/A</v>
      </c>
      <c r="AY287" s="328" t="e">
        <f ca="1">IFERROR(VLOOKUP(Tableau1[[#This Row],[Key(ID-Actif)]],'DATA BTO'!A:N,4,FALSE),VLOOKUP(Tableau1[[#This Row],[ID]],'DATA BTO'!B:N,3,FALSE))</f>
        <v>#N/A</v>
      </c>
      <c r="AZ28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7" s="50"/>
    </row>
    <row r="288" spans="2:57">
      <c r="B288" s="64" t="str">
        <f>_xlfn.CONCAT(Tableau1[[#This Row],[Name ILN]],"-",Tableau1[[#This Row],[Name Shipper]],"-",Tableau1[[#This Row],[Name Site]])</f>
        <v>--</v>
      </c>
      <c r="C288" s="64" t="e">
        <f>_xlfn.CONCAT(Tableau1[[#This Row],[Compte ILN]],"-",Tableau1[[#This Row],[Compte Shipper]],"-",Tableau1[[#This Row],[POL]],"-",Tableau1[[#This Row],[Compte Consignee]])</f>
        <v>#N/A</v>
      </c>
      <c r="D288" s="64" t="e">
        <f>_xlfn.CONCAT(Tableau1[[#This Row],[Compte ILN]],"-",Tableau1[[#This Row],[Compte Shipper]],"-",Tableau1[[#This Row],[POL]])</f>
        <v>#N/A</v>
      </c>
      <c r="E288" s="128" t="e">
        <f ca="1">_xlfn.CONCAT(Tableau1[[#This Row],[POL]],"-",Tableau1[[#This Row],[Carrier]],"-",Tableau1[[#This Row],[POD]])</f>
        <v>#N/A</v>
      </c>
      <c r="F288" s="64" t="str">
        <f>_xlfn.CONCAT(Tableau1[[#This Row],[ID]],"-","Actif")</f>
        <v>-Actif</v>
      </c>
      <c r="G288" s="64" t="e">
        <f ca="1">_xlfn.CONCAT(Tableau1[[#This Row],[POD]],"-",Tableau1[[#This Row],[Code PFI]],"-",Tableau1[[#This Row],[Compte Consignee]])</f>
        <v>#N/A</v>
      </c>
      <c r="H28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8" s="117" t="str">
        <f ca="1">IF(COUNTIF(I:I,Tableau1[[#This Row],[Plant-ILN-shipper-POL-Carrier-POD-PFI]])=1,"Non","Oui")</f>
        <v>Oui</v>
      </c>
      <c r="K288" s="126" t="e">
        <f>VLOOKUP(Tableau1[[#This Row],[Name Site]],Plant_AILN!A:D,4,FALSE)</f>
        <v>#N/A</v>
      </c>
      <c r="L288" s="364"/>
      <c r="M288" s="492" t="e">
        <f>VLOOKUP(Tableau1[[#This Row],[Name Site]],Plant_AILN!A:C,3,FALSE)</f>
        <v>#N/A</v>
      </c>
      <c r="N288" s="55" t="e">
        <f>VLOOKUP(Tableau1[[#This Row],[Compte Consignee]],Order!C:D,2,FALSE)</f>
        <v>#N/A</v>
      </c>
      <c r="O288" s="122"/>
      <c r="P288" s="481" t="e">
        <f>VLOOKUP(Tableau1[[#This Row],[Name ILN]],Plant_AILN!F:G,2,FALSE)</f>
        <v>#N/A</v>
      </c>
      <c r="Q288" s="50" t="e">
        <f>VLOOKUP(Tableau1[[#This Row],[Compte ILN]],'DATA ILN'!D:I,6,FALSE)</f>
        <v>#N/A</v>
      </c>
      <c r="R288" s="50" t="e">
        <f>IFERROR(VLOOKUP(Tableau1[[#This Row],[Key(Compte ILN - shipper - POL - plant)]],'DATA ILN'!A:J,10,FALSE),VLOOKUP(Tableau1[[#This Row],[Key(Compte ILN - shipper - POL)]],'DATA ILN'!B:J,9,FALSE))</f>
        <v>#N/A</v>
      </c>
      <c r="S288" s="50" t="e">
        <f>IFERROR(VLOOKUP(Tableau1[[#This Row],[Key(Compte ILN - shipper - POL - plant)]],'DATA ILN'!A:K,11,FALSE),VLOOKUP(Tableau1[[#This Row],[Key(Compte ILN - shipper - POL)]],'DATA ILN'!B:K,10,FALSE))</f>
        <v>#N/A</v>
      </c>
      <c r="T288" s="50" t="e">
        <f>IFERROR(VLOOKUP(Tableau1[[#This Row],[Key(Compte ILN - shipper - POL - plant)]],'DATA ILN'!A:L,12,FALSE),VLOOKUP(Tableau1[[#This Row],[Key(Compte ILN - shipper - POL)]],'DATA ILN'!B:L,11,FALSE))</f>
        <v>#N/A</v>
      </c>
      <c r="U288" s="50" t="e">
        <f>Tableau1[[#This Row],[Day ILN Order]]+Tableau1[[#This Row],[Delivery time to ILN/Shipper]]-1</f>
        <v>#N/A</v>
      </c>
      <c r="V288" s="50" t="e">
        <f>IFERROR(VLOOKUP(Tableau1[[#This Row],[Key(Compte ILN - shipper - POL - plant)]],'DATA ILN'!A:N,14,FALSE),VLOOKUP(Tableau1[[#This Row],[Key(Compte ILN - shipper - POL)]],'DATA ILN'!B:N,13,FALSE))</f>
        <v>#N/A</v>
      </c>
      <c r="W288" s="50" t="e">
        <f>IFERROR(VLOOKUP(Tableau1[[#This Row],[Key(Compte ILN - shipper - POL - plant)]],'DATA ILN'!A:P,16,FALSE),VLOOKUP(Tableau1[[#This Row],[Key(Compte ILN - shipper - POL)]],'DATA ILN'!B:P,15,FALSE))</f>
        <v>#N/A</v>
      </c>
      <c r="X288" s="283"/>
      <c r="Y288" s="489">
        <f>IFERROR(VLOOKUP(Tableau1[[#This Row],[Name Shipper]],Plant_AILN!L:M,2,FALSE),0)</f>
        <v>0</v>
      </c>
      <c r="Z288" s="358"/>
      <c r="AA288" s="353" t="e">
        <f ca="1">VLOOKUP(Tableau1[[#This Row],[Key(ID-Actif)]],'DATA BTO'!A:N,5,FALSE)</f>
        <v>#N/A</v>
      </c>
      <c r="AB288" s="3" t="e">
        <f ca="1">VLOOKUP(Tableau1[[#This Row],[Key(ID-Actif)]],'DATA BTO'!A:N,6,FALSE)</f>
        <v>#N/A</v>
      </c>
      <c r="AC288" s="50" t="e">
        <f ca="1">VLOOKUP(Tableau1[[#This Row],[Key(ID-Actif)]],'DATA BTO'!A:N,7,FALSE)</f>
        <v>#N/A</v>
      </c>
      <c r="AD288" s="50" t="e">
        <f ca="1">VLOOKUP(Tableau1[[#This Row],[Key(ID-Actif)]],'DATA BTO'!A:N,8,FALSE)</f>
        <v>#N/A</v>
      </c>
      <c r="AE288" s="406" t="e">
        <f ca="1">IF(Tableau1[[#This Row],[First Day to POL]]&lt;=Tableau1[[#This Row],[Day Cut Off]],Tableau1[[#This Row],[Day ETD]],Tableau1[[#This Row],[Day ETD]]+7)</f>
        <v>#N/A</v>
      </c>
      <c r="AF288" s="50" t="e">
        <f ca="1">VLOOKUP(Tableau1[[#This Row],[Key(ID-Actif)]],'DATA BTO'!A:N,9,FALSE)</f>
        <v>#N/A</v>
      </c>
      <c r="AG288" s="3" t="e">
        <f ca="1">VLOOKUP(Tableau1[[#This Row],[Key(ID-Actif)]],'DATA BTO'!A:N,10,FALSE)</f>
        <v>#N/A</v>
      </c>
      <c r="AH288" s="3" t="e">
        <f ca="1">VLOOKUP(Tableau1[[#This Row],[Key(ID-Actif)]],'DATA BTO'!A:N,11,FALSE)</f>
        <v>#N/A</v>
      </c>
      <c r="AI288" s="50" t="e">
        <f ca="1">VLOOKUP(Tableau1[[#This Row],[Key(ID-Actif)]],'DATA BTO'!A:N,12,FALSE)</f>
        <v>#N/A</v>
      </c>
      <c r="AJ288" s="53" t="e">
        <f ca="1">VLOOKUP(Tableau1[[#This Row],[Key(ID-Actif)]],'DATA BTO'!A:N,14,FALSE)</f>
        <v>#N/A</v>
      </c>
      <c r="AK288" s="54" t="e">
        <f ca="1">VLOOKUP(Tableau1[[#This Row],[Key(POD -PFI- Usine)]],'DATA Consignee'!A:F,6,FALSE)</f>
        <v>#N/A</v>
      </c>
      <c r="AL288" s="283"/>
      <c r="AM288" s="490" t="str">
        <f>IF(Tableau1[[#This Row],[Name PFI/CDD]]="","-",VLOOKUP(Tableau1[[#This Row],[Name PFI/CDD]],Plant_AILN!I:J,2,FALSE))</f>
        <v>-</v>
      </c>
      <c r="AN28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8" s="2" t="e">
        <f ca="1">VLOOKUP(Tableau1[[#This Row],[Key(POD -PFI- Usine)]],'DATA Consignee'!A:J,10,FALSE)</f>
        <v>#N/A</v>
      </c>
      <c r="AQ288" s="50" t="e">
        <f ca="1">VLOOKUP(Tableau1[[#This Row],[Key(POD -PFI- Usine)]],'DATA Consignee'!A:N,14,FALSE)</f>
        <v>#N/A</v>
      </c>
      <c r="AR28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8" s="50" t="e">
        <f ca="1">Tableau1[[#This Row],[Transit time]]+Tableau1[[#This Row],[Time for security]]+Tableau1[[#This Row],[Time for security2 buffer]]</f>
        <v>#N/A</v>
      </c>
      <c r="AU28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8" s="50" t="e">
        <f ca="1">Tableau1[[#This Row],[Leadtime SI2C]]+Tableau1[[#This Row],[First Receipt Days]]-Tableau1[[#This Row],[Day Customer Order]]+1</f>
        <v>#N/A</v>
      </c>
      <c r="AW288" s="117" t="e">
        <f ca="1">IF(Tableau1[[#This Row],[Name ILN]]&lt;&gt;"SFK Freight Forwarder",Tableau1[[#This Row],[Cust. Leadtime]],Tableau1[[#This Row],[Leadtime SI2C]])</f>
        <v>#N/A</v>
      </c>
      <c r="AX288" s="57" t="e">
        <f>VLOOKUP(Tableau1[[#This Row],[ID]],'DATA BTO'!B:P,15,FALSE)</f>
        <v>#N/A</v>
      </c>
      <c r="AY288" s="328" t="e">
        <f ca="1">IFERROR(VLOOKUP(Tableau1[[#This Row],[Key(ID-Actif)]],'DATA BTO'!A:N,4,FALSE),VLOOKUP(Tableau1[[#This Row],[ID]],'DATA BTO'!B:N,3,FALSE))</f>
        <v>#N/A</v>
      </c>
      <c r="AZ28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8" s="50"/>
    </row>
    <row r="289" spans="2:57">
      <c r="B289" s="64" t="str">
        <f>_xlfn.CONCAT(Tableau1[[#This Row],[Name ILN]],"-",Tableau1[[#This Row],[Name Shipper]],"-",Tableau1[[#This Row],[Name Site]])</f>
        <v>--</v>
      </c>
      <c r="C289" s="64" t="e">
        <f>_xlfn.CONCAT(Tableau1[[#This Row],[Compte ILN]],"-",Tableau1[[#This Row],[Compte Shipper]],"-",Tableau1[[#This Row],[POL]],"-",Tableau1[[#This Row],[Compte Consignee]])</f>
        <v>#N/A</v>
      </c>
      <c r="D289" s="64" t="e">
        <f>_xlfn.CONCAT(Tableau1[[#This Row],[Compte ILN]],"-",Tableau1[[#This Row],[Compte Shipper]],"-",Tableau1[[#This Row],[POL]])</f>
        <v>#N/A</v>
      </c>
      <c r="E289" s="128" t="e">
        <f ca="1">_xlfn.CONCAT(Tableau1[[#This Row],[POL]],"-",Tableau1[[#This Row],[Carrier]],"-",Tableau1[[#This Row],[POD]])</f>
        <v>#N/A</v>
      </c>
      <c r="F289" s="64" t="str">
        <f>_xlfn.CONCAT(Tableau1[[#This Row],[ID]],"-","Actif")</f>
        <v>-Actif</v>
      </c>
      <c r="G289" s="64" t="e">
        <f ca="1">_xlfn.CONCAT(Tableau1[[#This Row],[POD]],"-",Tableau1[[#This Row],[Code PFI]],"-",Tableau1[[#This Row],[Compte Consignee]])</f>
        <v>#N/A</v>
      </c>
      <c r="H28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8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89" s="117" t="str">
        <f ca="1">IF(COUNTIF(I:I,Tableau1[[#This Row],[Plant-ILN-shipper-POL-Carrier-POD-PFI]])=1,"Non","Oui")</f>
        <v>Oui</v>
      </c>
      <c r="K289" s="126" t="e">
        <f>VLOOKUP(Tableau1[[#This Row],[Name Site]],Plant_AILN!A:D,4,FALSE)</f>
        <v>#N/A</v>
      </c>
      <c r="L289" s="363"/>
      <c r="M289" s="492" t="e">
        <f>VLOOKUP(Tableau1[[#This Row],[Name Site]],Plant_AILN!A:C,3,FALSE)</f>
        <v>#N/A</v>
      </c>
      <c r="N289" s="55" t="e">
        <f>VLOOKUP(Tableau1[[#This Row],[Compte Consignee]],Order!C:D,2,FALSE)</f>
        <v>#N/A</v>
      </c>
      <c r="O289" s="122"/>
      <c r="P289" s="481" t="e">
        <f>VLOOKUP(Tableau1[[#This Row],[Name ILN]],Plant_AILN!F:G,2,FALSE)</f>
        <v>#N/A</v>
      </c>
      <c r="Q289" s="50" t="e">
        <f>VLOOKUP(Tableau1[[#This Row],[Compte ILN]],'DATA ILN'!D:I,6,FALSE)</f>
        <v>#N/A</v>
      </c>
      <c r="R289" s="50" t="e">
        <f>IFERROR(VLOOKUP(Tableau1[[#This Row],[Key(Compte ILN - shipper - POL - plant)]],'DATA ILN'!A:J,10,FALSE),VLOOKUP(Tableau1[[#This Row],[Key(Compte ILN - shipper - POL)]],'DATA ILN'!B:J,9,FALSE))</f>
        <v>#N/A</v>
      </c>
      <c r="S289" s="50" t="e">
        <f>IFERROR(VLOOKUP(Tableau1[[#This Row],[Key(Compte ILN - shipper - POL - plant)]],'DATA ILN'!A:K,11,FALSE),VLOOKUP(Tableau1[[#This Row],[Key(Compte ILN - shipper - POL)]],'DATA ILN'!B:K,10,FALSE))</f>
        <v>#N/A</v>
      </c>
      <c r="T289" s="50" t="e">
        <f>IFERROR(VLOOKUP(Tableau1[[#This Row],[Key(Compte ILN - shipper - POL - plant)]],'DATA ILN'!A:L,12,FALSE),VLOOKUP(Tableau1[[#This Row],[Key(Compte ILN - shipper - POL)]],'DATA ILN'!B:L,11,FALSE))</f>
        <v>#N/A</v>
      </c>
      <c r="U289" s="50" t="e">
        <f>Tableau1[[#This Row],[Day ILN Order]]+Tableau1[[#This Row],[Delivery time to ILN/Shipper]]-1</f>
        <v>#N/A</v>
      </c>
      <c r="V289" s="50" t="e">
        <f>IFERROR(VLOOKUP(Tableau1[[#This Row],[Key(Compte ILN - shipper - POL - plant)]],'DATA ILN'!A:N,14,FALSE),VLOOKUP(Tableau1[[#This Row],[Key(Compte ILN - shipper - POL)]],'DATA ILN'!B:N,13,FALSE))</f>
        <v>#N/A</v>
      </c>
      <c r="W289" s="50" t="e">
        <f>IFERROR(VLOOKUP(Tableau1[[#This Row],[Key(Compte ILN - shipper - POL - plant)]],'DATA ILN'!A:P,16,FALSE),VLOOKUP(Tableau1[[#This Row],[Key(Compte ILN - shipper - POL)]],'DATA ILN'!B:P,15,FALSE))</f>
        <v>#N/A</v>
      </c>
      <c r="X289" s="283"/>
      <c r="Y289" s="489">
        <f>IFERROR(VLOOKUP(Tableau1[[#This Row],[Name Shipper]],Plant_AILN!L:M,2,FALSE),0)</f>
        <v>0</v>
      </c>
      <c r="Z289" s="358"/>
      <c r="AA289" s="353" t="e">
        <f ca="1">VLOOKUP(Tableau1[[#This Row],[Key(ID-Actif)]],'DATA BTO'!A:N,5,FALSE)</f>
        <v>#N/A</v>
      </c>
      <c r="AB289" s="3" t="e">
        <f ca="1">VLOOKUP(Tableau1[[#This Row],[Key(ID-Actif)]],'DATA BTO'!A:N,6,FALSE)</f>
        <v>#N/A</v>
      </c>
      <c r="AC289" s="50" t="e">
        <f ca="1">VLOOKUP(Tableau1[[#This Row],[Key(ID-Actif)]],'DATA BTO'!A:N,7,FALSE)</f>
        <v>#N/A</v>
      </c>
      <c r="AD289" s="50" t="e">
        <f ca="1">VLOOKUP(Tableau1[[#This Row],[Key(ID-Actif)]],'DATA BTO'!A:N,8,FALSE)</f>
        <v>#N/A</v>
      </c>
      <c r="AE289" s="406" t="e">
        <f ca="1">IF(Tableau1[[#This Row],[First Day to POL]]&lt;=Tableau1[[#This Row],[Day Cut Off]],Tableau1[[#This Row],[Day ETD]],Tableau1[[#This Row],[Day ETD]]+7)</f>
        <v>#N/A</v>
      </c>
      <c r="AF289" s="50" t="e">
        <f ca="1">VLOOKUP(Tableau1[[#This Row],[Key(ID-Actif)]],'DATA BTO'!A:N,9,FALSE)</f>
        <v>#N/A</v>
      </c>
      <c r="AG289" s="3" t="e">
        <f ca="1">VLOOKUP(Tableau1[[#This Row],[Key(ID-Actif)]],'DATA BTO'!A:N,10,FALSE)</f>
        <v>#N/A</v>
      </c>
      <c r="AH289" s="3" t="e">
        <f ca="1">VLOOKUP(Tableau1[[#This Row],[Key(ID-Actif)]],'DATA BTO'!A:N,11,FALSE)</f>
        <v>#N/A</v>
      </c>
      <c r="AI289" s="50" t="e">
        <f ca="1">VLOOKUP(Tableau1[[#This Row],[Key(ID-Actif)]],'DATA BTO'!A:N,12,FALSE)</f>
        <v>#N/A</v>
      </c>
      <c r="AJ289" s="53" t="e">
        <f ca="1">VLOOKUP(Tableau1[[#This Row],[Key(ID-Actif)]],'DATA BTO'!A:N,14,FALSE)</f>
        <v>#N/A</v>
      </c>
      <c r="AK289" s="54" t="e">
        <f ca="1">VLOOKUP(Tableau1[[#This Row],[Key(POD -PFI- Usine)]],'DATA Consignee'!A:F,6,FALSE)</f>
        <v>#N/A</v>
      </c>
      <c r="AL289" s="283"/>
      <c r="AM289" s="490" t="str">
        <f>IF(Tableau1[[#This Row],[Name PFI/CDD]]="","-",VLOOKUP(Tableau1[[#This Row],[Name PFI/CDD]],Plant_AILN!I:J,2,FALSE))</f>
        <v>-</v>
      </c>
      <c r="AN28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8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89" s="2" t="e">
        <f ca="1">VLOOKUP(Tableau1[[#This Row],[Key(POD -PFI- Usine)]],'DATA Consignee'!A:J,10,FALSE)</f>
        <v>#N/A</v>
      </c>
      <c r="AQ289" s="50" t="e">
        <f ca="1">VLOOKUP(Tableau1[[#This Row],[Key(POD -PFI- Usine)]],'DATA Consignee'!A:N,14,FALSE)</f>
        <v>#N/A</v>
      </c>
      <c r="AR28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8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89" s="50" t="e">
        <f ca="1">Tableau1[[#This Row],[Transit time]]+Tableau1[[#This Row],[Time for security]]+Tableau1[[#This Row],[Time for security2 buffer]]</f>
        <v>#N/A</v>
      </c>
      <c r="AU28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89" s="50" t="e">
        <f ca="1">Tableau1[[#This Row],[Leadtime SI2C]]+Tableau1[[#This Row],[First Receipt Days]]-Tableau1[[#This Row],[Day Customer Order]]+1</f>
        <v>#N/A</v>
      </c>
      <c r="AW289" s="117" t="e">
        <f ca="1">IF(Tableau1[[#This Row],[Name ILN]]&lt;&gt;"SFK Freight Forwarder",Tableau1[[#This Row],[Cust. Leadtime]],Tableau1[[#This Row],[Leadtime SI2C]])</f>
        <v>#N/A</v>
      </c>
      <c r="AX289" s="57" t="e">
        <f>VLOOKUP(Tableau1[[#This Row],[ID]],'DATA BTO'!B:P,15,FALSE)</f>
        <v>#N/A</v>
      </c>
      <c r="AY289" s="328" t="e">
        <f ca="1">IFERROR(VLOOKUP(Tableau1[[#This Row],[Key(ID-Actif)]],'DATA BTO'!A:N,4,FALSE),VLOOKUP(Tableau1[[#This Row],[ID]],'DATA BTO'!B:N,3,FALSE))</f>
        <v>#N/A</v>
      </c>
      <c r="AZ28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8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8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9" s="50"/>
    </row>
    <row r="290" spans="2:57">
      <c r="B290" s="64" t="str">
        <f>_xlfn.CONCAT(Tableau1[[#This Row],[Name ILN]],"-",Tableau1[[#This Row],[Name Shipper]],"-",Tableau1[[#This Row],[Name Site]])</f>
        <v>--</v>
      </c>
      <c r="C290" s="64" t="e">
        <f>_xlfn.CONCAT(Tableau1[[#This Row],[Compte ILN]],"-",Tableau1[[#This Row],[Compte Shipper]],"-",Tableau1[[#This Row],[POL]],"-",Tableau1[[#This Row],[Compte Consignee]])</f>
        <v>#N/A</v>
      </c>
      <c r="D290" s="64" t="e">
        <f>_xlfn.CONCAT(Tableau1[[#This Row],[Compte ILN]],"-",Tableau1[[#This Row],[Compte Shipper]],"-",Tableau1[[#This Row],[POL]])</f>
        <v>#N/A</v>
      </c>
      <c r="E290" s="128" t="e">
        <f ca="1">_xlfn.CONCAT(Tableau1[[#This Row],[POL]],"-",Tableau1[[#This Row],[Carrier]],"-",Tableau1[[#This Row],[POD]])</f>
        <v>#N/A</v>
      </c>
      <c r="F290" s="64" t="str">
        <f>_xlfn.CONCAT(Tableau1[[#This Row],[ID]],"-","Actif")</f>
        <v>-Actif</v>
      </c>
      <c r="G290" s="64" t="e">
        <f ca="1">_xlfn.CONCAT(Tableau1[[#This Row],[POD]],"-",Tableau1[[#This Row],[Code PFI]],"-",Tableau1[[#This Row],[Compte Consignee]])</f>
        <v>#N/A</v>
      </c>
      <c r="H29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0" s="117" t="str">
        <f ca="1">IF(COUNTIF(I:I,Tableau1[[#This Row],[Plant-ILN-shipper-POL-Carrier-POD-PFI]])=1,"Non","Oui")</f>
        <v>Oui</v>
      </c>
      <c r="K290" s="126" t="e">
        <f>VLOOKUP(Tableau1[[#This Row],[Name Site]],Plant_AILN!A:D,4,FALSE)</f>
        <v>#N/A</v>
      </c>
      <c r="L290" s="364"/>
      <c r="M290" s="492" t="e">
        <f>VLOOKUP(Tableau1[[#This Row],[Name Site]],Plant_AILN!A:C,3,FALSE)</f>
        <v>#N/A</v>
      </c>
      <c r="N290" s="55" t="e">
        <f>VLOOKUP(Tableau1[[#This Row],[Compte Consignee]],Order!C:D,2,FALSE)</f>
        <v>#N/A</v>
      </c>
      <c r="O290" s="122"/>
      <c r="P290" s="481" t="e">
        <f>VLOOKUP(Tableau1[[#This Row],[Name ILN]],Plant_AILN!F:G,2,FALSE)</f>
        <v>#N/A</v>
      </c>
      <c r="Q290" s="50" t="e">
        <f>VLOOKUP(Tableau1[[#This Row],[Compte ILN]],'DATA ILN'!D:I,6,FALSE)</f>
        <v>#N/A</v>
      </c>
      <c r="R290" s="50" t="e">
        <f>IFERROR(VLOOKUP(Tableau1[[#This Row],[Key(Compte ILN - shipper - POL - plant)]],'DATA ILN'!A:J,10,FALSE),VLOOKUP(Tableau1[[#This Row],[Key(Compte ILN - shipper - POL)]],'DATA ILN'!B:J,9,FALSE))</f>
        <v>#N/A</v>
      </c>
      <c r="S290" s="50" t="e">
        <f>IFERROR(VLOOKUP(Tableau1[[#This Row],[Key(Compte ILN - shipper - POL - plant)]],'DATA ILN'!A:K,11,FALSE),VLOOKUP(Tableau1[[#This Row],[Key(Compte ILN - shipper - POL)]],'DATA ILN'!B:K,10,FALSE))</f>
        <v>#N/A</v>
      </c>
      <c r="T290" s="50" t="e">
        <f>IFERROR(VLOOKUP(Tableau1[[#This Row],[Key(Compte ILN - shipper - POL - plant)]],'DATA ILN'!A:L,12,FALSE),VLOOKUP(Tableau1[[#This Row],[Key(Compte ILN - shipper - POL)]],'DATA ILN'!B:L,11,FALSE))</f>
        <v>#N/A</v>
      </c>
      <c r="U290" s="50" t="e">
        <f>Tableau1[[#This Row],[Day ILN Order]]+Tableau1[[#This Row],[Delivery time to ILN/Shipper]]-1</f>
        <v>#N/A</v>
      </c>
      <c r="V290" s="50" t="e">
        <f>IFERROR(VLOOKUP(Tableau1[[#This Row],[Key(Compte ILN - shipper - POL - plant)]],'DATA ILN'!A:N,14,FALSE),VLOOKUP(Tableau1[[#This Row],[Key(Compte ILN - shipper - POL)]],'DATA ILN'!B:N,13,FALSE))</f>
        <v>#N/A</v>
      </c>
      <c r="W290" s="50" t="e">
        <f>IFERROR(VLOOKUP(Tableau1[[#This Row],[Key(Compte ILN - shipper - POL - plant)]],'DATA ILN'!A:P,16,FALSE),VLOOKUP(Tableau1[[#This Row],[Key(Compte ILN - shipper - POL)]],'DATA ILN'!B:P,15,FALSE))</f>
        <v>#N/A</v>
      </c>
      <c r="X290" s="283"/>
      <c r="Y290" s="489">
        <f>IFERROR(VLOOKUP(Tableau1[[#This Row],[Name Shipper]],Plant_AILN!L:M,2,FALSE),0)</f>
        <v>0</v>
      </c>
      <c r="Z290" s="358"/>
      <c r="AA290" s="353" t="e">
        <f ca="1">VLOOKUP(Tableau1[[#This Row],[Key(ID-Actif)]],'DATA BTO'!A:N,5,FALSE)</f>
        <v>#N/A</v>
      </c>
      <c r="AB290" s="3" t="e">
        <f ca="1">VLOOKUP(Tableau1[[#This Row],[Key(ID-Actif)]],'DATA BTO'!A:N,6,FALSE)</f>
        <v>#N/A</v>
      </c>
      <c r="AC290" s="50" t="e">
        <f ca="1">VLOOKUP(Tableau1[[#This Row],[Key(ID-Actif)]],'DATA BTO'!A:N,7,FALSE)</f>
        <v>#N/A</v>
      </c>
      <c r="AD290" s="50" t="e">
        <f ca="1">VLOOKUP(Tableau1[[#This Row],[Key(ID-Actif)]],'DATA BTO'!A:N,8,FALSE)</f>
        <v>#N/A</v>
      </c>
      <c r="AE290" s="406" t="e">
        <f ca="1">IF(Tableau1[[#This Row],[First Day to POL]]&lt;=Tableau1[[#This Row],[Day Cut Off]],Tableau1[[#This Row],[Day ETD]],Tableau1[[#This Row],[Day ETD]]+7)</f>
        <v>#N/A</v>
      </c>
      <c r="AF290" s="50" t="e">
        <f ca="1">VLOOKUP(Tableau1[[#This Row],[Key(ID-Actif)]],'DATA BTO'!A:N,9,FALSE)</f>
        <v>#N/A</v>
      </c>
      <c r="AG290" s="3" t="e">
        <f ca="1">VLOOKUP(Tableau1[[#This Row],[Key(ID-Actif)]],'DATA BTO'!A:N,10,FALSE)</f>
        <v>#N/A</v>
      </c>
      <c r="AH290" s="3" t="e">
        <f ca="1">VLOOKUP(Tableau1[[#This Row],[Key(ID-Actif)]],'DATA BTO'!A:N,11,FALSE)</f>
        <v>#N/A</v>
      </c>
      <c r="AI290" s="50" t="e">
        <f ca="1">VLOOKUP(Tableau1[[#This Row],[Key(ID-Actif)]],'DATA BTO'!A:N,12,FALSE)</f>
        <v>#N/A</v>
      </c>
      <c r="AJ290" s="53" t="e">
        <f ca="1">VLOOKUP(Tableau1[[#This Row],[Key(ID-Actif)]],'DATA BTO'!A:N,14,FALSE)</f>
        <v>#N/A</v>
      </c>
      <c r="AK290" s="54" t="e">
        <f ca="1">VLOOKUP(Tableau1[[#This Row],[Key(POD -PFI- Usine)]],'DATA Consignee'!A:F,6,FALSE)</f>
        <v>#N/A</v>
      </c>
      <c r="AL290" s="283"/>
      <c r="AM290" s="490" t="str">
        <f>IF(Tableau1[[#This Row],[Name PFI/CDD]]="","-",VLOOKUP(Tableau1[[#This Row],[Name PFI/CDD]],Plant_AILN!I:J,2,FALSE))</f>
        <v>-</v>
      </c>
      <c r="AN29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0" s="2" t="e">
        <f ca="1">VLOOKUP(Tableau1[[#This Row],[Key(POD -PFI- Usine)]],'DATA Consignee'!A:J,10,FALSE)</f>
        <v>#N/A</v>
      </c>
      <c r="AQ290" s="50" t="e">
        <f ca="1">VLOOKUP(Tableau1[[#This Row],[Key(POD -PFI- Usine)]],'DATA Consignee'!A:N,14,FALSE)</f>
        <v>#N/A</v>
      </c>
      <c r="AR29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0" s="50" t="e">
        <f ca="1">Tableau1[[#This Row],[Transit time]]+Tableau1[[#This Row],[Time for security]]+Tableau1[[#This Row],[Time for security2 buffer]]</f>
        <v>#N/A</v>
      </c>
      <c r="AU29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0" s="50" t="e">
        <f ca="1">Tableau1[[#This Row],[Leadtime SI2C]]+Tableau1[[#This Row],[First Receipt Days]]-Tableau1[[#This Row],[Day Customer Order]]+1</f>
        <v>#N/A</v>
      </c>
      <c r="AW290" s="117" t="e">
        <f ca="1">IF(Tableau1[[#This Row],[Name ILN]]&lt;&gt;"SFK Freight Forwarder",Tableau1[[#This Row],[Cust. Leadtime]],Tableau1[[#This Row],[Leadtime SI2C]])</f>
        <v>#N/A</v>
      </c>
      <c r="AX290" s="57" t="e">
        <f>VLOOKUP(Tableau1[[#This Row],[ID]],'DATA BTO'!B:P,15,FALSE)</f>
        <v>#N/A</v>
      </c>
      <c r="AY290" s="328" t="e">
        <f ca="1">IFERROR(VLOOKUP(Tableau1[[#This Row],[Key(ID-Actif)]],'DATA BTO'!A:N,4,FALSE),VLOOKUP(Tableau1[[#This Row],[ID]],'DATA BTO'!B:N,3,FALSE))</f>
        <v>#N/A</v>
      </c>
      <c r="AZ29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0" s="50"/>
    </row>
    <row r="291" spans="2:57">
      <c r="B291" s="64" t="str">
        <f>_xlfn.CONCAT(Tableau1[[#This Row],[Name ILN]],"-",Tableau1[[#This Row],[Name Shipper]],"-",Tableau1[[#This Row],[Name Site]])</f>
        <v>--</v>
      </c>
      <c r="C291" s="64" t="e">
        <f>_xlfn.CONCAT(Tableau1[[#This Row],[Compte ILN]],"-",Tableau1[[#This Row],[Compte Shipper]],"-",Tableau1[[#This Row],[POL]],"-",Tableau1[[#This Row],[Compte Consignee]])</f>
        <v>#N/A</v>
      </c>
      <c r="D291" s="64" t="e">
        <f>_xlfn.CONCAT(Tableau1[[#This Row],[Compte ILN]],"-",Tableau1[[#This Row],[Compte Shipper]],"-",Tableau1[[#This Row],[POL]])</f>
        <v>#N/A</v>
      </c>
      <c r="E291" s="128" t="e">
        <f ca="1">_xlfn.CONCAT(Tableau1[[#This Row],[POL]],"-",Tableau1[[#This Row],[Carrier]],"-",Tableau1[[#This Row],[POD]])</f>
        <v>#N/A</v>
      </c>
      <c r="F291" s="64" t="str">
        <f>_xlfn.CONCAT(Tableau1[[#This Row],[ID]],"-","Actif")</f>
        <v>-Actif</v>
      </c>
      <c r="G291" s="64" t="e">
        <f ca="1">_xlfn.CONCAT(Tableau1[[#This Row],[POD]],"-",Tableau1[[#This Row],[Code PFI]],"-",Tableau1[[#This Row],[Compte Consignee]])</f>
        <v>#N/A</v>
      </c>
      <c r="H29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1" s="117" t="str">
        <f ca="1">IF(COUNTIF(I:I,Tableau1[[#This Row],[Plant-ILN-shipper-POL-Carrier-POD-PFI]])=1,"Non","Oui")</f>
        <v>Oui</v>
      </c>
      <c r="K291" s="126" t="e">
        <f>VLOOKUP(Tableau1[[#This Row],[Name Site]],Plant_AILN!A:D,4,FALSE)</f>
        <v>#N/A</v>
      </c>
      <c r="L291" s="363"/>
      <c r="M291" s="492" t="e">
        <f>VLOOKUP(Tableau1[[#This Row],[Name Site]],Plant_AILN!A:C,3,FALSE)</f>
        <v>#N/A</v>
      </c>
      <c r="N291" s="55" t="e">
        <f>VLOOKUP(Tableau1[[#This Row],[Compte Consignee]],Order!C:D,2,FALSE)</f>
        <v>#N/A</v>
      </c>
      <c r="O291" s="122"/>
      <c r="P291" s="481" t="e">
        <f>VLOOKUP(Tableau1[[#This Row],[Name ILN]],Plant_AILN!F:G,2,FALSE)</f>
        <v>#N/A</v>
      </c>
      <c r="Q291" s="50" t="e">
        <f>VLOOKUP(Tableau1[[#This Row],[Compte ILN]],'DATA ILN'!D:I,6,FALSE)</f>
        <v>#N/A</v>
      </c>
      <c r="R291" s="50" t="e">
        <f>IFERROR(VLOOKUP(Tableau1[[#This Row],[Key(Compte ILN - shipper - POL - plant)]],'DATA ILN'!A:J,10,FALSE),VLOOKUP(Tableau1[[#This Row],[Key(Compte ILN - shipper - POL)]],'DATA ILN'!B:J,9,FALSE))</f>
        <v>#N/A</v>
      </c>
      <c r="S291" s="50" t="e">
        <f>IFERROR(VLOOKUP(Tableau1[[#This Row],[Key(Compte ILN - shipper - POL - plant)]],'DATA ILN'!A:K,11,FALSE),VLOOKUP(Tableau1[[#This Row],[Key(Compte ILN - shipper - POL)]],'DATA ILN'!B:K,10,FALSE))</f>
        <v>#N/A</v>
      </c>
      <c r="T291" s="50" t="e">
        <f>IFERROR(VLOOKUP(Tableau1[[#This Row],[Key(Compte ILN - shipper - POL - plant)]],'DATA ILN'!A:L,12,FALSE),VLOOKUP(Tableau1[[#This Row],[Key(Compte ILN - shipper - POL)]],'DATA ILN'!B:L,11,FALSE))</f>
        <v>#N/A</v>
      </c>
      <c r="U291" s="50" t="e">
        <f>Tableau1[[#This Row],[Day ILN Order]]+Tableau1[[#This Row],[Delivery time to ILN/Shipper]]-1</f>
        <v>#N/A</v>
      </c>
      <c r="V291" s="50" t="e">
        <f>IFERROR(VLOOKUP(Tableau1[[#This Row],[Key(Compte ILN - shipper - POL - plant)]],'DATA ILN'!A:N,14,FALSE),VLOOKUP(Tableau1[[#This Row],[Key(Compte ILN - shipper - POL)]],'DATA ILN'!B:N,13,FALSE))</f>
        <v>#N/A</v>
      </c>
      <c r="W291" s="50" t="e">
        <f>IFERROR(VLOOKUP(Tableau1[[#This Row],[Key(Compte ILN - shipper - POL - plant)]],'DATA ILN'!A:P,16,FALSE),VLOOKUP(Tableau1[[#This Row],[Key(Compte ILN - shipper - POL)]],'DATA ILN'!B:P,15,FALSE))</f>
        <v>#N/A</v>
      </c>
      <c r="X291" s="283"/>
      <c r="Y291" s="489">
        <f>IFERROR(VLOOKUP(Tableau1[[#This Row],[Name Shipper]],Plant_AILN!L:M,2,FALSE),0)</f>
        <v>0</v>
      </c>
      <c r="Z291" s="367"/>
      <c r="AA291" s="353" t="e">
        <f ca="1">VLOOKUP(Tableau1[[#This Row],[Key(ID-Actif)]],'DATA BTO'!A:N,5,FALSE)</f>
        <v>#N/A</v>
      </c>
      <c r="AB291" s="3" t="e">
        <f ca="1">VLOOKUP(Tableau1[[#This Row],[Key(ID-Actif)]],'DATA BTO'!A:N,6,FALSE)</f>
        <v>#N/A</v>
      </c>
      <c r="AC291" s="50" t="e">
        <f ca="1">VLOOKUP(Tableau1[[#This Row],[Key(ID-Actif)]],'DATA BTO'!A:N,7,FALSE)</f>
        <v>#N/A</v>
      </c>
      <c r="AD291" s="50" t="e">
        <f ca="1">VLOOKUP(Tableau1[[#This Row],[Key(ID-Actif)]],'DATA BTO'!A:N,8,FALSE)</f>
        <v>#N/A</v>
      </c>
      <c r="AE291" s="406" t="e">
        <f ca="1">IF(Tableau1[[#This Row],[First Day to POL]]&lt;=Tableau1[[#This Row],[Day Cut Off]],Tableau1[[#This Row],[Day ETD]],Tableau1[[#This Row],[Day ETD]]+7)</f>
        <v>#N/A</v>
      </c>
      <c r="AF291" s="50" t="e">
        <f ca="1">VLOOKUP(Tableau1[[#This Row],[Key(ID-Actif)]],'DATA BTO'!A:N,9,FALSE)</f>
        <v>#N/A</v>
      </c>
      <c r="AG291" s="3" t="e">
        <f ca="1">VLOOKUP(Tableau1[[#This Row],[Key(ID-Actif)]],'DATA BTO'!A:N,10,FALSE)</f>
        <v>#N/A</v>
      </c>
      <c r="AH291" s="3" t="e">
        <f ca="1">VLOOKUP(Tableau1[[#This Row],[Key(ID-Actif)]],'DATA BTO'!A:N,11,FALSE)</f>
        <v>#N/A</v>
      </c>
      <c r="AI291" s="50" t="e">
        <f ca="1">VLOOKUP(Tableau1[[#This Row],[Key(ID-Actif)]],'DATA BTO'!A:N,12,FALSE)</f>
        <v>#N/A</v>
      </c>
      <c r="AJ291" s="53" t="e">
        <f ca="1">VLOOKUP(Tableau1[[#This Row],[Key(ID-Actif)]],'DATA BTO'!A:N,14,FALSE)</f>
        <v>#N/A</v>
      </c>
      <c r="AK291" s="54" t="e">
        <f ca="1">VLOOKUP(Tableau1[[#This Row],[Key(POD -PFI- Usine)]],'DATA Consignee'!A:F,6,FALSE)</f>
        <v>#N/A</v>
      </c>
      <c r="AL291" s="283"/>
      <c r="AM291" s="490" t="str">
        <f>IF(Tableau1[[#This Row],[Name PFI/CDD]]="","-",VLOOKUP(Tableau1[[#This Row],[Name PFI/CDD]],Plant_AILN!I:J,2,FALSE))</f>
        <v>-</v>
      </c>
      <c r="AN29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1" s="2" t="e">
        <f ca="1">VLOOKUP(Tableau1[[#This Row],[Key(POD -PFI- Usine)]],'DATA Consignee'!A:J,10,FALSE)</f>
        <v>#N/A</v>
      </c>
      <c r="AQ291" s="50" t="e">
        <f ca="1">VLOOKUP(Tableau1[[#This Row],[Key(POD -PFI- Usine)]],'DATA Consignee'!A:N,14,FALSE)</f>
        <v>#N/A</v>
      </c>
      <c r="AR29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1" s="50" t="e">
        <f ca="1">Tableau1[[#This Row],[Transit time]]+Tableau1[[#This Row],[Time for security]]+Tableau1[[#This Row],[Time for security2 buffer]]</f>
        <v>#N/A</v>
      </c>
      <c r="AU29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1" s="50" t="e">
        <f ca="1">Tableau1[[#This Row],[Leadtime SI2C]]+Tableau1[[#This Row],[First Receipt Days]]-Tableau1[[#This Row],[Day Customer Order]]+1</f>
        <v>#N/A</v>
      </c>
      <c r="AW291" s="117" t="e">
        <f ca="1">IF(Tableau1[[#This Row],[Name ILN]]&lt;&gt;"SFK Freight Forwarder",Tableau1[[#This Row],[Cust. Leadtime]],Tableau1[[#This Row],[Leadtime SI2C]])</f>
        <v>#N/A</v>
      </c>
      <c r="AX291" s="57" t="e">
        <f>VLOOKUP(Tableau1[[#This Row],[ID]],'DATA BTO'!B:P,15,FALSE)</f>
        <v>#N/A</v>
      </c>
      <c r="AY291" s="328" t="e">
        <f ca="1">IFERROR(VLOOKUP(Tableau1[[#This Row],[Key(ID-Actif)]],'DATA BTO'!A:N,4,FALSE),VLOOKUP(Tableau1[[#This Row],[ID]],'DATA BTO'!B:N,3,FALSE))</f>
        <v>#N/A</v>
      </c>
      <c r="AZ29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1" s="50"/>
    </row>
    <row r="292" spans="2:57">
      <c r="B292" s="64" t="str">
        <f>_xlfn.CONCAT(Tableau1[[#This Row],[Name ILN]],"-",Tableau1[[#This Row],[Name Shipper]],"-",Tableau1[[#This Row],[Name Site]])</f>
        <v>--</v>
      </c>
      <c r="C292" s="64" t="e">
        <f>_xlfn.CONCAT(Tableau1[[#This Row],[Compte ILN]],"-",Tableau1[[#This Row],[Compte Shipper]],"-",Tableau1[[#This Row],[POL]],"-",Tableau1[[#This Row],[Compte Consignee]])</f>
        <v>#N/A</v>
      </c>
      <c r="D292" s="64" t="e">
        <f>_xlfn.CONCAT(Tableau1[[#This Row],[Compte ILN]],"-",Tableau1[[#This Row],[Compte Shipper]],"-",Tableau1[[#This Row],[POL]])</f>
        <v>#N/A</v>
      </c>
      <c r="E292" s="128" t="e">
        <f ca="1">_xlfn.CONCAT(Tableau1[[#This Row],[POL]],"-",Tableau1[[#This Row],[Carrier]],"-",Tableau1[[#This Row],[POD]])</f>
        <v>#N/A</v>
      </c>
      <c r="F292" s="64" t="str">
        <f>_xlfn.CONCAT(Tableau1[[#This Row],[ID]],"-","Actif")</f>
        <v>-Actif</v>
      </c>
      <c r="G292" s="64" t="e">
        <f ca="1">_xlfn.CONCAT(Tableau1[[#This Row],[POD]],"-",Tableau1[[#This Row],[Code PFI]],"-",Tableau1[[#This Row],[Compte Consignee]])</f>
        <v>#N/A</v>
      </c>
      <c r="H29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2" s="117" t="str">
        <f ca="1">IF(COUNTIF(I:I,Tableau1[[#This Row],[Plant-ILN-shipper-POL-Carrier-POD-PFI]])=1,"Non","Oui")</f>
        <v>Oui</v>
      </c>
      <c r="K292" s="126" t="e">
        <f>VLOOKUP(Tableau1[[#This Row],[Name Site]],Plant_AILN!A:D,4,FALSE)</f>
        <v>#N/A</v>
      </c>
      <c r="L292" s="363"/>
      <c r="M292" s="492" t="e">
        <f>VLOOKUP(Tableau1[[#This Row],[Name Site]],Plant_AILN!A:C,3,FALSE)</f>
        <v>#N/A</v>
      </c>
      <c r="N292" s="55" t="e">
        <f>VLOOKUP(Tableau1[[#This Row],[Compte Consignee]],Order!C:D,2,FALSE)</f>
        <v>#N/A</v>
      </c>
      <c r="O292" s="122"/>
      <c r="P292" s="481" t="e">
        <f>VLOOKUP(Tableau1[[#This Row],[Name ILN]],Plant_AILN!F:G,2,FALSE)</f>
        <v>#N/A</v>
      </c>
      <c r="Q292" s="50" t="e">
        <f>VLOOKUP(Tableau1[[#This Row],[Compte ILN]],'DATA ILN'!D:I,6,FALSE)</f>
        <v>#N/A</v>
      </c>
      <c r="R292" s="50" t="e">
        <f>IFERROR(VLOOKUP(Tableau1[[#This Row],[Key(Compte ILN - shipper - POL - plant)]],'DATA ILN'!A:J,10,FALSE),VLOOKUP(Tableau1[[#This Row],[Key(Compte ILN - shipper - POL)]],'DATA ILN'!B:J,9,FALSE))</f>
        <v>#N/A</v>
      </c>
      <c r="S292" s="50" t="e">
        <f>IFERROR(VLOOKUP(Tableau1[[#This Row],[Key(Compte ILN - shipper - POL - plant)]],'DATA ILN'!A:K,11,FALSE),VLOOKUP(Tableau1[[#This Row],[Key(Compte ILN - shipper - POL)]],'DATA ILN'!B:K,10,FALSE))</f>
        <v>#N/A</v>
      </c>
      <c r="T292" s="50" t="e">
        <f>IFERROR(VLOOKUP(Tableau1[[#This Row],[Key(Compte ILN - shipper - POL - plant)]],'DATA ILN'!A:L,12,FALSE),VLOOKUP(Tableau1[[#This Row],[Key(Compte ILN - shipper - POL)]],'DATA ILN'!B:L,11,FALSE))</f>
        <v>#N/A</v>
      </c>
      <c r="U292" s="50" t="e">
        <f>Tableau1[[#This Row],[Day ILN Order]]+Tableau1[[#This Row],[Delivery time to ILN/Shipper]]-1</f>
        <v>#N/A</v>
      </c>
      <c r="V292" s="50" t="e">
        <f>IFERROR(VLOOKUP(Tableau1[[#This Row],[Key(Compte ILN - shipper - POL - plant)]],'DATA ILN'!A:N,14,FALSE),VLOOKUP(Tableau1[[#This Row],[Key(Compte ILN - shipper - POL)]],'DATA ILN'!B:N,13,FALSE))</f>
        <v>#N/A</v>
      </c>
      <c r="W292" s="50" t="e">
        <f>IFERROR(VLOOKUP(Tableau1[[#This Row],[Key(Compte ILN - shipper - POL - plant)]],'DATA ILN'!A:P,16,FALSE),VLOOKUP(Tableau1[[#This Row],[Key(Compte ILN - shipper - POL)]],'DATA ILN'!B:P,15,FALSE))</f>
        <v>#N/A</v>
      </c>
      <c r="X292" s="283"/>
      <c r="Y292" s="489">
        <f>IFERROR(VLOOKUP(Tableau1[[#This Row],[Name Shipper]],Plant_AILN!L:M,2,FALSE),0)</f>
        <v>0</v>
      </c>
      <c r="Z292" s="358"/>
      <c r="AA292" s="353" t="e">
        <f ca="1">VLOOKUP(Tableau1[[#This Row],[Key(ID-Actif)]],'DATA BTO'!A:N,5,FALSE)</f>
        <v>#N/A</v>
      </c>
      <c r="AB292" s="3" t="e">
        <f ca="1">VLOOKUP(Tableau1[[#This Row],[Key(ID-Actif)]],'DATA BTO'!A:N,6,FALSE)</f>
        <v>#N/A</v>
      </c>
      <c r="AC292" s="50" t="e">
        <f ca="1">VLOOKUP(Tableau1[[#This Row],[Key(ID-Actif)]],'DATA BTO'!A:N,7,FALSE)</f>
        <v>#N/A</v>
      </c>
      <c r="AD292" s="50" t="e">
        <f ca="1">VLOOKUP(Tableau1[[#This Row],[Key(ID-Actif)]],'DATA BTO'!A:N,8,FALSE)</f>
        <v>#N/A</v>
      </c>
      <c r="AE292" s="406" t="e">
        <f ca="1">IF(Tableau1[[#This Row],[First Day to POL]]&lt;=Tableau1[[#This Row],[Day Cut Off]],Tableau1[[#This Row],[Day ETD]],Tableau1[[#This Row],[Day ETD]]+7)</f>
        <v>#N/A</v>
      </c>
      <c r="AF292" s="50" t="e">
        <f ca="1">VLOOKUP(Tableau1[[#This Row],[Key(ID-Actif)]],'DATA BTO'!A:N,9,FALSE)</f>
        <v>#N/A</v>
      </c>
      <c r="AG292" s="3" t="e">
        <f ca="1">VLOOKUP(Tableau1[[#This Row],[Key(ID-Actif)]],'DATA BTO'!A:N,10,FALSE)</f>
        <v>#N/A</v>
      </c>
      <c r="AH292" s="3" t="e">
        <f ca="1">VLOOKUP(Tableau1[[#This Row],[Key(ID-Actif)]],'DATA BTO'!A:N,11,FALSE)</f>
        <v>#N/A</v>
      </c>
      <c r="AI292" s="50" t="e">
        <f ca="1">VLOOKUP(Tableau1[[#This Row],[Key(ID-Actif)]],'DATA BTO'!A:N,12,FALSE)</f>
        <v>#N/A</v>
      </c>
      <c r="AJ292" s="53" t="e">
        <f ca="1">VLOOKUP(Tableau1[[#This Row],[Key(ID-Actif)]],'DATA BTO'!A:N,14,FALSE)</f>
        <v>#N/A</v>
      </c>
      <c r="AK292" s="54" t="e">
        <f ca="1">VLOOKUP(Tableau1[[#This Row],[Key(POD -PFI- Usine)]],'DATA Consignee'!A:F,6,FALSE)</f>
        <v>#N/A</v>
      </c>
      <c r="AL292" s="283"/>
      <c r="AM292" s="490" t="str">
        <f>IF(Tableau1[[#This Row],[Name PFI/CDD]]="","-",VLOOKUP(Tableau1[[#This Row],[Name PFI/CDD]],Plant_AILN!I:J,2,FALSE))</f>
        <v>-</v>
      </c>
      <c r="AN29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2" s="2" t="e">
        <f ca="1">VLOOKUP(Tableau1[[#This Row],[Key(POD -PFI- Usine)]],'DATA Consignee'!A:J,10,FALSE)</f>
        <v>#N/A</v>
      </c>
      <c r="AQ292" s="50" t="e">
        <f ca="1">VLOOKUP(Tableau1[[#This Row],[Key(POD -PFI- Usine)]],'DATA Consignee'!A:N,14,FALSE)</f>
        <v>#N/A</v>
      </c>
      <c r="AR29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2" s="50" t="e">
        <f ca="1">Tableau1[[#This Row],[Transit time]]+Tableau1[[#This Row],[Time for security]]+Tableau1[[#This Row],[Time for security2 buffer]]</f>
        <v>#N/A</v>
      </c>
      <c r="AU29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2" s="50" t="e">
        <f ca="1">Tableau1[[#This Row],[Leadtime SI2C]]+Tableau1[[#This Row],[First Receipt Days]]-Tableau1[[#This Row],[Day Customer Order]]+1</f>
        <v>#N/A</v>
      </c>
      <c r="AW292" s="117" t="e">
        <f ca="1">IF(Tableau1[[#This Row],[Name ILN]]&lt;&gt;"SFK Freight Forwarder",Tableau1[[#This Row],[Cust. Leadtime]],Tableau1[[#This Row],[Leadtime SI2C]])</f>
        <v>#N/A</v>
      </c>
      <c r="AX292" s="57" t="e">
        <f>VLOOKUP(Tableau1[[#This Row],[ID]],'DATA BTO'!B:P,15,FALSE)</f>
        <v>#N/A</v>
      </c>
      <c r="AY292" s="328" t="e">
        <f ca="1">IFERROR(VLOOKUP(Tableau1[[#This Row],[Key(ID-Actif)]],'DATA BTO'!A:N,4,FALSE),VLOOKUP(Tableau1[[#This Row],[ID]],'DATA BTO'!B:N,3,FALSE))</f>
        <v>#N/A</v>
      </c>
      <c r="AZ29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2" s="50"/>
    </row>
    <row r="293" spans="2:57">
      <c r="B293" s="405" t="str">
        <f>_xlfn.CONCAT(Tableau1[[#This Row],[Name ILN]],"-",Tableau1[[#This Row],[Name Shipper]],"-",Tableau1[[#This Row],[Name Site]])</f>
        <v>--</v>
      </c>
      <c r="C293" s="64" t="e">
        <f>_xlfn.CONCAT(Tableau1[[#This Row],[Compte ILN]],"-",Tableau1[[#This Row],[Compte Shipper]],"-",Tableau1[[#This Row],[POL]],"-",Tableau1[[#This Row],[Compte Consignee]])</f>
        <v>#N/A</v>
      </c>
      <c r="D293" s="64" t="e">
        <f>_xlfn.CONCAT(Tableau1[[#This Row],[Compte ILN]],"-",Tableau1[[#This Row],[Compte Shipper]],"-",Tableau1[[#This Row],[POL]])</f>
        <v>#N/A</v>
      </c>
      <c r="E293" s="128" t="e">
        <f ca="1">_xlfn.CONCAT(Tableau1[[#This Row],[POL]],"-",Tableau1[[#This Row],[Carrier]],"-",Tableau1[[#This Row],[POD]])</f>
        <v>#N/A</v>
      </c>
      <c r="F293" s="64" t="str">
        <f>_xlfn.CONCAT(Tableau1[[#This Row],[ID]],"-","Actif")</f>
        <v>-Actif</v>
      </c>
      <c r="G293" s="64" t="e">
        <f ca="1">_xlfn.CONCAT(Tableau1[[#This Row],[POD]],"-",Tableau1[[#This Row],[Code PFI]],"-",Tableau1[[#This Row],[Compte Consignee]])</f>
        <v>#N/A</v>
      </c>
      <c r="H29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3" s="117" t="str">
        <f ca="1">IF(COUNTIF(I:I,Tableau1[[#This Row],[Plant-ILN-shipper-POL-Carrier-POD-PFI]])=1,"Non","Oui")</f>
        <v>Oui</v>
      </c>
      <c r="K293" s="126" t="e">
        <f>VLOOKUP(Tableau1[[#This Row],[Name Site]],Plant_AILN!A:D,4,FALSE)</f>
        <v>#N/A</v>
      </c>
      <c r="L293" s="363"/>
      <c r="M293" s="492" t="e">
        <f>VLOOKUP(Tableau1[[#This Row],[Name Site]],Plant_AILN!A:C,3,FALSE)</f>
        <v>#N/A</v>
      </c>
      <c r="N293" s="55" t="e">
        <f>VLOOKUP(Tableau1[[#This Row],[Compte Consignee]],Order!C:D,2,FALSE)</f>
        <v>#N/A</v>
      </c>
      <c r="O293" s="122"/>
      <c r="P293" s="481" t="e">
        <f>VLOOKUP(Tableau1[[#This Row],[Name ILN]],Plant_AILN!F:G,2,FALSE)</f>
        <v>#N/A</v>
      </c>
      <c r="Q293" s="50" t="e">
        <f>VLOOKUP(Tableau1[[#This Row],[Compte ILN]],'DATA ILN'!D:I,6,FALSE)</f>
        <v>#N/A</v>
      </c>
      <c r="R293" s="50" t="e">
        <f>IFERROR(VLOOKUP(Tableau1[[#This Row],[Key(Compte ILN - shipper - POL - plant)]],'DATA ILN'!A:J,10,FALSE),VLOOKUP(Tableau1[[#This Row],[Key(Compte ILN - shipper - POL)]],'DATA ILN'!B:J,9,FALSE))</f>
        <v>#N/A</v>
      </c>
      <c r="S293" s="50" t="e">
        <f>IFERROR(VLOOKUP(Tableau1[[#This Row],[Key(Compte ILN - shipper - POL - plant)]],'DATA ILN'!A:K,11,FALSE),VLOOKUP(Tableau1[[#This Row],[Key(Compte ILN - shipper - POL)]],'DATA ILN'!B:K,10,FALSE))</f>
        <v>#N/A</v>
      </c>
      <c r="T293" s="50" t="e">
        <f>IFERROR(VLOOKUP(Tableau1[[#This Row],[Key(Compte ILN - shipper - POL - plant)]],'DATA ILN'!A:L,12,FALSE),VLOOKUP(Tableau1[[#This Row],[Key(Compte ILN - shipper - POL)]],'DATA ILN'!B:L,11,FALSE))</f>
        <v>#N/A</v>
      </c>
      <c r="U293" s="50" t="e">
        <f>Tableau1[[#This Row],[Day ILN Order]]+Tableau1[[#This Row],[Delivery time to ILN/Shipper]]-1</f>
        <v>#N/A</v>
      </c>
      <c r="V293" s="50" t="e">
        <f>IFERROR(VLOOKUP(Tableau1[[#This Row],[Key(Compte ILN - shipper - POL - plant)]],'DATA ILN'!A:N,14,FALSE),VLOOKUP(Tableau1[[#This Row],[Key(Compte ILN - shipper - POL)]],'DATA ILN'!B:N,13,FALSE))</f>
        <v>#N/A</v>
      </c>
      <c r="W293" s="50" t="e">
        <f>IFERROR(VLOOKUP(Tableau1[[#This Row],[Key(Compte ILN - shipper - POL - plant)]],'DATA ILN'!A:P,16,FALSE),VLOOKUP(Tableau1[[#This Row],[Key(Compte ILN - shipper - POL)]],'DATA ILN'!B:P,15,FALSE))</f>
        <v>#N/A</v>
      </c>
      <c r="X293" s="283"/>
      <c r="Y293" s="489">
        <f>IFERROR(VLOOKUP(Tableau1[[#This Row],[Name Shipper]],Plant_AILN!L:M,2,FALSE),0)</f>
        <v>0</v>
      </c>
      <c r="Z293" s="358"/>
      <c r="AA293" s="353" t="e">
        <f ca="1">VLOOKUP(Tableau1[[#This Row],[Key(ID-Actif)]],'DATA BTO'!A:N,5,FALSE)</f>
        <v>#N/A</v>
      </c>
      <c r="AB293" s="3" t="e">
        <f ca="1">VLOOKUP(Tableau1[[#This Row],[Key(ID-Actif)]],'DATA BTO'!A:N,6,FALSE)</f>
        <v>#N/A</v>
      </c>
      <c r="AC293" s="50" t="e">
        <f ca="1">VLOOKUP(Tableau1[[#This Row],[Key(ID-Actif)]],'DATA BTO'!A:N,7,FALSE)</f>
        <v>#N/A</v>
      </c>
      <c r="AD293" s="50" t="e">
        <f ca="1">VLOOKUP(Tableau1[[#This Row],[Key(ID-Actif)]],'DATA BTO'!A:N,8,FALSE)</f>
        <v>#N/A</v>
      </c>
      <c r="AE293" s="406" t="e">
        <f ca="1">IF(Tableau1[[#This Row],[First Day to POL]]&lt;=Tableau1[[#This Row],[Day Cut Off]],Tableau1[[#This Row],[Day ETD]],Tableau1[[#This Row],[Day ETD]]+7)</f>
        <v>#N/A</v>
      </c>
      <c r="AF293" s="50" t="e">
        <f ca="1">VLOOKUP(Tableau1[[#This Row],[Key(ID-Actif)]],'DATA BTO'!A:N,9,FALSE)</f>
        <v>#N/A</v>
      </c>
      <c r="AG293" s="3" t="e">
        <f ca="1">VLOOKUP(Tableau1[[#This Row],[Key(ID-Actif)]],'DATA BTO'!A:N,10,FALSE)</f>
        <v>#N/A</v>
      </c>
      <c r="AH293" s="3" t="e">
        <f ca="1">VLOOKUP(Tableau1[[#This Row],[Key(ID-Actif)]],'DATA BTO'!A:N,11,FALSE)</f>
        <v>#N/A</v>
      </c>
      <c r="AI293" s="50" t="e">
        <f ca="1">VLOOKUP(Tableau1[[#This Row],[Key(ID-Actif)]],'DATA BTO'!A:N,12,FALSE)</f>
        <v>#N/A</v>
      </c>
      <c r="AJ293" s="53" t="e">
        <f ca="1">VLOOKUP(Tableau1[[#This Row],[Key(ID-Actif)]],'DATA BTO'!A:N,14,FALSE)</f>
        <v>#N/A</v>
      </c>
      <c r="AK293" s="54" t="e">
        <f ca="1">VLOOKUP(Tableau1[[#This Row],[Key(POD -PFI- Usine)]],'DATA Consignee'!A:F,6,FALSE)</f>
        <v>#N/A</v>
      </c>
      <c r="AL293" s="283"/>
      <c r="AM293" s="490" t="str">
        <f>IF(Tableau1[[#This Row],[Name PFI/CDD]]="","-",VLOOKUP(Tableau1[[#This Row],[Name PFI/CDD]],Plant_AILN!I:J,2,FALSE))</f>
        <v>-</v>
      </c>
      <c r="AN29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3" s="2" t="e">
        <f ca="1">VLOOKUP(Tableau1[[#This Row],[Key(POD -PFI- Usine)]],'DATA Consignee'!A:J,10,FALSE)</f>
        <v>#N/A</v>
      </c>
      <c r="AQ293" s="50" t="e">
        <f ca="1">VLOOKUP(Tableau1[[#This Row],[Key(POD -PFI- Usine)]],'DATA Consignee'!A:N,14,FALSE)</f>
        <v>#N/A</v>
      </c>
      <c r="AR29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3" s="50" t="e">
        <f ca="1">Tableau1[[#This Row],[Transit time]]+Tableau1[[#This Row],[Time for security]]+Tableau1[[#This Row],[Time for security2 buffer]]</f>
        <v>#N/A</v>
      </c>
      <c r="AU29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3" s="50" t="e">
        <f ca="1">Tableau1[[#This Row],[Leadtime SI2C]]+Tableau1[[#This Row],[First Receipt Days]]-Tableau1[[#This Row],[Day Customer Order]]+1</f>
        <v>#N/A</v>
      </c>
      <c r="AW293" s="117" t="e">
        <f ca="1">IF(Tableau1[[#This Row],[Name ILN]]&lt;&gt;"SFK Freight Forwarder",Tableau1[[#This Row],[Cust. Leadtime]],Tableau1[[#This Row],[Leadtime SI2C]])</f>
        <v>#N/A</v>
      </c>
      <c r="AX293" s="57" t="e">
        <f>VLOOKUP(Tableau1[[#This Row],[ID]],'DATA BTO'!B:P,15,FALSE)</f>
        <v>#N/A</v>
      </c>
      <c r="AY293" s="328" t="e">
        <f ca="1">IFERROR(VLOOKUP(Tableau1[[#This Row],[Key(ID-Actif)]],'DATA BTO'!A:N,4,FALSE),VLOOKUP(Tableau1[[#This Row],[ID]],'DATA BTO'!B:N,3,FALSE))</f>
        <v>#N/A</v>
      </c>
      <c r="AZ29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3" s="50"/>
    </row>
    <row r="294" spans="2:57">
      <c r="B294" s="405" t="str">
        <f>_xlfn.CONCAT(Tableau1[[#This Row],[Name ILN]],"-",Tableau1[[#This Row],[Name Shipper]],"-",Tableau1[[#This Row],[Name Site]])</f>
        <v>--</v>
      </c>
      <c r="C294" s="64" t="e">
        <f>_xlfn.CONCAT(Tableau1[[#This Row],[Compte ILN]],"-",Tableau1[[#This Row],[Compte Shipper]],"-",Tableau1[[#This Row],[POL]],"-",Tableau1[[#This Row],[Compte Consignee]])</f>
        <v>#N/A</v>
      </c>
      <c r="D294" s="64" t="e">
        <f>_xlfn.CONCAT(Tableau1[[#This Row],[Compte ILN]],"-",Tableau1[[#This Row],[Compte Shipper]],"-",Tableau1[[#This Row],[POL]])</f>
        <v>#N/A</v>
      </c>
      <c r="E294" s="128" t="e">
        <f ca="1">_xlfn.CONCAT(Tableau1[[#This Row],[POL]],"-",Tableau1[[#This Row],[Carrier]],"-",Tableau1[[#This Row],[POD]])</f>
        <v>#N/A</v>
      </c>
      <c r="F294" s="64" t="str">
        <f>_xlfn.CONCAT(Tableau1[[#This Row],[ID]],"-","Actif")</f>
        <v>-Actif</v>
      </c>
      <c r="G294" s="64" t="e">
        <f ca="1">_xlfn.CONCAT(Tableau1[[#This Row],[POD]],"-",Tableau1[[#This Row],[Code PFI]],"-",Tableau1[[#This Row],[Compte Consignee]])</f>
        <v>#N/A</v>
      </c>
      <c r="H29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4" s="117" t="str">
        <f ca="1">IF(COUNTIF(I:I,Tableau1[[#This Row],[Plant-ILN-shipper-POL-Carrier-POD-PFI]])=1,"Non","Oui")</f>
        <v>Oui</v>
      </c>
      <c r="K294" s="126" t="e">
        <f>VLOOKUP(Tableau1[[#This Row],[Name Site]],Plant_AILN!A:D,4,FALSE)</f>
        <v>#N/A</v>
      </c>
      <c r="L294" s="363"/>
      <c r="M294" s="492" t="e">
        <f>VLOOKUP(Tableau1[[#This Row],[Name Site]],Plant_AILN!A:C,3,FALSE)</f>
        <v>#N/A</v>
      </c>
      <c r="N294" s="55" t="e">
        <f>VLOOKUP(Tableau1[[#This Row],[Compte Consignee]],Order!C:D,2,FALSE)</f>
        <v>#N/A</v>
      </c>
      <c r="O294" s="122"/>
      <c r="P294" s="481" t="e">
        <f>VLOOKUP(Tableau1[[#This Row],[Name ILN]],Plant_AILN!F:G,2,FALSE)</f>
        <v>#N/A</v>
      </c>
      <c r="Q294" s="50" t="e">
        <f>VLOOKUP(Tableau1[[#This Row],[Compte ILN]],'DATA ILN'!D:I,6,FALSE)</f>
        <v>#N/A</v>
      </c>
      <c r="R294" s="50" t="e">
        <f>IFERROR(VLOOKUP(Tableau1[[#This Row],[Key(Compte ILN - shipper - POL - plant)]],'DATA ILN'!A:J,10,FALSE),VLOOKUP(Tableau1[[#This Row],[Key(Compte ILN - shipper - POL)]],'DATA ILN'!B:J,9,FALSE))</f>
        <v>#N/A</v>
      </c>
      <c r="S294" s="50" t="e">
        <f>IFERROR(VLOOKUP(Tableau1[[#This Row],[Key(Compte ILN - shipper - POL - plant)]],'DATA ILN'!A:K,11,FALSE),VLOOKUP(Tableau1[[#This Row],[Key(Compte ILN - shipper - POL)]],'DATA ILN'!B:K,10,FALSE))</f>
        <v>#N/A</v>
      </c>
      <c r="T294" s="50" t="e">
        <f>IFERROR(VLOOKUP(Tableau1[[#This Row],[Key(Compte ILN - shipper - POL - plant)]],'DATA ILN'!A:L,12,FALSE),VLOOKUP(Tableau1[[#This Row],[Key(Compte ILN - shipper - POL)]],'DATA ILN'!B:L,11,FALSE))</f>
        <v>#N/A</v>
      </c>
      <c r="U294" s="50" t="e">
        <f>Tableau1[[#This Row],[Day ILN Order]]+Tableau1[[#This Row],[Delivery time to ILN/Shipper]]-1</f>
        <v>#N/A</v>
      </c>
      <c r="V294" s="50" t="e">
        <f>IFERROR(VLOOKUP(Tableau1[[#This Row],[Key(Compte ILN - shipper - POL - plant)]],'DATA ILN'!A:N,14,FALSE),VLOOKUP(Tableau1[[#This Row],[Key(Compte ILN - shipper - POL)]],'DATA ILN'!B:N,13,FALSE))</f>
        <v>#N/A</v>
      </c>
      <c r="W294" s="50" t="e">
        <f>IFERROR(VLOOKUP(Tableau1[[#This Row],[Key(Compte ILN - shipper - POL - plant)]],'DATA ILN'!A:P,16,FALSE),VLOOKUP(Tableau1[[#This Row],[Key(Compte ILN - shipper - POL)]],'DATA ILN'!B:P,15,FALSE))</f>
        <v>#N/A</v>
      </c>
      <c r="X294" s="358"/>
      <c r="Y294" s="489">
        <f>IFERROR(VLOOKUP(Tableau1[[#This Row],[Name Shipper]],Plant_AILN!L:M,2,FALSE),0)</f>
        <v>0</v>
      </c>
      <c r="Z294" s="358"/>
      <c r="AA294" s="353" t="e">
        <f ca="1">VLOOKUP(Tableau1[[#This Row],[Key(ID-Actif)]],'DATA BTO'!A:N,5,FALSE)</f>
        <v>#N/A</v>
      </c>
      <c r="AB294" s="3" t="e">
        <f ca="1">VLOOKUP(Tableau1[[#This Row],[Key(ID-Actif)]],'DATA BTO'!A:N,6,FALSE)</f>
        <v>#N/A</v>
      </c>
      <c r="AC294" s="50" t="e">
        <f ca="1">VLOOKUP(Tableau1[[#This Row],[Key(ID-Actif)]],'DATA BTO'!A:N,7,FALSE)</f>
        <v>#N/A</v>
      </c>
      <c r="AD294" s="50" t="e">
        <f ca="1">VLOOKUP(Tableau1[[#This Row],[Key(ID-Actif)]],'DATA BTO'!A:N,8,FALSE)</f>
        <v>#N/A</v>
      </c>
      <c r="AE294" s="406" t="e">
        <f ca="1">IF(Tableau1[[#This Row],[First Day to POL]]&lt;=Tableau1[[#This Row],[Day Cut Off]],Tableau1[[#This Row],[Day ETD]],Tableau1[[#This Row],[Day ETD]]+7)</f>
        <v>#N/A</v>
      </c>
      <c r="AF294" s="50" t="e">
        <f ca="1">VLOOKUP(Tableau1[[#This Row],[Key(ID-Actif)]],'DATA BTO'!A:N,9,FALSE)</f>
        <v>#N/A</v>
      </c>
      <c r="AG294" s="3" t="e">
        <f ca="1">VLOOKUP(Tableau1[[#This Row],[Key(ID-Actif)]],'DATA BTO'!A:N,10,FALSE)</f>
        <v>#N/A</v>
      </c>
      <c r="AH294" s="3" t="e">
        <f ca="1">VLOOKUP(Tableau1[[#This Row],[Key(ID-Actif)]],'DATA BTO'!A:N,11,FALSE)</f>
        <v>#N/A</v>
      </c>
      <c r="AI294" s="50" t="e">
        <f ca="1">VLOOKUP(Tableau1[[#This Row],[Key(ID-Actif)]],'DATA BTO'!A:N,12,FALSE)</f>
        <v>#N/A</v>
      </c>
      <c r="AJ294" s="53" t="e">
        <f ca="1">VLOOKUP(Tableau1[[#This Row],[Key(ID-Actif)]],'DATA BTO'!A:N,14,FALSE)</f>
        <v>#N/A</v>
      </c>
      <c r="AK294" s="54" t="e">
        <f ca="1">VLOOKUP(Tableau1[[#This Row],[Key(POD -PFI- Usine)]],'DATA Consignee'!A:F,6,FALSE)</f>
        <v>#N/A</v>
      </c>
      <c r="AL294" s="283"/>
      <c r="AM294" s="490" t="str">
        <f>IF(Tableau1[[#This Row],[Name PFI/CDD]]="","-",VLOOKUP(Tableau1[[#This Row],[Name PFI/CDD]],Plant_AILN!I:J,2,FALSE))</f>
        <v>-</v>
      </c>
      <c r="AN29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4" s="2" t="e">
        <f ca="1">VLOOKUP(Tableau1[[#This Row],[Key(POD -PFI- Usine)]],'DATA Consignee'!A:J,10,FALSE)</f>
        <v>#N/A</v>
      </c>
      <c r="AQ294" s="50" t="e">
        <f ca="1">VLOOKUP(Tableau1[[#This Row],[Key(POD -PFI- Usine)]],'DATA Consignee'!A:N,14,FALSE)</f>
        <v>#N/A</v>
      </c>
      <c r="AR29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4" s="50" t="e">
        <f ca="1">Tableau1[[#This Row],[Transit time]]+Tableau1[[#This Row],[Time for security]]+Tableau1[[#This Row],[Time for security2 buffer]]</f>
        <v>#N/A</v>
      </c>
      <c r="AU29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4" s="50" t="e">
        <f ca="1">Tableau1[[#This Row],[Leadtime SI2C]]+Tableau1[[#This Row],[First Receipt Days]]-Tableau1[[#This Row],[Day Customer Order]]+1</f>
        <v>#N/A</v>
      </c>
      <c r="AW294" s="117" t="e">
        <f ca="1">IF(Tableau1[[#This Row],[Name ILN]]&lt;&gt;"SFK Freight Forwarder",Tableau1[[#This Row],[Cust. Leadtime]],Tableau1[[#This Row],[Leadtime SI2C]])</f>
        <v>#N/A</v>
      </c>
      <c r="AX294" s="57" t="e">
        <f>VLOOKUP(Tableau1[[#This Row],[ID]],'DATA BTO'!B:P,15,FALSE)</f>
        <v>#N/A</v>
      </c>
      <c r="AY294" s="328" t="e">
        <f ca="1">IFERROR(VLOOKUP(Tableau1[[#This Row],[Key(ID-Actif)]],'DATA BTO'!A:N,4,FALSE),VLOOKUP(Tableau1[[#This Row],[ID]],'DATA BTO'!B:N,3,FALSE))</f>
        <v>#N/A</v>
      </c>
      <c r="AZ29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4" s="50"/>
    </row>
    <row r="295" spans="2:57">
      <c r="B295" s="405" t="str">
        <f>_xlfn.CONCAT(Tableau1[[#This Row],[Name ILN]],"-",Tableau1[[#This Row],[Name Shipper]],"-",Tableau1[[#This Row],[Name Site]])</f>
        <v>--</v>
      </c>
      <c r="C295" s="64" t="e">
        <f>_xlfn.CONCAT(Tableau1[[#This Row],[Compte ILN]],"-",Tableau1[[#This Row],[Compte Shipper]],"-",Tableau1[[#This Row],[POL]],"-",Tableau1[[#This Row],[Compte Consignee]])</f>
        <v>#N/A</v>
      </c>
      <c r="D295" s="64" t="e">
        <f>_xlfn.CONCAT(Tableau1[[#This Row],[Compte ILN]],"-",Tableau1[[#This Row],[Compte Shipper]],"-",Tableau1[[#This Row],[POL]])</f>
        <v>#N/A</v>
      </c>
      <c r="E295" s="128" t="e">
        <f ca="1">_xlfn.CONCAT(Tableau1[[#This Row],[POL]],"-",Tableau1[[#This Row],[Carrier]],"-",Tableau1[[#This Row],[POD]])</f>
        <v>#N/A</v>
      </c>
      <c r="F295" s="64" t="str">
        <f>_xlfn.CONCAT(Tableau1[[#This Row],[ID]],"-","Actif")</f>
        <v>-Actif</v>
      </c>
      <c r="G295" s="64" t="e">
        <f ca="1">_xlfn.CONCAT(Tableau1[[#This Row],[POD]],"-",Tableau1[[#This Row],[Code PFI]],"-",Tableau1[[#This Row],[Compte Consignee]])</f>
        <v>#N/A</v>
      </c>
      <c r="H29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5" s="117" t="str">
        <f ca="1">IF(COUNTIF(I:I,Tableau1[[#This Row],[Plant-ILN-shipper-POL-Carrier-POD-PFI]])=1,"Non","Oui")</f>
        <v>Oui</v>
      </c>
      <c r="K295" s="126" t="e">
        <f>VLOOKUP(Tableau1[[#This Row],[Name Site]],Plant_AILN!A:D,4,FALSE)</f>
        <v>#N/A</v>
      </c>
      <c r="L295" s="363"/>
      <c r="M295" s="492" t="e">
        <f>VLOOKUP(Tableau1[[#This Row],[Name Site]],Plant_AILN!A:C,3,FALSE)</f>
        <v>#N/A</v>
      </c>
      <c r="N295" s="55" t="e">
        <f>VLOOKUP(Tableau1[[#This Row],[Compte Consignee]],Order!C:D,2,FALSE)</f>
        <v>#N/A</v>
      </c>
      <c r="O295" s="122"/>
      <c r="P295" s="481" t="e">
        <f>VLOOKUP(Tableau1[[#This Row],[Name ILN]],Plant_AILN!F:G,2,FALSE)</f>
        <v>#N/A</v>
      </c>
      <c r="Q295" s="50" t="e">
        <f>VLOOKUP(Tableau1[[#This Row],[Compte ILN]],'DATA ILN'!D:I,6,FALSE)</f>
        <v>#N/A</v>
      </c>
      <c r="R295" s="50" t="e">
        <f>IFERROR(VLOOKUP(Tableau1[[#This Row],[Key(Compte ILN - shipper - POL - plant)]],'DATA ILN'!A:J,10,FALSE),VLOOKUP(Tableau1[[#This Row],[Key(Compte ILN - shipper - POL)]],'DATA ILN'!B:J,9,FALSE))</f>
        <v>#N/A</v>
      </c>
      <c r="S295" s="50" t="e">
        <f>IFERROR(VLOOKUP(Tableau1[[#This Row],[Key(Compte ILN - shipper - POL - plant)]],'DATA ILN'!A:K,11,FALSE),VLOOKUP(Tableau1[[#This Row],[Key(Compte ILN - shipper - POL)]],'DATA ILN'!B:K,10,FALSE))</f>
        <v>#N/A</v>
      </c>
      <c r="T295" s="50" t="e">
        <f>IFERROR(VLOOKUP(Tableau1[[#This Row],[Key(Compte ILN - shipper - POL - plant)]],'DATA ILN'!A:L,12,FALSE),VLOOKUP(Tableau1[[#This Row],[Key(Compte ILN - shipper - POL)]],'DATA ILN'!B:L,11,FALSE))</f>
        <v>#N/A</v>
      </c>
      <c r="U295" s="50" t="e">
        <f>Tableau1[[#This Row],[Day ILN Order]]+Tableau1[[#This Row],[Delivery time to ILN/Shipper]]-1</f>
        <v>#N/A</v>
      </c>
      <c r="V295" s="50" t="e">
        <f>IFERROR(VLOOKUP(Tableau1[[#This Row],[Key(Compte ILN - shipper - POL - plant)]],'DATA ILN'!A:N,14,FALSE),VLOOKUP(Tableau1[[#This Row],[Key(Compte ILN - shipper - POL)]],'DATA ILN'!B:N,13,FALSE))</f>
        <v>#N/A</v>
      </c>
      <c r="W295" s="50" t="e">
        <f>IFERROR(VLOOKUP(Tableau1[[#This Row],[Key(Compte ILN - shipper - POL - plant)]],'DATA ILN'!A:P,16,FALSE),VLOOKUP(Tableau1[[#This Row],[Key(Compte ILN - shipper - POL)]],'DATA ILN'!B:P,15,FALSE))</f>
        <v>#N/A</v>
      </c>
      <c r="X295" s="283"/>
      <c r="Y295" s="489">
        <f>IFERROR(VLOOKUP(Tableau1[[#This Row],[Name Shipper]],Plant_AILN!L:M,2,FALSE),0)</f>
        <v>0</v>
      </c>
      <c r="Z295" s="358"/>
      <c r="AA295" s="353" t="e">
        <f ca="1">VLOOKUP(Tableau1[[#This Row],[Key(ID-Actif)]],'DATA BTO'!A:N,5,FALSE)</f>
        <v>#N/A</v>
      </c>
      <c r="AB295" s="3" t="e">
        <f ca="1">VLOOKUP(Tableau1[[#This Row],[Key(ID-Actif)]],'DATA BTO'!A:N,6,FALSE)</f>
        <v>#N/A</v>
      </c>
      <c r="AC295" s="50" t="e">
        <f ca="1">VLOOKUP(Tableau1[[#This Row],[Key(ID-Actif)]],'DATA BTO'!A:N,7,FALSE)</f>
        <v>#N/A</v>
      </c>
      <c r="AD295" s="50" t="e">
        <f ca="1">VLOOKUP(Tableau1[[#This Row],[Key(ID-Actif)]],'DATA BTO'!A:N,8,FALSE)</f>
        <v>#N/A</v>
      </c>
      <c r="AE295" s="406" t="e">
        <f ca="1">IF(Tableau1[[#This Row],[First Day to POL]]&lt;=Tableau1[[#This Row],[Day Cut Off]],Tableau1[[#This Row],[Day ETD]],Tableau1[[#This Row],[Day ETD]]+7)</f>
        <v>#N/A</v>
      </c>
      <c r="AF295" s="50" t="e">
        <f ca="1">VLOOKUP(Tableau1[[#This Row],[Key(ID-Actif)]],'DATA BTO'!A:N,9,FALSE)</f>
        <v>#N/A</v>
      </c>
      <c r="AG295" s="3" t="e">
        <f ca="1">VLOOKUP(Tableau1[[#This Row],[Key(ID-Actif)]],'DATA BTO'!A:N,10,FALSE)</f>
        <v>#N/A</v>
      </c>
      <c r="AH295" s="3" t="e">
        <f ca="1">VLOOKUP(Tableau1[[#This Row],[Key(ID-Actif)]],'DATA BTO'!A:N,11,FALSE)</f>
        <v>#N/A</v>
      </c>
      <c r="AI295" s="50" t="e">
        <f ca="1">VLOOKUP(Tableau1[[#This Row],[Key(ID-Actif)]],'DATA BTO'!A:N,12,FALSE)</f>
        <v>#N/A</v>
      </c>
      <c r="AJ295" s="53" t="e">
        <f ca="1">VLOOKUP(Tableau1[[#This Row],[Key(ID-Actif)]],'DATA BTO'!A:N,14,FALSE)</f>
        <v>#N/A</v>
      </c>
      <c r="AK295" s="54" t="e">
        <f ca="1">VLOOKUP(Tableau1[[#This Row],[Key(POD -PFI- Usine)]],'DATA Consignee'!A:F,6,FALSE)</f>
        <v>#N/A</v>
      </c>
      <c r="AL295" s="283"/>
      <c r="AM295" s="490" t="str">
        <f>IF(Tableau1[[#This Row],[Name PFI/CDD]]="","-",VLOOKUP(Tableau1[[#This Row],[Name PFI/CDD]],Plant_AILN!I:J,2,FALSE))</f>
        <v>-</v>
      </c>
      <c r="AN29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5" s="2" t="e">
        <f ca="1">VLOOKUP(Tableau1[[#This Row],[Key(POD -PFI- Usine)]],'DATA Consignee'!A:J,10,FALSE)</f>
        <v>#N/A</v>
      </c>
      <c r="AQ295" s="50" t="e">
        <f ca="1">VLOOKUP(Tableau1[[#This Row],[Key(POD -PFI- Usine)]],'DATA Consignee'!A:N,14,FALSE)</f>
        <v>#N/A</v>
      </c>
      <c r="AR29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5" s="50" t="e">
        <f ca="1">Tableau1[[#This Row],[Transit time]]+Tableau1[[#This Row],[Time for security]]+Tableau1[[#This Row],[Time for security2 buffer]]</f>
        <v>#N/A</v>
      </c>
      <c r="AU29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5" s="50" t="e">
        <f ca="1">Tableau1[[#This Row],[Leadtime SI2C]]+Tableau1[[#This Row],[First Receipt Days]]-Tableau1[[#This Row],[Day Customer Order]]+1</f>
        <v>#N/A</v>
      </c>
      <c r="AW295" s="117" t="e">
        <f ca="1">IF(Tableau1[[#This Row],[Name ILN]]&lt;&gt;"SFK Freight Forwarder",Tableau1[[#This Row],[Cust. Leadtime]],Tableau1[[#This Row],[Leadtime SI2C]])</f>
        <v>#N/A</v>
      </c>
      <c r="AX295" s="57" t="e">
        <f>VLOOKUP(Tableau1[[#This Row],[ID]],'DATA BTO'!B:P,15,FALSE)</f>
        <v>#N/A</v>
      </c>
      <c r="AY295" s="328" t="e">
        <f ca="1">IFERROR(VLOOKUP(Tableau1[[#This Row],[Key(ID-Actif)]],'DATA BTO'!A:N,4,FALSE),VLOOKUP(Tableau1[[#This Row],[ID]],'DATA BTO'!B:N,3,FALSE))</f>
        <v>#N/A</v>
      </c>
      <c r="AZ29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5" s="50"/>
    </row>
    <row r="296" spans="2:57">
      <c r="B296" s="405" t="str">
        <f>_xlfn.CONCAT(Tableau1[[#This Row],[Name ILN]],"-",Tableau1[[#This Row],[Name Shipper]],"-",Tableau1[[#This Row],[Name Site]])</f>
        <v>--</v>
      </c>
      <c r="C296" s="64" t="e">
        <f>_xlfn.CONCAT(Tableau1[[#This Row],[Compte ILN]],"-",Tableau1[[#This Row],[Compte Shipper]],"-",Tableau1[[#This Row],[POL]],"-",Tableau1[[#This Row],[Compte Consignee]])</f>
        <v>#N/A</v>
      </c>
      <c r="D296" s="64" t="e">
        <f>_xlfn.CONCAT(Tableau1[[#This Row],[Compte ILN]],"-",Tableau1[[#This Row],[Compte Shipper]],"-",Tableau1[[#This Row],[POL]])</f>
        <v>#N/A</v>
      </c>
      <c r="E296" s="128" t="e">
        <f ca="1">_xlfn.CONCAT(Tableau1[[#This Row],[POL]],"-",Tableau1[[#This Row],[Carrier]],"-",Tableau1[[#This Row],[POD]])</f>
        <v>#N/A</v>
      </c>
      <c r="F296" s="64" t="str">
        <f>_xlfn.CONCAT(Tableau1[[#This Row],[ID]],"-","Actif")</f>
        <v>-Actif</v>
      </c>
      <c r="G296" s="64" t="e">
        <f ca="1">_xlfn.CONCAT(Tableau1[[#This Row],[POD]],"-",Tableau1[[#This Row],[Code PFI]],"-",Tableau1[[#This Row],[Compte Consignee]])</f>
        <v>#N/A</v>
      </c>
      <c r="H29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6" s="117" t="str">
        <f ca="1">IF(COUNTIF(I:I,Tableau1[[#This Row],[Plant-ILN-shipper-POL-Carrier-POD-PFI]])=1,"Non","Oui")</f>
        <v>Oui</v>
      </c>
      <c r="K296" s="126" t="e">
        <f>VLOOKUP(Tableau1[[#This Row],[Name Site]],Plant_AILN!A:D,4,FALSE)</f>
        <v>#N/A</v>
      </c>
      <c r="L296" s="363"/>
      <c r="M296" s="492" t="e">
        <f>VLOOKUP(Tableau1[[#This Row],[Name Site]],Plant_AILN!A:C,3,FALSE)</f>
        <v>#N/A</v>
      </c>
      <c r="N296" s="55" t="e">
        <f>VLOOKUP(Tableau1[[#This Row],[Compte Consignee]],Order!C:D,2,FALSE)</f>
        <v>#N/A</v>
      </c>
      <c r="O296" s="122"/>
      <c r="P296" s="481" t="e">
        <f>VLOOKUP(Tableau1[[#This Row],[Name ILN]],Plant_AILN!F:G,2,FALSE)</f>
        <v>#N/A</v>
      </c>
      <c r="Q296" s="50" t="e">
        <f>VLOOKUP(Tableau1[[#This Row],[Compte ILN]],'DATA ILN'!D:I,6,FALSE)</f>
        <v>#N/A</v>
      </c>
      <c r="R296" s="50" t="e">
        <f>IFERROR(VLOOKUP(Tableau1[[#This Row],[Key(Compte ILN - shipper - POL - plant)]],'DATA ILN'!A:J,10,FALSE),VLOOKUP(Tableau1[[#This Row],[Key(Compte ILN - shipper - POL)]],'DATA ILN'!B:J,9,FALSE))</f>
        <v>#N/A</v>
      </c>
      <c r="S296" s="50" t="e">
        <f>IFERROR(VLOOKUP(Tableau1[[#This Row],[Key(Compte ILN - shipper - POL - plant)]],'DATA ILN'!A:K,11,FALSE),VLOOKUP(Tableau1[[#This Row],[Key(Compte ILN - shipper - POL)]],'DATA ILN'!B:K,10,FALSE))</f>
        <v>#N/A</v>
      </c>
      <c r="T296" s="50" t="e">
        <f>IFERROR(VLOOKUP(Tableau1[[#This Row],[Key(Compte ILN - shipper - POL - plant)]],'DATA ILN'!A:L,12,FALSE),VLOOKUP(Tableau1[[#This Row],[Key(Compte ILN - shipper - POL)]],'DATA ILN'!B:L,11,FALSE))</f>
        <v>#N/A</v>
      </c>
      <c r="U296" s="50" t="e">
        <f>Tableau1[[#This Row],[Day ILN Order]]+Tableau1[[#This Row],[Delivery time to ILN/Shipper]]-1</f>
        <v>#N/A</v>
      </c>
      <c r="V296" s="50" t="e">
        <f>IFERROR(VLOOKUP(Tableau1[[#This Row],[Key(Compte ILN - shipper - POL - plant)]],'DATA ILN'!A:N,14,FALSE),VLOOKUP(Tableau1[[#This Row],[Key(Compte ILN - shipper - POL)]],'DATA ILN'!B:N,13,FALSE))</f>
        <v>#N/A</v>
      </c>
      <c r="W296" s="50" t="e">
        <f>IFERROR(VLOOKUP(Tableau1[[#This Row],[Key(Compte ILN - shipper - POL - plant)]],'DATA ILN'!A:P,16,FALSE),VLOOKUP(Tableau1[[#This Row],[Key(Compte ILN - shipper - POL)]],'DATA ILN'!B:P,15,FALSE))</f>
        <v>#N/A</v>
      </c>
      <c r="X296" s="283"/>
      <c r="Y296" s="489">
        <f>IFERROR(VLOOKUP(Tableau1[[#This Row],[Name Shipper]],Plant_AILN!L:M,2,FALSE),0)</f>
        <v>0</v>
      </c>
      <c r="Z296" s="283"/>
      <c r="AA296" s="353" t="e">
        <f ca="1">VLOOKUP(Tableau1[[#This Row],[Key(ID-Actif)]],'DATA BTO'!A:N,5,FALSE)</f>
        <v>#N/A</v>
      </c>
      <c r="AB296" s="3" t="e">
        <f ca="1">VLOOKUP(Tableau1[[#This Row],[Key(ID-Actif)]],'DATA BTO'!A:N,6,FALSE)</f>
        <v>#N/A</v>
      </c>
      <c r="AC296" s="50" t="e">
        <f ca="1">VLOOKUP(Tableau1[[#This Row],[Key(ID-Actif)]],'DATA BTO'!A:N,7,FALSE)</f>
        <v>#N/A</v>
      </c>
      <c r="AD296" s="50" t="e">
        <f ca="1">VLOOKUP(Tableau1[[#This Row],[Key(ID-Actif)]],'DATA BTO'!A:N,8,FALSE)</f>
        <v>#N/A</v>
      </c>
      <c r="AE296" s="406" t="e">
        <f ca="1">IF(Tableau1[[#This Row],[First Day to POL]]&lt;=Tableau1[[#This Row],[Day Cut Off]],Tableau1[[#This Row],[Day ETD]],Tableau1[[#This Row],[Day ETD]]+7)</f>
        <v>#N/A</v>
      </c>
      <c r="AF296" s="50" t="e">
        <f ca="1">VLOOKUP(Tableau1[[#This Row],[Key(ID-Actif)]],'DATA BTO'!A:N,9,FALSE)</f>
        <v>#N/A</v>
      </c>
      <c r="AG296" s="3" t="e">
        <f ca="1">VLOOKUP(Tableau1[[#This Row],[Key(ID-Actif)]],'DATA BTO'!A:N,10,FALSE)</f>
        <v>#N/A</v>
      </c>
      <c r="AH296" s="3" t="e">
        <f ca="1">VLOOKUP(Tableau1[[#This Row],[Key(ID-Actif)]],'DATA BTO'!A:N,11,FALSE)</f>
        <v>#N/A</v>
      </c>
      <c r="AI296" s="50" t="e">
        <f ca="1">VLOOKUP(Tableau1[[#This Row],[Key(ID-Actif)]],'DATA BTO'!A:N,12,FALSE)</f>
        <v>#N/A</v>
      </c>
      <c r="AJ296" s="53" t="e">
        <f ca="1">VLOOKUP(Tableau1[[#This Row],[Key(ID-Actif)]],'DATA BTO'!A:N,14,FALSE)</f>
        <v>#N/A</v>
      </c>
      <c r="AK296" s="54" t="e">
        <f ca="1">VLOOKUP(Tableau1[[#This Row],[Key(POD -PFI- Usine)]],'DATA Consignee'!A:F,6,FALSE)</f>
        <v>#N/A</v>
      </c>
      <c r="AL296" s="283"/>
      <c r="AM296" s="490" t="str">
        <f>IF(Tableau1[[#This Row],[Name PFI/CDD]]="","-",VLOOKUP(Tableau1[[#This Row],[Name PFI/CDD]],Plant_AILN!I:J,2,FALSE))</f>
        <v>-</v>
      </c>
      <c r="AN29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6" s="2" t="e">
        <f ca="1">VLOOKUP(Tableau1[[#This Row],[Key(POD -PFI- Usine)]],'DATA Consignee'!A:J,10,FALSE)</f>
        <v>#N/A</v>
      </c>
      <c r="AQ296" s="50" t="e">
        <f ca="1">VLOOKUP(Tableau1[[#This Row],[Key(POD -PFI- Usine)]],'DATA Consignee'!A:N,14,FALSE)</f>
        <v>#N/A</v>
      </c>
      <c r="AR29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6" s="50" t="e">
        <f ca="1">Tableau1[[#This Row],[Transit time]]+Tableau1[[#This Row],[Time for security]]+Tableau1[[#This Row],[Time for security2 buffer]]</f>
        <v>#N/A</v>
      </c>
      <c r="AU29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6" s="50" t="e">
        <f ca="1">Tableau1[[#This Row],[Leadtime SI2C]]+Tableau1[[#This Row],[First Receipt Days]]-Tableau1[[#This Row],[Day Customer Order]]+1</f>
        <v>#N/A</v>
      </c>
      <c r="AW296" s="117" t="e">
        <f ca="1">IF(Tableau1[[#This Row],[Name ILN]]&lt;&gt;"SFK Freight Forwarder",Tableau1[[#This Row],[Cust. Leadtime]],Tableau1[[#This Row],[Leadtime SI2C]])</f>
        <v>#N/A</v>
      </c>
      <c r="AX296" s="57" t="e">
        <f>VLOOKUP(Tableau1[[#This Row],[ID]],'DATA BTO'!B:P,15,FALSE)</f>
        <v>#N/A</v>
      </c>
      <c r="AY296" s="328" t="e">
        <f ca="1">IFERROR(VLOOKUP(Tableau1[[#This Row],[Key(ID-Actif)]],'DATA BTO'!A:N,4,FALSE),VLOOKUP(Tableau1[[#This Row],[ID]],'DATA BTO'!B:N,3,FALSE))</f>
        <v>#N/A</v>
      </c>
      <c r="AZ29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6" s="50"/>
    </row>
    <row r="297" spans="2:57">
      <c r="B297" s="405" t="str">
        <f>_xlfn.CONCAT(Tableau1[[#This Row],[Name ILN]],"-",Tableau1[[#This Row],[Name Shipper]],"-",Tableau1[[#This Row],[Name Site]])</f>
        <v>--</v>
      </c>
      <c r="C297" s="64" t="e">
        <f>_xlfn.CONCAT(Tableau1[[#This Row],[Compte ILN]],"-",Tableau1[[#This Row],[Compte Shipper]],"-",Tableau1[[#This Row],[POL]],"-",Tableau1[[#This Row],[Compte Consignee]])</f>
        <v>#N/A</v>
      </c>
      <c r="D297" s="64" t="e">
        <f>_xlfn.CONCAT(Tableau1[[#This Row],[Compte ILN]],"-",Tableau1[[#This Row],[Compte Shipper]],"-",Tableau1[[#This Row],[POL]])</f>
        <v>#N/A</v>
      </c>
      <c r="E297" s="128" t="e">
        <f ca="1">_xlfn.CONCAT(Tableau1[[#This Row],[POL]],"-",Tableau1[[#This Row],[Carrier]],"-",Tableau1[[#This Row],[POD]])</f>
        <v>#N/A</v>
      </c>
      <c r="F297" s="64" t="str">
        <f>_xlfn.CONCAT(Tableau1[[#This Row],[ID]],"-","Actif")</f>
        <v>-Actif</v>
      </c>
      <c r="G297" s="64" t="e">
        <f ca="1">_xlfn.CONCAT(Tableau1[[#This Row],[POD]],"-",Tableau1[[#This Row],[Code PFI]],"-",Tableau1[[#This Row],[Compte Consignee]])</f>
        <v>#N/A</v>
      </c>
      <c r="H29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7" s="117" t="str">
        <f ca="1">IF(COUNTIF(I:I,Tableau1[[#This Row],[Plant-ILN-shipper-POL-Carrier-POD-PFI]])=1,"Non","Oui")</f>
        <v>Oui</v>
      </c>
      <c r="K297" s="126" t="e">
        <f>VLOOKUP(Tableau1[[#This Row],[Name Site]],Plant_AILN!A:D,4,FALSE)</f>
        <v>#N/A</v>
      </c>
      <c r="L297" s="363"/>
      <c r="M297" s="492" t="e">
        <f>VLOOKUP(Tableau1[[#This Row],[Name Site]],Plant_AILN!A:C,3,FALSE)</f>
        <v>#N/A</v>
      </c>
      <c r="N297" s="55" t="e">
        <f>VLOOKUP(Tableau1[[#This Row],[Compte Consignee]],Order!C:D,2,FALSE)</f>
        <v>#N/A</v>
      </c>
      <c r="O297" s="122"/>
      <c r="P297" s="481" t="e">
        <f>VLOOKUP(Tableau1[[#This Row],[Name ILN]],Plant_AILN!F:G,2,FALSE)</f>
        <v>#N/A</v>
      </c>
      <c r="Q297" s="50" t="e">
        <f>VLOOKUP(Tableau1[[#This Row],[Compte ILN]],'DATA ILN'!D:I,6,FALSE)</f>
        <v>#N/A</v>
      </c>
      <c r="R297" s="50" t="e">
        <f>IFERROR(VLOOKUP(Tableau1[[#This Row],[Key(Compte ILN - shipper - POL - plant)]],'DATA ILN'!A:J,10,FALSE),VLOOKUP(Tableau1[[#This Row],[Key(Compte ILN - shipper - POL)]],'DATA ILN'!B:J,9,FALSE))</f>
        <v>#N/A</v>
      </c>
      <c r="S297" s="50" t="e">
        <f>IFERROR(VLOOKUP(Tableau1[[#This Row],[Key(Compte ILN - shipper - POL - plant)]],'DATA ILN'!A:K,11,FALSE),VLOOKUP(Tableau1[[#This Row],[Key(Compte ILN - shipper - POL)]],'DATA ILN'!B:K,10,FALSE))</f>
        <v>#N/A</v>
      </c>
      <c r="T297" s="50" t="e">
        <f>IFERROR(VLOOKUP(Tableau1[[#This Row],[Key(Compte ILN - shipper - POL - plant)]],'DATA ILN'!A:L,12,FALSE),VLOOKUP(Tableau1[[#This Row],[Key(Compte ILN - shipper - POL)]],'DATA ILN'!B:L,11,FALSE))</f>
        <v>#N/A</v>
      </c>
      <c r="U297" s="50" t="e">
        <f>Tableau1[[#This Row],[Day ILN Order]]+Tableau1[[#This Row],[Delivery time to ILN/Shipper]]-1</f>
        <v>#N/A</v>
      </c>
      <c r="V297" s="50" t="e">
        <f>IFERROR(VLOOKUP(Tableau1[[#This Row],[Key(Compte ILN - shipper - POL - plant)]],'DATA ILN'!A:N,14,FALSE),VLOOKUP(Tableau1[[#This Row],[Key(Compte ILN - shipper - POL)]],'DATA ILN'!B:N,13,FALSE))</f>
        <v>#N/A</v>
      </c>
      <c r="W297" s="50" t="e">
        <f>IFERROR(VLOOKUP(Tableau1[[#This Row],[Key(Compte ILN - shipper - POL - plant)]],'DATA ILN'!A:P,16,FALSE),VLOOKUP(Tableau1[[#This Row],[Key(Compte ILN - shipper - POL)]],'DATA ILN'!B:P,15,FALSE))</f>
        <v>#N/A</v>
      </c>
      <c r="X297" s="283"/>
      <c r="Y297" s="489">
        <f>IFERROR(VLOOKUP(Tableau1[[#This Row],[Name Shipper]],Plant_AILN!L:M,2,FALSE),0)</f>
        <v>0</v>
      </c>
      <c r="Z297" s="358"/>
      <c r="AA297" s="353" t="e">
        <f ca="1">VLOOKUP(Tableau1[[#This Row],[Key(ID-Actif)]],'DATA BTO'!A:N,5,FALSE)</f>
        <v>#N/A</v>
      </c>
      <c r="AB297" s="3" t="e">
        <f ca="1">VLOOKUP(Tableau1[[#This Row],[Key(ID-Actif)]],'DATA BTO'!A:N,6,FALSE)</f>
        <v>#N/A</v>
      </c>
      <c r="AC297" s="50" t="e">
        <f ca="1">VLOOKUP(Tableau1[[#This Row],[Key(ID-Actif)]],'DATA BTO'!A:N,7,FALSE)</f>
        <v>#N/A</v>
      </c>
      <c r="AD297" s="50" t="e">
        <f ca="1">VLOOKUP(Tableau1[[#This Row],[Key(ID-Actif)]],'DATA BTO'!A:N,8,FALSE)</f>
        <v>#N/A</v>
      </c>
      <c r="AE297" s="406" t="e">
        <f ca="1">IF(Tableau1[[#This Row],[First Day to POL]]&lt;=Tableau1[[#This Row],[Day Cut Off]],Tableau1[[#This Row],[Day ETD]],Tableau1[[#This Row],[Day ETD]]+7)</f>
        <v>#N/A</v>
      </c>
      <c r="AF297" s="50" t="e">
        <f ca="1">VLOOKUP(Tableau1[[#This Row],[Key(ID-Actif)]],'DATA BTO'!A:N,9,FALSE)</f>
        <v>#N/A</v>
      </c>
      <c r="AG297" s="3" t="e">
        <f ca="1">VLOOKUP(Tableau1[[#This Row],[Key(ID-Actif)]],'DATA BTO'!A:N,10,FALSE)</f>
        <v>#N/A</v>
      </c>
      <c r="AH297" s="3" t="e">
        <f ca="1">VLOOKUP(Tableau1[[#This Row],[Key(ID-Actif)]],'DATA BTO'!A:N,11,FALSE)</f>
        <v>#N/A</v>
      </c>
      <c r="AI297" s="50" t="e">
        <f ca="1">VLOOKUP(Tableau1[[#This Row],[Key(ID-Actif)]],'DATA BTO'!A:N,12,FALSE)</f>
        <v>#N/A</v>
      </c>
      <c r="AJ297" s="53" t="e">
        <f ca="1">VLOOKUP(Tableau1[[#This Row],[Key(ID-Actif)]],'DATA BTO'!A:N,14,FALSE)</f>
        <v>#N/A</v>
      </c>
      <c r="AK297" s="54" t="e">
        <f ca="1">VLOOKUP(Tableau1[[#This Row],[Key(POD -PFI- Usine)]],'DATA Consignee'!A:F,6,FALSE)</f>
        <v>#N/A</v>
      </c>
      <c r="AL297" s="283"/>
      <c r="AM297" s="490" t="str">
        <f>IF(Tableau1[[#This Row],[Name PFI/CDD]]="","-",VLOOKUP(Tableau1[[#This Row],[Name PFI/CDD]],Plant_AILN!I:J,2,FALSE))</f>
        <v>-</v>
      </c>
      <c r="AN29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7" s="2" t="e">
        <f ca="1">VLOOKUP(Tableau1[[#This Row],[Key(POD -PFI- Usine)]],'DATA Consignee'!A:J,10,FALSE)</f>
        <v>#N/A</v>
      </c>
      <c r="AQ297" s="50" t="e">
        <f ca="1">VLOOKUP(Tableau1[[#This Row],[Key(POD -PFI- Usine)]],'DATA Consignee'!A:N,14,FALSE)</f>
        <v>#N/A</v>
      </c>
      <c r="AR29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7" s="50" t="e">
        <f ca="1">Tableau1[[#This Row],[Transit time]]+Tableau1[[#This Row],[Time for security]]+Tableau1[[#This Row],[Time for security2 buffer]]</f>
        <v>#N/A</v>
      </c>
      <c r="AU29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7" s="50" t="e">
        <f ca="1">Tableau1[[#This Row],[Leadtime SI2C]]+Tableau1[[#This Row],[First Receipt Days]]-Tableau1[[#This Row],[Day Customer Order]]+1</f>
        <v>#N/A</v>
      </c>
      <c r="AW297" s="117" t="e">
        <f ca="1">IF(Tableau1[[#This Row],[Name ILN]]&lt;&gt;"SFK Freight Forwarder",Tableau1[[#This Row],[Cust. Leadtime]],Tableau1[[#This Row],[Leadtime SI2C]])</f>
        <v>#N/A</v>
      </c>
      <c r="AX297" s="57" t="e">
        <f>VLOOKUP(Tableau1[[#This Row],[ID]],'DATA BTO'!B:P,15,FALSE)</f>
        <v>#N/A</v>
      </c>
      <c r="AY297" s="328" t="e">
        <f ca="1">IFERROR(VLOOKUP(Tableau1[[#This Row],[Key(ID-Actif)]],'DATA BTO'!A:N,4,FALSE),VLOOKUP(Tableau1[[#This Row],[ID]],'DATA BTO'!B:N,3,FALSE))</f>
        <v>#N/A</v>
      </c>
      <c r="AZ29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7" s="8" t="s">
        <v>192</v>
      </c>
    </row>
    <row r="298" spans="2:57">
      <c r="B298" s="405" t="str">
        <f>_xlfn.CONCAT(Tableau1[[#This Row],[Name ILN]],"-",Tableau1[[#This Row],[Name Shipper]],"-",Tableau1[[#This Row],[Name Site]])</f>
        <v>--</v>
      </c>
      <c r="C298" s="64" t="e">
        <f>_xlfn.CONCAT(Tableau1[[#This Row],[Compte ILN]],"-",Tableau1[[#This Row],[Compte Shipper]],"-",Tableau1[[#This Row],[POL]],"-",Tableau1[[#This Row],[Compte Consignee]])</f>
        <v>#N/A</v>
      </c>
      <c r="D298" s="64" t="e">
        <f>_xlfn.CONCAT(Tableau1[[#This Row],[Compte ILN]],"-",Tableau1[[#This Row],[Compte Shipper]],"-",Tableau1[[#This Row],[POL]])</f>
        <v>#N/A</v>
      </c>
      <c r="E298" s="128" t="e">
        <f ca="1">_xlfn.CONCAT(Tableau1[[#This Row],[POL]],"-",Tableau1[[#This Row],[Carrier]],"-",Tableau1[[#This Row],[POD]])</f>
        <v>#N/A</v>
      </c>
      <c r="F298" s="64" t="str">
        <f>_xlfn.CONCAT(Tableau1[[#This Row],[ID]],"-","Actif")</f>
        <v>-Actif</v>
      </c>
      <c r="G298" s="64" t="e">
        <f ca="1">_xlfn.CONCAT(Tableau1[[#This Row],[POD]],"-",Tableau1[[#This Row],[Code PFI]],"-",Tableau1[[#This Row],[Compte Consignee]])</f>
        <v>#N/A</v>
      </c>
      <c r="H29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8" s="117" t="str">
        <f ca="1">IF(COUNTIF(I:I,Tableau1[[#This Row],[Plant-ILN-shipper-POL-Carrier-POD-PFI]])=1,"Non","Oui")</f>
        <v>Oui</v>
      </c>
      <c r="K298" s="126" t="e">
        <f>VLOOKUP(Tableau1[[#This Row],[Name Site]],Plant_AILN!A:D,4,FALSE)</f>
        <v>#N/A</v>
      </c>
      <c r="L298" s="363"/>
      <c r="M298" s="492" t="e">
        <f>VLOOKUP(Tableau1[[#This Row],[Name Site]],Plant_AILN!A:C,3,FALSE)</f>
        <v>#N/A</v>
      </c>
      <c r="N298" s="55" t="e">
        <f>VLOOKUP(Tableau1[[#This Row],[Compte Consignee]],Order!C:D,2,FALSE)</f>
        <v>#N/A</v>
      </c>
      <c r="O298" s="122"/>
      <c r="P298" s="481" t="e">
        <f>VLOOKUP(Tableau1[[#This Row],[Name ILN]],Plant_AILN!F:G,2,FALSE)</f>
        <v>#N/A</v>
      </c>
      <c r="Q298" s="50" t="e">
        <f>VLOOKUP(Tableau1[[#This Row],[Compte ILN]],'DATA ILN'!D:I,6,FALSE)</f>
        <v>#N/A</v>
      </c>
      <c r="R298" s="50" t="e">
        <f>IFERROR(VLOOKUP(Tableau1[[#This Row],[Key(Compte ILN - shipper - POL - plant)]],'DATA ILN'!A:J,10,FALSE),VLOOKUP(Tableau1[[#This Row],[Key(Compte ILN - shipper - POL)]],'DATA ILN'!B:J,9,FALSE))</f>
        <v>#N/A</v>
      </c>
      <c r="S298" s="50" t="e">
        <f>IFERROR(VLOOKUP(Tableau1[[#This Row],[Key(Compte ILN - shipper - POL - plant)]],'DATA ILN'!A:K,11,FALSE),VLOOKUP(Tableau1[[#This Row],[Key(Compte ILN - shipper - POL)]],'DATA ILN'!B:K,10,FALSE))</f>
        <v>#N/A</v>
      </c>
      <c r="T298" s="50" t="e">
        <f>IFERROR(VLOOKUP(Tableau1[[#This Row],[Key(Compte ILN - shipper - POL - plant)]],'DATA ILN'!A:L,12,FALSE),VLOOKUP(Tableau1[[#This Row],[Key(Compte ILN - shipper - POL)]],'DATA ILN'!B:L,11,FALSE))</f>
        <v>#N/A</v>
      </c>
      <c r="U298" s="50" t="e">
        <f>Tableau1[[#This Row],[Day ILN Order]]+Tableau1[[#This Row],[Delivery time to ILN/Shipper]]-1</f>
        <v>#N/A</v>
      </c>
      <c r="V298" s="50" t="e">
        <f>IFERROR(VLOOKUP(Tableau1[[#This Row],[Key(Compte ILN - shipper - POL - plant)]],'DATA ILN'!A:N,14,FALSE),VLOOKUP(Tableau1[[#This Row],[Key(Compte ILN - shipper - POL)]],'DATA ILN'!B:N,13,FALSE))</f>
        <v>#N/A</v>
      </c>
      <c r="W298" s="50" t="e">
        <f>IFERROR(VLOOKUP(Tableau1[[#This Row],[Key(Compte ILN - shipper - POL - plant)]],'DATA ILN'!A:P,16,FALSE),VLOOKUP(Tableau1[[#This Row],[Key(Compte ILN - shipper - POL)]],'DATA ILN'!B:P,15,FALSE))</f>
        <v>#N/A</v>
      </c>
      <c r="X298" s="283"/>
      <c r="Y298" s="489">
        <f>IFERROR(VLOOKUP(Tableau1[[#This Row],[Name Shipper]],Plant_AILN!L:M,2,FALSE),0)</f>
        <v>0</v>
      </c>
      <c r="Z298" s="358"/>
      <c r="AA298" s="353" t="e">
        <f ca="1">VLOOKUP(Tableau1[[#This Row],[Key(ID-Actif)]],'DATA BTO'!A:N,5,FALSE)</f>
        <v>#N/A</v>
      </c>
      <c r="AB298" s="3" t="e">
        <f ca="1">VLOOKUP(Tableau1[[#This Row],[Key(ID-Actif)]],'DATA BTO'!A:N,6,FALSE)</f>
        <v>#N/A</v>
      </c>
      <c r="AC298" s="50" t="e">
        <f ca="1">VLOOKUP(Tableau1[[#This Row],[Key(ID-Actif)]],'DATA BTO'!A:N,7,FALSE)</f>
        <v>#N/A</v>
      </c>
      <c r="AD298" s="50" t="e">
        <f ca="1">VLOOKUP(Tableau1[[#This Row],[Key(ID-Actif)]],'DATA BTO'!A:N,8,FALSE)</f>
        <v>#N/A</v>
      </c>
      <c r="AE298" s="406" t="e">
        <f ca="1">IF(Tableau1[[#This Row],[First Day to POL]]&lt;=Tableau1[[#This Row],[Day Cut Off]],Tableau1[[#This Row],[Day ETD]],Tableau1[[#This Row],[Day ETD]]+7)</f>
        <v>#N/A</v>
      </c>
      <c r="AF298" s="50" t="e">
        <f ca="1">VLOOKUP(Tableau1[[#This Row],[Key(ID-Actif)]],'DATA BTO'!A:N,9,FALSE)</f>
        <v>#N/A</v>
      </c>
      <c r="AG298" s="3" t="e">
        <f ca="1">VLOOKUP(Tableau1[[#This Row],[Key(ID-Actif)]],'DATA BTO'!A:N,10,FALSE)</f>
        <v>#N/A</v>
      </c>
      <c r="AH298" s="3" t="e">
        <f ca="1">VLOOKUP(Tableau1[[#This Row],[Key(ID-Actif)]],'DATA BTO'!A:N,11,FALSE)</f>
        <v>#N/A</v>
      </c>
      <c r="AI298" s="50" t="e">
        <f ca="1">VLOOKUP(Tableau1[[#This Row],[Key(ID-Actif)]],'DATA BTO'!A:N,12,FALSE)</f>
        <v>#N/A</v>
      </c>
      <c r="AJ298" s="53" t="e">
        <f ca="1">VLOOKUP(Tableau1[[#This Row],[Key(ID-Actif)]],'DATA BTO'!A:N,14,FALSE)</f>
        <v>#N/A</v>
      </c>
      <c r="AK298" s="54" t="e">
        <f ca="1">VLOOKUP(Tableau1[[#This Row],[Key(POD -PFI- Usine)]],'DATA Consignee'!A:F,6,FALSE)</f>
        <v>#N/A</v>
      </c>
      <c r="AL298" s="283"/>
      <c r="AM298" s="490" t="str">
        <f>IF(Tableau1[[#This Row],[Name PFI/CDD]]="","-",VLOOKUP(Tableau1[[#This Row],[Name PFI/CDD]],Plant_AILN!I:J,2,FALSE))</f>
        <v>-</v>
      </c>
      <c r="AN29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8" s="2" t="e">
        <f ca="1">VLOOKUP(Tableau1[[#This Row],[Key(POD -PFI- Usine)]],'DATA Consignee'!A:J,10,FALSE)</f>
        <v>#N/A</v>
      </c>
      <c r="AQ298" s="50" t="e">
        <f ca="1">VLOOKUP(Tableau1[[#This Row],[Key(POD -PFI- Usine)]],'DATA Consignee'!A:N,14,FALSE)</f>
        <v>#N/A</v>
      </c>
      <c r="AR29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8" s="50" t="e">
        <f ca="1">Tableau1[[#This Row],[Transit time]]+Tableau1[[#This Row],[Time for security]]+Tableau1[[#This Row],[Time for security2 buffer]]</f>
        <v>#N/A</v>
      </c>
      <c r="AU29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8" s="50" t="e">
        <f ca="1">Tableau1[[#This Row],[Leadtime SI2C]]+Tableau1[[#This Row],[First Receipt Days]]-Tableau1[[#This Row],[Day Customer Order]]+1</f>
        <v>#N/A</v>
      </c>
      <c r="AW298" s="117" t="e">
        <f ca="1">IF(Tableau1[[#This Row],[Name ILN]]&lt;&gt;"SFK Freight Forwarder",Tableau1[[#This Row],[Cust. Leadtime]],Tableau1[[#This Row],[Leadtime SI2C]])</f>
        <v>#N/A</v>
      </c>
      <c r="AX298" s="57" t="e">
        <f>VLOOKUP(Tableau1[[#This Row],[ID]],'DATA BTO'!B:P,15,FALSE)</f>
        <v>#N/A</v>
      </c>
      <c r="AY298" s="328" t="e">
        <f ca="1">IFERROR(VLOOKUP(Tableau1[[#This Row],[Key(ID-Actif)]],'DATA BTO'!A:N,4,FALSE),VLOOKUP(Tableau1[[#This Row],[ID]],'DATA BTO'!B:N,3,FALSE))</f>
        <v>#N/A</v>
      </c>
      <c r="AZ29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8" s="8" t="s">
        <v>192</v>
      </c>
    </row>
    <row r="299" spans="2:57">
      <c r="B299" s="405" t="str">
        <f>_xlfn.CONCAT(Tableau1[[#This Row],[Name ILN]],"-",Tableau1[[#This Row],[Name Shipper]],"-",Tableau1[[#This Row],[Name Site]])</f>
        <v>--</v>
      </c>
      <c r="C299" s="64" t="e">
        <f>_xlfn.CONCAT(Tableau1[[#This Row],[Compte ILN]],"-",Tableau1[[#This Row],[Compte Shipper]],"-",Tableau1[[#This Row],[POL]],"-",Tableau1[[#This Row],[Compte Consignee]])</f>
        <v>#N/A</v>
      </c>
      <c r="D299" s="64" t="e">
        <f>_xlfn.CONCAT(Tableau1[[#This Row],[Compte ILN]],"-",Tableau1[[#This Row],[Compte Shipper]],"-",Tableau1[[#This Row],[POL]])</f>
        <v>#N/A</v>
      </c>
      <c r="E299" s="128" t="e">
        <f ca="1">_xlfn.CONCAT(Tableau1[[#This Row],[POL]],"-",Tableau1[[#This Row],[Carrier]],"-",Tableau1[[#This Row],[POD]])</f>
        <v>#N/A</v>
      </c>
      <c r="F299" s="64" t="str">
        <f>_xlfn.CONCAT(Tableau1[[#This Row],[ID]],"-","Actif")</f>
        <v>-Actif</v>
      </c>
      <c r="G299" s="64" t="e">
        <f ca="1">_xlfn.CONCAT(Tableau1[[#This Row],[POD]],"-",Tableau1[[#This Row],[Code PFI]],"-",Tableau1[[#This Row],[Compte Consignee]])</f>
        <v>#N/A</v>
      </c>
      <c r="H29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29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299" s="117" t="str">
        <f ca="1">IF(COUNTIF(I:I,Tableau1[[#This Row],[Plant-ILN-shipper-POL-Carrier-POD-PFI]])=1,"Non","Oui")</f>
        <v>Oui</v>
      </c>
      <c r="K299" s="126" t="e">
        <f>VLOOKUP(Tableau1[[#This Row],[Name Site]],Plant_AILN!A:D,4,FALSE)</f>
        <v>#N/A</v>
      </c>
      <c r="L299" s="363"/>
      <c r="M299" s="492" t="e">
        <f>VLOOKUP(Tableau1[[#This Row],[Name Site]],Plant_AILN!A:C,3,FALSE)</f>
        <v>#N/A</v>
      </c>
      <c r="N299" s="55" t="e">
        <f>VLOOKUP(Tableau1[[#This Row],[Compte Consignee]],Order!C:D,2,FALSE)</f>
        <v>#N/A</v>
      </c>
      <c r="O299" s="122"/>
      <c r="P299" s="481" t="e">
        <f>VLOOKUP(Tableau1[[#This Row],[Name ILN]],Plant_AILN!F:G,2,FALSE)</f>
        <v>#N/A</v>
      </c>
      <c r="Q299" s="50" t="e">
        <f>VLOOKUP(Tableau1[[#This Row],[Compte ILN]],'DATA ILN'!D:I,6,FALSE)</f>
        <v>#N/A</v>
      </c>
      <c r="R299" s="50" t="e">
        <f>IFERROR(VLOOKUP(Tableau1[[#This Row],[Key(Compte ILN - shipper - POL - plant)]],'DATA ILN'!A:J,10,FALSE),VLOOKUP(Tableau1[[#This Row],[Key(Compte ILN - shipper - POL)]],'DATA ILN'!B:J,9,FALSE))</f>
        <v>#N/A</v>
      </c>
      <c r="S299" s="50" t="e">
        <f>IFERROR(VLOOKUP(Tableau1[[#This Row],[Key(Compte ILN - shipper - POL - plant)]],'DATA ILN'!A:K,11,FALSE),VLOOKUP(Tableau1[[#This Row],[Key(Compte ILN - shipper - POL)]],'DATA ILN'!B:K,10,FALSE))</f>
        <v>#N/A</v>
      </c>
      <c r="T299" s="50" t="e">
        <f>IFERROR(VLOOKUP(Tableau1[[#This Row],[Key(Compte ILN - shipper - POL - plant)]],'DATA ILN'!A:L,12,FALSE),VLOOKUP(Tableau1[[#This Row],[Key(Compte ILN - shipper - POL)]],'DATA ILN'!B:L,11,FALSE))</f>
        <v>#N/A</v>
      </c>
      <c r="U299" s="50" t="e">
        <f>Tableau1[[#This Row],[Day ILN Order]]+Tableau1[[#This Row],[Delivery time to ILN/Shipper]]-1</f>
        <v>#N/A</v>
      </c>
      <c r="V299" s="50" t="e">
        <f>IFERROR(VLOOKUP(Tableau1[[#This Row],[Key(Compte ILN - shipper - POL - plant)]],'DATA ILN'!A:N,14,FALSE),VLOOKUP(Tableau1[[#This Row],[Key(Compte ILN - shipper - POL)]],'DATA ILN'!B:N,13,FALSE))</f>
        <v>#N/A</v>
      </c>
      <c r="W299" s="50" t="e">
        <f>IFERROR(VLOOKUP(Tableau1[[#This Row],[Key(Compte ILN - shipper - POL - plant)]],'DATA ILN'!A:P,16,FALSE),VLOOKUP(Tableau1[[#This Row],[Key(Compte ILN - shipper - POL)]],'DATA ILN'!B:P,15,FALSE))</f>
        <v>#N/A</v>
      </c>
      <c r="X299" s="283"/>
      <c r="Y299" s="489">
        <f>IFERROR(VLOOKUP(Tableau1[[#This Row],[Name Shipper]],Plant_AILN!L:M,2,FALSE),0)</f>
        <v>0</v>
      </c>
      <c r="Z299" s="358"/>
      <c r="AA299" s="353" t="e">
        <f ca="1">VLOOKUP(Tableau1[[#This Row],[Key(ID-Actif)]],'DATA BTO'!A:N,5,FALSE)</f>
        <v>#N/A</v>
      </c>
      <c r="AB299" s="3" t="e">
        <f ca="1">VLOOKUP(Tableau1[[#This Row],[Key(ID-Actif)]],'DATA BTO'!A:N,6,FALSE)</f>
        <v>#N/A</v>
      </c>
      <c r="AC299" s="50" t="e">
        <f ca="1">VLOOKUP(Tableau1[[#This Row],[Key(ID-Actif)]],'DATA BTO'!A:N,7,FALSE)</f>
        <v>#N/A</v>
      </c>
      <c r="AD299" s="50" t="e">
        <f ca="1">VLOOKUP(Tableau1[[#This Row],[Key(ID-Actif)]],'DATA BTO'!A:N,8,FALSE)</f>
        <v>#N/A</v>
      </c>
      <c r="AE299" s="406" t="e">
        <f ca="1">IF(Tableau1[[#This Row],[First Day to POL]]&lt;=Tableau1[[#This Row],[Day Cut Off]],Tableau1[[#This Row],[Day ETD]],Tableau1[[#This Row],[Day ETD]]+7)</f>
        <v>#N/A</v>
      </c>
      <c r="AF299" s="50" t="e">
        <f ca="1">VLOOKUP(Tableau1[[#This Row],[Key(ID-Actif)]],'DATA BTO'!A:N,9,FALSE)</f>
        <v>#N/A</v>
      </c>
      <c r="AG299" s="3" t="e">
        <f ca="1">VLOOKUP(Tableau1[[#This Row],[Key(ID-Actif)]],'DATA BTO'!A:N,10,FALSE)</f>
        <v>#N/A</v>
      </c>
      <c r="AH299" s="3" t="e">
        <f ca="1">VLOOKUP(Tableau1[[#This Row],[Key(ID-Actif)]],'DATA BTO'!A:N,11,FALSE)</f>
        <v>#N/A</v>
      </c>
      <c r="AI299" s="50" t="e">
        <f ca="1">VLOOKUP(Tableau1[[#This Row],[Key(ID-Actif)]],'DATA BTO'!A:N,12,FALSE)</f>
        <v>#N/A</v>
      </c>
      <c r="AJ299" s="53" t="e">
        <f ca="1">VLOOKUP(Tableau1[[#This Row],[Key(ID-Actif)]],'DATA BTO'!A:N,14,FALSE)</f>
        <v>#N/A</v>
      </c>
      <c r="AK299" s="54" t="e">
        <f ca="1">VLOOKUP(Tableau1[[#This Row],[Key(POD -PFI- Usine)]],'DATA Consignee'!A:F,6,FALSE)</f>
        <v>#N/A</v>
      </c>
      <c r="AL299" s="283"/>
      <c r="AM299" s="490" t="str">
        <f>IF(Tableau1[[#This Row],[Name PFI/CDD]]="","-",VLOOKUP(Tableau1[[#This Row],[Name PFI/CDD]],Plant_AILN!I:J,2,FALSE))</f>
        <v>-</v>
      </c>
      <c r="AN29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29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299" s="2" t="e">
        <f ca="1">VLOOKUP(Tableau1[[#This Row],[Key(POD -PFI- Usine)]],'DATA Consignee'!A:J,10,FALSE)</f>
        <v>#N/A</v>
      </c>
      <c r="AQ299" s="50" t="e">
        <f ca="1">VLOOKUP(Tableau1[[#This Row],[Key(POD -PFI- Usine)]],'DATA Consignee'!A:N,14,FALSE)</f>
        <v>#N/A</v>
      </c>
      <c r="AR29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29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299" s="50" t="e">
        <f ca="1">Tableau1[[#This Row],[Transit time]]+Tableau1[[#This Row],[Time for security]]+Tableau1[[#This Row],[Time for security2 buffer]]</f>
        <v>#N/A</v>
      </c>
      <c r="AU29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299" s="50" t="e">
        <f ca="1">Tableau1[[#This Row],[Leadtime SI2C]]+Tableau1[[#This Row],[First Receipt Days]]-Tableau1[[#This Row],[Day Customer Order]]+1</f>
        <v>#N/A</v>
      </c>
      <c r="AW299" s="117" t="e">
        <f ca="1">IF(Tableau1[[#This Row],[Name ILN]]&lt;&gt;"SFK Freight Forwarder",Tableau1[[#This Row],[Cust. Leadtime]],Tableau1[[#This Row],[Leadtime SI2C]])</f>
        <v>#N/A</v>
      </c>
      <c r="AX299" s="57" t="e">
        <f>VLOOKUP(Tableau1[[#This Row],[ID]],'DATA BTO'!B:P,15,FALSE)</f>
        <v>#N/A</v>
      </c>
      <c r="AY299" s="328" t="e">
        <f ca="1">IFERROR(VLOOKUP(Tableau1[[#This Row],[Key(ID-Actif)]],'DATA BTO'!A:N,4,FALSE),VLOOKUP(Tableau1[[#This Row],[ID]],'DATA BTO'!B:N,3,FALSE))</f>
        <v>#N/A</v>
      </c>
      <c r="AZ29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29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29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9" s="50"/>
    </row>
    <row r="300" spans="2:57">
      <c r="B300" s="64" t="str">
        <f>_xlfn.CONCAT(Tableau1[[#This Row],[Name ILN]],"-",Tableau1[[#This Row],[Name Shipper]],"-",Tableau1[[#This Row],[Name Site]])</f>
        <v>--</v>
      </c>
      <c r="C300" s="64" t="e">
        <f>_xlfn.CONCAT(Tableau1[[#This Row],[Compte ILN]],"-",Tableau1[[#This Row],[Compte Shipper]],"-",Tableau1[[#This Row],[POL]],"-",Tableau1[[#This Row],[Compte Consignee]])</f>
        <v>#N/A</v>
      </c>
      <c r="D300" s="64" t="e">
        <f>_xlfn.CONCAT(Tableau1[[#This Row],[Compte ILN]],"-",Tableau1[[#This Row],[Compte Shipper]],"-",Tableau1[[#This Row],[POL]])</f>
        <v>#N/A</v>
      </c>
      <c r="E300" s="128" t="e">
        <f ca="1">_xlfn.CONCAT(Tableau1[[#This Row],[POL]],"-",Tableau1[[#This Row],[Carrier]],"-",Tableau1[[#This Row],[POD]])</f>
        <v>#N/A</v>
      </c>
      <c r="F300" s="64" t="str">
        <f>_xlfn.CONCAT(Tableau1[[#This Row],[ID]],"-","Actif")</f>
        <v>-Actif</v>
      </c>
      <c r="G300" s="64" t="e">
        <f ca="1">_xlfn.CONCAT(Tableau1[[#This Row],[POD]],"-",Tableau1[[#This Row],[Code PFI]],"-",Tableau1[[#This Row],[Compte Consignee]])</f>
        <v>#N/A</v>
      </c>
      <c r="H30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0" s="117" t="str">
        <f ca="1">IF(COUNTIF(I:I,Tableau1[[#This Row],[Plant-ILN-shipper-POL-Carrier-POD-PFI]])=1,"Non","Oui")</f>
        <v>Oui</v>
      </c>
      <c r="K300" s="398" t="e">
        <f>VLOOKUP(Tableau1[[#This Row],[Name Site]],Plant_AILN!A:D,4,FALSE)</f>
        <v>#N/A</v>
      </c>
      <c r="L300" s="363"/>
      <c r="M300" s="492" t="e">
        <f>VLOOKUP(Tableau1[[#This Row],[Name Site]],Plant_AILN!A:C,3,FALSE)</f>
        <v>#N/A</v>
      </c>
      <c r="N300" s="55" t="e">
        <f>VLOOKUP(Tableau1[[#This Row],[Compte Consignee]],Order!C:D,2,FALSE)</f>
        <v>#N/A</v>
      </c>
      <c r="O300" s="122"/>
      <c r="P300" s="481" t="e">
        <f>VLOOKUP(Tableau1[[#This Row],[Name ILN]],Plant_AILN!F:G,2,FALSE)</f>
        <v>#N/A</v>
      </c>
      <c r="Q300" s="50" t="e">
        <f>VLOOKUP(Tableau1[[#This Row],[Compte ILN]],'DATA ILN'!D:I,6,FALSE)</f>
        <v>#N/A</v>
      </c>
      <c r="R300" s="50" t="e">
        <f>IFERROR(VLOOKUP(Tableau1[[#This Row],[Key(Compte ILN - shipper - POL - plant)]],'DATA ILN'!A:J,10,FALSE),VLOOKUP(Tableau1[[#This Row],[Key(Compte ILN - shipper - POL)]],'DATA ILN'!B:J,9,FALSE))</f>
        <v>#N/A</v>
      </c>
      <c r="S300" s="50" t="e">
        <f>IFERROR(VLOOKUP(Tableau1[[#This Row],[Key(Compte ILN - shipper - POL - plant)]],'DATA ILN'!A:K,11,FALSE),VLOOKUP(Tableau1[[#This Row],[Key(Compte ILN - shipper - POL)]],'DATA ILN'!B:K,10,FALSE))</f>
        <v>#N/A</v>
      </c>
      <c r="T300" s="50" t="e">
        <f>IFERROR(VLOOKUP(Tableau1[[#This Row],[Key(Compte ILN - shipper - POL - plant)]],'DATA ILN'!A:L,12,FALSE),VLOOKUP(Tableau1[[#This Row],[Key(Compte ILN - shipper - POL)]],'DATA ILN'!B:L,11,FALSE))</f>
        <v>#N/A</v>
      </c>
      <c r="U300" s="50" t="e">
        <f>Tableau1[[#This Row],[Day ILN Order]]+Tableau1[[#This Row],[Delivery time to ILN/Shipper]]-1</f>
        <v>#N/A</v>
      </c>
      <c r="V300" s="50" t="e">
        <f>IFERROR(VLOOKUP(Tableau1[[#This Row],[Key(Compte ILN - shipper - POL - plant)]],'DATA ILN'!A:N,14,FALSE),VLOOKUP(Tableau1[[#This Row],[Key(Compte ILN - shipper - POL)]],'DATA ILN'!B:N,13,FALSE))</f>
        <v>#N/A</v>
      </c>
      <c r="W300" s="50" t="e">
        <f>IFERROR(VLOOKUP(Tableau1[[#This Row],[Key(Compte ILN - shipper - POL - plant)]],'DATA ILN'!A:P,16,FALSE),VLOOKUP(Tableau1[[#This Row],[Key(Compte ILN - shipper - POL)]],'DATA ILN'!B:P,15,FALSE))</f>
        <v>#N/A</v>
      </c>
      <c r="X300" s="283"/>
      <c r="Y300" s="489">
        <f>IFERROR(VLOOKUP(Tableau1[[#This Row],[Name Shipper]],Plant_AILN!L:M,2,FALSE),0)</f>
        <v>0</v>
      </c>
      <c r="Z300" s="358"/>
      <c r="AA300" s="353" t="e">
        <f ca="1">VLOOKUP(Tableau1[[#This Row],[Key(ID-Actif)]],'DATA BTO'!A:N,5,FALSE)</f>
        <v>#N/A</v>
      </c>
      <c r="AB300" s="3" t="e">
        <f ca="1">VLOOKUP(Tableau1[[#This Row],[Key(ID-Actif)]],'DATA BTO'!A:N,6,FALSE)</f>
        <v>#N/A</v>
      </c>
      <c r="AC300" s="50" t="e">
        <f ca="1">VLOOKUP(Tableau1[[#This Row],[Key(ID-Actif)]],'DATA BTO'!A:N,7,FALSE)</f>
        <v>#N/A</v>
      </c>
      <c r="AD300" s="50" t="e">
        <f ca="1">VLOOKUP(Tableau1[[#This Row],[Key(ID-Actif)]],'DATA BTO'!A:N,8,FALSE)</f>
        <v>#N/A</v>
      </c>
      <c r="AE300" s="406" t="e">
        <f ca="1">IF(Tableau1[[#This Row],[First Day to POL]]&lt;=Tableau1[[#This Row],[Day Cut Off]],Tableau1[[#This Row],[Day ETD]],Tableau1[[#This Row],[Day ETD]]+7)</f>
        <v>#N/A</v>
      </c>
      <c r="AF300" s="50" t="e">
        <f ca="1">VLOOKUP(Tableau1[[#This Row],[Key(ID-Actif)]],'DATA BTO'!A:N,9,FALSE)</f>
        <v>#N/A</v>
      </c>
      <c r="AG300" s="3" t="e">
        <f ca="1">VLOOKUP(Tableau1[[#This Row],[Key(ID-Actif)]],'DATA BTO'!A:N,10,FALSE)</f>
        <v>#N/A</v>
      </c>
      <c r="AH300" s="3" t="e">
        <f ca="1">VLOOKUP(Tableau1[[#This Row],[Key(ID-Actif)]],'DATA BTO'!A:N,11,FALSE)</f>
        <v>#N/A</v>
      </c>
      <c r="AI300" s="50" t="e">
        <f ca="1">VLOOKUP(Tableau1[[#This Row],[Key(ID-Actif)]],'DATA BTO'!A:N,12,FALSE)</f>
        <v>#N/A</v>
      </c>
      <c r="AJ300" s="53" t="e">
        <f ca="1">VLOOKUP(Tableau1[[#This Row],[Key(ID-Actif)]],'DATA BTO'!A:N,14,FALSE)</f>
        <v>#N/A</v>
      </c>
      <c r="AK300" s="54" t="e">
        <f ca="1">VLOOKUP(Tableau1[[#This Row],[Key(POD -PFI- Usine)]],'DATA Consignee'!A:F,6,FALSE)</f>
        <v>#N/A</v>
      </c>
      <c r="AL300" s="283"/>
      <c r="AM300" s="490" t="str">
        <f>IF(Tableau1[[#This Row],[Name PFI/CDD]]="","-",VLOOKUP(Tableau1[[#This Row],[Name PFI/CDD]],Plant_AILN!I:J,2,FALSE))</f>
        <v>-</v>
      </c>
      <c r="AN30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0" s="2" t="e">
        <f ca="1">VLOOKUP(Tableau1[[#This Row],[Key(POD -PFI- Usine)]],'DATA Consignee'!A:J,10,FALSE)</f>
        <v>#N/A</v>
      </c>
      <c r="AQ300" s="50" t="e">
        <f ca="1">VLOOKUP(Tableau1[[#This Row],[Key(POD -PFI- Usine)]],'DATA Consignee'!A:N,14,FALSE)</f>
        <v>#N/A</v>
      </c>
      <c r="AR30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0" s="50" t="e">
        <f ca="1">Tableau1[[#This Row],[Transit time]]+Tableau1[[#This Row],[Time for security]]+Tableau1[[#This Row],[Time for security2 buffer]]</f>
        <v>#N/A</v>
      </c>
      <c r="AU30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0" s="50" t="e">
        <f ca="1">Tableau1[[#This Row],[Leadtime SI2C]]+Tableau1[[#This Row],[First Receipt Days]]-Tableau1[[#This Row],[Day Customer Order]]+1</f>
        <v>#N/A</v>
      </c>
      <c r="AW300" s="117" t="e">
        <f ca="1">IF(Tableau1[[#This Row],[Name ILN]]&lt;&gt;"SFK Freight Forwarder",Tableau1[[#This Row],[Cust. Leadtime]],Tableau1[[#This Row],[Leadtime SI2C]])</f>
        <v>#N/A</v>
      </c>
      <c r="AX300" s="57" t="e">
        <f>VLOOKUP(Tableau1[[#This Row],[ID]],'DATA BTO'!B:P,15,FALSE)</f>
        <v>#N/A</v>
      </c>
      <c r="AY300" s="328" t="e">
        <f ca="1">IFERROR(VLOOKUP(Tableau1[[#This Row],[Key(ID-Actif)]],'DATA BTO'!A:N,4,FALSE),VLOOKUP(Tableau1[[#This Row],[ID]],'DATA BTO'!B:N,3,FALSE))</f>
        <v>#N/A</v>
      </c>
      <c r="AZ30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0" s="50"/>
    </row>
    <row r="301" spans="2:57">
      <c r="B301" s="405" t="str">
        <f>_xlfn.CONCAT(Tableau1[[#This Row],[Name ILN]],"-",Tableau1[[#This Row],[Name Shipper]],"-",Tableau1[[#This Row],[Name Site]])</f>
        <v>--</v>
      </c>
      <c r="C301" s="64" t="e">
        <f>_xlfn.CONCAT(Tableau1[[#This Row],[Compte ILN]],"-",Tableau1[[#This Row],[Compte Shipper]],"-",Tableau1[[#This Row],[POL]],"-",Tableau1[[#This Row],[Compte Consignee]])</f>
        <v>#N/A</v>
      </c>
      <c r="D301" s="64" t="e">
        <f>_xlfn.CONCAT(Tableau1[[#This Row],[Compte ILN]],"-",Tableau1[[#This Row],[Compte Shipper]],"-",Tableau1[[#This Row],[POL]])</f>
        <v>#N/A</v>
      </c>
      <c r="E301" s="128" t="e">
        <f ca="1">_xlfn.CONCAT(Tableau1[[#This Row],[POL]],"-",Tableau1[[#This Row],[Carrier]],"-",Tableau1[[#This Row],[POD]])</f>
        <v>#N/A</v>
      </c>
      <c r="F301" s="64" t="str">
        <f>_xlfn.CONCAT(Tableau1[[#This Row],[ID]],"-","Actif")</f>
        <v>-Actif</v>
      </c>
      <c r="G301" s="64" t="e">
        <f ca="1">_xlfn.CONCAT(Tableau1[[#This Row],[POD]],"-",Tableau1[[#This Row],[Code PFI]],"-",Tableau1[[#This Row],[Compte Consignee]])</f>
        <v>#N/A</v>
      </c>
      <c r="H30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1" s="117" t="str">
        <f ca="1">IF(COUNTIF(I:I,Tableau1[[#This Row],[Plant-ILN-shipper-POL-Carrier-POD-PFI]])=1,"Non","Oui")</f>
        <v>Oui</v>
      </c>
      <c r="K301" s="126" t="e">
        <f>VLOOKUP(Tableau1[[#This Row],[Name Site]],Plant_AILN!A:D,4,FALSE)</f>
        <v>#N/A</v>
      </c>
      <c r="L301" s="363"/>
      <c r="M301" s="492" t="e">
        <f>VLOOKUP(Tableau1[[#This Row],[Name Site]],Plant_AILN!A:C,3,FALSE)</f>
        <v>#N/A</v>
      </c>
      <c r="N301" s="55" t="e">
        <f>VLOOKUP(Tableau1[[#This Row],[Compte Consignee]],Order!C:D,2,FALSE)</f>
        <v>#N/A</v>
      </c>
      <c r="O301" s="122"/>
      <c r="P301" s="481" t="e">
        <f>VLOOKUP(Tableau1[[#This Row],[Name ILN]],Plant_AILN!F:G,2,FALSE)</f>
        <v>#N/A</v>
      </c>
      <c r="Q301" s="50" t="e">
        <f>VLOOKUP(Tableau1[[#This Row],[Compte ILN]],'DATA ILN'!D:I,6,FALSE)</f>
        <v>#N/A</v>
      </c>
      <c r="R301" s="50" t="e">
        <f>IFERROR(VLOOKUP(Tableau1[[#This Row],[Key(Compte ILN - shipper - POL - plant)]],'DATA ILN'!A:J,10,FALSE),VLOOKUP(Tableau1[[#This Row],[Key(Compte ILN - shipper - POL)]],'DATA ILN'!B:J,9,FALSE))</f>
        <v>#N/A</v>
      </c>
      <c r="S301" s="50" t="e">
        <f>IFERROR(VLOOKUP(Tableau1[[#This Row],[Key(Compte ILN - shipper - POL - plant)]],'DATA ILN'!A:K,11,FALSE),VLOOKUP(Tableau1[[#This Row],[Key(Compte ILN - shipper - POL)]],'DATA ILN'!B:K,10,FALSE))</f>
        <v>#N/A</v>
      </c>
      <c r="T301" s="50" t="e">
        <f>IFERROR(VLOOKUP(Tableau1[[#This Row],[Key(Compte ILN - shipper - POL - plant)]],'DATA ILN'!A:L,12,FALSE),VLOOKUP(Tableau1[[#This Row],[Key(Compte ILN - shipper - POL)]],'DATA ILN'!B:L,11,FALSE))</f>
        <v>#N/A</v>
      </c>
      <c r="U301" s="50" t="e">
        <f>Tableau1[[#This Row],[Day ILN Order]]+Tableau1[[#This Row],[Delivery time to ILN/Shipper]]-1</f>
        <v>#N/A</v>
      </c>
      <c r="V301" s="50" t="e">
        <f>IFERROR(VLOOKUP(Tableau1[[#This Row],[Key(Compte ILN - shipper - POL - plant)]],'DATA ILN'!A:N,14,FALSE),VLOOKUP(Tableau1[[#This Row],[Key(Compte ILN - shipper - POL)]],'DATA ILN'!B:N,13,FALSE))</f>
        <v>#N/A</v>
      </c>
      <c r="W301" s="50" t="e">
        <f>IFERROR(VLOOKUP(Tableau1[[#This Row],[Key(Compte ILN - shipper - POL - plant)]],'DATA ILN'!A:P,16,FALSE),VLOOKUP(Tableau1[[#This Row],[Key(Compte ILN - shipper - POL)]],'DATA ILN'!B:P,15,FALSE))</f>
        <v>#N/A</v>
      </c>
      <c r="X301" s="283"/>
      <c r="Y301" s="489">
        <f>IFERROR(VLOOKUP(Tableau1[[#This Row],[Name Shipper]],Plant_AILN!L:M,2,FALSE),0)</f>
        <v>0</v>
      </c>
      <c r="Z301" s="283"/>
      <c r="AA301" s="353" t="e">
        <f ca="1">VLOOKUP(Tableau1[[#This Row],[Key(ID-Actif)]],'DATA BTO'!A:N,5,FALSE)</f>
        <v>#N/A</v>
      </c>
      <c r="AB301" s="3" t="e">
        <f ca="1">VLOOKUP(Tableau1[[#This Row],[Key(ID-Actif)]],'DATA BTO'!A:N,6,FALSE)</f>
        <v>#N/A</v>
      </c>
      <c r="AC301" s="50" t="e">
        <f ca="1">VLOOKUP(Tableau1[[#This Row],[Key(ID-Actif)]],'DATA BTO'!A:N,7,FALSE)</f>
        <v>#N/A</v>
      </c>
      <c r="AD301" s="50" t="e">
        <f ca="1">VLOOKUP(Tableau1[[#This Row],[Key(ID-Actif)]],'DATA BTO'!A:N,8,FALSE)</f>
        <v>#N/A</v>
      </c>
      <c r="AE301" s="406" t="e">
        <f ca="1">IF(Tableau1[[#This Row],[First Day to POL]]&lt;=Tableau1[[#This Row],[Day Cut Off]],Tableau1[[#This Row],[Day ETD]],Tableau1[[#This Row],[Day ETD]]+7)</f>
        <v>#N/A</v>
      </c>
      <c r="AF301" s="50" t="e">
        <f ca="1">VLOOKUP(Tableau1[[#This Row],[Key(ID-Actif)]],'DATA BTO'!A:N,9,FALSE)</f>
        <v>#N/A</v>
      </c>
      <c r="AG301" s="3" t="e">
        <f ca="1">VLOOKUP(Tableau1[[#This Row],[Key(ID-Actif)]],'DATA BTO'!A:N,10,FALSE)</f>
        <v>#N/A</v>
      </c>
      <c r="AH301" s="3" t="e">
        <f ca="1">VLOOKUP(Tableau1[[#This Row],[Key(ID-Actif)]],'DATA BTO'!A:N,11,FALSE)</f>
        <v>#N/A</v>
      </c>
      <c r="AI301" s="50" t="e">
        <f ca="1">VLOOKUP(Tableau1[[#This Row],[Key(ID-Actif)]],'DATA BTO'!A:N,12,FALSE)</f>
        <v>#N/A</v>
      </c>
      <c r="AJ301" s="53" t="e">
        <f ca="1">VLOOKUP(Tableau1[[#This Row],[Key(ID-Actif)]],'DATA BTO'!A:N,14,FALSE)</f>
        <v>#N/A</v>
      </c>
      <c r="AK301" s="54" t="e">
        <f ca="1">VLOOKUP(Tableau1[[#This Row],[Key(POD -PFI- Usine)]],'DATA Consignee'!A:F,6,FALSE)</f>
        <v>#N/A</v>
      </c>
      <c r="AL301" s="283"/>
      <c r="AM301" s="490" t="str">
        <f>IF(Tableau1[[#This Row],[Name PFI/CDD]]="","-",VLOOKUP(Tableau1[[#This Row],[Name PFI/CDD]],Plant_AILN!I:J,2,FALSE))</f>
        <v>-</v>
      </c>
      <c r="AN30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1" s="2" t="e">
        <f ca="1">VLOOKUP(Tableau1[[#This Row],[Key(POD -PFI- Usine)]],'DATA Consignee'!A:J,10,FALSE)</f>
        <v>#N/A</v>
      </c>
      <c r="AQ301" s="50" t="e">
        <f ca="1">VLOOKUP(Tableau1[[#This Row],[Key(POD -PFI- Usine)]],'DATA Consignee'!A:N,14,FALSE)</f>
        <v>#N/A</v>
      </c>
      <c r="AR30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1" s="50" t="e">
        <f ca="1">Tableau1[[#This Row],[Transit time]]+Tableau1[[#This Row],[Time for security]]+Tableau1[[#This Row],[Time for security2 buffer]]</f>
        <v>#N/A</v>
      </c>
      <c r="AU30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1" s="50" t="e">
        <f ca="1">Tableau1[[#This Row],[Leadtime SI2C]]+Tableau1[[#This Row],[First Receipt Days]]-Tableau1[[#This Row],[Day Customer Order]]+1</f>
        <v>#N/A</v>
      </c>
      <c r="AW301" s="117" t="e">
        <f ca="1">IF(Tableau1[[#This Row],[Name ILN]]&lt;&gt;"SFK Freight Forwarder",Tableau1[[#This Row],[Cust. Leadtime]],Tableau1[[#This Row],[Leadtime SI2C]])</f>
        <v>#N/A</v>
      </c>
      <c r="AX301" s="57" t="e">
        <f>VLOOKUP(Tableau1[[#This Row],[ID]],'DATA BTO'!B:P,15,FALSE)</f>
        <v>#N/A</v>
      </c>
      <c r="AY301" s="328" t="e">
        <f ca="1">IFERROR(VLOOKUP(Tableau1[[#This Row],[Key(ID-Actif)]],'DATA BTO'!A:N,4,FALSE),VLOOKUP(Tableau1[[#This Row],[ID]],'DATA BTO'!B:N,3,FALSE))</f>
        <v>#N/A</v>
      </c>
      <c r="AZ30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1" s="50"/>
    </row>
    <row r="302" spans="2:57">
      <c r="B302" s="405" t="str">
        <f>_xlfn.CONCAT(Tableau1[[#This Row],[Name ILN]],"-",Tableau1[[#This Row],[Name Shipper]],"-",Tableau1[[#This Row],[Name Site]])</f>
        <v>--</v>
      </c>
      <c r="C302" s="64" t="e">
        <f>_xlfn.CONCAT(Tableau1[[#This Row],[Compte ILN]],"-",Tableau1[[#This Row],[Compte Shipper]],"-",Tableau1[[#This Row],[POL]],"-",Tableau1[[#This Row],[Compte Consignee]])</f>
        <v>#N/A</v>
      </c>
      <c r="D302" s="64" t="e">
        <f>_xlfn.CONCAT(Tableau1[[#This Row],[Compte ILN]],"-",Tableau1[[#This Row],[Compte Shipper]],"-",Tableau1[[#This Row],[POL]])</f>
        <v>#N/A</v>
      </c>
      <c r="E302" s="128" t="e">
        <f ca="1">_xlfn.CONCAT(Tableau1[[#This Row],[POL]],"-",Tableau1[[#This Row],[Carrier]],"-",Tableau1[[#This Row],[POD]])</f>
        <v>#N/A</v>
      </c>
      <c r="F302" s="64" t="str">
        <f>_xlfn.CONCAT(Tableau1[[#This Row],[ID]],"-","Actif")</f>
        <v>-Actif</v>
      </c>
      <c r="G302" s="64" t="e">
        <f ca="1">_xlfn.CONCAT(Tableau1[[#This Row],[POD]],"-",Tableau1[[#This Row],[Code PFI]],"-",Tableau1[[#This Row],[Compte Consignee]])</f>
        <v>#N/A</v>
      </c>
      <c r="H30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2" s="117" t="str">
        <f ca="1">IF(COUNTIF(I:I,Tableau1[[#This Row],[Plant-ILN-shipper-POL-Carrier-POD-PFI]])=1,"Non","Oui")</f>
        <v>Oui</v>
      </c>
      <c r="K302" s="126" t="e">
        <f>VLOOKUP(Tableau1[[#This Row],[Name Site]],Plant_AILN!A:D,4,FALSE)</f>
        <v>#N/A</v>
      </c>
      <c r="L302" s="363"/>
      <c r="M302" s="492" t="e">
        <f>VLOOKUP(Tableau1[[#This Row],[Name Site]],Plant_AILN!A:C,3,FALSE)</f>
        <v>#N/A</v>
      </c>
      <c r="N302" s="55" t="e">
        <f>VLOOKUP(Tableau1[[#This Row],[Compte Consignee]],Order!C:D,2,FALSE)</f>
        <v>#N/A</v>
      </c>
      <c r="O302" s="122"/>
      <c r="P302" s="481" t="e">
        <f>VLOOKUP(Tableau1[[#This Row],[Name ILN]],Plant_AILN!F:G,2,FALSE)</f>
        <v>#N/A</v>
      </c>
      <c r="Q302" s="50" t="e">
        <f>VLOOKUP(Tableau1[[#This Row],[Compte ILN]],'DATA ILN'!D:I,6,FALSE)</f>
        <v>#N/A</v>
      </c>
      <c r="R302" s="50" t="e">
        <f>IFERROR(VLOOKUP(Tableau1[[#This Row],[Key(Compte ILN - shipper - POL - plant)]],'DATA ILN'!A:J,10,FALSE),VLOOKUP(Tableau1[[#This Row],[Key(Compte ILN - shipper - POL)]],'DATA ILN'!B:J,9,FALSE))</f>
        <v>#N/A</v>
      </c>
      <c r="S302" s="50" t="e">
        <f>IFERROR(VLOOKUP(Tableau1[[#This Row],[Key(Compte ILN - shipper - POL - plant)]],'DATA ILN'!A:K,11,FALSE),VLOOKUP(Tableau1[[#This Row],[Key(Compte ILN - shipper - POL)]],'DATA ILN'!B:K,10,FALSE))</f>
        <v>#N/A</v>
      </c>
      <c r="T302" s="50" t="e">
        <f>IFERROR(VLOOKUP(Tableau1[[#This Row],[Key(Compte ILN - shipper - POL - plant)]],'DATA ILN'!A:L,12,FALSE),VLOOKUP(Tableau1[[#This Row],[Key(Compte ILN - shipper - POL)]],'DATA ILN'!B:L,11,FALSE))</f>
        <v>#N/A</v>
      </c>
      <c r="U302" s="50" t="e">
        <f>Tableau1[[#This Row],[Day ILN Order]]+Tableau1[[#This Row],[Delivery time to ILN/Shipper]]-1</f>
        <v>#N/A</v>
      </c>
      <c r="V302" s="50" t="e">
        <f>IFERROR(VLOOKUP(Tableau1[[#This Row],[Key(Compte ILN - shipper - POL - plant)]],'DATA ILN'!A:N,14,FALSE),VLOOKUP(Tableau1[[#This Row],[Key(Compte ILN - shipper - POL)]],'DATA ILN'!B:N,13,FALSE))</f>
        <v>#N/A</v>
      </c>
      <c r="W302" s="50" t="e">
        <f>IFERROR(VLOOKUP(Tableau1[[#This Row],[Key(Compte ILN - shipper - POL - plant)]],'DATA ILN'!A:P,16,FALSE),VLOOKUP(Tableau1[[#This Row],[Key(Compte ILN - shipper - POL)]],'DATA ILN'!B:P,15,FALSE))</f>
        <v>#N/A</v>
      </c>
      <c r="X302" s="363"/>
      <c r="Y302" s="489">
        <f>IFERROR(VLOOKUP(Tableau1[[#This Row],[Name Shipper]],Plant_AILN!L:M,2,FALSE),0)</f>
        <v>0</v>
      </c>
      <c r="Z302" s="358"/>
      <c r="AA302" s="353" t="e">
        <f ca="1">VLOOKUP(Tableau1[[#This Row],[Key(ID-Actif)]],'DATA BTO'!A:N,5,FALSE)</f>
        <v>#N/A</v>
      </c>
      <c r="AB302" s="3" t="e">
        <f ca="1">VLOOKUP(Tableau1[[#This Row],[Key(ID-Actif)]],'DATA BTO'!A:N,6,FALSE)</f>
        <v>#N/A</v>
      </c>
      <c r="AC302" s="50" t="e">
        <f ca="1">VLOOKUP(Tableau1[[#This Row],[Key(ID-Actif)]],'DATA BTO'!A:N,7,FALSE)</f>
        <v>#N/A</v>
      </c>
      <c r="AD302" s="50" t="e">
        <f ca="1">VLOOKUP(Tableau1[[#This Row],[Key(ID-Actif)]],'DATA BTO'!A:N,8,FALSE)</f>
        <v>#N/A</v>
      </c>
      <c r="AE302" s="406" t="e">
        <f ca="1">IF(Tableau1[[#This Row],[First Day to POL]]&lt;=Tableau1[[#This Row],[Day Cut Off]],Tableau1[[#This Row],[Day ETD]],Tableau1[[#This Row],[Day ETD]]+7)</f>
        <v>#N/A</v>
      </c>
      <c r="AF302" s="50" t="e">
        <f ca="1">VLOOKUP(Tableau1[[#This Row],[Key(ID-Actif)]],'DATA BTO'!A:N,9,FALSE)</f>
        <v>#N/A</v>
      </c>
      <c r="AG302" s="3" t="e">
        <f ca="1">VLOOKUP(Tableau1[[#This Row],[Key(ID-Actif)]],'DATA BTO'!A:N,10,FALSE)</f>
        <v>#N/A</v>
      </c>
      <c r="AH302" s="3" t="e">
        <f ca="1">VLOOKUP(Tableau1[[#This Row],[Key(ID-Actif)]],'DATA BTO'!A:N,11,FALSE)</f>
        <v>#N/A</v>
      </c>
      <c r="AI302" s="50" t="e">
        <f ca="1">VLOOKUP(Tableau1[[#This Row],[Key(ID-Actif)]],'DATA BTO'!A:N,12,FALSE)</f>
        <v>#N/A</v>
      </c>
      <c r="AJ302" s="53" t="e">
        <f ca="1">VLOOKUP(Tableau1[[#This Row],[Key(ID-Actif)]],'DATA BTO'!A:N,14,FALSE)</f>
        <v>#N/A</v>
      </c>
      <c r="AK302" s="54" t="e">
        <f ca="1">VLOOKUP(Tableau1[[#This Row],[Key(POD -PFI- Usine)]],'DATA Consignee'!A:F,6,FALSE)</f>
        <v>#N/A</v>
      </c>
      <c r="AL302" s="283"/>
      <c r="AM302" s="490" t="str">
        <f>IF(Tableau1[[#This Row],[Name PFI/CDD]]="","-",VLOOKUP(Tableau1[[#This Row],[Name PFI/CDD]],Plant_AILN!I:J,2,FALSE))</f>
        <v>-</v>
      </c>
      <c r="AN30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2" s="2" t="e">
        <f ca="1">VLOOKUP(Tableau1[[#This Row],[Key(POD -PFI- Usine)]],'DATA Consignee'!A:J,10,FALSE)</f>
        <v>#N/A</v>
      </c>
      <c r="AQ302" s="50" t="e">
        <f ca="1">VLOOKUP(Tableau1[[#This Row],[Key(POD -PFI- Usine)]],'DATA Consignee'!A:N,14,FALSE)</f>
        <v>#N/A</v>
      </c>
      <c r="AR30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2" s="50" t="e">
        <f ca="1">Tableau1[[#This Row],[Transit time]]+Tableau1[[#This Row],[Time for security]]+Tableau1[[#This Row],[Time for security2 buffer]]</f>
        <v>#N/A</v>
      </c>
      <c r="AU30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2" s="50" t="e">
        <f ca="1">Tableau1[[#This Row],[Leadtime SI2C]]+Tableau1[[#This Row],[First Receipt Days]]-Tableau1[[#This Row],[Day Customer Order]]+1</f>
        <v>#N/A</v>
      </c>
      <c r="AW302" s="117" t="e">
        <f ca="1">IF(Tableau1[[#This Row],[Name ILN]]&lt;&gt;"SFK Freight Forwarder",Tableau1[[#This Row],[Cust. Leadtime]],Tableau1[[#This Row],[Leadtime SI2C]])</f>
        <v>#N/A</v>
      </c>
      <c r="AX302" s="57" t="e">
        <f>VLOOKUP(Tableau1[[#This Row],[ID]],'DATA BTO'!B:P,15,FALSE)</f>
        <v>#N/A</v>
      </c>
      <c r="AY302" s="328" t="e">
        <f ca="1">IFERROR(VLOOKUP(Tableau1[[#This Row],[Key(ID-Actif)]],'DATA BTO'!A:N,4,FALSE),VLOOKUP(Tableau1[[#This Row],[ID]],'DATA BTO'!B:N,3,FALSE))</f>
        <v>#N/A</v>
      </c>
      <c r="AZ30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2" s="50"/>
    </row>
    <row r="303" spans="2:57">
      <c r="B303" s="405" t="str">
        <f>_xlfn.CONCAT(Tableau1[[#This Row],[Name ILN]],"-",Tableau1[[#This Row],[Name Shipper]],"-",Tableau1[[#This Row],[Name Site]])</f>
        <v>--</v>
      </c>
      <c r="C303" s="64" t="e">
        <f>_xlfn.CONCAT(Tableau1[[#This Row],[Compte ILN]],"-",Tableau1[[#This Row],[Compte Shipper]],"-",Tableau1[[#This Row],[POL]],"-",Tableau1[[#This Row],[Compte Consignee]])</f>
        <v>#N/A</v>
      </c>
      <c r="D303" s="64" t="e">
        <f>_xlfn.CONCAT(Tableau1[[#This Row],[Compte ILN]],"-",Tableau1[[#This Row],[Compte Shipper]],"-",Tableau1[[#This Row],[POL]])</f>
        <v>#N/A</v>
      </c>
      <c r="E303" s="128" t="e">
        <f ca="1">_xlfn.CONCAT(Tableau1[[#This Row],[POL]],"-",Tableau1[[#This Row],[Carrier]],"-",Tableau1[[#This Row],[POD]])</f>
        <v>#N/A</v>
      </c>
      <c r="F303" s="64" t="str">
        <f>_xlfn.CONCAT(Tableau1[[#This Row],[ID]],"-","Actif")</f>
        <v>-Actif</v>
      </c>
      <c r="G303" s="64" t="e">
        <f ca="1">_xlfn.CONCAT(Tableau1[[#This Row],[POD]],"-",Tableau1[[#This Row],[Code PFI]],"-",Tableau1[[#This Row],[Compte Consignee]])</f>
        <v>#N/A</v>
      </c>
      <c r="H30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3" s="117" t="str">
        <f ca="1">IF(COUNTIF(I:I,Tableau1[[#This Row],[Plant-ILN-shipper-POL-Carrier-POD-PFI]])=1,"Non","Oui")</f>
        <v>Oui</v>
      </c>
      <c r="K303" s="126" t="e">
        <f>VLOOKUP(Tableau1[[#This Row],[Name Site]],Plant_AILN!A:D,4,FALSE)</f>
        <v>#N/A</v>
      </c>
      <c r="L303" s="363"/>
      <c r="M303" s="492" t="e">
        <f>VLOOKUP(Tableau1[[#This Row],[Name Site]],Plant_AILN!A:C,3,FALSE)</f>
        <v>#N/A</v>
      </c>
      <c r="N303" s="55" t="e">
        <f>VLOOKUP(Tableau1[[#This Row],[Compte Consignee]],Order!C:D,2,FALSE)</f>
        <v>#N/A</v>
      </c>
      <c r="O303" s="122"/>
      <c r="P303" s="481" t="e">
        <f>VLOOKUP(Tableau1[[#This Row],[Name ILN]],Plant_AILN!F:G,2,FALSE)</f>
        <v>#N/A</v>
      </c>
      <c r="Q303" s="50" t="e">
        <f>VLOOKUP(Tableau1[[#This Row],[Compte ILN]],'DATA ILN'!D:I,6,FALSE)</f>
        <v>#N/A</v>
      </c>
      <c r="R303" s="50" t="e">
        <f>IFERROR(VLOOKUP(Tableau1[[#This Row],[Key(Compte ILN - shipper - POL - plant)]],'DATA ILN'!A:J,10,FALSE),VLOOKUP(Tableau1[[#This Row],[Key(Compte ILN - shipper - POL)]],'DATA ILN'!B:J,9,FALSE))</f>
        <v>#N/A</v>
      </c>
      <c r="S303" s="50" t="e">
        <f>IFERROR(VLOOKUP(Tableau1[[#This Row],[Key(Compte ILN - shipper - POL - plant)]],'DATA ILN'!A:K,11,FALSE),VLOOKUP(Tableau1[[#This Row],[Key(Compte ILN - shipper - POL)]],'DATA ILN'!B:K,10,FALSE))</f>
        <v>#N/A</v>
      </c>
      <c r="T303" s="50" t="e">
        <f>IFERROR(VLOOKUP(Tableau1[[#This Row],[Key(Compte ILN - shipper - POL - plant)]],'DATA ILN'!A:L,12,FALSE),VLOOKUP(Tableau1[[#This Row],[Key(Compte ILN - shipper - POL)]],'DATA ILN'!B:L,11,FALSE))</f>
        <v>#N/A</v>
      </c>
      <c r="U303" s="50" t="e">
        <f>Tableau1[[#This Row],[Day ILN Order]]+Tableau1[[#This Row],[Delivery time to ILN/Shipper]]-1</f>
        <v>#N/A</v>
      </c>
      <c r="V303" s="50" t="e">
        <f>IFERROR(VLOOKUP(Tableau1[[#This Row],[Key(Compte ILN - shipper - POL - plant)]],'DATA ILN'!A:N,14,FALSE),VLOOKUP(Tableau1[[#This Row],[Key(Compte ILN - shipper - POL)]],'DATA ILN'!B:N,13,FALSE))</f>
        <v>#N/A</v>
      </c>
      <c r="W303" s="50" t="e">
        <f>IFERROR(VLOOKUP(Tableau1[[#This Row],[Key(Compte ILN - shipper - POL - plant)]],'DATA ILN'!A:P,16,FALSE),VLOOKUP(Tableau1[[#This Row],[Key(Compte ILN - shipper - POL)]],'DATA ILN'!B:P,15,FALSE))</f>
        <v>#N/A</v>
      </c>
      <c r="X303" s="283"/>
      <c r="Y303" s="489">
        <f>IFERROR(VLOOKUP(Tableau1[[#This Row],[Name Shipper]],Plant_AILN!L:M,2,FALSE),0)</f>
        <v>0</v>
      </c>
      <c r="Z303" s="358"/>
      <c r="AA303" s="353" t="e">
        <f ca="1">VLOOKUP(Tableau1[[#This Row],[Key(ID-Actif)]],'DATA BTO'!A:N,5,FALSE)</f>
        <v>#N/A</v>
      </c>
      <c r="AB303" s="3" t="e">
        <f ca="1">VLOOKUP(Tableau1[[#This Row],[Key(ID-Actif)]],'DATA BTO'!A:N,6,FALSE)</f>
        <v>#N/A</v>
      </c>
      <c r="AC303" s="50" t="e">
        <f ca="1">VLOOKUP(Tableau1[[#This Row],[Key(ID-Actif)]],'DATA BTO'!A:N,7,FALSE)</f>
        <v>#N/A</v>
      </c>
      <c r="AD303" s="50" t="e">
        <f ca="1">VLOOKUP(Tableau1[[#This Row],[Key(ID-Actif)]],'DATA BTO'!A:N,8,FALSE)</f>
        <v>#N/A</v>
      </c>
      <c r="AE303" s="406" t="e">
        <f ca="1">IF(Tableau1[[#This Row],[First Day to POL]]&lt;=Tableau1[[#This Row],[Day Cut Off]],Tableau1[[#This Row],[Day ETD]],Tableau1[[#This Row],[Day ETD]]+7)</f>
        <v>#N/A</v>
      </c>
      <c r="AF303" s="50" t="e">
        <f ca="1">VLOOKUP(Tableau1[[#This Row],[Key(ID-Actif)]],'DATA BTO'!A:N,9,FALSE)</f>
        <v>#N/A</v>
      </c>
      <c r="AG303" s="3" t="e">
        <f ca="1">VLOOKUP(Tableau1[[#This Row],[Key(ID-Actif)]],'DATA BTO'!A:N,10,FALSE)</f>
        <v>#N/A</v>
      </c>
      <c r="AH303" s="3" t="e">
        <f ca="1">VLOOKUP(Tableau1[[#This Row],[Key(ID-Actif)]],'DATA BTO'!A:N,11,FALSE)</f>
        <v>#N/A</v>
      </c>
      <c r="AI303" s="50" t="e">
        <f ca="1">VLOOKUP(Tableau1[[#This Row],[Key(ID-Actif)]],'DATA BTO'!A:N,12,FALSE)</f>
        <v>#N/A</v>
      </c>
      <c r="AJ303" s="53" t="e">
        <f ca="1">VLOOKUP(Tableau1[[#This Row],[Key(ID-Actif)]],'DATA BTO'!A:N,14,FALSE)</f>
        <v>#N/A</v>
      </c>
      <c r="AK303" s="54" t="e">
        <f ca="1">VLOOKUP(Tableau1[[#This Row],[Key(POD -PFI- Usine)]],'DATA Consignee'!A:F,6,FALSE)</f>
        <v>#N/A</v>
      </c>
      <c r="AL303" s="283"/>
      <c r="AM303" s="490" t="str">
        <f>IF(Tableau1[[#This Row],[Name PFI/CDD]]="","-",VLOOKUP(Tableau1[[#This Row],[Name PFI/CDD]],Plant_AILN!I:J,2,FALSE))</f>
        <v>-</v>
      </c>
      <c r="AN30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3" s="2" t="e">
        <f ca="1">VLOOKUP(Tableau1[[#This Row],[Key(POD -PFI- Usine)]],'DATA Consignee'!A:J,10,FALSE)</f>
        <v>#N/A</v>
      </c>
      <c r="AQ303" s="50" t="e">
        <f ca="1">VLOOKUP(Tableau1[[#This Row],[Key(POD -PFI- Usine)]],'DATA Consignee'!A:N,14,FALSE)</f>
        <v>#N/A</v>
      </c>
      <c r="AR30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3" s="50" t="e">
        <f ca="1">Tableau1[[#This Row],[Transit time]]+Tableau1[[#This Row],[Time for security]]+Tableau1[[#This Row],[Time for security2 buffer]]</f>
        <v>#N/A</v>
      </c>
      <c r="AU30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3" s="50" t="e">
        <f ca="1">Tableau1[[#This Row],[Leadtime SI2C]]+Tableau1[[#This Row],[First Receipt Days]]-Tableau1[[#This Row],[Day Customer Order]]+1</f>
        <v>#N/A</v>
      </c>
      <c r="AW303" s="117" t="e">
        <f ca="1">IF(Tableau1[[#This Row],[Name ILN]]&lt;&gt;"SFK Freight Forwarder",Tableau1[[#This Row],[Cust. Leadtime]],Tableau1[[#This Row],[Leadtime SI2C]])</f>
        <v>#N/A</v>
      </c>
      <c r="AX303" s="57" t="e">
        <f>VLOOKUP(Tableau1[[#This Row],[ID]],'DATA BTO'!B:P,15,FALSE)</f>
        <v>#N/A</v>
      </c>
      <c r="AY303" s="328" t="e">
        <f ca="1">IFERROR(VLOOKUP(Tableau1[[#This Row],[Key(ID-Actif)]],'DATA BTO'!A:N,4,FALSE),VLOOKUP(Tableau1[[#This Row],[ID]],'DATA BTO'!B:N,3,FALSE))</f>
        <v>#N/A</v>
      </c>
      <c r="AZ30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3" s="50"/>
    </row>
    <row r="304" spans="2:57">
      <c r="B304" s="405" t="str">
        <f>_xlfn.CONCAT(Tableau1[[#This Row],[Name ILN]],"-",Tableau1[[#This Row],[Name Shipper]],"-",Tableau1[[#This Row],[Name Site]])</f>
        <v>--</v>
      </c>
      <c r="C304" s="64" t="e">
        <f>_xlfn.CONCAT(Tableau1[[#This Row],[Compte ILN]],"-",Tableau1[[#This Row],[Compte Shipper]],"-",Tableau1[[#This Row],[POL]],"-",Tableau1[[#This Row],[Compte Consignee]])</f>
        <v>#N/A</v>
      </c>
      <c r="D304" s="64" t="e">
        <f>_xlfn.CONCAT(Tableau1[[#This Row],[Compte ILN]],"-",Tableau1[[#This Row],[Compte Shipper]],"-",Tableau1[[#This Row],[POL]])</f>
        <v>#N/A</v>
      </c>
      <c r="E304" s="128" t="e">
        <f ca="1">_xlfn.CONCAT(Tableau1[[#This Row],[POL]],"-",Tableau1[[#This Row],[Carrier]],"-",Tableau1[[#This Row],[POD]])</f>
        <v>#N/A</v>
      </c>
      <c r="F304" s="64" t="str">
        <f>_xlfn.CONCAT(Tableau1[[#This Row],[ID]],"-","Actif")</f>
        <v>-Actif</v>
      </c>
      <c r="G304" s="64" t="e">
        <f ca="1">_xlfn.CONCAT(Tableau1[[#This Row],[POD]],"-",Tableau1[[#This Row],[Code PFI]],"-",Tableau1[[#This Row],[Compte Consignee]])</f>
        <v>#N/A</v>
      </c>
      <c r="H30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4" s="117" t="str">
        <f ca="1">IF(COUNTIF(I:I,Tableau1[[#This Row],[Plant-ILN-shipper-POL-Carrier-POD-PFI]])=1,"Non","Oui")</f>
        <v>Oui</v>
      </c>
      <c r="K304" s="126" t="e">
        <f>VLOOKUP(Tableau1[[#This Row],[Name Site]],Plant_AILN!A:D,4,FALSE)</f>
        <v>#N/A</v>
      </c>
      <c r="L304" s="363"/>
      <c r="M304" s="492" t="e">
        <f>VLOOKUP(Tableau1[[#This Row],[Name Site]],Plant_AILN!A:C,3,FALSE)</f>
        <v>#N/A</v>
      </c>
      <c r="N304" s="55" t="e">
        <f>VLOOKUP(Tableau1[[#This Row],[Compte Consignee]],Order!C:D,2,FALSE)</f>
        <v>#N/A</v>
      </c>
      <c r="O304" s="122"/>
      <c r="P304" s="481" t="e">
        <f>VLOOKUP(Tableau1[[#This Row],[Name ILN]],Plant_AILN!F:G,2,FALSE)</f>
        <v>#N/A</v>
      </c>
      <c r="Q304" s="50" t="e">
        <f>VLOOKUP(Tableau1[[#This Row],[Compte ILN]],'DATA ILN'!D:I,6,FALSE)</f>
        <v>#N/A</v>
      </c>
      <c r="R304" s="50" t="e">
        <f>IFERROR(VLOOKUP(Tableau1[[#This Row],[Key(Compte ILN - shipper - POL - plant)]],'DATA ILN'!A:J,10,FALSE),VLOOKUP(Tableau1[[#This Row],[Key(Compte ILN - shipper - POL)]],'DATA ILN'!B:J,9,FALSE))</f>
        <v>#N/A</v>
      </c>
      <c r="S304" s="50" t="e">
        <f>IFERROR(VLOOKUP(Tableau1[[#This Row],[Key(Compte ILN - shipper - POL - plant)]],'DATA ILN'!A:K,11,FALSE),VLOOKUP(Tableau1[[#This Row],[Key(Compte ILN - shipper - POL)]],'DATA ILN'!B:K,10,FALSE))</f>
        <v>#N/A</v>
      </c>
      <c r="T304" s="50" t="e">
        <f>IFERROR(VLOOKUP(Tableau1[[#This Row],[Key(Compte ILN - shipper - POL - plant)]],'DATA ILN'!A:L,12,FALSE),VLOOKUP(Tableau1[[#This Row],[Key(Compte ILN - shipper - POL)]],'DATA ILN'!B:L,11,FALSE))</f>
        <v>#N/A</v>
      </c>
      <c r="U304" s="50" t="e">
        <f>Tableau1[[#This Row],[Day ILN Order]]+Tableau1[[#This Row],[Delivery time to ILN/Shipper]]-1</f>
        <v>#N/A</v>
      </c>
      <c r="V304" s="50" t="e">
        <f>IFERROR(VLOOKUP(Tableau1[[#This Row],[Key(Compte ILN - shipper - POL - plant)]],'DATA ILN'!A:N,14,FALSE),VLOOKUP(Tableau1[[#This Row],[Key(Compte ILN - shipper - POL)]],'DATA ILN'!B:N,13,FALSE))</f>
        <v>#N/A</v>
      </c>
      <c r="W304" s="50" t="e">
        <f>IFERROR(VLOOKUP(Tableau1[[#This Row],[Key(Compte ILN - shipper - POL - plant)]],'DATA ILN'!A:P,16,FALSE),VLOOKUP(Tableau1[[#This Row],[Key(Compte ILN - shipper - POL)]],'DATA ILN'!B:P,15,FALSE))</f>
        <v>#N/A</v>
      </c>
      <c r="X304" s="283"/>
      <c r="Y304" s="489">
        <f>IFERROR(VLOOKUP(Tableau1[[#This Row],[Name Shipper]],Plant_AILN!L:M,2,FALSE),0)</f>
        <v>0</v>
      </c>
      <c r="Z304" s="358"/>
      <c r="AA304" s="353" t="e">
        <f ca="1">VLOOKUP(Tableau1[[#This Row],[Key(ID-Actif)]],'DATA BTO'!A:N,5,FALSE)</f>
        <v>#N/A</v>
      </c>
      <c r="AB304" s="3" t="e">
        <f ca="1">VLOOKUP(Tableau1[[#This Row],[Key(ID-Actif)]],'DATA BTO'!A:N,6,FALSE)</f>
        <v>#N/A</v>
      </c>
      <c r="AC304" s="50" t="e">
        <f ca="1">VLOOKUP(Tableau1[[#This Row],[Key(ID-Actif)]],'DATA BTO'!A:N,7,FALSE)</f>
        <v>#N/A</v>
      </c>
      <c r="AD304" s="50" t="e">
        <f ca="1">VLOOKUP(Tableau1[[#This Row],[Key(ID-Actif)]],'DATA BTO'!A:N,8,FALSE)</f>
        <v>#N/A</v>
      </c>
      <c r="AE304" s="406" t="e">
        <f ca="1">IF(Tableau1[[#This Row],[First Day to POL]]&lt;=Tableau1[[#This Row],[Day Cut Off]],Tableau1[[#This Row],[Day ETD]],Tableau1[[#This Row],[Day ETD]]+7)</f>
        <v>#N/A</v>
      </c>
      <c r="AF304" s="50" t="e">
        <f ca="1">VLOOKUP(Tableau1[[#This Row],[Key(ID-Actif)]],'DATA BTO'!A:N,9,FALSE)</f>
        <v>#N/A</v>
      </c>
      <c r="AG304" s="3" t="e">
        <f ca="1">VLOOKUP(Tableau1[[#This Row],[Key(ID-Actif)]],'DATA BTO'!A:N,10,FALSE)</f>
        <v>#N/A</v>
      </c>
      <c r="AH304" s="3" t="e">
        <f ca="1">VLOOKUP(Tableau1[[#This Row],[Key(ID-Actif)]],'DATA BTO'!A:N,11,FALSE)</f>
        <v>#N/A</v>
      </c>
      <c r="AI304" s="50" t="e">
        <f ca="1">VLOOKUP(Tableau1[[#This Row],[Key(ID-Actif)]],'DATA BTO'!A:N,12,FALSE)</f>
        <v>#N/A</v>
      </c>
      <c r="AJ304" s="53" t="e">
        <f ca="1">VLOOKUP(Tableau1[[#This Row],[Key(ID-Actif)]],'DATA BTO'!A:N,14,FALSE)</f>
        <v>#N/A</v>
      </c>
      <c r="AK304" s="54" t="e">
        <f ca="1">VLOOKUP(Tableau1[[#This Row],[Key(POD -PFI- Usine)]],'DATA Consignee'!A:F,6,FALSE)</f>
        <v>#N/A</v>
      </c>
      <c r="AL304" s="283"/>
      <c r="AM304" s="490" t="str">
        <f>IF(Tableau1[[#This Row],[Name PFI/CDD]]="","-",VLOOKUP(Tableau1[[#This Row],[Name PFI/CDD]],Plant_AILN!I:J,2,FALSE))</f>
        <v>-</v>
      </c>
      <c r="AN30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4" s="2" t="e">
        <f ca="1">VLOOKUP(Tableau1[[#This Row],[Key(POD -PFI- Usine)]],'DATA Consignee'!A:J,10,FALSE)</f>
        <v>#N/A</v>
      </c>
      <c r="AQ304" s="50" t="e">
        <f ca="1">VLOOKUP(Tableau1[[#This Row],[Key(POD -PFI- Usine)]],'DATA Consignee'!A:N,14,FALSE)</f>
        <v>#N/A</v>
      </c>
      <c r="AR30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4" s="50" t="e">
        <f ca="1">Tableau1[[#This Row],[Transit time]]+Tableau1[[#This Row],[Time for security]]+Tableau1[[#This Row],[Time for security2 buffer]]</f>
        <v>#N/A</v>
      </c>
      <c r="AU30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4" s="50" t="e">
        <f ca="1">Tableau1[[#This Row],[Leadtime SI2C]]+Tableau1[[#This Row],[First Receipt Days]]-Tableau1[[#This Row],[Day Customer Order]]+1</f>
        <v>#N/A</v>
      </c>
      <c r="AW304" s="117" t="e">
        <f ca="1">IF(Tableau1[[#This Row],[Name ILN]]&lt;&gt;"SFK Freight Forwarder",Tableau1[[#This Row],[Cust. Leadtime]],Tableau1[[#This Row],[Leadtime SI2C]])</f>
        <v>#N/A</v>
      </c>
      <c r="AX304" s="57" t="e">
        <f>VLOOKUP(Tableau1[[#This Row],[ID]],'DATA BTO'!B:P,15,FALSE)</f>
        <v>#N/A</v>
      </c>
      <c r="AY304" s="328" t="e">
        <f ca="1">IFERROR(VLOOKUP(Tableau1[[#This Row],[Key(ID-Actif)]],'DATA BTO'!A:N,4,FALSE),VLOOKUP(Tableau1[[#This Row],[ID]],'DATA BTO'!B:N,3,FALSE))</f>
        <v>#N/A</v>
      </c>
      <c r="AZ30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4" s="50"/>
    </row>
    <row r="305" spans="2:57">
      <c r="B305" s="405" t="str">
        <f>_xlfn.CONCAT(Tableau1[[#This Row],[Name ILN]],"-",Tableau1[[#This Row],[Name Shipper]],"-",Tableau1[[#This Row],[Name Site]])</f>
        <v>--</v>
      </c>
      <c r="C305" s="64" t="e">
        <f>_xlfn.CONCAT(Tableau1[[#This Row],[Compte ILN]],"-",Tableau1[[#This Row],[Compte Shipper]],"-",Tableau1[[#This Row],[POL]],"-",Tableau1[[#This Row],[Compte Consignee]])</f>
        <v>#N/A</v>
      </c>
      <c r="D305" s="64" t="e">
        <f>_xlfn.CONCAT(Tableau1[[#This Row],[Compte ILN]],"-",Tableau1[[#This Row],[Compte Shipper]],"-",Tableau1[[#This Row],[POL]])</f>
        <v>#N/A</v>
      </c>
      <c r="E305" s="128" t="e">
        <f ca="1">_xlfn.CONCAT(Tableau1[[#This Row],[POL]],"-",Tableau1[[#This Row],[Carrier]],"-",Tableau1[[#This Row],[POD]])</f>
        <v>#N/A</v>
      </c>
      <c r="F305" s="64" t="str">
        <f>_xlfn.CONCAT(Tableau1[[#This Row],[ID]],"-","Actif")</f>
        <v>-Actif</v>
      </c>
      <c r="G305" s="64" t="e">
        <f ca="1">_xlfn.CONCAT(Tableau1[[#This Row],[POD]],"-",Tableau1[[#This Row],[Code PFI]],"-",Tableau1[[#This Row],[Compte Consignee]])</f>
        <v>#N/A</v>
      </c>
      <c r="H30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5" s="117" t="str">
        <f ca="1">IF(COUNTIF(I:I,Tableau1[[#This Row],[Plant-ILN-shipper-POL-Carrier-POD-PFI]])=1,"Non","Oui")</f>
        <v>Oui</v>
      </c>
      <c r="K305" s="126" t="e">
        <f>VLOOKUP(Tableau1[[#This Row],[Name Site]],Plant_AILN!A:D,4,FALSE)</f>
        <v>#N/A</v>
      </c>
      <c r="L305" s="363"/>
      <c r="M305" s="492" t="e">
        <f>VLOOKUP(Tableau1[[#This Row],[Name Site]],Plant_AILN!A:C,3,FALSE)</f>
        <v>#N/A</v>
      </c>
      <c r="N305" s="55" t="e">
        <f>VLOOKUP(Tableau1[[#This Row],[Compte Consignee]],Order!C:D,2,FALSE)</f>
        <v>#N/A</v>
      </c>
      <c r="O305" s="122"/>
      <c r="P305" s="481" t="e">
        <f>VLOOKUP(Tableau1[[#This Row],[Name ILN]],Plant_AILN!F:G,2,FALSE)</f>
        <v>#N/A</v>
      </c>
      <c r="Q305" s="50" t="e">
        <f>VLOOKUP(Tableau1[[#This Row],[Compte ILN]],'DATA ILN'!D:I,6,FALSE)</f>
        <v>#N/A</v>
      </c>
      <c r="R305" s="50" t="e">
        <f>IFERROR(VLOOKUP(Tableau1[[#This Row],[Key(Compte ILN - shipper - POL - plant)]],'DATA ILN'!A:J,10,FALSE),VLOOKUP(Tableau1[[#This Row],[Key(Compte ILN - shipper - POL)]],'DATA ILN'!B:J,9,FALSE))</f>
        <v>#N/A</v>
      </c>
      <c r="S305" s="50" t="e">
        <f>IFERROR(VLOOKUP(Tableau1[[#This Row],[Key(Compte ILN - shipper - POL - plant)]],'DATA ILN'!A:K,11,FALSE),VLOOKUP(Tableau1[[#This Row],[Key(Compte ILN - shipper - POL)]],'DATA ILN'!B:K,10,FALSE))</f>
        <v>#N/A</v>
      </c>
      <c r="T305" s="50" t="e">
        <f>IFERROR(VLOOKUP(Tableau1[[#This Row],[Key(Compte ILN - shipper - POL - plant)]],'DATA ILN'!A:L,12,FALSE),VLOOKUP(Tableau1[[#This Row],[Key(Compte ILN - shipper - POL)]],'DATA ILN'!B:L,11,FALSE))</f>
        <v>#N/A</v>
      </c>
      <c r="U305" s="50" t="e">
        <f>Tableau1[[#This Row],[Day ILN Order]]+Tableau1[[#This Row],[Delivery time to ILN/Shipper]]-1</f>
        <v>#N/A</v>
      </c>
      <c r="V305" s="50" t="e">
        <f>IFERROR(VLOOKUP(Tableau1[[#This Row],[Key(Compte ILN - shipper - POL - plant)]],'DATA ILN'!A:N,14,FALSE),VLOOKUP(Tableau1[[#This Row],[Key(Compte ILN - shipper - POL)]],'DATA ILN'!B:N,13,FALSE))</f>
        <v>#N/A</v>
      </c>
      <c r="W305" s="50" t="e">
        <f>IFERROR(VLOOKUP(Tableau1[[#This Row],[Key(Compte ILN - shipper - POL - plant)]],'DATA ILN'!A:P,16,FALSE),VLOOKUP(Tableau1[[#This Row],[Key(Compte ILN - shipper - POL)]],'DATA ILN'!B:P,15,FALSE))</f>
        <v>#N/A</v>
      </c>
      <c r="X305" s="283"/>
      <c r="Y305" s="489">
        <f>IFERROR(VLOOKUP(Tableau1[[#This Row],[Name Shipper]],Plant_AILN!L:M,2,FALSE),0)</f>
        <v>0</v>
      </c>
      <c r="Z305" s="358"/>
      <c r="AA305" s="353" t="e">
        <f ca="1">VLOOKUP(Tableau1[[#This Row],[Key(ID-Actif)]],'DATA BTO'!A:N,5,FALSE)</f>
        <v>#N/A</v>
      </c>
      <c r="AB305" s="3" t="e">
        <f ca="1">VLOOKUP(Tableau1[[#This Row],[Key(ID-Actif)]],'DATA BTO'!A:N,6,FALSE)</f>
        <v>#N/A</v>
      </c>
      <c r="AC305" s="50" t="e">
        <f ca="1">VLOOKUP(Tableau1[[#This Row],[Key(ID-Actif)]],'DATA BTO'!A:N,7,FALSE)</f>
        <v>#N/A</v>
      </c>
      <c r="AD305" s="50" t="e">
        <f ca="1">VLOOKUP(Tableau1[[#This Row],[Key(ID-Actif)]],'DATA BTO'!A:N,8,FALSE)</f>
        <v>#N/A</v>
      </c>
      <c r="AE305" s="406" t="e">
        <f ca="1">IF(Tableau1[[#This Row],[First Day to POL]]&lt;=Tableau1[[#This Row],[Day Cut Off]],Tableau1[[#This Row],[Day ETD]],Tableau1[[#This Row],[Day ETD]]+7)</f>
        <v>#N/A</v>
      </c>
      <c r="AF305" s="50" t="e">
        <f ca="1">VLOOKUP(Tableau1[[#This Row],[Key(ID-Actif)]],'DATA BTO'!A:N,9,FALSE)</f>
        <v>#N/A</v>
      </c>
      <c r="AG305" s="3" t="e">
        <f ca="1">VLOOKUP(Tableau1[[#This Row],[Key(ID-Actif)]],'DATA BTO'!A:N,10,FALSE)</f>
        <v>#N/A</v>
      </c>
      <c r="AH305" s="3" t="e">
        <f ca="1">VLOOKUP(Tableau1[[#This Row],[Key(ID-Actif)]],'DATA BTO'!A:N,11,FALSE)</f>
        <v>#N/A</v>
      </c>
      <c r="AI305" s="50" t="e">
        <f ca="1">VLOOKUP(Tableau1[[#This Row],[Key(ID-Actif)]],'DATA BTO'!A:N,12,FALSE)</f>
        <v>#N/A</v>
      </c>
      <c r="AJ305" s="53" t="e">
        <f ca="1">VLOOKUP(Tableau1[[#This Row],[Key(ID-Actif)]],'DATA BTO'!A:N,14,FALSE)</f>
        <v>#N/A</v>
      </c>
      <c r="AK305" s="54" t="e">
        <f ca="1">VLOOKUP(Tableau1[[#This Row],[Key(POD -PFI- Usine)]],'DATA Consignee'!A:F,6,FALSE)</f>
        <v>#N/A</v>
      </c>
      <c r="AL305" s="283"/>
      <c r="AM305" s="490" t="str">
        <f>IF(Tableau1[[#This Row],[Name PFI/CDD]]="","-",VLOOKUP(Tableau1[[#This Row],[Name PFI/CDD]],Plant_AILN!I:J,2,FALSE))</f>
        <v>-</v>
      </c>
      <c r="AN30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5" s="2" t="e">
        <f ca="1">VLOOKUP(Tableau1[[#This Row],[Key(POD -PFI- Usine)]],'DATA Consignee'!A:J,10,FALSE)</f>
        <v>#N/A</v>
      </c>
      <c r="AQ305" s="50" t="e">
        <f ca="1">VLOOKUP(Tableau1[[#This Row],[Key(POD -PFI- Usine)]],'DATA Consignee'!A:N,14,FALSE)</f>
        <v>#N/A</v>
      </c>
      <c r="AR30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5" s="50" t="e">
        <f ca="1">Tableau1[[#This Row],[Transit time]]+Tableau1[[#This Row],[Time for security]]+Tableau1[[#This Row],[Time for security2 buffer]]</f>
        <v>#N/A</v>
      </c>
      <c r="AU30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5" s="50" t="e">
        <f ca="1">Tableau1[[#This Row],[Leadtime SI2C]]+Tableau1[[#This Row],[First Receipt Days]]-Tableau1[[#This Row],[Day Customer Order]]+1</f>
        <v>#N/A</v>
      </c>
      <c r="AW305" s="117" t="e">
        <f ca="1">IF(Tableau1[[#This Row],[Name ILN]]&lt;&gt;"SFK Freight Forwarder",Tableau1[[#This Row],[Cust. Leadtime]],Tableau1[[#This Row],[Leadtime SI2C]])</f>
        <v>#N/A</v>
      </c>
      <c r="AX305" s="57" t="e">
        <f>VLOOKUP(Tableau1[[#This Row],[ID]],'DATA BTO'!B:P,15,FALSE)</f>
        <v>#N/A</v>
      </c>
      <c r="AY305" s="328" t="e">
        <f ca="1">IFERROR(VLOOKUP(Tableau1[[#This Row],[Key(ID-Actif)]],'DATA BTO'!A:N,4,FALSE),VLOOKUP(Tableau1[[#This Row],[ID]],'DATA BTO'!B:N,3,FALSE))</f>
        <v>#N/A</v>
      </c>
      <c r="AZ30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5" s="50"/>
    </row>
    <row r="306" spans="2:57">
      <c r="B306" s="405" t="str">
        <f>_xlfn.CONCAT(Tableau1[[#This Row],[Name ILN]],"-",Tableau1[[#This Row],[Name Shipper]],"-",Tableau1[[#This Row],[Name Site]])</f>
        <v>--</v>
      </c>
      <c r="C306" s="64" t="e">
        <f>_xlfn.CONCAT(Tableau1[[#This Row],[Compte ILN]],"-",Tableau1[[#This Row],[Compte Shipper]],"-",Tableau1[[#This Row],[POL]],"-",Tableau1[[#This Row],[Compte Consignee]])</f>
        <v>#N/A</v>
      </c>
      <c r="D306" s="64" t="e">
        <f>_xlfn.CONCAT(Tableau1[[#This Row],[Compte ILN]],"-",Tableau1[[#This Row],[Compte Shipper]],"-",Tableau1[[#This Row],[POL]])</f>
        <v>#N/A</v>
      </c>
      <c r="E306" s="128" t="e">
        <f ca="1">_xlfn.CONCAT(Tableau1[[#This Row],[POL]],"-",Tableau1[[#This Row],[Carrier]],"-",Tableau1[[#This Row],[POD]])</f>
        <v>#N/A</v>
      </c>
      <c r="F306" s="64" t="str">
        <f>_xlfn.CONCAT(Tableau1[[#This Row],[ID]],"-","Actif")</f>
        <v>-Actif</v>
      </c>
      <c r="G306" s="64" t="e">
        <f ca="1">_xlfn.CONCAT(Tableau1[[#This Row],[POD]],"-",Tableau1[[#This Row],[Code PFI]],"-",Tableau1[[#This Row],[Compte Consignee]])</f>
        <v>#N/A</v>
      </c>
      <c r="H30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6" s="117" t="str">
        <f ca="1">IF(COUNTIF(I:I,Tableau1[[#This Row],[Plant-ILN-shipper-POL-Carrier-POD-PFI]])=1,"Non","Oui")</f>
        <v>Oui</v>
      </c>
      <c r="K306" s="126" t="e">
        <f>VLOOKUP(Tableau1[[#This Row],[Name Site]],Plant_AILN!A:D,4,FALSE)</f>
        <v>#N/A</v>
      </c>
      <c r="L306" s="363"/>
      <c r="M306" s="492" t="e">
        <f>VLOOKUP(Tableau1[[#This Row],[Name Site]],Plant_AILN!A:C,3,FALSE)</f>
        <v>#N/A</v>
      </c>
      <c r="N306" s="55" t="e">
        <f>VLOOKUP(Tableau1[[#This Row],[Compte Consignee]],Order!C:D,2,FALSE)</f>
        <v>#N/A</v>
      </c>
      <c r="O306" s="122"/>
      <c r="P306" s="481" t="e">
        <f>VLOOKUP(Tableau1[[#This Row],[Name ILN]],Plant_AILN!F:G,2,FALSE)</f>
        <v>#N/A</v>
      </c>
      <c r="Q306" s="50" t="e">
        <f>VLOOKUP(Tableau1[[#This Row],[Compte ILN]],'DATA ILN'!D:I,6,FALSE)</f>
        <v>#N/A</v>
      </c>
      <c r="R306" s="50" t="e">
        <f>IFERROR(VLOOKUP(Tableau1[[#This Row],[Key(Compte ILN - shipper - POL - plant)]],'DATA ILN'!A:J,10,FALSE),VLOOKUP(Tableau1[[#This Row],[Key(Compte ILN - shipper - POL)]],'DATA ILN'!B:J,9,FALSE))</f>
        <v>#N/A</v>
      </c>
      <c r="S306" s="50" t="e">
        <f>IFERROR(VLOOKUP(Tableau1[[#This Row],[Key(Compte ILN - shipper - POL - plant)]],'DATA ILN'!A:K,11,FALSE),VLOOKUP(Tableau1[[#This Row],[Key(Compte ILN - shipper - POL)]],'DATA ILN'!B:K,10,FALSE))</f>
        <v>#N/A</v>
      </c>
      <c r="T306" s="50" t="e">
        <f>IFERROR(VLOOKUP(Tableau1[[#This Row],[Key(Compte ILN - shipper - POL - plant)]],'DATA ILN'!A:L,12,FALSE),VLOOKUP(Tableau1[[#This Row],[Key(Compte ILN - shipper - POL)]],'DATA ILN'!B:L,11,FALSE))</f>
        <v>#N/A</v>
      </c>
      <c r="U306" s="50" t="e">
        <f>Tableau1[[#This Row],[Day ILN Order]]+Tableau1[[#This Row],[Delivery time to ILN/Shipper]]-1</f>
        <v>#N/A</v>
      </c>
      <c r="V306" s="50" t="e">
        <f>IFERROR(VLOOKUP(Tableau1[[#This Row],[Key(Compte ILN - shipper - POL - plant)]],'DATA ILN'!A:N,14,FALSE),VLOOKUP(Tableau1[[#This Row],[Key(Compte ILN - shipper - POL)]],'DATA ILN'!B:N,13,FALSE))</f>
        <v>#N/A</v>
      </c>
      <c r="W306" s="50" t="e">
        <f>IFERROR(VLOOKUP(Tableau1[[#This Row],[Key(Compte ILN - shipper - POL - plant)]],'DATA ILN'!A:P,16,FALSE),VLOOKUP(Tableau1[[#This Row],[Key(Compte ILN - shipper - POL)]],'DATA ILN'!B:P,15,FALSE))</f>
        <v>#N/A</v>
      </c>
      <c r="X306" s="283"/>
      <c r="Y306" s="489">
        <f>IFERROR(VLOOKUP(Tableau1[[#This Row],[Name Shipper]],Plant_AILN!L:M,2,FALSE),0)</f>
        <v>0</v>
      </c>
      <c r="Z306" s="358"/>
      <c r="AA306" s="353" t="e">
        <f ca="1">VLOOKUP(Tableau1[[#This Row],[Key(ID-Actif)]],'DATA BTO'!A:N,5,FALSE)</f>
        <v>#N/A</v>
      </c>
      <c r="AB306" s="3" t="e">
        <f ca="1">VLOOKUP(Tableau1[[#This Row],[Key(ID-Actif)]],'DATA BTO'!A:N,6,FALSE)</f>
        <v>#N/A</v>
      </c>
      <c r="AC306" s="50" t="e">
        <f ca="1">VLOOKUP(Tableau1[[#This Row],[Key(ID-Actif)]],'DATA BTO'!A:N,7,FALSE)</f>
        <v>#N/A</v>
      </c>
      <c r="AD306" s="50" t="e">
        <f ca="1">VLOOKUP(Tableau1[[#This Row],[Key(ID-Actif)]],'DATA BTO'!A:N,8,FALSE)</f>
        <v>#N/A</v>
      </c>
      <c r="AE306" s="406" t="e">
        <f ca="1">IF(Tableau1[[#This Row],[First Day to POL]]&lt;=Tableau1[[#This Row],[Day Cut Off]],Tableau1[[#This Row],[Day ETD]],Tableau1[[#This Row],[Day ETD]]+7)</f>
        <v>#N/A</v>
      </c>
      <c r="AF306" s="50" t="e">
        <f ca="1">VLOOKUP(Tableau1[[#This Row],[Key(ID-Actif)]],'DATA BTO'!A:N,9,FALSE)</f>
        <v>#N/A</v>
      </c>
      <c r="AG306" s="3" t="e">
        <f ca="1">VLOOKUP(Tableau1[[#This Row],[Key(ID-Actif)]],'DATA BTO'!A:N,10,FALSE)</f>
        <v>#N/A</v>
      </c>
      <c r="AH306" s="3" t="e">
        <f ca="1">VLOOKUP(Tableau1[[#This Row],[Key(ID-Actif)]],'DATA BTO'!A:N,11,FALSE)</f>
        <v>#N/A</v>
      </c>
      <c r="AI306" s="50" t="e">
        <f ca="1">VLOOKUP(Tableau1[[#This Row],[Key(ID-Actif)]],'DATA BTO'!A:N,12,FALSE)</f>
        <v>#N/A</v>
      </c>
      <c r="AJ306" s="53" t="e">
        <f ca="1">VLOOKUP(Tableau1[[#This Row],[Key(ID-Actif)]],'DATA BTO'!A:N,14,FALSE)</f>
        <v>#N/A</v>
      </c>
      <c r="AK306" s="54" t="e">
        <f ca="1">VLOOKUP(Tableau1[[#This Row],[Key(POD -PFI- Usine)]],'DATA Consignee'!A:F,6,FALSE)</f>
        <v>#N/A</v>
      </c>
      <c r="AL306" s="283"/>
      <c r="AM306" s="490" t="str">
        <f>IF(Tableau1[[#This Row],[Name PFI/CDD]]="","-",VLOOKUP(Tableau1[[#This Row],[Name PFI/CDD]],Plant_AILN!I:J,2,FALSE))</f>
        <v>-</v>
      </c>
      <c r="AN30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6" s="2" t="e">
        <f ca="1">VLOOKUP(Tableau1[[#This Row],[Key(POD -PFI- Usine)]],'DATA Consignee'!A:J,10,FALSE)</f>
        <v>#N/A</v>
      </c>
      <c r="AQ306" s="50" t="e">
        <f ca="1">VLOOKUP(Tableau1[[#This Row],[Key(POD -PFI- Usine)]],'DATA Consignee'!A:N,14,FALSE)</f>
        <v>#N/A</v>
      </c>
      <c r="AR30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6" s="50" t="e">
        <f ca="1">Tableau1[[#This Row],[Transit time]]+Tableau1[[#This Row],[Time for security]]+Tableau1[[#This Row],[Time for security2 buffer]]</f>
        <v>#N/A</v>
      </c>
      <c r="AU30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6" s="50" t="e">
        <f ca="1">Tableau1[[#This Row],[Leadtime SI2C]]+Tableau1[[#This Row],[First Receipt Days]]-Tableau1[[#This Row],[Day Customer Order]]+1</f>
        <v>#N/A</v>
      </c>
      <c r="AW306" s="117" t="e">
        <f ca="1">IF(Tableau1[[#This Row],[Name ILN]]&lt;&gt;"SFK Freight Forwarder",Tableau1[[#This Row],[Cust. Leadtime]],Tableau1[[#This Row],[Leadtime SI2C]])</f>
        <v>#N/A</v>
      </c>
      <c r="AX306" s="57" t="e">
        <f>VLOOKUP(Tableau1[[#This Row],[ID]],'DATA BTO'!B:P,15,FALSE)</f>
        <v>#N/A</v>
      </c>
      <c r="AY306" s="328" t="e">
        <f ca="1">IFERROR(VLOOKUP(Tableau1[[#This Row],[Key(ID-Actif)]],'DATA BTO'!A:N,4,FALSE),VLOOKUP(Tableau1[[#This Row],[ID]],'DATA BTO'!B:N,3,FALSE))</f>
        <v>#N/A</v>
      </c>
      <c r="AZ30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6" s="50"/>
    </row>
    <row r="307" spans="2:57">
      <c r="B307" s="405" t="str">
        <f>_xlfn.CONCAT(Tableau1[[#This Row],[Name ILN]],"-",Tableau1[[#This Row],[Name Shipper]],"-",Tableau1[[#This Row],[Name Site]])</f>
        <v>--</v>
      </c>
      <c r="C307" s="64" t="e">
        <f>_xlfn.CONCAT(Tableau1[[#This Row],[Compte ILN]],"-",Tableau1[[#This Row],[Compte Shipper]],"-",Tableau1[[#This Row],[POL]],"-",Tableau1[[#This Row],[Compte Consignee]])</f>
        <v>#N/A</v>
      </c>
      <c r="D307" s="64" t="e">
        <f>_xlfn.CONCAT(Tableau1[[#This Row],[Compte ILN]],"-",Tableau1[[#This Row],[Compte Shipper]],"-",Tableau1[[#This Row],[POL]])</f>
        <v>#N/A</v>
      </c>
      <c r="E307" s="128" t="e">
        <f ca="1">_xlfn.CONCAT(Tableau1[[#This Row],[POL]],"-",Tableau1[[#This Row],[Carrier]],"-",Tableau1[[#This Row],[POD]])</f>
        <v>#N/A</v>
      </c>
      <c r="F307" s="64" t="str">
        <f>_xlfn.CONCAT(Tableau1[[#This Row],[ID]],"-","Actif")</f>
        <v>-Actif</v>
      </c>
      <c r="G307" s="64" t="e">
        <f ca="1">_xlfn.CONCAT(Tableau1[[#This Row],[POD]],"-",Tableau1[[#This Row],[Code PFI]],"-",Tableau1[[#This Row],[Compte Consignee]])</f>
        <v>#N/A</v>
      </c>
      <c r="H30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7" s="117" t="str">
        <f ca="1">IF(COUNTIF(I:I,Tableau1[[#This Row],[Plant-ILN-shipper-POL-Carrier-POD-PFI]])=1,"Non","Oui")</f>
        <v>Oui</v>
      </c>
      <c r="K307" s="126" t="e">
        <f>VLOOKUP(Tableau1[[#This Row],[Name Site]],Plant_AILN!A:D,4,FALSE)</f>
        <v>#N/A</v>
      </c>
      <c r="L307" s="363"/>
      <c r="M307" s="492" t="e">
        <f>VLOOKUP(Tableau1[[#This Row],[Name Site]],Plant_AILN!A:C,3,FALSE)</f>
        <v>#N/A</v>
      </c>
      <c r="N307" s="55" t="e">
        <f>VLOOKUP(Tableau1[[#This Row],[Compte Consignee]],Order!C:D,2,FALSE)</f>
        <v>#N/A</v>
      </c>
      <c r="O307" s="122"/>
      <c r="P307" s="481" t="e">
        <f>VLOOKUP(Tableau1[[#This Row],[Name ILN]],Plant_AILN!F:G,2,FALSE)</f>
        <v>#N/A</v>
      </c>
      <c r="Q307" s="50" t="e">
        <f>VLOOKUP(Tableau1[[#This Row],[Compte ILN]],'DATA ILN'!D:I,6,FALSE)</f>
        <v>#N/A</v>
      </c>
      <c r="R307" s="50" t="e">
        <f>IFERROR(VLOOKUP(Tableau1[[#This Row],[Key(Compte ILN - shipper - POL - plant)]],'DATA ILN'!A:J,10,FALSE),VLOOKUP(Tableau1[[#This Row],[Key(Compte ILN - shipper - POL)]],'DATA ILN'!B:J,9,FALSE))</f>
        <v>#N/A</v>
      </c>
      <c r="S307" s="50" t="e">
        <f>IFERROR(VLOOKUP(Tableau1[[#This Row],[Key(Compte ILN - shipper - POL - plant)]],'DATA ILN'!A:K,11,FALSE),VLOOKUP(Tableau1[[#This Row],[Key(Compte ILN - shipper - POL)]],'DATA ILN'!B:K,10,FALSE))</f>
        <v>#N/A</v>
      </c>
      <c r="T307" s="50" t="e">
        <f>IFERROR(VLOOKUP(Tableau1[[#This Row],[Key(Compte ILN - shipper - POL - plant)]],'DATA ILN'!A:L,12,FALSE),VLOOKUP(Tableau1[[#This Row],[Key(Compte ILN - shipper - POL)]],'DATA ILN'!B:L,11,FALSE))</f>
        <v>#N/A</v>
      </c>
      <c r="U307" s="50" t="e">
        <f>Tableau1[[#This Row],[Day ILN Order]]+Tableau1[[#This Row],[Delivery time to ILN/Shipper]]-1</f>
        <v>#N/A</v>
      </c>
      <c r="V307" s="50" t="e">
        <f>IFERROR(VLOOKUP(Tableau1[[#This Row],[Key(Compte ILN - shipper - POL - plant)]],'DATA ILN'!A:N,14,FALSE),VLOOKUP(Tableau1[[#This Row],[Key(Compte ILN - shipper - POL)]],'DATA ILN'!B:N,13,FALSE))</f>
        <v>#N/A</v>
      </c>
      <c r="W307" s="50" t="e">
        <f>IFERROR(VLOOKUP(Tableau1[[#This Row],[Key(Compte ILN - shipper - POL - plant)]],'DATA ILN'!A:P,16,FALSE),VLOOKUP(Tableau1[[#This Row],[Key(Compte ILN - shipper - POL)]],'DATA ILN'!B:P,15,FALSE))</f>
        <v>#N/A</v>
      </c>
      <c r="X307" s="283"/>
      <c r="Y307" s="489">
        <f>IFERROR(VLOOKUP(Tableau1[[#This Row],[Name Shipper]],Plant_AILN!L:M,2,FALSE),0)</f>
        <v>0</v>
      </c>
      <c r="Z307" s="358"/>
      <c r="AA307" s="353" t="e">
        <f ca="1">VLOOKUP(Tableau1[[#This Row],[Key(ID-Actif)]],'DATA BTO'!A:N,5,FALSE)</f>
        <v>#N/A</v>
      </c>
      <c r="AB307" s="3" t="e">
        <f ca="1">VLOOKUP(Tableau1[[#This Row],[Key(ID-Actif)]],'DATA BTO'!A:N,6,FALSE)</f>
        <v>#N/A</v>
      </c>
      <c r="AC307" s="50" t="e">
        <f ca="1">VLOOKUP(Tableau1[[#This Row],[Key(ID-Actif)]],'DATA BTO'!A:N,7,FALSE)</f>
        <v>#N/A</v>
      </c>
      <c r="AD307" s="50" t="e">
        <f ca="1">VLOOKUP(Tableau1[[#This Row],[Key(ID-Actif)]],'DATA BTO'!A:N,8,FALSE)</f>
        <v>#N/A</v>
      </c>
      <c r="AE307" s="406" t="e">
        <f ca="1">IF(Tableau1[[#This Row],[First Day to POL]]&lt;=Tableau1[[#This Row],[Day Cut Off]],Tableau1[[#This Row],[Day ETD]],Tableau1[[#This Row],[Day ETD]]+7)</f>
        <v>#N/A</v>
      </c>
      <c r="AF307" s="50" t="e">
        <f ca="1">VLOOKUP(Tableau1[[#This Row],[Key(ID-Actif)]],'DATA BTO'!A:N,9,FALSE)</f>
        <v>#N/A</v>
      </c>
      <c r="AG307" s="3" t="e">
        <f ca="1">VLOOKUP(Tableau1[[#This Row],[Key(ID-Actif)]],'DATA BTO'!A:N,10,FALSE)</f>
        <v>#N/A</v>
      </c>
      <c r="AH307" s="3" t="e">
        <f ca="1">VLOOKUP(Tableau1[[#This Row],[Key(ID-Actif)]],'DATA BTO'!A:N,11,FALSE)</f>
        <v>#N/A</v>
      </c>
      <c r="AI307" s="50" t="e">
        <f ca="1">VLOOKUP(Tableau1[[#This Row],[Key(ID-Actif)]],'DATA BTO'!A:N,12,FALSE)</f>
        <v>#N/A</v>
      </c>
      <c r="AJ307" s="53" t="e">
        <f ca="1">VLOOKUP(Tableau1[[#This Row],[Key(ID-Actif)]],'DATA BTO'!A:N,14,FALSE)</f>
        <v>#N/A</v>
      </c>
      <c r="AK307" s="54" t="e">
        <f ca="1">VLOOKUP(Tableau1[[#This Row],[Key(POD -PFI- Usine)]],'DATA Consignee'!A:F,6,FALSE)</f>
        <v>#N/A</v>
      </c>
      <c r="AL307" s="283"/>
      <c r="AM307" s="490" t="str">
        <f>IF(Tableau1[[#This Row],[Name PFI/CDD]]="","-",VLOOKUP(Tableau1[[#This Row],[Name PFI/CDD]],Plant_AILN!I:J,2,FALSE))</f>
        <v>-</v>
      </c>
      <c r="AN30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7" s="2" t="e">
        <f ca="1">VLOOKUP(Tableau1[[#This Row],[Key(POD -PFI- Usine)]],'DATA Consignee'!A:J,10,FALSE)</f>
        <v>#N/A</v>
      </c>
      <c r="AQ307" s="50" t="e">
        <f ca="1">VLOOKUP(Tableau1[[#This Row],[Key(POD -PFI- Usine)]],'DATA Consignee'!A:N,14,FALSE)</f>
        <v>#N/A</v>
      </c>
      <c r="AR30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7" s="50" t="e">
        <f ca="1">Tableau1[[#This Row],[Transit time]]+Tableau1[[#This Row],[Time for security]]+Tableau1[[#This Row],[Time for security2 buffer]]</f>
        <v>#N/A</v>
      </c>
      <c r="AU30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7" s="50" t="e">
        <f ca="1">Tableau1[[#This Row],[Leadtime SI2C]]+Tableau1[[#This Row],[First Receipt Days]]-Tableau1[[#This Row],[Day Customer Order]]+1</f>
        <v>#N/A</v>
      </c>
      <c r="AW307" s="117" t="e">
        <f ca="1">IF(Tableau1[[#This Row],[Name ILN]]&lt;&gt;"SFK Freight Forwarder",Tableau1[[#This Row],[Cust. Leadtime]],Tableau1[[#This Row],[Leadtime SI2C]])</f>
        <v>#N/A</v>
      </c>
      <c r="AX307" s="57" t="e">
        <f>VLOOKUP(Tableau1[[#This Row],[ID]],'DATA BTO'!B:P,15,FALSE)</f>
        <v>#N/A</v>
      </c>
      <c r="AY307" s="328" t="e">
        <f ca="1">IFERROR(VLOOKUP(Tableau1[[#This Row],[Key(ID-Actif)]],'DATA BTO'!A:N,4,FALSE),VLOOKUP(Tableau1[[#This Row],[ID]],'DATA BTO'!B:N,3,FALSE))</f>
        <v>#N/A</v>
      </c>
      <c r="AZ30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7" s="50"/>
    </row>
    <row r="308" spans="2:57">
      <c r="B308" s="405" t="str">
        <f>_xlfn.CONCAT(Tableau1[[#This Row],[Name ILN]],"-",Tableau1[[#This Row],[Name Shipper]],"-",Tableau1[[#This Row],[Name Site]])</f>
        <v>--</v>
      </c>
      <c r="C308" s="64" t="e">
        <f>_xlfn.CONCAT(Tableau1[[#This Row],[Compte ILN]],"-",Tableau1[[#This Row],[Compte Shipper]],"-",Tableau1[[#This Row],[POL]],"-",Tableau1[[#This Row],[Compte Consignee]])</f>
        <v>#N/A</v>
      </c>
      <c r="D308" s="64" t="e">
        <f>_xlfn.CONCAT(Tableau1[[#This Row],[Compte ILN]],"-",Tableau1[[#This Row],[Compte Shipper]],"-",Tableau1[[#This Row],[POL]])</f>
        <v>#N/A</v>
      </c>
      <c r="E308" s="128" t="e">
        <f ca="1">_xlfn.CONCAT(Tableau1[[#This Row],[POL]],"-",Tableau1[[#This Row],[Carrier]],"-",Tableau1[[#This Row],[POD]])</f>
        <v>#N/A</v>
      </c>
      <c r="F308" s="64" t="str">
        <f>_xlfn.CONCAT(Tableau1[[#This Row],[ID]],"-","Actif")</f>
        <v>-Actif</v>
      </c>
      <c r="G308" s="64" t="e">
        <f ca="1">_xlfn.CONCAT(Tableau1[[#This Row],[POD]],"-",Tableau1[[#This Row],[Code PFI]],"-",Tableau1[[#This Row],[Compte Consignee]])</f>
        <v>#N/A</v>
      </c>
      <c r="H30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8" s="117" t="str">
        <f ca="1">IF(COUNTIF(I:I,Tableau1[[#This Row],[Plant-ILN-shipper-POL-Carrier-POD-PFI]])=1,"Non","Oui")</f>
        <v>Oui</v>
      </c>
      <c r="K308" s="126" t="e">
        <f>VLOOKUP(Tableau1[[#This Row],[Name Site]],Plant_AILN!A:D,4,FALSE)</f>
        <v>#N/A</v>
      </c>
      <c r="L308" s="363"/>
      <c r="M308" s="492" t="e">
        <f>VLOOKUP(Tableau1[[#This Row],[Name Site]],Plant_AILN!A:C,3,FALSE)</f>
        <v>#N/A</v>
      </c>
      <c r="N308" s="55" t="e">
        <f>VLOOKUP(Tableau1[[#This Row],[Compte Consignee]],Order!C:D,2,FALSE)</f>
        <v>#N/A</v>
      </c>
      <c r="O308" s="122"/>
      <c r="P308" s="481" t="e">
        <f>VLOOKUP(Tableau1[[#This Row],[Name ILN]],Plant_AILN!F:G,2,FALSE)</f>
        <v>#N/A</v>
      </c>
      <c r="Q308" s="50" t="e">
        <f>VLOOKUP(Tableau1[[#This Row],[Compte ILN]],'DATA ILN'!D:I,6,FALSE)</f>
        <v>#N/A</v>
      </c>
      <c r="R308" s="50" t="e">
        <f>IFERROR(VLOOKUP(Tableau1[[#This Row],[Key(Compte ILN - shipper - POL - plant)]],'DATA ILN'!A:J,10,FALSE),VLOOKUP(Tableau1[[#This Row],[Key(Compte ILN - shipper - POL)]],'DATA ILN'!B:J,9,FALSE))</f>
        <v>#N/A</v>
      </c>
      <c r="S308" s="50" t="e">
        <f>IFERROR(VLOOKUP(Tableau1[[#This Row],[Key(Compte ILN - shipper - POL - plant)]],'DATA ILN'!A:K,11,FALSE),VLOOKUP(Tableau1[[#This Row],[Key(Compte ILN - shipper - POL)]],'DATA ILN'!B:K,10,FALSE))</f>
        <v>#N/A</v>
      </c>
      <c r="T308" s="50" t="e">
        <f>IFERROR(VLOOKUP(Tableau1[[#This Row],[Key(Compte ILN - shipper - POL - plant)]],'DATA ILN'!A:L,12,FALSE),VLOOKUP(Tableau1[[#This Row],[Key(Compte ILN - shipper - POL)]],'DATA ILN'!B:L,11,FALSE))</f>
        <v>#N/A</v>
      </c>
      <c r="U308" s="50" t="e">
        <f>Tableau1[[#This Row],[Day ILN Order]]+Tableau1[[#This Row],[Delivery time to ILN/Shipper]]-1</f>
        <v>#N/A</v>
      </c>
      <c r="V308" s="50" t="e">
        <f>IFERROR(VLOOKUP(Tableau1[[#This Row],[Key(Compte ILN - shipper - POL - plant)]],'DATA ILN'!A:N,14,FALSE),VLOOKUP(Tableau1[[#This Row],[Key(Compte ILN - shipper - POL)]],'DATA ILN'!B:N,13,FALSE))</f>
        <v>#N/A</v>
      </c>
      <c r="W308" s="50" t="e">
        <f>IFERROR(VLOOKUP(Tableau1[[#This Row],[Key(Compte ILN - shipper - POL - plant)]],'DATA ILN'!A:P,16,FALSE),VLOOKUP(Tableau1[[#This Row],[Key(Compte ILN - shipper - POL)]],'DATA ILN'!B:P,15,FALSE))</f>
        <v>#N/A</v>
      </c>
      <c r="X308" s="283"/>
      <c r="Y308" s="489">
        <f>IFERROR(VLOOKUP(Tableau1[[#This Row],[Name Shipper]],Plant_AILN!L:M,2,FALSE),0)</f>
        <v>0</v>
      </c>
      <c r="Z308" s="358"/>
      <c r="AA308" s="353" t="e">
        <f ca="1">VLOOKUP(Tableau1[[#This Row],[Key(ID-Actif)]],'DATA BTO'!A:N,5,FALSE)</f>
        <v>#N/A</v>
      </c>
      <c r="AB308" s="3" t="e">
        <f ca="1">VLOOKUP(Tableau1[[#This Row],[Key(ID-Actif)]],'DATA BTO'!A:N,6,FALSE)</f>
        <v>#N/A</v>
      </c>
      <c r="AC308" s="50" t="e">
        <f ca="1">VLOOKUP(Tableau1[[#This Row],[Key(ID-Actif)]],'DATA BTO'!A:N,7,FALSE)</f>
        <v>#N/A</v>
      </c>
      <c r="AD308" s="50" t="e">
        <f ca="1">VLOOKUP(Tableau1[[#This Row],[Key(ID-Actif)]],'DATA BTO'!A:N,8,FALSE)</f>
        <v>#N/A</v>
      </c>
      <c r="AE308" s="406" t="e">
        <f ca="1">IF(Tableau1[[#This Row],[First Day to POL]]&lt;=Tableau1[[#This Row],[Day Cut Off]],Tableau1[[#This Row],[Day ETD]],Tableau1[[#This Row],[Day ETD]]+7)</f>
        <v>#N/A</v>
      </c>
      <c r="AF308" s="50" t="e">
        <f ca="1">VLOOKUP(Tableau1[[#This Row],[Key(ID-Actif)]],'DATA BTO'!A:N,9,FALSE)</f>
        <v>#N/A</v>
      </c>
      <c r="AG308" s="3" t="e">
        <f ca="1">VLOOKUP(Tableau1[[#This Row],[Key(ID-Actif)]],'DATA BTO'!A:N,10,FALSE)</f>
        <v>#N/A</v>
      </c>
      <c r="AH308" s="3" t="e">
        <f ca="1">VLOOKUP(Tableau1[[#This Row],[Key(ID-Actif)]],'DATA BTO'!A:N,11,FALSE)</f>
        <v>#N/A</v>
      </c>
      <c r="AI308" s="50" t="e">
        <f ca="1">VLOOKUP(Tableau1[[#This Row],[Key(ID-Actif)]],'DATA BTO'!A:N,12,FALSE)</f>
        <v>#N/A</v>
      </c>
      <c r="AJ308" s="53" t="e">
        <f ca="1">VLOOKUP(Tableau1[[#This Row],[Key(ID-Actif)]],'DATA BTO'!A:N,14,FALSE)</f>
        <v>#N/A</v>
      </c>
      <c r="AK308" s="54" t="e">
        <f ca="1">VLOOKUP(Tableau1[[#This Row],[Key(POD -PFI- Usine)]],'DATA Consignee'!A:F,6,FALSE)</f>
        <v>#N/A</v>
      </c>
      <c r="AL308" s="283"/>
      <c r="AM308" s="490" t="str">
        <f>IF(Tableau1[[#This Row],[Name PFI/CDD]]="","-",VLOOKUP(Tableau1[[#This Row],[Name PFI/CDD]],Plant_AILN!I:J,2,FALSE))</f>
        <v>-</v>
      </c>
      <c r="AN30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8" s="2" t="e">
        <f ca="1">VLOOKUP(Tableau1[[#This Row],[Key(POD -PFI- Usine)]],'DATA Consignee'!A:J,10,FALSE)</f>
        <v>#N/A</v>
      </c>
      <c r="AQ308" s="50" t="e">
        <f ca="1">VLOOKUP(Tableau1[[#This Row],[Key(POD -PFI- Usine)]],'DATA Consignee'!A:N,14,FALSE)</f>
        <v>#N/A</v>
      </c>
      <c r="AR30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8" s="50" t="e">
        <f ca="1">Tableau1[[#This Row],[Transit time]]+Tableau1[[#This Row],[Time for security]]+Tableau1[[#This Row],[Time for security2 buffer]]</f>
        <v>#N/A</v>
      </c>
      <c r="AU30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8" s="50" t="e">
        <f ca="1">Tableau1[[#This Row],[Leadtime SI2C]]+Tableau1[[#This Row],[First Receipt Days]]-Tableau1[[#This Row],[Day Customer Order]]+1</f>
        <v>#N/A</v>
      </c>
      <c r="AW308" s="117" t="e">
        <f ca="1">IF(Tableau1[[#This Row],[Name ILN]]&lt;&gt;"SFK Freight Forwarder",Tableau1[[#This Row],[Cust. Leadtime]],Tableau1[[#This Row],[Leadtime SI2C]])</f>
        <v>#N/A</v>
      </c>
      <c r="AX308" s="57" t="e">
        <f>VLOOKUP(Tableau1[[#This Row],[ID]],'DATA BTO'!B:P,15,FALSE)</f>
        <v>#N/A</v>
      </c>
      <c r="AY308" s="328" t="e">
        <f ca="1">IFERROR(VLOOKUP(Tableau1[[#This Row],[Key(ID-Actif)]],'DATA BTO'!A:N,4,FALSE),VLOOKUP(Tableau1[[#This Row],[ID]],'DATA BTO'!B:N,3,FALSE))</f>
        <v>#N/A</v>
      </c>
      <c r="AZ30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8" s="50"/>
    </row>
    <row r="309" spans="2:57">
      <c r="B309" s="405" t="str">
        <f>_xlfn.CONCAT(Tableau1[[#This Row],[Name ILN]],"-",Tableau1[[#This Row],[Name Shipper]],"-",Tableau1[[#This Row],[Name Site]])</f>
        <v>--</v>
      </c>
      <c r="C309" s="64" t="e">
        <f>_xlfn.CONCAT(Tableau1[[#This Row],[Compte ILN]],"-",Tableau1[[#This Row],[Compte Shipper]],"-",Tableau1[[#This Row],[POL]],"-",Tableau1[[#This Row],[Compte Consignee]])</f>
        <v>#N/A</v>
      </c>
      <c r="D309" s="64" t="e">
        <f>_xlfn.CONCAT(Tableau1[[#This Row],[Compte ILN]],"-",Tableau1[[#This Row],[Compte Shipper]],"-",Tableau1[[#This Row],[POL]])</f>
        <v>#N/A</v>
      </c>
      <c r="E309" s="128" t="e">
        <f ca="1">_xlfn.CONCAT(Tableau1[[#This Row],[POL]],"-",Tableau1[[#This Row],[Carrier]],"-",Tableau1[[#This Row],[POD]])</f>
        <v>#N/A</v>
      </c>
      <c r="F309" s="64" t="str">
        <f>_xlfn.CONCAT(Tableau1[[#This Row],[ID]],"-","Actif")</f>
        <v>-Actif</v>
      </c>
      <c r="G309" s="64" t="e">
        <f ca="1">_xlfn.CONCAT(Tableau1[[#This Row],[POD]],"-",Tableau1[[#This Row],[Code PFI]],"-",Tableau1[[#This Row],[Compte Consignee]])</f>
        <v>#N/A</v>
      </c>
      <c r="H30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0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09" s="117" t="str">
        <f ca="1">IF(COUNTIF(I:I,Tableau1[[#This Row],[Plant-ILN-shipper-POL-Carrier-POD-PFI]])=1,"Non","Oui")</f>
        <v>Oui</v>
      </c>
      <c r="K309" s="126" t="e">
        <f>VLOOKUP(Tableau1[[#This Row],[Name Site]],Plant_AILN!A:D,4,FALSE)</f>
        <v>#N/A</v>
      </c>
      <c r="L309" s="363"/>
      <c r="M309" s="492" t="e">
        <f>VLOOKUP(Tableau1[[#This Row],[Name Site]],Plant_AILN!A:C,3,FALSE)</f>
        <v>#N/A</v>
      </c>
      <c r="N309" s="55" t="e">
        <f>VLOOKUP(Tableau1[[#This Row],[Compte Consignee]],Order!C:D,2,FALSE)</f>
        <v>#N/A</v>
      </c>
      <c r="O309" s="122"/>
      <c r="P309" s="481" t="e">
        <f>VLOOKUP(Tableau1[[#This Row],[Name ILN]],Plant_AILN!F:G,2,FALSE)</f>
        <v>#N/A</v>
      </c>
      <c r="Q309" s="50" t="e">
        <f>VLOOKUP(Tableau1[[#This Row],[Compte ILN]],'DATA ILN'!D:I,6,FALSE)</f>
        <v>#N/A</v>
      </c>
      <c r="R309" s="50" t="e">
        <f>IFERROR(VLOOKUP(Tableau1[[#This Row],[Key(Compte ILN - shipper - POL - plant)]],'DATA ILN'!A:J,10,FALSE),VLOOKUP(Tableau1[[#This Row],[Key(Compte ILN - shipper - POL)]],'DATA ILN'!B:J,9,FALSE))</f>
        <v>#N/A</v>
      </c>
      <c r="S309" s="50" t="e">
        <f>IFERROR(VLOOKUP(Tableau1[[#This Row],[Key(Compte ILN - shipper - POL - plant)]],'DATA ILN'!A:K,11,FALSE),VLOOKUP(Tableau1[[#This Row],[Key(Compte ILN - shipper - POL)]],'DATA ILN'!B:K,10,FALSE))</f>
        <v>#N/A</v>
      </c>
      <c r="T309" s="50" t="e">
        <f>IFERROR(VLOOKUP(Tableau1[[#This Row],[Key(Compte ILN - shipper - POL - plant)]],'DATA ILN'!A:L,12,FALSE),VLOOKUP(Tableau1[[#This Row],[Key(Compte ILN - shipper - POL)]],'DATA ILN'!B:L,11,FALSE))</f>
        <v>#N/A</v>
      </c>
      <c r="U309" s="50" t="e">
        <f>Tableau1[[#This Row],[Day ILN Order]]+Tableau1[[#This Row],[Delivery time to ILN/Shipper]]-1</f>
        <v>#N/A</v>
      </c>
      <c r="V309" s="50" t="e">
        <f>IFERROR(VLOOKUP(Tableau1[[#This Row],[Key(Compte ILN - shipper - POL - plant)]],'DATA ILN'!A:N,14,FALSE),VLOOKUP(Tableau1[[#This Row],[Key(Compte ILN - shipper - POL)]],'DATA ILN'!B:N,13,FALSE))</f>
        <v>#N/A</v>
      </c>
      <c r="W309" s="50" t="e">
        <f>IFERROR(VLOOKUP(Tableau1[[#This Row],[Key(Compte ILN - shipper - POL - plant)]],'DATA ILN'!A:P,16,FALSE),VLOOKUP(Tableau1[[#This Row],[Key(Compte ILN - shipper - POL)]],'DATA ILN'!B:P,15,FALSE))</f>
        <v>#N/A</v>
      </c>
      <c r="X309" s="283"/>
      <c r="Y309" s="489">
        <f>IFERROR(VLOOKUP(Tableau1[[#This Row],[Name Shipper]],Plant_AILN!L:M,2,FALSE),0)</f>
        <v>0</v>
      </c>
      <c r="Z309" s="358"/>
      <c r="AA309" s="353" t="e">
        <f ca="1">VLOOKUP(Tableau1[[#This Row],[Key(ID-Actif)]],'DATA BTO'!A:N,5,FALSE)</f>
        <v>#N/A</v>
      </c>
      <c r="AB309" s="3" t="e">
        <f ca="1">VLOOKUP(Tableau1[[#This Row],[Key(ID-Actif)]],'DATA BTO'!A:N,6,FALSE)</f>
        <v>#N/A</v>
      </c>
      <c r="AC309" s="50" t="e">
        <f ca="1">VLOOKUP(Tableau1[[#This Row],[Key(ID-Actif)]],'DATA BTO'!A:N,7,FALSE)</f>
        <v>#N/A</v>
      </c>
      <c r="AD309" s="50" t="e">
        <f ca="1">VLOOKUP(Tableau1[[#This Row],[Key(ID-Actif)]],'DATA BTO'!A:N,8,FALSE)</f>
        <v>#N/A</v>
      </c>
      <c r="AE309" s="406" t="e">
        <f ca="1">IF(Tableau1[[#This Row],[First Day to POL]]&lt;=Tableau1[[#This Row],[Day Cut Off]],Tableau1[[#This Row],[Day ETD]],Tableau1[[#This Row],[Day ETD]]+7)</f>
        <v>#N/A</v>
      </c>
      <c r="AF309" s="50" t="e">
        <f ca="1">VLOOKUP(Tableau1[[#This Row],[Key(ID-Actif)]],'DATA BTO'!A:N,9,FALSE)</f>
        <v>#N/A</v>
      </c>
      <c r="AG309" s="3" t="e">
        <f ca="1">VLOOKUP(Tableau1[[#This Row],[Key(ID-Actif)]],'DATA BTO'!A:N,10,FALSE)</f>
        <v>#N/A</v>
      </c>
      <c r="AH309" s="3" t="e">
        <f ca="1">VLOOKUP(Tableau1[[#This Row],[Key(ID-Actif)]],'DATA BTO'!A:N,11,FALSE)</f>
        <v>#N/A</v>
      </c>
      <c r="AI309" s="50" t="e">
        <f ca="1">VLOOKUP(Tableau1[[#This Row],[Key(ID-Actif)]],'DATA BTO'!A:N,12,FALSE)</f>
        <v>#N/A</v>
      </c>
      <c r="AJ309" s="53" t="e">
        <f ca="1">VLOOKUP(Tableau1[[#This Row],[Key(ID-Actif)]],'DATA BTO'!A:N,14,FALSE)</f>
        <v>#N/A</v>
      </c>
      <c r="AK309" s="54" t="e">
        <f ca="1">VLOOKUP(Tableau1[[#This Row],[Key(POD -PFI- Usine)]],'DATA Consignee'!A:F,6,FALSE)</f>
        <v>#N/A</v>
      </c>
      <c r="AL309" s="283"/>
      <c r="AM309" s="490" t="str">
        <f>IF(Tableau1[[#This Row],[Name PFI/CDD]]="","-",VLOOKUP(Tableau1[[#This Row],[Name PFI/CDD]],Plant_AILN!I:J,2,FALSE))</f>
        <v>-</v>
      </c>
      <c r="AN30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0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09" s="2" t="e">
        <f ca="1">VLOOKUP(Tableau1[[#This Row],[Key(POD -PFI- Usine)]],'DATA Consignee'!A:J,10,FALSE)</f>
        <v>#N/A</v>
      </c>
      <c r="AQ309" s="50" t="e">
        <f ca="1">VLOOKUP(Tableau1[[#This Row],[Key(POD -PFI- Usine)]],'DATA Consignee'!A:N,14,FALSE)</f>
        <v>#N/A</v>
      </c>
      <c r="AR30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0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09" s="50" t="e">
        <f ca="1">Tableau1[[#This Row],[Transit time]]+Tableau1[[#This Row],[Time for security]]+Tableau1[[#This Row],[Time for security2 buffer]]</f>
        <v>#N/A</v>
      </c>
      <c r="AU30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09" s="50" t="e">
        <f ca="1">Tableau1[[#This Row],[Leadtime SI2C]]+Tableau1[[#This Row],[First Receipt Days]]-Tableau1[[#This Row],[Day Customer Order]]+1</f>
        <v>#N/A</v>
      </c>
      <c r="AW309" s="117" t="e">
        <f ca="1">IF(Tableau1[[#This Row],[Name ILN]]&lt;&gt;"SFK Freight Forwarder",Tableau1[[#This Row],[Cust. Leadtime]],Tableau1[[#This Row],[Leadtime SI2C]])</f>
        <v>#N/A</v>
      </c>
      <c r="AX309" s="57" t="e">
        <f>VLOOKUP(Tableau1[[#This Row],[ID]],'DATA BTO'!B:P,15,FALSE)</f>
        <v>#N/A</v>
      </c>
      <c r="AY309" s="328" t="e">
        <f ca="1">IFERROR(VLOOKUP(Tableau1[[#This Row],[Key(ID-Actif)]],'DATA BTO'!A:N,4,FALSE),VLOOKUP(Tableau1[[#This Row],[ID]],'DATA BTO'!B:N,3,FALSE))</f>
        <v>#N/A</v>
      </c>
      <c r="AZ30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0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0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9" s="50"/>
    </row>
    <row r="310" spans="2:57">
      <c r="B310" s="405" t="str">
        <f>_xlfn.CONCAT(Tableau1[[#This Row],[Name ILN]],"-",Tableau1[[#This Row],[Name Shipper]],"-",Tableau1[[#This Row],[Name Site]])</f>
        <v>--</v>
      </c>
      <c r="C310" s="64" t="e">
        <f>_xlfn.CONCAT(Tableau1[[#This Row],[Compte ILN]],"-",Tableau1[[#This Row],[Compte Shipper]],"-",Tableau1[[#This Row],[POL]],"-",Tableau1[[#This Row],[Compte Consignee]])</f>
        <v>#N/A</v>
      </c>
      <c r="D310" s="64" t="e">
        <f>_xlfn.CONCAT(Tableau1[[#This Row],[Compte ILN]],"-",Tableau1[[#This Row],[Compte Shipper]],"-",Tableau1[[#This Row],[POL]])</f>
        <v>#N/A</v>
      </c>
      <c r="E310" s="128" t="e">
        <f ca="1">_xlfn.CONCAT(Tableau1[[#This Row],[POL]],"-",Tableau1[[#This Row],[Carrier]],"-",Tableau1[[#This Row],[POD]])</f>
        <v>#N/A</v>
      </c>
      <c r="F310" s="64" t="str">
        <f>_xlfn.CONCAT(Tableau1[[#This Row],[ID]],"-","Actif")</f>
        <v>-Actif</v>
      </c>
      <c r="G310" s="64" t="e">
        <f ca="1">_xlfn.CONCAT(Tableau1[[#This Row],[POD]],"-",Tableau1[[#This Row],[Code PFI]],"-",Tableau1[[#This Row],[Compte Consignee]])</f>
        <v>#N/A</v>
      </c>
      <c r="H31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0" s="117" t="str">
        <f ca="1">IF(COUNTIF(I:I,Tableau1[[#This Row],[Plant-ILN-shipper-POL-Carrier-POD-PFI]])=1,"Non","Oui")</f>
        <v>Oui</v>
      </c>
      <c r="K310" s="126" t="e">
        <f>VLOOKUP(Tableau1[[#This Row],[Name Site]],Plant_AILN!A:D,4,FALSE)</f>
        <v>#N/A</v>
      </c>
      <c r="L310" s="363"/>
      <c r="M310" s="492" t="e">
        <f>VLOOKUP(Tableau1[[#This Row],[Name Site]],Plant_AILN!A:C,3,FALSE)</f>
        <v>#N/A</v>
      </c>
      <c r="N310" s="55" t="e">
        <f>VLOOKUP(Tableau1[[#This Row],[Compte Consignee]],Order!C:D,2,FALSE)</f>
        <v>#N/A</v>
      </c>
      <c r="O310" s="122"/>
      <c r="P310" s="481" t="e">
        <f>VLOOKUP(Tableau1[[#This Row],[Name ILN]],Plant_AILN!F:G,2,FALSE)</f>
        <v>#N/A</v>
      </c>
      <c r="Q310" s="50" t="e">
        <f>VLOOKUP(Tableau1[[#This Row],[Compte ILN]],'DATA ILN'!D:I,6,FALSE)</f>
        <v>#N/A</v>
      </c>
      <c r="R310" s="50" t="e">
        <f>IFERROR(VLOOKUP(Tableau1[[#This Row],[Key(Compte ILN - shipper - POL - plant)]],'DATA ILN'!A:J,10,FALSE),VLOOKUP(Tableau1[[#This Row],[Key(Compte ILN - shipper - POL)]],'DATA ILN'!B:J,9,FALSE))</f>
        <v>#N/A</v>
      </c>
      <c r="S310" s="50" t="e">
        <f>IFERROR(VLOOKUP(Tableau1[[#This Row],[Key(Compte ILN - shipper - POL - plant)]],'DATA ILN'!A:K,11,FALSE),VLOOKUP(Tableau1[[#This Row],[Key(Compte ILN - shipper - POL)]],'DATA ILN'!B:K,10,FALSE))</f>
        <v>#N/A</v>
      </c>
      <c r="T310" s="50" t="e">
        <f>IFERROR(VLOOKUP(Tableau1[[#This Row],[Key(Compte ILN - shipper - POL - plant)]],'DATA ILN'!A:L,12,FALSE),VLOOKUP(Tableau1[[#This Row],[Key(Compte ILN - shipper - POL)]],'DATA ILN'!B:L,11,FALSE))</f>
        <v>#N/A</v>
      </c>
      <c r="U310" s="50" t="e">
        <f>Tableau1[[#This Row],[Day ILN Order]]+Tableau1[[#This Row],[Delivery time to ILN/Shipper]]-1</f>
        <v>#N/A</v>
      </c>
      <c r="V310" s="50" t="e">
        <f>IFERROR(VLOOKUP(Tableau1[[#This Row],[Key(Compte ILN - shipper - POL - plant)]],'DATA ILN'!A:N,14,FALSE),VLOOKUP(Tableau1[[#This Row],[Key(Compte ILN - shipper - POL)]],'DATA ILN'!B:N,13,FALSE))</f>
        <v>#N/A</v>
      </c>
      <c r="W310" s="50" t="e">
        <f>IFERROR(VLOOKUP(Tableau1[[#This Row],[Key(Compte ILN - shipper - POL - plant)]],'DATA ILN'!A:P,16,FALSE),VLOOKUP(Tableau1[[#This Row],[Key(Compte ILN - shipper - POL)]],'DATA ILN'!B:P,15,FALSE))</f>
        <v>#N/A</v>
      </c>
      <c r="X310" s="283"/>
      <c r="Y310" s="489">
        <f>IFERROR(VLOOKUP(Tableau1[[#This Row],[Name Shipper]],Plant_AILN!L:M,2,FALSE),0)</f>
        <v>0</v>
      </c>
      <c r="Z310" s="358"/>
      <c r="AA310" s="353" t="e">
        <f ca="1">VLOOKUP(Tableau1[[#This Row],[Key(ID-Actif)]],'DATA BTO'!A:N,5,FALSE)</f>
        <v>#N/A</v>
      </c>
      <c r="AB310" s="3" t="e">
        <f ca="1">VLOOKUP(Tableau1[[#This Row],[Key(ID-Actif)]],'DATA BTO'!A:N,6,FALSE)</f>
        <v>#N/A</v>
      </c>
      <c r="AC310" s="50" t="e">
        <f ca="1">VLOOKUP(Tableau1[[#This Row],[Key(ID-Actif)]],'DATA BTO'!A:N,7,FALSE)</f>
        <v>#N/A</v>
      </c>
      <c r="AD310" s="50" t="e">
        <f ca="1">VLOOKUP(Tableau1[[#This Row],[Key(ID-Actif)]],'DATA BTO'!A:N,8,FALSE)</f>
        <v>#N/A</v>
      </c>
      <c r="AE310" s="406" t="e">
        <f ca="1">IF(Tableau1[[#This Row],[First Day to POL]]&lt;=Tableau1[[#This Row],[Day Cut Off]],Tableau1[[#This Row],[Day ETD]],Tableau1[[#This Row],[Day ETD]]+7)</f>
        <v>#N/A</v>
      </c>
      <c r="AF310" s="50" t="e">
        <f ca="1">VLOOKUP(Tableau1[[#This Row],[Key(ID-Actif)]],'DATA BTO'!A:N,9,FALSE)</f>
        <v>#N/A</v>
      </c>
      <c r="AG310" s="3" t="e">
        <f ca="1">VLOOKUP(Tableau1[[#This Row],[Key(ID-Actif)]],'DATA BTO'!A:N,10,FALSE)</f>
        <v>#N/A</v>
      </c>
      <c r="AH310" s="3" t="e">
        <f ca="1">VLOOKUP(Tableau1[[#This Row],[Key(ID-Actif)]],'DATA BTO'!A:N,11,FALSE)</f>
        <v>#N/A</v>
      </c>
      <c r="AI310" s="50" t="e">
        <f ca="1">VLOOKUP(Tableau1[[#This Row],[Key(ID-Actif)]],'DATA BTO'!A:N,12,FALSE)</f>
        <v>#N/A</v>
      </c>
      <c r="AJ310" s="53" t="e">
        <f ca="1">VLOOKUP(Tableau1[[#This Row],[Key(ID-Actif)]],'DATA BTO'!A:N,14,FALSE)</f>
        <v>#N/A</v>
      </c>
      <c r="AK310" s="54" t="e">
        <f ca="1">VLOOKUP(Tableau1[[#This Row],[Key(POD -PFI- Usine)]],'DATA Consignee'!A:F,6,FALSE)</f>
        <v>#N/A</v>
      </c>
      <c r="AL310" s="283"/>
      <c r="AM310" s="490" t="str">
        <f>IF(Tableau1[[#This Row],[Name PFI/CDD]]="","-",VLOOKUP(Tableau1[[#This Row],[Name PFI/CDD]],Plant_AILN!I:J,2,FALSE))</f>
        <v>-</v>
      </c>
      <c r="AN31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0" s="2" t="e">
        <f ca="1">VLOOKUP(Tableau1[[#This Row],[Key(POD -PFI- Usine)]],'DATA Consignee'!A:J,10,FALSE)</f>
        <v>#N/A</v>
      </c>
      <c r="AQ310" s="50" t="e">
        <f ca="1">VLOOKUP(Tableau1[[#This Row],[Key(POD -PFI- Usine)]],'DATA Consignee'!A:N,14,FALSE)</f>
        <v>#N/A</v>
      </c>
      <c r="AR31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0" s="50" t="e">
        <f ca="1">Tableau1[[#This Row],[Transit time]]+Tableau1[[#This Row],[Time for security]]+Tableau1[[#This Row],[Time for security2 buffer]]</f>
        <v>#N/A</v>
      </c>
      <c r="AU31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0" s="50" t="e">
        <f ca="1">Tableau1[[#This Row],[Leadtime SI2C]]+Tableau1[[#This Row],[First Receipt Days]]-Tableau1[[#This Row],[Day Customer Order]]+1</f>
        <v>#N/A</v>
      </c>
      <c r="AW310" s="117" t="e">
        <f ca="1">IF(Tableau1[[#This Row],[Name ILN]]&lt;&gt;"SFK Freight Forwarder",Tableau1[[#This Row],[Cust. Leadtime]],Tableau1[[#This Row],[Leadtime SI2C]])</f>
        <v>#N/A</v>
      </c>
      <c r="AX310" s="57" t="e">
        <f>VLOOKUP(Tableau1[[#This Row],[ID]],'DATA BTO'!B:P,15,FALSE)</f>
        <v>#N/A</v>
      </c>
      <c r="AY310" s="328" t="e">
        <f ca="1">IFERROR(VLOOKUP(Tableau1[[#This Row],[Key(ID-Actif)]],'DATA BTO'!A:N,4,FALSE),VLOOKUP(Tableau1[[#This Row],[ID]],'DATA BTO'!B:N,3,FALSE))</f>
        <v>#N/A</v>
      </c>
      <c r="AZ31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0" s="50"/>
    </row>
    <row r="311" spans="2:57">
      <c r="B311" s="405" t="str">
        <f>_xlfn.CONCAT(Tableau1[[#This Row],[Name ILN]],"-",Tableau1[[#This Row],[Name Shipper]],"-",Tableau1[[#This Row],[Name Site]])</f>
        <v>--</v>
      </c>
      <c r="C311" s="64" t="e">
        <f>_xlfn.CONCAT(Tableau1[[#This Row],[Compte ILN]],"-",Tableau1[[#This Row],[Compte Shipper]],"-",Tableau1[[#This Row],[POL]],"-",Tableau1[[#This Row],[Compte Consignee]])</f>
        <v>#N/A</v>
      </c>
      <c r="D311" s="64" t="e">
        <f>_xlfn.CONCAT(Tableau1[[#This Row],[Compte ILN]],"-",Tableau1[[#This Row],[Compte Shipper]],"-",Tableau1[[#This Row],[POL]])</f>
        <v>#N/A</v>
      </c>
      <c r="E311" s="128" t="e">
        <f ca="1">_xlfn.CONCAT(Tableau1[[#This Row],[POL]],"-",Tableau1[[#This Row],[Carrier]],"-",Tableau1[[#This Row],[POD]])</f>
        <v>#N/A</v>
      </c>
      <c r="F311" s="64" t="str">
        <f>_xlfn.CONCAT(Tableau1[[#This Row],[ID]],"-","Actif")</f>
        <v>-Actif</v>
      </c>
      <c r="G311" s="64" t="e">
        <f ca="1">_xlfn.CONCAT(Tableau1[[#This Row],[POD]],"-",Tableau1[[#This Row],[Code PFI]],"-",Tableau1[[#This Row],[Compte Consignee]])</f>
        <v>#N/A</v>
      </c>
      <c r="H31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1" s="117" t="str">
        <f ca="1">IF(COUNTIF(I:I,Tableau1[[#This Row],[Plant-ILN-shipper-POL-Carrier-POD-PFI]])=1,"Non","Oui")</f>
        <v>Oui</v>
      </c>
      <c r="K311" s="126" t="e">
        <f>VLOOKUP(Tableau1[[#This Row],[Name Site]],Plant_AILN!A:D,4,FALSE)</f>
        <v>#N/A</v>
      </c>
      <c r="L311" s="363"/>
      <c r="M311" s="492" t="e">
        <f>VLOOKUP(Tableau1[[#This Row],[Name Site]],Plant_AILN!A:C,3,FALSE)</f>
        <v>#N/A</v>
      </c>
      <c r="N311" s="55" t="e">
        <f>VLOOKUP(Tableau1[[#This Row],[Compte Consignee]],Order!C:D,2,FALSE)</f>
        <v>#N/A</v>
      </c>
      <c r="O311" s="122"/>
      <c r="P311" s="481" t="e">
        <f>VLOOKUP(Tableau1[[#This Row],[Name ILN]],Plant_AILN!F:G,2,FALSE)</f>
        <v>#N/A</v>
      </c>
      <c r="Q311" s="50" t="e">
        <f>VLOOKUP(Tableau1[[#This Row],[Compte ILN]],'DATA ILN'!D:I,6,FALSE)</f>
        <v>#N/A</v>
      </c>
      <c r="R311" s="50" t="e">
        <f>IFERROR(VLOOKUP(Tableau1[[#This Row],[Key(Compte ILN - shipper - POL - plant)]],'DATA ILN'!A:J,10,FALSE),VLOOKUP(Tableau1[[#This Row],[Key(Compte ILN - shipper - POL)]],'DATA ILN'!B:J,9,FALSE))</f>
        <v>#N/A</v>
      </c>
      <c r="S311" s="50" t="e">
        <f>IFERROR(VLOOKUP(Tableau1[[#This Row],[Key(Compte ILN - shipper - POL - plant)]],'DATA ILN'!A:K,11,FALSE),VLOOKUP(Tableau1[[#This Row],[Key(Compte ILN - shipper - POL)]],'DATA ILN'!B:K,10,FALSE))</f>
        <v>#N/A</v>
      </c>
      <c r="T311" s="50" t="e">
        <f>IFERROR(VLOOKUP(Tableau1[[#This Row],[Key(Compte ILN - shipper - POL - plant)]],'DATA ILN'!A:L,12,FALSE),VLOOKUP(Tableau1[[#This Row],[Key(Compte ILN - shipper - POL)]],'DATA ILN'!B:L,11,FALSE))</f>
        <v>#N/A</v>
      </c>
      <c r="U311" s="50" t="e">
        <f>Tableau1[[#This Row],[Day ILN Order]]+Tableau1[[#This Row],[Delivery time to ILN/Shipper]]-1</f>
        <v>#N/A</v>
      </c>
      <c r="V311" s="50" t="e">
        <f>IFERROR(VLOOKUP(Tableau1[[#This Row],[Key(Compte ILN - shipper - POL - plant)]],'DATA ILN'!A:N,14,FALSE),VLOOKUP(Tableau1[[#This Row],[Key(Compte ILN - shipper - POL)]],'DATA ILN'!B:N,13,FALSE))</f>
        <v>#N/A</v>
      </c>
      <c r="W311" s="50" t="e">
        <f>IFERROR(VLOOKUP(Tableau1[[#This Row],[Key(Compte ILN - shipper - POL - plant)]],'DATA ILN'!A:P,16,FALSE),VLOOKUP(Tableau1[[#This Row],[Key(Compte ILN - shipper - POL)]],'DATA ILN'!B:P,15,FALSE))</f>
        <v>#N/A</v>
      </c>
      <c r="X311" s="283"/>
      <c r="Y311" s="489">
        <f>IFERROR(VLOOKUP(Tableau1[[#This Row],[Name Shipper]],Plant_AILN!L:M,2,FALSE),0)</f>
        <v>0</v>
      </c>
      <c r="Z311" s="358"/>
      <c r="AA311" s="353" t="e">
        <f ca="1">VLOOKUP(Tableau1[[#This Row],[Key(ID-Actif)]],'DATA BTO'!A:N,5,FALSE)</f>
        <v>#N/A</v>
      </c>
      <c r="AB311" s="3" t="e">
        <f ca="1">VLOOKUP(Tableau1[[#This Row],[Key(ID-Actif)]],'DATA BTO'!A:N,6,FALSE)</f>
        <v>#N/A</v>
      </c>
      <c r="AC311" s="50" t="e">
        <f ca="1">VLOOKUP(Tableau1[[#This Row],[Key(ID-Actif)]],'DATA BTO'!A:N,7,FALSE)</f>
        <v>#N/A</v>
      </c>
      <c r="AD311" s="50" t="e">
        <f ca="1">VLOOKUP(Tableau1[[#This Row],[Key(ID-Actif)]],'DATA BTO'!A:N,8,FALSE)</f>
        <v>#N/A</v>
      </c>
      <c r="AE311" s="406" t="e">
        <f ca="1">IF(Tableau1[[#This Row],[First Day to POL]]&lt;=Tableau1[[#This Row],[Day Cut Off]],Tableau1[[#This Row],[Day ETD]],Tableau1[[#This Row],[Day ETD]]+7)</f>
        <v>#N/A</v>
      </c>
      <c r="AF311" s="50" t="e">
        <f ca="1">VLOOKUP(Tableau1[[#This Row],[Key(ID-Actif)]],'DATA BTO'!A:N,9,FALSE)</f>
        <v>#N/A</v>
      </c>
      <c r="AG311" s="3" t="e">
        <f ca="1">VLOOKUP(Tableau1[[#This Row],[Key(ID-Actif)]],'DATA BTO'!A:N,10,FALSE)</f>
        <v>#N/A</v>
      </c>
      <c r="AH311" s="3" t="e">
        <f ca="1">VLOOKUP(Tableau1[[#This Row],[Key(ID-Actif)]],'DATA BTO'!A:N,11,FALSE)</f>
        <v>#N/A</v>
      </c>
      <c r="AI311" s="50" t="e">
        <f ca="1">VLOOKUP(Tableau1[[#This Row],[Key(ID-Actif)]],'DATA BTO'!A:N,12,FALSE)</f>
        <v>#N/A</v>
      </c>
      <c r="AJ311" s="53" t="e">
        <f ca="1">VLOOKUP(Tableau1[[#This Row],[Key(ID-Actif)]],'DATA BTO'!A:N,14,FALSE)</f>
        <v>#N/A</v>
      </c>
      <c r="AK311" s="54" t="e">
        <f ca="1">VLOOKUP(Tableau1[[#This Row],[Key(POD -PFI- Usine)]],'DATA Consignee'!A:F,6,FALSE)</f>
        <v>#N/A</v>
      </c>
      <c r="AL311" s="283"/>
      <c r="AM311" s="490" t="str">
        <f>IF(Tableau1[[#This Row],[Name PFI/CDD]]="","-",VLOOKUP(Tableau1[[#This Row],[Name PFI/CDD]],Plant_AILN!I:J,2,FALSE))</f>
        <v>-</v>
      </c>
      <c r="AN31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1" s="2" t="e">
        <f ca="1">VLOOKUP(Tableau1[[#This Row],[Key(POD -PFI- Usine)]],'DATA Consignee'!A:J,10,FALSE)</f>
        <v>#N/A</v>
      </c>
      <c r="AQ311" s="50" t="e">
        <f ca="1">VLOOKUP(Tableau1[[#This Row],[Key(POD -PFI- Usine)]],'DATA Consignee'!A:N,14,FALSE)</f>
        <v>#N/A</v>
      </c>
      <c r="AR31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1" s="50" t="e">
        <f ca="1">Tableau1[[#This Row],[Transit time]]+Tableau1[[#This Row],[Time for security]]+Tableau1[[#This Row],[Time for security2 buffer]]</f>
        <v>#N/A</v>
      </c>
      <c r="AU31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1" s="50" t="e">
        <f ca="1">Tableau1[[#This Row],[Leadtime SI2C]]+Tableau1[[#This Row],[First Receipt Days]]-Tableau1[[#This Row],[Day Customer Order]]+1</f>
        <v>#N/A</v>
      </c>
      <c r="AW311" s="117" t="e">
        <f ca="1">IF(Tableau1[[#This Row],[Name ILN]]&lt;&gt;"SFK Freight Forwarder",Tableau1[[#This Row],[Cust. Leadtime]],Tableau1[[#This Row],[Leadtime SI2C]])</f>
        <v>#N/A</v>
      </c>
      <c r="AX311" s="57" t="e">
        <f>VLOOKUP(Tableau1[[#This Row],[ID]],'DATA BTO'!B:P,15,FALSE)</f>
        <v>#N/A</v>
      </c>
      <c r="AY311" s="328" t="e">
        <f ca="1">IFERROR(VLOOKUP(Tableau1[[#This Row],[Key(ID-Actif)]],'DATA BTO'!A:N,4,FALSE),VLOOKUP(Tableau1[[#This Row],[ID]],'DATA BTO'!B:N,3,FALSE))</f>
        <v>#N/A</v>
      </c>
      <c r="AZ31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1" s="50"/>
    </row>
    <row r="312" spans="2:57">
      <c r="B312" s="405" t="str">
        <f>_xlfn.CONCAT(Tableau1[[#This Row],[Name ILN]],"-",Tableau1[[#This Row],[Name Shipper]],"-",Tableau1[[#This Row],[Name Site]])</f>
        <v>--</v>
      </c>
      <c r="C312" s="64" t="e">
        <f>_xlfn.CONCAT(Tableau1[[#This Row],[Compte ILN]],"-",Tableau1[[#This Row],[Compte Shipper]],"-",Tableau1[[#This Row],[POL]],"-",Tableau1[[#This Row],[Compte Consignee]])</f>
        <v>#N/A</v>
      </c>
      <c r="D312" s="64" t="e">
        <f>_xlfn.CONCAT(Tableau1[[#This Row],[Compte ILN]],"-",Tableau1[[#This Row],[Compte Shipper]],"-",Tableau1[[#This Row],[POL]])</f>
        <v>#N/A</v>
      </c>
      <c r="E312" s="128" t="e">
        <f ca="1">_xlfn.CONCAT(Tableau1[[#This Row],[POL]],"-",Tableau1[[#This Row],[Carrier]],"-",Tableau1[[#This Row],[POD]])</f>
        <v>#N/A</v>
      </c>
      <c r="F312" s="64" t="str">
        <f>_xlfn.CONCAT(Tableau1[[#This Row],[ID]],"-","Actif")</f>
        <v>-Actif</v>
      </c>
      <c r="G312" s="64" t="e">
        <f ca="1">_xlfn.CONCAT(Tableau1[[#This Row],[POD]],"-",Tableau1[[#This Row],[Code PFI]],"-",Tableau1[[#This Row],[Compte Consignee]])</f>
        <v>#N/A</v>
      </c>
      <c r="H31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2" s="117" t="str">
        <f ca="1">IF(COUNTIF(I:I,Tableau1[[#This Row],[Plant-ILN-shipper-POL-Carrier-POD-PFI]])=1,"Non","Oui")</f>
        <v>Oui</v>
      </c>
      <c r="K312" s="126" t="e">
        <f>VLOOKUP(Tableau1[[#This Row],[Name Site]],Plant_AILN!A:D,4,FALSE)</f>
        <v>#N/A</v>
      </c>
      <c r="L312" s="363"/>
      <c r="M312" s="492" t="e">
        <f>VLOOKUP(Tableau1[[#This Row],[Name Site]],Plant_AILN!A:C,3,FALSE)</f>
        <v>#N/A</v>
      </c>
      <c r="N312" s="55" t="e">
        <f>VLOOKUP(Tableau1[[#This Row],[Compte Consignee]],Order!C:D,2,FALSE)</f>
        <v>#N/A</v>
      </c>
      <c r="O312" s="122"/>
      <c r="P312" s="481" t="e">
        <f>VLOOKUP(Tableau1[[#This Row],[Name ILN]],Plant_AILN!F:G,2,FALSE)</f>
        <v>#N/A</v>
      </c>
      <c r="Q312" s="50" t="e">
        <f>VLOOKUP(Tableau1[[#This Row],[Compte ILN]],'DATA ILN'!D:I,6,FALSE)</f>
        <v>#N/A</v>
      </c>
      <c r="R312" s="50" t="e">
        <f>IFERROR(VLOOKUP(Tableau1[[#This Row],[Key(Compte ILN - shipper - POL - plant)]],'DATA ILN'!A:J,10,FALSE),VLOOKUP(Tableau1[[#This Row],[Key(Compte ILN - shipper - POL)]],'DATA ILN'!B:J,9,FALSE))</f>
        <v>#N/A</v>
      </c>
      <c r="S312" s="50" t="e">
        <f>IFERROR(VLOOKUP(Tableau1[[#This Row],[Key(Compte ILN - shipper - POL - plant)]],'DATA ILN'!A:K,11,FALSE),VLOOKUP(Tableau1[[#This Row],[Key(Compte ILN - shipper - POL)]],'DATA ILN'!B:K,10,FALSE))</f>
        <v>#N/A</v>
      </c>
      <c r="T312" s="50" t="e">
        <f>IFERROR(VLOOKUP(Tableau1[[#This Row],[Key(Compte ILN - shipper - POL - plant)]],'DATA ILN'!A:L,12,FALSE),VLOOKUP(Tableau1[[#This Row],[Key(Compte ILN - shipper - POL)]],'DATA ILN'!B:L,11,FALSE))</f>
        <v>#N/A</v>
      </c>
      <c r="U312" s="50" t="e">
        <f>Tableau1[[#This Row],[Day ILN Order]]+Tableau1[[#This Row],[Delivery time to ILN/Shipper]]-1</f>
        <v>#N/A</v>
      </c>
      <c r="V312" s="50" t="e">
        <f>IFERROR(VLOOKUP(Tableau1[[#This Row],[Key(Compte ILN - shipper - POL - plant)]],'DATA ILN'!A:N,14,FALSE),VLOOKUP(Tableau1[[#This Row],[Key(Compte ILN - shipper - POL)]],'DATA ILN'!B:N,13,FALSE))</f>
        <v>#N/A</v>
      </c>
      <c r="W312" s="50" t="e">
        <f>IFERROR(VLOOKUP(Tableau1[[#This Row],[Key(Compte ILN - shipper - POL - plant)]],'DATA ILN'!A:P,16,FALSE),VLOOKUP(Tableau1[[#This Row],[Key(Compte ILN - shipper - POL)]],'DATA ILN'!B:P,15,FALSE))</f>
        <v>#N/A</v>
      </c>
      <c r="X312" s="283"/>
      <c r="Y312" s="489">
        <f>IFERROR(VLOOKUP(Tableau1[[#This Row],[Name Shipper]],Plant_AILN!L:M,2,FALSE),0)</f>
        <v>0</v>
      </c>
      <c r="Z312" s="358"/>
      <c r="AA312" s="353" t="e">
        <f ca="1">VLOOKUP(Tableau1[[#This Row],[Key(ID-Actif)]],'DATA BTO'!A:N,5,FALSE)</f>
        <v>#N/A</v>
      </c>
      <c r="AB312" s="3" t="e">
        <f ca="1">VLOOKUP(Tableau1[[#This Row],[Key(ID-Actif)]],'DATA BTO'!A:N,6,FALSE)</f>
        <v>#N/A</v>
      </c>
      <c r="AC312" s="50" t="e">
        <f ca="1">VLOOKUP(Tableau1[[#This Row],[Key(ID-Actif)]],'DATA BTO'!A:N,7,FALSE)</f>
        <v>#N/A</v>
      </c>
      <c r="AD312" s="50" t="e">
        <f ca="1">VLOOKUP(Tableau1[[#This Row],[Key(ID-Actif)]],'DATA BTO'!A:N,8,FALSE)</f>
        <v>#N/A</v>
      </c>
      <c r="AE312" s="406" t="e">
        <f ca="1">IF(Tableau1[[#This Row],[First Day to POL]]&lt;=Tableau1[[#This Row],[Day Cut Off]],Tableau1[[#This Row],[Day ETD]],Tableau1[[#This Row],[Day ETD]]+7)</f>
        <v>#N/A</v>
      </c>
      <c r="AF312" s="50" t="e">
        <f ca="1">VLOOKUP(Tableau1[[#This Row],[Key(ID-Actif)]],'DATA BTO'!A:N,9,FALSE)</f>
        <v>#N/A</v>
      </c>
      <c r="AG312" s="3" t="e">
        <f ca="1">VLOOKUP(Tableau1[[#This Row],[Key(ID-Actif)]],'DATA BTO'!A:N,10,FALSE)</f>
        <v>#N/A</v>
      </c>
      <c r="AH312" s="3" t="e">
        <f ca="1">VLOOKUP(Tableau1[[#This Row],[Key(ID-Actif)]],'DATA BTO'!A:N,11,FALSE)</f>
        <v>#N/A</v>
      </c>
      <c r="AI312" s="50" t="e">
        <f ca="1">VLOOKUP(Tableau1[[#This Row],[Key(ID-Actif)]],'DATA BTO'!A:N,12,FALSE)</f>
        <v>#N/A</v>
      </c>
      <c r="AJ312" s="53" t="e">
        <f ca="1">VLOOKUP(Tableau1[[#This Row],[Key(ID-Actif)]],'DATA BTO'!A:N,14,FALSE)</f>
        <v>#N/A</v>
      </c>
      <c r="AK312" s="54" t="e">
        <f ca="1">VLOOKUP(Tableau1[[#This Row],[Key(POD -PFI- Usine)]],'DATA Consignee'!A:F,6,FALSE)</f>
        <v>#N/A</v>
      </c>
      <c r="AL312" s="283"/>
      <c r="AM312" s="490" t="str">
        <f>IF(Tableau1[[#This Row],[Name PFI/CDD]]="","-",VLOOKUP(Tableau1[[#This Row],[Name PFI/CDD]],Plant_AILN!I:J,2,FALSE))</f>
        <v>-</v>
      </c>
      <c r="AN31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2" s="2" t="e">
        <f ca="1">VLOOKUP(Tableau1[[#This Row],[Key(POD -PFI- Usine)]],'DATA Consignee'!A:J,10,FALSE)</f>
        <v>#N/A</v>
      </c>
      <c r="AQ312" s="50" t="e">
        <f ca="1">VLOOKUP(Tableau1[[#This Row],[Key(POD -PFI- Usine)]],'DATA Consignee'!A:N,14,FALSE)</f>
        <v>#N/A</v>
      </c>
      <c r="AR31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2" s="50" t="e">
        <f ca="1">Tableau1[[#This Row],[Transit time]]+Tableau1[[#This Row],[Time for security]]+Tableau1[[#This Row],[Time for security2 buffer]]</f>
        <v>#N/A</v>
      </c>
      <c r="AU31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2" s="50" t="e">
        <f ca="1">Tableau1[[#This Row],[Leadtime SI2C]]+Tableau1[[#This Row],[First Receipt Days]]-Tableau1[[#This Row],[Day Customer Order]]+1</f>
        <v>#N/A</v>
      </c>
      <c r="AW312" s="117" t="e">
        <f ca="1">IF(Tableau1[[#This Row],[Name ILN]]&lt;&gt;"SFK Freight Forwarder",Tableau1[[#This Row],[Cust. Leadtime]],Tableau1[[#This Row],[Leadtime SI2C]])</f>
        <v>#N/A</v>
      </c>
      <c r="AX312" s="57" t="e">
        <f>VLOOKUP(Tableau1[[#This Row],[ID]],'DATA BTO'!B:P,15,FALSE)</f>
        <v>#N/A</v>
      </c>
      <c r="AY312" s="328" t="e">
        <f ca="1">IFERROR(VLOOKUP(Tableau1[[#This Row],[Key(ID-Actif)]],'DATA BTO'!A:N,4,FALSE),VLOOKUP(Tableau1[[#This Row],[ID]],'DATA BTO'!B:N,3,FALSE))</f>
        <v>#N/A</v>
      </c>
      <c r="AZ31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2" s="50"/>
    </row>
    <row r="313" spans="2:57">
      <c r="B313" s="405" t="str">
        <f>_xlfn.CONCAT(Tableau1[[#This Row],[Name ILN]],"-",Tableau1[[#This Row],[Name Shipper]],"-",Tableau1[[#This Row],[Name Site]])</f>
        <v>--</v>
      </c>
      <c r="C313" s="64" t="e">
        <f>_xlfn.CONCAT(Tableau1[[#This Row],[Compte ILN]],"-",Tableau1[[#This Row],[Compte Shipper]],"-",Tableau1[[#This Row],[POL]],"-",Tableau1[[#This Row],[Compte Consignee]])</f>
        <v>#N/A</v>
      </c>
      <c r="D313" s="64" t="e">
        <f>_xlfn.CONCAT(Tableau1[[#This Row],[Compte ILN]],"-",Tableau1[[#This Row],[Compte Shipper]],"-",Tableau1[[#This Row],[POL]])</f>
        <v>#N/A</v>
      </c>
      <c r="E313" s="128" t="e">
        <f ca="1">_xlfn.CONCAT(Tableau1[[#This Row],[POL]],"-",Tableau1[[#This Row],[Carrier]],"-",Tableau1[[#This Row],[POD]])</f>
        <v>#N/A</v>
      </c>
      <c r="F313" s="64" t="str">
        <f>_xlfn.CONCAT(Tableau1[[#This Row],[ID]],"-","Actif")</f>
        <v>-Actif</v>
      </c>
      <c r="G313" s="64" t="e">
        <f ca="1">_xlfn.CONCAT(Tableau1[[#This Row],[POD]],"-",Tableau1[[#This Row],[Code PFI]],"-",Tableau1[[#This Row],[Compte Consignee]])</f>
        <v>#N/A</v>
      </c>
      <c r="H31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3" s="117" t="str">
        <f ca="1">IF(COUNTIF(I:I,Tableau1[[#This Row],[Plant-ILN-shipper-POL-Carrier-POD-PFI]])=1,"Non","Oui")</f>
        <v>Oui</v>
      </c>
      <c r="K313" s="126" t="e">
        <f>VLOOKUP(Tableau1[[#This Row],[Name Site]],Plant_AILN!A:D,4,FALSE)</f>
        <v>#N/A</v>
      </c>
      <c r="L313" s="363"/>
      <c r="M313" s="492" t="e">
        <f>VLOOKUP(Tableau1[[#This Row],[Name Site]],Plant_AILN!A:C,3,FALSE)</f>
        <v>#N/A</v>
      </c>
      <c r="N313" s="55" t="e">
        <f>VLOOKUP(Tableau1[[#This Row],[Compte Consignee]],Order!C:D,2,FALSE)</f>
        <v>#N/A</v>
      </c>
      <c r="O313" s="124"/>
      <c r="P313" s="481" t="e">
        <f>VLOOKUP(Tableau1[[#This Row],[Name ILN]],Plant_AILN!F:G,2,FALSE)</f>
        <v>#N/A</v>
      </c>
      <c r="Q313" s="50" t="e">
        <f>VLOOKUP(Tableau1[[#This Row],[Compte ILN]],'DATA ILN'!D:I,6,FALSE)</f>
        <v>#N/A</v>
      </c>
      <c r="R313" s="50" t="e">
        <f>IFERROR(VLOOKUP(Tableau1[[#This Row],[Key(Compte ILN - shipper - POL - plant)]],'DATA ILN'!A:J,10,FALSE),VLOOKUP(Tableau1[[#This Row],[Key(Compte ILN - shipper - POL)]],'DATA ILN'!B:J,9,FALSE))</f>
        <v>#N/A</v>
      </c>
      <c r="S313" s="50" t="e">
        <f>IFERROR(VLOOKUP(Tableau1[[#This Row],[Key(Compte ILN - shipper - POL - plant)]],'DATA ILN'!A:K,11,FALSE),VLOOKUP(Tableau1[[#This Row],[Key(Compte ILN - shipper - POL)]],'DATA ILN'!B:K,10,FALSE))</f>
        <v>#N/A</v>
      </c>
      <c r="T313" s="50" t="e">
        <f>IFERROR(VLOOKUP(Tableau1[[#This Row],[Key(Compte ILN - shipper - POL - plant)]],'DATA ILN'!A:L,12,FALSE),VLOOKUP(Tableau1[[#This Row],[Key(Compte ILN - shipper - POL)]],'DATA ILN'!B:L,11,FALSE))</f>
        <v>#N/A</v>
      </c>
      <c r="U313" s="50" t="e">
        <f>Tableau1[[#This Row],[Day ILN Order]]+Tableau1[[#This Row],[Delivery time to ILN/Shipper]]-1</f>
        <v>#N/A</v>
      </c>
      <c r="V313" s="50" t="e">
        <f>IFERROR(VLOOKUP(Tableau1[[#This Row],[Key(Compte ILN - shipper - POL - plant)]],'DATA ILN'!A:N,14,FALSE),VLOOKUP(Tableau1[[#This Row],[Key(Compte ILN - shipper - POL)]],'DATA ILN'!B:N,13,FALSE))</f>
        <v>#N/A</v>
      </c>
      <c r="W313" s="50" t="e">
        <f>IFERROR(VLOOKUP(Tableau1[[#This Row],[Key(Compte ILN - shipper - POL - plant)]],'DATA ILN'!A:P,16,FALSE),VLOOKUP(Tableau1[[#This Row],[Key(Compte ILN - shipper - POL)]],'DATA ILN'!B:P,15,FALSE))</f>
        <v>#N/A</v>
      </c>
      <c r="X313" s="283"/>
      <c r="Y313" s="489">
        <f>IFERROR(VLOOKUP(Tableau1[[#This Row],[Name Shipper]],Plant_AILN!L:M,2,FALSE),0)</f>
        <v>0</v>
      </c>
      <c r="Z313" s="358"/>
      <c r="AA313" s="353" t="e">
        <f ca="1">VLOOKUP(Tableau1[[#This Row],[Key(ID-Actif)]],'DATA BTO'!A:N,5,FALSE)</f>
        <v>#N/A</v>
      </c>
      <c r="AB313" s="3" t="e">
        <f ca="1">VLOOKUP(Tableau1[[#This Row],[Key(ID-Actif)]],'DATA BTO'!A:N,6,FALSE)</f>
        <v>#N/A</v>
      </c>
      <c r="AC313" s="50" t="e">
        <f ca="1">VLOOKUP(Tableau1[[#This Row],[Key(ID-Actif)]],'DATA BTO'!A:N,7,FALSE)</f>
        <v>#N/A</v>
      </c>
      <c r="AD313" s="50" t="e">
        <f ca="1">VLOOKUP(Tableau1[[#This Row],[Key(ID-Actif)]],'DATA BTO'!A:N,8,FALSE)</f>
        <v>#N/A</v>
      </c>
      <c r="AE313" s="406" t="e">
        <f ca="1">IF(Tableau1[[#This Row],[First Day to POL]]&lt;=Tableau1[[#This Row],[Day Cut Off]],Tableau1[[#This Row],[Day ETD]],Tableau1[[#This Row],[Day ETD]]+7)</f>
        <v>#N/A</v>
      </c>
      <c r="AF313" s="50" t="e">
        <f ca="1">VLOOKUP(Tableau1[[#This Row],[Key(ID-Actif)]],'DATA BTO'!A:N,9,FALSE)</f>
        <v>#N/A</v>
      </c>
      <c r="AG313" s="3" t="e">
        <f ca="1">VLOOKUP(Tableau1[[#This Row],[Key(ID-Actif)]],'DATA BTO'!A:N,10,FALSE)</f>
        <v>#N/A</v>
      </c>
      <c r="AH313" s="3" t="e">
        <f ca="1">VLOOKUP(Tableau1[[#This Row],[Key(ID-Actif)]],'DATA BTO'!A:N,11,FALSE)</f>
        <v>#N/A</v>
      </c>
      <c r="AI313" s="50" t="e">
        <f ca="1">VLOOKUP(Tableau1[[#This Row],[Key(ID-Actif)]],'DATA BTO'!A:N,12,FALSE)</f>
        <v>#N/A</v>
      </c>
      <c r="AJ313" s="53" t="e">
        <f ca="1">VLOOKUP(Tableau1[[#This Row],[Key(ID-Actif)]],'DATA BTO'!A:N,14,FALSE)</f>
        <v>#N/A</v>
      </c>
      <c r="AK313" s="54" t="e">
        <f ca="1">VLOOKUP(Tableau1[[#This Row],[Key(POD -PFI- Usine)]],'DATA Consignee'!A:F,6,FALSE)</f>
        <v>#N/A</v>
      </c>
      <c r="AL313" s="283"/>
      <c r="AM313" s="490" t="str">
        <f>IF(Tableau1[[#This Row],[Name PFI/CDD]]="","-",VLOOKUP(Tableau1[[#This Row],[Name PFI/CDD]],Plant_AILN!I:J,2,FALSE))</f>
        <v>-</v>
      </c>
      <c r="AN31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3" s="2" t="e">
        <f ca="1">VLOOKUP(Tableau1[[#This Row],[Key(POD -PFI- Usine)]],'DATA Consignee'!A:J,10,FALSE)</f>
        <v>#N/A</v>
      </c>
      <c r="AQ313" s="50" t="e">
        <f ca="1">VLOOKUP(Tableau1[[#This Row],[Key(POD -PFI- Usine)]],'DATA Consignee'!A:N,14,FALSE)</f>
        <v>#N/A</v>
      </c>
      <c r="AR31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3" s="50" t="e">
        <f ca="1">Tableau1[[#This Row],[Transit time]]+Tableau1[[#This Row],[Time for security]]+Tableau1[[#This Row],[Time for security2 buffer]]</f>
        <v>#N/A</v>
      </c>
      <c r="AU31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3" s="50" t="e">
        <f ca="1">Tableau1[[#This Row],[Leadtime SI2C]]+Tableau1[[#This Row],[First Receipt Days]]-Tableau1[[#This Row],[Day Customer Order]]+1</f>
        <v>#N/A</v>
      </c>
      <c r="AW313" s="117" t="e">
        <f ca="1">IF(Tableau1[[#This Row],[Name ILN]]&lt;&gt;"SFK Freight Forwarder",Tableau1[[#This Row],[Cust. Leadtime]],Tableau1[[#This Row],[Leadtime SI2C]])</f>
        <v>#N/A</v>
      </c>
      <c r="AX313" s="57" t="e">
        <f>VLOOKUP(Tableau1[[#This Row],[ID]],'DATA BTO'!B:P,15,FALSE)</f>
        <v>#N/A</v>
      </c>
      <c r="AY313" s="328" t="e">
        <f ca="1">IFERROR(VLOOKUP(Tableau1[[#This Row],[Key(ID-Actif)]],'DATA BTO'!A:N,4,FALSE),VLOOKUP(Tableau1[[#This Row],[ID]],'DATA BTO'!B:N,3,FALSE))</f>
        <v>#N/A</v>
      </c>
      <c r="AZ31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3" s="50"/>
    </row>
    <row r="314" spans="2:57">
      <c r="B314" s="405" t="str">
        <f>_xlfn.CONCAT(Tableau1[[#This Row],[Name ILN]],"-",Tableau1[[#This Row],[Name Shipper]],"-",Tableau1[[#This Row],[Name Site]])</f>
        <v>--</v>
      </c>
      <c r="C314" s="64" t="e">
        <f>_xlfn.CONCAT(Tableau1[[#This Row],[Compte ILN]],"-",Tableau1[[#This Row],[Compte Shipper]],"-",Tableau1[[#This Row],[POL]],"-",Tableau1[[#This Row],[Compte Consignee]])</f>
        <v>#N/A</v>
      </c>
      <c r="D314" s="64" t="e">
        <f>_xlfn.CONCAT(Tableau1[[#This Row],[Compte ILN]],"-",Tableau1[[#This Row],[Compte Shipper]],"-",Tableau1[[#This Row],[POL]])</f>
        <v>#N/A</v>
      </c>
      <c r="E314" s="128" t="e">
        <f ca="1">_xlfn.CONCAT(Tableau1[[#This Row],[POL]],"-",Tableau1[[#This Row],[Carrier]],"-",Tableau1[[#This Row],[POD]])</f>
        <v>#N/A</v>
      </c>
      <c r="F314" s="64" t="str">
        <f>_xlfn.CONCAT(Tableau1[[#This Row],[ID]],"-","Actif")</f>
        <v>-Actif</v>
      </c>
      <c r="G314" s="64" t="e">
        <f ca="1">_xlfn.CONCAT(Tableau1[[#This Row],[POD]],"-",Tableau1[[#This Row],[Code PFI]],"-",Tableau1[[#This Row],[Compte Consignee]])</f>
        <v>#N/A</v>
      </c>
      <c r="H31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4" s="117" t="str">
        <f ca="1">IF(COUNTIF(I:I,Tableau1[[#This Row],[Plant-ILN-shipper-POL-Carrier-POD-PFI]])=1,"Non","Oui")</f>
        <v>Oui</v>
      </c>
      <c r="K314" s="126" t="e">
        <f>VLOOKUP(Tableau1[[#This Row],[Name Site]],Plant_AILN!A:D,4,FALSE)</f>
        <v>#N/A</v>
      </c>
      <c r="L314" s="363"/>
      <c r="M314" s="492" t="e">
        <f>VLOOKUP(Tableau1[[#This Row],[Name Site]],Plant_AILN!A:C,3,FALSE)</f>
        <v>#N/A</v>
      </c>
      <c r="N314" s="55" t="e">
        <f>VLOOKUP(Tableau1[[#This Row],[Compte Consignee]],Order!C:D,2,FALSE)</f>
        <v>#N/A</v>
      </c>
      <c r="O314" s="122"/>
      <c r="P314" s="481" t="e">
        <f>VLOOKUP(Tableau1[[#This Row],[Name ILN]],Plant_AILN!F:G,2,FALSE)</f>
        <v>#N/A</v>
      </c>
      <c r="Q314" s="50" t="e">
        <f>VLOOKUP(Tableau1[[#This Row],[Compte ILN]],'DATA ILN'!D:I,6,FALSE)</f>
        <v>#N/A</v>
      </c>
      <c r="R314" s="50" t="e">
        <f>IFERROR(VLOOKUP(Tableau1[[#This Row],[Key(Compte ILN - shipper - POL - plant)]],'DATA ILN'!A:J,10,FALSE),VLOOKUP(Tableau1[[#This Row],[Key(Compte ILN - shipper - POL)]],'DATA ILN'!B:J,9,FALSE))</f>
        <v>#N/A</v>
      </c>
      <c r="S314" s="50" t="e">
        <f>IFERROR(VLOOKUP(Tableau1[[#This Row],[Key(Compte ILN - shipper - POL - plant)]],'DATA ILN'!A:K,11,FALSE),VLOOKUP(Tableau1[[#This Row],[Key(Compte ILN - shipper - POL)]],'DATA ILN'!B:K,10,FALSE))</f>
        <v>#N/A</v>
      </c>
      <c r="T314" s="50" t="e">
        <f>IFERROR(VLOOKUP(Tableau1[[#This Row],[Key(Compte ILN - shipper - POL - plant)]],'DATA ILN'!A:L,12,FALSE),VLOOKUP(Tableau1[[#This Row],[Key(Compte ILN - shipper - POL)]],'DATA ILN'!B:L,11,FALSE))</f>
        <v>#N/A</v>
      </c>
      <c r="U314" s="50" t="e">
        <f>Tableau1[[#This Row],[Day ILN Order]]+Tableau1[[#This Row],[Delivery time to ILN/Shipper]]-1</f>
        <v>#N/A</v>
      </c>
      <c r="V314" s="50" t="e">
        <f>IFERROR(VLOOKUP(Tableau1[[#This Row],[Key(Compte ILN - shipper - POL - plant)]],'DATA ILN'!A:N,14,FALSE),VLOOKUP(Tableau1[[#This Row],[Key(Compte ILN - shipper - POL)]],'DATA ILN'!B:N,13,FALSE))</f>
        <v>#N/A</v>
      </c>
      <c r="W314" s="50" t="e">
        <f>IFERROR(VLOOKUP(Tableau1[[#This Row],[Key(Compte ILN - shipper - POL - plant)]],'DATA ILN'!A:P,16,FALSE),VLOOKUP(Tableau1[[#This Row],[Key(Compte ILN - shipper - POL)]],'DATA ILN'!B:P,15,FALSE))</f>
        <v>#N/A</v>
      </c>
      <c r="X314" s="122"/>
      <c r="Y314" s="489">
        <f>IFERROR(VLOOKUP(Tableau1[[#This Row],[Name Shipper]],Plant_AILN!L:M,2,FALSE),0)</f>
        <v>0</v>
      </c>
      <c r="Z314" s="358"/>
      <c r="AA314" s="353" t="e">
        <f ca="1">VLOOKUP(Tableau1[[#This Row],[Key(ID-Actif)]],'DATA BTO'!A:N,5,FALSE)</f>
        <v>#N/A</v>
      </c>
      <c r="AB314" s="3" t="e">
        <f ca="1">VLOOKUP(Tableau1[[#This Row],[Key(ID-Actif)]],'DATA BTO'!A:N,6,FALSE)</f>
        <v>#N/A</v>
      </c>
      <c r="AC314" s="50" t="e">
        <f ca="1">VLOOKUP(Tableau1[[#This Row],[Key(ID-Actif)]],'DATA BTO'!A:N,7,FALSE)</f>
        <v>#N/A</v>
      </c>
      <c r="AD314" s="50" t="e">
        <f ca="1">VLOOKUP(Tableau1[[#This Row],[Key(ID-Actif)]],'DATA BTO'!A:N,8,FALSE)</f>
        <v>#N/A</v>
      </c>
      <c r="AE314" s="406" t="e">
        <f ca="1">IF(Tableau1[[#This Row],[First Day to POL]]&lt;=Tableau1[[#This Row],[Day Cut Off]],Tableau1[[#This Row],[Day ETD]],Tableau1[[#This Row],[Day ETD]]+7)</f>
        <v>#N/A</v>
      </c>
      <c r="AF314" s="50" t="e">
        <f ca="1">VLOOKUP(Tableau1[[#This Row],[Key(ID-Actif)]],'DATA BTO'!A:N,9,FALSE)</f>
        <v>#N/A</v>
      </c>
      <c r="AG314" s="3" t="e">
        <f ca="1">VLOOKUP(Tableau1[[#This Row],[Key(ID-Actif)]],'DATA BTO'!A:N,10,FALSE)</f>
        <v>#N/A</v>
      </c>
      <c r="AH314" s="3" t="e">
        <f ca="1">VLOOKUP(Tableau1[[#This Row],[Key(ID-Actif)]],'DATA BTO'!A:N,11,FALSE)</f>
        <v>#N/A</v>
      </c>
      <c r="AI314" s="50" t="e">
        <f ca="1">VLOOKUP(Tableau1[[#This Row],[Key(ID-Actif)]],'DATA BTO'!A:N,12,FALSE)</f>
        <v>#N/A</v>
      </c>
      <c r="AJ314" s="53" t="e">
        <f ca="1">VLOOKUP(Tableau1[[#This Row],[Key(ID-Actif)]],'DATA BTO'!A:N,14,FALSE)</f>
        <v>#N/A</v>
      </c>
      <c r="AK314" s="54" t="e">
        <f ca="1">VLOOKUP(Tableau1[[#This Row],[Key(POD -PFI- Usine)]],'DATA Consignee'!A:F,6,FALSE)</f>
        <v>#N/A</v>
      </c>
      <c r="AL314" s="283"/>
      <c r="AM314" s="490" t="str">
        <f>IF(Tableau1[[#This Row],[Name PFI/CDD]]="","-",VLOOKUP(Tableau1[[#This Row],[Name PFI/CDD]],Plant_AILN!I:J,2,FALSE))</f>
        <v>-</v>
      </c>
      <c r="AN31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4" s="2" t="e">
        <f ca="1">VLOOKUP(Tableau1[[#This Row],[Key(POD -PFI- Usine)]],'DATA Consignee'!A:J,10,FALSE)</f>
        <v>#N/A</v>
      </c>
      <c r="AQ314" s="50" t="e">
        <f ca="1">VLOOKUP(Tableau1[[#This Row],[Key(POD -PFI- Usine)]],'DATA Consignee'!A:N,14,FALSE)</f>
        <v>#N/A</v>
      </c>
      <c r="AR31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4" s="50" t="e">
        <f ca="1">Tableau1[[#This Row],[Transit time]]+Tableau1[[#This Row],[Time for security]]+Tableau1[[#This Row],[Time for security2 buffer]]</f>
        <v>#N/A</v>
      </c>
      <c r="AU31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4" s="50" t="e">
        <f ca="1">Tableau1[[#This Row],[Leadtime SI2C]]+Tableau1[[#This Row],[First Receipt Days]]-Tableau1[[#This Row],[Day Customer Order]]+1</f>
        <v>#N/A</v>
      </c>
      <c r="AW314" s="117" t="e">
        <f ca="1">IF(Tableau1[[#This Row],[Name ILN]]&lt;&gt;"SFK Freight Forwarder",Tableau1[[#This Row],[Cust. Leadtime]],Tableau1[[#This Row],[Leadtime SI2C]])</f>
        <v>#N/A</v>
      </c>
      <c r="AX314" s="57" t="e">
        <f>VLOOKUP(Tableau1[[#This Row],[ID]],'DATA BTO'!B:P,15,FALSE)</f>
        <v>#N/A</v>
      </c>
      <c r="AY314" s="328" t="e">
        <f ca="1">IFERROR(VLOOKUP(Tableau1[[#This Row],[Key(ID-Actif)]],'DATA BTO'!A:N,4,FALSE),VLOOKUP(Tableau1[[#This Row],[ID]],'DATA BTO'!B:N,3,FALSE))</f>
        <v>#N/A</v>
      </c>
      <c r="AZ31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4" s="50"/>
    </row>
    <row r="315" spans="2:57">
      <c r="B315" s="405" t="str">
        <f>_xlfn.CONCAT(Tableau1[[#This Row],[Name ILN]],"-",Tableau1[[#This Row],[Name Shipper]],"-",Tableau1[[#This Row],[Name Site]])</f>
        <v>--</v>
      </c>
      <c r="C315" s="64" t="e">
        <f>_xlfn.CONCAT(Tableau1[[#This Row],[Compte ILN]],"-",Tableau1[[#This Row],[Compte Shipper]],"-",Tableau1[[#This Row],[POL]],"-",Tableau1[[#This Row],[Compte Consignee]])</f>
        <v>#N/A</v>
      </c>
      <c r="D315" s="64" t="e">
        <f>_xlfn.CONCAT(Tableau1[[#This Row],[Compte ILN]],"-",Tableau1[[#This Row],[Compte Shipper]],"-",Tableau1[[#This Row],[POL]])</f>
        <v>#N/A</v>
      </c>
      <c r="E315" s="128" t="e">
        <f ca="1">_xlfn.CONCAT(Tableau1[[#This Row],[POL]],"-",Tableau1[[#This Row],[Carrier]],"-",Tableau1[[#This Row],[POD]])</f>
        <v>#N/A</v>
      </c>
      <c r="F315" s="64" t="str">
        <f>_xlfn.CONCAT(Tableau1[[#This Row],[ID]],"-","Actif")</f>
        <v>-Actif</v>
      </c>
      <c r="G315" s="64" t="e">
        <f ca="1">_xlfn.CONCAT(Tableau1[[#This Row],[POD]],"-",Tableau1[[#This Row],[Code PFI]],"-",Tableau1[[#This Row],[Compte Consignee]])</f>
        <v>#N/A</v>
      </c>
      <c r="H31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5" s="117" t="str">
        <f ca="1">IF(COUNTIF(I:I,Tableau1[[#This Row],[Plant-ILN-shipper-POL-Carrier-POD-PFI]])=1,"Non","Oui")</f>
        <v>Oui</v>
      </c>
      <c r="K315" s="126" t="e">
        <f>VLOOKUP(Tableau1[[#This Row],[Name Site]],Plant_AILN!A:D,4,FALSE)</f>
        <v>#N/A</v>
      </c>
      <c r="L315" s="363"/>
      <c r="M315" s="492" t="e">
        <f>VLOOKUP(Tableau1[[#This Row],[Name Site]],Plant_AILN!A:C,3,FALSE)</f>
        <v>#N/A</v>
      </c>
      <c r="N315" s="55" t="e">
        <f>VLOOKUP(Tableau1[[#This Row],[Compte Consignee]],Order!C:D,2,FALSE)</f>
        <v>#N/A</v>
      </c>
      <c r="O315" s="122"/>
      <c r="P315" s="481" t="e">
        <f>VLOOKUP(Tableau1[[#This Row],[Name ILN]],Plant_AILN!F:G,2,FALSE)</f>
        <v>#N/A</v>
      </c>
      <c r="Q315" s="50" t="e">
        <f>VLOOKUP(Tableau1[[#This Row],[Compte ILN]],'DATA ILN'!D:I,6,FALSE)</f>
        <v>#N/A</v>
      </c>
      <c r="R315" s="50" t="e">
        <f>IFERROR(VLOOKUP(Tableau1[[#This Row],[Key(Compte ILN - shipper - POL - plant)]],'DATA ILN'!A:J,10,FALSE),VLOOKUP(Tableau1[[#This Row],[Key(Compte ILN - shipper - POL)]],'DATA ILN'!B:J,9,FALSE))</f>
        <v>#N/A</v>
      </c>
      <c r="S315" s="50" t="e">
        <f>IFERROR(VLOOKUP(Tableau1[[#This Row],[Key(Compte ILN - shipper - POL - plant)]],'DATA ILN'!A:K,11,FALSE),VLOOKUP(Tableau1[[#This Row],[Key(Compte ILN - shipper - POL)]],'DATA ILN'!B:K,10,FALSE))</f>
        <v>#N/A</v>
      </c>
      <c r="T315" s="50" t="e">
        <f>IFERROR(VLOOKUP(Tableau1[[#This Row],[Key(Compte ILN - shipper - POL - plant)]],'DATA ILN'!A:L,12,FALSE),VLOOKUP(Tableau1[[#This Row],[Key(Compte ILN - shipper - POL)]],'DATA ILN'!B:L,11,FALSE))</f>
        <v>#N/A</v>
      </c>
      <c r="U315" s="50" t="e">
        <f>Tableau1[[#This Row],[Day ILN Order]]+Tableau1[[#This Row],[Delivery time to ILN/Shipper]]-1</f>
        <v>#N/A</v>
      </c>
      <c r="V315" s="50" t="e">
        <f>IFERROR(VLOOKUP(Tableau1[[#This Row],[Key(Compte ILN - shipper - POL - plant)]],'DATA ILN'!A:N,14,FALSE),VLOOKUP(Tableau1[[#This Row],[Key(Compte ILN - shipper - POL)]],'DATA ILN'!B:N,13,FALSE))</f>
        <v>#N/A</v>
      </c>
      <c r="W315" s="50" t="e">
        <f>IFERROR(VLOOKUP(Tableau1[[#This Row],[Key(Compte ILN - shipper - POL - plant)]],'DATA ILN'!A:P,16,FALSE),VLOOKUP(Tableau1[[#This Row],[Key(Compte ILN - shipper - POL)]],'DATA ILN'!B:P,15,FALSE))</f>
        <v>#N/A</v>
      </c>
      <c r="X315" s="122"/>
      <c r="Y315" s="489">
        <f>IFERROR(VLOOKUP(Tableau1[[#This Row],[Name Shipper]],Plant_AILN!L:M,2,FALSE),0)</f>
        <v>0</v>
      </c>
      <c r="Z315" s="358"/>
      <c r="AA315" s="353" t="e">
        <f ca="1">VLOOKUP(Tableau1[[#This Row],[Key(ID-Actif)]],'DATA BTO'!A:N,5,FALSE)</f>
        <v>#N/A</v>
      </c>
      <c r="AB315" s="3" t="e">
        <f ca="1">VLOOKUP(Tableau1[[#This Row],[Key(ID-Actif)]],'DATA BTO'!A:N,6,FALSE)</f>
        <v>#N/A</v>
      </c>
      <c r="AC315" s="50" t="e">
        <f ca="1">VLOOKUP(Tableau1[[#This Row],[Key(ID-Actif)]],'DATA BTO'!A:N,7,FALSE)</f>
        <v>#N/A</v>
      </c>
      <c r="AD315" s="50" t="e">
        <f ca="1">VLOOKUP(Tableau1[[#This Row],[Key(ID-Actif)]],'DATA BTO'!A:N,8,FALSE)</f>
        <v>#N/A</v>
      </c>
      <c r="AE315" s="406" t="e">
        <f ca="1">IF(Tableau1[[#This Row],[First Day to POL]]&lt;=Tableau1[[#This Row],[Day Cut Off]],Tableau1[[#This Row],[Day ETD]],Tableau1[[#This Row],[Day ETD]]+7)</f>
        <v>#N/A</v>
      </c>
      <c r="AF315" s="50" t="e">
        <f ca="1">VLOOKUP(Tableau1[[#This Row],[Key(ID-Actif)]],'DATA BTO'!A:N,9,FALSE)</f>
        <v>#N/A</v>
      </c>
      <c r="AG315" s="3" t="e">
        <f ca="1">VLOOKUP(Tableau1[[#This Row],[Key(ID-Actif)]],'DATA BTO'!A:N,10,FALSE)</f>
        <v>#N/A</v>
      </c>
      <c r="AH315" s="3" t="e">
        <f ca="1">VLOOKUP(Tableau1[[#This Row],[Key(ID-Actif)]],'DATA BTO'!A:N,11,FALSE)</f>
        <v>#N/A</v>
      </c>
      <c r="AI315" s="50" t="e">
        <f ca="1">VLOOKUP(Tableau1[[#This Row],[Key(ID-Actif)]],'DATA BTO'!A:N,12,FALSE)</f>
        <v>#N/A</v>
      </c>
      <c r="AJ315" s="53" t="e">
        <f ca="1">VLOOKUP(Tableau1[[#This Row],[Key(ID-Actif)]],'DATA BTO'!A:N,14,FALSE)</f>
        <v>#N/A</v>
      </c>
      <c r="AK315" s="54" t="e">
        <f ca="1">VLOOKUP(Tableau1[[#This Row],[Key(POD -PFI- Usine)]],'DATA Consignee'!A:F,6,FALSE)</f>
        <v>#N/A</v>
      </c>
      <c r="AL315" s="283"/>
      <c r="AM315" s="490" t="str">
        <f>IF(Tableau1[[#This Row],[Name PFI/CDD]]="","-",VLOOKUP(Tableau1[[#This Row],[Name PFI/CDD]],Plant_AILN!I:J,2,FALSE))</f>
        <v>-</v>
      </c>
      <c r="AN31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5" s="2" t="e">
        <f ca="1">VLOOKUP(Tableau1[[#This Row],[Key(POD -PFI- Usine)]],'DATA Consignee'!A:J,10,FALSE)</f>
        <v>#N/A</v>
      </c>
      <c r="AQ315" s="50" t="e">
        <f ca="1">VLOOKUP(Tableau1[[#This Row],[Key(POD -PFI- Usine)]],'DATA Consignee'!A:N,14,FALSE)</f>
        <v>#N/A</v>
      </c>
      <c r="AR31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5" s="50" t="e">
        <f ca="1">Tableau1[[#This Row],[Transit time]]+Tableau1[[#This Row],[Time for security]]+Tableau1[[#This Row],[Time for security2 buffer]]</f>
        <v>#N/A</v>
      </c>
      <c r="AU31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5" s="50" t="e">
        <f ca="1">Tableau1[[#This Row],[Leadtime SI2C]]+Tableau1[[#This Row],[First Receipt Days]]-Tableau1[[#This Row],[Day Customer Order]]+1</f>
        <v>#N/A</v>
      </c>
      <c r="AW315" s="117" t="e">
        <f ca="1">IF(Tableau1[[#This Row],[Name ILN]]&lt;&gt;"SFK Freight Forwarder",Tableau1[[#This Row],[Cust. Leadtime]],Tableau1[[#This Row],[Leadtime SI2C]])</f>
        <v>#N/A</v>
      </c>
      <c r="AX315" s="57" t="e">
        <f>VLOOKUP(Tableau1[[#This Row],[ID]],'DATA BTO'!B:P,15,FALSE)</f>
        <v>#N/A</v>
      </c>
      <c r="AY315" s="328" t="e">
        <f ca="1">IFERROR(VLOOKUP(Tableau1[[#This Row],[Key(ID-Actif)]],'DATA BTO'!A:N,4,FALSE),VLOOKUP(Tableau1[[#This Row],[ID]],'DATA BTO'!B:N,3,FALSE))</f>
        <v>#N/A</v>
      </c>
      <c r="AZ31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5" s="50"/>
    </row>
    <row r="316" spans="2:57">
      <c r="B316" s="405" t="str">
        <f>_xlfn.CONCAT(Tableau1[[#This Row],[Name ILN]],"-",Tableau1[[#This Row],[Name Shipper]],"-",Tableau1[[#This Row],[Name Site]])</f>
        <v>--</v>
      </c>
      <c r="C316" s="64" t="e">
        <f>_xlfn.CONCAT(Tableau1[[#This Row],[Compte ILN]],"-",Tableau1[[#This Row],[Compte Shipper]],"-",Tableau1[[#This Row],[POL]],"-",Tableau1[[#This Row],[Compte Consignee]])</f>
        <v>#N/A</v>
      </c>
      <c r="D316" s="64" t="e">
        <f>_xlfn.CONCAT(Tableau1[[#This Row],[Compte ILN]],"-",Tableau1[[#This Row],[Compte Shipper]],"-",Tableau1[[#This Row],[POL]])</f>
        <v>#N/A</v>
      </c>
      <c r="E316" s="128" t="e">
        <f ca="1">_xlfn.CONCAT(Tableau1[[#This Row],[POL]],"-",Tableau1[[#This Row],[Carrier]],"-",Tableau1[[#This Row],[POD]])</f>
        <v>#N/A</v>
      </c>
      <c r="F316" s="64" t="str">
        <f>_xlfn.CONCAT(Tableau1[[#This Row],[ID]],"-","Actif")</f>
        <v>-Actif</v>
      </c>
      <c r="G316" s="64" t="e">
        <f ca="1">_xlfn.CONCAT(Tableau1[[#This Row],[POD]],"-",Tableau1[[#This Row],[Code PFI]],"-",Tableau1[[#This Row],[Compte Consignee]])</f>
        <v>#N/A</v>
      </c>
      <c r="H31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6" s="117" t="str">
        <f ca="1">IF(COUNTIF(I:I,Tableau1[[#This Row],[Plant-ILN-shipper-POL-Carrier-POD-PFI]])=1,"Non","Oui")</f>
        <v>Oui</v>
      </c>
      <c r="K316" s="126" t="e">
        <f>VLOOKUP(Tableau1[[#This Row],[Name Site]],Plant_AILN!A:D,4,FALSE)</f>
        <v>#N/A</v>
      </c>
      <c r="L316" s="363"/>
      <c r="M316" s="492" t="e">
        <f>VLOOKUP(Tableau1[[#This Row],[Name Site]],Plant_AILN!A:C,3,FALSE)</f>
        <v>#N/A</v>
      </c>
      <c r="N316" s="55" t="e">
        <f>VLOOKUP(Tableau1[[#This Row],[Compte Consignee]],Order!C:D,2,FALSE)</f>
        <v>#N/A</v>
      </c>
      <c r="O316" s="122"/>
      <c r="P316" s="481" t="e">
        <f>VLOOKUP(Tableau1[[#This Row],[Name ILN]],Plant_AILN!F:G,2,FALSE)</f>
        <v>#N/A</v>
      </c>
      <c r="Q316" s="50" t="e">
        <f>VLOOKUP(Tableau1[[#This Row],[Compte ILN]],'DATA ILN'!D:I,6,FALSE)</f>
        <v>#N/A</v>
      </c>
      <c r="R316" s="50" t="e">
        <f>IFERROR(VLOOKUP(Tableau1[[#This Row],[Key(Compte ILN - shipper - POL - plant)]],'DATA ILN'!A:J,10,FALSE),VLOOKUP(Tableau1[[#This Row],[Key(Compte ILN - shipper - POL)]],'DATA ILN'!B:J,9,FALSE))</f>
        <v>#N/A</v>
      </c>
      <c r="S316" s="50" t="e">
        <f>IFERROR(VLOOKUP(Tableau1[[#This Row],[Key(Compte ILN - shipper - POL - plant)]],'DATA ILN'!A:K,11,FALSE),VLOOKUP(Tableau1[[#This Row],[Key(Compte ILN - shipper - POL)]],'DATA ILN'!B:K,10,FALSE))</f>
        <v>#N/A</v>
      </c>
      <c r="T316" s="50" t="e">
        <f>IFERROR(VLOOKUP(Tableau1[[#This Row],[Key(Compte ILN - shipper - POL - plant)]],'DATA ILN'!A:L,12,FALSE),VLOOKUP(Tableau1[[#This Row],[Key(Compte ILN - shipper - POL)]],'DATA ILN'!B:L,11,FALSE))</f>
        <v>#N/A</v>
      </c>
      <c r="U316" s="50" t="e">
        <f>Tableau1[[#This Row],[Day ILN Order]]+Tableau1[[#This Row],[Delivery time to ILN/Shipper]]-1</f>
        <v>#N/A</v>
      </c>
      <c r="V316" s="50" t="e">
        <f>IFERROR(VLOOKUP(Tableau1[[#This Row],[Key(Compte ILN - shipper - POL - plant)]],'DATA ILN'!A:N,14,FALSE),VLOOKUP(Tableau1[[#This Row],[Key(Compte ILN - shipper - POL)]],'DATA ILN'!B:N,13,FALSE))</f>
        <v>#N/A</v>
      </c>
      <c r="W316" s="50" t="e">
        <f>IFERROR(VLOOKUP(Tableau1[[#This Row],[Key(Compte ILN - shipper - POL - plant)]],'DATA ILN'!A:P,16,FALSE),VLOOKUP(Tableau1[[#This Row],[Key(Compte ILN - shipper - POL)]],'DATA ILN'!B:P,15,FALSE))</f>
        <v>#N/A</v>
      </c>
      <c r="X316" s="122"/>
      <c r="Y316" s="489">
        <f>IFERROR(VLOOKUP(Tableau1[[#This Row],[Name Shipper]],Plant_AILN!L:M,2,FALSE),0)</f>
        <v>0</v>
      </c>
      <c r="Z316" s="358"/>
      <c r="AA316" s="353" t="e">
        <f ca="1">VLOOKUP(Tableau1[[#This Row],[Key(ID-Actif)]],'DATA BTO'!A:N,5,FALSE)</f>
        <v>#N/A</v>
      </c>
      <c r="AB316" s="3" t="e">
        <f ca="1">VLOOKUP(Tableau1[[#This Row],[Key(ID-Actif)]],'DATA BTO'!A:N,6,FALSE)</f>
        <v>#N/A</v>
      </c>
      <c r="AC316" s="50" t="e">
        <f ca="1">VLOOKUP(Tableau1[[#This Row],[Key(ID-Actif)]],'DATA BTO'!A:N,7,FALSE)</f>
        <v>#N/A</v>
      </c>
      <c r="AD316" s="50" t="e">
        <f ca="1">VLOOKUP(Tableau1[[#This Row],[Key(ID-Actif)]],'DATA BTO'!A:N,8,FALSE)</f>
        <v>#N/A</v>
      </c>
      <c r="AE316" s="406" t="e">
        <f ca="1">IF(Tableau1[[#This Row],[First Day to POL]]&lt;=Tableau1[[#This Row],[Day Cut Off]],Tableau1[[#This Row],[Day ETD]],Tableau1[[#This Row],[Day ETD]]+7)</f>
        <v>#N/A</v>
      </c>
      <c r="AF316" s="50" t="e">
        <f ca="1">VLOOKUP(Tableau1[[#This Row],[Key(ID-Actif)]],'DATA BTO'!A:N,9,FALSE)</f>
        <v>#N/A</v>
      </c>
      <c r="AG316" s="3" t="e">
        <f ca="1">VLOOKUP(Tableau1[[#This Row],[Key(ID-Actif)]],'DATA BTO'!A:N,10,FALSE)</f>
        <v>#N/A</v>
      </c>
      <c r="AH316" s="3" t="e">
        <f ca="1">VLOOKUP(Tableau1[[#This Row],[Key(ID-Actif)]],'DATA BTO'!A:N,11,FALSE)</f>
        <v>#N/A</v>
      </c>
      <c r="AI316" s="50" t="e">
        <f ca="1">VLOOKUP(Tableau1[[#This Row],[Key(ID-Actif)]],'DATA BTO'!A:N,12,FALSE)</f>
        <v>#N/A</v>
      </c>
      <c r="AJ316" s="53" t="e">
        <f ca="1">VLOOKUP(Tableau1[[#This Row],[Key(ID-Actif)]],'DATA BTO'!A:N,14,FALSE)</f>
        <v>#N/A</v>
      </c>
      <c r="AK316" s="54" t="e">
        <f ca="1">VLOOKUP(Tableau1[[#This Row],[Key(POD -PFI- Usine)]],'DATA Consignee'!A:F,6,FALSE)</f>
        <v>#N/A</v>
      </c>
      <c r="AL316" s="283"/>
      <c r="AM316" s="490" t="str">
        <f>IF(Tableau1[[#This Row],[Name PFI/CDD]]="","-",VLOOKUP(Tableau1[[#This Row],[Name PFI/CDD]],Plant_AILN!I:J,2,FALSE))</f>
        <v>-</v>
      </c>
      <c r="AN31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6" s="2" t="e">
        <f ca="1">VLOOKUP(Tableau1[[#This Row],[Key(POD -PFI- Usine)]],'DATA Consignee'!A:J,10,FALSE)</f>
        <v>#N/A</v>
      </c>
      <c r="AQ316" s="50" t="e">
        <f ca="1">VLOOKUP(Tableau1[[#This Row],[Key(POD -PFI- Usine)]],'DATA Consignee'!A:N,14,FALSE)</f>
        <v>#N/A</v>
      </c>
      <c r="AR31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6" s="50" t="e">
        <f ca="1">Tableau1[[#This Row],[Transit time]]+Tableau1[[#This Row],[Time for security]]+Tableau1[[#This Row],[Time for security2 buffer]]</f>
        <v>#N/A</v>
      </c>
      <c r="AU31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6" s="50" t="e">
        <f ca="1">Tableau1[[#This Row],[Leadtime SI2C]]+Tableau1[[#This Row],[First Receipt Days]]-Tableau1[[#This Row],[Day Customer Order]]+1</f>
        <v>#N/A</v>
      </c>
      <c r="AW316" s="117" t="e">
        <f ca="1">IF(Tableau1[[#This Row],[Name ILN]]&lt;&gt;"SFK Freight Forwarder",Tableau1[[#This Row],[Cust. Leadtime]],Tableau1[[#This Row],[Leadtime SI2C]])</f>
        <v>#N/A</v>
      </c>
      <c r="AX316" s="57" t="e">
        <f>VLOOKUP(Tableau1[[#This Row],[ID]],'DATA BTO'!B:P,15,FALSE)</f>
        <v>#N/A</v>
      </c>
      <c r="AY316" s="328" t="e">
        <f ca="1">IFERROR(VLOOKUP(Tableau1[[#This Row],[Key(ID-Actif)]],'DATA BTO'!A:N,4,FALSE),VLOOKUP(Tableau1[[#This Row],[ID]],'DATA BTO'!B:N,3,FALSE))</f>
        <v>#N/A</v>
      </c>
      <c r="AZ31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6" s="50"/>
    </row>
    <row r="317" spans="2:57">
      <c r="B317" s="405" t="str">
        <f>_xlfn.CONCAT(Tableau1[[#This Row],[Name ILN]],"-",Tableau1[[#This Row],[Name Shipper]],"-",Tableau1[[#This Row],[Name Site]])</f>
        <v>--</v>
      </c>
      <c r="C317" s="64" t="e">
        <f>_xlfn.CONCAT(Tableau1[[#This Row],[Compte ILN]],"-",Tableau1[[#This Row],[Compte Shipper]],"-",Tableau1[[#This Row],[POL]],"-",Tableau1[[#This Row],[Compte Consignee]])</f>
        <v>#N/A</v>
      </c>
      <c r="D317" s="64" t="e">
        <f>_xlfn.CONCAT(Tableau1[[#This Row],[Compte ILN]],"-",Tableau1[[#This Row],[Compte Shipper]],"-",Tableau1[[#This Row],[POL]])</f>
        <v>#N/A</v>
      </c>
      <c r="E317" s="128" t="e">
        <f ca="1">_xlfn.CONCAT(Tableau1[[#This Row],[POL]],"-",Tableau1[[#This Row],[Carrier]],"-",Tableau1[[#This Row],[POD]])</f>
        <v>#N/A</v>
      </c>
      <c r="F317" s="64" t="str">
        <f>_xlfn.CONCAT(Tableau1[[#This Row],[ID]],"-","Actif")</f>
        <v>-Actif</v>
      </c>
      <c r="G317" s="64" t="e">
        <f ca="1">_xlfn.CONCAT(Tableau1[[#This Row],[POD]],"-",Tableau1[[#This Row],[Code PFI]],"-",Tableau1[[#This Row],[Compte Consignee]])</f>
        <v>#N/A</v>
      </c>
      <c r="H31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7" s="117" t="str">
        <f ca="1">IF(COUNTIF(I:I,Tableau1[[#This Row],[Plant-ILN-shipper-POL-Carrier-POD-PFI]])=1,"Non","Oui")</f>
        <v>Oui</v>
      </c>
      <c r="K317" s="126" t="e">
        <f>VLOOKUP(Tableau1[[#This Row],[Name Site]],Plant_AILN!A:D,4,FALSE)</f>
        <v>#N/A</v>
      </c>
      <c r="L317" s="363"/>
      <c r="M317" s="492" t="e">
        <f>VLOOKUP(Tableau1[[#This Row],[Name Site]],Plant_AILN!A:C,3,FALSE)</f>
        <v>#N/A</v>
      </c>
      <c r="N317" s="55" t="e">
        <f>VLOOKUP(Tableau1[[#This Row],[Compte Consignee]],Order!C:D,2,FALSE)</f>
        <v>#N/A</v>
      </c>
      <c r="O317" s="122"/>
      <c r="P317" s="481" t="e">
        <f>VLOOKUP(Tableau1[[#This Row],[Name ILN]],Plant_AILN!F:G,2,FALSE)</f>
        <v>#N/A</v>
      </c>
      <c r="Q317" s="50" t="e">
        <f>VLOOKUP(Tableau1[[#This Row],[Compte ILN]],'DATA ILN'!D:I,6,FALSE)</f>
        <v>#N/A</v>
      </c>
      <c r="R317" s="50" t="e">
        <f>IFERROR(VLOOKUP(Tableau1[[#This Row],[Key(Compte ILN - shipper - POL - plant)]],'DATA ILN'!A:J,10,FALSE),VLOOKUP(Tableau1[[#This Row],[Key(Compte ILN - shipper - POL)]],'DATA ILN'!B:J,9,FALSE))</f>
        <v>#N/A</v>
      </c>
      <c r="S317" s="50" t="e">
        <f>IFERROR(VLOOKUP(Tableau1[[#This Row],[Key(Compte ILN - shipper - POL - plant)]],'DATA ILN'!A:K,11,FALSE),VLOOKUP(Tableau1[[#This Row],[Key(Compte ILN - shipper - POL)]],'DATA ILN'!B:K,10,FALSE))</f>
        <v>#N/A</v>
      </c>
      <c r="T317" s="50" t="e">
        <f>IFERROR(VLOOKUP(Tableau1[[#This Row],[Key(Compte ILN - shipper - POL - plant)]],'DATA ILN'!A:L,12,FALSE),VLOOKUP(Tableau1[[#This Row],[Key(Compte ILN - shipper - POL)]],'DATA ILN'!B:L,11,FALSE))</f>
        <v>#N/A</v>
      </c>
      <c r="U317" s="50" t="e">
        <f>Tableau1[[#This Row],[Day ILN Order]]+Tableau1[[#This Row],[Delivery time to ILN/Shipper]]-1</f>
        <v>#N/A</v>
      </c>
      <c r="V317" s="50" t="e">
        <f>IFERROR(VLOOKUP(Tableau1[[#This Row],[Key(Compte ILN - shipper - POL - plant)]],'DATA ILN'!A:N,14,FALSE),VLOOKUP(Tableau1[[#This Row],[Key(Compte ILN - shipper - POL)]],'DATA ILN'!B:N,13,FALSE))</f>
        <v>#N/A</v>
      </c>
      <c r="W317" s="50" t="e">
        <f>IFERROR(VLOOKUP(Tableau1[[#This Row],[Key(Compte ILN - shipper - POL - plant)]],'DATA ILN'!A:P,16,FALSE),VLOOKUP(Tableau1[[#This Row],[Key(Compte ILN - shipper - POL)]],'DATA ILN'!B:P,15,FALSE))</f>
        <v>#N/A</v>
      </c>
      <c r="X317" s="122"/>
      <c r="Y317" s="489">
        <f>IFERROR(VLOOKUP(Tableau1[[#This Row],[Name Shipper]],Plant_AILN!L:M,2,FALSE),0)</f>
        <v>0</v>
      </c>
      <c r="Z317" s="358"/>
      <c r="AA317" s="353" t="e">
        <f ca="1">VLOOKUP(Tableau1[[#This Row],[Key(ID-Actif)]],'DATA BTO'!A:N,5,FALSE)</f>
        <v>#N/A</v>
      </c>
      <c r="AB317" s="3" t="e">
        <f ca="1">VLOOKUP(Tableau1[[#This Row],[Key(ID-Actif)]],'DATA BTO'!A:N,6,FALSE)</f>
        <v>#N/A</v>
      </c>
      <c r="AC317" s="50" t="e">
        <f ca="1">VLOOKUP(Tableau1[[#This Row],[Key(ID-Actif)]],'DATA BTO'!A:N,7,FALSE)</f>
        <v>#N/A</v>
      </c>
      <c r="AD317" s="50" t="e">
        <f ca="1">VLOOKUP(Tableau1[[#This Row],[Key(ID-Actif)]],'DATA BTO'!A:N,8,FALSE)</f>
        <v>#N/A</v>
      </c>
      <c r="AE317" s="406" t="e">
        <f ca="1">IF(Tableau1[[#This Row],[First Day to POL]]&lt;=Tableau1[[#This Row],[Day Cut Off]],Tableau1[[#This Row],[Day ETD]],Tableau1[[#This Row],[Day ETD]]+7)</f>
        <v>#N/A</v>
      </c>
      <c r="AF317" s="50" t="e">
        <f ca="1">VLOOKUP(Tableau1[[#This Row],[Key(ID-Actif)]],'DATA BTO'!A:N,9,FALSE)</f>
        <v>#N/A</v>
      </c>
      <c r="AG317" s="3" t="e">
        <f ca="1">VLOOKUP(Tableau1[[#This Row],[Key(ID-Actif)]],'DATA BTO'!A:N,10,FALSE)</f>
        <v>#N/A</v>
      </c>
      <c r="AH317" s="3" t="e">
        <f ca="1">VLOOKUP(Tableau1[[#This Row],[Key(ID-Actif)]],'DATA BTO'!A:N,11,FALSE)</f>
        <v>#N/A</v>
      </c>
      <c r="AI317" s="50" t="e">
        <f ca="1">VLOOKUP(Tableau1[[#This Row],[Key(ID-Actif)]],'DATA BTO'!A:N,12,FALSE)</f>
        <v>#N/A</v>
      </c>
      <c r="AJ317" s="53" t="e">
        <f ca="1">VLOOKUP(Tableau1[[#This Row],[Key(ID-Actif)]],'DATA BTO'!A:N,14,FALSE)</f>
        <v>#N/A</v>
      </c>
      <c r="AK317" s="54" t="e">
        <f ca="1">VLOOKUP(Tableau1[[#This Row],[Key(POD -PFI- Usine)]],'DATA Consignee'!A:F,6,FALSE)</f>
        <v>#N/A</v>
      </c>
      <c r="AL317" s="283"/>
      <c r="AM317" s="490" t="str">
        <f>IF(Tableau1[[#This Row],[Name PFI/CDD]]="","-",VLOOKUP(Tableau1[[#This Row],[Name PFI/CDD]],Plant_AILN!I:J,2,FALSE))</f>
        <v>-</v>
      </c>
      <c r="AN31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7" s="2" t="e">
        <f ca="1">VLOOKUP(Tableau1[[#This Row],[Key(POD -PFI- Usine)]],'DATA Consignee'!A:J,10,FALSE)</f>
        <v>#N/A</v>
      </c>
      <c r="AQ317" s="50" t="e">
        <f ca="1">VLOOKUP(Tableau1[[#This Row],[Key(POD -PFI- Usine)]],'DATA Consignee'!A:N,14,FALSE)</f>
        <v>#N/A</v>
      </c>
      <c r="AR31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7" s="50" t="e">
        <f ca="1">Tableau1[[#This Row],[Transit time]]+Tableau1[[#This Row],[Time for security]]+Tableau1[[#This Row],[Time for security2 buffer]]</f>
        <v>#N/A</v>
      </c>
      <c r="AU31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7" s="50" t="e">
        <f ca="1">Tableau1[[#This Row],[Leadtime SI2C]]+Tableau1[[#This Row],[First Receipt Days]]-Tableau1[[#This Row],[Day Customer Order]]+1</f>
        <v>#N/A</v>
      </c>
      <c r="AW317" s="117" t="e">
        <f ca="1">IF(Tableau1[[#This Row],[Name ILN]]&lt;&gt;"SFK Freight Forwarder",Tableau1[[#This Row],[Cust. Leadtime]],Tableau1[[#This Row],[Leadtime SI2C]])</f>
        <v>#N/A</v>
      </c>
      <c r="AX317" s="57" t="e">
        <f>VLOOKUP(Tableau1[[#This Row],[ID]],'DATA BTO'!B:P,15,FALSE)</f>
        <v>#N/A</v>
      </c>
      <c r="AY317" s="328" t="e">
        <f ca="1">IFERROR(VLOOKUP(Tableau1[[#This Row],[Key(ID-Actif)]],'DATA BTO'!A:N,4,FALSE),VLOOKUP(Tableau1[[#This Row],[ID]],'DATA BTO'!B:N,3,FALSE))</f>
        <v>#N/A</v>
      </c>
      <c r="AZ31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7" s="50"/>
    </row>
    <row r="318" spans="2:57">
      <c r="B318" s="405" t="str">
        <f>_xlfn.CONCAT(Tableau1[[#This Row],[Name ILN]],"-",Tableau1[[#This Row],[Name Shipper]],"-",Tableau1[[#This Row],[Name Site]])</f>
        <v>--</v>
      </c>
      <c r="C318" s="64" t="e">
        <f>_xlfn.CONCAT(Tableau1[[#This Row],[Compte ILN]],"-",Tableau1[[#This Row],[Compte Shipper]],"-",Tableau1[[#This Row],[POL]],"-",Tableau1[[#This Row],[Compte Consignee]])</f>
        <v>#N/A</v>
      </c>
      <c r="D318" s="64" t="e">
        <f>_xlfn.CONCAT(Tableau1[[#This Row],[Compte ILN]],"-",Tableau1[[#This Row],[Compte Shipper]],"-",Tableau1[[#This Row],[POL]])</f>
        <v>#N/A</v>
      </c>
      <c r="E318" s="128" t="e">
        <f ca="1">_xlfn.CONCAT(Tableau1[[#This Row],[POL]],"-",Tableau1[[#This Row],[Carrier]],"-",Tableau1[[#This Row],[POD]])</f>
        <v>#N/A</v>
      </c>
      <c r="F318" s="64" t="str">
        <f>_xlfn.CONCAT(Tableau1[[#This Row],[ID]],"-","Actif")</f>
        <v>-Actif</v>
      </c>
      <c r="G318" s="64" t="e">
        <f ca="1">_xlfn.CONCAT(Tableau1[[#This Row],[POD]],"-",Tableau1[[#This Row],[Code PFI]],"-",Tableau1[[#This Row],[Compte Consignee]])</f>
        <v>#N/A</v>
      </c>
      <c r="H31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8" s="117" t="str">
        <f ca="1">IF(COUNTIF(I:I,Tableau1[[#This Row],[Plant-ILN-shipper-POL-Carrier-POD-PFI]])=1,"Non","Oui")</f>
        <v>Oui</v>
      </c>
      <c r="K318" s="126" t="e">
        <f>VLOOKUP(Tableau1[[#This Row],[Name Site]],Plant_AILN!A:D,4,FALSE)</f>
        <v>#N/A</v>
      </c>
      <c r="L318" s="363"/>
      <c r="M318" s="492" t="e">
        <f>VLOOKUP(Tableau1[[#This Row],[Name Site]],Plant_AILN!A:C,3,FALSE)</f>
        <v>#N/A</v>
      </c>
      <c r="N318" s="55" t="e">
        <f>VLOOKUP(Tableau1[[#This Row],[Compte Consignee]],Order!C:D,2,FALSE)</f>
        <v>#N/A</v>
      </c>
      <c r="O318" s="122"/>
      <c r="P318" s="481" t="e">
        <f>VLOOKUP(Tableau1[[#This Row],[Name ILN]],Plant_AILN!F:G,2,FALSE)</f>
        <v>#N/A</v>
      </c>
      <c r="Q318" s="50" t="e">
        <f>VLOOKUP(Tableau1[[#This Row],[Compte ILN]],'DATA ILN'!D:I,6,FALSE)</f>
        <v>#N/A</v>
      </c>
      <c r="R318" s="50" t="e">
        <f>IFERROR(VLOOKUP(Tableau1[[#This Row],[Key(Compte ILN - shipper - POL - plant)]],'DATA ILN'!A:J,10,FALSE),VLOOKUP(Tableau1[[#This Row],[Key(Compte ILN - shipper - POL)]],'DATA ILN'!B:J,9,FALSE))</f>
        <v>#N/A</v>
      </c>
      <c r="S318" s="50" t="e">
        <f>IFERROR(VLOOKUP(Tableau1[[#This Row],[Key(Compte ILN - shipper - POL - plant)]],'DATA ILN'!A:K,11,FALSE),VLOOKUP(Tableau1[[#This Row],[Key(Compte ILN - shipper - POL)]],'DATA ILN'!B:K,10,FALSE))</f>
        <v>#N/A</v>
      </c>
      <c r="T318" s="50" t="e">
        <f>IFERROR(VLOOKUP(Tableau1[[#This Row],[Key(Compte ILN - shipper - POL - plant)]],'DATA ILN'!A:L,12,FALSE),VLOOKUP(Tableau1[[#This Row],[Key(Compte ILN - shipper - POL)]],'DATA ILN'!B:L,11,FALSE))</f>
        <v>#N/A</v>
      </c>
      <c r="U318" s="50" t="e">
        <f>Tableau1[[#This Row],[Day ILN Order]]+Tableau1[[#This Row],[Delivery time to ILN/Shipper]]-1</f>
        <v>#N/A</v>
      </c>
      <c r="V318" s="50" t="e">
        <f>IFERROR(VLOOKUP(Tableau1[[#This Row],[Key(Compte ILN - shipper - POL - plant)]],'DATA ILN'!A:N,14,FALSE),VLOOKUP(Tableau1[[#This Row],[Key(Compte ILN - shipper - POL)]],'DATA ILN'!B:N,13,FALSE))</f>
        <v>#N/A</v>
      </c>
      <c r="W318" s="50" t="e">
        <f>IFERROR(VLOOKUP(Tableau1[[#This Row],[Key(Compte ILN - shipper - POL - plant)]],'DATA ILN'!A:P,16,FALSE),VLOOKUP(Tableau1[[#This Row],[Key(Compte ILN - shipper - POL)]],'DATA ILN'!B:P,15,FALSE))</f>
        <v>#N/A</v>
      </c>
      <c r="X318" s="122"/>
      <c r="Y318" s="489">
        <f>IFERROR(VLOOKUP(Tableau1[[#This Row],[Name Shipper]],Plant_AILN!L:M,2,FALSE),0)</f>
        <v>0</v>
      </c>
      <c r="Z318" s="358"/>
      <c r="AA318" s="353" t="e">
        <f ca="1">VLOOKUP(Tableau1[[#This Row],[Key(ID-Actif)]],'DATA BTO'!A:N,5,FALSE)</f>
        <v>#N/A</v>
      </c>
      <c r="AB318" s="3" t="e">
        <f ca="1">VLOOKUP(Tableau1[[#This Row],[Key(ID-Actif)]],'DATA BTO'!A:N,6,FALSE)</f>
        <v>#N/A</v>
      </c>
      <c r="AC318" s="50" t="e">
        <f ca="1">VLOOKUP(Tableau1[[#This Row],[Key(ID-Actif)]],'DATA BTO'!A:N,7,FALSE)</f>
        <v>#N/A</v>
      </c>
      <c r="AD318" s="50" t="e">
        <f ca="1">VLOOKUP(Tableau1[[#This Row],[Key(ID-Actif)]],'DATA BTO'!A:N,8,FALSE)</f>
        <v>#N/A</v>
      </c>
      <c r="AE318" s="79" t="e">
        <f ca="1">IF(Tableau1[[#This Row],[First Day to POL]]&lt;=Tableau1[[#This Row],[Day Cut Off]],Tableau1[[#This Row],[Day ETD]],Tableau1[[#This Row],[Day ETD]]+7)</f>
        <v>#N/A</v>
      </c>
      <c r="AF318" s="50" t="e">
        <f ca="1">VLOOKUP(Tableau1[[#This Row],[Key(ID-Actif)]],'DATA BTO'!A:N,9,FALSE)</f>
        <v>#N/A</v>
      </c>
      <c r="AG318" s="3" t="e">
        <f ca="1">VLOOKUP(Tableau1[[#This Row],[Key(ID-Actif)]],'DATA BTO'!A:N,10,FALSE)</f>
        <v>#N/A</v>
      </c>
      <c r="AH318" s="3" t="e">
        <f ca="1">VLOOKUP(Tableau1[[#This Row],[Key(ID-Actif)]],'DATA BTO'!A:N,11,FALSE)</f>
        <v>#N/A</v>
      </c>
      <c r="AI318" s="50" t="e">
        <f ca="1">VLOOKUP(Tableau1[[#This Row],[Key(ID-Actif)]],'DATA BTO'!A:N,12,FALSE)</f>
        <v>#N/A</v>
      </c>
      <c r="AJ318" s="53" t="e">
        <f ca="1">VLOOKUP(Tableau1[[#This Row],[Key(ID-Actif)]],'DATA BTO'!A:N,14,FALSE)</f>
        <v>#N/A</v>
      </c>
      <c r="AK318" s="54" t="e">
        <f ca="1">VLOOKUP(Tableau1[[#This Row],[Key(POD -PFI- Usine)]],'DATA Consignee'!A:F,6,FALSE)</f>
        <v>#N/A</v>
      </c>
      <c r="AL318" s="283"/>
      <c r="AM318" s="490" t="str">
        <f>IF(Tableau1[[#This Row],[Name PFI/CDD]]="","-",VLOOKUP(Tableau1[[#This Row],[Name PFI/CDD]],Plant_AILN!I:J,2,FALSE))</f>
        <v>-</v>
      </c>
      <c r="AN31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8" s="2" t="e">
        <f ca="1">VLOOKUP(Tableau1[[#This Row],[Key(POD -PFI- Usine)]],'DATA Consignee'!A:J,10,FALSE)</f>
        <v>#N/A</v>
      </c>
      <c r="AQ318" s="50" t="e">
        <f ca="1">VLOOKUP(Tableau1[[#This Row],[Key(POD -PFI- Usine)]],'DATA Consignee'!A:N,14,FALSE)</f>
        <v>#N/A</v>
      </c>
      <c r="AR31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8" s="50" t="e">
        <f ca="1">Tableau1[[#This Row],[Transit time]]+Tableau1[[#This Row],[Time for security]]+Tableau1[[#This Row],[Time for security2 buffer]]</f>
        <v>#N/A</v>
      </c>
      <c r="AU31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8" s="50" t="e">
        <f ca="1">Tableau1[[#This Row],[Leadtime SI2C]]+Tableau1[[#This Row],[First Receipt Days]]-Tableau1[[#This Row],[Day Customer Order]]+1</f>
        <v>#N/A</v>
      </c>
      <c r="AW318" s="117" t="e">
        <f ca="1">IF(Tableau1[[#This Row],[Name ILN]]&lt;&gt;"SFK Freight Forwarder",Tableau1[[#This Row],[Cust. Leadtime]],Tableau1[[#This Row],[Leadtime SI2C]])</f>
        <v>#N/A</v>
      </c>
      <c r="AX318" s="57" t="e">
        <f>VLOOKUP(Tableau1[[#This Row],[ID]],'DATA BTO'!B:P,15,FALSE)</f>
        <v>#N/A</v>
      </c>
      <c r="AY318" s="328" t="e">
        <f ca="1">IFERROR(VLOOKUP(Tableau1[[#This Row],[Key(ID-Actif)]],'DATA BTO'!A:N,4,FALSE),VLOOKUP(Tableau1[[#This Row],[ID]],'DATA BTO'!B:N,3,FALSE))</f>
        <v>#N/A</v>
      </c>
      <c r="AZ31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8" s="50"/>
    </row>
    <row r="319" spans="2:57">
      <c r="B319" s="405" t="str">
        <f>_xlfn.CONCAT(Tableau1[[#This Row],[Name ILN]],"-",Tableau1[[#This Row],[Name Shipper]],"-",Tableau1[[#This Row],[Name Site]])</f>
        <v>--</v>
      </c>
      <c r="C319" s="64" t="e">
        <f>_xlfn.CONCAT(Tableau1[[#This Row],[Compte ILN]],"-",Tableau1[[#This Row],[Compte Shipper]],"-",Tableau1[[#This Row],[POL]],"-",Tableau1[[#This Row],[Compte Consignee]])</f>
        <v>#N/A</v>
      </c>
      <c r="D319" s="64" t="e">
        <f>_xlfn.CONCAT(Tableau1[[#This Row],[Compte ILN]],"-",Tableau1[[#This Row],[Compte Shipper]],"-",Tableau1[[#This Row],[POL]])</f>
        <v>#N/A</v>
      </c>
      <c r="E319" s="128" t="e">
        <f ca="1">_xlfn.CONCAT(Tableau1[[#This Row],[POL]],"-",Tableau1[[#This Row],[Carrier]],"-",Tableau1[[#This Row],[POD]])</f>
        <v>#N/A</v>
      </c>
      <c r="F319" s="64" t="str">
        <f>_xlfn.CONCAT(Tableau1[[#This Row],[ID]],"-","Actif")</f>
        <v>-Actif</v>
      </c>
      <c r="G319" s="64" t="e">
        <f ca="1">_xlfn.CONCAT(Tableau1[[#This Row],[POD]],"-",Tableau1[[#This Row],[Code PFI]],"-",Tableau1[[#This Row],[Compte Consignee]])</f>
        <v>#N/A</v>
      </c>
      <c r="H31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1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19" s="117" t="str">
        <f ca="1">IF(COUNTIF(I:I,Tableau1[[#This Row],[Plant-ILN-shipper-POL-Carrier-POD-PFI]])=1,"Non","Oui")</f>
        <v>Oui</v>
      </c>
      <c r="K319" s="126" t="e">
        <f>VLOOKUP(Tableau1[[#This Row],[Name Site]],Plant_AILN!A:D,4,FALSE)</f>
        <v>#N/A</v>
      </c>
      <c r="L319" s="363"/>
      <c r="M319" s="492" t="e">
        <f>VLOOKUP(Tableau1[[#This Row],[Name Site]],Plant_AILN!A:C,3,FALSE)</f>
        <v>#N/A</v>
      </c>
      <c r="N319" s="55" t="e">
        <f>VLOOKUP(Tableau1[[#This Row],[Compte Consignee]],Order!C:D,2,FALSE)</f>
        <v>#N/A</v>
      </c>
      <c r="O319" s="122"/>
      <c r="P319" s="481" t="e">
        <f>VLOOKUP(Tableau1[[#This Row],[Name ILN]],Plant_AILN!F:G,2,FALSE)</f>
        <v>#N/A</v>
      </c>
      <c r="Q319" s="50" t="e">
        <f>VLOOKUP(Tableau1[[#This Row],[Compte ILN]],'DATA ILN'!D:I,6,FALSE)</f>
        <v>#N/A</v>
      </c>
      <c r="R319" s="50" t="e">
        <f>IFERROR(VLOOKUP(Tableau1[[#This Row],[Key(Compte ILN - shipper - POL - plant)]],'DATA ILN'!A:J,10,FALSE),VLOOKUP(Tableau1[[#This Row],[Key(Compte ILN - shipper - POL)]],'DATA ILN'!B:J,9,FALSE))</f>
        <v>#N/A</v>
      </c>
      <c r="S319" s="50" t="e">
        <f>IFERROR(VLOOKUP(Tableau1[[#This Row],[Key(Compte ILN - shipper - POL - plant)]],'DATA ILN'!A:K,11,FALSE),VLOOKUP(Tableau1[[#This Row],[Key(Compte ILN - shipper - POL)]],'DATA ILN'!B:K,10,FALSE))</f>
        <v>#N/A</v>
      </c>
      <c r="T319" s="50" t="e">
        <f>IFERROR(VLOOKUP(Tableau1[[#This Row],[Key(Compte ILN - shipper - POL - plant)]],'DATA ILN'!A:L,12,FALSE),VLOOKUP(Tableau1[[#This Row],[Key(Compte ILN - shipper - POL)]],'DATA ILN'!B:L,11,FALSE))</f>
        <v>#N/A</v>
      </c>
      <c r="U319" s="50" t="e">
        <f>Tableau1[[#This Row],[Day ILN Order]]+Tableau1[[#This Row],[Delivery time to ILN/Shipper]]-1</f>
        <v>#N/A</v>
      </c>
      <c r="V319" s="50" t="e">
        <f>IFERROR(VLOOKUP(Tableau1[[#This Row],[Key(Compte ILN - shipper - POL - plant)]],'DATA ILN'!A:N,14,FALSE),VLOOKUP(Tableau1[[#This Row],[Key(Compte ILN - shipper - POL)]],'DATA ILN'!B:N,13,FALSE))</f>
        <v>#N/A</v>
      </c>
      <c r="W319" s="50" t="e">
        <f>IFERROR(VLOOKUP(Tableau1[[#This Row],[Key(Compte ILN - shipper - POL - plant)]],'DATA ILN'!A:P,16,FALSE),VLOOKUP(Tableau1[[#This Row],[Key(Compte ILN - shipper - POL)]],'DATA ILN'!B:P,15,FALSE))</f>
        <v>#N/A</v>
      </c>
      <c r="X319" s="122"/>
      <c r="Y319" s="489">
        <f>IFERROR(VLOOKUP(Tableau1[[#This Row],[Name Shipper]],Plant_AILN!L:M,2,FALSE),0)</f>
        <v>0</v>
      </c>
      <c r="Z319" s="358"/>
      <c r="AA319" s="353" t="e">
        <f ca="1">VLOOKUP(Tableau1[[#This Row],[Key(ID-Actif)]],'DATA BTO'!A:N,5,FALSE)</f>
        <v>#N/A</v>
      </c>
      <c r="AB319" s="3" t="e">
        <f ca="1">VLOOKUP(Tableau1[[#This Row],[Key(ID-Actif)]],'DATA BTO'!A:N,6,FALSE)</f>
        <v>#N/A</v>
      </c>
      <c r="AC319" s="50" t="e">
        <f ca="1">VLOOKUP(Tableau1[[#This Row],[Key(ID-Actif)]],'DATA BTO'!A:N,7,FALSE)</f>
        <v>#N/A</v>
      </c>
      <c r="AD319" s="50" t="e">
        <f ca="1">VLOOKUP(Tableau1[[#This Row],[Key(ID-Actif)]],'DATA BTO'!A:N,8,FALSE)</f>
        <v>#N/A</v>
      </c>
      <c r="AE319" s="406" t="e">
        <f ca="1">IF(Tableau1[[#This Row],[First Day to POL]]&lt;=Tableau1[[#This Row],[Day Cut Off]],Tableau1[[#This Row],[Day ETD]],Tableau1[[#This Row],[Day ETD]]+7)</f>
        <v>#N/A</v>
      </c>
      <c r="AF319" s="50" t="e">
        <f ca="1">VLOOKUP(Tableau1[[#This Row],[Key(ID-Actif)]],'DATA BTO'!A:N,9,FALSE)</f>
        <v>#N/A</v>
      </c>
      <c r="AG319" s="3" t="e">
        <f ca="1">VLOOKUP(Tableau1[[#This Row],[Key(ID-Actif)]],'DATA BTO'!A:N,10,FALSE)</f>
        <v>#N/A</v>
      </c>
      <c r="AH319" s="3" t="e">
        <f ca="1">VLOOKUP(Tableau1[[#This Row],[Key(ID-Actif)]],'DATA BTO'!A:N,11,FALSE)</f>
        <v>#N/A</v>
      </c>
      <c r="AI319" s="50" t="e">
        <f ca="1">VLOOKUP(Tableau1[[#This Row],[Key(ID-Actif)]],'DATA BTO'!A:N,12,FALSE)</f>
        <v>#N/A</v>
      </c>
      <c r="AJ319" s="53" t="e">
        <f ca="1">VLOOKUP(Tableau1[[#This Row],[Key(ID-Actif)]],'DATA BTO'!A:N,14,FALSE)</f>
        <v>#N/A</v>
      </c>
      <c r="AK319" s="54" t="e">
        <f ca="1">VLOOKUP(Tableau1[[#This Row],[Key(POD -PFI- Usine)]],'DATA Consignee'!A:F,6,FALSE)</f>
        <v>#N/A</v>
      </c>
      <c r="AL319" s="283"/>
      <c r="AM319" s="490" t="str">
        <f>IF(Tableau1[[#This Row],[Name PFI/CDD]]="","-",VLOOKUP(Tableau1[[#This Row],[Name PFI/CDD]],Plant_AILN!I:J,2,FALSE))</f>
        <v>-</v>
      </c>
      <c r="AN31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1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19" s="2" t="e">
        <f ca="1">VLOOKUP(Tableau1[[#This Row],[Key(POD -PFI- Usine)]],'DATA Consignee'!A:J,10,FALSE)</f>
        <v>#N/A</v>
      </c>
      <c r="AQ319" s="50" t="e">
        <f ca="1">VLOOKUP(Tableau1[[#This Row],[Key(POD -PFI- Usine)]],'DATA Consignee'!A:N,14,FALSE)</f>
        <v>#N/A</v>
      </c>
      <c r="AR31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1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19" s="50" t="e">
        <f ca="1">Tableau1[[#This Row],[Transit time]]+Tableau1[[#This Row],[Time for security]]+Tableau1[[#This Row],[Time for security2 buffer]]</f>
        <v>#N/A</v>
      </c>
      <c r="AU31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19" s="50" t="e">
        <f ca="1">Tableau1[[#This Row],[Leadtime SI2C]]+Tableau1[[#This Row],[First Receipt Days]]-Tableau1[[#This Row],[Day Customer Order]]+1</f>
        <v>#N/A</v>
      </c>
      <c r="AW319" s="117" t="e">
        <f ca="1">IF(Tableau1[[#This Row],[Name ILN]]&lt;&gt;"SFK Freight Forwarder",Tableau1[[#This Row],[Cust. Leadtime]],Tableau1[[#This Row],[Leadtime SI2C]])</f>
        <v>#N/A</v>
      </c>
      <c r="AX319" s="57" t="e">
        <f>VLOOKUP(Tableau1[[#This Row],[ID]],'DATA BTO'!B:P,15,FALSE)</f>
        <v>#N/A</v>
      </c>
      <c r="AY319" s="328" t="e">
        <f ca="1">IFERROR(VLOOKUP(Tableau1[[#This Row],[Key(ID-Actif)]],'DATA BTO'!A:N,4,FALSE),VLOOKUP(Tableau1[[#This Row],[ID]],'DATA BTO'!B:N,3,FALSE))</f>
        <v>#N/A</v>
      </c>
      <c r="AZ31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1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1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9" s="50"/>
    </row>
    <row r="320" spans="2:57">
      <c r="B320" s="405" t="str">
        <f>_xlfn.CONCAT(Tableau1[[#This Row],[Name ILN]],"-",Tableau1[[#This Row],[Name Shipper]],"-",Tableau1[[#This Row],[Name Site]])</f>
        <v>--</v>
      </c>
      <c r="C320" s="64" t="e">
        <f>_xlfn.CONCAT(Tableau1[[#This Row],[Compte ILN]],"-",Tableau1[[#This Row],[Compte Shipper]],"-",Tableau1[[#This Row],[POL]],"-",Tableau1[[#This Row],[Compte Consignee]])</f>
        <v>#N/A</v>
      </c>
      <c r="D320" s="64" t="e">
        <f>_xlfn.CONCAT(Tableau1[[#This Row],[Compte ILN]],"-",Tableau1[[#This Row],[Compte Shipper]],"-",Tableau1[[#This Row],[POL]])</f>
        <v>#N/A</v>
      </c>
      <c r="E320" s="128" t="e">
        <f ca="1">_xlfn.CONCAT(Tableau1[[#This Row],[POL]],"-",Tableau1[[#This Row],[Carrier]],"-",Tableau1[[#This Row],[POD]])</f>
        <v>#N/A</v>
      </c>
      <c r="F320" s="64" t="str">
        <f>_xlfn.CONCAT(Tableau1[[#This Row],[ID]],"-","Actif")</f>
        <v>-Actif</v>
      </c>
      <c r="G320" s="64" t="e">
        <f ca="1">_xlfn.CONCAT(Tableau1[[#This Row],[POD]],"-",Tableau1[[#This Row],[Code PFI]],"-",Tableau1[[#This Row],[Compte Consignee]])</f>
        <v>#N/A</v>
      </c>
      <c r="H32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0" s="117" t="str">
        <f ca="1">IF(COUNTIF(I:I,Tableau1[[#This Row],[Plant-ILN-shipper-POL-Carrier-POD-PFI]])=1,"Non","Oui")</f>
        <v>Oui</v>
      </c>
      <c r="K320" s="126" t="e">
        <f>VLOOKUP(Tableau1[[#This Row],[Name Site]],Plant_AILN!A:D,4,FALSE)</f>
        <v>#N/A</v>
      </c>
      <c r="L320" s="363"/>
      <c r="M320" s="492" t="e">
        <f>VLOOKUP(Tableau1[[#This Row],[Name Site]],Plant_AILN!A:C,3,FALSE)</f>
        <v>#N/A</v>
      </c>
      <c r="N320" s="55" t="e">
        <f>VLOOKUP(Tableau1[[#This Row],[Compte Consignee]],Order!C:D,2,FALSE)</f>
        <v>#N/A</v>
      </c>
      <c r="O320" s="122"/>
      <c r="P320" s="481" t="e">
        <f>VLOOKUP(Tableau1[[#This Row],[Name ILN]],Plant_AILN!F:G,2,FALSE)</f>
        <v>#N/A</v>
      </c>
      <c r="Q320" s="50" t="e">
        <f>VLOOKUP(Tableau1[[#This Row],[Compte ILN]],'DATA ILN'!D:I,6,FALSE)</f>
        <v>#N/A</v>
      </c>
      <c r="R320" s="50" t="e">
        <f>IFERROR(VLOOKUP(Tableau1[[#This Row],[Key(Compte ILN - shipper - POL - plant)]],'DATA ILN'!A:J,10,FALSE),VLOOKUP(Tableau1[[#This Row],[Key(Compte ILN - shipper - POL)]],'DATA ILN'!B:J,9,FALSE))</f>
        <v>#N/A</v>
      </c>
      <c r="S320" s="50" t="e">
        <f>IFERROR(VLOOKUP(Tableau1[[#This Row],[Key(Compte ILN - shipper - POL - plant)]],'DATA ILN'!A:K,11,FALSE),VLOOKUP(Tableau1[[#This Row],[Key(Compte ILN - shipper - POL)]],'DATA ILN'!B:K,10,FALSE))</f>
        <v>#N/A</v>
      </c>
      <c r="T320" s="50" t="e">
        <f>IFERROR(VLOOKUP(Tableau1[[#This Row],[Key(Compte ILN - shipper - POL - plant)]],'DATA ILN'!A:L,12,FALSE),VLOOKUP(Tableau1[[#This Row],[Key(Compte ILN - shipper - POL)]],'DATA ILN'!B:L,11,FALSE))</f>
        <v>#N/A</v>
      </c>
      <c r="U320" s="50" t="e">
        <f>Tableau1[[#This Row],[Day ILN Order]]+Tableau1[[#This Row],[Delivery time to ILN/Shipper]]-1</f>
        <v>#N/A</v>
      </c>
      <c r="V320" s="50" t="e">
        <f>IFERROR(VLOOKUP(Tableau1[[#This Row],[Key(Compte ILN - shipper - POL - plant)]],'DATA ILN'!A:N,14,FALSE),VLOOKUP(Tableau1[[#This Row],[Key(Compte ILN - shipper - POL)]],'DATA ILN'!B:N,13,FALSE))</f>
        <v>#N/A</v>
      </c>
      <c r="W320" s="50" t="e">
        <f>IFERROR(VLOOKUP(Tableau1[[#This Row],[Key(Compte ILN - shipper - POL - plant)]],'DATA ILN'!A:P,16,FALSE),VLOOKUP(Tableau1[[#This Row],[Key(Compte ILN - shipper - POL)]],'DATA ILN'!B:P,15,FALSE))</f>
        <v>#N/A</v>
      </c>
      <c r="X320" s="122"/>
      <c r="Y320" s="489">
        <f>IFERROR(VLOOKUP(Tableau1[[#This Row],[Name Shipper]],Plant_AILN!L:M,2,FALSE),0)</f>
        <v>0</v>
      </c>
      <c r="Z320" s="358"/>
      <c r="AA320" s="353" t="e">
        <f ca="1">VLOOKUP(Tableau1[[#This Row],[Key(ID-Actif)]],'DATA BTO'!A:N,5,FALSE)</f>
        <v>#N/A</v>
      </c>
      <c r="AB320" s="3" t="e">
        <f ca="1">VLOOKUP(Tableau1[[#This Row],[Key(ID-Actif)]],'DATA BTO'!A:N,6,FALSE)</f>
        <v>#N/A</v>
      </c>
      <c r="AC320" s="50" t="e">
        <f ca="1">VLOOKUP(Tableau1[[#This Row],[Key(ID-Actif)]],'DATA BTO'!A:N,7,FALSE)</f>
        <v>#N/A</v>
      </c>
      <c r="AD320" s="50" t="e">
        <f ca="1">VLOOKUP(Tableau1[[#This Row],[Key(ID-Actif)]],'DATA BTO'!A:N,8,FALSE)</f>
        <v>#N/A</v>
      </c>
      <c r="AE320" s="406" t="e">
        <f ca="1">IF(Tableau1[[#This Row],[First Day to POL]]&lt;=Tableau1[[#This Row],[Day Cut Off]],Tableau1[[#This Row],[Day ETD]],Tableau1[[#This Row],[Day ETD]]+7)</f>
        <v>#N/A</v>
      </c>
      <c r="AF320" s="50" t="e">
        <f ca="1">VLOOKUP(Tableau1[[#This Row],[Key(ID-Actif)]],'DATA BTO'!A:N,9,FALSE)</f>
        <v>#N/A</v>
      </c>
      <c r="AG320" s="3" t="e">
        <f ca="1">VLOOKUP(Tableau1[[#This Row],[Key(ID-Actif)]],'DATA BTO'!A:N,10,FALSE)</f>
        <v>#N/A</v>
      </c>
      <c r="AH320" s="3" t="e">
        <f ca="1">VLOOKUP(Tableau1[[#This Row],[Key(ID-Actif)]],'DATA BTO'!A:N,11,FALSE)</f>
        <v>#N/A</v>
      </c>
      <c r="AI320" s="50" t="e">
        <f ca="1">VLOOKUP(Tableau1[[#This Row],[Key(ID-Actif)]],'DATA BTO'!A:N,12,FALSE)</f>
        <v>#N/A</v>
      </c>
      <c r="AJ320" s="53" t="e">
        <f ca="1">VLOOKUP(Tableau1[[#This Row],[Key(ID-Actif)]],'DATA BTO'!A:N,14,FALSE)</f>
        <v>#N/A</v>
      </c>
      <c r="AK320" s="54" t="e">
        <f ca="1">VLOOKUP(Tableau1[[#This Row],[Key(POD -PFI- Usine)]],'DATA Consignee'!A:F,6,FALSE)</f>
        <v>#N/A</v>
      </c>
      <c r="AL320" s="283"/>
      <c r="AM320" s="490" t="str">
        <f>IF(Tableau1[[#This Row],[Name PFI/CDD]]="","-",VLOOKUP(Tableau1[[#This Row],[Name PFI/CDD]],Plant_AILN!I:J,2,FALSE))</f>
        <v>-</v>
      </c>
      <c r="AN32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0" s="2" t="e">
        <f ca="1">VLOOKUP(Tableau1[[#This Row],[Key(POD -PFI- Usine)]],'DATA Consignee'!A:J,10,FALSE)</f>
        <v>#N/A</v>
      </c>
      <c r="AQ320" s="50" t="e">
        <f ca="1">VLOOKUP(Tableau1[[#This Row],[Key(POD -PFI- Usine)]],'DATA Consignee'!A:N,14,FALSE)</f>
        <v>#N/A</v>
      </c>
      <c r="AR32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0" s="50">
        <v>34</v>
      </c>
      <c r="AU32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0" s="50" t="e">
        <f ca="1">Tableau1[[#This Row],[Leadtime SI2C]]+Tableau1[[#This Row],[First Receipt Days]]-Tableau1[[#This Row],[Day Customer Order]]+1</f>
        <v>#N/A</v>
      </c>
      <c r="AW320" s="117">
        <f>90/7</f>
        <v>12.857142857142858</v>
      </c>
      <c r="AX320" s="57" t="e">
        <f>VLOOKUP(Tableau1[[#This Row],[ID]],'DATA BTO'!B:P,15,FALSE)</f>
        <v>#N/A</v>
      </c>
      <c r="AY320" s="328" t="e">
        <f ca="1">IFERROR(VLOOKUP(Tableau1[[#This Row],[Key(ID-Actif)]],'DATA BTO'!A:N,4,FALSE),VLOOKUP(Tableau1[[#This Row],[ID]],'DATA BTO'!B:N,3,FALSE))</f>
        <v>#N/A</v>
      </c>
      <c r="AZ32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0" s="50"/>
    </row>
    <row r="321" spans="2:57">
      <c r="B321" s="405" t="str">
        <f>_xlfn.CONCAT(Tableau1[[#This Row],[Name ILN]],"-",Tableau1[[#This Row],[Name Shipper]],"-",Tableau1[[#This Row],[Name Site]])</f>
        <v>--</v>
      </c>
      <c r="C321" s="64" t="e">
        <f>_xlfn.CONCAT(Tableau1[[#This Row],[Compte ILN]],"-",Tableau1[[#This Row],[Compte Shipper]],"-",Tableau1[[#This Row],[POL]],"-",Tableau1[[#This Row],[Compte Consignee]])</f>
        <v>#N/A</v>
      </c>
      <c r="D321" s="64" t="e">
        <f>_xlfn.CONCAT(Tableau1[[#This Row],[Compte ILN]],"-",Tableau1[[#This Row],[Compte Shipper]],"-",Tableau1[[#This Row],[POL]])</f>
        <v>#N/A</v>
      </c>
      <c r="E321" s="128" t="e">
        <f ca="1">_xlfn.CONCAT(Tableau1[[#This Row],[POL]],"-",Tableau1[[#This Row],[Carrier]],"-",Tableau1[[#This Row],[POD]])</f>
        <v>#N/A</v>
      </c>
      <c r="F321" s="64" t="str">
        <f>_xlfn.CONCAT(Tableau1[[#This Row],[ID]],"-","Actif")</f>
        <v>-Actif</v>
      </c>
      <c r="G321" s="64" t="e">
        <f ca="1">_xlfn.CONCAT(Tableau1[[#This Row],[POD]],"-",Tableau1[[#This Row],[Code PFI]],"-",Tableau1[[#This Row],[Compte Consignee]])</f>
        <v>#N/A</v>
      </c>
      <c r="H32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1" s="117" t="str">
        <f ca="1">IF(COUNTIF(I:I,Tableau1[[#This Row],[Plant-ILN-shipper-POL-Carrier-POD-PFI]])=1,"Non","Oui")</f>
        <v>Oui</v>
      </c>
      <c r="K321" s="126" t="e">
        <f>VLOOKUP(Tableau1[[#This Row],[Name Site]],Plant_AILN!A:D,4,FALSE)</f>
        <v>#N/A</v>
      </c>
      <c r="L321" s="363"/>
      <c r="M321" s="492" t="e">
        <f>VLOOKUP(Tableau1[[#This Row],[Name Site]],Plant_AILN!A:C,3,FALSE)</f>
        <v>#N/A</v>
      </c>
      <c r="N321" s="55" t="e">
        <f>VLOOKUP(Tableau1[[#This Row],[Compte Consignee]],Order!C:D,2,FALSE)</f>
        <v>#N/A</v>
      </c>
      <c r="O321" s="122"/>
      <c r="P321" s="481" t="e">
        <f>VLOOKUP(Tableau1[[#This Row],[Name ILN]],Plant_AILN!F:G,2,FALSE)</f>
        <v>#N/A</v>
      </c>
      <c r="Q321" s="50" t="e">
        <f>VLOOKUP(Tableau1[[#This Row],[Compte ILN]],'DATA ILN'!D:I,6,FALSE)</f>
        <v>#N/A</v>
      </c>
      <c r="R321" s="50" t="e">
        <f>IFERROR(VLOOKUP(Tableau1[[#This Row],[Key(Compte ILN - shipper - POL - plant)]],'DATA ILN'!A:J,10,FALSE),VLOOKUP(Tableau1[[#This Row],[Key(Compte ILN - shipper - POL)]],'DATA ILN'!B:J,9,FALSE))</f>
        <v>#N/A</v>
      </c>
      <c r="S321" s="50" t="e">
        <f>IFERROR(VLOOKUP(Tableau1[[#This Row],[Key(Compte ILN - shipper - POL - plant)]],'DATA ILN'!A:K,11,FALSE),VLOOKUP(Tableau1[[#This Row],[Key(Compte ILN - shipper - POL)]],'DATA ILN'!B:K,10,FALSE))</f>
        <v>#N/A</v>
      </c>
      <c r="T321" s="50" t="e">
        <f>IFERROR(VLOOKUP(Tableau1[[#This Row],[Key(Compte ILN - shipper - POL - plant)]],'DATA ILN'!A:L,12,FALSE),VLOOKUP(Tableau1[[#This Row],[Key(Compte ILN - shipper - POL)]],'DATA ILN'!B:L,11,FALSE))</f>
        <v>#N/A</v>
      </c>
      <c r="U321" s="50" t="e">
        <f>Tableau1[[#This Row],[Day ILN Order]]+Tableau1[[#This Row],[Delivery time to ILN/Shipper]]-1</f>
        <v>#N/A</v>
      </c>
      <c r="V321" s="50" t="e">
        <f>IFERROR(VLOOKUP(Tableau1[[#This Row],[Key(Compte ILN - shipper - POL - plant)]],'DATA ILN'!A:N,14,FALSE),VLOOKUP(Tableau1[[#This Row],[Key(Compte ILN - shipper - POL)]],'DATA ILN'!B:N,13,FALSE))</f>
        <v>#N/A</v>
      </c>
      <c r="W321" s="50" t="e">
        <f>IFERROR(VLOOKUP(Tableau1[[#This Row],[Key(Compte ILN - shipper - POL - plant)]],'DATA ILN'!A:P,16,FALSE),VLOOKUP(Tableau1[[#This Row],[Key(Compte ILN - shipper - POL)]],'DATA ILN'!B:P,15,FALSE))</f>
        <v>#N/A</v>
      </c>
      <c r="X321" s="122"/>
      <c r="Y321" s="489">
        <f>IFERROR(VLOOKUP(Tableau1[[#This Row],[Name Shipper]],Plant_AILN!L:M,2,FALSE),0)</f>
        <v>0</v>
      </c>
      <c r="Z321" s="358"/>
      <c r="AA321" s="353" t="e">
        <f ca="1">VLOOKUP(Tableau1[[#This Row],[Key(ID-Actif)]],'DATA BTO'!A:N,5,FALSE)</f>
        <v>#N/A</v>
      </c>
      <c r="AB321" s="3" t="e">
        <f ca="1">VLOOKUP(Tableau1[[#This Row],[Key(ID-Actif)]],'DATA BTO'!A:N,6,FALSE)</f>
        <v>#N/A</v>
      </c>
      <c r="AC321" s="50" t="e">
        <f ca="1">VLOOKUP(Tableau1[[#This Row],[Key(ID-Actif)]],'DATA BTO'!A:N,7,FALSE)</f>
        <v>#N/A</v>
      </c>
      <c r="AD321" s="50" t="e">
        <f ca="1">VLOOKUP(Tableau1[[#This Row],[Key(ID-Actif)]],'DATA BTO'!A:N,8,FALSE)</f>
        <v>#N/A</v>
      </c>
      <c r="AE321" s="406" t="e">
        <f ca="1">IF(Tableau1[[#This Row],[First Day to POL]]&lt;=Tableau1[[#This Row],[Day Cut Off]],Tableau1[[#This Row],[Day ETD]],Tableau1[[#This Row],[Day ETD]]+7)</f>
        <v>#N/A</v>
      </c>
      <c r="AF321" s="50" t="e">
        <f ca="1">VLOOKUP(Tableau1[[#This Row],[Key(ID-Actif)]],'DATA BTO'!A:N,9,FALSE)</f>
        <v>#N/A</v>
      </c>
      <c r="AG321" s="3" t="e">
        <f ca="1">VLOOKUP(Tableau1[[#This Row],[Key(ID-Actif)]],'DATA BTO'!A:N,10,FALSE)</f>
        <v>#N/A</v>
      </c>
      <c r="AH321" s="3" t="e">
        <f ca="1">VLOOKUP(Tableau1[[#This Row],[Key(ID-Actif)]],'DATA BTO'!A:N,11,FALSE)</f>
        <v>#N/A</v>
      </c>
      <c r="AI321" s="50" t="e">
        <f ca="1">VLOOKUP(Tableau1[[#This Row],[Key(ID-Actif)]],'DATA BTO'!A:N,12,FALSE)</f>
        <v>#N/A</v>
      </c>
      <c r="AJ321" s="53" t="e">
        <f ca="1">VLOOKUP(Tableau1[[#This Row],[Key(ID-Actif)]],'DATA BTO'!A:N,14,FALSE)</f>
        <v>#N/A</v>
      </c>
      <c r="AK321" s="54" t="e">
        <f ca="1">VLOOKUP(Tableau1[[#This Row],[Key(POD -PFI- Usine)]],'DATA Consignee'!A:F,6,FALSE)</f>
        <v>#N/A</v>
      </c>
      <c r="AL321" s="283"/>
      <c r="AM321" s="490" t="str">
        <f>IF(Tableau1[[#This Row],[Name PFI/CDD]]="","-",VLOOKUP(Tableau1[[#This Row],[Name PFI/CDD]],Plant_AILN!I:J,2,FALSE))</f>
        <v>-</v>
      </c>
      <c r="AN32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1" s="2" t="e">
        <f ca="1">VLOOKUP(Tableau1[[#This Row],[Key(POD -PFI- Usine)]],'DATA Consignee'!A:J,10,FALSE)</f>
        <v>#N/A</v>
      </c>
      <c r="AQ321" s="50" t="e">
        <f ca="1">VLOOKUP(Tableau1[[#This Row],[Key(POD -PFI- Usine)]],'DATA Consignee'!A:N,14,FALSE)</f>
        <v>#N/A</v>
      </c>
      <c r="AR32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1" s="50" t="e">
        <f ca="1">Tableau1[[#This Row],[Transit time]]+Tableau1[[#This Row],[Time for security]]+Tableau1[[#This Row],[Time for security2 buffer]]</f>
        <v>#N/A</v>
      </c>
      <c r="AU32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1" s="50" t="e">
        <f ca="1">Tableau1[[#This Row],[Leadtime SI2C]]+Tableau1[[#This Row],[First Receipt Days]]-Tableau1[[#This Row],[Day Customer Order]]+1</f>
        <v>#N/A</v>
      </c>
      <c r="AW321" s="117" t="e">
        <f ca="1">IF(Tableau1[[#This Row],[Name ILN]]&lt;&gt;"SFK Freight Forwarder",Tableau1[[#This Row],[Cust. Leadtime]],Tableau1[[#This Row],[Leadtime SI2C]])</f>
        <v>#N/A</v>
      </c>
      <c r="AX321" s="57" t="e">
        <f>VLOOKUP(Tableau1[[#This Row],[ID]],'DATA BTO'!B:P,15,FALSE)</f>
        <v>#N/A</v>
      </c>
      <c r="AY321" s="328" t="e">
        <f ca="1">IFERROR(VLOOKUP(Tableau1[[#This Row],[Key(ID-Actif)]],'DATA BTO'!A:N,4,FALSE),VLOOKUP(Tableau1[[#This Row],[ID]],'DATA BTO'!B:N,3,FALSE))</f>
        <v>#N/A</v>
      </c>
      <c r="AZ32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1" s="50"/>
    </row>
    <row r="322" spans="2:57">
      <c r="B322" s="405" t="str">
        <f>_xlfn.CONCAT(Tableau1[[#This Row],[Name ILN]],"-",Tableau1[[#This Row],[Name Shipper]],"-",Tableau1[[#This Row],[Name Site]])</f>
        <v>--</v>
      </c>
      <c r="C322" s="64" t="e">
        <f>_xlfn.CONCAT(Tableau1[[#This Row],[Compte ILN]],"-",Tableau1[[#This Row],[Compte Shipper]],"-",Tableau1[[#This Row],[POL]],"-",Tableau1[[#This Row],[Compte Consignee]])</f>
        <v>#N/A</v>
      </c>
      <c r="D322" s="64" t="e">
        <f>_xlfn.CONCAT(Tableau1[[#This Row],[Compte ILN]],"-",Tableau1[[#This Row],[Compte Shipper]],"-",Tableau1[[#This Row],[POL]])</f>
        <v>#N/A</v>
      </c>
      <c r="E322" s="128" t="e">
        <f ca="1">_xlfn.CONCAT(Tableau1[[#This Row],[POL]],"-",Tableau1[[#This Row],[Carrier]],"-",Tableau1[[#This Row],[POD]])</f>
        <v>#N/A</v>
      </c>
      <c r="F322" s="64" t="str">
        <f>_xlfn.CONCAT(Tableau1[[#This Row],[ID]],"-","Actif")</f>
        <v>-Actif</v>
      </c>
      <c r="G322" s="64" t="e">
        <f ca="1">_xlfn.CONCAT(Tableau1[[#This Row],[POD]],"-",Tableau1[[#This Row],[Code PFI]],"-",Tableau1[[#This Row],[Compte Consignee]])</f>
        <v>#N/A</v>
      </c>
      <c r="H32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2" s="117" t="str">
        <f ca="1">IF(COUNTIF(I:I,Tableau1[[#This Row],[Plant-ILN-shipper-POL-Carrier-POD-PFI]])=1,"Non","Oui")</f>
        <v>Oui</v>
      </c>
      <c r="K322" s="126" t="e">
        <f>VLOOKUP(Tableau1[[#This Row],[Name Site]],Plant_AILN!A:D,4,FALSE)</f>
        <v>#N/A</v>
      </c>
      <c r="L322" s="363"/>
      <c r="M322" s="492" t="e">
        <f>VLOOKUP(Tableau1[[#This Row],[Name Site]],Plant_AILN!A:C,3,FALSE)</f>
        <v>#N/A</v>
      </c>
      <c r="N322" s="55" t="e">
        <f>VLOOKUP(Tableau1[[#This Row],[Compte Consignee]],Order!C:D,2,FALSE)</f>
        <v>#N/A</v>
      </c>
      <c r="O322" s="122"/>
      <c r="P322" s="481" t="e">
        <f>VLOOKUP(Tableau1[[#This Row],[Name ILN]],Plant_AILN!F:G,2,FALSE)</f>
        <v>#N/A</v>
      </c>
      <c r="Q322" s="50" t="e">
        <f>VLOOKUP(Tableau1[[#This Row],[Compte ILN]],'DATA ILN'!D:I,6,FALSE)</f>
        <v>#N/A</v>
      </c>
      <c r="R322" s="50" t="e">
        <f>IFERROR(VLOOKUP(Tableau1[[#This Row],[Key(Compte ILN - shipper - POL - plant)]],'DATA ILN'!A:J,10,FALSE),VLOOKUP(Tableau1[[#This Row],[Key(Compte ILN - shipper - POL)]],'DATA ILN'!B:J,9,FALSE))</f>
        <v>#N/A</v>
      </c>
      <c r="S322" s="50" t="e">
        <f>IFERROR(VLOOKUP(Tableau1[[#This Row],[Key(Compte ILN - shipper - POL - plant)]],'DATA ILN'!A:K,11,FALSE),VLOOKUP(Tableau1[[#This Row],[Key(Compte ILN - shipper - POL)]],'DATA ILN'!B:K,10,FALSE))</f>
        <v>#N/A</v>
      </c>
      <c r="T322" s="50" t="e">
        <f>IFERROR(VLOOKUP(Tableau1[[#This Row],[Key(Compte ILN - shipper - POL - plant)]],'DATA ILN'!A:L,12,FALSE),VLOOKUP(Tableau1[[#This Row],[Key(Compte ILN - shipper - POL)]],'DATA ILN'!B:L,11,FALSE))</f>
        <v>#N/A</v>
      </c>
      <c r="U322" s="50" t="e">
        <f>Tableau1[[#This Row],[Day ILN Order]]+Tableau1[[#This Row],[Delivery time to ILN/Shipper]]-1</f>
        <v>#N/A</v>
      </c>
      <c r="V322" s="50" t="e">
        <f>IFERROR(VLOOKUP(Tableau1[[#This Row],[Key(Compte ILN - shipper - POL - plant)]],'DATA ILN'!A:N,14,FALSE),VLOOKUP(Tableau1[[#This Row],[Key(Compte ILN - shipper - POL)]],'DATA ILN'!B:N,13,FALSE))</f>
        <v>#N/A</v>
      </c>
      <c r="W322" s="50" t="e">
        <f>IFERROR(VLOOKUP(Tableau1[[#This Row],[Key(Compte ILN - shipper - POL - plant)]],'DATA ILN'!A:P,16,FALSE),VLOOKUP(Tableau1[[#This Row],[Key(Compte ILN - shipper - POL)]],'DATA ILN'!B:P,15,FALSE))</f>
        <v>#N/A</v>
      </c>
      <c r="X322" s="283"/>
      <c r="Y322" s="489">
        <f>IFERROR(VLOOKUP(Tableau1[[#This Row],[Name Shipper]],Plant_AILN!L:M,2,FALSE),0)</f>
        <v>0</v>
      </c>
      <c r="Z322" s="358"/>
      <c r="AA322" s="353" t="e">
        <f ca="1">VLOOKUP(Tableau1[[#This Row],[Key(ID-Actif)]],'DATA BTO'!A:N,5,FALSE)</f>
        <v>#N/A</v>
      </c>
      <c r="AB322" s="3" t="e">
        <f ca="1">VLOOKUP(Tableau1[[#This Row],[Key(ID-Actif)]],'DATA BTO'!A:N,6,FALSE)</f>
        <v>#N/A</v>
      </c>
      <c r="AC322" s="50" t="e">
        <f ca="1">VLOOKUP(Tableau1[[#This Row],[Key(ID-Actif)]],'DATA BTO'!A:N,7,FALSE)</f>
        <v>#N/A</v>
      </c>
      <c r="AD322" s="50" t="e">
        <f ca="1">VLOOKUP(Tableau1[[#This Row],[Key(ID-Actif)]],'DATA BTO'!A:N,8,FALSE)</f>
        <v>#N/A</v>
      </c>
      <c r="AE322" s="406" t="e">
        <f ca="1">IF(Tableau1[[#This Row],[First Day to POL]]&lt;=Tableau1[[#This Row],[Day Cut Off]],Tableau1[[#This Row],[Day ETD]],Tableau1[[#This Row],[Day ETD]]+7)</f>
        <v>#N/A</v>
      </c>
      <c r="AF322" s="50" t="e">
        <f ca="1">VLOOKUP(Tableau1[[#This Row],[Key(ID-Actif)]],'DATA BTO'!A:N,9,FALSE)</f>
        <v>#N/A</v>
      </c>
      <c r="AG322" s="3" t="e">
        <f ca="1">VLOOKUP(Tableau1[[#This Row],[Key(ID-Actif)]],'DATA BTO'!A:N,10,FALSE)</f>
        <v>#N/A</v>
      </c>
      <c r="AH322" s="3" t="e">
        <f ca="1">VLOOKUP(Tableau1[[#This Row],[Key(ID-Actif)]],'DATA BTO'!A:N,11,FALSE)</f>
        <v>#N/A</v>
      </c>
      <c r="AI322" s="50" t="e">
        <f ca="1">VLOOKUP(Tableau1[[#This Row],[Key(ID-Actif)]],'DATA BTO'!A:N,12,FALSE)</f>
        <v>#N/A</v>
      </c>
      <c r="AJ322" s="53" t="e">
        <f ca="1">VLOOKUP(Tableau1[[#This Row],[Key(ID-Actif)]],'DATA BTO'!A:N,14,FALSE)</f>
        <v>#N/A</v>
      </c>
      <c r="AK322" s="54" t="e">
        <f ca="1">VLOOKUP(Tableau1[[#This Row],[Key(POD -PFI- Usine)]],'DATA Consignee'!A:F,6,FALSE)</f>
        <v>#N/A</v>
      </c>
      <c r="AL322" s="283"/>
      <c r="AM322" s="490" t="str">
        <f>IF(Tableau1[[#This Row],[Name PFI/CDD]]="","-",VLOOKUP(Tableau1[[#This Row],[Name PFI/CDD]],Plant_AILN!I:J,2,FALSE))</f>
        <v>-</v>
      </c>
      <c r="AN32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2" s="2" t="e">
        <f ca="1">VLOOKUP(Tableau1[[#This Row],[Key(POD -PFI- Usine)]],'DATA Consignee'!A:J,10,FALSE)</f>
        <v>#N/A</v>
      </c>
      <c r="AQ322" s="50" t="e">
        <f ca="1">VLOOKUP(Tableau1[[#This Row],[Key(POD -PFI- Usine)]],'DATA Consignee'!A:N,14,FALSE)</f>
        <v>#N/A</v>
      </c>
      <c r="AR32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2" s="50" t="e">
        <f ca="1">Tableau1[[#This Row],[Transit time]]+Tableau1[[#This Row],[Time for security]]+Tableau1[[#This Row],[Time for security2 buffer]]</f>
        <v>#N/A</v>
      </c>
      <c r="AU32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2" s="50" t="e">
        <f ca="1">Tableau1[[#This Row],[Leadtime SI2C]]+Tableau1[[#This Row],[First Receipt Days]]-Tableau1[[#This Row],[Day Customer Order]]+1</f>
        <v>#N/A</v>
      </c>
      <c r="AW322" s="117" t="e">
        <f ca="1">IF(Tableau1[[#This Row],[Name ILN]]&lt;&gt;"SFK Freight Forwarder",Tableau1[[#This Row],[Cust. Leadtime]],Tableau1[[#This Row],[Leadtime SI2C]])</f>
        <v>#N/A</v>
      </c>
      <c r="AX322" s="57" t="e">
        <f>VLOOKUP(Tableau1[[#This Row],[ID]],'DATA BTO'!B:P,15,FALSE)</f>
        <v>#N/A</v>
      </c>
      <c r="AY322" s="328" t="e">
        <f ca="1">IFERROR(VLOOKUP(Tableau1[[#This Row],[Key(ID-Actif)]],'DATA BTO'!A:N,4,FALSE),VLOOKUP(Tableau1[[#This Row],[ID]],'DATA BTO'!B:N,3,FALSE))</f>
        <v>#N/A</v>
      </c>
      <c r="AZ32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2" s="50"/>
    </row>
    <row r="323" spans="2:57">
      <c r="B323" s="405" t="str">
        <f>_xlfn.CONCAT(Tableau1[[#This Row],[Name ILN]],"-",Tableau1[[#This Row],[Name Shipper]],"-",Tableau1[[#This Row],[Name Site]])</f>
        <v>--</v>
      </c>
      <c r="C323" s="64" t="e">
        <f>_xlfn.CONCAT(Tableau1[[#This Row],[Compte ILN]],"-",Tableau1[[#This Row],[Compte Shipper]],"-",Tableau1[[#This Row],[POL]],"-",Tableau1[[#This Row],[Compte Consignee]])</f>
        <v>#N/A</v>
      </c>
      <c r="D323" s="64" t="e">
        <f>_xlfn.CONCAT(Tableau1[[#This Row],[Compte ILN]],"-",Tableau1[[#This Row],[Compte Shipper]],"-",Tableau1[[#This Row],[POL]])</f>
        <v>#N/A</v>
      </c>
      <c r="E323" s="128" t="e">
        <f ca="1">_xlfn.CONCAT(Tableau1[[#This Row],[POL]],"-",Tableau1[[#This Row],[Carrier]],"-",Tableau1[[#This Row],[POD]])</f>
        <v>#N/A</v>
      </c>
      <c r="F323" s="64" t="str">
        <f>_xlfn.CONCAT(Tableau1[[#This Row],[ID]],"-","Actif")</f>
        <v>-Actif</v>
      </c>
      <c r="G323" s="64" t="e">
        <f ca="1">_xlfn.CONCAT(Tableau1[[#This Row],[POD]],"-",Tableau1[[#This Row],[Code PFI]],"-",Tableau1[[#This Row],[Compte Consignee]])</f>
        <v>#N/A</v>
      </c>
      <c r="H32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3" s="117" t="str">
        <f ca="1">IF(COUNTIF(I:I,Tableau1[[#This Row],[Plant-ILN-shipper-POL-Carrier-POD-PFI]])=1,"Non","Oui")</f>
        <v>Oui</v>
      </c>
      <c r="K323" s="126" t="e">
        <f>VLOOKUP(Tableau1[[#This Row],[Name Site]],Plant_AILN!A:D,4,FALSE)</f>
        <v>#N/A</v>
      </c>
      <c r="L323" s="285"/>
      <c r="M323" s="492" t="e">
        <f>VLOOKUP(Tableau1[[#This Row],[Name Site]],Plant_AILN!A:C,3,FALSE)</f>
        <v>#N/A</v>
      </c>
      <c r="N323" s="55" t="e">
        <f>VLOOKUP(Tableau1[[#This Row],[Compte Consignee]],Order!C:D,2,FALSE)</f>
        <v>#N/A</v>
      </c>
      <c r="O323" s="122"/>
      <c r="P323" s="481" t="e">
        <f>VLOOKUP(Tableau1[[#This Row],[Name ILN]],Plant_AILN!F:G,2,FALSE)</f>
        <v>#N/A</v>
      </c>
      <c r="Q323" s="50" t="e">
        <f>VLOOKUP(Tableau1[[#This Row],[Compte ILN]],'DATA ILN'!D:I,6,FALSE)</f>
        <v>#N/A</v>
      </c>
      <c r="R323" s="50" t="e">
        <f>IFERROR(VLOOKUP(Tableau1[[#This Row],[Key(Compte ILN - shipper - POL - plant)]],'DATA ILN'!A:J,10,FALSE),VLOOKUP(Tableau1[[#This Row],[Key(Compte ILN - shipper - POL)]],'DATA ILN'!B:J,9,FALSE))</f>
        <v>#N/A</v>
      </c>
      <c r="S323" s="50" t="e">
        <f>IFERROR(VLOOKUP(Tableau1[[#This Row],[Key(Compte ILN - shipper - POL - plant)]],'DATA ILN'!A:K,11,FALSE),VLOOKUP(Tableau1[[#This Row],[Key(Compte ILN - shipper - POL)]],'DATA ILN'!B:K,10,FALSE))</f>
        <v>#N/A</v>
      </c>
      <c r="T323" s="50" t="e">
        <f>IFERROR(VLOOKUP(Tableau1[[#This Row],[Key(Compte ILN - shipper - POL - plant)]],'DATA ILN'!A:L,12,FALSE),VLOOKUP(Tableau1[[#This Row],[Key(Compte ILN - shipper - POL)]],'DATA ILN'!B:L,11,FALSE))</f>
        <v>#N/A</v>
      </c>
      <c r="U323" s="50" t="e">
        <f>Tableau1[[#This Row],[Day ILN Order]]+Tableau1[[#This Row],[Delivery time to ILN/Shipper]]-1</f>
        <v>#N/A</v>
      </c>
      <c r="V323" s="50" t="e">
        <f>IFERROR(VLOOKUP(Tableau1[[#This Row],[Key(Compte ILN - shipper - POL - plant)]],'DATA ILN'!A:N,14,FALSE),VLOOKUP(Tableau1[[#This Row],[Key(Compte ILN - shipper - POL)]],'DATA ILN'!B:N,13,FALSE))</f>
        <v>#N/A</v>
      </c>
      <c r="W323" s="50" t="e">
        <f>IFERROR(VLOOKUP(Tableau1[[#This Row],[Key(Compte ILN - shipper - POL - plant)]],'DATA ILN'!A:P,16,FALSE),VLOOKUP(Tableau1[[#This Row],[Key(Compte ILN - shipper - POL)]],'DATA ILN'!B:P,15,FALSE))</f>
        <v>#N/A</v>
      </c>
      <c r="X323" s="283"/>
      <c r="Y323" s="489">
        <f>IFERROR(VLOOKUP(Tableau1[[#This Row],[Name Shipper]],Plant_AILN!L:M,2,FALSE),0)</f>
        <v>0</v>
      </c>
      <c r="Z323" s="358"/>
      <c r="AA323" s="353" t="e">
        <f ca="1">VLOOKUP(Tableau1[[#This Row],[Key(ID-Actif)]],'DATA BTO'!A:N,5,FALSE)</f>
        <v>#N/A</v>
      </c>
      <c r="AB323" s="3" t="e">
        <f ca="1">VLOOKUP(Tableau1[[#This Row],[Key(ID-Actif)]],'DATA BTO'!A:N,6,FALSE)</f>
        <v>#N/A</v>
      </c>
      <c r="AC323" s="50" t="e">
        <f ca="1">VLOOKUP(Tableau1[[#This Row],[Key(ID-Actif)]],'DATA BTO'!A:N,7,FALSE)</f>
        <v>#N/A</v>
      </c>
      <c r="AD323" s="50" t="e">
        <f ca="1">VLOOKUP(Tableau1[[#This Row],[Key(ID-Actif)]],'DATA BTO'!A:N,8,FALSE)</f>
        <v>#N/A</v>
      </c>
      <c r="AE323" s="406" t="e">
        <f ca="1">IF(Tableau1[[#This Row],[First Day to POL]]&lt;=Tableau1[[#This Row],[Day Cut Off]],Tableau1[[#This Row],[Day ETD]],Tableau1[[#This Row],[Day ETD]]+7)</f>
        <v>#N/A</v>
      </c>
      <c r="AF323" s="50" t="e">
        <f ca="1">VLOOKUP(Tableau1[[#This Row],[Key(ID-Actif)]],'DATA BTO'!A:N,9,FALSE)</f>
        <v>#N/A</v>
      </c>
      <c r="AG323" s="3" t="e">
        <f ca="1">VLOOKUP(Tableau1[[#This Row],[Key(ID-Actif)]],'DATA BTO'!A:N,10,FALSE)</f>
        <v>#N/A</v>
      </c>
      <c r="AH323" s="3" t="e">
        <f ca="1">VLOOKUP(Tableau1[[#This Row],[Key(ID-Actif)]],'DATA BTO'!A:N,11,FALSE)</f>
        <v>#N/A</v>
      </c>
      <c r="AI323" s="50" t="e">
        <f ca="1">VLOOKUP(Tableau1[[#This Row],[Key(ID-Actif)]],'DATA BTO'!A:N,12,FALSE)</f>
        <v>#N/A</v>
      </c>
      <c r="AJ323" s="53" t="e">
        <f ca="1">VLOOKUP(Tableau1[[#This Row],[Key(ID-Actif)]],'DATA BTO'!A:N,14,FALSE)</f>
        <v>#N/A</v>
      </c>
      <c r="AK323" s="54" t="e">
        <f ca="1">VLOOKUP(Tableau1[[#This Row],[Key(POD -PFI- Usine)]],'DATA Consignee'!A:F,6,FALSE)</f>
        <v>#N/A</v>
      </c>
      <c r="AL323" s="283"/>
      <c r="AM323" s="490" t="str">
        <f>IF(Tableau1[[#This Row],[Name PFI/CDD]]="","-",VLOOKUP(Tableau1[[#This Row],[Name PFI/CDD]],Plant_AILN!I:J,2,FALSE))</f>
        <v>-</v>
      </c>
      <c r="AN32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3" s="2" t="e">
        <f ca="1">VLOOKUP(Tableau1[[#This Row],[Key(POD -PFI- Usine)]],'DATA Consignee'!A:J,10,FALSE)</f>
        <v>#N/A</v>
      </c>
      <c r="AQ323" s="50" t="e">
        <f ca="1">VLOOKUP(Tableau1[[#This Row],[Key(POD -PFI- Usine)]],'DATA Consignee'!A:N,14,FALSE)</f>
        <v>#N/A</v>
      </c>
      <c r="AR32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3" s="50" t="e">
        <f ca="1">Tableau1[[#This Row],[Transit time]]+Tableau1[[#This Row],[Time for security]]+Tableau1[[#This Row],[Time for security2 buffer]]</f>
        <v>#N/A</v>
      </c>
      <c r="AU32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3" s="50" t="e">
        <f ca="1">Tableau1[[#This Row],[Leadtime SI2C]]+Tableau1[[#This Row],[First Receipt Days]]-Tableau1[[#This Row],[Day Customer Order]]+1</f>
        <v>#N/A</v>
      </c>
      <c r="AW323" s="117" t="e">
        <f ca="1">IF(Tableau1[[#This Row],[Name ILN]]&lt;&gt;"SFK Freight Forwarder",Tableau1[[#This Row],[Cust. Leadtime]],Tableau1[[#This Row],[Leadtime SI2C]])</f>
        <v>#N/A</v>
      </c>
      <c r="AX323" s="57" t="e">
        <f>VLOOKUP(Tableau1[[#This Row],[ID]],'DATA BTO'!B:P,15,FALSE)</f>
        <v>#N/A</v>
      </c>
      <c r="AY323" s="328" t="e">
        <f ca="1">IFERROR(VLOOKUP(Tableau1[[#This Row],[Key(ID-Actif)]],'DATA BTO'!A:N,4,FALSE),VLOOKUP(Tableau1[[#This Row],[ID]],'DATA BTO'!B:N,3,FALSE))</f>
        <v>#N/A</v>
      </c>
      <c r="AZ32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3" s="50"/>
    </row>
    <row r="324" spans="2:57">
      <c r="B324" s="405" t="str">
        <f>_xlfn.CONCAT(Tableau1[[#This Row],[Name ILN]],"-",Tableau1[[#This Row],[Name Shipper]],"-",Tableau1[[#This Row],[Name Site]])</f>
        <v>--</v>
      </c>
      <c r="C324" s="64" t="e">
        <f>_xlfn.CONCAT(Tableau1[[#This Row],[Compte ILN]],"-",Tableau1[[#This Row],[Compte Shipper]],"-",Tableau1[[#This Row],[POL]],"-",Tableau1[[#This Row],[Compte Consignee]])</f>
        <v>#N/A</v>
      </c>
      <c r="D324" s="64" t="e">
        <f>_xlfn.CONCAT(Tableau1[[#This Row],[Compte ILN]],"-",Tableau1[[#This Row],[Compte Shipper]],"-",Tableau1[[#This Row],[POL]])</f>
        <v>#N/A</v>
      </c>
      <c r="E324" s="128" t="e">
        <f ca="1">_xlfn.CONCAT(Tableau1[[#This Row],[POL]],"-",Tableau1[[#This Row],[Carrier]],"-",Tableau1[[#This Row],[POD]])</f>
        <v>#N/A</v>
      </c>
      <c r="F324" s="64" t="str">
        <f>_xlfn.CONCAT(Tableau1[[#This Row],[ID]],"-","Actif")</f>
        <v>-Actif</v>
      </c>
      <c r="G324" s="64" t="e">
        <f ca="1">_xlfn.CONCAT(Tableau1[[#This Row],[POD]],"-",Tableau1[[#This Row],[Code PFI]],"-",Tableau1[[#This Row],[Compte Consignee]])</f>
        <v>#N/A</v>
      </c>
      <c r="H32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4" s="117" t="str">
        <f ca="1">IF(COUNTIF(I:I,Tableau1[[#This Row],[Plant-ILN-shipper-POL-Carrier-POD-PFI]])=1,"Non","Oui")</f>
        <v>Oui</v>
      </c>
      <c r="K324" s="126" t="e">
        <f>VLOOKUP(Tableau1[[#This Row],[Name Site]],Plant_AILN!A:D,4,FALSE)</f>
        <v>#N/A</v>
      </c>
      <c r="L324" s="363"/>
      <c r="M324" s="492" t="e">
        <f>VLOOKUP(Tableau1[[#This Row],[Name Site]],Plant_AILN!A:C,3,FALSE)</f>
        <v>#N/A</v>
      </c>
      <c r="N324" s="55" t="e">
        <f>VLOOKUP(Tableau1[[#This Row],[Compte Consignee]],Order!C:D,2,FALSE)</f>
        <v>#N/A</v>
      </c>
      <c r="O324" s="122"/>
      <c r="P324" s="481" t="e">
        <f>VLOOKUP(Tableau1[[#This Row],[Name ILN]],Plant_AILN!F:G,2,FALSE)</f>
        <v>#N/A</v>
      </c>
      <c r="Q324" s="50" t="e">
        <f>VLOOKUP(Tableau1[[#This Row],[Compte ILN]],'DATA ILN'!D:I,6,FALSE)</f>
        <v>#N/A</v>
      </c>
      <c r="R324" s="50" t="e">
        <f>IFERROR(VLOOKUP(Tableau1[[#This Row],[Key(Compte ILN - shipper - POL - plant)]],'DATA ILN'!A:J,10,FALSE),VLOOKUP(Tableau1[[#This Row],[Key(Compte ILN - shipper - POL)]],'DATA ILN'!B:J,9,FALSE))</f>
        <v>#N/A</v>
      </c>
      <c r="S324" s="50" t="e">
        <f>IFERROR(VLOOKUP(Tableau1[[#This Row],[Key(Compte ILN - shipper - POL - plant)]],'DATA ILN'!A:K,11,FALSE),VLOOKUP(Tableau1[[#This Row],[Key(Compte ILN - shipper - POL)]],'DATA ILN'!B:K,10,FALSE))</f>
        <v>#N/A</v>
      </c>
      <c r="T324" s="50" t="e">
        <f>IFERROR(VLOOKUP(Tableau1[[#This Row],[Key(Compte ILN - shipper - POL - plant)]],'DATA ILN'!A:L,12,FALSE),VLOOKUP(Tableau1[[#This Row],[Key(Compte ILN - shipper - POL)]],'DATA ILN'!B:L,11,FALSE))</f>
        <v>#N/A</v>
      </c>
      <c r="U324" s="50" t="e">
        <f>Tableau1[[#This Row],[Day ILN Order]]+Tableau1[[#This Row],[Delivery time to ILN/Shipper]]-1</f>
        <v>#N/A</v>
      </c>
      <c r="V324" s="50" t="e">
        <f>IFERROR(VLOOKUP(Tableau1[[#This Row],[Key(Compte ILN - shipper - POL - plant)]],'DATA ILN'!A:N,14,FALSE),VLOOKUP(Tableau1[[#This Row],[Key(Compte ILN - shipper - POL)]],'DATA ILN'!B:N,13,FALSE))</f>
        <v>#N/A</v>
      </c>
      <c r="W324" s="50" t="e">
        <f>IFERROR(VLOOKUP(Tableau1[[#This Row],[Key(Compte ILN - shipper - POL - plant)]],'DATA ILN'!A:P,16,FALSE),VLOOKUP(Tableau1[[#This Row],[Key(Compte ILN - shipper - POL)]],'DATA ILN'!B:P,15,FALSE))</f>
        <v>#N/A</v>
      </c>
      <c r="X324" s="363"/>
      <c r="Y324" s="489">
        <f>IFERROR(VLOOKUP(Tableau1[[#This Row],[Name Shipper]],Plant_AILN!L:M,2,FALSE),0)</f>
        <v>0</v>
      </c>
      <c r="Z324" s="358"/>
      <c r="AA324" s="353" t="e">
        <f ca="1">VLOOKUP(Tableau1[[#This Row],[Key(ID-Actif)]],'DATA BTO'!A:N,5,FALSE)</f>
        <v>#N/A</v>
      </c>
      <c r="AB324" s="3" t="e">
        <f ca="1">VLOOKUP(Tableau1[[#This Row],[Key(ID-Actif)]],'DATA BTO'!A:N,6,FALSE)</f>
        <v>#N/A</v>
      </c>
      <c r="AC324" s="50" t="e">
        <f ca="1">VLOOKUP(Tableau1[[#This Row],[Key(ID-Actif)]],'DATA BTO'!A:N,7,FALSE)</f>
        <v>#N/A</v>
      </c>
      <c r="AD324" s="50" t="e">
        <f ca="1">VLOOKUP(Tableau1[[#This Row],[Key(ID-Actif)]],'DATA BTO'!A:N,8,FALSE)</f>
        <v>#N/A</v>
      </c>
      <c r="AE324" s="406" t="e">
        <f ca="1">IF(Tableau1[[#This Row],[First Day to POL]]&lt;=Tableau1[[#This Row],[Day Cut Off]],Tableau1[[#This Row],[Day ETD]],Tableau1[[#This Row],[Day ETD]]+7)</f>
        <v>#N/A</v>
      </c>
      <c r="AF324" s="50" t="e">
        <f ca="1">VLOOKUP(Tableau1[[#This Row],[Key(ID-Actif)]],'DATA BTO'!A:N,9,FALSE)</f>
        <v>#N/A</v>
      </c>
      <c r="AG324" s="3" t="e">
        <f ca="1">VLOOKUP(Tableau1[[#This Row],[Key(ID-Actif)]],'DATA BTO'!A:N,10,FALSE)</f>
        <v>#N/A</v>
      </c>
      <c r="AH324" s="3" t="e">
        <f ca="1">VLOOKUP(Tableau1[[#This Row],[Key(ID-Actif)]],'DATA BTO'!A:N,11,FALSE)</f>
        <v>#N/A</v>
      </c>
      <c r="AI324" s="50" t="e">
        <f ca="1">VLOOKUP(Tableau1[[#This Row],[Key(ID-Actif)]],'DATA BTO'!A:N,12,FALSE)</f>
        <v>#N/A</v>
      </c>
      <c r="AJ324" s="53" t="e">
        <f ca="1">VLOOKUP(Tableau1[[#This Row],[Key(ID-Actif)]],'DATA BTO'!A:N,14,FALSE)</f>
        <v>#N/A</v>
      </c>
      <c r="AK324" s="54" t="e">
        <f ca="1">VLOOKUP(Tableau1[[#This Row],[Key(POD -PFI- Usine)]],'DATA Consignee'!A:F,6,FALSE)</f>
        <v>#N/A</v>
      </c>
      <c r="AL324" s="283"/>
      <c r="AM324" s="490" t="str">
        <f>IF(Tableau1[[#This Row],[Name PFI/CDD]]="","-",VLOOKUP(Tableau1[[#This Row],[Name PFI/CDD]],Plant_AILN!I:J,2,FALSE))</f>
        <v>-</v>
      </c>
      <c r="AN32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4" s="2" t="e">
        <f ca="1">VLOOKUP(Tableau1[[#This Row],[Key(POD -PFI- Usine)]],'DATA Consignee'!A:J,10,FALSE)</f>
        <v>#N/A</v>
      </c>
      <c r="AQ324" s="50" t="e">
        <f ca="1">VLOOKUP(Tableau1[[#This Row],[Key(POD -PFI- Usine)]],'DATA Consignee'!A:N,14,FALSE)</f>
        <v>#N/A</v>
      </c>
      <c r="AR32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4" s="50" t="e">
        <f ca="1">Tableau1[[#This Row],[Transit time]]+Tableau1[[#This Row],[Time for security]]+Tableau1[[#This Row],[Time for security2 buffer]]</f>
        <v>#N/A</v>
      </c>
      <c r="AU32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4" s="50" t="e">
        <f ca="1">Tableau1[[#This Row],[Leadtime SI2C]]+Tableau1[[#This Row],[First Receipt Days]]-Tableau1[[#This Row],[Day Customer Order]]+1</f>
        <v>#N/A</v>
      </c>
      <c r="AW324" s="117" t="e">
        <f ca="1">IF(Tableau1[[#This Row],[Name ILN]]&lt;&gt;"SFK Freight Forwarder",Tableau1[[#This Row],[Cust. Leadtime]],Tableau1[[#This Row],[Leadtime SI2C]])</f>
        <v>#N/A</v>
      </c>
      <c r="AX324" s="57" t="e">
        <f>VLOOKUP(Tableau1[[#This Row],[ID]],'DATA BTO'!B:P,15,FALSE)</f>
        <v>#N/A</v>
      </c>
      <c r="AY324" s="328" t="e">
        <f ca="1">IFERROR(VLOOKUP(Tableau1[[#This Row],[Key(ID-Actif)]],'DATA BTO'!A:N,4,FALSE),VLOOKUP(Tableau1[[#This Row],[ID]],'DATA BTO'!B:N,3,FALSE))</f>
        <v>#N/A</v>
      </c>
      <c r="AZ32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4" s="50"/>
    </row>
    <row r="325" spans="2:57">
      <c r="B325" s="405" t="str">
        <f>_xlfn.CONCAT(Tableau1[[#This Row],[Name ILN]],"-",Tableau1[[#This Row],[Name Shipper]],"-",Tableau1[[#This Row],[Name Site]])</f>
        <v>--</v>
      </c>
      <c r="C325" s="64" t="e">
        <f>_xlfn.CONCAT(Tableau1[[#This Row],[Compte ILN]],"-",Tableau1[[#This Row],[Compte Shipper]],"-",Tableau1[[#This Row],[POL]],"-",Tableau1[[#This Row],[Compte Consignee]])</f>
        <v>#N/A</v>
      </c>
      <c r="D325" s="64" t="e">
        <f>_xlfn.CONCAT(Tableau1[[#This Row],[Compte ILN]],"-",Tableau1[[#This Row],[Compte Shipper]],"-",Tableau1[[#This Row],[POL]])</f>
        <v>#N/A</v>
      </c>
      <c r="E325" s="128" t="e">
        <f ca="1">_xlfn.CONCAT(Tableau1[[#This Row],[POL]],"-",Tableau1[[#This Row],[Carrier]],"-",Tableau1[[#This Row],[POD]])</f>
        <v>#N/A</v>
      </c>
      <c r="F325" s="64" t="str">
        <f>_xlfn.CONCAT(Tableau1[[#This Row],[ID]],"-","Actif")</f>
        <v>-Actif</v>
      </c>
      <c r="G325" s="64" t="e">
        <f ca="1">_xlfn.CONCAT(Tableau1[[#This Row],[POD]],"-",Tableau1[[#This Row],[Code PFI]],"-",Tableau1[[#This Row],[Compte Consignee]])</f>
        <v>#N/A</v>
      </c>
      <c r="H32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5" s="117" t="str">
        <f ca="1">IF(COUNTIF(I:I,Tableau1[[#This Row],[Plant-ILN-shipper-POL-Carrier-POD-PFI]])=1,"Non","Oui")</f>
        <v>Oui</v>
      </c>
      <c r="K325" s="126" t="e">
        <f>VLOOKUP(Tableau1[[#This Row],[Name Site]],Plant_AILN!A:D,4,FALSE)</f>
        <v>#N/A</v>
      </c>
      <c r="L325" s="363"/>
      <c r="M325" s="492" t="e">
        <f>VLOOKUP(Tableau1[[#This Row],[Name Site]],Plant_AILN!A:C,3,FALSE)</f>
        <v>#N/A</v>
      </c>
      <c r="N325" s="55" t="e">
        <f>VLOOKUP(Tableau1[[#This Row],[Compte Consignee]],Order!C:D,2,FALSE)</f>
        <v>#N/A</v>
      </c>
      <c r="O325" s="122"/>
      <c r="P325" s="481" t="e">
        <f>VLOOKUP(Tableau1[[#This Row],[Name ILN]],Plant_AILN!F:G,2,FALSE)</f>
        <v>#N/A</v>
      </c>
      <c r="Q325" s="50" t="e">
        <f>VLOOKUP(Tableau1[[#This Row],[Compte ILN]],'DATA ILN'!D:I,6,FALSE)</f>
        <v>#N/A</v>
      </c>
      <c r="R325" s="50" t="e">
        <f>IFERROR(VLOOKUP(Tableau1[[#This Row],[Key(Compte ILN - shipper - POL - plant)]],'DATA ILN'!A:J,10,FALSE),VLOOKUP(Tableau1[[#This Row],[Key(Compte ILN - shipper - POL)]],'DATA ILN'!B:J,9,FALSE))</f>
        <v>#N/A</v>
      </c>
      <c r="S325" s="50" t="e">
        <f>IFERROR(VLOOKUP(Tableau1[[#This Row],[Key(Compte ILN - shipper - POL - plant)]],'DATA ILN'!A:K,11,FALSE),VLOOKUP(Tableau1[[#This Row],[Key(Compte ILN - shipper - POL)]],'DATA ILN'!B:K,10,FALSE))</f>
        <v>#N/A</v>
      </c>
      <c r="T325" s="50" t="e">
        <f>IFERROR(VLOOKUP(Tableau1[[#This Row],[Key(Compte ILN - shipper - POL - plant)]],'DATA ILN'!A:L,12,FALSE),VLOOKUP(Tableau1[[#This Row],[Key(Compte ILN - shipper - POL)]],'DATA ILN'!B:L,11,FALSE))</f>
        <v>#N/A</v>
      </c>
      <c r="U325" s="50" t="e">
        <f>Tableau1[[#This Row],[Day ILN Order]]+Tableau1[[#This Row],[Delivery time to ILN/Shipper]]-1</f>
        <v>#N/A</v>
      </c>
      <c r="V325" s="50" t="e">
        <f>IFERROR(VLOOKUP(Tableau1[[#This Row],[Key(Compte ILN - shipper - POL - plant)]],'DATA ILN'!A:N,14,FALSE),VLOOKUP(Tableau1[[#This Row],[Key(Compte ILN - shipper - POL)]],'DATA ILN'!B:N,13,FALSE))</f>
        <v>#N/A</v>
      </c>
      <c r="W325" s="50" t="e">
        <f>IFERROR(VLOOKUP(Tableau1[[#This Row],[Key(Compte ILN - shipper - POL - plant)]],'DATA ILN'!A:P,16,FALSE),VLOOKUP(Tableau1[[#This Row],[Key(Compte ILN - shipper - POL)]],'DATA ILN'!B:P,15,FALSE))</f>
        <v>#N/A</v>
      </c>
      <c r="X325" s="283"/>
      <c r="Y325" s="489">
        <f>IFERROR(VLOOKUP(Tableau1[[#This Row],[Name Shipper]],Plant_AILN!L:M,2,FALSE),0)</f>
        <v>0</v>
      </c>
      <c r="Z325" s="358"/>
      <c r="AA325" s="353" t="e">
        <f ca="1">VLOOKUP(Tableau1[[#This Row],[Key(ID-Actif)]],'DATA BTO'!A:N,5,FALSE)</f>
        <v>#N/A</v>
      </c>
      <c r="AB325" s="3" t="e">
        <f ca="1">VLOOKUP(Tableau1[[#This Row],[Key(ID-Actif)]],'DATA BTO'!A:N,6,FALSE)</f>
        <v>#N/A</v>
      </c>
      <c r="AC325" s="50" t="e">
        <f ca="1">VLOOKUP(Tableau1[[#This Row],[Key(ID-Actif)]],'DATA BTO'!A:N,7,FALSE)</f>
        <v>#N/A</v>
      </c>
      <c r="AD325" s="50" t="e">
        <f ca="1">VLOOKUP(Tableau1[[#This Row],[Key(ID-Actif)]],'DATA BTO'!A:N,8,FALSE)</f>
        <v>#N/A</v>
      </c>
      <c r="AE325" s="406" t="e">
        <f ca="1">IF(Tableau1[[#This Row],[First Day to POL]]&lt;=Tableau1[[#This Row],[Day Cut Off]],Tableau1[[#This Row],[Day ETD]],Tableau1[[#This Row],[Day ETD]]+7)</f>
        <v>#N/A</v>
      </c>
      <c r="AF325" s="50" t="e">
        <f ca="1">VLOOKUP(Tableau1[[#This Row],[Key(ID-Actif)]],'DATA BTO'!A:N,9,FALSE)</f>
        <v>#N/A</v>
      </c>
      <c r="AG325" s="3" t="e">
        <f ca="1">VLOOKUP(Tableau1[[#This Row],[Key(ID-Actif)]],'DATA BTO'!A:N,10,FALSE)</f>
        <v>#N/A</v>
      </c>
      <c r="AH325" s="3" t="e">
        <f ca="1">VLOOKUP(Tableau1[[#This Row],[Key(ID-Actif)]],'DATA BTO'!A:N,11,FALSE)</f>
        <v>#N/A</v>
      </c>
      <c r="AI325" s="50" t="e">
        <f ca="1">VLOOKUP(Tableau1[[#This Row],[Key(ID-Actif)]],'DATA BTO'!A:N,12,FALSE)</f>
        <v>#N/A</v>
      </c>
      <c r="AJ325" s="53" t="e">
        <f ca="1">VLOOKUP(Tableau1[[#This Row],[Key(ID-Actif)]],'DATA BTO'!A:N,14,FALSE)</f>
        <v>#N/A</v>
      </c>
      <c r="AK325" s="54" t="e">
        <f ca="1">VLOOKUP(Tableau1[[#This Row],[Key(POD -PFI- Usine)]],'DATA Consignee'!A:F,6,FALSE)</f>
        <v>#N/A</v>
      </c>
      <c r="AL325" s="283"/>
      <c r="AM325" s="490" t="str">
        <f>IF(Tableau1[[#This Row],[Name PFI/CDD]]="","-",VLOOKUP(Tableau1[[#This Row],[Name PFI/CDD]],Plant_AILN!I:J,2,FALSE))</f>
        <v>-</v>
      </c>
      <c r="AN32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5" s="2" t="e">
        <f ca="1">VLOOKUP(Tableau1[[#This Row],[Key(POD -PFI- Usine)]],'DATA Consignee'!A:J,10,FALSE)</f>
        <v>#N/A</v>
      </c>
      <c r="AQ325" s="50" t="e">
        <f ca="1">VLOOKUP(Tableau1[[#This Row],[Key(POD -PFI- Usine)]],'DATA Consignee'!A:N,14,FALSE)</f>
        <v>#N/A</v>
      </c>
      <c r="AR32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5" s="50" t="e">
        <f ca="1">Tableau1[[#This Row],[Transit time]]+Tableau1[[#This Row],[Time for security]]+Tableau1[[#This Row],[Time for security2 buffer]]</f>
        <v>#N/A</v>
      </c>
      <c r="AU32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5" s="50" t="e">
        <f ca="1">Tableau1[[#This Row],[Leadtime SI2C]]+Tableau1[[#This Row],[First Receipt Days]]-Tableau1[[#This Row],[Day Customer Order]]+1</f>
        <v>#N/A</v>
      </c>
      <c r="AW325" s="117" t="e">
        <f ca="1">IF(Tableau1[[#This Row],[Name ILN]]&lt;&gt;"SFK Freight Forwarder",Tableau1[[#This Row],[Cust. Leadtime]],Tableau1[[#This Row],[Leadtime SI2C]])</f>
        <v>#N/A</v>
      </c>
      <c r="AX325" s="57" t="e">
        <f>VLOOKUP(Tableau1[[#This Row],[ID]],'DATA BTO'!B:P,15,FALSE)</f>
        <v>#N/A</v>
      </c>
      <c r="AY325" s="328" t="e">
        <f ca="1">IFERROR(VLOOKUP(Tableau1[[#This Row],[Key(ID-Actif)]],'DATA BTO'!A:N,4,FALSE),VLOOKUP(Tableau1[[#This Row],[ID]],'DATA BTO'!B:N,3,FALSE))</f>
        <v>#N/A</v>
      </c>
      <c r="AZ32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5" s="50"/>
    </row>
    <row r="326" spans="2:57">
      <c r="B326" s="405" t="str">
        <f>_xlfn.CONCAT(Tableau1[[#This Row],[Name ILN]],"-",Tableau1[[#This Row],[Name Shipper]],"-",Tableau1[[#This Row],[Name Site]])</f>
        <v>--</v>
      </c>
      <c r="C326" s="64" t="e">
        <f>_xlfn.CONCAT(Tableau1[[#This Row],[Compte ILN]],"-",Tableau1[[#This Row],[Compte Shipper]],"-",Tableau1[[#This Row],[POL]],"-",Tableau1[[#This Row],[Compte Consignee]])</f>
        <v>#N/A</v>
      </c>
      <c r="D326" s="64" t="e">
        <f>_xlfn.CONCAT(Tableau1[[#This Row],[Compte ILN]],"-",Tableau1[[#This Row],[Compte Shipper]],"-",Tableau1[[#This Row],[POL]])</f>
        <v>#N/A</v>
      </c>
      <c r="E326" s="128" t="e">
        <f ca="1">_xlfn.CONCAT(Tableau1[[#This Row],[POL]],"-",Tableau1[[#This Row],[Carrier]],"-",Tableau1[[#This Row],[POD]])</f>
        <v>#N/A</v>
      </c>
      <c r="F326" s="64" t="str">
        <f>_xlfn.CONCAT(Tableau1[[#This Row],[ID]],"-","Actif")</f>
        <v>-Actif</v>
      </c>
      <c r="G326" s="64" t="e">
        <f ca="1">_xlfn.CONCAT(Tableau1[[#This Row],[POD]],"-",Tableau1[[#This Row],[Code PFI]],"-",Tableau1[[#This Row],[Compte Consignee]])</f>
        <v>#N/A</v>
      </c>
      <c r="H32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6" s="117" t="str">
        <f ca="1">IF(COUNTIF(I:I,Tableau1[[#This Row],[Plant-ILN-shipper-POL-Carrier-POD-PFI]])=1,"Non","Oui")</f>
        <v>Oui</v>
      </c>
      <c r="K326" s="126" t="e">
        <f>VLOOKUP(Tableau1[[#This Row],[Name Site]],Plant_AILN!A:D,4,FALSE)</f>
        <v>#N/A</v>
      </c>
      <c r="L326" s="363"/>
      <c r="M326" s="492" t="e">
        <f>VLOOKUP(Tableau1[[#This Row],[Name Site]],Plant_AILN!A:C,3,FALSE)</f>
        <v>#N/A</v>
      </c>
      <c r="N326" s="55" t="e">
        <f>VLOOKUP(Tableau1[[#This Row],[Compte Consignee]],Order!C:D,2,FALSE)</f>
        <v>#N/A</v>
      </c>
      <c r="O326" s="122"/>
      <c r="P326" s="481" t="e">
        <f>VLOOKUP(Tableau1[[#This Row],[Name ILN]],Plant_AILN!F:G,2,FALSE)</f>
        <v>#N/A</v>
      </c>
      <c r="Q326" s="50" t="e">
        <f>VLOOKUP(Tableau1[[#This Row],[Compte ILN]],'DATA ILN'!D:I,6,FALSE)</f>
        <v>#N/A</v>
      </c>
      <c r="R326" s="50" t="e">
        <f>IFERROR(VLOOKUP(Tableau1[[#This Row],[Key(Compte ILN - shipper - POL - plant)]],'DATA ILN'!A:J,10,FALSE),VLOOKUP(Tableau1[[#This Row],[Key(Compte ILN - shipper - POL)]],'DATA ILN'!B:J,9,FALSE))</f>
        <v>#N/A</v>
      </c>
      <c r="S326" s="50" t="e">
        <f>IFERROR(VLOOKUP(Tableau1[[#This Row],[Key(Compte ILN - shipper - POL - plant)]],'DATA ILN'!A:K,11,FALSE),VLOOKUP(Tableau1[[#This Row],[Key(Compte ILN - shipper - POL)]],'DATA ILN'!B:K,10,FALSE))</f>
        <v>#N/A</v>
      </c>
      <c r="T326" s="50" t="e">
        <f>IFERROR(VLOOKUP(Tableau1[[#This Row],[Key(Compte ILN - shipper - POL - plant)]],'DATA ILN'!A:L,12,FALSE),VLOOKUP(Tableau1[[#This Row],[Key(Compte ILN - shipper - POL)]],'DATA ILN'!B:L,11,FALSE))</f>
        <v>#N/A</v>
      </c>
      <c r="U326" s="50" t="e">
        <f>Tableau1[[#This Row],[Day ILN Order]]+Tableau1[[#This Row],[Delivery time to ILN/Shipper]]-1</f>
        <v>#N/A</v>
      </c>
      <c r="V326" s="50" t="e">
        <f>IFERROR(VLOOKUP(Tableau1[[#This Row],[Key(Compte ILN - shipper - POL - plant)]],'DATA ILN'!A:N,14,FALSE),VLOOKUP(Tableau1[[#This Row],[Key(Compte ILN - shipper - POL)]],'DATA ILN'!B:N,13,FALSE))</f>
        <v>#N/A</v>
      </c>
      <c r="W326" s="50" t="e">
        <f>IFERROR(VLOOKUP(Tableau1[[#This Row],[Key(Compte ILN - shipper - POL - plant)]],'DATA ILN'!A:P,16,FALSE),VLOOKUP(Tableau1[[#This Row],[Key(Compte ILN - shipper - POL)]],'DATA ILN'!B:P,15,FALSE))</f>
        <v>#N/A</v>
      </c>
      <c r="X326" s="283"/>
      <c r="Y326" s="489">
        <f>IFERROR(VLOOKUP(Tableau1[[#This Row],[Name Shipper]],Plant_AILN!L:M,2,FALSE),0)</f>
        <v>0</v>
      </c>
      <c r="Z326" s="358"/>
      <c r="AA326" s="353" t="e">
        <f ca="1">VLOOKUP(Tableau1[[#This Row],[Key(ID-Actif)]],'DATA BTO'!A:N,5,FALSE)</f>
        <v>#N/A</v>
      </c>
      <c r="AB326" s="3" t="e">
        <f ca="1">VLOOKUP(Tableau1[[#This Row],[Key(ID-Actif)]],'DATA BTO'!A:N,6,FALSE)</f>
        <v>#N/A</v>
      </c>
      <c r="AC326" s="50" t="e">
        <f ca="1">VLOOKUP(Tableau1[[#This Row],[Key(ID-Actif)]],'DATA BTO'!A:N,7,FALSE)</f>
        <v>#N/A</v>
      </c>
      <c r="AD326" s="50" t="e">
        <f ca="1">VLOOKUP(Tableau1[[#This Row],[Key(ID-Actif)]],'DATA BTO'!A:N,8,FALSE)</f>
        <v>#N/A</v>
      </c>
      <c r="AE326" s="406" t="e">
        <f ca="1">IF(Tableau1[[#This Row],[First Day to POL]]&lt;=Tableau1[[#This Row],[Day Cut Off]],Tableau1[[#This Row],[Day ETD]],Tableau1[[#This Row],[Day ETD]]+7)</f>
        <v>#N/A</v>
      </c>
      <c r="AF326" s="50" t="e">
        <f ca="1">VLOOKUP(Tableau1[[#This Row],[Key(ID-Actif)]],'DATA BTO'!A:N,9,FALSE)</f>
        <v>#N/A</v>
      </c>
      <c r="AG326" s="3" t="e">
        <f ca="1">VLOOKUP(Tableau1[[#This Row],[Key(ID-Actif)]],'DATA BTO'!A:N,10,FALSE)</f>
        <v>#N/A</v>
      </c>
      <c r="AH326" s="3" t="e">
        <f ca="1">VLOOKUP(Tableau1[[#This Row],[Key(ID-Actif)]],'DATA BTO'!A:N,11,FALSE)</f>
        <v>#N/A</v>
      </c>
      <c r="AI326" s="50" t="e">
        <f ca="1">VLOOKUP(Tableau1[[#This Row],[Key(ID-Actif)]],'DATA BTO'!A:N,12,FALSE)</f>
        <v>#N/A</v>
      </c>
      <c r="AJ326" s="53" t="e">
        <f ca="1">VLOOKUP(Tableau1[[#This Row],[Key(ID-Actif)]],'DATA BTO'!A:N,14,FALSE)</f>
        <v>#N/A</v>
      </c>
      <c r="AK326" s="54" t="e">
        <f ca="1">VLOOKUP(Tableau1[[#This Row],[Key(POD -PFI- Usine)]],'DATA Consignee'!A:F,6,FALSE)</f>
        <v>#N/A</v>
      </c>
      <c r="AL326" s="283"/>
      <c r="AM326" s="490" t="str">
        <f>IF(Tableau1[[#This Row],[Name PFI/CDD]]="","-",VLOOKUP(Tableau1[[#This Row],[Name PFI/CDD]],Plant_AILN!I:J,2,FALSE))</f>
        <v>-</v>
      </c>
      <c r="AN32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6" s="2" t="e">
        <f ca="1">VLOOKUP(Tableau1[[#This Row],[Key(POD -PFI- Usine)]],'DATA Consignee'!A:J,10,FALSE)</f>
        <v>#N/A</v>
      </c>
      <c r="AQ326" s="50" t="e">
        <f ca="1">VLOOKUP(Tableau1[[#This Row],[Key(POD -PFI- Usine)]],'DATA Consignee'!A:N,14,FALSE)</f>
        <v>#N/A</v>
      </c>
      <c r="AR32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6" s="50" t="e">
        <f ca="1">Tableau1[[#This Row],[Transit time]]+Tableau1[[#This Row],[Time for security]]+Tableau1[[#This Row],[Time for security2 buffer]]</f>
        <v>#N/A</v>
      </c>
      <c r="AU32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6" s="50" t="e">
        <f ca="1">Tableau1[[#This Row],[Leadtime SI2C]]+Tableau1[[#This Row],[First Receipt Days]]-Tableau1[[#This Row],[Day Customer Order]]+1</f>
        <v>#N/A</v>
      </c>
      <c r="AW326" s="117" t="e">
        <f ca="1">IF(Tableau1[[#This Row],[Name ILN]]&lt;&gt;"SFK Freight Forwarder",Tableau1[[#This Row],[Cust. Leadtime]],Tableau1[[#This Row],[Leadtime SI2C]])</f>
        <v>#N/A</v>
      </c>
      <c r="AX326" s="57" t="e">
        <f>VLOOKUP(Tableau1[[#This Row],[ID]],'DATA BTO'!B:P,15,FALSE)</f>
        <v>#N/A</v>
      </c>
      <c r="AY326" s="328" t="e">
        <f ca="1">IFERROR(VLOOKUP(Tableau1[[#This Row],[Key(ID-Actif)]],'DATA BTO'!A:N,4,FALSE),VLOOKUP(Tableau1[[#This Row],[ID]],'DATA BTO'!B:N,3,FALSE))</f>
        <v>#N/A</v>
      </c>
      <c r="AZ32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6" s="50"/>
    </row>
    <row r="327" spans="2:57">
      <c r="B327" s="405" t="str">
        <f>_xlfn.CONCAT(Tableau1[[#This Row],[Name ILN]],"-",Tableau1[[#This Row],[Name Shipper]],"-",Tableau1[[#This Row],[Name Site]])</f>
        <v>--</v>
      </c>
      <c r="C327" s="64" t="e">
        <f>_xlfn.CONCAT(Tableau1[[#This Row],[Compte ILN]],"-",Tableau1[[#This Row],[Compte Shipper]],"-",Tableau1[[#This Row],[POL]],"-",Tableau1[[#This Row],[Compte Consignee]])</f>
        <v>#N/A</v>
      </c>
      <c r="D327" s="64" t="e">
        <f>_xlfn.CONCAT(Tableau1[[#This Row],[Compte ILN]],"-",Tableau1[[#This Row],[Compte Shipper]],"-",Tableau1[[#This Row],[POL]])</f>
        <v>#N/A</v>
      </c>
      <c r="E327" s="128" t="e">
        <f ca="1">_xlfn.CONCAT(Tableau1[[#This Row],[POL]],"-",Tableau1[[#This Row],[Carrier]],"-",Tableau1[[#This Row],[POD]])</f>
        <v>#N/A</v>
      </c>
      <c r="F327" s="64" t="str">
        <f>_xlfn.CONCAT(Tableau1[[#This Row],[ID]],"-","Actif")</f>
        <v>-Actif</v>
      </c>
      <c r="G327" s="64" t="e">
        <f ca="1">_xlfn.CONCAT(Tableau1[[#This Row],[POD]],"-",Tableau1[[#This Row],[Code PFI]],"-",Tableau1[[#This Row],[Compte Consignee]])</f>
        <v>#N/A</v>
      </c>
      <c r="H32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7" s="117" t="str">
        <f ca="1">IF(COUNTIF(I:I,Tableau1[[#This Row],[Plant-ILN-shipper-POL-Carrier-POD-PFI]])=1,"Non","Oui")</f>
        <v>Oui</v>
      </c>
      <c r="K327" s="126" t="e">
        <f>VLOOKUP(Tableau1[[#This Row],[Name Site]],Plant_AILN!A:D,4,FALSE)</f>
        <v>#N/A</v>
      </c>
      <c r="L327" s="363"/>
      <c r="M327" s="492" t="e">
        <f>VLOOKUP(Tableau1[[#This Row],[Name Site]],Plant_AILN!A:C,3,FALSE)</f>
        <v>#N/A</v>
      </c>
      <c r="N327" s="55" t="e">
        <f>VLOOKUP(Tableau1[[#This Row],[Compte Consignee]],Order!C:D,2,FALSE)</f>
        <v>#N/A</v>
      </c>
      <c r="O327" s="122"/>
      <c r="P327" s="481" t="e">
        <f>VLOOKUP(Tableau1[[#This Row],[Name ILN]],Plant_AILN!F:G,2,FALSE)</f>
        <v>#N/A</v>
      </c>
      <c r="Q327" s="50" t="e">
        <f>VLOOKUP(Tableau1[[#This Row],[Compte ILN]],'DATA ILN'!D:I,6,FALSE)</f>
        <v>#N/A</v>
      </c>
      <c r="R327" s="50" t="e">
        <f>IFERROR(VLOOKUP(Tableau1[[#This Row],[Key(Compte ILN - shipper - POL - plant)]],'DATA ILN'!A:J,10,FALSE),VLOOKUP(Tableau1[[#This Row],[Key(Compte ILN - shipper - POL)]],'DATA ILN'!B:J,9,FALSE))</f>
        <v>#N/A</v>
      </c>
      <c r="S327" s="50" t="e">
        <f>IFERROR(VLOOKUP(Tableau1[[#This Row],[Key(Compte ILN - shipper - POL - plant)]],'DATA ILN'!A:K,11,FALSE),VLOOKUP(Tableau1[[#This Row],[Key(Compte ILN - shipper - POL)]],'DATA ILN'!B:K,10,FALSE))</f>
        <v>#N/A</v>
      </c>
      <c r="T327" s="50" t="e">
        <f>IFERROR(VLOOKUP(Tableau1[[#This Row],[Key(Compte ILN - shipper - POL - plant)]],'DATA ILN'!A:L,12,FALSE),VLOOKUP(Tableau1[[#This Row],[Key(Compte ILN - shipper - POL)]],'DATA ILN'!B:L,11,FALSE))</f>
        <v>#N/A</v>
      </c>
      <c r="U327" s="50" t="e">
        <f>Tableau1[[#This Row],[Day ILN Order]]+Tableau1[[#This Row],[Delivery time to ILN/Shipper]]-1</f>
        <v>#N/A</v>
      </c>
      <c r="V327" s="50" t="e">
        <f>IFERROR(VLOOKUP(Tableau1[[#This Row],[Key(Compte ILN - shipper - POL - plant)]],'DATA ILN'!A:N,14,FALSE),VLOOKUP(Tableau1[[#This Row],[Key(Compte ILN - shipper - POL)]],'DATA ILN'!B:N,13,FALSE))</f>
        <v>#N/A</v>
      </c>
      <c r="W327" s="50" t="e">
        <f>IFERROR(VLOOKUP(Tableau1[[#This Row],[Key(Compte ILN - shipper - POL - plant)]],'DATA ILN'!A:P,16,FALSE),VLOOKUP(Tableau1[[#This Row],[Key(Compte ILN - shipper - POL)]],'DATA ILN'!B:P,15,FALSE))</f>
        <v>#N/A</v>
      </c>
      <c r="X327" s="283"/>
      <c r="Y327" s="489">
        <f>IFERROR(VLOOKUP(Tableau1[[#This Row],[Name Shipper]],Plant_AILN!L:M,2,FALSE),0)</f>
        <v>0</v>
      </c>
      <c r="Z327" s="358"/>
      <c r="AA327" s="353" t="e">
        <f ca="1">VLOOKUP(Tableau1[[#This Row],[Key(ID-Actif)]],'DATA BTO'!A:N,5,FALSE)</f>
        <v>#N/A</v>
      </c>
      <c r="AB327" s="3" t="e">
        <f ca="1">VLOOKUP(Tableau1[[#This Row],[Key(ID-Actif)]],'DATA BTO'!A:N,6,FALSE)</f>
        <v>#N/A</v>
      </c>
      <c r="AC327" s="50" t="e">
        <f ca="1">VLOOKUP(Tableau1[[#This Row],[Key(ID-Actif)]],'DATA BTO'!A:N,7,FALSE)</f>
        <v>#N/A</v>
      </c>
      <c r="AD327" s="50" t="e">
        <f ca="1">VLOOKUP(Tableau1[[#This Row],[Key(ID-Actif)]],'DATA BTO'!A:N,8,FALSE)</f>
        <v>#N/A</v>
      </c>
      <c r="AE327" s="406" t="e">
        <f ca="1">IF(Tableau1[[#This Row],[First Day to POL]]&lt;=Tableau1[[#This Row],[Day Cut Off]],Tableau1[[#This Row],[Day ETD]],Tableau1[[#This Row],[Day ETD]]+7)</f>
        <v>#N/A</v>
      </c>
      <c r="AF327" s="50" t="e">
        <f ca="1">VLOOKUP(Tableau1[[#This Row],[Key(ID-Actif)]],'DATA BTO'!A:N,9,FALSE)</f>
        <v>#N/A</v>
      </c>
      <c r="AG327" s="3" t="e">
        <f ca="1">VLOOKUP(Tableau1[[#This Row],[Key(ID-Actif)]],'DATA BTO'!A:N,10,FALSE)</f>
        <v>#N/A</v>
      </c>
      <c r="AH327" s="3" t="e">
        <f ca="1">VLOOKUP(Tableau1[[#This Row],[Key(ID-Actif)]],'DATA BTO'!A:N,11,FALSE)</f>
        <v>#N/A</v>
      </c>
      <c r="AI327" s="50" t="e">
        <f ca="1">VLOOKUP(Tableau1[[#This Row],[Key(ID-Actif)]],'DATA BTO'!A:N,12,FALSE)</f>
        <v>#N/A</v>
      </c>
      <c r="AJ327" s="53" t="e">
        <f ca="1">VLOOKUP(Tableau1[[#This Row],[Key(ID-Actif)]],'DATA BTO'!A:N,14,FALSE)</f>
        <v>#N/A</v>
      </c>
      <c r="AK327" s="54" t="e">
        <f ca="1">VLOOKUP(Tableau1[[#This Row],[Key(POD -PFI- Usine)]],'DATA Consignee'!A:F,6,FALSE)</f>
        <v>#N/A</v>
      </c>
      <c r="AL327" s="283"/>
      <c r="AM327" s="490" t="str">
        <f>IF(Tableau1[[#This Row],[Name PFI/CDD]]="","-",VLOOKUP(Tableau1[[#This Row],[Name PFI/CDD]],Plant_AILN!I:J,2,FALSE))</f>
        <v>-</v>
      </c>
      <c r="AN32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7" s="2" t="e">
        <f ca="1">VLOOKUP(Tableau1[[#This Row],[Key(POD -PFI- Usine)]],'DATA Consignee'!A:J,10,FALSE)</f>
        <v>#N/A</v>
      </c>
      <c r="AQ327" s="50" t="e">
        <f ca="1">VLOOKUP(Tableau1[[#This Row],[Key(POD -PFI- Usine)]],'DATA Consignee'!A:N,14,FALSE)</f>
        <v>#N/A</v>
      </c>
      <c r="AR32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7" s="50" t="e">
        <f ca="1">Tableau1[[#This Row],[Transit time]]+Tableau1[[#This Row],[Time for security]]+Tableau1[[#This Row],[Time for security2 buffer]]</f>
        <v>#N/A</v>
      </c>
      <c r="AU32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7" s="50" t="e">
        <f ca="1">Tableau1[[#This Row],[Leadtime SI2C]]+Tableau1[[#This Row],[First Receipt Days]]-Tableau1[[#This Row],[Day Customer Order]]+1</f>
        <v>#N/A</v>
      </c>
      <c r="AW327" s="117" t="e">
        <f ca="1">IF(Tableau1[[#This Row],[Name ILN]]&lt;&gt;"SFK Freight Forwarder",Tableau1[[#This Row],[Cust. Leadtime]],Tableau1[[#This Row],[Leadtime SI2C]])</f>
        <v>#N/A</v>
      </c>
      <c r="AX327" s="57" t="e">
        <f>VLOOKUP(Tableau1[[#This Row],[ID]],'DATA BTO'!B:P,15,FALSE)</f>
        <v>#N/A</v>
      </c>
      <c r="AY327" s="328" t="e">
        <f ca="1">IFERROR(VLOOKUP(Tableau1[[#This Row],[Key(ID-Actif)]],'DATA BTO'!A:N,4,FALSE),VLOOKUP(Tableau1[[#This Row],[ID]],'DATA BTO'!B:N,3,FALSE))</f>
        <v>#N/A</v>
      </c>
      <c r="AZ32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7" s="50"/>
    </row>
    <row r="328" spans="2:57">
      <c r="B328" s="405" t="str">
        <f>_xlfn.CONCAT(Tableau1[[#This Row],[Name ILN]],"-",Tableau1[[#This Row],[Name Shipper]],"-",Tableau1[[#This Row],[Name Site]])</f>
        <v>--</v>
      </c>
      <c r="C328" s="64" t="e">
        <f>_xlfn.CONCAT(Tableau1[[#This Row],[Compte ILN]],"-",Tableau1[[#This Row],[Compte Shipper]],"-",Tableau1[[#This Row],[POL]],"-",Tableau1[[#This Row],[Compte Consignee]])</f>
        <v>#N/A</v>
      </c>
      <c r="D328" s="64" t="e">
        <f>_xlfn.CONCAT(Tableau1[[#This Row],[Compte ILN]],"-",Tableau1[[#This Row],[Compte Shipper]],"-",Tableau1[[#This Row],[POL]])</f>
        <v>#N/A</v>
      </c>
      <c r="E328" s="128" t="e">
        <f ca="1">_xlfn.CONCAT(Tableau1[[#This Row],[POL]],"-",Tableau1[[#This Row],[Carrier]],"-",Tableau1[[#This Row],[POD]])</f>
        <v>#N/A</v>
      </c>
      <c r="F328" s="64" t="str">
        <f>_xlfn.CONCAT(Tableau1[[#This Row],[ID]],"-","Actif")</f>
        <v>-Actif</v>
      </c>
      <c r="G328" s="64" t="e">
        <f ca="1">_xlfn.CONCAT(Tableau1[[#This Row],[POD]],"-",Tableau1[[#This Row],[Code PFI]],"-",Tableau1[[#This Row],[Compte Consignee]])</f>
        <v>#N/A</v>
      </c>
      <c r="H32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8" s="117" t="str">
        <f ca="1">IF(COUNTIF(I:I,Tableau1[[#This Row],[Plant-ILN-shipper-POL-Carrier-POD-PFI]])=1,"Non","Oui")</f>
        <v>Oui</v>
      </c>
      <c r="K328" s="126" t="e">
        <f>VLOOKUP(Tableau1[[#This Row],[Name Site]],Plant_AILN!A:D,4,FALSE)</f>
        <v>#N/A</v>
      </c>
      <c r="L328" s="363"/>
      <c r="M328" s="492" t="e">
        <f>VLOOKUP(Tableau1[[#This Row],[Name Site]],Plant_AILN!A:C,3,FALSE)</f>
        <v>#N/A</v>
      </c>
      <c r="N328" s="55" t="e">
        <f>VLOOKUP(Tableau1[[#This Row],[Compte Consignee]],Order!C:D,2,FALSE)</f>
        <v>#N/A</v>
      </c>
      <c r="O328" s="122"/>
      <c r="P328" s="481" t="e">
        <f>VLOOKUP(Tableau1[[#This Row],[Name ILN]],Plant_AILN!F:G,2,FALSE)</f>
        <v>#N/A</v>
      </c>
      <c r="Q328" s="50" t="e">
        <f>VLOOKUP(Tableau1[[#This Row],[Compte ILN]],'DATA ILN'!D:I,6,FALSE)</f>
        <v>#N/A</v>
      </c>
      <c r="R328" s="50" t="e">
        <f>IFERROR(VLOOKUP(Tableau1[[#This Row],[Key(Compte ILN - shipper - POL - plant)]],'DATA ILN'!A:J,10,FALSE),VLOOKUP(Tableau1[[#This Row],[Key(Compte ILN - shipper - POL)]],'DATA ILN'!B:J,9,FALSE))</f>
        <v>#N/A</v>
      </c>
      <c r="S328" s="50" t="e">
        <f>IFERROR(VLOOKUP(Tableau1[[#This Row],[Key(Compte ILN - shipper - POL - plant)]],'DATA ILN'!A:K,11,FALSE),VLOOKUP(Tableau1[[#This Row],[Key(Compte ILN - shipper - POL)]],'DATA ILN'!B:K,10,FALSE))</f>
        <v>#N/A</v>
      </c>
      <c r="T328" s="50" t="e">
        <f>IFERROR(VLOOKUP(Tableau1[[#This Row],[Key(Compte ILN - shipper - POL - plant)]],'DATA ILN'!A:L,12,FALSE),VLOOKUP(Tableau1[[#This Row],[Key(Compte ILN - shipper - POL)]],'DATA ILN'!B:L,11,FALSE))</f>
        <v>#N/A</v>
      </c>
      <c r="U328" s="50" t="e">
        <f>Tableau1[[#This Row],[Day ILN Order]]+Tableau1[[#This Row],[Delivery time to ILN/Shipper]]-1</f>
        <v>#N/A</v>
      </c>
      <c r="V328" s="50" t="e">
        <f>IFERROR(VLOOKUP(Tableau1[[#This Row],[Key(Compte ILN - shipper - POL - plant)]],'DATA ILN'!A:N,14,FALSE),VLOOKUP(Tableau1[[#This Row],[Key(Compte ILN - shipper - POL)]],'DATA ILN'!B:N,13,FALSE))</f>
        <v>#N/A</v>
      </c>
      <c r="W328" s="50" t="e">
        <f>IFERROR(VLOOKUP(Tableau1[[#This Row],[Key(Compte ILN - shipper - POL - plant)]],'DATA ILN'!A:P,16,FALSE),VLOOKUP(Tableau1[[#This Row],[Key(Compte ILN - shipper - POL)]],'DATA ILN'!B:P,15,FALSE))</f>
        <v>#N/A</v>
      </c>
      <c r="X328" s="283"/>
      <c r="Y328" s="489">
        <f>IFERROR(VLOOKUP(Tableau1[[#This Row],[Name Shipper]],Plant_AILN!L:M,2,FALSE),0)</f>
        <v>0</v>
      </c>
      <c r="Z328" s="358"/>
      <c r="AA328" s="353" t="e">
        <f ca="1">VLOOKUP(Tableau1[[#This Row],[Key(ID-Actif)]],'DATA BTO'!A:N,5,FALSE)</f>
        <v>#N/A</v>
      </c>
      <c r="AB328" s="3" t="e">
        <f ca="1">VLOOKUP(Tableau1[[#This Row],[Key(ID-Actif)]],'DATA BTO'!A:N,6,FALSE)</f>
        <v>#N/A</v>
      </c>
      <c r="AC328" s="50" t="e">
        <f ca="1">VLOOKUP(Tableau1[[#This Row],[Key(ID-Actif)]],'DATA BTO'!A:N,7,FALSE)</f>
        <v>#N/A</v>
      </c>
      <c r="AD328" s="50" t="e">
        <f ca="1">VLOOKUP(Tableau1[[#This Row],[Key(ID-Actif)]],'DATA BTO'!A:N,8,FALSE)</f>
        <v>#N/A</v>
      </c>
      <c r="AE328" s="406" t="e">
        <f ca="1">IF(Tableau1[[#This Row],[First Day to POL]]&lt;=Tableau1[[#This Row],[Day Cut Off]],Tableau1[[#This Row],[Day ETD]],Tableau1[[#This Row],[Day ETD]]+7)</f>
        <v>#N/A</v>
      </c>
      <c r="AF328" s="50" t="e">
        <f ca="1">VLOOKUP(Tableau1[[#This Row],[Key(ID-Actif)]],'DATA BTO'!A:N,9,FALSE)</f>
        <v>#N/A</v>
      </c>
      <c r="AG328" s="3" t="e">
        <f ca="1">VLOOKUP(Tableau1[[#This Row],[Key(ID-Actif)]],'DATA BTO'!A:N,10,FALSE)</f>
        <v>#N/A</v>
      </c>
      <c r="AH328" s="3" t="e">
        <f ca="1">VLOOKUP(Tableau1[[#This Row],[Key(ID-Actif)]],'DATA BTO'!A:N,11,FALSE)</f>
        <v>#N/A</v>
      </c>
      <c r="AI328" s="50" t="e">
        <f ca="1">VLOOKUP(Tableau1[[#This Row],[Key(ID-Actif)]],'DATA BTO'!A:N,12,FALSE)</f>
        <v>#N/A</v>
      </c>
      <c r="AJ328" s="53" t="e">
        <f ca="1">VLOOKUP(Tableau1[[#This Row],[Key(ID-Actif)]],'DATA BTO'!A:N,14,FALSE)</f>
        <v>#N/A</v>
      </c>
      <c r="AK328" s="54" t="e">
        <f ca="1">VLOOKUP(Tableau1[[#This Row],[Key(POD -PFI- Usine)]],'DATA Consignee'!A:F,6,FALSE)</f>
        <v>#N/A</v>
      </c>
      <c r="AL328" s="283"/>
      <c r="AM328" s="490" t="str">
        <f>IF(Tableau1[[#This Row],[Name PFI/CDD]]="","-",VLOOKUP(Tableau1[[#This Row],[Name PFI/CDD]],Plant_AILN!I:J,2,FALSE))</f>
        <v>-</v>
      </c>
      <c r="AN32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8" s="2" t="e">
        <f ca="1">VLOOKUP(Tableau1[[#This Row],[Key(POD -PFI- Usine)]],'DATA Consignee'!A:J,10,FALSE)</f>
        <v>#N/A</v>
      </c>
      <c r="AQ328" s="50" t="e">
        <f ca="1">VLOOKUP(Tableau1[[#This Row],[Key(POD -PFI- Usine)]],'DATA Consignee'!A:N,14,FALSE)</f>
        <v>#N/A</v>
      </c>
      <c r="AR32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8" s="50" t="e">
        <f ca="1">Tableau1[[#This Row],[Transit time]]+Tableau1[[#This Row],[Time for security]]+Tableau1[[#This Row],[Time for security2 buffer]]</f>
        <v>#N/A</v>
      </c>
      <c r="AU32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8" s="50" t="e">
        <f ca="1">Tableau1[[#This Row],[Leadtime SI2C]]+Tableau1[[#This Row],[First Receipt Days]]-Tableau1[[#This Row],[Day Customer Order]]+1</f>
        <v>#N/A</v>
      </c>
      <c r="AW328" s="117" t="e">
        <f ca="1">IF(Tableau1[[#This Row],[Name ILN]]&lt;&gt;"SFK Freight Forwarder",Tableau1[[#This Row],[Cust. Leadtime]],Tableau1[[#This Row],[Leadtime SI2C]])</f>
        <v>#N/A</v>
      </c>
      <c r="AX328" s="57" t="e">
        <f>VLOOKUP(Tableau1[[#This Row],[ID]],'DATA BTO'!B:P,15,FALSE)</f>
        <v>#N/A</v>
      </c>
      <c r="AY328" s="328" t="e">
        <f ca="1">IFERROR(VLOOKUP(Tableau1[[#This Row],[Key(ID-Actif)]],'DATA BTO'!A:N,4,FALSE),VLOOKUP(Tableau1[[#This Row],[ID]],'DATA BTO'!B:N,3,FALSE))</f>
        <v>#N/A</v>
      </c>
      <c r="AZ32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8" s="50"/>
    </row>
    <row r="329" spans="2:57">
      <c r="B329" s="405" t="str">
        <f>_xlfn.CONCAT(Tableau1[[#This Row],[Name ILN]],"-",Tableau1[[#This Row],[Name Shipper]],"-",Tableau1[[#This Row],[Name Site]])</f>
        <v>--</v>
      </c>
      <c r="C329" s="64" t="e">
        <f>_xlfn.CONCAT(Tableau1[[#This Row],[Compte ILN]],"-",Tableau1[[#This Row],[Compte Shipper]],"-",Tableau1[[#This Row],[POL]],"-",Tableau1[[#This Row],[Compte Consignee]])</f>
        <v>#N/A</v>
      </c>
      <c r="D329" s="64" t="e">
        <f>_xlfn.CONCAT(Tableau1[[#This Row],[Compte ILN]],"-",Tableau1[[#This Row],[Compte Shipper]],"-",Tableau1[[#This Row],[POL]])</f>
        <v>#N/A</v>
      </c>
      <c r="E329" s="128" t="e">
        <f ca="1">_xlfn.CONCAT(Tableau1[[#This Row],[POL]],"-",Tableau1[[#This Row],[Carrier]],"-",Tableau1[[#This Row],[POD]])</f>
        <v>#N/A</v>
      </c>
      <c r="F329" s="64" t="str">
        <f>_xlfn.CONCAT(Tableau1[[#This Row],[ID]],"-","Actif")</f>
        <v>-Actif</v>
      </c>
      <c r="G329" s="64" t="e">
        <f ca="1">_xlfn.CONCAT(Tableau1[[#This Row],[POD]],"-",Tableau1[[#This Row],[Code PFI]],"-",Tableau1[[#This Row],[Compte Consignee]])</f>
        <v>#N/A</v>
      </c>
      <c r="H32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2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29" s="117" t="str">
        <f ca="1">IF(COUNTIF(I:I,Tableau1[[#This Row],[Plant-ILN-shipper-POL-Carrier-POD-PFI]])=1,"Non","Oui")</f>
        <v>Oui</v>
      </c>
      <c r="K329" s="126" t="e">
        <f>VLOOKUP(Tableau1[[#This Row],[Name Site]],Plant_AILN!A:D,4,FALSE)</f>
        <v>#N/A</v>
      </c>
      <c r="L329" s="363"/>
      <c r="M329" s="492" t="e">
        <f>VLOOKUP(Tableau1[[#This Row],[Name Site]],Plant_AILN!A:C,3,FALSE)</f>
        <v>#N/A</v>
      </c>
      <c r="N329" s="55" t="e">
        <f>VLOOKUP(Tableau1[[#This Row],[Compte Consignee]],Order!C:D,2,FALSE)</f>
        <v>#N/A</v>
      </c>
      <c r="O329" s="122"/>
      <c r="P329" s="481" t="e">
        <f>VLOOKUP(Tableau1[[#This Row],[Name ILN]],Plant_AILN!F:G,2,FALSE)</f>
        <v>#N/A</v>
      </c>
      <c r="Q329" s="50" t="e">
        <f>VLOOKUP(Tableau1[[#This Row],[Compte ILN]],'DATA ILN'!D:I,6,FALSE)</f>
        <v>#N/A</v>
      </c>
      <c r="R329" s="50" t="e">
        <f>IFERROR(VLOOKUP(Tableau1[[#This Row],[Key(Compte ILN - shipper - POL - plant)]],'DATA ILN'!A:J,10,FALSE),VLOOKUP(Tableau1[[#This Row],[Key(Compte ILN - shipper - POL)]],'DATA ILN'!B:J,9,FALSE))</f>
        <v>#N/A</v>
      </c>
      <c r="S329" s="50" t="e">
        <f>IFERROR(VLOOKUP(Tableau1[[#This Row],[Key(Compte ILN - shipper - POL - plant)]],'DATA ILN'!A:K,11,FALSE),VLOOKUP(Tableau1[[#This Row],[Key(Compte ILN - shipper - POL)]],'DATA ILN'!B:K,10,FALSE))</f>
        <v>#N/A</v>
      </c>
      <c r="T329" s="50" t="e">
        <f>IFERROR(VLOOKUP(Tableau1[[#This Row],[Key(Compte ILN - shipper - POL - plant)]],'DATA ILN'!A:L,12,FALSE),VLOOKUP(Tableau1[[#This Row],[Key(Compte ILN - shipper - POL)]],'DATA ILN'!B:L,11,FALSE))</f>
        <v>#N/A</v>
      </c>
      <c r="U329" s="50" t="e">
        <f>Tableau1[[#This Row],[Day ILN Order]]+Tableau1[[#This Row],[Delivery time to ILN/Shipper]]-1</f>
        <v>#N/A</v>
      </c>
      <c r="V329" s="50" t="e">
        <f>IFERROR(VLOOKUP(Tableau1[[#This Row],[Key(Compte ILN - shipper - POL - plant)]],'DATA ILN'!A:N,14,FALSE),VLOOKUP(Tableau1[[#This Row],[Key(Compte ILN - shipper - POL)]],'DATA ILN'!B:N,13,FALSE))</f>
        <v>#N/A</v>
      </c>
      <c r="W329" s="50" t="e">
        <f>IFERROR(VLOOKUP(Tableau1[[#This Row],[Key(Compte ILN - shipper - POL - plant)]],'DATA ILN'!A:P,16,FALSE),VLOOKUP(Tableau1[[#This Row],[Key(Compte ILN - shipper - POL)]],'DATA ILN'!B:P,15,FALSE))</f>
        <v>#N/A</v>
      </c>
      <c r="X329" s="283"/>
      <c r="Y329" s="489">
        <f>IFERROR(VLOOKUP(Tableau1[[#This Row],[Name Shipper]],Plant_AILN!L:M,2,FALSE),0)</f>
        <v>0</v>
      </c>
      <c r="Z329" s="358"/>
      <c r="AA329" s="353" t="e">
        <f ca="1">VLOOKUP(Tableau1[[#This Row],[Key(ID-Actif)]],'DATA BTO'!A:N,5,FALSE)</f>
        <v>#N/A</v>
      </c>
      <c r="AB329" s="3" t="e">
        <f ca="1">VLOOKUP(Tableau1[[#This Row],[Key(ID-Actif)]],'DATA BTO'!A:N,6,FALSE)</f>
        <v>#N/A</v>
      </c>
      <c r="AC329" s="50" t="e">
        <f ca="1">VLOOKUP(Tableau1[[#This Row],[Key(ID-Actif)]],'DATA BTO'!A:N,7,FALSE)</f>
        <v>#N/A</v>
      </c>
      <c r="AD329" s="50" t="e">
        <f ca="1">VLOOKUP(Tableau1[[#This Row],[Key(ID-Actif)]],'DATA BTO'!A:N,8,FALSE)</f>
        <v>#N/A</v>
      </c>
      <c r="AE329" s="406" t="e">
        <f ca="1">IF(Tableau1[[#This Row],[First Day to POL]]&lt;=Tableau1[[#This Row],[Day Cut Off]],Tableau1[[#This Row],[Day ETD]],Tableau1[[#This Row],[Day ETD]]+7)</f>
        <v>#N/A</v>
      </c>
      <c r="AF329" s="50" t="e">
        <f ca="1">VLOOKUP(Tableau1[[#This Row],[Key(ID-Actif)]],'DATA BTO'!A:N,9,FALSE)</f>
        <v>#N/A</v>
      </c>
      <c r="AG329" s="3" t="e">
        <f ca="1">VLOOKUP(Tableau1[[#This Row],[Key(ID-Actif)]],'DATA BTO'!A:N,10,FALSE)</f>
        <v>#N/A</v>
      </c>
      <c r="AH329" s="3" t="e">
        <f ca="1">VLOOKUP(Tableau1[[#This Row],[Key(ID-Actif)]],'DATA BTO'!A:N,11,FALSE)</f>
        <v>#N/A</v>
      </c>
      <c r="AI329" s="50" t="e">
        <f ca="1">VLOOKUP(Tableau1[[#This Row],[Key(ID-Actif)]],'DATA BTO'!A:N,12,FALSE)</f>
        <v>#N/A</v>
      </c>
      <c r="AJ329" s="53" t="e">
        <f ca="1">VLOOKUP(Tableau1[[#This Row],[Key(ID-Actif)]],'DATA BTO'!A:N,14,FALSE)</f>
        <v>#N/A</v>
      </c>
      <c r="AK329" s="54" t="e">
        <f ca="1">VLOOKUP(Tableau1[[#This Row],[Key(POD -PFI- Usine)]],'DATA Consignee'!A:F,6,FALSE)</f>
        <v>#N/A</v>
      </c>
      <c r="AL329" s="283"/>
      <c r="AM329" s="490" t="str">
        <f>IF(Tableau1[[#This Row],[Name PFI/CDD]]="","-",VLOOKUP(Tableau1[[#This Row],[Name PFI/CDD]],Plant_AILN!I:J,2,FALSE))</f>
        <v>-</v>
      </c>
      <c r="AN32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2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29" s="2" t="e">
        <f ca="1">VLOOKUP(Tableau1[[#This Row],[Key(POD -PFI- Usine)]],'DATA Consignee'!A:J,10,FALSE)</f>
        <v>#N/A</v>
      </c>
      <c r="AQ329" s="50" t="e">
        <f ca="1">VLOOKUP(Tableau1[[#This Row],[Key(POD -PFI- Usine)]],'DATA Consignee'!A:N,14,FALSE)</f>
        <v>#N/A</v>
      </c>
      <c r="AR32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2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29" s="50" t="e">
        <f ca="1">Tableau1[[#This Row],[Transit time]]+Tableau1[[#This Row],[Time for security]]+Tableau1[[#This Row],[Time for security2 buffer]]</f>
        <v>#N/A</v>
      </c>
      <c r="AU32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29" s="50" t="e">
        <f ca="1">Tableau1[[#This Row],[Leadtime SI2C]]+Tableau1[[#This Row],[First Receipt Days]]-Tableau1[[#This Row],[Day Customer Order]]+1</f>
        <v>#N/A</v>
      </c>
      <c r="AW329" s="117" t="e">
        <f ca="1">IF(Tableau1[[#This Row],[Name ILN]]&lt;&gt;"SFK Freight Forwarder",Tableau1[[#This Row],[Cust. Leadtime]],Tableau1[[#This Row],[Leadtime SI2C]])</f>
        <v>#N/A</v>
      </c>
      <c r="AX329" s="57" t="e">
        <f>VLOOKUP(Tableau1[[#This Row],[ID]],'DATA BTO'!B:P,15,FALSE)</f>
        <v>#N/A</v>
      </c>
      <c r="AY329" s="328" t="e">
        <f ca="1">IFERROR(VLOOKUP(Tableau1[[#This Row],[Key(ID-Actif)]],'DATA BTO'!A:N,4,FALSE),VLOOKUP(Tableau1[[#This Row],[ID]],'DATA BTO'!B:N,3,FALSE))</f>
        <v>#N/A</v>
      </c>
      <c r="AZ32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2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2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9" s="50"/>
    </row>
    <row r="330" spans="2:57">
      <c r="B330" s="405" t="str">
        <f>_xlfn.CONCAT(Tableau1[[#This Row],[Name ILN]],"-",Tableau1[[#This Row],[Name Shipper]],"-",Tableau1[[#This Row],[Name Site]])</f>
        <v>--</v>
      </c>
      <c r="C330" s="64" t="e">
        <f>_xlfn.CONCAT(Tableau1[[#This Row],[Compte ILN]],"-",Tableau1[[#This Row],[Compte Shipper]],"-",Tableau1[[#This Row],[POL]],"-",Tableau1[[#This Row],[Compte Consignee]])</f>
        <v>#N/A</v>
      </c>
      <c r="D330" s="64" t="e">
        <f>_xlfn.CONCAT(Tableau1[[#This Row],[Compte ILN]],"-",Tableau1[[#This Row],[Compte Shipper]],"-",Tableau1[[#This Row],[POL]])</f>
        <v>#N/A</v>
      </c>
      <c r="E330" s="128" t="e">
        <f ca="1">_xlfn.CONCAT(Tableau1[[#This Row],[POL]],"-",Tableau1[[#This Row],[Carrier]],"-",Tableau1[[#This Row],[POD]])</f>
        <v>#N/A</v>
      </c>
      <c r="F330" s="64" t="str">
        <f>_xlfn.CONCAT(Tableau1[[#This Row],[ID]],"-","Actif")</f>
        <v>-Actif</v>
      </c>
      <c r="G330" s="64" t="e">
        <f ca="1">_xlfn.CONCAT(Tableau1[[#This Row],[POD]],"-",Tableau1[[#This Row],[Code PFI]],"-",Tableau1[[#This Row],[Compte Consignee]])</f>
        <v>#N/A</v>
      </c>
      <c r="H33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0" s="117" t="str">
        <f ca="1">IF(COUNTIF(I:I,Tableau1[[#This Row],[Plant-ILN-shipper-POL-Carrier-POD-PFI]])=1,"Non","Oui")</f>
        <v>Oui</v>
      </c>
      <c r="K330" s="126" t="e">
        <f>VLOOKUP(Tableau1[[#This Row],[Name Site]],Plant_AILN!A:D,4,FALSE)</f>
        <v>#N/A</v>
      </c>
      <c r="L330" s="363"/>
      <c r="M330" s="492" t="e">
        <f>VLOOKUP(Tableau1[[#This Row],[Name Site]],Plant_AILN!A:C,3,FALSE)</f>
        <v>#N/A</v>
      </c>
      <c r="N330" s="55" t="e">
        <f>VLOOKUP(Tableau1[[#This Row],[Compte Consignee]],Order!C:D,2,FALSE)</f>
        <v>#N/A</v>
      </c>
      <c r="O330" s="122"/>
      <c r="P330" s="481" t="e">
        <f>VLOOKUP(Tableau1[[#This Row],[Name ILN]],Plant_AILN!F:G,2,FALSE)</f>
        <v>#N/A</v>
      </c>
      <c r="Q330" s="50" t="e">
        <f>VLOOKUP(Tableau1[[#This Row],[Compte ILN]],'DATA ILN'!D:I,6,FALSE)</f>
        <v>#N/A</v>
      </c>
      <c r="R330" s="50" t="e">
        <f>IFERROR(VLOOKUP(Tableau1[[#This Row],[Key(Compte ILN - shipper - POL - plant)]],'DATA ILN'!A:J,10,FALSE),VLOOKUP(Tableau1[[#This Row],[Key(Compte ILN - shipper - POL)]],'DATA ILN'!B:J,9,FALSE))</f>
        <v>#N/A</v>
      </c>
      <c r="S330" s="50" t="e">
        <f>IFERROR(VLOOKUP(Tableau1[[#This Row],[Key(Compte ILN - shipper - POL - plant)]],'DATA ILN'!A:K,11,FALSE),VLOOKUP(Tableau1[[#This Row],[Key(Compte ILN - shipper - POL)]],'DATA ILN'!B:K,10,FALSE))</f>
        <v>#N/A</v>
      </c>
      <c r="T330" s="50" t="e">
        <f>IFERROR(VLOOKUP(Tableau1[[#This Row],[Key(Compte ILN - shipper - POL - plant)]],'DATA ILN'!A:L,12,FALSE),VLOOKUP(Tableau1[[#This Row],[Key(Compte ILN - shipper - POL)]],'DATA ILN'!B:L,11,FALSE))</f>
        <v>#N/A</v>
      </c>
      <c r="U330" s="50" t="e">
        <f>Tableau1[[#This Row],[Day ILN Order]]+Tableau1[[#This Row],[Delivery time to ILN/Shipper]]-1</f>
        <v>#N/A</v>
      </c>
      <c r="V330" s="50" t="e">
        <f>IFERROR(VLOOKUP(Tableau1[[#This Row],[Key(Compte ILN - shipper - POL - plant)]],'DATA ILN'!A:N,14,FALSE),VLOOKUP(Tableau1[[#This Row],[Key(Compte ILN - shipper - POL)]],'DATA ILN'!B:N,13,FALSE))</f>
        <v>#N/A</v>
      </c>
      <c r="W330" s="50" t="e">
        <f>IFERROR(VLOOKUP(Tableau1[[#This Row],[Key(Compte ILN - shipper - POL - plant)]],'DATA ILN'!A:P,16,FALSE),VLOOKUP(Tableau1[[#This Row],[Key(Compte ILN - shipper - POL)]],'DATA ILN'!B:P,15,FALSE))</f>
        <v>#N/A</v>
      </c>
      <c r="X330" s="283"/>
      <c r="Y330" s="489">
        <f>IFERROR(VLOOKUP(Tableau1[[#This Row],[Name Shipper]],Plant_AILN!L:M,2,FALSE),0)</f>
        <v>0</v>
      </c>
      <c r="Z330" s="358"/>
      <c r="AA330" s="353" t="e">
        <f ca="1">VLOOKUP(Tableau1[[#This Row],[Key(ID-Actif)]],'DATA BTO'!A:N,5,FALSE)</f>
        <v>#N/A</v>
      </c>
      <c r="AB330" s="3" t="e">
        <f ca="1">VLOOKUP(Tableau1[[#This Row],[Key(ID-Actif)]],'DATA BTO'!A:N,6,FALSE)</f>
        <v>#N/A</v>
      </c>
      <c r="AC330" s="50" t="e">
        <f ca="1">VLOOKUP(Tableau1[[#This Row],[Key(ID-Actif)]],'DATA BTO'!A:N,7,FALSE)</f>
        <v>#N/A</v>
      </c>
      <c r="AD330" s="50" t="e">
        <f ca="1">VLOOKUP(Tableau1[[#This Row],[Key(ID-Actif)]],'DATA BTO'!A:N,8,FALSE)</f>
        <v>#N/A</v>
      </c>
      <c r="AE330" s="406" t="e">
        <f ca="1">IF(Tableau1[[#This Row],[First Day to POL]]&lt;=Tableau1[[#This Row],[Day Cut Off]],Tableau1[[#This Row],[Day ETD]],Tableau1[[#This Row],[Day ETD]]+7)</f>
        <v>#N/A</v>
      </c>
      <c r="AF330" s="50" t="e">
        <f ca="1">VLOOKUP(Tableau1[[#This Row],[Key(ID-Actif)]],'DATA BTO'!A:N,9,FALSE)</f>
        <v>#N/A</v>
      </c>
      <c r="AG330" s="3" t="e">
        <f ca="1">VLOOKUP(Tableau1[[#This Row],[Key(ID-Actif)]],'DATA BTO'!A:N,10,FALSE)</f>
        <v>#N/A</v>
      </c>
      <c r="AH330" s="3" t="e">
        <f ca="1">VLOOKUP(Tableau1[[#This Row],[Key(ID-Actif)]],'DATA BTO'!A:N,11,FALSE)</f>
        <v>#N/A</v>
      </c>
      <c r="AI330" s="50" t="e">
        <f ca="1">VLOOKUP(Tableau1[[#This Row],[Key(ID-Actif)]],'DATA BTO'!A:N,12,FALSE)</f>
        <v>#N/A</v>
      </c>
      <c r="AJ330" s="53" t="e">
        <f ca="1">VLOOKUP(Tableau1[[#This Row],[Key(ID-Actif)]],'DATA BTO'!A:N,14,FALSE)</f>
        <v>#N/A</v>
      </c>
      <c r="AK330" s="54" t="e">
        <f ca="1">VLOOKUP(Tableau1[[#This Row],[Key(POD -PFI- Usine)]],'DATA Consignee'!A:F,6,FALSE)</f>
        <v>#N/A</v>
      </c>
      <c r="AL330" s="283"/>
      <c r="AM330" s="490" t="str">
        <f>IF(Tableau1[[#This Row],[Name PFI/CDD]]="","-",VLOOKUP(Tableau1[[#This Row],[Name PFI/CDD]],Plant_AILN!I:J,2,FALSE))</f>
        <v>-</v>
      </c>
      <c r="AN33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0" s="2" t="e">
        <f ca="1">VLOOKUP(Tableau1[[#This Row],[Key(POD -PFI- Usine)]],'DATA Consignee'!A:J,10,FALSE)</f>
        <v>#N/A</v>
      </c>
      <c r="AQ330" s="50" t="e">
        <f ca="1">VLOOKUP(Tableau1[[#This Row],[Key(POD -PFI- Usine)]],'DATA Consignee'!A:N,14,FALSE)</f>
        <v>#N/A</v>
      </c>
      <c r="AR33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0" s="50" t="e">
        <f ca="1">Tableau1[[#This Row],[Transit time]]+Tableau1[[#This Row],[Time for security]]+Tableau1[[#This Row],[Time for security2 buffer]]</f>
        <v>#N/A</v>
      </c>
      <c r="AU33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0" s="50" t="e">
        <f ca="1">Tableau1[[#This Row],[Leadtime SI2C]]+Tableau1[[#This Row],[First Receipt Days]]-Tableau1[[#This Row],[Day Customer Order]]+1</f>
        <v>#N/A</v>
      </c>
      <c r="AW330" s="117" t="e">
        <f ca="1">IF(Tableau1[[#This Row],[Name ILN]]&lt;&gt;"SFK Freight Forwarder",Tableau1[[#This Row],[Cust. Leadtime]],Tableau1[[#This Row],[Leadtime SI2C]])</f>
        <v>#N/A</v>
      </c>
      <c r="AX330" s="57" t="e">
        <f>VLOOKUP(Tableau1[[#This Row],[ID]],'DATA BTO'!B:P,15,FALSE)</f>
        <v>#N/A</v>
      </c>
      <c r="AY330" s="328" t="e">
        <f ca="1">IFERROR(VLOOKUP(Tableau1[[#This Row],[Key(ID-Actif)]],'DATA BTO'!A:N,4,FALSE),VLOOKUP(Tableau1[[#This Row],[ID]],'DATA BTO'!B:N,3,FALSE))</f>
        <v>#N/A</v>
      </c>
      <c r="AZ33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0" s="50"/>
    </row>
    <row r="331" spans="2:57">
      <c r="B331" s="405" t="str">
        <f>_xlfn.CONCAT(Tableau1[[#This Row],[Name ILN]],"-",Tableau1[[#This Row],[Name Shipper]],"-",Tableau1[[#This Row],[Name Site]])</f>
        <v>--</v>
      </c>
      <c r="C331" s="64" t="e">
        <f>_xlfn.CONCAT(Tableau1[[#This Row],[Compte ILN]],"-",Tableau1[[#This Row],[Compte Shipper]],"-",Tableau1[[#This Row],[POL]],"-",Tableau1[[#This Row],[Compte Consignee]])</f>
        <v>#N/A</v>
      </c>
      <c r="D331" s="64" t="e">
        <f>_xlfn.CONCAT(Tableau1[[#This Row],[Compte ILN]],"-",Tableau1[[#This Row],[Compte Shipper]],"-",Tableau1[[#This Row],[POL]])</f>
        <v>#N/A</v>
      </c>
      <c r="E331" s="128" t="e">
        <f ca="1">_xlfn.CONCAT(Tableau1[[#This Row],[POL]],"-",Tableau1[[#This Row],[Carrier]],"-",Tableau1[[#This Row],[POD]])</f>
        <v>#N/A</v>
      </c>
      <c r="F331" s="64" t="str">
        <f>_xlfn.CONCAT(Tableau1[[#This Row],[ID]],"-","Actif")</f>
        <v>-Actif</v>
      </c>
      <c r="G331" s="64" t="e">
        <f ca="1">_xlfn.CONCAT(Tableau1[[#This Row],[POD]],"-",Tableau1[[#This Row],[Code PFI]],"-",Tableau1[[#This Row],[Compte Consignee]])</f>
        <v>#N/A</v>
      </c>
      <c r="H33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1" s="117" t="str">
        <f ca="1">IF(COUNTIF(I:I,Tableau1[[#This Row],[Plant-ILN-shipper-POL-Carrier-POD-PFI]])=1,"Non","Oui")</f>
        <v>Oui</v>
      </c>
      <c r="K331" s="126" t="e">
        <f>VLOOKUP(Tableau1[[#This Row],[Name Site]],Plant_AILN!A:D,4,FALSE)</f>
        <v>#N/A</v>
      </c>
      <c r="L331" s="363"/>
      <c r="M331" s="492" t="e">
        <f>VLOOKUP(Tableau1[[#This Row],[Name Site]],Plant_AILN!A:C,3,FALSE)</f>
        <v>#N/A</v>
      </c>
      <c r="N331" s="55" t="e">
        <f>VLOOKUP(Tableau1[[#This Row],[Compte Consignee]],Order!C:D,2,FALSE)</f>
        <v>#N/A</v>
      </c>
      <c r="O331" s="122"/>
      <c r="P331" s="481" t="e">
        <f>VLOOKUP(Tableau1[[#This Row],[Name ILN]],Plant_AILN!F:G,2,FALSE)</f>
        <v>#N/A</v>
      </c>
      <c r="Q331" s="50" t="e">
        <f>VLOOKUP(Tableau1[[#This Row],[Compte ILN]],'DATA ILN'!D:I,6,FALSE)</f>
        <v>#N/A</v>
      </c>
      <c r="R331" s="50" t="e">
        <f>IFERROR(VLOOKUP(Tableau1[[#This Row],[Key(Compte ILN - shipper - POL - plant)]],'DATA ILN'!A:J,10,FALSE),VLOOKUP(Tableau1[[#This Row],[Key(Compte ILN - shipper - POL)]],'DATA ILN'!B:J,9,FALSE))</f>
        <v>#N/A</v>
      </c>
      <c r="S331" s="50" t="e">
        <f>IFERROR(VLOOKUP(Tableau1[[#This Row],[Key(Compte ILN - shipper - POL - plant)]],'DATA ILN'!A:K,11,FALSE),VLOOKUP(Tableau1[[#This Row],[Key(Compte ILN - shipper - POL)]],'DATA ILN'!B:K,10,FALSE))</f>
        <v>#N/A</v>
      </c>
      <c r="T331" s="50" t="e">
        <f>IFERROR(VLOOKUP(Tableau1[[#This Row],[Key(Compte ILN - shipper - POL - plant)]],'DATA ILN'!A:L,12,FALSE),VLOOKUP(Tableau1[[#This Row],[Key(Compte ILN - shipper - POL)]],'DATA ILN'!B:L,11,FALSE))</f>
        <v>#N/A</v>
      </c>
      <c r="U331" s="50" t="e">
        <f>Tableau1[[#This Row],[Day ILN Order]]+Tableau1[[#This Row],[Delivery time to ILN/Shipper]]-1</f>
        <v>#N/A</v>
      </c>
      <c r="V331" s="50" t="e">
        <f>IFERROR(VLOOKUP(Tableau1[[#This Row],[Key(Compte ILN - shipper - POL - plant)]],'DATA ILN'!A:N,14,FALSE),VLOOKUP(Tableau1[[#This Row],[Key(Compte ILN - shipper - POL)]],'DATA ILN'!B:N,13,FALSE))</f>
        <v>#N/A</v>
      </c>
      <c r="W331" s="50" t="e">
        <f>IFERROR(VLOOKUP(Tableau1[[#This Row],[Key(Compte ILN - shipper - POL - plant)]],'DATA ILN'!A:P,16,FALSE),VLOOKUP(Tableau1[[#This Row],[Key(Compte ILN - shipper - POL)]],'DATA ILN'!B:P,15,FALSE))</f>
        <v>#N/A</v>
      </c>
      <c r="X331" s="283"/>
      <c r="Y331" s="489">
        <f>IFERROR(VLOOKUP(Tableau1[[#This Row],[Name Shipper]],Plant_AILN!L:M,2,FALSE),0)</f>
        <v>0</v>
      </c>
      <c r="Z331" s="358"/>
      <c r="AA331" s="353" t="e">
        <f ca="1">VLOOKUP(Tableau1[[#This Row],[Key(ID-Actif)]],'DATA BTO'!A:N,5,FALSE)</f>
        <v>#N/A</v>
      </c>
      <c r="AB331" s="3" t="e">
        <f ca="1">VLOOKUP(Tableau1[[#This Row],[Key(ID-Actif)]],'DATA BTO'!A:N,6,FALSE)</f>
        <v>#N/A</v>
      </c>
      <c r="AC331" s="50" t="e">
        <f ca="1">VLOOKUP(Tableau1[[#This Row],[Key(ID-Actif)]],'DATA BTO'!A:N,7,FALSE)</f>
        <v>#N/A</v>
      </c>
      <c r="AD331" s="50" t="e">
        <f ca="1">VLOOKUP(Tableau1[[#This Row],[Key(ID-Actif)]],'DATA BTO'!A:N,8,FALSE)</f>
        <v>#N/A</v>
      </c>
      <c r="AE331" s="406" t="e">
        <f ca="1">IF(Tableau1[[#This Row],[First Day to POL]]&lt;=Tableau1[[#This Row],[Day Cut Off]],Tableau1[[#This Row],[Day ETD]],Tableau1[[#This Row],[Day ETD]]+7)</f>
        <v>#N/A</v>
      </c>
      <c r="AF331" s="50" t="e">
        <f ca="1">VLOOKUP(Tableau1[[#This Row],[Key(ID-Actif)]],'DATA BTO'!A:N,9,FALSE)</f>
        <v>#N/A</v>
      </c>
      <c r="AG331" s="3" t="e">
        <f ca="1">VLOOKUP(Tableau1[[#This Row],[Key(ID-Actif)]],'DATA BTO'!A:N,10,FALSE)</f>
        <v>#N/A</v>
      </c>
      <c r="AH331" s="3" t="e">
        <f ca="1">VLOOKUP(Tableau1[[#This Row],[Key(ID-Actif)]],'DATA BTO'!A:N,11,FALSE)</f>
        <v>#N/A</v>
      </c>
      <c r="AI331" s="50" t="e">
        <f ca="1">VLOOKUP(Tableau1[[#This Row],[Key(ID-Actif)]],'DATA BTO'!A:N,12,FALSE)</f>
        <v>#N/A</v>
      </c>
      <c r="AJ331" s="53" t="e">
        <f ca="1">VLOOKUP(Tableau1[[#This Row],[Key(ID-Actif)]],'DATA BTO'!A:N,14,FALSE)</f>
        <v>#N/A</v>
      </c>
      <c r="AK331" s="54" t="e">
        <f ca="1">VLOOKUP(Tableau1[[#This Row],[Key(POD -PFI- Usine)]],'DATA Consignee'!A:F,6,FALSE)</f>
        <v>#N/A</v>
      </c>
      <c r="AL331" s="283"/>
      <c r="AM331" s="490" t="str">
        <f>IF(Tableau1[[#This Row],[Name PFI/CDD]]="","-",VLOOKUP(Tableau1[[#This Row],[Name PFI/CDD]],Plant_AILN!I:J,2,FALSE))</f>
        <v>-</v>
      </c>
      <c r="AN33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1" s="2" t="e">
        <f ca="1">VLOOKUP(Tableau1[[#This Row],[Key(POD -PFI- Usine)]],'DATA Consignee'!A:J,10,FALSE)</f>
        <v>#N/A</v>
      </c>
      <c r="AQ331" s="50" t="e">
        <f ca="1">VLOOKUP(Tableau1[[#This Row],[Key(POD -PFI- Usine)]],'DATA Consignee'!A:N,14,FALSE)</f>
        <v>#N/A</v>
      </c>
      <c r="AR33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1" s="50" t="e">
        <f ca="1">Tableau1[[#This Row],[Transit time]]+Tableau1[[#This Row],[Time for security]]+Tableau1[[#This Row],[Time for security2 buffer]]</f>
        <v>#N/A</v>
      </c>
      <c r="AU33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1" s="50" t="e">
        <f ca="1">Tableau1[[#This Row],[Leadtime SI2C]]+Tableau1[[#This Row],[First Receipt Days]]-Tableau1[[#This Row],[Day Customer Order]]+1</f>
        <v>#N/A</v>
      </c>
      <c r="AW331" s="117" t="e">
        <f ca="1">IF(Tableau1[[#This Row],[Name ILN]]&lt;&gt;"SFK Freight Forwarder",Tableau1[[#This Row],[Cust. Leadtime]],Tableau1[[#This Row],[Leadtime SI2C]])</f>
        <v>#N/A</v>
      </c>
      <c r="AX331" s="57" t="e">
        <f>VLOOKUP(Tableau1[[#This Row],[ID]],'DATA BTO'!B:P,15,FALSE)</f>
        <v>#N/A</v>
      </c>
      <c r="AY331" s="328" t="e">
        <f ca="1">IFERROR(VLOOKUP(Tableau1[[#This Row],[Key(ID-Actif)]],'DATA BTO'!A:N,4,FALSE),VLOOKUP(Tableau1[[#This Row],[ID]],'DATA BTO'!B:N,3,FALSE))</f>
        <v>#N/A</v>
      </c>
      <c r="AZ33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1" s="50"/>
    </row>
    <row r="332" spans="2:57">
      <c r="B332" s="405" t="str">
        <f>_xlfn.CONCAT(Tableau1[[#This Row],[Name ILN]],"-",Tableau1[[#This Row],[Name Shipper]],"-",Tableau1[[#This Row],[Name Site]])</f>
        <v>--</v>
      </c>
      <c r="C332" s="64" t="e">
        <f>_xlfn.CONCAT(Tableau1[[#This Row],[Compte ILN]],"-",Tableau1[[#This Row],[Compte Shipper]],"-",Tableau1[[#This Row],[POL]],"-",Tableau1[[#This Row],[Compte Consignee]])</f>
        <v>#N/A</v>
      </c>
      <c r="D332" s="64" t="e">
        <f>_xlfn.CONCAT(Tableau1[[#This Row],[Compte ILN]],"-",Tableau1[[#This Row],[Compte Shipper]],"-",Tableau1[[#This Row],[POL]])</f>
        <v>#N/A</v>
      </c>
      <c r="E332" s="128" t="e">
        <f ca="1">_xlfn.CONCAT(Tableau1[[#This Row],[POL]],"-",Tableau1[[#This Row],[Carrier]],"-",Tableau1[[#This Row],[POD]])</f>
        <v>#N/A</v>
      </c>
      <c r="F332" s="64" t="str">
        <f>_xlfn.CONCAT(Tableau1[[#This Row],[ID]],"-","Actif")</f>
        <v>-Actif</v>
      </c>
      <c r="G332" s="64" t="e">
        <f ca="1">_xlfn.CONCAT(Tableau1[[#This Row],[POD]],"-",Tableau1[[#This Row],[Code PFI]],"-",Tableau1[[#This Row],[Compte Consignee]])</f>
        <v>#N/A</v>
      </c>
      <c r="H33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2" s="117" t="str">
        <f ca="1">IF(COUNTIF(I:I,Tableau1[[#This Row],[Plant-ILN-shipper-POL-Carrier-POD-PFI]])=1,"Non","Oui")</f>
        <v>Oui</v>
      </c>
      <c r="K332" s="126" t="e">
        <f>VLOOKUP(Tableau1[[#This Row],[Name Site]],Plant_AILN!A:D,4,FALSE)</f>
        <v>#N/A</v>
      </c>
      <c r="L332" s="363"/>
      <c r="M332" s="492" t="e">
        <f>VLOOKUP(Tableau1[[#This Row],[Name Site]],Plant_AILN!A:C,3,FALSE)</f>
        <v>#N/A</v>
      </c>
      <c r="N332" s="55" t="e">
        <f>VLOOKUP(Tableau1[[#This Row],[Compte Consignee]],Order!C:D,2,FALSE)</f>
        <v>#N/A</v>
      </c>
      <c r="O332" s="122"/>
      <c r="P332" s="481" t="e">
        <f>VLOOKUP(Tableau1[[#This Row],[Name ILN]],Plant_AILN!F:G,2,FALSE)</f>
        <v>#N/A</v>
      </c>
      <c r="Q332" s="50" t="e">
        <f>VLOOKUP(Tableau1[[#This Row],[Compte ILN]],'DATA ILN'!D:I,6,FALSE)</f>
        <v>#N/A</v>
      </c>
      <c r="R332" s="50" t="e">
        <f>IFERROR(VLOOKUP(Tableau1[[#This Row],[Key(Compte ILN - shipper - POL - plant)]],'DATA ILN'!A:J,10,FALSE),VLOOKUP(Tableau1[[#This Row],[Key(Compte ILN - shipper - POL)]],'DATA ILN'!B:J,9,FALSE))</f>
        <v>#N/A</v>
      </c>
      <c r="S332" s="50" t="e">
        <f>IFERROR(VLOOKUP(Tableau1[[#This Row],[Key(Compte ILN - shipper - POL - plant)]],'DATA ILN'!A:K,11,FALSE),VLOOKUP(Tableau1[[#This Row],[Key(Compte ILN - shipper - POL)]],'DATA ILN'!B:K,10,FALSE))</f>
        <v>#N/A</v>
      </c>
      <c r="T332" s="50" t="e">
        <f>IFERROR(VLOOKUP(Tableau1[[#This Row],[Key(Compte ILN - shipper - POL - plant)]],'DATA ILN'!A:L,12,FALSE),VLOOKUP(Tableau1[[#This Row],[Key(Compte ILN - shipper - POL)]],'DATA ILN'!B:L,11,FALSE))</f>
        <v>#N/A</v>
      </c>
      <c r="U332" s="50" t="e">
        <f>Tableau1[[#This Row],[Day ILN Order]]+Tableau1[[#This Row],[Delivery time to ILN/Shipper]]-1</f>
        <v>#N/A</v>
      </c>
      <c r="V332" s="50" t="e">
        <f>IFERROR(VLOOKUP(Tableau1[[#This Row],[Key(Compte ILN - shipper - POL - plant)]],'DATA ILN'!A:N,14,FALSE),VLOOKUP(Tableau1[[#This Row],[Key(Compte ILN - shipper - POL)]],'DATA ILN'!B:N,13,FALSE))</f>
        <v>#N/A</v>
      </c>
      <c r="W332" s="50" t="e">
        <f>IFERROR(VLOOKUP(Tableau1[[#This Row],[Key(Compte ILN - shipper - POL - plant)]],'DATA ILN'!A:P,16,FALSE),VLOOKUP(Tableau1[[#This Row],[Key(Compte ILN - shipper - POL)]],'DATA ILN'!B:P,15,FALSE))</f>
        <v>#N/A</v>
      </c>
      <c r="X332" s="283"/>
      <c r="Y332" s="489">
        <f>IFERROR(VLOOKUP(Tableau1[[#This Row],[Name Shipper]],Plant_AILN!L:M,2,FALSE),0)</f>
        <v>0</v>
      </c>
      <c r="Z332" s="358"/>
      <c r="AA332" s="353" t="e">
        <f ca="1">VLOOKUP(Tableau1[[#This Row],[Key(ID-Actif)]],'DATA BTO'!A:N,5,FALSE)</f>
        <v>#N/A</v>
      </c>
      <c r="AB332" s="3" t="e">
        <f ca="1">VLOOKUP(Tableau1[[#This Row],[Key(ID-Actif)]],'DATA BTO'!A:N,6,FALSE)</f>
        <v>#N/A</v>
      </c>
      <c r="AC332" s="50" t="e">
        <f ca="1">VLOOKUP(Tableau1[[#This Row],[Key(ID-Actif)]],'DATA BTO'!A:N,7,FALSE)</f>
        <v>#N/A</v>
      </c>
      <c r="AD332" s="50" t="e">
        <f ca="1">VLOOKUP(Tableau1[[#This Row],[Key(ID-Actif)]],'DATA BTO'!A:N,8,FALSE)</f>
        <v>#N/A</v>
      </c>
      <c r="AE332" s="406" t="e">
        <f ca="1">IF(Tableau1[[#This Row],[First Day to POL]]&lt;=Tableau1[[#This Row],[Day Cut Off]],Tableau1[[#This Row],[Day ETD]],Tableau1[[#This Row],[Day ETD]]+7)</f>
        <v>#N/A</v>
      </c>
      <c r="AF332" s="50" t="e">
        <f ca="1">VLOOKUP(Tableau1[[#This Row],[Key(ID-Actif)]],'DATA BTO'!A:N,9,FALSE)</f>
        <v>#N/A</v>
      </c>
      <c r="AG332" s="3" t="e">
        <f ca="1">VLOOKUP(Tableau1[[#This Row],[Key(ID-Actif)]],'DATA BTO'!A:N,10,FALSE)</f>
        <v>#N/A</v>
      </c>
      <c r="AH332" s="3" t="e">
        <f ca="1">VLOOKUP(Tableau1[[#This Row],[Key(ID-Actif)]],'DATA BTO'!A:N,11,FALSE)</f>
        <v>#N/A</v>
      </c>
      <c r="AI332" s="50" t="e">
        <f ca="1">VLOOKUP(Tableau1[[#This Row],[Key(ID-Actif)]],'DATA BTO'!A:N,12,FALSE)</f>
        <v>#N/A</v>
      </c>
      <c r="AJ332" s="53" t="e">
        <f ca="1">VLOOKUP(Tableau1[[#This Row],[Key(ID-Actif)]],'DATA BTO'!A:N,14,FALSE)</f>
        <v>#N/A</v>
      </c>
      <c r="AK332" s="54" t="e">
        <f ca="1">VLOOKUP(Tableau1[[#This Row],[Key(POD -PFI- Usine)]],'DATA Consignee'!A:F,6,FALSE)</f>
        <v>#N/A</v>
      </c>
      <c r="AL332" s="283"/>
      <c r="AM332" s="490" t="str">
        <f>IF(Tableau1[[#This Row],[Name PFI/CDD]]="","-",VLOOKUP(Tableau1[[#This Row],[Name PFI/CDD]],Plant_AILN!I:J,2,FALSE))</f>
        <v>-</v>
      </c>
      <c r="AN33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2" s="2" t="e">
        <f ca="1">VLOOKUP(Tableau1[[#This Row],[Key(POD -PFI- Usine)]],'DATA Consignee'!A:J,10,FALSE)</f>
        <v>#N/A</v>
      </c>
      <c r="AQ332" s="50" t="e">
        <f ca="1">VLOOKUP(Tableau1[[#This Row],[Key(POD -PFI- Usine)]],'DATA Consignee'!A:N,14,FALSE)</f>
        <v>#N/A</v>
      </c>
      <c r="AR33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2" s="50" t="e">
        <f ca="1">Tableau1[[#This Row],[Transit time]]+Tableau1[[#This Row],[Time for security]]+Tableau1[[#This Row],[Time for security2 buffer]]</f>
        <v>#N/A</v>
      </c>
      <c r="AU33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2" s="50" t="e">
        <f ca="1">Tableau1[[#This Row],[Leadtime SI2C]]+Tableau1[[#This Row],[First Receipt Days]]-Tableau1[[#This Row],[Day Customer Order]]+1</f>
        <v>#N/A</v>
      </c>
      <c r="AW332" s="117" t="e">
        <f ca="1">IF(Tableau1[[#This Row],[Name ILN]]&lt;&gt;"SFK Freight Forwarder",Tableau1[[#This Row],[Cust. Leadtime]],Tableau1[[#This Row],[Leadtime SI2C]])</f>
        <v>#N/A</v>
      </c>
      <c r="AX332" s="57" t="e">
        <f>VLOOKUP(Tableau1[[#This Row],[ID]],'DATA BTO'!B:P,15,FALSE)</f>
        <v>#N/A</v>
      </c>
      <c r="AY332" s="328" t="e">
        <f ca="1">IFERROR(VLOOKUP(Tableau1[[#This Row],[Key(ID-Actif)]],'DATA BTO'!A:N,4,FALSE),VLOOKUP(Tableau1[[#This Row],[ID]],'DATA BTO'!B:N,3,FALSE))</f>
        <v>#N/A</v>
      </c>
      <c r="AZ33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2" s="50"/>
    </row>
    <row r="333" spans="2:57">
      <c r="B333" s="405" t="str">
        <f>_xlfn.CONCAT(Tableau1[[#This Row],[Name ILN]],"-",Tableau1[[#This Row],[Name Shipper]],"-",Tableau1[[#This Row],[Name Site]])</f>
        <v>--</v>
      </c>
      <c r="C333" s="64" t="e">
        <f>_xlfn.CONCAT(Tableau1[[#This Row],[Compte ILN]],"-",Tableau1[[#This Row],[Compte Shipper]],"-",Tableau1[[#This Row],[POL]],"-",Tableau1[[#This Row],[Compte Consignee]])</f>
        <v>#N/A</v>
      </c>
      <c r="D333" s="64" t="e">
        <f>_xlfn.CONCAT(Tableau1[[#This Row],[Compte ILN]],"-",Tableau1[[#This Row],[Compte Shipper]],"-",Tableau1[[#This Row],[POL]])</f>
        <v>#N/A</v>
      </c>
      <c r="E333" s="128" t="e">
        <f ca="1">_xlfn.CONCAT(Tableau1[[#This Row],[POL]],"-",Tableau1[[#This Row],[Carrier]],"-",Tableau1[[#This Row],[POD]])</f>
        <v>#N/A</v>
      </c>
      <c r="F333" s="64" t="str">
        <f>_xlfn.CONCAT(Tableau1[[#This Row],[ID]],"-","Actif")</f>
        <v>-Actif</v>
      </c>
      <c r="G333" s="64" t="e">
        <f ca="1">_xlfn.CONCAT(Tableau1[[#This Row],[POD]],"-",Tableau1[[#This Row],[Code PFI]],"-",Tableau1[[#This Row],[Compte Consignee]])</f>
        <v>#N/A</v>
      </c>
      <c r="H33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3" s="117" t="str">
        <f ca="1">IF(COUNTIF(I:I,Tableau1[[#This Row],[Plant-ILN-shipper-POL-Carrier-POD-PFI]])=1,"Non","Oui")</f>
        <v>Oui</v>
      </c>
      <c r="K333" s="126" t="e">
        <f>VLOOKUP(Tableau1[[#This Row],[Name Site]],Plant_AILN!A:D,4,FALSE)</f>
        <v>#N/A</v>
      </c>
      <c r="L333" s="363"/>
      <c r="M333" s="492" t="e">
        <f>VLOOKUP(Tableau1[[#This Row],[Name Site]],Plant_AILN!A:C,3,FALSE)</f>
        <v>#N/A</v>
      </c>
      <c r="N333" s="55" t="e">
        <f>VLOOKUP(Tableau1[[#This Row],[Compte Consignee]],Order!C:D,2,FALSE)</f>
        <v>#N/A</v>
      </c>
      <c r="O333" s="122"/>
      <c r="P333" s="481" t="e">
        <f>VLOOKUP(Tableau1[[#This Row],[Name ILN]],Plant_AILN!F:G,2,FALSE)</f>
        <v>#N/A</v>
      </c>
      <c r="Q333" s="50" t="e">
        <f>VLOOKUP(Tableau1[[#This Row],[Compte ILN]],'DATA ILN'!D:I,6,FALSE)</f>
        <v>#N/A</v>
      </c>
      <c r="R333" s="50" t="e">
        <f>IFERROR(VLOOKUP(Tableau1[[#This Row],[Key(Compte ILN - shipper - POL - plant)]],'DATA ILN'!A:J,10,FALSE),VLOOKUP(Tableau1[[#This Row],[Key(Compte ILN - shipper - POL)]],'DATA ILN'!B:J,9,FALSE))</f>
        <v>#N/A</v>
      </c>
      <c r="S333" s="50" t="e">
        <f>IFERROR(VLOOKUP(Tableau1[[#This Row],[Key(Compte ILN - shipper - POL - plant)]],'DATA ILN'!A:K,11,FALSE),VLOOKUP(Tableau1[[#This Row],[Key(Compte ILN - shipper - POL)]],'DATA ILN'!B:K,10,FALSE))</f>
        <v>#N/A</v>
      </c>
      <c r="T333" s="50" t="e">
        <f>IFERROR(VLOOKUP(Tableau1[[#This Row],[Key(Compte ILN - shipper - POL - plant)]],'DATA ILN'!A:L,12,FALSE),VLOOKUP(Tableau1[[#This Row],[Key(Compte ILN - shipper - POL)]],'DATA ILN'!B:L,11,FALSE))</f>
        <v>#N/A</v>
      </c>
      <c r="U333" s="50" t="e">
        <f>Tableau1[[#This Row],[Day ILN Order]]+Tableau1[[#This Row],[Delivery time to ILN/Shipper]]-1</f>
        <v>#N/A</v>
      </c>
      <c r="V333" s="50" t="e">
        <f>IFERROR(VLOOKUP(Tableau1[[#This Row],[Key(Compte ILN - shipper - POL - plant)]],'DATA ILN'!A:N,14,FALSE),VLOOKUP(Tableau1[[#This Row],[Key(Compte ILN - shipper - POL)]],'DATA ILN'!B:N,13,FALSE))</f>
        <v>#N/A</v>
      </c>
      <c r="W333" s="50" t="e">
        <f>IFERROR(VLOOKUP(Tableau1[[#This Row],[Key(Compte ILN - shipper - POL - plant)]],'DATA ILN'!A:P,16,FALSE),VLOOKUP(Tableau1[[#This Row],[Key(Compte ILN - shipper - POL)]],'DATA ILN'!B:P,15,FALSE))</f>
        <v>#N/A</v>
      </c>
      <c r="X333" s="283"/>
      <c r="Y333" s="489">
        <f>IFERROR(VLOOKUP(Tableau1[[#This Row],[Name Shipper]],Plant_AILN!L:M,2,FALSE),0)</f>
        <v>0</v>
      </c>
      <c r="Z333" s="358"/>
      <c r="AA333" s="353" t="e">
        <f ca="1">VLOOKUP(Tableau1[[#This Row],[Key(ID-Actif)]],'DATA BTO'!A:N,5,FALSE)</f>
        <v>#N/A</v>
      </c>
      <c r="AB333" s="3" t="e">
        <f ca="1">VLOOKUP(Tableau1[[#This Row],[Key(ID-Actif)]],'DATA BTO'!A:N,6,FALSE)</f>
        <v>#N/A</v>
      </c>
      <c r="AC333" s="50" t="e">
        <f ca="1">VLOOKUP(Tableau1[[#This Row],[Key(ID-Actif)]],'DATA BTO'!A:N,7,FALSE)</f>
        <v>#N/A</v>
      </c>
      <c r="AD333" s="50" t="e">
        <f ca="1">VLOOKUP(Tableau1[[#This Row],[Key(ID-Actif)]],'DATA BTO'!A:N,8,FALSE)</f>
        <v>#N/A</v>
      </c>
      <c r="AE333" s="406" t="e">
        <f ca="1">IF(Tableau1[[#This Row],[First Day to POL]]&lt;=Tableau1[[#This Row],[Day Cut Off]],Tableau1[[#This Row],[Day ETD]],Tableau1[[#This Row],[Day ETD]]+7)</f>
        <v>#N/A</v>
      </c>
      <c r="AF333" s="50" t="e">
        <f ca="1">VLOOKUP(Tableau1[[#This Row],[Key(ID-Actif)]],'DATA BTO'!A:N,9,FALSE)</f>
        <v>#N/A</v>
      </c>
      <c r="AG333" s="3" t="e">
        <f ca="1">VLOOKUP(Tableau1[[#This Row],[Key(ID-Actif)]],'DATA BTO'!A:N,10,FALSE)</f>
        <v>#N/A</v>
      </c>
      <c r="AH333" s="3" t="e">
        <f ca="1">VLOOKUP(Tableau1[[#This Row],[Key(ID-Actif)]],'DATA BTO'!A:N,11,FALSE)</f>
        <v>#N/A</v>
      </c>
      <c r="AI333" s="50" t="e">
        <f ca="1">VLOOKUP(Tableau1[[#This Row],[Key(ID-Actif)]],'DATA BTO'!A:N,12,FALSE)</f>
        <v>#N/A</v>
      </c>
      <c r="AJ333" s="53" t="e">
        <f ca="1">VLOOKUP(Tableau1[[#This Row],[Key(ID-Actif)]],'DATA BTO'!A:N,14,FALSE)</f>
        <v>#N/A</v>
      </c>
      <c r="AK333" s="54" t="e">
        <f ca="1">VLOOKUP(Tableau1[[#This Row],[Key(POD -PFI- Usine)]],'DATA Consignee'!A:F,6,FALSE)</f>
        <v>#N/A</v>
      </c>
      <c r="AL333" s="283"/>
      <c r="AM333" s="490" t="str">
        <f>IF(Tableau1[[#This Row],[Name PFI/CDD]]="","-",VLOOKUP(Tableau1[[#This Row],[Name PFI/CDD]],Plant_AILN!I:J,2,FALSE))</f>
        <v>-</v>
      </c>
      <c r="AN33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3" s="2" t="e">
        <f ca="1">VLOOKUP(Tableau1[[#This Row],[Key(POD -PFI- Usine)]],'DATA Consignee'!A:J,10,FALSE)</f>
        <v>#N/A</v>
      </c>
      <c r="AQ333" s="50" t="e">
        <f ca="1">VLOOKUP(Tableau1[[#This Row],[Key(POD -PFI- Usine)]],'DATA Consignee'!A:N,14,FALSE)</f>
        <v>#N/A</v>
      </c>
      <c r="AR33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3" s="50" t="e">
        <f ca="1">Tableau1[[#This Row],[Transit time]]+Tableau1[[#This Row],[Time for security]]+Tableau1[[#This Row],[Time for security2 buffer]]</f>
        <v>#N/A</v>
      </c>
      <c r="AU33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3" s="50" t="e">
        <f ca="1">Tableau1[[#This Row],[Leadtime SI2C]]+Tableau1[[#This Row],[First Receipt Days]]-Tableau1[[#This Row],[Day Customer Order]]+1</f>
        <v>#N/A</v>
      </c>
      <c r="AW333" s="117" t="e">
        <f ca="1">IF(Tableau1[[#This Row],[Name ILN]]&lt;&gt;"SFK Freight Forwarder",Tableau1[[#This Row],[Cust. Leadtime]],Tableau1[[#This Row],[Leadtime SI2C]])</f>
        <v>#N/A</v>
      </c>
      <c r="AX333" s="57" t="e">
        <f>VLOOKUP(Tableau1[[#This Row],[ID]],'DATA BTO'!B:P,15,FALSE)</f>
        <v>#N/A</v>
      </c>
      <c r="AY333" s="328" t="e">
        <f ca="1">IFERROR(VLOOKUP(Tableau1[[#This Row],[Key(ID-Actif)]],'DATA BTO'!A:N,4,FALSE),VLOOKUP(Tableau1[[#This Row],[ID]],'DATA BTO'!B:N,3,FALSE))</f>
        <v>#N/A</v>
      </c>
      <c r="AZ33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3" s="50"/>
    </row>
    <row r="334" spans="2:57">
      <c r="B334" s="405" t="str">
        <f>_xlfn.CONCAT(Tableau1[[#This Row],[Name ILN]],"-",Tableau1[[#This Row],[Name Shipper]],"-",Tableau1[[#This Row],[Name Site]])</f>
        <v>--</v>
      </c>
      <c r="C334" s="64" t="e">
        <f>_xlfn.CONCAT(Tableau1[[#This Row],[Compte ILN]],"-",Tableau1[[#This Row],[Compte Shipper]],"-",Tableau1[[#This Row],[POL]],"-",Tableau1[[#This Row],[Compte Consignee]])</f>
        <v>#N/A</v>
      </c>
      <c r="D334" s="64" t="e">
        <f>_xlfn.CONCAT(Tableau1[[#This Row],[Compte ILN]],"-",Tableau1[[#This Row],[Compte Shipper]],"-",Tableau1[[#This Row],[POL]])</f>
        <v>#N/A</v>
      </c>
      <c r="E334" s="128" t="e">
        <f ca="1">_xlfn.CONCAT(Tableau1[[#This Row],[POL]],"-",Tableau1[[#This Row],[Carrier]],"-",Tableau1[[#This Row],[POD]])</f>
        <v>#N/A</v>
      </c>
      <c r="F334" s="64" t="str">
        <f>_xlfn.CONCAT(Tableau1[[#This Row],[ID]],"-","Actif")</f>
        <v>-Actif</v>
      </c>
      <c r="G334" s="64" t="e">
        <f ca="1">_xlfn.CONCAT(Tableau1[[#This Row],[POD]],"-",Tableau1[[#This Row],[Code PFI]],"-",Tableau1[[#This Row],[Compte Consignee]])</f>
        <v>#N/A</v>
      </c>
      <c r="H33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4" s="117" t="str">
        <f ca="1">IF(COUNTIF(I:I,Tableau1[[#This Row],[Plant-ILN-shipper-POL-Carrier-POD-PFI]])=1,"Non","Oui")</f>
        <v>Oui</v>
      </c>
      <c r="K334" s="126" t="e">
        <f>VLOOKUP(Tableau1[[#This Row],[Name Site]],Plant_AILN!A:D,4,FALSE)</f>
        <v>#N/A</v>
      </c>
      <c r="L334" s="363"/>
      <c r="M334" s="492" t="e">
        <f>VLOOKUP(Tableau1[[#This Row],[Name Site]],Plant_AILN!A:C,3,FALSE)</f>
        <v>#N/A</v>
      </c>
      <c r="N334" s="55" t="e">
        <f>VLOOKUP(Tableau1[[#This Row],[Compte Consignee]],Order!C:D,2,FALSE)</f>
        <v>#N/A</v>
      </c>
      <c r="O334" s="122"/>
      <c r="P334" s="481" t="e">
        <f>VLOOKUP(Tableau1[[#This Row],[Name ILN]],Plant_AILN!F:G,2,FALSE)</f>
        <v>#N/A</v>
      </c>
      <c r="Q334" s="50" t="e">
        <f>VLOOKUP(Tableau1[[#This Row],[Compte ILN]],'DATA ILN'!D:I,6,FALSE)</f>
        <v>#N/A</v>
      </c>
      <c r="R334" s="50" t="e">
        <f>IFERROR(VLOOKUP(Tableau1[[#This Row],[Key(Compte ILN - shipper - POL - plant)]],'DATA ILN'!A:J,10,FALSE),VLOOKUP(Tableau1[[#This Row],[Key(Compte ILN - shipper - POL)]],'DATA ILN'!B:J,9,FALSE))</f>
        <v>#N/A</v>
      </c>
      <c r="S334" s="50" t="e">
        <f>IFERROR(VLOOKUP(Tableau1[[#This Row],[Key(Compte ILN - shipper - POL - plant)]],'DATA ILN'!A:K,11,FALSE),VLOOKUP(Tableau1[[#This Row],[Key(Compte ILN - shipper - POL)]],'DATA ILN'!B:K,10,FALSE))</f>
        <v>#N/A</v>
      </c>
      <c r="T334" s="50" t="e">
        <f>IFERROR(VLOOKUP(Tableau1[[#This Row],[Key(Compte ILN - shipper - POL - plant)]],'DATA ILN'!A:L,12,FALSE),VLOOKUP(Tableau1[[#This Row],[Key(Compte ILN - shipper - POL)]],'DATA ILN'!B:L,11,FALSE))</f>
        <v>#N/A</v>
      </c>
      <c r="U334" s="50" t="e">
        <f>Tableau1[[#This Row],[Day ILN Order]]+Tableau1[[#This Row],[Delivery time to ILN/Shipper]]-1</f>
        <v>#N/A</v>
      </c>
      <c r="V334" s="50" t="e">
        <f>IFERROR(VLOOKUP(Tableau1[[#This Row],[Key(Compte ILN - shipper - POL - plant)]],'DATA ILN'!A:N,14,FALSE),VLOOKUP(Tableau1[[#This Row],[Key(Compte ILN - shipper - POL)]],'DATA ILN'!B:N,13,FALSE))</f>
        <v>#N/A</v>
      </c>
      <c r="W334" s="50" t="e">
        <f>IFERROR(VLOOKUP(Tableau1[[#This Row],[Key(Compte ILN - shipper - POL - plant)]],'DATA ILN'!A:P,16,FALSE),VLOOKUP(Tableau1[[#This Row],[Key(Compte ILN - shipper - POL)]],'DATA ILN'!B:P,15,FALSE))</f>
        <v>#N/A</v>
      </c>
      <c r="X334" s="283"/>
      <c r="Y334" s="489">
        <f>IFERROR(VLOOKUP(Tableau1[[#This Row],[Name Shipper]],Plant_AILN!L:M,2,FALSE),0)</f>
        <v>0</v>
      </c>
      <c r="Z334" s="358"/>
      <c r="AA334" s="353" t="e">
        <f ca="1">VLOOKUP(Tableau1[[#This Row],[Key(ID-Actif)]],'DATA BTO'!A:N,5,FALSE)</f>
        <v>#N/A</v>
      </c>
      <c r="AB334" s="3" t="e">
        <f ca="1">VLOOKUP(Tableau1[[#This Row],[Key(ID-Actif)]],'DATA BTO'!A:N,6,FALSE)</f>
        <v>#N/A</v>
      </c>
      <c r="AC334" s="50" t="e">
        <f ca="1">VLOOKUP(Tableau1[[#This Row],[Key(ID-Actif)]],'DATA BTO'!A:N,7,FALSE)</f>
        <v>#N/A</v>
      </c>
      <c r="AD334" s="50" t="e">
        <f ca="1">VLOOKUP(Tableau1[[#This Row],[Key(ID-Actif)]],'DATA BTO'!A:N,8,FALSE)</f>
        <v>#N/A</v>
      </c>
      <c r="AE334" s="406" t="e">
        <f ca="1">IF(Tableau1[[#This Row],[First Day to POL]]&lt;=Tableau1[[#This Row],[Day Cut Off]],Tableau1[[#This Row],[Day ETD]],Tableau1[[#This Row],[Day ETD]]+7)</f>
        <v>#N/A</v>
      </c>
      <c r="AF334" s="50" t="e">
        <f ca="1">VLOOKUP(Tableau1[[#This Row],[Key(ID-Actif)]],'DATA BTO'!A:N,9,FALSE)</f>
        <v>#N/A</v>
      </c>
      <c r="AG334" s="3" t="e">
        <f ca="1">VLOOKUP(Tableau1[[#This Row],[Key(ID-Actif)]],'DATA BTO'!A:N,10,FALSE)</f>
        <v>#N/A</v>
      </c>
      <c r="AH334" s="3" t="e">
        <f ca="1">VLOOKUP(Tableau1[[#This Row],[Key(ID-Actif)]],'DATA BTO'!A:N,11,FALSE)</f>
        <v>#N/A</v>
      </c>
      <c r="AI334" s="50" t="e">
        <f ca="1">VLOOKUP(Tableau1[[#This Row],[Key(ID-Actif)]],'DATA BTO'!A:N,12,FALSE)</f>
        <v>#N/A</v>
      </c>
      <c r="AJ334" s="53" t="e">
        <f ca="1">VLOOKUP(Tableau1[[#This Row],[Key(ID-Actif)]],'DATA BTO'!A:N,14,FALSE)</f>
        <v>#N/A</v>
      </c>
      <c r="AK334" s="54" t="e">
        <f ca="1">VLOOKUP(Tableau1[[#This Row],[Key(POD -PFI- Usine)]],'DATA Consignee'!A:F,6,FALSE)</f>
        <v>#N/A</v>
      </c>
      <c r="AL334" s="283"/>
      <c r="AM334" s="490" t="str">
        <f>IF(Tableau1[[#This Row],[Name PFI/CDD]]="","-",VLOOKUP(Tableau1[[#This Row],[Name PFI/CDD]],Plant_AILN!I:J,2,FALSE))</f>
        <v>-</v>
      </c>
      <c r="AN33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4" s="2" t="e">
        <f ca="1">VLOOKUP(Tableau1[[#This Row],[Key(POD -PFI- Usine)]],'DATA Consignee'!A:J,10,FALSE)</f>
        <v>#N/A</v>
      </c>
      <c r="AQ334" s="50" t="e">
        <f ca="1">VLOOKUP(Tableau1[[#This Row],[Key(POD -PFI- Usine)]],'DATA Consignee'!A:N,14,FALSE)</f>
        <v>#N/A</v>
      </c>
      <c r="AR33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4" s="50" t="e">
        <f ca="1">Tableau1[[#This Row],[Transit time]]+Tableau1[[#This Row],[Time for security]]+Tableau1[[#This Row],[Time for security2 buffer]]</f>
        <v>#N/A</v>
      </c>
      <c r="AU33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4" s="50" t="e">
        <f ca="1">Tableau1[[#This Row],[Leadtime SI2C]]+Tableau1[[#This Row],[First Receipt Days]]-Tableau1[[#This Row],[Day Customer Order]]+1</f>
        <v>#N/A</v>
      </c>
      <c r="AW334" s="117" t="e">
        <f ca="1">IF(Tableau1[[#This Row],[Name ILN]]&lt;&gt;"SFK Freight Forwarder",Tableau1[[#This Row],[Cust. Leadtime]],Tableau1[[#This Row],[Leadtime SI2C]])</f>
        <v>#N/A</v>
      </c>
      <c r="AX334" s="57" t="e">
        <f>VLOOKUP(Tableau1[[#This Row],[ID]],'DATA BTO'!B:P,15,FALSE)</f>
        <v>#N/A</v>
      </c>
      <c r="AY334" s="328" t="e">
        <f ca="1">IFERROR(VLOOKUP(Tableau1[[#This Row],[Key(ID-Actif)]],'DATA BTO'!A:N,4,FALSE),VLOOKUP(Tableau1[[#This Row],[ID]],'DATA BTO'!B:N,3,FALSE))</f>
        <v>#N/A</v>
      </c>
      <c r="AZ33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4" s="50"/>
    </row>
    <row r="335" spans="2:57">
      <c r="B335" s="405" t="str">
        <f>_xlfn.CONCAT(Tableau1[[#This Row],[Name ILN]],"-",Tableau1[[#This Row],[Name Shipper]],"-",Tableau1[[#This Row],[Name Site]])</f>
        <v>--</v>
      </c>
      <c r="C335" s="64" t="e">
        <f>_xlfn.CONCAT(Tableau1[[#This Row],[Compte ILN]],"-",Tableau1[[#This Row],[Compte Shipper]],"-",Tableau1[[#This Row],[POL]],"-",Tableau1[[#This Row],[Compte Consignee]])</f>
        <v>#N/A</v>
      </c>
      <c r="D335" s="64" t="e">
        <f>_xlfn.CONCAT(Tableau1[[#This Row],[Compte ILN]],"-",Tableau1[[#This Row],[Compte Shipper]],"-",Tableau1[[#This Row],[POL]])</f>
        <v>#N/A</v>
      </c>
      <c r="E335" s="128" t="e">
        <f ca="1">_xlfn.CONCAT(Tableau1[[#This Row],[POL]],"-",Tableau1[[#This Row],[Carrier]],"-",Tableau1[[#This Row],[POD]])</f>
        <v>#N/A</v>
      </c>
      <c r="F335" s="64" t="str">
        <f>_xlfn.CONCAT(Tableau1[[#This Row],[ID]],"-","Actif")</f>
        <v>-Actif</v>
      </c>
      <c r="G335" s="64" t="e">
        <f ca="1">_xlfn.CONCAT(Tableau1[[#This Row],[POD]],"-",Tableau1[[#This Row],[Code PFI]],"-",Tableau1[[#This Row],[Compte Consignee]])</f>
        <v>#N/A</v>
      </c>
      <c r="H33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5" s="117" t="str">
        <f ca="1">IF(COUNTIF(I:I,Tableau1[[#This Row],[Plant-ILN-shipper-POL-Carrier-POD-PFI]])=1,"Non","Oui")</f>
        <v>Oui</v>
      </c>
      <c r="K335" s="126" t="e">
        <f>VLOOKUP(Tableau1[[#This Row],[Name Site]],Plant_AILN!A:D,4,FALSE)</f>
        <v>#N/A</v>
      </c>
      <c r="L335" s="363"/>
      <c r="M335" s="492" t="e">
        <f>VLOOKUP(Tableau1[[#This Row],[Name Site]],Plant_AILN!A:C,3,FALSE)</f>
        <v>#N/A</v>
      </c>
      <c r="N335" s="55" t="e">
        <f>VLOOKUP(Tableau1[[#This Row],[Compte Consignee]],Order!C:D,2,FALSE)</f>
        <v>#N/A</v>
      </c>
      <c r="O335" s="122"/>
      <c r="P335" s="481" t="e">
        <f>VLOOKUP(Tableau1[[#This Row],[Name ILN]],Plant_AILN!F:G,2,FALSE)</f>
        <v>#N/A</v>
      </c>
      <c r="Q335" s="50" t="e">
        <f>VLOOKUP(Tableau1[[#This Row],[Compte ILN]],'DATA ILN'!D:I,6,FALSE)</f>
        <v>#N/A</v>
      </c>
      <c r="R335" s="50" t="e">
        <f>IFERROR(VLOOKUP(Tableau1[[#This Row],[Key(Compte ILN - shipper - POL - plant)]],'DATA ILN'!A:J,10,FALSE),VLOOKUP(Tableau1[[#This Row],[Key(Compte ILN - shipper - POL)]],'DATA ILN'!B:J,9,FALSE))</f>
        <v>#N/A</v>
      </c>
      <c r="S335" s="50" t="e">
        <f>IFERROR(VLOOKUP(Tableau1[[#This Row],[Key(Compte ILN - shipper - POL - plant)]],'DATA ILN'!A:K,11,FALSE),VLOOKUP(Tableau1[[#This Row],[Key(Compte ILN - shipper - POL)]],'DATA ILN'!B:K,10,FALSE))</f>
        <v>#N/A</v>
      </c>
      <c r="T335" s="50" t="e">
        <f>IFERROR(VLOOKUP(Tableau1[[#This Row],[Key(Compte ILN - shipper - POL - plant)]],'DATA ILN'!A:L,12,FALSE),VLOOKUP(Tableau1[[#This Row],[Key(Compte ILN - shipper - POL)]],'DATA ILN'!B:L,11,FALSE))</f>
        <v>#N/A</v>
      </c>
      <c r="U335" s="50" t="e">
        <f>Tableau1[[#This Row],[Day ILN Order]]+Tableau1[[#This Row],[Delivery time to ILN/Shipper]]-1</f>
        <v>#N/A</v>
      </c>
      <c r="V335" s="50" t="e">
        <f>IFERROR(VLOOKUP(Tableau1[[#This Row],[Key(Compte ILN - shipper - POL - plant)]],'DATA ILN'!A:N,14,FALSE),VLOOKUP(Tableau1[[#This Row],[Key(Compte ILN - shipper - POL)]],'DATA ILN'!B:N,13,FALSE))</f>
        <v>#N/A</v>
      </c>
      <c r="W335" s="50" t="e">
        <f>IFERROR(VLOOKUP(Tableau1[[#This Row],[Key(Compte ILN - shipper - POL - plant)]],'DATA ILN'!A:P,16,FALSE),VLOOKUP(Tableau1[[#This Row],[Key(Compte ILN - shipper - POL)]],'DATA ILN'!B:P,15,FALSE))</f>
        <v>#N/A</v>
      </c>
      <c r="X335" s="283"/>
      <c r="Y335" s="489">
        <f>IFERROR(VLOOKUP(Tableau1[[#This Row],[Name Shipper]],Plant_AILN!L:M,2,FALSE),0)</f>
        <v>0</v>
      </c>
      <c r="Z335" s="358"/>
      <c r="AA335" s="353" t="e">
        <f ca="1">VLOOKUP(Tableau1[[#This Row],[Key(ID-Actif)]],'DATA BTO'!A:N,5,FALSE)</f>
        <v>#N/A</v>
      </c>
      <c r="AB335" s="3" t="e">
        <f ca="1">VLOOKUP(Tableau1[[#This Row],[Key(ID-Actif)]],'DATA BTO'!A:N,6,FALSE)</f>
        <v>#N/A</v>
      </c>
      <c r="AC335" s="50" t="e">
        <f ca="1">VLOOKUP(Tableau1[[#This Row],[Key(ID-Actif)]],'DATA BTO'!A:N,7,FALSE)</f>
        <v>#N/A</v>
      </c>
      <c r="AD335" s="50" t="e">
        <f ca="1">VLOOKUP(Tableau1[[#This Row],[Key(ID-Actif)]],'DATA BTO'!A:N,8,FALSE)</f>
        <v>#N/A</v>
      </c>
      <c r="AE335" s="406" t="e">
        <f ca="1">IF(Tableau1[[#This Row],[First Day to POL]]&lt;=Tableau1[[#This Row],[Day Cut Off]],Tableau1[[#This Row],[Day ETD]],Tableau1[[#This Row],[Day ETD]]+7)</f>
        <v>#N/A</v>
      </c>
      <c r="AF335" s="50" t="e">
        <f ca="1">VLOOKUP(Tableau1[[#This Row],[Key(ID-Actif)]],'DATA BTO'!A:N,9,FALSE)</f>
        <v>#N/A</v>
      </c>
      <c r="AG335" s="3" t="e">
        <f ca="1">VLOOKUP(Tableau1[[#This Row],[Key(ID-Actif)]],'DATA BTO'!A:N,10,FALSE)</f>
        <v>#N/A</v>
      </c>
      <c r="AH335" s="3" t="e">
        <f ca="1">VLOOKUP(Tableau1[[#This Row],[Key(ID-Actif)]],'DATA BTO'!A:N,11,FALSE)</f>
        <v>#N/A</v>
      </c>
      <c r="AI335" s="50" t="e">
        <f ca="1">VLOOKUP(Tableau1[[#This Row],[Key(ID-Actif)]],'DATA BTO'!A:N,12,FALSE)</f>
        <v>#N/A</v>
      </c>
      <c r="AJ335" s="53" t="e">
        <f ca="1">VLOOKUP(Tableau1[[#This Row],[Key(ID-Actif)]],'DATA BTO'!A:N,14,FALSE)</f>
        <v>#N/A</v>
      </c>
      <c r="AK335" s="54" t="e">
        <f ca="1">VLOOKUP(Tableau1[[#This Row],[Key(POD -PFI- Usine)]],'DATA Consignee'!A:F,6,FALSE)</f>
        <v>#N/A</v>
      </c>
      <c r="AL335" s="283"/>
      <c r="AM335" s="490" t="str">
        <f>IF(Tableau1[[#This Row],[Name PFI/CDD]]="","-",VLOOKUP(Tableau1[[#This Row],[Name PFI/CDD]],Plant_AILN!I:J,2,FALSE))</f>
        <v>-</v>
      </c>
      <c r="AN33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5" s="2" t="e">
        <f ca="1">VLOOKUP(Tableau1[[#This Row],[Key(POD -PFI- Usine)]],'DATA Consignee'!A:J,10,FALSE)</f>
        <v>#N/A</v>
      </c>
      <c r="AQ335" s="50" t="e">
        <f ca="1">VLOOKUP(Tableau1[[#This Row],[Key(POD -PFI- Usine)]],'DATA Consignee'!A:N,14,FALSE)</f>
        <v>#N/A</v>
      </c>
      <c r="AR33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5" s="50" t="e">
        <f ca="1">Tableau1[[#This Row],[Transit time]]+Tableau1[[#This Row],[Time for security]]+Tableau1[[#This Row],[Time for security2 buffer]]</f>
        <v>#N/A</v>
      </c>
      <c r="AU33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5" s="50" t="e">
        <f ca="1">Tableau1[[#This Row],[Leadtime SI2C]]+Tableau1[[#This Row],[First Receipt Days]]-Tableau1[[#This Row],[Day Customer Order]]+1</f>
        <v>#N/A</v>
      </c>
      <c r="AW335" s="117" t="e">
        <f ca="1">IF(Tableau1[[#This Row],[Name ILN]]&lt;&gt;"SFK Freight Forwarder",Tableau1[[#This Row],[Cust. Leadtime]],Tableau1[[#This Row],[Leadtime SI2C]])</f>
        <v>#N/A</v>
      </c>
      <c r="AX335" s="57" t="e">
        <f>VLOOKUP(Tableau1[[#This Row],[ID]],'DATA BTO'!B:P,15,FALSE)</f>
        <v>#N/A</v>
      </c>
      <c r="AY335" s="328" t="e">
        <f ca="1">IFERROR(VLOOKUP(Tableau1[[#This Row],[Key(ID-Actif)]],'DATA BTO'!A:N,4,FALSE),VLOOKUP(Tableau1[[#This Row],[ID]],'DATA BTO'!B:N,3,FALSE))</f>
        <v>#N/A</v>
      </c>
      <c r="AZ33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5" s="50"/>
    </row>
    <row r="336" spans="2:57">
      <c r="B336" s="405" t="str">
        <f>_xlfn.CONCAT(Tableau1[[#This Row],[Name ILN]],"-",Tableau1[[#This Row],[Name Shipper]],"-",Tableau1[[#This Row],[Name Site]])</f>
        <v>--</v>
      </c>
      <c r="C336" s="64" t="e">
        <f>_xlfn.CONCAT(Tableau1[[#This Row],[Compte ILN]],"-",Tableau1[[#This Row],[Compte Shipper]],"-",Tableau1[[#This Row],[POL]],"-",Tableau1[[#This Row],[Compte Consignee]])</f>
        <v>#N/A</v>
      </c>
      <c r="D336" s="64" t="e">
        <f>_xlfn.CONCAT(Tableau1[[#This Row],[Compte ILN]],"-",Tableau1[[#This Row],[Compte Shipper]],"-",Tableau1[[#This Row],[POL]])</f>
        <v>#N/A</v>
      </c>
      <c r="E336" s="128" t="e">
        <f ca="1">_xlfn.CONCAT(Tableau1[[#This Row],[POL]],"-",Tableau1[[#This Row],[Carrier]],"-",Tableau1[[#This Row],[POD]])</f>
        <v>#N/A</v>
      </c>
      <c r="F336" s="64" t="str">
        <f>_xlfn.CONCAT(Tableau1[[#This Row],[ID]],"-","Actif")</f>
        <v>-Actif</v>
      </c>
      <c r="G336" s="64" t="e">
        <f ca="1">_xlfn.CONCAT(Tableau1[[#This Row],[POD]],"-",Tableau1[[#This Row],[Code PFI]],"-",Tableau1[[#This Row],[Compte Consignee]])</f>
        <v>#N/A</v>
      </c>
      <c r="H33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6" s="117" t="str">
        <f ca="1">IF(COUNTIF(I:I,Tableau1[[#This Row],[Plant-ILN-shipper-POL-Carrier-POD-PFI]])=1,"Non","Oui")</f>
        <v>Oui</v>
      </c>
      <c r="K336" s="126" t="e">
        <f>VLOOKUP(Tableau1[[#This Row],[Name Site]],Plant_AILN!A:D,4,FALSE)</f>
        <v>#N/A</v>
      </c>
      <c r="L336" s="363"/>
      <c r="M336" s="492" t="e">
        <f>VLOOKUP(Tableau1[[#This Row],[Name Site]],Plant_AILN!A:C,3,FALSE)</f>
        <v>#N/A</v>
      </c>
      <c r="N336" s="55">
        <v>7</v>
      </c>
      <c r="O336" s="122"/>
      <c r="P336" s="481" t="e">
        <f>VLOOKUP(Tableau1[[#This Row],[Name ILN]],Plant_AILN!F:G,2,FALSE)</f>
        <v>#N/A</v>
      </c>
      <c r="Q336" s="50">
        <v>9</v>
      </c>
      <c r="R336" s="50">
        <v>21</v>
      </c>
      <c r="S336" s="50" t="e">
        <f>IFERROR(VLOOKUP(Tableau1[[#This Row],[Key(Compte ILN - shipper - POL - plant)]],'DATA ILN'!A:K,11,FALSE),VLOOKUP(Tableau1[[#This Row],[Key(Compte ILN - shipper - POL)]],'DATA ILN'!B:K,10,FALSE))</f>
        <v>#N/A</v>
      </c>
      <c r="T336" s="50" t="e">
        <f>IFERROR(VLOOKUP(Tableau1[[#This Row],[Key(Compte ILN - shipper - POL - plant)]],'DATA ILN'!A:L,12,FALSE),VLOOKUP(Tableau1[[#This Row],[Key(Compte ILN - shipper - POL)]],'DATA ILN'!B:L,11,FALSE))</f>
        <v>#N/A</v>
      </c>
      <c r="U336" s="50">
        <f>Tableau1[[#This Row],[Day ILN Order]]+Tableau1[[#This Row],[Delivery time to ILN/Shipper]]-1</f>
        <v>29</v>
      </c>
      <c r="V336" s="50" t="e">
        <f>IFERROR(VLOOKUP(Tableau1[[#This Row],[Key(Compte ILN - shipper - POL - plant)]],'DATA ILN'!A:N,14,FALSE),VLOOKUP(Tableau1[[#This Row],[Key(Compte ILN - shipper - POL)]],'DATA ILN'!B:N,13,FALSE))</f>
        <v>#N/A</v>
      </c>
      <c r="W336" s="50" t="e">
        <f>IFERROR(VLOOKUP(Tableau1[[#This Row],[Key(Compte ILN - shipper - POL - plant)]],'DATA ILN'!A:P,16,FALSE),VLOOKUP(Tableau1[[#This Row],[Key(Compte ILN - shipper - POL)]],'DATA ILN'!B:P,15,FALSE))</f>
        <v>#N/A</v>
      </c>
      <c r="X336" s="283"/>
      <c r="Y336" s="489">
        <f>IFERROR(VLOOKUP(Tableau1[[#This Row],[Name Shipper]],Plant_AILN!L:M,2,FALSE),0)</f>
        <v>0</v>
      </c>
      <c r="Z336" s="358"/>
      <c r="AA336" s="353" t="e">
        <f ca="1">VLOOKUP(Tableau1[[#This Row],[Key(ID-Actif)]],'DATA BTO'!A:N,5,FALSE)</f>
        <v>#N/A</v>
      </c>
      <c r="AB336" s="3" t="e">
        <f ca="1">VLOOKUP(Tableau1[[#This Row],[Key(ID-Actif)]],'DATA BTO'!A:N,6,FALSE)</f>
        <v>#N/A</v>
      </c>
      <c r="AC336" s="50" t="e">
        <f ca="1">VLOOKUP(Tableau1[[#This Row],[Key(ID-Actif)]],'DATA BTO'!A:N,7,FALSE)</f>
        <v>#N/A</v>
      </c>
      <c r="AD336" s="50" t="e">
        <f ca="1">VLOOKUP(Tableau1[[#This Row],[Key(ID-Actif)]],'DATA BTO'!A:N,8,FALSE)</f>
        <v>#N/A</v>
      </c>
      <c r="AE336" s="406" t="e">
        <f ca="1">IF(Tableau1[[#This Row],[First Day to POL]]&lt;=Tableau1[[#This Row],[Day Cut Off]],Tableau1[[#This Row],[Day ETD]],Tableau1[[#This Row],[Day ETD]]+7)</f>
        <v>#N/A</v>
      </c>
      <c r="AF336" s="50" t="e">
        <f ca="1">VLOOKUP(Tableau1[[#This Row],[Key(ID-Actif)]],'DATA BTO'!A:N,9,FALSE)</f>
        <v>#N/A</v>
      </c>
      <c r="AG336" s="3" t="e">
        <f ca="1">VLOOKUP(Tableau1[[#This Row],[Key(ID-Actif)]],'DATA BTO'!A:N,10,FALSE)</f>
        <v>#N/A</v>
      </c>
      <c r="AH336" s="3" t="e">
        <f ca="1">VLOOKUP(Tableau1[[#This Row],[Key(ID-Actif)]],'DATA BTO'!A:N,11,FALSE)</f>
        <v>#N/A</v>
      </c>
      <c r="AI336" s="50" t="e">
        <f ca="1">VLOOKUP(Tableau1[[#This Row],[Key(ID-Actif)]],'DATA BTO'!A:N,12,FALSE)</f>
        <v>#N/A</v>
      </c>
      <c r="AJ336" s="53" t="e">
        <f ca="1">VLOOKUP(Tableau1[[#This Row],[Key(ID-Actif)]],'DATA BTO'!A:N,14,FALSE)</f>
        <v>#N/A</v>
      </c>
      <c r="AK336" s="54" t="e">
        <f ca="1">VLOOKUP(Tableau1[[#This Row],[Key(POD -PFI- Usine)]],'DATA Consignee'!A:F,6,FALSE)</f>
        <v>#N/A</v>
      </c>
      <c r="AL336" s="283"/>
      <c r="AM336" s="490" t="str">
        <f>IF(Tableau1[[#This Row],[Name PFI/CDD]]="","-",VLOOKUP(Tableau1[[#This Row],[Name PFI/CDD]],Plant_AILN!I:J,2,FALSE))</f>
        <v>-</v>
      </c>
      <c r="AN33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6" s="2" t="e">
        <f ca="1">VLOOKUP(Tableau1[[#This Row],[Key(POD -PFI- Usine)]],'DATA Consignee'!A:J,10,FALSE)</f>
        <v>#N/A</v>
      </c>
      <c r="AQ336" s="50" t="e">
        <f ca="1">VLOOKUP(Tableau1[[#This Row],[Key(POD -PFI- Usine)]],'DATA Consignee'!A:N,14,FALSE)</f>
        <v>#N/A</v>
      </c>
      <c r="AR33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6" s="50" t="e">
        <f ca="1">Tableau1[[#This Row],[Transit time]]+Tableau1[[#This Row],[Time for security]]+Tableau1[[#This Row],[Time for security2 buffer]]</f>
        <v>#N/A</v>
      </c>
      <c r="AU33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6" s="50" t="e">
        <f ca="1">Tableau1[[#This Row],[Leadtime SI2C]]+Tableau1[[#This Row],[First Receipt Days]]-Tableau1[[#This Row],[Day Customer Order]]+1</f>
        <v>#N/A</v>
      </c>
      <c r="AW336" s="117" t="e">
        <f ca="1">IF(Tableau1[[#This Row],[Name ILN]]&lt;&gt;"SFK Freight Forwarder",Tableau1[[#This Row],[Cust. Leadtime]],Tableau1[[#This Row],[Leadtime SI2C]])</f>
        <v>#N/A</v>
      </c>
      <c r="AX336" s="57" t="e">
        <f>VLOOKUP(Tableau1[[#This Row],[ID]],'DATA BTO'!B:P,15,FALSE)</f>
        <v>#N/A</v>
      </c>
      <c r="AY336" s="328" t="e">
        <f ca="1">IFERROR(VLOOKUP(Tableau1[[#This Row],[Key(ID-Actif)]],'DATA BTO'!A:N,4,FALSE),VLOOKUP(Tableau1[[#This Row],[ID]],'DATA BTO'!B:N,3,FALSE))</f>
        <v>#N/A</v>
      </c>
      <c r="AZ336" s="50" t="str">
        <f>IF(ISNUMBER(Tableau1[[#This Row],[Day Customer Order]]),"-","Please Check 'Name' information in 'Order' Sheet to make sure they have information")</f>
        <v>-</v>
      </c>
      <c r="BA336" s="50" t="str">
        <f ca="1"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B33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6" s="50"/>
    </row>
    <row r="337" spans="2:57">
      <c r="B337" s="405" t="str">
        <f>_xlfn.CONCAT(Tableau1[[#This Row],[Name ILN]],"-",Tableau1[[#This Row],[Name Shipper]],"-",Tableau1[[#This Row],[Name Site]])</f>
        <v>--</v>
      </c>
      <c r="C337" s="64" t="e">
        <f>_xlfn.CONCAT(Tableau1[[#This Row],[Compte ILN]],"-",Tableau1[[#This Row],[Compte Shipper]],"-",Tableau1[[#This Row],[POL]],"-",Tableau1[[#This Row],[Compte Consignee]])</f>
        <v>#N/A</v>
      </c>
      <c r="D337" s="64" t="e">
        <f>_xlfn.CONCAT(Tableau1[[#This Row],[Compte ILN]],"-",Tableau1[[#This Row],[Compte Shipper]],"-",Tableau1[[#This Row],[POL]])</f>
        <v>#N/A</v>
      </c>
      <c r="E337" s="128" t="e">
        <f ca="1">_xlfn.CONCAT(Tableau1[[#This Row],[POL]],"-",Tableau1[[#This Row],[Carrier]],"-",Tableau1[[#This Row],[POD]])</f>
        <v>#N/A</v>
      </c>
      <c r="F337" s="64" t="str">
        <f>_xlfn.CONCAT(Tableau1[[#This Row],[ID]],"-","Actif")</f>
        <v>-Actif</v>
      </c>
      <c r="G337" s="64" t="e">
        <f ca="1">_xlfn.CONCAT(Tableau1[[#This Row],[POD]],"-",Tableau1[[#This Row],[Code PFI]],"-",Tableau1[[#This Row],[Compte Consignee]])</f>
        <v>#N/A</v>
      </c>
      <c r="H33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7" s="117" t="str">
        <f ca="1">IF(COUNTIF(I:I,Tableau1[[#This Row],[Plant-ILN-shipper-POL-Carrier-POD-PFI]])=1,"Non","Oui")</f>
        <v>Oui</v>
      </c>
      <c r="K337" s="126" t="e">
        <f>VLOOKUP(Tableau1[[#This Row],[Name Site]],Plant_AILN!A:D,4,FALSE)</f>
        <v>#N/A</v>
      </c>
      <c r="L337" s="363"/>
      <c r="M337" s="492" t="e">
        <f>VLOOKUP(Tableau1[[#This Row],[Name Site]],Plant_AILN!A:C,3,FALSE)</f>
        <v>#N/A</v>
      </c>
      <c r="N337" s="55" t="e">
        <f>VLOOKUP(Tableau1[[#This Row],[Compte Consignee]],Order!C:D,2,FALSE)</f>
        <v>#N/A</v>
      </c>
      <c r="O337" s="122"/>
      <c r="P337" s="481" t="e">
        <f>VLOOKUP(Tableau1[[#This Row],[Name ILN]],Plant_AILN!F:G,2,FALSE)</f>
        <v>#N/A</v>
      </c>
      <c r="Q337" s="50" t="e">
        <f>VLOOKUP(Tableau1[[#This Row],[Compte ILN]],'DATA ILN'!D:I,6,FALSE)</f>
        <v>#N/A</v>
      </c>
      <c r="R337" s="50" t="e">
        <f>IFERROR(VLOOKUP(Tableau1[[#This Row],[Key(Compte ILN - shipper - POL - plant)]],'DATA ILN'!A:J,10,FALSE),VLOOKUP(Tableau1[[#This Row],[Key(Compte ILN - shipper - POL)]],'DATA ILN'!B:J,9,FALSE))</f>
        <v>#N/A</v>
      </c>
      <c r="S337" s="50" t="e">
        <f>IFERROR(VLOOKUP(Tableau1[[#This Row],[Key(Compte ILN - shipper - POL - plant)]],'DATA ILN'!A:K,11,FALSE),VLOOKUP(Tableau1[[#This Row],[Key(Compte ILN - shipper - POL)]],'DATA ILN'!B:K,10,FALSE))</f>
        <v>#N/A</v>
      </c>
      <c r="T337" s="50" t="e">
        <f>IFERROR(VLOOKUP(Tableau1[[#This Row],[Key(Compte ILN - shipper - POL - plant)]],'DATA ILN'!A:L,12,FALSE),VLOOKUP(Tableau1[[#This Row],[Key(Compte ILN - shipper - POL)]],'DATA ILN'!B:L,11,FALSE))</f>
        <v>#N/A</v>
      </c>
      <c r="U337" s="50" t="e">
        <f>Tableau1[[#This Row],[Day ILN Order]]+Tableau1[[#This Row],[Delivery time to ILN/Shipper]]-1</f>
        <v>#N/A</v>
      </c>
      <c r="V337" s="50" t="e">
        <f>IFERROR(VLOOKUP(Tableau1[[#This Row],[Key(Compte ILN - shipper - POL - plant)]],'DATA ILN'!A:N,14,FALSE),VLOOKUP(Tableau1[[#This Row],[Key(Compte ILN - shipper - POL)]],'DATA ILN'!B:N,13,FALSE))</f>
        <v>#N/A</v>
      </c>
      <c r="W337" s="50" t="e">
        <f>IFERROR(VLOOKUP(Tableau1[[#This Row],[Key(Compte ILN - shipper - POL - plant)]],'DATA ILN'!A:P,16,FALSE),VLOOKUP(Tableau1[[#This Row],[Key(Compte ILN - shipper - POL)]],'DATA ILN'!B:P,15,FALSE))</f>
        <v>#N/A</v>
      </c>
      <c r="X337" s="283"/>
      <c r="Y337" s="489">
        <f>IFERROR(VLOOKUP(Tableau1[[#This Row],[Name Shipper]],Plant_AILN!L:M,2,FALSE),0)</f>
        <v>0</v>
      </c>
      <c r="Z337" s="358"/>
      <c r="AA337" s="353" t="e">
        <f ca="1">VLOOKUP(Tableau1[[#This Row],[Key(ID-Actif)]],'DATA BTO'!A:N,5,FALSE)</f>
        <v>#N/A</v>
      </c>
      <c r="AB337" s="3" t="e">
        <f ca="1">VLOOKUP(Tableau1[[#This Row],[Key(ID-Actif)]],'DATA BTO'!A:N,6,FALSE)</f>
        <v>#N/A</v>
      </c>
      <c r="AC337" s="50" t="e">
        <f ca="1">VLOOKUP(Tableau1[[#This Row],[Key(ID-Actif)]],'DATA BTO'!A:N,7,FALSE)</f>
        <v>#N/A</v>
      </c>
      <c r="AD337" s="50" t="e">
        <f ca="1">VLOOKUP(Tableau1[[#This Row],[Key(ID-Actif)]],'DATA BTO'!A:N,8,FALSE)</f>
        <v>#N/A</v>
      </c>
      <c r="AE337" s="406" t="e">
        <f ca="1">IF(Tableau1[[#This Row],[First Day to POL]]&lt;=Tableau1[[#This Row],[Day Cut Off]],Tableau1[[#This Row],[Day ETD]],Tableau1[[#This Row],[Day ETD]]+7)</f>
        <v>#N/A</v>
      </c>
      <c r="AF337" s="50" t="e">
        <f ca="1">VLOOKUP(Tableau1[[#This Row],[Key(ID-Actif)]],'DATA BTO'!A:N,9,FALSE)</f>
        <v>#N/A</v>
      </c>
      <c r="AG337" s="3" t="e">
        <f ca="1">VLOOKUP(Tableau1[[#This Row],[Key(ID-Actif)]],'DATA BTO'!A:N,10,FALSE)</f>
        <v>#N/A</v>
      </c>
      <c r="AH337" s="3" t="e">
        <f ca="1">VLOOKUP(Tableau1[[#This Row],[Key(ID-Actif)]],'DATA BTO'!A:N,11,FALSE)</f>
        <v>#N/A</v>
      </c>
      <c r="AI337" s="50" t="e">
        <f ca="1">VLOOKUP(Tableau1[[#This Row],[Key(ID-Actif)]],'DATA BTO'!A:N,12,FALSE)</f>
        <v>#N/A</v>
      </c>
      <c r="AJ337" s="53" t="e">
        <f ca="1">VLOOKUP(Tableau1[[#This Row],[Key(ID-Actif)]],'DATA BTO'!A:N,14,FALSE)</f>
        <v>#N/A</v>
      </c>
      <c r="AK337" s="54" t="e">
        <f ca="1">VLOOKUP(Tableau1[[#This Row],[Key(POD -PFI- Usine)]],'DATA Consignee'!A:F,6,FALSE)</f>
        <v>#N/A</v>
      </c>
      <c r="AL337" s="283"/>
      <c r="AM337" s="490" t="str">
        <f>IF(Tableau1[[#This Row],[Name PFI/CDD]]="","-",VLOOKUP(Tableau1[[#This Row],[Name PFI/CDD]],Plant_AILN!I:J,2,FALSE))</f>
        <v>-</v>
      </c>
      <c r="AN33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7" s="2" t="e">
        <f ca="1">VLOOKUP(Tableau1[[#This Row],[Key(POD -PFI- Usine)]],'DATA Consignee'!A:J,10,FALSE)</f>
        <v>#N/A</v>
      </c>
      <c r="AQ337" s="50" t="e">
        <f ca="1">VLOOKUP(Tableau1[[#This Row],[Key(POD -PFI- Usine)]],'DATA Consignee'!A:N,14,FALSE)</f>
        <v>#N/A</v>
      </c>
      <c r="AR33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7" s="50" t="e">
        <f ca="1">Tableau1[[#This Row],[Transit time]]+Tableau1[[#This Row],[Time for security]]+Tableau1[[#This Row],[Time for security2 buffer]]</f>
        <v>#N/A</v>
      </c>
      <c r="AU33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7" s="50" t="e">
        <f ca="1">Tableau1[[#This Row],[Leadtime SI2C]]+Tableau1[[#This Row],[First Receipt Days]]-Tableau1[[#This Row],[Day Customer Order]]+1</f>
        <v>#N/A</v>
      </c>
      <c r="AW337" s="117" t="e">
        <f ca="1">IF(Tableau1[[#This Row],[Name ILN]]&lt;&gt;"SFK Freight Forwarder",Tableau1[[#This Row],[Cust. Leadtime]],Tableau1[[#This Row],[Leadtime SI2C]])</f>
        <v>#N/A</v>
      </c>
      <c r="AX337" s="57" t="e">
        <f>VLOOKUP(Tableau1[[#This Row],[ID]],'DATA BTO'!B:P,15,FALSE)</f>
        <v>#N/A</v>
      </c>
      <c r="AY337" s="328" t="e">
        <f ca="1">IFERROR(VLOOKUP(Tableau1[[#This Row],[Key(ID-Actif)]],'DATA BTO'!A:N,4,FALSE),VLOOKUP(Tableau1[[#This Row],[ID]],'DATA BTO'!B:N,3,FALSE))</f>
        <v>#N/A</v>
      </c>
      <c r="AZ33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7" s="50"/>
    </row>
    <row r="338" spans="2:57">
      <c r="B338" s="405" t="str">
        <f>_xlfn.CONCAT(Tableau1[[#This Row],[Name ILN]],"-",Tableau1[[#This Row],[Name Shipper]],"-",Tableau1[[#This Row],[Name Site]])</f>
        <v>--</v>
      </c>
      <c r="C338" s="64" t="e">
        <f>_xlfn.CONCAT(Tableau1[[#This Row],[Compte ILN]],"-",Tableau1[[#This Row],[Compte Shipper]],"-",Tableau1[[#This Row],[POL]],"-",Tableau1[[#This Row],[Compte Consignee]])</f>
        <v>#N/A</v>
      </c>
      <c r="D338" s="64" t="e">
        <f>_xlfn.CONCAT(Tableau1[[#This Row],[Compte ILN]],"-",Tableau1[[#This Row],[Compte Shipper]],"-",Tableau1[[#This Row],[POL]])</f>
        <v>#N/A</v>
      </c>
      <c r="E338" s="128" t="e">
        <f ca="1">_xlfn.CONCAT(Tableau1[[#This Row],[POL]],"-",Tableau1[[#This Row],[Carrier]],"-",Tableau1[[#This Row],[POD]])</f>
        <v>#N/A</v>
      </c>
      <c r="F338" s="64" t="str">
        <f>_xlfn.CONCAT(Tableau1[[#This Row],[ID]],"-","Actif")</f>
        <v>-Actif</v>
      </c>
      <c r="G338" s="64" t="e">
        <f ca="1">_xlfn.CONCAT(Tableau1[[#This Row],[POD]],"-",Tableau1[[#This Row],[Code PFI]],"-",Tableau1[[#This Row],[Compte Consignee]])</f>
        <v>#N/A</v>
      </c>
      <c r="H33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8" s="117" t="str">
        <f ca="1">IF(COUNTIF(I:I,Tableau1[[#This Row],[Plant-ILN-shipper-POL-Carrier-POD-PFI]])=1,"Non","Oui")</f>
        <v>Oui</v>
      </c>
      <c r="K338" s="126" t="e">
        <f>VLOOKUP(Tableau1[[#This Row],[Name Site]],Plant_AILN!A:D,4,FALSE)</f>
        <v>#N/A</v>
      </c>
      <c r="L338" s="363"/>
      <c r="M338" s="492" t="e">
        <f>VLOOKUP(Tableau1[[#This Row],[Name Site]],Plant_AILN!A:C,3,FALSE)</f>
        <v>#N/A</v>
      </c>
      <c r="N338" s="55" t="e">
        <f>VLOOKUP(Tableau1[[#This Row],[Compte Consignee]],Order!C:D,2,FALSE)</f>
        <v>#N/A</v>
      </c>
      <c r="O338" s="122"/>
      <c r="P338" s="481" t="e">
        <f>VLOOKUP(Tableau1[[#This Row],[Name ILN]],Plant_AILN!F:G,2,FALSE)</f>
        <v>#N/A</v>
      </c>
      <c r="Q338" s="50" t="e">
        <f>VLOOKUP(Tableau1[[#This Row],[Compte ILN]],'DATA ILN'!D:I,6,FALSE)</f>
        <v>#N/A</v>
      </c>
      <c r="R338" s="50" t="e">
        <f>IFERROR(VLOOKUP(Tableau1[[#This Row],[Key(Compte ILN - shipper - POL - plant)]],'DATA ILN'!A:J,10,FALSE),VLOOKUP(Tableau1[[#This Row],[Key(Compte ILN - shipper - POL)]],'DATA ILN'!B:J,9,FALSE))</f>
        <v>#N/A</v>
      </c>
      <c r="S338" s="50" t="e">
        <f>IFERROR(VLOOKUP(Tableau1[[#This Row],[Key(Compte ILN - shipper - POL - plant)]],'DATA ILN'!A:K,11,FALSE),VLOOKUP(Tableau1[[#This Row],[Key(Compte ILN - shipper - POL)]],'DATA ILN'!B:K,10,FALSE))</f>
        <v>#N/A</v>
      </c>
      <c r="T338" s="50" t="e">
        <f>IFERROR(VLOOKUP(Tableau1[[#This Row],[Key(Compte ILN - shipper - POL - plant)]],'DATA ILN'!A:L,12,FALSE),VLOOKUP(Tableau1[[#This Row],[Key(Compte ILN - shipper - POL)]],'DATA ILN'!B:L,11,FALSE))</f>
        <v>#N/A</v>
      </c>
      <c r="U338" s="50" t="e">
        <f>Tableau1[[#This Row],[Day ILN Order]]+Tableau1[[#This Row],[Delivery time to ILN/Shipper]]-1</f>
        <v>#N/A</v>
      </c>
      <c r="V338" s="50" t="e">
        <f>IFERROR(VLOOKUP(Tableau1[[#This Row],[Key(Compte ILN - shipper - POL - plant)]],'DATA ILN'!A:N,14,FALSE),VLOOKUP(Tableau1[[#This Row],[Key(Compte ILN - shipper - POL)]],'DATA ILN'!B:N,13,FALSE))</f>
        <v>#N/A</v>
      </c>
      <c r="W338" s="50" t="e">
        <f>IFERROR(VLOOKUP(Tableau1[[#This Row],[Key(Compte ILN - shipper - POL - plant)]],'DATA ILN'!A:P,16,FALSE),VLOOKUP(Tableau1[[#This Row],[Key(Compte ILN - shipper - POL)]],'DATA ILN'!B:P,15,FALSE))</f>
        <v>#N/A</v>
      </c>
      <c r="X338" s="283"/>
      <c r="Y338" s="489">
        <f>IFERROR(VLOOKUP(Tableau1[[#This Row],[Name Shipper]],Plant_AILN!L:M,2,FALSE),0)</f>
        <v>0</v>
      </c>
      <c r="Z338" s="358"/>
      <c r="AA338" s="353" t="e">
        <f ca="1">VLOOKUP(Tableau1[[#This Row],[Key(ID-Actif)]],'DATA BTO'!A:N,5,FALSE)</f>
        <v>#N/A</v>
      </c>
      <c r="AB338" s="3" t="e">
        <f ca="1">VLOOKUP(Tableau1[[#This Row],[Key(ID-Actif)]],'DATA BTO'!A:N,6,FALSE)</f>
        <v>#N/A</v>
      </c>
      <c r="AC338" s="50" t="e">
        <f ca="1">VLOOKUP(Tableau1[[#This Row],[Key(ID-Actif)]],'DATA BTO'!A:N,7,FALSE)</f>
        <v>#N/A</v>
      </c>
      <c r="AD338" s="50" t="e">
        <f ca="1">VLOOKUP(Tableau1[[#This Row],[Key(ID-Actif)]],'DATA BTO'!A:N,8,FALSE)</f>
        <v>#N/A</v>
      </c>
      <c r="AE338" s="406" t="e">
        <f ca="1">IF(Tableau1[[#This Row],[First Day to POL]]&lt;=Tableau1[[#This Row],[Day Cut Off]],Tableau1[[#This Row],[Day ETD]],Tableau1[[#This Row],[Day ETD]]+7)</f>
        <v>#N/A</v>
      </c>
      <c r="AF338" s="50" t="e">
        <f ca="1">VLOOKUP(Tableau1[[#This Row],[Key(ID-Actif)]],'DATA BTO'!A:N,9,FALSE)</f>
        <v>#N/A</v>
      </c>
      <c r="AG338" s="3" t="e">
        <f ca="1">VLOOKUP(Tableau1[[#This Row],[Key(ID-Actif)]],'DATA BTO'!A:N,10,FALSE)</f>
        <v>#N/A</v>
      </c>
      <c r="AH338" s="3" t="e">
        <f ca="1">VLOOKUP(Tableau1[[#This Row],[Key(ID-Actif)]],'DATA BTO'!A:N,11,FALSE)</f>
        <v>#N/A</v>
      </c>
      <c r="AI338" s="50" t="e">
        <f ca="1">VLOOKUP(Tableau1[[#This Row],[Key(ID-Actif)]],'DATA BTO'!A:N,12,FALSE)</f>
        <v>#N/A</v>
      </c>
      <c r="AJ338" s="53" t="e">
        <f ca="1">VLOOKUP(Tableau1[[#This Row],[Key(ID-Actif)]],'DATA BTO'!A:N,14,FALSE)</f>
        <v>#N/A</v>
      </c>
      <c r="AK338" s="54" t="e">
        <f ca="1">VLOOKUP(Tableau1[[#This Row],[Key(POD -PFI- Usine)]],'DATA Consignee'!A:F,6,FALSE)</f>
        <v>#N/A</v>
      </c>
      <c r="AL338" s="283"/>
      <c r="AM338" s="490" t="str">
        <f>IF(Tableau1[[#This Row],[Name PFI/CDD]]="","-",VLOOKUP(Tableau1[[#This Row],[Name PFI/CDD]],Plant_AILN!I:J,2,FALSE))</f>
        <v>-</v>
      </c>
      <c r="AN33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8" s="2" t="e">
        <f ca="1">VLOOKUP(Tableau1[[#This Row],[Key(POD -PFI- Usine)]],'DATA Consignee'!A:J,10,FALSE)</f>
        <v>#N/A</v>
      </c>
      <c r="AQ338" s="50" t="e">
        <f ca="1">VLOOKUP(Tableau1[[#This Row],[Key(POD -PFI- Usine)]],'DATA Consignee'!A:N,14,FALSE)</f>
        <v>#N/A</v>
      </c>
      <c r="AR33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8" s="50" t="e">
        <f ca="1">Tableau1[[#This Row],[Transit time]]+Tableau1[[#This Row],[Time for security]]+Tableau1[[#This Row],[Time for security2 buffer]]</f>
        <v>#N/A</v>
      </c>
      <c r="AU33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8" s="50" t="e">
        <f ca="1">Tableau1[[#This Row],[Leadtime SI2C]]+Tableau1[[#This Row],[First Receipt Days]]-Tableau1[[#This Row],[Day Customer Order]]+1</f>
        <v>#N/A</v>
      </c>
      <c r="AW338" s="117" t="e">
        <f ca="1">IF(Tableau1[[#This Row],[Name ILN]]&lt;&gt;"SFK Freight Forwarder",Tableau1[[#This Row],[Cust. Leadtime]],Tableau1[[#This Row],[Leadtime SI2C]])</f>
        <v>#N/A</v>
      </c>
      <c r="AX338" s="57" t="e">
        <f>VLOOKUP(Tableau1[[#This Row],[ID]],'DATA BTO'!B:P,15,FALSE)</f>
        <v>#N/A</v>
      </c>
      <c r="AY338" s="328" t="e">
        <f ca="1">IFERROR(VLOOKUP(Tableau1[[#This Row],[Key(ID-Actif)]],'DATA BTO'!A:N,4,FALSE),VLOOKUP(Tableau1[[#This Row],[ID]],'DATA BTO'!B:N,3,FALSE))</f>
        <v>#N/A</v>
      </c>
      <c r="AZ33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8" s="50"/>
    </row>
    <row r="339" spans="2:57">
      <c r="B339" s="405" t="str">
        <f>_xlfn.CONCAT(Tableau1[[#This Row],[Name ILN]],"-",Tableau1[[#This Row],[Name Shipper]],"-",Tableau1[[#This Row],[Name Site]])</f>
        <v>--</v>
      </c>
      <c r="C339" s="64" t="e">
        <f>_xlfn.CONCAT(Tableau1[[#This Row],[Compte ILN]],"-",Tableau1[[#This Row],[Compte Shipper]],"-",Tableau1[[#This Row],[POL]],"-",Tableau1[[#This Row],[Compte Consignee]])</f>
        <v>#N/A</v>
      </c>
      <c r="D339" s="64" t="e">
        <f>_xlfn.CONCAT(Tableau1[[#This Row],[Compte ILN]],"-",Tableau1[[#This Row],[Compte Shipper]],"-",Tableau1[[#This Row],[POL]])</f>
        <v>#N/A</v>
      </c>
      <c r="E339" s="128" t="e">
        <f ca="1">_xlfn.CONCAT(Tableau1[[#This Row],[POL]],"-",Tableau1[[#This Row],[Carrier]],"-",Tableau1[[#This Row],[POD]])</f>
        <v>#N/A</v>
      </c>
      <c r="F339" s="64" t="str">
        <f>_xlfn.CONCAT(Tableau1[[#This Row],[ID]],"-","Actif")</f>
        <v>-Actif</v>
      </c>
      <c r="G339" s="64" t="e">
        <f ca="1">_xlfn.CONCAT(Tableau1[[#This Row],[POD]],"-",Tableau1[[#This Row],[Code PFI]],"-",Tableau1[[#This Row],[Compte Consignee]])</f>
        <v>#N/A</v>
      </c>
      <c r="H33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3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39" s="117" t="str">
        <f ca="1">IF(COUNTIF(I:I,Tableau1[[#This Row],[Plant-ILN-shipper-POL-Carrier-POD-PFI]])=1,"Non","Oui")</f>
        <v>Oui</v>
      </c>
      <c r="K339" s="126" t="e">
        <f>VLOOKUP(Tableau1[[#This Row],[Name Site]],Plant_AILN!A:D,4,FALSE)</f>
        <v>#N/A</v>
      </c>
      <c r="L339" s="363"/>
      <c r="M339" s="492" t="e">
        <f>VLOOKUP(Tableau1[[#This Row],[Name Site]],Plant_AILN!A:C,3,FALSE)</f>
        <v>#N/A</v>
      </c>
      <c r="N339" s="55" t="e">
        <f>VLOOKUP(Tableau1[[#This Row],[Compte Consignee]],Order!C:D,2,FALSE)</f>
        <v>#N/A</v>
      </c>
      <c r="O339" s="122"/>
      <c r="P339" s="481" t="e">
        <f>VLOOKUP(Tableau1[[#This Row],[Name ILN]],Plant_AILN!F:G,2,FALSE)</f>
        <v>#N/A</v>
      </c>
      <c r="Q339" s="50" t="e">
        <f>VLOOKUP(Tableau1[[#This Row],[Compte ILN]],'DATA ILN'!D:I,6,FALSE)</f>
        <v>#N/A</v>
      </c>
      <c r="R339" s="50" t="e">
        <f>IFERROR(VLOOKUP(Tableau1[[#This Row],[Key(Compte ILN - shipper - POL - plant)]],'DATA ILN'!A:J,10,FALSE),VLOOKUP(Tableau1[[#This Row],[Key(Compte ILN - shipper - POL)]],'DATA ILN'!B:J,9,FALSE))</f>
        <v>#N/A</v>
      </c>
      <c r="S339" s="50" t="e">
        <f>IFERROR(VLOOKUP(Tableau1[[#This Row],[Key(Compte ILN - shipper - POL - plant)]],'DATA ILN'!A:K,11,FALSE),VLOOKUP(Tableau1[[#This Row],[Key(Compte ILN - shipper - POL)]],'DATA ILN'!B:K,10,FALSE))</f>
        <v>#N/A</v>
      </c>
      <c r="T339" s="50" t="e">
        <f>IFERROR(VLOOKUP(Tableau1[[#This Row],[Key(Compte ILN - shipper - POL - plant)]],'DATA ILN'!A:L,12,FALSE),VLOOKUP(Tableau1[[#This Row],[Key(Compte ILN - shipper - POL)]],'DATA ILN'!B:L,11,FALSE))</f>
        <v>#N/A</v>
      </c>
      <c r="U339" s="50" t="e">
        <f>Tableau1[[#This Row],[Day ILN Order]]+Tableau1[[#This Row],[Delivery time to ILN/Shipper]]-1</f>
        <v>#N/A</v>
      </c>
      <c r="V339" s="50" t="e">
        <f>IFERROR(VLOOKUP(Tableau1[[#This Row],[Key(Compte ILN - shipper - POL - plant)]],'DATA ILN'!A:N,14,FALSE),VLOOKUP(Tableau1[[#This Row],[Key(Compte ILN - shipper - POL)]],'DATA ILN'!B:N,13,FALSE))</f>
        <v>#N/A</v>
      </c>
      <c r="W339" s="50" t="e">
        <f>IFERROR(VLOOKUP(Tableau1[[#This Row],[Key(Compte ILN - shipper - POL - plant)]],'DATA ILN'!A:P,16,FALSE),VLOOKUP(Tableau1[[#This Row],[Key(Compte ILN - shipper - POL)]],'DATA ILN'!B:P,15,FALSE))</f>
        <v>#N/A</v>
      </c>
      <c r="X339" s="283"/>
      <c r="Y339" s="489">
        <f>IFERROR(VLOOKUP(Tableau1[[#This Row],[Name Shipper]],Plant_AILN!L:M,2,FALSE),0)</f>
        <v>0</v>
      </c>
      <c r="Z339" s="358"/>
      <c r="AA339" s="353" t="e">
        <f ca="1">VLOOKUP(Tableau1[[#This Row],[Key(ID-Actif)]],'DATA BTO'!A:N,5,FALSE)</f>
        <v>#N/A</v>
      </c>
      <c r="AB339" s="3" t="e">
        <f ca="1">VLOOKUP(Tableau1[[#This Row],[Key(ID-Actif)]],'DATA BTO'!A:N,6,FALSE)</f>
        <v>#N/A</v>
      </c>
      <c r="AC339" s="50" t="e">
        <f ca="1">VLOOKUP(Tableau1[[#This Row],[Key(ID-Actif)]],'DATA BTO'!A:N,7,FALSE)</f>
        <v>#N/A</v>
      </c>
      <c r="AD339" s="50" t="e">
        <f ca="1">VLOOKUP(Tableau1[[#This Row],[Key(ID-Actif)]],'DATA BTO'!A:N,8,FALSE)</f>
        <v>#N/A</v>
      </c>
      <c r="AE339" s="406" t="e">
        <f ca="1">IF(Tableau1[[#This Row],[First Day to POL]]&lt;=Tableau1[[#This Row],[Day Cut Off]],Tableau1[[#This Row],[Day ETD]],Tableau1[[#This Row],[Day ETD]]+7)</f>
        <v>#N/A</v>
      </c>
      <c r="AF339" s="50" t="e">
        <f ca="1">VLOOKUP(Tableau1[[#This Row],[Key(ID-Actif)]],'DATA BTO'!A:N,9,FALSE)</f>
        <v>#N/A</v>
      </c>
      <c r="AG339" s="3" t="e">
        <f ca="1">VLOOKUP(Tableau1[[#This Row],[Key(ID-Actif)]],'DATA BTO'!A:N,10,FALSE)</f>
        <v>#N/A</v>
      </c>
      <c r="AH339" s="3" t="e">
        <f ca="1">VLOOKUP(Tableau1[[#This Row],[Key(ID-Actif)]],'DATA BTO'!A:N,11,FALSE)</f>
        <v>#N/A</v>
      </c>
      <c r="AI339" s="50" t="e">
        <f ca="1">VLOOKUP(Tableau1[[#This Row],[Key(ID-Actif)]],'DATA BTO'!A:N,12,FALSE)</f>
        <v>#N/A</v>
      </c>
      <c r="AJ339" s="53" t="e">
        <f ca="1">VLOOKUP(Tableau1[[#This Row],[Key(ID-Actif)]],'DATA BTO'!A:N,14,FALSE)</f>
        <v>#N/A</v>
      </c>
      <c r="AK339" s="54" t="e">
        <f ca="1">VLOOKUP(Tableau1[[#This Row],[Key(POD -PFI- Usine)]],'DATA Consignee'!A:F,6,FALSE)</f>
        <v>#N/A</v>
      </c>
      <c r="AL339" s="283"/>
      <c r="AM339" s="490" t="str">
        <f>IF(Tableau1[[#This Row],[Name PFI/CDD]]="","-",VLOOKUP(Tableau1[[#This Row],[Name PFI/CDD]],Plant_AILN!I:J,2,FALSE))</f>
        <v>-</v>
      </c>
      <c r="AN33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3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39" s="2" t="e">
        <f ca="1">VLOOKUP(Tableau1[[#This Row],[Key(POD -PFI- Usine)]],'DATA Consignee'!A:J,10,FALSE)</f>
        <v>#N/A</v>
      </c>
      <c r="AQ339" s="50" t="e">
        <f ca="1">VLOOKUP(Tableau1[[#This Row],[Key(POD -PFI- Usine)]],'DATA Consignee'!A:N,14,FALSE)</f>
        <v>#N/A</v>
      </c>
      <c r="AR33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3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39" s="50" t="e">
        <f ca="1">Tableau1[[#This Row],[Transit time]]+Tableau1[[#This Row],[Time for security]]+Tableau1[[#This Row],[Time for security2 buffer]]</f>
        <v>#N/A</v>
      </c>
      <c r="AU33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39" s="50" t="e">
        <f ca="1">Tableau1[[#This Row],[Leadtime SI2C]]+Tableau1[[#This Row],[First Receipt Days]]-Tableau1[[#This Row],[Day Customer Order]]+1</f>
        <v>#N/A</v>
      </c>
      <c r="AW339" s="117" t="e">
        <f ca="1">IF(Tableau1[[#This Row],[Name ILN]]&lt;&gt;"SFK Freight Forwarder",Tableau1[[#This Row],[Cust. Leadtime]],Tableau1[[#This Row],[Leadtime SI2C]])</f>
        <v>#N/A</v>
      </c>
      <c r="AX339" s="57" t="e">
        <f>VLOOKUP(Tableau1[[#This Row],[ID]],'DATA BTO'!B:P,15,FALSE)</f>
        <v>#N/A</v>
      </c>
      <c r="AY339" s="328" t="e">
        <f ca="1">IFERROR(VLOOKUP(Tableau1[[#This Row],[Key(ID-Actif)]],'DATA BTO'!A:N,4,FALSE),VLOOKUP(Tableau1[[#This Row],[ID]],'DATA BTO'!B:N,3,FALSE))</f>
        <v>#N/A</v>
      </c>
      <c r="AZ33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3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3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9" s="50"/>
    </row>
    <row r="340" spans="2:57">
      <c r="B340" s="405" t="str">
        <f>_xlfn.CONCAT(Tableau1[[#This Row],[Name ILN]],"-",Tableau1[[#This Row],[Name Shipper]],"-",Tableau1[[#This Row],[Name Site]])</f>
        <v>--</v>
      </c>
      <c r="C340" s="64" t="e">
        <f>_xlfn.CONCAT(Tableau1[[#This Row],[Compte ILN]],"-",Tableau1[[#This Row],[Compte Shipper]],"-",Tableau1[[#This Row],[POL]],"-",Tableau1[[#This Row],[Compte Consignee]])</f>
        <v>#N/A</v>
      </c>
      <c r="D340" s="64" t="e">
        <f>_xlfn.CONCAT(Tableau1[[#This Row],[Compte ILN]],"-",Tableau1[[#This Row],[Compte Shipper]],"-",Tableau1[[#This Row],[POL]])</f>
        <v>#N/A</v>
      </c>
      <c r="E340" s="128" t="e">
        <f ca="1">_xlfn.CONCAT(Tableau1[[#This Row],[POL]],"-",Tableau1[[#This Row],[Carrier]],"-",Tableau1[[#This Row],[POD]])</f>
        <v>#N/A</v>
      </c>
      <c r="F340" s="64" t="str">
        <f>_xlfn.CONCAT(Tableau1[[#This Row],[ID]],"-","Actif")</f>
        <v>-Actif</v>
      </c>
      <c r="G340" s="64" t="e">
        <f ca="1">_xlfn.CONCAT(Tableau1[[#This Row],[POD]],"-",Tableau1[[#This Row],[Code PFI]],"-",Tableau1[[#This Row],[Compte Consignee]])</f>
        <v>#N/A</v>
      </c>
      <c r="H34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0" s="117" t="str">
        <f ca="1">IF(COUNTIF(I:I,Tableau1[[#This Row],[Plant-ILN-shipper-POL-Carrier-POD-PFI]])=1,"Non","Oui")</f>
        <v>Oui</v>
      </c>
      <c r="K340" s="126" t="e">
        <f>VLOOKUP(Tableau1[[#This Row],[Name Site]],Plant_AILN!A:D,4,FALSE)</f>
        <v>#N/A</v>
      </c>
      <c r="L340" s="363"/>
      <c r="M340" s="492" t="e">
        <f>VLOOKUP(Tableau1[[#This Row],[Name Site]],Plant_AILN!A:C,3,FALSE)</f>
        <v>#N/A</v>
      </c>
      <c r="N340" s="55" t="e">
        <f>VLOOKUP(Tableau1[[#This Row],[Compte Consignee]],Order!C:D,2,FALSE)</f>
        <v>#N/A</v>
      </c>
      <c r="O340" s="122"/>
      <c r="P340" s="481" t="e">
        <f>VLOOKUP(Tableau1[[#This Row],[Name ILN]],Plant_AILN!F:G,2,FALSE)</f>
        <v>#N/A</v>
      </c>
      <c r="Q340" s="50" t="e">
        <f>VLOOKUP(Tableau1[[#This Row],[Compte ILN]],'DATA ILN'!D:I,6,FALSE)</f>
        <v>#N/A</v>
      </c>
      <c r="R340" s="50" t="e">
        <f>IFERROR(VLOOKUP(Tableau1[[#This Row],[Key(Compte ILN - shipper - POL - plant)]],'DATA ILN'!A:J,10,FALSE),VLOOKUP(Tableau1[[#This Row],[Key(Compte ILN - shipper - POL)]],'DATA ILN'!B:J,9,FALSE))</f>
        <v>#N/A</v>
      </c>
      <c r="S340" s="50" t="e">
        <f>IFERROR(VLOOKUP(Tableau1[[#This Row],[Key(Compte ILN - shipper - POL - plant)]],'DATA ILN'!A:K,11,FALSE),VLOOKUP(Tableau1[[#This Row],[Key(Compte ILN - shipper - POL)]],'DATA ILN'!B:K,10,FALSE))</f>
        <v>#N/A</v>
      </c>
      <c r="T340" s="50" t="e">
        <f>IFERROR(VLOOKUP(Tableau1[[#This Row],[Key(Compte ILN - shipper - POL - plant)]],'DATA ILN'!A:L,12,FALSE),VLOOKUP(Tableau1[[#This Row],[Key(Compte ILN - shipper - POL)]],'DATA ILN'!B:L,11,FALSE))</f>
        <v>#N/A</v>
      </c>
      <c r="U340" s="50" t="e">
        <f>Tableau1[[#This Row],[Day ILN Order]]+Tableau1[[#This Row],[Delivery time to ILN/Shipper]]-1</f>
        <v>#N/A</v>
      </c>
      <c r="V340" s="50" t="e">
        <f>IFERROR(VLOOKUP(Tableau1[[#This Row],[Key(Compte ILN - shipper - POL - plant)]],'DATA ILN'!A:N,14,FALSE),VLOOKUP(Tableau1[[#This Row],[Key(Compte ILN - shipper - POL)]],'DATA ILN'!B:N,13,FALSE))</f>
        <v>#N/A</v>
      </c>
      <c r="W340" s="50" t="e">
        <f>IFERROR(VLOOKUP(Tableau1[[#This Row],[Key(Compte ILN - shipper - POL - plant)]],'DATA ILN'!A:P,16,FALSE),VLOOKUP(Tableau1[[#This Row],[Key(Compte ILN - shipper - POL)]],'DATA ILN'!B:P,15,FALSE))</f>
        <v>#N/A</v>
      </c>
      <c r="X340" s="283"/>
      <c r="Y340" s="489">
        <f>IFERROR(VLOOKUP(Tableau1[[#This Row],[Name Shipper]],Plant_AILN!L:M,2,FALSE),0)</f>
        <v>0</v>
      </c>
      <c r="Z340" s="358"/>
      <c r="AA340" s="353" t="e">
        <f ca="1">VLOOKUP(Tableau1[[#This Row],[Key(ID-Actif)]],'DATA BTO'!A:N,5,FALSE)</f>
        <v>#N/A</v>
      </c>
      <c r="AB340" s="3" t="e">
        <f ca="1">VLOOKUP(Tableau1[[#This Row],[Key(ID-Actif)]],'DATA BTO'!A:N,6,FALSE)</f>
        <v>#N/A</v>
      </c>
      <c r="AC340" s="50" t="e">
        <f ca="1">VLOOKUP(Tableau1[[#This Row],[Key(ID-Actif)]],'DATA BTO'!A:N,7,FALSE)</f>
        <v>#N/A</v>
      </c>
      <c r="AD340" s="50" t="e">
        <f ca="1">VLOOKUP(Tableau1[[#This Row],[Key(ID-Actif)]],'DATA BTO'!A:N,8,FALSE)</f>
        <v>#N/A</v>
      </c>
      <c r="AE340" s="406" t="e">
        <f ca="1">IF(Tableau1[[#This Row],[First Day to POL]]&lt;=Tableau1[[#This Row],[Day Cut Off]],Tableau1[[#This Row],[Day ETD]],Tableau1[[#This Row],[Day ETD]]+7)</f>
        <v>#N/A</v>
      </c>
      <c r="AF340" s="50" t="e">
        <f ca="1">VLOOKUP(Tableau1[[#This Row],[Key(ID-Actif)]],'DATA BTO'!A:N,9,FALSE)</f>
        <v>#N/A</v>
      </c>
      <c r="AG340" s="3" t="e">
        <f ca="1">VLOOKUP(Tableau1[[#This Row],[Key(ID-Actif)]],'DATA BTO'!A:N,10,FALSE)</f>
        <v>#N/A</v>
      </c>
      <c r="AH340" s="3" t="e">
        <f ca="1">VLOOKUP(Tableau1[[#This Row],[Key(ID-Actif)]],'DATA BTO'!A:N,11,FALSE)</f>
        <v>#N/A</v>
      </c>
      <c r="AI340" s="50" t="e">
        <f ca="1">VLOOKUP(Tableau1[[#This Row],[Key(ID-Actif)]],'DATA BTO'!A:N,12,FALSE)</f>
        <v>#N/A</v>
      </c>
      <c r="AJ340" s="53" t="e">
        <f ca="1">VLOOKUP(Tableau1[[#This Row],[Key(ID-Actif)]],'DATA BTO'!A:N,14,FALSE)</f>
        <v>#N/A</v>
      </c>
      <c r="AK340" s="54" t="e">
        <f ca="1">VLOOKUP(Tableau1[[#This Row],[Key(POD -PFI- Usine)]],'DATA Consignee'!A:F,6,FALSE)</f>
        <v>#N/A</v>
      </c>
      <c r="AL340" s="283"/>
      <c r="AM340" s="490" t="str">
        <f>IF(Tableau1[[#This Row],[Name PFI/CDD]]="","-",VLOOKUP(Tableau1[[#This Row],[Name PFI/CDD]],Plant_AILN!I:J,2,FALSE))</f>
        <v>-</v>
      </c>
      <c r="AN34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0" s="2" t="e">
        <f ca="1">VLOOKUP(Tableau1[[#This Row],[Key(POD -PFI- Usine)]],'DATA Consignee'!A:J,10,FALSE)</f>
        <v>#N/A</v>
      </c>
      <c r="AQ340" s="50" t="e">
        <f ca="1">VLOOKUP(Tableau1[[#This Row],[Key(POD -PFI- Usine)]],'DATA Consignee'!A:N,14,FALSE)</f>
        <v>#N/A</v>
      </c>
      <c r="AR34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0" s="50" t="e">
        <f ca="1">Tableau1[[#This Row],[Transit time]]+Tableau1[[#This Row],[Time for security]]+Tableau1[[#This Row],[Time for security2 buffer]]</f>
        <v>#N/A</v>
      </c>
      <c r="AU34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0" s="50" t="e">
        <f ca="1">Tableau1[[#This Row],[Leadtime SI2C]]+Tableau1[[#This Row],[First Receipt Days]]-Tableau1[[#This Row],[Day Customer Order]]+1</f>
        <v>#N/A</v>
      </c>
      <c r="AW340" s="117" t="e">
        <f ca="1">IF(Tableau1[[#This Row],[Name ILN]]&lt;&gt;"SFK Freight Forwarder",Tableau1[[#This Row],[Cust. Leadtime]],Tableau1[[#This Row],[Leadtime SI2C]])</f>
        <v>#N/A</v>
      </c>
      <c r="AX340" s="57" t="e">
        <f>VLOOKUP(Tableau1[[#This Row],[ID]],'DATA BTO'!B:P,15,FALSE)</f>
        <v>#N/A</v>
      </c>
      <c r="AY340" s="328" t="e">
        <f ca="1">IFERROR(VLOOKUP(Tableau1[[#This Row],[Key(ID-Actif)]],'DATA BTO'!A:N,4,FALSE),VLOOKUP(Tableau1[[#This Row],[ID]],'DATA BTO'!B:N,3,FALSE))</f>
        <v>#N/A</v>
      </c>
      <c r="AZ34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0" s="50"/>
    </row>
    <row r="341" spans="2:57">
      <c r="B341" s="405" t="str">
        <f>_xlfn.CONCAT(Tableau1[[#This Row],[Name ILN]],"-",Tableau1[[#This Row],[Name Shipper]],"-",Tableau1[[#This Row],[Name Site]])</f>
        <v>--</v>
      </c>
      <c r="C341" s="64" t="e">
        <f>_xlfn.CONCAT(Tableau1[[#This Row],[Compte ILN]],"-",Tableau1[[#This Row],[Compte Shipper]],"-",Tableau1[[#This Row],[POL]],"-",Tableau1[[#This Row],[Compte Consignee]])</f>
        <v>#N/A</v>
      </c>
      <c r="D341" s="64" t="e">
        <f>_xlfn.CONCAT(Tableau1[[#This Row],[Compte ILN]],"-",Tableau1[[#This Row],[Compte Shipper]],"-",Tableau1[[#This Row],[POL]])</f>
        <v>#N/A</v>
      </c>
      <c r="E341" s="128" t="e">
        <f ca="1">_xlfn.CONCAT(Tableau1[[#This Row],[POL]],"-",Tableau1[[#This Row],[Carrier]],"-",Tableau1[[#This Row],[POD]])</f>
        <v>#N/A</v>
      </c>
      <c r="F341" s="64" t="str">
        <f>_xlfn.CONCAT(Tableau1[[#This Row],[ID]],"-","Actif")</f>
        <v>-Actif</v>
      </c>
      <c r="G341" s="64" t="e">
        <f ca="1">_xlfn.CONCAT(Tableau1[[#This Row],[POD]],"-",Tableau1[[#This Row],[Code PFI]],"-",Tableau1[[#This Row],[Compte Consignee]])</f>
        <v>#N/A</v>
      </c>
      <c r="H34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1" s="117" t="str">
        <f ca="1">IF(COUNTIF(I:I,Tableau1[[#This Row],[Plant-ILN-shipper-POL-Carrier-POD-PFI]])=1,"Non","Oui")</f>
        <v>Oui</v>
      </c>
      <c r="K341" s="126" t="e">
        <f>VLOOKUP(Tableau1[[#This Row],[Name Site]],Plant_AILN!A:D,4,FALSE)</f>
        <v>#N/A</v>
      </c>
      <c r="L341" s="363"/>
      <c r="M341" s="492" t="e">
        <f>VLOOKUP(Tableau1[[#This Row],[Name Site]],Plant_AILN!A:C,3,FALSE)</f>
        <v>#N/A</v>
      </c>
      <c r="N341" s="55" t="e">
        <f>VLOOKUP(Tableau1[[#This Row],[Compte Consignee]],Order!C:D,2,FALSE)</f>
        <v>#N/A</v>
      </c>
      <c r="O341" s="122"/>
      <c r="P341" s="481" t="e">
        <f>VLOOKUP(Tableau1[[#This Row],[Name ILN]],Plant_AILN!F:G,2,FALSE)</f>
        <v>#N/A</v>
      </c>
      <c r="Q341" s="50" t="e">
        <f>VLOOKUP(Tableau1[[#This Row],[Compte ILN]],'DATA ILN'!D:I,6,FALSE)</f>
        <v>#N/A</v>
      </c>
      <c r="R341" s="50" t="e">
        <f>IFERROR(VLOOKUP(Tableau1[[#This Row],[Key(Compte ILN - shipper - POL - plant)]],'DATA ILN'!A:J,10,FALSE),VLOOKUP(Tableau1[[#This Row],[Key(Compte ILN - shipper - POL)]],'DATA ILN'!B:J,9,FALSE))</f>
        <v>#N/A</v>
      </c>
      <c r="S341" s="50" t="e">
        <f>IFERROR(VLOOKUP(Tableau1[[#This Row],[Key(Compte ILN - shipper - POL - plant)]],'DATA ILN'!A:K,11,FALSE),VLOOKUP(Tableau1[[#This Row],[Key(Compte ILN - shipper - POL)]],'DATA ILN'!B:K,10,FALSE))</f>
        <v>#N/A</v>
      </c>
      <c r="T341" s="50" t="e">
        <f>IFERROR(VLOOKUP(Tableau1[[#This Row],[Key(Compte ILN - shipper - POL - plant)]],'DATA ILN'!A:L,12,FALSE),VLOOKUP(Tableau1[[#This Row],[Key(Compte ILN - shipper - POL)]],'DATA ILN'!B:L,11,FALSE))</f>
        <v>#N/A</v>
      </c>
      <c r="U341" s="50" t="e">
        <f>Tableau1[[#This Row],[Day ILN Order]]+Tableau1[[#This Row],[Delivery time to ILN/Shipper]]-1</f>
        <v>#N/A</v>
      </c>
      <c r="V341" s="50" t="e">
        <f>IFERROR(VLOOKUP(Tableau1[[#This Row],[Key(Compte ILN - shipper - POL - plant)]],'DATA ILN'!A:N,14,FALSE),VLOOKUP(Tableau1[[#This Row],[Key(Compte ILN - shipper - POL)]],'DATA ILN'!B:N,13,FALSE))</f>
        <v>#N/A</v>
      </c>
      <c r="W341" s="50" t="e">
        <f>IFERROR(VLOOKUP(Tableau1[[#This Row],[Key(Compte ILN - shipper - POL - plant)]],'DATA ILN'!A:P,16,FALSE),VLOOKUP(Tableau1[[#This Row],[Key(Compte ILN - shipper - POL)]],'DATA ILN'!B:P,15,FALSE))</f>
        <v>#N/A</v>
      </c>
      <c r="X341" s="283"/>
      <c r="Y341" s="489">
        <f>IFERROR(VLOOKUP(Tableau1[[#This Row],[Name Shipper]],Plant_AILN!L:M,2,FALSE),0)</f>
        <v>0</v>
      </c>
      <c r="Z341" s="358"/>
      <c r="AA341" s="353" t="e">
        <f ca="1">VLOOKUP(Tableau1[[#This Row],[Key(ID-Actif)]],'DATA BTO'!A:N,5,FALSE)</f>
        <v>#N/A</v>
      </c>
      <c r="AB341" s="3" t="e">
        <f ca="1">VLOOKUP(Tableau1[[#This Row],[Key(ID-Actif)]],'DATA BTO'!A:N,6,FALSE)</f>
        <v>#N/A</v>
      </c>
      <c r="AC341" s="50" t="e">
        <f ca="1">VLOOKUP(Tableau1[[#This Row],[Key(ID-Actif)]],'DATA BTO'!A:N,7,FALSE)</f>
        <v>#N/A</v>
      </c>
      <c r="AD341" s="50" t="e">
        <f ca="1">VLOOKUP(Tableau1[[#This Row],[Key(ID-Actif)]],'DATA BTO'!A:N,8,FALSE)</f>
        <v>#N/A</v>
      </c>
      <c r="AE341" s="406" t="e">
        <f ca="1">IF(Tableau1[[#This Row],[First Day to POL]]&lt;=Tableau1[[#This Row],[Day Cut Off]],Tableau1[[#This Row],[Day ETD]],Tableau1[[#This Row],[Day ETD]]+7)</f>
        <v>#N/A</v>
      </c>
      <c r="AF341" s="50" t="e">
        <f ca="1">VLOOKUP(Tableau1[[#This Row],[Key(ID-Actif)]],'DATA BTO'!A:N,9,FALSE)</f>
        <v>#N/A</v>
      </c>
      <c r="AG341" s="3" t="e">
        <f ca="1">VLOOKUP(Tableau1[[#This Row],[Key(ID-Actif)]],'DATA BTO'!A:N,10,FALSE)</f>
        <v>#N/A</v>
      </c>
      <c r="AH341" s="3" t="e">
        <f ca="1">VLOOKUP(Tableau1[[#This Row],[Key(ID-Actif)]],'DATA BTO'!A:N,11,FALSE)</f>
        <v>#N/A</v>
      </c>
      <c r="AI341" s="50" t="e">
        <f ca="1">VLOOKUP(Tableau1[[#This Row],[Key(ID-Actif)]],'DATA BTO'!A:N,12,FALSE)</f>
        <v>#N/A</v>
      </c>
      <c r="AJ341" s="53" t="e">
        <f ca="1">VLOOKUP(Tableau1[[#This Row],[Key(ID-Actif)]],'DATA BTO'!A:N,14,FALSE)</f>
        <v>#N/A</v>
      </c>
      <c r="AK341" s="54" t="e">
        <f ca="1">VLOOKUP(Tableau1[[#This Row],[Key(POD -PFI- Usine)]],'DATA Consignee'!A:F,6,FALSE)</f>
        <v>#N/A</v>
      </c>
      <c r="AL341" s="283"/>
      <c r="AM341" s="490" t="str">
        <f>IF(Tableau1[[#This Row],[Name PFI/CDD]]="","-",VLOOKUP(Tableau1[[#This Row],[Name PFI/CDD]],Plant_AILN!I:J,2,FALSE))</f>
        <v>-</v>
      </c>
      <c r="AN34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1" s="2" t="e">
        <f ca="1">VLOOKUP(Tableau1[[#This Row],[Key(POD -PFI- Usine)]],'DATA Consignee'!A:J,10,FALSE)</f>
        <v>#N/A</v>
      </c>
      <c r="AQ341" s="50" t="e">
        <f ca="1">VLOOKUP(Tableau1[[#This Row],[Key(POD -PFI- Usine)]],'DATA Consignee'!A:N,14,FALSE)</f>
        <v>#N/A</v>
      </c>
      <c r="AR34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1" s="50" t="e">
        <f ca="1">Tableau1[[#This Row],[Transit time]]+Tableau1[[#This Row],[Time for security]]+Tableau1[[#This Row],[Time for security2 buffer]]</f>
        <v>#N/A</v>
      </c>
      <c r="AU34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1" s="50" t="e">
        <f ca="1">Tableau1[[#This Row],[Leadtime SI2C]]+Tableau1[[#This Row],[First Receipt Days]]-Tableau1[[#This Row],[Day Customer Order]]+1</f>
        <v>#N/A</v>
      </c>
      <c r="AW341" s="117" t="e">
        <f ca="1">IF(Tableau1[[#This Row],[Name ILN]]&lt;&gt;"SFK Freight Forwarder",Tableau1[[#This Row],[Cust. Leadtime]],Tableau1[[#This Row],[Leadtime SI2C]])</f>
        <v>#N/A</v>
      </c>
      <c r="AX341" s="57" t="e">
        <f>VLOOKUP(Tableau1[[#This Row],[ID]],'DATA BTO'!B:P,15,FALSE)</f>
        <v>#N/A</v>
      </c>
      <c r="AY341" s="328" t="e">
        <f ca="1">IFERROR(VLOOKUP(Tableau1[[#This Row],[Key(ID-Actif)]],'DATA BTO'!A:N,4,FALSE),VLOOKUP(Tableau1[[#This Row],[ID]],'DATA BTO'!B:N,3,FALSE))</f>
        <v>#N/A</v>
      </c>
      <c r="AZ34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1" s="50"/>
    </row>
    <row r="342" spans="2:57">
      <c r="B342" s="405" t="str">
        <f>_xlfn.CONCAT(Tableau1[[#This Row],[Name ILN]],"-",Tableau1[[#This Row],[Name Shipper]],"-",Tableau1[[#This Row],[Name Site]])</f>
        <v>--</v>
      </c>
      <c r="C342" s="64" t="e">
        <f>_xlfn.CONCAT(Tableau1[[#This Row],[Compte ILN]],"-",Tableau1[[#This Row],[Compte Shipper]],"-",Tableau1[[#This Row],[POL]],"-",Tableau1[[#This Row],[Compte Consignee]])</f>
        <v>#N/A</v>
      </c>
      <c r="D342" s="64" t="e">
        <f>_xlfn.CONCAT(Tableau1[[#This Row],[Compte ILN]],"-",Tableau1[[#This Row],[Compte Shipper]],"-",Tableau1[[#This Row],[POL]])</f>
        <v>#N/A</v>
      </c>
      <c r="E342" s="128" t="e">
        <f ca="1">_xlfn.CONCAT(Tableau1[[#This Row],[POL]],"-",Tableau1[[#This Row],[Carrier]],"-",Tableau1[[#This Row],[POD]])</f>
        <v>#N/A</v>
      </c>
      <c r="F342" s="64" t="str">
        <f>_xlfn.CONCAT(Tableau1[[#This Row],[ID]],"-","Actif")</f>
        <v>-Actif</v>
      </c>
      <c r="G342" s="64" t="e">
        <f ca="1">_xlfn.CONCAT(Tableau1[[#This Row],[POD]],"-",Tableau1[[#This Row],[Code PFI]],"-",Tableau1[[#This Row],[Compte Consignee]])</f>
        <v>#N/A</v>
      </c>
      <c r="H34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2" s="117" t="str">
        <f ca="1">IF(COUNTIF(I:I,Tableau1[[#This Row],[Plant-ILN-shipper-POL-Carrier-POD-PFI]])=1,"Non","Oui")</f>
        <v>Oui</v>
      </c>
      <c r="K342" s="126" t="e">
        <f>VLOOKUP(Tableau1[[#This Row],[Name Site]],Plant_AILN!A:D,4,FALSE)</f>
        <v>#N/A</v>
      </c>
      <c r="L342" s="363"/>
      <c r="M342" s="492" t="e">
        <f>VLOOKUP(Tableau1[[#This Row],[Name Site]],Plant_AILN!A:C,3,FALSE)</f>
        <v>#N/A</v>
      </c>
      <c r="N342" s="55" t="e">
        <f>VLOOKUP(Tableau1[[#This Row],[Compte Consignee]],Order!C:D,2,FALSE)</f>
        <v>#N/A</v>
      </c>
      <c r="O342" s="122"/>
      <c r="P342" s="481" t="e">
        <f>VLOOKUP(Tableau1[[#This Row],[Name ILN]],Plant_AILN!F:G,2,FALSE)</f>
        <v>#N/A</v>
      </c>
      <c r="Q342" s="50" t="e">
        <f>VLOOKUP(Tableau1[[#This Row],[Compte ILN]],'DATA ILN'!D:I,6,FALSE)</f>
        <v>#N/A</v>
      </c>
      <c r="R342" s="50" t="e">
        <f>IFERROR(VLOOKUP(Tableau1[[#This Row],[Key(Compte ILN - shipper - POL - plant)]],'DATA ILN'!A:J,10,FALSE),VLOOKUP(Tableau1[[#This Row],[Key(Compte ILN - shipper - POL)]],'DATA ILN'!B:J,9,FALSE))</f>
        <v>#N/A</v>
      </c>
      <c r="S342" s="50" t="e">
        <f>IFERROR(VLOOKUP(Tableau1[[#This Row],[Key(Compte ILN - shipper - POL - plant)]],'DATA ILN'!A:K,11,FALSE),VLOOKUP(Tableau1[[#This Row],[Key(Compte ILN - shipper - POL)]],'DATA ILN'!B:K,10,FALSE))</f>
        <v>#N/A</v>
      </c>
      <c r="T342" s="50" t="e">
        <f>IFERROR(VLOOKUP(Tableau1[[#This Row],[Key(Compte ILN - shipper - POL - plant)]],'DATA ILN'!A:L,12,FALSE),VLOOKUP(Tableau1[[#This Row],[Key(Compte ILN - shipper - POL)]],'DATA ILN'!B:L,11,FALSE))</f>
        <v>#N/A</v>
      </c>
      <c r="U342" s="50" t="e">
        <f>Tableau1[[#This Row],[Day ILN Order]]+Tableau1[[#This Row],[Delivery time to ILN/Shipper]]-1</f>
        <v>#N/A</v>
      </c>
      <c r="V342" s="50" t="e">
        <f>IFERROR(VLOOKUP(Tableau1[[#This Row],[Key(Compte ILN - shipper - POL - plant)]],'DATA ILN'!A:N,14,FALSE),VLOOKUP(Tableau1[[#This Row],[Key(Compte ILN - shipper - POL)]],'DATA ILN'!B:N,13,FALSE))</f>
        <v>#N/A</v>
      </c>
      <c r="W342" s="50" t="e">
        <f>IFERROR(VLOOKUP(Tableau1[[#This Row],[Key(Compte ILN - shipper - POL - plant)]],'DATA ILN'!A:P,16,FALSE),VLOOKUP(Tableau1[[#This Row],[Key(Compte ILN - shipper - POL)]],'DATA ILN'!B:P,15,FALSE))</f>
        <v>#N/A</v>
      </c>
      <c r="X342" s="283"/>
      <c r="Y342" s="489">
        <f>IFERROR(VLOOKUP(Tableau1[[#This Row],[Name Shipper]],Plant_AILN!L:M,2,FALSE),0)</f>
        <v>0</v>
      </c>
      <c r="Z342" s="358"/>
      <c r="AA342" s="353" t="e">
        <f ca="1">VLOOKUP(Tableau1[[#This Row],[Key(ID-Actif)]],'DATA BTO'!A:N,5,FALSE)</f>
        <v>#N/A</v>
      </c>
      <c r="AB342" s="3" t="e">
        <f ca="1">VLOOKUP(Tableau1[[#This Row],[Key(ID-Actif)]],'DATA BTO'!A:N,6,FALSE)</f>
        <v>#N/A</v>
      </c>
      <c r="AC342" s="50" t="e">
        <f ca="1">VLOOKUP(Tableau1[[#This Row],[Key(ID-Actif)]],'DATA BTO'!A:N,7,FALSE)</f>
        <v>#N/A</v>
      </c>
      <c r="AD342" s="50" t="e">
        <f ca="1">VLOOKUP(Tableau1[[#This Row],[Key(ID-Actif)]],'DATA BTO'!A:N,8,FALSE)</f>
        <v>#N/A</v>
      </c>
      <c r="AE342" s="406" t="e">
        <f ca="1">IF(Tableau1[[#This Row],[First Day to POL]]&lt;=Tableau1[[#This Row],[Day Cut Off]],Tableau1[[#This Row],[Day ETD]],Tableau1[[#This Row],[Day ETD]]+7)</f>
        <v>#N/A</v>
      </c>
      <c r="AF342" s="50" t="e">
        <f ca="1">VLOOKUP(Tableau1[[#This Row],[Key(ID-Actif)]],'DATA BTO'!A:N,9,FALSE)</f>
        <v>#N/A</v>
      </c>
      <c r="AG342" s="3" t="e">
        <f ca="1">VLOOKUP(Tableau1[[#This Row],[Key(ID-Actif)]],'DATA BTO'!A:N,10,FALSE)</f>
        <v>#N/A</v>
      </c>
      <c r="AH342" s="3" t="e">
        <f ca="1">VLOOKUP(Tableau1[[#This Row],[Key(ID-Actif)]],'DATA BTO'!A:N,11,FALSE)</f>
        <v>#N/A</v>
      </c>
      <c r="AI342" s="50" t="e">
        <f ca="1">VLOOKUP(Tableau1[[#This Row],[Key(ID-Actif)]],'DATA BTO'!A:N,12,FALSE)</f>
        <v>#N/A</v>
      </c>
      <c r="AJ342" s="53" t="e">
        <f ca="1">VLOOKUP(Tableau1[[#This Row],[Key(ID-Actif)]],'DATA BTO'!A:N,14,FALSE)</f>
        <v>#N/A</v>
      </c>
      <c r="AK342" s="54" t="e">
        <f ca="1">VLOOKUP(Tableau1[[#This Row],[Key(POD -PFI- Usine)]],'DATA Consignee'!A:F,6,FALSE)</f>
        <v>#N/A</v>
      </c>
      <c r="AL342" s="283"/>
      <c r="AM342" s="490" t="str">
        <f>IF(Tableau1[[#This Row],[Name PFI/CDD]]="","-",VLOOKUP(Tableau1[[#This Row],[Name PFI/CDD]],Plant_AILN!I:J,2,FALSE))</f>
        <v>-</v>
      </c>
      <c r="AN34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2" s="2" t="e">
        <f ca="1">VLOOKUP(Tableau1[[#This Row],[Key(POD -PFI- Usine)]],'DATA Consignee'!A:J,10,FALSE)</f>
        <v>#N/A</v>
      </c>
      <c r="AQ342" s="50" t="e">
        <f ca="1">VLOOKUP(Tableau1[[#This Row],[Key(POD -PFI- Usine)]],'DATA Consignee'!A:N,14,FALSE)</f>
        <v>#N/A</v>
      </c>
      <c r="AR34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2" s="50" t="e">
        <f ca="1">Tableau1[[#This Row],[Transit time]]+Tableau1[[#This Row],[Time for security]]+Tableau1[[#This Row],[Time for security2 buffer]]</f>
        <v>#N/A</v>
      </c>
      <c r="AU34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2" s="50" t="e">
        <f ca="1">Tableau1[[#This Row],[Leadtime SI2C]]+Tableau1[[#This Row],[First Receipt Days]]-Tableau1[[#This Row],[Day Customer Order]]+1</f>
        <v>#N/A</v>
      </c>
      <c r="AW342" s="117" t="e">
        <f ca="1">IF(Tableau1[[#This Row],[Name ILN]]&lt;&gt;"SFK Freight Forwarder",Tableau1[[#This Row],[Cust. Leadtime]],Tableau1[[#This Row],[Leadtime SI2C]])</f>
        <v>#N/A</v>
      </c>
      <c r="AX342" s="57" t="e">
        <f>VLOOKUP(Tableau1[[#This Row],[ID]],'DATA BTO'!B:P,15,FALSE)</f>
        <v>#N/A</v>
      </c>
      <c r="AY342" s="328" t="e">
        <f ca="1">IFERROR(VLOOKUP(Tableau1[[#This Row],[Key(ID-Actif)]],'DATA BTO'!A:N,4,FALSE),VLOOKUP(Tableau1[[#This Row],[ID]],'DATA BTO'!B:N,3,FALSE))</f>
        <v>#N/A</v>
      </c>
      <c r="AZ34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2" s="50"/>
    </row>
    <row r="343" spans="2:57">
      <c r="B343" s="405" t="str">
        <f>_xlfn.CONCAT(Tableau1[[#This Row],[Name ILN]],"-",Tableau1[[#This Row],[Name Shipper]],"-",Tableau1[[#This Row],[Name Site]])</f>
        <v>--</v>
      </c>
      <c r="C343" s="64" t="e">
        <f>_xlfn.CONCAT(Tableau1[[#This Row],[Compte ILN]],"-",Tableau1[[#This Row],[Compte Shipper]],"-",Tableau1[[#This Row],[POL]],"-",Tableau1[[#This Row],[Compte Consignee]])</f>
        <v>#N/A</v>
      </c>
      <c r="D343" s="64" t="e">
        <f>_xlfn.CONCAT(Tableau1[[#This Row],[Compte ILN]],"-",Tableau1[[#This Row],[Compte Shipper]],"-",Tableau1[[#This Row],[POL]])</f>
        <v>#N/A</v>
      </c>
      <c r="E343" s="128" t="e">
        <f ca="1">_xlfn.CONCAT(Tableau1[[#This Row],[POL]],"-",Tableau1[[#This Row],[Carrier]],"-",Tableau1[[#This Row],[POD]])</f>
        <v>#N/A</v>
      </c>
      <c r="F343" s="64" t="str">
        <f>_xlfn.CONCAT(Tableau1[[#This Row],[ID]],"-","Actif")</f>
        <v>-Actif</v>
      </c>
      <c r="G343" s="64" t="e">
        <f ca="1">_xlfn.CONCAT(Tableau1[[#This Row],[POD]],"-",Tableau1[[#This Row],[Code PFI]],"-",Tableau1[[#This Row],[Compte Consignee]])</f>
        <v>#N/A</v>
      </c>
      <c r="H34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3" s="117" t="str">
        <f ca="1">IF(COUNTIF(I:I,Tableau1[[#This Row],[Plant-ILN-shipper-POL-Carrier-POD-PFI]])=1,"Non","Oui")</f>
        <v>Oui</v>
      </c>
      <c r="K343" s="126" t="e">
        <f>VLOOKUP(Tableau1[[#This Row],[Name Site]],Plant_AILN!A:D,4,FALSE)</f>
        <v>#N/A</v>
      </c>
      <c r="L343" s="363"/>
      <c r="M343" s="492" t="e">
        <f>VLOOKUP(Tableau1[[#This Row],[Name Site]],Plant_AILN!A:C,3,FALSE)</f>
        <v>#N/A</v>
      </c>
      <c r="N343" s="55" t="e">
        <f>VLOOKUP(Tableau1[[#This Row],[Compte Consignee]],Order!C:D,2,FALSE)</f>
        <v>#N/A</v>
      </c>
      <c r="O343" s="122"/>
      <c r="P343" s="481" t="e">
        <f>VLOOKUP(Tableau1[[#This Row],[Name ILN]],Plant_AILN!F:G,2,FALSE)</f>
        <v>#N/A</v>
      </c>
      <c r="Q343" s="50" t="e">
        <f>VLOOKUP(Tableau1[[#This Row],[Compte ILN]],'DATA ILN'!D:I,6,FALSE)</f>
        <v>#N/A</v>
      </c>
      <c r="R343" s="50" t="e">
        <f>IFERROR(VLOOKUP(Tableau1[[#This Row],[Key(Compte ILN - shipper - POL - plant)]],'DATA ILN'!A:J,10,FALSE),VLOOKUP(Tableau1[[#This Row],[Key(Compte ILN - shipper - POL)]],'DATA ILN'!B:J,9,FALSE))</f>
        <v>#N/A</v>
      </c>
      <c r="S343" s="50" t="e">
        <f>IFERROR(VLOOKUP(Tableau1[[#This Row],[Key(Compte ILN - shipper - POL - plant)]],'DATA ILN'!A:K,11,FALSE),VLOOKUP(Tableau1[[#This Row],[Key(Compte ILN - shipper - POL)]],'DATA ILN'!B:K,10,FALSE))</f>
        <v>#N/A</v>
      </c>
      <c r="T343" s="50" t="e">
        <f>IFERROR(VLOOKUP(Tableau1[[#This Row],[Key(Compte ILN - shipper - POL - plant)]],'DATA ILN'!A:L,12,FALSE),VLOOKUP(Tableau1[[#This Row],[Key(Compte ILN - shipper - POL)]],'DATA ILN'!B:L,11,FALSE))</f>
        <v>#N/A</v>
      </c>
      <c r="U343" s="50" t="e">
        <f>Tableau1[[#This Row],[Day ILN Order]]+Tableau1[[#This Row],[Delivery time to ILN/Shipper]]-1</f>
        <v>#N/A</v>
      </c>
      <c r="V343" s="50" t="e">
        <f>IFERROR(VLOOKUP(Tableau1[[#This Row],[Key(Compte ILN - shipper - POL - plant)]],'DATA ILN'!A:N,14,FALSE),VLOOKUP(Tableau1[[#This Row],[Key(Compte ILN - shipper - POL)]],'DATA ILN'!B:N,13,FALSE))</f>
        <v>#N/A</v>
      </c>
      <c r="W343" s="50" t="e">
        <f>IFERROR(VLOOKUP(Tableau1[[#This Row],[Key(Compte ILN - shipper - POL - plant)]],'DATA ILN'!A:P,16,FALSE),VLOOKUP(Tableau1[[#This Row],[Key(Compte ILN - shipper - POL)]],'DATA ILN'!B:P,15,FALSE))</f>
        <v>#N/A</v>
      </c>
      <c r="X343" s="283"/>
      <c r="Y343" s="489">
        <f>IFERROR(VLOOKUP(Tableau1[[#This Row],[Name Shipper]],Plant_AILN!L:M,2,FALSE),0)</f>
        <v>0</v>
      </c>
      <c r="Z343" s="358"/>
      <c r="AA343" s="353" t="e">
        <f ca="1">VLOOKUP(Tableau1[[#This Row],[Key(ID-Actif)]],'DATA BTO'!A:N,5,FALSE)</f>
        <v>#N/A</v>
      </c>
      <c r="AB343" s="3" t="e">
        <f ca="1">VLOOKUP(Tableau1[[#This Row],[Key(ID-Actif)]],'DATA BTO'!A:N,6,FALSE)</f>
        <v>#N/A</v>
      </c>
      <c r="AC343" s="50" t="e">
        <f ca="1">VLOOKUP(Tableau1[[#This Row],[Key(ID-Actif)]],'DATA BTO'!A:N,7,FALSE)</f>
        <v>#N/A</v>
      </c>
      <c r="AD343" s="50" t="e">
        <f ca="1">VLOOKUP(Tableau1[[#This Row],[Key(ID-Actif)]],'DATA BTO'!A:N,8,FALSE)</f>
        <v>#N/A</v>
      </c>
      <c r="AE343" s="406" t="e">
        <f ca="1">IF(Tableau1[[#This Row],[First Day to POL]]&lt;=Tableau1[[#This Row],[Day Cut Off]],Tableau1[[#This Row],[Day ETD]],Tableau1[[#This Row],[Day ETD]]+7)</f>
        <v>#N/A</v>
      </c>
      <c r="AF343" s="50" t="e">
        <f ca="1">VLOOKUP(Tableau1[[#This Row],[Key(ID-Actif)]],'DATA BTO'!A:N,9,FALSE)</f>
        <v>#N/A</v>
      </c>
      <c r="AG343" s="3" t="e">
        <f ca="1">VLOOKUP(Tableau1[[#This Row],[Key(ID-Actif)]],'DATA BTO'!A:N,10,FALSE)</f>
        <v>#N/A</v>
      </c>
      <c r="AH343" s="3" t="e">
        <f ca="1">VLOOKUP(Tableau1[[#This Row],[Key(ID-Actif)]],'DATA BTO'!A:N,11,FALSE)</f>
        <v>#N/A</v>
      </c>
      <c r="AI343" s="50" t="e">
        <f ca="1">VLOOKUP(Tableau1[[#This Row],[Key(ID-Actif)]],'DATA BTO'!A:N,12,FALSE)</f>
        <v>#N/A</v>
      </c>
      <c r="AJ343" s="53" t="e">
        <f ca="1">VLOOKUP(Tableau1[[#This Row],[Key(ID-Actif)]],'DATA BTO'!A:N,14,FALSE)</f>
        <v>#N/A</v>
      </c>
      <c r="AK343" s="54" t="e">
        <f ca="1">VLOOKUP(Tableau1[[#This Row],[Key(POD -PFI- Usine)]],'DATA Consignee'!A:F,6,FALSE)</f>
        <v>#N/A</v>
      </c>
      <c r="AL343" s="283"/>
      <c r="AM343" s="490" t="str">
        <f>IF(Tableau1[[#This Row],[Name PFI/CDD]]="","-",VLOOKUP(Tableau1[[#This Row],[Name PFI/CDD]],Plant_AILN!I:J,2,FALSE))</f>
        <v>-</v>
      </c>
      <c r="AN34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3" s="2" t="e">
        <f ca="1">VLOOKUP(Tableau1[[#This Row],[Key(POD -PFI- Usine)]],'DATA Consignee'!A:J,10,FALSE)</f>
        <v>#N/A</v>
      </c>
      <c r="AQ343" s="50" t="e">
        <f ca="1">VLOOKUP(Tableau1[[#This Row],[Key(POD -PFI- Usine)]],'DATA Consignee'!A:N,14,FALSE)</f>
        <v>#N/A</v>
      </c>
      <c r="AR34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3" s="50" t="e">
        <f ca="1">Tableau1[[#This Row],[Transit time]]+Tableau1[[#This Row],[Time for security]]+Tableau1[[#This Row],[Time for security2 buffer]]</f>
        <v>#N/A</v>
      </c>
      <c r="AU34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3" s="50" t="e">
        <f ca="1">Tableau1[[#This Row],[Leadtime SI2C]]+Tableau1[[#This Row],[First Receipt Days]]-Tableau1[[#This Row],[Day Customer Order]]+1</f>
        <v>#N/A</v>
      </c>
      <c r="AW343" s="117" t="e">
        <f ca="1">IF(Tableau1[[#This Row],[Name ILN]]&lt;&gt;"SFK Freight Forwarder",Tableau1[[#This Row],[Cust. Leadtime]],Tableau1[[#This Row],[Leadtime SI2C]])</f>
        <v>#N/A</v>
      </c>
      <c r="AX343" s="57" t="e">
        <f>VLOOKUP(Tableau1[[#This Row],[ID]],'DATA BTO'!B:P,15,FALSE)</f>
        <v>#N/A</v>
      </c>
      <c r="AY343" s="328" t="e">
        <f ca="1">IFERROR(VLOOKUP(Tableau1[[#This Row],[Key(ID-Actif)]],'DATA BTO'!A:N,4,FALSE),VLOOKUP(Tableau1[[#This Row],[ID]],'DATA BTO'!B:N,3,FALSE))</f>
        <v>#N/A</v>
      </c>
      <c r="AZ34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3" s="50"/>
    </row>
    <row r="344" spans="2:57">
      <c r="B344" s="405" t="str">
        <f>_xlfn.CONCAT(Tableau1[[#This Row],[Name ILN]],"-",Tableau1[[#This Row],[Name Shipper]],"-",Tableau1[[#This Row],[Name Site]])</f>
        <v>--</v>
      </c>
      <c r="C344" s="64" t="e">
        <f>_xlfn.CONCAT(Tableau1[[#This Row],[Compte ILN]],"-",Tableau1[[#This Row],[Compte Shipper]],"-",Tableau1[[#This Row],[POL]],"-",Tableau1[[#This Row],[Compte Consignee]])</f>
        <v>#N/A</v>
      </c>
      <c r="D344" s="64" t="e">
        <f>_xlfn.CONCAT(Tableau1[[#This Row],[Compte ILN]],"-",Tableau1[[#This Row],[Compte Shipper]],"-",Tableau1[[#This Row],[POL]])</f>
        <v>#N/A</v>
      </c>
      <c r="E344" s="128" t="e">
        <f ca="1">_xlfn.CONCAT(Tableau1[[#This Row],[POL]],"-",Tableau1[[#This Row],[Carrier]],"-",Tableau1[[#This Row],[POD]])</f>
        <v>#N/A</v>
      </c>
      <c r="F344" s="64" t="str">
        <f>_xlfn.CONCAT(Tableau1[[#This Row],[ID]],"-","Actif")</f>
        <v>-Actif</v>
      </c>
      <c r="G344" s="64" t="e">
        <f ca="1">_xlfn.CONCAT(Tableau1[[#This Row],[POD]],"-",Tableau1[[#This Row],[Code PFI]],"-",Tableau1[[#This Row],[Compte Consignee]])</f>
        <v>#N/A</v>
      </c>
      <c r="H34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4" s="117" t="str">
        <f ca="1">IF(COUNTIF(I:I,Tableau1[[#This Row],[Plant-ILN-shipper-POL-Carrier-POD-PFI]])=1,"Non","Oui")</f>
        <v>Oui</v>
      </c>
      <c r="K344" s="126" t="e">
        <f>VLOOKUP(Tableau1[[#This Row],[Name Site]],Plant_AILN!A:D,4,FALSE)</f>
        <v>#N/A</v>
      </c>
      <c r="L344" s="363"/>
      <c r="M344" s="492" t="e">
        <f>VLOOKUP(Tableau1[[#This Row],[Name Site]],Plant_AILN!A:C,3,FALSE)</f>
        <v>#N/A</v>
      </c>
      <c r="N344" s="55" t="e">
        <f>VLOOKUP(Tableau1[[#This Row],[Compte Consignee]],Order!C:D,2,FALSE)</f>
        <v>#N/A</v>
      </c>
      <c r="O344" s="122"/>
      <c r="P344" s="481" t="e">
        <f>VLOOKUP(Tableau1[[#This Row],[Name ILN]],Plant_AILN!F:G,2,FALSE)</f>
        <v>#N/A</v>
      </c>
      <c r="Q344" s="50" t="e">
        <f>VLOOKUP(Tableau1[[#This Row],[Compte ILN]],'DATA ILN'!D:I,6,FALSE)</f>
        <v>#N/A</v>
      </c>
      <c r="R344" s="50" t="e">
        <f>IFERROR(VLOOKUP(Tableau1[[#This Row],[Key(Compte ILN - shipper - POL - plant)]],'DATA ILN'!A:J,10,FALSE),VLOOKUP(Tableau1[[#This Row],[Key(Compte ILN - shipper - POL)]],'DATA ILN'!B:J,9,FALSE))</f>
        <v>#N/A</v>
      </c>
      <c r="S344" s="50" t="e">
        <f>IFERROR(VLOOKUP(Tableau1[[#This Row],[Key(Compte ILN - shipper - POL - plant)]],'DATA ILN'!A:K,11,FALSE),VLOOKUP(Tableau1[[#This Row],[Key(Compte ILN - shipper - POL)]],'DATA ILN'!B:K,10,FALSE))</f>
        <v>#N/A</v>
      </c>
      <c r="T344" s="50" t="e">
        <f>IFERROR(VLOOKUP(Tableau1[[#This Row],[Key(Compte ILN - shipper - POL - plant)]],'DATA ILN'!A:L,12,FALSE),VLOOKUP(Tableau1[[#This Row],[Key(Compte ILN - shipper - POL)]],'DATA ILN'!B:L,11,FALSE))</f>
        <v>#N/A</v>
      </c>
      <c r="U344" s="50" t="e">
        <f>Tableau1[[#This Row],[Day ILN Order]]+Tableau1[[#This Row],[Delivery time to ILN/Shipper]]-1</f>
        <v>#N/A</v>
      </c>
      <c r="V344" s="50" t="e">
        <f>IFERROR(VLOOKUP(Tableau1[[#This Row],[Key(Compte ILN - shipper - POL - plant)]],'DATA ILN'!A:N,14,FALSE),VLOOKUP(Tableau1[[#This Row],[Key(Compte ILN - shipper - POL)]],'DATA ILN'!B:N,13,FALSE))</f>
        <v>#N/A</v>
      </c>
      <c r="W344" s="50" t="e">
        <f>IFERROR(VLOOKUP(Tableau1[[#This Row],[Key(Compte ILN - shipper - POL - plant)]],'DATA ILN'!A:P,16,FALSE),VLOOKUP(Tableau1[[#This Row],[Key(Compte ILN - shipper - POL)]],'DATA ILN'!B:P,15,FALSE))</f>
        <v>#N/A</v>
      </c>
      <c r="X344" s="283"/>
      <c r="Y344" s="489">
        <f>IFERROR(VLOOKUP(Tableau1[[#This Row],[Name Shipper]],Plant_AILN!L:M,2,FALSE),0)</f>
        <v>0</v>
      </c>
      <c r="Z344" s="358"/>
      <c r="AA344" s="353" t="e">
        <f ca="1">VLOOKUP(Tableau1[[#This Row],[Key(ID-Actif)]],'DATA BTO'!A:N,5,FALSE)</f>
        <v>#N/A</v>
      </c>
      <c r="AB344" s="3" t="e">
        <f ca="1">VLOOKUP(Tableau1[[#This Row],[Key(ID-Actif)]],'DATA BTO'!A:N,6,FALSE)</f>
        <v>#N/A</v>
      </c>
      <c r="AC344" s="50" t="e">
        <f ca="1">VLOOKUP(Tableau1[[#This Row],[Key(ID-Actif)]],'DATA BTO'!A:N,7,FALSE)</f>
        <v>#N/A</v>
      </c>
      <c r="AD344" s="50" t="e">
        <f ca="1">VLOOKUP(Tableau1[[#This Row],[Key(ID-Actif)]],'DATA BTO'!A:N,8,FALSE)</f>
        <v>#N/A</v>
      </c>
      <c r="AE344" s="406" t="e">
        <f ca="1">IF(Tableau1[[#This Row],[First Day to POL]]&lt;=Tableau1[[#This Row],[Day Cut Off]],Tableau1[[#This Row],[Day ETD]],Tableau1[[#This Row],[Day ETD]]+7)</f>
        <v>#N/A</v>
      </c>
      <c r="AF344" s="50" t="e">
        <f ca="1">VLOOKUP(Tableau1[[#This Row],[Key(ID-Actif)]],'DATA BTO'!A:N,9,FALSE)</f>
        <v>#N/A</v>
      </c>
      <c r="AG344" s="3" t="e">
        <f ca="1">VLOOKUP(Tableau1[[#This Row],[Key(ID-Actif)]],'DATA BTO'!A:N,10,FALSE)</f>
        <v>#N/A</v>
      </c>
      <c r="AH344" s="3" t="e">
        <f ca="1">VLOOKUP(Tableau1[[#This Row],[Key(ID-Actif)]],'DATA BTO'!A:N,11,FALSE)</f>
        <v>#N/A</v>
      </c>
      <c r="AI344" s="50" t="e">
        <f ca="1">VLOOKUP(Tableau1[[#This Row],[Key(ID-Actif)]],'DATA BTO'!A:N,12,FALSE)</f>
        <v>#N/A</v>
      </c>
      <c r="AJ344" s="53" t="e">
        <f ca="1">VLOOKUP(Tableau1[[#This Row],[Key(ID-Actif)]],'DATA BTO'!A:N,14,FALSE)</f>
        <v>#N/A</v>
      </c>
      <c r="AK344" s="54" t="e">
        <f ca="1">VLOOKUP(Tableau1[[#This Row],[Key(POD -PFI- Usine)]],'DATA Consignee'!A:F,6,FALSE)</f>
        <v>#N/A</v>
      </c>
      <c r="AL344" s="283"/>
      <c r="AM344" s="490" t="str">
        <f>IF(Tableau1[[#This Row],[Name PFI/CDD]]="","-",VLOOKUP(Tableau1[[#This Row],[Name PFI/CDD]],Plant_AILN!I:J,2,FALSE))</f>
        <v>-</v>
      </c>
      <c r="AN34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4" s="2" t="e">
        <f ca="1">VLOOKUP(Tableau1[[#This Row],[Key(POD -PFI- Usine)]],'DATA Consignee'!A:J,10,FALSE)</f>
        <v>#N/A</v>
      </c>
      <c r="AQ344" s="50" t="e">
        <f ca="1">VLOOKUP(Tableau1[[#This Row],[Key(POD -PFI- Usine)]],'DATA Consignee'!A:N,14,FALSE)</f>
        <v>#N/A</v>
      </c>
      <c r="AR34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4" s="50" t="e">
        <f ca="1">Tableau1[[#This Row],[Transit time]]+Tableau1[[#This Row],[Time for security]]+Tableau1[[#This Row],[Time for security2 buffer]]</f>
        <v>#N/A</v>
      </c>
      <c r="AU34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4" s="50" t="e">
        <f ca="1">Tableau1[[#This Row],[Leadtime SI2C]]+Tableau1[[#This Row],[First Receipt Days]]-Tableau1[[#This Row],[Day Customer Order]]+1</f>
        <v>#N/A</v>
      </c>
      <c r="AW344" s="117" t="e">
        <f ca="1">IF(Tableau1[[#This Row],[Name ILN]]&lt;&gt;"SFK Freight Forwarder",Tableau1[[#This Row],[Cust. Leadtime]],Tableau1[[#This Row],[Leadtime SI2C]])</f>
        <v>#N/A</v>
      </c>
      <c r="AX344" s="57" t="e">
        <f>VLOOKUP(Tableau1[[#This Row],[ID]],'DATA BTO'!B:P,15,FALSE)</f>
        <v>#N/A</v>
      </c>
      <c r="AY344" s="328" t="e">
        <f ca="1">IFERROR(VLOOKUP(Tableau1[[#This Row],[Key(ID-Actif)]],'DATA BTO'!A:N,4,FALSE),VLOOKUP(Tableau1[[#This Row],[ID]],'DATA BTO'!B:N,3,FALSE))</f>
        <v>#N/A</v>
      </c>
      <c r="AZ34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4" s="50"/>
    </row>
    <row r="345" spans="2:57">
      <c r="B345" s="405" t="str">
        <f>_xlfn.CONCAT(Tableau1[[#This Row],[Name ILN]],"-",Tableau1[[#This Row],[Name Shipper]],"-",Tableau1[[#This Row],[Name Site]])</f>
        <v>--</v>
      </c>
      <c r="C345" s="64" t="e">
        <f>_xlfn.CONCAT(Tableau1[[#This Row],[Compte ILN]],"-",Tableau1[[#This Row],[Compte Shipper]],"-",Tableau1[[#This Row],[POL]],"-",Tableau1[[#This Row],[Compte Consignee]])</f>
        <v>#N/A</v>
      </c>
      <c r="D345" s="64" t="e">
        <f>_xlfn.CONCAT(Tableau1[[#This Row],[Compte ILN]],"-",Tableau1[[#This Row],[Compte Shipper]],"-",Tableau1[[#This Row],[POL]])</f>
        <v>#N/A</v>
      </c>
      <c r="E345" s="128" t="e">
        <f ca="1">_xlfn.CONCAT(Tableau1[[#This Row],[POL]],"-",Tableau1[[#This Row],[Carrier]],"-",Tableau1[[#This Row],[POD]])</f>
        <v>#N/A</v>
      </c>
      <c r="F345" s="64" t="str">
        <f>_xlfn.CONCAT(Tableau1[[#This Row],[ID]],"-","Actif")</f>
        <v>-Actif</v>
      </c>
      <c r="G345" s="64" t="e">
        <f ca="1">_xlfn.CONCAT(Tableau1[[#This Row],[POD]],"-",Tableau1[[#This Row],[Code PFI]],"-",Tableau1[[#This Row],[Compte Consignee]])</f>
        <v>#N/A</v>
      </c>
      <c r="H34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5" s="117" t="str">
        <f ca="1">IF(COUNTIF(I:I,Tableau1[[#This Row],[Plant-ILN-shipper-POL-Carrier-POD-PFI]])=1,"Non","Oui")</f>
        <v>Oui</v>
      </c>
      <c r="K345" s="126" t="e">
        <f>VLOOKUP(Tableau1[[#This Row],[Name Site]],Plant_AILN!A:D,4,FALSE)</f>
        <v>#N/A</v>
      </c>
      <c r="L345" s="363"/>
      <c r="M345" s="492" t="e">
        <f>VLOOKUP(Tableau1[[#This Row],[Name Site]],Plant_AILN!A:C,3,FALSE)</f>
        <v>#N/A</v>
      </c>
      <c r="N345" s="55" t="e">
        <f>VLOOKUP(Tableau1[[#This Row],[Compte Consignee]],Order!C:D,2,FALSE)</f>
        <v>#N/A</v>
      </c>
      <c r="O345" s="122"/>
      <c r="P345" s="481" t="e">
        <f>VLOOKUP(Tableau1[[#This Row],[Name ILN]],Plant_AILN!F:G,2,FALSE)</f>
        <v>#N/A</v>
      </c>
      <c r="Q345" s="50" t="e">
        <f>VLOOKUP(Tableau1[[#This Row],[Compte ILN]],'DATA ILN'!D:I,6,FALSE)</f>
        <v>#N/A</v>
      </c>
      <c r="R345" s="50" t="e">
        <f>IFERROR(VLOOKUP(Tableau1[[#This Row],[Key(Compte ILN - shipper - POL - plant)]],'DATA ILN'!A:J,10,FALSE),VLOOKUP(Tableau1[[#This Row],[Key(Compte ILN - shipper - POL)]],'DATA ILN'!B:J,9,FALSE))</f>
        <v>#N/A</v>
      </c>
      <c r="S345" s="50" t="e">
        <f>IFERROR(VLOOKUP(Tableau1[[#This Row],[Key(Compte ILN - shipper - POL - plant)]],'DATA ILN'!A:K,11,FALSE),VLOOKUP(Tableau1[[#This Row],[Key(Compte ILN - shipper - POL)]],'DATA ILN'!B:K,10,FALSE))</f>
        <v>#N/A</v>
      </c>
      <c r="T345" s="50" t="e">
        <f>IFERROR(VLOOKUP(Tableau1[[#This Row],[Key(Compte ILN - shipper - POL - plant)]],'DATA ILN'!A:L,12,FALSE),VLOOKUP(Tableau1[[#This Row],[Key(Compte ILN - shipper - POL)]],'DATA ILN'!B:L,11,FALSE))</f>
        <v>#N/A</v>
      </c>
      <c r="U345" s="50" t="e">
        <f>Tableau1[[#This Row],[Day ILN Order]]+Tableau1[[#This Row],[Delivery time to ILN/Shipper]]-1</f>
        <v>#N/A</v>
      </c>
      <c r="V345" s="50" t="e">
        <f>IFERROR(VLOOKUP(Tableau1[[#This Row],[Key(Compte ILN - shipper - POL - plant)]],'DATA ILN'!A:N,14,FALSE),VLOOKUP(Tableau1[[#This Row],[Key(Compte ILN - shipper - POL)]],'DATA ILN'!B:N,13,FALSE))</f>
        <v>#N/A</v>
      </c>
      <c r="W345" s="50" t="e">
        <f>IFERROR(VLOOKUP(Tableau1[[#This Row],[Key(Compte ILN - shipper - POL - plant)]],'DATA ILN'!A:P,16,FALSE),VLOOKUP(Tableau1[[#This Row],[Key(Compte ILN - shipper - POL)]],'DATA ILN'!B:P,15,FALSE))</f>
        <v>#N/A</v>
      </c>
      <c r="X345" s="283"/>
      <c r="Y345" s="489">
        <f>IFERROR(VLOOKUP(Tableau1[[#This Row],[Name Shipper]],Plant_AILN!L:M,2,FALSE),0)</f>
        <v>0</v>
      </c>
      <c r="Z345" s="358"/>
      <c r="AA345" s="353" t="e">
        <f ca="1">VLOOKUP(Tableau1[[#This Row],[Key(ID-Actif)]],'DATA BTO'!A:N,5,FALSE)</f>
        <v>#N/A</v>
      </c>
      <c r="AB345" s="3" t="e">
        <f ca="1">VLOOKUP(Tableau1[[#This Row],[Key(ID-Actif)]],'DATA BTO'!A:N,6,FALSE)</f>
        <v>#N/A</v>
      </c>
      <c r="AC345" s="50" t="e">
        <f ca="1">VLOOKUP(Tableau1[[#This Row],[Key(ID-Actif)]],'DATA BTO'!A:N,7,FALSE)</f>
        <v>#N/A</v>
      </c>
      <c r="AD345" s="50" t="e">
        <f ca="1">VLOOKUP(Tableau1[[#This Row],[Key(ID-Actif)]],'DATA BTO'!A:N,8,FALSE)</f>
        <v>#N/A</v>
      </c>
      <c r="AE345" s="406" t="e">
        <f ca="1">IF(Tableau1[[#This Row],[First Day to POL]]&lt;=Tableau1[[#This Row],[Day Cut Off]],Tableau1[[#This Row],[Day ETD]],Tableau1[[#This Row],[Day ETD]]+7)</f>
        <v>#N/A</v>
      </c>
      <c r="AF345" s="50" t="e">
        <f ca="1">VLOOKUP(Tableau1[[#This Row],[Key(ID-Actif)]],'DATA BTO'!A:N,9,FALSE)</f>
        <v>#N/A</v>
      </c>
      <c r="AG345" s="3" t="e">
        <f ca="1">VLOOKUP(Tableau1[[#This Row],[Key(ID-Actif)]],'DATA BTO'!A:N,10,FALSE)</f>
        <v>#N/A</v>
      </c>
      <c r="AH345" s="3" t="e">
        <f ca="1">VLOOKUP(Tableau1[[#This Row],[Key(ID-Actif)]],'DATA BTO'!A:N,11,FALSE)</f>
        <v>#N/A</v>
      </c>
      <c r="AI345" s="50" t="e">
        <f ca="1">VLOOKUP(Tableau1[[#This Row],[Key(ID-Actif)]],'DATA BTO'!A:N,12,FALSE)</f>
        <v>#N/A</v>
      </c>
      <c r="AJ345" s="53" t="e">
        <f ca="1">VLOOKUP(Tableau1[[#This Row],[Key(ID-Actif)]],'DATA BTO'!A:N,14,FALSE)</f>
        <v>#N/A</v>
      </c>
      <c r="AK345" s="54" t="e">
        <f ca="1">VLOOKUP(Tableau1[[#This Row],[Key(POD -PFI- Usine)]],'DATA Consignee'!A:F,6,FALSE)</f>
        <v>#N/A</v>
      </c>
      <c r="AL345" s="283"/>
      <c r="AM345" s="490" t="str">
        <f>IF(Tableau1[[#This Row],[Name PFI/CDD]]="","-",VLOOKUP(Tableau1[[#This Row],[Name PFI/CDD]],Plant_AILN!I:J,2,FALSE))</f>
        <v>-</v>
      </c>
      <c r="AN34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5" s="2" t="e">
        <f ca="1">VLOOKUP(Tableau1[[#This Row],[Key(POD -PFI- Usine)]],'DATA Consignee'!A:J,10,FALSE)</f>
        <v>#N/A</v>
      </c>
      <c r="AQ345" s="50" t="e">
        <f ca="1">VLOOKUP(Tableau1[[#This Row],[Key(POD -PFI- Usine)]],'DATA Consignee'!A:N,14,FALSE)</f>
        <v>#N/A</v>
      </c>
      <c r="AR34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5" s="50" t="e">
        <f ca="1">Tableau1[[#This Row],[Transit time]]+Tableau1[[#This Row],[Time for security]]+Tableau1[[#This Row],[Time for security2 buffer]]</f>
        <v>#N/A</v>
      </c>
      <c r="AU34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5" s="50" t="e">
        <f ca="1">Tableau1[[#This Row],[Leadtime SI2C]]+Tableau1[[#This Row],[First Receipt Days]]-Tableau1[[#This Row],[Day Customer Order]]+1</f>
        <v>#N/A</v>
      </c>
      <c r="AW345" s="117" t="e">
        <f ca="1">IF(Tableau1[[#This Row],[Name ILN]]&lt;&gt;"SFK Freight Forwarder",Tableau1[[#This Row],[Cust. Leadtime]],Tableau1[[#This Row],[Leadtime SI2C]])</f>
        <v>#N/A</v>
      </c>
      <c r="AX345" s="57" t="e">
        <f>VLOOKUP(Tableau1[[#This Row],[ID]],'DATA BTO'!B:P,15,FALSE)</f>
        <v>#N/A</v>
      </c>
      <c r="AY345" s="328" t="e">
        <f ca="1">IFERROR(VLOOKUP(Tableau1[[#This Row],[Key(ID-Actif)]],'DATA BTO'!A:N,4,FALSE),VLOOKUP(Tableau1[[#This Row],[ID]],'DATA BTO'!B:N,3,FALSE))</f>
        <v>#N/A</v>
      </c>
      <c r="AZ34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5" s="50"/>
    </row>
    <row r="346" spans="2:57">
      <c r="B346" s="405" t="str">
        <f>_xlfn.CONCAT(Tableau1[[#This Row],[Name ILN]],"-",Tableau1[[#This Row],[Name Shipper]],"-",Tableau1[[#This Row],[Name Site]])</f>
        <v>--</v>
      </c>
      <c r="C346" s="64" t="e">
        <f>_xlfn.CONCAT(Tableau1[[#This Row],[Compte ILN]],"-",Tableau1[[#This Row],[Compte Shipper]],"-",Tableau1[[#This Row],[POL]],"-",Tableau1[[#This Row],[Compte Consignee]])</f>
        <v>#N/A</v>
      </c>
      <c r="D346" s="64" t="e">
        <f>_xlfn.CONCAT(Tableau1[[#This Row],[Compte ILN]],"-",Tableau1[[#This Row],[Compte Shipper]],"-",Tableau1[[#This Row],[POL]])</f>
        <v>#N/A</v>
      </c>
      <c r="E346" s="128" t="e">
        <f ca="1">_xlfn.CONCAT(Tableau1[[#This Row],[POL]],"-",Tableau1[[#This Row],[Carrier]],"-",Tableau1[[#This Row],[POD]])</f>
        <v>#N/A</v>
      </c>
      <c r="F346" s="64" t="str">
        <f>_xlfn.CONCAT(Tableau1[[#This Row],[ID]],"-","Actif")</f>
        <v>-Actif</v>
      </c>
      <c r="G346" s="64" t="e">
        <f ca="1">_xlfn.CONCAT(Tableau1[[#This Row],[POD]],"-",Tableau1[[#This Row],[Code PFI]],"-",Tableau1[[#This Row],[Compte Consignee]])</f>
        <v>#N/A</v>
      </c>
      <c r="H34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6" s="117" t="str">
        <f ca="1">IF(COUNTIF(I:I,Tableau1[[#This Row],[Plant-ILN-shipper-POL-Carrier-POD-PFI]])=1,"Non","Oui")</f>
        <v>Oui</v>
      </c>
      <c r="K346" s="126" t="e">
        <f>VLOOKUP(Tableau1[[#This Row],[Name Site]],Plant_AILN!A:D,4,FALSE)</f>
        <v>#N/A</v>
      </c>
      <c r="L346" s="363"/>
      <c r="M346" s="492" t="e">
        <f>VLOOKUP(Tableau1[[#This Row],[Name Site]],Plant_AILN!A:C,3,FALSE)</f>
        <v>#N/A</v>
      </c>
      <c r="N346" s="55" t="e">
        <f>VLOOKUP(Tableau1[[#This Row],[Compte Consignee]],Order!C:D,2,FALSE)</f>
        <v>#N/A</v>
      </c>
      <c r="O346" s="122"/>
      <c r="P346" s="481" t="e">
        <f>VLOOKUP(Tableau1[[#This Row],[Name ILN]],Plant_AILN!F:G,2,FALSE)</f>
        <v>#N/A</v>
      </c>
      <c r="Q346" s="50" t="e">
        <f>VLOOKUP(Tableau1[[#This Row],[Compte ILN]],'DATA ILN'!D:I,6,FALSE)</f>
        <v>#N/A</v>
      </c>
      <c r="R346" s="50" t="e">
        <f>IFERROR(VLOOKUP(Tableau1[[#This Row],[Key(Compte ILN - shipper - POL - plant)]],'DATA ILN'!A:J,10,FALSE),VLOOKUP(Tableau1[[#This Row],[Key(Compte ILN - shipper - POL)]],'DATA ILN'!B:J,9,FALSE))</f>
        <v>#N/A</v>
      </c>
      <c r="S346" s="50" t="e">
        <f>IFERROR(VLOOKUP(Tableau1[[#This Row],[Key(Compte ILN - shipper - POL - plant)]],'DATA ILN'!A:K,11,FALSE),VLOOKUP(Tableau1[[#This Row],[Key(Compte ILN - shipper - POL)]],'DATA ILN'!B:K,10,FALSE))</f>
        <v>#N/A</v>
      </c>
      <c r="T346" s="50" t="e">
        <f>IFERROR(VLOOKUP(Tableau1[[#This Row],[Key(Compte ILN - shipper - POL - plant)]],'DATA ILN'!A:L,12,FALSE),VLOOKUP(Tableau1[[#This Row],[Key(Compte ILN - shipper - POL)]],'DATA ILN'!B:L,11,FALSE))</f>
        <v>#N/A</v>
      </c>
      <c r="U346" s="50" t="e">
        <f>Tableau1[[#This Row],[Day ILN Order]]+Tableau1[[#This Row],[Delivery time to ILN/Shipper]]-1</f>
        <v>#N/A</v>
      </c>
      <c r="V346" s="50" t="e">
        <f>IFERROR(VLOOKUP(Tableau1[[#This Row],[Key(Compte ILN - shipper - POL - plant)]],'DATA ILN'!A:N,14,FALSE),VLOOKUP(Tableau1[[#This Row],[Key(Compte ILN - shipper - POL)]],'DATA ILN'!B:N,13,FALSE))</f>
        <v>#N/A</v>
      </c>
      <c r="W346" s="50" t="e">
        <f>IFERROR(VLOOKUP(Tableau1[[#This Row],[Key(Compte ILN - shipper - POL - plant)]],'DATA ILN'!A:P,16,FALSE),VLOOKUP(Tableau1[[#This Row],[Key(Compte ILN - shipper - POL)]],'DATA ILN'!B:P,15,FALSE))</f>
        <v>#N/A</v>
      </c>
      <c r="X346" s="283"/>
      <c r="Y346" s="489">
        <f>IFERROR(VLOOKUP(Tableau1[[#This Row],[Name Shipper]],Plant_AILN!L:M,2,FALSE),0)</f>
        <v>0</v>
      </c>
      <c r="Z346" s="358"/>
      <c r="AA346" s="353" t="e">
        <f ca="1">VLOOKUP(Tableau1[[#This Row],[Key(ID-Actif)]],'DATA BTO'!A:N,5,FALSE)</f>
        <v>#N/A</v>
      </c>
      <c r="AB346" s="3" t="e">
        <f ca="1">VLOOKUP(Tableau1[[#This Row],[Key(ID-Actif)]],'DATA BTO'!A:N,6,FALSE)</f>
        <v>#N/A</v>
      </c>
      <c r="AC346" s="50" t="e">
        <f ca="1">VLOOKUP(Tableau1[[#This Row],[Key(ID-Actif)]],'DATA BTO'!A:N,7,FALSE)</f>
        <v>#N/A</v>
      </c>
      <c r="AD346" s="50" t="e">
        <f ca="1">VLOOKUP(Tableau1[[#This Row],[Key(ID-Actif)]],'DATA BTO'!A:N,8,FALSE)</f>
        <v>#N/A</v>
      </c>
      <c r="AE346" s="406" t="e">
        <f ca="1">IF(Tableau1[[#This Row],[First Day to POL]]&lt;=Tableau1[[#This Row],[Day Cut Off]],Tableau1[[#This Row],[Day ETD]],Tableau1[[#This Row],[Day ETD]]+7)</f>
        <v>#N/A</v>
      </c>
      <c r="AF346" s="50" t="e">
        <f ca="1">VLOOKUP(Tableau1[[#This Row],[Key(ID-Actif)]],'DATA BTO'!A:N,9,FALSE)</f>
        <v>#N/A</v>
      </c>
      <c r="AG346" s="3" t="e">
        <f ca="1">VLOOKUP(Tableau1[[#This Row],[Key(ID-Actif)]],'DATA BTO'!A:N,10,FALSE)</f>
        <v>#N/A</v>
      </c>
      <c r="AH346" s="3" t="e">
        <f ca="1">VLOOKUP(Tableau1[[#This Row],[Key(ID-Actif)]],'DATA BTO'!A:N,11,FALSE)</f>
        <v>#N/A</v>
      </c>
      <c r="AI346" s="50" t="e">
        <f ca="1">VLOOKUP(Tableau1[[#This Row],[Key(ID-Actif)]],'DATA BTO'!A:N,12,FALSE)</f>
        <v>#N/A</v>
      </c>
      <c r="AJ346" s="53" t="e">
        <f ca="1">VLOOKUP(Tableau1[[#This Row],[Key(ID-Actif)]],'DATA BTO'!A:N,14,FALSE)</f>
        <v>#N/A</v>
      </c>
      <c r="AK346" s="54" t="e">
        <f ca="1">VLOOKUP(Tableau1[[#This Row],[Key(POD -PFI- Usine)]],'DATA Consignee'!A:F,6,FALSE)</f>
        <v>#N/A</v>
      </c>
      <c r="AL346" s="283"/>
      <c r="AM346" s="490" t="str">
        <f>IF(Tableau1[[#This Row],[Name PFI/CDD]]="","-",VLOOKUP(Tableau1[[#This Row],[Name PFI/CDD]],Plant_AILN!I:J,2,FALSE))</f>
        <v>-</v>
      </c>
      <c r="AN34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6" s="2" t="e">
        <f ca="1">VLOOKUP(Tableau1[[#This Row],[Key(POD -PFI- Usine)]],'DATA Consignee'!A:J,10,FALSE)</f>
        <v>#N/A</v>
      </c>
      <c r="AQ346" s="50" t="e">
        <f ca="1">VLOOKUP(Tableau1[[#This Row],[Key(POD -PFI- Usine)]],'DATA Consignee'!A:N,14,FALSE)</f>
        <v>#N/A</v>
      </c>
      <c r="AR34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6" s="50" t="e">
        <f ca="1">Tableau1[[#This Row],[Transit time]]+Tableau1[[#This Row],[Time for security]]+Tableau1[[#This Row],[Time for security2 buffer]]</f>
        <v>#N/A</v>
      </c>
      <c r="AU34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6" s="50" t="e">
        <f ca="1">Tableau1[[#This Row],[Leadtime SI2C]]+Tableau1[[#This Row],[First Receipt Days]]-Tableau1[[#This Row],[Day Customer Order]]+1</f>
        <v>#N/A</v>
      </c>
      <c r="AW346" s="117" t="e">
        <f ca="1">IF(Tableau1[[#This Row],[Name ILN]]&lt;&gt;"SFK Freight Forwarder",Tableau1[[#This Row],[Cust. Leadtime]],Tableau1[[#This Row],[Leadtime SI2C]])</f>
        <v>#N/A</v>
      </c>
      <c r="AX346" s="57" t="e">
        <f>VLOOKUP(Tableau1[[#This Row],[ID]],'DATA BTO'!B:P,15,FALSE)</f>
        <v>#N/A</v>
      </c>
      <c r="AY346" s="328" t="e">
        <f ca="1">IFERROR(VLOOKUP(Tableau1[[#This Row],[Key(ID-Actif)]],'DATA BTO'!A:N,4,FALSE),VLOOKUP(Tableau1[[#This Row],[ID]],'DATA BTO'!B:N,3,FALSE))</f>
        <v>#N/A</v>
      </c>
      <c r="AZ34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6" s="50"/>
    </row>
    <row r="347" spans="2:57">
      <c r="B347" s="405" t="str">
        <f>_xlfn.CONCAT(Tableau1[[#This Row],[Name ILN]],"-",Tableau1[[#This Row],[Name Shipper]],"-",Tableau1[[#This Row],[Name Site]])</f>
        <v>--</v>
      </c>
      <c r="C347" s="64" t="e">
        <f>_xlfn.CONCAT(Tableau1[[#This Row],[Compte ILN]],"-",Tableau1[[#This Row],[Compte Shipper]],"-",Tableau1[[#This Row],[POL]],"-",Tableau1[[#This Row],[Compte Consignee]])</f>
        <v>#N/A</v>
      </c>
      <c r="D347" s="64" t="e">
        <f>_xlfn.CONCAT(Tableau1[[#This Row],[Compte ILN]],"-",Tableau1[[#This Row],[Compte Shipper]],"-",Tableau1[[#This Row],[POL]])</f>
        <v>#N/A</v>
      </c>
      <c r="E347" s="128" t="e">
        <f ca="1">_xlfn.CONCAT(Tableau1[[#This Row],[POL]],"-",Tableau1[[#This Row],[Carrier]],"-",Tableau1[[#This Row],[POD]])</f>
        <v>#N/A</v>
      </c>
      <c r="F347" s="64" t="str">
        <f>_xlfn.CONCAT(Tableau1[[#This Row],[ID]],"-","Actif")</f>
        <v>-Actif</v>
      </c>
      <c r="G347" s="64" t="e">
        <f ca="1">_xlfn.CONCAT(Tableau1[[#This Row],[POD]],"-",Tableau1[[#This Row],[Code PFI]],"-",Tableau1[[#This Row],[Compte Consignee]])</f>
        <v>#N/A</v>
      </c>
      <c r="H34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7" s="117" t="str">
        <f ca="1">IF(COUNTIF(I:I,Tableau1[[#This Row],[Plant-ILN-shipper-POL-Carrier-POD-PFI]])=1,"Non","Oui")</f>
        <v>Oui</v>
      </c>
      <c r="K347" s="126" t="e">
        <f>VLOOKUP(Tableau1[[#This Row],[Name Site]],Plant_AILN!A:D,4,FALSE)</f>
        <v>#N/A</v>
      </c>
      <c r="L347" s="363"/>
      <c r="M347" s="492" t="e">
        <f>VLOOKUP(Tableau1[[#This Row],[Name Site]],Plant_AILN!A:C,3,FALSE)</f>
        <v>#N/A</v>
      </c>
      <c r="N347" s="55" t="e">
        <f>VLOOKUP(Tableau1[[#This Row],[Compte Consignee]],Order!C:D,2,FALSE)</f>
        <v>#N/A</v>
      </c>
      <c r="O347" s="122"/>
      <c r="P347" s="481" t="e">
        <f>VLOOKUP(Tableau1[[#This Row],[Name ILN]],Plant_AILN!F:G,2,FALSE)</f>
        <v>#N/A</v>
      </c>
      <c r="Q347" s="50" t="e">
        <f>VLOOKUP(Tableau1[[#This Row],[Compte ILN]],'DATA ILN'!D:I,6,FALSE)</f>
        <v>#N/A</v>
      </c>
      <c r="R347" s="50" t="e">
        <f>IFERROR(VLOOKUP(Tableau1[[#This Row],[Key(Compte ILN - shipper - POL - plant)]],'DATA ILN'!A:J,10,FALSE),VLOOKUP(Tableau1[[#This Row],[Key(Compte ILN - shipper - POL)]],'DATA ILN'!B:J,9,FALSE))</f>
        <v>#N/A</v>
      </c>
      <c r="S347" s="50" t="e">
        <f>IFERROR(VLOOKUP(Tableau1[[#This Row],[Key(Compte ILN - shipper - POL - plant)]],'DATA ILN'!A:K,11,FALSE),VLOOKUP(Tableau1[[#This Row],[Key(Compte ILN - shipper - POL)]],'DATA ILN'!B:K,10,FALSE))</f>
        <v>#N/A</v>
      </c>
      <c r="T347" s="50" t="e">
        <f>IFERROR(VLOOKUP(Tableau1[[#This Row],[Key(Compte ILN - shipper - POL - plant)]],'DATA ILN'!A:L,12,FALSE),VLOOKUP(Tableau1[[#This Row],[Key(Compte ILN - shipper - POL)]],'DATA ILN'!B:L,11,FALSE))</f>
        <v>#N/A</v>
      </c>
      <c r="U347" s="50" t="e">
        <f>Tableau1[[#This Row],[Day ILN Order]]+Tableau1[[#This Row],[Delivery time to ILN/Shipper]]-1</f>
        <v>#N/A</v>
      </c>
      <c r="V347" s="50" t="e">
        <f>IFERROR(VLOOKUP(Tableau1[[#This Row],[Key(Compte ILN - shipper - POL - plant)]],'DATA ILN'!A:N,14,FALSE),VLOOKUP(Tableau1[[#This Row],[Key(Compte ILN - shipper - POL)]],'DATA ILN'!B:N,13,FALSE))</f>
        <v>#N/A</v>
      </c>
      <c r="W347" s="50" t="e">
        <f>IFERROR(VLOOKUP(Tableau1[[#This Row],[Key(Compte ILN - shipper - POL - plant)]],'DATA ILN'!A:P,16,FALSE),VLOOKUP(Tableau1[[#This Row],[Key(Compte ILN - shipper - POL)]],'DATA ILN'!B:P,15,FALSE))</f>
        <v>#N/A</v>
      </c>
      <c r="X347" s="283"/>
      <c r="Y347" s="489">
        <f>IFERROR(VLOOKUP(Tableau1[[#This Row],[Name Shipper]],Plant_AILN!L:M,2,FALSE),0)</f>
        <v>0</v>
      </c>
      <c r="Z347" s="358"/>
      <c r="AA347" s="353" t="e">
        <f ca="1">VLOOKUP(Tableau1[[#This Row],[Key(ID-Actif)]],'DATA BTO'!A:N,5,FALSE)</f>
        <v>#N/A</v>
      </c>
      <c r="AB347" s="3" t="e">
        <f ca="1">VLOOKUP(Tableau1[[#This Row],[Key(ID-Actif)]],'DATA BTO'!A:N,6,FALSE)</f>
        <v>#N/A</v>
      </c>
      <c r="AC347" s="50" t="e">
        <f ca="1">VLOOKUP(Tableau1[[#This Row],[Key(ID-Actif)]],'DATA BTO'!A:N,7,FALSE)</f>
        <v>#N/A</v>
      </c>
      <c r="AD347" s="50" t="e">
        <f ca="1">VLOOKUP(Tableau1[[#This Row],[Key(ID-Actif)]],'DATA BTO'!A:N,8,FALSE)</f>
        <v>#N/A</v>
      </c>
      <c r="AE347" s="406" t="e">
        <f ca="1">IF(Tableau1[[#This Row],[First Day to POL]]&lt;=Tableau1[[#This Row],[Day Cut Off]],Tableau1[[#This Row],[Day ETD]],Tableau1[[#This Row],[Day ETD]]+7)</f>
        <v>#N/A</v>
      </c>
      <c r="AF347" s="50" t="e">
        <f ca="1">VLOOKUP(Tableau1[[#This Row],[Key(ID-Actif)]],'DATA BTO'!A:N,9,FALSE)</f>
        <v>#N/A</v>
      </c>
      <c r="AG347" s="3" t="e">
        <f ca="1">VLOOKUP(Tableau1[[#This Row],[Key(ID-Actif)]],'DATA BTO'!A:N,10,FALSE)</f>
        <v>#N/A</v>
      </c>
      <c r="AH347" s="3" t="e">
        <f ca="1">VLOOKUP(Tableau1[[#This Row],[Key(ID-Actif)]],'DATA BTO'!A:N,11,FALSE)</f>
        <v>#N/A</v>
      </c>
      <c r="AI347" s="50" t="e">
        <f ca="1">VLOOKUP(Tableau1[[#This Row],[Key(ID-Actif)]],'DATA BTO'!A:N,12,FALSE)</f>
        <v>#N/A</v>
      </c>
      <c r="AJ347" s="53" t="e">
        <f ca="1">VLOOKUP(Tableau1[[#This Row],[Key(ID-Actif)]],'DATA BTO'!A:N,14,FALSE)</f>
        <v>#N/A</v>
      </c>
      <c r="AK347" s="54" t="e">
        <f ca="1">VLOOKUP(Tableau1[[#This Row],[Key(POD -PFI- Usine)]],'DATA Consignee'!A:F,6,FALSE)</f>
        <v>#N/A</v>
      </c>
      <c r="AL347" s="283"/>
      <c r="AM347" s="490" t="str">
        <f>IF(Tableau1[[#This Row],[Name PFI/CDD]]="","-",VLOOKUP(Tableau1[[#This Row],[Name PFI/CDD]],Plant_AILN!I:J,2,FALSE))</f>
        <v>-</v>
      </c>
      <c r="AN34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7" s="2" t="e">
        <f ca="1">VLOOKUP(Tableau1[[#This Row],[Key(POD -PFI- Usine)]],'DATA Consignee'!A:J,10,FALSE)</f>
        <v>#N/A</v>
      </c>
      <c r="AQ347" s="50" t="e">
        <f ca="1">VLOOKUP(Tableau1[[#This Row],[Key(POD -PFI- Usine)]],'DATA Consignee'!A:N,14,FALSE)</f>
        <v>#N/A</v>
      </c>
      <c r="AR34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7" s="50" t="e">
        <f ca="1">Tableau1[[#This Row],[Transit time]]+Tableau1[[#This Row],[Time for security]]+Tableau1[[#This Row],[Time for security2 buffer]]</f>
        <v>#N/A</v>
      </c>
      <c r="AU34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7" s="50" t="e">
        <f ca="1">Tableau1[[#This Row],[Leadtime SI2C]]+Tableau1[[#This Row],[First Receipt Days]]-Tableau1[[#This Row],[Day Customer Order]]+1</f>
        <v>#N/A</v>
      </c>
      <c r="AW347" s="117" t="e">
        <f ca="1">IF(Tableau1[[#This Row],[Name ILN]]&lt;&gt;"SFK Freight Forwarder",Tableau1[[#This Row],[Cust. Leadtime]],Tableau1[[#This Row],[Leadtime SI2C]])</f>
        <v>#N/A</v>
      </c>
      <c r="AX347" s="57" t="e">
        <f>VLOOKUP(Tableau1[[#This Row],[ID]],'DATA BTO'!B:P,15,FALSE)</f>
        <v>#N/A</v>
      </c>
      <c r="AY347" s="328" t="e">
        <f ca="1">IFERROR(VLOOKUP(Tableau1[[#This Row],[Key(ID-Actif)]],'DATA BTO'!A:N,4,FALSE),VLOOKUP(Tableau1[[#This Row],[ID]],'DATA BTO'!B:N,3,FALSE))</f>
        <v>#N/A</v>
      </c>
      <c r="AZ34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7" s="50"/>
    </row>
    <row r="348" spans="2:57">
      <c r="B348" s="405" t="str">
        <f>_xlfn.CONCAT(Tableau1[[#This Row],[Name ILN]],"-",Tableau1[[#This Row],[Name Shipper]],"-",Tableau1[[#This Row],[Name Site]])</f>
        <v>--</v>
      </c>
      <c r="C348" s="64" t="e">
        <f>_xlfn.CONCAT(Tableau1[[#This Row],[Compte ILN]],"-",Tableau1[[#This Row],[Compte Shipper]],"-",Tableau1[[#This Row],[POL]],"-",Tableau1[[#This Row],[Compte Consignee]])</f>
        <v>#N/A</v>
      </c>
      <c r="D348" s="64" t="e">
        <f>_xlfn.CONCAT(Tableau1[[#This Row],[Compte ILN]],"-",Tableau1[[#This Row],[Compte Shipper]],"-",Tableau1[[#This Row],[POL]])</f>
        <v>#N/A</v>
      </c>
      <c r="E348" s="128" t="e">
        <f ca="1">_xlfn.CONCAT(Tableau1[[#This Row],[POL]],"-",Tableau1[[#This Row],[Carrier]],"-",Tableau1[[#This Row],[POD]])</f>
        <v>#N/A</v>
      </c>
      <c r="F348" s="64" t="str">
        <f>_xlfn.CONCAT(Tableau1[[#This Row],[ID]],"-","Actif")</f>
        <v>-Actif</v>
      </c>
      <c r="G348" s="64" t="e">
        <f ca="1">_xlfn.CONCAT(Tableau1[[#This Row],[POD]],"-",Tableau1[[#This Row],[Code PFI]],"-",Tableau1[[#This Row],[Compte Consignee]])</f>
        <v>#N/A</v>
      </c>
      <c r="H34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8" s="117" t="str">
        <f ca="1">IF(COUNTIF(I:I,Tableau1[[#This Row],[Plant-ILN-shipper-POL-Carrier-POD-PFI]])=1,"Non","Oui")</f>
        <v>Oui</v>
      </c>
      <c r="K348" s="126" t="e">
        <f>VLOOKUP(Tableau1[[#This Row],[Name Site]],Plant_AILN!A:D,4,FALSE)</f>
        <v>#N/A</v>
      </c>
      <c r="L348" s="363"/>
      <c r="M348" s="492" t="e">
        <f>VLOOKUP(Tableau1[[#This Row],[Name Site]],Plant_AILN!A:C,3,FALSE)</f>
        <v>#N/A</v>
      </c>
      <c r="N348" s="55" t="e">
        <f>VLOOKUP(Tableau1[[#This Row],[Compte Consignee]],Order!C:D,2,FALSE)</f>
        <v>#N/A</v>
      </c>
      <c r="O348" s="122"/>
      <c r="P348" s="481" t="e">
        <f>VLOOKUP(Tableau1[[#This Row],[Name ILN]],Plant_AILN!F:G,2,FALSE)</f>
        <v>#N/A</v>
      </c>
      <c r="Q348" s="50" t="e">
        <f>VLOOKUP(Tableau1[[#This Row],[Compte ILN]],'DATA ILN'!D:I,6,FALSE)</f>
        <v>#N/A</v>
      </c>
      <c r="R348" s="50" t="e">
        <f>IFERROR(VLOOKUP(Tableau1[[#This Row],[Key(Compte ILN - shipper - POL - plant)]],'DATA ILN'!A:J,10,FALSE),VLOOKUP(Tableau1[[#This Row],[Key(Compte ILN - shipper - POL)]],'DATA ILN'!B:J,9,FALSE))</f>
        <v>#N/A</v>
      </c>
      <c r="S348" s="50" t="e">
        <f>IFERROR(VLOOKUP(Tableau1[[#This Row],[Key(Compte ILN - shipper - POL - plant)]],'DATA ILN'!A:K,11,FALSE),VLOOKUP(Tableau1[[#This Row],[Key(Compte ILN - shipper - POL)]],'DATA ILN'!B:K,10,FALSE))</f>
        <v>#N/A</v>
      </c>
      <c r="T348" s="50" t="e">
        <f>IFERROR(VLOOKUP(Tableau1[[#This Row],[Key(Compte ILN - shipper - POL - plant)]],'DATA ILN'!A:L,12,FALSE),VLOOKUP(Tableau1[[#This Row],[Key(Compte ILN - shipper - POL)]],'DATA ILN'!B:L,11,FALSE))</f>
        <v>#N/A</v>
      </c>
      <c r="U348" s="50" t="e">
        <f>Tableau1[[#This Row],[Day ILN Order]]+Tableau1[[#This Row],[Delivery time to ILN/Shipper]]-1</f>
        <v>#N/A</v>
      </c>
      <c r="V348" s="50" t="e">
        <f>IFERROR(VLOOKUP(Tableau1[[#This Row],[Key(Compte ILN - shipper - POL - plant)]],'DATA ILN'!A:N,14,FALSE),VLOOKUP(Tableau1[[#This Row],[Key(Compte ILN - shipper - POL)]],'DATA ILN'!B:N,13,FALSE))</f>
        <v>#N/A</v>
      </c>
      <c r="W348" s="50" t="e">
        <f>IFERROR(VLOOKUP(Tableau1[[#This Row],[Key(Compte ILN - shipper - POL - plant)]],'DATA ILN'!A:P,16,FALSE),VLOOKUP(Tableau1[[#This Row],[Key(Compte ILN - shipper - POL)]],'DATA ILN'!B:P,15,FALSE))</f>
        <v>#N/A</v>
      </c>
      <c r="X348" s="283"/>
      <c r="Y348" s="489">
        <f>IFERROR(VLOOKUP(Tableau1[[#This Row],[Name Shipper]],Plant_AILN!L:M,2,FALSE),0)</f>
        <v>0</v>
      </c>
      <c r="Z348" s="358"/>
      <c r="AA348" s="353" t="e">
        <f ca="1">VLOOKUP(Tableau1[[#This Row],[Key(ID-Actif)]],'DATA BTO'!A:N,5,FALSE)</f>
        <v>#N/A</v>
      </c>
      <c r="AB348" s="3" t="e">
        <f ca="1">VLOOKUP(Tableau1[[#This Row],[Key(ID-Actif)]],'DATA BTO'!A:N,6,FALSE)</f>
        <v>#N/A</v>
      </c>
      <c r="AC348" s="50" t="e">
        <f ca="1">VLOOKUP(Tableau1[[#This Row],[Key(ID-Actif)]],'DATA BTO'!A:N,7,FALSE)</f>
        <v>#N/A</v>
      </c>
      <c r="AD348" s="50" t="e">
        <f ca="1">VLOOKUP(Tableau1[[#This Row],[Key(ID-Actif)]],'DATA BTO'!A:N,8,FALSE)</f>
        <v>#N/A</v>
      </c>
      <c r="AE348" s="406" t="e">
        <f ca="1">IF(Tableau1[[#This Row],[First Day to POL]]&lt;=Tableau1[[#This Row],[Day Cut Off]],Tableau1[[#This Row],[Day ETD]],Tableau1[[#This Row],[Day ETD]]+7)</f>
        <v>#N/A</v>
      </c>
      <c r="AF348" s="50" t="e">
        <f ca="1">VLOOKUP(Tableau1[[#This Row],[Key(ID-Actif)]],'DATA BTO'!A:N,9,FALSE)</f>
        <v>#N/A</v>
      </c>
      <c r="AG348" s="3" t="e">
        <f ca="1">VLOOKUP(Tableau1[[#This Row],[Key(ID-Actif)]],'DATA BTO'!A:N,10,FALSE)</f>
        <v>#N/A</v>
      </c>
      <c r="AH348" s="3" t="e">
        <f ca="1">VLOOKUP(Tableau1[[#This Row],[Key(ID-Actif)]],'DATA BTO'!A:N,11,FALSE)</f>
        <v>#N/A</v>
      </c>
      <c r="AI348" s="50" t="e">
        <f ca="1">VLOOKUP(Tableau1[[#This Row],[Key(ID-Actif)]],'DATA BTO'!A:N,12,FALSE)</f>
        <v>#N/A</v>
      </c>
      <c r="AJ348" s="53" t="e">
        <f ca="1">VLOOKUP(Tableau1[[#This Row],[Key(ID-Actif)]],'DATA BTO'!A:N,14,FALSE)</f>
        <v>#N/A</v>
      </c>
      <c r="AK348" s="54" t="e">
        <f ca="1">VLOOKUP(Tableau1[[#This Row],[Key(POD -PFI- Usine)]],'DATA Consignee'!A:F,6,FALSE)</f>
        <v>#N/A</v>
      </c>
      <c r="AL348" s="283"/>
      <c r="AM348" s="490" t="str">
        <f>IF(Tableau1[[#This Row],[Name PFI/CDD]]="","-",VLOOKUP(Tableau1[[#This Row],[Name PFI/CDD]],Plant_AILN!I:J,2,FALSE))</f>
        <v>-</v>
      </c>
      <c r="AN34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8" s="2" t="e">
        <f ca="1">VLOOKUP(Tableau1[[#This Row],[Key(POD -PFI- Usine)]],'DATA Consignee'!A:J,10,FALSE)</f>
        <v>#N/A</v>
      </c>
      <c r="AQ348" s="50" t="e">
        <f ca="1">VLOOKUP(Tableau1[[#This Row],[Key(POD -PFI- Usine)]],'DATA Consignee'!A:N,14,FALSE)</f>
        <v>#N/A</v>
      </c>
      <c r="AR34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8" s="50" t="e">
        <f ca="1">Tableau1[[#This Row],[Transit time]]+Tableau1[[#This Row],[Time for security]]+Tableau1[[#This Row],[Time for security2 buffer]]</f>
        <v>#N/A</v>
      </c>
      <c r="AU34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8" s="50" t="e">
        <f ca="1">Tableau1[[#This Row],[Leadtime SI2C]]+Tableau1[[#This Row],[First Receipt Days]]-Tableau1[[#This Row],[Day Customer Order]]+1</f>
        <v>#N/A</v>
      </c>
      <c r="AW348" s="117" t="e">
        <f ca="1">IF(Tableau1[[#This Row],[Name ILN]]&lt;&gt;"SFK Freight Forwarder",Tableau1[[#This Row],[Cust. Leadtime]],Tableau1[[#This Row],[Leadtime SI2C]])</f>
        <v>#N/A</v>
      </c>
      <c r="AX348" s="57" t="e">
        <f>VLOOKUP(Tableau1[[#This Row],[ID]],'DATA BTO'!B:P,15,FALSE)</f>
        <v>#N/A</v>
      </c>
      <c r="AY348" s="328" t="e">
        <f ca="1">IFERROR(VLOOKUP(Tableau1[[#This Row],[Key(ID-Actif)]],'DATA BTO'!A:N,4,FALSE),VLOOKUP(Tableau1[[#This Row],[ID]],'DATA BTO'!B:N,3,FALSE))</f>
        <v>#N/A</v>
      </c>
      <c r="AZ34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8" s="50"/>
    </row>
    <row r="349" spans="2:57">
      <c r="B349" s="405" t="str">
        <f>_xlfn.CONCAT(Tableau1[[#This Row],[Name ILN]],"-",Tableau1[[#This Row],[Name Shipper]],"-",Tableau1[[#This Row],[Name Site]])</f>
        <v>--</v>
      </c>
      <c r="C349" s="64" t="e">
        <f>_xlfn.CONCAT(Tableau1[[#This Row],[Compte ILN]],"-",Tableau1[[#This Row],[Compte Shipper]],"-",Tableau1[[#This Row],[POL]],"-",Tableau1[[#This Row],[Compte Consignee]])</f>
        <v>#N/A</v>
      </c>
      <c r="D349" s="64" t="e">
        <f>_xlfn.CONCAT(Tableau1[[#This Row],[Compte ILN]],"-",Tableau1[[#This Row],[Compte Shipper]],"-",Tableau1[[#This Row],[POL]])</f>
        <v>#N/A</v>
      </c>
      <c r="E349" s="128" t="e">
        <f ca="1">_xlfn.CONCAT(Tableau1[[#This Row],[POL]],"-",Tableau1[[#This Row],[Carrier]],"-",Tableau1[[#This Row],[POD]])</f>
        <v>#N/A</v>
      </c>
      <c r="F349" s="64" t="str">
        <f>_xlfn.CONCAT(Tableau1[[#This Row],[ID]],"-","Actif")</f>
        <v>-Actif</v>
      </c>
      <c r="G349" s="64" t="e">
        <f ca="1">_xlfn.CONCAT(Tableau1[[#This Row],[POD]],"-",Tableau1[[#This Row],[Code PFI]],"-",Tableau1[[#This Row],[Compte Consignee]])</f>
        <v>#N/A</v>
      </c>
      <c r="H34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4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49" s="117" t="str">
        <f ca="1">IF(COUNTIF(I:I,Tableau1[[#This Row],[Plant-ILN-shipper-POL-Carrier-POD-PFI]])=1,"Non","Oui")</f>
        <v>Oui</v>
      </c>
      <c r="K349" s="126" t="e">
        <f>VLOOKUP(Tableau1[[#This Row],[Name Site]],Plant_AILN!A:D,4,FALSE)</f>
        <v>#N/A</v>
      </c>
      <c r="L349" s="363"/>
      <c r="M349" s="492" t="e">
        <f>VLOOKUP(Tableau1[[#This Row],[Name Site]],Plant_AILN!A:C,3,FALSE)</f>
        <v>#N/A</v>
      </c>
      <c r="N349" s="55" t="e">
        <f>VLOOKUP(Tableau1[[#This Row],[Compte Consignee]],Order!C:D,2,FALSE)</f>
        <v>#N/A</v>
      </c>
      <c r="O349" s="122"/>
      <c r="P349" s="481" t="e">
        <f>VLOOKUP(Tableau1[[#This Row],[Name ILN]],Plant_AILN!F:G,2,FALSE)</f>
        <v>#N/A</v>
      </c>
      <c r="Q349" s="50" t="e">
        <f>VLOOKUP(Tableau1[[#This Row],[Compte ILN]],'DATA ILN'!D:I,6,FALSE)</f>
        <v>#N/A</v>
      </c>
      <c r="R349" s="50" t="e">
        <f>IFERROR(VLOOKUP(Tableau1[[#This Row],[Key(Compte ILN - shipper - POL - plant)]],'DATA ILN'!A:J,10,FALSE),VLOOKUP(Tableau1[[#This Row],[Key(Compte ILN - shipper - POL)]],'DATA ILN'!B:J,9,FALSE))</f>
        <v>#N/A</v>
      </c>
      <c r="S349" s="50" t="e">
        <f>IFERROR(VLOOKUP(Tableau1[[#This Row],[Key(Compte ILN - shipper - POL - plant)]],'DATA ILN'!A:K,11,FALSE),VLOOKUP(Tableau1[[#This Row],[Key(Compte ILN - shipper - POL)]],'DATA ILN'!B:K,10,FALSE))</f>
        <v>#N/A</v>
      </c>
      <c r="T349" s="50" t="e">
        <f>IFERROR(VLOOKUP(Tableau1[[#This Row],[Key(Compte ILN - shipper - POL - plant)]],'DATA ILN'!A:L,12,FALSE),VLOOKUP(Tableau1[[#This Row],[Key(Compte ILN - shipper - POL)]],'DATA ILN'!B:L,11,FALSE))</f>
        <v>#N/A</v>
      </c>
      <c r="U349" s="50" t="e">
        <f>Tableau1[[#This Row],[Day ILN Order]]+Tableau1[[#This Row],[Delivery time to ILN/Shipper]]-1</f>
        <v>#N/A</v>
      </c>
      <c r="V349" s="50" t="e">
        <f>IFERROR(VLOOKUP(Tableau1[[#This Row],[Key(Compte ILN - shipper - POL - plant)]],'DATA ILN'!A:N,14,FALSE),VLOOKUP(Tableau1[[#This Row],[Key(Compte ILN - shipper - POL)]],'DATA ILN'!B:N,13,FALSE))</f>
        <v>#N/A</v>
      </c>
      <c r="W349" s="50" t="e">
        <f>IFERROR(VLOOKUP(Tableau1[[#This Row],[Key(Compte ILN - shipper - POL - plant)]],'DATA ILN'!A:P,16,FALSE),VLOOKUP(Tableau1[[#This Row],[Key(Compte ILN - shipper - POL)]],'DATA ILN'!B:P,15,FALSE))</f>
        <v>#N/A</v>
      </c>
      <c r="X349" s="283"/>
      <c r="Y349" s="489">
        <f>IFERROR(VLOOKUP(Tableau1[[#This Row],[Name Shipper]],Plant_AILN!L:M,2,FALSE),0)</f>
        <v>0</v>
      </c>
      <c r="Z349" s="358"/>
      <c r="AA349" s="353" t="e">
        <f ca="1">VLOOKUP(Tableau1[[#This Row],[Key(ID-Actif)]],'DATA BTO'!A:N,5,FALSE)</f>
        <v>#N/A</v>
      </c>
      <c r="AB349" s="3" t="e">
        <f ca="1">VLOOKUP(Tableau1[[#This Row],[Key(ID-Actif)]],'DATA BTO'!A:N,6,FALSE)</f>
        <v>#N/A</v>
      </c>
      <c r="AC349" s="50" t="e">
        <f ca="1">VLOOKUP(Tableau1[[#This Row],[Key(ID-Actif)]],'DATA BTO'!A:N,7,FALSE)</f>
        <v>#N/A</v>
      </c>
      <c r="AD349" s="50" t="e">
        <f ca="1">VLOOKUP(Tableau1[[#This Row],[Key(ID-Actif)]],'DATA BTO'!A:N,8,FALSE)</f>
        <v>#N/A</v>
      </c>
      <c r="AE349" s="406" t="e">
        <f ca="1">IF(Tableau1[[#This Row],[First Day to POL]]&lt;=Tableau1[[#This Row],[Day Cut Off]],Tableau1[[#This Row],[Day ETD]],Tableau1[[#This Row],[Day ETD]]+7)</f>
        <v>#N/A</v>
      </c>
      <c r="AF349" s="50" t="e">
        <f ca="1">VLOOKUP(Tableau1[[#This Row],[Key(ID-Actif)]],'DATA BTO'!A:N,9,FALSE)</f>
        <v>#N/A</v>
      </c>
      <c r="AG349" s="3" t="e">
        <f ca="1">VLOOKUP(Tableau1[[#This Row],[Key(ID-Actif)]],'DATA BTO'!A:N,10,FALSE)</f>
        <v>#N/A</v>
      </c>
      <c r="AH349" s="3" t="e">
        <f ca="1">VLOOKUP(Tableau1[[#This Row],[Key(ID-Actif)]],'DATA BTO'!A:N,11,FALSE)</f>
        <v>#N/A</v>
      </c>
      <c r="AI349" s="50" t="e">
        <f ca="1">VLOOKUP(Tableau1[[#This Row],[Key(ID-Actif)]],'DATA BTO'!A:N,12,FALSE)</f>
        <v>#N/A</v>
      </c>
      <c r="AJ349" s="53" t="e">
        <f ca="1">VLOOKUP(Tableau1[[#This Row],[Key(ID-Actif)]],'DATA BTO'!A:N,14,FALSE)</f>
        <v>#N/A</v>
      </c>
      <c r="AK349" s="54" t="e">
        <f ca="1">VLOOKUP(Tableau1[[#This Row],[Key(POD -PFI- Usine)]],'DATA Consignee'!A:F,6,FALSE)</f>
        <v>#N/A</v>
      </c>
      <c r="AL349" s="283"/>
      <c r="AM349" s="490" t="str">
        <f>IF(Tableau1[[#This Row],[Name PFI/CDD]]="","-",VLOOKUP(Tableau1[[#This Row],[Name PFI/CDD]],Plant_AILN!I:J,2,FALSE))</f>
        <v>-</v>
      </c>
      <c r="AN34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4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49" s="2" t="e">
        <f ca="1">VLOOKUP(Tableau1[[#This Row],[Key(POD -PFI- Usine)]],'DATA Consignee'!A:J,10,FALSE)</f>
        <v>#N/A</v>
      </c>
      <c r="AQ349" s="50" t="e">
        <f ca="1">VLOOKUP(Tableau1[[#This Row],[Key(POD -PFI- Usine)]],'DATA Consignee'!A:N,14,FALSE)</f>
        <v>#N/A</v>
      </c>
      <c r="AR34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4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49" s="50" t="e">
        <f ca="1">Tableau1[[#This Row],[Transit time]]+Tableau1[[#This Row],[Time for security]]+Tableau1[[#This Row],[Time for security2 buffer]]</f>
        <v>#N/A</v>
      </c>
      <c r="AU34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49" s="50" t="e">
        <f ca="1">Tableau1[[#This Row],[Leadtime SI2C]]+Tableau1[[#This Row],[First Receipt Days]]-Tableau1[[#This Row],[Day Customer Order]]+1</f>
        <v>#N/A</v>
      </c>
      <c r="AW349" s="117" t="e">
        <f ca="1">IF(Tableau1[[#This Row],[Name ILN]]&lt;&gt;"SFK Freight Forwarder",Tableau1[[#This Row],[Cust. Leadtime]],Tableau1[[#This Row],[Leadtime SI2C]])</f>
        <v>#N/A</v>
      </c>
      <c r="AX349" s="57" t="e">
        <f>VLOOKUP(Tableau1[[#This Row],[ID]],'DATA BTO'!B:P,15,FALSE)</f>
        <v>#N/A</v>
      </c>
      <c r="AY349" s="328" t="e">
        <f ca="1">IFERROR(VLOOKUP(Tableau1[[#This Row],[Key(ID-Actif)]],'DATA BTO'!A:N,4,FALSE),VLOOKUP(Tableau1[[#This Row],[ID]],'DATA BTO'!B:N,3,FALSE))</f>
        <v>#N/A</v>
      </c>
      <c r="AZ34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4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4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9" s="50"/>
    </row>
    <row r="350" spans="2:57">
      <c r="B350" s="405" t="str">
        <f>_xlfn.CONCAT(Tableau1[[#This Row],[Name ILN]],"-",Tableau1[[#This Row],[Name Shipper]],"-",Tableau1[[#This Row],[Name Site]])</f>
        <v>--</v>
      </c>
      <c r="C350" s="64" t="e">
        <f>_xlfn.CONCAT(Tableau1[[#This Row],[Compte ILN]],"-",Tableau1[[#This Row],[Compte Shipper]],"-",Tableau1[[#This Row],[POL]],"-",Tableau1[[#This Row],[Compte Consignee]])</f>
        <v>#N/A</v>
      </c>
      <c r="D350" s="64" t="e">
        <f>_xlfn.CONCAT(Tableau1[[#This Row],[Compte ILN]],"-",Tableau1[[#This Row],[Compte Shipper]],"-",Tableau1[[#This Row],[POL]])</f>
        <v>#N/A</v>
      </c>
      <c r="E350" s="128" t="e">
        <f ca="1">_xlfn.CONCAT(Tableau1[[#This Row],[POL]],"-",Tableau1[[#This Row],[Carrier]],"-",Tableau1[[#This Row],[POD]])</f>
        <v>#N/A</v>
      </c>
      <c r="F350" s="64" t="str">
        <f>_xlfn.CONCAT(Tableau1[[#This Row],[ID]],"-","Actif")</f>
        <v>-Actif</v>
      </c>
      <c r="G350" s="64" t="e">
        <f ca="1">_xlfn.CONCAT(Tableau1[[#This Row],[POD]],"-",Tableau1[[#This Row],[Code PFI]],"-",Tableau1[[#This Row],[Compte Consignee]])</f>
        <v>#N/A</v>
      </c>
      <c r="H35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0" s="117" t="str">
        <f ca="1">IF(COUNTIF(I:I,Tableau1[[#This Row],[Plant-ILN-shipper-POL-Carrier-POD-PFI]])=1,"Non","Oui")</f>
        <v>Oui</v>
      </c>
      <c r="K350" s="126" t="e">
        <f>VLOOKUP(Tableau1[[#This Row],[Name Site]],Plant_AILN!A:D,4,FALSE)</f>
        <v>#N/A</v>
      </c>
      <c r="L350" s="363"/>
      <c r="M350" s="492" t="e">
        <f>VLOOKUP(Tableau1[[#This Row],[Name Site]],Plant_AILN!A:C,3,FALSE)</f>
        <v>#N/A</v>
      </c>
      <c r="N350" s="55" t="e">
        <f>VLOOKUP(Tableau1[[#This Row],[Compte Consignee]],Order!C:D,2,FALSE)</f>
        <v>#N/A</v>
      </c>
      <c r="O350" s="122"/>
      <c r="P350" s="481" t="e">
        <f>VLOOKUP(Tableau1[[#This Row],[Name ILN]],Plant_AILN!F:G,2,FALSE)</f>
        <v>#N/A</v>
      </c>
      <c r="Q350" s="50" t="e">
        <f>VLOOKUP(Tableau1[[#This Row],[Compte ILN]],'DATA ILN'!D:I,6,FALSE)</f>
        <v>#N/A</v>
      </c>
      <c r="R350" s="50" t="e">
        <f>IFERROR(VLOOKUP(Tableau1[[#This Row],[Key(Compte ILN - shipper - POL - plant)]],'DATA ILN'!A:J,10,FALSE),VLOOKUP(Tableau1[[#This Row],[Key(Compte ILN - shipper - POL)]],'DATA ILN'!B:J,9,FALSE))</f>
        <v>#N/A</v>
      </c>
      <c r="S350" s="50" t="e">
        <f>IFERROR(VLOOKUP(Tableau1[[#This Row],[Key(Compte ILN - shipper - POL - plant)]],'DATA ILN'!A:K,11,FALSE),VLOOKUP(Tableau1[[#This Row],[Key(Compte ILN - shipper - POL)]],'DATA ILN'!B:K,10,FALSE))</f>
        <v>#N/A</v>
      </c>
      <c r="T350" s="50" t="e">
        <f>IFERROR(VLOOKUP(Tableau1[[#This Row],[Key(Compte ILN - shipper - POL - plant)]],'DATA ILN'!A:L,12,FALSE),VLOOKUP(Tableau1[[#This Row],[Key(Compte ILN - shipper - POL)]],'DATA ILN'!B:L,11,FALSE))</f>
        <v>#N/A</v>
      </c>
      <c r="U350" s="50" t="e">
        <f>Tableau1[[#This Row],[Day ILN Order]]+Tableau1[[#This Row],[Delivery time to ILN/Shipper]]-1</f>
        <v>#N/A</v>
      </c>
      <c r="V350" s="50" t="e">
        <f>IFERROR(VLOOKUP(Tableau1[[#This Row],[Key(Compte ILN - shipper - POL - plant)]],'DATA ILN'!A:N,14,FALSE),VLOOKUP(Tableau1[[#This Row],[Key(Compte ILN - shipper - POL)]],'DATA ILN'!B:N,13,FALSE))</f>
        <v>#N/A</v>
      </c>
      <c r="W350" s="50" t="e">
        <f>IFERROR(VLOOKUP(Tableau1[[#This Row],[Key(Compte ILN - shipper - POL - plant)]],'DATA ILN'!A:P,16,FALSE),VLOOKUP(Tableau1[[#This Row],[Key(Compte ILN - shipper - POL)]],'DATA ILN'!B:P,15,FALSE))</f>
        <v>#N/A</v>
      </c>
      <c r="X350" s="283"/>
      <c r="Y350" s="489">
        <f>IFERROR(VLOOKUP(Tableau1[[#This Row],[Name Shipper]],Plant_AILN!L:M,2,FALSE),0)</f>
        <v>0</v>
      </c>
      <c r="Z350" s="358"/>
      <c r="AA350" s="353" t="e">
        <f ca="1">VLOOKUP(Tableau1[[#This Row],[Key(ID-Actif)]],'DATA BTO'!A:N,5,FALSE)</f>
        <v>#N/A</v>
      </c>
      <c r="AB350" s="3" t="e">
        <f ca="1">VLOOKUP(Tableau1[[#This Row],[Key(ID-Actif)]],'DATA BTO'!A:N,6,FALSE)</f>
        <v>#N/A</v>
      </c>
      <c r="AC350" s="50" t="e">
        <f ca="1">VLOOKUP(Tableau1[[#This Row],[Key(ID-Actif)]],'DATA BTO'!A:N,7,FALSE)</f>
        <v>#N/A</v>
      </c>
      <c r="AD350" s="50" t="e">
        <f ca="1">VLOOKUP(Tableau1[[#This Row],[Key(ID-Actif)]],'DATA BTO'!A:N,8,FALSE)</f>
        <v>#N/A</v>
      </c>
      <c r="AE350" s="406" t="e">
        <f ca="1">IF(Tableau1[[#This Row],[First Day to POL]]&lt;=Tableau1[[#This Row],[Day Cut Off]],Tableau1[[#This Row],[Day ETD]],Tableau1[[#This Row],[Day ETD]]+7)</f>
        <v>#N/A</v>
      </c>
      <c r="AF350" s="50" t="e">
        <f ca="1">VLOOKUP(Tableau1[[#This Row],[Key(ID-Actif)]],'DATA BTO'!A:N,9,FALSE)</f>
        <v>#N/A</v>
      </c>
      <c r="AG350" s="3" t="e">
        <f ca="1">VLOOKUP(Tableau1[[#This Row],[Key(ID-Actif)]],'DATA BTO'!A:N,10,FALSE)</f>
        <v>#N/A</v>
      </c>
      <c r="AH350" s="3" t="e">
        <f ca="1">VLOOKUP(Tableau1[[#This Row],[Key(ID-Actif)]],'DATA BTO'!A:N,11,FALSE)</f>
        <v>#N/A</v>
      </c>
      <c r="AI350" s="50" t="e">
        <f ca="1">VLOOKUP(Tableau1[[#This Row],[Key(ID-Actif)]],'DATA BTO'!A:N,12,FALSE)</f>
        <v>#N/A</v>
      </c>
      <c r="AJ350" s="53" t="e">
        <f ca="1">VLOOKUP(Tableau1[[#This Row],[Key(ID-Actif)]],'DATA BTO'!A:N,14,FALSE)</f>
        <v>#N/A</v>
      </c>
      <c r="AK350" s="54" t="e">
        <f ca="1">VLOOKUP(Tableau1[[#This Row],[Key(POD -PFI- Usine)]],'DATA Consignee'!A:F,6,FALSE)</f>
        <v>#N/A</v>
      </c>
      <c r="AL350" s="283"/>
      <c r="AM350" s="490" t="str">
        <f>IF(Tableau1[[#This Row],[Name PFI/CDD]]="","-",VLOOKUP(Tableau1[[#This Row],[Name PFI/CDD]],Plant_AILN!I:J,2,FALSE))</f>
        <v>-</v>
      </c>
      <c r="AN35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0" s="2" t="e">
        <f ca="1">VLOOKUP(Tableau1[[#This Row],[Key(POD -PFI- Usine)]],'DATA Consignee'!A:J,10,FALSE)</f>
        <v>#N/A</v>
      </c>
      <c r="AQ350" s="50" t="e">
        <f ca="1">VLOOKUP(Tableau1[[#This Row],[Key(POD -PFI- Usine)]],'DATA Consignee'!A:N,14,FALSE)</f>
        <v>#N/A</v>
      </c>
      <c r="AR35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0" s="50" t="e">
        <f ca="1">Tableau1[[#This Row],[Transit time]]+Tableau1[[#This Row],[Time for security]]+Tableau1[[#This Row],[Time for security2 buffer]]</f>
        <v>#N/A</v>
      </c>
      <c r="AU35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0" s="50" t="e">
        <f ca="1">Tableau1[[#This Row],[Leadtime SI2C]]+Tableau1[[#This Row],[First Receipt Days]]-Tableau1[[#This Row],[Day Customer Order]]+1</f>
        <v>#N/A</v>
      </c>
      <c r="AW350" s="117" t="e">
        <f ca="1">IF(Tableau1[[#This Row],[Name ILN]]&lt;&gt;"SFK Freight Forwarder",Tableau1[[#This Row],[Cust. Leadtime]],Tableau1[[#This Row],[Leadtime SI2C]])</f>
        <v>#N/A</v>
      </c>
      <c r="AX350" s="57" t="e">
        <f>VLOOKUP(Tableau1[[#This Row],[ID]],'DATA BTO'!B:P,15,FALSE)</f>
        <v>#N/A</v>
      </c>
      <c r="AY350" s="328" t="e">
        <f ca="1">IFERROR(VLOOKUP(Tableau1[[#This Row],[Key(ID-Actif)]],'DATA BTO'!A:N,4,FALSE),VLOOKUP(Tableau1[[#This Row],[ID]],'DATA BTO'!B:N,3,FALSE))</f>
        <v>#N/A</v>
      </c>
      <c r="AZ35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0" s="50"/>
    </row>
    <row r="351" spans="2:57">
      <c r="B351" s="405" t="str">
        <f>_xlfn.CONCAT(Tableau1[[#This Row],[Name ILN]],"-",Tableau1[[#This Row],[Name Shipper]],"-",Tableau1[[#This Row],[Name Site]])</f>
        <v>--</v>
      </c>
      <c r="C351" s="64" t="e">
        <f>_xlfn.CONCAT(Tableau1[[#This Row],[Compte ILN]],"-",Tableau1[[#This Row],[Compte Shipper]],"-",Tableau1[[#This Row],[POL]],"-",Tableau1[[#This Row],[Compte Consignee]])</f>
        <v>#N/A</v>
      </c>
      <c r="D351" s="64" t="e">
        <f>_xlfn.CONCAT(Tableau1[[#This Row],[Compte ILN]],"-",Tableau1[[#This Row],[Compte Shipper]],"-",Tableau1[[#This Row],[POL]])</f>
        <v>#N/A</v>
      </c>
      <c r="E351" s="128" t="e">
        <f ca="1">_xlfn.CONCAT(Tableau1[[#This Row],[POL]],"-",Tableau1[[#This Row],[Carrier]],"-",Tableau1[[#This Row],[POD]])</f>
        <v>#N/A</v>
      </c>
      <c r="F351" s="64" t="str">
        <f>_xlfn.CONCAT(Tableau1[[#This Row],[ID]],"-","Actif")</f>
        <v>-Actif</v>
      </c>
      <c r="G351" s="64" t="e">
        <f ca="1">_xlfn.CONCAT(Tableau1[[#This Row],[POD]],"-",Tableau1[[#This Row],[Code PFI]],"-",Tableau1[[#This Row],[Compte Consignee]])</f>
        <v>#N/A</v>
      </c>
      <c r="H35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1" s="117" t="str">
        <f ca="1">IF(COUNTIF(I:I,Tableau1[[#This Row],[Plant-ILN-shipper-POL-Carrier-POD-PFI]])=1,"Non","Oui")</f>
        <v>Oui</v>
      </c>
      <c r="K351" s="126" t="e">
        <f>VLOOKUP(Tableau1[[#This Row],[Name Site]],Plant_AILN!A:D,4,FALSE)</f>
        <v>#N/A</v>
      </c>
      <c r="L351" s="363"/>
      <c r="M351" s="492" t="e">
        <f>VLOOKUP(Tableau1[[#This Row],[Name Site]],Plant_AILN!A:C,3,FALSE)</f>
        <v>#N/A</v>
      </c>
      <c r="N351" s="55" t="e">
        <f>VLOOKUP(Tableau1[[#This Row],[Compte Consignee]],Order!C:D,2,FALSE)</f>
        <v>#N/A</v>
      </c>
      <c r="O351" s="122"/>
      <c r="P351" s="481" t="e">
        <f>VLOOKUP(Tableau1[[#This Row],[Name ILN]],Plant_AILN!F:G,2,FALSE)</f>
        <v>#N/A</v>
      </c>
      <c r="Q351" s="50" t="e">
        <f>VLOOKUP(Tableau1[[#This Row],[Compte ILN]],'DATA ILN'!D:I,6,FALSE)</f>
        <v>#N/A</v>
      </c>
      <c r="R351" s="50" t="e">
        <f>IFERROR(VLOOKUP(Tableau1[[#This Row],[Key(Compte ILN - shipper - POL - plant)]],'DATA ILN'!A:J,10,FALSE),VLOOKUP(Tableau1[[#This Row],[Key(Compte ILN - shipper - POL)]],'DATA ILN'!B:J,9,FALSE))</f>
        <v>#N/A</v>
      </c>
      <c r="S351" s="50" t="e">
        <f>IFERROR(VLOOKUP(Tableau1[[#This Row],[Key(Compte ILN - shipper - POL - plant)]],'DATA ILN'!A:K,11,FALSE),VLOOKUP(Tableau1[[#This Row],[Key(Compte ILN - shipper - POL)]],'DATA ILN'!B:K,10,FALSE))</f>
        <v>#N/A</v>
      </c>
      <c r="T351" s="50" t="e">
        <f>IFERROR(VLOOKUP(Tableau1[[#This Row],[Key(Compte ILN - shipper - POL - plant)]],'DATA ILN'!A:L,12,FALSE),VLOOKUP(Tableau1[[#This Row],[Key(Compte ILN - shipper - POL)]],'DATA ILN'!B:L,11,FALSE))</f>
        <v>#N/A</v>
      </c>
      <c r="U351" s="50" t="e">
        <f>Tableau1[[#This Row],[Day ILN Order]]+Tableau1[[#This Row],[Delivery time to ILN/Shipper]]-1</f>
        <v>#N/A</v>
      </c>
      <c r="V351" s="50" t="e">
        <f>IFERROR(VLOOKUP(Tableau1[[#This Row],[Key(Compte ILN - shipper - POL - plant)]],'DATA ILN'!A:N,14,FALSE),VLOOKUP(Tableau1[[#This Row],[Key(Compte ILN - shipper - POL)]],'DATA ILN'!B:N,13,FALSE))</f>
        <v>#N/A</v>
      </c>
      <c r="W351" s="50" t="e">
        <f>IFERROR(VLOOKUP(Tableau1[[#This Row],[Key(Compte ILN - shipper - POL - plant)]],'DATA ILN'!A:P,16,FALSE),VLOOKUP(Tableau1[[#This Row],[Key(Compte ILN - shipper - POL)]],'DATA ILN'!B:P,15,FALSE))</f>
        <v>#N/A</v>
      </c>
      <c r="X351" s="283"/>
      <c r="Y351" s="489">
        <f>IFERROR(VLOOKUP(Tableau1[[#This Row],[Name Shipper]],Plant_AILN!L:M,2,FALSE),0)</f>
        <v>0</v>
      </c>
      <c r="Z351" s="358"/>
      <c r="AA351" s="353" t="e">
        <f ca="1">VLOOKUP(Tableau1[[#This Row],[Key(ID-Actif)]],'DATA BTO'!A:N,5,FALSE)</f>
        <v>#N/A</v>
      </c>
      <c r="AB351" s="3" t="e">
        <f ca="1">VLOOKUP(Tableau1[[#This Row],[Key(ID-Actif)]],'DATA BTO'!A:N,6,FALSE)</f>
        <v>#N/A</v>
      </c>
      <c r="AC351" s="50" t="e">
        <f ca="1">VLOOKUP(Tableau1[[#This Row],[Key(ID-Actif)]],'DATA BTO'!A:N,7,FALSE)</f>
        <v>#N/A</v>
      </c>
      <c r="AD351" s="50" t="e">
        <f ca="1">VLOOKUP(Tableau1[[#This Row],[Key(ID-Actif)]],'DATA BTO'!A:N,8,FALSE)</f>
        <v>#N/A</v>
      </c>
      <c r="AE351" s="406" t="e">
        <f ca="1">IF(Tableau1[[#This Row],[First Day to POL]]&lt;=Tableau1[[#This Row],[Day Cut Off]],Tableau1[[#This Row],[Day ETD]],Tableau1[[#This Row],[Day ETD]]+7)</f>
        <v>#N/A</v>
      </c>
      <c r="AF351" s="50" t="e">
        <f ca="1">VLOOKUP(Tableau1[[#This Row],[Key(ID-Actif)]],'DATA BTO'!A:N,9,FALSE)</f>
        <v>#N/A</v>
      </c>
      <c r="AG351" s="3" t="e">
        <f ca="1">VLOOKUP(Tableau1[[#This Row],[Key(ID-Actif)]],'DATA BTO'!A:N,10,FALSE)</f>
        <v>#N/A</v>
      </c>
      <c r="AH351" s="3" t="e">
        <f ca="1">VLOOKUP(Tableau1[[#This Row],[Key(ID-Actif)]],'DATA BTO'!A:N,11,FALSE)</f>
        <v>#N/A</v>
      </c>
      <c r="AI351" s="50" t="e">
        <f ca="1">VLOOKUP(Tableau1[[#This Row],[Key(ID-Actif)]],'DATA BTO'!A:N,12,FALSE)</f>
        <v>#N/A</v>
      </c>
      <c r="AJ351" s="53" t="e">
        <f ca="1">VLOOKUP(Tableau1[[#This Row],[Key(ID-Actif)]],'DATA BTO'!A:N,14,FALSE)</f>
        <v>#N/A</v>
      </c>
      <c r="AK351" s="54" t="e">
        <f ca="1">VLOOKUP(Tableau1[[#This Row],[Key(POD -PFI- Usine)]],'DATA Consignee'!A:F,6,FALSE)</f>
        <v>#N/A</v>
      </c>
      <c r="AL351" s="283"/>
      <c r="AM351" s="490" t="str">
        <f>IF(Tableau1[[#This Row],[Name PFI/CDD]]="","-",VLOOKUP(Tableau1[[#This Row],[Name PFI/CDD]],Plant_AILN!I:J,2,FALSE))</f>
        <v>-</v>
      </c>
      <c r="AN35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1" s="2" t="e">
        <f ca="1">VLOOKUP(Tableau1[[#This Row],[Key(POD -PFI- Usine)]],'DATA Consignee'!A:J,10,FALSE)</f>
        <v>#N/A</v>
      </c>
      <c r="AQ351" s="50" t="e">
        <f ca="1">VLOOKUP(Tableau1[[#This Row],[Key(POD -PFI- Usine)]],'DATA Consignee'!A:N,14,FALSE)</f>
        <v>#N/A</v>
      </c>
      <c r="AR35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1" s="50" t="e">
        <f ca="1">Tableau1[[#This Row],[Transit time]]+Tableau1[[#This Row],[Time for security]]+Tableau1[[#This Row],[Time for security2 buffer]]</f>
        <v>#N/A</v>
      </c>
      <c r="AU35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1" s="50" t="e">
        <f ca="1">Tableau1[[#This Row],[Leadtime SI2C]]+Tableau1[[#This Row],[First Receipt Days]]-Tableau1[[#This Row],[Day Customer Order]]+1</f>
        <v>#N/A</v>
      </c>
      <c r="AW351" s="117" t="e">
        <f ca="1">IF(Tableau1[[#This Row],[Name ILN]]&lt;&gt;"SFK Freight Forwarder",Tableau1[[#This Row],[Cust. Leadtime]],Tableau1[[#This Row],[Leadtime SI2C]])</f>
        <v>#N/A</v>
      </c>
      <c r="AX351" s="57" t="e">
        <f>VLOOKUP(Tableau1[[#This Row],[ID]],'DATA BTO'!B:P,15,FALSE)</f>
        <v>#N/A</v>
      </c>
      <c r="AY351" s="328" t="e">
        <f ca="1">IFERROR(VLOOKUP(Tableau1[[#This Row],[Key(ID-Actif)]],'DATA BTO'!A:N,4,FALSE),VLOOKUP(Tableau1[[#This Row],[ID]],'DATA BTO'!B:N,3,FALSE))</f>
        <v>#N/A</v>
      </c>
      <c r="AZ35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1" s="50"/>
    </row>
    <row r="352" spans="2:57">
      <c r="B352" s="405" t="str">
        <f>_xlfn.CONCAT(Tableau1[[#This Row],[Name ILN]],"-",Tableau1[[#This Row],[Name Shipper]],"-",Tableau1[[#This Row],[Name Site]])</f>
        <v>--</v>
      </c>
      <c r="C352" s="64" t="e">
        <f>_xlfn.CONCAT(Tableau1[[#This Row],[Compte ILN]],"-",Tableau1[[#This Row],[Compte Shipper]],"-",Tableau1[[#This Row],[POL]],"-",Tableau1[[#This Row],[Compte Consignee]])</f>
        <v>#N/A</v>
      </c>
      <c r="D352" s="64" t="e">
        <f>_xlfn.CONCAT(Tableau1[[#This Row],[Compte ILN]],"-",Tableau1[[#This Row],[Compte Shipper]],"-",Tableau1[[#This Row],[POL]])</f>
        <v>#N/A</v>
      </c>
      <c r="E352" s="128" t="e">
        <f ca="1">_xlfn.CONCAT(Tableau1[[#This Row],[POL]],"-",Tableau1[[#This Row],[Carrier]],"-",Tableau1[[#This Row],[POD]])</f>
        <v>#N/A</v>
      </c>
      <c r="F352" s="64" t="str">
        <f>_xlfn.CONCAT(Tableau1[[#This Row],[ID]],"-","Actif")</f>
        <v>-Actif</v>
      </c>
      <c r="G352" s="64" t="e">
        <f ca="1">_xlfn.CONCAT(Tableau1[[#This Row],[POD]],"-",Tableau1[[#This Row],[Code PFI]],"-",Tableau1[[#This Row],[Compte Consignee]])</f>
        <v>#N/A</v>
      </c>
      <c r="H35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2" s="117" t="str">
        <f ca="1">IF(COUNTIF(I:I,Tableau1[[#This Row],[Plant-ILN-shipper-POL-Carrier-POD-PFI]])=1,"Non","Oui")</f>
        <v>Oui</v>
      </c>
      <c r="K352" s="126" t="e">
        <f>VLOOKUP(Tableau1[[#This Row],[Name Site]],Plant_AILN!A:D,4,FALSE)</f>
        <v>#N/A</v>
      </c>
      <c r="L352" s="363"/>
      <c r="M352" s="492" t="e">
        <f>VLOOKUP(Tableau1[[#This Row],[Name Site]],Plant_AILN!A:C,3,FALSE)</f>
        <v>#N/A</v>
      </c>
      <c r="N352" s="55" t="e">
        <f>VLOOKUP(Tableau1[[#This Row],[Compte Consignee]],Order!C:D,2,FALSE)</f>
        <v>#N/A</v>
      </c>
      <c r="O352" s="122"/>
      <c r="P352" s="481" t="e">
        <f>VLOOKUP(Tableau1[[#This Row],[Name ILN]],Plant_AILN!F:G,2,FALSE)</f>
        <v>#N/A</v>
      </c>
      <c r="Q352" s="50" t="e">
        <f>VLOOKUP(Tableau1[[#This Row],[Compte ILN]],'DATA ILN'!D:I,6,FALSE)</f>
        <v>#N/A</v>
      </c>
      <c r="R352" s="50" t="e">
        <f>IFERROR(VLOOKUP(Tableau1[[#This Row],[Key(Compte ILN - shipper - POL - plant)]],'DATA ILN'!A:J,10,FALSE),VLOOKUP(Tableau1[[#This Row],[Key(Compte ILN - shipper - POL)]],'DATA ILN'!B:J,9,FALSE))</f>
        <v>#N/A</v>
      </c>
      <c r="S352" s="50" t="e">
        <f>IFERROR(VLOOKUP(Tableau1[[#This Row],[Key(Compte ILN - shipper - POL - plant)]],'DATA ILN'!A:K,11,FALSE),VLOOKUP(Tableau1[[#This Row],[Key(Compte ILN - shipper - POL)]],'DATA ILN'!B:K,10,FALSE))</f>
        <v>#N/A</v>
      </c>
      <c r="T352" s="50" t="e">
        <f>IFERROR(VLOOKUP(Tableau1[[#This Row],[Key(Compte ILN - shipper - POL - plant)]],'DATA ILN'!A:L,12,FALSE),VLOOKUP(Tableau1[[#This Row],[Key(Compte ILN - shipper - POL)]],'DATA ILN'!B:L,11,FALSE))</f>
        <v>#N/A</v>
      </c>
      <c r="U352" s="50" t="e">
        <f>Tableau1[[#This Row],[Day ILN Order]]+Tableau1[[#This Row],[Delivery time to ILN/Shipper]]-1</f>
        <v>#N/A</v>
      </c>
      <c r="V352" s="50" t="e">
        <f>IFERROR(VLOOKUP(Tableau1[[#This Row],[Key(Compte ILN - shipper - POL - plant)]],'DATA ILN'!A:N,14,FALSE),VLOOKUP(Tableau1[[#This Row],[Key(Compte ILN - shipper - POL)]],'DATA ILN'!B:N,13,FALSE))</f>
        <v>#N/A</v>
      </c>
      <c r="W352" s="50" t="e">
        <f>IFERROR(VLOOKUP(Tableau1[[#This Row],[Key(Compte ILN - shipper - POL - plant)]],'DATA ILN'!A:P,16,FALSE),VLOOKUP(Tableau1[[#This Row],[Key(Compte ILN - shipper - POL)]],'DATA ILN'!B:P,15,FALSE))</f>
        <v>#N/A</v>
      </c>
      <c r="X352" s="283"/>
      <c r="Y352" s="489">
        <f>IFERROR(VLOOKUP(Tableau1[[#This Row],[Name Shipper]],Plant_AILN!L:M,2,FALSE),0)</f>
        <v>0</v>
      </c>
      <c r="Z352" s="358"/>
      <c r="AA352" s="353" t="e">
        <f ca="1">VLOOKUP(Tableau1[[#This Row],[Key(ID-Actif)]],'DATA BTO'!A:N,5,FALSE)</f>
        <v>#N/A</v>
      </c>
      <c r="AB352" s="3" t="e">
        <f ca="1">VLOOKUP(Tableau1[[#This Row],[Key(ID-Actif)]],'DATA BTO'!A:N,6,FALSE)</f>
        <v>#N/A</v>
      </c>
      <c r="AC352" s="50" t="e">
        <f ca="1">VLOOKUP(Tableau1[[#This Row],[Key(ID-Actif)]],'DATA BTO'!A:N,7,FALSE)</f>
        <v>#N/A</v>
      </c>
      <c r="AD352" s="50" t="e">
        <f ca="1">VLOOKUP(Tableau1[[#This Row],[Key(ID-Actif)]],'DATA BTO'!A:N,8,FALSE)</f>
        <v>#N/A</v>
      </c>
      <c r="AE352" s="406" t="e">
        <f ca="1">IF(Tableau1[[#This Row],[First Day to POL]]&lt;=Tableau1[[#This Row],[Day Cut Off]],Tableau1[[#This Row],[Day ETD]],Tableau1[[#This Row],[Day ETD]]+7)</f>
        <v>#N/A</v>
      </c>
      <c r="AF352" s="50" t="e">
        <f ca="1">VLOOKUP(Tableau1[[#This Row],[Key(ID-Actif)]],'DATA BTO'!A:N,9,FALSE)</f>
        <v>#N/A</v>
      </c>
      <c r="AG352" s="3" t="e">
        <f ca="1">VLOOKUP(Tableau1[[#This Row],[Key(ID-Actif)]],'DATA BTO'!A:N,10,FALSE)</f>
        <v>#N/A</v>
      </c>
      <c r="AH352" s="3" t="e">
        <f ca="1">VLOOKUP(Tableau1[[#This Row],[Key(ID-Actif)]],'DATA BTO'!A:N,11,FALSE)</f>
        <v>#N/A</v>
      </c>
      <c r="AI352" s="50" t="e">
        <f ca="1">VLOOKUP(Tableau1[[#This Row],[Key(ID-Actif)]],'DATA BTO'!A:N,12,FALSE)</f>
        <v>#N/A</v>
      </c>
      <c r="AJ352" s="53" t="e">
        <f ca="1">VLOOKUP(Tableau1[[#This Row],[Key(ID-Actif)]],'DATA BTO'!A:N,14,FALSE)</f>
        <v>#N/A</v>
      </c>
      <c r="AK352" s="54" t="e">
        <f ca="1">VLOOKUP(Tableau1[[#This Row],[Key(POD -PFI- Usine)]],'DATA Consignee'!A:F,6,FALSE)</f>
        <v>#N/A</v>
      </c>
      <c r="AL352" s="283"/>
      <c r="AM352" s="490" t="str">
        <f>IF(Tableau1[[#This Row],[Name PFI/CDD]]="","-",VLOOKUP(Tableau1[[#This Row],[Name PFI/CDD]],Plant_AILN!I:J,2,FALSE))</f>
        <v>-</v>
      </c>
      <c r="AN35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2" s="2" t="e">
        <f ca="1">VLOOKUP(Tableau1[[#This Row],[Key(POD -PFI- Usine)]],'DATA Consignee'!A:J,10,FALSE)</f>
        <v>#N/A</v>
      </c>
      <c r="AQ352" s="50" t="e">
        <f ca="1">VLOOKUP(Tableau1[[#This Row],[Key(POD -PFI- Usine)]],'DATA Consignee'!A:N,14,FALSE)</f>
        <v>#N/A</v>
      </c>
      <c r="AR35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2" s="50" t="e">
        <f ca="1">Tableau1[[#This Row],[Transit time]]+Tableau1[[#This Row],[Time for security]]+Tableau1[[#This Row],[Time for security2 buffer]]</f>
        <v>#N/A</v>
      </c>
      <c r="AU35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2" s="50" t="e">
        <f ca="1">Tableau1[[#This Row],[Leadtime SI2C]]+Tableau1[[#This Row],[First Receipt Days]]-Tableau1[[#This Row],[Day Customer Order]]+1</f>
        <v>#N/A</v>
      </c>
      <c r="AW352" s="117" t="e">
        <f ca="1">IF(Tableau1[[#This Row],[Name ILN]]&lt;&gt;"SFK Freight Forwarder",Tableau1[[#This Row],[Cust. Leadtime]],Tableau1[[#This Row],[Leadtime SI2C]])</f>
        <v>#N/A</v>
      </c>
      <c r="AX352" s="57" t="e">
        <f>VLOOKUP(Tableau1[[#This Row],[ID]],'DATA BTO'!B:P,15,FALSE)</f>
        <v>#N/A</v>
      </c>
      <c r="AY352" s="328" t="e">
        <f ca="1">IFERROR(VLOOKUP(Tableau1[[#This Row],[Key(ID-Actif)]],'DATA BTO'!A:N,4,FALSE),VLOOKUP(Tableau1[[#This Row],[ID]],'DATA BTO'!B:N,3,FALSE))</f>
        <v>#N/A</v>
      </c>
      <c r="AZ35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2" s="50"/>
    </row>
    <row r="353" spans="2:57">
      <c r="B353" s="405" t="str">
        <f>_xlfn.CONCAT(Tableau1[[#This Row],[Name ILN]],"-",Tableau1[[#This Row],[Name Shipper]],"-",Tableau1[[#This Row],[Name Site]])</f>
        <v>--</v>
      </c>
      <c r="C353" s="64" t="e">
        <f>_xlfn.CONCAT(Tableau1[[#This Row],[Compte ILN]],"-",Tableau1[[#This Row],[Compte Shipper]],"-",Tableau1[[#This Row],[POL]],"-",Tableau1[[#This Row],[Compte Consignee]])</f>
        <v>#N/A</v>
      </c>
      <c r="D353" s="64" t="e">
        <f>_xlfn.CONCAT(Tableau1[[#This Row],[Compte ILN]],"-",Tableau1[[#This Row],[Compte Shipper]],"-",Tableau1[[#This Row],[POL]])</f>
        <v>#N/A</v>
      </c>
      <c r="E353" s="128" t="e">
        <f ca="1">_xlfn.CONCAT(Tableau1[[#This Row],[POL]],"-",Tableau1[[#This Row],[Carrier]],"-",Tableau1[[#This Row],[POD]])</f>
        <v>#N/A</v>
      </c>
      <c r="F353" s="64" t="str">
        <f>_xlfn.CONCAT(Tableau1[[#This Row],[ID]],"-","Actif")</f>
        <v>-Actif</v>
      </c>
      <c r="G353" s="64" t="e">
        <f ca="1">_xlfn.CONCAT(Tableau1[[#This Row],[POD]],"-",Tableau1[[#This Row],[Code PFI]],"-",Tableau1[[#This Row],[Compte Consignee]])</f>
        <v>#N/A</v>
      </c>
      <c r="H35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3" s="117" t="str">
        <f ca="1">IF(COUNTIF(I:I,Tableau1[[#This Row],[Plant-ILN-shipper-POL-Carrier-POD-PFI]])=1,"Non","Oui")</f>
        <v>Oui</v>
      </c>
      <c r="K353" s="126" t="e">
        <f>VLOOKUP(Tableau1[[#This Row],[Name Site]],Plant_AILN!A:D,4,FALSE)</f>
        <v>#N/A</v>
      </c>
      <c r="L353" s="363"/>
      <c r="M353" s="492" t="e">
        <f>VLOOKUP(Tableau1[[#This Row],[Name Site]],Plant_AILN!A:C,3,FALSE)</f>
        <v>#N/A</v>
      </c>
      <c r="N353" s="55" t="e">
        <f>VLOOKUP(Tableau1[[#This Row],[Compte Consignee]],Order!C:D,2,FALSE)</f>
        <v>#N/A</v>
      </c>
      <c r="O353" s="122"/>
      <c r="P353" s="481" t="e">
        <f>VLOOKUP(Tableau1[[#This Row],[Name ILN]],Plant_AILN!F:G,2,FALSE)</f>
        <v>#N/A</v>
      </c>
      <c r="Q353" s="50" t="e">
        <f>VLOOKUP(Tableau1[[#This Row],[Compte ILN]],'DATA ILN'!D:I,6,FALSE)</f>
        <v>#N/A</v>
      </c>
      <c r="R353" s="50" t="e">
        <f>IFERROR(VLOOKUP(Tableau1[[#This Row],[Key(Compte ILN - shipper - POL - plant)]],'DATA ILN'!A:J,10,FALSE),VLOOKUP(Tableau1[[#This Row],[Key(Compte ILN - shipper - POL)]],'DATA ILN'!B:J,9,FALSE))</f>
        <v>#N/A</v>
      </c>
      <c r="S353" s="50" t="e">
        <f>IFERROR(VLOOKUP(Tableau1[[#This Row],[Key(Compte ILN - shipper - POL - plant)]],'DATA ILN'!A:K,11,FALSE),VLOOKUP(Tableau1[[#This Row],[Key(Compte ILN - shipper - POL)]],'DATA ILN'!B:K,10,FALSE))</f>
        <v>#N/A</v>
      </c>
      <c r="T353" s="50" t="e">
        <f>IFERROR(VLOOKUP(Tableau1[[#This Row],[Key(Compte ILN - shipper - POL - plant)]],'DATA ILN'!A:L,12,FALSE),VLOOKUP(Tableau1[[#This Row],[Key(Compte ILN - shipper - POL)]],'DATA ILN'!B:L,11,FALSE))</f>
        <v>#N/A</v>
      </c>
      <c r="U353" s="50" t="e">
        <f>Tableau1[[#This Row],[Day ILN Order]]+Tableau1[[#This Row],[Delivery time to ILN/Shipper]]-1</f>
        <v>#N/A</v>
      </c>
      <c r="V353" s="50" t="e">
        <f>IFERROR(VLOOKUP(Tableau1[[#This Row],[Key(Compte ILN - shipper - POL - plant)]],'DATA ILN'!A:N,14,FALSE),VLOOKUP(Tableau1[[#This Row],[Key(Compte ILN - shipper - POL)]],'DATA ILN'!B:N,13,FALSE))</f>
        <v>#N/A</v>
      </c>
      <c r="W353" s="50" t="e">
        <f>IFERROR(VLOOKUP(Tableau1[[#This Row],[Key(Compte ILN - shipper - POL - plant)]],'DATA ILN'!A:P,16,FALSE),VLOOKUP(Tableau1[[#This Row],[Key(Compte ILN - shipper - POL)]],'DATA ILN'!B:P,15,FALSE))</f>
        <v>#N/A</v>
      </c>
      <c r="X353" s="283"/>
      <c r="Y353" s="489">
        <f>IFERROR(VLOOKUP(Tableau1[[#This Row],[Name Shipper]],Plant_AILN!L:M,2,FALSE),0)</f>
        <v>0</v>
      </c>
      <c r="Z353" s="358"/>
      <c r="AA353" s="353" t="e">
        <f ca="1">VLOOKUP(Tableau1[[#This Row],[Key(ID-Actif)]],'DATA BTO'!A:N,5,FALSE)</f>
        <v>#N/A</v>
      </c>
      <c r="AB353" s="3" t="e">
        <f ca="1">VLOOKUP(Tableau1[[#This Row],[Key(ID-Actif)]],'DATA BTO'!A:N,6,FALSE)</f>
        <v>#N/A</v>
      </c>
      <c r="AC353" s="50" t="e">
        <f ca="1">VLOOKUP(Tableau1[[#This Row],[Key(ID-Actif)]],'DATA BTO'!A:N,7,FALSE)</f>
        <v>#N/A</v>
      </c>
      <c r="AD353" s="50" t="e">
        <f ca="1">VLOOKUP(Tableau1[[#This Row],[Key(ID-Actif)]],'DATA BTO'!A:N,8,FALSE)</f>
        <v>#N/A</v>
      </c>
      <c r="AE353" s="406" t="e">
        <f ca="1">IF(Tableau1[[#This Row],[First Day to POL]]&lt;=Tableau1[[#This Row],[Day Cut Off]],Tableau1[[#This Row],[Day ETD]],Tableau1[[#This Row],[Day ETD]]+7)</f>
        <v>#N/A</v>
      </c>
      <c r="AF353" s="50" t="e">
        <f ca="1">VLOOKUP(Tableau1[[#This Row],[Key(ID-Actif)]],'DATA BTO'!A:N,9,FALSE)</f>
        <v>#N/A</v>
      </c>
      <c r="AG353" s="3" t="e">
        <f ca="1">VLOOKUP(Tableau1[[#This Row],[Key(ID-Actif)]],'DATA BTO'!A:N,10,FALSE)</f>
        <v>#N/A</v>
      </c>
      <c r="AH353" s="3" t="e">
        <f ca="1">VLOOKUP(Tableau1[[#This Row],[Key(ID-Actif)]],'DATA BTO'!A:N,11,FALSE)</f>
        <v>#N/A</v>
      </c>
      <c r="AI353" s="50" t="e">
        <f ca="1">VLOOKUP(Tableau1[[#This Row],[Key(ID-Actif)]],'DATA BTO'!A:N,12,FALSE)</f>
        <v>#N/A</v>
      </c>
      <c r="AJ353" s="53" t="e">
        <f ca="1">VLOOKUP(Tableau1[[#This Row],[Key(ID-Actif)]],'DATA BTO'!A:N,14,FALSE)</f>
        <v>#N/A</v>
      </c>
      <c r="AK353" s="54" t="e">
        <f ca="1">VLOOKUP(Tableau1[[#This Row],[Key(POD -PFI- Usine)]],'DATA Consignee'!A:F,6,FALSE)</f>
        <v>#N/A</v>
      </c>
      <c r="AL353" s="283"/>
      <c r="AM353" s="490" t="str">
        <f>IF(Tableau1[[#This Row],[Name PFI/CDD]]="","-",VLOOKUP(Tableau1[[#This Row],[Name PFI/CDD]],Plant_AILN!I:J,2,FALSE))</f>
        <v>-</v>
      </c>
      <c r="AN35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3" s="2" t="e">
        <f ca="1">VLOOKUP(Tableau1[[#This Row],[Key(POD -PFI- Usine)]],'DATA Consignee'!A:J,10,FALSE)</f>
        <v>#N/A</v>
      </c>
      <c r="AQ353" s="50" t="e">
        <f ca="1">VLOOKUP(Tableau1[[#This Row],[Key(POD -PFI- Usine)]],'DATA Consignee'!A:N,14,FALSE)</f>
        <v>#N/A</v>
      </c>
      <c r="AR35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3" s="50" t="e">
        <f ca="1">Tableau1[[#This Row],[Transit time]]+Tableau1[[#This Row],[Time for security]]+Tableau1[[#This Row],[Time for security2 buffer]]</f>
        <v>#N/A</v>
      </c>
      <c r="AU35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3" s="50" t="e">
        <f ca="1">Tableau1[[#This Row],[Leadtime SI2C]]+Tableau1[[#This Row],[First Receipt Days]]-Tableau1[[#This Row],[Day Customer Order]]+1</f>
        <v>#N/A</v>
      </c>
      <c r="AW353" s="117" t="e">
        <f ca="1">IF(Tableau1[[#This Row],[Name ILN]]&lt;&gt;"SFK Freight Forwarder",Tableau1[[#This Row],[Cust. Leadtime]],Tableau1[[#This Row],[Leadtime SI2C]])</f>
        <v>#N/A</v>
      </c>
      <c r="AX353" s="57" t="e">
        <f>VLOOKUP(Tableau1[[#This Row],[ID]],'DATA BTO'!B:P,15,FALSE)</f>
        <v>#N/A</v>
      </c>
      <c r="AY353" s="328" t="e">
        <f ca="1">IFERROR(VLOOKUP(Tableau1[[#This Row],[Key(ID-Actif)]],'DATA BTO'!A:N,4,FALSE),VLOOKUP(Tableau1[[#This Row],[ID]],'DATA BTO'!B:N,3,FALSE))</f>
        <v>#N/A</v>
      </c>
      <c r="AZ35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3" s="50"/>
    </row>
    <row r="354" spans="2:57">
      <c r="B354" s="405" t="str">
        <f>_xlfn.CONCAT(Tableau1[[#This Row],[Name ILN]],"-",Tableau1[[#This Row],[Name Shipper]],"-",Tableau1[[#This Row],[Name Site]])</f>
        <v>--</v>
      </c>
      <c r="C354" s="64" t="e">
        <f>_xlfn.CONCAT(Tableau1[[#This Row],[Compte ILN]],"-",Tableau1[[#This Row],[Compte Shipper]],"-",Tableau1[[#This Row],[POL]],"-",Tableau1[[#This Row],[Compte Consignee]])</f>
        <v>#N/A</v>
      </c>
      <c r="D354" s="64" t="e">
        <f>_xlfn.CONCAT(Tableau1[[#This Row],[Compte ILN]],"-",Tableau1[[#This Row],[Compte Shipper]],"-",Tableau1[[#This Row],[POL]])</f>
        <v>#N/A</v>
      </c>
      <c r="E354" s="128" t="e">
        <f ca="1">_xlfn.CONCAT(Tableau1[[#This Row],[POL]],"-",Tableau1[[#This Row],[Carrier]],"-",Tableau1[[#This Row],[POD]])</f>
        <v>#N/A</v>
      </c>
      <c r="F354" s="64" t="str">
        <f>_xlfn.CONCAT(Tableau1[[#This Row],[ID]],"-","Actif")</f>
        <v>-Actif</v>
      </c>
      <c r="G354" s="64" t="e">
        <f ca="1">_xlfn.CONCAT(Tableau1[[#This Row],[POD]],"-",Tableau1[[#This Row],[Code PFI]],"-",Tableau1[[#This Row],[Compte Consignee]])</f>
        <v>#N/A</v>
      </c>
      <c r="H35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4" s="117" t="str">
        <f ca="1">IF(COUNTIF(I:I,Tableau1[[#This Row],[Plant-ILN-shipper-POL-Carrier-POD-PFI]])=1,"Non","Oui")</f>
        <v>Oui</v>
      </c>
      <c r="K354" s="126" t="e">
        <f>VLOOKUP(Tableau1[[#This Row],[Name Site]],Plant_AILN!A:D,4,FALSE)</f>
        <v>#N/A</v>
      </c>
      <c r="L354" s="363"/>
      <c r="M354" s="492" t="e">
        <f>VLOOKUP(Tableau1[[#This Row],[Name Site]],Plant_AILN!A:C,3,FALSE)</f>
        <v>#N/A</v>
      </c>
      <c r="N354" s="55" t="e">
        <f>VLOOKUP(Tableau1[[#This Row],[Compte Consignee]],Order!C:D,2,FALSE)</f>
        <v>#N/A</v>
      </c>
      <c r="O354" s="122"/>
      <c r="P354" s="481" t="e">
        <f>VLOOKUP(Tableau1[[#This Row],[Name ILN]],Plant_AILN!F:G,2,FALSE)</f>
        <v>#N/A</v>
      </c>
      <c r="Q354" s="50" t="e">
        <f>VLOOKUP(Tableau1[[#This Row],[Compte ILN]],'DATA ILN'!D:I,6,FALSE)</f>
        <v>#N/A</v>
      </c>
      <c r="R354" s="50" t="e">
        <f>IFERROR(VLOOKUP(Tableau1[[#This Row],[Key(Compte ILN - shipper - POL - plant)]],'DATA ILN'!A:J,10,FALSE),VLOOKUP(Tableau1[[#This Row],[Key(Compte ILN - shipper - POL)]],'DATA ILN'!B:J,9,FALSE))</f>
        <v>#N/A</v>
      </c>
      <c r="S354" s="50" t="e">
        <f>IFERROR(VLOOKUP(Tableau1[[#This Row],[Key(Compte ILN - shipper - POL - plant)]],'DATA ILN'!A:K,11,FALSE),VLOOKUP(Tableau1[[#This Row],[Key(Compte ILN - shipper - POL)]],'DATA ILN'!B:K,10,FALSE))</f>
        <v>#N/A</v>
      </c>
      <c r="T354" s="50" t="e">
        <f>IFERROR(VLOOKUP(Tableau1[[#This Row],[Key(Compte ILN - shipper - POL - plant)]],'DATA ILN'!A:L,12,FALSE),VLOOKUP(Tableau1[[#This Row],[Key(Compte ILN - shipper - POL)]],'DATA ILN'!B:L,11,FALSE))</f>
        <v>#N/A</v>
      </c>
      <c r="U354" s="50" t="e">
        <f>Tableau1[[#This Row],[Day ILN Order]]+Tableau1[[#This Row],[Delivery time to ILN/Shipper]]-1</f>
        <v>#N/A</v>
      </c>
      <c r="V354" s="50" t="e">
        <f>IFERROR(VLOOKUP(Tableau1[[#This Row],[Key(Compte ILN - shipper - POL - plant)]],'DATA ILN'!A:N,14,FALSE),VLOOKUP(Tableau1[[#This Row],[Key(Compte ILN - shipper - POL)]],'DATA ILN'!B:N,13,FALSE))</f>
        <v>#N/A</v>
      </c>
      <c r="W354" s="50" t="e">
        <f>IFERROR(VLOOKUP(Tableau1[[#This Row],[Key(Compte ILN - shipper - POL - plant)]],'DATA ILN'!A:P,16,FALSE),VLOOKUP(Tableau1[[#This Row],[Key(Compte ILN - shipper - POL)]],'DATA ILN'!B:P,15,FALSE))</f>
        <v>#N/A</v>
      </c>
      <c r="X354" s="283"/>
      <c r="Y354" s="489">
        <f>IFERROR(VLOOKUP(Tableau1[[#This Row],[Name Shipper]],Plant_AILN!L:M,2,FALSE),0)</f>
        <v>0</v>
      </c>
      <c r="Z354" s="358"/>
      <c r="AA354" s="353" t="e">
        <f ca="1">VLOOKUP(Tableau1[[#This Row],[Key(ID-Actif)]],'DATA BTO'!A:N,5,FALSE)</f>
        <v>#N/A</v>
      </c>
      <c r="AB354" s="3" t="e">
        <f ca="1">VLOOKUP(Tableau1[[#This Row],[Key(ID-Actif)]],'DATA BTO'!A:N,6,FALSE)</f>
        <v>#N/A</v>
      </c>
      <c r="AC354" s="50" t="e">
        <f ca="1">VLOOKUP(Tableau1[[#This Row],[Key(ID-Actif)]],'DATA BTO'!A:N,7,FALSE)</f>
        <v>#N/A</v>
      </c>
      <c r="AD354" s="50" t="e">
        <f ca="1">VLOOKUP(Tableau1[[#This Row],[Key(ID-Actif)]],'DATA BTO'!A:N,8,FALSE)</f>
        <v>#N/A</v>
      </c>
      <c r="AE354" s="406" t="e">
        <f ca="1">IF(Tableau1[[#This Row],[First Day to POL]]&lt;=Tableau1[[#This Row],[Day Cut Off]],Tableau1[[#This Row],[Day ETD]],Tableau1[[#This Row],[Day ETD]]+7)</f>
        <v>#N/A</v>
      </c>
      <c r="AF354" s="50" t="e">
        <f ca="1">VLOOKUP(Tableau1[[#This Row],[Key(ID-Actif)]],'DATA BTO'!A:N,9,FALSE)</f>
        <v>#N/A</v>
      </c>
      <c r="AG354" s="3" t="e">
        <f ca="1">VLOOKUP(Tableau1[[#This Row],[Key(ID-Actif)]],'DATA BTO'!A:N,10,FALSE)</f>
        <v>#N/A</v>
      </c>
      <c r="AH354" s="3" t="e">
        <f ca="1">VLOOKUP(Tableau1[[#This Row],[Key(ID-Actif)]],'DATA BTO'!A:N,11,FALSE)</f>
        <v>#N/A</v>
      </c>
      <c r="AI354" s="50" t="e">
        <f ca="1">VLOOKUP(Tableau1[[#This Row],[Key(ID-Actif)]],'DATA BTO'!A:N,12,FALSE)</f>
        <v>#N/A</v>
      </c>
      <c r="AJ354" s="53" t="e">
        <f ca="1">VLOOKUP(Tableau1[[#This Row],[Key(ID-Actif)]],'DATA BTO'!A:N,14,FALSE)</f>
        <v>#N/A</v>
      </c>
      <c r="AK354" s="54" t="e">
        <f ca="1">VLOOKUP(Tableau1[[#This Row],[Key(POD -PFI- Usine)]],'DATA Consignee'!A:F,6,FALSE)</f>
        <v>#N/A</v>
      </c>
      <c r="AL354" s="283"/>
      <c r="AM354" s="490" t="str">
        <f>IF(Tableau1[[#This Row],[Name PFI/CDD]]="","-",VLOOKUP(Tableau1[[#This Row],[Name PFI/CDD]],Plant_AILN!I:J,2,FALSE))</f>
        <v>-</v>
      </c>
      <c r="AN35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4" s="2" t="e">
        <f ca="1">VLOOKUP(Tableau1[[#This Row],[Key(POD -PFI- Usine)]],'DATA Consignee'!A:J,10,FALSE)</f>
        <v>#N/A</v>
      </c>
      <c r="AQ354" s="50" t="e">
        <f ca="1">VLOOKUP(Tableau1[[#This Row],[Key(POD -PFI- Usine)]],'DATA Consignee'!A:N,14,FALSE)</f>
        <v>#N/A</v>
      </c>
      <c r="AR35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4" s="50" t="e">
        <f ca="1">Tableau1[[#This Row],[Transit time]]+Tableau1[[#This Row],[Time for security]]+Tableau1[[#This Row],[Time for security2 buffer]]</f>
        <v>#N/A</v>
      </c>
      <c r="AU35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4" s="50" t="e">
        <f ca="1">Tableau1[[#This Row],[Leadtime SI2C]]+Tableau1[[#This Row],[First Receipt Days]]-Tableau1[[#This Row],[Day Customer Order]]+1</f>
        <v>#N/A</v>
      </c>
      <c r="AW354" s="117" t="e">
        <f ca="1">IF(Tableau1[[#This Row],[Name ILN]]&lt;&gt;"SFK Freight Forwarder",Tableau1[[#This Row],[Cust. Leadtime]],Tableau1[[#This Row],[Leadtime SI2C]])</f>
        <v>#N/A</v>
      </c>
      <c r="AX354" s="57" t="e">
        <f>VLOOKUP(Tableau1[[#This Row],[ID]],'DATA BTO'!B:P,15,FALSE)</f>
        <v>#N/A</v>
      </c>
      <c r="AY354" s="328" t="e">
        <f ca="1">IFERROR(VLOOKUP(Tableau1[[#This Row],[Key(ID-Actif)]],'DATA BTO'!A:N,4,FALSE),VLOOKUP(Tableau1[[#This Row],[ID]],'DATA BTO'!B:N,3,FALSE))</f>
        <v>#N/A</v>
      </c>
      <c r="AZ35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4" s="50"/>
    </row>
    <row r="355" spans="2:57">
      <c r="B355" s="405" t="str">
        <f>_xlfn.CONCAT(Tableau1[[#This Row],[Name ILN]],"-",Tableau1[[#This Row],[Name Shipper]],"-",Tableau1[[#This Row],[Name Site]])</f>
        <v>--</v>
      </c>
      <c r="C355" s="64" t="e">
        <f>_xlfn.CONCAT(Tableau1[[#This Row],[Compte ILN]],"-",Tableau1[[#This Row],[Compte Shipper]],"-",Tableau1[[#This Row],[POL]],"-",Tableau1[[#This Row],[Compte Consignee]])</f>
        <v>#N/A</v>
      </c>
      <c r="D355" s="64" t="e">
        <f>_xlfn.CONCAT(Tableau1[[#This Row],[Compte ILN]],"-",Tableau1[[#This Row],[Compte Shipper]],"-",Tableau1[[#This Row],[POL]])</f>
        <v>#N/A</v>
      </c>
      <c r="E355" s="128" t="e">
        <f ca="1">_xlfn.CONCAT(Tableau1[[#This Row],[POL]],"-",Tableau1[[#This Row],[Carrier]],"-",Tableau1[[#This Row],[POD]])</f>
        <v>#N/A</v>
      </c>
      <c r="F355" s="64" t="str">
        <f>_xlfn.CONCAT(Tableau1[[#This Row],[ID]],"-","Actif")</f>
        <v>-Actif</v>
      </c>
      <c r="G355" s="64" t="e">
        <f ca="1">_xlfn.CONCAT(Tableau1[[#This Row],[POD]],"-",Tableau1[[#This Row],[Code PFI]],"-",Tableau1[[#This Row],[Compte Consignee]])</f>
        <v>#N/A</v>
      </c>
      <c r="H35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5" s="117" t="str">
        <f ca="1">IF(COUNTIF(I:I,Tableau1[[#This Row],[Plant-ILN-shipper-POL-Carrier-POD-PFI]])=1,"Non","Oui")</f>
        <v>Oui</v>
      </c>
      <c r="K355" s="126" t="e">
        <f>VLOOKUP(Tableau1[[#This Row],[Name Site]],Plant_AILN!A:D,4,FALSE)</f>
        <v>#N/A</v>
      </c>
      <c r="L355" s="363"/>
      <c r="M355" s="492" t="e">
        <f>VLOOKUP(Tableau1[[#This Row],[Name Site]],Plant_AILN!A:C,3,FALSE)</f>
        <v>#N/A</v>
      </c>
      <c r="N355" s="55" t="e">
        <f>VLOOKUP(Tableau1[[#This Row],[Compte Consignee]],Order!C:D,2,FALSE)</f>
        <v>#N/A</v>
      </c>
      <c r="O355" s="122"/>
      <c r="P355" s="481" t="e">
        <f>VLOOKUP(Tableau1[[#This Row],[Name ILN]],Plant_AILN!F:G,2,FALSE)</f>
        <v>#N/A</v>
      </c>
      <c r="Q355" s="50" t="e">
        <f>VLOOKUP(Tableau1[[#This Row],[Compte ILN]],'DATA ILN'!D:I,6,FALSE)</f>
        <v>#N/A</v>
      </c>
      <c r="R355" s="50" t="e">
        <f>IFERROR(VLOOKUP(Tableau1[[#This Row],[Key(Compte ILN - shipper - POL - plant)]],'DATA ILN'!A:J,10,FALSE),VLOOKUP(Tableau1[[#This Row],[Key(Compte ILN - shipper - POL)]],'DATA ILN'!B:J,9,FALSE))</f>
        <v>#N/A</v>
      </c>
      <c r="S355" s="50" t="e">
        <f>IFERROR(VLOOKUP(Tableau1[[#This Row],[Key(Compte ILN - shipper - POL - plant)]],'DATA ILN'!A:K,11,FALSE),VLOOKUP(Tableau1[[#This Row],[Key(Compte ILN - shipper - POL)]],'DATA ILN'!B:K,10,FALSE))</f>
        <v>#N/A</v>
      </c>
      <c r="T355" s="50" t="e">
        <f>IFERROR(VLOOKUP(Tableau1[[#This Row],[Key(Compte ILN - shipper - POL - plant)]],'DATA ILN'!A:L,12,FALSE),VLOOKUP(Tableau1[[#This Row],[Key(Compte ILN - shipper - POL)]],'DATA ILN'!B:L,11,FALSE))</f>
        <v>#N/A</v>
      </c>
      <c r="U355" s="50" t="e">
        <f>Tableau1[[#This Row],[Day ILN Order]]+Tableau1[[#This Row],[Delivery time to ILN/Shipper]]-1</f>
        <v>#N/A</v>
      </c>
      <c r="V355" s="50" t="e">
        <f>IFERROR(VLOOKUP(Tableau1[[#This Row],[Key(Compte ILN - shipper - POL - plant)]],'DATA ILN'!A:N,14,FALSE),VLOOKUP(Tableau1[[#This Row],[Key(Compte ILN - shipper - POL)]],'DATA ILN'!B:N,13,FALSE))</f>
        <v>#N/A</v>
      </c>
      <c r="W355" s="50" t="e">
        <f>IFERROR(VLOOKUP(Tableau1[[#This Row],[Key(Compte ILN - shipper - POL - plant)]],'DATA ILN'!A:P,16,FALSE),VLOOKUP(Tableau1[[#This Row],[Key(Compte ILN - shipper - POL)]],'DATA ILN'!B:P,15,FALSE))</f>
        <v>#N/A</v>
      </c>
      <c r="X355" s="283"/>
      <c r="Y355" s="489">
        <f>IFERROR(VLOOKUP(Tableau1[[#This Row],[Name Shipper]],Plant_AILN!L:M,2,FALSE),0)</f>
        <v>0</v>
      </c>
      <c r="Z355" s="358"/>
      <c r="AA355" s="353" t="e">
        <f ca="1">VLOOKUP(Tableau1[[#This Row],[Key(ID-Actif)]],'DATA BTO'!A:N,5,FALSE)</f>
        <v>#N/A</v>
      </c>
      <c r="AB355" s="3" t="e">
        <f ca="1">VLOOKUP(Tableau1[[#This Row],[Key(ID-Actif)]],'DATA BTO'!A:N,6,FALSE)</f>
        <v>#N/A</v>
      </c>
      <c r="AC355" s="50" t="e">
        <f ca="1">VLOOKUP(Tableau1[[#This Row],[Key(ID-Actif)]],'DATA BTO'!A:N,7,FALSE)</f>
        <v>#N/A</v>
      </c>
      <c r="AD355" s="50" t="e">
        <f ca="1">VLOOKUP(Tableau1[[#This Row],[Key(ID-Actif)]],'DATA BTO'!A:N,8,FALSE)</f>
        <v>#N/A</v>
      </c>
      <c r="AE355" s="406" t="e">
        <f ca="1">IF(Tableau1[[#This Row],[First Day to POL]]&lt;=Tableau1[[#This Row],[Day Cut Off]],Tableau1[[#This Row],[Day ETD]],Tableau1[[#This Row],[Day ETD]]+7)</f>
        <v>#N/A</v>
      </c>
      <c r="AF355" s="50" t="e">
        <f ca="1">VLOOKUP(Tableau1[[#This Row],[Key(ID-Actif)]],'DATA BTO'!A:N,9,FALSE)</f>
        <v>#N/A</v>
      </c>
      <c r="AG355" s="3" t="e">
        <f ca="1">VLOOKUP(Tableau1[[#This Row],[Key(ID-Actif)]],'DATA BTO'!A:N,10,FALSE)</f>
        <v>#N/A</v>
      </c>
      <c r="AH355" s="3" t="e">
        <f ca="1">VLOOKUP(Tableau1[[#This Row],[Key(ID-Actif)]],'DATA BTO'!A:N,11,FALSE)</f>
        <v>#N/A</v>
      </c>
      <c r="AI355" s="50" t="e">
        <f ca="1">VLOOKUP(Tableau1[[#This Row],[Key(ID-Actif)]],'DATA BTO'!A:N,12,FALSE)</f>
        <v>#N/A</v>
      </c>
      <c r="AJ355" s="53" t="e">
        <f ca="1">VLOOKUP(Tableau1[[#This Row],[Key(ID-Actif)]],'DATA BTO'!A:N,14,FALSE)</f>
        <v>#N/A</v>
      </c>
      <c r="AK355" s="54" t="e">
        <f ca="1">VLOOKUP(Tableau1[[#This Row],[Key(POD -PFI- Usine)]],'DATA Consignee'!A:F,6,FALSE)</f>
        <v>#N/A</v>
      </c>
      <c r="AL355" s="283"/>
      <c r="AM355" s="490" t="str">
        <f>IF(Tableau1[[#This Row],[Name PFI/CDD]]="","-",VLOOKUP(Tableau1[[#This Row],[Name PFI/CDD]],Plant_AILN!I:J,2,FALSE))</f>
        <v>-</v>
      </c>
      <c r="AN35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5" s="2" t="e">
        <f ca="1">VLOOKUP(Tableau1[[#This Row],[Key(POD -PFI- Usine)]],'DATA Consignee'!A:J,10,FALSE)</f>
        <v>#N/A</v>
      </c>
      <c r="AQ355" s="50" t="e">
        <f ca="1">VLOOKUP(Tableau1[[#This Row],[Key(POD -PFI- Usine)]],'DATA Consignee'!A:N,14,FALSE)</f>
        <v>#N/A</v>
      </c>
      <c r="AR35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5" s="50" t="e">
        <f ca="1">Tableau1[[#This Row],[Transit time]]+Tableau1[[#This Row],[Time for security]]+Tableau1[[#This Row],[Time for security2 buffer]]</f>
        <v>#N/A</v>
      </c>
      <c r="AU35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5" s="50" t="e">
        <f ca="1">Tableau1[[#This Row],[Leadtime SI2C]]+Tableau1[[#This Row],[First Receipt Days]]-Tableau1[[#This Row],[Day Customer Order]]+1</f>
        <v>#N/A</v>
      </c>
      <c r="AW355" s="117" t="e">
        <f ca="1">IF(Tableau1[[#This Row],[Name ILN]]&lt;&gt;"SFK Freight Forwarder",Tableau1[[#This Row],[Cust. Leadtime]],Tableau1[[#This Row],[Leadtime SI2C]])</f>
        <v>#N/A</v>
      </c>
      <c r="AX355" s="57" t="e">
        <f>VLOOKUP(Tableau1[[#This Row],[ID]],'DATA BTO'!B:P,15,FALSE)</f>
        <v>#N/A</v>
      </c>
      <c r="AY355" s="328" t="e">
        <f ca="1">IFERROR(VLOOKUP(Tableau1[[#This Row],[Key(ID-Actif)]],'DATA BTO'!A:N,4,FALSE),VLOOKUP(Tableau1[[#This Row],[ID]],'DATA BTO'!B:N,3,FALSE))</f>
        <v>#N/A</v>
      </c>
      <c r="AZ35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5" s="50"/>
    </row>
    <row r="356" spans="2:57">
      <c r="B356" s="405" t="str">
        <f>_xlfn.CONCAT(Tableau1[[#This Row],[Name ILN]],"-",Tableau1[[#This Row],[Name Shipper]],"-",Tableau1[[#This Row],[Name Site]])</f>
        <v>--</v>
      </c>
      <c r="C356" s="64" t="e">
        <f>_xlfn.CONCAT(Tableau1[[#This Row],[Compte ILN]],"-",Tableau1[[#This Row],[Compte Shipper]],"-",Tableau1[[#This Row],[POL]],"-",Tableau1[[#This Row],[Compte Consignee]])</f>
        <v>#N/A</v>
      </c>
      <c r="D356" s="64" t="e">
        <f>_xlfn.CONCAT(Tableau1[[#This Row],[Compte ILN]],"-",Tableau1[[#This Row],[Compte Shipper]],"-",Tableau1[[#This Row],[POL]])</f>
        <v>#N/A</v>
      </c>
      <c r="E356" s="128" t="e">
        <f ca="1">_xlfn.CONCAT(Tableau1[[#This Row],[POL]],"-",Tableau1[[#This Row],[Carrier]],"-",Tableau1[[#This Row],[POD]])</f>
        <v>#N/A</v>
      </c>
      <c r="F356" s="64" t="str">
        <f>_xlfn.CONCAT(Tableau1[[#This Row],[ID]],"-","Actif")</f>
        <v>-Actif</v>
      </c>
      <c r="G356" s="64" t="e">
        <f ca="1">_xlfn.CONCAT(Tableau1[[#This Row],[POD]],"-",Tableau1[[#This Row],[Code PFI]],"-",Tableau1[[#This Row],[Compte Consignee]])</f>
        <v>#N/A</v>
      </c>
      <c r="H35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6" s="117" t="str">
        <f ca="1">IF(COUNTIF(I:I,Tableau1[[#This Row],[Plant-ILN-shipper-POL-Carrier-POD-PFI]])=1,"Non","Oui")</f>
        <v>Oui</v>
      </c>
      <c r="K356" s="126" t="e">
        <f>VLOOKUP(Tableau1[[#This Row],[Name Site]],Plant_AILN!A:D,4,FALSE)</f>
        <v>#N/A</v>
      </c>
      <c r="L356" s="363"/>
      <c r="M356" s="492" t="e">
        <f>VLOOKUP(Tableau1[[#This Row],[Name Site]],Plant_AILN!A:C,3,FALSE)</f>
        <v>#N/A</v>
      </c>
      <c r="N356" s="55" t="e">
        <f>VLOOKUP(Tableau1[[#This Row],[Compte Consignee]],Order!C:D,2,FALSE)</f>
        <v>#N/A</v>
      </c>
      <c r="O356" s="122"/>
      <c r="P356" s="481" t="e">
        <f>VLOOKUP(Tableau1[[#This Row],[Name ILN]],Plant_AILN!F:G,2,FALSE)</f>
        <v>#N/A</v>
      </c>
      <c r="Q356" s="50" t="e">
        <f>VLOOKUP(Tableau1[[#This Row],[Compte ILN]],'DATA ILN'!D:I,6,FALSE)</f>
        <v>#N/A</v>
      </c>
      <c r="R356" s="50" t="e">
        <f>IFERROR(VLOOKUP(Tableau1[[#This Row],[Key(Compte ILN - shipper - POL - plant)]],'DATA ILN'!A:J,10,FALSE),VLOOKUP(Tableau1[[#This Row],[Key(Compte ILN - shipper - POL)]],'DATA ILN'!B:J,9,FALSE))</f>
        <v>#N/A</v>
      </c>
      <c r="S356" s="50" t="e">
        <f>IFERROR(VLOOKUP(Tableau1[[#This Row],[Key(Compte ILN - shipper - POL - plant)]],'DATA ILN'!A:K,11,FALSE),VLOOKUP(Tableau1[[#This Row],[Key(Compte ILN - shipper - POL)]],'DATA ILN'!B:K,10,FALSE))</f>
        <v>#N/A</v>
      </c>
      <c r="T356" s="50" t="e">
        <f>IFERROR(VLOOKUP(Tableau1[[#This Row],[Key(Compte ILN - shipper - POL - plant)]],'DATA ILN'!A:L,12,FALSE),VLOOKUP(Tableau1[[#This Row],[Key(Compte ILN - shipper - POL)]],'DATA ILN'!B:L,11,FALSE))</f>
        <v>#N/A</v>
      </c>
      <c r="U356" s="50" t="e">
        <f>Tableau1[[#This Row],[Day ILN Order]]+Tableau1[[#This Row],[Delivery time to ILN/Shipper]]-1</f>
        <v>#N/A</v>
      </c>
      <c r="V356" s="50" t="e">
        <f>IFERROR(VLOOKUP(Tableau1[[#This Row],[Key(Compte ILN - shipper - POL - plant)]],'DATA ILN'!A:N,14,FALSE),VLOOKUP(Tableau1[[#This Row],[Key(Compte ILN - shipper - POL)]],'DATA ILN'!B:N,13,FALSE))</f>
        <v>#N/A</v>
      </c>
      <c r="W356" s="50" t="e">
        <f>IFERROR(VLOOKUP(Tableau1[[#This Row],[Key(Compte ILN - shipper - POL - plant)]],'DATA ILN'!A:P,16,FALSE),VLOOKUP(Tableau1[[#This Row],[Key(Compte ILN - shipper - POL)]],'DATA ILN'!B:P,15,FALSE))</f>
        <v>#N/A</v>
      </c>
      <c r="X356" s="283"/>
      <c r="Y356" s="489">
        <f>IFERROR(VLOOKUP(Tableau1[[#This Row],[Name Shipper]],Plant_AILN!L:M,2,FALSE),0)</f>
        <v>0</v>
      </c>
      <c r="Z356" s="358"/>
      <c r="AA356" s="353" t="e">
        <f ca="1">VLOOKUP(Tableau1[[#This Row],[Key(ID-Actif)]],'DATA BTO'!A:N,5,FALSE)</f>
        <v>#N/A</v>
      </c>
      <c r="AB356" s="3" t="e">
        <f ca="1">VLOOKUP(Tableau1[[#This Row],[Key(ID-Actif)]],'DATA BTO'!A:N,6,FALSE)</f>
        <v>#N/A</v>
      </c>
      <c r="AC356" s="50" t="e">
        <f ca="1">VLOOKUP(Tableau1[[#This Row],[Key(ID-Actif)]],'DATA BTO'!A:N,7,FALSE)</f>
        <v>#N/A</v>
      </c>
      <c r="AD356" s="50" t="e">
        <f ca="1">VLOOKUP(Tableau1[[#This Row],[Key(ID-Actif)]],'DATA BTO'!A:N,8,FALSE)</f>
        <v>#N/A</v>
      </c>
      <c r="AE356" s="406" t="e">
        <f ca="1">IF(Tableau1[[#This Row],[First Day to POL]]&lt;=Tableau1[[#This Row],[Day Cut Off]],Tableau1[[#This Row],[Day ETD]],Tableau1[[#This Row],[Day ETD]]+7)</f>
        <v>#N/A</v>
      </c>
      <c r="AF356" s="50" t="e">
        <f ca="1">VLOOKUP(Tableau1[[#This Row],[Key(ID-Actif)]],'DATA BTO'!A:N,9,FALSE)</f>
        <v>#N/A</v>
      </c>
      <c r="AG356" s="3" t="e">
        <f ca="1">VLOOKUP(Tableau1[[#This Row],[Key(ID-Actif)]],'DATA BTO'!A:N,10,FALSE)</f>
        <v>#N/A</v>
      </c>
      <c r="AH356" s="3" t="e">
        <f ca="1">VLOOKUP(Tableau1[[#This Row],[Key(ID-Actif)]],'DATA BTO'!A:N,11,FALSE)</f>
        <v>#N/A</v>
      </c>
      <c r="AI356" s="50" t="e">
        <f ca="1">VLOOKUP(Tableau1[[#This Row],[Key(ID-Actif)]],'DATA BTO'!A:N,12,FALSE)</f>
        <v>#N/A</v>
      </c>
      <c r="AJ356" s="53" t="e">
        <f ca="1">VLOOKUP(Tableau1[[#This Row],[Key(ID-Actif)]],'DATA BTO'!A:N,14,FALSE)</f>
        <v>#N/A</v>
      </c>
      <c r="AK356" s="54" t="e">
        <f ca="1">VLOOKUP(Tableau1[[#This Row],[Key(POD -PFI- Usine)]],'DATA Consignee'!A:F,6,FALSE)</f>
        <v>#N/A</v>
      </c>
      <c r="AL356" s="283"/>
      <c r="AM356" s="490" t="str">
        <f>IF(Tableau1[[#This Row],[Name PFI/CDD]]="","-",VLOOKUP(Tableau1[[#This Row],[Name PFI/CDD]],Plant_AILN!I:J,2,FALSE))</f>
        <v>-</v>
      </c>
      <c r="AN35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6" s="2" t="e">
        <f ca="1">VLOOKUP(Tableau1[[#This Row],[Key(POD -PFI- Usine)]],'DATA Consignee'!A:J,10,FALSE)</f>
        <v>#N/A</v>
      </c>
      <c r="AQ356" s="50" t="e">
        <f ca="1">VLOOKUP(Tableau1[[#This Row],[Key(POD -PFI- Usine)]],'DATA Consignee'!A:N,14,FALSE)</f>
        <v>#N/A</v>
      </c>
      <c r="AR35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6" s="50" t="e">
        <f ca="1">Tableau1[[#This Row],[Transit time]]+Tableau1[[#This Row],[Time for security]]+Tableau1[[#This Row],[Time for security2 buffer]]</f>
        <v>#N/A</v>
      </c>
      <c r="AU35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6" s="50" t="e">
        <f ca="1">Tableau1[[#This Row],[Leadtime SI2C]]+Tableau1[[#This Row],[First Receipt Days]]-Tableau1[[#This Row],[Day Customer Order]]+1</f>
        <v>#N/A</v>
      </c>
      <c r="AW356" s="117" t="e">
        <f ca="1">IF(Tableau1[[#This Row],[Name ILN]]&lt;&gt;"SFK Freight Forwarder",Tableau1[[#This Row],[Cust. Leadtime]],Tableau1[[#This Row],[Leadtime SI2C]])</f>
        <v>#N/A</v>
      </c>
      <c r="AX356" s="57" t="e">
        <f>VLOOKUP(Tableau1[[#This Row],[ID]],'DATA BTO'!B:P,15,FALSE)</f>
        <v>#N/A</v>
      </c>
      <c r="AY356" s="328" t="e">
        <f ca="1">IFERROR(VLOOKUP(Tableau1[[#This Row],[Key(ID-Actif)]],'DATA BTO'!A:N,4,FALSE),VLOOKUP(Tableau1[[#This Row],[ID]],'DATA BTO'!B:N,3,FALSE))</f>
        <v>#N/A</v>
      </c>
      <c r="AZ35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6" s="50"/>
    </row>
    <row r="357" spans="2:57">
      <c r="B357" s="405" t="str">
        <f>_xlfn.CONCAT(Tableau1[[#This Row],[Name ILN]],"-",Tableau1[[#This Row],[Name Shipper]],"-",Tableau1[[#This Row],[Name Site]])</f>
        <v>--</v>
      </c>
      <c r="C357" s="64" t="e">
        <f>_xlfn.CONCAT(Tableau1[[#This Row],[Compte ILN]],"-",Tableau1[[#This Row],[Compte Shipper]],"-",Tableau1[[#This Row],[POL]],"-",Tableau1[[#This Row],[Compte Consignee]])</f>
        <v>#N/A</v>
      </c>
      <c r="D357" s="64" t="e">
        <f>_xlfn.CONCAT(Tableau1[[#This Row],[Compte ILN]],"-",Tableau1[[#This Row],[Compte Shipper]],"-",Tableau1[[#This Row],[POL]])</f>
        <v>#N/A</v>
      </c>
      <c r="E357" s="128" t="e">
        <f ca="1">_xlfn.CONCAT(Tableau1[[#This Row],[POL]],"-",Tableau1[[#This Row],[Carrier]],"-",Tableau1[[#This Row],[POD]])</f>
        <v>#N/A</v>
      </c>
      <c r="F357" s="64" t="str">
        <f>_xlfn.CONCAT(Tableau1[[#This Row],[ID]],"-","Actif")</f>
        <v>-Actif</v>
      </c>
      <c r="G357" s="64" t="e">
        <f ca="1">_xlfn.CONCAT(Tableau1[[#This Row],[POD]],"-",Tableau1[[#This Row],[Code PFI]],"-",Tableau1[[#This Row],[Compte Consignee]])</f>
        <v>#N/A</v>
      </c>
      <c r="H35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7" s="117" t="str">
        <f ca="1">IF(COUNTIF(I:I,Tableau1[[#This Row],[Plant-ILN-shipper-POL-Carrier-POD-PFI]])=1,"Non","Oui")</f>
        <v>Oui</v>
      </c>
      <c r="K357" s="126" t="e">
        <f>VLOOKUP(Tableau1[[#This Row],[Name Site]],Plant_AILN!A:D,4,FALSE)</f>
        <v>#N/A</v>
      </c>
      <c r="L357" s="363"/>
      <c r="M357" s="492" t="e">
        <f>VLOOKUP(Tableau1[[#This Row],[Name Site]],Plant_AILN!A:C,3,FALSE)</f>
        <v>#N/A</v>
      </c>
      <c r="N357" s="55" t="e">
        <f>VLOOKUP(Tableau1[[#This Row],[Compte Consignee]],Order!C:D,2,FALSE)</f>
        <v>#N/A</v>
      </c>
      <c r="O357" s="122"/>
      <c r="P357" s="481" t="e">
        <f>VLOOKUP(Tableau1[[#This Row],[Name ILN]],Plant_AILN!F:G,2,FALSE)</f>
        <v>#N/A</v>
      </c>
      <c r="Q357" s="50" t="e">
        <f>VLOOKUP(Tableau1[[#This Row],[Compte ILN]],'DATA ILN'!D:I,6,FALSE)</f>
        <v>#N/A</v>
      </c>
      <c r="R357" s="50" t="e">
        <f>IFERROR(VLOOKUP(Tableau1[[#This Row],[Key(Compte ILN - shipper - POL - plant)]],'DATA ILN'!A:J,10,FALSE),VLOOKUP(Tableau1[[#This Row],[Key(Compte ILN - shipper - POL)]],'DATA ILN'!B:J,9,FALSE))</f>
        <v>#N/A</v>
      </c>
      <c r="S357" s="50" t="e">
        <f>IFERROR(VLOOKUP(Tableau1[[#This Row],[Key(Compte ILN - shipper - POL - plant)]],'DATA ILN'!A:K,11,FALSE),VLOOKUP(Tableau1[[#This Row],[Key(Compte ILN - shipper - POL)]],'DATA ILN'!B:K,10,FALSE))</f>
        <v>#N/A</v>
      </c>
      <c r="T357" s="50" t="e">
        <f>IFERROR(VLOOKUP(Tableau1[[#This Row],[Key(Compte ILN - shipper - POL - plant)]],'DATA ILN'!A:L,12,FALSE),VLOOKUP(Tableau1[[#This Row],[Key(Compte ILN - shipper - POL)]],'DATA ILN'!B:L,11,FALSE))</f>
        <v>#N/A</v>
      </c>
      <c r="U357" s="50" t="e">
        <f>Tableau1[[#This Row],[Day ILN Order]]+Tableau1[[#This Row],[Delivery time to ILN/Shipper]]-1</f>
        <v>#N/A</v>
      </c>
      <c r="V357" s="50" t="e">
        <f>IFERROR(VLOOKUP(Tableau1[[#This Row],[Key(Compte ILN - shipper - POL - plant)]],'DATA ILN'!A:N,14,FALSE),VLOOKUP(Tableau1[[#This Row],[Key(Compte ILN - shipper - POL)]],'DATA ILN'!B:N,13,FALSE))</f>
        <v>#N/A</v>
      </c>
      <c r="W357" s="50" t="e">
        <f>IFERROR(VLOOKUP(Tableau1[[#This Row],[Key(Compte ILN - shipper - POL - plant)]],'DATA ILN'!A:P,16,FALSE),VLOOKUP(Tableau1[[#This Row],[Key(Compte ILN - shipper - POL)]],'DATA ILN'!B:P,15,FALSE))</f>
        <v>#N/A</v>
      </c>
      <c r="X357" s="283"/>
      <c r="Y357" s="489">
        <f>IFERROR(VLOOKUP(Tableau1[[#This Row],[Name Shipper]],Plant_AILN!L:M,2,FALSE),0)</f>
        <v>0</v>
      </c>
      <c r="Z357" s="358"/>
      <c r="AA357" s="353" t="e">
        <f ca="1">VLOOKUP(Tableau1[[#This Row],[Key(ID-Actif)]],'DATA BTO'!A:N,5,FALSE)</f>
        <v>#N/A</v>
      </c>
      <c r="AB357" s="3" t="e">
        <f ca="1">VLOOKUP(Tableau1[[#This Row],[Key(ID-Actif)]],'DATA BTO'!A:N,6,FALSE)</f>
        <v>#N/A</v>
      </c>
      <c r="AC357" s="50" t="e">
        <f ca="1">VLOOKUP(Tableau1[[#This Row],[Key(ID-Actif)]],'DATA BTO'!A:N,7,FALSE)</f>
        <v>#N/A</v>
      </c>
      <c r="AD357" s="50" t="e">
        <f ca="1">VLOOKUP(Tableau1[[#This Row],[Key(ID-Actif)]],'DATA BTO'!A:N,8,FALSE)</f>
        <v>#N/A</v>
      </c>
      <c r="AE357" s="406" t="e">
        <f ca="1">IF(Tableau1[[#This Row],[First Day to POL]]&lt;=Tableau1[[#This Row],[Day Cut Off]],Tableau1[[#This Row],[Day ETD]],Tableau1[[#This Row],[Day ETD]]+7)</f>
        <v>#N/A</v>
      </c>
      <c r="AF357" s="50" t="e">
        <f ca="1">VLOOKUP(Tableau1[[#This Row],[Key(ID-Actif)]],'DATA BTO'!A:N,9,FALSE)</f>
        <v>#N/A</v>
      </c>
      <c r="AG357" s="3" t="e">
        <f ca="1">VLOOKUP(Tableau1[[#This Row],[Key(ID-Actif)]],'DATA BTO'!A:N,10,FALSE)</f>
        <v>#N/A</v>
      </c>
      <c r="AH357" s="3" t="e">
        <f ca="1">VLOOKUP(Tableau1[[#This Row],[Key(ID-Actif)]],'DATA BTO'!A:N,11,FALSE)</f>
        <v>#N/A</v>
      </c>
      <c r="AI357" s="50" t="e">
        <f ca="1">VLOOKUP(Tableau1[[#This Row],[Key(ID-Actif)]],'DATA BTO'!A:N,12,FALSE)</f>
        <v>#N/A</v>
      </c>
      <c r="AJ357" s="53" t="e">
        <f ca="1">VLOOKUP(Tableau1[[#This Row],[Key(ID-Actif)]],'DATA BTO'!A:N,14,FALSE)</f>
        <v>#N/A</v>
      </c>
      <c r="AK357" s="54" t="e">
        <f ca="1">VLOOKUP(Tableau1[[#This Row],[Key(POD -PFI- Usine)]],'DATA Consignee'!A:F,6,FALSE)</f>
        <v>#N/A</v>
      </c>
      <c r="AL357" s="283"/>
      <c r="AM357" s="490" t="str">
        <f>IF(Tableau1[[#This Row],[Name PFI/CDD]]="","-",VLOOKUP(Tableau1[[#This Row],[Name PFI/CDD]],Plant_AILN!I:J,2,FALSE))</f>
        <v>-</v>
      </c>
      <c r="AN35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7" s="2" t="e">
        <f ca="1">VLOOKUP(Tableau1[[#This Row],[Key(POD -PFI- Usine)]],'DATA Consignee'!A:J,10,FALSE)</f>
        <v>#N/A</v>
      </c>
      <c r="AQ357" s="50" t="e">
        <f ca="1">VLOOKUP(Tableau1[[#This Row],[Key(POD -PFI- Usine)]],'DATA Consignee'!A:N,14,FALSE)</f>
        <v>#N/A</v>
      </c>
      <c r="AR35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7" s="50" t="e">
        <f ca="1">Tableau1[[#This Row],[Transit time]]+Tableau1[[#This Row],[Time for security]]+Tableau1[[#This Row],[Time for security2 buffer]]</f>
        <v>#N/A</v>
      </c>
      <c r="AU35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7" s="50" t="e">
        <f ca="1">Tableau1[[#This Row],[Leadtime SI2C]]+Tableau1[[#This Row],[First Receipt Days]]-Tableau1[[#This Row],[Day Customer Order]]+1</f>
        <v>#N/A</v>
      </c>
      <c r="AW357" s="117" t="e">
        <f ca="1">IF(Tableau1[[#This Row],[Name ILN]]&lt;&gt;"SFK Freight Forwarder",Tableau1[[#This Row],[Cust. Leadtime]],Tableau1[[#This Row],[Leadtime SI2C]])</f>
        <v>#N/A</v>
      </c>
      <c r="AX357" s="57" t="e">
        <f>VLOOKUP(Tableau1[[#This Row],[ID]],'DATA BTO'!B:P,15,FALSE)</f>
        <v>#N/A</v>
      </c>
      <c r="AY357" s="328" t="e">
        <f ca="1">IFERROR(VLOOKUP(Tableau1[[#This Row],[Key(ID-Actif)]],'DATA BTO'!A:N,4,FALSE),VLOOKUP(Tableau1[[#This Row],[ID]],'DATA BTO'!B:N,3,FALSE))</f>
        <v>#N/A</v>
      </c>
      <c r="AZ35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7" s="50"/>
    </row>
    <row r="358" spans="2:57">
      <c r="B358" s="405" t="str">
        <f>_xlfn.CONCAT(Tableau1[[#This Row],[Name ILN]],"-",Tableau1[[#This Row],[Name Shipper]],"-",Tableau1[[#This Row],[Name Site]])</f>
        <v>--</v>
      </c>
      <c r="C358" s="64" t="e">
        <f>_xlfn.CONCAT(Tableau1[[#This Row],[Compte ILN]],"-",Tableau1[[#This Row],[Compte Shipper]],"-",Tableau1[[#This Row],[POL]],"-",Tableau1[[#This Row],[Compte Consignee]])</f>
        <v>#N/A</v>
      </c>
      <c r="D358" s="64" t="e">
        <f>_xlfn.CONCAT(Tableau1[[#This Row],[Compte ILN]],"-",Tableau1[[#This Row],[Compte Shipper]],"-",Tableau1[[#This Row],[POL]])</f>
        <v>#N/A</v>
      </c>
      <c r="E358" s="128" t="e">
        <f ca="1">_xlfn.CONCAT(Tableau1[[#This Row],[POL]],"-",Tableau1[[#This Row],[Carrier]],"-",Tableau1[[#This Row],[POD]])</f>
        <v>#N/A</v>
      </c>
      <c r="F358" s="64" t="str">
        <f>_xlfn.CONCAT(Tableau1[[#This Row],[ID]],"-","Actif")</f>
        <v>-Actif</v>
      </c>
      <c r="G358" s="64" t="e">
        <f ca="1">_xlfn.CONCAT(Tableau1[[#This Row],[POD]],"-",Tableau1[[#This Row],[Code PFI]],"-",Tableau1[[#This Row],[Compte Consignee]])</f>
        <v>#N/A</v>
      </c>
      <c r="H35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8" s="117" t="str">
        <f ca="1">IF(COUNTIF(I:I,Tableau1[[#This Row],[Plant-ILN-shipper-POL-Carrier-POD-PFI]])=1,"Non","Oui")</f>
        <v>Oui</v>
      </c>
      <c r="K358" s="126" t="e">
        <f>VLOOKUP(Tableau1[[#This Row],[Name Site]],Plant_AILN!A:D,4,FALSE)</f>
        <v>#N/A</v>
      </c>
      <c r="L358" s="363"/>
      <c r="M358" s="492" t="e">
        <f>VLOOKUP(Tableau1[[#This Row],[Name Site]],Plant_AILN!A:C,3,FALSE)</f>
        <v>#N/A</v>
      </c>
      <c r="N358" s="55" t="e">
        <f>VLOOKUP(Tableau1[[#This Row],[Compte Consignee]],Order!C:D,2,FALSE)</f>
        <v>#N/A</v>
      </c>
      <c r="O358" s="122"/>
      <c r="P358" s="481" t="e">
        <f>VLOOKUP(Tableau1[[#This Row],[Name ILN]],Plant_AILN!F:G,2,FALSE)</f>
        <v>#N/A</v>
      </c>
      <c r="Q358" s="50" t="e">
        <f>VLOOKUP(Tableau1[[#This Row],[Compte ILN]],'DATA ILN'!D:I,6,FALSE)</f>
        <v>#N/A</v>
      </c>
      <c r="R358" s="50" t="e">
        <f>IFERROR(VLOOKUP(Tableau1[[#This Row],[Key(Compte ILN - shipper - POL - plant)]],'DATA ILN'!A:J,10,FALSE),VLOOKUP(Tableau1[[#This Row],[Key(Compte ILN - shipper - POL)]],'DATA ILN'!B:J,9,FALSE))</f>
        <v>#N/A</v>
      </c>
      <c r="S358" s="50" t="e">
        <f>IFERROR(VLOOKUP(Tableau1[[#This Row],[Key(Compte ILN - shipper - POL - plant)]],'DATA ILN'!A:K,11,FALSE),VLOOKUP(Tableau1[[#This Row],[Key(Compte ILN - shipper - POL)]],'DATA ILN'!B:K,10,FALSE))</f>
        <v>#N/A</v>
      </c>
      <c r="T358" s="50" t="e">
        <f>IFERROR(VLOOKUP(Tableau1[[#This Row],[Key(Compte ILN - shipper - POL - plant)]],'DATA ILN'!A:L,12,FALSE),VLOOKUP(Tableau1[[#This Row],[Key(Compte ILN - shipper - POL)]],'DATA ILN'!B:L,11,FALSE))</f>
        <v>#N/A</v>
      </c>
      <c r="U358" s="50" t="e">
        <f>Tableau1[[#This Row],[Day ILN Order]]+Tableau1[[#This Row],[Delivery time to ILN/Shipper]]-1</f>
        <v>#N/A</v>
      </c>
      <c r="V358" s="50" t="e">
        <f>IFERROR(VLOOKUP(Tableau1[[#This Row],[Key(Compte ILN - shipper - POL - plant)]],'DATA ILN'!A:N,14,FALSE),VLOOKUP(Tableau1[[#This Row],[Key(Compte ILN - shipper - POL)]],'DATA ILN'!B:N,13,FALSE))</f>
        <v>#N/A</v>
      </c>
      <c r="W358" s="50" t="e">
        <f>IFERROR(VLOOKUP(Tableau1[[#This Row],[Key(Compte ILN - shipper - POL - plant)]],'DATA ILN'!A:P,16,FALSE),VLOOKUP(Tableau1[[#This Row],[Key(Compte ILN - shipper - POL)]],'DATA ILN'!B:P,15,FALSE))</f>
        <v>#N/A</v>
      </c>
      <c r="X358" s="283"/>
      <c r="Y358" s="489">
        <f>IFERROR(VLOOKUP(Tableau1[[#This Row],[Name Shipper]],Plant_AILN!L:M,2,FALSE),0)</f>
        <v>0</v>
      </c>
      <c r="Z358" s="358"/>
      <c r="AA358" s="353" t="e">
        <f ca="1">VLOOKUP(Tableau1[[#This Row],[Key(ID-Actif)]],'DATA BTO'!A:N,5,FALSE)</f>
        <v>#N/A</v>
      </c>
      <c r="AB358" s="3" t="e">
        <f ca="1">VLOOKUP(Tableau1[[#This Row],[Key(ID-Actif)]],'DATA BTO'!A:N,6,FALSE)</f>
        <v>#N/A</v>
      </c>
      <c r="AC358" s="50" t="e">
        <f ca="1">VLOOKUP(Tableau1[[#This Row],[Key(ID-Actif)]],'DATA BTO'!A:N,7,FALSE)</f>
        <v>#N/A</v>
      </c>
      <c r="AD358" s="50" t="e">
        <f ca="1">VLOOKUP(Tableau1[[#This Row],[Key(ID-Actif)]],'DATA BTO'!A:N,8,FALSE)</f>
        <v>#N/A</v>
      </c>
      <c r="AE358" s="406" t="e">
        <f ca="1">IF(Tableau1[[#This Row],[First Day to POL]]&lt;=Tableau1[[#This Row],[Day Cut Off]],Tableau1[[#This Row],[Day ETD]],Tableau1[[#This Row],[Day ETD]]+7)</f>
        <v>#N/A</v>
      </c>
      <c r="AF358" s="50" t="e">
        <f ca="1">VLOOKUP(Tableau1[[#This Row],[Key(ID-Actif)]],'DATA BTO'!A:N,9,FALSE)</f>
        <v>#N/A</v>
      </c>
      <c r="AG358" s="3" t="e">
        <f ca="1">VLOOKUP(Tableau1[[#This Row],[Key(ID-Actif)]],'DATA BTO'!A:N,10,FALSE)</f>
        <v>#N/A</v>
      </c>
      <c r="AH358" s="3" t="e">
        <f ca="1">VLOOKUP(Tableau1[[#This Row],[Key(ID-Actif)]],'DATA BTO'!A:N,11,FALSE)</f>
        <v>#N/A</v>
      </c>
      <c r="AI358" s="50" t="e">
        <f ca="1">VLOOKUP(Tableau1[[#This Row],[Key(ID-Actif)]],'DATA BTO'!A:N,12,FALSE)</f>
        <v>#N/A</v>
      </c>
      <c r="AJ358" s="53" t="e">
        <f ca="1">VLOOKUP(Tableau1[[#This Row],[Key(ID-Actif)]],'DATA BTO'!A:N,14,FALSE)</f>
        <v>#N/A</v>
      </c>
      <c r="AK358" s="54" t="e">
        <f ca="1">VLOOKUP(Tableau1[[#This Row],[Key(POD -PFI- Usine)]],'DATA Consignee'!A:F,6,FALSE)</f>
        <v>#N/A</v>
      </c>
      <c r="AL358" s="283"/>
      <c r="AM358" s="490" t="str">
        <f>IF(Tableau1[[#This Row],[Name PFI/CDD]]="","-",VLOOKUP(Tableau1[[#This Row],[Name PFI/CDD]],Plant_AILN!I:J,2,FALSE))</f>
        <v>-</v>
      </c>
      <c r="AN35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8" s="2" t="e">
        <f ca="1">VLOOKUP(Tableau1[[#This Row],[Key(POD -PFI- Usine)]],'DATA Consignee'!A:J,10,FALSE)</f>
        <v>#N/A</v>
      </c>
      <c r="AQ358" s="50" t="e">
        <f ca="1">VLOOKUP(Tableau1[[#This Row],[Key(POD -PFI- Usine)]],'DATA Consignee'!A:N,14,FALSE)</f>
        <v>#N/A</v>
      </c>
      <c r="AR35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8" s="50" t="e">
        <f ca="1">Tableau1[[#This Row],[Transit time]]+Tableau1[[#This Row],[Time for security]]+Tableau1[[#This Row],[Time for security2 buffer]]</f>
        <v>#N/A</v>
      </c>
      <c r="AU35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8" s="50" t="e">
        <f ca="1">Tableau1[[#This Row],[Leadtime SI2C]]+Tableau1[[#This Row],[First Receipt Days]]-Tableau1[[#This Row],[Day Customer Order]]+1</f>
        <v>#N/A</v>
      </c>
      <c r="AW358" s="117" t="e">
        <f ca="1">IF(Tableau1[[#This Row],[Name ILN]]&lt;&gt;"SFK Freight Forwarder",Tableau1[[#This Row],[Cust. Leadtime]],Tableau1[[#This Row],[Leadtime SI2C]])</f>
        <v>#N/A</v>
      </c>
      <c r="AX358" s="57" t="e">
        <f>VLOOKUP(Tableau1[[#This Row],[ID]],'DATA BTO'!B:P,15,FALSE)</f>
        <v>#N/A</v>
      </c>
      <c r="AY358" s="328" t="e">
        <f ca="1">IFERROR(VLOOKUP(Tableau1[[#This Row],[Key(ID-Actif)]],'DATA BTO'!A:N,4,FALSE),VLOOKUP(Tableau1[[#This Row],[ID]],'DATA BTO'!B:N,3,FALSE))</f>
        <v>#N/A</v>
      </c>
      <c r="AZ35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8" s="50"/>
    </row>
    <row r="359" spans="2:57">
      <c r="B359" s="405" t="str">
        <f>_xlfn.CONCAT(Tableau1[[#This Row],[Name ILN]],"-",Tableau1[[#This Row],[Name Shipper]],"-",Tableau1[[#This Row],[Name Site]])</f>
        <v>--</v>
      </c>
      <c r="C359" s="64" t="e">
        <f>_xlfn.CONCAT(Tableau1[[#This Row],[Compte ILN]],"-",Tableau1[[#This Row],[Compte Shipper]],"-",Tableau1[[#This Row],[POL]],"-",Tableau1[[#This Row],[Compte Consignee]])</f>
        <v>#N/A</v>
      </c>
      <c r="D359" s="64" t="e">
        <f>_xlfn.CONCAT(Tableau1[[#This Row],[Compte ILN]],"-",Tableau1[[#This Row],[Compte Shipper]],"-",Tableau1[[#This Row],[POL]])</f>
        <v>#N/A</v>
      </c>
      <c r="E359" s="128" t="e">
        <f ca="1">_xlfn.CONCAT(Tableau1[[#This Row],[POL]],"-",Tableau1[[#This Row],[Carrier]],"-",Tableau1[[#This Row],[POD]])</f>
        <v>#N/A</v>
      </c>
      <c r="F359" s="64" t="str">
        <f>_xlfn.CONCAT(Tableau1[[#This Row],[ID]],"-","Actif")</f>
        <v>-Actif</v>
      </c>
      <c r="G359" s="64" t="e">
        <f ca="1">_xlfn.CONCAT(Tableau1[[#This Row],[POD]],"-",Tableau1[[#This Row],[Code PFI]],"-",Tableau1[[#This Row],[Compte Consignee]])</f>
        <v>#N/A</v>
      </c>
      <c r="H35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5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59" s="117" t="str">
        <f ca="1">IF(COUNTIF(I:I,Tableau1[[#This Row],[Plant-ILN-shipper-POL-Carrier-POD-PFI]])=1,"Non","Oui")</f>
        <v>Oui</v>
      </c>
      <c r="K359" s="126" t="e">
        <f>VLOOKUP(Tableau1[[#This Row],[Name Site]],Plant_AILN!A:D,4,FALSE)</f>
        <v>#N/A</v>
      </c>
      <c r="L359" s="363"/>
      <c r="M359" s="492" t="e">
        <f>VLOOKUP(Tableau1[[#This Row],[Name Site]],Plant_AILN!A:C,3,FALSE)</f>
        <v>#N/A</v>
      </c>
      <c r="N359" s="55" t="e">
        <f>VLOOKUP(Tableau1[[#This Row],[Compte Consignee]],Order!C:D,2,FALSE)</f>
        <v>#N/A</v>
      </c>
      <c r="O359" s="122"/>
      <c r="P359" s="481" t="e">
        <f>VLOOKUP(Tableau1[[#This Row],[Name ILN]],Plant_AILN!F:G,2,FALSE)</f>
        <v>#N/A</v>
      </c>
      <c r="Q359" s="50" t="e">
        <f>VLOOKUP(Tableau1[[#This Row],[Compte ILN]],'DATA ILN'!D:I,6,FALSE)</f>
        <v>#N/A</v>
      </c>
      <c r="R359" s="50" t="e">
        <f>IFERROR(VLOOKUP(Tableau1[[#This Row],[Key(Compte ILN - shipper - POL - plant)]],'DATA ILN'!A:J,10,FALSE),VLOOKUP(Tableau1[[#This Row],[Key(Compte ILN - shipper - POL)]],'DATA ILN'!B:J,9,FALSE))</f>
        <v>#N/A</v>
      </c>
      <c r="S359" s="50" t="e">
        <f>IFERROR(VLOOKUP(Tableau1[[#This Row],[Key(Compte ILN - shipper - POL - plant)]],'DATA ILN'!A:K,11,FALSE),VLOOKUP(Tableau1[[#This Row],[Key(Compte ILN - shipper - POL)]],'DATA ILN'!B:K,10,FALSE))</f>
        <v>#N/A</v>
      </c>
      <c r="T359" s="50" t="e">
        <f>IFERROR(VLOOKUP(Tableau1[[#This Row],[Key(Compte ILN - shipper - POL - plant)]],'DATA ILN'!A:L,12,FALSE),VLOOKUP(Tableau1[[#This Row],[Key(Compte ILN - shipper - POL)]],'DATA ILN'!B:L,11,FALSE))</f>
        <v>#N/A</v>
      </c>
      <c r="U359" s="50" t="e">
        <f>Tableau1[[#This Row],[Day ILN Order]]+Tableau1[[#This Row],[Delivery time to ILN/Shipper]]-1</f>
        <v>#N/A</v>
      </c>
      <c r="V359" s="50" t="e">
        <f>IFERROR(VLOOKUP(Tableau1[[#This Row],[Key(Compte ILN - shipper - POL - plant)]],'DATA ILN'!A:N,14,FALSE),VLOOKUP(Tableau1[[#This Row],[Key(Compte ILN - shipper - POL)]],'DATA ILN'!B:N,13,FALSE))</f>
        <v>#N/A</v>
      </c>
      <c r="W359" s="50" t="e">
        <f>IFERROR(VLOOKUP(Tableau1[[#This Row],[Key(Compte ILN - shipper - POL - plant)]],'DATA ILN'!A:P,16,FALSE),VLOOKUP(Tableau1[[#This Row],[Key(Compte ILN - shipper - POL)]],'DATA ILN'!B:P,15,FALSE))</f>
        <v>#N/A</v>
      </c>
      <c r="X359" s="283"/>
      <c r="Y359" s="489">
        <f>IFERROR(VLOOKUP(Tableau1[[#This Row],[Name Shipper]],Plant_AILN!L:M,2,FALSE),0)</f>
        <v>0</v>
      </c>
      <c r="Z359" s="358"/>
      <c r="AA359" s="353" t="e">
        <f ca="1">VLOOKUP(Tableau1[[#This Row],[Key(ID-Actif)]],'DATA BTO'!A:N,5,FALSE)</f>
        <v>#N/A</v>
      </c>
      <c r="AB359" s="3" t="e">
        <f ca="1">VLOOKUP(Tableau1[[#This Row],[Key(ID-Actif)]],'DATA BTO'!A:N,6,FALSE)</f>
        <v>#N/A</v>
      </c>
      <c r="AC359" s="50" t="e">
        <f ca="1">VLOOKUP(Tableau1[[#This Row],[Key(ID-Actif)]],'DATA BTO'!A:N,7,FALSE)</f>
        <v>#N/A</v>
      </c>
      <c r="AD359" s="50" t="e">
        <f ca="1">VLOOKUP(Tableau1[[#This Row],[Key(ID-Actif)]],'DATA BTO'!A:N,8,FALSE)</f>
        <v>#N/A</v>
      </c>
      <c r="AE359" s="406" t="e">
        <f ca="1">IF(Tableau1[[#This Row],[First Day to POL]]&lt;=Tableau1[[#This Row],[Day Cut Off]],Tableau1[[#This Row],[Day ETD]],Tableau1[[#This Row],[Day ETD]]+7)</f>
        <v>#N/A</v>
      </c>
      <c r="AF359" s="50" t="e">
        <f ca="1">VLOOKUP(Tableau1[[#This Row],[Key(ID-Actif)]],'DATA BTO'!A:N,9,FALSE)</f>
        <v>#N/A</v>
      </c>
      <c r="AG359" s="3" t="e">
        <f ca="1">VLOOKUP(Tableau1[[#This Row],[Key(ID-Actif)]],'DATA BTO'!A:N,10,FALSE)</f>
        <v>#N/A</v>
      </c>
      <c r="AH359" s="3" t="e">
        <f ca="1">VLOOKUP(Tableau1[[#This Row],[Key(ID-Actif)]],'DATA BTO'!A:N,11,FALSE)</f>
        <v>#N/A</v>
      </c>
      <c r="AI359" s="50" t="e">
        <f ca="1">VLOOKUP(Tableau1[[#This Row],[Key(ID-Actif)]],'DATA BTO'!A:N,12,FALSE)</f>
        <v>#N/A</v>
      </c>
      <c r="AJ359" s="53" t="e">
        <f ca="1">VLOOKUP(Tableau1[[#This Row],[Key(ID-Actif)]],'DATA BTO'!A:N,14,FALSE)</f>
        <v>#N/A</v>
      </c>
      <c r="AK359" s="54" t="e">
        <f ca="1">VLOOKUP(Tableau1[[#This Row],[Key(POD -PFI- Usine)]],'DATA Consignee'!A:F,6,FALSE)</f>
        <v>#N/A</v>
      </c>
      <c r="AL359" s="283"/>
      <c r="AM359" s="490" t="str">
        <f>IF(Tableau1[[#This Row],[Name PFI/CDD]]="","-",VLOOKUP(Tableau1[[#This Row],[Name PFI/CDD]],Plant_AILN!I:J,2,FALSE))</f>
        <v>-</v>
      </c>
      <c r="AN35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5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59" s="2" t="e">
        <f ca="1">VLOOKUP(Tableau1[[#This Row],[Key(POD -PFI- Usine)]],'DATA Consignee'!A:J,10,FALSE)</f>
        <v>#N/A</v>
      </c>
      <c r="AQ359" s="50" t="e">
        <f ca="1">VLOOKUP(Tableau1[[#This Row],[Key(POD -PFI- Usine)]],'DATA Consignee'!A:N,14,FALSE)</f>
        <v>#N/A</v>
      </c>
      <c r="AR35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5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59" s="50" t="e">
        <f ca="1">Tableau1[[#This Row],[Transit time]]+Tableau1[[#This Row],[Time for security]]+Tableau1[[#This Row],[Time for security2 buffer]]</f>
        <v>#N/A</v>
      </c>
      <c r="AU35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59" s="50" t="e">
        <f ca="1">Tableau1[[#This Row],[Leadtime SI2C]]+Tableau1[[#This Row],[First Receipt Days]]-Tableau1[[#This Row],[Day Customer Order]]+1</f>
        <v>#N/A</v>
      </c>
      <c r="AW359" s="117" t="e">
        <f ca="1">IF(Tableau1[[#This Row],[Name ILN]]&lt;&gt;"SFK Freight Forwarder",Tableau1[[#This Row],[Cust. Leadtime]],Tableau1[[#This Row],[Leadtime SI2C]])</f>
        <v>#N/A</v>
      </c>
      <c r="AX359" s="57" t="e">
        <f>VLOOKUP(Tableau1[[#This Row],[ID]],'DATA BTO'!B:P,15,FALSE)</f>
        <v>#N/A</v>
      </c>
      <c r="AY359" s="328" t="e">
        <f ca="1">IFERROR(VLOOKUP(Tableau1[[#This Row],[Key(ID-Actif)]],'DATA BTO'!A:N,4,FALSE),VLOOKUP(Tableau1[[#This Row],[ID]],'DATA BTO'!B:N,3,FALSE))</f>
        <v>#N/A</v>
      </c>
      <c r="AZ35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5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5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9" s="50"/>
    </row>
    <row r="360" spans="2:57">
      <c r="B360" s="405" t="str">
        <f>_xlfn.CONCAT(Tableau1[[#This Row],[Name ILN]],"-",Tableau1[[#This Row],[Name Shipper]],"-",Tableau1[[#This Row],[Name Site]])</f>
        <v>--</v>
      </c>
      <c r="C360" s="64" t="e">
        <f>_xlfn.CONCAT(Tableau1[[#This Row],[Compte ILN]],"-",Tableau1[[#This Row],[Compte Shipper]],"-",Tableau1[[#This Row],[POL]],"-",Tableau1[[#This Row],[Compte Consignee]])</f>
        <v>#N/A</v>
      </c>
      <c r="D360" s="64" t="e">
        <f>_xlfn.CONCAT(Tableau1[[#This Row],[Compte ILN]],"-",Tableau1[[#This Row],[Compte Shipper]],"-",Tableau1[[#This Row],[POL]])</f>
        <v>#N/A</v>
      </c>
      <c r="E360" s="128" t="e">
        <f ca="1">_xlfn.CONCAT(Tableau1[[#This Row],[POL]],"-",Tableau1[[#This Row],[Carrier]],"-",Tableau1[[#This Row],[POD]])</f>
        <v>#N/A</v>
      </c>
      <c r="F360" s="64" t="str">
        <f>_xlfn.CONCAT(Tableau1[[#This Row],[ID]],"-","Actif")</f>
        <v>-Actif</v>
      </c>
      <c r="G360" s="64" t="e">
        <f ca="1">_xlfn.CONCAT(Tableau1[[#This Row],[POD]],"-",Tableau1[[#This Row],[Code PFI]],"-",Tableau1[[#This Row],[Compte Consignee]])</f>
        <v>#N/A</v>
      </c>
      <c r="H36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0" s="117" t="str">
        <f ca="1">IF(COUNTIF(I:I,Tableau1[[#This Row],[Plant-ILN-shipper-POL-Carrier-POD-PFI]])=1,"Non","Oui")</f>
        <v>Oui</v>
      </c>
      <c r="K360" s="126" t="e">
        <f>VLOOKUP(Tableau1[[#This Row],[Name Site]],Plant_AILN!A:D,4,FALSE)</f>
        <v>#N/A</v>
      </c>
      <c r="L360" s="363"/>
      <c r="M360" s="492" t="e">
        <f>VLOOKUP(Tableau1[[#This Row],[Name Site]],Plant_AILN!A:C,3,FALSE)</f>
        <v>#N/A</v>
      </c>
      <c r="N360" s="55" t="e">
        <f>VLOOKUP(Tableau1[[#This Row],[Compte Consignee]],Order!C:D,2,FALSE)</f>
        <v>#N/A</v>
      </c>
      <c r="O360" s="122"/>
      <c r="P360" s="481" t="e">
        <f>VLOOKUP(Tableau1[[#This Row],[Name ILN]],Plant_AILN!F:G,2,FALSE)</f>
        <v>#N/A</v>
      </c>
      <c r="Q360" s="50" t="e">
        <f>VLOOKUP(Tableau1[[#This Row],[Compte ILN]],'DATA ILN'!D:I,6,FALSE)</f>
        <v>#N/A</v>
      </c>
      <c r="R360" s="50" t="e">
        <f>IFERROR(VLOOKUP(Tableau1[[#This Row],[Key(Compte ILN - shipper - POL - plant)]],'DATA ILN'!A:J,10,FALSE),VLOOKUP(Tableau1[[#This Row],[Key(Compte ILN - shipper - POL)]],'DATA ILN'!B:J,9,FALSE))</f>
        <v>#N/A</v>
      </c>
      <c r="S360" s="50" t="e">
        <f>IFERROR(VLOOKUP(Tableau1[[#This Row],[Key(Compte ILN - shipper - POL - plant)]],'DATA ILN'!A:K,11,FALSE),VLOOKUP(Tableau1[[#This Row],[Key(Compte ILN - shipper - POL)]],'DATA ILN'!B:K,10,FALSE))</f>
        <v>#N/A</v>
      </c>
      <c r="T360" s="50" t="e">
        <f>IFERROR(VLOOKUP(Tableau1[[#This Row],[Key(Compte ILN - shipper - POL - plant)]],'DATA ILN'!A:L,12,FALSE),VLOOKUP(Tableau1[[#This Row],[Key(Compte ILN - shipper - POL)]],'DATA ILN'!B:L,11,FALSE))</f>
        <v>#N/A</v>
      </c>
      <c r="U360" s="50" t="e">
        <f>Tableau1[[#This Row],[Day ILN Order]]+Tableau1[[#This Row],[Delivery time to ILN/Shipper]]-1</f>
        <v>#N/A</v>
      </c>
      <c r="V360" s="50" t="e">
        <f>IFERROR(VLOOKUP(Tableau1[[#This Row],[Key(Compte ILN - shipper - POL - plant)]],'DATA ILN'!A:N,14,FALSE),VLOOKUP(Tableau1[[#This Row],[Key(Compte ILN - shipper - POL)]],'DATA ILN'!B:N,13,FALSE))</f>
        <v>#N/A</v>
      </c>
      <c r="W360" s="50" t="e">
        <f>IFERROR(VLOOKUP(Tableau1[[#This Row],[Key(Compte ILN - shipper - POL - plant)]],'DATA ILN'!A:P,16,FALSE),VLOOKUP(Tableau1[[#This Row],[Key(Compte ILN - shipper - POL)]],'DATA ILN'!B:P,15,FALSE))</f>
        <v>#N/A</v>
      </c>
      <c r="X360" s="283"/>
      <c r="Y360" s="489">
        <f>IFERROR(VLOOKUP(Tableau1[[#This Row],[Name Shipper]],Plant_AILN!L:M,2,FALSE),0)</f>
        <v>0</v>
      </c>
      <c r="Z360" s="358"/>
      <c r="AA360" s="353" t="e">
        <f ca="1">VLOOKUP(Tableau1[[#This Row],[Key(ID-Actif)]],'DATA BTO'!A:N,5,FALSE)</f>
        <v>#N/A</v>
      </c>
      <c r="AB360" s="3" t="e">
        <f ca="1">VLOOKUP(Tableau1[[#This Row],[Key(ID-Actif)]],'DATA BTO'!A:N,6,FALSE)</f>
        <v>#N/A</v>
      </c>
      <c r="AC360" s="50" t="e">
        <f ca="1">VLOOKUP(Tableau1[[#This Row],[Key(ID-Actif)]],'DATA BTO'!A:N,7,FALSE)</f>
        <v>#N/A</v>
      </c>
      <c r="AD360" s="50" t="e">
        <f ca="1">VLOOKUP(Tableau1[[#This Row],[Key(ID-Actif)]],'DATA BTO'!A:N,8,FALSE)</f>
        <v>#N/A</v>
      </c>
      <c r="AE360" s="406" t="e">
        <f ca="1">IF(Tableau1[[#This Row],[First Day to POL]]&lt;=Tableau1[[#This Row],[Day Cut Off]],Tableau1[[#This Row],[Day ETD]],Tableau1[[#This Row],[Day ETD]]+7)</f>
        <v>#N/A</v>
      </c>
      <c r="AF360" s="50" t="e">
        <f ca="1">VLOOKUP(Tableau1[[#This Row],[Key(ID-Actif)]],'DATA BTO'!A:N,9,FALSE)</f>
        <v>#N/A</v>
      </c>
      <c r="AG360" s="3" t="e">
        <f ca="1">VLOOKUP(Tableau1[[#This Row],[Key(ID-Actif)]],'DATA BTO'!A:N,10,FALSE)</f>
        <v>#N/A</v>
      </c>
      <c r="AH360" s="3" t="e">
        <f ca="1">VLOOKUP(Tableau1[[#This Row],[Key(ID-Actif)]],'DATA BTO'!A:N,11,FALSE)</f>
        <v>#N/A</v>
      </c>
      <c r="AI360" s="50" t="e">
        <f ca="1">VLOOKUP(Tableau1[[#This Row],[Key(ID-Actif)]],'DATA BTO'!A:N,12,FALSE)</f>
        <v>#N/A</v>
      </c>
      <c r="AJ360" s="53" t="e">
        <f ca="1">VLOOKUP(Tableau1[[#This Row],[Key(ID-Actif)]],'DATA BTO'!A:N,14,FALSE)</f>
        <v>#N/A</v>
      </c>
      <c r="AK360" s="54" t="e">
        <f ca="1">VLOOKUP(Tableau1[[#This Row],[Key(POD -PFI- Usine)]],'DATA Consignee'!A:F,6,FALSE)</f>
        <v>#N/A</v>
      </c>
      <c r="AL360" s="283"/>
      <c r="AM360" s="490" t="str">
        <f>IF(Tableau1[[#This Row],[Name PFI/CDD]]="","-",VLOOKUP(Tableau1[[#This Row],[Name PFI/CDD]],Plant_AILN!I:J,2,FALSE))</f>
        <v>-</v>
      </c>
      <c r="AN36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0" s="2" t="e">
        <f ca="1">VLOOKUP(Tableau1[[#This Row],[Key(POD -PFI- Usine)]],'DATA Consignee'!A:J,10,FALSE)</f>
        <v>#N/A</v>
      </c>
      <c r="AQ360" s="50" t="e">
        <f ca="1">VLOOKUP(Tableau1[[#This Row],[Key(POD -PFI- Usine)]],'DATA Consignee'!A:N,14,FALSE)</f>
        <v>#N/A</v>
      </c>
      <c r="AR36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0" s="50" t="e">
        <f ca="1">Tableau1[[#This Row],[Transit time]]+Tableau1[[#This Row],[Time for security]]+Tableau1[[#This Row],[Time for security2 buffer]]</f>
        <v>#N/A</v>
      </c>
      <c r="AU36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0" s="50" t="e">
        <f ca="1">Tableau1[[#This Row],[Leadtime SI2C]]+Tableau1[[#This Row],[First Receipt Days]]-Tableau1[[#This Row],[Day Customer Order]]+1</f>
        <v>#N/A</v>
      </c>
      <c r="AW360" s="117" t="e">
        <f ca="1">IF(Tableau1[[#This Row],[Name ILN]]&lt;&gt;"SFK Freight Forwarder",Tableau1[[#This Row],[Cust. Leadtime]],Tableau1[[#This Row],[Leadtime SI2C]])</f>
        <v>#N/A</v>
      </c>
      <c r="AX360" s="57" t="e">
        <f>VLOOKUP(Tableau1[[#This Row],[ID]],'DATA BTO'!B:P,15,FALSE)</f>
        <v>#N/A</v>
      </c>
      <c r="AY360" s="328" t="e">
        <f ca="1">IFERROR(VLOOKUP(Tableau1[[#This Row],[Key(ID-Actif)]],'DATA BTO'!A:N,4,FALSE),VLOOKUP(Tableau1[[#This Row],[ID]],'DATA BTO'!B:N,3,FALSE))</f>
        <v>#N/A</v>
      </c>
      <c r="AZ36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0" s="50"/>
    </row>
    <row r="361" spans="2:57">
      <c r="B361" s="405" t="str">
        <f>_xlfn.CONCAT(Tableau1[[#This Row],[Name ILN]],"-",Tableau1[[#This Row],[Name Shipper]],"-",Tableau1[[#This Row],[Name Site]])</f>
        <v>--</v>
      </c>
      <c r="C361" s="64" t="e">
        <f>_xlfn.CONCAT(Tableau1[[#This Row],[Compte ILN]],"-",Tableau1[[#This Row],[Compte Shipper]],"-",Tableau1[[#This Row],[POL]],"-",Tableau1[[#This Row],[Compte Consignee]])</f>
        <v>#N/A</v>
      </c>
      <c r="D361" s="64" t="e">
        <f>_xlfn.CONCAT(Tableau1[[#This Row],[Compte ILN]],"-",Tableau1[[#This Row],[Compte Shipper]],"-",Tableau1[[#This Row],[POL]])</f>
        <v>#N/A</v>
      </c>
      <c r="E361" s="128" t="e">
        <f ca="1">_xlfn.CONCAT(Tableau1[[#This Row],[POL]],"-",Tableau1[[#This Row],[Carrier]],"-",Tableau1[[#This Row],[POD]])</f>
        <v>#N/A</v>
      </c>
      <c r="F361" s="64" t="str">
        <f>_xlfn.CONCAT(Tableau1[[#This Row],[ID]],"-","Actif")</f>
        <v>-Actif</v>
      </c>
      <c r="G361" s="64" t="e">
        <f ca="1">_xlfn.CONCAT(Tableau1[[#This Row],[POD]],"-",Tableau1[[#This Row],[Code PFI]],"-",Tableau1[[#This Row],[Compte Consignee]])</f>
        <v>#N/A</v>
      </c>
      <c r="H36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1" s="117" t="str">
        <f ca="1">IF(COUNTIF(I:I,Tableau1[[#This Row],[Plant-ILN-shipper-POL-Carrier-POD-PFI]])=1,"Non","Oui")</f>
        <v>Oui</v>
      </c>
      <c r="K361" s="126" t="e">
        <f>VLOOKUP(Tableau1[[#This Row],[Name Site]],Plant_AILN!A:D,4,FALSE)</f>
        <v>#N/A</v>
      </c>
      <c r="L361" s="363"/>
      <c r="M361" s="492" t="e">
        <f>VLOOKUP(Tableau1[[#This Row],[Name Site]],Plant_AILN!A:C,3,FALSE)</f>
        <v>#N/A</v>
      </c>
      <c r="N361" s="55" t="e">
        <f>VLOOKUP(Tableau1[[#This Row],[Compte Consignee]],Order!C:D,2,FALSE)</f>
        <v>#N/A</v>
      </c>
      <c r="O361" s="122"/>
      <c r="P361" s="481" t="e">
        <f>VLOOKUP(Tableau1[[#This Row],[Name ILN]],Plant_AILN!F:G,2,FALSE)</f>
        <v>#N/A</v>
      </c>
      <c r="Q361" s="50" t="e">
        <f>VLOOKUP(Tableau1[[#This Row],[Compte ILN]],'DATA ILN'!D:I,6,FALSE)</f>
        <v>#N/A</v>
      </c>
      <c r="R361" s="50" t="e">
        <f>IFERROR(VLOOKUP(Tableau1[[#This Row],[Key(Compte ILN - shipper - POL - plant)]],'DATA ILN'!A:J,10,FALSE),VLOOKUP(Tableau1[[#This Row],[Key(Compte ILN - shipper - POL)]],'DATA ILN'!B:J,9,FALSE))</f>
        <v>#N/A</v>
      </c>
      <c r="S361" s="50" t="e">
        <f>IFERROR(VLOOKUP(Tableau1[[#This Row],[Key(Compte ILN - shipper - POL - plant)]],'DATA ILN'!A:K,11,FALSE),VLOOKUP(Tableau1[[#This Row],[Key(Compte ILN - shipper - POL)]],'DATA ILN'!B:K,10,FALSE))</f>
        <v>#N/A</v>
      </c>
      <c r="T361" s="50" t="e">
        <f>IFERROR(VLOOKUP(Tableau1[[#This Row],[Key(Compte ILN - shipper - POL - plant)]],'DATA ILN'!A:L,12,FALSE),VLOOKUP(Tableau1[[#This Row],[Key(Compte ILN - shipper - POL)]],'DATA ILN'!B:L,11,FALSE))</f>
        <v>#N/A</v>
      </c>
      <c r="U361" s="50" t="e">
        <f>Tableau1[[#This Row],[Day ILN Order]]+Tableau1[[#This Row],[Delivery time to ILN/Shipper]]-1</f>
        <v>#N/A</v>
      </c>
      <c r="V361" s="50" t="e">
        <f>IFERROR(VLOOKUP(Tableau1[[#This Row],[Key(Compte ILN - shipper - POL - plant)]],'DATA ILN'!A:N,14,FALSE),VLOOKUP(Tableau1[[#This Row],[Key(Compte ILN - shipper - POL)]],'DATA ILN'!B:N,13,FALSE))</f>
        <v>#N/A</v>
      </c>
      <c r="W361" s="50" t="e">
        <f>IFERROR(VLOOKUP(Tableau1[[#This Row],[Key(Compte ILN - shipper - POL - plant)]],'DATA ILN'!A:P,16,FALSE),VLOOKUP(Tableau1[[#This Row],[Key(Compte ILN - shipper - POL)]],'DATA ILN'!B:P,15,FALSE))</f>
        <v>#N/A</v>
      </c>
      <c r="X361" s="283"/>
      <c r="Y361" s="489">
        <f>IFERROR(VLOOKUP(Tableau1[[#This Row],[Name Shipper]],Plant_AILN!L:M,2,FALSE),0)</f>
        <v>0</v>
      </c>
      <c r="Z361" s="358"/>
      <c r="AA361" s="353" t="e">
        <f ca="1">VLOOKUP(Tableau1[[#This Row],[Key(ID-Actif)]],'DATA BTO'!A:N,5,FALSE)</f>
        <v>#N/A</v>
      </c>
      <c r="AB361" s="3" t="e">
        <f ca="1">VLOOKUP(Tableau1[[#This Row],[Key(ID-Actif)]],'DATA BTO'!A:N,6,FALSE)</f>
        <v>#N/A</v>
      </c>
      <c r="AC361" s="50" t="e">
        <f ca="1">VLOOKUP(Tableau1[[#This Row],[Key(ID-Actif)]],'DATA BTO'!A:N,7,FALSE)</f>
        <v>#N/A</v>
      </c>
      <c r="AD361" s="50" t="e">
        <f ca="1">VLOOKUP(Tableau1[[#This Row],[Key(ID-Actif)]],'DATA BTO'!A:N,8,FALSE)</f>
        <v>#N/A</v>
      </c>
      <c r="AE361" s="406" t="e">
        <f ca="1">IF(Tableau1[[#This Row],[First Day to POL]]&lt;=Tableau1[[#This Row],[Day Cut Off]],Tableau1[[#This Row],[Day ETD]],Tableau1[[#This Row],[Day ETD]]+7)</f>
        <v>#N/A</v>
      </c>
      <c r="AF361" s="50" t="e">
        <f ca="1">VLOOKUP(Tableau1[[#This Row],[Key(ID-Actif)]],'DATA BTO'!A:N,9,FALSE)</f>
        <v>#N/A</v>
      </c>
      <c r="AG361" s="3" t="e">
        <f ca="1">VLOOKUP(Tableau1[[#This Row],[Key(ID-Actif)]],'DATA BTO'!A:N,10,FALSE)</f>
        <v>#N/A</v>
      </c>
      <c r="AH361" s="3" t="e">
        <f ca="1">VLOOKUP(Tableau1[[#This Row],[Key(ID-Actif)]],'DATA BTO'!A:N,11,FALSE)</f>
        <v>#N/A</v>
      </c>
      <c r="AI361" s="50" t="e">
        <f ca="1">VLOOKUP(Tableau1[[#This Row],[Key(ID-Actif)]],'DATA BTO'!A:N,12,FALSE)</f>
        <v>#N/A</v>
      </c>
      <c r="AJ361" s="53" t="e">
        <f ca="1">VLOOKUP(Tableau1[[#This Row],[Key(ID-Actif)]],'DATA BTO'!A:N,14,FALSE)</f>
        <v>#N/A</v>
      </c>
      <c r="AK361" s="54" t="e">
        <f ca="1">VLOOKUP(Tableau1[[#This Row],[Key(POD -PFI- Usine)]],'DATA Consignee'!A:F,6,FALSE)</f>
        <v>#N/A</v>
      </c>
      <c r="AL361" s="283"/>
      <c r="AM361" s="490" t="str">
        <f>IF(Tableau1[[#This Row],[Name PFI/CDD]]="","-",VLOOKUP(Tableau1[[#This Row],[Name PFI/CDD]],Plant_AILN!I:J,2,FALSE))</f>
        <v>-</v>
      </c>
      <c r="AN36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1" s="2" t="e">
        <f ca="1">VLOOKUP(Tableau1[[#This Row],[Key(POD -PFI- Usine)]],'DATA Consignee'!A:J,10,FALSE)</f>
        <v>#N/A</v>
      </c>
      <c r="AQ361" s="50" t="e">
        <f ca="1">VLOOKUP(Tableau1[[#This Row],[Key(POD -PFI- Usine)]],'DATA Consignee'!A:N,14,FALSE)</f>
        <v>#N/A</v>
      </c>
      <c r="AR36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1" s="50" t="e">
        <f ca="1">Tableau1[[#This Row],[Transit time]]+Tableau1[[#This Row],[Time for security]]+Tableau1[[#This Row],[Time for security2 buffer]]</f>
        <v>#N/A</v>
      </c>
      <c r="AU36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1" s="50" t="e">
        <f ca="1">Tableau1[[#This Row],[Leadtime SI2C]]+Tableau1[[#This Row],[First Receipt Days]]-Tableau1[[#This Row],[Day Customer Order]]+1</f>
        <v>#N/A</v>
      </c>
      <c r="AW361" s="117" t="e">
        <f ca="1">IF(Tableau1[[#This Row],[Name ILN]]&lt;&gt;"SFK Freight Forwarder",Tableau1[[#This Row],[Cust. Leadtime]],Tableau1[[#This Row],[Leadtime SI2C]])</f>
        <v>#N/A</v>
      </c>
      <c r="AX361" s="57" t="e">
        <f>VLOOKUP(Tableau1[[#This Row],[ID]],'DATA BTO'!B:P,15,FALSE)</f>
        <v>#N/A</v>
      </c>
      <c r="AY361" s="328" t="e">
        <f ca="1">IFERROR(VLOOKUP(Tableau1[[#This Row],[Key(ID-Actif)]],'DATA BTO'!A:N,4,FALSE),VLOOKUP(Tableau1[[#This Row],[ID]],'DATA BTO'!B:N,3,FALSE))</f>
        <v>#N/A</v>
      </c>
      <c r="AZ36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1" s="50"/>
    </row>
    <row r="362" spans="2:57">
      <c r="B362" s="405" t="str">
        <f>_xlfn.CONCAT(Tableau1[[#This Row],[Name ILN]],"-",Tableau1[[#This Row],[Name Shipper]],"-",Tableau1[[#This Row],[Name Site]])</f>
        <v>--</v>
      </c>
      <c r="C362" s="64" t="e">
        <f>_xlfn.CONCAT(Tableau1[[#This Row],[Compte ILN]],"-",Tableau1[[#This Row],[Compte Shipper]],"-",Tableau1[[#This Row],[POL]],"-",Tableau1[[#This Row],[Compte Consignee]])</f>
        <v>#N/A</v>
      </c>
      <c r="D362" s="64" t="e">
        <f>_xlfn.CONCAT(Tableau1[[#This Row],[Compte ILN]],"-",Tableau1[[#This Row],[Compte Shipper]],"-",Tableau1[[#This Row],[POL]])</f>
        <v>#N/A</v>
      </c>
      <c r="E362" s="128" t="e">
        <f ca="1">_xlfn.CONCAT(Tableau1[[#This Row],[POL]],"-",Tableau1[[#This Row],[Carrier]],"-",Tableau1[[#This Row],[POD]])</f>
        <v>#N/A</v>
      </c>
      <c r="F362" s="64" t="str">
        <f>_xlfn.CONCAT(Tableau1[[#This Row],[ID]],"-","Actif")</f>
        <v>-Actif</v>
      </c>
      <c r="G362" s="64" t="e">
        <f ca="1">_xlfn.CONCAT(Tableau1[[#This Row],[POD]],"-",Tableau1[[#This Row],[Code PFI]],"-",Tableau1[[#This Row],[Compte Consignee]])</f>
        <v>#N/A</v>
      </c>
      <c r="H36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2" s="117" t="str">
        <f ca="1">IF(COUNTIF(I:I,Tableau1[[#This Row],[Plant-ILN-shipper-POL-Carrier-POD-PFI]])=1,"Non","Oui")</f>
        <v>Oui</v>
      </c>
      <c r="K362" s="126" t="e">
        <f>VLOOKUP(Tableau1[[#This Row],[Name Site]],Plant_AILN!A:D,4,FALSE)</f>
        <v>#N/A</v>
      </c>
      <c r="L362" s="363"/>
      <c r="M362" s="492" t="e">
        <f>VLOOKUP(Tableau1[[#This Row],[Name Site]],Plant_AILN!A:C,3,FALSE)</f>
        <v>#N/A</v>
      </c>
      <c r="N362" s="55" t="e">
        <f>VLOOKUP(Tableau1[[#This Row],[Compte Consignee]],Order!C:D,2,FALSE)</f>
        <v>#N/A</v>
      </c>
      <c r="O362" s="122"/>
      <c r="P362" s="481" t="e">
        <f>VLOOKUP(Tableau1[[#This Row],[Name ILN]],Plant_AILN!F:G,2,FALSE)</f>
        <v>#N/A</v>
      </c>
      <c r="Q362" s="50" t="e">
        <f>VLOOKUP(Tableau1[[#This Row],[Compte ILN]],'DATA ILN'!D:I,6,FALSE)</f>
        <v>#N/A</v>
      </c>
      <c r="R362" s="50" t="e">
        <f>IFERROR(VLOOKUP(Tableau1[[#This Row],[Key(Compte ILN - shipper - POL - plant)]],'DATA ILN'!A:J,10,FALSE),VLOOKUP(Tableau1[[#This Row],[Key(Compte ILN - shipper - POL)]],'DATA ILN'!B:J,9,FALSE))</f>
        <v>#N/A</v>
      </c>
      <c r="S362" s="50" t="e">
        <f>IFERROR(VLOOKUP(Tableau1[[#This Row],[Key(Compte ILN - shipper - POL - plant)]],'DATA ILN'!A:K,11,FALSE),VLOOKUP(Tableau1[[#This Row],[Key(Compte ILN - shipper - POL)]],'DATA ILN'!B:K,10,FALSE))</f>
        <v>#N/A</v>
      </c>
      <c r="T362" s="50" t="e">
        <f>IFERROR(VLOOKUP(Tableau1[[#This Row],[Key(Compte ILN - shipper - POL - plant)]],'DATA ILN'!A:L,12,FALSE),VLOOKUP(Tableau1[[#This Row],[Key(Compte ILN - shipper - POL)]],'DATA ILN'!B:L,11,FALSE))</f>
        <v>#N/A</v>
      </c>
      <c r="U362" s="50" t="e">
        <f>Tableau1[[#This Row],[Day ILN Order]]+Tableau1[[#This Row],[Delivery time to ILN/Shipper]]-1</f>
        <v>#N/A</v>
      </c>
      <c r="V362" s="50" t="e">
        <f>IFERROR(VLOOKUP(Tableau1[[#This Row],[Key(Compte ILN - shipper - POL - plant)]],'DATA ILN'!A:N,14,FALSE),VLOOKUP(Tableau1[[#This Row],[Key(Compte ILN - shipper - POL)]],'DATA ILN'!B:N,13,FALSE))</f>
        <v>#N/A</v>
      </c>
      <c r="W362" s="50" t="e">
        <f>IFERROR(VLOOKUP(Tableau1[[#This Row],[Key(Compte ILN - shipper - POL - plant)]],'DATA ILN'!A:P,16,FALSE),VLOOKUP(Tableau1[[#This Row],[Key(Compte ILN - shipper - POL)]],'DATA ILN'!B:P,15,FALSE))</f>
        <v>#N/A</v>
      </c>
      <c r="X362" s="283"/>
      <c r="Y362" s="489">
        <f>IFERROR(VLOOKUP(Tableau1[[#This Row],[Name Shipper]],Plant_AILN!L:M,2,FALSE),0)</f>
        <v>0</v>
      </c>
      <c r="Z362" s="358"/>
      <c r="AA362" s="353" t="e">
        <f ca="1">VLOOKUP(Tableau1[[#This Row],[Key(ID-Actif)]],'DATA BTO'!A:N,5,FALSE)</f>
        <v>#N/A</v>
      </c>
      <c r="AB362" s="3" t="e">
        <f ca="1">VLOOKUP(Tableau1[[#This Row],[Key(ID-Actif)]],'DATA BTO'!A:N,6,FALSE)</f>
        <v>#N/A</v>
      </c>
      <c r="AC362" s="50" t="e">
        <f ca="1">VLOOKUP(Tableau1[[#This Row],[Key(ID-Actif)]],'DATA BTO'!A:N,7,FALSE)</f>
        <v>#N/A</v>
      </c>
      <c r="AD362" s="50" t="e">
        <f ca="1">VLOOKUP(Tableau1[[#This Row],[Key(ID-Actif)]],'DATA BTO'!A:N,8,FALSE)</f>
        <v>#N/A</v>
      </c>
      <c r="AE362" s="406" t="e">
        <f ca="1">IF(Tableau1[[#This Row],[First Day to POL]]&lt;=Tableau1[[#This Row],[Day Cut Off]],Tableau1[[#This Row],[Day ETD]],Tableau1[[#This Row],[Day ETD]]+7)</f>
        <v>#N/A</v>
      </c>
      <c r="AF362" s="50" t="e">
        <f ca="1">VLOOKUP(Tableau1[[#This Row],[Key(ID-Actif)]],'DATA BTO'!A:N,9,FALSE)</f>
        <v>#N/A</v>
      </c>
      <c r="AG362" s="3" t="e">
        <f ca="1">VLOOKUP(Tableau1[[#This Row],[Key(ID-Actif)]],'DATA BTO'!A:N,10,FALSE)</f>
        <v>#N/A</v>
      </c>
      <c r="AH362" s="3" t="e">
        <f ca="1">VLOOKUP(Tableau1[[#This Row],[Key(ID-Actif)]],'DATA BTO'!A:N,11,FALSE)</f>
        <v>#N/A</v>
      </c>
      <c r="AI362" s="50" t="e">
        <f ca="1">VLOOKUP(Tableau1[[#This Row],[Key(ID-Actif)]],'DATA BTO'!A:N,12,FALSE)</f>
        <v>#N/A</v>
      </c>
      <c r="AJ362" s="53" t="e">
        <f ca="1">VLOOKUP(Tableau1[[#This Row],[Key(ID-Actif)]],'DATA BTO'!A:N,14,FALSE)</f>
        <v>#N/A</v>
      </c>
      <c r="AK362" s="54" t="e">
        <f ca="1">VLOOKUP(Tableau1[[#This Row],[Key(POD -PFI- Usine)]],'DATA Consignee'!A:F,6,FALSE)</f>
        <v>#N/A</v>
      </c>
      <c r="AL362" s="283"/>
      <c r="AM362" s="490" t="str">
        <f>IF(Tableau1[[#This Row],[Name PFI/CDD]]="","-",VLOOKUP(Tableau1[[#This Row],[Name PFI/CDD]],Plant_AILN!I:J,2,FALSE))</f>
        <v>-</v>
      </c>
      <c r="AN36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2" s="2" t="e">
        <f ca="1">VLOOKUP(Tableau1[[#This Row],[Key(POD -PFI- Usine)]],'DATA Consignee'!A:J,10,FALSE)</f>
        <v>#N/A</v>
      </c>
      <c r="AQ362" s="50" t="e">
        <f ca="1">VLOOKUP(Tableau1[[#This Row],[Key(POD -PFI- Usine)]],'DATA Consignee'!A:N,14,FALSE)</f>
        <v>#N/A</v>
      </c>
      <c r="AR36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2" s="50" t="e">
        <f ca="1">Tableau1[[#This Row],[Transit time]]+Tableau1[[#This Row],[Time for security]]+Tableau1[[#This Row],[Time for security2 buffer]]</f>
        <v>#N/A</v>
      </c>
      <c r="AU36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2" s="50" t="e">
        <f ca="1">Tableau1[[#This Row],[Leadtime SI2C]]+Tableau1[[#This Row],[First Receipt Days]]-Tableau1[[#This Row],[Day Customer Order]]+1</f>
        <v>#N/A</v>
      </c>
      <c r="AW362" s="117" t="e">
        <f ca="1">IF(Tableau1[[#This Row],[Name ILN]]&lt;&gt;"SFK Freight Forwarder",Tableau1[[#This Row],[Cust. Leadtime]],Tableau1[[#This Row],[Leadtime SI2C]])</f>
        <v>#N/A</v>
      </c>
      <c r="AX362" s="57" t="e">
        <f>VLOOKUP(Tableau1[[#This Row],[ID]],'DATA BTO'!B:P,15,FALSE)</f>
        <v>#N/A</v>
      </c>
      <c r="AY362" s="328" t="e">
        <f ca="1">IFERROR(VLOOKUP(Tableau1[[#This Row],[Key(ID-Actif)]],'DATA BTO'!A:N,4,FALSE),VLOOKUP(Tableau1[[#This Row],[ID]],'DATA BTO'!B:N,3,FALSE))</f>
        <v>#N/A</v>
      </c>
      <c r="AZ36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2" s="50"/>
    </row>
    <row r="363" spans="2:57">
      <c r="B363" s="405" t="str">
        <f>_xlfn.CONCAT(Tableau1[[#This Row],[Name ILN]],"-",Tableau1[[#This Row],[Name Shipper]],"-",Tableau1[[#This Row],[Name Site]])</f>
        <v>--</v>
      </c>
      <c r="C363" s="64" t="e">
        <f>_xlfn.CONCAT(Tableau1[[#This Row],[Compte ILN]],"-",Tableau1[[#This Row],[Compte Shipper]],"-",Tableau1[[#This Row],[POL]],"-",Tableau1[[#This Row],[Compte Consignee]])</f>
        <v>#N/A</v>
      </c>
      <c r="D363" s="64" t="e">
        <f>_xlfn.CONCAT(Tableau1[[#This Row],[Compte ILN]],"-",Tableau1[[#This Row],[Compte Shipper]],"-",Tableau1[[#This Row],[POL]])</f>
        <v>#N/A</v>
      </c>
      <c r="E363" s="128" t="e">
        <f ca="1">_xlfn.CONCAT(Tableau1[[#This Row],[POL]],"-",Tableau1[[#This Row],[Carrier]],"-",Tableau1[[#This Row],[POD]])</f>
        <v>#N/A</v>
      </c>
      <c r="F363" s="64" t="str">
        <f>_xlfn.CONCAT(Tableau1[[#This Row],[ID]],"-","Actif")</f>
        <v>-Actif</v>
      </c>
      <c r="G363" s="64" t="e">
        <f ca="1">_xlfn.CONCAT(Tableau1[[#This Row],[POD]],"-",Tableau1[[#This Row],[Code PFI]],"-",Tableau1[[#This Row],[Compte Consignee]])</f>
        <v>#N/A</v>
      </c>
      <c r="H36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3" s="117" t="str">
        <f ca="1">IF(COUNTIF(I:I,Tableau1[[#This Row],[Plant-ILN-shipper-POL-Carrier-POD-PFI]])=1,"Non","Oui")</f>
        <v>Oui</v>
      </c>
      <c r="K363" s="126" t="e">
        <f>VLOOKUP(Tableau1[[#This Row],[Name Site]],Plant_AILN!A:D,4,FALSE)</f>
        <v>#N/A</v>
      </c>
      <c r="L363" s="363"/>
      <c r="M363" s="492" t="e">
        <f>VLOOKUP(Tableau1[[#This Row],[Name Site]],Plant_AILN!A:C,3,FALSE)</f>
        <v>#N/A</v>
      </c>
      <c r="N363" s="55" t="e">
        <f>VLOOKUP(Tableau1[[#This Row],[Compte Consignee]],Order!C:D,2,FALSE)</f>
        <v>#N/A</v>
      </c>
      <c r="O363" s="122"/>
      <c r="P363" s="481" t="e">
        <f>VLOOKUP(Tableau1[[#This Row],[Name ILN]],Plant_AILN!F:G,2,FALSE)</f>
        <v>#N/A</v>
      </c>
      <c r="Q363" s="50" t="e">
        <f>VLOOKUP(Tableau1[[#This Row],[Compte ILN]],'DATA ILN'!D:I,6,FALSE)</f>
        <v>#N/A</v>
      </c>
      <c r="R363" s="50" t="e">
        <f>IFERROR(VLOOKUP(Tableau1[[#This Row],[Key(Compte ILN - shipper - POL - plant)]],'DATA ILN'!A:J,10,FALSE),VLOOKUP(Tableau1[[#This Row],[Key(Compte ILN - shipper - POL)]],'DATA ILN'!B:J,9,FALSE))</f>
        <v>#N/A</v>
      </c>
      <c r="S363" s="50" t="e">
        <f>IFERROR(VLOOKUP(Tableau1[[#This Row],[Key(Compte ILN - shipper - POL - plant)]],'DATA ILN'!A:K,11,FALSE),VLOOKUP(Tableau1[[#This Row],[Key(Compte ILN - shipper - POL)]],'DATA ILN'!B:K,10,FALSE))</f>
        <v>#N/A</v>
      </c>
      <c r="T363" s="50" t="e">
        <f>IFERROR(VLOOKUP(Tableau1[[#This Row],[Key(Compte ILN - shipper - POL - plant)]],'DATA ILN'!A:L,12,FALSE),VLOOKUP(Tableau1[[#This Row],[Key(Compte ILN - shipper - POL)]],'DATA ILN'!B:L,11,FALSE))</f>
        <v>#N/A</v>
      </c>
      <c r="U363" s="50" t="e">
        <f>Tableau1[[#This Row],[Day ILN Order]]+Tableau1[[#This Row],[Delivery time to ILN/Shipper]]-1</f>
        <v>#N/A</v>
      </c>
      <c r="V363" s="50" t="e">
        <f>IFERROR(VLOOKUP(Tableau1[[#This Row],[Key(Compte ILN - shipper - POL - plant)]],'DATA ILN'!A:N,14,FALSE),VLOOKUP(Tableau1[[#This Row],[Key(Compte ILN - shipper - POL)]],'DATA ILN'!B:N,13,FALSE))</f>
        <v>#N/A</v>
      </c>
      <c r="W363" s="50" t="e">
        <f>IFERROR(VLOOKUP(Tableau1[[#This Row],[Key(Compte ILN - shipper - POL - plant)]],'DATA ILN'!A:P,16,FALSE),VLOOKUP(Tableau1[[#This Row],[Key(Compte ILN - shipper - POL)]],'DATA ILN'!B:P,15,FALSE))</f>
        <v>#N/A</v>
      </c>
      <c r="X363" s="283"/>
      <c r="Y363" s="489">
        <f>IFERROR(VLOOKUP(Tableau1[[#This Row],[Name Shipper]],Plant_AILN!L:M,2,FALSE),0)</f>
        <v>0</v>
      </c>
      <c r="Z363" s="358"/>
      <c r="AA363" s="353" t="e">
        <f ca="1">VLOOKUP(Tableau1[[#This Row],[Key(ID-Actif)]],'DATA BTO'!A:N,5,FALSE)</f>
        <v>#N/A</v>
      </c>
      <c r="AB363" s="3" t="e">
        <f ca="1">VLOOKUP(Tableau1[[#This Row],[Key(ID-Actif)]],'DATA BTO'!A:N,6,FALSE)</f>
        <v>#N/A</v>
      </c>
      <c r="AC363" s="50" t="e">
        <f ca="1">VLOOKUP(Tableau1[[#This Row],[Key(ID-Actif)]],'DATA BTO'!A:N,7,FALSE)</f>
        <v>#N/A</v>
      </c>
      <c r="AD363" s="50" t="e">
        <f ca="1">VLOOKUP(Tableau1[[#This Row],[Key(ID-Actif)]],'DATA BTO'!A:N,8,FALSE)</f>
        <v>#N/A</v>
      </c>
      <c r="AE363" s="406" t="e">
        <f ca="1">IF(Tableau1[[#This Row],[First Day to POL]]&lt;=Tableau1[[#This Row],[Day Cut Off]],Tableau1[[#This Row],[Day ETD]],Tableau1[[#This Row],[Day ETD]]+7)</f>
        <v>#N/A</v>
      </c>
      <c r="AF363" s="50" t="e">
        <f ca="1">VLOOKUP(Tableau1[[#This Row],[Key(ID-Actif)]],'DATA BTO'!A:N,9,FALSE)</f>
        <v>#N/A</v>
      </c>
      <c r="AG363" s="3" t="e">
        <f ca="1">VLOOKUP(Tableau1[[#This Row],[Key(ID-Actif)]],'DATA BTO'!A:N,10,FALSE)</f>
        <v>#N/A</v>
      </c>
      <c r="AH363" s="3" t="e">
        <f ca="1">VLOOKUP(Tableau1[[#This Row],[Key(ID-Actif)]],'DATA BTO'!A:N,11,FALSE)</f>
        <v>#N/A</v>
      </c>
      <c r="AI363" s="50" t="e">
        <f ca="1">VLOOKUP(Tableau1[[#This Row],[Key(ID-Actif)]],'DATA BTO'!A:N,12,FALSE)</f>
        <v>#N/A</v>
      </c>
      <c r="AJ363" s="53" t="e">
        <f ca="1">VLOOKUP(Tableau1[[#This Row],[Key(ID-Actif)]],'DATA BTO'!A:N,14,FALSE)</f>
        <v>#N/A</v>
      </c>
      <c r="AK363" s="54" t="e">
        <f ca="1">VLOOKUP(Tableau1[[#This Row],[Key(POD -PFI- Usine)]],'DATA Consignee'!A:F,6,FALSE)</f>
        <v>#N/A</v>
      </c>
      <c r="AL363" s="283"/>
      <c r="AM363" s="490" t="str">
        <f>IF(Tableau1[[#This Row],[Name PFI/CDD]]="","-",VLOOKUP(Tableau1[[#This Row],[Name PFI/CDD]],Plant_AILN!I:J,2,FALSE))</f>
        <v>-</v>
      </c>
      <c r="AN36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3" s="2" t="e">
        <f ca="1">VLOOKUP(Tableau1[[#This Row],[Key(POD -PFI- Usine)]],'DATA Consignee'!A:J,10,FALSE)</f>
        <v>#N/A</v>
      </c>
      <c r="AQ363" s="50" t="e">
        <f ca="1">VLOOKUP(Tableau1[[#This Row],[Key(POD -PFI- Usine)]],'DATA Consignee'!A:N,14,FALSE)</f>
        <v>#N/A</v>
      </c>
      <c r="AR36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3" s="50" t="e">
        <f ca="1">Tableau1[[#This Row],[Transit time]]+Tableau1[[#This Row],[Time for security]]+Tableau1[[#This Row],[Time for security2 buffer]]</f>
        <v>#N/A</v>
      </c>
      <c r="AU36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3" s="50" t="e">
        <f ca="1">Tableau1[[#This Row],[Leadtime SI2C]]+Tableau1[[#This Row],[First Receipt Days]]-Tableau1[[#This Row],[Day Customer Order]]+1</f>
        <v>#N/A</v>
      </c>
      <c r="AW363" s="117" t="e">
        <f ca="1">IF(Tableau1[[#This Row],[Name ILN]]&lt;&gt;"SFK Freight Forwarder",Tableau1[[#This Row],[Cust. Leadtime]],Tableau1[[#This Row],[Leadtime SI2C]])</f>
        <v>#N/A</v>
      </c>
      <c r="AX363" s="57" t="e">
        <f>VLOOKUP(Tableau1[[#This Row],[ID]],'DATA BTO'!B:P,15,FALSE)</f>
        <v>#N/A</v>
      </c>
      <c r="AY363" s="328" t="e">
        <f ca="1">IFERROR(VLOOKUP(Tableau1[[#This Row],[Key(ID-Actif)]],'DATA BTO'!A:N,4,FALSE),VLOOKUP(Tableau1[[#This Row],[ID]],'DATA BTO'!B:N,3,FALSE))</f>
        <v>#N/A</v>
      </c>
      <c r="AZ36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3" s="50"/>
    </row>
    <row r="364" spans="2:57">
      <c r="B364" s="405" t="str">
        <f>_xlfn.CONCAT(Tableau1[[#This Row],[Name ILN]],"-",Tableau1[[#This Row],[Name Shipper]],"-",Tableau1[[#This Row],[Name Site]])</f>
        <v>--</v>
      </c>
      <c r="C364" s="64" t="e">
        <f>_xlfn.CONCAT(Tableau1[[#This Row],[Compte ILN]],"-",Tableau1[[#This Row],[Compte Shipper]],"-",Tableau1[[#This Row],[POL]],"-",Tableau1[[#This Row],[Compte Consignee]])</f>
        <v>#N/A</v>
      </c>
      <c r="D364" s="64" t="e">
        <f>_xlfn.CONCAT(Tableau1[[#This Row],[Compte ILN]],"-",Tableau1[[#This Row],[Compte Shipper]],"-",Tableau1[[#This Row],[POL]])</f>
        <v>#N/A</v>
      </c>
      <c r="E364" s="128" t="e">
        <f ca="1">_xlfn.CONCAT(Tableau1[[#This Row],[POL]],"-",Tableau1[[#This Row],[Carrier]],"-",Tableau1[[#This Row],[POD]])</f>
        <v>#N/A</v>
      </c>
      <c r="F364" s="64" t="str">
        <f>_xlfn.CONCAT(Tableau1[[#This Row],[ID]],"-","Actif")</f>
        <v>-Actif</v>
      </c>
      <c r="G364" s="64" t="e">
        <f ca="1">_xlfn.CONCAT(Tableau1[[#This Row],[POD]],"-",Tableau1[[#This Row],[Code PFI]],"-",Tableau1[[#This Row],[Compte Consignee]])</f>
        <v>#N/A</v>
      </c>
      <c r="H36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4" s="117" t="str">
        <f ca="1">IF(COUNTIF(I:I,Tableau1[[#This Row],[Plant-ILN-shipper-POL-Carrier-POD-PFI]])=1,"Non","Oui")</f>
        <v>Oui</v>
      </c>
      <c r="K364" s="126" t="e">
        <f>VLOOKUP(Tableau1[[#This Row],[Name Site]],Plant_AILN!A:D,4,FALSE)</f>
        <v>#N/A</v>
      </c>
      <c r="L364" s="363"/>
      <c r="M364" s="492" t="e">
        <f>VLOOKUP(Tableau1[[#This Row],[Name Site]],Plant_AILN!A:C,3,FALSE)</f>
        <v>#N/A</v>
      </c>
      <c r="N364" s="55" t="e">
        <f>VLOOKUP(Tableau1[[#This Row],[Compte Consignee]],Order!C:D,2,FALSE)</f>
        <v>#N/A</v>
      </c>
      <c r="O364" s="122"/>
      <c r="P364" s="481" t="e">
        <f>VLOOKUP(Tableau1[[#This Row],[Name ILN]],Plant_AILN!F:G,2,FALSE)</f>
        <v>#N/A</v>
      </c>
      <c r="Q364" s="50" t="e">
        <f>VLOOKUP(Tableau1[[#This Row],[Compte ILN]],'DATA ILN'!D:I,6,FALSE)</f>
        <v>#N/A</v>
      </c>
      <c r="R364" s="50" t="e">
        <f>IFERROR(VLOOKUP(Tableau1[[#This Row],[Key(Compte ILN - shipper - POL - plant)]],'DATA ILN'!A:J,10,FALSE),VLOOKUP(Tableau1[[#This Row],[Key(Compte ILN - shipper - POL)]],'DATA ILN'!B:J,9,FALSE))</f>
        <v>#N/A</v>
      </c>
      <c r="S364" s="50" t="e">
        <f>IFERROR(VLOOKUP(Tableau1[[#This Row],[Key(Compte ILN - shipper - POL - plant)]],'DATA ILN'!A:K,11,FALSE),VLOOKUP(Tableau1[[#This Row],[Key(Compte ILN - shipper - POL)]],'DATA ILN'!B:K,10,FALSE))</f>
        <v>#N/A</v>
      </c>
      <c r="T364" s="50" t="e">
        <f>IFERROR(VLOOKUP(Tableau1[[#This Row],[Key(Compte ILN - shipper - POL - plant)]],'DATA ILN'!A:L,12,FALSE),VLOOKUP(Tableau1[[#This Row],[Key(Compte ILN - shipper - POL)]],'DATA ILN'!B:L,11,FALSE))</f>
        <v>#N/A</v>
      </c>
      <c r="U364" s="50" t="e">
        <f>Tableau1[[#This Row],[Day ILN Order]]+Tableau1[[#This Row],[Delivery time to ILN/Shipper]]-1</f>
        <v>#N/A</v>
      </c>
      <c r="V364" s="50" t="e">
        <f>IFERROR(VLOOKUP(Tableau1[[#This Row],[Key(Compte ILN - shipper - POL - plant)]],'DATA ILN'!A:N,14,FALSE),VLOOKUP(Tableau1[[#This Row],[Key(Compte ILN - shipper - POL)]],'DATA ILN'!B:N,13,FALSE))</f>
        <v>#N/A</v>
      </c>
      <c r="W364" s="50" t="e">
        <f>IFERROR(VLOOKUP(Tableau1[[#This Row],[Key(Compte ILN - shipper - POL - plant)]],'DATA ILN'!A:P,16,FALSE),VLOOKUP(Tableau1[[#This Row],[Key(Compte ILN - shipper - POL)]],'DATA ILN'!B:P,15,FALSE))</f>
        <v>#N/A</v>
      </c>
      <c r="X364" s="283"/>
      <c r="Y364" s="489">
        <f>IFERROR(VLOOKUP(Tableau1[[#This Row],[Name Shipper]],Plant_AILN!L:M,2,FALSE),0)</f>
        <v>0</v>
      </c>
      <c r="Z364" s="358"/>
      <c r="AA364" s="353" t="e">
        <f ca="1">VLOOKUP(Tableau1[[#This Row],[Key(ID-Actif)]],'DATA BTO'!A:N,5,FALSE)</f>
        <v>#N/A</v>
      </c>
      <c r="AB364" s="3" t="e">
        <f ca="1">VLOOKUP(Tableau1[[#This Row],[Key(ID-Actif)]],'DATA BTO'!A:N,6,FALSE)</f>
        <v>#N/A</v>
      </c>
      <c r="AC364" s="50" t="e">
        <f ca="1">VLOOKUP(Tableau1[[#This Row],[Key(ID-Actif)]],'DATA BTO'!A:N,7,FALSE)</f>
        <v>#N/A</v>
      </c>
      <c r="AD364" s="50" t="e">
        <f ca="1">VLOOKUP(Tableau1[[#This Row],[Key(ID-Actif)]],'DATA BTO'!A:N,8,FALSE)</f>
        <v>#N/A</v>
      </c>
      <c r="AE364" s="406" t="e">
        <f ca="1">IF(Tableau1[[#This Row],[First Day to POL]]&lt;=Tableau1[[#This Row],[Day Cut Off]],Tableau1[[#This Row],[Day ETD]],Tableau1[[#This Row],[Day ETD]]+7)</f>
        <v>#N/A</v>
      </c>
      <c r="AF364" s="50" t="e">
        <f ca="1">VLOOKUP(Tableau1[[#This Row],[Key(ID-Actif)]],'DATA BTO'!A:N,9,FALSE)</f>
        <v>#N/A</v>
      </c>
      <c r="AG364" s="3" t="e">
        <f ca="1">VLOOKUP(Tableau1[[#This Row],[Key(ID-Actif)]],'DATA BTO'!A:N,10,FALSE)</f>
        <v>#N/A</v>
      </c>
      <c r="AH364" s="3" t="e">
        <f ca="1">VLOOKUP(Tableau1[[#This Row],[Key(ID-Actif)]],'DATA BTO'!A:N,11,FALSE)</f>
        <v>#N/A</v>
      </c>
      <c r="AI364" s="50" t="e">
        <f ca="1">VLOOKUP(Tableau1[[#This Row],[Key(ID-Actif)]],'DATA BTO'!A:N,12,FALSE)</f>
        <v>#N/A</v>
      </c>
      <c r="AJ364" s="53" t="e">
        <f ca="1">VLOOKUP(Tableau1[[#This Row],[Key(ID-Actif)]],'DATA BTO'!A:N,14,FALSE)</f>
        <v>#N/A</v>
      </c>
      <c r="AK364" s="54" t="e">
        <f ca="1">VLOOKUP(Tableau1[[#This Row],[Key(POD -PFI- Usine)]],'DATA Consignee'!A:F,6,FALSE)</f>
        <v>#N/A</v>
      </c>
      <c r="AL364" s="283"/>
      <c r="AM364" s="490" t="str">
        <f>IF(Tableau1[[#This Row],[Name PFI/CDD]]="","-",VLOOKUP(Tableau1[[#This Row],[Name PFI/CDD]],Plant_AILN!I:J,2,FALSE))</f>
        <v>-</v>
      </c>
      <c r="AN36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4" s="2" t="e">
        <f ca="1">VLOOKUP(Tableau1[[#This Row],[Key(POD -PFI- Usine)]],'DATA Consignee'!A:J,10,FALSE)</f>
        <v>#N/A</v>
      </c>
      <c r="AQ364" s="50" t="e">
        <f ca="1">VLOOKUP(Tableau1[[#This Row],[Key(POD -PFI- Usine)]],'DATA Consignee'!A:N,14,FALSE)</f>
        <v>#N/A</v>
      </c>
      <c r="AR36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4" s="50" t="e">
        <f ca="1">Tableau1[[#This Row],[Transit time]]+Tableau1[[#This Row],[Time for security]]+Tableau1[[#This Row],[Time for security2 buffer]]</f>
        <v>#N/A</v>
      </c>
      <c r="AU36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4" s="50" t="e">
        <f ca="1">Tableau1[[#This Row],[Leadtime SI2C]]+Tableau1[[#This Row],[First Receipt Days]]-Tableau1[[#This Row],[Day Customer Order]]+1</f>
        <v>#N/A</v>
      </c>
      <c r="AW364" s="117" t="e">
        <f ca="1">IF(Tableau1[[#This Row],[Name ILN]]&lt;&gt;"SFK Freight Forwarder",Tableau1[[#This Row],[Cust. Leadtime]],Tableau1[[#This Row],[Leadtime SI2C]])</f>
        <v>#N/A</v>
      </c>
      <c r="AX364" s="57" t="e">
        <f>VLOOKUP(Tableau1[[#This Row],[ID]],'DATA BTO'!B:P,15,FALSE)</f>
        <v>#N/A</v>
      </c>
      <c r="AY364" s="328" t="e">
        <f ca="1">IFERROR(VLOOKUP(Tableau1[[#This Row],[Key(ID-Actif)]],'DATA BTO'!A:N,4,FALSE),VLOOKUP(Tableau1[[#This Row],[ID]],'DATA BTO'!B:N,3,FALSE))</f>
        <v>#N/A</v>
      </c>
      <c r="AZ36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4" s="50"/>
    </row>
    <row r="365" spans="2:57">
      <c r="B365" s="405" t="str">
        <f>_xlfn.CONCAT(Tableau1[[#This Row],[Name ILN]],"-",Tableau1[[#This Row],[Name Shipper]],"-",Tableau1[[#This Row],[Name Site]])</f>
        <v>--</v>
      </c>
      <c r="C365" s="64" t="e">
        <f>_xlfn.CONCAT(Tableau1[[#This Row],[Compte ILN]],"-",Tableau1[[#This Row],[Compte Shipper]],"-",Tableau1[[#This Row],[POL]],"-",Tableau1[[#This Row],[Compte Consignee]])</f>
        <v>#N/A</v>
      </c>
      <c r="D365" s="64" t="e">
        <f>_xlfn.CONCAT(Tableau1[[#This Row],[Compte ILN]],"-",Tableau1[[#This Row],[Compte Shipper]],"-",Tableau1[[#This Row],[POL]])</f>
        <v>#N/A</v>
      </c>
      <c r="E365" s="128" t="e">
        <f ca="1">_xlfn.CONCAT(Tableau1[[#This Row],[POL]],"-",Tableau1[[#This Row],[Carrier]],"-",Tableau1[[#This Row],[POD]])</f>
        <v>#N/A</v>
      </c>
      <c r="F365" s="64" t="str">
        <f>_xlfn.CONCAT(Tableau1[[#This Row],[ID]],"-","Actif")</f>
        <v>-Actif</v>
      </c>
      <c r="G365" s="64" t="e">
        <f ca="1">_xlfn.CONCAT(Tableau1[[#This Row],[POD]],"-",Tableau1[[#This Row],[Code PFI]],"-",Tableau1[[#This Row],[Compte Consignee]])</f>
        <v>#N/A</v>
      </c>
      <c r="H36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5" s="117" t="str">
        <f ca="1">IF(COUNTIF(I:I,Tableau1[[#This Row],[Plant-ILN-shipper-POL-Carrier-POD-PFI]])=1,"Non","Oui")</f>
        <v>Oui</v>
      </c>
      <c r="K365" s="126" t="e">
        <f>VLOOKUP(Tableau1[[#This Row],[Name Site]],Plant_AILN!A:D,4,FALSE)</f>
        <v>#N/A</v>
      </c>
      <c r="L365" s="363"/>
      <c r="M365" s="492" t="e">
        <f>VLOOKUP(Tableau1[[#This Row],[Name Site]],Plant_AILN!A:C,3,FALSE)</f>
        <v>#N/A</v>
      </c>
      <c r="N365" s="55" t="e">
        <f>VLOOKUP(Tableau1[[#This Row],[Compte Consignee]],Order!C:D,2,FALSE)</f>
        <v>#N/A</v>
      </c>
      <c r="O365" s="122"/>
      <c r="P365" s="481" t="e">
        <f>VLOOKUP(Tableau1[[#This Row],[Name ILN]],Plant_AILN!F:G,2,FALSE)</f>
        <v>#N/A</v>
      </c>
      <c r="Q365" s="50" t="e">
        <f>VLOOKUP(Tableau1[[#This Row],[Compte ILN]],'DATA ILN'!D:I,6,FALSE)</f>
        <v>#N/A</v>
      </c>
      <c r="R365" s="50" t="e">
        <f>IFERROR(VLOOKUP(Tableau1[[#This Row],[Key(Compte ILN - shipper - POL - plant)]],'DATA ILN'!A:J,10,FALSE),VLOOKUP(Tableau1[[#This Row],[Key(Compte ILN - shipper - POL)]],'DATA ILN'!B:J,9,FALSE))</f>
        <v>#N/A</v>
      </c>
      <c r="S365" s="50" t="e">
        <f>IFERROR(VLOOKUP(Tableau1[[#This Row],[Key(Compte ILN - shipper - POL - plant)]],'DATA ILN'!A:K,11,FALSE),VLOOKUP(Tableau1[[#This Row],[Key(Compte ILN - shipper - POL)]],'DATA ILN'!B:K,10,FALSE))</f>
        <v>#N/A</v>
      </c>
      <c r="T365" s="50" t="e">
        <f>IFERROR(VLOOKUP(Tableau1[[#This Row],[Key(Compte ILN - shipper - POL - plant)]],'DATA ILN'!A:L,12,FALSE),VLOOKUP(Tableau1[[#This Row],[Key(Compte ILN - shipper - POL)]],'DATA ILN'!B:L,11,FALSE))</f>
        <v>#N/A</v>
      </c>
      <c r="U365" s="50" t="e">
        <f>Tableau1[[#This Row],[Day ILN Order]]+Tableau1[[#This Row],[Delivery time to ILN/Shipper]]-1</f>
        <v>#N/A</v>
      </c>
      <c r="V365" s="50" t="e">
        <f>IFERROR(VLOOKUP(Tableau1[[#This Row],[Key(Compte ILN - shipper - POL - plant)]],'DATA ILN'!A:N,14,FALSE),VLOOKUP(Tableau1[[#This Row],[Key(Compte ILN - shipper - POL)]],'DATA ILN'!B:N,13,FALSE))</f>
        <v>#N/A</v>
      </c>
      <c r="W365" s="50" t="e">
        <f>IFERROR(VLOOKUP(Tableau1[[#This Row],[Key(Compte ILN - shipper - POL - plant)]],'DATA ILN'!A:P,16,FALSE),VLOOKUP(Tableau1[[#This Row],[Key(Compte ILN - shipper - POL)]],'DATA ILN'!B:P,15,FALSE))</f>
        <v>#N/A</v>
      </c>
      <c r="X365" s="283"/>
      <c r="Y365" s="489">
        <f>IFERROR(VLOOKUP(Tableau1[[#This Row],[Name Shipper]],Plant_AILN!L:M,2,FALSE),0)</f>
        <v>0</v>
      </c>
      <c r="Z365" s="358"/>
      <c r="AA365" s="353" t="e">
        <f ca="1">VLOOKUP(Tableau1[[#This Row],[Key(ID-Actif)]],'DATA BTO'!A:N,5,FALSE)</f>
        <v>#N/A</v>
      </c>
      <c r="AB365" s="3" t="e">
        <f ca="1">VLOOKUP(Tableau1[[#This Row],[Key(ID-Actif)]],'DATA BTO'!A:N,6,FALSE)</f>
        <v>#N/A</v>
      </c>
      <c r="AC365" s="50" t="e">
        <f ca="1">VLOOKUP(Tableau1[[#This Row],[Key(ID-Actif)]],'DATA BTO'!A:N,7,FALSE)</f>
        <v>#N/A</v>
      </c>
      <c r="AD365" s="50" t="e">
        <f ca="1">VLOOKUP(Tableau1[[#This Row],[Key(ID-Actif)]],'DATA BTO'!A:N,8,FALSE)</f>
        <v>#N/A</v>
      </c>
      <c r="AE365" s="406" t="e">
        <f ca="1">IF(Tableau1[[#This Row],[First Day to POL]]&lt;=Tableau1[[#This Row],[Day Cut Off]],Tableau1[[#This Row],[Day ETD]],Tableau1[[#This Row],[Day ETD]]+7)</f>
        <v>#N/A</v>
      </c>
      <c r="AF365" s="50" t="e">
        <f ca="1">VLOOKUP(Tableau1[[#This Row],[Key(ID-Actif)]],'DATA BTO'!A:N,9,FALSE)</f>
        <v>#N/A</v>
      </c>
      <c r="AG365" s="3" t="e">
        <f ca="1">VLOOKUP(Tableau1[[#This Row],[Key(ID-Actif)]],'DATA BTO'!A:N,10,FALSE)</f>
        <v>#N/A</v>
      </c>
      <c r="AH365" s="3" t="e">
        <f ca="1">VLOOKUP(Tableau1[[#This Row],[Key(ID-Actif)]],'DATA BTO'!A:N,11,FALSE)</f>
        <v>#N/A</v>
      </c>
      <c r="AI365" s="50" t="e">
        <f ca="1">VLOOKUP(Tableau1[[#This Row],[Key(ID-Actif)]],'DATA BTO'!A:N,12,FALSE)</f>
        <v>#N/A</v>
      </c>
      <c r="AJ365" s="53" t="e">
        <f ca="1">VLOOKUP(Tableau1[[#This Row],[Key(ID-Actif)]],'DATA BTO'!A:N,14,FALSE)</f>
        <v>#N/A</v>
      </c>
      <c r="AK365" s="54" t="e">
        <f ca="1">VLOOKUP(Tableau1[[#This Row],[Key(POD -PFI- Usine)]],'DATA Consignee'!A:F,6,FALSE)</f>
        <v>#N/A</v>
      </c>
      <c r="AL365" s="283"/>
      <c r="AM365" s="490" t="str">
        <f>IF(Tableau1[[#This Row],[Name PFI/CDD]]="","-",VLOOKUP(Tableau1[[#This Row],[Name PFI/CDD]],Plant_AILN!I:J,2,FALSE))</f>
        <v>-</v>
      </c>
      <c r="AN36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5" s="2" t="e">
        <f ca="1">VLOOKUP(Tableau1[[#This Row],[Key(POD -PFI- Usine)]],'DATA Consignee'!A:J,10,FALSE)</f>
        <v>#N/A</v>
      </c>
      <c r="AQ365" s="50" t="e">
        <f ca="1">VLOOKUP(Tableau1[[#This Row],[Key(POD -PFI- Usine)]],'DATA Consignee'!A:N,14,FALSE)</f>
        <v>#N/A</v>
      </c>
      <c r="AR36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5" s="50" t="e">
        <f ca="1">Tableau1[[#This Row],[Transit time]]+Tableau1[[#This Row],[Time for security]]+Tableau1[[#This Row],[Time for security2 buffer]]</f>
        <v>#N/A</v>
      </c>
      <c r="AU36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5" s="50" t="e">
        <f ca="1">Tableau1[[#This Row],[Leadtime SI2C]]+Tableau1[[#This Row],[First Receipt Days]]-Tableau1[[#This Row],[Day Customer Order]]+1</f>
        <v>#N/A</v>
      </c>
      <c r="AW365" s="117" t="e">
        <f ca="1">IF(Tableau1[[#This Row],[Name ILN]]&lt;&gt;"SFK Freight Forwarder",Tableau1[[#This Row],[Cust. Leadtime]],Tableau1[[#This Row],[Leadtime SI2C]])</f>
        <v>#N/A</v>
      </c>
      <c r="AX365" s="57" t="e">
        <f>VLOOKUP(Tableau1[[#This Row],[ID]],'DATA BTO'!B:P,15,FALSE)</f>
        <v>#N/A</v>
      </c>
      <c r="AY365" s="328" t="e">
        <f ca="1">IFERROR(VLOOKUP(Tableau1[[#This Row],[Key(ID-Actif)]],'DATA BTO'!A:N,4,FALSE),VLOOKUP(Tableau1[[#This Row],[ID]],'DATA BTO'!B:N,3,FALSE))</f>
        <v>#N/A</v>
      </c>
      <c r="AZ36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5" s="50"/>
    </row>
    <row r="366" spans="2:57">
      <c r="B366" s="405" t="str">
        <f>_xlfn.CONCAT(Tableau1[[#This Row],[Name ILN]],"-",Tableau1[[#This Row],[Name Shipper]],"-",Tableau1[[#This Row],[Name Site]])</f>
        <v>--</v>
      </c>
      <c r="C366" s="64" t="e">
        <f>_xlfn.CONCAT(Tableau1[[#This Row],[Compte ILN]],"-",Tableau1[[#This Row],[Compte Shipper]],"-",Tableau1[[#This Row],[POL]],"-",Tableau1[[#This Row],[Compte Consignee]])</f>
        <v>#N/A</v>
      </c>
      <c r="D366" s="64" t="e">
        <f>_xlfn.CONCAT(Tableau1[[#This Row],[Compte ILN]],"-",Tableau1[[#This Row],[Compte Shipper]],"-",Tableau1[[#This Row],[POL]])</f>
        <v>#N/A</v>
      </c>
      <c r="E366" s="128" t="e">
        <f ca="1">_xlfn.CONCAT(Tableau1[[#This Row],[POL]],"-",Tableau1[[#This Row],[Carrier]],"-",Tableau1[[#This Row],[POD]])</f>
        <v>#N/A</v>
      </c>
      <c r="F366" s="64" t="str">
        <f>_xlfn.CONCAT(Tableau1[[#This Row],[ID]],"-","Actif")</f>
        <v>-Actif</v>
      </c>
      <c r="G366" s="64" t="e">
        <f ca="1">_xlfn.CONCAT(Tableau1[[#This Row],[POD]],"-",Tableau1[[#This Row],[Code PFI]],"-",Tableau1[[#This Row],[Compte Consignee]])</f>
        <v>#N/A</v>
      </c>
      <c r="H36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6" s="117" t="str">
        <f ca="1">IF(COUNTIF(I:I,Tableau1[[#This Row],[Plant-ILN-shipper-POL-Carrier-POD-PFI]])=1,"Non","Oui")</f>
        <v>Oui</v>
      </c>
      <c r="K366" s="126" t="e">
        <f>VLOOKUP(Tableau1[[#This Row],[Name Site]],Plant_AILN!A:D,4,FALSE)</f>
        <v>#N/A</v>
      </c>
      <c r="L366" s="363"/>
      <c r="M366" s="492" t="e">
        <f>VLOOKUP(Tableau1[[#This Row],[Name Site]],Plant_AILN!A:C,3,FALSE)</f>
        <v>#N/A</v>
      </c>
      <c r="N366" s="55" t="e">
        <f>VLOOKUP(Tableau1[[#This Row],[Compte Consignee]],Order!C:D,2,FALSE)</f>
        <v>#N/A</v>
      </c>
      <c r="O366" s="122"/>
      <c r="P366" s="481" t="e">
        <f>VLOOKUP(Tableau1[[#This Row],[Name ILN]],Plant_AILN!F:G,2,FALSE)</f>
        <v>#N/A</v>
      </c>
      <c r="Q366" s="50" t="e">
        <f>VLOOKUP(Tableau1[[#This Row],[Compte ILN]],'DATA ILN'!D:I,6,FALSE)</f>
        <v>#N/A</v>
      </c>
      <c r="R366" s="50" t="e">
        <f>IFERROR(VLOOKUP(Tableau1[[#This Row],[Key(Compte ILN - shipper - POL - plant)]],'DATA ILN'!A:J,10,FALSE),VLOOKUP(Tableau1[[#This Row],[Key(Compte ILN - shipper - POL)]],'DATA ILN'!B:J,9,FALSE))</f>
        <v>#N/A</v>
      </c>
      <c r="S366" s="50" t="e">
        <f>IFERROR(VLOOKUP(Tableau1[[#This Row],[Key(Compte ILN - shipper - POL - plant)]],'DATA ILN'!A:K,11,FALSE),VLOOKUP(Tableau1[[#This Row],[Key(Compte ILN - shipper - POL)]],'DATA ILN'!B:K,10,FALSE))</f>
        <v>#N/A</v>
      </c>
      <c r="T366" s="50" t="e">
        <f>IFERROR(VLOOKUP(Tableau1[[#This Row],[Key(Compte ILN - shipper - POL - plant)]],'DATA ILN'!A:L,12,FALSE),VLOOKUP(Tableau1[[#This Row],[Key(Compte ILN - shipper - POL)]],'DATA ILN'!B:L,11,FALSE))</f>
        <v>#N/A</v>
      </c>
      <c r="U366" s="50" t="e">
        <f>Tableau1[[#This Row],[Day ILN Order]]+Tableau1[[#This Row],[Delivery time to ILN/Shipper]]-1</f>
        <v>#N/A</v>
      </c>
      <c r="V366" s="50" t="e">
        <f>IFERROR(VLOOKUP(Tableau1[[#This Row],[Key(Compte ILN - shipper - POL - plant)]],'DATA ILN'!A:N,14,FALSE),VLOOKUP(Tableau1[[#This Row],[Key(Compte ILN - shipper - POL)]],'DATA ILN'!B:N,13,FALSE))</f>
        <v>#N/A</v>
      </c>
      <c r="W366" s="50" t="e">
        <f>IFERROR(VLOOKUP(Tableau1[[#This Row],[Key(Compte ILN - shipper - POL - plant)]],'DATA ILN'!A:P,16,FALSE),VLOOKUP(Tableau1[[#This Row],[Key(Compte ILN - shipper - POL)]],'DATA ILN'!B:P,15,FALSE))</f>
        <v>#N/A</v>
      </c>
      <c r="X366" s="283"/>
      <c r="Y366" s="489">
        <f>IFERROR(VLOOKUP(Tableau1[[#This Row],[Name Shipper]],Plant_AILN!L:M,2,FALSE),0)</f>
        <v>0</v>
      </c>
      <c r="Z366" s="358"/>
      <c r="AA366" s="353" t="e">
        <f ca="1">VLOOKUP(Tableau1[[#This Row],[Key(ID-Actif)]],'DATA BTO'!A:N,5,FALSE)</f>
        <v>#N/A</v>
      </c>
      <c r="AB366" s="3" t="e">
        <f ca="1">VLOOKUP(Tableau1[[#This Row],[Key(ID-Actif)]],'DATA BTO'!A:N,6,FALSE)</f>
        <v>#N/A</v>
      </c>
      <c r="AC366" s="50" t="e">
        <f ca="1">VLOOKUP(Tableau1[[#This Row],[Key(ID-Actif)]],'DATA BTO'!A:N,7,FALSE)</f>
        <v>#N/A</v>
      </c>
      <c r="AD366" s="50" t="e">
        <f ca="1">VLOOKUP(Tableau1[[#This Row],[Key(ID-Actif)]],'DATA BTO'!A:N,8,FALSE)</f>
        <v>#N/A</v>
      </c>
      <c r="AE366" s="406" t="e">
        <f ca="1">IF(Tableau1[[#This Row],[First Day to POL]]&lt;=Tableau1[[#This Row],[Day Cut Off]],Tableau1[[#This Row],[Day ETD]],Tableau1[[#This Row],[Day ETD]]+7)</f>
        <v>#N/A</v>
      </c>
      <c r="AF366" s="50" t="e">
        <f ca="1">VLOOKUP(Tableau1[[#This Row],[Key(ID-Actif)]],'DATA BTO'!A:N,9,FALSE)</f>
        <v>#N/A</v>
      </c>
      <c r="AG366" s="3" t="e">
        <f ca="1">VLOOKUP(Tableau1[[#This Row],[Key(ID-Actif)]],'DATA BTO'!A:N,10,FALSE)</f>
        <v>#N/A</v>
      </c>
      <c r="AH366" s="3" t="e">
        <f ca="1">VLOOKUP(Tableau1[[#This Row],[Key(ID-Actif)]],'DATA BTO'!A:N,11,FALSE)</f>
        <v>#N/A</v>
      </c>
      <c r="AI366" s="50" t="e">
        <f ca="1">VLOOKUP(Tableau1[[#This Row],[Key(ID-Actif)]],'DATA BTO'!A:N,12,FALSE)</f>
        <v>#N/A</v>
      </c>
      <c r="AJ366" s="53" t="e">
        <f ca="1">VLOOKUP(Tableau1[[#This Row],[Key(ID-Actif)]],'DATA BTO'!A:N,14,FALSE)</f>
        <v>#N/A</v>
      </c>
      <c r="AK366" s="54" t="e">
        <f ca="1">VLOOKUP(Tableau1[[#This Row],[Key(POD -PFI- Usine)]],'DATA Consignee'!A:F,6,FALSE)</f>
        <v>#N/A</v>
      </c>
      <c r="AL366" s="283"/>
      <c r="AM366" s="490" t="str">
        <f>IF(Tableau1[[#This Row],[Name PFI/CDD]]="","-",VLOOKUP(Tableau1[[#This Row],[Name PFI/CDD]],Plant_AILN!I:J,2,FALSE))</f>
        <v>-</v>
      </c>
      <c r="AN36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6" s="2" t="e">
        <f ca="1">VLOOKUP(Tableau1[[#This Row],[Key(POD -PFI- Usine)]],'DATA Consignee'!A:J,10,FALSE)</f>
        <v>#N/A</v>
      </c>
      <c r="AQ366" s="50" t="e">
        <f ca="1">VLOOKUP(Tableau1[[#This Row],[Key(POD -PFI- Usine)]],'DATA Consignee'!A:N,14,FALSE)</f>
        <v>#N/A</v>
      </c>
      <c r="AR36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6" s="50" t="e">
        <f ca="1">Tableau1[[#This Row],[Transit time]]+Tableau1[[#This Row],[Time for security]]+Tableau1[[#This Row],[Time for security2 buffer]]</f>
        <v>#N/A</v>
      </c>
      <c r="AU36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6" s="50" t="e">
        <f ca="1">Tableau1[[#This Row],[Leadtime SI2C]]+Tableau1[[#This Row],[First Receipt Days]]-Tableau1[[#This Row],[Day Customer Order]]+1</f>
        <v>#N/A</v>
      </c>
      <c r="AW366" s="117" t="e">
        <f ca="1">IF(Tableau1[[#This Row],[Name ILN]]&lt;&gt;"SFK Freight Forwarder",Tableau1[[#This Row],[Cust. Leadtime]],Tableau1[[#This Row],[Leadtime SI2C]])</f>
        <v>#N/A</v>
      </c>
      <c r="AX366" s="57" t="e">
        <f>VLOOKUP(Tableau1[[#This Row],[ID]],'DATA BTO'!B:P,15,FALSE)</f>
        <v>#N/A</v>
      </c>
      <c r="AY366" s="328" t="e">
        <f ca="1">IFERROR(VLOOKUP(Tableau1[[#This Row],[Key(ID-Actif)]],'DATA BTO'!A:N,4,FALSE),VLOOKUP(Tableau1[[#This Row],[ID]],'DATA BTO'!B:N,3,FALSE))</f>
        <v>#N/A</v>
      </c>
      <c r="AZ36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6" s="50"/>
    </row>
    <row r="367" spans="2:57">
      <c r="B367" s="405" t="str">
        <f>_xlfn.CONCAT(Tableau1[[#This Row],[Name ILN]],"-",Tableau1[[#This Row],[Name Shipper]],"-",Tableau1[[#This Row],[Name Site]])</f>
        <v>--</v>
      </c>
      <c r="C367" s="64" t="e">
        <f>_xlfn.CONCAT(Tableau1[[#This Row],[Compte ILN]],"-",Tableau1[[#This Row],[Compte Shipper]],"-",Tableau1[[#This Row],[POL]],"-",Tableau1[[#This Row],[Compte Consignee]])</f>
        <v>#N/A</v>
      </c>
      <c r="D367" s="64" t="e">
        <f>_xlfn.CONCAT(Tableau1[[#This Row],[Compte ILN]],"-",Tableau1[[#This Row],[Compte Shipper]],"-",Tableau1[[#This Row],[POL]])</f>
        <v>#N/A</v>
      </c>
      <c r="E367" s="128" t="e">
        <f ca="1">_xlfn.CONCAT(Tableau1[[#This Row],[POL]],"-",Tableau1[[#This Row],[Carrier]],"-",Tableau1[[#This Row],[POD]])</f>
        <v>#N/A</v>
      </c>
      <c r="F367" s="64" t="str">
        <f>_xlfn.CONCAT(Tableau1[[#This Row],[ID]],"-","Actif")</f>
        <v>-Actif</v>
      </c>
      <c r="G367" s="64" t="e">
        <f ca="1">_xlfn.CONCAT(Tableau1[[#This Row],[POD]],"-",Tableau1[[#This Row],[Code PFI]],"-",Tableau1[[#This Row],[Compte Consignee]])</f>
        <v>#N/A</v>
      </c>
      <c r="H36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7" s="117" t="str">
        <f ca="1">IF(COUNTIF(I:I,Tableau1[[#This Row],[Plant-ILN-shipper-POL-Carrier-POD-PFI]])=1,"Non","Oui")</f>
        <v>Oui</v>
      </c>
      <c r="K367" s="126" t="e">
        <f>VLOOKUP(Tableau1[[#This Row],[Name Site]],Plant_AILN!A:D,4,FALSE)</f>
        <v>#N/A</v>
      </c>
      <c r="L367" s="363"/>
      <c r="M367" s="492" t="e">
        <f>VLOOKUP(Tableau1[[#This Row],[Name Site]],Plant_AILN!A:C,3,FALSE)</f>
        <v>#N/A</v>
      </c>
      <c r="N367" s="55" t="e">
        <f>VLOOKUP(Tableau1[[#This Row],[Compte Consignee]],Order!C:D,2,FALSE)</f>
        <v>#N/A</v>
      </c>
      <c r="O367" s="122"/>
      <c r="P367" s="481" t="e">
        <f>VLOOKUP(Tableau1[[#This Row],[Name ILN]],Plant_AILN!F:G,2,FALSE)</f>
        <v>#N/A</v>
      </c>
      <c r="Q367" s="50" t="e">
        <f>VLOOKUP(Tableau1[[#This Row],[Compte ILN]],'DATA ILN'!D:I,6,FALSE)</f>
        <v>#N/A</v>
      </c>
      <c r="R367" s="50" t="e">
        <f>IFERROR(VLOOKUP(Tableau1[[#This Row],[Key(Compte ILN - shipper - POL - plant)]],'DATA ILN'!A:J,10,FALSE),VLOOKUP(Tableau1[[#This Row],[Key(Compte ILN - shipper - POL)]],'DATA ILN'!B:J,9,FALSE))</f>
        <v>#N/A</v>
      </c>
      <c r="S367" s="50" t="e">
        <f>IFERROR(VLOOKUP(Tableau1[[#This Row],[Key(Compte ILN - shipper - POL - plant)]],'DATA ILN'!A:K,11,FALSE),VLOOKUP(Tableau1[[#This Row],[Key(Compte ILN - shipper - POL)]],'DATA ILN'!B:K,10,FALSE))</f>
        <v>#N/A</v>
      </c>
      <c r="T367" s="50" t="e">
        <f>IFERROR(VLOOKUP(Tableau1[[#This Row],[Key(Compte ILN - shipper - POL - plant)]],'DATA ILN'!A:L,12,FALSE),VLOOKUP(Tableau1[[#This Row],[Key(Compte ILN - shipper - POL)]],'DATA ILN'!B:L,11,FALSE))</f>
        <v>#N/A</v>
      </c>
      <c r="U367" s="50" t="e">
        <f>Tableau1[[#This Row],[Day ILN Order]]+Tableau1[[#This Row],[Delivery time to ILN/Shipper]]-1</f>
        <v>#N/A</v>
      </c>
      <c r="V367" s="50" t="e">
        <f>IFERROR(VLOOKUP(Tableau1[[#This Row],[Key(Compte ILN - shipper - POL - plant)]],'DATA ILN'!A:N,14,FALSE),VLOOKUP(Tableau1[[#This Row],[Key(Compte ILN - shipper - POL)]],'DATA ILN'!B:N,13,FALSE))</f>
        <v>#N/A</v>
      </c>
      <c r="W367" s="50" t="e">
        <f>IFERROR(VLOOKUP(Tableau1[[#This Row],[Key(Compte ILN - shipper - POL - plant)]],'DATA ILN'!A:P,16,FALSE),VLOOKUP(Tableau1[[#This Row],[Key(Compte ILN - shipper - POL)]],'DATA ILN'!B:P,15,FALSE))</f>
        <v>#N/A</v>
      </c>
      <c r="X367" s="283"/>
      <c r="Y367" s="489">
        <f>IFERROR(VLOOKUP(Tableau1[[#This Row],[Name Shipper]],Plant_AILN!L:M,2,FALSE),0)</f>
        <v>0</v>
      </c>
      <c r="Z367" s="358"/>
      <c r="AA367" s="353" t="e">
        <f ca="1">VLOOKUP(Tableau1[[#This Row],[Key(ID-Actif)]],'DATA BTO'!A:N,5,FALSE)</f>
        <v>#N/A</v>
      </c>
      <c r="AB367" s="3" t="e">
        <f ca="1">VLOOKUP(Tableau1[[#This Row],[Key(ID-Actif)]],'DATA BTO'!A:N,6,FALSE)</f>
        <v>#N/A</v>
      </c>
      <c r="AC367" s="50" t="e">
        <f ca="1">VLOOKUP(Tableau1[[#This Row],[Key(ID-Actif)]],'DATA BTO'!A:N,7,FALSE)</f>
        <v>#N/A</v>
      </c>
      <c r="AD367" s="50" t="e">
        <f ca="1">VLOOKUP(Tableau1[[#This Row],[Key(ID-Actif)]],'DATA BTO'!A:N,8,FALSE)</f>
        <v>#N/A</v>
      </c>
      <c r="AE367" s="406" t="e">
        <f ca="1">IF(Tableau1[[#This Row],[First Day to POL]]&lt;=Tableau1[[#This Row],[Day Cut Off]],Tableau1[[#This Row],[Day ETD]],Tableau1[[#This Row],[Day ETD]]+7)</f>
        <v>#N/A</v>
      </c>
      <c r="AF367" s="50" t="e">
        <f ca="1">VLOOKUP(Tableau1[[#This Row],[Key(ID-Actif)]],'DATA BTO'!A:N,9,FALSE)</f>
        <v>#N/A</v>
      </c>
      <c r="AG367" s="3" t="e">
        <f ca="1">VLOOKUP(Tableau1[[#This Row],[Key(ID-Actif)]],'DATA BTO'!A:N,10,FALSE)</f>
        <v>#N/A</v>
      </c>
      <c r="AH367" s="3" t="e">
        <f ca="1">VLOOKUP(Tableau1[[#This Row],[Key(ID-Actif)]],'DATA BTO'!A:N,11,FALSE)</f>
        <v>#N/A</v>
      </c>
      <c r="AI367" s="50" t="e">
        <f ca="1">VLOOKUP(Tableau1[[#This Row],[Key(ID-Actif)]],'DATA BTO'!A:N,12,FALSE)</f>
        <v>#N/A</v>
      </c>
      <c r="AJ367" s="53" t="e">
        <f ca="1">VLOOKUP(Tableau1[[#This Row],[Key(ID-Actif)]],'DATA BTO'!A:N,14,FALSE)</f>
        <v>#N/A</v>
      </c>
      <c r="AK367" s="54" t="e">
        <f ca="1">VLOOKUP(Tableau1[[#This Row],[Key(POD -PFI- Usine)]],'DATA Consignee'!A:F,6,FALSE)</f>
        <v>#N/A</v>
      </c>
      <c r="AL367" s="283"/>
      <c r="AM367" s="490" t="str">
        <f>IF(Tableau1[[#This Row],[Name PFI/CDD]]="","-",VLOOKUP(Tableau1[[#This Row],[Name PFI/CDD]],Plant_AILN!I:J,2,FALSE))</f>
        <v>-</v>
      </c>
      <c r="AN36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7" s="2" t="e">
        <f ca="1">VLOOKUP(Tableau1[[#This Row],[Key(POD -PFI- Usine)]],'DATA Consignee'!A:J,10,FALSE)</f>
        <v>#N/A</v>
      </c>
      <c r="AQ367" s="50" t="e">
        <f ca="1">VLOOKUP(Tableau1[[#This Row],[Key(POD -PFI- Usine)]],'DATA Consignee'!A:N,14,FALSE)</f>
        <v>#N/A</v>
      </c>
      <c r="AR36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7" s="50" t="e">
        <f ca="1">Tableau1[[#This Row],[Transit time]]+Tableau1[[#This Row],[Time for security]]+Tableau1[[#This Row],[Time for security2 buffer]]</f>
        <v>#N/A</v>
      </c>
      <c r="AU36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7" s="50" t="e">
        <f ca="1">Tableau1[[#This Row],[Leadtime SI2C]]+Tableau1[[#This Row],[First Receipt Days]]-Tableau1[[#This Row],[Day Customer Order]]+1</f>
        <v>#N/A</v>
      </c>
      <c r="AW367" s="117" t="e">
        <f ca="1">IF(Tableau1[[#This Row],[Name ILN]]&lt;&gt;"SFK Freight Forwarder",Tableau1[[#This Row],[Cust. Leadtime]],Tableau1[[#This Row],[Leadtime SI2C]])</f>
        <v>#N/A</v>
      </c>
      <c r="AX367" s="57" t="e">
        <f>VLOOKUP(Tableau1[[#This Row],[ID]],'DATA BTO'!B:P,15,FALSE)</f>
        <v>#N/A</v>
      </c>
      <c r="AY367" s="328" t="e">
        <f ca="1">IFERROR(VLOOKUP(Tableau1[[#This Row],[Key(ID-Actif)]],'DATA BTO'!A:N,4,FALSE),VLOOKUP(Tableau1[[#This Row],[ID]],'DATA BTO'!B:N,3,FALSE))</f>
        <v>#N/A</v>
      </c>
      <c r="AZ36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7" s="50"/>
    </row>
    <row r="368" spans="2:57">
      <c r="B368" s="405" t="str">
        <f>_xlfn.CONCAT(Tableau1[[#This Row],[Name ILN]],"-",Tableau1[[#This Row],[Name Shipper]],"-",Tableau1[[#This Row],[Name Site]])</f>
        <v>--</v>
      </c>
      <c r="C368" s="64" t="e">
        <f>_xlfn.CONCAT(Tableau1[[#This Row],[Compte ILN]],"-",Tableau1[[#This Row],[Compte Shipper]],"-",Tableau1[[#This Row],[POL]],"-",Tableau1[[#This Row],[Compte Consignee]])</f>
        <v>#N/A</v>
      </c>
      <c r="D368" s="64" t="e">
        <f>_xlfn.CONCAT(Tableau1[[#This Row],[Compte ILN]],"-",Tableau1[[#This Row],[Compte Shipper]],"-",Tableau1[[#This Row],[POL]])</f>
        <v>#N/A</v>
      </c>
      <c r="E368" s="128" t="e">
        <f ca="1">_xlfn.CONCAT(Tableau1[[#This Row],[POL]],"-",Tableau1[[#This Row],[Carrier]],"-",Tableau1[[#This Row],[POD]])</f>
        <v>#N/A</v>
      </c>
      <c r="F368" s="64" t="str">
        <f>_xlfn.CONCAT(Tableau1[[#This Row],[ID]],"-","Actif")</f>
        <v>-Actif</v>
      </c>
      <c r="G368" s="64" t="e">
        <f ca="1">_xlfn.CONCAT(Tableau1[[#This Row],[POD]],"-",Tableau1[[#This Row],[Code PFI]],"-",Tableau1[[#This Row],[Compte Consignee]])</f>
        <v>#N/A</v>
      </c>
      <c r="H36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8" s="117" t="str">
        <f ca="1">IF(COUNTIF(I:I,Tableau1[[#This Row],[Plant-ILN-shipper-POL-Carrier-POD-PFI]])=1,"Non","Oui")</f>
        <v>Oui</v>
      </c>
      <c r="K368" s="126" t="e">
        <f>VLOOKUP(Tableau1[[#This Row],[Name Site]],Plant_AILN!A:D,4,FALSE)</f>
        <v>#N/A</v>
      </c>
      <c r="L368" s="363"/>
      <c r="M368" s="492" t="e">
        <f>VLOOKUP(Tableau1[[#This Row],[Name Site]],Plant_AILN!A:C,3,FALSE)</f>
        <v>#N/A</v>
      </c>
      <c r="N368" s="55" t="e">
        <f>VLOOKUP(Tableau1[[#This Row],[Compte Consignee]],Order!C:D,2,FALSE)</f>
        <v>#N/A</v>
      </c>
      <c r="O368" s="122"/>
      <c r="P368" s="481" t="e">
        <f>VLOOKUP(Tableau1[[#This Row],[Name ILN]],Plant_AILN!F:G,2,FALSE)</f>
        <v>#N/A</v>
      </c>
      <c r="Q368" s="50" t="e">
        <f>VLOOKUP(Tableau1[[#This Row],[Compte ILN]],'DATA ILN'!D:I,6,FALSE)</f>
        <v>#N/A</v>
      </c>
      <c r="R368" s="50" t="e">
        <f>IFERROR(VLOOKUP(Tableau1[[#This Row],[Key(Compte ILN - shipper - POL - plant)]],'DATA ILN'!A:J,10,FALSE),VLOOKUP(Tableau1[[#This Row],[Key(Compte ILN - shipper - POL)]],'DATA ILN'!B:J,9,FALSE))</f>
        <v>#N/A</v>
      </c>
      <c r="S368" s="50" t="e">
        <f>IFERROR(VLOOKUP(Tableau1[[#This Row],[Key(Compte ILN - shipper - POL - plant)]],'DATA ILN'!A:K,11,FALSE),VLOOKUP(Tableau1[[#This Row],[Key(Compte ILN - shipper - POL)]],'DATA ILN'!B:K,10,FALSE))</f>
        <v>#N/A</v>
      </c>
      <c r="T368" s="50" t="e">
        <f>IFERROR(VLOOKUP(Tableau1[[#This Row],[Key(Compte ILN - shipper - POL - plant)]],'DATA ILN'!A:L,12,FALSE),VLOOKUP(Tableau1[[#This Row],[Key(Compte ILN - shipper - POL)]],'DATA ILN'!B:L,11,FALSE))</f>
        <v>#N/A</v>
      </c>
      <c r="U368" s="50" t="e">
        <f>Tableau1[[#This Row],[Day ILN Order]]+Tableau1[[#This Row],[Delivery time to ILN/Shipper]]-1</f>
        <v>#N/A</v>
      </c>
      <c r="V368" s="50" t="e">
        <f>IFERROR(VLOOKUP(Tableau1[[#This Row],[Key(Compte ILN - shipper - POL - plant)]],'DATA ILN'!A:N,14,FALSE),VLOOKUP(Tableau1[[#This Row],[Key(Compte ILN - shipper - POL)]],'DATA ILN'!B:N,13,FALSE))</f>
        <v>#N/A</v>
      </c>
      <c r="W368" s="50" t="e">
        <f>IFERROR(VLOOKUP(Tableau1[[#This Row],[Key(Compte ILN - shipper - POL - plant)]],'DATA ILN'!A:P,16,FALSE),VLOOKUP(Tableau1[[#This Row],[Key(Compte ILN - shipper - POL)]],'DATA ILN'!B:P,15,FALSE))</f>
        <v>#N/A</v>
      </c>
      <c r="X368" s="283"/>
      <c r="Y368" s="489">
        <f>IFERROR(VLOOKUP(Tableau1[[#This Row],[Name Shipper]],Plant_AILN!L:M,2,FALSE),0)</f>
        <v>0</v>
      </c>
      <c r="Z368" s="358"/>
      <c r="AA368" s="353" t="e">
        <f ca="1">VLOOKUP(Tableau1[[#This Row],[Key(ID-Actif)]],'DATA BTO'!A:N,5,FALSE)</f>
        <v>#N/A</v>
      </c>
      <c r="AB368" s="3" t="e">
        <f ca="1">VLOOKUP(Tableau1[[#This Row],[Key(ID-Actif)]],'DATA BTO'!A:N,6,FALSE)</f>
        <v>#N/A</v>
      </c>
      <c r="AC368" s="50" t="e">
        <f ca="1">VLOOKUP(Tableau1[[#This Row],[Key(ID-Actif)]],'DATA BTO'!A:N,7,FALSE)</f>
        <v>#N/A</v>
      </c>
      <c r="AD368" s="50" t="e">
        <f ca="1">VLOOKUP(Tableau1[[#This Row],[Key(ID-Actif)]],'DATA BTO'!A:N,8,FALSE)</f>
        <v>#N/A</v>
      </c>
      <c r="AE368" s="406" t="e">
        <f ca="1">IF(Tableau1[[#This Row],[First Day to POL]]&lt;=Tableau1[[#This Row],[Day Cut Off]],Tableau1[[#This Row],[Day ETD]],Tableau1[[#This Row],[Day ETD]]+7)</f>
        <v>#N/A</v>
      </c>
      <c r="AF368" s="50" t="e">
        <f ca="1">VLOOKUP(Tableau1[[#This Row],[Key(ID-Actif)]],'DATA BTO'!A:N,9,FALSE)</f>
        <v>#N/A</v>
      </c>
      <c r="AG368" s="3" t="e">
        <f ca="1">VLOOKUP(Tableau1[[#This Row],[Key(ID-Actif)]],'DATA BTO'!A:N,10,FALSE)</f>
        <v>#N/A</v>
      </c>
      <c r="AH368" s="3" t="e">
        <f ca="1">VLOOKUP(Tableau1[[#This Row],[Key(ID-Actif)]],'DATA BTO'!A:N,11,FALSE)</f>
        <v>#N/A</v>
      </c>
      <c r="AI368" s="50" t="e">
        <f ca="1">VLOOKUP(Tableau1[[#This Row],[Key(ID-Actif)]],'DATA BTO'!A:N,12,FALSE)</f>
        <v>#N/A</v>
      </c>
      <c r="AJ368" s="53" t="e">
        <f ca="1">VLOOKUP(Tableau1[[#This Row],[Key(ID-Actif)]],'DATA BTO'!A:N,14,FALSE)</f>
        <v>#N/A</v>
      </c>
      <c r="AK368" s="54" t="e">
        <f ca="1">VLOOKUP(Tableau1[[#This Row],[Key(POD -PFI- Usine)]],'DATA Consignee'!A:F,6,FALSE)</f>
        <v>#N/A</v>
      </c>
      <c r="AL368" s="283"/>
      <c r="AM368" s="490" t="str">
        <f>IF(Tableau1[[#This Row],[Name PFI/CDD]]="","-",VLOOKUP(Tableau1[[#This Row],[Name PFI/CDD]],Plant_AILN!I:J,2,FALSE))</f>
        <v>-</v>
      </c>
      <c r="AN36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8" s="2" t="e">
        <f ca="1">VLOOKUP(Tableau1[[#This Row],[Key(POD -PFI- Usine)]],'DATA Consignee'!A:J,10,FALSE)</f>
        <v>#N/A</v>
      </c>
      <c r="AQ368" s="50" t="e">
        <f ca="1">VLOOKUP(Tableau1[[#This Row],[Key(POD -PFI- Usine)]],'DATA Consignee'!A:N,14,FALSE)</f>
        <v>#N/A</v>
      </c>
      <c r="AR36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8" s="50" t="e">
        <f ca="1">Tableau1[[#This Row],[Transit time]]+Tableau1[[#This Row],[Time for security]]+Tableau1[[#This Row],[Time for security2 buffer]]</f>
        <v>#N/A</v>
      </c>
      <c r="AU36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8" s="50" t="e">
        <f ca="1">Tableau1[[#This Row],[Leadtime SI2C]]+Tableau1[[#This Row],[First Receipt Days]]-Tableau1[[#This Row],[Day Customer Order]]+1</f>
        <v>#N/A</v>
      </c>
      <c r="AW368" s="117" t="e">
        <f ca="1">IF(Tableau1[[#This Row],[Name ILN]]&lt;&gt;"SFK Freight Forwarder",Tableau1[[#This Row],[Cust. Leadtime]],Tableau1[[#This Row],[Leadtime SI2C]])</f>
        <v>#N/A</v>
      </c>
      <c r="AX368" s="57" t="e">
        <f>VLOOKUP(Tableau1[[#This Row],[ID]],'DATA BTO'!B:P,15,FALSE)</f>
        <v>#N/A</v>
      </c>
      <c r="AY368" s="328" t="e">
        <f ca="1">IFERROR(VLOOKUP(Tableau1[[#This Row],[Key(ID-Actif)]],'DATA BTO'!A:N,4,FALSE),VLOOKUP(Tableau1[[#This Row],[ID]],'DATA BTO'!B:N,3,FALSE))</f>
        <v>#N/A</v>
      </c>
      <c r="AZ36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8" s="50"/>
    </row>
    <row r="369" spans="2:57">
      <c r="B369" s="405" t="str">
        <f>_xlfn.CONCAT(Tableau1[[#This Row],[Name ILN]],"-",Tableau1[[#This Row],[Name Shipper]],"-",Tableau1[[#This Row],[Name Site]])</f>
        <v>--</v>
      </c>
      <c r="C369" s="64" t="e">
        <f>_xlfn.CONCAT(Tableau1[[#This Row],[Compte ILN]],"-",Tableau1[[#This Row],[Compte Shipper]],"-",Tableau1[[#This Row],[POL]],"-",Tableau1[[#This Row],[Compte Consignee]])</f>
        <v>#N/A</v>
      </c>
      <c r="D369" s="64" t="e">
        <f>_xlfn.CONCAT(Tableau1[[#This Row],[Compte ILN]],"-",Tableau1[[#This Row],[Compte Shipper]],"-",Tableau1[[#This Row],[POL]])</f>
        <v>#N/A</v>
      </c>
      <c r="E369" s="128" t="e">
        <f ca="1">_xlfn.CONCAT(Tableau1[[#This Row],[POL]],"-",Tableau1[[#This Row],[Carrier]],"-",Tableau1[[#This Row],[POD]])</f>
        <v>#N/A</v>
      </c>
      <c r="F369" s="64" t="str">
        <f>_xlfn.CONCAT(Tableau1[[#This Row],[ID]],"-","Actif")</f>
        <v>-Actif</v>
      </c>
      <c r="G369" s="64" t="e">
        <f ca="1">_xlfn.CONCAT(Tableau1[[#This Row],[POD]],"-",Tableau1[[#This Row],[Code PFI]],"-",Tableau1[[#This Row],[Compte Consignee]])</f>
        <v>#N/A</v>
      </c>
      <c r="H36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6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69" s="117" t="str">
        <f ca="1">IF(COUNTIF(I:I,Tableau1[[#This Row],[Plant-ILN-shipper-POL-Carrier-POD-PFI]])=1,"Non","Oui")</f>
        <v>Oui</v>
      </c>
      <c r="K369" s="126" t="e">
        <f>VLOOKUP(Tableau1[[#This Row],[Name Site]],Plant_AILN!A:D,4,FALSE)</f>
        <v>#N/A</v>
      </c>
      <c r="L369" s="363"/>
      <c r="M369" s="492" t="e">
        <f>VLOOKUP(Tableau1[[#This Row],[Name Site]],Plant_AILN!A:C,3,FALSE)</f>
        <v>#N/A</v>
      </c>
      <c r="N369" s="55" t="e">
        <f>VLOOKUP(Tableau1[[#This Row],[Compte Consignee]],Order!C:D,2,FALSE)</f>
        <v>#N/A</v>
      </c>
      <c r="O369" s="122"/>
      <c r="P369" s="481" t="e">
        <f>VLOOKUP(Tableau1[[#This Row],[Name ILN]],Plant_AILN!F:G,2,FALSE)</f>
        <v>#N/A</v>
      </c>
      <c r="Q369" s="50" t="e">
        <f>VLOOKUP(Tableau1[[#This Row],[Compte ILN]],'DATA ILN'!D:I,6,FALSE)</f>
        <v>#N/A</v>
      </c>
      <c r="R369" s="50" t="e">
        <f>IFERROR(VLOOKUP(Tableau1[[#This Row],[Key(Compte ILN - shipper - POL - plant)]],'DATA ILN'!A:J,10,FALSE),VLOOKUP(Tableau1[[#This Row],[Key(Compte ILN - shipper - POL)]],'DATA ILN'!B:J,9,FALSE))</f>
        <v>#N/A</v>
      </c>
      <c r="S369" s="50" t="e">
        <f>IFERROR(VLOOKUP(Tableau1[[#This Row],[Key(Compte ILN - shipper - POL - plant)]],'DATA ILN'!A:K,11,FALSE),VLOOKUP(Tableau1[[#This Row],[Key(Compte ILN - shipper - POL)]],'DATA ILN'!B:K,10,FALSE))</f>
        <v>#N/A</v>
      </c>
      <c r="T369" s="50" t="e">
        <f>IFERROR(VLOOKUP(Tableau1[[#This Row],[Key(Compte ILN - shipper - POL - plant)]],'DATA ILN'!A:L,12,FALSE),VLOOKUP(Tableau1[[#This Row],[Key(Compte ILN - shipper - POL)]],'DATA ILN'!B:L,11,FALSE))</f>
        <v>#N/A</v>
      </c>
      <c r="U369" s="50" t="e">
        <f>Tableau1[[#This Row],[Day ILN Order]]+Tableau1[[#This Row],[Delivery time to ILN/Shipper]]-1</f>
        <v>#N/A</v>
      </c>
      <c r="V369" s="50" t="e">
        <f>IFERROR(VLOOKUP(Tableau1[[#This Row],[Key(Compte ILN - shipper - POL - plant)]],'DATA ILN'!A:N,14,FALSE),VLOOKUP(Tableau1[[#This Row],[Key(Compte ILN - shipper - POL)]],'DATA ILN'!B:N,13,FALSE))</f>
        <v>#N/A</v>
      </c>
      <c r="W369" s="50" t="e">
        <f>IFERROR(VLOOKUP(Tableau1[[#This Row],[Key(Compte ILN - shipper - POL - plant)]],'DATA ILN'!A:P,16,FALSE),VLOOKUP(Tableau1[[#This Row],[Key(Compte ILN - shipper - POL)]],'DATA ILN'!B:P,15,FALSE))</f>
        <v>#N/A</v>
      </c>
      <c r="X369" s="283"/>
      <c r="Y369" s="489">
        <f>IFERROR(VLOOKUP(Tableau1[[#This Row],[Name Shipper]],Plant_AILN!L:M,2,FALSE),0)</f>
        <v>0</v>
      </c>
      <c r="Z369" s="358"/>
      <c r="AA369" s="353" t="e">
        <f ca="1">VLOOKUP(Tableau1[[#This Row],[Key(ID-Actif)]],'DATA BTO'!A:N,5,FALSE)</f>
        <v>#N/A</v>
      </c>
      <c r="AB369" s="3" t="e">
        <f ca="1">VLOOKUP(Tableau1[[#This Row],[Key(ID-Actif)]],'DATA BTO'!A:N,6,FALSE)</f>
        <v>#N/A</v>
      </c>
      <c r="AC369" s="50" t="e">
        <f ca="1">VLOOKUP(Tableau1[[#This Row],[Key(ID-Actif)]],'DATA BTO'!A:N,7,FALSE)</f>
        <v>#N/A</v>
      </c>
      <c r="AD369" s="50" t="e">
        <f ca="1">VLOOKUP(Tableau1[[#This Row],[Key(ID-Actif)]],'DATA BTO'!A:N,8,FALSE)</f>
        <v>#N/A</v>
      </c>
      <c r="AE369" s="406" t="e">
        <f ca="1">IF(Tableau1[[#This Row],[First Day to POL]]&lt;=Tableau1[[#This Row],[Day Cut Off]],Tableau1[[#This Row],[Day ETD]],Tableau1[[#This Row],[Day ETD]]+7)</f>
        <v>#N/A</v>
      </c>
      <c r="AF369" s="50" t="e">
        <f ca="1">VLOOKUP(Tableau1[[#This Row],[Key(ID-Actif)]],'DATA BTO'!A:N,9,FALSE)</f>
        <v>#N/A</v>
      </c>
      <c r="AG369" s="3" t="e">
        <f ca="1">VLOOKUP(Tableau1[[#This Row],[Key(ID-Actif)]],'DATA BTO'!A:N,10,FALSE)</f>
        <v>#N/A</v>
      </c>
      <c r="AH369" s="3" t="e">
        <f ca="1">VLOOKUP(Tableau1[[#This Row],[Key(ID-Actif)]],'DATA BTO'!A:N,11,FALSE)</f>
        <v>#N/A</v>
      </c>
      <c r="AI369" s="50" t="e">
        <f ca="1">VLOOKUP(Tableau1[[#This Row],[Key(ID-Actif)]],'DATA BTO'!A:N,12,FALSE)</f>
        <v>#N/A</v>
      </c>
      <c r="AJ369" s="53" t="e">
        <f ca="1">VLOOKUP(Tableau1[[#This Row],[Key(ID-Actif)]],'DATA BTO'!A:N,14,FALSE)</f>
        <v>#N/A</v>
      </c>
      <c r="AK369" s="54" t="e">
        <f ca="1">VLOOKUP(Tableau1[[#This Row],[Key(POD -PFI- Usine)]],'DATA Consignee'!A:F,6,FALSE)</f>
        <v>#N/A</v>
      </c>
      <c r="AL369" s="283"/>
      <c r="AM369" s="490" t="str">
        <f>IF(Tableau1[[#This Row],[Name PFI/CDD]]="","-",VLOOKUP(Tableau1[[#This Row],[Name PFI/CDD]],Plant_AILN!I:J,2,FALSE))</f>
        <v>-</v>
      </c>
      <c r="AN36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6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69" s="2" t="e">
        <f ca="1">VLOOKUP(Tableau1[[#This Row],[Key(POD -PFI- Usine)]],'DATA Consignee'!A:J,10,FALSE)</f>
        <v>#N/A</v>
      </c>
      <c r="AQ369" s="50" t="e">
        <f ca="1">VLOOKUP(Tableau1[[#This Row],[Key(POD -PFI- Usine)]],'DATA Consignee'!A:N,14,FALSE)</f>
        <v>#N/A</v>
      </c>
      <c r="AR36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6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69" s="50" t="e">
        <f ca="1">Tableau1[[#This Row],[Transit time]]+Tableau1[[#This Row],[Time for security]]+Tableau1[[#This Row],[Time for security2 buffer]]</f>
        <v>#N/A</v>
      </c>
      <c r="AU36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69" s="50" t="e">
        <f ca="1">Tableau1[[#This Row],[Leadtime SI2C]]+Tableau1[[#This Row],[First Receipt Days]]-Tableau1[[#This Row],[Day Customer Order]]+1</f>
        <v>#N/A</v>
      </c>
      <c r="AW369" s="117" t="e">
        <f ca="1">IF(Tableau1[[#This Row],[Name ILN]]&lt;&gt;"SFK Freight Forwarder",Tableau1[[#This Row],[Cust. Leadtime]],Tableau1[[#This Row],[Leadtime SI2C]])</f>
        <v>#N/A</v>
      </c>
      <c r="AX369" s="57" t="e">
        <f>VLOOKUP(Tableau1[[#This Row],[ID]],'DATA BTO'!B:P,15,FALSE)</f>
        <v>#N/A</v>
      </c>
      <c r="AY369" s="328" t="e">
        <f ca="1">IFERROR(VLOOKUP(Tableau1[[#This Row],[Key(ID-Actif)]],'DATA BTO'!A:N,4,FALSE),VLOOKUP(Tableau1[[#This Row],[ID]],'DATA BTO'!B:N,3,FALSE))</f>
        <v>#N/A</v>
      </c>
      <c r="AZ36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6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6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9" s="50"/>
    </row>
    <row r="370" spans="2:57">
      <c r="B370" s="405" t="str">
        <f>_xlfn.CONCAT(Tableau1[[#This Row],[Name ILN]],"-",Tableau1[[#This Row],[Name Shipper]],"-",Tableau1[[#This Row],[Name Site]])</f>
        <v>--</v>
      </c>
      <c r="C370" s="64" t="e">
        <f>_xlfn.CONCAT(Tableau1[[#This Row],[Compte ILN]],"-",Tableau1[[#This Row],[Compte Shipper]],"-",Tableau1[[#This Row],[POL]],"-",Tableau1[[#This Row],[Compte Consignee]])</f>
        <v>#N/A</v>
      </c>
      <c r="D370" s="64" t="e">
        <f>_xlfn.CONCAT(Tableau1[[#This Row],[Compte ILN]],"-",Tableau1[[#This Row],[Compte Shipper]],"-",Tableau1[[#This Row],[POL]])</f>
        <v>#N/A</v>
      </c>
      <c r="E370" s="128" t="e">
        <f ca="1">_xlfn.CONCAT(Tableau1[[#This Row],[POL]],"-",Tableau1[[#This Row],[Carrier]],"-",Tableau1[[#This Row],[POD]])</f>
        <v>#N/A</v>
      </c>
      <c r="F370" s="64" t="str">
        <f>_xlfn.CONCAT(Tableau1[[#This Row],[ID]],"-","Actif")</f>
        <v>-Actif</v>
      </c>
      <c r="G370" s="64" t="e">
        <f ca="1">_xlfn.CONCAT(Tableau1[[#This Row],[POD]],"-",Tableau1[[#This Row],[Code PFI]],"-",Tableau1[[#This Row],[Compte Consignee]])</f>
        <v>#N/A</v>
      </c>
      <c r="H37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0" s="117" t="str">
        <f ca="1">IF(COUNTIF(I:I,Tableau1[[#This Row],[Plant-ILN-shipper-POL-Carrier-POD-PFI]])=1,"Non","Oui")</f>
        <v>Oui</v>
      </c>
      <c r="K370" s="126" t="e">
        <f>VLOOKUP(Tableau1[[#This Row],[Name Site]],Plant_AILN!A:D,4,FALSE)</f>
        <v>#N/A</v>
      </c>
      <c r="L370" s="363"/>
      <c r="M370" s="492" t="e">
        <f>VLOOKUP(Tableau1[[#This Row],[Name Site]],Plant_AILN!A:C,3,FALSE)</f>
        <v>#N/A</v>
      </c>
      <c r="N370" s="55" t="e">
        <f>VLOOKUP(Tableau1[[#This Row],[Compte Consignee]],Order!C:D,2,FALSE)</f>
        <v>#N/A</v>
      </c>
      <c r="O370" s="122"/>
      <c r="P370" s="481" t="e">
        <f>VLOOKUP(Tableau1[[#This Row],[Name ILN]],Plant_AILN!F:G,2,FALSE)</f>
        <v>#N/A</v>
      </c>
      <c r="Q370" s="50" t="e">
        <f>VLOOKUP(Tableau1[[#This Row],[Compte ILN]],'DATA ILN'!D:I,6,FALSE)</f>
        <v>#N/A</v>
      </c>
      <c r="R370" s="50" t="e">
        <f>IFERROR(VLOOKUP(Tableau1[[#This Row],[Key(Compte ILN - shipper - POL - plant)]],'DATA ILN'!A:J,10,FALSE),VLOOKUP(Tableau1[[#This Row],[Key(Compte ILN - shipper - POL)]],'DATA ILN'!B:J,9,FALSE))</f>
        <v>#N/A</v>
      </c>
      <c r="S370" s="50" t="e">
        <f>IFERROR(VLOOKUP(Tableau1[[#This Row],[Key(Compte ILN - shipper - POL - plant)]],'DATA ILN'!A:K,11,FALSE),VLOOKUP(Tableau1[[#This Row],[Key(Compte ILN - shipper - POL)]],'DATA ILN'!B:K,10,FALSE))</f>
        <v>#N/A</v>
      </c>
      <c r="T370" s="50" t="e">
        <f>IFERROR(VLOOKUP(Tableau1[[#This Row],[Key(Compte ILN - shipper - POL - plant)]],'DATA ILN'!A:L,12,FALSE),VLOOKUP(Tableau1[[#This Row],[Key(Compte ILN - shipper - POL)]],'DATA ILN'!B:L,11,FALSE))</f>
        <v>#N/A</v>
      </c>
      <c r="U370" s="50" t="e">
        <f>Tableau1[[#This Row],[Day ILN Order]]+Tableau1[[#This Row],[Delivery time to ILN/Shipper]]-1</f>
        <v>#N/A</v>
      </c>
      <c r="V370" s="50" t="e">
        <f>IFERROR(VLOOKUP(Tableau1[[#This Row],[Key(Compte ILN - shipper - POL - plant)]],'DATA ILN'!A:N,14,FALSE),VLOOKUP(Tableau1[[#This Row],[Key(Compte ILN - shipper - POL)]],'DATA ILN'!B:N,13,FALSE))</f>
        <v>#N/A</v>
      </c>
      <c r="W370" s="50" t="e">
        <f>IFERROR(VLOOKUP(Tableau1[[#This Row],[Key(Compte ILN - shipper - POL - plant)]],'DATA ILN'!A:P,16,FALSE),VLOOKUP(Tableau1[[#This Row],[Key(Compte ILN - shipper - POL)]],'DATA ILN'!B:P,15,FALSE))</f>
        <v>#N/A</v>
      </c>
      <c r="X370" s="283"/>
      <c r="Y370" s="489">
        <f>IFERROR(VLOOKUP(Tableau1[[#This Row],[Name Shipper]],Plant_AILN!L:M,2,FALSE),0)</f>
        <v>0</v>
      </c>
      <c r="Z370" s="358"/>
      <c r="AA370" s="353" t="e">
        <f ca="1">VLOOKUP(Tableau1[[#This Row],[Key(ID-Actif)]],'DATA BTO'!A:N,5,FALSE)</f>
        <v>#N/A</v>
      </c>
      <c r="AB370" s="3" t="e">
        <f ca="1">VLOOKUP(Tableau1[[#This Row],[Key(ID-Actif)]],'DATA BTO'!A:N,6,FALSE)</f>
        <v>#N/A</v>
      </c>
      <c r="AC370" s="50" t="e">
        <f ca="1">VLOOKUP(Tableau1[[#This Row],[Key(ID-Actif)]],'DATA BTO'!A:N,7,FALSE)</f>
        <v>#N/A</v>
      </c>
      <c r="AD370" s="50" t="e">
        <f ca="1">VLOOKUP(Tableau1[[#This Row],[Key(ID-Actif)]],'DATA BTO'!A:N,8,FALSE)</f>
        <v>#N/A</v>
      </c>
      <c r="AE370" s="406" t="e">
        <f ca="1">IF(Tableau1[[#This Row],[First Day to POL]]&lt;=Tableau1[[#This Row],[Day Cut Off]],Tableau1[[#This Row],[Day ETD]],Tableau1[[#This Row],[Day ETD]]+7)</f>
        <v>#N/A</v>
      </c>
      <c r="AF370" s="50" t="e">
        <f ca="1">VLOOKUP(Tableau1[[#This Row],[Key(ID-Actif)]],'DATA BTO'!A:N,9,FALSE)</f>
        <v>#N/A</v>
      </c>
      <c r="AG370" s="3" t="e">
        <f ca="1">VLOOKUP(Tableau1[[#This Row],[Key(ID-Actif)]],'DATA BTO'!A:N,10,FALSE)</f>
        <v>#N/A</v>
      </c>
      <c r="AH370" s="3" t="e">
        <f ca="1">VLOOKUP(Tableau1[[#This Row],[Key(ID-Actif)]],'DATA BTO'!A:N,11,FALSE)</f>
        <v>#N/A</v>
      </c>
      <c r="AI370" s="50" t="e">
        <f ca="1">VLOOKUP(Tableau1[[#This Row],[Key(ID-Actif)]],'DATA BTO'!A:N,12,FALSE)</f>
        <v>#N/A</v>
      </c>
      <c r="AJ370" s="53" t="e">
        <f ca="1">VLOOKUP(Tableau1[[#This Row],[Key(ID-Actif)]],'DATA BTO'!A:N,14,FALSE)</f>
        <v>#N/A</v>
      </c>
      <c r="AK370" s="54" t="e">
        <f ca="1">VLOOKUP(Tableau1[[#This Row],[Key(POD -PFI- Usine)]],'DATA Consignee'!A:F,6,FALSE)</f>
        <v>#N/A</v>
      </c>
      <c r="AL370" s="283"/>
      <c r="AM370" s="490" t="str">
        <f>IF(Tableau1[[#This Row],[Name PFI/CDD]]="","-",VLOOKUP(Tableau1[[#This Row],[Name PFI/CDD]],Plant_AILN!I:J,2,FALSE))</f>
        <v>-</v>
      </c>
      <c r="AN37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0" s="2" t="e">
        <f ca="1">VLOOKUP(Tableau1[[#This Row],[Key(POD -PFI- Usine)]],'DATA Consignee'!A:J,10,FALSE)</f>
        <v>#N/A</v>
      </c>
      <c r="AQ370" s="50" t="e">
        <f ca="1">VLOOKUP(Tableau1[[#This Row],[Key(POD -PFI- Usine)]],'DATA Consignee'!A:N,14,FALSE)</f>
        <v>#N/A</v>
      </c>
      <c r="AR37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0" s="50" t="e">
        <f ca="1">Tableau1[[#This Row],[Transit time]]+Tableau1[[#This Row],[Time for security]]+Tableau1[[#This Row],[Time for security2 buffer]]</f>
        <v>#N/A</v>
      </c>
      <c r="AU37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0" s="50" t="e">
        <f ca="1">Tableau1[[#This Row],[Leadtime SI2C]]+Tableau1[[#This Row],[First Receipt Days]]-Tableau1[[#This Row],[Day Customer Order]]+1</f>
        <v>#N/A</v>
      </c>
      <c r="AW370" s="117" t="e">
        <f ca="1">IF(Tableau1[[#This Row],[Name ILN]]&lt;&gt;"SFK Freight Forwarder",Tableau1[[#This Row],[Cust. Leadtime]],Tableau1[[#This Row],[Leadtime SI2C]])</f>
        <v>#N/A</v>
      </c>
      <c r="AX370" s="57" t="e">
        <f>VLOOKUP(Tableau1[[#This Row],[ID]],'DATA BTO'!B:P,15,FALSE)</f>
        <v>#N/A</v>
      </c>
      <c r="AY370" s="328" t="e">
        <f ca="1">IFERROR(VLOOKUP(Tableau1[[#This Row],[Key(ID-Actif)]],'DATA BTO'!A:N,4,FALSE),VLOOKUP(Tableau1[[#This Row],[ID]],'DATA BTO'!B:N,3,FALSE))</f>
        <v>#N/A</v>
      </c>
      <c r="AZ37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0" s="50"/>
    </row>
    <row r="371" spans="2:57">
      <c r="B371" s="405" t="str">
        <f>_xlfn.CONCAT(Tableau1[[#This Row],[Name ILN]],"-",Tableau1[[#This Row],[Name Shipper]],"-",Tableau1[[#This Row],[Name Site]])</f>
        <v>--</v>
      </c>
      <c r="C371" s="64" t="e">
        <f>_xlfn.CONCAT(Tableau1[[#This Row],[Compte ILN]],"-",Tableau1[[#This Row],[Compte Shipper]],"-",Tableau1[[#This Row],[POL]],"-",Tableau1[[#This Row],[Compte Consignee]])</f>
        <v>#N/A</v>
      </c>
      <c r="D371" s="64" t="e">
        <f>_xlfn.CONCAT(Tableau1[[#This Row],[Compte ILN]],"-",Tableau1[[#This Row],[Compte Shipper]],"-",Tableau1[[#This Row],[POL]])</f>
        <v>#N/A</v>
      </c>
      <c r="E371" s="128" t="e">
        <f ca="1">_xlfn.CONCAT(Tableau1[[#This Row],[POL]],"-",Tableau1[[#This Row],[Carrier]],"-",Tableau1[[#This Row],[POD]])</f>
        <v>#N/A</v>
      </c>
      <c r="F371" s="64" t="str">
        <f>_xlfn.CONCAT(Tableau1[[#This Row],[ID]],"-","Actif")</f>
        <v>-Actif</v>
      </c>
      <c r="G371" s="64" t="e">
        <f ca="1">_xlfn.CONCAT(Tableau1[[#This Row],[POD]],"-",Tableau1[[#This Row],[Code PFI]],"-",Tableau1[[#This Row],[Compte Consignee]])</f>
        <v>#N/A</v>
      </c>
      <c r="H37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1" s="117" t="str">
        <f ca="1">IF(COUNTIF(I:I,Tableau1[[#This Row],[Plant-ILN-shipper-POL-Carrier-POD-PFI]])=1,"Non","Oui")</f>
        <v>Oui</v>
      </c>
      <c r="K371" s="126" t="e">
        <f>VLOOKUP(Tableau1[[#This Row],[Name Site]],Plant_AILN!A:D,4,FALSE)</f>
        <v>#N/A</v>
      </c>
      <c r="L371" s="363"/>
      <c r="M371" s="492" t="e">
        <f>VLOOKUP(Tableau1[[#This Row],[Name Site]],Plant_AILN!A:C,3,FALSE)</f>
        <v>#N/A</v>
      </c>
      <c r="N371" s="55" t="e">
        <f>VLOOKUP(Tableau1[[#This Row],[Compte Consignee]],Order!C:D,2,FALSE)</f>
        <v>#N/A</v>
      </c>
      <c r="O371" s="122"/>
      <c r="P371" s="481" t="e">
        <f>VLOOKUP(Tableau1[[#This Row],[Name ILN]],Plant_AILN!F:G,2,FALSE)</f>
        <v>#N/A</v>
      </c>
      <c r="Q371" s="50" t="e">
        <f>VLOOKUP(Tableau1[[#This Row],[Compte ILN]],'DATA ILN'!D:I,6,FALSE)</f>
        <v>#N/A</v>
      </c>
      <c r="R371" s="50" t="e">
        <f>IFERROR(VLOOKUP(Tableau1[[#This Row],[Key(Compte ILN - shipper - POL - plant)]],'DATA ILN'!A:J,10,FALSE),VLOOKUP(Tableau1[[#This Row],[Key(Compte ILN - shipper - POL)]],'DATA ILN'!B:J,9,FALSE))</f>
        <v>#N/A</v>
      </c>
      <c r="S371" s="50" t="e">
        <f>IFERROR(VLOOKUP(Tableau1[[#This Row],[Key(Compte ILN - shipper - POL - plant)]],'DATA ILN'!A:K,11,FALSE),VLOOKUP(Tableau1[[#This Row],[Key(Compte ILN - shipper - POL)]],'DATA ILN'!B:K,10,FALSE))</f>
        <v>#N/A</v>
      </c>
      <c r="T371" s="50" t="e">
        <f>IFERROR(VLOOKUP(Tableau1[[#This Row],[Key(Compte ILN - shipper - POL - plant)]],'DATA ILN'!A:L,12,FALSE),VLOOKUP(Tableau1[[#This Row],[Key(Compte ILN - shipper - POL)]],'DATA ILN'!B:L,11,FALSE))</f>
        <v>#N/A</v>
      </c>
      <c r="U371" s="50" t="e">
        <f>Tableau1[[#This Row],[Day ILN Order]]+Tableau1[[#This Row],[Delivery time to ILN/Shipper]]-1</f>
        <v>#N/A</v>
      </c>
      <c r="V371" s="50" t="e">
        <f>IFERROR(VLOOKUP(Tableau1[[#This Row],[Key(Compte ILN - shipper - POL - plant)]],'DATA ILN'!A:N,14,FALSE),VLOOKUP(Tableau1[[#This Row],[Key(Compte ILN - shipper - POL)]],'DATA ILN'!B:N,13,FALSE))</f>
        <v>#N/A</v>
      </c>
      <c r="W371" s="50" t="e">
        <f>IFERROR(VLOOKUP(Tableau1[[#This Row],[Key(Compte ILN - shipper - POL - plant)]],'DATA ILN'!A:P,16,FALSE),VLOOKUP(Tableau1[[#This Row],[Key(Compte ILN - shipper - POL)]],'DATA ILN'!B:P,15,FALSE))</f>
        <v>#N/A</v>
      </c>
      <c r="X371" s="283"/>
      <c r="Y371" s="489">
        <f>IFERROR(VLOOKUP(Tableau1[[#This Row],[Name Shipper]],Plant_AILN!L:M,2,FALSE),0)</f>
        <v>0</v>
      </c>
      <c r="Z371" s="358"/>
      <c r="AA371" s="353" t="e">
        <f ca="1">VLOOKUP(Tableau1[[#This Row],[Key(ID-Actif)]],'DATA BTO'!A:N,5,FALSE)</f>
        <v>#N/A</v>
      </c>
      <c r="AB371" s="3" t="e">
        <f ca="1">VLOOKUP(Tableau1[[#This Row],[Key(ID-Actif)]],'DATA BTO'!A:N,6,FALSE)</f>
        <v>#N/A</v>
      </c>
      <c r="AC371" s="50" t="e">
        <f ca="1">VLOOKUP(Tableau1[[#This Row],[Key(ID-Actif)]],'DATA BTO'!A:N,7,FALSE)</f>
        <v>#N/A</v>
      </c>
      <c r="AD371" s="50" t="e">
        <f ca="1">VLOOKUP(Tableau1[[#This Row],[Key(ID-Actif)]],'DATA BTO'!A:N,8,FALSE)</f>
        <v>#N/A</v>
      </c>
      <c r="AE371" s="406" t="e">
        <f ca="1">IF(Tableau1[[#This Row],[First Day to POL]]&lt;=Tableau1[[#This Row],[Day Cut Off]],Tableau1[[#This Row],[Day ETD]],Tableau1[[#This Row],[Day ETD]]+7)</f>
        <v>#N/A</v>
      </c>
      <c r="AF371" s="50" t="e">
        <f ca="1">VLOOKUP(Tableau1[[#This Row],[Key(ID-Actif)]],'DATA BTO'!A:N,9,FALSE)</f>
        <v>#N/A</v>
      </c>
      <c r="AG371" s="3" t="e">
        <f ca="1">VLOOKUP(Tableau1[[#This Row],[Key(ID-Actif)]],'DATA BTO'!A:N,10,FALSE)</f>
        <v>#N/A</v>
      </c>
      <c r="AH371" s="3" t="e">
        <f ca="1">VLOOKUP(Tableau1[[#This Row],[Key(ID-Actif)]],'DATA BTO'!A:N,11,FALSE)</f>
        <v>#N/A</v>
      </c>
      <c r="AI371" s="50" t="e">
        <f ca="1">VLOOKUP(Tableau1[[#This Row],[Key(ID-Actif)]],'DATA BTO'!A:N,12,FALSE)</f>
        <v>#N/A</v>
      </c>
      <c r="AJ371" s="53" t="e">
        <f ca="1">VLOOKUP(Tableau1[[#This Row],[Key(ID-Actif)]],'DATA BTO'!A:N,14,FALSE)</f>
        <v>#N/A</v>
      </c>
      <c r="AK371" s="54" t="e">
        <f ca="1">VLOOKUP(Tableau1[[#This Row],[Key(POD -PFI- Usine)]],'DATA Consignee'!A:F,6,FALSE)</f>
        <v>#N/A</v>
      </c>
      <c r="AL371" s="283"/>
      <c r="AM371" s="490" t="str">
        <f>IF(Tableau1[[#This Row],[Name PFI/CDD]]="","-",VLOOKUP(Tableau1[[#This Row],[Name PFI/CDD]],Plant_AILN!I:J,2,FALSE))</f>
        <v>-</v>
      </c>
      <c r="AN37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1" s="2" t="e">
        <f ca="1">VLOOKUP(Tableau1[[#This Row],[Key(POD -PFI- Usine)]],'DATA Consignee'!A:J,10,FALSE)</f>
        <v>#N/A</v>
      </c>
      <c r="AQ371" s="50" t="e">
        <f ca="1">VLOOKUP(Tableau1[[#This Row],[Key(POD -PFI- Usine)]],'DATA Consignee'!A:N,14,FALSE)</f>
        <v>#N/A</v>
      </c>
      <c r="AR37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1" s="50" t="e">
        <f ca="1">Tableau1[[#This Row],[Transit time]]+Tableau1[[#This Row],[Time for security]]+Tableau1[[#This Row],[Time for security2 buffer]]</f>
        <v>#N/A</v>
      </c>
      <c r="AU37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1" s="50" t="e">
        <f ca="1">Tableau1[[#This Row],[Leadtime SI2C]]+Tableau1[[#This Row],[First Receipt Days]]-Tableau1[[#This Row],[Day Customer Order]]+1</f>
        <v>#N/A</v>
      </c>
      <c r="AW371" s="117" t="e">
        <f ca="1">IF(Tableau1[[#This Row],[Name ILN]]&lt;&gt;"SFK Freight Forwarder",Tableau1[[#This Row],[Cust. Leadtime]],Tableau1[[#This Row],[Leadtime SI2C]])</f>
        <v>#N/A</v>
      </c>
      <c r="AX371" s="57" t="e">
        <f>VLOOKUP(Tableau1[[#This Row],[ID]],'DATA BTO'!B:P,15,FALSE)</f>
        <v>#N/A</v>
      </c>
      <c r="AY371" s="328" t="e">
        <f ca="1">IFERROR(VLOOKUP(Tableau1[[#This Row],[Key(ID-Actif)]],'DATA BTO'!A:N,4,FALSE),VLOOKUP(Tableau1[[#This Row],[ID]],'DATA BTO'!B:N,3,FALSE))</f>
        <v>#N/A</v>
      </c>
      <c r="AZ37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1" s="50"/>
    </row>
    <row r="372" spans="2:57">
      <c r="B372" s="405" t="str">
        <f>_xlfn.CONCAT(Tableau1[[#This Row],[Name ILN]],"-",Tableau1[[#This Row],[Name Shipper]],"-",Tableau1[[#This Row],[Name Site]])</f>
        <v>--</v>
      </c>
      <c r="C372" s="64" t="e">
        <f>_xlfn.CONCAT(Tableau1[[#This Row],[Compte ILN]],"-",Tableau1[[#This Row],[Compte Shipper]],"-",Tableau1[[#This Row],[POL]],"-",Tableau1[[#This Row],[Compte Consignee]])</f>
        <v>#N/A</v>
      </c>
      <c r="D372" s="64" t="e">
        <f>_xlfn.CONCAT(Tableau1[[#This Row],[Compte ILN]],"-",Tableau1[[#This Row],[Compte Shipper]],"-",Tableau1[[#This Row],[POL]])</f>
        <v>#N/A</v>
      </c>
      <c r="E372" s="128" t="e">
        <f ca="1">_xlfn.CONCAT(Tableau1[[#This Row],[POL]],"-",Tableau1[[#This Row],[Carrier]],"-",Tableau1[[#This Row],[POD]])</f>
        <v>#N/A</v>
      </c>
      <c r="F372" s="64" t="str">
        <f>_xlfn.CONCAT(Tableau1[[#This Row],[ID]],"-","Actif")</f>
        <v>-Actif</v>
      </c>
      <c r="G372" s="64" t="e">
        <f ca="1">_xlfn.CONCAT(Tableau1[[#This Row],[POD]],"-",Tableau1[[#This Row],[Code PFI]],"-",Tableau1[[#This Row],[Compte Consignee]])</f>
        <v>#N/A</v>
      </c>
      <c r="H37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2" s="117" t="str">
        <f ca="1">IF(COUNTIF(I:I,Tableau1[[#This Row],[Plant-ILN-shipper-POL-Carrier-POD-PFI]])=1,"Non","Oui")</f>
        <v>Oui</v>
      </c>
      <c r="K372" s="126" t="e">
        <f>VLOOKUP(Tableau1[[#This Row],[Name Site]],Plant_AILN!A:D,4,FALSE)</f>
        <v>#N/A</v>
      </c>
      <c r="L372" s="363"/>
      <c r="M372" s="492" t="e">
        <f>VLOOKUP(Tableau1[[#This Row],[Name Site]],Plant_AILN!A:C,3,FALSE)</f>
        <v>#N/A</v>
      </c>
      <c r="N372" s="55" t="e">
        <f>VLOOKUP(Tableau1[[#This Row],[Compte Consignee]],Order!C:D,2,FALSE)</f>
        <v>#N/A</v>
      </c>
      <c r="O372" s="122"/>
      <c r="P372" s="481" t="e">
        <f>VLOOKUP(Tableau1[[#This Row],[Name ILN]],Plant_AILN!F:G,2,FALSE)</f>
        <v>#N/A</v>
      </c>
      <c r="Q372" s="50" t="e">
        <f>VLOOKUP(Tableau1[[#This Row],[Compte ILN]],'DATA ILN'!D:I,6,FALSE)</f>
        <v>#N/A</v>
      </c>
      <c r="R372" s="50" t="e">
        <f>IFERROR(VLOOKUP(Tableau1[[#This Row],[Key(Compte ILN - shipper - POL - plant)]],'DATA ILN'!A:J,10,FALSE),VLOOKUP(Tableau1[[#This Row],[Key(Compte ILN - shipper - POL)]],'DATA ILN'!B:J,9,FALSE))</f>
        <v>#N/A</v>
      </c>
      <c r="S372" s="50" t="e">
        <f>IFERROR(VLOOKUP(Tableau1[[#This Row],[Key(Compte ILN - shipper - POL - plant)]],'DATA ILN'!A:K,11,FALSE),VLOOKUP(Tableau1[[#This Row],[Key(Compte ILN - shipper - POL)]],'DATA ILN'!B:K,10,FALSE))</f>
        <v>#N/A</v>
      </c>
      <c r="T372" s="50" t="e">
        <f>IFERROR(VLOOKUP(Tableau1[[#This Row],[Key(Compte ILN - shipper - POL - plant)]],'DATA ILN'!A:L,12,FALSE),VLOOKUP(Tableau1[[#This Row],[Key(Compte ILN - shipper - POL)]],'DATA ILN'!B:L,11,FALSE))</f>
        <v>#N/A</v>
      </c>
      <c r="U372" s="50" t="e">
        <f>Tableau1[[#This Row],[Day ILN Order]]+Tableau1[[#This Row],[Delivery time to ILN/Shipper]]-1</f>
        <v>#N/A</v>
      </c>
      <c r="V372" s="50" t="e">
        <f>IFERROR(VLOOKUP(Tableau1[[#This Row],[Key(Compte ILN - shipper - POL - plant)]],'DATA ILN'!A:N,14,FALSE),VLOOKUP(Tableau1[[#This Row],[Key(Compte ILN - shipper - POL)]],'DATA ILN'!B:N,13,FALSE))</f>
        <v>#N/A</v>
      </c>
      <c r="W372" s="50" t="e">
        <f>IFERROR(VLOOKUP(Tableau1[[#This Row],[Key(Compte ILN - shipper - POL - plant)]],'DATA ILN'!A:P,16,FALSE),VLOOKUP(Tableau1[[#This Row],[Key(Compte ILN - shipper - POL)]],'DATA ILN'!B:P,15,FALSE))</f>
        <v>#N/A</v>
      </c>
      <c r="X372" s="283"/>
      <c r="Y372" s="489">
        <f>IFERROR(VLOOKUP(Tableau1[[#This Row],[Name Shipper]],Plant_AILN!L:M,2,FALSE),0)</f>
        <v>0</v>
      </c>
      <c r="Z372" s="358"/>
      <c r="AA372" s="353" t="e">
        <f ca="1">VLOOKUP(Tableau1[[#This Row],[Key(ID-Actif)]],'DATA BTO'!A:N,5,FALSE)</f>
        <v>#N/A</v>
      </c>
      <c r="AB372" s="3" t="e">
        <f ca="1">VLOOKUP(Tableau1[[#This Row],[Key(ID-Actif)]],'DATA BTO'!A:N,6,FALSE)</f>
        <v>#N/A</v>
      </c>
      <c r="AC372" s="50" t="e">
        <f ca="1">VLOOKUP(Tableau1[[#This Row],[Key(ID-Actif)]],'DATA BTO'!A:N,7,FALSE)</f>
        <v>#N/A</v>
      </c>
      <c r="AD372" s="50" t="e">
        <f ca="1">VLOOKUP(Tableau1[[#This Row],[Key(ID-Actif)]],'DATA BTO'!A:N,8,FALSE)</f>
        <v>#N/A</v>
      </c>
      <c r="AE372" s="406" t="e">
        <f ca="1">IF(Tableau1[[#This Row],[First Day to POL]]&lt;=Tableau1[[#This Row],[Day Cut Off]],Tableau1[[#This Row],[Day ETD]],Tableau1[[#This Row],[Day ETD]]+7)</f>
        <v>#N/A</v>
      </c>
      <c r="AF372" s="50" t="e">
        <f ca="1">VLOOKUP(Tableau1[[#This Row],[Key(ID-Actif)]],'DATA BTO'!A:N,9,FALSE)</f>
        <v>#N/A</v>
      </c>
      <c r="AG372" s="3" t="e">
        <f ca="1">VLOOKUP(Tableau1[[#This Row],[Key(ID-Actif)]],'DATA BTO'!A:N,10,FALSE)</f>
        <v>#N/A</v>
      </c>
      <c r="AH372" s="3" t="e">
        <f ca="1">VLOOKUP(Tableau1[[#This Row],[Key(ID-Actif)]],'DATA BTO'!A:N,11,FALSE)</f>
        <v>#N/A</v>
      </c>
      <c r="AI372" s="50" t="e">
        <f ca="1">VLOOKUP(Tableau1[[#This Row],[Key(ID-Actif)]],'DATA BTO'!A:N,12,FALSE)</f>
        <v>#N/A</v>
      </c>
      <c r="AJ372" s="53" t="e">
        <f ca="1">VLOOKUP(Tableau1[[#This Row],[Key(ID-Actif)]],'DATA BTO'!A:N,14,FALSE)</f>
        <v>#N/A</v>
      </c>
      <c r="AK372" s="54" t="e">
        <f ca="1">VLOOKUP(Tableau1[[#This Row],[Key(POD -PFI- Usine)]],'DATA Consignee'!A:F,6,FALSE)</f>
        <v>#N/A</v>
      </c>
      <c r="AL372" s="283"/>
      <c r="AM372" s="490" t="str">
        <f>IF(Tableau1[[#This Row],[Name PFI/CDD]]="","-",VLOOKUP(Tableau1[[#This Row],[Name PFI/CDD]],Plant_AILN!I:J,2,FALSE))</f>
        <v>-</v>
      </c>
      <c r="AN37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2" s="2" t="e">
        <f ca="1">VLOOKUP(Tableau1[[#This Row],[Key(POD -PFI- Usine)]],'DATA Consignee'!A:J,10,FALSE)</f>
        <v>#N/A</v>
      </c>
      <c r="AQ372" s="50" t="e">
        <f ca="1">VLOOKUP(Tableau1[[#This Row],[Key(POD -PFI- Usine)]],'DATA Consignee'!A:N,14,FALSE)</f>
        <v>#N/A</v>
      </c>
      <c r="AR37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2" s="50" t="e">
        <f ca="1">Tableau1[[#This Row],[Transit time]]+Tableau1[[#This Row],[Time for security]]+Tableau1[[#This Row],[Time for security2 buffer]]</f>
        <v>#N/A</v>
      </c>
      <c r="AU37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2" s="50" t="e">
        <f ca="1">Tableau1[[#This Row],[Leadtime SI2C]]+Tableau1[[#This Row],[First Receipt Days]]-Tableau1[[#This Row],[Day Customer Order]]+1</f>
        <v>#N/A</v>
      </c>
      <c r="AW372" s="117" t="e">
        <f ca="1">IF(Tableau1[[#This Row],[Name ILN]]&lt;&gt;"SFK Freight Forwarder",Tableau1[[#This Row],[Cust. Leadtime]],Tableau1[[#This Row],[Leadtime SI2C]])</f>
        <v>#N/A</v>
      </c>
      <c r="AX372" s="57" t="e">
        <f>VLOOKUP(Tableau1[[#This Row],[ID]],'DATA BTO'!B:P,15,FALSE)</f>
        <v>#N/A</v>
      </c>
      <c r="AY372" s="328" t="e">
        <f ca="1">IFERROR(VLOOKUP(Tableau1[[#This Row],[Key(ID-Actif)]],'DATA BTO'!A:N,4,FALSE),VLOOKUP(Tableau1[[#This Row],[ID]],'DATA BTO'!B:N,3,FALSE))</f>
        <v>#N/A</v>
      </c>
      <c r="AZ37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2" s="50"/>
    </row>
    <row r="373" spans="2:57">
      <c r="B373" s="405" t="str">
        <f>_xlfn.CONCAT(Tableau1[[#This Row],[Name ILN]],"-",Tableau1[[#This Row],[Name Shipper]],"-",Tableau1[[#This Row],[Name Site]])</f>
        <v>--</v>
      </c>
      <c r="C373" s="64" t="e">
        <f>_xlfn.CONCAT(Tableau1[[#This Row],[Compte ILN]],"-",Tableau1[[#This Row],[Compte Shipper]],"-",Tableau1[[#This Row],[POL]],"-",Tableau1[[#This Row],[Compte Consignee]])</f>
        <v>#N/A</v>
      </c>
      <c r="D373" s="64" t="e">
        <f>_xlfn.CONCAT(Tableau1[[#This Row],[Compte ILN]],"-",Tableau1[[#This Row],[Compte Shipper]],"-",Tableau1[[#This Row],[POL]])</f>
        <v>#N/A</v>
      </c>
      <c r="E373" s="128" t="e">
        <f ca="1">_xlfn.CONCAT(Tableau1[[#This Row],[POL]],"-",Tableau1[[#This Row],[Carrier]],"-",Tableau1[[#This Row],[POD]])</f>
        <v>#N/A</v>
      </c>
      <c r="F373" s="64" t="str">
        <f>_xlfn.CONCAT(Tableau1[[#This Row],[ID]],"-","Actif")</f>
        <v>-Actif</v>
      </c>
      <c r="G373" s="64" t="e">
        <f ca="1">_xlfn.CONCAT(Tableau1[[#This Row],[POD]],"-",Tableau1[[#This Row],[Code PFI]],"-",Tableau1[[#This Row],[Compte Consignee]])</f>
        <v>#N/A</v>
      </c>
      <c r="H37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3" s="117" t="str">
        <f ca="1">IF(COUNTIF(I:I,Tableau1[[#This Row],[Plant-ILN-shipper-POL-Carrier-POD-PFI]])=1,"Non","Oui")</f>
        <v>Oui</v>
      </c>
      <c r="K373" s="126" t="e">
        <f>VLOOKUP(Tableau1[[#This Row],[Name Site]],Plant_AILN!A:D,4,FALSE)</f>
        <v>#N/A</v>
      </c>
      <c r="L373" s="363"/>
      <c r="M373" s="492" t="e">
        <f>VLOOKUP(Tableau1[[#This Row],[Name Site]],Plant_AILN!A:C,3,FALSE)</f>
        <v>#N/A</v>
      </c>
      <c r="N373" s="55" t="e">
        <f>VLOOKUP(Tableau1[[#This Row],[Compte Consignee]],Order!C:D,2,FALSE)</f>
        <v>#N/A</v>
      </c>
      <c r="O373" s="122"/>
      <c r="P373" s="481" t="e">
        <f>VLOOKUP(Tableau1[[#This Row],[Name ILN]],Plant_AILN!F:G,2,FALSE)</f>
        <v>#N/A</v>
      </c>
      <c r="Q373" s="50" t="e">
        <f>VLOOKUP(Tableau1[[#This Row],[Compte ILN]],'DATA ILN'!D:I,6,FALSE)</f>
        <v>#N/A</v>
      </c>
      <c r="R373" s="50" t="e">
        <f>IFERROR(VLOOKUP(Tableau1[[#This Row],[Key(Compte ILN - shipper - POL - plant)]],'DATA ILN'!A:J,10,FALSE),VLOOKUP(Tableau1[[#This Row],[Key(Compte ILN - shipper - POL)]],'DATA ILN'!B:J,9,FALSE))</f>
        <v>#N/A</v>
      </c>
      <c r="S373" s="50" t="e">
        <f>IFERROR(VLOOKUP(Tableau1[[#This Row],[Key(Compte ILN - shipper - POL - plant)]],'DATA ILN'!A:K,11,FALSE),VLOOKUP(Tableau1[[#This Row],[Key(Compte ILN - shipper - POL)]],'DATA ILN'!B:K,10,FALSE))</f>
        <v>#N/A</v>
      </c>
      <c r="T373" s="50" t="e">
        <f>IFERROR(VLOOKUP(Tableau1[[#This Row],[Key(Compte ILN - shipper - POL - plant)]],'DATA ILN'!A:L,12,FALSE),VLOOKUP(Tableau1[[#This Row],[Key(Compte ILN - shipper - POL)]],'DATA ILN'!B:L,11,FALSE))</f>
        <v>#N/A</v>
      </c>
      <c r="U373" s="50" t="e">
        <f>Tableau1[[#This Row],[Day ILN Order]]+Tableau1[[#This Row],[Delivery time to ILN/Shipper]]-1</f>
        <v>#N/A</v>
      </c>
      <c r="V373" s="50" t="e">
        <f>IFERROR(VLOOKUP(Tableau1[[#This Row],[Key(Compte ILN - shipper - POL - plant)]],'DATA ILN'!A:N,14,FALSE),VLOOKUP(Tableau1[[#This Row],[Key(Compte ILN - shipper - POL)]],'DATA ILN'!B:N,13,FALSE))</f>
        <v>#N/A</v>
      </c>
      <c r="W373" s="50" t="e">
        <f>IFERROR(VLOOKUP(Tableau1[[#This Row],[Key(Compte ILN - shipper - POL - plant)]],'DATA ILN'!A:P,16,FALSE),VLOOKUP(Tableau1[[#This Row],[Key(Compte ILN - shipper - POL)]],'DATA ILN'!B:P,15,FALSE))</f>
        <v>#N/A</v>
      </c>
      <c r="X373" s="283"/>
      <c r="Y373" s="489">
        <f>IFERROR(VLOOKUP(Tableau1[[#This Row],[Name Shipper]],Plant_AILN!L:M,2,FALSE),0)</f>
        <v>0</v>
      </c>
      <c r="Z373" s="358"/>
      <c r="AA373" s="353" t="e">
        <f ca="1">VLOOKUP(Tableau1[[#This Row],[Key(ID-Actif)]],'DATA BTO'!A:N,5,FALSE)</f>
        <v>#N/A</v>
      </c>
      <c r="AB373" s="3" t="e">
        <f ca="1">VLOOKUP(Tableau1[[#This Row],[Key(ID-Actif)]],'DATA BTO'!A:N,6,FALSE)</f>
        <v>#N/A</v>
      </c>
      <c r="AC373" s="50" t="e">
        <f ca="1">VLOOKUP(Tableau1[[#This Row],[Key(ID-Actif)]],'DATA BTO'!A:N,7,FALSE)</f>
        <v>#N/A</v>
      </c>
      <c r="AD373" s="50" t="e">
        <f ca="1">VLOOKUP(Tableau1[[#This Row],[Key(ID-Actif)]],'DATA BTO'!A:N,8,FALSE)</f>
        <v>#N/A</v>
      </c>
      <c r="AE373" s="406" t="e">
        <f ca="1">IF(Tableau1[[#This Row],[First Day to POL]]&lt;=Tableau1[[#This Row],[Day Cut Off]],Tableau1[[#This Row],[Day ETD]],Tableau1[[#This Row],[Day ETD]]+7)</f>
        <v>#N/A</v>
      </c>
      <c r="AF373" s="50" t="e">
        <f ca="1">VLOOKUP(Tableau1[[#This Row],[Key(ID-Actif)]],'DATA BTO'!A:N,9,FALSE)</f>
        <v>#N/A</v>
      </c>
      <c r="AG373" s="3" t="e">
        <f ca="1">VLOOKUP(Tableau1[[#This Row],[Key(ID-Actif)]],'DATA BTO'!A:N,10,FALSE)</f>
        <v>#N/A</v>
      </c>
      <c r="AH373" s="3" t="e">
        <f ca="1">VLOOKUP(Tableau1[[#This Row],[Key(ID-Actif)]],'DATA BTO'!A:N,11,FALSE)</f>
        <v>#N/A</v>
      </c>
      <c r="AI373" s="50" t="e">
        <f ca="1">VLOOKUP(Tableau1[[#This Row],[Key(ID-Actif)]],'DATA BTO'!A:N,12,FALSE)</f>
        <v>#N/A</v>
      </c>
      <c r="AJ373" s="53" t="e">
        <f ca="1">VLOOKUP(Tableau1[[#This Row],[Key(ID-Actif)]],'DATA BTO'!A:N,14,FALSE)</f>
        <v>#N/A</v>
      </c>
      <c r="AK373" s="54" t="e">
        <f ca="1">VLOOKUP(Tableau1[[#This Row],[Key(POD -PFI- Usine)]],'DATA Consignee'!A:F,6,FALSE)</f>
        <v>#N/A</v>
      </c>
      <c r="AL373" s="283"/>
      <c r="AM373" s="490" t="str">
        <f>IF(Tableau1[[#This Row],[Name PFI/CDD]]="","-",VLOOKUP(Tableau1[[#This Row],[Name PFI/CDD]],Plant_AILN!I:J,2,FALSE))</f>
        <v>-</v>
      </c>
      <c r="AN37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3" s="2" t="e">
        <f ca="1">VLOOKUP(Tableau1[[#This Row],[Key(POD -PFI- Usine)]],'DATA Consignee'!A:J,10,FALSE)</f>
        <v>#N/A</v>
      </c>
      <c r="AQ373" s="50" t="e">
        <f ca="1">VLOOKUP(Tableau1[[#This Row],[Key(POD -PFI- Usine)]],'DATA Consignee'!A:N,14,FALSE)</f>
        <v>#N/A</v>
      </c>
      <c r="AR37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3" s="50" t="e">
        <f ca="1">Tableau1[[#This Row],[Transit time]]+Tableau1[[#This Row],[Time for security]]+Tableau1[[#This Row],[Time for security2 buffer]]</f>
        <v>#N/A</v>
      </c>
      <c r="AU37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3" s="50" t="e">
        <f ca="1">Tableau1[[#This Row],[Leadtime SI2C]]+Tableau1[[#This Row],[First Receipt Days]]-Tableau1[[#This Row],[Day Customer Order]]+1</f>
        <v>#N/A</v>
      </c>
      <c r="AW373" s="117" t="e">
        <f ca="1">IF(Tableau1[[#This Row],[Name ILN]]&lt;&gt;"SFK Freight Forwarder",Tableau1[[#This Row],[Cust. Leadtime]],Tableau1[[#This Row],[Leadtime SI2C]])</f>
        <v>#N/A</v>
      </c>
      <c r="AX373" s="57" t="e">
        <f>VLOOKUP(Tableau1[[#This Row],[ID]],'DATA BTO'!B:P,15,FALSE)</f>
        <v>#N/A</v>
      </c>
      <c r="AY373" s="328" t="e">
        <f ca="1">IFERROR(VLOOKUP(Tableau1[[#This Row],[Key(ID-Actif)]],'DATA BTO'!A:N,4,FALSE),VLOOKUP(Tableau1[[#This Row],[ID]],'DATA BTO'!B:N,3,FALSE))</f>
        <v>#N/A</v>
      </c>
      <c r="AZ37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3" s="50"/>
    </row>
    <row r="374" spans="2:57">
      <c r="B374" s="405" t="str">
        <f>_xlfn.CONCAT(Tableau1[[#This Row],[Name ILN]],"-",Tableau1[[#This Row],[Name Shipper]],"-",Tableau1[[#This Row],[Name Site]])</f>
        <v>--</v>
      </c>
      <c r="C374" s="64" t="e">
        <f>_xlfn.CONCAT(Tableau1[[#This Row],[Compte ILN]],"-",Tableau1[[#This Row],[Compte Shipper]],"-",Tableau1[[#This Row],[POL]],"-",Tableau1[[#This Row],[Compte Consignee]])</f>
        <v>#N/A</v>
      </c>
      <c r="D374" s="64" t="e">
        <f>_xlfn.CONCAT(Tableau1[[#This Row],[Compte ILN]],"-",Tableau1[[#This Row],[Compte Shipper]],"-",Tableau1[[#This Row],[POL]])</f>
        <v>#N/A</v>
      </c>
      <c r="E374" s="128" t="e">
        <f ca="1">_xlfn.CONCAT(Tableau1[[#This Row],[POL]],"-",Tableau1[[#This Row],[Carrier]],"-",Tableau1[[#This Row],[POD]])</f>
        <v>#N/A</v>
      </c>
      <c r="F374" s="64" t="str">
        <f>_xlfn.CONCAT(Tableau1[[#This Row],[ID]],"-","Actif")</f>
        <v>-Actif</v>
      </c>
      <c r="G374" s="64" t="e">
        <f ca="1">_xlfn.CONCAT(Tableau1[[#This Row],[POD]],"-",Tableau1[[#This Row],[Code PFI]],"-",Tableau1[[#This Row],[Compte Consignee]])</f>
        <v>#N/A</v>
      </c>
      <c r="H37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4" s="117" t="str">
        <f ca="1">IF(COUNTIF(I:I,Tableau1[[#This Row],[Plant-ILN-shipper-POL-Carrier-POD-PFI]])=1,"Non","Oui")</f>
        <v>Oui</v>
      </c>
      <c r="K374" s="126" t="e">
        <f>VLOOKUP(Tableau1[[#This Row],[Name Site]],Plant_AILN!A:D,4,FALSE)</f>
        <v>#N/A</v>
      </c>
      <c r="L374" s="363"/>
      <c r="M374" s="492" t="e">
        <f>VLOOKUP(Tableau1[[#This Row],[Name Site]],Plant_AILN!A:C,3,FALSE)</f>
        <v>#N/A</v>
      </c>
      <c r="N374" s="55" t="e">
        <f>VLOOKUP(Tableau1[[#This Row],[Compte Consignee]],Order!C:D,2,FALSE)</f>
        <v>#N/A</v>
      </c>
      <c r="O374" s="122"/>
      <c r="P374" s="481" t="e">
        <f>VLOOKUP(Tableau1[[#This Row],[Name ILN]],Plant_AILN!F:G,2,FALSE)</f>
        <v>#N/A</v>
      </c>
      <c r="Q374" s="50" t="e">
        <f>VLOOKUP(Tableau1[[#This Row],[Compte ILN]],'DATA ILN'!D:I,6,FALSE)</f>
        <v>#N/A</v>
      </c>
      <c r="R374" s="50" t="e">
        <f>IFERROR(VLOOKUP(Tableau1[[#This Row],[Key(Compte ILN - shipper - POL - plant)]],'DATA ILN'!A:J,10,FALSE),VLOOKUP(Tableau1[[#This Row],[Key(Compte ILN - shipper - POL)]],'DATA ILN'!B:J,9,FALSE))</f>
        <v>#N/A</v>
      </c>
      <c r="S374" s="50" t="e">
        <f>IFERROR(VLOOKUP(Tableau1[[#This Row],[Key(Compte ILN - shipper - POL - plant)]],'DATA ILN'!A:K,11,FALSE),VLOOKUP(Tableau1[[#This Row],[Key(Compte ILN - shipper - POL)]],'DATA ILN'!B:K,10,FALSE))</f>
        <v>#N/A</v>
      </c>
      <c r="T374" s="50" t="e">
        <f>IFERROR(VLOOKUP(Tableau1[[#This Row],[Key(Compte ILN - shipper - POL - plant)]],'DATA ILN'!A:L,12,FALSE),VLOOKUP(Tableau1[[#This Row],[Key(Compte ILN - shipper - POL)]],'DATA ILN'!B:L,11,FALSE))</f>
        <v>#N/A</v>
      </c>
      <c r="U374" s="50" t="e">
        <f>Tableau1[[#This Row],[Day ILN Order]]+Tableau1[[#This Row],[Delivery time to ILN/Shipper]]-1</f>
        <v>#N/A</v>
      </c>
      <c r="V374" s="50" t="e">
        <f>IFERROR(VLOOKUP(Tableau1[[#This Row],[Key(Compte ILN - shipper - POL - plant)]],'DATA ILN'!A:N,14,FALSE),VLOOKUP(Tableau1[[#This Row],[Key(Compte ILN - shipper - POL)]],'DATA ILN'!B:N,13,FALSE))</f>
        <v>#N/A</v>
      </c>
      <c r="W374" s="50" t="e">
        <f>IFERROR(VLOOKUP(Tableau1[[#This Row],[Key(Compte ILN - shipper - POL - plant)]],'DATA ILN'!A:P,16,FALSE),VLOOKUP(Tableau1[[#This Row],[Key(Compte ILN - shipper - POL)]],'DATA ILN'!B:P,15,FALSE))</f>
        <v>#N/A</v>
      </c>
      <c r="X374" s="283"/>
      <c r="Y374" s="489">
        <f>IFERROR(VLOOKUP(Tableau1[[#This Row],[Name Shipper]],Plant_AILN!L:M,2,FALSE),0)</f>
        <v>0</v>
      </c>
      <c r="Z374" s="358"/>
      <c r="AA374" s="353" t="e">
        <f ca="1">VLOOKUP(Tableau1[[#This Row],[Key(ID-Actif)]],'DATA BTO'!A:N,5,FALSE)</f>
        <v>#N/A</v>
      </c>
      <c r="AB374" s="3" t="e">
        <f ca="1">VLOOKUP(Tableau1[[#This Row],[Key(ID-Actif)]],'DATA BTO'!A:N,6,FALSE)</f>
        <v>#N/A</v>
      </c>
      <c r="AC374" s="50" t="e">
        <f ca="1">VLOOKUP(Tableau1[[#This Row],[Key(ID-Actif)]],'DATA BTO'!A:N,7,FALSE)</f>
        <v>#N/A</v>
      </c>
      <c r="AD374" s="50" t="e">
        <f ca="1">VLOOKUP(Tableau1[[#This Row],[Key(ID-Actif)]],'DATA BTO'!A:N,8,FALSE)</f>
        <v>#N/A</v>
      </c>
      <c r="AE374" s="406" t="e">
        <f ca="1">IF(Tableau1[[#This Row],[First Day to POL]]&lt;=Tableau1[[#This Row],[Day Cut Off]],Tableau1[[#This Row],[Day ETD]],Tableau1[[#This Row],[Day ETD]]+7)</f>
        <v>#N/A</v>
      </c>
      <c r="AF374" s="50" t="e">
        <f ca="1">VLOOKUP(Tableau1[[#This Row],[Key(ID-Actif)]],'DATA BTO'!A:N,9,FALSE)</f>
        <v>#N/A</v>
      </c>
      <c r="AG374" s="3" t="e">
        <f ca="1">VLOOKUP(Tableau1[[#This Row],[Key(ID-Actif)]],'DATA BTO'!A:N,10,FALSE)</f>
        <v>#N/A</v>
      </c>
      <c r="AH374" s="3" t="e">
        <f ca="1">VLOOKUP(Tableau1[[#This Row],[Key(ID-Actif)]],'DATA BTO'!A:N,11,FALSE)</f>
        <v>#N/A</v>
      </c>
      <c r="AI374" s="50" t="e">
        <f ca="1">VLOOKUP(Tableau1[[#This Row],[Key(ID-Actif)]],'DATA BTO'!A:N,12,FALSE)</f>
        <v>#N/A</v>
      </c>
      <c r="AJ374" s="53" t="e">
        <f ca="1">VLOOKUP(Tableau1[[#This Row],[Key(ID-Actif)]],'DATA BTO'!A:N,14,FALSE)</f>
        <v>#N/A</v>
      </c>
      <c r="AK374" s="54" t="e">
        <f ca="1">VLOOKUP(Tableau1[[#This Row],[Key(POD -PFI- Usine)]],'DATA Consignee'!A:F,6,FALSE)</f>
        <v>#N/A</v>
      </c>
      <c r="AL374" s="283"/>
      <c r="AM374" s="490" t="str">
        <f>IF(Tableau1[[#This Row],[Name PFI/CDD]]="","-",VLOOKUP(Tableau1[[#This Row],[Name PFI/CDD]],Plant_AILN!I:J,2,FALSE))</f>
        <v>-</v>
      </c>
      <c r="AN37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4" s="2" t="e">
        <f ca="1">VLOOKUP(Tableau1[[#This Row],[Key(POD -PFI- Usine)]],'DATA Consignee'!A:J,10,FALSE)</f>
        <v>#N/A</v>
      </c>
      <c r="AQ374" s="50" t="e">
        <f ca="1">VLOOKUP(Tableau1[[#This Row],[Key(POD -PFI- Usine)]],'DATA Consignee'!A:N,14,FALSE)</f>
        <v>#N/A</v>
      </c>
      <c r="AR37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4" s="50" t="e">
        <f ca="1">Tableau1[[#This Row],[Transit time]]+Tableau1[[#This Row],[Time for security]]+Tableau1[[#This Row],[Time for security2 buffer]]</f>
        <v>#N/A</v>
      </c>
      <c r="AU37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4" s="50" t="e">
        <f ca="1">Tableau1[[#This Row],[Leadtime SI2C]]+Tableau1[[#This Row],[First Receipt Days]]-Tableau1[[#This Row],[Day Customer Order]]+1</f>
        <v>#N/A</v>
      </c>
      <c r="AW374" s="117" t="e">
        <f ca="1">IF(Tableau1[[#This Row],[Name ILN]]&lt;&gt;"SFK Freight Forwarder",Tableau1[[#This Row],[Cust. Leadtime]],Tableau1[[#This Row],[Leadtime SI2C]])</f>
        <v>#N/A</v>
      </c>
      <c r="AX374" s="57" t="e">
        <f>VLOOKUP(Tableau1[[#This Row],[ID]],'DATA BTO'!B:P,15,FALSE)</f>
        <v>#N/A</v>
      </c>
      <c r="AY374" s="328" t="e">
        <f ca="1">IFERROR(VLOOKUP(Tableau1[[#This Row],[Key(ID-Actif)]],'DATA BTO'!A:N,4,FALSE),VLOOKUP(Tableau1[[#This Row],[ID]],'DATA BTO'!B:N,3,FALSE))</f>
        <v>#N/A</v>
      </c>
      <c r="AZ37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4" s="50"/>
    </row>
    <row r="375" spans="2:57">
      <c r="B375" s="405" t="str">
        <f>_xlfn.CONCAT(Tableau1[[#This Row],[Name ILN]],"-",Tableau1[[#This Row],[Name Shipper]],"-",Tableau1[[#This Row],[Name Site]])</f>
        <v>--</v>
      </c>
      <c r="C375" s="64" t="e">
        <f>_xlfn.CONCAT(Tableau1[[#This Row],[Compte ILN]],"-",Tableau1[[#This Row],[Compte Shipper]],"-",Tableau1[[#This Row],[POL]],"-",Tableau1[[#This Row],[Compte Consignee]])</f>
        <v>#N/A</v>
      </c>
      <c r="D375" s="64" t="e">
        <f>_xlfn.CONCAT(Tableau1[[#This Row],[Compte ILN]],"-",Tableau1[[#This Row],[Compte Shipper]],"-",Tableau1[[#This Row],[POL]])</f>
        <v>#N/A</v>
      </c>
      <c r="E375" s="128" t="e">
        <f ca="1">_xlfn.CONCAT(Tableau1[[#This Row],[POL]],"-",Tableau1[[#This Row],[Carrier]],"-",Tableau1[[#This Row],[POD]])</f>
        <v>#N/A</v>
      </c>
      <c r="F375" s="64" t="str">
        <f>_xlfn.CONCAT(Tableau1[[#This Row],[ID]],"-","Actif")</f>
        <v>-Actif</v>
      </c>
      <c r="G375" s="64" t="e">
        <f ca="1">_xlfn.CONCAT(Tableau1[[#This Row],[POD]],"-",Tableau1[[#This Row],[Code PFI]],"-",Tableau1[[#This Row],[Compte Consignee]])</f>
        <v>#N/A</v>
      </c>
      <c r="H37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5" s="117" t="str">
        <f ca="1">IF(COUNTIF(I:I,Tableau1[[#This Row],[Plant-ILN-shipper-POL-Carrier-POD-PFI]])=1,"Non","Oui")</f>
        <v>Oui</v>
      </c>
      <c r="K375" s="126" t="e">
        <f>VLOOKUP(Tableau1[[#This Row],[Name Site]],Plant_AILN!A:D,4,FALSE)</f>
        <v>#N/A</v>
      </c>
      <c r="L375" s="363"/>
      <c r="M375" s="492" t="e">
        <f>VLOOKUP(Tableau1[[#This Row],[Name Site]],Plant_AILN!A:C,3,FALSE)</f>
        <v>#N/A</v>
      </c>
      <c r="N375" s="55" t="e">
        <f>VLOOKUP(Tableau1[[#This Row],[Compte Consignee]],Order!C:D,2,FALSE)</f>
        <v>#N/A</v>
      </c>
      <c r="O375" s="122"/>
      <c r="P375" s="481" t="e">
        <f>VLOOKUP(Tableau1[[#This Row],[Name ILN]],Plant_AILN!F:G,2,FALSE)</f>
        <v>#N/A</v>
      </c>
      <c r="Q375" s="50" t="e">
        <f>VLOOKUP(Tableau1[[#This Row],[Compte ILN]],'DATA ILN'!D:I,6,FALSE)</f>
        <v>#N/A</v>
      </c>
      <c r="R375" s="50" t="e">
        <f>IFERROR(VLOOKUP(Tableau1[[#This Row],[Key(Compte ILN - shipper - POL - plant)]],'DATA ILN'!A:J,10,FALSE),VLOOKUP(Tableau1[[#This Row],[Key(Compte ILN - shipper - POL)]],'DATA ILN'!B:J,9,FALSE))</f>
        <v>#N/A</v>
      </c>
      <c r="S375" s="50" t="e">
        <f>IFERROR(VLOOKUP(Tableau1[[#This Row],[Key(Compte ILN - shipper - POL - plant)]],'DATA ILN'!A:K,11,FALSE),VLOOKUP(Tableau1[[#This Row],[Key(Compte ILN - shipper - POL)]],'DATA ILN'!B:K,10,FALSE))</f>
        <v>#N/A</v>
      </c>
      <c r="T375" s="50" t="e">
        <f>IFERROR(VLOOKUP(Tableau1[[#This Row],[Key(Compte ILN - shipper - POL - plant)]],'DATA ILN'!A:L,12,FALSE),VLOOKUP(Tableau1[[#This Row],[Key(Compte ILN - shipper - POL)]],'DATA ILN'!B:L,11,FALSE))</f>
        <v>#N/A</v>
      </c>
      <c r="U375" s="50" t="e">
        <f>Tableau1[[#This Row],[Day ILN Order]]+Tableau1[[#This Row],[Delivery time to ILN/Shipper]]-1</f>
        <v>#N/A</v>
      </c>
      <c r="V375" s="50" t="e">
        <f>IFERROR(VLOOKUP(Tableau1[[#This Row],[Key(Compte ILN - shipper - POL - plant)]],'DATA ILN'!A:N,14,FALSE),VLOOKUP(Tableau1[[#This Row],[Key(Compte ILN - shipper - POL)]],'DATA ILN'!B:N,13,FALSE))</f>
        <v>#N/A</v>
      </c>
      <c r="W375" s="50" t="e">
        <f>IFERROR(VLOOKUP(Tableau1[[#This Row],[Key(Compte ILN - shipper - POL - plant)]],'DATA ILN'!A:P,16,FALSE),VLOOKUP(Tableau1[[#This Row],[Key(Compte ILN - shipper - POL)]],'DATA ILN'!B:P,15,FALSE))</f>
        <v>#N/A</v>
      </c>
      <c r="X375" s="283"/>
      <c r="Y375" s="489">
        <f>IFERROR(VLOOKUP(Tableau1[[#This Row],[Name Shipper]],Plant_AILN!L:M,2,FALSE),0)</f>
        <v>0</v>
      </c>
      <c r="Z375" s="358"/>
      <c r="AA375" s="353" t="e">
        <f ca="1">VLOOKUP(Tableau1[[#This Row],[Key(ID-Actif)]],'DATA BTO'!A:N,5,FALSE)</f>
        <v>#N/A</v>
      </c>
      <c r="AB375" s="3" t="e">
        <f ca="1">VLOOKUP(Tableau1[[#This Row],[Key(ID-Actif)]],'DATA BTO'!A:N,6,FALSE)</f>
        <v>#N/A</v>
      </c>
      <c r="AC375" s="50" t="e">
        <f ca="1">VLOOKUP(Tableau1[[#This Row],[Key(ID-Actif)]],'DATA BTO'!A:N,7,FALSE)</f>
        <v>#N/A</v>
      </c>
      <c r="AD375" s="50" t="e">
        <f ca="1">VLOOKUP(Tableau1[[#This Row],[Key(ID-Actif)]],'DATA BTO'!A:N,8,FALSE)</f>
        <v>#N/A</v>
      </c>
      <c r="AE375" s="406" t="e">
        <f ca="1">IF(Tableau1[[#This Row],[First Day to POL]]&lt;=Tableau1[[#This Row],[Day Cut Off]],Tableau1[[#This Row],[Day ETD]],Tableau1[[#This Row],[Day ETD]]+7)</f>
        <v>#N/A</v>
      </c>
      <c r="AF375" s="50" t="e">
        <f ca="1">VLOOKUP(Tableau1[[#This Row],[Key(ID-Actif)]],'DATA BTO'!A:N,9,FALSE)</f>
        <v>#N/A</v>
      </c>
      <c r="AG375" s="3" t="e">
        <f ca="1">VLOOKUP(Tableau1[[#This Row],[Key(ID-Actif)]],'DATA BTO'!A:N,10,FALSE)</f>
        <v>#N/A</v>
      </c>
      <c r="AH375" s="3" t="e">
        <f ca="1">VLOOKUP(Tableau1[[#This Row],[Key(ID-Actif)]],'DATA BTO'!A:N,11,FALSE)</f>
        <v>#N/A</v>
      </c>
      <c r="AI375" s="50" t="e">
        <f ca="1">VLOOKUP(Tableau1[[#This Row],[Key(ID-Actif)]],'DATA BTO'!A:N,12,FALSE)</f>
        <v>#N/A</v>
      </c>
      <c r="AJ375" s="53" t="e">
        <f ca="1">VLOOKUP(Tableau1[[#This Row],[Key(ID-Actif)]],'DATA BTO'!A:N,14,FALSE)</f>
        <v>#N/A</v>
      </c>
      <c r="AK375" s="54" t="e">
        <f ca="1">VLOOKUP(Tableau1[[#This Row],[Key(POD -PFI- Usine)]],'DATA Consignee'!A:F,6,FALSE)</f>
        <v>#N/A</v>
      </c>
      <c r="AL375" s="283"/>
      <c r="AM375" s="490" t="str">
        <f>IF(Tableau1[[#This Row],[Name PFI/CDD]]="","-",VLOOKUP(Tableau1[[#This Row],[Name PFI/CDD]],Plant_AILN!I:J,2,FALSE))</f>
        <v>-</v>
      </c>
      <c r="AN37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5" s="2" t="e">
        <f ca="1">VLOOKUP(Tableau1[[#This Row],[Key(POD -PFI- Usine)]],'DATA Consignee'!A:J,10,FALSE)</f>
        <v>#N/A</v>
      </c>
      <c r="AQ375" s="50" t="e">
        <f ca="1">VLOOKUP(Tableau1[[#This Row],[Key(POD -PFI- Usine)]],'DATA Consignee'!A:N,14,FALSE)</f>
        <v>#N/A</v>
      </c>
      <c r="AR37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5" s="50" t="e">
        <f ca="1">Tableau1[[#This Row],[Transit time]]+Tableau1[[#This Row],[Time for security]]+Tableau1[[#This Row],[Time for security2 buffer]]</f>
        <v>#N/A</v>
      </c>
      <c r="AU37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5" s="50" t="e">
        <f ca="1">Tableau1[[#This Row],[Leadtime SI2C]]+Tableau1[[#This Row],[First Receipt Days]]-Tableau1[[#This Row],[Day Customer Order]]+1</f>
        <v>#N/A</v>
      </c>
      <c r="AW375" s="117" t="e">
        <f ca="1">IF(Tableau1[[#This Row],[Name ILN]]&lt;&gt;"SFK Freight Forwarder",Tableau1[[#This Row],[Cust. Leadtime]],Tableau1[[#This Row],[Leadtime SI2C]])</f>
        <v>#N/A</v>
      </c>
      <c r="AX375" s="57" t="e">
        <f>VLOOKUP(Tableau1[[#This Row],[ID]],'DATA BTO'!B:P,15,FALSE)</f>
        <v>#N/A</v>
      </c>
      <c r="AY375" s="328" t="e">
        <f ca="1">IFERROR(VLOOKUP(Tableau1[[#This Row],[Key(ID-Actif)]],'DATA BTO'!A:N,4,FALSE),VLOOKUP(Tableau1[[#This Row],[ID]],'DATA BTO'!B:N,3,FALSE))</f>
        <v>#N/A</v>
      </c>
      <c r="AZ37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5" s="50"/>
    </row>
    <row r="376" spans="2:57">
      <c r="B376" s="405" t="str">
        <f>_xlfn.CONCAT(Tableau1[[#This Row],[Name ILN]],"-",Tableau1[[#This Row],[Name Shipper]],"-",Tableau1[[#This Row],[Name Site]])</f>
        <v>--</v>
      </c>
      <c r="C376" s="64" t="e">
        <f>_xlfn.CONCAT(Tableau1[[#This Row],[Compte ILN]],"-",Tableau1[[#This Row],[Compte Shipper]],"-",Tableau1[[#This Row],[POL]],"-",Tableau1[[#This Row],[Compte Consignee]])</f>
        <v>#N/A</v>
      </c>
      <c r="D376" s="64" t="e">
        <f>_xlfn.CONCAT(Tableau1[[#This Row],[Compte ILN]],"-",Tableau1[[#This Row],[Compte Shipper]],"-",Tableau1[[#This Row],[POL]])</f>
        <v>#N/A</v>
      </c>
      <c r="E376" s="128" t="e">
        <f ca="1">_xlfn.CONCAT(Tableau1[[#This Row],[POL]],"-",Tableau1[[#This Row],[Carrier]],"-",Tableau1[[#This Row],[POD]])</f>
        <v>#N/A</v>
      </c>
      <c r="F376" s="64" t="str">
        <f>_xlfn.CONCAT(Tableau1[[#This Row],[ID]],"-","Actif")</f>
        <v>-Actif</v>
      </c>
      <c r="G376" s="64" t="e">
        <f ca="1">_xlfn.CONCAT(Tableau1[[#This Row],[POD]],"-",Tableau1[[#This Row],[Code PFI]],"-",Tableau1[[#This Row],[Compte Consignee]])</f>
        <v>#N/A</v>
      </c>
      <c r="H37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6" s="117" t="str">
        <f ca="1">IF(COUNTIF(I:I,Tableau1[[#This Row],[Plant-ILN-shipper-POL-Carrier-POD-PFI]])=1,"Non","Oui")</f>
        <v>Oui</v>
      </c>
      <c r="K376" s="126" t="e">
        <f>VLOOKUP(Tableau1[[#This Row],[Name Site]],Plant_AILN!A:D,4,FALSE)</f>
        <v>#N/A</v>
      </c>
      <c r="L376" s="363"/>
      <c r="M376" s="492" t="e">
        <f>VLOOKUP(Tableau1[[#This Row],[Name Site]],Plant_AILN!A:C,3,FALSE)</f>
        <v>#N/A</v>
      </c>
      <c r="N376" s="55" t="e">
        <f>VLOOKUP(Tableau1[[#This Row],[Compte Consignee]],Order!C:D,2,FALSE)</f>
        <v>#N/A</v>
      </c>
      <c r="O376" s="122"/>
      <c r="P376" s="481" t="e">
        <f>VLOOKUP(Tableau1[[#This Row],[Name ILN]],Plant_AILN!F:G,2,FALSE)</f>
        <v>#N/A</v>
      </c>
      <c r="Q376" s="50" t="e">
        <f>VLOOKUP(Tableau1[[#This Row],[Compte ILN]],'DATA ILN'!D:I,6,FALSE)</f>
        <v>#N/A</v>
      </c>
      <c r="R376" s="50" t="e">
        <f>IFERROR(VLOOKUP(Tableau1[[#This Row],[Key(Compte ILN - shipper - POL - plant)]],'DATA ILN'!A:J,10,FALSE),VLOOKUP(Tableau1[[#This Row],[Key(Compte ILN - shipper - POL)]],'DATA ILN'!B:J,9,FALSE))</f>
        <v>#N/A</v>
      </c>
      <c r="S376" s="50" t="e">
        <f>IFERROR(VLOOKUP(Tableau1[[#This Row],[Key(Compte ILN - shipper - POL - plant)]],'DATA ILN'!A:K,11,FALSE),VLOOKUP(Tableau1[[#This Row],[Key(Compte ILN - shipper - POL)]],'DATA ILN'!B:K,10,FALSE))</f>
        <v>#N/A</v>
      </c>
      <c r="T376" s="50" t="e">
        <f>IFERROR(VLOOKUP(Tableau1[[#This Row],[Key(Compte ILN - shipper - POL - plant)]],'DATA ILN'!A:L,12,FALSE),VLOOKUP(Tableau1[[#This Row],[Key(Compte ILN - shipper - POL)]],'DATA ILN'!B:L,11,FALSE))</f>
        <v>#N/A</v>
      </c>
      <c r="U376" s="50" t="e">
        <f>Tableau1[[#This Row],[Day ILN Order]]+Tableau1[[#This Row],[Delivery time to ILN/Shipper]]-1</f>
        <v>#N/A</v>
      </c>
      <c r="V376" s="50" t="e">
        <f>IFERROR(VLOOKUP(Tableau1[[#This Row],[Key(Compte ILN - shipper - POL - plant)]],'DATA ILN'!A:N,14,FALSE),VLOOKUP(Tableau1[[#This Row],[Key(Compte ILN - shipper - POL)]],'DATA ILN'!B:N,13,FALSE))</f>
        <v>#N/A</v>
      </c>
      <c r="W376" s="50" t="e">
        <f>IFERROR(VLOOKUP(Tableau1[[#This Row],[Key(Compte ILN - shipper - POL - plant)]],'DATA ILN'!A:P,16,FALSE),VLOOKUP(Tableau1[[#This Row],[Key(Compte ILN - shipper - POL)]],'DATA ILN'!B:P,15,FALSE))</f>
        <v>#N/A</v>
      </c>
      <c r="X376" s="283"/>
      <c r="Y376" s="489">
        <f>IFERROR(VLOOKUP(Tableau1[[#This Row],[Name Shipper]],Plant_AILN!L:M,2,FALSE),0)</f>
        <v>0</v>
      </c>
      <c r="Z376" s="358"/>
      <c r="AA376" s="353" t="e">
        <f ca="1">VLOOKUP(Tableau1[[#This Row],[Key(ID-Actif)]],'DATA BTO'!A:N,5,FALSE)</f>
        <v>#N/A</v>
      </c>
      <c r="AB376" s="3" t="e">
        <f ca="1">VLOOKUP(Tableau1[[#This Row],[Key(ID-Actif)]],'DATA BTO'!A:N,6,FALSE)</f>
        <v>#N/A</v>
      </c>
      <c r="AC376" s="50" t="e">
        <f ca="1">VLOOKUP(Tableau1[[#This Row],[Key(ID-Actif)]],'DATA BTO'!A:N,7,FALSE)</f>
        <v>#N/A</v>
      </c>
      <c r="AD376" s="50" t="e">
        <f ca="1">VLOOKUP(Tableau1[[#This Row],[Key(ID-Actif)]],'DATA BTO'!A:N,8,FALSE)</f>
        <v>#N/A</v>
      </c>
      <c r="AE376" s="406" t="e">
        <f ca="1">IF(Tableau1[[#This Row],[First Day to POL]]&lt;=Tableau1[[#This Row],[Day Cut Off]],Tableau1[[#This Row],[Day ETD]],Tableau1[[#This Row],[Day ETD]]+7)</f>
        <v>#N/A</v>
      </c>
      <c r="AF376" s="50" t="e">
        <f ca="1">VLOOKUP(Tableau1[[#This Row],[Key(ID-Actif)]],'DATA BTO'!A:N,9,FALSE)</f>
        <v>#N/A</v>
      </c>
      <c r="AG376" s="3" t="e">
        <f ca="1">VLOOKUP(Tableau1[[#This Row],[Key(ID-Actif)]],'DATA BTO'!A:N,10,FALSE)</f>
        <v>#N/A</v>
      </c>
      <c r="AH376" s="3" t="e">
        <f ca="1">VLOOKUP(Tableau1[[#This Row],[Key(ID-Actif)]],'DATA BTO'!A:N,11,FALSE)</f>
        <v>#N/A</v>
      </c>
      <c r="AI376" s="50" t="e">
        <f ca="1">VLOOKUP(Tableau1[[#This Row],[Key(ID-Actif)]],'DATA BTO'!A:N,12,FALSE)</f>
        <v>#N/A</v>
      </c>
      <c r="AJ376" s="53" t="e">
        <f ca="1">VLOOKUP(Tableau1[[#This Row],[Key(ID-Actif)]],'DATA BTO'!A:N,14,FALSE)</f>
        <v>#N/A</v>
      </c>
      <c r="AK376" s="54" t="e">
        <f ca="1">VLOOKUP(Tableau1[[#This Row],[Key(POD -PFI- Usine)]],'DATA Consignee'!A:F,6,FALSE)</f>
        <v>#N/A</v>
      </c>
      <c r="AL376" s="283"/>
      <c r="AM376" s="490" t="str">
        <f>IF(Tableau1[[#This Row],[Name PFI/CDD]]="","-",VLOOKUP(Tableau1[[#This Row],[Name PFI/CDD]],Plant_AILN!I:J,2,FALSE))</f>
        <v>-</v>
      </c>
      <c r="AN37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6" s="2" t="e">
        <f ca="1">VLOOKUP(Tableau1[[#This Row],[Key(POD -PFI- Usine)]],'DATA Consignee'!A:J,10,FALSE)</f>
        <v>#N/A</v>
      </c>
      <c r="AQ376" s="50" t="e">
        <f ca="1">VLOOKUP(Tableau1[[#This Row],[Key(POD -PFI- Usine)]],'DATA Consignee'!A:N,14,FALSE)</f>
        <v>#N/A</v>
      </c>
      <c r="AR37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6" s="50" t="e">
        <f ca="1">Tableau1[[#This Row],[Transit time]]+Tableau1[[#This Row],[Time for security]]+Tableau1[[#This Row],[Time for security2 buffer]]</f>
        <v>#N/A</v>
      </c>
      <c r="AU37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6" s="50" t="e">
        <f ca="1">Tableau1[[#This Row],[Leadtime SI2C]]+Tableau1[[#This Row],[First Receipt Days]]-Tableau1[[#This Row],[Day Customer Order]]+1</f>
        <v>#N/A</v>
      </c>
      <c r="AW376" s="117" t="e">
        <f ca="1">IF(Tableau1[[#This Row],[Name ILN]]&lt;&gt;"SFK Freight Forwarder",Tableau1[[#This Row],[Cust. Leadtime]],Tableau1[[#This Row],[Leadtime SI2C]])</f>
        <v>#N/A</v>
      </c>
      <c r="AX376" s="57" t="e">
        <f>VLOOKUP(Tableau1[[#This Row],[ID]],'DATA BTO'!B:P,15,FALSE)</f>
        <v>#N/A</v>
      </c>
      <c r="AY376" s="328" t="e">
        <f ca="1">IFERROR(VLOOKUP(Tableau1[[#This Row],[Key(ID-Actif)]],'DATA BTO'!A:N,4,FALSE),VLOOKUP(Tableau1[[#This Row],[ID]],'DATA BTO'!B:N,3,FALSE))</f>
        <v>#N/A</v>
      </c>
      <c r="AZ37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6" s="50"/>
    </row>
    <row r="377" spans="2:57">
      <c r="B377" s="405" t="str">
        <f>_xlfn.CONCAT(Tableau1[[#This Row],[Name ILN]],"-",Tableau1[[#This Row],[Name Shipper]],"-",Tableau1[[#This Row],[Name Site]])</f>
        <v>--</v>
      </c>
      <c r="C377" s="64" t="e">
        <f>_xlfn.CONCAT(Tableau1[[#This Row],[Compte ILN]],"-",Tableau1[[#This Row],[Compte Shipper]],"-",Tableau1[[#This Row],[POL]],"-",Tableau1[[#This Row],[Compte Consignee]])</f>
        <v>#N/A</v>
      </c>
      <c r="D377" s="64" t="e">
        <f>_xlfn.CONCAT(Tableau1[[#This Row],[Compte ILN]],"-",Tableau1[[#This Row],[Compte Shipper]],"-",Tableau1[[#This Row],[POL]])</f>
        <v>#N/A</v>
      </c>
      <c r="E377" s="128" t="e">
        <f ca="1">_xlfn.CONCAT(Tableau1[[#This Row],[POL]],"-",Tableau1[[#This Row],[Carrier]],"-",Tableau1[[#This Row],[POD]])</f>
        <v>#N/A</v>
      </c>
      <c r="F377" s="64" t="str">
        <f>_xlfn.CONCAT(Tableau1[[#This Row],[ID]],"-","Actif")</f>
        <v>-Actif</v>
      </c>
      <c r="G377" s="64" t="e">
        <f ca="1">_xlfn.CONCAT(Tableau1[[#This Row],[POD]],"-",Tableau1[[#This Row],[Code PFI]],"-",Tableau1[[#This Row],[Compte Consignee]])</f>
        <v>#N/A</v>
      </c>
      <c r="H37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7" s="117" t="str">
        <f ca="1">IF(COUNTIF(I:I,Tableau1[[#This Row],[Plant-ILN-shipper-POL-Carrier-POD-PFI]])=1,"Non","Oui")</f>
        <v>Oui</v>
      </c>
      <c r="K377" s="126" t="e">
        <f>VLOOKUP(Tableau1[[#This Row],[Name Site]],Plant_AILN!A:D,4,FALSE)</f>
        <v>#N/A</v>
      </c>
      <c r="L377" s="363"/>
      <c r="M377" s="492" t="e">
        <f>VLOOKUP(Tableau1[[#This Row],[Name Site]],Plant_AILN!A:C,3,FALSE)</f>
        <v>#N/A</v>
      </c>
      <c r="N377" s="55" t="e">
        <f>VLOOKUP(Tableau1[[#This Row],[Compte Consignee]],Order!C:D,2,FALSE)</f>
        <v>#N/A</v>
      </c>
      <c r="O377" s="122"/>
      <c r="P377" s="481" t="e">
        <f>VLOOKUP(Tableau1[[#This Row],[Name ILN]],Plant_AILN!F:G,2,FALSE)</f>
        <v>#N/A</v>
      </c>
      <c r="Q377" s="50" t="e">
        <f>VLOOKUP(Tableau1[[#This Row],[Compte ILN]],'DATA ILN'!D:I,6,FALSE)</f>
        <v>#N/A</v>
      </c>
      <c r="R377" s="50" t="e">
        <f>IFERROR(VLOOKUP(Tableau1[[#This Row],[Key(Compte ILN - shipper - POL - plant)]],'DATA ILN'!A:J,10,FALSE),VLOOKUP(Tableau1[[#This Row],[Key(Compte ILN - shipper - POL)]],'DATA ILN'!B:J,9,FALSE))</f>
        <v>#N/A</v>
      </c>
      <c r="S377" s="50" t="e">
        <f>IFERROR(VLOOKUP(Tableau1[[#This Row],[Key(Compte ILN - shipper - POL - plant)]],'DATA ILN'!A:K,11,FALSE),VLOOKUP(Tableau1[[#This Row],[Key(Compte ILN - shipper - POL)]],'DATA ILN'!B:K,10,FALSE))</f>
        <v>#N/A</v>
      </c>
      <c r="T377" s="50" t="e">
        <f>IFERROR(VLOOKUP(Tableau1[[#This Row],[Key(Compte ILN - shipper - POL - plant)]],'DATA ILN'!A:L,12,FALSE),VLOOKUP(Tableau1[[#This Row],[Key(Compte ILN - shipper - POL)]],'DATA ILN'!B:L,11,FALSE))</f>
        <v>#N/A</v>
      </c>
      <c r="U377" s="50" t="e">
        <f>Tableau1[[#This Row],[Day ILN Order]]+Tableau1[[#This Row],[Delivery time to ILN/Shipper]]-1</f>
        <v>#N/A</v>
      </c>
      <c r="V377" s="50" t="e">
        <f>IFERROR(VLOOKUP(Tableau1[[#This Row],[Key(Compte ILN - shipper - POL - plant)]],'DATA ILN'!A:N,14,FALSE),VLOOKUP(Tableau1[[#This Row],[Key(Compte ILN - shipper - POL)]],'DATA ILN'!B:N,13,FALSE))</f>
        <v>#N/A</v>
      </c>
      <c r="W377" s="50" t="e">
        <f>IFERROR(VLOOKUP(Tableau1[[#This Row],[Key(Compte ILN - shipper - POL - plant)]],'DATA ILN'!A:P,16,FALSE),VLOOKUP(Tableau1[[#This Row],[Key(Compte ILN - shipper - POL)]],'DATA ILN'!B:P,15,FALSE))</f>
        <v>#N/A</v>
      </c>
      <c r="X377" s="283"/>
      <c r="Y377" s="489">
        <f>IFERROR(VLOOKUP(Tableau1[[#This Row],[Name Shipper]],Plant_AILN!L:M,2,FALSE),0)</f>
        <v>0</v>
      </c>
      <c r="Z377" s="358"/>
      <c r="AA377" s="353" t="e">
        <f ca="1">VLOOKUP(Tableau1[[#This Row],[Key(ID-Actif)]],'DATA BTO'!A:N,5,FALSE)</f>
        <v>#N/A</v>
      </c>
      <c r="AB377" s="3" t="e">
        <f ca="1">VLOOKUP(Tableau1[[#This Row],[Key(ID-Actif)]],'DATA BTO'!A:N,6,FALSE)</f>
        <v>#N/A</v>
      </c>
      <c r="AC377" s="50" t="e">
        <f ca="1">VLOOKUP(Tableau1[[#This Row],[Key(ID-Actif)]],'DATA BTO'!A:N,7,FALSE)</f>
        <v>#N/A</v>
      </c>
      <c r="AD377" s="50" t="e">
        <f ca="1">VLOOKUP(Tableau1[[#This Row],[Key(ID-Actif)]],'DATA BTO'!A:N,8,FALSE)</f>
        <v>#N/A</v>
      </c>
      <c r="AE377" s="406" t="e">
        <f ca="1">IF(Tableau1[[#This Row],[First Day to POL]]&lt;=Tableau1[[#This Row],[Day Cut Off]],Tableau1[[#This Row],[Day ETD]],Tableau1[[#This Row],[Day ETD]]+7)</f>
        <v>#N/A</v>
      </c>
      <c r="AF377" s="50" t="e">
        <f ca="1">VLOOKUP(Tableau1[[#This Row],[Key(ID-Actif)]],'DATA BTO'!A:N,9,FALSE)</f>
        <v>#N/A</v>
      </c>
      <c r="AG377" s="3" t="e">
        <f ca="1">VLOOKUP(Tableau1[[#This Row],[Key(ID-Actif)]],'DATA BTO'!A:N,10,FALSE)</f>
        <v>#N/A</v>
      </c>
      <c r="AH377" s="3" t="e">
        <f ca="1">VLOOKUP(Tableau1[[#This Row],[Key(ID-Actif)]],'DATA BTO'!A:N,11,FALSE)</f>
        <v>#N/A</v>
      </c>
      <c r="AI377" s="50" t="e">
        <f ca="1">VLOOKUP(Tableau1[[#This Row],[Key(ID-Actif)]],'DATA BTO'!A:N,12,FALSE)</f>
        <v>#N/A</v>
      </c>
      <c r="AJ377" s="53" t="e">
        <f ca="1">VLOOKUP(Tableau1[[#This Row],[Key(ID-Actif)]],'DATA BTO'!A:N,14,FALSE)</f>
        <v>#N/A</v>
      </c>
      <c r="AK377" s="54" t="e">
        <f ca="1">VLOOKUP(Tableau1[[#This Row],[Key(POD -PFI- Usine)]],'DATA Consignee'!A:F,6,FALSE)</f>
        <v>#N/A</v>
      </c>
      <c r="AL377" s="283"/>
      <c r="AM377" s="490" t="str">
        <f>IF(Tableau1[[#This Row],[Name PFI/CDD]]="","-",VLOOKUP(Tableau1[[#This Row],[Name PFI/CDD]],Plant_AILN!I:J,2,FALSE))</f>
        <v>-</v>
      </c>
      <c r="AN37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7" s="2" t="e">
        <f ca="1">VLOOKUP(Tableau1[[#This Row],[Key(POD -PFI- Usine)]],'DATA Consignee'!A:J,10,FALSE)</f>
        <v>#N/A</v>
      </c>
      <c r="AQ377" s="50" t="e">
        <f ca="1">VLOOKUP(Tableau1[[#This Row],[Key(POD -PFI- Usine)]],'DATA Consignee'!A:N,14,FALSE)</f>
        <v>#N/A</v>
      </c>
      <c r="AR37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7" s="50" t="e">
        <f ca="1">Tableau1[[#This Row],[Transit time]]+Tableau1[[#This Row],[Time for security]]+Tableau1[[#This Row],[Time for security2 buffer]]</f>
        <v>#N/A</v>
      </c>
      <c r="AU37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7" s="50" t="e">
        <f ca="1">Tableau1[[#This Row],[Leadtime SI2C]]+Tableau1[[#This Row],[First Receipt Days]]-Tableau1[[#This Row],[Day Customer Order]]+1</f>
        <v>#N/A</v>
      </c>
      <c r="AW377" s="117" t="e">
        <f ca="1">IF(Tableau1[[#This Row],[Name ILN]]&lt;&gt;"SFK Freight Forwarder",Tableau1[[#This Row],[Cust. Leadtime]],Tableau1[[#This Row],[Leadtime SI2C]])</f>
        <v>#N/A</v>
      </c>
      <c r="AX377" s="57" t="e">
        <f>VLOOKUP(Tableau1[[#This Row],[ID]],'DATA BTO'!B:P,15,FALSE)</f>
        <v>#N/A</v>
      </c>
      <c r="AY377" s="328" t="e">
        <f ca="1">IFERROR(VLOOKUP(Tableau1[[#This Row],[Key(ID-Actif)]],'DATA BTO'!A:N,4,FALSE),VLOOKUP(Tableau1[[#This Row],[ID]],'DATA BTO'!B:N,3,FALSE))</f>
        <v>#N/A</v>
      </c>
      <c r="AZ37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7" s="50"/>
    </row>
    <row r="378" spans="2:57">
      <c r="B378" s="405" t="str">
        <f>_xlfn.CONCAT(Tableau1[[#This Row],[Name ILN]],"-",Tableau1[[#This Row],[Name Shipper]],"-",Tableau1[[#This Row],[Name Site]])</f>
        <v>--</v>
      </c>
      <c r="C378" s="64" t="e">
        <f>_xlfn.CONCAT(Tableau1[[#This Row],[Compte ILN]],"-",Tableau1[[#This Row],[Compte Shipper]],"-",Tableau1[[#This Row],[POL]],"-",Tableau1[[#This Row],[Compte Consignee]])</f>
        <v>#N/A</v>
      </c>
      <c r="D378" s="64" t="e">
        <f>_xlfn.CONCAT(Tableau1[[#This Row],[Compte ILN]],"-",Tableau1[[#This Row],[Compte Shipper]],"-",Tableau1[[#This Row],[POL]])</f>
        <v>#N/A</v>
      </c>
      <c r="E378" s="128" t="e">
        <f ca="1">_xlfn.CONCAT(Tableau1[[#This Row],[POL]],"-",Tableau1[[#This Row],[Carrier]],"-",Tableau1[[#This Row],[POD]])</f>
        <v>#N/A</v>
      </c>
      <c r="F378" s="64" t="str">
        <f>_xlfn.CONCAT(Tableau1[[#This Row],[ID]],"-","Actif")</f>
        <v>-Actif</v>
      </c>
      <c r="G378" s="64" t="e">
        <f ca="1">_xlfn.CONCAT(Tableau1[[#This Row],[POD]],"-",Tableau1[[#This Row],[Code PFI]],"-",Tableau1[[#This Row],[Compte Consignee]])</f>
        <v>#N/A</v>
      </c>
      <c r="H37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8" s="117" t="str">
        <f ca="1">IF(COUNTIF(I:I,Tableau1[[#This Row],[Plant-ILN-shipper-POL-Carrier-POD-PFI]])=1,"Non","Oui")</f>
        <v>Oui</v>
      </c>
      <c r="K378" s="126" t="e">
        <f>VLOOKUP(Tableau1[[#This Row],[Name Site]],Plant_AILN!A:D,4,FALSE)</f>
        <v>#N/A</v>
      </c>
      <c r="L378" s="363"/>
      <c r="M378" s="492" t="e">
        <f>VLOOKUP(Tableau1[[#This Row],[Name Site]],Plant_AILN!A:C,3,FALSE)</f>
        <v>#N/A</v>
      </c>
      <c r="N378" s="55" t="e">
        <f>VLOOKUP(Tableau1[[#This Row],[Compte Consignee]],Order!C:D,2,FALSE)</f>
        <v>#N/A</v>
      </c>
      <c r="O378" s="122"/>
      <c r="P378" s="481" t="e">
        <f>VLOOKUP(Tableau1[[#This Row],[Name ILN]],Plant_AILN!F:G,2,FALSE)</f>
        <v>#N/A</v>
      </c>
      <c r="Q378" s="50" t="e">
        <f>VLOOKUP(Tableau1[[#This Row],[Compte ILN]],'DATA ILN'!D:I,6,FALSE)</f>
        <v>#N/A</v>
      </c>
      <c r="R378" s="50" t="e">
        <f>IFERROR(VLOOKUP(Tableau1[[#This Row],[Key(Compte ILN - shipper - POL - plant)]],'DATA ILN'!A:J,10,FALSE),VLOOKUP(Tableau1[[#This Row],[Key(Compte ILN - shipper - POL)]],'DATA ILN'!B:J,9,FALSE))</f>
        <v>#N/A</v>
      </c>
      <c r="S378" s="50" t="e">
        <f>IFERROR(VLOOKUP(Tableau1[[#This Row],[Key(Compte ILN - shipper - POL - plant)]],'DATA ILN'!A:K,11,FALSE),VLOOKUP(Tableau1[[#This Row],[Key(Compte ILN - shipper - POL)]],'DATA ILN'!B:K,10,FALSE))</f>
        <v>#N/A</v>
      </c>
      <c r="T378" s="50" t="e">
        <f>IFERROR(VLOOKUP(Tableau1[[#This Row],[Key(Compte ILN - shipper - POL - plant)]],'DATA ILN'!A:L,12,FALSE),VLOOKUP(Tableau1[[#This Row],[Key(Compte ILN - shipper - POL)]],'DATA ILN'!B:L,11,FALSE))</f>
        <v>#N/A</v>
      </c>
      <c r="U378" s="50" t="e">
        <f>Tableau1[[#This Row],[Day ILN Order]]+Tableau1[[#This Row],[Delivery time to ILN/Shipper]]-1</f>
        <v>#N/A</v>
      </c>
      <c r="V378" s="50" t="e">
        <f>IFERROR(VLOOKUP(Tableau1[[#This Row],[Key(Compte ILN - shipper - POL - plant)]],'DATA ILN'!A:N,14,FALSE),VLOOKUP(Tableau1[[#This Row],[Key(Compte ILN - shipper - POL)]],'DATA ILN'!B:N,13,FALSE))</f>
        <v>#N/A</v>
      </c>
      <c r="W378" s="50" t="e">
        <f>IFERROR(VLOOKUP(Tableau1[[#This Row],[Key(Compte ILN - shipper - POL - plant)]],'DATA ILN'!A:P,16,FALSE),VLOOKUP(Tableau1[[#This Row],[Key(Compte ILN - shipper - POL)]],'DATA ILN'!B:P,15,FALSE))</f>
        <v>#N/A</v>
      </c>
      <c r="X378" s="283"/>
      <c r="Y378" s="489">
        <f>IFERROR(VLOOKUP(Tableau1[[#This Row],[Name Shipper]],Plant_AILN!L:M,2,FALSE),0)</f>
        <v>0</v>
      </c>
      <c r="Z378" s="358"/>
      <c r="AA378" s="353" t="e">
        <f ca="1">VLOOKUP(Tableau1[[#This Row],[Key(ID-Actif)]],'DATA BTO'!A:N,5,FALSE)</f>
        <v>#N/A</v>
      </c>
      <c r="AB378" s="3" t="e">
        <f ca="1">VLOOKUP(Tableau1[[#This Row],[Key(ID-Actif)]],'DATA BTO'!A:N,6,FALSE)</f>
        <v>#N/A</v>
      </c>
      <c r="AC378" s="50" t="e">
        <f ca="1">VLOOKUP(Tableau1[[#This Row],[Key(ID-Actif)]],'DATA BTO'!A:N,7,FALSE)</f>
        <v>#N/A</v>
      </c>
      <c r="AD378" s="50" t="e">
        <f ca="1">VLOOKUP(Tableau1[[#This Row],[Key(ID-Actif)]],'DATA BTO'!A:N,8,FALSE)</f>
        <v>#N/A</v>
      </c>
      <c r="AE378" s="406" t="e">
        <f ca="1">IF(Tableau1[[#This Row],[First Day to POL]]&lt;=Tableau1[[#This Row],[Day Cut Off]],Tableau1[[#This Row],[Day ETD]],Tableau1[[#This Row],[Day ETD]]+7)</f>
        <v>#N/A</v>
      </c>
      <c r="AF378" s="50" t="e">
        <f ca="1">VLOOKUP(Tableau1[[#This Row],[Key(ID-Actif)]],'DATA BTO'!A:N,9,FALSE)</f>
        <v>#N/A</v>
      </c>
      <c r="AG378" s="3" t="e">
        <f ca="1">VLOOKUP(Tableau1[[#This Row],[Key(ID-Actif)]],'DATA BTO'!A:N,10,FALSE)</f>
        <v>#N/A</v>
      </c>
      <c r="AH378" s="3" t="e">
        <f ca="1">VLOOKUP(Tableau1[[#This Row],[Key(ID-Actif)]],'DATA BTO'!A:N,11,FALSE)</f>
        <v>#N/A</v>
      </c>
      <c r="AI378" s="50" t="e">
        <f ca="1">VLOOKUP(Tableau1[[#This Row],[Key(ID-Actif)]],'DATA BTO'!A:N,12,FALSE)</f>
        <v>#N/A</v>
      </c>
      <c r="AJ378" s="53" t="e">
        <f ca="1">VLOOKUP(Tableau1[[#This Row],[Key(ID-Actif)]],'DATA BTO'!A:N,14,FALSE)</f>
        <v>#N/A</v>
      </c>
      <c r="AK378" s="54" t="e">
        <f ca="1">VLOOKUP(Tableau1[[#This Row],[Key(POD -PFI- Usine)]],'DATA Consignee'!A:F,6,FALSE)</f>
        <v>#N/A</v>
      </c>
      <c r="AL378" s="283"/>
      <c r="AM378" s="490" t="str">
        <f>IF(Tableau1[[#This Row],[Name PFI/CDD]]="","-",VLOOKUP(Tableau1[[#This Row],[Name PFI/CDD]],Plant_AILN!I:J,2,FALSE))</f>
        <v>-</v>
      </c>
      <c r="AN37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8" s="2" t="e">
        <f ca="1">VLOOKUP(Tableau1[[#This Row],[Key(POD -PFI- Usine)]],'DATA Consignee'!A:J,10,FALSE)</f>
        <v>#N/A</v>
      </c>
      <c r="AQ378" s="50" t="e">
        <f ca="1">VLOOKUP(Tableau1[[#This Row],[Key(POD -PFI- Usine)]],'DATA Consignee'!A:N,14,FALSE)</f>
        <v>#N/A</v>
      </c>
      <c r="AR37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8" s="50" t="e">
        <f ca="1">Tableau1[[#This Row],[Transit time]]+Tableau1[[#This Row],[Time for security]]+Tableau1[[#This Row],[Time for security2 buffer]]</f>
        <v>#N/A</v>
      </c>
      <c r="AU37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8" s="50" t="e">
        <f ca="1">Tableau1[[#This Row],[Leadtime SI2C]]+Tableau1[[#This Row],[First Receipt Days]]-Tableau1[[#This Row],[Day Customer Order]]+1</f>
        <v>#N/A</v>
      </c>
      <c r="AW378" s="117" t="e">
        <f ca="1">IF(Tableau1[[#This Row],[Name ILN]]&lt;&gt;"SFK Freight Forwarder",Tableau1[[#This Row],[Cust. Leadtime]],Tableau1[[#This Row],[Leadtime SI2C]])</f>
        <v>#N/A</v>
      </c>
      <c r="AX378" s="57" t="e">
        <f>VLOOKUP(Tableau1[[#This Row],[ID]],'DATA BTO'!B:P,15,FALSE)</f>
        <v>#N/A</v>
      </c>
      <c r="AY378" s="328" t="e">
        <f ca="1">IFERROR(VLOOKUP(Tableau1[[#This Row],[Key(ID-Actif)]],'DATA BTO'!A:N,4,FALSE),VLOOKUP(Tableau1[[#This Row],[ID]],'DATA BTO'!B:N,3,FALSE))</f>
        <v>#N/A</v>
      </c>
      <c r="AZ37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8" s="50"/>
    </row>
    <row r="379" spans="2:57">
      <c r="B379" s="405" t="str">
        <f>_xlfn.CONCAT(Tableau1[[#This Row],[Name ILN]],"-",Tableau1[[#This Row],[Name Shipper]],"-",Tableau1[[#This Row],[Name Site]])</f>
        <v>--</v>
      </c>
      <c r="C379" s="64" t="e">
        <f>_xlfn.CONCAT(Tableau1[[#This Row],[Compte ILN]],"-",Tableau1[[#This Row],[Compte Shipper]],"-",Tableau1[[#This Row],[POL]],"-",Tableau1[[#This Row],[Compte Consignee]])</f>
        <v>#N/A</v>
      </c>
      <c r="D379" s="64" t="e">
        <f>_xlfn.CONCAT(Tableau1[[#This Row],[Compte ILN]],"-",Tableau1[[#This Row],[Compte Shipper]],"-",Tableau1[[#This Row],[POL]])</f>
        <v>#N/A</v>
      </c>
      <c r="E379" s="128" t="e">
        <f ca="1">_xlfn.CONCAT(Tableau1[[#This Row],[POL]],"-",Tableau1[[#This Row],[Carrier]],"-",Tableau1[[#This Row],[POD]])</f>
        <v>#N/A</v>
      </c>
      <c r="F379" s="64" t="str">
        <f>_xlfn.CONCAT(Tableau1[[#This Row],[ID]],"-","Actif")</f>
        <v>-Actif</v>
      </c>
      <c r="G379" s="64" t="e">
        <f ca="1">_xlfn.CONCAT(Tableau1[[#This Row],[POD]],"-",Tableau1[[#This Row],[Code PFI]],"-",Tableau1[[#This Row],[Compte Consignee]])</f>
        <v>#N/A</v>
      </c>
      <c r="H37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7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79" s="117" t="str">
        <f ca="1">IF(COUNTIF(I:I,Tableau1[[#This Row],[Plant-ILN-shipper-POL-Carrier-POD-PFI]])=1,"Non","Oui")</f>
        <v>Oui</v>
      </c>
      <c r="K379" s="126" t="e">
        <f>VLOOKUP(Tableau1[[#This Row],[Name Site]],Plant_AILN!A:D,4,FALSE)</f>
        <v>#N/A</v>
      </c>
      <c r="L379" s="363"/>
      <c r="M379" s="492" t="e">
        <f>VLOOKUP(Tableau1[[#This Row],[Name Site]],Plant_AILN!A:C,3,FALSE)</f>
        <v>#N/A</v>
      </c>
      <c r="N379" s="55" t="e">
        <f>VLOOKUP(Tableau1[[#This Row],[Compte Consignee]],Order!C:D,2,FALSE)</f>
        <v>#N/A</v>
      </c>
      <c r="O379" s="122"/>
      <c r="P379" s="481" t="e">
        <f>VLOOKUP(Tableau1[[#This Row],[Name ILN]],Plant_AILN!F:G,2,FALSE)</f>
        <v>#N/A</v>
      </c>
      <c r="Q379" s="50" t="e">
        <f>VLOOKUP(Tableau1[[#This Row],[Compte ILN]],'DATA ILN'!D:I,6,FALSE)</f>
        <v>#N/A</v>
      </c>
      <c r="R379" s="50" t="e">
        <f>IFERROR(VLOOKUP(Tableau1[[#This Row],[Key(Compte ILN - shipper - POL - plant)]],'DATA ILN'!A:J,10,FALSE),VLOOKUP(Tableau1[[#This Row],[Key(Compte ILN - shipper - POL)]],'DATA ILN'!B:J,9,FALSE))</f>
        <v>#N/A</v>
      </c>
      <c r="S379" s="50" t="e">
        <f>IFERROR(VLOOKUP(Tableau1[[#This Row],[Key(Compte ILN - shipper - POL - plant)]],'DATA ILN'!A:K,11,FALSE),VLOOKUP(Tableau1[[#This Row],[Key(Compte ILN - shipper - POL)]],'DATA ILN'!B:K,10,FALSE))</f>
        <v>#N/A</v>
      </c>
      <c r="T379" s="50" t="e">
        <f>IFERROR(VLOOKUP(Tableau1[[#This Row],[Key(Compte ILN - shipper - POL - plant)]],'DATA ILN'!A:L,12,FALSE),VLOOKUP(Tableau1[[#This Row],[Key(Compte ILN - shipper - POL)]],'DATA ILN'!B:L,11,FALSE))</f>
        <v>#N/A</v>
      </c>
      <c r="U379" s="50" t="e">
        <f>Tableau1[[#This Row],[Day ILN Order]]+Tableau1[[#This Row],[Delivery time to ILN/Shipper]]-1</f>
        <v>#N/A</v>
      </c>
      <c r="V379" s="50" t="e">
        <f>IFERROR(VLOOKUP(Tableau1[[#This Row],[Key(Compte ILN - shipper - POL - plant)]],'DATA ILN'!A:N,14,FALSE),VLOOKUP(Tableau1[[#This Row],[Key(Compte ILN - shipper - POL)]],'DATA ILN'!B:N,13,FALSE))</f>
        <v>#N/A</v>
      </c>
      <c r="W379" s="50" t="e">
        <f>IFERROR(VLOOKUP(Tableau1[[#This Row],[Key(Compte ILN - shipper - POL - plant)]],'DATA ILN'!A:P,16,FALSE),VLOOKUP(Tableau1[[#This Row],[Key(Compte ILN - shipper - POL)]],'DATA ILN'!B:P,15,FALSE))</f>
        <v>#N/A</v>
      </c>
      <c r="X379" s="283"/>
      <c r="Y379" s="489">
        <f>IFERROR(VLOOKUP(Tableau1[[#This Row],[Name Shipper]],Plant_AILN!L:M,2,FALSE),0)</f>
        <v>0</v>
      </c>
      <c r="Z379" s="358"/>
      <c r="AA379" s="353" t="e">
        <f ca="1">VLOOKUP(Tableau1[[#This Row],[Key(ID-Actif)]],'DATA BTO'!A:N,5,FALSE)</f>
        <v>#N/A</v>
      </c>
      <c r="AB379" s="3" t="e">
        <f ca="1">VLOOKUP(Tableau1[[#This Row],[Key(ID-Actif)]],'DATA BTO'!A:N,6,FALSE)</f>
        <v>#N/A</v>
      </c>
      <c r="AC379" s="50" t="e">
        <f ca="1">VLOOKUP(Tableau1[[#This Row],[Key(ID-Actif)]],'DATA BTO'!A:N,7,FALSE)</f>
        <v>#N/A</v>
      </c>
      <c r="AD379" s="50" t="e">
        <f ca="1">VLOOKUP(Tableau1[[#This Row],[Key(ID-Actif)]],'DATA BTO'!A:N,8,FALSE)</f>
        <v>#N/A</v>
      </c>
      <c r="AE379" s="406" t="e">
        <f ca="1">IF(Tableau1[[#This Row],[First Day to POL]]&lt;=Tableau1[[#This Row],[Day Cut Off]],Tableau1[[#This Row],[Day ETD]],Tableau1[[#This Row],[Day ETD]]+7)</f>
        <v>#N/A</v>
      </c>
      <c r="AF379" s="50" t="e">
        <f ca="1">VLOOKUP(Tableau1[[#This Row],[Key(ID-Actif)]],'DATA BTO'!A:N,9,FALSE)</f>
        <v>#N/A</v>
      </c>
      <c r="AG379" s="3" t="e">
        <f ca="1">VLOOKUP(Tableau1[[#This Row],[Key(ID-Actif)]],'DATA BTO'!A:N,10,FALSE)</f>
        <v>#N/A</v>
      </c>
      <c r="AH379" s="3" t="e">
        <f ca="1">VLOOKUP(Tableau1[[#This Row],[Key(ID-Actif)]],'DATA BTO'!A:N,11,FALSE)</f>
        <v>#N/A</v>
      </c>
      <c r="AI379" s="50" t="e">
        <f ca="1">VLOOKUP(Tableau1[[#This Row],[Key(ID-Actif)]],'DATA BTO'!A:N,12,FALSE)</f>
        <v>#N/A</v>
      </c>
      <c r="AJ379" s="53" t="e">
        <f ca="1">VLOOKUP(Tableau1[[#This Row],[Key(ID-Actif)]],'DATA BTO'!A:N,14,FALSE)</f>
        <v>#N/A</v>
      </c>
      <c r="AK379" s="54" t="e">
        <f ca="1">VLOOKUP(Tableau1[[#This Row],[Key(POD -PFI- Usine)]],'DATA Consignee'!A:F,6,FALSE)</f>
        <v>#N/A</v>
      </c>
      <c r="AL379" s="283"/>
      <c r="AM379" s="490" t="str">
        <f>IF(Tableau1[[#This Row],[Name PFI/CDD]]="","-",VLOOKUP(Tableau1[[#This Row],[Name PFI/CDD]],Plant_AILN!I:J,2,FALSE))</f>
        <v>-</v>
      </c>
      <c r="AN37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7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79" s="2" t="e">
        <f ca="1">VLOOKUP(Tableau1[[#This Row],[Key(POD -PFI- Usine)]],'DATA Consignee'!A:J,10,FALSE)</f>
        <v>#N/A</v>
      </c>
      <c r="AQ379" s="50" t="e">
        <f ca="1">VLOOKUP(Tableau1[[#This Row],[Key(POD -PFI- Usine)]],'DATA Consignee'!A:N,14,FALSE)</f>
        <v>#N/A</v>
      </c>
      <c r="AR37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7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79" s="50" t="e">
        <f ca="1">Tableau1[[#This Row],[Transit time]]+Tableau1[[#This Row],[Time for security]]+Tableau1[[#This Row],[Time for security2 buffer]]</f>
        <v>#N/A</v>
      </c>
      <c r="AU37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79" s="50" t="e">
        <f ca="1">Tableau1[[#This Row],[Leadtime SI2C]]+Tableau1[[#This Row],[First Receipt Days]]-Tableau1[[#This Row],[Day Customer Order]]+1</f>
        <v>#N/A</v>
      </c>
      <c r="AW379" s="117" t="e">
        <f ca="1">IF(Tableau1[[#This Row],[Name ILN]]&lt;&gt;"SFK Freight Forwarder",Tableau1[[#This Row],[Cust. Leadtime]],Tableau1[[#This Row],[Leadtime SI2C]])</f>
        <v>#N/A</v>
      </c>
      <c r="AX379" s="57" t="e">
        <f>VLOOKUP(Tableau1[[#This Row],[ID]],'DATA BTO'!B:P,15,FALSE)</f>
        <v>#N/A</v>
      </c>
      <c r="AY379" s="328" t="e">
        <f ca="1">IFERROR(VLOOKUP(Tableau1[[#This Row],[Key(ID-Actif)]],'DATA BTO'!A:N,4,FALSE),VLOOKUP(Tableau1[[#This Row],[ID]],'DATA BTO'!B:N,3,FALSE))</f>
        <v>#N/A</v>
      </c>
      <c r="AZ37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7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7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9" s="50"/>
    </row>
    <row r="380" spans="2:57">
      <c r="B380" s="405" t="str">
        <f>_xlfn.CONCAT(Tableau1[[#This Row],[Name ILN]],"-",Tableau1[[#This Row],[Name Shipper]],"-",Tableau1[[#This Row],[Name Site]])</f>
        <v>--</v>
      </c>
      <c r="C380" s="64" t="e">
        <f>_xlfn.CONCAT(Tableau1[[#This Row],[Compte ILN]],"-",Tableau1[[#This Row],[Compte Shipper]],"-",Tableau1[[#This Row],[POL]],"-",Tableau1[[#This Row],[Compte Consignee]])</f>
        <v>#N/A</v>
      </c>
      <c r="D380" s="64" t="e">
        <f>_xlfn.CONCAT(Tableau1[[#This Row],[Compte ILN]],"-",Tableau1[[#This Row],[Compte Shipper]],"-",Tableau1[[#This Row],[POL]])</f>
        <v>#N/A</v>
      </c>
      <c r="E380" s="128" t="e">
        <f ca="1">_xlfn.CONCAT(Tableau1[[#This Row],[POL]],"-",Tableau1[[#This Row],[Carrier]],"-",Tableau1[[#This Row],[POD]])</f>
        <v>#N/A</v>
      </c>
      <c r="F380" s="64" t="str">
        <f>_xlfn.CONCAT(Tableau1[[#This Row],[ID]],"-","Actif")</f>
        <v>-Actif</v>
      </c>
      <c r="G380" s="64" t="e">
        <f ca="1">_xlfn.CONCAT(Tableau1[[#This Row],[POD]],"-",Tableau1[[#This Row],[Code PFI]],"-",Tableau1[[#This Row],[Compte Consignee]])</f>
        <v>#N/A</v>
      </c>
      <c r="H38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0" s="117" t="str">
        <f ca="1">IF(COUNTIF(I:I,Tableau1[[#This Row],[Plant-ILN-shipper-POL-Carrier-POD-PFI]])=1,"Non","Oui")</f>
        <v>Oui</v>
      </c>
      <c r="K380" s="126" t="e">
        <f>VLOOKUP(Tableau1[[#This Row],[Name Site]],Plant_AILN!A:D,4,FALSE)</f>
        <v>#N/A</v>
      </c>
      <c r="L380" s="363"/>
      <c r="M380" s="492" t="e">
        <f>VLOOKUP(Tableau1[[#This Row],[Name Site]],Plant_AILN!A:C,3,FALSE)</f>
        <v>#N/A</v>
      </c>
      <c r="N380" s="55" t="e">
        <f>VLOOKUP(Tableau1[[#This Row],[Compte Consignee]],Order!C:D,2,FALSE)</f>
        <v>#N/A</v>
      </c>
      <c r="O380" s="122"/>
      <c r="P380" s="481" t="e">
        <f>VLOOKUP(Tableau1[[#This Row],[Name ILN]],Plant_AILN!F:G,2,FALSE)</f>
        <v>#N/A</v>
      </c>
      <c r="Q380" s="50" t="e">
        <f>VLOOKUP(Tableau1[[#This Row],[Compte ILN]],'DATA ILN'!D:I,6,FALSE)</f>
        <v>#N/A</v>
      </c>
      <c r="R380" s="50" t="e">
        <f>IFERROR(VLOOKUP(Tableau1[[#This Row],[Key(Compte ILN - shipper - POL - plant)]],'DATA ILN'!A:J,10,FALSE),VLOOKUP(Tableau1[[#This Row],[Key(Compte ILN - shipper - POL)]],'DATA ILN'!B:J,9,FALSE))</f>
        <v>#N/A</v>
      </c>
      <c r="S380" s="50" t="e">
        <f>IFERROR(VLOOKUP(Tableau1[[#This Row],[Key(Compte ILN - shipper - POL - plant)]],'DATA ILN'!A:K,11,FALSE),VLOOKUP(Tableau1[[#This Row],[Key(Compte ILN - shipper - POL)]],'DATA ILN'!B:K,10,FALSE))</f>
        <v>#N/A</v>
      </c>
      <c r="T380" s="50" t="e">
        <f>IFERROR(VLOOKUP(Tableau1[[#This Row],[Key(Compte ILN - shipper - POL - plant)]],'DATA ILN'!A:L,12,FALSE),VLOOKUP(Tableau1[[#This Row],[Key(Compte ILN - shipper - POL)]],'DATA ILN'!B:L,11,FALSE))</f>
        <v>#N/A</v>
      </c>
      <c r="U380" s="50" t="e">
        <f>Tableau1[[#This Row],[Day ILN Order]]+Tableau1[[#This Row],[Delivery time to ILN/Shipper]]-1</f>
        <v>#N/A</v>
      </c>
      <c r="V380" s="50" t="e">
        <f>IFERROR(VLOOKUP(Tableau1[[#This Row],[Key(Compte ILN - shipper - POL - plant)]],'DATA ILN'!A:N,14,FALSE),VLOOKUP(Tableau1[[#This Row],[Key(Compte ILN - shipper - POL)]],'DATA ILN'!B:N,13,FALSE))</f>
        <v>#N/A</v>
      </c>
      <c r="W380" s="50" t="e">
        <f>IFERROR(VLOOKUP(Tableau1[[#This Row],[Key(Compte ILN - shipper - POL - plant)]],'DATA ILN'!A:P,16,FALSE),VLOOKUP(Tableau1[[#This Row],[Key(Compte ILN - shipper - POL)]],'DATA ILN'!B:P,15,FALSE))</f>
        <v>#N/A</v>
      </c>
      <c r="X380" s="283"/>
      <c r="Y380" s="489">
        <f>IFERROR(VLOOKUP(Tableau1[[#This Row],[Name Shipper]],Plant_AILN!L:M,2,FALSE),0)</f>
        <v>0</v>
      </c>
      <c r="Z380" s="358"/>
      <c r="AA380" s="353" t="e">
        <f ca="1">VLOOKUP(Tableau1[[#This Row],[Key(ID-Actif)]],'DATA BTO'!A:N,5,FALSE)</f>
        <v>#N/A</v>
      </c>
      <c r="AB380" s="3" t="e">
        <f ca="1">VLOOKUP(Tableau1[[#This Row],[Key(ID-Actif)]],'DATA BTO'!A:N,6,FALSE)</f>
        <v>#N/A</v>
      </c>
      <c r="AC380" s="50" t="e">
        <f ca="1">VLOOKUP(Tableau1[[#This Row],[Key(ID-Actif)]],'DATA BTO'!A:N,7,FALSE)</f>
        <v>#N/A</v>
      </c>
      <c r="AD380" s="50" t="e">
        <f ca="1">VLOOKUP(Tableau1[[#This Row],[Key(ID-Actif)]],'DATA BTO'!A:N,8,FALSE)</f>
        <v>#N/A</v>
      </c>
      <c r="AE380" s="406" t="e">
        <f ca="1">IF(Tableau1[[#This Row],[First Day to POL]]&lt;=Tableau1[[#This Row],[Day Cut Off]],Tableau1[[#This Row],[Day ETD]],Tableau1[[#This Row],[Day ETD]]+7)</f>
        <v>#N/A</v>
      </c>
      <c r="AF380" s="50" t="e">
        <f ca="1">VLOOKUP(Tableau1[[#This Row],[Key(ID-Actif)]],'DATA BTO'!A:N,9,FALSE)</f>
        <v>#N/A</v>
      </c>
      <c r="AG380" s="3" t="e">
        <f ca="1">VLOOKUP(Tableau1[[#This Row],[Key(ID-Actif)]],'DATA BTO'!A:N,10,FALSE)</f>
        <v>#N/A</v>
      </c>
      <c r="AH380" s="3" t="e">
        <f ca="1">VLOOKUP(Tableau1[[#This Row],[Key(ID-Actif)]],'DATA BTO'!A:N,11,FALSE)</f>
        <v>#N/A</v>
      </c>
      <c r="AI380" s="50" t="e">
        <f ca="1">VLOOKUP(Tableau1[[#This Row],[Key(ID-Actif)]],'DATA BTO'!A:N,12,FALSE)</f>
        <v>#N/A</v>
      </c>
      <c r="AJ380" s="53" t="e">
        <f ca="1">VLOOKUP(Tableau1[[#This Row],[Key(ID-Actif)]],'DATA BTO'!A:N,14,FALSE)</f>
        <v>#N/A</v>
      </c>
      <c r="AK380" s="54" t="e">
        <f ca="1">VLOOKUP(Tableau1[[#This Row],[Key(POD -PFI- Usine)]],'DATA Consignee'!A:F,6,FALSE)</f>
        <v>#N/A</v>
      </c>
      <c r="AL380" s="283"/>
      <c r="AM380" s="490" t="str">
        <f>IF(Tableau1[[#This Row],[Name PFI/CDD]]="","-",VLOOKUP(Tableau1[[#This Row],[Name PFI/CDD]],Plant_AILN!I:J,2,FALSE))</f>
        <v>-</v>
      </c>
      <c r="AN38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0" s="2" t="e">
        <f ca="1">VLOOKUP(Tableau1[[#This Row],[Key(POD -PFI- Usine)]],'DATA Consignee'!A:J,10,FALSE)</f>
        <v>#N/A</v>
      </c>
      <c r="AQ380" s="50" t="e">
        <f ca="1">VLOOKUP(Tableau1[[#This Row],[Key(POD -PFI- Usine)]],'DATA Consignee'!A:N,14,FALSE)</f>
        <v>#N/A</v>
      </c>
      <c r="AR38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0" s="50" t="e">
        <f ca="1">Tableau1[[#This Row],[Transit time]]+Tableau1[[#This Row],[Time for security]]+Tableau1[[#This Row],[Time for security2 buffer]]</f>
        <v>#N/A</v>
      </c>
      <c r="AU38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0" s="50" t="e">
        <f ca="1">Tableau1[[#This Row],[Leadtime SI2C]]+Tableau1[[#This Row],[First Receipt Days]]-Tableau1[[#This Row],[Day Customer Order]]+1</f>
        <v>#N/A</v>
      </c>
      <c r="AW380" s="117" t="e">
        <f ca="1">IF(Tableau1[[#This Row],[Name ILN]]&lt;&gt;"SFK Freight Forwarder",Tableau1[[#This Row],[Cust. Leadtime]],Tableau1[[#This Row],[Leadtime SI2C]])</f>
        <v>#N/A</v>
      </c>
      <c r="AX380" s="57" t="e">
        <f>VLOOKUP(Tableau1[[#This Row],[ID]],'DATA BTO'!B:P,15,FALSE)</f>
        <v>#N/A</v>
      </c>
      <c r="AY380" s="328" t="e">
        <f ca="1">IFERROR(VLOOKUP(Tableau1[[#This Row],[Key(ID-Actif)]],'DATA BTO'!A:N,4,FALSE),VLOOKUP(Tableau1[[#This Row],[ID]],'DATA BTO'!B:N,3,FALSE))</f>
        <v>#N/A</v>
      </c>
      <c r="AZ38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0" s="50"/>
    </row>
    <row r="381" spans="2:57">
      <c r="B381" s="405" t="str">
        <f>_xlfn.CONCAT(Tableau1[[#This Row],[Name ILN]],"-",Tableau1[[#This Row],[Name Shipper]],"-",Tableau1[[#This Row],[Name Site]])</f>
        <v>--</v>
      </c>
      <c r="C381" s="64" t="e">
        <f>_xlfn.CONCAT(Tableau1[[#This Row],[Compte ILN]],"-",Tableau1[[#This Row],[Compte Shipper]],"-",Tableau1[[#This Row],[POL]],"-",Tableau1[[#This Row],[Compte Consignee]])</f>
        <v>#N/A</v>
      </c>
      <c r="D381" s="64" t="e">
        <f>_xlfn.CONCAT(Tableau1[[#This Row],[Compte ILN]],"-",Tableau1[[#This Row],[Compte Shipper]],"-",Tableau1[[#This Row],[POL]])</f>
        <v>#N/A</v>
      </c>
      <c r="E381" s="128" t="e">
        <f ca="1">_xlfn.CONCAT(Tableau1[[#This Row],[POL]],"-",Tableau1[[#This Row],[Carrier]],"-",Tableau1[[#This Row],[POD]])</f>
        <v>#N/A</v>
      </c>
      <c r="F381" s="64" t="str">
        <f>_xlfn.CONCAT(Tableau1[[#This Row],[ID]],"-","Actif")</f>
        <v>-Actif</v>
      </c>
      <c r="G381" s="64" t="e">
        <f ca="1">_xlfn.CONCAT(Tableau1[[#This Row],[POD]],"-",Tableau1[[#This Row],[Code PFI]],"-",Tableau1[[#This Row],[Compte Consignee]])</f>
        <v>#N/A</v>
      </c>
      <c r="H38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1" s="117" t="str">
        <f ca="1">IF(COUNTIF(I:I,Tableau1[[#This Row],[Plant-ILN-shipper-POL-Carrier-POD-PFI]])=1,"Non","Oui")</f>
        <v>Oui</v>
      </c>
      <c r="K381" s="126" t="e">
        <f>VLOOKUP(Tableau1[[#This Row],[Name Site]],Plant_AILN!A:D,4,FALSE)</f>
        <v>#N/A</v>
      </c>
      <c r="L381" s="363"/>
      <c r="M381" s="492" t="e">
        <f>VLOOKUP(Tableau1[[#This Row],[Name Site]],Plant_AILN!A:C,3,FALSE)</f>
        <v>#N/A</v>
      </c>
      <c r="N381" s="55" t="e">
        <f>VLOOKUP(Tableau1[[#This Row],[Compte Consignee]],Order!C:D,2,FALSE)</f>
        <v>#N/A</v>
      </c>
      <c r="O381" s="122"/>
      <c r="P381" s="481" t="e">
        <f>VLOOKUP(Tableau1[[#This Row],[Name ILN]],Plant_AILN!F:G,2,FALSE)</f>
        <v>#N/A</v>
      </c>
      <c r="Q381" s="50" t="e">
        <f>VLOOKUP(Tableau1[[#This Row],[Compte ILN]],'DATA ILN'!D:I,6,FALSE)</f>
        <v>#N/A</v>
      </c>
      <c r="R381" s="50" t="e">
        <f>IFERROR(VLOOKUP(Tableau1[[#This Row],[Key(Compte ILN - shipper - POL - plant)]],'DATA ILN'!A:J,10,FALSE),VLOOKUP(Tableau1[[#This Row],[Key(Compte ILN - shipper - POL)]],'DATA ILN'!B:J,9,FALSE))</f>
        <v>#N/A</v>
      </c>
      <c r="S381" s="50" t="e">
        <f>IFERROR(VLOOKUP(Tableau1[[#This Row],[Key(Compte ILN - shipper - POL - plant)]],'DATA ILN'!A:K,11,FALSE),VLOOKUP(Tableau1[[#This Row],[Key(Compte ILN - shipper - POL)]],'DATA ILN'!B:K,10,FALSE))</f>
        <v>#N/A</v>
      </c>
      <c r="T381" s="50" t="e">
        <f>IFERROR(VLOOKUP(Tableau1[[#This Row],[Key(Compte ILN - shipper - POL - plant)]],'DATA ILN'!A:L,12,FALSE),VLOOKUP(Tableau1[[#This Row],[Key(Compte ILN - shipper - POL)]],'DATA ILN'!B:L,11,FALSE))</f>
        <v>#N/A</v>
      </c>
      <c r="U381" s="50" t="e">
        <f>Tableau1[[#This Row],[Day ILN Order]]+Tableau1[[#This Row],[Delivery time to ILN/Shipper]]-1</f>
        <v>#N/A</v>
      </c>
      <c r="V381" s="50" t="e">
        <f>IFERROR(VLOOKUP(Tableau1[[#This Row],[Key(Compte ILN - shipper - POL - plant)]],'DATA ILN'!A:N,14,FALSE),VLOOKUP(Tableau1[[#This Row],[Key(Compte ILN - shipper - POL)]],'DATA ILN'!B:N,13,FALSE))</f>
        <v>#N/A</v>
      </c>
      <c r="W381" s="50" t="e">
        <f>IFERROR(VLOOKUP(Tableau1[[#This Row],[Key(Compte ILN - shipper - POL - plant)]],'DATA ILN'!A:P,16,FALSE),VLOOKUP(Tableau1[[#This Row],[Key(Compte ILN - shipper - POL)]],'DATA ILN'!B:P,15,FALSE))</f>
        <v>#N/A</v>
      </c>
      <c r="X381" s="283"/>
      <c r="Y381" s="489">
        <f>IFERROR(VLOOKUP(Tableau1[[#This Row],[Name Shipper]],Plant_AILN!L:M,2,FALSE),0)</f>
        <v>0</v>
      </c>
      <c r="Z381" s="358"/>
      <c r="AA381" s="353" t="e">
        <f ca="1">VLOOKUP(Tableau1[[#This Row],[Key(ID-Actif)]],'DATA BTO'!A:N,5,FALSE)</f>
        <v>#N/A</v>
      </c>
      <c r="AB381" s="3" t="e">
        <f ca="1">VLOOKUP(Tableau1[[#This Row],[Key(ID-Actif)]],'DATA BTO'!A:N,6,FALSE)</f>
        <v>#N/A</v>
      </c>
      <c r="AC381" s="50" t="e">
        <f ca="1">VLOOKUP(Tableau1[[#This Row],[Key(ID-Actif)]],'DATA BTO'!A:N,7,FALSE)</f>
        <v>#N/A</v>
      </c>
      <c r="AD381" s="50" t="e">
        <f ca="1">VLOOKUP(Tableau1[[#This Row],[Key(ID-Actif)]],'DATA BTO'!A:N,8,FALSE)</f>
        <v>#N/A</v>
      </c>
      <c r="AE381" s="406" t="e">
        <f ca="1">IF(Tableau1[[#This Row],[First Day to POL]]&lt;=Tableau1[[#This Row],[Day Cut Off]],Tableau1[[#This Row],[Day ETD]],Tableau1[[#This Row],[Day ETD]]+7)</f>
        <v>#N/A</v>
      </c>
      <c r="AF381" s="50" t="e">
        <f ca="1">VLOOKUP(Tableau1[[#This Row],[Key(ID-Actif)]],'DATA BTO'!A:N,9,FALSE)</f>
        <v>#N/A</v>
      </c>
      <c r="AG381" s="3" t="e">
        <f ca="1">VLOOKUP(Tableau1[[#This Row],[Key(ID-Actif)]],'DATA BTO'!A:N,10,FALSE)</f>
        <v>#N/A</v>
      </c>
      <c r="AH381" s="3" t="e">
        <f ca="1">VLOOKUP(Tableau1[[#This Row],[Key(ID-Actif)]],'DATA BTO'!A:N,11,FALSE)</f>
        <v>#N/A</v>
      </c>
      <c r="AI381" s="50" t="e">
        <f ca="1">VLOOKUP(Tableau1[[#This Row],[Key(ID-Actif)]],'DATA BTO'!A:N,12,FALSE)</f>
        <v>#N/A</v>
      </c>
      <c r="AJ381" s="53" t="e">
        <f ca="1">VLOOKUP(Tableau1[[#This Row],[Key(ID-Actif)]],'DATA BTO'!A:N,14,FALSE)</f>
        <v>#N/A</v>
      </c>
      <c r="AK381" s="54" t="e">
        <f ca="1">VLOOKUP(Tableau1[[#This Row],[Key(POD -PFI- Usine)]],'DATA Consignee'!A:F,6,FALSE)</f>
        <v>#N/A</v>
      </c>
      <c r="AL381" s="283"/>
      <c r="AM381" s="490" t="str">
        <f>IF(Tableau1[[#This Row],[Name PFI/CDD]]="","-",VLOOKUP(Tableau1[[#This Row],[Name PFI/CDD]],Plant_AILN!I:J,2,FALSE))</f>
        <v>-</v>
      </c>
      <c r="AN38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1" s="2" t="e">
        <f ca="1">VLOOKUP(Tableau1[[#This Row],[Key(POD -PFI- Usine)]],'DATA Consignee'!A:J,10,FALSE)</f>
        <v>#N/A</v>
      </c>
      <c r="AQ381" s="50" t="e">
        <f ca="1">VLOOKUP(Tableau1[[#This Row],[Key(POD -PFI- Usine)]],'DATA Consignee'!A:N,14,FALSE)</f>
        <v>#N/A</v>
      </c>
      <c r="AR38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1" s="50" t="e">
        <f ca="1">Tableau1[[#This Row],[Transit time]]+Tableau1[[#This Row],[Time for security]]+Tableau1[[#This Row],[Time for security2 buffer]]</f>
        <v>#N/A</v>
      </c>
      <c r="AU38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1" s="50" t="e">
        <f ca="1">Tableau1[[#This Row],[Leadtime SI2C]]+Tableau1[[#This Row],[First Receipt Days]]-Tableau1[[#This Row],[Day Customer Order]]+1</f>
        <v>#N/A</v>
      </c>
      <c r="AW381" s="117" t="e">
        <f ca="1">IF(Tableau1[[#This Row],[Name ILN]]&lt;&gt;"SFK Freight Forwarder",Tableau1[[#This Row],[Cust. Leadtime]],Tableau1[[#This Row],[Leadtime SI2C]])</f>
        <v>#N/A</v>
      </c>
      <c r="AX381" s="57" t="e">
        <f>VLOOKUP(Tableau1[[#This Row],[ID]],'DATA BTO'!B:P,15,FALSE)</f>
        <v>#N/A</v>
      </c>
      <c r="AY381" s="328" t="e">
        <f ca="1">IFERROR(VLOOKUP(Tableau1[[#This Row],[Key(ID-Actif)]],'DATA BTO'!A:N,4,FALSE),VLOOKUP(Tableau1[[#This Row],[ID]],'DATA BTO'!B:N,3,FALSE))</f>
        <v>#N/A</v>
      </c>
      <c r="AZ38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1" s="50"/>
    </row>
    <row r="382" spans="2:57">
      <c r="B382" s="405" t="str">
        <f>_xlfn.CONCAT(Tableau1[[#This Row],[Name ILN]],"-",Tableau1[[#This Row],[Name Shipper]],"-",Tableau1[[#This Row],[Name Site]])</f>
        <v>--</v>
      </c>
      <c r="C382" s="64" t="e">
        <f>_xlfn.CONCAT(Tableau1[[#This Row],[Compte ILN]],"-",Tableau1[[#This Row],[Compte Shipper]],"-",Tableau1[[#This Row],[POL]],"-",Tableau1[[#This Row],[Compte Consignee]])</f>
        <v>#N/A</v>
      </c>
      <c r="D382" s="64" t="e">
        <f>_xlfn.CONCAT(Tableau1[[#This Row],[Compte ILN]],"-",Tableau1[[#This Row],[Compte Shipper]],"-",Tableau1[[#This Row],[POL]])</f>
        <v>#N/A</v>
      </c>
      <c r="E382" s="128" t="e">
        <f ca="1">_xlfn.CONCAT(Tableau1[[#This Row],[POL]],"-",Tableau1[[#This Row],[Carrier]],"-",Tableau1[[#This Row],[POD]])</f>
        <v>#N/A</v>
      </c>
      <c r="F382" s="64" t="str">
        <f>_xlfn.CONCAT(Tableau1[[#This Row],[ID]],"-","Actif")</f>
        <v>-Actif</v>
      </c>
      <c r="G382" s="64" t="e">
        <f ca="1">_xlfn.CONCAT(Tableau1[[#This Row],[POD]],"-",Tableau1[[#This Row],[Code PFI]],"-",Tableau1[[#This Row],[Compte Consignee]])</f>
        <v>#N/A</v>
      </c>
      <c r="H38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2" s="117" t="str">
        <f ca="1">IF(COUNTIF(I:I,Tableau1[[#This Row],[Plant-ILN-shipper-POL-Carrier-POD-PFI]])=1,"Non","Oui")</f>
        <v>Oui</v>
      </c>
      <c r="K382" s="126" t="e">
        <f>VLOOKUP(Tableau1[[#This Row],[Name Site]],Plant_AILN!A:D,4,FALSE)</f>
        <v>#N/A</v>
      </c>
      <c r="L382" s="363"/>
      <c r="M382" s="492" t="e">
        <f>VLOOKUP(Tableau1[[#This Row],[Name Site]],Plant_AILN!A:C,3,FALSE)</f>
        <v>#N/A</v>
      </c>
      <c r="N382" s="55" t="e">
        <f>VLOOKUP(Tableau1[[#This Row],[Compte Consignee]],Order!C:D,2,FALSE)</f>
        <v>#N/A</v>
      </c>
      <c r="O382" s="122"/>
      <c r="P382" s="481" t="e">
        <f>VLOOKUP(Tableau1[[#This Row],[Name ILN]],Plant_AILN!F:G,2,FALSE)</f>
        <v>#N/A</v>
      </c>
      <c r="Q382" s="50" t="e">
        <f>VLOOKUP(Tableau1[[#This Row],[Compte ILN]],'DATA ILN'!D:I,6,FALSE)</f>
        <v>#N/A</v>
      </c>
      <c r="R382" s="50" t="e">
        <f>IFERROR(VLOOKUP(Tableau1[[#This Row],[Key(Compte ILN - shipper - POL - plant)]],'DATA ILN'!A:J,10,FALSE),VLOOKUP(Tableau1[[#This Row],[Key(Compte ILN - shipper - POL)]],'DATA ILN'!B:J,9,FALSE))</f>
        <v>#N/A</v>
      </c>
      <c r="S382" s="50" t="e">
        <f>IFERROR(VLOOKUP(Tableau1[[#This Row],[Key(Compte ILN - shipper - POL - plant)]],'DATA ILN'!A:K,11,FALSE),VLOOKUP(Tableau1[[#This Row],[Key(Compte ILN - shipper - POL)]],'DATA ILN'!B:K,10,FALSE))</f>
        <v>#N/A</v>
      </c>
      <c r="T382" s="50" t="e">
        <f>IFERROR(VLOOKUP(Tableau1[[#This Row],[Key(Compte ILN - shipper - POL - plant)]],'DATA ILN'!A:L,12,FALSE),VLOOKUP(Tableau1[[#This Row],[Key(Compte ILN - shipper - POL)]],'DATA ILN'!B:L,11,FALSE))</f>
        <v>#N/A</v>
      </c>
      <c r="U382" s="50" t="e">
        <f>Tableau1[[#This Row],[Day ILN Order]]+Tableau1[[#This Row],[Delivery time to ILN/Shipper]]-1</f>
        <v>#N/A</v>
      </c>
      <c r="V382" s="50" t="e">
        <f>IFERROR(VLOOKUP(Tableau1[[#This Row],[Key(Compte ILN - shipper - POL - plant)]],'DATA ILN'!A:N,14,FALSE),VLOOKUP(Tableau1[[#This Row],[Key(Compte ILN - shipper - POL)]],'DATA ILN'!B:N,13,FALSE))</f>
        <v>#N/A</v>
      </c>
      <c r="W382" s="50" t="e">
        <f>IFERROR(VLOOKUP(Tableau1[[#This Row],[Key(Compte ILN - shipper - POL - plant)]],'DATA ILN'!A:P,16,FALSE),VLOOKUP(Tableau1[[#This Row],[Key(Compte ILN - shipper - POL)]],'DATA ILN'!B:P,15,FALSE))</f>
        <v>#N/A</v>
      </c>
      <c r="X382" s="283"/>
      <c r="Y382" s="489">
        <f>IFERROR(VLOOKUP(Tableau1[[#This Row],[Name Shipper]],Plant_AILN!L:M,2,FALSE),0)</f>
        <v>0</v>
      </c>
      <c r="Z382" s="358"/>
      <c r="AA382" s="353" t="e">
        <f ca="1">VLOOKUP(Tableau1[[#This Row],[Key(ID-Actif)]],'DATA BTO'!A:N,5,FALSE)</f>
        <v>#N/A</v>
      </c>
      <c r="AB382" s="3" t="e">
        <f ca="1">VLOOKUP(Tableau1[[#This Row],[Key(ID-Actif)]],'DATA BTO'!A:N,6,FALSE)</f>
        <v>#N/A</v>
      </c>
      <c r="AC382" s="50" t="e">
        <f ca="1">VLOOKUP(Tableau1[[#This Row],[Key(ID-Actif)]],'DATA BTO'!A:N,7,FALSE)</f>
        <v>#N/A</v>
      </c>
      <c r="AD382" s="50" t="e">
        <f ca="1">VLOOKUP(Tableau1[[#This Row],[Key(ID-Actif)]],'DATA BTO'!A:N,8,FALSE)</f>
        <v>#N/A</v>
      </c>
      <c r="AE382" s="406" t="e">
        <f ca="1">IF(Tableau1[[#This Row],[First Day to POL]]&lt;=Tableau1[[#This Row],[Day Cut Off]],Tableau1[[#This Row],[Day ETD]],Tableau1[[#This Row],[Day ETD]]+7)</f>
        <v>#N/A</v>
      </c>
      <c r="AF382" s="50" t="e">
        <f ca="1">VLOOKUP(Tableau1[[#This Row],[Key(ID-Actif)]],'DATA BTO'!A:N,9,FALSE)</f>
        <v>#N/A</v>
      </c>
      <c r="AG382" s="3" t="e">
        <f ca="1">VLOOKUP(Tableau1[[#This Row],[Key(ID-Actif)]],'DATA BTO'!A:N,10,FALSE)</f>
        <v>#N/A</v>
      </c>
      <c r="AH382" s="3" t="e">
        <f ca="1">VLOOKUP(Tableau1[[#This Row],[Key(ID-Actif)]],'DATA BTO'!A:N,11,FALSE)</f>
        <v>#N/A</v>
      </c>
      <c r="AI382" s="50" t="e">
        <f ca="1">VLOOKUP(Tableau1[[#This Row],[Key(ID-Actif)]],'DATA BTO'!A:N,12,FALSE)</f>
        <v>#N/A</v>
      </c>
      <c r="AJ382" s="53" t="e">
        <f ca="1">VLOOKUP(Tableau1[[#This Row],[Key(ID-Actif)]],'DATA BTO'!A:N,14,FALSE)</f>
        <v>#N/A</v>
      </c>
      <c r="AK382" s="54" t="e">
        <f ca="1">VLOOKUP(Tableau1[[#This Row],[Key(POD -PFI- Usine)]],'DATA Consignee'!A:F,6,FALSE)</f>
        <v>#N/A</v>
      </c>
      <c r="AL382" s="283"/>
      <c r="AM382" s="490" t="str">
        <f>IF(Tableau1[[#This Row],[Name PFI/CDD]]="","-",VLOOKUP(Tableau1[[#This Row],[Name PFI/CDD]],Plant_AILN!I:J,2,FALSE))</f>
        <v>-</v>
      </c>
      <c r="AN38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2" s="2" t="e">
        <f ca="1">VLOOKUP(Tableau1[[#This Row],[Key(POD -PFI- Usine)]],'DATA Consignee'!A:J,10,FALSE)</f>
        <v>#N/A</v>
      </c>
      <c r="AQ382" s="50" t="e">
        <f ca="1">VLOOKUP(Tableau1[[#This Row],[Key(POD -PFI- Usine)]],'DATA Consignee'!A:N,14,FALSE)</f>
        <v>#N/A</v>
      </c>
      <c r="AR38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2" s="50" t="e">
        <f ca="1">Tableau1[[#This Row],[Transit time]]+Tableau1[[#This Row],[Time for security]]+Tableau1[[#This Row],[Time for security2 buffer]]</f>
        <v>#N/A</v>
      </c>
      <c r="AU38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2" s="50" t="e">
        <f ca="1">Tableau1[[#This Row],[Leadtime SI2C]]+Tableau1[[#This Row],[First Receipt Days]]-Tableau1[[#This Row],[Day Customer Order]]+1</f>
        <v>#N/A</v>
      </c>
      <c r="AW382" s="117" t="e">
        <f ca="1">IF(Tableau1[[#This Row],[Name ILN]]&lt;&gt;"SFK Freight Forwarder",Tableau1[[#This Row],[Cust. Leadtime]],Tableau1[[#This Row],[Leadtime SI2C]])</f>
        <v>#N/A</v>
      </c>
      <c r="AX382" s="57" t="e">
        <f>VLOOKUP(Tableau1[[#This Row],[ID]],'DATA BTO'!B:P,15,FALSE)</f>
        <v>#N/A</v>
      </c>
      <c r="AY382" s="328" t="e">
        <f ca="1">IFERROR(VLOOKUP(Tableau1[[#This Row],[Key(ID-Actif)]],'DATA BTO'!A:N,4,FALSE),VLOOKUP(Tableau1[[#This Row],[ID]],'DATA BTO'!B:N,3,FALSE))</f>
        <v>#N/A</v>
      </c>
      <c r="AZ38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2" s="50"/>
    </row>
    <row r="383" spans="2:57">
      <c r="B383" s="405" t="str">
        <f>_xlfn.CONCAT(Tableau1[[#This Row],[Name ILN]],"-",Tableau1[[#This Row],[Name Shipper]],"-",Tableau1[[#This Row],[Name Site]])</f>
        <v>--</v>
      </c>
      <c r="C383" s="64" t="e">
        <f>_xlfn.CONCAT(Tableau1[[#This Row],[Compte ILN]],"-",Tableau1[[#This Row],[Compte Shipper]],"-",Tableau1[[#This Row],[POL]],"-",Tableau1[[#This Row],[Compte Consignee]])</f>
        <v>#N/A</v>
      </c>
      <c r="D383" s="64" t="e">
        <f>_xlfn.CONCAT(Tableau1[[#This Row],[Compte ILN]],"-",Tableau1[[#This Row],[Compte Shipper]],"-",Tableau1[[#This Row],[POL]])</f>
        <v>#N/A</v>
      </c>
      <c r="E383" s="128" t="e">
        <f ca="1">_xlfn.CONCAT(Tableau1[[#This Row],[POL]],"-",Tableau1[[#This Row],[Carrier]],"-",Tableau1[[#This Row],[POD]])</f>
        <v>#N/A</v>
      </c>
      <c r="F383" s="64" t="str">
        <f>_xlfn.CONCAT(Tableau1[[#This Row],[ID]],"-","Actif")</f>
        <v>-Actif</v>
      </c>
      <c r="G383" s="64" t="e">
        <f ca="1">_xlfn.CONCAT(Tableau1[[#This Row],[POD]],"-",Tableau1[[#This Row],[Code PFI]],"-",Tableau1[[#This Row],[Compte Consignee]])</f>
        <v>#N/A</v>
      </c>
      <c r="H383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3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3" s="117" t="str">
        <f ca="1">IF(COUNTIF(I:I,Tableau1[[#This Row],[Plant-ILN-shipper-POL-Carrier-POD-PFI]])=1,"Non","Oui")</f>
        <v>Oui</v>
      </c>
      <c r="K383" s="126" t="e">
        <f>VLOOKUP(Tableau1[[#This Row],[Name Site]],Plant_AILN!A:D,4,FALSE)</f>
        <v>#N/A</v>
      </c>
      <c r="L383" s="363"/>
      <c r="M383" s="492" t="e">
        <f>VLOOKUP(Tableau1[[#This Row],[Name Site]],Plant_AILN!A:C,3,FALSE)</f>
        <v>#N/A</v>
      </c>
      <c r="N383" s="55" t="e">
        <f>VLOOKUP(Tableau1[[#This Row],[Compte Consignee]],Order!C:D,2,FALSE)</f>
        <v>#N/A</v>
      </c>
      <c r="O383" s="122"/>
      <c r="P383" s="481" t="e">
        <f>VLOOKUP(Tableau1[[#This Row],[Name ILN]],Plant_AILN!F:G,2,FALSE)</f>
        <v>#N/A</v>
      </c>
      <c r="Q383" s="50" t="e">
        <f>VLOOKUP(Tableau1[[#This Row],[Compte ILN]],'DATA ILN'!D:I,6,FALSE)</f>
        <v>#N/A</v>
      </c>
      <c r="R383" s="50" t="e">
        <f>IFERROR(VLOOKUP(Tableau1[[#This Row],[Key(Compte ILN - shipper - POL - plant)]],'DATA ILN'!A:J,10,FALSE),VLOOKUP(Tableau1[[#This Row],[Key(Compte ILN - shipper - POL)]],'DATA ILN'!B:J,9,FALSE))</f>
        <v>#N/A</v>
      </c>
      <c r="S383" s="50" t="e">
        <f>IFERROR(VLOOKUP(Tableau1[[#This Row],[Key(Compte ILN - shipper - POL - plant)]],'DATA ILN'!A:K,11,FALSE),VLOOKUP(Tableau1[[#This Row],[Key(Compte ILN - shipper - POL)]],'DATA ILN'!B:K,10,FALSE))</f>
        <v>#N/A</v>
      </c>
      <c r="T383" s="50" t="e">
        <f>IFERROR(VLOOKUP(Tableau1[[#This Row],[Key(Compte ILN - shipper - POL - plant)]],'DATA ILN'!A:L,12,FALSE),VLOOKUP(Tableau1[[#This Row],[Key(Compte ILN - shipper - POL)]],'DATA ILN'!B:L,11,FALSE))</f>
        <v>#N/A</v>
      </c>
      <c r="U383" s="50" t="e">
        <f>Tableau1[[#This Row],[Day ILN Order]]+Tableau1[[#This Row],[Delivery time to ILN/Shipper]]-1</f>
        <v>#N/A</v>
      </c>
      <c r="V383" s="50" t="e">
        <f>IFERROR(VLOOKUP(Tableau1[[#This Row],[Key(Compte ILN - shipper - POL - plant)]],'DATA ILN'!A:N,14,FALSE),VLOOKUP(Tableau1[[#This Row],[Key(Compte ILN - shipper - POL)]],'DATA ILN'!B:N,13,FALSE))</f>
        <v>#N/A</v>
      </c>
      <c r="W383" s="50" t="e">
        <f>IFERROR(VLOOKUP(Tableau1[[#This Row],[Key(Compte ILN - shipper - POL - plant)]],'DATA ILN'!A:P,16,FALSE),VLOOKUP(Tableau1[[#This Row],[Key(Compte ILN - shipper - POL)]],'DATA ILN'!B:P,15,FALSE))</f>
        <v>#N/A</v>
      </c>
      <c r="X383" s="283"/>
      <c r="Y383" s="489">
        <f>IFERROR(VLOOKUP(Tableau1[[#This Row],[Name Shipper]],Plant_AILN!L:M,2,FALSE),0)</f>
        <v>0</v>
      </c>
      <c r="Z383" s="358"/>
      <c r="AA383" s="353" t="e">
        <f ca="1">VLOOKUP(Tableau1[[#This Row],[Key(ID-Actif)]],'DATA BTO'!A:N,5,FALSE)</f>
        <v>#N/A</v>
      </c>
      <c r="AB383" s="3" t="e">
        <f ca="1">VLOOKUP(Tableau1[[#This Row],[Key(ID-Actif)]],'DATA BTO'!A:N,6,FALSE)</f>
        <v>#N/A</v>
      </c>
      <c r="AC383" s="50" t="e">
        <f ca="1">VLOOKUP(Tableau1[[#This Row],[Key(ID-Actif)]],'DATA BTO'!A:N,7,FALSE)</f>
        <v>#N/A</v>
      </c>
      <c r="AD383" s="50" t="e">
        <f ca="1">VLOOKUP(Tableau1[[#This Row],[Key(ID-Actif)]],'DATA BTO'!A:N,8,FALSE)</f>
        <v>#N/A</v>
      </c>
      <c r="AE383" s="406" t="e">
        <f ca="1">IF(Tableau1[[#This Row],[First Day to POL]]&lt;=Tableau1[[#This Row],[Day Cut Off]],Tableau1[[#This Row],[Day ETD]],Tableau1[[#This Row],[Day ETD]]+7)</f>
        <v>#N/A</v>
      </c>
      <c r="AF383" s="50" t="e">
        <f ca="1">VLOOKUP(Tableau1[[#This Row],[Key(ID-Actif)]],'DATA BTO'!A:N,9,FALSE)</f>
        <v>#N/A</v>
      </c>
      <c r="AG383" s="3" t="e">
        <f ca="1">VLOOKUP(Tableau1[[#This Row],[Key(ID-Actif)]],'DATA BTO'!A:N,10,FALSE)</f>
        <v>#N/A</v>
      </c>
      <c r="AH383" s="3" t="e">
        <f ca="1">VLOOKUP(Tableau1[[#This Row],[Key(ID-Actif)]],'DATA BTO'!A:N,11,FALSE)</f>
        <v>#N/A</v>
      </c>
      <c r="AI383" s="50" t="e">
        <f ca="1">VLOOKUP(Tableau1[[#This Row],[Key(ID-Actif)]],'DATA BTO'!A:N,12,FALSE)</f>
        <v>#N/A</v>
      </c>
      <c r="AJ383" s="53" t="e">
        <f ca="1">VLOOKUP(Tableau1[[#This Row],[Key(ID-Actif)]],'DATA BTO'!A:N,14,FALSE)</f>
        <v>#N/A</v>
      </c>
      <c r="AK383" s="54" t="e">
        <f ca="1">VLOOKUP(Tableau1[[#This Row],[Key(POD -PFI- Usine)]],'DATA Consignee'!A:F,6,FALSE)</f>
        <v>#N/A</v>
      </c>
      <c r="AL383" s="283"/>
      <c r="AM383" s="490" t="str">
        <f>IF(Tableau1[[#This Row],[Name PFI/CDD]]="","-",VLOOKUP(Tableau1[[#This Row],[Name PFI/CDD]],Plant_AILN!I:J,2,FALSE))</f>
        <v>-</v>
      </c>
      <c r="AN383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3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3" s="2" t="e">
        <f ca="1">VLOOKUP(Tableau1[[#This Row],[Key(POD -PFI- Usine)]],'DATA Consignee'!A:J,10,FALSE)</f>
        <v>#N/A</v>
      </c>
      <c r="AQ383" s="50" t="e">
        <f ca="1">VLOOKUP(Tableau1[[#This Row],[Key(POD -PFI- Usine)]],'DATA Consignee'!A:N,14,FALSE)</f>
        <v>#N/A</v>
      </c>
      <c r="AR383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3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3" s="50" t="e">
        <f ca="1">Tableau1[[#This Row],[Transit time]]+Tableau1[[#This Row],[Time for security]]+Tableau1[[#This Row],[Time for security2 buffer]]</f>
        <v>#N/A</v>
      </c>
      <c r="AU383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3" s="50" t="e">
        <f ca="1">Tableau1[[#This Row],[Leadtime SI2C]]+Tableau1[[#This Row],[First Receipt Days]]-Tableau1[[#This Row],[Day Customer Order]]+1</f>
        <v>#N/A</v>
      </c>
      <c r="AW383" s="117" t="e">
        <f ca="1">IF(Tableau1[[#This Row],[Name ILN]]&lt;&gt;"SFK Freight Forwarder",Tableau1[[#This Row],[Cust. Leadtime]],Tableau1[[#This Row],[Leadtime SI2C]])</f>
        <v>#N/A</v>
      </c>
      <c r="AX383" s="57" t="e">
        <f>VLOOKUP(Tableau1[[#This Row],[ID]],'DATA BTO'!B:P,15,FALSE)</f>
        <v>#N/A</v>
      </c>
      <c r="AY383" s="328" t="e">
        <f ca="1">IFERROR(VLOOKUP(Tableau1[[#This Row],[Key(ID-Actif)]],'DATA BTO'!A:N,4,FALSE),VLOOKUP(Tableau1[[#This Row],[ID]],'DATA BTO'!B:N,3,FALSE))</f>
        <v>#N/A</v>
      </c>
      <c r="AZ383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3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3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3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3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3" s="50"/>
    </row>
    <row r="384" spans="2:57">
      <c r="B384" s="405" t="str">
        <f>_xlfn.CONCAT(Tableau1[[#This Row],[Name ILN]],"-",Tableau1[[#This Row],[Name Shipper]],"-",Tableau1[[#This Row],[Name Site]])</f>
        <v>--</v>
      </c>
      <c r="C384" s="64" t="e">
        <f>_xlfn.CONCAT(Tableau1[[#This Row],[Compte ILN]],"-",Tableau1[[#This Row],[Compte Shipper]],"-",Tableau1[[#This Row],[POL]],"-",Tableau1[[#This Row],[Compte Consignee]])</f>
        <v>#N/A</v>
      </c>
      <c r="D384" s="64" t="e">
        <f>_xlfn.CONCAT(Tableau1[[#This Row],[Compte ILN]],"-",Tableau1[[#This Row],[Compte Shipper]],"-",Tableau1[[#This Row],[POL]])</f>
        <v>#N/A</v>
      </c>
      <c r="E384" s="128" t="e">
        <f ca="1">_xlfn.CONCAT(Tableau1[[#This Row],[POL]],"-",Tableau1[[#This Row],[Carrier]],"-",Tableau1[[#This Row],[POD]])</f>
        <v>#N/A</v>
      </c>
      <c r="F384" s="64" t="str">
        <f>_xlfn.CONCAT(Tableau1[[#This Row],[ID]],"-","Actif")</f>
        <v>-Actif</v>
      </c>
      <c r="G384" s="64" t="e">
        <f ca="1">_xlfn.CONCAT(Tableau1[[#This Row],[POD]],"-",Tableau1[[#This Row],[Code PFI]],"-",Tableau1[[#This Row],[Compte Consignee]])</f>
        <v>#N/A</v>
      </c>
      <c r="H384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4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4" s="117" t="str">
        <f ca="1">IF(COUNTIF(I:I,Tableau1[[#This Row],[Plant-ILN-shipper-POL-Carrier-POD-PFI]])=1,"Non","Oui")</f>
        <v>Oui</v>
      </c>
      <c r="K384" s="126" t="e">
        <f>VLOOKUP(Tableau1[[#This Row],[Name Site]],Plant_AILN!A:D,4,FALSE)</f>
        <v>#N/A</v>
      </c>
      <c r="L384" s="363"/>
      <c r="M384" s="492" t="e">
        <f>VLOOKUP(Tableau1[[#This Row],[Name Site]],Plant_AILN!A:C,3,FALSE)</f>
        <v>#N/A</v>
      </c>
      <c r="N384" s="55" t="e">
        <f>VLOOKUP(Tableau1[[#This Row],[Compte Consignee]],Order!C:D,2,FALSE)</f>
        <v>#N/A</v>
      </c>
      <c r="O384" s="122"/>
      <c r="P384" s="481" t="e">
        <f>VLOOKUP(Tableau1[[#This Row],[Name ILN]],Plant_AILN!F:G,2,FALSE)</f>
        <v>#N/A</v>
      </c>
      <c r="Q384" s="50" t="e">
        <f>VLOOKUP(Tableau1[[#This Row],[Compte ILN]],'DATA ILN'!D:I,6,FALSE)</f>
        <v>#N/A</v>
      </c>
      <c r="R384" s="50" t="e">
        <f>IFERROR(VLOOKUP(Tableau1[[#This Row],[Key(Compte ILN - shipper - POL - plant)]],'DATA ILN'!A:J,10,FALSE),VLOOKUP(Tableau1[[#This Row],[Key(Compte ILN - shipper - POL)]],'DATA ILN'!B:J,9,FALSE))</f>
        <v>#N/A</v>
      </c>
      <c r="S384" s="50" t="e">
        <f>IFERROR(VLOOKUP(Tableau1[[#This Row],[Key(Compte ILN - shipper - POL - plant)]],'DATA ILN'!A:K,11,FALSE),VLOOKUP(Tableau1[[#This Row],[Key(Compte ILN - shipper - POL)]],'DATA ILN'!B:K,10,FALSE))</f>
        <v>#N/A</v>
      </c>
      <c r="T384" s="50" t="e">
        <f>IFERROR(VLOOKUP(Tableau1[[#This Row],[Key(Compte ILN - shipper - POL - plant)]],'DATA ILN'!A:L,12,FALSE),VLOOKUP(Tableau1[[#This Row],[Key(Compte ILN - shipper - POL)]],'DATA ILN'!B:L,11,FALSE))</f>
        <v>#N/A</v>
      </c>
      <c r="U384" s="50" t="e">
        <f>Tableau1[[#This Row],[Day ILN Order]]+Tableau1[[#This Row],[Delivery time to ILN/Shipper]]-1</f>
        <v>#N/A</v>
      </c>
      <c r="V384" s="50" t="e">
        <f>IFERROR(VLOOKUP(Tableau1[[#This Row],[Key(Compte ILN - shipper - POL - plant)]],'DATA ILN'!A:N,14,FALSE),VLOOKUP(Tableau1[[#This Row],[Key(Compte ILN - shipper - POL)]],'DATA ILN'!B:N,13,FALSE))</f>
        <v>#N/A</v>
      </c>
      <c r="W384" s="50" t="e">
        <f>IFERROR(VLOOKUP(Tableau1[[#This Row],[Key(Compte ILN - shipper - POL - plant)]],'DATA ILN'!A:P,16,FALSE),VLOOKUP(Tableau1[[#This Row],[Key(Compte ILN - shipper - POL)]],'DATA ILN'!B:P,15,FALSE))</f>
        <v>#N/A</v>
      </c>
      <c r="X384" s="283"/>
      <c r="Y384" s="489">
        <f>IFERROR(VLOOKUP(Tableau1[[#This Row],[Name Shipper]],Plant_AILN!L:M,2,FALSE),0)</f>
        <v>0</v>
      </c>
      <c r="Z384" s="358"/>
      <c r="AA384" s="353" t="e">
        <f ca="1">VLOOKUP(Tableau1[[#This Row],[Key(ID-Actif)]],'DATA BTO'!A:N,5,FALSE)</f>
        <v>#N/A</v>
      </c>
      <c r="AB384" s="3" t="e">
        <f ca="1">VLOOKUP(Tableau1[[#This Row],[Key(ID-Actif)]],'DATA BTO'!A:N,6,FALSE)</f>
        <v>#N/A</v>
      </c>
      <c r="AC384" s="50" t="e">
        <f ca="1">VLOOKUP(Tableau1[[#This Row],[Key(ID-Actif)]],'DATA BTO'!A:N,7,FALSE)</f>
        <v>#N/A</v>
      </c>
      <c r="AD384" s="50" t="e">
        <f ca="1">VLOOKUP(Tableau1[[#This Row],[Key(ID-Actif)]],'DATA BTO'!A:N,8,FALSE)</f>
        <v>#N/A</v>
      </c>
      <c r="AE384" s="406" t="e">
        <f ca="1">IF(Tableau1[[#This Row],[First Day to POL]]&lt;=Tableau1[[#This Row],[Day Cut Off]],Tableau1[[#This Row],[Day ETD]],Tableau1[[#This Row],[Day ETD]]+7)</f>
        <v>#N/A</v>
      </c>
      <c r="AF384" s="50" t="e">
        <f ca="1">VLOOKUP(Tableau1[[#This Row],[Key(ID-Actif)]],'DATA BTO'!A:N,9,FALSE)</f>
        <v>#N/A</v>
      </c>
      <c r="AG384" s="3" t="e">
        <f ca="1">VLOOKUP(Tableau1[[#This Row],[Key(ID-Actif)]],'DATA BTO'!A:N,10,FALSE)</f>
        <v>#N/A</v>
      </c>
      <c r="AH384" s="3" t="e">
        <f ca="1">VLOOKUP(Tableau1[[#This Row],[Key(ID-Actif)]],'DATA BTO'!A:N,11,FALSE)</f>
        <v>#N/A</v>
      </c>
      <c r="AI384" s="50" t="e">
        <f ca="1">VLOOKUP(Tableau1[[#This Row],[Key(ID-Actif)]],'DATA BTO'!A:N,12,FALSE)</f>
        <v>#N/A</v>
      </c>
      <c r="AJ384" s="53" t="e">
        <f ca="1">VLOOKUP(Tableau1[[#This Row],[Key(ID-Actif)]],'DATA BTO'!A:N,14,FALSE)</f>
        <v>#N/A</v>
      </c>
      <c r="AK384" s="54" t="e">
        <f ca="1">VLOOKUP(Tableau1[[#This Row],[Key(POD -PFI- Usine)]],'DATA Consignee'!A:F,6,FALSE)</f>
        <v>#N/A</v>
      </c>
      <c r="AL384" s="283"/>
      <c r="AM384" s="490" t="str">
        <f>IF(Tableau1[[#This Row],[Name PFI/CDD]]="","-",VLOOKUP(Tableau1[[#This Row],[Name PFI/CDD]],Plant_AILN!I:J,2,FALSE))</f>
        <v>-</v>
      </c>
      <c r="AN384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4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4" s="2" t="e">
        <f ca="1">VLOOKUP(Tableau1[[#This Row],[Key(POD -PFI- Usine)]],'DATA Consignee'!A:J,10,FALSE)</f>
        <v>#N/A</v>
      </c>
      <c r="AQ384" s="50" t="e">
        <f ca="1">VLOOKUP(Tableau1[[#This Row],[Key(POD -PFI- Usine)]],'DATA Consignee'!A:N,14,FALSE)</f>
        <v>#N/A</v>
      </c>
      <c r="AR384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4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4" s="50" t="e">
        <f ca="1">Tableau1[[#This Row],[Transit time]]+Tableau1[[#This Row],[Time for security]]+Tableau1[[#This Row],[Time for security2 buffer]]</f>
        <v>#N/A</v>
      </c>
      <c r="AU384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4" s="50" t="e">
        <f ca="1">Tableau1[[#This Row],[Leadtime SI2C]]+Tableau1[[#This Row],[First Receipt Days]]-Tableau1[[#This Row],[Day Customer Order]]+1</f>
        <v>#N/A</v>
      </c>
      <c r="AW384" s="117" t="e">
        <f ca="1">IF(Tableau1[[#This Row],[Name ILN]]&lt;&gt;"SFK Freight Forwarder",Tableau1[[#This Row],[Cust. Leadtime]],Tableau1[[#This Row],[Leadtime SI2C]])</f>
        <v>#N/A</v>
      </c>
      <c r="AX384" s="57" t="e">
        <f>VLOOKUP(Tableau1[[#This Row],[ID]],'DATA BTO'!B:P,15,FALSE)</f>
        <v>#N/A</v>
      </c>
      <c r="AY384" s="328" t="e">
        <f ca="1">IFERROR(VLOOKUP(Tableau1[[#This Row],[Key(ID-Actif)]],'DATA BTO'!A:N,4,FALSE),VLOOKUP(Tableau1[[#This Row],[ID]],'DATA BTO'!B:N,3,FALSE))</f>
        <v>#N/A</v>
      </c>
      <c r="AZ384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4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4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4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4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4" s="50"/>
    </row>
    <row r="385" spans="2:57">
      <c r="B385" s="405" t="str">
        <f>_xlfn.CONCAT(Tableau1[[#This Row],[Name ILN]],"-",Tableau1[[#This Row],[Name Shipper]],"-",Tableau1[[#This Row],[Name Site]])</f>
        <v>--</v>
      </c>
      <c r="C385" s="64" t="e">
        <f>_xlfn.CONCAT(Tableau1[[#This Row],[Compte ILN]],"-",Tableau1[[#This Row],[Compte Shipper]],"-",Tableau1[[#This Row],[POL]],"-",Tableau1[[#This Row],[Compte Consignee]])</f>
        <v>#N/A</v>
      </c>
      <c r="D385" s="64" t="e">
        <f>_xlfn.CONCAT(Tableau1[[#This Row],[Compte ILN]],"-",Tableau1[[#This Row],[Compte Shipper]],"-",Tableau1[[#This Row],[POL]])</f>
        <v>#N/A</v>
      </c>
      <c r="E385" s="128" t="e">
        <f ca="1">_xlfn.CONCAT(Tableau1[[#This Row],[POL]],"-",Tableau1[[#This Row],[Carrier]],"-",Tableau1[[#This Row],[POD]])</f>
        <v>#N/A</v>
      </c>
      <c r="F385" s="64" t="str">
        <f>_xlfn.CONCAT(Tableau1[[#This Row],[ID]],"-","Actif")</f>
        <v>-Actif</v>
      </c>
      <c r="G385" s="64" t="e">
        <f ca="1">_xlfn.CONCAT(Tableau1[[#This Row],[POD]],"-",Tableau1[[#This Row],[Code PFI]],"-",Tableau1[[#This Row],[Compte Consignee]])</f>
        <v>#N/A</v>
      </c>
      <c r="H385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5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5" s="117" t="str">
        <f ca="1">IF(COUNTIF(I:I,Tableau1[[#This Row],[Plant-ILN-shipper-POL-Carrier-POD-PFI]])=1,"Non","Oui")</f>
        <v>Oui</v>
      </c>
      <c r="K385" s="126" t="e">
        <f>VLOOKUP(Tableau1[[#This Row],[Name Site]],Plant_AILN!A:D,4,FALSE)</f>
        <v>#N/A</v>
      </c>
      <c r="L385" s="363"/>
      <c r="M385" s="492" t="e">
        <f>VLOOKUP(Tableau1[[#This Row],[Name Site]],Plant_AILN!A:C,3,FALSE)</f>
        <v>#N/A</v>
      </c>
      <c r="N385" s="55" t="e">
        <f>VLOOKUP(Tableau1[[#This Row],[Compte Consignee]],Order!C:D,2,FALSE)</f>
        <v>#N/A</v>
      </c>
      <c r="O385" s="122"/>
      <c r="P385" s="481" t="e">
        <f>VLOOKUP(Tableau1[[#This Row],[Name ILN]],Plant_AILN!F:G,2,FALSE)</f>
        <v>#N/A</v>
      </c>
      <c r="Q385" s="50" t="e">
        <f>VLOOKUP(Tableau1[[#This Row],[Compte ILN]],'DATA ILN'!D:I,6,FALSE)</f>
        <v>#N/A</v>
      </c>
      <c r="R385" s="50" t="e">
        <f>IFERROR(VLOOKUP(Tableau1[[#This Row],[Key(Compte ILN - shipper - POL - plant)]],'DATA ILN'!A:J,10,FALSE),VLOOKUP(Tableau1[[#This Row],[Key(Compte ILN - shipper - POL)]],'DATA ILN'!B:J,9,FALSE))</f>
        <v>#N/A</v>
      </c>
      <c r="S385" s="50" t="e">
        <f>IFERROR(VLOOKUP(Tableau1[[#This Row],[Key(Compte ILN - shipper - POL - plant)]],'DATA ILN'!A:K,11,FALSE),VLOOKUP(Tableau1[[#This Row],[Key(Compte ILN - shipper - POL)]],'DATA ILN'!B:K,10,FALSE))</f>
        <v>#N/A</v>
      </c>
      <c r="T385" s="50" t="e">
        <f>IFERROR(VLOOKUP(Tableau1[[#This Row],[Key(Compte ILN - shipper - POL - plant)]],'DATA ILN'!A:L,12,FALSE),VLOOKUP(Tableau1[[#This Row],[Key(Compte ILN - shipper - POL)]],'DATA ILN'!B:L,11,FALSE))</f>
        <v>#N/A</v>
      </c>
      <c r="U385" s="50" t="e">
        <f>Tableau1[[#This Row],[Day ILN Order]]+Tableau1[[#This Row],[Delivery time to ILN/Shipper]]-1</f>
        <v>#N/A</v>
      </c>
      <c r="V385" s="50" t="e">
        <f>IFERROR(VLOOKUP(Tableau1[[#This Row],[Key(Compte ILN - shipper - POL - plant)]],'DATA ILN'!A:N,14,FALSE),VLOOKUP(Tableau1[[#This Row],[Key(Compte ILN - shipper - POL)]],'DATA ILN'!B:N,13,FALSE))</f>
        <v>#N/A</v>
      </c>
      <c r="W385" s="50" t="e">
        <f>IFERROR(VLOOKUP(Tableau1[[#This Row],[Key(Compte ILN - shipper - POL - plant)]],'DATA ILN'!A:P,16,FALSE),VLOOKUP(Tableau1[[#This Row],[Key(Compte ILN - shipper - POL)]],'DATA ILN'!B:P,15,FALSE))</f>
        <v>#N/A</v>
      </c>
      <c r="X385" s="283"/>
      <c r="Y385" s="489">
        <f>IFERROR(VLOOKUP(Tableau1[[#This Row],[Name Shipper]],Plant_AILN!L:M,2,FALSE),0)</f>
        <v>0</v>
      </c>
      <c r="Z385" s="358"/>
      <c r="AA385" s="353" t="e">
        <f ca="1">VLOOKUP(Tableau1[[#This Row],[Key(ID-Actif)]],'DATA BTO'!A:N,5,FALSE)</f>
        <v>#N/A</v>
      </c>
      <c r="AB385" s="3" t="e">
        <f ca="1">VLOOKUP(Tableau1[[#This Row],[Key(ID-Actif)]],'DATA BTO'!A:N,6,FALSE)</f>
        <v>#N/A</v>
      </c>
      <c r="AC385" s="50" t="e">
        <f ca="1">VLOOKUP(Tableau1[[#This Row],[Key(ID-Actif)]],'DATA BTO'!A:N,7,FALSE)</f>
        <v>#N/A</v>
      </c>
      <c r="AD385" s="50" t="e">
        <f ca="1">VLOOKUP(Tableau1[[#This Row],[Key(ID-Actif)]],'DATA BTO'!A:N,8,FALSE)</f>
        <v>#N/A</v>
      </c>
      <c r="AE385" s="406" t="e">
        <f ca="1">IF(Tableau1[[#This Row],[First Day to POL]]&lt;=Tableau1[[#This Row],[Day Cut Off]],Tableau1[[#This Row],[Day ETD]],Tableau1[[#This Row],[Day ETD]]+7)</f>
        <v>#N/A</v>
      </c>
      <c r="AF385" s="50" t="e">
        <f ca="1">VLOOKUP(Tableau1[[#This Row],[Key(ID-Actif)]],'DATA BTO'!A:N,9,FALSE)</f>
        <v>#N/A</v>
      </c>
      <c r="AG385" s="3" t="e">
        <f ca="1">VLOOKUP(Tableau1[[#This Row],[Key(ID-Actif)]],'DATA BTO'!A:N,10,FALSE)</f>
        <v>#N/A</v>
      </c>
      <c r="AH385" s="3" t="e">
        <f ca="1">VLOOKUP(Tableau1[[#This Row],[Key(ID-Actif)]],'DATA BTO'!A:N,11,FALSE)</f>
        <v>#N/A</v>
      </c>
      <c r="AI385" s="50" t="e">
        <f ca="1">VLOOKUP(Tableau1[[#This Row],[Key(ID-Actif)]],'DATA BTO'!A:N,12,FALSE)</f>
        <v>#N/A</v>
      </c>
      <c r="AJ385" s="53" t="e">
        <f ca="1">VLOOKUP(Tableau1[[#This Row],[Key(ID-Actif)]],'DATA BTO'!A:N,14,FALSE)</f>
        <v>#N/A</v>
      </c>
      <c r="AK385" s="54" t="e">
        <f ca="1">VLOOKUP(Tableau1[[#This Row],[Key(POD -PFI- Usine)]],'DATA Consignee'!A:F,6,FALSE)</f>
        <v>#N/A</v>
      </c>
      <c r="AL385" s="283"/>
      <c r="AM385" s="490" t="str">
        <f>IF(Tableau1[[#This Row],[Name PFI/CDD]]="","-",VLOOKUP(Tableau1[[#This Row],[Name PFI/CDD]],Plant_AILN!I:J,2,FALSE))</f>
        <v>-</v>
      </c>
      <c r="AN385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5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5" s="2" t="e">
        <f ca="1">VLOOKUP(Tableau1[[#This Row],[Key(POD -PFI- Usine)]],'DATA Consignee'!A:J,10,FALSE)</f>
        <v>#N/A</v>
      </c>
      <c r="AQ385" s="50" t="e">
        <f ca="1">VLOOKUP(Tableau1[[#This Row],[Key(POD -PFI- Usine)]],'DATA Consignee'!A:N,14,FALSE)</f>
        <v>#N/A</v>
      </c>
      <c r="AR385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5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5" s="50" t="e">
        <f ca="1">Tableau1[[#This Row],[Transit time]]+Tableau1[[#This Row],[Time for security]]+Tableau1[[#This Row],[Time for security2 buffer]]</f>
        <v>#N/A</v>
      </c>
      <c r="AU385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5" s="50" t="e">
        <f ca="1">Tableau1[[#This Row],[Leadtime SI2C]]+Tableau1[[#This Row],[First Receipt Days]]-Tableau1[[#This Row],[Day Customer Order]]+1</f>
        <v>#N/A</v>
      </c>
      <c r="AW385" s="117" t="e">
        <f ca="1">IF(Tableau1[[#This Row],[Name ILN]]&lt;&gt;"SFK Freight Forwarder",Tableau1[[#This Row],[Cust. Leadtime]],Tableau1[[#This Row],[Leadtime SI2C]])</f>
        <v>#N/A</v>
      </c>
      <c r="AX385" s="57" t="e">
        <f>VLOOKUP(Tableau1[[#This Row],[ID]],'DATA BTO'!B:P,15,FALSE)</f>
        <v>#N/A</v>
      </c>
      <c r="AY385" s="328" t="e">
        <f ca="1">IFERROR(VLOOKUP(Tableau1[[#This Row],[Key(ID-Actif)]],'DATA BTO'!A:N,4,FALSE),VLOOKUP(Tableau1[[#This Row],[ID]],'DATA BTO'!B:N,3,FALSE))</f>
        <v>#N/A</v>
      </c>
      <c r="AZ385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5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5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5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5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5" s="50"/>
    </row>
    <row r="386" spans="2:57">
      <c r="B386" s="405" t="str">
        <f>_xlfn.CONCAT(Tableau1[[#This Row],[Name ILN]],"-",Tableau1[[#This Row],[Name Shipper]],"-",Tableau1[[#This Row],[Name Site]])</f>
        <v>--</v>
      </c>
      <c r="C386" s="64" t="e">
        <f>_xlfn.CONCAT(Tableau1[[#This Row],[Compte ILN]],"-",Tableau1[[#This Row],[Compte Shipper]],"-",Tableau1[[#This Row],[POL]],"-",Tableau1[[#This Row],[Compte Consignee]])</f>
        <v>#N/A</v>
      </c>
      <c r="D386" s="64" t="e">
        <f>_xlfn.CONCAT(Tableau1[[#This Row],[Compte ILN]],"-",Tableau1[[#This Row],[Compte Shipper]],"-",Tableau1[[#This Row],[POL]])</f>
        <v>#N/A</v>
      </c>
      <c r="E386" s="128" t="e">
        <f ca="1">_xlfn.CONCAT(Tableau1[[#This Row],[POL]],"-",Tableau1[[#This Row],[Carrier]],"-",Tableau1[[#This Row],[POD]])</f>
        <v>#N/A</v>
      </c>
      <c r="F386" s="64" t="str">
        <f>_xlfn.CONCAT(Tableau1[[#This Row],[ID]],"-","Actif")</f>
        <v>-Actif</v>
      </c>
      <c r="G386" s="64" t="e">
        <f ca="1">_xlfn.CONCAT(Tableau1[[#This Row],[POD]],"-",Tableau1[[#This Row],[Code PFI]],"-",Tableau1[[#This Row],[Compte Consignee]])</f>
        <v>#N/A</v>
      </c>
      <c r="H38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6" s="117" t="str">
        <f ca="1">IF(COUNTIF(I:I,Tableau1[[#This Row],[Plant-ILN-shipper-POL-Carrier-POD-PFI]])=1,"Non","Oui")</f>
        <v>Oui</v>
      </c>
      <c r="K386" s="126" t="e">
        <f>VLOOKUP(Tableau1[[#This Row],[Name Site]],Plant_AILN!A:D,4,FALSE)</f>
        <v>#N/A</v>
      </c>
      <c r="L386" s="363"/>
      <c r="M386" s="492" t="e">
        <f>VLOOKUP(Tableau1[[#This Row],[Name Site]],Plant_AILN!A:C,3,FALSE)</f>
        <v>#N/A</v>
      </c>
      <c r="N386" s="55" t="e">
        <f>VLOOKUP(Tableau1[[#This Row],[Compte Consignee]],Order!C:D,2,FALSE)</f>
        <v>#N/A</v>
      </c>
      <c r="O386" s="122"/>
      <c r="P386" s="481" t="e">
        <f>VLOOKUP(Tableau1[[#This Row],[Name ILN]],Plant_AILN!F:G,2,FALSE)</f>
        <v>#N/A</v>
      </c>
      <c r="Q386" s="50" t="e">
        <f>VLOOKUP(Tableau1[[#This Row],[Compte ILN]],'DATA ILN'!D:I,6,FALSE)</f>
        <v>#N/A</v>
      </c>
      <c r="R386" s="50" t="e">
        <f>IFERROR(VLOOKUP(Tableau1[[#This Row],[Key(Compte ILN - shipper - POL - plant)]],'DATA ILN'!A:J,10,FALSE),VLOOKUP(Tableau1[[#This Row],[Key(Compte ILN - shipper - POL)]],'DATA ILN'!B:J,9,FALSE))</f>
        <v>#N/A</v>
      </c>
      <c r="S386" s="50" t="e">
        <f>IFERROR(VLOOKUP(Tableau1[[#This Row],[Key(Compte ILN - shipper - POL - plant)]],'DATA ILN'!A:K,11,FALSE),VLOOKUP(Tableau1[[#This Row],[Key(Compte ILN - shipper - POL)]],'DATA ILN'!B:K,10,FALSE))</f>
        <v>#N/A</v>
      </c>
      <c r="T386" s="50" t="e">
        <f>IFERROR(VLOOKUP(Tableau1[[#This Row],[Key(Compte ILN - shipper - POL - plant)]],'DATA ILN'!A:L,12,FALSE),VLOOKUP(Tableau1[[#This Row],[Key(Compte ILN - shipper - POL)]],'DATA ILN'!B:L,11,FALSE))</f>
        <v>#N/A</v>
      </c>
      <c r="U386" s="50" t="e">
        <f>Tableau1[[#This Row],[Day ILN Order]]+Tableau1[[#This Row],[Delivery time to ILN/Shipper]]-1</f>
        <v>#N/A</v>
      </c>
      <c r="V386" s="50" t="e">
        <f>IFERROR(VLOOKUP(Tableau1[[#This Row],[Key(Compte ILN - shipper - POL - plant)]],'DATA ILN'!A:N,14,FALSE),VLOOKUP(Tableau1[[#This Row],[Key(Compte ILN - shipper - POL)]],'DATA ILN'!B:N,13,FALSE))</f>
        <v>#N/A</v>
      </c>
      <c r="W386" s="50" t="e">
        <f>IFERROR(VLOOKUP(Tableau1[[#This Row],[Key(Compte ILN - shipper - POL - plant)]],'DATA ILN'!A:P,16,FALSE),VLOOKUP(Tableau1[[#This Row],[Key(Compte ILN - shipper - POL)]],'DATA ILN'!B:P,15,FALSE))</f>
        <v>#N/A</v>
      </c>
      <c r="X386" s="283"/>
      <c r="Y386" s="489">
        <f>IFERROR(VLOOKUP(Tableau1[[#This Row],[Name Shipper]],Plant_AILN!L:M,2,FALSE),0)</f>
        <v>0</v>
      </c>
      <c r="Z386" s="358"/>
      <c r="AA386" s="353" t="e">
        <f ca="1">VLOOKUP(Tableau1[[#This Row],[Key(ID-Actif)]],'DATA BTO'!A:N,5,FALSE)</f>
        <v>#N/A</v>
      </c>
      <c r="AB386" s="3" t="e">
        <f ca="1">VLOOKUP(Tableau1[[#This Row],[Key(ID-Actif)]],'DATA BTO'!A:N,6,FALSE)</f>
        <v>#N/A</v>
      </c>
      <c r="AC386" s="50" t="e">
        <f ca="1">VLOOKUP(Tableau1[[#This Row],[Key(ID-Actif)]],'DATA BTO'!A:N,7,FALSE)</f>
        <v>#N/A</v>
      </c>
      <c r="AD386" s="50" t="e">
        <f ca="1">VLOOKUP(Tableau1[[#This Row],[Key(ID-Actif)]],'DATA BTO'!A:N,8,FALSE)</f>
        <v>#N/A</v>
      </c>
      <c r="AE386" s="406" t="e">
        <f ca="1">IF(Tableau1[[#This Row],[First Day to POL]]&lt;=Tableau1[[#This Row],[Day Cut Off]],Tableau1[[#This Row],[Day ETD]],Tableau1[[#This Row],[Day ETD]]+7)</f>
        <v>#N/A</v>
      </c>
      <c r="AF386" s="50" t="e">
        <f ca="1">VLOOKUP(Tableau1[[#This Row],[Key(ID-Actif)]],'DATA BTO'!A:N,9,FALSE)</f>
        <v>#N/A</v>
      </c>
      <c r="AG386" s="3" t="e">
        <f ca="1">VLOOKUP(Tableau1[[#This Row],[Key(ID-Actif)]],'DATA BTO'!A:N,10,FALSE)</f>
        <v>#N/A</v>
      </c>
      <c r="AH386" s="3" t="e">
        <f ca="1">VLOOKUP(Tableau1[[#This Row],[Key(ID-Actif)]],'DATA BTO'!A:N,11,FALSE)</f>
        <v>#N/A</v>
      </c>
      <c r="AI386" s="50" t="e">
        <f ca="1">VLOOKUP(Tableau1[[#This Row],[Key(ID-Actif)]],'DATA BTO'!A:N,12,FALSE)</f>
        <v>#N/A</v>
      </c>
      <c r="AJ386" s="53" t="e">
        <f ca="1">VLOOKUP(Tableau1[[#This Row],[Key(ID-Actif)]],'DATA BTO'!A:N,14,FALSE)</f>
        <v>#N/A</v>
      </c>
      <c r="AK386" s="54" t="e">
        <f ca="1">VLOOKUP(Tableau1[[#This Row],[Key(POD -PFI- Usine)]],'DATA Consignee'!A:F,6,FALSE)</f>
        <v>#N/A</v>
      </c>
      <c r="AL386" s="283"/>
      <c r="AM386" s="490" t="str">
        <f>IF(Tableau1[[#This Row],[Name PFI/CDD]]="","-",VLOOKUP(Tableau1[[#This Row],[Name PFI/CDD]],Plant_AILN!I:J,2,FALSE))</f>
        <v>-</v>
      </c>
      <c r="AN38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6" s="2" t="e">
        <f ca="1">VLOOKUP(Tableau1[[#This Row],[Key(POD -PFI- Usine)]],'DATA Consignee'!A:J,10,FALSE)</f>
        <v>#N/A</v>
      </c>
      <c r="AQ386" s="50" t="e">
        <f ca="1">VLOOKUP(Tableau1[[#This Row],[Key(POD -PFI- Usine)]],'DATA Consignee'!A:N,14,FALSE)</f>
        <v>#N/A</v>
      </c>
      <c r="AR38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6" s="50" t="e">
        <f ca="1">Tableau1[[#This Row],[Transit time]]+Tableau1[[#This Row],[Time for security]]+Tableau1[[#This Row],[Time for security2 buffer]]</f>
        <v>#N/A</v>
      </c>
      <c r="AU38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6" s="50" t="e">
        <f ca="1">Tableau1[[#This Row],[Leadtime SI2C]]+Tableau1[[#This Row],[First Receipt Days]]-Tableau1[[#This Row],[Day Customer Order]]+1</f>
        <v>#N/A</v>
      </c>
      <c r="AW386" s="117" t="e">
        <f ca="1">IF(Tableau1[[#This Row],[Name ILN]]&lt;&gt;"SFK Freight Forwarder",Tableau1[[#This Row],[Cust. Leadtime]],Tableau1[[#This Row],[Leadtime SI2C]])</f>
        <v>#N/A</v>
      </c>
      <c r="AX386" s="57" t="e">
        <f>VLOOKUP(Tableau1[[#This Row],[ID]],'DATA BTO'!B:P,15,FALSE)</f>
        <v>#N/A</v>
      </c>
      <c r="AY386" s="328" t="e">
        <f ca="1">IFERROR(VLOOKUP(Tableau1[[#This Row],[Key(ID-Actif)]],'DATA BTO'!A:N,4,FALSE),VLOOKUP(Tableau1[[#This Row],[ID]],'DATA BTO'!B:N,3,FALSE))</f>
        <v>#N/A</v>
      </c>
      <c r="AZ38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6" s="50"/>
    </row>
    <row r="387" spans="2:57">
      <c r="B387" s="405" t="str">
        <f>_xlfn.CONCAT(Tableau1[[#This Row],[Name ILN]],"-",Tableau1[[#This Row],[Name Shipper]],"-",Tableau1[[#This Row],[Name Site]])</f>
        <v>--</v>
      </c>
      <c r="C387" s="64" t="e">
        <f>_xlfn.CONCAT(Tableau1[[#This Row],[Compte ILN]],"-",Tableau1[[#This Row],[Compte Shipper]],"-",Tableau1[[#This Row],[POL]],"-",Tableau1[[#This Row],[Compte Consignee]])</f>
        <v>#N/A</v>
      </c>
      <c r="D387" s="64" t="e">
        <f>_xlfn.CONCAT(Tableau1[[#This Row],[Compte ILN]],"-",Tableau1[[#This Row],[Compte Shipper]],"-",Tableau1[[#This Row],[POL]])</f>
        <v>#N/A</v>
      </c>
      <c r="E387" s="128" t="e">
        <f ca="1">_xlfn.CONCAT(Tableau1[[#This Row],[POL]],"-",Tableau1[[#This Row],[Carrier]],"-",Tableau1[[#This Row],[POD]])</f>
        <v>#N/A</v>
      </c>
      <c r="F387" s="64" t="str">
        <f>_xlfn.CONCAT(Tableau1[[#This Row],[ID]],"-","Actif")</f>
        <v>-Actif</v>
      </c>
      <c r="G387" s="64" t="e">
        <f ca="1">_xlfn.CONCAT(Tableau1[[#This Row],[POD]],"-",Tableau1[[#This Row],[Code PFI]],"-",Tableau1[[#This Row],[Compte Consignee]])</f>
        <v>#N/A</v>
      </c>
      <c r="H38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7" s="117" t="str">
        <f ca="1">IF(COUNTIF(I:I,Tableau1[[#This Row],[Plant-ILN-shipper-POL-Carrier-POD-PFI]])=1,"Non","Oui")</f>
        <v>Oui</v>
      </c>
      <c r="K387" s="126" t="e">
        <f>VLOOKUP(Tableau1[[#This Row],[Name Site]],Plant_AILN!A:D,4,FALSE)</f>
        <v>#N/A</v>
      </c>
      <c r="L387" s="363"/>
      <c r="M387" s="492" t="e">
        <f>VLOOKUP(Tableau1[[#This Row],[Name Site]],Plant_AILN!A:C,3,FALSE)</f>
        <v>#N/A</v>
      </c>
      <c r="N387" s="55" t="e">
        <f>VLOOKUP(Tableau1[[#This Row],[Compte Consignee]],Order!C:D,2,FALSE)</f>
        <v>#N/A</v>
      </c>
      <c r="O387" s="122"/>
      <c r="P387" s="481" t="e">
        <f>VLOOKUP(Tableau1[[#This Row],[Name ILN]],Plant_AILN!F:G,2,FALSE)</f>
        <v>#N/A</v>
      </c>
      <c r="Q387" s="50" t="e">
        <f>VLOOKUP(Tableau1[[#This Row],[Compte ILN]],'DATA ILN'!D:I,6,FALSE)</f>
        <v>#N/A</v>
      </c>
      <c r="R387" s="50" t="e">
        <f>IFERROR(VLOOKUP(Tableau1[[#This Row],[Key(Compte ILN - shipper - POL - plant)]],'DATA ILN'!A:J,10,FALSE),VLOOKUP(Tableau1[[#This Row],[Key(Compte ILN - shipper - POL)]],'DATA ILN'!B:J,9,FALSE))</f>
        <v>#N/A</v>
      </c>
      <c r="S387" s="50" t="e">
        <f>IFERROR(VLOOKUP(Tableau1[[#This Row],[Key(Compte ILN - shipper - POL - plant)]],'DATA ILN'!A:K,11,FALSE),VLOOKUP(Tableau1[[#This Row],[Key(Compte ILN - shipper - POL)]],'DATA ILN'!B:K,10,FALSE))</f>
        <v>#N/A</v>
      </c>
      <c r="T387" s="50" t="e">
        <f>IFERROR(VLOOKUP(Tableau1[[#This Row],[Key(Compte ILN - shipper - POL - plant)]],'DATA ILN'!A:L,12,FALSE),VLOOKUP(Tableau1[[#This Row],[Key(Compte ILN - shipper - POL)]],'DATA ILN'!B:L,11,FALSE))</f>
        <v>#N/A</v>
      </c>
      <c r="U387" s="50" t="e">
        <f>Tableau1[[#This Row],[Day ILN Order]]+Tableau1[[#This Row],[Delivery time to ILN/Shipper]]-1</f>
        <v>#N/A</v>
      </c>
      <c r="V387" s="50" t="e">
        <f>IFERROR(VLOOKUP(Tableau1[[#This Row],[Key(Compte ILN - shipper - POL - plant)]],'DATA ILN'!A:N,14,FALSE),VLOOKUP(Tableau1[[#This Row],[Key(Compte ILN - shipper - POL)]],'DATA ILN'!B:N,13,FALSE))</f>
        <v>#N/A</v>
      </c>
      <c r="W387" s="50" t="e">
        <f>IFERROR(VLOOKUP(Tableau1[[#This Row],[Key(Compte ILN - shipper - POL - plant)]],'DATA ILN'!A:P,16,FALSE),VLOOKUP(Tableau1[[#This Row],[Key(Compte ILN - shipper - POL)]],'DATA ILN'!B:P,15,FALSE))</f>
        <v>#N/A</v>
      </c>
      <c r="X387" s="283"/>
      <c r="Y387" s="489">
        <f>IFERROR(VLOOKUP(Tableau1[[#This Row],[Name Shipper]],Plant_AILN!L:M,2,FALSE),0)</f>
        <v>0</v>
      </c>
      <c r="Z387" s="358"/>
      <c r="AA387" s="353" t="e">
        <f ca="1">VLOOKUP(Tableau1[[#This Row],[Key(ID-Actif)]],'DATA BTO'!A:N,5,FALSE)</f>
        <v>#N/A</v>
      </c>
      <c r="AB387" s="3" t="e">
        <f ca="1">VLOOKUP(Tableau1[[#This Row],[Key(ID-Actif)]],'DATA BTO'!A:N,6,FALSE)</f>
        <v>#N/A</v>
      </c>
      <c r="AC387" s="50" t="e">
        <f ca="1">VLOOKUP(Tableau1[[#This Row],[Key(ID-Actif)]],'DATA BTO'!A:N,7,FALSE)</f>
        <v>#N/A</v>
      </c>
      <c r="AD387" s="50" t="e">
        <f ca="1">VLOOKUP(Tableau1[[#This Row],[Key(ID-Actif)]],'DATA BTO'!A:N,8,FALSE)</f>
        <v>#N/A</v>
      </c>
      <c r="AE387" s="406" t="e">
        <f ca="1">IF(Tableau1[[#This Row],[First Day to POL]]&lt;=Tableau1[[#This Row],[Day Cut Off]],Tableau1[[#This Row],[Day ETD]],Tableau1[[#This Row],[Day ETD]]+7)</f>
        <v>#N/A</v>
      </c>
      <c r="AF387" s="50" t="e">
        <f ca="1">VLOOKUP(Tableau1[[#This Row],[Key(ID-Actif)]],'DATA BTO'!A:N,9,FALSE)</f>
        <v>#N/A</v>
      </c>
      <c r="AG387" s="3" t="e">
        <f ca="1">VLOOKUP(Tableau1[[#This Row],[Key(ID-Actif)]],'DATA BTO'!A:N,10,FALSE)</f>
        <v>#N/A</v>
      </c>
      <c r="AH387" s="3" t="e">
        <f ca="1">VLOOKUP(Tableau1[[#This Row],[Key(ID-Actif)]],'DATA BTO'!A:N,11,FALSE)</f>
        <v>#N/A</v>
      </c>
      <c r="AI387" s="50" t="e">
        <f ca="1">VLOOKUP(Tableau1[[#This Row],[Key(ID-Actif)]],'DATA BTO'!A:N,12,FALSE)</f>
        <v>#N/A</v>
      </c>
      <c r="AJ387" s="53" t="e">
        <f ca="1">VLOOKUP(Tableau1[[#This Row],[Key(ID-Actif)]],'DATA BTO'!A:N,14,FALSE)</f>
        <v>#N/A</v>
      </c>
      <c r="AK387" s="54" t="e">
        <f ca="1">VLOOKUP(Tableau1[[#This Row],[Key(POD -PFI- Usine)]],'DATA Consignee'!A:F,6,FALSE)</f>
        <v>#N/A</v>
      </c>
      <c r="AL387" s="283"/>
      <c r="AM387" s="490" t="str">
        <f>IF(Tableau1[[#This Row],[Name PFI/CDD]]="","-",VLOOKUP(Tableau1[[#This Row],[Name PFI/CDD]],Plant_AILN!I:J,2,FALSE))</f>
        <v>-</v>
      </c>
      <c r="AN38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7" s="2" t="e">
        <f ca="1">VLOOKUP(Tableau1[[#This Row],[Key(POD -PFI- Usine)]],'DATA Consignee'!A:J,10,FALSE)</f>
        <v>#N/A</v>
      </c>
      <c r="AQ387" s="50" t="e">
        <f ca="1">VLOOKUP(Tableau1[[#This Row],[Key(POD -PFI- Usine)]],'DATA Consignee'!A:N,14,FALSE)</f>
        <v>#N/A</v>
      </c>
      <c r="AR38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7" s="50" t="e">
        <f ca="1">Tableau1[[#This Row],[Transit time]]+Tableau1[[#This Row],[Time for security]]+Tableau1[[#This Row],[Time for security2 buffer]]</f>
        <v>#N/A</v>
      </c>
      <c r="AU38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7" s="50" t="e">
        <f ca="1">Tableau1[[#This Row],[Leadtime SI2C]]+Tableau1[[#This Row],[First Receipt Days]]-Tableau1[[#This Row],[Day Customer Order]]+1</f>
        <v>#N/A</v>
      </c>
      <c r="AW387" s="117" t="e">
        <f ca="1">IF(Tableau1[[#This Row],[Name ILN]]&lt;&gt;"SFK Freight Forwarder",Tableau1[[#This Row],[Cust. Leadtime]],Tableau1[[#This Row],[Leadtime SI2C]])</f>
        <v>#N/A</v>
      </c>
      <c r="AX387" s="57" t="e">
        <f>VLOOKUP(Tableau1[[#This Row],[ID]],'DATA BTO'!B:P,15,FALSE)</f>
        <v>#N/A</v>
      </c>
      <c r="AY387" s="328" t="e">
        <f ca="1">IFERROR(VLOOKUP(Tableau1[[#This Row],[Key(ID-Actif)]],'DATA BTO'!A:N,4,FALSE),VLOOKUP(Tableau1[[#This Row],[ID]],'DATA BTO'!B:N,3,FALSE))</f>
        <v>#N/A</v>
      </c>
      <c r="AZ38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7" s="50"/>
    </row>
    <row r="388" spans="2:57">
      <c r="B388" s="370" t="str">
        <f>_xlfn.CONCAT(Tableau1[[#This Row],[Name ILN]],"-",Tableau1[[#This Row],[Name Shipper]],"-",Tableau1[[#This Row],[Name Site]])</f>
        <v>--</v>
      </c>
      <c r="C388" s="80" t="e">
        <f>_xlfn.CONCAT(Tableau1[[#This Row],[Compte ILN]],"-",Tableau1[[#This Row],[Compte Shipper]],"-",Tableau1[[#This Row],[POL]],"-",Tableau1[[#This Row],[Compte Consignee]])</f>
        <v>#N/A</v>
      </c>
      <c r="D388" s="80" t="e">
        <f>_xlfn.CONCAT(Tableau1[[#This Row],[Compte ILN]],"-",Tableau1[[#This Row],[Compte Shipper]],"-",Tableau1[[#This Row],[POL]])</f>
        <v>#N/A</v>
      </c>
      <c r="E388" s="81" t="e">
        <f ca="1">_xlfn.CONCAT(Tableau1[[#This Row],[POL]],"-",Tableau1[[#This Row],[Carrier]],"-",Tableau1[[#This Row],[POD]])</f>
        <v>#N/A</v>
      </c>
      <c r="F388" s="80" t="str">
        <f>_xlfn.CONCAT(Tableau1[[#This Row],[ID]],"-","Actif")</f>
        <v>-Actif</v>
      </c>
      <c r="G388" s="80" t="e">
        <f ca="1">_xlfn.CONCAT(Tableau1[[#This Row],[POD]],"-",Tableau1[[#This Row],[Code PFI]],"-",Tableau1[[#This Row],[Compte Consignee]])</f>
        <v>#N/A</v>
      </c>
      <c r="H388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8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8" s="118" t="str">
        <f ca="1">IF(COUNTIF(I:I,Tableau1[[#This Row],[Plant-ILN-shipper-POL-Carrier-POD-PFI]])=1,"Non","Oui")</f>
        <v>Oui</v>
      </c>
      <c r="K388" s="101" t="e">
        <f>VLOOKUP(Tableau1[[#This Row],[Name Site]],Plant_AILN!A:D,4,FALSE)</f>
        <v>#N/A</v>
      </c>
      <c r="L388" s="368"/>
      <c r="M388" s="493" t="e">
        <f>VLOOKUP(Tableau1[[#This Row],[Name Site]],Plant_AILN!A:C,3,FALSE)</f>
        <v>#N/A</v>
      </c>
      <c r="N388" s="102" t="e">
        <f>VLOOKUP(Tableau1[[#This Row],[Compte Consignee]],Order!C:D,2,FALSE)</f>
        <v>#N/A</v>
      </c>
      <c r="O388" s="124"/>
      <c r="P388" s="484" t="e">
        <f>VLOOKUP(Tableau1[[#This Row],[Name ILN]],Plant_AILN!F:G,2,FALSE)</f>
        <v>#N/A</v>
      </c>
      <c r="Q388" s="79" t="e">
        <f>VLOOKUP(Tableau1[[#This Row],[Compte ILN]],'DATA ILN'!D:I,6,FALSE)</f>
        <v>#N/A</v>
      </c>
      <c r="R388" s="79" t="e">
        <f>IFERROR(VLOOKUP(Tableau1[[#This Row],[Key(Compte ILN - shipper - POL - plant)]],'DATA ILN'!A:J,10,FALSE),VLOOKUP(Tableau1[[#This Row],[Key(Compte ILN - shipper - POL)]],'DATA ILN'!B:J,9,FALSE))</f>
        <v>#N/A</v>
      </c>
      <c r="S388" s="79" t="e">
        <f>IFERROR(VLOOKUP(Tableau1[[#This Row],[Key(Compte ILN - shipper - POL - plant)]],'DATA ILN'!A:K,11,FALSE),VLOOKUP(Tableau1[[#This Row],[Key(Compte ILN - shipper - POL)]],'DATA ILN'!B:K,10,FALSE))</f>
        <v>#N/A</v>
      </c>
      <c r="T388" s="79" t="e">
        <f>IFERROR(VLOOKUP(Tableau1[[#This Row],[Key(Compte ILN - shipper - POL - plant)]],'DATA ILN'!A:L,12,FALSE),VLOOKUP(Tableau1[[#This Row],[Key(Compte ILN - shipper - POL)]],'DATA ILN'!B:L,11,FALSE))</f>
        <v>#N/A</v>
      </c>
      <c r="U388" s="79" t="e">
        <f>Tableau1[[#This Row],[Day ILN Order]]+Tableau1[[#This Row],[Delivery time to ILN/Shipper]]-1</f>
        <v>#N/A</v>
      </c>
      <c r="V388" s="79" t="e">
        <f>IFERROR(VLOOKUP(Tableau1[[#This Row],[Key(Compte ILN - shipper - POL - plant)]],'DATA ILN'!A:N,14,FALSE),VLOOKUP(Tableau1[[#This Row],[Key(Compte ILN - shipper - POL)]],'DATA ILN'!B:N,13,FALSE))</f>
        <v>#N/A</v>
      </c>
      <c r="W388" s="79" t="e">
        <f>IFERROR(VLOOKUP(Tableau1[[#This Row],[Key(Compte ILN - shipper - POL - plant)]],'DATA ILN'!A:P,16,FALSE),VLOOKUP(Tableau1[[#This Row],[Key(Compte ILN - shipper - POL)]],'DATA ILN'!B:P,15,FALSE))</f>
        <v>#N/A</v>
      </c>
      <c r="X388" s="283"/>
      <c r="Y388" s="485">
        <f>IFERROR(VLOOKUP(Tableau1[[#This Row],[Name Shipper]],Plant_AILN!L:M,2,FALSE),0)</f>
        <v>0</v>
      </c>
      <c r="Z388" s="369"/>
      <c r="AA388" s="354" t="e">
        <f ca="1">VLOOKUP(Tableau1[[#This Row],[Key(ID-Actif)]],'DATA BTO'!A:N,5,FALSE)</f>
        <v>#N/A</v>
      </c>
      <c r="AB388" s="106" t="e">
        <f ca="1">VLOOKUP(Tableau1[[#This Row],[Key(ID-Actif)]],'DATA BTO'!A:N,6,FALSE)</f>
        <v>#N/A</v>
      </c>
      <c r="AC388" s="79" t="e">
        <f ca="1">VLOOKUP(Tableau1[[#This Row],[Key(ID-Actif)]],'DATA BTO'!A:N,7,FALSE)</f>
        <v>#N/A</v>
      </c>
      <c r="AD388" s="79" t="e">
        <f ca="1">VLOOKUP(Tableau1[[#This Row],[Key(ID-Actif)]],'DATA BTO'!A:N,8,FALSE)</f>
        <v>#N/A</v>
      </c>
      <c r="AE388" s="406" t="e">
        <f ca="1">IF(Tableau1[[#This Row],[First Day to POL]]&lt;=Tableau1[[#This Row],[Day Cut Off]],Tableau1[[#This Row],[Day ETD]],Tableau1[[#This Row],[Day ETD]]+7)</f>
        <v>#N/A</v>
      </c>
      <c r="AF388" s="79" t="e">
        <f ca="1">VLOOKUP(Tableau1[[#This Row],[Key(ID-Actif)]],'DATA BTO'!A:N,9,FALSE)</f>
        <v>#N/A</v>
      </c>
      <c r="AG388" s="106" t="e">
        <f ca="1">VLOOKUP(Tableau1[[#This Row],[Key(ID-Actif)]],'DATA BTO'!A:N,10,FALSE)</f>
        <v>#N/A</v>
      </c>
      <c r="AH388" s="106" t="e">
        <f ca="1">VLOOKUP(Tableau1[[#This Row],[Key(ID-Actif)]],'DATA BTO'!A:N,11,FALSE)</f>
        <v>#N/A</v>
      </c>
      <c r="AI388" s="79" t="e">
        <f ca="1">VLOOKUP(Tableau1[[#This Row],[Key(ID-Actif)]],'DATA BTO'!A:N,12,FALSE)</f>
        <v>#N/A</v>
      </c>
      <c r="AJ388" s="104" t="e">
        <f ca="1">VLOOKUP(Tableau1[[#This Row],[Key(ID-Actif)]],'DATA BTO'!A:N,14,FALSE)</f>
        <v>#N/A</v>
      </c>
      <c r="AK388" s="105" t="e">
        <f ca="1">VLOOKUP(Tableau1[[#This Row],[Key(POD -PFI- Usine)]],'DATA Consignee'!A:F,6,FALSE)</f>
        <v>#N/A</v>
      </c>
      <c r="AL388" s="100"/>
      <c r="AM388" s="486" t="str">
        <f>IF(Tableau1[[#This Row],[Name PFI/CDD]]="","-",VLOOKUP(Tableau1[[#This Row],[Name PFI/CDD]],Plant_AILN!I:J,2,FALSE))</f>
        <v>-</v>
      </c>
      <c r="AN388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8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8" s="108" t="e">
        <f ca="1">VLOOKUP(Tableau1[[#This Row],[Key(POD -PFI- Usine)]],'DATA Consignee'!A:J,10,FALSE)</f>
        <v>#N/A</v>
      </c>
      <c r="AQ388" s="79" t="e">
        <f ca="1">VLOOKUP(Tableau1[[#This Row],[Key(POD -PFI- Usine)]],'DATA Consignee'!A:N,14,FALSE)</f>
        <v>#N/A</v>
      </c>
      <c r="AR388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8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8" s="79" t="e">
        <f ca="1">Tableau1[[#This Row],[Transit time]]+Tableau1[[#This Row],[Time for security]]+Tableau1[[#This Row],[Time for security2 buffer]]</f>
        <v>#N/A</v>
      </c>
      <c r="AU388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8" s="79" t="e">
        <f ca="1">Tableau1[[#This Row],[Leadtime SI2C]]+Tableau1[[#This Row],[First Receipt Days]]-Tableau1[[#This Row],[Day Customer Order]]+1</f>
        <v>#N/A</v>
      </c>
      <c r="AW388" s="118" t="e">
        <f ca="1">IF(Tableau1[[#This Row],[Name ILN]]&lt;&gt;"SFK Freight Forwarder",Tableau1[[#This Row],[Cust. Leadtime]],Tableau1[[#This Row],[Leadtime SI2C]])</f>
        <v>#N/A</v>
      </c>
      <c r="AX388" s="74" t="e">
        <f>VLOOKUP(Tableau1[[#This Row],[ID]],'DATA BTO'!B:P,15,FALSE)</f>
        <v>#N/A</v>
      </c>
      <c r="AY388" s="347" t="e">
        <f ca="1">IFERROR(VLOOKUP(Tableau1[[#This Row],[Key(ID-Actif)]],'DATA BTO'!A:N,4,FALSE),VLOOKUP(Tableau1[[#This Row],[ID]],'DATA BTO'!B:N,3,FALSE))</f>
        <v>#N/A</v>
      </c>
      <c r="AZ388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8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8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8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8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8" s="79"/>
    </row>
    <row r="389" spans="2:57">
      <c r="B389" s="370" t="str">
        <f>_xlfn.CONCAT(Tableau1[[#This Row],[Name ILN]],"-",Tableau1[[#This Row],[Name Shipper]],"-",Tableau1[[#This Row],[Name Site]])</f>
        <v>--</v>
      </c>
      <c r="C389" s="80" t="e">
        <f>_xlfn.CONCAT(Tableau1[[#This Row],[Compte ILN]],"-",Tableau1[[#This Row],[Compte Shipper]],"-",Tableau1[[#This Row],[POL]],"-",Tableau1[[#This Row],[Compte Consignee]])</f>
        <v>#N/A</v>
      </c>
      <c r="D389" s="80" t="e">
        <f>_xlfn.CONCAT(Tableau1[[#This Row],[Compte ILN]],"-",Tableau1[[#This Row],[Compte Shipper]],"-",Tableau1[[#This Row],[POL]])</f>
        <v>#N/A</v>
      </c>
      <c r="E389" s="81" t="e">
        <f ca="1">_xlfn.CONCAT(Tableau1[[#This Row],[POL]],"-",Tableau1[[#This Row],[Carrier]],"-",Tableau1[[#This Row],[POD]])</f>
        <v>#N/A</v>
      </c>
      <c r="F389" s="80" t="str">
        <f>_xlfn.CONCAT(Tableau1[[#This Row],[ID]],"-","Actif")</f>
        <v>-Actif</v>
      </c>
      <c r="G389" s="80" t="e">
        <f ca="1">_xlfn.CONCAT(Tableau1[[#This Row],[POD]],"-",Tableau1[[#This Row],[Code PFI]],"-",Tableau1[[#This Row],[Compte Consignee]])</f>
        <v>#N/A</v>
      </c>
      <c r="H389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89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89" s="118" t="str">
        <f ca="1">IF(COUNTIF(I:I,Tableau1[[#This Row],[Plant-ILN-shipper-POL-Carrier-POD-PFI]])=1,"Non","Oui")</f>
        <v>Oui</v>
      </c>
      <c r="K389" s="101" t="e">
        <f>VLOOKUP(Tableau1[[#This Row],[Name Site]],Plant_AILN!A:D,4,FALSE)</f>
        <v>#N/A</v>
      </c>
      <c r="L389" s="368"/>
      <c r="M389" s="493" t="e">
        <f>VLOOKUP(Tableau1[[#This Row],[Name Site]],Plant_AILN!A:C,3,FALSE)</f>
        <v>#N/A</v>
      </c>
      <c r="N389" s="102" t="e">
        <f>VLOOKUP(Tableau1[[#This Row],[Compte Consignee]],Order!C:D,2,FALSE)</f>
        <v>#N/A</v>
      </c>
      <c r="O389" s="124"/>
      <c r="P389" s="484" t="e">
        <f>VLOOKUP(Tableau1[[#This Row],[Name ILN]],Plant_AILN!F:G,2,FALSE)</f>
        <v>#N/A</v>
      </c>
      <c r="Q389" s="79" t="e">
        <f>VLOOKUP(Tableau1[[#This Row],[Compte ILN]],'DATA ILN'!D:I,6,FALSE)</f>
        <v>#N/A</v>
      </c>
      <c r="R389" s="79" t="e">
        <f>IFERROR(VLOOKUP(Tableau1[[#This Row],[Key(Compte ILN - shipper - POL - plant)]],'DATA ILN'!A:J,10,FALSE),VLOOKUP(Tableau1[[#This Row],[Key(Compte ILN - shipper - POL)]],'DATA ILN'!B:J,9,FALSE))</f>
        <v>#N/A</v>
      </c>
      <c r="S389" s="79" t="e">
        <f>IFERROR(VLOOKUP(Tableau1[[#This Row],[Key(Compte ILN - shipper - POL - plant)]],'DATA ILN'!A:K,11,FALSE),VLOOKUP(Tableau1[[#This Row],[Key(Compte ILN - shipper - POL)]],'DATA ILN'!B:K,10,FALSE))</f>
        <v>#N/A</v>
      </c>
      <c r="T389" s="79" t="e">
        <f>IFERROR(VLOOKUP(Tableau1[[#This Row],[Key(Compte ILN - shipper - POL - plant)]],'DATA ILN'!A:L,12,FALSE),VLOOKUP(Tableau1[[#This Row],[Key(Compte ILN - shipper - POL)]],'DATA ILN'!B:L,11,FALSE))</f>
        <v>#N/A</v>
      </c>
      <c r="U389" s="79" t="e">
        <f>Tableau1[[#This Row],[Day ILN Order]]+Tableau1[[#This Row],[Delivery time to ILN/Shipper]]-1</f>
        <v>#N/A</v>
      </c>
      <c r="V389" s="79" t="e">
        <f>IFERROR(VLOOKUP(Tableau1[[#This Row],[Key(Compte ILN - shipper - POL - plant)]],'DATA ILN'!A:N,14,FALSE),VLOOKUP(Tableau1[[#This Row],[Key(Compte ILN - shipper - POL)]],'DATA ILN'!B:N,13,FALSE))</f>
        <v>#N/A</v>
      </c>
      <c r="W389" s="79" t="e">
        <f>IFERROR(VLOOKUP(Tableau1[[#This Row],[Key(Compte ILN - shipper - POL - plant)]],'DATA ILN'!A:P,16,FALSE),VLOOKUP(Tableau1[[#This Row],[Key(Compte ILN - shipper - POL)]],'DATA ILN'!B:P,15,FALSE))</f>
        <v>#N/A</v>
      </c>
      <c r="X389" s="100"/>
      <c r="Y389" s="485">
        <f>IFERROR(VLOOKUP(Tableau1[[#This Row],[Name Shipper]],Plant_AILN!L:M,2,FALSE),0)</f>
        <v>0</v>
      </c>
      <c r="Z389" s="369"/>
      <c r="AA389" s="354" t="e">
        <f ca="1">VLOOKUP(Tableau1[[#This Row],[Key(ID-Actif)]],'DATA BTO'!A:N,5,FALSE)</f>
        <v>#N/A</v>
      </c>
      <c r="AB389" s="106" t="e">
        <f ca="1">VLOOKUP(Tableau1[[#This Row],[Key(ID-Actif)]],'DATA BTO'!A:N,6,FALSE)</f>
        <v>#N/A</v>
      </c>
      <c r="AC389" s="79" t="e">
        <f ca="1">VLOOKUP(Tableau1[[#This Row],[Key(ID-Actif)]],'DATA BTO'!A:N,7,FALSE)</f>
        <v>#N/A</v>
      </c>
      <c r="AD389" s="79" t="e">
        <f ca="1">VLOOKUP(Tableau1[[#This Row],[Key(ID-Actif)]],'DATA BTO'!A:N,8,FALSE)</f>
        <v>#N/A</v>
      </c>
      <c r="AE389" s="79" t="e">
        <f ca="1">IF(Tableau1[[#This Row],[First Day to POL]]&lt;=Tableau1[[#This Row],[Day Cut Off]],Tableau1[[#This Row],[Day ETD]],Tableau1[[#This Row],[Day ETD]]+7)</f>
        <v>#N/A</v>
      </c>
      <c r="AF389" s="79" t="e">
        <f ca="1">VLOOKUP(Tableau1[[#This Row],[Key(ID-Actif)]],'DATA BTO'!A:N,9,FALSE)</f>
        <v>#N/A</v>
      </c>
      <c r="AG389" s="106" t="e">
        <f ca="1">VLOOKUP(Tableau1[[#This Row],[Key(ID-Actif)]],'DATA BTO'!A:N,10,FALSE)</f>
        <v>#N/A</v>
      </c>
      <c r="AH389" s="106" t="e">
        <f ca="1">VLOOKUP(Tableau1[[#This Row],[Key(ID-Actif)]],'DATA BTO'!A:N,11,FALSE)</f>
        <v>#N/A</v>
      </c>
      <c r="AI389" s="79" t="e">
        <f ca="1">VLOOKUP(Tableau1[[#This Row],[Key(ID-Actif)]],'DATA BTO'!A:N,12,FALSE)</f>
        <v>#N/A</v>
      </c>
      <c r="AJ389" s="104" t="e">
        <f ca="1">VLOOKUP(Tableau1[[#This Row],[Key(ID-Actif)]],'DATA BTO'!A:N,14,FALSE)</f>
        <v>#N/A</v>
      </c>
      <c r="AK389" s="105" t="e">
        <f ca="1">VLOOKUP(Tableau1[[#This Row],[Key(POD -PFI- Usine)]],'DATA Consignee'!A:F,6,FALSE)</f>
        <v>#N/A</v>
      </c>
      <c r="AL389" s="100"/>
      <c r="AM389" s="486" t="str">
        <f>IF(Tableau1[[#This Row],[Name PFI/CDD]]="","-",VLOOKUP(Tableau1[[#This Row],[Name PFI/CDD]],Plant_AILN!I:J,2,FALSE))</f>
        <v>-</v>
      </c>
      <c r="AN389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89" s="354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89" s="108" t="e">
        <f ca="1">VLOOKUP(Tableau1[[#This Row],[Key(POD -PFI- Usine)]],'DATA Consignee'!A:J,10,FALSE)</f>
        <v>#N/A</v>
      </c>
      <c r="AQ389" s="79" t="e">
        <f ca="1">VLOOKUP(Tableau1[[#This Row],[Key(POD -PFI- Usine)]],'DATA Consignee'!A:N,14,FALSE)</f>
        <v>#N/A</v>
      </c>
      <c r="AR389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89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89" s="79" t="e">
        <f ca="1">Tableau1[[#This Row],[Transit time]]+Tableau1[[#This Row],[Time for security]]+Tableau1[[#This Row],[Time for security2 buffer]]</f>
        <v>#N/A</v>
      </c>
      <c r="AU389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89" s="79" t="e">
        <f ca="1">Tableau1[[#This Row],[Leadtime SI2C]]+Tableau1[[#This Row],[First Receipt Days]]-Tableau1[[#This Row],[Day Customer Order]]+1</f>
        <v>#N/A</v>
      </c>
      <c r="AW389" s="118" t="e">
        <f ca="1">IF(Tableau1[[#This Row],[Name ILN]]&lt;&gt;"SFK Freight Forwarder",Tableau1[[#This Row],[Cust. Leadtime]],Tableau1[[#This Row],[Leadtime SI2C]])</f>
        <v>#N/A</v>
      </c>
      <c r="AX389" s="74" t="e">
        <f>VLOOKUP(Tableau1[[#This Row],[ID]],'DATA BTO'!B:P,15,FALSE)</f>
        <v>#N/A</v>
      </c>
      <c r="AY389" s="347" t="e">
        <f ca="1">IFERROR(VLOOKUP(Tableau1[[#This Row],[Key(ID-Actif)]],'DATA BTO'!A:N,4,FALSE),VLOOKUP(Tableau1[[#This Row],[ID]],'DATA BTO'!B:N,3,FALSE))</f>
        <v>#N/A</v>
      </c>
      <c r="AZ389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89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9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89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9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9" s="79"/>
    </row>
    <row r="390" spans="2:57">
      <c r="B390" s="405" t="str">
        <f>_xlfn.CONCAT(Tableau1[[#This Row],[Name ILN]],"-",Tableau1[[#This Row],[Name Shipper]],"-",Tableau1[[#This Row],[Name Site]])</f>
        <v>--</v>
      </c>
      <c r="C390" s="64" t="e">
        <f>_xlfn.CONCAT(Tableau1[[#This Row],[Compte ILN]],"-",Tableau1[[#This Row],[Compte Shipper]],"-",Tableau1[[#This Row],[POL]],"-",Tableau1[[#This Row],[Compte Consignee]])</f>
        <v>#N/A</v>
      </c>
      <c r="D390" s="64" t="e">
        <f>_xlfn.CONCAT(Tableau1[[#This Row],[Compte ILN]],"-",Tableau1[[#This Row],[Compte Shipper]],"-",Tableau1[[#This Row],[POL]])</f>
        <v>#N/A</v>
      </c>
      <c r="E390" s="128" t="e">
        <f ca="1">_xlfn.CONCAT(Tableau1[[#This Row],[POL]],"-",Tableau1[[#This Row],[Carrier]],"-",Tableau1[[#This Row],[POD]])</f>
        <v>#N/A</v>
      </c>
      <c r="F390" s="64" t="str">
        <f>_xlfn.CONCAT(Tableau1[[#This Row],[ID]],"-","Actif")</f>
        <v>-Actif</v>
      </c>
      <c r="G390" s="64" t="e">
        <f ca="1">_xlfn.CONCAT(Tableau1[[#This Row],[POD]],"-",Tableau1[[#This Row],[Code PFI]],"-",Tableau1[[#This Row],[Compte Consignee]])</f>
        <v>#N/A</v>
      </c>
      <c r="H39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0" s="117" t="str">
        <f ca="1">IF(COUNTIF(I:I,Tableau1[[#This Row],[Plant-ILN-shipper-POL-Carrier-POD-PFI]])=1,"Non","Oui")</f>
        <v>Oui</v>
      </c>
      <c r="K390" s="126" t="e">
        <f>VLOOKUP(Tableau1[[#This Row],[Name Site]],Plant_AILN!A:D,4,FALSE)</f>
        <v>#N/A</v>
      </c>
      <c r="L390" s="363"/>
      <c r="M390" s="492" t="e">
        <f>VLOOKUP(Tableau1[[#This Row],[Name Site]],Plant_AILN!A:C,3,FALSE)</f>
        <v>#N/A</v>
      </c>
      <c r="N390" s="55" t="e">
        <f>VLOOKUP(Tableau1[[#This Row],[Compte Consignee]],Order!C:D,2,FALSE)</f>
        <v>#N/A</v>
      </c>
      <c r="O390" s="122"/>
      <c r="P390" s="481" t="e">
        <f>VLOOKUP(Tableau1[[#This Row],[Name ILN]],Plant_AILN!F:G,2,FALSE)</f>
        <v>#N/A</v>
      </c>
      <c r="Q390" s="50" t="e">
        <f>VLOOKUP(Tableau1[[#This Row],[Compte ILN]],'DATA ILN'!D:I,6,FALSE)</f>
        <v>#N/A</v>
      </c>
      <c r="R390" s="50" t="e">
        <f>IFERROR(VLOOKUP(Tableau1[[#This Row],[Key(Compte ILN - shipper - POL - plant)]],'DATA ILN'!A:J,10,FALSE),VLOOKUP(Tableau1[[#This Row],[Key(Compte ILN - shipper - POL)]],'DATA ILN'!B:J,9,FALSE))</f>
        <v>#N/A</v>
      </c>
      <c r="S390" s="50" t="e">
        <f>IFERROR(VLOOKUP(Tableau1[[#This Row],[Key(Compte ILN - shipper - POL - plant)]],'DATA ILN'!A:K,11,FALSE),VLOOKUP(Tableau1[[#This Row],[Key(Compte ILN - shipper - POL)]],'DATA ILN'!B:K,10,FALSE))</f>
        <v>#N/A</v>
      </c>
      <c r="T390" s="50" t="e">
        <f>IFERROR(VLOOKUP(Tableau1[[#This Row],[Key(Compte ILN - shipper - POL - plant)]],'DATA ILN'!A:L,12,FALSE),VLOOKUP(Tableau1[[#This Row],[Key(Compte ILN - shipper - POL)]],'DATA ILN'!B:L,11,FALSE))</f>
        <v>#N/A</v>
      </c>
      <c r="U390" s="50" t="e">
        <f>Tableau1[[#This Row],[Day ILN Order]]+Tableau1[[#This Row],[Delivery time to ILN/Shipper]]-1</f>
        <v>#N/A</v>
      </c>
      <c r="V390" s="50" t="e">
        <f>IFERROR(VLOOKUP(Tableau1[[#This Row],[Key(Compte ILN - shipper - POL - plant)]],'DATA ILN'!A:N,14,FALSE),VLOOKUP(Tableau1[[#This Row],[Key(Compte ILN - shipper - POL)]],'DATA ILN'!B:N,13,FALSE))</f>
        <v>#N/A</v>
      </c>
      <c r="W390" s="50" t="e">
        <f>IFERROR(VLOOKUP(Tableau1[[#This Row],[Key(Compte ILN - shipper - POL - plant)]],'DATA ILN'!A:P,16,FALSE),VLOOKUP(Tableau1[[#This Row],[Key(Compte ILN - shipper - POL)]],'DATA ILN'!B:P,15,FALSE))</f>
        <v>#N/A</v>
      </c>
      <c r="X390" s="283"/>
      <c r="Y390" s="489">
        <f>IFERROR(VLOOKUP(Tableau1[[#This Row],[Name Shipper]],Plant_AILN!L:M,2,FALSE),0)</f>
        <v>0</v>
      </c>
      <c r="Z390" s="358"/>
      <c r="AA390" s="353" t="e">
        <f ca="1">VLOOKUP(Tableau1[[#This Row],[Key(ID-Actif)]],'DATA BTO'!A:N,5,FALSE)</f>
        <v>#N/A</v>
      </c>
      <c r="AB390" s="3" t="e">
        <f ca="1">VLOOKUP(Tableau1[[#This Row],[Key(ID-Actif)]],'DATA BTO'!A:N,6,FALSE)</f>
        <v>#N/A</v>
      </c>
      <c r="AC390" s="50" t="e">
        <f ca="1">VLOOKUP(Tableau1[[#This Row],[Key(ID-Actif)]],'DATA BTO'!A:N,7,FALSE)</f>
        <v>#N/A</v>
      </c>
      <c r="AD390" s="50" t="e">
        <f ca="1">VLOOKUP(Tableau1[[#This Row],[Key(ID-Actif)]],'DATA BTO'!A:N,8,FALSE)</f>
        <v>#N/A</v>
      </c>
      <c r="AE390" s="79" t="e">
        <f ca="1">IF(Tableau1[[#This Row],[First Day to POL]]&lt;=Tableau1[[#This Row],[Day Cut Off]],Tableau1[[#This Row],[Day ETD]],Tableau1[[#This Row],[Day ETD]]+7)</f>
        <v>#N/A</v>
      </c>
      <c r="AF390" s="50" t="e">
        <f ca="1">VLOOKUP(Tableau1[[#This Row],[Key(ID-Actif)]],'DATA BTO'!A:N,9,FALSE)</f>
        <v>#N/A</v>
      </c>
      <c r="AG390" s="3" t="e">
        <f ca="1">VLOOKUP(Tableau1[[#This Row],[Key(ID-Actif)]],'DATA BTO'!A:N,10,FALSE)</f>
        <v>#N/A</v>
      </c>
      <c r="AH390" s="3" t="e">
        <f ca="1">VLOOKUP(Tableau1[[#This Row],[Key(ID-Actif)]],'DATA BTO'!A:N,11,FALSE)</f>
        <v>#N/A</v>
      </c>
      <c r="AI390" s="50" t="e">
        <f ca="1">VLOOKUP(Tableau1[[#This Row],[Key(ID-Actif)]],'DATA BTO'!A:N,12,FALSE)</f>
        <v>#N/A</v>
      </c>
      <c r="AJ390" s="53" t="e">
        <f ca="1">VLOOKUP(Tableau1[[#This Row],[Key(ID-Actif)]],'DATA BTO'!A:N,14,FALSE)</f>
        <v>#N/A</v>
      </c>
      <c r="AK390" s="54" t="e">
        <f ca="1">VLOOKUP(Tableau1[[#This Row],[Key(POD -PFI- Usine)]],'DATA Consignee'!A:F,6,FALSE)</f>
        <v>#N/A</v>
      </c>
      <c r="AL390" s="283"/>
      <c r="AM390" s="490" t="str">
        <f>IF(Tableau1[[#This Row],[Name PFI/CDD]]="","-",VLOOKUP(Tableau1[[#This Row],[Name PFI/CDD]],Plant_AILN!I:J,2,FALSE))</f>
        <v>-</v>
      </c>
      <c r="AN39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0" s="2" t="e">
        <f ca="1">VLOOKUP(Tableau1[[#This Row],[Key(POD -PFI- Usine)]],'DATA Consignee'!A:J,10,FALSE)</f>
        <v>#N/A</v>
      </c>
      <c r="AQ390" s="50" t="e">
        <f ca="1">VLOOKUP(Tableau1[[#This Row],[Key(POD -PFI- Usine)]],'DATA Consignee'!A:N,14,FALSE)</f>
        <v>#N/A</v>
      </c>
      <c r="AR39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0" s="50" t="e">
        <f ca="1">Tableau1[[#This Row],[Transit time]]+Tableau1[[#This Row],[Time for security]]+Tableau1[[#This Row],[Time for security2 buffer]]</f>
        <v>#N/A</v>
      </c>
      <c r="AU39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0" s="50" t="e">
        <f ca="1">Tableau1[[#This Row],[Leadtime SI2C]]+Tableau1[[#This Row],[First Receipt Days]]-Tableau1[[#This Row],[Day Customer Order]]+1</f>
        <v>#N/A</v>
      </c>
      <c r="AW390" s="117" t="e">
        <f ca="1">IF(Tableau1[[#This Row],[Name ILN]]&lt;&gt;"SFK Freight Forwarder",Tableau1[[#This Row],[Cust. Leadtime]],Tableau1[[#This Row],[Leadtime SI2C]])</f>
        <v>#N/A</v>
      </c>
      <c r="AX390" s="57" t="e">
        <f>VLOOKUP(Tableau1[[#This Row],[ID]],'DATA BTO'!B:P,15,FALSE)</f>
        <v>#N/A</v>
      </c>
      <c r="AY390" s="328" t="e">
        <f ca="1">IFERROR(VLOOKUP(Tableau1[[#This Row],[Key(ID-Actif)]],'DATA BTO'!A:N,4,FALSE),VLOOKUP(Tableau1[[#This Row],[ID]],'DATA BTO'!B:N,3,FALSE))</f>
        <v>#N/A</v>
      </c>
      <c r="AZ39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0" s="50"/>
    </row>
    <row r="391" spans="2:57">
      <c r="B391" s="405" t="str">
        <f>_xlfn.CONCAT(Tableau1[[#This Row],[Name ILN]],"-",Tableau1[[#This Row],[Name Shipper]],"-",Tableau1[[#This Row],[Name Site]])</f>
        <v>--</v>
      </c>
      <c r="C391" s="64" t="e">
        <f>_xlfn.CONCAT(Tableau1[[#This Row],[Compte ILN]],"-",Tableau1[[#This Row],[Compte Shipper]],"-",Tableau1[[#This Row],[POL]],"-",Tableau1[[#This Row],[Compte Consignee]])</f>
        <v>#N/A</v>
      </c>
      <c r="D391" s="64" t="e">
        <f>_xlfn.CONCAT(Tableau1[[#This Row],[Compte ILN]],"-",Tableau1[[#This Row],[Compte Shipper]],"-",Tableau1[[#This Row],[POL]])</f>
        <v>#N/A</v>
      </c>
      <c r="E391" s="128" t="e">
        <f ca="1">_xlfn.CONCAT(Tableau1[[#This Row],[POL]],"-",Tableau1[[#This Row],[Carrier]],"-",Tableau1[[#This Row],[POD]])</f>
        <v>#N/A</v>
      </c>
      <c r="F391" s="64" t="str">
        <f>_xlfn.CONCAT(Tableau1[[#This Row],[ID]],"-","Actif")</f>
        <v>-Actif</v>
      </c>
      <c r="G391" s="64" t="e">
        <f ca="1">_xlfn.CONCAT(Tableau1[[#This Row],[POD]],"-",Tableau1[[#This Row],[Code PFI]],"-",Tableau1[[#This Row],[Compte Consignee]])</f>
        <v>#N/A</v>
      </c>
      <c r="H391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1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1" s="117" t="str">
        <f ca="1">IF(COUNTIF(I:I,Tableau1[[#This Row],[Plant-ILN-shipper-POL-Carrier-POD-PFI]])=1,"Non","Oui")</f>
        <v>Oui</v>
      </c>
      <c r="K391" s="126" t="e">
        <f>VLOOKUP(Tableau1[[#This Row],[Name Site]],Plant_AILN!A:D,4,FALSE)</f>
        <v>#N/A</v>
      </c>
      <c r="L391" s="363"/>
      <c r="M391" s="492" t="e">
        <f>VLOOKUP(Tableau1[[#This Row],[Name Site]],Plant_AILN!A:C,3,FALSE)</f>
        <v>#N/A</v>
      </c>
      <c r="N391" s="55" t="e">
        <f>VLOOKUP(Tableau1[[#This Row],[Compte Consignee]],Order!C:D,2,FALSE)</f>
        <v>#N/A</v>
      </c>
      <c r="O391" s="122"/>
      <c r="P391" s="481" t="e">
        <f>VLOOKUP(Tableau1[[#This Row],[Name ILN]],Plant_AILN!F:G,2,FALSE)</f>
        <v>#N/A</v>
      </c>
      <c r="Q391" s="50" t="e">
        <f>VLOOKUP(Tableau1[[#This Row],[Compte ILN]],'DATA ILN'!D:I,6,FALSE)</f>
        <v>#N/A</v>
      </c>
      <c r="R391" s="50" t="e">
        <f>IFERROR(VLOOKUP(Tableau1[[#This Row],[Key(Compte ILN - shipper - POL - plant)]],'DATA ILN'!A:J,10,FALSE),VLOOKUP(Tableau1[[#This Row],[Key(Compte ILN - shipper - POL)]],'DATA ILN'!B:J,9,FALSE))</f>
        <v>#N/A</v>
      </c>
      <c r="S391" s="50" t="e">
        <f>IFERROR(VLOOKUP(Tableau1[[#This Row],[Key(Compte ILN - shipper - POL - plant)]],'DATA ILN'!A:K,11,FALSE),VLOOKUP(Tableau1[[#This Row],[Key(Compte ILN - shipper - POL)]],'DATA ILN'!B:K,10,FALSE))</f>
        <v>#N/A</v>
      </c>
      <c r="T391" s="50" t="e">
        <f>IFERROR(VLOOKUP(Tableau1[[#This Row],[Key(Compte ILN - shipper - POL - plant)]],'DATA ILN'!A:L,12,FALSE),VLOOKUP(Tableau1[[#This Row],[Key(Compte ILN - shipper - POL)]],'DATA ILN'!B:L,11,FALSE))</f>
        <v>#N/A</v>
      </c>
      <c r="U391" s="50" t="e">
        <f>Tableau1[[#This Row],[Day ILN Order]]+Tableau1[[#This Row],[Delivery time to ILN/Shipper]]-1</f>
        <v>#N/A</v>
      </c>
      <c r="V391" s="50" t="e">
        <f>IFERROR(VLOOKUP(Tableau1[[#This Row],[Key(Compte ILN - shipper - POL - plant)]],'DATA ILN'!A:N,14,FALSE),VLOOKUP(Tableau1[[#This Row],[Key(Compte ILN - shipper - POL)]],'DATA ILN'!B:N,13,FALSE))</f>
        <v>#N/A</v>
      </c>
      <c r="W391" s="50" t="e">
        <f>IFERROR(VLOOKUP(Tableau1[[#This Row],[Key(Compte ILN - shipper - POL - plant)]],'DATA ILN'!A:P,16,FALSE),VLOOKUP(Tableau1[[#This Row],[Key(Compte ILN - shipper - POL)]],'DATA ILN'!B:P,15,FALSE))</f>
        <v>#N/A</v>
      </c>
      <c r="X391" s="283"/>
      <c r="Y391" s="489">
        <f>IFERROR(VLOOKUP(Tableau1[[#This Row],[Name Shipper]],Plant_AILN!L:M,2,FALSE),0)</f>
        <v>0</v>
      </c>
      <c r="Z391" s="358"/>
      <c r="AA391" s="353" t="e">
        <f ca="1">VLOOKUP(Tableau1[[#This Row],[Key(ID-Actif)]],'DATA BTO'!A:N,5,FALSE)</f>
        <v>#N/A</v>
      </c>
      <c r="AB391" s="3" t="e">
        <f ca="1">VLOOKUP(Tableau1[[#This Row],[Key(ID-Actif)]],'DATA BTO'!A:N,6,FALSE)</f>
        <v>#N/A</v>
      </c>
      <c r="AC391" s="50" t="e">
        <f ca="1">VLOOKUP(Tableau1[[#This Row],[Key(ID-Actif)]],'DATA BTO'!A:N,7,FALSE)</f>
        <v>#N/A</v>
      </c>
      <c r="AD391" s="50" t="e">
        <f ca="1">VLOOKUP(Tableau1[[#This Row],[Key(ID-Actif)]],'DATA BTO'!A:N,8,FALSE)</f>
        <v>#N/A</v>
      </c>
      <c r="AE391" s="406" t="e">
        <f ca="1">IF(Tableau1[[#This Row],[First Day to POL]]&lt;=Tableau1[[#This Row],[Day Cut Off]],Tableau1[[#This Row],[Day ETD]],Tableau1[[#This Row],[Day ETD]]+7)</f>
        <v>#N/A</v>
      </c>
      <c r="AF391" s="50" t="e">
        <f ca="1">VLOOKUP(Tableau1[[#This Row],[Key(ID-Actif)]],'DATA BTO'!A:N,9,FALSE)</f>
        <v>#N/A</v>
      </c>
      <c r="AG391" s="3" t="e">
        <f ca="1">VLOOKUP(Tableau1[[#This Row],[Key(ID-Actif)]],'DATA BTO'!A:N,10,FALSE)</f>
        <v>#N/A</v>
      </c>
      <c r="AH391" s="3" t="e">
        <f ca="1">VLOOKUP(Tableau1[[#This Row],[Key(ID-Actif)]],'DATA BTO'!A:N,11,FALSE)</f>
        <v>#N/A</v>
      </c>
      <c r="AI391" s="50" t="e">
        <f ca="1">VLOOKUP(Tableau1[[#This Row],[Key(ID-Actif)]],'DATA BTO'!A:N,12,FALSE)</f>
        <v>#N/A</v>
      </c>
      <c r="AJ391" s="53" t="e">
        <f ca="1">VLOOKUP(Tableau1[[#This Row],[Key(ID-Actif)]],'DATA BTO'!A:N,14,FALSE)</f>
        <v>#N/A</v>
      </c>
      <c r="AK391" s="54" t="e">
        <f ca="1">VLOOKUP(Tableau1[[#This Row],[Key(POD -PFI- Usine)]],'DATA Consignee'!A:F,6,FALSE)</f>
        <v>#N/A</v>
      </c>
      <c r="AL391" s="283"/>
      <c r="AM391" s="490" t="str">
        <f>IF(Tableau1[[#This Row],[Name PFI/CDD]]="","-",VLOOKUP(Tableau1[[#This Row],[Name PFI/CDD]],Plant_AILN!I:J,2,FALSE))</f>
        <v>-</v>
      </c>
      <c r="AN391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1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1" s="2" t="e">
        <f ca="1">VLOOKUP(Tableau1[[#This Row],[Key(POD -PFI- Usine)]],'DATA Consignee'!A:J,10,FALSE)</f>
        <v>#N/A</v>
      </c>
      <c r="AQ391" s="50" t="e">
        <f ca="1">VLOOKUP(Tableau1[[#This Row],[Key(POD -PFI- Usine)]],'DATA Consignee'!A:N,14,FALSE)</f>
        <v>#N/A</v>
      </c>
      <c r="AR391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1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1" s="50" t="e">
        <f ca="1">Tableau1[[#This Row],[Transit time]]+Tableau1[[#This Row],[Time for security]]+Tableau1[[#This Row],[Time for security2 buffer]]</f>
        <v>#N/A</v>
      </c>
      <c r="AU391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1" s="50" t="e">
        <f ca="1">Tableau1[[#This Row],[Leadtime SI2C]]+Tableau1[[#This Row],[First Receipt Days]]-Tableau1[[#This Row],[Day Customer Order]]+1</f>
        <v>#N/A</v>
      </c>
      <c r="AW391" s="117" t="e">
        <f ca="1">IF(Tableau1[[#This Row],[Name ILN]]&lt;&gt;"SFK Freight Forwarder",Tableau1[[#This Row],[Cust. Leadtime]],Tableau1[[#This Row],[Leadtime SI2C]])</f>
        <v>#N/A</v>
      </c>
      <c r="AX391" s="57" t="e">
        <f>VLOOKUP(Tableau1[[#This Row],[ID]],'DATA BTO'!B:P,15,FALSE)</f>
        <v>#N/A</v>
      </c>
      <c r="AY391" s="328" t="e">
        <f ca="1">IFERROR(VLOOKUP(Tableau1[[#This Row],[Key(ID-Actif)]],'DATA BTO'!A:N,4,FALSE),VLOOKUP(Tableau1[[#This Row],[ID]],'DATA BTO'!B:N,3,FALSE))</f>
        <v>#N/A</v>
      </c>
      <c r="AZ391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1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1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1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1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1" s="50"/>
    </row>
    <row r="392" spans="2:57">
      <c r="B392" s="405" t="str">
        <f>_xlfn.CONCAT(Tableau1[[#This Row],[Name ILN]],"-",Tableau1[[#This Row],[Name Shipper]],"-",Tableau1[[#This Row],[Name Site]])</f>
        <v>--</v>
      </c>
      <c r="C392" s="64" t="e">
        <f>_xlfn.CONCAT(Tableau1[[#This Row],[Compte ILN]],"-",Tableau1[[#This Row],[Compte Shipper]],"-",Tableau1[[#This Row],[POL]],"-",Tableau1[[#This Row],[Compte Consignee]])</f>
        <v>#N/A</v>
      </c>
      <c r="D392" s="64" t="e">
        <f>_xlfn.CONCAT(Tableau1[[#This Row],[Compte ILN]],"-",Tableau1[[#This Row],[Compte Shipper]],"-",Tableau1[[#This Row],[POL]])</f>
        <v>#N/A</v>
      </c>
      <c r="E392" s="128" t="e">
        <f ca="1">_xlfn.CONCAT(Tableau1[[#This Row],[POL]],"-",Tableau1[[#This Row],[Carrier]],"-",Tableau1[[#This Row],[POD]])</f>
        <v>#N/A</v>
      </c>
      <c r="F392" s="64" t="str">
        <f>_xlfn.CONCAT(Tableau1[[#This Row],[ID]],"-","Actif")</f>
        <v>-Actif</v>
      </c>
      <c r="G392" s="64" t="e">
        <f ca="1">_xlfn.CONCAT(Tableau1[[#This Row],[POD]],"-",Tableau1[[#This Row],[Code PFI]],"-",Tableau1[[#This Row],[Compte Consignee]])</f>
        <v>#N/A</v>
      </c>
      <c r="H392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2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2" s="117" t="str">
        <f ca="1">IF(COUNTIF(I:I,Tableau1[[#This Row],[Plant-ILN-shipper-POL-Carrier-POD-PFI]])=1,"Non","Oui")</f>
        <v>Oui</v>
      </c>
      <c r="K392" s="126" t="e">
        <f>VLOOKUP(Tableau1[[#This Row],[Name Site]],Plant_AILN!A:D,4,FALSE)</f>
        <v>#N/A</v>
      </c>
      <c r="L392" s="363"/>
      <c r="M392" s="492" t="e">
        <f>VLOOKUP(Tableau1[[#This Row],[Name Site]],Plant_AILN!A:C,3,FALSE)</f>
        <v>#N/A</v>
      </c>
      <c r="N392" s="55" t="e">
        <f>VLOOKUP(Tableau1[[#This Row],[Compte Consignee]],Order!C:D,2,FALSE)</f>
        <v>#N/A</v>
      </c>
      <c r="O392" s="122"/>
      <c r="P392" s="481" t="e">
        <f>VLOOKUP(Tableau1[[#This Row],[Name ILN]],Plant_AILN!F:G,2,FALSE)</f>
        <v>#N/A</v>
      </c>
      <c r="Q392" s="50" t="e">
        <f>VLOOKUP(Tableau1[[#This Row],[Compte ILN]],'DATA ILN'!D:I,6,FALSE)</f>
        <v>#N/A</v>
      </c>
      <c r="R392" s="50" t="e">
        <f>IFERROR(VLOOKUP(Tableau1[[#This Row],[Key(Compte ILN - shipper - POL - plant)]],'DATA ILN'!A:J,10,FALSE),VLOOKUP(Tableau1[[#This Row],[Key(Compte ILN - shipper - POL)]],'DATA ILN'!B:J,9,FALSE))</f>
        <v>#N/A</v>
      </c>
      <c r="S392" s="50" t="e">
        <f>IFERROR(VLOOKUP(Tableau1[[#This Row],[Key(Compte ILN - shipper - POL - plant)]],'DATA ILN'!A:K,11,FALSE),VLOOKUP(Tableau1[[#This Row],[Key(Compte ILN - shipper - POL)]],'DATA ILN'!B:K,10,FALSE))</f>
        <v>#N/A</v>
      </c>
      <c r="T392" s="50" t="e">
        <f>IFERROR(VLOOKUP(Tableau1[[#This Row],[Key(Compte ILN - shipper - POL - plant)]],'DATA ILN'!A:L,12,FALSE),VLOOKUP(Tableau1[[#This Row],[Key(Compte ILN - shipper - POL)]],'DATA ILN'!B:L,11,FALSE))</f>
        <v>#N/A</v>
      </c>
      <c r="U392" s="50" t="e">
        <f>Tableau1[[#This Row],[Day ILN Order]]+Tableau1[[#This Row],[Delivery time to ILN/Shipper]]-1</f>
        <v>#N/A</v>
      </c>
      <c r="V392" s="50" t="e">
        <f>IFERROR(VLOOKUP(Tableau1[[#This Row],[Key(Compte ILN - shipper - POL - plant)]],'DATA ILN'!A:N,14,FALSE),VLOOKUP(Tableau1[[#This Row],[Key(Compte ILN - shipper - POL)]],'DATA ILN'!B:N,13,FALSE))</f>
        <v>#N/A</v>
      </c>
      <c r="W392" s="50" t="e">
        <f>IFERROR(VLOOKUP(Tableau1[[#This Row],[Key(Compte ILN - shipper - POL - plant)]],'DATA ILN'!A:P,16,FALSE),VLOOKUP(Tableau1[[#This Row],[Key(Compte ILN - shipper - POL)]],'DATA ILN'!B:P,15,FALSE))</f>
        <v>#N/A</v>
      </c>
      <c r="X392" s="283"/>
      <c r="Y392" s="489">
        <f>IFERROR(VLOOKUP(Tableau1[[#This Row],[Name Shipper]],Plant_AILN!L:M,2,FALSE),0)</f>
        <v>0</v>
      </c>
      <c r="Z392" s="358"/>
      <c r="AA392" s="353" t="e">
        <f ca="1">VLOOKUP(Tableau1[[#This Row],[Key(ID-Actif)]],'DATA BTO'!A:N,5,FALSE)</f>
        <v>#N/A</v>
      </c>
      <c r="AB392" s="3" t="e">
        <f ca="1">VLOOKUP(Tableau1[[#This Row],[Key(ID-Actif)]],'DATA BTO'!A:N,6,FALSE)</f>
        <v>#N/A</v>
      </c>
      <c r="AC392" s="50" t="e">
        <f ca="1">VLOOKUP(Tableau1[[#This Row],[Key(ID-Actif)]],'DATA BTO'!A:N,7,FALSE)</f>
        <v>#N/A</v>
      </c>
      <c r="AD392" s="50" t="e">
        <f ca="1">VLOOKUP(Tableau1[[#This Row],[Key(ID-Actif)]],'DATA BTO'!A:N,8,FALSE)</f>
        <v>#N/A</v>
      </c>
      <c r="AE392" s="406" t="e">
        <f ca="1">IF(Tableau1[[#This Row],[First Day to POL]]&lt;=Tableau1[[#This Row],[Day Cut Off]],Tableau1[[#This Row],[Day ETD]],Tableau1[[#This Row],[Day ETD]]+7)</f>
        <v>#N/A</v>
      </c>
      <c r="AF392" s="50" t="e">
        <f ca="1">VLOOKUP(Tableau1[[#This Row],[Key(ID-Actif)]],'DATA BTO'!A:N,9,FALSE)</f>
        <v>#N/A</v>
      </c>
      <c r="AG392" s="3" t="e">
        <f ca="1">VLOOKUP(Tableau1[[#This Row],[Key(ID-Actif)]],'DATA BTO'!A:N,10,FALSE)</f>
        <v>#N/A</v>
      </c>
      <c r="AH392" s="3" t="e">
        <f ca="1">VLOOKUP(Tableau1[[#This Row],[Key(ID-Actif)]],'DATA BTO'!A:N,11,FALSE)</f>
        <v>#N/A</v>
      </c>
      <c r="AI392" s="50" t="e">
        <f ca="1">VLOOKUP(Tableau1[[#This Row],[Key(ID-Actif)]],'DATA BTO'!A:N,12,FALSE)</f>
        <v>#N/A</v>
      </c>
      <c r="AJ392" s="53" t="e">
        <f ca="1">VLOOKUP(Tableau1[[#This Row],[Key(ID-Actif)]],'DATA BTO'!A:N,14,FALSE)</f>
        <v>#N/A</v>
      </c>
      <c r="AK392" s="54" t="e">
        <f ca="1">VLOOKUP(Tableau1[[#This Row],[Key(POD -PFI- Usine)]],'DATA Consignee'!A:F,6,FALSE)</f>
        <v>#N/A</v>
      </c>
      <c r="AL392" s="283"/>
      <c r="AM392" s="490" t="str">
        <f>IF(Tableau1[[#This Row],[Name PFI/CDD]]="","-",VLOOKUP(Tableau1[[#This Row],[Name PFI/CDD]],Plant_AILN!I:J,2,FALSE))</f>
        <v>-</v>
      </c>
      <c r="AN392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2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2" s="2" t="e">
        <f ca="1">VLOOKUP(Tableau1[[#This Row],[Key(POD -PFI- Usine)]],'DATA Consignee'!A:J,10,FALSE)</f>
        <v>#N/A</v>
      </c>
      <c r="AQ392" s="50" t="e">
        <f ca="1">VLOOKUP(Tableau1[[#This Row],[Key(POD -PFI- Usine)]],'DATA Consignee'!A:N,14,FALSE)</f>
        <v>#N/A</v>
      </c>
      <c r="AR392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2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2" s="50" t="e">
        <f ca="1">Tableau1[[#This Row],[Transit time]]+Tableau1[[#This Row],[Time for security]]+Tableau1[[#This Row],[Time for security2 buffer]]</f>
        <v>#N/A</v>
      </c>
      <c r="AU392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2" s="50" t="e">
        <f ca="1">Tableau1[[#This Row],[Leadtime SI2C]]+Tableau1[[#This Row],[First Receipt Days]]-Tableau1[[#This Row],[Day Customer Order]]+1</f>
        <v>#N/A</v>
      </c>
      <c r="AW392" s="117" t="e">
        <f ca="1">IF(Tableau1[[#This Row],[Name ILN]]&lt;&gt;"SFK Freight Forwarder",Tableau1[[#This Row],[Cust. Leadtime]],Tableau1[[#This Row],[Leadtime SI2C]])</f>
        <v>#N/A</v>
      </c>
      <c r="AX392" s="57" t="e">
        <f>VLOOKUP(Tableau1[[#This Row],[ID]],'DATA BTO'!B:P,15,FALSE)</f>
        <v>#N/A</v>
      </c>
      <c r="AY392" s="328" t="e">
        <f ca="1">IFERROR(VLOOKUP(Tableau1[[#This Row],[Key(ID-Actif)]],'DATA BTO'!A:N,4,FALSE),VLOOKUP(Tableau1[[#This Row],[ID]],'DATA BTO'!B:N,3,FALSE))</f>
        <v>#N/A</v>
      </c>
      <c r="AZ392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2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2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2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2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2" s="50"/>
    </row>
    <row r="393" spans="2:57">
      <c r="B393" s="370" t="str">
        <f>_xlfn.CONCAT(Tableau1[[#This Row],[Name ILN]],"-",Tableau1[[#This Row],[Name Shipper]],"-",Tableau1[[#This Row],[Name Site]])</f>
        <v>--</v>
      </c>
      <c r="C393" s="80" t="e">
        <f>_xlfn.CONCAT(Tableau1[[#This Row],[Compte ILN]],"-",Tableau1[[#This Row],[Compte Shipper]],"-",Tableau1[[#This Row],[POL]],"-",Tableau1[[#This Row],[Compte Consignee]])</f>
        <v>#N/A</v>
      </c>
      <c r="D393" s="80" t="e">
        <f>_xlfn.CONCAT(Tableau1[[#This Row],[Compte ILN]],"-",Tableau1[[#This Row],[Compte Shipper]],"-",Tableau1[[#This Row],[POL]])</f>
        <v>#N/A</v>
      </c>
      <c r="E393" s="81" t="e">
        <f ca="1">_xlfn.CONCAT(Tableau1[[#This Row],[POL]],"-",Tableau1[[#This Row],[Carrier]],"-",Tableau1[[#This Row],[POD]])</f>
        <v>#N/A</v>
      </c>
      <c r="F393" s="80" t="str">
        <f>_xlfn.CONCAT(Tableau1[[#This Row],[ID]],"-","Actif")</f>
        <v>-Actif</v>
      </c>
      <c r="G393" s="80" t="e">
        <f ca="1">_xlfn.CONCAT(Tableau1[[#This Row],[POD]],"-",Tableau1[[#This Row],[Code PFI]],"-",Tableau1[[#This Row],[Compte Consignee]])</f>
        <v>#N/A</v>
      </c>
      <c r="H393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3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3" s="118" t="str">
        <f ca="1">IF(COUNTIF(I:I,Tableau1[[#This Row],[Plant-ILN-shipper-POL-Carrier-POD-PFI]])=1,"Non","Oui")</f>
        <v>Oui</v>
      </c>
      <c r="K393" s="101" t="e">
        <f>VLOOKUP(Tableau1[[#This Row],[Name Site]],Plant_AILN!A:D,4,FALSE)</f>
        <v>#N/A</v>
      </c>
      <c r="L393" s="368"/>
      <c r="M393" s="493" t="e">
        <f>VLOOKUP(Tableau1[[#This Row],[Name Site]],Plant_AILN!A:C,3,FALSE)</f>
        <v>#N/A</v>
      </c>
      <c r="N393" s="102" t="e">
        <f>VLOOKUP(Tableau1[[#This Row],[Compte Consignee]],Order!C:D,2,FALSE)</f>
        <v>#N/A</v>
      </c>
      <c r="O393" s="122"/>
      <c r="P393" s="484" t="e">
        <f>VLOOKUP(Tableau1[[#This Row],[Name ILN]],Plant_AILN!F:G,2,FALSE)</f>
        <v>#N/A</v>
      </c>
      <c r="Q393" s="79" t="e">
        <f>VLOOKUP(Tableau1[[#This Row],[Compte ILN]],'DATA ILN'!D:I,6,FALSE)</f>
        <v>#N/A</v>
      </c>
      <c r="R393" s="79" t="e">
        <f>IFERROR(VLOOKUP(Tableau1[[#This Row],[Key(Compte ILN - shipper - POL - plant)]],'DATA ILN'!A:J,10,FALSE),VLOOKUP(Tableau1[[#This Row],[Key(Compte ILN - shipper - POL)]],'DATA ILN'!B:J,9,FALSE))</f>
        <v>#N/A</v>
      </c>
      <c r="S393" s="79" t="e">
        <f>IFERROR(VLOOKUP(Tableau1[[#This Row],[Key(Compte ILN - shipper - POL - plant)]],'DATA ILN'!A:K,11,FALSE),VLOOKUP(Tableau1[[#This Row],[Key(Compte ILN - shipper - POL)]],'DATA ILN'!B:K,10,FALSE))</f>
        <v>#N/A</v>
      </c>
      <c r="T393" s="79" t="e">
        <f>IFERROR(VLOOKUP(Tableau1[[#This Row],[Key(Compte ILN - shipper - POL - plant)]],'DATA ILN'!A:L,12,FALSE),VLOOKUP(Tableau1[[#This Row],[Key(Compte ILN - shipper - POL)]],'DATA ILN'!B:L,11,FALSE))</f>
        <v>#N/A</v>
      </c>
      <c r="U393" s="79" t="e">
        <f>Tableau1[[#This Row],[Day ILN Order]]+Tableau1[[#This Row],[Delivery time to ILN/Shipper]]-1</f>
        <v>#N/A</v>
      </c>
      <c r="V393" s="79" t="e">
        <f>IFERROR(VLOOKUP(Tableau1[[#This Row],[Key(Compte ILN - shipper - POL - plant)]],'DATA ILN'!A:N,14,FALSE),VLOOKUP(Tableau1[[#This Row],[Key(Compte ILN - shipper - POL)]],'DATA ILN'!B:N,13,FALSE))</f>
        <v>#N/A</v>
      </c>
      <c r="W393" s="79" t="e">
        <f>IFERROR(VLOOKUP(Tableau1[[#This Row],[Key(Compte ILN - shipper - POL - plant)]],'DATA ILN'!A:P,16,FALSE),VLOOKUP(Tableau1[[#This Row],[Key(Compte ILN - shipper - POL)]],'DATA ILN'!B:P,15,FALSE))</f>
        <v>#N/A</v>
      </c>
      <c r="X393" s="100"/>
      <c r="Y393" s="485">
        <f>IFERROR(VLOOKUP(Tableau1[[#This Row],[Name Shipper]],Plant_AILN!L:M,2,FALSE),0)</f>
        <v>0</v>
      </c>
      <c r="Z393" s="369"/>
      <c r="AA393" s="354" t="e">
        <f ca="1">VLOOKUP(Tableau1[[#This Row],[Key(ID-Actif)]],'DATA BTO'!A:N,5,FALSE)</f>
        <v>#N/A</v>
      </c>
      <c r="AB393" s="106" t="e">
        <f ca="1">VLOOKUP(Tableau1[[#This Row],[Key(ID-Actif)]],'DATA BTO'!A:N,6,FALSE)</f>
        <v>#N/A</v>
      </c>
      <c r="AC393" s="79" t="e">
        <f ca="1">VLOOKUP(Tableau1[[#This Row],[Key(ID-Actif)]],'DATA BTO'!A:N,7,FALSE)</f>
        <v>#N/A</v>
      </c>
      <c r="AD393" s="79" t="e">
        <f ca="1">VLOOKUP(Tableau1[[#This Row],[Key(ID-Actif)]],'DATA BTO'!A:N,8,FALSE)</f>
        <v>#N/A</v>
      </c>
      <c r="AE393" s="406" t="e">
        <f ca="1">IF(Tableau1[[#This Row],[First Day to POL]]&lt;=Tableau1[[#This Row],[Day Cut Off]],Tableau1[[#This Row],[Day ETD]],Tableau1[[#This Row],[Day ETD]]+7)</f>
        <v>#N/A</v>
      </c>
      <c r="AF393" s="79" t="e">
        <f ca="1">VLOOKUP(Tableau1[[#This Row],[Key(ID-Actif)]],'DATA BTO'!A:N,9,FALSE)</f>
        <v>#N/A</v>
      </c>
      <c r="AG393" s="106" t="e">
        <f ca="1">VLOOKUP(Tableau1[[#This Row],[Key(ID-Actif)]],'DATA BTO'!A:N,10,FALSE)</f>
        <v>#N/A</v>
      </c>
      <c r="AH393" s="106" t="e">
        <f ca="1">VLOOKUP(Tableau1[[#This Row],[Key(ID-Actif)]],'DATA BTO'!A:N,11,FALSE)</f>
        <v>#N/A</v>
      </c>
      <c r="AI393" s="79" t="e">
        <f ca="1">VLOOKUP(Tableau1[[#This Row],[Key(ID-Actif)]],'DATA BTO'!A:N,12,FALSE)</f>
        <v>#N/A</v>
      </c>
      <c r="AJ393" s="104" t="e">
        <f ca="1">VLOOKUP(Tableau1[[#This Row],[Key(ID-Actif)]],'DATA BTO'!A:N,14,FALSE)</f>
        <v>#N/A</v>
      </c>
      <c r="AK393" s="105" t="e">
        <f ca="1">VLOOKUP(Tableau1[[#This Row],[Key(POD -PFI- Usine)]],'DATA Consignee'!A:F,6,FALSE)</f>
        <v>#N/A</v>
      </c>
      <c r="AL393" s="100"/>
      <c r="AM393" s="486" t="str">
        <f>IF(Tableau1[[#This Row],[Name PFI/CDD]]="","-",VLOOKUP(Tableau1[[#This Row],[Name PFI/CDD]],Plant_AILN!I:J,2,FALSE))</f>
        <v>-</v>
      </c>
      <c r="AN393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3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3" s="108" t="e">
        <f ca="1">VLOOKUP(Tableau1[[#This Row],[Key(POD -PFI- Usine)]],'DATA Consignee'!A:J,10,FALSE)</f>
        <v>#N/A</v>
      </c>
      <c r="AQ393" s="79" t="e">
        <f ca="1">VLOOKUP(Tableau1[[#This Row],[Key(POD -PFI- Usine)]],'DATA Consignee'!A:N,14,FALSE)</f>
        <v>#N/A</v>
      </c>
      <c r="AR393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3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3" s="79" t="e">
        <f ca="1">Tableau1[[#This Row],[Transit time]]+Tableau1[[#This Row],[Time for security]]+Tableau1[[#This Row],[Time for security2 buffer]]</f>
        <v>#N/A</v>
      </c>
      <c r="AU393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3" s="79" t="e">
        <f ca="1">Tableau1[[#This Row],[Leadtime SI2C]]+Tableau1[[#This Row],[First Receipt Days]]-Tableau1[[#This Row],[Day Customer Order]]+1</f>
        <v>#N/A</v>
      </c>
      <c r="AW393" s="118" t="e">
        <f ca="1">IF(Tableau1[[#This Row],[Name ILN]]&lt;&gt;"SFK Freight Forwarder",Tableau1[[#This Row],[Cust. Leadtime]],Tableau1[[#This Row],[Leadtime SI2C]])</f>
        <v>#N/A</v>
      </c>
      <c r="AX393" s="74" t="e">
        <f>VLOOKUP(Tableau1[[#This Row],[ID]],'DATA BTO'!B:P,15,FALSE)</f>
        <v>#N/A</v>
      </c>
      <c r="AY393" s="347" t="e">
        <f ca="1">IFERROR(VLOOKUP(Tableau1[[#This Row],[Key(ID-Actif)]],'DATA BTO'!A:N,4,FALSE),VLOOKUP(Tableau1[[#This Row],[ID]],'DATA BTO'!B:N,3,FALSE))</f>
        <v>#N/A</v>
      </c>
      <c r="AZ393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3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3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3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3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3" s="79"/>
    </row>
    <row r="394" spans="2:57">
      <c r="B394" s="370" t="str">
        <f>_xlfn.CONCAT(Tableau1[[#This Row],[Name ILN]],"-",Tableau1[[#This Row],[Name Shipper]],"-",Tableau1[[#This Row],[Name Site]])</f>
        <v>--</v>
      </c>
      <c r="C394" s="80" t="e">
        <f>_xlfn.CONCAT(Tableau1[[#This Row],[Compte ILN]],"-",Tableau1[[#This Row],[Compte Shipper]],"-",Tableau1[[#This Row],[POL]],"-",Tableau1[[#This Row],[Compte Consignee]])</f>
        <v>#N/A</v>
      </c>
      <c r="D394" s="80" t="e">
        <f>_xlfn.CONCAT(Tableau1[[#This Row],[Compte ILN]],"-",Tableau1[[#This Row],[Compte Shipper]],"-",Tableau1[[#This Row],[POL]])</f>
        <v>#N/A</v>
      </c>
      <c r="E394" s="81" t="e">
        <f ca="1">_xlfn.CONCAT(Tableau1[[#This Row],[POL]],"-",Tableau1[[#This Row],[Carrier]],"-",Tableau1[[#This Row],[POD]])</f>
        <v>#N/A</v>
      </c>
      <c r="F394" s="80" t="str">
        <f>_xlfn.CONCAT(Tableau1[[#This Row],[ID]],"-","Actif")</f>
        <v>-Actif</v>
      </c>
      <c r="G394" s="80" t="e">
        <f ca="1">_xlfn.CONCAT(Tableau1[[#This Row],[POD]],"-",Tableau1[[#This Row],[Code PFI]],"-",Tableau1[[#This Row],[Compte Consignee]])</f>
        <v>#N/A</v>
      </c>
      <c r="H394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4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4" s="118" t="str">
        <f ca="1">IF(COUNTIF(I:I,Tableau1[[#This Row],[Plant-ILN-shipper-POL-Carrier-POD-PFI]])=1,"Non","Oui")</f>
        <v>Oui</v>
      </c>
      <c r="K394" s="101" t="e">
        <f>VLOOKUP(Tableau1[[#This Row],[Name Site]],Plant_AILN!A:D,4,FALSE)</f>
        <v>#N/A</v>
      </c>
      <c r="L394" s="368"/>
      <c r="M394" s="493" t="e">
        <f>VLOOKUP(Tableau1[[#This Row],[Name Site]],Plant_AILN!A:C,3,FALSE)</f>
        <v>#N/A</v>
      </c>
      <c r="N394" s="102" t="e">
        <f>VLOOKUP(Tableau1[[#This Row],[Compte Consignee]],Order!C:D,2,FALSE)</f>
        <v>#N/A</v>
      </c>
      <c r="O394" s="122"/>
      <c r="P394" s="484" t="e">
        <f>VLOOKUP(Tableau1[[#This Row],[Name ILN]],Plant_AILN!F:G,2,FALSE)</f>
        <v>#N/A</v>
      </c>
      <c r="Q394" s="79" t="e">
        <f>VLOOKUP(Tableau1[[#This Row],[Compte ILN]],'DATA ILN'!D:I,6,FALSE)</f>
        <v>#N/A</v>
      </c>
      <c r="R394" s="79" t="e">
        <f>IFERROR(VLOOKUP(Tableau1[[#This Row],[Key(Compte ILN - shipper - POL - plant)]],'DATA ILN'!A:J,10,FALSE),VLOOKUP(Tableau1[[#This Row],[Key(Compte ILN - shipper - POL)]],'DATA ILN'!B:J,9,FALSE))</f>
        <v>#N/A</v>
      </c>
      <c r="S394" s="79" t="e">
        <f>IFERROR(VLOOKUP(Tableau1[[#This Row],[Key(Compte ILN - shipper - POL - plant)]],'DATA ILN'!A:K,11,FALSE),VLOOKUP(Tableau1[[#This Row],[Key(Compte ILN - shipper - POL)]],'DATA ILN'!B:K,10,FALSE))</f>
        <v>#N/A</v>
      </c>
      <c r="T394" s="79" t="e">
        <f>IFERROR(VLOOKUP(Tableau1[[#This Row],[Key(Compte ILN - shipper - POL - plant)]],'DATA ILN'!A:L,12,FALSE),VLOOKUP(Tableau1[[#This Row],[Key(Compte ILN - shipper - POL)]],'DATA ILN'!B:L,11,FALSE))</f>
        <v>#N/A</v>
      </c>
      <c r="U394" s="79" t="e">
        <f>Tableau1[[#This Row],[Day ILN Order]]+Tableau1[[#This Row],[Delivery time to ILN/Shipper]]-1</f>
        <v>#N/A</v>
      </c>
      <c r="V394" s="79" t="e">
        <f>IFERROR(VLOOKUP(Tableau1[[#This Row],[Key(Compte ILN - shipper - POL - plant)]],'DATA ILN'!A:N,14,FALSE),VLOOKUP(Tableau1[[#This Row],[Key(Compte ILN - shipper - POL)]],'DATA ILN'!B:N,13,FALSE))</f>
        <v>#N/A</v>
      </c>
      <c r="W394" s="79" t="e">
        <f>IFERROR(VLOOKUP(Tableau1[[#This Row],[Key(Compte ILN - shipper - POL - plant)]],'DATA ILN'!A:P,16,FALSE),VLOOKUP(Tableau1[[#This Row],[Key(Compte ILN - shipper - POL)]],'DATA ILN'!B:P,15,FALSE))</f>
        <v>#N/A</v>
      </c>
      <c r="X394" s="100"/>
      <c r="Y394" s="485">
        <f>IFERROR(VLOOKUP(Tableau1[[#This Row],[Name Shipper]],Plant_AILN!L:M,2,FALSE),0)</f>
        <v>0</v>
      </c>
      <c r="Z394" s="369"/>
      <c r="AA394" s="354" t="e">
        <f ca="1">VLOOKUP(Tableau1[[#This Row],[Key(ID-Actif)]],'DATA BTO'!A:N,5,FALSE)</f>
        <v>#N/A</v>
      </c>
      <c r="AB394" s="106" t="e">
        <f ca="1">VLOOKUP(Tableau1[[#This Row],[Key(ID-Actif)]],'DATA BTO'!A:N,6,FALSE)</f>
        <v>#N/A</v>
      </c>
      <c r="AC394" s="79" t="e">
        <f ca="1">VLOOKUP(Tableau1[[#This Row],[Key(ID-Actif)]],'DATA BTO'!A:N,7,FALSE)</f>
        <v>#N/A</v>
      </c>
      <c r="AD394" s="79" t="e">
        <f ca="1">VLOOKUP(Tableau1[[#This Row],[Key(ID-Actif)]],'DATA BTO'!A:N,8,FALSE)</f>
        <v>#N/A</v>
      </c>
      <c r="AE394" s="79" t="e">
        <f ca="1">IF(Tableau1[[#This Row],[First Day to POL]]&lt;=Tableau1[[#This Row],[Day Cut Off]],Tableau1[[#This Row],[Day ETD]],Tableau1[[#This Row],[Day ETD]]+7)</f>
        <v>#N/A</v>
      </c>
      <c r="AF394" s="79" t="e">
        <f ca="1">VLOOKUP(Tableau1[[#This Row],[Key(ID-Actif)]],'DATA BTO'!A:N,9,FALSE)</f>
        <v>#N/A</v>
      </c>
      <c r="AG394" s="106" t="e">
        <f ca="1">VLOOKUP(Tableau1[[#This Row],[Key(ID-Actif)]],'DATA BTO'!A:N,10,FALSE)</f>
        <v>#N/A</v>
      </c>
      <c r="AH394" s="106" t="e">
        <f ca="1">VLOOKUP(Tableau1[[#This Row],[Key(ID-Actif)]],'DATA BTO'!A:N,11,FALSE)</f>
        <v>#N/A</v>
      </c>
      <c r="AI394" s="79" t="e">
        <f ca="1">VLOOKUP(Tableau1[[#This Row],[Key(ID-Actif)]],'DATA BTO'!A:N,12,FALSE)</f>
        <v>#N/A</v>
      </c>
      <c r="AJ394" s="104" t="e">
        <f ca="1">VLOOKUP(Tableau1[[#This Row],[Key(ID-Actif)]],'DATA BTO'!A:N,14,FALSE)</f>
        <v>#N/A</v>
      </c>
      <c r="AK394" s="105" t="e">
        <f ca="1">VLOOKUP(Tableau1[[#This Row],[Key(POD -PFI- Usine)]],'DATA Consignee'!A:F,6,FALSE)</f>
        <v>#N/A</v>
      </c>
      <c r="AL394" s="100"/>
      <c r="AM394" s="486" t="str">
        <f>IF(Tableau1[[#This Row],[Name PFI/CDD]]="","-",VLOOKUP(Tableau1[[#This Row],[Name PFI/CDD]],Plant_AILN!I:J,2,FALSE))</f>
        <v>-</v>
      </c>
      <c r="AN394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4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4" s="108" t="e">
        <f ca="1">VLOOKUP(Tableau1[[#This Row],[Key(POD -PFI- Usine)]],'DATA Consignee'!A:J,10,FALSE)</f>
        <v>#N/A</v>
      </c>
      <c r="AQ394" s="79" t="e">
        <f ca="1">VLOOKUP(Tableau1[[#This Row],[Key(POD -PFI- Usine)]],'DATA Consignee'!A:N,14,FALSE)</f>
        <v>#N/A</v>
      </c>
      <c r="AR394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4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4" s="79" t="e">
        <f ca="1">Tableau1[[#This Row],[Transit time]]+Tableau1[[#This Row],[Time for security]]+Tableau1[[#This Row],[Time for security2 buffer]]</f>
        <v>#N/A</v>
      </c>
      <c r="AU394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4" s="79" t="e">
        <f ca="1">Tableau1[[#This Row],[Leadtime SI2C]]+Tableau1[[#This Row],[First Receipt Days]]-Tableau1[[#This Row],[Day Customer Order]]+1</f>
        <v>#N/A</v>
      </c>
      <c r="AW394" s="118" t="e">
        <f ca="1">IF(Tableau1[[#This Row],[Name ILN]]&lt;&gt;"SFK Freight Forwarder",Tableau1[[#This Row],[Cust. Leadtime]],Tableau1[[#This Row],[Leadtime SI2C]])</f>
        <v>#N/A</v>
      </c>
      <c r="AX394" s="74" t="e">
        <f>VLOOKUP(Tableau1[[#This Row],[ID]],'DATA BTO'!B:P,15,FALSE)</f>
        <v>#N/A</v>
      </c>
      <c r="AY394" s="347" t="e">
        <f ca="1">IFERROR(VLOOKUP(Tableau1[[#This Row],[Key(ID-Actif)]],'DATA BTO'!A:N,4,FALSE),VLOOKUP(Tableau1[[#This Row],[ID]],'DATA BTO'!B:N,3,FALSE))</f>
        <v>#N/A</v>
      </c>
      <c r="AZ394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4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4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4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4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4" s="79"/>
    </row>
    <row r="395" spans="2:57">
      <c r="B395" s="370" t="str">
        <f>_xlfn.CONCAT(Tableau1[[#This Row],[Name ILN]],"-",Tableau1[[#This Row],[Name Shipper]],"-",Tableau1[[#This Row],[Name Site]])</f>
        <v>--</v>
      </c>
      <c r="C395" s="80" t="e">
        <f>_xlfn.CONCAT(Tableau1[[#This Row],[Compte ILN]],"-",Tableau1[[#This Row],[Compte Shipper]],"-",Tableau1[[#This Row],[POL]],"-",Tableau1[[#This Row],[Compte Consignee]])</f>
        <v>#N/A</v>
      </c>
      <c r="D395" s="80" t="e">
        <f>_xlfn.CONCAT(Tableau1[[#This Row],[Compte ILN]],"-",Tableau1[[#This Row],[Compte Shipper]],"-",Tableau1[[#This Row],[POL]])</f>
        <v>#N/A</v>
      </c>
      <c r="E395" s="81" t="e">
        <f ca="1">_xlfn.CONCAT(Tableau1[[#This Row],[POL]],"-",Tableau1[[#This Row],[Carrier]],"-",Tableau1[[#This Row],[POD]])</f>
        <v>#N/A</v>
      </c>
      <c r="F395" s="80" t="str">
        <f>_xlfn.CONCAT(Tableau1[[#This Row],[ID]],"-","Actif")</f>
        <v>-Actif</v>
      </c>
      <c r="G395" s="80" t="e">
        <f ca="1">_xlfn.CONCAT(Tableau1[[#This Row],[POD]],"-",Tableau1[[#This Row],[Code PFI]],"-",Tableau1[[#This Row],[Compte Consignee]])</f>
        <v>#N/A</v>
      </c>
      <c r="H395" s="115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5" s="83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5" s="118" t="str">
        <f ca="1">IF(COUNTIF(I:I,Tableau1[[#This Row],[Plant-ILN-shipper-POL-Carrier-POD-PFI]])=1,"Non","Oui")</f>
        <v>Oui</v>
      </c>
      <c r="K395" s="101" t="e">
        <f>VLOOKUP(Tableau1[[#This Row],[Name Site]],Plant_AILN!A:D,4,FALSE)</f>
        <v>#N/A</v>
      </c>
      <c r="L395" s="368"/>
      <c r="M395" s="493" t="e">
        <f>VLOOKUP(Tableau1[[#This Row],[Name Site]],Plant_AILN!A:C,3,FALSE)</f>
        <v>#N/A</v>
      </c>
      <c r="N395" s="102" t="e">
        <f>VLOOKUP(Tableau1[[#This Row],[Compte Consignee]],Order!C:D,2,FALSE)</f>
        <v>#N/A</v>
      </c>
      <c r="O395" s="122"/>
      <c r="P395" s="484" t="e">
        <f>VLOOKUP(Tableau1[[#This Row],[Name ILN]],Plant_AILN!F:G,2,FALSE)</f>
        <v>#N/A</v>
      </c>
      <c r="Q395" s="79" t="e">
        <f>VLOOKUP(Tableau1[[#This Row],[Compte ILN]],'DATA ILN'!D:I,6,FALSE)</f>
        <v>#N/A</v>
      </c>
      <c r="R395" s="79" t="e">
        <f>IFERROR(VLOOKUP(Tableau1[[#This Row],[Key(Compte ILN - shipper - POL - plant)]],'DATA ILN'!A:J,10,FALSE),VLOOKUP(Tableau1[[#This Row],[Key(Compte ILN - shipper - POL)]],'DATA ILN'!B:J,9,FALSE))</f>
        <v>#N/A</v>
      </c>
      <c r="S395" s="79" t="e">
        <f>IFERROR(VLOOKUP(Tableau1[[#This Row],[Key(Compte ILN - shipper - POL - plant)]],'DATA ILN'!A:K,11,FALSE),VLOOKUP(Tableau1[[#This Row],[Key(Compte ILN - shipper - POL)]],'DATA ILN'!B:K,10,FALSE))</f>
        <v>#N/A</v>
      </c>
      <c r="T395" s="79" t="e">
        <f>IFERROR(VLOOKUP(Tableau1[[#This Row],[Key(Compte ILN - shipper - POL - plant)]],'DATA ILN'!A:L,12,FALSE),VLOOKUP(Tableau1[[#This Row],[Key(Compte ILN - shipper - POL)]],'DATA ILN'!B:L,11,FALSE))</f>
        <v>#N/A</v>
      </c>
      <c r="U395" s="79" t="e">
        <f>Tableau1[[#This Row],[Day ILN Order]]+Tableau1[[#This Row],[Delivery time to ILN/Shipper]]-1</f>
        <v>#N/A</v>
      </c>
      <c r="V395" s="79" t="e">
        <f>IFERROR(VLOOKUP(Tableau1[[#This Row],[Key(Compte ILN - shipper - POL - plant)]],'DATA ILN'!A:N,14,FALSE),VLOOKUP(Tableau1[[#This Row],[Key(Compte ILN - shipper - POL)]],'DATA ILN'!B:N,13,FALSE))</f>
        <v>#N/A</v>
      </c>
      <c r="W395" s="79" t="e">
        <f>IFERROR(VLOOKUP(Tableau1[[#This Row],[Key(Compte ILN - shipper - POL - plant)]],'DATA ILN'!A:P,16,FALSE),VLOOKUP(Tableau1[[#This Row],[Key(Compte ILN - shipper - POL)]],'DATA ILN'!B:P,15,FALSE))</f>
        <v>#N/A</v>
      </c>
      <c r="X395" s="100"/>
      <c r="Y395" s="485">
        <f>IFERROR(VLOOKUP(Tableau1[[#This Row],[Name Shipper]],Plant_AILN!L:M,2,FALSE),0)</f>
        <v>0</v>
      </c>
      <c r="Z395" s="369"/>
      <c r="AA395" s="354" t="e">
        <f ca="1">VLOOKUP(Tableau1[[#This Row],[Key(ID-Actif)]],'DATA BTO'!A:N,5,FALSE)</f>
        <v>#N/A</v>
      </c>
      <c r="AB395" s="106" t="e">
        <f ca="1">VLOOKUP(Tableau1[[#This Row],[Key(ID-Actif)]],'DATA BTO'!A:N,6,FALSE)</f>
        <v>#N/A</v>
      </c>
      <c r="AC395" s="79" t="e">
        <f ca="1">VLOOKUP(Tableau1[[#This Row],[Key(ID-Actif)]],'DATA BTO'!A:N,7,FALSE)</f>
        <v>#N/A</v>
      </c>
      <c r="AD395" s="79" t="e">
        <f ca="1">VLOOKUP(Tableau1[[#This Row],[Key(ID-Actif)]],'DATA BTO'!A:N,8,FALSE)</f>
        <v>#N/A</v>
      </c>
      <c r="AE395" s="79" t="e">
        <f ca="1">IF(Tableau1[[#This Row],[First Day to POL]]&lt;=Tableau1[[#This Row],[Day Cut Off]],Tableau1[[#This Row],[Day ETD]],Tableau1[[#This Row],[Day ETD]]+7)</f>
        <v>#N/A</v>
      </c>
      <c r="AF395" s="79" t="e">
        <f ca="1">VLOOKUP(Tableau1[[#This Row],[Key(ID-Actif)]],'DATA BTO'!A:N,9,FALSE)</f>
        <v>#N/A</v>
      </c>
      <c r="AG395" s="106" t="e">
        <f ca="1">VLOOKUP(Tableau1[[#This Row],[Key(ID-Actif)]],'DATA BTO'!A:N,10,FALSE)</f>
        <v>#N/A</v>
      </c>
      <c r="AH395" s="106" t="e">
        <f ca="1">VLOOKUP(Tableau1[[#This Row],[Key(ID-Actif)]],'DATA BTO'!A:N,11,FALSE)</f>
        <v>#N/A</v>
      </c>
      <c r="AI395" s="79" t="e">
        <f ca="1">VLOOKUP(Tableau1[[#This Row],[Key(ID-Actif)]],'DATA BTO'!A:N,12,FALSE)</f>
        <v>#N/A</v>
      </c>
      <c r="AJ395" s="104" t="e">
        <f ca="1">VLOOKUP(Tableau1[[#This Row],[Key(ID-Actif)]],'DATA BTO'!A:N,14,FALSE)</f>
        <v>#N/A</v>
      </c>
      <c r="AK395" s="105" t="e">
        <f ca="1">VLOOKUP(Tableau1[[#This Row],[Key(POD -PFI- Usine)]],'DATA Consignee'!A:F,6,FALSE)</f>
        <v>#N/A</v>
      </c>
      <c r="AL395" s="100"/>
      <c r="AM395" s="486" t="str">
        <f>IF(Tableau1[[#This Row],[Name PFI/CDD]]="","-",VLOOKUP(Tableau1[[#This Row],[Name PFI/CDD]],Plant_AILN!I:J,2,FALSE))</f>
        <v>-</v>
      </c>
      <c r="AN395" s="107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5" s="107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5" s="108" t="e">
        <f ca="1">VLOOKUP(Tableau1[[#This Row],[Key(POD -PFI- Usine)]],'DATA Consignee'!A:J,10,FALSE)</f>
        <v>#N/A</v>
      </c>
      <c r="AQ395" s="79" t="e">
        <f ca="1">VLOOKUP(Tableau1[[#This Row],[Key(POD -PFI- Usine)]],'DATA Consignee'!A:N,14,FALSE)</f>
        <v>#N/A</v>
      </c>
      <c r="AR395" s="102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5" s="105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5" s="79" t="e">
        <f ca="1">Tableau1[[#This Row],[Transit time]]+Tableau1[[#This Row],[Time for security]]+Tableau1[[#This Row],[Time for security2 buffer]]</f>
        <v>#N/A</v>
      </c>
      <c r="AU395" s="79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5" s="79" t="e">
        <f ca="1">Tableau1[[#This Row],[Leadtime SI2C]]+Tableau1[[#This Row],[First Receipt Days]]-Tableau1[[#This Row],[Day Customer Order]]+1</f>
        <v>#N/A</v>
      </c>
      <c r="AW395" s="118" t="e">
        <f ca="1">IF(Tableau1[[#This Row],[Name ILN]]&lt;&gt;"SFK Freight Forwarder",Tableau1[[#This Row],[Cust. Leadtime]],Tableau1[[#This Row],[Leadtime SI2C]])</f>
        <v>#N/A</v>
      </c>
      <c r="AX395" s="74" t="e">
        <f>VLOOKUP(Tableau1[[#This Row],[ID]],'DATA BTO'!B:P,15,FALSE)</f>
        <v>#N/A</v>
      </c>
      <c r="AY395" s="347" t="e">
        <f ca="1">IFERROR(VLOOKUP(Tableau1[[#This Row],[Key(ID-Actif)]],'DATA BTO'!A:N,4,FALSE),VLOOKUP(Tableau1[[#This Row],[ID]],'DATA BTO'!B:N,3,FALSE))</f>
        <v>#N/A</v>
      </c>
      <c r="AZ395" s="79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5" s="79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5" s="79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5" s="79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5" s="102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5" s="79"/>
    </row>
    <row r="396" spans="2:57">
      <c r="B396" s="405" t="str">
        <f>_xlfn.CONCAT(Tableau1[[#This Row],[Name ILN]],"-",Tableau1[[#This Row],[Name Shipper]],"-",Tableau1[[#This Row],[Name Site]])</f>
        <v>--</v>
      </c>
      <c r="C396" s="64" t="e">
        <f>_xlfn.CONCAT(Tableau1[[#This Row],[Compte ILN]],"-",Tableau1[[#This Row],[Compte Shipper]],"-",Tableau1[[#This Row],[POL]],"-",Tableau1[[#This Row],[Compte Consignee]])</f>
        <v>#N/A</v>
      </c>
      <c r="D396" s="64" t="e">
        <f>_xlfn.CONCAT(Tableau1[[#This Row],[Compte ILN]],"-",Tableau1[[#This Row],[Compte Shipper]],"-",Tableau1[[#This Row],[POL]])</f>
        <v>#N/A</v>
      </c>
      <c r="E396" s="128" t="e">
        <f ca="1">_xlfn.CONCAT(Tableau1[[#This Row],[POL]],"-",Tableau1[[#This Row],[Carrier]],"-",Tableau1[[#This Row],[POD]])</f>
        <v>#N/A</v>
      </c>
      <c r="F396" s="64" t="str">
        <f>_xlfn.CONCAT(Tableau1[[#This Row],[ID]],"-","Actif")</f>
        <v>-Actif</v>
      </c>
      <c r="G396" s="64" t="e">
        <f ca="1">_xlfn.CONCAT(Tableau1[[#This Row],[POD]],"-",Tableau1[[#This Row],[Code PFI]],"-",Tableau1[[#This Row],[Compte Consignee]])</f>
        <v>#N/A</v>
      </c>
      <c r="H396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6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6" s="117" t="str">
        <f ca="1">IF(COUNTIF(I:I,Tableau1[[#This Row],[Plant-ILN-shipper-POL-Carrier-POD-PFI]])=1,"Non","Oui")</f>
        <v>Oui</v>
      </c>
      <c r="K396" s="126" t="e">
        <f>VLOOKUP(Tableau1[[#This Row],[Name Site]],Plant_AILN!A:D,4,FALSE)</f>
        <v>#N/A</v>
      </c>
      <c r="L396" s="363"/>
      <c r="M396" s="492" t="e">
        <f>VLOOKUP(Tableau1[[#This Row],[Name Site]],Plant_AILN!A:C,3,FALSE)</f>
        <v>#N/A</v>
      </c>
      <c r="N396" s="55" t="e">
        <f>VLOOKUP(Tableau1[[#This Row],[Compte Consignee]],Order!C:D,2,FALSE)</f>
        <v>#N/A</v>
      </c>
      <c r="O396" s="122"/>
      <c r="P396" s="481" t="e">
        <f>VLOOKUP(Tableau1[[#This Row],[Name ILN]],Plant_AILN!F:G,2,FALSE)</f>
        <v>#N/A</v>
      </c>
      <c r="Q396" s="50" t="e">
        <f>VLOOKUP(Tableau1[[#This Row],[Compte ILN]],'DATA ILN'!D:I,6,FALSE)</f>
        <v>#N/A</v>
      </c>
      <c r="R396" s="50" t="e">
        <f>IFERROR(VLOOKUP(Tableau1[[#This Row],[Key(Compte ILN - shipper - POL - plant)]],'DATA ILN'!A:J,10,FALSE),VLOOKUP(Tableau1[[#This Row],[Key(Compte ILN - shipper - POL)]],'DATA ILN'!B:J,9,FALSE))</f>
        <v>#N/A</v>
      </c>
      <c r="S396" s="50" t="e">
        <f>IFERROR(VLOOKUP(Tableau1[[#This Row],[Key(Compte ILN - shipper - POL - plant)]],'DATA ILN'!A:K,11,FALSE),VLOOKUP(Tableau1[[#This Row],[Key(Compte ILN - shipper - POL)]],'DATA ILN'!B:K,10,FALSE))</f>
        <v>#N/A</v>
      </c>
      <c r="T396" s="50" t="e">
        <f>IFERROR(VLOOKUP(Tableau1[[#This Row],[Key(Compte ILN - shipper - POL - plant)]],'DATA ILN'!A:L,12,FALSE),VLOOKUP(Tableau1[[#This Row],[Key(Compte ILN - shipper - POL)]],'DATA ILN'!B:L,11,FALSE))</f>
        <v>#N/A</v>
      </c>
      <c r="U396" s="50" t="e">
        <f>Tableau1[[#This Row],[Day ILN Order]]+Tableau1[[#This Row],[Delivery time to ILN/Shipper]]-1</f>
        <v>#N/A</v>
      </c>
      <c r="V396" s="50" t="e">
        <f>IFERROR(VLOOKUP(Tableau1[[#This Row],[Key(Compte ILN - shipper - POL - plant)]],'DATA ILN'!A:N,14,FALSE),VLOOKUP(Tableau1[[#This Row],[Key(Compte ILN - shipper - POL)]],'DATA ILN'!B:N,13,FALSE))</f>
        <v>#N/A</v>
      </c>
      <c r="W396" s="50" t="e">
        <f>IFERROR(VLOOKUP(Tableau1[[#This Row],[Key(Compte ILN - shipper - POL - plant)]],'DATA ILN'!A:P,16,FALSE),VLOOKUP(Tableau1[[#This Row],[Key(Compte ILN - shipper - POL)]],'DATA ILN'!B:P,15,FALSE))</f>
        <v>#N/A</v>
      </c>
      <c r="X396" s="283"/>
      <c r="Y396" s="489">
        <f>IFERROR(VLOOKUP(Tableau1[[#This Row],[Name Shipper]],Plant_AILN!L:M,2,FALSE),0)</f>
        <v>0</v>
      </c>
      <c r="Z396" s="358"/>
      <c r="AA396" s="353" t="e">
        <f ca="1">VLOOKUP(Tableau1[[#This Row],[Key(ID-Actif)]],'DATA BTO'!A:N,5,FALSE)</f>
        <v>#N/A</v>
      </c>
      <c r="AB396" s="3" t="e">
        <f ca="1">VLOOKUP(Tableau1[[#This Row],[Key(ID-Actif)]],'DATA BTO'!A:N,6,FALSE)</f>
        <v>#N/A</v>
      </c>
      <c r="AC396" s="50" t="e">
        <f ca="1">VLOOKUP(Tableau1[[#This Row],[Key(ID-Actif)]],'DATA BTO'!A:N,7,FALSE)</f>
        <v>#N/A</v>
      </c>
      <c r="AD396" s="50" t="e">
        <f ca="1">VLOOKUP(Tableau1[[#This Row],[Key(ID-Actif)]],'DATA BTO'!A:N,8,FALSE)</f>
        <v>#N/A</v>
      </c>
      <c r="AE396" s="79" t="e">
        <f ca="1">IF(Tableau1[[#This Row],[First Day to POL]]&lt;=Tableau1[[#This Row],[Day Cut Off]],Tableau1[[#This Row],[Day ETD]],Tableau1[[#This Row],[Day ETD]]+7)</f>
        <v>#N/A</v>
      </c>
      <c r="AF396" s="50" t="e">
        <f ca="1">VLOOKUP(Tableau1[[#This Row],[Key(ID-Actif)]],'DATA BTO'!A:N,9,FALSE)</f>
        <v>#N/A</v>
      </c>
      <c r="AG396" s="3" t="e">
        <f ca="1">VLOOKUP(Tableau1[[#This Row],[Key(ID-Actif)]],'DATA BTO'!A:N,10,FALSE)</f>
        <v>#N/A</v>
      </c>
      <c r="AH396" s="3" t="e">
        <f ca="1">VLOOKUP(Tableau1[[#This Row],[Key(ID-Actif)]],'DATA BTO'!A:N,11,FALSE)</f>
        <v>#N/A</v>
      </c>
      <c r="AI396" s="50" t="e">
        <f ca="1">VLOOKUP(Tableau1[[#This Row],[Key(ID-Actif)]],'DATA BTO'!A:N,12,FALSE)</f>
        <v>#N/A</v>
      </c>
      <c r="AJ396" s="53" t="e">
        <f ca="1">VLOOKUP(Tableau1[[#This Row],[Key(ID-Actif)]],'DATA BTO'!A:N,14,FALSE)</f>
        <v>#N/A</v>
      </c>
      <c r="AK396" s="54" t="e">
        <f ca="1">VLOOKUP(Tableau1[[#This Row],[Key(POD -PFI- Usine)]],'DATA Consignee'!A:F,6,FALSE)</f>
        <v>#N/A</v>
      </c>
      <c r="AL396" s="283"/>
      <c r="AM396" s="490" t="str">
        <f>IF(Tableau1[[#This Row],[Name PFI/CDD]]="","-",VLOOKUP(Tableau1[[#This Row],[Name PFI/CDD]],Plant_AILN!I:J,2,FALSE))</f>
        <v>-</v>
      </c>
      <c r="AN396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6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6" s="2" t="e">
        <f ca="1">VLOOKUP(Tableau1[[#This Row],[Key(POD -PFI- Usine)]],'DATA Consignee'!A:J,10,FALSE)</f>
        <v>#N/A</v>
      </c>
      <c r="AQ396" s="50" t="e">
        <f ca="1">VLOOKUP(Tableau1[[#This Row],[Key(POD -PFI- Usine)]],'DATA Consignee'!A:N,14,FALSE)</f>
        <v>#N/A</v>
      </c>
      <c r="AR396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6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6" s="50" t="e">
        <f ca="1">Tableau1[[#This Row],[Transit time]]+Tableau1[[#This Row],[Time for security]]+Tableau1[[#This Row],[Time for security2 buffer]]</f>
        <v>#N/A</v>
      </c>
      <c r="AU396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6" s="50" t="e">
        <f ca="1">Tableau1[[#This Row],[Leadtime SI2C]]+Tableau1[[#This Row],[First Receipt Days]]-Tableau1[[#This Row],[Day Customer Order]]+1</f>
        <v>#N/A</v>
      </c>
      <c r="AW396" s="117" t="e">
        <f ca="1">IF(Tableau1[[#This Row],[Name ILN]]&lt;&gt;"SFK Freight Forwarder",Tableau1[[#This Row],[Cust. Leadtime]],Tableau1[[#This Row],[Leadtime SI2C]])</f>
        <v>#N/A</v>
      </c>
      <c r="AX396" s="57" t="e">
        <f>VLOOKUP(Tableau1[[#This Row],[ID]],'DATA BTO'!B:P,15,FALSE)</f>
        <v>#N/A</v>
      </c>
      <c r="AY396" s="328" t="e">
        <f ca="1">IFERROR(VLOOKUP(Tableau1[[#This Row],[Key(ID-Actif)]],'DATA BTO'!A:N,4,FALSE),VLOOKUP(Tableau1[[#This Row],[ID]],'DATA BTO'!B:N,3,FALSE))</f>
        <v>#N/A</v>
      </c>
      <c r="AZ396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6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6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6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6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6" s="50"/>
    </row>
    <row r="397" spans="2:57">
      <c r="B397" s="405" t="str">
        <f>_xlfn.CONCAT(Tableau1[[#This Row],[Name ILN]],"-",Tableau1[[#This Row],[Name Shipper]],"-",Tableau1[[#This Row],[Name Site]])</f>
        <v>--</v>
      </c>
      <c r="C397" s="64" t="e">
        <f>_xlfn.CONCAT(Tableau1[[#This Row],[Compte ILN]],"-",Tableau1[[#This Row],[Compte Shipper]],"-",Tableau1[[#This Row],[POL]],"-",Tableau1[[#This Row],[Compte Consignee]])</f>
        <v>#N/A</v>
      </c>
      <c r="D397" s="64" t="e">
        <f>_xlfn.CONCAT(Tableau1[[#This Row],[Compte ILN]],"-",Tableau1[[#This Row],[Compte Shipper]],"-",Tableau1[[#This Row],[POL]])</f>
        <v>#N/A</v>
      </c>
      <c r="E397" s="128" t="e">
        <f ca="1">_xlfn.CONCAT(Tableau1[[#This Row],[POL]],"-",Tableau1[[#This Row],[Carrier]],"-",Tableau1[[#This Row],[POD]])</f>
        <v>#N/A</v>
      </c>
      <c r="F397" s="64" t="str">
        <f>_xlfn.CONCAT(Tableau1[[#This Row],[ID]],"-","Actif")</f>
        <v>-Actif</v>
      </c>
      <c r="G397" s="64" t="e">
        <f ca="1">_xlfn.CONCAT(Tableau1[[#This Row],[POD]],"-",Tableau1[[#This Row],[Code PFI]],"-",Tableau1[[#This Row],[Compte Consignee]])</f>
        <v>#N/A</v>
      </c>
      <c r="H397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7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7" s="117" t="str">
        <f ca="1">IF(COUNTIF(I:I,Tableau1[[#This Row],[Plant-ILN-shipper-POL-Carrier-POD-PFI]])=1,"Non","Oui")</f>
        <v>Oui</v>
      </c>
      <c r="K397" s="126" t="e">
        <f>VLOOKUP(Tableau1[[#This Row],[Name Site]],Plant_AILN!A:D,4,FALSE)</f>
        <v>#N/A</v>
      </c>
      <c r="L397" s="363"/>
      <c r="M397" s="492" t="e">
        <f>VLOOKUP(Tableau1[[#This Row],[Name Site]],Plant_AILN!A:C,3,FALSE)</f>
        <v>#N/A</v>
      </c>
      <c r="N397" s="55" t="e">
        <f>VLOOKUP(Tableau1[[#This Row],[Compte Consignee]],Order!C:D,2,FALSE)</f>
        <v>#N/A</v>
      </c>
      <c r="O397" s="283"/>
      <c r="P397" s="481" t="e">
        <f>VLOOKUP(Tableau1[[#This Row],[Name ILN]],Plant_AILN!F:G,2,FALSE)</f>
        <v>#N/A</v>
      </c>
      <c r="Q397" s="50" t="e">
        <f>VLOOKUP(Tableau1[[#This Row],[Compte ILN]],'DATA ILN'!D:I,6,FALSE)</f>
        <v>#N/A</v>
      </c>
      <c r="R397" s="50" t="e">
        <f>IFERROR(VLOOKUP(Tableau1[[#This Row],[Key(Compte ILN - shipper - POL - plant)]],'DATA ILN'!A:J,10,FALSE),VLOOKUP(Tableau1[[#This Row],[Key(Compte ILN - shipper - POL)]],'DATA ILN'!B:J,9,FALSE))</f>
        <v>#N/A</v>
      </c>
      <c r="S397" s="50" t="e">
        <f>IFERROR(VLOOKUP(Tableau1[[#This Row],[Key(Compte ILN - shipper - POL - plant)]],'DATA ILN'!A:K,11,FALSE),VLOOKUP(Tableau1[[#This Row],[Key(Compte ILN - shipper - POL)]],'DATA ILN'!B:K,10,FALSE))</f>
        <v>#N/A</v>
      </c>
      <c r="T397" s="50" t="e">
        <f>IFERROR(VLOOKUP(Tableau1[[#This Row],[Key(Compte ILN - shipper - POL - plant)]],'DATA ILN'!A:L,12,FALSE),VLOOKUP(Tableau1[[#This Row],[Key(Compte ILN - shipper - POL)]],'DATA ILN'!B:L,11,FALSE))</f>
        <v>#N/A</v>
      </c>
      <c r="U397" s="50" t="e">
        <f>Tableau1[[#This Row],[Day ILN Order]]+Tableau1[[#This Row],[Delivery time to ILN/Shipper]]-1</f>
        <v>#N/A</v>
      </c>
      <c r="V397" s="50" t="e">
        <f>IFERROR(VLOOKUP(Tableau1[[#This Row],[Key(Compte ILN - shipper - POL - plant)]],'DATA ILN'!A:N,14,FALSE),VLOOKUP(Tableau1[[#This Row],[Key(Compte ILN - shipper - POL)]],'DATA ILN'!B:N,13,FALSE))</f>
        <v>#N/A</v>
      </c>
      <c r="W397" s="50" t="e">
        <f>IFERROR(VLOOKUP(Tableau1[[#This Row],[Key(Compte ILN - shipper - POL - plant)]],'DATA ILN'!A:P,16,FALSE),VLOOKUP(Tableau1[[#This Row],[Key(Compte ILN - shipper - POL)]],'DATA ILN'!B:P,15,FALSE))</f>
        <v>#N/A</v>
      </c>
      <c r="X397" s="283"/>
      <c r="Y397" s="489">
        <f>IFERROR(VLOOKUP(Tableau1[[#This Row],[Name Shipper]],Plant_AILN!L:M,2,FALSE),0)</f>
        <v>0</v>
      </c>
      <c r="Z397" s="358"/>
      <c r="AA397" s="353" t="e">
        <f ca="1">VLOOKUP(Tableau1[[#This Row],[Key(ID-Actif)]],'DATA BTO'!A:N,5,FALSE)</f>
        <v>#N/A</v>
      </c>
      <c r="AB397" s="3" t="e">
        <f ca="1">VLOOKUP(Tableau1[[#This Row],[Key(ID-Actif)]],'DATA BTO'!A:N,6,FALSE)</f>
        <v>#N/A</v>
      </c>
      <c r="AC397" s="50" t="e">
        <f ca="1">VLOOKUP(Tableau1[[#This Row],[Key(ID-Actif)]],'DATA BTO'!A:N,7,FALSE)</f>
        <v>#N/A</v>
      </c>
      <c r="AD397" s="50" t="e">
        <f ca="1">VLOOKUP(Tableau1[[#This Row],[Key(ID-Actif)]],'DATA BTO'!A:N,8,FALSE)</f>
        <v>#N/A</v>
      </c>
      <c r="AE397" s="79" t="e">
        <f ca="1">IF(Tableau1[[#This Row],[First Day to POL]]&lt;=Tableau1[[#This Row],[Day Cut Off]],Tableau1[[#This Row],[Day ETD]],Tableau1[[#This Row],[Day ETD]]+7)</f>
        <v>#N/A</v>
      </c>
      <c r="AF397" s="50" t="e">
        <f ca="1">VLOOKUP(Tableau1[[#This Row],[Key(ID-Actif)]],'DATA BTO'!A:N,9,FALSE)</f>
        <v>#N/A</v>
      </c>
      <c r="AG397" s="3" t="e">
        <f ca="1">VLOOKUP(Tableau1[[#This Row],[Key(ID-Actif)]],'DATA BTO'!A:N,10,FALSE)</f>
        <v>#N/A</v>
      </c>
      <c r="AH397" s="3" t="e">
        <f ca="1">VLOOKUP(Tableau1[[#This Row],[Key(ID-Actif)]],'DATA BTO'!A:N,11,FALSE)</f>
        <v>#N/A</v>
      </c>
      <c r="AI397" s="50" t="e">
        <f ca="1">VLOOKUP(Tableau1[[#This Row],[Key(ID-Actif)]],'DATA BTO'!A:N,12,FALSE)</f>
        <v>#N/A</v>
      </c>
      <c r="AJ397" s="53" t="e">
        <f ca="1">VLOOKUP(Tableau1[[#This Row],[Key(ID-Actif)]],'DATA BTO'!A:N,14,FALSE)</f>
        <v>#N/A</v>
      </c>
      <c r="AK397" s="54" t="e">
        <f ca="1">VLOOKUP(Tableau1[[#This Row],[Key(POD -PFI- Usine)]],'DATA Consignee'!A:F,6,FALSE)</f>
        <v>#N/A</v>
      </c>
      <c r="AL397" s="283"/>
      <c r="AM397" s="490" t="str">
        <f>IF(Tableau1[[#This Row],[Name PFI/CDD]]="","-",VLOOKUP(Tableau1[[#This Row],[Name PFI/CDD]],Plant_AILN!I:J,2,FALSE))</f>
        <v>-</v>
      </c>
      <c r="AN397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7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7" s="2" t="e">
        <f ca="1">VLOOKUP(Tableau1[[#This Row],[Key(POD -PFI- Usine)]],'DATA Consignee'!A:J,10,FALSE)</f>
        <v>#N/A</v>
      </c>
      <c r="AQ397" s="50" t="e">
        <f ca="1">VLOOKUP(Tableau1[[#This Row],[Key(POD -PFI- Usine)]],'DATA Consignee'!A:N,14,FALSE)</f>
        <v>#N/A</v>
      </c>
      <c r="AR397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7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7" s="50" t="e">
        <f ca="1">Tableau1[[#This Row],[Transit time]]+Tableau1[[#This Row],[Time for security]]+Tableau1[[#This Row],[Time for security2 buffer]]</f>
        <v>#N/A</v>
      </c>
      <c r="AU397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7" s="50" t="e">
        <f ca="1">Tableau1[[#This Row],[Leadtime SI2C]]+Tableau1[[#This Row],[First Receipt Days]]-Tableau1[[#This Row],[Day Customer Order]]+1</f>
        <v>#N/A</v>
      </c>
      <c r="AW397" s="117" t="e">
        <f ca="1">IF(Tableau1[[#This Row],[Name ILN]]&lt;&gt;"SFK Freight Forwarder",Tableau1[[#This Row],[Cust. Leadtime]],Tableau1[[#This Row],[Leadtime SI2C]])</f>
        <v>#N/A</v>
      </c>
      <c r="AX397" s="57" t="e">
        <f>VLOOKUP(Tableau1[[#This Row],[ID]],'DATA BTO'!B:P,15,FALSE)</f>
        <v>#N/A</v>
      </c>
      <c r="AY397" s="328" t="e">
        <f ca="1">IFERROR(VLOOKUP(Tableau1[[#This Row],[Key(ID-Actif)]],'DATA BTO'!A:N,4,FALSE),VLOOKUP(Tableau1[[#This Row],[ID]],'DATA BTO'!B:N,3,FALSE))</f>
        <v>#N/A</v>
      </c>
      <c r="AZ397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7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7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7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7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7" s="50"/>
    </row>
    <row r="398" spans="2:57">
      <c r="B398" s="405" t="str">
        <f>_xlfn.CONCAT(Tableau1[[#This Row],[Name ILN]],"-",Tableau1[[#This Row],[Name Shipper]],"-",Tableau1[[#This Row],[Name Site]])</f>
        <v>--</v>
      </c>
      <c r="C398" s="64" t="e">
        <f>_xlfn.CONCAT(Tableau1[[#This Row],[Compte ILN]],"-",Tableau1[[#This Row],[Compte Shipper]],"-",Tableau1[[#This Row],[POL]],"-",Tableau1[[#This Row],[Compte Consignee]])</f>
        <v>#N/A</v>
      </c>
      <c r="D398" s="64" t="e">
        <f>_xlfn.CONCAT(Tableau1[[#This Row],[Compte ILN]],"-",Tableau1[[#This Row],[Compte Shipper]],"-",Tableau1[[#This Row],[POL]])</f>
        <v>#N/A</v>
      </c>
      <c r="E398" s="128" t="e">
        <f ca="1">_xlfn.CONCAT(Tableau1[[#This Row],[POL]],"-",Tableau1[[#This Row],[Carrier]],"-",Tableau1[[#This Row],[POD]])</f>
        <v>#N/A</v>
      </c>
      <c r="F398" s="64" t="str">
        <f>_xlfn.CONCAT(Tableau1[[#This Row],[ID]],"-","Actif")</f>
        <v>-Actif</v>
      </c>
      <c r="G398" s="64" t="e">
        <f ca="1">_xlfn.CONCAT(Tableau1[[#This Row],[POD]],"-",Tableau1[[#This Row],[Code PFI]],"-",Tableau1[[#This Row],[Compte Consignee]])</f>
        <v>#N/A</v>
      </c>
      <c r="H398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8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8" s="117" t="str">
        <f ca="1">IF(COUNTIF(I:I,Tableau1[[#This Row],[Plant-ILN-shipper-POL-Carrier-POD-PFI]])=1,"Non","Oui")</f>
        <v>Oui</v>
      </c>
      <c r="K398" s="126" t="e">
        <f>VLOOKUP(Tableau1[[#This Row],[Name Site]],Plant_AILN!A:D,4,FALSE)</f>
        <v>#N/A</v>
      </c>
      <c r="L398" s="363"/>
      <c r="M398" s="492" t="e">
        <f>VLOOKUP(Tableau1[[#This Row],[Name Site]],Plant_AILN!A:C,3,FALSE)</f>
        <v>#N/A</v>
      </c>
      <c r="N398" s="55" t="e">
        <f>VLOOKUP(Tableau1[[#This Row],[Compte Consignee]],Order!C:D,2,FALSE)</f>
        <v>#N/A</v>
      </c>
      <c r="O398" s="122"/>
      <c r="P398" s="481" t="e">
        <f>VLOOKUP(Tableau1[[#This Row],[Name ILN]],Plant_AILN!F:G,2,FALSE)</f>
        <v>#N/A</v>
      </c>
      <c r="Q398" s="50" t="e">
        <f>VLOOKUP(Tableau1[[#This Row],[Compte ILN]],'DATA ILN'!D:I,6,FALSE)</f>
        <v>#N/A</v>
      </c>
      <c r="R398" s="50" t="e">
        <f>IFERROR(VLOOKUP(Tableau1[[#This Row],[Key(Compte ILN - shipper - POL - plant)]],'DATA ILN'!A:J,10,FALSE),VLOOKUP(Tableau1[[#This Row],[Key(Compte ILN - shipper - POL)]],'DATA ILN'!B:J,9,FALSE))</f>
        <v>#N/A</v>
      </c>
      <c r="S398" s="50" t="e">
        <f>IFERROR(VLOOKUP(Tableau1[[#This Row],[Key(Compte ILN - shipper - POL - plant)]],'DATA ILN'!A:K,11,FALSE),VLOOKUP(Tableau1[[#This Row],[Key(Compte ILN - shipper - POL)]],'DATA ILN'!B:K,10,FALSE))</f>
        <v>#N/A</v>
      </c>
      <c r="T398" s="50" t="e">
        <f>IFERROR(VLOOKUP(Tableau1[[#This Row],[Key(Compte ILN - shipper - POL - plant)]],'DATA ILN'!A:L,12,FALSE),VLOOKUP(Tableau1[[#This Row],[Key(Compte ILN - shipper - POL)]],'DATA ILN'!B:L,11,FALSE))</f>
        <v>#N/A</v>
      </c>
      <c r="U398" s="50" t="e">
        <f>Tableau1[[#This Row],[Day ILN Order]]+Tableau1[[#This Row],[Delivery time to ILN/Shipper]]-1</f>
        <v>#N/A</v>
      </c>
      <c r="V398" s="50" t="e">
        <f>IFERROR(VLOOKUP(Tableau1[[#This Row],[Key(Compte ILN - shipper - POL - plant)]],'DATA ILN'!A:N,14,FALSE),VLOOKUP(Tableau1[[#This Row],[Key(Compte ILN - shipper - POL)]],'DATA ILN'!B:N,13,FALSE))</f>
        <v>#N/A</v>
      </c>
      <c r="W398" s="50" t="e">
        <f>IFERROR(VLOOKUP(Tableau1[[#This Row],[Key(Compte ILN - shipper - POL - plant)]],'DATA ILN'!A:P,16,FALSE),VLOOKUP(Tableau1[[#This Row],[Key(Compte ILN - shipper - POL)]],'DATA ILN'!B:P,15,FALSE))</f>
        <v>#N/A</v>
      </c>
      <c r="X398" s="283"/>
      <c r="Y398" s="489">
        <f>IFERROR(VLOOKUP(Tableau1[[#This Row],[Name Shipper]],Plant_AILN!L:M,2,FALSE),0)</f>
        <v>0</v>
      </c>
      <c r="Z398" s="358"/>
      <c r="AA398" s="353" t="e">
        <f ca="1">VLOOKUP(Tableau1[[#This Row],[Key(ID-Actif)]],'DATA BTO'!A:N,5,FALSE)</f>
        <v>#N/A</v>
      </c>
      <c r="AB398" s="3" t="e">
        <f ca="1">VLOOKUP(Tableau1[[#This Row],[Key(ID-Actif)]],'DATA BTO'!A:N,6,FALSE)</f>
        <v>#N/A</v>
      </c>
      <c r="AC398" s="50" t="e">
        <f ca="1">VLOOKUP(Tableau1[[#This Row],[Key(ID-Actif)]],'DATA BTO'!A:N,7,FALSE)</f>
        <v>#N/A</v>
      </c>
      <c r="AD398" s="50" t="e">
        <f ca="1">VLOOKUP(Tableau1[[#This Row],[Key(ID-Actif)]],'DATA BTO'!A:N,8,FALSE)</f>
        <v>#N/A</v>
      </c>
      <c r="AE398" s="79" t="e">
        <f ca="1">IF(Tableau1[[#This Row],[First Day to POL]]&lt;=Tableau1[[#This Row],[Day Cut Off]],Tableau1[[#This Row],[Day ETD]],Tableau1[[#This Row],[Day ETD]]+7)</f>
        <v>#N/A</v>
      </c>
      <c r="AF398" s="50" t="e">
        <f ca="1">VLOOKUP(Tableau1[[#This Row],[Key(ID-Actif)]],'DATA BTO'!A:N,9,FALSE)</f>
        <v>#N/A</v>
      </c>
      <c r="AG398" s="3" t="e">
        <f ca="1">VLOOKUP(Tableau1[[#This Row],[Key(ID-Actif)]],'DATA BTO'!A:N,10,FALSE)</f>
        <v>#N/A</v>
      </c>
      <c r="AH398" s="3" t="e">
        <f ca="1">VLOOKUP(Tableau1[[#This Row],[Key(ID-Actif)]],'DATA BTO'!A:N,11,FALSE)</f>
        <v>#N/A</v>
      </c>
      <c r="AI398" s="50" t="e">
        <f ca="1">VLOOKUP(Tableau1[[#This Row],[Key(ID-Actif)]],'DATA BTO'!A:N,12,FALSE)</f>
        <v>#N/A</v>
      </c>
      <c r="AJ398" s="53" t="e">
        <f ca="1">VLOOKUP(Tableau1[[#This Row],[Key(ID-Actif)]],'DATA BTO'!A:N,14,FALSE)</f>
        <v>#N/A</v>
      </c>
      <c r="AK398" s="54" t="e">
        <f ca="1">VLOOKUP(Tableau1[[#This Row],[Key(POD -PFI- Usine)]],'DATA Consignee'!A:F,6,FALSE)</f>
        <v>#N/A</v>
      </c>
      <c r="AL398" s="283"/>
      <c r="AM398" s="490" t="str">
        <f>IF(Tableau1[[#This Row],[Name PFI/CDD]]="","-",VLOOKUP(Tableau1[[#This Row],[Name PFI/CDD]],Plant_AILN!I:J,2,FALSE))</f>
        <v>-</v>
      </c>
      <c r="AN398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8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8" s="2" t="e">
        <f ca="1">VLOOKUP(Tableau1[[#This Row],[Key(POD -PFI- Usine)]],'DATA Consignee'!A:J,10,FALSE)</f>
        <v>#N/A</v>
      </c>
      <c r="AQ398" s="50" t="e">
        <f ca="1">VLOOKUP(Tableau1[[#This Row],[Key(POD -PFI- Usine)]],'DATA Consignee'!A:N,14,FALSE)</f>
        <v>#N/A</v>
      </c>
      <c r="AR398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8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8" s="50" t="e">
        <f ca="1">Tableau1[[#This Row],[Transit time]]+Tableau1[[#This Row],[Time for security]]+Tableau1[[#This Row],[Time for security2 buffer]]</f>
        <v>#N/A</v>
      </c>
      <c r="AU398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8" s="50" t="e">
        <f ca="1">Tableau1[[#This Row],[Leadtime SI2C]]+Tableau1[[#This Row],[First Receipt Days]]-Tableau1[[#This Row],[Day Customer Order]]+1</f>
        <v>#N/A</v>
      </c>
      <c r="AW398" s="117" t="e">
        <f ca="1">IF(Tableau1[[#This Row],[Name ILN]]&lt;&gt;"SFK Freight Forwarder",Tableau1[[#This Row],[Cust. Leadtime]],Tableau1[[#This Row],[Leadtime SI2C]])</f>
        <v>#N/A</v>
      </c>
      <c r="AX398" s="57" t="e">
        <f>VLOOKUP(Tableau1[[#This Row],[ID]],'DATA BTO'!B:P,15,FALSE)</f>
        <v>#N/A</v>
      </c>
      <c r="AY398" s="328" t="e">
        <f ca="1">IFERROR(VLOOKUP(Tableau1[[#This Row],[Key(ID-Actif)]],'DATA BTO'!A:N,4,FALSE),VLOOKUP(Tableau1[[#This Row],[ID]],'DATA BTO'!B:N,3,FALSE))</f>
        <v>#N/A</v>
      </c>
      <c r="AZ398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8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8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8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8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8" s="50"/>
    </row>
    <row r="399" spans="2:57">
      <c r="B399" s="405" t="str">
        <f>_xlfn.CONCAT(Tableau1[[#This Row],[Name ILN]],"-",Tableau1[[#This Row],[Name Shipper]],"-",Tableau1[[#This Row],[Name Site]])</f>
        <v>--</v>
      </c>
      <c r="C399" s="64" t="e">
        <f>_xlfn.CONCAT(Tableau1[[#This Row],[Compte ILN]],"-",Tableau1[[#This Row],[Compte Shipper]],"-",Tableau1[[#This Row],[POL]],"-",Tableau1[[#This Row],[Compte Consignee]])</f>
        <v>#N/A</v>
      </c>
      <c r="D399" s="64" t="e">
        <f>_xlfn.CONCAT(Tableau1[[#This Row],[Compte ILN]],"-",Tableau1[[#This Row],[Compte Shipper]],"-",Tableau1[[#This Row],[POL]])</f>
        <v>#N/A</v>
      </c>
      <c r="E399" s="128" t="e">
        <f ca="1">_xlfn.CONCAT(Tableau1[[#This Row],[POL]],"-",Tableau1[[#This Row],[Carrier]],"-",Tableau1[[#This Row],[POD]])</f>
        <v>#N/A</v>
      </c>
      <c r="F399" s="64" t="str">
        <f>_xlfn.CONCAT(Tableau1[[#This Row],[ID]],"-","Actif")</f>
        <v>-Actif</v>
      </c>
      <c r="G399" s="64" t="e">
        <f ca="1">_xlfn.CONCAT(Tableau1[[#This Row],[POD]],"-",Tableau1[[#This Row],[Code PFI]],"-",Tableau1[[#This Row],[Compte Consignee]])</f>
        <v>#N/A</v>
      </c>
      <c r="H399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399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399" s="117" t="str">
        <f ca="1">IF(COUNTIF(I:I,Tableau1[[#This Row],[Plant-ILN-shipper-POL-Carrier-POD-PFI]])=1,"Non","Oui")</f>
        <v>Oui</v>
      </c>
      <c r="K399" s="126" t="e">
        <f>VLOOKUP(Tableau1[[#This Row],[Name Site]],Plant_AILN!A:D,4,FALSE)</f>
        <v>#N/A</v>
      </c>
      <c r="L399" s="363"/>
      <c r="M399" s="492" t="e">
        <f>VLOOKUP(Tableau1[[#This Row],[Name Site]],Plant_AILN!A:C,3,FALSE)</f>
        <v>#N/A</v>
      </c>
      <c r="N399" s="55" t="e">
        <f>VLOOKUP(Tableau1[[#This Row],[Compte Consignee]],Order!C:D,2,FALSE)</f>
        <v>#N/A</v>
      </c>
      <c r="O399" s="122"/>
      <c r="P399" s="481" t="e">
        <f>VLOOKUP(Tableau1[[#This Row],[Name ILN]],Plant_AILN!F:G,2,FALSE)</f>
        <v>#N/A</v>
      </c>
      <c r="Q399" s="50" t="e">
        <f>VLOOKUP(Tableau1[[#This Row],[Compte ILN]],'DATA ILN'!D:I,6,FALSE)</f>
        <v>#N/A</v>
      </c>
      <c r="R399" s="50" t="e">
        <f>IFERROR(VLOOKUP(Tableau1[[#This Row],[Key(Compte ILN - shipper - POL - plant)]],'DATA ILN'!A:J,10,FALSE),VLOOKUP(Tableau1[[#This Row],[Key(Compte ILN - shipper - POL)]],'DATA ILN'!B:J,9,FALSE))</f>
        <v>#N/A</v>
      </c>
      <c r="S399" s="50" t="e">
        <f>IFERROR(VLOOKUP(Tableau1[[#This Row],[Key(Compte ILN - shipper - POL - plant)]],'DATA ILN'!A:K,11,FALSE),VLOOKUP(Tableau1[[#This Row],[Key(Compte ILN - shipper - POL)]],'DATA ILN'!B:K,10,FALSE))</f>
        <v>#N/A</v>
      </c>
      <c r="T399" s="50" t="e">
        <f>IFERROR(VLOOKUP(Tableau1[[#This Row],[Key(Compte ILN - shipper - POL - plant)]],'DATA ILN'!A:L,12,FALSE),VLOOKUP(Tableau1[[#This Row],[Key(Compte ILN - shipper - POL)]],'DATA ILN'!B:L,11,FALSE))</f>
        <v>#N/A</v>
      </c>
      <c r="U399" s="50" t="e">
        <f>Tableau1[[#This Row],[Day ILN Order]]+Tableau1[[#This Row],[Delivery time to ILN/Shipper]]-1</f>
        <v>#N/A</v>
      </c>
      <c r="V399" s="50" t="e">
        <f>IFERROR(VLOOKUP(Tableau1[[#This Row],[Key(Compte ILN - shipper - POL - plant)]],'DATA ILN'!A:N,14,FALSE),VLOOKUP(Tableau1[[#This Row],[Key(Compte ILN - shipper - POL)]],'DATA ILN'!B:N,13,FALSE))</f>
        <v>#N/A</v>
      </c>
      <c r="W399" s="50" t="e">
        <f>IFERROR(VLOOKUP(Tableau1[[#This Row],[Key(Compte ILN - shipper - POL - plant)]],'DATA ILN'!A:P,16,FALSE),VLOOKUP(Tableau1[[#This Row],[Key(Compte ILN - shipper - POL)]],'DATA ILN'!B:P,15,FALSE))</f>
        <v>#N/A</v>
      </c>
      <c r="X399" s="283"/>
      <c r="Y399" s="489">
        <f>IFERROR(VLOOKUP(Tableau1[[#This Row],[Name Shipper]],Plant_AILN!L:M,2,FALSE),0)</f>
        <v>0</v>
      </c>
      <c r="Z399" s="358"/>
      <c r="AA399" s="353" t="e">
        <f ca="1">VLOOKUP(Tableau1[[#This Row],[Key(ID-Actif)]],'DATA BTO'!A:N,5,FALSE)</f>
        <v>#N/A</v>
      </c>
      <c r="AB399" s="3" t="e">
        <f ca="1">VLOOKUP(Tableau1[[#This Row],[Key(ID-Actif)]],'DATA BTO'!A:N,6,FALSE)</f>
        <v>#N/A</v>
      </c>
      <c r="AC399" s="50" t="e">
        <f ca="1">VLOOKUP(Tableau1[[#This Row],[Key(ID-Actif)]],'DATA BTO'!A:N,7,FALSE)</f>
        <v>#N/A</v>
      </c>
      <c r="AD399" s="50" t="e">
        <f ca="1">VLOOKUP(Tableau1[[#This Row],[Key(ID-Actif)]],'DATA BTO'!A:N,8,FALSE)</f>
        <v>#N/A</v>
      </c>
      <c r="AE399" s="79" t="e">
        <f ca="1">IF(Tableau1[[#This Row],[First Day to POL]]&lt;=Tableau1[[#This Row],[Day Cut Off]],Tableau1[[#This Row],[Day ETD]],Tableau1[[#This Row],[Day ETD]]+7)</f>
        <v>#N/A</v>
      </c>
      <c r="AF399" s="50" t="e">
        <f ca="1">VLOOKUP(Tableau1[[#This Row],[Key(ID-Actif)]],'DATA BTO'!A:N,9,FALSE)</f>
        <v>#N/A</v>
      </c>
      <c r="AG399" s="3" t="e">
        <f ca="1">VLOOKUP(Tableau1[[#This Row],[Key(ID-Actif)]],'DATA BTO'!A:N,10,FALSE)</f>
        <v>#N/A</v>
      </c>
      <c r="AH399" s="3" t="e">
        <f ca="1">VLOOKUP(Tableau1[[#This Row],[Key(ID-Actif)]],'DATA BTO'!A:N,11,FALSE)</f>
        <v>#N/A</v>
      </c>
      <c r="AI399" s="50" t="e">
        <f ca="1">VLOOKUP(Tableau1[[#This Row],[Key(ID-Actif)]],'DATA BTO'!A:N,12,FALSE)</f>
        <v>#N/A</v>
      </c>
      <c r="AJ399" s="53" t="e">
        <f ca="1">VLOOKUP(Tableau1[[#This Row],[Key(ID-Actif)]],'DATA BTO'!A:N,14,FALSE)</f>
        <v>#N/A</v>
      </c>
      <c r="AK399" s="54" t="e">
        <f ca="1">VLOOKUP(Tableau1[[#This Row],[Key(POD -PFI- Usine)]],'DATA Consignee'!A:F,6,FALSE)</f>
        <v>#N/A</v>
      </c>
      <c r="AL399" s="283"/>
      <c r="AM399" s="490" t="str">
        <f>IF(Tableau1[[#This Row],[Name PFI/CDD]]="","-",VLOOKUP(Tableau1[[#This Row],[Name PFI/CDD]],Plant_AILN!I:J,2,FALSE))</f>
        <v>-</v>
      </c>
      <c r="AN399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399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399" s="2" t="e">
        <f ca="1">VLOOKUP(Tableau1[[#This Row],[Key(POD -PFI- Usine)]],'DATA Consignee'!A:J,10,FALSE)</f>
        <v>#N/A</v>
      </c>
      <c r="AQ399" s="50" t="e">
        <f ca="1">VLOOKUP(Tableau1[[#This Row],[Key(POD -PFI- Usine)]],'DATA Consignee'!A:N,14,FALSE)</f>
        <v>#N/A</v>
      </c>
      <c r="AR399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399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399" s="50" t="e">
        <f ca="1">Tableau1[[#This Row],[Transit time]]+Tableau1[[#This Row],[Time for security]]+Tableau1[[#This Row],[Time for security2 buffer]]</f>
        <v>#N/A</v>
      </c>
      <c r="AU399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399" s="50" t="e">
        <f ca="1">Tableau1[[#This Row],[Leadtime SI2C]]+Tableau1[[#This Row],[First Receipt Days]]-Tableau1[[#This Row],[Day Customer Order]]+1</f>
        <v>#N/A</v>
      </c>
      <c r="AW399" s="117" t="e">
        <f ca="1">IF(Tableau1[[#This Row],[Name ILN]]&lt;&gt;"SFK Freight Forwarder",Tableau1[[#This Row],[Cust. Leadtime]],Tableau1[[#This Row],[Leadtime SI2C]])</f>
        <v>#N/A</v>
      </c>
      <c r="AX399" s="57" t="e">
        <f>VLOOKUP(Tableau1[[#This Row],[ID]],'DATA BTO'!B:P,15,FALSE)</f>
        <v>#N/A</v>
      </c>
      <c r="AY399" s="328" t="e">
        <f ca="1">IFERROR(VLOOKUP(Tableau1[[#This Row],[Key(ID-Actif)]],'DATA BTO'!A:N,4,FALSE),VLOOKUP(Tableau1[[#This Row],[ID]],'DATA BTO'!B:N,3,FALSE))</f>
        <v>#N/A</v>
      </c>
      <c r="AZ399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399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9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399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9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9" s="50"/>
    </row>
    <row r="400" spans="2:57">
      <c r="B400" s="405" t="str">
        <f>_xlfn.CONCAT(Tableau1[[#This Row],[Name ILN]],"-",Tableau1[[#This Row],[Name Shipper]],"-",Tableau1[[#This Row],[Name Site]])</f>
        <v>--</v>
      </c>
      <c r="C400" s="64" t="e">
        <f>_xlfn.CONCAT(Tableau1[[#This Row],[Compte ILN]],"-",Tableau1[[#This Row],[Compte Shipper]],"-",Tableau1[[#This Row],[POL]],"-",Tableau1[[#This Row],[Compte Consignee]])</f>
        <v>#N/A</v>
      </c>
      <c r="D400" s="64" t="e">
        <f>_xlfn.CONCAT(Tableau1[[#This Row],[Compte ILN]],"-",Tableau1[[#This Row],[Compte Shipper]],"-",Tableau1[[#This Row],[POL]])</f>
        <v>#N/A</v>
      </c>
      <c r="E400" s="128" t="e">
        <f ca="1">_xlfn.CONCAT(Tableau1[[#This Row],[POL]],"-",Tableau1[[#This Row],[Carrier]],"-",Tableau1[[#This Row],[POD]])</f>
        <v>#N/A</v>
      </c>
      <c r="F400" s="64" t="str">
        <f>_xlfn.CONCAT(Tableau1[[#This Row],[ID]],"-","Actif")</f>
        <v>-Actif</v>
      </c>
      <c r="G400" s="64" t="e">
        <f ca="1">_xlfn.CONCAT(Tableau1[[#This Row],[POD]],"-",Tableau1[[#This Row],[Code PFI]],"-",Tableau1[[#This Row],[Compte Consignee]])</f>
        <v>#N/A</v>
      </c>
      <c r="H400" s="129" t="e">
        <f ca="1">_xlfn.CONCAT(IF(Tableau1[[#This Row],[Name ILN]]=Tableau1[[#This Row],[Name Shipper]],Tableau1[[#This Row],[Name ILN]],Tableau1[[#This Row],[Compte Shipper]]),Tableau1[[#This Row],[POL]],Tableau1[[#This Row],[Name Site]])</f>
        <v>#N/A</v>
      </c>
      <c r="I400" s="82" t="e">
        <f ca="1">_xlfn.CONCAT(Tableau1[[#This Row],[Name Site]],"-",Tableau1[[#This Row],[Name ILN]],"-",Tableau1[[#This Row],[Name Shipper]],"-",Tableau1[[#This Row],[ID]],"-",Tableau1[[#This Row],[POL]],"-",Tableau1[[#This Row],[Carrier]],"-",Tableau1[[#This Row],[POD]],"-",Tableau1[[#This Row],[Name PFI/CDD]],)</f>
        <v>#N/A</v>
      </c>
      <c r="J400" s="117" t="str">
        <f ca="1">IF(COUNTIF(I:I,Tableau1[[#This Row],[Plant-ILN-shipper-POL-Carrier-POD-PFI]])=1,"Non","Oui")</f>
        <v>Oui</v>
      </c>
      <c r="K400" s="126" t="e">
        <f>VLOOKUP(Tableau1[[#This Row],[Name Site]],Plant_AILN!A:D,4,FALSE)</f>
        <v>#N/A</v>
      </c>
      <c r="L400" s="363"/>
      <c r="M400" s="492" t="e">
        <f>VLOOKUP(Tableau1[[#This Row],[Name Site]],Plant_AILN!A:C,3,FALSE)</f>
        <v>#N/A</v>
      </c>
      <c r="N400" s="55" t="e">
        <f>VLOOKUP(Tableau1[[#This Row],[Compte Consignee]],Order!C:D,2,FALSE)</f>
        <v>#N/A</v>
      </c>
      <c r="O400" s="122"/>
      <c r="P400" s="481" t="e">
        <f>VLOOKUP(Tableau1[[#This Row],[Name ILN]],Plant_AILN!F:G,2,FALSE)</f>
        <v>#N/A</v>
      </c>
      <c r="Q400" s="50" t="e">
        <f>VLOOKUP(Tableau1[[#This Row],[Compte ILN]],'DATA ILN'!D:I,6,FALSE)</f>
        <v>#N/A</v>
      </c>
      <c r="R400" s="50" t="e">
        <f>IFERROR(VLOOKUP(Tableau1[[#This Row],[Key(Compte ILN - shipper - POL - plant)]],'DATA ILN'!A:J,10,FALSE),VLOOKUP(Tableau1[[#This Row],[Key(Compte ILN - shipper - POL)]],'DATA ILN'!B:J,9,FALSE))</f>
        <v>#N/A</v>
      </c>
      <c r="S400" s="50" t="e">
        <f>IFERROR(VLOOKUP(Tableau1[[#This Row],[Key(Compte ILN - shipper - POL - plant)]],'DATA ILN'!A:K,11,FALSE),VLOOKUP(Tableau1[[#This Row],[Key(Compte ILN - shipper - POL)]],'DATA ILN'!B:K,10,FALSE))</f>
        <v>#N/A</v>
      </c>
      <c r="T400" s="50" t="e">
        <f>IFERROR(VLOOKUP(Tableau1[[#This Row],[Key(Compte ILN - shipper - POL - plant)]],'DATA ILN'!A:L,12,FALSE),VLOOKUP(Tableau1[[#This Row],[Key(Compte ILN - shipper - POL)]],'DATA ILN'!B:L,11,FALSE))</f>
        <v>#N/A</v>
      </c>
      <c r="U400" s="50" t="e">
        <f>Tableau1[[#This Row],[Day ILN Order]]+Tableau1[[#This Row],[Delivery time to ILN/Shipper]]-1</f>
        <v>#N/A</v>
      </c>
      <c r="V400" s="50" t="e">
        <f>IFERROR(VLOOKUP(Tableau1[[#This Row],[Key(Compte ILN - shipper - POL - plant)]],'DATA ILN'!A:N,14,FALSE),VLOOKUP(Tableau1[[#This Row],[Key(Compte ILN - shipper - POL)]],'DATA ILN'!B:N,13,FALSE))</f>
        <v>#N/A</v>
      </c>
      <c r="W400" s="50" t="e">
        <f>IFERROR(VLOOKUP(Tableau1[[#This Row],[Key(Compte ILN - shipper - POL - plant)]],'DATA ILN'!A:P,16,FALSE),VLOOKUP(Tableau1[[#This Row],[Key(Compte ILN - shipper - POL)]],'DATA ILN'!B:P,15,FALSE))</f>
        <v>#N/A</v>
      </c>
      <c r="X400" s="283"/>
      <c r="Y400" s="489">
        <f>IFERROR(VLOOKUP(Tableau1[[#This Row],[Name Shipper]],Plant_AILN!L:M,2,FALSE),0)</f>
        <v>0</v>
      </c>
      <c r="Z400" s="358"/>
      <c r="AA400" s="353" t="e">
        <f ca="1">VLOOKUP(Tableau1[[#This Row],[Key(ID-Actif)]],'DATA BTO'!A:N,5,FALSE)</f>
        <v>#N/A</v>
      </c>
      <c r="AB400" s="3" t="e">
        <f ca="1">VLOOKUP(Tableau1[[#This Row],[Key(ID-Actif)]],'DATA BTO'!A:N,6,FALSE)</f>
        <v>#N/A</v>
      </c>
      <c r="AC400" s="50" t="e">
        <f ca="1">VLOOKUP(Tableau1[[#This Row],[Key(ID-Actif)]],'DATA BTO'!A:N,7,FALSE)</f>
        <v>#N/A</v>
      </c>
      <c r="AD400" s="50" t="e">
        <f ca="1">VLOOKUP(Tableau1[[#This Row],[Key(ID-Actif)]],'DATA BTO'!A:N,8,FALSE)</f>
        <v>#N/A</v>
      </c>
      <c r="AE400" s="79" t="e">
        <f ca="1">IF(Tableau1[[#This Row],[First Day to POL]]&lt;=Tableau1[[#This Row],[Day Cut Off]],Tableau1[[#This Row],[Day ETD]],Tableau1[[#This Row],[Day ETD]]+7)</f>
        <v>#N/A</v>
      </c>
      <c r="AF400" s="50" t="e">
        <f ca="1">VLOOKUP(Tableau1[[#This Row],[Key(ID-Actif)]],'DATA BTO'!A:N,9,FALSE)</f>
        <v>#N/A</v>
      </c>
      <c r="AG400" s="3" t="e">
        <f ca="1">VLOOKUP(Tableau1[[#This Row],[Key(ID-Actif)]],'DATA BTO'!A:N,10,FALSE)</f>
        <v>#N/A</v>
      </c>
      <c r="AH400" s="3" t="e">
        <f ca="1">VLOOKUP(Tableau1[[#This Row],[Key(ID-Actif)]],'DATA BTO'!A:N,11,FALSE)</f>
        <v>#N/A</v>
      </c>
      <c r="AI400" s="50" t="e">
        <f ca="1">VLOOKUP(Tableau1[[#This Row],[Key(ID-Actif)]],'DATA BTO'!A:N,12,FALSE)</f>
        <v>#N/A</v>
      </c>
      <c r="AJ400" s="53" t="e">
        <f ca="1">VLOOKUP(Tableau1[[#This Row],[Key(ID-Actif)]],'DATA BTO'!A:N,14,FALSE)</f>
        <v>#N/A</v>
      </c>
      <c r="AK400" s="54" t="e">
        <f ca="1">VLOOKUP(Tableau1[[#This Row],[Key(POD -PFI- Usine)]],'DATA Consignee'!A:F,6,FALSE)</f>
        <v>#N/A</v>
      </c>
      <c r="AL400" s="283"/>
      <c r="AM400" s="490" t="str">
        <f>IF(Tableau1[[#This Row],[Name PFI/CDD]]="","-",VLOOKUP(Tableau1[[#This Row],[Name PFI/CDD]],Plant_AILN!I:J,2,FALSE))</f>
        <v>-</v>
      </c>
      <c r="AN400" s="6" t="str">
        <f>IF(COUNTIF(buffer_train[AILN],Tableau1[[#This Row],[Name PFI/CDD]])&gt;0,Tableau1[[#This Row],[First Receipt Days]]+Tableau1[[#This Row],[Cust.]]+Tableau1[[#This Row],[Parts Vanning]]+Tableau1[[#This Row],[Transit Time2]],"-")</f>
        <v>-</v>
      </c>
      <c r="AO400" s="6" t="str">
        <f>IF(Tableau1[[#This Row],[Leadtime train]]="-","-",MIN(MOD(VLOOKUP(Tableau1[[#This Row],[Name PFI/CDD]],buffer_train[],4,FALSE)-1-MOD(Tableau1[[#This Row],[Leadtime train]],7)+7,7),IF(VLOOKUP(Tableau1[[#This Row],[Name PFI/CDD]],buffer_train[],5,FALSE)&gt;0,MOD(VLOOKUP(Tableau1[[#This Row],[Name PFI/CDD]],buffer_train[],5,FALSE)-1-MOD(Tableau1[[#This Row],[Leadtime train]],7)+7,7),7)))</f>
        <v>-</v>
      </c>
      <c r="AP400" s="2" t="e">
        <f ca="1">VLOOKUP(Tableau1[[#This Row],[Key(POD -PFI- Usine)]],'DATA Consignee'!A:J,10,FALSE)</f>
        <v>#N/A</v>
      </c>
      <c r="AQ400" s="50" t="e">
        <f ca="1">VLOOKUP(Tableau1[[#This Row],[Key(POD -PFI- Usine)]],'DATA Consignee'!A:N,14,FALSE)</f>
        <v>#N/A</v>
      </c>
      <c r="AR400" s="55" t="e">
        <f ca="1">IF((7-MOD(Tableau1[[#This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train]]),7))=7,0,7-MOD(Tableau1[[#This Row],[Transit time]]+Tableau1[[#This Row],[Time for security]]+Tableau1[[#This Row],[Time for security2 buffer]]+Tableau1[[#This Row],[Cust.]]+IF(Tableau1[[#This Row],[Trpt POD &gt; PFI]]="-",0,Tableau1[[#This Row],[Trpt POD &gt; PFI]])+Tableau1[[#This Row],[Trpt POD/PFI vers Usine]]+Tableau1[[#This Row],[Parts Vanning]]+15+IF(Tableau1[[#This Row],[Buffer train]]="-",0,Tableau1[[#This Row],[Buffer train]]),7))</f>
        <v>#N/A</v>
      </c>
      <c r="AS400" s="54" t="e">
        <f>IF(AND(Tableau1[[#This Row],[First Day to POL]]=7,(INT((Tableau1[[#This Row],[Packaging préparation &amp; loading]]+Tableau1[[#This Row],[First Receipt Days]]+Tableau1[[#This Row],[Transport ILN to POL]])/7)=(Tableau1[[#This Row],[Packaging préparation &amp; loading]]+Tableau1[[#This Row],[First Receipt Days]]+Tableau1[[#This Row],[Transport ILN to POL]])/7)),Tableau1[[#This Row],[Packaging préparation &amp; loading]]+Tableau1[[#This Row],[Transport ILN to POL]]+Tableau1[[#This Row],[Day ETD]]-1,IF(AND(Tableau1[[#This Row],[Day Cut Off]]&gt;=Tableau1[[#This Row],[First Day to POL]],(Tableau1[[#This Row],[Packaging préparation &amp; loading]]+Tableau1[[#This Row],[First Receipt Days]]+Tableau1[[#This Row],[Transport ILN to POL]])&gt;(ROUNDDOWN((Tableau1[[#This Row],[Packaging préparation &amp; loading]]+Tableau1[[#This Row],[First Receipt Days]]+Tableau1[[#This Row],[Transport ILN to POL]])/7,0)*7+Tableau1[[#This Row],[First Day to POL]])),5+Tableau1[[#This Row],[Day ETD]]+((INT((Tableau1[[#This Row],[Packaging préparation &amp; loading]]+Tableau1[[#This Row],[Transport ILN to POL]]+1)/7))*7),IF(Tableau1[[#This Row],[Day Cut Off]]&gt;=Tableau1[[#This Row],[First Day to POL]],5+Tableau1[[#This Row],[Day ETD]]+((INT((Tableau1[[#This Row],[Packaging préparation &amp; loading]]+Tableau1[[#This Row],[Transport ILN to POL]]-7+1)/7))*7),12+Tableau1[[#This Row],[Day ETD]]+INT((Tableau1[[#This Row],[First Day to POL]]-Tableau1[[#This Row],[Day Cut Off]])/7)*7+((INT((Tableau1[[#This Row],[Packaging préparation &amp; loading]]+Tableau1[[#This Row],[Transport ILN to POL]]-7+1)/7))*7))))</f>
        <v>#N/A</v>
      </c>
      <c r="AT400" s="50" t="e">
        <f ca="1">Tableau1[[#This Row],[Transit time]]+Tableau1[[#This Row],[Time for security]]+Tableau1[[#This Row],[Time for security2 buffer]]</f>
        <v>#N/A</v>
      </c>
      <c r="AU400" s="50" t="e">
        <f ca="1">Tableau1[[#This Row],[Cust.]]+IF(Tableau1[[#This Row],[Trpt POD &gt; PFI]]="-",0,Tableau1[[#This Row],[Trpt POD &gt; PFI]])+Tableau1[[#This Row],[Trpt POD/PFI vers Usine]]+Tableau1[[#This Row],[Round.]]+Tableau1[[#This Row],[Parts Vanning]]+Tableau1[[#This Row],[Transit Time2]]+IF(Tableau1[[#This Row],[Buffer train]]="-",0,Tableau1[[#This Row],[Buffer train]])</f>
        <v>#N/A</v>
      </c>
      <c r="AV400" s="50" t="e">
        <f ca="1">Tableau1[[#This Row],[Leadtime SI2C]]+Tableau1[[#This Row],[First Receipt Days]]-Tableau1[[#This Row],[Day Customer Order]]+1</f>
        <v>#N/A</v>
      </c>
      <c r="AW400" s="117" t="e">
        <f ca="1">IF(Tableau1[[#This Row],[Name ILN]]&lt;&gt;"SFK Freight Forwarder",Tableau1[[#This Row],[Cust. Leadtime]],Tableau1[[#This Row],[Leadtime SI2C]])</f>
        <v>#N/A</v>
      </c>
      <c r="AX400" s="57" t="e">
        <f>VLOOKUP(Tableau1[[#This Row],[ID]],'DATA BTO'!B:P,15,FALSE)</f>
        <v>#N/A</v>
      </c>
      <c r="AY400" s="328" t="e">
        <f ca="1">IFERROR(VLOOKUP(Tableau1[[#This Row],[Key(ID-Actif)]],'DATA BTO'!A:N,4,FALSE),VLOOKUP(Tableau1[[#This Row],[ID]],'DATA BTO'!B:N,3,FALSE))</f>
        <v>#N/A</v>
      </c>
      <c r="AZ400" s="50" t="str">
        <f>IF(ISNUMBER(Tableau1[[#This Row],[Day Customer Order]]),"-","Please Check 'Name' information in 'Order' Sheet to make sure they have information")</f>
        <v>Please Check 'Name' information in 'Order' Sheet to make sure they have information</v>
      </c>
      <c r="BA400" s="50" t="str">
        <f>IF(ISNUMBER(Tableau1[[#This Row],[Day ILN Order]]),IF(OR(ISNUMBER(Tableau1[[#This Row],[Delivery time to ILN/Shipper]]),ISERROR(Tableau1[[#This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00" s="50" t="str">
        <f ca="1">IFERROR(IF(Tableau1[[#This Row],[Expiration Date]]&gt;TODAY(),IF(AND(ISTEXT(Tableau1[[#This Row],[POL]]),ISNUMBER(Tableau1[[#This Row],[First Day to POL]])),"-","POL mismatch,Please Check POL in 'DATA ILN' and 'DATA BTO' to make sure they can match"),"Please update the BTO validity period"),"This ID does not exist")</f>
        <v>This ID does not exist</v>
      </c>
      <c r="BC400" s="50" t="str">
        <f ca="1">IF(IF(ISNUMBER(Tableau1[[#This Row],[Cust.]]),"-",IFERROR(Tableau1[[#This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00" s="55" t="str">
        <f ca="1">IF(IF(ISNUMBER(Tableau1[[#This Row],[Trpt POD/PFI vers Usine]]),"-",IFERROR(Tableau1[[#This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00" s="50"/>
    </row>
  </sheetData>
  <mergeCells count="18">
    <mergeCell ref="B1:H1"/>
    <mergeCell ref="I1:J1"/>
    <mergeCell ref="I2:J2"/>
    <mergeCell ref="C3:D3"/>
    <mergeCell ref="AX1:AX2"/>
    <mergeCell ref="S2:V2"/>
    <mergeCell ref="K1:N1"/>
    <mergeCell ref="O2:R2"/>
    <mergeCell ref="K2:N2"/>
    <mergeCell ref="AQ2:AR2"/>
    <mergeCell ref="AK2:AP2"/>
    <mergeCell ref="W2:Y2"/>
    <mergeCell ref="Z1:AI1"/>
    <mergeCell ref="Z2:AJ2"/>
    <mergeCell ref="AS2:AV2"/>
    <mergeCell ref="AK1:AQ1"/>
    <mergeCell ref="O1:Y1"/>
    <mergeCell ref="AR1:AW1"/>
  </mergeCells>
  <conditionalFormatting sqref="K5:AX400">
    <cfRule type="expression" dxfId="429" priority="31">
      <formula>$AY5&lt;=TODAY()</formula>
    </cfRule>
  </conditionalFormatting>
  <conditionalFormatting sqref="J5:J400">
    <cfRule type="expression" dxfId="428" priority="28">
      <formula>$J5="Oui"</formula>
    </cfRule>
  </conditionalFormatting>
  <conditionalFormatting sqref="BE187">
    <cfRule type="expression" dxfId="427" priority="26">
      <formula>$AY187&lt;=TODAY()</formula>
    </cfRule>
  </conditionalFormatting>
  <conditionalFormatting sqref="BE253">
    <cfRule type="expression" dxfId="426" priority="22">
      <formula>$AY253&lt;=TODAY()</formula>
    </cfRule>
  </conditionalFormatting>
  <conditionalFormatting sqref="BE254">
    <cfRule type="expression" dxfId="425" priority="20">
      <formula>$AY254&lt;=TODAY()</formula>
    </cfRule>
  </conditionalFormatting>
  <conditionalFormatting sqref="L263:L273">
    <cfRule type="expression" dxfId="424" priority="19">
      <formula>$AY263&lt;=TODAY()</formula>
    </cfRule>
  </conditionalFormatting>
  <conditionalFormatting sqref="L264:L273">
    <cfRule type="expression" dxfId="423" priority="18">
      <formula>$AY264&lt;=TODAY()</formula>
    </cfRule>
  </conditionalFormatting>
  <conditionalFormatting sqref="L265:L273">
    <cfRule type="expression" dxfId="422" priority="17">
      <formula>$AY265&lt;=TODAY()</formula>
    </cfRule>
  </conditionalFormatting>
  <conditionalFormatting sqref="L266:L273">
    <cfRule type="expression" dxfId="421" priority="16">
      <formula>$AY266&lt;=TODAY()</formula>
    </cfRule>
  </conditionalFormatting>
  <conditionalFormatting sqref="L267:L273">
    <cfRule type="expression" dxfId="420" priority="15">
      <formula>$AY267&lt;=TODAY()</formula>
    </cfRule>
  </conditionalFormatting>
  <conditionalFormatting sqref="L268:L273">
    <cfRule type="expression" dxfId="419" priority="14">
      <formula>$AY268&lt;=TODAY()</formula>
    </cfRule>
  </conditionalFormatting>
  <conditionalFormatting sqref="L269:L273">
    <cfRule type="expression" dxfId="418" priority="13">
      <formula>$AY269&lt;=TODAY()</formula>
    </cfRule>
  </conditionalFormatting>
  <conditionalFormatting sqref="L270:L273">
    <cfRule type="expression" dxfId="417" priority="12">
      <formula>$AY270&lt;=TODAY()</formula>
    </cfRule>
  </conditionalFormatting>
  <conditionalFormatting sqref="L271:L273">
    <cfRule type="expression" dxfId="416" priority="11">
      <formula>$AY271&lt;=TODAY()</formula>
    </cfRule>
  </conditionalFormatting>
  <conditionalFormatting sqref="L272:L273">
    <cfRule type="expression" dxfId="415" priority="10">
      <formula>$AY272&lt;=TODAY()</formula>
    </cfRule>
  </conditionalFormatting>
  <conditionalFormatting sqref="L273">
    <cfRule type="expression" dxfId="414" priority="9">
      <formula>$AY273&lt;=TODAY()</formula>
    </cfRule>
  </conditionalFormatting>
  <dataValidations disablePrompts="1" count="4">
    <dataValidation type="list" allowBlank="1" showInputMessage="1" showErrorMessage="1" sqref="X231:X233 X149:X208 X259:X271 X274:X281 X210:X212 X245:X257 X5:X13 X143:X147 X81:X140 X17:X79 X283:X313 O397 X322:X1048547" xr:uid="{00000000-0002-0000-0300-000000000000}">
      <formula1>shippername</formula1>
    </dataValidation>
    <dataValidation type="list" allowBlank="1" showInputMessage="1" showErrorMessage="1" sqref="X236:X244 X209 X272:X273 X80 X214:X230 X148 X14:X16 X141:X142 X314:X321 O398:O1048547 O5:O396" xr:uid="{00000000-0002-0000-0300-000001000000}">
      <formula1>AILNname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L231:L233 L214:L225 L5:L211 L235:L1048547" xr:uid="{00000000-0002-0000-0300-000002000000}">
      <formula1>plantname</formula1>
    </dataValidation>
    <dataValidation type="list" allowBlank="1" showInputMessage="1" showErrorMessage="1" sqref="AL210:AL212 AL214:AL225 AL5:AL206 AL231:AL1048547" xr:uid="{00000000-0002-0000-0300-000003000000}">
      <formula1>PFIname</formula1>
    </dataValidation>
  </dataValidations>
  <pageMargins left="0.7" right="0.7" top="0.75" bottom="0.75" header="0.3" footer="0.3"/>
  <pageSetup paperSize="9" orientation="portrait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002060"/>
  </sheetPr>
  <dimension ref="A1:DT37"/>
  <sheetViews>
    <sheetView zoomScale="115" zoomScaleNormal="115" workbookViewId="0">
      <selection activeCell="C24" sqref="C24"/>
    </sheetView>
  </sheetViews>
  <sheetFormatPr baseColWidth="10" defaultColWidth="11.44140625" defaultRowHeight="14.4"/>
  <cols>
    <col min="1" max="1" width="12.44140625" customWidth="1"/>
    <col min="2" max="2" width="21.44140625" bestFit="1" customWidth="1"/>
    <col min="3" max="3" width="7.44140625" customWidth="1"/>
    <col min="4" max="5" width="6.44140625" customWidth="1"/>
    <col min="6" max="124" width="1.44140625" customWidth="1"/>
  </cols>
  <sheetData>
    <row r="1" spans="1:124" s="11" customFormat="1" ht="9" customHeight="1" thickTop="1">
      <c r="A1" s="570" t="s">
        <v>0</v>
      </c>
      <c r="B1" s="602" t="s">
        <v>193</v>
      </c>
      <c r="C1" s="600">
        <f>_xlfn.XLOOKUP(A25,'VTT project'!B:B,'VTT project'!P:P,"-",0)</f>
        <v>27261102</v>
      </c>
      <c r="D1" s="550"/>
      <c r="E1" s="551"/>
      <c r="F1" s="566" t="str">
        <f ca="1">"W"&amp;WEEKNUM(F6)</f>
        <v>W27</v>
      </c>
      <c r="G1" s="567"/>
      <c r="H1" s="567"/>
      <c r="I1" s="567"/>
      <c r="J1" s="567"/>
      <c r="K1" s="567"/>
      <c r="L1" s="568"/>
      <c r="M1" s="566" t="str">
        <f ca="1">"W"&amp;WEEKNUM(M6)</f>
        <v>W28</v>
      </c>
      <c r="N1" s="567"/>
      <c r="O1" s="567"/>
      <c r="P1" s="567"/>
      <c r="Q1" s="567"/>
      <c r="R1" s="567"/>
      <c r="S1" s="568"/>
      <c r="T1" s="566" t="str">
        <f ca="1">"W"&amp;WEEKNUM(T6)</f>
        <v>W29</v>
      </c>
      <c r="U1" s="567"/>
      <c r="V1" s="567"/>
      <c r="W1" s="567"/>
      <c r="X1" s="567"/>
      <c r="Y1" s="567"/>
      <c r="Z1" s="568"/>
      <c r="AA1" s="566" t="str">
        <f ca="1">"W"&amp;WEEKNUM(AA6)</f>
        <v>W30</v>
      </c>
      <c r="AB1" s="567"/>
      <c r="AC1" s="567"/>
      <c r="AD1" s="567"/>
      <c r="AE1" s="567"/>
      <c r="AF1" s="567"/>
      <c r="AG1" s="568"/>
      <c r="AH1" s="566" t="str">
        <f ca="1">"W"&amp;WEEKNUM(AH6)</f>
        <v>W31</v>
      </c>
      <c r="AI1" s="567"/>
      <c r="AJ1" s="567"/>
      <c r="AK1" s="567"/>
      <c r="AL1" s="567"/>
      <c r="AM1" s="567"/>
      <c r="AN1" s="568"/>
      <c r="AO1" s="566" t="str">
        <f ca="1">"W"&amp;WEEKNUM(AO6)</f>
        <v>W32</v>
      </c>
      <c r="AP1" s="567"/>
      <c r="AQ1" s="567"/>
      <c r="AR1" s="567"/>
      <c r="AS1" s="567"/>
      <c r="AT1" s="567"/>
      <c r="AU1" s="568"/>
      <c r="AV1" s="566" t="str">
        <f ca="1">"W"&amp;WEEKNUM(AV6)</f>
        <v>W33</v>
      </c>
      <c r="AW1" s="567"/>
      <c r="AX1" s="567"/>
      <c r="AY1" s="567"/>
      <c r="AZ1" s="567"/>
      <c r="BA1" s="567"/>
      <c r="BB1" s="568"/>
      <c r="BC1" s="566" t="str">
        <f ca="1">"W"&amp;WEEKNUM(BC6)</f>
        <v>W34</v>
      </c>
      <c r="BD1" s="567"/>
      <c r="BE1" s="567"/>
      <c r="BF1" s="567"/>
      <c r="BG1" s="567"/>
      <c r="BH1" s="567"/>
      <c r="BI1" s="568"/>
      <c r="BJ1" s="566" t="str">
        <f ca="1">"W"&amp;WEEKNUM(BJ6)</f>
        <v>W35</v>
      </c>
      <c r="BK1" s="567"/>
      <c r="BL1" s="567"/>
      <c r="BM1" s="567"/>
      <c r="BN1" s="567"/>
      <c r="BO1" s="567"/>
      <c r="BP1" s="568"/>
      <c r="BQ1" s="566" t="str">
        <f ca="1">"W"&amp;WEEKNUM(BQ6)</f>
        <v>W36</v>
      </c>
      <c r="BR1" s="567"/>
      <c r="BS1" s="567"/>
      <c r="BT1" s="567"/>
      <c r="BU1" s="567"/>
      <c r="BV1" s="567"/>
      <c r="BW1" s="568"/>
      <c r="BX1" s="566" t="str">
        <f ca="1">"W"&amp;WEEKNUM(BX6)</f>
        <v>W37</v>
      </c>
      <c r="BY1" s="567"/>
      <c r="BZ1" s="567"/>
      <c r="CA1" s="567"/>
      <c r="CB1" s="567"/>
      <c r="CC1" s="567"/>
      <c r="CD1" s="568"/>
      <c r="CE1" s="566" t="str">
        <f ca="1">"W"&amp;WEEKNUM(CE6)</f>
        <v>W38</v>
      </c>
      <c r="CF1" s="567"/>
      <c r="CG1" s="567"/>
      <c r="CH1" s="567"/>
      <c r="CI1" s="567"/>
      <c r="CJ1" s="567"/>
      <c r="CK1" s="568"/>
      <c r="CL1" s="566" t="str">
        <f ca="1">"W"&amp;WEEKNUM(CL6)</f>
        <v>W39</v>
      </c>
      <c r="CM1" s="567"/>
      <c r="CN1" s="567"/>
      <c r="CO1" s="567"/>
      <c r="CP1" s="567"/>
      <c r="CQ1" s="567"/>
      <c r="CR1" s="568"/>
      <c r="CS1" s="566" t="str">
        <f ca="1">"W"&amp;WEEKNUM(CS6)</f>
        <v>W40</v>
      </c>
      <c r="CT1" s="567"/>
      <c r="CU1" s="567"/>
      <c r="CV1" s="567"/>
      <c r="CW1" s="567"/>
      <c r="CX1" s="567"/>
      <c r="CY1" s="568"/>
      <c r="CZ1" s="566" t="str">
        <f ca="1">"W"&amp;WEEKNUM(CZ6)</f>
        <v>W41</v>
      </c>
      <c r="DA1" s="567"/>
      <c r="DB1" s="567"/>
      <c r="DC1" s="567"/>
      <c r="DD1" s="567"/>
      <c r="DE1" s="567"/>
      <c r="DF1" s="568"/>
      <c r="DG1" s="566" t="str">
        <f ca="1">"W"&amp;WEEKNUM(DG6)</f>
        <v>W42</v>
      </c>
      <c r="DH1" s="567"/>
      <c r="DI1" s="567"/>
      <c r="DJ1" s="567"/>
      <c r="DK1" s="567"/>
      <c r="DL1" s="567"/>
      <c r="DM1" s="568"/>
      <c r="DN1" s="566" t="str">
        <f ca="1">"W"&amp;WEEKNUM(DN6)</f>
        <v>W43</v>
      </c>
      <c r="DO1" s="567"/>
      <c r="DP1" s="567"/>
      <c r="DQ1" s="567"/>
      <c r="DR1" s="567"/>
      <c r="DS1" s="567"/>
      <c r="DT1" s="568"/>
    </row>
    <row r="2" spans="1:124" s="11" customFormat="1" ht="9" customHeight="1" thickBot="1">
      <c r="A2" s="571"/>
      <c r="B2" s="603"/>
      <c r="C2" s="560"/>
      <c r="D2" s="564"/>
      <c r="E2" s="565"/>
      <c r="F2" s="569" t="s">
        <v>2</v>
      </c>
      <c r="G2" s="557"/>
      <c r="H2" s="557"/>
      <c r="I2" s="557"/>
      <c r="J2" s="557"/>
      <c r="K2" s="557"/>
      <c r="L2" s="558"/>
      <c r="M2" s="556" t="s">
        <v>3</v>
      </c>
      <c r="N2" s="557"/>
      <c r="O2" s="557"/>
      <c r="P2" s="557"/>
      <c r="Q2" s="557"/>
      <c r="R2" s="557"/>
      <c r="S2" s="558"/>
      <c r="T2" s="556" t="s">
        <v>4</v>
      </c>
      <c r="U2" s="557"/>
      <c r="V2" s="557"/>
      <c r="W2" s="557"/>
      <c r="X2" s="557"/>
      <c r="Y2" s="557"/>
      <c r="Z2" s="558"/>
      <c r="AA2" s="556" t="s">
        <v>5</v>
      </c>
      <c r="AB2" s="557"/>
      <c r="AC2" s="557"/>
      <c r="AD2" s="557"/>
      <c r="AE2" s="557"/>
      <c r="AF2" s="557"/>
      <c r="AG2" s="558"/>
      <c r="AH2" s="556" t="s">
        <v>6</v>
      </c>
      <c r="AI2" s="557"/>
      <c r="AJ2" s="557"/>
      <c r="AK2" s="557"/>
      <c r="AL2" s="557"/>
      <c r="AM2" s="557"/>
      <c r="AN2" s="558"/>
      <c r="AO2" s="556" t="s">
        <v>7</v>
      </c>
      <c r="AP2" s="557"/>
      <c r="AQ2" s="557"/>
      <c r="AR2" s="557"/>
      <c r="AS2" s="557"/>
      <c r="AT2" s="557"/>
      <c r="AU2" s="558"/>
      <c r="AV2" s="556" t="s">
        <v>8</v>
      </c>
      <c r="AW2" s="557"/>
      <c r="AX2" s="557"/>
      <c r="AY2" s="557"/>
      <c r="AZ2" s="557"/>
      <c r="BA2" s="557"/>
      <c r="BB2" s="558"/>
      <c r="BC2" s="556" t="s">
        <v>9</v>
      </c>
      <c r="BD2" s="557"/>
      <c r="BE2" s="557"/>
      <c r="BF2" s="557"/>
      <c r="BG2" s="557"/>
      <c r="BH2" s="557"/>
      <c r="BI2" s="558"/>
      <c r="BJ2" s="556" t="s">
        <v>10</v>
      </c>
      <c r="BK2" s="557"/>
      <c r="BL2" s="557"/>
      <c r="BM2" s="557"/>
      <c r="BN2" s="557"/>
      <c r="BO2" s="557"/>
      <c r="BP2" s="558"/>
      <c r="BQ2" s="556" t="s">
        <v>11</v>
      </c>
      <c r="BR2" s="557"/>
      <c r="BS2" s="557"/>
      <c r="BT2" s="557"/>
      <c r="BU2" s="557"/>
      <c r="BV2" s="557"/>
      <c r="BW2" s="558"/>
      <c r="BX2" s="556" t="s">
        <v>12</v>
      </c>
      <c r="BY2" s="557"/>
      <c r="BZ2" s="557"/>
      <c r="CA2" s="557"/>
      <c r="CB2" s="557"/>
      <c r="CC2" s="557"/>
      <c r="CD2" s="558"/>
      <c r="CE2" s="556" t="s">
        <v>13</v>
      </c>
      <c r="CF2" s="557"/>
      <c r="CG2" s="557"/>
      <c r="CH2" s="557"/>
      <c r="CI2" s="557"/>
      <c r="CJ2" s="557"/>
      <c r="CK2" s="558"/>
      <c r="CL2" s="556" t="s">
        <v>14</v>
      </c>
      <c r="CM2" s="557"/>
      <c r="CN2" s="557"/>
      <c r="CO2" s="557"/>
      <c r="CP2" s="557"/>
      <c r="CQ2" s="557"/>
      <c r="CR2" s="558"/>
      <c r="CS2" s="556" t="s">
        <v>15</v>
      </c>
      <c r="CT2" s="557"/>
      <c r="CU2" s="557"/>
      <c r="CV2" s="557"/>
      <c r="CW2" s="557"/>
      <c r="CX2" s="557"/>
      <c r="CY2" s="558"/>
      <c r="CZ2" s="556" t="s">
        <v>16</v>
      </c>
      <c r="DA2" s="557"/>
      <c r="DB2" s="557"/>
      <c r="DC2" s="557"/>
      <c r="DD2" s="557"/>
      <c r="DE2" s="557"/>
      <c r="DF2" s="558"/>
      <c r="DG2" s="556" t="s">
        <v>17</v>
      </c>
      <c r="DH2" s="557"/>
      <c r="DI2" s="557"/>
      <c r="DJ2" s="557"/>
      <c r="DK2" s="557"/>
      <c r="DL2" s="557"/>
      <c r="DM2" s="558"/>
      <c r="DN2" s="556" t="s">
        <v>18</v>
      </c>
      <c r="DO2" s="557"/>
      <c r="DP2" s="557"/>
      <c r="DQ2" s="557"/>
      <c r="DR2" s="557"/>
      <c r="DS2" s="557"/>
      <c r="DT2" s="558"/>
    </row>
    <row r="3" spans="1:124" s="12" customFormat="1" ht="9" customHeight="1" thickTop="1">
      <c r="A3" s="559" t="s">
        <v>19</v>
      </c>
      <c r="B3" s="602" t="s">
        <v>193</v>
      </c>
      <c r="C3" s="604">
        <f>_xlfn.XLOOKUP(A25,'VTT project'!B:B,'VTT project'!Y:Y,"-",0)</f>
        <v>27261102</v>
      </c>
      <c r="D3" s="550"/>
      <c r="E3" s="551"/>
      <c r="F3" s="32" t="s">
        <v>21</v>
      </c>
      <c r="G3" s="33" t="s">
        <v>22</v>
      </c>
      <c r="H3" s="33" t="s">
        <v>22</v>
      </c>
      <c r="I3" s="33" t="s">
        <v>23</v>
      </c>
      <c r="J3" s="33" t="s">
        <v>24</v>
      </c>
      <c r="K3" s="34" t="s">
        <v>25</v>
      </c>
      <c r="L3" s="35" t="s">
        <v>26</v>
      </c>
      <c r="M3" s="36" t="s">
        <v>21</v>
      </c>
      <c r="N3" s="33" t="s">
        <v>22</v>
      </c>
      <c r="O3" s="33" t="s">
        <v>22</v>
      </c>
      <c r="P3" s="33" t="s">
        <v>23</v>
      </c>
      <c r="Q3" s="33" t="s">
        <v>24</v>
      </c>
      <c r="R3" s="34" t="s">
        <v>25</v>
      </c>
      <c r="S3" s="35" t="s">
        <v>26</v>
      </c>
      <c r="T3" s="36" t="s">
        <v>21</v>
      </c>
      <c r="U3" s="33" t="s">
        <v>22</v>
      </c>
      <c r="V3" s="33" t="s">
        <v>22</v>
      </c>
      <c r="W3" s="33" t="s">
        <v>23</v>
      </c>
      <c r="X3" s="33" t="s">
        <v>24</v>
      </c>
      <c r="Y3" s="34" t="s">
        <v>25</v>
      </c>
      <c r="Z3" s="35" t="s">
        <v>26</v>
      </c>
      <c r="AA3" s="36" t="s">
        <v>21</v>
      </c>
      <c r="AB3" s="33" t="s">
        <v>22</v>
      </c>
      <c r="AC3" s="33" t="s">
        <v>22</v>
      </c>
      <c r="AD3" s="33" t="s">
        <v>23</v>
      </c>
      <c r="AE3" s="33" t="s">
        <v>24</v>
      </c>
      <c r="AF3" s="34" t="s">
        <v>25</v>
      </c>
      <c r="AG3" s="35" t="s">
        <v>26</v>
      </c>
      <c r="AH3" s="36" t="s">
        <v>21</v>
      </c>
      <c r="AI3" s="33" t="s">
        <v>22</v>
      </c>
      <c r="AJ3" s="33" t="s">
        <v>22</v>
      </c>
      <c r="AK3" s="33" t="s">
        <v>23</v>
      </c>
      <c r="AL3" s="33" t="s">
        <v>24</v>
      </c>
      <c r="AM3" s="34" t="s">
        <v>25</v>
      </c>
      <c r="AN3" s="35" t="s">
        <v>26</v>
      </c>
      <c r="AO3" s="36" t="s">
        <v>21</v>
      </c>
      <c r="AP3" s="33" t="s">
        <v>22</v>
      </c>
      <c r="AQ3" s="33" t="s">
        <v>22</v>
      </c>
      <c r="AR3" s="33" t="s">
        <v>23</v>
      </c>
      <c r="AS3" s="33" t="s">
        <v>24</v>
      </c>
      <c r="AT3" s="34" t="s">
        <v>25</v>
      </c>
      <c r="AU3" s="35" t="s">
        <v>26</v>
      </c>
      <c r="AV3" s="36" t="s">
        <v>21</v>
      </c>
      <c r="AW3" s="33" t="s">
        <v>22</v>
      </c>
      <c r="AX3" s="33" t="s">
        <v>22</v>
      </c>
      <c r="AY3" s="33" t="s">
        <v>23</v>
      </c>
      <c r="AZ3" s="33" t="s">
        <v>24</v>
      </c>
      <c r="BA3" s="34" t="s">
        <v>25</v>
      </c>
      <c r="BB3" s="35" t="s">
        <v>26</v>
      </c>
      <c r="BC3" s="36" t="s">
        <v>21</v>
      </c>
      <c r="BD3" s="33" t="s">
        <v>22</v>
      </c>
      <c r="BE3" s="33" t="s">
        <v>22</v>
      </c>
      <c r="BF3" s="33" t="s">
        <v>23</v>
      </c>
      <c r="BG3" s="33" t="s">
        <v>24</v>
      </c>
      <c r="BH3" s="34" t="s">
        <v>25</v>
      </c>
      <c r="BI3" s="35" t="s">
        <v>26</v>
      </c>
      <c r="BJ3" s="36" t="s">
        <v>21</v>
      </c>
      <c r="BK3" s="33" t="s">
        <v>22</v>
      </c>
      <c r="BL3" s="33" t="s">
        <v>22</v>
      </c>
      <c r="BM3" s="33" t="s">
        <v>23</v>
      </c>
      <c r="BN3" s="33" t="s">
        <v>24</v>
      </c>
      <c r="BO3" s="34" t="s">
        <v>25</v>
      </c>
      <c r="BP3" s="35" t="s">
        <v>26</v>
      </c>
      <c r="BQ3" s="36" t="s">
        <v>21</v>
      </c>
      <c r="BR3" s="33" t="s">
        <v>22</v>
      </c>
      <c r="BS3" s="33" t="s">
        <v>22</v>
      </c>
      <c r="BT3" s="33" t="s">
        <v>23</v>
      </c>
      <c r="BU3" s="33" t="s">
        <v>24</v>
      </c>
      <c r="BV3" s="34" t="s">
        <v>25</v>
      </c>
      <c r="BW3" s="35" t="s">
        <v>26</v>
      </c>
      <c r="BX3" s="36" t="s">
        <v>21</v>
      </c>
      <c r="BY3" s="33" t="s">
        <v>22</v>
      </c>
      <c r="BZ3" s="33" t="s">
        <v>22</v>
      </c>
      <c r="CA3" s="33" t="s">
        <v>23</v>
      </c>
      <c r="CB3" s="33" t="s">
        <v>24</v>
      </c>
      <c r="CC3" s="34" t="s">
        <v>25</v>
      </c>
      <c r="CD3" s="35" t="s">
        <v>26</v>
      </c>
      <c r="CE3" s="36" t="s">
        <v>21</v>
      </c>
      <c r="CF3" s="33" t="s">
        <v>22</v>
      </c>
      <c r="CG3" s="33" t="s">
        <v>22</v>
      </c>
      <c r="CH3" s="33" t="s">
        <v>23</v>
      </c>
      <c r="CI3" s="33" t="s">
        <v>24</v>
      </c>
      <c r="CJ3" s="34" t="s">
        <v>25</v>
      </c>
      <c r="CK3" s="35" t="s">
        <v>26</v>
      </c>
      <c r="CL3" s="36" t="s">
        <v>21</v>
      </c>
      <c r="CM3" s="33" t="s">
        <v>22</v>
      </c>
      <c r="CN3" s="33" t="s">
        <v>22</v>
      </c>
      <c r="CO3" s="33" t="s">
        <v>23</v>
      </c>
      <c r="CP3" s="33" t="s">
        <v>24</v>
      </c>
      <c r="CQ3" s="34" t="s">
        <v>25</v>
      </c>
      <c r="CR3" s="35" t="s">
        <v>26</v>
      </c>
      <c r="CS3" s="36" t="s">
        <v>21</v>
      </c>
      <c r="CT3" s="33" t="s">
        <v>22</v>
      </c>
      <c r="CU3" s="33" t="s">
        <v>22</v>
      </c>
      <c r="CV3" s="33" t="s">
        <v>23</v>
      </c>
      <c r="CW3" s="33" t="s">
        <v>24</v>
      </c>
      <c r="CX3" s="34" t="s">
        <v>25</v>
      </c>
      <c r="CY3" s="35" t="s">
        <v>26</v>
      </c>
      <c r="CZ3" s="36" t="s">
        <v>21</v>
      </c>
      <c r="DA3" s="33" t="s">
        <v>22</v>
      </c>
      <c r="DB3" s="33" t="s">
        <v>22</v>
      </c>
      <c r="DC3" s="33" t="s">
        <v>23</v>
      </c>
      <c r="DD3" s="33" t="s">
        <v>24</v>
      </c>
      <c r="DE3" s="34" t="s">
        <v>25</v>
      </c>
      <c r="DF3" s="35" t="s">
        <v>26</v>
      </c>
      <c r="DG3" s="36" t="s">
        <v>21</v>
      </c>
      <c r="DH3" s="33" t="s">
        <v>22</v>
      </c>
      <c r="DI3" s="33" t="s">
        <v>22</v>
      </c>
      <c r="DJ3" s="33" t="s">
        <v>23</v>
      </c>
      <c r="DK3" s="33" t="s">
        <v>24</v>
      </c>
      <c r="DL3" s="34" t="s">
        <v>25</v>
      </c>
      <c r="DM3" s="35" t="s">
        <v>26</v>
      </c>
      <c r="DN3" s="36" t="s">
        <v>21</v>
      </c>
      <c r="DO3" s="33" t="s">
        <v>22</v>
      </c>
      <c r="DP3" s="33" t="s">
        <v>22</v>
      </c>
      <c r="DQ3" s="33" t="s">
        <v>23</v>
      </c>
      <c r="DR3" s="33" t="s">
        <v>24</v>
      </c>
      <c r="DS3" s="34" t="s">
        <v>25</v>
      </c>
      <c r="DT3" s="35" t="s">
        <v>26</v>
      </c>
    </row>
    <row r="4" spans="1:124" s="12" customFormat="1" ht="9" customHeight="1" thickBot="1">
      <c r="A4" s="560"/>
      <c r="B4" s="603"/>
      <c r="C4" s="564"/>
      <c r="D4" s="564"/>
      <c r="E4" s="565"/>
      <c r="F4" s="32" t="s">
        <v>27</v>
      </c>
      <c r="G4" s="33" t="s">
        <v>28</v>
      </c>
      <c r="H4" s="33" t="s">
        <v>29</v>
      </c>
      <c r="I4" s="33" t="s">
        <v>30</v>
      </c>
      <c r="J4" s="33" t="s">
        <v>31</v>
      </c>
      <c r="K4" s="34" t="s">
        <v>32</v>
      </c>
      <c r="L4" s="35" t="s">
        <v>33</v>
      </c>
      <c r="M4" s="36" t="s">
        <v>27</v>
      </c>
      <c r="N4" s="33" t="s">
        <v>28</v>
      </c>
      <c r="O4" s="33" t="s">
        <v>29</v>
      </c>
      <c r="P4" s="33" t="s">
        <v>30</v>
      </c>
      <c r="Q4" s="33" t="s">
        <v>31</v>
      </c>
      <c r="R4" s="34" t="s">
        <v>32</v>
      </c>
      <c r="S4" s="35" t="s">
        <v>33</v>
      </c>
      <c r="T4" s="36" t="s">
        <v>27</v>
      </c>
      <c r="U4" s="33" t="s">
        <v>28</v>
      </c>
      <c r="V4" s="33" t="s">
        <v>29</v>
      </c>
      <c r="W4" s="33" t="s">
        <v>30</v>
      </c>
      <c r="X4" s="33" t="s">
        <v>31</v>
      </c>
      <c r="Y4" s="34" t="s">
        <v>32</v>
      </c>
      <c r="Z4" s="35" t="s">
        <v>33</v>
      </c>
      <c r="AA4" s="36" t="s">
        <v>27</v>
      </c>
      <c r="AB4" s="33" t="s">
        <v>28</v>
      </c>
      <c r="AC4" s="33" t="s">
        <v>29</v>
      </c>
      <c r="AD4" s="33" t="s">
        <v>30</v>
      </c>
      <c r="AE4" s="33" t="s">
        <v>31</v>
      </c>
      <c r="AF4" s="34" t="s">
        <v>32</v>
      </c>
      <c r="AG4" s="35" t="s">
        <v>33</v>
      </c>
      <c r="AH4" s="36" t="s">
        <v>27</v>
      </c>
      <c r="AI4" s="33" t="s">
        <v>28</v>
      </c>
      <c r="AJ4" s="33" t="s">
        <v>29</v>
      </c>
      <c r="AK4" s="33" t="s">
        <v>30</v>
      </c>
      <c r="AL4" s="33" t="s">
        <v>31</v>
      </c>
      <c r="AM4" s="34" t="s">
        <v>32</v>
      </c>
      <c r="AN4" s="35" t="s">
        <v>33</v>
      </c>
      <c r="AO4" s="36" t="s">
        <v>27</v>
      </c>
      <c r="AP4" s="33" t="s">
        <v>28</v>
      </c>
      <c r="AQ4" s="33" t="s">
        <v>29</v>
      </c>
      <c r="AR4" s="33" t="s">
        <v>30</v>
      </c>
      <c r="AS4" s="33" t="s">
        <v>31</v>
      </c>
      <c r="AT4" s="34" t="s">
        <v>32</v>
      </c>
      <c r="AU4" s="35" t="s">
        <v>33</v>
      </c>
      <c r="AV4" s="36" t="s">
        <v>27</v>
      </c>
      <c r="AW4" s="33" t="s">
        <v>28</v>
      </c>
      <c r="AX4" s="33" t="s">
        <v>29</v>
      </c>
      <c r="AY4" s="33" t="s">
        <v>30</v>
      </c>
      <c r="AZ4" s="33" t="s">
        <v>31</v>
      </c>
      <c r="BA4" s="34" t="s">
        <v>32</v>
      </c>
      <c r="BB4" s="35" t="s">
        <v>33</v>
      </c>
      <c r="BC4" s="36" t="s">
        <v>27</v>
      </c>
      <c r="BD4" s="33" t="s">
        <v>28</v>
      </c>
      <c r="BE4" s="33" t="s">
        <v>29</v>
      </c>
      <c r="BF4" s="33" t="s">
        <v>30</v>
      </c>
      <c r="BG4" s="33" t="s">
        <v>31</v>
      </c>
      <c r="BH4" s="34" t="s">
        <v>32</v>
      </c>
      <c r="BI4" s="35" t="s">
        <v>33</v>
      </c>
      <c r="BJ4" s="36" t="s">
        <v>27</v>
      </c>
      <c r="BK4" s="33" t="s">
        <v>28</v>
      </c>
      <c r="BL4" s="33" t="s">
        <v>29</v>
      </c>
      <c r="BM4" s="33" t="s">
        <v>30</v>
      </c>
      <c r="BN4" s="33" t="s">
        <v>31</v>
      </c>
      <c r="BO4" s="34" t="s">
        <v>32</v>
      </c>
      <c r="BP4" s="35" t="s">
        <v>33</v>
      </c>
      <c r="BQ4" s="36" t="s">
        <v>27</v>
      </c>
      <c r="BR4" s="33" t="s">
        <v>28</v>
      </c>
      <c r="BS4" s="33" t="s">
        <v>29</v>
      </c>
      <c r="BT4" s="33" t="s">
        <v>30</v>
      </c>
      <c r="BU4" s="33" t="s">
        <v>31</v>
      </c>
      <c r="BV4" s="34" t="s">
        <v>32</v>
      </c>
      <c r="BW4" s="35" t="s">
        <v>33</v>
      </c>
      <c r="BX4" s="36" t="s">
        <v>27</v>
      </c>
      <c r="BY4" s="33" t="s">
        <v>28</v>
      </c>
      <c r="BZ4" s="33" t="s">
        <v>29</v>
      </c>
      <c r="CA4" s="33" t="s">
        <v>30</v>
      </c>
      <c r="CB4" s="33" t="s">
        <v>31</v>
      </c>
      <c r="CC4" s="34" t="s">
        <v>32</v>
      </c>
      <c r="CD4" s="35" t="s">
        <v>33</v>
      </c>
      <c r="CE4" s="36" t="s">
        <v>27</v>
      </c>
      <c r="CF4" s="33" t="s">
        <v>28</v>
      </c>
      <c r="CG4" s="33" t="s">
        <v>29</v>
      </c>
      <c r="CH4" s="33" t="s">
        <v>30</v>
      </c>
      <c r="CI4" s="33" t="s">
        <v>31</v>
      </c>
      <c r="CJ4" s="34" t="s">
        <v>32</v>
      </c>
      <c r="CK4" s="35" t="s">
        <v>33</v>
      </c>
      <c r="CL4" s="36" t="s">
        <v>27</v>
      </c>
      <c r="CM4" s="33" t="s">
        <v>28</v>
      </c>
      <c r="CN4" s="33" t="s">
        <v>29</v>
      </c>
      <c r="CO4" s="33" t="s">
        <v>30</v>
      </c>
      <c r="CP4" s="33" t="s">
        <v>31</v>
      </c>
      <c r="CQ4" s="34" t="s">
        <v>32</v>
      </c>
      <c r="CR4" s="35" t="s">
        <v>33</v>
      </c>
      <c r="CS4" s="36" t="s">
        <v>27</v>
      </c>
      <c r="CT4" s="33" t="s">
        <v>28</v>
      </c>
      <c r="CU4" s="33" t="s">
        <v>29</v>
      </c>
      <c r="CV4" s="33" t="s">
        <v>30</v>
      </c>
      <c r="CW4" s="33" t="s">
        <v>31</v>
      </c>
      <c r="CX4" s="34" t="s">
        <v>32</v>
      </c>
      <c r="CY4" s="35" t="s">
        <v>33</v>
      </c>
      <c r="CZ4" s="36" t="s">
        <v>27</v>
      </c>
      <c r="DA4" s="33" t="s">
        <v>28</v>
      </c>
      <c r="DB4" s="33" t="s">
        <v>29</v>
      </c>
      <c r="DC4" s="33" t="s">
        <v>30</v>
      </c>
      <c r="DD4" s="33" t="s">
        <v>31</v>
      </c>
      <c r="DE4" s="34" t="s">
        <v>32</v>
      </c>
      <c r="DF4" s="35" t="s">
        <v>33</v>
      </c>
      <c r="DG4" s="36" t="s">
        <v>27</v>
      </c>
      <c r="DH4" s="33" t="s">
        <v>28</v>
      </c>
      <c r="DI4" s="33" t="s">
        <v>29</v>
      </c>
      <c r="DJ4" s="33" t="s">
        <v>30</v>
      </c>
      <c r="DK4" s="33" t="s">
        <v>31</v>
      </c>
      <c r="DL4" s="34" t="s">
        <v>32</v>
      </c>
      <c r="DM4" s="35" t="s">
        <v>33</v>
      </c>
      <c r="DN4" s="36" t="s">
        <v>27</v>
      </c>
      <c r="DO4" s="33" t="s">
        <v>28</v>
      </c>
      <c r="DP4" s="33" t="s">
        <v>29</v>
      </c>
      <c r="DQ4" s="33" t="s">
        <v>30</v>
      </c>
      <c r="DR4" s="33" t="s">
        <v>31</v>
      </c>
      <c r="DS4" s="34" t="s">
        <v>32</v>
      </c>
      <c r="DT4" s="35" t="s">
        <v>33</v>
      </c>
    </row>
    <row r="5" spans="1:124" s="12" customFormat="1" ht="15.6" customHeight="1" thickTop="1" thickBot="1">
      <c r="A5" s="473" t="s">
        <v>34</v>
      </c>
      <c r="B5" s="473">
        <f>_xlfn.XLOOKUP(A25,'VTT project'!B:B,'VTT project'!AK:AK,"-",0)</f>
        <v>0</v>
      </c>
      <c r="C5" s="600" t="str">
        <f>_xlfn.XLOOKUP(A25,'VTT project'!B:B,'VTT project'!AL:AL,"-",0)</f>
        <v>-</v>
      </c>
      <c r="D5" s="547"/>
      <c r="E5" s="548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33" customHeight="1" thickTop="1" thickBot="1">
      <c r="A6" s="473" t="s">
        <v>35</v>
      </c>
      <c r="B6" s="56" t="s">
        <v>189</v>
      </c>
      <c r="C6" s="601">
        <f>_xlfn.XLOOKUP(A25,'VTT project'!B:B,'VTT project'!M:M,"-",0)</f>
        <v>90019100</v>
      </c>
      <c r="D6" s="550"/>
      <c r="E6" s="551"/>
      <c r="F6" s="42">
        <f ca="1">TODAY()-WEEKDAY(TODAY(),3)</f>
        <v>45838</v>
      </c>
      <c r="G6" s="43">
        <f t="shared" ref="G6:AL6" ca="1" si="0">F6+1</f>
        <v>45839</v>
      </c>
      <c r="H6" s="43">
        <f t="shared" ca="1" si="0"/>
        <v>45840</v>
      </c>
      <c r="I6" s="43">
        <f t="shared" ca="1" si="0"/>
        <v>45841</v>
      </c>
      <c r="J6" s="43">
        <f t="shared" ca="1" si="0"/>
        <v>45842</v>
      </c>
      <c r="K6" s="44">
        <f t="shared" ca="1" si="0"/>
        <v>45843</v>
      </c>
      <c r="L6" s="45">
        <f t="shared" ca="1" si="0"/>
        <v>45844</v>
      </c>
      <c r="M6" s="43">
        <f t="shared" ca="1" si="0"/>
        <v>45845</v>
      </c>
      <c r="N6" s="43">
        <f t="shared" ca="1" si="0"/>
        <v>45846</v>
      </c>
      <c r="O6" s="43">
        <f t="shared" ca="1" si="0"/>
        <v>45847</v>
      </c>
      <c r="P6" s="43">
        <f t="shared" ca="1" si="0"/>
        <v>45848</v>
      </c>
      <c r="Q6" s="43">
        <f t="shared" ca="1" si="0"/>
        <v>45849</v>
      </c>
      <c r="R6" s="44">
        <f t="shared" ca="1" si="0"/>
        <v>45850</v>
      </c>
      <c r="S6" s="45">
        <f t="shared" ca="1" si="0"/>
        <v>45851</v>
      </c>
      <c r="T6" s="43">
        <f t="shared" ca="1" si="0"/>
        <v>45852</v>
      </c>
      <c r="U6" s="43">
        <f t="shared" ca="1" si="0"/>
        <v>45853</v>
      </c>
      <c r="V6" s="43">
        <f t="shared" ca="1" si="0"/>
        <v>45854</v>
      </c>
      <c r="W6" s="43">
        <f t="shared" ca="1" si="0"/>
        <v>45855</v>
      </c>
      <c r="X6" s="43">
        <f t="shared" ca="1" si="0"/>
        <v>45856</v>
      </c>
      <c r="Y6" s="44">
        <f t="shared" ca="1" si="0"/>
        <v>45857</v>
      </c>
      <c r="Z6" s="45">
        <f t="shared" ca="1" si="0"/>
        <v>45858</v>
      </c>
      <c r="AA6" s="43">
        <f t="shared" ca="1" si="0"/>
        <v>45859</v>
      </c>
      <c r="AB6" s="43">
        <f t="shared" ca="1" si="0"/>
        <v>45860</v>
      </c>
      <c r="AC6" s="43">
        <f t="shared" ca="1" si="0"/>
        <v>45861</v>
      </c>
      <c r="AD6" s="43">
        <f t="shared" ca="1" si="0"/>
        <v>45862</v>
      </c>
      <c r="AE6" s="43">
        <f t="shared" ca="1" si="0"/>
        <v>45863</v>
      </c>
      <c r="AF6" s="44">
        <f t="shared" ca="1" si="0"/>
        <v>45864</v>
      </c>
      <c r="AG6" s="45">
        <f t="shared" ca="1" si="0"/>
        <v>45865</v>
      </c>
      <c r="AH6" s="43">
        <f t="shared" ca="1" si="0"/>
        <v>45866</v>
      </c>
      <c r="AI6" s="43">
        <f t="shared" ca="1" si="0"/>
        <v>45867</v>
      </c>
      <c r="AJ6" s="43">
        <f t="shared" ca="1" si="0"/>
        <v>45868</v>
      </c>
      <c r="AK6" s="43">
        <f t="shared" ca="1" si="0"/>
        <v>45869</v>
      </c>
      <c r="AL6" s="43">
        <f t="shared" ca="1" si="0"/>
        <v>45870</v>
      </c>
      <c r="AM6" s="44">
        <f t="shared" ref="AM6:BR6" ca="1" si="1">AL6+1</f>
        <v>45871</v>
      </c>
      <c r="AN6" s="45">
        <f t="shared" ca="1" si="1"/>
        <v>45872</v>
      </c>
      <c r="AO6" s="43">
        <f t="shared" ca="1" si="1"/>
        <v>45873</v>
      </c>
      <c r="AP6" s="43">
        <f t="shared" ca="1" si="1"/>
        <v>45874</v>
      </c>
      <c r="AQ6" s="43">
        <f t="shared" ca="1" si="1"/>
        <v>45875</v>
      </c>
      <c r="AR6" s="43">
        <f t="shared" ca="1" si="1"/>
        <v>45876</v>
      </c>
      <c r="AS6" s="43">
        <f t="shared" ca="1" si="1"/>
        <v>45877</v>
      </c>
      <c r="AT6" s="44">
        <f t="shared" ca="1" si="1"/>
        <v>45878</v>
      </c>
      <c r="AU6" s="45">
        <f t="shared" ca="1" si="1"/>
        <v>45879</v>
      </c>
      <c r="AV6" s="43">
        <f t="shared" ca="1" si="1"/>
        <v>45880</v>
      </c>
      <c r="AW6" s="43">
        <f t="shared" ca="1" si="1"/>
        <v>45881</v>
      </c>
      <c r="AX6" s="43">
        <f t="shared" ca="1" si="1"/>
        <v>45882</v>
      </c>
      <c r="AY6" s="43">
        <f t="shared" ca="1" si="1"/>
        <v>45883</v>
      </c>
      <c r="AZ6" s="43">
        <f t="shared" ca="1" si="1"/>
        <v>45884</v>
      </c>
      <c r="BA6" s="44">
        <f t="shared" ca="1" si="1"/>
        <v>45885</v>
      </c>
      <c r="BB6" s="45">
        <f t="shared" ca="1" si="1"/>
        <v>45886</v>
      </c>
      <c r="BC6" s="43">
        <f t="shared" ca="1" si="1"/>
        <v>45887</v>
      </c>
      <c r="BD6" s="43">
        <f t="shared" ca="1" si="1"/>
        <v>45888</v>
      </c>
      <c r="BE6" s="43">
        <f t="shared" ca="1" si="1"/>
        <v>45889</v>
      </c>
      <c r="BF6" s="43">
        <f t="shared" ca="1" si="1"/>
        <v>45890</v>
      </c>
      <c r="BG6" s="43">
        <f t="shared" ca="1" si="1"/>
        <v>45891</v>
      </c>
      <c r="BH6" s="44">
        <f t="shared" ca="1" si="1"/>
        <v>45892</v>
      </c>
      <c r="BI6" s="45">
        <f t="shared" ca="1" si="1"/>
        <v>45893</v>
      </c>
      <c r="BJ6" s="43">
        <f t="shared" ca="1" si="1"/>
        <v>45894</v>
      </c>
      <c r="BK6" s="43">
        <f t="shared" ca="1" si="1"/>
        <v>45895</v>
      </c>
      <c r="BL6" s="43">
        <f t="shared" ca="1" si="1"/>
        <v>45896</v>
      </c>
      <c r="BM6" s="43">
        <f t="shared" ca="1" si="1"/>
        <v>45897</v>
      </c>
      <c r="BN6" s="43">
        <f t="shared" ca="1" si="1"/>
        <v>45898</v>
      </c>
      <c r="BO6" s="44">
        <f t="shared" ca="1" si="1"/>
        <v>45899</v>
      </c>
      <c r="BP6" s="45">
        <f t="shared" ca="1" si="1"/>
        <v>45900</v>
      </c>
      <c r="BQ6" s="43">
        <f t="shared" ca="1" si="1"/>
        <v>45901</v>
      </c>
      <c r="BR6" s="43">
        <f t="shared" ca="1" si="1"/>
        <v>45902</v>
      </c>
      <c r="BS6" s="43">
        <f t="shared" ref="BS6:CX6" ca="1" si="2">BR6+1</f>
        <v>45903</v>
      </c>
      <c r="BT6" s="43">
        <f t="shared" ca="1" si="2"/>
        <v>45904</v>
      </c>
      <c r="BU6" s="43">
        <f t="shared" ca="1" si="2"/>
        <v>45905</v>
      </c>
      <c r="BV6" s="44">
        <f t="shared" ca="1" si="2"/>
        <v>45906</v>
      </c>
      <c r="BW6" s="45">
        <f t="shared" ca="1" si="2"/>
        <v>45907</v>
      </c>
      <c r="BX6" s="43">
        <f t="shared" ca="1" si="2"/>
        <v>45908</v>
      </c>
      <c r="BY6" s="43">
        <f t="shared" ca="1" si="2"/>
        <v>45909</v>
      </c>
      <c r="BZ6" s="43">
        <f t="shared" ca="1" si="2"/>
        <v>45910</v>
      </c>
      <c r="CA6" s="43">
        <f t="shared" ca="1" si="2"/>
        <v>45911</v>
      </c>
      <c r="CB6" s="43">
        <f t="shared" ca="1" si="2"/>
        <v>45912</v>
      </c>
      <c r="CC6" s="44">
        <f t="shared" ca="1" si="2"/>
        <v>45913</v>
      </c>
      <c r="CD6" s="45">
        <f t="shared" ca="1" si="2"/>
        <v>45914</v>
      </c>
      <c r="CE6" s="43">
        <f t="shared" ca="1" si="2"/>
        <v>45915</v>
      </c>
      <c r="CF6" s="43">
        <f t="shared" ca="1" si="2"/>
        <v>45916</v>
      </c>
      <c r="CG6" s="43">
        <f t="shared" ca="1" si="2"/>
        <v>45917</v>
      </c>
      <c r="CH6" s="43">
        <f t="shared" ca="1" si="2"/>
        <v>45918</v>
      </c>
      <c r="CI6" s="43">
        <f t="shared" ca="1" si="2"/>
        <v>45919</v>
      </c>
      <c r="CJ6" s="44">
        <f t="shared" ca="1" si="2"/>
        <v>45920</v>
      </c>
      <c r="CK6" s="45">
        <f t="shared" ca="1" si="2"/>
        <v>45921</v>
      </c>
      <c r="CL6" s="43">
        <f t="shared" ca="1" si="2"/>
        <v>45922</v>
      </c>
      <c r="CM6" s="43">
        <f t="shared" ca="1" si="2"/>
        <v>45923</v>
      </c>
      <c r="CN6" s="43">
        <f t="shared" ca="1" si="2"/>
        <v>45924</v>
      </c>
      <c r="CO6" s="43">
        <f t="shared" ca="1" si="2"/>
        <v>45925</v>
      </c>
      <c r="CP6" s="43">
        <f t="shared" ca="1" si="2"/>
        <v>45926</v>
      </c>
      <c r="CQ6" s="44">
        <f t="shared" ca="1" si="2"/>
        <v>45927</v>
      </c>
      <c r="CR6" s="45">
        <f t="shared" ca="1" si="2"/>
        <v>45928</v>
      </c>
      <c r="CS6" s="43">
        <f t="shared" ca="1" si="2"/>
        <v>45929</v>
      </c>
      <c r="CT6" s="43">
        <f t="shared" ca="1" si="2"/>
        <v>45930</v>
      </c>
      <c r="CU6" s="43">
        <f t="shared" ca="1" si="2"/>
        <v>45931</v>
      </c>
      <c r="CV6" s="43">
        <f t="shared" ca="1" si="2"/>
        <v>45932</v>
      </c>
      <c r="CW6" s="43">
        <f t="shared" ca="1" si="2"/>
        <v>45933</v>
      </c>
      <c r="CX6" s="44">
        <f t="shared" ca="1" si="2"/>
        <v>45934</v>
      </c>
      <c r="CY6" s="45">
        <f t="shared" ref="CY6:DT6" ca="1" si="3">CX6+1</f>
        <v>45935</v>
      </c>
      <c r="CZ6" s="43">
        <f t="shared" ca="1" si="3"/>
        <v>45936</v>
      </c>
      <c r="DA6" s="43">
        <f t="shared" ca="1" si="3"/>
        <v>45937</v>
      </c>
      <c r="DB6" s="43">
        <f t="shared" ca="1" si="3"/>
        <v>45938</v>
      </c>
      <c r="DC6" s="43">
        <f t="shared" ca="1" si="3"/>
        <v>45939</v>
      </c>
      <c r="DD6" s="43">
        <f t="shared" ca="1" si="3"/>
        <v>45940</v>
      </c>
      <c r="DE6" s="44">
        <f t="shared" ca="1" si="3"/>
        <v>45941</v>
      </c>
      <c r="DF6" s="45">
        <f t="shared" ca="1" si="3"/>
        <v>45942</v>
      </c>
      <c r="DG6" s="43">
        <f t="shared" ca="1" si="3"/>
        <v>45943</v>
      </c>
      <c r="DH6" s="43">
        <f t="shared" ca="1" si="3"/>
        <v>45944</v>
      </c>
      <c r="DI6" s="43">
        <f t="shared" ca="1" si="3"/>
        <v>45945</v>
      </c>
      <c r="DJ6" s="43">
        <f t="shared" ca="1" si="3"/>
        <v>45946</v>
      </c>
      <c r="DK6" s="43">
        <f t="shared" ca="1" si="3"/>
        <v>45947</v>
      </c>
      <c r="DL6" s="44">
        <f t="shared" ca="1" si="3"/>
        <v>45948</v>
      </c>
      <c r="DM6" s="45">
        <f t="shared" ca="1" si="3"/>
        <v>45949</v>
      </c>
      <c r="DN6" s="43">
        <f t="shared" ca="1" si="3"/>
        <v>45950</v>
      </c>
      <c r="DO6" s="43">
        <f t="shared" ca="1" si="3"/>
        <v>45951</v>
      </c>
      <c r="DP6" s="43">
        <f t="shared" ca="1" si="3"/>
        <v>45952</v>
      </c>
      <c r="DQ6" s="43">
        <f t="shared" ca="1" si="3"/>
        <v>45953</v>
      </c>
      <c r="DR6" s="43">
        <f t="shared" ca="1" si="3"/>
        <v>45954</v>
      </c>
      <c r="DS6" s="44">
        <f t="shared" ca="1" si="3"/>
        <v>45955</v>
      </c>
      <c r="DT6" s="45">
        <f t="shared" ca="1" si="3"/>
        <v>45956</v>
      </c>
    </row>
    <row r="7" spans="1:124" s="17" customFormat="1" ht="17.25" customHeight="1" thickTop="1">
      <c r="A7" s="473" t="s">
        <v>37</v>
      </c>
      <c r="B7" s="473" t="str">
        <f>_xlfn.XLOOKUP(A25,'VTT project'!B:B,'VTT project'!Z:Z,"-",0)</f>
        <v>FAL1-DKK</v>
      </c>
      <c r="C7" s="40" t="s">
        <v>38</v>
      </c>
      <c r="D7" s="40" t="s">
        <v>39</v>
      </c>
      <c r="E7" s="41" t="s">
        <v>40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6" customHeight="1">
      <c r="A8" s="552" t="e">
        <f ca="1">_xlfn.XLOOKUP(A25,'VTT project'!B:B,'VTT project'!AA:AA,"-",0)&amp;" &gt; "&amp;_xlfn.XLOOKUP(A25,'VTT project'!B:B,'VTT project'!AF:AF,"-",0)</f>
        <v>#N/A</v>
      </c>
      <c r="B8" s="67" t="s">
        <v>41</v>
      </c>
      <c r="C8" s="19">
        <f>_xlfn.XLOOKUP(A25,'VTT project'!B:B,'VTT project'!N:N,"-",0)</f>
        <v>7</v>
      </c>
      <c r="D8" s="68">
        <v>0</v>
      </c>
      <c r="E8" s="19">
        <f>(C8+D8)</f>
        <v>7</v>
      </c>
      <c r="F8" s="13" t="str">
        <f t="shared" ref="F8:O17" si="4">IF(AND(F$5&gt;=$C8,F$5&lt;=$E8),1,"")</f>
        <v/>
      </c>
      <c r="G8" s="14" t="str">
        <f t="shared" si="4"/>
        <v/>
      </c>
      <c r="H8" s="14" t="str">
        <f t="shared" si="4"/>
        <v/>
      </c>
      <c r="I8" s="14" t="str">
        <f t="shared" si="4"/>
        <v/>
      </c>
      <c r="J8" s="14" t="str">
        <f t="shared" si="4"/>
        <v/>
      </c>
      <c r="K8" s="15" t="str">
        <f t="shared" si="4"/>
        <v/>
      </c>
      <c r="L8" s="16">
        <f t="shared" si="4"/>
        <v>1</v>
      </c>
      <c r="M8" s="13" t="str">
        <f t="shared" si="4"/>
        <v/>
      </c>
      <c r="N8" s="14" t="str">
        <f t="shared" si="4"/>
        <v/>
      </c>
      <c r="O8" s="14" t="str">
        <f t="shared" si="4"/>
        <v/>
      </c>
      <c r="P8" s="14" t="str">
        <f t="shared" ref="P8:Y17" si="5">IF(AND(P$5&gt;=$C8,P$5&lt;=$E8),1,"")</f>
        <v/>
      </c>
      <c r="Q8" s="14" t="str">
        <f t="shared" si="5"/>
        <v/>
      </c>
      <c r="R8" s="15" t="str">
        <f t="shared" si="5"/>
        <v/>
      </c>
      <c r="S8" s="16" t="str">
        <f t="shared" si="5"/>
        <v/>
      </c>
      <c r="T8" s="13" t="str">
        <f t="shared" si="5"/>
        <v/>
      </c>
      <c r="U8" s="14" t="str">
        <f t="shared" si="5"/>
        <v/>
      </c>
      <c r="V8" s="14" t="str">
        <f t="shared" si="5"/>
        <v/>
      </c>
      <c r="W8" s="14" t="str">
        <f t="shared" si="5"/>
        <v/>
      </c>
      <c r="X8" s="14" t="str">
        <f t="shared" si="5"/>
        <v/>
      </c>
      <c r="Y8" s="15" t="str">
        <f t="shared" si="5"/>
        <v/>
      </c>
      <c r="Z8" s="16" t="str">
        <f t="shared" ref="Z8:AI17" si="6">IF(AND(Z$5&gt;=$C8,Z$5&lt;=$E8),1,"")</f>
        <v/>
      </c>
      <c r="AA8" s="13" t="str">
        <f t="shared" si="6"/>
        <v/>
      </c>
      <c r="AB8" s="14" t="str">
        <f t="shared" si="6"/>
        <v/>
      </c>
      <c r="AC8" s="14" t="str">
        <f t="shared" si="6"/>
        <v/>
      </c>
      <c r="AD8" s="14" t="str">
        <f t="shared" si="6"/>
        <v/>
      </c>
      <c r="AE8" s="14" t="str">
        <f t="shared" si="6"/>
        <v/>
      </c>
      <c r="AF8" s="15" t="str">
        <f t="shared" si="6"/>
        <v/>
      </c>
      <c r="AG8" s="16" t="str">
        <f t="shared" si="6"/>
        <v/>
      </c>
      <c r="AH8" s="13" t="str">
        <f t="shared" si="6"/>
        <v/>
      </c>
      <c r="AI8" s="14" t="str">
        <f t="shared" si="6"/>
        <v/>
      </c>
      <c r="AJ8" s="14" t="str">
        <f t="shared" ref="AJ8:AS17" si="7">IF(AND(AJ$5&gt;=$C8,AJ$5&lt;=$E8),1,"")</f>
        <v/>
      </c>
      <c r="AK8" s="14" t="str">
        <f t="shared" si="7"/>
        <v/>
      </c>
      <c r="AL8" s="14" t="str">
        <f t="shared" si="7"/>
        <v/>
      </c>
      <c r="AM8" s="15" t="str">
        <f t="shared" si="7"/>
        <v/>
      </c>
      <c r="AN8" s="16" t="str">
        <f t="shared" si="7"/>
        <v/>
      </c>
      <c r="AO8" s="13" t="str">
        <f t="shared" si="7"/>
        <v/>
      </c>
      <c r="AP8" s="14" t="str">
        <f t="shared" si="7"/>
        <v/>
      </c>
      <c r="AQ8" s="14" t="str">
        <f t="shared" si="7"/>
        <v/>
      </c>
      <c r="AR8" s="14" t="str">
        <f t="shared" si="7"/>
        <v/>
      </c>
      <c r="AS8" s="14" t="str">
        <f t="shared" si="7"/>
        <v/>
      </c>
      <c r="AT8" s="15" t="str">
        <f t="shared" ref="AT8:BC17" si="8">IF(AND(AT$5&gt;=$C8,AT$5&lt;=$E8),1,"")</f>
        <v/>
      </c>
      <c r="AU8" s="16" t="str">
        <f t="shared" si="8"/>
        <v/>
      </c>
      <c r="AV8" s="13" t="str">
        <f t="shared" si="8"/>
        <v/>
      </c>
      <c r="AW8" s="14" t="str">
        <f t="shared" si="8"/>
        <v/>
      </c>
      <c r="AX8" s="14" t="str">
        <f t="shared" si="8"/>
        <v/>
      </c>
      <c r="AY8" s="14" t="str">
        <f t="shared" si="8"/>
        <v/>
      </c>
      <c r="AZ8" s="14" t="str">
        <f t="shared" si="8"/>
        <v/>
      </c>
      <c r="BA8" s="15" t="str">
        <f t="shared" si="8"/>
        <v/>
      </c>
      <c r="BB8" s="16" t="str">
        <f t="shared" si="8"/>
        <v/>
      </c>
      <c r="BC8" s="13" t="str">
        <f t="shared" si="8"/>
        <v/>
      </c>
      <c r="BD8" s="14" t="str">
        <f t="shared" ref="BD8:BM17" si="9">IF(AND(BD$5&gt;=$C8,BD$5&lt;=$E8),1,"")</f>
        <v/>
      </c>
      <c r="BE8" s="14" t="str">
        <f t="shared" si="9"/>
        <v/>
      </c>
      <c r="BF8" s="14" t="str">
        <f t="shared" si="9"/>
        <v/>
      </c>
      <c r="BG8" s="14" t="str">
        <f t="shared" si="9"/>
        <v/>
      </c>
      <c r="BH8" s="15" t="str">
        <f t="shared" si="9"/>
        <v/>
      </c>
      <c r="BI8" s="16" t="str">
        <f t="shared" si="9"/>
        <v/>
      </c>
      <c r="BJ8" s="13" t="str">
        <f t="shared" si="9"/>
        <v/>
      </c>
      <c r="BK8" s="14" t="str">
        <f t="shared" si="9"/>
        <v/>
      </c>
      <c r="BL8" s="14" t="str">
        <f t="shared" si="9"/>
        <v/>
      </c>
      <c r="BM8" s="14" t="str">
        <f t="shared" si="9"/>
        <v/>
      </c>
      <c r="BN8" s="14" t="str">
        <f t="shared" ref="BN8:BW17" si="10">IF(AND(BN$5&gt;=$C8,BN$5&lt;=$E8),1,"")</f>
        <v/>
      </c>
      <c r="BO8" s="15" t="str">
        <f t="shared" si="10"/>
        <v/>
      </c>
      <c r="BP8" s="16" t="str">
        <f t="shared" si="10"/>
        <v/>
      </c>
      <c r="BQ8" s="13" t="str">
        <f t="shared" si="10"/>
        <v/>
      </c>
      <c r="BR8" s="14" t="str">
        <f t="shared" si="10"/>
        <v/>
      </c>
      <c r="BS8" s="14" t="str">
        <f t="shared" si="10"/>
        <v/>
      </c>
      <c r="BT8" s="14" t="str">
        <f t="shared" si="10"/>
        <v/>
      </c>
      <c r="BU8" s="14" t="str">
        <f t="shared" si="10"/>
        <v/>
      </c>
      <c r="BV8" s="15" t="str">
        <f t="shared" si="10"/>
        <v/>
      </c>
      <c r="BW8" s="16" t="str">
        <f t="shared" si="10"/>
        <v/>
      </c>
      <c r="BX8" s="13" t="str">
        <f t="shared" ref="BX8:CG17" si="11">IF(AND(BX$5&gt;=$C8,BX$5&lt;=$E8),1,"")</f>
        <v/>
      </c>
      <c r="BY8" s="14" t="str">
        <f t="shared" si="11"/>
        <v/>
      </c>
      <c r="BZ8" s="14" t="str">
        <f t="shared" si="11"/>
        <v/>
      </c>
      <c r="CA8" s="14" t="str">
        <f t="shared" si="11"/>
        <v/>
      </c>
      <c r="CB8" s="14" t="str">
        <f t="shared" si="11"/>
        <v/>
      </c>
      <c r="CC8" s="15" t="str">
        <f t="shared" si="11"/>
        <v/>
      </c>
      <c r="CD8" s="16" t="str">
        <f t="shared" si="11"/>
        <v/>
      </c>
      <c r="CE8" s="13" t="str">
        <f t="shared" si="11"/>
        <v/>
      </c>
      <c r="CF8" s="14" t="str">
        <f t="shared" si="11"/>
        <v/>
      </c>
      <c r="CG8" s="14" t="str">
        <f t="shared" si="11"/>
        <v/>
      </c>
      <c r="CH8" s="14" t="str">
        <f t="shared" ref="CH8:CQ17" si="12">IF(AND(CH$5&gt;=$C8,CH$5&lt;=$E8),1,"")</f>
        <v/>
      </c>
      <c r="CI8" s="14" t="str">
        <f t="shared" si="12"/>
        <v/>
      </c>
      <c r="CJ8" s="15" t="str">
        <f t="shared" si="12"/>
        <v/>
      </c>
      <c r="CK8" s="16" t="str">
        <f t="shared" si="12"/>
        <v/>
      </c>
      <c r="CL8" s="13" t="str">
        <f t="shared" si="12"/>
        <v/>
      </c>
      <c r="CM8" s="14" t="str">
        <f t="shared" si="12"/>
        <v/>
      </c>
      <c r="CN8" s="14" t="str">
        <f t="shared" si="12"/>
        <v/>
      </c>
      <c r="CO8" s="14" t="str">
        <f t="shared" si="12"/>
        <v/>
      </c>
      <c r="CP8" s="14" t="str">
        <f t="shared" si="12"/>
        <v/>
      </c>
      <c r="CQ8" s="15" t="str">
        <f t="shared" si="12"/>
        <v/>
      </c>
      <c r="CR8" s="16" t="str">
        <f t="shared" ref="CR8:DA17" si="13">IF(AND(CR$5&gt;=$C8,CR$5&lt;=$E8),1,"")</f>
        <v/>
      </c>
      <c r="CS8" s="13" t="str">
        <f t="shared" si="13"/>
        <v/>
      </c>
      <c r="CT8" s="14" t="str">
        <f t="shared" si="13"/>
        <v/>
      </c>
      <c r="CU8" s="14" t="str">
        <f t="shared" si="13"/>
        <v/>
      </c>
      <c r="CV8" s="14" t="str">
        <f t="shared" si="13"/>
        <v/>
      </c>
      <c r="CW8" s="14" t="str">
        <f t="shared" si="13"/>
        <v/>
      </c>
      <c r="CX8" s="15" t="str">
        <f t="shared" si="13"/>
        <v/>
      </c>
      <c r="CY8" s="16" t="str">
        <f t="shared" si="13"/>
        <v/>
      </c>
      <c r="CZ8" s="13" t="str">
        <f t="shared" si="13"/>
        <v/>
      </c>
      <c r="DA8" s="14" t="str">
        <f t="shared" si="13"/>
        <v/>
      </c>
      <c r="DB8" s="14" t="str">
        <f t="shared" ref="DB8:DK17" si="14">IF(AND(DB$5&gt;=$C8,DB$5&lt;=$E8),1,"")</f>
        <v/>
      </c>
      <c r="DC8" s="14" t="str">
        <f t="shared" si="14"/>
        <v/>
      </c>
      <c r="DD8" s="14" t="str">
        <f t="shared" si="14"/>
        <v/>
      </c>
      <c r="DE8" s="15" t="str">
        <f t="shared" si="14"/>
        <v/>
      </c>
      <c r="DF8" s="16" t="str">
        <f t="shared" si="14"/>
        <v/>
      </c>
      <c r="DG8" s="13" t="str">
        <f t="shared" si="14"/>
        <v/>
      </c>
      <c r="DH8" s="14" t="str">
        <f t="shared" si="14"/>
        <v/>
      </c>
      <c r="DI8" s="14" t="str">
        <f t="shared" si="14"/>
        <v/>
      </c>
      <c r="DJ8" s="14" t="str">
        <f t="shared" si="14"/>
        <v/>
      </c>
      <c r="DK8" s="14" t="str">
        <f t="shared" si="14"/>
        <v/>
      </c>
      <c r="DL8" s="15" t="str">
        <f t="shared" ref="DL8:DT17" si="15">IF(AND(DL$5&gt;=$C8,DL$5&lt;=$E8),1,"")</f>
        <v/>
      </c>
      <c r="DM8" s="16" t="str">
        <f t="shared" si="15"/>
        <v/>
      </c>
      <c r="DN8" s="13" t="str">
        <f t="shared" si="15"/>
        <v/>
      </c>
      <c r="DO8" s="14" t="str">
        <f t="shared" si="15"/>
        <v/>
      </c>
      <c r="DP8" s="14" t="str">
        <f t="shared" si="15"/>
        <v/>
      </c>
      <c r="DQ8" s="14" t="str">
        <f t="shared" si="15"/>
        <v/>
      </c>
      <c r="DR8" s="14" t="str">
        <f t="shared" si="15"/>
        <v/>
      </c>
      <c r="DS8" s="15" t="str">
        <f t="shared" si="15"/>
        <v/>
      </c>
      <c r="DT8" s="16" t="str">
        <f t="shared" si="15"/>
        <v/>
      </c>
    </row>
    <row r="9" spans="1:124" s="17" customFormat="1" ht="9.6" customHeight="1">
      <c r="A9" s="535"/>
      <c r="B9" s="67" t="str">
        <f>IF(B1="SFK Freight Forwarder","","Day ILN Order")</f>
        <v>Day ILN Order</v>
      </c>
      <c r="C9" s="19">
        <f>IF(B1="SFK Freight Forwarder",0,_xlfn.XLOOKUP(A25,'VTT project'!B:B,'VTT project'!Q:Q,"-",0))</f>
        <v>16</v>
      </c>
      <c r="D9" s="68">
        <v>0</v>
      </c>
      <c r="E9" s="19">
        <f>(C9+D9)</f>
        <v>16</v>
      </c>
      <c r="F9" s="13" t="str">
        <f t="shared" si="4"/>
        <v/>
      </c>
      <c r="G9" s="14" t="str">
        <f t="shared" si="4"/>
        <v/>
      </c>
      <c r="H9" s="14" t="str">
        <f t="shared" si="4"/>
        <v/>
      </c>
      <c r="I9" s="14" t="str">
        <f t="shared" si="4"/>
        <v/>
      </c>
      <c r="J9" s="14" t="str">
        <f t="shared" si="4"/>
        <v/>
      </c>
      <c r="K9" s="15" t="str">
        <f t="shared" si="4"/>
        <v/>
      </c>
      <c r="L9" s="16" t="str">
        <f t="shared" si="4"/>
        <v/>
      </c>
      <c r="M9" s="13" t="str">
        <f t="shared" si="4"/>
        <v/>
      </c>
      <c r="N9" s="14" t="str">
        <f t="shared" si="4"/>
        <v/>
      </c>
      <c r="O9" s="14" t="str">
        <f t="shared" si="4"/>
        <v/>
      </c>
      <c r="P9" s="14" t="str">
        <f t="shared" si="5"/>
        <v/>
      </c>
      <c r="Q9" s="14" t="str">
        <f t="shared" si="5"/>
        <v/>
      </c>
      <c r="R9" s="15" t="str">
        <f t="shared" si="5"/>
        <v/>
      </c>
      <c r="S9" s="16" t="str">
        <f t="shared" si="5"/>
        <v/>
      </c>
      <c r="T9" s="13" t="str">
        <f t="shared" si="5"/>
        <v/>
      </c>
      <c r="U9" s="14">
        <f t="shared" si="5"/>
        <v>1</v>
      </c>
      <c r="V9" s="14" t="str">
        <f t="shared" si="5"/>
        <v/>
      </c>
      <c r="W9" s="14" t="str">
        <f t="shared" si="5"/>
        <v/>
      </c>
      <c r="X9" s="14" t="str">
        <f t="shared" si="5"/>
        <v/>
      </c>
      <c r="Y9" s="15" t="str">
        <f t="shared" si="5"/>
        <v/>
      </c>
      <c r="Z9" s="16" t="str">
        <f t="shared" si="6"/>
        <v/>
      </c>
      <c r="AA9" s="13" t="str">
        <f t="shared" si="6"/>
        <v/>
      </c>
      <c r="AB9" s="14" t="str">
        <f t="shared" si="6"/>
        <v/>
      </c>
      <c r="AC9" s="14" t="str">
        <f t="shared" si="6"/>
        <v/>
      </c>
      <c r="AD9" s="14" t="str">
        <f t="shared" si="6"/>
        <v/>
      </c>
      <c r="AE9" s="14" t="str">
        <f t="shared" si="6"/>
        <v/>
      </c>
      <c r="AF9" s="15" t="str">
        <f t="shared" si="6"/>
        <v/>
      </c>
      <c r="AG9" s="16" t="str">
        <f t="shared" si="6"/>
        <v/>
      </c>
      <c r="AH9" s="13" t="str">
        <f t="shared" si="6"/>
        <v/>
      </c>
      <c r="AI9" s="14" t="str">
        <f t="shared" si="6"/>
        <v/>
      </c>
      <c r="AJ9" s="14" t="str">
        <f t="shared" si="7"/>
        <v/>
      </c>
      <c r="AK9" s="14" t="str">
        <f t="shared" si="7"/>
        <v/>
      </c>
      <c r="AL9" s="14" t="str">
        <f t="shared" si="7"/>
        <v/>
      </c>
      <c r="AM9" s="15" t="str">
        <f t="shared" si="7"/>
        <v/>
      </c>
      <c r="AN9" s="16" t="str">
        <f t="shared" si="7"/>
        <v/>
      </c>
      <c r="AO9" s="13" t="str">
        <f t="shared" si="7"/>
        <v/>
      </c>
      <c r="AP9" s="14" t="str">
        <f t="shared" si="7"/>
        <v/>
      </c>
      <c r="AQ9" s="14" t="str">
        <f t="shared" si="7"/>
        <v/>
      </c>
      <c r="AR9" s="14" t="str">
        <f t="shared" si="7"/>
        <v/>
      </c>
      <c r="AS9" s="14" t="str">
        <f t="shared" si="7"/>
        <v/>
      </c>
      <c r="AT9" s="15" t="str">
        <f t="shared" si="8"/>
        <v/>
      </c>
      <c r="AU9" s="16" t="str">
        <f t="shared" si="8"/>
        <v/>
      </c>
      <c r="AV9" s="13" t="str">
        <f t="shared" si="8"/>
        <v/>
      </c>
      <c r="AW9" s="14" t="str">
        <f t="shared" si="8"/>
        <v/>
      </c>
      <c r="AX9" s="14" t="str">
        <f t="shared" si="8"/>
        <v/>
      </c>
      <c r="AY9" s="14" t="str">
        <f t="shared" si="8"/>
        <v/>
      </c>
      <c r="AZ9" s="14" t="str">
        <f t="shared" si="8"/>
        <v/>
      </c>
      <c r="BA9" s="15" t="str">
        <f t="shared" si="8"/>
        <v/>
      </c>
      <c r="BB9" s="16" t="str">
        <f t="shared" si="8"/>
        <v/>
      </c>
      <c r="BC9" s="13" t="str">
        <f t="shared" si="8"/>
        <v/>
      </c>
      <c r="BD9" s="14" t="str">
        <f t="shared" si="9"/>
        <v/>
      </c>
      <c r="BE9" s="14" t="str">
        <f t="shared" si="9"/>
        <v/>
      </c>
      <c r="BF9" s="14" t="str">
        <f t="shared" si="9"/>
        <v/>
      </c>
      <c r="BG9" s="14" t="str">
        <f t="shared" si="9"/>
        <v/>
      </c>
      <c r="BH9" s="15" t="str">
        <f t="shared" si="9"/>
        <v/>
      </c>
      <c r="BI9" s="16" t="str">
        <f t="shared" si="9"/>
        <v/>
      </c>
      <c r="BJ9" s="13" t="str">
        <f t="shared" si="9"/>
        <v/>
      </c>
      <c r="BK9" s="14" t="str">
        <f t="shared" si="9"/>
        <v/>
      </c>
      <c r="BL9" s="14" t="str">
        <f t="shared" si="9"/>
        <v/>
      </c>
      <c r="BM9" s="14" t="str">
        <f t="shared" si="9"/>
        <v/>
      </c>
      <c r="BN9" s="14" t="str">
        <f t="shared" si="10"/>
        <v/>
      </c>
      <c r="BO9" s="15" t="str">
        <f t="shared" si="10"/>
        <v/>
      </c>
      <c r="BP9" s="16" t="str">
        <f t="shared" si="10"/>
        <v/>
      </c>
      <c r="BQ9" s="13" t="str">
        <f t="shared" si="10"/>
        <v/>
      </c>
      <c r="BR9" s="14" t="str">
        <f t="shared" si="10"/>
        <v/>
      </c>
      <c r="BS9" s="14" t="str">
        <f t="shared" si="10"/>
        <v/>
      </c>
      <c r="BT9" s="14" t="str">
        <f t="shared" si="10"/>
        <v/>
      </c>
      <c r="BU9" s="14" t="str">
        <f t="shared" si="10"/>
        <v/>
      </c>
      <c r="BV9" s="15" t="str">
        <f t="shared" si="10"/>
        <v/>
      </c>
      <c r="BW9" s="16" t="str">
        <f t="shared" si="10"/>
        <v/>
      </c>
      <c r="BX9" s="13" t="str">
        <f t="shared" si="11"/>
        <v/>
      </c>
      <c r="BY9" s="14" t="str">
        <f t="shared" si="11"/>
        <v/>
      </c>
      <c r="BZ9" s="14" t="str">
        <f t="shared" si="11"/>
        <v/>
      </c>
      <c r="CA9" s="14" t="str">
        <f t="shared" si="11"/>
        <v/>
      </c>
      <c r="CB9" s="14" t="str">
        <f t="shared" si="11"/>
        <v/>
      </c>
      <c r="CC9" s="15" t="str">
        <f t="shared" si="11"/>
        <v/>
      </c>
      <c r="CD9" s="16" t="str">
        <f t="shared" si="11"/>
        <v/>
      </c>
      <c r="CE9" s="13" t="str">
        <f t="shared" si="11"/>
        <v/>
      </c>
      <c r="CF9" s="14" t="str">
        <f t="shared" si="11"/>
        <v/>
      </c>
      <c r="CG9" s="14" t="str">
        <f t="shared" si="11"/>
        <v/>
      </c>
      <c r="CH9" s="14" t="str">
        <f t="shared" si="12"/>
        <v/>
      </c>
      <c r="CI9" s="14" t="str">
        <f t="shared" si="12"/>
        <v/>
      </c>
      <c r="CJ9" s="15" t="str">
        <f t="shared" si="12"/>
        <v/>
      </c>
      <c r="CK9" s="16" t="str">
        <f t="shared" si="12"/>
        <v/>
      </c>
      <c r="CL9" s="13" t="str">
        <f t="shared" si="12"/>
        <v/>
      </c>
      <c r="CM9" s="14" t="str">
        <f t="shared" si="12"/>
        <v/>
      </c>
      <c r="CN9" s="14" t="str">
        <f t="shared" si="12"/>
        <v/>
      </c>
      <c r="CO9" s="14" t="str">
        <f t="shared" si="12"/>
        <v/>
      </c>
      <c r="CP9" s="14" t="str">
        <f t="shared" si="12"/>
        <v/>
      </c>
      <c r="CQ9" s="15" t="str">
        <f t="shared" si="12"/>
        <v/>
      </c>
      <c r="CR9" s="16" t="str">
        <f t="shared" si="13"/>
        <v/>
      </c>
      <c r="CS9" s="13" t="str">
        <f t="shared" si="13"/>
        <v/>
      </c>
      <c r="CT9" s="14" t="str">
        <f t="shared" si="13"/>
        <v/>
      </c>
      <c r="CU9" s="14" t="str">
        <f t="shared" si="13"/>
        <v/>
      </c>
      <c r="CV9" s="14" t="str">
        <f t="shared" si="13"/>
        <v/>
      </c>
      <c r="CW9" s="14" t="str">
        <f t="shared" si="13"/>
        <v/>
      </c>
      <c r="CX9" s="15" t="str">
        <f t="shared" si="13"/>
        <v/>
      </c>
      <c r="CY9" s="16" t="str">
        <f t="shared" si="13"/>
        <v/>
      </c>
      <c r="CZ9" s="13" t="str">
        <f t="shared" si="13"/>
        <v/>
      </c>
      <c r="DA9" s="14" t="str">
        <f t="shared" si="13"/>
        <v/>
      </c>
      <c r="DB9" s="14" t="str">
        <f t="shared" si="14"/>
        <v/>
      </c>
      <c r="DC9" s="14" t="str">
        <f t="shared" si="14"/>
        <v/>
      </c>
      <c r="DD9" s="14" t="str">
        <f t="shared" si="14"/>
        <v/>
      </c>
      <c r="DE9" s="15" t="str">
        <f t="shared" si="14"/>
        <v/>
      </c>
      <c r="DF9" s="16" t="str">
        <f t="shared" si="14"/>
        <v/>
      </c>
      <c r="DG9" s="13" t="str">
        <f t="shared" si="14"/>
        <v/>
      </c>
      <c r="DH9" s="14" t="str">
        <f t="shared" si="14"/>
        <v/>
      </c>
      <c r="DI9" s="14" t="str">
        <f t="shared" si="14"/>
        <v/>
      </c>
      <c r="DJ9" s="14" t="str">
        <f t="shared" si="14"/>
        <v/>
      </c>
      <c r="DK9" s="14" t="str">
        <f t="shared" si="14"/>
        <v/>
      </c>
      <c r="DL9" s="15" t="str">
        <f t="shared" si="15"/>
        <v/>
      </c>
      <c r="DM9" s="16" t="str">
        <f t="shared" si="15"/>
        <v/>
      </c>
      <c r="DN9" s="13" t="str">
        <f t="shared" si="15"/>
        <v/>
      </c>
      <c r="DO9" s="14" t="str">
        <f t="shared" si="15"/>
        <v/>
      </c>
      <c r="DP9" s="14" t="str">
        <f t="shared" si="15"/>
        <v/>
      </c>
      <c r="DQ9" s="14" t="str">
        <f t="shared" si="15"/>
        <v/>
      </c>
      <c r="DR9" s="14" t="str">
        <f t="shared" si="15"/>
        <v/>
      </c>
      <c r="DS9" s="15" t="str">
        <f t="shared" si="15"/>
        <v/>
      </c>
      <c r="DT9" s="16" t="str">
        <f t="shared" si="15"/>
        <v/>
      </c>
    </row>
    <row r="10" spans="1:124" s="17" customFormat="1" ht="9.6" customHeight="1">
      <c r="A10" s="535"/>
      <c r="B10" s="67" t="str">
        <f>IF(B1="SFK Freight Forwarder","","Time of recept in AILN")</f>
        <v>Time of recept in AILN</v>
      </c>
      <c r="C10" s="19" t="e">
        <f ca="1">IF(B1="SFK Freight Forwarder",0,_xlfn.XLOOKUP(A25,'VTT project'!B:B,'VTT project'!R:R,"-",0)+E9-1)</f>
        <v>#N/A</v>
      </c>
      <c r="D10" s="19" t="e">
        <f ca="1">IF(B1="SFK Freight Forwarder",0,_xlfn.XLOOKUP(A25,'VTT project'!B:B,'VTT project'!S:S,"-",0))</f>
        <v>#N/A</v>
      </c>
      <c r="E10" s="19" t="e">
        <f ca="1">IF(B1="SFK Freight Forwarder",0,(C10+D10)-1)</f>
        <v>#N/A</v>
      </c>
      <c r="F10" s="13" t="e">
        <f t="shared" ca="1" si="4"/>
        <v>#N/A</v>
      </c>
      <c r="G10" s="14" t="e">
        <f t="shared" ca="1" si="4"/>
        <v>#N/A</v>
      </c>
      <c r="H10" s="14" t="e">
        <f t="shared" ca="1" si="4"/>
        <v>#N/A</v>
      </c>
      <c r="I10" s="14" t="e">
        <f t="shared" ca="1" si="4"/>
        <v>#N/A</v>
      </c>
      <c r="J10" s="14" t="e">
        <f t="shared" ca="1" si="4"/>
        <v>#N/A</v>
      </c>
      <c r="K10" s="15" t="e">
        <f t="shared" ca="1" si="4"/>
        <v>#N/A</v>
      </c>
      <c r="L10" s="16" t="e">
        <f t="shared" ca="1" si="4"/>
        <v>#N/A</v>
      </c>
      <c r="M10" s="13" t="e">
        <f t="shared" ca="1" si="4"/>
        <v>#N/A</v>
      </c>
      <c r="N10" s="14" t="e">
        <f t="shared" ca="1" si="4"/>
        <v>#N/A</v>
      </c>
      <c r="O10" s="14" t="e">
        <f t="shared" ca="1" si="4"/>
        <v>#N/A</v>
      </c>
      <c r="P10" s="14" t="e">
        <f t="shared" ca="1" si="5"/>
        <v>#N/A</v>
      </c>
      <c r="Q10" s="14" t="e">
        <f t="shared" ca="1" si="5"/>
        <v>#N/A</v>
      </c>
      <c r="R10" s="15" t="e">
        <f t="shared" ca="1" si="5"/>
        <v>#N/A</v>
      </c>
      <c r="S10" s="16" t="e">
        <f t="shared" ca="1" si="5"/>
        <v>#N/A</v>
      </c>
      <c r="T10" s="13" t="e">
        <f t="shared" ca="1" si="5"/>
        <v>#N/A</v>
      </c>
      <c r="U10" s="14" t="e">
        <f t="shared" ca="1" si="5"/>
        <v>#N/A</v>
      </c>
      <c r="V10" s="14" t="e">
        <f t="shared" ca="1" si="5"/>
        <v>#N/A</v>
      </c>
      <c r="W10" s="14" t="e">
        <f t="shared" ca="1" si="5"/>
        <v>#N/A</v>
      </c>
      <c r="X10" s="14" t="e">
        <f t="shared" ca="1" si="5"/>
        <v>#N/A</v>
      </c>
      <c r="Y10" s="15" t="e">
        <f t="shared" ca="1" si="5"/>
        <v>#N/A</v>
      </c>
      <c r="Z10" s="16" t="e">
        <f t="shared" ca="1" si="6"/>
        <v>#N/A</v>
      </c>
      <c r="AA10" s="13" t="e">
        <f t="shared" ca="1" si="6"/>
        <v>#N/A</v>
      </c>
      <c r="AB10" s="14" t="e">
        <f t="shared" ca="1" si="6"/>
        <v>#N/A</v>
      </c>
      <c r="AC10" s="14" t="e">
        <f t="shared" ca="1" si="6"/>
        <v>#N/A</v>
      </c>
      <c r="AD10" s="14" t="e">
        <f t="shared" ca="1" si="6"/>
        <v>#N/A</v>
      </c>
      <c r="AE10" s="14" t="e">
        <f t="shared" ca="1" si="6"/>
        <v>#N/A</v>
      </c>
      <c r="AF10" s="15" t="e">
        <f t="shared" ca="1" si="6"/>
        <v>#N/A</v>
      </c>
      <c r="AG10" s="16" t="e">
        <f t="shared" ca="1" si="6"/>
        <v>#N/A</v>
      </c>
      <c r="AH10" s="13" t="e">
        <f t="shared" ca="1" si="6"/>
        <v>#N/A</v>
      </c>
      <c r="AI10" s="14" t="e">
        <f t="shared" ca="1" si="6"/>
        <v>#N/A</v>
      </c>
      <c r="AJ10" s="14" t="e">
        <f t="shared" ca="1" si="7"/>
        <v>#N/A</v>
      </c>
      <c r="AK10" s="14" t="e">
        <f t="shared" ca="1" si="7"/>
        <v>#N/A</v>
      </c>
      <c r="AL10" s="14" t="e">
        <f t="shared" ca="1" si="7"/>
        <v>#N/A</v>
      </c>
      <c r="AM10" s="15" t="e">
        <f t="shared" ca="1" si="7"/>
        <v>#N/A</v>
      </c>
      <c r="AN10" s="16" t="e">
        <f t="shared" ca="1" si="7"/>
        <v>#N/A</v>
      </c>
      <c r="AO10" s="13" t="e">
        <f t="shared" ca="1" si="7"/>
        <v>#N/A</v>
      </c>
      <c r="AP10" s="14" t="e">
        <f t="shared" ca="1" si="7"/>
        <v>#N/A</v>
      </c>
      <c r="AQ10" s="14" t="e">
        <f t="shared" ca="1" si="7"/>
        <v>#N/A</v>
      </c>
      <c r="AR10" s="14" t="e">
        <f t="shared" ca="1" si="7"/>
        <v>#N/A</v>
      </c>
      <c r="AS10" s="14" t="e">
        <f t="shared" ca="1" si="7"/>
        <v>#N/A</v>
      </c>
      <c r="AT10" s="15" t="e">
        <f t="shared" ca="1" si="8"/>
        <v>#N/A</v>
      </c>
      <c r="AU10" s="16" t="e">
        <f t="shared" ca="1" si="8"/>
        <v>#N/A</v>
      </c>
      <c r="AV10" s="13" t="e">
        <f t="shared" ca="1" si="8"/>
        <v>#N/A</v>
      </c>
      <c r="AW10" s="14" t="e">
        <f t="shared" ca="1" si="8"/>
        <v>#N/A</v>
      </c>
      <c r="AX10" s="14" t="e">
        <f t="shared" ca="1" si="8"/>
        <v>#N/A</v>
      </c>
      <c r="AY10" s="14" t="e">
        <f t="shared" ca="1" si="8"/>
        <v>#N/A</v>
      </c>
      <c r="AZ10" s="14" t="e">
        <f t="shared" ca="1" si="8"/>
        <v>#N/A</v>
      </c>
      <c r="BA10" s="15" t="e">
        <f t="shared" ca="1" si="8"/>
        <v>#N/A</v>
      </c>
      <c r="BB10" s="16" t="e">
        <f t="shared" ca="1" si="8"/>
        <v>#N/A</v>
      </c>
      <c r="BC10" s="13" t="e">
        <f t="shared" ca="1" si="8"/>
        <v>#N/A</v>
      </c>
      <c r="BD10" s="14" t="e">
        <f t="shared" ca="1" si="9"/>
        <v>#N/A</v>
      </c>
      <c r="BE10" s="14" t="e">
        <f t="shared" ca="1" si="9"/>
        <v>#N/A</v>
      </c>
      <c r="BF10" s="14" t="e">
        <f t="shared" ca="1" si="9"/>
        <v>#N/A</v>
      </c>
      <c r="BG10" s="14" t="e">
        <f t="shared" ca="1" si="9"/>
        <v>#N/A</v>
      </c>
      <c r="BH10" s="15" t="e">
        <f t="shared" ca="1" si="9"/>
        <v>#N/A</v>
      </c>
      <c r="BI10" s="16" t="e">
        <f t="shared" ca="1" si="9"/>
        <v>#N/A</v>
      </c>
      <c r="BJ10" s="13" t="e">
        <f t="shared" ca="1" si="9"/>
        <v>#N/A</v>
      </c>
      <c r="BK10" s="14" t="e">
        <f t="shared" ca="1" si="9"/>
        <v>#N/A</v>
      </c>
      <c r="BL10" s="14" t="e">
        <f t="shared" ca="1" si="9"/>
        <v>#N/A</v>
      </c>
      <c r="BM10" s="14" t="e">
        <f t="shared" ca="1" si="9"/>
        <v>#N/A</v>
      </c>
      <c r="BN10" s="14" t="e">
        <f t="shared" ca="1" si="10"/>
        <v>#N/A</v>
      </c>
      <c r="BO10" s="15" t="e">
        <f t="shared" ca="1" si="10"/>
        <v>#N/A</v>
      </c>
      <c r="BP10" s="16" t="e">
        <f t="shared" ca="1" si="10"/>
        <v>#N/A</v>
      </c>
      <c r="BQ10" s="13" t="e">
        <f t="shared" ca="1" si="10"/>
        <v>#N/A</v>
      </c>
      <c r="BR10" s="14" t="e">
        <f t="shared" ca="1" si="10"/>
        <v>#N/A</v>
      </c>
      <c r="BS10" s="14" t="e">
        <f t="shared" ca="1" si="10"/>
        <v>#N/A</v>
      </c>
      <c r="BT10" s="14" t="e">
        <f t="shared" ca="1" si="10"/>
        <v>#N/A</v>
      </c>
      <c r="BU10" s="14" t="e">
        <f t="shared" ca="1" si="10"/>
        <v>#N/A</v>
      </c>
      <c r="BV10" s="15" t="e">
        <f t="shared" ca="1" si="10"/>
        <v>#N/A</v>
      </c>
      <c r="BW10" s="16" t="e">
        <f t="shared" ca="1" si="10"/>
        <v>#N/A</v>
      </c>
      <c r="BX10" s="13" t="e">
        <f t="shared" ca="1" si="11"/>
        <v>#N/A</v>
      </c>
      <c r="BY10" s="14" t="e">
        <f t="shared" ca="1" si="11"/>
        <v>#N/A</v>
      </c>
      <c r="BZ10" s="14" t="e">
        <f t="shared" ca="1" si="11"/>
        <v>#N/A</v>
      </c>
      <c r="CA10" s="14" t="e">
        <f t="shared" ca="1" si="11"/>
        <v>#N/A</v>
      </c>
      <c r="CB10" s="14" t="e">
        <f t="shared" ca="1" si="11"/>
        <v>#N/A</v>
      </c>
      <c r="CC10" s="15" t="e">
        <f t="shared" ca="1" si="11"/>
        <v>#N/A</v>
      </c>
      <c r="CD10" s="16" t="e">
        <f t="shared" ca="1" si="11"/>
        <v>#N/A</v>
      </c>
      <c r="CE10" s="13" t="e">
        <f t="shared" ca="1" si="11"/>
        <v>#N/A</v>
      </c>
      <c r="CF10" s="14" t="e">
        <f t="shared" ca="1" si="11"/>
        <v>#N/A</v>
      </c>
      <c r="CG10" s="14" t="e">
        <f t="shared" ca="1" si="11"/>
        <v>#N/A</v>
      </c>
      <c r="CH10" s="14" t="e">
        <f t="shared" ca="1" si="12"/>
        <v>#N/A</v>
      </c>
      <c r="CI10" s="14" t="e">
        <f t="shared" ca="1" si="12"/>
        <v>#N/A</v>
      </c>
      <c r="CJ10" s="15" t="e">
        <f t="shared" ca="1" si="12"/>
        <v>#N/A</v>
      </c>
      <c r="CK10" s="16" t="e">
        <f t="shared" ca="1" si="12"/>
        <v>#N/A</v>
      </c>
      <c r="CL10" s="13" t="e">
        <f t="shared" ca="1" si="12"/>
        <v>#N/A</v>
      </c>
      <c r="CM10" s="14" t="e">
        <f t="shared" ca="1" si="12"/>
        <v>#N/A</v>
      </c>
      <c r="CN10" s="14" t="e">
        <f t="shared" ca="1" si="12"/>
        <v>#N/A</v>
      </c>
      <c r="CO10" s="14" t="e">
        <f t="shared" ca="1" si="12"/>
        <v>#N/A</v>
      </c>
      <c r="CP10" s="14" t="e">
        <f t="shared" ca="1" si="12"/>
        <v>#N/A</v>
      </c>
      <c r="CQ10" s="15" t="e">
        <f t="shared" ca="1" si="12"/>
        <v>#N/A</v>
      </c>
      <c r="CR10" s="16" t="e">
        <f t="shared" ca="1" si="13"/>
        <v>#N/A</v>
      </c>
      <c r="CS10" s="13" t="e">
        <f t="shared" ca="1" si="13"/>
        <v>#N/A</v>
      </c>
      <c r="CT10" s="14" t="e">
        <f t="shared" ca="1" si="13"/>
        <v>#N/A</v>
      </c>
      <c r="CU10" s="14" t="e">
        <f t="shared" ca="1" si="13"/>
        <v>#N/A</v>
      </c>
      <c r="CV10" s="14" t="e">
        <f t="shared" ca="1" si="13"/>
        <v>#N/A</v>
      </c>
      <c r="CW10" s="14" t="e">
        <f t="shared" ca="1" si="13"/>
        <v>#N/A</v>
      </c>
      <c r="CX10" s="15" t="e">
        <f t="shared" ca="1" si="13"/>
        <v>#N/A</v>
      </c>
      <c r="CY10" s="16" t="e">
        <f t="shared" ca="1" si="13"/>
        <v>#N/A</v>
      </c>
      <c r="CZ10" s="13" t="e">
        <f t="shared" ca="1" si="13"/>
        <v>#N/A</v>
      </c>
      <c r="DA10" s="14" t="e">
        <f t="shared" ca="1" si="13"/>
        <v>#N/A</v>
      </c>
      <c r="DB10" s="14" t="e">
        <f t="shared" ca="1" si="14"/>
        <v>#N/A</v>
      </c>
      <c r="DC10" s="14" t="e">
        <f t="shared" ca="1" si="14"/>
        <v>#N/A</v>
      </c>
      <c r="DD10" s="14" t="e">
        <f t="shared" ca="1" si="14"/>
        <v>#N/A</v>
      </c>
      <c r="DE10" s="15" t="e">
        <f t="shared" ca="1" si="14"/>
        <v>#N/A</v>
      </c>
      <c r="DF10" s="16" t="e">
        <f t="shared" ca="1" si="14"/>
        <v>#N/A</v>
      </c>
      <c r="DG10" s="13" t="e">
        <f t="shared" ca="1" si="14"/>
        <v>#N/A</v>
      </c>
      <c r="DH10" s="14" t="e">
        <f t="shared" ca="1" si="14"/>
        <v>#N/A</v>
      </c>
      <c r="DI10" s="14" t="e">
        <f t="shared" ca="1" si="14"/>
        <v>#N/A</v>
      </c>
      <c r="DJ10" s="14" t="e">
        <f t="shared" ca="1" si="14"/>
        <v>#N/A</v>
      </c>
      <c r="DK10" s="14" t="e">
        <f t="shared" ca="1" si="14"/>
        <v>#N/A</v>
      </c>
      <c r="DL10" s="15" t="e">
        <f t="shared" ca="1" si="15"/>
        <v>#N/A</v>
      </c>
      <c r="DM10" s="16" t="e">
        <f t="shared" ca="1" si="15"/>
        <v>#N/A</v>
      </c>
      <c r="DN10" s="13" t="e">
        <f t="shared" ca="1" si="15"/>
        <v>#N/A</v>
      </c>
      <c r="DO10" s="14" t="e">
        <f t="shared" ca="1" si="15"/>
        <v>#N/A</v>
      </c>
      <c r="DP10" s="14" t="e">
        <f t="shared" ca="1" si="15"/>
        <v>#N/A</v>
      </c>
      <c r="DQ10" s="14" t="e">
        <f t="shared" ca="1" si="15"/>
        <v>#N/A</v>
      </c>
      <c r="DR10" s="14" t="e">
        <f t="shared" ca="1" si="15"/>
        <v>#N/A</v>
      </c>
      <c r="DS10" s="15" t="e">
        <f t="shared" ca="1" si="15"/>
        <v>#N/A</v>
      </c>
      <c r="DT10" s="16" t="e">
        <f t="shared" ca="1" si="15"/>
        <v>#N/A</v>
      </c>
    </row>
    <row r="11" spans="1:124" s="17" customFormat="1" ht="9.6" customHeight="1">
      <c r="A11" s="535"/>
      <c r="B11" s="18" t="s">
        <v>42</v>
      </c>
      <c r="C11" s="19" t="e">
        <f ca="1">_xlfn.XLOOKUP(A25,'VTT project'!B:B,'VTT project'!U:U,"-",0)+1</f>
        <v>#N/A</v>
      </c>
      <c r="D11" s="19" t="e">
        <f ca="1">_xlfn.XLOOKUP(A25,'VTT project'!B:B,'VTT project'!T:T,"-",0)</f>
        <v>#N/A</v>
      </c>
      <c r="E11" s="19" t="e">
        <f ca="1">(C11+D11)-1</f>
        <v>#N/A</v>
      </c>
      <c r="F11" s="13" t="e">
        <f t="shared" ca="1" si="4"/>
        <v>#N/A</v>
      </c>
      <c r="G11" s="14" t="e">
        <f t="shared" ca="1" si="4"/>
        <v>#N/A</v>
      </c>
      <c r="H11" s="14" t="e">
        <f t="shared" ca="1" si="4"/>
        <v>#N/A</v>
      </c>
      <c r="I11" s="14" t="e">
        <f t="shared" ca="1" si="4"/>
        <v>#N/A</v>
      </c>
      <c r="J11" s="14" t="e">
        <f t="shared" ca="1" si="4"/>
        <v>#N/A</v>
      </c>
      <c r="K11" s="15" t="e">
        <f t="shared" ca="1" si="4"/>
        <v>#N/A</v>
      </c>
      <c r="L11" s="16" t="e">
        <f t="shared" ca="1" si="4"/>
        <v>#N/A</v>
      </c>
      <c r="M11" s="13" t="e">
        <f t="shared" ca="1" si="4"/>
        <v>#N/A</v>
      </c>
      <c r="N11" s="14" t="e">
        <f t="shared" ca="1" si="4"/>
        <v>#N/A</v>
      </c>
      <c r="O11" s="14" t="e">
        <f t="shared" ca="1" si="4"/>
        <v>#N/A</v>
      </c>
      <c r="P11" s="14" t="e">
        <f t="shared" ca="1" si="5"/>
        <v>#N/A</v>
      </c>
      <c r="Q11" s="14" t="e">
        <f t="shared" ca="1" si="5"/>
        <v>#N/A</v>
      </c>
      <c r="R11" s="15" t="e">
        <f t="shared" ca="1" si="5"/>
        <v>#N/A</v>
      </c>
      <c r="S11" s="16" t="e">
        <f t="shared" ca="1" si="5"/>
        <v>#N/A</v>
      </c>
      <c r="T11" s="13" t="e">
        <f t="shared" ca="1" si="5"/>
        <v>#N/A</v>
      </c>
      <c r="U11" s="14" t="e">
        <f t="shared" ca="1" si="5"/>
        <v>#N/A</v>
      </c>
      <c r="V11" s="14" t="e">
        <f t="shared" ca="1" si="5"/>
        <v>#N/A</v>
      </c>
      <c r="W11" s="14" t="e">
        <f t="shared" ca="1" si="5"/>
        <v>#N/A</v>
      </c>
      <c r="X11" s="14" t="e">
        <f t="shared" ca="1" si="5"/>
        <v>#N/A</v>
      </c>
      <c r="Y11" s="15" t="e">
        <f t="shared" ca="1" si="5"/>
        <v>#N/A</v>
      </c>
      <c r="Z11" s="16" t="e">
        <f t="shared" ca="1" si="6"/>
        <v>#N/A</v>
      </c>
      <c r="AA11" s="13" t="e">
        <f t="shared" ca="1" si="6"/>
        <v>#N/A</v>
      </c>
      <c r="AB11" s="14" t="e">
        <f t="shared" ca="1" si="6"/>
        <v>#N/A</v>
      </c>
      <c r="AC11" s="14" t="e">
        <f t="shared" ca="1" si="6"/>
        <v>#N/A</v>
      </c>
      <c r="AD11" s="14" t="e">
        <f t="shared" ca="1" si="6"/>
        <v>#N/A</v>
      </c>
      <c r="AE11" s="14" t="e">
        <f t="shared" ca="1" si="6"/>
        <v>#N/A</v>
      </c>
      <c r="AF11" s="15" t="e">
        <f t="shared" ca="1" si="6"/>
        <v>#N/A</v>
      </c>
      <c r="AG11" s="16" t="e">
        <f t="shared" ca="1" si="6"/>
        <v>#N/A</v>
      </c>
      <c r="AH11" s="13" t="e">
        <f t="shared" ca="1" si="6"/>
        <v>#N/A</v>
      </c>
      <c r="AI11" s="14" t="e">
        <f t="shared" ca="1" si="6"/>
        <v>#N/A</v>
      </c>
      <c r="AJ11" s="14" t="e">
        <f t="shared" ca="1" si="7"/>
        <v>#N/A</v>
      </c>
      <c r="AK11" s="14" t="e">
        <f t="shared" ca="1" si="7"/>
        <v>#N/A</v>
      </c>
      <c r="AL11" s="14" t="e">
        <f t="shared" ca="1" si="7"/>
        <v>#N/A</v>
      </c>
      <c r="AM11" s="15" t="e">
        <f t="shared" ca="1" si="7"/>
        <v>#N/A</v>
      </c>
      <c r="AN11" s="16" t="e">
        <f t="shared" ca="1" si="7"/>
        <v>#N/A</v>
      </c>
      <c r="AO11" s="13" t="e">
        <f t="shared" ca="1" si="7"/>
        <v>#N/A</v>
      </c>
      <c r="AP11" s="14" t="e">
        <f t="shared" ca="1" si="7"/>
        <v>#N/A</v>
      </c>
      <c r="AQ11" s="14" t="e">
        <f t="shared" ca="1" si="7"/>
        <v>#N/A</v>
      </c>
      <c r="AR11" s="14" t="e">
        <f t="shared" ca="1" si="7"/>
        <v>#N/A</v>
      </c>
      <c r="AS11" s="14" t="e">
        <f t="shared" ca="1" si="7"/>
        <v>#N/A</v>
      </c>
      <c r="AT11" s="15" t="e">
        <f t="shared" ca="1" si="8"/>
        <v>#N/A</v>
      </c>
      <c r="AU11" s="16" t="e">
        <f t="shared" ca="1" si="8"/>
        <v>#N/A</v>
      </c>
      <c r="AV11" s="13" t="e">
        <f t="shared" ca="1" si="8"/>
        <v>#N/A</v>
      </c>
      <c r="AW11" s="14" t="e">
        <f t="shared" ca="1" si="8"/>
        <v>#N/A</v>
      </c>
      <c r="AX11" s="14" t="e">
        <f t="shared" ca="1" si="8"/>
        <v>#N/A</v>
      </c>
      <c r="AY11" s="14" t="e">
        <f t="shared" ca="1" si="8"/>
        <v>#N/A</v>
      </c>
      <c r="AZ11" s="14" t="e">
        <f t="shared" ca="1" si="8"/>
        <v>#N/A</v>
      </c>
      <c r="BA11" s="15" t="e">
        <f t="shared" ca="1" si="8"/>
        <v>#N/A</v>
      </c>
      <c r="BB11" s="16" t="e">
        <f t="shared" ca="1" si="8"/>
        <v>#N/A</v>
      </c>
      <c r="BC11" s="13" t="e">
        <f t="shared" ca="1" si="8"/>
        <v>#N/A</v>
      </c>
      <c r="BD11" s="14" t="e">
        <f t="shared" ca="1" si="9"/>
        <v>#N/A</v>
      </c>
      <c r="BE11" s="14" t="e">
        <f t="shared" ca="1" si="9"/>
        <v>#N/A</v>
      </c>
      <c r="BF11" s="14" t="e">
        <f t="shared" ca="1" si="9"/>
        <v>#N/A</v>
      </c>
      <c r="BG11" s="14" t="e">
        <f t="shared" ca="1" si="9"/>
        <v>#N/A</v>
      </c>
      <c r="BH11" s="15" t="e">
        <f t="shared" ca="1" si="9"/>
        <v>#N/A</v>
      </c>
      <c r="BI11" s="16" t="e">
        <f t="shared" ca="1" si="9"/>
        <v>#N/A</v>
      </c>
      <c r="BJ11" s="13" t="e">
        <f t="shared" ca="1" si="9"/>
        <v>#N/A</v>
      </c>
      <c r="BK11" s="14" t="e">
        <f t="shared" ca="1" si="9"/>
        <v>#N/A</v>
      </c>
      <c r="BL11" s="14" t="e">
        <f t="shared" ca="1" si="9"/>
        <v>#N/A</v>
      </c>
      <c r="BM11" s="14" t="e">
        <f t="shared" ca="1" si="9"/>
        <v>#N/A</v>
      </c>
      <c r="BN11" s="14" t="e">
        <f t="shared" ca="1" si="10"/>
        <v>#N/A</v>
      </c>
      <c r="BO11" s="15" t="e">
        <f t="shared" ca="1" si="10"/>
        <v>#N/A</v>
      </c>
      <c r="BP11" s="16" t="e">
        <f t="shared" ca="1" si="10"/>
        <v>#N/A</v>
      </c>
      <c r="BQ11" s="13" t="e">
        <f t="shared" ca="1" si="10"/>
        <v>#N/A</v>
      </c>
      <c r="BR11" s="14" t="e">
        <f t="shared" ca="1" si="10"/>
        <v>#N/A</v>
      </c>
      <c r="BS11" s="14" t="e">
        <f t="shared" ca="1" si="10"/>
        <v>#N/A</v>
      </c>
      <c r="BT11" s="14" t="e">
        <f t="shared" ca="1" si="10"/>
        <v>#N/A</v>
      </c>
      <c r="BU11" s="14" t="e">
        <f t="shared" ca="1" si="10"/>
        <v>#N/A</v>
      </c>
      <c r="BV11" s="15" t="e">
        <f t="shared" ca="1" si="10"/>
        <v>#N/A</v>
      </c>
      <c r="BW11" s="16" t="e">
        <f t="shared" ca="1" si="10"/>
        <v>#N/A</v>
      </c>
      <c r="BX11" s="13" t="e">
        <f t="shared" ca="1" si="11"/>
        <v>#N/A</v>
      </c>
      <c r="BY11" s="14" t="e">
        <f t="shared" ca="1" si="11"/>
        <v>#N/A</v>
      </c>
      <c r="BZ11" s="14" t="e">
        <f t="shared" ca="1" si="11"/>
        <v>#N/A</v>
      </c>
      <c r="CA11" s="14" t="e">
        <f t="shared" ca="1" si="11"/>
        <v>#N/A</v>
      </c>
      <c r="CB11" s="14" t="e">
        <f t="shared" ca="1" si="11"/>
        <v>#N/A</v>
      </c>
      <c r="CC11" s="15" t="e">
        <f t="shared" ca="1" si="11"/>
        <v>#N/A</v>
      </c>
      <c r="CD11" s="16" t="e">
        <f t="shared" ca="1" si="11"/>
        <v>#N/A</v>
      </c>
      <c r="CE11" s="13" t="e">
        <f t="shared" ca="1" si="11"/>
        <v>#N/A</v>
      </c>
      <c r="CF11" s="14" t="e">
        <f t="shared" ca="1" si="11"/>
        <v>#N/A</v>
      </c>
      <c r="CG11" s="14" t="e">
        <f t="shared" ca="1" si="11"/>
        <v>#N/A</v>
      </c>
      <c r="CH11" s="14" t="e">
        <f t="shared" ca="1" si="12"/>
        <v>#N/A</v>
      </c>
      <c r="CI11" s="14" t="e">
        <f t="shared" ca="1" si="12"/>
        <v>#N/A</v>
      </c>
      <c r="CJ11" s="15" t="e">
        <f t="shared" ca="1" si="12"/>
        <v>#N/A</v>
      </c>
      <c r="CK11" s="16" t="e">
        <f t="shared" ca="1" si="12"/>
        <v>#N/A</v>
      </c>
      <c r="CL11" s="13" t="e">
        <f t="shared" ca="1" si="12"/>
        <v>#N/A</v>
      </c>
      <c r="CM11" s="14" t="e">
        <f t="shared" ca="1" si="12"/>
        <v>#N/A</v>
      </c>
      <c r="CN11" s="14" t="e">
        <f t="shared" ca="1" si="12"/>
        <v>#N/A</v>
      </c>
      <c r="CO11" s="14" t="e">
        <f t="shared" ca="1" si="12"/>
        <v>#N/A</v>
      </c>
      <c r="CP11" s="14" t="e">
        <f t="shared" ca="1" si="12"/>
        <v>#N/A</v>
      </c>
      <c r="CQ11" s="15" t="e">
        <f t="shared" ca="1" si="12"/>
        <v>#N/A</v>
      </c>
      <c r="CR11" s="16" t="e">
        <f t="shared" ca="1" si="13"/>
        <v>#N/A</v>
      </c>
      <c r="CS11" s="13" t="e">
        <f t="shared" ca="1" si="13"/>
        <v>#N/A</v>
      </c>
      <c r="CT11" s="14" t="e">
        <f t="shared" ca="1" si="13"/>
        <v>#N/A</v>
      </c>
      <c r="CU11" s="14" t="e">
        <f t="shared" ca="1" si="13"/>
        <v>#N/A</v>
      </c>
      <c r="CV11" s="14" t="e">
        <f t="shared" ca="1" si="13"/>
        <v>#N/A</v>
      </c>
      <c r="CW11" s="14" t="e">
        <f t="shared" ca="1" si="13"/>
        <v>#N/A</v>
      </c>
      <c r="CX11" s="15" t="e">
        <f t="shared" ca="1" si="13"/>
        <v>#N/A</v>
      </c>
      <c r="CY11" s="16" t="e">
        <f t="shared" ca="1" si="13"/>
        <v>#N/A</v>
      </c>
      <c r="CZ11" s="13" t="e">
        <f t="shared" ca="1" si="13"/>
        <v>#N/A</v>
      </c>
      <c r="DA11" s="14" t="e">
        <f t="shared" ca="1" si="13"/>
        <v>#N/A</v>
      </c>
      <c r="DB11" s="14" t="e">
        <f t="shared" ca="1" si="14"/>
        <v>#N/A</v>
      </c>
      <c r="DC11" s="14" t="e">
        <f t="shared" ca="1" si="14"/>
        <v>#N/A</v>
      </c>
      <c r="DD11" s="14" t="e">
        <f t="shared" ca="1" si="14"/>
        <v>#N/A</v>
      </c>
      <c r="DE11" s="15" t="e">
        <f t="shared" ca="1" si="14"/>
        <v>#N/A</v>
      </c>
      <c r="DF11" s="16" t="e">
        <f t="shared" ca="1" si="14"/>
        <v>#N/A</v>
      </c>
      <c r="DG11" s="13" t="e">
        <f t="shared" ca="1" si="14"/>
        <v>#N/A</v>
      </c>
      <c r="DH11" s="14" t="e">
        <f t="shared" ca="1" si="14"/>
        <v>#N/A</v>
      </c>
      <c r="DI11" s="14" t="e">
        <f t="shared" ca="1" si="14"/>
        <v>#N/A</v>
      </c>
      <c r="DJ11" s="14" t="e">
        <f t="shared" ca="1" si="14"/>
        <v>#N/A</v>
      </c>
      <c r="DK11" s="14" t="e">
        <f t="shared" ca="1" si="14"/>
        <v>#N/A</v>
      </c>
      <c r="DL11" s="15" t="e">
        <f t="shared" ca="1" si="15"/>
        <v>#N/A</v>
      </c>
      <c r="DM11" s="16" t="e">
        <f t="shared" ca="1" si="15"/>
        <v>#N/A</v>
      </c>
      <c r="DN11" s="13" t="e">
        <f t="shared" ca="1" si="15"/>
        <v>#N/A</v>
      </c>
      <c r="DO11" s="14" t="e">
        <f t="shared" ca="1" si="15"/>
        <v>#N/A</v>
      </c>
      <c r="DP11" s="14" t="e">
        <f t="shared" ca="1" si="15"/>
        <v>#N/A</v>
      </c>
      <c r="DQ11" s="14" t="e">
        <f t="shared" ca="1" si="15"/>
        <v>#N/A</v>
      </c>
      <c r="DR11" s="14" t="e">
        <f t="shared" ca="1" si="15"/>
        <v>#N/A</v>
      </c>
      <c r="DS11" s="15" t="e">
        <f t="shared" ca="1" si="15"/>
        <v>#N/A</v>
      </c>
      <c r="DT11" s="16" t="e">
        <f t="shared" ca="1" si="15"/>
        <v>#N/A</v>
      </c>
    </row>
    <row r="12" spans="1:124" s="17" customFormat="1" ht="9.6" customHeight="1">
      <c r="A12" s="535"/>
      <c r="B12" s="18" t="s">
        <v>43</v>
      </c>
      <c r="C12" s="19" t="e">
        <f ca="1">E11+1</f>
        <v>#N/A</v>
      </c>
      <c r="D12" s="19" t="e">
        <f ca="1">_xlfn.XLOOKUP(A25,'VTT project'!B:B,'VTT project'!V:V,"-",0)</f>
        <v>#N/A</v>
      </c>
      <c r="E12" s="21" t="e">
        <f ca="1">(C12+D12)-1</f>
        <v>#N/A</v>
      </c>
      <c r="F12" s="13" t="e">
        <f t="shared" ca="1" si="4"/>
        <v>#N/A</v>
      </c>
      <c r="G12" s="14" t="e">
        <f t="shared" ca="1" si="4"/>
        <v>#N/A</v>
      </c>
      <c r="H12" s="14" t="e">
        <f t="shared" ca="1" si="4"/>
        <v>#N/A</v>
      </c>
      <c r="I12" s="14" t="e">
        <f t="shared" ca="1" si="4"/>
        <v>#N/A</v>
      </c>
      <c r="J12" s="14" t="e">
        <f t="shared" ca="1" si="4"/>
        <v>#N/A</v>
      </c>
      <c r="K12" s="15" t="e">
        <f t="shared" ca="1" si="4"/>
        <v>#N/A</v>
      </c>
      <c r="L12" s="16" t="e">
        <f t="shared" ca="1" si="4"/>
        <v>#N/A</v>
      </c>
      <c r="M12" s="13" t="e">
        <f t="shared" ca="1" si="4"/>
        <v>#N/A</v>
      </c>
      <c r="N12" s="14" t="e">
        <f t="shared" ca="1" si="4"/>
        <v>#N/A</v>
      </c>
      <c r="O12" s="14" t="e">
        <f t="shared" ca="1" si="4"/>
        <v>#N/A</v>
      </c>
      <c r="P12" s="14" t="e">
        <f t="shared" ca="1" si="5"/>
        <v>#N/A</v>
      </c>
      <c r="Q12" s="14" t="e">
        <f t="shared" ca="1" si="5"/>
        <v>#N/A</v>
      </c>
      <c r="R12" s="15" t="e">
        <f t="shared" ca="1" si="5"/>
        <v>#N/A</v>
      </c>
      <c r="S12" s="16" t="e">
        <f t="shared" ca="1" si="5"/>
        <v>#N/A</v>
      </c>
      <c r="T12" s="13" t="e">
        <f t="shared" ca="1" si="5"/>
        <v>#N/A</v>
      </c>
      <c r="U12" s="14" t="e">
        <f t="shared" ca="1" si="5"/>
        <v>#N/A</v>
      </c>
      <c r="V12" s="14" t="e">
        <f t="shared" ca="1" si="5"/>
        <v>#N/A</v>
      </c>
      <c r="W12" s="14" t="e">
        <f t="shared" ca="1" si="5"/>
        <v>#N/A</v>
      </c>
      <c r="X12" s="14" t="e">
        <f t="shared" ca="1" si="5"/>
        <v>#N/A</v>
      </c>
      <c r="Y12" s="15" t="e">
        <f t="shared" ca="1" si="5"/>
        <v>#N/A</v>
      </c>
      <c r="Z12" s="16" t="e">
        <f t="shared" ca="1" si="6"/>
        <v>#N/A</v>
      </c>
      <c r="AA12" s="13" t="e">
        <f t="shared" ca="1" si="6"/>
        <v>#N/A</v>
      </c>
      <c r="AB12" s="14" t="e">
        <f t="shared" ca="1" si="6"/>
        <v>#N/A</v>
      </c>
      <c r="AC12" s="14" t="e">
        <f t="shared" ca="1" si="6"/>
        <v>#N/A</v>
      </c>
      <c r="AD12" s="14" t="e">
        <f t="shared" ca="1" si="6"/>
        <v>#N/A</v>
      </c>
      <c r="AE12" s="14" t="e">
        <f t="shared" ca="1" si="6"/>
        <v>#N/A</v>
      </c>
      <c r="AF12" s="15" t="e">
        <f t="shared" ca="1" si="6"/>
        <v>#N/A</v>
      </c>
      <c r="AG12" s="16" t="e">
        <f t="shared" ca="1" si="6"/>
        <v>#N/A</v>
      </c>
      <c r="AH12" s="13" t="e">
        <f t="shared" ca="1" si="6"/>
        <v>#N/A</v>
      </c>
      <c r="AI12" s="14" t="e">
        <f t="shared" ca="1" si="6"/>
        <v>#N/A</v>
      </c>
      <c r="AJ12" s="14" t="e">
        <f t="shared" ca="1" si="7"/>
        <v>#N/A</v>
      </c>
      <c r="AK12" s="14" t="e">
        <f t="shared" ca="1" si="7"/>
        <v>#N/A</v>
      </c>
      <c r="AL12" s="14" t="e">
        <f t="shared" ca="1" si="7"/>
        <v>#N/A</v>
      </c>
      <c r="AM12" s="15" t="e">
        <f t="shared" ca="1" si="7"/>
        <v>#N/A</v>
      </c>
      <c r="AN12" s="16" t="e">
        <f t="shared" ca="1" si="7"/>
        <v>#N/A</v>
      </c>
      <c r="AO12" s="13" t="e">
        <f t="shared" ca="1" si="7"/>
        <v>#N/A</v>
      </c>
      <c r="AP12" s="14" t="e">
        <f t="shared" ca="1" si="7"/>
        <v>#N/A</v>
      </c>
      <c r="AQ12" s="14" t="e">
        <f t="shared" ca="1" si="7"/>
        <v>#N/A</v>
      </c>
      <c r="AR12" s="14" t="e">
        <f t="shared" ca="1" si="7"/>
        <v>#N/A</v>
      </c>
      <c r="AS12" s="14" t="e">
        <f t="shared" ca="1" si="7"/>
        <v>#N/A</v>
      </c>
      <c r="AT12" s="15" t="e">
        <f t="shared" ca="1" si="8"/>
        <v>#N/A</v>
      </c>
      <c r="AU12" s="16" t="e">
        <f t="shared" ca="1" si="8"/>
        <v>#N/A</v>
      </c>
      <c r="AV12" s="13" t="e">
        <f t="shared" ca="1" si="8"/>
        <v>#N/A</v>
      </c>
      <c r="AW12" s="14" t="e">
        <f t="shared" ca="1" si="8"/>
        <v>#N/A</v>
      </c>
      <c r="AX12" s="14" t="e">
        <f t="shared" ca="1" si="8"/>
        <v>#N/A</v>
      </c>
      <c r="AY12" s="14" t="e">
        <f t="shared" ca="1" si="8"/>
        <v>#N/A</v>
      </c>
      <c r="AZ12" s="14" t="e">
        <f t="shared" ca="1" si="8"/>
        <v>#N/A</v>
      </c>
      <c r="BA12" s="15" t="e">
        <f t="shared" ca="1" si="8"/>
        <v>#N/A</v>
      </c>
      <c r="BB12" s="16" t="e">
        <f t="shared" ca="1" si="8"/>
        <v>#N/A</v>
      </c>
      <c r="BC12" s="13" t="e">
        <f t="shared" ca="1" si="8"/>
        <v>#N/A</v>
      </c>
      <c r="BD12" s="14" t="e">
        <f t="shared" ca="1" si="9"/>
        <v>#N/A</v>
      </c>
      <c r="BE12" s="14" t="e">
        <f t="shared" ca="1" si="9"/>
        <v>#N/A</v>
      </c>
      <c r="BF12" s="14" t="e">
        <f t="shared" ca="1" si="9"/>
        <v>#N/A</v>
      </c>
      <c r="BG12" s="14" t="e">
        <f t="shared" ca="1" si="9"/>
        <v>#N/A</v>
      </c>
      <c r="BH12" s="15" t="e">
        <f t="shared" ca="1" si="9"/>
        <v>#N/A</v>
      </c>
      <c r="BI12" s="16" t="e">
        <f t="shared" ca="1" si="9"/>
        <v>#N/A</v>
      </c>
      <c r="BJ12" s="13" t="e">
        <f t="shared" ca="1" si="9"/>
        <v>#N/A</v>
      </c>
      <c r="BK12" s="14" t="e">
        <f t="shared" ca="1" si="9"/>
        <v>#N/A</v>
      </c>
      <c r="BL12" s="14" t="e">
        <f t="shared" ca="1" si="9"/>
        <v>#N/A</v>
      </c>
      <c r="BM12" s="14" t="e">
        <f t="shared" ca="1" si="9"/>
        <v>#N/A</v>
      </c>
      <c r="BN12" s="14" t="e">
        <f t="shared" ca="1" si="10"/>
        <v>#N/A</v>
      </c>
      <c r="BO12" s="15" t="e">
        <f t="shared" ca="1" si="10"/>
        <v>#N/A</v>
      </c>
      <c r="BP12" s="16" t="e">
        <f t="shared" ca="1" si="10"/>
        <v>#N/A</v>
      </c>
      <c r="BQ12" s="13" t="e">
        <f t="shared" ca="1" si="10"/>
        <v>#N/A</v>
      </c>
      <c r="BR12" s="14" t="e">
        <f t="shared" ca="1" si="10"/>
        <v>#N/A</v>
      </c>
      <c r="BS12" s="14" t="e">
        <f t="shared" ca="1" si="10"/>
        <v>#N/A</v>
      </c>
      <c r="BT12" s="14" t="e">
        <f t="shared" ca="1" si="10"/>
        <v>#N/A</v>
      </c>
      <c r="BU12" s="14" t="e">
        <f t="shared" ca="1" si="10"/>
        <v>#N/A</v>
      </c>
      <c r="BV12" s="15" t="e">
        <f t="shared" ca="1" si="10"/>
        <v>#N/A</v>
      </c>
      <c r="BW12" s="16" t="e">
        <f t="shared" ca="1" si="10"/>
        <v>#N/A</v>
      </c>
      <c r="BX12" s="13" t="e">
        <f t="shared" ca="1" si="11"/>
        <v>#N/A</v>
      </c>
      <c r="BY12" s="14" t="e">
        <f t="shared" ca="1" si="11"/>
        <v>#N/A</v>
      </c>
      <c r="BZ12" s="14" t="e">
        <f t="shared" ca="1" si="11"/>
        <v>#N/A</v>
      </c>
      <c r="CA12" s="14" t="e">
        <f t="shared" ca="1" si="11"/>
        <v>#N/A</v>
      </c>
      <c r="CB12" s="14" t="e">
        <f t="shared" ca="1" si="11"/>
        <v>#N/A</v>
      </c>
      <c r="CC12" s="15" t="e">
        <f t="shared" ca="1" si="11"/>
        <v>#N/A</v>
      </c>
      <c r="CD12" s="16" t="e">
        <f t="shared" ca="1" si="11"/>
        <v>#N/A</v>
      </c>
      <c r="CE12" s="13" t="e">
        <f t="shared" ca="1" si="11"/>
        <v>#N/A</v>
      </c>
      <c r="CF12" s="14" t="e">
        <f t="shared" ca="1" si="11"/>
        <v>#N/A</v>
      </c>
      <c r="CG12" s="14" t="e">
        <f t="shared" ca="1" si="11"/>
        <v>#N/A</v>
      </c>
      <c r="CH12" s="14" t="e">
        <f t="shared" ca="1" si="12"/>
        <v>#N/A</v>
      </c>
      <c r="CI12" s="14" t="e">
        <f t="shared" ca="1" si="12"/>
        <v>#N/A</v>
      </c>
      <c r="CJ12" s="15" t="e">
        <f t="shared" ca="1" si="12"/>
        <v>#N/A</v>
      </c>
      <c r="CK12" s="16" t="e">
        <f t="shared" ca="1" si="12"/>
        <v>#N/A</v>
      </c>
      <c r="CL12" s="13" t="e">
        <f t="shared" ca="1" si="12"/>
        <v>#N/A</v>
      </c>
      <c r="CM12" s="14" t="e">
        <f t="shared" ca="1" si="12"/>
        <v>#N/A</v>
      </c>
      <c r="CN12" s="14" t="e">
        <f t="shared" ca="1" si="12"/>
        <v>#N/A</v>
      </c>
      <c r="CO12" s="14" t="e">
        <f t="shared" ca="1" si="12"/>
        <v>#N/A</v>
      </c>
      <c r="CP12" s="14" t="e">
        <f t="shared" ca="1" si="12"/>
        <v>#N/A</v>
      </c>
      <c r="CQ12" s="15" t="e">
        <f t="shared" ca="1" si="12"/>
        <v>#N/A</v>
      </c>
      <c r="CR12" s="16" t="e">
        <f t="shared" ca="1" si="13"/>
        <v>#N/A</v>
      </c>
      <c r="CS12" s="13" t="e">
        <f t="shared" ca="1" si="13"/>
        <v>#N/A</v>
      </c>
      <c r="CT12" s="14" t="e">
        <f t="shared" ca="1" si="13"/>
        <v>#N/A</v>
      </c>
      <c r="CU12" s="14" t="e">
        <f t="shared" ca="1" si="13"/>
        <v>#N/A</v>
      </c>
      <c r="CV12" s="14" t="e">
        <f t="shared" ca="1" si="13"/>
        <v>#N/A</v>
      </c>
      <c r="CW12" s="14" t="e">
        <f t="shared" ca="1" si="13"/>
        <v>#N/A</v>
      </c>
      <c r="CX12" s="15" t="e">
        <f t="shared" ca="1" si="13"/>
        <v>#N/A</v>
      </c>
      <c r="CY12" s="16" t="e">
        <f t="shared" ca="1" si="13"/>
        <v>#N/A</v>
      </c>
      <c r="CZ12" s="13" t="e">
        <f t="shared" ca="1" si="13"/>
        <v>#N/A</v>
      </c>
      <c r="DA12" s="14" t="e">
        <f t="shared" ca="1" si="13"/>
        <v>#N/A</v>
      </c>
      <c r="DB12" s="14" t="e">
        <f t="shared" ca="1" si="14"/>
        <v>#N/A</v>
      </c>
      <c r="DC12" s="14" t="e">
        <f t="shared" ca="1" si="14"/>
        <v>#N/A</v>
      </c>
      <c r="DD12" s="14" t="e">
        <f t="shared" ca="1" si="14"/>
        <v>#N/A</v>
      </c>
      <c r="DE12" s="15" t="e">
        <f t="shared" ca="1" si="14"/>
        <v>#N/A</v>
      </c>
      <c r="DF12" s="16" t="e">
        <f t="shared" ca="1" si="14"/>
        <v>#N/A</v>
      </c>
      <c r="DG12" s="13" t="e">
        <f t="shared" ca="1" si="14"/>
        <v>#N/A</v>
      </c>
      <c r="DH12" s="14" t="e">
        <f t="shared" ca="1" si="14"/>
        <v>#N/A</v>
      </c>
      <c r="DI12" s="14" t="e">
        <f t="shared" ca="1" si="14"/>
        <v>#N/A</v>
      </c>
      <c r="DJ12" s="14" t="e">
        <f t="shared" ca="1" si="14"/>
        <v>#N/A</v>
      </c>
      <c r="DK12" s="14" t="e">
        <f t="shared" ca="1" si="14"/>
        <v>#N/A</v>
      </c>
      <c r="DL12" s="15" t="e">
        <f t="shared" ca="1" si="15"/>
        <v>#N/A</v>
      </c>
      <c r="DM12" s="16" t="e">
        <f t="shared" ca="1" si="15"/>
        <v>#N/A</v>
      </c>
      <c r="DN12" s="13" t="e">
        <f t="shared" ca="1" si="15"/>
        <v>#N/A</v>
      </c>
      <c r="DO12" s="14" t="e">
        <f t="shared" ca="1" si="15"/>
        <v>#N/A</v>
      </c>
      <c r="DP12" s="14" t="e">
        <f t="shared" ca="1" si="15"/>
        <v>#N/A</v>
      </c>
      <c r="DQ12" s="14" t="e">
        <f t="shared" ca="1" si="15"/>
        <v>#N/A</v>
      </c>
      <c r="DR12" s="14" t="e">
        <f t="shared" ca="1" si="15"/>
        <v>#N/A</v>
      </c>
      <c r="DS12" s="15" t="e">
        <f t="shared" ca="1" si="15"/>
        <v>#N/A</v>
      </c>
      <c r="DT12" s="16" t="e">
        <f t="shared" ca="1" si="15"/>
        <v>#N/A</v>
      </c>
    </row>
    <row r="13" spans="1:124" s="17" customFormat="1" ht="9.6" customHeight="1">
      <c r="A13" s="535"/>
      <c r="B13" s="22" t="s">
        <v>44</v>
      </c>
      <c r="C13" s="19" t="e">
        <f ca="1">IF(AND(_xlfn.XLOOKUP(A25,'VTT project'!B:B,'VTT project'!W:W,"-",0)=7,INT(E12/7)=E12/7),E12,IF((ROUNDDOWN(E12/7,0)*7+_xlfn.XLOOKUP(A25,'VTT project'!B:B,'VTT project'!W:W,"-",0))&lt;E12,(ROUNDDOWN(E12/7,0)*7+_xlfn.XLOOKUP(A25,'VTT project'!B:B,'VTT project'!W:W,"-",0))+7,(ROUNDDOWN(E12/7,0)*7+_xlfn.XLOOKUP(A25,'VTT project'!B:B,'VTT project'!W:W,"-",0))))</f>
        <v>#N/A</v>
      </c>
      <c r="D13" s="20">
        <v>0</v>
      </c>
      <c r="E13" s="19" t="e">
        <f ca="1">C13+D13</f>
        <v>#N/A</v>
      </c>
      <c r="F13" s="13" t="e">
        <f t="shared" ca="1" si="4"/>
        <v>#N/A</v>
      </c>
      <c r="G13" s="14" t="e">
        <f t="shared" ca="1" si="4"/>
        <v>#N/A</v>
      </c>
      <c r="H13" s="14" t="e">
        <f t="shared" ca="1" si="4"/>
        <v>#N/A</v>
      </c>
      <c r="I13" s="14" t="e">
        <f t="shared" ca="1" si="4"/>
        <v>#N/A</v>
      </c>
      <c r="J13" s="14" t="e">
        <f t="shared" ca="1" si="4"/>
        <v>#N/A</v>
      </c>
      <c r="K13" s="15" t="e">
        <f t="shared" ca="1" si="4"/>
        <v>#N/A</v>
      </c>
      <c r="L13" s="16" t="e">
        <f t="shared" ca="1" si="4"/>
        <v>#N/A</v>
      </c>
      <c r="M13" s="13" t="e">
        <f t="shared" ca="1" si="4"/>
        <v>#N/A</v>
      </c>
      <c r="N13" s="14" t="e">
        <f t="shared" ca="1" si="4"/>
        <v>#N/A</v>
      </c>
      <c r="O13" s="14" t="e">
        <f t="shared" ca="1" si="4"/>
        <v>#N/A</v>
      </c>
      <c r="P13" s="14" t="e">
        <f t="shared" ca="1" si="5"/>
        <v>#N/A</v>
      </c>
      <c r="Q13" s="14" t="e">
        <f t="shared" ca="1" si="5"/>
        <v>#N/A</v>
      </c>
      <c r="R13" s="15" t="e">
        <f t="shared" ca="1" si="5"/>
        <v>#N/A</v>
      </c>
      <c r="S13" s="16" t="e">
        <f t="shared" ca="1" si="5"/>
        <v>#N/A</v>
      </c>
      <c r="T13" s="13" t="e">
        <f t="shared" ca="1" si="5"/>
        <v>#N/A</v>
      </c>
      <c r="U13" s="14" t="e">
        <f t="shared" ca="1" si="5"/>
        <v>#N/A</v>
      </c>
      <c r="V13" s="14" t="e">
        <f t="shared" ca="1" si="5"/>
        <v>#N/A</v>
      </c>
      <c r="W13" s="14" t="e">
        <f t="shared" ca="1" si="5"/>
        <v>#N/A</v>
      </c>
      <c r="X13" s="14" t="e">
        <f t="shared" ca="1" si="5"/>
        <v>#N/A</v>
      </c>
      <c r="Y13" s="15" t="e">
        <f t="shared" ca="1" si="5"/>
        <v>#N/A</v>
      </c>
      <c r="Z13" s="16" t="e">
        <f t="shared" ca="1" si="6"/>
        <v>#N/A</v>
      </c>
      <c r="AA13" s="13" t="e">
        <f t="shared" ca="1" si="6"/>
        <v>#N/A</v>
      </c>
      <c r="AB13" s="14" t="e">
        <f t="shared" ca="1" si="6"/>
        <v>#N/A</v>
      </c>
      <c r="AC13" s="14" t="e">
        <f t="shared" ca="1" si="6"/>
        <v>#N/A</v>
      </c>
      <c r="AD13" s="14" t="e">
        <f t="shared" ca="1" si="6"/>
        <v>#N/A</v>
      </c>
      <c r="AE13" s="14" t="e">
        <f t="shared" ca="1" si="6"/>
        <v>#N/A</v>
      </c>
      <c r="AF13" s="15" t="e">
        <f t="shared" ca="1" si="6"/>
        <v>#N/A</v>
      </c>
      <c r="AG13" s="16" t="e">
        <f t="shared" ca="1" si="6"/>
        <v>#N/A</v>
      </c>
      <c r="AH13" s="13" t="e">
        <f t="shared" ca="1" si="6"/>
        <v>#N/A</v>
      </c>
      <c r="AI13" s="14" t="e">
        <f t="shared" ca="1" si="6"/>
        <v>#N/A</v>
      </c>
      <c r="AJ13" s="14" t="e">
        <f t="shared" ca="1" si="7"/>
        <v>#N/A</v>
      </c>
      <c r="AK13" s="14" t="e">
        <f t="shared" ca="1" si="7"/>
        <v>#N/A</v>
      </c>
      <c r="AL13" s="14" t="e">
        <f t="shared" ca="1" si="7"/>
        <v>#N/A</v>
      </c>
      <c r="AM13" s="15" t="e">
        <f t="shared" ca="1" si="7"/>
        <v>#N/A</v>
      </c>
      <c r="AN13" s="16" t="e">
        <f t="shared" ca="1" si="7"/>
        <v>#N/A</v>
      </c>
      <c r="AO13" s="13" t="e">
        <f t="shared" ca="1" si="7"/>
        <v>#N/A</v>
      </c>
      <c r="AP13" s="14" t="e">
        <f t="shared" ca="1" si="7"/>
        <v>#N/A</v>
      </c>
      <c r="AQ13" s="14" t="e">
        <f t="shared" ca="1" si="7"/>
        <v>#N/A</v>
      </c>
      <c r="AR13" s="14" t="e">
        <f t="shared" ca="1" si="7"/>
        <v>#N/A</v>
      </c>
      <c r="AS13" s="14" t="e">
        <f t="shared" ca="1" si="7"/>
        <v>#N/A</v>
      </c>
      <c r="AT13" s="15" t="e">
        <f t="shared" ca="1" si="8"/>
        <v>#N/A</v>
      </c>
      <c r="AU13" s="16" t="e">
        <f t="shared" ca="1" si="8"/>
        <v>#N/A</v>
      </c>
      <c r="AV13" s="13" t="e">
        <f t="shared" ca="1" si="8"/>
        <v>#N/A</v>
      </c>
      <c r="AW13" s="14" t="e">
        <f t="shared" ca="1" si="8"/>
        <v>#N/A</v>
      </c>
      <c r="AX13" s="14" t="e">
        <f t="shared" ca="1" si="8"/>
        <v>#N/A</v>
      </c>
      <c r="AY13" s="14" t="e">
        <f t="shared" ca="1" si="8"/>
        <v>#N/A</v>
      </c>
      <c r="AZ13" s="14" t="e">
        <f t="shared" ca="1" si="8"/>
        <v>#N/A</v>
      </c>
      <c r="BA13" s="15" t="e">
        <f t="shared" ca="1" si="8"/>
        <v>#N/A</v>
      </c>
      <c r="BB13" s="16" t="e">
        <f t="shared" ca="1" si="8"/>
        <v>#N/A</v>
      </c>
      <c r="BC13" s="13" t="e">
        <f t="shared" ca="1" si="8"/>
        <v>#N/A</v>
      </c>
      <c r="BD13" s="14" t="e">
        <f t="shared" ca="1" si="9"/>
        <v>#N/A</v>
      </c>
      <c r="BE13" s="14" t="e">
        <f t="shared" ca="1" si="9"/>
        <v>#N/A</v>
      </c>
      <c r="BF13" s="14" t="e">
        <f t="shared" ca="1" si="9"/>
        <v>#N/A</v>
      </c>
      <c r="BG13" s="14" t="e">
        <f t="shared" ca="1" si="9"/>
        <v>#N/A</v>
      </c>
      <c r="BH13" s="15" t="e">
        <f t="shared" ca="1" si="9"/>
        <v>#N/A</v>
      </c>
      <c r="BI13" s="16" t="e">
        <f t="shared" ca="1" si="9"/>
        <v>#N/A</v>
      </c>
      <c r="BJ13" s="13" t="e">
        <f t="shared" ca="1" si="9"/>
        <v>#N/A</v>
      </c>
      <c r="BK13" s="14" t="e">
        <f t="shared" ca="1" si="9"/>
        <v>#N/A</v>
      </c>
      <c r="BL13" s="14" t="e">
        <f t="shared" ca="1" si="9"/>
        <v>#N/A</v>
      </c>
      <c r="BM13" s="14" t="e">
        <f t="shared" ca="1" si="9"/>
        <v>#N/A</v>
      </c>
      <c r="BN13" s="14" t="e">
        <f t="shared" ca="1" si="10"/>
        <v>#N/A</v>
      </c>
      <c r="BO13" s="15" t="e">
        <f t="shared" ca="1" si="10"/>
        <v>#N/A</v>
      </c>
      <c r="BP13" s="16" t="e">
        <f t="shared" ca="1" si="10"/>
        <v>#N/A</v>
      </c>
      <c r="BQ13" s="13" t="e">
        <f t="shared" ca="1" si="10"/>
        <v>#N/A</v>
      </c>
      <c r="BR13" s="14" t="e">
        <f t="shared" ca="1" si="10"/>
        <v>#N/A</v>
      </c>
      <c r="BS13" s="14" t="e">
        <f t="shared" ca="1" si="10"/>
        <v>#N/A</v>
      </c>
      <c r="BT13" s="14" t="e">
        <f t="shared" ca="1" si="10"/>
        <v>#N/A</v>
      </c>
      <c r="BU13" s="14" t="e">
        <f t="shared" ca="1" si="10"/>
        <v>#N/A</v>
      </c>
      <c r="BV13" s="15" t="e">
        <f t="shared" ca="1" si="10"/>
        <v>#N/A</v>
      </c>
      <c r="BW13" s="16" t="e">
        <f t="shared" ca="1" si="10"/>
        <v>#N/A</v>
      </c>
      <c r="BX13" s="13" t="e">
        <f t="shared" ca="1" si="11"/>
        <v>#N/A</v>
      </c>
      <c r="BY13" s="14" t="e">
        <f t="shared" ca="1" si="11"/>
        <v>#N/A</v>
      </c>
      <c r="BZ13" s="14" t="e">
        <f t="shared" ca="1" si="11"/>
        <v>#N/A</v>
      </c>
      <c r="CA13" s="14" t="e">
        <f t="shared" ca="1" si="11"/>
        <v>#N/A</v>
      </c>
      <c r="CB13" s="14" t="e">
        <f t="shared" ca="1" si="11"/>
        <v>#N/A</v>
      </c>
      <c r="CC13" s="15" t="e">
        <f t="shared" ca="1" si="11"/>
        <v>#N/A</v>
      </c>
      <c r="CD13" s="16" t="e">
        <f t="shared" ca="1" si="11"/>
        <v>#N/A</v>
      </c>
      <c r="CE13" s="13" t="e">
        <f t="shared" ca="1" si="11"/>
        <v>#N/A</v>
      </c>
      <c r="CF13" s="14" t="e">
        <f t="shared" ca="1" si="11"/>
        <v>#N/A</v>
      </c>
      <c r="CG13" s="14" t="e">
        <f t="shared" ca="1" si="11"/>
        <v>#N/A</v>
      </c>
      <c r="CH13" s="14" t="e">
        <f t="shared" ca="1" si="12"/>
        <v>#N/A</v>
      </c>
      <c r="CI13" s="14" t="e">
        <f t="shared" ca="1" si="12"/>
        <v>#N/A</v>
      </c>
      <c r="CJ13" s="15" t="e">
        <f t="shared" ca="1" si="12"/>
        <v>#N/A</v>
      </c>
      <c r="CK13" s="16" t="e">
        <f t="shared" ca="1" si="12"/>
        <v>#N/A</v>
      </c>
      <c r="CL13" s="13" t="e">
        <f t="shared" ca="1" si="12"/>
        <v>#N/A</v>
      </c>
      <c r="CM13" s="14" t="e">
        <f t="shared" ca="1" si="12"/>
        <v>#N/A</v>
      </c>
      <c r="CN13" s="14" t="e">
        <f t="shared" ca="1" si="12"/>
        <v>#N/A</v>
      </c>
      <c r="CO13" s="14" t="e">
        <f t="shared" ca="1" si="12"/>
        <v>#N/A</v>
      </c>
      <c r="CP13" s="14" t="e">
        <f t="shared" ca="1" si="12"/>
        <v>#N/A</v>
      </c>
      <c r="CQ13" s="15" t="e">
        <f t="shared" ca="1" si="12"/>
        <v>#N/A</v>
      </c>
      <c r="CR13" s="16" t="e">
        <f t="shared" ca="1" si="13"/>
        <v>#N/A</v>
      </c>
      <c r="CS13" s="13" t="e">
        <f t="shared" ca="1" si="13"/>
        <v>#N/A</v>
      </c>
      <c r="CT13" s="14" t="e">
        <f t="shared" ca="1" si="13"/>
        <v>#N/A</v>
      </c>
      <c r="CU13" s="14" t="e">
        <f t="shared" ca="1" si="13"/>
        <v>#N/A</v>
      </c>
      <c r="CV13" s="14" t="e">
        <f t="shared" ca="1" si="13"/>
        <v>#N/A</v>
      </c>
      <c r="CW13" s="14" t="e">
        <f t="shared" ca="1" si="13"/>
        <v>#N/A</v>
      </c>
      <c r="CX13" s="15" t="e">
        <f t="shared" ca="1" si="13"/>
        <v>#N/A</v>
      </c>
      <c r="CY13" s="16" t="e">
        <f t="shared" ca="1" si="13"/>
        <v>#N/A</v>
      </c>
      <c r="CZ13" s="13" t="e">
        <f t="shared" ca="1" si="13"/>
        <v>#N/A</v>
      </c>
      <c r="DA13" s="14" t="e">
        <f t="shared" ca="1" si="13"/>
        <v>#N/A</v>
      </c>
      <c r="DB13" s="14" t="e">
        <f t="shared" ca="1" si="14"/>
        <v>#N/A</v>
      </c>
      <c r="DC13" s="14" t="e">
        <f t="shared" ca="1" si="14"/>
        <v>#N/A</v>
      </c>
      <c r="DD13" s="14" t="e">
        <f t="shared" ca="1" si="14"/>
        <v>#N/A</v>
      </c>
      <c r="DE13" s="15" t="e">
        <f t="shared" ca="1" si="14"/>
        <v>#N/A</v>
      </c>
      <c r="DF13" s="16" t="e">
        <f t="shared" ca="1" si="14"/>
        <v>#N/A</v>
      </c>
      <c r="DG13" s="13" t="e">
        <f t="shared" ca="1" si="14"/>
        <v>#N/A</v>
      </c>
      <c r="DH13" s="14" t="e">
        <f t="shared" ca="1" si="14"/>
        <v>#N/A</v>
      </c>
      <c r="DI13" s="14" t="e">
        <f t="shared" ca="1" si="14"/>
        <v>#N/A</v>
      </c>
      <c r="DJ13" s="14" t="e">
        <f t="shared" ca="1" si="14"/>
        <v>#N/A</v>
      </c>
      <c r="DK13" s="14" t="e">
        <f t="shared" ca="1" si="14"/>
        <v>#N/A</v>
      </c>
      <c r="DL13" s="15" t="e">
        <f t="shared" ca="1" si="15"/>
        <v>#N/A</v>
      </c>
      <c r="DM13" s="16" t="e">
        <f t="shared" ca="1" si="15"/>
        <v>#N/A</v>
      </c>
      <c r="DN13" s="13" t="e">
        <f t="shared" ca="1" si="15"/>
        <v>#N/A</v>
      </c>
      <c r="DO13" s="14" t="e">
        <f t="shared" ca="1" si="15"/>
        <v>#N/A</v>
      </c>
      <c r="DP13" s="14" t="e">
        <f t="shared" ca="1" si="15"/>
        <v>#N/A</v>
      </c>
      <c r="DQ13" s="14" t="e">
        <f t="shared" ca="1" si="15"/>
        <v>#N/A</v>
      </c>
      <c r="DR13" s="14" t="e">
        <f t="shared" ca="1" si="15"/>
        <v>#N/A</v>
      </c>
      <c r="DS13" s="15" t="e">
        <f t="shared" ca="1" si="15"/>
        <v>#N/A</v>
      </c>
      <c r="DT13" s="16" t="e">
        <f t="shared" ca="1" si="15"/>
        <v>#N/A</v>
      </c>
    </row>
    <row r="14" spans="1:124" s="17" customFormat="1" ht="9.6" customHeight="1">
      <c r="A14" s="535"/>
      <c r="B14" s="22" t="s">
        <v>45</v>
      </c>
      <c r="C14" s="19" t="e">
        <f ca="1">IF((ROUNDDOWN(E13/7,0)*7+_xlfn.XLOOKUP(A25,'VTT project'!B:B,'VTT project'!AC:AC,"-",0))&lt;E13,(ROUNDDOWN(E13/7,0)*7+_xlfn.XLOOKUP(A25,'VTT project'!B:B,'VTT project'!AC:AC,"-",0))+7,(ROUNDDOWN(E13/7,0)*7+_xlfn.XLOOKUP(A25,'VTT project'!B:B,'VTT project'!AC:AC,"-",0)))</f>
        <v>#N/A</v>
      </c>
      <c r="D14" s="20">
        <v>0</v>
      </c>
      <c r="E14" s="19" t="e">
        <f ca="1">C14+D14</f>
        <v>#N/A</v>
      </c>
      <c r="F14" s="13" t="e">
        <f t="shared" ca="1" si="4"/>
        <v>#N/A</v>
      </c>
      <c r="G14" s="14" t="e">
        <f t="shared" ca="1" si="4"/>
        <v>#N/A</v>
      </c>
      <c r="H14" s="14" t="e">
        <f t="shared" ca="1" si="4"/>
        <v>#N/A</v>
      </c>
      <c r="I14" s="14" t="e">
        <f t="shared" ca="1" si="4"/>
        <v>#N/A</v>
      </c>
      <c r="J14" s="14" t="e">
        <f t="shared" ca="1" si="4"/>
        <v>#N/A</v>
      </c>
      <c r="K14" s="15" t="e">
        <f t="shared" ca="1" si="4"/>
        <v>#N/A</v>
      </c>
      <c r="L14" s="16" t="e">
        <f t="shared" ca="1" si="4"/>
        <v>#N/A</v>
      </c>
      <c r="M14" s="13" t="e">
        <f t="shared" ca="1" si="4"/>
        <v>#N/A</v>
      </c>
      <c r="N14" s="14" t="e">
        <f t="shared" ca="1" si="4"/>
        <v>#N/A</v>
      </c>
      <c r="O14" s="14" t="e">
        <f t="shared" ca="1" si="4"/>
        <v>#N/A</v>
      </c>
      <c r="P14" s="14" t="e">
        <f t="shared" ca="1" si="5"/>
        <v>#N/A</v>
      </c>
      <c r="Q14" s="14" t="e">
        <f t="shared" ca="1" si="5"/>
        <v>#N/A</v>
      </c>
      <c r="R14" s="15" t="e">
        <f t="shared" ca="1" si="5"/>
        <v>#N/A</v>
      </c>
      <c r="S14" s="16" t="e">
        <f t="shared" ca="1" si="5"/>
        <v>#N/A</v>
      </c>
      <c r="T14" s="13" t="e">
        <f t="shared" ca="1" si="5"/>
        <v>#N/A</v>
      </c>
      <c r="U14" s="14" t="e">
        <f t="shared" ca="1" si="5"/>
        <v>#N/A</v>
      </c>
      <c r="V14" s="14" t="e">
        <f t="shared" ca="1" si="5"/>
        <v>#N/A</v>
      </c>
      <c r="W14" s="14" t="e">
        <f t="shared" ca="1" si="5"/>
        <v>#N/A</v>
      </c>
      <c r="X14" s="14" t="e">
        <f t="shared" ca="1" si="5"/>
        <v>#N/A</v>
      </c>
      <c r="Y14" s="15" t="e">
        <f t="shared" ca="1" si="5"/>
        <v>#N/A</v>
      </c>
      <c r="Z14" s="16" t="e">
        <f t="shared" ca="1" si="6"/>
        <v>#N/A</v>
      </c>
      <c r="AA14" s="13" t="e">
        <f t="shared" ca="1" si="6"/>
        <v>#N/A</v>
      </c>
      <c r="AB14" s="14" t="e">
        <f t="shared" ca="1" si="6"/>
        <v>#N/A</v>
      </c>
      <c r="AC14" s="14" t="e">
        <f t="shared" ca="1" si="6"/>
        <v>#N/A</v>
      </c>
      <c r="AD14" s="14" t="e">
        <f t="shared" ca="1" si="6"/>
        <v>#N/A</v>
      </c>
      <c r="AE14" s="14" t="e">
        <f t="shared" ca="1" si="6"/>
        <v>#N/A</v>
      </c>
      <c r="AF14" s="15" t="e">
        <f t="shared" ca="1" si="6"/>
        <v>#N/A</v>
      </c>
      <c r="AG14" s="16" t="e">
        <f t="shared" ca="1" si="6"/>
        <v>#N/A</v>
      </c>
      <c r="AH14" s="13" t="e">
        <f t="shared" ca="1" si="6"/>
        <v>#N/A</v>
      </c>
      <c r="AI14" s="14" t="e">
        <f t="shared" ca="1" si="6"/>
        <v>#N/A</v>
      </c>
      <c r="AJ14" s="14" t="e">
        <f t="shared" ca="1" si="7"/>
        <v>#N/A</v>
      </c>
      <c r="AK14" s="14" t="e">
        <f t="shared" ca="1" si="7"/>
        <v>#N/A</v>
      </c>
      <c r="AL14" s="14" t="e">
        <f t="shared" ca="1" si="7"/>
        <v>#N/A</v>
      </c>
      <c r="AM14" s="15" t="e">
        <f t="shared" ca="1" si="7"/>
        <v>#N/A</v>
      </c>
      <c r="AN14" s="16" t="e">
        <f t="shared" ca="1" si="7"/>
        <v>#N/A</v>
      </c>
      <c r="AO14" s="13" t="e">
        <f t="shared" ca="1" si="7"/>
        <v>#N/A</v>
      </c>
      <c r="AP14" s="14" t="e">
        <f t="shared" ca="1" si="7"/>
        <v>#N/A</v>
      </c>
      <c r="AQ14" s="14" t="e">
        <f t="shared" ca="1" si="7"/>
        <v>#N/A</v>
      </c>
      <c r="AR14" s="14" t="e">
        <f t="shared" ca="1" si="7"/>
        <v>#N/A</v>
      </c>
      <c r="AS14" s="14" t="e">
        <f t="shared" ca="1" si="7"/>
        <v>#N/A</v>
      </c>
      <c r="AT14" s="15" t="e">
        <f t="shared" ca="1" si="8"/>
        <v>#N/A</v>
      </c>
      <c r="AU14" s="16" t="e">
        <f t="shared" ca="1" si="8"/>
        <v>#N/A</v>
      </c>
      <c r="AV14" s="13" t="e">
        <f t="shared" ca="1" si="8"/>
        <v>#N/A</v>
      </c>
      <c r="AW14" s="14" t="e">
        <f t="shared" ca="1" si="8"/>
        <v>#N/A</v>
      </c>
      <c r="AX14" s="14" t="e">
        <f t="shared" ca="1" si="8"/>
        <v>#N/A</v>
      </c>
      <c r="AY14" s="14" t="e">
        <f t="shared" ca="1" si="8"/>
        <v>#N/A</v>
      </c>
      <c r="AZ14" s="14" t="e">
        <f t="shared" ca="1" si="8"/>
        <v>#N/A</v>
      </c>
      <c r="BA14" s="15" t="e">
        <f t="shared" ca="1" si="8"/>
        <v>#N/A</v>
      </c>
      <c r="BB14" s="16" t="e">
        <f t="shared" ca="1" si="8"/>
        <v>#N/A</v>
      </c>
      <c r="BC14" s="13" t="e">
        <f t="shared" ca="1" si="8"/>
        <v>#N/A</v>
      </c>
      <c r="BD14" s="14" t="e">
        <f t="shared" ca="1" si="9"/>
        <v>#N/A</v>
      </c>
      <c r="BE14" s="14" t="e">
        <f t="shared" ca="1" si="9"/>
        <v>#N/A</v>
      </c>
      <c r="BF14" s="14" t="e">
        <f t="shared" ca="1" si="9"/>
        <v>#N/A</v>
      </c>
      <c r="BG14" s="14" t="e">
        <f t="shared" ca="1" si="9"/>
        <v>#N/A</v>
      </c>
      <c r="BH14" s="15" t="e">
        <f t="shared" ca="1" si="9"/>
        <v>#N/A</v>
      </c>
      <c r="BI14" s="16" t="e">
        <f t="shared" ca="1" si="9"/>
        <v>#N/A</v>
      </c>
      <c r="BJ14" s="13" t="e">
        <f t="shared" ca="1" si="9"/>
        <v>#N/A</v>
      </c>
      <c r="BK14" s="14" t="e">
        <f t="shared" ca="1" si="9"/>
        <v>#N/A</v>
      </c>
      <c r="BL14" s="14" t="e">
        <f t="shared" ca="1" si="9"/>
        <v>#N/A</v>
      </c>
      <c r="BM14" s="14" t="e">
        <f t="shared" ca="1" si="9"/>
        <v>#N/A</v>
      </c>
      <c r="BN14" s="14" t="e">
        <f t="shared" ca="1" si="10"/>
        <v>#N/A</v>
      </c>
      <c r="BO14" s="15" t="e">
        <f t="shared" ca="1" si="10"/>
        <v>#N/A</v>
      </c>
      <c r="BP14" s="16" t="e">
        <f t="shared" ca="1" si="10"/>
        <v>#N/A</v>
      </c>
      <c r="BQ14" s="13" t="e">
        <f t="shared" ca="1" si="10"/>
        <v>#N/A</v>
      </c>
      <c r="BR14" s="14" t="e">
        <f t="shared" ca="1" si="10"/>
        <v>#N/A</v>
      </c>
      <c r="BS14" s="14" t="e">
        <f t="shared" ca="1" si="10"/>
        <v>#N/A</v>
      </c>
      <c r="BT14" s="14" t="e">
        <f t="shared" ca="1" si="10"/>
        <v>#N/A</v>
      </c>
      <c r="BU14" s="14" t="e">
        <f t="shared" ca="1" si="10"/>
        <v>#N/A</v>
      </c>
      <c r="BV14" s="15" t="e">
        <f t="shared" ca="1" si="10"/>
        <v>#N/A</v>
      </c>
      <c r="BW14" s="16" t="e">
        <f t="shared" ca="1" si="10"/>
        <v>#N/A</v>
      </c>
      <c r="BX14" s="13" t="e">
        <f t="shared" ca="1" si="11"/>
        <v>#N/A</v>
      </c>
      <c r="BY14" s="14" t="e">
        <f t="shared" ca="1" si="11"/>
        <v>#N/A</v>
      </c>
      <c r="BZ14" s="14" t="e">
        <f t="shared" ca="1" si="11"/>
        <v>#N/A</v>
      </c>
      <c r="CA14" s="14" t="e">
        <f t="shared" ca="1" si="11"/>
        <v>#N/A</v>
      </c>
      <c r="CB14" s="14" t="e">
        <f t="shared" ca="1" si="11"/>
        <v>#N/A</v>
      </c>
      <c r="CC14" s="15" t="e">
        <f t="shared" ca="1" si="11"/>
        <v>#N/A</v>
      </c>
      <c r="CD14" s="16" t="e">
        <f t="shared" ca="1" si="11"/>
        <v>#N/A</v>
      </c>
      <c r="CE14" s="13" t="e">
        <f t="shared" ca="1" si="11"/>
        <v>#N/A</v>
      </c>
      <c r="CF14" s="14" t="e">
        <f t="shared" ca="1" si="11"/>
        <v>#N/A</v>
      </c>
      <c r="CG14" s="14" t="e">
        <f t="shared" ca="1" si="11"/>
        <v>#N/A</v>
      </c>
      <c r="CH14" s="14" t="e">
        <f t="shared" ca="1" si="12"/>
        <v>#N/A</v>
      </c>
      <c r="CI14" s="14" t="e">
        <f t="shared" ca="1" si="12"/>
        <v>#N/A</v>
      </c>
      <c r="CJ14" s="15" t="e">
        <f t="shared" ca="1" si="12"/>
        <v>#N/A</v>
      </c>
      <c r="CK14" s="16" t="e">
        <f t="shared" ca="1" si="12"/>
        <v>#N/A</v>
      </c>
      <c r="CL14" s="13" t="e">
        <f t="shared" ca="1" si="12"/>
        <v>#N/A</v>
      </c>
      <c r="CM14" s="14" t="e">
        <f t="shared" ca="1" si="12"/>
        <v>#N/A</v>
      </c>
      <c r="CN14" s="14" t="e">
        <f t="shared" ca="1" si="12"/>
        <v>#N/A</v>
      </c>
      <c r="CO14" s="14" t="e">
        <f t="shared" ca="1" si="12"/>
        <v>#N/A</v>
      </c>
      <c r="CP14" s="14" t="e">
        <f t="shared" ca="1" si="12"/>
        <v>#N/A</v>
      </c>
      <c r="CQ14" s="15" t="e">
        <f t="shared" ca="1" si="12"/>
        <v>#N/A</v>
      </c>
      <c r="CR14" s="16" t="e">
        <f t="shared" ca="1" si="13"/>
        <v>#N/A</v>
      </c>
      <c r="CS14" s="13" t="e">
        <f t="shared" ca="1" si="13"/>
        <v>#N/A</v>
      </c>
      <c r="CT14" s="14" t="e">
        <f t="shared" ca="1" si="13"/>
        <v>#N/A</v>
      </c>
      <c r="CU14" s="14" t="e">
        <f t="shared" ca="1" si="13"/>
        <v>#N/A</v>
      </c>
      <c r="CV14" s="14" t="e">
        <f t="shared" ca="1" si="13"/>
        <v>#N/A</v>
      </c>
      <c r="CW14" s="14" t="e">
        <f t="shared" ca="1" si="13"/>
        <v>#N/A</v>
      </c>
      <c r="CX14" s="15" t="e">
        <f t="shared" ca="1" si="13"/>
        <v>#N/A</v>
      </c>
      <c r="CY14" s="16" t="e">
        <f t="shared" ca="1" si="13"/>
        <v>#N/A</v>
      </c>
      <c r="CZ14" s="13" t="e">
        <f t="shared" ca="1" si="13"/>
        <v>#N/A</v>
      </c>
      <c r="DA14" s="14" t="e">
        <f t="shared" ca="1" si="13"/>
        <v>#N/A</v>
      </c>
      <c r="DB14" s="14" t="e">
        <f t="shared" ca="1" si="14"/>
        <v>#N/A</v>
      </c>
      <c r="DC14" s="14" t="e">
        <f t="shared" ca="1" si="14"/>
        <v>#N/A</v>
      </c>
      <c r="DD14" s="14" t="e">
        <f t="shared" ca="1" si="14"/>
        <v>#N/A</v>
      </c>
      <c r="DE14" s="15" t="e">
        <f t="shared" ca="1" si="14"/>
        <v>#N/A</v>
      </c>
      <c r="DF14" s="16" t="e">
        <f t="shared" ca="1" si="14"/>
        <v>#N/A</v>
      </c>
      <c r="DG14" s="13" t="e">
        <f t="shared" ca="1" si="14"/>
        <v>#N/A</v>
      </c>
      <c r="DH14" s="14" t="e">
        <f t="shared" ca="1" si="14"/>
        <v>#N/A</v>
      </c>
      <c r="DI14" s="14" t="e">
        <f t="shared" ca="1" si="14"/>
        <v>#N/A</v>
      </c>
      <c r="DJ14" s="14" t="e">
        <f t="shared" ca="1" si="14"/>
        <v>#N/A</v>
      </c>
      <c r="DK14" s="14" t="e">
        <f t="shared" ca="1" si="14"/>
        <v>#N/A</v>
      </c>
      <c r="DL14" s="15" t="e">
        <f t="shared" ca="1" si="15"/>
        <v>#N/A</v>
      </c>
      <c r="DM14" s="16" t="e">
        <f t="shared" ca="1" si="15"/>
        <v>#N/A</v>
      </c>
      <c r="DN14" s="13" t="e">
        <f t="shared" ca="1" si="15"/>
        <v>#N/A</v>
      </c>
      <c r="DO14" s="14" t="e">
        <f t="shared" ca="1" si="15"/>
        <v>#N/A</v>
      </c>
      <c r="DP14" s="14" t="e">
        <f t="shared" ca="1" si="15"/>
        <v>#N/A</v>
      </c>
      <c r="DQ14" s="14" t="e">
        <f t="shared" ca="1" si="15"/>
        <v>#N/A</v>
      </c>
      <c r="DR14" s="14" t="e">
        <f t="shared" ca="1" si="15"/>
        <v>#N/A</v>
      </c>
      <c r="DS14" s="15" t="e">
        <f t="shared" ca="1" si="15"/>
        <v>#N/A</v>
      </c>
      <c r="DT14" s="16" t="e">
        <f t="shared" ca="1" si="15"/>
        <v>#N/A</v>
      </c>
    </row>
    <row r="15" spans="1:124" s="17" customFormat="1" ht="9.6" customHeight="1">
      <c r="A15" s="535"/>
      <c r="B15" s="22" t="s">
        <v>46</v>
      </c>
      <c r="C15" s="19" t="e">
        <f ca="1">E14+_xlfn.XLOOKUP(A25,'VTT project'!B:B,'VTT project'!AD:AD,"-",0)-_xlfn.XLOOKUP(A25,'VTT project'!B:B,'VTT project'!AC:AC,"-",0)</f>
        <v>#N/A</v>
      </c>
      <c r="D15" s="20">
        <v>0</v>
      </c>
      <c r="E15" s="19" t="e">
        <f ca="1">C15+D15</f>
        <v>#N/A</v>
      </c>
      <c r="F15" s="13" t="e">
        <f t="shared" ca="1" si="4"/>
        <v>#N/A</v>
      </c>
      <c r="G15" s="14" t="e">
        <f t="shared" ca="1" si="4"/>
        <v>#N/A</v>
      </c>
      <c r="H15" s="14" t="e">
        <f t="shared" ca="1" si="4"/>
        <v>#N/A</v>
      </c>
      <c r="I15" s="14" t="e">
        <f t="shared" ca="1" si="4"/>
        <v>#N/A</v>
      </c>
      <c r="J15" s="14" t="e">
        <f t="shared" ca="1" si="4"/>
        <v>#N/A</v>
      </c>
      <c r="K15" s="15" t="e">
        <f t="shared" ca="1" si="4"/>
        <v>#N/A</v>
      </c>
      <c r="L15" s="16" t="e">
        <f t="shared" ca="1" si="4"/>
        <v>#N/A</v>
      </c>
      <c r="M15" s="13" t="e">
        <f t="shared" ca="1" si="4"/>
        <v>#N/A</v>
      </c>
      <c r="N15" s="14" t="e">
        <f t="shared" ca="1" si="4"/>
        <v>#N/A</v>
      </c>
      <c r="O15" s="14" t="e">
        <f t="shared" ca="1" si="4"/>
        <v>#N/A</v>
      </c>
      <c r="P15" s="14" t="e">
        <f t="shared" ca="1" si="5"/>
        <v>#N/A</v>
      </c>
      <c r="Q15" s="14" t="e">
        <f t="shared" ca="1" si="5"/>
        <v>#N/A</v>
      </c>
      <c r="R15" s="15" t="e">
        <f t="shared" ca="1" si="5"/>
        <v>#N/A</v>
      </c>
      <c r="S15" s="16" t="e">
        <f t="shared" ca="1" si="5"/>
        <v>#N/A</v>
      </c>
      <c r="T15" s="13" t="e">
        <f t="shared" ca="1" si="5"/>
        <v>#N/A</v>
      </c>
      <c r="U15" s="14" t="e">
        <f t="shared" ca="1" si="5"/>
        <v>#N/A</v>
      </c>
      <c r="V15" s="14" t="e">
        <f t="shared" ca="1" si="5"/>
        <v>#N/A</v>
      </c>
      <c r="W15" s="14" t="e">
        <f t="shared" ca="1" si="5"/>
        <v>#N/A</v>
      </c>
      <c r="X15" s="14" t="e">
        <f t="shared" ca="1" si="5"/>
        <v>#N/A</v>
      </c>
      <c r="Y15" s="15" t="e">
        <f t="shared" ca="1" si="5"/>
        <v>#N/A</v>
      </c>
      <c r="Z15" s="16" t="e">
        <f t="shared" ca="1" si="6"/>
        <v>#N/A</v>
      </c>
      <c r="AA15" s="13" t="e">
        <f t="shared" ca="1" si="6"/>
        <v>#N/A</v>
      </c>
      <c r="AB15" s="14" t="e">
        <f t="shared" ca="1" si="6"/>
        <v>#N/A</v>
      </c>
      <c r="AC15" s="14" t="e">
        <f t="shared" ca="1" si="6"/>
        <v>#N/A</v>
      </c>
      <c r="AD15" s="14" t="e">
        <f t="shared" ca="1" si="6"/>
        <v>#N/A</v>
      </c>
      <c r="AE15" s="14" t="e">
        <f t="shared" ca="1" si="6"/>
        <v>#N/A</v>
      </c>
      <c r="AF15" s="15" t="e">
        <f t="shared" ca="1" si="6"/>
        <v>#N/A</v>
      </c>
      <c r="AG15" s="16" t="e">
        <f t="shared" ca="1" si="6"/>
        <v>#N/A</v>
      </c>
      <c r="AH15" s="13" t="e">
        <f t="shared" ca="1" si="6"/>
        <v>#N/A</v>
      </c>
      <c r="AI15" s="14" t="e">
        <f t="shared" ca="1" si="6"/>
        <v>#N/A</v>
      </c>
      <c r="AJ15" s="14" t="e">
        <f t="shared" ca="1" si="7"/>
        <v>#N/A</v>
      </c>
      <c r="AK15" s="14" t="e">
        <f t="shared" ca="1" si="7"/>
        <v>#N/A</v>
      </c>
      <c r="AL15" s="14" t="e">
        <f t="shared" ca="1" si="7"/>
        <v>#N/A</v>
      </c>
      <c r="AM15" s="15" t="e">
        <f t="shared" ca="1" si="7"/>
        <v>#N/A</v>
      </c>
      <c r="AN15" s="16" t="e">
        <f t="shared" ca="1" si="7"/>
        <v>#N/A</v>
      </c>
      <c r="AO15" s="13" t="e">
        <f t="shared" ca="1" si="7"/>
        <v>#N/A</v>
      </c>
      <c r="AP15" s="14" t="e">
        <f t="shared" ca="1" si="7"/>
        <v>#N/A</v>
      </c>
      <c r="AQ15" s="14" t="e">
        <f t="shared" ca="1" si="7"/>
        <v>#N/A</v>
      </c>
      <c r="AR15" s="14" t="e">
        <f t="shared" ca="1" si="7"/>
        <v>#N/A</v>
      </c>
      <c r="AS15" s="14" t="e">
        <f t="shared" ca="1" si="7"/>
        <v>#N/A</v>
      </c>
      <c r="AT15" s="15" t="e">
        <f t="shared" ca="1" si="8"/>
        <v>#N/A</v>
      </c>
      <c r="AU15" s="16" t="e">
        <f t="shared" ca="1" si="8"/>
        <v>#N/A</v>
      </c>
      <c r="AV15" s="13" t="e">
        <f t="shared" ca="1" si="8"/>
        <v>#N/A</v>
      </c>
      <c r="AW15" s="14" t="e">
        <f t="shared" ca="1" si="8"/>
        <v>#N/A</v>
      </c>
      <c r="AX15" s="14" t="e">
        <f t="shared" ca="1" si="8"/>
        <v>#N/A</v>
      </c>
      <c r="AY15" s="14" t="e">
        <f t="shared" ca="1" si="8"/>
        <v>#N/A</v>
      </c>
      <c r="AZ15" s="14" t="e">
        <f t="shared" ca="1" si="8"/>
        <v>#N/A</v>
      </c>
      <c r="BA15" s="15" t="e">
        <f t="shared" ca="1" si="8"/>
        <v>#N/A</v>
      </c>
      <c r="BB15" s="16" t="e">
        <f t="shared" ca="1" si="8"/>
        <v>#N/A</v>
      </c>
      <c r="BC15" s="13" t="e">
        <f t="shared" ca="1" si="8"/>
        <v>#N/A</v>
      </c>
      <c r="BD15" s="14" t="e">
        <f t="shared" ca="1" si="9"/>
        <v>#N/A</v>
      </c>
      <c r="BE15" s="14" t="e">
        <f t="shared" ca="1" si="9"/>
        <v>#N/A</v>
      </c>
      <c r="BF15" s="14" t="e">
        <f t="shared" ca="1" si="9"/>
        <v>#N/A</v>
      </c>
      <c r="BG15" s="14" t="e">
        <f t="shared" ca="1" si="9"/>
        <v>#N/A</v>
      </c>
      <c r="BH15" s="15" t="e">
        <f t="shared" ca="1" si="9"/>
        <v>#N/A</v>
      </c>
      <c r="BI15" s="16" t="e">
        <f t="shared" ca="1" si="9"/>
        <v>#N/A</v>
      </c>
      <c r="BJ15" s="13" t="e">
        <f t="shared" ca="1" si="9"/>
        <v>#N/A</v>
      </c>
      <c r="BK15" s="14" t="e">
        <f t="shared" ca="1" si="9"/>
        <v>#N/A</v>
      </c>
      <c r="BL15" s="14" t="e">
        <f t="shared" ca="1" si="9"/>
        <v>#N/A</v>
      </c>
      <c r="BM15" s="14" t="e">
        <f t="shared" ca="1" si="9"/>
        <v>#N/A</v>
      </c>
      <c r="BN15" s="14" t="e">
        <f t="shared" ca="1" si="10"/>
        <v>#N/A</v>
      </c>
      <c r="BO15" s="15" t="e">
        <f t="shared" ca="1" si="10"/>
        <v>#N/A</v>
      </c>
      <c r="BP15" s="16" t="e">
        <f t="shared" ca="1" si="10"/>
        <v>#N/A</v>
      </c>
      <c r="BQ15" s="13" t="e">
        <f t="shared" ca="1" si="10"/>
        <v>#N/A</v>
      </c>
      <c r="BR15" s="14" t="e">
        <f t="shared" ca="1" si="10"/>
        <v>#N/A</v>
      </c>
      <c r="BS15" s="14" t="e">
        <f t="shared" ca="1" si="10"/>
        <v>#N/A</v>
      </c>
      <c r="BT15" s="14" t="e">
        <f t="shared" ca="1" si="10"/>
        <v>#N/A</v>
      </c>
      <c r="BU15" s="14" t="e">
        <f t="shared" ca="1" si="10"/>
        <v>#N/A</v>
      </c>
      <c r="BV15" s="15" t="e">
        <f t="shared" ca="1" si="10"/>
        <v>#N/A</v>
      </c>
      <c r="BW15" s="16" t="e">
        <f t="shared" ca="1" si="10"/>
        <v>#N/A</v>
      </c>
      <c r="BX15" s="13" t="e">
        <f t="shared" ca="1" si="11"/>
        <v>#N/A</v>
      </c>
      <c r="BY15" s="14" t="e">
        <f t="shared" ca="1" si="11"/>
        <v>#N/A</v>
      </c>
      <c r="BZ15" s="14" t="e">
        <f t="shared" ca="1" si="11"/>
        <v>#N/A</v>
      </c>
      <c r="CA15" s="14" t="e">
        <f t="shared" ca="1" si="11"/>
        <v>#N/A</v>
      </c>
      <c r="CB15" s="14" t="e">
        <f t="shared" ca="1" si="11"/>
        <v>#N/A</v>
      </c>
      <c r="CC15" s="15" t="e">
        <f t="shared" ca="1" si="11"/>
        <v>#N/A</v>
      </c>
      <c r="CD15" s="16" t="e">
        <f t="shared" ca="1" si="11"/>
        <v>#N/A</v>
      </c>
      <c r="CE15" s="13" t="e">
        <f t="shared" ca="1" si="11"/>
        <v>#N/A</v>
      </c>
      <c r="CF15" s="14" t="e">
        <f t="shared" ca="1" si="11"/>
        <v>#N/A</v>
      </c>
      <c r="CG15" s="14" t="e">
        <f t="shared" ca="1" si="11"/>
        <v>#N/A</v>
      </c>
      <c r="CH15" s="14" t="e">
        <f t="shared" ca="1" si="12"/>
        <v>#N/A</v>
      </c>
      <c r="CI15" s="14" t="e">
        <f t="shared" ca="1" si="12"/>
        <v>#N/A</v>
      </c>
      <c r="CJ15" s="15" t="e">
        <f t="shared" ca="1" si="12"/>
        <v>#N/A</v>
      </c>
      <c r="CK15" s="16" t="e">
        <f t="shared" ca="1" si="12"/>
        <v>#N/A</v>
      </c>
      <c r="CL15" s="13" t="e">
        <f t="shared" ca="1" si="12"/>
        <v>#N/A</v>
      </c>
      <c r="CM15" s="14" t="e">
        <f t="shared" ca="1" si="12"/>
        <v>#N/A</v>
      </c>
      <c r="CN15" s="14" t="e">
        <f t="shared" ca="1" si="12"/>
        <v>#N/A</v>
      </c>
      <c r="CO15" s="14" t="e">
        <f t="shared" ca="1" si="12"/>
        <v>#N/A</v>
      </c>
      <c r="CP15" s="14" t="e">
        <f t="shared" ca="1" si="12"/>
        <v>#N/A</v>
      </c>
      <c r="CQ15" s="15" t="e">
        <f t="shared" ca="1" si="12"/>
        <v>#N/A</v>
      </c>
      <c r="CR15" s="16" t="e">
        <f t="shared" ca="1" si="13"/>
        <v>#N/A</v>
      </c>
      <c r="CS15" s="13" t="e">
        <f t="shared" ca="1" si="13"/>
        <v>#N/A</v>
      </c>
      <c r="CT15" s="14" t="e">
        <f t="shared" ca="1" si="13"/>
        <v>#N/A</v>
      </c>
      <c r="CU15" s="14" t="e">
        <f t="shared" ca="1" si="13"/>
        <v>#N/A</v>
      </c>
      <c r="CV15" s="14" t="e">
        <f t="shared" ca="1" si="13"/>
        <v>#N/A</v>
      </c>
      <c r="CW15" s="14" t="e">
        <f t="shared" ca="1" si="13"/>
        <v>#N/A</v>
      </c>
      <c r="CX15" s="15" t="e">
        <f t="shared" ca="1" si="13"/>
        <v>#N/A</v>
      </c>
      <c r="CY15" s="16" t="e">
        <f t="shared" ca="1" si="13"/>
        <v>#N/A</v>
      </c>
      <c r="CZ15" s="13" t="e">
        <f t="shared" ca="1" si="13"/>
        <v>#N/A</v>
      </c>
      <c r="DA15" s="14" t="e">
        <f t="shared" ca="1" si="13"/>
        <v>#N/A</v>
      </c>
      <c r="DB15" s="14" t="e">
        <f t="shared" ca="1" si="14"/>
        <v>#N/A</v>
      </c>
      <c r="DC15" s="14" t="e">
        <f t="shared" ca="1" si="14"/>
        <v>#N/A</v>
      </c>
      <c r="DD15" s="14" t="e">
        <f t="shared" ca="1" si="14"/>
        <v>#N/A</v>
      </c>
      <c r="DE15" s="15" t="e">
        <f t="shared" ca="1" si="14"/>
        <v>#N/A</v>
      </c>
      <c r="DF15" s="16" t="e">
        <f t="shared" ca="1" si="14"/>
        <v>#N/A</v>
      </c>
      <c r="DG15" s="13" t="e">
        <f t="shared" ca="1" si="14"/>
        <v>#N/A</v>
      </c>
      <c r="DH15" s="14" t="e">
        <f t="shared" ca="1" si="14"/>
        <v>#N/A</v>
      </c>
      <c r="DI15" s="14" t="e">
        <f t="shared" ca="1" si="14"/>
        <v>#N/A</v>
      </c>
      <c r="DJ15" s="14" t="e">
        <f t="shared" ca="1" si="14"/>
        <v>#N/A</v>
      </c>
      <c r="DK15" s="14" t="e">
        <f t="shared" ca="1" si="14"/>
        <v>#N/A</v>
      </c>
      <c r="DL15" s="15" t="e">
        <f t="shared" ca="1" si="15"/>
        <v>#N/A</v>
      </c>
      <c r="DM15" s="16" t="e">
        <f t="shared" ca="1" si="15"/>
        <v>#N/A</v>
      </c>
      <c r="DN15" s="13" t="e">
        <f t="shared" ca="1" si="15"/>
        <v>#N/A</v>
      </c>
      <c r="DO15" s="14" t="e">
        <f t="shared" ca="1" si="15"/>
        <v>#N/A</v>
      </c>
      <c r="DP15" s="14" t="e">
        <f t="shared" ca="1" si="15"/>
        <v>#N/A</v>
      </c>
      <c r="DQ15" s="14" t="e">
        <f t="shared" ca="1" si="15"/>
        <v>#N/A</v>
      </c>
      <c r="DR15" s="14" t="e">
        <f t="shared" ca="1" si="15"/>
        <v>#N/A</v>
      </c>
      <c r="DS15" s="15" t="e">
        <f t="shared" ca="1" si="15"/>
        <v>#N/A</v>
      </c>
      <c r="DT15" s="16" t="e">
        <f t="shared" ca="1" si="15"/>
        <v>#N/A</v>
      </c>
    </row>
    <row r="16" spans="1:124" s="17" customFormat="1" ht="9.6" customHeight="1">
      <c r="A16" s="535"/>
      <c r="B16" s="23" t="s">
        <v>47</v>
      </c>
      <c r="C16" s="19" t="e">
        <f ca="1">E15</f>
        <v>#N/A</v>
      </c>
      <c r="D16" s="19" t="e">
        <f ca="1">_xlfn.XLOOKUP(A25,'VTT project'!B:B,'VTT project'!AE:AE,"-",0)</f>
        <v>#N/A</v>
      </c>
      <c r="E16" s="19" t="e">
        <f ca="1">(C16+D16)-1</f>
        <v>#N/A</v>
      </c>
      <c r="F16" s="13" t="e">
        <f t="shared" ca="1" si="4"/>
        <v>#N/A</v>
      </c>
      <c r="G16" s="14" t="e">
        <f t="shared" ca="1" si="4"/>
        <v>#N/A</v>
      </c>
      <c r="H16" s="14" t="e">
        <f t="shared" ca="1" si="4"/>
        <v>#N/A</v>
      </c>
      <c r="I16" s="14" t="e">
        <f t="shared" ca="1" si="4"/>
        <v>#N/A</v>
      </c>
      <c r="J16" s="14" t="e">
        <f t="shared" ca="1" si="4"/>
        <v>#N/A</v>
      </c>
      <c r="K16" s="15" t="e">
        <f t="shared" ca="1" si="4"/>
        <v>#N/A</v>
      </c>
      <c r="L16" s="16" t="e">
        <f t="shared" ca="1" si="4"/>
        <v>#N/A</v>
      </c>
      <c r="M16" s="13" t="e">
        <f t="shared" ca="1" si="4"/>
        <v>#N/A</v>
      </c>
      <c r="N16" s="14" t="e">
        <f t="shared" ca="1" si="4"/>
        <v>#N/A</v>
      </c>
      <c r="O16" s="14" t="e">
        <f t="shared" ca="1" si="4"/>
        <v>#N/A</v>
      </c>
      <c r="P16" s="14" t="e">
        <f t="shared" ca="1" si="5"/>
        <v>#N/A</v>
      </c>
      <c r="Q16" s="14" t="e">
        <f t="shared" ca="1" si="5"/>
        <v>#N/A</v>
      </c>
      <c r="R16" s="15" t="e">
        <f t="shared" ca="1" si="5"/>
        <v>#N/A</v>
      </c>
      <c r="S16" s="16" t="e">
        <f t="shared" ca="1" si="5"/>
        <v>#N/A</v>
      </c>
      <c r="T16" s="13" t="e">
        <f t="shared" ca="1" si="5"/>
        <v>#N/A</v>
      </c>
      <c r="U16" s="14" t="e">
        <f t="shared" ca="1" si="5"/>
        <v>#N/A</v>
      </c>
      <c r="V16" s="14" t="e">
        <f t="shared" ca="1" si="5"/>
        <v>#N/A</v>
      </c>
      <c r="W16" s="14" t="e">
        <f t="shared" ca="1" si="5"/>
        <v>#N/A</v>
      </c>
      <c r="X16" s="14" t="e">
        <f t="shared" ca="1" si="5"/>
        <v>#N/A</v>
      </c>
      <c r="Y16" s="15" t="e">
        <f t="shared" ca="1" si="5"/>
        <v>#N/A</v>
      </c>
      <c r="Z16" s="16" t="e">
        <f t="shared" ca="1" si="6"/>
        <v>#N/A</v>
      </c>
      <c r="AA16" s="13" t="e">
        <f t="shared" ca="1" si="6"/>
        <v>#N/A</v>
      </c>
      <c r="AB16" s="14" t="e">
        <f t="shared" ca="1" si="6"/>
        <v>#N/A</v>
      </c>
      <c r="AC16" s="14" t="e">
        <f t="shared" ca="1" si="6"/>
        <v>#N/A</v>
      </c>
      <c r="AD16" s="14" t="e">
        <f t="shared" ca="1" si="6"/>
        <v>#N/A</v>
      </c>
      <c r="AE16" s="14" t="e">
        <f t="shared" ca="1" si="6"/>
        <v>#N/A</v>
      </c>
      <c r="AF16" s="15" t="e">
        <f t="shared" ca="1" si="6"/>
        <v>#N/A</v>
      </c>
      <c r="AG16" s="16" t="e">
        <f t="shared" ca="1" si="6"/>
        <v>#N/A</v>
      </c>
      <c r="AH16" s="13" t="e">
        <f t="shared" ca="1" si="6"/>
        <v>#N/A</v>
      </c>
      <c r="AI16" s="14" t="e">
        <f t="shared" ca="1" si="6"/>
        <v>#N/A</v>
      </c>
      <c r="AJ16" s="14" t="e">
        <f t="shared" ca="1" si="7"/>
        <v>#N/A</v>
      </c>
      <c r="AK16" s="14" t="e">
        <f t="shared" ca="1" si="7"/>
        <v>#N/A</v>
      </c>
      <c r="AL16" s="14" t="e">
        <f t="shared" ca="1" si="7"/>
        <v>#N/A</v>
      </c>
      <c r="AM16" s="15" t="e">
        <f t="shared" ca="1" si="7"/>
        <v>#N/A</v>
      </c>
      <c r="AN16" s="16" t="e">
        <f t="shared" ca="1" si="7"/>
        <v>#N/A</v>
      </c>
      <c r="AO16" s="13" t="e">
        <f t="shared" ca="1" si="7"/>
        <v>#N/A</v>
      </c>
      <c r="AP16" s="14" t="e">
        <f t="shared" ca="1" si="7"/>
        <v>#N/A</v>
      </c>
      <c r="AQ16" s="14" t="e">
        <f t="shared" ca="1" si="7"/>
        <v>#N/A</v>
      </c>
      <c r="AR16" s="14" t="e">
        <f t="shared" ca="1" si="7"/>
        <v>#N/A</v>
      </c>
      <c r="AS16" s="14" t="e">
        <f t="shared" ca="1" si="7"/>
        <v>#N/A</v>
      </c>
      <c r="AT16" s="15" t="e">
        <f t="shared" ca="1" si="8"/>
        <v>#N/A</v>
      </c>
      <c r="AU16" s="16" t="e">
        <f t="shared" ca="1" si="8"/>
        <v>#N/A</v>
      </c>
      <c r="AV16" s="13" t="e">
        <f t="shared" ca="1" si="8"/>
        <v>#N/A</v>
      </c>
      <c r="AW16" s="14" t="e">
        <f t="shared" ca="1" si="8"/>
        <v>#N/A</v>
      </c>
      <c r="AX16" s="14" t="e">
        <f t="shared" ca="1" si="8"/>
        <v>#N/A</v>
      </c>
      <c r="AY16" s="14" t="e">
        <f t="shared" ca="1" si="8"/>
        <v>#N/A</v>
      </c>
      <c r="AZ16" s="14" t="e">
        <f t="shared" ca="1" si="8"/>
        <v>#N/A</v>
      </c>
      <c r="BA16" s="15" t="e">
        <f t="shared" ca="1" si="8"/>
        <v>#N/A</v>
      </c>
      <c r="BB16" s="16" t="e">
        <f t="shared" ca="1" si="8"/>
        <v>#N/A</v>
      </c>
      <c r="BC16" s="13" t="e">
        <f t="shared" ca="1" si="8"/>
        <v>#N/A</v>
      </c>
      <c r="BD16" s="14" t="e">
        <f t="shared" ca="1" si="9"/>
        <v>#N/A</v>
      </c>
      <c r="BE16" s="14" t="e">
        <f t="shared" ca="1" si="9"/>
        <v>#N/A</v>
      </c>
      <c r="BF16" s="14" t="e">
        <f t="shared" ca="1" si="9"/>
        <v>#N/A</v>
      </c>
      <c r="BG16" s="14" t="e">
        <f t="shared" ca="1" si="9"/>
        <v>#N/A</v>
      </c>
      <c r="BH16" s="15" t="e">
        <f t="shared" ca="1" si="9"/>
        <v>#N/A</v>
      </c>
      <c r="BI16" s="16" t="e">
        <f t="shared" ca="1" si="9"/>
        <v>#N/A</v>
      </c>
      <c r="BJ16" s="13" t="e">
        <f t="shared" ca="1" si="9"/>
        <v>#N/A</v>
      </c>
      <c r="BK16" s="14" t="e">
        <f t="shared" ca="1" si="9"/>
        <v>#N/A</v>
      </c>
      <c r="BL16" s="14" t="e">
        <f t="shared" ca="1" si="9"/>
        <v>#N/A</v>
      </c>
      <c r="BM16" s="14" t="e">
        <f t="shared" ca="1" si="9"/>
        <v>#N/A</v>
      </c>
      <c r="BN16" s="14" t="e">
        <f t="shared" ca="1" si="10"/>
        <v>#N/A</v>
      </c>
      <c r="BO16" s="15" t="e">
        <f t="shared" ca="1" si="10"/>
        <v>#N/A</v>
      </c>
      <c r="BP16" s="16" t="e">
        <f t="shared" ca="1" si="10"/>
        <v>#N/A</v>
      </c>
      <c r="BQ16" s="13" t="e">
        <f t="shared" ca="1" si="10"/>
        <v>#N/A</v>
      </c>
      <c r="BR16" s="14" t="e">
        <f t="shared" ca="1" si="10"/>
        <v>#N/A</v>
      </c>
      <c r="BS16" s="14" t="e">
        <f t="shared" ca="1" si="10"/>
        <v>#N/A</v>
      </c>
      <c r="BT16" s="14" t="e">
        <f t="shared" ca="1" si="10"/>
        <v>#N/A</v>
      </c>
      <c r="BU16" s="14" t="e">
        <f t="shared" ca="1" si="10"/>
        <v>#N/A</v>
      </c>
      <c r="BV16" s="15" t="e">
        <f t="shared" ca="1" si="10"/>
        <v>#N/A</v>
      </c>
      <c r="BW16" s="16" t="e">
        <f t="shared" ca="1" si="10"/>
        <v>#N/A</v>
      </c>
      <c r="BX16" s="13" t="e">
        <f t="shared" ca="1" si="11"/>
        <v>#N/A</v>
      </c>
      <c r="BY16" s="14" t="e">
        <f t="shared" ca="1" si="11"/>
        <v>#N/A</v>
      </c>
      <c r="BZ16" s="14" t="e">
        <f t="shared" ca="1" si="11"/>
        <v>#N/A</v>
      </c>
      <c r="CA16" s="14" t="e">
        <f t="shared" ca="1" si="11"/>
        <v>#N/A</v>
      </c>
      <c r="CB16" s="14" t="e">
        <f t="shared" ca="1" si="11"/>
        <v>#N/A</v>
      </c>
      <c r="CC16" s="15" t="e">
        <f t="shared" ca="1" si="11"/>
        <v>#N/A</v>
      </c>
      <c r="CD16" s="16" t="e">
        <f t="shared" ca="1" si="11"/>
        <v>#N/A</v>
      </c>
      <c r="CE16" s="13" t="e">
        <f t="shared" ca="1" si="11"/>
        <v>#N/A</v>
      </c>
      <c r="CF16" s="14" t="e">
        <f t="shared" ca="1" si="11"/>
        <v>#N/A</v>
      </c>
      <c r="CG16" s="14" t="e">
        <f t="shared" ca="1" si="11"/>
        <v>#N/A</v>
      </c>
      <c r="CH16" s="14" t="e">
        <f t="shared" ca="1" si="12"/>
        <v>#N/A</v>
      </c>
      <c r="CI16" s="14" t="e">
        <f t="shared" ca="1" si="12"/>
        <v>#N/A</v>
      </c>
      <c r="CJ16" s="15" t="e">
        <f t="shared" ca="1" si="12"/>
        <v>#N/A</v>
      </c>
      <c r="CK16" s="16" t="e">
        <f t="shared" ca="1" si="12"/>
        <v>#N/A</v>
      </c>
      <c r="CL16" s="13" t="e">
        <f t="shared" ca="1" si="12"/>
        <v>#N/A</v>
      </c>
      <c r="CM16" s="14" t="e">
        <f t="shared" ca="1" si="12"/>
        <v>#N/A</v>
      </c>
      <c r="CN16" s="14" t="e">
        <f t="shared" ca="1" si="12"/>
        <v>#N/A</v>
      </c>
      <c r="CO16" s="14" t="e">
        <f t="shared" ca="1" si="12"/>
        <v>#N/A</v>
      </c>
      <c r="CP16" s="14" t="e">
        <f t="shared" ca="1" si="12"/>
        <v>#N/A</v>
      </c>
      <c r="CQ16" s="15" t="e">
        <f t="shared" ca="1" si="12"/>
        <v>#N/A</v>
      </c>
      <c r="CR16" s="16" t="e">
        <f t="shared" ca="1" si="13"/>
        <v>#N/A</v>
      </c>
      <c r="CS16" s="13" t="e">
        <f t="shared" ca="1" si="13"/>
        <v>#N/A</v>
      </c>
      <c r="CT16" s="14" t="e">
        <f t="shared" ca="1" si="13"/>
        <v>#N/A</v>
      </c>
      <c r="CU16" s="14" t="e">
        <f t="shared" ca="1" si="13"/>
        <v>#N/A</v>
      </c>
      <c r="CV16" s="14" t="e">
        <f t="shared" ca="1" si="13"/>
        <v>#N/A</v>
      </c>
      <c r="CW16" s="14" t="e">
        <f t="shared" ca="1" si="13"/>
        <v>#N/A</v>
      </c>
      <c r="CX16" s="15" t="e">
        <f t="shared" ca="1" si="13"/>
        <v>#N/A</v>
      </c>
      <c r="CY16" s="16" t="e">
        <f t="shared" ca="1" si="13"/>
        <v>#N/A</v>
      </c>
      <c r="CZ16" s="13" t="e">
        <f t="shared" ca="1" si="13"/>
        <v>#N/A</v>
      </c>
      <c r="DA16" s="14" t="e">
        <f t="shared" ca="1" si="13"/>
        <v>#N/A</v>
      </c>
      <c r="DB16" s="14" t="e">
        <f t="shared" ca="1" si="14"/>
        <v>#N/A</v>
      </c>
      <c r="DC16" s="14" t="e">
        <f t="shared" ca="1" si="14"/>
        <v>#N/A</v>
      </c>
      <c r="DD16" s="14" t="e">
        <f t="shared" ca="1" si="14"/>
        <v>#N/A</v>
      </c>
      <c r="DE16" s="15" t="e">
        <f t="shared" ca="1" si="14"/>
        <v>#N/A</v>
      </c>
      <c r="DF16" s="16" t="e">
        <f t="shared" ca="1" si="14"/>
        <v>#N/A</v>
      </c>
      <c r="DG16" s="13" t="e">
        <f t="shared" ca="1" si="14"/>
        <v>#N/A</v>
      </c>
      <c r="DH16" s="14" t="e">
        <f t="shared" ca="1" si="14"/>
        <v>#N/A</v>
      </c>
      <c r="DI16" s="14" t="e">
        <f t="shared" ca="1" si="14"/>
        <v>#N/A</v>
      </c>
      <c r="DJ16" s="14" t="e">
        <f t="shared" ca="1" si="14"/>
        <v>#N/A</v>
      </c>
      <c r="DK16" s="14" t="e">
        <f t="shared" ca="1" si="14"/>
        <v>#N/A</v>
      </c>
      <c r="DL16" s="15" t="e">
        <f t="shared" ca="1" si="15"/>
        <v>#N/A</v>
      </c>
      <c r="DM16" s="16" t="e">
        <f t="shared" ca="1" si="15"/>
        <v>#N/A</v>
      </c>
      <c r="DN16" s="13" t="e">
        <f t="shared" ca="1" si="15"/>
        <v>#N/A</v>
      </c>
      <c r="DO16" s="14" t="e">
        <f t="shared" ca="1" si="15"/>
        <v>#N/A</v>
      </c>
      <c r="DP16" s="14" t="e">
        <f t="shared" ca="1" si="15"/>
        <v>#N/A</v>
      </c>
      <c r="DQ16" s="14" t="e">
        <f t="shared" ca="1" si="15"/>
        <v>#N/A</v>
      </c>
      <c r="DR16" s="14" t="e">
        <f t="shared" ca="1" si="15"/>
        <v>#N/A</v>
      </c>
      <c r="DS16" s="15" t="e">
        <f t="shared" ca="1" si="15"/>
        <v>#N/A</v>
      </c>
      <c r="DT16" s="16" t="e">
        <f t="shared" ca="1" si="15"/>
        <v>#N/A</v>
      </c>
    </row>
    <row r="17" spans="1:124" s="17" customFormat="1" ht="9.6" customHeight="1">
      <c r="A17" s="535"/>
      <c r="B17" s="23" t="s">
        <v>48</v>
      </c>
      <c r="C17" s="19" t="e">
        <f t="shared" ref="C17:C25" ca="1" si="16">E16+1</f>
        <v>#N/A</v>
      </c>
      <c r="D17" s="19" t="e">
        <f ca="1">_xlfn.XLOOKUP(A25,'VTT project'!B:B,'VTT project'!AG:AG,"-",0)</f>
        <v>#N/A</v>
      </c>
      <c r="E17" s="19" t="e">
        <f ca="1">(C17+D17)-1</f>
        <v>#N/A</v>
      </c>
      <c r="F17" s="13" t="e">
        <f t="shared" ca="1" si="4"/>
        <v>#N/A</v>
      </c>
      <c r="G17" s="14" t="e">
        <f t="shared" ca="1" si="4"/>
        <v>#N/A</v>
      </c>
      <c r="H17" s="14" t="e">
        <f t="shared" ca="1" si="4"/>
        <v>#N/A</v>
      </c>
      <c r="I17" s="14" t="e">
        <f t="shared" ca="1" si="4"/>
        <v>#N/A</v>
      </c>
      <c r="J17" s="14" t="e">
        <f t="shared" ca="1" si="4"/>
        <v>#N/A</v>
      </c>
      <c r="K17" s="15" t="e">
        <f t="shared" ca="1" si="4"/>
        <v>#N/A</v>
      </c>
      <c r="L17" s="16" t="e">
        <f t="shared" ca="1" si="4"/>
        <v>#N/A</v>
      </c>
      <c r="M17" s="13" t="e">
        <f t="shared" ca="1" si="4"/>
        <v>#N/A</v>
      </c>
      <c r="N17" s="14" t="e">
        <f t="shared" ca="1" si="4"/>
        <v>#N/A</v>
      </c>
      <c r="O17" s="14" t="e">
        <f t="shared" ca="1" si="4"/>
        <v>#N/A</v>
      </c>
      <c r="P17" s="14" t="e">
        <f t="shared" ca="1" si="5"/>
        <v>#N/A</v>
      </c>
      <c r="Q17" s="14" t="e">
        <f t="shared" ca="1" si="5"/>
        <v>#N/A</v>
      </c>
      <c r="R17" s="15" t="e">
        <f t="shared" ca="1" si="5"/>
        <v>#N/A</v>
      </c>
      <c r="S17" s="16" t="e">
        <f t="shared" ca="1" si="5"/>
        <v>#N/A</v>
      </c>
      <c r="T17" s="13" t="e">
        <f t="shared" ca="1" si="5"/>
        <v>#N/A</v>
      </c>
      <c r="U17" s="14" t="e">
        <f t="shared" ca="1" si="5"/>
        <v>#N/A</v>
      </c>
      <c r="V17" s="14" t="e">
        <f t="shared" ca="1" si="5"/>
        <v>#N/A</v>
      </c>
      <c r="W17" s="14" t="e">
        <f t="shared" ca="1" si="5"/>
        <v>#N/A</v>
      </c>
      <c r="X17" s="14" t="e">
        <f t="shared" ca="1" si="5"/>
        <v>#N/A</v>
      </c>
      <c r="Y17" s="15" t="e">
        <f t="shared" ca="1" si="5"/>
        <v>#N/A</v>
      </c>
      <c r="Z17" s="16" t="e">
        <f t="shared" ca="1" si="6"/>
        <v>#N/A</v>
      </c>
      <c r="AA17" s="13" t="e">
        <f t="shared" ca="1" si="6"/>
        <v>#N/A</v>
      </c>
      <c r="AB17" s="14" t="e">
        <f t="shared" ca="1" si="6"/>
        <v>#N/A</v>
      </c>
      <c r="AC17" s="14" t="e">
        <f t="shared" ca="1" si="6"/>
        <v>#N/A</v>
      </c>
      <c r="AD17" s="14" t="e">
        <f t="shared" ca="1" si="6"/>
        <v>#N/A</v>
      </c>
      <c r="AE17" s="14" t="e">
        <f t="shared" ca="1" si="6"/>
        <v>#N/A</v>
      </c>
      <c r="AF17" s="15" t="e">
        <f t="shared" ca="1" si="6"/>
        <v>#N/A</v>
      </c>
      <c r="AG17" s="16" t="e">
        <f t="shared" ca="1" si="6"/>
        <v>#N/A</v>
      </c>
      <c r="AH17" s="13" t="e">
        <f t="shared" ca="1" si="6"/>
        <v>#N/A</v>
      </c>
      <c r="AI17" s="14" t="e">
        <f t="shared" ca="1" si="6"/>
        <v>#N/A</v>
      </c>
      <c r="AJ17" s="14" t="e">
        <f t="shared" ca="1" si="7"/>
        <v>#N/A</v>
      </c>
      <c r="AK17" s="14" t="e">
        <f t="shared" ca="1" si="7"/>
        <v>#N/A</v>
      </c>
      <c r="AL17" s="14" t="e">
        <f t="shared" ca="1" si="7"/>
        <v>#N/A</v>
      </c>
      <c r="AM17" s="15" t="e">
        <f t="shared" ca="1" si="7"/>
        <v>#N/A</v>
      </c>
      <c r="AN17" s="16" t="e">
        <f t="shared" ca="1" si="7"/>
        <v>#N/A</v>
      </c>
      <c r="AO17" s="13" t="e">
        <f t="shared" ca="1" si="7"/>
        <v>#N/A</v>
      </c>
      <c r="AP17" s="14" t="e">
        <f t="shared" ca="1" si="7"/>
        <v>#N/A</v>
      </c>
      <c r="AQ17" s="14" t="e">
        <f t="shared" ca="1" si="7"/>
        <v>#N/A</v>
      </c>
      <c r="AR17" s="14" t="e">
        <f t="shared" ca="1" si="7"/>
        <v>#N/A</v>
      </c>
      <c r="AS17" s="14" t="e">
        <f t="shared" ca="1" si="7"/>
        <v>#N/A</v>
      </c>
      <c r="AT17" s="15" t="e">
        <f t="shared" ca="1" si="8"/>
        <v>#N/A</v>
      </c>
      <c r="AU17" s="16" t="e">
        <f t="shared" ca="1" si="8"/>
        <v>#N/A</v>
      </c>
      <c r="AV17" s="13" t="e">
        <f t="shared" ca="1" si="8"/>
        <v>#N/A</v>
      </c>
      <c r="AW17" s="14" t="e">
        <f t="shared" ca="1" si="8"/>
        <v>#N/A</v>
      </c>
      <c r="AX17" s="14" t="e">
        <f t="shared" ca="1" si="8"/>
        <v>#N/A</v>
      </c>
      <c r="AY17" s="14" t="e">
        <f t="shared" ca="1" si="8"/>
        <v>#N/A</v>
      </c>
      <c r="AZ17" s="14" t="e">
        <f t="shared" ca="1" si="8"/>
        <v>#N/A</v>
      </c>
      <c r="BA17" s="15" t="e">
        <f t="shared" ca="1" si="8"/>
        <v>#N/A</v>
      </c>
      <c r="BB17" s="16" t="e">
        <f t="shared" ca="1" si="8"/>
        <v>#N/A</v>
      </c>
      <c r="BC17" s="13" t="e">
        <f t="shared" ca="1" si="8"/>
        <v>#N/A</v>
      </c>
      <c r="BD17" s="14" t="e">
        <f t="shared" ca="1" si="9"/>
        <v>#N/A</v>
      </c>
      <c r="BE17" s="14" t="e">
        <f t="shared" ca="1" si="9"/>
        <v>#N/A</v>
      </c>
      <c r="BF17" s="14" t="e">
        <f t="shared" ca="1" si="9"/>
        <v>#N/A</v>
      </c>
      <c r="BG17" s="14" t="e">
        <f t="shared" ca="1" si="9"/>
        <v>#N/A</v>
      </c>
      <c r="BH17" s="15" t="e">
        <f t="shared" ca="1" si="9"/>
        <v>#N/A</v>
      </c>
      <c r="BI17" s="16" t="e">
        <f t="shared" ca="1" si="9"/>
        <v>#N/A</v>
      </c>
      <c r="BJ17" s="13" t="e">
        <f t="shared" ca="1" si="9"/>
        <v>#N/A</v>
      </c>
      <c r="BK17" s="14" t="e">
        <f t="shared" ca="1" si="9"/>
        <v>#N/A</v>
      </c>
      <c r="BL17" s="14" t="e">
        <f t="shared" ca="1" si="9"/>
        <v>#N/A</v>
      </c>
      <c r="BM17" s="14" t="e">
        <f t="shared" ca="1" si="9"/>
        <v>#N/A</v>
      </c>
      <c r="BN17" s="14" t="e">
        <f t="shared" ca="1" si="10"/>
        <v>#N/A</v>
      </c>
      <c r="BO17" s="15" t="e">
        <f t="shared" ca="1" si="10"/>
        <v>#N/A</v>
      </c>
      <c r="BP17" s="16" t="e">
        <f t="shared" ca="1" si="10"/>
        <v>#N/A</v>
      </c>
      <c r="BQ17" s="13" t="e">
        <f t="shared" ca="1" si="10"/>
        <v>#N/A</v>
      </c>
      <c r="BR17" s="14" t="e">
        <f t="shared" ca="1" si="10"/>
        <v>#N/A</v>
      </c>
      <c r="BS17" s="14" t="e">
        <f t="shared" ca="1" si="10"/>
        <v>#N/A</v>
      </c>
      <c r="BT17" s="14" t="e">
        <f t="shared" ca="1" si="10"/>
        <v>#N/A</v>
      </c>
      <c r="BU17" s="14" t="e">
        <f t="shared" ca="1" si="10"/>
        <v>#N/A</v>
      </c>
      <c r="BV17" s="15" t="e">
        <f t="shared" ca="1" si="10"/>
        <v>#N/A</v>
      </c>
      <c r="BW17" s="16" t="e">
        <f t="shared" ca="1" si="10"/>
        <v>#N/A</v>
      </c>
      <c r="BX17" s="13" t="e">
        <f t="shared" ca="1" si="11"/>
        <v>#N/A</v>
      </c>
      <c r="BY17" s="14" t="e">
        <f t="shared" ca="1" si="11"/>
        <v>#N/A</v>
      </c>
      <c r="BZ17" s="14" t="e">
        <f t="shared" ca="1" si="11"/>
        <v>#N/A</v>
      </c>
      <c r="CA17" s="14" t="e">
        <f t="shared" ca="1" si="11"/>
        <v>#N/A</v>
      </c>
      <c r="CB17" s="14" t="e">
        <f t="shared" ca="1" si="11"/>
        <v>#N/A</v>
      </c>
      <c r="CC17" s="15" t="e">
        <f t="shared" ca="1" si="11"/>
        <v>#N/A</v>
      </c>
      <c r="CD17" s="16" t="e">
        <f t="shared" ca="1" si="11"/>
        <v>#N/A</v>
      </c>
      <c r="CE17" s="13" t="e">
        <f t="shared" ca="1" si="11"/>
        <v>#N/A</v>
      </c>
      <c r="CF17" s="14" t="e">
        <f t="shared" ca="1" si="11"/>
        <v>#N/A</v>
      </c>
      <c r="CG17" s="14" t="e">
        <f t="shared" ca="1" si="11"/>
        <v>#N/A</v>
      </c>
      <c r="CH17" s="14" t="e">
        <f t="shared" ca="1" si="12"/>
        <v>#N/A</v>
      </c>
      <c r="CI17" s="14" t="e">
        <f t="shared" ca="1" si="12"/>
        <v>#N/A</v>
      </c>
      <c r="CJ17" s="15" t="e">
        <f t="shared" ca="1" si="12"/>
        <v>#N/A</v>
      </c>
      <c r="CK17" s="16" t="e">
        <f t="shared" ca="1" si="12"/>
        <v>#N/A</v>
      </c>
      <c r="CL17" s="13" t="e">
        <f t="shared" ca="1" si="12"/>
        <v>#N/A</v>
      </c>
      <c r="CM17" s="14" t="e">
        <f t="shared" ca="1" si="12"/>
        <v>#N/A</v>
      </c>
      <c r="CN17" s="14" t="e">
        <f t="shared" ca="1" si="12"/>
        <v>#N/A</v>
      </c>
      <c r="CO17" s="14" t="e">
        <f t="shared" ca="1" si="12"/>
        <v>#N/A</v>
      </c>
      <c r="CP17" s="14" t="e">
        <f t="shared" ca="1" si="12"/>
        <v>#N/A</v>
      </c>
      <c r="CQ17" s="15" t="e">
        <f t="shared" ca="1" si="12"/>
        <v>#N/A</v>
      </c>
      <c r="CR17" s="16" t="e">
        <f t="shared" ca="1" si="13"/>
        <v>#N/A</v>
      </c>
      <c r="CS17" s="13" t="e">
        <f t="shared" ca="1" si="13"/>
        <v>#N/A</v>
      </c>
      <c r="CT17" s="14" t="e">
        <f t="shared" ca="1" si="13"/>
        <v>#N/A</v>
      </c>
      <c r="CU17" s="14" t="e">
        <f t="shared" ca="1" si="13"/>
        <v>#N/A</v>
      </c>
      <c r="CV17" s="14" t="e">
        <f t="shared" ca="1" si="13"/>
        <v>#N/A</v>
      </c>
      <c r="CW17" s="14" t="e">
        <f t="shared" ca="1" si="13"/>
        <v>#N/A</v>
      </c>
      <c r="CX17" s="15" t="e">
        <f t="shared" ca="1" si="13"/>
        <v>#N/A</v>
      </c>
      <c r="CY17" s="16" t="e">
        <f t="shared" ca="1" si="13"/>
        <v>#N/A</v>
      </c>
      <c r="CZ17" s="13" t="e">
        <f t="shared" ca="1" si="13"/>
        <v>#N/A</v>
      </c>
      <c r="DA17" s="14" t="e">
        <f t="shared" ca="1" si="13"/>
        <v>#N/A</v>
      </c>
      <c r="DB17" s="14" t="e">
        <f t="shared" ca="1" si="14"/>
        <v>#N/A</v>
      </c>
      <c r="DC17" s="14" t="e">
        <f t="shared" ca="1" si="14"/>
        <v>#N/A</v>
      </c>
      <c r="DD17" s="14" t="e">
        <f t="shared" ca="1" si="14"/>
        <v>#N/A</v>
      </c>
      <c r="DE17" s="15" t="e">
        <f t="shared" ca="1" si="14"/>
        <v>#N/A</v>
      </c>
      <c r="DF17" s="16" t="e">
        <f t="shared" ca="1" si="14"/>
        <v>#N/A</v>
      </c>
      <c r="DG17" s="13" t="e">
        <f t="shared" ca="1" si="14"/>
        <v>#N/A</v>
      </c>
      <c r="DH17" s="14" t="e">
        <f t="shared" ca="1" si="14"/>
        <v>#N/A</v>
      </c>
      <c r="DI17" s="14" t="e">
        <f t="shared" ca="1" si="14"/>
        <v>#N/A</v>
      </c>
      <c r="DJ17" s="14" t="e">
        <f t="shared" ca="1" si="14"/>
        <v>#N/A</v>
      </c>
      <c r="DK17" s="14" t="e">
        <f t="shared" ca="1" si="14"/>
        <v>#N/A</v>
      </c>
      <c r="DL17" s="15" t="e">
        <f t="shared" ca="1" si="15"/>
        <v>#N/A</v>
      </c>
      <c r="DM17" s="16" t="e">
        <f t="shared" ca="1" si="15"/>
        <v>#N/A</v>
      </c>
      <c r="DN17" s="13" t="e">
        <f t="shared" ca="1" si="15"/>
        <v>#N/A</v>
      </c>
      <c r="DO17" s="14" t="e">
        <f t="shared" ca="1" si="15"/>
        <v>#N/A</v>
      </c>
      <c r="DP17" s="14" t="e">
        <f t="shared" ca="1" si="15"/>
        <v>#N/A</v>
      </c>
      <c r="DQ17" s="14" t="e">
        <f t="shared" ca="1" si="15"/>
        <v>#N/A</v>
      </c>
      <c r="DR17" s="14" t="e">
        <f t="shared" ca="1" si="15"/>
        <v>#N/A</v>
      </c>
      <c r="DS17" s="15" t="e">
        <f t="shared" ca="1" si="15"/>
        <v>#N/A</v>
      </c>
      <c r="DT17" s="16" t="e">
        <f t="shared" ca="1" si="15"/>
        <v>#N/A</v>
      </c>
    </row>
    <row r="18" spans="1:124" s="17" customFormat="1" ht="9.6" customHeight="1">
      <c r="A18" s="535"/>
      <c r="B18" s="26" t="s">
        <v>49</v>
      </c>
      <c r="C18" s="19" t="e">
        <f t="shared" ca="1" si="16"/>
        <v>#N/A</v>
      </c>
      <c r="D18" s="19" t="e">
        <f ca="1">_xlfn.XLOOKUP(A25,'VTT project'!B:B,'VTT project'!AH:AH,"-",0)</f>
        <v>#N/A</v>
      </c>
      <c r="E18" s="19" t="e">
        <f ca="1">(C18+D18)-1</f>
        <v>#N/A</v>
      </c>
      <c r="F18" s="13" t="e">
        <f t="shared" ref="F18:O25" ca="1" si="17">IF(AND(F$5&gt;=$C18,F$5&lt;=$E18),1,"")</f>
        <v>#N/A</v>
      </c>
      <c r="G18" s="14" t="e">
        <f t="shared" ca="1" si="17"/>
        <v>#N/A</v>
      </c>
      <c r="H18" s="14" t="e">
        <f t="shared" ca="1" si="17"/>
        <v>#N/A</v>
      </c>
      <c r="I18" s="14" t="e">
        <f t="shared" ca="1" si="17"/>
        <v>#N/A</v>
      </c>
      <c r="J18" s="14" t="e">
        <f t="shared" ca="1" si="17"/>
        <v>#N/A</v>
      </c>
      <c r="K18" s="15" t="e">
        <f t="shared" ca="1" si="17"/>
        <v>#N/A</v>
      </c>
      <c r="L18" s="16" t="e">
        <f t="shared" ca="1" si="17"/>
        <v>#N/A</v>
      </c>
      <c r="M18" s="13" t="e">
        <f t="shared" ca="1" si="17"/>
        <v>#N/A</v>
      </c>
      <c r="N18" s="14" t="e">
        <f t="shared" ca="1" si="17"/>
        <v>#N/A</v>
      </c>
      <c r="O18" s="14" t="e">
        <f t="shared" ca="1" si="17"/>
        <v>#N/A</v>
      </c>
      <c r="P18" s="14" t="e">
        <f t="shared" ref="P18:Y25" ca="1" si="18">IF(AND(P$5&gt;=$C18,P$5&lt;=$E18),1,"")</f>
        <v>#N/A</v>
      </c>
      <c r="Q18" s="14" t="e">
        <f t="shared" ca="1" si="18"/>
        <v>#N/A</v>
      </c>
      <c r="R18" s="15" t="e">
        <f t="shared" ca="1" si="18"/>
        <v>#N/A</v>
      </c>
      <c r="S18" s="16" t="e">
        <f t="shared" ca="1" si="18"/>
        <v>#N/A</v>
      </c>
      <c r="T18" s="13" t="e">
        <f t="shared" ca="1" si="18"/>
        <v>#N/A</v>
      </c>
      <c r="U18" s="14" t="e">
        <f t="shared" ca="1" si="18"/>
        <v>#N/A</v>
      </c>
      <c r="V18" s="14" t="e">
        <f t="shared" ca="1" si="18"/>
        <v>#N/A</v>
      </c>
      <c r="W18" s="14" t="e">
        <f t="shared" ca="1" si="18"/>
        <v>#N/A</v>
      </c>
      <c r="X18" s="14" t="e">
        <f t="shared" ca="1" si="18"/>
        <v>#N/A</v>
      </c>
      <c r="Y18" s="15" t="e">
        <f t="shared" ca="1" si="18"/>
        <v>#N/A</v>
      </c>
      <c r="Z18" s="16" t="e">
        <f t="shared" ref="Z18:AI25" ca="1" si="19">IF(AND(Z$5&gt;=$C18,Z$5&lt;=$E18),1,"")</f>
        <v>#N/A</v>
      </c>
      <c r="AA18" s="13" t="e">
        <f t="shared" ca="1" si="19"/>
        <v>#N/A</v>
      </c>
      <c r="AB18" s="14" t="e">
        <f t="shared" ca="1" si="19"/>
        <v>#N/A</v>
      </c>
      <c r="AC18" s="14" t="e">
        <f t="shared" ca="1" si="19"/>
        <v>#N/A</v>
      </c>
      <c r="AD18" s="14" t="e">
        <f t="shared" ca="1" si="19"/>
        <v>#N/A</v>
      </c>
      <c r="AE18" s="14" t="e">
        <f t="shared" ca="1" si="19"/>
        <v>#N/A</v>
      </c>
      <c r="AF18" s="15" t="e">
        <f t="shared" ca="1" si="19"/>
        <v>#N/A</v>
      </c>
      <c r="AG18" s="16" t="e">
        <f t="shared" ca="1" si="19"/>
        <v>#N/A</v>
      </c>
      <c r="AH18" s="13" t="e">
        <f t="shared" ca="1" si="19"/>
        <v>#N/A</v>
      </c>
      <c r="AI18" s="14" t="e">
        <f t="shared" ca="1" si="19"/>
        <v>#N/A</v>
      </c>
      <c r="AJ18" s="14" t="e">
        <f t="shared" ref="AJ18:AS25" ca="1" si="20">IF(AND(AJ$5&gt;=$C18,AJ$5&lt;=$E18),1,"")</f>
        <v>#N/A</v>
      </c>
      <c r="AK18" s="14" t="e">
        <f t="shared" ca="1" si="20"/>
        <v>#N/A</v>
      </c>
      <c r="AL18" s="14" t="e">
        <f t="shared" ca="1" si="20"/>
        <v>#N/A</v>
      </c>
      <c r="AM18" s="15" t="e">
        <f t="shared" ca="1" si="20"/>
        <v>#N/A</v>
      </c>
      <c r="AN18" s="16" t="e">
        <f t="shared" ca="1" si="20"/>
        <v>#N/A</v>
      </c>
      <c r="AO18" s="13" t="e">
        <f t="shared" ca="1" si="20"/>
        <v>#N/A</v>
      </c>
      <c r="AP18" s="14" t="e">
        <f t="shared" ca="1" si="20"/>
        <v>#N/A</v>
      </c>
      <c r="AQ18" s="14" t="e">
        <f t="shared" ca="1" si="20"/>
        <v>#N/A</v>
      </c>
      <c r="AR18" s="14" t="e">
        <f t="shared" ca="1" si="20"/>
        <v>#N/A</v>
      </c>
      <c r="AS18" s="14" t="e">
        <f t="shared" ca="1" si="20"/>
        <v>#N/A</v>
      </c>
      <c r="AT18" s="15" t="e">
        <f t="shared" ref="AT18:BC25" ca="1" si="21">IF(AND(AT$5&gt;=$C18,AT$5&lt;=$E18),1,"")</f>
        <v>#N/A</v>
      </c>
      <c r="AU18" s="16" t="e">
        <f t="shared" ca="1" si="21"/>
        <v>#N/A</v>
      </c>
      <c r="AV18" s="13" t="e">
        <f t="shared" ca="1" si="21"/>
        <v>#N/A</v>
      </c>
      <c r="AW18" s="14" t="e">
        <f t="shared" ca="1" si="21"/>
        <v>#N/A</v>
      </c>
      <c r="AX18" s="14" t="e">
        <f t="shared" ca="1" si="21"/>
        <v>#N/A</v>
      </c>
      <c r="AY18" s="14" t="e">
        <f t="shared" ca="1" si="21"/>
        <v>#N/A</v>
      </c>
      <c r="AZ18" s="14" t="e">
        <f t="shared" ca="1" si="21"/>
        <v>#N/A</v>
      </c>
      <c r="BA18" s="15" t="e">
        <f t="shared" ca="1" si="21"/>
        <v>#N/A</v>
      </c>
      <c r="BB18" s="16" t="e">
        <f t="shared" ca="1" si="21"/>
        <v>#N/A</v>
      </c>
      <c r="BC18" s="13" t="e">
        <f t="shared" ca="1" si="21"/>
        <v>#N/A</v>
      </c>
      <c r="BD18" s="14" t="e">
        <f t="shared" ref="BD18:BM25" ca="1" si="22">IF(AND(BD$5&gt;=$C18,BD$5&lt;=$E18),1,"")</f>
        <v>#N/A</v>
      </c>
      <c r="BE18" s="14" t="e">
        <f t="shared" ca="1" si="22"/>
        <v>#N/A</v>
      </c>
      <c r="BF18" s="14" t="e">
        <f t="shared" ca="1" si="22"/>
        <v>#N/A</v>
      </c>
      <c r="BG18" s="14" t="e">
        <f t="shared" ca="1" si="22"/>
        <v>#N/A</v>
      </c>
      <c r="BH18" s="15" t="e">
        <f t="shared" ca="1" si="22"/>
        <v>#N/A</v>
      </c>
      <c r="BI18" s="16" t="e">
        <f t="shared" ca="1" si="22"/>
        <v>#N/A</v>
      </c>
      <c r="BJ18" s="13" t="e">
        <f t="shared" ca="1" si="22"/>
        <v>#N/A</v>
      </c>
      <c r="BK18" s="14" t="e">
        <f t="shared" ca="1" si="22"/>
        <v>#N/A</v>
      </c>
      <c r="BL18" s="14" t="e">
        <f t="shared" ca="1" si="22"/>
        <v>#N/A</v>
      </c>
      <c r="BM18" s="14" t="e">
        <f t="shared" ca="1" si="22"/>
        <v>#N/A</v>
      </c>
      <c r="BN18" s="14" t="e">
        <f t="shared" ref="BN18:BW25" ca="1" si="23">IF(AND(BN$5&gt;=$C18,BN$5&lt;=$E18),1,"")</f>
        <v>#N/A</v>
      </c>
      <c r="BO18" s="15" t="e">
        <f t="shared" ca="1" si="23"/>
        <v>#N/A</v>
      </c>
      <c r="BP18" s="16" t="e">
        <f t="shared" ca="1" si="23"/>
        <v>#N/A</v>
      </c>
      <c r="BQ18" s="13" t="e">
        <f t="shared" ca="1" si="23"/>
        <v>#N/A</v>
      </c>
      <c r="BR18" s="14" t="e">
        <f t="shared" ca="1" si="23"/>
        <v>#N/A</v>
      </c>
      <c r="BS18" s="14" t="e">
        <f t="shared" ca="1" si="23"/>
        <v>#N/A</v>
      </c>
      <c r="BT18" s="14" t="e">
        <f t="shared" ca="1" si="23"/>
        <v>#N/A</v>
      </c>
      <c r="BU18" s="14" t="e">
        <f t="shared" ca="1" si="23"/>
        <v>#N/A</v>
      </c>
      <c r="BV18" s="15" t="e">
        <f t="shared" ca="1" si="23"/>
        <v>#N/A</v>
      </c>
      <c r="BW18" s="16" t="e">
        <f t="shared" ca="1" si="23"/>
        <v>#N/A</v>
      </c>
      <c r="BX18" s="13" t="e">
        <f t="shared" ref="BX18:CG25" ca="1" si="24">IF(AND(BX$5&gt;=$C18,BX$5&lt;=$E18),1,"")</f>
        <v>#N/A</v>
      </c>
      <c r="BY18" s="14" t="e">
        <f t="shared" ca="1" si="24"/>
        <v>#N/A</v>
      </c>
      <c r="BZ18" s="14" t="e">
        <f t="shared" ca="1" si="24"/>
        <v>#N/A</v>
      </c>
      <c r="CA18" s="14" t="e">
        <f t="shared" ca="1" si="24"/>
        <v>#N/A</v>
      </c>
      <c r="CB18" s="14" t="e">
        <f t="shared" ca="1" si="24"/>
        <v>#N/A</v>
      </c>
      <c r="CC18" s="15" t="e">
        <f t="shared" ca="1" si="24"/>
        <v>#N/A</v>
      </c>
      <c r="CD18" s="16" t="e">
        <f t="shared" ca="1" si="24"/>
        <v>#N/A</v>
      </c>
      <c r="CE18" s="13" t="e">
        <f t="shared" ca="1" si="24"/>
        <v>#N/A</v>
      </c>
      <c r="CF18" s="14" t="e">
        <f t="shared" ca="1" si="24"/>
        <v>#N/A</v>
      </c>
      <c r="CG18" s="14" t="e">
        <f t="shared" ca="1" si="24"/>
        <v>#N/A</v>
      </c>
      <c r="CH18" s="14" t="e">
        <f t="shared" ref="CH18:CQ25" ca="1" si="25">IF(AND(CH$5&gt;=$C18,CH$5&lt;=$E18),1,"")</f>
        <v>#N/A</v>
      </c>
      <c r="CI18" s="14" t="e">
        <f t="shared" ca="1" si="25"/>
        <v>#N/A</v>
      </c>
      <c r="CJ18" s="15" t="e">
        <f t="shared" ca="1" si="25"/>
        <v>#N/A</v>
      </c>
      <c r="CK18" s="16" t="e">
        <f t="shared" ca="1" si="25"/>
        <v>#N/A</v>
      </c>
      <c r="CL18" s="13" t="e">
        <f t="shared" ca="1" si="25"/>
        <v>#N/A</v>
      </c>
      <c r="CM18" s="14" t="e">
        <f t="shared" ca="1" si="25"/>
        <v>#N/A</v>
      </c>
      <c r="CN18" s="14" t="e">
        <f t="shared" ca="1" si="25"/>
        <v>#N/A</v>
      </c>
      <c r="CO18" s="14" t="e">
        <f t="shared" ca="1" si="25"/>
        <v>#N/A</v>
      </c>
      <c r="CP18" s="14" t="e">
        <f t="shared" ca="1" si="25"/>
        <v>#N/A</v>
      </c>
      <c r="CQ18" s="15" t="e">
        <f t="shared" ca="1" si="25"/>
        <v>#N/A</v>
      </c>
      <c r="CR18" s="16" t="e">
        <f t="shared" ref="CR18:DA25" ca="1" si="26">IF(AND(CR$5&gt;=$C18,CR$5&lt;=$E18),1,"")</f>
        <v>#N/A</v>
      </c>
      <c r="CS18" s="13" t="e">
        <f t="shared" ca="1" si="26"/>
        <v>#N/A</v>
      </c>
      <c r="CT18" s="14" t="e">
        <f t="shared" ca="1" si="26"/>
        <v>#N/A</v>
      </c>
      <c r="CU18" s="14" t="e">
        <f t="shared" ca="1" si="26"/>
        <v>#N/A</v>
      </c>
      <c r="CV18" s="14" t="e">
        <f t="shared" ca="1" si="26"/>
        <v>#N/A</v>
      </c>
      <c r="CW18" s="14" t="e">
        <f t="shared" ca="1" si="26"/>
        <v>#N/A</v>
      </c>
      <c r="CX18" s="15" t="e">
        <f t="shared" ca="1" si="26"/>
        <v>#N/A</v>
      </c>
      <c r="CY18" s="16" t="e">
        <f t="shared" ca="1" si="26"/>
        <v>#N/A</v>
      </c>
      <c r="CZ18" s="13" t="e">
        <f t="shared" ca="1" si="26"/>
        <v>#N/A</v>
      </c>
      <c r="DA18" s="14" t="e">
        <f t="shared" ca="1" si="26"/>
        <v>#N/A</v>
      </c>
      <c r="DB18" s="14" t="e">
        <f t="shared" ref="DB18:DK25" ca="1" si="27">IF(AND(DB$5&gt;=$C18,DB$5&lt;=$E18),1,"")</f>
        <v>#N/A</v>
      </c>
      <c r="DC18" s="14" t="e">
        <f t="shared" ca="1" si="27"/>
        <v>#N/A</v>
      </c>
      <c r="DD18" s="14" t="e">
        <f t="shared" ca="1" si="27"/>
        <v>#N/A</v>
      </c>
      <c r="DE18" s="15" t="e">
        <f t="shared" ca="1" si="27"/>
        <v>#N/A</v>
      </c>
      <c r="DF18" s="16" t="e">
        <f t="shared" ca="1" si="27"/>
        <v>#N/A</v>
      </c>
      <c r="DG18" s="13" t="e">
        <f t="shared" ca="1" si="27"/>
        <v>#N/A</v>
      </c>
      <c r="DH18" s="14" t="e">
        <f t="shared" ca="1" si="27"/>
        <v>#N/A</v>
      </c>
      <c r="DI18" s="14" t="e">
        <f t="shared" ca="1" si="27"/>
        <v>#N/A</v>
      </c>
      <c r="DJ18" s="14" t="e">
        <f t="shared" ca="1" si="27"/>
        <v>#N/A</v>
      </c>
      <c r="DK18" s="14" t="e">
        <f t="shared" ca="1" si="27"/>
        <v>#N/A</v>
      </c>
      <c r="DL18" s="15" t="e">
        <f t="shared" ref="DL18:DT25" ca="1" si="28">IF(AND(DL$5&gt;=$C18,DL$5&lt;=$E18),1,"")</f>
        <v>#N/A</v>
      </c>
      <c r="DM18" s="16" t="e">
        <f t="shared" ca="1" si="28"/>
        <v>#N/A</v>
      </c>
      <c r="DN18" s="13" t="e">
        <f t="shared" ca="1" si="28"/>
        <v>#N/A</v>
      </c>
      <c r="DO18" s="14" t="e">
        <f t="shared" ca="1" si="28"/>
        <v>#N/A</v>
      </c>
      <c r="DP18" s="14" t="e">
        <f t="shared" ca="1" si="28"/>
        <v>#N/A</v>
      </c>
      <c r="DQ18" s="14" t="e">
        <f t="shared" ca="1" si="28"/>
        <v>#N/A</v>
      </c>
      <c r="DR18" s="14" t="e">
        <f t="shared" ca="1" si="28"/>
        <v>#N/A</v>
      </c>
      <c r="DS18" s="15" t="e">
        <f t="shared" ca="1" si="28"/>
        <v>#N/A</v>
      </c>
      <c r="DT18" s="16" t="e">
        <f t="shared" ca="1" si="28"/>
        <v>#N/A</v>
      </c>
    </row>
    <row r="19" spans="1:124" s="17" customFormat="1" ht="9.6" customHeight="1">
      <c r="A19" s="553" t="e">
        <f ca="1">_xlfn.XLOOKUP(A25,'VTT project'!B:B,'VTT project'!AB:AB,"-",0)</f>
        <v>#N/A</v>
      </c>
      <c r="B19" s="24" t="s">
        <v>50</v>
      </c>
      <c r="C19" s="19" t="e">
        <f t="shared" ca="1" si="16"/>
        <v>#N/A</v>
      </c>
      <c r="D19" s="19" t="e">
        <f ca="1">_xlfn.XLOOKUP(A25,'VTT project'!B:B,'VTT project'!AJ:AJ,"-",0)</f>
        <v>#N/A</v>
      </c>
      <c r="E19" s="19" t="e">
        <f ca="1">C19-1+D19</f>
        <v>#N/A</v>
      </c>
      <c r="F19" s="13" t="e">
        <f t="shared" ca="1" si="17"/>
        <v>#N/A</v>
      </c>
      <c r="G19" s="14" t="e">
        <f t="shared" ca="1" si="17"/>
        <v>#N/A</v>
      </c>
      <c r="H19" s="14" t="e">
        <f t="shared" ca="1" si="17"/>
        <v>#N/A</v>
      </c>
      <c r="I19" s="14" t="e">
        <f t="shared" ca="1" si="17"/>
        <v>#N/A</v>
      </c>
      <c r="J19" s="14" t="e">
        <f t="shared" ca="1" si="17"/>
        <v>#N/A</v>
      </c>
      <c r="K19" s="15" t="e">
        <f t="shared" ca="1" si="17"/>
        <v>#N/A</v>
      </c>
      <c r="L19" s="16" t="e">
        <f t="shared" ca="1" si="17"/>
        <v>#N/A</v>
      </c>
      <c r="M19" s="13" t="e">
        <f t="shared" ca="1" si="17"/>
        <v>#N/A</v>
      </c>
      <c r="N19" s="14" t="e">
        <f t="shared" ca="1" si="17"/>
        <v>#N/A</v>
      </c>
      <c r="O19" s="14" t="e">
        <f t="shared" ca="1" si="17"/>
        <v>#N/A</v>
      </c>
      <c r="P19" s="14" t="e">
        <f t="shared" ca="1" si="18"/>
        <v>#N/A</v>
      </c>
      <c r="Q19" s="14" t="e">
        <f t="shared" ca="1" si="18"/>
        <v>#N/A</v>
      </c>
      <c r="R19" s="15" t="e">
        <f t="shared" ca="1" si="18"/>
        <v>#N/A</v>
      </c>
      <c r="S19" s="16" t="e">
        <f t="shared" ca="1" si="18"/>
        <v>#N/A</v>
      </c>
      <c r="T19" s="13" t="e">
        <f t="shared" ca="1" si="18"/>
        <v>#N/A</v>
      </c>
      <c r="U19" s="14" t="e">
        <f t="shared" ca="1" si="18"/>
        <v>#N/A</v>
      </c>
      <c r="V19" s="14" t="e">
        <f t="shared" ca="1" si="18"/>
        <v>#N/A</v>
      </c>
      <c r="W19" s="14" t="e">
        <f t="shared" ca="1" si="18"/>
        <v>#N/A</v>
      </c>
      <c r="X19" s="14" t="e">
        <f t="shared" ca="1" si="18"/>
        <v>#N/A</v>
      </c>
      <c r="Y19" s="15" t="e">
        <f t="shared" ca="1" si="18"/>
        <v>#N/A</v>
      </c>
      <c r="Z19" s="16" t="e">
        <f t="shared" ca="1" si="19"/>
        <v>#N/A</v>
      </c>
      <c r="AA19" s="13" t="e">
        <f t="shared" ca="1" si="19"/>
        <v>#N/A</v>
      </c>
      <c r="AB19" s="14" t="e">
        <f t="shared" ca="1" si="19"/>
        <v>#N/A</v>
      </c>
      <c r="AC19" s="14" t="e">
        <f t="shared" ca="1" si="19"/>
        <v>#N/A</v>
      </c>
      <c r="AD19" s="14" t="e">
        <f t="shared" ca="1" si="19"/>
        <v>#N/A</v>
      </c>
      <c r="AE19" s="14" t="e">
        <f t="shared" ca="1" si="19"/>
        <v>#N/A</v>
      </c>
      <c r="AF19" s="15" t="e">
        <f t="shared" ca="1" si="19"/>
        <v>#N/A</v>
      </c>
      <c r="AG19" s="16" t="e">
        <f t="shared" ca="1" si="19"/>
        <v>#N/A</v>
      </c>
      <c r="AH19" s="13" t="e">
        <f t="shared" ca="1" si="19"/>
        <v>#N/A</v>
      </c>
      <c r="AI19" s="14" t="e">
        <f t="shared" ca="1" si="19"/>
        <v>#N/A</v>
      </c>
      <c r="AJ19" s="14" t="e">
        <f t="shared" ca="1" si="20"/>
        <v>#N/A</v>
      </c>
      <c r="AK19" s="14" t="e">
        <f t="shared" ca="1" si="20"/>
        <v>#N/A</v>
      </c>
      <c r="AL19" s="14" t="e">
        <f t="shared" ca="1" si="20"/>
        <v>#N/A</v>
      </c>
      <c r="AM19" s="15" t="e">
        <f t="shared" ca="1" si="20"/>
        <v>#N/A</v>
      </c>
      <c r="AN19" s="16" t="e">
        <f t="shared" ca="1" si="20"/>
        <v>#N/A</v>
      </c>
      <c r="AO19" s="13" t="e">
        <f t="shared" ca="1" si="20"/>
        <v>#N/A</v>
      </c>
      <c r="AP19" s="14" t="e">
        <f t="shared" ca="1" si="20"/>
        <v>#N/A</v>
      </c>
      <c r="AQ19" s="14" t="e">
        <f t="shared" ca="1" si="20"/>
        <v>#N/A</v>
      </c>
      <c r="AR19" s="14" t="e">
        <f t="shared" ca="1" si="20"/>
        <v>#N/A</v>
      </c>
      <c r="AS19" s="14" t="e">
        <f t="shared" ca="1" si="20"/>
        <v>#N/A</v>
      </c>
      <c r="AT19" s="15" t="e">
        <f t="shared" ca="1" si="21"/>
        <v>#N/A</v>
      </c>
      <c r="AU19" s="16" t="e">
        <f t="shared" ca="1" si="21"/>
        <v>#N/A</v>
      </c>
      <c r="AV19" s="13" t="e">
        <f t="shared" ca="1" si="21"/>
        <v>#N/A</v>
      </c>
      <c r="AW19" s="14" t="e">
        <f t="shared" ca="1" si="21"/>
        <v>#N/A</v>
      </c>
      <c r="AX19" s="14" t="e">
        <f t="shared" ca="1" si="21"/>
        <v>#N/A</v>
      </c>
      <c r="AY19" s="14" t="e">
        <f t="shared" ca="1" si="21"/>
        <v>#N/A</v>
      </c>
      <c r="AZ19" s="14" t="e">
        <f t="shared" ca="1" si="21"/>
        <v>#N/A</v>
      </c>
      <c r="BA19" s="15" t="e">
        <f t="shared" ca="1" si="21"/>
        <v>#N/A</v>
      </c>
      <c r="BB19" s="16" t="e">
        <f t="shared" ca="1" si="21"/>
        <v>#N/A</v>
      </c>
      <c r="BC19" s="13" t="e">
        <f t="shared" ca="1" si="21"/>
        <v>#N/A</v>
      </c>
      <c r="BD19" s="14" t="e">
        <f t="shared" ca="1" si="22"/>
        <v>#N/A</v>
      </c>
      <c r="BE19" s="14" t="e">
        <f t="shared" ca="1" si="22"/>
        <v>#N/A</v>
      </c>
      <c r="BF19" s="14" t="e">
        <f t="shared" ca="1" si="22"/>
        <v>#N/A</v>
      </c>
      <c r="BG19" s="14" t="e">
        <f t="shared" ca="1" si="22"/>
        <v>#N/A</v>
      </c>
      <c r="BH19" s="15" t="e">
        <f t="shared" ca="1" si="22"/>
        <v>#N/A</v>
      </c>
      <c r="BI19" s="16" t="e">
        <f t="shared" ca="1" si="22"/>
        <v>#N/A</v>
      </c>
      <c r="BJ19" s="13" t="e">
        <f t="shared" ca="1" si="22"/>
        <v>#N/A</v>
      </c>
      <c r="BK19" s="14" t="e">
        <f t="shared" ca="1" si="22"/>
        <v>#N/A</v>
      </c>
      <c r="BL19" s="14" t="e">
        <f t="shared" ca="1" si="22"/>
        <v>#N/A</v>
      </c>
      <c r="BM19" s="14" t="e">
        <f t="shared" ca="1" si="22"/>
        <v>#N/A</v>
      </c>
      <c r="BN19" s="14" t="e">
        <f t="shared" ca="1" si="23"/>
        <v>#N/A</v>
      </c>
      <c r="BO19" s="15" t="e">
        <f t="shared" ca="1" si="23"/>
        <v>#N/A</v>
      </c>
      <c r="BP19" s="16" t="e">
        <f t="shared" ca="1" si="23"/>
        <v>#N/A</v>
      </c>
      <c r="BQ19" s="13" t="e">
        <f t="shared" ca="1" si="23"/>
        <v>#N/A</v>
      </c>
      <c r="BR19" s="14" t="e">
        <f t="shared" ca="1" si="23"/>
        <v>#N/A</v>
      </c>
      <c r="BS19" s="14" t="e">
        <f t="shared" ca="1" si="23"/>
        <v>#N/A</v>
      </c>
      <c r="BT19" s="14" t="e">
        <f t="shared" ca="1" si="23"/>
        <v>#N/A</v>
      </c>
      <c r="BU19" s="14" t="e">
        <f t="shared" ca="1" si="23"/>
        <v>#N/A</v>
      </c>
      <c r="BV19" s="15" t="e">
        <f t="shared" ca="1" si="23"/>
        <v>#N/A</v>
      </c>
      <c r="BW19" s="16" t="e">
        <f t="shared" ca="1" si="23"/>
        <v>#N/A</v>
      </c>
      <c r="BX19" s="13" t="e">
        <f t="shared" ca="1" si="24"/>
        <v>#N/A</v>
      </c>
      <c r="BY19" s="14" t="e">
        <f t="shared" ca="1" si="24"/>
        <v>#N/A</v>
      </c>
      <c r="BZ19" s="14" t="e">
        <f t="shared" ca="1" si="24"/>
        <v>#N/A</v>
      </c>
      <c r="CA19" s="14" t="e">
        <f t="shared" ca="1" si="24"/>
        <v>#N/A</v>
      </c>
      <c r="CB19" s="14" t="e">
        <f t="shared" ca="1" si="24"/>
        <v>#N/A</v>
      </c>
      <c r="CC19" s="15" t="e">
        <f t="shared" ca="1" si="24"/>
        <v>#N/A</v>
      </c>
      <c r="CD19" s="16" t="e">
        <f t="shared" ca="1" si="24"/>
        <v>#N/A</v>
      </c>
      <c r="CE19" s="13" t="e">
        <f t="shared" ca="1" si="24"/>
        <v>#N/A</v>
      </c>
      <c r="CF19" s="14" t="e">
        <f t="shared" ca="1" si="24"/>
        <v>#N/A</v>
      </c>
      <c r="CG19" s="14" t="e">
        <f t="shared" ca="1" si="24"/>
        <v>#N/A</v>
      </c>
      <c r="CH19" s="14" t="e">
        <f t="shared" ca="1" si="25"/>
        <v>#N/A</v>
      </c>
      <c r="CI19" s="14" t="e">
        <f t="shared" ca="1" si="25"/>
        <v>#N/A</v>
      </c>
      <c r="CJ19" s="15" t="e">
        <f t="shared" ca="1" si="25"/>
        <v>#N/A</v>
      </c>
      <c r="CK19" s="16" t="e">
        <f t="shared" ca="1" si="25"/>
        <v>#N/A</v>
      </c>
      <c r="CL19" s="13" t="e">
        <f t="shared" ca="1" si="25"/>
        <v>#N/A</v>
      </c>
      <c r="CM19" s="14" t="e">
        <f t="shared" ca="1" si="25"/>
        <v>#N/A</v>
      </c>
      <c r="CN19" s="14" t="e">
        <f t="shared" ca="1" si="25"/>
        <v>#N/A</v>
      </c>
      <c r="CO19" s="14" t="e">
        <f t="shared" ca="1" si="25"/>
        <v>#N/A</v>
      </c>
      <c r="CP19" s="14" t="e">
        <f t="shared" ca="1" si="25"/>
        <v>#N/A</v>
      </c>
      <c r="CQ19" s="15" t="e">
        <f t="shared" ca="1" si="25"/>
        <v>#N/A</v>
      </c>
      <c r="CR19" s="16" t="e">
        <f t="shared" ca="1" si="26"/>
        <v>#N/A</v>
      </c>
      <c r="CS19" s="13" t="e">
        <f t="shared" ca="1" si="26"/>
        <v>#N/A</v>
      </c>
      <c r="CT19" s="14" t="e">
        <f t="shared" ca="1" si="26"/>
        <v>#N/A</v>
      </c>
      <c r="CU19" s="14" t="e">
        <f t="shared" ca="1" si="26"/>
        <v>#N/A</v>
      </c>
      <c r="CV19" s="14" t="e">
        <f t="shared" ca="1" si="26"/>
        <v>#N/A</v>
      </c>
      <c r="CW19" s="14" t="e">
        <f t="shared" ca="1" si="26"/>
        <v>#N/A</v>
      </c>
      <c r="CX19" s="15" t="e">
        <f t="shared" ca="1" si="26"/>
        <v>#N/A</v>
      </c>
      <c r="CY19" s="16" t="e">
        <f t="shared" ca="1" si="26"/>
        <v>#N/A</v>
      </c>
      <c r="CZ19" s="13" t="e">
        <f t="shared" ca="1" si="26"/>
        <v>#N/A</v>
      </c>
      <c r="DA19" s="14" t="e">
        <f t="shared" ca="1" si="26"/>
        <v>#N/A</v>
      </c>
      <c r="DB19" s="14" t="e">
        <f t="shared" ca="1" si="27"/>
        <v>#N/A</v>
      </c>
      <c r="DC19" s="14" t="e">
        <f t="shared" ca="1" si="27"/>
        <v>#N/A</v>
      </c>
      <c r="DD19" s="14" t="e">
        <f t="shared" ca="1" si="27"/>
        <v>#N/A</v>
      </c>
      <c r="DE19" s="15" t="e">
        <f t="shared" ca="1" si="27"/>
        <v>#N/A</v>
      </c>
      <c r="DF19" s="16" t="e">
        <f t="shared" ca="1" si="27"/>
        <v>#N/A</v>
      </c>
      <c r="DG19" s="13" t="e">
        <f t="shared" ca="1" si="27"/>
        <v>#N/A</v>
      </c>
      <c r="DH19" s="14" t="e">
        <f t="shared" ca="1" si="27"/>
        <v>#N/A</v>
      </c>
      <c r="DI19" s="14" t="e">
        <f t="shared" ca="1" si="27"/>
        <v>#N/A</v>
      </c>
      <c r="DJ19" s="14" t="e">
        <f t="shared" ca="1" si="27"/>
        <v>#N/A</v>
      </c>
      <c r="DK19" s="14" t="e">
        <f t="shared" ca="1" si="27"/>
        <v>#N/A</v>
      </c>
      <c r="DL19" s="15" t="e">
        <f t="shared" ca="1" si="28"/>
        <v>#N/A</v>
      </c>
      <c r="DM19" s="16" t="e">
        <f t="shared" ca="1" si="28"/>
        <v>#N/A</v>
      </c>
      <c r="DN19" s="13" t="e">
        <f t="shared" ca="1" si="28"/>
        <v>#N/A</v>
      </c>
      <c r="DO19" s="14" t="e">
        <f t="shared" ca="1" si="28"/>
        <v>#N/A</v>
      </c>
      <c r="DP19" s="14" t="e">
        <f t="shared" ca="1" si="28"/>
        <v>#N/A</v>
      </c>
      <c r="DQ19" s="14" t="e">
        <f t="shared" ca="1" si="28"/>
        <v>#N/A</v>
      </c>
      <c r="DR19" s="14" t="e">
        <f t="shared" ca="1" si="28"/>
        <v>#N/A</v>
      </c>
      <c r="DS19" s="15" t="e">
        <f t="shared" ca="1" si="28"/>
        <v>#N/A</v>
      </c>
      <c r="DT19" s="16" t="e">
        <f t="shared" ca="1" si="28"/>
        <v>#N/A</v>
      </c>
    </row>
    <row r="20" spans="1:124" s="17" customFormat="1" ht="9.6" customHeight="1">
      <c r="A20" s="535"/>
      <c r="B20" s="26" t="str">
        <f>IF(COUNTIF(buffer_train[AILN],B5)&gt;0,"Buffer Train","")</f>
        <v/>
      </c>
      <c r="C20" s="19" t="e">
        <f t="shared" ca="1" si="16"/>
        <v>#N/A</v>
      </c>
      <c r="D20" s="19" t="str">
        <f>_xlfn.XLOOKUP(A25,'VTT project'!B:B,'VTT project'!AN:AN,"-",0)</f>
        <v>-</v>
      </c>
      <c r="E20" s="19" t="e">
        <f ca="1">C20-1+IF(D20="-",0,D20)</f>
        <v>#N/A</v>
      </c>
      <c r="F20" s="13" t="e">
        <f t="shared" ca="1" si="17"/>
        <v>#N/A</v>
      </c>
      <c r="G20" s="14" t="e">
        <f t="shared" ca="1" si="17"/>
        <v>#N/A</v>
      </c>
      <c r="H20" s="14" t="e">
        <f t="shared" ca="1" si="17"/>
        <v>#N/A</v>
      </c>
      <c r="I20" s="14" t="e">
        <f t="shared" ca="1" si="17"/>
        <v>#N/A</v>
      </c>
      <c r="J20" s="14" t="e">
        <f t="shared" ca="1" si="17"/>
        <v>#N/A</v>
      </c>
      <c r="K20" s="15" t="e">
        <f t="shared" ca="1" si="17"/>
        <v>#N/A</v>
      </c>
      <c r="L20" s="16" t="e">
        <f t="shared" ca="1" si="17"/>
        <v>#N/A</v>
      </c>
      <c r="M20" s="13" t="e">
        <f t="shared" ca="1" si="17"/>
        <v>#N/A</v>
      </c>
      <c r="N20" s="14" t="e">
        <f t="shared" ca="1" si="17"/>
        <v>#N/A</v>
      </c>
      <c r="O20" s="14" t="e">
        <f t="shared" ca="1" si="17"/>
        <v>#N/A</v>
      </c>
      <c r="P20" s="14" t="e">
        <f t="shared" ca="1" si="18"/>
        <v>#N/A</v>
      </c>
      <c r="Q20" s="14" t="e">
        <f t="shared" ca="1" si="18"/>
        <v>#N/A</v>
      </c>
      <c r="R20" s="15" t="e">
        <f t="shared" ca="1" si="18"/>
        <v>#N/A</v>
      </c>
      <c r="S20" s="16" t="e">
        <f t="shared" ca="1" si="18"/>
        <v>#N/A</v>
      </c>
      <c r="T20" s="13" t="e">
        <f t="shared" ca="1" si="18"/>
        <v>#N/A</v>
      </c>
      <c r="U20" s="14" t="e">
        <f t="shared" ca="1" si="18"/>
        <v>#N/A</v>
      </c>
      <c r="V20" s="14" t="e">
        <f t="shared" ca="1" si="18"/>
        <v>#N/A</v>
      </c>
      <c r="W20" s="14" t="e">
        <f t="shared" ca="1" si="18"/>
        <v>#N/A</v>
      </c>
      <c r="X20" s="14" t="e">
        <f t="shared" ca="1" si="18"/>
        <v>#N/A</v>
      </c>
      <c r="Y20" s="15" t="e">
        <f t="shared" ca="1" si="18"/>
        <v>#N/A</v>
      </c>
      <c r="Z20" s="16" t="e">
        <f t="shared" ca="1" si="19"/>
        <v>#N/A</v>
      </c>
      <c r="AA20" s="13" t="e">
        <f t="shared" ca="1" si="19"/>
        <v>#N/A</v>
      </c>
      <c r="AB20" s="14" t="e">
        <f t="shared" ca="1" si="19"/>
        <v>#N/A</v>
      </c>
      <c r="AC20" s="14" t="e">
        <f t="shared" ca="1" si="19"/>
        <v>#N/A</v>
      </c>
      <c r="AD20" s="14" t="e">
        <f t="shared" ca="1" si="19"/>
        <v>#N/A</v>
      </c>
      <c r="AE20" s="14" t="e">
        <f t="shared" ca="1" si="19"/>
        <v>#N/A</v>
      </c>
      <c r="AF20" s="15" t="e">
        <f t="shared" ca="1" si="19"/>
        <v>#N/A</v>
      </c>
      <c r="AG20" s="16" t="e">
        <f t="shared" ca="1" si="19"/>
        <v>#N/A</v>
      </c>
      <c r="AH20" s="13" t="e">
        <f t="shared" ca="1" si="19"/>
        <v>#N/A</v>
      </c>
      <c r="AI20" s="14" t="e">
        <f t="shared" ca="1" si="19"/>
        <v>#N/A</v>
      </c>
      <c r="AJ20" s="14" t="e">
        <f t="shared" ca="1" si="20"/>
        <v>#N/A</v>
      </c>
      <c r="AK20" s="14" t="e">
        <f t="shared" ca="1" si="20"/>
        <v>#N/A</v>
      </c>
      <c r="AL20" s="14" t="e">
        <f t="shared" ca="1" si="20"/>
        <v>#N/A</v>
      </c>
      <c r="AM20" s="15" t="e">
        <f t="shared" ca="1" si="20"/>
        <v>#N/A</v>
      </c>
      <c r="AN20" s="16" t="e">
        <f t="shared" ca="1" si="20"/>
        <v>#N/A</v>
      </c>
      <c r="AO20" s="13" t="e">
        <f t="shared" ca="1" si="20"/>
        <v>#N/A</v>
      </c>
      <c r="AP20" s="14" t="e">
        <f t="shared" ca="1" si="20"/>
        <v>#N/A</v>
      </c>
      <c r="AQ20" s="14" t="e">
        <f t="shared" ca="1" si="20"/>
        <v>#N/A</v>
      </c>
      <c r="AR20" s="14" t="e">
        <f t="shared" ca="1" si="20"/>
        <v>#N/A</v>
      </c>
      <c r="AS20" s="14" t="e">
        <f t="shared" ca="1" si="20"/>
        <v>#N/A</v>
      </c>
      <c r="AT20" s="15" t="e">
        <f t="shared" ca="1" si="21"/>
        <v>#N/A</v>
      </c>
      <c r="AU20" s="16" t="e">
        <f t="shared" ca="1" si="21"/>
        <v>#N/A</v>
      </c>
      <c r="AV20" s="13" t="e">
        <f t="shared" ca="1" si="21"/>
        <v>#N/A</v>
      </c>
      <c r="AW20" s="14" t="e">
        <f t="shared" ca="1" si="21"/>
        <v>#N/A</v>
      </c>
      <c r="AX20" s="14" t="e">
        <f t="shared" ca="1" si="21"/>
        <v>#N/A</v>
      </c>
      <c r="AY20" s="14" t="e">
        <f t="shared" ca="1" si="21"/>
        <v>#N/A</v>
      </c>
      <c r="AZ20" s="14" t="e">
        <f t="shared" ca="1" si="21"/>
        <v>#N/A</v>
      </c>
      <c r="BA20" s="15" t="e">
        <f t="shared" ca="1" si="21"/>
        <v>#N/A</v>
      </c>
      <c r="BB20" s="16" t="e">
        <f t="shared" ca="1" si="21"/>
        <v>#N/A</v>
      </c>
      <c r="BC20" s="13" t="e">
        <f t="shared" ca="1" si="21"/>
        <v>#N/A</v>
      </c>
      <c r="BD20" s="14" t="e">
        <f t="shared" ca="1" si="22"/>
        <v>#N/A</v>
      </c>
      <c r="BE20" s="14" t="e">
        <f t="shared" ca="1" si="22"/>
        <v>#N/A</v>
      </c>
      <c r="BF20" s="14" t="e">
        <f t="shared" ca="1" si="22"/>
        <v>#N/A</v>
      </c>
      <c r="BG20" s="14" t="e">
        <f t="shared" ca="1" si="22"/>
        <v>#N/A</v>
      </c>
      <c r="BH20" s="15" t="e">
        <f t="shared" ca="1" si="22"/>
        <v>#N/A</v>
      </c>
      <c r="BI20" s="16" t="e">
        <f t="shared" ca="1" si="22"/>
        <v>#N/A</v>
      </c>
      <c r="BJ20" s="13" t="e">
        <f t="shared" ca="1" si="22"/>
        <v>#N/A</v>
      </c>
      <c r="BK20" s="14" t="e">
        <f t="shared" ca="1" si="22"/>
        <v>#N/A</v>
      </c>
      <c r="BL20" s="14" t="e">
        <f t="shared" ca="1" si="22"/>
        <v>#N/A</v>
      </c>
      <c r="BM20" s="14" t="e">
        <f t="shared" ca="1" si="22"/>
        <v>#N/A</v>
      </c>
      <c r="BN20" s="14" t="e">
        <f t="shared" ca="1" si="23"/>
        <v>#N/A</v>
      </c>
      <c r="BO20" s="15" t="e">
        <f t="shared" ca="1" si="23"/>
        <v>#N/A</v>
      </c>
      <c r="BP20" s="16" t="e">
        <f t="shared" ca="1" si="23"/>
        <v>#N/A</v>
      </c>
      <c r="BQ20" s="13" t="e">
        <f t="shared" ca="1" si="23"/>
        <v>#N/A</v>
      </c>
      <c r="BR20" s="14" t="e">
        <f t="shared" ca="1" si="23"/>
        <v>#N/A</v>
      </c>
      <c r="BS20" s="14" t="e">
        <f t="shared" ca="1" si="23"/>
        <v>#N/A</v>
      </c>
      <c r="BT20" s="14" t="e">
        <f t="shared" ca="1" si="23"/>
        <v>#N/A</v>
      </c>
      <c r="BU20" s="14" t="e">
        <f t="shared" ca="1" si="23"/>
        <v>#N/A</v>
      </c>
      <c r="BV20" s="15" t="e">
        <f t="shared" ca="1" si="23"/>
        <v>#N/A</v>
      </c>
      <c r="BW20" s="16" t="e">
        <f t="shared" ca="1" si="23"/>
        <v>#N/A</v>
      </c>
      <c r="BX20" s="13" t="e">
        <f t="shared" ca="1" si="24"/>
        <v>#N/A</v>
      </c>
      <c r="BY20" s="14" t="e">
        <f t="shared" ca="1" si="24"/>
        <v>#N/A</v>
      </c>
      <c r="BZ20" s="14" t="e">
        <f t="shared" ca="1" si="24"/>
        <v>#N/A</v>
      </c>
      <c r="CA20" s="14" t="e">
        <f t="shared" ca="1" si="24"/>
        <v>#N/A</v>
      </c>
      <c r="CB20" s="14" t="e">
        <f t="shared" ca="1" si="24"/>
        <v>#N/A</v>
      </c>
      <c r="CC20" s="15" t="e">
        <f t="shared" ca="1" si="24"/>
        <v>#N/A</v>
      </c>
      <c r="CD20" s="16" t="e">
        <f t="shared" ca="1" si="24"/>
        <v>#N/A</v>
      </c>
      <c r="CE20" s="13" t="e">
        <f t="shared" ca="1" si="24"/>
        <v>#N/A</v>
      </c>
      <c r="CF20" s="14" t="e">
        <f t="shared" ca="1" si="24"/>
        <v>#N/A</v>
      </c>
      <c r="CG20" s="14" t="e">
        <f t="shared" ca="1" si="24"/>
        <v>#N/A</v>
      </c>
      <c r="CH20" s="14" t="e">
        <f t="shared" ca="1" si="25"/>
        <v>#N/A</v>
      </c>
      <c r="CI20" s="14" t="e">
        <f t="shared" ca="1" si="25"/>
        <v>#N/A</v>
      </c>
      <c r="CJ20" s="15" t="e">
        <f t="shared" ca="1" si="25"/>
        <v>#N/A</v>
      </c>
      <c r="CK20" s="16" t="e">
        <f t="shared" ca="1" si="25"/>
        <v>#N/A</v>
      </c>
      <c r="CL20" s="13" t="e">
        <f t="shared" ca="1" si="25"/>
        <v>#N/A</v>
      </c>
      <c r="CM20" s="14" t="e">
        <f t="shared" ca="1" si="25"/>
        <v>#N/A</v>
      </c>
      <c r="CN20" s="14" t="e">
        <f t="shared" ca="1" si="25"/>
        <v>#N/A</v>
      </c>
      <c r="CO20" s="14" t="e">
        <f t="shared" ca="1" si="25"/>
        <v>#N/A</v>
      </c>
      <c r="CP20" s="14" t="e">
        <f t="shared" ca="1" si="25"/>
        <v>#N/A</v>
      </c>
      <c r="CQ20" s="15" t="e">
        <f t="shared" ca="1" si="25"/>
        <v>#N/A</v>
      </c>
      <c r="CR20" s="16" t="e">
        <f t="shared" ca="1" si="26"/>
        <v>#N/A</v>
      </c>
      <c r="CS20" s="13" t="e">
        <f t="shared" ca="1" si="26"/>
        <v>#N/A</v>
      </c>
      <c r="CT20" s="14" t="e">
        <f t="shared" ca="1" si="26"/>
        <v>#N/A</v>
      </c>
      <c r="CU20" s="14" t="e">
        <f t="shared" ca="1" si="26"/>
        <v>#N/A</v>
      </c>
      <c r="CV20" s="14" t="e">
        <f t="shared" ca="1" si="26"/>
        <v>#N/A</v>
      </c>
      <c r="CW20" s="14" t="e">
        <f t="shared" ca="1" si="26"/>
        <v>#N/A</v>
      </c>
      <c r="CX20" s="15" t="e">
        <f t="shared" ca="1" si="26"/>
        <v>#N/A</v>
      </c>
      <c r="CY20" s="16" t="e">
        <f t="shared" ca="1" si="26"/>
        <v>#N/A</v>
      </c>
      <c r="CZ20" s="13" t="e">
        <f t="shared" ca="1" si="26"/>
        <v>#N/A</v>
      </c>
      <c r="DA20" s="14" t="e">
        <f t="shared" ca="1" si="26"/>
        <v>#N/A</v>
      </c>
      <c r="DB20" s="14" t="e">
        <f t="shared" ca="1" si="27"/>
        <v>#N/A</v>
      </c>
      <c r="DC20" s="14" t="e">
        <f t="shared" ca="1" si="27"/>
        <v>#N/A</v>
      </c>
      <c r="DD20" s="14" t="e">
        <f t="shared" ca="1" si="27"/>
        <v>#N/A</v>
      </c>
      <c r="DE20" s="15" t="e">
        <f t="shared" ca="1" si="27"/>
        <v>#N/A</v>
      </c>
      <c r="DF20" s="16" t="e">
        <f t="shared" ca="1" si="27"/>
        <v>#N/A</v>
      </c>
      <c r="DG20" s="13" t="e">
        <f t="shared" ca="1" si="27"/>
        <v>#N/A</v>
      </c>
      <c r="DH20" s="14" t="e">
        <f t="shared" ca="1" si="27"/>
        <v>#N/A</v>
      </c>
      <c r="DI20" s="14" t="e">
        <f t="shared" ca="1" si="27"/>
        <v>#N/A</v>
      </c>
      <c r="DJ20" s="14" t="e">
        <f t="shared" ca="1" si="27"/>
        <v>#N/A</v>
      </c>
      <c r="DK20" s="14" t="e">
        <f t="shared" ca="1" si="27"/>
        <v>#N/A</v>
      </c>
      <c r="DL20" s="15" t="e">
        <f t="shared" ca="1" si="28"/>
        <v>#N/A</v>
      </c>
      <c r="DM20" s="16" t="e">
        <f t="shared" ca="1" si="28"/>
        <v>#N/A</v>
      </c>
      <c r="DN20" s="13" t="e">
        <f t="shared" ca="1" si="28"/>
        <v>#N/A</v>
      </c>
      <c r="DO20" s="14" t="e">
        <f t="shared" ca="1" si="28"/>
        <v>#N/A</v>
      </c>
      <c r="DP20" s="14" t="e">
        <f t="shared" ca="1" si="28"/>
        <v>#N/A</v>
      </c>
      <c r="DQ20" s="14" t="e">
        <f t="shared" ca="1" si="28"/>
        <v>#N/A</v>
      </c>
      <c r="DR20" s="14" t="e">
        <f t="shared" ca="1" si="28"/>
        <v>#N/A</v>
      </c>
      <c r="DS20" s="15" t="e">
        <f t="shared" ca="1" si="28"/>
        <v>#N/A</v>
      </c>
      <c r="DT20" s="16" t="e">
        <f t="shared" ca="1" si="28"/>
        <v>#N/A</v>
      </c>
    </row>
    <row r="21" spans="1:124" s="17" customFormat="1" ht="9.6" customHeight="1">
      <c r="A21" s="90"/>
      <c r="B21" s="24" t="str">
        <f>IF(B5=0,"","Transport to PFI")</f>
        <v/>
      </c>
      <c r="C21" s="19" t="e">
        <f t="shared" ca="1" si="16"/>
        <v>#N/A</v>
      </c>
      <c r="D21" s="19" t="e">
        <f ca="1">_xlfn.XLOOKUP(A25,'VTT project'!B:B,'VTT project'!AO:AO,"-",0)</f>
        <v>#N/A</v>
      </c>
      <c r="E21" s="19" t="e">
        <f ca="1">C21-1+IF(D21="-",0,D21)</f>
        <v>#N/A</v>
      </c>
      <c r="F21" s="13" t="e">
        <f t="shared" ca="1" si="17"/>
        <v>#N/A</v>
      </c>
      <c r="G21" s="14" t="e">
        <f t="shared" ca="1" si="17"/>
        <v>#N/A</v>
      </c>
      <c r="H21" s="14" t="e">
        <f t="shared" ca="1" si="17"/>
        <v>#N/A</v>
      </c>
      <c r="I21" s="14" t="e">
        <f t="shared" ca="1" si="17"/>
        <v>#N/A</v>
      </c>
      <c r="J21" s="14" t="e">
        <f t="shared" ca="1" si="17"/>
        <v>#N/A</v>
      </c>
      <c r="K21" s="15" t="e">
        <f t="shared" ca="1" si="17"/>
        <v>#N/A</v>
      </c>
      <c r="L21" s="16" t="e">
        <f t="shared" ca="1" si="17"/>
        <v>#N/A</v>
      </c>
      <c r="M21" s="13" t="e">
        <f t="shared" ca="1" si="17"/>
        <v>#N/A</v>
      </c>
      <c r="N21" s="14" t="e">
        <f t="shared" ca="1" si="17"/>
        <v>#N/A</v>
      </c>
      <c r="O21" s="14" t="e">
        <f t="shared" ca="1" si="17"/>
        <v>#N/A</v>
      </c>
      <c r="P21" s="14" t="e">
        <f t="shared" ca="1" si="18"/>
        <v>#N/A</v>
      </c>
      <c r="Q21" s="14" t="e">
        <f t="shared" ca="1" si="18"/>
        <v>#N/A</v>
      </c>
      <c r="R21" s="15" t="e">
        <f t="shared" ca="1" si="18"/>
        <v>#N/A</v>
      </c>
      <c r="S21" s="16" t="e">
        <f t="shared" ca="1" si="18"/>
        <v>#N/A</v>
      </c>
      <c r="T21" s="13" t="e">
        <f t="shared" ca="1" si="18"/>
        <v>#N/A</v>
      </c>
      <c r="U21" s="14" t="e">
        <f t="shared" ca="1" si="18"/>
        <v>#N/A</v>
      </c>
      <c r="V21" s="14" t="e">
        <f t="shared" ca="1" si="18"/>
        <v>#N/A</v>
      </c>
      <c r="W21" s="14" t="e">
        <f t="shared" ca="1" si="18"/>
        <v>#N/A</v>
      </c>
      <c r="X21" s="14" t="e">
        <f t="shared" ca="1" si="18"/>
        <v>#N/A</v>
      </c>
      <c r="Y21" s="15" t="e">
        <f t="shared" ca="1" si="18"/>
        <v>#N/A</v>
      </c>
      <c r="Z21" s="16" t="e">
        <f t="shared" ca="1" si="19"/>
        <v>#N/A</v>
      </c>
      <c r="AA21" s="13" t="e">
        <f t="shared" ca="1" si="19"/>
        <v>#N/A</v>
      </c>
      <c r="AB21" s="14" t="e">
        <f t="shared" ca="1" si="19"/>
        <v>#N/A</v>
      </c>
      <c r="AC21" s="14" t="e">
        <f t="shared" ca="1" si="19"/>
        <v>#N/A</v>
      </c>
      <c r="AD21" s="14" t="e">
        <f t="shared" ca="1" si="19"/>
        <v>#N/A</v>
      </c>
      <c r="AE21" s="14" t="e">
        <f t="shared" ca="1" si="19"/>
        <v>#N/A</v>
      </c>
      <c r="AF21" s="15" t="e">
        <f t="shared" ca="1" si="19"/>
        <v>#N/A</v>
      </c>
      <c r="AG21" s="16" t="e">
        <f t="shared" ca="1" si="19"/>
        <v>#N/A</v>
      </c>
      <c r="AH21" s="13" t="e">
        <f t="shared" ca="1" si="19"/>
        <v>#N/A</v>
      </c>
      <c r="AI21" s="14" t="e">
        <f t="shared" ca="1" si="19"/>
        <v>#N/A</v>
      </c>
      <c r="AJ21" s="14" t="e">
        <f t="shared" ca="1" si="20"/>
        <v>#N/A</v>
      </c>
      <c r="AK21" s="14" t="e">
        <f t="shared" ca="1" si="20"/>
        <v>#N/A</v>
      </c>
      <c r="AL21" s="14" t="e">
        <f t="shared" ca="1" si="20"/>
        <v>#N/A</v>
      </c>
      <c r="AM21" s="15" t="e">
        <f t="shared" ca="1" si="20"/>
        <v>#N/A</v>
      </c>
      <c r="AN21" s="16" t="e">
        <f t="shared" ca="1" si="20"/>
        <v>#N/A</v>
      </c>
      <c r="AO21" s="13" t="e">
        <f t="shared" ca="1" si="20"/>
        <v>#N/A</v>
      </c>
      <c r="AP21" s="14" t="e">
        <f t="shared" ca="1" si="20"/>
        <v>#N/A</v>
      </c>
      <c r="AQ21" s="14" t="e">
        <f t="shared" ca="1" si="20"/>
        <v>#N/A</v>
      </c>
      <c r="AR21" s="14" t="e">
        <f t="shared" ca="1" si="20"/>
        <v>#N/A</v>
      </c>
      <c r="AS21" s="14" t="e">
        <f t="shared" ca="1" si="20"/>
        <v>#N/A</v>
      </c>
      <c r="AT21" s="15" t="e">
        <f t="shared" ca="1" si="21"/>
        <v>#N/A</v>
      </c>
      <c r="AU21" s="16" t="e">
        <f t="shared" ca="1" si="21"/>
        <v>#N/A</v>
      </c>
      <c r="AV21" s="13" t="e">
        <f t="shared" ca="1" si="21"/>
        <v>#N/A</v>
      </c>
      <c r="AW21" s="14" t="e">
        <f t="shared" ca="1" si="21"/>
        <v>#N/A</v>
      </c>
      <c r="AX21" s="14" t="e">
        <f t="shared" ca="1" si="21"/>
        <v>#N/A</v>
      </c>
      <c r="AY21" s="14" t="e">
        <f t="shared" ca="1" si="21"/>
        <v>#N/A</v>
      </c>
      <c r="AZ21" s="14" t="e">
        <f t="shared" ca="1" si="21"/>
        <v>#N/A</v>
      </c>
      <c r="BA21" s="15" t="e">
        <f t="shared" ca="1" si="21"/>
        <v>#N/A</v>
      </c>
      <c r="BB21" s="16" t="e">
        <f t="shared" ca="1" si="21"/>
        <v>#N/A</v>
      </c>
      <c r="BC21" s="13" t="e">
        <f t="shared" ca="1" si="21"/>
        <v>#N/A</v>
      </c>
      <c r="BD21" s="14" t="e">
        <f t="shared" ca="1" si="22"/>
        <v>#N/A</v>
      </c>
      <c r="BE21" s="14" t="e">
        <f t="shared" ca="1" si="22"/>
        <v>#N/A</v>
      </c>
      <c r="BF21" s="14" t="e">
        <f t="shared" ca="1" si="22"/>
        <v>#N/A</v>
      </c>
      <c r="BG21" s="14" t="e">
        <f t="shared" ca="1" si="22"/>
        <v>#N/A</v>
      </c>
      <c r="BH21" s="15" t="e">
        <f t="shared" ca="1" si="22"/>
        <v>#N/A</v>
      </c>
      <c r="BI21" s="16" t="e">
        <f t="shared" ca="1" si="22"/>
        <v>#N/A</v>
      </c>
      <c r="BJ21" s="13" t="e">
        <f t="shared" ca="1" si="22"/>
        <v>#N/A</v>
      </c>
      <c r="BK21" s="14" t="e">
        <f t="shared" ca="1" si="22"/>
        <v>#N/A</v>
      </c>
      <c r="BL21" s="14" t="e">
        <f t="shared" ca="1" si="22"/>
        <v>#N/A</v>
      </c>
      <c r="BM21" s="14" t="e">
        <f t="shared" ca="1" si="22"/>
        <v>#N/A</v>
      </c>
      <c r="BN21" s="14" t="e">
        <f t="shared" ca="1" si="23"/>
        <v>#N/A</v>
      </c>
      <c r="BO21" s="15" t="e">
        <f t="shared" ca="1" si="23"/>
        <v>#N/A</v>
      </c>
      <c r="BP21" s="16" t="e">
        <f t="shared" ca="1" si="23"/>
        <v>#N/A</v>
      </c>
      <c r="BQ21" s="13" t="e">
        <f t="shared" ca="1" si="23"/>
        <v>#N/A</v>
      </c>
      <c r="BR21" s="14" t="e">
        <f t="shared" ca="1" si="23"/>
        <v>#N/A</v>
      </c>
      <c r="BS21" s="14" t="e">
        <f t="shared" ca="1" si="23"/>
        <v>#N/A</v>
      </c>
      <c r="BT21" s="14" t="e">
        <f t="shared" ca="1" si="23"/>
        <v>#N/A</v>
      </c>
      <c r="BU21" s="14" t="e">
        <f t="shared" ca="1" si="23"/>
        <v>#N/A</v>
      </c>
      <c r="BV21" s="15" t="e">
        <f t="shared" ca="1" si="23"/>
        <v>#N/A</v>
      </c>
      <c r="BW21" s="16" t="e">
        <f t="shared" ca="1" si="23"/>
        <v>#N/A</v>
      </c>
      <c r="BX21" s="13" t="e">
        <f t="shared" ca="1" si="24"/>
        <v>#N/A</v>
      </c>
      <c r="BY21" s="14" t="e">
        <f t="shared" ca="1" si="24"/>
        <v>#N/A</v>
      </c>
      <c r="BZ21" s="14" t="e">
        <f t="shared" ca="1" si="24"/>
        <v>#N/A</v>
      </c>
      <c r="CA21" s="14" t="e">
        <f t="shared" ca="1" si="24"/>
        <v>#N/A</v>
      </c>
      <c r="CB21" s="14" t="e">
        <f t="shared" ca="1" si="24"/>
        <v>#N/A</v>
      </c>
      <c r="CC21" s="15" t="e">
        <f t="shared" ca="1" si="24"/>
        <v>#N/A</v>
      </c>
      <c r="CD21" s="16" t="e">
        <f t="shared" ca="1" si="24"/>
        <v>#N/A</v>
      </c>
      <c r="CE21" s="13" t="e">
        <f t="shared" ca="1" si="24"/>
        <v>#N/A</v>
      </c>
      <c r="CF21" s="14" t="e">
        <f t="shared" ca="1" si="24"/>
        <v>#N/A</v>
      </c>
      <c r="CG21" s="14" t="e">
        <f t="shared" ca="1" si="24"/>
        <v>#N/A</v>
      </c>
      <c r="CH21" s="14" t="e">
        <f t="shared" ca="1" si="25"/>
        <v>#N/A</v>
      </c>
      <c r="CI21" s="14" t="e">
        <f t="shared" ca="1" si="25"/>
        <v>#N/A</v>
      </c>
      <c r="CJ21" s="15" t="e">
        <f t="shared" ca="1" si="25"/>
        <v>#N/A</v>
      </c>
      <c r="CK21" s="16" t="e">
        <f t="shared" ca="1" si="25"/>
        <v>#N/A</v>
      </c>
      <c r="CL21" s="13" t="e">
        <f t="shared" ca="1" si="25"/>
        <v>#N/A</v>
      </c>
      <c r="CM21" s="14" t="e">
        <f t="shared" ca="1" si="25"/>
        <v>#N/A</v>
      </c>
      <c r="CN21" s="14" t="e">
        <f t="shared" ca="1" si="25"/>
        <v>#N/A</v>
      </c>
      <c r="CO21" s="14" t="e">
        <f t="shared" ca="1" si="25"/>
        <v>#N/A</v>
      </c>
      <c r="CP21" s="14" t="e">
        <f t="shared" ca="1" si="25"/>
        <v>#N/A</v>
      </c>
      <c r="CQ21" s="15" t="e">
        <f t="shared" ca="1" si="25"/>
        <v>#N/A</v>
      </c>
      <c r="CR21" s="16" t="e">
        <f t="shared" ca="1" si="26"/>
        <v>#N/A</v>
      </c>
      <c r="CS21" s="13" t="e">
        <f t="shared" ca="1" si="26"/>
        <v>#N/A</v>
      </c>
      <c r="CT21" s="14" t="e">
        <f t="shared" ca="1" si="26"/>
        <v>#N/A</v>
      </c>
      <c r="CU21" s="14" t="e">
        <f t="shared" ca="1" si="26"/>
        <v>#N/A</v>
      </c>
      <c r="CV21" s="14" t="e">
        <f t="shared" ca="1" si="26"/>
        <v>#N/A</v>
      </c>
      <c r="CW21" s="14" t="e">
        <f t="shared" ca="1" si="26"/>
        <v>#N/A</v>
      </c>
      <c r="CX21" s="15" t="e">
        <f t="shared" ca="1" si="26"/>
        <v>#N/A</v>
      </c>
      <c r="CY21" s="16" t="e">
        <f t="shared" ca="1" si="26"/>
        <v>#N/A</v>
      </c>
      <c r="CZ21" s="13" t="e">
        <f t="shared" ca="1" si="26"/>
        <v>#N/A</v>
      </c>
      <c r="DA21" s="14" t="e">
        <f t="shared" ca="1" si="26"/>
        <v>#N/A</v>
      </c>
      <c r="DB21" s="14" t="e">
        <f t="shared" ca="1" si="27"/>
        <v>#N/A</v>
      </c>
      <c r="DC21" s="14" t="e">
        <f t="shared" ca="1" si="27"/>
        <v>#N/A</v>
      </c>
      <c r="DD21" s="14" t="e">
        <f t="shared" ca="1" si="27"/>
        <v>#N/A</v>
      </c>
      <c r="DE21" s="15" t="e">
        <f t="shared" ca="1" si="27"/>
        <v>#N/A</v>
      </c>
      <c r="DF21" s="16" t="e">
        <f t="shared" ca="1" si="27"/>
        <v>#N/A</v>
      </c>
      <c r="DG21" s="13" t="e">
        <f t="shared" ca="1" si="27"/>
        <v>#N/A</v>
      </c>
      <c r="DH21" s="14" t="e">
        <f t="shared" ca="1" si="27"/>
        <v>#N/A</v>
      </c>
      <c r="DI21" s="14" t="e">
        <f t="shared" ca="1" si="27"/>
        <v>#N/A</v>
      </c>
      <c r="DJ21" s="14" t="e">
        <f t="shared" ca="1" si="27"/>
        <v>#N/A</v>
      </c>
      <c r="DK21" s="14" t="e">
        <f t="shared" ca="1" si="27"/>
        <v>#N/A</v>
      </c>
      <c r="DL21" s="15" t="e">
        <f t="shared" ca="1" si="28"/>
        <v>#N/A</v>
      </c>
      <c r="DM21" s="16" t="e">
        <f t="shared" ca="1" si="28"/>
        <v>#N/A</v>
      </c>
      <c r="DN21" s="13" t="e">
        <f t="shared" ca="1" si="28"/>
        <v>#N/A</v>
      </c>
      <c r="DO21" s="14" t="e">
        <f t="shared" ca="1" si="28"/>
        <v>#N/A</v>
      </c>
      <c r="DP21" s="14" t="e">
        <f t="shared" ca="1" si="28"/>
        <v>#N/A</v>
      </c>
      <c r="DQ21" s="14" t="e">
        <f t="shared" ca="1" si="28"/>
        <v>#N/A</v>
      </c>
      <c r="DR21" s="14" t="e">
        <f t="shared" ca="1" si="28"/>
        <v>#N/A</v>
      </c>
      <c r="DS21" s="15" t="e">
        <f t="shared" ca="1" si="28"/>
        <v>#N/A</v>
      </c>
      <c r="DT21" s="16" t="e">
        <f t="shared" ca="1" si="28"/>
        <v>#N/A</v>
      </c>
    </row>
    <row r="22" spans="1:124" s="17" customFormat="1" ht="9.6" customHeight="1">
      <c r="A22" s="25" t="s">
        <v>51</v>
      </c>
      <c r="B22" s="24" t="s">
        <v>52</v>
      </c>
      <c r="C22" s="19" t="e">
        <f t="shared" ca="1" si="16"/>
        <v>#N/A</v>
      </c>
      <c r="D22" s="19" t="e">
        <f ca="1">_xlfn.XLOOKUP(A25,'VTT project'!B:B,'VTT project'!AP:AP,"-",0)</f>
        <v>#N/A</v>
      </c>
      <c r="E22" s="19" t="e">
        <f ca="1">C22-1+D22</f>
        <v>#N/A</v>
      </c>
      <c r="F22" s="13" t="e">
        <f t="shared" ca="1" si="17"/>
        <v>#N/A</v>
      </c>
      <c r="G22" s="14" t="e">
        <f t="shared" ca="1" si="17"/>
        <v>#N/A</v>
      </c>
      <c r="H22" s="14" t="e">
        <f t="shared" ca="1" si="17"/>
        <v>#N/A</v>
      </c>
      <c r="I22" s="14" t="e">
        <f t="shared" ca="1" si="17"/>
        <v>#N/A</v>
      </c>
      <c r="J22" s="14" t="e">
        <f t="shared" ca="1" si="17"/>
        <v>#N/A</v>
      </c>
      <c r="K22" s="15" t="e">
        <f t="shared" ca="1" si="17"/>
        <v>#N/A</v>
      </c>
      <c r="L22" s="16" t="e">
        <f t="shared" ca="1" si="17"/>
        <v>#N/A</v>
      </c>
      <c r="M22" s="13" t="e">
        <f t="shared" ca="1" si="17"/>
        <v>#N/A</v>
      </c>
      <c r="N22" s="14" t="e">
        <f t="shared" ca="1" si="17"/>
        <v>#N/A</v>
      </c>
      <c r="O22" s="14" t="e">
        <f t="shared" ca="1" si="17"/>
        <v>#N/A</v>
      </c>
      <c r="P22" s="14" t="e">
        <f t="shared" ca="1" si="18"/>
        <v>#N/A</v>
      </c>
      <c r="Q22" s="14" t="e">
        <f t="shared" ca="1" si="18"/>
        <v>#N/A</v>
      </c>
      <c r="R22" s="15" t="e">
        <f t="shared" ca="1" si="18"/>
        <v>#N/A</v>
      </c>
      <c r="S22" s="16" t="e">
        <f t="shared" ca="1" si="18"/>
        <v>#N/A</v>
      </c>
      <c r="T22" s="13" t="e">
        <f t="shared" ca="1" si="18"/>
        <v>#N/A</v>
      </c>
      <c r="U22" s="14" t="e">
        <f t="shared" ca="1" si="18"/>
        <v>#N/A</v>
      </c>
      <c r="V22" s="14" t="e">
        <f t="shared" ca="1" si="18"/>
        <v>#N/A</v>
      </c>
      <c r="W22" s="14" t="e">
        <f t="shared" ca="1" si="18"/>
        <v>#N/A</v>
      </c>
      <c r="X22" s="14" t="e">
        <f t="shared" ca="1" si="18"/>
        <v>#N/A</v>
      </c>
      <c r="Y22" s="15" t="e">
        <f t="shared" ca="1" si="18"/>
        <v>#N/A</v>
      </c>
      <c r="Z22" s="16" t="e">
        <f t="shared" ca="1" si="19"/>
        <v>#N/A</v>
      </c>
      <c r="AA22" s="13" t="e">
        <f t="shared" ca="1" si="19"/>
        <v>#N/A</v>
      </c>
      <c r="AB22" s="14" t="e">
        <f t="shared" ca="1" si="19"/>
        <v>#N/A</v>
      </c>
      <c r="AC22" s="14" t="e">
        <f t="shared" ca="1" si="19"/>
        <v>#N/A</v>
      </c>
      <c r="AD22" s="14" t="e">
        <f t="shared" ca="1" si="19"/>
        <v>#N/A</v>
      </c>
      <c r="AE22" s="14" t="e">
        <f t="shared" ca="1" si="19"/>
        <v>#N/A</v>
      </c>
      <c r="AF22" s="15" t="e">
        <f t="shared" ca="1" si="19"/>
        <v>#N/A</v>
      </c>
      <c r="AG22" s="16" t="e">
        <f t="shared" ca="1" si="19"/>
        <v>#N/A</v>
      </c>
      <c r="AH22" s="13" t="e">
        <f t="shared" ca="1" si="19"/>
        <v>#N/A</v>
      </c>
      <c r="AI22" s="14" t="e">
        <f t="shared" ca="1" si="19"/>
        <v>#N/A</v>
      </c>
      <c r="AJ22" s="14" t="e">
        <f t="shared" ca="1" si="20"/>
        <v>#N/A</v>
      </c>
      <c r="AK22" s="14" t="e">
        <f t="shared" ca="1" si="20"/>
        <v>#N/A</v>
      </c>
      <c r="AL22" s="14" t="e">
        <f t="shared" ca="1" si="20"/>
        <v>#N/A</v>
      </c>
      <c r="AM22" s="15" t="e">
        <f t="shared" ca="1" si="20"/>
        <v>#N/A</v>
      </c>
      <c r="AN22" s="16" t="e">
        <f t="shared" ca="1" si="20"/>
        <v>#N/A</v>
      </c>
      <c r="AO22" s="13" t="e">
        <f t="shared" ca="1" si="20"/>
        <v>#N/A</v>
      </c>
      <c r="AP22" s="14" t="e">
        <f t="shared" ca="1" si="20"/>
        <v>#N/A</v>
      </c>
      <c r="AQ22" s="14" t="e">
        <f t="shared" ca="1" si="20"/>
        <v>#N/A</v>
      </c>
      <c r="AR22" s="14" t="e">
        <f t="shared" ca="1" si="20"/>
        <v>#N/A</v>
      </c>
      <c r="AS22" s="14" t="e">
        <f t="shared" ca="1" si="20"/>
        <v>#N/A</v>
      </c>
      <c r="AT22" s="15" t="e">
        <f t="shared" ca="1" si="21"/>
        <v>#N/A</v>
      </c>
      <c r="AU22" s="16" t="e">
        <f t="shared" ca="1" si="21"/>
        <v>#N/A</v>
      </c>
      <c r="AV22" s="13" t="e">
        <f t="shared" ca="1" si="21"/>
        <v>#N/A</v>
      </c>
      <c r="AW22" s="14" t="e">
        <f t="shared" ca="1" si="21"/>
        <v>#N/A</v>
      </c>
      <c r="AX22" s="14" t="e">
        <f t="shared" ca="1" si="21"/>
        <v>#N/A</v>
      </c>
      <c r="AY22" s="14" t="e">
        <f t="shared" ca="1" si="21"/>
        <v>#N/A</v>
      </c>
      <c r="AZ22" s="14" t="e">
        <f t="shared" ca="1" si="21"/>
        <v>#N/A</v>
      </c>
      <c r="BA22" s="15" t="e">
        <f t="shared" ca="1" si="21"/>
        <v>#N/A</v>
      </c>
      <c r="BB22" s="16" t="e">
        <f t="shared" ca="1" si="21"/>
        <v>#N/A</v>
      </c>
      <c r="BC22" s="13" t="e">
        <f t="shared" ca="1" si="21"/>
        <v>#N/A</v>
      </c>
      <c r="BD22" s="14" t="e">
        <f t="shared" ca="1" si="22"/>
        <v>#N/A</v>
      </c>
      <c r="BE22" s="14" t="e">
        <f t="shared" ca="1" si="22"/>
        <v>#N/A</v>
      </c>
      <c r="BF22" s="14" t="e">
        <f t="shared" ca="1" si="22"/>
        <v>#N/A</v>
      </c>
      <c r="BG22" s="14" t="e">
        <f t="shared" ca="1" si="22"/>
        <v>#N/A</v>
      </c>
      <c r="BH22" s="15" t="e">
        <f t="shared" ca="1" si="22"/>
        <v>#N/A</v>
      </c>
      <c r="BI22" s="16" t="e">
        <f t="shared" ca="1" si="22"/>
        <v>#N/A</v>
      </c>
      <c r="BJ22" s="13" t="e">
        <f t="shared" ca="1" si="22"/>
        <v>#N/A</v>
      </c>
      <c r="BK22" s="14" t="e">
        <f t="shared" ca="1" si="22"/>
        <v>#N/A</v>
      </c>
      <c r="BL22" s="14" t="e">
        <f t="shared" ca="1" si="22"/>
        <v>#N/A</v>
      </c>
      <c r="BM22" s="14" t="e">
        <f t="shared" ca="1" si="22"/>
        <v>#N/A</v>
      </c>
      <c r="BN22" s="14" t="e">
        <f t="shared" ca="1" si="23"/>
        <v>#N/A</v>
      </c>
      <c r="BO22" s="15" t="e">
        <f t="shared" ca="1" si="23"/>
        <v>#N/A</v>
      </c>
      <c r="BP22" s="16" t="e">
        <f t="shared" ca="1" si="23"/>
        <v>#N/A</v>
      </c>
      <c r="BQ22" s="13" t="e">
        <f t="shared" ca="1" si="23"/>
        <v>#N/A</v>
      </c>
      <c r="BR22" s="14" t="e">
        <f t="shared" ca="1" si="23"/>
        <v>#N/A</v>
      </c>
      <c r="BS22" s="14" t="e">
        <f t="shared" ca="1" si="23"/>
        <v>#N/A</v>
      </c>
      <c r="BT22" s="14" t="e">
        <f t="shared" ca="1" si="23"/>
        <v>#N/A</v>
      </c>
      <c r="BU22" s="14" t="e">
        <f t="shared" ca="1" si="23"/>
        <v>#N/A</v>
      </c>
      <c r="BV22" s="15" t="e">
        <f t="shared" ca="1" si="23"/>
        <v>#N/A</v>
      </c>
      <c r="BW22" s="16" t="e">
        <f t="shared" ca="1" si="23"/>
        <v>#N/A</v>
      </c>
      <c r="BX22" s="13" t="e">
        <f t="shared" ca="1" si="24"/>
        <v>#N/A</v>
      </c>
      <c r="BY22" s="14" t="e">
        <f t="shared" ca="1" si="24"/>
        <v>#N/A</v>
      </c>
      <c r="BZ22" s="14" t="e">
        <f t="shared" ca="1" si="24"/>
        <v>#N/A</v>
      </c>
      <c r="CA22" s="14" t="e">
        <f t="shared" ca="1" si="24"/>
        <v>#N/A</v>
      </c>
      <c r="CB22" s="14" t="e">
        <f t="shared" ca="1" si="24"/>
        <v>#N/A</v>
      </c>
      <c r="CC22" s="15" t="e">
        <f t="shared" ca="1" si="24"/>
        <v>#N/A</v>
      </c>
      <c r="CD22" s="16" t="e">
        <f t="shared" ca="1" si="24"/>
        <v>#N/A</v>
      </c>
      <c r="CE22" s="13" t="e">
        <f t="shared" ca="1" si="24"/>
        <v>#N/A</v>
      </c>
      <c r="CF22" s="14" t="e">
        <f t="shared" ca="1" si="24"/>
        <v>#N/A</v>
      </c>
      <c r="CG22" s="14" t="e">
        <f t="shared" ca="1" si="24"/>
        <v>#N/A</v>
      </c>
      <c r="CH22" s="14" t="e">
        <f t="shared" ca="1" si="25"/>
        <v>#N/A</v>
      </c>
      <c r="CI22" s="14" t="e">
        <f t="shared" ca="1" si="25"/>
        <v>#N/A</v>
      </c>
      <c r="CJ22" s="15" t="e">
        <f t="shared" ca="1" si="25"/>
        <v>#N/A</v>
      </c>
      <c r="CK22" s="16" t="e">
        <f t="shared" ca="1" si="25"/>
        <v>#N/A</v>
      </c>
      <c r="CL22" s="13" t="e">
        <f t="shared" ca="1" si="25"/>
        <v>#N/A</v>
      </c>
      <c r="CM22" s="14" t="e">
        <f t="shared" ca="1" si="25"/>
        <v>#N/A</v>
      </c>
      <c r="CN22" s="14" t="e">
        <f t="shared" ca="1" si="25"/>
        <v>#N/A</v>
      </c>
      <c r="CO22" s="14" t="e">
        <f t="shared" ca="1" si="25"/>
        <v>#N/A</v>
      </c>
      <c r="CP22" s="14" t="e">
        <f t="shared" ca="1" si="25"/>
        <v>#N/A</v>
      </c>
      <c r="CQ22" s="15" t="e">
        <f t="shared" ca="1" si="25"/>
        <v>#N/A</v>
      </c>
      <c r="CR22" s="16" t="e">
        <f t="shared" ca="1" si="26"/>
        <v>#N/A</v>
      </c>
      <c r="CS22" s="13" t="e">
        <f t="shared" ca="1" si="26"/>
        <v>#N/A</v>
      </c>
      <c r="CT22" s="14" t="e">
        <f t="shared" ca="1" si="26"/>
        <v>#N/A</v>
      </c>
      <c r="CU22" s="14" t="e">
        <f t="shared" ca="1" si="26"/>
        <v>#N/A</v>
      </c>
      <c r="CV22" s="14" t="e">
        <f t="shared" ca="1" si="26"/>
        <v>#N/A</v>
      </c>
      <c r="CW22" s="14" t="e">
        <f t="shared" ca="1" si="26"/>
        <v>#N/A</v>
      </c>
      <c r="CX22" s="15" t="e">
        <f t="shared" ca="1" si="26"/>
        <v>#N/A</v>
      </c>
      <c r="CY22" s="16" t="e">
        <f t="shared" ca="1" si="26"/>
        <v>#N/A</v>
      </c>
      <c r="CZ22" s="13" t="e">
        <f t="shared" ca="1" si="26"/>
        <v>#N/A</v>
      </c>
      <c r="DA22" s="14" t="e">
        <f t="shared" ca="1" si="26"/>
        <v>#N/A</v>
      </c>
      <c r="DB22" s="14" t="e">
        <f t="shared" ca="1" si="27"/>
        <v>#N/A</v>
      </c>
      <c r="DC22" s="14" t="e">
        <f t="shared" ca="1" si="27"/>
        <v>#N/A</v>
      </c>
      <c r="DD22" s="14" t="e">
        <f t="shared" ca="1" si="27"/>
        <v>#N/A</v>
      </c>
      <c r="DE22" s="15" t="e">
        <f t="shared" ca="1" si="27"/>
        <v>#N/A</v>
      </c>
      <c r="DF22" s="16" t="e">
        <f t="shared" ca="1" si="27"/>
        <v>#N/A</v>
      </c>
      <c r="DG22" s="13" t="e">
        <f t="shared" ca="1" si="27"/>
        <v>#N/A</v>
      </c>
      <c r="DH22" s="14" t="e">
        <f t="shared" ca="1" si="27"/>
        <v>#N/A</v>
      </c>
      <c r="DI22" s="14" t="e">
        <f t="shared" ca="1" si="27"/>
        <v>#N/A</v>
      </c>
      <c r="DJ22" s="14" t="e">
        <f t="shared" ca="1" si="27"/>
        <v>#N/A</v>
      </c>
      <c r="DK22" s="14" t="e">
        <f t="shared" ca="1" si="27"/>
        <v>#N/A</v>
      </c>
      <c r="DL22" s="15" t="e">
        <f t="shared" ca="1" si="28"/>
        <v>#N/A</v>
      </c>
      <c r="DM22" s="16" t="e">
        <f t="shared" ca="1" si="28"/>
        <v>#N/A</v>
      </c>
      <c r="DN22" s="13" t="e">
        <f t="shared" ca="1" si="28"/>
        <v>#N/A</v>
      </c>
      <c r="DO22" s="14" t="e">
        <f t="shared" ca="1" si="28"/>
        <v>#N/A</v>
      </c>
      <c r="DP22" s="14" t="e">
        <f t="shared" ca="1" si="28"/>
        <v>#N/A</v>
      </c>
      <c r="DQ22" s="14" t="e">
        <f t="shared" ca="1" si="28"/>
        <v>#N/A</v>
      </c>
      <c r="DR22" s="14" t="e">
        <f t="shared" ca="1" si="28"/>
        <v>#N/A</v>
      </c>
      <c r="DS22" s="15" t="e">
        <f t="shared" ca="1" si="28"/>
        <v>#N/A</v>
      </c>
      <c r="DT22" s="16" t="e">
        <f t="shared" ca="1" si="28"/>
        <v>#N/A</v>
      </c>
    </row>
    <row r="23" spans="1:124" s="17" customFormat="1" ht="9.6" customHeight="1">
      <c r="A23" s="27" t="e">
        <f ca="1">IFERROR(VLOOKUP(_xlfn.CONCAT(B7,"-","Next"),'DATA BTO'!A:D,3,FALSE),VLOOKUP(_xlfn.CONCAT(B7,"-","Actif"),'DATA BTO'!A:D,3,FALSE))</f>
        <v>#N/A</v>
      </c>
      <c r="B23" s="26" t="s">
        <v>53</v>
      </c>
      <c r="C23" s="19" t="e">
        <f t="shared" ca="1" si="16"/>
        <v>#N/A</v>
      </c>
      <c r="D23" s="19" t="e">
        <f ca="1">_xlfn.XLOOKUP(A25,'VTT project'!B:B,'VTT project'!AQ:AQ,"-",0)</f>
        <v>#N/A</v>
      </c>
      <c r="E23" s="19" t="e">
        <f ca="1">C23+D23-1</f>
        <v>#N/A</v>
      </c>
      <c r="F23" s="13" t="e">
        <f t="shared" ca="1" si="17"/>
        <v>#N/A</v>
      </c>
      <c r="G23" s="14" t="e">
        <f t="shared" ca="1" si="17"/>
        <v>#N/A</v>
      </c>
      <c r="H23" s="14" t="e">
        <f t="shared" ca="1" si="17"/>
        <v>#N/A</v>
      </c>
      <c r="I23" s="14" t="e">
        <f t="shared" ca="1" si="17"/>
        <v>#N/A</v>
      </c>
      <c r="J23" s="14" t="e">
        <f t="shared" ca="1" si="17"/>
        <v>#N/A</v>
      </c>
      <c r="K23" s="15" t="e">
        <f t="shared" ca="1" si="17"/>
        <v>#N/A</v>
      </c>
      <c r="L23" s="16" t="e">
        <f t="shared" ca="1" si="17"/>
        <v>#N/A</v>
      </c>
      <c r="M23" s="13" t="e">
        <f t="shared" ca="1" si="17"/>
        <v>#N/A</v>
      </c>
      <c r="N23" s="14" t="e">
        <f t="shared" ca="1" si="17"/>
        <v>#N/A</v>
      </c>
      <c r="O23" s="14" t="e">
        <f t="shared" ca="1" si="17"/>
        <v>#N/A</v>
      </c>
      <c r="P23" s="14" t="e">
        <f t="shared" ca="1" si="18"/>
        <v>#N/A</v>
      </c>
      <c r="Q23" s="14" t="e">
        <f t="shared" ca="1" si="18"/>
        <v>#N/A</v>
      </c>
      <c r="R23" s="15" t="e">
        <f t="shared" ca="1" si="18"/>
        <v>#N/A</v>
      </c>
      <c r="S23" s="16" t="e">
        <f t="shared" ca="1" si="18"/>
        <v>#N/A</v>
      </c>
      <c r="T23" s="13" t="e">
        <f t="shared" ca="1" si="18"/>
        <v>#N/A</v>
      </c>
      <c r="U23" s="14" t="e">
        <f t="shared" ca="1" si="18"/>
        <v>#N/A</v>
      </c>
      <c r="V23" s="14" t="e">
        <f t="shared" ca="1" si="18"/>
        <v>#N/A</v>
      </c>
      <c r="W23" s="14" t="e">
        <f t="shared" ca="1" si="18"/>
        <v>#N/A</v>
      </c>
      <c r="X23" s="14" t="e">
        <f t="shared" ca="1" si="18"/>
        <v>#N/A</v>
      </c>
      <c r="Y23" s="15" t="e">
        <f t="shared" ca="1" si="18"/>
        <v>#N/A</v>
      </c>
      <c r="Z23" s="16" t="e">
        <f t="shared" ca="1" si="19"/>
        <v>#N/A</v>
      </c>
      <c r="AA23" s="13" t="e">
        <f t="shared" ca="1" si="19"/>
        <v>#N/A</v>
      </c>
      <c r="AB23" s="14" t="e">
        <f t="shared" ca="1" si="19"/>
        <v>#N/A</v>
      </c>
      <c r="AC23" s="14" t="e">
        <f t="shared" ca="1" si="19"/>
        <v>#N/A</v>
      </c>
      <c r="AD23" s="14" t="e">
        <f t="shared" ca="1" si="19"/>
        <v>#N/A</v>
      </c>
      <c r="AE23" s="14" t="e">
        <f t="shared" ca="1" si="19"/>
        <v>#N/A</v>
      </c>
      <c r="AF23" s="15" t="e">
        <f t="shared" ca="1" si="19"/>
        <v>#N/A</v>
      </c>
      <c r="AG23" s="16" t="e">
        <f t="shared" ca="1" si="19"/>
        <v>#N/A</v>
      </c>
      <c r="AH23" s="13" t="e">
        <f t="shared" ca="1" si="19"/>
        <v>#N/A</v>
      </c>
      <c r="AI23" s="14" t="e">
        <f t="shared" ca="1" si="19"/>
        <v>#N/A</v>
      </c>
      <c r="AJ23" s="14" t="e">
        <f t="shared" ca="1" si="20"/>
        <v>#N/A</v>
      </c>
      <c r="AK23" s="14" t="e">
        <f t="shared" ca="1" si="20"/>
        <v>#N/A</v>
      </c>
      <c r="AL23" s="14" t="e">
        <f t="shared" ca="1" si="20"/>
        <v>#N/A</v>
      </c>
      <c r="AM23" s="15" t="e">
        <f t="shared" ca="1" si="20"/>
        <v>#N/A</v>
      </c>
      <c r="AN23" s="16" t="e">
        <f t="shared" ca="1" si="20"/>
        <v>#N/A</v>
      </c>
      <c r="AO23" s="13" t="e">
        <f t="shared" ca="1" si="20"/>
        <v>#N/A</v>
      </c>
      <c r="AP23" s="14" t="e">
        <f t="shared" ca="1" si="20"/>
        <v>#N/A</v>
      </c>
      <c r="AQ23" s="14" t="e">
        <f t="shared" ca="1" si="20"/>
        <v>#N/A</v>
      </c>
      <c r="AR23" s="14" t="e">
        <f t="shared" ca="1" si="20"/>
        <v>#N/A</v>
      </c>
      <c r="AS23" s="14" t="e">
        <f t="shared" ca="1" si="20"/>
        <v>#N/A</v>
      </c>
      <c r="AT23" s="15" t="e">
        <f t="shared" ca="1" si="21"/>
        <v>#N/A</v>
      </c>
      <c r="AU23" s="16" t="e">
        <f t="shared" ca="1" si="21"/>
        <v>#N/A</v>
      </c>
      <c r="AV23" s="13" t="e">
        <f t="shared" ca="1" si="21"/>
        <v>#N/A</v>
      </c>
      <c r="AW23" s="14" t="e">
        <f t="shared" ca="1" si="21"/>
        <v>#N/A</v>
      </c>
      <c r="AX23" s="14" t="e">
        <f t="shared" ca="1" si="21"/>
        <v>#N/A</v>
      </c>
      <c r="AY23" s="14" t="e">
        <f t="shared" ca="1" si="21"/>
        <v>#N/A</v>
      </c>
      <c r="AZ23" s="14" t="e">
        <f t="shared" ca="1" si="21"/>
        <v>#N/A</v>
      </c>
      <c r="BA23" s="15" t="e">
        <f t="shared" ca="1" si="21"/>
        <v>#N/A</v>
      </c>
      <c r="BB23" s="16" t="e">
        <f t="shared" ca="1" si="21"/>
        <v>#N/A</v>
      </c>
      <c r="BC23" s="13" t="e">
        <f t="shared" ca="1" si="21"/>
        <v>#N/A</v>
      </c>
      <c r="BD23" s="14" t="e">
        <f t="shared" ca="1" si="22"/>
        <v>#N/A</v>
      </c>
      <c r="BE23" s="14" t="e">
        <f t="shared" ca="1" si="22"/>
        <v>#N/A</v>
      </c>
      <c r="BF23" s="14" t="e">
        <f t="shared" ca="1" si="22"/>
        <v>#N/A</v>
      </c>
      <c r="BG23" s="14" t="e">
        <f t="shared" ca="1" si="22"/>
        <v>#N/A</v>
      </c>
      <c r="BH23" s="15" t="e">
        <f t="shared" ca="1" si="22"/>
        <v>#N/A</v>
      </c>
      <c r="BI23" s="16" t="e">
        <f t="shared" ca="1" si="22"/>
        <v>#N/A</v>
      </c>
      <c r="BJ23" s="13" t="e">
        <f t="shared" ca="1" si="22"/>
        <v>#N/A</v>
      </c>
      <c r="BK23" s="14" t="e">
        <f t="shared" ca="1" si="22"/>
        <v>#N/A</v>
      </c>
      <c r="BL23" s="14" t="e">
        <f t="shared" ca="1" si="22"/>
        <v>#N/A</v>
      </c>
      <c r="BM23" s="14" t="e">
        <f t="shared" ca="1" si="22"/>
        <v>#N/A</v>
      </c>
      <c r="BN23" s="14" t="e">
        <f t="shared" ca="1" si="23"/>
        <v>#N/A</v>
      </c>
      <c r="BO23" s="15" t="e">
        <f t="shared" ca="1" si="23"/>
        <v>#N/A</v>
      </c>
      <c r="BP23" s="16" t="e">
        <f t="shared" ca="1" si="23"/>
        <v>#N/A</v>
      </c>
      <c r="BQ23" s="13" t="e">
        <f t="shared" ca="1" si="23"/>
        <v>#N/A</v>
      </c>
      <c r="BR23" s="14" t="e">
        <f t="shared" ca="1" si="23"/>
        <v>#N/A</v>
      </c>
      <c r="BS23" s="14" t="e">
        <f t="shared" ca="1" si="23"/>
        <v>#N/A</v>
      </c>
      <c r="BT23" s="14" t="e">
        <f t="shared" ca="1" si="23"/>
        <v>#N/A</v>
      </c>
      <c r="BU23" s="14" t="e">
        <f t="shared" ca="1" si="23"/>
        <v>#N/A</v>
      </c>
      <c r="BV23" s="15" t="e">
        <f t="shared" ca="1" si="23"/>
        <v>#N/A</v>
      </c>
      <c r="BW23" s="16" t="e">
        <f t="shared" ca="1" si="23"/>
        <v>#N/A</v>
      </c>
      <c r="BX23" s="13" t="e">
        <f t="shared" ca="1" si="24"/>
        <v>#N/A</v>
      </c>
      <c r="BY23" s="14" t="e">
        <f t="shared" ca="1" si="24"/>
        <v>#N/A</v>
      </c>
      <c r="BZ23" s="14" t="e">
        <f t="shared" ca="1" si="24"/>
        <v>#N/A</v>
      </c>
      <c r="CA23" s="14" t="e">
        <f t="shared" ca="1" si="24"/>
        <v>#N/A</v>
      </c>
      <c r="CB23" s="14" t="e">
        <f t="shared" ca="1" si="24"/>
        <v>#N/A</v>
      </c>
      <c r="CC23" s="15" t="e">
        <f t="shared" ca="1" si="24"/>
        <v>#N/A</v>
      </c>
      <c r="CD23" s="16" t="e">
        <f t="shared" ca="1" si="24"/>
        <v>#N/A</v>
      </c>
      <c r="CE23" s="13" t="e">
        <f t="shared" ca="1" si="24"/>
        <v>#N/A</v>
      </c>
      <c r="CF23" s="14" t="e">
        <f t="shared" ca="1" si="24"/>
        <v>#N/A</v>
      </c>
      <c r="CG23" s="14" t="e">
        <f t="shared" ca="1" si="24"/>
        <v>#N/A</v>
      </c>
      <c r="CH23" s="14" t="e">
        <f t="shared" ca="1" si="25"/>
        <v>#N/A</v>
      </c>
      <c r="CI23" s="14" t="e">
        <f t="shared" ca="1" si="25"/>
        <v>#N/A</v>
      </c>
      <c r="CJ23" s="15" t="e">
        <f t="shared" ca="1" si="25"/>
        <v>#N/A</v>
      </c>
      <c r="CK23" s="16" t="e">
        <f t="shared" ca="1" si="25"/>
        <v>#N/A</v>
      </c>
      <c r="CL23" s="13" t="e">
        <f t="shared" ca="1" si="25"/>
        <v>#N/A</v>
      </c>
      <c r="CM23" s="14" t="e">
        <f t="shared" ca="1" si="25"/>
        <v>#N/A</v>
      </c>
      <c r="CN23" s="14" t="e">
        <f t="shared" ca="1" si="25"/>
        <v>#N/A</v>
      </c>
      <c r="CO23" s="14" t="e">
        <f t="shared" ca="1" si="25"/>
        <v>#N/A</v>
      </c>
      <c r="CP23" s="14" t="e">
        <f t="shared" ca="1" si="25"/>
        <v>#N/A</v>
      </c>
      <c r="CQ23" s="15" t="e">
        <f t="shared" ca="1" si="25"/>
        <v>#N/A</v>
      </c>
      <c r="CR23" s="16" t="e">
        <f t="shared" ca="1" si="26"/>
        <v>#N/A</v>
      </c>
      <c r="CS23" s="13" t="e">
        <f t="shared" ca="1" si="26"/>
        <v>#N/A</v>
      </c>
      <c r="CT23" s="14" t="e">
        <f t="shared" ca="1" si="26"/>
        <v>#N/A</v>
      </c>
      <c r="CU23" s="14" t="e">
        <f t="shared" ca="1" si="26"/>
        <v>#N/A</v>
      </c>
      <c r="CV23" s="14" t="e">
        <f t="shared" ca="1" si="26"/>
        <v>#N/A</v>
      </c>
      <c r="CW23" s="14" t="e">
        <f t="shared" ca="1" si="26"/>
        <v>#N/A</v>
      </c>
      <c r="CX23" s="15" t="e">
        <f t="shared" ca="1" si="26"/>
        <v>#N/A</v>
      </c>
      <c r="CY23" s="16" t="e">
        <f t="shared" ca="1" si="26"/>
        <v>#N/A</v>
      </c>
      <c r="CZ23" s="13" t="e">
        <f t="shared" ca="1" si="26"/>
        <v>#N/A</v>
      </c>
      <c r="DA23" s="14" t="e">
        <f t="shared" ca="1" si="26"/>
        <v>#N/A</v>
      </c>
      <c r="DB23" s="14" t="e">
        <f t="shared" ca="1" si="27"/>
        <v>#N/A</v>
      </c>
      <c r="DC23" s="14" t="e">
        <f t="shared" ca="1" si="27"/>
        <v>#N/A</v>
      </c>
      <c r="DD23" s="14" t="e">
        <f t="shared" ca="1" si="27"/>
        <v>#N/A</v>
      </c>
      <c r="DE23" s="15" t="e">
        <f t="shared" ca="1" si="27"/>
        <v>#N/A</v>
      </c>
      <c r="DF23" s="16" t="e">
        <f t="shared" ca="1" si="27"/>
        <v>#N/A</v>
      </c>
      <c r="DG23" s="13" t="e">
        <f t="shared" ca="1" si="27"/>
        <v>#N/A</v>
      </c>
      <c r="DH23" s="14" t="e">
        <f t="shared" ca="1" si="27"/>
        <v>#N/A</v>
      </c>
      <c r="DI23" s="14" t="e">
        <f t="shared" ca="1" si="27"/>
        <v>#N/A</v>
      </c>
      <c r="DJ23" s="14" t="e">
        <f t="shared" ca="1" si="27"/>
        <v>#N/A</v>
      </c>
      <c r="DK23" s="14" t="e">
        <f t="shared" ca="1" si="27"/>
        <v>#N/A</v>
      </c>
      <c r="DL23" s="15" t="e">
        <f t="shared" ca="1" si="28"/>
        <v>#N/A</v>
      </c>
      <c r="DM23" s="16" t="e">
        <f t="shared" ca="1" si="28"/>
        <v>#N/A</v>
      </c>
      <c r="DN23" s="13" t="e">
        <f t="shared" ca="1" si="28"/>
        <v>#N/A</v>
      </c>
      <c r="DO23" s="14" t="e">
        <f t="shared" ca="1" si="28"/>
        <v>#N/A</v>
      </c>
      <c r="DP23" s="14" t="e">
        <f t="shared" ca="1" si="28"/>
        <v>#N/A</v>
      </c>
      <c r="DQ23" s="14" t="e">
        <f t="shared" ca="1" si="28"/>
        <v>#N/A</v>
      </c>
      <c r="DR23" s="14" t="e">
        <f t="shared" ca="1" si="28"/>
        <v>#N/A</v>
      </c>
      <c r="DS23" s="15" t="e">
        <f t="shared" ca="1" si="28"/>
        <v>#N/A</v>
      </c>
      <c r="DT23" s="16" t="e">
        <f t="shared" ca="1" si="28"/>
        <v>#N/A</v>
      </c>
    </row>
    <row r="24" spans="1:124" s="17" customFormat="1" ht="9.6" customHeight="1">
      <c r="A24" s="27" t="e">
        <f ca="1">IFERROR(VLOOKUP(_xlfn.CONCAT(B7,"-","Next"),'DATA BTO'!A:D,4,FALSE),VLOOKUP(_xlfn.CONCAT(B7,"-","Actif"),'DATA BTO'!A:D,4,FALSE))</f>
        <v>#N/A</v>
      </c>
      <c r="B24" s="28" t="s">
        <v>54</v>
      </c>
      <c r="C24" s="19" t="e">
        <f t="shared" ca="1" si="16"/>
        <v>#N/A</v>
      </c>
      <c r="D24" s="20">
        <v>7</v>
      </c>
      <c r="E24" s="19" t="e">
        <f ca="1">(C24+D24)-1</f>
        <v>#N/A</v>
      </c>
      <c r="F24" s="13" t="e">
        <f t="shared" ca="1" si="17"/>
        <v>#N/A</v>
      </c>
      <c r="G24" s="14" t="e">
        <f t="shared" ca="1" si="17"/>
        <v>#N/A</v>
      </c>
      <c r="H24" s="14" t="e">
        <f t="shared" ca="1" si="17"/>
        <v>#N/A</v>
      </c>
      <c r="I24" s="14" t="e">
        <f t="shared" ca="1" si="17"/>
        <v>#N/A</v>
      </c>
      <c r="J24" s="14" t="e">
        <f t="shared" ca="1" si="17"/>
        <v>#N/A</v>
      </c>
      <c r="K24" s="15" t="e">
        <f t="shared" ca="1" si="17"/>
        <v>#N/A</v>
      </c>
      <c r="L24" s="16" t="e">
        <f t="shared" ca="1" si="17"/>
        <v>#N/A</v>
      </c>
      <c r="M24" s="13" t="e">
        <f t="shared" ca="1" si="17"/>
        <v>#N/A</v>
      </c>
      <c r="N24" s="14" t="e">
        <f t="shared" ca="1" si="17"/>
        <v>#N/A</v>
      </c>
      <c r="O24" s="14" t="e">
        <f t="shared" ca="1" si="17"/>
        <v>#N/A</v>
      </c>
      <c r="P24" s="14" t="e">
        <f t="shared" ca="1" si="18"/>
        <v>#N/A</v>
      </c>
      <c r="Q24" s="14" t="e">
        <f t="shared" ca="1" si="18"/>
        <v>#N/A</v>
      </c>
      <c r="R24" s="15" t="e">
        <f t="shared" ca="1" si="18"/>
        <v>#N/A</v>
      </c>
      <c r="S24" s="16" t="e">
        <f t="shared" ca="1" si="18"/>
        <v>#N/A</v>
      </c>
      <c r="T24" s="13" t="e">
        <f t="shared" ca="1" si="18"/>
        <v>#N/A</v>
      </c>
      <c r="U24" s="14" t="e">
        <f t="shared" ca="1" si="18"/>
        <v>#N/A</v>
      </c>
      <c r="V24" s="14" t="e">
        <f t="shared" ca="1" si="18"/>
        <v>#N/A</v>
      </c>
      <c r="W24" s="14" t="e">
        <f t="shared" ca="1" si="18"/>
        <v>#N/A</v>
      </c>
      <c r="X24" s="14" t="e">
        <f t="shared" ca="1" si="18"/>
        <v>#N/A</v>
      </c>
      <c r="Y24" s="15" t="e">
        <f t="shared" ca="1" si="18"/>
        <v>#N/A</v>
      </c>
      <c r="Z24" s="16" t="e">
        <f t="shared" ca="1" si="19"/>
        <v>#N/A</v>
      </c>
      <c r="AA24" s="13" t="e">
        <f t="shared" ca="1" si="19"/>
        <v>#N/A</v>
      </c>
      <c r="AB24" s="14" t="e">
        <f t="shared" ca="1" si="19"/>
        <v>#N/A</v>
      </c>
      <c r="AC24" s="14" t="e">
        <f t="shared" ca="1" si="19"/>
        <v>#N/A</v>
      </c>
      <c r="AD24" s="14" t="e">
        <f t="shared" ca="1" si="19"/>
        <v>#N/A</v>
      </c>
      <c r="AE24" s="14" t="e">
        <f t="shared" ca="1" si="19"/>
        <v>#N/A</v>
      </c>
      <c r="AF24" s="15" t="e">
        <f t="shared" ca="1" si="19"/>
        <v>#N/A</v>
      </c>
      <c r="AG24" s="16" t="e">
        <f t="shared" ca="1" si="19"/>
        <v>#N/A</v>
      </c>
      <c r="AH24" s="13" t="e">
        <f t="shared" ca="1" si="19"/>
        <v>#N/A</v>
      </c>
      <c r="AI24" s="14" t="e">
        <f t="shared" ca="1" si="19"/>
        <v>#N/A</v>
      </c>
      <c r="AJ24" s="14" t="e">
        <f t="shared" ca="1" si="20"/>
        <v>#N/A</v>
      </c>
      <c r="AK24" s="14" t="e">
        <f t="shared" ca="1" si="20"/>
        <v>#N/A</v>
      </c>
      <c r="AL24" s="14" t="e">
        <f t="shared" ca="1" si="20"/>
        <v>#N/A</v>
      </c>
      <c r="AM24" s="15" t="e">
        <f t="shared" ca="1" si="20"/>
        <v>#N/A</v>
      </c>
      <c r="AN24" s="16" t="e">
        <f t="shared" ca="1" si="20"/>
        <v>#N/A</v>
      </c>
      <c r="AO24" s="13" t="e">
        <f t="shared" ca="1" si="20"/>
        <v>#N/A</v>
      </c>
      <c r="AP24" s="14" t="e">
        <f t="shared" ca="1" si="20"/>
        <v>#N/A</v>
      </c>
      <c r="AQ24" s="14" t="e">
        <f t="shared" ca="1" si="20"/>
        <v>#N/A</v>
      </c>
      <c r="AR24" s="14" t="e">
        <f t="shared" ca="1" si="20"/>
        <v>#N/A</v>
      </c>
      <c r="AS24" s="14" t="e">
        <f t="shared" ca="1" si="20"/>
        <v>#N/A</v>
      </c>
      <c r="AT24" s="15" t="e">
        <f t="shared" ca="1" si="21"/>
        <v>#N/A</v>
      </c>
      <c r="AU24" s="16" t="e">
        <f t="shared" ca="1" si="21"/>
        <v>#N/A</v>
      </c>
      <c r="AV24" s="13" t="e">
        <f t="shared" ca="1" si="21"/>
        <v>#N/A</v>
      </c>
      <c r="AW24" s="14" t="e">
        <f t="shared" ca="1" si="21"/>
        <v>#N/A</v>
      </c>
      <c r="AX24" s="14" t="e">
        <f t="shared" ca="1" si="21"/>
        <v>#N/A</v>
      </c>
      <c r="AY24" s="14" t="e">
        <f t="shared" ca="1" si="21"/>
        <v>#N/A</v>
      </c>
      <c r="AZ24" s="14" t="e">
        <f t="shared" ca="1" si="21"/>
        <v>#N/A</v>
      </c>
      <c r="BA24" s="15" t="e">
        <f t="shared" ca="1" si="21"/>
        <v>#N/A</v>
      </c>
      <c r="BB24" s="16" t="e">
        <f t="shared" ca="1" si="21"/>
        <v>#N/A</v>
      </c>
      <c r="BC24" s="13" t="e">
        <f t="shared" ca="1" si="21"/>
        <v>#N/A</v>
      </c>
      <c r="BD24" s="14" t="e">
        <f t="shared" ca="1" si="22"/>
        <v>#N/A</v>
      </c>
      <c r="BE24" s="14" t="e">
        <f t="shared" ca="1" si="22"/>
        <v>#N/A</v>
      </c>
      <c r="BF24" s="14" t="e">
        <f t="shared" ca="1" si="22"/>
        <v>#N/A</v>
      </c>
      <c r="BG24" s="14" t="e">
        <f t="shared" ca="1" si="22"/>
        <v>#N/A</v>
      </c>
      <c r="BH24" s="15" t="e">
        <f t="shared" ca="1" si="22"/>
        <v>#N/A</v>
      </c>
      <c r="BI24" s="16" t="e">
        <f t="shared" ca="1" si="22"/>
        <v>#N/A</v>
      </c>
      <c r="BJ24" s="13" t="e">
        <f t="shared" ca="1" si="22"/>
        <v>#N/A</v>
      </c>
      <c r="BK24" s="14" t="e">
        <f t="shared" ca="1" si="22"/>
        <v>#N/A</v>
      </c>
      <c r="BL24" s="14" t="e">
        <f t="shared" ca="1" si="22"/>
        <v>#N/A</v>
      </c>
      <c r="BM24" s="14" t="e">
        <f t="shared" ca="1" si="22"/>
        <v>#N/A</v>
      </c>
      <c r="BN24" s="14" t="e">
        <f t="shared" ca="1" si="23"/>
        <v>#N/A</v>
      </c>
      <c r="BO24" s="15" t="e">
        <f t="shared" ca="1" si="23"/>
        <v>#N/A</v>
      </c>
      <c r="BP24" s="16" t="e">
        <f t="shared" ca="1" si="23"/>
        <v>#N/A</v>
      </c>
      <c r="BQ24" s="13" t="e">
        <f t="shared" ca="1" si="23"/>
        <v>#N/A</v>
      </c>
      <c r="BR24" s="14" t="e">
        <f t="shared" ca="1" si="23"/>
        <v>#N/A</v>
      </c>
      <c r="BS24" s="14" t="e">
        <f t="shared" ca="1" si="23"/>
        <v>#N/A</v>
      </c>
      <c r="BT24" s="14" t="e">
        <f t="shared" ca="1" si="23"/>
        <v>#N/A</v>
      </c>
      <c r="BU24" s="14" t="e">
        <f t="shared" ca="1" si="23"/>
        <v>#N/A</v>
      </c>
      <c r="BV24" s="15" t="e">
        <f t="shared" ca="1" si="23"/>
        <v>#N/A</v>
      </c>
      <c r="BW24" s="16" t="e">
        <f t="shared" ca="1" si="23"/>
        <v>#N/A</v>
      </c>
      <c r="BX24" s="13" t="e">
        <f t="shared" ca="1" si="24"/>
        <v>#N/A</v>
      </c>
      <c r="BY24" s="14" t="e">
        <f t="shared" ca="1" si="24"/>
        <v>#N/A</v>
      </c>
      <c r="BZ24" s="14" t="e">
        <f t="shared" ca="1" si="24"/>
        <v>#N/A</v>
      </c>
      <c r="CA24" s="14" t="e">
        <f t="shared" ca="1" si="24"/>
        <v>#N/A</v>
      </c>
      <c r="CB24" s="14" t="e">
        <f t="shared" ca="1" si="24"/>
        <v>#N/A</v>
      </c>
      <c r="CC24" s="15" t="e">
        <f t="shared" ca="1" si="24"/>
        <v>#N/A</v>
      </c>
      <c r="CD24" s="16" t="e">
        <f t="shared" ca="1" si="24"/>
        <v>#N/A</v>
      </c>
      <c r="CE24" s="13" t="e">
        <f t="shared" ca="1" si="24"/>
        <v>#N/A</v>
      </c>
      <c r="CF24" s="14" t="e">
        <f t="shared" ca="1" si="24"/>
        <v>#N/A</v>
      </c>
      <c r="CG24" s="14" t="e">
        <f t="shared" ca="1" si="24"/>
        <v>#N/A</v>
      </c>
      <c r="CH24" s="14" t="e">
        <f t="shared" ca="1" si="25"/>
        <v>#N/A</v>
      </c>
      <c r="CI24" s="14" t="e">
        <f t="shared" ca="1" si="25"/>
        <v>#N/A</v>
      </c>
      <c r="CJ24" s="15" t="e">
        <f t="shared" ca="1" si="25"/>
        <v>#N/A</v>
      </c>
      <c r="CK24" s="16" t="e">
        <f t="shared" ca="1" si="25"/>
        <v>#N/A</v>
      </c>
      <c r="CL24" s="13" t="e">
        <f t="shared" ca="1" si="25"/>
        <v>#N/A</v>
      </c>
      <c r="CM24" s="14" t="e">
        <f t="shared" ca="1" si="25"/>
        <v>#N/A</v>
      </c>
      <c r="CN24" s="14" t="e">
        <f t="shared" ca="1" si="25"/>
        <v>#N/A</v>
      </c>
      <c r="CO24" s="14" t="e">
        <f t="shared" ca="1" si="25"/>
        <v>#N/A</v>
      </c>
      <c r="CP24" s="14" t="e">
        <f t="shared" ca="1" si="25"/>
        <v>#N/A</v>
      </c>
      <c r="CQ24" s="15" t="e">
        <f t="shared" ca="1" si="25"/>
        <v>#N/A</v>
      </c>
      <c r="CR24" s="16" t="e">
        <f t="shared" ca="1" si="26"/>
        <v>#N/A</v>
      </c>
      <c r="CS24" s="13" t="e">
        <f t="shared" ca="1" si="26"/>
        <v>#N/A</v>
      </c>
      <c r="CT24" s="14" t="e">
        <f t="shared" ca="1" si="26"/>
        <v>#N/A</v>
      </c>
      <c r="CU24" s="14" t="e">
        <f t="shared" ca="1" si="26"/>
        <v>#N/A</v>
      </c>
      <c r="CV24" s="14" t="e">
        <f t="shared" ca="1" si="26"/>
        <v>#N/A</v>
      </c>
      <c r="CW24" s="14" t="e">
        <f t="shared" ca="1" si="26"/>
        <v>#N/A</v>
      </c>
      <c r="CX24" s="15" t="e">
        <f t="shared" ca="1" si="26"/>
        <v>#N/A</v>
      </c>
      <c r="CY24" s="16" t="e">
        <f t="shared" ca="1" si="26"/>
        <v>#N/A</v>
      </c>
      <c r="CZ24" s="13" t="e">
        <f t="shared" ca="1" si="26"/>
        <v>#N/A</v>
      </c>
      <c r="DA24" s="14" t="e">
        <f t="shared" ca="1" si="26"/>
        <v>#N/A</v>
      </c>
      <c r="DB24" s="14" t="e">
        <f t="shared" ca="1" si="27"/>
        <v>#N/A</v>
      </c>
      <c r="DC24" s="14" t="e">
        <f t="shared" ca="1" si="27"/>
        <v>#N/A</v>
      </c>
      <c r="DD24" s="14" t="e">
        <f t="shared" ca="1" si="27"/>
        <v>#N/A</v>
      </c>
      <c r="DE24" s="15" t="e">
        <f t="shared" ca="1" si="27"/>
        <v>#N/A</v>
      </c>
      <c r="DF24" s="16" t="e">
        <f t="shared" ca="1" si="27"/>
        <v>#N/A</v>
      </c>
      <c r="DG24" s="13" t="e">
        <f t="shared" ca="1" si="27"/>
        <v>#N/A</v>
      </c>
      <c r="DH24" s="14" t="e">
        <f t="shared" ca="1" si="27"/>
        <v>#N/A</v>
      </c>
      <c r="DI24" s="14" t="e">
        <f t="shared" ca="1" si="27"/>
        <v>#N/A</v>
      </c>
      <c r="DJ24" s="14" t="e">
        <f t="shared" ca="1" si="27"/>
        <v>#N/A</v>
      </c>
      <c r="DK24" s="14" t="e">
        <f t="shared" ca="1" si="27"/>
        <v>#N/A</v>
      </c>
      <c r="DL24" s="15" t="e">
        <f t="shared" ca="1" si="28"/>
        <v>#N/A</v>
      </c>
      <c r="DM24" s="16" t="e">
        <f t="shared" ca="1" si="28"/>
        <v>#N/A</v>
      </c>
      <c r="DN24" s="13" t="e">
        <f t="shared" ca="1" si="28"/>
        <v>#N/A</v>
      </c>
      <c r="DO24" s="14" t="e">
        <f t="shared" ca="1" si="28"/>
        <v>#N/A</v>
      </c>
      <c r="DP24" s="14" t="e">
        <f t="shared" ca="1" si="28"/>
        <v>#N/A</v>
      </c>
      <c r="DQ24" s="14" t="e">
        <f t="shared" ca="1" si="28"/>
        <v>#N/A</v>
      </c>
      <c r="DR24" s="14" t="e">
        <f t="shared" ca="1" si="28"/>
        <v>#N/A</v>
      </c>
      <c r="DS24" s="15" t="e">
        <f t="shared" ca="1" si="28"/>
        <v>#N/A</v>
      </c>
      <c r="DT24" s="16" t="e">
        <f t="shared" ca="1" si="28"/>
        <v>#N/A</v>
      </c>
    </row>
    <row r="25" spans="1:124" s="17" customFormat="1" ht="9.6" customHeight="1">
      <c r="A25" s="90" t="str">
        <f>_xlfn.CONCAT(B1,"-",B3,"-",B6)</f>
        <v>NSL Shanghai-NSL Shanghai-DOUAI</v>
      </c>
      <c r="B25" s="28" t="s">
        <v>55</v>
      </c>
      <c r="C25" s="19" t="e">
        <f t="shared" ca="1" si="16"/>
        <v>#N/A</v>
      </c>
      <c r="D25" s="20">
        <v>7</v>
      </c>
      <c r="E25" s="19" t="e">
        <f ca="1">(C25+D25)-1</f>
        <v>#N/A</v>
      </c>
      <c r="F25" s="13" t="e">
        <f t="shared" ca="1" si="17"/>
        <v>#N/A</v>
      </c>
      <c r="G25" s="14" t="e">
        <f t="shared" ca="1" si="17"/>
        <v>#N/A</v>
      </c>
      <c r="H25" s="14" t="e">
        <f t="shared" ca="1" si="17"/>
        <v>#N/A</v>
      </c>
      <c r="I25" s="14" t="e">
        <f t="shared" ca="1" si="17"/>
        <v>#N/A</v>
      </c>
      <c r="J25" s="14" t="e">
        <f t="shared" ca="1" si="17"/>
        <v>#N/A</v>
      </c>
      <c r="K25" s="15" t="e">
        <f t="shared" ca="1" si="17"/>
        <v>#N/A</v>
      </c>
      <c r="L25" s="16" t="e">
        <f t="shared" ca="1" si="17"/>
        <v>#N/A</v>
      </c>
      <c r="M25" s="13" t="e">
        <f t="shared" ca="1" si="17"/>
        <v>#N/A</v>
      </c>
      <c r="N25" s="14" t="e">
        <f t="shared" ca="1" si="17"/>
        <v>#N/A</v>
      </c>
      <c r="O25" s="14" t="e">
        <f t="shared" ca="1" si="17"/>
        <v>#N/A</v>
      </c>
      <c r="P25" s="14" t="e">
        <f t="shared" ca="1" si="18"/>
        <v>#N/A</v>
      </c>
      <c r="Q25" s="14" t="e">
        <f t="shared" ca="1" si="18"/>
        <v>#N/A</v>
      </c>
      <c r="R25" s="15" t="e">
        <f t="shared" ca="1" si="18"/>
        <v>#N/A</v>
      </c>
      <c r="S25" s="16" t="e">
        <f t="shared" ca="1" si="18"/>
        <v>#N/A</v>
      </c>
      <c r="T25" s="13" t="e">
        <f t="shared" ca="1" si="18"/>
        <v>#N/A</v>
      </c>
      <c r="U25" s="14" t="e">
        <f t="shared" ca="1" si="18"/>
        <v>#N/A</v>
      </c>
      <c r="V25" s="14" t="e">
        <f t="shared" ca="1" si="18"/>
        <v>#N/A</v>
      </c>
      <c r="W25" s="14" t="e">
        <f t="shared" ca="1" si="18"/>
        <v>#N/A</v>
      </c>
      <c r="X25" s="14" t="e">
        <f t="shared" ca="1" si="18"/>
        <v>#N/A</v>
      </c>
      <c r="Y25" s="15" t="e">
        <f t="shared" ca="1" si="18"/>
        <v>#N/A</v>
      </c>
      <c r="Z25" s="16" t="e">
        <f t="shared" ca="1" si="19"/>
        <v>#N/A</v>
      </c>
      <c r="AA25" s="13" t="e">
        <f t="shared" ca="1" si="19"/>
        <v>#N/A</v>
      </c>
      <c r="AB25" s="14" t="e">
        <f t="shared" ca="1" si="19"/>
        <v>#N/A</v>
      </c>
      <c r="AC25" s="14" t="e">
        <f t="shared" ca="1" si="19"/>
        <v>#N/A</v>
      </c>
      <c r="AD25" s="14" t="e">
        <f t="shared" ca="1" si="19"/>
        <v>#N/A</v>
      </c>
      <c r="AE25" s="14" t="e">
        <f t="shared" ca="1" si="19"/>
        <v>#N/A</v>
      </c>
      <c r="AF25" s="15" t="e">
        <f t="shared" ca="1" si="19"/>
        <v>#N/A</v>
      </c>
      <c r="AG25" s="16" t="e">
        <f t="shared" ca="1" si="19"/>
        <v>#N/A</v>
      </c>
      <c r="AH25" s="13" t="e">
        <f t="shared" ca="1" si="19"/>
        <v>#N/A</v>
      </c>
      <c r="AI25" s="14" t="e">
        <f t="shared" ca="1" si="19"/>
        <v>#N/A</v>
      </c>
      <c r="AJ25" s="14" t="e">
        <f t="shared" ca="1" si="20"/>
        <v>#N/A</v>
      </c>
      <c r="AK25" s="14" t="e">
        <f t="shared" ca="1" si="20"/>
        <v>#N/A</v>
      </c>
      <c r="AL25" s="14" t="e">
        <f t="shared" ca="1" si="20"/>
        <v>#N/A</v>
      </c>
      <c r="AM25" s="15" t="e">
        <f t="shared" ca="1" si="20"/>
        <v>#N/A</v>
      </c>
      <c r="AN25" s="16" t="e">
        <f t="shared" ca="1" si="20"/>
        <v>#N/A</v>
      </c>
      <c r="AO25" s="13" t="e">
        <f t="shared" ca="1" si="20"/>
        <v>#N/A</v>
      </c>
      <c r="AP25" s="14" t="e">
        <f t="shared" ca="1" si="20"/>
        <v>#N/A</v>
      </c>
      <c r="AQ25" s="14" t="e">
        <f t="shared" ca="1" si="20"/>
        <v>#N/A</v>
      </c>
      <c r="AR25" s="14" t="e">
        <f t="shared" ca="1" si="20"/>
        <v>#N/A</v>
      </c>
      <c r="AS25" s="14" t="e">
        <f t="shared" ca="1" si="20"/>
        <v>#N/A</v>
      </c>
      <c r="AT25" s="15" t="e">
        <f t="shared" ca="1" si="21"/>
        <v>#N/A</v>
      </c>
      <c r="AU25" s="16" t="e">
        <f t="shared" ca="1" si="21"/>
        <v>#N/A</v>
      </c>
      <c r="AV25" s="13" t="e">
        <f t="shared" ca="1" si="21"/>
        <v>#N/A</v>
      </c>
      <c r="AW25" s="14" t="e">
        <f t="shared" ca="1" si="21"/>
        <v>#N/A</v>
      </c>
      <c r="AX25" s="14" t="e">
        <f t="shared" ca="1" si="21"/>
        <v>#N/A</v>
      </c>
      <c r="AY25" s="14" t="e">
        <f t="shared" ca="1" si="21"/>
        <v>#N/A</v>
      </c>
      <c r="AZ25" s="14" t="e">
        <f t="shared" ca="1" si="21"/>
        <v>#N/A</v>
      </c>
      <c r="BA25" s="15" t="e">
        <f t="shared" ca="1" si="21"/>
        <v>#N/A</v>
      </c>
      <c r="BB25" s="16" t="e">
        <f t="shared" ca="1" si="21"/>
        <v>#N/A</v>
      </c>
      <c r="BC25" s="13" t="e">
        <f t="shared" ca="1" si="21"/>
        <v>#N/A</v>
      </c>
      <c r="BD25" s="14" t="e">
        <f t="shared" ca="1" si="22"/>
        <v>#N/A</v>
      </c>
      <c r="BE25" s="14" t="e">
        <f t="shared" ca="1" si="22"/>
        <v>#N/A</v>
      </c>
      <c r="BF25" s="14" t="e">
        <f t="shared" ca="1" si="22"/>
        <v>#N/A</v>
      </c>
      <c r="BG25" s="14" t="e">
        <f t="shared" ca="1" si="22"/>
        <v>#N/A</v>
      </c>
      <c r="BH25" s="15" t="e">
        <f t="shared" ca="1" si="22"/>
        <v>#N/A</v>
      </c>
      <c r="BI25" s="16" t="e">
        <f t="shared" ca="1" si="22"/>
        <v>#N/A</v>
      </c>
      <c r="BJ25" s="13" t="e">
        <f t="shared" ca="1" si="22"/>
        <v>#N/A</v>
      </c>
      <c r="BK25" s="14" t="e">
        <f t="shared" ca="1" si="22"/>
        <v>#N/A</v>
      </c>
      <c r="BL25" s="14" t="e">
        <f t="shared" ca="1" si="22"/>
        <v>#N/A</v>
      </c>
      <c r="BM25" s="14" t="e">
        <f t="shared" ca="1" si="22"/>
        <v>#N/A</v>
      </c>
      <c r="BN25" s="14" t="e">
        <f t="shared" ca="1" si="23"/>
        <v>#N/A</v>
      </c>
      <c r="BO25" s="15" t="e">
        <f t="shared" ca="1" si="23"/>
        <v>#N/A</v>
      </c>
      <c r="BP25" s="16" t="e">
        <f t="shared" ca="1" si="23"/>
        <v>#N/A</v>
      </c>
      <c r="BQ25" s="13" t="e">
        <f t="shared" ca="1" si="23"/>
        <v>#N/A</v>
      </c>
      <c r="BR25" s="14" t="e">
        <f t="shared" ca="1" si="23"/>
        <v>#N/A</v>
      </c>
      <c r="BS25" s="14" t="e">
        <f t="shared" ca="1" si="23"/>
        <v>#N/A</v>
      </c>
      <c r="BT25" s="14" t="e">
        <f t="shared" ca="1" si="23"/>
        <v>#N/A</v>
      </c>
      <c r="BU25" s="14" t="e">
        <f t="shared" ca="1" si="23"/>
        <v>#N/A</v>
      </c>
      <c r="BV25" s="15" t="e">
        <f t="shared" ca="1" si="23"/>
        <v>#N/A</v>
      </c>
      <c r="BW25" s="16" t="e">
        <f t="shared" ca="1" si="23"/>
        <v>#N/A</v>
      </c>
      <c r="BX25" s="13" t="e">
        <f t="shared" ca="1" si="24"/>
        <v>#N/A</v>
      </c>
      <c r="BY25" s="14" t="e">
        <f t="shared" ca="1" si="24"/>
        <v>#N/A</v>
      </c>
      <c r="BZ25" s="14" t="e">
        <f t="shared" ca="1" si="24"/>
        <v>#N/A</v>
      </c>
      <c r="CA25" s="14" t="e">
        <f t="shared" ca="1" si="24"/>
        <v>#N/A</v>
      </c>
      <c r="CB25" s="14" t="e">
        <f t="shared" ca="1" si="24"/>
        <v>#N/A</v>
      </c>
      <c r="CC25" s="15" t="e">
        <f t="shared" ca="1" si="24"/>
        <v>#N/A</v>
      </c>
      <c r="CD25" s="16" t="e">
        <f t="shared" ca="1" si="24"/>
        <v>#N/A</v>
      </c>
      <c r="CE25" s="13" t="e">
        <f t="shared" ca="1" si="24"/>
        <v>#N/A</v>
      </c>
      <c r="CF25" s="14" t="e">
        <f t="shared" ca="1" si="24"/>
        <v>#N/A</v>
      </c>
      <c r="CG25" s="14" t="e">
        <f t="shared" ca="1" si="24"/>
        <v>#N/A</v>
      </c>
      <c r="CH25" s="14" t="e">
        <f t="shared" ca="1" si="25"/>
        <v>#N/A</v>
      </c>
      <c r="CI25" s="14" t="e">
        <f t="shared" ca="1" si="25"/>
        <v>#N/A</v>
      </c>
      <c r="CJ25" s="15" t="e">
        <f t="shared" ca="1" si="25"/>
        <v>#N/A</v>
      </c>
      <c r="CK25" s="16" t="e">
        <f t="shared" ca="1" si="25"/>
        <v>#N/A</v>
      </c>
      <c r="CL25" s="13" t="e">
        <f t="shared" ca="1" si="25"/>
        <v>#N/A</v>
      </c>
      <c r="CM25" s="14" t="e">
        <f t="shared" ca="1" si="25"/>
        <v>#N/A</v>
      </c>
      <c r="CN25" s="14" t="e">
        <f t="shared" ca="1" si="25"/>
        <v>#N/A</v>
      </c>
      <c r="CO25" s="14" t="e">
        <f t="shared" ca="1" si="25"/>
        <v>#N/A</v>
      </c>
      <c r="CP25" s="14" t="e">
        <f t="shared" ca="1" si="25"/>
        <v>#N/A</v>
      </c>
      <c r="CQ25" s="15" t="e">
        <f t="shared" ca="1" si="25"/>
        <v>#N/A</v>
      </c>
      <c r="CR25" s="16" t="e">
        <f t="shared" ca="1" si="26"/>
        <v>#N/A</v>
      </c>
      <c r="CS25" s="13" t="e">
        <f t="shared" ca="1" si="26"/>
        <v>#N/A</v>
      </c>
      <c r="CT25" s="14" t="e">
        <f t="shared" ca="1" si="26"/>
        <v>#N/A</v>
      </c>
      <c r="CU25" s="14" t="e">
        <f t="shared" ca="1" si="26"/>
        <v>#N/A</v>
      </c>
      <c r="CV25" s="14" t="e">
        <f t="shared" ca="1" si="26"/>
        <v>#N/A</v>
      </c>
      <c r="CW25" s="14" t="e">
        <f t="shared" ca="1" si="26"/>
        <v>#N/A</v>
      </c>
      <c r="CX25" s="15" t="e">
        <f t="shared" ca="1" si="26"/>
        <v>#N/A</v>
      </c>
      <c r="CY25" s="16" t="e">
        <f t="shared" ca="1" si="26"/>
        <v>#N/A</v>
      </c>
      <c r="CZ25" s="13" t="e">
        <f t="shared" ca="1" si="26"/>
        <v>#N/A</v>
      </c>
      <c r="DA25" s="14" t="e">
        <f t="shared" ca="1" si="26"/>
        <v>#N/A</v>
      </c>
      <c r="DB25" s="14" t="e">
        <f t="shared" ca="1" si="27"/>
        <v>#N/A</v>
      </c>
      <c r="DC25" s="14" t="e">
        <f t="shared" ca="1" si="27"/>
        <v>#N/A</v>
      </c>
      <c r="DD25" s="14" t="e">
        <f t="shared" ca="1" si="27"/>
        <v>#N/A</v>
      </c>
      <c r="DE25" s="15" t="e">
        <f t="shared" ca="1" si="27"/>
        <v>#N/A</v>
      </c>
      <c r="DF25" s="16" t="e">
        <f t="shared" ca="1" si="27"/>
        <v>#N/A</v>
      </c>
      <c r="DG25" s="13" t="e">
        <f t="shared" ca="1" si="27"/>
        <v>#N/A</v>
      </c>
      <c r="DH25" s="14" t="e">
        <f t="shared" ca="1" si="27"/>
        <v>#N/A</v>
      </c>
      <c r="DI25" s="14" t="e">
        <f t="shared" ca="1" si="27"/>
        <v>#N/A</v>
      </c>
      <c r="DJ25" s="14" t="e">
        <f t="shared" ca="1" si="27"/>
        <v>#N/A</v>
      </c>
      <c r="DK25" s="14" t="e">
        <f t="shared" ca="1" si="27"/>
        <v>#N/A</v>
      </c>
      <c r="DL25" s="15" t="e">
        <f t="shared" ca="1" si="28"/>
        <v>#N/A</v>
      </c>
      <c r="DM25" s="16" t="e">
        <f t="shared" ca="1" si="28"/>
        <v>#N/A</v>
      </c>
      <c r="DN25" s="13" t="e">
        <f t="shared" ca="1" si="28"/>
        <v>#N/A</v>
      </c>
      <c r="DO25" s="14" t="e">
        <f t="shared" ca="1" si="28"/>
        <v>#N/A</v>
      </c>
      <c r="DP25" s="14" t="e">
        <f t="shared" ca="1" si="28"/>
        <v>#N/A</v>
      </c>
      <c r="DQ25" s="14" t="e">
        <f t="shared" ca="1" si="28"/>
        <v>#N/A</v>
      </c>
      <c r="DR25" s="14" t="e">
        <f t="shared" ca="1" si="28"/>
        <v>#N/A</v>
      </c>
      <c r="DS25" s="15" t="e">
        <f t="shared" ca="1" si="28"/>
        <v>#N/A</v>
      </c>
      <c r="DT25" s="16" t="e">
        <f t="shared" ca="1" si="28"/>
        <v>#N/A</v>
      </c>
    </row>
    <row r="26" spans="1:124" s="17" customFormat="1" ht="6" customHeight="1"/>
    <row r="27" spans="1:124" s="17" customFormat="1" ht="15" customHeight="1">
      <c r="A27" s="554" t="s">
        <v>56</v>
      </c>
      <c r="B27" s="535"/>
      <c r="C27" s="555" t="e">
        <f ca="1">C15-C11</f>
        <v>#N/A</v>
      </c>
      <c r="D27" s="535"/>
      <c r="E27" s="537"/>
      <c r="F27" s="14" t="e">
        <f t="shared" ref="F27:AK27" ca="1" si="29">IF(AND(F$5&gt;=$C$11,F$5&lt;=$E$15-1),1,"")</f>
        <v>#N/A</v>
      </c>
      <c r="G27" s="14" t="e">
        <f t="shared" ca="1" si="29"/>
        <v>#N/A</v>
      </c>
      <c r="H27" s="14" t="e">
        <f t="shared" ca="1" si="29"/>
        <v>#N/A</v>
      </c>
      <c r="I27" s="14" t="e">
        <f t="shared" ca="1" si="29"/>
        <v>#N/A</v>
      </c>
      <c r="J27" s="14" t="e">
        <f t="shared" ca="1" si="29"/>
        <v>#N/A</v>
      </c>
      <c r="K27" s="15" t="e">
        <f t="shared" ca="1" si="29"/>
        <v>#N/A</v>
      </c>
      <c r="L27" s="16" t="e">
        <f t="shared" ca="1" si="29"/>
        <v>#N/A</v>
      </c>
      <c r="M27" s="13" t="e">
        <f t="shared" ca="1" si="29"/>
        <v>#N/A</v>
      </c>
      <c r="N27" s="14" t="e">
        <f t="shared" ca="1" si="29"/>
        <v>#N/A</v>
      </c>
      <c r="O27" s="14" t="e">
        <f t="shared" ca="1" si="29"/>
        <v>#N/A</v>
      </c>
      <c r="P27" s="14" t="e">
        <f t="shared" ca="1" si="29"/>
        <v>#N/A</v>
      </c>
      <c r="Q27" s="14" t="e">
        <f t="shared" ca="1" si="29"/>
        <v>#N/A</v>
      </c>
      <c r="R27" s="15" t="e">
        <f t="shared" ca="1" si="29"/>
        <v>#N/A</v>
      </c>
      <c r="S27" s="16" t="e">
        <f t="shared" ca="1" si="29"/>
        <v>#N/A</v>
      </c>
      <c r="T27" s="13" t="e">
        <f t="shared" ca="1" si="29"/>
        <v>#N/A</v>
      </c>
      <c r="U27" s="14" t="e">
        <f t="shared" ca="1" si="29"/>
        <v>#N/A</v>
      </c>
      <c r="V27" s="14" t="e">
        <f t="shared" ca="1" si="29"/>
        <v>#N/A</v>
      </c>
      <c r="W27" s="14" t="e">
        <f t="shared" ca="1" si="29"/>
        <v>#N/A</v>
      </c>
      <c r="X27" s="14" t="e">
        <f t="shared" ca="1" si="29"/>
        <v>#N/A</v>
      </c>
      <c r="Y27" s="15" t="e">
        <f t="shared" ca="1" si="29"/>
        <v>#N/A</v>
      </c>
      <c r="Z27" s="16" t="e">
        <f t="shared" ca="1" si="29"/>
        <v>#N/A</v>
      </c>
      <c r="AA27" s="13" t="e">
        <f t="shared" ca="1" si="29"/>
        <v>#N/A</v>
      </c>
      <c r="AB27" s="14" t="e">
        <f t="shared" ca="1" si="29"/>
        <v>#N/A</v>
      </c>
      <c r="AC27" s="14" t="e">
        <f t="shared" ca="1" si="29"/>
        <v>#N/A</v>
      </c>
      <c r="AD27" s="14" t="e">
        <f t="shared" ca="1" si="29"/>
        <v>#N/A</v>
      </c>
      <c r="AE27" s="14" t="e">
        <f t="shared" ca="1" si="29"/>
        <v>#N/A</v>
      </c>
      <c r="AF27" s="15" t="e">
        <f t="shared" ca="1" si="29"/>
        <v>#N/A</v>
      </c>
      <c r="AG27" s="16" t="e">
        <f t="shared" ca="1" si="29"/>
        <v>#N/A</v>
      </c>
      <c r="AH27" s="13" t="e">
        <f t="shared" ca="1" si="29"/>
        <v>#N/A</v>
      </c>
      <c r="AI27" s="14" t="e">
        <f t="shared" ca="1" si="29"/>
        <v>#N/A</v>
      </c>
      <c r="AJ27" s="14" t="e">
        <f t="shared" ca="1" si="29"/>
        <v>#N/A</v>
      </c>
      <c r="AK27" s="14" t="e">
        <f t="shared" ca="1" si="29"/>
        <v>#N/A</v>
      </c>
      <c r="AL27" s="14" t="e">
        <f t="shared" ref="AL27:BQ27" ca="1" si="30">IF(AND(AL$5&gt;=$C$11,AL$5&lt;=$E$15-1),1,"")</f>
        <v>#N/A</v>
      </c>
      <c r="AM27" s="15" t="e">
        <f t="shared" ca="1" si="30"/>
        <v>#N/A</v>
      </c>
      <c r="AN27" s="16" t="e">
        <f t="shared" ca="1" si="30"/>
        <v>#N/A</v>
      </c>
      <c r="AO27" s="13" t="e">
        <f t="shared" ca="1" si="30"/>
        <v>#N/A</v>
      </c>
      <c r="AP27" s="14" t="e">
        <f t="shared" ca="1" si="30"/>
        <v>#N/A</v>
      </c>
      <c r="AQ27" s="14" t="e">
        <f t="shared" ca="1" si="30"/>
        <v>#N/A</v>
      </c>
      <c r="AR27" s="14" t="e">
        <f t="shared" ca="1" si="30"/>
        <v>#N/A</v>
      </c>
      <c r="AS27" s="14" t="e">
        <f t="shared" ca="1" si="30"/>
        <v>#N/A</v>
      </c>
      <c r="AT27" s="15" t="e">
        <f t="shared" ca="1" si="30"/>
        <v>#N/A</v>
      </c>
      <c r="AU27" s="16" t="e">
        <f t="shared" ca="1" si="30"/>
        <v>#N/A</v>
      </c>
      <c r="AV27" s="13" t="e">
        <f t="shared" ca="1" si="30"/>
        <v>#N/A</v>
      </c>
      <c r="AW27" s="14" t="e">
        <f t="shared" ca="1" si="30"/>
        <v>#N/A</v>
      </c>
      <c r="AX27" s="14" t="e">
        <f t="shared" ca="1" si="30"/>
        <v>#N/A</v>
      </c>
      <c r="AY27" s="14" t="e">
        <f t="shared" ca="1" si="30"/>
        <v>#N/A</v>
      </c>
      <c r="AZ27" s="14" t="e">
        <f t="shared" ca="1" si="30"/>
        <v>#N/A</v>
      </c>
      <c r="BA27" s="15" t="e">
        <f t="shared" ca="1" si="30"/>
        <v>#N/A</v>
      </c>
      <c r="BB27" s="16" t="e">
        <f t="shared" ca="1" si="30"/>
        <v>#N/A</v>
      </c>
      <c r="BC27" s="13" t="e">
        <f t="shared" ca="1" si="30"/>
        <v>#N/A</v>
      </c>
      <c r="BD27" s="14" t="e">
        <f t="shared" ca="1" si="30"/>
        <v>#N/A</v>
      </c>
      <c r="BE27" s="14" t="e">
        <f t="shared" ca="1" si="30"/>
        <v>#N/A</v>
      </c>
      <c r="BF27" s="14" t="e">
        <f t="shared" ca="1" si="30"/>
        <v>#N/A</v>
      </c>
      <c r="BG27" s="14" t="e">
        <f t="shared" ca="1" si="30"/>
        <v>#N/A</v>
      </c>
      <c r="BH27" s="15" t="e">
        <f t="shared" ca="1" si="30"/>
        <v>#N/A</v>
      </c>
      <c r="BI27" s="16" t="e">
        <f t="shared" ca="1" si="30"/>
        <v>#N/A</v>
      </c>
      <c r="BJ27" s="13" t="e">
        <f t="shared" ca="1" si="30"/>
        <v>#N/A</v>
      </c>
      <c r="BK27" s="14" t="e">
        <f t="shared" ca="1" si="30"/>
        <v>#N/A</v>
      </c>
      <c r="BL27" s="14" t="e">
        <f t="shared" ca="1" si="30"/>
        <v>#N/A</v>
      </c>
      <c r="BM27" s="14" t="e">
        <f t="shared" ca="1" si="30"/>
        <v>#N/A</v>
      </c>
      <c r="BN27" s="14" t="e">
        <f t="shared" ca="1" si="30"/>
        <v>#N/A</v>
      </c>
      <c r="BO27" s="15" t="e">
        <f t="shared" ca="1" si="30"/>
        <v>#N/A</v>
      </c>
      <c r="BP27" s="16" t="e">
        <f t="shared" ca="1" si="30"/>
        <v>#N/A</v>
      </c>
      <c r="BQ27" s="13" t="e">
        <f t="shared" ca="1" si="30"/>
        <v>#N/A</v>
      </c>
      <c r="BR27" s="14" t="e">
        <f t="shared" ref="BR27:CW27" ca="1" si="31">IF(AND(BR$5&gt;=$C$11,BR$5&lt;=$E$15-1),1,"")</f>
        <v>#N/A</v>
      </c>
      <c r="BS27" s="14" t="e">
        <f t="shared" ca="1" si="31"/>
        <v>#N/A</v>
      </c>
      <c r="BT27" s="14" t="e">
        <f t="shared" ca="1" si="31"/>
        <v>#N/A</v>
      </c>
      <c r="BU27" s="14" t="e">
        <f t="shared" ca="1" si="31"/>
        <v>#N/A</v>
      </c>
      <c r="BV27" s="15" t="e">
        <f t="shared" ca="1" si="31"/>
        <v>#N/A</v>
      </c>
      <c r="BW27" s="16" t="e">
        <f t="shared" ca="1" si="31"/>
        <v>#N/A</v>
      </c>
      <c r="BX27" s="13" t="e">
        <f t="shared" ca="1" si="31"/>
        <v>#N/A</v>
      </c>
      <c r="BY27" s="14" t="e">
        <f t="shared" ca="1" si="31"/>
        <v>#N/A</v>
      </c>
      <c r="BZ27" s="14" t="e">
        <f t="shared" ca="1" si="31"/>
        <v>#N/A</v>
      </c>
      <c r="CA27" s="14" t="e">
        <f t="shared" ca="1" si="31"/>
        <v>#N/A</v>
      </c>
      <c r="CB27" s="14" t="e">
        <f t="shared" ca="1" si="31"/>
        <v>#N/A</v>
      </c>
      <c r="CC27" s="15" t="e">
        <f t="shared" ca="1" si="31"/>
        <v>#N/A</v>
      </c>
      <c r="CD27" s="16" t="e">
        <f t="shared" ca="1" si="31"/>
        <v>#N/A</v>
      </c>
      <c r="CE27" s="13" t="e">
        <f t="shared" ca="1" si="31"/>
        <v>#N/A</v>
      </c>
      <c r="CF27" s="14" t="e">
        <f t="shared" ca="1" si="31"/>
        <v>#N/A</v>
      </c>
      <c r="CG27" s="14" t="e">
        <f t="shared" ca="1" si="31"/>
        <v>#N/A</v>
      </c>
      <c r="CH27" s="14" t="e">
        <f t="shared" ca="1" si="31"/>
        <v>#N/A</v>
      </c>
      <c r="CI27" s="14" t="e">
        <f t="shared" ca="1" si="31"/>
        <v>#N/A</v>
      </c>
      <c r="CJ27" s="15" t="e">
        <f t="shared" ca="1" si="31"/>
        <v>#N/A</v>
      </c>
      <c r="CK27" s="16" t="e">
        <f t="shared" ca="1" si="31"/>
        <v>#N/A</v>
      </c>
      <c r="CL27" s="13" t="e">
        <f t="shared" ca="1" si="31"/>
        <v>#N/A</v>
      </c>
      <c r="CM27" s="14" t="e">
        <f t="shared" ca="1" si="31"/>
        <v>#N/A</v>
      </c>
      <c r="CN27" s="14" t="e">
        <f t="shared" ca="1" si="31"/>
        <v>#N/A</v>
      </c>
      <c r="CO27" s="14" t="e">
        <f t="shared" ca="1" si="31"/>
        <v>#N/A</v>
      </c>
      <c r="CP27" s="14" t="e">
        <f t="shared" ca="1" si="31"/>
        <v>#N/A</v>
      </c>
      <c r="CQ27" s="15" t="e">
        <f t="shared" ca="1" si="31"/>
        <v>#N/A</v>
      </c>
      <c r="CR27" s="16" t="e">
        <f t="shared" ca="1" si="31"/>
        <v>#N/A</v>
      </c>
      <c r="CS27" s="13" t="e">
        <f t="shared" ca="1" si="31"/>
        <v>#N/A</v>
      </c>
      <c r="CT27" s="14" t="e">
        <f t="shared" ca="1" si="31"/>
        <v>#N/A</v>
      </c>
      <c r="CU27" s="14" t="e">
        <f t="shared" ca="1" si="31"/>
        <v>#N/A</v>
      </c>
      <c r="CV27" s="14" t="e">
        <f t="shared" ca="1" si="31"/>
        <v>#N/A</v>
      </c>
      <c r="CW27" s="14" t="e">
        <f t="shared" ca="1" si="31"/>
        <v>#N/A</v>
      </c>
      <c r="CX27" s="15" t="e">
        <f t="shared" ref="CX27:DT27" ca="1" si="32">IF(AND(CX$5&gt;=$C$11,CX$5&lt;=$E$15-1),1,"")</f>
        <v>#N/A</v>
      </c>
      <c r="CY27" s="16" t="e">
        <f t="shared" ca="1" si="32"/>
        <v>#N/A</v>
      </c>
      <c r="CZ27" s="13" t="e">
        <f t="shared" ca="1" si="32"/>
        <v>#N/A</v>
      </c>
      <c r="DA27" s="14" t="e">
        <f t="shared" ca="1" si="32"/>
        <v>#N/A</v>
      </c>
      <c r="DB27" s="14" t="e">
        <f t="shared" ca="1" si="32"/>
        <v>#N/A</v>
      </c>
      <c r="DC27" s="14" t="e">
        <f t="shared" ca="1" si="32"/>
        <v>#N/A</v>
      </c>
      <c r="DD27" s="14" t="e">
        <f t="shared" ca="1" si="32"/>
        <v>#N/A</v>
      </c>
      <c r="DE27" s="15" t="e">
        <f t="shared" ca="1" si="32"/>
        <v>#N/A</v>
      </c>
      <c r="DF27" s="16" t="e">
        <f t="shared" ca="1" si="32"/>
        <v>#N/A</v>
      </c>
      <c r="DG27" s="13" t="e">
        <f t="shared" ca="1" si="32"/>
        <v>#N/A</v>
      </c>
      <c r="DH27" s="14" t="e">
        <f t="shared" ca="1" si="32"/>
        <v>#N/A</v>
      </c>
      <c r="DI27" s="14" t="e">
        <f t="shared" ca="1" si="32"/>
        <v>#N/A</v>
      </c>
      <c r="DJ27" s="14" t="e">
        <f t="shared" ca="1" si="32"/>
        <v>#N/A</v>
      </c>
      <c r="DK27" s="14" t="e">
        <f t="shared" ca="1" si="32"/>
        <v>#N/A</v>
      </c>
      <c r="DL27" s="15" t="e">
        <f t="shared" ca="1" si="32"/>
        <v>#N/A</v>
      </c>
      <c r="DM27" s="16" t="e">
        <f t="shared" ca="1" si="32"/>
        <v>#N/A</v>
      </c>
      <c r="DN27" s="13" t="e">
        <f t="shared" ca="1" si="32"/>
        <v>#N/A</v>
      </c>
      <c r="DO27" s="14" t="e">
        <f t="shared" ca="1" si="32"/>
        <v>#N/A</v>
      </c>
      <c r="DP27" s="14" t="e">
        <f t="shared" ca="1" si="32"/>
        <v>#N/A</v>
      </c>
      <c r="DQ27" s="14" t="e">
        <f t="shared" ca="1" si="32"/>
        <v>#N/A</v>
      </c>
      <c r="DR27" s="14" t="e">
        <f t="shared" ca="1" si="32"/>
        <v>#N/A</v>
      </c>
      <c r="DS27" s="15" t="e">
        <f t="shared" ca="1" si="32"/>
        <v>#N/A</v>
      </c>
      <c r="DT27" s="16" t="e">
        <f t="shared" ca="1" si="32"/>
        <v>#N/A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40" t="s">
        <v>57</v>
      </c>
      <c r="B29" s="535"/>
      <c r="C29" s="541" t="e">
        <f ca="1">C15-C12+2</f>
        <v>#N/A</v>
      </c>
      <c r="D29" s="535"/>
      <c r="E29" s="537"/>
      <c r="F29" s="14" t="e">
        <f t="shared" ref="F29:AK29" ca="1" si="33">IF(AND(F$5&gt;=$E$11,F$5&lt;=$E$15),1,"")</f>
        <v>#N/A</v>
      </c>
      <c r="G29" s="14" t="e">
        <f t="shared" ca="1" si="33"/>
        <v>#N/A</v>
      </c>
      <c r="H29" s="14" t="e">
        <f t="shared" ca="1" si="33"/>
        <v>#N/A</v>
      </c>
      <c r="I29" s="14" t="e">
        <f t="shared" ca="1" si="33"/>
        <v>#N/A</v>
      </c>
      <c r="J29" s="14" t="e">
        <f t="shared" ca="1" si="33"/>
        <v>#N/A</v>
      </c>
      <c r="K29" s="15" t="e">
        <f t="shared" ca="1" si="33"/>
        <v>#N/A</v>
      </c>
      <c r="L29" s="16" t="e">
        <f t="shared" ca="1" si="33"/>
        <v>#N/A</v>
      </c>
      <c r="M29" s="13" t="e">
        <f t="shared" ca="1" si="33"/>
        <v>#N/A</v>
      </c>
      <c r="N29" s="14" t="e">
        <f t="shared" ca="1" si="33"/>
        <v>#N/A</v>
      </c>
      <c r="O29" s="14" t="e">
        <f t="shared" ca="1" si="33"/>
        <v>#N/A</v>
      </c>
      <c r="P29" s="14" t="e">
        <f t="shared" ca="1" si="33"/>
        <v>#N/A</v>
      </c>
      <c r="Q29" s="14" t="e">
        <f t="shared" ca="1" si="33"/>
        <v>#N/A</v>
      </c>
      <c r="R29" s="15" t="e">
        <f t="shared" ca="1" si="33"/>
        <v>#N/A</v>
      </c>
      <c r="S29" s="16" t="e">
        <f t="shared" ca="1" si="33"/>
        <v>#N/A</v>
      </c>
      <c r="T29" s="13" t="e">
        <f t="shared" ca="1" si="33"/>
        <v>#N/A</v>
      </c>
      <c r="U29" s="14" t="e">
        <f t="shared" ca="1" si="33"/>
        <v>#N/A</v>
      </c>
      <c r="V29" s="14" t="e">
        <f t="shared" ca="1" si="33"/>
        <v>#N/A</v>
      </c>
      <c r="W29" s="14" t="e">
        <f t="shared" ca="1" si="33"/>
        <v>#N/A</v>
      </c>
      <c r="X29" s="14" t="e">
        <f t="shared" ca="1" si="33"/>
        <v>#N/A</v>
      </c>
      <c r="Y29" s="15" t="e">
        <f t="shared" ca="1" si="33"/>
        <v>#N/A</v>
      </c>
      <c r="Z29" s="16" t="e">
        <f t="shared" ca="1" si="33"/>
        <v>#N/A</v>
      </c>
      <c r="AA29" s="13" t="e">
        <f t="shared" ca="1" si="33"/>
        <v>#N/A</v>
      </c>
      <c r="AB29" s="14" t="e">
        <f t="shared" ca="1" si="33"/>
        <v>#N/A</v>
      </c>
      <c r="AC29" s="14" t="e">
        <f t="shared" ca="1" si="33"/>
        <v>#N/A</v>
      </c>
      <c r="AD29" s="14" t="e">
        <f t="shared" ca="1" si="33"/>
        <v>#N/A</v>
      </c>
      <c r="AE29" s="14" t="e">
        <f t="shared" ca="1" si="33"/>
        <v>#N/A</v>
      </c>
      <c r="AF29" s="15" t="e">
        <f t="shared" ca="1" si="33"/>
        <v>#N/A</v>
      </c>
      <c r="AG29" s="16" t="e">
        <f t="shared" ca="1" si="33"/>
        <v>#N/A</v>
      </c>
      <c r="AH29" s="13" t="e">
        <f t="shared" ca="1" si="33"/>
        <v>#N/A</v>
      </c>
      <c r="AI29" s="14" t="e">
        <f t="shared" ca="1" si="33"/>
        <v>#N/A</v>
      </c>
      <c r="AJ29" s="14" t="e">
        <f t="shared" ca="1" si="33"/>
        <v>#N/A</v>
      </c>
      <c r="AK29" s="14" t="e">
        <f t="shared" ca="1" si="33"/>
        <v>#N/A</v>
      </c>
      <c r="AL29" s="14" t="e">
        <f t="shared" ref="AL29:BQ29" ca="1" si="34">IF(AND(AL$5&gt;=$E$11,AL$5&lt;=$E$15),1,"")</f>
        <v>#N/A</v>
      </c>
      <c r="AM29" s="15" t="e">
        <f t="shared" ca="1" si="34"/>
        <v>#N/A</v>
      </c>
      <c r="AN29" s="16" t="e">
        <f t="shared" ca="1" si="34"/>
        <v>#N/A</v>
      </c>
      <c r="AO29" s="13" t="e">
        <f t="shared" ca="1" si="34"/>
        <v>#N/A</v>
      </c>
      <c r="AP29" s="14" t="e">
        <f t="shared" ca="1" si="34"/>
        <v>#N/A</v>
      </c>
      <c r="AQ29" s="14" t="e">
        <f t="shared" ca="1" si="34"/>
        <v>#N/A</v>
      </c>
      <c r="AR29" s="14" t="e">
        <f t="shared" ca="1" si="34"/>
        <v>#N/A</v>
      </c>
      <c r="AS29" s="14" t="e">
        <f t="shared" ca="1" si="34"/>
        <v>#N/A</v>
      </c>
      <c r="AT29" s="15" t="e">
        <f t="shared" ca="1" si="34"/>
        <v>#N/A</v>
      </c>
      <c r="AU29" s="16" t="e">
        <f t="shared" ca="1" si="34"/>
        <v>#N/A</v>
      </c>
      <c r="AV29" s="13" t="e">
        <f t="shared" ca="1" si="34"/>
        <v>#N/A</v>
      </c>
      <c r="AW29" s="14" t="e">
        <f t="shared" ca="1" si="34"/>
        <v>#N/A</v>
      </c>
      <c r="AX29" s="14" t="e">
        <f t="shared" ca="1" si="34"/>
        <v>#N/A</v>
      </c>
      <c r="AY29" s="14" t="e">
        <f t="shared" ca="1" si="34"/>
        <v>#N/A</v>
      </c>
      <c r="AZ29" s="14" t="e">
        <f t="shared" ca="1" si="34"/>
        <v>#N/A</v>
      </c>
      <c r="BA29" s="15" t="e">
        <f t="shared" ca="1" si="34"/>
        <v>#N/A</v>
      </c>
      <c r="BB29" s="16" t="e">
        <f t="shared" ca="1" si="34"/>
        <v>#N/A</v>
      </c>
      <c r="BC29" s="13" t="e">
        <f t="shared" ca="1" si="34"/>
        <v>#N/A</v>
      </c>
      <c r="BD29" s="14" t="e">
        <f t="shared" ca="1" si="34"/>
        <v>#N/A</v>
      </c>
      <c r="BE29" s="14" t="e">
        <f t="shared" ca="1" si="34"/>
        <v>#N/A</v>
      </c>
      <c r="BF29" s="14" t="e">
        <f t="shared" ca="1" si="34"/>
        <v>#N/A</v>
      </c>
      <c r="BG29" s="14" t="e">
        <f t="shared" ca="1" si="34"/>
        <v>#N/A</v>
      </c>
      <c r="BH29" s="15" t="e">
        <f t="shared" ca="1" si="34"/>
        <v>#N/A</v>
      </c>
      <c r="BI29" s="16" t="e">
        <f t="shared" ca="1" si="34"/>
        <v>#N/A</v>
      </c>
      <c r="BJ29" s="13" t="e">
        <f t="shared" ca="1" si="34"/>
        <v>#N/A</v>
      </c>
      <c r="BK29" s="14" t="e">
        <f t="shared" ca="1" si="34"/>
        <v>#N/A</v>
      </c>
      <c r="BL29" s="14" t="e">
        <f t="shared" ca="1" si="34"/>
        <v>#N/A</v>
      </c>
      <c r="BM29" s="14" t="e">
        <f t="shared" ca="1" si="34"/>
        <v>#N/A</v>
      </c>
      <c r="BN29" s="14" t="e">
        <f t="shared" ca="1" si="34"/>
        <v>#N/A</v>
      </c>
      <c r="BO29" s="15" t="e">
        <f t="shared" ca="1" si="34"/>
        <v>#N/A</v>
      </c>
      <c r="BP29" s="16" t="e">
        <f t="shared" ca="1" si="34"/>
        <v>#N/A</v>
      </c>
      <c r="BQ29" s="13" t="e">
        <f t="shared" ca="1" si="34"/>
        <v>#N/A</v>
      </c>
      <c r="BR29" s="14" t="e">
        <f t="shared" ref="BR29:CW29" ca="1" si="35">IF(AND(BR$5&gt;=$E$11,BR$5&lt;=$E$15),1,"")</f>
        <v>#N/A</v>
      </c>
      <c r="BS29" s="14" t="e">
        <f t="shared" ca="1" si="35"/>
        <v>#N/A</v>
      </c>
      <c r="BT29" s="14" t="e">
        <f t="shared" ca="1" si="35"/>
        <v>#N/A</v>
      </c>
      <c r="BU29" s="14" t="e">
        <f t="shared" ca="1" si="35"/>
        <v>#N/A</v>
      </c>
      <c r="BV29" s="15" t="e">
        <f t="shared" ca="1" si="35"/>
        <v>#N/A</v>
      </c>
      <c r="BW29" s="16" t="e">
        <f t="shared" ca="1" si="35"/>
        <v>#N/A</v>
      </c>
      <c r="BX29" s="13" t="e">
        <f t="shared" ca="1" si="35"/>
        <v>#N/A</v>
      </c>
      <c r="BY29" s="14" t="e">
        <f t="shared" ca="1" si="35"/>
        <v>#N/A</v>
      </c>
      <c r="BZ29" s="14" t="e">
        <f t="shared" ca="1" si="35"/>
        <v>#N/A</v>
      </c>
      <c r="CA29" s="14" t="e">
        <f t="shared" ca="1" si="35"/>
        <v>#N/A</v>
      </c>
      <c r="CB29" s="14" t="e">
        <f t="shared" ca="1" si="35"/>
        <v>#N/A</v>
      </c>
      <c r="CC29" s="15" t="e">
        <f t="shared" ca="1" si="35"/>
        <v>#N/A</v>
      </c>
      <c r="CD29" s="16" t="e">
        <f t="shared" ca="1" si="35"/>
        <v>#N/A</v>
      </c>
      <c r="CE29" s="13" t="e">
        <f t="shared" ca="1" si="35"/>
        <v>#N/A</v>
      </c>
      <c r="CF29" s="14" t="e">
        <f t="shared" ca="1" si="35"/>
        <v>#N/A</v>
      </c>
      <c r="CG29" s="14" t="e">
        <f t="shared" ca="1" si="35"/>
        <v>#N/A</v>
      </c>
      <c r="CH29" s="14" t="e">
        <f t="shared" ca="1" si="35"/>
        <v>#N/A</v>
      </c>
      <c r="CI29" s="14" t="e">
        <f t="shared" ca="1" si="35"/>
        <v>#N/A</v>
      </c>
      <c r="CJ29" s="15" t="e">
        <f t="shared" ca="1" si="35"/>
        <v>#N/A</v>
      </c>
      <c r="CK29" s="16" t="e">
        <f t="shared" ca="1" si="35"/>
        <v>#N/A</v>
      </c>
      <c r="CL29" s="13" t="e">
        <f t="shared" ca="1" si="35"/>
        <v>#N/A</v>
      </c>
      <c r="CM29" s="14" t="e">
        <f t="shared" ca="1" si="35"/>
        <v>#N/A</v>
      </c>
      <c r="CN29" s="14" t="e">
        <f t="shared" ca="1" si="35"/>
        <v>#N/A</v>
      </c>
      <c r="CO29" s="14" t="e">
        <f t="shared" ca="1" si="35"/>
        <v>#N/A</v>
      </c>
      <c r="CP29" s="14" t="e">
        <f t="shared" ca="1" si="35"/>
        <v>#N/A</v>
      </c>
      <c r="CQ29" s="15" t="e">
        <f t="shared" ca="1" si="35"/>
        <v>#N/A</v>
      </c>
      <c r="CR29" s="16" t="e">
        <f t="shared" ca="1" si="35"/>
        <v>#N/A</v>
      </c>
      <c r="CS29" s="13" t="e">
        <f t="shared" ca="1" si="35"/>
        <v>#N/A</v>
      </c>
      <c r="CT29" s="14" t="e">
        <f t="shared" ca="1" si="35"/>
        <v>#N/A</v>
      </c>
      <c r="CU29" s="14" t="e">
        <f t="shared" ca="1" si="35"/>
        <v>#N/A</v>
      </c>
      <c r="CV29" s="14" t="e">
        <f t="shared" ca="1" si="35"/>
        <v>#N/A</v>
      </c>
      <c r="CW29" s="14" t="e">
        <f t="shared" ca="1" si="35"/>
        <v>#N/A</v>
      </c>
      <c r="CX29" s="15" t="e">
        <f t="shared" ref="CX29:DT29" ca="1" si="36">IF(AND(CX$5&gt;=$E$11,CX$5&lt;=$E$15),1,"")</f>
        <v>#N/A</v>
      </c>
      <c r="CY29" s="16" t="e">
        <f t="shared" ca="1" si="36"/>
        <v>#N/A</v>
      </c>
      <c r="CZ29" s="13" t="e">
        <f t="shared" ca="1" si="36"/>
        <v>#N/A</v>
      </c>
      <c r="DA29" s="14" t="e">
        <f t="shared" ca="1" si="36"/>
        <v>#N/A</v>
      </c>
      <c r="DB29" s="14" t="e">
        <f t="shared" ca="1" si="36"/>
        <v>#N/A</v>
      </c>
      <c r="DC29" s="14" t="e">
        <f t="shared" ca="1" si="36"/>
        <v>#N/A</v>
      </c>
      <c r="DD29" s="14" t="e">
        <f t="shared" ca="1" si="36"/>
        <v>#N/A</v>
      </c>
      <c r="DE29" s="15" t="e">
        <f t="shared" ca="1" si="36"/>
        <v>#N/A</v>
      </c>
      <c r="DF29" s="16" t="e">
        <f t="shared" ca="1" si="36"/>
        <v>#N/A</v>
      </c>
      <c r="DG29" s="13" t="e">
        <f t="shared" ca="1" si="36"/>
        <v>#N/A</v>
      </c>
      <c r="DH29" s="14" t="e">
        <f t="shared" ca="1" si="36"/>
        <v>#N/A</v>
      </c>
      <c r="DI29" s="14" t="e">
        <f t="shared" ca="1" si="36"/>
        <v>#N/A</v>
      </c>
      <c r="DJ29" s="14" t="e">
        <f t="shared" ca="1" si="36"/>
        <v>#N/A</v>
      </c>
      <c r="DK29" s="14" t="e">
        <f t="shared" ca="1" si="36"/>
        <v>#N/A</v>
      </c>
      <c r="DL29" s="15" t="e">
        <f t="shared" ca="1" si="36"/>
        <v>#N/A</v>
      </c>
      <c r="DM29" s="16" t="e">
        <f t="shared" ca="1" si="36"/>
        <v>#N/A</v>
      </c>
      <c r="DN29" s="13" t="e">
        <f t="shared" ca="1" si="36"/>
        <v>#N/A</v>
      </c>
      <c r="DO29" s="14" t="e">
        <f t="shared" ca="1" si="36"/>
        <v>#N/A</v>
      </c>
      <c r="DP29" s="14" t="e">
        <f t="shared" ca="1" si="36"/>
        <v>#N/A</v>
      </c>
      <c r="DQ29" s="14" t="e">
        <f t="shared" ca="1" si="36"/>
        <v>#N/A</v>
      </c>
      <c r="DR29" s="14" t="e">
        <f t="shared" ca="1" si="36"/>
        <v>#N/A</v>
      </c>
      <c r="DS29" s="15" t="e">
        <f t="shared" ca="1" si="36"/>
        <v>#N/A</v>
      </c>
      <c r="DT29" s="16" t="e">
        <f t="shared" ca="1" si="36"/>
        <v>#N/A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542" t="s">
        <v>58</v>
      </c>
      <c r="B31" s="535"/>
      <c r="C31" s="543" t="e">
        <f ca="1">E17-C16+1</f>
        <v>#N/A</v>
      </c>
      <c r="D31" s="535"/>
      <c r="E31" s="537"/>
      <c r="F31" s="14" t="e">
        <f t="shared" ref="F31:AK31" ca="1" si="37">IF(AND(F$5&gt;=$C$16,F$5&lt;=$E$17),1,"")</f>
        <v>#N/A</v>
      </c>
      <c r="G31" s="14" t="e">
        <f t="shared" ca="1" si="37"/>
        <v>#N/A</v>
      </c>
      <c r="H31" s="14" t="e">
        <f t="shared" ca="1" si="37"/>
        <v>#N/A</v>
      </c>
      <c r="I31" s="14" t="e">
        <f t="shared" ca="1" si="37"/>
        <v>#N/A</v>
      </c>
      <c r="J31" s="14" t="e">
        <f t="shared" ca="1" si="37"/>
        <v>#N/A</v>
      </c>
      <c r="K31" s="15" t="e">
        <f t="shared" ca="1" si="37"/>
        <v>#N/A</v>
      </c>
      <c r="L31" s="16" t="e">
        <f t="shared" ca="1" si="37"/>
        <v>#N/A</v>
      </c>
      <c r="M31" s="13" t="e">
        <f t="shared" ca="1" si="37"/>
        <v>#N/A</v>
      </c>
      <c r="N31" s="14" t="e">
        <f t="shared" ca="1" si="37"/>
        <v>#N/A</v>
      </c>
      <c r="O31" s="14" t="e">
        <f t="shared" ca="1" si="37"/>
        <v>#N/A</v>
      </c>
      <c r="P31" s="14" t="e">
        <f t="shared" ca="1" si="37"/>
        <v>#N/A</v>
      </c>
      <c r="Q31" s="14" t="e">
        <f t="shared" ca="1" si="37"/>
        <v>#N/A</v>
      </c>
      <c r="R31" s="15" t="e">
        <f t="shared" ca="1" si="37"/>
        <v>#N/A</v>
      </c>
      <c r="S31" s="16" t="e">
        <f t="shared" ca="1" si="37"/>
        <v>#N/A</v>
      </c>
      <c r="T31" s="13" t="e">
        <f t="shared" ca="1" si="37"/>
        <v>#N/A</v>
      </c>
      <c r="U31" s="14" t="e">
        <f t="shared" ca="1" si="37"/>
        <v>#N/A</v>
      </c>
      <c r="V31" s="14" t="e">
        <f t="shared" ca="1" si="37"/>
        <v>#N/A</v>
      </c>
      <c r="W31" s="14" t="e">
        <f t="shared" ca="1" si="37"/>
        <v>#N/A</v>
      </c>
      <c r="X31" s="14" t="e">
        <f t="shared" ca="1" si="37"/>
        <v>#N/A</v>
      </c>
      <c r="Y31" s="15" t="e">
        <f t="shared" ca="1" si="37"/>
        <v>#N/A</v>
      </c>
      <c r="Z31" s="16" t="e">
        <f t="shared" ca="1" si="37"/>
        <v>#N/A</v>
      </c>
      <c r="AA31" s="13" t="e">
        <f t="shared" ca="1" si="37"/>
        <v>#N/A</v>
      </c>
      <c r="AB31" s="14" t="e">
        <f t="shared" ca="1" si="37"/>
        <v>#N/A</v>
      </c>
      <c r="AC31" s="14" t="e">
        <f t="shared" ca="1" si="37"/>
        <v>#N/A</v>
      </c>
      <c r="AD31" s="14" t="e">
        <f t="shared" ca="1" si="37"/>
        <v>#N/A</v>
      </c>
      <c r="AE31" s="14" t="e">
        <f t="shared" ca="1" si="37"/>
        <v>#N/A</v>
      </c>
      <c r="AF31" s="15" t="e">
        <f t="shared" ca="1" si="37"/>
        <v>#N/A</v>
      </c>
      <c r="AG31" s="16" t="e">
        <f t="shared" ca="1" si="37"/>
        <v>#N/A</v>
      </c>
      <c r="AH31" s="13" t="e">
        <f t="shared" ca="1" si="37"/>
        <v>#N/A</v>
      </c>
      <c r="AI31" s="14" t="e">
        <f t="shared" ca="1" si="37"/>
        <v>#N/A</v>
      </c>
      <c r="AJ31" s="14" t="e">
        <f t="shared" ca="1" si="37"/>
        <v>#N/A</v>
      </c>
      <c r="AK31" s="14" t="e">
        <f t="shared" ca="1" si="37"/>
        <v>#N/A</v>
      </c>
      <c r="AL31" s="14" t="e">
        <f t="shared" ref="AL31:BQ31" ca="1" si="38">IF(AND(AL$5&gt;=$C$16,AL$5&lt;=$E$17),1,"")</f>
        <v>#N/A</v>
      </c>
      <c r="AM31" s="15" t="e">
        <f t="shared" ca="1" si="38"/>
        <v>#N/A</v>
      </c>
      <c r="AN31" s="16" t="e">
        <f t="shared" ca="1" si="38"/>
        <v>#N/A</v>
      </c>
      <c r="AO31" s="13" t="e">
        <f t="shared" ca="1" si="38"/>
        <v>#N/A</v>
      </c>
      <c r="AP31" s="14" t="e">
        <f t="shared" ca="1" si="38"/>
        <v>#N/A</v>
      </c>
      <c r="AQ31" s="14" t="e">
        <f t="shared" ca="1" si="38"/>
        <v>#N/A</v>
      </c>
      <c r="AR31" s="14" t="e">
        <f t="shared" ca="1" si="38"/>
        <v>#N/A</v>
      </c>
      <c r="AS31" s="14" t="e">
        <f t="shared" ca="1" si="38"/>
        <v>#N/A</v>
      </c>
      <c r="AT31" s="15" t="e">
        <f t="shared" ca="1" si="38"/>
        <v>#N/A</v>
      </c>
      <c r="AU31" s="16" t="e">
        <f t="shared" ca="1" si="38"/>
        <v>#N/A</v>
      </c>
      <c r="AV31" s="13" t="e">
        <f t="shared" ca="1" si="38"/>
        <v>#N/A</v>
      </c>
      <c r="AW31" s="14" t="e">
        <f t="shared" ca="1" si="38"/>
        <v>#N/A</v>
      </c>
      <c r="AX31" s="14" t="e">
        <f t="shared" ca="1" si="38"/>
        <v>#N/A</v>
      </c>
      <c r="AY31" s="14" t="e">
        <f t="shared" ca="1" si="38"/>
        <v>#N/A</v>
      </c>
      <c r="AZ31" s="14" t="e">
        <f t="shared" ca="1" si="38"/>
        <v>#N/A</v>
      </c>
      <c r="BA31" s="15" t="e">
        <f t="shared" ca="1" si="38"/>
        <v>#N/A</v>
      </c>
      <c r="BB31" s="16" t="e">
        <f t="shared" ca="1" si="38"/>
        <v>#N/A</v>
      </c>
      <c r="BC31" s="13" t="e">
        <f t="shared" ca="1" si="38"/>
        <v>#N/A</v>
      </c>
      <c r="BD31" s="14" t="e">
        <f t="shared" ca="1" si="38"/>
        <v>#N/A</v>
      </c>
      <c r="BE31" s="14" t="e">
        <f t="shared" ca="1" si="38"/>
        <v>#N/A</v>
      </c>
      <c r="BF31" s="14" t="e">
        <f t="shared" ca="1" si="38"/>
        <v>#N/A</v>
      </c>
      <c r="BG31" s="14" t="e">
        <f t="shared" ca="1" si="38"/>
        <v>#N/A</v>
      </c>
      <c r="BH31" s="15" t="e">
        <f t="shared" ca="1" si="38"/>
        <v>#N/A</v>
      </c>
      <c r="BI31" s="16" t="e">
        <f t="shared" ca="1" si="38"/>
        <v>#N/A</v>
      </c>
      <c r="BJ31" s="13" t="e">
        <f t="shared" ca="1" si="38"/>
        <v>#N/A</v>
      </c>
      <c r="BK31" s="14" t="e">
        <f t="shared" ca="1" si="38"/>
        <v>#N/A</v>
      </c>
      <c r="BL31" s="14" t="e">
        <f t="shared" ca="1" si="38"/>
        <v>#N/A</v>
      </c>
      <c r="BM31" s="14" t="e">
        <f t="shared" ca="1" si="38"/>
        <v>#N/A</v>
      </c>
      <c r="BN31" s="14" t="e">
        <f t="shared" ca="1" si="38"/>
        <v>#N/A</v>
      </c>
      <c r="BO31" s="15" t="e">
        <f t="shared" ca="1" si="38"/>
        <v>#N/A</v>
      </c>
      <c r="BP31" s="16" t="e">
        <f t="shared" ca="1" si="38"/>
        <v>#N/A</v>
      </c>
      <c r="BQ31" s="13" t="e">
        <f t="shared" ca="1" si="38"/>
        <v>#N/A</v>
      </c>
      <c r="BR31" s="14" t="e">
        <f t="shared" ref="BR31:CW31" ca="1" si="39">IF(AND(BR$5&gt;=$C$16,BR$5&lt;=$E$17),1,"")</f>
        <v>#N/A</v>
      </c>
      <c r="BS31" s="14" t="e">
        <f t="shared" ca="1" si="39"/>
        <v>#N/A</v>
      </c>
      <c r="BT31" s="14" t="e">
        <f t="shared" ca="1" si="39"/>
        <v>#N/A</v>
      </c>
      <c r="BU31" s="14" t="e">
        <f t="shared" ca="1" si="39"/>
        <v>#N/A</v>
      </c>
      <c r="BV31" s="15" t="e">
        <f t="shared" ca="1" si="39"/>
        <v>#N/A</v>
      </c>
      <c r="BW31" s="16" t="e">
        <f t="shared" ca="1" si="39"/>
        <v>#N/A</v>
      </c>
      <c r="BX31" s="13" t="e">
        <f t="shared" ca="1" si="39"/>
        <v>#N/A</v>
      </c>
      <c r="BY31" s="14" t="e">
        <f t="shared" ca="1" si="39"/>
        <v>#N/A</v>
      </c>
      <c r="BZ31" s="14" t="e">
        <f t="shared" ca="1" si="39"/>
        <v>#N/A</v>
      </c>
      <c r="CA31" s="14" t="e">
        <f t="shared" ca="1" si="39"/>
        <v>#N/A</v>
      </c>
      <c r="CB31" s="14" t="e">
        <f t="shared" ca="1" si="39"/>
        <v>#N/A</v>
      </c>
      <c r="CC31" s="15" t="e">
        <f t="shared" ca="1" si="39"/>
        <v>#N/A</v>
      </c>
      <c r="CD31" s="16" t="e">
        <f t="shared" ca="1" si="39"/>
        <v>#N/A</v>
      </c>
      <c r="CE31" s="13" t="e">
        <f t="shared" ca="1" si="39"/>
        <v>#N/A</v>
      </c>
      <c r="CF31" s="14" t="e">
        <f t="shared" ca="1" si="39"/>
        <v>#N/A</v>
      </c>
      <c r="CG31" s="14" t="e">
        <f t="shared" ca="1" si="39"/>
        <v>#N/A</v>
      </c>
      <c r="CH31" s="14" t="e">
        <f t="shared" ca="1" si="39"/>
        <v>#N/A</v>
      </c>
      <c r="CI31" s="14" t="e">
        <f t="shared" ca="1" si="39"/>
        <v>#N/A</v>
      </c>
      <c r="CJ31" s="15" t="e">
        <f t="shared" ca="1" si="39"/>
        <v>#N/A</v>
      </c>
      <c r="CK31" s="16" t="e">
        <f t="shared" ca="1" si="39"/>
        <v>#N/A</v>
      </c>
      <c r="CL31" s="13" t="e">
        <f t="shared" ca="1" si="39"/>
        <v>#N/A</v>
      </c>
      <c r="CM31" s="14" t="e">
        <f t="shared" ca="1" si="39"/>
        <v>#N/A</v>
      </c>
      <c r="CN31" s="14" t="e">
        <f t="shared" ca="1" si="39"/>
        <v>#N/A</v>
      </c>
      <c r="CO31" s="14" t="e">
        <f t="shared" ca="1" si="39"/>
        <v>#N/A</v>
      </c>
      <c r="CP31" s="14" t="e">
        <f t="shared" ca="1" si="39"/>
        <v>#N/A</v>
      </c>
      <c r="CQ31" s="15" t="e">
        <f t="shared" ca="1" si="39"/>
        <v>#N/A</v>
      </c>
      <c r="CR31" s="16" t="e">
        <f t="shared" ca="1" si="39"/>
        <v>#N/A</v>
      </c>
      <c r="CS31" s="13" t="e">
        <f t="shared" ca="1" si="39"/>
        <v>#N/A</v>
      </c>
      <c r="CT31" s="14" t="e">
        <f t="shared" ca="1" si="39"/>
        <v>#N/A</v>
      </c>
      <c r="CU31" s="14" t="e">
        <f t="shared" ca="1" si="39"/>
        <v>#N/A</v>
      </c>
      <c r="CV31" s="14" t="e">
        <f t="shared" ca="1" si="39"/>
        <v>#N/A</v>
      </c>
      <c r="CW31" s="14" t="e">
        <f t="shared" ca="1" si="39"/>
        <v>#N/A</v>
      </c>
      <c r="CX31" s="15" t="e">
        <f t="shared" ref="CX31:DT31" ca="1" si="40">IF(AND(CX$5&gt;=$C$16,CX$5&lt;=$E$17),1,"")</f>
        <v>#N/A</v>
      </c>
      <c r="CY31" s="16" t="e">
        <f t="shared" ca="1" si="40"/>
        <v>#N/A</v>
      </c>
      <c r="CZ31" s="13" t="e">
        <f t="shared" ca="1" si="40"/>
        <v>#N/A</v>
      </c>
      <c r="DA31" s="14" t="e">
        <f t="shared" ca="1" si="40"/>
        <v>#N/A</v>
      </c>
      <c r="DB31" s="14" t="e">
        <f t="shared" ca="1" si="40"/>
        <v>#N/A</v>
      </c>
      <c r="DC31" s="14" t="e">
        <f t="shared" ca="1" si="40"/>
        <v>#N/A</v>
      </c>
      <c r="DD31" s="14" t="e">
        <f t="shared" ca="1" si="40"/>
        <v>#N/A</v>
      </c>
      <c r="DE31" s="15" t="e">
        <f t="shared" ca="1" si="40"/>
        <v>#N/A</v>
      </c>
      <c r="DF31" s="16" t="e">
        <f t="shared" ca="1" si="40"/>
        <v>#N/A</v>
      </c>
      <c r="DG31" s="13" t="e">
        <f t="shared" ca="1" si="40"/>
        <v>#N/A</v>
      </c>
      <c r="DH31" s="14" t="e">
        <f t="shared" ca="1" si="40"/>
        <v>#N/A</v>
      </c>
      <c r="DI31" s="14" t="e">
        <f t="shared" ca="1" si="40"/>
        <v>#N/A</v>
      </c>
      <c r="DJ31" s="14" t="e">
        <f t="shared" ca="1" si="40"/>
        <v>#N/A</v>
      </c>
      <c r="DK31" s="14" t="e">
        <f t="shared" ca="1" si="40"/>
        <v>#N/A</v>
      </c>
      <c r="DL31" s="15" t="e">
        <f t="shared" ca="1" si="40"/>
        <v>#N/A</v>
      </c>
      <c r="DM31" s="16" t="e">
        <f t="shared" ca="1" si="40"/>
        <v>#N/A</v>
      </c>
      <c r="DN31" s="13" t="e">
        <f t="shared" ca="1" si="40"/>
        <v>#N/A</v>
      </c>
      <c r="DO31" s="14" t="e">
        <f t="shared" ca="1" si="40"/>
        <v>#N/A</v>
      </c>
      <c r="DP31" s="14" t="e">
        <f t="shared" ca="1" si="40"/>
        <v>#N/A</v>
      </c>
      <c r="DQ31" s="14" t="e">
        <f t="shared" ca="1" si="40"/>
        <v>#N/A</v>
      </c>
      <c r="DR31" s="14" t="e">
        <f t="shared" ca="1" si="40"/>
        <v>#N/A</v>
      </c>
      <c r="DS31" s="15" t="e">
        <f t="shared" ca="1" si="40"/>
        <v>#N/A</v>
      </c>
      <c r="DT31" s="16" t="e">
        <f t="shared" ca="1" si="40"/>
        <v>#N/A</v>
      </c>
    </row>
    <row r="32" spans="1:124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544" t="s">
        <v>59</v>
      </c>
      <c r="B33" s="535"/>
      <c r="C33" s="545" t="e">
        <f ca="1">E23-C11+1</f>
        <v>#N/A</v>
      </c>
      <c r="D33" s="535"/>
      <c r="E33" s="537"/>
      <c r="F33" s="14" t="e">
        <f t="shared" ref="F33:AK33" ca="1" si="41">IF(AND(F$5&gt;=$C$11,F$5&lt;=$E$23),1,"")</f>
        <v>#N/A</v>
      </c>
      <c r="G33" s="14" t="e">
        <f t="shared" ca="1" si="41"/>
        <v>#N/A</v>
      </c>
      <c r="H33" s="14" t="e">
        <f t="shared" ca="1" si="41"/>
        <v>#N/A</v>
      </c>
      <c r="I33" s="14" t="e">
        <f t="shared" ca="1" si="41"/>
        <v>#N/A</v>
      </c>
      <c r="J33" s="14" t="e">
        <f t="shared" ca="1" si="41"/>
        <v>#N/A</v>
      </c>
      <c r="K33" s="15" t="e">
        <f t="shared" ca="1" si="41"/>
        <v>#N/A</v>
      </c>
      <c r="L33" s="16" t="e">
        <f t="shared" ca="1" si="41"/>
        <v>#N/A</v>
      </c>
      <c r="M33" s="13" t="e">
        <f t="shared" ca="1" si="41"/>
        <v>#N/A</v>
      </c>
      <c r="N33" s="14" t="e">
        <f t="shared" ca="1" si="41"/>
        <v>#N/A</v>
      </c>
      <c r="O33" s="14" t="e">
        <f t="shared" ca="1" si="41"/>
        <v>#N/A</v>
      </c>
      <c r="P33" s="14" t="e">
        <f t="shared" ca="1" si="41"/>
        <v>#N/A</v>
      </c>
      <c r="Q33" s="14" t="e">
        <f t="shared" ca="1" si="41"/>
        <v>#N/A</v>
      </c>
      <c r="R33" s="15" t="e">
        <f t="shared" ca="1" si="41"/>
        <v>#N/A</v>
      </c>
      <c r="S33" s="16" t="e">
        <f t="shared" ca="1" si="41"/>
        <v>#N/A</v>
      </c>
      <c r="T33" s="13" t="e">
        <f t="shared" ca="1" si="41"/>
        <v>#N/A</v>
      </c>
      <c r="U33" s="14" t="e">
        <f t="shared" ca="1" si="41"/>
        <v>#N/A</v>
      </c>
      <c r="V33" s="14" t="e">
        <f t="shared" ca="1" si="41"/>
        <v>#N/A</v>
      </c>
      <c r="W33" s="14" t="e">
        <f t="shared" ca="1" si="41"/>
        <v>#N/A</v>
      </c>
      <c r="X33" s="14" t="e">
        <f t="shared" ca="1" si="41"/>
        <v>#N/A</v>
      </c>
      <c r="Y33" s="15" t="e">
        <f t="shared" ca="1" si="41"/>
        <v>#N/A</v>
      </c>
      <c r="Z33" s="16" t="e">
        <f t="shared" ca="1" si="41"/>
        <v>#N/A</v>
      </c>
      <c r="AA33" s="13" t="e">
        <f t="shared" ca="1" si="41"/>
        <v>#N/A</v>
      </c>
      <c r="AB33" s="14" t="e">
        <f t="shared" ca="1" si="41"/>
        <v>#N/A</v>
      </c>
      <c r="AC33" s="14" t="e">
        <f t="shared" ca="1" si="41"/>
        <v>#N/A</v>
      </c>
      <c r="AD33" s="14" t="e">
        <f t="shared" ca="1" si="41"/>
        <v>#N/A</v>
      </c>
      <c r="AE33" s="14" t="e">
        <f t="shared" ca="1" si="41"/>
        <v>#N/A</v>
      </c>
      <c r="AF33" s="15" t="e">
        <f t="shared" ca="1" si="41"/>
        <v>#N/A</v>
      </c>
      <c r="AG33" s="16" t="e">
        <f t="shared" ca="1" si="41"/>
        <v>#N/A</v>
      </c>
      <c r="AH33" s="13" t="e">
        <f t="shared" ca="1" si="41"/>
        <v>#N/A</v>
      </c>
      <c r="AI33" s="14" t="e">
        <f t="shared" ca="1" si="41"/>
        <v>#N/A</v>
      </c>
      <c r="AJ33" s="14" t="e">
        <f t="shared" ca="1" si="41"/>
        <v>#N/A</v>
      </c>
      <c r="AK33" s="14" t="e">
        <f t="shared" ca="1" si="41"/>
        <v>#N/A</v>
      </c>
      <c r="AL33" s="14" t="e">
        <f t="shared" ref="AL33:BQ33" ca="1" si="42">IF(AND(AL$5&gt;=$C$11,AL$5&lt;=$E$23),1,"")</f>
        <v>#N/A</v>
      </c>
      <c r="AM33" s="15" t="e">
        <f t="shared" ca="1" si="42"/>
        <v>#N/A</v>
      </c>
      <c r="AN33" s="16" t="e">
        <f t="shared" ca="1" si="42"/>
        <v>#N/A</v>
      </c>
      <c r="AO33" s="13" t="e">
        <f t="shared" ca="1" si="42"/>
        <v>#N/A</v>
      </c>
      <c r="AP33" s="14" t="e">
        <f t="shared" ca="1" si="42"/>
        <v>#N/A</v>
      </c>
      <c r="AQ33" s="14" t="e">
        <f t="shared" ca="1" si="42"/>
        <v>#N/A</v>
      </c>
      <c r="AR33" s="14" t="e">
        <f t="shared" ca="1" si="42"/>
        <v>#N/A</v>
      </c>
      <c r="AS33" s="14" t="e">
        <f t="shared" ca="1" si="42"/>
        <v>#N/A</v>
      </c>
      <c r="AT33" s="15" t="e">
        <f t="shared" ca="1" si="42"/>
        <v>#N/A</v>
      </c>
      <c r="AU33" s="16" t="e">
        <f t="shared" ca="1" si="42"/>
        <v>#N/A</v>
      </c>
      <c r="AV33" s="13" t="e">
        <f t="shared" ca="1" si="42"/>
        <v>#N/A</v>
      </c>
      <c r="AW33" s="14" t="e">
        <f t="shared" ca="1" si="42"/>
        <v>#N/A</v>
      </c>
      <c r="AX33" s="14" t="e">
        <f t="shared" ca="1" si="42"/>
        <v>#N/A</v>
      </c>
      <c r="AY33" s="14" t="e">
        <f t="shared" ca="1" si="42"/>
        <v>#N/A</v>
      </c>
      <c r="AZ33" s="14" t="e">
        <f t="shared" ca="1" si="42"/>
        <v>#N/A</v>
      </c>
      <c r="BA33" s="15" t="e">
        <f t="shared" ca="1" si="42"/>
        <v>#N/A</v>
      </c>
      <c r="BB33" s="16" t="e">
        <f t="shared" ca="1" si="42"/>
        <v>#N/A</v>
      </c>
      <c r="BC33" s="13" t="e">
        <f t="shared" ca="1" si="42"/>
        <v>#N/A</v>
      </c>
      <c r="BD33" s="14" t="e">
        <f t="shared" ca="1" si="42"/>
        <v>#N/A</v>
      </c>
      <c r="BE33" s="14" t="e">
        <f t="shared" ca="1" si="42"/>
        <v>#N/A</v>
      </c>
      <c r="BF33" s="14" t="e">
        <f t="shared" ca="1" si="42"/>
        <v>#N/A</v>
      </c>
      <c r="BG33" s="14" t="e">
        <f t="shared" ca="1" si="42"/>
        <v>#N/A</v>
      </c>
      <c r="BH33" s="15" t="e">
        <f t="shared" ca="1" si="42"/>
        <v>#N/A</v>
      </c>
      <c r="BI33" s="16" t="e">
        <f t="shared" ca="1" si="42"/>
        <v>#N/A</v>
      </c>
      <c r="BJ33" s="13" t="e">
        <f t="shared" ca="1" si="42"/>
        <v>#N/A</v>
      </c>
      <c r="BK33" s="14" t="e">
        <f t="shared" ca="1" si="42"/>
        <v>#N/A</v>
      </c>
      <c r="BL33" s="14" t="e">
        <f t="shared" ca="1" si="42"/>
        <v>#N/A</v>
      </c>
      <c r="BM33" s="14" t="e">
        <f t="shared" ca="1" si="42"/>
        <v>#N/A</v>
      </c>
      <c r="BN33" s="14" t="e">
        <f t="shared" ca="1" si="42"/>
        <v>#N/A</v>
      </c>
      <c r="BO33" s="15" t="e">
        <f t="shared" ca="1" si="42"/>
        <v>#N/A</v>
      </c>
      <c r="BP33" s="16" t="e">
        <f t="shared" ca="1" si="42"/>
        <v>#N/A</v>
      </c>
      <c r="BQ33" s="13" t="e">
        <f t="shared" ca="1" si="42"/>
        <v>#N/A</v>
      </c>
      <c r="BR33" s="14" t="e">
        <f t="shared" ref="BR33:CW33" ca="1" si="43">IF(AND(BR$5&gt;=$C$11,BR$5&lt;=$E$23),1,"")</f>
        <v>#N/A</v>
      </c>
      <c r="BS33" s="14" t="e">
        <f t="shared" ca="1" si="43"/>
        <v>#N/A</v>
      </c>
      <c r="BT33" s="14" t="e">
        <f t="shared" ca="1" si="43"/>
        <v>#N/A</v>
      </c>
      <c r="BU33" s="14" t="e">
        <f t="shared" ca="1" si="43"/>
        <v>#N/A</v>
      </c>
      <c r="BV33" s="15" t="e">
        <f t="shared" ca="1" si="43"/>
        <v>#N/A</v>
      </c>
      <c r="BW33" s="16" t="e">
        <f t="shared" ca="1" si="43"/>
        <v>#N/A</v>
      </c>
      <c r="BX33" s="13" t="e">
        <f t="shared" ca="1" si="43"/>
        <v>#N/A</v>
      </c>
      <c r="BY33" s="14" t="e">
        <f t="shared" ca="1" si="43"/>
        <v>#N/A</v>
      </c>
      <c r="BZ33" s="14" t="e">
        <f t="shared" ca="1" si="43"/>
        <v>#N/A</v>
      </c>
      <c r="CA33" s="14" t="e">
        <f t="shared" ca="1" si="43"/>
        <v>#N/A</v>
      </c>
      <c r="CB33" s="14" t="e">
        <f t="shared" ca="1" si="43"/>
        <v>#N/A</v>
      </c>
      <c r="CC33" s="15" t="e">
        <f t="shared" ca="1" si="43"/>
        <v>#N/A</v>
      </c>
      <c r="CD33" s="16" t="e">
        <f t="shared" ca="1" si="43"/>
        <v>#N/A</v>
      </c>
      <c r="CE33" s="13" t="e">
        <f t="shared" ca="1" si="43"/>
        <v>#N/A</v>
      </c>
      <c r="CF33" s="14" t="e">
        <f t="shared" ca="1" si="43"/>
        <v>#N/A</v>
      </c>
      <c r="CG33" s="14" t="e">
        <f t="shared" ca="1" si="43"/>
        <v>#N/A</v>
      </c>
      <c r="CH33" s="14" t="e">
        <f t="shared" ca="1" si="43"/>
        <v>#N/A</v>
      </c>
      <c r="CI33" s="14" t="e">
        <f t="shared" ca="1" si="43"/>
        <v>#N/A</v>
      </c>
      <c r="CJ33" s="15" t="e">
        <f t="shared" ca="1" si="43"/>
        <v>#N/A</v>
      </c>
      <c r="CK33" s="16" t="e">
        <f t="shared" ca="1" si="43"/>
        <v>#N/A</v>
      </c>
      <c r="CL33" s="13" t="e">
        <f t="shared" ca="1" si="43"/>
        <v>#N/A</v>
      </c>
      <c r="CM33" s="14" t="e">
        <f t="shared" ca="1" si="43"/>
        <v>#N/A</v>
      </c>
      <c r="CN33" s="14" t="e">
        <f t="shared" ca="1" si="43"/>
        <v>#N/A</v>
      </c>
      <c r="CO33" s="14" t="e">
        <f t="shared" ca="1" si="43"/>
        <v>#N/A</v>
      </c>
      <c r="CP33" s="14" t="e">
        <f t="shared" ca="1" si="43"/>
        <v>#N/A</v>
      </c>
      <c r="CQ33" s="15" t="e">
        <f t="shared" ca="1" si="43"/>
        <v>#N/A</v>
      </c>
      <c r="CR33" s="16" t="e">
        <f t="shared" ca="1" si="43"/>
        <v>#N/A</v>
      </c>
      <c r="CS33" s="13" t="e">
        <f t="shared" ca="1" si="43"/>
        <v>#N/A</v>
      </c>
      <c r="CT33" s="14" t="e">
        <f t="shared" ca="1" si="43"/>
        <v>#N/A</v>
      </c>
      <c r="CU33" s="14" t="e">
        <f t="shared" ca="1" si="43"/>
        <v>#N/A</v>
      </c>
      <c r="CV33" s="14" t="e">
        <f t="shared" ca="1" si="43"/>
        <v>#N/A</v>
      </c>
      <c r="CW33" s="14" t="e">
        <f t="shared" ca="1" si="43"/>
        <v>#N/A</v>
      </c>
      <c r="CX33" s="15" t="e">
        <f t="shared" ref="CX33:DT33" ca="1" si="44">IF(AND(CX$5&gt;=$C$11,CX$5&lt;=$E$23),1,"")</f>
        <v>#N/A</v>
      </c>
      <c r="CY33" s="16" t="e">
        <f t="shared" ca="1" si="44"/>
        <v>#N/A</v>
      </c>
      <c r="CZ33" s="13" t="e">
        <f t="shared" ca="1" si="44"/>
        <v>#N/A</v>
      </c>
      <c r="DA33" s="14" t="e">
        <f t="shared" ca="1" si="44"/>
        <v>#N/A</v>
      </c>
      <c r="DB33" s="14" t="e">
        <f t="shared" ca="1" si="44"/>
        <v>#N/A</v>
      </c>
      <c r="DC33" s="14" t="e">
        <f t="shared" ca="1" si="44"/>
        <v>#N/A</v>
      </c>
      <c r="DD33" s="14" t="e">
        <f t="shared" ca="1" si="44"/>
        <v>#N/A</v>
      </c>
      <c r="DE33" s="15" t="e">
        <f t="shared" ca="1" si="44"/>
        <v>#N/A</v>
      </c>
      <c r="DF33" s="16" t="e">
        <f t="shared" ca="1" si="44"/>
        <v>#N/A</v>
      </c>
      <c r="DG33" s="13" t="e">
        <f t="shared" ca="1" si="44"/>
        <v>#N/A</v>
      </c>
      <c r="DH33" s="14" t="e">
        <f t="shared" ca="1" si="44"/>
        <v>#N/A</v>
      </c>
      <c r="DI33" s="14" t="e">
        <f t="shared" ca="1" si="44"/>
        <v>#N/A</v>
      </c>
      <c r="DJ33" s="14" t="e">
        <f t="shared" ca="1" si="44"/>
        <v>#N/A</v>
      </c>
      <c r="DK33" s="14" t="e">
        <f t="shared" ca="1" si="44"/>
        <v>#N/A</v>
      </c>
      <c r="DL33" s="15" t="e">
        <f t="shared" ca="1" si="44"/>
        <v>#N/A</v>
      </c>
      <c r="DM33" s="16" t="e">
        <f t="shared" ca="1" si="44"/>
        <v>#N/A</v>
      </c>
      <c r="DN33" s="13" t="e">
        <f t="shared" ca="1" si="44"/>
        <v>#N/A</v>
      </c>
      <c r="DO33" s="14" t="e">
        <f t="shared" ca="1" si="44"/>
        <v>#N/A</v>
      </c>
      <c r="DP33" s="14" t="e">
        <f t="shared" ca="1" si="44"/>
        <v>#N/A</v>
      </c>
      <c r="DQ33" s="14" t="e">
        <f t="shared" ca="1" si="44"/>
        <v>#N/A</v>
      </c>
      <c r="DR33" s="14" t="e">
        <f t="shared" ca="1" si="44"/>
        <v>#N/A</v>
      </c>
      <c r="DS33" s="15" t="e">
        <f t="shared" ca="1" si="44"/>
        <v>#N/A</v>
      </c>
      <c r="DT33" s="16" t="e">
        <f t="shared" ca="1" si="44"/>
        <v>#N/A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34" t="s">
        <v>60</v>
      </c>
      <c r="B35" s="535"/>
      <c r="C35" s="536" t="e">
        <f ca="1">E23-C8+1</f>
        <v>#N/A</v>
      </c>
      <c r="D35" s="535"/>
      <c r="E35" s="537"/>
      <c r="F35" s="14" t="e">
        <f t="shared" ref="F35:AK35" ca="1" si="45">IF(AND(F$5&gt;=$C$8,F$5&lt;=$E$23),1,"")</f>
        <v>#N/A</v>
      </c>
      <c r="G35" s="14" t="e">
        <f t="shared" ca="1" si="45"/>
        <v>#N/A</v>
      </c>
      <c r="H35" s="14" t="e">
        <f t="shared" ca="1" si="45"/>
        <v>#N/A</v>
      </c>
      <c r="I35" s="14" t="e">
        <f t="shared" ca="1" si="45"/>
        <v>#N/A</v>
      </c>
      <c r="J35" s="14" t="e">
        <f t="shared" ca="1" si="45"/>
        <v>#N/A</v>
      </c>
      <c r="K35" s="15" t="e">
        <f t="shared" ca="1" si="45"/>
        <v>#N/A</v>
      </c>
      <c r="L35" s="16" t="e">
        <f t="shared" ca="1" si="45"/>
        <v>#N/A</v>
      </c>
      <c r="M35" s="13" t="e">
        <f t="shared" ca="1" si="45"/>
        <v>#N/A</v>
      </c>
      <c r="N35" s="14" t="e">
        <f t="shared" ca="1" si="45"/>
        <v>#N/A</v>
      </c>
      <c r="O35" s="14" t="e">
        <f t="shared" ca="1" si="45"/>
        <v>#N/A</v>
      </c>
      <c r="P35" s="14" t="e">
        <f t="shared" ca="1" si="45"/>
        <v>#N/A</v>
      </c>
      <c r="Q35" s="14" t="e">
        <f t="shared" ca="1" si="45"/>
        <v>#N/A</v>
      </c>
      <c r="R35" s="15" t="e">
        <f t="shared" ca="1" si="45"/>
        <v>#N/A</v>
      </c>
      <c r="S35" s="16" t="e">
        <f t="shared" ca="1" si="45"/>
        <v>#N/A</v>
      </c>
      <c r="T35" s="13" t="e">
        <f t="shared" ca="1" si="45"/>
        <v>#N/A</v>
      </c>
      <c r="U35" s="14" t="e">
        <f t="shared" ca="1" si="45"/>
        <v>#N/A</v>
      </c>
      <c r="V35" s="14" t="e">
        <f t="shared" ca="1" si="45"/>
        <v>#N/A</v>
      </c>
      <c r="W35" s="14" t="e">
        <f t="shared" ca="1" si="45"/>
        <v>#N/A</v>
      </c>
      <c r="X35" s="14" t="e">
        <f t="shared" ca="1" si="45"/>
        <v>#N/A</v>
      </c>
      <c r="Y35" s="15" t="e">
        <f t="shared" ca="1" si="45"/>
        <v>#N/A</v>
      </c>
      <c r="Z35" s="16" t="e">
        <f t="shared" ca="1" si="45"/>
        <v>#N/A</v>
      </c>
      <c r="AA35" s="13" t="e">
        <f t="shared" ca="1" si="45"/>
        <v>#N/A</v>
      </c>
      <c r="AB35" s="14" t="e">
        <f t="shared" ca="1" si="45"/>
        <v>#N/A</v>
      </c>
      <c r="AC35" s="14" t="e">
        <f t="shared" ca="1" si="45"/>
        <v>#N/A</v>
      </c>
      <c r="AD35" s="14" t="e">
        <f t="shared" ca="1" si="45"/>
        <v>#N/A</v>
      </c>
      <c r="AE35" s="14" t="e">
        <f t="shared" ca="1" si="45"/>
        <v>#N/A</v>
      </c>
      <c r="AF35" s="15" t="e">
        <f t="shared" ca="1" si="45"/>
        <v>#N/A</v>
      </c>
      <c r="AG35" s="16" t="e">
        <f t="shared" ca="1" si="45"/>
        <v>#N/A</v>
      </c>
      <c r="AH35" s="13" t="e">
        <f t="shared" ca="1" si="45"/>
        <v>#N/A</v>
      </c>
      <c r="AI35" s="14" t="e">
        <f t="shared" ca="1" si="45"/>
        <v>#N/A</v>
      </c>
      <c r="AJ35" s="14" t="e">
        <f t="shared" ca="1" si="45"/>
        <v>#N/A</v>
      </c>
      <c r="AK35" s="14" t="e">
        <f t="shared" ca="1" si="45"/>
        <v>#N/A</v>
      </c>
      <c r="AL35" s="14" t="e">
        <f t="shared" ref="AL35:BQ35" ca="1" si="46">IF(AND(AL$5&gt;=$C$8,AL$5&lt;=$E$23),1,"")</f>
        <v>#N/A</v>
      </c>
      <c r="AM35" s="15" t="e">
        <f t="shared" ca="1" si="46"/>
        <v>#N/A</v>
      </c>
      <c r="AN35" s="16" t="e">
        <f t="shared" ca="1" si="46"/>
        <v>#N/A</v>
      </c>
      <c r="AO35" s="13" t="e">
        <f t="shared" ca="1" si="46"/>
        <v>#N/A</v>
      </c>
      <c r="AP35" s="14" t="e">
        <f t="shared" ca="1" si="46"/>
        <v>#N/A</v>
      </c>
      <c r="AQ35" s="14" t="e">
        <f t="shared" ca="1" si="46"/>
        <v>#N/A</v>
      </c>
      <c r="AR35" s="14" t="e">
        <f t="shared" ca="1" si="46"/>
        <v>#N/A</v>
      </c>
      <c r="AS35" s="14" t="e">
        <f t="shared" ca="1" si="46"/>
        <v>#N/A</v>
      </c>
      <c r="AT35" s="15" t="e">
        <f t="shared" ca="1" si="46"/>
        <v>#N/A</v>
      </c>
      <c r="AU35" s="16" t="e">
        <f t="shared" ca="1" si="46"/>
        <v>#N/A</v>
      </c>
      <c r="AV35" s="13" t="e">
        <f t="shared" ca="1" si="46"/>
        <v>#N/A</v>
      </c>
      <c r="AW35" s="14" t="e">
        <f t="shared" ca="1" si="46"/>
        <v>#N/A</v>
      </c>
      <c r="AX35" s="14" t="e">
        <f t="shared" ca="1" si="46"/>
        <v>#N/A</v>
      </c>
      <c r="AY35" s="14" t="e">
        <f t="shared" ca="1" si="46"/>
        <v>#N/A</v>
      </c>
      <c r="AZ35" s="14" t="e">
        <f t="shared" ca="1" si="46"/>
        <v>#N/A</v>
      </c>
      <c r="BA35" s="15" t="e">
        <f t="shared" ca="1" si="46"/>
        <v>#N/A</v>
      </c>
      <c r="BB35" s="16" t="e">
        <f t="shared" ca="1" si="46"/>
        <v>#N/A</v>
      </c>
      <c r="BC35" s="13" t="e">
        <f t="shared" ca="1" si="46"/>
        <v>#N/A</v>
      </c>
      <c r="BD35" s="14" t="e">
        <f t="shared" ca="1" si="46"/>
        <v>#N/A</v>
      </c>
      <c r="BE35" s="14" t="e">
        <f t="shared" ca="1" si="46"/>
        <v>#N/A</v>
      </c>
      <c r="BF35" s="14" t="e">
        <f t="shared" ca="1" si="46"/>
        <v>#N/A</v>
      </c>
      <c r="BG35" s="14" t="e">
        <f t="shared" ca="1" si="46"/>
        <v>#N/A</v>
      </c>
      <c r="BH35" s="15" t="e">
        <f t="shared" ca="1" si="46"/>
        <v>#N/A</v>
      </c>
      <c r="BI35" s="16" t="e">
        <f t="shared" ca="1" si="46"/>
        <v>#N/A</v>
      </c>
      <c r="BJ35" s="13" t="e">
        <f t="shared" ca="1" si="46"/>
        <v>#N/A</v>
      </c>
      <c r="BK35" s="14" t="e">
        <f t="shared" ca="1" si="46"/>
        <v>#N/A</v>
      </c>
      <c r="BL35" s="14" t="e">
        <f t="shared" ca="1" si="46"/>
        <v>#N/A</v>
      </c>
      <c r="BM35" s="14" t="e">
        <f t="shared" ca="1" si="46"/>
        <v>#N/A</v>
      </c>
      <c r="BN35" s="14" t="e">
        <f t="shared" ca="1" si="46"/>
        <v>#N/A</v>
      </c>
      <c r="BO35" s="15" t="e">
        <f t="shared" ca="1" si="46"/>
        <v>#N/A</v>
      </c>
      <c r="BP35" s="16" t="e">
        <f t="shared" ca="1" si="46"/>
        <v>#N/A</v>
      </c>
      <c r="BQ35" s="13" t="e">
        <f t="shared" ca="1" si="46"/>
        <v>#N/A</v>
      </c>
      <c r="BR35" s="14" t="e">
        <f t="shared" ref="BR35:CW35" ca="1" si="47">IF(AND(BR$5&gt;=$C$8,BR$5&lt;=$E$23),1,"")</f>
        <v>#N/A</v>
      </c>
      <c r="BS35" s="14" t="e">
        <f t="shared" ca="1" si="47"/>
        <v>#N/A</v>
      </c>
      <c r="BT35" s="14" t="e">
        <f t="shared" ca="1" si="47"/>
        <v>#N/A</v>
      </c>
      <c r="BU35" s="14" t="e">
        <f t="shared" ca="1" si="47"/>
        <v>#N/A</v>
      </c>
      <c r="BV35" s="15" t="e">
        <f t="shared" ca="1" si="47"/>
        <v>#N/A</v>
      </c>
      <c r="BW35" s="16" t="e">
        <f t="shared" ca="1" si="47"/>
        <v>#N/A</v>
      </c>
      <c r="BX35" s="13" t="e">
        <f t="shared" ca="1" si="47"/>
        <v>#N/A</v>
      </c>
      <c r="BY35" s="14" t="e">
        <f t="shared" ca="1" si="47"/>
        <v>#N/A</v>
      </c>
      <c r="BZ35" s="14" t="e">
        <f t="shared" ca="1" si="47"/>
        <v>#N/A</v>
      </c>
      <c r="CA35" s="14" t="e">
        <f t="shared" ca="1" si="47"/>
        <v>#N/A</v>
      </c>
      <c r="CB35" s="14" t="e">
        <f t="shared" ca="1" si="47"/>
        <v>#N/A</v>
      </c>
      <c r="CC35" s="15" t="e">
        <f t="shared" ca="1" si="47"/>
        <v>#N/A</v>
      </c>
      <c r="CD35" s="16" t="e">
        <f t="shared" ca="1" si="47"/>
        <v>#N/A</v>
      </c>
      <c r="CE35" s="13" t="e">
        <f t="shared" ca="1" si="47"/>
        <v>#N/A</v>
      </c>
      <c r="CF35" s="14" t="e">
        <f t="shared" ca="1" si="47"/>
        <v>#N/A</v>
      </c>
      <c r="CG35" s="14" t="e">
        <f t="shared" ca="1" si="47"/>
        <v>#N/A</v>
      </c>
      <c r="CH35" s="14" t="e">
        <f t="shared" ca="1" si="47"/>
        <v>#N/A</v>
      </c>
      <c r="CI35" s="14" t="e">
        <f t="shared" ca="1" si="47"/>
        <v>#N/A</v>
      </c>
      <c r="CJ35" s="15" t="e">
        <f t="shared" ca="1" si="47"/>
        <v>#N/A</v>
      </c>
      <c r="CK35" s="16" t="e">
        <f t="shared" ca="1" si="47"/>
        <v>#N/A</v>
      </c>
      <c r="CL35" s="13" t="e">
        <f t="shared" ca="1" si="47"/>
        <v>#N/A</v>
      </c>
      <c r="CM35" s="14" t="e">
        <f t="shared" ca="1" si="47"/>
        <v>#N/A</v>
      </c>
      <c r="CN35" s="14" t="e">
        <f t="shared" ca="1" si="47"/>
        <v>#N/A</v>
      </c>
      <c r="CO35" s="14" t="e">
        <f t="shared" ca="1" si="47"/>
        <v>#N/A</v>
      </c>
      <c r="CP35" s="14" t="e">
        <f t="shared" ca="1" si="47"/>
        <v>#N/A</v>
      </c>
      <c r="CQ35" s="15" t="e">
        <f t="shared" ca="1" si="47"/>
        <v>#N/A</v>
      </c>
      <c r="CR35" s="16" t="e">
        <f t="shared" ca="1" si="47"/>
        <v>#N/A</v>
      </c>
      <c r="CS35" s="13" t="e">
        <f t="shared" ca="1" si="47"/>
        <v>#N/A</v>
      </c>
      <c r="CT35" s="14" t="e">
        <f t="shared" ca="1" si="47"/>
        <v>#N/A</v>
      </c>
      <c r="CU35" s="14" t="e">
        <f t="shared" ca="1" si="47"/>
        <v>#N/A</v>
      </c>
      <c r="CV35" s="14" t="e">
        <f t="shared" ca="1" si="47"/>
        <v>#N/A</v>
      </c>
      <c r="CW35" s="14" t="e">
        <f t="shared" ca="1" si="47"/>
        <v>#N/A</v>
      </c>
      <c r="CX35" s="15" t="e">
        <f t="shared" ref="CX35:DT35" ca="1" si="48">IF(AND(CX$5&gt;=$C$8,CX$5&lt;=$E$23),1,"")</f>
        <v>#N/A</v>
      </c>
      <c r="CY35" s="16" t="e">
        <f t="shared" ca="1" si="48"/>
        <v>#N/A</v>
      </c>
      <c r="CZ35" s="13" t="e">
        <f t="shared" ca="1" si="48"/>
        <v>#N/A</v>
      </c>
      <c r="DA35" s="14" t="e">
        <f t="shared" ca="1" si="48"/>
        <v>#N/A</v>
      </c>
      <c r="DB35" s="14" t="e">
        <f t="shared" ca="1" si="48"/>
        <v>#N/A</v>
      </c>
      <c r="DC35" s="14" t="e">
        <f t="shared" ca="1" si="48"/>
        <v>#N/A</v>
      </c>
      <c r="DD35" s="14" t="e">
        <f t="shared" ca="1" si="48"/>
        <v>#N/A</v>
      </c>
      <c r="DE35" s="15" t="e">
        <f t="shared" ca="1" si="48"/>
        <v>#N/A</v>
      </c>
      <c r="DF35" s="16" t="e">
        <f t="shared" ca="1" si="48"/>
        <v>#N/A</v>
      </c>
      <c r="DG35" s="13" t="e">
        <f t="shared" ca="1" si="48"/>
        <v>#N/A</v>
      </c>
      <c r="DH35" s="14" t="e">
        <f t="shared" ca="1" si="48"/>
        <v>#N/A</v>
      </c>
      <c r="DI35" s="14" t="e">
        <f t="shared" ca="1" si="48"/>
        <v>#N/A</v>
      </c>
      <c r="DJ35" s="14" t="e">
        <f t="shared" ca="1" si="48"/>
        <v>#N/A</v>
      </c>
      <c r="DK35" s="14" t="e">
        <f t="shared" ca="1" si="48"/>
        <v>#N/A</v>
      </c>
      <c r="DL35" s="15" t="e">
        <f t="shared" ca="1" si="48"/>
        <v>#N/A</v>
      </c>
      <c r="DM35" s="16" t="e">
        <f t="shared" ca="1" si="48"/>
        <v>#N/A</v>
      </c>
      <c r="DN35" s="13" t="e">
        <f t="shared" ca="1" si="48"/>
        <v>#N/A</v>
      </c>
      <c r="DO35" s="14" t="e">
        <f t="shared" ca="1" si="48"/>
        <v>#N/A</v>
      </c>
      <c r="DP35" s="14" t="e">
        <f t="shared" ca="1" si="48"/>
        <v>#N/A</v>
      </c>
      <c r="DQ35" s="14" t="e">
        <f t="shared" ca="1" si="48"/>
        <v>#N/A</v>
      </c>
      <c r="DR35" s="14" t="e">
        <f t="shared" ca="1" si="48"/>
        <v>#N/A</v>
      </c>
      <c r="DS35" s="15" t="e">
        <f t="shared" ca="1" si="48"/>
        <v>#N/A</v>
      </c>
      <c r="DT35" s="16" t="e">
        <f t="shared" ca="1" si="48"/>
        <v>#N/A</v>
      </c>
    </row>
    <row r="36" spans="1:124" ht="2.1" customHeight="1"/>
    <row r="37" spans="1:124" s="17" customFormat="1" ht="15" customHeight="1">
      <c r="A37" s="538" t="s">
        <v>61</v>
      </c>
      <c r="B37" s="535"/>
      <c r="C37" s="539" t="e">
        <f ca="1">E23-IF(B1="SFK Freight Forwarder",C11,C8)+1</f>
        <v>#N/A</v>
      </c>
      <c r="D37" s="535"/>
      <c r="E37" s="537"/>
      <c r="F37" s="14" t="e">
        <f t="shared" ref="F37:AK37" ca="1" si="49">IF($B$1="SFK Freight Forwarder",IF(AND(F$5&gt;=$C$11,F$5&lt;=$E$23),1,""),IF(AND(F$5&gt;=$C$8,F$5&lt;=$E$23),1,""))</f>
        <v>#N/A</v>
      </c>
      <c r="G37" s="14" t="e">
        <f t="shared" ca="1" si="49"/>
        <v>#N/A</v>
      </c>
      <c r="H37" s="14" t="e">
        <f t="shared" ca="1" si="49"/>
        <v>#N/A</v>
      </c>
      <c r="I37" s="14" t="e">
        <f t="shared" ca="1" si="49"/>
        <v>#N/A</v>
      </c>
      <c r="J37" s="14" t="e">
        <f t="shared" ca="1" si="49"/>
        <v>#N/A</v>
      </c>
      <c r="K37" s="15" t="e">
        <f t="shared" ca="1" si="49"/>
        <v>#N/A</v>
      </c>
      <c r="L37" s="92" t="e">
        <f t="shared" ca="1" si="49"/>
        <v>#N/A</v>
      </c>
      <c r="M37" s="13" t="e">
        <f t="shared" ca="1" si="49"/>
        <v>#N/A</v>
      </c>
      <c r="N37" s="14" t="e">
        <f t="shared" ca="1" si="49"/>
        <v>#N/A</v>
      </c>
      <c r="O37" s="14" t="e">
        <f t="shared" ca="1" si="49"/>
        <v>#N/A</v>
      </c>
      <c r="P37" s="14" t="e">
        <f t="shared" ca="1" si="49"/>
        <v>#N/A</v>
      </c>
      <c r="Q37" s="14" t="e">
        <f t="shared" ca="1" si="49"/>
        <v>#N/A</v>
      </c>
      <c r="R37" s="15" t="e">
        <f t="shared" ca="1" si="49"/>
        <v>#N/A</v>
      </c>
      <c r="S37" s="16" t="e">
        <f t="shared" ca="1" si="49"/>
        <v>#N/A</v>
      </c>
      <c r="T37" s="13" t="e">
        <f t="shared" ca="1" si="49"/>
        <v>#N/A</v>
      </c>
      <c r="U37" s="14" t="e">
        <f t="shared" ca="1" si="49"/>
        <v>#N/A</v>
      </c>
      <c r="V37" s="14" t="e">
        <f t="shared" ca="1" si="49"/>
        <v>#N/A</v>
      </c>
      <c r="W37" s="14" t="e">
        <f t="shared" ca="1" si="49"/>
        <v>#N/A</v>
      </c>
      <c r="X37" s="14" t="e">
        <f t="shared" ca="1" si="49"/>
        <v>#N/A</v>
      </c>
      <c r="Y37" s="15" t="e">
        <f t="shared" ca="1" si="49"/>
        <v>#N/A</v>
      </c>
      <c r="Z37" s="16" t="e">
        <f t="shared" ca="1" si="49"/>
        <v>#N/A</v>
      </c>
      <c r="AA37" s="13" t="e">
        <f t="shared" ca="1" si="49"/>
        <v>#N/A</v>
      </c>
      <c r="AB37" s="14" t="e">
        <f t="shared" ca="1" si="49"/>
        <v>#N/A</v>
      </c>
      <c r="AC37" s="14" t="e">
        <f t="shared" ca="1" si="49"/>
        <v>#N/A</v>
      </c>
      <c r="AD37" s="14" t="e">
        <f t="shared" ca="1" si="49"/>
        <v>#N/A</v>
      </c>
      <c r="AE37" s="14" t="e">
        <f t="shared" ca="1" si="49"/>
        <v>#N/A</v>
      </c>
      <c r="AF37" s="15" t="e">
        <f t="shared" ca="1" si="49"/>
        <v>#N/A</v>
      </c>
      <c r="AG37" s="16" t="e">
        <f t="shared" ca="1" si="49"/>
        <v>#N/A</v>
      </c>
      <c r="AH37" s="13" t="e">
        <f t="shared" ca="1" si="49"/>
        <v>#N/A</v>
      </c>
      <c r="AI37" s="14" t="e">
        <f t="shared" ca="1" si="49"/>
        <v>#N/A</v>
      </c>
      <c r="AJ37" s="14" t="e">
        <f t="shared" ca="1" si="49"/>
        <v>#N/A</v>
      </c>
      <c r="AK37" s="14" t="e">
        <f t="shared" ca="1" si="49"/>
        <v>#N/A</v>
      </c>
      <c r="AL37" s="14" t="e">
        <f t="shared" ref="AL37:BQ37" ca="1" si="50">IF($B$1="SFK Freight Forwarder",IF(AND(AL$5&gt;=$C$11,AL$5&lt;=$E$23),1,""),IF(AND(AL$5&gt;=$C$8,AL$5&lt;=$E$23),1,""))</f>
        <v>#N/A</v>
      </c>
      <c r="AM37" s="15" t="e">
        <f t="shared" ca="1" si="50"/>
        <v>#N/A</v>
      </c>
      <c r="AN37" s="16" t="e">
        <f t="shared" ca="1" si="50"/>
        <v>#N/A</v>
      </c>
      <c r="AO37" s="13" t="e">
        <f t="shared" ca="1" si="50"/>
        <v>#N/A</v>
      </c>
      <c r="AP37" s="14" t="e">
        <f t="shared" ca="1" si="50"/>
        <v>#N/A</v>
      </c>
      <c r="AQ37" s="14" t="e">
        <f t="shared" ca="1" si="50"/>
        <v>#N/A</v>
      </c>
      <c r="AR37" s="14" t="e">
        <f t="shared" ca="1" si="50"/>
        <v>#N/A</v>
      </c>
      <c r="AS37" s="14" t="e">
        <f t="shared" ca="1" si="50"/>
        <v>#N/A</v>
      </c>
      <c r="AT37" s="15" t="e">
        <f t="shared" ca="1" si="50"/>
        <v>#N/A</v>
      </c>
      <c r="AU37" s="16" t="e">
        <f t="shared" ca="1" si="50"/>
        <v>#N/A</v>
      </c>
      <c r="AV37" s="13" t="e">
        <f t="shared" ca="1" si="50"/>
        <v>#N/A</v>
      </c>
      <c r="AW37" s="14" t="e">
        <f t="shared" ca="1" si="50"/>
        <v>#N/A</v>
      </c>
      <c r="AX37" s="14" t="e">
        <f t="shared" ca="1" si="50"/>
        <v>#N/A</v>
      </c>
      <c r="AY37" s="14" t="e">
        <f t="shared" ca="1" si="50"/>
        <v>#N/A</v>
      </c>
      <c r="AZ37" s="14" t="e">
        <f t="shared" ca="1" si="50"/>
        <v>#N/A</v>
      </c>
      <c r="BA37" s="15" t="e">
        <f t="shared" ca="1" si="50"/>
        <v>#N/A</v>
      </c>
      <c r="BB37" s="16" t="e">
        <f t="shared" ca="1" si="50"/>
        <v>#N/A</v>
      </c>
      <c r="BC37" s="13" t="e">
        <f t="shared" ca="1" si="50"/>
        <v>#N/A</v>
      </c>
      <c r="BD37" s="14" t="e">
        <f t="shared" ca="1" si="50"/>
        <v>#N/A</v>
      </c>
      <c r="BE37" s="14" t="e">
        <f t="shared" ca="1" si="50"/>
        <v>#N/A</v>
      </c>
      <c r="BF37" s="14" t="e">
        <f t="shared" ca="1" si="50"/>
        <v>#N/A</v>
      </c>
      <c r="BG37" s="14" t="e">
        <f t="shared" ca="1" si="50"/>
        <v>#N/A</v>
      </c>
      <c r="BH37" s="15" t="e">
        <f t="shared" ca="1" si="50"/>
        <v>#N/A</v>
      </c>
      <c r="BI37" s="16" t="e">
        <f t="shared" ca="1" si="50"/>
        <v>#N/A</v>
      </c>
      <c r="BJ37" s="13" t="e">
        <f t="shared" ca="1" si="50"/>
        <v>#N/A</v>
      </c>
      <c r="BK37" s="14" t="e">
        <f t="shared" ca="1" si="50"/>
        <v>#N/A</v>
      </c>
      <c r="BL37" s="14" t="e">
        <f t="shared" ca="1" si="50"/>
        <v>#N/A</v>
      </c>
      <c r="BM37" s="14" t="e">
        <f t="shared" ca="1" si="50"/>
        <v>#N/A</v>
      </c>
      <c r="BN37" s="14" t="e">
        <f t="shared" ca="1" si="50"/>
        <v>#N/A</v>
      </c>
      <c r="BO37" s="15" t="e">
        <f t="shared" ca="1" si="50"/>
        <v>#N/A</v>
      </c>
      <c r="BP37" s="16" t="e">
        <f t="shared" ca="1" si="50"/>
        <v>#N/A</v>
      </c>
      <c r="BQ37" s="13" t="e">
        <f t="shared" ca="1" si="50"/>
        <v>#N/A</v>
      </c>
      <c r="BR37" s="14" t="e">
        <f t="shared" ref="BR37:CW37" ca="1" si="51">IF($B$1="SFK Freight Forwarder",IF(AND(BR$5&gt;=$C$11,BR$5&lt;=$E$23),1,""),IF(AND(BR$5&gt;=$C$8,BR$5&lt;=$E$23),1,""))</f>
        <v>#N/A</v>
      </c>
      <c r="BS37" s="14" t="e">
        <f t="shared" ca="1" si="51"/>
        <v>#N/A</v>
      </c>
      <c r="BT37" s="14" t="e">
        <f t="shared" ca="1" si="51"/>
        <v>#N/A</v>
      </c>
      <c r="BU37" s="14" t="e">
        <f t="shared" ca="1" si="51"/>
        <v>#N/A</v>
      </c>
      <c r="BV37" s="15" t="e">
        <f t="shared" ca="1" si="51"/>
        <v>#N/A</v>
      </c>
      <c r="BW37" s="16" t="e">
        <f t="shared" ca="1" si="51"/>
        <v>#N/A</v>
      </c>
      <c r="BX37" s="13" t="e">
        <f t="shared" ca="1" si="51"/>
        <v>#N/A</v>
      </c>
      <c r="BY37" s="14" t="e">
        <f t="shared" ca="1" si="51"/>
        <v>#N/A</v>
      </c>
      <c r="BZ37" s="14" t="e">
        <f t="shared" ca="1" si="51"/>
        <v>#N/A</v>
      </c>
      <c r="CA37" s="14" t="e">
        <f t="shared" ca="1" si="51"/>
        <v>#N/A</v>
      </c>
      <c r="CB37" s="14" t="e">
        <f t="shared" ca="1" si="51"/>
        <v>#N/A</v>
      </c>
      <c r="CC37" s="15" t="e">
        <f t="shared" ca="1" si="51"/>
        <v>#N/A</v>
      </c>
      <c r="CD37" s="16" t="e">
        <f t="shared" ca="1" si="51"/>
        <v>#N/A</v>
      </c>
      <c r="CE37" s="13" t="e">
        <f t="shared" ca="1" si="51"/>
        <v>#N/A</v>
      </c>
      <c r="CF37" s="14" t="e">
        <f t="shared" ca="1" si="51"/>
        <v>#N/A</v>
      </c>
      <c r="CG37" s="14" t="e">
        <f t="shared" ca="1" si="51"/>
        <v>#N/A</v>
      </c>
      <c r="CH37" s="14" t="e">
        <f t="shared" ca="1" si="51"/>
        <v>#N/A</v>
      </c>
      <c r="CI37" s="14" t="e">
        <f t="shared" ca="1" si="51"/>
        <v>#N/A</v>
      </c>
      <c r="CJ37" s="15" t="e">
        <f t="shared" ca="1" si="51"/>
        <v>#N/A</v>
      </c>
      <c r="CK37" s="16" t="e">
        <f t="shared" ca="1" si="51"/>
        <v>#N/A</v>
      </c>
      <c r="CL37" s="13" t="e">
        <f t="shared" ca="1" si="51"/>
        <v>#N/A</v>
      </c>
      <c r="CM37" s="14" t="e">
        <f t="shared" ca="1" si="51"/>
        <v>#N/A</v>
      </c>
      <c r="CN37" s="14" t="e">
        <f t="shared" ca="1" si="51"/>
        <v>#N/A</v>
      </c>
      <c r="CO37" s="14" t="e">
        <f t="shared" ca="1" si="51"/>
        <v>#N/A</v>
      </c>
      <c r="CP37" s="14" t="e">
        <f t="shared" ca="1" si="51"/>
        <v>#N/A</v>
      </c>
      <c r="CQ37" s="15" t="e">
        <f t="shared" ca="1" si="51"/>
        <v>#N/A</v>
      </c>
      <c r="CR37" s="16" t="e">
        <f t="shared" ca="1" si="51"/>
        <v>#N/A</v>
      </c>
      <c r="CS37" s="13" t="e">
        <f t="shared" ca="1" si="51"/>
        <v>#N/A</v>
      </c>
      <c r="CT37" s="14" t="e">
        <f t="shared" ca="1" si="51"/>
        <v>#N/A</v>
      </c>
      <c r="CU37" s="14" t="e">
        <f t="shared" ca="1" si="51"/>
        <v>#N/A</v>
      </c>
      <c r="CV37" s="14" t="e">
        <f t="shared" ca="1" si="51"/>
        <v>#N/A</v>
      </c>
      <c r="CW37" s="14" t="e">
        <f t="shared" ca="1" si="51"/>
        <v>#N/A</v>
      </c>
      <c r="CX37" s="15" t="e">
        <f t="shared" ref="CX37:DT37" ca="1" si="52">IF($B$1="SFK Freight Forwarder",IF(AND(CX$5&gt;=$C$11,CX$5&lt;=$E$23),1,""),IF(AND(CX$5&gt;=$C$8,CX$5&lt;=$E$23),1,""))</f>
        <v>#N/A</v>
      </c>
      <c r="CY37" s="16" t="e">
        <f t="shared" ca="1" si="52"/>
        <v>#N/A</v>
      </c>
      <c r="CZ37" s="13" t="e">
        <f t="shared" ca="1" si="52"/>
        <v>#N/A</v>
      </c>
      <c r="DA37" s="14" t="e">
        <f t="shared" ca="1" si="52"/>
        <v>#N/A</v>
      </c>
      <c r="DB37" s="14" t="e">
        <f t="shared" ca="1" si="52"/>
        <v>#N/A</v>
      </c>
      <c r="DC37" s="14" t="e">
        <f t="shared" ca="1" si="52"/>
        <v>#N/A</v>
      </c>
      <c r="DD37" s="14" t="e">
        <f t="shared" ca="1" si="52"/>
        <v>#N/A</v>
      </c>
      <c r="DE37" s="15" t="e">
        <f t="shared" ca="1" si="52"/>
        <v>#N/A</v>
      </c>
      <c r="DF37" s="16" t="e">
        <f t="shared" ca="1" si="52"/>
        <v>#N/A</v>
      </c>
      <c r="DG37" s="13" t="e">
        <f t="shared" ca="1" si="52"/>
        <v>#N/A</v>
      </c>
      <c r="DH37" s="14" t="e">
        <f t="shared" ca="1" si="52"/>
        <v>#N/A</v>
      </c>
      <c r="DI37" s="14" t="e">
        <f t="shared" ca="1" si="52"/>
        <v>#N/A</v>
      </c>
      <c r="DJ37" s="14" t="e">
        <f t="shared" ca="1" si="52"/>
        <v>#N/A</v>
      </c>
      <c r="DK37" s="14" t="e">
        <f t="shared" ca="1" si="52"/>
        <v>#N/A</v>
      </c>
      <c r="DL37" s="15" t="e">
        <f t="shared" ca="1" si="52"/>
        <v>#N/A</v>
      </c>
      <c r="DM37" s="16" t="e">
        <f t="shared" ca="1" si="52"/>
        <v>#N/A</v>
      </c>
      <c r="DN37" s="13" t="e">
        <f t="shared" ca="1" si="52"/>
        <v>#N/A</v>
      </c>
      <c r="DO37" s="14" t="e">
        <f t="shared" ca="1" si="52"/>
        <v>#N/A</v>
      </c>
      <c r="DP37" s="14" t="e">
        <f t="shared" ca="1" si="52"/>
        <v>#N/A</v>
      </c>
      <c r="DQ37" s="14" t="e">
        <f t="shared" ca="1" si="52"/>
        <v>#N/A</v>
      </c>
      <c r="DR37" s="14" t="e">
        <f t="shared" ca="1" si="52"/>
        <v>#N/A</v>
      </c>
      <c r="DS37" s="15" t="e">
        <f t="shared" ca="1" si="52"/>
        <v>#N/A</v>
      </c>
      <c r="DT37" s="16" t="e">
        <f t="shared" ca="1" si="52"/>
        <v>#N/A</v>
      </c>
    </row>
  </sheetData>
  <mergeCells count="56"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C5:E5"/>
    <mergeCell ref="C6:E6"/>
    <mergeCell ref="A8:A18"/>
    <mergeCell ref="A19:A20"/>
    <mergeCell ref="A27:B27"/>
    <mergeCell ref="C27:E27"/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</mergeCells>
  <conditionalFormatting sqref="F8:Q9 S8:DT10 F11:DT12 G10:Q10">
    <cfRule type="cellIs" dxfId="354" priority="15" stopIfTrue="1" operator="equal">
      <formula>1</formula>
    </cfRule>
  </conditionalFormatting>
  <conditionalFormatting sqref="F16:DT17">
    <cfRule type="cellIs" dxfId="353" priority="17" stopIfTrue="1" operator="equal">
      <formula>1</formula>
    </cfRule>
  </conditionalFormatting>
  <conditionalFormatting sqref="F31:DT31">
    <cfRule type="cellIs" dxfId="352" priority="22" stopIfTrue="1" operator="equal">
      <formula>1</formula>
    </cfRule>
  </conditionalFormatting>
  <conditionalFormatting sqref="F27:DT27">
    <cfRule type="cellIs" dxfId="351" priority="21" stopIfTrue="1" operator="equal">
      <formula>1</formula>
    </cfRule>
  </conditionalFormatting>
  <conditionalFormatting sqref="F19:DT19 F21:DT22">
    <cfRule type="cellIs" dxfId="350" priority="18" stopIfTrue="1" operator="equal">
      <formula>1</formula>
    </cfRule>
  </conditionalFormatting>
  <conditionalFormatting sqref="F24:DT25">
    <cfRule type="cellIs" dxfId="349" priority="20" stopIfTrue="1" operator="equal">
      <formula>1</formula>
    </cfRule>
  </conditionalFormatting>
  <conditionalFormatting sqref="F33:DT33">
    <cfRule type="cellIs" dxfId="348" priority="23" stopIfTrue="1" operator="equal">
      <formula>1</formula>
    </cfRule>
  </conditionalFormatting>
  <conditionalFormatting sqref="F35:DT35">
    <cfRule type="cellIs" dxfId="347" priority="24" stopIfTrue="1" operator="equal">
      <formula>1</formula>
    </cfRule>
  </conditionalFormatting>
  <conditionalFormatting sqref="F23:DT23">
    <cfRule type="cellIs" dxfId="346" priority="19" stopIfTrue="1" operator="equal">
      <formula>1</formula>
    </cfRule>
  </conditionalFormatting>
  <conditionalFormatting sqref="F13:DT15">
    <cfRule type="cellIs" dxfId="345" priority="16" stopIfTrue="1" operator="equal">
      <formula>1</formula>
    </cfRule>
  </conditionalFormatting>
  <conditionalFormatting sqref="F8:Q9 S8:DT10 F11:DT17 G10:Q10 F31:DT35 F21:DT28 F19:DT19">
    <cfRule type="containsErrors" dxfId="344" priority="14" stopIfTrue="1">
      <formula>ISERROR(F8)</formula>
    </cfRule>
  </conditionalFormatting>
  <conditionalFormatting sqref="R8:R10">
    <cfRule type="cellIs" dxfId="343" priority="13" stopIfTrue="1" operator="equal">
      <formula>1</formula>
    </cfRule>
    <cfRule type="containsErrors" dxfId="342" priority="12" stopIfTrue="1">
      <formula>ISERROR(R8)</formula>
    </cfRule>
  </conditionalFormatting>
  <conditionalFormatting sqref="A23">
    <cfRule type="cellIs" dxfId="341" priority="11" operator="lessThan">
      <formula>TODAY()</formula>
    </cfRule>
  </conditionalFormatting>
  <conditionalFormatting sqref="F37:DT37">
    <cfRule type="cellIs" dxfId="340" priority="10" stopIfTrue="1" operator="equal">
      <formula>1</formula>
    </cfRule>
    <cfRule type="containsErrors" dxfId="339" priority="9" stopIfTrue="1">
      <formula>ISERROR(F37)</formula>
    </cfRule>
  </conditionalFormatting>
  <conditionalFormatting sqref="F10">
    <cfRule type="cellIs" dxfId="338" priority="8" stopIfTrue="1" operator="equal">
      <formula>1</formula>
    </cfRule>
    <cfRule type="containsErrors" dxfId="337" priority="7" stopIfTrue="1">
      <formula>ISERROR(F10)</formula>
    </cfRule>
  </conditionalFormatting>
  <conditionalFormatting sqref="F29:DT29">
    <cfRule type="cellIs" dxfId="336" priority="6" stopIfTrue="1" operator="equal">
      <formula>1</formula>
    </cfRule>
  </conditionalFormatting>
  <conditionalFormatting sqref="F29:DT30">
    <cfRule type="containsErrors" dxfId="335" priority="5" stopIfTrue="1">
      <formula>ISERROR(F29)</formula>
    </cfRule>
  </conditionalFormatting>
  <conditionalFormatting sqref="F20:DT20">
    <cfRule type="cellIs" dxfId="334" priority="4" stopIfTrue="1" operator="equal">
      <formula>1</formula>
    </cfRule>
    <cfRule type="containsErrors" dxfId="333" priority="3" stopIfTrue="1">
      <formula>ISERROR(F20)</formula>
    </cfRule>
  </conditionalFormatting>
  <conditionalFormatting sqref="F18:DT18">
    <cfRule type="cellIs" dxfId="332" priority="2" stopIfTrue="1" operator="equal">
      <formula>1</formula>
    </cfRule>
    <cfRule type="containsErrors" dxfId="331" priority="1" stopIfTrue="1">
      <formula>ISERROR(F18)</formula>
    </cfRule>
  </conditionalFormatting>
  <dataValidations count="2">
    <dataValidation type="list" allowBlank="1" showInputMessage="1" showErrorMessage="1" sqref="B3:B4" xr:uid="{00000000-0002-0000-0400-000000000000}">
      <formula1>shippername</formula1>
    </dataValidation>
    <dataValidation type="list" allowBlank="1" showInputMessage="1" showErrorMessage="1" sqref="B1:B2" xr:uid="{00000000-0002-0000-0400-000001000000}">
      <formula1>AILNname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002060"/>
  </sheetPr>
  <dimension ref="A1:DT37"/>
  <sheetViews>
    <sheetView zoomScale="115" zoomScaleNormal="115" workbookViewId="0">
      <selection activeCell="C24" sqref="C24"/>
    </sheetView>
  </sheetViews>
  <sheetFormatPr baseColWidth="10" defaultColWidth="11.44140625" defaultRowHeight="14.4"/>
  <cols>
    <col min="1" max="1" width="12.44140625" customWidth="1"/>
    <col min="2" max="2" width="21.44140625" bestFit="1" customWidth="1"/>
    <col min="3" max="3" width="7.44140625" bestFit="1" customWidth="1"/>
    <col min="4" max="5" width="6.44140625" customWidth="1"/>
    <col min="6" max="124" width="1.44140625" customWidth="1"/>
  </cols>
  <sheetData>
    <row r="1" spans="1:124" s="11" customFormat="1" ht="9" customHeight="1" thickTop="1">
      <c r="A1" s="570" t="s">
        <v>0</v>
      </c>
      <c r="B1" s="572" t="str">
        <f>_xlfn.XLOOKUP(A25,'VTT project'!F:F,'VTT project'!O:O,"-",0)</f>
        <v>-</v>
      </c>
      <c r="C1" s="600" t="str">
        <f>_xlfn.XLOOKUP(A25,'VTT project'!F:F,'VTT project'!P:P,"-",0)</f>
        <v>-</v>
      </c>
      <c r="D1" s="550"/>
      <c r="E1" s="551"/>
      <c r="F1" s="566" t="str">
        <f ca="1">"W"&amp;WEEKNUM(F6)</f>
        <v>W27</v>
      </c>
      <c r="G1" s="567"/>
      <c r="H1" s="567"/>
      <c r="I1" s="567"/>
      <c r="J1" s="567"/>
      <c r="K1" s="567"/>
      <c r="L1" s="568"/>
      <c r="M1" s="566" t="str">
        <f ca="1">"W"&amp;WEEKNUM(M6)</f>
        <v>W28</v>
      </c>
      <c r="N1" s="567"/>
      <c r="O1" s="567"/>
      <c r="P1" s="567"/>
      <c r="Q1" s="567"/>
      <c r="R1" s="567"/>
      <c r="S1" s="568"/>
      <c r="T1" s="566" t="str">
        <f ca="1">"W"&amp;WEEKNUM(T6)</f>
        <v>W29</v>
      </c>
      <c r="U1" s="567"/>
      <c r="V1" s="567"/>
      <c r="W1" s="567"/>
      <c r="X1" s="567"/>
      <c r="Y1" s="567"/>
      <c r="Z1" s="568"/>
      <c r="AA1" s="566" t="str">
        <f ca="1">"W"&amp;WEEKNUM(AA6)</f>
        <v>W30</v>
      </c>
      <c r="AB1" s="567"/>
      <c r="AC1" s="567"/>
      <c r="AD1" s="567"/>
      <c r="AE1" s="567"/>
      <c r="AF1" s="567"/>
      <c r="AG1" s="568"/>
      <c r="AH1" s="566" t="str">
        <f ca="1">"W"&amp;WEEKNUM(AH6)</f>
        <v>W31</v>
      </c>
      <c r="AI1" s="567"/>
      <c r="AJ1" s="567"/>
      <c r="AK1" s="567"/>
      <c r="AL1" s="567"/>
      <c r="AM1" s="567"/>
      <c r="AN1" s="568"/>
      <c r="AO1" s="566" t="str">
        <f ca="1">"W"&amp;WEEKNUM(AO6)</f>
        <v>W32</v>
      </c>
      <c r="AP1" s="567"/>
      <c r="AQ1" s="567"/>
      <c r="AR1" s="567"/>
      <c r="AS1" s="567"/>
      <c r="AT1" s="567"/>
      <c r="AU1" s="568"/>
      <c r="AV1" s="566" t="str">
        <f ca="1">"W"&amp;WEEKNUM(AV6)</f>
        <v>W33</v>
      </c>
      <c r="AW1" s="567"/>
      <c r="AX1" s="567"/>
      <c r="AY1" s="567"/>
      <c r="AZ1" s="567"/>
      <c r="BA1" s="567"/>
      <c r="BB1" s="568"/>
      <c r="BC1" s="566" t="str">
        <f ca="1">"W"&amp;WEEKNUM(BC6)</f>
        <v>W34</v>
      </c>
      <c r="BD1" s="567"/>
      <c r="BE1" s="567"/>
      <c r="BF1" s="567"/>
      <c r="BG1" s="567"/>
      <c r="BH1" s="567"/>
      <c r="BI1" s="568"/>
      <c r="BJ1" s="566" t="str">
        <f ca="1">"W"&amp;WEEKNUM(BJ6)</f>
        <v>W35</v>
      </c>
      <c r="BK1" s="567"/>
      <c r="BL1" s="567"/>
      <c r="BM1" s="567"/>
      <c r="BN1" s="567"/>
      <c r="BO1" s="567"/>
      <c r="BP1" s="568"/>
      <c r="BQ1" s="566" t="str">
        <f ca="1">"W"&amp;WEEKNUM(BQ6)</f>
        <v>W36</v>
      </c>
      <c r="BR1" s="567"/>
      <c r="BS1" s="567"/>
      <c r="BT1" s="567"/>
      <c r="BU1" s="567"/>
      <c r="BV1" s="567"/>
      <c r="BW1" s="568"/>
      <c r="BX1" s="566" t="str">
        <f ca="1">"W"&amp;WEEKNUM(BX6)</f>
        <v>W37</v>
      </c>
      <c r="BY1" s="567"/>
      <c r="BZ1" s="567"/>
      <c r="CA1" s="567"/>
      <c r="CB1" s="567"/>
      <c r="CC1" s="567"/>
      <c r="CD1" s="568"/>
      <c r="CE1" s="566" t="str">
        <f ca="1">"W"&amp;WEEKNUM(CE6)</f>
        <v>W38</v>
      </c>
      <c r="CF1" s="567"/>
      <c r="CG1" s="567"/>
      <c r="CH1" s="567"/>
      <c r="CI1" s="567"/>
      <c r="CJ1" s="567"/>
      <c r="CK1" s="568"/>
      <c r="CL1" s="566" t="str">
        <f ca="1">"W"&amp;WEEKNUM(CL6)</f>
        <v>W39</v>
      </c>
      <c r="CM1" s="567"/>
      <c r="CN1" s="567"/>
      <c r="CO1" s="567"/>
      <c r="CP1" s="567"/>
      <c r="CQ1" s="567"/>
      <c r="CR1" s="568"/>
      <c r="CS1" s="566" t="str">
        <f ca="1">"W"&amp;WEEKNUM(CS6)</f>
        <v>W40</v>
      </c>
      <c r="CT1" s="567"/>
      <c r="CU1" s="567"/>
      <c r="CV1" s="567"/>
      <c r="CW1" s="567"/>
      <c r="CX1" s="567"/>
      <c r="CY1" s="568"/>
      <c r="CZ1" s="566" t="str">
        <f ca="1">"W"&amp;WEEKNUM(CZ6)</f>
        <v>W41</v>
      </c>
      <c r="DA1" s="567"/>
      <c r="DB1" s="567"/>
      <c r="DC1" s="567"/>
      <c r="DD1" s="567"/>
      <c r="DE1" s="567"/>
      <c r="DF1" s="568"/>
      <c r="DG1" s="566" t="str">
        <f ca="1">"W"&amp;WEEKNUM(DG6)</f>
        <v>W42</v>
      </c>
      <c r="DH1" s="567"/>
      <c r="DI1" s="567"/>
      <c r="DJ1" s="567"/>
      <c r="DK1" s="567"/>
      <c r="DL1" s="567"/>
      <c r="DM1" s="568"/>
      <c r="DN1" s="566" t="str">
        <f ca="1">"W"&amp;WEEKNUM(DN6)</f>
        <v>W43</v>
      </c>
      <c r="DO1" s="567"/>
      <c r="DP1" s="567"/>
      <c r="DQ1" s="567"/>
      <c r="DR1" s="567"/>
      <c r="DS1" s="567"/>
      <c r="DT1" s="568"/>
    </row>
    <row r="2" spans="1:124" s="11" customFormat="1" ht="9" customHeight="1" thickBot="1">
      <c r="A2" s="571"/>
      <c r="B2" s="573"/>
      <c r="C2" s="560"/>
      <c r="D2" s="564"/>
      <c r="E2" s="565"/>
      <c r="F2" s="569" t="s">
        <v>2</v>
      </c>
      <c r="G2" s="557"/>
      <c r="H2" s="557"/>
      <c r="I2" s="557"/>
      <c r="J2" s="557"/>
      <c r="K2" s="557"/>
      <c r="L2" s="558"/>
      <c r="M2" s="556" t="s">
        <v>3</v>
      </c>
      <c r="N2" s="557"/>
      <c r="O2" s="557"/>
      <c r="P2" s="557"/>
      <c r="Q2" s="557"/>
      <c r="R2" s="557"/>
      <c r="S2" s="558"/>
      <c r="T2" s="556" t="s">
        <v>4</v>
      </c>
      <c r="U2" s="557"/>
      <c r="V2" s="557"/>
      <c r="W2" s="557"/>
      <c r="X2" s="557"/>
      <c r="Y2" s="557"/>
      <c r="Z2" s="558"/>
      <c r="AA2" s="556" t="s">
        <v>5</v>
      </c>
      <c r="AB2" s="557"/>
      <c r="AC2" s="557"/>
      <c r="AD2" s="557"/>
      <c r="AE2" s="557"/>
      <c r="AF2" s="557"/>
      <c r="AG2" s="558"/>
      <c r="AH2" s="556" t="s">
        <v>6</v>
      </c>
      <c r="AI2" s="557"/>
      <c r="AJ2" s="557"/>
      <c r="AK2" s="557"/>
      <c r="AL2" s="557"/>
      <c r="AM2" s="557"/>
      <c r="AN2" s="558"/>
      <c r="AO2" s="556" t="s">
        <v>7</v>
      </c>
      <c r="AP2" s="557"/>
      <c r="AQ2" s="557"/>
      <c r="AR2" s="557"/>
      <c r="AS2" s="557"/>
      <c r="AT2" s="557"/>
      <c r="AU2" s="558"/>
      <c r="AV2" s="556" t="s">
        <v>8</v>
      </c>
      <c r="AW2" s="557"/>
      <c r="AX2" s="557"/>
      <c r="AY2" s="557"/>
      <c r="AZ2" s="557"/>
      <c r="BA2" s="557"/>
      <c r="BB2" s="558"/>
      <c r="BC2" s="556" t="s">
        <v>9</v>
      </c>
      <c r="BD2" s="557"/>
      <c r="BE2" s="557"/>
      <c r="BF2" s="557"/>
      <c r="BG2" s="557"/>
      <c r="BH2" s="557"/>
      <c r="BI2" s="558"/>
      <c r="BJ2" s="556" t="s">
        <v>10</v>
      </c>
      <c r="BK2" s="557"/>
      <c r="BL2" s="557"/>
      <c r="BM2" s="557"/>
      <c r="BN2" s="557"/>
      <c r="BO2" s="557"/>
      <c r="BP2" s="558"/>
      <c r="BQ2" s="556" t="s">
        <v>11</v>
      </c>
      <c r="BR2" s="557"/>
      <c r="BS2" s="557"/>
      <c r="BT2" s="557"/>
      <c r="BU2" s="557"/>
      <c r="BV2" s="557"/>
      <c r="BW2" s="558"/>
      <c r="BX2" s="556" t="s">
        <v>12</v>
      </c>
      <c r="BY2" s="557"/>
      <c r="BZ2" s="557"/>
      <c r="CA2" s="557"/>
      <c r="CB2" s="557"/>
      <c r="CC2" s="557"/>
      <c r="CD2" s="558"/>
      <c r="CE2" s="556" t="s">
        <v>13</v>
      </c>
      <c r="CF2" s="557"/>
      <c r="CG2" s="557"/>
      <c r="CH2" s="557"/>
      <c r="CI2" s="557"/>
      <c r="CJ2" s="557"/>
      <c r="CK2" s="558"/>
      <c r="CL2" s="556" t="s">
        <v>14</v>
      </c>
      <c r="CM2" s="557"/>
      <c r="CN2" s="557"/>
      <c r="CO2" s="557"/>
      <c r="CP2" s="557"/>
      <c r="CQ2" s="557"/>
      <c r="CR2" s="558"/>
      <c r="CS2" s="556" t="s">
        <v>15</v>
      </c>
      <c r="CT2" s="557"/>
      <c r="CU2" s="557"/>
      <c r="CV2" s="557"/>
      <c r="CW2" s="557"/>
      <c r="CX2" s="557"/>
      <c r="CY2" s="558"/>
      <c r="CZ2" s="556" t="s">
        <v>16</v>
      </c>
      <c r="DA2" s="557"/>
      <c r="DB2" s="557"/>
      <c r="DC2" s="557"/>
      <c r="DD2" s="557"/>
      <c r="DE2" s="557"/>
      <c r="DF2" s="558"/>
      <c r="DG2" s="556" t="s">
        <v>17</v>
      </c>
      <c r="DH2" s="557"/>
      <c r="DI2" s="557"/>
      <c r="DJ2" s="557"/>
      <c r="DK2" s="557"/>
      <c r="DL2" s="557"/>
      <c r="DM2" s="558"/>
      <c r="DN2" s="556" t="s">
        <v>18</v>
      </c>
      <c r="DO2" s="557"/>
      <c r="DP2" s="557"/>
      <c r="DQ2" s="557"/>
      <c r="DR2" s="557"/>
      <c r="DS2" s="557"/>
      <c r="DT2" s="558"/>
    </row>
    <row r="3" spans="1:124" s="12" customFormat="1" ht="9" customHeight="1" thickTop="1">
      <c r="A3" s="559" t="s">
        <v>19</v>
      </c>
      <c r="B3" s="605" t="str">
        <f>_xlfn.XLOOKUP(A25,'VTT project'!F:F,'VTT project'!X:X,"-",0)</f>
        <v>-</v>
      </c>
      <c r="C3" s="604" t="str">
        <f>_xlfn.XLOOKUP(A25,'VTT project'!F:F,'VTT project'!Y:Y,"-",0)</f>
        <v>-</v>
      </c>
      <c r="D3" s="550"/>
      <c r="E3" s="551"/>
      <c r="F3" s="32" t="s">
        <v>21</v>
      </c>
      <c r="G3" s="33" t="s">
        <v>22</v>
      </c>
      <c r="H3" s="33" t="s">
        <v>22</v>
      </c>
      <c r="I3" s="33" t="s">
        <v>23</v>
      </c>
      <c r="J3" s="33" t="s">
        <v>24</v>
      </c>
      <c r="K3" s="34" t="s">
        <v>25</v>
      </c>
      <c r="L3" s="35" t="s">
        <v>26</v>
      </c>
      <c r="M3" s="36" t="s">
        <v>21</v>
      </c>
      <c r="N3" s="33" t="s">
        <v>22</v>
      </c>
      <c r="O3" s="33" t="s">
        <v>22</v>
      </c>
      <c r="P3" s="33" t="s">
        <v>23</v>
      </c>
      <c r="Q3" s="33" t="s">
        <v>24</v>
      </c>
      <c r="R3" s="34" t="s">
        <v>25</v>
      </c>
      <c r="S3" s="35" t="s">
        <v>26</v>
      </c>
      <c r="T3" s="36" t="s">
        <v>21</v>
      </c>
      <c r="U3" s="33" t="s">
        <v>22</v>
      </c>
      <c r="V3" s="33" t="s">
        <v>22</v>
      </c>
      <c r="W3" s="33" t="s">
        <v>23</v>
      </c>
      <c r="X3" s="33" t="s">
        <v>24</v>
      </c>
      <c r="Y3" s="34" t="s">
        <v>25</v>
      </c>
      <c r="Z3" s="35" t="s">
        <v>26</v>
      </c>
      <c r="AA3" s="36" t="s">
        <v>21</v>
      </c>
      <c r="AB3" s="33" t="s">
        <v>22</v>
      </c>
      <c r="AC3" s="33" t="s">
        <v>22</v>
      </c>
      <c r="AD3" s="33" t="s">
        <v>23</v>
      </c>
      <c r="AE3" s="33" t="s">
        <v>24</v>
      </c>
      <c r="AF3" s="34" t="s">
        <v>25</v>
      </c>
      <c r="AG3" s="35" t="s">
        <v>26</v>
      </c>
      <c r="AH3" s="36" t="s">
        <v>21</v>
      </c>
      <c r="AI3" s="33" t="s">
        <v>22</v>
      </c>
      <c r="AJ3" s="33" t="s">
        <v>22</v>
      </c>
      <c r="AK3" s="33" t="s">
        <v>23</v>
      </c>
      <c r="AL3" s="33" t="s">
        <v>24</v>
      </c>
      <c r="AM3" s="34" t="s">
        <v>25</v>
      </c>
      <c r="AN3" s="35" t="s">
        <v>26</v>
      </c>
      <c r="AO3" s="36" t="s">
        <v>21</v>
      </c>
      <c r="AP3" s="33" t="s">
        <v>22</v>
      </c>
      <c r="AQ3" s="33" t="s">
        <v>22</v>
      </c>
      <c r="AR3" s="33" t="s">
        <v>23</v>
      </c>
      <c r="AS3" s="33" t="s">
        <v>24</v>
      </c>
      <c r="AT3" s="34" t="s">
        <v>25</v>
      </c>
      <c r="AU3" s="35" t="s">
        <v>26</v>
      </c>
      <c r="AV3" s="36" t="s">
        <v>21</v>
      </c>
      <c r="AW3" s="33" t="s">
        <v>22</v>
      </c>
      <c r="AX3" s="33" t="s">
        <v>22</v>
      </c>
      <c r="AY3" s="33" t="s">
        <v>23</v>
      </c>
      <c r="AZ3" s="33" t="s">
        <v>24</v>
      </c>
      <c r="BA3" s="34" t="s">
        <v>25</v>
      </c>
      <c r="BB3" s="35" t="s">
        <v>26</v>
      </c>
      <c r="BC3" s="36" t="s">
        <v>21</v>
      </c>
      <c r="BD3" s="33" t="s">
        <v>22</v>
      </c>
      <c r="BE3" s="33" t="s">
        <v>22</v>
      </c>
      <c r="BF3" s="33" t="s">
        <v>23</v>
      </c>
      <c r="BG3" s="33" t="s">
        <v>24</v>
      </c>
      <c r="BH3" s="34" t="s">
        <v>25</v>
      </c>
      <c r="BI3" s="35" t="s">
        <v>26</v>
      </c>
      <c r="BJ3" s="36" t="s">
        <v>21</v>
      </c>
      <c r="BK3" s="33" t="s">
        <v>22</v>
      </c>
      <c r="BL3" s="33" t="s">
        <v>22</v>
      </c>
      <c r="BM3" s="33" t="s">
        <v>23</v>
      </c>
      <c r="BN3" s="33" t="s">
        <v>24</v>
      </c>
      <c r="BO3" s="34" t="s">
        <v>25</v>
      </c>
      <c r="BP3" s="35" t="s">
        <v>26</v>
      </c>
      <c r="BQ3" s="36" t="s">
        <v>21</v>
      </c>
      <c r="BR3" s="33" t="s">
        <v>22</v>
      </c>
      <c r="BS3" s="33" t="s">
        <v>22</v>
      </c>
      <c r="BT3" s="33" t="s">
        <v>23</v>
      </c>
      <c r="BU3" s="33" t="s">
        <v>24</v>
      </c>
      <c r="BV3" s="34" t="s">
        <v>25</v>
      </c>
      <c r="BW3" s="35" t="s">
        <v>26</v>
      </c>
      <c r="BX3" s="36" t="s">
        <v>21</v>
      </c>
      <c r="BY3" s="33" t="s">
        <v>22</v>
      </c>
      <c r="BZ3" s="33" t="s">
        <v>22</v>
      </c>
      <c r="CA3" s="33" t="s">
        <v>23</v>
      </c>
      <c r="CB3" s="33" t="s">
        <v>24</v>
      </c>
      <c r="CC3" s="34" t="s">
        <v>25</v>
      </c>
      <c r="CD3" s="35" t="s">
        <v>26</v>
      </c>
      <c r="CE3" s="36" t="s">
        <v>21</v>
      </c>
      <c r="CF3" s="33" t="s">
        <v>22</v>
      </c>
      <c r="CG3" s="33" t="s">
        <v>22</v>
      </c>
      <c r="CH3" s="33" t="s">
        <v>23</v>
      </c>
      <c r="CI3" s="33" t="s">
        <v>24</v>
      </c>
      <c r="CJ3" s="34" t="s">
        <v>25</v>
      </c>
      <c r="CK3" s="35" t="s">
        <v>26</v>
      </c>
      <c r="CL3" s="36" t="s">
        <v>21</v>
      </c>
      <c r="CM3" s="33" t="s">
        <v>22</v>
      </c>
      <c r="CN3" s="33" t="s">
        <v>22</v>
      </c>
      <c r="CO3" s="33" t="s">
        <v>23</v>
      </c>
      <c r="CP3" s="33" t="s">
        <v>24</v>
      </c>
      <c r="CQ3" s="34" t="s">
        <v>25</v>
      </c>
      <c r="CR3" s="35" t="s">
        <v>26</v>
      </c>
      <c r="CS3" s="36" t="s">
        <v>21</v>
      </c>
      <c r="CT3" s="33" t="s">
        <v>22</v>
      </c>
      <c r="CU3" s="33" t="s">
        <v>22</v>
      </c>
      <c r="CV3" s="33" t="s">
        <v>23</v>
      </c>
      <c r="CW3" s="33" t="s">
        <v>24</v>
      </c>
      <c r="CX3" s="34" t="s">
        <v>25</v>
      </c>
      <c r="CY3" s="35" t="s">
        <v>26</v>
      </c>
      <c r="CZ3" s="36" t="s">
        <v>21</v>
      </c>
      <c r="DA3" s="33" t="s">
        <v>22</v>
      </c>
      <c r="DB3" s="33" t="s">
        <v>22</v>
      </c>
      <c r="DC3" s="33" t="s">
        <v>23</v>
      </c>
      <c r="DD3" s="33" t="s">
        <v>24</v>
      </c>
      <c r="DE3" s="34" t="s">
        <v>25</v>
      </c>
      <c r="DF3" s="35" t="s">
        <v>26</v>
      </c>
      <c r="DG3" s="36" t="s">
        <v>21</v>
      </c>
      <c r="DH3" s="33" t="s">
        <v>22</v>
      </c>
      <c r="DI3" s="33" t="s">
        <v>22</v>
      </c>
      <c r="DJ3" s="33" t="s">
        <v>23</v>
      </c>
      <c r="DK3" s="33" t="s">
        <v>24</v>
      </c>
      <c r="DL3" s="34" t="s">
        <v>25</v>
      </c>
      <c r="DM3" s="35" t="s">
        <v>26</v>
      </c>
      <c r="DN3" s="36" t="s">
        <v>21</v>
      </c>
      <c r="DO3" s="33" t="s">
        <v>22</v>
      </c>
      <c r="DP3" s="33" t="s">
        <v>22</v>
      </c>
      <c r="DQ3" s="33" t="s">
        <v>23</v>
      </c>
      <c r="DR3" s="33" t="s">
        <v>24</v>
      </c>
      <c r="DS3" s="34" t="s">
        <v>25</v>
      </c>
      <c r="DT3" s="35" t="s">
        <v>26</v>
      </c>
    </row>
    <row r="4" spans="1:124" s="12" customFormat="1" ht="9" customHeight="1" thickBot="1">
      <c r="A4" s="560"/>
      <c r="B4" s="603"/>
      <c r="C4" s="564"/>
      <c r="D4" s="564"/>
      <c r="E4" s="565"/>
      <c r="F4" s="32" t="s">
        <v>27</v>
      </c>
      <c r="G4" s="33" t="s">
        <v>28</v>
      </c>
      <c r="H4" s="33" t="s">
        <v>29</v>
      </c>
      <c r="I4" s="33" t="s">
        <v>30</v>
      </c>
      <c r="J4" s="33" t="s">
        <v>31</v>
      </c>
      <c r="K4" s="34" t="s">
        <v>32</v>
      </c>
      <c r="L4" s="35" t="s">
        <v>33</v>
      </c>
      <c r="M4" s="36" t="s">
        <v>27</v>
      </c>
      <c r="N4" s="33" t="s">
        <v>28</v>
      </c>
      <c r="O4" s="33" t="s">
        <v>29</v>
      </c>
      <c r="P4" s="33" t="s">
        <v>30</v>
      </c>
      <c r="Q4" s="33" t="s">
        <v>31</v>
      </c>
      <c r="R4" s="34" t="s">
        <v>32</v>
      </c>
      <c r="S4" s="35" t="s">
        <v>33</v>
      </c>
      <c r="T4" s="36" t="s">
        <v>27</v>
      </c>
      <c r="U4" s="33" t="s">
        <v>28</v>
      </c>
      <c r="V4" s="33" t="s">
        <v>29</v>
      </c>
      <c r="W4" s="33" t="s">
        <v>30</v>
      </c>
      <c r="X4" s="33" t="s">
        <v>31</v>
      </c>
      <c r="Y4" s="34" t="s">
        <v>32</v>
      </c>
      <c r="Z4" s="35" t="s">
        <v>33</v>
      </c>
      <c r="AA4" s="36" t="s">
        <v>27</v>
      </c>
      <c r="AB4" s="33" t="s">
        <v>28</v>
      </c>
      <c r="AC4" s="33" t="s">
        <v>29</v>
      </c>
      <c r="AD4" s="33" t="s">
        <v>30</v>
      </c>
      <c r="AE4" s="33" t="s">
        <v>31</v>
      </c>
      <c r="AF4" s="34" t="s">
        <v>32</v>
      </c>
      <c r="AG4" s="35" t="s">
        <v>33</v>
      </c>
      <c r="AH4" s="36" t="s">
        <v>27</v>
      </c>
      <c r="AI4" s="33" t="s">
        <v>28</v>
      </c>
      <c r="AJ4" s="33" t="s">
        <v>29</v>
      </c>
      <c r="AK4" s="33" t="s">
        <v>30</v>
      </c>
      <c r="AL4" s="33" t="s">
        <v>31</v>
      </c>
      <c r="AM4" s="34" t="s">
        <v>32</v>
      </c>
      <c r="AN4" s="35" t="s">
        <v>33</v>
      </c>
      <c r="AO4" s="36" t="s">
        <v>27</v>
      </c>
      <c r="AP4" s="33" t="s">
        <v>28</v>
      </c>
      <c r="AQ4" s="33" t="s">
        <v>29</v>
      </c>
      <c r="AR4" s="33" t="s">
        <v>30</v>
      </c>
      <c r="AS4" s="33" t="s">
        <v>31</v>
      </c>
      <c r="AT4" s="34" t="s">
        <v>32</v>
      </c>
      <c r="AU4" s="35" t="s">
        <v>33</v>
      </c>
      <c r="AV4" s="36" t="s">
        <v>27</v>
      </c>
      <c r="AW4" s="33" t="s">
        <v>28</v>
      </c>
      <c r="AX4" s="33" t="s">
        <v>29</v>
      </c>
      <c r="AY4" s="33" t="s">
        <v>30</v>
      </c>
      <c r="AZ4" s="33" t="s">
        <v>31</v>
      </c>
      <c r="BA4" s="34" t="s">
        <v>32</v>
      </c>
      <c r="BB4" s="35" t="s">
        <v>33</v>
      </c>
      <c r="BC4" s="36" t="s">
        <v>27</v>
      </c>
      <c r="BD4" s="33" t="s">
        <v>28</v>
      </c>
      <c r="BE4" s="33" t="s">
        <v>29</v>
      </c>
      <c r="BF4" s="33" t="s">
        <v>30</v>
      </c>
      <c r="BG4" s="33" t="s">
        <v>31</v>
      </c>
      <c r="BH4" s="34" t="s">
        <v>32</v>
      </c>
      <c r="BI4" s="35" t="s">
        <v>33</v>
      </c>
      <c r="BJ4" s="36" t="s">
        <v>27</v>
      </c>
      <c r="BK4" s="33" t="s">
        <v>28</v>
      </c>
      <c r="BL4" s="33" t="s">
        <v>29</v>
      </c>
      <c r="BM4" s="33" t="s">
        <v>30</v>
      </c>
      <c r="BN4" s="33" t="s">
        <v>31</v>
      </c>
      <c r="BO4" s="34" t="s">
        <v>32</v>
      </c>
      <c r="BP4" s="35" t="s">
        <v>33</v>
      </c>
      <c r="BQ4" s="36" t="s">
        <v>27</v>
      </c>
      <c r="BR4" s="33" t="s">
        <v>28</v>
      </c>
      <c r="BS4" s="33" t="s">
        <v>29</v>
      </c>
      <c r="BT4" s="33" t="s">
        <v>30</v>
      </c>
      <c r="BU4" s="33" t="s">
        <v>31</v>
      </c>
      <c r="BV4" s="34" t="s">
        <v>32</v>
      </c>
      <c r="BW4" s="35" t="s">
        <v>33</v>
      </c>
      <c r="BX4" s="36" t="s">
        <v>27</v>
      </c>
      <c r="BY4" s="33" t="s">
        <v>28</v>
      </c>
      <c r="BZ4" s="33" t="s">
        <v>29</v>
      </c>
      <c r="CA4" s="33" t="s">
        <v>30</v>
      </c>
      <c r="CB4" s="33" t="s">
        <v>31</v>
      </c>
      <c r="CC4" s="34" t="s">
        <v>32</v>
      </c>
      <c r="CD4" s="35" t="s">
        <v>33</v>
      </c>
      <c r="CE4" s="36" t="s">
        <v>27</v>
      </c>
      <c r="CF4" s="33" t="s">
        <v>28</v>
      </c>
      <c r="CG4" s="33" t="s">
        <v>29</v>
      </c>
      <c r="CH4" s="33" t="s">
        <v>30</v>
      </c>
      <c r="CI4" s="33" t="s">
        <v>31</v>
      </c>
      <c r="CJ4" s="34" t="s">
        <v>32</v>
      </c>
      <c r="CK4" s="35" t="s">
        <v>33</v>
      </c>
      <c r="CL4" s="36" t="s">
        <v>27</v>
      </c>
      <c r="CM4" s="33" t="s">
        <v>28</v>
      </c>
      <c r="CN4" s="33" t="s">
        <v>29</v>
      </c>
      <c r="CO4" s="33" t="s">
        <v>30</v>
      </c>
      <c r="CP4" s="33" t="s">
        <v>31</v>
      </c>
      <c r="CQ4" s="34" t="s">
        <v>32</v>
      </c>
      <c r="CR4" s="35" t="s">
        <v>33</v>
      </c>
      <c r="CS4" s="36" t="s">
        <v>27</v>
      </c>
      <c r="CT4" s="33" t="s">
        <v>28</v>
      </c>
      <c r="CU4" s="33" t="s">
        <v>29</v>
      </c>
      <c r="CV4" s="33" t="s">
        <v>30</v>
      </c>
      <c r="CW4" s="33" t="s">
        <v>31</v>
      </c>
      <c r="CX4" s="34" t="s">
        <v>32</v>
      </c>
      <c r="CY4" s="35" t="s">
        <v>33</v>
      </c>
      <c r="CZ4" s="36" t="s">
        <v>27</v>
      </c>
      <c r="DA4" s="33" t="s">
        <v>28</v>
      </c>
      <c r="DB4" s="33" t="s">
        <v>29</v>
      </c>
      <c r="DC4" s="33" t="s">
        <v>30</v>
      </c>
      <c r="DD4" s="33" t="s">
        <v>31</v>
      </c>
      <c r="DE4" s="34" t="s">
        <v>32</v>
      </c>
      <c r="DF4" s="35" t="s">
        <v>33</v>
      </c>
      <c r="DG4" s="36" t="s">
        <v>27</v>
      </c>
      <c r="DH4" s="33" t="s">
        <v>28</v>
      </c>
      <c r="DI4" s="33" t="s">
        <v>29</v>
      </c>
      <c r="DJ4" s="33" t="s">
        <v>30</v>
      </c>
      <c r="DK4" s="33" t="s">
        <v>31</v>
      </c>
      <c r="DL4" s="34" t="s">
        <v>32</v>
      </c>
      <c r="DM4" s="35" t="s">
        <v>33</v>
      </c>
      <c r="DN4" s="36" t="s">
        <v>27</v>
      </c>
      <c r="DO4" s="33" t="s">
        <v>28</v>
      </c>
      <c r="DP4" s="33" t="s">
        <v>29</v>
      </c>
      <c r="DQ4" s="33" t="s">
        <v>30</v>
      </c>
      <c r="DR4" s="33" t="s">
        <v>31</v>
      </c>
      <c r="DS4" s="34" t="s">
        <v>32</v>
      </c>
      <c r="DT4" s="35" t="s">
        <v>33</v>
      </c>
    </row>
    <row r="5" spans="1:124" s="12" customFormat="1" ht="15" customHeight="1" thickTop="1" thickBot="1">
      <c r="A5" s="473" t="s">
        <v>34</v>
      </c>
      <c r="B5" s="474" t="str">
        <f>_xlfn.XLOOKUP(A25,'VTT project'!F:F,'VTT project'!AK:AK,"-",0)</f>
        <v>-</v>
      </c>
      <c r="C5" s="600" t="str">
        <f>_xlfn.XLOOKUP(A25,'VTT project'!F:F,'VTT project'!AL:AL,"-",0)</f>
        <v>-</v>
      </c>
      <c r="D5" s="547"/>
      <c r="E5" s="548"/>
      <c r="F5" s="37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9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9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9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9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9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9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9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9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9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9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9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9">
        <v>85</v>
      </c>
      <c r="CM5" s="38">
        <v>86</v>
      </c>
      <c r="CN5" s="38">
        <v>87</v>
      </c>
      <c r="CO5" s="38">
        <v>88</v>
      </c>
      <c r="CP5" s="38">
        <v>89</v>
      </c>
      <c r="CQ5" s="38">
        <v>90</v>
      </c>
      <c r="CR5" s="38">
        <v>91</v>
      </c>
      <c r="CS5" s="39">
        <v>92</v>
      </c>
      <c r="CT5" s="38">
        <v>93</v>
      </c>
      <c r="CU5" s="38">
        <v>94</v>
      </c>
      <c r="CV5" s="38">
        <v>95</v>
      </c>
      <c r="CW5" s="38">
        <v>96</v>
      </c>
      <c r="CX5" s="38">
        <v>97</v>
      </c>
      <c r="CY5" s="38">
        <v>98</v>
      </c>
      <c r="CZ5" s="39">
        <v>99</v>
      </c>
      <c r="DA5" s="38">
        <v>100</v>
      </c>
      <c r="DB5" s="38">
        <v>101</v>
      </c>
      <c r="DC5" s="38">
        <v>102</v>
      </c>
      <c r="DD5" s="38">
        <v>103</v>
      </c>
      <c r="DE5" s="38">
        <v>104</v>
      </c>
      <c r="DF5" s="38">
        <v>105</v>
      </c>
      <c r="DG5" s="38">
        <v>106</v>
      </c>
      <c r="DH5" s="38">
        <v>107</v>
      </c>
      <c r="DI5" s="38">
        <v>108</v>
      </c>
      <c r="DJ5" s="38">
        <v>109</v>
      </c>
      <c r="DK5" s="38">
        <v>110</v>
      </c>
      <c r="DL5" s="38">
        <v>111</v>
      </c>
      <c r="DM5" s="38">
        <v>112</v>
      </c>
      <c r="DN5" s="38">
        <v>113</v>
      </c>
      <c r="DO5" s="38">
        <v>114</v>
      </c>
      <c r="DP5" s="38">
        <v>115</v>
      </c>
      <c r="DQ5" s="38">
        <v>116</v>
      </c>
      <c r="DR5" s="38">
        <v>117</v>
      </c>
      <c r="DS5" s="38">
        <v>118</v>
      </c>
      <c r="DT5" s="38">
        <v>119</v>
      </c>
    </row>
    <row r="6" spans="1:124" s="46" customFormat="1" ht="33" customHeight="1" thickTop="1" thickBot="1">
      <c r="A6" s="473" t="s">
        <v>35</v>
      </c>
      <c r="B6" s="474" t="str">
        <f>_xlfn.XLOOKUP(A25,'VTT project'!F:F,'VTT project'!L:L,"-",0)</f>
        <v>-</v>
      </c>
      <c r="C6" s="601" t="str">
        <f>_xlfn.XLOOKUP(A25,'VTT project'!F:F,'VTT project'!M:M,"-",0)</f>
        <v>-</v>
      </c>
      <c r="D6" s="550"/>
      <c r="E6" s="551"/>
      <c r="F6" s="339">
        <f ca="1">TODAY()-WEEKDAY(TODAY(),3)</f>
        <v>45838</v>
      </c>
      <c r="G6" s="43">
        <f t="shared" ref="G6:AL6" ca="1" si="0">F6+1</f>
        <v>45839</v>
      </c>
      <c r="H6" s="43">
        <f t="shared" ca="1" si="0"/>
        <v>45840</v>
      </c>
      <c r="I6" s="43">
        <f t="shared" ca="1" si="0"/>
        <v>45841</v>
      </c>
      <c r="J6" s="43">
        <f t="shared" ca="1" si="0"/>
        <v>45842</v>
      </c>
      <c r="K6" s="44">
        <f t="shared" ca="1" si="0"/>
        <v>45843</v>
      </c>
      <c r="L6" s="45">
        <f t="shared" ca="1" si="0"/>
        <v>45844</v>
      </c>
      <c r="M6" s="43">
        <f t="shared" ca="1" si="0"/>
        <v>45845</v>
      </c>
      <c r="N6" s="43">
        <f t="shared" ca="1" si="0"/>
        <v>45846</v>
      </c>
      <c r="O6" s="43">
        <f t="shared" ca="1" si="0"/>
        <v>45847</v>
      </c>
      <c r="P6" s="43">
        <f t="shared" ca="1" si="0"/>
        <v>45848</v>
      </c>
      <c r="Q6" s="43">
        <f t="shared" ca="1" si="0"/>
        <v>45849</v>
      </c>
      <c r="R6" s="44">
        <f t="shared" ca="1" si="0"/>
        <v>45850</v>
      </c>
      <c r="S6" s="45">
        <f t="shared" ca="1" si="0"/>
        <v>45851</v>
      </c>
      <c r="T6" s="43">
        <f t="shared" ca="1" si="0"/>
        <v>45852</v>
      </c>
      <c r="U6" s="43">
        <f t="shared" ca="1" si="0"/>
        <v>45853</v>
      </c>
      <c r="V6" s="43">
        <f t="shared" ca="1" si="0"/>
        <v>45854</v>
      </c>
      <c r="W6" s="43">
        <f t="shared" ca="1" si="0"/>
        <v>45855</v>
      </c>
      <c r="X6" s="43">
        <f t="shared" ca="1" si="0"/>
        <v>45856</v>
      </c>
      <c r="Y6" s="44">
        <f t="shared" ca="1" si="0"/>
        <v>45857</v>
      </c>
      <c r="Z6" s="45">
        <f t="shared" ca="1" si="0"/>
        <v>45858</v>
      </c>
      <c r="AA6" s="43">
        <f t="shared" ca="1" si="0"/>
        <v>45859</v>
      </c>
      <c r="AB6" s="43">
        <f t="shared" ca="1" si="0"/>
        <v>45860</v>
      </c>
      <c r="AC6" s="43">
        <f t="shared" ca="1" si="0"/>
        <v>45861</v>
      </c>
      <c r="AD6" s="43">
        <f t="shared" ca="1" si="0"/>
        <v>45862</v>
      </c>
      <c r="AE6" s="43">
        <f t="shared" ca="1" si="0"/>
        <v>45863</v>
      </c>
      <c r="AF6" s="44">
        <f t="shared" ca="1" si="0"/>
        <v>45864</v>
      </c>
      <c r="AG6" s="45">
        <f t="shared" ca="1" si="0"/>
        <v>45865</v>
      </c>
      <c r="AH6" s="43">
        <f t="shared" ca="1" si="0"/>
        <v>45866</v>
      </c>
      <c r="AI6" s="43">
        <f t="shared" ca="1" si="0"/>
        <v>45867</v>
      </c>
      <c r="AJ6" s="43">
        <f t="shared" ca="1" si="0"/>
        <v>45868</v>
      </c>
      <c r="AK6" s="43">
        <f t="shared" ca="1" si="0"/>
        <v>45869</v>
      </c>
      <c r="AL6" s="43">
        <f t="shared" ca="1" si="0"/>
        <v>45870</v>
      </c>
      <c r="AM6" s="44">
        <f t="shared" ref="AM6:BR6" ca="1" si="1">AL6+1</f>
        <v>45871</v>
      </c>
      <c r="AN6" s="45">
        <f t="shared" ca="1" si="1"/>
        <v>45872</v>
      </c>
      <c r="AO6" s="43">
        <f t="shared" ca="1" si="1"/>
        <v>45873</v>
      </c>
      <c r="AP6" s="43">
        <f t="shared" ca="1" si="1"/>
        <v>45874</v>
      </c>
      <c r="AQ6" s="43">
        <f t="shared" ca="1" si="1"/>
        <v>45875</v>
      </c>
      <c r="AR6" s="43">
        <f t="shared" ca="1" si="1"/>
        <v>45876</v>
      </c>
      <c r="AS6" s="43">
        <f t="shared" ca="1" si="1"/>
        <v>45877</v>
      </c>
      <c r="AT6" s="44">
        <f t="shared" ca="1" si="1"/>
        <v>45878</v>
      </c>
      <c r="AU6" s="45">
        <f t="shared" ca="1" si="1"/>
        <v>45879</v>
      </c>
      <c r="AV6" s="43">
        <f t="shared" ca="1" si="1"/>
        <v>45880</v>
      </c>
      <c r="AW6" s="43">
        <f t="shared" ca="1" si="1"/>
        <v>45881</v>
      </c>
      <c r="AX6" s="43">
        <f t="shared" ca="1" si="1"/>
        <v>45882</v>
      </c>
      <c r="AY6" s="43">
        <f t="shared" ca="1" si="1"/>
        <v>45883</v>
      </c>
      <c r="AZ6" s="43">
        <f t="shared" ca="1" si="1"/>
        <v>45884</v>
      </c>
      <c r="BA6" s="44">
        <f t="shared" ca="1" si="1"/>
        <v>45885</v>
      </c>
      <c r="BB6" s="45">
        <f t="shared" ca="1" si="1"/>
        <v>45886</v>
      </c>
      <c r="BC6" s="43">
        <f t="shared" ca="1" si="1"/>
        <v>45887</v>
      </c>
      <c r="BD6" s="43">
        <f t="shared" ca="1" si="1"/>
        <v>45888</v>
      </c>
      <c r="BE6" s="43">
        <f t="shared" ca="1" si="1"/>
        <v>45889</v>
      </c>
      <c r="BF6" s="43">
        <f t="shared" ca="1" si="1"/>
        <v>45890</v>
      </c>
      <c r="BG6" s="43">
        <f t="shared" ca="1" si="1"/>
        <v>45891</v>
      </c>
      <c r="BH6" s="44">
        <f t="shared" ca="1" si="1"/>
        <v>45892</v>
      </c>
      <c r="BI6" s="45">
        <f t="shared" ca="1" si="1"/>
        <v>45893</v>
      </c>
      <c r="BJ6" s="43">
        <f t="shared" ca="1" si="1"/>
        <v>45894</v>
      </c>
      <c r="BK6" s="43">
        <f t="shared" ca="1" si="1"/>
        <v>45895</v>
      </c>
      <c r="BL6" s="43">
        <f t="shared" ca="1" si="1"/>
        <v>45896</v>
      </c>
      <c r="BM6" s="43">
        <f t="shared" ca="1" si="1"/>
        <v>45897</v>
      </c>
      <c r="BN6" s="43">
        <f t="shared" ca="1" si="1"/>
        <v>45898</v>
      </c>
      <c r="BO6" s="44">
        <f t="shared" ca="1" si="1"/>
        <v>45899</v>
      </c>
      <c r="BP6" s="45">
        <f t="shared" ca="1" si="1"/>
        <v>45900</v>
      </c>
      <c r="BQ6" s="43">
        <f t="shared" ca="1" si="1"/>
        <v>45901</v>
      </c>
      <c r="BR6" s="43">
        <f t="shared" ca="1" si="1"/>
        <v>45902</v>
      </c>
      <c r="BS6" s="43">
        <f t="shared" ref="BS6:CX6" ca="1" si="2">BR6+1</f>
        <v>45903</v>
      </c>
      <c r="BT6" s="43">
        <f t="shared" ca="1" si="2"/>
        <v>45904</v>
      </c>
      <c r="BU6" s="43">
        <f t="shared" ca="1" si="2"/>
        <v>45905</v>
      </c>
      <c r="BV6" s="44">
        <f t="shared" ca="1" si="2"/>
        <v>45906</v>
      </c>
      <c r="BW6" s="45">
        <f t="shared" ca="1" si="2"/>
        <v>45907</v>
      </c>
      <c r="BX6" s="43">
        <f t="shared" ca="1" si="2"/>
        <v>45908</v>
      </c>
      <c r="BY6" s="43">
        <f t="shared" ca="1" si="2"/>
        <v>45909</v>
      </c>
      <c r="BZ6" s="43">
        <f t="shared" ca="1" si="2"/>
        <v>45910</v>
      </c>
      <c r="CA6" s="43">
        <f t="shared" ca="1" si="2"/>
        <v>45911</v>
      </c>
      <c r="CB6" s="43">
        <f t="shared" ca="1" si="2"/>
        <v>45912</v>
      </c>
      <c r="CC6" s="44">
        <f t="shared" ca="1" si="2"/>
        <v>45913</v>
      </c>
      <c r="CD6" s="45">
        <f t="shared" ca="1" si="2"/>
        <v>45914</v>
      </c>
      <c r="CE6" s="43">
        <f t="shared" ca="1" si="2"/>
        <v>45915</v>
      </c>
      <c r="CF6" s="43">
        <f t="shared" ca="1" si="2"/>
        <v>45916</v>
      </c>
      <c r="CG6" s="43">
        <f t="shared" ca="1" si="2"/>
        <v>45917</v>
      </c>
      <c r="CH6" s="43">
        <f t="shared" ca="1" si="2"/>
        <v>45918</v>
      </c>
      <c r="CI6" s="43">
        <f t="shared" ca="1" si="2"/>
        <v>45919</v>
      </c>
      <c r="CJ6" s="44">
        <f t="shared" ca="1" si="2"/>
        <v>45920</v>
      </c>
      <c r="CK6" s="45">
        <f t="shared" ca="1" si="2"/>
        <v>45921</v>
      </c>
      <c r="CL6" s="43">
        <f t="shared" ca="1" si="2"/>
        <v>45922</v>
      </c>
      <c r="CM6" s="43">
        <f t="shared" ca="1" si="2"/>
        <v>45923</v>
      </c>
      <c r="CN6" s="43">
        <f t="shared" ca="1" si="2"/>
        <v>45924</v>
      </c>
      <c r="CO6" s="43">
        <f t="shared" ca="1" si="2"/>
        <v>45925</v>
      </c>
      <c r="CP6" s="43">
        <f t="shared" ca="1" si="2"/>
        <v>45926</v>
      </c>
      <c r="CQ6" s="44">
        <f t="shared" ca="1" si="2"/>
        <v>45927</v>
      </c>
      <c r="CR6" s="45">
        <f t="shared" ca="1" si="2"/>
        <v>45928</v>
      </c>
      <c r="CS6" s="43">
        <f t="shared" ca="1" si="2"/>
        <v>45929</v>
      </c>
      <c r="CT6" s="43">
        <f t="shared" ca="1" si="2"/>
        <v>45930</v>
      </c>
      <c r="CU6" s="43">
        <f t="shared" ca="1" si="2"/>
        <v>45931</v>
      </c>
      <c r="CV6" s="43">
        <f t="shared" ca="1" si="2"/>
        <v>45932</v>
      </c>
      <c r="CW6" s="43">
        <f t="shared" ca="1" si="2"/>
        <v>45933</v>
      </c>
      <c r="CX6" s="44">
        <f t="shared" ca="1" si="2"/>
        <v>45934</v>
      </c>
      <c r="CY6" s="45">
        <f t="shared" ref="CY6:DT6" ca="1" si="3">CX6+1</f>
        <v>45935</v>
      </c>
      <c r="CZ6" s="43">
        <f t="shared" ca="1" si="3"/>
        <v>45936</v>
      </c>
      <c r="DA6" s="43">
        <f t="shared" ca="1" si="3"/>
        <v>45937</v>
      </c>
      <c r="DB6" s="43">
        <f t="shared" ca="1" si="3"/>
        <v>45938</v>
      </c>
      <c r="DC6" s="43">
        <f t="shared" ca="1" si="3"/>
        <v>45939</v>
      </c>
      <c r="DD6" s="43">
        <f t="shared" ca="1" si="3"/>
        <v>45940</v>
      </c>
      <c r="DE6" s="44">
        <f t="shared" ca="1" si="3"/>
        <v>45941</v>
      </c>
      <c r="DF6" s="45">
        <f t="shared" ca="1" si="3"/>
        <v>45942</v>
      </c>
      <c r="DG6" s="43">
        <f t="shared" ca="1" si="3"/>
        <v>45943</v>
      </c>
      <c r="DH6" s="43">
        <f t="shared" ca="1" si="3"/>
        <v>45944</v>
      </c>
      <c r="DI6" s="43">
        <f t="shared" ca="1" si="3"/>
        <v>45945</v>
      </c>
      <c r="DJ6" s="43">
        <f t="shared" ca="1" si="3"/>
        <v>45946</v>
      </c>
      <c r="DK6" s="43">
        <f t="shared" ca="1" si="3"/>
        <v>45947</v>
      </c>
      <c r="DL6" s="44">
        <f t="shared" ca="1" si="3"/>
        <v>45948</v>
      </c>
      <c r="DM6" s="45">
        <f t="shared" ca="1" si="3"/>
        <v>45949</v>
      </c>
      <c r="DN6" s="43">
        <f t="shared" ca="1" si="3"/>
        <v>45950</v>
      </c>
      <c r="DO6" s="43">
        <f t="shared" ca="1" si="3"/>
        <v>45951</v>
      </c>
      <c r="DP6" s="43">
        <f t="shared" ca="1" si="3"/>
        <v>45952</v>
      </c>
      <c r="DQ6" s="43">
        <f t="shared" ca="1" si="3"/>
        <v>45953</v>
      </c>
      <c r="DR6" s="43">
        <f t="shared" ca="1" si="3"/>
        <v>45954</v>
      </c>
      <c r="DS6" s="44">
        <f t="shared" ca="1" si="3"/>
        <v>45955</v>
      </c>
      <c r="DT6" s="45">
        <f t="shared" ca="1" si="3"/>
        <v>45956</v>
      </c>
    </row>
    <row r="7" spans="1:124" s="17" customFormat="1" ht="17.25" customHeight="1" thickTop="1">
      <c r="A7" s="473" t="s">
        <v>37</v>
      </c>
      <c r="B7" s="127">
        <v>60</v>
      </c>
      <c r="C7" s="40" t="s">
        <v>38</v>
      </c>
      <c r="D7" s="40" t="s">
        <v>39</v>
      </c>
      <c r="E7" s="41" t="s">
        <v>40</v>
      </c>
      <c r="F7" s="13"/>
      <c r="G7" s="14"/>
      <c r="H7" s="14"/>
      <c r="I7" s="14"/>
      <c r="J7" s="14"/>
      <c r="K7" s="15"/>
      <c r="L7" s="16"/>
      <c r="M7" s="13"/>
      <c r="N7" s="14"/>
      <c r="O7" s="14"/>
      <c r="P7" s="14"/>
      <c r="Q7" s="14"/>
      <c r="R7" s="15"/>
      <c r="S7" s="16"/>
      <c r="T7" s="13"/>
      <c r="U7" s="14"/>
      <c r="V7" s="14"/>
      <c r="W7" s="14"/>
      <c r="X7" s="14"/>
      <c r="Y7" s="15"/>
      <c r="Z7" s="16"/>
      <c r="AA7" s="13"/>
      <c r="AB7" s="14"/>
      <c r="AC7" s="14"/>
      <c r="AD7" s="14"/>
      <c r="AE7" s="14"/>
      <c r="AF7" s="15"/>
      <c r="AG7" s="16"/>
      <c r="AH7" s="13"/>
      <c r="AI7" s="14"/>
      <c r="AJ7" s="14"/>
      <c r="AK7" s="14"/>
      <c r="AL7" s="14"/>
      <c r="AM7" s="15"/>
      <c r="AN7" s="16"/>
      <c r="AO7" s="13"/>
      <c r="AP7" s="14"/>
      <c r="AQ7" s="14"/>
      <c r="AR7" s="14"/>
      <c r="AS7" s="14"/>
      <c r="AT7" s="15"/>
      <c r="AU7" s="16"/>
      <c r="AV7" s="13"/>
      <c r="AW7" s="14"/>
      <c r="AX7" s="14"/>
      <c r="AY7" s="14"/>
      <c r="AZ7" s="14"/>
      <c r="BA7" s="15"/>
      <c r="BB7" s="16"/>
      <c r="BC7" s="13"/>
      <c r="BD7" s="14"/>
      <c r="BE7" s="14"/>
      <c r="BF7" s="14"/>
      <c r="BG7" s="14"/>
      <c r="BH7" s="15"/>
      <c r="BI7" s="16"/>
      <c r="BJ7" s="13"/>
      <c r="BK7" s="14"/>
      <c r="BL7" s="14"/>
      <c r="BM7" s="14"/>
      <c r="BN7" s="14"/>
      <c r="BO7" s="15"/>
      <c r="BP7" s="16"/>
      <c r="BQ7" s="13"/>
      <c r="BR7" s="14"/>
      <c r="BS7" s="14"/>
      <c r="BT7" s="14"/>
      <c r="BU7" s="14"/>
      <c r="BV7" s="15"/>
      <c r="BW7" s="16"/>
      <c r="BX7" s="13"/>
      <c r="BY7" s="14"/>
      <c r="BZ7" s="14"/>
      <c r="CA7" s="14"/>
      <c r="CB7" s="14"/>
      <c r="CC7" s="15"/>
      <c r="CD7" s="16"/>
      <c r="CE7" s="13"/>
      <c r="CF7" s="14"/>
      <c r="CG7" s="14"/>
      <c r="CH7" s="14"/>
      <c r="CI7" s="14"/>
      <c r="CJ7" s="15"/>
      <c r="CK7" s="16"/>
      <c r="CL7" s="13"/>
      <c r="CM7" s="14"/>
      <c r="CN7" s="14"/>
      <c r="CO7" s="14"/>
      <c r="CP7" s="14"/>
      <c r="CQ7" s="15"/>
      <c r="CR7" s="16"/>
      <c r="CS7" s="13"/>
      <c r="CT7" s="14"/>
      <c r="CU7" s="14"/>
      <c r="CV7" s="14"/>
      <c r="CW7" s="14"/>
      <c r="CX7" s="15"/>
      <c r="CY7" s="16"/>
      <c r="CZ7" s="13"/>
      <c r="DA7" s="14"/>
      <c r="DB7" s="14"/>
      <c r="DC7" s="14"/>
      <c r="DD7" s="14"/>
      <c r="DE7" s="15"/>
      <c r="DF7" s="16"/>
      <c r="DG7" s="13"/>
      <c r="DH7" s="14"/>
      <c r="DI7" s="14"/>
      <c r="DJ7" s="14"/>
      <c r="DK7" s="14"/>
      <c r="DL7" s="15"/>
      <c r="DM7" s="16"/>
      <c r="DN7" s="13"/>
      <c r="DO7" s="14"/>
      <c r="DP7" s="14"/>
      <c r="DQ7" s="14"/>
      <c r="DR7" s="14"/>
      <c r="DS7" s="15"/>
      <c r="DT7" s="16"/>
    </row>
    <row r="8" spans="1:124" s="17" customFormat="1" ht="9.6" customHeight="1">
      <c r="A8" s="552" t="str">
        <f>_xlfn.XLOOKUP(A25,'VTT project'!F:F,'VTT project'!AA:AA,"-",0)&amp;" &gt; "&amp;_xlfn.XLOOKUP(A25,'VTT project'!F:F,'VTT project'!AF:AF,"-",0)</f>
        <v>- &gt; -</v>
      </c>
      <c r="B8" s="18" t="s">
        <v>41</v>
      </c>
      <c r="C8" s="19" t="str">
        <f>_xlfn.XLOOKUP(A25,'VTT project'!F:F,'VTT project'!N:N,"-",0)</f>
        <v>-</v>
      </c>
      <c r="D8" s="20">
        <v>0</v>
      </c>
      <c r="E8" s="19" t="e">
        <f>(C8+D8)</f>
        <v>#VALUE!</v>
      </c>
      <c r="F8" s="13" t="e">
        <f t="shared" ref="F8:O16" si="4">IF(AND(F$5&gt;=$C8,F$5&lt;=$E8),1,"")</f>
        <v>#VALUE!</v>
      </c>
      <c r="G8" s="14" t="e">
        <f t="shared" si="4"/>
        <v>#VALUE!</v>
      </c>
      <c r="H8" s="14" t="e">
        <f t="shared" si="4"/>
        <v>#VALUE!</v>
      </c>
      <c r="I8" s="14" t="e">
        <f t="shared" si="4"/>
        <v>#VALUE!</v>
      </c>
      <c r="J8" s="14" t="e">
        <f t="shared" si="4"/>
        <v>#VALUE!</v>
      </c>
      <c r="K8" s="15" t="e">
        <f t="shared" si="4"/>
        <v>#VALUE!</v>
      </c>
      <c r="L8" s="16" t="e">
        <f t="shared" si="4"/>
        <v>#VALUE!</v>
      </c>
      <c r="M8" s="13" t="e">
        <f t="shared" si="4"/>
        <v>#VALUE!</v>
      </c>
      <c r="N8" s="14" t="e">
        <f t="shared" si="4"/>
        <v>#VALUE!</v>
      </c>
      <c r="O8" s="14" t="e">
        <f t="shared" si="4"/>
        <v>#VALUE!</v>
      </c>
      <c r="P8" s="14" t="e">
        <f t="shared" ref="P8:Y16" si="5">IF(AND(P$5&gt;=$C8,P$5&lt;=$E8),1,"")</f>
        <v>#VALUE!</v>
      </c>
      <c r="Q8" s="14" t="e">
        <f t="shared" si="5"/>
        <v>#VALUE!</v>
      </c>
      <c r="R8" s="15" t="e">
        <f t="shared" si="5"/>
        <v>#VALUE!</v>
      </c>
      <c r="S8" s="16" t="e">
        <f t="shared" si="5"/>
        <v>#VALUE!</v>
      </c>
      <c r="T8" s="13" t="e">
        <f t="shared" si="5"/>
        <v>#VALUE!</v>
      </c>
      <c r="U8" s="14" t="e">
        <f t="shared" si="5"/>
        <v>#VALUE!</v>
      </c>
      <c r="V8" s="14" t="e">
        <f t="shared" si="5"/>
        <v>#VALUE!</v>
      </c>
      <c r="W8" s="14" t="e">
        <f t="shared" si="5"/>
        <v>#VALUE!</v>
      </c>
      <c r="X8" s="14" t="e">
        <f t="shared" si="5"/>
        <v>#VALUE!</v>
      </c>
      <c r="Y8" s="15" t="e">
        <f t="shared" si="5"/>
        <v>#VALUE!</v>
      </c>
      <c r="Z8" s="16" t="e">
        <f t="shared" ref="Z8:AI16" si="6">IF(AND(Z$5&gt;=$C8,Z$5&lt;=$E8),1,"")</f>
        <v>#VALUE!</v>
      </c>
      <c r="AA8" s="13" t="e">
        <f t="shared" si="6"/>
        <v>#VALUE!</v>
      </c>
      <c r="AB8" s="14" t="e">
        <f t="shared" si="6"/>
        <v>#VALUE!</v>
      </c>
      <c r="AC8" s="14" t="e">
        <f t="shared" si="6"/>
        <v>#VALUE!</v>
      </c>
      <c r="AD8" s="14" t="e">
        <f t="shared" si="6"/>
        <v>#VALUE!</v>
      </c>
      <c r="AE8" s="14" t="e">
        <f t="shared" si="6"/>
        <v>#VALUE!</v>
      </c>
      <c r="AF8" s="15" t="e">
        <f t="shared" si="6"/>
        <v>#VALUE!</v>
      </c>
      <c r="AG8" s="16" t="e">
        <f t="shared" si="6"/>
        <v>#VALUE!</v>
      </c>
      <c r="AH8" s="13" t="e">
        <f t="shared" si="6"/>
        <v>#VALUE!</v>
      </c>
      <c r="AI8" s="14" t="e">
        <f t="shared" si="6"/>
        <v>#VALUE!</v>
      </c>
      <c r="AJ8" s="14" t="e">
        <f t="shared" ref="AJ8:AS16" si="7">IF(AND(AJ$5&gt;=$C8,AJ$5&lt;=$E8),1,"")</f>
        <v>#VALUE!</v>
      </c>
      <c r="AK8" s="14" t="e">
        <f t="shared" si="7"/>
        <v>#VALUE!</v>
      </c>
      <c r="AL8" s="14" t="e">
        <f t="shared" si="7"/>
        <v>#VALUE!</v>
      </c>
      <c r="AM8" s="15" t="e">
        <f t="shared" si="7"/>
        <v>#VALUE!</v>
      </c>
      <c r="AN8" s="16" t="e">
        <f t="shared" si="7"/>
        <v>#VALUE!</v>
      </c>
      <c r="AO8" s="13" t="e">
        <f t="shared" si="7"/>
        <v>#VALUE!</v>
      </c>
      <c r="AP8" s="14" t="e">
        <f t="shared" si="7"/>
        <v>#VALUE!</v>
      </c>
      <c r="AQ8" s="14" t="e">
        <f t="shared" si="7"/>
        <v>#VALUE!</v>
      </c>
      <c r="AR8" s="14" t="e">
        <f t="shared" si="7"/>
        <v>#VALUE!</v>
      </c>
      <c r="AS8" s="14" t="e">
        <f t="shared" si="7"/>
        <v>#VALUE!</v>
      </c>
      <c r="AT8" s="15" t="e">
        <f t="shared" ref="AT8:BC16" si="8">IF(AND(AT$5&gt;=$C8,AT$5&lt;=$E8),1,"")</f>
        <v>#VALUE!</v>
      </c>
      <c r="AU8" s="16" t="e">
        <f t="shared" si="8"/>
        <v>#VALUE!</v>
      </c>
      <c r="AV8" s="13" t="e">
        <f t="shared" si="8"/>
        <v>#VALUE!</v>
      </c>
      <c r="AW8" s="14" t="e">
        <f t="shared" si="8"/>
        <v>#VALUE!</v>
      </c>
      <c r="AX8" s="14" t="e">
        <f t="shared" si="8"/>
        <v>#VALUE!</v>
      </c>
      <c r="AY8" s="14" t="e">
        <f t="shared" si="8"/>
        <v>#VALUE!</v>
      </c>
      <c r="AZ8" s="14" t="e">
        <f t="shared" si="8"/>
        <v>#VALUE!</v>
      </c>
      <c r="BA8" s="15" t="e">
        <f t="shared" si="8"/>
        <v>#VALUE!</v>
      </c>
      <c r="BB8" s="16" t="e">
        <f t="shared" si="8"/>
        <v>#VALUE!</v>
      </c>
      <c r="BC8" s="13" t="e">
        <f t="shared" si="8"/>
        <v>#VALUE!</v>
      </c>
      <c r="BD8" s="14" t="e">
        <f t="shared" ref="BD8:BM16" si="9">IF(AND(BD$5&gt;=$C8,BD$5&lt;=$E8),1,"")</f>
        <v>#VALUE!</v>
      </c>
      <c r="BE8" s="14" t="e">
        <f t="shared" si="9"/>
        <v>#VALUE!</v>
      </c>
      <c r="BF8" s="14" t="e">
        <f t="shared" si="9"/>
        <v>#VALUE!</v>
      </c>
      <c r="BG8" s="14" t="e">
        <f t="shared" si="9"/>
        <v>#VALUE!</v>
      </c>
      <c r="BH8" s="15" t="e">
        <f t="shared" si="9"/>
        <v>#VALUE!</v>
      </c>
      <c r="BI8" s="16" t="e">
        <f t="shared" si="9"/>
        <v>#VALUE!</v>
      </c>
      <c r="BJ8" s="13" t="e">
        <f t="shared" si="9"/>
        <v>#VALUE!</v>
      </c>
      <c r="BK8" s="14" t="e">
        <f t="shared" si="9"/>
        <v>#VALUE!</v>
      </c>
      <c r="BL8" s="14" t="e">
        <f t="shared" si="9"/>
        <v>#VALUE!</v>
      </c>
      <c r="BM8" s="14" t="e">
        <f t="shared" si="9"/>
        <v>#VALUE!</v>
      </c>
      <c r="BN8" s="14" t="e">
        <f t="shared" ref="BN8:BW16" si="10">IF(AND(BN$5&gt;=$C8,BN$5&lt;=$E8),1,"")</f>
        <v>#VALUE!</v>
      </c>
      <c r="BO8" s="15" t="e">
        <f t="shared" si="10"/>
        <v>#VALUE!</v>
      </c>
      <c r="BP8" s="16" t="e">
        <f t="shared" si="10"/>
        <v>#VALUE!</v>
      </c>
      <c r="BQ8" s="13" t="e">
        <f t="shared" si="10"/>
        <v>#VALUE!</v>
      </c>
      <c r="BR8" s="14" t="e">
        <f t="shared" si="10"/>
        <v>#VALUE!</v>
      </c>
      <c r="BS8" s="14" t="e">
        <f t="shared" si="10"/>
        <v>#VALUE!</v>
      </c>
      <c r="BT8" s="14" t="e">
        <f t="shared" si="10"/>
        <v>#VALUE!</v>
      </c>
      <c r="BU8" s="14" t="e">
        <f t="shared" si="10"/>
        <v>#VALUE!</v>
      </c>
      <c r="BV8" s="15" t="e">
        <f t="shared" si="10"/>
        <v>#VALUE!</v>
      </c>
      <c r="BW8" s="16" t="e">
        <f t="shared" si="10"/>
        <v>#VALUE!</v>
      </c>
      <c r="BX8" s="13" t="e">
        <f t="shared" ref="BX8:CG16" si="11">IF(AND(BX$5&gt;=$C8,BX$5&lt;=$E8),1,"")</f>
        <v>#VALUE!</v>
      </c>
      <c r="BY8" s="14" t="e">
        <f t="shared" si="11"/>
        <v>#VALUE!</v>
      </c>
      <c r="BZ8" s="14" t="e">
        <f t="shared" si="11"/>
        <v>#VALUE!</v>
      </c>
      <c r="CA8" s="14" t="e">
        <f t="shared" si="11"/>
        <v>#VALUE!</v>
      </c>
      <c r="CB8" s="14" t="e">
        <f t="shared" si="11"/>
        <v>#VALUE!</v>
      </c>
      <c r="CC8" s="15" t="e">
        <f t="shared" si="11"/>
        <v>#VALUE!</v>
      </c>
      <c r="CD8" s="16" t="e">
        <f t="shared" si="11"/>
        <v>#VALUE!</v>
      </c>
      <c r="CE8" s="13" t="e">
        <f t="shared" si="11"/>
        <v>#VALUE!</v>
      </c>
      <c r="CF8" s="14" t="e">
        <f t="shared" si="11"/>
        <v>#VALUE!</v>
      </c>
      <c r="CG8" s="14" t="e">
        <f t="shared" si="11"/>
        <v>#VALUE!</v>
      </c>
      <c r="CH8" s="14" t="e">
        <f t="shared" ref="CH8:CQ16" si="12">IF(AND(CH$5&gt;=$C8,CH$5&lt;=$E8),1,"")</f>
        <v>#VALUE!</v>
      </c>
      <c r="CI8" s="14" t="e">
        <f t="shared" si="12"/>
        <v>#VALUE!</v>
      </c>
      <c r="CJ8" s="15" t="e">
        <f t="shared" si="12"/>
        <v>#VALUE!</v>
      </c>
      <c r="CK8" s="16" t="e">
        <f t="shared" si="12"/>
        <v>#VALUE!</v>
      </c>
      <c r="CL8" s="13" t="e">
        <f t="shared" si="12"/>
        <v>#VALUE!</v>
      </c>
      <c r="CM8" s="14" t="e">
        <f t="shared" si="12"/>
        <v>#VALUE!</v>
      </c>
      <c r="CN8" s="14" t="e">
        <f t="shared" si="12"/>
        <v>#VALUE!</v>
      </c>
      <c r="CO8" s="14" t="e">
        <f t="shared" si="12"/>
        <v>#VALUE!</v>
      </c>
      <c r="CP8" s="14" t="e">
        <f t="shared" si="12"/>
        <v>#VALUE!</v>
      </c>
      <c r="CQ8" s="15" t="e">
        <f t="shared" si="12"/>
        <v>#VALUE!</v>
      </c>
      <c r="CR8" s="16" t="e">
        <f t="shared" ref="CR8:DA16" si="13">IF(AND(CR$5&gt;=$C8,CR$5&lt;=$E8),1,"")</f>
        <v>#VALUE!</v>
      </c>
      <c r="CS8" s="13" t="e">
        <f t="shared" si="13"/>
        <v>#VALUE!</v>
      </c>
      <c r="CT8" s="14" t="e">
        <f t="shared" si="13"/>
        <v>#VALUE!</v>
      </c>
      <c r="CU8" s="14" t="e">
        <f t="shared" si="13"/>
        <v>#VALUE!</v>
      </c>
      <c r="CV8" s="14" t="e">
        <f t="shared" si="13"/>
        <v>#VALUE!</v>
      </c>
      <c r="CW8" s="14" t="e">
        <f t="shared" si="13"/>
        <v>#VALUE!</v>
      </c>
      <c r="CX8" s="15" t="e">
        <f t="shared" si="13"/>
        <v>#VALUE!</v>
      </c>
      <c r="CY8" s="16" t="e">
        <f t="shared" si="13"/>
        <v>#VALUE!</v>
      </c>
      <c r="CZ8" s="13" t="e">
        <f t="shared" si="13"/>
        <v>#VALUE!</v>
      </c>
      <c r="DA8" s="14" t="e">
        <f t="shared" si="13"/>
        <v>#VALUE!</v>
      </c>
      <c r="DB8" s="14" t="e">
        <f t="shared" ref="DB8:DK16" si="14">IF(AND(DB$5&gt;=$C8,DB$5&lt;=$E8),1,"")</f>
        <v>#VALUE!</v>
      </c>
      <c r="DC8" s="14" t="e">
        <f t="shared" si="14"/>
        <v>#VALUE!</v>
      </c>
      <c r="DD8" s="14" t="e">
        <f t="shared" si="14"/>
        <v>#VALUE!</v>
      </c>
      <c r="DE8" s="15" t="e">
        <f t="shared" si="14"/>
        <v>#VALUE!</v>
      </c>
      <c r="DF8" s="16" t="e">
        <f t="shared" si="14"/>
        <v>#VALUE!</v>
      </c>
      <c r="DG8" s="13" t="e">
        <f t="shared" si="14"/>
        <v>#VALUE!</v>
      </c>
      <c r="DH8" s="14" t="e">
        <f t="shared" si="14"/>
        <v>#VALUE!</v>
      </c>
      <c r="DI8" s="14" t="e">
        <f t="shared" si="14"/>
        <v>#VALUE!</v>
      </c>
      <c r="DJ8" s="14" t="e">
        <f t="shared" si="14"/>
        <v>#VALUE!</v>
      </c>
      <c r="DK8" s="14" t="e">
        <f t="shared" si="14"/>
        <v>#VALUE!</v>
      </c>
      <c r="DL8" s="15" t="e">
        <f t="shared" ref="DL8:DT16" si="15">IF(AND(DL$5&gt;=$C8,DL$5&lt;=$E8),1,"")</f>
        <v>#VALUE!</v>
      </c>
      <c r="DM8" s="16" t="e">
        <f t="shared" si="15"/>
        <v>#VALUE!</v>
      </c>
      <c r="DN8" s="13" t="e">
        <f t="shared" si="15"/>
        <v>#VALUE!</v>
      </c>
      <c r="DO8" s="14" t="e">
        <f t="shared" si="15"/>
        <v>#VALUE!</v>
      </c>
      <c r="DP8" s="14" t="e">
        <f t="shared" si="15"/>
        <v>#VALUE!</v>
      </c>
      <c r="DQ8" s="14" t="e">
        <f t="shared" si="15"/>
        <v>#VALUE!</v>
      </c>
      <c r="DR8" s="14" t="e">
        <f t="shared" si="15"/>
        <v>#VALUE!</v>
      </c>
      <c r="DS8" s="15" t="e">
        <f t="shared" si="15"/>
        <v>#VALUE!</v>
      </c>
      <c r="DT8" s="16" t="e">
        <f t="shared" si="15"/>
        <v>#VALUE!</v>
      </c>
    </row>
    <row r="9" spans="1:124" s="17" customFormat="1" ht="9.6" customHeight="1">
      <c r="A9" s="535"/>
      <c r="B9" s="18" t="str">
        <f>IF(B1="SFK Freight Forwarder","","Day ILN Order")</f>
        <v>Day ILN Order</v>
      </c>
      <c r="C9" s="19" t="str">
        <f>IF(B1="SFK Freight Forwarder",0,_xlfn.XLOOKUP(A25,'VTT project'!F:F,'VTT project'!Q:Q,"-",0))</f>
        <v>-</v>
      </c>
      <c r="D9" s="20">
        <v>0</v>
      </c>
      <c r="E9" s="19" t="e">
        <f>(C9+D9)</f>
        <v>#VALUE!</v>
      </c>
      <c r="F9" s="13" t="e">
        <f t="shared" si="4"/>
        <v>#VALUE!</v>
      </c>
      <c r="G9" s="14" t="e">
        <f t="shared" si="4"/>
        <v>#VALUE!</v>
      </c>
      <c r="H9" s="14" t="e">
        <f t="shared" si="4"/>
        <v>#VALUE!</v>
      </c>
      <c r="I9" s="14" t="e">
        <f t="shared" si="4"/>
        <v>#VALUE!</v>
      </c>
      <c r="J9" s="14" t="e">
        <f t="shared" si="4"/>
        <v>#VALUE!</v>
      </c>
      <c r="K9" s="15" t="e">
        <f t="shared" si="4"/>
        <v>#VALUE!</v>
      </c>
      <c r="L9" s="16" t="e">
        <f t="shared" si="4"/>
        <v>#VALUE!</v>
      </c>
      <c r="M9" s="13" t="e">
        <f t="shared" si="4"/>
        <v>#VALUE!</v>
      </c>
      <c r="N9" s="14" t="e">
        <f t="shared" si="4"/>
        <v>#VALUE!</v>
      </c>
      <c r="O9" s="14" t="e">
        <f t="shared" si="4"/>
        <v>#VALUE!</v>
      </c>
      <c r="P9" s="14" t="e">
        <f t="shared" si="5"/>
        <v>#VALUE!</v>
      </c>
      <c r="Q9" s="14" t="e">
        <f t="shared" si="5"/>
        <v>#VALUE!</v>
      </c>
      <c r="R9" s="15" t="e">
        <f t="shared" si="5"/>
        <v>#VALUE!</v>
      </c>
      <c r="S9" s="16" t="e">
        <f t="shared" si="5"/>
        <v>#VALUE!</v>
      </c>
      <c r="T9" s="13" t="e">
        <f t="shared" si="5"/>
        <v>#VALUE!</v>
      </c>
      <c r="U9" s="14" t="e">
        <f t="shared" si="5"/>
        <v>#VALUE!</v>
      </c>
      <c r="V9" s="14" t="e">
        <f t="shared" si="5"/>
        <v>#VALUE!</v>
      </c>
      <c r="W9" s="14" t="e">
        <f t="shared" si="5"/>
        <v>#VALUE!</v>
      </c>
      <c r="X9" s="14" t="e">
        <f t="shared" si="5"/>
        <v>#VALUE!</v>
      </c>
      <c r="Y9" s="15" t="e">
        <f t="shared" si="5"/>
        <v>#VALUE!</v>
      </c>
      <c r="Z9" s="16" t="e">
        <f t="shared" si="6"/>
        <v>#VALUE!</v>
      </c>
      <c r="AA9" s="13" t="e">
        <f t="shared" si="6"/>
        <v>#VALUE!</v>
      </c>
      <c r="AB9" s="14" t="e">
        <f t="shared" si="6"/>
        <v>#VALUE!</v>
      </c>
      <c r="AC9" s="14" t="e">
        <f t="shared" si="6"/>
        <v>#VALUE!</v>
      </c>
      <c r="AD9" s="14" t="e">
        <f t="shared" si="6"/>
        <v>#VALUE!</v>
      </c>
      <c r="AE9" s="14" t="e">
        <f t="shared" si="6"/>
        <v>#VALUE!</v>
      </c>
      <c r="AF9" s="15" t="e">
        <f t="shared" si="6"/>
        <v>#VALUE!</v>
      </c>
      <c r="AG9" s="16" t="e">
        <f t="shared" si="6"/>
        <v>#VALUE!</v>
      </c>
      <c r="AH9" s="13" t="e">
        <f t="shared" si="6"/>
        <v>#VALUE!</v>
      </c>
      <c r="AI9" s="14" t="e">
        <f t="shared" si="6"/>
        <v>#VALUE!</v>
      </c>
      <c r="AJ9" s="14" t="e">
        <f t="shared" si="7"/>
        <v>#VALUE!</v>
      </c>
      <c r="AK9" s="14" t="e">
        <f t="shared" si="7"/>
        <v>#VALUE!</v>
      </c>
      <c r="AL9" s="14" t="e">
        <f t="shared" si="7"/>
        <v>#VALUE!</v>
      </c>
      <c r="AM9" s="15" t="e">
        <f t="shared" si="7"/>
        <v>#VALUE!</v>
      </c>
      <c r="AN9" s="16" t="e">
        <f t="shared" si="7"/>
        <v>#VALUE!</v>
      </c>
      <c r="AO9" s="13" t="e">
        <f t="shared" si="7"/>
        <v>#VALUE!</v>
      </c>
      <c r="AP9" s="14" t="e">
        <f t="shared" si="7"/>
        <v>#VALUE!</v>
      </c>
      <c r="AQ9" s="14" t="e">
        <f t="shared" si="7"/>
        <v>#VALUE!</v>
      </c>
      <c r="AR9" s="14" t="e">
        <f t="shared" si="7"/>
        <v>#VALUE!</v>
      </c>
      <c r="AS9" s="14" t="e">
        <f t="shared" si="7"/>
        <v>#VALUE!</v>
      </c>
      <c r="AT9" s="15" t="e">
        <f t="shared" si="8"/>
        <v>#VALUE!</v>
      </c>
      <c r="AU9" s="16" t="e">
        <f t="shared" si="8"/>
        <v>#VALUE!</v>
      </c>
      <c r="AV9" s="13" t="e">
        <f t="shared" si="8"/>
        <v>#VALUE!</v>
      </c>
      <c r="AW9" s="14" t="e">
        <f t="shared" si="8"/>
        <v>#VALUE!</v>
      </c>
      <c r="AX9" s="14" t="e">
        <f t="shared" si="8"/>
        <v>#VALUE!</v>
      </c>
      <c r="AY9" s="14" t="e">
        <f t="shared" si="8"/>
        <v>#VALUE!</v>
      </c>
      <c r="AZ9" s="14" t="e">
        <f t="shared" si="8"/>
        <v>#VALUE!</v>
      </c>
      <c r="BA9" s="15" t="e">
        <f t="shared" si="8"/>
        <v>#VALUE!</v>
      </c>
      <c r="BB9" s="16" t="e">
        <f t="shared" si="8"/>
        <v>#VALUE!</v>
      </c>
      <c r="BC9" s="13" t="e">
        <f t="shared" si="8"/>
        <v>#VALUE!</v>
      </c>
      <c r="BD9" s="14" t="e">
        <f t="shared" si="9"/>
        <v>#VALUE!</v>
      </c>
      <c r="BE9" s="14" t="e">
        <f t="shared" si="9"/>
        <v>#VALUE!</v>
      </c>
      <c r="BF9" s="14" t="e">
        <f t="shared" si="9"/>
        <v>#VALUE!</v>
      </c>
      <c r="BG9" s="14" t="e">
        <f t="shared" si="9"/>
        <v>#VALUE!</v>
      </c>
      <c r="BH9" s="15" t="e">
        <f t="shared" si="9"/>
        <v>#VALUE!</v>
      </c>
      <c r="BI9" s="16" t="e">
        <f t="shared" si="9"/>
        <v>#VALUE!</v>
      </c>
      <c r="BJ9" s="13" t="e">
        <f t="shared" si="9"/>
        <v>#VALUE!</v>
      </c>
      <c r="BK9" s="14" t="e">
        <f t="shared" si="9"/>
        <v>#VALUE!</v>
      </c>
      <c r="BL9" s="14" t="e">
        <f t="shared" si="9"/>
        <v>#VALUE!</v>
      </c>
      <c r="BM9" s="14" t="e">
        <f t="shared" si="9"/>
        <v>#VALUE!</v>
      </c>
      <c r="BN9" s="14" t="e">
        <f t="shared" si="10"/>
        <v>#VALUE!</v>
      </c>
      <c r="BO9" s="15" t="e">
        <f t="shared" si="10"/>
        <v>#VALUE!</v>
      </c>
      <c r="BP9" s="16" t="e">
        <f t="shared" si="10"/>
        <v>#VALUE!</v>
      </c>
      <c r="BQ9" s="13" t="e">
        <f t="shared" si="10"/>
        <v>#VALUE!</v>
      </c>
      <c r="BR9" s="14" t="e">
        <f t="shared" si="10"/>
        <v>#VALUE!</v>
      </c>
      <c r="BS9" s="14" t="e">
        <f t="shared" si="10"/>
        <v>#VALUE!</v>
      </c>
      <c r="BT9" s="14" t="e">
        <f t="shared" si="10"/>
        <v>#VALUE!</v>
      </c>
      <c r="BU9" s="14" t="e">
        <f t="shared" si="10"/>
        <v>#VALUE!</v>
      </c>
      <c r="BV9" s="15" t="e">
        <f t="shared" si="10"/>
        <v>#VALUE!</v>
      </c>
      <c r="BW9" s="16" t="e">
        <f t="shared" si="10"/>
        <v>#VALUE!</v>
      </c>
      <c r="BX9" s="13" t="e">
        <f t="shared" si="11"/>
        <v>#VALUE!</v>
      </c>
      <c r="BY9" s="14" t="e">
        <f t="shared" si="11"/>
        <v>#VALUE!</v>
      </c>
      <c r="BZ9" s="14" t="e">
        <f t="shared" si="11"/>
        <v>#VALUE!</v>
      </c>
      <c r="CA9" s="14" t="e">
        <f t="shared" si="11"/>
        <v>#VALUE!</v>
      </c>
      <c r="CB9" s="14" t="e">
        <f t="shared" si="11"/>
        <v>#VALUE!</v>
      </c>
      <c r="CC9" s="15" t="e">
        <f t="shared" si="11"/>
        <v>#VALUE!</v>
      </c>
      <c r="CD9" s="16" t="e">
        <f t="shared" si="11"/>
        <v>#VALUE!</v>
      </c>
      <c r="CE9" s="13" t="e">
        <f t="shared" si="11"/>
        <v>#VALUE!</v>
      </c>
      <c r="CF9" s="14" t="e">
        <f t="shared" si="11"/>
        <v>#VALUE!</v>
      </c>
      <c r="CG9" s="14" t="e">
        <f t="shared" si="11"/>
        <v>#VALUE!</v>
      </c>
      <c r="CH9" s="14" t="e">
        <f t="shared" si="12"/>
        <v>#VALUE!</v>
      </c>
      <c r="CI9" s="14" t="e">
        <f t="shared" si="12"/>
        <v>#VALUE!</v>
      </c>
      <c r="CJ9" s="15" t="e">
        <f t="shared" si="12"/>
        <v>#VALUE!</v>
      </c>
      <c r="CK9" s="16" t="e">
        <f t="shared" si="12"/>
        <v>#VALUE!</v>
      </c>
      <c r="CL9" s="13" t="e">
        <f t="shared" si="12"/>
        <v>#VALUE!</v>
      </c>
      <c r="CM9" s="14" t="e">
        <f t="shared" si="12"/>
        <v>#VALUE!</v>
      </c>
      <c r="CN9" s="14" t="e">
        <f t="shared" si="12"/>
        <v>#VALUE!</v>
      </c>
      <c r="CO9" s="14" t="e">
        <f t="shared" si="12"/>
        <v>#VALUE!</v>
      </c>
      <c r="CP9" s="14" t="e">
        <f t="shared" si="12"/>
        <v>#VALUE!</v>
      </c>
      <c r="CQ9" s="15" t="e">
        <f t="shared" si="12"/>
        <v>#VALUE!</v>
      </c>
      <c r="CR9" s="16" t="e">
        <f t="shared" si="13"/>
        <v>#VALUE!</v>
      </c>
      <c r="CS9" s="13" t="e">
        <f t="shared" si="13"/>
        <v>#VALUE!</v>
      </c>
      <c r="CT9" s="14" t="e">
        <f t="shared" si="13"/>
        <v>#VALUE!</v>
      </c>
      <c r="CU9" s="14" t="e">
        <f t="shared" si="13"/>
        <v>#VALUE!</v>
      </c>
      <c r="CV9" s="14" t="e">
        <f t="shared" si="13"/>
        <v>#VALUE!</v>
      </c>
      <c r="CW9" s="14" t="e">
        <f t="shared" si="13"/>
        <v>#VALUE!</v>
      </c>
      <c r="CX9" s="15" t="e">
        <f t="shared" si="13"/>
        <v>#VALUE!</v>
      </c>
      <c r="CY9" s="16" t="e">
        <f t="shared" si="13"/>
        <v>#VALUE!</v>
      </c>
      <c r="CZ9" s="13" t="e">
        <f t="shared" si="13"/>
        <v>#VALUE!</v>
      </c>
      <c r="DA9" s="14" t="e">
        <f t="shared" si="13"/>
        <v>#VALUE!</v>
      </c>
      <c r="DB9" s="14" t="e">
        <f t="shared" si="14"/>
        <v>#VALUE!</v>
      </c>
      <c r="DC9" s="14" t="e">
        <f t="shared" si="14"/>
        <v>#VALUE!</v>
      </c>
      <c r="DD9" s="14" t="e">
        <f t="shared" si="14"/>
        <v>#VALUE!</v>
      </c>
      <c r="DE9" s="15" t="e">
        <f t="shared" si="14"/>
        <v>#VALUE!</v>
      </c>
      <c r="DF9" s="16" t="e">
        <f t="shared" si="14"/>
        <v>#VALUE!</v>
      </c>
      <c r="DG9" s="13" t="e">
        <f t="shared" si="14"/>
        <v>#VALUE!</v>
      </c>
      <c r="DH9" s="14" t="e">
        <f t="shared" si="14"/>
        <v>#VALUE!</v>
      </c>
      <c r="DI9" s="14" t="e">
        <f t="shared" si="14"/>
        <v>#VALUE!</v>
      </c>
      <c r="DJ9" s="14" t="e">
        <f t="shared" si="14"/>
        <v>#VALUE!</v>
      </c>
      <c r="DK9" s="14" t="e">
        <f t="shared" si="14"/>
        <v>#VALUE!</v>
      </c>
      <c r="DL9" s="15" t="e">
        <f t="shared" si="15"/>
        <v>#VALUE!</v>
      </c>
      <c r="DM9" s="16" t="e">
        <f t="shared" si="15"/>
        <v>#VALUE!</v>
      </c>
      <c r="DN9" s="13" t="e">
        <f t="shared" si="15"/>
        <v>#VALUE!</v>
      </c>
      <c r="DO9" s="14" t="e">
        <f t="shared" si="15"/>
        <v>#VALUE!</v>
      </c>
      <c r="DP9" s="14" t="e">
        <f t="shared" si="15"/>
        <v>#VALUE!</v>
      </c>
      <c r="DQ9" s="14" t="e">
        <f t="shared" si="15"/>
        <v>#VALUE!</v>
      </c>
      <c r="DR9" s="14" t="e">
        <f t="shared" si="15"/>
        <v>#VALUE!</v>
      </c>
      <c r="DS9" s="15" t="e">
        <f t="shared" si="15"/>
        <v>#VALUE!</v>
      </c>
      <c r="DT9" s="16" t="e">
        <f t="shared" si="15"/>
        <v>#VALUE!</v>
      </c>
    </row>
    <row r="10" spans="1:124" s="17" customFormat="1" ht="9.6" customHeight="1">
      <c r="A10" s="535"/>
      <c r="B10" s="18" t="str">
        <f>IF(B1="SFK Freight Forwarder","","Time of recept in AILN")</f>
        <v>Time of recept in AILN</v>
      </c>
      <c r="C10" s="19" t="e">
        <f>IF(B1="SFK Freight Forwarder",0,_xlfn.XLOOKUP(A25,'VTT project'!F:F,'VTT project'!R:R,"-",0)+E9-1)</f>
        <v>#VALUE!</v>
      </c>
      <c r="D10" s="19" t="str">
        <f>IF(B1="SFK Freight Forwarder",0,_xlfn.XLOOKUP(A25,'VTT project'!F:F,'VTT project'!S:S,"-",0))</f>
        <v>-</v>
      </c>
      <c r="E10" s="19" t="e">
        <f>IF(B1="SFK Freight Forwarder",0,(C10+D10)-1)</f>
        <v>#VALUE!</v>
      </c>
      <c r="F10" s="13" t="e">
        <f t="shared" si="4"/>
        <v>#VALUE!</v>
      </c>
      <c r="G10" s="14" t="e">
        <f t="shared" si="4"/>
        <v>#VALUE!</v>
      </c>
      <c r="H10" s="14" t="e">
        <f t="shared" si="4"/>
        <v>#VALUE!</v>
      </c>
      <c r="I10" s="14" t="e">
        <f t="shared" si="4"/>
        <v>#VALUE!</v>
      </c>
      <c r="J10" s="14" t="e">
        <f t="shared" si="4"/>
        <v>#VALUE!</v>
      </c>
      <c r="K10" s="15" t="e">
        <f t="shared" si="4"/>
        <v>#VALUE!</v>
      </c>
      <c r="L10" s="16" t="e">
        <f t="shared" si="4"/>
        <v>#VALUE!</v>
      </c>
      <c r="M10" s="13" t="e">
        <f t="shared" si="4"/>
        <v>#VALUE!</v>
      </c>
      <c r="N10" s="14" t="e">
        <f t="shared" si="4"/>
        <v>#VALUE!</v>
      </c>
      <c r="O10" s="14" t="e">
        <f t="shared" si="4"/>
        <v>#VALUE!</v>
      </c>
      <c r="P10" s="14" t="e">
        <f t="shared" si="5"/>
        <v>#VALUE!</v>
      </c>
      <c r="Q10" s="14" t="e">
        <f t="shared" si="5"/>
        <v>#VALUE!</v>
      </c>
      <c r="R10" s="15" t="e">
        <f t="shared" si="5"/>
        <v>#VALUE!</v>
      </c>
      <c r="S10" s="16" t="e">
        <f t="shared" si="5"/>
        <v>#VALUE!</v>
      </c>
      <c r="T10" s="13" t="e">
        <f t="shared" si="5"/>
        <v>#VALUE!</v>
      </c>
      <c r="U10" s="14" t="e">
        <f t="shared" si="5"/>
        <v>#VALUE!</v>
      </c>
      <c r="V10" s="14" t="e">
        <f t="shared" si="5"/>
        <v>#VALUE!</v>
      </c>
      <c r="W10" s="14" t="e">
        <f t="shared" si="5"/>
        <v>#VALUE!</v>
      </c>
      <c r="X10" s="14" t="e">
        <f t="shared" si="5"/>
        <v>#VALUE!</v>
      </c>
      <c r="Y10" s="15" t="e">
        <f t="shared" si="5"/>
        <v>#VALUE!</v>
      </c>
      <c r="Z10" s="16" t="e">
        <f t="shared" si="6"/>
        <v>#VALUE!</v>
      </c>
      <c r="AA10" s="13" t="e">
        <f t="shared" si="6"/>
        <v>#VALUE!</v>
      </c>
      <c r="AB10" s="14" t="e">
        <f t="shared" si="6"/>
        <v>#VALUE!</v>
      </c>
      <c r="AC10" s="14" t="e">
        <f t="shared" si="6"/>
        <v>#VALUE!</v>
      </c>
      <c r="AD10" s="14" t="e">
        <f t="shared" si="6"/>
        <v>#VALUE!</v>
      </c>
      <c r="AE10" s="14" t="e">
        <f t="shared" si="6"/>
        <v>#VALUE!</v>
      </c>
      <c r="AF10" s="15" t="e">
        <f t="shared" si="6"/>
        <v>#VALUE!</v>
      </c>
      <c r="AG10" s="16" t="e">
        <f t="shared" si="6"/>
        <v>#VALUE!</v>
      </c>
      <c r="AH10" s="13" t="e">
        <f t="shared" si="6"/>
        <v>#VALUE!</v>
      </c>
      <c r="AI10" s="14" t="e">
        <f t="shared" si="6"/>
        <v>#VALUE!</v>
      </c>
      <c r="AJ10" s="14" t="e">
        <f t="shared" si="7"/>
        <v>#VALUE!</v>
      </c>
      <c r="AK10" s="14" t="e">
        <f t="shared" si="7"/>
        <v>#VALUE!</v>
      </c>
      <c r="AL10" s="14" t="e">
        <f t="shared" si="7"/>
        <v>#VALUE!</v>
      </c>
      <c r="AM10" s="15" t="e">
        <f t="shared" si="7"/>
        <v>#VALUE!</v>
      </c>
      <c r="AN10" s="16" t="e">
        <f t="shared" si="7"/>
        <v>#VALUE!</v>
      </c>
      <c r="AO10" s="13" t="e">
        <f t="shared" si="7"/>
        <v>#VALUE!</v>
      </c>
      <c r="AP10" s="14" t="e">
        <f t="shared" si="7"/>
        <v>#VALUE!</v>
      </c>
      <c r="AQ10" s="14" t="e">
        <f t="shared" si="7"/>
        <v>#VALUE!</v>
      </c>
      <c r="AR10" s="14" t="e">
        <f t="shared" si="7"/>
        <v>#VALUE!</v>
      </c>
      <c r="AS10" s="14" t="e">
        <f t="shared" si="7"/>
        <v>#VALUE!</v>
      </c>
      <c r="AT10" s="15" t="e">
        <f t="shared" si="8"/>
        <v>#VALUE!</v>
      </c>
      <c r="AU10" s="16" t="e">
        <f t="shared" si="8"/>
        <v>#VALUE!</v>
      </c>
      <c r="AV10" s="13" t="e">
        <f t="shared" si="8"/>
        <v>#VALUE!</v>
      </c>
      <c r="AW10" s="14" t="e">
        <f t="shared" si="8"/>
        <v>#VALUE!</v>
      </c>
      <c r="AX10" s="14" t="e">
        <f t="shared" si="8"/>
        <v>#VALUE!</v>
      </c>
      <c r="AY10" s="14" t="e">
        <f t="shared" si="8"/>
        <v>#VALUE!</v>
      </c>
      <c r="AZ10" s="14" t="e">
        <f t="shared" si="8"/>
        <v>#VALUE!</v>
      </c>
      <c r="BA10" s="15" t="e">
        <f t="shared" si="8"/>
        <v>#VALUE!</v>
      </c>
      <c r="BB10" s="16" t="e">
        <f t="shared" si="8"/>
        <v>#VALUE!</v>
      </c>
      <c r="BC10" s="13" t="e">
        <f t="shared" si="8"/>
        <v>#VALUE!</v>
      </c>
      <c r="BD10" s="14" t="e">
        <f t="shared" si="9"/>
        <v>#VALUE!</v>
      </c>
      <c r="BE10" s="14" t="e">
        <f t="shared" si="9"/>
        <v>#VALUE!</v>
      </c>
      <c r="BF10" s="14" t="e">
        <f t="shared" si="9"/>
        <v>#VALUE!</v>
      </c>
      <c r="BG10" s="14" t="e">
        <f t="shared" si="9"/>
        <v>#VALUE!</v>
      </c>
      <c r="BH10" s="15" t="e">
        <f t="shared" si="9"/>
        <v>#VALUE!</v>
      </c>
      <c r="BI10" s="16" t="e">
        <f t="shared" si="9"/>
        <v>#VALUE!</v>
      </c>
      <c r="BJ10" s="13" t="e">
        <f t="shared" si="9"/>
        <v>#VALUE!</v>
      </c>
      <c r="BK10" s="14" t="e">
        <f t="shared" si="9"/>
        <v>#VALUE!</v>
      </c>
      <c r="BL10" s="14" t="e">
        <f t="shared" si="9"/>
        <v>#VALUE!</v>
      </c>
      <c r="BM10" s="14" t="e">
        <f t="shared" si="9"/>
        <v>#VALUE!</v>
      </c>
      <c r="BN10" s="14" t="e">
        <f t="shared" si="10"/>
        <v>#VALUE!</v>
      </c>
      <c r="BO10" s="15" t="e">
        <f t="shared" si="10"/>
        <v>#VALUE!</v>
      </c>
      <c r="BP10" s="16" t="e">
        <f t="shared" si="10"/>
        <v>#VALUE!</v>
      </c>
      <c r="BQ10" s="13" t="e">
        <f t="shared" si="10"/>
        <v>#VALUE!</v>
      </c>
      <c r="BR10" s="14" t="e">
        <f t="shared" si="10"/>
        <v>#VALUE!</v>
      </c>
      <c r="BS10" s="14" t="e">
        <f t="shared" si="10"/>
        <v>#VALUE!</v>
      </c>
      <c r="BT10" s="14" t="e">
        <f t="shared" si="10"/>
        <v>#VALUE!</v>
      </c>
      <c r="BU10" s="14" t="e">
        <f t="shared" si="10"/>
        <v>#VALUE!</v>
      </c>
      <c r="BV10" s="15" t="e">
        <f t="shared" si="10"/>
        <v>#VALUE!</v>
      </c>
      <c r="BW10" s="16" t="e">
        <f t="shared" si="10"/>
        <v>#VALUE!</v>
      </c>
      <c r="BX10" s="13" t="e">
        <f t="shared" si="11"/>
        <v>#VALUE!</v>
      </c>
      <c r="BY10" s="14" t="e">
        <f t="shared" si="11"/>
        <v>#VALUE!</v>
      </c>
      <c r="BZ10" s="14" t="e">
        <f t="shared" si="11"/>
        <v>#VALUE!</v>
      </c>
      <c r="CA10" s="14" t="e">
        <f t="shared" si="11"/>
        <v>#VALUE!</v>
      </c>
      <c r="CB10" s="14" t="e">
        <f t="shared" si="11"/>
        <v>#VALUE!</v>
      </c>
      <c r="CC10" s="15" t="e">
        <f t="shared" si="11"/>
        <v>#VALUE!</v>
      </c>
      <c r="CD10" s="16" t="e">
        <f t="shared" si="11"/>
        <v>#VALUE!</v>
      </c>
      <c r="CE10" s="13" t="e">
        <f t="shared" si="11"/>
        <v>#VALUE!</v>
      </c>
      <c r="CF10" s="14" t="e">
        <f t="shared" si="11"/>
        <v>#VALUE!</v>
      </c>
      <c r="CG10" s="14" t="e">
        <f t="shared" si="11"/>
        <v>#VALUE!</v>
      </c>
      <c r="CH10" s="14" t="e">
        <f t="shared" si="12"/>
        <v>#VALUE!</v>
      </c>
      <c r="CI10" s="14" t="e">
        <f t="shared" si="12"/>
        <v>#VALUE!</v>
      </c>
      <c r="CJ10" s="15" t="e">
        <f t="shared" si="12"/>
        <v>#VALUE!</v>
      </c>
      <c r="CK10" s="16" t="e">
        <f t="shared" si="12"/>
        <v>#VALUE!</v>
      </c>
      <c r="CL10" s="13" t="e">
        <f t="shared" si="12"/>
        <v>#VALUE!</v>
      </c>
      <c r="CM10" s="14" t="e">
        <f t="shared" si="12"/>
        <v>#VALUE!</v>
      </c>
      <c r="CN10" s="14" t="e">
        <f t="shared" si="12"/>
        <v>#VALUE!</v>
      </c>
      <c r="CO10" s="14" t="e">
        <f t="shared" si="12"/>
        <v>#VALUE!</v>
      </c>
      <c r="CP10" s="14" t="e">
        <f t="shared" si="12"/>
        <v>#VALUE!</v>
      </c>
      <c r="CQ10" s="15" t="e">
        <f t="shared" si="12"/>
        <v>#VALUE!</v>
      </c>
      <c r="CR10" s="16" t="e">
        <f t="shared" si="13"/>
        <v>#VALUE!</v>
      </c>
      <c r="CS10" s="13" t="e">
        <f t="shared" si="13"/>
        <v>#VALUE!</v>
      </c>
      <c r="CT10" s="14" t="e">
        <f t="shared" si="13"/>
        <v>#VALUE!</v>
      </c>
      <c r="CU10" s="14" t="e">
        <f t="shared" si="13"/>
        <v>#VALUE!</v>
      </c>
      <c r="CV10" s="14" t="e">
        <f t="shared" si="13"/>
        <v>#VALUE!</v>
      </c>
      <c r="CW10" s="14" t="e">
        <f t="shared" si="13"/>
        <v>#VALUE!</v>
      </c>
      <c r="CX10" s="15" t="e">
        <f t="shared" si="13"/>
        <v>#VALUE!</v>
      </c>
      <c r="CY10" s="16" t="e">
        <f t="shared" si="13"/>
        <v>#VALUE!</v>
      </c>
      <c r="CZ10" s="13" t="e">
        <f t="shared" si="13"/>
        <v>#VALUE!</v>
      </c>
      <c r="DA10" s="14" t="e">
        <f t="shared" si="13"/>
        <v>#VALUE!</v>
      </c>
      <c r="DB10" s="14" t="e">
        <f t="shared" si="14"/>
        <v>#VALUE!</v>
      </c>
      <c r="DC10" s="14" t="e">
        <f t="shared" si="14"/>
        <v>#VALUE!</v>
      </c>
      <c r="DD10" s="14" t="e">
        <f t="shared" si="14"/>
        <v>#VALUE!</v>
      </c>
      <c r="DE10" s="15" t="e">
        <f t="shared" si="14"/>
        <v>#VALUE!</v>
      </c>
      <c r="DF10" s="16" t="e">
        <f t="shared" si="14"/>
        <v>#VALUE!</v>
      </c>
      <c r="DG10" s="13" t="e">
        <f t="shared" si="14"/>
        <v>#VALUE!</v>
      </c>
      <c r="DH10" s="14" t="e">
        <f t="shared" si="14"/>
        <v>#VALUE!</v>
      </c>
      <c r="DI10" s="14" t="e">
        <f t="shared" si="14"/>
        <v>#VALUE!</v>
      </c>
      <c r="DJ10" s="14" t="e">
        <f t="shared" si="14"/>
        <v>#VALUE!</v>
      </c>
      <c r="DK10" s="14" t="e">
        <f t="shared" si="14"/>
        <v>#VALUE!</v>
      </c>
      <c r="DL10" s="15" t="e">
        <f t="shared" si="15"/>
        <v>#VALUE!</v>
      </c>
      <c r="DM10" s="16" t="e">
        <f t="shared" si="15"/>
        <v>#VALUE!</v>
      </c>
      <c r="DN10" s="13" t="e">
        <f t="shared" si="15"/>
        <v>#VALUE!</v>
      </c>
      <c r="DO10" s="14" t="e">
        <f t="shared" si="15"/>
        <v>#VALUE!</v>
      </c>
      <c r="DP10" s="14" t="e">
        <f t="shared" si="15"/>
        <v>#VALUE!</v>
      </c>
      <c r="DQ10" s="14" t="e">
        <f t="shared" si="15"/>
        <v>#VALUE!</v>
      </c>
      <c r="DR10" s="14" t="e">
        <f t="shared" si="15"/>
        <v>#VALUE!</v>
      </c>
      <c r="DS10" s="15" t="e">
        <f t="shared" si="15"/>
        <v>#VALUE!</v>
      </c>
      <c r="DT10" s="16" t="e">
        <f t="shared" si="15"/>
        <v>#VALUE!</v>
      </c>
    </row>
    <row r="11" spans="1:124" s="17" customFormat="1" ht="9.6" customHeight="1">
      <c r="A11" s="535"/>
      <c r="B11" s="18" t="s">
        <v>42</v>
      </c>
      <c r="C11" s="19" t="e">
        <f>_xlfn.XLOOKUP(A25,'VTT project'!F:F,'VTT project'!U:U,"-",0)+1</f>
        <v>#VALUE!</v>
      </c>
      <c r="D11" s="19" t="str">
        <f>_xlfn.XLOOKUP(A25,'VTT project'!F:F,'VTT project'!T:T,"-",0)</f>
        <v>-</v>
      </c>
      <c r="E11" s="19" t="e">
        <f>(C11+D11)-1</f>
        <v>#VALUE!</v>
      </c>
      <c r="F11" s="13" t="e">
        <f t="shared" si="4"/>
        <v>#VALUE!</v>
      </c>
      <c r="G11" s="14" t="e">
        <f t="shared" si="4"/>
        <v>#VALUE!</v>
      </c>
      <c r="H11" s="14" t="e">
        <f t="shared" si="4"/>
        <v>#VALUE!</v>
      </c>
      <c r="I11" s="14" t="e">
        <f t="shared" si="4"/>
        <v>#VALUE!</v>
      </c>
      <c r="J11" s="14" t="e">
        <f t="shared" si="4"/>
        <v>#VALUE!</v>
      </c>
      <c r="K11" s="15" t="e">
        <f t="shared" si="4"/>
        <v>#VALUE!</v>
      </c>
      <c r="L11" s="16" t="e">
        <f t="shared" si="4"/>
        <v>#VALUE!</v>
      </c>
      <c r="M11" s="13" t="e">
        <f t="shared" si="4"/>
        <v>#VALUE!</v>
      </c>
      <c r="N11" s="14" t="e">
        <f t="shared" si="4"/>
        <v>#VALUE!</v>
      </c>
      <c r="O11" s="14" t="e">
        <f t="shared" si="4"/>
        <v>#VALUE!</v>
      </c>
      <c r="P11" s="14" t="e">
        <f t="shared" si="5"/>
        <v>#VALUE!</v>
      </c>
      <c r="Q11" s="14" t="e">
        <f t="shared" si="5"/>
        <v>#VALUE!</v>
      </c>
      <c r="R11" s="15" t="e">
        <f t="shared" si="5"/>
        <v>#VALUE!</v>
      </c>
      <c r="S11" s="16" t="e">
        <f t="shared" si="5"/>
        <v>#VALUE!</v>
      </c>
      <c r="T11" s="13" t="e">
        <f t="shared" si="5"/>
        <v>#VALUE!</v>
      </c>
      <c r="U11" s="14" t="e">
        <f t="shared" si="5"/>
        <v>#VALUE!</v>
      </c>
      <c r="V11" s="14" t="e">
        <f t="shared" si="5"/>
        <v>#VALUE!</v>
      </c>
      <c r="W11" s="14" t="e">
        <f t="shared" si="5"/>
        <v>#VALUE!</v>
      </c>
      <c r="X11" s="14" t="e">
        <f t="shared" si="5"/>
        <v>#VALUE!</v>
      </c>
      <c r="Y11" s="15" t="e">
        <f t="shared" si="5"/>
        <v>#VALUE!</v>
      </c>
      <c r="Z11" s="16" t="e">
        <f t="shared" si="6"/>
        <v>#VALUE!</v>
      </c>
      <c r="AA11" s="13" t="e">
        <f t="shared" si="6"/>
        <v>#VALUE!</v>
      </c>
      <c r="AB11" s="14" t="e">
        <f t="shared" si="6"/>
        <v>#VALUE!</v>
      </c>
      <c r="AC11" s="14" t="e">
        <f t="shared" si="6"/>
        <v>#VALUE!</v>
      </c>
      <c r="AD11" s="14" t="e">
        <f t="shared" si="6"/>
        <v>#VALUE!</v>
      </c>
      <c r="AE11" s="14" t="e">
        <f t="shared" si="6"/>
        <v>#VALUE!</v>
      </c>
      <c r="AF11" s="15" t="e">
        <f t="shared" si="6"/>
        <v>#VALUE!</v>
      </c>
      <c r="AG11" s="16" t="e">
        <f t="shared" si="6"/>
        <v>#VALUE!</v>
      </c>
      <c r="AH11" s="13" t="e">
        <f t="shared" si="6"/>
        <v>#VALUE!</v>
      </c>
      <c r="AI11" s="14" t="e">
        <f t="shared" si="6"/>
        <v>#VALUE!</v>
      </c>
      <c r="AJ11" s="14" t="e">
        <f t="shared" si="7"/>
        <v>#VALUE!</v>
      </c>
      <c r="AK11" s="14" t="e">
        <f t="shared" si="7"/>
        <v>#VALUE!</v>
      </c>
      <c r="AL11" s="14" t="e">
        <f t="shared" si="7"/>
        <v>#VALUE!</v>
      </c>
      <c r="AM11" s="15" t="e">
        <f t="shared" si="7"/>
        <v>#VALUE!</v>
      </c>
      <c r="AN11" s="16" t="e">
        <f t="shared" si="7"/>
        <v>#VALUE!</v>
      </c>
      <c r="AO11" s="13" t="e">
        <f t="shared" si="7"/>
        <v>#VALUE!</v>
      </c>
      <c r="AP11" s="14" t="e">
        <f t="shared" si="7"/>
        <v>#VALUE!</v>
      </c>
      <c r="AQ11" s="14" t="e">
        <f t="shared" si="7"/>
        <v>#VALUE!</v>
      </c>
      <c r="AR11" s="14" t="e">
        <f t="shared" si="7"/>
        <v>#VALUE!</v>
      </c>
      <c r="AS11" s="14" t="e">
        <f t="shared" si="7"/>
        <v>#VALUE!</v>
      </c>
      <c r="AT11" s="15" t="e">
        <f t="shared" si="8"/>
        <v>#VALUE!</v>
      </c>
      <c r="AU11" s="16" t="e">
        <f t="shared" si="8"/>
        <v>#VALUE!</v>
      </c>
      <c r="AV11" s="13" t="e">
        <f t="shared" si="8"/>
        <v>#VALUE!</v>
      </c>
      <c r="AW11" s="14" t="e">
        <f t="shared" si="8"/>
        <v>#VALUE!</v>
      </c>
      <c r="AX11" s="14" t="e">
        <f t="shared" si="8"/>
        <v>#VALUE!</v>
      </c>
      <c r="AY11" s="14" t="e">
        <f t="shared" si="8"/>
        <v>#VALUE!</v>
      </c>
      <c r="AZ11" s="14" t="e">
        <f t="shared" si="8"/>
        <v>#VALUE!</v>
      </c>
      <c r="BA11" s="15" t="e">
        <f t="shared" si="8"/>
        <v>#VALUE!</v>
      </c>
      <c r="BB11" s="16" t="e">
        <f t="shared" si="8"/>
        <v>#VALUE!</v>
      </c>
      <c r="BC11" s="13" t="e">
        <f t="shared" si="8"/>
        <v>#VALUE!</v>
      </c>
      <c r="BD11" s="14" t="e">
        <f t="shared" si="9"/>
        <v>#VALUE!</v>
      </c>
      <c r="BE11" s="14" t="e">
        <f t="shared" si="9"/>
        <v>#VALUE!</v>
      </c>
      <c r="BF11" s="14" t="e">
        <f t="shared" si="9"/>
        <v>#VALUE!</v>
      </c>
      <c r="BG11" s="14" t="e">
        <f t="shared" si="9"/>
        <v>#VALUE!</v>
      </c>
      <c r="BH11" s="15" t="e">
        <f t="shared" si="9"/>
        <v>#VALUE!</v>
      </c>
      <c r="BI11" s="16" t="e">
        <f t="shared" si="9"/>
        <v>#VALUE!</v>
      </c>
      <c r="BJ11" s="13" t="e">
        <f t="shared" si="9"/>
        <v>#VALUE!</v>
      </c>
      <c r="BK11" s="14" t="e">
        <f t="shared" si="9"/>
        <v>#VALUE!</v>
      </c>
      <c r="BL11" s="14" t="e">
        <f t="shared" si="9"/>
        <v>#VALUE!</v>
      </c>
      <c r="BM11" s="14" t="e">
        <f t="shared" si="9"/>
        <v>#VALUE!</v>
      </c>
      <c r="BN11" s="14" t="e">
        <f t="shared" si="10"/>
        <v>#VALUE!</v>
      </c>
      <c r="BO11" s="15" t="e">
        <f t="shared" si="10"/>
        <v>#VALUE!</v>
      </c>
      <c r="BP11" s="16" t="e">
        <f t="shared" si="10"/>
        <v>#VALUE!</v>
      </c>
      <c r="BQ11" s="13" t="e">
        <f t="shared" si="10"/>
        <v>#VALUE!</v>
      </c>
      <c r="BR11" s="14" t="e">
        <f t="shared" si="10"/>
        <v>#VALUE!</v>
      </c>
      <c r="BS11" s="14" t="e">
        <f t="shared" si="10"/>
        <v>#VALUE!</v>
      </c>
      <c r="BT11" s="14" t="e">
        <f t="shared" si="10"/>
        <v>#VALUE!</v>
      </c>
      <c r="BU11" s="14" t="e">
        <f t="shared" si="10"/>
        <v>#VALUE!</v>
      </c>
      <c r="BV11" s="15" t="e">
        <f t="shared" si="10"/>
        <v>#VALUE!</v>
      </c>
      <c r="BW11" s="16" t="e">
        <f t="shared" si="10"/>
        <v>#VALUE!</v>
      </c>
      <c r="BX11" s="13" t="e">
        <f t="shared" si="11"/>
        <v>#VALUE!</v>
      </c>
      <c r="BY11" s="14" t="e">
        <f t="shared" si="11"/>
        <v>#VALUE!</v>
      </c>
      <c r="BZ11" s="14" t="e">
        <f t="shared" si="11"/>
        <v>#VALUE!</v>
      </c>
      <c r="CA11" s="14" t="e">
        <f t="shared" si="11"/>
        <v>#VALUE!</v>
      </c>
      <c r="CB11" s="14" t="e">
        <f t="shared" si="11"/>
        <v>#VALUE!</v>
      </c>
      <c r="CC11" s="15" t="e">
        <f t="shared" si="11"/>
        <v>#VALUE!</v>
      </c>
      <c r="CD11" s="16" t="e">
        <f t="shared" si="11"/>
        <v>#VALUE!</v>
      </c>
      <c r="CE11" s="13" t="e">
        <f t="shared" si="11"/>
        <v>#VALUE!</v>
      </c>
      <c r="CF11" s="14" t="e">
        <f t="shared" si="11"/>
        <v>#VALUE!</v>
      </c>
      <c r="CG11" s="14" t="e">
        <f t="shared" si="11"/>
        <v>#VALUE!</v>
      </c>
      <c r="CH11" s="14" t="e">
        <f t="shared" si="12"/>
        <v>#VALUE!</v>
      </c>
      <c r="CI11" s="14" t="e">
        <f t="shared" si="12"/>
        <v>#VALUE!</v>
      </c>
      <c r="CJ11" s="15" t="e">
        <f t="shared" si="12"/>
        <v>#VALUE!</v>
      </c>
      <c r="CK11" s="16" t="e">
        <f t="shared" si="12"/>
        <v>#VALUE!</v>
      </c>
      <c r="CL11" s="13" t="e">
        <f t="shared" si="12"/>
        <v>#VALUE!</v>
      </c>
      <c r="CM11" s="14" t="e">
        <f t="shared" si="12"/>
        <v>#VALUE!</v>
      </c>
      <c r="CN11" s="14" t="e">
        <f t="shared" si="12"/>
        <v>#VALUE!</v>
      </c>
      <c r="CO11" s="14" t="e">
        <f t="shared" si="12"/>
        <v>#VALUE!</v>
      </c>
      <c r="CP11" s="14" t="e">
        <f t="shared" si="12"/>
        <v>#VALUE!</v>
      </c>
      <c r="CQ11" s="15" t="e">
        <f t="shared" si="12"/>
        <v>#VALUE!</v>
      </c>
      <c r="CR11" s="16" t="e">
        <f t="shared" si="13"/>
        <v>#VALUE!</v>
      </c>
      <c r="CS11" s="13" t="e">
        <f t="shared" si="13"/>
        <v>#VALUE!</v>
      </c>
      <c r="CT11" s="14" t="e">
        <f t="shared" si="13"/>
        <v>#VALUE!</v>
      </c>
      <c r="CU11" s="14" t="e">
        <f t="shared" si="13"/>
        <v>#VALUE!</v>
      </c>
      <c r="CV11" s="14" t="e">
        <f t="shared" si="13"/>
        <v>#VALUE!</v>
      </c>
      <c r="CW11" s="14" t="e">
        <f t="shared" si="13"/>
        <v>#VALUE!</v>
      </c>
      <c r="CX11" s="15" t="e">
        <f t="shared" si="13"/>
        <v>#VALUE!</v>
      </c>
      <c r="CY11" s="16" t="e">
        <f t="shared" si="13"/>
        <v>#VALUE!</v>
      </c>
      <c r="CZ11" s="13" t="e">
        <f t="shared" si="13"/>
        <v>#VALUE!</v>
      </c>
      <c r="DA11" s="14" t="e">
        <f t="shared" si="13"/>
        <v>#VALUE!</v>
      </c>
      <c r="DB11" s="14" t="e">
        <f t="shared" si="14"/>
        <v>#VALUE!</v>
      </c>
      <c r="DC11" s="14" t="e">
        <f t="shared" si="14"/>
        <v>#VALUE!</v>
      </c>
      <c r="DD11" s="14" t="e">
        <f t="shared" si="14"/>
        <v>#VALUE!</v>
      </c>
      <c r="DE11" s="15" t="e">
        <f t="shared" si="14"/>
        <v>#VALUE!</v>
      </c>
      <c r="DF11" s="16" t="e">
        <f t="shared" si="14"/>
        <v>#VALUE!</v>
      </c>
      <c r="DG11" s="13" t="e">
        <f t="shared" si="14"/>
        <v>#VALUE!</v>
      </c>
      <c r="DH11" s="14" t="e">
        <f t="shared" si="14"/>
        <v>#VALUE!</v>
      </c>
      <c r="DI11" s="14" t="e">
        <f t="shared" si="14"/>
        <v>#VALUE!</v>
      </c>
      <c r="DJ11" s="14" t="e">
        <f t="shared" si="14"/>
        <v>#VALUE!</v>
      </c>
      <c r="DK11" s="14" t="e">
        <f t="shared" si="14"/>
        <v>#VALUE!</v>
      </c>
      <c r="DL11" s="15" t="e">
        <f t="shared" si="15"/>
        <v>#VALUE!</v>
      </c>
      <c r="DM11" s="16" t="e">
        <f t="shared" si="15"/>
        <v>#VALUE!</v>
      </c>
      <c r="DN11" s="13" t="e">
        <f t="shared" si="15"/>
        <v>#VALUE!</v>
      </c>
      <c r="DO11" s="14" t="e">
        <f t="shared" si="15"/>
        <v>#VALUE!</v>
      </c>
      <c r="DP11" s="14" t="e">
        <f t="shared" si="15"/>
        <v>#VALUE!</v>
      </c>
      <c r="DQ11" s="14" t="e">
        <f t="shared" si="15"/>
        <v>#VALUE!</v>
      </c>
      <c r="DR11" s="14" t="e">
        <f t="shared" si="15"/>
        <v>#VALUE!</v>
      </c>
      <c r="DS11" s="15" t="e">
        <f t="shared" si="15"/>
        <v>#VALUE!</v>
      </c>
      <c r="DT11" s="16" t="e">
        <f t="shared" si="15"/>
        <v>#VALUE!</v>
      </c>
    </row>
    <row r="12" spans="1:124" s="17" customFormat="1" ht="9.6" customHeight="1">
      <c r="A12" s="535"/>
      <c r="B12" s="18" t="s">
        <v>43</v>
      </c>
      <c r="C12" s="19" t="e">
        <f>E11+1</f>
        <v>#VALUE!</v>
      </c>
      <c r="D12" s="19" t="str">
        <f>_xlfn.XLOOKUP(A25,'VTT project'!F:F,'VTT project'!V:V,"-",0)</f>
        <v>-</v>
      </c>
      <c r="E12" s="21" t="e">
        <f>(C12+D12)-1</f>
        <v>#VALUE!</v>
      </c>
      <c r="F12" s="13" t="e">
        <f t="shared" si="4"/>
        <v>#VALUE!</v>
      </c>
      <c r="G12" s="14" t="e">
        <f t="shared" si="4"/>
        <v>#VALUE!</v>
      </c>
      <c r="H12" s="14" t="e">
        <f t="shared" si="4"/>
        <v>#VALUE!</v>
      </c>
      <c r="I12" s="14" t="e">
        <f t="shared" si="4"/>
        <v>#VALUE!</v>
      </c>
      <c r="J12" s="14" t="e">
        <f t="shared" si="4"/>
        <v>#VALUE!</v>
      </c>
      <c r="K12" s="15" t="e">
        <f t="shared" si="4"/>
        <v>#VALUE!</v>
      </c>
      <c r="L12" s="16" t="e">
        <f t="shared" si="4"/>
        <v>#VALUE!</v>
      </c>
      <c r="M12" s="13" t="e">
        <f t="shared" si="4"/>
        <v>#VALUE!</v>
      </c>
      <c r="N12" s="14" t="e">
        <f t="shared" si="4"/>
        <v>#VALUE!</v>
      </c>
      <c r="O12" s="14" t="e">
        <f t="shared" si="4"/>
        <v>#VALUE!</v>
      </c>
      <c r="P12" s="14" t="e">
        <f t="shared" si="5"/>
        <v>#VALUE!</v>
      </c>
      <c r="Q12" s="14" t="e">
        <f t="shared" si="5"/>
        <v>#VALUE!</v>
      </c>
      <c r="R12" s="15" t="e">
        <f t="shared" si="5"/>
        <v>#VALUE!</v>
      </c>
      <c r="S12" s="16" t="e">
        <f t="shared" si="5"/>
        <v>#VALUE!</v>
      </c>
      <c r="T12" s="13" t="e">
        <f t="shared" si="5"/>
        <v>#VALUE!</v>
      </c>
      <c r="U12" s="14" t="e">
        <f t="shared" si="5"/>
        <v>#VALUE!</v>
      </c>
      <c r="V12" s="14" t="e">
        <f t="shared" si="5"/>
        <v>#VALUE!</v>
      </c>
      <c r="W12" s="14" t="e">
        <f t="shared" si="5"/>
        <v>#VALUE!</v>
      </c>
      <c r="X12" s="14" t="e">
        <f t="shared" si="5"/>
        <v>#VALUE!</v>
      </c>
      <c r="Y12" s="15" t="e">
        <f t="shared" si="5"/>
        <v>#VALUE!</v>
      </c>
      <c r="Z12" s="16" t="e">
        <f t="shared" si="6"/>
        <v>#VALUE!</v>
      </c>
      <c r="AA12" s="13" t="e">
        <f t="shared" si="6"/>
        <v>#VALUE!</v>
      </c>
      <c r="AB12" s="14" t="e">
        <f t="shared" si="6"/>
        <v>#VALUE!</v>
      </c>
      <c r="AC12" s="14" t="e">
        <f t="shared" si="6"/>
        <v>#VALUE!</v>
      </c>
      <c r="AD12" s="14" t="e">
        <f t="shared" si="6"/>
        <v>#VALUE!</v>
      </c>
      <c r="AE12" s="14" t="e">
        <f t="shared" si="6"/>
        <v>#VALUE!</v>
      </c>
      <c r="AF12" s="15" t="e">
        <f t="shared" si="6"/>
        <v>#VALUE!</v>
      </c>
      <c r="AG12" s="16" t="e">
        <f t="shared" si="6"/>
        <v>#VALUE!</v>
      </c>
      <c r="AH12" s="13" t="e">
        <f t="shared" si="6"/>
        <v>#VALUE!</v>
      </c>
      <c r="AI12" s="14" t="e">
        <f t="shared" si="6"/>
        <v>#VALUE!</v>
      </c>
      <c r="AJ12" s="14" t="e">
        <f t="shared" si="7"/>
        <v>#VALUE!</v>
      </c>
      <c r="AK12" s="14" t="e">
        <f t="shared" si="7"/>
        <v>#VALUE!</v>
      </c>
      <c r="AL12" s="14" t="e">
        <f t="shared" si="7"/>
        <v>#VALUE!</v>
      </c>
      <c r="AM12" s="15" t="e">
        <f t="shared" si="7"/>
        <v>#VALUE!</v>
      </c>
      <c r="AN12" s="16" t="e">
        <f t="shared" si="7"/>
        <v>#VALUE!</v>
      </c>
      <c r="AO12" s="13" t="e">
        <f t="shared" si="7"/>
        <v>#VALUE!</v>
      </c>
      <c r="AP12" s="14" t="e">
        <f t="shared" si="7"/>
        <v>#VALUE!</v>
      </c>
      <c r="AQ12" s="14" t="e">
        <f t="shared" si="7"/>
        <v>#VALUE!</v>
      </c>
      <c r="AR12" s="14" t="e">
        <f t="shared" si="7"/>
        <v>#VALUE!</v>
      </c>
      <c r="AS12" s="14" t="e">
        <f t="shared" si="7"/>
        <v>#VALUE!</v>
      </c>
      <c r="AT12" s="15" t="e">
        <f t="shared" si="8"/>
        <v>#VALUE!</v>
      </c>
      <c r="AU12" s="16" t="e">
        <f t="shared" si="8"/>
        <v>#VALUE!</v>
      </c>
      <c r="AV12" s="13" t="e">
        <f t="shared" si="8"/>
        <v>#VALUE!</v>
      </c>
      <c r="AW12" s="14" t="e">
        <f t="shared" si="8"/>
        <v>#VALUE!</v>
      </c>
      <c r="AX12" s="14" t="e">
        <f t="shared" si="8"/>
        <v>#VALUE!</v>
      </c>
      <c r="AY12" s="14" t="e">
        <f t="shared" si="8"/>
        <v>#VALUE!</v>
      </c>
      <c r="AZ12" s="14" t="e">
        <f t="shared" si="8"/>
        <v>#VALUE!</v>
      </c>
      <c r="BA12" s="15" t="e">
        <f t="shared" si="8"/>
        <v>#VALUE!</v>
      </c>
      <c r="BB12" s="16" t="e">
        <f t="shared" si="8"/>
        <v>#VALUE!</v>
      </c>
      <c r="BC12" s="13" t="e">
        <f t="shared" si="8"/>
        <v>#VALUE!</v>
      </c>
      <c r="BD12" s="14" t="e">
        <f t="shared" si="9"/>
        <v>#VALUE!</v>
      </c>
      <c r="BE12" s="14" t="e">
        <f t="shared" si="9"/>
        <v>#VALUE!</v>
      </c>
      <c r="BF12" s="14" t="e">
        <f t="shared" si="9"/>
        <v>#VALUE!</v>
      </c>
      <c r="BG12" s="14" t="e">
        <f t="shared" si="9"/>
        <v>#VALUE!</v>
      </c>
      <c r="BH12" s="15" t="e">
        <f t="shared" si="9"/>
        <v>#VALUE!</v>
      </c>
      <c r="BI12" s="16" t="e">
        <f t="shared" si="9"/>
        <v>#VALUE!</v>
      </c>
      <c r="BJ12" s="13" t="e">
        <f t="shared" si="9"/>
        <v>#VALUE!</v>
      </c>
      <c r="BK12" s="14" t="e">
        <f t="shared" si="9"/>
        <v>#VALUE!</v>
      </c>
      <c r="BL12" s="14" t="e">
        <f t="shared" si="9"/>
        <v>#VALUE!</v>
      </c>
      <c r="BM12" s="14" t="e">
        <f t="shared" si="9"/>
        <v>#VALUE!</v>
      </c>
      <c r="BN12" s="14" t="e">
        <f t="shared" si="10"/>
        <v>#VALUE!</v>
      </c>
      <c r="BO12" s="15" t="e">
        <f t="shared" si="10"/>
        <v>#VALUE!</v>
      </c>
      <c r="BP12" s="16" t="e">
        <f t="shared" si="10"/>
        <v>#VALUE!</v>
      </c>
      <c r="BQ12" s="13" t="e">
        <f t="shared" si="10"/>
        <v>#VALUE!</v>
      </c>
      <c r="BR12" s="14" t="e">
        <f t="shared" si="10"/>
        <v>#VALUE!</v>
      </c>
      <c r="BS12" s="14" t="e">
        <f t="shared" si="10"/>
        <v>#VALUE!</v>
      </c>
      <c r="BT12" s="14" t="e">
        <f t="shared" si="10"/>
        <v>#VALUE!</v>
      </c>
      <c r="BU12" s="14" t="e">
        <f t="shared" si="10"/>
        <v>#VALUE!</v>
      </c>
      <c r="BV12" s="15" t="e">
        <f t="shared" si="10"/>
        <v>#VALUE!</v>
      </c>
      <c r="BW12" s="16" t="e">
        <f t="shared" si="10"/>
        <v>#VALUE!</v>
      </c>
      <c r="BX12" s="13" t="e">
        <f t="shared" si="11"/>
        <v>#VALUE!</v>
      </c>
      <c r="BY12" s="14" t="e">
        <f t="shared" si="11"/>
        <v>#VALUE!</v>
      </c>
      <c r="BZ12" s="14" t="e">
        <f t="shared" si="11"/>
        <v>#VALUE!</v>
      </c>
      <c r="CA12" s="14" t="e">
        <f t="shared" si="11"/>
        <v>#VALUE!</v>
      </c>
      <c r="CB12" s="14" t="e">
        <f t="shared" si="11"/>
        <v>#VALUE!</v>
      </c>
      <c r="CC12" s="15" t="e">
        <f t="shared" si="11"/>
        <v>#VALUE!</v>
      </c>
      <c r="CD12" s="16" t="e">
        <f t="shared" si="11"/>
        <v>#VALUE!</v>
      </c>
      <c r="CE12" s="13" t="e">
        <f t="shared" si="11"/>
        <v>#VALUE!</v>
      </c>
      <c r="CF12" s="14" t="e">
        <f t="shared" si="11"/>
        <v>#VALUE!</v>
      </c>
      <c r="CG12" s="14" t="e">
        <f t="shared" si="11"/>
        <v>#VALUE!</v>
      </c>
      <c r="CH12" s="14" t="e">
        <f t="shared" si="12"/>
        <v>#VALUE!</v>
      </c>
      <c r="CI12" s="14" t="e">
        <f t="shared" si="12"/>
        <v>#VALUE!</v>
      </c>
      <c r="CJ12" s="15" t="e">
        <f t="shared" si="12"/>
        <v>#VALUE!</v>
      </c>
      <c r="CK12" s="16" t="e">
        <f t="shared" si="12"/>
        <v>#VALUE!</v>
      </c>
      <c r="CL12" s="13" t="e">
        <f t="shared" si="12"/>
        <v>#VALUE!</v>
      </c>
      <c r="CM12" s="14" t="e">
        <f t="shared" si="12"/>
        <v>#VALUE!</v>
      </c>
      <c r="CN12" s="14" t="e">
        <f t="shared" si="12"/>
        <v>#VALUE!</v>
      </c>
      <c r="CO12" s="14" t="e">
        <f t="shared" si="12"/>
        <v>#VALUE!</v>
      </c>
      <c r="CP12" s="14" t="e">
        <f t="shared" si="12"/>
        <v>#VALUE!</v>
      </c>
      <c r="CQ12" s="15" t="e">
        <f t="shared" si="12"/>
        <v>#VALUE!</v>
      </c>
      <c r="CR12" s="16" t="e">
        <f t="shared" si="13"/>
        <v>#VALUE!</v>
      </c>
      <c r="CS12" s="13" t="e">
        <f t="shared" si="13"/>
        <v>#VALUE!</v>
      </c>
      <c r="CT12" s="14" t="e">
        <f t="shared" si="13"/>
        <v>#VALUE!</v>
      </c>
      <c r="CU12" s="14" t="e">
        <f t="shared" si="13"/>
        <v>#VALUE!</v>
      </c>
      <c r="CV12" s="14" t="e">
        <f t="shared" si="13"/>
        <v>#VALUE!</v>
      </c>
      <c r="CW12" s="14" t="e">
        <f t="shared" si="13"/>
        <v>#VALUE!</v>
      </c>
      <c r="CX12" s="15" t="e">
        <f t="shared" si="13"/>
        <v>#VALUE!</v>
      </c>
      <c r="CY12" s="16" t="e">
        <f t="shared" si="13"/>
        <v>#VALUE!</v>
      </c>
      <c r="CZ12" s="13" t="e">
        <f t="shared" si="13"/>
        <v>#VALUE!</v>
      </c>
      <c r="DA12" s="14" t="e">
        <f t="shared" si="13"/>
        <v>#VALUE!</v>
      </c>
      <c r="DB12" s="14" t="e">
        <f t="shared" si="14"/>
        <v>#VALUE!</v>
      </c>
      <c r="DC12" s="14" t="e">
        <f t="shared" si="14"/>
        <v>#VALUE!</v>
      </c>
      <c r="DD12" s="14" t="e">
        <f t="shared" si="14"/>
        <v>#VALUE!</v>
      </c>
      <c r="DE12" s="15" t="e">
        <f t="shared" si="14"/>
        <v>#VALUE!</v>
      </c>
      <c r="DF12" s="16" t="e">
        <f t="shared" si="14"/>
        <v>#VALUE!</v>
      </c>
      <c r="DG12" s="13" t="e">
        <f t="shared" si="14"/>
        <v>#VALUE!</v>
      </c>
      <c r="DH12" s="14" t="e">
        <f t="shared" si="14"/>
        <v>#VALUE!</v>
      </c>
      <c r="DI12" s="14" t="e">
        <f t="shared" si="14"/>
        <v>#VALUE!</v>
      </c>
      <c r="DJ12" s="14" t="e">
        <f t="shared" si="14"/>
        <v>#VALUE!</v>
      </c>
      <c r="DK12" s="14" t="e">
        <f t="shared" si="14"/>
        <v>#VALUE!</v>
      </c>
      <c r="DL12" s="15" t="e">
        <f t="shared" si="15"/>
        <v>#VALUE!</v>
      </c>
      <c r="DM12" s="16" t="e">
        <f t="shared" si="15"/>
        <v>#VALUE!</v>
      </c>
      <c r="DN12" s="13" t="e">
        <f t="shared" si="15"/>
        <v>#VALUE!</v>
      </c>
      <c r="DO12" s="14" t="e">
        <f t="shared" si="15"/>
        <v>#VALUE!</v>
      </c>
      <c r="DP12" s="14" t="e">
        <f t="shared" si="15"/>
        <v>#VALUE!</v>
      </c>
      <c r="DQ12" s="14" t="e">
        <f t="shared" si="15"/>
        <v>#VALUE!</v>
      </c>
      <c r="DR12" s="14" t="e">
        <f t="shared" si="15"/>
        <v>#VALUE!</v>
      </c>
      <c r="DS12" s="15" t="e">
        <f t="shared" si="15"/>
        <v>#VALUE!</v>
      </c>
      <c r="DT12" s="16" t="e">
        <f t="shared" si="15"/>
        <v>#VALUE!</v>
      </c>
    </row>
    <row r="13" spans="1:124" s="17" customFormat="1" ht="9.6" customHeight="1">
      <c r="A13" s="535"/>
      <c r="B13" s="22" t="s">
        <v>44</v>
      </c>
      <c r="C13" s="19" t="e">
        <f>IF(AND(_xlfn.XLOOKUP(A25,'VTT project'!F:F,'VTT project'!W:W,"-",0)=7,INT(E12/7)=E12/7),E12,IF((ROUNDDOWN(E12/7,0)*7+_xlfn.XLOOKUP(A25,'VTT project'!F:F,'VTT project'!W:W,"-",0))&lt;E12,(ROUNDDOWN(E12/7,0)*7+_xlfn.XLOOKUP(A25,'VTT project'!F:F,'VTT project'!W:W,"-",0))+7,(ROUNDDOWN(E12/7,0)*7+_xlfn.XLOOKUP(A25,'VTT project'!F:F,'VTT project'!W:W,"-",0))))</f>
        <v>#VALUE!</v>
      </c>
      <c r="D13" s="20">
        <v>0</v>
      </c>
      <c r="E13" s="19" t="e">
        <f>C13+D13</f>
        <v>#VALUE!</v>
      </c>
      <c r="F13" s="13" t="e">
        <f t="shared" si="4"/>
        <v>#VALUE!</v>
      </c>
      <c r="G13" s="14" t="e">
        <f t="shared" si="4"/>
        <v>#VALUE!</v>
      </c>
      <c r="H13" s="14" t="e">
        <f t="shared" si="4"/>
        <v>#VALUE!</v>
      </c>
      <c r="I13" s="14" t="e">
        <f t="shared" si="4"/>
        <v>#VALUE!</v>
      </c>
      <c r="J13" s="14" t="e">
        <f t="shared" si="4"/>
        <v>#VALUE!</v>
      </c>
      <c r="K13" s="15" t="e">
        <f t="shared" si="4"/>
        <v>#VALUE!</v>
      </c>
      <c r="L13" s="16" t="e">
        <f t="shared" si="4"/>
        <v>#VALUE!</v>
      </c>
      <c r="M13" s="13" t="e">
        <f t="shared" si="4"/>
        <v>#VALUE!</v>
      </c>
      <c r="N13" s="14" t="e">
        <f t="shared" si="4"/>
        <v>#VALUE!</v>
      </c>
      <c r="O13" s="14" t="e">
        <f t="shared" si="4"/>
        <v>#VALUE!</v>
      </c>
      <c r="P13" s="14" t="e">
        <f t="shared" si="5"/>
        <v>#VALUE!</v>
      </c>
      <c r="Q13" s="14" t="e">
        <f t="shared" si="5"/>
        <v>#VALUE!</v>
      </c>
      <c r="R13" s="15" t="e">
        <f t="shared" si="5"/>
        <v>#VALUE!</v>
      </c>
      <c r="S13" s="16" t="e">
        <f t="shared" si="5"/>
        <v>#VALUE!</v>
      </c>
      <c r="T13" s="13" t="e">
        <f t="shared" si="5"/>
        <v>#VALUE!</v>
      </c>
      <c r="U13" s="14" t="e">
        <f t="shared" si="5"/>
        <v>#VALUE!</v>
      </c>
      <c r="V13" s="14" t="e">
        <f t="shared" si="5"/>
        <v>#VALUE!</v>
      </c>
      <c r="W13" s="14" t="e">
        <f t="shared" si="5"/>
        <v>#VALUE!</v>
      </c>
      <c r="X13" s="14" t="e">
        <f t="shared" si="5"/>
        <v>#VALUE!</v>
      </c>
      <c r="Y13" s="15" t="e">
        <f t="shared" si="5"/>
        <v>#VALUE!</v>
      </c>
      <c r="Z13" s="16" t="e">
        <f t="shared" si="6"/>
        <v>#VALUE!</v>
      </c>
      <c r="AA13" s="13" t="e">
        <f t="shared" si="6"/>
        <v>#VALUE!</v>
      </c>
      <c r="AB13" s="14" t="e">
        <f t="shared" si="6"/>
        <v>#VALUE!</v>
      </c>
      <c r="AC13" s="14" t="e">
        <f t="shared" si="6"/>
        <v>#VALUE!</v>
      </c>
      <c r="AD13" s="14" t="e">
        <f t="shared" si="6"/>
        <v>#VALUE!</v>
      </c>
      <c r="AE13" s="14" t="e">
        <f t="shared" si="6"/>
        <v>#VALUE!</v>
      </c>
      <c r="AF13" s="15" t="e">
        <f t="shared" si="6"/>
        <v>#VALUE!</v>
      </c>
      <c r="AG13" s="16" t="e">
        <f t="shared" si="6"/>
        <v>#VALUE!</v>
      </c>
      <c r="AH13" s="13" t="e">
        <f t="shared" si="6"/>
        <v>#VALUE!</v>
      </c>
      <c r="AI13" s="14" t="e">
        <f t="shared" si="6"/>
        <v>#VALUE!</v>
      </c>
      <c r="AJ13" s="14" t="e">
        <f t="shared" si="7"/>
        <v>#VALUE!</v>
      </c>
      <c r="AK13" s="14" t="e">
        <f t="shared" si="7"/>
        <v>#VALUE!</v>
      </c>
      <c r="AL13" s="14" t="e">
        <f t="shared" si="7"/>
        <v>#VALUE!</v>
      </c>
      <c r="AM13" s="15" t="e">
        <f t="shared" si="7"/>
        <v>#VALUE!</v>
      </c>
      <c r="AN13" s="16" t="e">
        <f t="shared" si="7"/>
        <v>#VALUE!</v>
      </c>
      <c r="AO13" s="13" t="e">
        <f t="shared" si="7"/>
        <v>#VALUE!</v>
      </c>
      <c r="AP13" s="14" t="e">
        <f t="shared" si="7"/>
        <v>#VALUE!</v>
      </c>
      <c r="AQ13" s="14" t="e">
        <f t="shared" si="7"/>
        <v>#VALUE!</v>
      </c>
      <c r="AR13" s="14" t="e">
        <f t="shared" si="7"/>
        <v>#VALUE!</v>
      </c>
      <c r="AS13" s="14" t="e">
        <f t="shared" si="7"/>
        <v>#VALUE!</v>
      </c>
      <c r="AT13" s="15" t="e">
        <f t="shared" si="8"/>
        <v>#VALUE!</v>
      </c>
      <c r="AU13" s="16" t="e">
        <f t="shared" si="8"/>
        <v>#VALUE!</v>
      </c>
      <c r="AV13" s="13" t="e">
        <f t="shared" si="8"/>
        <v>#VALUE!</v>
      </c>
      <c r="AW13" s="14" t="e">
        <f t="shared" si="8"/>
        <v>#VALUE!</v>
      </c>
      <c r="AX13" s="14" t="e">
        <f t="shared" si="8"/>
        <v>#VALUE!</v>
      </c>
      <c r="AY13" s="14" t="e">
        <f t="shared" si="8"/>
        <v>#VALUE!</v>
      </c>
      <c r="AZ13" s="14" t="e">
        <f t="shared" si="8"/>
        <v>#VALUE!</v>
      </c>
      <c r="BA13" s="15" t="e">
        <f t="shared" si="8"/>
        <v>#VALUE!</v>
      </c>
      <c r="BB13" s="16" t="e">
        <f t="shared" si="8"/>
        <v>#VALUE!</v>
      </c>
      <c r="BC13" s="13" t="e">
        <f t="shared" si="8"/>
        <v>#VALUE!</v>
      </c>
      <c r="BD13" s="14" t="e">
        <f t="shared" si="9"/>
        <v>#VALUE!</v>
      </c>
      <c r="BE13" s="14" t="e">
        <f t="shared" si="9"/>
        <v>#VALUE!</v>
      </c>
      <c r="BF13" s="14" t="e">
        <f t="shared" si="9"/>
        <v>#VALUE!</v>
      </c>
      <c r="BG13" s="14" t="e">
        <f t="shared" si="9"/>
        <v>#VALUE!</v>
      </c>
      <c r="BH13" s="15" t="e">
        <f t="shared" si="9"/>
        <v>#VALUE!</v>
      </c>
      <c r="BI13" s="16" t="e">
        <f t="shared" si="9"/>
        <v>#VALUE!</v>
      </c>
      <c r="BJ13" s="13" t="e">
        <f t="shared" si="9"/>
        <v>#VALUE!</v>
      </c>
      <c r="BK13" s="14" t="e">
        <f t="shared" si="9"/>
        <v>#VALUE!</v>
      </c>
      <c r="BL13" s="14" t="e">
        <f t="shared" si="9"/>
        <v>#VALUE!</v>
      </c>
      <c r="BM13" s="14" t="e">
        <f t="shared" si="9"/>
        <v>#VALUE!</v>
      </c>
      <c r="BN13" s="14" t="e">
        <f t="shared" si="10"/>
        <v>#VALUE!</v>
      </c>
      <c r="BO13" s="15" t="e">
        <f t="shared" si="10"/>
        <v>#VALUE!</v>
      </c>
      <c r="BP13" s="16" t="e">
        <f t="shared" si="10"/>
        <v>#VALUE!</v>
      </c>
      <c r="BQ13" s="13" t="e">
        <f t="shared" si="10"/>
        <v>#VALUE!</v>
      </c>
      <c r="BR13" s="14" t="e">
        <f t="shared" si="10"/>
        <v>#VALUE!</v>
      </c>
      <c r="BS13" s="14" t="e">
        <f t="shared" si="10"/>
        <v>#VALUE!</v>
      </c>
      <c r="BT13" s="14" t="e">
        <f t="shared" si="10"/>
        <v>#VALUE!</v>
      </c>
      <c r="BU13" s="14" t="e">
        <f t="shared" si="10"/>
        <v>#VALUE!</v>
      </c>
      <c r="BV13" s="15" t="e">
        <f t="shared" si="10"/>
        <v>#VALUE!</v>
      </c>
      <c r="BW13" s="16" t="e">
        <f t="shared" si="10"/>
        <v>#VALUE!</v>
      </c>
      <c r="BX13" s="13" t="e">
        <f t="shared" si="11"/>
        <v>#VALUE!</v>
      </c>
      <c r="BY13" s="14" t="e">
        <f t="shared" si="11"/>
        <v>#VALUE!</v>
      </c>
      <c r="BZ13" s="14" t="e">
        <f t="shared" si="11"/>
        <v>#VALUE!</v>
      </c>
      <c r="CA13" s="14" t="e">
        <f t="shared" si="11"/>
        <v>#VALUE!</v>
      </c>
      <c r="CB13" s="14" t="e">
        <f t="shared" si="11"/>
        <v>#VALUE!</v>
      </c>
      <c r="CC13" s="15" t="e">
        <f t="shared" si="11"/>
        <v>#VALUE!</v>
      </c>
      <c r="CD13" s="16" t="e">
        <f t="shared" si="11"/>
        <v>#VALUE!</v>
      </c>
      <c r="CE13" s="13" t="e">
        <f t="shared" si="11"/>
        <v>#VALUE!</v>
      </c>
      <c r="CF13" s="14" t="e">
        <f t="shared" si="11"/>
        <v>#VALUE!</v>
      </c>
      <c r="CG13" s="14" t="e">
        <f t="shared" si="11"/>
        <v>#VALUE!</v>
      </c>
      <c r="CH13" s="14" t="e">
        <f t="shared" si="12"/>
        <v>#VALUE!</v>
      </c>
      <c r="CI13" s="14" t="e">
        <f t="shared" si="12"/>
        <v>#VALUE!</v>
      </c>
      <c r="CJ13" s="15" t="e">
        <f t="shared" si="12"/>
        <v>#VALUE!</v>
      </c>
      <c r="CK13" s="16" t="e">
        <f t="shared" si="12"/>
        <v>#VALUE!</v>
      </c>
      <c r="CL13" s="13" t="e">
        <f t="shared" si="12"/>
        <v>#VALUE!</v>
      </c>
      <c r="CM13" s="14" t="e">
        <f t="shared" si="12"/>
        <v>#VALUE!</v>
      </c>
      <c r="CN13" s="14" t="e">
        <f t="shared" si="12"/>
        <v>#VALUE!</v>
      </c>
      <c r="CO13" s="14" t="e">
        <f t="shared" si="12"/>
        <v>#VALUE!</v>
      </c>
      <c r="CP13" s="14" t="e">
        <f t="shared" si="12"/>
        <v>#VALUE!</v>
      </c>
      <c r="CQ13" s="15" t="e">
        <f t="shared" si="12"/>
        <v>#VALUE!</v>
      </c>
      <c r="CR13" s="16" t="e">
        <f t="shared" si="13"/>
        <v>#VALUE!</v>
      </c>
      <c r="CS13" s="13" t="e">
        <f t="shared" si="13"/>
        <v>#VALUE!</v>
      </c>
      <c r="CT13" s="14" t="e">
        <f t="shared" si="13"/>
        <v>#VALUE!</v>
      </c>
      <c r="CU13" s="14" t="e">
        <f t="shared" si="13"/>
        <v>#VALUE!</v>
      </c>
      <c r="CV13" s="14" t="e">
        <f t="shared" si="13"/>
        <v>#VALUE!</v>
      </c>
      <c r="CW13" s="14" t="e">
        <f t="shared" si="13"/>
        <v>#VALUE!</v>
      </c>
      <c r="CX13" s="15" t="e">
        <f t="shared" si="13"/>
        <v>#VALUE!</v>
      </c>
      <c r="CY13" s="16" t="e">
        <f t="shared" si="13"/>
        <v>#VALUE!</v>
      </c>
      <c r="CZ13" s="13" t="e">
        <f t="shared" si="13"/>
        <v>#VALUE!</v>
      </c>
      <c r="DA13" s="14" t="e">
        <f t="shared" si="13"/>
        <v>#VALUE!</v>
      </c>
      <c r="DB13" s="14" t="e">
        <f t="shared" si="14"/>
        <v>#VALUE!</v>
      </c>
      <c r="DC13" s="14" t="e">
        <f t="shared" si="14"/>
        <v>#VALUE!</v>
      </c>
      <c r="DD13" s="14" t="e">
        <f t="shared" si="14"/>
        <v>#VALUE!</v>
      </c>
      <c r="DE13" s="15" t="e">
        <f t="shared" si="14"/>
        <v>#VALUE!</v>
      </c>
      <c r="DF13" s="16" t="e">
        <f t="shared" si="14"/>
        <v>#VALUE!</v>
      </c>
      <c r="DG13" s="13" t="e">
        <f t="shared" si="14"/>
        <v>#VALUE!</v>
      </c>
      <c r="DH13" s="14" t="e">
        <f t="shared" si="14"/>
        <v>#VALUE!</v>
      </c>
      <c r="DI13" s="14" t="e">
        <f t="shared" si="14"/>
        <v>#VALUE!</v>
      </c>
      <c r="DJ13" s="14" t="e">
        <f t="shared" si="14"/>
        <v>#VALUE!</v>
      </c>
      <c r="DK13" s="14" t="e">
        <f t="shared" si="14"/>
        <v>#VALUE!</v>
      </c>
      <c r="DL13" s="15" t="e">
        <f t="shared" si="15"/>
        <v>#VALUE!</v>
      </c>
      <c r="DM13" s="16" t="e">
        <f t="shared" si="15"/>
        <v>#VALUE!</v>
      </c>
      <c r="DN13" s="13" t="e">
        <f t="shared" si="15"/>
        <v>#VALUE!</v>
      </c>
      <c r="DO13" s="14" t="e">
        <f t="shared" si="15"/>
        <v>#VALUE!</v>
      </c>
      <c r="DP13" s="14" t="e">
        <f t="shared" si="15"/>
        <v>#VALUE!</v>
      </c>
      <c r="DQ13" s="14" t="e">
        <f t="shared" si="15"/>
        <v>#VALUE!</v>
      </c>
      <c r="DR13" s="14" t="e">
        <f t="shared" si="15"/>
        <v>#VALUE!</v>
      </c>
      <c r="DS13" s="15" t="e">
        <f t="shared" si="15"/>
        <v>#VALUE!</v>
      </c>
      <c r="DT13" s="16" t="e">
        <f t="shared" si="15"/>
        <v>#VALUE!</v>
      </c>
    </row>
    <row r="14" spans="1:124" s="17" customFormat="1" ht="9.6" customHeight="1">
      <c r="A14" s="535"/>
      <c r="B14" s="22" t="s">
        <v>45</v>
      </c>
      <c r="C14" s="19" t="e">
        <f>IF((ROUNDDOWN(E13/7,0)*7+_xlfn.XLOOKUP(A25,'VTT project'!F:F,'VTT project'!AC:AC,"-",0))&lt;E13,(ROUNDDOWN(E13/7,0)*7+_xlfn.XLOOKUP(A25,'VTT project'!F:F,'VTT project'!AC:AC,"-",0))+7,(ROUNDDOWN(E13/7,0)*7+_xlfn.XLOOKUP(A25,'VTT project'!F:F,'VTT project'!AC:AC,"-",0)))</f>
        <v>#VALUE!</v>
      </c>
      <c r="D14" s="20">
        <v>0</v>
      </c>
      <c r="E14" s="19" t="e">
        <f>C14+D14</f>
        <v>#VALUE!</v>
      </c>
      <c r="F14" s="13" t="e">
        <f t="shared" si="4"/>
        <v>#VALUE!</v>
      </c>
      <c r="G14" s="14" t="e">
        <f t="shared" si="4"/>
        <v>#VALUE!</v>
      </c>
      <c r="H14" s="14" t="e">
        <f t="shared" si="4"/>
        <v>#VALUE!</v>
      </c>
      <c r="I14" s="14" t="e">
        <f t="shared" si="4"/>
        <v>#VALUE!</v>
      </c>
      <c r="J14" s="14" t="e">
        <f t="shared" si="4"/>
        <v>#VALUE!</v>
      </c>
      <c r="K14" s="15" t="e">
        <f t="shared" si="4"/>
        <v>#VALUE!</v>
      </c>
      <c r="L14" s="16" t="e">
        <f t="shared" si="4"/>
        <v>#VALUE!</v>
      </c>
      <c r="M14" s="13" t="e">
        <f t="shared" si="4"/>
        <v>#VALUE!</v>
      </c>
      <c r="N14" s="14" t="e">
        <f t="shared" si="4"/>
        <v>#VALUE!</v>
      </c>
      <c r="O14" s="14" t="e">
        <f t="shared" si="4"/>
        <v>#VALUE!</v>
      </c>
      <c r="P14" s="14" t="e">
        <f t="shared" si="5"/>
        <v>#VALUE!</v>
      </c>
      <c r="Q14" s="14" t="e">
        <f t="shared" si="5"/>
        <v>#VALUE!</v>
      </c>
      <c r="R14" s="15" t="e">
        <f t="shared" si="5"/>
        <v>#VALUE!</v>
      </c>
      <c r="S14" s="16" t="e">
        <f t="shared" si="5"/>
        <v>#VALUE!</v>
      </c>
      <c r="T14" s="13" t="e">
        <f t="shared" si="5"/>
        <v>#VALUE!</v>
      </c>
      <c r="U14" s="14" t="e">
        <f t="shared" si="5"/>
        <v>#VALUE!</v>
      </c>
      <c r="V14" s="14" t="e">
        <f t="shared" si="5"/>
        <v>#VALUE!</v>
      </c>
      <c r="W14" s="14" t="e">
        <f t="shared" si="5"/>
        <v>#VALUE!</v>
      </c>
      <c r="X14" s="14" t="e">
        <f t="shared" si="5"/>
        <v>#VALUE!</v>
      </c>
      <c r="Y14" s="15" t="e">
        <f t="shared" si="5"/>
        <v>#VALUE!</v>
      </c>
      <c r="Z14" s="16" t="e">
        <f t="shared" si="6"/>
        <v>#VALUE!</v>
      </c>
      <c r="AA14" s="13" t="e">
        <f t="shared" si="6"/>
        <v>#VALUE!</v>
      </c>
      <c r="AB14" s="14" t="e">
        <f t="shared" si="6"/>
        <v>#VALUE!</v>
      </c>
      <c r="AC14" s="14" t="e">
        <f t="shared" si="6"/>
        <v>#VALUE!</v>
      </c>
      <c r="AD14" s="14" t="e">
        <f t="shared" si="6"/>
        <v>#VALUE!</v>
      </c>
      <c r="AE14" s="14" t="e">
        <f t="shared" si="6"/>
        <v>#VALUE!</v>
      </c>
      <c r="AF14" s="15" t="e">
        <f t="shared" si="6"/>
        <v>#VALUE!</v>
      </c>
      <c r="AG14" s="16" t="e">
        <f t="shared" si="6"/>
        <v>#VALUE!</v>
      </c>
      <c r="AH14" s="13" t="e">
        <f t="shared" si="6"/>
        <v>#VALUE!</v>
      </c>
      <c r="AI14" s="14" t="e">
        <f t="shared" si="6"/>
        <v>#VALUE!</v>
      </c>
      <c r="AJ14" s="14" t="e">
        <f t="shared" si="7"/>
        <v>#VALUE!</v>
      </c>
      <c r="AK14" s="14" t="e">
        <f t="shared" si="7"/>
        <v>#VALUE!</v>
      </c>
      <c r="AL14" s="14" t="e">
        <f t="shared" si="7"/>
        <v>#VALUE!</v>
      </c>
      <c r="AM14" s="15" t="e">
        <f t="shared" si="7"/>
        <v>#VALUE!</v>
      </c>
      <c r="AN14" s="16" t="e">
        <f t="shared" si="7"/>
        <v>#VALUE!</v>
      </c>
      <c r="AO14" s="13" t="e">
        <f t="shared" si="7"/>
        <v>#VALUE!</v>
      </c>
      <c r="AP14" s="14" t="e">
        <f t="shared" si="7"/>
        <v>#VALUE!</v>
      </c>
      <c r="AQ14" s="14" t="e">
        <f t="shared" si="7"/>
        <v>#VALUE!</v>
      </c>
      <c r="AR14" s="14" t="e">
        <f t="shared" si="7"/>
        <v>#VALUE!</v>
      </c>
      <c r="AS14" s="14" t="e">
        <f t="shared" si="7"/>
        <v>#VALUE!</v>
      </c>
      <c r="AT14" s="15" t="e">
        <f t="shared" si="8"/>
        <v>#VALUE!</v>
      </c>
      <c r="AU14" s="16" t="e">
        <f t="shared" si="8"/>
        <v>#VALUE!</v>
      </c>
      <c r="AV14" s="13" t="e">
        <f t="shared" si="8"/>
        <v>#VALUE!</v>
      </c>
      <c r="AW14" s="14" t="e">
        <f t="shared" si="8"/>
        <v>#VALUE!</v>
      </c>
      <c r="AX14" s="14" t="e">
        <f t="shared" si="8"/>
        <v>#VALUE!</v>
      </c>
      <c r="AY14" s="14" t="e">
        <f t="shared" si="8"/>
        <v>#VALUE!</v>
      </c>
      <c r="AZ14" s="14" t="e">
        <f t="shared" si="8"/>
        <v>#VALUE!</v>
      </c>
      <c r="BA14" s="15" t="e">
        <f t="shared" si="8"/>
        <v>#VALUE!</v>
      </c>
      <c r="BB14" s="16" t="e">
        <f t="shared" si="8"/>
        <v>#VALUE!</v>
      </c>
      <c r="BC14" s="13" t="e">
        <f t="shared" si="8"/>
        <v>#VALUE!</v>
      </c>
      <c r="BD14" s="14" t="e">
        <f t="shared" si="9"/>
        <v>#VALUE!</v>
      </c>
      <c r="BE14" s="14" t="e">
        <f t="shared" si="9"/>
        <v>#VALUE!</v>
      </c>
      <c r="BF14" s="14" t="e">
        <f t="shared" si="9"/>
        <v>#VALUE!</v>
      </c>
      <c r="BG14" s="14" t="e">
        <f t="shared" si="9"/>
        <v>#VALUE!</v>
      </c>
      <c r="BH14" s="15" t="e">
        <f t="shared" si="9"/>
        <v>#VALUE!</v>
      </c>
      <c r="BI14" s="16" t="e">
        <f t="shared" si="9"/>
        <v>#VALUE!</v>
      </c>
      <c r="BJ14" s="13" t="e">
        <f t="shared" si="9"/>
        <v>#VALUE!</v>
      </c>
      <c r="BK14" s="14" t="e">
        <f t="shared" si="9"/>
        <v>#VALUE!</v>
      </c>
      <c r="BL14" s="14" t="e">
        <f t="shared" si="9"/>
        <v>#VALUE!</v>
      </c>
      <c r="BM14" s="14" t="e">
        <f t="shared" si="9"/>
        <v>#VALUE!</v>
      </c>
      <c r="BN14" s="14" t="e">
        <f t="shared" si="10"/>
        <v>#VALUE!</v>
      </c>
      <c r="BO14" s="15" t="e">
        <f t="shared" si="10"/>
        <v>#VALUE!</v>
      </c>
      <c r="BP14" s="16" t="e">
        <f t="shared" si="10"/>
        <v>#VALUE!</v>
      </c>
      <c r="BQ14" s="13" t="e">
        <f t="shared" si="10"/>
        <v>#VALUE!</v>
      </c>
      <c r="BR14" s="14" t="e">
        <f t="shared" si="10"/>
        <v>#VALUE!</v>
      </c>
      <c r="BS14" s="14" t="e">
        <f t="shared" si="10"/>
        <v>#VALUE!</v>
      </c>
      <c r="BT14" s="14" t="e">
        <f t="shared" si="10"/>
        <v>#VALUE!</v>
      </c>
      <c r="BU14" s="14" t="e">
        <f t="shared" si="10"/>
        <v>#VALUE!</v>
      </c>
      <c r="BV14" s="15" t="e">
        <f t="shared" si="10"/>
        <v>#VALUE!</v>
      </c>
      <c r="BW14" s="16" t="e">
        <f t="shared" si="10"/>
        <v>#VALUE!</v>
      </c>
      <c r="BX14" s="13" t="e">
        <f t="shared" si="11"/>
        <v>#VALUE!</v>
      </c>
      <c r="BY14" s="14" t="e">
        <f t="shared" si="11"/>
        <v>#VALUE!</v>
      </c>
      <c r="BZ14" s="14" t="e">
        <f t="shared" si="11"/>
        <v>#VALUE!</v>
      </c>
      <c r="CA14" s="14" t="e">
        <f t="shared" si="11"/>
        <v>#VALUE!</v>
      </c>
      <c r="CB14" s="14" t="e">
        <f t="shared" si="11"/>
        <v>#VALUE!</v>
      </c>
      <c r="CC14" s="15" t="e">
        <f t="shared" si="11"/>
        <v>#VALUE!</v>
      </c>
      <c r="CD14" s="16" t="e">
        <f t="shared" si="11"/>
        <v>#VALUE!</v>
      </c>
      <c r="CE14" s="13" t="e">
        <f t="shared" si="11"/>
        <v>#VALUE!</v>
      </c>
      <c r="CF14" s="14" t="e">
        <f t="shared" si="11"/>
        <v>#VALUE!</v>
      </c>
      <c r="CG14" s="14" t="e">
        <f t="shared" si="11"/>
        <v>#VALUE!</v>
      </c>
      <c r="CH14" s="14" t="e">
        <f t="shared" si="12"/>
        <v>#VALUE!</v>
      </c>
      <c r="CI14" s="14" t="e">
        <f t="shared" si="12"/>
        <v>#VALUE!</v>
      </c>
      <c r="CJ14" s="15" t="e">
        <f t="shared" si="12"/>
        <v>#VALUE!</v>
      </c>
      <c r="CK14" s="16" t="e">
        <f t="shared" si="12"/>
        <v>#VALUE!</v>
      </c>
      <c r="CL14" s="13" t="e">
        <f t="shared" si="12"/>
        <v>#VALUE!</v>
      </c>
      <c r="CM14" s="14" t="e">
        <f t="shared" si="12"/>
        <v>#VALUE!</v>
      </c>
      <c r="CN14" s="14" t="e">
        <f t="shared" si="12"/>
        <v>#VALUE!</v>
      </c>
      <c r="CO14" s="14" t="e">
        <f t="shared" si="12"/>
        <v>#VALUE!</v>
      </c>
      <c r="CP14" s="14" t="e">
        <f t="shared" si="12"/>
        <v>#VALUE!</v>
      </c>
      <c r="CQ14" s="15" t="e">
        <f t="shared" si="12"/>
        <v>#VALUE!</v>
      </c>
      <c r="CR14" s="16" t="e">
        <f t="shared" si="13"/>
        <v>#VALUE!</v>
      </c>
      <c r="CS14" s="13" t="e">
        <f t="shared" si="13"/>
        <v>#VALUE!</v>
      </c>
      <c r="CT14" s="14" t="e">
        <f t="shared" si="13"/>
        <v>#VALUE!</v>
      </c>
      <c r="CU14" s="14" t="e">
        <f t="shared" si="13"/>
        <v>#VALUE!</v>
      </c>
      <c r="CV14" s="14" t="e">
        <f t="shared" si="13"/>
        <v>#VALUE!</v>
      </c>
      <c r="CW14" s="14" t="e">
        <f t="shared" si="13"/>
        <v>#VALUE!</v>
      </c>
      <c r="CX14" s="15" t="e">
        <f t="shared" si="13"/>
        <v>#VALUE!</v>
      </c>
      <c r="CY14" s="16" t="e">
        <f t="shared" si="13"/>
        <v>#VALUE!</v>
      </c>
      <c r="CZ14" s="13" t="e">
        <f t="shared" si="13"/>
        <v>#VALUE!</v>
      </c>
      <c r="DA14" s="14" t="e">
        <f t="shared" si="13"/>
        <v>#VALUE!</v>
      </c>
      <c r="DB14" s="14" t="e">
        <f t="shared" si="14"/>
        <v>#VALUE!</v>
      </c>
      <c r="DC14" s="14" t="e">
        <f t="shared" si="14"/>
        <v>#VALUE!</v>
      </c>
      <c r="DD14" s="14" t="e">
        <f t="shared" si="14"/>
        <v>#VALUE!</v>
      </c>
      <c r="DE14" s="15" t="e">
        <f t="shared" si="14"/>
        <v>#VALUE!</v>
      </c>
      <c r="DF14" s="16" t="e">
        <f t="shared" si="14"/>
        <v>#VALUE!</v>
      </c>
      <c r="DG14" s="13" t="e">
        <f t="shared" si="14"/>
        <v>#VALUE!</v>
      </c>
      <c r="DH14" s="14" t="e">
        <f t="shared" si="14"/>
        <v>#VALUE!</v>
      </c>
      <c r="DI14" s="14" t="e">
        <f t="shared" si="14"/>
        <v>#VALUE!</v>
      </c>
      <c r="DJ14" s="14" t="e">
        <f t="shared" si="14"/>
        <v>#VALUE!</v>
      </c>
      <c r="DK14" s="14" t="e">
        <f t="shared" si="14"/>
        <v>#VALUE!</v>
      </c>
      <c r="DL14" s="15" t="e">
        <f t="shared" si="15"/>
        <v>#VALUE!</v>
      </c>
      <c r="DM14" s="16" t="e">
        <f t="shared" si="15"/>
        <v>#VALUE!</v>
      </c>
      <c r="DN14" s="13" t="e">
        <f t="shared" si="15"/>
        <v>#VALUE!</v>
      </c>
      <c r="DO14" s="14" t="e">
        <f t="shared" si="15"/>
        <v>#VALUE!</v>
      </c>
      <c r="DP14" s="14" t="e">
        <f t="shared" si="15"/>
        <v>#VALUE!</v>
      </c>
      <c r="DQ14" s="14" t="e">
        <f t="shared" si="15"/>
        <v>#VALUE!</v>
      </c>
      <c r="DR14" s="14" t="e">
        <f t="shared" si="15"/>
        <v>#VALUE!</v>
      </c>
      <c r="DS14" s="15" t="e">
        <f t="shared" si="15"/>
        <v>#VALUE!</v>
      </c>
      <c r="DT14" s="16" t="e">
        <f t="shared" si="15"/>
        <v>#VALUE!</v>
      </c>
    </row>
    <row r="15" spans="1:124" s="17" customFormat="1" ht="9.6" customHeight="1">
      <c r="A15" s="535"/>
      <c r="B15" s="22" t="s">
        <v>46</v>
      </c>
      <c r="C15" s="19" t="e">
        <f>E14+_xlfn.XLOOKUP(A25,'VTT project'!F:F,'VTT project'!AD:AD,"-",0)-_xlfn.XLOOKUP(A25,'VTT project'!F:F,'VTT project'!AC:AC,"-",0)</f>
        <v>#VALUE!</v>
      </c>
      <c r="D15" s="20">
        <v>0</v>
      </c>
      <c r="E15" s="19" t="e">
        <f>C15+D15</f>
        <v>#VALUE!</v>
      </c>
      <c r="F15" s="13" t="e">
        <f t="shared" si="4"/>
        <v>#VALUE!</v>
      </c>
      <c r="G15" s="14" t="e">
        <f t="shared" si="4"/>
        <v>#VALUE!</v>
      </c>
      <c r="H15" s="14" t="e">
        <f t="shared" si="4"/>
        <v>#VALUE!</v>
      </c>
      <c r="I15" s="14" t="e">
        <f t="shared" si="4"/>
        <v>#VALUE!</v>
      </c>
      <c r="J15" s="14" t="e">
        <f t="shared" si="4"/>
        <v>#VALUE!</v>
      </c>
      <c r="K15" s="15" t="e">
        <f t="shared" si="4"/>
        <v>#VALUE!</v>
      </c>
      <c r="L15" s="16" t="e">
        <f t="shared" si="4"/>
        <v>#VALUE!</v>
      </c>
      <c r="M15" s="13" t="e">
        <f t="shared" si="4"/>
        <v>#VALUE!</v>
      </c>
      <c r="N15" s="14" t="e">
        <f t="shared" si="4"/>
        <v>#VALUE!</v>
      </c>
      <c r="O15" s="14" t="e">
        <f t="shared" si="4"/>
        <v>#VALUE!</v>
      </c>
      <c r="P15" s="14" t="e">
        <f t="shared" si="5"/>
        <v>#VALUE!</v>
      </c>
      <c r="Q15" s="14" t="e">
        <f t="shared" si="5"/>
        <v>#VALUE!</v>
      </c>
      <c r="R15" s="15" t="e">
        <f t="shared" si="5"/>
        <v>#VALUE!</v>
      </c>
      <c r="S15" s="16" t="e">
        <f t="shared" si="5"/>
        <v>#VALUE!</v>
      </c>
      <c r="T15" s="13" t="e">
        <f t="shared" si="5"/>
        <v>#VALUE!</v>
      </c>
      <c r="U15" s="14" t="e">
        <f t="shared" si="5"/>
        <v>#VALUE!</v>
      </c>
      <c r="V15" s="14" t="e">
        <f t="shared" si="5"/>
        <v>#VALUE!</v>
      </c>
      <c r="W15" s="14" t="e">
        <f t="shared" si="5"/>
        <v>#VALUE!</v>
      </c>
      <c r="X15" s="14" t="e">
        <f t="shared" si="5"/>
        <v>#VALUE!</v>
      </c>
      <c r="Y15" s="15" t="e">
        <f t="shared" si="5"/>
        <v>#VALUE!</v>
      </c>
      <c r="Z15" s="16" t="e">
        <f t="shared" si="6"/>
        <v>#VALUE!</v>
      </c>
      <c r="AA15" s="13" t="e">
        <f t="shared" si="6"/>
        <v>#VALUE!</v>
      </c>
      <c r="AB15" s="14" t="e">
        <f t="shared" si="6"/>
        <v>#VALUE!</v>
      </c>
      <c r="AC15" s="14" t="e">
        <f t="shared" si="6"/>
        <v>#VALUE!</v>
      </c>
      <c r="AD15" s="14" t="e">
        <f t="shared" si="6"/>
        <v>#VALUE!</v>
      </c>
      <c r="AE15" s="14" t="e">
        <f t="shared" si="6"/>
        <v>#VALUE!</v>
      </c>
      <c r="AF15" s="15" t="e">
        <f t="shared" si="6"/>
        <v>#VALUE!</v>
      </c>
      <c r="AG15" s="16" t="e">
        <f t="shared" si="6"/>
        <v>#VALUE!</v>
      </c>
      <c r="AH15" s="13" t="e">
        <f t="shared" si="6"/>
        <v>#VALUE!</v>
      </c>
      <c r="AI15" s="14" t="e">
        <f t="shared" si="6"/>
        <v>#VALUE!</v>
      </c>
      <c r="AJ15" s="14" t="e">
        <f t="shared" si="7"/>
        <v>#VALUE!</v>
      </c>
      <c r="AK15" s="14" t="e">
        <f t="shared" si="7"/>
        <v>#VALUE!</v>
      </c>
      <c r="AL15" s="14" t="e">
        <f t="shared" si="7"/>
        <v>#VALUE!</v>
      </c>
      <c r="AM15" s="15" t="e">
        <f t="shared" si="7"/>
        <v>#VALUE!</v>
      </c>
      <c r="AN15" s="16" t="e">
        <f t="shared" si="7"/>
        <v>#VALUE!</v>
      </c>
      <c r="AO15" s="13" t="e">
        <f t="shared" si="7"/>
        <v>#VALUE!</v>
      </c>
      <c r="AP15" s="14" t="e">
        <f t="shared" si="7"/>
        <v>#VALUE!</v>
      </c>
      <c r="AQ15" s="14" t="e">
        <f t="shared" si="7"/>
        <v>#VALUE!</v>
      </c>
      <c r="AR15" s="14" t="e">
        <f t="shared" si="7"/>
        <v>#VALUE!</v>
      </c>
      <c r="AS15" s="14" t="e">
        <f t="shared" si="7"/>
        <v>#VALUE!</v>
      </c>
      <c r="AT15" s="15" t="e">
        <f t="shared" si="8"/>
        <v>#VALUE!</v>
      </c>
      <c r="AU15" s="16" t="e">
        <f t="shared" si="8"/>
        <v>#VALUE!</v>
      </c>
      <c r="AV15" s="13" t="e">
        <f t="shared" si="8"/>
        <v>#VALUE!</v>
      </c>
      <c r="AW15" s="14" t="e">
        <f t="shared" si="8"/>
        <v>#VALUE!</v>
      </c>
      <c r="AX15" s="14" t="e">
        <f t="shared" si="8"/>
        <v>#VALUE!</v>
      </c>
      <c r="AY15" s="14" t="e">
        <f t="shared" si="8"/>
        <v>#VALUE!</v>
      </c>
      <c r="AZ15" s="14" t="e">
        <f t="shared" si="8"/>
        <v>#VALUE!</v>
      </c>
      <c r="BA15" s="15" t="e">
        <f t="shared" si="8"/>
        <v>#VALUE!</v>
      </c>
      <c r="BB15" s="16" t="e">
        <f t="shared" si="8"/>
        <v>#VALUE!</v>
      </c>
      <c r="BC15" s="13" t="e">
        <f t="shared" si="8"/>
        <v>#VALUE!</v>
      </c>
      <c r="BD15" s="14" t="e">
        <f t="shared" si="9"/>
        <v>#VALUE!</v>
      </c>
      <c r="BE15" s="14" t="e">
        <f t="shared" si="9"/>
        <v>#VALUE!</v>
      </c>
      <c r="BF15" s="14" t="e">
        <f t="shared" si="9"/>
        <v>#VALUE!</v>
      </c>
      <c r="BG15" s="14" t="e">
        <f t="shared" si="9"/>
        <v>#VALUE!</v>
      </c>
      <c r="BH15" s="15" t="e">
        <f t="shared" si="9"/>
        <v>#VALUE!</v>
      </c>
      <c r="BI15" s="16" t="e">
        <f t="shared" si="9"/>
        <v>#VALUE!</v>
      </c>
      <c r="BJ15" s="13" t="e">
        <f t="shared" si="9"/>
        <v>#VALUE!</v>
      </c>
      <c r="BK15" s="14" t="e">
        <f t="shared" si="9"/>
        <v>#VALUE!</v>
      </c>
      <c r="BL15" s="14" t="e">
        <f t="shared" si="9"/>
        <v>#VALUE!</v>
      </c>
      <c r="BM15" s="14" t="e">
        <f t="shared" si="9"/>
        <v>#VALUE!</v>
      </c>
      <c r="BN15" s="14" t="e">
        <f t="shared" si="10"/>
        <v>#VALUE!</v>
      </c>
      <c r="BO15" s="15" t="e">
        <f t="shared" si="10"/>
        <v>#VALUE!</v>
      </c>
      <c r="BP15" s="16" t="e">
        <f t="shared" si="10"/>
        <v>#VALUE!</v>
      </c>
      <c r="BQ15" s="13" t="e">
        <f t="shared" si="10"/>
        <v>#VALUE!</v>
      </c>
      <c r="BR15" s="14" t="e">
        <f t="shared" si="10"/>
        <v>#VALUE!</v>
      </c>
      <c r="BS15" s="14" t="e">
        <f t="shared" si="10"/>
        <v>#VALUE!</v>
      </c>
      <c r="BT15" s="14" t="e">
        <f t="shared" si="10"/>
        <v>#VALUE!</v>
      </c>
      <c r="BU15" s="14" t="e">
        <f t="shared" si="10"/>
        <v>#VALUE!</v>
      </c>
      <c r="BV15" s="15" t="e">
        <f t="shared" si="10"/>
        <v>#VALUE!</v>
      </c>
      <c r="BW15" s="16" t="e">
        <f t="shared" si="10"/>
        <v>#VALUE!</v>
      </c>
      <c r="BX15" s="13" t="e">
        <f t="shared" si="11"/>
        <v>#VALUE!</v>
      </c>
      <c r="BY15" s="14" t="e">
        <f t="shared" si="11"/>
        <v>#VALUE!</v>
      </c>
      <c r="BZ15" s="14" t="e">
        <f t="shared" si="11"/>
        <v>#VALUE!</v>
      </c>
      <c r="CA15" s="14" t="e">
        <f t="shared" si="11"/>
        <v>#VALUE!</v>
      </c>
      <c r="CB15" s="14" t="e">
        <f t="shared" si="11"/>
        <v>#VALUE!</v>
      </c>
      <c r="CC15" s="15" t="e">
        <f t="shared" si="11"/>
        <v>#VALUE!</v>
      </c>
      <c r="CD15" s="16" t="e">
        <f t="shared" si="11"/>
        <v>#VALUE!</v>
      </c>
      <c r="CE15" s="13" t="e">
        <f t="shared" si="11"/>
        <v>#VALUE!</v>
      </c>
      <c r="CF15" s="14" t="e">
        <f t="shared" si="11"/>
        <v>#VALUE!</v>
      </c>
      <c r="CG15" s="14" t="e">
        <f t="shared" si="11"/>
        <v>#VALUE!</v>
      </c>
      <c r="CH15" s="14" t="e">
        <f t="shared" si="12"/>
        <v>#VALUE!</v>
      </c>
      <c r="CI15" s="14" t="e">
        <f t="shared" si="12"/>
        <v>#VALUE!</v>
      </c>
      <c r="CJ15" s="15" t="e">
        <f t="shared" si="12"/>
        <v>#VALUE!</v>
      </c>
      <c r="CK15" s="16" t="e">
        <f t="shared" si="12"/>
        <v>#VALUE!</v>
      </c>
      <c r="CL15" s="13" t="e">
        <f t="shared" si="12"/>
        <v>#VALUE!</v>
      </c>
      <c r="CM15" s="14" t="e">
        <f t="shared" si="12"/>
        <v>#VALUE!</v>
      </c>
      <c r="CN15" s="14" t="e">
        <f t="shared" si="12"/>
        <v>#VALUE!</v>
      </c>
      <c r="CO15" s="14" t="e">
        <f t="shared" si="12"/>
        <v>#VALUE!</v>
      </c>
      <c r="CP15" s="14" t="e">
        <f t="shared" si="12"/>
        <v>#VALUE!</v>
      </c>
      <c r="CQ15" s="15" t="e">
        <f t="shared" si="12"/>
        <v>#VALUE!</v>
      </c>
      <c r="CR15" s="16" t="e">
        <f t="shared" si="13"/>
        <v>#VALUE!</v>
      </c>
      <c r="CS15" s="13" t="e">
        <f t="shared" si="13"/>
        <v>#VALUE!</v>
      </c>
      <c r="CT15" s="14" t="e">
        <f t="shared" si="13"/>
        <v>#VALUE!</v>
      </c>
      <c r="CU15" s="14" t="e">
        <f t="shared" si="13"/>
        <v>#VALUE!</v>
      </c>
      <c r="CV15" s="14" t="e">
        <f t="shared" si="13"/>
        <v>#VALUE!</v>
      </c>
      <c r="CW15" s="14" t="e">
        <f t="shared" si="13"/>
        <v>#VALUE!</v>
      </c>
      <c r="CX15" s="15" t="e">
        <f t="shared" si="13"/>
        <v>#VALUE!</v>
      </c>
      <c r="CY15" s="16" t="e">
        <f t="shared" si="13"/>
        <v>#VALUE!</v>
      </c>
      <c r="CZ15" s="13" t="e">
        <f t="shared" si="13"/>
        <v>#VALUE!</v>
      </c>
      <c r="DA15" s="14" t="e">
        <f t="shared" si="13"/>
        <v>#VALUE!</v>
      </c>
      <c r="DB15" s="14" t="e">
        <f t="shared" si="14"/>
        <v>#VALUE!</v>
      </c>
      <c r="DC15" s="14" t="e">
        <f t="shared" si="14"/>
        <v>#VALUE!</v>
      </c>
      <c r="DD15" s="14" t="e">
        <f t="shared" si="14"/>
        <v>#VALUE!</v>
      </c>
      <c r="DE15" s="15" t="e">
        <f t="shared" si="14"/>
        <v>#VALUE!</v>
      </c>
      <c r="DF15" s="16" t="e">
        <f t="shared" si="14"/>
        <v>#VALUE!</v>
      </c>
      <c r="DG15" s="13" t="e">
        <f t="shared" si="14"/>
        <v>#VALUE!</v>
      </c>
      <c r="DH15" s="14" t="e">
        <f t="shared" si="14"/>
        <v>#VALUE!</v>
      </c>
      <c r="DI15" s="14" t="e">
        <f t="shared" si="14"/>
        <v>#VALUE!</v>
      </c>
      <c r="DJ15" s="14" t="e">
        <f t="shared" si="14"/>
        <v>#VALUE!</v>
      </c>
      <c r="DK15" s="14" t="e">
        <f t="shared" si="14"/>
        <v>#VALUE!</v>
      </c>
      <c r="DL15" s="15" t="e">
        <f t="shared" si="15"/>
        <v>#VALUE!</v>
      </c>
      <c r="DM15" s="16" t="e">
        <f t="shared" si="15"/>
        <v>#VALUE!</v>
      </c>
      <c r="DN15" s="13" t="e">
        <f t="shared" si="15"/>
        <v>#VALUE!</v>
      </c>
      <c r="DO15" s="14" t="e">
        <f t="shared" si="15"/>
        <v>#VALUE!</v>
      </c>
      <c r="DP15" s="14" t="e">
        <f t="shared" si="15"/>
        <v>#VALUE!</v>
      </c>
      <c r="DQ15" s="14" t="e">
        <f t="shared" si="15"/>
        <v>#VALUE!</v>
      </c>
      <c r="DR15" s="14" t="e">
        <f t="shared" si="15"/>
        <v>#VALUE!</v>
      </c>
      <c r="DS15" s="15" t="e">
        <f t="shared" si="15"/>
        <v>#VALUE!</v>
      </c>
      <c r="DT15" s="16" t="e">
        <f t="shared" si="15"/>
        <v>#VALUE!</v>
      </c>
    </row>
    <row r="16" spans="1:124" s="17" customFormat="1" ht="9.6" customHeight="1">
      <c r="A16" s="535"/>
      <c r="B16" s="23" t="s">
        <v>47</v>
      </c>
      <c r="C16" s="19" t="e">
        <f>E15</f>
        <v>#VALUE!</v>
      </c>
      <c r="D16" s="19" t="str">
        <f>_xlfn.XLOOKUP(A25,'VTT project'!F:F,'VTT project'!AE:AE,"-",0)</f>
        <v>-</v>
      </c>
      <c r="E16" s="19" t="e">
        <f>(C16+D16)-1</f>
        <v>#VALUE!</v>
      </c>
      <c r="F16" s="13" t="e">
        <f t="shared" si="4"/>
        <v>#VALUE!</v>
      </c>
      <c r="G16" s="14" t="e">
        <f t="shared" si="4"/>
        <v>#VALUE!</v>
      </c>
      <c r="H16" s="14" t="e">
        <f t="shared" si="4"/>
        <v>#VALUE!</v>
      </c>
      <c r="I16" s="14" t="e">
        <f t="shared" si="4"/>
        <v>#VALUE!</v>
      </c>
      <c r="J16" s="14" t="e">
        <f t="shared" si="4"/>
        <v>#VALUE!</v>
      </c>
      <c r="K16" s="15" t="e">
        <f t="shared" si="4"/>
        <v>#VALUE!</v>
      </c>
      <c r="L16" s="16" t="e">
        <f t="shared" si="4"/>
        <v>#VALUE!</v>
      </c>
      <c r="M16" s="13" t="e">
        <f t="shared" si="4"/>
        <v>#VALUE!</v>
      </c>
      <c r="N16" s="14" t="e">
        <f t="shared" si="4"/>
        <v>#VALUE!</v>
      </c>
      <c r="O16" s="14" t="e">
        <f t="shared" si="4"/>
        <v>#VALUE!</v>
      </c>
      <c r="P16" s="14" t="e">
        <f t="shared" si="5"/>
        <v>#VALUE!</v>
      </c>
      <c r="Q16" s="14" t="e">
        <f t="shared" si="5"/>
        <v>#VALUE!</v>
      </c>
      <c r="R16" s="15" t="e">
        <f t="shared" si="5"/>
        <v>#VALUE!</v>
      </c>
      <c r="S16" s="16" t="e">
        <f t="shared" si="5"/>
        <v>#VALUE!</v>
      </c>
      <c r="T16" s="13" t="e">
        <f t="shared" si="5"/>
        <v>#VALUE!</v>
      </c>
      <c r="U16" s="14" t="e">
        <f t="shared" si="5"/>
        <v>#VALUE!</v>
      </c>
      <c r="V16" s="14" t="e">
        <f t="shared" si="5"/>
        <v>#VALUE!</v>
      </c>
      <c r="W16" s="14" t="e">
        <f t="shared" si="5"/>
        <v>#VALUE!</v>
      </c>
      <c r="X16" s="14" t="e">
        <f t="shared" si="5"/>
        <v>#VALUE!</v>
      </c>
      <c r="Y16" s="15" t="e">
        <f t="shared" si="5"/>
        <v>#VALUE!</v>
      </c>
      <c r="Z16" s="16" t="e">
        <f t="shared" si="6"/>
        <v>#VALUE!</v>
      </c>
      <c r="AA16" s="13" t="e">
        <f t="shared" si="6"/>
        <v>#VALUE!</v>
      </c>
      <c r="AB16" s="14" t="e">
        <f t="shared" si="6"/>
        <v>#VALUE!</v>
      </c>
      <c r="AC16" s="14" t="e">
        <f t="shared" si="6"/>
        <v>#VALUE!</v>
      </c>
      <c r="AD16" s="14" t="e">
        <f t="shared" si="6"/>
        <v>#VALUE!</v>
      </c>
      <c r="AE16" s="14" t="e">
        <f t="shared" si="6"/>
        <v>#VALUE!</v>
      </c>
      <c r="AF16" s="15" t="e">
        <f t="shared" si="6"/>
        <v>#VALUE!</v>
      </c>
      <c r="AG16" s="16" t="e">
        <f t="shared" si="6"/>
        <v>#VALUE!</v>
      </c>
      <c r="AH16" s="13" t="e">
        <f t="shared" si="6"/>
        <v>#VALUE!</v>
      </c>
      <c r="AI16" s="14" t="e">
        <f t="shared" si="6"/>
        <v>#VALUE!</v>
      </c>
      <c r="AJ16" s="14" t="e">
        <f t="shared" si="7"/>
        <v>#VALUE!</v>
      </c>
      <c r="AK16" s="14" t="e">
        <f t="shared" si="7"/>
        <v>#VALUE!</v>
      </c>
      <c r="AL16" s="14" t="e">
        <f t="shared" si="7"/>
        <v>#VALUE!</v>
      </c>
      <c r="AM16" s="15" t="e">
        <f t="shared" si="7"/>
        <v>#VALUE!</v>
      </c>
      <c r="AN16" s="16" t="e">
        <f t="shared" si="7"/>
        <v>#VALUE!</v>
      </c>
      <c r="AO16" s="13" t="e">
        <f t="shared" si="7"/>
        <v>#VALUE!</v>
      </c>
      <c r="AP16" s="14" t="e">
        <f t="shared" si="7"/>
        <v>#VALUE!</v>
      </c>
      <c r="AQ16" s="14" t="e">
        <f t="shared" si="7"/>
        <v>#VALUE!</v>
      </c>
      <c r="AR16" s="14" t="e">
        <f t="shared" si="7"/>
        <v>#VALUE!</v>
      </c>
      <c r="AS16" s="14" t="e">
        <f t="shared" si="7"/>
        <v>#VALUE!</v>
      </c>
      <c r="AT16" s="15" t="e">
        <f t="shared" si="8"/>
        <v>#VALUE!</v>
      </c>
      <c r="AU16" s="16" t="e">
        <f t="shared" si="8"/>
        <v>#VALUE!</v>
      </c>
      <c r="AV16" s="13" t="e">
        <f t="shared" si="8"/>
        <v>#VALUE!</v>
      </c>
      <c r="AW16" s="14" t="e">
        <f t="shared" si="8"/>
        <v>#VALUE!</v>
      </c>
      <c r="AX16" s="14" t="e">
        <f t="shared" si="8"/>
        <v>#VALUE!</v>
      </c>
      <c r="AY16" s="14" t="e">
        <f t="shared" si="8"/>
        <v>#VALUE!</v>
      </c>
      <c r="AZ16" s="14" t="e">
        <f t="shared" si="8"/>
        <v>#VALUE!</v>
      </c>
      <c r="BA16" s="15" t="e">
        <f t="shared" si="8"/>
        <v>#VALUE!</v>
      </c>
      <c r="BB16" s="16" t="e">
        <f t="shared" si="8"/>
        <v>#VALUE!</v>
      </c>
      <c r="BC16" s="13" t="e">
        <f t="shared" si="8"/>
        <v>#VALUE!</v>
      </c>
      <c r="BD16" s="14" t="e">
        <f t="shared" si="9"/>
        <v>#VALUE!</v>
      </c>
      <c r="BE16" s="14" t="e">
        <f t="shared" si="9"/>
        <v>#VALUE!</v>
      </c>
      <c r="BF16" s="14" t="e">
        <f t="shared" si="9"/>
        <v>#VALUE!</v>
      </c>
      <c r="BG16" s="14" t="e">
        <f t="shared" si="9"/>
        <v>#VALUE!</v>
      </c>
      <c r="BH16" s="15" t="e">
        <f t="shared" si="9"/>
        <v>#VALUE!</v>
      </c>
      <c r="BI16" s="16" t="e">
        <f t="shared" si="9"/>
        <v>#VALUE!</v>
      </c>
      <c r="BJ16" s="13" t="e">
        <f t="shared" si="9"/>
        <v>#VALUE!</v>
      </c>
      <c r="BK16" s="14" t="e">
        <f t="shared" si="9"/>
        <v>#VALUE!</v>
      </c>
      <c r="BL16" s="14" t="e">
        <f t="shared" si="9"/>
        <v>#VALUE!</v>
      </c>
      <c r="BM16" s="14" t="e">
        <f t="shared" si="9"/>
        <v>#VALUE!</v>
      </c>
      <c r="BN16" s="14" t="e">
        <f t="shared" si="10"/>
        <v>#VALUE!</v>
      </c>
      <c r="BO16" s="15" t="e">
        <f t="shared" si="10"/>
        <v>#VALUE!</v>
      </c>
      <c r="BP16" s="16" t="e">
        <f t="shared" si="10"/>
        <v>#VALUE!</v>
      </c>
      <c r="BQ16" s="13" t="e">
        <f t="shared" si="10"/>
        <v>#VALUE!</v>
      </c>
      <c r="BR16" s="14" t="e">
        <f t="shared" si="10"/>
        <v>#VALUE!</v>
      </c>
      <c r="BS16" s="14" t="e">
        <f t="shared" si="10"/>
        <v>#VALUE!</v>
      </c>
      <c r="BT16" s="14" t="e">
        <f t="shared" si="10"/>
        <v>#VALUE!</v>
      </c>
      <c r="BU16" s="14" t="e">
        <f t="shared" si="10"/>
        <v>#VALUE!</v>
      </c>
      <c r="BV16" s="15" t="e">
        <f t="shared" si="10"/>
        <v>#VALUE!</v>
      </c>
      <c r="BW16" s="16" t="e">
        <f t="shared" si="10"/>
        <v>#VALUE!</v>
      </c>
      <c r="BX16" s="13" t="e">
        <f t="shared" si="11"/>
        <v>#VALUE!</v>
      </c>
      <c r="BY16" s="14" t="e">
        <f t="shared" si="11"/>
        <v>#VALUE!</v>
      </c>
      <c r="BZ16" s="14" t="e">
        <f t="shared" si="11"/>
        <v>#VALUE!</v>
      </c>
      <c r="CA16" s="14" t="e">
        <f t="shared" si="11"/>
        <v>#VALUE!</v>
      </c>
      <c r="CB16" s="14" t="e">
        <f t="shared" si="11"/>
        <v>#VALUE!</v>
      </c>
      <c r="CC16" s="15" t="e">
        <f t="shared" si="11"/>
        <v>#VALUE!</v>
      </c>
      <c r="CD16" s="16" t="e">
        <f t="shared" si="11"/>
        <v>#VALUE!</v>
      </c>
      <c r="CE16" s="13" t="e">
        <f t="shared" si="11"/>
        <v>#VALUE!</v>
      </c>
      <c r="CF16" s="14" t="e">
        <f t="shared" si="11"/>
        <v>#VALUE!</v>
      </c>
      <c r="CG16" s="14" t="e">
        <f t="shared" si="11"/>
        <v>#VALUE!</v>
      </c>
      <c r="CH16" s="14" t="e">
        <f t="shared" si="12"/>
        <v>#VALUE!</v>
      </c>
      <c r="CI16" s="14" t="e">
        <f t="shared" si="12"/>
        <v>#VALUE!</v>
      </c>
      <c r="CJ16" s="15" t="e">
        <f t="shared" si="12"/>
        <v>#VALUE!</v>
      </c>
      <c r="CK16" s="16" t="e">
        <f t="shared" si="12"/>
        <v>#VALUE!</v>
      </c>
      <c r="CL16" s="13" t="e">
        <f t="shared" si="12"/>
        <v>#VALUE!</v>
      </c>
      <c r="CM16" s="14" t="e">
        <f t="shared" si="12"/>
        <v>#VALUE!</v>
      </c>
      <c r="CN16" s="14" t="e">
        <f t="shared" si="12"/>
        <v>#VALUE!</v>
      </c>
      <c r="CO16" s="14" t="e">
        <f t="shared" si="12"/>
        <v>#VALUE!</v>
      </c>
      <c r="CP16" s="14" t="e">
        <f t="shared" si="12"/>
        <v>#VALUE!</v>
      </c>
      <c r="CQ16" s="15" t="e">
        <f t="shared" si="12"/>
        <v>#VALUE!</v>
      </c>
      <c r="CR16" s="16" t="e">
        <f t="shared" si="13"/>
        <v>#VALUE!</v>
      </c>
      <c r="CS16" s="13" t="e">
        <f t="shared" si="13"/>
        <v>#VALUE!</v>
      </c>
      <c r="CT16" s="14" t="e">
        <f t="shared" si="13"/>
        <v>#VALUE!</v>
      </c>
      <c r="CU16" s="14" t="e">
        <f t="shared" si="13"/>
        <v>#VALUE!</v>
      </c>
      <c r="CV16" s="14" t="e">
        <f t="shared" si="13"/>
        <v>#VALUE!</v>
      </c>
      <c r="CW16" s="14" t="e">
        <f t="shared" si="13"/>
        <v>#VALUE!</v>
      </c>
      <c r="CX16" s="15" t="e">
        <f t="shared" si="13"/>
        <v>#VALUE!</v>
      </c>
      <c r="CY16" s="16" t="e">
        <f t="shared" si="13"/>
        <v>#VALUE!</v>
      </c>
      <c r="CZ16" s="13" t="e">
        <f t="shared" si="13"/>
        <v>#VALUE!</v>
      </c>
      <c r="DA16" s="14" t="e">
        <f t="shared" si="13"/>
        <v>#VALUE!</v>
      </c>
      <c r="DB16" s="14" t="e">
        <f t="shared" si="14"/>
        <v>#VALUE!</v>
      </c>
      <c r="DC16" s="14" t="e">
        <f t="shared" si="14"/>
        <v>#VALUE!</v>
      </c>
      <c r="DD16" s="14" t="e">
        <f t="shared" si="14"/>
        <v>#VALUE!</v>
      </c>
      <c r="DE16" s="15" t="e">
        <f t="shared" si="14"/>
        <v>#VALUE!</v>
      </c>
      <c r="DF16" s="16" t="e">
        <f t="shared" si="14"/>
        <v>#VALUE!</v>
      </c>
      <c r="DG16" s="13" t="e">
        <f t="shared" si="14"/>
        <v>#VALUE!</v>
      </c>
      <c r="DH16" s="14" t="e">
        <f t="shared" si="14"/>
        <v>#VALUE!</v>
      </c>
      <c r="DI16" s="14" t="e">
        <f t="shared" si="14"/>
        <v>#VALUE!</v>
      </c>
      <c r="DJ16" s="14" t="e">
        <f t="shared" si="14"/>
        <v>#VALUE!</v>
      </c>
      <c r="DK16" s="14" t="e">
        <f t="shared" si="14"/>
        <v>#VALUE!</v>
      </c>
      <c r="DL16" s="15" t="e">
        <f t="shared" si="15"/>
        <v>#VALUE!</v>
      </c>
      <c r="DM16" s="16" t="e">
        <f t="shared" si="15"/>
        <v>#VALUE!</v>
      </c>
      <c r="DN16" s="13" t="e">
        <f t="shared" si="15"/>
        <v>#VALUE!</v>
      </c>
      <c r="DO16" s="14" t="e">
        <f t="shared" si="15"/>
        <v>#VALUE!</v>
      </c>
      <c r="DP16" s="14" t="e">
        <f t="shared" si="15"/>
        <v>#VALUE!</v>
      </c>
      <c r="DQ16" s="14" t="e">
        <f t="shared" si="15"/>
        <v>#VALUE!</v>
      </c>
      <c r="DR16" s="14" t="e">
        <f t="shared" si="15"/>
        <v>#VALUE!</v>
      </c>
      <c r="DS16" s="15" t="e">
        <f t="shared" si="15"/>
        <v>#VALUE!</v>
      </c>
      <c r="DT16" s="16" t="e">
        <f t="shared" si="15"/>
        <v>#VALUE!</v>
      </c>
    </row>
    <row r="17" spans="1:124" s="17" customFormat="1" ht="9.6" customHeight="1">
      <c r="A17" s="535"/>
      <c r="B17" s="23" t="s">
        <v>48</v>
      </c>
      <c r="C17" s="19" t="e">
        <f t="shared" ref="C17:C25" si="16">E16+1</f>
        <v>#VALUE!</v>
      </c>
      <c r="D17" s="19" t="str">
        <f>_xlfn.XLOOKUP(A25,'VTT project'!F:F,'VTT project'!AG:AG,"-",0)</f>
        <v>-</v>
      </c>
      <c r="E17" s="19" t="e">
        <f>(C17+D17)-1</f>
        <v>#VALUE!</v>
      </c>
      <c r="F17" s="13" t="e">
        <f t="shared" ref="F17:O25" si="17">IF(AND(F$5&gt;=$C17,F$5&lt;=$E17),1,"")</f>
        <v>#VALUE!</v>
      </c>
      <c r="G17" s="14" t="e">
        <f t="shared" si="17"/>
        <v>#VALUE!</v>
      </c>
      <c r="H17" s="14" t="e">
        <f t="shared" si="17"/>
        <v>#VALUE!</v>
      </c>
      <c r="I17" s="14" t="e">
        <f t="shared" si="17"/>
        <v>#VALUE!</v>
      </c>
      <c r="J17" s="14" t="e">
        <f t="shared" si="17"/>
        <v>#VALUE!</v>
      </c>
      <c r="K17" s="15" t="e">
        <f t="shared" si="17"/>
        <v>#VALUE!</v>
      </c>
      <c r="L17" s="16" t="e">
        <f t="shared" si="17"/>
        <v>#VALUE!</v>
      </c>
      <c r="M17" s="13" t="e">
        <f t="shared" si="17"/>
        <v>#VALUE!</v>
      </c>
      <c r="N17" s="14" t="e">
        <f t="shared" si="17"/>
        <v>#VALUE!</v>
      </c>
      <c r="O17" s="14" t="e">
        <f t="shared" si="17"/>
        <v>#VALUE!</v>
      </c>
      <c r="P17" s="14" t="e">
        <f t="shared" ref="P17:Y25" si="18">IF(AND(P$5&gt;=$C17,P$5&lt;=$E17),1,"")</f>
        <v>#VALUE!</v>
      </c>
      <c r="Q17" s="14" t="e">
        <f t="shared" si="18"/>
        <v>#VALUE!</v>
      </c>
      <c r="R17" s="15" t="e">
        <f t="shared" si="18"/>
        <v>#VALUE!</v>
      </c>
      <c r="S17" s="16" t="e">
        <f t="shared" si="18"/>
        <v>#VALUE!</v>
      </c>
      <c r="T17" s="13" t="e">
        <f t="shared" si="18"/>
        <v>#VALUE!</v>
      </c>
      <c r="U17" s="14" t="e">
        <f t="shared" si="18"/>
        <v>#VALUE!</v>
      </c>
      <c r="V17" s="14" t="e">
        <f t="shared" si="18"/>
        <v>#VALUE!</v>
      </c>
      <c r="W17" s="14" t="e">
        <f t="shared" si="18"/>
        <v>#VALUE!</v>
      </c>
      <c r="X17" s="14" t="e">
        <f t="shared" si="18"/>
        <v>#VALUE!</v>
      </c>
      <c r="Y17" s="15" t="e">
        <f t="shared" si="18"/>
        <v>#VALUE!</v>
      </c>
      <c r="Z17" s="16" t="e">
        <f t="shared" ref="Z17:AI25" si="19">IF(AND(Z$5&gt;=$C17,Z$5&lt;=$E17),1,"")</f>
        <v>#VALUE!</v>
      </c>
      <c r="AA17" s="13" t="e">
        <f t="shared" si="19"/>
        <v>#VALUE!</v>
      </c>
      <c r="AB17" s="14" t="e">
        <f t="shared" si="19"/>
        <v>#VALUE!</v>
      </c>
      <c r="AC17" s="14" t="e">
        <f t="shared" si="19"/>
        <v>#VALUE!</v>
      </c>
      <c r="AD17" s="14" t="e">
        <f t="shared" si="19"/>
        <v>#VALUE!</v>
      </c>
      <c r="AE17" s="14" t="e">
        <f t="shared" si="19"/>
        <v>#VALUE!</v>
      </c>
      <c r="AF17" s="15" t="e">
        <f t="shared" si="19"/>
        <v>#VALUE!</v>
      </c>
      <c r="AG17" s="16" t="e">
        <f t="shared" si="19"/>
        <v>#VALUE!</v>
      </c>
      <c r="AH17" s="13" t="e">
        <f t="shared" si="19"/>
        <v>#VALUE!</v>
      </c>
      <c r="AI17" s="14" t="e">
        <f t="shared" si="19"/>
        <v>#VALUE!</v>
      </c>
      <c r="AJ17" s="14" t="e">
        <f t="shared" ref="AJ17:AS25" si="20">IF(AND(AJ$5&gt;=$C17,AJ$5&lt;=$E17),1,"")</f>
        <v>#VALUE!</v>
      </c>
      <c r="AK17" s="14" t="e">
        <f t="shared" si="20"/>
        <v>#VALUE!</v>
      </c>
      <c r="AL17" s="14" t="e">
        <f t="shared" si="20"/>
        <v>#VALUE!</v>
      </c>
      <c r="AM17" s="15" t="e">
        <f t="shared" si="20"/>
        <v>#VALUE!</v>
      </c>
      <c r="AN17" s="16" t="e">
        <f t="shared" si="20"/>
        <v>#VALUE!</v>
      </c>
      <c r="AO17" s="13" t="e">
        <f t="shared" si="20"/>
        <v>#VALUE!</v>
      </c>
      <c r="AP17" s="14" t="e">
        <f t="shared" si="20"/>
        <v>#VALUE!</v>
      </c>
      <c r="AQ17" s="14" t="e">
        <f t="shared" si="20"/>
        <v>#VALUE!</v>
      </c>
      <c r="AR17" s="14" t="e">
        <f t="shared" si="20"/>
        <v>#VALUE!</v>
      </c>
      <c r="AS17" s="14" t="e">
        <f t="shared" si="20"/>
        <v>#VALUE!</v>
      </c>
      <c r="AT17" s="15" t="e">
        <f t="shared" ref="AT17:BC25" si="21">IF(AND(AT$5&gt;=$C17,AT$5&lt;=$E17),1,"")</f>
        <v>#VALUE!</v>
      </c>
      <c r="AU17" s="16" t="e">
        <f t="shared" si="21"/>
        <v>#VALUE!</v>
      </c>
      <c r="AV17" s="13" t="e">
        <f t="shared" si="21"/>
        <v>#VALUE!</v>
      </c>
      <c r="AW17" s="14" t="e">
        <f t="shared" si="21"/>
        <v>#VALUE!</v>
      </c>
      <c r="AX17" s="14" t="e">
        <f t="shared" si="21"/>
        <v>#VALUE!</v>
      </c>
      <c r="AY17" s="14" t="e">
        <f t="shared" si="21"/>
        <v>#VALUE!</v>
      </c>
      <c r="AZ17" s="14" t="e">
        <f t="shared" si="21"/>
        <v>#VALUE!</v>
      </c>
      <c r="BA17" s="15" t="e">
        <f t="shared" si="21"/>
        <v>#VALUE!</v>
      </c>
      <c r="BB17" s="16" t="e">
        <f t="shared" si="21"/>
        <v>#VALUE!</v>
      </c>
      <c r="BC17" s="13" t="e">
        <f t="shared" si="21"/>
        <v>#VALUE!</v>
      </c>
      <c r="BD17" s="14" t="e">
        <f t="shared" ref="BD17:BM25" si="22">IF(AND(BD$5&gt;=$C17,BD$5&lt;=$E17),1,"")</f>
        <v>#VALUE!</v>
      </c>
      <c r="BE17" s="14" t="e">
        <f t="shared" si="22"/>
        <v>#VALUE!</v>
      </c>
      <c r="BF17" s="14" t="e">
        <f t="shared" si="22"/>
        <v>#VALUE!</v>
      </c>
      <c r="BG17" s="14" t="e">
        <f t="shared" si="22"/>
        <v>#VALUE!</v>
      </c>
      <c r="BH17" s="15" t="e">
        <f t="shared" si="22"/>
        <v>#VALUE!</v>
      </c>
      <c r="BI17" s="16" t="e">
        <f t="shared" si="22"/>
        <v>#VALUE!</v>
      </c>
      <c r="BJ17" s="13" t="e">
        <f t="shared" si="22"/>
        <v>#VALUE!</v>
      </c>
      <c r="BK17" s="14" t="e">
        <f t="shared" si="22"/>
        <v>#VALUE!</v>
      </c>
      <c r="BL17" s="14" t="e">
        <f t="shared" si="22"/>
        <v>#VALUE!</v>
      </c>
      <c r="BM17" s="14" t="e">
        <f t="shared" si="22"/>
        <v>#VALUE!</v>
      </c>
      <c r="BN17" s="14" t="e">
        <f t="shared" ref="BN17:BW25" si="23">IF(AND(BN$5&gt;=$C17,BN$5&lt;=$E17),1,"")</f>
        <v>#VALUE!</v>
      </c>
      <c r="BO17" s="15" t="e">
        <f t="shared" si="23"/>
        <v>#VALUE!</v>
      </c>
      <c r="BP17" s="16" t="e">
        <f t="shared" si="23"/>
        <v>#VALUE!</v>
      </c>
      <c r="BQ17" s="13" t="e">
        <f t="shared" si="23"/>
        <v>#VALUE!</v>
      </c>
      <c r="BR17" s="14" t="e">
        <f t="shared" si="23"/>
        <v>#VALUE!</v>
      </c>
      <c r="BS17" s="14" t="e">
        <f t="shared" si="23"/>
        <v>#VALUE!</v>
      </c>
      <c r="BT17" s="14" t="e">
        <f t="shared" si="23"/>
        <v>#VALUE!</v>
      </c>
      <c r="BU17" s="14" t="e">
        <f t="shared" si="23"/>
        <v>#VALUE!</v>
      </c>
      <c r="BV17" s="15" t="e">
        <f t="shared" si="23"/>
        <v>#VALUE!</v>
      </c>
      <c r="BW17" s="16" t="e">
        <f t="shared" si="23"/>
        <v>#VALUE!</v>
      </c>
      <c r="BX17" s="13" t="e">
        <f t="shared" ref="BX17:CG25" si="24">IF(AND(BX$5&gt;=$C17,BX$5&lt;=$E17),1,"")</f>
        <v>#VALUE!</v>
      </c>
      <c r="BY17" s="14" t="e">
        <f t="shared" si="24"/>
        <v>#VALUE!</v>
      </c>
      <c r="BZ17" s="14" t="e">
        <f t="shared" si="24"/>
        <v>#VALUE!</v>
      </c>
      <c r="CA17" s="14" t="e">
        <f t="shared" si="24"/>
        <v>#VALUE!</v>
      </c>
      <c r="CB17" s="14" t="e">
        <f t="shared" si="24"/>
        <v>#VALUE!</v>
      </c>
      <c r="CC17" s="15" t="e">
        <f t="shared" si="24"/>
        <v>#VALUE!</v>
      </c>
      <c r="CD17" s="16" t="e">
        <f t="shared" si="24"/>
        <v>#VALUE!</v>
      </c>
      <c r="CE17" s="13" t="e">
        <f t="shared" si="24"/>
        <v>#VALUE!</v>
      </c>
      <c r="CF17" s="14" t="e">
        <f t="shared" si="24"/>
        <v>#VALUE!</v>
      </c>
      <c r="CG17" s="14" t="e">
        <f t="shared" si="24"/>
        <v>#VALUE!</v>
      </c>
      <c r="CH17" s="14" t="e">
        <f t="shared" ref="CH17:CQ25" si="25">IF(AND(CH$5&gt;=$C17,CH$5&lt;=$E17),1,"")</f>
        <v>#VALUE!</v>
      </c>
      <c r="CI17" s="14" t="e">
        <f t="shared" si="25"/>
        <v>#VALUE!</v>
      </c>
      <c r="CJ17" s="15" t="e">
        <f t="shared" si="25"/>
        <v>#VALUE!</v>
      </c>
      <c r="CK17" s="16" t="e">
        <f t="shared" si="25"/>
        <v>#VALUE!</v>
      </c>
      <c r="CL17" s="13" t="e">
        <f t="shared" si="25"/>
        <v>#VALUE!</v>
      </c>
      <c r="CM17" s="14" t="e">
        <f t="shared" si="25"/>
        <v>#VALUE!</v>
      </c>
      <c r="CN17" s="14" t="e">
        <f t="shared" si="25"/>
        <v>#VALUE!</v>
      </c>
      <c r="CO17" s="14" t="e">
        <f t="shared" si="25"/>
        <v>#VALUE!</v>
      </c>
      <c r="CP17" s="14" t="e">
        <f t="shared" si="25"/>
        <v>#VALUE!</v>
      </c>
      <c r="CQ17" s="15" t="e">
        <f t="shared" si="25"/>
        <v>#VALUE!</v>
      </c>
      <c r="CR17" s="16" t="e">
        <f t="shared" ref="CR17:DA25" si="26">IF(AND(CR$5&gt;=$C17,CR$5&lt;=$E17),1,"")</f>
        <v>#VALUE!</v>
      </c>
      <c r="CS17" s="13" t="e">
        <f t="shared" si="26"/>
        <v>#VALUE!</v>
      </c>
      <c r="CT17" s="14" t="e">
        <f t="shared" si="26"/>
        <v>#VALUE!</v>
      </c>
      <c r="CU17" s="14" t="e">
        <f t="shared" si="26"/>
        <v>#VALUE!</v>
      </c>
      <c r="CV17" s="14" t="e">
        <f t="shared" si="26"/>
        <v>#VALUE!</v>
      </c>
      <c r="CW17" s="14" t="e">
        <f t="shared" si="26"/>
        <v>#VALUE!</v>
      </c>
      <c r="CX17" s="15" t="e">
        <f t="shared" si="26"/>
        <v>#VALUE!</v>
      </c>
      <c r="CY17" s="16" t="e">
        <f t="shared" si="26"/>
        <v>#VALUE!</v>
      </c>
      <c r="CZ17" s="13" t="e">
        <f t="shared" si="26"/>
        <v>#VALUE!</v>
      </c>
      <c r="DA17" s="14" t="e">
        <f t="shared" si="26"/>
        <v>#VALUE!</v>
      </c>
      <c r="DB17" s="14" t="e">
        <f t="shared" ref="DB17:DK25" si="27">IF(AND(DB$5&gt;=$C17,DB$5&lt;=$E17),1,"")</f>
        <v>#VALUE!</v>
      </c>
      <c r="DC17" s="14" t="e">
        <f t="shared" si="27"/>
        <v>#VALUE!</v>
      </c>
      <c r="DD17" s="14" t="e">
        <f t="shared" si="27"/>
        <v>#VALUE!</v>
      </c>
      <c r="DE17" s="15" t="e">
        <f t="shared" si="27"/>
        <v>#VALUE!</v>
      </c>
      <c r="DF17" s="16" t="e">
        <f t="shared" si="27"/>
        <v>#VALUE!</v>
      </c>
      <c r="DG17" s="13" t="e">
        <f t="shared" si="27"/>
        <v>#VALUE!</v>
      </c>
      <c r="DH17" s="14" t="e">
        <f t="shared" si="27"/>
        <v>#VALUE!</v>
      </c>
      <c r="DI17" s="14" t="e">
        <f t="shared" si="27"/>
        <v>#VALUE!</v>
      </c>
      <c r="DJ17" s="14" t="e">
        <f t="shared" si="27"/>
        <v>#VALUE!</v>
      </c>
      <c r="DK17" s="14" t="e">
        <f t="shared" si="27"/>
        <v>#VALUE!</v>
      </c>
      <c r="DL17" s="15" t="e">
        <f t="shared" ref="DL17:DR25" si="28">IF(AND(DL$5&gt;=$C17,DL$5&lt;=$E17),1,"")</f>
        <v>#VALUE!</v>
      </c>
      <c r="DM17" s="16" t="e">
        <f t="shared" si="28"/>
        <v>#VALUE!</v>
      </c>
      <c r="DN17" s="13" t="e">
        <f t="shared" si="28"/>
        <v>#VALUE!</v>
      </c>
      <c r="DO17" s="14" t="e">
        <f t="shared" si="28"/>
        <v>#VALUE!</v>
      </c>
      <c r="DP17" s="14" t="e">
        <f t="shared" si="28"/>
        <v>#VALUE!</v>
      </c>
      <c r="DQ17" s="14" t="e">
        <f t="shared" si="28"/>
        <v>#VALUE!</v>
      </c>
      <c r="DR17" s="14" t="e">
        <f t="shared" si="28"/>
        <v>#VALUE!</v>
      </c>
      <c r="DS17" s="15"/>
      <c r="DT17" s="16"/>
    </row>
    <row r="18" spans="1:124" s="17" customFormat="1" ht="9.6" customHeight="1">
      <c r="A18" s="535"/>
      <c r="B18" s="26" t="s">
        <v>49</v>
      </c>
      <c r="C18" s="19" t="e">
        <f t="shared" si="16"/>
        <v>#VALUE!</v>
      </c>
      <c r="D18" s="19" t="str">
        <f>_xlfn.XLOOKUP(A25,'VTT project'!F:F,'VTT project'!AH:AH,"-",0)</f>
        <v>-</v>
      </c>
      <c r="E18" s="19" t="e">
        <f>(C18+D18)-1</f>
        <v>#VALUE!</v>
      </c>
      <c r="F18" s="13" t="e">
        <f t="shared" si="17"/>
        <v>#VALUE!</v>
      </c>
      <c r="G18" s="14" t="e">
        <f t="shared" si="17"/>
        <v>#VALUE!</v>
      </c>
      <c r="H18" s="14" t="e">
        <f t="shared" si="17"/>
        <v>#VALUE!</v>
      </c>
      <c r="I18" s="14" t="e">
        <f t="shared" si="17"/>
        <v>#VALUE!</v>
      </c>
      <c r="J18" s="14" t="e">
        <f t="shared" si="17"/>
        <v>#VALUE!</v>
      </c>
      <c r="K18" s="15" t="e">
        <f t="shared" si="17"/>
        <v>#VALUE!</v>
      </c>
      <c r="L18" s="16" t="e">
        <f t="shared" si="17"/>
        <v>#VALUE!</v>
      </c>
      <c r="M18" s="13" t="e">
        <f t="shared" si="17"/>
        <v>#VALUE!</v>
      </c>
      <c r="N18" s="14" t="e">
        <f t="shared" si="17"/>
        <v>#VALUE!</v>
      </c>
      <c r="O18" s="14" t="e">
        <f t="shared" si="17"/>
        <v>#VALUE!</v>
      </c>
      <c r="P18" s="14" t="e">
        <f t="shared" si="18"/>
        <v>#VALUE!</v>
      </c>
      <c r="Q18" s="14" t="e">
        <f t="shared" si="18"/>
        <v>#VALUE!</v>
      </c>
      <c r="R18" s="15" t="e">
        <f t="shared" si="18"/>
        <v>#VALUE!</v>
      </c>
      <c r="S18" s="16" t="e">
        <f t="shared" si="18"/>
        <v>#VALUE!</v>
      </c>
      <c r="T18" s="13" t="e">
        <f t="shared" si="18"/>
        <v>#VALUE!</v>
      </c>
      <c r="U18" s="14" t="e">
        <f t="shared" si="18"/>
        <v>#VALUE!</v>
      </c>
      <c r="V18" s="14" t="e">
        <f t="shared" si="18"/>
        <v>#VALUE!</v>
      </c>
      <c r="W18" s="14" t="e">
        <f t="shared" si="18"/>
        <v>#VALUE!</v>
      </c>
      <c r="X18" s="14" t="e">
        <f t="shared" si="18"/>
        <v>#VALUE!</v>
      </c>
      <c r="Y18" s="15" t="e">
        <f t="shared" si="18"/>
        <v>#VALUE!</v>
      </c>
      <c r="Z18" s="16" t="e">
        <f t="shared" si="19"/>
        <v>#VALUE!</v>
      </c>
      <c r="AA18" s="13" t="e">
        <f t="shared" si="19"/>
        <v>#VALUE!</v>
      </c>
      <c r="AB18" s="14" t="e">
        <f t="shared" si="19"/>
        <v>#VALUE!</v>
      </c>
      <c r="AC18" s="14" t="e">
        <f t="shared" si="19"/>
        <v>#VALUE!</v>
      </c>
      <c r="AD18" s="14" t="e">
        <f t="shared" si="19"/>
        <v>#VALUE!</v>
      </c>
      <c r="AE18" s="14" t="e">
        <f t="shared" si="19"/>
        <v>#VALUE!</v>
      </c>
      <c r="AF18" s="15" t="e">
        <f t="shared" si="19"/>
        <v>#VALUE!</v>
      </c>
      <c r="AG18" s="16" t="e">
        <f t="shared" si="19"/>
        <v>#VALUE!</v>
      </c>
      <c r="AH18" s="13" t="e">
        <f t="shared" si="19"/>
        <v>#VALUE!</v>
      </c>
      <c r="AI18" s="14" t="e">
        <f t="shared" si="19"/>
        <v>#VALUE!</v>
      </c>
      <c r="AJ18" s="14" t="e">
        <f t="shared" si="20"/>
        <v>#VALUE!</v>
      </c>
      <c r="AK18" s="14" t="e">
        <f t="shared" si="20"/>
        <v>#VALUE!</v>
      </c>
      <c r="AL18" s="14" t="e">
        <f t="shared" si="20"/>
        <v>#VALUE!</v>
      </c>
      <c r="AM18" s="15" t="e">
        <f t="shared" si="20"/>
        <v>#VALUE!</v>
      </c>
      <c r="AN18" s="16" t="e">
        <f t="shared" si="20"/>
        <v>#VALUE!</v>
      </c>
      <c r="AO18" s="13" t="e">
        <f t="shared" si="20"/>
        <v>#VALUE!</v>
      </c>
      <c r="AP18" s="14" t="e">
        <f t="shared" si="20"/>
        <v>#VALUE!</v>
      </c>
      <c r="AQ18" s="14" t="e">
        <f t="shared" si="20"/>
        <v>#VALUE!</v>
      </c>
      <c r="AR18" s="14" t="e">
        <f t="shared" si="20"/>
        <v>#VALUE!</v>
      </c>
      <c r="AS18" s="14" t="e">
        <f t="shared" si="20"/>
        <v>#VALUE!</v>
      </c>
      <c r="AT18" s="15" t="e">
        <f t="shared" si="21"/>
        <v>#VALUE!</v>
      </c>
      <c r="AU18" s="16" t="e">
        <f t="shared" si="21"/>
        <v>#VALUE!</v>
      </c>
      <c r="AV18" s="13" t="e">
        <f t="shared" si="21"/>
        <v>#VALUE!</v>
      </c>
      <c r="AW18" s="14" t="e">
        <f t="shared" si="21"/>
        <v>#VALUE!</v>
      </c>
      <c r="AX18" s="14" t="e">
        <f t="shared" si="21"/>
        <v>#VALUE!</v>
      </c>
      <c r="AY18" s="14" t="e">
        <f t="shared" si="21"/>
        <v>#VALUE!</v>
      </c>
      <c r="AZ18" s="14" t="e">
        <f t="shared" si="21"/>
        <v>#VALUE!</v>
      </c>
      <c r="BA18" s="15" t="e">
        <f t="shared" si="21"/>
        <v>#VALUE!</v>
      </c>
      <c r="BB18" s="16" t="e">
        <f t="shared" si="21"/>
        <v>#VALUE!</v>
      </c>
      <c r="BC18" s="13" t="e">
        <f t="shared" si="21"/>
        <v>#VALUE!</v>
      </c>
      <c r="BD18" s="14" t="e">
        <f t="shared" si="22"/>
        <v>#VALUE!</v>
      </c>
      <c r="BE18" s="14" t="e">
        <f t="shared" si="22"/>
        <v>#VALUE!</v>
      </c>
      <c r="BF18" s="14" t="e">
        <f t="shared" si="22"/>
        <v>#VALUE!</v>
      </c>
      <c r="BG18" s="14" t="e">
        <f t="shared" si="22"/>
        <v>#VALUE!</v>
      </c>
      <c r="BH18" s="15" t="e">
        <f t="shared" si="22"/>
        <v>#VALUE!</v>
      </c>
      <c r="BI18" s="16" t="e">
        <f t="shared" si="22"/>
        <v>#VALUE!</v>
      </c>
      <c r="BJ18" s="13" t="e">
        <f t="shared" si="22"/>
        <v>#VALUE!</v>
      </c>
      <c r="BK18" s="14" t="e">
        <f t="shared" si="22"/>
        <v>#VALUE!</v>
      </c>
      <c r="BL18" s="14" t="e">
        <f t="shared" si="22"/>
        <v>#VALUE!</v>
      </c>
      <c r="BM18" s="14" t="e">
        <f t="shared" si="22"/>
        <v>#VALUE!</v>
      </c>
      <c r="BN18" s="14" t="e">
        <f t="shared" si="23"/>
        <v>#VALUE!</v>
      </c>
      <c r="BO18" s="15" t="e">
        <f t="shared" si="23"/>
        <v>#VALUE!</v>
      </c>
      <c r="BP18" s="16" t="e">
        <f t="shared" si="23"/>
        <v>#VALUE!</v>
      </c>
      <c r="BQ18" s="13" t="e">
        <f t="shared" si="23"/>
        <v>#VALUE!</v>
      </c>
      <c r="BR18" s="14" t="e">
        <f t="shared" si="23"/>
        <v>#VALUE!</v>
      </c>
      <c r="BS18" s="14" t="e">
        <f t="shared" si="23"/>
        <v>#VALUE!</v>
      </c>
      <c r="BT18" s="14" t="e">
        <f t="shared" si="23"/>
        <v>#VALUE!</v>
      </c>
      <c r="BU18" s="14" t="e">
        <f t="shared" si="23"/>
        <v>#VALUE!</v>
      </c>
      <c r="BV18" s="15" t="e">
        <f t="shared" si="23"/>
        <v>#VALUE!</v>
      </c>
      <c r="BW18" s="16" t="e">
        <f t="shared" si="23"/>
        <v>#VALUE!</v>
      </c>
      <c r="BX18" s="13" t="e">
        <f t="shared" si="24"/>
        <v>#VALUE!</v>
      </c>
      <c r="BY18" s="14" t="e">
        <f t="shared" si="24"/>
        <v>#VALUE!</v>
      </c>
      <c r="BZ18" s="14" t="e">
        <f t="shared" si="24"/>
        <v>#VALUE!</v>
      </c>
      <c r="CA18" s="14" t="e">
        <f t="shared" si="24"/>
        <v>#VALUE!</v>
      </c>
      <c r="CB18" s="14" t="e">
        <f t="shared" si="24"/>
        <v>#VALUE!</v>
      </c>
      <c r="CC18" s="15" t="e">
        <f t="shared" si="24"/>
        <v>#VALUE!</v>
      </c>
      <c r="CD18" s="16" t="e">
        <f t="shared" si="24"/>
        <v>#VALUE!</v>
      </c>
      <c r="CE18" s="13" t="e">
        <f t="shared" si="24"/>
        <v>#VALUE!</v>
      </c>
      <c r="CF18" s="14" t="e">
        <f t="shared" si="24"/>
        <v>#VALUE!</v>
      </c>
      <c r="CG18" s="14" t="e">
        <f t="shared" si="24"/>
        <v>#VALUE!</v>
      </c>
      <c r="CH18" s="14" t="e">
        <f t="shared" si="25"/>
        <v>#VALUE!</v>
      </c>
      <c r="CI18" s="14" t="e">
        <f t="shared" si="25"/>
        <v>#VALUE!</v>
      </c>
      <c r="CJ18" s="15" t="e">
        <f t="shared" si="25"/>
        <v>#VALUE!</v>
      </c>
      <c r="CK18" s="16" t="e">
        <f t="shared" si="25"/>
        <v>#VALUE!</v>
      </c>
      <c r="CL18" s="13" t="e">
        <f t="shared" si="25"/>
        <v>#VALUE!</v>
      </c>
      <c r="CM18" s="14" t="e">
        <f t="shared" si="25"/>
        <v>#VALUE!</v>
      </c>
      <c r="CN18" s="14" t="e">
        <f t="shared" si="25"/>
        <v>#VALUE!</v>
      </c>
      <c r="CO18" s="14" t="e">
        <f t="shared" si="25"/>
        <v>#VALUE!</v>
      </c>
      <c r="CP18" s="14" t="e">
        <f t="shared" si="25"/>
        <v>#VALUE!</v>
      </c>
      <c r="CQ18" s="15" t="e">
        <f t="shared" si="25"/>
        <v>#VALUE!</v>
      </c>
      <c r="CR18" s="16" t="e">
        <f t="shared" si="26"/>
        <v>#VALUE!</v>
      </c>
      <c r="CS18" s="13" t="e">
        <f t="shared" si="26"/>
        <v>#VALUE!</v>
      </c>
      <c r="CT18" s="14" t="e">
        <f t="shared" si="26"/>
        <v>#VALUE!</v>
      </c>
      <c r="CU18" s="14" t="e">
        <f t="shared" si="26"/>
        <v>#VALUE!</v>
      </c>
      <c r="CV18" s="14" t="e">
        <f t="shared" si="26"/>
        <v>#VALUE!</v>
      </c>
      <c r="CW18" s="14" t="e">
        <f t="shared" si="26"/>
        <v>#VALUE!</v>
      </c>
      <c r="CX18" s="15" t="e">
        <f t="shared" si="26"/>
        <v>#VALUE!</v>
      </c>
      <c r="CY18" s="16" t="e">
        <f t="shared" si="26"/>
        <v>#VALUE!</v>
      </c>
      <c r="CZ18" s="13" t="e">
        <f t="shared" si="26"/>
        <v>#VALUE!</v>
      </c>
      <c r="DA18" s="14" t="e">
        <f t="shared" si="26"/>
        <v>#VALUE!</v>
      </c>
      <c r="DB18" s="14" t="e">
        <f t="shared" si="27"/>
        <v>#VALUE!</v>
      </c>
      <c r="DC18" s="14" t="e">
        <f t="shared" si="27"/>
        <v>#VALUE!</v>
      </c>
      <c r="DD18" s="14" t="e">
        <f t="shared" si="27"/>
        <v>#VALUE!</v>
      </c>
      <c r="DE18" s="15" t="e">
        <f t="shared" si="27"/>
        <v>#VALUE!</v>
      </c>
      <c r="DF18" s="16" t="e">
        <f t="shared" si="27"/>
        <v>#VALUE!</v>
      </c>
      <c r="DG18" s="13" t="e">
        <f t="shared" si="27"/>
        <v>#VALUE!</v>
      </c>
      <c r="DH18" s="14" t="e">
        <f t="shared" si="27"/>
        <v>#VALUE!</v>
      </c>
      <c r="DI18" s="14" t="e">
        <f t="shared" si="27"/>
        <v>#VALUE!</v>
      </c>
      <c r="DJ18" s="14" t="e">
        <f t="shared" si="27"/>
        <v>#VALUE!</v>
      </c>
      <c r="DK18" s="14" t="e">
        <f t="shared" si="27"/>
        <v>#VALUE!</v>
      </c>
      <c r="DL18" s="15" t="e">
        <f t="shared" si="28"/>
        <v>#VALUE!</v>
      </c>
      <c r="DM18" s="16" t="e">
        <f t="shared" si="28"/>
        <v>#VALUE!</v>
      </c>
      <c r="DN18" s="13" t="e">
        <f t="shared" si="28"/>
        <v>#VALUE!</v>
      </c>
      <c r="DO18" s="14" t="e">
        <f t="shared" si="28"/>
        <v>#VALUE!</v>
      </c>
      <c r="DP18" s="14" t="e">
        <f t="shared" si="28"/>
        <v>#VALUE!</v>
      </c>
      <c r="DQ18" s="14" t="e">
        <f t="shared" si="28"/>
        <v>#VALUE!</v>
      </c>
      <c r="DR18" s="14" t="e">
        <f t="shared" si="28"/>
        <v>#VALUE!</v>
      </c>
      <c r="DS18" s="15" t="e">
        <f t="shared" ref="DS18:DT25" si="29">IF(AND(DS$5&gt;=$C18,DS$5&lt;=$E18),1,"")</f>
        <v>#VALUE!</v>
      </c>
      <c r="DT18" s="16" t="e">
        <f t="shared" si="29"/>
        <v>#VALUE!</v>
      </c>
    </row>
    <row r="19" spans="1:124" s="17" customFormat="1" ht="9.6" customHeight="1">
      <c r="A19" s="553" t="str">
        <f>_xlfn.XLOOKUP(A25,'VTT project'!F:F,'VTT project'!AB:AB,"-",0)</f>
        <v>-</v>
      </c>
      <c r="B19" s="24" t="s">
        <v>50</v>
      </c>
      <c r="C19" s="19" t="e">
        <f t="shared" si="16"/>
        <v>#VALUE!</v>
      </c>
      <c r="D19" s="19" t="str">
        <f>_xlfn.XLOOKUP(A25,'VTT project'!F:F,'VTT project'!AJ:AJ,"-",0)</f>
        <v>-</v>
      </c>
      <c r="E19" s="19" t="e">
        <f>C19-1+D19</f>
        <v>#VALUE!</v>
      </c>
      <c r="F19" s="13" t="e">
        <f t="shared" si="17"/>
        <v>#VALUE!</v>
      </c>
      <c r="G19" s="14" t="e">
        <f t="shared" si="17"/>
        <v>#VALUE!</v>
      </c>
      <c r="H19" s="14" t="e">
        <f t="shared" si="17"/>
        <v>#VALUE!</v>
      </c>
      <c r="I19" s="14" t="e">
        <f t="shared" si="17"/>
        <v>#VALUE!</v>
      </c>
      <c r="J19" s="14" t="e">
        <f t="shared" si="17"/>
        <v>#VALUE!</v>
      </c>
      <c r="K19" s="15" t="e">
        <f t="shared" si="17"/>
        <v>#VALUE!</v>
      </c>
      <c r="L19" s="16" t="e">
        <f t="shared" si="17"/>
        <v>#VALUE!</v>
      </c>
      <c r="M19" s="13" t="e">
        <f t="shared" si="17"/>
        <v>#VALUE!</v>
      </c>
      <c r="N19" s="14" t="e">
        <f t="shared" si="17"/>
        <v>#VALUE!</v>
      </c>
      <c r="O19" s="14" t="e">
        <f t="shared" si="17"/>
        <v>#VALUE!</v>
      </c>
      <c r="P19" s="14" t="e">
        <f t="shared" si="18"/>
        <v>#VALUE!</v>
      </c>
      <c r="Q19" s="14" t="e">
        <f t="shared" si="18"/>
        <v>#VALUE!</v>
      </c>
      <c r="R19" s="15" t="e">
        <f t="shared" si="18"/>
        <v>#VALUE!</v>
      </c>
      <c r="S19" s="16" t="e">
        <f t="shared" si="18"/>
        <v>#VALUE!</v>
      </c>
      <c r="T19" s="13" t="e">
        <f t="shared" si="18"/>
        <v>#VALUE!</v>
      </c>
      <c r="U19" s="14" t="e">
        <f t="shared" si="18"/>
        <v>#VALUE!</v>
      </c>
      <c r="V19" s="14" t="e">
        <f t="shared" si="18"/>
        <v>#VALUE!</v>
      </c>
      <c r="W19" s="14" t="e">
        <f t="shared" si="18"/>
        <v>#VALUE!</v>
      </c>
      <c r="X19" s="14" t="e">
        <f t="shared" si="18"/>
        <v>#VALUE!</v>
      </c>
      <c r="Y19" s="15" t="e">
        <f t="shared" si="18"/>
        <v>#VALUE!</v>
      </c>
      <c r="Z19" s="16" t="e">
        <f t="shared" si="19"/>
        <v>#VALUE!</v>
      </c>
      <c r="AA19" s="13" t="e">
        <f t="shared" si="19"/>
        <v>#VALUE!</v>
      </c>
      <c r="AB19" s="14" t="e">
        <f t="shared" si="19"/>
        <v>#VALUE!</v>
      </c>
      <c r="AC19" s="14" t="e">
        <f t="shared" si="19"/>
        <v>#VALUE!</v>
      </c>
      <c r="AD19" s="14" t="e">
        <f t="shared" si="19"/>
        <v>#VALUE!</v>
      </c>
      <c r="AE19" s="14" t="e">
        <f t="shared" si="19"/>
        <v>#VALUE!</v>
      </c>
      <c r="AF19" s="15" t="e">
        <f t="shared" si="19"/>
        <v>#VALUE!</v>
      </c>
      <c r="AG19" s="16" t="e">
        <f t="shared" si="19"/>
        <v>#VALUE!</v>
      </c>
      <c r="AH19" s="13" t="e">
        <f t="shared" si="19"/>
        <v>#VALUE!</v>
      </c>
      <c r="AI19" s="14" t="e">
        <f t="shared" si="19"/>
        <v>#VALUE!</v>
      </c>
      <c r="AJ19" s="14" t="e">
        <f t="shared" si="20"/>
        <v>#VALUE!</v>
      </c>
      <c r="AK19" s="14" t="e">
        <f t="shared" si="20"/>
        <v>#VALUE!</v>
      </c>
      <c r="AL19" s="14" t="e">
        <f t="shared" si="20"/>
        <v>#VALUE!</v>
      </c>
      <c r="AM19" s="15" t="e">
        <f t="shared" si="20"/>
        <v>#VALUE!</v>
      </c>
      <c r="AN19" s="16" t="e">
        <f t="shared" si="20"/>
        <v>#VALUE!</v>
      </c>
      <c r="AO19" s="13" t="e">
        <f t="shared" si="20"/>
        <v>#VALUE!</v>
      </c>
      <c r="AP19" s="14" t="e">
        <f t="shared" si="20"/>
        <v>#VALUE!</v>
      </c>
      <c r="AQ19" s="14" t="e">
        <f t="shared" si="20"/>
        <v>#VALUE!</v>
      </c>
      <c r="AR19" s="14" t="e">
        <f t="shared" si="20"/>
        <v>#VALUE!</v>
      </c>
      <c r="AS19" s="14" t="e">
        <f t="shared" si="20"/>
        <v>#VALUE!</v>
      </c>
      <c r="AT19" s="15" t="e">
        <f t="shared" si="21"/>
        <v>#VALUE!</v>
      </c>
      <c r="AU19" s="16" t="e">
        <f t="shared" si="21"/>
        <v>#VALUE!</v>
      </c>
      <c r="AV19" s="13" t="e">
        <f t="shared" si="21"/>
        <v>#VALUE!</v>
      </c>
      <c r="AW19" s="14" t="e">
        <f t="shared" si="21"/>
        <v>#VALUE!</v>
      </c>
      <c r="AX19" s="14" t="e">
        <f t="shared" si="21"/>
        <v>#VALUE!</v>
      </c>
      <c r="AY19" s="14" t="e">
        <f t="shared" si="21"/>
        <v>#VALUE!</v>
      </c>
      <c r="AZ19" s="14" t="e">
        <f t="shared" si="21"/>
        <v>#VALUE!</v>
      </c>
      <c r="BA19" s="15" t="e">
        <f t="shared" si="21"/>
        <v>#VALUE!</v>
      </c>
      <c r="BB19" s="16" t="e">
        <f t="shared" si="21"/>
        <v>#VALUE!</v>
      </c>
      <c r="BC19" s="13" t="e">
        <f t="shared" si="21"/>
        <v>#VALUE!</v>
      </c>
      <c r="BD19" s="14" t="e">
        <f t="shared" si="22"/>
        <v>#VALUE!</v>
      </c>
      <c r="BE19" s="14" t="e">
        <f t="shared" si="22"/>
        <v>#VALUE!</v>
      </c>
      <c r="BF19" s="14" t="e">
        <f t="shared" si="22"/>
        <v>#VALUE!</v>
      </c>
      <c r="BG19" s="14" t="e">
        <f t="shared" si="22"/>
        <v>#VALUE!</v>
      </c>
      <c r="BH19" s="15" t="e">
        <f t="shared" si="22"/>
        <v>#VALUE!</v>
      </c>
      <c r="BI19" s="16" t="e">
        <f t="shared" si="22"/>
        <v>#VALUE!</v>
      </c>
      <c r="BJ19" s="13" t="e">
        <f t="shared" si="22"/>
        <v>#VALUE!</v>
      </c>
      <c r="BK19" s="14" t="e">
        <f t="shared" si="22"/>
        <v>#VALUE!</v>
      </c>
      <c r="BL19" s="14" t="e">
        <f t="shared" si="22"/>
        <v>#VALUE!</v>
      </c>
      <c r="BM19" s="14" t="e">
        <f t="shared" si="22"/>
        <v>#VALUE!</v>
      </c>
      <c r="BN19" s="14" t="e">
        <f t="shared" si="23"/>
        <v>#VALUE!</v>
      </c>
      <c r="BO19" s="15" t="e">
        <f t="shared" si="23"/>
        <v>#VALUE!</v>
      </c>
      <c r="BP19" s="16" t="e">
        <f t="shared" si="23"/>
        <v>#VALUE!</v>
      </c>
      <c r="BQ19" s="13" t="e">
        <f t="shared" si="23"/>
        <v>#VALUE!</v>
      </c>
      <c r="BR19" s="14" t="e">
        <f t="shared" si="23"/>
        <v>#VALUE!</v>
      </c>
      <c r="BS19" s="14" t="e">
        <f t="shared" si="23"/>
        <v>#VALUE!</v>
      </c>
      <c r="BT19" s="14" t="e">
        <f t="shared" si="23"/>
        <v>#VALUE!</v>
      </c>
      <c r="BU19" s="14" t="e">
        <f t="shared" si="23"/>
        <v>#VALUE!</v>
      </c>
      <c r="BV19" s="15" t="e">
        <f t="shared" si="23"/>
        <v>#VALUE!</v>
      </c>
      <c r="BW19" s="16" t="e">
        <f t="shared" si="23"/>
        <v>#VALUE!</v>
      </c>
      <c r="BX19" s="13" t="e">
        <f t="shared" si="24"/>
        <v>#VALUE!</v>
      </c>
      <c r="BY19" s="14" t="e">
        <f t="shared" si="24"/>
        <v>#VALUE!</v>
      </c>
      <c r="BZ19" s="14" t="e">
        <f t="shared" si="24"/>
        <v>#VALUE!</v>
      </c>
      <c r="CA19" s="14" t="e">
        <f t="shared" si="24"/>
        <v>#VALUE!</v>
      </c>
      <c r="CB19" s="14" t="e">
        <f t="shared" si="24"/>
        <v>#VALUE!</v>
      </c>
      <c r="CC19" s="15" t="e">
        <f t="shared" si="24"/>
        <v>#VALUE!</v>
      </c>
      <c r="CD19" s="16" t="e">
        <f t="shared" si="24"/>
        <v>#VALUE!</v>
      </c>
      <c r="CE19" s="13" t="e">
        <f t="shared" si="24"/>
        <v>#VALUE!</v>
      </c>
      <c r="CF19" s="14" t="e">
        <f t="shared" si="24"/>
        <v>#VALUE!</v>
      </c>
      <c r="CG19" s="14" t="e">
        <f t="shared" si="24"/>
        <v>#VALUE!</v>
      </c>
      <c r="CH19" s="14" t="e">
        <f t="shared" si="25"/>
        <v>#VALUE!</v>
      </c>
      <c r="CI19" s="14" t="e">
        <f t="shared" si="25"/>
        <v>#VALUE!</v>
      </c>
      <c r="CJ19" s="15" t="e">
        <f t="shared" si="25"/>
        <v>#VALUE!</v>
      </c>
      <c r="CK19" s="16" t="e">
        <f t="shared" si="25"/>
        <v>#VALUE!</v>
      </c>
      <c r="CL19" s="13" t="e">
        <f t="shared" si="25"/>
        <v>#VALUE!</v>
      </c>
      <c r="CM19" s="14" t="e">
        <f t="shared" si="25"/>
        <v>#VALUE!</v>
      </c>
      <c r="CN19" s="14" t="e">
        <f t="shared" si="25"/>
        <v>#VALUE!</v>
      </c>
      <c r="CO19" s="14" t="e">
        <f t="shared" si="25"/>
        <v>#VALUE!</v>
      </c>
      <c r="CP19" s="14" t="e">
        <f t="shared" si="25"/>
        <v>#VALUE!</v>
      </c>
      <c r="CQ19" s="15" t="e">
        <f t="shared" si="25"/>
        <v>#VALUE!</v>
      </c>
      <c r="CR19" s="16" t="e">
        <f t="shared" si="26"/>
        <v>#VALUE!</v>
      </c>
      <c r="CS19" s="13" t="e">
        <f t="shared" si="26"/>
        <v>#VALUE!</v>
      </c>
      <c r="CT19" s="14" t="e">
        <f t="shared" si="26"/>
        <v>#VALUE!</v>
      </c>
      <c r="CU19" s="14" t="e">
        <f t="shared" si="26"/>
        <v>#VALUE!</v>
      </c>
      <c r="CV19" s="14" t="e">
        <f t="shared" si="26"/>
        <v>#VALUE!</v>
      </c>
      <c r="CW19" s="14" t="e">
        <f t="shared" si="26"/>
        <v>#VALUE!</v>
      </c>
      <c r="CX19" s="15" t="e">
        <f t="shared" si="26"/>
        <v>#VALUE!</v>
      </c>
      <c r="CY19" s="16" t="e">
        <f t="shared" si="26"/>
        <v>#VALUE!</v>
      </c>
      <c r="CZ19" s="13" t="e">
        <f t="shared" si="26"/>
        <v>#VALUE!</v>
      </c>
      <c r="DA19" s="14" t="e">
        <f t="shared" si="26"/>
        <v>#VALUE!</v>
      </c>
      <c r="DB19" s="14" t="e">
        <f t="shared" si="27"/>
        <v>#VALUE!</v>
      </c>
      <c r="DC19" s="14" t="e">
        <f t="shared" si="27"/>
        <v>#VALUE!</v>
      </c>
      <c r="DD19" s="14" t="e">
        <f t="shared" si="27"/>
        <v>#VALUE!</v>
      </c>
      <c r="DE19" s="15" t="e">
        <f t="shared" si="27"/>
        <v>#VALUE!</v>
      </c>
      <c r="DF19" s="16" t="e">
        <f t="shared" si="27"/>
        <v>#VALUE!</v>
      </c>
      <c r="DG19" s="13" t="e">
        <f t="shared" si="27"/>
        <v>#VALUE!</v>
      </c>
      <c r="DH19" s="14" t="e">
        <f t="shared" si="27"/>
        <v>#VALUE!</v>
      </c>
      <c r="DI19" s="14" t="e">
        <f t="shared" si="27"/>
        <v>#VALUE!</v>
      </c>
      <c r="DJ19" s="14" t="e">
        <f t="shared" si="27"/>
        <v>#VALUE!</v>
      </c>
      <c r="DK19" s="14" t="e">
        <f t="shared" si="27"/>
        <v>#VALUE!</v>
      </c>
      <c r="DL19" s="15" t="e">
        <f t="shared" si="28"/>
        <v>#VALUE!</v>
      </c>
      <c r="DM19" s="16" t="e">
        <f t="shared" si="28"/>
        <v>#VALUE!</v>
      </c>
      <c r="DN19" s="13" t="e">
        <f t="shared" si="28"/>
        <v>#VALUE!</v>
      </c>
      <c r="DO19" s="14" t="e">
        <f t="shared" si="28"/>
        <v>#VALUE!</v>
      </c>
      <c r="DP19" s="14" t="e">
        <f t="shared" si="28"/>
        <v>#VALUE!</v>
      </c>
      <c r="DQ19" s="14" t="e">
        <f t="shared" si="28"/>
        <v>#VALUE!</v>
      </c>
      <c r="DR19" s="14" t="e">
        <f t="shared" si="28"/>
        <v>#VALUE!</v>
      </c>
      <c r="DS19" s="15" t="e">
        <f t="shared" si="29"/>
        <v>#VALUE!</v>
      </c>
      <c r="DT19" s="16" t="e">
        <f t="shared" si="29"/>
        <v>#VALUE!</v>
      </c>
    </row>
    <row r="20" spans="1:124" s="17" customFormat="1" ht="9.6" customHeight="1">
      <c r="A20" s="535"/>
      <c r="B20" s="26" t="str">
        <f>IF(COUNTIF(buffer_train[AILN],B5)&gt;0,"Buffer Train","")</f>
        <v/>
      </c>
      <c r="C20" s="19" t="e">
        <f t="shared" si="16"/>
        <v>#VALUE!</v>
      </c>
      <c r="D20" s="19" t="str">
        <f>_xlfn.XLOOKUP(A25,'VTT project'!F:F,'VTT project'!AN:AN,"-",0)</f>
        <v>-</v>
      </c>
      <c r="E20" s="19" t="e">
        <f>C20-1+IF(D20="-",0,D20)</f>
        <v>#VALUE!</v>
      </c>
      <c r="F20" s="13" t="e">
        <f t="shared" si="17"/>
        <v>#VALUE!</v>
      </c>
      <c r="G20" s="14" t="e">
        <f t="shared" si="17"/>
        <v>#VALUE!</v>
      </c>
      <c r="H20" s="14" t="e">
        <f t="shared" si="17"/>
        <v>#VALUE!</v>
      </c>
      <c r="I20" s="14" t="e">
        <f t="shared" si="17"/>
        <v>#VALUE!</v>
      </c>
      <c r="J20" s="14" t="e">
        <f t="shared" si="17"/>
        <v>#VALUE!</v>
      </c>
      <c r="K20" s="15" t="e">
        <f t="shared" si="17"/>
        <v>#VALUE!</v>
      </c>
      <c r="L20" s="16" t="e">
        <f t="shared" si="17"/>
        <v>#VALUE!</v>
      </c>
      <c r="M20" s="13" t="e">
        <f t="shared" si="17"/>
        <v>#VALUE!</v>
      </c>
      <c r="N20" s="14" t="e">
        <f t="shared" si="17"/>
        <v>#VALUE!</v>
      </c>
      <c r="O20" s="14" t="e">
        <f t="shared" si="17"/>
        <v>#VALUE!</v>
      </c>
      <c r="P20" s="14" t="e">
        <f t="shared" si="18"/>
        <v>#VALUE!</v>
      </c>
      <c r="Q20" s="14" t="e">
        <f t="shared" si="18"/>
        <v>#VALUE!</v>
      </c>
      <c r="R20" s="15" t="e">
        <f t="shared" si="18"/>
        <v>#VALUE!</v>
      </c>
      <c r="S20" s="16" t="e">
        <f t="shared" si="18"/>
        <v>#VALUE!</v>
      </c>
      <c r="T20" s="13" t="e">
        <f t="shared" si="18"/>
        <v>#VALUE!</v>
      </c>
      <c r="U20" s="14" t="e">
        <f t="shared" si="18"/>
        <v>#VALUE!</v>
      </c>
      <c r="V20" s="14" t="e">
        <f t="shared" si="18"/>
        <v>#VALUE!</v>
      </c>
      <c r="W20" s="14" t="e">
        <f t="shared" si="18"/>
        <v>#VALUE!</v>
      </c>
      <c r="X20" s="14" t="e">
        <f t="shared" si="18"/>
        <v>#VALUE!</v>
      </c>
      <c r="Y20" s="15" t="e">
        <f t="shared" si="18"/>
        <v>#VALUE!</v>
      </c>
      <c r="Z20" s="16" t="e">
        <f t="shared" si="19"/>
        <v>#VALUE!</v>
      </c>
      <c r="AA20" s="13" t="e">
        <f t="shared" si="19"/>
        <v>#VALUE!</v>
      </c>
      <c r="AB20" s="14" t="e">
        <f t="shared" si="19"/>
        <v>#VALUE!</v>
      </c>
      <c r="AC20" s="14" t="e">
        <f t="shared" si="19"/>
        <v>#VALUE!</v>
      </c>
      <c r="AD20" s="14" t="e">
        <f t="shared" si="19"/>
        <v>#VALUE!</v>
      </c>
      <c r="AE20" s="14" t="e">
        <f t="shared" si="19"/>
        <v>#VALUE!</v>
      </c>
      <c r="AF20" s="15" t="e">
        <f t="shared" si="19"/>
        <v>#VALUE!</v>
      </c>
      <c r="AG20" s="16" t="e">
        <f t="shared" si="19"/>
        <v>#VALUE!</v>
      </c>
      <c r="AH20" s="13" t="e">
        <f t="shared" si="19"/>
        <v>#VALUE!</v>
      </c>
      <c r="AI20" s="14" t="e">
        <f t="shared" si="19"/>
        <v>#VALUE!</v>
      </c>
      <c r="AJ20" s="14" t="e">
        <f t="shared" si="20"/>
        <v>#VALUE!</v>
      </c>
      <c r="AK20" s="14" t="e">
        <f t="shared" si="20"/>
        <v>#VALUE!</v>
      </c>
      <c r="AL20" s="14" t="e">
        <f t="shared" si="20"/>
        <v>#VALUE!</v>
      </c>
      <c r="AM20" s="15" t="e">
        <f t="shared" si="20"/>
        <v>#VALUE!</v>
      </c>
      <c r="AN20" s="16" t="e">
        <f t="shared" si="20"/>
        <v>#VALUE!</v>
      </c>
      <c r="AO20" s="13" t="e">
        <f t="shared" si="20"/>
        <v>#VALUE!</v>
      </c>
      <c r="AP20" s="14" t="e">
        <f t="shared" si="20"/>
        <v>#VALUE!</v>
      </c>
      <c r="AQ20" s="14" t="e">
        <f t="shared" si="20"/>
        <v>#VALUE!</v>
      </c>
      <c r="AR20" s="14" t="e">
        <f t="shared" si="20"/>
        <v>#VALUE!</v>
      </c>
      <c r="AS20" s="14" t="e">
        <f t="shared" si="20"/>
        <v>#VALUE!</v>
      </c>
      <c r="AT20" s="15" t="e">
        <f t="shared" si="21"/>
        <v>#VALUE!</v>
      </c>
      <c r="AU20" s="16" t="e">
        <f t="shared" si="21"/>
        <v>#VALUE!</v>
      </c>
      <c r="AV20" s="13" t="e">
        <f t="shared" si="21"/>
        <v>#VALUE!</v>
      </c>
      <c r="AW20" s="14" t="e">
        <f t="shared" si="21"/>
        <v>#VALUE!</v>
      </c>
      <c r="AX20" s="14" t="e">
        <f t="shared" si="21"/>
        <v>#VALUE!</v>
      </c>
      <c r="AY20" s="14" t="e">
        <f t="shared" si="21"/>
        <v>#VALUE!</v>
      </c>
      <c r="AZ20" s="14" t="e">
        <f t="shared" si="21"/>
        <v>#VALUE!</v>
      </c>
      <c r="BA20" s="15" t="e">
        <f t="shared" si="21"/>
        <v>#VALUE!</v>
      </c>
      <c r="BB20" s="16" t="e">
        <f t="shared" si="21"/>
        <v>#VALUE!</v>
      </c>
      <c r="BC20" s="13" t="e">
        <f t="shared" si="21"/>
        <v>#VALUE!</v>
      </c>
      <c r="BD20" s="14" t="e">
        <f t="shared" si="22"/>
        <v>#VALUE!</v>
      </c>
      <c r="BE20" s="14" t="e">
        <f t="shared" si="22"/>
        <v>#VALUE!</v>
      </c>
      <c r="BF20" s="14" t="e">
        <f t="shared" si="22"/>
        <v>#VALUE!</v>
      </c>
      <c r="BG20" s="14" t="e">
        <f t="shared" si="22"/>
        <v>#VALUE!</v>
      </c>
      <c r="BH20" s="15" t="e">
        <f t="shared" si="22"/>
        <v>#VALUE!</v>
      </c>
      <c r="BI20" s="16" t="e">
        <f t="shared" si="22"/>
        <v>#VALUE!</v>
      </c>
      <c r="BJ20" s="13" t="e">
        <f t="shared" si="22"/>
        <v>#VALUE!</v>
      </c>
      <c r="BK20" s="14" t="e">
        <f t="shared" si="22"/>
        <v>#VALUE!</v>
      </c>
      <c r="BL20" s="14" t="e">
        <f t="shared" si="22"/>
        <v>#VALUE!</v>
      </c>
      <c r="BM20" s="14" t="e">
        <f t="shared" si="22"/>
        <v>#VALUE!</v>
      </c>
      <c r="BN20" s="14" t="e">
        <f t="shared" si="23"/>
        <v>#VALUE!</v>
      </c>
      <c r="BO20" s="15" t="e">
        <f t="shared" si="23"/>
        <v>#VALUE!</v>
      </c>
      <c r="BP20" s="16" t="e">
        <f t="shared" si="23"/>
        <v>#VALUE!</v>
      </c>
      <c r="BQ20" s="13" t="e">
        <f t="shared" si="23"/>
        <v>#VALUE!</v>
      </c>
      <c r="BR20" s="14" t="e">
        <f t="shared" si="23"/>
        <v>#VALUE!</v>
      </c>
      <c r="BS20" s="14" t="e">
        <f t="shared" si="23"/>
        <v>#VALUE!</v>
      </c>
      <c r="BT20" s="14" t="e">
        <f t="shared" si="23"/>
        <v>#VALUE!</v>
      </c>
      <c r="BU20" s="14" t="e">
        <f t="shared" si="23"/>
        <v>#VALUE!</v>
      </c>
      <c r="BV20" s="15" t="e">
        <f t="shared" si="23"/>
        <v>#VALUE!</v>
      </c>
      <c r="BW20" s="16" t="e">
        <f t="shared" si="23"/>
        <v>#VALUE!</v>
      </c>
      <c r="BX20" s="13" t="e">
        <f t="shared" si="24"/>
        <v>#VALUE!</v>
      </c>
      <c r="BY20" s="14" t="e">
        <f t="shared" si="24"/>
        <v>#VALUE!</v>
      </c>
      <c r="BZ20" s="14" t="e">
        <f t="shared" si="24"/>
        <v>#VALUE!</v>
      </c>
      <c r="CA20" s="14" t="e">
        <f t="shared" si="24"/>
        <v>#VALUE!</v>
      </c>
      <c r="CB20" s="14" t="e">
        <f t="shared" si="24"/>
        <v>#VALUE!</v>
      </c>
      <c r="CC20" s="15" t="e">
        <f t="shared" si="24"/>
        <v>#VALUE!</v>
      </c>
      <c r="CD20" s="16" t="e">
        <f t="shared" si="24"/>
        <v>#VALUE!</v>
      </c>
      <c r="CE20" s="13" t="e">
        <f t="shared" si="24"/>
        <v>#VALUE!</v>
      </c>
      <c r="CF20" s="14" t="e">
        <f t="shared" si="24"/>
        <v>#VALUE!</v>
      </c>
      <c r="CG20" s="14" t="e">
        <f t="shared" si="24"/>
        <v>#VALUE!</v>
      </c>
      <c r="CH20" s="14" t="e">
        <f t="shared" si="25"/>
        <v>#VALUE!</v>
      </c>
      <c r="CI20" s="14" t="e">
        <f t="shared" si="25"/>
        <v>#VALUE!</v>
      </c>
      <c r="CJ20" s="15" t="e">
        <f t="shared" si="25"/>
        <v>#VALUE!</v>
      </c>
      <c r="CK20" s="16" t="e">
        <f t="shared" si="25"/>
        <v>#VALUE!</v>
      </c>
      <c r="CL20" s="13" t="e">
        <f t="shared" si="25"/>
        <v>#VALUE!</v>
      </c>
      <c r="CM20" s="14" t="e">
        <f t="shared" si="25"/>
        <v>#VALUE!</v>
      </c>
      <c r="CN20" s="14" t="e">
        <f t="shared" si="25"/>
        <v>#VALUE!</v>
      </c>
      <c r="CO20" s="14" t="e">
        <f t="shared" si="25"/>
        <v>#VALUE!</v>
      </c>
      <c r="CP20" s="14" t="e">
        <f t="shared" si="25"/>
        <v>#VALUE!</v>
      </c>
      <c r="CQ20" s="15" t="e">
        <f t="shared" si="25"/>
        <v>#VALUE!</v>
      </c>
      <c r="CR20" s="16" t="e">
        <f t="shared" si="26"/>
        <v>#VALUE!</v>
      </c>
      <c r="CS20" s="13" t="e">
        <f t="shared" si="26"/>
        <v>#VALUE!</v>
      </c>
      <c r="CT20" s="14" t="e">
        <f t="shared" si="26"/>
        <v>#VALUE!</v>
      </c>
      <c r="CU20" s="14" t="e">
        <f t="shared" si="26"/>
        <v>#VALUE!</v>
      </c>
      <c r="CV20" s="14" t="e">
        <f t="shared" si="26"/>
        <v>#VALUE!</v>
      </c>
      <c r="CW20" s="14" t="e">
        <f t="shared" si="26"/>
        <v>#VALUE!</v>
      </c>
      <c r="CX20" s="15" t="e">
        <f t="shared" si="26"/>
        <v>#VALUE!</v>
      </c>
      <c r="CY20" s="16" t="e">
        <f t="shared" si="26"/>
        <v>#VALUE!</v>
      </c>
      <c r="CZ20" s="13" t="e">
        <f t="shared" si="26"/>
        <v>#VALUE!</v>
      </c>
      <c r="DA20" s="14" t="e">
        <f t="shared" si="26"/>
        <v>#VALUE!</v>
      </c>
      <c r="DB20" s="14" t="e">
        <f t="shared" si="27"/>
        <v>#VALUE!</v>
      </c>
      <c r="DC20" s="14" t="e">
        <f t="shared" si="27"/>
        <v>#VALUE!</v>
      </c>
      <c r="DD20" s="14" t="e">
        <f t="shared" si="27"/>
        <v>#VALUE!</v>
      </c>
      <c r="DE20" s="15" t="e">
        <f t="shared" si="27"/>
        <v>#VALUE!</v>
      </c>
      <c r="DF20" s="16" t="e">
        <f t="shared" si="27"/>
        <v>#VALUE!</v>
      </c>
      <c r="DG20" s="13" t="e">
        <f t="shared" si="27"/>
        <v>#VALUE!</v>
      </c>
      <c r="DH20" s="14" t="e">
        <f t="shared" si="27"/>
        <v>#VALUE!</v>
      </c>
      <c r="DI20" s="14" t="e">
        <f t="shared" si="27"/>
        <v>#VALUE!</v>
      </c>
      <c r="DJ20" s="14" t="e">
        <f t="shared" si="27"/>
        <v>#VALUE!</v>
      </c>
      <c r="DK20" s="14" t="e">
        <f t="shared" si="27"/>
        <v>#VALUE!</v>
      </c>
      <c r="DL20" s="15" t="e">
        <f t="shared" si="28"/>
        <v>#VALUE!</v>
      </c>
      <c r="DM20" s="16" t="e">
        <f t="shared" si="28"/>
        <v>#VALUE!</v>
      </c>
      <c r="DN20" s="13" t="e">
        <f t="shared" si="28"/>
        <v>#VALUE!</v>
      </c>
      <c r="DO20" s="14" t="e">
        <f t="shared" si="28"/>
        <v>#VALUE!</v>
      </c>
      <c r="DP20" s="14" t="e">
        <f t="shared" si="28"/>
        <v>#VALUE!</v>
      </c>
      <c r="DQ20" s="14" t="e">
        <f t="shared" si="28"/>
        <v>#VALUE!</v>
      </c>
      <c r="DR20" s="14" t="e">
        <f t="shared" si="28"/>
        <v>#VALUE!</v>
      </c>
      <c r="DS20" s="15" t="e">
        <f t="shared" si="29"/>
        <v>#VALUE!</v>
      </c>
      <c r="DT20" s="16" t="e">
        <f t="shared" si="29"/>
        <v>#VALUE!</v>
      </c>
    </row>
    <row r="21" spans="1:124" s="17" customFormat="1" ht="9.6" customHeight="1">
      <c r="A21" s="90" t="str">
        <f>_xlfn.CONCAT(B3,"-","Actif")</f>
        <v>--Actif</v>
      </c>
      <c r="B21" s="24" t="str">
        <f>IF(B5=0,"","Transport to PFI")</f>
        <v>Transport to PFI</v>
      </c>
      <c r="C21" s="19" t="e">
        <f t="shared" si="16"/>
        <v>#VALUE!</v>
      </c>
      <c r="D21" s="19" t="str">
        <f>_xlfn.XLOOKUP(A25,'VTT project'!F:F,'VTT project'!AO:AO,"-",0)</f>
        <v>-</v>
      </c>
      <c r="E21" s="19" t="e">
        <f>C21-1+IF(D21="-",0,D21)</f>
        <v>#VALUE!</v>
      </c>
      <c r="F21" s="13" t="e">
        <f t="shared" si="17"/>
        <v>#VALUE!</v>
      </c>
      <c r="G21" s="14" t="e">
        <f t="shared" si="17"/>
        <v>#VALUE!</v>
      </c>
      <c r="H21" s="14" t="e">
        <f t="shared" si="17"/>
        <v>#VALUE!</v>
      </c>
      <c r="I21" s="14" t="e">
        <f t="shared" si="17"/>
        <v>#VALUE!</v>
      </c>
      <c r="J21" s="14" t="e">
        <f t="shared" si="17"/>
        <v>#VALUE!</v>
      </c>
      <c r="K21" s="15" t="e">
        <f t="shared" si="17"/>
        <v>#VALUE!</v>
      </c>
      <c r="L21" s="16" t="e">
        <f t="shared" si="17"/>
        <v>#VALUE!</v>
      </c>
      <c r="M21" s="13" t="e">
        <f t="shared" si="17"/>
        <v>#VALUE!</v>
      </c>
      <c r="N21" s="14" t="e">
        <f t="shared" si="17"/>
        <v>#VALUE!</v>
      </c>
      <c r="O21" s="14" t="e">
        <f t="shared" si="17"/>
        <v>#VALUE!</v>
      </c>
      <c r="P21" s="14" t="e">
        <f t="shared" si="18"/>
        <v>#VALUE!</v>
      </c>
      <c r="Q21" s="14" t="e">
        <f t="shared" si="18"/>
        <v>#VALUE!</v>
      </c>
      <c r="R21" s="15" t="e">
        <f t="shared" si="18"/>
        <v>#VALUE!</v>
      </c>
      <c r="S21" s="16" t="e">
        <f t="shared" si="18"/>
        <v>#VALUE!</v>
      </c>
      <c r="T21" s="13" t="e">
        <f t="shared" si="18"/>
        <v>#VALUE!</v>
      </c>
      <c r="U21" s="14" t="e">
        <f t="shared" si="18"/>
        <v>#VALUE!</v>
      </c>
      <c r="V21" s="14" t="e">
        <f t="shared" si="18"/>
        <v>#VALUE!</v>
      </c>
      <c r="W21" s="14" t="e">
        <f t="shared" si="18"/>
        <v>#VALUE!</v>
      </c>
      <c r="X21" s="14" t="e">
        <f t="shared" si="18"/>
        <v>#VALUE!</v>
      </c>
      <c r="Y21" s="15" t="e">
        <f t="shared" si="18"/>
        <v>#VALUE!</v>
      </c>
      <c r="Z21" s="16" t="e">
        <f t="shared" si="19"/>
        <v>#VALUE!</v>
      </c>
      <c r="AA21" s="13" t="e">
        <f t="shared" si="19"/>
        <v>#VALUE!</v>
      </c>
      <c r="AB21" s="14" t="e">
        <f t="shared" si="19"/>
        <v>#VALUE!</v>
      </c>
      <c r="AC21" s="14" t="e">
        <f t="shared" si="19"/>
        <v>#VALUE!</v>
      </c>
      <c r="AD21" s="14" t="e">
        <f t="shared" si="19"/>
        <v>#VALUE!</v>
      </c>
      <c r="AE21" s="14" t="e">
        <f t="shared" si="19"/>
        <v>#VALUE!</v>
      </c>
      <c r="AF21" s="15" t="e">
        <f t="shared" si="19"/>
        <v>#VALUE!</v>
      </c>
      <c r="AG21" s="16" t="e">
        <f t="shared" si="19"/>
        <v>#VALUE!</v>
      </c>
      <c r="AH21" s="13" t="e">
        <f t="shared" si="19"/>
        <v>#VALUE!</v>
      </c>
      <c r="AI21" s="14" t="e">
        <f t="shared" si="19"/>
        <v>#VALUE!</v>
      </c>
      <c r="AJ21" s="14" t="e">
        <f t="shared" si="20"/>
        <v>#VALUE!</v>
      </c>
      <c r="AK21" s="14" t="e">
        <f t="shared" si="20"/>
        <v>#VALUE!</v>
      </c>
      <c r="AL21" s="14" t="e">
        <f t="shared" si="20"/>
        <v>#VALUE!</v>
      </c>
      <c r="AM21" s="15" t="e">
        <f t="shared" si="20"/>
        <v>#VALUE!</v>
      </c>
      <c r="AN21" s="16" t="e">
        <f t="shared" si="20"/>
        <v>#VALUE!</v>
      </c>
      <c r="AO21" s="13" t="e">
        <f t="shared" si="20"/>
        <v>#VALUE!</v>
      </c>
      <c r="AP21" s="14" t="e">
        <f t="shared" si="20"/>
        <v>#VALUE!</v>
      </c>
      <c r="AQ21" s="14" t="e">
        <f t="shared" si="20"/>
        <v>#VALUE!</v>
      </c>
      <c r="AR21" s="14" t="e">
        <f t="shared" si="20"/>
        <v>#VALUE!</v>
      </c>
      <c r="AS21" s="14" t="e">
        <f t="shared" si="20"/>
        <v>#VALUE!</v>
      </c>
      <c r="AT21" s="15" t="e">
        <f t="shared" si="21"/>
        <v>#VALUE!</v>
      </c>
      <c r="AU21" s="16" t="e">
        <f t="shared" si="21"/>
        <v>#VALUE!</v>
      </c>
      <c r="AV21" s="13" t="e">
        <f t="shared" si="21"/>
        <v>#VALUE!</v>
      </c>
      <c r="AW21" s="14" t="e">
        <f t="shared" si="21"/>
        <v>#VALUE!</v>
      </c>
      <c r="AX21" s="14" t="e">
        <f t="shared" si="21"/>
        <v>#VALUE!</v>
      </c>
      <c r="AY21" s="14" t="e">
        <f t="shared" si="21"/>
        <v>#VALUE!</v>
      </c>
      <c r="AZ21" s="14" t="e">
        <f t="shared" si="21"/>
        <v>#VALUE!</v>
      </c>
      <c r="BA21" s="15" t="e">
        <f t="shared" si="21"/>
        <v>#VALUE!</v>
      </c>
      <c r="BB21" s="16" t="e">
        <f t="shared" si="21"/>
        <v>#VALUE!</v>
      </c>
      <c r="BC21" s="13" t="e">
        <f t="shared" si="21"/>
        <v>#VALUE!</v>
      </c>
      <c r="BD21" s="14" t="e">
        <f t="shared" si="22"/>
        <v>#VALUE!</v>
      </c>
      <c r="BE21" s="14" t="e">
        <f t="shared" si="22"/>
        <v>#VALUE!</v>
      </c>
      <c r="BF21" s="14" t="e">
        <f t="shared" si="22"/>
        <v>#VALUE!</v>
      </c>
      <c r="BG21" s="14" t="e">
        <f t="shared" si="22"/>
        <v>#VALUE!</v>
      </c>
      <c r="BH21" s="15" t="e">
        <f t="shared" si="22"/>
        <v>#VALUE!</v>
      </c>
      <c r="BI21" s="16" t="e">
        <f t="shared" si="22"/>
        <v>#VALUE!</v>
      </c>
      <c r="BJ21" s="13" t="e">
        <f t="shared" si="22"/>
        <v>#VALUE!</v>
      </c>
      <c r="BK21" s="14" t="e">
        <f t="shared" si="22"/>
        <v>#VALUE!</v>
      </c>
      <c r="BL21" s="14" t="e">
        <f t="shared" si="22"/>
        <v>#VALUE!</v>
      </c>
      <c r="BM21" s="14" t="e">
        <f t="shared" si="22"/>
        <v>#VALUE!</v>
      </c>
      <c r="BN21" s="14" t="e">
        <f t="shared" si="23"/>
        <v>#VALUE!</v>
      </c>
      <c r="BO21" s="15" t="e">
        <f t="shared" si="23"/>
        <v>#VALUE!</v>
      </c>
      <c r="BP21" s="16" t="e">
        <f t="shared" si="23"/>
        <v>#VALUE!</v>
      </c>
      <c r="BQ21" s="13" t="e">
        <f t="shared" si="23"/>
        <v>#VALUE!</v>
      </c>
      <c r="BR21" s="14" t="e">
        <f t="shared" si="23"/>
        <v>#VALUE!</v>
      </c>
      <c r="BS21" s="14" t="e">
        <f t="shared" si="23"/>
        <v>#VALUE!</v>
      </c>
      <c r="BT21" s="14" t="e">
        <f t="shared" si="23"/>
        <v>#VALUE!</v>
      </c>
      <c r="BU21" s="14" t="e">
        <f t="shared" si="23"/>
        <v>#VALUE!</v>
      </c>
      <c r="BV21" s="15" t="e">
        <f t="shared" si="23"/>
        <v>#VALUE!</v>
      </c>
      <c r="BW21" s="16" t="e">
        <f t="shared" si="23"/>
        <v>#VALUE!</v>
      </c>
      <c r="BX21" s="13" t="e">
        <f t="shared" si="24"/>
        <v>#VALUE!</v>
      </c>
      <c r="BY21" s="14" t="e">
        <f t="shared" si="24"/>
        <v>#VALUE!</v>
      </c>
      <c r="BZ21" s="14" t="e">
        <f t="shared" si="24"/>
        <v>#VALUE!</v>
      </c>
      <c r="CA21" s="14" t="e">
        <f t="shared" si="24"/>
        <v>#VALUE!</v>
      </c>
      <c r="CB21" s="14" t="e">
        <f t="shared" si="24"/>
        <v>#VALUE!</v>
      </c>
      <c r="CC21" s="15" t="e">
        <f t="shared" si="24"/>
        <v>#VALUE!</v>
      </c>
      <c r="CD21" s="16" t="e">
        <f t="shared" si="24"/>
        <v>#VALUE!</v>
      </c>
      <c r="CE21" s="13" t="e">
        <f t="shared" si="24"/>
        <v>#VALUE!</v>
      </c>
      <c r="CF21" s="14" t="e">
        <f t="shared" si="24"/>
        <v>#VALUE!</v>
      </c>
      <c r="CG21" s="14" t="e">
        <f t="shared" si="24"/>
        <v>#VALUE!</v>
      </c>
      <c r="CH21" s="14" t="e">
        <f t="shared" si="25"/>
        <v>#VALUE!</v>
      </c>
      <c r="CI21" s="14" t="e">
        <f t="shared" si="25"/>
        <v>#VALUE!</v>
      </c>
      <c r="CJ21" s="15" t="e">
        <f t="shared" si="25"/>
        <v>#VALUE!</v>
      </c>
      <c r="CK21" s="16" t="e">
        <f t="shared" si="25"/>
        <v>#VALUE!</v>
      </c>
      <c r="CL21" s="13" t="e">
        <f t="shared" si="25"/>
        <v>#VALUE!</v>
      </c>
      <c r="CM21" s="14" t="e">
        <f t="shared" si="25"/>
        <v>#VALUE!</v>
      </c>
      <c r="CN21" s="14" t="e">
        <f t="shared" si="25"/>
        <v>#VALUE!</v>
      </c>
      <c r="CO21" s="14" t="e">
        <f t="shared" si="25"/>
        <v>#VALUE!</v>
      </c>
      <c r="CP21" s="14" t="e">
        <f t="shared" si="25"/>
        <v>#VALUE!</v>
      </c>
      <c r="CQ21" s="15" t="e">
        <f t="shared" si="25"/>
        <v>#VALUE!</v>
      </c>
      <c r="CR21" s="16" t="e">
        <f t="shared" si="26"/>
        <v>#VALUE!</v>
      </c>
      <c r="CS21" s="13" t="e">
        <f t="shared" si="26"/>
        <v>#VALUE!</v>
      </c>
      <c r="CT21" s="14" t="e">
        <f t="shared" si="26"/>
        <v>#VALUE!</v>
      </c>
      <c r="CU21" s="14" t="e">
        <f t="shared" si="26"/>
        <v>#VALUE!</v>
      </c>
      <c r="CV21" s="14" t="e">
        <f t="shared" si="26"/>
        <v>#VALUE!</v>
      </c>
      <c r="CW21" s="14" t="e">
        <f t="shared" si="26"/>
        <v>#VALUE!</v>
      </c>
      <c r="CX21" s="15" t="e">
        <f t="shared" si="26"/>
        <v>#VALUE!</v>
      </c>
      <c r="CY21" s="16" t="e">
        <f t="shared" si="26"/>
        <v>#VALUE!</v>
      </c>
      <c r="CZ21" s="13" t="e">
        <f t="shared" si="26"/>
        <v>#VALUE!</v>
      </c>
      <c r="DA21" s="14" t="e">
        <f t="shared" si="26"/>
        <v>#VALUE!</v>
      </c>
      <c r="DB21" s="14" t="e">
        <f t="shared" si="27"/>
        <v>#VALUE!</v>
      </c>
      <c r="DC21" s="14" t="e">
        <f t="shared" si="27"/>
        <v>#VALUE!</v>
      </c>
      <c r="DD21" s="14" t="e">
        <f t="shared" si="27"/>
        <v>#VALUE!</v>
      </c>
      <c r="DE21" s="15" t="e">
        <f t="shared" si="27"/>
        <v>#VALUE!</v>
      </c>
      <c r="DF21" s="16" t="e">
        <f t="shared" si="27"/>
        <v>#VALUE!</v>
      </c>
      <c r="DG21" s="13" t="e">
        <f t="shared" si="27"/>
        <v>#VALUE!</v>
      </c>
      <c r="DH21" s="14" t="e">
        <f t="shared" si="27"/>
        <v>#VALUE!</v>
      </c>
      <c r="DI21" s="14" t="e">
        <f t="shared" si="27"/>
        <v>#VALUE!</v>
      </c>
      <c r="DJ21" s="14" t="e">
        <f t="shared" si="27"/>
        <v>#VALUE!</v>
      </c>
      <c r="DK21" s="14" t="e">
        <f t="shared" si="27"/>
        <v>#VALUE!</v>
      </c>
      <c r="DL21" s="15" t="e">
        <f t="shared" si="28"/>
        <v>#VALUE!</v>
      </c>
      <c r="DM21" s="16" t="e">
        <f t="shared" si="28"/>
        <v>#VALUE!</v>
      </c>
      <c r="DN21" s="13" t="e">
        <f t="shared" si="28"/>
        <v>#VALUE!</v>
      </c>
      <c r="DO21" s="14" t="e">
        <f t="shared" si="28"/>
        <v>#VALUE!</v>
      </c>
      <c r="DP21" s="14" t="e">
        <f t="shared" si="28"/>
        <v>#VALUE!</v>
      </c>
      <c r="DQ21" s="14" t="e">
        <f t="shared" si="28"/>
        <v>#VALUE!</v>
      </c>
      <c r="DR21" s="14" t="e">
        <f t="shared" si="28"/>
        <v>#VALUE!</v>
      </c>
      <c r="DS21" s="15" t="e">
        <f t="shared" si="29"/>
        <v>#VALUE!</v>
      </c>
      <c r="DT21" s="16" t="e">
        <f t="shared" si="29"/>
        <v>#VALUE!</v>
      </c>
    </row>
    <row r="22" spans="1:124" s="17" customFormat="1" ht="9.6" customHeight="1">
      <c r="A22" s="25" t="s">
        <v>51</v>
      </c>
      <c r="B22" s="24" t="s">
        <v>52</v>
      </c>
      <c r="C22" s="19" t="e">
        <f t="shared" si="16"/>
        <v>#VALUE!</v>
      </c>
      <c r="D22" s="19" t="str">
        <f>_xlfn.XLOOKUP(A25,'VTT project'!F:F,'VTT project'!AP:AP,"-",0)</f>
        <v>-</v>
      </c>
      <c r="E22" s="19" t="e">
        <f>C22-1+D22</f>
        <v>#VALUE!</v>
      </c>
      <c r="F22" s="13" t="e">
        <f t="shared" si="17"/>
        <v>#VALUE!</v>
      </c>
      <c r="G22" s="14" t="e">
        <f t="shared" si="17"/>
        <v>#VALUE!</v>
      </c>
      <c r="H22" s="14" t="e">
        <f t="shared" si="17"/>
        <v>#VALUE!</v>
      </c>
      <c r="I22" s="14" t="e">
        <f t="shared" si="17"/>
        <v>#VALUE!</v>
      </c>
      <c r="J22" s="14" t="e">
        <f t="shared" si="17"/>
        <v>#VALUE!</v>
      </c>
      <c r="K22" s="15" t="e">
        <f t="shared" si="17"/>
        <v>#VALUE!</v>
      </c>
      <c r="L22" s="16" t="e">
        <f t="shared" si="17"/>
        <v>#VALUE!</v>
      </c>
      <c r="M22" s="13" t="e">
        <f t="shared" si="17"/>
        <v>#VALUE!</v>
      </c>
      <c r="N22" s="14" t="e">
        <f t="shared" si="17"/>
        <v>#VALUE!</v>
      </c>
      <c r="O22" s="14" t="e">
        <f t="shared" si="17"/>
        <v>#VALUE!</v>
      </c>
      <c r="P22" s="14" t="e">
        <f t="shared" si="18"/>
        <v>#VALUE!</v>
      </c>
      <c r="Q22" s="14" t="e">
        <f t="shared" si="18"/>
        <v>#VALUE!</v>
      </c>
      <c r="R22" s="15" t="e">
        <f t="shared" si="18"/>
        <v>#VALUE!</v>
      </c>
      <c r="S22" s="16" t="e">
        <f t="shared" si="18"/>
        <v>#VALUE!</v>
      </c>
      <c r="T22" s="13" t="e">
        <f t="shared" si="18"/>
        <v>#VALUE!</v>
      </c>
      <c r="U22" s="14" t="e">
        <f t="shared" si="18"/>
        <v>#VALUE!</v>
      </c>
      <c r="V22" s="14" t="e">
        <f t="shared" si="18"/>
        <v>#VALUE!</v>
      </c>
      <c r="W22" s="14" t="e">
        <f t="shared" si="18"/>
        <v>#VALUE!</v>
      </c>
      <c r="X22" s="14" t="e">
        <f t="shared" si="18"/>
        <v>#VALUE!</v>
      </c>
      <c r="Y22" s="15" t="e">
        <f t="shared" si="18"/>
        <v>#VALUE!</v>
      </c>
      <c r="Z22" s="16" t="e">
        <f t="shared" si="19"/>
        <v>#VALUE!</v>
      </c>
      <c r="AA22" s="13" t="e">
        <f t="shared" si="19"/>
        <v>#VALUE!</v>
      </c>
      <c r="AB22" s="14" t="e">
        <f t="shared" si="19"/>
        <v>#VALUE!</v>
      </c>
      <c r="AC22" s="14" t="e">
        <f t="shared" si="19"/>
        <v>#VALUE!</v>
      </c>
      <c r="AD22" s="14" t="e">
        <f t="shared" si="19"/>
        <v>#VALUE!</v>
      </c>
      <c r="AE22" s="14" t="e">
        <f t="shared" si="19"/>
        <v>#VALUE!</v>
      </c>
      <c r="AF22" s="15" t="e">
        <f t="shared" si="19"/>
        <v>#VALUE!</v>
      </c>
      <c r="AG22" s="16" t="e">
        <f t="shared" si="19"/>
        <v>#VALUE!</v>
      </c>
      <c r="AH22" s="13" t="e">
        <f t="shared" si="19"/>
        <v>#VALUE!</v>
      </c>
      <c r="AI22" s="14" t="e">
        <f t="shared" si="19"/>
        <v>#VALUE!</v>
      </c>
      <c r="AJ22" s="14" t="e">
        <f t="shared" si="20"/>
        <v>#VALUE!</v>
      </c>
      <c r="AK22" s="14" t="e">
        <f t="shared" si="20"/>
        <v>#VALUE!</v>
      </c>
      <c r="AL22" s="14" t="e">
        <f t="shared" si="20"/>
        <v>#VALUE!</v>
      </c>
      <c r="AM22" s="15" t="e">
        <f t="shared" si="20"/>
        <v>#VALUE!</v>
      </c>
      <c r="AN22" s="16" t="e">
        <f t="shared" si="20"/>
        <v>#VALUE!</v>
      </c>
      <c r="AO22" s="13" t="e">
        <f t="shared" si="20"/>
        <v>#VALUE!</v>
      </c>
      <c r="AP22" s="14" t="e">
        <f t="shared" si="20"/>
        <v>#VALUE!</v>
      </c>
      <c r="AQ22" s="14" t="e">
        <f t="shared" si="20"/>
        <v>#VALUE!</v>
      </c>
      <c r="AR22" s="14" t="e">
        <f t="shared" si="20"/>
        <v>#VALUE!</v>
      </c>
      <c r="AS22" s="14" t="e">
        <f t="shared" si="20"/>
        <v>#VALUE!</v>
      </c>
      <c r="AT22" s="15" t="e">
        <f t="shared" si="21"/>
        <v>#VALUE!</v>
      </c>
      <c r="AU22" s="16" t="e">
        <f t="shared" si="21"/>
        <v>#VALUE!</v>
      </c>
      <c r="AV22" s="13" t="e">
        <f t="shared" si="21"/>
        <v>#VALUE!</v>
      </c>
      <c r="AW22" s="14" t="e">
        <f t="shared" si="21"/>
        <v>#VALUE!</v>
      </c>
      <c r="AX22" s="14" t="e">
        <f t="shared" si="21"/>
        <v>#VALUE!</v>
      </c>
      <c r="AY22" s="14" t="e">
        <f t="shared" si="21"/>
        <v>#VALUE!</v>
      </c>
      <c r="AZ22" s="14" t="e">
        <f t="shared" si="21"/>
        <v>#VALUE!</v>
      </c>
      <c r="BA22" s="15" t="e">
        <f t="shared" si="21"/>
        <v>#VALUE!</v>
      </c>
      <c r="BB22" s="16" t="e">
        <f t="shared" si="21"/>
        <v>#VALUE!</v>
      </c>
      <c r="BC22" s="13" t="e">
        <f t="shared" si="21"/>
        <v>#VALUE!</v>
      </c>
      <c r="BD22" s="14" t="e">
        <f t="shared" si="22"/>
        <v>#VALUE!</v>
      </c>
      <c r="BE22" s="14" t="e">
        <f t="shared" si="22"/>
        <v>#VALUE!</v>
      </c>
      <c r="BF22" s="14" t="e">
        <f t="shared" si="22"/>
        <v>#VALUE!</v>
      </c>
      <c r="BG22" s="14" t="e">
        <f t="shared" si="22"/>
        <v>#VALUE!</v>
      </c>
      <c r="BH22" s="15" t="e">
        <f t="shared" si="22"/>
        <v>#VALUE!</v>
      </c>
      <c r="BI22" s="16" t="e">
        <f t="shared" si="22"/>
        <v>#VALUE!</v>
      </c>
      <c r="BJ22" s="13" t="e">
        <f t="shared" si="22"/>
        <v>#VALUE!</v>
      </c>
      <c r="BK22" s="14" t="e">
        <f t="shared" si="22"/>
        <v>#VALUE!</v>
      </c>
      <c r="BL22" s="14" t="e">
        <f t="shared" si="22"/>
        <v>#VALUE!</v>
      </c>
      <c r="BM22" s="14" t="e">
        <f t="shared" si="22"/>
        <v>#VALUE!</v>
      </c>
      <c r="BN22" s="14" t="e">
        <f t="shared" si="23"/>
        <v>#VALUE!</v>
      </c>
      <c r="BO22" s="15" t="e">
        <f t="shared" si="23"/>
        <v>#VALUE!</v>
      </c>
      <c r="BP22" s="16" t="e">
        <f t="shared" si="23"/>
        <v>#VALUE!</v>
      </c>
      <c r="BQ22" s="13" t="e">
        <f t="shared" si="23"/>
        <v>#VALUE!</v>
      </c>
      <c r="BR22" s="14" t="e">
        <f t="shared" si="23"/>
        <v>#VALUE!</v>
      </c>
      <c r="BS22" s="14" t="e">
        <f t="shared" si="23"/>
        <v>#VALUE!</v>
      </c>
      <c r="BT22" s="14" t="e">
        <f t="shared" si="23"/>
        <v>#VALUE!</v>
      </c>
      <c r="BU22" s="14" t="e">
        <f t="shared" si="23"/>
        <v>#VALUE!</v>
      </c>
      <c r="BV22" s="15" t="e">
        <f t="shared" si="23"/>
        <v>#VALUE!</v>
      </c>
      <c r="BW22" s="16" t="e">
        <f t="shared" si="23"/>
        <v>#VALUE!</v>
      </c>
      <c r="BX22" s="13" t="e">
        <f t="shared" si="24"/>
        <v>#VALUE!</v>
      </c>
      <c r="BY22" s="14" t="e">
        <f t="shared" si="24"/>
        <v>#VALUE!</v>
      </c>
      <c r="BZ22" s="14" t="e">
        <f t="shared" si="24"/>
        <v>#VALUE!</v>
      </c>
      <c r="CA22" s="14" t="e">
        <f t="shared" si="24"/>
        <v>#VALUE!</v>
      </c>
      <c r="CB22" s="14" t="e">
        <f t="shared" si="24"/>
        <v>#VALUE!</v>
      </c>
      <c r="CC22" s="15" t="e">
        <f t="shared" si="24"/>
        <v>#VALUE!</v>
      </c>
      <c r="CD22" s="16" t="e">
        <f t="shared" si="24"/>
        <v>#VALUE!</v>
      </c>
      <c r="CE22" s="13" t="e">
        <f t="shared" si="24"/>
        <v>#VALUE!</v>
      </c>
      <c r="CF22" s="14" t="e">
        <f t="shared" si="24"/>
        <v>#VALUE!</v>
      </c>
      <c r="CG22" s="14" t="e">
        <f t="shared" si="24"/>
        <v>#VALUE!</v>
      </c>
      <c r="CH22" s="14" t="e">
        <f t="shared" si="25"/>
        <v>#VALUE!</v>
      </c>
      <c r="CI22" s="14" t="e">
        <f t="shared" si="25"/>
        <v>#VALUE!</v>
      </c>
      <c r="CJ22" s="15" t="e">
        <f t="shared" si="25"/>
        <v>#VALUE!</v>
      </c>
      <c r="CK22" s="16" t="e">
        <f t="shared" si="25"/>
        <v>#VALUE!</v>
      </c>
      <c r="CL22" s="13" t="e">
        <f t="shared" si="25"/>
        <v>#VALUE!</v>
      </c>
      <c r="CM22" s="14" t="e">
        <f t="shared" si="25"/>
        <v>#VALUE!</v>
      </c>
      <c r="CN22" s="14" t="e">
        <f t="shared" si="25"/>
        <v>#VALUE!</v>
      </c>
      <c r="CO22" s="14" t="e">
        <f t="shared" si="25"/>
        <v>#VALUE!</v>
      </c>
      <c r="CP22" s="14" t="e">
        <f t="shared" si="25"/>
        <v>#VALUE!</v>
      </c>
      <c r="CQ22" s="15" t="e">
        <f t="shared" si="25"/>
        <v>#VALUE!</v>
      </c>
      <c r="CR22" s="16" t="e">
        <f t="shared" si="26"/>
        <v>#VALUE!</v>
      </c>
      <c r="CS22" s="13" t="e">
        <f t="shared" si="26"/>
        <v>#VALUE!</v>
      </c>
      <c r="CT22" s="14" t="e">
        <f t="shared" si="26"/>
        <v>#VALUE!</v>
      </c>
      <c r="CU22" s="14" t="e">
        <f t="shared" si="26"/>
        <v>#VALUE!</v>
      </c>
      <c r="CV22" s="14" t="e">
        <f t="shared" si="26"/>
        <v>#VALUE!</v>
      </c>
      <c r="CW22" s="14" t="e">
        <f t="shared" si="26"/>
        <v>#VALUE!</v>
      </c>
      <c r="CX22" s="15" t="e">
        <f t="shared" si="26"/>
        <v>#VALUE!</v>
      </c>
      <c r="CY22" s="16" t="e">
        <f t="shared" si="26"/>
        <v>#VALUE!</v>
      </c>
      <c r="CZ22" s="13" t="e">
        <f t="shared" si="26"/>
        <v>#VALUE!</v>
      </c>
      <c r="DA22" s="14" t="e">
        <f t="shared" si="26"/>
        <v>#VALUE!</v>
      </c>
      <c r="DB22" s="14" t="e">
        <f t="shared" si="27"/>
        <v>#VALUE!</v>
      </c>
      <c r="DC22" s="14" t="e">
        <f t="shared" si="27"/>
        <v>#VALUE!</v>
      </c>
      <c r="DD22" s="14" t="e">
        <f t="shared" si="27"/>
        <v>#VALUE!</v>
      </c>
      <c r="DE22" s="15" t="e">
        <f t="shared" si="27"/>
        <v>#VALUE!</v>
      </c>
      <c r="DF22" s="16" t="e">
        <f t="shared" si="27"/>
        <v>#VALUE!</v>
      </c>
      <c r="DG22" s="13" t="e">
        <f t="shared" si="27"/>
        <v>#VALUE!</v>
      </c>
      <c r="DH22" s="14" t="e">
        <f t="shared" si="27"/>
        <v>#VALUE!</v>
      </c>
      <c r="DI22" s="14" t="e">
        <f t="shared" si="27"/>
        <v>#VALUE!</v>
      </c>
      <c r="DJ22" s="14" t="e">
        <f t="shared" si="27"/>
        <v>#VALUE!</v>
      </c>
      <c r="DK22" s="14" t="e">
        <f t="shared" si="27"/>
        <v>#VALUE!</v>
      </c>
      <c r="DL22" s="15" t="e">
        <f t="shared" si="28"/>
        <v>#VALUE!</v>
      </c>
      <c r="DM22" s="16" t="e">
        <f t="shared" si="28"/>
        <v>#VALUE!</v>
      </c>
      <c r="DN22" s="13" t="e">
        <f t="shared" si="28"/>
        <v>#VALUE!</v>
      </c>
      <c r="DO22" s="14" t="e">
        <f t="shared" si="28"/>
        <v>#VALUE!</v>
      </c>
      <c r="DP22" s="14" t="e">
        <f t="shared" si="28"/>
        <v>#VALUE!</v>
      </c>
      <c r="DQ22" s="14" t="e">
        <f t="shared" si="28"/>
        <v>#VALUE!</v>
      </c>
      <c r="DR22" s="14" t="e">
        <f t="shared" si="28"/>
        <v>#VALUE!</v>
      </c>
      <c r="DS22" s="15" t="e">
        <f t="shared" si="29"/>
        <v>#VALUE!</v>
      </c>
      <c r="DT22" s="16" t="e">
        <f t="shared" si="29"/>
        <v>#VALUE!</v>
      </c>
    </row>
    <row r="23" spans="1:124" s="17" customFormat="1" ht="9.6" customHeight="1">
      <c r="A23" s="27">
        <f ca="1">IFERROR(VLOOKUP(_xlfn.CONCAT(B7,"-","Next"),'DATA BTO'!A:D,3,FALSE),VLOOKUP(_xlfn.CONCAT(B7,"-","Actif"),'DATA BTO'!A:D,3,FALSE))</f>
        <v>45778</v>
      </c>
      <c r="B23" s="26" t="s">
        <v>53</v>
      </c>
      <c r="C23" s="19" t="e">
        <f t="shared" si="16"/>
        <v>#VALUE!</v>
      </c>
      <c r="D23" s="19" t="str">
        <f>_xlfn.XLOOKUP(A25,'VTT project'!F:F,'VTT project'!AQ:AQ,"-",0)</f>
        <v>-</v>
      </c>
      <c r="E23" s="19" t="e">
        <f>C23+D23-1</f>
        <v>#VALUE!</v>
      </c>
      <c r="F23" s="13" t="e">
        <f t="shared" si="17"/>
        <v>#VALUE!</v>
      </c>
      <c r="G23" s="14" t="e">
        <f t="shared" si="17"/>
        <v>#VALUE!</v>
      </c>
      <c r="H23" s="14" t="e">
        <f t="shared" si="17"/>
        <v>#VALUE!</v>
      </c>
      <c r="I23" s="14" t="e">
        <f t="shared" si="17"/>
        <v>#VALUE!</v>
      </c>
      <c r="J23" s="14" t="e">
        <f t="shared" si="17"/>
        <v>#VALUE!</v>
      </c>
      <c r="K23" s="15" t="e">
        <f t="shared" si="17"/>
        <v>#VALUE!</v>
      </c>
      <c r="L23" s="16" t="e">
        <f t="shared" si="17"/>
        <v>#VALUE!</v>
      </c>
      <c r="M23" s="13" t="e">
        <f t="shared" si="17"/>
        <v>#VALUE!</v>
      </c>
      <c r="N23" s="14" t="e">
        <f t="shared" si="17"/>
        <v>#VALUE!</v>
      </c>
      <c r="O23" s="14" t="e">
        <f t="shared" si="17"/>
        <v>#VALUE!</v>
      </c>
      <c r="P23" s="14" t="e">
        <f t="shared" si="18"/>
        <v>#VALUE!</v>
      </c>
      <c r="Q23" s="14" t="e">
        <f t="shared" si="18"/>
        <v>#VALUE!</v>
      </c>
      <c r="R23" s="15" t="e">
        <f t="shared" si="18"/>
        <v>#VALUE!</v>
      </c>
      <c r="S23" s="16" t="e">
        <f t="shared" si="18"/>
        <v>#VALUE!</v>
      </c>
      <c r="T23" s="13" t="e">
        <f t="shared" si="18"/>
        <v>#VALUE!</v>
      </c>
      <c r="U23" s="14" t="e">
        <f t="shared" si="18"/>
        <v>#VALUE!</v>
      </c>
      <c r="V23" s="14" t="e">
        <f t="shared" si="18"/>
        <v>#VALUE!</v>
      </c>
      <c r="W23" s="14" t="e">
        <f t="shared" si="18"/>
        <v>#VALUE!</v>
      </c>
      <c r="X23" s="14" t="e">
        <f t="shared" si="18"/>
        <v>#VALUE!</v>
      </c>
      <c r="Y23" s="15" t="e">
        <f t="shared" si="18"/>
        <v>#VALUE!</v>
      </c>
      <c r="Z23" s="16" t="e">
        <f t="shared" si="19"/>
        <v>#VALUE!</v>
      </c>
      <c r="AA23" s="13" t="e">
        <f t="shared" si="19"/>
        <v>#VALUE!</v>
      </c>
      <c r="AB23" s="14" t="e">
        <f t="shared" si="19"/>
        <v>#VALUE!</v>
      </c>
      <c r="AC23" s="14" t="e">
        <f t="shared" si="19"/>
        <v>#VALUE!</v>
      </c>
      <c r="AD23" s="14" t="e">
        <f t="shared" si="19"/>
        <v>#VALUE!</v>
      </c>
      <c r="AE23" s="14" t="e">
        <f t="shared" si="19"/>
        <v>#VALUE!</v>
      </c>
      <c r="AF23" s="15" t="e">
        <f t="shared" si="19"/>
        <v>#VALUE!</v>
      </c>
      <c r="AG23" s="16" t="e">
        <f t="shared" si="19"/>
        <v>#VALUE!</v>
      </c>
      <c r="AH23" s="13" t="e">
        <f t="shared" si="19"/>
        <v>#VALUE!</v>
      </c>
      <c r="AI23" s="14" t="e">
        <f t="shared" si="19"/>
        <v>#VALUE!</v>
      </c>
      <c r="AJ23" s="14" t="e">
        <f t="shared" si="20"/>
        <v>#VALUE!</v>
      </c>
      <c r="AK23" s="14" t="e">
        <f t="shared" si="20"/>
        <v>#VALUE!</v>
      </c>
      <c r="AL23" s="14" t="e">
        <f t="shared" si="20"/>
        <v>#VALUE!</v>
      </c>
      <c r="AM23" s="15" t="e">
        <f t="shared" si="20"/>
        <v>#VALUE!</v>
      </c>
      <c r="AN23" s="16" t="e">
        <f t="shared" si="20"/>
        <v>#VALUE!</v>
      </c>
      <c r="AO23" s="13" t="e">
        <f t="shared" si="20"/>
        <v>#VALUE!</v>
      </c>
      <c r="AP23" s="14" t="e">
        <f t="shared" si="20"/>
        <v>#VALUE!</v>
      </c>
      <c r="AQ23" s="14" t="e">
        <f t="shared" si="20"/>
        <v>#VALUE!</v>
      </c>
      <c r="AR23" s="14" t="e">
        <f t="shared" si="20"/>
        <v>#VALUE!</v>
      </c>
      <c r="AS23" s="14" t="e">
        <f t="shared" si="20"/>
        <v>#VALUE!</v>
      </c>
      <c r="AT23" s="15" t="e">
        <f t="shared" si="21"/>
        <v>#VALUE!</v>
      </c>
      <c r="AU23" s="16" t="e">
        <f t="shared" si="21"/>
        <v>#VALUE!</v>
      </c>
      <c r="AV23" s="13" t="e">
        <f t="shared" si="21"/>
        <v>#VALUE!</v>
      </c>
      <c r="AW23" s="14" t="e">
        <f t="shared" si="21"/>
        <v>#VALUE!</v>
      </c>
      <c r="AX23" s="14" t="e">
        <f t="shared" si="21"/>
        <v>#VALUE!</v>
      </c>
      <c r="AY23" s="14" t="e">
        <f t="shared" si="21"/>
        <v>#VALUE!</v>
      </c>
      <c r="AZ23" s="14" t="e">
        <f t="shared" si="21"/>
        <v>#VALUE!</v>
      </c>
      <c r="BA23" s="15" t="e">
        <f t="shared" si="21"/>
        <v>#VALUE!</v>
      </c>
      <c r="BB23" s="16" t="e">
        <f t="shared" si="21"/>
        <v>#VALUE!</v>
      </c>
      <c r="BC23" s="13" t="e">
        <f t="shared" si="21"/>
        <v>#VALUE!</v>
      </c>
      <c r="BD23" s="14" t="e">
        <f t="shared" si="22"/>
        <v>#VALUE!</v>
      </c>
      <c r="BE23" s="14" t="e">
        <f t="shared" si="22"/>
        <v>#VALUE!</v>
      </c>
      <c r="BF23" s="14" t="e">
        <f t="shared" si="22"/>
        <v>#VALUE!</v>
      </c>
      <c r="BG23" s="14" t="e">
        <f t="shared" si="22"/>
        <v>#VALUE!</v>
      </c>
      <c r="BH23" s="15" t="e">
        <f t="shared" si="22"/>
        <v>#VALUE!</v>
      </c>
      <c r="BI23" s="16" t="e">
        <f t="shared" si="22"/>
        <v>#VALUE!</v>
      </c>
      <c r="BJ23" s="13" t="e">
        <f t="shared" si="22"/>
        <v>#VALUE!</v>
      </c>
      <c r="BK23" s="14" t="e">
        <f t="shared" si="22"/>
        <v>#VALUE!</v>
      </c>
      <c r="BL23" s="14" t="e">
        <f t="shared" si="22"/>
        <v>#VALUE!</v>
      </c>
      <c r="BM23" s="14" t="e">
        <f t="shared" si="22"/>
        <v>#VALUE!</v>
      </c>
      <c r="BN23" s="14" t="e">
        <f t="shared" si="23"/>
        <v>#VALUE!</v>
      </c>
      <c r="BO23" s="15" t="e">
        <f t="shared" si="23"/>
        <v>#VALUE!</v>
      </c>
      <c r="BP23" s="16" t="e">
        <f t="shared" si="23"/>
        <v>#VALUE!</v>
      </c>
      <c r="BQ23" s="13" t="e">
        <f t="shared" si="23"/>
        <v>#VALUE!</v>
      </c>
      <c r="BR23" s="14" t="e">
        <f t="shared" si="23"/>
        <v>#VALUE!</v>
      </c>
      <c r="BS23" s="14" t="e">
        <f t="shared" si="23"/>
        <v>#VALUE!</v>
      </c>
      <c r="BT23" s="14" t="e">
        <f t="shared" si="23"/>
        <v>#VALUE!</v>
      </c>
      <c r="BU23" s="14" t="e">
        <f t="shared" si="23"/>
        <v>#VALUE!</v>
      </c>
      <c r="BV23" s="15" t="e">
        <f t="shared" si="23"/>
        <v>#VALUE!</v>
      </c>
      <c r="BW23" s="16" t="e">
        <f t="shared" si="23"/>
        <v>#VALUE!</v>
      </c>
      <c r="BX23" s="13" t="e">
        <f t="shared" si="24"/>
        <v>#VALUE!</v>
      </c>
      <c r="BY23" s="14" t="e">
        <f t="shared" si="24"/>
        <v>#VALUE!</v>
      </c>
      <c r="BZ23" s="14" t="e">
        <f t="shared" si="24"/>
        <v>#VALUE!</v>
      </c>
      <c r="CA23" s="14" t="e">
        <f t="shared" si="24"/>
        <v>#VALUE!</v>
      </c>
      <c r="CB23" s="14" t="e">
        <f t="shared" si="24"/>
        <v>#VALUE!</v>
      </c>
      <c r="CC23" s="15" t="e">
        <f t="shared" si="24"/>
        <v>#VALUE!</v>
      </c>
      <c r="CD23" s="16" t="e">
        <f t="shared" si="24"/>
        <v>#VALUE!</v>
      </c>
      <c r="CE23" s="13" t="e">
        <f t="shared" si="24"/>
        <v>#VALUE!</v>
      </c>
      <c r="CF23" s="14" t="e">
        <f t="shared" si="24"/>
        <v>#VALUE!</v>
      </c>
      <c r="CG23" s="14" t="e">
        <f t="shared" si="24"/>
        <v>#VALUE!</v>
      </c>
      <c r="CH23" s="14" t="e">
        <f t="shared" si="25"/>
        <v>#VALUE!</v>
      </c>
      <c r="CI23" s="14" t="e">
        <f t="shared" si="25"/>
        <v>#VALUE!</v>
      </c>
      <c r="CJ23" s="15" t="e">
        <f t="shared" si="25"/>
        <v>#VALUE!</v>
      </c>
      <c r="CK23" s="16" t="e">
        <f t="shared" si="25"/>
        <v>#VALUE!</v>
      </c>
      <c r="CL23" s="13" t="e">
        <f t="shared" si="25"/>
        <v>#VALUE!</v>
      </c>
      <c r="CM23" s="14" t="e">
        <f t="shared" si="25"/>
        <v>#VALUE!</v>
      </c>
      <c r="CN23" s="14" t="e">
        <f t="shared" si="25"/>
        <v>#VALUE!</v>
      </c>
      <c r="CO23" s="14" t="e">
        <f t="shared" si="25"/>
        <v>#VALUE!</v>
      </c>
      <c r="CP23" s="14" t="e">
        <f t="shared" si="25"/>
        <v>#VALUE!</v>
      </c>
      <c r="CQ23" s="15" t="e">
        <f t="shared" si="25"/>
        <v>#VALUE!</v>
      </c>
      <c r="CR23" s="16" t="e">
        <f t="shared" si="26"/>
        <v>#VALUE!</v>
      </c>
      <c r="CS23" s="13" t="e">
        <f t="shared" si="26"/>
        <v>#VALUE!</v>
      </c>
      <c r="CT23" s="14" t="e">
        <f t="shared" si="26"/>
        <v>#VALUE!</v>
      </c>
      <c r="CU23" s="14" t="e">
        <f t="shared" si="26"/>
        <v>#VALUE!</v>
      </c>
      <c r="CV23" s="14" t="e">
        <f t="shared" si="26"/>
        <v>#VALUE!</v>
      </c>
      <c r="CW23" s="14" t="e">
        <f t="shared" si="26"/>
        <v>#VALUE!</v>
      </c>
      <c r="CX23" s="15" t="e">
        <f t="shared" si="26"/>
        <v>#VALUE!</v>
      </c>
      <c r="CY23" s="16" t="e">
        <f t="shared" si="26"/>
        <v>#VALUE!</v>
      </c>
      <c r="CZ23" s="13" t="e">
        <f t="shared" si="26"/>
        <v>#VALUE!</v>
      </c>
      <c r="DA23" s="14" t="e">
        <f t="shared" si="26"/>
        <v>#VALUE!</v>
      </c>
      <c r="DB23" s="14" t="e">
        <f t="shared" si="27"/>
        <v>#VALUE!</v>
      </c>
      <c r="DC23" s="14" t="e">
        <f t="shared" si="27"/>
        <v>#VALUE!</v>
      </c>
      <c r="DD23" s="14" t="e">
        <f t="shared" si="27"/>
        <v>#VALUE!</v>
      </c>
      <c r="DE23" s="15" t="e">
        <f t="shared" si="27"/>
        <v>#VALUE!</v>
      </c>
      <c r="DF23" s="16" t="e">
        <f t="shared" si="27"/>
        <v>#VALUE!</v>
      </c>
      <c r="DG23" s="13" t="e">
        <f t="shared" si="27"/>
        <v>#VALUE!</v>
      </c>
      <c r="DH23" s="14" t="e">
        <f t="shared" si="27"/>
        <v>#VALUE!</v>
      </c>
      <c r="DI23" s="14" t="e">
        <f t="shared" si="27"/>
        <v>#VALUE!</v>
      </c>
      <c r="DJ23" s="14" t="e">
        <f t="shared" si="27"/>
        <v>#VALUE!</v>
      </c>
      <c r="DK23" s="14" t="e">
        <f t="shared" si="27"/>
        <v>#VALUE!</v>
      </c>
      <c r="DL23" s="15" t="e">
        <f t="shared" si="28"/>
        <v>#VALUE!</v>
      </c>
      <c r="DM23" s="16" t="e">
        <f t="shared" si="28"/>
        <v>#VALUE!</v>
      </c>
      <c r="DN23" s="13" t="e">
        <f t="shared" si="28"/>
        <v>#VALUE!</v>
      </c>
      <c r="DO23" s="14" t="e">
        <f t="shared" si="28"/>
        <v>#VALUE!</v>
      </c>
      <c r="DP23" s="14" t="e">
        <f t="shared" si="28"/>
        <v>#VALUE!</v>
      </c>
      <c r="DQ23" s="14" t="e">
        <f t="shared" si="28"/>
        <v>#VALUE!</v>
      </c>
      <c r="DR23" s="14" t="e">
        <f t="shared" si="28"/>
        <v>#VALUE!</v>
      </c>
      <c r="DS23" s="15" t="e">
        <f t="shared" si="29"/>
        <v>#VALUE!</v>
      </c>
      <c r="DT23" s="16" t="e">
        <f t="shared" si="29"/>
        <v>#VALUE!</v>
      </c>
    </row>
    <row r="24" spans="1:124" s="17" customFormat="1" ht="9.6" customHeight="1">
      <c r="A24" s="27">
        <f ca="1">IFERROR(VLOOKUP(_xlfn.CONCAT(B7,"-","Next"),'DATA BTO'!A:D,4,FALSE),VLOOKUP(_xlfn.CONCAT(B7,"-","Actif"),'DATA BTO'!A:D,4,FALSE))</f>
        <v>46142</v>
      </c>
      <c r="B24" s="28" t="s">
        <v>54</v>
      </c>
      <c r="C24" s="19" t="e">
        <f t="shared" si="16"/>
        <v>#VALUE!</v>
      </c>
      <c r="D24" s="20">
        <v>7</v>
      </c>
      <c r="E24" s="19" t="e">
        <f>(C24+D24)-1</f>
        <v>#VALUE!</v>
      </c>
      <c r="F24" s="13" t="e">
        <f t="shared" si="17"/>
        <v>#VALUE!</v>
      </c>
      <c r="G24" s="14" t="e">
        <f t="shared" si="17"/>
        <v>#VALUE!</v>
      </c>
      <c r="H24" s="14" t="e">
        <f t="shared" si="17"/>
        <v>#VALUE!</v>
      </c>
      <c r="I24" s="14" t="e">
        <f t="shared" si="17"/>
        <v>#VALUE!</v>
      </c>
      <c r="J24" s="14" t="e">
        <f t="shared" si="17"/>
        <v>#VALUE!</v>
      </c>
      <c r="K24" s="15" t="e">
        <f t="shared" si="17"/>
        <v>#VALUE!</v>
      </c>
      <c r="L24" s="16" t="e">
        <f t="shared" si="17"/>
        <v>#VALUE!</v>
      </c>
      <c r="M24" s="13" t="e">
        <f t="shared" si="17"/>
        <v>#VALUE!</v>
      </c>
      <c r="N24" s="14" t="e">
        <f t="shared" si="17"/>
        <v>#VALUE!</v>
      </c>
      <c r="O24" s="14" t="e">
        <f t="shared" si="17"/>
        <v>#VALUE!</v>
      </c>
      <c r="P24" s="14" t="e">
        <f t="shared" si="18"/>
        <v>#VALUE!</v>
      </c>
      <c r="Q24" s="14" t="e">
        <f t="shared" si="18"/>
        <v>#VALUE!</v>
      </c>
      <c r="R24" s="15" t="e">
        <f t="shared" si="18"/>
        <v>#VALUE!</v>
      </c>
      <c r="S24" s="16" t="e">
        <f t="shared" si="18"/>
        <v>#VALUE!</v>
      </c>
      <c r="T24" s="13" t="e">
        <f t="shared" si="18"/>
        <v>#VALUE!</v>
      </c>
      <c r="U24" s="14" t="e">
        <f t="shared" si="18"/>
        <v>#VALUE!</v>
      </c>
      <c r="V24" s="14" t="e">
        <f t="shared" si="18"/>
        <v>#VALUE!</v>
      </c>
      <c r="W24" s="14" t="e">
        <f t="shared" si="18"/>
        <v>#VALUE!</v>
      </c>
      <c r="X24" s="14" t="e">
        <f t="shared" si="18"/>
        <v>#VALUE!</v>
      </c>
      <c r="Y24" s="15" t="e">
        <f t="shared" si="18"/>
        <v>#VALUE!</v>
      </c>
      <c r="Z24" s="16" t="e">
        <f t="shared" si="19"/>
        <v>#VALUE!</v>
      </c>
      <c r="AA24" s="13" t="e">
        <f t="shared" si="19"/>
        <v>#VALUE!</v>
      </c>
      <c r="AB24" s="14" t="e">
        <f t="shared" si="19"/>
        <v>#VALUE!</v>
      </c>
      <c r="AC24" s="14" t="e">
        <f t="shared" si="19"/>
        <v>#VALUE!</v>
      </c>
      <c r="AD24" s="14" t="e">
        <f t="shared" si="19"/>
        <v>#VALUE!</v>
      </c>
      <c r="AE24" s="14" t="e">
        <f t="shared" si="19"/>
        <v>#VALUE!</v>
      </c>
      <c r="AF24" s="15" t="e">
        <f t="shared" si="19"/>
        <v>#VALUE!</v>
      </c>
      <c r="AG24" s="16" t="e">
        <f t="shared" si="19"/>
        <v>#VALUE!</v>
      </c>
      <c r="AH24" s="13" t="e">
        <f t="shared" si="19"/>
        <v>#VALUE!</v>
      </c>
      <c r="AI24" s="14" t="e">
        <f t="shared" si="19"/>
        <v>#VALUE!</v>
      </c>
      <c r="AJ24" s="14" t="e">
        <f t="shared" si="20"/>
        <v>#VALUE!</v>
      </c>
      <c r="AK24" s="14" t="e">
        <f t="shared" si="20"/>
        <v>#VALUE!</v>
      </c>
      <c r="AL24" s="14" t="e">
        <f t="shared" si="20"/>
        <v>#VALUE!</v>
      </c>
      <c r="AM24" s="15" t="e">
        <f t="shared" si="20"/>
        <v>#VALUE!</v>
      </c>
      <c r="AN24" s="16" t="e">
        <f t="shared" si="20"/>
        <v>#VALUE!</v>
      </c>
      <c r="AO24" s="13" t="e">
        <f t="shared" si="20"/>
        <v>#VALUE!</v>
      </c>
      <c r="AP24" s="14" t="e">
        <f t="shared" si="20"/>
        <v>#VALUE!</v>
      </c>
      <c r="AQ24" s="14" t="e">
        <f t="shared" si="20"/>
        <v>#VALUE!</v>
      </c>
      <c r="AR24" s="14" t="e">
        <f t="shared" si="20"/>
        <v>#VALUE!</v>
      </c>
      <c r="AS24" s="14" t="e">
        <f t="shared" si="20"/>
        <v>#VALUE!</v>
      </c>
      <c r="AT24" s="15" t="e">
        <f t="shared" si="21"/>
        <v>#VALUE!</v>
      </c>
      <c r="AU24" s="16" t="e">
        <f t="shared" si="21"/>
        <v>#VALUE!</v>
      </c>
      <c r="AV24" s="13" t="e">
        <f t="shared" si="21"/>
        <v>#VALUE!</v>
      </c>
      <c r="AW24" s="14" t="e">
        <f t="shared" si="21"/>
        <v>#VALUE!</v>
      </c>
      <c r="AX24" s="14" t="e">
        <f t="shared" si="21"/>
        <v>#VALUE!</v>
      </c>
      <c r="AY24" s="14" t="e">
        <f t="shared" si="21"/>
        <v>#VALUE!</v>
      </c>
      <c r="AZ24" s="14" t="e">
        <f t="shared" si="21"/>
        <v>#VALUE!</v>
      </c>
      <c r="BA24" s="15" t="e">
        <f t="shared" si="21"/>
        <v>#VALUE!</v>
      </c>
      <c r="BB24" s="16" t="e">
        <f t="shared" si="21"/>
        <v>#VALUE!</v>
      </c>
      <c r="BC24" s="13" t="e">
        <f t="shared" si="21"/>
        <v>#VALUE!</v>
      </c>
      <c r="BD24" s="14" t="e">
        <f t="shared" si="22"/>
        <v>#VALUE!</v>
      </c>
      <c r="BE24" s="14" t="e">
        <f t="shared" si="22"/>
        <v>#VALUE!</v>
      </c>
      <c r="BF24" s="14" t="e">
        <f t="shared" si="22"/>
        <v>#VALUE!</v>
      </c>
      <c r="BG24" s="14" t="e">
        <f t="shared" si="22"/>
        <v>#VALUE!</v>
      </c>
      <c r="BH24" s="15" t="e">
        <f t="shared" si="22"/>
        <v>#VALUE!</v>
      </c>
      <c r="BI24" s="16" t="e">
        <f t="shared" si="22"/>
        <v>#VALUE!</v>
      </c>
      <c r="BJ24" s="13" t="e">
        <f t="shared" si="22"/>
        <v>#VALUE!</v>
      </c>
      <c r="BK24" s="14" t="e">
        <f t="shared" si="22"/>
        <v>#VALUE!</v>
      </c>
      <c r="BL24" s="14" t="e">
        <f t="shared" si="22"/>
        <v>#VALUE!</v>
      </c>
      <c r="BM24" s="14" t="e">
        <f t="shared" si="22"/>
        <v>#VALUE!</v>
      </c>
      <c r="BN24" s="14" t="e">
        <f t="shared" si="23"/>
        <v>#VALUE!</v>
      </c>
      <c r="BO24" s="15" t="e">
        <f t="shared" si="23"/>
        <v>#VALUE!</v>
      </c>
      <c r="BP24" s="16" t="e">
        <f t="shared" si="23"/>
        <v>#VALUE!</v>
      </c>
      <c r="BQ24" s="13" t="e">
        <f t="shared" si="23"/>
        <v>#VALUE!</v>
      </c>
      <c r="BR24" s="14" t="e">
        <f t="shared" si="23"/>
        <v>#VALUE!</v>
      </c>
      <c r="BS24" s="14" t="e">
        <f t="shared" si="23"/>
        <v>#VALUE!</v>
      </c>
      <c r="BT24" s="14" t="e">
        <f t="shared" si="23"/>
        <v>#VALUE!</v>
      </c>
      <c r="BU24" s="14" t="e">
        <f t="shared" si="23"/>
        <v>#VALUE!</v>
      </c>
      <c r="BV24" s="15" t="e">
        <f t="shared" si="23"/>
        <v>#VALUE!</v>
      </c>
      <c r="BW24" s="16" t="e">
        <f t="shared" si="23"/>
        <v>#VALUE!</v>
      </c>
      <c r="BX24" s="13" t="e">
        <f t="shared" si="24"/>
        <v>#VALUE!</v>
      </c>
      <c r="BY24" s="14" t="e">
        <f t="shared" si="24"/>
        <v>#VALUE!</v>
      </c>
      <c r="BZ24" s="14" t="e">
        <f t="shared" si="24"/>
        <v>#VALUE!</v>
      </c>
      <c r="CA24" s="14" t="e">
        <f t="shared" si="24"/>
        <v>#VALUE!</v>
      </c>
      <c r="CB24" s="14" t="e">
        <f t="shared" si="24"/>
        <v>#VALUE!</v>
      </c>
      <c r="CC24" s="15" t="e">
        <f t="shared" si="24"/>
        <v>#VALUE!</v>
      </c>
      <c r="CD24" s="16" t="e">
        <f t="shared" si="24"/>
        <v>#VALUE!</v>
      </c>
      <c r="CE24" s="13" t="e">
        <f t="shared" si="24"/>
        <v>#VALUE!</v>
      </c>
      <c r="CF24" s="14" t="e">
        <f t="shared" si="24"/>
        <v>#VALUE!</v>
      </c>
      <c r="CG24" s="14" t="e">
        <f t="shared" si="24"/>
        <v>#VALUE!</v>
      </c>
      <c r="CH24" s="14" t="e">
        <f t="shared" si="25"/>
        <v>#VALUE!</v>
      </c>
      <c r="CI24" s="14" t="e">
        <f t="shared" si="25"/>
        <v>#VALUE!</v>
      </c>
      <c r="CJ24" s="15" t="e">
        <f t="shared" si="25"/>
        <v>#VALUE!</v>
      </c>
      <c r="CK24" s="16" t="e">
        <f t="shared" si="25"/>
        <v>#VALUE!</v>
      </c>
      <c r="CL24" s="13" t="e">
        <f t="shared" si="25"/>
        <v>#VALUE!</v>
      </c>
      <c r="CM24" s="14" t="e">
        <f t="shared" si="25"/>
        <v>#VALUE!</v>
      </c>
      <c r="CN24" s="14" t="e">
        <f t="shared" si="25"/>
        <v>#VALUE!</v>
      </c>
      <c r="CO24" s="14" t="e">
        <f t="shared" si="25"/>
        <v>#VALUE!</v>
      </c>
      <c r="CP24" s="14" t="e">
        <f t="shared" si="25"/>
        <v>#VALUE!</v>
      </c>
      <c r="CQ24" s="15" t="e">
        <f t="shared" si="25"/>
        <v>#VALUE!</v>
      </c>
      <c r="CR24" s="16" t="e">
        <f t="shared" si="26"/>
        <v>#VALUE!</v>
      </c>
      <c r="CS24" s="13" t="e">
        <f t="shared" si="26"/>
        <v>#VALUE!</v>
      </c>
      <c r="CT24" s="14" t="e">
        <f t="shared" si="26"/>
        <v>#VALUE!</v>
      </c>
      <c r="CU24" s="14" t="e">
        <f t="shared" si="26"/>
        <v>#VALUE!</v>
      </c>
      <c r="CV24" s="14" t="e">
        <f t="shared" si="26"/>
        <v>#VALUE!</v>
      </c>
      <c r="CW24" s="14" t="e">
        <f t="shared" si="26"/>
        <v>#VALUE!</v>
      </c>
      <c r="CX24" s="15" t="e">
        <f t="shared" si="26"/>
        <v>#VALUE!</v>
      </c>
      <c r="CY24" s="16" t="e">
        <f t="shared" si="26"/>
        <v>#VALUE!</v>
      </c>
      <c r="CZ24" s="13" t="e">
        <f t="shared" si="26"/>
        <v>#VALUE!</v>
      </c>
      <c r="DA24" s="14" t="e">
        <f t="shared" si="26"/>
        <v>#VALUE!</v>
      </c>
      <c r="DB24" s="14" t="e">
        <f t="shared" si="27"/>
        <v>#VALUE!</v>
      </c>
      <c r="DC24" s="14" t="e">
        <f t="shared" si="27"/>
        <v>#VALUE!</v>
      </c>
      <c r="DD24" s="14" t="e">
        <f t="shared" si="27"/>
        <v>#VALUE!</v>
      </c>
      <c r="DE24" s="15" t="e">
        <f t="shared" si="27"/>
        <v>#VALUE!</v>
      </c>
      <c r="DF24" s="16" t="e">
        <f t="shared" si="27"/>
        <v>#VALUE!</v>
      </c>
      <c r="DG24" s="13" t="e">
        <f t="shared" si="27"/>
        <v>#VALUE!</v>
      </c>
      <c r="DH24" s="14" t="e">
        <f t="shared" si="27"/>
        <v>#VALUE!</v>
      </c>
      <c r="DI24" s="14" t="e">
        <f t="shared" si="27"/>
        <v>#VALUE!</v>
      </c>
      <c r="DJ24" s="14" t="e">
        <f t="shared" si="27"/>
        <v>#VALUE!</v>
      </c>
      <c r="DK24" s="14" t="e">
        <f t="shared" si="27"/>
        <v>#VALUE!</v>
      </c>
      <c r="DL24" s="15" t="e">
        <f t="shared" si="28"/>
        <v>#VALUE!</v>
      </c>
      <c r="DM24" s="16" t="e">
        <f t="shared" si="28"/>
        <v>#VALUE!</v>
      </c>
      <c r="DN24" s="13" t="e">
        <f t="shared" si="28"/>
        <v>#VALUE!</v>
      </c>
      <c r="DO24" s="14" t="e">
        <f t="shared" si="28"/>
        <v>#VALUE!</v>
      </c>
      <c r="DP24" s="14" t="e">
        <f t="shared" si="28"/>
        <v>#VALUE!</v>
      </c>
      <c r="DQ24" s="14" t="e">
        <f t="shared" si="28"/>
        <v>#VALUE!</v>
      </c>
      <c r="DR24" s="14" t="e">
        <f t="shared" si="28"/>
        <v>#VALUE!</v>
      </c>
      <c r="DS24" s="15" t="e">
        <f t="shared" si="29"/>
        <v>#VALUE!</v>
      </c>
      <c r="DT24" s="16" t="e">
        <f t="shared" si="29"/>
        <v>#VALUE!</v>
      </c>
    </row>
    <row r="25" spans="1:124" s="17" customFormat="1" ht="9.6" customHeight="1">
      <c r="A25" s="90" t="str">
        <f>_xlfn.CONCAT(B7,"-","Next")</f>
        <v>60-Next</v>
      </c>
      <c r="B25" s="28" t="s">
        <v>55</v>
      </c>
      <c r="C25" s="19" t="e">
        <f t="shared" si="16"/>
        <v>#VALUE!</v>
      </c>
      <c r="D25" s="20">
        <v>7</v>
      </c>
      <c r="E25" s="19" t="e">
        <f>(C25+D25)-1</f>
        <v>#VALUE!</v>
      </c>
      <c r="F25" s="13" t="e">
        <f t="shared" si="17"/>
        <v>#VALUE!</v>
      </c>
      <c r="G25" s="14" t="e">
        <f t="shared" si="17"/>
        <v>#VALUE!</v>
      </c>
      <c r="H25" s="14" t="e">
        <f t="shared" si="17"/>
        <v>#VALUE!</v>
      </c>
      <c r="I25" s="14" t="e">
        <f t="shared" si="17"/>
        <v>#VALUE!</v>
      </c>
      <c r="J25" s="14" t="e">
        <f t="shared" si="17"/>
        <v>#VALUE!</v>
      </c>
      <c r="K25" s="15" t="e">
        <f t="shared" si="17"/>
        <v>#VALUE!</v>
      </c>
      <c r="L25" s="16" t="e">
        <f t="shared" si="17"/>
        <v>#VALUE!</v>
      </c>
      <c r="M25" s="13" t="e">
        <f t="shared" si="17"/>
        <v>#VALUE!</v>
      </c>
      <c r="N25" s="14" t="e">
        <f t="shared" si="17"/>
        <v>#VALUE!</v>
      </c>
      <c r="O25" s="14" t="e">
        <f t="shared" si="17"/>
        <v>#VALUE!</v>
      </c>
      <c r="P25" s="14" t="e">
        <f t="shared" si="18"/>
        <v>#VALUE!</v>
      </c>
      <c r="Q25" s="14" t="e">
        <f t="shared" si="18"/>
        <v>#VALUE!</v>
      </c>
      <c r="R25" s="15" t="e">
        <f t="shared" si="18"/>
        <v>#VALUE!</v>
      </c>
      <c r="S25" s="16" t="e">
        <f t="shared" si="18"/>
        <v>#VALUE!</v>
      </c>
      <c r="T25" s="13" t="e">
        <f t="shared" si="18"/>
        <v>#VALUE!</v>
      </c>
      <c r="U25" s="14" t="e">
        <f t="shared" si="18"/>
        <v>#VALUE!</v>
      </c>
      <c r="V25" s="14" t="e">
        <f t="shared" si="18"/>
        <v>#VALUE!</v>
      </c>
      <c r="W25" s="14" t="e">
        <f t="shared" si="18"/>
        <v>#VALUE!</v>
      </c>
      <c r="X25" s="14" t="e">
        <f t="shared" si="18"/>
        <v>#VALUE!</v>
      </c>
      <c r="Y25" s="15" t="e">
        <f t="shared" si="18"/>
        <v>#VALUE!</v>
      </c>
      <c r="Z25" s="16" t="e">
        <f t="shared" si="19"/>
        <v>#VALUE!</v>
      </c>
      <c r="AA25" s="13" t="e">
        <f t="shared" si="19"/>
        <v>#VALUE!</v>
      </c>
      <c r="AB25" s="14" t="e">
        <f t="shared" si="19"/>
        <v>#VALUE!</v>
      </c>
      <c r="AC25" s="14" t="e">
        <f t="shared" si="19"/>
        <v>#VALUE!</v>
      </c>
      <c r="AD25" s="14" t="e">
        <f t="shared" si="19"/>
        <v>#VALUE!</v>
      </c>
      <c r="AE25" s="14" t="e">
        <f t="shared" si="19"/>
        <v>#VALUE!</v>
      </c>
      <c r="AF25" s="15" t="e">
        <f t="shared" si="19"/>
        <v>#VALUE!</v>
      </c>
      <c r="AG25" s="16" t="e">
        <f t="shared" si="19"/>
        <v>#VALUE!</v>
      </c>
      <c r="AH25" s="13" t="e">
        <f t="shared" si="19"/>
        <v>#VALUE!</v>
      </c>
      <c r="AI25" s="14" t="e">
        <f t="shared" si="19"/>
        <v>#VALUE!</v>
      </c>
      <c r="AJ25" s="14" t="e">
        <f t="shared" si="20"/>
        <v>#VALUE!</v>
      </c>
      <c r="AK25" s="14" t="e">
        <f t="shared" si="20"/>
        <v>#VALUE!</v>
      </c>
      <c r="AL25" s="14" t="e">
        <f t="shared" si="20"/>
        <v>#VALUE!</v>
      </c>
      <c r="AM25" s="15" t="e">
        <f t="shared" si="20"/>
        <v>#VALUE!</v>
      </c>
      <c r="AN25" s="16" t="e">
        <f t="shared" si="20"/>
        <v>#VALUE!</v>
      </c>
      <c r="AO25" s="13" t="e">
        <f t="shared" si="20"/>
        <v>#VALUE!</v>
      </c>
      <c r="AP25" s="14" t="e">
        <f t="shared" si="20"/>
        <v>#VALUE!</v>
      </c>
      <c r="AQ25" s="14" t="e">
        <f t="shared" si="20"/>
        <v>#VALUE!</v>
      </c>
      <c r="AR25" s="14" t="e">
        <f t="shared" si="20"/>
        <v>#VALUE!</v>
      </c>
      <c r="AS25" s="14" t="e">
        <f t="shared" si="20"/>
        <v>#VALUE!</v>
      </c>
      <c r="AT25" s="15" t="e">
        <f t="shared" si="21"/>
        <v>#VALUE!</v>
      </c>
      <c r="AU25" s="16" t="e">
        <f t="shared" si="21"/>
        <v>#VALUE!</v>
      </c>
      <c r="AV25" s="13" t="e">
        <f t="shared" si="21"/>
        <v>#VALUE!</v>
      </c>
      <c r="AW25" s="14" t="e">
        <f t="shared" si="21"/>
        <v>#VALUE!</v>
      </c>
      <c r="AX25" s="14" t="e">
        <f t="shared" si="21"/>
        <v>#VALUE!</v>
      </c>
      <c r="AY25" s="14" t="e">
        <f t="shared" si="21"/>
        <v>#VALUE!</v>
      </c>
      <c r="AZ25" s="14" t="e">
        <f t="shared" si="21"/>
        <v>#VALUE!</v>
      </c>
      <c r="BA25" s="15" t="e">
        <f t="shared" si="21"/>
        <v>#VALUE!</v>
      </c>
      <c r="BB25" s="16" t="e">
        <f t="shared" si="21"/>
        <v>#VALUE!</v>
      </c>
      <c r="BC25" s="13" t="e">
        <f t="shared" si="21"/>
        <v>#VALUE!</v>
      </c>
      <c r="BD25" s="14" t="e">
        <f t="shared" si="22"/>
        <v>#VALUE!</v>
      </c>
      <c r="BE25" s="14" t="e">
        <f t="shared" si="22"/>
        <v>#VALUE!</v>
      </c>
      <c r="BF25" s="14" t="e">
        <f t="shared" si="22"/>
        <v>#VALUE!</v>
      </c>
      <c r="BG25" s="14" t="e">
        <f t="shared" si="22"/>
        <v>#VALUE!</v>
      </c>
      <c r="BH25" s="15" t="e">
        <f t="shared" si="22"/>
        <v>#VALUE!</v>
      </c>
      <c r="BI25" s="16" t="e">
        <f t="shared" si="22"/>
        <v>#VALUE!</v>
      </c>
      <c r="BJ25" s="13" t="e">
        <f t="shared" si="22"/>
        <v>#VALUE!</v>
      </c>
      <c r="BK25" s="14" t="e">
        <f t="shared" si="22"/>
        <v>#VALUE!</v>
      </c>
      <c r="BL25" s="14" t="e">
        <f t="shared" si="22"/>
        <v>#VALUE!</v>
      </c>
      <c r="BM25" s="14" t="e">
        <f t="shared" si="22"/>
        <v>#VALUE!</v>
      </c>
      <c r="BN25" s="14" t="e">
        <f t="shared" si="23"/>
        <v>#VALUE!</v>
      </c>
      <c r="BO25" s="15" t="e">
        <f t="shared" si="23"/>
        <v>#VALUE!</v>
      </c>
      <c r="BP25" s="16" t="e">
        <f t="shared" si="23"/>
        <v>#VALUE!</v>
      </c>
      <c r="BQ25" s="13" t="e">
        <f t="shared" si="23"/>
        <v>#VALUE!</v>
      </c>
      <c r="BR25" s="14" t="e">
        <f t="shared" si="23"/>
        <v>#VALUE!</v>
      </c>
      <c r="BS25" s="14" t="e">
        <f t="shared" si="23"/>
        <v>#VALUE!</v>
      </c>
      <c r="BT25" s="14" t="e">
        <f t="shared" si="23"/>
        <v>#VALUE!</v>
      </c>
      <c r="BU25" s="14" t="e">
        <f t="shared" si="23"/>
        <v>#VALUE!</v>
      </c>
      <c r="BV25" s="15" t="e">
        <f t="shared" si="23"/>
        <v>#VALUE!</v>
      </c>
      <c r="BW25" s="16" t="e">
        <f t="shared" si="23"/>
        <v>#VALUE!</v>
      </c>
      <c r="BX25" s="13" t="e">
        <f t="shared" si="24"/>
        <v>#VALUE!</v>
      </c>
      <c r="BY25" s="14" t="e">
        <f t="shared" si="24"/>
        <v>#VALUE!</v>
      </c>
      <c r="BZ25" s="14" t="e">
        <f t="shared" si="24"/>
        <v>#VALUE!</v>
      </c>
      <c r="CA25" s="14" t="e">
        <f t="shared" si="24"/>
        <v>#VALUE!</v>
      </c>
      <c r="CB25" s="14" t="e">
        <f t="shared" si="24"/>
        <v>#VALUE!</v>
      </c>
      <c r="CC25" s="15" t="e">
        <f t="shared" si="24"/>
        <v>#VALUE!</v>
      </c>
      <c r="CD25" s="16" t="e">
        <f t="shared" si="24"/>
        <v>#VALUE!</v>
      </c>
      <c r="CE25" s="13" t="e">
        <f t="shared" si="24"/>
        <v>#VALUE!</v>
      </c>
      <c r="CF25" s="14" t="e">
        <f t="shared" si="24"/>
        <v>#VALUE!</v>
      </c>
      <c r="CG25" s="14" t="e">
        <f t="shared" si="24"/>
        <v>#VALUE!</v>
      </c>
      <c r="CH25" s="14" t="e">
        <f t="shared" si="25"/>
        <v>#VALUE!</v>
      </c>
      <c r="CI25" s="14" t="e">
        <f t="shared" si="25"/>
        <v>#VALUE!</v>
      </c>
      <c r="CJ25" s="15" t="e">
        <f t="shared" si="25"/>
        <v>#VALUE!</v>
      </c>
      <c r="CK25" s="16" t="e">
        <f t="shared" si="25"/>
        <v>#VALUE!</v>
      </c>
      <c r="CL25" s="13" t="e">
        <f t="shared" si="25"/>
        <v>#VALUE!</v>
      </c>
      <c r="CM25" s="14" t="e">
        <f t="shared" si="25"/>
        <v>#VALUE!</v>
      </c>
      <c r="CN25" s="14" t="e">
        <f t="shared" si="25"/>
        <v>#VALUE!</v>
      </c>
      <c r="CO25" s="14" t="e">
        <f t="shared" si="25"/>
        <v>#VALUE!</v>
      </c>
      <c r="CP25" s="14" t="e">
        <f t="shared" si="25"/>
        <v>#VALUE!</v>
      </c>
      <c r="CQ25" s="15" t="e">
        <f t="shared" si="25"/>
        <v>#VALUE!</v>
      </c>
      <c r="CR25" s="16" t="e">
        <f t="shared" si="26"/>
        <v>#VALUE!</v>
      </c>
      <c r="CS25" s="13" t="e">
        <f t="shared" si="26"/>
        <v>#VALUE!</v>
      </c>
      <c r="CT25" s="14" t="e">
        <f t="shared" si="26"/>
        <v>#VALUE!</v>
      </c>
      <c r="CU25" s="14" t="e">
        <f t="shared" si="26"/>
        <v>#VALUE!</v>
      </c>
      <c r="CV25" s="14" t="e">
        <f t="shared" si="26"/>
        <v>#VALUE!</v>
      </c>
      <c r="CW25" s="14" t="e">
        <f t="shared" si="26"/>
        <v>#VALUE!</v>
      </c>
      <c r="CX25" s="15" t="e">
        <f t="shared" si="26"/>
        <v>#VALUE!</v>
      </c>
      <c r="CY25" s="16" t="e">
        <f t="shared" si="26"/>
        <v>#VALUE!</v>
      </c>
      <c r="CZ25" s="13" t="e">
        <f t="shared" si="26"/>
        <v>#VALUE!</v>
      </c>
      <c r="DA25" s="14" t="e">
        <f t="shared" si="26"/>
        <v>#VALUE!</v>
      </c>
      <c r="DB25" s="14" t="e">
        <f t="shared" si="27"/>
        <v>#VALUE!</v>
      </c>
      <c r="DC25" s="14" t="e">
        <f t="shared" si="27"/>
        <v>#VALUE!</v>
      </c>
      <c r="DD25" s="14" t="e">
        <f t="shared" si="27"/>
        <v>#VALUE!</v>
      </c>
      <c r="DE25" s="15" t="e">
        <f t="shared" si="27"/>
        <v>#VALUE!</v>
      </c>
      <c r="DF25" s="16" t="e">
        <f t="shared" si="27"/>
        <v>#VALUE!</v>
      </c>
      <c r="DG25" s="13" t="e">
        <f t="shared" si="27"/>
        <v>#VALUE!</v>
      </c>
      <c r="DH25" s="14" t="e">
        <f t="shared" si="27"/>
        <v>#VALUE!</v>
      </c>
      <c r="DI25" s="14" t="e">
        <f t="shared" si="27"/>
        <v>#VALUE!</v>
      </c>
      <c r="DJ25" s="14" t="e">
        <f t="shared" si="27"/>
        <v>#VALUE!</v>
      </c>
      <c r="DK25" s="14" t="e">
        <f t="shared" si="27"/>
        <v>#VALUE!</v>
      </c>
      <c r="DL25" s="15" t="e">
        <f t="shared" si="28"/>
        <v>#VALUE!</v>
      </c>
      <c r="DM25" s="16" t="e">
        <f t="shared" si="28"/>
        <v>#VALUE!</v>
      </c>
      <c r="DN25" s="13" t="e">
        <f t="shared" si="28"/>
        <v>#VALUE!</v>
      </c>
      <c r="DO25" s="14" t="e">
        <f t="shared" si="28"/>
        <v>#VALUE!</v>
      </c>
      <c r="DP25" s="14" t="e">
        <f t="shared" si="28"/>
        <v>#VALUE!</v>
      </c>
      <c r="DQ25" s="14" t="e">
        <f t="shared" si="28"/>
        <v>#VALUE!</v>
      </c>
      <c r="DR25" s="14" t="e">
        <f t="shared" si="28"/>
        <v>#VALUE!</v>
      </c>
      <c r="DS25" s="15" t="e">
        <f t="shared" si="29"/>
        <v>#VALUE!</v>
      </c>
      <c r="DT25" s="16" t="e">
        <f t="shared" si="29"/>
        <v>#VALUE!</v>
      </c>
    </row>
    <row r="26" spans="1:124" s="17" customFormat="1" ht="6" customHeight="1"/>
    <row r="27" spans="1:124" s="17" customFormat="1" ht="15" customHeight="1">
      <c r="A27" s="554" t="s">
        <v>56</v>
      </c>
      <c r="B27" s="535"/>
      <c r="C27" s="555" t="e">
        <f>C15-C11</f>
        <v>#VALUE!</v>
      </c>
      <c r="D27" s="535"/>
      <c r="E27" s="537"/>
      <c r="F27" s="14" t="e">
        <f t="shared" ref="F27:AK27" si="30">IF(AND(F$5&gt;=$C$11,F$5&lt;=$E$15-1),1,"")</f>
        <v>#VALUE!</v>
      </c>
      <c r="G27" s="14" t="e">
        <f t="shared" si="30"/>
        <v>#VALUE!</v>
      </c>
      <c r="H27" s="14" t="e">
        <f t="shared" si="30"/>
        <v>#VALUE!</v>
      </c>
      <c r="I27" s="14" t="e">
        <f t="shared" si="30"/>
        <v>#VALUE!</v>
      </c>
      <c r="J27" s="14" t="e">
        <f t="shared" si="30"/>
        <v>#VALUE!</v>
      </c>
      <c r="K27" s="15" t="e">
        <f t="shared" si="30"/>
        <v>#VALUE!</v>
      </c>
      <c r="L27" s="16" t="e">
        <f t="shared" si="30"/>
        <v>#VALUE!</v>
      </c>
      <c r="M27" s="13" t="e">
        <f t="shared" si="30"/>
        <v>#VALUE!</v>
      </c>
      <c r="N27" s="14" t="e">
        <f t="shared" si="30"/>
        <v>#VALUE!</v>
      </c>
      <c r="O27" s="14" t="e">
        <f t="shared" si="30"/>
        <v>#VALUE!</v>
      </c>
      <c r="P27" s="14" t="e">
        <f t="shared" si="30"/>
        <v>#VALUE!</v>
      </c>
      <c r="Q27" s="14" t="e">
        <f t="shared" si="30"/>
        <v>#VALUE!</v>
      </c>
      <c r="R27" s="15" t="e">
        <f t="shared" si="30"/>
        <v>#VALUE!</v>
      </c>
      <c r="S27" s="16" t="e">
        <f t="shared" si="30"/>
        <v>#VALUE!</v>
      </c>
      <c r="T27" s="13" t="e">
        <f t="shared" si="30"/>
        <v>#VALUE!</v>
      </c>
      <c r="U27" s="14" t="e">
        <f t="shared" si="30"/>
        <v>#VALUE!</v>
      </c>
      <c r="V27" s="14" t="e">
        <f t="shared" si="30"/>
        <v>#VALUE!</v>
      </c>
      <c r="W27" s="14" t="e">
        <f t="shared" si="30"/>
        <v>#VALUE!</v>
      </c>
      <c r="X27" s="14" t="e">
        <f t="shared" si="30"/>
        <v>#VALUE!</v>
      </c>
      <c r="Y27" s="15" t="e">
        <f t="shared" si="30"/>
        <v>#VALUE!</v>
      </c>
      <c r="Z27" s="16" t="e">
        <f t="shared" si="30"/>
        <v>#VALUE!</v>
      </c>
      <c r="AA27" s="13" t="e">
        <f t="shared" si="30"/>
        <v>#VALUE!</v>
      </c>
      <c r="AB27" s="14" t="e">
        <f t="shared" si="30"/>
        <v>#VALUE!</v>
      </c>
      <c r="AC27" s="14" t="e">
        <f t="shared" si="30"/>
        <v>#VALUE!</v>
      </c>
      <c r="AD27" s="14" t="e">
        <f t="shared" si="30"/>
        <v>#VALUE!</v>
      </c>
      <c r="AE27" s="14" t="e">
        <f t="shared" si="30"/>
        <v>#VALUE!</v>
      </c>
      <c r="AF27" s="15" t="e">
        <f t="shared" si="30"/>
        <v>#VALUE!</v>
      </c>
      <c r="AG27" s="16" t="e">
        <f t="shared" si="30"/>
        <v>#VALUE!</v>
      </c>
      <c r="AH27" s="13" t="e">
        <f t="shared" si="30"/>
        <v>#VALUE!</v>
      </c>
      <c r="AI27" s="14" t="e">
        <f t="shared" si="30"/>
        <v>#VALUE!</v>
      </c>
      <c r="AJ27" s="14" t="e">
        <f t="shared" si="30"/>
        <v>#VALUE!</v>
      </c>
      <c r="AK27" s="14" t="e">
        <f t="shared" si="30"/>
        <v>#VALUE!</v>
      </c>
      <c r="AL27" s="14" t="e">
        <f t="shared" ref="AL27:BQ27" si="31">IF(AND(AL$5&gt;=$C$11,AL$5&lt;=$E$15-1),1,"")</f>
        <v>#VALUE!</v>
      </c>
      <c r="AM27" s="15" t="e">
        <f t="shared" si="31"/>
        <v>#VALUE!</v>
      </c>
      <c r="AN27" s="16" t="e">
        <f t="shared" si="31"/>
        <v>#VALUE!</v>
      </c>
      <c r="AO27" s="13" t="e">
        <f t="shared" si="31"/>
        <v>#VALUE!</v>
      </c>
      <c r="AP27" s="14" t="e">
        <f t="shared" si="31"/>
        <v>#VALUE!</v>
      </c>
      <c r="AQ27" s="14" t="e">
        <f t="shared" si="31"/>
        <v>#VALUE!</v>
      </c>
      <c r="AR27" s="14" t="e">
        <f t="shared" si="31"/>
        <v>#VALUE!</v>
      </c>
      <c r="AS27" s="14" t="e">
        <f t="shared" si="31"/>
        <v>#VALUE!</v>
      </c>
      <c r="AT27" s="15" t="e">
        <f t="shared" si="31"/>
        <v>#VALUE!</v>
      </c>
      <c r="AU27" s="16" t="e">
        <f t="shared" si="31"/>
        <v>#VALUE!</v>
      </c>
      <c r="AV27" s="13" t="e">
        <f t="shared" si="31"/>
        <v>#VALUE!</v>
      </c>
      <c r="AW27" s="14" t="e">
        <f t="shared" si="31"/>
        <v>#VALUE!</v>
      </c>
      <c r="AX27" s="14" t="e">
        <f t="shared" si="31"/>
        <v>#VALUE!</v>
      </c>
      <c r="AY27" s="14" t="e">
        <f t="shared" si="31"/>
        <v>#VALUE!</v>
      </c>
      <c r="AZ27" s="14" t="e">
        <f t="shared" si="31"/>
        <v>#VALUE!</v>
      </c>
      <c r="BA27" s="15" t="e">
        <f t="shared" si="31"/>
        <v>#VALUE!</v>
      </c>
      <c r="BB27" s="16" t="e">
        <f t="shared" si="31"/>
        <v>#VALUE!</v>
      </c>
      <c r="BC27" s="13" t="e">
        <f t="shared" si="31"/>
        <v>#VALUE!</v>
      </c>
      <c r="BD27" s="14" t="e">
        <f t="shared" si="31"/>
        <v>#VALUE!</v>
      </c>
      <c r="BE27" s="14" t="e">
        <f t="shared" si="31"/>
        <v>#VALUE!</v>
      </c>
      <c r="BF27" s="14" t="e">
        <f t="shared" si="31"/>
        <v>#VALUE!</v>
      </c>
      <c r="BG27" s="14" t="e">
        <f t="shared" si="31"/>
        <v>#VALUE!</v>
      </c>
      <c r="BH27" s="15" t="e">
        <f t="shared" si="31"/>
        <v>#VALUE!</v>
      </c>
      <c r="BI27" s="16" t="e">
        <f t="shared" si="31"/>
        <v>#VALUE!</v>
      </c>
      <c r="BJ27" s="13" t="e">
        <f t="shared" si="31"/>
        <v>#VALUE!</v>
      </c>
      <c r="BK27" s="14" t="e">
        <f t="shared" si="31"/>
        <v>#VALUE!</v>
      </c>
      <c r="BL27" s="14" t="e">
        <f t="shared" si="31"/>
        <v>#VALUE!</v>
      </c>
      <c r="BM27" s="14" t="e">
        <f t="shared" si="31"/>
        <v>#VALUE!</v>
      </c>
      <c r="BN27" s="14" t="e">
        <f t="shared" si="31"/>
        <v>#VALUE!</v>
      </c>
      <c r="BO27" s="15" t="e">
        <f t="shared" si="31"/>
        <v>#VALUE!</v>
      </c>
      <c r="BP27" s="16" t="e">
        <f t="shared" si="31"/>
        <v>#VALUE!</v>
      </c>
      <c r="BQ27" s="13" t="e">
        <f t="shared" si="31"/>
        <v>#VALUE!</v>
      </c>
      <c r="BR27" s="14" t="e">
        <f t="shared" ref="BR27:CW27" si="32">IF(AND(BR$5&gt;=$C$11,BR$5&lt;=$E$15-1),1,"")</f>
        <v>#VALUE!</v>
      </c>
      <c r="BS27" s="14" t="e">
        <f t="shared" si="32"/>
        <v>#VALUE!</v>
      </c>
      <c r="BT27" s="14" t="e">
        <f t="shared" si="32"/>
        <v>#VALUE!</v>
      </c>
      <c r="BU27" s="14" t="e">
        <f t="shared" si="32"/>
        <v>#VALUE!</v>
      </c>
      <c r="BV27" s="15" t="e">
        <f t="shared" si="32"/>
        <v>#VALUE!</v>
      </c>
      <c r="BW27" s="16" t="e">
        <f t="shared" si="32"/>
        <v>#VALUE!</v>
      </c>
      <c r="BX27" s="13" t="e">
        <f t="shared" si="32"/>
        <v>#VALUE!</v>
      </c>
      <c r="BY27" s="14" t="e">
        <f t="shared" si="32"/>
        <v>#VALUE!</v>
      </c>
      <c r="BZ27" s="14" t="e">
        <f t="shared" si="32"/>
        <v>#VALUE!</v>
      </c>
      <c r="CA27" s="14" t="e">
        <f t="shared" si="32"/>
        <v>#VALUE!</v>
      </c>
      <c r="CB27" s="14" t="e">
        <f t="shared" si="32"/>
        <v>#VALUE!</v>
      </c>
      <c r="CC27" s="15" t="e">
        <f t="shared" si="32"/>
        <v>#VALUE!</v>
      </c>
      <c r="CD27" s="16" t="e">
        <f t="shared" si="32"/>
        <v>#VALUE!</v>
      </c>
      <c r="CE27" s="13" t="e">
        <f t="shared" si="32"/>
        <v>#VALUE!</v>
      </c>
      <c r="CF27" s="14" t="e">
        <f t="shared" si="32"/>
        <v>#VALUE!</v>
      </c>
      <c r="CG27" s="14" t="e">
        <f t="shared" si="32"/>
        <v>#VALUE!</v>
      </c>
      <c r="CH27" s="14" t="e">
        <f t="shared" si="32"/>
        <v>#VALUE!</v>
      </c>
      <c r="CI27" s="14" t="e">
        <f t="shared" si="32"/>
        <v>#VALUE!</v>
      </c>
      <c r="CJ27" s="15" t="e">
        <f t="shared" si="32"/>
        <v>#VALUE!</v>
      </c>
      <c r="CK27" s="16" t="e">
        <f t="shared" si="32"/>
        <v>#VALUE!</v>
      </c>
      <c r="CL27" s="13" t="e">
        <f t="shared" si="32"/>
        <v>#VALUE!</v>
      </c>
      <c r="CM27" s="14" t="e">
        <f t="shared" si="32"/>
        <v>#VALUE!</v>
      </c>
      <c r="CN27" s="14" t="e">
        <f t="shared" si="32"/>
        <v>#VALUE!</v>
      </c>
      <c r="CO27" s="14" t="e">
        <f t="shared" si="32"/>
        <v>#VALUE!</v>
      </c>
      <c r="CP27" s="14" t="e">
        <f t="shared" si="32"/>
        <v>#VALUE!</v>
      </c>
      <c r="CQ27" s="15" t="e">
        <f t="shared" si="32"/>
        <v>#VALUE!</v>
      </c>
      <c r="CR27" s="16" t="e">
        <f t="shared" si="32"/>
        <v>#VALUE!</v>
      </c>
      <c r="CS27" s="13" t="e">
        <f t="shared" si="32"/>
        <v>#VALUE!</v>
      </c>
      <c r="CT27" s="14" t="e">
        <f t="shared" si="32"/>
        <v>#VALUE!</v>
      </c>
      <c r="CU27" s="14" t="e">
        <f t="shared" si="32"/>
        <v>#VALUE!</v>
      </c>
      <c r="CV27" s="14" t="e">
        <f t="shared" si="32"/>
        <v>#VALUE!</v>
      </c>
      <c r="CW27" s="14" t="e">
        <f t="shared" si="32"/>
        <v>#VALUE!</v>
      </c>
      <c r="CX27" s="15" t="e">
        <f t="shared" ref="CX27:DT27" si="33">IF(AND(CX$5&gt;=$C$11,CX$5&lt;=$E$15-1),1,"")</f>
        <v>#VALUE!</v>
      </c>
      <c r="CY27" s="16" t="e">
        <f t="shared" si="33"/>
        <v>#VALUE!</v>
      </c>
      <c r="CZ27" s="13" t="e">
        <f t="shared" si="33"/>
        <v>#VALUE!</v>
      </c>
      <c r="DA27" s="14" t="e">
        <f t="shared" si="33"/>
        <v>#VALUE!</v>
      </c>
      <c r="DB27" s="14" t="e">
        <f t="shared" si="33"/>
        <v>#VALUE!</v>
      </c>
      <c r="DC27" s="14" t="e">
        <f t="shared" si="33"/>
        <v>#VALUE!</v>
      </c>
      <c r="DD27" s="14" t="e">
        <f t="shared" si="33"/>
        <v>#VALUE!</v>
      </c>
      <c r="DE27" s="15" t="e">
        <f t="shared" si="33"/>
        <v>#VALUE!</v>
      </c>
      <c r="DF27" s="16" t="e">
        <f t="shared" si="33"/>
        <v>#VALUE!</v>
      </c>
      <c r="DG27" s="13" t="e">
        <f t="shared" si="33"/>
        <v>#VALUE!</v>
      </c>
      <c r="DH27" s="14" t="e">
        <f t="shared" si="33"/>
        <v>#VALUE!</v>
      </c>
      <c r="DI27" s="14" t="e">
        <f t="shared" si="33"/>
        <v>#VALUE!</v>
      </c>
      <c r="DJ27" s="14" t="e">
        <f t="shared" si="33"/>
        <v>#VALUE!</v>
      </c>
      <c r="DK27" s="14" t="e">
        <f t="shared" si="33"/>
        <v>#VALUE!</v>
      </c>
      <c r="DL27" s="15" t="e">
        <f t="shared" si="33"/>
        <v>#VALUE!</v>
      </c>
      <c r="DM27" s="16" t="e">
        <f t="shared" si="33"/>
        <v>#VALUE!</v>
      </c>
      <c r="DN27" s="13" t="e">
        <f t="shared" si="33"/>
        <v>#VALUE!</v>
      </c>
      <c r="DO27" s="14" t="e">
        <f t="shared" si="33"/>
        <v>#VALUE!</v>
      </c>
      <c r="DP27" s="14" t="e">
        <f t="shared" si="33"/>
        <v>#VALUE!</v>
      </c>
      <c r="DQ27" s="14" t="e">
        <f t="shared" si="33"/>
        <v>#VALUE!</v>
      </c>
      <c r="DR27" s="14" t="e">
        <f t="shared" si="33"/>
        <v>#VALUE!</v>
      </c>
      <c r="DS27" s="15" t="e">
        <f t="shared" si="33"/>
        <v>#VALUE!</v>
      </c>
      <c r="DT27" s="16" t="e">
        <f t="shared" si="33"/>
        <v>#VALUE!</v>
      </c>
    </row>
    <row r="28" spans="1:124" s="17" customFormat="1" ht="2.1" customHeight="1">
      <c r="A28" s="29"/>
      <c r="B28" s="29"/>
      <c r="C28" s="30"/>
      <c r="D28" s="30"/>
      <c r="E28" s="31"/>
      <c r="F28" s="14"/>
      <c r="G28" s="14"/>
      <c r="H28" s="14"/>
      <c r="I28" s="14"/>
      <c r="J28" s="14"/>
      <c r="K28" s="15"/>
      <c r="L28" s="16"/>
      <c r="M28" s="13"/>
      <c r="N28" s="14"/>
      <c r="O28" s="14"/>
      <c r="P28" s="14"/>
      <c r="Q28" s="14"/>
      <c r="R28" s="15"/>
      <c r="S28" s="16"/>
      <c r="T28" s="13"/>
      <c r="U28" s="14"/>
      <c r="V28" s="14"/>
      <c r="W28" s="14"/>
      <c r="X28" s="14"/>
      <c r="Y28" s="15"/>
      <c r="Z28" s="16"/>
      <c r="AA28" s="13"/>
      <c r="AB28" s="14"/>
      <c r="AC28" s="14"/>
      <c r="AD28" s="14"/>
      <c r="AE28" s="14"/>
      <c r="AF28" s="15"/>
      <c r="AG28" s="16"/>
      <c r="AH28" s="13"/>
      <c r="AI28" s="14"/>
      <c r="AJ28" s="14"/>
      <c r="AK28" s="14"/>
      <c r="AL28" s="14"/>
      <c r="AM28" s="15"/>
      <c r="AN28" s="16"/>
      <c r="AO28" s="13"/>
      <c r="AP28" s="14"/>
      <c r="AQ28" s="14"/>
      <c r="AR28" s="14"/>
      <c r="AS28" s="14"/>
      <c r="AT28" s="15"/>
      <c r="AU28" s="16"/>
      <c r="AV28" s="13"/>
      <c r="AW28" s="14"/>
      <c r="AX28" s="14"/>
      <c r="AY28" s="14"/>
      <c r="AZ28" s="14"/>
      <c r="BA28" s="15"/>
      <c r="BB28" s="16"/>
      <c r="BC28" s="13"/>
      <c r="BD28" s="14"/>
      <c r="BE28" s="14"/>
      <c r="BF28" s="14"/>
      <c r="BG28" s="14"/>
      <c r="BH28" s="15"/>
      <c r="BI28" s="16"/>
      <c r="BJ28" s="13"/>
      <c r="BK28" s="14"/>
      <c r="BL28" s="14"/>
      <c r="BM28" s="14"/>
      <c r="BN28" s="14"/>
      <c r="BO28" s="15"/>
      <c r="BP28" s="16"/>
      <c r="BQ28" s="13"/>
      <c r="BR28" s="14"/>
      <c r="BS28" s="14"/>
      <c r="BT28" s="14"/>
      <c r="BU28" s="14"/>
      <c r="BV28" s="15"/>
      <c r="BW28" s="16"/>
      <c r="BX28" s="13"/>
      <c r="BY28" s="14"/>
      <c r="BZ28" s="14"/>
      <c r="CA28" s="14"/>
      <c r="CB28" s="14"/>
      <c r="CC28" s="15"/>
      <c r="CD28" s="16"/>
      <c r="CE28" s="13"/>
      <c r="CF28" s="14"/>
      <c r="CG28" s="14"/>
      <c r="CH28" s="14"/>
      <c r="CI28" s="14"/>
      <c r="CJ28" s="15"/>
      <c r="CK28" s="16"/>
      <c r="CL28" s="13"/>
      <c r="CM28" s="14"/>
      <c r="CN28" s="14"/>
      <c r="CO28" s="14"/>
      <c r="CP28" s="14"/>
      <c r="CQ28" s="15"/>
      <c r="CR28" s="16"/>
      <c r="CS28" s="13"/>
      <c r="CT28" s="14"/>
      <c r="CU28" s="14"/>
      <c r="CV28" s="14"/>
      <c r="CW28" s="14"/>
      <c r="CX28" s="15"/>
      <c r="CY28" s="16"/>
      <c r="CZ28" s="13"/>
      <c r="DA28" s="14"/>
      <c r="DB28" s="14"/>
      <c r="DC28" s="14"/>
      <c r="DD28" s="14"/>
      <c r="DE28" s="15"/>
      <c r="DF28" s="16"/>
      <c r="DG28" s="13"/>
      <c r="DH28" s="14"/>
      <c r="DI28" s="14"/>
      <c r="DJ28" s="14"/>
      <c r="DK28" s="14"/>
      <c r="DL28" s="15"/>
      <c r="DM28" s="16"/>
      <c r="DN28" s="13"/>
      <c r="DO28" s="14"/>
      <c r="DP28" s="14"/>
      <c r="DQ28" s="14"/>
      <c r="DR28" s="14"/>
      <c r="DS28" s="15"/>
      <c r="DT28" s="16"/>
    </row>
    <row r="29" spans="1:124" s="17" customFormat="1" ht="15" customHeight="1">
      <c r="A29" s="540" t="s">
        <v>57</v>
      </c>
      <c r="B29" s="535"/>
      <c r="C29" s="541" t="e">
        <f>C15-C12+2</f>
        <v>#VALUE!</v>
      </c>
      <c r="D29" s="535"/>
      <c r="E29" s="537"/>
      <c r="F29" s="14" t="e">
        <f t="shared" ref="F29:AK29" si="34">IF(AND(F$5&gt;=$E$11,F$5&lt;=$E$15),1,"")</f>
        <v>#VALUE!</v>
      </c>
      <c r="G29" s="14" t="e">
        <f t="shared" si="34"/>
        <v>#VALUE!</v>
      </c>
      <c r="H29" s="14" t="e">
        <f t="shared" si="34"/>
        <v>#VALUE!</v>
      </c>
      <c r="I29" s="14" t="e">
        <f t="shared" si="34"/>
        <v>#VALUE!</v>
      </c>
      <c r="J29" s="14" t="e">
        <f t="shared" si="34"/>
        <v>#VALUE!</v>
      </c>
      <c r="K29" s="15" t="e">
        <f t="shared" si="34"/>
        <v>#VALUE!</v>
      </c>
      <c r="L29" s="16" t="e">
        <f t="shared" si="34"/>
        <v>#VALUE!</v>
      </c>
      <c r="M29" s="13" t="e">
        <f t="shared" si="34"/>
        <v>#VALUE!</v>
      </c>
      <c r="N29" s="14" t="e">
        <f t="shared" si="34"/>
        <v>#VALUE!</v>
      </c>
      <c r="O29" s="14" t="e">
        <f t="shared" si="34"/>
        <v>#VALUE!</v>
      </c>
      <c r="P29" s="14" t="e">
        <f t="shared" si="34"/>
        <v>#VALUE!</v>
      </c>
      <c r="Q29" s="14" t="e">
        <f t="shared" si="34"/>
        <v>#VALUE!</v>
      </c>
      <c r="R29" s="15" t="e">
        <f t="shared" si="34"/>
        <v>#VALUE!</v>
      </c>
      <c r="S29" s="16" t="e">
        <f t="shared" si="34"/>
        <v>#VALUE!</v>
      </c>
      <c r="T29" s="13" t="e">
        <f t="shared" si="34"/>
        <v>#VALUE!</v>
      </c>
      <c r="U29" s="14" t="e">
        <f t="shared" si="34"/>
        <v>#VALUE!</v>
      </c>
      <c r="V29" s="14" t="e">
        <f t="shared" si="34"/>
        <v>#VALUE!</v>
      </c>
      <c r="W29" s="14" t="e">
        <f t="shared" si="34"/>
        <v>#VALUE!</v>
      </c>
      <c r="X29" s="14" t="e">
        <f t="shared" si="34"/>
        <v>#VALUE!</v>
      </c>
      <c r="Y29" s="15" t="e">
        <f t="shared" si="34"/>
        <v>#VALUE!</v>
      </c>
      <c r="Z29" s="16" t="e">
        <f t="shared" si="34"/>
        <v>#VALUE!</v>
      </c>
      <c r="AA29" s="13" t="e">
        <f t="shared" si="34"/>
        <v>#VALUE!</v>
      </c>
      <c r="AB29" s="14" t="e">
        <f t="shared" si="34"/>
        <v>#VALUE!</v>
      </c>
      <c r="AC29" s="14" t="e">
        <f t="shared" si="34"/>
        <v>#VALUE!</v>
      </c>
      <c r="AD29" s="14" t="e">
        <f t="shared" si="34"/>
        <v>#VALUE!</v>
      </c>
      <c r="AE29" s="14" t="e">
        <f t="shared" si="34"/>
        <v>#VALUE!</v>
      </c>
      <c r="AF29" s="15" t="e">
        <f t="shared" si="34"/>
        <v>#VALUE!</v>
      </c>
      <c r="AG29" s="16" t="e">
        <f t="shared" si="34"/>
        <v>#VALUE!</v>
      </c>
      <c r="AH29" s="13" t="e">
        <f t="shared" si="34"/>
        <v>#VALUE!</v>
      </c>
      <c r="AI29" s="14" t="e">
        <f t="shared" si="34"/>
        <v>#VALUE!</v>
      </c>
      <c r="AJ29" s="14" t="e">
        <f t="shared" si="34"/>
        <v>#VALUE!</v>
      </c>
      <c r="AK29" s="14" t="e">
        <f t="shared" si="34"/>
        <v>#VALUE!</v>
      </c>
      <c r="AL29" s="14" t="e">
        <f t="shared" ref="AL29:BQ29" si="35">IF(AND(AL$5&gt;=$E$11,AL$5&lt;=$E$15),1,"")</f>
        <v>#VALUE!</v>
      </c>
      <c r="AM29" s="15" t="e">
        <f t="shared" si="35"/>
        <v>#VALUE!</v>
      </c>
      <c r="AN29" s="16" t="e">
        <f t="shared" si="35"/>
        <v>#VALUE!</v>
      </c>
      <c r="AO29" s="13" t="e">
        <f t="shared" si="35"/>
        <v>#VALUE!</v>
      </c>
      <c r="AP29" s="14" t="e">
        <f t="shared" si="35"/>
        <v>#VALUE!</v>
      </c>
      <c r="AQ29" s="14" t="e">
        <f t="shared" si="35"/>
        <v>#VALUE!</v>
      </c>
      <c r="AR29" s="14" t="e">
        <f t="shared" si="35"/>
        <v>#VALUE!</v>
      </c>
      <c r="AS29" s="14" t="e">
        <f t="shared" si="35"/>
        <v>#VALUE!</v>
      </c>
      <c r="AT29" s="15" t="e">
        <f t="shared" si="35"/>
        <v>#VALUE!</v>
      </c>
      <c r="AU29" s="16" t="e">
        <f t="shared" si="35"/>
        <v>#VALUE!</v>
      </c>
      <c r="AV29" s="13" t="e">
        <f t="shared" si="35"/>
        <v>#VALUE!</v>
      </c>
      <c r="AW29" s="14" t="e">
        <f t="shared" si="35"/>
        <v>#VALUE!</v>
      </c>
      <c r="AX29" s="14" t="e">
        <f t="shared" si="35"/>
        <v>#VALUE!</v>
      </c>
      <c r="AY29" s="14" t="e">
        <f t="shared" si="35"/>
        <v>#VALUE!</v>
      </c>
      <c r="AZ29" s="14" t="e">
        <f t="shared" si="35"/>
        <v>#VALUE!</v>
      </c>
      <c r="BA29" s="15" t="e">
        <f t="shared" si="35"/>
        <v>#VALUE!</v>
      </c>
      <c r="BB29" s="16" t="e">
        <f t="shared" si="35"/>
        <v>#VALUE!</v>
      </c>
      <c r="BC29" s="13" t="e">
        <f t="shared" si="35"/>
        <v>#VALUE!</v>
      </c>
      <c r="BD29" s="14" t="e">
        <f t="shared" si="35"/>
        <v>#VALUE!</v>
      </c>
      <c r="BE29" s="14" t="e">
        <f t="shared" si="35"/>
        <v>#VALUE!</v>
      </c>
      <c r="BF29" s="14" t="e">
        <f t="shared" si="35"/>
        <v>#VALUE!</v>
      </c>
      <c r="BG29" s="14" t="e">
        <f t="shared" si="35"/>
        <v>#VALUE!</v>
      </c>
      <c r="BH29" s="15" t="e">
        <f t="shared" si="35"/>
        <v>#VALUE!</v>
      </c>
      <c r="BI29" s="16" t="e">
        <f t="shared" si="35"/>
        <v>#VALUE!</v>
      </c>
      <c r="BJ29" s="13" t="e">
        <f t="shared" si="35"/>
        <v>#VALUE!</v>
      </c>
      <c r="BK29" s="14" t="e">
        <f t="shared" si="35"/>
        <v>#VALUE!</v>
      </c>
      <c r="BL29" s="14" t="e">
        <f t="shared" si="35"/>
        <v>#VALUE!</v>
      </c>
      <c r="BM29" s="14" t="e">
        <f t="shared" si="35"/>
        <v>#VALUE!</v>
      </c>
      <c r="BN29" s="14" t="e">
        <f t="shared" si="35"/>
        <v>#VALUE!</v>
      </c>
      <c r="BO29" s="15" t="e">
        <f t="shared" si="35"/>
        <v>#VALUE!</v>
      </c>
      <c r="BP29" s="16" t="e">
        <f t="shared" si="35"/>
        <v>#VALUE!</v>
      </c>
      <c r="BQ29" s="13" t="e">
        <f t="shared" si="35"/>
        <v>#VALUE!</v>
      </c>
      <c r="BR29" s="14" t="e">
        <f t="shared" ref="BR29:CW29" si="36">IF(AND(BR$5&gt;=$E$11,BR$5&lt;=$E$15),1,"")</f>
        <v>#VALUE!</v>
      </c>
      <c r="BS29" s="14" t="e">
        <f t="shared" si="36"/>
        <v>#VALUE!</v>
      </c>
      <c r="BT29" s="14" t="e">
        <f t="shared" si="36"/>
        <v>#VALUE!</v>
      </c>
      <c r="BU29" s="14" t="e">
        <f t="shared" si="36"/>
        <v>#VALUE!</v>
      </c>
      <c r="BV29" s="15" t="e">
        <f t="shared" si="36"/>
        <v>#VALUE!</v>
      </c>
      <c r="BW29" s="16" t="e">
        <f t="shared" si="36"/>
        <v>#VALUE!</v>
      </c>
      <c r="BX29" s="13" t="e">
        <f t="shared" si="36"/>
        <v>#VALUE!</v>
      </c>
      <c r="BY29" s="14" t="e">
        <f t="shared" si="36"/>
        <v>#VALUE!</v>
      </c>
      <c r="BZ29" s="14" t="e">
        <f t="shared" si="36"/>
        <v>#VALUE!</v>
      </c>
      <c r="CA29" s="14" t="e">
        <f t="shared" si="36"/>
        <v>#VALUE!</v>
      </c>
      <c r="CB29" s="14" t="e">
        <f t="shared" si="36"/>
        <v>#VALUE!</v>
      </c>
      <c r="CC29" s="15" t="e">
        <f t="shared" si="36"/>
        <v>#VALUE!</v>
      </c>
      <c r="CD29" s="16" t="e">
        <f t="shared" si="36"/>
        <v>#VALUE!</v>
      </c>
      <c r="CE29" s="13" t="e">
        <f t="shared" si="36"/>
        <v>#VALUE!</v>
      </c>
      <c r="CF29" s="14" t="e">
        <f t="shared" si="36"/>
        <v>#VALUE!</v>
      </c>
      <c r="CG29" s="14" t="e">
        <f t="shared" si="36"/>
        <v>#VALUE!</v>
      </c>
      <c r="CH29" s="14" t="e">
        <f t="shared" si="36"/>
        <v>#VALUE!</v>
      </c>
      <c r="CI29" s="14" t="e">
        <f t="shared" si="36"/>
        <v>#VALUE!</v>
      </c>
      <c r="CJ29" s="15" t="e">
        <f t="shared" si="36"/>
        <v>#VALUE!</v>
      </c>
      <c r="CK29" s="16" t="e">
        <f t="shared" si="36"/>
        <v>#VALUE!</v>
      </c>
      <c r="CL29" s="13" t="e">
        <f t="shared" si="36"/>
        <v>#VALUE!</v>
      </c>
      <c r="CM29" s="14" t="e">
        <f t="shared" si="36"/>
        <v>#VALUE!</v>
      </c>
      <c r="CN29" s="14" t="e">
        <f t="shared" si="36"/>
        <v>#VALUE!</v>
      </c>
      <c r="CO29" s="14" t="e">
        <f t="shared" si="36"/>
        <v>#VALUE!</v>
      </c>
      <c r="CP29" s="14" t="e">
        <f t="shared" si="36"/>
        <v>#VALUE!</v>
      </c>
      <c r="CQ29" s="15" t="e">
        <f t="shared" si="36"/>
        <v>#VALUE!</v>
      </c>
      <c r="CR29" s="16" t="e">
        <f t="shared" si="36"/>
        <v>#VALUE!</v>
      </c>
      <c r="CS29" s="13" t="e">
        <f t="shared" si="36"/>
        <v>#VALUE!</v>
      </c>
      <c r="CT29" s="14" t="e">
        <f t="shared" si="36"/>
        <v>#VALUE!</v>
      </c>
      <c r="CU29" s="14" t="e">
        <f t="shared" si="36"/>
        <v>#VALUE!</v>
      </c>
      <c r="CV29" s="14" t="e">
        <f t="shared" si="36"/>
        <v>#VALUE!</v>
      </c>
      <c r="CW29" s="14" t="e">
        <f t="shared" si="36"/>
        <v>#VALUE!</v>
      </c>
      <c r="CX29" s="15" t="e">
        <f t="shared" ref="CX29:DT29" si="37">IF(AND(CX$5&gt;=$E$11,CX$5&lt;=$E$15),1,"")</f>
        <v>#VALUE!</v>
      </c>
      <c r="CY29" s="16" t="e">
        <f t="shared" si="37"/>
        <v>#VALUE!</v>
      </c>
      <c r="CZ29" s="13" t="e">
        <f t="shared" si="37"/>
        <v>#VALUE!</v>
      </c>
      <c r="DA29" s="14" t="e">
        <f t="shared" si="37"/>
        <v>#VALUE!</v>
      </c>
      <c r="DB29" s="14" t="e">
        <f t="shared" si="37"/>
        <v>#VALUE!</v>
      </c>
      <c r="DC29" s="14" t="e">
        <f t="shared" si="37"/>
        <v>#VALUE!</v>
      </c>
      <c r="DD29" s="14" t="e">
        <f t="shared" si="37"/>
        <v>#VALUE!</v>
      </c>
      <c r="DE29" s="15" t="e">
        <f t="shared" si="37"/>
        <v>#VALUE!</v>
      </c>
      <c r="DF29" s="16" t="e">
        <f t="shared" si="37"/>
        <v>#VALUE!</v>
      </c>
      <c r="DG29" s="13" t="e">
        <f t="shared" si="37"/>
        <v>#VALUE!</v>
      </c>
      <c r="DH29" s="14" t="e">
        <f t="shared" si="37"/>
        <v>#VALUE!</v>
      </c>
      <c r="DI29" s="14" t="e">
        <f t="shared" si="37"/>
        <v>#VALUE!</v>
      </c>
      <c r="DJ29" s="14" t="e">
        <f t="shared" si="37"/>
        <v>#VALUE!</v>
      </c>
      <c r="DK29" s="14" t="e">
        <f t="shared" si="37"/>
        <v>#VALUE!</v>
      </c>
      <c r="DL29" s="15" t="e">
        <f t="shared" si="37"/>
        <v>#VALUE!</v>
      </c>
      <c r="DM29" s="16" t="e">
        <f t="shared" si="37"/>
        <v>#VALUE!</v>
      </c>
      <c r="DN29" s="13" t="e">
        <f t="shared" si="37"/>
        <v>#VALUE!</v>
      </c>
      <c r="DO29" s="14" t="e">
        <f t="shared" si="37"/>
        <v>#VALUE!</v>
      </c>
      <c r="DP29" s="14" t="e">
        <f t="shared" si="37"/>
        <v>#VALUE!</v>
      </c>
      <c r="DQ29" s="14" t="e">
        <f t="shared" si="37"/>
        <v>#VALUE!</v>
      </c>
      <c r="DR29" s="14" t="e">
        <f t="shared" si="37"/>
        <v>#VALUE!</v>
      </c>
      <c r="DS29" s="15" t="e">
        <f t="shared" si="37"/>
        <v>#VALUE!</v>
      </c>
      <c r="DT29" s="16" t="e">
        <f t="shared" si="37"/>
        <v>#VALUE!</v>
      </c>
    </row>
    <row r="30" spans="1:124" s="17" customFormat="1" ht="2.1" customHeight="1">
      <c r="A30" s="29"/>
      <c r="B30" s="29"/>
      <c r="C30" s="30"/>
      <c r="D30" s="30"/>
      <c r="E30" s="31"/>
      <c r="F30" s="14"/>
      <c r="G30" s="14"/>
      <c r="H30" s="14"/>
      <c r="I30" s="14"/>
      <c r="J30" s="14"/>
      <c r="K30" s="15"/>
      <c r="L30" s="16"/>
      <c r="M30" s="13"/>
      <c r="N30" s="14"/>
      <c r="O30" s="14"/>
      <c r="P30" s="14"/>
      <c r="Q30" s="14"/>
      <c r="R30" s="15"/>
      <c r="S30" s="16"/>
      <c r="T30" s="13"/>
      <c r="U30" s="14"/>
      <c r="V30" s="14"/>
      <c r="W30" s="14"/>
      <c r="X30" s="14"/>
      <c r="Y30" s="15"/>
      <c r="Z30" s="16"/>
      <c r="AA30" s="13"/>
      <c r="AB30" s="14"/>
      <c r="AC30" s="14"/>
      <c r="AD30" s="14"/>
      <c r="AE30" s="14"/>
      <c r="AF30" s="15"/>
      <c r="AG30" s="16"/>
      <c r="AH30" s="13"/>
      <c r="AI30" s="14"/>
      <c r="AJ30" s="14"/>
      <c r="AK30" s="14"/>
      <c r="AL30" s="14"/>
      <c r="AM30" s="15"/>
      <c r="AN30" s="16"/>
      <c r="AO30" s="13"/>
      <c r="AP30" s="14"/>
      <c r="AQ30" s="14"/>
      <c r="AR30" s="14"/>
      <c r="AS30" s="14"/>
      <c r="AT30" s="15"/>
      <c r="AU30" s="16"/>
      <c r="AV30" s="13"/>
      <c r="AW30" s="14"/>
      <c r="AX30" s="14"/>
      <c r="AY30" s="14"/>
      <c r="AZ30" s="14"/>
      <c r="BA30" s="15"/>
      <c r="BB30" s="16"/>
      <c r="BC30" s="13"/>
      <c r="BD30" s="14"/>
      <c r="BE30" s="14"/>
      <c r="BF30" s="14"/>
      <c r="BG30" s="14"/>
      <c r="BH30" s="15"/>
      <c r="BI30" s="16"/>
      <c r="BJ30" s="13"/>
      <c r="BK30" s="14"/>
      <c r="BL30" s="14"/>
      <c r="BM30" s="14"/>
      <c r="BN30" s="14"/>
      <c r="BO30" s="15"/>
      <c r="BP30" s="16"/>
      <c r="BQ30" s="13"/>
      <c r="BR30" s="14"/>
      <c r="BS30" s="14"/>
      <c r="BT30" s="14"/>
      <c r="BU30" s="14"/>
      <c r="BV30" s="15"/>
      <c r="BW30" s="16"/>
      <c r="BX30" s="13"/>
      <c r="BY30" s="14"/>
      <c r="BZ30" s="14"/>
      <c r="CA30" s="14"/>
      <c r="CB30" s="14"/>
      <c r="CC30" s="15"/>
      <c r="CD30" s="16"/>
      <c r="CE30" s="13"/>
      <c r="CF30" s="14"/>
      <c r="CG30" s="14"/>
      <c r="CH30" s="14"/>
      <c r="CI30" s="14"/>
      <c r="CJ30" s="15"/>
      <c r="CK30" s="16"/>
      <c r="CL30" s="13"/>
      <c r="CM30" s="14"/>
      <c r="CN30" s="14"/>
      <c r="CO30" s="14"/>
      <c r="CP30" s="14"/>
      <c r="CQ30" s="15"/>
      <c r="CR30" s="16"/>
      <c r="CS30" s="13"/>
      <c r="CT30" s="14"/>
      <c r="CU30" s="14"/>
      <c r="CV30" s="14"/>
      <c r="CW30" s="14"/>
      <c r="CX30" s="15"/>
      <c r="CY30" s="16"/>
      <c r="CZ30" s="13"/>
      <c r="DA30" s="14"/>
      <c r="DB30" s="14"/>
      <c r="DC30" s="14"/>
      <c r="DD30" s="14"/>
      <c r="DE30" s="15"/>
      <c r="DF30" s="16"/>
      <c r="DG30" s="13"/>
      <c r="DH30" s="14"/>
      <c r="DI30" s="14"/>
      <c r="DJ30" s="14"/>
      <c r="DK30" s="14"/>
      <c r="DL30" s="15"/>
      <c r="DM30" s="16"/>
      <c r="DN30" s="13"/>
      <c r="DO30" s="14"/>
      <c r="DP30" s="14"/>
      <c r="DQ30" s="14"/>
      <c r="DR30" s="14"/>
      <c r="DS30" s="15"/>
      <c r="DT30" s="16"/>
    </row>
    <row r="31" spans="1:124" s="17" customFormat="1" ht="15" customHeight="1">
      <c r="A31" s="542" t="s">
        <v>58</v>
      </c>
      <c r="B31" s="535"/>
      <c r="C31" s="543" t="e">
        <f>E17-C16+1</f>
        <v>#VALUE!</v>
      </c>
      <c r="D31" s="535"/>
      <c r="E31" s="537"/>
      <c r="F31" s="14" t="e">
        <f t="shared" ref="F31:AK31" si="38">IF(AND(F$5&gt;=$C$16,F$5&lt;=$E$17),1,"")</f>
        <v>#VALUE!</v>
      </c>
      <c r="G31" s="14" t="e">
        <f t="shared" si="38"/>
        <v>#VALUE!</v>
      </c>
      <c r="H31" s="14" t="e">
        <f t="shared" si="38"/>
        <v>#VALUE!</v>
      </c>
      <c r="I31" s="14" t="e">
        <f t="shared" si="38"/>
        <v>#VALUE!</v>
      </c>
      <c r="J31" s="14" t="e">
        <f t="shared" si="38"/>
        <v>#VALUE!</v>
      </c>
      <c r="K31" s="15" t="e">
        <f t="shared" si="38"/>
        <v>#VALUE!</v>
      </c>
      <c r="L31" s="16" t="e">
        <f t="shared" si="38"/>
        <v>#VALUE!</v>
      </c>
      <c r="M31" s="13" t="e">
        <f t="shared" si="38"/>
        <v>#VALUE!</v>
      </c>
      <c r="N31" s="14" t="e">
        <f t="shared" si="38"/>
        <v>#VALUE!</v>
      </c>
      <c r="O31" s="14" t="e">
        <f t="shared" si="38"/>
        <v>#VALUE!</v>
      </c>
      <c r="P31" s="14" t="e">
        <f t="shared" si="38"/>
        <v>#VALUE!</v>
      </c>
      <c r="Q31" s="14" t="e">
        <f t="shared" si="38"/>
        <v>#VALUE!</v>
      </c>
      <c r="R31" s="15" t="e">
        <f t="shared" si="38"/>
        <v>#VALUE!</v>
      </c>
      <c r="S31" s="16" t="e">
        <f t="shared" si="38"/>
        <v>#VALUE!</v>
      </c>
      <c r="T31" s="13" t="e">
        <f t="shared" si="38"/>
        <v>#VALUE!</v>
      </c>
      <c r="U31" s="14" t="e">
        <f t="shared" si="38"/>
        <v>#VALUE!</v>
      </c>
      <c r="V31" s="14" t="e">
        <f t="shared" si="38"/>
        <v>#VALUE!</v>
      </c>
      <c r="W31" s="14" t="e">
        <f t="shared" si="38"/>
        <v>#VALUE!</v>
      </c>
      <c r="X31" s="14" t="e">
        <f t="shared" si="38"/>
        <v>#VALUE!</v>
      </c>
      <c r="Y31" s="15" t="e">
        <f t="shared" si="38"/>
        <v>#VALUE!</v>
      </c>
      <c r="Z31" s="16" t="e">
        <f t="shared" si="38"/>
        <v>#VALUE!</v>
      </c>
      <c r="AA31" s="13" t="e">
        <f t="shared" si="38"/>
        <v>#VALUE!</v>
      </c>
      <c r="AB31" s="14" t="e">
        <f t="shared" si="38"/>
        <v>#VALUE!</v>
      </c>
      <c r="AC31" s="14" t="e">
        <f t="shared" si="38"/>
        <v>#VALUE!</v>
      </c>
      <c r="AD31" s="14" t="e">
        <f t="shared" si="38"/>
        <v>#VALUE!</v>
      </c>
      <c r="AE31" s="14" t="e">
        <f t="shared" si="38"/>
        <v>#VALUE!</v>
      </c>
      <c r="AF31" s="15" t="e">
        <f t="shared" si="38"/>
        <v>#VALUE!</v>
      </c>
      <c r="AG31" s="16" t="e">
        <f t="shared" si="38"/>
        <v>#VALUE!</v>
      </c>
      <c r="AH31" s="13" t="e">
        <f t="shared" si="38"/>
        <v>#VALUE!</v>
      </c>
      <c r="AI31" s="14" t="e">
        <f t="shared" si="38"/>
        <v>#VALUE!</v>
      </c>
      <c r="AJ31" s="14" t="e">
        <f t="shared" si="38"/>
        <v>#VALUE!</v>
      </c>
      <c r="AK31" s="14" t="e">
        <f t="shared" si="38"/>
        <v>#VALUE!</v>
      </c>
      <c r="AL31" s="14" t="e">
        <f t="shared" ref="AL31:BQ31" si="39">IF(AND(AL$5&gt;=$C$16,AL$5&lt;=$E$17),1,"")</f>
        <v>#VALUE!</v>
      </c>
      <c r="AM31" s="15" t="e">
        <f t="shared" si="39"/>
        <v>#VALUE!</v>
      </c>
      <c r="AN31" s="16" t="e">
        <f t="shared" si="39"/>
        <v>#VALUE!</v>
      </c>
      <c r="AO31" s="13" t="e">
        <f t="shared" si="39"/>
        <v>#VALUE!</v>
      </c>
      <c r="AP31" s="14" t="e">
        <f t="shared" si="39"/>
        <v>#VALUE!</v>
      </c>
      <c r="AQ31" s="14" t="e">
        <f t="shared" si="39"/>
        <v>#VALUE!</v>
      </c>
      <c r="AR31" s="14" t="e">
        <f t="shared" si="39"/>
        <v>#VALUE!</v>
      </c>
      <c r="AS31" s="14" t="e">
        <f t="shared" si="39"/>
        <v>#VALUE!</v>
      </c>
      <c r="AT31" s="15" t="e">
        <f t="shared" si="39"/>
        <v>#VALUE!</v>
      </c>
      <c r="AU31" s="16" t="e">
        <f t="shared" si="39"/>
        <v>#VALUE!</v>
      </c>
      <c r="AV31" s="13" t="e">
        <f t="shared" si="39"/>
        <v>#VALUE!</v>
      </c>
      <c r="AW31" s="14" t="e">
        <f t="shared" si="39"/>
        <v>#VALUE!</v>
      </c>
      <c r="AX31" s="14" t="e">
        <f t="shared" si="39"/>
        <v>#VALUE!</v>
      </c>
      <c r="AY31" s="14" t="e">
        <f t="shared" si="39"/>
        <v>#VALUE!</v>
      </c>
      <c r="AZ31" s="14" t="e">
        <f t="shared" si="39"/>
        <v>#VALUE!</v>
      </c>
      <c r="BA31" s="15" t="e">
        <f t="shared" si="39"/>
        <v>#VALUE!</v>
      </c>
      <c r="BB31" s="16" t="e">
        <f t="shared" si="39"/>
        <v>#VALUE!</v>
      </c>
      <c r="BC31" s="13" t="e">
        <f t="shared" si="39"/>
        <v>#VALUE!</v>
      </c>
      <c r="BD31" s="14" t="e">
        <f t="shared" si="39"/>
        <v>#VALUE!</v>
      </c>
      <c r="BE31" s="14" t="e">
        <f t="shared" si="39"/>
        <v>#VALUE!</v>
      </c>
      <c r="BF31" s="14" t="e">
        <f t="shared" si="39"/>
        <v>#VALUE!</v>
      </c>
      <c r="BG31" s="14" t="e">
        <f t="shared" si="39"/>
        <v>#VALUE!</v>
      </c>
      <c r="BH31" s="15" t="e">
        <f t="shared" si="39"/>
        <v>#VALUE!</v>
      </c>
      <c r="BI31" s="16" t="e">
        <f t="shared" si="39"/>
        <v>#VALUE!</v>
      </c>
      <c r="BJ31" s="13" t="e">
        <f t="shared" si="39"/>
        <v>#VALUE!</v>
      </c>
      <c r="BK31" s="14" t="e">
        <f t="shared" si="39"/>
        <v>#VALUE!</v>
      </c>
      <c r="BL31" s="14" t="e">
        <f t="shared" si="39"/>
        <v>#VALUE!</v>
      </c>
      <c r="BM31" s="14" t="e">
        <f t="shared" si="39"/>
        <v>#VALUE!</v>
      </c>
      <c r="BN31" s="14" t="e">
        <f t="shared" si="39"/>
        <v>#VALUE!</v>
      </c>
      <c r="BO31" s="15" t="e">
        <f t="shared" si="39"/>
        <v>#VALUE!</v>
      </c>
      <c r="BP31" s="16" t="e">
        <f t="shared" si="39"/>
        <v>#VALUE!</v>
      </c>
      <c r="BQ31" s="13" t="e">
        <f t="shared" si="39"/>
        <v>#VALUE!</v>
      </c>
      <c r="BR31" s="14" t="e">
        <f t="shared" ref="BR31:CW31" si="40">IF(AND(BR$5&gt;=$C$16,BR$5&lt;=$E$17),1,"")</f>
        <v>#VALUE!</v>
      </c>
      <c r="BS31" s="14" t="e">
        <f t="shared" si="40"/>
        <v>#VALUE!</v>
      </c>
      <c r="BT31" s="14" t="e">
        <f t="shared" si="40"/>
        <v>#VALUE!</v>
      </c>
      <c r="BU31" s="14" t="e">
        <f t="shared" si="40"/>
        <v>#VALUE!</v>
      </c>
      <c r="BV31" s="15" t="e">
        <f t="shared" si="40"/>
        <v>#VALUE!</v>
      </c>
      <c r="BW31" s="16" t="e">
        <f t="shared" si="40"/>
        <v>#VALUE!</v>
      </c>
      <c r="BX31" s="13" t="e">
        <f t="shared" si="40"/>
        <v>#VALUE!</v>
      </c>
      <c r="BY31" s="14" t="e">
        <f t="shared" si="40"/>
        <v>#VALUE!</v>
      </c>
      <c r="BZ31" s="14" t="e">
        <f t="shared" si="40"/>
        <v>#VALUE!</v>
      </c>
      <c r="CA31" s="14" t="e">
        <f t="shared" si="40"/>
        <v>#VALUE!</v>
      </c>
      <c r="CB31" s="14" t="e">
        <f t="shared" si="40"/>
        <v>#VALUE!</v>
      </c>
      <c r="CC31" s="15" t="e">
        <f t="shared" si="40"/>
        <v>#VALUE!</v>
      </c>
      <c r="CD31" s="16" t="e">
        <f t="shared" si="40"/>
        <v>#VALUE!</v>
      </c>
      <c r="CE31" s="13" t="e">
        <f t="shared" si="40"/>
        <v>#VALUE!</v>
      </c>
      <c r="CF31" s="14" t="e">
        <f t="shared" si="40"/>
        <v>#VALUE!</v>
      </c>
      <c r="CG31" s="14" t="e">
        <f t="shared" si="40"/>
        <v>#VALUE!</v>
      </c>
      <c r="CH31" s="14" t="e">
        <f t="shared" si="40"/>
        <v>#VALUE!</v>
      </c>
      <c r="CI31" s="14" t="e">
        <f t="shared" si="40"/>
        <v>#VALUE!</v>
      </c>
      <c r="CJ31" s="15" t="e">
        <f t="shared" si="40"/>
        <v>#VALUE!</v>
      </c>
      <c r="CK31" s="16" t="e">
        <f t="shared" si="40"/>
        <v>#VALUE!</v>
      </c>
      <c r="CL31" s="13" t="e">
        <f t="shared" si="40"/>
        <v>#VALUE!</v>
      </c>
      <c r="CM31" s="14" t="e">
        <f t="shared" si="40"/>
        <v>#VALUE!</v>
      </c>
      <c r="CN31" s="14" t="e">
        <f t="shared" si="40"/>
        <v>#VALUE!</v>
      </c>
      <c r="CO31" s="14" t="e">
        <f t="shared" si="40"/>
        <v>#VALUE!</v>
      </c>
      <c r="CP31" s="14" t="e">
        <f t="shared" si="40"/>
        <v>#VALUE!</v>
      </c>
      <c r="CQ31" s="15" t="e">
        <f t="shared" si="40"/>
        <v>#VALUE!</v>
      </c>
      <c r="CR31" s="16" t="e">
        <f t="shared" si="40"/>
        <v>#VALUE!</v>
      </c>
      <c r="CS31" s="13" t="e">
        <f t="shared" si="40"/>
        <v>#VALUE!</v>
      </c>
      <c r="CT31" s="14" t="e">
        <f t="shared" si="40"/>
        <v>#VALUE!</v>
      </c>
      <c r="CU31" s="14" t="e">
        <f t="shared" si="40"/>
        <v>#VALUE!</v>
      </c>
      <c r="CV31" s="14" t="e">
        <f t="shared" si="40"/>
        <v>#VALUE!</v>
      </c>
      <c r="CW31" s="14" t="e">
        <f t="shared" si="40"/>
        <v>#VALUE!</v>
      </c>
      <c r="CX31" s="15" t="e">
        <f t="shared" ref="CX31:DT31" si="41">IF(AND(CX$5&gt;=$C$16,CX$5&lt;=$E$17),1,"")</f>
        <v>#VALUE!</v>
      </c>
      <c r="CY31" s="16" t="e">
        <f t="shared" si="41"/>
        <v>#VALUE!</v>
      </c>
      <c r="CZ31" s="13" t="e">
        <f t="shared" si="41"/>
        <v>#VALUE!</v>
      </c>
      <c r="DA31" s="14" t="e">
        <f t="shared" si="41"/>
        <v>#VALUE!</v>
      </c>
      <c r="DB31" s="14" t="e">
        <f t="shared" si="41"/>
        <v>#VALUE!</v>
      </c>
      <c r="DC31" s="14" t="e">
        <f t="shared" si="41"/>
        <v>#VALUE!</v>
      </c>
      <c r="DD31" s="14" t="e">
        <f t="shared" si="41"/>
        <v>#VALUE!</v>
      </c>
      <c r="DE31" s="15" t="e">
        <f t="shared" si="41"/>
        <v>#VALUE!</v>
      </c>
      <c r="DF31" s="16" t="e">
        <f t="shared" si="41"/>
        <v>#VALUE!</v>
      </c>
      <c r="DG31" s="13" t="e">
        <f t="shared" si="41"/>
        <v>#VALUE!</v>
      </c>
      <c r="DH31" s="14" t="e">
        <f t="shared" si="41"/>
        <v>#VALUE!</v>
      </c>
      <c r="DI31" s="14" t="e">
        <f t="shared" si="41"/>
        <v>#VALUE!</v>
      </c>
      <c r="DJ31" s="14" t="e">
        <f t="shared" si="41"/>
        <v>#VALUE!</v>
      </c>
      <c r="DK31" s="14" t="e">
        <f t="shared" si="41"/>
        <v>#VALUE!</v>
      </c>
      <c r="DL31" s="15" t="e">
        <f t="shared" si="41"/>
        <v>#VALUE!</v>
      </c>
      <c r="DM31" s="16" t="e">
        <f t="shared" si="41"/>
        <v>#VALUE!</v>
      </c>
      <c r="DN31" s="13" t="e">
        <f t="shared" si="41"/>
        <v>#VALUE!</v>
      </c>
      <c r="DO31" s="14" t="e">
        <f t="shared" si="41"/>
        <v>#VALUE!</v>
      </c>
      <c r="DP31" s="14" t="e">
        <f t="shared" si="41"/>
        <v>#VALUE!</v>
      </c>
      <c r="DQ31" s="14" t="e">
        <f t="shared" si="41"/>
        <v>#VALUE!</v>
      </c>
      <c r="DR31" s="14" t="e">
        <f t="shared" si="41"/>
        <v>#VALUE!</v>
      </c>
      <c r="DS31" s="15" t="e">
        <f t="shared" si="41"/>
        <v>#VALUE!</v>
      </c>
      <c r="DT31" s="16" t="e">
        <f t="shared" si="41"/>
        <v>#VALUE!</v>
      </c>
    </row>
    <row r="32" spans="1:124" s="17" customFormat="1" ht="2.1" customHeight="1">
      <c r="A32" s="29"/>
      <c r="B32" s="29"/>
      <c r="C32" s="30"/>
      <c r="D32" s="30"/>
      <c r="E32" s="31"/>
      <c r="F32" s="14"/>
      <c r="G32" s="14"/>
      <c r="H32" s="14"/>
      <c r="I32" s="14"/>
      <c r="J32" s="14"/>
      <c r="K32" s="15"/>
      <c r="L32" s="16"/>
      <c r="M32" s="13"/>
      <c r="N32" s="14"/>
      <c r="O32" s="14"/>
      <c r="P32" s="14"/>
      <c r="Q32" s="14"/>
      <c r="R32" s="15"/>
      <c r="S32" s="16"/>
      <c r="T32" s="13"/>
      <c r="U32" s="14"/>
      <c r="V32" s="14"/>
      <c r="W32" s="14"/>
      <c r="X32" s="14"/>
      <c r="Y32" s="15"/>
      <c r="Z32" s="16"/>
      <c r="AA32" s="13"/>
      <c r="AB32" s="14"/>
      <c r="AC32" s="14"/>
      <c r="AD32" s="14"/>
      <c r="AE32" s="14"/>
      <c r="AF32" s="15"/>
      <c r="AG32" s="16"/>
      <c r="AH32" s="13"/>
      <c r="AI32" s="14"/>
      <c r="AJ32" s="14"/>
      <c r="AK32" s="14"/>
      <c r="AL32" s="14"/>
      <c r="AM32" s="15"/>
      <c r="AN32" s="16"/>
      <c r="AO32" s="13"/>
      <c r="AP32" s="14"/>
      <c r="AQ32" s="14"/>
      <c r="AR32" s="14"/>
      <c r="AS32" s="14"/>
      <c r="AT32" s="15"/>
      <c r="AU32" s="16"/>
      <c r="AV32" s="13"/>
      <c r="AW32" s="14"/>
      <c r="AX32" s="14"/>
      <c r="AY32" s="14"/>
      <c r="AZ32" s="14"/>
      <c r="BA32" s="15"/>
      <c r="BB32" s="16"/>
      <c r="BC32" s="13"/>
      <c r="BD32" s="14"/>
      <c r="BE32" s="14"/>
      <c r="BF32" s="14"/>
      <c r="BG32" s="14"/>
      <c r="BH32" s="15"/>
      <c r="BI32" s="16"/>
      <c r="BJ32" s="13"/>
      <c r="BK32" s="14"/>
      <c r="BL32" s="14"/>
      <c r="BM32" s="14"/>
      <c r="BN32" s="14"/>
      <c r="BO32" s="15"/>
      <c r="BP32" s="16"/>
      <c r="BQ32" s="13"/>
      <c r="BR32" s="14"/>
      <c r="BS32" s="14"/>
      <c r="BT32" s="14"/>
      <c r="BU32" s="14"/>
      <c r="BV32" s="15"/>
      <c r="BW32" s="16"/>
      <c r="BX32" s="13"/>
      <c r="BY32" s="14"/>
      <c r="BZ32" s="14"/>
      <c r="CA32" s="14"/>
      <c r="CB32" s="14"/>
      <c r="CC32" s="15"/>
      <c r="CD32" s="16"/>
      <c r="CE32" s="13"/>
      <c r="CF32" s="14"/>
      <c r="CG32" s="14"/>
      <c r="CH32" s="14"/>
      <c r="CI32" s="14"/>
      <c r="CJ32" s="15"/>
      <c r="CK32" s="16"/>
      <c r="CL32" s="13"/>
      <c r="CM32" s="14"/>
      <c r="CN32" s="14"/>
      <c r="CO32" s="14"/>
      <c r="CP32" s="14"/>
      <c r="CQ32" s="15"/>
      <c r="CR32" s="16"/>
      <c r="CS32" s="13"/>
      <c r="CT32" s="14"/>
      <c r="CU32" s="14"/>
      <c r="CV32" s="14"/>
      <c r="CW32" s="14"/>
      <c r="CX32" s="15"/>
      <c r="CY32" s="16"/>
      <c r="CZ32" s="13"/>
      <c r="DA32" s="14"/>
      <c r="DB32" s="14"/>
      <c r="DC32" s="14"/>
      <c r="DD32" s="14"/>
      <c r="DE32" s="15"/>
      <c r="DF32" s="16"/>
      <c r="DG32" s="13"/>
      <c r="DH32" s="14"/>
      <c r="DI32" s="14"/>
      <c r="DJ32" s="14"/>
      <c r="DK32" s="14"/>
      <c r="DL32" s="15"/>
      <c r="DM32" s="16"/>
      <c r="DN32" s="13"/>
      <c r="DO32" s="14"/>
      <c r="DP32" s="14"/>
      <c r="DQ32" s="14"/>
      <c r="DR32" s="14"/>
      <c r="DS32" s="15"/>
      <c r="DT32" s="16"/>
    </row>
    <row r="33" spans="1:124" s="17" customFormat="1" ht="15" customHeight="1">
      <c r="A33" s="544" t="s">
        <v>59</v>
      </c>
      <c r="B33" s="535"/>
      <c r="C33" s="545" t="e">
        <f>E23-C11+1</f>
        <v>#VALUE!</v>
      </c>
      <c r="D33" s="535"/>
      <c r="E33" s="537"/>
      <c r="F33" s="14" t="e">
        <f t="shared" ref="F33:AK33" si="42">IF(AND(F$5&gt;=$C$11,F$5&lt;=$E$23),1,"")</f>
        <v>#VALUE!</v>
      </c>
      <c r="G33" s="14" t="e">
        <f t="shared" si="42"/>
        <v>#VALUE!</v>
      </c>
      <c r="H33" s="14" t="e">
        <f t="shared" si="42"/>
        <v>#VALUE!</v>
      </c>
      <c r="I33" s="14" t="e">
        <f t="shared" si="42"/>
        <v>#VALUE!</v>
      </c>
      <c r="J33" s="14" t="e">
        <f t="shared" si="42"/>
        <v>#VALUE!</v>
      </c>
      <c r="K33" s="15" t="e">
        <f t="shared" si="42"/>
        <v>#VALUE!</v>
      </c>
      <c r="L33" s="16" t="e">
        <f t="shared" si="42"/>
        <v>#VALUE!</v>
      </c>
      <c r="M33" s="13" t="e">
        <f t="shared" si="42"/>
        <v>#VALUE!</v>
      </c>
      <c r="N33" s="14" t="e">
        <f t="shared" si="42"/>
        <v>#VALUE!</v>
      </c>
      <c r="O33" s="14" t="e">
        <f t="shared" si="42"/>
        <v>#VALUE!</v>
      </c>
      <c r="P33" s="14" t="e">
        <f t="shared" si="42"/>
        <v>#VALUE!</v>
      </c>
      <c r="Q33" s="14" t="e">
        <f t="shared" si="42"/>
        <v>#VALUE!</v>
      </c>
      <c r="R33" s="15" t="e">
        <f t="shared" si="42"/>
        <v>#VALUE!</v>
      </c>
      <c r="S33" s="16" t="e">
        <f t="shared" si="42"/>
        <v>#VALUE!</v>
      </c>
      <c r="T33" s="13" t="e">
        <f t="shared" si="42"/>
        <v>#VALUE!</v>
      </c>
      <c r="U33" s="14" t="e">
        <f t="shared" si="42"/>
        <v>#VALUE!</v>
      </c>
      <c r="V33" s="14" t="e">
        <f t="shared" si="42"/>
        <v>#VALUE!</v>
      </c>
      <c r="W33" s="14" t="e">
        <f t="shared" si="42"/>
        <v>#VALUE!</v>
      </c>
      <c r="X33" s="14" t="e">
        <f t="shared" si="42"/>
        <v>#VALUE!</v>
      </c>
      <c r="Y33" s="15" t="e">
        <f t="shared" si="42"/>
        <v>#VALUE!</v>
      </c>
      <c r="Z33" s="16" t="e">
        <f t="shared" si="42"/>
        <v>#VALUE!</v>
      </c>
      <c r="AA33" s="13" t="e">
        <f t="shared" si="42"/>
        <v>#VALUE!</v>
      </c>
      <c r="AB33" s="14" t="e">
        <f t="shared" si="42"/>
        <v>#VALUE!</v>
      </c>
      <c r="AC33" s="14" t="e">
        <f t="shared" si="42"/>
        <v>#VALUE!</v>
      </c>
      <c r="AD33" s="14" t="e">
        <f t="shared" si="42"/>
        <v>#VALUE!</v>
      </c>
      <c r="AE33" s="14" t="e">
        <f t="shared" si="42"/>
        <v>#VALUE!</v>
      </c>
      <c r="AF33" s="15" t="e">
        <f t="shared" si="42"/>
        <v>#VALUE!</v>
      </c>
      <c r="AG33" s="16" t="e">
        <f t="shared" si="42"/>
        <v>#VALUE!</v>
      </c>
      <c r="AH33" s="13" t="e">
        <f t="shared" si="42"/>
        <v>#VALUE!</v>
      </c>
      <c r="AI33" s="14" t="e">
        <f t="shared" si="42"/>
        <v>#VALUE!</v>
      </c>
      <c r="AJ33" s="14" t="e">
        <f t="shared" si="42"/>
        <v>#VALUE!</v>
      </c>
      <c r="AK33" s="14" t="e">
        <f t="shared" si="42"/>
        <v>#VALUE!</v>
      </c>
      <c r="AL33" s="14" t="e">
        <f t="shared" ref="AL33:BQ33" si="43">IF(AND(AL$5&gt;=$C$11,AL$5&lt;=$E$23),1,"")</f>
        <v>#VALUE!</v>
      </c>
      <c r="AM33" s="15" t="e">
        <f t="shared" si="43"/>
        <v>#VALUE!</v>
      </c>
      <c r="AN33" s="16" t="e">
        <f t="shared" si="43"/>
        <v>#VALUE!</v>
      </c>
      <c r="AO33" s="13" t="e">
        <f t="shared" si="43"/>
        <v>#VALUE!</v>
      </c>
      <c r="AP33" s="14" t="e">
        <f t="shared" si="43"/>
        <v>#VALUE!</v>
      </c>
      <c r="AQ33" s="14" t="e">
        <f t="shared" si="43"/>
        <v>#VALUE!</v>
      </c>
      <c r="AR33" s="14" t="e">
        <f t="shared" si="43"/>
        <v>#VALUE!</v>
      </c>
      <c r="AS33" s="14" t="e">
        <f t="shared" si="43"/>
        <v>#VALUE!</v>
      </c>
      <c r="AT33" s="15" t="e">
        <f t="shared" si="43"/>
        <v>#VALUE!</v>
      </c>
      <c r="AU33" s="16" t="e">
        <f t="shared" si="43"/>
        <v>#VALUE!</v>
      </c>
      <c r="AV33" s="13" t="e">
        <f t="shared" si="43"/>
        <v>#VALUE!</v>
      </c>
      <c r="AW33" s="14" t="e">
        <f t="shared" si="43"/>
        <v>#VALUE!</v>
      </c>
      <c r="AX33" s="14" t="e">
        <f t="shared" si="43"/>
        <v>#VALUE!</v>
      </c>
      <c r="AY33" s="14" t="e">
        <f t="shared" si="43"/>
        <v>#VALUE!</v>
      </c>
      <c r="AZ33" s="14" t="e">
        <f t="shared" si="43"/>
        <v>#VALUE!</v>
      </c>
      <c r="BA33" s="15" t="e">
        <f t="shared" si="43"/>
        <v>#VALUE!</v>
      </c>
      <c r="BB33" s="16" t="e">
        <f t="shared" si="43"/>
        <v>#VALUE!</v>
      </c>
      <c r="BC33" s="13" t="e">
        <f t="shared" si="43"/>
        <v>#VALUE!</v>
      </c>
      <c r="BD33" s="14" t="e">
        <f t="shared" si="43"/>
        <v>#VALUE!</v>
      </c>
      <c r="BE33" s="14" t="e">
        <f t="shared" si="43"/>
        <v>#VALUE!</v>
      </c>
      <c r="BF33" s="14" t="e">
        <f t="shared" si="43"/>
        <v>#VALUE!</v>
      </c>
      <c r="BG33" s="14" t="e">
        <f t="shared" si="43"/>
        <v>#VALUE!</v>
      </c>
      <c r="BH33" s="15" t="e">
        <f t="shared" si="43"/>
        <v>#VALUE!</v>
      </c>
      <c r="BI33" s="16" t="e">
        <f t="shared" si="43"/>
        <v>#VALUE!</v>
      </c>
      <c r="BJ33" s="13" t="e">
        <f t="shared" si="43"/>
        <v>#VALUE!</v>
      </c>
      <c r="BK33" s="14" t="e">
        <f t="shared" si="43"/>
        <v>#VALUE!</v>
      </c>
      <c r="BL33" s="14" t="e">
        <f t="shared" si="43"/>
        <v>#VALUE!</v>
      </c>
      <c r="BM33" s="14" t="e">
        <f t="shared" si="43"/>
        <v>#VALUE!</v>
      </c>
      <c r="BN33" s="14" t="e">
        <f t="shared" si="43"/>
        <v>#VALUE!</v>
      </c>
      <c r="BO33" s="15" t="e">
        <f t="shared" si="43"/>
        <v>#VALUE!</v>
      </c>
      <c r="BP33" s="16" t="e">
        <f t="shared" si="43"/>
        <v>#VALUE!</v>
      </c>
      <c r="BQ33" s="13" t="e">
        <f t="shared" si="43"/>
        <v>#VALUE!</v>
      </c>
      <c r="BR33" s="14" t="e">
        <f t="shared" ref="BR33:CW33" si="44">IF(AND(BR$5&gt;=$C$11,BR$5&lt;=$E$23),1,"")</f>
        <v>#VALUE!</v>
      </c>
      <c r="BS33" s="14" t="e">
        <f t="shared" si="44"/>
        <v>#VALUE!</v>
      </c>
      <c r="BT33" s="14" t="e">
        <f t="shared" si="44"/>
        <v>#VALUE!</v>
      </c>
      <c r="BU33" s="14" t="e">
        <f t="shared" si="44"/>
        <v>#VALUE!</v>
      </c>
      <c r="BV33" s="15" t="e">
        <f t="shared" si="44"/>
        <v>#VALUE!</v>
      </c>
      <c r="BW33" s="16" t="e">
        <f t="shared" si="44"/>
        <v>#VALUE!</v>
      </c>
      <c r="BX33" s="13" t="e">
        <f t="shared" si="44"/>
        <v>#VALUE!</v>
      </c>
      <c r="BY33" s="14" t="e">
        <f t="shared" si="44"/>
        <v>#VALUE!</v>
      </c>
      <c r="BZ33" s="14" t="e">
        <f t="shared" si="44"/>
        <v>#VALUE!</v>
      </c>
      <c r="CA33" s="14" t="e">
        <f t="shared" si="44"/>
        <v>#VALUE!</v>
      </c>
      <c r="CB33" s="14" t="e">
        <f t="shared" si="44"/>
        <v>#VALUE!</v>
      </c>
      <c r="CC33" s="15" t="e">
        <f t="shared" si="44"/>
        <v>#VALUE!</v>
      </c>
      <c r="CD33" s="16" t="e">
        <f t="shared" si="44"/>
        <v>#VALUE!</v>
      </c>
      <c r="CE33" s="13" t="e">
        <f t="shared" si="44"/>
        <v>#VALUE!</v>
      </c>
      <c r="CF33" s="14" t="e">
        <f t="shared" si="44"/>
        <v>#VALUE!</v>
      </c>
      <c r="CG33" s="14" t="e">
        <f t="shared" si="44"/>
        <v>#VALUE!</v>
      </c>
      <c r="CH33" s="14" t="e">
        <f t="shared" si="44"/>
        <v>#VALUE!</v>
      </c>
      <c r="CI33" s="14" t="e">
        <f t="shared" si="44"/>
        <v>#VALUE!</v>
      </c>
      <c r="CJ33" s="15" t="e">
        <f t="shared" si="44"/>
        <v>#VALUE!</v>
      </c>
      <c r="CK33" s="16" t="e">
        <f t="shared" si="44"/>
        <v>#VALUE!</v>
      </c>
      <c r="CL33" s="13" t="e">
        <f t="shared" si="44"/>
        <v>#VALUE!</v>
      </c>
      <c r="CM33" s="14" t="e">
        <f t="shared" si="44"/>
        <v>#VALUE!</v>
      </c>
      <c r="CN33" s="14" t="e">
        <f t="shared" si="44"/>
        <v>#VALUE!</v>
      </c>
      <c r="CO33" s="14" t="e">
        <f t="shared" si="44"/>
        <v>#VALUE!</v>
      </c>
      <c r="CP33" s="14" t="e">
        <f t="shared" si="44"/>
        <v>#VALUE!</v>
      </c>
      <c r="CQ33" s="15" t="e">
        <f t="shared" si="44"/>
        <v>#VALUE!</v>
      </c>
      <c r="CR33" s="16" t="e">
        <f t="shared" si="44"/>
        <v>#VALUE!</v>
      </c>
      <c r="CS33" s="13" t="e">
        <f t="shared" si="44"/>
        <v>#VALUE!</v>
      </c>
      <c r="CT33" s="14" t="e">
        <f t="shared" si="44"/>
        <v>#VALUE!</v>
      </c>
      <c r="CU33" s="14" t="e">
        <f t="shared" si="44"/>
        <v>#VALUE!</v>
      </c>
      <c r="CV33" s="14" t="e">
        <f t="shared" si="44"/>
        <v>#VALUE!</v>
      </c>
      <c r="CW33" s="14" t="e">
        <f t="shared" si="44"/>
        <v>#VALUE!</v>
      </c>
      <c r="CX33" s="15" t="e">
        <f t="shared" ref="CX33:DT33" si="45">IF(AND(CX$5&gt;=$C$11,CX$5&lt;=$E$23),1,"")</f>
        <v>#VALUE!</v>
      </c>
      <c r="CY33" s="16" t="e">
        <f t="shared" si="45"/>
        <v>#VALUE!</v>
      </c>
      <c r="CZ33" s="13" t="e">
        <f t="shared" si="45"/>
        <v>#VALUE!</v>
      </c>
      <c r="DA33" s="14" t="e">
        <f t="shared" si="45"/>
        <v>#VALUE!</v>
      </c>
      <c r="DB33" s="14" t="e">
        <f t="shared" si="45"/>
        <v>#VALUE!</v>
      </c>
      <c r="DC33" s="14" t="e">
        <f t="shared" si="45"/>
        <v>#VALUE!</v>
      </c>
      <c r="DD33" s="14" t="e">
        <f t="shared" si="45"/>
        <v>#VALUE!</v>
      </c>
      <c r="DE33" s="15" t="e">
        <f t="shared" si="45"/>
        <v>#VALUE!</v>
      </c>
      <c r="DF33" s="16" t="e">
        <f t="shared" si="45"/>
        <v>#VALUE!</v>
      </c>
      <c r="DG33" s="13" t="e">
        <f t="shared" si="45"/>
        <v>#VALUE!</v>
      </c>
      <c r="DH33" s="14" t="e">
        <f t="shared" si="45"/>
        <v>#VALUE!</v>
      </c>
      <c r="DI33" s="14" t="e">
        <f t="shared" si="45"/>
        <v>#VALUE!</v>
      </c>
      <c r="DJ33" s="14" t="e">
        <f t="shared" si="45"/>
        <v>#VALUE!</v>
      </c>
      <c r="DK33" s="14" t="e">
        <f t="shared" si="45"/>
        <v>#VALUE!</v>
      </c>
      <c r="DL33" s="15" t="e">
        <f t="shared" si="45"/>
        <v>#VALUE!</v>
      </c>
      <c r="DM33" s="16" t="e">
        <f t="shared" si="45"/>
        <v>#VALUE!</v>
      </c>
      <c r="DN33" s="13" t="e">
        <f t="shared" si="45"/>
        <v>#VALUE!</v>
      </c>
      <c r="DO33" s="14" t="e">
        <f t="shared" si="45"/>
        <v>#VALUE!</v>
      </c>
      <c r="DP33" s="14" t="e">
        <f t="shared" si="45"/>
        <v>#VALUE!</v>
      </c>
      <c r="DQ33" s="14" t="e">
        <f t="shared" si="45"/>
        <v>#VALUE!</v>
      </c>
      <c r="DR33" s="14" t="e">
        <f t="shared" si="45"/>
        <v>#VALUE!</v>
      </c>
      <c r="DS33" s="15" t="e">
        <f t="shared" si="45"/>
        <v>#VALUE!</v>
      </c>
      <c r="DT33" s="16" t="e">
        <f t="shared" si="45"/>
        <v>#VALUE!</v>
      </c>
    </row>
    <row r="34" spans="1:124" s="17" customFormat="1" ht="2.1" customHeight="1">
      <c r="A34" s="29"/>
      <c r="B34" s="29"/>
      <c r="C34" s="30"/>
      <c r="D34" s="30"/>
      <c r="E34" s="31"/>
      <c r="F34" s="14"/>
      <c r="G34" s="14"/>
      <c r="H34" s="14"/>
      <c r="I34" s="14"/>
      <c r="J34" s="14"/>
      <c r="K34" s="15"/>
      <c r="L34" s="16"/>
      <c r="M34" s="13"/>
      <c r="N34" s="14"/>
      <c r="O34" s="14"/>
      <c r="P34" s="14"/>
      <c r="Q34" s="14"/>
      <c r="R34" s="15"/>
      <c r="S34" s="16"/>
      <c r="T34" s="13"/>
      <c r="U34" s="14"/>
      <c r="V34" s="14"/>
      <c r="W34" s="14"/>
      <c r="X34" s="14"/>
      <c r="Y34" s="15"/>
      <c r="Z34" s="16"/>
      <c r="AA34" s="13"/>
      <c r="AB34" s="14"/>
      <c r="AC34" s="14"/>
      <c r="AD34" s="14"/>
      <c r="AE34" s="14"/>
      <c r="AF34" s="15"/>
      <c r="AG34" s="16"/>
      <c r="AH34" s="13"/>
      <c r="AI34" s="14"/>
      <c r="AJ34" s="14"/>
      <c r="AK34" s="14"/>
      <c r="AL34" s="14"/>
      <c r="AM34" s="15"/>
      <c r="AN34" s="16"/>
      <c r="AO34" s="13"/>
      <c r="AP34" s="14"/>
      <c r="AQ34" s="14"/>
      <c r="AR34" s="14"/>
      <c r="AS34" s="14"/>
      <c r="AT34" s="15"/>
      <c r="AU34" s="16"/>
      <c r="AV34" s="13"/>
      <c r="AW34" s="14"/>
      <c r="AX34" s="14"/>
      <c r="AY34" s="14"/>
      <c r="AZ34" s="14"/>
      <c r="BA34" s="15"/>
      <c r="BB34" s="16"/>
      <c r="BC34" s="13"/>
      <c r="BD34" s="14"/>
      <c r="BE34" s="14"/>
      <c r="BF34" s="14"/>
      <c r="BG34" s="14"/>
      <c r="BH34" s="15"/>
      <c r="BI34" s="16"/>
      <c r="BJ34" s="13"/>
      <c r="BK34" s="14"/>
      <c r="BL34" s="14"/>
      <c r="BM34" s="14"/>
      <c r="BN34" s="14"/>
      <c r="BO34" s="15"/>
      <c r="BP34" s="16"/>
      <c r="BQ34" s="13"/>
      <c r="BR34" s="14"/>
      <c r="BS34" s="14"/>
      <c r="BT34" s="14"/>
      <c r="BU34" s="14"/>
      <c r="BV34" s="15"/>
      <c r="BW34" s="16"/>
      <c r="BX34" s="13"/>
      <c r="BY34" s="14"/>
      <c r="BZ34" s="14"/>
      <c r="CA34" s="14"/>
      <c r="CB34" s="14"/>
      <c r="CC34" s="15"/>
      <c r="CD34" s="16"/>
      <c r="CE34" s="13"/>
      <c r="CF34" s="14"/>
      <c r="CG34" s="14"/>
      <c r="CH34" s="14"/>
      <c r="CI34" s="14"/>
      <c r="CJ34" s="15"/>
      <c r="CK34" s="16"/>
      <c r="CL34" s="13"/>
      <c r="CM34" s="14"/>
      <c r="CN34" s="14"/>
      <c r="CO34" s="14"/>
      <c r="CP34" s="14"/>
      <c r="CQ34" s="15"/>
      <c r="CR34" s="16"/>
      <c r="CS34" s="13"/>
      <c r="CT34" s="14"/>
      <c r="CU34" s="14"/>
      <c r="CV34" s="14"/>
      <c r="CW34" s="14"/>
      <c r="CX34" s="15"/>
      <c r="CY34" s="16"/>
      <c r="CZ34" s="13"/>
      <c r="DA34" s="14"/>
      <c r="DB34" s="14"/>
      <c r="DC34" s="14"/>
      <c r="DD34" s="14"/>
      <c r="DE34" s="15"/>
      <c r="DF34" s="16"/>
      <c r="DG34" s="13"/>
      <c r="DH34" s="14"/>
      <c r="DI34" s="14"/>
      <c r="DJ34" s="14"/>
      <c r="DK34" s="14"/>
      <c r="DL34" s="15"/>
      <c r="DM34" s="16"/>
      <c r="DN34" s="13"/>
      <c r="DO34" s="14"/>
      <c r="DP34" s="14"/>
      <c r="DQ34" s="14"/>
      <c r="DR34" s="14"/>
      <c r="DS34" s="15"/>
      <c r="DT34" s="16"/>
    </row>
    <row r="35" spans="1:124" s="17" customFormat="1" ht="15" customHeight="1">
      <c r="A35" s="534" t="s">
        <v>60</v>
      </c>
      <c r="B35" s="535"/>
      <c r="C35" s="536" t="e">
        <f>E23-C8+1</f>
        <v>#VALUE!</v>
      </c>
      <c r="D35" s="535"/>
      <c r="E35" s="537"/>
      <c r="F35" s="14" t="e">
        <f t="shared" ref="F35:AK35" si="46">IF(AND(F$5&gt;=$C$8,F$5&lt;=$E$23),1,"")</f>
        <v>#VALUE!</v>
      </c>
      <c r="G35" s="14" t="e">
        <f t="shared" si="46"/>
        <v>#VALUE!</v>
      </c>
      <c r="H35" s="14" t="e">
        <f t="shared" si="46"/>
        <v>#VALUE!</v>
      </c>
      <c r="I35" s="14" t="e">
        <f t="shared" si="46"/>
        <v>#VALUE!</v>
      </c>
      <c r="J35" s="14" t="e">
        <f t="shared" si="46"/>
        <v>#VALUE!</v>
      </c>
      <c r="K35" s="15" t="e">
        <f t="shared" si="46"/>
        <v>#VALUE!</v>
      </c>
      <c r="L35" s="16" t="e">
        <f t="shared" si="46"/>
        <v>#VALUE!</v>
      </c>
      <c r="M35" s="13" t="e">
        <f t="shared" si="46"/>
        <v>#VALUE!</v>
      </c>
      <c r="N35" s="14" t="e">
        <f t="shared" si="46"/>
        <v>#VALUE!</v>
      </c>
      <c r="O35" s="14" t="e">
        <f t="shared" si="46"/>
        <v>#VALUE!</v>
      </c>
      <c r="P35" s="14" t="e">
        <f t="shared" si="46"/>
        <v>#VALUE!</v>
      </c>
      <c r="Q35" s="14" t="e">
        <f t="shared" si="46"/>
        <v>#VALUE!</v>
      </c>
      <c r="R35" s="15" t="e">
        <f t="shared" si="46"/>
        <v>#VALUE!</v>
      </c>
      <c r="S35" s="16" t="e">
        <f t="shared" si="46"/>
        <v>#VALUE!</v>
      </c>
      <c r="T35" s="13" t="e">
        <f t="shared" si="46"/>
        <v>#VALUE!</v>
      </c>
      <c r="U35" s="14" t="e">
        <f t="shared" si="46"/>
        <v>#VALUE!</v>
      </c>
      <c r="V35" s="14" t="e">
        <f t="shared" si="46"/>
        <v>#VALUE!</v>
      </c>
      <c r="W35" s="14" t="e">
        <f t="shared" si="46"/>
        <v>#VALUE!</v>
      </c>
      <c r="X35" s="14" t="e">
        <f t="shared" si="46"/>
        <v>#VALUE!</v>
      </c>
      <c r="Y35" s="15" t="e">
        <f t="shared" si="46"/>
        <v>#VALUE!</v>
      </c>
      <c r="Z35" s="16" t="e">
        <f t="shared" si="46"/>
        <v>#VALUE!</v>
      </c>
      <c r="AA35" s="13" t="e">
        <f t="shared" si="46"/>
        <v>#VALUE!</v>
      </c>
      <c r="AB35" s="14" t="e">
        <f t="shared" si="46"/>
        <v>#VALUE!</v>
      </c>
      <c r="AC35" s="14" t="e">
        <f t="shared" si="46"/>
        <v>#VALUE!</v>
      </c>
      <c r="AD35" s="14" t="e">
        <f t="shared" si="46"/>
        <v>#VALUE!</v>
      </c>
      <c r="AE35" s="14" t="e">
        <f t="shared" si="46"/>
        <v>#VALUE!</v>
      </c>
      <c r="AF35" s="15" t="e">
        <f t="shared" si="46"/>
        <v>#VALUE!</v>
      </c>
      <c r="AG35" s="16" t="e">
        <f t="shared" si="46"/>
        <v>#VALUE!</v>
      </c>
      <c r="AH35" s="13" t="e">
        <f t="shared" si="46"/>
        <v>#VALUE!</v>
      </c>
      <c r="AI35" s="14" t="e">
        <f t="shared" si="46"/>
        <v>#VALUE!</v>
      </c>
      <c r="AJ35" s="14" t="e">
        <f t="shared" si="46"/>
        <v>#VALUE!</v>
      </c>
      <c r="AK35" s="14" t="e">
        <f t="shared" si="46"/>
        <v>#VALUE!</v>
      </c>
      <c r="AL35" s="14" t="e">
        <f t="shared" ref="AL35:BQ35" si="47">IF(AND(AL$5&gt;=$C$8,AL$5&lt;=$E$23),1,"")</f>
        <v>#VALUE!</v>
      </c>
      <c r="AM35" s="15" t="e">
        <f t="shared" si="47"/>
        <v>#VALUE!</v>
      </c>
      <c r="AN35" s="16" t="e">
        <f t="shared" si="47"/>
        <v>#VALUE!</v>
      </c>
      <c r="AO35" s="13" t="e">
        <f t="shared" si="47"/>
        <v>#VALUE!</v>
      </c>
      <c r="AP35" s="14" t="e">
        <f t="shared" si="47"/>
        <v>#VALUE!</v>
      </c>
      <c r="AQ35" s="14" t="e">
        <f t="shared" si="47"/>
        <v>#VALUE!</v>
      </c>
      <c r="AR35" s="14" t="e">
        <f t="shared" si="47"/>
        <v>#VALUE!</v>
      </c>
      <c r="AS35" s="14" t="e">
        <f t="shared" si="47"/>
        <v>#VALUE!</v>
      </c>
      <c r="AT35" s="15" t="e">
        <f t="shared" si="47"/>
        <v>#VALUE!</v>
      </c>
      <c r="AU35" s="16" t="e">
        <f t="shared" si="47"/>
        <v>#VALUE!</v>
      </c>
      <c r="AV35" s="13" t="e">
        <f t="shared" si="47"/>
        <v>#VALUE!</v>
      </c>
      <c r="AW35" s="14" t="e">
        <f t="shared" si="47"/>
        <v>#VALUE!</v>
      </c>
      <c r="AX35" s="14" t="e">
        <f t="shared" si="47"/>
        <v>#VALUE!</v>
      </c>
      <c r="AY35" s="14" t="e">
        <f t="shared" si="47"/>
        <v>#VALUE!</v>
      </c>
      <c r="AZ35" s="14" t="e">
        <f t="shared" si="47"/>
        <v>#VALUE!</v>
      </c>
      <c r="BA35" s="15" t="e">
        <f t="shared" si="47"/>
        <v>#VALUE!</v>
      </c>
      <c r="BB35" s="16" t="e">
        <f t="shared" si="47"/>
        <v>#VALUE!</v>
      </c>
      <c r="BC35" s="13" t="e">
        <f t="shared" si="47"/>
        <v>#VALUE!</v>
      </c>
      <c r="BD35" s="14" t="e">
        <f t="shared" si="47"/>
        <v>#VALUE!</v>
      </c>
      <c r="BE35" s="14" t="e">
        <f t="shared" si="47"/>
        <v>#VALUE!</v>
      </c>
      <c r="BF35" s="14" t="e">
        <f t="shared" si="47"/>
        <v>#VALUE!</v>
      </c>
      <c r="BG35" s="14" t="e">
        <f t="shared" si="47"/>
        <v>#VALUE!</v>
      </c>
      <c r="BH35" s="15" t="e">
        <f t="shared" si="47"/>
        <v>#VALUE!</v>
      </c>
      <c r="BI35" s="16" t="e">
        <f t="shared" si="47"/>
        <v>#VALUE!</v>
      </c>
      <c r="BJ35" s="13" t="e">
        <f t="shared" si="47"/>
        <v>#VALUE!</v>
      </c>
      <c r="BK35" s="14" t="e">
        <f t="shared" si="47"/>
        <v>#VALUE!</v>
      </c>
      <c r="BL35" s="14" t="e">
        <f t="shared" si="47"/>
        <v>#VALUE!</v>
      </c>
      <c r="BM35" s="14" t="e">
        <f t="shared" si="47"/>
        <v>#VALUE!</v>
      </c>
      <c r="BN35" s="14" t="e">
        <f t="shared" si="47"/>
        <v>#VALUE!</v>
      </c>
      <c r="BO35" s="15" t="e">
        <f t="shared" si="47"/>
        <v>#VALUE!</v>
      </c>
      <c r="BP35" s="16" t="e">
        <f t="shared" si="47"/>
        <v>#VALUE!</v>
      </c>
      <c r="BQ35" s="13" t="e">
        <f t="shared" si="47"/>
        <v>#VALUE!</v>
      </c>
      <c r="BR35" s="14" t="e">
        <f t="shared" ref="BR35:CW35" si="48">IF(AND(BR$5&gt;=$C$8,BR$5&lt;=$E$23),1,"")</f>
        <v>#VALUE!</v>
      </c>
      <c r="BS35" s="14" t="e">
        <f t="shared" si="48"/>
        <v>#VALUE!</v>
      </c>
      <c r="BT35" s="14" t="e">
        <f t="shared" si="48"/>
        <v>#VALUE!</v>
      </c>
      <c r="BU35" s="14" t="e">
        <f t="shared" si="48"/>
        <v>#VALUE!</v>
      </c>
      <c r="BV35" s="15" t="e">
        <f t="shared" si="48"/>
        <v>#VALUE!</v>
      </c>
      <c r="BW35" s="16" t="e">
        <f t="shared" si="48"/>
        <v>#VALUE!</v>
      </c>
      <c r="BX35" s="13" t="e">
        <f t="shared" si="48"/>
        <v>#VALUE!</v>
      </c>
      <c r="BY35" s="14" t="e">
        <f t="shared" si="48"/>
        <v>#VALUE!</v>
      </c>
      <c r="BZ35" s="14" t="e">
        <f t="shared" si="48"/>
        <v>#VALUE!</v>
      </c>
      <c r="CA35" s="14" t="e">
        <f t="shared" si="48"/>
        <v>#VALUE!</v>
      </c>
      <c r="CB35" s="14" t="e">
        <f t="shared" si="48"/>
        <v>#VALUE!</v>
      </c>
      <c r="CC35" s="15" t="e">
        <f t="shared" si="48"/>
        <v>#VALUE!</v>
      </c>
      <c r="CD35" s="16" t="e">
        <f t="shared" si="48"/>
        <v>#VALUE!</v>
      </c>
      <c r="CE35" s="13" t="e">
        <f t="shared" si="48"/>
        <v>#VALUE!</v>
      </c>
      <c r="CF35" s="14" t="e">
        <f t="shared" si="48"/>
        <v>#VALUE!</v>
      </c>
      <c r="CG35" s="14" t="e">
        <f t="shared" si="48"/>
        <v>#VALUE!</v>
      </c>
      <c r="CH35" s="14" t="e">
        <f t="shared" si="48"/>
        <v>#VALUE!</v>
      </c>
      <c r="CI35" s="14" t="e">
        <f t="shared" si="48"/>
        <v>#VALUE!</v>
      </c>
      <c r="CJ35" s="15" t="e">
        <f t="shared" si="48"/>
        <v>#VALUE!</v>
      </c>
      <c r="CK35" s="16" t="e">
        <f t="shared" si="48"/>
        <v>#VALUE!</v>
      </c>
      <c r="CL35" s="13" t="e">
        <f t="shared" si="48"/>
        <v>#VALUE!</v>
      </c>
      <c r="CM35" s="14" t="e">
        <f t="shared" si="48"/>
        <v>#VALUE!</v>
      </c>
      <c r="CN35" s="14" t="e">
        <f t="shared" si="48"/>
        <v>#VALUE!</v>
      </c>
      <c r="CO35" s="14" t="e">
        <f t="shared" si="48"/>
        <v>#VALUE!</v>
      </c>
      <c r="CP35" s="14" t="e">
        <f t="shared" si="48"/>
        <v>#VALUE!</v>
      </c>
      <c r="CQ35" s="15" t="e">
        <f t="shared" si="48"/>
        <v>#VALUE!</v>
      </c>
      <c r="CR35" s="16" t="e">
        <f t="shared" si="48"/>
        <v>#VALUE!</v>
      </c>
      <c r="CS35" s="13" t="e">
        <f t="shared" si="48"/>
        <v>#VALUE!</v>
      </c>
      <c r="CT35" s="14" t="e">
        <f t="shared" si="48"/>
        <v>#VALUE!</v>
      </c>
      <c r="CU35" s="14" t="e">
        <f t="shared" si="48"/>
        <v>#VALUE!</v>
      </c>
      <c r="CV35" s="14" t="e">
        <f t="shared" si="48"/>
        <v>#VALUE!</v>
      </c>
      <c r="CW35" s="14" t="e">
        <f t="shared" si="48"/>
        <v>#VALUE!</v>
      </c>
      <c r="CX35" s="15" t="e">
        <f t="shared" ref="CX35:DT35" si="49">IF(AND(CX$5&gt;=$C$8,CX$5&lt;=$E$23),1,"")</f>
        <v>#VALUE!</v>
      </c>
      <c r="CY35" s="16" t="e">
        <f t="shared" si="49"/>
        <v>#VALUE!</v>
      </c>
      <c r="CZ35" s="13" t="e">
        <f t="shared" si="49"/>
        <v>#VALUE!</v>
      </c>
      <c r="DA35" s="14" t="e">
        <f t="shared" si="49"/>
        <v>#VALUE!</v>
      </c>
      <c r="DB35" s="14" t="e">
        <f t="shared" si="49"/>
        <v>#VALUE!</v>
      </c>
      <c r="DC35" s="14" t="e">
        <f t="shared" si="49"/>
        <v>#VALUE!</v>
      </c>
      <c r="DD35" s="14" t="e">
        <f t="shared" si="49"/>
        <v>#VALUE!</v>
      </c>
      <c r="DE35" s="15" t="e">
        <f t="shared" si="49"/>
        <v>#VALUE!</v>
      </c>
      <c r="DF35" s="16" t="e">
        <f t="shared" si="49"/>
        <v>#VALUE!</v>
      </c>
      <c r="DG35" s="13" t="e">
        <f t="shared" si="49"/>
        <v>#VALUE!</v>
      </c>
      <c r="DH35" s="14" t="e">
        <f t="shared" si="49"/>
        <v>#VALUE!</v>
      </c>
      <c r="DI35" s="14" t="e">
        <f t="shared" si="49"/>
        <v>#VALUE!</v>
      </c>
      <c r="DJ35" s="14" t="e">
        <f t="shared" si="49"/>
        <v>#VALUE!</v>
      </c>
      <c r="DK35" s="14" t="e">
        <f t="shared" si="49"/>
        <v>#VALUE!</v>
      </c>
      <c r="DL35" s="15" t="e">
        <f t="shared" si="49"/>
        <v>#VALUE!</v>
      </c>
      <c r="DM35" s="16" t="e">
        <f t="shared" si="49"/>
        <v>#VALUE!</v>
      </c>
      <c r="DN35" s="13" t="e">
        <f t="shared" si="49"/>
        <v>#VALUE!</v>
      </c>
      <c r="DO35" s="14" t="e">
        <f t="shared" si="49"/>
        <v>#VALUE!</v>
      </c>
      <c r="DP35" s="14" t="e">
        <f t="shared" si="49"/>
        <v>#VALUE!</v>
      </c>
      <c r="DQ35" s="14" t="e">
        <f t="shared" si="49"/>
        <v>#VALUE!</v>
      </c>
      <c r="DR35" s="14" t="e">
        <f t="shared" si="49"/>
        <v>#VALUE!</v>
      </c>
      <c r="DS35" s="15" t="e">
        <f t="shared" si="49"/>
        <v>#VALUE!</v>
      </c>
      <c r="DT35" s="16" t="e">
        <f t="shared" si="49"/>
        <v>#VALUE!</v>
      </c>
    </row>
    <row r="36" spans="1:124" ht="2.1" customHeight="1"/>
    <row r="37" spans="1:124" s="17" customFormat="1" ht="15" customHeight="1">
      <c r="A37" s="538" t="s">
        <v>61</v>
      </c>
      <c r="B37" s="535"/>
      <c r="C37" s="539" t="e">
        <f>E23-IF(B1="SFK Freight Forwarder",C11,C8)+1</f>
        <v>#VALUE!</v>
      </c>
      <c r="D37" s="535"/>
      <c r="E37" s="537"/>
      <c r="F37" s="14" t="e">
        <f t="shared" ref="F37:AK37" si="50">IF($B$1="SFK Freight Forwarder",IF(AND(F$5&gt;=$C$11,F$5&lt;=$E$23),1,""),IF(AND(F$5&gt;=$C$8,F$5&lt;=$E$23),1,""))</f>
        <v>#VALUE!</v>
      </c>
      <c r="G37" s="14" t="e">
        <f t="shared" si="50"/>
        <v>#VALUE!</v>
      </c>
      <c r="H37" s="14" t="e">
        <f t="shared" si="50"/>
        <v>#VALUE!</v>
      </c>
      <c r="I37" s="14" t="e">
        <f t="shared" si="50"/>
        <v>#VALUE!</v>
      </c>
      <c r="J37" s="14" t="e">
        <f t="shared" si="50"/>
        <v>#VALUE!</v>
      </c>
      <c r="K37" s="15" t="e">
        <f t="shared" si="50"/>
        <v>#VALUE!</v>
      </c>
      <c r="L37" s="92" t="e">
        <f t="shared" si="50"/>
        <v>#VALUE!</v>
      </c>
      <c r="M37" s="13" t="e">
        <f t="shared" si="50"/>
        <v>#VALUE!</v>
      </c>
      <c r="N37" s="14" t="e">
        <f t="shared" si="50"/>
        <v>#VALUE!</v>
      </c>
      <c r="O37" s="14" t="e">
        <f t="shared" si="50"/>
        <v>#VALUE!</v>
      </c>
      <c r="P37" s="14" t="e">
        <f t="shared" si="50"/>
        <v>#VALUE!</v>
      </c>
      <c r="Q37" s="14" t="e">
        <f t="shared" si="50"/>
        <v>#VALUE!</v>
      </c>
      <c r="R37" s="15" t="e">
        <f t="shared" si="50"/>
        <v>#VALUE!</v>
      </c>
      <c r="S37" s="16" t="e">
        <f t="shared" si="50"/>
        <v>#VALUE!</v>
      </c>
      <c r="T37" s="13" t="e">
        <f t="shared" si="50"/>
        <v>#VALUE!</v>
      </c>
      <c r="U37" s="14" t="e">
        <f t="shared" si="50"/>
        <v>#VALUE!</v>
      </c>
      <c r="V37" s="14" t="e">
        <f t="shared" si="50"/>
        <v>#VALUE!</v>
      </c>
      <c r="W37" s="14" t="e">
        <f t="shared" si="50"/>
        <v>#VALUE!</v>
      </c>
      <c r="X37" s="14" t="e">
        <f t="shared" si="50"/>
        <v>#VALUE!</v>
      </c>
      <c r="Y37" s="15" t="e">
        <f t="shared" si="50"/>
        <v>#VALUE!</v>
      </c>
      <c r="Z37" s="16" t="e">
        <f t="shared" si="50"/>
        <v>#VALUE!</v>
      </c>
      <c r="AA37" s="13" t="e">
        <f t="shared" si="50"/>
        <v>#VALUE!</v>
      </c>
      <c r="AB37" s="14" t="e">
        <f t="shared" si="50"/>
        <v>#VALUE!</v>
      </c>
      <c r="AC37" s="14" t="e">
        <f t="shared" si="50"/>
        <v>#VALUE!</v>
      </c>
      <c r="AD37" s="14" t="e">
        <f t="shared" si="50"/>
        <v>#VALUE!</v>
      </c>
      <c r="AE37" s="14" t="e">
        <f t="shared" si="50"/>
        <v>#VALUE!</v>
      </c>
      <c r="AF37" s="15" t="e">
        <f t="shared" si="50"/>
        <v>#VALUE!</v>
      </c>
      <c r="AG37" s="16" t="e">
        <f t="shared" si="50"/>
        <v>#VALUE!</v>
      </c>
      <c r="AH37" s="13" t="e">
        <f t="shared" si="50"/>
        <v>#VALUE!</v>
      </c>
      <c r="AI37" s="14" t="e">
        <f t="shared" si="50"/>
        <v>#VALUE!</v>
      </c>
      <c r="AJ37" s="14" t="e">
        <f t="shared" si="50"/>
        <v>#VALUE!</v>
      </c>
      <c r="AK37" s="14" t="e">
        <f t="shared" si="50"/>
        <v>#VALUE!</v>
      </c>
      <c r="AL37" s="14" t="e">
        <f t="shared" ref="AL37:BQ37" si="51">IF($B$1="SFK Freight Forwarder",IF(AND(AL$5&gt;=$C$11,AL$5&lt;=$E$23),1,""),IF(AND(AL$5&gt;=$C$8,AL$5&lt;=$E$23),1,""))</f>
        <v>#VALUE!</v>
      </c>
      <c r="AM37" s="15" t="e">
        <f t="shared" si="51"/>
        <v>#VALUE!</v>
      </c>
      <c r="AN37" s="16" t="e">
        <f t="shared" si="51"/>
        <v>#VALUE!</v>
      </c>
      <c r="AO37" s="13" t="e">
        <f t="shared" si="51"/>
        <v>#VALUE!</v>
      </c>
      <c r="AP37" s="14" t="e">
        <f t="shared" si="51"/>
        <v>#VALUE!</v>
      </c>
      <c r="AQ37" s="14" t="e">
        <f t="shared" si="51"/>
        <v>#VALUE!</v>
      </c>
      <c r="AR37" s="14" t="e">
        <f t="shared" si="51"/>
        <v>#VALUE!</v>
      </c>
      <c r="AS37" s="14" t="e">
        <f t="shared" si="51"/>
        <v>#VALUE!</v>
      </c>
      <c r="AT37" s="15" t="e">
        <f t="shared" si="51"/>
        <v>#VALUE!</v>
      </c>
      <c r="AU37" s="16" t="e">
        <f t="shared" si="51"/>
        <v>#VALUE!</v>
      </c>
      <c r="AV37" s="13" t="e">
        <f t="shared" si="51"/>
        <v>#VALUE!</v>
      </c>
      <c r="AW37" s="14" t="e">
        <f t="shared" si="51"/>
        <v>#VALUE!</v>
      </c>
      <c r="AX37" s="14" t="e">
        <f t="shared" si="51"/>
        <v>#VALUE!</v>
      </c>
      <c r="AY37" s="14" t="e">
        <f t="shared" si="51"/>
        <v>#VALUE!</v>
      </c>
      <c r="AZ37" s="14" t="e">
        <f t="shared" si="51"/>
        <v>#VALUE!</v>
      </c>
      <c r="BA37" s="15" t="e">
        <f t="shared" si="51"/>
        <v>#VALUE!</v>
      </c>
      <c r="BB37" s="16" t="e">
        <f t="shared" si="51"/>
        <v>#VALUE!</v>
      </c>
      <c r="BC37" s="13" t="e">
        <f t="shared" si="51"/>
        <v>#VALUE!</v>
      </c>
      <c r="BD37" s="14" t="e">
        <f t="shared" si="51"/>
        <v>#VALUE!</v>
      </c>
      <c r="BE37" s="14" t="e">
        <f t="shared" si="51"/>
        <v>#VALUE!</v>
      </c>
      <c r="BF37" s="14" t="e">
        <f t="shared" si="51"/>
        <v>#VALUE!</v>
      </c>
      <c r="BG37" s="14" t="e">
        <f t="shared" si="51"/>
        <v>#VALUE!</v>
      </c>
      <c r="BH37" s="15" t="e">
        <f t="shared" si="51"/>
        <v>#VALUE!</v>
      </c>
      <c r="BI37" s="16" t="e">
        <f t="shared" si="51"/>
        <v>#VALUE!</v>
      </c>
      <c r="BJ37" s="13" t="e">
        <f t="shared" si="51"/>
        <v>#VALUE!</v>
      </c>
      <c r="BK37" s="14" t="e">
        <f t="shared" si="51"/>
        <v>#VALUE!</v>
      </c>
      <c r="BL37" s="14" t="e">
        <f t="shared" si="51"/>
        <v>#VALUE!</v>
      </c>
      <c r="BM37" s="14" t="e">
        <f t="shared" si="51"/>
        <v>#VALUE!</v>
      </c>
      <c r="BN37" s="14" t="e">
        <f t="shared" si="51"/>
        <v>#VALUE!</v>
      </c>
      <c r="BO37" s="15" t="e">
        <f t="shared" si="51"/>
        <v>#VALUE!</v>
      </c>
      <c r="BP37" s="16" t="e">
        <f t="shared" si="51"/>
        <v>#VALUE!</v>
      </c>
      <c r="BQ37" s="13" t="e">
        <f t="shared" si="51"/>
        <v>#VALUE!</v>
      </c>
      <c r="BR37" s="14" t="e">
        <f t="shared" ref="BR37:CW37" si="52">IF($B$1="SFK Freight Forwarder",IF(AND(BR$5&gt;=$C$11,BR$5&lt;=$E$23),1,""),IF(AND(BR$5&gt;=$C$8,BR$5&lt;=$E$23),1,""))</f>
        <v>#VALUE!</v>
      </c>
      <c r="BS37" s="14" t="e">
        <f t="shared" si="52"/>
        <v>#VALUE!</v>
      </c>
      <c r="BT37" s="14" t="e">
        <f t="shared" si="52"/>
        <v>#VALUE!</v>
      </c>
      <c r="BU37" s="14" t="e">
        <f t="shared" si="52"/>
        <v>#VALUE!</v>
      </c>
      <c r="BV37" s="15" t="e">
        <f t="shared" si="52"/>
        <v>#VALUE!</v>
      </c>
      <c r="BW37" s="16" t="e">
        <f t="shared" si="52"/>
        <v>#VALUE!</v>
      </c>
      <c r="BX37" s="13" t="e">
        <f t="shared" si="52"/>
        <v>#VALUE!</v>
      </c>
      <c r="BY37" s="14" t="e">
        <f t="shared" si="52"/>
        <v>#VALUE!</v>
      </c>
      <c r="BZ37" s="14" t="e">
        <f t="shared" si="52"/>
        <v>#VALUE!</v>
      </c>
      <c r="CA37" s="14" t="e">
        <f t="shared" si="52"/>
        <v>#VALUE!</v>
      </c>
      <c r="CB37" s="14" t="e">
        <f t="shared" si="52"/>
        <v>#VALUE!</v>
      </c>
      <c r="CC37" s="15" t="e">
        <f t="shared" si="52"/>
        <v>#VALUE!</v>
      </c>
      <c r="CD37" s="16" t="e">
        <f t="shared" si="52"/>
        <v>#VALUE!</v>
      </c>
      <c r="CE37" s="13" t="e">
        <f t="shared" si="52"/>
        <v>#VALUE!</v>
      </c>
      <c r="CF37" s="14" t="e">
        <f t="shared" si="52"/>
        <v>#VALUE!</v>
      </c>
      <c r="CG37" s="14" t="e">
        <f t="shared" si="52"/>
        <v>#VALUE!</v>
      </c>
      <c r="CH37" s="14" t="e">
        <f t="shared" si="52"/>
        <v>#VALUE!</v>
      </c>
      <c r="CI37" s="14" t="e">
        <f t="shared" si="52"/>
        <v>#VALUE!</v>
      </c>
      <c r="CJ37" s="15" t="e">
        <f t="shared" si="52"/>
        <v>#VALUE!</v>
      </c>
      <c r="CK37" s="16" t="e">
        <f t="shared" si="52"/>
        <v>#VALUE!</v>
      </c>
      <c r="CL37" s="13" t="e">
        <f t="shared" si="52"/>
        <v>#VALUE!</v>
      </c>
      <c r="CM37" s="14" t="e">
        <f t="shared" si="52"/>
        <v>#VALUE!</v>
      </c>
      <c r="CN37" s="14" t="e">
        <f t="shared" si="52"/>
        <v>#VALUE!</v>
      </c>
      <c r="CO37" s="14" t="e">
        <f t="shared" si="52"/>
        <v>#VALUE!</v>
      </c>
      <c r="CP37" s="14" t="e">
        <f t="shared" si="52"/>
        <v>#VALUE!</v>
      </c>
      <c r="CQ37" s="15" t="e">
        <f t="shared" si="52"/>
        <v>#VALUE!</v>
      </c>
      <c r="CR37" s="16" t="e">
        <f t="shared" si="52"/>
        <v>#VALUE!</v>
      </c>
      <c r="CS37" s="13" t="e">
        <f t="shared" si="52"/>
        <v>#VALUE!</v>
      </c>
      <c r="CT37" s="14" t="e">
        <f t="shared" si="52"/>
        <v>#VALUE!</v>
      </c>
      <c r="CU37" s="14" t="e">
        <f t="shared" si="52"/>
        <v>#VALUE!</v>
      </c>
      <c r="CV37" s="14" t="e">
        <f t="shared" si="52"/>
        <v>#VALUE!</v>
      </c>
      <c r="CW37" s="14" t="e">
        <f t="shared" si="52"/>
        <v>#VALUE!</v>
      </c>
      <c r="CX37" s="15" t="e">
        <f t="shared" ref="CX37:DT37" si="53">IF($B$1="SFK Freight Forwarder",IF(AND(CX$5&gt;=$C$11,CX$5&lt;=$E$23),1,""),IF(AND(CX$5&gt;=$C$8,CX$5&lt;=$E$23),1,""))</f>
        <v>#VALUE!</v>
      </c>
      <c r="CY37" s="16" t="e">
        <f t="shared" si="53"/>
        <v>#VALUE!</v>
      </c>
      <c r="CZ37" s="13" t="e">
        <f t="shared" si="53"/>
        <v>#VALUE!</v>
      </c>
      <c r="DA37" s="14" t="e">
        <f t="shared" si="53"/>
        <v>#VALUE!</v>
      </c>
      <c r="DB37" s="14" t="e">
        <f t="shared" si="53"/>
        <v>#VALUE!</v>
      </c>
      <c r="DC37" s="14" t="e">
        <f t="shared" si="53"/>
        <v>#VALUE!</v>
      </c>
      <c r="DD37" s="14" t="e">
        <f t="shared" si="53"/>
        <v>#VALUE!</v>
      </c>
      <c r="DE37" s="15" t="e">
        <f t="shared" si="53"/>
        <v>#VALUE!</v>
      </c>
      <c r="DF37" s="16" t="e">
        <f t="shared" si="53"/>
        <v>#VALUE!</v>
      </c>
      <c r="DG37" s="13" t="e">
        <f t="shared" si="53"/>
        <v>#VALUE!</v>
      </c>
      <c r="DH37" s="14" t="e">
        <f t="shared" si="53"/>
        <v>#VALUE!</v>
      </c>
      <c r="DI37" s="14" t="e">
        <f t="shared" si="53"/>
        <v>#VALUE!</v>
      </c>
      <c r="DJ37" s="14" t="e">
        <f t="shared" si="53"/>
        <v>#VALUE!</v>
      </c>
      <c r="DK37" s="14" t="e">
        <f t="shared" si="53"/>
        <v>#VALUE!</v>
      </c>
      <c r="DL37" s="15" t="e">
        <f t="shared" si="53"/>
        <v>#VALUE!</v>
      </c>
      <c r="DM37" s="16" t="e">
        <f t="shared" si="53"/>
        <v>#VALUE!</v>
      </c>
      <c r="DN37" s="13" t="e">
        <f t="shared" si="53"/>
        <v>#VALUE!</v>
      </c>
      <c r="DO37" s="14" t="e">
        <f t="shared" si="53"/>
        <v>#VALUE!</v>
      </c>
      <c r="DP37" s="14" t="e">
        <f t="shared" si="53"/>
        <v>#VALUE!</v>
      </c>
      <c r="DQ37" s="14" t="e">
        <f t="shared" si="53"/>
        <v>#VALUE!</v>
      </c>
      <c r="DR37" s="14" t="e">
        <f t="shared" si="53"/>
        <v>#VALUE!</v>
      </c>
      <c r="DS37" s="15" t="e">
        <f t="shared" si="53"/>
        <v>#VALUE!</v>
      </c>
      <c r="DT37" s="16" t="e">
        <f t="shared" si="53"/>
        <v>#VALUE!</v>
      </c>
    </row>
  </sheetData>
  <mergeCells count="56">
    <mergeCell ref="BJ1:BP1"/>
    <mergeCell ref="A1:A2"/>
    <mergeCell ref="B1:B2"/>
    <mergeCell ref="C1:E2"/>
    <mergeCell ref="F1:L1"/>
    <mergeCell ref="M1:S1"/>
    <mergeCell ref="T1:Z1"/>
    <mergeCell ref="AA1:AG1"/>
    <mergeCell ref="AH1:AN1"/>
    <mergeCell ref="AO1:AU1"/>
    <mergeCell ref="AV1:BB1"/>
    <mergeCell ref="BC1:BI1"/>
    <mergeCell ref="DG1:DM1"/>
    <mergeCell ref="DN1:DT1"/>
    <mergeCell ref="F2:L2"/>
    <mergeCell ref="M2:S2"/>
    <mergeCell ref="T2:Z2"/>
    <mergeCell ref="AA2:AG2"/>
    <mergeCell ref="AH2:AN2"/>
    <mergeCell ref="AO2:AU2"/>
    <mergeCell ref="AV2:BB2"/>
    <mergeCell ref="BC2:BI2"/>
    <mergeCell ref="BQ1:BW1"/>
    <mergeCell ref="BX1:CD1"/>
    <mergeCell ref="CE1:CK1"/>
    <mergeCell ref="CL1:CR1"/>
    <mergeCell ref="CS1:CY1"/>
    <mergeCell ref="CZ1:DF1"/>
    <mergeCell ref="CZ2:DF2"/>
    <mergeCell ref="DG2:DM2"/>
    <mergeCell ref="DN2:DT2"/>
    <mergeCell ref="A3:A4"/>
    <mergeCell ref="B3:B4"/>
    <mergeCell ref="C3:E4"/>
    <mergeCell ref="BJ2:BP2"/>
    <mergeCell ref="BQ2:BW2"/>
    <mergeCell ref="BX2:CD2"/>
    <mergeCell ref="CE2:CK2"/>
    <mergeCell ref="CL2:CR2"/>
    <mergeCell ref="CS2:CY2"/>
    <mergeCell ref="C5:E5"/>
    <mergeCell ref="C6:E6"/>
    <mergeCell ref="A8:A18"/>
    <mergeCell ref="A19:A20"/>
    <mergeCell ref="A27:B27"/>
    <mergeCell ref="C27:E27"/>
    <mergeCell ref="A35:B35"/>
    <mergeCell ref="C35:E35"/>
    <mergeCell ref="A37:B37"/>
    <mergeCell ref="C37:E37"/>
    <mergeCell ref="A29:B29"/>
    <mergeCell ref="C29:E29"/>
    <mergeCell ref="A31:B31"/>
    <mergeCell ref="C31:E31"/>
    <mergeCell ref="A33:B33"/>
    <mergeCell ref="C33:E33"/>
  </mergeCells>
  <conditionalFormatting sqref="F11:DT12 S8:DT10 F8:Q10">
    <cfRule type="cellIs" dxfId="330" priority="13" stopIfTrue="1" operator="equal">
      <formula>1</formula>
    </cfRule>
  </conditionalFormatting>
  <conditionalFormatting sqref="F16:DT17">
    <cfRule type="cellIs" dxfId="329" priority="15" stopIfTrue="1" operator="equal">
      <formula>1</formula>
    </cfRule>
  </conditionalFormatting>
  <conditionalFormatting sqref="F31:DT31">
    <cfRule type="cellIs" dxfId="328" priority="20" stopIfTrue="1" operator="equal">
      <formula>1</formula>
    </cfRule>
  </conditionalFormatting>
  <conditionalFormatting sqref="F27:DT27">
    <cfRule type="cellIs" dxfId="327" priority="19" stopIfTrue="1" operator="equal">
      <formula>1</formula>
    </cfRule>
  </conditionalFormatting>
  <conditionalFormatting sqref="F19:DT19 F21:DT22">
    <cfRule type="cellIs" dxfId="326" priority="16" stopIfTrue="1" operator="equal">
      <formula>1</formula>
    </cfRule>
  </conditionalFormatting>
  <conditionalFormatting sqref="F24:DT25">
    <cfRule type="cellIs" dxfId="325" priority="18" stopIfTrue="1" operator="equal">
      <formula>1</formula>
    </cfRule>
  </conditionalFormatting>
  <conditionalFormatting sqref="F33:DT33">
    <cfRule type="cellIs" dxfId="324" priority="21" stopIfTrue="1" operator="equal">
      <formula>1</formula>
    </cfRule>
  </conditionalFormatting>
  <conditionalFormatting sqref="F35:DT35">
    <cfRule type="cellIs" dxfId="323" priority="22" stopIfTrue="1" operator="equal">
      <formula>1</formula>
    </cfRule>
  </conditionalFormatting>
  <conditionalFormatting sqref="F23:DT23">
    <cfRule type="cellIs" dxfId="322" priority="17" stopIfTrue="1" operator="equal">
      <formula>1</formula>
    </cfRule>
  </conditionalFormatting>
  <conditionalFormatting sqref="F13:DT15">
    <cfRule type="cellIs" dxfId="321" priority="14" stopIfTrue="1" operator="equal">
      <formula>1</formula>
    </cfRule>
  </conditionalFormatting>
  <conditionalFormatting sqref="F11:DT17 S8:DT10 F8:Q10 F31:DT35 F21:DT28 F19:DT19">
    <cfRule type="containsErrors" dxfId="320" priority="12" stopIfTrue="1">
      <formula>ISERROR(F8)</formula>
    </cfRule>
  </conditionalFormatting>
  <conditionalFormatting sqref="R8:R10">
    <cfRule type="cellIs" dxfId="319" priority="11" stopIfTrue="1" operator="equal">
      <formula>1</formula>
    </cfRule>
    <cfRule type="containsErrors" dxfId="318" priority="10" stopIfTrue="1">
      <formula>ISERROR(R8)</formula>
    </cfRule>
  </conditionalFormatting>
  <conditionalFormatting sqref="A23">
    <cfRule type="cellIs" dxfId="317" priority="9" operator="lessThan">
      <formula>TODAY()</formula>
    </cfRule>
  </conditionalFormatting>
  <conditionalFormatting sqref="F37:DT37">
    <cfRule type="cellIs" dxfId="316" priority="8" stopIfTrue="1" operator="equal">
      <formula>1</formula>
    </cfRule>
    <cfRule type="containsErrors" dxfId="315" priority="7" stopIfTrue="1">
      <formula>ISERROR(F37)</formula>
    </cfRule>
  </conditionalFormatting>
  <conditionalFormatting sqref="F29:DT29">
    <cfRule type="cellIs" dxfId="314" priority="6" stopIfTrue="1" operator="equal">
      <formula>1</formula>
    </cfRule>
  </conditionalFormatting>
  <conditionalFormatting sqref="F29:DT30">
    <cfRule type="containsErrors" dxfId="313" priority="5" stopIfTrue="1">
      <formula>ISERROR(F29)</formula>
    </cfRule>
  </conditionalFormatting>
  <conditionalFormatting sqref="F20:DT20">
    <cfRule type="cellIs" dxfId="312" priority="4" stopIfTrue="1" operator="equal">
      <formula>1</formula>
    </cfRule>
    <cfRule type="containsErrors" dxfId="311" priority="3" stopIfTrue="1">
      <formula>ISERROR(F20)</formula>
    </cfRule>
  </conditionalFormatting>
  <conditionalFormatting sqref="F18:DT18">
    <cfRule type="cellIs" dxfId="310" priority="2" stopIfTrue="1" operator="equal">
      <formula>1</formula>
    </cfRule>
    <cfRule type="containsErrors" dxfId="309" priority="1" stopIfTrue="1">
      <formula>ISERROR(F18)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002060"/>
  </sheetPr>
  <dimension ref="A1:BC37"/>
  <sheetViews>
    <sheetView topLeftCell="G1" zoomScale="85" zoomScaleNormal="85" workbookViewId="0">
      <pane ySplit="4" topLeftCell="A20" activePane="bottomLeft" state="frozen"/>
      <selection activeCell="C24" sqref="C24"/>
      <selection pane="bottomLeft" activeCell="C24" sqref="C24"/>
    </sheetView>
  </sheetViews>
  <sheetFormatPr baseColWidth="10" defaultColWidth="10.44140625" defaultRowHeight="14.4" outlineLevelCol="1"/>
  <cols>
    <col min="1" max="1" width="10.44140625" customWidth="1" outlineLevel="1"/>
    <col min="2" max="2" width="24" customWidth="1" outlineLevel="1"/>
    <col min="3" max="7" width="10.44140625" customWidth="1" outlineLevel="1"/>
    <col min="8" max="8" width="27.44140625" customWidth="1" outlineLevel="1"/>
    <col min="9" max="9" width="13.44140625" customWidth="1"/>
    <col min="10" max="10" width="10.44140625" style="48" customWidth="1"/>
    <col min="11" max="11" width="16" customWidth="1"/>
    <col min="12" max="12" width="15" customWidth="1"/>
    <col min="13" max="13" width="10.44140625" style="475" hidden="1" customWidth="1" outlineLevel="1"/>
    <col min="14" max="14" width="10.44140625" hidden="1" customWidth="1" outlineLevel="1"/>
    <col min="15" max="15" width="18" style="48" customWidth="1" collapsed="1"/>
    <col min="16" max="16" width="10.44140625" style="475" hidden="1" customWidth="1" outlineLevel="1"/>
    <col min="17" max="23" width="10.44140625" hidden="1" customWidth="1" outlineLevel="1"/>
    <col min="24" max="24" width="16.44140625" customWidth="1" collapsed="1"/>
    <col min="25" max="25" width="10.44140625" style="475" hidden="1" customWidth="1" outlineLevel="1"/>
    <col min="26" max="26" width="14.44140625" customWidth="1" collapsed="1"/>
    <col min="27" max="36" width="10.44140625" customWidth="1" outlineLevel="1"/>
    <col min="38" max="38" width="10.44140625" style="476" customWidth="1" outlineLevel="1"/>
    <col min="39" max="40" width="10.44140625" style="1" customWidth="1" outlineLevel="1"/>
    <col min="41" max="42" width="10.44140625" customWidth="1" outlineLevel="1"/>
    <col min="43" max="43" width="10.44140625" customWidth="1" outlineLevel="1" collapsed="1"/>
    <col min="44" max="45" width="10.44140625" customWidth="1" outlineLevel="1"/>
    <col min="46" max="46" width="10.44140625" customWidth="1"/>
    <col min="49" max="49" width="25.44140625" customWidth="1"/>
    <col min="50" max="50" width="12.44140625" style="338" customWidth="1"/>
    <col min="53" max="53" width="23.44140625" bestFit="1" customWidth="1"/>
  </cols>
  <sheetData>
    <row r="1" spans="2:55" s="109" customFormat="1" ht="29.1" customHeight="1" thickBot="1">
      <c r="B1" s="594" t="s">
        <v>72</v>
      </c>
      <c r="C1" s="584"/>
      <c r="D1" s="584"/>
      <c r="E1" s="584"/>
      <c r="F1" s="584"/>
      <c r="G1" s="584"/>
      <c r="H1" s="585"/>
      <c r="I1" s="595" t="s">
        <v>73</v>
      </c>
      <c r="J1" s="596"/>
      <c r="K1" s="583" t="s">
        <v>74</v>
      </c>
      <c r="L1" s="584"/>
      <c r="M1" s="584"/>
      <c r="N1" s="585"/>
      <c r="O1" s="592" t="s">
        <v>75</v>
      </c>
      <c r="P1" s="567"/>
      <c r="Q1" s="567"/>
      <c r="R1" s="567"/>
      <c r="S1" s="567"/>
      <c r="T1" s="567"/>
      <c r="U1" s="567"/>
      <c r="V1" s="567"/>
      <c r="W1" s="567"/>
      <c r="X1" s="567"/>
      <c r="Y1" s="568"/>
      <c r="Z1" s="589" t="s">
        <v>76</v>
      </c>
      <c r="AA1" s="584"/>
      <c r="AB1" s="584"/>
      <c r="AC1" s="584"/>
      <c r="AD1" s="584"/>
      <c r="AE1" s="584"/>
      <c r="AF1" s="584"/>
      <c r="AG1" s="584"/>
      <c r="AH1" s="584"/>
      <c r="AI1" s="61"/>
      <c r="AJ1" s="591" t="s">
        <v>77</v>
      </c>
      <c r="AK1" s="584"/>
      <c r="AL1" s="584"/>
      <c r="AM1" s="584"/>
      <c r="AN1" s="584"/>
      <c r="AO1" s="584"/>
      <c r="AP1" s="584"/>
      <c r="AQ1" s="593" t="s">
        <v>78</v>
      </c>
      <c r="AR1" s="584"/>
      <c r="AS1" s="584"/>
      <c r="AT1" s="584"/>
      <c r="AU1" s="584"/>
      <c r="AV1" s="585"/>
      <c r="AW1" s="578"/>
      <c r="AX1" s="337"/>
    </row>
    <row r="2" spans="2:55" ht="16.5" customHeight="1" thickBot="1">
      <c r="B2" s="110"/>
      <c r="C2" s="63"/>
      <c r="D2" s="9"/>
      <c r="E2" s="9"/>
      <c r="F2" s="9"/>
      <c r="G2" s="9"/>
      <c r="H2" s="74"/>
      <c r="I2" s="597"/>
      <c r="J2" s="585"/>
      <c r="K2" s="586" t="s">
        <v>79</v>
      </c>
      <c r="L2" s="584"/>
      <c r="M2" s="584"/>
      <c r="N2" s="587"/>
      <c r="O2" s="580" t="s">
        <v>75</v>
      </c>
      <c r="P2" s="581"/>
      <c r="Q2" s="581"/>
      <c r="R2" s="582"/>
      <c r="S2" s="580" t="s">
        <v>75</v>
      </c>
      <c r="T2" s="581"/>
      <c r="U2" s="581"/>
      <c r="V2" s="582"/>
      <c r="W2" s="580" t="s">
        <v>80</v>
      </c>
      <c r="X2" s="581"/>
      <c r="Y2" s="582"/>
      <c r="Z2" s="580" t="s">
        <v>81</v>
      </c>
      <c r="AA2" s="581"/>
      <c r="AB2" s="581"/>
      <c r="AC2" s="581"/>
      <c r="AD2" s="581"/>
      <c r="AE2" s="581"/>
      <c r="AF2" s="581"/>
      <c r="AG2" s="581"/>
      <c r="AH2" s="581"/>
      <c r="AI2" s="582"/>
      <c r="AJ2" s="580" t="s">
        <v>82</v>
      </c>
      <c r="AK2" s="581"/>
      <c r="AL2" s="581"/>
      <c r="AM2" s="581"/>
      <c r="AN2" s="581"/>
      <c r="AO2" s="582"/>
      <c r="AP2" s="588"/>
      <c r="AQ2" s="587"/>
      <c r="AR2" s="590" t="s">
        <v>83</v>
      </c>
      <c r="AS2" s="584"/>
      <c r="AT2" s="584"/>
      <c r="AU2" s="587"/>
      <c r="AV2" s="91"/>
      <c r="AW2" s="579"/>
    </row>
    <row r="3" spans="2:55" ht="30.75" customHeight="1" thickBot="1">
      <c r="B3" s="329" t="s">
        <v>84</v>
      </c>
      <c r="C3" s="598" t="s">
        <v>85</v>
      </c>
      <c r="D3" s="599"/>
      <c r="E3" s="330" t="s">
        <v>86</v>
      </c>
      <c r="F3" s="331" t="s">
        <v>87</v>
      </c>
      <c r="G3" s="332" t="s">
        <v>88</v>
      </c>
      <c r="H3" s="333" t="s">
        <v>89</v>
      </c>
      <c r="I3" s="111">
        <v>1</v>
      </c>
      <c r="J3" s="111">
        <v>2</v>
      </c>
      <c r="K3" s="111">
        <v>3</v>
      </c>
      <c r="L3" s="111">
        <v>4</v>
      </c>
      <c r="M3" s="111">
        <v>5</v>
      </c>
      <c r="N3" s="111">
        <v>6</v>
      </c>
      <c r="O3" s="111">
        <v>7</v>
      </c>
      <c r="P3" s="111">
        <v>8</v>
      </c>
      <c r="Q3" s="111">
        <v>9</v>
      </c>
      <c r="R3" s="111">
        <v>10</v>
      </c>
      <c r="S3" s="111">
        <v>11</v>
      </c>
      <c r="T3" s="111">
        <v>12</v>
      </c>
      <c r="U3" s="111">
        <v>13</v>
      </c>
      <c r="V3" s="111">
        <v>14</v>
      </c>
      <c r="W3" s="111">
        <v>15</v>
      </c>
      <c r="X3" s="111">
        <v>16</v>
      </c>
      <c r="Y3" s="111">
        <v>17</v>
      </c>
      <c r="Z3" s="111">
        <v>18</v>
      </c>
      <c r="AA3" s="111">
        <v>19</v>
      </c>
      <c r="AB3" s="111">
        <v>20</v>
      </c>
      <c r="AC3" s="111">
        <v>21</v>
      </c>
      <c r="AD3" s="111">
        <v>22</v>
      </c>
      <c r="AE3" s="111">
        <v>23</v>
      </c>
      <c r="AF3" s="111">
        <v>24</v>
      </c>
      <c r="AG3" s="111">
        <v>25</v>
      </c>
      <c r="AH3" s="111">
        <v>26</v>
      </c>
      <c r="AI3" s="131">
        <v>27</v>
      </c>
      <c r="AJ3" s="111">
        <v>28</v>
      </c>
      <c r="AK3" s="111">
        <v>29</v>
      </c>
      <c r="AL3" s="111">
        <v>30</v>
      </c>
      <c r="AM3" s="111">
        <v>31</v>
      </c>
      <c r="AN3" s="111">
        <v>32</v>
      </c>
      <c r="AO3" s="111">
        <v>33</v>
      </c>
      <c r="AP3" s="111">
        <v>34</v>
      </c>
      <c r="AQ3" s="111">
        <v>35</v>
      </c>
      <c r="AR3" s="111">
        <v>36</v>
      </c>
      <c r="AS3" s="111">
        <v>37</v>
      </c>
      <c r="AT3" s="111">
        <v>38</v>
      </c>
      <c r="AU3" s="111">
        <v>39</v>
      </c>
      <c r="AV3" s="111">
        <v>40</v>
      </c>
      <c r="AW3" s="111">
        <v>41</v>
      </c>
    </row>
    <row r="4" spans="2:55" ht="48.6" customHeight="1" thickBot="1">
      <c r="B4" s="334" t="s">
        <v>90</v>
      </c>
      <c r="C4" s="335" t="s">
        <v>91</v>
      </c>
      <c r="D4" s="335" t="s">
        <v>92</v>
      </c>
      <c r="E4" s="335" t="s">
        <v>93</v>
      </c>
      <c r="F4" s="335" t="s">
        <v>194</v>
      </c>
      <c r="G4" s="335" t="s">
        <v>95</v>
      </c>
      <c r="H4" s="336" t="s">
        <v>96</v>
      </c>
      <c r="I4" s="112" t="s">
        <v>97</v>
      </c>
      <c r="J4" s="113" t="s">
        <v>98</v>
      </c>
      <c r="K4" s="88" t="s">
        <v>99</v>
      </c>
      <c r="L4" s="119" t="s">
        <v>100</v>
      </c>
      <c r="M4" s="477" t="s">
        <v>195</v>
      </c>
      <c r="N4" s="85" t="s">
        <v>41</v>
      </c>
      <c r="O4" s="87" t="s">
        <v>102</v>
      </c>
      <c r="P4" s="477" t="s">
        <v>103</v>
      </c>
      <c r="Q4" s="84" t="s">
        <v>104</v>
      </c>
      <c r="R4" s="85" t="s">
        <v>105</v>
      </c>
      <c r="S4" s="86" t="s">
        <v>106</v>
      </c>
      <c r="T4" s="84" t="s">
        <v>42</v>
      </c>
      <c r="U4" s="84" t="s">
        <v>107</v>
      </c>
      <c r="V4" s="85" t="s">
        <v>43</v>
      </c>
      <c r="W4" s="86" t="s">
        <v>44</v>
      </c>
      <c r="X4" s="119" t="s">
        <v>108</v>
      </c>
      <c r="Y4" s="478" t="s">
        <v>109</v>
      </c>
      <c r="Z4" s="286" t="s">
        <v>71</v>
      </c>
      <c r="AA4" s="85" t="s">
        <v>110</v>
      </c>
      <c r="AB4" s="120" t="s">
        <v>111</v>
      </c>
      <c r="AC4" s="85" t="s">
        <v>112</v>
      </c>
      <c r="AD4" s="85" t="s">
        <v>113</v>
      </c>
      <c r="AE4" s="85" t="s">
        <v>115</v>
      </c>
      <c r="AF4" s="85" t="s">
        <v>116</v>
      </c>
      <c r="AG4" s="85" t="s">
        <v>117</v>
      </c>
      <c r="AH4" s="85" t="s">
        <v>118</v>
      </c>
      <c r="AI4" s="132" t="s">
        <v>119</v>
      </c>
      <c r="AJ4" s="133" t="s">
        <v>120</v>
      </c>
      <c r="AK4" s="134" t="s">
        <v>121</v>
      </c>
      <c r="AL4" s="479" t="s">
        <v>122</v>
      </c>
      <c r="AM4" s="85" t="s">
        <v>123</v>
      </c>
      <c r="AN4" s="85" t="s">
        <v>124</v>
      </c>
      <c r="AO4" s="85" t="s">
        <v>125</v>
      </c>
      <c r="AP4" s="85" t="s">
        <v>126</v>
      </c>
      <c r="AQ4" s="85" t="s">
        <v>127</v>
      </c>
      <c r="AR4" s="85" t="s">
        <v>56</v>
      </c>
      <c r="AS4" s="85" t="s">
        <v>128</v>
      </c>
      <c r="AT4" s="85" t="s">
        <v>59</v>
      </c>
      <c r="AU4" s="85" t="s">
        <v>129</v>
      </c>
      <c r="AV4" s="85" t="s">
        <v>61</v>
      </c>
      <c r="AW4" s="286" t="s">
        <v>196</v>
      </c>
      <c r="AX4" s="322" t="s">
        <v>197</v>
      </c>
      <c r="AY4" s="323" t="s">
        <v>132</v>
      </c>
      <c r="AZ4" s="324" t="s">
        <v>133</v>
      </c>
      <c r="BA4" s="325" t="s">
        <v>134</v>
      </c>
      <c r="BB4" s="326" t="s">
        <v>135</v>
      </c>
      <c r="BC4" s="327" t="s">
        <v>136</v>
      </c>
    </row>
    <row r="5" spans="2:55">
      <c r="B5" s="65" t="str">
        <f>_xlfn.CONCAT(Tableau21[[#This Row],[Name ILN]],"-",Tableau21[[#This Row],[Name Shipper]],"-",Tableau21[[#This Row],[Name Site]])</f>
        <v>NSL Shanghai-NSL Shanghai-MOTORES</v>
      </c>
      <c r="C5" s="64" t="e">
        <f ca="1">_xlfn.CONCAT(Tableau21[[#This Row],[Compte ILN]],"-",Tableau21[[#This Row],[Compte Shipper]],"-",Tableau21[[#This Row],[POL]],"-",Tableau21[[#This Row],[Compte Site]])</f>
        <v>#N/A</v>
      </c>
      <c r="D5" s="64" t="e">
        <f ca="1">_xlfn.CONCAT(Tableau21[[#This Row],[Compte ILN]],"-",Tableau21[[#This Row],[Compte Shipper]],"-",Tableau21[[#This Row],[POL]])</f>
        <v>#N/A</v>
      </c>
      <c r="E5" s="128" t="e">
        <f ca="1">_xlfn.CONCAT(Tableau21[[#This Row],[POL]],"-",Tableau21[[#This Row],[Carrier]],"-",Tableau21[[#This Row],[POD]])</f>
        <v>#N/A</v>
      </c>
      <c r="F5" s="64" t="str">
        <f>_xlfn.CONCAT(Tableau21[[#This Row],[ID]],"-","Next")</f>
        <v>AE11-Next</v>
      </c>
      <c r="G5" s="64" t="e">
        <f ca="1">_xlfn.CONCAT(Tableau21[[#This Row],[POD]],"-",Tableau21[[#This Row],[Code PFI]],"-",Tableau21[[#This Row],[Compte Site]])</f>
        <v>#N/A</v>
      </c>
      <c r="H5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5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5" s="117" t="str">
        <f ca="1">IF(COUNTIF(I:I,Tableau21[[#This Row],[Plant-ILN-shipper-POL-Carrier-POD-PFI]])=1,"Non","Oui")</f>
        <v>Oui</v>
      </c>
      <c r="K5" s="126" t="str">
        <f>VLOOKUP(Tableau21[[#This Row],[Name Site]],Plant_AILN!A:D,4,FALSE)</f>
        <v>SPAIN</v>
      </c>
      <c r="L5" s="116" t="s">
        <v>163</v>
      </c>
      <c r="M5" s="481">
        <f>VLOOKUP(Tableau21[[#This Row],[Name Site]],Plant_AILN!A:C,3,FALSE)</f>
        <v>91017700</v>
      </c>
      <c r="N5" s="55">
        <f>VLOOKUP(Tableau21[[#This Row],[Compte Site]],Order!C:D,2,FALSE)</f>
        <v>7</v>
      </c>
      <c r="O5" s="124" t="s">
        <v>193</v>
      </c>
      <c r="P5" s="481">
        <f>VLOOKUP(Tableau21[[#This Row],[Name ILN]],Plant_AILN!F:G,2,FALSE)</f>
        <v>27261102</v>
      </c>
      <c r="Q5" s="50">
        <f>VLOOKUP(Tableau21[[#This Row],[Compte ILN]],'DATA ILN'!D:I,6,FALSE)</f>
        <v>16</v>
      </c>
      <c r="R5" s="50" t="e">
        <f ca="1">IFERROR(VLOOKUP(Tableau21[[#This Row],[Key(Compte ILN - shipper - POL - plant)]],'DATA ILN'!A:J,10,FALSE),VLOOKUP(Tableau21[[#This Row],[Key(Compte ILN - shipper - POL)]],'DATA ILN'!B:J,9,FALSE))</f>
        <v>#N/A</v>
      </c>
      <c r="S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5" s="50" t="e">
        <f ca="1">Tableau21[[#This Row],[Day ILN Order]]+Tableau21[[#This Row],[Delivery time to ILN/Shipper]]-1</f>
        <v>#N/A</v>
      </c>
      <c r="V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5" s="348" t="s">
        <v>193</v>
      </c>
      <c r="Y5" s="494">
        <f>IFERROR(VLOOKUP(Tableau21[[#This Row],[Name Shipper]],Plant_AILN!L:M,2,FALSE),0)</f>
        <v>27261102</v>
      </c>
      <c r="Z5" s="103" t="s">
        <v>198</v>
      </c>
      <c r="AA5" s="353" t="e">
        <f ca="1">IFERROR(VLOOKUP(Tableau21[[#This Row],[Key(ID-Next)]],'DATA BTO'!A:N,5,FALSE),VLOOKUP(_xlfn.CONCAT(Tableau21[[#This Row],[ID]],"-","Actif"),'DATA BTO'!A:N,5,FALSE))</f>
        <v>#N/A</v>
      </c>
      <c r="AB5" s="3" t="e">
        <f ca="1">IFERROR(VLOOKUP(Tableau21[[#This Row],[Key(ID-Next)]],'DATA BTO'!A:N,6,FALSE),VLOOKUP(_xlfn.CONCAT(Tableau21[[#This Row],[ID]],"-","Actif"),'DATA BTO'!A:N,6,FALSE))</f>
        <v>#N/A</v>
      </c>
      <c r="AC5" s="50" t="e">
        <f ca="1">IFERROR(VLOOKUP(Tableau21[[#This Row],[Key(ID-Next)]],'DATA BTO'!A:N,7,FALSE),VLOOKUP(_xlfn.CONCAT(Tableau21[[#This Row],[ID]],"-","Actif"),'DATA BTO'!A:N,7,FALSE))</f>
        <v>#N/A</v>
      </c>
      <c r="AD5" s="50" t="e">
        <f ca="1">IFERROR(VLOOKUP(Tableau21[[#This Row],[Key(ID-Next)]],'DATA BTO'!A:N,8,FALSE),VLOOKUP(_xlfn.CONCAT(Tableau21[[#This Row],[ID]],"-","Actif"),'DATA BTO'!A:N,8,FALSE))</f>
        <v>#N/A</v>
      </c>
      <c r="AE5" s="50" t="e">
        <f ca="1">IFERROR(VLOOKUP(Tableau21[[#This Row],[Key(ID-Next)]],'DATA BTO'!A:N,9,FALSE),VLOOKUP(_xlfn.CONCAT(Tableau21[[#This Row],[ID]],"-","Actif"),'DATA BTO'!A:N,9,FALSE))</f>
        <v>#N/A</v>
      </c>
      <c r="AF5" s="3" t="e">
        <f ca="1">IFERROR(VLOOKUP(Tableau21[[#This Row],[Key(ID-Next)]],'DATA BTO'!A:N,10,FALSE),VLOOKUP(_xlfn.CONCAT(Tableau21[[#This Row],[ID]],"-","Actif"),'DATA BTO'!A:N,10,FALSE))</f>
        <v>#N/A</v>
      </c>
      <c r="AG5" s="3" t="e">
        <f ca="1">IFERROR(VLOOKUP(Tableau21[[#This Row],[Key(ID-Next)]],'DATA BTO'!A:N,11,FALSE),VLOOKUP(_xlfn.CONCAT(Tableau21[[#This Row],[ID]],"-","Actif"),'DATA BTO'!A:N,11,FALSE))</f>
        <v>#N/A</v>
      </c>
      <c r="AH5" s="50" t="e">
        <f ca="1">IFERROR(VLOOKUP(Tableau21[[#This Row],[Key(ID-Next)]],'DATA BTO'!A:N,12,FALSE),VLOOKUP(_xlfn.CONCAT(Tableau21[[#This Row],[ID]],"-","Actif"),'DATA BTO'!A:N,12,FALSE))</f>
        <v>#N/A</v>
      </c>
      <c r="AI5" s="53" t="e">
        <f ca="1">IFERROR(VLOOKUP(Tableau21[[#This Row],[Key(ID-Next)]],'DATA BTO'!A:N,14,FALSE),VLOOKUP(_xlfn.CONCAT(Tableau21[[#This Row],[ID]],"-","Actif"),'DATA BTO'!A:N,14,FALSE))</f>
        <v>#N/A</v>
      </c>
      <c r="AJ5" s="54" t="e">
        <f ca="1">VLOOKUP(Tableau21[[#This Row],[Key(POD -PFI- Usine)]],'DATA Consignee'!A:F,6,FALSE)</f>
        <v>#N/A</v>
      </c>
      <c r="AK5" s="283" t="s">
        <v>199</v>
      </c>
      <c r="AL5" s="490" t="e">
        <f>IF(Tableau21[[#This Row],[Name PFI/CDD]]="","-",VLOOKUP(Tableau21[[#This Row],[Name PFI/CDD]],Plant_AILN!I:J,2,FALSE))</f>
        <v>#N/A</v>
      </c>
      <c r="AM5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5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5" s="2" t="e">
        <f ca="1">VLOOKUP(Tableau21[[#This Row],[Key(POD -PFI- Usine)]],'DATA Consignee'!A:J,10,FALSE)</f>
        <v>#N/A</v>
      </c>
      <c r="AP5" s="50" t="e">
        <f ca="1">VLOOKUP(Tableau21[[#This Row],[Key(POD -PFI- Usine)]],'DATA Consignee'!A:N,14,FALSE)</f>
        <v>#N/A</v>
      </c>
      <c r="AQ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5" s="50" t="e">
        <f ca="1">Tableau21[[#This Row],[Transit time]]+Tableau21[[#This Row],[Time for security]]+Tableau21[[#This Row],[Time for security2 buffer]]</f>
        <v>#N/A</v>
      </c>
      <c r="AT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5" s="50" t="e">
        <f ca="1">Tableau21[[#This Row],[Leadtime SI2C]]+Tableau21[[#This Row],[First Receipt Days]]-Tableau21[[#This Row],[Day Customer Order]]+1</f>
        <v>#N/A</v>
      </c>
      <c r="AV5" s="117" t="e">
        <f ca="1">IF(Tableau21[[#This Row],[Name ILN]]&lt;&gt;"SFK Freight Forwarder",Tableau21[[#This Row],[Cust. Leadtime]],Tableau21[[#This Row],[Leadtime SI2C]])</f>
        <v>#N/A</v>
      </c>
      <c r="AW5" s="57" t="s">
        <v>200</v>
      </c>
      <c r="AX5" s="328" t="e">
        <f ca="1">IFERROR(VLOOKUP(Tableau21[[#This Row],[Key(ID-Next)]],'DATA BTO'!A:N,3,FALSE),VLOOKUP(Tableau21[[#This Row],[ID]],'DATA BTO'!B:N,2,FALSE))</f>
        <v>#N/A</v>
      </c>
      <c r="AY5" s="50" t="str">
        <f>IF(ISNUMBER(Tableau21[[#This Row],[Day Customer Order]]),"-","Please Check 'Name' information in 'Order' Sheet to make sure they have information")</f>
        <v>-</v>
      </c>
      <c r="AZ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6" spans="2:55">
      <c r="B6" s="65" t="str">
        <f>_xlfn.CONCAT(Tableau21[[#This Row],[Name ILN]],"-",Tableau21[[#This Row],[Name Shipper]],"-",Tableau21[[#This Row],[Name Site]])</f>
        <v>NSL Shanghai-NSL Shanghai-SANDOUVILLE</v>
      </c>
      <c r="C6" s="64" t="e">
        <f ca="1">_xlfn.CONCAT(Tableau21[[#This Row],[Compte ILN]],"-",Tableau21[[#This Row],[Compte Shipper]],"-",Tableau21[[#This Row],[POL]],"-",Tableau21[[#This Row],[Compte Site]])</f>
        <v>#N/A</v>
      </c>
      <c r="D6" s="64" t="e">
        <f ca="1">_xlfn.CONCAT(Tableau21[[#This Row],[Compte ILN]],"-",Tableau21[[#This Row],[Compte Shipper]],"-",Tableau21[[#This Row],[POL]])</f>
        <v>#N/A</v>
      </c>
      <c r="E6" s="128" t="e">
        <f ca="1">_xlfn.CONCAT(Tableau21[[#This Row],[POL]],"-",Tableau21[[#This Row],[Carrier]],"-",Tableau21[[#This Row],[POD]])</f>
        <v>#N/A</v>
      </c>
      <c r="F6" s="64" t="str">
        <f>_xlfn.CONCAT(Tableau21[[#This Row],[ID]],"-","Next")</f>
        <v>AE11-Next</v>
      </c>
      <c r="G6" s="64" t="e">
        <f ca="1">_xlfn.CONCAT(Tableau21[[#This Row],[POD]],"-",Tableau21[[#This Row],[Code PFI]],"-",Tableau21[[#This Row],[Compte Site]])</f>
        <v>#N/A</v>
      </c>
      <c r="H6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6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6" s="117" t="str">
        <f ca="1">IF(COUNTIF(I:I,Tableau21[[#This Row],[Plant-ILN-shipper-POL-Carrier-POD-PFI]])=1,"Non","Oui")</f>
        <v>Oui</v>
      </c>
      <c r="K6" s="126" t="str">
        <f>VLOOKUP(Tableau21[[#This Row],[Name Site]],Plant_AILN!A:D,4,FALSE)</f>
        <v>FRANCE</v>
      </c>
      <c r="L6" s="57" t="s">
        <v>201</v>
      </c>
      <c r="M6" s="481">
        <f>VLOOKUP(Tableau21[[#This Row],[Name Site]],Plant_AILN!A:C,3,FALSE)</f>
        <v>90017100</v>
      </c>
      <c r="N6" s="55">
        <f>VLOOKUP(Tableau21[[#This Row],[Compte Site]],Order!C:D,2,FALSE)</f>
        <v>7</v>
      </c>
      <c r="O6" s="124" t="s">
        <v>193</v>
      </c>
      <c r="P6" s="481">
        <f>VLOOKUP(Tableau21[[#This Row],[Name ILN]],Plant_AILN!F:G,2,FALSE)</f>
        <v>27261102</v>
      </c>
      <c r="Q6" s="50">
        <f>VLOOKUP(Tableau21[[#This Row],[Compte ILN]],'DATA ILN'!D:I,6,FALSE)</f>
        <v>16</v>
      </c>
      <c r="R6" s="50" t="e">
        <f ca="1">IFERROR(VLOOKUP(Tableau21[[#This Row],[Key(Compte ILN - shipper - POL - plant)]],'DATA ILN'!A:J,10,FALSE),VLOOKUP(Tableau21[[#This Row],[Key(Compte ILN - shipper - POL)]],'DATA ILN'!B:J,9,FALSE))</f>
        <v>#N/A</v>
      </c>
      <c r="S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6" s="50" t="e">
        <f ca="1">Tableau21[[#This Row],[Day ILN Order]]+Tableau21[[#This Row],[Delivery time to ILN/Shipper]]-1</f>
        <v>#N/A</v>
      </c>
      <c r="V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6" s="349" t="s">
        <v>193</v>
      </c>
      <c r="Y6" s="494">
        <f>IFERROR(VLOOKUP(Tableau21[[#This Row],[Name Shipper]],Plant_AILN!L:M,2,FALSE),0)</f>
        <v>27261102</v>
      </c>
      <c r="Z6" s="52" t="s">
        <v>198</v>
      </c>
      <c r="AA6" s="353" t="e">
        <f ca="1">IFERROR(VLOOKUP(Tableau21[[#This Row],[Key(ID-Next)]],'DATA BTO'!A:N,5,FALSE),VLOOKUP(_xlfn.CONCAT(Tableau21[[#This Row],[ID]],"-","Actif"),'DATA BTO'!A:N,5,FALSE))</f>
        <v>#N/A</v>
      </c>
      <c r="AB6" s="3" t="e">
        <f ca="1">IFERROR(VLOOKUP(Tableau21[[#This Row],[Key(ID-Next)]],'DATA BTO'!A:N,6,FALSE),VLOOKUP(_xlfn.CONCAT(Tableau21[[#This Row],[ID]],"-","Actif"),'DATA BTO'!A:N,6,FALSE))</f>
        <v>#N/A</v>
      </c>
      <c r="AC6" s="50" t="e">
        <f ca="1">IFERROR(VLOOKUP(Tableau21[[#This Row],[Key(ID-Next)]],'DATA BTO'!A:N,7,FALSE),VLOOKUP(_xlfn.CONCAT(Tableau21[[#This Row],[ID]],"-","Actif"),'DATA BTO'!A:N,7,FALSE))</f>
        <v>#N/A</v>
      </c>
      <c r="AD6" s="50" t="e">
        <f ca="1">IFERROR(VLOOKUP(Tableau21[[#This Row],[Key(ID-Next)]],'DATA BTO'!A:N,8,FALSE),VLOOKUP(_xlfn.CONCAT(Tableau21[[#This Row],[ID]],"-","Actif"),'DATA BTO'!A:N,8,FALSE))</f>
        <v>#N/A</v>
      </c>
      <c r="AE6" s="50" t="e">
        <f ca="1">IFERROR(VLOOKUP(Tableau21[[#This Row],[Key(ID-Next)]],'DATA BTO'!A:N,9,FALSE),VLOOKUP(_xlfn.CONCAT(Tableau21[[#This Row],[ID]],"-","Actif"),'DATA BTO'!A:N,9,FALSE))</f>
        <v>#N/A</v>
      </c>
      <c r="AF6" s="3" t="e">
        <f ca="1">IFERROR(VLOOKUP(Tableau21[[#This Row],[Key(ID-Next)]],'DATA BTO'!A:N,10,FALSE),VLOOKUP(_xlfn.CONCAT(Tableau21[[#This Row],[ID]],"-","Actif"),'DATA BTO'!A:N,10,FALSE))</f>
        <v>#N/A</v>
      </c>
      <c r="AG6" s="3" t="e">
        <f ca="1">IFERROR(VLOOKUP(Tableau21[[#This Row],[Key(ID-Next)]],'DATA BTO'!A:N,11,FALSE),VLOOKUP(_xlfn.CONCAT(Tableau21[[#This Row],[ID]],"-","Actif"),'DATA BTO'!A:N,11,FALSE))</f>
        <v>#N/A</v>
      </c>
      <c r="AH6" s="50" t="e">
        <f ca="1">IFERROR(VLOOKUP(Tableau21[[#This Row],[Key(ID-Next)]],'DATA BTO'!A:N,12,FALSE),VLOOKUP(_xlfn.CONCAT(Tableau21[[#This Row],[ID]],"-","Actif"),'DATA BTO'!A:N,12,FALSE))</f>
        <v>#N/A</v>
      </c>
      <c r="AI6" s="53" t="e">
        <f ca="1">IFERROR(VLOOKUP(Tableau21[[#This Row],[Key(ID-Next)]],'DATA BTO'!A:N,14,FALSE),VLOOKUP(_xlfn.CONCAT(Tableau21[[#This Row],[ID]],"-","Actif"),'DATA BTO'!A:N,14,FALSE))</f>
        <v>#N/A</v>
      </c>
      <c r="AJ6" s="54" t="e">
        <f ca="1">VLOOKUP(Tableau21[[#This Row],[Key(POD -PFI- Usine)]],'DATA Consignee'!A:F,6,FALSE)</f>
        <v>#N/A</v>
      </c>
      <c r="AK6" s="283" t="s">
        <v>161</v>
      </c>
      <c r="AL6" s="490">
        <f>IF(Tableau21[[#This Row],[Name PFI/CDD]]="","-",VLOOKUP(Tableau21[[#This Row],[Name PFI/CDD]],Plant_AILN!I:J,2,FALSE))</f>
        <v>91018400</v>
      </c>
      <c r="AM6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6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6" s="2" t="e">
        <f ca="1">VLOOKUP(Tableau21[[#This Row],[Key(POD -PFI- Usine)]],'DATA Consignee'!A:J,10,FALSE)</f>
        <v>#N/A</v>
      </c>
      <c r="AP6" s="50" t="e">
        <f ca="1">VLOOKUP(Tableau21[[#This Row],[Key(POD -PFI- Usine)]],'DATA Consignee'!A:N,14,FALSE)</f>
        <v>#N/A</v>
      </c>
      <c r="AQ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6" s="50" t="e">
        <f ca="1">Tableau21[[#This Row],[Transit time]]+Tableau21[[#This Row],[Time for security]]+Tableau21[[#This Row],[Time for security2 buffer]]</f>
        <v>#N/A</v>
      </c>
      <c r="AT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6" s="50" t="e">
        <f ca="1">Tableau21[[#This Row],[Leadtime SI2C]]+Tableau21[[#This Row],[First Receipt Days]]-Tableau21[[#This Row],[Day Customer Order]]+1</f>
        <v>#N/A</v>
      </c>
      <c r="AV6" s="117" t="e">
        <f ca="1">IF(Tableau21[[#This Row],[Name ILN]]&lt;&gt;"SFK Freight Forwarder",Tableau21[[#This Row],[Cust. Leadtime]],Tableau21[[#This Row],[Leadtime SI2C]])</f>
        <v>#N/A</v>
      </c>
      <c r="AW6" s="57" t="s">
        <v>202</v>
      </c>
      <c r="AX6" s="328" t="e">
        <f ca="1">IFERROR(VLOOKUP(Tableau21[[#This Row],[Key(ID-Next)]],'DATA BTO'!A:N,3,FALSE),VLOOKUP(Tableau21[[#This Row],[ID]],'DATA BTO'!B:N,2,FALSE))</f>
        <v>#N/A</v>
      </c>
      <c r="AY6" s="50" t="str">
        <f>IF(ISNUMBER(Tableau21[[#This Row],[Day Customer Order]]),"-","Please Check 'Name' information in 'Order' Sheet to make sure they have information")</f>
        <v>-</v>
      </c>
      <c r="AZ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7" spans="2:55">
      <c r="B7" s="65" t="str">
        <f>_xlfn.CONCAT(Tableau21[[#This Row],[Name ILN]],"-",Tableau21[[#This Row],[Name Shipper]],"-",Tableau21[[#This Row],[Name Site]])</f>
        <v>NSL Shanghai-NSL Shanghai-VALL MONTAGE</v>
      </c>
      <c r="C7" s="64" t="e">
        <f ca="1">_xlfn.CONCAT(Tableau21[[#This Row],[Compte ILN]],"-",Tableau21[[#This Row],[Compte Shipper]],"-",Tableau21[[#This Row],[POL]],"-",Tableau21[[#This Row],[Compte Site]])</f>
        <v>#N/A</v>
      </c>
      <c r="D7" s="64" t="e">
        <f ca="1">_xlfn.CONCAT(Tableau21[[#This Row],[Compte ILN]],"-",Tableau21[[#This Row],[Compte Shipper]],"-",Tableau21[[#This Row],[POL]])</f>
        <v>#N/A</v>
      </c>
      <c r="E7" s="128" t="e">
        <f ca="1">_xlfn.CONCAT(Tableau21[[#This Row],[POL]],"-",Tableau21[[#This Row],[Carrier]],"-",Tableau21[[#This Row],[POD]])</f>
        <v>#N/A</v>
      </c>
      <c r="F7" s="64" t="str">
        <f>_xlfn.CONCAT(Tableau21[[#This Row],[ID]],"-","Next")</f>
        <v>AE11-Next</v>
      </c>
      <c r="G7" s="64" t="e">
        <f ca="1">_xlfn.CONCAT(Tableau21[[#This Row],[POD]],"-",Tableau21[[#This Row],[Code PFI]],"-",Tableau21[[#This Row],[Compte Site]])</f>
        <v>#N/A</v>
      </c>
      <c r="H7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7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7" s="117" t="str">
        <f ca="1">IF(COUNTIF(I:I,Tableau21[[#This Row],[Plant-ILN-shipper-POL-Carrier-POD-PFI]])=1,"Non","Oui")</f>
        <v>Oui</v>
      </c>
      <c r="K7" s="126" t="str">
        <f>VLOOKUP(Tableau21[[#This Row],[Name Site]],Plant_AILN!A:D,4,FALSE)</f>
        <v>SPAIN</v>
      </c>
      <c r="L7" s="74" t="s">
        <v>172</v>
      </c>
      <c r="M7" s="481">
        <f>VLOOKUP(Tableau21[[#This Row],[Name Site]],Plant_AILN!A:C,3,FALSE)</f>
        <v>91017300</v>
      </c>
      <c r="N7" s="55">
        <f>VLOOKUP(Tableau21[[#This Row],[Compte Site]],Order!C:D,2,FALSE)</f>
        <v>7</v>
      </c>
      <c r="O7" s="124" t="s">
        <v>193</v>
      </c>
      <c r="P7" s="481">
        <f>VLOOKUP(Tableau21[[#This Row],[Name ILN]],Plant_AILN!F:G,2,FALSE)</f>
        <v>27261102</v>
      </c>
      <c r="Q7" s="50">
        <f>VLOOKUP(Tableau21[[#This Row],[Compte ILN]],'DATA ILN'!D:I,6,FALSE)</f>
        <v>16</v>
      </c>
      <c r="R7" s="50" t="e">
        <f ca="1">IFERROR(VLOOKUP(Tableau21[[#This Row],[Key(Compte ILN - shipper - POL - plant)]],'DATA ILN'!A:J,10,FALSE),VLOOKUP(Tableau21[[#This Row],[Key(Compte ILN - shipper - POL)]],'DATA ILN'!B:J,9,FALSE))</f>
        <v>#N/A</v>
      </c>
      <c r="S7" s="50" t="e">
        <f ca="1">IFERROR(VLOOKUP(Tableau21[[#This Row],[Key(Compte ILN - shipper - POL - plant)]],'DATA ILN'!A:K,11,FALSE),VLOOKUP(Tableau21[[#This Row],[Key(Compte ILN - shipper - POL)]],'DATA ILN'!B:K,10,FALSE))</f>
        <v>#N/A</v>
      </c>
      <c r="T7" s="50" t="e">
        <f ca="1">IFERROR(VLOOKUP(Tableau21[[#This Row],[Key(Compte ILN - shipper - POL - plant)]],'DATA ILN'!A:L,12,FALSE),VLOOKUP(Tableau21[[#This Row],[Key(Compte ILN - shipper - POL)]],'DATA ILN'!B:L,11,FALSE))</f>
        <v>#N/A</v>
      </c>
      <c r="U7" s="50" t="e">
        <f ca="1">Tableau21[[#This Row],[Day ILN Order]]+Tableau21[[#This Row],[Delivery time to ILN/Shipper]]-1</f>
        <v>#N/A</v>
      </c>
      <c r="V7" s="50" t="e">
        <f ca="1">IFERROR(VLOOKUP(Tableau21[[#This Row],[Key(Compte ILN - shipper - POL - plant)]],'DATA ILN'!A:N,14,FALSE),VLOOKUP(Tableau21[[#This Row],[Key(Compte ILN - shipper - POL)]],'DATA ILN'!B:N,13,FALSE))</f>
        <v>#N/A</v>
      </c>
      <c r="W7" s="53" t="e">
        <f ca="1">IFERROR(VLOOKUP(Tableau21[[#This Row],[Key(Compte ILN - shipper - POL - plant)]],'DATA ILN'!A:P,16,FALSE),VLOOKUP(Tableau21[[#This Row],[Key(Compte ILN - shipper - POL)]],'DATA ILN'!B:P,15,FALSE))</f>
        <v>#N/A</v>
      </c>
      <c r="X7" s="349" t="s">
        <v>193</v>
      </c>
      <c r="Y7" s="494">
        <f>IFERROR(VLOOKUP(Tableau21[[#This Row],[Name Shipper]],Plant_AILN!L:M,2,FALSE),0)</f>
        <v>27261102</v>
      </c>
      <c r="Z7" s="103" t="s">
        <v>198</v>
      </c>
      <c r="AA7" s="353" t="e">
        <f ca="1">IFERROR(VLOOKUP(Tableau21[[#This Row],[Key(ID-Next)]],'DATA BTO'!A:N,5,FALSE),VLOOKUP(_xlfn.CONCAT(Tableau21[[#This Row],[ID]],"-","Actif"),'DATA BTO'!A:N,5,FALSE))</f>
        <v>#N/A</v>
      </c>
      <c r="AB7" s="3" t="e">
        <f ca="1">IFERROR(VLOOKUP(Tableau21[[#This Row],[Key(ID-Next)]],'DATA BTO'!A:N,6,FALSE),VLOOKUP(_xlfn.CONCAT(Tableau21[[#This Row],[ID]],"-","Actif"),'DATA BTO'!A:N,6,FALSE))</f>
        <v>#N/A</v>
      </c>
      <c r="AC7" s="50" t="e">
        <f ca="1">IFERROR(VLOOKUP(Tableau21[[#This Row],[Key(ID-Next)]],'DATA BTO'!A:N,7,FALSE),VLOOKUP(_xlfn.CONCAT(Tableau21[[#This Row],[ID]],"-","Actif"),'DATA BTO'!A:N,7,FALSE))</f>
        <v>#N/A</v>
      </c>
      <c r="AD7" s="50" t="e">
        <f ca="1">IFERROR(VLOOKUP(Tableau21[[#This Row],[Key(ID-Next)]],'DATA BTO'!A:N,8,FALSE),VLOOKUP(_xlfn.CONCAT(Tableau21[[#This Row],[ID]],"-","Actif"),'DATA BTO'!A:N,8,FALSE))</f>
        <v>#N/A</v>
      </c>
      <c r="AE7" s="50" t="e">
        <f ca="1">IFERROR(VLOOKUP(Tableau21[[#This Row],[Key(ID-Next)]],'DATA BTO'!A:N,9,FALSE),VLOOKUP(_xlfn.CONCAT(Tableau21[[#This Row],[ID]],"-","Actif"),'DATA BTO'!A:N,9,FALSE))</f>
        <v>#N/A</v>
      </c>
      <c r="AF7" s="3" t="e">
        <f ca="1">IFERROR(VLOOKUP(Tableau21[[#This Row],[Key(ID-Next)]],'DATA BTO'!A:N,10,FALSE),VLOOKUP(_xlfn.CONCAT(Tableau21[[#This Row],[ID]],"-","Actif"),'DATA BTO'!A:N,10,FALSE))</f>
        <v>#N/A</v>
      </c>
      <c r="AG7" s="3" t="e">
        <f ca="1">IFERROR(VLOOKUP(Tableau21[[#This Row],[Key(ID-Next)]],'DATA BTO'!A:N,11,FALSE),VLOOKUP(_xlfn.CONCAT(Tableau21[[#This Row],[ID]],"-","Actif"),'DATA BTO'!A:N,11,FALSE))</f>
        <v>#N/A</v>
      </c>
      <c r="AH7" s="50" t="e">
        <f ca="1">IFERROR(VLOOKUP(Tableau21[[#This Row],[Key(ID-Next)]],'DATA BTO'!A:N,12,FALSE),VLOOKUP(_xlfn.CONCAT(Tableau21[[#This Row],[ID]],"-","Actif"),'DATA BTO'!A:N,12,FALSE))</f>
        <v>#N/A</v>
      </c>
      <c r="AI7" s="53" t="e">
        <f ca="1">IFERROR(VLOOKUP(Tableau21[[#This Row],[Key(ID-Next)]],'DATA BTO'!A:N,14,FALSE),VLOOKUP(_xlfn.CONCAT(Tableau21[[#This Row],[ID]],"-","Actif"),'DATA BTO'!A:N,14,FALSE))</f>
        <v>#N/A</v>
      </c>
      <c r="AJ7" s="54" t="e">
        <f ca="1">VLOOKUP(Tableau21[[#This Row],[Key(POD -PFI- Usine)]],'DATA Consignee'!A:F,6,FALSE)</f>
        <v>#N/A</v>
      </c>
      <c r="AK7" s="283" t="s">
        <v>166</v>
      </c>
      <c r="AL7" s="490">
        <f>IF(Tableau21[[#This Row],[Name PFI/CDD]]="","-",VLOOKUP(Tableau21[[#This Row],[Name PFI/CDD]],Plant_AILN!I:J,2,FALSE))</f>
        <v>91018400</v>
      </c>
      <c r="AM7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7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7" s="2" t="e">
        <f ca="1">VLOOKUP(Tableau21[[#This Row],[Key(POD -PFI- Usine)]],'DATA Consignee'!A:J,10,FALSE)</f>
        <v>#N/A</v>
      </c>
      <c r="AP7" s="50" t="e">
        <f ca="1">VLOOKUP(Tableau21[[#This Row],[Key(POD -PFI- Usine)]],'DATA Consignee'!A:N,14,FALSE)</f>
        <v>#N/A</v>
      </c>
      <c r="AQ7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7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7" s="50" t="e">
        <f ca="1">Tableau21[[#This Row],[Transit time]]+Tableau21[[#This Row],[Time for security]]+Tableau21[[#This Row],[Time for security2 buffer]]</f>
        <v>#N/A</v>
      </c>
      <c r="AT7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7" s="50" t="e">
        <f ca="1">Tableau21[[#This Row],[Leadtime SI2C]]+Tableau21[[#This Row],[First Receipt Days]]-Tableau21[[#This Row],[Day Customer Order]]+1</f>
        <v>#N/A</v>
      </c>
      <c r="AV7" s="117" t="e">
        <f ca="1">IF(Tableau21[[#This Row],[Name ILN]]&lt;&gt;"SFK Freight Forwarder",Tableau21[[#This Row],[Cust. Leadtime]],Tableau21[[#This Row],[Leadtime SI2C]])</f>
        <v>#N/A</v>
      </c>
      <c r="AW7" s="57" t="s">
        <v>200</v>
      </c>
      <c r="AX7" s="328" t="e">
        <f ca="1">IFERROR(VLOOKUP(Tableau21[[#This Row],[Key(ID-Next)]],'DATA BTO'!A:N,3,FALSE),VLOOKUP(Tableau21[[#This Row],[ID]],'DATA BTO'!B:N,2,FALSE))</f>
        <v>#N/A</v>
      </c>
      <c r="AY7" s="50" t="str">
        <f>IF(ISNUMBER(Tableau21[[#This Row],[Day Customer Order]]),"-","Please Check 'Name' information in 'Order' Sheet to make sure they have information")</f>
        <v>-</v>
      </c>
      <c r="AZ7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7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7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7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8" spans="2:55">
      <c r="B8" s="65" t="str">
        <f>_xlfn.CONCAT(Tableau21[[#This Row],[Name ILN]],"-",Tableau21[[#This Row],[Name Shipper]],"-",Tableau21[[#This Row],[Name Site]])</f>
        <v>ILN Curitiba-ILN Curitiba-TANGER</v>
      </c>
      <c r="C8" s="64" t="e">
        <f ca="1">_xlfn.CONCAT(Tableau21[[#This Row],[Compte ILN]],"-",Tableau21[[#This Row],[Compte Shipper]],"-",Tableau21[[#This Row],[POL]],"-",Tableau21[[#This Row],[Compte Site]])</f>
        <v>#N/A</v>
      </c>
      <c r="D8" s="64" t="e">
        <f ca="1">_xlfn.CONCAT(Tableau21[[#This Row],[Compte ILN]],"-",Tableau21[[#This Row],[Compte Shipper]],"-",Tableau21[[#This Row],[POL]])</f>
        <v>#N/A</v>
      </c>
      <c r="E8" s="128" t="e">
        <f ca="1">_xlfn.CONCAT(Tableau21[[#This Row],[POL]],"-",Tableau21[[#This Row],[Carrier]],"-",Tableau21[[#This Row],[POD]])</f>
        <v>#N/A</v>
      </c>
      <c r="F8" s="64" t="str">
        <f>_xlfn.CONCAT(Tableau21[[#This Row],[ID]],"-","Next")</f>
        <v>759-Next</v>
      </c>
      <c r="G8" s="64" t="e">
        <f ca="1">_xlfn.CONCAT(Tableau21[[#This Row],[POD]],"-",Tableau21[[#This Row],[Code PFI]],"-",Tableau21[[#This Row],[Compte Site]])</f>
        <v>#N/A</v>
      </c>
      <c r="H8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8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8" s="117" t="str">
        <f ca="1">IF(COUNTIF(I:I,Tableau21[[#This Row],[Plant-ILN-shipper-POL-Carrier-POD-PFI]])=1,"Non","Oui")</f>
        <v>Oui</v>
      </c>
      <c r="K8" s="126" t="str">
        <f>VLOOKUP(Tableau21[[#This Row],[Name Site]],Plant_AILN!A:D,4,FALSE)</f>
        <v>MOROCCO</v>
      </c>
      <c r="L8" s="74" t="s">
        <v>179</v>
      </c>
      <c r="M8" s="481">
        <f>VLOOKUP(Tableau21[[#This Row],[Name Site]],Plant_AILN!A:C,3,FALSE)</f>
        <v>900383</v>
      </c>
      <c r="N8" s="55">
        <f>VLOOKUP(Tableau21[[#This Row],[Compte Site]],Order!C:D,2,FALSE)</f>
        <v>7</v>
      </c>
      <c r="O8" s="124" t="s">
        <v>157</v>
      </c>
      <c r="P8" s="481">
        <f>VLOOKUP(Tableau21[[#This Row],[Name ILN]],Plant_AILN!F:G,2,FALSE)</f>
        <v>95207</v>
      </c>
      <c r="Q8" s="50">
        <f>VLOOKUP(Tableau21[[#This Row],[Compte ILN]],'DATA ILN'!D:I,6,FALSE)</f>
        <v>9</v>
      </c>
      <c r="R8" s="50" t="e">
        <f ca="1">IFERROR(VLOOKUP(Tableau21[[#This Row],[Key(Compte ILN - shipper - POL - plant)]],'DATA ILN'!A:J,10,FALSE),VLOOKUP(Tableau21[[#This Row],[Key(Compte ILN - shipper - POL)]],'DATA ILN'!B:J,9,FALSE))</f>
        <v>#N/A</v>
      </c>
      <c r="S8" s="50" t="e">
        <f ca="1">IFERROR(VLOOKUP(Tableau21[[#This Row],[Key(Compte ILN - shipper - POL - plant)]],'DATA ILN'!A:K,11,FALSE),VLOOKUP(Tableau21[[#This Row],[Key(Compte ILN - shipper - POL)]],'DATA ILN'!B:K,10,FALSE))</f>
        <v>#N/A</v>
      </c>
      <c r="T8" s="50" t="e">
        <f ca="1">IFERROR(VLOOKUP(Tableau21[[#This Row],[Key(Compte ILN - shipper - POL - plant)]],'DATA ILN'!A:L,12,FALSE),VLOOKUP(Tableau21[[#This Row],[Key(Compte ILN - shipper - POL)]],'DATA ILN'!B:L,11,FALSE))</f>
        <v>#N/A</v>
      </c>
      <c r="U8" s="50" t="e">
        <f ca="1">Tableau21[[#This Row],[Day ILN Order]]+Tableau21[[#This Row],[Delivery time to ILN/Shipper]]-1</f>
        <v>#N/A</v>
      </c>
      <c r="V8" s="50" t="e">
        <f ca="1">IFERROR(VLOOKUP(Tableau21[[#This Row],[Key(Compte ILN - shipper - POL - plant)]],'DATA ILN'!A:N,14,FALSE),VLOOKUP(Tableau21[[#This Row],[Key(Compte ILN - shipper - POL)]],'DATA ILN'!B:N,13,FALSE))</f>
        <v>#N/A</v>
      </c>
      <c r="W8" s="53" t="e">
        <f ca="1">IFERROR(VLOOKUP(Tableau21[[#This Row],[Key(Compte ILN - shipper - POL - plant)]],'DATA ILN'!A:P,16,FALSE),VLOOKUP(Tableau21[[#This Row],[Key(Compte ILN - shipper - POL)]],'DATA ILN'!B:P,15,FALSE))</f>
        <v>#N/A</v>
      </c>
      <c r="X8" s="350" t="s">
        <v>157</v>
      </c>
      <c r="Y8" s="494">
        <f>IFERROR(VLOOKUP(Tableau21[[#This Row],[Name Shipper]],Plant_AILN!L:M,2,FALSE),0)</f>
        <v>95207</v>
      </c>
      <c r="Z8" s="103">
        <v>759</v>
      </c>
      <c r="AA8" s="353" t="e">
        <f ca="1">IFERROR(VLOOKUP(Tableau21[[#This Row],[Key(ID-Next)]],'DATA BTO'!A:N,5,FALSE),VLOOKUP(_xlfn.CONCAT(Tableau21[[#This Row],[ID]],"-","Actif"),'DATA BTO'!A:N,5,FALSE))</f>
        <v>#N/A</v>
      </c>
      <c r="AB8" s="3" t="e">
        <f ca="1">IFERROR(VLOOKUP(Tableau21[[#This Row],[Key(ID-Next)]],'DATA BTO'!A:N,6,FALSE),VLOOKUP(_xlfn.CONCAT(Tableau21[[#This Row],[ID]],"-","Actif"),'DATA BTO'!A:N,6,FALSE))</f>
        <v>#N/A</v>
      </c>
      <c r="AC8" s="50" t="e">
        <f ca="1">IFERROR(VLOOKUP(Tableau21[[#This Row],[Key(ID-Next)]],'DATA BTO'!A:N,7,FALSE),VLOOKUP(_xlfn.CONCAT(Tableau21[[#This Row],[ID]],"-","Actif"),'DATA BTO'!A:N,7,FALSE))</f>
        <v>#N/A</v>
      </c>
      <c r="AD8" s="50" t="e">
        <f ca="1">IFERROR(VLOOKUP(Tableau21[[#This Row],[Key(ID-Next)]],'DATA BTO'!A:N,8,FALSE),VLOOKUP(_xlfn.CONCAT(Tableau21[[#This Row],[ID]],"-","Actif"),'DATA BTO'!A:N,8,FALSE))</f>
        <v>#N/A</v>
      </c>
      <c r="AE8" s="50" t="e">
        <f ca="1">IFERROR(VLOOKUP(Tableau21[[#This Row],[Key(ID-Next)]],'DATA BTO'!A:N,9,FALSE),VLOOKUP(_xlfn.CONCAT(Tableau21[[#This Row],[ID]],"-","Actif"),'DATA BTO'!A:N,9,FALSE))</f>
        <v>#N/A</v>
      </c>
      <c r="AF8" s="3" t="e">
        <f ca="1">IFERROR(VLOOKUP(Tableau21[[#This Row],[Key(ID-Next)]],'DATA BTO'!A:N,10,FALSE),VLOOKUP(_xlfn.CONCAT(Tableau21[[#This Row],[ID]],"-","Actif"),'DATA BTO'!A:N,10,FALSE))</f>
        <v>#N/A</v>
      </c>
      <c r="AG8" s="3" t="e">
        <f ca="1">IFERROR(VLOOKUP(Tableau21[[#This Row],[Key(ID-Next)]],'DATA BTO'!A:N,11,FALSE),VLOOKUP(_xlfn.CONCAT(Tableau21[[#This Row],[ID]],"-","Actif"),'DATA BTO'!A:N,11,FALSE))</f>
        <v>#N/A</v>
      </c>
      <c r="AH8" s="50" t="e">
        <f ca="1">IFERROR(VLOOKUP(Tableau21[[#This Row],[Key(ID-Next)]],'DATA BTO'!A:N,12,FALSE),VLOOKUP(_xlfn.CONCAT(Tableau21[[#This Row],[ID]],"-","Actif"),'DATA BTO'!A:N,12,FALSE))</f>
        <v>#N/A</v>
      </c>
      <c r="AI8" s="53" t="e">
        <f ca="1">IFERROR(VLOOKUP(Tableau21[[#This Row],[Key(ID-Next)]],'DATA BTO'!A:N,14,FALSE),VLOOKUP(_xlfn.CONCAT(Tableau21[[#This Row],[ID]],"-","Actif"),'DATA BTO'!A:N,14,FALSE))</f>
        <v>#N/A</v>
      </c>
      <c r="AJ8" s="54" t="e">
        <f ca="1">VLOOKUP(Tableau21[[#This Row],[Key(POD -PFI- Usine)]],'DATA Consignee'!A:F,6,FALSE)</f>
        <v>#N/A</v>
      </c>
      <c r="AK8" s="283"/>
      <c r="AL8" s="490" t="str">
        <f>IF(Tableau21[[#This Row],[Name PFI/CDD]]="","-",VLOOKUP(Tableau21[[#This Row],[Name PFI/CDD]],Plant_AILN!I:J,2,FALSE))</f>
        <v>-</v>
      </c>
      <c r="AM8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8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8" s="2" t="e">
        <f ca="1">VLOOKUP(Tableau21[[#This Row],[Key(POD -PFI- Usine)]],'DATA Consignee'!A:J,10,FALSE)</f>
        <v>#N/A</v>
      </c>
      <c r="AP8" s="50" t="e">
        <f ca="1">VLOOKUP(Tableau21[[#This Row],[Key(POD -PFI- Usine)]],'DATA Consignee'!A:N,14,FALSE)</f>
        <v>#N/A</v>
      </c>
      <c r="AQ8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8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8" s="50" t="e">
        <f ca="1">Tableau21[[#This Row],[Transit time]]+Tableau21[[#This Row],[Time for security]]+Tableau21[[#This Row],[Time for security2 buffer]]</f>
        <v>#N/A</v>
      </c>
      <c r="AT8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8" s="50" t="e">
        <f ca="1">Tableau21[[#This Row],[Leadtime SI2C]]+Tableau21[[#This Row],[First Receipt Days]]-Tableau21[[#This Row],[Day Customer Order]]+1</f>
        <v>#N/A</v>
      </c>
      <c r="AV8" s="117" t="e">
        <f ca="1">IF(Tableau21[[#This Row],[Name ILN]]&lt;&gt;"SFK Freight Forwarder",Tableau21[[#This Row],[Cust. Leadtime]],Tableau21[[#This Row],[Leadtime SI2C]])</f>
        <v>#N/A</v>
      </c>
      <c r="AW8" s="57"/>
      <c r="AX8" s="328" t="e">
        <f ca="1">IFERROR(VLOOKUP(Tableau21[[#This Row],[Key(ID-Next)]],'DATA BTO'!A:N,3,FALSE),VLOOKUP(Tableau21[[#This Row],[ID]],'DATA BTO'!B:N,2,FALSE))</f>
        <v>#N/A</v>
      </c>
      <c r="AY8" s="50" t="str">
        <f>IF(ISNUMBER(Tableau21[[#This Row],[Day Customer Order]]),"-","Please Check 'Name' information in 'Order' Sheet to make sure they have information")</f>
        <v>-</v>
      </c>
      <c r="AZ8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8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8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8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9" spans="2:55">
      <c r="B9" s="65" t="str">
        <f>_xlfn.CONCAT(Tableau21[[#This Row],[Name ILN]],"-",Tableau21[[#This Row],[Name Shipper]],"-",Tableau21[[#This Row],[Name Site]])</f>
        <v>ILN Curitiba-ILN Curitiba-SOMACA</v>
      </c>
      <c r="C9" s="64" t="e">
        <f ca="1">_xlfn.CONCAT(Tableau21[[#This Row],[Compte ILN]],"-",Tableau21[[#This Row],[Compte Shipper]],"-",Tableau21[[#This Row],[POL]],"-",Tableau21[[#This Row],[Compte Site]])</f>
        <v>#N/A</v>
      </c>
      <c r="D9" s="64" t="e">
        <f ca="1">_xlfn.CONCAT(Tableau21[[#This Row],[Compte ILN]],"-",Tableau21[[#This Row],[Compte Shipper]],"-",Tableau21[[#This Row],[POL]])</f>
        <v>#N/A</v>
      </c>
      <c r="E9" s="128" t="e">
        <f ca="1">_xlfn.CONCAT(Tableau21[[#This Row],[POL]],"-",Tableau21[[#This Row],[Carrier]],"-",Tableau21[[#This Row],[POD]])</f>
        <v>#N/A</v>
      </c>
      <c r="F9" s="64" t="str">
        <f>_xlfn.CONCAT(Tableau21[[#This Row],[ID]],"-","Next")</f>
        <v>759-Next</v>
      </c>
      <c r="G9" s="64" t="e">
        <f ca="1">_xlfn.CONCAT(Tableau21[[#This Row],[POD]],"-",Tableau21[[#This Row],[Code PFI]],"-",Tableau21[[#This Row],[Compte Site]])</f>
        <v>#N/A</v>
      </c>
      <c r="H9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9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9" s="117" t="str">
        <f ca="1">IF(COUNTIF(I:I,Tableau21[[#This Row],[Plant-ILN-shipper-POL-Carrier-POD-PFI]])=1,"Non","Oui")</f>
        <v>Oui</v>
      </c>
      <c r="K9" s="126" t="str">
        <f>VLOOKUP(Tableau21[[#This Row],[Name Site]],Plant_AILN!A:D,4,FALSE)</f>
        <v>MOROCCO</v>
      </c>
      <c r="L9" s="74" t="s">
        <v>178</v>
      </c>
      <c r="M9" s="481">
        <f>VLOOKUP(Tableau21[[#This Row],[Name Site]],Plant_AILN!A:C,3,FALSE)</f>
        <v>90038200</v>
      </c>
      <c r="N9" s="55">
        <f>VLOOKUP(Tableau21[[#This Row],[Compte Site]],Order!C:D,2,FALSE)</f>
        <v>7</v>
      </c>
      <c r="O9" s="124" t="s">
        <v>157</v>
      </c>
      <c r="P9" s="481">
        <f>VLOOKUP(Tableau21[[#This Row],[Name ILN]],Plant_AILN!F:G,2,FALSE)</f>
        <v>95207</v>
      </c>
      <c r="Q9" s="50">
        <f>VLOOKUP(Tableau21[[#This Row],[Compte ILN]],'DATA ILN'!D:I,6,FALSE)</f>
        <v>9</v>
      </c>
      <c r="R9" s="50" t="e">
        <f ca="1">IFERROR(VLOOKUP(Tableau21[[#This Row],[Key(Compte ILN - shipper - POL - plant)]],'DATA ILN'!A:J,10,FALSE),VLOOKUP(Tableau21[[#This Row],[Key(Compte ILN - shipper - POL)]],'DATA ILN'!B:J,9,FALSE))</f>
        <v>#N/A</v>
      </c>
      <c r="S9" s="50" t="e">
        <f ca="1">IFERROR(VLOOKUP(Tableau21[[#This Row],[Key(Compte ILN - shipper - POL - plant)]],'DATA ILN'!A:K,11,FALSE),VLOOKUP(Tableau21[[#This Row],[Key(Compte ILN - shipper - POL)]],'DATA ILN'!B:K,10,FALSE))</f>
        <v>#N/A</v>
      </c>
      <c r="T9" s="50" t="e">
        <f ca="1">IFERROR(VLOOKUP(Tableau21[[#This Row],[Key(Compte ILN - shipper - POL - plant)]],'DATA ILN'!A:L,12,FALSE),VLOOKUP(Tableau21[[#This Row],[Key(Compte ILN - shipper - POL)]],'DATA ILN'!B:L,11,FALSE))</f>
        <v>#N/A</v>
      </c>
      <c r="U9" s="50" t="e">
        <f ca="1">Tableau21[[#This Row],[Day ILN Order]]+Tableau21[[#This Row],[Delivery time to ILN/Shipper]]-1</f>
        <v>#N/A</v>
      </c>
      <c r="V9" s="50" t="e">
        <f ca="1">IFERROR(VLOOKUP(Tableau21[[#This Row],[Key(Compte ILN - shipper - POL - plant)]],'DATA ILN'!A:N,14,FALSE),VLOOKUP(Tableau21[[#This Row],[Key(Compte ILN - shipper - POL)]],'DATA ILN'!B:N,13,FALSE))</f>
        <v>#N/A</v>
      </c>
      <c r="W9" s="53" t="e">
        <f ca="1">IFERROR(VLOOKUP(Tableau21[[#This Row],[Key(Compte ILN - shipper - POL - plant)]],'DATA ILN'!A:P,16,FALSE),VLOOKUP(Tableau21[[#This Row],[Key(Compte ILN - shipper - POL)]],'DATA ILN'!B:P,15,FALSE))</f>
        <v>#N/A</v>
      </c>
      <c r="X9" s="350" t="s">
        <v>157</v>
      </c>
      <c r="Y9" s="494">
        <f>IFERROR(VLOOKUP(Tableau21[[#This Row],[Name Shipper]],Plant_AILN!L:M,2,FALSE),0)</f>
        <v>95207</v>
      </c>
      <c r="Z9" s="103">
        <v>759</v>
      </c>
      <c r="AA9" s="353" t="e">
        <f ca="1">IFERROR(VLOOKUP(Tableau21[[#This Row],[Key(ID-Next)]],'DATA BTO'!A:N,5,FALSE),VLOOKUP(_xlfn.CONCAT(Tableau21[[#This Row],[ID]],"-","Actif"),'DATA BTO'!A:N,5,FALSE))</f>
        <v>#N/A</v>
      </c>
      <c r="AB9" s="3" t="e">
        <f ca="1">IFERROR(VLOOKUP(Tableau21[[#This Row],[Key(ID-Next)]],'DATA BTO'!A:N,6,FALSE),VLOOKUP(_xlfn.CONCAT(Tableau21[[#This Row],[ID]],"-","Actif"),'DATA BTO'!A:N,6,FALSE))</f>
        <v>#N/A</v>
      </c>
      <c r="AC9" s="50" t="e">
        <f ca="1">IFERROR(VLOOKUP(Tableau21[[#This Row],[Key(ID-Next)]],'DATA BTO'!A:N,7,FALSE),VLOOKUP(_xlfn.CONCAT(Tableau21[[#This Row],[ID]],"-","Actif"),'DATA BTO'!A:N,7,FALSE))</f>
        <v>#N/A</v>
      </c>
      <c r="AD9" s="50" t="e">
        <f ca="1">IFERROR(VLOOKUP(Tableau21[[#This Row],[Key(ID-Next)]],'DATA BTO'!A:N,8,FALSE),VLOOKUP(_xlfn.CONCAT(Tableau21[[#This Row],[ID]],"-","Actif"),'DATA BTO'!A:N,8,FALSE))</f>
        <v>#N/A</v>
      </c>
      <c r="AE9" s="50" t="e">
        <f ca="1">IFERROR(VLOOKUP(Tableau21[[#This Row],[Key(ID-Next)]],'DATA BTO'!A:N,9,FALSE),VLOOKUP(_xlfn.CONCAT(Tableau21[[#This Row],[ID]],"-","Actif"),'DATA BTO'!A:N,9,FALSE))</f>
        <v>#N/A</v>
      </c>
      <c r="AF9" s="3" t="e">
        <f ca="1">IFERROR(VLOOKUP(Tableau21[[#This Row],[Key(ID-Next)]],'DATA BTO'!A:N,10,FALSE),VLOOKUP(_xlfn.CONCAT(Tableau21[[#This Row],[ID]],"-","Actif"),'DATA BTO'!A:N,10,FALSE))</f>
        <v>#N/A</v>
      </c>
      <c r="AG9" s="3" t="e">
        <f ca="1">IFERROR(VLOOKUP(Tableau21[[#This Row],[Key(ID-Next)]],'DATA BTO'!A:N,11,FALSE),VLOOKUP(_xlfn.CONCAT(Tableau21[[#This Row],[ID]],"-","Actif"),'DATA BTO'!A:N,11,FALSE))</f>
        <v>#N/A</v>
      </c>
      <c r="AH9" s="50" t="e">
        <f ca="1">IFERROR(VLOOKUP(Tableau21[[#This Row],[Key(ID-Next)]],'DATA BTO'!A:N,12,FALSE),VLOOKUP(_xlfn.CONCAT(Tableau21[[#This Row],[ID]],"-","Actif"),'DATA BTO'!A:N,12,FALSE))</f>
        <v>#N/A</v>
      </c>
      <c r="AI9" s="53" t="e">
        <f ca="1">IFERROR(VLOOKUP(Tableau21[[#This Row],[Key(ID-Next)]],'DATA BTO'!A:N,14,FALSE),VLOOKUP(_xlfn.CONCAT(Tableau21[[#This Row],[ID]],"-","Actif"),'DATA BTO'!A:N,14,FALSE))</f>
        <v>#N/A</v>
      </c>
      <c r="AJ9" s="54" t="e">
        <f ca="1">VLOOKUP(Tableau21[[#This Row],[Key(POD -PFI- Usine)]],'DATA Consignee'!A:F,6,FALSE)</f>
        <v>#N/A</v>
      </c>
      <c r="AK9" s="283"/>
      <c r="AL9" s="490" t="str">
        <f>IF(Tableau21[[#This Row],[Name PFI/CDD]]="","-",VLOOKUP(Tableau21[[#This Row],[Name PFI/CDD]],Plant_AILN!I:J,2,FALSE))</f>
        <v>-</v>
      </c>
      <c r="AM9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9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9" s="2" t="e">
        <f ca="1">VLOOKUP(Tableau21[[#This Row],[Key(POD -PFI- Usine)]],'DATA Consignee'!A:J,10,FALSE)</f>
        <v>#N/A</v>
      </c>
      <c r="AP9" s="50" t="e">
        <f ca="1">VLOOKUP(Tableau21[[#This Row],[Key(POD -PFI- Usine)]],'DATA Consignee'!A:N,14,FALSE)</f>
        <v>#N/A</v>
      </c>
      <c r="AQ9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9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9" s="50" t="e">
        <f ca="1">Tableau21[[#This Row],[Transit time]]+Tableau21[[#This Row],[Time for security]]+Tableau21[[#This Row],[Time for security2 buffer]]</f>
        <v>#N/A</v>
      </c>
      <c r="AT9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9" s="50" t="e">
        <f ca="1">Tableau21[[#This Row],[Leadtime SI2C]]+Tableau21[[#This Row],[First Receipt Days]]-Tableau21[[#This Row],[Day Customer Order]]+1</f>
        <v>#N/A</v>
      </c>
      <c r="AV9" s="117" t="e">
        <f ca="1">IF(Tableau21[[#This Row],[Name ILN]]&lt;&gt;"SFK Freight Forwarder",Tableau21[[#This Row],[Cust. Leadtime]],Tableau21[[#This Row],[Leadtime SI2C]])</f>
        <v>#N/A</v>
      </c>
      <c r="AW9" s="57"/>
      <c r="AX9" s="328" t="e">
        <f ca="1">IFERROR(VLOOKUP(Tableau21[[#This Row],[Key(ID-Next)]],'DATA BTO'!A:N,3,FALSE),VLOOKUP(Tableau21[[#This Row],[ID]],'DATA BTO'!B:N,2,FALSE))</f>
        <v>#N/A</v>
      </c>
      <c r="AY9" s="50" t="str">
        <f>IF(ISNUMBER(Tableau21[[#This Row],[Day Customer Order]]),"-","Please Check 'Name' information in 'Order' Sheet to make sure they have information")</f>
        <v>-</v>
      </c>
      <c r="AZ9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9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9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9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0" spans="2:55">
      <c r="B10" s="65" t="str">
        <f>_xlfn.CONCAT(Tableau21[[#This Row],[Name ILN]],"-",Tableau21[[#This Row],[Name Shipper]],"-",Tableau21[[#This Row],[Name Site]])</f>
        <v>ILN FR-ILN FR-RKM</v>
      </c>
      <c r="C10" s="64" t="e">
        <f ca="1">_xlfn.CONCAT(Tableau21[[#This Row],[Compte ILN]],"-",Tableau21[[#This Row],[Compte Shipper]],"-",Tableau21[[#This Row],[POL]],"-",Tableau21[[#This Row],[Compte Site]])</f>
        <v>#N/A</v>
      </c>
      <c r="D10" s="64" t="e">
        <f ca="1">_xlfn.CONCAT(Tableau21[[#This Row],[Compte ILN]],"-",Tableau21[[#This Row],[Compte Shipper]],"-",Tableau21[[#This Row],[POL]])</f>
        <v>#N/A</v>
      </c>
      <c r="E10" s="128" t="e">
        <f ca="1">_xlfn.CONCAT(Tableau21[[#This Row],[POL]],"-",Tableau21[[#This Row],[Carrier]],"-",Tableau21[[#This Row],[POD]])</f>
        <v>#N/A</v>
      </c>
      <c r="F10" s="64" t="str">
        <f>_xlfn.CONCAT(Tableau21[[#This Row],[ID]],"-","Next")</f>
        <v>58-Next</v>
      </c>
      <c r="G10" s="64" t="e">
        <f ca="1">_xlfn.CONCAT(Tableau21[[#This Row],[POD]],"-",Tableau21[[#This Row],[Code PFI]],"-",Tableau21[[#This Row],[Compte Site]])</f>
        <v>#N/A</v>
      </c>
      <c r="H10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0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0" s="117" t="str">
        <f ca="1">IF(COUNTIF(I:I,Tableau21[[#This Row],[Plant-ILN-shipper-POL-Carrier-POD-PFI]])=1,"Non","Oui")</f>
        <v>Oui</v>
      </c>
      <c r="K10" s="126" t="str">
        <f>VLOOKUP(Tableau21[[#This Row],[Name Site]],Plant_AILN!A:D,4,FALSE)</f>
        <v>KOREA</v>
      </c>
      <c r="L10" s="74" t="s">
        <v>36</v>
      </c>
      <c r="M10" s="481">
        <f>VLOOKUP(Tableau21[[#This Row],[Name Site]],Plant_AILN!A:C,3,FALSE)</f>
        <v>92002200</v>
      </c>
      <c r="N10" s="55">
        <f>VLOOKUP(Tableau21[[#This Row],[Compte Site]],Order!C:D,2,FALSE)</f>
        <v>7</v>
      </c>
      <c r="O10" s="124" t="s">
        <v>1</v>
      </c>
      <c r="P10" s="481">
        <f>VLOOKUP(Tableau21[[#This Row],[Name ILN]],Plant_AILN!F:G,2,FALSE)</f>
        <v>92000100</v>
      </c>
      <c r="Q10" s="50">
        <f>VLOOKUP(Tableau21[[#This Row],[Compte ILN]],'DATA ILN'!D:I,6,FALSE)</f>
        <v>9</v>
      </c>
      <c r="R10" s="50" t="e">
        <f ca="1">IFERROR(VLOOKUP(Tableau21[[#This Row],[Key(Compte ILN - shipper - POL - plant)]],'DATA ILN'!A:J,10,FALSE),VLOOKUP(Tableau21[[#This Row],[Key(Compte ILN - shipper - POL)]],'DATA ILN'!B:J,9,FALSE))</f>
        <v>#N/A</v>
      </c>
      <c r="S10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0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0" s="50" t="e">
        <f ca="1">Tableau21[[#This Row],[Day ILN Order]]+Tableau21[[#This Row],[Delivery time to ILN/Shipper]]-1</f>
        <v>#N/A</v>
      </c>
      <c r="V10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0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0" s="349" t="s">
        <v>1</v>
      </c>
      <c r="Y10" s="494">
        <f>IFERROR(VLOOKUP(Tableau21[[#This Row],[Name Shipper]],Plant_AILN!L:M,2,FALSE),0)</f>
        <v>92000100</v>
      </c>
      <c r="Z10" s="103">
        <v>58</v>
      </c>
      <c r="AA10" s="353" t="e">
        <f ca="1">IFERROR(VLOOKUP(Tableau21[[#This Row],[Key(ID-Next)]],'DATA BTO'!A:N,5,FALSE),VLOOKUP(_xlfn.CONCAT(Tableau21[[#This Row],[ID]],"-","Actif"),'DATA BTO'!A:N,5,FALSE))</f>
        <v>#N/A</v>
      </c>
      <c r="AB10" s="3" t="e">
        <f ca="1">IFERROR(VLOOKUP(Tableau21[[#This Row],[Key(ID-Next)]],'DATA BTO'!A:N,6,FALSE),VLOOKUP(_xlfn.CONCAT(Tableau21[[#This Row],[ID]],"-","Actif"),'DATA BTO'!A:N,6,FALSE))</f>
        <v>#N/A</v>
      </c>
      <c r="AC10" s="50" t="e">
        <f ca="1">IFERROR(VLOOKUP(Tableau21[[#This Row],[Key(ID-Next)]],'DATA BTO'!A:N,7,FALSE),VLOOKUP(_xlfn.CONCAT(Tableau21[[#This Row],[ID]],"-","Actif"),'DATA BTO'!A:N,7,FALSE))</f>
        <v>#N/A</v>
      </c>
      <c r="AD10" s="50" t="e">
        <f ca="1">IFERROR(VLOOKUP(Tableau21[[#This Row],[Key(ID-Next)]],'DATA BTO'!A:N,8,FALSE),VLOOKUP(_xlfn.CONCAT(Tableau21[[#This Row],[ID]],"-","Actif"),'DATA BTO'!A:N,8,FALSE))</f>
        <v>#N/A</v>
      </c>
      <c r="AE10" s="50" t="e">
        <f ca="1">IFERROR(VLOOKUP(Tableau21[[#This Row],[Key(ID-Next)]],'DATA BTO'!A:N,9,FALSE),VLOOKUP(_xlfn.CONCAT(Tableau21[[#This Row],[ID]],"-","Actif"),'DATA BTO'!A:N,9,FALSE))</f>
        <v>#N/A</v>
      </c>
      <c r="AF10" s="3" t="e">
        <f ca="1">IFERROR(VLOOKUP(Tableau21[[#This Row],[Key(ID-Next)]],'DATA BTO'!A:N,10,FALSE),VLOOKUP(_xlfn.CONCAT(Tableau21[[#This Row],[ID]],"-","Actif"),'DATA BTO'!A:N,10,FALSE))</f>
        <v>#N/A</v>
      </c>
      <c r="AG10" s="3" t="e">
        <f ca="1">IFERROR(VLOOKUP(Tableau21[[#This Row],[Key(ID-Next)]],'DATA BTO'!A:N,11,FALSE),VLOOKUP(_xlfn.CONCAT(Tableau21[[#This Row],[ID]],"-","Actif"),'DATA BTO'!A:N,11,FALSE))</f>
        <v>#N/A</v>
      </c>
      <c r="AH10" s="50" t="e">
        <f ca="1">IFERROR(VLOOKUP(Tableau21[[#This Row],[Key(ID-Next)]],'DATA BTO'!A:N,12,FALSE),VLOOKUP(_xlfn.CONCAT(Tableau21[[#This Row],[ID]],"-","Actif"),'DATA BTO'!A:N,12,FALSE))</f>
        <v>#N/A</v>
      </c>
      <c r="AI10" s="53" t="e">
        <f ca="1">IFERROR(VLOOKUP(Tableau21[[#This Row],[Key(ID-Next)]],'DATA BTO'!A:N,14,FALSE),VLOOKUP(_xlfn.CONCAT(Tableau21[[#This Row],[ID]],"-","Actif"),'DATA BTO'!A:N,14,FALSE))</f>
        <v>#N/A</v>
      </c>
      <c r="AJ10" s="54" t="e">
        <f ca="1">VLOOKUP(Tableau21[[#This Row],[Key(POD -PFI- Usine)]],'DATA Consignee'!A:F,6,FALSE)</f>
        <v>#N/A</v>
      </c>
      <c r="AK10" s="283"/>
      <c r="AL10" s="490" t="str">
        <f>IF(Tableau21[[#This Row],[Name PFI/CDD]]="","-",VLOOKUP(Tableau21[[#This Row],[Name PFI/CDD]],Plant_AILN!I:J,2,FALSE))</f>
        <v>-</v>
      </c>
      <c r="AM10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0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0" s="2" t="e">
        <f ca="1">VLOOKUP(Tableau21[[#This Row],[Key(POD -PFI- Usine)]],'DATA Consignee'!A:J,10,FALSE)</f>
        <v>#N/A</v>
      </c>
      <c r="AP10" s="50" t="e">
        <f ca="1">VLOOKUP(Tableau21[[#This Row],[Key(POD -PFI- Usine)]],'DATA Consignee'!A:N,14,FALSE)</f>
        <v>#N/A</v>
      </c>
      <c r="AQ10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0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0" s="50" t="e">
        <f ca="1">Tableau21[[#This Row],[Transit time]]+Tableau21[[#This Row],[Time for security]]+Tableau21[[#This Row],[Time for security2 buffer]]</f>
        <v>#N/A</v>
      </c>
      <c r="AT10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0" s="50" t="e">
        <f ca="1">Tableau21[[#This Row],[Leadtime SI2C]]+Tableau21[[#This Row],[First Receipt Days]]-Tableau21[[#This Row],[Day Customer Order]]+1</f>
        <v>#N/A</v>
      </c>
      <c r="AV10" s="117" t="e">
        <f ca="1">IF(Tableau21[[#This Row],[Name ILN]]&lt;&gt;"SFK Freight Forwarder",Tableau21[[#This Row],[Cust. Leadtime]],Tableau21[[#This Row],[Leadtime SI2C]])</f>
        <v>#N/A</v>
      </c>
      <c r="AW10" s="57"/>
      <c r="AX10" s="328" t="e">
        <f ca="1">IFERROR(VLOOKUP(Tableau21[[#This Row],[Key(ID-Next)]],'DATA BTO'!A:N,3,FALSE),VLOOKUP(Tableau21[[#This Row],[ID]],'DATA BTO'!B:N,2,FALSE))</f>
        <v>#N/A</v>
      </c>
      <c r="AY10" s="50" t="str">
        <f>IF(ISNUMBER(Tableau21[[#This Row],[Day Customer Order]]),"-","Please Check 'Name' information in 'Order' Sheet to make sure they have information")</f>
        <v>-</v>
      </c>
      <c r="AZ10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0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0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0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1" spans="2:55">
      <c r="B11" s="65" t="str">
        <f>_xlfn.CONCAT(Tableau21[[#This Row],[Name ILN]],"-",Tableau21[[#This Row],[Name Shipper]],"-",Tableau21[[#This Row],[Name Site]])</f>
        <v>ILN Cordoba-ILN Cordoba-ORAN</v>
      </c>
      <c r="C11" s="80" t="e">
        <f ca="1">_xlfn.CONCAT(Tableau21[[#This Row],[Compte ILN]],"-",Tableau21[[#This Row],[Compte Shipper]],"-",Tableau21[[#This Row],[POL]],"-",Tableau21[[#This Row],[Compte Site]])</f>
        <v>#N/A</v>
      </c>
      <c r="D11" s="80" t="e">
        <f ca="1">_xlfn.CONCAT(Tableau21[[#This Row],[Compte ILN]],"-",Tableau21[[#This Row],[Compte Shipper]],"-",Tableau21[[#This Row],[POL]])</f>
        <v>#N/A</v>
      </c>
      <c r="E11" s="81" t="e">
        <f ca="1">_xlfn.CONCAT(Tableau21[[#This Row],[POL]],"-",Tableau21[[#This Row],[Carrier]],"-",Tableau21[[#This Row],[POD]])</f>
        <v>#N/A</v>
      </c>
      <c r="F11" s="80" t="str">
        <f>_xlfn.CONCAT(Tableau21[[#This Row],[ID]],"-","Next")</f>
        <v>1999-Next</v>
      </c>
      <c r="G11" s="80" t="e">
        <f ca="1">_xlfn.CONCAT(Tableau21[[#This Row],[POD]],"-",Tableau21[[#This Row],[Code PFI]],"-",Tableau21[[#This Row],[Compte Site]])</f>
        <v>#N/A</v>
      </c>
      <c r="H11" s="115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1" s="83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1" s="118" t="str">
        <f ca="1">IF(COUNTIF(I:I,Tableau21[[#This Row],[Plant-ILN-shipper-POL-Carrier-POD-PFI]])=1,"Non","Oui")</f>
        <v>Oui</v>
      </c>
      <c r="K11" s="101" t="str">
        <f>VLOOKUP(Tableau21[[#This Row],[Name Site]],Plant_AILN!A:D,4,FALSE)</f>
        <v>ALGERIA</v>
      </c>
      <c r="L11" s="74" t="s">
        <v>203</v>
      </c>
      <c r="M11" s="484">
        <f>VLOOKUP(Tableau21[[#This Row],[Name Site]],Plant_AILN!A:C,3,FALSE)</f>
        <v>90021000</v>
      </c>
      <c r="N11" s="102">
        <f>VLOOKUP(Tableau21[[#This Row],[Compte Site]],Order!C:D,2,FALSE)</f>
        <v>7</v>
      </c>
      <c r="O11" s="124" t="s">
        <v>204</v>
      </c>
      <c r="P11" s="484">
        <f>VLOOKUP(Tableau21[[#This Row],[Name ILN]],Plant_AILN!F:G,2,FALSE)</f>
        <v>26376</v>
      </c>
      <c r="Q11" s="79">
        <f>VLOOKUP(Tableau21[[#This Row],[Compte ILN]],'DATA ILN'!D:I,6,FALSE)</f>
        <v>9</v>
      </c>
      <c r="R11" s="79" t="e">
        <f ca="1">IFERROR(VLOOKUP(Tableau21[[#This Row],[Key(Compte ILN - shipper - POL - plant)]],'DATA ILN'!A:J,10,FALSE),VLOOKUP(Tableau21[[#This Row],[Key(Compte ILN - shipper - POL)]],'DATA ILN'!B:J,9,FALSE))</f>
        <v>#N/A</v>
      </c>
      <c r="S11" s="79" t="e">
        <f ca="1">IFERROR(VLOOKUP(Tableau21[[#This Row],[Key(Compte ILN - shipper - POL - plant)]],'DATA ILN'!A:K,11,FALSE),VLOOKUP(Tableau21[[#This Row],[Key(Compte ILN - shipper - POL)]],'DATA ILN'!B:K,10,FALSE))</f>
        <v>#N/A</v>
      </c>
      <c r="T11" s="79" t="e">
        <f ca="1">IFERROR(VLOOKUP(Tableau21[[#This Row],[Key(Compte ILN - shipper - POL - plant)]],'DATA ILN'!A:L,12,FALSE),VLOOKUP(Tableau21[[#This Row],[Key(Compte ILN - shipper - POL)]],'DATA ILN'!B:L,11,FALSE))</f>
        <v>#N/A</v>
      </c>
      <c r="U11" s="79" t="e">
        <f ca="1">Tableau21[[#This Row],[Day ILN Order]]+Tableau21[[#This Row],[Delivery time to ILN/Shipper]]-1</f>
        <v>#N/A</v>
      </c>
      <c r="V11" s="79" t="e">
        <f ca="1">IFERROR(VLOOKUP(Tableau21[[#This Row],[Key(Compte ILN - shipper - POL - plant)]],'DATA ILN'!A:N,14,FALSE),VLOOKUP(Tableau21[[#This Row],[Key(Compte ILN - shipper - POL)]],'DATA ILN'!B:N,13,FALSE))</f>
        <v>#N/A</v>
      </c>
      <c r="W11" s="104" t="e">
        <f ca="1">IFERROR(VLOOKUP(Tableau21[[#This Row],[Key(Compte ILN - shipper - POL - plant)]],'DATA ILN'!A:P,16,FALSE),VLOOKUP(Tableau21[[#This Row],[Key(Compte ILN - shipper - POL)]],'DATA ILN'!B:P,15,FALSE))</f>
        <v>#N/A</v>
      </c>
      <c r="X11" s="350" t="s">
        <v>204</v>
      </c>
      <c r="Y11" s="495">
        <f>IFERROR(VLOOKUP(Tableau21[[#This Row],[Name Shipper]],Plant_AILN!L:M,2,FALSE),0)</f>
        <v>26376</v>
      </c>
      <c r="Z11" s="103">
        <v>1999</v>
      </c>
      <c r="AA11" s="354" t="e">
        <f ca="1">IFERROR(VLOOKUP(Tableau21[[#This Row],[Key(ID-Next)]],'DATA BTO'!A:N,5,FALSE),VLOOKUP(_xlfn.CONCAT(Tableau21[[#This Row],[ID]],"-","Actif"),'DATA BTO'!A:N,5,FALSE))</f>
        <v>#N/A</v>
      </c>
      <c r="AB11" s="106" t="e">
        <f ca="1">IFERROR(VLOOKUP(Tableau21[[#This Row],[Key(ID-Next)]],'DATA BTO'!A:N,6,FALSE),VLOOKUP(_xlfn.CONCAT(Tableau21[[#This Row],[ID]],"-","Actif"),'DATA BTO'!A:N,6,FALSE))</f>
        <v>#N/A</v>
      </c>
      <c r="AC11" s="79" t="e">
        <f ca="1">IFERROR(VLOOKUP(Tableau21[[#This Row],[Key(ID-Next)]],'DATA BTO'!A:N,7,FALSE),VLOOKUP(_xlfn.CONCAT(Tableau21[[#This Row],[ID]],"-","Actif"),'DATA BTO'!A:N,7,FALSE))</f>
        <v>#N/A</v>
      </c>
      <c r="AD11" s="79" t="e">
        <f ca="1">IFERROR(VLOOKUP(Tableau21[[#This Row],[Key(ID-Next)]],'DATA BTO'!A:N,8,FALSE),VLOOKUP(_xlfn.CONCAT(Tableau21[[#This Row],[ID]],"-","Actif"),'DATA BTO'!A:N,8,FALSE))</f>
        <v>#N/A</v>
      </c>
      <c r="AE11" s="79" t="e">
        <f ca="1">IFERROR(VLOOKUP(Tableau21[[#This Row],[Key(ID-Next)]],'DATA BTO'!A:N,9,FALSE),VLOOKUP(_xlfn.CONCAT(Tableau21[[#This Row],[ID]],"-","Actif"),'DATA BTO'!A:N,9,FALSE))</f>
        <v>#N/A</v>
      </c>
      <c r="AF11" s="106" t="e">
        <f ca="1">IFERROR(VLOOKUP(Tableau21[[#This Row],[Key(ID-Next)]],'DATA BTO'!A:N,10,FALSE),VLOOKUP(_xlfn.CONCAT(Tableau21[[#This Row],[ID]],"-","Actif"),'DATA BTO'!A:N,10,FALSE))</f>
        <v>#N/A</v>
      </c>
      <c r="AG11" s="106" t="e">
        <f ca="1">IFERROR(VLOOKUP(Tableau21[[#This Row],[Key(ID-Next)]],'DATA BTO'!A:N,11,FALSE),VLOOKUP(_xlfn.CONCAT(Tableau21[[#This Row],[ID]],"-","Actif"),'DATA BTO'!A:N,11,FALSE))</f>
        <v>#N/A</v>
      </c>
      <c r="AH11" s="79" t="e">
        <f ca="1">IFERROR(VLOOKUP(Tableau21[[#This Row],[Key(ID-Next)]],'DATA BTO'!A:N,12,FALSE),VLOOKUP(_xlfn.CONCAT(Tableau21[[#This Row],[ID]],"-","Actif"),'DATA BTO'!A:N,12,FALSE))</f>
        <v>#N/A</v>
      </c>
      <c r="AI11" s="104" t="e">
        <f ca="1">IFERROR(VLOOKUP(Tableau21[[#This Row],[Key(ID-Next)]],'DATA BTO'!A:N,14,FALSE),VLOOKUP(_xlfn.CONCAT(Tableau21[[#This Row],[ID]],"-","Actif"),'DATA BTO'!A:N,14,FALSE))</f>
        <v>#N/A</v>
      </c>
      <c r="AJ11" s="105" t="e">
        <f ca="1">VLOOKUP(Tableau21[[#This Row],[Key(POD -PFI- Usine)]],'DATA Consignee'!A:F,6,FALSE)</f>
        <v>#N/A</v>
      </c>
      <c r="AK11" s="100"/>
      <c r="AL11" s="486" t="str">
        <f>IF(Tableau21[[#This Row],[Name PFI/CDD]]="","-",VLOOKUP(Tableau21[[#This Row],[Name PFI/CDD]],Plant_AILN!I:J,2,FALSE))</f>
        <v>-</v>
      </c>
      <c r="AM11" s="107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1" s="107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1" s="108" t="e">
        <f ca="1">VLOOKUP(Tableau21[[#This Row],[Key(POD -PFI- Usine)]],'DATA Consignee'!A:J,10,FALSE)</f>
        <v>#N/A</v>
      </c>
      <c r="AP11" s="79" t="e">
        <f ca="1">VLOOKUP(Tableau21[[#This Row],[Key(POD -PFI- Usine)]],'DATA Consignee'!A:N,14,FALSE)</f>
        <v>#N/A</v>
      </c>
      <c r="AQ11" s="102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1" s="105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1" s="79" t="e">
        <f ca="1">Tableau21[[#This Row],[Transit time]]+Tableau21[[#This Row],[Time for security]]+Tableau21[[#This Row],[Time for security2 buffer]]</f>
        <v>#N/A</v>
      </c>
      <c r="AT11" s="79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1" s="79" t="e">
        <f ca="1">Tableau21[[#This Row],[Leadtime SI2C]]+Tableau21[[#This Row],[First Receipt Days]]-Tableau21[[#This Row],[Day Customer Order]]+1</f>
        <v>#N/A</v>
      </c>
      <c r="AV11" s="118" t="e">
        <f ca="1">IF(Tableau21[[#This Row],[Name ILN]]&lt;&gt;"SFK Freight Forwarder",Tableau21[[#This Row],[Cust. Leadtime]],Tableau21[[#This Row],[Leadtime SI2C]])</f>
        <v>#N/A</v>
      </c>
      <c r="AW11" s="74"/>
      <c r="AX11" s="347" t="e">
        <f ca="1">IFERROR(VLOOKUP(Tableau21[[#This Row],[Key(ID-Next)]],'DATA BTO'!A:N,3,FALSE),VLOOKUP(Tableau21[[#This Row],[ID]],'DATA BTO'!B:N,2,FALSE))</f>
        <v>#N/A</v>
      </c>
      <c r="AY11" s="79" t="str">
        <f>IF(ISNUMBER(Tableau21[[#This Row],[Day Customer Order]]),"-","Please Check 'Name' information in 'Order' Sheet to make sure they have information")</f>
        <v>-</v>
      </c>
      <c r="AZ11" s="79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1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1" s="79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1" s="102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2" spans="2:55">
      <c r="B12" s="65" t="str">
        <f>_xlfn.CONCAT(Tableau21[[#This Row],[Name ILN]],"-",Tableau21[[#This Row],[Name Shipper]],"-",Tableau21[[#This Row],[Name Site]])</f>
        <v>NSL Shanghai-NSL Shanghai-OYAK MEKA</v>
      </c>
      <c r="C12" s="64" t="e">
        <f ca="1">_xlfn.CONCAT(Tableau21[[#This Row],[Compte ILN]],"-",Tableau21[[#This Row],[Compte Shipper]],"-",Tableau21[[#This Row],[POL]],"-",Tableau21[[#This Row],[Compte Site]])</f>
        <v>#N/A</v>
      </c>
      <c r="D12" s="64" t="e">
        <f ca="1">_xlfn.CONCAT(Tableau21[[#This Row],[Compte ILN]],"-",Tableau21[[#This Row],[Compte Shipper]],"-",Tableau21[[#This Row],[POL]])</f>
        <v>#N/A</v>
      </c>
      <c r="E12" s="128" t="e">
        <f ca="1">_xlfn.CONCAT(Tableau21[[#This Row],[POL]],"-",Tableau21[[#This Row],[Carrier]],"-",Tableau21[[#This Row],[POD]])</f>
        <v>#N/A</v>
      </c>
      <c r="F12" s="64" t="str">
        <f>_xlfn.CONCAT(Tableau21[[#This Row],[ID]],"-","Next")</f>
        <v>AK15-Next</v>
      </c>
      <c r="G12" s="64" t="e">
        <f ca="1">_xlfn.CONCAT(Tableau21[[#This Row],[POD]],"-",Tableau21[[#This Row],[Code PFI]],"-",Tableau21[[#This Row],[Compte Site]])</f>
        <v>#N/A</v>
      </c>
      <c r="H12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2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2" s="117" t="str">
        <f ca="1">IF(COUNTIF(I:I,Tableau21[[#This Row],[Plant-ILN-shipper-POL-Carrier-POD-PFI]])=1,"Non","Oui")</f>
        <v>Oui</v>
      </c>
      <c r="K12" s="126" t="str">
        <f>VLOOKUP(Tableau21[[#This Row],[Name Site]],Plant_AILN!A:D,4,FALSE)</f>
        <v>TURKEY</v>
      </c>
      <c r="L12" s="57" t="s">
        <v>164</v>
      </c>
      <c r="M12" s="481">
        <f>VLOOKUP(Tableau21[[#This Row],[Name Site]],Plant_AILN!A:C,3,FALSE)</f>
        <v>90014400</v>
      </c>
      <c r="N12" s="55">
        <f>VLOOKUP(Tableau21[[#This Row],[Compte Site]],Order!C:D,2,FALSE)</f>
        <v>2</v>
      </c>
      <c r="O12" s="124" t="s">
        <v>193</v>
      </c>
      <c r="P12" s="481">
        <f>VLOOKUP(Tableau21[[#This Row],[Name ILN]],Plant_AILN!F:G,2,FALSE)</f>
        <v>27261102</v>
      </c>
      <c r="Q12" s="50">
        <f>VLOOKUP(Tableau21[[#This Row],[Compte ILN]],'DATA ILN'!D:I,6,FALSE)</f>
        <v>16</v>
      </c>
      <c r="R12" s="50" t="e">
        <f ca="1">IFERROR(VLOOKUP(Tableau21[[#This Row],[Key(Compte ILN - shipper - POL - plant)]],'DATA ILN'!A:J,10,FALSE),VLOOKUP(Tableau21[[#This Row],[Key(Compte ILN - shipper - POL)]],'DATA ILN'!B:J,9,FALSE))</f>
        <v>#N/A</v>
      </c>
      <c r="S12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2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2" s="50" t="e">
        <f ca="1">Tableau21[[#This Row],[Day ILN Order]]+Tableau21[[#This Row],[Delivery time to ILN/Shipper]]-1</f>
        <v>#N/A</v>
      </c>
      <c r="V12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2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2" s="349" t="s">
        <v>193</v>
      </c>
      <c r="Y12" s="494">
        <f>IFERROR(VLOOKUP(Tableau21[[#This Row],[Name Shipper]],Plant_AILN!L:M,2,FALSE),0)</f>
        <v>27261102</v>
      </c>
      <c r="Z12" s="194" t="s">
        <v>205</v>
      </c>
      <c r="AA12" s="353" t="e">
        <f ca="1">IFERROR(VLOOKUP(Tableau21[[#This Row],[Key(ID-Next)]],'DATA BTO'!A:N,5,FALSE),VLOOKUP(_xlfn.CONCAT(Tableau21[[#This Row],[ID]],"-","Actif"),'DATA BTO'!A:N,5,FALSE))</f>
        <v>#N/A</v>
      </c>
      <c r="AB12" s="3" t="e">
        <f ca="1">IFERROR(VLOOKUP(Tableau21[[#This Row],[Key(ID-Next)]],'DATA BTO'!A:N,6,FALSE),VLOOKUP(_xlfn.CONCAT(Tableau21[[#This Row],[ID]],"-","Actif"),'DATA BTO'!A:N,6,FALSE))</f>
        <v>#N/A</v>
      </c>
      <c r="AC12" s="50" t="e">
        <f ca="1">IFERROR(VLOOKUP(Tableau21[[#This Row],[Key(ID-Next)]],'DATA BTO'!A:N,7,FALSE),VLOOKUP(_xlfn.CONCAT(Tableau21[[#This Row],[ID]],"-","Actif"),'DATA BTO'!A:N,7,FALSE))</f>
        <v>#N/A</v>
      </c>
      <c r="AD12" s="50" t="e">
        <f ca="1">IFERROR(VLOOKUP(Tableau21[[#This Row],[Key(ID-Next)]],'DATA BTO'!A:N,8,FALSE),VLOOKUP(_xlfn.CONCAT(Tableau21[[#This Row],[ID]],"-","Actif"),'DATA BTO'!A:N,8,FALSE))</f>
        <v>#N/A</v>
      </c>
      <c r="AE12" s="50" t="e">
        <f ca="1">IFERROR(VLOOKUP(Tableau21[[#This Row],[Key(ID-Next)]],'DATA BTO'!A:N,9,FALSE),VLOOKUP(_xlfn.CONCAT(Tableau21[[#This Row],[ID]],"-","Actif"),'DATA BTO'!A:N,9,FALSE))</f>
        <v>#N/A</v>
      </c>
      <c r="AF12" s="3" t="e">
        <f ca="1">IFERROR(VLOOKUP(Tableau21[[#This Row],[Key(ID-Next)]],'DATA BTO'!A:N,10,FALSE),VLOOKUP(_xlfn.CONCAT(Tableau21[[#This Row],[ID]],"-","Actif"),'DATA BTO'!A:N,10,FALSE))</f>
        <v>#N/A</v>
      </c>
      <c r="AG12" s="3" t="e">
        <f ca="1">IFERROR(VLOOKUP(Tableau21[[#This Row],[Key(ID-Next)]],'DATA BTO'!A:N,11,FALSE),VLOOKUP(_xlfn.CONCAT(Tableau21[[#This Row],[ID]],"-","Actif"),'DATA BTO'!A:N,11,FALSE))</f>
        <v>#N/A</v>
      </c>
      <c r="AH12" s="50" t="e">
        <f ca="1">IFERROR(VLOOKUP(Tableau21[[#This Row],[Key(ID-Next)]],'DATA BTO'!A:N,12,FALSE),VLOOKUP(_xlfn.CONCAT(Tableau21[[#This Row],[ID]],"-","Actif"),'DATA BTO'!A:N,12,FALSE))</f>
        <v>#N/A</v>
      </c>
      <c r="AI12" s="53" t="e">
        <f ca="1">IFERROR(VLOOKUP(Tableau21[[#This Row],[Key(ID-Next)]],'DATA BTO'!A:N,14,FALSE),VLOOKUP(_xlfn.CONCAT(Tableau21[[#This Row],[ID]],"-","Actif"),'DATA BTO'!A:N,14,FALSE))</f>
        <v>#N/A</v>
      </c>
      <c r="AJ12" s="54" t="e">
        <f ca="1">VLOOKUP(Tableau21[[#This Row],[Key(POD -PFI- Usine)]],'DATA Consignee'!A:F,6,FALSE)</f>
        <v>#N/A</v>
      </c>
      <c r="AK12" s="283"/>
      <c r="AL12" s="490" t="str">
        <f>IF(Tableau21[[#This Row],[Name PFI/CDD]]="","-",VLOOKUP(Tableau21[[#This Row],[Name PFI/CDD]],Plant_AILN!I:J,2,FALSE))</f>
        <v>-</v>
      </c>
      <c r="AM12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2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2" s="2" t="e">
        <f ca="1">VLOOKUP(Tableau21[[#This Row],[Key(POD -PFI- Usine)]],'DATA Consignee'!A:J,10,FALSE)</f>
        <v>#N/A</v>
      </c>
      <c r="AP12" s="50" t="e">
        <f ca="1">VLOOKUP(Tableau21[[#This Row],[Key(POD -PFI- Usine)]],'DATA Consignee'!A:N,14,FALSE)</f>
        <v>#N/A</v>
      </c>
      <c r="AQ12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2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2" s="50" t="e">
        <f ca="1">Tableau21[[#This Row],[Transit time]]+Tableau21[[#This Row],[Time for security]]+Tableau21[[#This Row],[Time for security2 buffer]]</f>
        <v>#N/A</v>
      </c>
      <c r="AT12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2" s="50" t="e">
        <f ca="1">Tableau21[[#This Row],[Leadtime SI2C]]+Tableau21[[#This Row],[First Receipt Days]]-Tableau21[[#This Row],[Day Customer Order]]+1</f>
        <v>#N/A</v>
      </c>
      <c r="AV12" s="117" t="e">
        <f ca="1">IF(Tableau21[[#This Row],[Name ILN]]&lt;&gt;"SFK Freight Forwarder",Tableau21[[#This Row],[Cust. Leadtime]],Tableau21[[#This Row],[Leadtime SI2C]])</f>
        <v>#N/A</v>
      </c>
      <c r="AW12" s="57"/>
      <c r="AX12" s="328" t="e">
        <f ca="1">IFERROR(VLOOKUP(Tableau21[[#This Row],[Key(ID-Next)]],'DATA BTO'!A:N,3,FALSE),VLOOKUP(Tableau21[[#This Row],[ID]],'DATA BTO'!B:N,2,FALSE))</f>
        <v>#N/A</v>
      </c>
      <c r="AY12" s="50" t="str">
        <f>IF(ISNUMBER(Tableau21[[#This Row],[Day Customer Order]]),"-","Please Check 'Name' information in 'Order' Sheet to make sure they have information")</f>
        <v>-</v>
      </c>
      <c r="AZ12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2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2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2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3" spans="2:55">
      <c r="B13" s="65" t="str">
        <f>_xlfn.CONCAT(Tableau21[[#This Row],[Name ILN]],"-",Tableau21[[#This Row],[Name Shipper]],"-",Tableau21[[#This Row],[Name Site]])</f>
        <v>NCIC Shanghai -NCIC Shanghai -OYAK MEKA</v>
      </c>
      <c r="C13" s="64" t="e">
        <f ca="1">_xlfn.CONCAT(Tableau21[[#This Row],[Compte ILN]],"-",Tableau21[[#This Row],[Compte Shipper]],"-",Tableau21[[#This Row],[POL]],"-",Tableau21[[#This Row],[Compte Site]])</f>
        <v>#N/A</v>
      </c>
      <c r="D13" s="64" t="e">
        <f ca="1">_xlfn.CONCAT(Tableau21[[#This Row],[Compte ILN]],"-",Tableau21[[#This Row],[Compte Shipper]],"-",Tableau21[[#This Row],[POL]])</f>
        <v>#N/A</v>
      </c>
      <c r="E13" s="128" t="e">
        <f ca="1">_xlfn.CONCAT(Tableau21[[#This Row],[POL]],"-",Tableau21[[#This Row],[Carrier]],"-",Tableau21[[#This Row],[POD]])</f>
        <v>#N/A</v>
      </c>
      <c r="F13" s="64" t="str">
        <f>_xlfn.CONCAT(Tableau21[[#This Row],[ID]],"-","Next")</f>
        <v>AK15-1-Next</v>
      </c>
      <c r="G13" s="64" t="e">
        <f ca="1">_xlfn.CONCAT(Tableau21[[#This Row],[POD]],"-",Tableau21[[#This Row],[Code PFI]],"-",Tableau21[[#This Row],[Compte Site]])</f>
        <v>#N/A</v>
      </c>
      <c r="H13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3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3" s="117" t="str">
        <f ca="1">IF(COUNTIF(I:I,Tableau21[[#This Row],[Plant-ILN-shipper-POL-Carrier-POD-PFI]])=1,"Non","Oui")</f>
        <v>Oui</v>
      </c>
      <c r="K13" s="126" t="str">
        <f>VLOOKUP(Tableau21[[#This Row],[Name Site]],Plant_AILN!A:D,4,FALSE)</f>
        <v>TURKEY</v>
      </c>
      <c r="L13" s="57" t="s">
        <v>164</v>
      </c>
      <c r="M13" s="481">
        <f>VLOOKUP(Tableau21[[#This Row],[Name Site]],Plant_AILN!A:C,3,FALSE)</f>
        <v>90014400</v>
      </c>
      <c r="N13" s="55">
        <f>VLOOKUP(Tableau21[[#This Row],[Compte Site]],Order!C:D,2,FALSE)</f>
        <v>2</v>
      </c>
      <c r="O13" s="122" t="s">
        <v>206</v>
      </c>
      <c r="P13" s="481">
        <f>VLOOKUP(Tableau21[[#This Row],[Name ILN]],Plant_AILN!F:G,2,FALSE)</f>
        <v>26037001</v>
      </c>
      <c r="Q13" s="50">
        <f>VLOOKUP(Tableau21[[#This Row],[Compte ILN]],'DATA ILN'!D:I,6,FALSE)</f>
        <v>16</v>
      </c>
      <c r="R13" s="50" t="e">
        <f ca="1">IFERROR(VLOOKUP(Tableau21[[#This Row],[Key(Compte ILN - shipper - POL - plant)]],'DATA ILN'!A:J,10,FALSE),VLOOKUP(Tableau21[[#This Row],[Key(Compte ILN - shipper - POL)]],'DATA ILN'!B:J,9,FALSE))</f>
        <v>#N/A</v>
      </c>
      <c r="S13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3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3" s="50" t="e">
        <f ca="1">Tableau21[[#This Row],[Day ILN Order]]+Tableau21[[#This Row],[Delivery time to ILN/Shipper]]-1</f>
        <v>#N/A</v>
      </c>
      <c r="V13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3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3" s="351" t="s">
        <v>206</v>
      </c>
      <c r="Y13" s="494">
        <f>IFERROR(VLOOKUP(Tableau21[[#This Row],[Name Shipper]],Plant_AILN!L:M,2,FALSE),0)</f>
        <v>26037001</v>
      </c>
      <c r="Z13" s="194" t="s">
        <v>207</v>
      </c>
      <c r="AA13" s="353" t="e">
        <f ca="1">IFERROR(VLOOKUP(Tableau21[[#This Row],[Key(ID-Next)]],'DATA BTO'!A:N,5,FALSE),VLOOKUP(_xlfn.CONCAT(Tableau21[[#This Row],[ID]],"-","Actif"),'DATA BTO'!A:N,5,FALSE))</f>
        <v>#N/A</v>
      </c>
      <c r="AB13" s="3" t="e">
        <f ca="1">IFERROR(VLOOKUP(Tableau21[[#This Row],[Key(ID-Next)]],'DATA BTO'!A:N,6,FALSE),VLOOKUP(_xlfn.CONCAT(Tableau21[[#This Row],[ID]],"-","Actif"),'DATA BTO'!A:N,6,FALSE))</f>
        <v>#N/A</v>
      </c>
      <c r="AC13" s="50" t="e">
        <f ca="1">IFERROR(VLOOKUP(Tableau21[[#This Row],[Key(ID-Next)]],'DATA BTO'!A:N,7,FALSE),VLOOKUP(_xlfn.CONCAT(Tableau21[[#This Row],[ID]],"-","Actif"),'DATA BTO'!A:N,7,FALSE))</f>
        <v>#N/A</v>
      </c>
      <c r="AD13" s="50" t="e">
        <f ca="1">IFERROR(VLOOKUP(Tableau21[[#This Row],[Key(ID-Next)]],'DATA BTO'!A:N,8,FALSE),VLOOKUP(_xlfn.CONCAT(Tableau21[[#This Row],[ID]],"-","Actif"),'DATA BTO'!A:N,8,FALSE))</f>
        <v>#N/A</v>
      </c>
      <c r="AE13" s="50" t="e">
        <f ca="1">IFERROR(VLOOKUP(Tableau21[[#This Row],[Key(ID-Next)]],'DATA BTO'!A:N,9,FALSE),VLOOKUP(_xlfn.CONCAT(Tableau21[[#This Row],[ID]],"-","Actif"),'DATA BTO'!A:N,9,FALSE))</f>
        <v>#N/A</v>
      </c>
      <c r="AF13" s="3" t="e">
        <f ca="1">IFERROR(VLOOKUP(Tableau21[[#This Row],[Key(ID-Next)]],'DATA BTO'!A:N,10,FALSE),VLOOKUP(_xlfn.CONCAT(Tableau21[[#This Row],[ID]],"-","Actif"),'DATA BTO'!A:N,10,FALSE))</f>
        <v>#N/A</v>
      </c>
      <c r="AG13" s="3" t="e">
        <f ca="1">IFERROR(VLOOKUP(Tableau21[[#This Row],[Key(ID-Next)]],'DATA BTO'!A:N,11,FALSE),VLOOKUP(_xlfn.CONCAT(Tableau21[[#This Row],[ID]],"-","Actif"),'DATA BTO'!A:N,11,FALSE))</f>
        <v>#N/A</v>
      </c>
      <c r="AH13" s="50" t="e">
        <f ca="1">IFERROR(VLOOKUP(Tableau21[[#This Row],[Key(ID-Next)]],'DATA BTO'!A:N,12,FALSE),VLOOKUP(_xlfn.CONCAT(Tableau21[[#This Row],[ID]],"-","Actif"),'DATA BTO'!A:N,12,FALSE))</f>
        <v>#N/A</v>
      </c>
      <c r="AI13" s="53" t="e">
        <f ca="1">IFERROR(VLOOKUP(Tableau21[[#This Row],[Key(ID-Next)]],'DATA BTO'!A:N,14,FALSE),VLOOKUP(_xlfn.CONCAT(Tableau21[[#This Row],[ID]],"-","Actif"),'DATA BTO'!A:N,14,FALSE))</f>
        <v>#N/A</v>
      </c>
      <c r="AJ13" s="54" t="e">
        <f ca="1">VLOOKUP(Tableau21[[#This Row],[Key(POD -PFI- Usine)]],'DATA Consignee'!A:F,6,FALSE)</f>
        <v>#N/A</v>
      </c>
      <c r="AK13" s="283"/>
      <c r="AL13" s="490" t="str">
        <f>IF(Tableau21[[#This Row],[Name PFI/CDD]]="","-",VLOOKUP(Tableau21[[#This Row],[Name PFI/CDD]],Plant_AILN!I:J,2,FALSE))</f>
        <v>-</v>
      </c>
      <c r="AM13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3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3" s="2" t="e">
        <f ca="1">VLOOKUP(Tableau21[[#This Row],[Key(POD -PFI- Usine)]],'DATA Consignee'!A:J,10,FALSE)</f>
        <v>#N/A</v>
      </c>
      <c r="AP13" s="50" t="e">
        <f ca="1">VLOOKUP(Tableau21[[#This Row],[Key(POD -PFI- Usine)]],'DATA Consignee'!A:N,14,FALSE)</f>
        <v>#N/A</v>
      </c>
      <c r="AQ13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3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3" s="50" t="e">
        <f ca="1">Tableau21[[#This Row],[Transit time]]+Tableau21[[#This Row],[Time for security]]+Tableau21[[#This Row],[Time for security2 buffer]]</f>
        <v>#N/A</v>
      </c>
      <c r="AT13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3" s="50" t="e">
        <f ca="1">Tableau21[[#This Row],[Leadtime SI2C]]+Tableau21[[#This Row],[First Receipt Days]]-Tableau21[[#This Row],[Day Customer Order]]+1</f>
        <v>#N/A</v>
      </c>
      <c r="AV13" s="117" t="e">
        <f ca="1">IF(Tableau21[[#This Row],[Name ILN]]&lt;&gt;"SFK Freight Forwarder",Tableau21[[#This Row],[Cust. Leadtime]],Tableau21[[#This Row],[Leadtime SI2C]])</f>
        <v>#N/A</v>
      </c>
      <c r="AW13" s="57"/>
      <c r="AX13" s="328" t="e">
        <f ca="1">IFERROR(VLOOKUP(Tableau21[[#This Row],[Key(ID-Next)]],'DATA BTO'!A:N,3,FALSE),VLOOKUP(Tableau21[[#This Row],[ID]],'DATA BTO'!B:N,2,FALSE))</f>
        <v>#N/A</v>
      </c>
      <c r="AY13" s="50" t="str">
        <f>IF(ISNUMBER(Tableau21[[#This Row],[Day Customer Order]]),"-","Please Check 'Name' information in 'Order' Sheet to make sure they have information")</f>
        <v>-</v>
      </c>
      <c r="AZ13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3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3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3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4" spans="2:55">
      <c r="B14" s="65" t="str">
        <f>_xlfn.CONCAT(Tableau21[[#This Row],[Name ILN]],"-",Tableau21[[#This Row],[Name Shipper]],"-",Tableau21[[#This Row],[Name Site]])</f>
        <v>NCIC Shanghai -NCIC Shanghai -RKM</v>
      </c>
      <c r="C14" s="64" t="e">
        <f ca="1">_xlfn.CONCAT(Tableau21[[#This Row],[Compte ILN]],"-",Tableau21[[#This Row],[Compte Shipper]],"-",Tableau21[[#This Row],[POL]],"-",Tableau21[[#This Row],[Compte Site]])</f>
        <v>#N/A</v>
      </c>
      <c r="D14" s="64" t="e">
        <f ca="1">_xlfn.CONCAT(Tableau21[[#This Row],[Compte ILN]],"-",Tableau21[[#This Row],[Compte Shipper]],"-",Tableau21[[#This Row],[POL]])</f>
        <v>#N/A</v>
      </c>
      <c r="E14" s="128" t="e">
        <f ca="1">_xlfn.CONCAT(Tableau21[[#This Row],[POL]],"-",Tableau21[[#This Row],[Carrier]],"-",Tableau21[[#This Row],[POD]])</f>
        <v>#N/A</v>
      </c>
      <c r="F14" s="64" t="str">
        <f>_xlfn.CONCAT(Tableau21[[#This Row],[ID]],"-","Next")</f>
        <v>AK6-Next</v>
      </c>
      <c r="G14" s="64" t="e">
        <f ca="1">_xlfn.CONCAT(Tableau21[[#This Row],[POD]],"-",Tableau21[[#This Row],[Code PFI]],"-",Tableau21[[#This Row],[Compte Site]])</f>
        <v>#N/A</v>
      </c>
      <c r="H14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4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4" s="117" t="str">
        <f ca="1">IF(COUNTIF(I:I,Tableau21[[#This Row],[Plant-ILN-shipper-POL-Carrier-POD-PFI]])=1,"Non","Oui")</f>
        <v>Oui</v>
      </c>
      <c r="K14" s="126" t="str">
        <f>VLOOKUP(Tableau21[[#This Row],[Name Site]],Plant_AILN!A:D,4,FALSE)</f>
        <v>KOREA</v>
      </c>
      <c r="L14" s="57" t="s">
        <v>36</v>
      </c>
      <c r="M14" s="481">
        <f>VLOOKUP(Tableau21[[#This Row],[Name Site]],Plant_AILN!A:C,3,FALSE)</f>
        <v>92002200</v>
      </c>
      <c r="N14" s="55">
        <f>VLOOKUP(Tableau21[[#This Row],[Compte Site]],Order!C:D,2,FALSE)</f>
        <v>7</v>
      </c>
      <c r="O14" s="122" t="s">
        <v>206</v>
      </c>
      <c r="P14" s="481">
        <f>VLOOKUP(Tableau21[[#This Row],[Name ILN]],Plant_AILN!F:G,2,FALSE)</f>
        <v>26037001</v>
      </c>
      <c r="Q14" s="50">
        <f>VLOOKUP(Tableau21[[#This Row],[Compte ILN]],'DATA ILN'!D:I,6,FALSE)</f>
        <v>16</v>
      </c>
      <c r="R14" s="50" t="e">
        <f ca="1">IFERROR(VLOOKUP(Tableau21[[#This Row],[Key(Compte ILN - shipper - POL - plant)]],'DATA ILN'!A:J,10,FALSE),VLOOKUP(Tableau21[[#This Row],[Key(Compte ILN - shipper - POL)]],'DATA ILN'!B:J,9,FALSE))</f>
        <v>#N/A</v>
      </c>
      <c r="S14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4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4" s="50" t="e">
        <f ca="1">Tableau21[[#This Row],[Day ILN Order]]+Tableau21[[#This Row],[Delivery time to ILN/Shipper]]-1</f>
        <v>#N/A</v>
      </c>
      <c r="V14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4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4" s="351" t="s">
        <v>206</v>
      </c>
      <c r="Y14" s="494">
        <f>IFERROR(VLOOKUP(Tableau21[[#This Row],[Name Shipper]],Plant_AILN!L:M,2,FALSE),0)</f>
        <v>26037001</v>
      </c>
      <c r="Z14" s="52" t="s">
        <v>208</v>
      </c>
      <c r="AA14" s="353" t="e">
        <f ca="1">IFERROR(VLOOKUP(Tableau21[[#This Row],[Key(ID-Next)]],'DATA BTO'!A:N,5,FALSE),VLOOKUP(_xlfn.CONCAT(Tableau21[[#This Row],[ID]],"-","Actif"),'DATA BTO'!A:N,5,FALSE))</f>
        <v>#N/A</v>
      </c>
      <c r="AB14" s="3" t="e">
        <f ca="1">IFERROR(VLOOKUP(Tableau21[[#This Row],[Key(ID-Next)]],'DATA BTO'!A:N,6,FALSE),VLOOKUP(_xlfn.CONCAT(Tableau21[[#This Row],[ID]],"-","Actif"),'DATA BTO'!A:N,6,FALSE))</f>
        <v>#N/A</v>
      </c>
      <c r="AC14" s="50" t="e">
        <f ca="1">IFERROR(VLOOKUP(Tableau21[[#This Row],[Key(ID-Next)]],'DATA BTO'!A:N,7,FALSE),VLOOKUP(_xlfn.CONCAT(Tableau21[[#This Row],[ID]],"-","Actif"),'DATA BTO'!A:N,7,FALSE))</f>
        <v>#N/A</v>
      </c>
      <c r="AD14" s="50" t="e">
        <f ca="1">IFERROR(VLOOKUP(Tableau21[[#This Row],[Key(ID-Next)]],'DATA BTO'!A:N,8,FALSE),VLOOKUP(_xlfn.CONCAT(Tableau21[[#This Row],[ID]],"-","Actif"),'DATA BTO'!A:N,8,FALSE))</f>
        <v>#N/A</v>
      </c>
      <c r="AE14" s="50" t="e">
        <f ca="1">IFERROR(VLOOKUP(Tableau21[[#This Row],[Key(ID-Next)]],'DATA BTO'!A:N,9,FALSE),VLOOKUP(_xlfn.CONCAT(Tableau21[[#This Row],[ID]],"-","Actif"),'DATA BTO'!A:N,9,FALSE))</f>
        <v>#N/A</v>
      </c>
      <c r="AF14" s="3" t="e">
        <f ca="1">IFERROR(VLOOKUP(Tableau21[[#This Row],[Key(ID-Next)]],'DATA BTO'!A:N,10,FALSE),VLOOKUP(_xlfn.CONCAT(Tableau21[[#This Row],[ID]],"-","Actif"),'DATA BTO'!A:N,10,FALSE))</f>
        <v>#N/A</v>
      </c>
      <c r="AG14" s="3" t="e">
        <f ca="1">IFERROR(VLOOKUP(Tableau21[[#This Row],[Key(ID-Next)]],'DATA BTO'!A:N,11,FALSE),VLOOKUP(_xlfn.CONCAT(Tableau21[[#This Row],[ID]],"-","Actif"),'DATA BTO'!A:N,11,FALSE))</f>
        <v>#N/A</v>
      </c>
      <c r="AH14" s="50" t="e">
        <f ca="1">IFERROR(VLOOKUP(Tableau21[[#This Row],[Key(ID-Next)]],'DATA BTO'!A:N,12,FALSE),VLOOKUP(_xlfn.CONCAT(Tableau21[[#This Row],[ID]],"-","Actif"),'DATA BTO'!A:N,12,FALSE))</f>
        <v>#N/A</v>
      </c>
      <c r="AI14" s="53" t="e">
        <f ca="1">IFERROR(VLOOKUP(Tableau21[[#This Row],[Key(ID-Next)]],'DATA BTO'!A:N,14,FALSE),VLOOKUP(_xlfn.CONCAT(Tableau21[[#This Row],[ID]],"-","Actif"),'DATA BTO'!A:N,14,FALSE))</f>
        <v>#N/A</v>
      </c>
      <c r="AJ14" s="54" t="e">
        <f ca="1">VLOOKUP(Tableau21[[#This Row],[Key(POD -PFI- Usine)]],'DATA Consignee'!A:F,6,FALSE)</f>
        <v>#N/A</v>
      </c>
      <c r="AK14" s="283"/>
      <c r="AL14" s="490" t="str">
        <f>IF(Tableau21[[#This Row],[Name PFI/CDD]]="","-",VLOOKUP(Tableau21[[#This Row],[Name PFI/CDD]],Plant_AILN!I:J,2,FALSE))</f>
        <v>-</v>
      </c>
      <c r="AM14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4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4" s="2" t="e">
        <f ca="1">VLOOKUP(Tableau21[[#This Row],[Key(POD -PFI- Usine)]],'DATA Consignee'!A:J,10,FALSE)</f>
        <v>#N/A</v>
      </c>
      <c r="AP14" s="50" t="e">
        <f ca="1">VLOOKUP(Tableau21[[#This Row],[Key(POD -PFI- Usine)]],'DATA Consignee'!A:N,14,FALSE)</f>
        <v>#N/A</v>
      </c>
      <c r="AQ14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4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4" s="50" t="e">
        <f ca="1">Tableau21[[#This Row],[Transit time]]+Tableau21[[#This Row],[Time for security]]+Tableau21[[#This Row],[Time for security2 buffer]]</f>
        <v>#N/A</v>
      </c>
      <c r="AT14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4" s="50" t="e">
        <f ca="1">Tableau21[[#This Row],[Leadtime SI2C]]+Tableau21[[#This Row],[First Receipt Days]]-Tableau21[[#This Row],[Day Customer Order]]+1</f>
        <v>#N/A</v>
      </c>
      <c r="AV14" s="117" t="e">
        <f ca="1">IF(Tableau21[[#This Row],[Name ILN]]&lt;&gt;"SFK Freight Forwarder",Tableau21[[#This Row],[Cust. Leadtime]],Tableau21[[#This Row],[Leadtime SI2C]])</f>
        <v>#N/A</v>
      </c>
      <c r="AW14" s="57"/>
      <c r="AX14" s="328" t="e">
        <f ca="1">IFERROR(VLOOKUP(Tableau21[[#This Row],[Key(ID-Next)]],'DATA BTO'!A:N,3,FALSE),VLOOKUP(Tableau21[[#This Row],[ID]],'DATA BTO'!B:N,2,FALSE))</f>
        <v>#N/A</v>
      </c>
      <c r="AY14" s="50" t="str">
        <f>IF(ISNUMBER(Tableau21[[#This Row],[Day Customer Order]]),"-","Please Check 'Name' information in 'Order' Sheet to make sure they have information")</f>
        <v>-</v>
      </c>
      <c r="AZ14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4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4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4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5" spans="2:55">
      <c r="B15" s="65" t="str">
        <f>_xlfn.CONCAT(Tableau21[[#This Row],[Name ILN]],"-",Tableau21[[#This Row],[Name Shipper]],"-",Tableau21[[#This Row],[Name Site]])</f>
        <v>NSL Shanghai-NSL Shanghai-DOUAI</v>
      </c>
      <c r="C15" s="64" t="e">
        <f ca="1">_xlfn.CONCAT(Tableau21[[#This Row],[Compte ILN]],"-",Tableau21[[#This Row],[Compte Shipper]],"-",Tableau21[[#This Row],[POL]],"-",Tableau21[[#This Row],[Compte Site]])</f>
        <v>#N/A</v>
      </c>
      <c r="D15" s="64" t="e">
        <f ca="1">_xlfn.CONCAT(Tableau21[[#This Row],[Compte ILN]],"-",Tableau21[[#This Row],[Compte Shipper]],"-",Tableau21[[#This Row],[POL]])</f>
        <v>#N/A</v>
      </c>
      <c r="E15" s="128" t="e">
        <f ca="1">_xlfn.CONCAT(Tableau21[[#This Row],[POL]],"-",Tableau21[[#This Row],[Carrier]],"-",Tableau21[[#This Row],[POD]])</f>
        <v>#N/A</v>
      </c>
      <c r="F15" s="64" t="str">
        <f>_xlfn.CONCAT(Tableau21[[#This Row],[ID]],"-","Next")</f>
        <v>FAL1-DKK-Next</v>
      </c>
      <c r="G15" s="64" t="e">
        <f ca="1">_xlfn.CONCAT(Tableau21[[#This Row],[POD]],"-",Tableau21[[#This Row],[Code PFI]],"-",Tableau21[[#This Row],[Compte Site]])</f>
        <v>#N/A</v>
      </c>
      <c r="H15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5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5" s="117" t="str">
        <f ca="1">IF(COUNTIF(I:I,Tableau21[[#This Row],[Plant-ILN-shipper-POL-Carrier-POD-PFI]])=1,"Non","Oui")</f>
        <v>Oui</v>
      </c>
      <c r="K15" s="126" t="str">
        <f>VLOOKUP(Tableau21[[#This Row],[Name Site]],Plant_AILN!A:D,4,FALSE)</f>
        <v>FRANCE</v>
      </c>
      <c r="L15" s="74" t="s">
        <v>189</v>
      </c>
      <c r="M15" s="481">
        <f>VLOOKUP(Tableau21[[#This Row],[Name Site]],Plant_AILN!A:C,3,FALSE)</f>
        <v>90019100</v>
      </c>
      <c r="N15" s="55">
        <f>VLOOKUP(Tableau21[[#This Row],[Compte Site]],Order!C:D,2,FALSE)</f>
        <v>7</v>
      </c>
      <c r="O15" s="124" t="s">
        <v>193</v>
      </c>
      <c r="P15" s="481">
        <f>VLOOKUP(Tableau21[[#This Row],[Name ILN]],Plant_AILN!F:G,2,FALSE)</f>
        <v>27261102</v>
      </c>
      <c r="Q15" s="50">
        <f>VLOOKUP(Tableau21[[#This Row],[Compte ILN]],'DATA ILN'!D:I,6,FALSE)</f>
        <v>16</v>
      </c>
      <c r="R15" s="50" t="e">
        <f ca="1">IFERROR(VLOOKUP(Tableau21[[#This Row],[Key(Compte ILN - shipper - POL - plant)]],'DATA ILN'!A:J,10,FALSE),VLOOKUP(Tableau21[[#This Row],[Key(Compte ILN - shipper - POL)]],'DATA ILN'!B:J,9,FALSE))</f>
        <v>#N/A</v>
      </c>
      <c r="S1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5" s="50" t="e">
        <f ca="1">Tableau21[[#This Row],[Day ILN Order]]+Tableau21[[#This Row],[Delivery time to ILN/Shipper]]-1</f>
        <v>#N/A</v>
      </c>
      <c r="V1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5" s="349" t="s">
        <v>193</v>
      </c>
      <c r="Y15" s="494">
        <f>IFERROR(VLOOKUP(Tableau21[[#This Row],[Name Shipper]],Plant_AILN!L:M,2,FALSE),0)</f>
        <v>27261102</v>
      </c>
      <c r="Z15" s="194" t="s">
        <v>209</v>
      </c>
      <c r="AA15" s="353" t="e">
        <f ca="1">IFERROR(VLOOKUP(Tableau21[[#This Row],[Key(ID-Next)]],'DATA BTO'!A:N,5,FALSE),VLOOKUP(_xlfn.CONCAT(Tableau21[[#This Row],[ID]],"-","Actif"),'DATA BTO'!A:N,5,FALSE))</f>
        <v>#N/A</v>
      </c>
      <c r="AB15" s="3" t="e">
        <f ca="1">IFERROR(VLOOKUP(Tableau21[[#This Row],[Key(ID-Next)]],'DATA BTO'!A:N,6,FALSE),VLOOKUP(_xlfn.CONCAT(Tableau21[[#This Row],[ID]],"-","Actif"),'DATA BTO'!A:N,6,FALSE))</f>
        <v>#N/A</v>
      </c>
      <c r="AC15" s="50" t="e">
        <f ca="1">IFERROR(VLOOKUP(Tableau21[[#This Row],[Key(ID-Next)]],'DATA BTO'!A:N,7,FALSE),VLOOKUP(_xlfn.CONCAT(Tableau21[[#This Row],[ID]],"-","Actif"),'DATA BTO'!A:N,7,FALSE))</f>
        <v>#N/A</v>
      </c>
      <c r="AD15" s="50" t="e">
        <f ca="1">IFERROR(VLOOKUP(Tableau21[[#This Row],[Key(ID-Next)]],'DATA BTO'!A:N,8,FALSE),VLOOKUP(_xlfn.CONCAT(Tableau21[[#This Row],[ID]],"-","Actif"),'DATA BTO'!A:N,8,FALSE))</f>
        <v>#N/A</v>
      </c>
      <c r="AE15" s="50" t="e">
        <f ca="1">IFERROR(VLOOKUP(Tableau21[[#This Row],[Key(ID-Next)]],'DATA BTO'!A:N,9,FALSE),VLOOKUP(_xlfn.CONCAT(Tableau21[[#This Row],[ID]],"-","Actif"),'DATA BTO'!A:N,9,FALSE))</f>
        <v>#N/A</v>
      </c>
      <c r="AF15" s="3" t="e">
        <f ca="1">IFERROR(VLOOKUP(Tableau21[[#This Row],[Key(ID-Next)]],'DATA BTO'!A:N,10,FALSE),VLOOKUP(_xlfn.CONCAT(Tableau21[[#This Row],[ID]],"-","Actif"),'DATA BTO'!A:N,10,FALSE))</f>
        <v>#N/A</v>
      </c>
      <c r="AG15" s="3" t="e">
        <f ca="1">IFERROR(VLOOKUP(Tableau21[[#This Row],[Key(ID-Next)]],'DATA BTO'!A:N,11,FALSE),VLOOKUP(_xlfn.CONCAT(Tableau21[[#This Row],[ID]],"-","Actif"),'DATA BTO'!A:N,11,FALSE))</f>
        <v>#N/A</v>
      </c>
      <c r="AH15" s="50" t="e">
        <f ca="1">IFERROR(VLOOKUP(Tableau21[[#This Row],[Key(ID-Next)]],'DATA BTO'!A:N,12,FALSE),VLOOKUP(_xlfn.CONCAT(Tableau21[[#This Row],[ID]],"-","Actif"),'DATA BTO'!A:N,12,FALSE))</f>
        <v>#N/A</v>
      </c>
      <c r="AI15" s="53" t="e">
        <f ca="1">IFERROR(VLOOKUP(Tableau21[[#This Row],[Key(ID-Next)]],'DATA BTO'!A:N,14,FALSE),VLOOKUP(_xlfn.CONCAT(Tableau21[[#This Row],[ID]],"-","Actif"),'DATA BTO'!A:N,14,FALSE))</f>
        <v>#N/A</v>
      </c>
      <c r="AJ15" s="54" t="e">
        <f ca="1">VLOOKUP(Tableau21[[#This Row],[Key(POD -PFI- Usine)]],'DATA Consignee'!A:F,6,FALSE)</f>
        <v>#N/A</v>
      </c>
      <c r="AK15" s="283"/>
      <c r="AL15" s="490" t="str">
        <f>IF(Tableau21[[#This Row],[Name PFI/CDD]]="","-",VLOOKUP(Tableau21[[#This Row],[Name PFI/CDD]],Plant_AILN!I:J,2,FALSE))</f>
        <v>-</v>
      </c>
      <c r="AM15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5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5" s="2" t="e">
        <f ca="1">VLOOKUP(Tableau21[[#This Row],[Key(POD -PFI- Usine)]],'DATA Consignee'!A:J,10,FALSE)</f>
        <v>#N/A</v>
      </c>
      <c r="AP15" s="50" t="e">
        <f ca="1">VLOOKUP(Tableau21[[#This Row],[Key(POD -PFI- Usine)]],'DATA Consignee'!A:N,14,FALSE)</f>
        <v>#N/A</v>
      </c>
      <c r="AQ1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5" s="50" t="e">
        <f ca="1">Tableau21[[#This Row],[Transit time]]+Tableau21[[#This Row],[Time for security]]+Tableau21[[#This Row],[Time for security2 buffer]]</f>
        <v>#N/A</v>
      </c>
      <c r="AT1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5" s="50" t="e">
        <f ca="1">Tableau21[[#This Row],[Leadtime SI2C]]+Tableau21[[#This Row],[First Receipt Days]]-Tableau21[[#This Row],[Day Customer Order]]+1</f>
        <v>#N/A</v>
      </c>
      <c r="AV15" s="117" t="e">
        <f ca="1">IF(Tableau21[[#This Row],[Name ILN]]&lt;&gt;"SFK Freight Forwarder",Tableau21[[#This Row],[Cust. Leadtime]],Tableau21[[#This Row],[Leadtime SI2C]])</f>
        <v>#N/A</v>
      </c>
      <c r="AW15" s="57"/>
      <c r="AX15" s="328" t="e">
        <f ca="1">IFERROR(VLOOKUP(Tableau21[[#This Row],[Key(ID-Next)]],'DATA BTO'!A:N,3,FALSE),VLOOKUP(Tableau21[[#This Row],[ID]],'DATA BTO'!B:N,2,FALSE))</f>
        <v>#N/A</v>
      </c>
      <c r="AY15" s="50" t="str">
        <f>IF(ISNUMBER(Tableau21[[#This Row],[Day Customer Order]]),"-","Please Check 'Name' information in 'Order' Sheet to make sure they have information")</f>
        <v>-</v>
      </c>
      <c r="AZ1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6" spans="2:55">
      <c r="B16" s="65" t="str">
        <f>_xlfn.CONCAT(Tableau21[[#This Row],[Name ILN]],"-",Tableau21[[#This Row],[Name Shipper]],"-",Tableau21[[#This Row],[Name Site]])</f>
        <v>NSL Shanghai-NSL Shanghai-CURITIBA CMO</v>
      </c>
      <c r="C16" s="64" t="e">
        <f ca="1">_xlfn.CONCAT(Tableau21[[#This Row],[Compte ILN]],"-",Tableau21[[#This Row],[Compte Shipper]],"-",Tableau21[[#This Row],[POL]],"-",Tableau21[[#This Row],[Compte Site]])</f>
        <v>#N/A</v>
      </c>
      <c r="D16" s="64" t="e">
        <f ca="1">_xlfn.CONCAT(Tableau21[[#This Row],[Compte ILN]],"-",Tableau21[[#This Row],[Compte Shipper]],"-",Tableau21[[#This Row],[POL]])</f>
        <v>#N/A</v>
      </c>
      <c r="E16" s="128" t="e">
        <f ca="1">_xlfn.CONCAT(Tableau21[[#This Row],[POL]],"-",Tableau21[[#This Row],[Carrier]],"-",Tableau21[[#This Row],[POD]])</f>
        <v>#N/A</v>
      </c>
      <c r="F16" s="64" t="str">
        <f>_xlfn.CONCAT(Tableau21[[#This Row],[ID]],"-","Next")</f>
        <v>Asia South America East Coast 2-Next</v>
      </c>
      <c r="G16" s="64" t="e">
        <f ca="1">_xlfn.CONCAT(Tableau21[[#This Row],[POD]],"-",Tableau21[[#This Row],[Code PFI]],"-",Tableau21[[#This Row],[Compte Site]])</f>
        <v>#N/A</v>
      </c>
      <c r="H16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6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6" s="117" t="str">
        <f ca="1">IF(COUNTIF(I:I,Tableau21[[#This Row],[Plant-ILN-shipper-POL-Carrier-POD-PFI]])=1,"Non","Oui")</f>
        <v>Oui</v>
      </c>
      <c r="K16" s="126" t="str">
        <f>VLOOKUP(Tableau21[[#This Row],[Name Site]],Plant_AILN!A:D,4,FALSE)</f>
        <v>BRAZIL</v>
      </c>
      <c r="L16" s="74" t="s">
        <v>168</v>
      </c>
      <c r="M16" s="481">
        <f>VLOOKUP(Tableau21[[#This Row],[Name Site]],Plant_AILN!A:C,3,FALSE)</f>
        <v>90018600</v>
      </c>
      <c r="N16" s="55">
        <f>VLOOKUP(Tableau21[[#This Row],[Compte Site]],Order!C:D,2,FALSE)</f>
        <v>7</v>
      </c>
      <c r="O16" s="124" t="s">
        <v>193</v>
      </c>
      <c r="P16" s="481">
        <f>VLOOKUP(Tableau21[[#This Row],[Name ILN]],Plant_AILN!F:G,2,FALSE)</f>
        <v>27261102</v>
      </c>
      <c r="Q16" s="50">
        <f>VLOOKUP(Tableau21[[#This Row],[Compte ILN]],'DATA ILN'!D:I,6,FALSE)</f>
        <v>16</v>
      </c>
      <c r="R16" s="50" t="e">
        <f ca="1">IFERROR(VLOOKUP(Tableau21[[#This Row],[Key(Compte ILN - shipper - POL - plant)]],'DATA ILN'!A:J,10,FALSE),VLOOKUP(Tableau21[[#This Row],[Key(Compte ILN - shipper - POL)]],'DATA ILN'!B:J,9,FALSE))</f>
        <v>#N/A</v>
      </c>
      <c r="S1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6" s="50" t="e">
        <f ca="1">Tableau21[[#This Row],[Day ILN Order]]+Tableau21[[#This Row],[Delivery time to ILN/Shipper]]-1</f>
        <v>#N/A</v>
      </c>
      <c r="V1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6" s="349" t="s">
        <v>193</v>
      </c>
      <c r="Y16" s="494">
        <f>IFERROR(VLOOKUP(Tableau21[[#This Row],[Name Shipper]],Plant_AILN!L:M,2,FALSE),0)</f>
        <v>27261102</v>
      </c>
      <c r="Z16" s="103" t="s">
        <v>210</v>
      </c>
      <c r="AA16" s="353" t="e">
        <f ca="1">IFERROR(VLOOKUP(Tableau21[[#This Row],[Key(ID-Next)]],'DATA BTO'!A:N,5,FALSE),VLOOKUP(_xlfn.CONCAT(Tableau21[[#This Row],[ID]],"-","Actif"),'DATA BTO'!A:N,5,FALSE))</f>
        <v>#N/A</v>
      </c>
      <c r="AB16" s="3" t="e">
        <f ca="1">IFERROR(VLOOKUP(Tableau21[[#This Row],[Key(ID-Next)]],'DATA BTO'!A:N,6,FALSE),VLOOKUP(_xlfn.CONCAT(Tableau21[[#This Row],[ID]],"-","Actif"),'DATA BTO'!A:N,6,FALSE))</f>
        <v>#N/A</v>
      </c>
      <c r="AC16" s="50" t="e">
        <f ca="1">IFERROR(VLOOKUP(Tableau21[[#This Row],[Key(ID-Next)]],'DATA BTO'!A:N,7,FALSE),VLOOKUP(_xlfn.CONCAT(Tableau21[[#This Row],[ID]],"-","Actif"),'DATA BTO'!A:N,7,FALSE))</f>
        <v>#N/A</v>
      </c>
      <c r="AD16" s="50" t="e">
        <f ca="1">IFERROR(VLOOKUP(Tableau21[[#This Row],[Key(ID-Next)]],'DATA BTO'!A:N,8,FALSE),VLOOKUP(_xlfn.CONCAT(Tableau21[[#This Row],[ID]],"-","Actif"),'DATA BTO'!A:N,8,FALSE))</f>
        <v>#N/A</v>
      </c>
      <c r="AE16" s="50" t="e">
        <f ca="1">IFERROR(VLOOKUP(Tableau21[[#This Row],[Key(ID-Next)]],'DATA BTO'!A:N,9,FALSE),VLOOKUP(_xlfn.CONCAT(Tableau21[[#This Row],[ID]],"-","Actif"),'DATA BTO'!A:N,9,FALSE))</f>
        <v>#N/A</v>
      </c>
      <c r="AF16" s="3" t="e">
        <f ca="1">IFERROR(VLOOKUP(Tableau21[[#This Row],[Key(ID-Next)]],'DATA BTO'!A:N,10,FALSE),VLOOKUP(_xlfn.CONCAT(Tableau21[[#This Row],[ID]],"-","Actif"),'DATA BTO'!A:N,10,FALSE))</f>
        <v>#N/A</v>
      </c>
      <c r="AG16" s="3" t="e">
        <f ca="1">IFERROR(VLOOKUP(Tableau21[[#This Row],[Key(ID-Next)]],'DATA BTO'!A:N,11,FALSE),VLOOKUP(_xlfn.CONCAT(Tableau21[[#This Row],[ID]],"-","Actif"),'DATA BTO'!A:N,11,FALSE))</f>
        <v>#N/A</v>
      </c>
      <c r="AH16" s="50" t="e">
        <f ca="1">IFERROR(VLOOKUP(Tableau21[[#This Row],[Key(ID-Next)]],'DATA BTO'!A:N,12,FALSE),VLOOKUP(_xlfn.CONCAT(Tableau21[[#This Row],[ID]],"-","Actif"),'DATA BTO'!A:N,12,FALSE))</f>
        <v>#N/A</v>
      </c>
      <c r="AI16" s="53" t="e">
        <f ca="1">IFERROR(VLOOKUP(Tableau21[[#This Row],[Key(ID-Next)]],'DATA BTO'!A:N,14,FALSE),VLOOKUP(_xlfn.CONCAT(Tableau21[[#This Row],[ID]],"-","Actif"),'DATA BTO'!A:N,14,FALSE))</f>
        <v>#N/A</v>
      </c>
      <c r="AJ16" s="54" t="e">
        <f ca="1">VLOOKUP(Tableau21[[#This Row],[Key(POD -PFI- Usine)]],'DATA Consignee'!A:F,6,FALSE)</f>
        <v>#N/A</v>
      </c>
      <c r="AK16" s="283"/>
      <c r="AL16" s="490" t="str">
        <f>IF(Tableau21[[#This Row],[Name PFI/CDD]]="","-",VLOOKUP(Tableau21[[#This Row],[Name PFI/CDD]],Plant_AILN!I:J,2,FALSE))</f>
        <v>-</v>
      </c>
      <c r="AM16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6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6" s="2" t="e">
        <f ca="1">VLOOKUP(Tableau21[[#This Row],[Key(POD -PFI- Usine)]],'DATA Consignee'!A:J,10,FALSE)</f>
        <v>#N/A</v>
      </c>
      <c r="AP16" s="50" t="e">
        <f ca="1">VLOOKUP(Tableau21[[#This Row],[Key(POD -PFI- Usine)]],'DATA Consignee'!A:N,14,FALSE)</f>
        <v>#N/A</v>
      </c>
      <c r="AQ1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6" s="50" t="e">
        <f ca="1">Tableau21[[#This Row],[Transit time]]+Tableau21[[#This Row],[Time for security]]+Tableau21[[#This Row],[Time for security2 buffer]]</f>
        <v>#N/A</v>
      </c>
      <c r="AT1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6" s="50" t="e">
        <f ca="1">Tableau21[[#This Row],[Leadtime SI2C]]+Tableau21[[#This Row],[First Receipt Days]]-Tableau21[[#This Row],[Day Customer Order]]+1</f>
        <v>#N/A</v>
      </c>
      <c r="AV16" s="117" t="e">
        <f ca="1">IF(Tableau21[[#This Row],[Name ILN]]&lt;&gt;"SFK Freight Forwarder",Tableau21[[#This Row],[Cust. Leadtime]],Tableau21[[#This Row],[Leadtime SI2C]])</f>
        <v>#N/A</v>
      </c>
      <c r="AW16" s="57"/>
      <c r="AX16" s="328" t="e">
        <f ca="1">IFERROR(VLOOKUP(Tableau21[[#This Row],[Key(ID-Next)]],'DATA BTO'!A:N,3,FALSE),VLOOKUP(Tableau21[[#This Row],[ID]],'DATA BTO'!B:N,2,FALSE))</f>
        <v>#N/A</v>
      </c>
      <c r="AY16" s="50" t="str">
        <f>IF(ISNUMBER(Tableau21[[#This Row],[Day Customer Order]]),"-","Please Check 'Name' information in 'Order' Sheet to make sure they have information")</f>
        <v>-</v>
      </c>
      <c r="AZ1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7" spans="2:55">
      <c r="B17" s="65" t="str">
        <f>_xlfn.CONCAT(Tableau21[[#This Row],[Name ILN]],"-",Tableau21[[#This Row],[Name Shipper]],"-",Tableau21[[#This Row],[Name Site]])</f>
        <v>NSL Shanghai-NSL Shanghai-CURITIBA CVP</v>
      </c>
      <c r="C17" s="64" t="e">
        <f ca="1">_xlfn.CONCAT(Tableau21[[#This Row],[Compte ILN]],"-",Tableau21[[#This Row],[Compte Shipper]],"-",Tableau21[[#This Row],[POL]],"-",Tableau21[[#This Row],[Compte Site]])</f>
        <v>#N/A</v>
      </c>
      <c r="D17" s="64" t="e">
        <f ca="1">_xlfn.CONCAT(Tableau21[[#This Row],[Compte ILN]],"-",Tableau21[[#This Row],[Compte Shipper]],"-",Tableau21[[#This Row],[POL]])</f>
        <v>#N/A</v>
      </c>
      <c r="E17" s="128" t="e">
        <f ca="1">_xlfn.CONCAT(Tableau21[[#This Row],[POL]],"-",Tableau21[[#This Row],[Carrier]],"-",Tableau21[[#This Row],[POD]])</f>
        <v>#N/A</v>
      </c>
      <c r="F17" s="64" t="str">
        <f>_xlfn.CONCAT(Tableau21[[#This Row],[ID]],"-","Next")</f>
        <v>Asia South America East Coast 2-Next</v>
      </c>
      <c r="G17" s="64" t="e">
        <f ca="1">_xlfn.CONCAT(Tableau21[[#This Row],[POD]],"-",Tableau21[[#This Row],[Code PFI]],"-",Tableau21[[#This Row],[Compte Site]])</f>
        <v>#N/A</v>
      </c>
      <c r="H17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7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7" s="117" t="str">
        <f ca="1">IF(COUNTIF(I:I,Tableau21[[#This Row],[Plant-ILN-shipper-POL-Carrier-POD-PFI]])=1,"Non","Oui")</f>
        <v>Oui</v>
      </c>
      <c r="K17" s="126" t="str">
        <f>VLOOKUP(Tableau21[[#This Row],[Name Site]],Plant_AILN!A:D,4,FALSE)</f>
        <v>BRAZIL</v>
      </c>
      <c r="L17" s="57" t="s">
        <v>182</v>
      </c>
      <c r="M17" s="481">
        <f>VLOOKUP(Tableau21[[#This Row],[Name Site]],Plant_AILN!A:C,3,FALSE)</f>
        <v>90018000</v>
      </c>
      <c r="N17" s="55">
        <f>VLOOKUP(Tableau21[[#This Row],[Compte Site]],Order!C:D,2,FALSE)</f>
        <v>7</v>
      </c>
      <c r="O17" s="124" t="s">
        <v>193</v>
      </c>
      <c r="P17" s="481">
        <f>VLOOKUP(Tableau21[[#This Row],[Name ILN]],Plant_AILN!F:G,2,FALSE)</f>
        <v>27261102</v>
      </c>
      <c r="Q17" s="50">
        <f>VLOOKUP(Tableau21[[#This Row],[Compte ILN]],'DATA ILN'!D:I,6,FALSE)</f>
        <v>16</v>
      </c>
      <c r="R17" s="50" t="e">
        <f ca="1">IFERROR(VLOOKUP(Tableau21[[#This Row],[Key(Compte ILN - shipper - POL - plant)]],'DATA ILN'!A:J,10,FALSE),VLOOKUP(Tableau21[[#This Row],[Key(Compte ILN - shipper - POL)]],'DATA ILN'!B:J,9,FALSE))</f>
        <v>#N/A</v>
      </c>
      <c r="S17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7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7" s="50" t="e">
        <f ca="1">Tableau21[[#This Row],[Day ILN Order]]+Tableau21[[#This Row],[Delivery time to ILN/Shipper]]-1</f>
        <v>#N/A</v>
      </c>
      <c r="V17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7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7" s="349" t="s">
        <v>193</v>
      </c>
      <c r="Y17" s="494">
        <f>IFERROR(VLOOKUP(Tableau21[[#This Row],[Name Shipper]],Plant_AILN!L:M,2,FALSE),0)</f>
        <v>27261102</v>
      </c>
      <c r="Z17" s="103" t="s">
        <v>210</v>
      </c>
      <c r="AA17" s="353" t="e">
        <f ca="1">IFERROR(VLOOKUP(Tableau21[[#This Row],[Key(ID-Next)]],'DATA BTO'!A:N,5,FALSE),VLOOKUP(_xlfn.CONCAT(Tableau21[[#This Row],[ID]],"-","Actif"),'DATA BTO'!A:N,5,FALSE))</f>
        <v>#N/A</v>
      </c>
      <c r="AB17" s="3" t="e">
        <f ca="1">IFERROR(VLOOKUP(Tableau21[[#This Row],[Key(ID-Next)]],'DATA BTO'!A:N,6,FALSE),VLOOKUP(_xlfn.CONCAT(Tableau21[[#This Row],[ID]],"-","Actif"),'DATA BTO'!A:N,6,FALSE))</f>
        <v>#N/A</v>
      </c>
      <c r="AC17" s="50" t="e">
        <f ca="1">IFERROR(VLOOKUP(Tableau21[[#This Row],[Key(ID-Next)]],'DATA BTO'!A:N,7,FALSE),VLOOKUP(_xlfn.CONCAT(Tableau21[[#This Row],[ID]],"-","Actif"),'DATA BTO'!A:N,7,FALSE))</f>
        <v>#N/A</v>
      </c>
      <c r="AD17" s="50" t="e">
        <f ca="1">IFERROR(VLOOKUP(Tableau21[[#This Row],[Key(ID-Next)]],'DATA BTO'!A:N,8,FALSE),VLOOKUP(_xlfn.CONCAT(Tableau21[[#This Row],[ID]],"-","Actif"),'DATA BTO'!A:N,8,FALSE))</f>
        <v>#N/A</v>
      </c>
      <c r="AE17" s="50" t="e">
        <f ca="1">IFERROR(VLOOKUP(Tableau21[[#This Row],[Key(ID-Next)]],'DATA BTO'!A:N,9,FALSE),VLOOKUP(_xlfn.CONCAT(Tableau21[[#This Row],[ID]],"-","Actif"),'DATA BTO'!A:N,9,FALSE))</f>
        <v>#N/A</v>
      </c>
      <c r="AF17" s="3" t="e">
        <f ca="1">IFERROR(VLOOKUP(Tableau21[[#This Row],[Key(ID-Next)]],'DATA BTO'!A:N,10,FALSE),VLOOKUP(_xlfn.CONCAT(Tableau21[[#This Row],[ID]],"-","Actif"),'DATA BTO'!A:N,10,FALSE))</f>
        <v>#N/A</v>
      </c>
      <c r="AG17" s="3" t="e">
        <f ca="1">IFERROR(VLOOKUP(Tableau21[[#This Row],[Key(ID-Next)]],'DATA BTO'!A:N,11,FALSE),VLOOKUP(_xlfn.CONCAT(Tableau21[[#This Row],[ID]],"-","Actif"),'DATA BTO'!A:N,11,FALSE))</f>
        <v>#N/A</v>
      </c>
      <c r="AH17" s="50" t="e">
        <f ca="1">IFERROR(VLOOKUP(Tableau21[[#This Row],[Key(ID-Next)]],'DATA BTO'!A:N,12,FALSE),VLOOKUP(_xlfn.CONCAT(Tableau21[[#This Row],[ID]],"-","Actif"),'DATA BTO'!A:N,12,FALSE))</f>
        <v>#N/A</v>
      </c>
      <c r="AI17" s="53" t="e">
        <f ca="1">IFERROR(VLOOKUP(Tableau21[[#This Row],[Key(ID-Next)]],'DATA BTO'!A:N,14,FALSE),VLOOKUP(_xlfn.CONCAT(Tableau21[[#This Row],[ID]],"-","Actif"),'DATA BTO'!A:N,14,FALSE))</f>
        <v>#N/A</v>
      </c>
      <c r="AJ17" s="54" t="e">
        <f ca="1">VLOOKUP(Tableau21[[#This Row],[Key(POD -PFI- Usine)]],'DATA Consignee'!A:F,6,FALSE)</f>
        <v>#N/A</v>
      </c>
      <c r="AK17" s="283"/>
      <c r="AL17" s="490" t="str">
        <f>IF(Tableau21[[#This Row],[Name PFI/CDD]]="","-",VLOOKUP(Tableau21[[#This Row],[Name PFI/CDD]],Plant_AILN!I:J,2,FALSE))</f>
        <v>-</v>
      </c>
      <c r="AM17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7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7" s="2" t="e">
        <f ca="1">VLOOKUP(Tableau21[[#This Row],[Key(POD -PFI- Usine)]],'DATA Consignee'!A:J,10,FALSE)</f>
        <v>#N/A</v>
      </c>
      <c r="AP17" s="50" t="e">
        <f ca="1">VLOOKUP(Tableau21[[#This Row],[Key(POD -PFI- Usine)]],'DATA Consignee'!A:N,14,FALSE)</f>
        <v>#N/A</v>
      </c>
      <c r="AQ17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7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7" s="50" t="e">
        <f ca="1">Tableau21[[#This Row],[Transit time]]+Tableau21[[#This Row],[Time for security]]+Tableau21[[#This Row],[Time for security2 buffer]]</f>
        <v>#N/A</v>
      </c>
      <c r="AT17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7" s="50" t="e">
        <f ca="1">Tableau21[[#This Row],[Leadtime SI2C]]+Tableau21[[#This Row],[First Receipt Days]]-Tableau21[[#This Row],[Day Customer Order]]+1</f>
        <v>#N/A</v>
      </c>
      <c r="AV17" s="117" t="e">
        <f ca="1">IF(Tableau21[[#This Row],[Name ILN]]&lt;&gt;"SFK Freight Forwarder",Tableau21[[#This Row],[Cust. Leadtime]],Tableau21[[#This Row],[Leadtime SI2C]])</f>
        <v>#N/A</v>
      </c>
      <c r="AW17" s="57"/>
      <c r="AX17" s="328" t="e">
        <f ca="1">IFERROR(VLOOKUP(Tableau21[[#This Row],[Key(ID-Next)]],'DATA BTO'!A:N,3,FALSE),VLOOKUP(Tableau21[[#This Row],[ID]],'DATA BTO'!B:N,2,FALSE))</f>
        <v>#N/A</v>
      </c>
      <c r="AY17" s="50" t="str">
        <f>IF(ISNUMBER(Tableau21[[#This Row],[Day Customer Order]]),"-","Please Check 'Name' information in 'Order' Sheet to make sure they have information")</f>
        <v>-</v>
      </c>
      <c r="AZ17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7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7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7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8" spans="2:55">
      <c r="B18" s="65" t="str">
        <f>_xlfn.CONCAT(Tableau21[[#This Row],[Name ILN]],"-",Tableau21[[#This Row],[Name Shipper]],"-",Tableau21[[#This Row],[Name Site]])</f>
        <v>NSL Shanghai-NSL Shanghai-CURITIBA CVU</v>
      </c>
      <c r="C18" s="64" t="e">
        <f ca="1">_xlfn.CONCAT(Tableau21[[#This Row],[Compte ILN]],"-",Tableau21[[#This Row],[Compte Shipper]],"-",Tableau21[[#This Row],[POL]],"-",Tableau21[[#This Row],[Compte Site]])</f>
        <v>#N/A</v>
      </c>
      <c r="D18" s="64" t="e">
        <f ca="1">_xlfn.CONCAT(Tableau21[[#This Row],[Compte ILN]],"-",Tableau21[[#This Row],[Compte Shipper]],"-",Tableau21[[#This Row],[POL]])</f>
        <v>#N/A</v>
      </c>
      <c r="E18" s="128" t="e">
        <f ca="1">_xlfn.CONCAT(Tableau21[[#This Row],[POL]],"-",Tableau21[[#This Row],[Carrier]],"-",Tableau21[[#This Row],[POD]])</f>
        <v>#N/A</v>
      </c>
      <c r="F18" s="64" t="str">
        <f>_xlfn.CONCAT(Tableau21[[#This Row],[ID]],"-","Next")</f>
        <v>Asia South America East Coast 2-Next</v>
      </c>
      <c r="G18" s="64" t="e">
        <f ca="1">_xlfn.CONCAT(Tableau21[[#This Row],[POD]],"-",Tableau21[[#This Row],[Code PFI]],"-",Tableau21[[#This Row],[Compte Site]])</f>
        <v>#N/A</v>
      </c>
      <c r="H18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8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8" s="117" t="str">
        <f ca="1">IF(COUNTIF(I:I,Tableau21[[#This Row],[Plant-ILN-shipper-POL-Carrier-POD-PFI]])=1,"Non","Oui")</f>
        <v>Oui</v>
      </c>
      <c r="K18" s="126" t="str">
        <f>VLOOKUP(Tableau21[[#This Row],[Name Site]],Plant_AILN!A:D,4,FALSE)</f>
        <v>BRAZIL</v>
      </c>
      <c r="L18" s="57" t="s">
        <v>211</v>
      </c>
      <c r="M18" s="481">
        <f>VLOOKUP(Tableau21[[#This Row],[Name Site]],Plant_AILN!A:C,3,FALSE)</f>
        <v>90018500</v>
      </c>
      <c r="N18" s="55">
        <f>VLOOKUP(Tableau21[[#This Row],[Compte Site]],Order!C:D,2,FALSE)</f>
        <v>7</v>
      </c>
      <c r="O18" s="124" t="s">
        <v>193</v>
      </c>
      <c r="P18" s="481">
        <f>VLOOKUP(Tableau21[[#This Row],[Name ILN]],Plant_AILN!F:G,2,FALSE)</f>
        <v>27261102</v>
      </c>
      <c r="Q18" s="50">
        <f>VLOOKUP(Tableau21[[#This Row],[Compte ILN]],'DATA ILN'!D:I,6,FALSE)</f>
        <v>16</v>
      </c>
      <c r="R18" s="50" t="e">
        <f ca="1">IFERROR(VLOOKUP(Tableau21[[#This Row],[Key(Compte ILN - shipper - POL - plant)]],'DATA ILN'!A:J,10,FALSE),VLOOKUP(Tableau21[[#This Row],[Key(Compte ILN - shipper - POL)]],'DATA ILN'!B:J,9,FALSE))</f>
        <v>#N/A</v>
      </c>
      <c r="S18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8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8" s="50" t="e">
        <f ca="1">Tableau21[[#This Row],[Day ILN Order]]+Tableau21[[#This Row],[Delivery time to ILN/Shipper]]-1</f>
        <v>#N/A</v>
      </c>
      <c r="V18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8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8" s="349" t="s">
        <v>193</v>
      </c>
      <c r="Y18" s="494">
        <f>IFERROR(VLOOKUP(Tableau21[[#This Row],[Name Shipper]],Plant_AILN!L:M,2,FALSE),0)</f>
        <v>27261102</v>
      </c>
      <c r="Z18" s="103" t="s">
        <v>210</v>
      </c>
      <c r="AA18" s="353" t="e">
        <f ca="1">IFERROR(VLOOKUP(Tableau21[[#This Row],[Key(ID-Next)]],'DATA BTO'!A:N,5,FALSE),VLOOKUP(_xlfn.CONCAT(Tableau21[[#This Row],[ID]],"-","Actif"),'DATA BTO'!A:N,5,FALSE))</f>
        <v>#N/A</v>
      </c>
      <c r="AB18" s="3" t="e">
        <f ca="1">IFERROR(VLOOKUP(Tableau21[[#This Row],[Key(ID-Next)]],'DATA BTO'!A:N,6,FALSE),VLOOKUP(_xlfn.CONCAT(Tableau21[[#This Row],[ID]],"-","Actif"),'DATA BTO'!A:N,6,FALSE))</f>
        <v>#N/A</v>
      </c>
      <c r="AC18" s="50" t="e">
        <f ca="1">IFERROR(VLOOKUP(Tableau21[[#This Row],[Key(ID-Next)]],'DATA BTO'!A:N,7,FALSE),VLOOKUP(_xlfn.CONCAT(Tableau21[[#This Row],[ID]],"-","Actif"),'DATA BTO'!A:N,7,FALSE))</f>
        <v>#N/A</v>
      </c>
      <c r="AD18" s="50" t="e">
        <f ca="1">IFERROR(VLOOKUP(Tableau21[[#This Row],[Key(ID-Next)]],'DATA BTO'!A:N,8,FALSE),VLOOKUP(_xlfn.CONCAT(Tableau21[[#This Row],[ID]],"-","Actif"),'DATA BTO'!A:N,8,FALSE))</f>
        <v>#N/A</v>
      </c>
      <c r="AE18" s="50" t="e">
        <f ca="1">IFERROR(VLOOKUP(Tableau21[[#This Row],[Key(ID-Next)]],'DATA BTO'!A:N,9,FALSE),VLOOKUP(_xlfn.CONCAT(Tableau21[[#This Row],[ID]],"-","Actif"),'DATA BTO'!A:N,9,FALSE))</f>
        <v>#N/A</v>
      </c>
      <c r="AF18" s="3" t="e">
        <f ca="1">IFERROR(VLOOKUP(Tableau21[[#This Row],[Key(ID-Next)]],'DATA BTO'!A:N,10,FALSE),VLOOKUP(_xlfn.CONCAT(Tableau21[[#This Row],[ID]],"-","Actif"),'DATA BTO'!A:N,10,FALSE))</f>
        <v>#N/A</v>
      </c>
      <c r="AG18" s="3" t="e">
        <f ca="1">IFERROR(VLOOKUP(Tableau21[[#This Row],[Key(ID-Next)]],'DATA BTO'!A:N,11,FALSE),VLOOKUP(_xlfn.CONCAT(Tableau21[[#This Row],[ID]],"-","Actif"),'DATA BTO'!A:N,11,FALSE))</f>
        <v>#N/A</v>
      </c>
      <c r="AH18" s="50" t="e">
        <f ca="1">IFERROR(VLOOKUP(Tableau21[[#This Row],[Key(ID-Next)]],'DATA BTO'!A:N,12,FALSE),VLOOKUP(_xlfn.CONCAT(Tableau21[[#This Row],[ID]],"-","Actif"),'DATA BTO'!A:N,12,FALSE))</f>
        <v>#N/A</v>
      </c>
      <c r="AI18" s="53" t="e">
        <f ca="1">IFERROR(VLOOKUP(Tableau21[[#This Row],[Key(ID-Next)]],'DATA BTO'!A:N,14,FALSE),VLOOKUP(_xlfn.CONCAT(Tableau21[[#This Row],[ID]],"-","Actif"),'DATA BTO'!A:N,14,FALSE))</f>
        <v>#N/A</v>
      </c>
      <c r="AJ18" s="54" t="e">
        <f ca="1">VLOOKUP(Tableau21[[#This Row],[Key(POD -PFI- Usine)]],'DATA Consignee'!A:F,6,FALSE)</f>
        <v>#N/A</v>
      </c>
      <c r="AK18" s="283"/>
      <c r="AL18" s="490" t="str">
        <f>IF(Tableau21[[#This Row],[Name PFI/CDD]]="","-",VLOOKUP(Tableau21[[#This Row],[Name PFI/CDD]],Plant_AILN!I:J,2,FALSE))</f>
        <v>-</v>
      </c>
      <c r="AM18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8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8" s="2" t="e">
        <f ca="1">VLOOKUP(Tableau21[[#This Row],[Key(POD -PFI- Usine)]],'DATA Consignee'!A:J,10,FALSE)</f>
        <v>#N/A</v>
      </c>
      <c r="AP18" s="50" t="e">
        <f ca="1">VLOOKUP(Tableau21[[#This Row],[Key(POD -PFI- Usine)]],'DATA Consignee'!A:N,14,FALSE)</f>
        <v>#N/A</v>
      </c>
      <c r="AQ18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8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8" s="50" t="e">
        <f ca="1">Tableau21[[#This Row],[Transit time]]+Tableau21[[#This Row],[Time for security]]+Tableau21[[#This Row],[Time for security2 buffer]]</f>
        <v>#N/A</v>
      </c>
      <c r="AT18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8" s="50" t="e">
        <f ca="1">Tableau21[[#This Row],[Leadtime SI2C]]+Tableau21[[#This Row],[First Receipt Days]]-Tableau21[[#This Row],[Day Customer Order]]+1</f>
        <v>#N/A</v>
      </c>
      <c r="AV18" s="117" t="e">
        <f ca="1">IF(Tableau21[[#This Row],[Name ILN]]&lt;&gt;"SFK Freight Forwarder",Tableau21[[#This Row],[Cust. Leadtime]],Tableau21[[#This Row],[Leadtime SI2C]])</f>
        <v>#N/A</v>
      </c>
      <c r="AW18" s="57"/>
      <c r="AX18" s="328" t="e">
        <f ca="1">IFERROR(VLOOKUP(Tableau21[[#This Row],[Key(ID-Next)]],'DATA BTO'!A:N,3,FALSE),VLOOKUP(Tableau21[[#This Row],[ID]],'DATA BTO'!B:N,2,FALSE))</f>
        <v>#N/A</v>
      </c>
      <c r="AY18" s="50" t="str">
        <f>IF(ISNUMBER(Tableau21[[#This Row],[Day Customer Order]]),"-","Please Check 'Name' information in 'Order' Sheet to make sure they have information")</f>
        <v>-</v>
      </c>
      <c r="AZ18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8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8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8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19" spans="2:55">
      <c r="B19" s="65" t="str">
        <f>_xlfn.CONCAT(Tableau21[[#This Row],[Name ILN]],"-",Tableau21[[#This Row],[Name Shipper]],"-",Tableau21[[#This Row],[Name Site]])</f>
        <v>NSL Shanghai-NSL Shanghai-CLEON</v>
      </c>
      <c r="C19" s="64" t="e">
        <f ca="1">_xlfn.CONCAT(Tableau21[[#This Row],[Compte ILN]],"-",Tableau21[[#This Row],[Compte Shipper]],"-",Tableau21[[#This Row],[POL]],"-",Tableau21[[#This Row],[Compte Site]])</f>
        <v>#N/A</v>
      </c>
      <c r="D19" s="64" t="e">
        <f ca="1">_xlfn.CONCAT(Tableau21[[#This Row],[Compte ILN]],"-",Tableau21[[#This Row],[Compte Shipper]],"-",Tableau21[[#This Row],[POL]])</f>
        <v>#N/A</v>
      </c>
      <c r="E19" s="128" t="e">
        <f ca="1">_xlfn.CONCAT(Tableau21[[#This Row],[POL]],"-",Tableau21[[#This Row],[Carrier]],"-",Tableau21[[#This Row],[POD]])</f>
        <v>#N/A</v>
      </c>
      <c r="F19" s="64" t="str">
        <f>_xlfn.CONCAT(Tableau21[[#This Row],[ID]],"-","Next")</f>
        <v>AE55-Next</v>
      </c>
      <c r="G19" s="64" t="e">
        <f ca="1">_xlfn.CONCAT(Tableau21[[#This Row],[POD]],"-",Tableau21[[#This Row],[Code PFI]],"-",Tableau21[[#This Row],[Compte Site]])</f>
        <v>#N/A</v>
      </c>
      <c r="H19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19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19" s="117" t="str">
        <f ca="1">IF(COUNTIF(I:I,Tableau21[[#This Row],[Plant-ILN-shipper-POL-Carrier-POD-PFI]])=1,"Non","Oui")</f>
        <v>Oui</v>
      </c>
      <c r="K19" s="126" t="str">
        <f>VLOOKUP(Tableau21[[#This Row],[Name Site]],Plant_AILN!A:D,4,FALSE)</f>
        <v>FRANCE</v>
      </c>
      <c r="L19" s="74" t="s">
        <v>184</v>
      </c>
      <c r="M19" s="481">
        <f>VLOOKUP(Tableau21[[#This Row],[Name Site]],Plant_AILN!A:C,3,FALSE)</f>
        <v>92000100</v>
      </c>
      <c r="N19" s="55">
        <f>VLOOKUP(Tableau21[[#This Row],[Compte Site]],Order!C:D,2,FALSE)</f>
        <v>7</v>
      </c>
      <c r="O19" s="124" t="s">
        <v>193</v>
      </c>
      <c r="P19" s="481">
        <f>VLOOKUP(Tableau21[[#This Row],[Name ILN]],Plant_AILN!F:G,2,FALSE)</f>
        <v>27261102</v>
      </c>
      <c r="Q19" s="50">
        <f>VLOOKUP(Tableau21[[#This Row],[Compte ILN]],'DATA ILN'!D:I,6,FALSE)</f>
        <v>16</v>
      </c>
      <c r="R19" s="50" t="e">
        <f ca="1">IFERROR(VLOOKUP(Tableau21[[#This Row],[Key(Compte ILN - shipper - POL - plant)]],'DATA ILN'!A:J,10,FALSE),VLOOKUP(Tableau21[[#This Row],[Key(Compte ILN - shipper - POL)]],'DATA ILN'!B:J,9,FALSE))</f>
        <v>#N/A</v>
      </c>
      <c r="S19" s="50" t="e">
        <f ca="1">IFERROR(VLOOKUP(Tableau21[[#This Row],[Key(Compte ILN - shipper - POL - plant)]],'DATA ILN'!A:K,11,FALSE),VLOOKUP(Tableau21[[#This Row],[Key(Compte ILN - shipper - POL)]],'DATA ILN'!B:K,10,FALSE))</f>
        <v>#N/A</v>
      </c>
      <c r="T19" s="50" t="e">
        <f ca="1">IFERROR(VLOOKUP(Tableau21[[#This Row],[Key(Compte ILN - shipper - POL - plant)]],'DATA ILN'!A:L,12,FALSE),VLOOKUP(Tableau21[[#This Row],[Key(Compte ILN - shipper - POL)]],'DATA ILN'!B:L,11,FALSE))</f>
        <v>#N/A</v>
      </c>
      <c r="U19" s="50" t="e">
        <f ca="1">Tableau21[[#This Row],[Day ILN Order]]+Tableau21[[#This Row],[Delivery time to ILN/Shipper]]-1</f>
        <v>#N/A</v>
      </c>
      <c r="V19" s="50" t="e">
        <f ca="1">IFERROR(VLOOKUP(Tableau21[[#This Row],[Key(Compte ILN - shipper - POL - plant)]],'DATA ILN'!A:N,14,FALSE),VLOOKUP(Tableau21[[#This Row],[Key(Compte ILN - shipper - POL)]],'DATA ILN'!B:N,13,FALSE))</f>
        <v>#N/A</v>
      </c>
      <c r="W19" s="53" t="e">
        <f ca="1">IFERROR(VLOOKUP(Tableau21[[#This Row],[Key(Compte ILN - shipper - POL - plant)]],'DATA ILN'!A:P,16,FALSE),VLOOKUP(Tableau21[[#This Row],[Key(Compte ILN - shipper - POL)]],'DATA ILN'!B:P,15,FALSE))</f>
        <v>#N/A</v>
      </c>
      <c r="X19" s="349" t="s">
        <v>193</v>
      </c>
      <c r="Y19" s="494">
        <f>IFERROR(VLOOKUP(Tableau21[[#This Row],[Name Shipper]],Plant_AILN!L:M,2,FALSE),0)</f>
        <v>27261102</v>
      </c>
      <c r="Z19" s="103" t="s">
        <v>212</v>
      </c>
      <c r="AA19" s="353" t="e">
        <f ca="1">IFERROR(VLOOKUP(Tableau21[[#This Row],[Key(ID-Next)]],'DATA BTO'!A:N,5,FALSE),VLOOKUP(_xlfn.CONCAT(Tableau21[[#This Row],[ID]],"-","Actif"),'DATA BTO'!A:N,5,FALSE))</f>
        <v>#N/A</v>
      </c>
      <c r="AB19" s="3" t="e">
        <f ca="1">IFERROR(VLOOKUP(Tableau21[[#This Row],[Key(ID-Next)]],'DATA BTO'!A:N,6,FALSE),VLOOKUP(_xlfn.CONCAT(Tableau21[[#This Row],[ID]],"-","Actif"),'DATA BTO'!A:N,6,FALSE))</f>
        <v>#N/A</v>
      </c>
      <c r="AC19" s="50" t="e">
        <f ca="1">IFERROR(VLOOKUP(Tableau21[[#This Row],[Key(ID-Next)]],'DATA BTO'!A:N,7,FALSE),VLOOKUP(_xlfn.CONCAT(Tableau21[[#This Row],[ID]],"-","Actif"),'DATA BTO'!A:N,7,FALSE))</f>
        <v>#N/A</v>
      </c>
      <c r="AD19" s="50" t="e">
        <f ca="1">IFERROR(VLOOKUP(Tableau21[[#This Row],[Key(ID-Next)]],'DATA BTO'!A:N,8,FALSE),VLOOKUP(_xlfn.CONCAT(Tableau21[[#This Row],[ID]],"-","Actif"),'DATA BTO'!A:N,8,FALSE))</f>
        <v>#N/A</v>
      </c>
      <c r="AE19" s="50" t="e">
        <f ca="1">IFERROR(VLOOKUP(Tableau21[[#This Row],[Key(ID-Next)]],'DATA BTO'!A:N,9,FALSE),VLOOKUP(_xlfn.CONCAT(Tableau21[[#This Row],[ID]],"-","Actif"),'DATA BTO'!A:N,9,FALSE))</f>
        <v>#N/A</v>
      </c>
      <c r="AF19" s="3" t="e">
        <f ca="1">IFERROR(VLOOKUP(Tableau21[[#This Row],[Key(ID-Next)]],'DATA BTO'!A:N,10,FALSE),VLOOKUP(_xlfn.CONCAT(Tableau21[[#This Row],[ID]],"-","Actif"),'DATA BTO'!A:N,10,FALSE))</f>
        <v>#N/A</v>
      </c>
      <c r="AG19" s="3" t="e">
        <f ca="1">IFERROR(VLOOKUP(Tableau21[[#This Row],[Key(ID-Next)]],'DATA BTO'!A:N,11,FALSE),VLOOKUP(_xlfn.CONCAT(Tableau21[[#This Row],[ID]],"-","Actif"),'DATA BTO'!A:N,11,FALSE))</f>
        <v>#N/A</v>
      </c>
      <c r="AH19" s="50" t="e">
        <f ca="1">IFERROR(VLOOKUP(Tableau21[[#This Row],[Key(ID-Next)]],'DATA BTO'!A:N,12,FALSE),VLOOKUP(_xlfn.CONCAT(Tableau21[[#This Row],[ID]],"-","Actif"),'DATA BTO'!A:N,12,FALSE))</f>
        <v>#N/A</v>
      </c>
      <c r="AI19" s="53" t="e">
        <f ca="1">IFERROR(VLOOKUP(Tableau21[[#This Row],[Key(ID-Next)]],'DATA BTO'!A:N,14,FALSE),VLOOKUP(_xlfn.CONCAT(Tableau21[[#This Row],[ID]],"-","Actif"),'DATA BTO'!A:N,14,FALSE))</f>
        <v>#N/A</v>
      </c>
      <c r="AJ19" s="54" t="e">
        <f ca="1">VLOOKUP(Tableau21[[#This Row],[Key(POD -PFI- Usine)]],'DATA Consignee'!A:F,6,FALSE)</f>
        <v>#N/A</v>
      </c>
      <c r="AK19" s="283"/>
      <c r="AL19" s="490" t="str">
        <f>IF(Tableau21[[#This Row],[Name PFI/CDD]]="","-",VLOOKUP(Tableau21[[#This Row],[Name PFI/CDD]],Plant_AILN!I:J,2,FALSE))</f>
        <v>-</v>
      </c>
      <c r="AM19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19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19" s="2" t="e">
        <f ca="1">VLOOKUP(Tableau21[[#This Row],[Key(POD -PFI- Usine)]],'DATA Consignee'!A:J,10,FALSE)</f>
        <v>#N/A</v>
      </c>
      <c r="AP19" s="50" t="e">
        <f ca="1">VLOOKUP(Tableau21[[#This Row],[Key(POD -PFI- Usine)]],'DATA Consignee'!A:N,14,FALSE)</f>
        <v>#N/A</v>
      </c>
      <c r="AQ19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19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19" s="50" t="e">
        <f ca="1">Tableau21[[#This Row],[Transit time]]+Tableau21[[#This Row],[Time for security]]+Tableau21[[#This Row],[Time for security2 buffer]]</f>
        <v>#N/A</v>
      </c>
      <c r="AT19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19" s="50" t="e">
        <f ca="1">Tableau21[[#This Row],[Leadtime SI2C]]+Tableau21[[#This Row],[First Receipt Days]]-Tableau21[[#This Row],[Day Customer Order]]+1</f>
        <v>#N/A</v>
      </c>
      <c r="AV19" s="117" t="e">
        <f ca="1">IF(Tableau21[[#This Row],[Name ILN]]&lt;&gt;"SFK Freight Forwarder",Tableau21[[#This Row],[Cust. Leadtime]],Tableau21[[#This Row],[Leadtime SI2C]])</f>
        <v>#N/A</v>
      </c>
      <c r="AW19" s="57"/>
      <c r="AX19" s="328" t="e">
        <f ca="1">IFERROR(VLOOKUP(Tableau21[[#This Row],[Key(ID-Next)]],'DATA BTO'!A:N,3,FALSE),VLOOKUP(Tableau21[[#This Row],[ID]],'DATA BTO'!B:N,2,FALSE))</f>
        <v>#N/A</v>
      </c>
      <c r="AY19" s="50" t="str">
        <f>IF(ISNUMBER(Tableau21[[#This Row],[Day Customer Order]]),"-","Please Check 'Name' information in 'Order' Sheet to make sure they have information")</f>
        <v>-</v>
      </c>
      <c r="AZ19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19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19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19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0" spans="2:55">
      <c r="B20" s="65" t="str">
        <f>_xlfn.CONCAT(Tableau21[[#This Row],[Name ILN]],"-",Tableau21[[#This Row],[Name Shipper]],"-",Tableau21[[#This Row],[Name Site]])</f>
        <v>NCIC Shanghai -NCIC Shanghai -CLEON</v>
      </c>
      <c r="C20" s="64" t="e">
        <f ca="1">_xlfn.CONCAT(Tableau21[[#This Row],[Compte ILN]],"-",Tableau21[[#This Row],[Compte Shipper]],"-",Tableau21[[#This Row],[POL]],"-",Tableau21[[#This Row],[Compte Site]])</f>
        <v>#N/A</v>
      </c>
      <c r="D20" s="64" t="e">
        <f ca="1">_xlfn.CONCAT(Tableau21[[#This Row],[Compte ILN]],"-",Tableau21[[#This Row],[Compte Shipper]],"-",Tableau21[[#This Row],[POL]])</f>
        <v>#N/A</v>
      </c>
      <c r="E20" s="128" t="e">
        <f ca="1">_xlfn.CONCAT(Tableau21[[#This Row],[POL]],"-",Tableau21[[#This Row],[Carrier]],"-",Tableau21[[#This Row],[POD]])</f>
        <v>#N/A</v>
      </c>
      <c r="F20" s="64" t="str">
        <f>_xlfn.CONCAT(Tableau21[[#This Row],[ID]],"-","Next")</f>
        <v>FAL1-LEH-Next</v>
      </c>
      <c r="G20" s="64" t="e">
        <f ca="1">_xlfn.CONCAT(Tableau21[[#This Row],[POD]],"-",Tableau21[[#This Row],[Code PFI]],"-",Tableau21[[#This Row],[Compte Site]])</f>
        <v>#N/A</v>
      </c>
      <c r="H20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0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0" s="117" t="str">
        <f ca="1">IF(COUNTIF(I:I,Tableau21[[#This Row],[Plant-ILN-shipper-POL-Carrier-POD-PFI]])=1,"Non","Oui")</f>
        <v>Oui</v>
      </c>
      <c r="K20" s="126" t="str">
        <f>VLOOKUP(Tableau21[[#This Row],[Name Site]],Plant_AILN!A:D,4,FALSE)</f>
        <v>FRANCE</v>
      </c>
      <c r="L20" s="74" t="s">
        <v>184</v>
      </c>
      <c r="M20" s="481">
        <f>VLOOKUP(Tableau21[[#This Row],[Name Site]],Plant_AILN!A:C,3,FALSE)</f>
        <v>92000100</v>
      </c>
      <c r="N20" s="55">
        <f>VLOOKUP(Tableau21[[#This Row],[Compte Site]],Order!C:D,2,FALSE)</f>
        <v>7</v>
      </c>
      <c r="O20" s="122" t="s">
        <v>206</v>
      </c>
      <c r="P20" s="481">
        <f>VLOOKUP(Tableau21[[#This Row],[Name ILN]],Plant_AILN!F:G,2,FALSE)</f>
        <v>26037001</v>
      </c>
      <c r="Q20" s="50">
        <f>VLOOKUP(Tableau21[[#This Row],[Compte ILN]],'DATA ILN'!D:I,6,FALSE)</f>
        <v>16</v>
      </c>
      <c r="R20" s="50" t="e">
        <f ca="1">IFERROR(VLOOKUP(Tableau21[[#This Row],[Key(Compte ILN - shipper - POL - plant)]],'DATA ILN'!A:J,10,FALSE),VLOOKUP(Tableau21[[#This Row],[Key(Compte ILN - shipper - POL)]],'DATA ILN'!B:J,9,FALSE))</f>
        <v>#N/A</v>
      </c>
      <c r="S20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0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0" s="50" t="e">
        <f ca="1">Tableau21[[#This Row],[Day ILN Order]]+Tableau21[[#This Row],[Delivery time to ILN/Shipper]]-1</f>
        <v>#N/A</v>
      </c>
      <c r="V20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0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0" s="351" t="s">
        <v>206</v>
      </c>
      <c r="Y20" s="494">
        <f>IFERROR(VLOOKUP(Tableau21[[#This Row],[Name Shipper]],Plant_AILN!L:M,2,FALSE),0)</f>
        <v>26037001</v>
      </c>
      <c r="Z20" s="194" t="s">
        <v>213</v>
      </c>
      <c r="AA20" s="353" t="e">
        <f ca="1">IFERROR(VLOOKUP(Tableau21[[#This Row],[Key(ID-Next)]],'DATA BTO'!A:N,5,FALSE),VLOOKUP(_xlfn.CONCAT(Tableau21[[#This Row],[ID]],"-","Actif"),'DATA BTO'!A:N,5,FALSE))</f>
        <v>#N/A</v>
      </c>
      <c r="AB20" s="3" t="e">
        <f ca="1">IFERROR(VLOOKUP(Tableau21[[#This Row],[Key(ID-Next)]],'DATA BTO'!A:N,6,FALSE),VLOOKUP(_xlfn.CONCAT(Tableau21[[#This Row],[ID]],"-","Actif"),'DATA BTO'!A:N,6,FALSE))</f>
        <v>#N/A</v>
      </c>
      <c r="AC20" s="50" t="e">
        <f ca="1">IFERROR(VLOOKUP(Tableau21[[#This Row],[Key(ID-Next)]],'DATA BTO'!A:N,7,FALSE),VLOOKUP(_xlfn.CONCAT(Tableau21[[#This Row],[ID]],"-","Actif"),'DATA BTO'!A:N,7,FALSE))</f>
        <v>#N/A</v>
      </c>
      <c r="AD20" s="50" t="e">
        <f ca="1">IFERROR(VLOOKUP(Tableau21[[#This Row],[Key(ID-Next)]],'DATA BTO'!A:N,8,FALSE),VLOOKUP(_xlfn.CONCAT(Tableau21[[#This Row],[ID]],"-","Actif"),'DATA BTO'!A:N,8,FALSE))</f>
        <v>#N/A</v>
      </c>
      <c r="AE20" s="50" t="e">
        <f ca="1">IFERROR(VLOOKUP(Tableau21[[#This Row],[Key(ID-Next)]],'DATA BTO'!A:N,9,FALSE),VLOOKUP(_xlfn.CONCAT(Tableau21[[#This Row],[ID]],"-","Actif"),'DATA BTO'!A:N,9,FALSE))</f>
        <v>#N/A</v>
      </c>
      <c r="AF20" s="3" t="e">
        <f ca="1">IFERROR(VLOOKUP(Tableau21[[#This Row],[Key(ID-Next)]],'DATA BTO'!A:N,10,FALSE),VLOOKUP(_xlfn.CONCAT(Tableau21[[#This Row],[ID]],"-","Actif"),'DATA BTO'!A:N,10,FALSE))</f>
        <v>#N/A</v>
      </c>
      <c r="AG20" s="3" t="e">
        <f ca="1">IFERROR(VLOOKUP(Tableau21[[#This Row],[Key(ID-Next)]],'DATA BTO'!A:N,11,FALSE),VLOOKUP(_xlfn.CONCAT(Tableau21[[#This Row],[ID]],"-","Actif"),'DATA BTO'!A:N,11,FALSE))</f>
        <v>#N/A</v>
      </c>
      <c r="AH20" s="50" t="e">
        <f ca="1">IFERROR(VLOOKUP(Tableau21[[#This Row],[Key(ID-Next)]],'DATA BTO'!A:N,12,FALSE),VLOOKUP(_xlfn.CONCAT(Tableau21[[#This Row],[ID]],"-","Actif"),'DATA BTO'!A:N,12,FALSE))</f>
        <v>#N/A</v>
      </c>
      <c r="AI20" s="53" t="e">
        <f ca="1">IFERROR(VLOOKUP(Tableau21[[#This Row],[Key(ID-Next)]],'DATA BTO'!A:N,14,FALSE),VLOOKUP(_xlfn.CONCAT(Tableau21[[#This Row],[ID]],"-","Actif"),'DATA BTO'!A:N,14,FALSE))</f>
        <v>#N/A</v>
      </c>
      <c r="AJ20" s="54" t="e">
        <f ca="1">VLOOKUP(Tableau21[[#This Row],[Key(POD -PFI- Usine)]],'DATA Consignee'!A:F,6,FALSE)</f>
        <v>#N/A</v>
      </c>
      <c r="AK20" s="283"/>
      <c r="AL20" s="490" t="str">
        <f>IF(Tableau21[[#This Row],[Name PFI/CDD]]="","-",VLOOKUP(Tableau21[[#This Row],[Name PFI/CDD]],Plant_AILN!I:J,2,FALSE))</f>
        <v>-</v>
      </c>
      <c r="AM20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0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0" s="2" t="e">
        <f ca="1">VLOOKUP(Tableau21[[#This Row],[Key(POD -PFI- Usine)]],'DATA Consignee'!A:J,10,FALSE)</f>
        <v>#N/A</v>
      </c>
      <c r="AP20" s="50" t="e">
        <f ca="1">VLOOKUP(Tableau21[[#This Row],[Key(POD -PFI- Usine)]],'DATA Consignee'!A:N,14,FALSE)</f>
        <v>#N/A</v>
      </c>
      <c r="AQ20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0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0" s="50" t="e">
        <f ca="1">Tableau21[[#This Row],[Transit time]]+Tableau21[[#This Row],[Time for security]]+Tableau21[[#This Row],[Time for security2 buffer]]</f>
        <v>#N/A</v>
      </c>
      <c r="AT20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0" s="50" t="e">
        <f ca="1">Tableau21[[#This Row],[Leadtime SI2C]]+Tableau21[[#This Row],[First Receipt Days]]-Tableau21[[#This Row],[Day Customer Order]]+1</f>
        <v>#N/A</v>
      </c>
      <c r="AV20" s="117" t="e">
        <f ca="1">IF(Tableau21[[#This Row],[Name ILN]]&lt;&gt;"SFK Freight Forwarder",Tableau21[[#This Row],[Cust. Leadtime]],Tableau21[[#This Row],[Leadtime SI2C]])</f>
        <v>#N/A</v>
      </c>
      <c r="AW20" s="57"/>
      <c r="AX20" s="328" t="e">
        <f ca="1">IFERROR(VLOOKUP(Tableau21[[#This Row],[Key(ID-Next)]],'DATA BTO'!A:N,3,FALSE),VLOOKUP(Tableau21[[#This Row],[ID]],'DATA BTO'!B:N,2,FALSE))</f>
        <v>#N/A</v>
      </c>
      <c r="AY20" s="50" t="str">
        <f>IF(ISNUMBER(Tableau21[[#This Row],[Day Customer Order]]),"-","Please Check 'Name' information in 'Order' Sheet to make sure they have information")</f>
        <v>-</v>
      </c>
      <c r="AZ20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0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0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0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1" spans="2:55">
      <c r="B21" s="65" t="str">
        <f>_xlfn.CONCAT(Tableau21[[#This Row],[Name ILN]],"-",Tableau21[[#This Row],[Name Shipper]],"-",Tableau21[[#This Row],[Name Site]])</f>
        <v>NCIC Shanghai -NCIC Shanghai -FLINS</v>
      </c>
      <c r="C21" s="64" t="e">
        <f ca="1">_xlfn.CONCAT(Tableau21[[#This Row],[Compte ILN]],"-",Tableau21[[#This Row],[Compte Shipper]],"-",Tableau21[[#This Row],[POL]],"-",Tableau21[[#This Row],[Compte Site]])</f>
        <v>#N/A</v>
      </c>
      <c r="D21" s="64" t="e">
        <f ca="1">_xlfn.CONCAT(Tableau21[[#This Row],[Compte ILN]],"-",Tableau21[[#This Row],[Compte Shipper]],"-",Tableau21[[#This Row],[POL]])</f>
        <v>#N/A</v>
      </c>
      <c r="E21" s="128" t="e">
        <f ca="1">_xlfn.CONCAT(Tableau21[[#This Row],[POL]],"-",Tableau21[[#This Row],[Carrier]],"-",Tableau21[[#This Row],[POD]])</f>
        <v>#N/A</v>
      </c>
      <c r="F21" s="64" t="str">
        <f>_xlfn.CONCAT(Tableau21[[#This Row],[ID]],"-","Next")</f>
        <v>AE55-Next</v>
      </c>
      <c r="G21" s="64" t="e">
        <f ca="1">_xlfn.CONCAT(Tableau21[[#This Row],[POD]],"-",Tableau21[[#This Row],[Code PFI]],"-",Tableau21[[#This Row],[Compte Site]])</f>
        <v>#N/A</v>
      </c>
      <c r="H21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1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1" s="117" t="str">
        <f ca="1">IF(COUNTIF(I:I,Tableau21[[#This Row],[Plant-ILN-shipper-POL-Carrier-POD-PFI]])=1,"Non","Oui")</f>
        <v>Oui</v>
      </c>
      <c r="K21" s="126" t="str">
        <f>VLOOKUP(Tableau21[[#This Row],[Name Site]],Plant_AILN!A:D,4,FALSE)</f>
        <v>FRANCE</v>
      </c>
      <c r="L21" s="74" t="s">
        <v>187</v>
      </c>
      <c r="M21" s="481">
        <f>VLOOKUP(Tableau21[[#This Row],[Name Site]],Plant_AILN!A:C,3,FALSE)</f>
        <v>90015100</v>
      </c>
      <c r="N21" s="55">
        <f>VLOOKUP(Tableau21[[#This Row],[Compte Site]],Order!C:D,2,FALSE)</f>
        <v>7</v>
      </c>
      <c r="O21" s="122" t="s">
        <v>206</v>
      </c>
      <c r="P21" s="481">
        <f>VLOOKUP(Tableau21[[#This Row],[Name ILN]],Plant_AILN!F:G,2,FALSE)</f>
        <v>26037001</v>
      </c>
      <c r="Q21" s="50">
        <f>VLOOKUP(Tableau21[[#This Row],[Compte ILN]],'DATA ILN'!D:I,6,FALSE)</f>
        <v>16</v>
      </c>
      <c r="R21" s="50" t="e">
        <f ca="1">IFERROR(VLOOKUP(Tableau21[[#This Row],[Key(Compte ILN - shipper - POL - plant)]],'DATA ILN'!A:J,10,FALSE),VLOOKUP(Tableau21[[#This Row],[Key(Compte ILN - shipper - POL)]],'DATA ILN'!B:J,9,FALSE))</f>
        <v>#N/A</v>
      </c>
      <c r="S21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1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1" s="50" t="e">
        <f ca="1">Tableau21[[#This Row],[Day ILN Order]]+Tableau21[[#This Row],[Delivery time to ILN/Shipper]]-1</f>
        <v>#N/A</v>
      </c>
      <c r="V21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1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1" s="351" t="s">
        <v>206</v>
      </c>
      <c r="Y21" s="494">
        <f>IFERROR(VLOOKUP(Tableau21[[#This Row],[Name Shipper]],Plant_AILN!L:M,2,FALSE),0)</f>
        <v>26037001</v>
      </c>
      <c r="Z21" s="103" t="s">
        <v>212</v>
      </c>
      <c r="AA21" s="353" t="e">
        <f ca="1">IFERROR(VLOOKUP(Tableau21[[#This Row],[Key(ID-Next)]],'DATA BTO'!A:N,5,FALSE),VLOOKUP(_xlfn.CONCAT(Tableau21[[#This Row],[ID]],"-","Actif"),'DATA BTO'!A:N,5,FALSE))</f>
        <v>#N/A</v>
      </c>
      <c r="AB21" s="3" t="e">
        <f ca="1">IFERROR(VLOOKUP(Tableau21[[#This Row],[Key(ID-Next)]],'DATA BTO'!A:N,6,FALSE),VLOOKUP(_xlfn.CONCAT(Tableau21[[#This Row],[ID]],"-","Actif"),'DATA BTO'!A:N,6,FALSE))</f>
        <v>#N/A</v>
      </c>
      <c r="AC21" s="50" t="e">
        <f ca="1">IFERROR(VLOOKUP(Tableau21[[#This Row],[Key(ID-Next)]],'DATA BTO'!A:N,7,FALSE),VLOOKUP(_xlfn.CONCAT(Tableau21[[#This Row],[ID]],"-","Actif"),'DATA BTO'!A:N,7,FALSE))</f>
        <v>#N/A</v>
      </c>
      <c r="AD21" s="50" t="e">
        <f ca="1">IFERROR(VLOOKUP(Tableau21[[#This Row],[Key(ID-Next)]],'DATA BTO'!A:N,8,FALSE),VLOOKUP(_xlfn.CONCAT(Tableau21[[#This Row],[ID]],"-","Actif"),'DATA BTO'!A:N,8,FALSE))</f>
        <v>#N/A</v>
      </c>
      <c r="AE21" s="50" t="e">
        <f ca="1">IFERROR(VLOOKUP(Tableau21[[#This Row],[Key(ID-Next)]],'DATA BTO'!A:N,9,FALSE),VLOOKUP(_xlfn.CONCAT(Tableau21[[#This Row],[ID]],"-","Actif"),'DATA BTO'!A:N,9,FALSE))</f>
        <v>#N/A</v>
      </c>
      <c r="AF21" s="3" t="e">
        <f ca="1">IFERROR(VLOOKUP(Tableau21[[#This Row],[Key(ID-Next)]],'DATA BTO'!A:N,10,FALSE),VLOOKUP(_xlfn.CONCAT(Tableau21[[#This Row],[ID]],"-","Actif"),'DATA BTO'!A:N,10,FALSE))</f>
        <v>#N/A</v>
      </c>
      <c r="AG21" s="3" t="e">
        <f ca="1">IFERROR(VLOOKUP(Tableau21[[#This Row],[Key(ID-Next)]],'DATA BTO'!A:N,11,FALSE),VLOOKUP(_xlfn.CONCAT(Tableau21[[#This Row],[ID]],"-","Actif"),'DATA BTO'!A:N,11,FALSE))</f>
        <v>#N/A</v>
      </c>
      <c r="AH21" s="50" t="e">
        <f ca="1">IFERROR(VLOOKUP(Tableau21[[#This Row],[Key(ID-Next)]],'DATA BTO'!A:N,12,FALSE),VLOOKUP(_xlfn.CONCAT(Tableau21[[#This Row],[ID]],"-","Actif"),'DATA BTO'!A:N,12,FALSE))</f>
        <v>#N/A</v>
      </c>
      <c r="AI21" s="53" t="e">
        <f ca="1">IFERROR(VLOOKUP(Tableau21[[#This Row],[Key(ID-Next)]],'DATA BTO'!A:N,14,FALSE),VLOOKUP(_xlfn.CONCAT(Tableau21[[#This Row],[ID]],"-","Actif"),'DATA BTO'!A:N,14,FALSE))</f>
        <v>#N/A</v>
      </c>
      <c r="AJ21" s="54" t="e">
        <f ca="1">VLOOKUP(Tableau21[[#This Row],[Key(POD -PFI- Usine)]],'DATA Consignee'!A:F,6,FALSE)</f>
        <v>#N/A</v>
      </c>
      <c r="AK21" s="283"/>
      <c r="AL21" s="490" t="str">
        <f>IF(Tableau21[[#This Row],[Name PFI/CDD]]="","-",VLOOKUP(Tableau21[[#This Row],[Name PFI/CDD]],Plant_AILN!I:J,2,FALSE))</f>
        <v>-</v>
      </c>
      <c r="AM21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1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1" s="2" t="e">
        <f ca="1">VLOOKUP(Tableau21[[#This Row],[Key(POD -PFI- Usine)]],'DATA Consignee'!A:J,10,FALSE)</f>
        <v>#N/A</v>
      </c>
      <c r="AP21" s="50" t="e">
        <f ca="1">VLOOKUP(Tableau21[[#This Row],[Key(POD -PFI- Usine)]],'DATA Consignee'!A:N,14,FALSE)</f>
        <v>#N/A</v>
      </c>
      <c r="AQ21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1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1" s="50" t="e">
        <f ca="1">Tableau21[[#This Row],[Transit time]]+Tableau21[[#This Row],[Time for security]]+Tableau21[[#This Row],[Time for security2 buffer]]</f>
        <v>#N/A</v>
      </c>
      <c r="AT21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1" s="50" t="e">
        <f ca="1">Tableau21[[#This Row],[Leadtime SI2C]]+Tableau21[[#This Row],[First Receipt Days]]-Tableau21[[#This Row],[Day Customer Order]]+1</f>
        <v>#N/A</v>
      </c>
      <c r="AV21" s="117" t="e">
        <f ca="1">IF(Tableau21[[#This Row],[Name ILN]]&lt;&gt;"SFK Freight Forwarder",Tableau21[[#This Row],[Cust. Leadtime]],Tableau21[[#This Row],[Leadtime SI2C]])</f>
        <v>#N/A</v>
      </c>
      <c r="AW21" s="57"/>
      <c r="AX21" s="328" t="e">
        <f ca="1">IFERROR(VLOOKUP(Tableau21[[#This Row],[Key(ID-Next)]],'DATA BTO'!A:N,3,FALSE),VLOOKUP(Tableau21[[#This Row],[ID]],'DATA BTO'!B:N,2,FALSE))</f>
        <v>#N/A</v>
      </c>
      <c r="AY21" s="50" t="str">
        <f>IF(ISNUMBER(Tableau21[[#This Row],[Day Customer Order]]),"-","Please Check 'Name' information in 'Order' Sheet to make sure they have information")</f>
        <v>-</v>
      </c>
      <c r="AZ21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1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1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1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2" spans="2:55">
      <c r="B22" s="65" t="str">
        <f>_xlfn.CONCAT(Tableau21[[#This Row],[Name ILN]],"-",Tableau21[[#This Row],[Name Shipper]],"-",Tableau21[[#This Row],[Name Site]])</f>
        <v>NCIC Shanghai -NCIC Shanghai -OYAK MEKA</v>
      </c>
      <c r="C22" s="64" t="e">
        <f ca="1">_xlfn.CONCAT(Tableau21[[#This Row],[Compte ILN]],"-",Tableau21[[#This Row],[Compte Shipper]],"-",Tableau21[[#This Row],[POL]],"-",Tableau21[[#This Row],[Compte Site]])</f>
        <v>#N/A</v>
      </c>
      <c r="D22" s="64" t="e">
        <f ca="1">_xlfn.CONCAT(Tableau21[[#This Row],[Compte ILN]],"-",Tableau21[[#This Row],[Compte Shipper]],"-",Tableau21[[#This Row],[POL]])</f>
        <v>#N/A</v>
      </c>
      <c r="E22" s="128" t="e">
        <f ca="1">_xlfn.CONCAT(Tableau21[[#This Row],[POL]],"-",Tableau21[[#This Row],[Carrier]],"-",Tableau21[[#This Row],[POD]])</f>
        <v>#N/A</v>
      </c>
      <c r="F22" s="64" t="str">
        <f>_xlfn.CONCAT(Tableau21[[#This Row],[ID]],"-","Next")</f>
        <v>AK15-Next</v>
      </c>
      <c r="G22" s="64" t="e">
        <f ca="1">_xlfn.CONCAT(Tableau21[[#This Row],[POD]],"-",Tableau21[[#This Row],[Code PFI]],"-",Tableau21[[#This Row],[Compte Site]])</f>
        <v>#N/A</v>
      </c>
      <c r="H22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2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2" s="117" t="str">
        <f ca="1">IF(COUNTIF(I:I,Tableau21[[#This Row],[Plant-ILN-shipper-POL-Carrier-POD-PFI]])=1,"Non","Oui")</f>
        <v>Oui</v>
      </c>
      <c r="K22" s="126" t="str">
        <f>VLOOKUP(Tableau21[[#This Row],[Name Site]],Plant_AILN!A:D,4,FALSE)</f>
        <v>TURKEY</v>
      </c>
      <c r="L22" s="57" t="s">
        <v>164</v>
      </c>
      <c r="M22" s="481">
        <f>VLOOKUP(Tableau21[[#This Row],[Name Site]],Plant_AILN!A:C,3,FALSE)</f>
        <v>90014400</v>
      </c>
      <c r="N22" s="55">
        <f>VLOOKUP(Tableau21[[#This Row],[Compte Site]],Order!C:D,2,FALSE)</f>
        <v>2</v>
      </c>
      <c r="O22" s="122" t="s">
        <v>206</v>
      </c>
      <c r="P22" s="481">
        <f>VLOOKUP(Tableau21[[#This Row],[Name ILN]],Plant_AILN!F:G,2,FALSE)</f>
        <v>26037001</v>
      </c>
      <c r="Q22" s="50">
        <f>VLOOKUP(Tableau21[[#This Row],[Compte ILN]],'DATA ILN'!D:I,6,FALSE)</f>
        <v>16</v>
      </c>
      <c r="R22" s="50" t="e">
        <f ca="1">IFERROR(VLOOKUP(Tableau21[[#This Row],[Key(Compte ILN - shipper - POL - plant)]],'DATA ILN'!A:J,10,FALSE),VLOOKUP(Tableau21[[#This Row],[Key(Compte ILN - shipper - POL)]],'DATA ILN'!B:J,9,FALSE))</f>
        <v>#N/A</v>
      </c>
      <c r="S22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2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2" s="50" t="e">
        <f ca="1">Tableau21[[#This Row],[Day ILN Order]]+Tableau21[[#This Row],[Delivery time to ILN/Shipper]]-1</f>
        <v>#N/A</v>
      </c>
      <c r="V22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2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2" s="351" t="s">
        <v>206</v>
      </c>
      <c r="Y22" s="494">
        <f>IFERROR(VLOOKUP(Tableau21[[#This Row],[Name Shipper]],Plant_AILN!L:M,2,FALSE),0)</f>
        <v>26037001</v>
      </c>
      <c r="Z22" s="52" t="s">
        <v>205</v>
      </c>
      <c r="AA22" s="353" t="e">
        <f ca="1">IFERROR(VLOOKUP(Tableau21[[#This Row],[Key(ID-Next)]],'DATA BTO'!A:N,5,FALSE),VLOOKUP(_xlfn.CONCAT(Tableau21[[#This Row],[ID]],"-","Actif"),'DATA BTO'!A:N,5,FALSE))</f>
        <v>#N/A</v>
      </c>
      <c r="AB22" s="3" t="e">
        <f ca="1">IFERROR(VLOOKUP(Tableau21[[#This Row],[Key(ID-Next)]],'DATA BTO'!A:N,6,FALSE),VLOOKUP(_xlfn.CONCAT(Tableau21[[#This Row],[ID]],"-","Actif"),'DATA BTO'!A:N,6,FALSE))</f>
        <v>#N/A</v>
      </c>
      <c r="AC22" s="50" t="e">
        <f ca="1">IFERROR(VLOOKUP(Tableau21[[#This Row],[Key(ID-Next)]],'DATA BTO'!A:N,7,FALSE),VLOOKUP(_xlfn.CONCAT(Tableau21[[#This Row],[ID]],"-","Actif"),'DATA BTO'!A:N,7,FALSE))</f>
        <v>#N/A</v>
      </c>
      <c r="AD22" s="50" t="e">
        <f ca="1">IFERROR(VLOOKUP(Tableau21[[#This Row],[Key(ID-Next)]],'DATA BTO'!A:N,8,FALSE),VLOOKUP(_xlfn.CONCAT(Tableau21[[#This Row],[ID]],"-","Actif"),'DATA BTO'!A:N,8,FALSE))</f>
        <v>#N/A</v>
      </c>
      <c r="AE22" s="50" t="e">
        <f ca="1">IFERROR(VLOOKUP(Tableau21[[#This Row],[Key(ID-Next)]],'DATA BTO'!A:N,9,FALSE),VLOOKUP(_xlfn.CONCAT(Tableau21[[#This Row],[ID]],"-","Actif"),'DATA BTO'!A:N,9,FALSE))</f>
        <v>#N/A</v>
      </c>
      <c r="AF22" s="3" t="e">
        <f ca="1">IFERROR(VLOOKUP(Tableau21[[#This Row],[Key(ID-Next)]],'DATA BTO'!A:N,10,FALSE),VLOOKUP(_xlfn.CONCAT(Tableau21[[#This Row],[ID]],"-","Actif"),'DATA BTO'!A:N,10,FALSE))</f>
        <v>#N/A</v>
      </c>
      <c r="AG22" s="3" t="e">
        <f ca="1">IFERROR(VLOOKUP(Tableau21[[#This Row],[Key(ID-Next)]],'DATA BTO'!A:N,11,FALSE),VLOOKUP(_xlfn.CONCAT(Tableau21[[#This Row],[ID]],"-","Actif"),'DATA BTO'!A:N,11,FALSE))</f>
        <v>#N/A</v>
      </c>
      <c r="AH22" s="50" t="e">
        <f ca="1">IFERROR(VLOOKUP(Tableau21[[#This Row],[Key(ID-Next)]],'DATA BTO'!A:N,12,FALSE),VLOOKUP(_xlfn.CONCAT(Tableau21[[#This Row],[ID]],"-","Actif"),'DATA BTO'!A:N,12,FALSE))</f>
        <v>#N/A</v>
      </c>
      <c r="AI22" s="53" t="e">
        <f ca="1">IFERROR(VLOOKUP(Tableau21[[#This Row],[Key(ID-Next)]],'DATA BTO'!A:N,14,FALSE),VLOOKUP(_xlfn.CONCAT(Tableau21[[#This Row],[ID]],"-","Actif"),'DATA BTO'!A:N,14,FALSE))</f>
        <v>#N/A</v>
      </c>
      <c r="AJ22" s="54" t="e">
        <f ca="1">VLOOKUP(Tableau21[[#This Row],[Key(POD -PFI- Usine)]],'DATA Consignee'!A:F,6,FALSE)</f>
        <v>#N/A</v>
      </c>
      <c r="AK22" s="283"/>
      <c r="AL22" s="490" t="str">
        <f>IF(Tableau21[[#This Row],[Name PFI/CDD]]="","-",VLOOKUP(Tableau21[[#This Row],[Name PFI/CDD]],Plant_AILN!I:J,2,FALSE))</f>
        <v>-</v>
      </c>
      <c r="AM22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2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2" s="2" t="e">
        <f ca="1">VLOOKUP(Tableau21[[#This Row],[Key(POD -PFI- Usine)]],'DATA Consignee'!A:J,10,FALSE)</f>
        <v>#N/A</v>
      </c>
      <c r="AP22" s="50" t="e">
        <f ca="1">VLOOKUP(Tableau21[[#This Row],[Key(POD -PFI- Usine)]],'DATA Consignee'!A:N,14,FALSE)</f>
        <v>#N/A</v>
      </c>
      <c r="AQ22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2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2" s="50" t="e">
        <f ca="1">Tableau21[[#This Row],[Transit time]]+Tableau21[[#This Row],[Time for security]]+Tableau21[[#This Row],[Time for security2 buffer]]</f>
        <v>#N/A</v>
      </c>
      <c r="AT22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2" s="50" t="e">
        <f ca="1">Tableau21[[#This Row],[Leadtime SI2C]]+Tableau21[[#This Row],[First Receipt Days]]-Tableau21[[#This Row],[Day Customer Order]]+1</f>
        <v>#N/A</v>
      </c>
      <c r="AV22" s="117" t="e">
        <f ca="1">IF(Tableau21[[#This Row],[Name ILN]]&lt;&gt;"SFK Freight Forwarder",Tableau21[[#This Row],[Cust. Leadtime]],Tableau21[[#This Row],[Leadtime SI2C]])</f>
        <v>#N/A</v>
      </c>
      <c r="AW22" s="57"/>
      <c r="AX22" s="328" t="e">
        <f ca="1">IFERROR(VLOOKUP(Tableau21[[#This Row],[Key(ID-Next)]],'DATA BTO'!A:N,3,FALSE),VLOOKUP(Tableau21[[#This Row],[ID]],'DATA BTO'!B:N,2,FALSE))</f>
        <v>#N/A</v>
      </c>
      <c r="AY22" s="50" t="str">
        <f>IF(ISNUMBER(Tableau21[[#This Row],[Day Customer Order]]),"-","Please Check 'Name' information in 'Order' Sheet to make sure they have information")</f>
        <v>-</v>
      </c>
      <c r="AZ22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2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2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2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3" spans="2:55">
      <c r="B23" s="65" t="str">
        <f>_xlfn.CONCAT(Tableau21[[#This Row],[Name ILN]],"-",Tableau21[[#This Row],[Name Shipper]],"-",Tableau21[[#This Row],[Name Site]])</f>
        <v>NSL Shanghai-NSL Shanghai-PALENCIA</v>
      </c>
      <c r="C23" s="64" t="e">
        <f ca="1">_xlfn.CONCAT(Tableau21[[#This Row],[Compte ILN]],"-",Tableau21[[#This Row],[Compte Shipper]],"-",Tableau21[[#This Row],[POL]],"-",Tableau21[[#This Row],[Compte Site]])</f>
        <v>#N/A</v>
      </c>
      <c r="D23" s="64" t="e">
        <f ca="1">_xlfn.CONCAT(Tableau21[[#This Row],[Compte ILN]],"-",Tableau21[[#This Row],[Compte Shipper]],"-",Tableau21[[#This Row],[POL]])</f>
        <v>#N/A</v>
      </c>
      <c r="E23" s="128" t="e">
        <f ca="1">_xlfn.CONCAT(Tableau21[[#This Row],[POL]],"-",Tableau21[[#This Row],[Carrier]],"-",Tableau21[[#This Row],[POD]])</f>
        <v>#N/A</v>
      </c>
      <c r="F23" s="64" t="str">
        <f>_xlfn.CONCAT(Tableau21[[#This Row],[ID]],"-","Next")</f>
        <v>AE11-Next</v>
      </c>
      <c r="G23" s="64" t="e">
        <f ca="1">_xlfn.CONCAT(Tableau21[[#This Row],[POD]],"-",Tableau21[[#This Row],[Code PFI]],"-",Tableau21[[#This Row],[Compte Site]])</f>
        <v>#N/A</v>
      </c>
      <c r="H23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3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3" s="117" t="str">
        <f ca="1">IF(COUNTIF(I:I,Tableau21[[#This Row],[Plant-ILN-shipper-POL-Carrier-POD-PFI]])=1,"Non","Oui")</f>
        <v>Oui</v>
      </c>
      <c r="K23" s="126" t="str">
        <f>VLOOKUP(Tableau21[[#This Row],[Name Site]],Plant_AILN!A:D,4,FALSE)</f>
        <v>SPAIN</v>
      </c>
      <c r="L23" s="57" t="s">
        <v>175</v>
      </c>
      <c r="M23" s="481">
        <f>VLOOKUP(Tableau21[[#This Row],[Name Site]],Plant_AILN!A:C,3,FALSE)</f>
        <v>91017200</v>
      </c>
      <c r="N23" s="55">
        <f>VLOOKUP(Tableau21[[#This Row],[Compte Site]],Order!C:D,2,FALSE)</f>
        <v>7</v>
      </c>
      <c r="O23" s="124" t="s">
        <v>193</v>
      </c>
      <c r="P23" s="481">
        <f>VLOOKUP(Tableau21[[#This Row],[Name ILN]],Plant_AILN!F:G,2,FALSE)</f>
        <v>27261102</v>
      </c>
      <c r="Q23" s="50">
        <f>VLOOKUP(Tableau21[[#This Row],[Compte ILN]],'DATA ILN'!D:I,6,FALSE)</f>
        <v>16</v>
      </c>
      <c r="R23" s="50" t="e">
        <f ca="1">IFERROR(VLOOKUP(Tableau21[[#This Row],[Key(Compte ILN - shipper - POL - plant)]],'DATA ILN'!A:J,10,FALSE),VLOOKUP(Tableau21[[#This Row],[Key(Compte ILN - shipper - POL)]],'DATA ILN'!B:J,9,FALSE))</f>
        <v>#N/A</v>
      </c>
      <c r="S23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3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3" s="50" t="e">
        <f ca="1">Tableau21[[#This Row],[Day ILN Order]]+Tableau21[[#This Row],[Delivery time to ILN/Shipper]]-1</f>
        <v>#N/A</v>
      </c>
      <c r="V23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3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3" s="349" t="s">
        <v>193</v>
      </c>
      <c r="Y23" s="494">
        <f>IFERROR(VLOOKUP(Tableau21[[#This Row],[Name Shipper]],Plant_AILN!L:M,2,FALSE),0)</f>
        <v>27261102</v>
      </c>
      <c r="Z23" s="103" t="s">
        <v>198</v>
      </c>
      <c r="AA23" s="353" t="e">
        <f ca="1">IFERROR(VLOOKUP(Tableau21[[#This Row],[Key(ID-Next)]],'DATA BTO'!A:N,5,FALSE),VLOOKUP(_xlfn.CONCAT(Tableau21[[#This Row],[ID]],"-","Actif"),'DATA BTO'!A:N,5,FALSE))</f>
        <v>#N/A</v>
      </c>
      <c r="AB23" s="3" t="e">
        <f ca="1">IFERROR(VLOOKUP(Tableau21[[#This Row],[Key(ID-Next)]],'DATA BTO'!A:N,6,FALSE),VLOOKUP(_xlfn.CONCAT(Tableau21[[#This Row],[ID]],"-","Actif"),'DATA BTO'!A:N,6,FALSE))</f>
        <v>#N/A</v>
      </c>
      <c r="AC23" s="50" t="e">
        <f ca="1">IFERROR(VLOOKUP(Tableau21[[#This Row],[Key(ID-Next)]],'DATA BTO'!A:N,7,FALSE),VLOOKUP(_xlfn.CONCAT(Tableau21[[#This Row],[ID]],"-","Actif"),'DATA BTO'!A:N,7,FALSE))</f>
        <v>#N/A</v>
      </c>
      <c r="AD23" s="50" t="e">
        <f ca="1">IFERROR(VLOOKUP(Tableau21[[#This Row],[Key(ID-Next)]],'DATA BTO'!A:N,8,FALSE),VLOOKUP(_xlfn.CONCAT(Tableau21[[#This Row],[ID]],"-","Actif"),'DATA BTO'!A:N,8,FALSE))</f>
        <v>#N/A</v>
      </c>
      <c r="AE23" s="50" t="e">
        <f ca="1">IFERROR(VLOOKUP(Tableau21[[#This Row],[Key(ID-Next)]],'DATA BTO'!A:N,9,FALSE),VLOOKUP(_xlfn.CONCAT(Tableau21[[#This Row],[ID]],"-","Actif"),'DATA BTO'!A:N,9,FALSE))</f>
        <v>#N/A</v>
      </c>
      <c r="AF23" s="3" t="e">
        <f ca="1">IFERROR(VLOOKUP(Tableau21[[#This Row],[Key(ID-Next)]],'DATA BTO'!A:N,10,FALSE),VLOOKUP(_xlfn.CONCAT(Tableau21[[#This Row],[ID]],"-","Actif"),'DATA BTO'!A:N,10,FALSE))</f>
        <v>#N/A</v>
      </c>
      <c r="AG23" s="3" t="e">
        <f ca="1">IFERROR(VLOOKUP(Tableau21[[#This Row],[Key(ID-Next)]],'DATA BTO'!A:N,11,FALSE),VLOOKUP(_xlfn.CONCAT(Tableau21[[#This Row],[ID]],"-","Actif"),'DATA BTO'!A:N,11,FALSE))</f>
        <v>#N/A</v>
      </c>
      <c r="AH23" s="50" t="e">
        <f ca="1">IFERROR(VLOOKUP(Tableau21[[#This Row],[Key(ID-Next)]],'DATA BTO'!A:N,12,FALSE),VLOOKUP(_xlfn.CONCAT(Tableau21[[#This Row],[ID]],"-","Actif"),'DATA BTO'!A:N,12,FALSE))</f>
        <v>#N/A</v>
      </c>
      <c r="AI23" s="53" t="e">
        <f ca="1">IFERROR(VLOOKUP(Tableau21[[#This Row],[Key(ID-Next)]],'DATA BTO'!A:N,14,FALSE),VLOOKUP(_xlfn.CONCAT(Tableau21[[#This Row],[ID]],"-","Actif"),'DATA BTO'!A:N,14,FALSE))</f>
        <v>#N/A</v>
      </c>
      <c r="AJ23" s="54" t="e">
        <f ca="1">VLOOKUP(Tableau21[[#This Row],[Key(POD -PFI- Usine)]],'DATA Consignee'!A:F,6,FALSE)</f>
        <v>#N/A</v>
      </c>
      <c r="AK23" s="283" t="s">
        <v>161</v>
      </c>
      <c r="AL23" s="490">
        <f>IF(Tableau21[[#This Row],[Name PFI/CDD]]="","-",VLOOKUP(Tableau21[[#This Row],[Name PFI/CDD]],Plant_AILN!I:J,2,FALSE))</f>
        <v>91018400</v>
      </c>
      <c r="AM23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3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3" s="2" t="e">
        <f ca="1">VLOOKUP(Tableau21[[#This Row],[Key(POD -PFI- Usine)]],'DATA Consignee'!A:J,10,FALSE)</f>
        <v>#N/A</v>
      </c>
      <c r="AP23" s="50" t="e">
        <f ca="1">VLOOKUP(Tableau21[[#This Row],[Key(POD -PFI- Usine)]],'DATA Consignee'!A:N,14,FALSE)</f>
        <v>#N/A</v>
      </c>
      <c r="AQ23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3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3" s="50" t="e">
        <f ca="1">Tableau21[[#This Row],[Transit time]]+Tableau21[[#This Row],[Time for security]]+Tableau21[[#This Row],[Time for security2 buffer]]</f>
        <v>#N/A</v>
      </c>
      <c r="AT23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3" s="50" t="e">
        <f ca="1">Tableau21[[#This Row],[Leadtime SI2C]]+Tableau21[[#This Row],[First Receipt Days]]-Tableau21[[#This Row],[Day Customer Order]]+1</f>
        <v>#N/A</v>
      </c>
      <c r="AV23" s="117" t="e">
        <f ca="1">IF(Tableau21[[#This Row],[Name ILN]]&lt;&gt;"SFK Freight Forwarder",Tableau21[[#This Row],[Cust. Leadtime]],Tableau21[[#This Row],[Leadtime SI2C]])</f>
        <v>#N/A</v>
      </c>
      <c r="AW23" s="57"/>
      <c r="AX23" s="328" t="e">
        <f ca="1">IFERROR(VLOOKUP(Tableau21[[#This Row],[Key(ID-Next)]],'DATA BTO'!A:N,3,FALSE),VLOOKUP(Tableau21[[#This Row],[ID]],'DATA BTO'!B:N,2,FALSE))</f>
        <v>#N/A</v>
      </c>
      <c r="AY23" s="50" t="str">
        <f>IF(ISNUMBER(Tableau21[[#This Row],[Day Customer Order]]),"-","Please Check 'Name' information in 'Order' Sheet to make sure they have information")</f>
        <v>-</v>
      </c>
      <c r="AZ23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3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3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3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4" spans="2:55">
      <c r="B24" s="65" t="str">
        <f>_xlfn.CONCAT(Tableau21[[#This Row],[Name ILN]],"-",Tableau21[[#This Row],[Name Shipper]],"-",Tableau21[[#This Row],[Name Site]])</f>
        <v>NSL Shanghai-NSL Shanghai-SOVAB</v>
      </c>
      <c r="C24" s="64" t="e">
        <f ca="1">_xlfn.CONCAT(Tableau21[[#This Row],[Compte ILN]],"-",Tableau21[[#This Row],[Compte Shipper]],"-",Tableau21[[#This Row],[POL]],"-",Tableau21[[#This Row],[Compte Site]])</f>
        <v>#N/A</v>
      </c>
      <c r="D24" s="64" t="e">
        <f ca="1">_xlfn.CONCAT(Tableau21[[#This Row],[Compte ILN]],"-",Tableau21[[#This Row],[Compte Shipper]],"-",Tableau21[[#This Row],[POL]])</f>
        <v>#N/A</v>
      </c>
      <c r="E24" s="128" t="e">
        <f ca="1">_xlfn.CONCAT(Tableau21[[#This Row],[POL]],"-",Tableau21[[#This Row],[Carrier]],"-",Tableau21[[#This Row],[POD]])</f>
        <v>#N/A</v>
      </c>
      <c r="F24" s="64" t="str">
        <f>_xlfn.CONCAT(Tableau21[[#This Row],[ID]],"-","Next")</f>
        <v>AE11-Next</v>
      </c>
      <c r="G24" s="64" t="e">
        <f ca="1">_xlfn.CONCAT(Tableau21[[#This Row],[POD]],"-",Tableau21[[#This Row],[Code PFI]],"-",Tableau21[[#This Row],[Compte Site]])</f>
        <v>#N/A</v>
      </c>
      <c r="H24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4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4" s="117" t="str">
        <f ca="1">IF(COUNTIF(I:I,Tableau21[[#This Row],[Plant-ILN-shipper-POL-Carrier-POD-PFI]])=1,"Non","Oui")</f>
        <v>Oui</v>
      </c>
      <c r="K24" s="126" t="str">
        <f>VLOOKUP(Tableau21[[#This Row],[Name Site]],Plant_AILN!A:D,4,FALSE)</f>
        <v>FRANCE</v>
      </c>
      <c r="L24" s="57" t="s">
        <v>152</v>
      </c>
      <c r="M24" s="481">
        <f>VLOOKUP(Tableau21[[#This Row],[Name Site]],Plant_AILN!A:C,3,FALSE)</f>
        <v>90016900</v>
      </c>
      <c r="N24" s="55">
        <f>VLOOKUP(Tableau21[[#This Row],[Compte Site]],Order!C:D,2,FALSE)</f>
        <v>7</v>
      </c>
      <c r="O24" s="124" t="s">
        <v>193</v>
      </c>
      <c r="P24" s="481">
        <f>VLOOKUP(Tableau21[[#This Row],[Name ILN]],Plant_AILN!F:G,2,FALSE)</f>
        <v>27261102</v>
      </c>
      <c r="Q24" s="50">
        <f>VLOOKUP(Tableau21[[#This Row],[Compte ILN]],'DATA ILN'!D:I,6,FALSE)</f>
        <v>16</v>
      </c>
      <c r="R24" s="50" t="e">
        <f ca="1">IFERROR(VLOOKUP(Tableau21[[#This Row],[Key(Compte ILN - shipper - POL - plant)]],'DATA ILN'!A:J,10,FALSE),VLOOKUP(Tableau21[[#This Row],[Key(Compte ILN - shipper - POL)]],'DATA ILN'!B:J,9,FALSE))</f>
        <v>#N/A</v>
      </c>
      <c r="S24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4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4" s="50" t="e">
        <f ca="1">Tableau21[[#This Row],[Day ILN Order]]+Tableau21[[#This Row],[Delivery time to ILN/Shipper]]-1</f>
        <v>#N/A</v>
      </c>
      <c r="V24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4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4" s="349" t="s">
        <v>193</v>
      </c>
      <c r="Y24" s="494">
        <f>IFERROR(VLOOKUP(Tableau21[[#This Row],[Name Shipper]],Plant_AILN!L:M,2,FALSE),0)</f>
        <v>27261102</v>
      </c>
      <c r="Z24" s="52" t="s">
        <v>198</v>
      </c>
      <c r="AA24" s="353" t="e">
        <f ca="1">IFERROR(VLOOKUP(Tableau21[[#This Row],[Key(ID-Next)]],'DATA BTO'!A:N,5,FALSE),VLOOKUP(_xlfn.CONCAT(Tableau21[[#This Row],[ID]],"-","Actif"),'DATA BTO'!A:N,5,FALSE))</f>
        <v>#N/A</v>
      </c>
      <c r="AB24" s="3" t="e">
        <f ca="1">IFERROR(VLOOKUP(Tableau21[[#This Row],[Key(ID-Next)]],'DATA BTO'!A:N,6,FALSE),VLOOKUP(_xlfn.CONCAT(Tableau21[[#This Row],[ID]],"-","Actif"),'DATA BTO'!A:N,6,FALSE))</f>
        <v>#N/A</v>
      </c>
      <c r="AC24" s="50" t="e">
        <f ca="1">IFERROR(VLOOKUP(Tableau21[[#This Row],[Key(ID-Next)]],'DATA BTO'!A:N,7,FALSE),VLOOKUP(_xlfn.CONCAT(Tableau21[[#This Row],[ID]],"-","Actif"),'DATA BTO'!A:N,7,FALSE))</f>
        <v>#N/A</v>
      </c>
      <c r="AD24" s="50" t="e">
        <f ca="1">IFERROR(VLOOKUP(Tableau21[[#This Row],[Key(ID-Next)]],'DATA BTO'!A:N,8,FALSE),VLOOKUP(_xlfn.CONCAT(Tableau21[[#This Row],[ID]],"-","Actif"),'DATA BTO'!A:N,8,FALSE))</f>
        <v>#N/A</v>
      </c>
      <c r="AE24" s="50" t="e">
        <f ca="1">IFERROR(VLOOKUP(Tableau21[[#This Row],[Key(ID-Next)]],'DATA BTO'!A:N,9,FALSE),VLOOKUP(_xlfn.CONCAT(Tableau21[[#This Row],[ID]],"-","Actif"),'DATA BTO'!A:N,9,FALSE))</f>
        <v>#N/A</v>
      </c>
      <c r="AF24" s="3" t="e">
        <f ca="1">IFERROR(VLOOKUP(Tableau21[[#This Row],[Key(ID-Next)]],'DATA BTO'!A:N,10,FALSE),VLOOKUP(_xlfn.CONCAT(Tableau21[[#This Row],[ID]],"-","Actif"),'DATA BTO'!A:N,10,FALSE))</f>
        <v>#N/A</v>
      </c>
      <c r="AG24" s="3" t="e">
        <f ca="1">IFERROR(VLOOKUP(Tableau21[[#This Row],[Key(ID-Next)]],'DATA BTO'!A:N,11,FALSE),VLOOKUP(_xlfn.CONCAT(Tableau21[[#This Row],[ID]],"-","Actif"),'DATA BTO'!A:N,11,FALSE))</f>
        <v>#N/A</v>
      </c>
      <c r="AH24" s="50" t="e">
        <f ca="1">IFERROR(VLOOKUP(Tableau21[[#This Row],[Key(ID-Next)]],'DATA BTO'!A:N,12,FALSE),VLOOKUP(_xlfn.CONCAT(Tableau21[[#This Row],[ID]],"-","Actif"),'DATA BTO'!A:N,12,FALSE))</f>
        <v>#N/A</v>
      </c>
      <c r="AI24" s="53" t="e">
        <f ca="1">IFERROR(VLOOKUP(Tableau21[[#This Row],[Key(ID-Next)]],'DATA BTO'!A:N,14,FALSE),VLOOKUP(_xlfn.CONCAT(Tableau21[[#This Row],[ID]],"-","Actif"),'DATA BTO'!A:N,14,FALSE))</f>
        <v>#N/A</v>
      </c>
      <c r="AJ24" s="54" t="e">
        <f ca="1">VLOOKUP(Tableau21[[#This Row],[Key(POD -PFI- Usine)]],'DATA Consignee'!A:F,6,FALSE)</f>
        <v>#N/A</v>
      </c>
      <c r="AK24" s="283" t="s">
        <v>161</v>
      </c>
      <c r="AL24" s="490">
        <f>IF(Tableau21[[#This Row],[Name PFI/CDD]]="","-",VLOOKUP(Tableau21[[#This Row],[Name PFI/CDD]],Plant_AILN!I:J,2,FALSE))</f>
        <v>91018400</v>
      </c>
      <c r="AM24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4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4" s="2" t="e">
        <f ca="1">VLOOKUP(Tableau21[[#This Row],[Key(POD -PFI- Usine)]],'DATA Consignee'!A:J,10,FALSE)</f>
        <v>#N/A</v>
      </c>
      <c r="AP24" s="50" t="e">
        <f ca="1">VLOOKUP(Tableau21[[#This Row],[Key(POD -PFI- Usine)]],'DATA Consignee'!A:N,14,FALSE)</f>
        <v>#N/A</v>
      </c>
      <c r="AQ24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4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4" s="50" t="e">
        <f ca="1">Tableau21[[#This Row],[Transit time]]+Tableau21[[#This Row],[Time for security]]+Tableau21[[#This Row],[Time for security2 buffer]]</f>
        <v>#N/A</v>
      </c>
      <c r="AT24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4" s="50" t="e">
        <f ca="1">Tableau21[[#This Row],[Leadtime SI2C]]+Tableau21[[#This Row],[First Receipt Days]]-Tableau21[[#This Row],[Day Customer Order]]+1</f>
        <v>#N/A</v>
      </c>
      <c r="AV24" s="117" t="e">
        <f ca="1">IF(Tableau21[[#This Row],[Name ILN]]&lt;&gt;"SFK Freight Forwarder",Tableau21[[#This Row],[Cust. Leadtime]],Tableau21[[#This Row],[Leadtime SI2C]])</f>
        <v>#N/A</v>
      </c>
      <c r="AW24" s="57"/>
      <c r="AX24" s="328" t="e">
        <f ca="1">IFERROR(VLOOKUP(Tableau21[[#This Row],[Key(ID-Next)]],'DATA BTO'!A:N,3,FALSE),VLOOKUP(Tableau21[[#This Row],[ID]],'DATA BTO'!B:N,2,FALSE))</f>
        <v>#N/A</v>
      </c>
      <c r="AY24" s="50" t="str">
        <f>IF(ISNUMBER(Tableau21[[#This Row],[Day Customer Order]]),"-","Please Check 'Name' information in 'Order' Sheet to make sure they have information")</f>
        <v>-</v>
      </c>
      <c r="AZ24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4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4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4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5" spans="2:55">
      <c r="B25" s="65" t="str">
        <f>_xlfn.CONCAT(Tableau21[[#This Row],[Name ILN]],"-",Tableau21[[#This Row],[Name Shipper]],"-",Tableau21[[#This Row],[Name Site]])</f>
        <v>NSL Shanghai-NSL Shanghai-MAUBEUGE</v>
      </c>
      <c r="C25" s="64" t="e">
        <f ca="1">_xlfn.CONCAT(Tableau21[[#This Row],[Compte ILN]],"-",Tableau21[[#This Row],[Compte Shipper]],"-",Tableau21[[#This Row],[POL]],"-",Tableau21[[#This Row],[Compte Site]])</f>
        <v>#N/A</v>
      </c>
      <c r="D25" s="64" t="e">
        <f ca="1">_xlfn.CONCAT(Tableau21[[#This Row],[Compte ILN]],"-",Tableau21[[#This Row],[Compte Shipper]],"-",Tableau21[[#This Row],[POL]])</f>
        <v>#N/A</v>
      </c>
      <c r="E25" s="128" t="e">
        <f ca="1">_xlfn.CONCAT(Tableau21[[#This Row],[POL]],"-",Tableau21[[#This Row],[Carrier]],"-",Tableau21[[#This Row],[POD]])</f>
        <v>#N/A</v>
      </c>
      <c r="F25" s="64" t="str">
        <f>_xlfn.CONCAT(Tableau21[[#This Row],[ID]],"-","Next")</f>
        <v>AE11-Next</v>
      </c>
      <c r="G25" s="64" t="e">
        <f ca="1">_xlfn.CONCAT(Tableau21[[#This Row],[POD]],"-",Tableau21[[#This Row],[Code PFI]],"-",Tableau21[[#This Row],[Compte Site]])</f>
        <v>#N/A</v>
      </c>
      <c r="H25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5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5" s="117" t="str">
        <f ca="1">IF(COUNTIF(I:I,Tableau21[[#This Row],[Plant-ILN-shipper-POL-Carrier-POD-PFI]])=1,"Non","Oui")</f>
        <v>Oui</v>
      </c>
      <c r="K25" s="126" t="str">
        <f>VLOOKUP(Tableau21[[#This Row],[Name Site]],Plant_AILN!A:D,4,FALSE)</f>
        <v>FRANCE</v>
      </c>
      <c r="L25" s="57" t="s">
        <v>185</v>
      </c>
      <c r="M25" s="481">
        <f>VLOOKUP(Tableau21[[#This Row],[Name Site]],Plant_AILN!A:C,3,FALSE)</f>
        <v>90016200</v>
      </c>
      <c r="N25" s="55">
        <f>VLOOKUP(Tableau21[[#This Row],[Compte Site]],Order!C:D,2,FALSE)</f>
        <v>7</v>
      </c>
      <c r="O25" s="124" t="s">
        <v>193</v>
      </c>
      <c r="P25" s="481">
        <f>VLOOKUP(Tableau21[[#This Row],[Name ILN]],Plant_AILN!F:G,2,FALSE)</f>
        <v>27261102</v>
      </c>
      <c r="Q25" s="50">
        <f>VLOOKUP(Tableau21[[#This Row],[Compte ILN]],'DATA ILN'!D:I,6,FALSE)</f>
        <v>16</v>
      </c>
      <c r="R25" s="50" t="e">
        <f ca="1">IFERROR(VLOOKUP(Tableau21[[#This Row],[Key(Compte ILN - shipper - POL - plant)]],'DATA ILN'!A:J,10,FALSE),VLOOKUP(Tableau21[[#This Row],[Key(Compte ILN - shipper - POL)]],'DATA ILN'!B:J,9,FALSE))</f>
        <v>#N/A</v>
      </c>
      <c r="S2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5" s="50" t="e">
        <f ca="1">Tableau21[[#This Row],[Day ILN Order]]+Tableau21[[#This Row],[Delivery time to ILN/Shipper]]-1</f>
        <v>#N/A</v>
      </c>
      <c r="V2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5" s="349" t="s">
        <v>193</v>
      </c>
      <c r="Y25" s="494">
        <f>IFERROR(VLOOKUP(Tableau21[[#This Row],[Name Shipper]],Plant_AILN!L:M,2,FALSE),0)</f>
        <v>27261102</v>
      </c>
      <c r="Z25" s="52" t="s">
        <v>198</v>
      </c>
      <c r="AA25" s="353" t="e">
        <f ca="1">IFERROR(VLOOKUP(Tableau21[[#This Row],[Key(ID-Next)]],'DATA BTO'!A:N,5,FALSE),VLOOKUP(_xlfn.CONCAT(Tableau21[[#This Row],[ID]],"-","Actif"),'DATA BTO'!A:N,5,FALSE))</f>
        <v>#N/A</v>
      </c>
      <c r="AB25" s="3" t="e">
        <f ca="1">IFERROR(VLOOKUP(Tableau21[[#This Row],[Key(ID-Next)]],'DATA BTO'!A:N,6,FALSE),VLOOKUP(_xlfn.CONCAT(Tableau21[[#This Row],[ID]],"-","Actif"),'DATA BTO'!A:N,6,FALSE))</f>
        <v>#N/A</v>
      </c>
      <c r="AC25" s="50" t="e">
        <f ca="1">IFERROR(VLOOKUP(Tableau21[[#This Row],[Key(ID-Next)]],'DATA BTO'!A:N,7,FALSE),VLOOKUP(_xlfn.CONCAT(Tableau21[[#This Row],[ID]],"-","Actif"),'DATA BTO'!A:N,7,FALSE))</f>
        <v>#N/A</v>
      </c>
      <c r="AD25" s="50" t="e">
        <f ca="1">IFERROR(VLOOKUP(Tableau21[[#This Row],[Key(ID-Next)]],'DATA BTO'!A:N,8,FALSE),VLOOKUP(_xlfn.CONCAT(Tableau21[[#This Row],[ID]],"-","Actif"),'DATA BTO'!A:N,8,FALSE))</f>
        <v>#N/A</v>
      </c>
      <c r="AE25" s="50" t="e">
        <f ca="1">IFERROR(VLOOKUP(Tableau21[[#This Row],[Key(ID-Next)]],'DATA BTO'!A:N,9,FALSE),VLOOKUP(_xlfn.CONCAT(Tableau21[[#This Row],[ID]],"-","Actif"),'DATA BTO'!A:N,9,FALSE))</f>
        <v>#N/A</v>
      </c>
      <c r="AF25" s="3" t="e">
        <f ca="1">IFERROR(VLOOKUP(Tableau21[[#This Row],[Key(ID-Next)]],'DATA BTO'!A:N,10,FALSE),VLOOKUP(_xlfn.CONCAT(Tableau21[[#This Row],[ID]],"-","Actif"),'DATA BTO'!A:N,10,FALSE))</f>
        <v>#N/A</v>
      </c>
      <c r="AG25" s="3" t="e">
        <f ca="1">IFERROR(VLOOKUP(Tableau21[[#This Row],[Key(ID-Next)]],'DATA BTO'!A:N,11,FALSE),VLOOKUP(_xlfn.CONCAT(Tableau21[[#This Row],[ID]],"-","Actif"),'DATA BTO'!A:N,11,FALSE))</f>
        <v>#N/A</v>
      </c>
      <c r="AH25" s="50" t="e">
        <f ca="1">IFERROR(VLOOKUP(Tableau21[[#This Row],[Key(ID-Next)]],'DATA BTO'!A:N,12,FALSE),VLOOKUP(_xlfn.CONCAT(Tableau21[[#This Row],[ID]],"-","Actif"),'DATA BTO'!A:N,12,FALSE))</f>
        <v>#N/A</v>
      </c>
      <c r="AI25" s="53" t="e">
        <f ca="1">IFERROR(VLOOKUP(Tableau21[[#This Row],[Key(ID-Next)]],'DATA BTO'!A:N,14,FALSE),VLOOKUP(_xlfn.CONCAT(Tableau21[[#This Row],[ID]],"-","Actif"),'DATA BTO'!A:N,14,FALSE))</f>
        <v>#N/A</v>
      </c>
      <c r="AJ25" s="54" t="e">
        <f ca="1">VLOOKUP(Tableau21[[#This Row],[Key(POD -PFI- Usine)]],'DATA Consignee'!A:F,6,FALSE)</f>
        <v>#N/A</v>
      </c>
      <c r="AK25" s="283" t="s">
        <v>161</v>
      </c>
      <c r="AL25" s="490">
        <f>IF(Tableau21[[#This Row],[Name PFI/CDD]]="","-",VLOOKUP(Tableau21[[#This Row],[Name PFI/CDD]],Plant_AILN!I:J,2,FALSE))</f>
        <v>91018400</v>
      </c>
      <c r="AM25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5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5" s="2" t="e">
        <f ca="1">VLOOKUP(Tableau21[[#This Row],[Key(POD -PFI- Usine)]],'DATA Consignee'!A:J,10,FALSE)</f>
        <v>#N/A</v>
      </c>
      <c r="AP25" s="50" t="e">
        <f ca="1">VLOOKUP(Tableau21[[#This Row],[Key(POD -PFI- Usine)]],'DATA Consignee'!A:N,14,FALSE)</f>
        <v>#N/A</v>
      </c>
      <c r="AQ2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5" s="50" t="e">
        <f ca="1">Tableau21[[#This Row],[Transit time]]+Tableau21[[#This Row],[Time for security]]+Tableau21[[#This Row],[Time for security2 buffer]]</f>
        <v>#N/A</v>
      </c>
      <c r="AT2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5" s="50" t="e">
        <f ca="1">Tableau21[[#This Row],[Leadtime SI2C]]+Tableau21[[#This Row],[First Receipt Days]]-Tableau21[[#This Row],[Day Customer Order]]+1</f>
        <v>#N/A</v>
      </c>
      <c r="AV25" s="117" t="e">
        <f ca="1">IF(Tableau21[[#This Row],[Name ILN]]&lt;&gt;"SFK Freight Forwarder",Tableau21[[#This Row],[Cust. Leadtime]],Tableau21[[#This Row],[Leadtime SI2C]])</f>
        <v>#N/A</v>
      </c>
      <c r="AW25" s="57"/>
      <c r="AX25" s="328" t="e">
        <f ca="1">IFERROR(VLOOKUP(Tableau21[[#This Row],[Key(ID-Next)]],'DATA BTO'!A:N,3,FALSE),VLOOKUP(Tableau21[[#This Row],[ID]],'DATA BTO'!B:N,2,FALSE))</f>
        <v>#N/A</v>
      </c>
      <c r="AY25" s="50" t="str">
        <f>IF(ISNUMBER(Tableau21[[#This Row],[Day Customer Order]]),"-","Please Check 'Name' information in 'Order' Sheet to make sure they have information")</f>
        <v>-</v>
      </c>
      <c r="AZ2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6" spans="2:55">
      <c r="B26" s="65" t="str">
        <f>_xlfn.CONCAT(Tableau21[[#This Row],[Name ILN]],"-",Tableau21[[#This Row],[Name Shipper]],"-",Tableau21[[#This Row],[Name Site]])</f>
        <v>NSL Shanghai-NSL Shanghai-CARROCERIAS</v>
      </c>
      <c r="C26" s="64" t="e">
        <f ca="1">_xlfn.CONCAT(Tableau21[[#This Row],[Compte ILN]],"-",Tableau21[[#This Row],[Compte Shipper]],"-",Tableau21[[#This Row],[POL]],"-",Tableau21[[#This Row],[Compte Site]])</f>
        <v>#N/A</v>
      </c>
      <c r="D26" s="64" t="e">
        <f ca="1">_xlfn.CONCAT(Tableau21[[#This Row],[Compte ILN]],"-",Tableau21[[#This Row],[Compte Shipper]],"-",Tableau21[[#This Row],[POL]])</f>
        <v>#N/A</v>
      </c>
      <c r="E26" s="128" t="e">
        <f ca="1">_xlfn.CONCAT(Tableau21[[#This Row],[POL]],"-",Tableau21[[#This Row],[Carrier]],"-",Tableau21[[#This Row],[POD]])</f>
        <v>#N/A</v>
      </c>
      <c r="F26" s="64" t="str">
        <f>_xlfn.CONCAT(Tableau21[[#This Row],[ID]],"-","Next")</f>
        <v>AE11-Next</v>
      </c>
      <c r="G26" s="64" t="e">
        <f ca="1">_xlfn.CONCAT(Tableau21[[#This Row],[POD]],"-",Tableau21[[#This Row],[Code PFI]],"-",Tableau21[[#This Row],[Compte Site]])</f>
        <v>#N/A</v>
      </c>
      <c r="H26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6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6" s="117" t="str">
        <f ca="1">IF(COUNTIF(I:I,Tableau21[[#This Row],[Plant-ILN-shipper-POL-Carrier-POD-PFI]])=1,"Non","Oui")</f>
        <v>Oui</v>
      </c>
      <c r="K26" s="126" t="str">
        <f>VLOOKUP(Tableau21[[#This Row],[Name Site]],Plant_AILN!A:D,4,FALSE)</f>
        <v>SPAIN</v>
      </c>
      <c r="L26" s="57" t="s">
        <v>214</v>
      </c>
      <c r="M26" s="481">
        <f>VLOOKUP(Tableau21[[#This Row],[Name Site]],Plant_AILN!A:C,3,FALSE)</f>
        <v>91017600</v>
      </c>
      <c r="N26" s="55">
        <f>VLOOKUP(Tableau21[[#This Row],[Compte Site]],Order!C:D,2,FALSE)</f>
        <v>7</v>
      </c>
      <c r="O26" s="124" t="s">
        <v>193</v>
      </c>
      <c r="P26" s="481">
        <f>VLOOKUP(Tableau21[[#This Row],[Name ILN]],Plant_AILN!F:G,2,FALSE)</f>
        <v>27261102</v>
      </c>
      <c r="Q26" s="50">
        <f>VLOOKUP(Tableau21[[#This Row],[Compte ILN]],'DATA ILN'!D:I,6,FALSE)</f>
        <v>16</v>
      </c>
      <c r="R26" s="50" t="e">
        <f ca="1">IFERROR(VLOOKUP(Tableau21[[#This Row],[Key(Compte ILN - shipper - POL - plant)]],'DATA ILN'!A:J,10,FALSE),VLOOKUP(Tableau21[[#This Row],[Key(Compte ILN - shipper - POL)]],'DATA ILN'!B:J,9,FALSE))</f>
        <v>#N/A</v>
      </c>
      <c r="S2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6" s="50" t="e">
        <f ca="1">Tableau21[[#This Row],[Day ILN Order]]+Tableau21[[#This Row],[Delivery time to ILN/Shipper]]-1</f>
        <v>#N/A</v>
      </c>
      <c r="V2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6" s="349" t="s">
        <v>193</v>
      </c>
      <c r="Y26" s="494">
        <f>IFERROR(VLOOKUP(Tableau21[[#This Row],[Name Shipper]],Plant_AILN!L:M,2,FALSE),0)</f>
        <v>27261102</v>
      </c>
      <c r="Z26" s="103" t="s">
        <v>198</v>
      </c>
      <c r="AA26" s="353" t="e">
        <f ca="1">IFERROR(VLOOKUP(Tableau21[[#This Row],[Key(ID-Next)]],'DATA BTO'!A:N,5,FALSE),VLOOKUP(_xlfn.CONCAT(Tableau21[[#This Row],[ID]],"-","Actif"),'DATA BTO'!A:N,5,FALSE))</f>
        <v>#N/A</v>
      </c>
      <c r="AB26" s="3" t="e">
        <f ca="1">IFERROR(VLOOKUP(Tableau21[[#This Row],[Key(ID-Next)]],'DATA BTO'!A:N,6,FALSE),VLOOKUP(_xlfn.CONCAT(Tableau21[[#This Row],[ID]],"-","Actif"),'DATA BTO'!A:N,6,FALSE))</f>
        <v>#N/A</v>
      </c>
      <c r="AC26" s="50" t="e">
        <f ca="1">IFERROR(VLOOKUP(Tableau21[[#This Row],[Key(ID-Next)]],'DATA BTO'!A:N,7,FALSE),VLOOKUP(_xlfn.CONCAT(Tableau21[[#This Row],[ID]],"-","Actif"),'DATA BTO'!A:N,7,FALSE))</f>
        <v>#N/A</v>
      </c>
      <c r="AD26" s="50" t="e">
        <f ca="1">IFERROR(VLOOKUP(Tableau21[[#This Row],[Key(ID-Next)]],'DATA BTO'!A:N,8,FALSE),VLOOKUP(_xlfn.CONCAT(Tableau21[[#This Row],[ID]],"-","Actif"),'DATA BTO'!A:N,8,FALSE))</f>
        <v>#N/A</v>
      </c>
      <c r="AE26" s="50" t="e">
        <f ca="1">IFERROR(VLOOKUP(Tableau21[[#This Row],[Key(ID-Next)]],'DATA BTO'!A:N,9,FALSE),VLOOKUP(_xlfn.CONCAT(Tableau21[[#This Row],[ID]],"-","Actif"),'DATA BTO'!A:N,9,FALSE))</f>
        <v>#N/A</v>
      </c>
      <c r="AF26" s="3" t="e">
        <f ca="1">IFERROR(VLOOKUP(Tableau21[[#This Row],[Key(ID-Next)]],'DATA BTO'!A:N,10,FALSE),VLOOKUP(_xlfn.CONCAT(Tableau21[[#This Row],[ID]],"-","Actif"),'DATA BTO'!A:N,10,FALSE))</f>
        <v>#N/A</v>
      </c>
      <c r="AG26" s="3" t="e">
        <f ca="1">IFERROR(VLOOKUP(Tableau21[[#This Row],[Key(ID-Next)]],'DATA BTO'!A:N,11,FALSE),VLOOKUP(_xlfn.CONCAT(Tableau21[[#This Row],[ID]],"-","Actif"),'DATA BTO'!A:N,11,FALSE))</f>
        <v>#N/A</v>
      </c>
      <c r="AH26" s="50" t="e">
        <f ca="1">IFERROR(VLOOKUP(Tableau21[[#This Row],[Key(ID-Next)]],'DATA BTO'!A:N,12,FALSE),VLOOKUP(_xlfn.CONCAT(Tableau21[[#This Row],[ID]],"-","Actif"),'DATA BTO'!A:N,12,FALSE))</f>
        <v>#N/A</v>
      </c>
      <c r="AI26" s="53" t="e">
        <f ca="1">IFERROR(VLOOKUP(Tableau21[[#This Row],[Key(ID-Next)]],'DATA BTO'!A:N,14,FALSE),VLOOKUP(_xlfn.CONCAT(Tableau21[[#This Row],[ID]],"-","Actif"),'DATA BTO'!A:N,14,FALSE))</f>
        <v>#N/A</v>
      </c>
      <c r="AJ26" s="54" t="e">
        <f ca="1">VLOOKUP(Tableau21[[#This Row],[Key(POD -PFI- Usine)]],'DATA Consignee'!A:F,6,FALSE)</f>
        <v>#N/A</v>
      </c>
      <c r="AK26" s="283" t="s">
        <v>166</v>
      </c>
      <c r="AL26" s="490">
        <f>IF(Tableau21[[#This Row],[Name PFI/CDD]]="","-",VLOOKUP(Tableau21[[#This Row],[Name PFI/CDD]],Plant_AILN!I:J,2,FALSE))</f>
        <v>91018400</v>
      </c>
      <c r="AM26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26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26" s="2" t="e">
        <f ca="1">VLOOKUP(Tableau21[[#This Row],[Key(POD -PFI- Usine)]],'DATA Consignee'!A:J,10,FALSE)</f>
        <v>#N/A</v>
      </c>
      <c r="AP26" s="50" t="e">
        <f ca="1">VLOOKUP(Tableau21[[#This Row],[Key(POD -PFI- Usine)]],'DATA Consignee'!A:N,14,FALSE)</f>
        <v>#N/A</v>
      </c>
      <c r="AQ2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6" s="50" t="e">
        <f ca="1">Tableau21[[#This Row],[Transit time]]+Tableau21[[#This Row],[Time for security]]+Tableau21[[#This Row],[Time for security2 buffer]]</f>
        <v>#N/A</v>
      </c>
      <c r="AT2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6" s="50" t="e">
        <f ca="1">Tableau21[[#This Row],[Leadtime SI2C]]+Tableau21[[#This Row],[First Receipt Days]]-Tableau21[[#This Row],[Day Customer Order]]+1</f>
        <v>#N/A</v>
      </c>
      <c r="AV26" s="117" t="e">
        <f ca="1">IF(Tableau21[[#This Row],[Name ILN]]&lt;&gt;"SFK Freight Forwarder",Tableau21[[#This Row],[Cust. Leadtime]],Tableau21[[#This Row],[Leadtime SI2C]])</f>
        <v>#N/A</v>
      </c>
      <c r="AW26" s="57"/>
      <c r="AX26" s="328" t="e">
        <f ca="1">IFERROR(VLOOKUP(Tableau21[[#This Row],[Key(ID-Next)]],'DATA BTO'!A:N,3,FALSE),VLOOKUP(Tableau21[[#This Row],[ID]],'DATA BTO'!B:N,2,FALSE))</f>
        <v>#N/A</v>
      </c>
      <c r="AY26" s="50" t="str">
        <f>IF(ISNUMBER(Tableau21[[#This Row],[Day Customer Order]]),"-","Please Check 'Name' information in 'Order' Sheet to make sure they have information")</f>
        <v>-</v>
      </c>
      <c r="AZ2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7" spans="2:55">
      <c r="B27" s="65" t="str">
        <f>_xlfn.CONCAT(Tableau21[[#This Row],[Name ILN]],"-",Tableau21[[#This Row],[Name Shipper]],"-",Tableau21[[#This Row],[Name Site]])</f>
        <v>NSL Shanghai-NSL Shanghai-RM MIOVENI</v>
      </c>
      <c r="C27" s="64" t="e">
        <f ca="1">_xlfn.CONCAT(Tableau21[[#This Row],[Compte ILN]],"-",Tableau21[[#This Row],[Compte Shipper]],"-",Tableau21[[#This Row],[POL]],"-",Tableau21[[#This Row],[Compte Site]])</f>
        <v>#N/A</v>
      </c>
      <c r="D27" s="64" t="e">
        <f ca="1">_xlfn.CONCAT(Tableau21[[#This Row],[Compte ILN]],"-",Tableau21[[#This Row],[Compte Shipper]],"-",Tableau21[[#This Row],[POL]])</f>
        <v>#N/A</v>
      </c>
      <c r="E27" s="128" t="e">
        <f ca="1">_xlfn.CONCAT(Tableau21[[#This Row],[POL]],"-",Tableau21[[#This Row],[Carrier]],"-",Tableau21[[#This Row],[POD]])</f>
        <v>#N/A</v>
      </c>
      <c r="F27" s="64" t="str">
        <f>_xlfn.CONCAT(Tableau21[[#This Row],[ID]],"-","Next")</f>
        <v>-Next</v>
      </c>
      <c r="G27" s="64" t="e">
        <f ca="1">_xlfn.CONCAT(Tableau21[[#This Row],[POD]],"-",Tableau21[[#This Row],[Code PFI]],"-",Tableau21[[#This Row],[Compte Site]])</f>
        <v>#N/A</v>
      </c>
      <c r="H27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7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7" s="117" t="str">
        <f ca="1">IF(COUNTIF(I:I,Tableau21[[#This Row],[Plant-ILN-shipper-POL-Carrier-POD-PFI]])=1,"Non","Oui")</f>
        <v>Oui</v>
      </c>
      <c r="K27" s="126" t="str">
        <f>VLOOKUP(Tableau21[[#This Row],[Name Site]],Plant_AILN!A:D,4,FALSE)</f>
        <v>ROMANIA</v>
      </c>
      <c r="L27" s="57" t="s">
        <v>215</v>
      </c>
      <c r="M27" s="481">
        <f>VLOOKUP(Tableau21[[#This Row],[Name Site]],Plant_AILN!A:C,3,FALSE)</f>
        <v>90012300</v>
      </c>
      <c r="N27" s="55">
        <f>VLOOKUP(Tableau21[[#This Row],[Compte Site]],Order!C:D,2,FALSE)</f>
        <v>7</v>
      </c>
      <c r="O27" s="124" t="s">
        <v>193</v>
      </c>
      <c r="P27" s="481">
        <f>VLOOKUP(Tableau21[[#This Row],[Name ILN]],Plant_AILN!F:G,2,FALSE)</f>
        <v>27261102</v>
      </c>
      <c r="Q27" s="50">
        <f>VLOOKUP(Tableau21[[#This Row],[Compte ILN]],'DATA ILN'!D:I,6,FALSE)</f>
        <v>16</v>
      </c>
      <c r="R27" s="50" t="e">
        <f ca="1">IFERROR(VLOOKUP(Tableau21[[#This Row],[Key(Compte ILN - shipper - POL - plant)]],'DATA ILN'!A:J,10,FALSE),VLOOKUP(Tableau21[[#This Row],[Key(Compte ILN - shipper - POL)]],'DATA ILN'!B:J,9,FALSE))</f>
        <v>#N/A</v>
      </c>
      <c r="S27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7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7" s="50" t="e">
        <f ca="1">Tableau21[[#This Row],[Day ILN Order]]+Tableau21[[#This Row],[Delivery time to ILN/Shipper]]-1</f>
        <v>#N/A</v>
      </c>
      <c r="V27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7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7" s="349" t="s">
        <v>193</v>
      </c>
      <c r="Y27" s="494">
        <f>IFERROR(VLOOKUP(Tableau21[[#This Row],[Name Shipper]],Plant_AILN!L:M,2,FALSE),0)</f>
        <v>27261102</v>
      </c>
      <c r="Z27" s="52"/>
      <c r="AA27" s="353" t="e">
        <f ca="1">IFERROR(VLOOKUP(Tableau21[[#This Row],[Key(ID-Next)]],'DATA BTO'!A:N,5,FALSE),VLOOKUP(_xlfn.CONCAT(Tableau21[[#This Row],[ID]],"-","Actif"),'DATA BTO'!A:N,5,FALSE))</f>
        <v>#N/A</v>
      </c>
      <c r="AB27" s="3" t="e">
        <f ca="1">IFERROR(VLOOKUP(Tableau21[[#This Row],[Key(ID-Next)]],'DATA BTO'!A:N,6,FALSE),VLOOKUP(_xlfn.CONCAT(Tableau21[[#This Row],[ID]],"-","Actif"),'DATA BTO'!A:N,6,FALSE))</f>
        <v>#N/A</v>
      </c>
      <c r="AC27" s="50" t="e">
        <f ca="1">IFERROR(VLOOKUP(Tableau21[[#This Row],[Key(ID-Next)]],'DATA BTO'!A:N,7,FALSE),VLOOKUP(_xlfn.CONCAT(Tableau21[[#This Row],[ID]],"-","Actif"),'DATA BTO'!A:N,7,FALSE))</f>
        <v>#N/A</v>
      </c>
      <c r="AD27" s="50" t="e">
        <f ca="1">IFERROR(VLOOKUP(Tableau21[[#This Row],[Key(ID-Next)]],'DATA BTO'!A:N,8,FALSE),VLOOKUP(_xlfn.CONCAT(Tableau21[[#This Row],[ID]],"-","Actif"),'DATA BTO'!A:N,8,FALSE))</f>
        <v>#N/A</v>
      </c>
      <c r="AE27" s="50" t="e">
        <f ca="1">IFERROR(VLOOKUP(Tableau21[[#This Row],[Key(ID-Next)]],'DATA BTO'!A:N,9,FALSE),VLOOKUP(_xlfn.CONCAT(Tableau21[[#This Row],[ID]],"-","Actif"),'DATA BTO'!A:N,9,FALSE))</f>
        <v>#N/A</v>
      </c>
      <c r="AF27" s="3" t="e">
        <f ca="1">IFERROR(VLOOKUP(Tableau21[[#This Row],[Key(ID-Next)]],'DATA BTO'!A:N,10,FALSE),VLOOKUP(_xlfn.CONCAT(Tableau21[[#This Row],[ID]],"-","Actif"),'DATA BTO'!A:N,10,FALSE))</f>
        <v>#N/A</v>
      </c>
      <c r="AG27" s="3" t="e">
        <f ca="1">IFERROR(VLOOKUP(Tableau21[[#This Row],[Key(ID-Next)]],'DATA BTO'!A:N,11,FALSE),VLOOKUP(_xlfn.CONCAT(Tableau21[[#This Row],[ID]],"-","Actif"),'DATA BTO'!A:N,11,FALSE))</f>
        <v>#N/A</v>
      </c>
      <c r="AH27" s="50" t="e">
        <f ca="1">IFERROR(VLOOKUP(Tableau21[[#This Row],[Key(ID-Next)]],'DATA BTO'!A:N,12,FALSE),VLOOKUP(_xlfn.CONCAT(Tableau21[[#This Row],[ID]],"-","Actif"),'DATA BTO'!A:N,12,FALSE))</f>
        <v>#N/A</v>
      </c>
      <c r="AI27" s="53" t="e">
        <f ca="1">IFERROR(VLOOKUP(Tableau21[[#This Row],[Key(ID-Next)]],'DATA BTO'!A:N,14,FALSE),VLOOKUP(_xlfn.CONCAT(Tableau21[[#This Row],[ID]],"-","Actif"),'DATA BTO'!A:N,14,FALSE))</f>
        <v>#N/A</v>
      </c>
      <c r="AJ27" s="54" t="e">
        <f ca="1">VLOOKUP(Tableau21[[#This Row],[Key(POD -PFI- Usine)]],'DATA Consignee'!A:F,6,FALSE)</f>
        <v>#N/A</v>
      </c>
      <c r="AK27" s="283"/>
      <c r="AL27" s="490" t="str">
        <f>IF(Tableau21[[#This Row],[Name PFI/CDD]]="","-",VLOOKUP(Tableau21[[#This Row],[Name PFI/CDD]],Plant_AILN!I:J,2,FALSE))</f>
        <v>-</v>
      </c>
      <c r="AM27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7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7" s="2" t="e">
        <f ca="1">VLOOKUP(Tableau21[[#This Row],[Key(POD -PFI- Usine)]],'DATA Consignee'!A:J,10,FALSE)</f>
        <v>#N/A</v>
      </c>
      <c r="AP27" s="50" t="e">
        <f ca="1">VLOOKUP(Tableau21[[#This Row],[Key(POD -PFI- Usine)]],'DATA Consignee'!A:N,14,FALSE)</f>
        <v>#N/A</v>
      </c>
      <c r="AQ27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7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7" s="50" t="e">
        <f ca="1">Tableau21[[#This Row],[Transit time]]+Tableau21[[#This Row],[Time for security]]+Tableau21[[#This Row],[Time for security2 buffer]]</f>
        <v>#N/A</v>
      </c>
      <c r="AT27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7" s="50" t="e">
        <f ca="1">Tableau21[[#This Row],[Leadtime SI2C]]+Tableau21[[#This Row],[First Receipt Days]]-Tableau21[[#This Row],[Day Customer Order]]+1</f>
        <v>#N/A</v>
      </c>
      <c r="AV27" s="117" t="e">
        <f ca="1">IF(Tableau21[[#This Row],[Name ILN]]&lt;&gt;"SFK Freight Forwarder",Tableau21[[#This Row],[Cust. Leadtime]],Tableau21[[#This Row],[Leadtime SI2C]])</f>
        <v>#N/A</v>
      </c>
      <c r="AW27" s="57" t="s">
        <v>216</v>
      </c>
      <c r="AX27" s="328" t="e">
        <f ca="1">IFERROR(VLOOKUP(Tableau21[[#This Row],[Key(ID-Next)]],'DATA BTO'!A:N,3,FALSE),VLOOKUP(Tableau21[[#This Row],[ID]],'DATA BTO'!B:N,2,FALSE))</f>
        <v>#N/A</v>
      </c>
      <c r="AY27" s="50" t="str">
        <f>IF(ISNUMBER(Tableau21[[#This Row],[Day Customer Order]]),"-","Please Check 'Name' information in 'Order' Sheet to make sure they have information")</f>
        <v>-</v>
      </c>
      <c r="AZ27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7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7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7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8" spans="2:55">
      <c r="B28" s="65" t="str">
        <f>_xlfn.CONCAT(Tableau21[[#This Row],[Name ILN]],"-",Tableau21[[#This Row],[Name Shipper]],"-",Tableau21[[#This Row],[Name Site]])</f>
        <v>NSL Shanghai-NSL Shanghai-DACIA MONT</v>
      </c>
      <c r="C28" s="64" t="e">
        <f ca="1">_xlfn.CONCAT(Tableau21[[#This Row],[Compte ILN]],"-",Tableau21[[#This Row],[Compte Shipper]],"-",Tableau21[[#This Row],[POL]],"-",Tableau21[[#This Row],[Compte Site]])</f>
        <v>#N/A</v>
      </c>
      <c r="D28" s="64" t="e">
        <f ca="1">_xlfn.CONCAT(Tableau21[[#This Row],[Compte ILN]],"-",Tableau21[[#This Row],[Compte Shipper]],"-",Tableau21[[#This Row],[POL]])</f>
        <v>#N/A</v>
      </c>
      <c r="E28" s="128" t="e">
        <f ca="1">_xlfn.CONCAT(Tableau21[[#This Row],[POL]],"-",Tableau21[[#This Row],[Carrier]],"-",Tableau21[[#This Row],[POD]])</f>
        <v>#N/A</v>
      </c>
      <c r="F28" s="64" t="str">
        <f>_xlfn.CONCAT(Tableau21[[#This Row],[ID]],"-","Next")</f>
        <v>-Next</v>
      </c>
      <c r="G28" s="64" t="e">
        <f ca="1">_xlfn.CONCAT(Tableau21[[#This Row],[POD]],"-",Tableau21[[#This Row],[Code PFI]],"-",Tableau21[[#This Row],[Compte Site]])</f>
        <v>#N/A</v>
      </c>
      <c r="H28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8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8" s="117" t="str">
        <f ca="1">IF(COUNTIF(I:I,Tableau21[[#This Row],[Plant-ILN-shipper-POL-Carrier-POD-PFI]])=1,"Non","Oui")</f>
        <v>Oui</v>
      </c>
      <c r="K28" s="126" t="str">
        <f>VLOOKUP(Tableau21[[#This Row],[Name Site]],Plant_AILN!A:D,4,FALSE)</f>
        <v>ROMANIA</v>
      </c>
      <c r="L28" s="57" t="s">
        <v>180</v>
      </c>
      <c r="M28" s="481">
        <f>VLOOKUP(Tableau21[[#This Row],[Name Site]],Plant_AILN!A:C,3,FALSE)</f>
        <v>90016800</v>
      </c>
      <c r="N28" s="55">
        <f>VLOOKUP(Tableau21[[#This Row],[Compte Site]],Order!C:D,2,FALSE)</f>
        <v>7</v>
      </c>
      <c r="O28" s="124" t="s">
        <v>193</v>
      </c>
      <c r="P28" s="481">
        <f>VLOOKUP(Tableau21[[#This Row],[Name ILN]],Plant_AILN!F:G,2,FALSE)</f>
        <v>27261102</v>
      </c>
      <c r="Q28" s="50">
        <f>VLOOKUP(Tableau21[[#This Row],[Compte ILN]],'DATA ILN'!D:I,6,FALSE)</f>
        <v>16</v>
      </c>
      <c r="R28" s="50" t="e">
        <f ca="1">IFERROR(VLOOKUP(Tableau21[[#This Row],[Key(Compte ILN - shipper - POL - plant)]],'DATA ILN'!A:J,10,FALSE),VLOOKUP(Tableau21[[#This Row],[Key(Compte ILN - shipper - POL)]],'DATA ILN'!B:J,9,FALSE))</f>
        <v>#N/A</v>
      </c>
      <c r="S28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8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8" s="50" t="e">
        <f ca="1">Tableau21[[#This Row],[Day ILN Order]]+Tableau21[[#This Row],[Delivery time to ILN/Shipper]]-1</f>
        <v>#N/A</v>
      </c>
      <c r="V28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8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8" s="349" t="s">
        <v>193</v>
      </c>
      <c r="Y28" s="494">
        <f>IFERROR(VLOOKUP(Tableau21[[#This Row],[Name Shipper]],Plant_AILN!L:M,2,FALSE),0)</f>
        <v>27261102</v>
      </c>
      <c r="Z28" s="52"/>
      <c r="AA28" s="353" t="e">
        <f ca="1">IFERROR(VLOOKUP(Tableau21[[#This Row],[Key(ID-Next)]],'DATA BTO'!A:N,5,FALSE),VLOOKUP(_xlfn.CONCAT(Tableau21[[#This Row],[ID]],"-","Actif"),'DATA BTO'!A:N,5,FALSE))</f>
        <v>#N/A</v>
      </c>
      <c r="AB28" s="3" t="e">
        <f ca="1">IFERROR(VLOOKUP(Tableau21[[#This Row],[Key(ID-Next)]],'DATA BTO'!A:N,6,FALSE),VLOOKUP(_xlfn.CONCAT(Tableau21[[#This Row],[ID]],"-","Actif"),'DATA BTO'!A:N,6,FALSE))</f>
        <v>#N/A</v>
      </c>
      <c r="AC28" s="50" t="e">
        <f ca="1">IFERROR(VLOOKUP(Tableau21[[#This Row],[Key(ID-Next)]],'DATA BTO'!A:N,7,FALSE),VLOOKUP(_xlfn.CONCAT(Tableau21[[#This Row],[ID]],"-","Actif"),'DATA BTO'!A:N,7,FALSE))</f>
        <v>#N/A</v>
      </c>
      <c r="AD28" s="50" t="e">
        <f ca="1">IFERROR(VLOOKUP(Tableau21[[#This Row],[Key(ID-Next)]],'DATA BTO'!A:N,8,FALSE),VLOOKUP(_xlfn.CONCAT(Tableau21[[#This Row],[ID]],"-","Actif"),'DATA BTO'!A:N,8,FALSE))</f>
        <v>#N/A</v>
      </c>
      <c r="AE28" s="50" t="e">
        <f ca="1">IFERROR(VLOOKUP(Tableau21[[#This Row],[Key(ID-Next)]],'DATA BTO'!A:N,9,FALSE),VLOOKUP(_xlfn.CONCAT(Tableau21[[#This Row],[ID]],"-","Actif"),'DATA BTO'!A:N,9,FALSE))</f>
        <v>#N/A</v>
      </c>
      <c r="AF28" s="3" t="e">
        <f ca="1">IFERROR(VLOOKUP(Tableau21[[#This Row],[Key(ID-Next)]],'DATA BTO'!A:N,10,FALSE),VLOOKUP(_xlfn.CONCAT(Tableau21[[#This Row],[ID]],"-","Actif"),'DATA BTO'!A:N,10,FALSE))</f>
        <v>#N/A</v>
      </c>
      <c r="AG28" s="3" t="e">
        <f ca="1">IFERROR(VLOOKUP(Tableau21[[#This Row],[Key(ID-Next)]],'DATA BTO'!A:N,11,FALSE),VLOOKUP(_xlfn.CONCAT(Tableau21[[#This Row],[ID]],"-","Actif"),'DATA BTO'!A:N,11,FALSE))</f>
        <v>#N/A</v>
      </c>
      <c r="AH28" s="50" t="e">
        <f ca="1">IFERROR(VLOOKUP(Tableau21[[#This Row],[Key(ID-Next)]],'DATA BTO'!A:N,12,FALSE),VLOOKUP(_xlfn.CONCAT(Tableau21[[#This Row],[ID]],"-","Actif"),'DATA BTO'!A:N,12,FALSE))</f>
        <v>#N/A</v>
      </c>
      <c r="AI28" s="53" t="e">
        <f ca="1">IFERROR(VLOOKUP(Tableau21[[#This Row],[Key(ID-Next)]],'DATA BTO'!A:N,14,FALSE),VLOOKUP(_xlfn.CONCAT(Tableau21[[#This Row],[ID]],"-","Actif"),'DATA BTO'!A:N,14,FALSE))</f>
        <v>#N/A</v>
      </c>
      <c r="AJ28" s="54" t="e">
        <f ca="1">VLOOKUP(Tableau21[[#This Row],[Key(POD -PFI- Usine)]],'DATA Consignee'!A:F,6,FALSE)</f>
        <v>#N/A</v>
      </c>
      <c r="AK28" s="283"/>
      <c r="AL28" s="490" t="str">
        <f>IF(Tableau21[[#This Row],[Name PFI/CDD]]="","-",VLOOKUP(Tableau21[[#This Row],[Name PFI/CDD]],Plant_AILN!I:J,2,FALSE))</f>
        <v>-</v>
      </c>
      <c r="AM28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8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8" s="2" t="e">
        <f ca="1">VLOOKUP(Tableau21[[#This Row],[Key(POD -PFI- Usine)]],'DATA Consignee'!A:J,10,FALSE)</f>
        <v>#N/A</v>
      </c>
      <c r="AP28" s="50" t="e">
        <f ca="1">VLOOKUP(Tableau21[[#This Row],[Key(POD -PFI- Usine)]],'DATA Consignee'!A:N,14,FALSE)</f>
        <v>#N/A</v>
      </c>
      <c r="AQ28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8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8" s="50" t="e">
        <f ca="1">Tableau21[[#This Row],[Transit time]]+Tableau21[[#This Row],[Time for security]]+Tableau21[[#This Row],[Time for security2 buffer]]</f>
        <v>#N/A</v>
      </c>
      <c r="AT28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8" s="50" t="e">
        <f ca="1">Tableau21[[#This Row],[Leadtime SI2C]]+Tableau21[[#This Row],[First Receipt Days]]-Tableau21[[#This Row],[Day Customer Order]]+1</f>
        <v>#N/A</v>
      </c>
      <c r="AV28" s="117" t="e">
        <f ca="1">IF(Tableau21[[#This Row],[Name ILN]]&lt;&gt;"SFK Freight Forwarder",Tableau21[[#This Row],[Cust. Leadtime]],Tableau21[[#This Row],[Leadtime SI2C]])</f>
        <v>#N/A</v>
      </c>
      <c r="AW28" s="57" t="s">
        <v>216</v>
      </c>
      <c r="AX28" s="328" t="e">
        <f ca="1">IFERROR(VLOOKUP(Tableau21[[#This Row],[Key(ID-Next)]],'DATA BTO'!A:N,3,FALSE),VLOOKUP(Tableau21[[#This Row],[ID]],'DATA BTO'!B:N,2,FALSE))</f>
        <v>#N/A</v>
      </c>
      <c r="AY28" s="50" t="str">
        <f>IF(ISNUMBER(Tableau21[[#This Row],[Day Customer Order]]),"-","Please Check 'Name' information in 'Order' Sheet to make sure they have information")</f>
        <v>-</v>
      </c>
      <c r="AZ28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8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8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8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29" spans="2:55">
      <c r="B29" s="65" t="str">
        <f>_xlfn.CONCAT(Tableau21[[#This Row],[Name ILN]],"-",Tableau21[[#This Row],[Name Shipper]],"-",Tableau21[[#This Row],[Name Site]])</f>
        <v>NSL Shanghai-NSL Shanghai-DACIA MECA</v>
      </c>
      <c r="C29" s="64" t="e">
        <f ca="1">_xlfn.CONCAT(Tableau21[[#This Row],[Compte ILN]],"-",Tableau21[[#This Row],[Compte Shipper]],"-",Tableau21[[#This Row],[POL]],"-",Tableau21[[#This Row],[Compte Site]])</f>
        <v>#N/A</v>
      </c>
      <c r="D29" s="64" t="e">
        <f ca="1">_xlfn.CONCAT(Tableau21[[#This Row],[Compte ILN]],"-",Tableau21[[#This Row],[Compte Shipper]],"-",Tableau21[[#This Row],[POL]])</f>
        <v>#N/A</v>
      </c>
      <c r="E29" s="128" t="e">
        <f ca="1">_xlfn.CONCAT(Tableau21[[#This Row],[POL]],"-",Tableau21[[#This Row],[Carrier]],"-",Tableau21[[#This Row],[POD]])</f>
        <v>#N/A</v>
      </c>
      <c r="F29" s="64" t="str">
        <f>_xlfn.CONCAT(Tableau21[[#This Row],[ID]],"-","Next")</f>
        <v>-Next</v>
      </c>
      <c r="G29" s="64" t="e">
        <f ca="1">_xlfn.CONCAT(Tableau21[[#This Row],[POD]],"-",Tableau21[[#This Row],[Code PFI]],"-",Tableau21[[#This Row],[Compte Site]])</f>
        <v>#N/A</v>
      </c>
      <c r="H29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29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29" s="117" t="str">
        <f ca="1">IF(COUNTIF(I:I,Tableau21[[#This Row],[Plant-ILN-shipper-POL-Carrier-POD-PFI]])=1,"Non","Oui")</f>
        <v>Oui</v>
      </c>
      <c r="K29" s="126" t="str">
        <f>VLOOKUP(Tableau21[[#This Row],[Name Site]],Plant_AILN!A:D,4,FALSE)</f>
        <v>ROMANIA</v>
      </c>
      <c r="L29" s="57" t="s">
        <v>156</v>
      </c>
      <c r="M29" s="481">
        <f>VLOOKUP(Tableau21[[#This Row],[Name Site]],Plant_AILN!A:C,3,FALSE)</f>
        <v>90012500</v>
      </c>
      <c r="N29" s="55">
        <f>VLOOKUP(Tableau21[[#This Row],[Compte Site]],Order!C:D,2,FALSE)</f>
        <v>7</v>
      </c>
      <c r="O29" s="124" t="s">
        <v>193</v>
      </c>
      <c r="P29" s="481">
        <f>VLOOKUP(Tableau21[[#This Row],[Name ILN]],Plant_AILN!F:G,2,FALSE)</f>
        <v>27261102</v>
      </c>
      <c r="Q29" s="50">
        <f>VLOOKUP(Tableau21[[#This Row],[Compte ILN]],'DATA ILN'!D:I,6,FALSE)</f>
        <v>16</v>
      </c>
      <c r="R29" s="50" t="e">
        <f ca="1">IFERROR(VLOOKUP(Tableau21[[#This Row],[Key(Compte ILN - shipper - POL - plant)]],'DATA ILN'!A:J,10,FALSE),VLOOKUP(Tableau21[[#This Row],[Key(Compte ILN - shipper - POL)]],'DATA ILN'!B:J,9,FALSE))</f>
        <v>#N/A</v>
      </c>
      <c r="S29" s="50" t="e">
        <f ca="1">IFERROR(VLOOKUP(Tableau21[[#This Row],[Key(Compte ILN - shipper - POL - plant)]],'DATA ILN'!A:K,11,FALSE),VLOOKUP(Tableau21[[#This Row],[Key(Compte ILN - shipper - POL)]],'DATA ILN'!B:K,10,FALSE))</f>
        <v>#N/A</v>
      </c>
      <c r="T29" s="50" t="e">
        <f ca="1">IFERROR(VLOOKUP(Tableau21[[#This Row],[Key(Compte ILN - shipper - POL - plant)]],'DATA ILN'!A:L,12,FALSE),VLOOKUP(Tableau21[[#This Row],[Key(Compte ILN - shipper - POL)]],'DATA ILN'!B:L,11,FALSE))</f>
        <v>#N/A</v>
      </c>
      <c r="U29" s="50" t="e">
        <f ca="1">Tableau21[[#This Row],[Day ILN Order]]+Tableau21[[#This Row],[Delivery time to ILN/Shipper]]-1</f>
        <v>#N/A</v>
      </c>
      <c r="V29" s="50" t="e">
        <f ca="1">IFERROR(VLOOKUP(Tableau21[[#This Row],[Key(Compte ILN - shipper - POL - plant)]],'DATA ILN'!A:N,14,FALSE),VLOOKUP(Tableau21[[#This Row],[Key(Compte ILN - shipper - POL)]],'DATA ILN'!B:N,13,FALSE))</f>
        <v>#N/A</v>
      </c>
      <c r="W29" s="53" t="e">
        <f ca="1">IFERROR(VLOOKUP(Tableau21[[#This Row],[Key(Compte ILN - shipper - POL - plant)]],'DATA ILN'!A:P,16,FALSE),VLOOKUP(Tableau21[[#This Row],[Key(Compte ILN - shipper - POL)]],'DATA ILN'!B:P,15,FALSE))</f>
        <v>#N/A</v>
      </c>
      <c r="X29" s="349" t="s">
        <v>193</v>
      </c>
      <c r="Y29" s="494">
        <f>IFERROR(VLOOKUP(Tableau21[[#This Row],[Name Shipper]],Plant_AILN!L:M,2,FALSE),0)</f>
        <v>27261102</v>
      </c>
      <c r="Z29" s="52"/>
      <c r="AA29" s="353" t="e">
        <f ca="1">IFERROR(VLOOKUP(Tableau21[[#This Row],[Key(ID-Next)]],'DATA BTO'!A:N,5,FALSE),VLOOKUP(_xlfn.CONCAT(Tableau21[[#This Row],[ID]],"-","Actif"),'DATA BTO'!A:N,5,FALSE))</f>
        <v>#N/A</v>
      </c>
      <c r="AB29" s="3" t="e">
        <f ca="1">IFERROR(VLOOKUP(Tableau21[[#This Row],[Key(ID-Next)]],'DATA BTO'!A:N,6,FALSE),VLOOKUP(_xlfn.CONCAT(Tableau21[[#This Row],[ID]],"-","Actif"),'DATA BTO'!A:N,6,FALSE))</f>
        <v>#N/A</v>
      </c>
      <c r="AC29" s="50" t="e">
        <f ca="1">IFERROR(VLOOKUP(Tableau21[[#This Row],[Key(ID-Next)]],'DATA BTO'!A:N,7,FALSE),VLOOKUP(_xlfn.CONCAT(Tableau21[[#This Row],[ID]],"-","Actif"),'DATA BTO'!A:N,7,FALSE))</f>
        <v>#N/A</v>
      </c>
      <c r="AD29" s="50" t="e">
        <f ca="1">IFERROR(VLOOKUP(Tableau21[[#This Row],[Key(ID-Next)]],'DATA BTO'!A:N,8,FALSE),VLOOKUP(_xlfn.CONCAT(Tableau21[[#This Row],[ID]],"-","Actif"),'DATA BTO'!A:N,8,FALSE))</f>
        <v>#N/A</v>
      </c>
      <c r="AE29" s="50" t="e">
        <f ca="1">IFERROR(VLOOKUP(Tableau21[[#This Row],[Key(ID-Next)]],'DATA BTO'!A:N,9,FALSE),VLOOKUP(_xlfn.CONCAT(Tableau21[[#This Row],[ID]],"-","Actif"),'DATA BTO'!A:N,9,FALSE))</f>
        <v>#N/A</v>
      </c>
      <c r="AF29" s="3" t="e">
        <f ca="1">IFERROR(VLOOKUP(Tableau21[[#This Row],[Key(ID-Next)]],'DATA BTO'!A:N,10,FALSE),VLOOKUP(_xlfn.CONCAT(Tableau21[[#This Row],[ID]],"-","Actif"),'DATA BTO'!A:N,10,FALSE))</f>
        <v>#N/A</v>
      </c>
      <c r="AG29" s="3" t="e">
        <f ca="1">IFERROR(VLOOKUP(Tableau21[[#This Row],[Key(ID-Next)]],'DATA BTO'!A:N,11,FALSE),VLOOKUP(_xlfn.CONCAT(Tableau21[[#This Row],[ID]],"-","Actif"),'DATA BTO'!A:N,11,FALSE))</f>
        <v>#N/A</v>
      </c>
      <c r="AH29" s="50" t="e">
        <f ca="1">IFERROR(VLOOKUP(Tableau21[[#This Row],[Key(ID-Next)]],'DATA BTO'!A:N,12,FALSE),VLOOKUP(_xlfn.CONCAT(Tableau21[[#This Row],[ID]],"-","Actif"),'DATA BTO'!A:N,12,FALSE))</f>
        <v>#N/A</v>
      </c>
      <c r="AI29" s="53" t="e">
        <f ca="1">IFERROR(VLOOKUP(Tableau21[[#This Row],[Key(ID-Next)]],'DATA BTO'!A:N,14,FALSE),VLOOKUP(_xlfn.CONCAT(Tableau21[[#This Row],[ID]],"-","Actif"),'DATA BTO'!A:N,14,FALSE))</f>
        <v>#N/A</v>
      </c>
      <c r="AJ29" s="54" t="e">
        <f ca="1">VLOOKUP(Tableau21[[#This Row],[Key(POD -PFI- Usine)]],'DATA Consignee'!A:F,6,FALSE)</f>
        <v>#N/A</v>
      </c>
      <c r="AK29" s="283"/>
      <c r="AL29" s="490" t="str">
        <f>IF(Tableau21[[#This Row],[Name PFI/CDD]]="","-",VLOOKUP(Tableau21[[#This Row],[Name PFI/CDD]],Plant_AILN!I:J,2,FALSE))</f>
        <v>-</v>
      </c>
      <c r="AM29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29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29" s="2" t="e">
        <f ca="1">VLOOKUP(Tableau21[[#This Row],[Key(POD -PFI- Usine)]],'DATA Consignee'!A:J,10,FALSE)</f>
        <v>#N/A</v>
      </c>
      <c r="AP29" s="50" t="e">
        <f ca="1">VLOOKUP(Tableau21[[#This Row],[Key(POD -PFI- Usine)]],'DATA Consignee'!A:N,14,FALSE)</f>
        <v>#N/A</v>
      </c>
      <c r="AQ29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29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29" s="50" t="e">
        <f ca="1">Tableau21[[#This Row],[Transit time]]+Tableau21[[#This Row],[Time for security]]+Tableau21[[#This Row],[Time for security2 buffer]]</f>
        <v>#N/A</v>
      </c>
      <c r="AT29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29" s="50" t="e">
        <f ca="1">Tableau21[[#This Row],[Leadtime SI2C]]+Tableau21[[#This Row],[First Receipt Days]]-Tableau21[[#This Row],[Day Customer Order]]+1</f>
        <v>#N/A</v>
      </c>
      <c r="AV29" s="117" t="e">
        <f ca="1">IF(Tableau21[[#This Row],[Name ILN]]&lt;&gt;"SFK Freight Forwarder",Tableau21[[#This Row],[Cust. Leadtime]],Tableau21[[#This Row],[Leadtime SI2C]])</f>
        <v>#N/A</v>
      </c>
      <c r="AW29" s="57" t="s">
        <v>216</v>
      </c>
      <c r="AX29" s="328" t="e">
        <f ca="1">IFERROR(VLOOKUP(Tableau21[[#This Row],[Key(ID-Next)]],'DATA BTO'!A:N,3,FALSE),VLOOKUP(Tableau21[[#This Row],[ID]],'DATA BTO'!B:N,2,FALSE))</f>
        <v>#N/A</v>
      </c>
      <c r="AY29" s="50" t="str">
        <f>IF(ISNUMBER(Tableau21[[#This Row],[Day Customer Order]]),"-","Please Check 'Name' information in 'Order' Sheet to make sure they have information")</f>
        <v>-</v>
      </c>
      <c r="AZ29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29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29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29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0" spans="2:55">
      <c r="B30" s="65" t="str">
        <f>_xlfn.CONCAT(Tableau21[[#This Row],[Name ILN]],"-",Tableau21[[#This Row],[Name Shipper]],"-",Tableau21[[#This Row],[Name Site]])</f>
        <v>NSL Shanghai-NSL Shanghai-SOMACA</v>
      </c>
      <c r="C30" s="64" t="e">
        <f ca="1">_xlfn.CONCAT(Tableau21[[#This Row],[Compte ILN]],"-",Tableau21[[#This Row],[Compte Shipper]],"-",Tableau21[[#This Row],[POL]],"-",Tableau21[[#This Row],[Compte Site]])</f>
        <v>#N/A</v>
      </c>
      <c r="D30" s="64" t="e">
        <f ca="1">_xlfn.CONCAT(Tableau21[[#This Row],[Compte ILN]],"-",Tableau21[[#This Row],[Compte Shipper]],"-",Tableau21[[#This Row],[POL]])</f>
        <v>#N/A</v>
      </c>
      <c r="E30" s="128" t="e">
        <f ca="1">_xlfn.CONCAT(Tableau21[[#This Row],[POL]],"-",Tableau21[[#This Row],[Carrier]],"-",Tableau21[[#This Row],[POD]])</f>
        <v>#N/A</v>
      </c>
      <c r="F30" s="64" t="str">
        <f>_xlfn.CONCAT(Tableau21[[#This Row],[ID]],"-","Next")</f>
        <v>-Next</v>
      </c>
      <c r="G30" s="64" t="e">
        <f ca="1">_xlfn.CONCAT(Tableau21[[#This Row],[POD]],"-",Tableau21[[#This Row],[Code PFI]],"-",Tableau21[[#This Row],[Compte Site]])</f>
        <v>#N/A</v>
      </c>
      <c r="H30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0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0" s="117" t="str">
        <f ca="1">IF(COUNTIF(I:I,Tableau21[[#This Row],[Plant-ILN-shipper-POL-Carrier-POD-PFI]])=1,"Non","Oui")</f>
        <v>Oui</v>
      </c>
      <c r="K30" s="126" t="str">
        <f>VLOOKUP(Tableau21[[#This Row],[Name Site]],Plant_AILN!A:D,4,FALSE)</f>
        <v>MOROCCO</v>
      </c>
      <c r="L30" s="57" t="s">
        <v>178</v>
      </c>
      <c r="M30" s="481">
        <f>VLOOKUP(Tableau21[[#This Row],[Name Site]],Plant_AILN!A:C,3,FALSE)</f>
        <v>90038200</v>
      </c>
      <c r="N30" s="55">
        <f>VLOOKUP(Tableau21[[#This Row],[Compte Site]],Order!C:D,2,FALSE)</f>
        <v>7</v>
      </c>
      <c r="O30" s="124" t="s">
        <v>193</v>
      </c>
      <c r="P30" s="481">
        <f>VLOOKUP(Tableau21[[#This Row],[Name ILN]],Plant_AILN!F:G,2,FALSE)</f>
        <v>27261102</v>
      </c>
      <c r="Q30" s="50">
        <f>VLOOKUP(Tableau21[[#This Row],[Compte ILN]],'DATA ILN'!D:I,6,FALSE)</f>
        <v>16</v>
      </c>
      <c r="R30" s="50" t="e">
        <f ca="1">IFERROR(VLOOKUP(Tableau21[[#This Row],[Key(Compte ILN - shipper - POL - plant)]],'DATA ILN'!A:J,10,FALSE),VLOOKUP(Tableau21[[#This Row],[Key(Compte ILN - shipper - POL)]],'DATA ILN'!B:J,9,FALSE))</f>
        <v>#N/A</v>
      </c>
      <c r="S30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0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0" s="50" t="e">
        <f ca="1">Tableau21[[#This Row],[Day ILN Order]]+Tableau21[[#This Row],[Delivery time to ILN/Shipper]]-1</f>
        <v>#N/A</v>
      </c>
      <c r="V30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0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0" s="349" t="s">
        <v>193</v>
      </c>
      <c r="Y30" s="494">
        <f>IFERROR(VLOOKUP(Tableau21[[#This Row],[Name Shipper]],Plant_AILN!L:M,2,FALSE),0)</f>
        <v>27261102</v>
      </c>
      <c r="Z30" s="52"/>
      <c r="AA30" s="353" t="e">
        <f ca="1">IFERROR(VLOOKUP(Tableau21[[#This Row],[Key(ID-Next)]],'DATA BTO'!A:N,5,FALSE),VLOOKUP(_xlfn.CONCAT(Tableau21[[#This Row],[ID]],"-","Actif"),'DATA BTO'!A:N,5,FALSE))</f>
        <v>#N/A</v>
      </c>
      <c r="AB30" s="3" t="e">
        <f ca="1">IFERROR(VLOOKUP(Tableau21[[#This Row],[Key(ID-Next)]],'DATA BTO'!A:N,6,FALSE),VLOOKUP(_xlfn.CONCAT(Tableau21[[#This Row],[ID]],"-","Actif"),'DATA BTO'!A:N,6,FALSE))</f>
        <v>#N/A</v>
      </c>
      <c r="AC30" s="50" t="e">
        <f ca="1">IFERROR(VLOOKUP(Tableau21[[#This Row],[Key(ID-Next)]],'DATA BTO'!A:N,7,FALSE),VLOOKUP(_xlfn.CONCAT(Tableau21[[#This Row],[ID]],"-","Actif"),'DATA BTO'!A:N,7,FALSE))</f>
        <v>#N/A</v>
      </c>
      <c r="AD30" s="50" t="e">
        <f ca="1">IFERROR(VLOOKUP(Tableau21[[#This Row],[Key(ID-Next)]],'DATA BTO'!A:N,8,FALSE),VLOOKUP(_xlfn.CONCAT(Tableau21[[#This Row],[ID]],"-","Actif"),'DATA BTO'!A:N,8,FALSE))</f>
        <v>#N/A</v>
      </c>
      <c r="AE30" s="50" t="e">
        <f ca="1">IFERROR(VLOOKUP(Tableau21[[#This Row],[Key(ID-Next)]],'DATA BTO'!A:N,9,FALSE),VLOOKUP(_xlfn.CONCAT(Tableau21[[#This Row],[ID]],"-","Actif"),'DATA BTO'!A:N,9,FALSE))</f>
        <v>#N/A</v>
      </c>
      <c r="AF30" s="3" t="e">
        <f ca="1">IFERROR(VLOOKUP(Tableau21[[#This Row],[Key(ID-Next)]],'DATA BTO'!A:N,10,FALSE),VLOOKUP(_xlfn.CONCAT(Tableau21[[#This Row],[ID]],"-","Actif"),'DATA BTO'!A:N,10,FALSE))</f>
        <v>#N/A</v>
      </c>
      <c r="AG30" s="3" t="e">
        <f ca="1">IFERROR(VLOOKUP(Tableau21[[#This Row],[Key(ID-Next)]],'DATA BTO'!A:N,11,FALSE),VLOOKUP(_xlfn.CONCAT(Tableau21[[#This Row],[ID]],"-","Actif"),'DATA BTO'!A:N,11,FALSE))</f>
        <v>#N/A</v>
      </c>
      <c r="AH30" s="50" t="e">
        <f ca="1">IFERROR(VLOOKUP(Tableau21[[#This Row],[Key(ID-Next)]],'DATA BTO'!A:N,12,FALSE),VLOOKUP(_xlfn.CONCAT(Tableau21[[#This Row],[ID]],"-","Actif"),'DATA BTO'!A:N,12,FALSE))</f>
        <v>#N/A</v>
      </c>
      <c r="AI30" s="53" t="e">
        <f ca="1">IFERROR(VLOOKUP(Tableau21[[#This Row],[Key(ID-Next)]],'DATA BTO'!A:N,14,FALSE),VLOOKUP(_xlfn.CONCAT(Tableau21[[#This Row],[ID]],"-","Actif"),'DATA BTO'!A:N,14,FALSE))</f>
        <v>#N/A</v>
      </c>
      <c r="AJ30" s="54" t="e">
        <f ca="1">VLOOKUP(Tableau21[[#This Row],[Key(POD -PFI- Usine)]],'DATA Consignee'!A:F,6,FALSE)</f>
        <v>#N/A</v>
      </c>
      <c r="AK30" s="283"/>
      <c r="AL30" s="490" t="str">
        <f>IF(Tableau21[[#This Row],[Name PFI/CDD]]="","-",VLOOKUP(Tableau21[[#This Row],[Name PFI/CDD]],Plant_AILN!I:J,2,FALSE))</f>
        <v>-</v>
      </c>
      <c r="AM30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0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0" s="2" t="e">
        <f ca="1">VLOOKUP(Tableau21[[#This Row],[Key(POD -PFI- Usine)]],'DATA Consignee'!A:J,10,FALSE)</f>
        <v>#N/A</v>
      </c>
      <c r="AP30" s="50" t="e">
        <f ca="1">VLOOKUP(Tableau21[[#This Row],[Key(POD -PFI- Usine)]],'DATA Consignee'!A:N,14,FALSE)</f>
        <v>#N/A</v>
      </c>
      <c r="AQ30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0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0" s="50" t="e">
        <f ca="1">Tableau21[[#This Row],[Transit time]]+Tableau21[[#This Row],[Time for security]]+Tableau21[[#This Row],[Time for security2 buffer]]</f>
        <v>#N/A</v>
      </c>
      <c r="AT30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0" s="50" t="e">
        <f ca="1">Tableau21[[#This Row],[Leadtime SI2C]]+Tableau21[[#This Row],[First Receipt Days]]-Tableau21[[#This Row],[Day Customer Order]]+1</f>
        <v>#N/A</v>
      </c>
      <c r="AV30" s="117" t="e">
        <f ca="1">IF(Tableau21[[#This Row],[Name ILN]]&lt;&gt;"SFK Freight Forwarder",Tableau21[[#This Row],[Cust. Leadtime]],Tableau21[[#This Row],[Leadtime SI2C]])</f>
        <v>#N/A</v>
      </c>
      <c r="AW30" s="57" t="s">
        <v>216</v>
      </c>
      <c r="AX30" s="328" t="e">
        <f ca="1">IFERROR(VLOOKUP(Tableau21[[#This Row],[Key(ID-Next)]],'DATA BTO'!A:N,3,FALSE),VLOOKUP(Tableau21[[#This Row],[ID]],'DATA BTO'!B:N,2,FALSE))</f>
        <v>#N/A</v>
      </c>
      <c r="AY30" s="50" t="str">
        <f>IF(ISNUMBER(Tableau21[[#This Row],[Day Customer Order]]),"-","Please Check 'Name' information in 'Order' Sheet to make sure they have information")</f>
        <v>-</v>
      </c>
      <c r="AZ30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0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0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0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1" spans="2:55">
      <c r="B31" s="65" t="str">
        <f>_xlfn.CONCAT(Tableau21[[#This Row],[Name ILN]],"-",Tableau21[[#This Row],[Name Shipper]],"-",Tableau21[[#This Row],[Name Site]])</f>
        <v>NSL Shanghai-NSL Shanghai-TANGER</v>
      </c>
      <c r="C31" s="64" t="e">
        <f ca="1">_xlfn.CONCAT(Tableau21[[#This Row],[Compte ILN]],"-",Tableau21[[#This Row],[Compte Shipper]],"-",Tableau21[[#This Row],[POL]],"-",Tableau21[[#This Row],[Compte Site]])</f>
        <v>#N/A</v>
      </c>
      <c r="D31" s="64" t="e">
        <f ca="1">_xlfn.CONCAT(Tableau21[[#This Row],[Compte ILN]],"-",Tableau21[[#This Row],[Compte Shipper]],"-",Tableau21[[#This Row],[POL]])</f>
        <v>#N/A</v>
      </c>
      <c r="E31" s="128" t="e">
        <f ca="1">_xlfn.CONCAT(Tableau21[[#This Row],[POL]],"-",Tableau21[[#This Row],[Carrier]],"-",Tableau21[[#This Row],[POD]])</f>
        <v>#N/A</v>
      </c>
      <c r="F31" s="64" t="str">
        <f>_xlfn.CONCAT(Tableau21[[#This Row],[ID]],"-","Next")</f>
        <v>-Next</v>
      </c>
      <c r="G31" s="64" t="e">
        <f ca="1">_xlfn.CONCAT(Tableau21[[#This Row],[POD]],"-",Tableau21[[#This Row],[Code PFI]],"-",Tableau21[[#This Row],[Compte Site]])</f>
        <v>#N/A</v>
      </c>
      <c r="H31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1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1" s="117" t="str">
        <f ca="1">IF(COUNTIF(I:I,Tableau21[[#This Row],[Plant-ILN-shipper-POL-Carrier-POD-PFI]])=1,"Non","Oui")</f>
        <v>Oui</v>
      </c>
      <c r="K31" s="126" t="str">
        <f>VLOOKUP(Tableau21[[#This Row],[Name Site]],Plant_AILN!A:D,4,FALSE)</f>
        <v>MOROCCO</v>
      </c>
      <c r="L31" s="57" t="s">
        <v>179</v>
      </c>
      <c r="M31" s="481">
        <f>VLOOKUP(Tableau21[[#This Row],[Name Site]],Plant_AILN!A:C,3,FALSE)</f>
        <v>900383</v>
      </c>
      <c r="N31" s="55">
        <f>VLOOKUP(Tableau21[[#This Row],[Compte Site]],Order!C:D,2,FALSE)</f>
        <v>7</v>
      </c>
      <c r="O31" s="124" t="s">
        <v>193</v>
      </c>
      <c r="P31" s="481">
        <f>VLOOKUP(Tableau21[[#This Row],[Name ILN]],Plant_AILN!F:G,2,FALSE)</f>
        <v>27261102</v>
      </c>
      <c r="Q31" s="50">
        <f>VLOOKUP(Tableau21[[#This Row],[Compte ILN]],'DATA ILN'!D:I,6,FALSE)</f>
        <v>16</v>
      </c>
      <c r="R31" s="50" t="e">
        <f ca="1">IFERROR(VLOOKUP(Tableau21[[#This Row],[Key(Compte ILN - shipper - POL - plant)]],'DATA ILN'!A:J,10,FALSE),VLOOKUP(Tableau21[[#This Row],[Key(Compte ILN - shipper - POL)]],'DATA ILN'!B:J,9,FALSE))</f>
        <v>#N/A</v>
      </c>
      <c r="S31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1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1" s="50" t="e">
        <f ca="1">Tableau21[[#This Row],[Day ILN Order]]+Tableau21[[#This Row],[Delivery time to ILN/Shipper]]-1</f>
        <v>#N/A</v>
      </c>
      <c r="V31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1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1" s="349" t="s">
        <v>193</v>
      </c>
      <c r="Y31" s="494">
        <f>IFERROR(VLOOKUP(Tableau21[[#This Row],[Name Shipper]],Plant_AILN!L:M,2,FALSE),0)</f>
        <v>27261102</v>
      </c>
      <c r="Z31" s="52"/>
      <c r="AA31" s="353" t="e">
        <f ca="1">IFERROR(VLOOKUP(Tableau21[[#This Row],[Key(ID-Next)]],'DATA BTO'!A:N,5,FALSE),VLOOKUP(_xlfn.CONCAT(Tableau21[[#This Row],[ID]],"-","Actif"),'DATA BTO'!A:N,5,FALSE))</f>
        <v>#N/A</v>
      </c>
      <c r="AB31" s="3" t="e">
        <f ca="1">IFERROR(VLOOKUP(Tableau21[[#This Row],[Key(ID-Next)]],'DATA BTO'!A:N,6,FALSE),VLOOKUP(_xlfn.CONCAT(Tableau21[[#This Row],[ID]],"-","Actif"),'DATA BTO'!A:N,6,FALSE))</f>
        <v>#N/A</v>
      </c>
      <c r="AC31" s="50" t="e">
        <f ca="1">IFERROR(VLOOKUP(Tableau21[[#This Row],[Key(ID-Next)]],'DATA BTO'!A:N,7,FALSE),VLOOKUP(_xlfn.CONCAT(Tableau21[[#This Row],[ID]],"-","Actif"),'DATA BTO'!A:N,7,FALSE))</f>
        <v>#N/A</v>
      </c>
      <c r="AD31" s="50" t="e">
        <f ca="1">IFERROR(VLOOKUP(Tableau21[[#This Row],[Key(ID-Next)]],'DATA BTO'!A:N,8,FALSE),VLOOKUP(_xlfn.CONCAT(Tableau21[[#This Row],[ID]],"-","Actif"),'DATA BTO'!A:N,8,FALSE))</f>
        <v>#N/A</v>
      </c>
      <c r="AE31" s="50" t="e">
        <f ca="1">IFERROR(VLOOKUP(Tableau21[[#This Row],[Key(ID-Next)]],'DATA BTO'!A:N,9,FALSE),VLOOKUP(_xlfn.CONCAT(Tableau21[[#This Row],[ID]],"-","Actif"),'DATA BTO'!A:N,9,FALSE))</f>
        <v>#N/A</v>
      </c>
      <c r="AF31" s="3" t="e">
        <f ca="1">IFERROR(VLOOKUP(Tableau21[[#This Row],[Key(ID-Next)]],'DATA BTO'!A:N,10,FALSE),VLOOKUP(_xlfn.CONCAT(Tableau21[[#This Row],[ID]],"-","Actif"),'DATA BTO'!A:N,10,FALSE))</f>
        <v>#N/A</v>
      </c>
      <c r="AG31" s="3" t="e">
        <f ca="1">IFERROR(VLOOKUP(Tableau21[[#This Row],[Key(ID-Next)]],'DATA BTO'!A:N,11,FALSE),VLOOKUP(_xlfn.CONCAT(Tableau21[[#This Row],[ID]],"-","Actif"),'DATA BTO'!A:N,11,FALSE))</f>
        <v>#N/A</v>
      </c>
      <c r="AH31" s="50" t="e">
        <f ca="1">IFERROR(VLOOKUP(Tableau21[[#This Row],[Key(ID-Next)]],'DATA BTO'!A:N,12,FALSE),VLOOKUP(_xlfn.CONCAT(Tableau21[[#This Row],[ID]],"-","Actif"),'DATA BTO'!A:N,12,FALSE))</f>
        <v>#N/A</v>
      </c>
      <c r="AI31" s="53" t="e">
        <f ca="1">IFERROR(VLOOKUP(Tableau21[[#This Row],[Key(ID-Next)]],'DATA BTO'!A:N,14,FALSE),VLOOKUP(_xlfn.CONCAT(Tableau21[[#This Row],[ID]],"-","Actif"),'DATA BTO'!A:N,14,FALSE))</f>
        <v>#N/A</v>
      </c>
      <c r="AJ31" s="54" t="e">
        <f ca="1">VLOOKUP(Tableau21[[#This Row],[Key(POD -PFI- Usine)]],'DATA Consignee'!A:F,6,FALSE)</f>
        <v>#N/A</v>
      </c>
      <c r="AK31" s="283"/>
      <c r="AL31" s="490" t="str">
        <f>IF(Tableau21[[#This Row],[Name PFI/CDD]]="","-",VLOOKUP(Tableau21[[#This Row],[Name PFI/CDD]],Plant_AILN!I:J,2,FALSE))</f>
        <v>-</v>
      </c>
      <c r="AM31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1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1" s="2" t="e">
        <f ca="1">VLOOKUP(Tableau21[[#This Row],[Key(POD -PFI- Usine)]],'DATA Consignee'!A:J,10,FALSE)</f>
        <v>#N/A</v>
      </c>
      <c r="AP31" s="50" t="e">
        <f ca="1">VLOOKUP(Tableau21[[#This Row],[Key(POD -PFI- Usine)]],'DATA Consignee'!A:N,14,FALSE)</f>
        <v>#N/A</v>
      </c>
      <c r="AQ31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1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1" s="50" t="e">
        <f ca="1">Tableau21[[#This Row],[Transit time]]+Tableau21[[#This Row],[Time for security]]+Tableau21[[#This Row],[Time for security2 buffer]]</f>
        <v>#N/A</v>
      </c>
      <c r="AT31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1" s="50" t="e">
        <f ca="1">Tableau21[[#This Row],[Leadtime SI2C]]+Tableau21[[#This Row],[First Receipt Days]]-Tableau21[[#This Row],[Day Customer Order]]+1</f>
        <v>#N/A</v>
      </c>
      <c r="AV31" s="117" t="e">
        <f ca="1">IF(Tableau21[[#This Row],[Name ILN]]&lt;&gt;"SFK Freight Forwarder",Tableau21[[#This Row],[Cust. Leadtime]],Tableau21[[#This Row],[Leadtime SI2C]])</f>
        <v>#N/A</v>
      </c>
      <c r="AW31" s="57" t="s">
        <v>216</v>
      </c>
      <c r="AX31" s="328" t="e">
        <f ca="1">IFERROR(VLOOKUP(Tableau21[[#This Row],[Key(ID-Next)]],'DATA BTO'!A:N,3,FALSE),VLOOKUP(Tableau21[[#This Row],[ID]],'DATA BTO'!B:N,2,FALSE))</f>
        <v>#N/A</v>
      </c>
      <c r="AY31" s="50" t="str">
        <f>IF(ISNUMBER(Tableau21[[#This Row],[Day Customer Order]]),"-","Please Check 'Name' information in 'Order' Sheet to make sure they have information")</f>
        <v>-</v>
      </c>
      <c r="AZ31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1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1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1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2" spans="2:55">
      <c r="B32" s="65" t="str">
        <f>_xlfn.CONCAT(Tableau21[[#This Row],[Name ILN]],"-",Tableau21[[#This Row],[Name Shipper]],"-",Tableau21[[#This Row],[Name Site]])</f>
        <v>NSL Shanghai-NSL Shanghai-OYAK MONT</v>
      </c>
      <c r="C32" s="64" t="e">
        <f ca="1">_xlfn.CONCAT(Tableau21[[#This Row],[Compte ILN]],"-",Tableau21[[#This Row],[Compte Shipper]],"-",Tableau21[[#This Row],[POL]],"-",Tableau21[[#This Row],[Compte Site]])</f>
        <v>#N/A</v>
      </c>
      <c r="D32" s="64" t="e">
        <f ca="1">_xlfn.CONCAT(Tableau21[[#This Row],[Compte ILN]],"-",Tableau21[[#This Row],[Compte Shipper]],"-",Tableau21[[#This Row],[POL]])</f>
        <v>#N/A</v>
      </c>
      <c r="E32" s="128" t="e">
        <f ca="1">_xlfn.CONCAT(Tableau21[[#This Row],[POL]],"-",Tableau21[[#This Row],[Carrier]],"-",Tableau21[[#This Row],[POD]])</f>
        <v>#N/A</v>
      </c>
      <c r="F32" s="64" t="str">
        <f>_xlfn.CONCAT(Tableau21[[#This Row],[ID]],"-","Next")</f>
        <v>AK15-Next</v>
      </c>
      <c r="G32" s="64" t="e">
        <f ca="1">_xlfn.CONCAT(Tableau21[[#This Row],[POD]],"-",Tableau21[[#This Row],[Code PFI]],"-",Tableau21[[#This Row],[Compte Site]])</f>
        <v>#N/A</v>
      </c>
      <c r="H32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2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2" s="117" t="str">
        <f ca="1">IF(COUNTIF(I:I,Tableau21[[#This Row],[Plant-ILN-shipper-POL-Carrier-POD-PFI]])=1,"Non","Oui")</f>
        <v>Oui</v>
      </c>
      <c r="K32" s="126" t="str">
        <f>VLOOKUP(Tableau21[[#This Row],[Name Site]],Plant_AILN!A:D,4,FALSE)</f>
        <v>TURKEY</v>
      </c>
      <c r="L32" s="57" t="s">
        <v>167</v>
      </c>
      <c r="M32" s="481">
        <f>VLOOKUP(Tableau21[[#This Row],[Name Site]],Plant_AILN!A:C,3,FALSE)</f>
        <v>90017000</v>
      </c>
      <c r="N32" s="55">
        <f>VLOOKUP(Tableau21[[#This Row],[Compte Site]],Order!C:D,2,FALSE)</f>
        <v>7</v>
      </c>
      <c r="O32" s="124" t="s">
        <v>193</v>
      </c>
      <c r="P32" s="481">
        <f>VLOOKUP(Tableau21[[#This Row],[Name ILN]],Plant_AILN!F:G,2,FALSE)</f>
        <v>27261102</v>
      </c>
      <c r="Q32" s="50">
        <f>VLOOKUP(Tableau21[[#This Row],[Compte ILN]],'DATA ILN'!D:I,6,FALSE)</f>
        <v>16</v>
      </c>
      <c r="R32" s="50" t="e">
        <f ca="1">IFERROR(VLOOKUP(Tableau21[[#This Row],[Key(Compte ILN - shipper - POL - plant)]],'DATA ILN'!A:J,10,FALSE),VLOOKUP(Tableau21[[#This Row],[Key(Compte ILN - shipper - POL)]],'DATA ILN'!B:J,9,FALSE))</f>
        <v>#N/A</v>
      </c>
      <c r="S32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2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2" s="50" t="e">
        <f ca="1">Tableau21[[#This Row],[Day ILN Order]]+Tableau21[[#This Row],[Delivery time to ILN/Shipper]]-1</f>
        <v>#N/A</v>
      </c>
      <c r="V32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2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2" s="349" t="s">
        <v>193</v>
      </c>
      <c r="Y32" s="494">
        <f>IFERROR(VLOOKUP(Tableau21[[#This Row],[Name Shipper]],Plant_AILN!L:M,2,FALSE),0)</f>
        <v>27261102</v>
      </c>
      <c r="Z32" s="52" t="s">
        <v>205</v>
      </c>
      <c r="AA32" s="353" t="e">
        <f ca="1">IFERROR(VLOOKUP(Tableau21[[#This Row],[Key(ID-Next)]],'DATA BTO'!A:N,5,FALSE),VLOOKUP(_xlfn.CONCAT(Tableau21[[#This Row],[ID]],"-","Actif"),'DATA BTO'!A:N,5,FALSE))</f>
        <v>#N/A</v>
      </c>
      <c r="AB32" s="3" t="e">
        <f ca="1">IFERROR(VLOOKUP(Tableau21[[#This Row],[Key(ID-Next)]],'DATA BTO'!A:N,6,FALSE),VLOOKUP(_xlfn.CONCAT(Tableau21[[#This Row],[ID]],"-","Actif"),'DATA BTO'!A:N,6,FALSE))</f>
        <v>#N/A</v>
      </c>
      <c r="AC32" s="50" t="e">
        <f ca="1">IFERROR(VLOOKUP(Tableau21[[#This Row],[Key(ID-Next)]],'DATA BTO'!A:N,7,FALSE),VLOOKUP(_xlfn.CONCAT(Tableau21[[#This Row],[ID]],"-","Actif"),'DATA BTO'!A:N,7,FALSE))</f>
        <v>#N/A</v>
      </c>
      <c r="AD32" s="50" t="e">
        <f ca="1">IFERROR(VLOOKUP(Tableau21[[#This Row],[Key(ID-Next)]],'DATA BTO'!A:N,8,FALSE),VLOOKUP(_xlfn.CONCAT(Tableau21[[#This Row],[ID]],"-","Actif"),'DATA BTO'!A:N,8,FALSE))</f>
        <v>#N/A</v>
      </c>
      <c r="AE32" s="50" t="e">
        <f ca="1">IFERROR(VLOOKUP(Tableau21[[#This Row],[Key(ID-Next)]],'DATA BTO'!A:N,9,FALSE),VLOOKUP(_xlfn.CONCAT(Tableau21[[#This Row],[ID]],"-","Actif"),'DATA BTO'!A:N,9,FALSE))</f>
        <v>#N/A</v>
      </c>
      <c r="AF32" s="3" t="e">
        <f ca="1">IFERROR(VLOOKUP(Tableau21[[#This Row],[Key(ID-Next)]],'DATA BTO'!A:N,10,FALSE),VLOOKUP(_xlfn.CONCAT(Tableau21[[#This Row],[ID]],"-","Actif"),'DATA BTO'!A:N,10,FALSE))</f>
        <v>#N/A</v>
      </c>
      <c r="AG32" s="3" t="e">
        <f ca="1">IFERROR(VLOOKUP(Tableau21[[#This Row],[Key(ID-Next)]],'DATA BTO'!A:N,11,FALSE),VLOOKUP(_xlfn.CONCAT(Tableau21[[#This Row],[ID]],"-","Actif"),'DATA BTO'!A:N,11,FALSE))</f>
        <v>#N/A</v>
      </c>
      <c r="AH32" s="50" t="e">
        <f ca="1">IFERROR(VLOOKUP(Tableau21[[#This Row],[Key(ID-Next)]],'DATA BTO'!A:N,12,FALSE),VLOOKUP(_xlfn.CONCAT(Tableau21[[#This Row],[ID]],"-","Actif"),'DATA BTO'!A:N,12,FALSE))</f>
        <v>#N/A</v>
      </c>
      <c r="AI32" s="53" t="e">
        <f ca="1">IFERROR(VLOOKUP(Tableau21[[#This Row],[Key(ID-Next)]],'DATA BTO'!A:N,14,FALSE),VLOOKUP(_xlfn.CONCAT(Tableau21[[#This Row],[ID]],"-","Actif"),'DATA BTO'!A:N,14,FALSE))</f>
        <v>#N/A</v>
      </c>
      <c r="AJ32" s="54" t="e">
        <f ca="1">VLOOKUP(Tableau21[[#This Row],[Key(POD -PFI- Usine)]],'DATA Consignee'!A:F,6,FALSE)</f>
        <v>#N/A</v>
      </c>
      <c r="AK32" s="283"/>
      <c r="AL32" s="490" t="str">
        <f>IF(Tableau21[[#This Row],[Name PFI/CDD]]="","-",VLOOKUP(Tableau21[[#This Row],[Name PFI/CDD]],Plant_AILN!I:J,2,FALSE))</f>
        <v>-</v>
      </c>
      <c r="AM32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2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2" s="2" t="e">
        <f ca="1">VLOOKUP(Tableau21[[#This Row],[Key(POD -PFI- Usine)]],'DATA Consignee'!A:J,10,FALSE)</f>
        <v>#N/A</v>
      </c>
      <c r="AP32" s="50" t="e">
        <f ca="1">VLOOKUP(Tableau21[[#This Row],[Key(POD -PFI- Usine)]],'DATA Consignee'!A:N,14,FALSE)</f>
        <v>#N/A</v>
      </c>
      <c r="AQ32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2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2" s="50" t="e">
        <f ca="1">Tableau21[[#This Row],[Transit time]]+Tableau21[[#This Row],[Time for security]]+Tableau21[[#This Row],[Time for security2 buffer]]</f>
        <v>#N/A</v>
      </c>
      <c r="AT32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2" s="50" t="e">
        <f ca="1">Tableau21[[#This Row],[Leadtime SI2C]]+Tableau21[[#This Row],[First Receipt Days]]-Tableau21[[#This Row],[Day Customer Order]]+1</f>
        <v>#N/A</v>
      </c>
      <c r="AV32" s="117" t="e">
        <f ca="1">IF(Tableau21[[#This Row],[Name ILN]]&lt;&gt;"SFK Freight Forwarder",Tableau21[[#This Row],[Cust. Leadtime]],Tableau21[[#This Row],[Leadtime SI2C]])</f>
        <v>#N/A</v>
      </c>
      <c r="AW32" s="57"/>
      <c r="AX32" s="328" t="e">
        <f ca="1">IFERROR(VLOOKUP(Tableau21[[#This Row],[Key(ID-Next)]],'DATA BTO'!A:N,3,FALSE),VLOOKUP(Tableau21[[#This Row],[ID]],'DATA BTO'!B:N,2,FALSE))</f>
        <v>#N/A</v>
      </c>
      <c r="AY32" s="50" t="str">
        <f>IF(ISNUMBER(Tableau21[[#This Row],[Day Customer Order]]),"-","Please Check 'Name' information in 'Order' Sheet to make sure they have information")</f>
        <v>-</v>
      </c>
      <c r="AZ32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2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2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2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3" spans="2:55">
      <c r="B33" s="65" t="str">
        <f>_xlfn.CONCAT(Tableau21[[#This Row],[Name ILN]],"-",Tableau21[[#This Row],[Name Shipper]],"-",Tableau21[[#This Row],[Name Site]])</f>
        <v>NSL Shanghai-NSL Shanghai-SOFASA</v>
      </c>
      <c r="C33" s="64" t="e">
        <f ca="1">_xlfn.CONCAT(Tableau21[[#This Row],[Compte ILN]],"-",Tableau21[[#This Row],[Compte Shipper]],"-",Tableau21[[#This Row],[POL]],"-",Tableau21[[#This Row],[Compte Site]])</f>
        <v>#N/A</v>
      </c>
      <c r="D33" s="64" t="e">
        <f ca="1">_xlfn.CONCAT(Tableau21[[#This Row],[Compte ILN]],"-",Tableau21[[#This Row],[Compte Shipper]],"-",Tableau21[[#This Row],[POL]])</f>
        <v>#N/A</v>
      </c>
      <c r="E33" s="128" t="e">
        <f ca="1">_xlfn.CONCAT(Tableau21[[#This Row],[POL]],"-",Tableau21[[#This Row],[Carrier]],"-",Tableau21[[#This Row],[POD]])</f>
        <v>#N/A</v>
      </c>
      <c r="F33" s="64" t="str">
        <f>_xlfn.CONCAT(Tableau21[[#This Row],[ID]],"-","Next")</f>
        <v>-Next</v>
      </c>
      <c r="G33" s="64" t="e">
        <f ca="1">_xlfn.CONCAT(Tableau21[[#This Row],[POD]],"-",Tableau21[[#This Row],[Code PFI]],"-",Tableau21[[#This Row],[Compte Site]])</f>
        <v>#N/A</v>
      </c>
      <c r="H33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3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3" s="117" t="str">
        <f ca="1">IF(COUNTIF(I:I,Tableau21[[#This Row],[Plant-ILN-shipper-POL-Carrier-POD-PFI]])=1,"Non","Oui")</f>
        <v>Oui</v>
      </c>
      <c r="K33" s="126" t="str">
        <f>VLOOKUP(Tableau21[[#This Row],[Name Site]],Plant_AILN!A:D,4,FALSE)</f>
        <v>COLOMBIA</v>
      </c>
      <c r="L33" s="57" t="s">
        <v>176</v>
      </c>
      <c r="M33" s="481">
        <f>VLOOKUP(Tableau21[[#This Row],[Name Site]],Plant_AILN!A:C,3,FALSE)</f>
        <v>9510600</v>
      </c>
      <c r="N33" s="55">
        <f>VLOOKUP(Tableau21[[#This Row],[Compte Site]],Order!C:D,2,FALSE)</f>
        <v>7</v>
      </c>
      <c r="O33" s="124" t="s">
        <v>193</v>
      </c>
      <c r="P33" s="481">
        <f>VLOOKUP(Tableau21[[#This Row],[Name ILN]],Plant_AILN!F:G,2,FALSE)</f>
        <v>27261102</v>
      </c>
      <c r="Q33" s="50">
        <f>VLOOKUP(Tableau21[[#This Row],[Compte ILN]],'DATA ILN'!D:I,6,FALSE)</f>
        <v>16</v>
      </c>
      <c r="R33" s="50" t="e">
        <f ca="1">IFERROR(VLOOKUP(Tableau21[[#This Row],[Key(Compte ILN - shipper - POL - plant)]],'DATA ILN'!A:J,10,FALSE),VLOOKUP(Tableau21[[#This Row],[Key(Compte ILN - shipper - POL)]],'DATA ILN'!B:J,9,FALSE))</f>
        <v>#N/A</v>
      </c>
      <c r="S33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3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3" s="50" t="e">
        <f ca="1">Tableau21[[#This Row],[Day ILN Order]]+Tableau21[[#This Row],[Delivery time to ILN/Shipper]]-1</f>
        <v>#N/A</v>
      </c>
      <c r="V33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3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3" s="349" t="s">
        <v>193</v>
      </c>
      <c r="Y33" s="494">
        <f>IFERROR(VLOOKUP(Tableau21[[#This Row],[Name Shipper]],Plant_AILN!L:M,2,FALSE),0)</f>
        <v>27261102</v>
      </c>
      <c r="Z33" s="52"/>
      <c r="AA33" s="353" t="e">
        <f ca="1">IFERROR(VLOOKUP(Tableau21[[#This Row],[Key(ID-Next)]],'DATA BTO'!A:N,5,FALSE),VLOOKUP(_xlfn.CONCAT(Tableau21[[#This Row],[ID]],"-","Actif"),'DATA BTO'!A:N,5,FALSE))</f>
        <v>#N/A</v>
      </c>
      <c r="AB33" s="3" t="e">
        <f ca="1">IFERROR(VLOOKUP(Tableau21[[#This Row],[Key(ID-Next)]],'DATA BTO'!A:N,6,FALSE),VLOOKUP(_xlfn.CONCAT(Tableau21[[#This Row],[ID]],"-","Actif"),'DATA BTO'!A:N,6,FALSE))</f>
        <v>#N/A</v>
      </c>
      <c r="AC33" s="50" t="e">
        <f ca="1">IFERROR(VLOOKUP(Tableau21[[#This Row],[Key(ID-Next)]],'DATA BTO'!A:N,7,FALSE),VLOOKUP(_xlfn.CONCAT(Tableau21[[#This Row],[ID]],"-","Actif"),'DATA BTO'!A:N,7,FALSE))</f>
        <v>#N/A</v>
      </c>
      <c r="AD33" s="50" t="e">
        <f ca="1">IFERROR(VLOOKUP(Tableau21[[#This Row],[Key(ID-Next)]],'DATA BTO'!A:N,8,FALSE),VLOOKUP(_xlfn.CONCAT(Tableau21[[#This Row],[ID]],"-","Actif"),'DATA BTO'!A:N,8,FALSE))</f>
        <v>#N/A</v>
      </c>
      <c r="AE33" s="50" t="e">
        <f ca="1">IFERROR(VLOOKUP(Tableau21[[#This Row],[Key(ID-Next)]],'DATA BTO'!A:N,9,FALSE),VLOOKUP(_xlfn.CONCAT(Tableau21[[#This Row],[ID]],"-","Actif"),'DATA BTO'!A:N,9,FALSE))</f>
        <v>#N/A</v>
      </c>
      <c r="AF33" s="3" t="e">
        <f ca="1">IFERROR(VLOOKUP(Tableau21[[#This Row],[Key(ID-Next)]],'DATA BTO'!A:N,10,FALSE),VLOOKUP(_xlfn.CONCAT(Tableau21[[#This Row],[ID]],"-","Actif"),'DATA BTO'!A:N,10,FALSE))</f>
        <v>#N/A</v>
      </c>
      <c r="AG33" s="3" t="e">
        <f ca="1">IFERROR(VLOOKUP(Tableau21[[#This Row],[Key(ID-Next)]],'DATA BTO'!A:N,11,FALSE),VLOOKUP(_xlfn.CONCAT(Tableau21[[#This Row],[ID]],"-","Actif"),'DATA BTO'!A:N,11,FALSE))</f>
        <v>#N/A</v>
      </c>
      <c r="AH33" s="50" t="e">
        <f ca="1">IFERROR(VLOOKUP(Tableau21[[#This Row],[Key(ID-Next)]],'DATA BTO'!A:N,12,FALSE),VLOOKUP(_xlfn.CONCAT(Tableau21[[#This Row],[ID]],"-","Actif"),'DATA BTO'!A:N,12,FALSE))</f>
        <v>#N/A</v>
      </c>
      <c r="AI33" s="53" t="e">
        <f ca="1">IFERROR(VLOOKUP(Tableau21[[#This Row],[Key(ID-Next)]],'DATA BTO'!A:N,14,FALSE),VLOOKUP(_xlfn.CONCAT(Tableau21[[#This Row],[ID]],"-","Actif"),'DATA BTO'!A:N,14,FALSE))</f>
        <v>#N/A</v>
      </c>
      <c r="AJ33" s="54" t="e">
        <f ca="1">VLOOKUP(Tableau21[[#This Row],[Key(POD -PFI- Usine)]],'DATA Consignee'!A:F,6,FALSE)</f>
        <v>#N/A</v>
      </c>
      <c r="AK33" s="283"/>
      <c r="AL33" s="490" t="str">
        <f>IF(Tableau21[[#This Row],[Name PFI/CDD]]="","-",VLOOKUP(Tableau21[[#This Row],[Name PFI/CDD]],Plant_AILN!I:J,2,FALSE))</f>
        <v>-</v>
      </c>
      <c r="AM33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3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3" s="2" t="e">
        <f ca="1">VLOOKUP(Tableau21[[#This Row],[Key(POD -PFI- Usine)]],'DATA Consignee'!A:J,10,FALSE)</f>
        <v>#N/A</v>
      </c>
      <c r="AP33" s="50" t="e">
        <f ca="1">VLOOKUP(Tableau21[[#This Row],[Key(POD -PFI- Usine)]],'DATA Consignee'!A:N,14,FALSE)</f>
        <v>#N/A</v>
      </c>
      <c r="AQ33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3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3" s="50" t="e">
        <f ca="1">Tableau21[[#This Row],[Transit time]]+Tableau21[[#This Row],[Time for security]]+Tableau21[[#This Row],[Time for security2 buffer]]</f>
        <v>#N/A</v>
      </c>
      <c r="AT33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3" s="50" t="e">
        <f ca="1">Tableau21[[#This Row],[Leadtime SI2C]]+Tableau21[[#This Row],[First Receipt Days]]-Tableau21[[#This Row],[Day Customer Order]]+1</f>
        <v>#N/A</v>
      </c>
      <c r="AV33" s="117" t="e">
        <f ca="1">IF(Tableau21[[#This Row],[Name ILN]]&lt;&gt;"SFK Freight Forwarder",Tableau21[[#This Row],[Cust. Leadtime]],Tableau21[[#This Row],[Leadtime SI2C]])</f>
        <v>#N/A</v>
      </c>
      <c r="AW33" t="s">
        <v>216</v>
      </c>
      <c r="AX33" s="328" t="e">
        <f ca="1">IFERROR(VLOOKUP(Tableau21[[#This Row],[Key(ID-Next)]],'DATA BTO'!A:N,3,FALSE),VLOOKUP(Tableau21[[#This Row],[ID]],'DATA BTO'!B:N,2,FALSE))</f>
        <v>#N/A</v>
      </c>
      <c r="AY33" s="50" t="str">
        <f>IF(ISNUMBER(Tableau21[[#This Row],[Day Customer Order]]),"-","Please Check 'Name' information in 'Order' Sheet to make sure they have information")</f>
        <v>-</v>
      </c>
      <c r="AZ33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3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3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3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4" spans="2:55">
      <c r="B34" s="65" t="str">
        <f>_xlfn.CONCAT(Tableau21[[#This Row],[Name ILN]],"-",Tableau21[[#This Row],[Name Shipper]],"-",Tableau21[[#This Row],[Name Site]])</f>
        <v>NSL Shanghai-NSL Shanghai-CORDOBA</v>
      </c>
      <c r="C34" s="64" t="e">
        <f ca="1">_xlfn.CONCAT(Tableau21[[#This Row],[Compte ILN]],"-",Tableau21[[#This Row],[Compte Shipper]],"-",Tableau21[[#This Row],[POL]],"-",Tableau21[[#This Row],[Compte Site]])</f>
        <v>#N/A</v>
      </c>
      <c r="D34" s="64" t="e">
        <f ca="1">_xlfn.CONCAT(Tableau21[[#This Row],[Compte ILN]],"-",Tableau21[[#This Row],[Compte Shipper]],"-",Tableau21[[#This Row],[POL]])</f>
        <v>#N/A</v>
      </c>
      <c r="E34" s="128" t="e">
        <f ca="1">_xlfn.CONCAT(Tableau21[[#This Row],[POL]],"-",Tableau21[[#This Row],[Carrier]],"-",Tableau21[[#This Row],[POD]])</f>
        <v>#N/A</v>
      </c>
      <c r="F34" s="64" t="str">
        <f>_xlfn.CONCAT(Tableau21[[#This Row],[ID]],"-","Next")</f>
        <v>-Next</v>
      </c>
      <c r="G34" s="64" t="e">
        <f ca="1">_xlfn.CONCAT(Tableau21[[#This Row],[POD]],"-",Tableau21[[#This Row],[Code PFI]],"-",Tableau21[[#This Row],[Compte Site]])</f>
        <v>#N/A</v>
      </c>
      <c r="H34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4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4" s="117" t="str">
        <f ca="1">IF(COUNTIF(I:I,Tableau21[[#This Row],[Plant-ILN-shipper-POL-Carrier-POD-PFI]])=1,"Non","Oui")</f>
        <v>Oui</v>
      </c>
      <c r="K34" s="126" t="str">
        <f>VLOOKUP(Tableau21[[#This Row],[Name Site]],Plant_AILN!A:D,4,FALSE)</f>
        <v>ARGENTINA</v>
      </c>
      <c r="L34" s="57" t="s">
        <v>169</v>
      </c>
      <c r="M34" s="481">
        <f>VLOOKUP(Tableau21[[#This Row],[Name Site]],Plant_AILN!A:C,3,FALSE)</f>
        <v>90016000</v>
      </c>
      <c r="N34" s="55">
        <f>VLOOKUP(Tableau21[[#This Row],[Compte Site]],Order!C:D,2,FALSE)</f>
        <v>7</v>
      </c>
      <c r="O34" s="124" t="s">
        <v>193</v>
      </c>
      <c r="P34" s="481">
        <f>VLOOKUP(Tableau21[[#This Row],[Name ILN]],Plant_AILN!F:G,2,FALSE)</f>
        <v>27261102</v>
      </c>
      <c r="Q34" s="50">
        <f>VLOOKUP(Tableau21[[#This Row],[Compte ILN]],'DATA ILN'!D:I,6,FALSE)</f>
        <v>16</v>
      </c>
      <c r="R34" s="50" t="e">
        <f ca="1">IFERROR(VLOOKUP(Tableau21[[#This Row],[Key(Compte ILN - shipper - POL - plant)]],'DATA ILN'!A:J,10,FALSE),VLOOKUP(Tableau21[[#This Row],[Key(Compte ILN - shipper - POL)]],'DATA ILN'!B:J,9,FALSE))</f>
        <v>#N/A</v>
      </c>
      <c r="S34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4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4" s="50" t="e">
        <f ca="1">Tableau21[[#This Row],[Day ILN Order]]+Tableau21[[#This Row],[Delivery time to ILN/Shipper]]-1</f>
        <v>#N/A</v>
      </c>
      <c r="V34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4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4" s="349" t="s">
        <v>193</v>
      </c>
      <c r="Y34" s="494">
        <f>IFERROR(VLOOKUP(Tableau21[[#This Row],[Name Shipper]],Plant_AILN!L:M,2,FALSE),0)</f>
        <v>27261102</v>
      </c>
      <c r="Z34" s="52"/>
      <c r="AA34" s="353" t="e">
        <f ca="1">IFERROR(VLOOKUP(Tableau21[[#This Row],[Key(ID-Next)]],'DATA BTO'!A:N,5,FALSE),VLOOKUP(_xlfn.CONCAT(Tableau21[[#This Row],[ID]],"-","Actif"),'DATA BTO'!A:N,5,FALSE))</f>
        <v>#N/A</v>
      </c>
      <c r="AB34" s="3" t="e">
        <f ca="1">IFERROR(VLOOKUP(Tableau21[[#This Row],[Key(ID-Next)]],'DATA BTO'!A:N,6,FALSE),VLOOKUP(_xlfn.CONCAT(Tableau21[[#This Row],[ID]],"-","Actif"),'DATA BTO'!A:N,6,FALSE))</f>
        <v>#N/A</v>
      </c>
      <c r="AC34" s="50" t="e">
        <f ca="1">IFERROR(VLOOKUP(Tableau21[[#This Row],[Key(ID-Next)]],'DATA BTO'!A:N,7,FALSE),VLOOKUP(_xlfn.CONCAT(Tableau21[[#This Row],[ID]],"-","Actif"),'DATA BTO'!A:N,7,FALSE))</f>
        <v>#N/A</v>
      </c>
      <c r="AD34" s="50" t="e">
        <f ca="1">IFERROR(VLOOKUP(Tableau21[[#This Row],[Key(ID-Next)]],'DATA BTO'!A:N,8,FALSE),VLOOKUP(_xlfn.CONCAT(Tableau21[[#This Row],[ID]],"-","Actif"),'DATA BTO'!A:N,8,FALSE))</f>
        <v>#N/A</v>
      </c>
      <c r="AE34" s="50" t="e">
        <f ca="1">IFERROR(VLOOKUP(Tableau21[[#This Row],[Key(ID-Next)]],'DATA BTO'!A:N,9,FALSE),VLOOKUP(_xlfn.CONCAT(Tableau21[[#This Row],[ID]],"-","Actif"),'DATA BTO'!A:N,9,FALSE))</f>
        <v>#N/A</v>
      </c>
      <c r="AF34" s="3" t="e">
        <f ca="1">IFERROR(VLOOKUP(Tableau21[[#This Row],[Key(ID-Next)]],'DATA BTO'!A:N,10,FALSE),VLOOKUP(_xlfn.CONCAT(Tableau21[[#This Row],[ID]],"-","Actif"),'DATA BTO'!A:N,10,FALSE))</f>
        <v>#N/A</v>
      </c>
      <c r="AG34" s="3" t="e">
        <f ca="1">IFERROR(VLOOKUP(Tableau21[[#This Row],[Key(ID-Next)]],'DATA BTO'!A:N,11,FALSE),VLOOKUP(_xlfn.CONCAT(Tableau21[[#This Row],[ID]],"-","Actif"),'DATA BTO'!A:N,11,FALSE))</f>
        <v>#N/A</v>
      </c>
      <c r="AH34" s="50" t="e">
        <f ca="1">IFERROR(VLOOKUP(Tableau21[[#This Row],[Key(ID-Next)]],'DATA BTO'!A:N,12,FALSE),VLOOKUP(_xlfn.CONCAT(Tableau21[[#This Row],[ID]],"-","Actif"),'DATA BTO'!A:N,12,FALSE))</f>
        <v>#N/A</v>
      </c>
      <c r="AI34" s="53" t="e">
        <f ca="1">IFERROR(VLOOKUP(Tableau21[[#This Row],[Key(ID-Next)]],'DATA BTO'!A:N,14,FALSE),VLOOKUP(_xlfn.CONCAT(Tableau21[[#This Row],[ID]],"-","Actif"),'DATA BTO'!A:N,14,FALSE))</f>
        <v>#N/A</v>
      </c>
      <c r="AJ34" s="54" t="e">
        <f ca="1">VLOOKUP(Tableau21[[#This Row],[Key(POD -PFI- Usine)]],'DATA Consignee'!A:F,6,FALSE)</f>
        <v>#N/A</v>
      </c>
      <c r="AK34" s="283"/>
      <c r="AL34" s="490" t="str">
        <f>IF(Tableau21[[#This Row],[Name PFI/CDD]]="","-",VLOOKUP(Tableau21[[#This Row],[Name PFI/CDD]],Plant_AILN!I:J,2,FALSE))</f>
        <v>-</v>
      </c>
      <c r="AM34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4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4" s="2" t="e">
        <f ca="1">VLOOKUP(Tableau21[[#This Row],[Key(POD -PFI- Usine)]],'DATA Consignee'!A:J,10,FALSE)</f>
        <v>#N/A</v>
      </c>
      <c r="AP34" s="50" t="e">
        <f ca="1">VLOOKUP(Tableau21[[#This Row],[Key(POD -PFI- Usine)]],'DATA Consignee'!A:N,14,FALSE)</f>
        <v>#N/A</v>
      </c>
      <c r="AQ34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4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4" s="50" t="e">
        <f ca="1">Tableau21[[#This Row],[Transit time]]+Tableau21[[#This Row],[Time for security]]+Tableau21[[#This Row],[Time for security2 buffer]]</f>
        <v>#N/A</v>
      </c>
      <c r="AT34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4" s="50" t="e">
        <f ca="1">Tableau21[[#This Row],[Leadtime SI2C]]+Tableau21[[#This Row],[First Receipt Days]]-Tableau21[[#This Row],[Day Customer Order]]+1</f>
        <v>#N/A</v>
      </c>
      <c r="AV34" s="117" t="e">
        <f ca="1">IF(Tableau21[[#This Row],[Name ILN]]&lt;&gt;"SFK Freight Forwarder",Tableau21[[#This Row],[Cust. Leadtime]],Tableau21[[#This Row],[Leadtime SI2C]])</f>
        <v>#N/A</v>
      </c>
      <c r="AW34" t="s">
        <v>216</v>
      </c>
      <c r="AX34" s="328" t="e">
        <f ca="1">IFERROR(VLOOKUP(Tableau21[[#This Row],[Key(ID-Next)]],'DATA BTO'!A:N,3,FALSE),VLOOKUP(Tableau21[[#This Row],[ID]],'DATA BTO'!B:N,2,FALSE))</f>
        <v>#N/A</v>
      </c>
      <c r="AY34" s="50" t="str">
        <f>IF(ISNUMBER(Tableau21[[#This Row],[Day Customer Order]]),"-","Please Check 'Name' information in 'Order' Sheet to make sure they have information")</f>
        <v>-</v>
      </c>
      <c r="AZ34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4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4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4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5" spans="2:55">
      <c r="B35" s="65" t="str">
        <f>_xlfn.CONCAT(Tableau21[[#This Row],[Name ILN]],"-",Tableau21[[#This Row],[Name Shipper]],"-",Tableau21[[#This Row],[Name Site]])</f>
        <v>NSL Shanghai-NSL Shanghai-FLINS</v>
      </c>
      <c r="C35" s="64" t="e">
        <f ca="1">_xlfn.CONCAT(Tableau21[[#This Row],[Compte ILN]],"-",Tableau21[[#This Row],[Compte Shipper]],"-",Tableau21[[#This Row],[POL]],"-",Tableau21[[#This Row],[Compte Site]])</f>
        <v>#N/A</v>
      </c>
      <c r="D35" s="64" t="e">
        <f ca="1">_xlfn.CONCAT(Tableau21[[#This Row],[Compte ILN]],"-",Tableau21[[#This Row],[Compte Shipper]],"-",Tableau21[[#This Row],[POL]])</f>
        <v>#N/A</v>
      </c>
      <c r="E35" s="128" t="e">
        <f ca="1">_xlfn.CONCAT(Tableau21[[#This Row],[POL]],"-",Tableau21[[#This Row],[Carrier]],"-",Tableau21[[#This Row],[POD]])</f>
        <v>#N/A</v>
      </c>
      <c r="F35" s="64" t="str">
        <f>_xlfn.CONCAT(Tableau21[[#This Row],[ID]],"-","Next")</f>
        <v>AE11-Next</v>
      </c>
      <c r="G35" s="64" t="e">
        <f ca="1">_xlfn.CONCAT(Tableau21[[#This Row],[POD]],"-",Tableau21[[#This Row],[Code PFI]],"-",Tableau21[[#This Row],[Compte Site]])</f>
        <v>#N/A</v>
      </c>
      <c r="H35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5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5" s="117" t="str">
        <f ca="1">IF(COUNTIF(I:I,Tableau21[[#This Row],[Plant-ILN-shipper-POL-Carrier-POD-PFI]])=1,"Non","Oui")</f>
        <v>Oui</v>
      </c>
      <c r="K35" s="126" t="str">
        <f>VLOOKUP(Tableau21[[#This Row],[Name Site]],Plant_AILN!A:D,4,FALSE)</f>
        <v>FRANCE</v>
      </c>
      <c r="L35" s="57" t="s">
        <v>187</v>
      </c>
      <c r="M35" s="481">
        <f>VLOOKUP(Tableau21[[#This Row],[Name Site]],Plant_AILN!A:C,3,FALSE)</f>
        <v>90015100</v>
      </c>
      <c r="N35" s="55">
        <f>VLOOKUP(Tableau21[[#This Row],[Compte Site]],Order!C:D,2,FALSE)</f>
        <v>7</v>
      </c>
      <c r="O35" s="124" t="s">
        <v>193</v>
      </c>
      <c r="P35" s="481">
        <f>VLOOKUP(Tableau21[[#This Row],[Name ILN]],Plant_AILN!F:G,2,FALSE)</f>
        <v>27261102</v>
      </c>
      <c r="Q35" s="50">
        <f>VLOOKUP(Tableau21[[#This Row],[Compte ILN]],'DATA ILN'!D:I,6,FALSE)</f>
        <v>16</v>
      </c>
      <c r="R35" s="50" t="e">
        <f ca="1">IFERROR(VLOOKUP(Tableau21[[#This Row],[Key(Compte ILN - shipper - POL - plant)]],'DATA ILN'!A:J,10,FALSE),VLOOKUP(Tableau21[[#This Row],[Key(Compte ILN - shipper - POL)]],'DATA ILN'!B:J,9,FALSE))</f>
        <v>#N/A</v>
      </c>
      <c r="S35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5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5" s="50" t="e">
        <f ca="1">Tableau21[[#This Row],[Day ILN Order]]+Tableau21[[#This Row],[Delivery time to ILN/Shipper]]-1</f>
        <v>#N/A</v>
      </c>
      <c r="V35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5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5" s="349" t="s">
        <v>193</v>
      </c>
      <c r="Y35" s="494">
        <f>IFERROR(VLOOKUP(Tableau21[[#This Row],[Name Shipper]],Plant_AILN!L:M,2,FALSE),0)</f>
        <v>27261102</v>
      </c>
      <c r="Z35" s="52" t="s">
        <v>198</v>
      </c>
      <c r="AA35" s="353" t="e">
        <f ca="1">IFERROR(VLOOKUP(Tableau21[[#This Row],[Key(ID-Next)]],'DATA BTO'!A:N,5,FALSE),VLOOKUP(_xlfn.CONCAT(Tableau21[[#This Row],[ID]],"-","Actif"),'DATA BTO'!A:N,5,FALSE))</f>
        <v>#N/A</v>
      </c>
      <c r="AB35" s="3" t="e">
        <f ca="1">IFERROR(VLOOKUP(Tableau21[[#This Row],[Key(ID-Next)]],'DATA BTO'!A:N,6,FALSE),VLOOKUP(_xlfn.CONCAT(Tableau21[[#This Row],[ID]],"-","Actif"),'DATA BTO'!A:N,6,FALSE))</f>
        <v>#N/A</v>
      </c>
      <c r="AC35" s="50" t="e">
        <f ca="1">IFERROR(VLOOKUP(Tableau21[[#This Row],[Key(ID-Next)]],'DATA BTO'!A:N,7,FALSE),VLOOKUP(_xlfn.CONCAT(Tableau21[[#This Row],[ID]],"-","Actif"),'DATA BTO'!A:N,7,FALSE))</f>
        <v>#N/A</v>
      </c>
      <c r="AD35" s="50" t="e">
        <f ca="1">IFERROR(VLOOKUP(Tableau21[[#This Row],[Key(ID-Next)]],'DATA BTO'!A:N,8,FALSE),VLOOKUP(_xlfn.CONCAT(Tableau21[[#This Row],[ID]],"-","Actif"),'DATA BTO'!A:N,8,FALSE))</f>
        <v>#N/A</v>
      </c>
      <c r="AE35" s="50" t="e">
        <f ca="1">IFERROR(VLOOKUP(Tableau21[[#This Row],[Key(ID-Next)]],'DATA BTO'!A:N,9,FALSE),VLOOKUP(_xlfn.CONCAT(Tableau21[[#This Row],[ID]],"-","Actif"),'DATA BTO'!A:N,9,FALSE))</f>
        <v>#N/A</v>
      </c>
      <c r="AF35" s="3" t="e">
        <f ca="1">IFERROR(VLOOKUP(Tableau21[[#This Row],[Key(ID-Next)]],'DATA BTO'!A:N,10,FALSE),VLOOKUP(_xlfn.CONCAT(Tableau21[[#This Row],[ID]],"-","Actif"),'DATA BTO'!A:N,10,FALSE))</f>
        <v>#N/A</v>
      </c>
      <c r="AG35" s="3" t="e">
        <f ca="1">IFERROR(VLOOKUP(Tableau21[[#This Row],[Key(ID-Next)]],'DATA BTO'!A:N,11,FALSE),VLOOKUP(_xlfn.CONCAT(Tableau21[[#This Row],[ID]],"-","Actif"),'DATA BTO'!A:N,11,FALSE))</f>
        <v>#N/A</v>
      </c>
      <c r="AH35" s="50" t="e">
        <f ca="1">IFERROR(VLOOKUP(Tableau21[[#This Row],[Key(ID-Next)]],'DATA BTO'!A:N,12,FALSE),VLOOKUP(_xlfn.CONCAT(Tableau21[[#This Row],[ID]],"-","Actif"),'DATA BTO'!A:N,12,FALSE))</f>
        <v>#N/A</v>
      </c>
      <c r="AI35" s="53" t="e">
        <f ca="1">IFERROR(VLOOKUP(Tableau21[[#This Row],[Key(ID-Next)]],'DATA BTO'!A:N,14,FALSE),VLOOKUP(_xlfn.CONCAT(Tableau21[[#This Row],[ID]],"-","Actif"),'DATA BTO'!A:N,14,FALSE))</f>
        <v>#N/A</v>
      </c>
      <c r="AJ35" s="54" t="e">
        <f ca="1">VLOOKUP(Tableau21[[#This Row],[Key(POD -PFI- Usine)]],'DATA Consignee'!A:F,6,FALSE)</f>
        <v>#N/A</v>
      </c>
      <c r="AK35" s="283" t="s">
        <v>161</v>
      </c>
      <c r="AL35" s="490">
        <f>IF(Tableau21[[#This Row],[Name PFI/CDD]]="","-",VLOOKUP(Tableau21[[#This Row],[Name PFI/CDD]],Plant_AILN!I:J,2,FALSE))</f>
        <v>91018400</v>
      </c>
      <c r="AM35" s="6" t="e">
        <f ca="1">IF(COUNTIF(buffer_train[AILN],Tableau21[[#This Row],[Name PFI/CDD]])&gt;0,Tableau21[[#This Row],[First Receipt Days]]+Tableau21[[#This Row],[Cust.]]+Tableau21[[#This Row],[Parts Vanning]]+Tableau21[[#This Row],[Transit Time2]],"-")</f>
        <v>#N/A</v>
      </c>
      <c r="AN35" s="6" t="e">
        <f ca="1"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#N/A</v>
      </c>
      <c r="AO35" s="2" t="e">
        <f ca="1">VLOOKUP(Tableau21[[#This Row],[Key(POD -PFI- Usine)]],'DATA Consignee'!A:J,10,FALSE)</f>
        <v>#N/A</v>
      </c>
      <c r="AP35" s="50" t="e">
        <f ca="1">VLOOKUP(Tableau21[[#This Row],[Key(POD -PFI- Usine)]],'DATA Consignee'!A:N,14,FALSE)</f>
        <v>#N/A</v>
      </c>
      <c r="AQ35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5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5" s="50" t="e">
        <f ca="1">Tableau21[[#This Row],[Transit time]]+Tableau21[[#This Row],[Time for security]]+Tableau21[[#This Row],[Time for security2 buffer]]</f>
        <v>#N/A</v>
      </c>
      <c r="AT35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5" s="50" t="e">
        <f ca="1">Tableau21[[#This Row],[Leadtime SI2C]]+Tableau21[[#This Row],[First Receipt Days]]-Tableau21[[#This Row],[Day Customer Order]]+1</f>
        <v>#N/A</v>
      </c>
      <c r="AV35" s="117" t="e">
        <f ca="1">IF(Tableau21[[#This Row],[Name ILN]]&lt;&gt;"SFK Freight Forwarder",Tableau21[[#This Row],[Cust. Leadtime]],Tableau21[[#This Row],[Leadtime SI2C]])</f>
        <v>#N/A</v>
      </c>
      <c r="AW35" s="57"/>
      <c r="AX35" s="328" t="e">
        <f ca="1">IFERROR(VLOOKUP(Tableau21[[#This Row],[Key(ID-Next)]],'DATA BTO'!A:N,3,FALSE),VLOOKUP(Tableau21[[#This Row],[ID]],'DATA BTO'!B:N,2,FALSE))</f>
        <v>#N/A</v>
      </c>
      <c r="AY35" s="50" t="str">
        <f>IF(ISNUMBER(Tableau21[[#This Row],[Day Customer Order]]),"-","Please Check 'Name' information in 'Order' Sheet to make sure they have information")</f>
        <v>-</v>
      </c>
      <c r="AZ35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5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5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5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6" spans="2:55" ht="15.75" customHeight="1" thickBot="1">
      <c r="B36" s="65" t="str">
        <f>_xlfn.CONCAT(Tableau21[[#This Row],[Name ILN]],"-",Tableau21[[#This Row],[Name Shipper]],"-",Tableau21[[#This Row],[Name Site]])</f>
        <v>NSL Shanghai-NSL Shanghai-RKM</v>
      </c>
      <c r="C36" s="64" t="e">
        <f ca="1">_xlfn.CONCAT(Tableau21[[#This Row],[Compte ILN]],"-",Tableau21[[#This Row],[Compte Shipper]],"-",Tableau21[[#This Row],[POL]],"-",Tableau21[[#This Row],[Compte Site]])</f>
        <v>#N/A</v>
      </c>
      <c r="D36" s="64" t="e">
        <f ca="1">_xlfn.CONCAT(Tableau21[[#This Row],[Compte ILN]],"-",Tableau21[[#This Row],[Compte Shipper]],"-",Tableau21[[#This Row],[POL]])</f>
        <v>#N/A</v>
      </c>
      <c r="E36" s="128" t="e">
        <f ca="1">_xlfn.CONCAT(Tableau21[[#This Row],[POL]],"-",Tableau21[[#This Row],[Carrier]],"-",Tableau21[[#This Row],[POD]])</f>
        <v>#N/A</v>
      </c>
      <c r="F36" s="64" t="str">
        <f>_xlfn.CONCAT(Tableau21[[#This Row],[ID]],"-","Next")</f>
        <v>AK6-Next</v>
      </c>
      <c r="G36" s="64" t="e">
        <f ca="1">_xlfn.CONCAT(Tableau21[[#This Row],[POD]],"-",Tableau21[[#This Row],[Code PFI]],"-",Tableau21[[#This Row],[Compte Site]])</f>
        <v>#N/A</v>
      </c>
      <c r="H36" s="129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6" s="82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6" s="117" t="str">
        <f ca="1">IF(COUNTIF(I:I,Tableau21[[#This Row],[Plant-ILN-shipper-POL-Carrier-POD-PFI]])=1,"Non","Oui")</f>
        <v>Oui</v>
      </c>
      <c r="K36" s="126" t="str">
        <f>VLOOKUP(Tableau21[[#This Row],[Name Site]],Plant_AILN!A:D,4,FALSE)</f>
        <v>KOREA</v>
      </c>
      <c r="L36" s="74" t="s">
        <v>36</v>
      </c>
      <c r="M36" s="481">
        <f>VLOOKUP(Tableau21[[#This Row],[Name Site]],Plant_AILN!A:C,3,FALSE)</f>
        <v>92002200</v>
      </c>
      <c r="N36" s="55">
        <f>VLOOKUP(Tableau21[[#This Row],[Compte Site]],Order!C:D,2,FALSE)</f>
        <v>7</v>
      </c>
      <c r="O36" s="124" t="s">
        <v>193</v>
      </c>
      <c r="P36" s="481">
        <f>VLOOKUP(Tableau21[[#This Row],[Name ILN]],Plant_AILN!F:G,2,FALSE)</f>
        <v>27261102</v>
      </c>
      <c r="Q36" s="50">
        <f>VLOOKUP(Tableau21[[#This Row],[Compte ILN]],'DATA ILN'!D:I,6,FALSE)</f>
        <v>16</v>
      </c>
      <c r="R36" s="50" t="e">
        <f ca="1">IFERROR(VLOOKUP(Tableau21[[#This Row],[Key(Compte ILN - shipper - POL - plant)]],'DATA ILN'!A:J,10,FALSE),VLOOKUP(Tableau21[[#This Row],[Key(Compte ILN - shipper - POL)]],'DATA ILN'!B:J,9,FALSE))</f>
        <v>#N/A</v>
      </c>
      <c r="S36" s="50" t="e">
        <f ca="1">IFERROR(VLOOKUP(Tableau21[[#This Row],[Key(Compte ILN - shipper - POL - plant)]],'DATA ILN'!A:K,11,FALSE),VLOOKUP(Tableau21[[#This Row],[Key(Compte ILN - shipper - POL)]],'DATA ILN'!B:K,10,FALSE))</f>
        <v>#N/A</v>
      </c>
      <c r="T36" s="50" t="e">
        <f ca="1">IFERROR(VLOOKUP(Tableau21[[#This Row],[Key(Compte ILN - shipper - POL - plant)]],'DATA ILN'!A:L,12,FALSE),VLOOKUP(Tableau21[[#This Row],[Key(Compte ILN - shipper - POL)]],'DATA ILN'!B:L,11,FALSE))</f>
        <v>#N/A</v>
      </c>
      <c r="U36" s="50" t="e">
        <f ca="1">Tableau21[[#This Row],[Day ILN Order]]+Tableau21[[#This Row],[Delivery time to ILN/Shipper]]-1</f>
        <v>#N/A</v>
      </c>
      <c r="V36" s="50" t="e">
        <f ca="1">IFERROR(VLOOKUP(Tableau21[[#This Row],[Key(Compte ILN - shipper - POL - plant)]],'DATA ILN'!A:N,14,FALSE),VLOOKUP(Tableau21[[#This Row],[Key(Compte ILN - shipper - POL)]],'DATA ILN'!B:N,13,FALSE))</f>
        <v>#N/A</v>
      </c>
      <c r="W36" s="53" t="e">
        <f ca="1">IFERROR(VLOOKUP(Tableau21[[#This Row],[Key(Compte ILN - shipper - POL - plant)]],'DATA ILN'!A:P,16,FALSE),VLOOKUP(Tableau21[[#This Row],[Key(Compte ILN - shipper - POL)]],'DATA ILN'!B:P,15,FALSE))</f>
        <v>#N/A</v>
      </c>
      <c r="X36" s="352" t="s">
        <v>193</v>
      </c>
      <c r="Y36" s="494">
        <f>IFERROR(VLOOKUP(Tableau21[[#This Row],[Name Shipper]],Plant_AILN!L:M,2,FALSE),0)</f>
        <v>27261102</v>
      </c>
      <c r="Z36" s="52" t="s">
        <v>208</v>
      </c>
      <c r="AA36" s="353" t="e">
        <f ca="1">IFERROR(VLOOKUP(Tableau21[[#This Row],[Key(ID-Next)]],'DATA BTO'!A:N,5,FALSE),VLOOKUP(_xlfn.CONCAT(Tableau21[[#This Row],[ID]],"-","Actif"),'DATA BTO'!A:N,5,FALSE))</f>
        <v>#N/A</v>
      </c>
      <c r="AB36" s="3" t="e">
        <f ca="1">IFERROR(VLOOKUP(Tableau21[[#This Row],[Key(ID-Next)]],'DATA BTO'!A:N,6,FALSE),VLOOKUP(_xlfn.CONCAT(Tableau21[[#This Row],[ID]],"-","Actif"),'DATA BTO'!A:N,6,FALSE))</f>
        <v>#N/A</v>
      </c>
      <c r="AC36" s="50" t="e">
        <f ca="1">IFERROR(VLOOKUP(Tableau21[[#This Row],[Key(ID-Next)]],'DATA BTO'!A:N,7,FALSE),VLOOKUP(_xlfn.CONCAT(Tableau21[[#This Row],[ID]],"-","Actif"),'DATA BTO'!A:N,7,FALSE))</f>
        <v>#N/A</v>
      </c>
      <c r="AD36" s="50" t="e">
        <f ca="1">IFERROR(VLOOKUP(Tableau21[[#This Row],[Key(ID-Next)]],'DATA BTO'!A:N,8,FALSE),VLOOKUP(_xlfn.CONCAT(Tableau21[[#This Row],[ID]],"-","Actif"),'DATA BTO'!A:N,8,FALSE))</f>
        <v>#N/A</v>
      </c>
      <c r="AE36" s="50" t="e">
        <f ca="1">IFERROR(VLOOKUP(Tableau21[[#This Row],[Key(ID-Next)]],'DATA BTO'!A:N,9,FALSE),VLOOKUP(_xlfn.CONCAT(Tableau21[[#This Row],[ID]],"-","Actif"),'DATA BTO'!A:N,9,FALSE))</f>
        <v>#N/A</v>
      </c>
      <c r="AF36" s="3" t="e">
        <f ca="1">IFERROR(VLOOKUP(Tableau21[[#This Row],[Key(ID-Next)]],'DATA BTO'!A:N,10,FALSE),VLOOKUP(_xlfn.CONCAT(Tableau21[[#This Row],[ID]],"-","Actif"),'DATA BTO'!A:N,10,FALSE))</f>
        <v>#N/A</v>
      </c>
      <c r="AG36" s="3" t="e">
        <f ca="1">IFERROR(VLOOKUP(Tableau21[[#This Row],[Key(ID-Next)]],'DATA BTO'!A:N,11,FALSE),VLOOKUP(_xlfn.CONCAT(Tableau21[[#This Row],[ID]],"-","Actif"),'DATA BTO'!A:N,11,FALSE))</f>
        <v>#N/A</v>
      </c>
      <c r="AH36" s="50" t="e">
        <f ca="1">IFERROR(VLOOKUP(Tableau21[[#This Row],[Key(ID-Next)]],'DATA BTO'!A:N,12,FALSE),VLOOKUP(_xlfn.CONCAT(Tableau21[[#This Row],[ID]],"-","Actif"),'DATA BTO'!A:N,12,FALSE))</f>
        <v>#N/A</v>
      </c>
      <c r="AI36" s="53" t="e">
        <f ca="1">IFERROR(VLOOKUP(Tableau21[[#This Row],[Key(ID-Next)]],'DATA BTO'!A:N,14,FALSE),VLOOKUP(_xlfn.CONCAT(Tableau21[[#This Row],[ID]],"-","Actif"),'DATA BTO'!A:N,14,FALSE))</f>
        <v>#N/A</v>
      </c>
      <c r="AJ36" s="54" t="e">
        <f ca="1">VLOOKUP(Tableau21[[#This Row],[Key(POD -PFI- Usine)]],'DATA Consignee'!A:F,6,FALSE)</f>
        <v>#N/A</v>
      </c>
      <c r="AK36" s="283"/>
      <c r="AL36" s="490" t="str">
        <f>IF(Tableau21[[#This Row],[Name PFI/CDD]]="","-",VLOOKUP(Tableau21[[#This Row],[Name PFI/CDD]],Plant_AILN!I:J,2,FALSE))</f>
        <v>-</v>
      </c>
      <c r="AM36" s="6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6" s="6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6" s="2" t="e">
        <f ca="1">VLOOKUP(Tableau21[[#This Row],[Key(POD -PFI- Usine)]],'DATA Consignee'!A:J,10,FALSE)</f>
        <v>#N/A</v>
      </c>
      <c r="AP36" s="50" t="e">
        <f ca="1">VLOOKUP(Tableau21[[#This Row],[Key(POD -PFI- Usine)]],'DATA Consignee'!A:N,14,FALSE)</f>
        <v>#N/A</v>
      </c>
      <c r="AQ36" s="55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6" s="54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6" s="50" t="e">
        <f ca="1">Tableau21[[#This Row],[Transit time]]+Tableau21[[#This Row],[Time for security]]+Tableau21[[#This Row],[Time for security2 buffer]]</f>
        <v>#N/A</v>
      </c>
      <c r="AT36" s="50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6" s="50" t="e">
        <f ca="1">Tableau21[[#This Row],[Leadtime SI2C]]+Tableau21[[#This Row],[First Receipt Days]]-Tableau21[[#This Row],[Day Customer Order]]+1</f>
        <v>#N/A</v>
      </c>
      <c r="AV36" s="117" t="e">
        <f ca="1">IF(Tableau21[[#This Row],[Name ILN]]&lt;&gt;"SFK Freight Forwarder",Tableau21[[#This Row],[Cust. Leadtime]],Tableau21[[#This Row],[Leadtime SI2C]])</f>
        <v>#N/A</v>
      </c>
      <c r="AW36" s="57"/>
      <c r="AX36" s="328" t="e">
        <f ca="1">IFERROR(VLOOKUP(Tableau21[[#This Row],[Key(ID-Next)]],'DATA BTO'!A:N,3,FALSE),VLOOKUP(Tableau21[[#This Row],[ID]],'DATA BTO'!B:N,2,FALSE))</f>
        <v>#N/A</v>
      </c>
      <c r="AY36" s="50" t="str">
        <f>IF(ISNUMBER(Tableau21[[#This Row],[Day Customer Order]]),"-","Please Check 'Name' information in 'Order' Sheet to make sure they have information")</f>
        <v>-</v>
      </c>
      <c r="AZ36" s="50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6" s="50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6" s="50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6" s="55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  <row r="37" spans="2:55">
      <c r="B37" s="370" t="str">
        <f>_xlfn.CONCAT(Tableau21[[#This Row],[Name ILN]],"-",Tableau21[[#This Row],[Name Shipper]],"-",Tableau21[[#This Row],[Name Site]])</f>
        <v>SFK Freight Forwarder-Magna Shanghai-CORDOBA</v>
      </c>
      <c r="C37" s="80" t="e">
        <f ca="1">_xlfn.CONCAT(Tableau21[[#This Row],[Compte ILN]],"-",Tableau21[[#This Row],[Compte Shipper]],"-",Tableau21[[#This Row],[POL]],"-",Tableau21[[#This Row],[Compte Site]])</f>
        <v>#N/A</v>
      </c>
      <c r="D37" s="80" t="e">
        <f ca="1">_xlfn.CONCAT(Tableau21[[#This Row],[Compte ILN]],"-",Tableau21[[#This Row],[Compte Shipper]],"-",Tableau21[[#This Row],[POL]])</f>
        <v>#N/A</v>
      </c>
      <c r="E37" s="81" t="e">
        <f ca="1">_xlfn.CONCAT(Tableau21[[#This Row],[POL]],"-",Tableau21[[#This Row],[Carrier]],"-",Tableau21[[#This Row],[POD]])</f>
        <v>#N/A</v>
      </c>
      <c r="F37" s="80" t="str">
        <f>_xlfn.CONCAT(Tableau21[[#This Row],[ID]],"-","Next")</f>
        <v>308-Next</v>
      </c>
      <c r="G37" s="80" t="e">
        <f ca="1">_xlfn.CONCAT(Tableau21[[#This Row],[POD]],"-",Tableau21[[#This Row],[Code PFI]],"-",Tableau21[[#This Row],[Compte Site]])</f>
        <v>#N/A</v>
      </c>
      <c r="H37" s="115" t="e">
        <f ca="1">_xlfn.CONCAT(IF(Tableau21[[#This Row],[Name ILN]]=Tableau21[[#This Row],[Name Shipper]],Tableau21[[#This Row],[Name ILN]],Tableau21[[#This Row],[Compte Shipper]]),Tableau21[[#This Row],[POL]],Tableau21[[#This Row],[Name Site]])</f>
        <v>#N/A</v>
      </c>
      <c r="I37" s="83" t="e">
        <f ca="1">_xlfn.CONCAT(Tableau21[[#This Row],[Name Site]],"-",Tableau21[[#This Row],[Name ILN]],"-",Tableau21[[#This Row],[Name Shipper]],"-",Tableau21[[#This Row],[ID]],"-",Tableau21[[#This Row],[POL]],"-",Tableau21[[#This Row],[Carrier]],"-",Tableau21[[#This Row],[POD]],"-",Tableau21[[#This Row],[Name PFI/CDD]],)</f>
        <v>#N/A</v>
      </c>
      <c r="J37" s="118" t="str">
        <f ca="1">IF(COUNTIF(I:I,Tableau21[[#This Row],[Plant-ILN-shipper-POL-Carrier-POD-PFI]])=1,"Non","Oui")</f>
        <v>Oui</v>
      </c>
      <c r="K37" s="101" t="str">
        <f>VLOOKUP(Tableau21[[#This Row],[Name Site]],Plant_AILN!A:D,4,FALSE)</f>
        <v>ARGENTINA</v>
      </c>
      <c r="L37" s="74" t="s">
        <v>169</v>
      </c>
      <c r="M37" s="484">
        <f>VLOOKUP(Tableau21[[#This Row],[Name Site]],Plant_AILN!A:C,3,FALSE)</f>
        <v>90016000</v>
      </c>
      <c r="N37" s="102">
        <f>VLOOKUP(Tableau21[[#This Row],[Compte Site]],Order!C:D,2,FALSE)</f>
        <v>7</v>
      </c>
      <c r="O37" s="124" t="s">
        <v>150</v>
      </c>
      <c r="P37" s="484">
        <f>VLOOKUP(Tableau21[[#This Row],[Name ILN]],Plant_AILN!F:G,2,FALSE)</f>
        <v>0</v>
      </c>
      <c r="Q37" s="79">
        <f>VLOOKUP(Tableau21[[#This Row],[Compte ILN]],'DATA ILN'!D:I,6,FALSE)</f>
        <v>9</v>
      </c>
      <c r="R37" s="79" t="e">
        <f ca="1">IFERROR(VLOOKUP(Tableau21[[#This Row],[Key(Compte ILN - shipper - POL - plant)]],'DATA ILN'!A:J,10,FALSE),VLOOKUP(Tableau21[[#This Row],[Key(Compte ILN - shipper - POL)]],'DATA ILN'!B:J,9,FALSE))</f>
        <v>#N/A</v>
      </c>
      <c r="S37" s="79" t="e">
        <f ca="1">IFERROR(VLOOKUP(Tableau21[[#This Row],[Key(Compte ILN - shipper - POL - plant)]],'DATA ILN'!A:K,11,FALSE),VLOOKUP(Tableau21[[#This Row],[Key(Compte ILN - shipper - POL)]],'DATA ILN'!B:K,10,FALSE))</f>
        <v>#N/A</v>
      </c>
      <c r="T37" s="79" t="e">
        <f ca="1">IFERROR(VLOOKUP(Tableau21[[#This Row],[Key(Compte ILN - shipper - POL - plant)]],'DATA ILN'!A:L,12,FALSE),VLOOKUP(Tableau21[[#This Row],[Key(Compte ILN - shipper - POL)]],'DATA ILN'!B:L,11,FALSE))</f>
        <v>#N/A</v>
      </c>
      <c r="U37" s="79" t="e">
        <f ca="1">Tableau21[[#This Row],[Day ILN Order]]+Tableau21[[#This Row],[Delivery time to ILN/Shipper]]-1</f>
        <v>#N/A</v>
      </c>
      <c r="V37" s="79" t="e">
        <f ca="1">IFERROR(VLOOKUP(Tableau21[[#This Row],[Key(Compte ILN - shipper - POL - plant)]],'DATA ILN'!A:N,14,FALSE),VLOOKUP(Tableau21[[#This Row],[Key(Compte ILN - shipper - POL)]],'DATA ILN'!B:N,13,FALSE))</f>
        <v>#N/A</v>
      </c>
      <c r="W37" s="79" t="e">
        <f ca="1">IFERROR(VLOOKUP(Tableau21[[#This Row],[Key(Compte ILN - shipper - POL - plant)]],'DATA ILN'!A:P,16,FALSE),VLOOKUP(Tableau21[[#This Row],[Key(Compte ILN - shipper - POL)]],'DATA ILN'!B:P,15,FALSE))</f>
        <v>#N/A</v>
      </c>
      <c r="X37" s="349" t="s">
        <v>151</v>
      </c>
      <c r="Y37" s="485">
        <f>IFERROR(VLOOKUP(Tableau21[[#This Row],[Name Shipper]],Plant_AILN!L:M,2,FALSE),0)</f>
        <v>42838302</v>
      </c>
      <c r="Z37" s="103">
        <v>308</v>
      </c>
      <c r="AA37" s="354" t="e">
        <f ca="1">IFERROR(VLOOKUP(Tableau21[[#This Row],[Key(ID-Next)]],'DATA BTO'!A:N,5,FALSE),VLOOKUP(_xlfn.CONCAT(Tableau21[[#This Row],[ID]],"-","Actif"),'DATA BTO'!A:N,5,FALSE))</f>
        <v>#N/A</v>
      </c>
      <c r="AB37" s="106" t="e">
        <f ca="1">IFERROR(VLOOKUP(Tableau21[[#This Row],[Key(ID-Next)]],'DATA BTO'!A:N,6,FALSE),VLOOKUP(_xlfn.CONCAT(Tableau21[[#This Row],[ID]],"-","Actif"),'DATA BTO'!A:N,6,FALSE))</f>
        <v>#N/A</v>
      </c>
      <c r="AC37" s="79" t="e">
        <f ca="1">IFERROR(VLOOKUP(Tableau21[[#This Row],[Key(ID-Next)]],'DATA BTO'!A:N,7,FALSE),VLOOKUP(_xlfn.CONCAT(Tableau21[[#This Row],[ID]],"-","Actif"),'DATA BTO'!A:N,7,FALSE))</f>
        <v>#N/A</v>
      </c>
      <c r="AD37" s="79" t="e">
        <f ca="1">IFERROR(VLOOKUP(Tableau21[[#This Row],[Key(ID-Next)]],'DATA BTO'!A:N,8,FALSE),VLOOKUP(_xlfn.CONCAT(Tableau21[[#This Row],[ID]],"-","Actif"),'DATA BTO'!A:N,8,FALSE))</f>
        <v>#N/A</v>
      </c>
      <c r="AE37" s="79" t="e">
        <f ca="1">IFERROR(VLOOKUP(Tableau21[[#This Row],[Key(ID-Next)]],'DATA BTO'!A:N,9,FALSE),VLOOKUP(_xlfn.CONCAT(Tableau21[[#This Row],[ID]],"-","Actif"),'DATA BTO'!A:N,9,FALSE))</f>
        <v>#N/A</v>
      </c>
      <c r="AF37" s="106" t="e">
        <f ca="1">IFERROR(VLOOKUP(Tableau21[[#This Row],[Key(ID-Next)]],'DATA BTO'!A:N,10,FALSE),VLOOKUP(_xlfn.CONCAT(Tableau21[[#This Row],[ID]],"-","Actif"),'DATA BTO'!A:N,10,FALSE))</f>
        <v>#N/A</v>
      </c>
      <c r="AG37" s="106" t="e">
        <f ca="1">IFERROR(VLOOKUP(Tableau21[[#This Row],[Key(ID-Next)]],'DATA BTO'!A:N,11,FALSE),VLOOKUP(_xlfn.CONCAT(Tableau21[[#This Row],[ID]],"-","Actif"),'DATA BTO'!A:N,11,FALSE))</f>
        <v>#N/A</v>
      </c>
      <c r="AH37" s="79" t="e">
        <f ca="1">IFERROR(VLOOKUP(Tableau21[[#This Row],[Key(ID-Next)]],'DATA BTO'!A:N,12,FALSE),VLOOKUP(_xlfn.CONCAT(Tableau21[[#This Row],[ID]],"-","Actif"),'DATA BTO'!A:N,12,FALSE))</f>
        <v>#N/A</v>
      </c>
      <c r="AI37" s="104" t="e">
        <f ca="1">IFERROR(VLOOKUP(Tableau21[[#This Row],[Key(ID-Next)]],'DATA BTO'!A:N,14,FALSE),VLOOKUP(_xlfn.CONCAT(Tableau21[[#This Row],[ID]],"-","Actif"),'DATA BTO'!A:N,14,FALSE))</f>
        <v>#N/A</v>
      </c>
      <c r="AJ37" s="105" t="e">
        <f ca="1">VLOOKUP(Tableau21[[#This Row],[Key(POD -PFI- Usine)]],'DATA Consignee'!A:F,6,FALSE)</f>
        <v>#N/A</v>
      </c>
      <c r="AK37" s="100"/>
      <c r="AL37" s="486" t="str">
        <f>IF(Tableau21[[#This Row],[Name PFI/CDD]]="","-",VLOOKUP(Tableau21[[#This Row],[Name PFI/CDD]],Plant_AILN!I:J,2,FALSE))</f>
        <v>-</v>
      </c>
      <c r="AM37" s="107" t="str">
        <f>IF(COUNTIF(buffer_train[AILN],Tableau21[[#This Row],[Name PFI/CDD]])&gt;0,Tableau21[[#This Row],[First Receipt Days]]+Tableau21[[#This Row],[Cust.]]+Tableau21[[#This Row],[Parts Vanning]]+Tableau21[[#This Row],[Transit Time2]],"-")</f>
        <v>-</v>
      </c>
      <c r="AN37" s="107" t="str">
        <f>IF(Tableau21[[#This Row],[Leadtime train]]="-","-",MIN(MOD(VLOOKUP(Tableau21[[#This Row],[Name PFI/CDD]],buffer_train[],4,FALSE)-1-MOD(Tableau21[[#This Row],[Leadtime train]],7)+7,7),IF(VLOOKUP(Tableau21[[#This Row],[Name PFI/CDD]],buffer_train[],5,FALSE)&gt;0,MOD(VLOOKUP(Tableau21[[#This Row],[Name PFI/CDD]],buffer_train[],5,FALSE)-1-MOD(Tableau21[[#This Row],[Leadtime train]],7)+7,7),7)))</f>
        <v>-</v>
      </c>
      <c r="AO37" s="108" t="e">
        <f ca="1">VLOOKUP(Tableau21[[#This Row],[Key(POD -PFI- Usine)]],'DATA Consignee'!A:J,10,FALSE)</f>
        <v>#N/A</v>
      </c>
      <c r="AP37" s="79" t="e">
        <f ca="1">VLOOKUP(Tableau21[[#This Row],[Key(POD -PFI- Usine)]],'DATA Consignee'!A:N,14,FALSE)</f>
        <v>#N/A</v>
      </c>
      <c r="AQ37" s="102" t="e">
        <f ca="1">IF((7-MOD(Tableau21[[#This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train]]),7))=7,0,7-MOD(Tableau21[[#This Row],[Transit time]]+Tableau21[[#This Row],[Time for security]]+Tableau21[[#This Row],[Time for security2 buffer]]+Tableau21[[#This Row],[Cust.]]+IF(Tableau21[[#This Row],[Trpt POD &gt; PFI]]="-",0,Tableau21[[#This Row],[Trpt POD &gt; PFI]])+Tableau21[[#This Row],[Trpt POD/PFI vers Usine]]+Tableau21[[#This Row],[Parts Vanning]]+15+IF(Tableau21[[#This Row],[Buffer train]]="-",0,Tableau21[[#This Row],[Buffer train]]),7))</f>
        <v>#N/A</v>
      </c>
      <c r="AR37" s="105" t="e">
        <f ca="1">IF(AND(Tableau21[[#This Row],[First Day to POL]]=7,(INT((Tableau21[[#This Row],[Packaging préparation &amp; loading]]+Tableau21[[#This Row],[First Receipt Days]]+Tableau21[[#This Row],[Transport ILN to POL]])/7)=(Tableau21[[#This Row],[Packaging préparation &amp; loading]]+Tableau21[[#This Row],[First Receipt Days]]+Tableau21[[#This Row],[Transport ILN to POL]])/7)),Tableau21[[#This Row],[Packaging préparation &amp; loading]]+Tableau21[[#This Row],[Transport ILN to POL]]+Tableau21[[#This Row],[Day ETD]]-1,IF(AND(Tableau21[[#This Row],[Day Cut Off]]&gt;=Tableau21[[#This Row],[First Day to POL]],(Tableau21[[#This Row],[Packaging préparation &amp; loading]]+Tableau21[[#This Row],[First Receipt Days]]+Tableau21[[#This Row],[Transport ILN to POL]])&gt;(ROUNDDOWN((Tableau21[[#This Row],[Packaging préparation &amp; loading]]+Tableau21[[#This Row],[First Receipt Days]]+Tableau21[[#This Row],[Transport ILN to POL]])/7,0)*7+Tableau21[[#This Row],[First Day to POL]])),5+Tableau21[[#This Row],[Day ETD]]+((INT((Tableau21[[#This Row],[Packaging préparation &amp; loading]]+Tableau21[[#This Row],[Transport ILN to POL]]+1)/7))*7),IF(Tableau21[[#This Row],[Day Cut Off]]&gt;=Tableau21[[#This Row],[First Day to POL]],5+Tableau21[[#This Row],[Day ETD]]+((INT((Tableau21[[#This Row],[Packaging préparation &amp; loading]]+Tableau21[[#This Row],[Transport ILN to POL]]-7+1)/7))*7),12+Tableau21[[#This Row],[Day ETD]]+INT((Tableau21[[#This Row],[First Day to POL]]-Tableau21[[#This Row],[Day Cut Off]])/7)*7+((INT((Tableau21[[#This Row],[Packaging préparation &amp; loading]]+Tableau21[[#This Row],[Transport ILN to POL]]-7+1)/7))*7))))</f>
        <v>#N/A</v>
      </c>
      <c r="AS37" s="79" t="e">
        <f ca="1">Tableau21[[#This Row],[Transit time]]+Tableau21[[#This Row],[Time for security]]+Tableau21[[#This Row],[Time for security2 buffer]]</f>
        <v>#N/A</v>
      </c>
      <c r="AT37" s="79" t="e">
        <f ca="1">Tableau21[[#This Row],[Cust.]]+IF(Tableau21[[#This Row],[Trpt POD &gt; PFI]]="-",0,Tableau21[[#This Row],[Trpt POD &gt; PFI]])+Tableau21[[#This Row],[Trpt POD/PFI vers Usine]]+Tableau21[[#This Row],[Round.]]+Tableau21[[#This Row],[Parts Vanning]]+Tableau21[[#This Row],[Transit Time2]]+IF(Tableau21[[#This Row],[Buffer train]]="-",0,Tableau21[[#This Row],[Buffer train]])</f>
        <v>#N/A</v>
      </c>
      <c r="AU37" s="79" t="e">
        <f ca="1">Tableau21[[#This Row],[Leadtime SI2C]]+Tableau21[[#This Row],[First Receipt Days]]-Tableau21[[#This Row],[Day Customer Order]]+1</f>
        <v>#N/A</v>
      </c>
      <c r="AV37" s="118" t="e">
        <f ca="1">IF(Tableau21[[#This Row],[Name ILN]]&lt;&gt;"SFK Freight Forwarder",Tableau21[[#This Row],[Cust. Leadtime]],Tableau21[[#This Row],[Leadtime SI2C]])</f>
        <v>#N/A</v>
      </c>
      <c r="AW37" s="74"/>
      <c r="AX37" s="347" t="e">
        <f ca="1">IFERROR(VLOOKUP(Tableau21[[#This Row],[Key(ID-Next)]],'DATA BTO'!A:N,3,FALSE),VLOOKUP(Tableau21[[#This Row],[ID]],'DATA BTO'!B:N,2,FALSE))</f>
        <v>#N/A</v>
      </c>
      <c r="AY37" s="79" t="str">
        <f>IF(ISNUMBER(Tableau21[[#This Row],[Day Customer Order]]),"-","Please Check 'Name' information in 'Order' Sheet to make sure they have information")</f>
        <v>-</v>
      </c>
      <c r="AZ37" s="79" t="str">
        <f ca="1">IF(ISNUMBER(Tableau21[[#This Row],[Day ILN Order]]),IF(OR(ISNUMBER(Tableau21[[#This Row],[Delivery time to ILN/Shipper]]),ISERROR(Tableau21[[#This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-</v>
      </c>
      <c r="BA37" s="79" t="str">
        <f ca="1">IFERROR(IF(Tableau21[[#This Row],[Start date]]&gt;TODAY(),IF(AND(ISTEXT(Tableau21[[#This Row],[POL]]),ISNUMBER(Tableau21[[#This Row],[First Day to POL]])),"-","POL mismatch,Please Check POL in 'DATA ILN' and 'DATA BTO' to make sure they can match"),"Please move to 'VTT actif'"),"This ID does not exist")</f>
        <v>This ID does not exist</v>
      </c>
      <c r="BB37" s="79" t="str">
        <f ca="1">IF(IF(ISNUMBER(Tableau21[[#This Row],[Cust.]]),"-",IFERROR(Tableau21[[#This Row],[Plant-ILN-shipper-POL-Carrier-POD-PFI]],"-"))="-","-","Please Check 'Colonne A: POD - PFI - Site' information in 'DATA Consignee' Sheet OR POD mismatch,Please Check POD in 'DATA BTO' and 'DATA Consignee' Sheet to make sure they can match")</f>
        <v>-</v>
      </c>
      <c r="BC37" s="102" t="str">
        <f ca="1">IF(IF(ISNUMBER(Tableau21[[#This Row],[Trpt POD/PFI vers Usine]]),"-",IFERROR(Tableau21[[#This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</row>
  </sheetData>
  <mergeCells count="18">
    <mergeCell ref="C3:D3"/>
    <mergeCell ref="AQ1:AV1"/>
    <mergeCell ref="B1:H1"/>
    <mergeCell ref="AW1:AW2"/>
    <mergeCell ref="I2:J2"/>
    <mergeCell ref="K2:N2"/>
    <mergeCell ref="O2:R2"/>
    <mergeCell ref="S2:V2"/>
    <mergeCell ref="W2:Y2"/>
    <mergeCell ref="Z2:AI2"/>
    <mergeCell ref="AJ2:AO2"/>
    <mergeCell ref="AP2:AQ2"/>
    <mergeCell ref="I1:J1"/>
    <mergeCell ref="K1:N1"/>
    <mergeCell ref="O1:Y1"/>
    <mergeCell ref="Z1:AH1"/>
    <mergeCell ref="AJ1:AP1"/>
    <mergeCell ref="AR2:AU2"/>
  </mergeCells>
  <conditionalFormatting sqref="K5:AX37">
    <cfRule type="expression" dxfId="308" priority="52">
      <formula>$AX5&lt;=TODAY()</formula>
    </cfRule>
  </conditionalFormatting>
  <conditionalFormatting sqref="J5:J37">
    <cfRule type="expression" dxfId="307" priority="1">
      <formula>$J5="Oui"</formula>
    </cfRule>
  </conditionalFormatting>
  <dataValidations count="4">
    <dataValidation type="list" allowBlank="1" showInputMessage="1" showErrorMessage="1" sqref="X11 X8:X9 X37:X1048576" xr:uid="{00000000-0002-0000-0600-000000000000}">
      <formula1>shippername</formula1>
    </dataValidation>
    <dataValidation type="list" allowBlank="1" showInputMessage="1" showErrorMessage="1" sqref="X10 X5:X7 X12:X36 O5:O1048576" xr:uid="{00000000-0002-0000-0600-000001000000}">
      <formula1>AILNname</formula1>
    </dataValidation>
    <dataValidation type="list" allowBlank="1" showInputMessage="1" showErrorMessage="1" sqref="AK5:AK1048576" xr:uid="{00000000-0002-0000-0600-000002000000}">
      <formula1>PFIname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L5:L1048576" xr:uid="{00000000-0002-0000-0600-000003000000}">
      <formula1>plantname</formula1>
    </dataValidation>
  </dataValidations>
  <pageMargins left="0.7" right="0.7" top="0.75" bottom="0.75" header="0.3" footer="0.3"/>
  <pageSetup paperSize="9"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1">
    <tabColor rgb="FF7030A0"/>
  </sheetPr>
  <dimension ref="A1:BE400"/>
  <sheetViews>
    <sheetView zoomScale="85" zoomScaleNormal="85" workbookViewId="0">
      <pane ySplit="4" topLeftCell="A28" activePane="bottomLeft" state="frozen"/>
      <selection activeCell="I42" sqref="I42"/>
      <selection pane="bottomLeft" activeCell="L47" sqref="L47"/>
    </sheetView>
  </sheetViews>
  <sheetFormatPr baseColWidth="10" defaultColWidth="10.44140625" defaultRowHeight="14.4" outlineLevelCol="1"/>
  <cols>
    <col min="1" max="1" width="10.44140625" hidden="1" customWidth="1" outlineLevel="1"/>
    <col min="2" max="2" width="24" hidden="1" customWidth="1" outlineLevel="1"/>
    <col min="3" max="3" width="25.5546875" hidden="1" customWidth="1" outlineLevel="1"/>
    <col min="4" max="4" width="21" hidden="1" customWidth="1" outlineLevel="1"/>
    <col min="5" max="5" width="10.44140625" hidden="1" customWidth="1" outlineLevel="1"/>
    <col min="6" max="6" width="21.44140625" hidden="1" customWidth="1" outlineLevel="1"/>
    <col min="7" max="7" width="10.44140625" hidden="1" customWidth="1" outlineLevel="1"/>
    <col min="8" max="8" width="27.44140625" hidden="1" customWidth="1" outlineLevel="1"/>
    <col min="9" max="9" width="61.44140625" customWidth="1" collapsed="1"/>
    <col min="10" max="10" width="10.44140625" style="48" bestFit="1" customWidth="1"/>
    <col min="11" max="11" width="16" customWidth="1"/>
    <col min="12" max="12" width="15" customWidth="1"/>
    <col min="13" max="13" width="12.44140625" style="475" hidden="1" customWidth="1" outlineLevel="1"/>
    <col min="14" max="14" width="10.44140625" hidden="1" customWidth="1" outlineLevel="1"/>
    <col min="15" max="15" width="19" style="48" customWidth="1" collapsed="1"/>
    <col min="16" max="16" width="15.44140625" style="475" hidden="1" customWidth="1" outlineLevel="1"/>
    <col min="17" max="23" width="10.44140625" hidden="1" customWidth="1" outlineLevel="1"/>
    <col min="24" max="24" width="29.44140625" customWidth="1" collapsed="1"/>
    <col min="25" max="25" width="12.5546875" style="475" customWidth="1" outlineLevel="1"/>
    <col min="26" max="26" width="7.44140625" customWidth="1"/>
    <col min="27" max="37" width="10.44140625" customWidth="1" outlineLevel="1"/>
    <col min="38" max="38" width="14.44140625" bestFit="1" customWidth="1"/>
    <col min="39" max="39" width="13.44140625" style="476" customWidth="1" outlineLevel="1"/>
    <col min="40" max="41" width="10.44140625" style="1" customWidth="1" outlineLevel="1"/>
    <col min="42" max="43" width="10.44140625" customWidth="1" outlineLevel="1"/>
    <col min="44" max="44" width="10.44140625" customWidth="1" outlineLevel="1" collapsed="1"/>
    <col min="45" max="46" width="10.44140625" customWidth="1" outlineLevel="1"/>
    <col min="47" max="47" width="10.44140625" customWidth="1"/>
    <col min="49" max="49" width="11.44140625" bestFit="1" customWidth="1"/>
    <col min="50" max="50" width="25.44140625" customWidth="1"/>
    <col min="51" max="51" width="12.44140625" style="338" customWidth="1"/>
    <col min="52" max="52" width="40.44140625" customWidth="1"/>
    <col min="53" max="53" width="89.44140625" customWidth="1"/>
    <col min="54" max="54" width="88.44140625" customWidth="1"/>
    <col min="55" max="55" width="15" bestFit="1" customWidth="1"/>
  </cols>
  <sheetData>
    <row r="1" spans="2:57" s="109" customFormat="1" ht="29.1" hidden="1" customHeight="1" thickBot="1">
      <c r="B1" s="594" t="s">
        <v>72</v>
      </c>
      <c r="C1" s="584"/>
      <c r="D1" s="584"/>
      <c r="E1" s="584"/>
      <c r="F1" s="584"/>
      <c r="G1" s="584"/>
      <c r="H1" s="585"/>
      <c r="I1" s="595" t="s">
        <v>73</v>
      </c>
      <c r="J1" s="596"/>
      <c r="K1" s="583" t="s">
        <v>74</v>
      </c>
      <c r="L1" s="584"/>
      <c r="M1" s="584"/>
      <c r="N1" s="585"/>
      <c r="O1" s="592" t="s">
        <v>75</v>
      </c>
      <c r="P1" s="567"/>
      <c r="Q1" s="567"/>
      <c r="R1" s="567"/>
      <c r="S1" s="567"/>
      <c r="T1" s="567"/>
      <c r="U1" s="567"/>
      <c r="V1" s="567"/>
      <c r="W1" s="567"/>
      <c r="X1" s="567"/>
      <c r="Y1" s="568"/>
      <c r="Z1" s="589" t="s">
        <v>76</v>
      </c>
      <c r="AA1" s="584"/>
      <c r="AB1" s="584"/>
      <c r="AC1" s="584"/>
      <c r="AD1" s="584"/>
      <c r="AE1" s="584"/>
      <c r="AF1" s="584"/>
      <c r="AG1" s="584"/>
      <c r="AH1" s="584"/>
      <c r="AI1" s="584"/>
      <c r="AJ1" s="61"/>
      <c r="AK1" s="591" t="s">
        <v>77</v>
      </c>
      <c r="AL1" s="584"/>
      <c r="AM1" s="584"/>
      <c r="AN1" s="584"/>
      <c r="AO1" s="584"/>
      <c r="AP1" s="584"/>
      <c r="AQ1" s="584"/>
      <c r="AR1" s="593" t="s">
        <v>78</v>
      </c>
      <c r="AS1" s="584"/>
      <c r="AT1" s="584"/>
      <c r="AU1" s="584"/>
      <c r="AV1" s="584"/>
      <c r="AW1" s="585"/>
      <c r="AX1" s="578"/>
      <c r="AY1" s="337"/>
    </row>
    <row r="2" spans="2:57" ht="16.5" hidden="1" customHeight="1" thickBot="1">
      <c r="B2" s="110"/>
      <c r="C2" s="63"/>
      <c r="D2" s="9"/>
      <c r="E2" s="9"/>
      <c r="F2" s="9"/>
      <c r="G2" s="9"/>
      <c r="H2" s="74"/>
      <c r="I2" s="597"/>
      <c r="J2" s="585"/>
      <c r="K2" s="586" t="s">
        <v>79</v>
      </c>
      <c r="L2" s="584"/>
      <c r="M2" s="584"/>
      <c r="N2" s="587"/>
      <c r="O2" s="580" t="s">
        <v>75</v>
      </c>
      <c r="P2" s="581"/>
      <c r="Q2" s="581"/>
      <c r="R2" s="582"/>
      <c r="S2" s="580" t="s">
        <v>75</v>
      </c>
      <c r="T2" s="581"/>
      <c r="U2" s="581"/>
      <c r="V2" s="582"/>
      <c r="W2" s="580" t="s">
        <v>80</v>
      </c>
      <c r="X2" s="581"/>
      <c r="Y2" s="582"/>
      <c r="Z2" s="580" t="s">
        <v>81</v>
      </c>
      <c r="AA2" s="581"/>
      <c r="AB2" s="581"/>
      <c r="AC2" s="581"/>
      <c r="AD2" s="581"/>
      <c r="AE2" s="581"/>
      <c r="AF2" s="581"/>
      <c r="AG2" s="581"/>
      <c r="AH2" s="581"/>
      <c r="AI2" s="581"/>
      <c r="AJ2" s="582"/>
      <c r="AK2" s="580" t="s">
        <v>82</v>
      </c>
      <c r="AL2" s="581"/>
      <c r="AM2" s="581"/>
      <c r="AN2" s="581"/>
      <c r="AO2" s="581"/>
      <c r="AP2" s="582"/>
      <c r="AQ2" s="588"/>
      <c r="AR2" s="587"/>
      <c r="AS2" s="590" t="s">
        <v>83</v>
      </c>
      <c r="AT2" s="584"/>
      <c r="AU2" s="584"/>
      <c r="AV2" s="587"/>
      <c r="AW2" s="91"/>
      <c r="AX2" s="579"/>
    </row>
    <row r="3" spans="2:57" ht="30.75" hidden="1" customHeight="1" thickBot="1">
      <c r="B3" s="329" t="s">
        <v>84</v>
      </c>
      <c r="C3" s="598" t="s">
        <v>85</v>
      </c>
      <c r="D3" s="599"/>
      <c r="E3" s="330" t="s">
        <v>86</v>
      </c>
      <c r="F3" s="331" t="s">
        <v>87</v>
      </c>
      <c r="G3" s="332" t="s">
        <v>88</v>
      </c>
      <c r="H3" s="333" t="s">
        <v>89</v>
      </c>
      <c r="I3" s="111">
        <v>1</v>
      </c>
      <c r="J3" s="111">
        <v>2</v>
      </c>
      <c r="K3" s="111">
        <v>3</v>
      </c>
      <c r="L3" s="111">
        <v>4</v>
      </c>
      <c r="M3" s="111">
        <v>5</v>
      </c>
      <c r="N3" s="111">
        <v>6</v>
      </c>
      <c r="O3" s="111">
        <v>7</v>
      </c>
      <c r="P3" s="111">
        <v>8</v>
      </c>
      <c r="Q3" s="111">
        <v>9</v>
      </c>
      <c r="R3" s="111">
        <v>10</v>
      </c>
      <c r="S3" s="111">
        <v>11</v>
      </c>
      <c r="T3" s="111">
        <v>12</v>
      </c>
      <c r="U3" s="111">
        <v>13</v>
      </c>
      <c r="V3" s="111">
        <v>14</v>
      </c>
      <c r="W3" s="111">
        <v>15</v>
      </c>
      <c r="X3" s="111">
        <v>16</v>
      </c>
      <c r="Y3" s="111">
        <v>17</v>
      </c>
      <c r="Z3" s="111">
        <v>18</v>
      </c>
      <c r="AA3" s="111">
        <v>19</v>
      </c>
      <c r="AB3" s="111">
        <v>20</v>
      </c>
      <c r="AC3" s="111">
        <v>21</v>
      </c>
      <c r="AD3" s="111">
        <v>22</v>
      </c>
      <c r="AE3" s="111"/>
      <c r="AF3" s="111">
        <v>23</v>
      </c>
      <c r="AG3" s="111">
        <v>24</v>
      </c>
      <c r="AH3" s="111">
        <v>25</v>
      </c>
      <c r="AI3" s="111">
        <v>26</v>
      </c>
      <c r="AJ3" s="131">
        <v>27</v>
      </c>
      <c r="AK3" s="111">
        <v>28</v>
      </c>
      <c r="AL3" s="111">
        <v>29</v>
      </c>
      <c r="AM3" s="111">
        <v>30</v>
      </c>
      <c r="AN3" s="111">
        <v>31</v>
      </c>
      <c r="AO3" s="111">
        <v>32</v>
      </c>
      <c r="AP3" s="111">
        <v>33</v>
      </c>
      <c r="AQ3" s="111">
        <v>34</v>
      </c>
      <c r="AR3" s="111">
        <v>35</v>
      </c>
      <c r="AS3" s="111">
        <v>36</v>
      </c>
      <c r="AT3" s="111">
        <v>37</v>
      </c>
      <c r="AU3" s="111">
        <v>38</v>
      </c>
      <c r="AV3" s="111">
        <v>39</v>
      </c>
      <c r="AW3" s="111">
        <v>40</v>
      </c>
      <c r="AX3" s="111">
        <v>41</v>
      </c>
    </row>
    <row r="4" spans="2:57" ht="48.6" customHeight="1" thickBot="1">
      <c r="B4" s="334" t="s">
        <v>90</v>
      </c>
      <c r="C4" s="335" t="s">
        <v>91</v>
      </c>
      <c r="D4" s="335" t="s">
        <v>92</v>
      </c>
      <c r="E4" s="335" t="s">
        <v>93</v>
      </c>
      <c r="F4" s="335" t="s">
        <v>94</v>
      </c>
      <c r="G4" s="335" t="s">
        <v>95</v>
      </c>
      <c r="H4" s="336" t="s">
        <v>96</v>
      </c>
      <c r="I4" s="112" t="s">
        <v>97</v>
      </c>
      <c r="J4" s="113" t="s">
        <v>98</v>
      </c>
      <c r="K4" s="88" t="s">
        <v>99</v>
      </c>
      <c r="L4" s="359" t="s">
        <v>100</v>
      </c>
      <c r="M4" s="477" t="s">
        <v>195</v>
      </c>
      <c r="N4" s="85" t="s">
        <v>41</v>
      </c>
      <c r="O4" s="360" t="s">
        <v>102</v>
      </c>
      <c r="P4" s="477" t="s">
        <v>103</v>
      </c>
      <c r="Q4" s="84" t="s">
        <v>104</v>
      </c>
      <c r="R4" s="85" t="s">
        <v>105</v>
      </c>
      <c r="S4" s="86" t="s">
        <v>106</v>
      </c>
      <c r="T4" s="84" t="s">
        <v>42</v>
      </c>
      <c r="U4" s="84" t="s">
        <v>107</v>
      </c>
      <c r="V4" s="85" t="s">
        <v>43</v>
      </c>
      <c r="W4" s="86" t="s">
        <v>44</v>
      </c>
      <c r="X4" s="359" t="s">
        <v>108</v>
      </c>
      <c r="Y4" s="478" t="s">
        <v>109</v>
      </c>
      <c r="Z4" s="361" t="s">
        <v>71</v>
      </c>
      <c r="AA4" s="85" t="s">
        <v>110</v>
      </c>
      <c r="AB4" s="120" t="s">
        <v>111</v>
      </c>
      <c r="AC4" s="85" t="s">
        <v>112</v>
      </c>
      <c r="AD4" s="85" t="s">
        <v>113</v>
      </c>
      <c r="AE4" s="85" t="s">
        <v>114</v>
      </c>
      <c r="AF4" s="85" t="s">
        <v>115</v>
      </c>
      <c r="AG4" s="85" t="s">
        <v>116</v>
      </c>
      <c r="AH4" s="85" t="s">
        <v>117</v>
      </c>
      <c r="AI4" s="85" t="s">
        <v>118</v>
      </c>
      <c r="AJ4" s="132" t="s">
        <v>119</v>
      </c>
      <c r="AK4" s="133" t="s">
        <v>120</v>
      </c>
      <c r="AL4" s="362" t="s">
        <v>121</v>
      </c>
      <c r="AM4" s="479" t="s">
        <v>122</v>
      </c>
      <c r="AN4" s="85" t="s">
        <v>123</v>
      </c>
      <c r="AO4" s="85" t="s">
        <v>124</v>
      </c>
      <c r="AP4" s="85" t="s">
        <v>125</v>
      </c>
      <c r="AQ4" s="85" t="s">
        <v>126</v>
      </c>
      <c r="AR4" s="85" t="s">
        <v>127</v>
      </c>
      <c r="AS4" s="85" t="s">
        <v>56</v>
      </c>
      <c r="AT4" s="85" t="s">
        <v>128</v>
      </c>
      <c r="AU4" s="85" t="s">
        <v>59</v>
      </c>
      <c r="AV4" s="85" t="s">
        <v>129</v>
      </c>
      <c r="AW4" s="85" t="s">
        <v>61</v>
      </c>
      <c r="AX4" s="85" t="s">
        <v>130</v>
      </c>
      <c r="AY4" s="322" t="s">
        <v>131</v>
      </c>
      <c r="AZ4" s="323" t="s">
        <v>132</v>
      </c>
      <c r="BA4" s="324" t="s">
        <v>133</v>
      </c>
      <c r="BB4" s="325" t="s">
        <v>134</v>
      </c>
      <c r="BC4" s="326" t="s">
        <v>135</v>
      </c>
      <c r="BD4" s="327" t="s">
        <v>136</v>
      </c>
      <c r="BE4" s="143" t="s">
        <v>137</v>
      </c>
    </row>
    <row r="5" spans="2:57">
      <c r="B5" s="65" t="str">
        <f>_xlfn.CONCAT(Tableau118[[#This Row],[Name ILN]],"-",Tableau118[[#This Row],[Name Shipper]],"-",Tableau118[[#This Row],[Name Site]])</f>
        <v>--</v>
      </c>
      <c r="C5" s="65" t="e">
        <f ca="1">_xlfn.CONCAT(Tableau118[[#This Row],[Compte ILN]],"-",Tableau118[[#This Row],[Compte Shipper]],"-",Tableau118[[#This Row],[POL]],"-",Tableau118[[#This Row],[Compte Site]])</f>
        <v>#N/A</v>
      </c>
      <c r="D5" s="65" t="e">
        <f ca="1">_xlfn.CONCAT(Tableau118[[#This Row],[Compte ILN]],"-",Tableau118[[#This Row],[Compte Shipper]],"-",Tableau118[[#This Row],[POL]])</f>
        <v>#N/A</v>
      </c>
      <c r="E5" s="382" t="e">
        <f ca="1">_xlfn.CONCAT(Tableau118[[#This Row],[POL]],"-",Tableau118[[#This Row],[Carrier]],"-",Tableau118[[#This Row],[POD]])</f>
        <v>#N/A</v>
      </c>
      <c r="F5" s="65" t="str">
        <f>_xlfn.CONCAT(Tableau118[[#This Row],[ID]],"-","Next")</f>
        <v>-Next</v>
      </c>
      <c r="G5" s="65" t="e">
        <f ca="1">_xlfn.CONCAT(Tableau118[[#This Row],[POD]],"-",Tableau118[[#This Row],[Code PFI]],"-",Tableau118[[#This Row],[Compte Site]])</f>
        <v>#N/A</v>
      </c>
      <c r="H5" s="382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" s="3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" s="384" t="str">
        <f ca="1">IF(COUNTIF(I:I,Tableau118[[#This Row],[Plant-ILN-shipper-POL-Carrier-POD-PFI]])=1,"Non","Oui")</f>
        <v>Oui</v>
      </c>
      <c r="K5" s="385" t="e">
        <f>VLOOKUP(Tableau118[[#This Row],[Name Site]],Plant_AILN!A:D,4,FALSE)</f>
        <v>#N/A</v>
      </c>
      <c r="L5" s="285"/>
      <c r="M5" s="496"/>
      <c r="N5" s="386"/>
      <c r="O5" s="121"/>
      <c r="P5" s="497"/>
      <c r="Q5" s="387"/>
      <c r="R5" s="50"/>
      <c r="S5" s="50"/>
      <c r="T5" s="50"/>
      <c r="U5" s="50"/>
      <c r="V5" s="50"/>
      <c r="W5" s="53"/>
      <c r="X5" s="283"/>
      <c r="Y5" s="498">
        <f>IFERROR(VLOOKUP(Tableau118[[#This Row],[Name Shipper]],Plant_AILN!L:M,2,FALSE),0)</f>
        <v>0</v>
      </c>
      <c r="Z5" s="358"/>
      <c r="AA5" s="388" t="e">
        <f ca="1">VLOOKUP(Tableau118[[#This Row],[Key(ID-Actif)]],'DATA BTO'!A:N,5,FALSE)</f>
        <v>#N/A</v>
      </c>
      <c r="AB5" s="3" t="e">
        <f ca="1">VLOOKUP(Tableau118[[#This Row],[Key(ID-Actif)]],'DATA BTO'!A:N,6,FALSE)</f>
        <v>#N/A</v>
      </c>
      <c r="AC5" s="387" t="e">
        <f ca="1">VLOOKUP(Tableau118[[#This Row],[Key(ID-Actif)]],'DATA BTO'!A:N,7,FALSE)</f>
        <v>#N/A</v>
      </c>
      <c r="AD5" s="387" t="e">
        <f ca="1">VLOOKUP(Tableau118[[#This Row],[Key(ID-Actif)]],'DATA BTO'!A:N,8,FALSE)</f>
        <v>#N/A</v>
      </c>
      <c r="AE5" s="387" t="e">
        <f ca="1">IF(Tableau118[[#This Row],[First Day to POL]]&lt;=Tableau118[[#This Row],[Day Cut Off]],Tableau118[[#This Row],[Day ETD]],Tableau118[[#This Row],[Day ETD]]+7)</f>
        <v>#N/A</v>
      </c>
      <c r="AF5" s="387" t="e">
        <f ca="1">VLOOKUP(Tableau118[[#This Row],[Key(ID-Actif)]],'DATA BTO'!A:N,9,FALSE)</f>
        <v>#N/A</v>
      </c>
      <c r="AG5" s="59" t="e">
        <f ca="1">VLOOKUP(Tableau118[[#This Row],[Key(ID-Actif)]],'DATA BTO'!A:N,10,FALSE)</f>
        <v>#N/A</v>
      </c>
      <c r="AH5" s="59" t="e">
        <f ca="1">VLOOKUP(Tableau118[[#This Row],[Key(ID-Actif)]],'DATA BTO'!A:N,11,FALSE)</f>
        <v>#N/A</v>
      </c>
      <c r="AI5" s="50" t="e">
        <f ca="1">VLOOKUP(Tableau118[[#This Row],[Key(ID-Actif)]],'DATA BTO'!A:N,12,FALSE)</f>
        <v>#N/A</v>
      </c>
      <c r="AJ5" s="389" t="e">
        <f ca="1">VLOOKUP(Tableau118[[#This Row],[Key(ID-Actif)]],'DATA BTO'!A:N,14,FALSE)</f>
        <v>#N/A</v>
      </c>
      <c r="AK5" s="390" t="e">
        <f ca="1">VLOOKUP(Tableau118[[#This Row],[Key(POD -PFI- Usine)]],'DATA Consignee'!A:F,6,FALSE)</f>
        <v>#N/A</v>
      </c>
      <c r="AL5" s="135"/>
      <c r="AM5" s="499" t="str">
        <f>IF(Tableau118[[#This Row],[Name PFI/CDD]]="","-",VLOOKUP(Tableau118[[#This Row],[Name PFI/CDD]],Plant_AILN!I:J,2,FALSE))</f>
        <v>-</v>
      </c>
      <c r="AN5" s="391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" s="391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" s="60" t="e">
        <f ca="1">VLOOKUP(Tableau118[[#This Row],[Key(POD -PFI- Usine)]],'DATA Consignee'!A:J,10,FALSE)</f>
        <v>#N/A</v>
      </c>
      <c r="AQ5" s="387" t="e">
        <f ca="1">VLOOKUP(Tableau118[[#This Row],[Key(POD -PFI- Usine)]],'DATA Consignee'!A:N,14,FALSE)</f>
        <v>#N/A</v>
      </c>
      <c r="AR5" s="386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" s="390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" s="387" t="e">
        <f ca="1">Tableau118[[#This Row],[Transit time]]+Tableau118[[#This Row],[Time for security]]+Tableau118[[#This Row],[Time for security2 buffer]]</f>
        <v>#N/A</v>
      </c>
      <c r="AU5" s="387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" s="389" t="e">
        <f ca="1">Tableau118[[#This Row],[Leadtime SI2C]]+Tableau118[[#This Row],[First Receipt Days]]-Tableau118[[#This Row],[Day Customer Order]]+1</f>
        <v>#N/A</v>
      </c>
      <c r="AW5" s="392" t="e">
        <f ca="1">IF(Tableau118[[#This Row],[Name ILN]]&lt;&gt;"SFK Freight Forwarder",Tableau118[[#This Row],[Cust. Leadtime]],Tableau118[[#This Row],[Leadtime SI2C]])</f>
        <v>#N/A</v>
      </c>
      <c r="AX5" s="51" t="e">
        <f>VLOOKUP(Tableau118[[#This Row],[ID]],'DATA BTO'!B:P,15,FALSE)</f>
        <v>#N/A</v>
      </c>
      <c r="AY5" s="393" t="e">
        <f ca="1">IFERROR(VLOOKUP(Tableau118[[#This Row],[Key(ID-Actif)]],'DATA BTO'!A:N,4,FALSE),VLOOKUP(Tableau118[[#This Row],[ID]],'DATA BTO'!B:N,3,FALSE))</f>
        <v>#N/A</v>
      </c>
      <c r="AZ5" s="394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" s="394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" s="394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" s="394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" s="39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" s="387"/>
    </row>
    <row r="6" spans="2:57">
      <c r="B6" s="65" t="str">
        <f>_xlfn.CONCAT(Tableau118[[#This Row],[Name ILN]],"-",Tableau118[[#This Row],[Name Shipper]],"-",Tableau118[[#This Row],[Name Site]])</f>
        <v>--</v>
      </c>
      <c r="C6" s="65" t="e">
        <f ca="1">_xlfn.CONCAT(Tableau118[[#This Row],[Compte ILN]],"-",Tableau118[[#This Row],[Compte Shipper]],"-",Tableau118[[#This Row],[POL]],"-",Tableau118[[#This Row],[Compte Site]])</f>
        <v>#N/A</v>
      </c>
      <c r="D6" s="64" t="e">
        <f ca="1">_xlfn.CONCAT(Tableau118[[#This Row],[Compte ILN]],"-",Tableau118[[#This Row],[Compte Shipper]],"-",Tableau118[[#This Row],[POL]])</f>
        <v>#N/A</v>
      </c>
      <c r="E6" s="396" t="e">
        <f ca="1">_xlfn.CONCAT(Tableau118[[#This Row],[POL]],"-",Tableau118[[#This Row],[Carrier]],"-",Tableau118[[#This Row],[POD]])</f>
        <v>#N/A</v>
      </c>
      <c r="F6" s="64" t="str">
        <f>_xlfn.CONCAT(Tableau118[[#This Row],[ID]],"-","Next")</f>
        <v>-Next</v>
      </c>
      <c r="G6" s="64" t="e">
        <f ca="1">_xlfn.CONCAT(Tableau118[[#This Row],[POD]],"-",Tableau118[[#This Row],[Code PFI]],"-",Tableau118[[#This Row],[Compte Site]])</f>
        <v>#N/A</v>
      </c>
      <c r="H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" s="397" t="str">
        <f ca="1">IF(COUNTIF(I:I,Tableau118[[#This Row],[Plant-ILN-shipper-POL-Carrier-POD-PFI]])=1,"Non","Oui")</f>
        <v>Oui</v>
      </c>
      <c r="K6" s="398" t="e">
        <f>VLOOKUP(Tableau118[[#This Row],[Name Site]],Plant_AILN!A:D,4,FALSE)</f>
        <v>#N/A</v>
      </c>
      <c r="L6" s="285"/>
      <c r="M6" s="496"/>
      <c r="N6" s="55"/>
      <c r="O6" s="114"/>
      <c r="P6" s="481"/>
      <c r="Q6" s="50"/>
      <c r="R6" s="50"/>
      <c r="S6" s="50"/>
      <c r="T6" s="50"/>
      <c r="U6" s="50"/>
      <c r="V6" s="50"/>
      <c r="W6" s="53"/>
      <c r="X6" s="283"/>
      <c r="Y6" s="482">
        <f>IFERROR(VLOOKUP(Tableau118[[#This Row],[Name Shipper]],Plant_AILN!L:M,2,FALSE),0)</f>
        <v>0</v>
      </c>
      <c r="Z6" s="358"/>
      <c r="AA6" s="353" t="e">
        <f ca="1">VLOOKUP(Tableau118[[#This Row],[Key(ID-Actif)]],'DATA BTO'!A:N,5,FALSE)</f>
        <v>#N/A</v>
      </c>
      <c r="AB6" s="3" t="e">
        <f ca="1">VLOOKUP(Tableau118[[#This Row],[Key(ID-Actif)]],'DATA BTO'!A:N,6,FALSE)</f>
        <v>#N/A</v>
      </c>
      <c r="AC6" s="50" t="e">
        <f ca="1">VLOOKUP(Tableau118[[#This Row],[Key(ID-Actif)]],'DATA BTO'!A:N,7,FALSE)</f>
        <v>#N/A</v>
      </c>
      <c r="AD6" s="50" t="e">
        <f ca="1">VLOOKUP(Tableau118[[#This Row],[Key(ID-Actif)]],'DATA BTO'!A:N,8,FALSE)</f>
        <v>#N/A</v>
      </c>
      <c r="AE6" s="387" t="e">
        <f ca="1">IF(Tableau118[[#This Row],[First Day to POL]]&lt;=Tableau118[[#This Row],[Day Cut Off]],Tableau118[[#This Row],[Day ETD]],Tableau118[[#This Row],[Day ETD]]+7)</f>
        <v>#N/A</v>
      </c>
      <c r="AF6" s="50" t="e">
        <f ca="1">VLOOKUP(Tableau118[[#This Row],[Key(ID-Actif)]],'DATA BTO'!A:N,9,FALSE)</f>
        <v>#N/A</v>
      </c>
      <c r="AG6" s="3" t="e">
        <f ca="1">VLOOKUP(Tableau118[[#This Row],[Key(ID-Actif)]],'DATA BTO'!A:N,10,FALSE)</f>
        <v>#N/A</v>
      </c>
      <c r="AH6" s="3" t="e">
        <f ca="1">VLOOKUP(Tableau118[[#This Row],[Key(ID-Actif)]],'DATA BTO'!A:N,11,FALSE)</f>
        <v>#N/A</v>
      </c>
      <c r="AI6" s="50" t="e">
        <f ca="1">VLOOKUP(Tableau118[[#This Row],[Key(ID-Actif)]],'DATA BTO'!A:N,12,FALSE)</f>
        <v>#N/A</v>
      </c>
      <c r="AJ6" s="53" t="e">
        <f ca="1">VLOOKUP(Tableau118[[#This Row],[Key(ID-Actif)]],'DATA BTO'!A:N,14,FALSE)</f>
        <v>#N/A</v>
      </c>
      <c r="AK6" s="54" t="e">
        <f ca="1">VLOOKUP(Tableau118[[#This Row],[Key(POD -PFI- Usine)]],'DATA Consignee'!A:F,6,FALSE)</f>
        <v>#N/A</v>
      </c>
      <c r="AL6" s="125"/>
      <c r="AM6" s="483" t="str">
        <f>IF(Tableau118[[#This Row],[Name PFI/CDD]]="","-",VLOOKUP(Tableau118[[#This Row],[Name PFI/CDD]],Plant_AILN!I:J,2,FALSE))</f>
        <v>-</v>
      </c>
      <c r="AN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" s="2" t="e">
        <f ca="1">VLOOKUP(Tableau118[[#This Row],[Key(POD -PFI- Usine)]],'DATA Consignee'!A:J,10,FALSE)</f>
        <v>#N/A</v>
      </c>
      <c r="AQ6" s="50" t="e">
        <f ca="1">VLOOKUP(Tableau118[[#This Row],[Key(POD -PFI- Usine)]],'DATA Consignee'!A:N,14,FALSE)</f>
        <v>#N/A</v>
      </c>
      <c r="AR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" s="50" t="e">
        <f ca="1">Tableau118[[#This Row],[Transit time]]+Tableau118[[#This Row],[Time for security]]+Tableau118[[#This Row],[Time for security2 buffer]]</f>
        <v>#N/A</v>
      </c>
      <c r="AU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" s="389" t="e">
        <f ca="1">Tableau118[[#This Row],[Leadtime SI2C]]+Tableau118[[#This Row],[First Receipt Days]]-Tableau118[[#This Row],[Day Customer Order]]+1</f>
        <v>#N/A</v>
      </c>
      <c r="AW6" s="117" t="e">
        <f ca="1">IF(Tableau118[[#This Row],[Name ILN]]&lt;&gt;"SFK Freight Forwarder",Tableau118[[#This Row],[Cust. Leadtime]],Tableau118[[#This Row],[Leadtime SI2C]])</f>
        <v>#N/A</v>
      </c>
      <c r="AX6" s="51" t="e">
        <f>VLOOKUP(Tableau118[[#This Row],[ID]],'DATA BTO'!B:P,15,FALSE)</f>
        <v>#N/A</v>
      </c>
      <c r="AY6" s="328" t="e">
        <f ca="1">IFERROR(VLOOKUP(Tableau118[[#This Row],[Key(ID-Actif)]],'DATA BTO'!A:N,4,FALSE),VLOOKUP(Tableau118[[#This Row],[ID]],'DATA BTO'!B:N,3,FALSE))</f>
        <v>#N/A</v>
      </c>
      <c r="AZ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" s="50"/>
    </row>
    <row r="7" spans="2:57">
      <c r="B7" s="65" t="str">
        <f>_xlfn.CONCAT(Tableau118[[#This Row],[Name ILN]],"-",Tableau118[[#This Row],[Name Shipper]],"-",Tableau118[[#This Row],[Name Site]])</f>
        <v>--</v>
      </c>
      <c r="C7" s="65" t="e">
        <f ca="1">_xlfn.CONCAT(Tableau118[[#This Row],[Compte ILN]],"-",Tableau118[[#This Row],[Compte Shipper]],"-",Tableau118[[#This Row],[POL]],"-",Tableau118[[#This Row],[Compte Site]])</f>
        <v>#N/A</v>
      </c>
      <c r="D7" s="64" t="e">
        <f ca="1">_xlfn.CONCAT(Tableau118[[#This Row],[Compte ILN]],"-",Tableau118[[#This Row],[Compte Shipper]],"-",Tableau118[[#This Row],[POL]])</f>
        <v>#N/A</v>
      </c>
      <c r="E7" s="396" t="e">
        <f ca="1">_xlfn.CONCAT(Tableau118[[#This Row],[POL]],"-",Tableau118[[#This Row],[Carrier]],"-",Tableau118[[#This Row],[POD]])</f>
        <v>#N/A</v>
      </c>
      <c r="F7" s="64" t="str">
        <f>_xlfn.CONCAT(Tableau118[[#This Row],[ID]],"-","Next")</f>
        <v>-Next</v>
      </c>
      <c r="G7" s="64" t="e">
        <f ca="1">_xlfn.CONCAT(Tableau118[[#This Row],[POD]],"-",Tableau118[[#This Row],[Code PFI]],"-",Tableau118[[#This Row],[Compte Site]])</f>
        <v>#N/A</v>
      </c>
      <c r="H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" s="397" t="str">
        <f ca="1">IF(COUNTIF(I:I,Tableau118[[#This Row],[Plant-ILN-shipper-POL-Carrier-POD-PFI]])=1,"Non","Oui")</f>
        <v>Oui</v>
      </c>
      <c r="K7" s="398" t="e">
        <f>VLOOKUP(Tableau118[[#This Row],[Name Site]],Plant_AILN!A:D,4,FALSE)</f>
        <v>#N/A</v>
      </c>
      <c r="L7" s="285"/>
      <c r="M7" s="496"/>
      <c r="N7" s="55"/>
      <c r="O7" s="114"/>
      <c r="P7" s="481"/>
      <c r="Q7" s="50"/>
      <c r="R7" s="50"/>
      <c r="S7" s="50"/>
      <c r="T7" s="50"/>
      <c r="U7" s="50"/>
      <c r="V7" s="50"/>
      <c r="W7" s="53"/>
      <c r="X7" s="114"/>
      <c r="Y7" s="482">
        <f>IFERROR(VLOOKUP(Tableau118[[#This Row],[Name Shipper]],Plant_AILN!L:M,2,FALSE),0)</f>
        <v>0</v>
      </c>
      <c r="Z7" s="358"/>
      <c r="AA7" s="353" t="e">
        <f ca="1">VLOOKUP(Tableau118[[#This Row],[Key(ID-Actif)]],'DATA BTO'!A:N,5,FALSE)</f>
        <v>#N/A</v>
      </c>
      <c r="AB7" s="3" t="e">
        <f ca="1">VLOOKUP(Tableau118[[#This Row],[Key(ID-Actif)]],'DATA BTO'!A:N,6,FALSE)</f>
        <v>#N/A</v>
      </c>
      <c r="AC7" s="50" t="e">
        <f ca="1">VLOOKUP(Tableau118[[#This Row],[Key(ID-Actif)]],'DATA BTO'!A:N,7,FALSE)</f>
        <v>#N/A</v>
      </c>
      <c r="AD7" s="50" t="e">
        <f ca="1">VLOOKUP(Tableau118[[#This Row],[Key(ID-Actif)]],'DATA BTO'!A:N,8,FALSE)</f>
        <v>#N/A</v>
      </c>
      <c r="AE7" s="387" t="e">
        <f ca="1">IF(Tableau118[[#This Row],[First Day to POL]]&lt;=Tableau118[[#This Row],[Day Cut Off]],Tableau118[[#This Row],[Day ETD]],Tableau118[[#This Row],[Day ETD]]+7)</f>
        <v>#N/A</v>
      </c>
      <c r="AF7" s="50" t="e">
        <f ca="1">VLOOKUP(Tableau118[[#This Row],[Key(ID-Actif)]],'DATA BTO'!A:N,9,FALSE)</f>
        <v>#N/A</v>
      </c>
      <c r="AG7" s="3" t="e">
        <f ca="1">VLOOKUP(Tableau118[[#This Row],[Key(ID-Actif)]],'DATA BTO'!A:N,10,FALSE)</f>
        <v>#N/A</v>
      </c>
      <c r="AH7" s="3" t="e">
        <f ca="1">VLOOKUP(Tableau118[[#This Row],[Key(ID-Actif)]],'DATA BTO'!A:N,11,FALSE)</f>
        <v>#N/A</v>
      </c>
      <c r="AI7" s="50" t="e">
        <f ca="1">VLOOKUP(Tableau118[[#This Row],[Key(ID-Actif)]],'DATA BTO'!A:N,12,FALSE)</f>
        <v>#N/A</v>
      </c>
      <c r="AJ7" s="53" t="e">
        <f ca="1">VLOOKUP(Tableau118[[#This Row],[Key(ID-Actif)]],'DATA BTO'!A:N,14,FALSE)</f>
        <v>#N/A</v>
      </c>
      <c r="AK7" s="54" t="e">
        <f ca="1">VLOOKUP(Tableau118[[#This Row],[Key(POD -PFI- Usine)]],'DATA Consignee'!A:F,6,FALSE)</f>
        <v>#N/A</v>
      </c>
      <c r="AL7" s="125"/>
      <c r="AM7" s="483" t="str">
        <f>IF(Tableau118[[#This Row],[Name PFI/CDD]]="","-",VLOOKUP(Tableau118[[#This Row],[Name PFI/CDD]],Plant_AILN!I:J,2,FALSE))</f>
        <v>-</v>
      </c>
      <c r="AN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" s="2" t="e">
        <f ca="1">VLOOKUP(Tableau118[[#This Row],[Key(POD -PFI- Usine)]],'DATA Consignee'!A:J,10,FALSE)</f>
        <v>#N/A</v>
      </c>
      <c r="AQ7" s="50" t="e">
        <f ca="1">VLOOKUP(Tableau118[[#This Row],[Key(POD -PFI- Usine)]],'DATA Consignee'!A:N,14,FALSE)</f>
        <v>#N/A</v>
      </c>
      <c r="AR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" s="50" t="e">
        <f ca="1">Tableau118[[#This Row],[Transit time]]+Tableau118[[#This Row],[Time for security]]+Tableau118[[#This Row],[Time for security2 buffer]]</f>
        <v>#N/A</v>
      </c>
      <c r="AU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" s="389" t="e">
        <f ca="1">Tableau118[[#This Row],[Leadtime SI2C]]+Tableau118[[#This Row],[First Receipt Days]]-Tableau118[[#This Row],[Day Customer Order]]+1</f>
        <v>#N/A</v>
      </c>
      <c r="AW7" s="117" t="e">
        <f ca="1">IF(Tableau118[[#This Row],[Name ILN]]&lt;&gt;"SFK Freight Forwarder",Tableau118[[#This Row],[Cust. Leadtime]],Tableau118[[#This Row],[Leadtime SI2C]])</f>
        <v>#N/A</v>
      </c>
      <c r="AX7" s="51" t="e">
        <f>VLOOKUP(Tableau118[[#This Row],[ID]],'DATA BTO'!B:P,15,FALSE)</f>
        <v>#N/A</v>
      </c>
      <c r="AY7" s="328" t="e">
        <f ca="1">IFERROR(VLOOKUP(Tableau118[[#This Row],[Key(ID-Actif)]],'DATA BTO'!A:N,4,FALSE),VLOOKUP(Tableau118[[#This Row],[ID]],'DATA BTO'!B:N,3,FALSE))</f>
        <v>#N/A</v>
      </c>
      <c r="AZ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" s="50"/>
    </row>
    <row r="8" spans="2:57">
      <c r="B8" s="65" t="str">
        <f>_xlfn.CONCAT(Tableau118[[#This Row],[Name ILN]],"-",Tableau118[[#This Row],[Name Shipper]],"-",Tableau118[[#This Row],[Name Site]])</f>
        <v>--</v>
      </c>
      <c r="C8" s="65" t="e">
        <f ca="1">_xlfn.CONCAT(Tableau118[[#This Row],[Compte ILN]],"-",Tableau118[[#This Row],[Compte Shipper]],"-",Tableau118[[#This Row],[POL]],"-",Tableau118[[#This Row],[Compte Site]])</f>
        <v>#N/A</v>
      </c>
      <c r="D8" s="64" t="e">
        <f ca="1">_xlfn.CONCAT(Tableau118[[#This Row],[Compte ILN]],"-",Tableau118[[#This Row],[Compte Shipper]],"-",Tableau118[[#This Row],[POL]])</f>
        <v>#N/A</v>
      </c>
      <c r="E8" s="396" t="e">
        <f ca="1">_xlfn.CONCAT(Tableau118[[#This Row],[POL]],"-",Tableau118[[#This Row],[Carrier]],"-",Tableau118[[#This Row],[POD]])</f>
        <v>#N/A</v>
      </c>
      <c r="F8" s="64" t="str">
        <f>_xlfn.CONCAT(Tableau118[[#This Row],[ID]],"-","Next")</f>
        <v>-Next</v>
      </c>
      <c r="G8" s="64" t="e">
        <f ca="1">_xlfn.CONCAT(Tableau118[[#This Row],[POD]],"-",Tableau118[[#This Row],[Code PFI]],"-",Tableau118[[#This Row],[Compte Site]])</f>
        <v>#N/A</v>
      </c>
      <c r="H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" s="397" t="str">
        <f ca="1">IF(COUNTIF(I:I,Tableau118[[#This Row],[Plant-ILN-shipper-POL-Carrier-POD-PFI]])=1,"Non","Oui")</f>
        <v>Oui</v>
      </c>
      <c r="K8" s="398" t="e">
        <f>VLOOKUP(Tableau118[[#This Row],[Name Site]],Plant_AILN!A:D,4,FALSE)</f>
        <v>#N/A</v>
      </c>
      <c r="L8" s="285"/>
      <c r="M8" s="480"/>
      <c r="N8" s="55"/>
      <c r="O8" s="114"/>
      <c r="P8" s="481"/>
      <c r="Q8" s="50"/>
      <c r="R8" s="50"/>
      <c r="S8" s="50"/>
      <c r="T8" s="50"/>
      <c r="U8" s="50"/>
      <c r="V8" s="50"/>
      <c r="W8" s="53"/>
      <c r="X8" s="283"/>
      <c r="Y8" s="482">
        <f>IFERROR(VLOOKUP(Tableau118[[#This Row],[Name Shipper]],Plant_AILN!L:M,2,FALSE),0)</f>
        <v>0</v>
      </c>
      <c r="Z8" s="358"/>
      <c r="AA8" s="353" t="e">
        <f ca="1">VLOOKUP(Tableau118[[#This Row],[Key(ID-Actif)]],'DATA BTO'!A:N,5,FALSE)</f>
        <v>#N/A</v>
      </c>
      <c r="AB8" s="3" t="e">
        <f ca="1">VLOOKUP(Tableau118[[#This Row],[Key(ID-Actif)]],'DATA BTO'!A:N,6,FALSE)</f>
        <v>#N/A</v>
      </c>
      <c r="AC8" s="50" t="e">
        <f ca="1">VLOOKUP(Tableau118[[#This Row],[Key(ID-Actif)]],'DATA BTO'!A:N,7,FALSE)</f>
        <v>#N/A</v>
      </c>
      <c r="AD8" s="50" t="e">
        <f ca="1">VLOOKUP(Tableau118[[#This Row],[Key(ID-Actif)]],'DATA BTO'!A:N,8,FALSE)</f>
        <v>#N/A</v>
      </c>
      <c r="AE8" s="50" t="e">
        <f ca="1">IF(Tableau118[[#This Row],[First Day to POL]]&lt;=Tableau118[[#This Row],[Day Cut Off]],Tableau118[[#This Row],[Day ETD]],Tableau118[[#This Row],[Day ETD]]+7)</f>
        <v>#N/A</v>
      </c>
      <c r="AF8" s="50" t="e">
        <f ca="1">VLOOKUP(Tableau118[[#This Row],[Key(ID-Actif)]],'DATA BTO'!A:N,9,FALSE)</f>
        <v>#N/A</v>
      </c>
      <c r="AG8" s="3" t="e">
        <f ca="1">VLOOKUP(Tableau118[[#This Row],[Key(ID-Actif)]],'DATA BTO'!A:N,10,FALSE)</f>
        <v>#N/A</v>
      </c>
      <c r="AH8" s="3" t="e">
        <f ca="1">VLOOKUP(Tableau118[[#This Row],[Key(ID-Actif)]],'DATA BTO'!A:N,11,FALSE)</f>
        <v>#N/A</v>
      </c>
      <c r="AI8" s="50" t="e">
        <f ca="1">VLOOKUP(Tableau118[[#This Row],[Key(ID-Actif)]],'DATA BTO'!A:N,12,FALSE)</f>
        <v>#N/A</v>
      </c>
      <c r="AJ8" s="53" t="e">
        <f ca="1">VLOOKUP(Tableau118[[#This Row],[Key(ID-Actif)]],'DATA BTO'!A:N,14,FALSE)</f>
        <v>#N/A</v>
      </c>
      <c r="AK8" s="54" t="e">
        <f ca="1">VLOOKUP(Tableau118[[#This Row],[Key(POD -PFI- Usine)]],'DATA Consignee'!A:F,6,FALSE)</f>
        <v>#N/A</v>
      </c>
      <c r="AL8" s="125"/>
      <c r="AM8" s="483" t="str">
        <f>IF(Tableau118[[#This Row],[Name PFI/CDD]]="","-",VLOOKUP(Tableau118[[#This Row],[Name PFI/CDD]],Plant_AILN!I:J,2,FALSE))</f>
        <v>-</v>
      </c>
      <c r="AN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" s="2" t="e">
        <f ca="1">VLOOKUP(Tableau118[[#This Row],[Key(POD -PFI- Usine)]],'DATA Consignee'!A:J,10,FALSE)</f>
        <v>#N/A</v>
      </c>
      <c r="AQ8" s="50" t="e">
        <f ca="1">VLOOKUP(Tableau118[[#This Row],[Key(POD -PFI- Usine)]],'DATA Consignee'!A:N,14,FALSE)</f>
        <v>#N/A</v>
      </c>
      <c r="AR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" s="50" t="e">
        <f ca="1">Tableau118[[#This Row],[Transit time]]+Tableau118[[#This Row],[Time for security]]+Tableau118[[#This Row],[Time for security2 buffer]]</f>
        <v>#N/A</v>
      </c>
      <c r="AU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" s="389" t="e">
        <f ca="1">Tableau118[[#This Row],[Leadtime SI2C]]+Tableau118[[#This Row],[First Receipt Days]]-Tableau118[[#This Row],[Day Customer Order]]+1</f>
        <v>#N/A</v>
      </c>
      <c r="AW8" s="117" t="e">
        <f ca="1">IF(Tableau118[[#This Row],[Name ILN]]&lt;&gt;"SFK Freight Forwarder",Tableau118[[#This Row],[Cust. Leadtime]],Tableau118[[#This Row],[Leadtime SI2C]])</f>
        <v>#N/A</v>
      </c>
      <c r="AX8" s="51" t="e">
        <f>VLOOKUP(Tableau118[[#This Row],[ID]],'DATA BTO'!B:P,15,FALSE)</f>
        <v>#N/A</v>
      </c>
      <c r="AY8" s="328" t="e">
        <f ca="1">IFERROR(VLOOKUP(Tableau118[[#This Row],[Key(ID-Actif)]],'DATA BTO'!A:N,4,FALSE),VLOOKUP(Tableau118[[#This Row],[ID]],'DATA BTO'!B:N,3,FALSE))</f>
        <v>#N/A</v>
      </c>
      <c r="AZ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" s="50"/>
    </row>
    <row r="9" spans="2:57">
      <c r="B9" s="65" t="str">
        <f>_xlfn.CONCAT(Tableau118[[#This Row],[Name ILN]],"-",Tableau118[[#This Row],[Name Shipper]],"-",Tableau118[[#This Row],[Name Site]])</f>
        <v>--</v>
      </c>
      <c r="C9" s="65" t="e">
        <f ca="1">_xlfn.CONCAT(Tableau118[[#This Row],[Compte ILN]],"-",Tableau118[[#This Row],[Compte Shipper]],"-",Tableau118[[#This Row],[POL]],"-",Tableau118[[#This Row],[Compte Site]])</f>
        <v>#N/A</v>
      </c>
      <c r="D9" s="64" t="e">
        <f ca="1">_xlfn.CONCAT(Tableau118[[#This Row],[Compte ILN]],"-",Tableau118[[#This Row],[Compte Shipper]],"-",Tableau118[[#This Row],[POL]])</f>
        <v>#N/A</v>
      </c>
      <c r="E9" s="396" t="e">
        <f ca="1">_xlfn.CONCAT(Tableau118[[#This Row],[POL]],"-",Tableau118[[#This Row],[Carrier]],"-",Tableau118[[#This Row],[POD]])</f>
        <v>#N/A</v>
      </c>
      <c r="F9" s="64" t="str">
        <f>_xlfn.CONCAT(Tableau118[[#This Row],[ID]],"-","Next")</f>
        <v>-Next</v>
      </c>
      <c r="G9" s="64" t="e">
        <f ca="1">_xlfn.CONCAT(Tableau118[[#This Row],[POD]],"-",Tableau118[[#This Row],[Code PFI]],"-",Tableau118[[#This Row],[Compte Site]])</f>
        <v>#N/A</v>
      </c>
      <c r="H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" s="397" t="str">
        <f ca="1">IF(COUNTIF(I:I,Tableau118[[#This Row],[Plant-ILN-shipper-POL-Carrier-POD-PFI]])=1,"Non","Oui")</f>
        <v>Oui</v>
      </c>
      <c r="K9" s="398" t="e">
        <f>VLOOKUP(Tableau118[[#This Row],[Name Site]],Plant_AILN!A:D,4,FALSE)</f>
        <v>#N/A</v>
      </c>
      <c r="L9" s="285"/>
      <c r="M9" s="496"/>
      <c r="N9" s="55"/>
      <c r="O9" s="114"/>
      <c r="P9" s="481"/>
      <c r="Q9" s="50"/>
      <c r="R9" s="50"/>
      <c r="S9" s="50"/>
      <c r="T9" s="50"/>
      <c r="U9" s="50"/>
      <c r="V9" s="50"/>
      <c r="W9" s="53"/>
      <c r="X9" s="283"/>
      <c r="Y9" s="482">
        <f>IFERROR(VLOOKUP(Tableau118[[#This Row],[Name Shipper]],Plant_AILN!L:M,2,FALSE),0)</f>
        <v>0</v>
      </c>
      <c r="Z9" s="358"/>
      <c r="AA9" s="353" t="e">
        <f ca="1">VLOOKUP(Tableau118[[#This Row],[Key(ID-Actif)]],'DATA BTO'!A:N,5,FALSE)</f>
        <v>#N/A</v>
      </c>
      <c r="AB9" s="3" t="e">
        <f ca="1">VLOOKUP(Tableau118[[#This Row],[Key(ID-Actif)]],'DATA BTO'!A:N,6,FALSE)</f>
        <v>#N/A</v>
      </c>
      <c r="AC9" s="50" t="e">
        <f ca="1">VLOOKUP(Tableau118[[#This Row],[Key(ID-Actif)]],'DATA BTO'!A:N,7,FALSE)</f>
        <v>#N/A</v>
      </c>
      <c r="AD9" s="50" t="e">
        <f ca="1">VLOOKUP(Tableau118[[#This Row],[Key(ID-Actif)]],'DATA BTO'!A:N,8,FALSE)</f>
        <v>#N/A</v>
      </c>
      <c r="AE9" s="50" t="e">
        <f ca="1">IF(Tableau118[[#This Row],[First Day to POL]]&lt;=Tableau118[[#This Row],[Day Cut Off]],Tableau118[[#This Row],[Day ETD]],Tableau118[[#This Row],[Day ETD]]+7)</f>
        <v>#N/A</v>
      </c>
      <c r="AF9" s="50" t="e">
        <f ca="1">VLOOKUP(Tableau118[[#This Row],[Key(ID-Actif)]],'DATA BTO'!A:N,9,FALSE)</f>
        <v>#N/A</v>
      </c>
      <c r="AG9" s="3" t="e">
        <f ca="1">VLOOKUP(Tableau118[[#This Row],[Key(ID-Actif)]],'DATA BTO'!A:N,10,FALSE)</f>
        <v>#N/A</v>
      </c>
      <c r="AH9" s="3" t="e">
        <f ca="1">VLOOKUP(Tableau118[[#This Row],[Key(ID-Actif)]],'DATA BTO'!A:N,11,FALSE)</f>
        <v>#N/A</v>
      </c>
      <c r="AI9" s="50" t="e">
        <f ca="1">VLOOKUP(Tableau118[[#This Row],[Key(ID-Actif)]],'DATA BTO'!A:N,12,FALSE)</f>
        <v>#N/A</v>
      </c>
      <c r="AJ9" s="53" t="e">
        <f ca="1">VLOOKUP(Tableau118[[#This Row],[Key(ID-Actif)]],'DATA BTO'!A:N,14,FALSE)</f>
        <v>#N/A</v>
      </c>
      <c r="AK9" s="54" t="e">
        <f ca="1">VLOOKUP(Tableau118[[#This Row],[Key(POD -PFI- Usine)]],'DATA Consignee'!A:F,6,FALSE)</f>
        <v>#N/A</v>
      </c>
      <c r="AL9" s="125"/>
      <c r="AM9" s="483" t="str">
        <f>IF(Tableau118[[#This Row],[Name PFI/CDD]]="","-",VLOOKUP(Tableau118[[#This Row],[Name PFI/CDD]],Plant_AILN!I:J,2,FALSE))</f>
        <v>-</v>
      </c>
      <c r="AN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" s="2" t="e">
        <f ca="1">VLOOKUP(Tableau118[[#This Row],[Key(POD -PFI- Usine)]],'DATA Consignee'!A:J,10,FALSE)</f>
        <v>#N/A</v>
      </c>
      <c r="AQ9" s="50" t="e">
        <f ca="1">VLOOKUP(Tableau118[[#This Row],[Key(POD -PFI- Usine)]],'DATA Consignee'!A:N,14,FALSE)</f>
        <v>#N/A</v>
      </c>
      <c r="AR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" s="50" t="e">
        <f ca="1">Tableau118[[#This Row],[Transit time]]+Tableau118[[#This Row],[Time for security]]+Tableau118[[#This Row],[Time for security2 buffer]]</f>
        <v>#N/A</v>
      </c>
      <c r="AU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" s="389" t="e">
        <f ca="1">Tableau118[[#This Row],[Leadtime SI2C]]+Tableau118[[#This Row],[First Receipt Days]]-Tableau118[[#This Row],[Day Customer Order]]+1</f>
        <v>#N/A</v>
      </c>
      <c r="AW9" s="117" t="e">
        <f ca="1">IF(Tableau118[[#This Row],[Name ILN]]&lt;&gt;"SFK Freight Forwarder",Tableau118[[#This Row],[Cust. Leadtime]],Tableau118[[#This Row],[Leadtime SI2C]])</f>
        <v>#N/A</v>
      </c>
      <c r="AX9" s="51" t="e">
        <f>VLOOKUP(Tableau118[[#This Row],[ID]],'DATA BTO'!B:P,15,FALSE)</f>
        <v>#N/A</v>
      </c>
      <c r="AY9" s="328" t="e">
        <f ca="1">IFERROR(VLOOKUP(Tableau118[[#This Row],[Key(ID-Actif)]],'DATA BTO'!A:N,4,FALSE),VLOOKUP(Tableau118[[#This Row],[ID]],'DATA BTO'!B:N,3,FALSE))</f>
        <v>#N/A</v>
      </c>
      <c r="AZ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" s="50"/>
    </row>
    <row r="10" spans="2:57">
      <c r="B10" s="65" t="str">
        <f>_xlfn.CONCAT(Tableau118[[#This Row],[Name ILN]],"-",Tableau118[[#This Row],[Name Shipper]],"-",Tableau118[[#This Row],[Name Site]])</f>
        <v>--</v>
      </c>
      <c r="C10" s="65" t="e">
        <f ca="1">_xlfn.CONCAT(Tableau118[[#This Row],[Compte ILN]],"-",Tableau118[[#This Row],[Compte Shipper]],"-",Tableau118[[#This Row],[POL]],"-",Tableau118[[#This Row],[Compte Site]])</f>
        <v>#N/A</v>
      </c>
      <c r="D10" s="64" t="e">
        <f ca="1">_xlfn.CONCAT(Tableau118[[#This Row],[Compte ILN]],"-",Tableau118[[#This Row],[Compte Shipper]],"-",Tableau118[[#This Row],[POL]])</f>
        <v>#N/A</v>
      </c>
      <c r="E10" s="396" t="e">
        <f ca="1">_xlfn.CONCAT(Tableau118[[#This Row],[POL]],"-",Tableau118[[#This Row],[Carrier]],"-",Tableau118[[#This Row],[POD]])</f>
        <v>#N/A</v>
      </c>
      <c r="F10" s="64" t="str">
        <f>_xlfn.CONCAT(Tableau118[[#This Row],[ID]],"-","Next")</f>
        <v>-Next</v>
      </c>
      <c r="G10" s="64" t="e">
        <f ca="1">_xlfn.CONCAT(Tableau118[[#This Row],[POD]],"-",Tableau118[[#This Row],[Code PFI]],"-",Tableau118[[#This Row],[Compte Site]])</f>
        <v>#N/A</v>
      </c>
      <c r="H1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" s="397" t="str">
        <f ca="1">IF(COUNTIF(I:I,Tableau118[[#This Row],[Plant-ILN-shipper-POL-Carrier-POD-PFI]])=1,"Non","Oui")</f>
        <v>Oui</v>
      </c>
      <c r="K10" s="399" t="e">
        <f>VLOOKUP(Tableau118[[#This Row],[Name Site]],Plant_AILN!A:D,4,FALSE)</f>
        <v>#N/A</v>
      </c>
      <c r="L10" s="285"/>
      <c r="M10" s="496"/>
      <c r="N10" s="55"/>
      <c r="O10" s="114"/>
      <c r="P10" s="481"/>
      <c r="Q10" s="50"/>
      <c r="R10" s="50"/>
      <c r="S10" s="50"/>
      <c r="T10" s="50"/>
      <c r="U10" s="50"/>
      <c r="V10" s="50"/>
      <c r="W10" s="53"/>
      <c r="X10" s="283"/>
      <c r="Y10" s="482">
        <f>IFERROR(VLOOKUP(Tableau118[[#This Row],[Name Shipper]],Plant_AILN!L:M,2,FALSE),0)</f>
        <v>0</v>
      </c>
      <c r="Z10" s="358"/>
      <c r="AA10" s="353" t="e">
        <f ca="1">VLOOKUP(Tableau118[[#This Row],[Key(ID-Actif)]],'DATA BTO'!A:N,5,FALSE)</f>
        <v>#N/A</v>
      </c>
      <c r="AB10" s="3" t="e">
        <f ca="1">VLOOKUP(Tableau118[[#This Row],[Key(ID-Actif)]],'DATA BTO'!A:N,6,FALSE)</f>
        <v>#N/A</v>
      </c>
      <c r="AC10" s="50" t="e">
        <f ca="1">VLOOKUP(Tableau118[[#This Row],[Key(ID-Actif)]],'DATA BTO'!A:N,7,FALSE)</f>
        <v>#N/A</v>
      </c>
      <c r="AD10" s="50" t="e">
        <f ca="1">VLOOKUP(Tableau118[[#This Row],[Key(ID-Actif)]],'DATA BTO'!A:N,8,FALSE)</f>
        <v>#N/A</v>
      </c>
      <c r="AE10" s="50" t="e">
        <f ca="1">IF(Tableau118[[#This Row],[First Day to POL]]&lt;=Tableau118[[#This Row],[Day Cut Off]],Tableau118[[#This Row],[Day ETD]],Tableau118[[#This Row],[Day ETD]]+7)</f>
        <v>#N/A</v>
      </c>
      <c r="AF10" s="50" t="e">
        <f ca="1">VLOOKUP(Tableau118[[#This Row],[Key(ID-Actif)]],'DATA BTO'!A:N,9,FALSE)</f>
        <v>#N/A</v>
      </c>
      <c r="AG10" s="3" t="e">
        <f ca="1">VLOOKUP(Tableau118[[#This Row],[Key(ID-Actif)]],'DATA BTO'!A:N,10,FALSE)</f>
        <v>#N/A</v>
      </c>
      <c r="AH10" s="3" t="e">
        <f ca="1">VLOOKUP(Tableau118[[#This Row],[Key(ID-Actif)]],'DATA BTO'!A:N,11,FALSE)</f>
        <v>#N/A</v>
      </c>
      <c r="AI10" s="50" t="e">
        <f ca="1">VLOOKUP(Tableau118[[#This Row],[Key(ID-Actif)]],'DATA BTO'!A:N,12,FALSE)</f>
        <v>#N/A</v>
      </c>
      <c r="AJ10" s="53" t="e">
        <f ca="1">VLOOKUP(Tableau118[[#This Row],[Key(ID-Actif)]],'DATA BTO'!A:N,14,FALSE)</f>
        <v>#N/A</v>
      </c>
      <c r="AK10" s="54" t="e">
        <f ca="1">VLOOKUP(Tableau118[[#This Row],[Key(POD -PFI- Usine)]],'DATA Consignee'!A:F,6,FALSE)</f>
        <v>#N/A</v>
      </c>
      <c r="AL10" s="125"/>
      <c r="AM10" s="483" t="str">
        <f>IF(Tableau118[[#This Row],[Name PFI/CDD]]="","-",VLOOKUP(Tableau118[[#This Row],[Name PFI/CDD]],Plant_AILN!I:J,2,FALSE))</f>
        <v>-</v>
      </c>
      <c r="AN1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" s="2" t="e">
        <f ca="1">VLOOKUP(Tableau118[[#This Row],[Key(POD -PFI- Usine)]],'DATA Consignee'!A:J,10,FALSE)</f>
        <v>#N/A</v>
      </c>
      <c r="AQ10" s="50" t="e">
        <f ca="1">VLOOKUP(Tableau118[[#This Row],[Key(POD -PFI- Usine)]],'DATA Consignee'!A:N,14,FALSE)</f>
        <v>#N/A</v>
      </c>
      <c r="AR1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" s="50" t="e">
        <f ca="1">Tableau118[[#This Row],[Transit time]]+Tableau118[[#This Row],[Time for security]]+Tableau118[[#This Row],[Time for security2 buffer]]</f>
        <v>#N/A</v>
      </c>
      <c r="AU1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" s="389" t="e">
        <f ca="1">Tableau118[[#This Row],[Leadtime SI2C]]+Tableau118[[#This Row],[First Receipt Days]]-Tableau118[[#This Row],[Day Customer Order]]+1</f>
        <v>#N/A</v>
      </c>
      <c r="AW10" s="117" t="e">
        <f ca="1">IF(Tableau118[[#This Row],[Name ILN]]&lt;&gt;"SFK Freight Forwarder",Tableau118[[#This Row],[Cust. Leadtime]],Tableau118[[#This Row],[Leadtime SI2C]])</f>
        <v>#N/A</v>
      </c>
      <c r="AX10" s="51" t="e">
        <f>VLOOKUP(Tableau118[[#This Row],[ID]],'DATA BTO'!B:P,15,FALSE)</f>
        <v>#N/A</v>
      </c>
      <c r="AY10" s="328" t="e">
        <f ca="1">IFERROR(VLOOKUP(Tableau118[[#This Row],[Key(ID-Actif)]],'DATA BTO'!A:N,4,FALSE),VLOOKUP(Tableau118[[#This Row],[ID]],'DATA BTO'!B:N,3,FALSE))</f>
        <v>#N/A</v>
      </c>
      <c r="AZ1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" s="50"/>
    </row>
    <row r="11" spans="2:57">
      <c r="B11" s="65" t="str">
        <f>_xlfn.CONCAT(Tableau118[[#This Row],[Name ILN]],"-",Tableau118[[#This Row],[Name Shipper]],"-",Tableau118[[#This Row],[Name Site]])</f>
        <v>--</v>
      </c>
      <c r="C11" s="65" t="e">
        <f ca="1">_xlfn.CONCAT(Tableau118[[#This Row],[Compte ILN]],"-",Tableau118[[#This Row],[Compte Shipper]],"-",Tableau118[[#This Row],[POL]],"-",Tableau118[[#This Row],[Compte Site]])</f>
        <v>#N/A</v>
      </c>
      <c r="D11" s="64" t="e">
        <f ca="1">_xlfn.CONCAT(Tableau118[[#This Row],[Compte ILN]],"-",Tableau118[[#This Row],[Compte Shipper]],"-",Tableau118[[#This Row],[POL]])</f>
        <v>#N/A</v>
      </c>
      <c r="E11" s="396" t="e">
        <f ca="1">_xlfn.CONCAT(Tableau118[[#This Row],[POL]],"-",Tableau118[[#This Row],[Carrier]],"-",Tableau118[[#This Row],[POD]])</f>
        <v>#N/A</v>
      </c>
      <c r="F11" s="64" t="str">
        <f>_xlfn.CONCAT(Tableau118[[#This Row],[ID]],"-","Next")</f>
        <v>-Next</v>
      </c>
      <c r="G11" s="64" t="e">
        <f ca="1">_xlfn.CONCAT(Tableau118[[#This Row],[POD]],"-",Tableau118[[#This Row],[Code PFI]],"-",Tableau118[[#This Row],[Compte Site]])</f>
        <v>#N/A</v>
      </c>
      <c r="H1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" s="397" t="str">
        <f ca="1">IF(COUNTIF(I:I,Tableau118[[#This Row],[Plant-ILN-shipper-POL-Carrier-POD-PFI]])=1,"Non","Oui")</f>
        <v>Oui</v>
      </c>
      <c r="K11" s="399" t="e">
        <f>VLOOKUP(Tableau118[[#This Row],[Name Site]],Plant_AILN!A:D,4,FALSE)</f>
        <v>#N/A</v>
      </c>
      <c r="L11" s="285"/>
      <c r="M11" s="496"/>
      <c r="N11" s="55"/>
      <c r="O11" s="114"/>
      <c r="P11" s="481"/>
      <c r="Q11" s="50"/>
      <c r="R11" s="50"/>
      <c r="S11" s="50"/>
      <c r="T11" s="50"/>
      <c r="U11" s="50"/>
      <c r="V11" s="50"/>
      <c r="W11" s="53"/>
      <c r="X11" s="283"/>
      <c r="Y11" s="482">
        <f>IFERROR(VLOOKUP(Tableau118[[#This Row],[Name Shipper]],Plant_AILN!L:M,2,FALSE),0)</f>
        <v>0</v>
      </c>
      <c r="Z11" s="358"/>
      <c r="AA11" s="353" t="e">
        <f ca="1">VLOOKUP(Tableau118[[#This Row],[Key(ID-Actif)]],'DATA BTO'!A:N,5,FALSE)</f>
        <v>#N/A</v>
      </c>
      <c r="AB11" s="3" t="e">
        <f ca="1">VLOOKUP(Tableau118[[#This Row],[Key(ID-Actif)]],'DATA BTO'!A:N,6,FALSE)</f>
        <v>#N/A</v>
      </c>
      <c r="AC11" s="50" t="e">
        <f ca="1">VLOOKUP(Tableau118[[#This Row],[Key(ID-Actif)]],'DATA BTO'!A:N,7,FALSE)</f>
        <v>#N/A</v>
      </c>
      <c r="AD11" s="50" t="e">
        <f ca="1">VLOOKUP(Tableau118[[#This Row],[Key(ID-Actif)]],'DATA BTO'!A:N,8,FALSE)</f>
        <v>#N/A</v>
      </c>
      <c r="AE11" s="50" t="e">
        <f ca="1">IF(Tableau118[[#This Row],[First Day to POL]]&lt;=Tableau118[[#This Row],[Day Cut Off]],Tableau118[[#This Row],[Day ETD]],Tableau118[[#This Row],[Day ETD]]+7)</f>
        <v>#N/A</v>
      </c>
      <c r="AF11" s="50" t="e">
        <f ca="1">VLOOKUP(Tableau118[[#This Row],[Key(ID-Actif)]],'DATA BTO'!A:N,9,FALSE)</f>
        <v>#N/A</v>
      </c>
      <c r="AG11" s="3" t="e">
        <f ca="1">VLOOKUP(Tableau118[[#This Row],[Key(ID-Actif)]],'DATA BTO'!A:N,10,FALSE)</f>
        <v>#N/A</v>
      </c>
      <c r="AH11" s="3" t="e">
        <f ca="1">VLOOKUP(Tableau118[[#This Row],[Key(ID-Actif)]],'DATA BTO'!A:N,11,FALSE)</f>
        <v>#N/A</v>
      </c>
      <c r="AI11" s="50" t="e">
        <f ca="1">VLOOKUP(Tableau118[[#This Row],[Key(ID-Actif)]],'DATA BTO'!A:N,12,FALSE)</f>
        <v>#N/A</v>
      </c>
      <c r="AJ11" s="53" t="e">
        <f ca="1">VLOOKUP(Tableau118[[#This Row],[Key(ID-Actif)]],'DATA BTO'!A:N,14,FALSE)</f>
        <v>#N/A</v>
      </c>
      <c r="AK11" s="54" t="e">
        <f ca="1">VLOOKUP(Tableau118[[#This Row],[Key(POD -PFI- Usine)]],'DATA Consignee'!A:F,6,FALSE)</f>
        <v>#N/A</v>
      </c>
      <c r="AL11" s="125"/>
      <c r="AM11" s="483" t="str">
        <f>IF(Tableau118[[#This Row],[Name PFI/CDD]]="","-",VLOOKUP(Tableau118[[#This Row],[Name PFI/CDD]],Plant_AILN!I:J,2,FALSE))</f>
        <v>-</v>
      </c>
      <c r="AN1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" s="2" t="e">
        <f ca="1">VLOOKUP(Tableau118[[#This Row],[Key(POD -PFI- Usine)]],'DATA Consignee'!A:J,10,FALSE)</f>
        <v>#N/A</v>
      </c>
      <c r="AQ11" s="50" t="e">
        <f ca="1">VLOOKUP(Tableau118[[#This Row],[Key(POD -PFI- Usine)]],'DATA Consignee'!A:N,14,FALSE)</f>
        <v>#N/A</v>
      </c>
      <c r="AR1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" s="50" t="e">
        <f ca="1">Tableau118[[#This Row],[Transit time]]+Tableau118[[#This Row],[Time for security]]+Tableau118[[#This Row],[Time for security2 buffer]]</f>
        <v>#N/A</v>
      </c>
      <c r="AU1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" s="389" t="e">
        <f ca="1">Tableau118[[#This Row],[Leadtime SI2C]]+Tableau118[[#This Row],[First Receipt Days]]-Tableau118[[#This Row],[Day Customer Order]]+1</f>
        <v>#N/A</v>
      </c>
      <c r="AW11" s="117" t="e">
        <f ca="1">IF(Tableau118[[#This Row],[Name ILN]]&lt;&gt;"SFK Freight Forwarder",Tableau118[[#This Row],[Cust. Leadtime]],Tableau118[[#This Row],[Leadtime SI2C]])</f>
        <v>#N/A</v>
      </c>
      <c r="AX11" s="51" t="e">
        <f>VLOOKUP(Tableau118[[#This Row],[ID]],'DATA BTO'!B:P,15,FALSE)</f>
        <v>#N/A</v>
      </c>
      <c r="AY11" s="328" t="e">
        <f ca="1">IFERROR(VLOOKUP(Tableau118[[#This Row],[Key(ID-Actif)]],'DATA BTO'!A:N,4,FALSE),VLOOKUP(Tableau118[[#This Row],[ID]],'DATA BTO'!B:N,3,FALSE))</f>
        <v>#N/A</v>
      </c>
      <c r="AZ1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" s="50"/>
    </row>
    <row r="12" spans="2:57">
      <c r="B12" s="65" t="str">
        <f>_xlfn.CONCAT(Tableau118[[#This Row],[Name ILN]],"-",Tableau118[[#This Row],[Name Shipper]],"-",Tableau118[[#This Row],[Name Site]])</f>
        <v>--</v>
      </c>
      <c r="C12" s="65" t="e">
        <f ca="1">_xlfn.CONCAT(Tableau118[[#This Row],[Compte ILN]],"-",Tableau118[[#This Row],[Compte Shipper]],"-",Tableau118[[#This Row],[POL]],"-",Tableau118[[#This Row],[Compte Site]])</f>
        <v>#N/A</v>
      </c>
      <c r="D12" s="64" t="e">
        <f ca="1">_xlfn.CONCAT(Tableau118[[#This Row],[Compte ILN]],"-",Tableau118[[#This Row],[Compte Shipper]],"-",Tableau118[[#This Row],[POL]])</f>
        <v>#N/A</v>
      </c>
      <c r="E12" s="396" t="e">
        <f ca="1">_xlfn.CONCAT(Tableau118[[#This Row],[POL]],"-",Tableau118[[#This Row],[Carrier]],"-",Tableau118[[#This Row],[POD]])</f>
        <v>#N/A</v>
      </c>
      <c r="F12" s="64" t="str">
        <f>_xlfn.CONCAT(Tableau118[[#This Row],[ID]],"-","Next")</f>
        <v>-Next</v>
      </c>
      <c r="G12" s="64" t="e">
        <f ca="1">_xlfn.CONCAT(Tableau118[[#This Row],[POD]],"-",Tableau118[[#This Row],[Code PFI]],"-",Tableau118[[#This Row],[Compte Site]])</f>
        <v>#N/A</v>
      </c>
      <c r="H1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" s="397" t="str">
        <f ca="1">IF(COUNTIF(I:I,Tableau118[[#This Row],[Plant-ILN-shipper-POL-Carrier-POD-PFI]])=1,"Non","Oui")</f>
        <v>Oui</v>
      </c>
      <c r="K12" s="398" t="e">
        <f>VLOOKUP(Tableau118[[#This Row],[Name Site]],Plant_AILN!A:D,4,FALSE)</f>
        <v>#N/A</v>
      </c>
      <c r="L12" s="285"/>
      <c r="M12" s="496"/>
      <c r="N12" s="55"/>
      <c r="O12" s="114"/>
      <c r="P12" s="481"/>
      <c r="Q12" s="50"/>
      <c r="R12" s="50"/>
      <c r="S12" s="50"/>
      <c r="T12" s="50"/>
      <c r="U12" s="50"/>
      <c r="V12" s="50"/>
      <c r="W12" s="53"/>
      <c r="X12" s="283"/>
      <c r="Y12" s="482">
        <f>IFERROR(VLOOKUP(Tableau118[[#This Row],[Name Shipper]],Plant_AILN!L:M,2,FALSE),0)</f>
        <v>0</v>
      </c>
      <c r="Z12" s="358"/>
      <c r="AA12" s="353" t="e">
        <f ca="1">VLOOKUP(Tableau118[[#This Row],[Key(ID-Actif)]],'DATA BTO'!A:N,5,FALSE)</f>
        <v>#N/A</v>
      </c>
      <c r="AB12" s="3" t="e">
        <f ca="1">VLOOKUP(Tableau118[[#This Row],[Key(ID-Actif)]],'DATA BTO'!A:N,6,FALSE)</f>
        <v>#N/A</v>
      </c>
      <c r="AC12" s="50" t="e">
        <f ca="1">VLOOKUP(Tableau118[[#This Row],[Key(ID-Actif)]],'DATA BTO'!A:N,7,FALSE)</f>
        <v>#N/A</v>
      </c>
      <c r="AD12" s="50" t="e">
        <f ca="1">VLOOKUP(Tableau118[[#This Row],[Key(ID-Actif)]],'DATA BTO'!A:N,8,FALSE)</f>
        <v>#N/A</v>
      </c>
      <c r="AE12" s="50" t="e">
        <f ca="1">IF(Tableau118[[#This Row],[First Day to POL]]&lt;=Tableau118[[#This Row],[Day Cut Off]],Tableau118[[#This Row],[Day ETD]],Tableau118[[#This Row],[Day ETD]]+7)</f>
        <v>#N/A</v>
      </c>
      <c r="AF12" s="50" t="e">
        <f ca="1">VLOOKUP(Tableau118[[#This Row],[Key(ID-Actif)]],'DATA BTO'!A:N,9,FALSE)</f>
        <v>#N/A</v>
      </c>
      <c r="AG12" s="3" t="e">
        <f ca="1">VLOOKUP(Tableau118[[#This Row],[Key(ID-Actif)]],'DATA BTO'!A:N,10,FALSE)</f>
        <v>#N/A</v>
      </c>
      <c r="AH12" s="3" t="e">
        <f ca="1">VLOOKUP(Tableau118[[#This Row],[Key(ID-Actif)]],'DATA BTO'!A:N,11,FALSE)</f>
        <v>#N/A</v>
      </c>
      <c r="AI12" s="50" t="e">
        <f ca="1">VLOOKUP(Tableau118[[#This Row],[Key(ID-Actif)]],'DATA BTO'!A:N,12,FALSE)</f>
        <v>#N/A</v>
      </c>
      <c r="AJ12" s="53" t="e">
        <f ca="1">VLOOKUP(Tableau118[[#This Row],[Key(ID-Actif)]],'DATA BTO'!A:N,14,FALSE)</f>
        <v>#N/A</v>
      </c>
      <c r="AK12" s="54" t="e">
        <f ca="1">VLOOKUP(Tableau118[[#This Row],[Key(POD -PFI- Usine)]],'DATA Consignee'!A:F,6,FALSE)</f>
        <v>#N/A</v>
      </c>
      <c r="AL12" s="125"/>
      <c r="AM12" s="483" t="str">
        <f>IF(Tableau118[[#This Row],[Name PFI/CDD]]="","-",VLOOKUP(Tableau118[[#This Row],[Name PFI/CDD]],Plant_AILN!I:J,2,FALSE))</f>
        <v>-</v>
      </c>
      <c r="AN1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" s="2" t="e">
        <f ca="1">VLOOKUP(Tableau118[[#This Row],[Key(POD -PFI- Usine)]],'DATA Consignee'!A:J,10,FALSE)</f>
        <v>#N/A</v>
      </c>
      <c r="AQ12" s="50" t="e">
        <f ca="1">VLOOKUP(Tableau118[[#This Row],[Key(POD -PFI- Usine)]],'DATA Consignee'!A:N,14,FALSE)</f>
        <v>#N/A</v>
      </c>
      <c r="AR1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" s="50" t="e">
        <f ca="1">Tableau118[[#This Row],[Transit time]]+Tableau118[[#This Row],[Time for security]]+Tableau118[[#This Row],[Time for security2 buffer]]</f>
        <v>#N/A</v>
      </c>
      <c r="AU1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" s="389" t="e">
        <f ca="1">Tableau118[[#This Row],[Leadtime SI2C]]+Tableau118[[#This Row],[First Receipt Days]]-Tableau118[[#This Row],[Day Customer Order]]+1</f>
        <v>#N/A</v>
      </c>
      <c r="AW12" s="117" t="e">
        <f ca="1">IF(Tableau118[[#This Row],[Name ILN]]&lt;&gt;"SFK Freight Forwarder",Tableau118[[#This Row],[Cust. Leadtime]],Tableau118[[#This Row],[Leadtime SI2C]])</f>
        <v>#N/A</v>
      </c>
      <c r="AX12" s="51" t="e">
        <f>VLOOKUP(Tableau118[[#This Row],[ID]],'DATA BTO'!B:P,15,FALSE)</f>
        <v>#N/A</v>
      </c>
      <c r="AY12" s="328" t="e">
        <f ca="1">IFERROR(VLOOKUP(Tableau118[[#This Row],[Key(ID-Actif)]],'DATA BTO'!A:N,4,FALSE),VLOOKUP(Tableau118[[#This Row],[ID]],'DATA BTO'!B:N,3,FALSE))</f>
        <v>#N/A</v>
      </c>
      <c r="AZ1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" s="50"/>
    </row>
    <row r="13" spans="2:57">
      <c r="B13" s="65" t="str">
        <f>_xlfn.CONCAT(Tableau118[[#This Row],[Name ILN]],"-",Tableau118[[#This Row],[Name Shipper]],"-",Tableau118[[#This Row],[Name Site]])</f>
        <v>--</v>
      </c>
      <c r="C13" s="65" t="e">
        <f ca="1">_xlfn.CONCAT(Tableau118[[#This Row],[Compte ILN]],"-",Tableau118[[#This Row],[Compte Shipper]],"-",Tableau118[[#This Row],[POL]],"-",Tableau118[[#This Row],[Compte Site]])</f>
        <v>#N/A</v>
      </c>
      <c r="D13" s="64" t="e">
        <f ca="1">_xlfn.CONCAT(Tableau118[[#This Row],[Compte ILN]],"-",Tableau118[[#This Row],[Compte Shipper]],"-",Tableau118[[#This Row],[POL]])</f>
        <v>#N/A</v>
      </c>
      <c r="E13" s="396" t="e">
        <f ca="1">_xlfn.CONCAT(Tableau118[[#This Row],[POL]],"-",Tableau118[[#This Row],[Carrier]],"-",Tableau118[[#This Row],[POD]])</f>
        <v>#N/A</v>
      </c>
      <c r="F13" s="64" t="str">
        <f>_xlfn.CONCAT(Tableau118[[#This Row],[ID]],"-","Next")</f>
        <v>-Next</v>
      </c>
      <c r="G13" s="64" t="e">
        <f ca="1">_xlfn.CONCAT(Tableau118[[#This Row],[POD]],"-",Tableau118[[#This Row],[Code PFI]],"-",Tableau118[[#This Row],[Compte Site]])</f>
        <v>#N/A</v>
      </c>
      <c r="H1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" s="397" t="str">
        <f ca="1">IF(COUNTIF(I:I,Tableau118[[#This Row],[Plant-ILN-shipper-POL-Carrier-POD-PFI]])=1,"Non","Oui")</f>
        <v>Oui</v>
      </c>
      <c r="K13" s="398" t="e">
        <f>VLOOKUP(Tableau118[[#This Row],[Name Site]],Plant_AILN!A:D,4,FALSE)</f>
        <v>#N/A</v>
      </c>
      <c r="L13" s="285"/>
      <c r="M13" s="496"/>
      <c r="N13" s="55"/>
      <c r="O13" s="114"/>
      <c r="P13" s="481"/>
      <c r="Q13" s="50"/>
      <c r="R13" s="50"/>
      <c r="S13" s="50"/>
      <c r="T13" s="50"/>
      <c r="U13" s="50"/>
      <c r="V13" s="50"/>
      <c r="W13" s="53"/>
      <c r="X13" s="283"/>
      <c r="Y13" s="482">
        <f>IFERROR(VLOOKUP(Tableau118[[#This Row],[Name Shipper]],Plant_AILN!L:M,2,FALSE),0)</f>
        <v>0</v>
      </c>
      <c r="Z13" s="358"/>
      <c r="AA13" s="353" t="e">
        <f ca="1">VLOOKUP(Tableau118[[#This Row],[Key(ID-Actif)]],'DATA BTO'!A:N,5,FALSE)</f>
        <v>#N/A</v>
      </c>
      <c r="AB13" s="3" t="e">
        <f ca="1">VLOOKUP(Tableau118[[#This Row],[Key(ID-Actif)]],'DATA BTO'!A:N,6,FALSE)</f>
        <v>#N/A</v>
      </c>
      <c r="AC13" s="50" t="e">
        <f ca="1">VLOOKUP(Tableau118[[#This Row],[Key(ID-Actif)]],'DATA BTO'!A:N,7,FALSE)</f>
        <v>#N/A</v>
      </c>
      <c r="AD13" s="50" t="e">
        <f ca="1">VLOOKUP(Tableau118[[#This Row],[Key(ID-Actif)]],'DATA BTO'!A:N,8,FALSE)</f>
        <v>#N/A</v>
      </c>
      <c r="AE13" s="50" t="e">
        <f ca="1">IF(Tableau118[[#This Row],[First Day to POL]]&lt;=Tableau118[[#This Row],[Day Cut Off]],Tableau118[[#This Row],[Day ETD]],Tableau118[[#This Row],[Day ETD]]+7)</f>
        <v>#N/A</v>
      </c>
      <c r="AF13" s="50" t="e">
        <f ca="1">VLOOKUP(Tableau118[[#This Row],[Key(ID-Actif)]],'DATA BTO'!A:N,9,FALSE)</f>
        <v>#N/A</v>
      </c>
      <c r="AG13" s="3" t="e">
        <f ca="1">VLOOKUP(Tableau118[[#This Row],[Key(ID-Actif)]],'DATA BTO'!A:N,10,FALSE)</f>
        <v>#N/A</v>
      </c>
      <c r="AH13" s="3" t="e">
        <f ca="1">VLOOKUP(Tableau118[[#This Row],[Key(ID-Actif)]],'DATA BTO'!A:N,11,FALSE)</f>
        <v>#N/A</v>
      </c>
      <c r="AI13" s="50" t="e">
        <f ca="1">VLOOKUP(Tableau118[[#This Row],[Key(ID-Actif)]],'DATA BTO'!A:N,12,FALSE)</f>
        <v>#N/A</v>
      </c>
      <c r="AJ13" s="53" t="e">
        <f ca="1">VLOOKUP(Tableau118[[#This Row],[Key(ID-Actif)]],'DATA BTO'!A:N,14,FALSE)</f>
        <v>#N/A</v>
      </c>
      <c r="AK13" s="54" t="e">
        <f ca="1">VLOOKUP(Tableau118[[#This Row],[Key(POD -PFI- Usine)]],'DATA Consignee'!A:F,6,FALSE)</f>
        <v>#N/A</v>
      </c>
      <c r="AL13" s="125"/>
      <c r="AM13" s="483" t="str">
        <f>IF(Tableau118[[#This Row],[Name PFI/CDD]]="","-",VLOOKUP(Tableau118[[#This Row],[Name PFI/CDD]],Plant_AILN!I:J,2,FALSE))</f>
        <v>-</v>
      </c>
      <c r="AN1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" s="2" t="e">
        <f ca="1">VLOOKUP(Tableau118[[#This Row],[Key(POD -PFI- Usine)]],'DATA Consignee'!A:J,10,FALSE)</f>
        <v>#N/A</v>
      </c>
      <c r="AQ13" s="50" t="e">
        <f ca="1">VLOOKUP(Tableau118[[#This Row],[Key(POD -PFI- Usine)]],'DATA Consignee'!A:N,14,FALSE)</f>
        <v>#N/A</v>
      </c>
      <c r="AR1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" s="50" t="e">
        <f ca="1">Tableau118[[#This Row],[Transit time]]+Tableau118[[#This Row],[Time for security]]+Tableau118[[#This Row],[Time for security2 buffer]]</f>
        <v>#N/A</v>
      </c>
      <c r="AU1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" s="389" t="e">
        <f ca="1">Tableau118[[#This Row],[Leadtime SI2C]]+Tableau118[[#This Row],[First Receipt Days]]-Tableau118[[#This Row],[Day Customer Order]]+1</f>
        <v>#N/A</v>
      </c>
      <c r="AW13" s="117" t="e">
        <f ca="1">IF(Tableau118[[#This Row],[Name ILN]]&lt;&gt;"SFK Freight Forwarder",Tableau118[[#This Row],[Cust. Leadtime]],Tableau118[[#This Row],[Leadtime SI2C]])</f>
        <v>#N/A</v>
      </c>
      <c r="AX13" s="51" t="e">
        <f>VLOOKUP(Tableau118[[#This Row],[ID]],'DATA BTO'!B:P,15,FALSE)</f>
        <v>#N/A</v>
      </c>
      <c r="AY13" s="328" t="e">
        <f ca="1">IFERROR(VLOOKUP(Tableau118[[#This Row],[Key(ID-Actif)]],'DATA BTO'!A:N,4,FALSE),VLOOKUP(Tableau118[[#This Row],[ID]],'DATA BTO'!B:N,3,FALSE))</f>
        <v>#N/A</v>
      </c>
      <c r="AZ1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" s="50"/>
    </row>
    <row r="14" spans="2:57">
      <c r="B14" s="65" t="str">
        <f>_xlfn.CONCAT(Tableau118[[#This Row],[Name ILN]],"-",Tableau118[[#This Row],[Name Shipper]],"-",Tableau118[[#This Row],[Name Site]])</f>
        <v>--</v>
      </c>
      <c r="C14" s="65" t="e">
        <f ca="1">_xlfn.CONCAT(Tableau118[[#This Row],[Compte ILN]],"-",Tableau118[[#This Row],[Compte Shipper]],"-",Tableau118[[#This Row],[POL]],"-",Tableau118[[#This Row],[Compte Site]])</f>
        <v>#N/A</v>
      </c>
      <c r="D14" s="64" t="e">
        <f ca="1">_xlfn.CONCAT(Tableau118[[#This Row],[Compte ILN]],"-",Tableau118[[#This Row],[Compte Shipper]],"-",Tableau118[[#This Row],[POL]])</f>
        <v>#N/A</v>
      </c>
      <c r="E14" s="396" t="e">
        <f ca="1">_xlfn.CONCAT(Tableau118[[#This Row],[POL]],"-",Tableau118[[#This Row],[Carrier]],"-",Tableau118[[#This Row],[POD]])</f>
        <v>#N/A</v>
      </c>
      <c r="F14" s="64" t="str">
        <f>_xlfn.CONCAT(Tableau118[[#This Row],[ID]],"-","Next")</f>
        <v>-Next</v>
      </c>
      <c r="G14" s="64" t="e">
        <f ca="1">_xlfn.CONCAT(Tableau118[[#This Row],[POD]],"-",Tableau118[[#This Row],[Code PFI]],"-",Tableau118[[#This Row],[Compte Site]])</f>
        <v>#N/A</v>
      </c>
      <c r="H1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" s="397" t="str">
        <f ca="1">IF(COUNTIF(I:I,Tableau118[[#This Row],[Plant-ILN-shipper-POL-Carrier-POD-PFI]])=1,"Non","Oui")</f>
        <v>Oui</v>
      </c>
      <c r="K14" s="398" t="e">
        <f>VLOOKUP(Tableau118[[#This Row],[Name Site]],Plant_AILN!A:D,4,FALSE)</f>
        <v>#N/A</v>
      </c>
      <c r="L14" s="285"/>
      <c r="M14" s="496"/>
      <c r="N14" s="55"/>
      <c r="O14" s="114"/>
      <c r="P14" s="481"/>
      <c r="Q14" s="50"/>
      <c r="R14" s="50"/>
      <c r="S14" s="50"/>
      <c r="T14" s="50"/>
      <c r="U14" s="50"/>
      <c r="V14" s="50"/>
      <c r="W14" s="53"/>
      <c r="X14" s="283"/>
      <c r="Y14" s="482">
        <f>IFERROR(VLOOKUP(Tableau118[[#This Row],[Name Shipper]],Plant_AILN!L:M,2,FALSE),0)</f>
        <v>0</v>
      </c>
      <c r="Z14" s="358"/>
      <c r="AA14" s="353" t="e">
        <f ca="1">VLOOKUP(Tableau118[[#This Row],[Key(ID-Actif)]],'DATA BTO'!A:N,5,FALSE)</f>
        <v>#N/A</v>
      </c>
      <c r="AB14" s="3" t="e">
        <f ca="1">VLOOKUP(Tableau118[[#This Row],[Key(ID-Actif)]],'DATA BTO'!A:N,6,FALSE)</f>
        <v>#N/A</v>
      </c>
      <c r="AC14" s="50" t="e">
        <f ca="1">VLOOKUP(Tableau118[[#This Row],[Key(ID-Actif)]],'DATA BTO'!A:N,7,FALSE)</f>
        <v>#N/A</v>
      </c>
      <c r="AD14" s="50" t="e">
        <f ca="1">VLOOKUP(Tableau118[[#This Row],[Key(ID-Actif)]],'DATA BTO'!A:N,8,FALSE)</f>
        <v>#N/A</v>
      </c>
      <c r="AE14" s="50" t="e">
        <f ca="1">IF(Tableau118[[#This Row],[First Day to POL]]&lt;=Tableau118[[#This Row],[Day Cut Off]],Tableau118[[#This Row],[Day ETD]],Tableau118[[#This Row],[Day ETD]]+7)</f>
        <v>#N/A</v>
      </c>
      <c r="AF14" s="50" t="e">
        <f ca="1">VLOOKUP(Tableau118[[#This Row],[Key(ID-Actif)]],'DATA BTO'!A:N,9,FALSE)</f>
        <v>#N/A</v>
      </c>
      <c r="AG14" s="3" t="e">
        <f ca="1">VLOOKUP(Tableau118[[#This Row],[Key(ID-Actif)]],'DATA BTO'!A:N,10,FALSE)</f>
        <v>#N/A</v>
      </c>
      <c r="AH14" s="3" t="e">
        <f ca="1">VLOOKUP(Tableau118[[#This Row],[Key(ID-Actif)]],'DATA BTO'!A:N,11,FALSE)</f>
        <v>#N/A</v>
      </c>
      <c r="AI14" s="50" t="e">
        <f ca="1">VLOOKUP(Tableau118[[#This Row],[Key(ID-Actif)]],'DATA BTO'!A:N,12,FALSE)</f>
        <v>#N/A</v>
      </c>
      <c r="AJ14" s="53" t="e">
        <f ca="1">VLOOKUP(Tableau118[[#This Row],[Key(ID-Actif)]],'DATA BTO'!A:N,14,FALSE)</f>
        <v>#N/A</v>
      </c>
      <c r="AK14" s="54" t="e">
        <f ca="1">VLOOKUP(Tableau118[[#This Row],[Key(POD -PFI- Usine)]],'DATA Consignee'!A:F,6,FALSE)</f>
        <v>#N/A</v>
      </c>
      <c r="AL14" s="125"/>
      <c r="AM14" s="483" t="str">
        <f>IF(Tableau118[[#This Row],[Name PFI/CDD]]="","-",VLOOKUP(Tableau118[[#This Row],[Name PFI/CDD]],Plant_AILN!I:J,2,FALSE))</f>
        <v>-</v>
      </c>
      <c r="AN1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4" s="2" t="e">
        <f ca="1">VLOOKUP(Tableau118[[#This Row],[Key(POD -PFI- Usine)]],'DATA Consignee'!A:J,10,FALSE)</f>
        <v>#N/A</v>
      </c>
      <c r="AQ14" s="50" t="e">
        <f ca="1">VLOOKUP(Tableau118[[#This Row],[Key(POD -PFI- Usine)]],'DATA Consignee'!A:N,14,FALSE)</f>
        <v>#N/A</v>
      </c>
      <c r="AR1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" s="50" t="e">
        <f ca="1">Tableau118[[#This Row],[Transit time]]+Tableau118[[#This Row],[Time for security]]+Tableau118[[#This Row],[Time for security2 buffer]]</f>
        <v>#N/A</v>
      </c>
      <c r="AU1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" s="389" t="e">
        <f ca="1">Tableau118[[#This Row],[Leadtime SI2C]]+Tableau118[[#This Row],[First Receipt Days]]-Tableau118[[#This Row],[Day Customer Order]]+1</f>
        <v>#N/A</v>
      </c>
      <c r="AW14" s="117" t="e">
        <f ca="1">IF(Tableau118[[#This Row],[Name ILN]]&lt;&gt;"SFK Freight Forwarder",Tableau118[[#This Row],[Cust. Leadtime]],Tableau118[[#This Row],[Leadtime SI2C]])</f>
        <v>#N/A</v>
      </c>
      <c r="AX14" s="51" t="e">
        <f>VLOOKUP(Tableau118[[#This Row],[ID]],'DATA BTO'!B:P,15,FALSE)</f>
        <v>#N/A</v>
      </c>
      <c r="AY14" s="328" t="e">
        <f ca="1">IFERROR(VLOOKUP(Tableau118[[#This Row],[Key(ID-Actif)]],'DATA BTO'!A:N,4,FALSE),VLOOKUP(Tableau118[[#This Row],[ID]],'DATA BTO'!B:N,3,FALSE))</f>
        <v>#N/A</v>
      </c>
      <c r="AZ1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" s="50"/>
    </row>
    <row r="15" spans="2:57">
      <c r="B15" s="65" t="str">
        <f>_xlfn.CONCAT(Tableau118[[#This Row],[Name ILN]],"-",Tableau118[[#This Row],[Name Shipper]],"-",Tableau118[[#This Row],[Name Site]])</f>
        <v>--</v>
      </c>
      <c r="C15" s="65" t="e">
        <f ca="1">_xlfn.CONCAT(Tableau118[[#This Row],[Compte ILN]],"-",Tableau118[[#This Row],[Compte Shipper]],"-",Tableau118[[#This Row],[POL]],"-",Tableau118[[#This Row],[Compte Site]])</f>
        <v>#N/A</v>
      </c>
      <c r="D15" s="64" t="e">
        <f ca="1">_xlfn.CONCAT(Tableau118[[#This Row],[Compte ILN]],"-",Tableau118[[#This Row],[Compte Shipper]],"-",Tableau118[[#This Row],[POL]])</f>
        <v>#N/A</v>
      </c>
      <c r="E15" s="396" t="e">
        <f ca="1">_xlfn.CONCAT(Tableau118[[#This Row],[POL]],"-",Tableau118[[#This Row],[Carrier]],"-",Tableau118[[#This Row],[POD]])</f>
        <v>#N/A</v>
      </c>
      <c r="F15" s="64" t="str">
        <f>_xlfn.CONCAT(Tableau118[[#This Row],[ID]],"-","Next")</f>
        <v>-Next</v>
      </c>
      <c r="G15" s="64" t="e">
        <f ca="1">_xlfn.CONCAT(Tableau118[[#This Row],[POD]],"-",Tableau118[[#This Row],[Code PFI]],"-",Tableau118[[#This Row],[Compte Site]])</f>
        <v>#N/A</v>
      </c>
      <c r="H1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" s="397" t="str">
        <f ca="1">IF(COUNTIF(I:I,Tableau118[[#This Row],[Plant-ILN-shipper-POL-Carrier-POD-PFI]])=1,"Non","Oui")</f>
        <v>Oui</v>
      </c>
      <c r="K15" s="398" t="e">
        <f>VLOOKUP(Tableau118[[#This Row],[Name Site]],Plant_AILN!A:D,4,FALSE)</f>
        <v>#N/A</v>
      </c>
      <c r="L15" s="285"/>
      <c r="M15" s="496"/>
      <c r="N15" s="55"/>
      <c r="O15" s="114"/>
      <c r="P15" s="481"/>
      <c r="Q15" s="50"/>
      <c r="R15" s="50"/>
      <c r="S15" s="50"/>
      <c r="T15" s="50"/>
      <c r="U15" s="50"/>
      <c r="V15" s="50"/>
      <c r="W15" s="53"/>
      <c r="X15" s="283"/>
      <c r="Y15" s="482">
        <f>IFERROR(VLOOKUP(Tableau118[[#This Row],[Name Shipper]],Plant_AILN!L:M,2,FALSE),0)</f>
        <v>0</v>
      </c>
      <c r="Z15" s="358"/>
      <c r="AA15" s="353" t="e">
        <f ca="1">VLOOKUP(Tableau118[[#This Row],[Key(ID-Actif)]],'DATA BTO'!A:N,5,FALSE)</f>
        <v>#N/A</v>
      </c>
      <c r="AB15" s="3" t="e">
        <f ca="1">VLOOKUP(Tableau118[[#This Row],[Key(ID-Actif)]],'DATA BTO'!A:N,6,FALSE)</f>
        <v>#N/A</v>
      </c>
      <c r="AC15" s="50" t="e">
        <f ca="1">VLOOKUP(Tableau118[[#This Row],[Key(ID-Actif)]],'DATA BTO'!A:N,7,FALSE)</f>
        <v>#N/A</v>
      </c>
      <c r="AD15" s="50" t="e">
        <f ca="1">VLOOKUP(Tableau118[[#This Row],[Key(ID-Actif)]],'DATA BTO'!A:N,8,FALSE)</f>
        <v>#N/A</v>
      </c>
      <c r="AE15" s="50" t="e">
        <f ca="1">IF(Tableau118[[#This Row],[First Day to POL]]&lt;=Tableau118[[#This Row],[Day Cut Off]],Tableau118[[#This Row],[Day ETD]],Tableau118[[#This Row],[Day ETD]]+7)</f>
        <v>#N/A</v>
      </c>
      <c r="AF15" s="50" t="e">
        <f ca="1">VLOOKUP(Tableau118[[#This Row],[Key(ID-Actif)]],'DATA BTO'!A:N,9,FALSE)</f>
        <v>#N/A</v>
      </c>
      <c r="AG15" s="3" t="e">
        <f ca="1">VLOOKUP(Tableau118[[#This Row],[Key(ID-Actif)]],'DATA BTO'!A:N,10,FALSE)</f>
        <v>#N/A</v>
      </c>
      <c r="AH15" s="3" t="e">
        <f ca="1">VLOOKUP(Tableau118[[#This Row],[Key(ID-Actif)]],'DATA BTO'!A:N,11,FALSE)</f>
        <v>#N/A</v>
      </c>
      <c r="AI15" s="50" t="e">
        <f ca="1">VLOOKUP(Tableau118[[#This Row],[Key(ID-Actif)]],'DATA BTO'!A:N,12,FALSE)</f>
        <v>#N/A</v>
      </c>
      <c r="AJ15" s="53" t="e">
        <f ca="1">VLOOKUP(Tableau118[[#This Row],[Key(ID-Actif)]],'DATA BTO'!A:N,14,FALSE)</f>
        <v>#N/A</v>
      </c>
      <c r="AK15" s="54" t="e">
        <f ca="1">VLOOKUP(Tableau118[[#This Row],[Key(POD -PFI- Usine)]],'DATA Consignee'!A:F,6,FALSE)</f>
        <v>#N/A</v>
      </c>
      <c r="AL15" s="125"/>
      <c r="AM15" s="483" t="str">
        <f>IF(Tableau118[[#This Row],[Name PFI/CDD]]="","-",VLOOKUP(Tableau118[[#This Row],[Name PFI/CDD]],Plant_AILN!I:J,2,FALSE))</f>
        <v>-</v>
      </c>
      <c r="AN1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5" s="2" t="e">
        <f ca="1">VLOOKUP(Tableau118[[#This Row],[Key(POD -PFI- Usine)]],'DATA Consignee'!A:J,10,FALSE)</f>
        <v>#N/A</v>
      </c>
      <c r="AQ15" s="50" t="e">
        <f ca="1">VLOOKUP(Tableau118[[#This Row],[Key(POD -PFI- Usine)]],'DATA Consignee'!A:N,14,FALSE)</f>
        <v>#N/A</v>
      </c>
      <c r="AR1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" s="50" t="e">
        <f ca="1">Tableau118[[#This Row],[Transit time]]+Tableau118[[#This Row],[Time for security]]+Tableau118[[#This Row],[Time for security2 buffer]]</f>
        <v>#N/A</v>
      </c>
      <c r="AU1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" s="389" t="e">
        <f ca="1">Tableau118[[#This Row],[Leadtime SI2C]]+Tableau118[[#This Row],[First Receipt Days]]-Tableau118[[#This Row],[Day Customer Order]]+1</f>
        <v>#N/A</v>
      </c>
      <c r="AW15" s="117" t="e">
        <f ca="1">IF(Tableau118[[#This Row],[Name ILN]]&lt;&gt;"SFK Freight Forwarder",Tableau118[[#This Row],[Cust. Leadtime]],Tableau118[[#This Row],[Leadtime SI2C]])</f>
        <v>#N/A</v>
      </c>
      <c r="AX15" s="51" t="e">
        <f>VLOOKUP(Tableau118[[#This Row],[ID]],'DATA BTO'!B:P,15,FALSE)</f>
        <v>#N/A</v>
      </c>
      <c r="AY15" s="328" t="e">
        <f ca="1">IFERROR(VLOOKUP(Tableau118[[#This Row],[Key(ID-Actif)]],'DATA BTO'!A:N,4,FALSE),VLOOKUP(Tableau118[[#This Row],[ID]],'DATA BTO'!B:N,3,FALSE))</f>
        <v>#N/A</v>
      </c>
      <c r="AZ1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" s="50"/>
    </row>
    <row r="16" spans="2:57">
      <c r="B16" s="65" t="str">
        <f>_xlfn.CONCAT(Tableau118[[#This Row],[Name ILN]],"-",Tableau118[[#This Row],[Name Shipper]],"-",Tableau118[[#This Row],[Name Site]])</f>
        <v>--</v>
      </c>
      <c r="C16" s="65" t="e">
        <f ca="1">_xlfn.CONCAT(Tableau118[[#This Row],[Compte ILN]],"-",Tableau118[[#This Row],[Compte Shipper]],"-",Tableau118[[#This Row],[POL]],"-",Tableau118[[#This Row],[Compte Site]])</f>
        <v>#N/A</v>
      </c>
      <c r="D16" s="64" t="e">
        <f ca="1">_xlfn.CONCAT(Tableau118[[#This Row],[Compte ILN]],"-",Tableau118[[#This Row],[Compte Shipper]],"-",Tableau118[[#This Row],[POL]])</f>
        <v>#N/A</v>
      </c>
      <c r="E16" s="396" t="e">
        <f ca="1">_xlfn.CONCAT(Tableau118[[#This Row],[POL]],"-",Tableau118[[#This Row],[Carrier]],"-",Tableau118[[#This Row],[POD]])</f>
        <v>#N/A</v>
      </c>
      <c r="F16" s="64" t="str">
        <f>_xlfn.CONCAT(Tableau118[[#This Row],[ID]],"-","Next")</f>
        <v>-Next</v>
      </c>
      <c r="G16" s="64" t="e">
        <f ca="1">_xlfn.CONCAT(Tableau118[[#This Row],[POD]],"-",Tableau118[[#This Row],[Code PFI]],"-",Tableau118[[#This Row],[Compte Site]])</f>
        <v>#N/A</v>
      </c>
      <c r="H1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" s="397" t="str">
        <f ca="1">IF(COUNTIF(I:I,Tableau118[[#This Row],[Plant-ILN-shipper-POL-Carrier-POD-PFI]])=1,"Non","Oui")</f>
        <v>Oui</v>
      </c>
      <c r="K16" s="398" t="e">
        <f>VLOOKUP(Tableau118[[#This Row],[Name Site]],Plant_AILN!A:D,4,FALSE)</f>
        <v>#N/A</v>
      </c>
      <c r="L16" s="285"/>
      <c r="M16" s="496"/>
      <c r="N16" s="55"/>
      <c r="O16" s="114"/>
      <c r="P16" s="481"/>
      <c r="Q16" s="50"/>
      <c r="R16" s="50"/>
      <c r="S16" s="50"/>
      <c r="T16" s="50"/>
      <c r="U16" s="50"/>
      <c r="V16" s="50"/>
      <c r="W16" s="53"/>
      <c r="X16" s="283"/>
      <c r="Y16" s="482">
        <f>IFERROR(VLOOKUP(Tableau118[[#This Row],[Name Shipper]],Plant_AILN!L:M,2,FALSE),0)</f>
        <v>0</v>
      </c>
      <c r="Z16" s="358"/>
      <c r="AA16" s="353" t="e">
        <f ca="1">VLOOKUP(Tableau118[[#This Row],[Key(ID-Actif)]],'DATA BTO'!A:N,5,FALSE)</f>
        <v>#N/A</v>
      </c>
      <c r="AB16" s="3" t="e">
        <f ca="1">VLOOKUP(Tableau118[[#This Row],[Key(ID-Actif)]],'DATA BTO'!A:N,6,FALSE)</f>
        <v>#N/A</v>
      </c>
      <c r="AC16" s="50" t="e">
        <f ca="1">VLOOKUP(Tableau118[[#This Row],[Key(ID-Actif)]],'DATA BTO'!A:N,7,FALSE)</f>
        <v>#N/A</v>
      </c>
      <c r="AD16" s="50" t="e">
        <f ca="1">VLOOKUP(Tableau118[[#This Row],[Key(ID-Actif)]],'DATA BTO'!A:N,8,FALSE)</f>
        <v>#N/A</v>
      </c>
      <c r="AE16" s="50" t="e">
        <f ca="1">IF(Tableau118[[#This Row],[First Day to POL]]&lt;=Tableau118[[#This Row],[Day Cut Off]],Tableau118[[#This Row],[Day ETD]],Tableau118[[#This Row],[Day ETD]]+7)</f>
        <v>#N/A</v>
      </c>
      <c r="AF16" s="50" t="e">
        <f ca="1">VLOOKUP(Tableau118[[#This Row],[Key(ID-Actif)]],'DATA BTO'!A:N,9,FALSE)</f>
        <v>#N/A</v>
      </c>
      <c r="AG16" s="3" t="e">
        <f ca="1">VLOOKUP(Tableau118[[#This Row],[Key(ID-Actif)]],'DATA BTO'!A:N,10,FALSE)</f>
        <v>#N/A</v>
      </c>
      <c r="AH16" s="3" t="e">
        <f ca="1">VLOOKUP(Tableau118[[#This Row],[Key(ID-Actif)]],'DATA BTO'!A:N,11,FALSE)</f>
        <v>#N/A</v>
      </c>
      <c r="AI16" s="50" t="e">
        <f ca="1">VLOOKUP(Tableau118[[#This Row],[Key(ID-Actif)]],'DATA BTO'!A:N,12,FALSE)</f>
        <v>#N/A</v>
      </c>
      <c r="AJ16" s="53" t="e">
        <f ca="1">VLOOKUP(Tableau118[[#This Row],[Key(ID-Actif)]],'DATA BTO'!A:N,14,FALSE)</f>
        <v>#N/A</v>
      </c>
      <c r="AK16" s="54" t="e">
        <f ca="1">VLOOKUP(Tableau118[[#This Row],[Key(POD -PFI- Usine)]],'DATA Consignee'!A:F,6,FALSE)</f>
        <v>#N/A</v>
      </c>
      <c r="AL16" s="125"/>
      <c r="AM16" s="483" t="str">
        <f>IF(Tableau118[[#This Row],[Name PFI/CDD]]="","-",VLOOKUP(Tableau118[[#This Row],[Name PFI/CDD]],Plant_AILN!I:J,2,FALSE))</f>
        <v>-</v>
      </c>
      <c r="AN1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" s="2" t="e">
        <f ca="1">VLOOKUP(Tableau118[[#This Row],[Key(POD -PFI- Usine)]],'DATA Consignee'!A:J,10,FALSE)</f>
        <v>#N/A</v>
      </c>
      <c r="AQ16" s="50" t="e">
        <f ca="1">VLOOKUP(Tableau118[[#This Row],[Key(POD -PFI- Usine)]],'DATA Consignee'!A:N,14,FALSE)</f>
        <v>#N/A</v>
      </c>
      <c r="AR1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" s="50" t="e">
        <f ca="1">Tableau118[[#This Row],[Transit time]]+Tableau118[[#This Row],[Time for security]]+Tableau118[[#This Row],[Time for security2 buffer]]</f>
        <v>#N/A</v>
      </c>
      <c r="AU1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" s="389" t="e">
        <f ca="1">Tableau118[[#This Row],[Leadtime SI2C]]+Tableau118[[#This Row],[First Receipt Days]]-Tableau118[[#This Row],[Day Customer Order]]+1</f>
        <v>#N/A</v>
      </c>
      <c r="AW16" s="117" t="e">
        <f ca="1">IF(Tableau118[[#This Row],[Name ILN]]&lt;&gt;"SFK Freight Forwarder",Tableau118[[#This Row],[Cust. Leadtime]],Tableau118[[#This Row],[Leadtime SI2C]])</f>
        <v>#N/A</v>
      </c>
      <c r="AX16" s="51" t="e">
        <f>VLOOKUP(Tableau118[[#This Row],[ID]],'DATA BTO'!B:P,15,FALSE)</f>
        <v>#N/A</v>
      </c>
      <c r="AY16" s="328" t="e">
        <f ca="1">IFERROR(VLOOKUP(Tableau118[[#This Row],[Key(ID-Actif)]],'DATA BTO'!A:N,4,FALSE),VLOOKUP(Tableau118[[#This Row],[ID]],'DATA BTO'!B:N,3,FALSE))</f>
        <v>#N/A</v>
      </c>
      <c r="AZ1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" s="50"/>
    </row>
    <row r="17" spans="2:57">
      <c r="B17" s="65" t="str">
        <f>_xlfn.CONCAT(Tableau118[[#This Row],[Name ILN]],"-",Tableau118[[#This Row],[Name Shipper]],"-",Tableau118[[#This Row],[Name Site]])</f>
        <v>--</v>
      </c>
      <c r="C17" s="65" t="e">
        <f ca="1">_xlfn.CONCAT(Tableau118[[#This Row],[Compte ILN]],"-",Tableau118[[#This Row],[Compte Shipper]],"-",Tableau118[[#This Row],[POL]],"-",Tableau118[[#This Row],[Compte Site]])</f>
        <v>#N/A</v>
      </c>
      <c r="D17" s="64" t="e">
        <f ca="1">_xlfn.CONCAT(Tableau118[[#This Row],[Compte ILN]],"-",Tableau118[[#This Row],[Compte Shipper]],"-",Tableau118[[#This Row],[POL]])</f>
        <v>#N/A</v>
      </c>
      <c r="E17" s="396" t="e">
        <f ca="1">_xlfn.CONCAT(Tableau118[[#This Row],[POL]],"-",Tableau118[[#This Row],[Carrier]],"-",Tableau118[[#This Row],[POD]])</f>
        <v>#N/A</v>
      </c>
      <c r="F17" s="64" t="str">
        <f>_xlfn.CONCAT(Tableau118[[#This Row],[ID]],"-","Next")</f>
        <v>-Next</v>
      </c>
      <c r="G17" s="64" t="e">
        <f ca="1">_xlfn.CONCAT(Tableau118[[#This Row],[POD]],"-",Tableau118[[#This Row],[Code PFI]],"-",Tableau118[[#This Row],[Compte Site]])</f>
        <v>#N/A</v>
      </c>
      <c r="H1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" s="397" t="str">
        <f ca="1">IF(COUNTIF(I:I,Tableau118[[#This Row],[Plant-ILN-shipper-POL-Carrier-POD-PFI]])=1,"Non","Oui")</f>
        <v>Oui</v>
      </c>
      <c r="K17" s="398" t="e">
        <f>VLOOKUP(Tableau118[[#This Row],[Name Site]],Plant_AILN!A:D,4,FALSE)</f>
        <v>#N/A</v>
      </c>
      <c r="L17" s="285"/>
      <c r="M17" s="496"/>
      <c r="N17" s="55"/>
      <c r="O17" s="114"/>
      <c r="P17" s="481"/>
      <c r="Q17" s="50"/>
      <c r="R17" s="50"/>
      <c r="S17" s="50"/>
      <c r="T17" s="50"/>
      <c r="U17" s="50"/>
      <c r="V17" s="50"/>
      <c r="W17" s="53"/>
      <c r="X17" s="283"/>
      <c r="Y17" s="482">
        <f>IFERROR(VLOOKUP(Tableau118[[#This Row],[Name Shipper]],Plant_AILN!L:M,2,FALSE),0)</f>
        <v>0</v>
      </c>
      <c r="Z17" s="358"/>
      <c r="AA17" s="353" t="e">
        <f ca="1">VLOOKUP(Tableau118[[#This Row],[Key(ID-Actif)]],'DATA BTO'!A:N,5,FALSE)</f>
        <v>#N/A</v>
      </c>
      <c r="AB17" s="3" t="e">
        <f ca="1">VLOOKUP(Tableau118[[#This Row],[Key(ID-Actif)]],'DATA BTO'!A:N,6,FALSE)</f>
        <v>#N/A</v>
      </c>
      <c r="AC17" s="50" t="e">
        <f ca="1">VLOOKUP(Tableau118[[#This Row],[Key(ID-Actif)]],'DATA BTO'!A:N,7,FALSE)</f>
        <v>#N/A</v>
      </c>
      <c r="AD17" s="50" t="e">
        <f ca="1">VLOOKUP(Tableau118[[#This Row],[Key(ID-Actif)]],'DATA BTO'!A:N,8,FALSE)</f>
        <v>#N/A</v>
      </c>
      <c r="AE17" s="50" t="e">
        <f ca="1">IF(Tableau118[[#This Row],[First Day to POL]]&lt;=Tableau118[[#This Row],[Day Cut Off]],Tableau118[[#This Row],[Day ETD]],Tableau118[[#This Row],[Day ETD]]+7)</f>
        <v>#N/A</v>
      </c>
      <c r="AF17" s="50" t="e">
        <f ca="1">VLOOKUP(Tableau118[[#This Row],[Key(ID-Actif)]],'DATA BTO'!A:N,9,FALSE)</f>
        <v>#N/A</v>
      </c>
      <c r="AG17" s="3" t="e">
        <f ca="1">VLOOKUP(Tableau118[[#This Row],[Key(ID-Actif)]],'DATA BTO'!A:N,10,FALSE)</f>
        <v>#N/A</v>
      </c>
      <c r="AH17" s="3" t="e">
        <f ca="1">VLOOKUP(Tableau118[[#This Row],[Key(ID-Actif)]],'DATA BTO'!A:N,11,FALSE)</f>
        <v>#N/A</v>
      </c>
      <c r="AI17" s="50" t="e">
        <f ca="1">VLOOKUP(Tableau118[[#This Row],[Key(ID-Actif)]],'DATA BTO'!A:N,12,FALSE)</f>
        <v>#N/A</v>
      </c>
      <c r="AJ17" s="53" t="e">
        <f ca="1">VLOOKUP(Tableau118[[#This Row],[Key(ID-Actif)]],'DATA BTO'!A:N,14,FALSE)</f>
        <v>#N/A</v>
      </c>
      <c r="AK17" s="54" t="e">
        <f ca="1">VLOOKUP(Tableau118[[#This Row],[Key(POD -PFI- Usine)]],'DATA Consignee'!A:F,6,FALSE)</f>
        <v>#N/A</v>
      </c>
      <c r="AL17" s="125"/>
      <c r="AM17" s="483" t="str">
        <f>IF(Tableau118[[#This Row],[Name PFI/CDD]]="","-",VLOOKUP(Tableau118[[#This Row],[Name PFI/CDD]],Plant_AILN!I:J,2,FALSE))</f>
        <v>-</v>
      </c>
      <c r="AN1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" s="2" t="e">
        <f ca="1">VLOOKUP(Tableau118[[#This Row],[Key(POD -PFI- Usine)]],'DATA Consignee'!A:J,10,FALSE)</f>
        <v>#N/A</v>
      </c>
      <c r="AQ17" s="50" t="e">
        <f ca="1">VLOOKUP(Tableau118[[#This Row],[Key(POD -PFI- Usine)]],'DATA Consignee'!A:N,14,FALSE)</f>
        <v>#N/A</v>
      </c>
      <c r="AR1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" s="50" t="e">
        <f ca="1">Tableau118[[#This Row],[Transit time]]+Tableau118[[#This Row],[Time for security]]+Tableau118[[#This Row],[Time for security2 buffer]]</f>
        <v>#N/A</v>
      </c>
      <c r="AU1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" s="389" t="e">
        <f ca="1">Tableau118[[#This Row],[Leadtime SI2C]]+Tableau118[[#This Row],[First Receipt Days]]-Tableau118[[#This Row],[Day Customer Order]]+1</f>
        <v>#N/A</v>
      </c>
      <c r="AW17" s="117" t="e">
        <f ca="1">IF(Tableau118[[#This Row],[Name ILN]]&lt;&gt;"SFK Freight Forwarder",Tableau118[[#This Row],[Cust. Leadtime]],Tableau118[[#This Row],[Leadtime SI2C]])</f>
        <v>#N/A</v>
      </c>
      <c r="AX17" s="51" t="e">
        <f>VLOOKUP(Tableau118[[#This Row],[ID]],'DATA BTO'!B:P,15,FALSE)</f>
        <v>#N/A</v>
      </c>
      <c r="AY17" s="328" t="e">
        <f ca="1">IFERROR(VLOOKUP(Tableau118[[#This Row],[Key(ID-Actif)]],'DATA BTO'!A:N,4,FALSE),VLOOKUP(Tableau118[[#This Row],[ID]],'DATA BTO'!B:N,3,FALSE))</f>
        <v>#N/A</v>
      </c>
      <c r="AZ1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" s="50"/>
    </row>
    <row r="18" spans="2:57">
      <c r="B18" s="65" t="str">
        <f>_xlfn.CONCAT(Tableau118[[#This Row],[Name ILN]],"-",Tableau118[[#This Row],[Name Shipper]],"-",Tableau118[[#This Row],[Name Site]])</f>
        <v>--</v>
      </c>
      <c r="C18" s="65" t="e">
        <f ca="1">_xlfn.CONCAT(Tableau118[[#This Row],[Compte ILN]],"-",Tableau118[[#This Row],[Compte Shipper]],"-",Tableau118[[#This Row],[POL]],"-",Tableau118[[#This Row],[Compte Site]])</f>
        <v>#N/A</v>
      </c>
      <c r="D18" s="64" t="e">
        <f ca="1">_xlfn.CONCAT(Tableau118[[#This Row],[Compte ILN]],"-",Tableau118[[#This Row],[Compte Shipper]],"-",Tableau118[[#This Row],[POL]])</f>
        <v>#N/A</v>
      </c>
      <c r="E18" s="396" t="e">
        <f ca="1">_xlfn.CONCAT(Tableau118[[#This Row],[POL]],"-",Tableau118[[#This Row],[Carrier]],"-",Tableau118[[#This Row],[POD]])</f>
        <v>#N/A</v>
      </c>
      <c r="F18" s="64" t="str">
        <f>_xlfn.CONCAT(Tableau118[[#This Row],[ID]],"-","Next")</f>
        <v>-Next</v>
      </c>
      <c r="G18" s="64" t="e">
        <f ca="1">_xlfn.CONCAT(Tableau118[[#This Row],[POD]],"-",Tableau118[[#This Row],[Code PFI]],"-",Tableau118[[#This Row],[Compte Site]])</f>
        <v>#N/A</v>
      </c>
      <c r="H1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" s="397" t="str">
        <f ca="1">IF(COUNTIF(I:I,Tableau118[[#This Row],[Plant-ILN-shipper-POL-Carrier-POD-PFI]])=1,"Non","Oui")</f>
        <v>Oui</v>
      </c>
      <c r="K18" s="398" t="e">
        <f>VLOOKUP(Tableau118[[#This Row],[Name Site]],Plant_AILN!A:D,4,FALSE)</f>
        <v>#N/A</v>
      </c>
      <c r="L18" s="285"/>
      <c r="M18" s="496"/>
      <c r="N18" s="55"/>
      <c r="O18" s="114"/>
      <c r="P18" s="481"/>
      <c r="Q18" s="50"/>
      <c r="R18" s="50"/>
      <c r="S18" s="50"/>
      <c r="T18" s="50"/>
      <c r="U18" s="50"/>
      <c r="V18" s="50"/>
      <c r="W18" s="53"/>
      <c r="X18" s="283"/>
      <c r="Y18" s="482">
        <f>IFERROR(VLOOKUP(Tableau118[[#This Row],[Name Shipper]],Plant_AILN!L:M,2,FALSE),0)</f>
        <v>0</v>
      </c>
      <c r="Z18" s="358"/>
      <c r="AA18" s="353" t="e">
        <f ca="1">VLOOKUP(Tableau118[[#This Row],[Key(ID-Actif)]],'DATA BTO'!A:N,5,FALSE)</f>
        <v>#N/A</v>
      </c>
      <c r="AB18" s="3" t="e">
        <f ca="1">VLOOKUP(Tableau118[[#This Row],[Key(ID-Actif)]],'DATA BTO'!A:N,6,FALSE)</f>
        <v>#N/A</v>
      </c>
      <c r="AC18" s="50" t="e">
        <f ca="1">VLOOKUP(Tableau118[[#This Row],[Key(ID-Actif)]],'DATA BTO'!A:N,7,FALSE)</f>
        <v>#N/A</v>
      </c>
      <c r="AD18" s="50" t="e">
        <f ca="1">VLOOKUP(Tableau118[[#This Row],[Key(ID-Actif)]],'DATA BTO'!A:N,8,FALSE)</f>
        <v>#N/A</v>
      </c>
      <c r="AE18" s="50" t="e">
        <f ca="1">IF(Tableau118[[#This Row],[First Day to POL]]&lt;=Tableau118[[#This Row],[Day Cut Off]],Tableau118[[#This Row],[Day ETD]],Tableau118[[#This Row],[Day ETD]]+7)</f>
        <v>#N/A</v>
      </c>
      <c r="AF18" s="50" t="e">
        <f ca="1">VLOOKUP(Tableau118[[#This Row],[Key(ID-Actif)]],'DATA BTO'!A:N,9,FALSE)</f>
        <v>#N/A</v>
      </c>
      <c r="AG18" s="3" t="e">
        <f ca="1">VLOOKUP(Tableau118[[#This Row],[Key(ID-Actif)]],'DATA BTO'!A:N,10,FALSE)</f>
        <v>#N/A</v>
      </c>
      <c r="AH18" s="3" t="e">
        <f ca="1">VLOOKUP(Tableau118[[#This Row],[Key(ID-Actif)]],'DATA BTO'!A:N,11,FALSE)</f>
        <v>#N/A</v>
      </c>
      <c r="AI18" s="50" t="e">
        <f ca="1">VLOOKUP(Tableau118[[#This Row],[Key(ID-Actif)]],'DATA BTO'!A:N,12,FALSE)</f>
        <v>#N/A</v>
      </c>
      <c r="AJ18" s="53" t="e">
        <f ca="1">VLOOKUP(Tableau118[[#This Row],[Key(ID-Actif)]],'DATA BTO'!A:N,14,FALSE)</f>
        <v>#N/A</v>
      </c>
      <c r="AK18" s="54" t="e">
        <f ca="1">VLOOKUP(Tableau118[[#This Row],[Key(POD -PFI- Usine)]],'DATA Consignee'!A:F,6,FALSE)</f>
        <v>#N/A</v>
      </c>
      <c r="AL18" s="125"/>
      <c r="AM18" s="483" t="str">
        <f>IF(Tableau118[[#This Row],[Name PFI/CDD]]="","-",VLOOKUP(Tableau118[[#This Row],[Name PFI/CDD]],Plant_AILN!I:J,2,FALSE))</f>
        <v>-</v>
      </c>
      <c r="AN1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" s="2" t="e">
        <f ca="1">VLOOKUP(Tableau118[[#This Row],[Key(POD -PFI- Usine)]],'DATA Consignee'!A:J,10,FALSE)</f>
        <v>#N/A</v>
      </c>
      <c r="AQ18" s="50" t="e">
        <f ca="1">VLOOKUP(Tableau118[[#This Row],[Key(POD -PFI- Usine)]],'DATA Consignee'!A:N,14,FALSE)</f>
        <v>#N/A</v>
      </c>
      <c r="AR1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" s="50" t="e">
        <f ca="1">Tableau118[[#This Row],[Transit time]]+Tableau118[[#This Row],[Time for security]]+Tableau118[[#This Row],[Time for security2 buffer]]</f>
        <v>#N/A</v>
      </c>
      <c r="AU1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" s="389" t="e">
        <f ca="1">Tableau118[[#This Row],[Leadtime SI2C]]+Tableau118[[#This Row],[First Receipt Days]]-Tableau118[[#This Row],[Day Customer Order]]+1</f>
        <v>#N/A</v>
      </c>
      <c r="AW18" s="117" t="e">
        <f ca="1">IF(Tableau118[[#This Row],[Name ILN]]&lt;&gt;"SFK Freight Forwarder",Tableau118[[#This Row],[Cust. Leadtime]],Tableau118[[#This Row],[Leadtime SI2C]])</f>
        <v>#N/A</v>
      </c>
      <c r="AX18" s="51" t="e">
        <f>VLOOKUP(Tableau118[[#This Row],[ID]],'DATA BTO'!B:P,15,FALSE)</f>
        <v>#N/A</v>
      </c>
      <c r="AY18" s="328" t="e">
        <f ca="1">IFERROR(VLOOKUP(Tableau118[[#This Row],[Key(ID-Actif)]],'DATA BTO'!A:N,4,FALSE),VLOOKUP(Tableau118[[#This Row],[ID]],'DATA BTO'!B:N,3,FALSE))</f>
        <v>#N/A</v>
      </c>
      <c r="AZ1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" s="50"/>
    </row>
    <row r="19" spans="2:57">
      <c r="B19" s="65" t="str">
        <f>_xlfn.CONCAT(Tableau118[[#This Row],[Name ILN]],"-",Tableau118[[#This Row],[Name Shipper]],"-",Tableau118[[#This Row],[Name Site]])</f>
        <v>--</v>
      </c>
      <c r="C19" s="65" t="e">
        <f ca="1">_xlfn.CONCAT(Tableau118[[#This Row],[Compte ILN]],"-",Tableau118[[#This Row],[Compte Shipper]],"-",Tableau118[[#This Row],[POL]],"-",Tableau118[[#This Row],[Compte Site]])</f>
        <v>#N/A</v>
      </c>
      <c r="D19" s="64" t="e">
        <f ca="1">_xlfn.CONCAT(Tableau118[[#This Row],[Compte ILN]],"-",Tableau118[[#This Row],[Compte Shipper]],"-",Tableau118[[#This Row],[POL]])</f>
        <v>#N/A</v>
      </c>
      <c r="E19" s="396" t="e">
        <f ca="1">_xlfn.CONCAT(Tableau118[[#This Row],[POL]],"-",Tableau118[[#This Row],[Carrier]],"-",Tableau118[[#This Row],[POD]])</f>
        <v>#N/A</v>
      </c>
      <c r="F19" s="64" t="str">
        <f>_xlfn.CONCAT(Tableau118[[#This Row],[ID]],"-","Next")</f>
        <v>-Next</v>
      </c>
      <c r="G19" s="64" t="e">
        <f ca="1">_xlfn.CONCAT(Tableau118[[#This Row],[POD]],"-",Tableau118[[#This Row],[Code PFI]],"-",Tableau118[[#This Row],[Compte Site]])</f>
        <v>#N/A</v>
      </c>
      <c r="H1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" s="397" t="str">
        <f ca="1">IF(COUNTIF(I:I,Tableau118[[#This Row],[Plant-ILN-shipper-POL-Carrier-POD-PFI]])=1,"Non","Oui")</f>
        <v>Oui</v>
      </c>
      <c r="K19" s="398" t="e">
        <f>VLOOKUP(Tableau118[[#This Row],[Name Site]],Plant_AILN!A:D,4,FALSE)</f>
        <v>#N/A</v>
      </c>
      <c r="L19" s="285"/>
      <c r="M19" s="496"/>
      <c r="N19" s="55"/>
      <c r="O19" s="114"/>
      <c r="P19" s="481"/>
      <c r="Q19" s="50"/>
      <c r="R19" s="50"/>
      <c r="S19" s="50"/>
      <c r="T19" s="50"/>
      <c r="U19" s="50"/>
      <c r="V19" s="50"/>
      <c r="W19" s="53"/>
      <c r="X19" s="283"/>
      <c r="Y19" s="482">
        <f>IFERROR(VLOOKUP(Tableau118[[#This Row],[Name Shipper]],Plant_AILN!L:M,2,FALSE),0)</f>
        <v>0</v>
      </c>
      <c r="Z19" s="358"/>
      <c r="AA19" s="353" t="e">
        <f ca="1">VLOOKUP(Tableau118[[#This Row],[Key(ID-Actif)]],'DATA BTO'!A:N,5,FALSE)</f>
        <v>#N/A</v>
      </c>
      <c r="AB19" s="3" t="e">
        <f ca="1">VLOOKUP(Tableau118[[#This Row],[Key(ID-Actif)]],'DATA BTO'!A:N,6,FALSE)</f>
        <v>#N/A</v>
      </c>
      <c r="AC19" s="50" t="e">
        <f ca="1">VLOOKUP(Tableau118[[#This Row],[Key(ID-Actif)]],'DATA BTO'!A:N,7,FALSE)</f>
        <v>#N/A</v>
      </c>
      <c r="AD19" s="50" t="e">
        <f ca="1">VLOOKUP(Tableau118[[#This Row],[Key(ID-Actif)]],'DATA BTO'!A:N,8,FALSE)</f>
        <v>#N/A</v>
      </c>
      <c r="AE19" s="50" t="e">
        <f ca="1">IF(Tableau118[[#This Row],[First Day to POL]]&lt;=Tableau118[[#This Row],[Day Cut Off]],Tableau118[[#This Row],[Day ETD]],Tableau118[[#This Row],[Day ETD]]+7)</f>
        <v>#N/A</v>
      </c>
      <c r="AF19" s="50" t="e">
        <f ca="1">VLOOKUP(Tableau118[[#This Row],[Key(ID-Actif)]],'DATA BTO'!A:N,9,FALSE)</f>
        <v>#N/A</v>
      </c>
      <c r="AG19" s="3" t="e">
        <f ca="1">VLOOKUP(Tableau118[[#This Row],[Key(ID-Actif)]],'DATA BTO'!A:N,10,FALSE)</f>
        <v>#N/A</v>
      </c>
      <c r="AH19" s="3" t="e">
        <f ca="1">VLOOKUP(Tableau118[[#This Row],[Key(ID-Actif)]],'DATA BTO'!A:N,11,FALSE)</f>
        <v>#N/A</v>
      </c>
      <c r="AI19" s="50" t="e">
        <f ca="1">VLOOKUP(Tableau118[[#This Row],[Key(ID-Actif)]],'DATA BTO'!A:N,12,FALSE)</f>
        <v>#N/A</v>
      </c>
      <c r="AJ19" s="53" t="e">
        <f ca="1">VLOOKUP(Tableau118[[#This Row],[Key(ID-Actif)]],'DATA BTO'!A:N,14,FALSE)</f>
        <v>#N/A</v>
      </c>
      <c r="AK19" s="54" t="e">
        <f ca="1">VLOOKUP(Tableau118[[#This Row],[Key(POD -PFI- Usine)]],'DATA Consignee'!A:F,6,FALSE)</f>
        <v>#N/A</v>
      </c>
      <c r="AL19" s="125"/>
      <c r="AM19" s="483" t="str">
        <f>IF(Tableau118[[#This Row],[Name PFI/CDD]]="","-",VLOOKUP(Tableau118[[#This Row],[Name PFI/CDD]],Plant_AILN!I:J,2,FALSE))</f>
        <v>-</v>
      </c>
      <c r="AN1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" s="2" t="e">
        <f ca="1">VLOOKUP(Tableau118[[#This Row],[Key(POD -PFI- Usine)]],'DATA Consignee'!A:J,10,FALSE)</f>
        <v>#N/A</v>
      </c>
      <c r="AQ19" s="50" t="e">
        <f ca="1">VLOOKUP(Tableau118[[#This Row],[Key(POD -PFI- Usine)]],'DATA Consignee'!A:N,14,FALSE)</f>
        <v>#N/A</v>
      </c>
      <c r="AR1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" s="50" t="e">
        <f ca="1">Tableau118[[#This Row],[Transit time]]+Tableau118[[#This Row],[Time for security]]+Tableau118[[#This Row],[Time for security2 buffer]]</f>
        <v>#N/A</v>
      </c>
      <c r="AU1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" s="389" t="e">
        <f ca="1">Tableau118[[#This Row],[Leadtime SI2C]]+Tableau118[[#This Row],[First Receipt Days]]-Tableau118[[#This Row],[Day Customer Order]]+1</f>
        <v>#N/A</v>
      </c>
      <c r="AW19" s="117" t="e">
        <f ca="1">IF(Tableau118[[#This Row],[Name ILN]]&lt;&gt;"SFK Freight Forwarder",Tableau118[[#This Row],[Cust. Leadtime]],Tableau118[[#This Row],[Leadtime SI2C]])</f>
        <v>#N/A</v>
      </c>
      <c r="AX19" s="51" t="e">
        <f>VLOOKUP(Tableau118[[#This Row],[ID]],'DATA BTO'!B:P,15,FALSE)</f>
        <v>#N/A</v>
      </c>
      <c r="AY19" s="328" t="e">
        <f ca="1">IFERROR(VLOOKUP(Tableau118[[#This Row],[Key(ID-Actif)]],'DATA BTO'!A:N,4,FALSE),VLOOKUP(Tableau118[[#This Row],[ID]],'DATA BTO'!B:N,3,FALSE))</f>
        <v>#N/A</v>
      </c>
      <c r="AZ1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" s="50"/>
    </row>
    <row r="20" spans="2:57">
      <c r="B20" s="65" t="str">
        <f>_xlfn.CONCAT(Tableau118[[#This Row],[Name ILN]],"-",Tableau118[[#This Row],[Name Shipper]],"-",Tableau118[[#This Row],[Name Site]])</f>
        <v>--</v>
      </c>
      <c r="C20" s="65" t="e">
        <f ca="1">_xlfn.CONCAT(Tableau118[[#This Row],[Compte ILN]],"-",Tableau118[[#This Row],[Compte Shipper]],"-",Tableau118[[#This Row],[POL]],"-",Tableau118[[#This Row],[Compte Site]])</f>
        <v>#N/A</v>
      </c>
      <c r="D20" s="64" t="e">
        <f ca="1">_xlfn.CONCAT(Tableau118[[#This Row],[Compte ILN]],"-",Tableau118[[#This Row],[Compte Shipper]],"-",Tableau118[[#This Row],[POL]])</f>
        <v>#N/A</v>
      </c>
      <c r="E20" s="396" t="e">
        <f ca="1">_xlfn.CONCAT(Tableau118[[#This Row],[POL]],"-",Tableau118[[#This Row],[Carrier]],"-",Tableau118[[#This Row],[POD]])</f>
        <v>#N/A</v>
      </c>
      <c r="F20" s="64" t="str">
        <f>_xlfn.CONCAT(Tableau118[[#This Row],[ID]],"-","Next")</f>
        <v>-Next</v>
      </c>
      <c r="G20" s="64" t="e">
        <f ca="1">_xlfn.CONCAT(Tableau118[[#This Row],[POD]],"-",Tableau118[[#This Row],[Code PFI]],"-",Tableau118[[#This Row],[Compte Site]])</f>
        <v>#N/A</v>
      </c>
      <c r="H2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" s="397" t="str">
        <f ca="1">IF(COUNTIF(I:I,Tableau118[[#This Row],[Plant-ILN-shipper-POL-Carrier-POD-PFI]])=1,"Non","Oui")</f>
        <v>Oui</v>
      </c>
      <c r="K20" s="398" t="e">
        <f>VLOOKUP(Tableau118[[#This Row],[Name Site]],Plant_AILN!A:D,4,FALSE)</f>
        <v>#N/A</v>
      </c>
      <c r="L20" s="285"/>
      <c r="M20" s="496"/>
      <c r="N20" s="55"/>
      <c r="O20" s="114"/>
      <c r="P20" s="481"/>
      <c r="Q20" s="50"/>
      <c r="R20" s="50"/>
      <c r="S20" s="50"/>
      <c r="T20" s="50"/>
      <c r="U20" s="50"/>
      <c r="V20" s="50"/>
      <c r="W20" s="53"/>
      <c r="X20" s="283"/>
      <c r="Y20" s="482">
        <f>IFERROR(VLOOKUP(Tableau118[[#This Row],[Name Shipper]],Plant_AILN!L:M,2,FALSE),0)</f>
        <v>0</v>
      </c>
      <c r="Z20" s="358"/>
      <c r="AA20" s="353" t="e">
        <f ca="1">VLOOKUP(Tableau118[[#This Row],[Key(ID-Actif)]],'DATA BTO'!A:N,5,FALSE)</f>
        <v>#N/A</v>
      </c>
      <c r="AB20" s="3" t="e">
        <f ca="1">VLOOKUP(Tableau118[[#This Row],[Key(ID-Actif)]],'DATA BTO'!A:N,6,FALSE)</f>
        <v>#N/A</v>
      </c>
      <c r="AC20" s="50" t="e">
        <f ca="1">VLOOKUP(Tableau118[[#This Row],[Key(ID-Actif)]],'DATA BTO'!A:N,7,FALSE)</f>
        <v>#N/A</v>
      </c>
      <c r="AD20" s="50" t="e">
        <f ca="1">VLOOKUP(Tableau118[[#This Row],[Key(ID-Actif)]],'DATA BTO'!A:N,8,FALSE)</f>
        <v>#N/A</v>
      </c>
      <c r="AE20" s="50" t="e">
        <f ca="1">IF(Tableau118[[#This Row],[First Day to POL]]&lt;=Tableau118[[#This Row],[Day Cut Off]],Tableau118[[#This Row],[Day ETD]],Tableau118[[#This Row],[Day ETD]]+7)</f>
        <v>#N/A</v>
      </c>
      <c r="AF20" s="50" t="e">
        <f ca="1">VLOOKUP(Tableau118[[#This Row],[Key(ID-Actif)]],'DATA BTO'!A:N,9,FALSE)</f>
        <v>#N/A</v>
      </c>
      <c r="AG20" s="3" t="e">
        <f ca="1">VLOOKUP(Tableau118[[#This Row],[Key(ID-Actif)]],'DATA BTO'!A:N,10,FALSE)</f>
        <v>#N/A</v>
      </c>
      <c r="AH20" s="3" t="e">
        <f ca="1">VLOOKUP(Tableau118[[#This Row],[Key(ID-Actif)]],'DATA BTO'!A:N,11,FALSE)</f>
        <v>#N/A</v>
      </c>
      <c r="AI20" s="50" t="e">
        <f ca="1">VLOOKUP(Tableau118[[#This Row],[Key(ID-Actif)]],'DATA BTO'!A:N,12,FALSE)</f>
        <v>#N/A</v>
      </c>
      <c r="AJ20" s="53" t="e">
        <f ca="1">VLOOKUP(Tableau118[[#This Row],[Key(ID-Actif)]],'DATA BTO'!A:N,14,FALSE)</f>
        <v>#N/A</v>
      </c>
      <c r="AK20" s="54" t="e">
        <f ca="1">VLOOKUP(Tableau118[[#This Row],[Key(POD -PFI- Usine)]],'DATA Consignee'!A:F,6,FALSE)</f>
        <v>#N/A</v>
      </c>
      <c r="AL20" s="125"/>
      <c r="AM20" s="483" t="str">
        <f>IF(Tableau118[[#This Row],[Name PFI/CDD]]="","-",VLOOKUP(Tableau118[[#This Row],[Name PFI/CDD]],Plant_AILN!I:J,2,FALSE))</f>
        <v>-</v>
      </c>
      <c r="AN2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" s="2" t="e">
        <f ca="1">VLOOKUP(Tableau118[[#This Row],[Key(POD -PFI- Usine)]],'DATA Consignee'!A:J,10,FALSE)</f>
        <v>#N/A</v>
      </c>
      <c r="AQ20" s="50" t="e">
        <f ca="1">VLOOKUP(Tableau118[[#This Row],[Key(POD -PFI- Usine)]],'DATA Consignee'!A:N,14,FALSE)</f>
        <v>#N/A</v>
      </c>
      <c r="AR2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" s="50" t="e">
        <f ca="1">Tableau118[[#This Row],[Transit time]]+Tableau118[[#This Row],[Time for security]]+Tableau118[[#This Row],[Time for security2 buffer]]</f>
        <v>#N/A</v>
      </c>
      <c r="AU2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" s="389" t="e">
        <f ca="1">Tableau118[[#This Row],[Leadtime SI2C]]+Tableau118[[#This Row],[First Receipt Days]]-Tableau118[[#This Row],[Day Customer Order]]+1</f>
        <v>#N/A</v>
      </c>
      <c r="AW20" s="117" t="e">
        <f ca="1">IF(Tableau118[[#This Row],[Name ILN]]&lt;&gt;"SFK Freight Forwarder",Tableau118[[#This Row],[Cust. Leadtime]],Tableau118[[#This Row],[Leadtime SI2C]])</f>
        <v>#N/A</v>
      </c>
      <c r="AX20" s="51" t="e">
        <f>VLOOKUP(Tableau118[[#This Row],[ID]],'DATA BTO'!B:P,15,FALSE)</f>
        <v>#N/A</v>
      </c>
      <c r="AY20" s="328" t="e">
        <f ca="1">IFERROR(VLOOKUP(Tableau118[[#This Row],[Key(ID-Actif)]],'DATA BTO'!A:N,4,FALSE),VLOOKUP(Tableau118[[#This Row],[ID]],'DATA BTO'!B:N,3,FALSE))</f>
        <v>#N/A</v>
      </c>
      <c r="AZ2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" s="50"/>
    </row>
    <row r="21" spans="2:57">
      <c r="B21" s="65" t="str">
        <f>_xlfn.CONCAT(Tableau118[[#This Row],[Name ILN]],"-",Tableau118[[#This Row],[Name Shipper]],"-",Tableau118[[#This Row],[Name Site]])</f>
        <v>--</v>
      </c>
      <c r="C21" s="65" t="e">
        <f ca="1">_xlfn.CONCAT(Tableau118[[#This Row],[Compte ILN]],"-",Tableau118[[#This Row],[Compte Shipper]],"-",Tableau118[[#This Row],[POL]],"-",Tableau118[[#This Row],[Compte Site]])</f>
        <v>#N/A</v>
      </c>
      <c r="D21" s="64" t="e">
        <f ca="1">_xlfn.CONCAT(Tableau118[[#This Row],[Compte ILN]],"-",Tableau118[[#This Row],[Compte Shipper]],"-",Tableau118[[#This Row],[POL]])</f>
        <v>#N/A</v>
      </c>
      <c r="E21" s="396" t="e">
        <f ca="1">_xlfn.CONCAT(Tableau118[[#This Row],[POL]],"-",Tableau118[[#This Row],[Carrier]],"-",Tableau118[[#This Row],[POD]])</f>
        <v>#N/A</v>
      </c>
      <c r="F21" s="64" t="str">
        <f>_xlfn.CONCAT(Tableau118[[#This Row],[ID]],"-","Next")</f>
        <v>-Next</v>
      </c>
      <c r="G21" s="64" t="e">
        <f ca="1">_xlfn.CONCAT(Tableau118[[#This Row],[POD]],"-",Tableau118[[#This Row],[Code PFI]],"-",Tableau118[[#This Row],[Compte Site]])</f>
        <v>#N/A</v>
      </c>
      <c r="H2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" s="397" t="str">
        <f ca="1">IF(COUNTIF(I:I,Tableau118[[#This Row],[Plant-ILN-shipper-POL-Carrier-POD-PFI]])=1,"Non","Oui")</f>
        <v>Oui</v>
      </c>
      <c r="K21" s="398" t="e">
        <f>VLOOKUP(Tableau118[[#This Row],[Name Site]],Plant_AILN!A:D,4,FALSE)</f>
        <v>#N/A</v>
      </c>
      <c r="L21" s="285"/>
      <c r="M21" s="480"/>
      <c r="N21" s="55"/>
      <c r="O21" s="114"/>
      <c r="P21" s="481"/>
      <c r="Q21" s="50"/>
      <c r="R21" s="50"/>
      <c r="S21" s="50"/>
      <c r="T21" s="50"/>
      <c r="U21" s="50"/>
      <c r="V21" s="50"/>
      <c r="W21" s="53"/>
      <c r="X21" s="283"/>
      <c r="Y21" s="482">
        <f>IFERROR(VLOOKUP(Tableau118[[#This Row],[Name Shipper]],Plant_AILN!L:M,2,FALSE),0)</f>
        <v>0</v>
      </c>
      <c r="Z21" s="358"/>
      <c r="AA21" s="353" t="e">
        <f ca="1">VLOOKUP(Tableau118[[#This Row],[Key(ID-Actif)]],'DATA BTO'!A:N,5,FALSE)</f>
        <v>#N/A</v>
      </c>
      <c r="AB21" s="3" t="e">
        <f ca="1">VLOOKUP(Tableau118[[#This Row],[Key(ID-Actif)]],'DATA BTO'!A:N,6,FALSE)</f>
        <v>#N/A</v>
      </c>
      <c r="AC21" s="50" t="e">
        <f ca="1">VLOOKUP(Tableau118[[#This Row],[Key(ID-Actif)]],'DATA BTO'!A:N,7,FALSE)</f>
        <v>#N/A</v>
      </c>
      <c r="AD21" s="50" t="e">
        <f ca="1">VLOOKUP(Tableau118[[#This Row],[Key(ID-Actif)]],'DATA BTO'!A:N,8,FALSE)</f>
        <v>#N/A</v>
      </c>
      <c r="AE21" s="50" t="e">
        <f ca="1">IF(Tableau118[[#This Row],[First Day to POL]]&lt;=Tableau118[[#This Row],[Day Cut Off]],Tableau118[[#This Row],[Day ETD]],Tableau118[[#This Row],[Day ETD]]+7)</f>
        <v>#N/A</v>
      </c>
      <c r="AF21" s="50" t="e">
        <f ca="1">VLOOKUP(Tableau118[[#This Row],[Key(ID-Actif)]],'DATA BTO'!A:N,9,FALSE)</f>
        <v>#N/A</v>
      </c>
      <c r="AG21" s="3" t="e">
        <f ca="1">VLOOKUP(Tableau118[[#This Row],[Key(ID-Actif)]],'DATA BTO'!A:N,10,FALSE)</f>
        <v>#N/A</v>
      </c>
      <c r="AH21" s="3" t="e">
        <f ca="1">VLOOKUP(Tableau118[[#This Row],[Key(ID-Actif)]],'DATA BTO'!A:N,11,FALSE)</f>
        <v>#N/A</v>
      </c>
      <c r="AI21" s="50" t="e">
        <f ca="1">VLOOKUP(Tableau118[[#This Row],[Key(ID-Actif)]],'DATA BTO'!A:N,12,FALSE)</f>
        <v>#N/A</v>
      </c>
      <c r="AJ21" s="53" t="e">
        <f ca="1">VLOOKUP(Tableau118[[#This Row],[Key(ID-Actif)]],'DATA BTO'!A:N,14,FALSE)</f>
        <v>#N/A</v>
      </c>
      <c r="AK21" s="54" t="e">
        <f ca="1">VLOOKUP(Tableau118[[#This Row],[Key(POD -PFI- Usine)]],'DATA Consignee'!A:F,6,FALSE)</f>
        <v>#N/A</v>
      </c>
      <c r="AL21" s="125"/>
      <c r="AM21" s="483" t="str">
        <f>IF(Tableau118[[#This Row],[Name PFI/CDD]]="","-",VLOOKUP(Tableau118[[#This Row],[Name PFI/CDD]],Plant_AILN!I:J,2,FALSE))</f>
        <v>-</v>
      </c>
      <c r="AN2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" s="2" t="e">
        <f ca="1">VLOOKUP(Tableau118[[#This Row],[Key(POD -PFI- Usine)]],'DATA Consignee'!A:J,10,FALSE)</f>
        <v>#N/A</v>
      </c>
      <c r="AQ21" s="50" t="e">
        <f ca="1">VLOOKUP(Tableau118[[#This Row],[Key(POD -PFI- Usine)]],'DATA Consignee'!A:N,14,FALSE)</f>
        <v>#N/A</v>
      </c>
      <c r="AR2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" s="50" t="e">
        <f ca="1">Tableau118[[#This Row],[Transit time]]+Tableau118[[#This Row],[Time for security]]+Tableau118[[#This Row],[Time for security2 buffer]]</f>
        <v>#N/A</v>
      </c>
      <c r="AU2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" s="389" t="e">
        <f ca="1">Tableau118[[#This Row],[Leadtime SI2C]]+Tableau118[[#This Row],[First Receipt Days]]-Tableau118[[#This Row],[Day Customer Order]]+1</f>
        <v>#N/A</v>
      </c>
      <c r="AW21" s="117" t="e">
        <f ca="1">IF(Tableau118[[#This Row],[Name ILN]]&lt;&gt;"SFK Freight Forwarder",Tableau118[[#This Row],[Cust. Leadtime]],Tableau118[[#This Row],[Leadtime SI2C]])</f>
        <v>#N/A</v>
      </c>
      <c r="AX21" s="51" t="e">
        <f>VLOOKUP(Tableau118[[#This Row],[ID]],'DATA BTO'!B:P,15,FALSE)</f>
        <v>#N/A</v>
      </c>
      <c r="AY21" s="328" t="e">
        <f ca="1">IFERROR(VLOOKUP(Tableau118[[#This Row],[Key(ID-Actif)]],'DATA BTO'!A:N,4,FALSE),VLOOKUP(Tableau118[[#This Row],[ID]],'DATA BTO'!B:N,3,FALSE))</f>
        <v>#N/A</v>
      </c>
      <c r="AZ2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" s="50"/>
    </row>
    <row r="22" spans="2:57">
      <c r="B22" s="65" t="str">
        <f>_xlfn.CONCAT(Tableau118[[#This Row],[Name ILN]],"-",Tableau118[[#This Row],[Name Shipper]],"-",Tableau118[[#This Row],[Name Site]])</f>
        <v>--</v>
      </c>
      <c r="C22" s="65" t="e">
        <f ca="1">_xlfn.CONCAT(Tableau118[[#This Row],[Compte ILN]],"-",Tableau118[[#This Row],[Compte Shipper]],"-",Tableau118[[#This Row],[POL]],"-",Tableau118[[#This Row],[Compte Site]])</f>
        <v>#N/A</v>
      </c>
      <c r="D22" s="64" t="e">
        <f ca="1">_xlfn.CONCAT(Tableau118[[#This Row],[Compte ILN]],"-",Tableau118[[#This Row],[Compte Shipper]],"-",Tableau118[[#This Row],[POL]])</f>
        <v>#N/A</v>
      </c>
      <c r="E22" s="396" t="e">
        <f ca="1">_xlfn.CONCAT(Tableau118[[#This Row],[POL]],"-",Tableau118[[#This Row],[Carrier]],"-",Tableau118[[#This Row],[POD]])</f>
        <v>#N/A</v>
      </c>
      <c r="F22" s="64" t="str">
        <f>_xlfn.CONCAT(Tableau118[[#This Row],[ID]],"-","Next")</f>
        <v>-Next</v>
      </c>
      <c r="G22" s="64" t="e">
        <f ca="1">_xlfn.CONCAT(Tableau118[[#This Row],[POD]],"-",Tableau118[[#This Row],[Code PFI]],"-",Tableau118[[#This Row],[Compte Site]])</f>
        <v>#N/A</v>
      </c>
      <c r="H2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" s="397" t="str">
        <f ca="1">IF(COUNTIF(I:I,Tableau118[[#This Row],[Plant-ILN-shipper-POL-Carrier-POD-PFI]])=1,"Non","Oui")</f>
        <v>Oui</v>
      </c>
      <c r="K22" s="398" t="e">
        <f>VLOOKUP(Tableau118[[#This Row],[Name Site]],Plant_AILN!A:D,4,FALSE)</f>
        <v>#N/A</v>
      </c>
      <c r="L22" s="285"/>
      <c r="M22" s="480"/>
      <c r="N22" s="55"/>
      <c r="O22" s="114"/>
      <c r="P22" s="481"/>
      <c r="Q22" s="50"/>
      <c r="R22" s="50"/>
      <c r="S22" s="50"/>
      <c r="T22" s="50"/>
      <c r="U22" s="50"/>
      <c r="V22" s="50"/>
      <c r="W22" s="53"/>
      <c r="X22" s="283"/>
      <c r="Y22" s="482">
        <f>IFERROR(VLOOKUP(Tableau118[[#This Row],[Name Shipper]],Plant_AILN!L:M,2,FALSE),0)</f>
        <v>0</v>
      </c>
      <c r="Z22" s="358"/>
      <c r="AA22" s="353" t="e">
        <f ca="1">VLOOKUP(Tableau118[[#This Row],[Key(ID-Actif)]],'DATA BTO'!A:N,5,FALSE)</f>
        <v>#N/A</v>
      </c>
      <c r="AB22" s="3" t="e">
        <f ca="1">VLOOKUP(Tableau118[[#This Row],[Key(ID-Actif)]],'DATA BTO'!A:N,6,FALSE)</f>
        <v>#N/A</v>
      </c>
      <c r="AC22" s="50" t="e">
        <f ca="1">VLOOKUP(Tableau118[[#This Row],[Key(ID-Actif)]],'DATA BTO'!A:N,7,FALSE)</f>
        <v>#N/A</v>
      </c>
      <c r="AD22" s="50" t="e">
        <f ca="1">VLOOKUP(Tableau118[[#This Row],[Key(ID-Actif)]],'DATA BTO'!A:N,8,FALSE)</f>
        <v>#N/A</v>
      </c>
      <c r="AE22" s="50" t="e">
        <f ca="1">IF(Tableau118[[#This Row],[First Day to POL]]&lt;=Tableau118[[#This Row],[Day Cut Off]],Tableau118[[#This Row],[Day ETD]],Tableau118[[#This Row],[Day ETD]]+7)</f>
        <v>#N/A</v>
      </c>
      <c r="AF22" s="50" t="e">
        <f ca="1">VLOOKUP(Tableau118[[#This Row],[Key(ID-Actif)]],'DATA BTO'!A:N,9,FALSE)</f>
        <v>#N/A</v>
      </c>
      <c r="AG22" s="3" t="e">
        <f ca="1">VLOOKUP(Tableau118[[#This Row],[Key(ID-Actif)]],'DATA BTO'!A:N,10,FALSE)</f>
        <v>#N/A</v>
      </c>
      <c r="AH22" s="3" t="e">
        <f ca="1">VLOOKUP(Tableau118[[#This Row],[Key(ID-Actif)]],'DATA BTO'!A:N,11,FALSE)</f>
        <v>#N/A</v>
      </c>
      <c r="AI22" s="50" t="e">
        <f ca="1">VLOOKUP(Tableau118[[#This Row],[Key(ID-Actif)]],'DATA BTO'!A:N,12,FALSE)</f>
        <v>#N/A</v>
      </c>
      <c r="AJ22" s="53" t="e">
        <f ca="1">VLOOKUP(Tableau118[[#This Row],[Key(ID-Actif)]],'DATA BTO'!A:N,14,FALSE)</f>
        <v>#N/A</v>
      </c>
      <c r="AK22" s="54" t="e">
        <f ca="1">VLOOKUP(Tableau118[[#This Row],[Key(POD -PFI- Usine)]],'DATA Consignee'!A:F,6,FALSE)</f>
        <v>#N/A</v>
      </c>
      <c r="AL22" s="125"/>
      <c r="AM22" s="483" t="str">
        <f>IF(Tableau118[[#This Row],[Name PFI/CDD]]="","-",VLOOKUP(Tableau118[[#This Row],[Name PFI/CDD]],Plant_AILN!I:J,2,FALSE))</f>
        <v>-</v>
      </c>
      <c r="AN2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" s="2" t="e">
        <f ca="1">VLOOKUP(Tableau118[[#This Row],[Key(POD -PFI- Usine)]],'DATA Consignee'!A:J,10,FALSE)</f>
        <v>#N/A</v>
      </c>
      <c r="AQ22" s="50" t="e">
        <f ca="1">VLOOKUP(Tableau118[[#This Row],[Key(POD -PFI- Usine)]],'DATA Consignee'!A:N,14,FALSE)</f>
        <v>#N/A</v>
      </c>
      <c r="AR2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" s="50" t="e">
        <f ca="1">Tableau118[[#This Row],[Transit time]]+Tableau118[[#This Row],[Time for security]]+Tableau118[[#This Row],[Time for security2 buffer]]</f>
        <v>#N/A</v>
      </c>
      <c r="AU2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" s="389" t="e">
        <f ca="1">Tableau118[[#This Row],[Leadtime SI2C]]+Tableau118[[#This Row],[First Receipt Days]]-Tableau118[[#This Row],[Day Customer Order]]+1</f>
        <v>#N/A</v>
      </c>
      <c r="AW22" s="117" t="e">
        <f ca="1">IF(Tableau118[[#This Row],[Name ILN]]&lt;&gt;"SFK Freight Forwarder",Tableau118[[#This Row],[Cust. Leadtime]],Tableau118[[#This Row],[Leadtime SI2C]])</f>
        <v>#N/A</v>
      </c>
      <c r="AX22" s="51" t="e">
        <f>VLOOKUP(Tableau118[[#This Row],[ID]],'DATA BTO'!B:P,15,FALSE)</f>
        <v>#N/A</v>
      </c>
      <c r="AY22" s="328" t="e">
        <f ca="1">IFERROR(VLOOKUP(Tableau118[[#This Row],[Key(ID-Actif)]],'DATA BTO'!A:N,4,FALSE),VLOOKUP(Tableau118[[#This Row],[ID]],'DATA BTO'!B:N,3,FALSE))</f>
        <v>#N/A</v>
      </c>
      <c r="AZ2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" s="50"/>
    </row>
    <row r="23" spans="2:57">
      <c r="B23" s="65" t="str">
        <f>_xlfn.CONCAT(Tableau118[[#This Row],[Name ILN]],"-",Tableau118[[#This Row],[Name Shipper]],"-",Tableau118[[#This Row],[Name Site]])</f>
        <v>--</v>
      </c>
      <c r="C23" s="65" t="e">
        <f ca="1">_xlfn.CONCAT(Tableau118[[#This Row],[Compte ILN]],"-",Tableau118[[#This Row],[Compte Shipper]],"-",Tableau118[[#This Row],[POL]],"-",Tableau118[[#This Row],[Compte Site]])</f>
        <v>#N/A</v>
      </c>
      <c r="D23" s="64" t="e">
        <f ca="1">_xlfn.CONCAT(Tableau118[[#This Row],[Compte ILN]],"-",Tableau118[[#This Row],[Compte Shipper]],"-",Tableau118[[#This Row],[POL]])</f>
        <v>#N/A</v>
      </c>
      <c r="E23" s="396" t="e">
        <f ca="1">_xlfn.CONCAT(Tableau118[[#This Row],[POL]],"-",Tableau118[[#This Row],[Carrier]],"-",Tableau118[[#This Row],[POD]])</f>
        <v>#N/A</v>
      </c>
      <c r="F23" s="64" t="str">
        <f>_xlfn.CONCAT(Tableau118[[#This Row],[ID]],"-","Next")</f>
        <v>-Next</v>
      </c>
      <c r="G23" s="64" t="e">
        <f ca="1">_xlfn.CONCAT(Tableau118[[#This Row],[POD]],"-",Tableau118[[#This Row],[Code PFI]],"-",Tableau118[[#This Row],[Compte Site]])</f>
        <v>#N/A</v>
      </c>
      <c r="H2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" s="397" t="str">
        <f ca="1">IF(COUNTIF(I:I,Tableau118[[#This Row],[Plant-ILN-shipper-POL-Carrier-POD-PFI]])=1,"Non","Oui")</f>
        <v>Oui</v>
      </c>
      <c r="K23" s="398" t="e">
        <f>VLOOKUP(Tableau118[[#This Row],[Name Site]],Plant_AILN!A:D,4,FALSE)</f>
        <v>#N/A</v>
      </c>
      <c r="L23" s="285"/>
      <c r="M23" s="480"/>
      <c r="N23" s="55"/>
      <c r="O23" s="114"/>
      <c r="P23" s="481"/>
      <c r="Q23" s="50"/>
      <c r="R23" s="50"/>
      <c r="S23" s="50"/>
      <c r="T23" s="50"/>
      <c r="U23" s="50"/>
      <c r="V23" s="50"/>
      <c r="W23" s="53"/>
      <c r="X23" s="283"/>
      <c r="Y23" s="482">
        <f>IFERROR(VLOOKUP(Tableau118[[#This Row],[Name Shipper]],Plant_AILN!L:M,2,FALSE),0)</f>
        <v>0</v>
      </c>
      <c r="Z23" s="358"/>
      <c r="AA23" s="353" t="e">
        <f ca="1">VLOOKUP(Tableau118[[#This Row],[Key(ID-Actif)]],'DATA BTO'!A:N,5,FALSE)</f>
        <v>#N/A</v>
      </c>
      <c r="AB23" s="3" t="e">
        <f ca="1">VLOOKUP(Tableau118[[#This Row],[Key(ID-Actif)]],'DATA BTO'!A:N,6,FALSE)</f>
        <v>#N/A</v>
      </c>
      <c r="AC23" s="50" t="e">
        <f ca="1">VLOOKUP(Tableau118[[#This Row],[Key(ID-Actif)]],'DATA BTO'!A:N,7,FALSE)</f>
        <v>#N/A</v>
      </c>
      <c r="AD23" s="50" t="e">
        <f ca="1">VLOOKUP(Tableau118[[#This Row],[Key(ID-Actif)]],'DATA BTO'!A:N,8,FALSE)</f>
        <v>#N/A</v>
      </c>
      <c r="AE23" s="50" t="e">
        <f ca="1">IF(Tableau118[[#This Row],[First Day to POL]]&lt;=Tableau118[[#This Row],[Day Cut Off]],Tableau118[[#This Row],[Day ETD]],Tableau118[[#This Row],[Day ETD]]+7)</f>
        <v>#N/A</v>
      </c>
      <c r="AF23" s="50" t="e">
        <f ca="1">VLOOKUP(Tableau118[[#This Row],[Key(ID-Actif)]],'DATA BTO'!A:N,9,FALSE)</f>
        <v>#N/A</v>
      </c>
      <c r="AG23" s="3" t="e">
        <f ca="1">VLOOKUP(Tableau118[[#This Row],[Key(ID-Actif)]],'DATA BTO'!A:N,10,FALSE)</f>
        <v>#N/A</v>
      </c>
      <c r="AH23" s="3" t="e">
        <f ca="1">VLOOKUP(Tableau118[[#This Row],[Key(ID-Actif)]],'DATA BTO'!A:N,11,FALSE)</f>
        <v>#N/A</v>
      </c>
      <c r="AI23" s="50" t="e">
        <f ca="1">VLOOKUP(Tableau118[[#This Row],[Key(ID-Actif)]],'DATA BTO'!A:N,12,FALSE)</f>
        <v>#N/A</v>
      </c>
      <c r="AJ23" s="53" t="e">
        <f ca="1">VLOOKUP(Tableau118[[#This Row],[Key(ID-Actif)]],'DATA BTO'!A:N,14,FALSE)</f>
        <v>#N/A</v>
      </c>
      <c r="AK23" s="54" t="e">
        <f ca="1">VLOOKUP(Tableau118[[#This Row],[Key(POD -PFI- Usine)]],'DATA Consignee'!A:F,6,FALSE)</f>
        <v>#N/A</v>
      </c>
      <c r="AL23" s="125"/>
      <c r="AM23" s="483" t="str">
        <f>IF(Tableau118[[#This Row],[Name PFI/CDD]]="","-",VLOOKUP(Tableau118[[#This Row],[Name PFI/CDD]],Plant_AILN!I:J,2,FALSE))</f>
        <v>-</v>
      </c>
      <c r="AN2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" s="2" t="e">
        <f ca="1">VLOOKUP(Tableau118[[#This Row],[Key(POD -PFI- Usine)]],'DATA Consignee'!A:J,10,FALSE)</f>
        <v>#N/A</v>
      </c>
      <c r="AQ23" s="50" t="e">
        <f ca="1">VLOOKUP(Tableau118[[#This Row],[Key(POD -PFI- Usine)]],'DATA Consignee'!A:N,14,FALSE)</f>
        <v>#N/A</v>
      </c>
      <c r="AR2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" s="50" t="e">
        <f ca="1">Tableau118[[#This Row],[Transit time]]+Tableau118[[#This Row],[Time for security]]+Tableau118[[#This Row],[Time for security2 buffer]]</f>
        <v>#N/A</v>
      </c>
      <c r="AU2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" s="389" t="e">
        <f ca="1">Tableau118[[#This Row],[Leadtime SI2C]]+Tableau118[[#This Row],[First Receipt Days]]-Tableau118[[#This Row],[Day Customer Order]]+1</f>
        <v>#N/A</v>
      </c>
      <c r="AW23" s="117" t="e">
        <f ca="1">IF(Tableau118[[#This Row],[Name ILN]]&lt;&gt;"SFK Freight Forwarder",Tableau118[[#This Row],[Cust. Leadtime]],Tableau118[[#This Row],[Leadtime SI2C]])</f>
        <v>#N/A</v>
      </c>
      <c r="AX23" s="51" t="e">
        <f>VLOOKUP(Tableau118[[#This Row],[ID]],'DATA BTO'!B:P,15,FALSE)</f>
        <v>#N/A</v>
      </c>
      <c r="AY23" s="328" t="e">
        <f ca="1">IFERROR(VLOOKUP(Tableau118[[#This Row],[Key(ID-Actif)]],'DATA BTO'!A:N,4,FALSE),VLOOKUP(Tableau118[[#This Row],[ID]],'DATA BTO'!B:N,3,FALSE))</f>
        <v>#N/A</v>
      </c>
      <c r="AZ2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" s="50"/>
    </row>
    <row r="24" spans="2:57">
      <c r="B24" s="65" t="str">
        <f>_xlfn.CONCAT(Tableau118[[#This Row],[Name ILN]],"-",Tableau118[[#This Row],[Name Shipper]],"-",Tableau118[[#This Row],[Name Site]])</f>
        <v>--</v>
      </c>
      <c r="C24" s="65" t="e">
        <f ca="1">_xlfn.CONCAT(Tableau118[[#This Row],[Compte ILN]],"-",Tableau118[[#This Row],[Compte Shipper]],"-",Tableau118[[#This Row],[POL]],"-",Tableau118[[#This Row],[Compte Site]])</f>
        <v>#N/A</v>
      </c>
      <c r="D24" s="64" t="e">
        <f ca="1">_xlfn.CONCAT(Tableau118[[#This Row],[Compte ILN]],"-",Tableau118[[#This Row],[Compte Shipper]],"-",Tableau118[[#This Row],[POL]])</f>
        <v>#N/A</v>
      </c>
      <c r="E24" s="396" t="e">
        <f ca="1">_xlfn.CONCAT(Tableau118[[#This Row],[POL]],"-",Tableau118[[#This Row],[Carrier]],"-",Tableau118[[#This Row],[POD]])</f>
        <v>#N/A</v>
      </c>
      <c r="F24" s="64" t="str">
        <f>_xlfn.CONCAT(Tableau118[[#This Row],[ID]],"-","Next")</f>
        <v>-Next</v>
      </c>
      <c r="G24" s="64" t="e">
        <f ca="1">_xlfn.CONCAT(Tableau118[[#This Row],[POD]],"-",Tableau118[[#This Row],[Code PFI]],"-",Tableau118[[#This Row],[Compte Site]])</f>
        <v>#N/A</v>
      </c>
      <c r="H2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" s="397" t="str">
        <f ca="1">IF(COUNTIF(I:I,Tableau118[[#This Row],[Plant-ILN-shipper-POL-Carrier-POD-PFI]])=1,"Non","Oui")</f>
        <v>Oui</v>
      </c>
      <c r="K24" s="398" t="e">
        <f>VLOOKUP(Tableau118[[#This Row],[Name Site]],Plant_AILN!A:D,4,FALSE)</f>
        <v>#N/A</v>
      </c>
      <c r="L24" s="285"/>
      <c r="M24" s="480"/>
      <c r="N24" s="55"/>
      <c r="O24" s="114"/>
      <c r="P24" s="481"/>
      <c r="Q24" s="50"/>
      <c r="R24" s="50"/>
      <c r="S24" s="50"/>
      <c r="T24" s="50"/>
      <c r="U24" s="50"/>
      <c r="V24" s="50"/>
      <c r="W24" s="53"/>
      <c r="X24" s="283"/>
      <c r="Y24" s="482">
        <f>IFERROR(VLOOKUP(Tableau118[[#This Row],[Name Shipper]],Plant_AILN!L:M,2,FALSE),0)</f>
        <v>0</v>
      </c>
      <c r="Z24" s="358"/>
      <c r="AA24" s="353" t="e">
        <f ca="1">VLOOKUP(Tableau118[[#This Row],[Key(ID-Actif)]],'DATA BTO'!A:N,5,FALSE)</f>
        <v>#N/A</v>
      </c>
      <c r="AB24" s="3" t="e">
        <f ca="1">VLOOKUP(Tableau118[[#This Row],[Key(ID-Actif)]],'DATA BTO'!A:N,6,FALSE)</f>
        <v>#N/A</v>
      </c>
      <c r="AC24" s="50" t="e">
        <f ca="1">VLOOKUP(Tableau118[[#This Row],[Key(ID-Actif)]],'DATA BTO'!A:N,7,FALSE)</f>
        <v>#N/A</v>
      </c>
      <c r="AD24" s="50" t="e">
        <f ca="1">VLOOKUP(Tableau118[[#This Row],[Key(ID-Actif)]],'DATA BTO'!A:N,8,FALSE)</f>
        <v>#N/A</v>
      </c>
      <c r="AE24" s="50" t="e">
        <f ca="1">IF(Tableau118[[#This Row],[First Day to POL]]&lt;=Tableau118[[#This Row],[Day Cut Off]],Tableau118[[#This Row],[Day ETD]],Tableau118[[#This Row],[Day ETD]]+7)</f>
        <v>#N/A</v>
      </c>
      <c r="AF24" s="50" t="e">
        <f ca="1">VLOOKUP(Tableau118[[#This Row],[Key(ID-Actif)]],'DATA BTO'!A:N,9,FALSE)</f>
        <v>#N/A</v>
      </c>
      <c r="AG24" s="3" t="e">
        <f ca="1">VLOOKUP(Tableau118[[#This Row],[Key(ID-Actif)]],'DATA BTO'!A:N,10,FALSE)</f>
        <v>#N/A</v>
      </c>
      <c r="AH24" s="3" t="e">
        <f ca="1">VLOOKUP(Tableau118[[#This Row],[Key(ID-Actif)]],'DATA BTO'!A:N,11,FALSE)</f>
        <v>#N/A</v>
      </c>
      <c r="AI24" s="50" t="e">
        <f ca="1">VLOOKUP(Tableau118[[#This Row],[Key(ID-Actif)]],'DATA BTO'!A:N,12,FALSE)</f>
        <v>#N/A</v>
      </c>
      <c r="AJ24" s="53" t="e">
        <f ca="1">VLOOKUP(Tableau118[[#This Row],[Key(ID-Actif)]],'DATA BTO'!A:N,14,FALSE)</f>
        <v>#N/A</v>
      </c>
      <c r="AK24" s="54" t="e">
        <f ca="1">VLOOKUP(Tableau118[[#This Row],[Key(POD -PFI- Usine)]],'DATA Consignee'!A:F,6,FALSE)</f>
        <v>#N/A</v>
      </c>
      <c r="AL24" s="125"/>
      <c r="AM24" s="483" t="str">
        <f>IF(Tableau118[[#This Row],[Name PFI/CDD]]="","-",VLOOKUP(Tableau118[[#This Row],[Name PFI/CDD]],Plant_AILN!I:J,2,FALSE))</f>
        <v>-</v>
      </c>
      <c r="AN2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" s="2" t="e">
        <f ca="1">VLOOKUP(Tableau118[[#This Row],[Key(POD -PFI- Usine)]],'DATA Consignee'!A:J,10,FALSE)</f>
        <v>#N/A</v>
      </c>
      <c r="AQ24" s="50" t="e">
        <f ca="1">VLOOKUP(Tableau118[[#This Row],[Key(POD -PFI- Usine)]],'DATA Consignee'!A:N,14,FALSE)</f>
        <v>#N/A</v>
      </c>
      <c r="AR2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" s="50" t="e">
        <f ca="1">Tableau118[[#This Row],[Transit time]]+Tableau118[[#This Row],[Time for security]]+Tableau118[[#This Row],[Time for security2 buffer]]</f>
        <v>#N/A</v>
      </c>
      <c r="AU2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" s="389" t="e">
        <f ca="1">Tableau118[[#This Row],[Leadtime SI2C]]+Tableau118[[#This Row],[First Receipt Days]]-Tableau118[[#This Row],[Day Customer Order]]+1</f>
        <v>#N/A</v>
      </c>
      <c r="AW24" s="117" t="e">
        <f ca="1">IF(Tableau118[[#This Row],[Name ILN]]&lt;&gt;"SFK Freight Forwarder",Tableau118[[#This Row],[Cust. Leadtime]],Tableau118[[#This Row],[Leadtime SI2C]])</f>
        <v>#N/A</v>
      </c>
      <c r="AX24" s="51" t="e">
        <f>VLOOKUP(Tableau118[[#This Row],[ID]],'DATA BTO'!B:P,15,FALSE)</f>
        <v>#N/A</v>
      </c>
      <c r="AY24" s="328" t="e">
        <f ca="1">IFERROR(VLOOKUP(Tableau118[[#This Row],[Key(ID-Actif)]],'DATA BTO'!A:N,4,FALSE),VLOOKUP(Tableau118[[#This Row],[ID]],'DATA BTO'!B:N,3,FALSE))</f>
        <v>#N/A</v>
      </c>
      <c r="AZ2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" s="50"/>
    </row>
    <row r="25" spans="2:57">
      <c r="B25" s="65" t="str">
        <f>_xlfn.CONCAT(Tableau118[[#This Row],[Name ILN]],"-",Tableau118[[#This Row],[Name Shipper]],"-",Tableau118[[#This Row],[Name Site]])</f>
        <v>--</v>
      </c>
      <c r="C25" s="65" t="e">
        <f ca="1">_xlfn.CONCAT(Tableau118[[#This Row],[Compte ILN]],"-",Tableau118[[#This Row],[Compte Shipper]],"-",Tableau118[[#This Row],[POL]],"-",Tableau118[[#This Row],[Compte Site]])</f>
        <v>#N/A</v>
      </c>
      <c r="D25" s="64" t="e">
        <f ca="1">_xlfn.CONCAT(Tableau118[[#This Row],[Compte ILN]],"-",Tableau118[[#This Row],[Compte Shipper]],"-",Tableau118[[#This Row],[POL]])</f>
        <v>#N/A</v>
      </c>
      <c r="E25" s="396" t="e">
        <f ca="1">_xlfn.CONCAT(Tableau118[[#This Row],[POL]],"-",Tableau118[[#This Row],[Carrier]],"-",Tableau118[[#This Row],[POD]])</f>
        <v>#N/A</v>
      </c>
      <c r="F25" s="64" t="str">
        <f>_xlfn.CONCAT(Tableau118[[#This Row],[ID]],"-","Next")</f>
        <v>-Next</v>
      </c>
      <c r="G25" s="64" t="e">
        <f ca="1">_xlfn.CONCAT(Tableau118[[#This Row],[POD]],"-",Tableau118[[#This Row],[Code PFI]],"-",Tableau118[[#This Row],[Compte Site]])</f>
        <v>#N/A</v>
      </c>
      <c r="H2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" s="397" t="str">
        <f ca="1">IF(COUNTIF(I:I,Tableau118[[#This Row],[Plant-ILN-shipper-POL-Carrier-POD-PFI]])=1,"Non","Oui")</f>
        <v>Oui</v>
      </c>
      <c r="K25" s="126" t="e">
        <f>VLOOKUP(Tableau118[[#This Row],[Name Site]],Plant_AILN!A:D,4,FALSE)</f>
        <v>#N/A</v>
      </c>
      <c r="L25" s="10"/>
      <c r="M25" s="480"/>
      <c r="N25" s="55"/>
      <c r="O25" s="114"/>
      <c r="P25" s="481"/>
      <c r="Q25" s="50"/>
      <c r="R25" s="50"/>
      <c r="S25" s="50"/>
      <c r="T25" s="50"/>
      <c r="U25" s="50"/>
      <c r="V25" s="50"/>
      <c r="W25" s="53"/>
      <c r="X25" s="283"/>
      <c r="Y25" s="482">
        <f>IFERROR(VLOOKUP(Tableau118[[#This Row],[Name Shipper]],Plant_AILN!L:M,2,FALSE),0)</f>
        <v>0</v>
      </c>
      <c r="Z25" s="358"/>
      <c r="AA25" s="353" t="e">
        <f ca="1">VLOOKUP(Tableau118[[#This Row],[Key(ID-Actif)]],'DATA BTO'!A:N,5,FALSE)</f>
        <v>#N/A</v>
      </c>
      <c r="AB25" s="3" t="e">
        <f ca="1">VLOOKUP(Tableau118[[#This Row],[Key(ID-Actif)]],'DATA BTO'!A:N,6,FALSE)</f>
        <v>#N/A</v>
      </c>
      <c r="AC25" s="50" t="e">
        <f ca="1">VLOOKUP(Tableau118[[#This Row],[Key(ID-Actif)]],'DATA BTO'!A:N,7,FALSE)</f>
        <v>#N/A</v>
      </c>
      <c r="AD25" s="50" t="e">
        <f ca="1">VLOOKUP(Tableau118[[#This Row],[Key(ID-Actif)]],'DATA BTO'!A:N,8,FALSE)</f>
        <v>#N/A</v>
      </c>
      <c r="AE25" s="50" t="e">
        <f ca="1">IF(Tableau118[[#This Row],[First Day to POL]]&lt;=Tableau118[[#This Row],[Day Cut Off]],Tableau118[[#This Row],[Day ETD]],Tableau118[[#This Row],[Day ETD]]+7)</f>
        <v>#N/A</v>
      </c>
      <c r="AF25" s="50" t="e">
        <f ca="1">VLOOKUP(Tableau118[[#This Row],[Key(ID-Actif)]],'DATA BTO'!A:N,9,FALSE)</f>
        <v>#N/A</v>
      </c>
      <c r="AG25" s="3" t="e">
        <f ca="1">VLOOKUP(Tableau118[[#This Row],[Key(ID-Actif)]],'DATA BTO'!A:N,10,FALSE)</f>
        <v>#N/A</v>
      </c>
      <c r="AH25" s="3" t="e">
        <f ca="1">VLOOKUP(Tableau118[[#This Row],[Key(ID-Actif)]],'DATA BTO'!A:N,11,FALSE)</f>
        <v>#N/A</v>
      </c>
      <c r="AI25" s="50" t="e">
        <f ca="1">VLOOKUP(Tableau118[[#This Row],[Key(ID-Actif)]],'DATA BTO'!A:N,12,FALSE)</f>
        <v>#N/A</v>
      </c>
      <c r="AJ25" s="53" t="e">
        <f ca="1">VLOOKUP(Tableau118[[#This Row],[Key(ID-Actif)]],'DATA BTO'!A:N,14,FALSE)</f>
        <v>#N/A</v>
      </c>
      <c r="AK25" s="54" t="e">
        <f ca="1">VLOOKUP(Tableau118[[#This Row],[Key(POD -PFI- Usine)]],'DATA Consignee'!A:F,6,FALSE)</f>
        <v>#N/A</v>
      </c>
      <c r="AL25" s="125" t="s">
        <v>158</v>
      </c>
      <c r="AM25" s="483">
        <f>IF(Tableau118[[#This Row],[Name PFI/CDD]]="","-",VLOOKUP(Tableau118[[#This Row],[Name PFI/CDD]],Plant_AILN!I:J,2,FALSE))</f>
        <v>2839004</v>
      </c>
      <c r="AN2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" s="2" t="e">
        <f ca="1">VLOOKUP(Tableau118[[#This Row],[Key(POD -PFI- Usine)]],'DATA Consignee'!A:J,10,FALSE)</f>
        <v>#N/A</v>
      </c>
      <c r="AQ25" s="50" t="e">
        <f ca="1">VLOOKUP(Tableau118[[#This Row],[Key(POD -PFI- Usine)]],'DATA Consignee'!A:N,14,FALSE)</f>
        <v>#N/A</v>
      </c>
      <c r="AR2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" s="50" t="e">
        <f ca="1">Tableau118[[#This Row],[Transit time]]+Tableau118[[#This Row],[Time for security]]+Tableau118[[#This Row],[Time for security2 buffer]]</f>
        <v>#N/A</v>
      </c>
      <c r="AU2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" s="389" t="e">
        <f ca="1">Tableau118[[#This Row],[Leadtime SI2C]]+Tableau118[[#This Row],[First Receipt Days]]-Tableau118[[#This Row],[Day Customer Order]]+1</f>
        <v>#N/A</v>
      </c>
      <c r="AW25" s="117" t="e">
        <f ca="1">IF(Tableau118[[#This Row],[Name ILN]]&lt;&gt;"SFK Freight Forwarder",Tableau118[[#This Row],[Cust. Leadtime]],Tableau118[[#This Row],[Leadtime SI2C]])</f>
        <v>#N/A</v>
      </c>
      <c r="AX25" s="51" t="e">
        <f>VLOOKUP(Tableau118[[#This Row],[ID]],'DATA BTO'!B:P,15,FALSE)</f>
        <v>#N/A</v>
      </c>
      <c r="AY25" s="328" t="e">
        <f ca="1">IFERROR(VLOOKUP(Tableau118[[#This Row],[Key(ID-Actif)]],'DATA BTO'!A:N,4,FALSE),VLOOKUP(Tableau118[[#This Row],[ID]],'DATA BTO'!B:N,3,FALSE))</f>
        <v>#N/A</v>
      </c>
      <c r="AZ2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" s="50"/>
    </row>
    <row r="26" spans="2:57">
      <c r="B26" s="65" t="str">
        <f>_xlfn.CONCAT(Tableau118[[#This Row],[Name ILN]],"-",Tableau118[[#This Row],[Name Shipper]],"-",Tableau118[[#This Row],[Name Site]])</f>
        <v>--</v>
      </c>
      <c r="C26" s="65" t="e">
        <f ca="1">_xlfn.CONCAT(Tableau118[[#This Row],[Compte ILN]],"-",Tableau118[[#This Row],[Compte Shipper]],"-",Tableau118[[#This Row],[POL]],"-",Tableau118[[#This Row],[Compte Site]])</f>
        <v>#N/A</v>
      </c>
      <c r="D26" s="64" t="e">
        <f ca="1">_xlfn.CONCAT(Tableau118[[#This Row],[Compte ILN]],"-",Tableau118[[#This Row],[Compte Shipper]],"-",Tableau118[[#This Row],[POL]])</f>
        <v>#N/A</v>
      </c>
      <c r="E26" s="396" t="e">
        <f ca="1">_xlfn.CONCAT(Tableau118[[#This Row],[POL]],"-",Tableau118[[#This Row],[Carrier]],"-",Tableau118[[#This Row],[POD]])</f>
        <v>#N/A</v>
      </c>
      <c r="F26" s="64" t="str">
        <f>_xlfn.CONCAT(Tableau118[[#This Row],[ID]],"-","Next")</f>
        <v>-Next</v>
      </c>
      <c r="G26" s="64" t="e">
        <f ca="1">_xlfn.CONCAT(Tableau118[[#This Row],[POD]],"-",Tableau118[[#This Row],[Code PFI]],"-",Tableau118[[#This Row],[Compte Site]])</f>
        <v>#N/A</v>
      </c>
      <c r="H2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" s="397" t="str">
        <f ca="1">IF(COUNTIF(I:I,Tableau118[[#This Row],[Plant-ILN-shipper-POL-Carrier-POD-PFI]])=1,"Non","Oui")</f>
        <v>Oui</v>
      </c>
      <c r="K26" s="398" t="e">
        <f>VLOOKUP(Tableau118[[#This Row],[Name Site]],Plant_AILN!A:D,4,FALSE)</f>
        <v>#N/A</v>
      </c>
      <c r="L26" s="285"/>
      <c r="M26" s="480"/>
      <c r="N26" s="55"/>
      <c r="O26" s="114"/>
      <c r="P26" s="481"/>
      <c r="Q26" s="50"/>
      <c r="R26" s="50"/>
      <c r="S26" s="50"/>
      <c r="T26" s="50"/>
      <c r="U26" s="50"/>
      <c r="V26" s="50"/>
      <c r="W26" s="53"/>
      <c r="X26" s="283"/>
      <c r="Y26" s="482">
        <f>IFERROR(VLOOKUP(Tableau118[[#This Row],[Name Shipper]],Plant_AILN!L:M,2,FALSE),0)</f>
        <v>0</v>
      </c>
      <c r="Z26" s="358"/>
      <c r="AA26" s="353" t="e">
        <f ca="1">VLOOKUP(Tableau118[[#This Row],[Key(ID-Actif)]],'DATA BTO'!A:N,5,FALSE)</f>
        <v>#N/A</v>
      </c>
      <c r="AB26" s="3" t="e">
        <f ca="1">VLOOKUP(Tableau118[[#This Row],[Key(ID-Actif)]],'DATA BTO'!A:N,6,FALSE)</f>
        <v>#N/A</v>
      </c>
      <c r="AC26" s="50" t="e">
        <f ca="1">VLOOKUP(Tableau118[[#This Row],[Key(ID-Actif)]],'DATA BTO'!A:N,7,FALSE)</f>
        <v>#N/A</v>
      </c>
      <c r="AD26" s="50" t="e">
        <f ca="1">VLOOKUP(Tableau118[[#This Row],[Key(ID-Actif)]],'DATA BTO'!A:N,8,FALSE)</f>
        <v>#N/A</v>
      </c>
      <c r="AE26" s="50" t="e">
        <f ca="1">IF(Tableau118[[#This Row],[First Day to POL]]&lt;=Tableau118[[#This Row],[Day Cut Off]],Tableau118[[#This Row],[Day ETD]],Tableau118[[#This Row],[Day ETD]]+7)</f>
        <v>#N/A</v>
      </c>
      <c r="AF26" s="50" t="e">
        <f ca="1">VLOOKUP(Tableau118[[#This Row],[Key(ID-Actif)]],'DATA BTO'!A:N,9,FALSE)</f>
        <v>#N/A</v>
      </c>
      <c r="AG26" s="3" t="e">
        <f ca="1">VLOOKUP(Tableau118[[#This Row],[Key(ID-Actif)]],'DATA BTO'!A:N,10,FALSE)</f>
        <v>#N/A</v>
      </c>
      <c r="AH26" s="3" t="e">
        <f ca="1">VLOOKUP(Tableau118[[#This Row],[Key(ID-Actif)]],'DATA BTO'!A:N,11,FALSE)</f>
        <v>#N/A</v>
      </c>
      <c r="AI26" s="50" t="e">
        <f ca="1">VLOOKUP(Tableau118[[#This Row],[Key(ID-Actif)]],'DATA BTO'!A:N,12,FALSE)</f>
        <v>#N/A</v>
      </c>
      <c r="AJ26" s="53" t="e">
        <f ca="1">VLOOKUP(Tableau118[[#This Row],[Key(ID-Actif)]],'DATA BTO'!A:N,14,FALSE)</f>
        <v>#N/A</v>
      </c>
      <c r="AK26" s="54" t="e">
        <f ca="1">VLOOKUP(Tableau118[[#This Row],[Key(POD -PFI- Usine)]],'DATA Consignee'!A:F,6,FALSE)</f>
        <v>#N/A</v>
      </c>
      <c r="AL26" s="125"/>
      <c r="AM26" s="483" t="str">
        <f>IF(Tableau118[[#This Row],[Name PFI/CDD]]="","-",VLOOKUP(Tableau118[[#This Row],[Name PFI/CDD]],Plant_AILN!I:J,2,FALSE))</f>
        <v>-</v>
      </c>
      <c r="AN2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" s="2" t="e">
        <f ca="1">VLOOKUP(Tableau118[[#This Row],[Key(POD -PFI- Usine)]],'DATA Consignee'!A:J,10,FALSE)</f>
        <v>#N/A</v>
      </c>
      <c r="AQ26" s="50" t="e">
        <f ca="1">VLOOKUP(Tableau118[[#This Row],[Key(POD -PFI- Usine)]],'DATA Consignee'!A:N,14,FALSE)</f>
        <v>#N/A</v>
      </c>
      <c r="AR2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" s="50" t="e">
        <f ca="1">Tableau118[[#This Row],[Transit time]]+Tableau118[[#This Row],[Time for security]]+Tableau118[[#This Row],[Time for security2 buffer]]</f>
        <v>#N/A</v>
      </c>
      <c r="AU2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" s="389" t="e">
        <f ca="1">Tableau118[[#This Row],[Leadtime SI2C]]+Tableau118[[#This Row],[First Receipt Days]]-Tableau118[[#This Row],[Day Customer Order]]+1</f>
        <v>#N/A</v>
      </c>
      <c r="AW26" s="117" t="e">
        <f ca="1">IF(Tableau118[[#This Row],[Name ILN]]&lt;&gt;"SFK Freight Forwarder",Tableau118[[#This Row],[Cust. Leadtime]],Tableau118[[#This Row],[Leadtime SI2C]])</f>
        <v>#N/A</v>
      </c>
      <c r="AX26" s="51" t="e">
        <f>VLOOKUP(Tableau118[[#This Row],[ID]],'DATA BTO'!B:P,15,FALSE)</f>
        <v>#N/A</v>
      </c>
      <c r="AY26" s="328" t="e">
        <f ca="1">IFERROR(VLOOKUP(Tableau118[[#This Row],[Key(ID-Actif)]],'DATA BTO'!A:N,4,FALSE),VLOOKUP(Tableau118[[#This Row],[ID]],'DATA BTO'!B:N,3,FALSE))</f>
        <v>#N/A</v>
      </c>
      <c r="AZ2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" s="50"/>
    </row>
    <row r="27" spans="2:57">
      <c r="B27" s="65" t="str">
        <f>_xlfn.CONCAT(Tableau118[[#This Row],[Name ILN]],"-",Tableau118[[#This Row],[Name Shipper]],"-",Tableau118[[#This Row],[Name Site]])</f>
        <v>--</v>
      </c>
      <c r="C27" s="65" t="e">
        <f ca="1">_xlfn.CONCAT(Tableau118[[#This Row],[Compte ILN]],"-",Tableau118[[#This Row],[Compte Shipper]],"-",Tableau118[[#This Row],[POL]],"-",Tableau118[[#This Row],[Compte Site]])</f>
        <v>#N/A</v>
      </c>
      <c r="D27" s="64" t="e">
        <f ca="1">_xlfn.CONCAT(Tableau118[[#This Row],[Compte ILN]],"-",Tableau118[[#This Row],[Compte Shipper]],"-",Tableau118[[#This Row],[POL]])</f>
        <v>#N/A</v>
      </c>
      <c r="E27" s="396" t="e">
        <f ca="1">_xlfn.CONCAT(Tableau118[[#This Row],[POL]],"-",Tableau118[[#This Row],[Carrier]],"-",Tableau118[[#This Row],[POD]])</f>
        <v>#N/A</v>
      </c>
      <c r="F27" s="64" t="str">
        <f>_xlfn.CONCAT(Tableau118[[#This Row],[ID]],"-","Next")</f>
        <v>-Next</v>
      </c>
      <c r="G27" s="64" t="e">
        <f ca="1">_xlfn.CONCAT(Tableau118[[#This Row],[POD]],"-",Tableau118[[#This Row],[Code PFI]],"-",Tableau118[[#This Row],[Compte Site]])</f>
        <v>#N/A</v>
      </c>
      <c r="H2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" s="397" t="str">
        <f ca="1">IF(COUNTIF(I:I,Tableau118[[#This Row],[Plant-ILN-shipper-POL-Carrier-POD-PFI]])=1,"Non","Oui")</f>
        <v>Oui</v>
      </c>
      <c r="K27" s="398" t="e">
        <f>VLOOKUP(Tableau118[[#This Row],[Name Site]],Plant_AILN!A:D,4,FALSE)</f>
        <v>#N/A</v>
      </c>
      <c r="L27" s="285"/>
      <c r="M27" s="480"/>
      <c r="N27" s="55"/>
      <c r="O27" s="114"/>
      <c r="P27" s="481"/>
      <c r="Q27" s="50"/>
      <c r="R27" s="50"/>
      <c r="S27" s="50"/>
      <c r="T27" s="50"/>
      <c r="U27" s="50"/>
      <c r="V27" s="50"/>
      <c r="W27" s="53"/>
      <c r="X27" s="283"/>
      <c r="Y27" s="482">
        <f>IFERROR(VLOOKUP(Tableau118[[#This Row],[Name Shipper]],Plant_AILN!L:M,2,FALSE),0)</f>
        <v>0</v>
      </c>
      <c r="Z27" s="358"/>
      <c r="AA27" s="353" t="e">
        <f ca="1">VLOOKUP(Tableau118[[#This Row],[Key(ID-Actif)]],'DATA BTO'!A:N,5,FALSE)</f>
        <v>#N/A</v>
      </c>
      <c r="AB27" s="3" t="e">
        <f ca="1">VLOOKUP(Tableau118[[#This Row],[Key(ID-Actif)]],'DATA BTO'!A:N,6,FALSE)</f>
        <v>#N/A</v>
      </c>
      <c r="AC27" s="50" t="e">
        <f ca="1">VLOOKUP(Tableau118[[#This Row],[Key(ID-Actif)]],'DATA BTO'!A:N,7,FALSE)</f>
        <v>#N/A</v>
      </c>
      <c r="AD27" s="50" t="e">
        <f ca="1">VLOOKUP(Tableau118[[#This Row],[Key(ID-Actif)]],'DATA BTO'!A:N,8,FALSE)</f>
        <v>#N/A</v>
      </c>
      <c r="AE27" s="50" t="e">
        <f ca="1">IF(Tableau118[[#This Row],[First Day to POL]]&lt;=Tableau118[[#This Row],[Day Cut Off]],Tableau118[[#This Row],[Day ETD]],Tableau118[[#This Row],[Day ETD]]+7)</f>
        <v>#N/A</v>
      </c>
      <c r="AF27" s="50" t="e">
        <f ca="1">VLOOKUP(Tableau118[[#This Row],[Key(ID-Actif)]],'DATA BTO'!A:N,9,FALSE)</f>
        <v>#N/A</v>
      </c>
      <c r="AG27" s="3" t="e">
        <f ca="1">VLOOKUP(Tableau118[[#This Row],[Key(ID-Actif)]],'DATA BTO'!A:N,10,FALSE)</f>
        <v>#N/A</v>
      </c>
      <c r="AH27" s="3" t="e">
        <f ca="1">VLOOKUP(Tableau118[[#This Row],[Key(ID-Actif)]],'DATA BTO'!A:N,11,FALSE)</f>
        <v>#N/A</v>
      </c>
      <c r="AI27" s="50" t="e">
        <f ca="1">VLOOKUP(Tableau118[[#This Row],[Key(ID-Actif)]],'DATA BTO'!A:N,12,FALSE)</f>
        <v>#N/A</v>
      </c>
      <c r="AJ27" s="53" t="e">
        <f ca="1">VLOOKUP(Tableau118[[#This Row],[Key(ID-Actif)]],'DATA BTO'!A:N,14,FALSE)</f>
        <v>#N/A</v>
      </c>
      <c r="AK27" s="54" t="e">
        <f ca="1">VLOOKUP(Tableau118[[#This Row],[Key(POD -PFI- Usine)]],'DATA Consignee'!A:F,6,FALSE)</f>
        <v>#N/A</v>
      </c>
      <c r="AL27" s="125"/>
      <c r="AM27" s="483" t="str">
        <f>IF(Tableau118[[#This Row],[Name PFI/CDD]]="","-",VLOOKUP(Tableau118[[#This Row],[Name PFI/CDD]],Plant_AILN!I:J,2,FALSE))</f>
        <v>-</v>
      </c>
      <c r="AN2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" s="2" t="e">
        <f ca="1">VLOOKUP(Tableau118[[#This Row],[Key(POD -PFI- Usine)]],'DATA Consignee'!A:J,10,FALSE)</f>
        <v>#N/A</v>
      </c>
      <c r="AQ27" s="50" t="e">
        <f ca="1">VLOOKUP(Tableau118[[#This Row],[Key(POD -PFI- Usine)]],'DATA Consignee'!A:N,14,FALSE)</f>
        <v>#N/A</v>
      </c>
      <c r="AR2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" s="50" t="e">
        <f ca="1">Tableau118[[#This Row],[Transit time]]+Tableau118[[#This Row],[Time for security]]+Tableau118[[#This Row],[Time for security2 buffer]]</f>
        <v>#N/A</v>
      </c>
      <c r="AU2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" s="389" t="e">
        <f ca="1">Tableau118[[#This Row],[Leadtime SI2C]]+Tableau118[[#This Row],[First Receipt Days]]-Tableau118[[#This Row],[Day Customer Order]]+1</f>
        <v>#N/A</v>
      </c>
      <c r="AW27" s="117" t="e">
        <f ca="1">IF(Tableau118[[#This Row],[Name ILN]]&lt;&gt;"SFK Freight Forwarder",Tableau118[[#This Row],[Cust. Leadtime]],Tableau118[[#This Row],[Leadtime SI2C]])</f>
        <v>#N/A</v>
      </c>
      <c r="AX27" s="51" t="e">
        <f>VLOOKUP(Tableau118[[#This Row],[ID]],'DATA BTO'!B:P,15,FALSE)</f>
        <v>#N/A</v>
      </c>
      <c r="AY27" s="328" t="e">
        <f ca="1">IFERROR(VLOOKUP(Tableau118[[#This Row],[Key(ID-Actif)]],'DATA BTO'!A:N,4,FALSE),VLOOKUP(Tableau118[[#This Row],[ID]],'DATA BTO'!B:N,3,FALSE))</f>
        <v>#N/A</v>
      </c>
      <c r="AZ2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" s="50"/>
    </row>
    <row r="28" spans="2:57">
      <c r="B28" s="65" t="str">
        <f>_xlfn.CONCAT(Tableau118[[#This Row],[Name ILN]],"-",Tableau118[[#This Row],[Name Shipper]],"-",Tableau118[[#This Row],[Name Site]])</f>
        <v>--</v>
      </c>
      <c r="C28" s="65" t="e">
        <f ca="1">_xlfn.CONCAT(Tableau118[[#This Row],[Compte ILN]],"-",Tableau118[[#This Row],[Compte Shipper]],"-",Tableau118[[#This Row],[POL]],"-",Tableau118[[#This Row],[Compte Site]])</f>
        <v>#N/A</v>
      </c>
      <c r="D28" s="64" t="e">
        <f ca="1">_xlfn.CONCAT(Tableau118[[#This Row],[Compte ILN]],"-",Tableau118[[#This Row],[Compte Shipper]],"-",Tableau118[[#This Row],[POL]])</f>
        <v>#N/A</v>
      </c>
      <c r="E28" s="396" t="e">
        <f ca="1">_xlfn.CONCAT(Tableau118[[#This Row],[POL]],"-",Tableau118[[#This Row],[Carrier]],"-",Tableau118[[#This Row],[POD]])</f>
        <v>#N/A</v>
      </c>
      <c r="F28" s="64" t="str">
        <f>_xlfn.CONCAT(Tableau118[[#This Row],[ID]],"-","Next")</f>
        <v>-Next</v>
      </c>
      <c r="G28" s="64" t="e">
        <f ca="1">_xlfn.CONCAT(Tableau118[[#This Row],[POD]],"-",Tableau118[[#This Row],[Code PFI]],"-",Tableau118[[#This Row],[Compte Site]])</f>
        <v>#N/A</v>
      </c>
      <c r="H2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" s="397" t="str">
        <f ca="1">IF(COUNTIF(I:I,Tableau118[[#This Row],[Plant-ILN-shipper-POL-Carrier-POD-PFI]])=1,"Non","Oui")</f>
        <v>Oui</v>
      </c>
      <c r="K28" s="398" t="e">
        <f>VLOOKUP(Tableau118[[#This Row],[Name Site]],Plant_AILN!A:D,4,FALSE)</f>
        <v>#N/A</v>
      </c>
      <c r="L28" s="285"/>
      <c r="M28" s="480"/>
      <c r="N28" s="55"/>
      <c r="O28" s="114"/>
      <c r="P28" s="481"/>
      <c r="Q28" s="50"/>
      <c r="R28" s="50"/>
      <c r="S28" s="50"/>
      <c r="T28" s="50"/>
      <c r="U28" s="50"/>
      <c r="V28" s="50"/>
      <c r="W28" s="53"/>
      <c r="X28" s="283"/>
      <c r="Y28" s="482">
        <f>IFERROR(VLOOKUP(Tableau118[[#This Row],[Name Shipper]],Plant_AILN!L:M,2,FALSE),0)</f>
        <v>0</v>
      </c>
      <c r="Z28" s="358"/>
      <c r="AA28" s="353" t="e">
        <f ca="1">VLOOKUP(Tableau118[[#This Row],[Key(ID-Actif)]],'DATA BTO'!A:N,5,FALSE)</f>
        <v>#N/A</v>
      </c>
      <c r="AB28" s="3" t="e">
        <f ca="1">VLOOKUP(Tableau118[[#This Row],[Key(ID-Actif)]],'DATA BTO'!A:N,6,FALSE)</f>
        <v>#N/A</v>
      </c>
      <c r="AC28" s="50" t="e">
        <f ca="1">VLOOKUP(Tableau118[[#This Row],[Key(ID-Actif)]],'DATA BTO'!A:N,7,FALSE)</f>
        <v>#N/A</v>
      </c>
      <c r="AD28" s="50" t="e">
        <f ca="1">VLOOKUP(Tableau118[[#This Row],[Key(ID-Actif)]],'DATA BTO'!A:N,8,FALSE)</f>
        <v>#N/A</v>
      </c>
      <c r="AE28" s="50" t="e">
        <f ca="1">IF(Tableau118[[#This Row],[First Day to POL]]&lt;=Tableau118[[#This Row],[Day Cut Off]],Tableau118[[#This Row],[Day ETD]],Tableau118[[#This Row],[Day ETD]]+7)</f>
        <v>#N/A</v>
      </c>
      <c r="AF28" s="50" t="e">
        <f ca="1">VLOOKUP(Tableau118[[#This Row],[Key(ID-Actif)]],'DATA BTO'!A:N,9,FALSE)</f>
        <v>#N/A</v>
      </c>
      <c r="AG28" s="3" t="e">
        <f ca="1">VLOOKUP(Tableau118[[#This Row],[Key(ID-Actif)]],'DATA BTO'!A:N,10,FALSE)</f>
        <v>#N/A</v>
      </c>
      <c r="AH28" s="3" t="e">
        <f ca="1">VLOOKUP(Tableau118[[#This Row],[Key(ID-Actif)]],'DATA BTO'!A:N,11,FALSE)</f>
        <v>#N/A</v>
      </c>
      <c r="AI28" s="50" t="e">
        <f ca="1">VLOOKUP(Tableau118[[#This Row],[Key(ID-Actif)]],'DATA BTO'!A:N,12,FALSE)</f>
        <v>#N/A</v>
      </c>
      <c r="AJ28" s="53" t="e">
        <f ca="1">VLOOKUP(Tableau118[[#This Row],[Key(ID-Actif)]],'DATA BTO'!A:N,14,FALSE)</f>
        <v>#N/A</v>
      </c>
      <c r="AK28" s="54" t="e">
        <f ca="1">VLOOKUP(Tableau118[[#This Row],[Key(POD -PFI- Usine)]],'DATA Consignee'!A:F,6,FALSE)</f>
        <v>#N/A</v>
      </c>
      <c r="AL28" s="125"/>
      <c r="AM28" s="483" t="str">
        <f>IF(Tableau118[[#This Row],[Name PFI/CDD]]="","-",VLOOKUP(Tableau118[[#This Row],[Name PFI/CDD]],Plant_AILN!I:J,2,FALSE))</f>
        <v>-</v>
      </c>
      <c r="AN2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" s="2" t="e">
        <f ca="1">VLOOKUP(Tableau118[[#This Row],[Key(POD -PFI- Usine)]],'DATA Consignee'!A:J,10,FALSE)</f>
        <v>#N/A</v>
      </c>
      <c r="AQ28" s="50" t="e">
        <f ca="1">VLOOKUP(Tableau118[[#This Row],[Key(POD -PFI- Usine)]],'DATA Consignee'!A:N,14,FALSE)</f>
        <v>#N/A</v>
      </c>
      <c r="AR2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" s="50" t="e">
        <f ca="1">Tableau118[[#This Row],[Transit time]]+Tableau118[[#This Row],[Time for security]]+Tableau118[[#This Row],[Time for security2 buffer]]</f>
        <v>#N/A</v>
      </c>
      <c r="AU2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" s="389" t="e">
        <f ca="1">Tableau118[[#This Row],[Leadtime SI2C]]+Tableau118[[#This Row],[First Receipt Days]]-Tableau118[[#This Row],[Day Customer Order]]+1</f>
        <v>#N/A</v>
      </c>
      <c r="AW28" s="117" t="e">
        <f ca="1">IF(Tableau118[[#This Row],[Name ILN]]&lt;&gt;"SFK Freight Forwarder",Tableau118[[#This Row],[Cust. Leadtime]],Tableau118[[#This Row],[Leadtime SI2C]])</f>
        <v>#N/A</v>
      </c>
      <c r="AX28" s="51" t="e">
        <f>VLOOKUP(Tableau118[[#This Row],[ID]],'DATA BTO'!B:P,15,FALSE)</f>
        <v>#N/A</v>
      </c>
      <c r="AY28" s="328" t="e">
        <f ca="1">IFERROR(VLOOKUP(Tableau118[[#This Row],[Key(ID-Actif)]],'DATA BTO'!A:N,4,FALSE),VLOOKUP(Tableau118[[#This Row],[ID]],'DATA BTO'!B:N,3,FALSE))</f>
        <v>#N/A</v>
      </c>
      <c r="AZ2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" s="50"/>
    </row>
    <row r="29" spans="2:57">
      <c r="B29" s="65" t="str">
        <f>_xlfn.CONCAT(Tableau118[[#This Row],[Name ILN]],"-",Tableau118[[#This Row],[Name Shipper]],"-",Tableau118[[#This Row],[Name Site]])</f>
        <v>--</v>
      </c>
      <c r="C29" s="65" t="e">
        <f ca="1">_xlfn.CONCAT(Tableau118[[#This Row],[Compte ILN]],"-",Tableau118[[#This Row],[Compte Shipper]],"-",Tableau118[[#This Row],[POL]],"-",Tableau118[[#This Row],[Compte Site]])</f>
        <v>#N/A</v>
      </c>
      <c r="D29" s="64" t="e">
        <f ca="1">_xlfn.CONCAT(Tableau118[[#This Row],[Compte ILN]],"-",Tableau118[[#This Row],[Compte Shipper]],"-",Tableau118[[#This Row],[POL]])</f>
        <v>#N/A</v>
      </c>
      <c r="E29" s="396" t="e">
        <f ca="1">_xlfn.CONCAT(Tableau118[[#This Row],[POL]],"-",Tableau118[[#This Row],[Carrier]],"-",Tableau118[[#This Row],[POD]])</f>
        <v>#N/A</v>
      </c>
      <c r="F29" s="64" t="str">
        <f>_xlfn.CONCAT(Tableau118[[#This Row],[ID]],"-","Next")</f>
        <v>-Next</v>
      </c>
      <c r="G29" s="64" t="e">
        <f ca="1">_xlfn.CONCAT(Tableau118[[#This Row],[POD]],"-",Tableau118[[#This Row],[Code PFI]],"-",Tableau118[[#This Row],[Compte Site]])</f>
        <v>#N/A</v>
      </c>
      <c r="H2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" s="397" t="str">
        <f ca="1">IF(COUNTIF(I:I,Tableau118[[#This Row],[Plant-ILN-shipper-POL-Carrier-POD-PFI]])=1,"Non","Oui")</f>
        <v>Oui</v>
      </c>
      <c r="K29" s="398" t="e">
        <f>VLOOKUP(Tableau118[[#This Row],[Name Site]],Plant_AILN!A:D,4,FALSE)</f>
        <v>#N/A</v>
      </c>
      <c r="L29" s="285"/>
      <c r="M29" s="480"/>
      <c r="N29" s="55"/>
      <c r="O29" s="114"/>
      <c r="P29" s="481"/>
      <c r="Q29" s="50"/>
      <c r="R29" s="50"/>
      <c r="S29" s="50"/>
      <c r="T29" s="50"/>
      <c r="U29" s="50"/>
      <c r="V29" s="50"/>
      <c r="W29" s="53"/>
      <c r="X29" s="283"/>
      <c r="Y29" s="482">
        <f>IFERROR(VLOOKUP(Tableau118[[#This Row],[Name Shipper]],Plant_AILN!L:M,2,FALSE),0)</f>
        <v>0</v>
      </c>
      <c r="Z29" s="358"/>
      <c r="AA29" s="353" t="e">
        <f ca="1">VLOOKUP(Tableau118[[#This Row],[Key(ID-Actif)]],'DATA BTO'!A:N,5,FALSE)</f>
        <v>#N/A</v>
      </c>
      <c r="AB29" s="3" t="e">
        <f ca="1">VLOOKUP(Tableau118[[#This Row],[Key(ID-Actif)]],'DATA BTO'!A:N,6,FALSE)</f>
        <v>#N/A</v>
      </c>
      <c r="AC29" s="50" t="e">
        <f ca="1">VLOOKUP(Tableau118[[#This Row],[Key(ID-Actif)]],'DATA BTO'!A:N,7,FALSE)</f>
        <v>#N/A</v>
      </c>
      <c r="AD29" s="50" t="e">
        <f ca="1">VLOOKUP(Tableau118[[#This Row],[Key(ID-Actif)]],'DATA BTO'!A:N,8,FALSE)</f>
        <v>#N/A</v>
      </c>
      <c r="AE29" s="50" t="e">
        <f ca="1">IF(Tableau118[[#This Row],[First Day to POL]]&lt;=Tableau118[[#This Row],[Day Cut Off]],Tableau118[[#This Row],[Day ETD]],Tableau118[[#This Row],[Day ETD]]+7)</f>
        <v>#N/A</v>
      </c>
      <c r="AF29" s="50" t="e">
        <f ca="1">VLOOKUP(Tableau118[[#This Row],[Key(ID-Actif)]],'DATA BTO'!A:N,9,FALSE)</f>
        <v>#N/A</v>
      </c>
      <c r="AG29" s="3" t="e">
        <f ca="1">VLOOKUP(Tableau118[[#This Row],[Key(ID-Actif)]],'DATA BTO'!A:N,10,FALSE)</f>
        <v>#N/A</v>
      </c>
      <c r="AH29" s="3" t="e">
        <f ca="1">VLOOKUP(Tableau118[[#This Row],[Key(ID-Actif)]],'DATA BTO'!A:N,11,FALSE)</f>
        <v>#N/A</v>
      </c>
      <c r="AI29" s="50" t="e">
        <f ca="1">VLOOKUP(Tableau118[[#This Row],[Key(ID-Actif)]],'DATA BTO'!A:N,12,FALSE)</f>
        <v>#N/A</v>
      </c>
      <c r="AJ29" s="53" t="e">
        <f ca="1">VLOOKUP(Tableau118[[#This Row],[Key(ID-Actif)]],'DATA BTO'!A:N,14,FALSE)</f>
        <v>#N/A</v>
      </c>
      <c r="AK29" s="54" t="e">
        <f ca="1">VLOOKUP(Tableau118[[#This Row],[Key(POD -PFI- Usine)]],'DATA Consignee'!A:F,6,FALSE)</f>
        <v>#N/A</v>
      </c>
      <c r="AL29" s="125"/>
      <c r="AM29" s="483" t="str">
        <f>IF(Tableau118[[#This Row],[Name PFI/CDD]]="","-",VLOOKUP(Tableau118[[#This Row],[Name PFI/CDD]],Plant_AILN!I:J,2,FALSE))</f>
        <v>-</v>
      </c>
      <c r="AN2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" s="2" t="e">
        <f ca="1">VLOOKUP(Tableau118[[#This Row],[Key(POD -PFI- Usine)]],'DATA Consignee'!A:J,10,FALSE)</f>
        <v>#N/A</v>
      </c>
      <c r="AQ29" s="50" t="e">
        <f ca="1">VLOOKUP(Tableau118[[#This Row],[Key(POD -PFI- Usine)]],'DATA Consignee'!A:N,14,FALSE)</f>
        <v>#N/A</v>
      </c>
      <c r="AR2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" s="50" t="e">
        <f ca="1">Tableau118[[#This Row],[Transit time]]+Tableau118[[#This Row],[Time for security]]+Tableau118[[#This Row],[Time for security2 buffer]]</f>
        <v>#N/A</v>
      </c>
      <c r="AU2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" s="389" t="e">
        <f ca="1">Tableau118[[#This Row],[Leadtime SI2C]]+Tableau118[[#This Row],[First Receipt Days]]-Tableau118[[#This Row],[Day Customer Order]]+1</f>
        <v>#N/A</v>
      </c>
      <c r="AW29" s="117" t="e">
        <f ca="1">IF(Tableau118[[#This Row],[Name ILN]]&lt;&gt;"SFK Freight Forwarder",Tableau118[[#This Row],[Cust. Leadtime]],Tableau118[[#This Row],[Leadtime SI2C]])</f>
        <v>#N/A</v>
      </c>
      <c r="AX29" s="51" t="e">
        <f>VLOOKUP(Tableau118[[#This Row],[ID]],'DATA BTO'!B:P,15,FALSE)</f>
        <v>#N/A</v>
      </c>
      <c r="AY29" s="328" t="e">
        <f ca="1">IFERROR(VLOOKUP(Tableau118[[#This Row],[Key(ID-Actif)]],'DATA BTO'!A:N,4,FALSE),VLOOKUP(Tableau118[[#This Row],[ID]],'DATA BTO'!B:N,3,FALSE))</f>
        <v>#N/A</v>
      </c>
      <c r="AZ2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" s="50"/>
    </row>
    <row r="30" spans="2:57">
      <c r="B30" s="65" t="str">
        <f>_xlfn.CONCAT(Tableau118[[#This Row],[Name ILN]],"-",Tableau118[[#This Row],[Name Shipper]],"-",Tableau118[[#This Row],[Name Site]])</f>
        <v>--</v>
      </c>
      <c r="C30" s="65" t="e">
        <f ca="1">_xlfn.CONCAT(Tableau118[[#This Row],[Compte ILN]],"-",Tableau118[[#This Row],[Compte Shipper]],"-",Tableau118[[#This Row],[POL]],"-",Tableau118[[#This Row],[Compte Site]])</f>
        <v>#N/A</v>
      </c>
      <c r="D30" s="64" t="e">
        <f ca="1">_xlfn.CONCAT(Tableau118[[#This Row],[Compte ILN]],"-",Tableau118[[#This Row],[Compte Shipper]],"-",Tableau118[[#This Row],[POL]])</f>
        <v>#N/A</v>
      </c>
      <c r="E30" s="396" t="e">
        <f ca="1">_xlfn.CONCAT(Tableau118[[#This Row],[POL]],"-",Tableau118[[#This Row],[Carrier]],"-",Tableau118[[#This Row],[POD]])</f>
        <v>#N/A</v>
      </c>
      <c r="F30" s="64" t="str">
        <f>_xlfn.CONCAT(Tableau118[[#This Row],[ID]],"-","Next")</f>
        <v>-Next</v>
      </c>
      <c r="G30" s="64" t="e">
        <f ca="1">_xlfn.CONCAT(Tableau118[[#This Row],[POD]],"-",Tableau118[[#This Row],[Code PFI]],"-",Tableau118[[#This Row],[Compte Site]])</f>
        <v>#N/A</v>
      </c>
      <c r="H3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" s="397" t="str">
        <f ca="1">IF(COUNTIF(I:I,Tableau118[[#This Row],[Plant-ILN-shipper-POL-Carrier-POD-PFI]])=1,"Non","Oui")</f>
        <v>Oui</v>
      </c>
      <c r="K30" s="398" t="e">
        <f>VLOOKUP(Tableau118[[#This Row],[Name Site]],Plant_AILN!A:D,4,FALSE)</f>
        <v>#N/A</v>
      </c>
      <c r="L30" s="285"/>
      <c r="M30" s="480"/>
      <c r="N30" s="55"/>
      <c r="O30" s="114"/>
      <c r="P30" s="481"/>
      <c r="Q30" s="50"/>
      <c r="R30" s="50"/>
      <c r="S30" s="50"/>
      <c r="T30" s="50"/>
      <c r="U30" s="50"/>
      <c r="V30" s="50"/>
      <c r="W30" s="53"/>
      <c r="X30" s="283"/>
      <c r="Y30" s="482">
        <f>IFERROR(VLOOKUP(Tableau118[[#This Row],[Name Shipper]],Plant_AILN!L:M,2,FALSE),0)</f>
        <v>0</v>
      </c>
      <c r="Z30" s="358"/>
      <c r="AA30" s="353" t="e">
        <f ca="1">VLOOKUP(Tableau118[[#This Row],[Key(ID-Actif)]],'DATA BTO'!A:N,5,FALSE)</f>
        <v>#N/A</v>
      </c>
      <c r="AB30" s="3" t="e">
        <f ca="1">VLOOKUP(Tableau118[[#This Row],[Key(ID-Actif)]],'DATA BTO'!A:N,6,FALSE)</f>
        <v>#N/A</v>
      </c>
      <c r="AC30" s="50" t="e">
        <f ca="1">VLOOKUP(Tableau118[[#This Row],[Key(ID-Actif)]],'DATA BTO'!A:N,7,FALSE)</f>
        <v>#N/A</v>
      </c>
      <c r="AD30" s="50" t="e">
        <f ca="1">VLOOKUP(Tableau118[[#This Row],[Key(ID-Actif)]],'DATA BTO'!A:N,8,FALSE)</f>
        <v>#N/A</v>
      </c>
      <c r="AE30" s="50" t="e">
        <f ca="1">IF(Tableau118[[#This Row],[First Day to POL]]&lt;=Tableau118[[#This Row],[Day Cut Off]],Tableau118[[#This Row],[Day ETD]],Tableau118[[#This Row],[Day ETD]]+7)</f>
        <v>#N/A</v>
      </c>
      <c r="AF30" s="50" t="e">
        <f ca="1">VLOOKUP(Tableau118[[#This Row],[Key(ID-Actif)]],'DATA BTO'!A:N,9,FALSE)</f>
        <v>#N/A</v>
      </c>
      <c r="AG30" s="3" t="e">
        <f ca="1">VLOOKUP(Tableau118[[#This Row],[Key(ID-Actif)]],'DATA BTO'!A:N,10,FALSE)</f>
        <v>#N/A</v>
      </c>
      <c r="AH30" s="3" t="e">
        <f ca="1">VLOOKUP(Tableau118[[#This Row],[Key(ID-Actif)]],'DATA BTO'!A:N,11,FALSE)</f>
        <v>#N/A</v>
      </c>
      <c r="AI30" s="50" t="e">
        <f ca="1">VLOOKUP(Tableau118[[#This Row],[Key(ID-Actif)]],'DATA BTO'!A:N,12,FALSE)</f>
        <v>#N/A</v>
      </c>
      <c r="AJ30" s="53" t="e">
        <f ca="1">VLOOKUP(Tableau118[[#This Row],[Key(ID-Actif)]],'DATA BTO'!A:N,14,FALSE)</f>
        <v>#N/A</v>
      </c>
      <c r="AK30" s="54" t="e">
        <f ca="1">VLOOKUP(Tableau118[[#This Row],[Key(POD -PFI- Usine)]],'DATA Consignee'!A:F,6,FALSE)</f>
        <v>#N/A</v>
      </c>
      <c r="AL30" s="125"/>
      <c r="AM30" s="483" t="str">
        <f>IF(Tableau118[[#This Row],[Name PFI/CDD]]="","-",VLOOKUP(Tableau118[[#This Row],[Name PFI/CDD]],Plant_AILN!I:J,2,FALSE))</f>
        <v>-</v>
      </c>
      <c r="AN3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" s="2" t="e">
        <f ca="1">VLOOKUP(Tableau118[[#This Row],[Key(POD -PFI- Usine)]],'DATA Consignee'!A:J,10,FALSE)</f>
        <v>#N/A</v>
      </c>
      <c r="AQ30" s="50" t="e">
        <f ca="1">VLOOKUP(Tableau118[[#This Row],[Key(POD -PFI- Usine)]],'DATA Consignee'!A:N,14,FALSE)</f>
        <v>#N/A</v>
      </c>
      <c r="AR3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" s="50" t="e">
        <f ca="1">Tableau118[[#This Row],[Transit time]]+Tableau118[[#This Row],[Time for security]]+Tableau118[[#This Row],[Time for security2 buffer]]</f>
        <v>#N/A</v>
      </c>
      <c r="AU3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" s="389" t="e">
        <f ca="1">Tableau118[[#This Row],[Leadtime SI2C]]+Tableau118[[#This Row],[First Receipt Days]]-Tableau118[[#This Row],[Day Customer Order]]+1</f>
        <v>#N/A</v>
      </c>
      <c r="AW30" s="117" t="e">
        <f ca="1">IF(Tableau118[[#This Row],[Name ILN]]&lt;&gt;"SFK Freight Forwarder",Tableau118[[#This Row],[Cust. Leadtime]],Tableau118[[#This Row],[Leadtime SI2C]])</f>
        <v>#N/A</v>
      </c>
      <c r="AX30" s="51" t="e">
        <f>VLOOKUP(Tableau118[[#This Row],[ID]],'DATA BTO'!B:P,15,FALSE)</f>
        <v>#N/A</v>
      </c>
      <c r="AY30" s="328" t="e">
        <f ca="1">IFERROR(VLOOKUP(Tableau118[[#This Row],[Key(ID-Actif)]],'DATA BTO'!A:N,4,FALSE),VLOOKUP(Tableau118[[#This Row],[ID]],'DATA BTO'!B:N,3,FALSE))</f>
        <v>#N/A</v>
      </c>
      <c r="AZ3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" s="50"/>
    </row>
    <row r="31" spans="2:57">
      <c r="B31" s="65" t="str">
        <f>_xlfn.CONCAT(Tableau118[[#This Row],[Name ILN]],"-",Tableau118[[#This Row],[Name Shipper]],"-",Tableau118[[#This Row],[Name Site]])</f>
        <v>--</v>
      </c>
      <c r="C31" s="65" t="e">
        <f ca="1">_xlfn.CONCAT(Tableau118[[#This Row],[Compte ILN]],"-",Tableau118[[#This Row],[Compte Shipper]],"-",Tableau118[[#This Row],[POL]],"-",Tableau118[[#This Row],[Compte Site]])</f>
        <v>#N/A</v>
      </c>
      <c r="D31" s="64" t="e">
        <f ca="1">_xlfn.CONCAT(Tableau118[[#This Row],[Compte ILN]],"-",Tableau118[[#This Row],[Compte Shipper]],"-",Tableau118[[#This Row],[POL]])</f>
        <v>#N/A</v>
      </c>
      <c r="E31" s="396" t="e">
        <f ca="1">_xlfn.CONCAT(Tableau118[[#This Row],[POL]],"-",Tableau118[[#This Row],[Carrier]],"-",Tableau118[[#This Row],[POD]])</f>
        <v>#N/A</v>
      </c>
      <c r="F31" s="64" t="str">
        <f>_xlfn.CONCAT(Tableau118[[#This Row],[ID]],"-","Next")</f>
        <v>-Next</v>
      </c>
      <c r="G31" s="64" t="e">
        <f ca="1">_xlfn.CONCAT(Tableau118[[#This Row],[POD]],"-",Tableau118[[#This Row],[Code PFI]],"-",Tableau118[[#This Row],[Compte Site]])</f>
        <v>#N/A</v>
      </c>
      <c r="H3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" s="397" t="str">
        <f ca="1">IF(COUNTIF(I:I,Tableau118[[#This Row],[Plant-ILN-shipper-POL-Carrier-POD-PFI]])=1,"Non","Oui")</f>
        <v>Oui</v>
      </c>
      <c r="K31" s="398" t="e">
        <f>VLOOKUP(Tableau118[[#This Row],[Name Site]],Plant_AILN!A:D,4,FALSE)</f>
        <v>#N/A</v>
      </c>
      <c r="L31" s="285"/>
      <c r="M31" s="480"/>
      <c r="N31" s="55"/>
      <c r="O31" s="114"/>
      <c r="P31" s="481"/>
      <c r="Q31" s="50"/>
      <c r="R31" s="50"/>
      <c r="S31" s="50"/>
      <c r="T31" s="50"/>
      <c r="U31" s="50"/>
      <c r="V31" s="50"/>
      <c r="W31" s="53"/>
      <c r="X31" s="283"/>
      <c r="Y31" s="482">
        <f>IFERROR(VLOOKUP(Tableau118[[#This Row],[Name Shipper]],Plant_AILN!L:M,2,FALSE),0)</f>
        <v>0</v>
      </c>
      <c r="Z31" s="358"/>
      <c r="AA31" s="353" t="e">
        <f ca="1">VLOOKUP(Tableau118[[#This Row],[Key(ID-Actif)]],'DATA BTO'!A:N,5,FALSE)</f>
        <v>#N/A</v>
      </c>
      <c r="AB31" s="3" t="e">
        <f ca="1">VLOOKUP(Tableau118[[#This Row],[Key(ID-Actif)]],'DATA BTO'!A:N,6,FALSE)</f>
        <v>#N/A</v>
      </c>
      <c r="AC31" s="50" t="e">
        <f ca="1">VLOOKUP(Tableau118[[#This Row],[Key(ID-Actif)]],'DATA BTO'!A:N,7,FALSE)</f>
        <v>#N/A</v>
      </c>
      <c r="AD31" s="50" t="e">
        <f ca="1">VLOOKUP(Tableau118[[#This Row],[Key(ID-Actif)]],'DATA BTO'!A:N,8,FALSE)</f>
        <v>#N/A</v>
      </c>
      <c r="AE31" s="50" t="e">
        <f ca="1">IF(Tableau118[[#This Row],[First Day to POL]]&lt;=Tableau118[[#This Row],[Day Cut Off]],Tableau118[[#This Row],[Day ETD]],Tableau118[[#This Row],[Day ETD]]+7)</f>
        <v>#N/A</v>
      </c>
      <c r="AF31" s="50" t="e">
        <f ca="1">VLOOKUP(Tableau118[[#This Row],[Key(ID-Actif)]],'DATA BTO'!A:N,9,FALSE)</f>
        <v>#N/A</v>
      </c>
      <c r="AG31" s="3" t="e">
        <f ca="1">VLOOKUP(Tableau118[[#This Row],[Key(ID-Actif)]],'DATA BTO'!A:N,10,FALSE)</f>
        <v>#N/A</v>
      </c>
      <c r="AH31" s="3" t="e">
        <f ca="1">VLOOKUP(Tableau118[[#This Row],[Key(ID-Actif)]],'DATA BTO'!A:N,11,FALSE)</f>
        <v>#N/A</v>
      </c>
      <c r="AI31" s="50" t="e">
        <f ca="1">VLOOKUP(Tableau118[[#This Row],[Key(ID-Actif)]],'DATA BTO'!A:N,12,FALSE)</f>
        <v>#N/A</v>
      </c>
      <c r="AJ31" s="53" t="e">
        <f ca="1">VLOOKUP(Tableau118[[#This Row],[Key(ID-Actif)]],'DATA BTO'!A:N,14,FALSE)</f>
        <v>#N/A</v>
      </c>
      <c r="AK31" s="54" t="e">
        <f ca="1">VLOOKUP(Tableau118[[#This Row],[Key(POD -PFI- Usine)]],'DATA Consignee'!A:F,6,FALSE)</f>
        <v>#N/A</v>
      </c>
      <c r="AL31" s="125"/>
      <c r="AM31" s="483" t="str">
        <f>IF(Tableau118[[#This Row],[Name PFI/CDD]]="","-",VLOOKUP(Tableau118[[#This Row],[Name PFI/CDD]],Plant_AILN!I:J,2,FALSE))</f>
        <v>-</v>
      </c>
      <c r="AN3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" s="2" t="e">
        <f ca="1">VLOOKUP(Tableau118[[#This Row],[Key(POD -PFI- Usine)]],'DATA Consignee'!A:J,10,FALSE)</f>
        <v>#N/A</v>
      </c>
      <c r="AQ31" s="50" t="e">
        <f ca="1">VLOOKUP(Tableau118[[#This Row],[Key(POD -PFI- Usine)]],'DATA Consignee'!A:N,14,FALSE)</f>
        <v>#N/A</v>
      </c>
      <c r="AR3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" s="50" t="e">
        <f ca="1">Tableau118[[#This Row],[Transit time]]+Tableau118[[#This Row],[Time for security]]+Tableau118[[#This Row],[Time for security2 buffer]]</f>
        <v>#N/A</v>
      </c>
      <c r="AU3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" s="389" t="e">
        <f ca="1">Tableau118[[#This Row],[Leadtime SI2C]]+Tableau118[[#This Row],[First Receipt Days]]-Tableau118[[#This Row],[Day Customer Order]]+1</f>
        <v>#N/A</v>
      </c>
      <c r="AW31" s="117" t="e">
        <f ca="1">IF(Tableau118[[#This Row],[Name ILN]]&lt;&gt;"SFK Freight Forwarder",Tableau118[[#This Row],[Cust. Leadtime]],Tableau118[[#This Row],[Leadtime SI2C]])</f>
        <v>#N/A</v>
      </c>
      <c r="AX31" s="51" t="e">
        <f>VLOOKUP(Tableau118[[#This Row],[ID]],'DATA BTO'!B:P,15,FALSE)</f>
        <v>#N/A</v>
      </c>
      <c r="AY31" s="328" t="e">
        <f ca="1">IFERROR(VLOOKUP(Tableau118[[#This Row],[Key(ID-Actif)]],'DATA BTO'!A:N,4,FALSE),VLOOKUP(Tableau118[[#This Row],[ID]],'DATA BTO'!B:N,3,FALSE))</f>
        <v>#N/A</v>
      </c>
      <c r="AZ3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" s="50"/>
    </row>
    <row r="32" spans="2:57">
      <c r="B32" s="65" t="str">
        <f>_xlfn.CONCAT(Tableau118[[#This Row],[Name ILN]],"-",Tableau118[[#This Row],[Name Shipper]],"-",Tableau118[[#This Row],[Name Site]])</f>
        <v>--</v>
      </c>
      <c r="C32" s="65" t="e">
        <f ca="1">_xlfn.CONCAT(Tableau118[[#This Row],[Compte ILN]],"-",Tableau118[[#This Row],[Compte Shipper]],"-",Tableau118[[#This Row],[POL]],"-",Tableau118[[#This Row],[Compte Site]])</f>
        <v>#N/A</v>
      </c>
      <c r="D32" s="64" t="e">
        <f ca="1">_xlfn.CONCAT(Tableau118[[#This Row],[Compte ILN]],"-",Tableau118[[#This Row],[Compte Shipper]],"-",Tableau118[[#This Row],[POL]])</f>
        <v>#N/A</v>
      </c>
      <c r="E32" s="396" t="e">
        <f ca="1">_xlfn.CONCAT(Tableau118[[#This Row],[POL]],"-",Tableau118[[#This Row],[Carrier]],"-",Tableau118[[#This Row],[POD]])</f>
        <v>#N/A</v>
      </c>
      <c r="F32" s="64" t="str">
        <f>_xlfn.CONCAT(Tableau118[[#This Row],[ID]],"-","Next")</f>
        <v>-Next</v>
      </c>
      <c r="G32" s="64" t="e">
        <f ca="1">_xlfn.CONCAT(Tableau118[[#This Row],[POD]],"-",Tableau118[[#This Row],[Code PFI]],"-",Tableau118[[#This Row],[Compte Site]])</f>
        <v>#N/A</v>
      </c>
      <c r="H3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" s="397" t="str">
        <f ca="1">IF(COUNTIF(I:I,Tableau118[[#This Row],[Plant-ILN-shipper-POL-Carrier-POD-PFI]])=1,"Non","Oui")</f>
        <v>Oui</v>
      </c>
      <c r="K32" s="398" t="e">
        <f>VLOOKUP(Tableau118[[#This Row],[Name Site]],Plant_AILN!A:D,4,FALSE)</f>
        <v>#N/A</v>
      </c>
      <c r="L32" s="285"/>
      <c r="M32" s="480"/>
      <c r="N32" s="55"/>
      <c r="O32" s="114"/>
      <c r="P32" s="481"/>
      <c r="Q32" s="50"/>
      <c r="R32" s="50"/>
      <c r="S32" s="50"/>
      <c r="T32" s="50"/>
      <c r="U32" s="50"/>
      <c r="V32" s="50"/>
      <c r="W32" s="53"/>
      <c r="X32" s="283"/>
      <c r="Y32" s="482">
        <f>IFERROR(VLOOKUP(Tableau118[[#This Row],[Name Shipper]],Plant_AILN!L:M,2,FALSE),0)</f>
        <v>0</v>
      </c>
      <c r="Z32" s="358"/>
      <c r="AA32" s="353" t="e">
        <f ca="1">VLOOKUP(Tableau118[[#This Row],[Key(ID-Actif)]],'DATA BTO'!A:N,5,FALSE)</f>
        <v>#N/A</v>
      </c>
      <c r="AB32" s="3" t="e">
        <f ca="1">VLOOKUP(Tableau118[[#This Row],[Key(ID-Actif)]],'DATA BTO'!A:N,6,FALSE)</f>
        <v>#N/A</v>
      </c>
      <c r="AC32" s="50" t="e">
        <f ca="1">VLOOKUP(Tableau118[[#This Row],[Key(ID-Actif)]],'DATA BTO'!A:N,7,FALSE)</f>
        <v>#N/A</v>
      </c>
      <c r="AD32" s="50" t="e">
        <f ca="1">VLOOKUP(Tableau118[[#This Row],[Key(ID-Actif)]],'DATA BTO'!A:N,8,FALSE)</f>
        <v>#N/A</v>
      </c>
      <c r="AE32" s="50" t="e">
        <f ca="1">IF(Tableau118[[#This Row],[First Day to POL]]&lt;=Tableau118[[#This Row],[Day Cut Off]],Tableau118[[#This Row],[Day ETD]],Tableau118[[#This Row],[Day ETD]]+7)</f>
        <v>#N/A</v>
      </c>
      <c r="AF32" s="50" t="e">
        <f ca="1">VLOOKUP(Tableau118[[#This Row],[Key(ID-Actif)]],'DATA BTO'!A:N,9,FALSE)</f>
        <v>#N/A</v>
      </c>
      <c r="AG32" s="3" t="e">
        <f ca="1">VLOOKUP(Tableau118[[#This Row],[Key(ID-Actif)]],'DATA BTO'!A:N,10,FALSE)</f>
        <v>#N/A</v>
      </c>
      <c r="AH32" s="3" t="e">
        <f ca="1">VLOOKUP(Tableau118[[#This Row],[Key(ID-Actif)]],'DATA BTO'!A:N,11,FALSE)</f>
        <v>#N/A</v>
      </c>
      <c r="AI32" s="50" t="e">
        <f ca="1">VLOOKUP(Tableau118[[#This Row],[Key(ID-Actif)]],'DATA BTO'!A:N,12,FALSE)</f>
        <v>#N/A</v>
      </c>
      <c r="AJ32" s="53" t="e">
        <f ca="1">VLOOKUP(Tableau118[[#This Row],[Key(ID-Actif)]],'DATA BTO'!A:N,14,FALSE)</f>
        <v>#N/A</v>
      </c>
      <c r="AK32" s="54" t="e">
        <f ca="1">VLOOKUP(Tableau118[[#This Row],[Key(POD -PFI- Usine)]],'DATA Consignee'!A:F,6,FALSE)</f>
        <v>#N/A</v>
      </c>
      <c r="AL32" s="125"/>
      <c r="AM32" s="483" t="str">
        <f>IF(Tableau118[[#This Row],[Name PFI/CDD]]="","-",VLOOKUP(Tableau118[[#This Row],[Name PFI/CDD]],Plant_AILN!I:J,2,FALSE))</f>
        <v>-</v>
      </c>
      <c r="AN3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" s="2" t="e">
        <f ca="1">VLOOKUP(Tableau118[[#This Row],[Key(POD -PFI- Usine)]],'DATA Consignee'!A:J,10,FALSE)</f>
        <v>#N/A</v>
      </c>
      <c r="AQ32" s="50" t="e">
        <f ca="1">VLOOKUP(Tableau118[[#This Row],[Key(POD -PFI- Usine)]],'DATA Consignee'!A:N,14,FALSE)</f>
        <v>#N/A</v>
      </c>
      <c r="AR3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" s="50" t="e">
        <f ca="1">Tableau118[[#This Row],[Transit time]]+Tableau118[[#This Row],[Time for security]]+Tableau118[[#This Row],[Time for security2 buffer]]</f>
        <v>#N/A</v>
      </c>
      <c r="AU3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" s="389" t="e">
        <f ca="1">Tableau118[[#This Row],[Leadtime SI2C]]+Tableau118[[#This Row],[First Receipt Days]]-Tableau118[[#This Row],[Day Customer Order]]+1</f>
        <v>#N/A</v>
      </c>
      <c r="AW32" s="117" t="e">
        <f ca="1">IF(Tableau118[[#This Row],[Name ILN]]&lt;&gt;"SFK Freight Forwarder",Tableau118[[#This Row],[Cust. Leadtime]],Tableau118[[#This Row],[Leadtime SI2C]])</f>
        <v>#N/A</v>
      </c>
      <c r="AX32" s="51" t="e">
        <f>VLOOKUP(Tableau118[[#This Row],[ID]],'DATA BTO'!B:P,15,FALSE)</f>
        <v>#N/A</v>
      </c>
      <c r="AY32" s="328" t="e">
        <f ca="1">IFERROR(VLOOKUP(Tableau118[[#This Row],[Key(ID-Actif)]],'DATA BTO'!A:N,4,FALSE),VLOOKUP(Tableau118[[#This Row],[ID]],'DATA BTO'!B:N,3,FALSE))</f>
        <v>#N/A</v>
      </c>
      <c r="AZ3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" s="50"/>
    </row>
    <row r="33" spans="2:57">
      <c r="B33" s="65" t="str">
        <f>_xlfn.CONCAT(Tableau118[[#This Row],[Name ILN]],"-",Tableau118[[#This Row],[Name Shipper]],"-",Tableau118[[#This Row],[Name Site]])</f>
        <v>--</v>
      </c>
      <c r="C33" s="65" t="e">
        <f ca="1">_xlfn.CONCAT(Tableau118[[#This Row],[Compte ILN]],"-",Tableau118[[#This Row],[Compte Shipper]],"-",Tableau118[[#This Row],[POL]],"-",Tableau118[[#This Row],[Compte Site]])</f>
        <v>#N/A</v>
      </c>
      <c r="D33" s="64" t="e">
        <f ca="1">_xlfn.CONCAT(Tableau118[[#This Row],[Compte ILN]],"-",Tableau118[[#This Row],[Compte Shipper]],"-",Tableau118[[#This Row],[POL]])</f>
        <v>#N/A</v>
      </c>
      <c r="E33" s="396" t="e">
        <f ca="1">_xlfn.CONCAT(Tableau118[[#This Row],[POL]],"-",Tableau118[[#This Row],[Carrier]],"-",Tableau118[[#This Row],[POD]])</f>
        <v>#N/A</v>
      </c>
      <c r="F33" s="64" t="str">
        <f>_xlfn.CONCAT(Tableau118[[#This Row],[ID]],"-","Next")</f>
        <v>-Next</v>
      </c>
      <c r="G33" s="64" t="e">
        <f ca="1">_xlfn.CONCAT(Tableau118[[#This Row],[POD]],"-",Tableau118[[#This Row],[Code PFI]],"-",Tableau118[[#This Row],[Compte Site]])</f>
        <v>#N/A</v>
      </c>
      <c r="H3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" s="397" t="str">
        <f ca="1">IF(COUNTIF(I:I,Tableau118[[#This Row],[Plant-ILN-shipper-POL-Carrier-POD-PFI]])=1,"Non","Oui")</f>
        <v>Oui</v>
      </c>
      <c r="K33" s="398" t="e">
        <f>VLOOKUP(Tableau118[[#This Row],[Name Site]],Plant_AILN!A:D,4,FALSE)</f>
        <v>#N/A</v>
      </c>
      <c r="L33" s="285"/>
      <c r="M33" s="480"/>
      <c r="N33" s="55"/>
      <c r="O33" s="114"/>
      <c r="P33" s="481"/>
      <c r="Q33" s="50"/>
      <c r="R33" s="50"/>
      <c r="S33" s="50"/>
      <c r="T33" s="50"/>
      <c r="U33" s="50"/>
      <c r="V33" s="50"/>
      <c r="W33" s="53"/>
      <c r="X33" s="283"/>
      <c r="Y33" s="482">
        <f>IFERROR(VLOOKUP(Tableau118[[#This Row],[Name Shipper]],Plant_AILN!L:M,2,FALSE),0)</f>
        <v>0</v>
      </c>
      <c r="Z33" s="358"/>
      <c r="AA33" s="353" t="e">
        <f ca="1">VLOOKUP(Tableau118[[#This Row],[Key(ID-Actif)]],'DATA BTO'!A:N,5,FALSE)</f>
        <v>#N/A</v>
      </c>
      <c r="AB33" s="3" t="e">
        <f ca="1">VLOOKUP(Tableau118[[#This Row],[Key(ID-Actif)]],'DATA BTO'!A:N,6,FALSE)</f>
        <v>#N/A</v>
      </c>
      <c r="AC33" s="50" t="e">
        <f ca="1">VLOOKUP(Tableau118[[#This Row],[Key(ID-Actif)]],'DATA BTO'!A:N,7,FALSE)</f>
        <v>#N/A</v>
      </c>
      <c r="AD33" s="50" t="e">
        <f ca="1">VLOOKUP(Tableau118[[#This Row],[Key(ID-Actif)]],'DATA BTO'!A:N,8,FALSE)</f>
        <v>#N/A</v>
      </c>
      <c r="AE33" s="50" t="e">
        <f ca="1">IF(Tableau118[[#This Row],[First Day to POL]]&lt;=Tableau118[[#This Row],[Day Cut Off]],Tableau118[[#This Row],[Day ETD]],Tableau118[[#This Row],[Day ETD]]+7)</f>
        <v>#N/A</v>
      </c>
      <c r="AF33" s="50" t="e">
        <f ca="1">VLOOKUP(Tableau118[[#This Row],[Key(ID-Actif)]],'DATA BTO'!A:N,9,FALSE)</f>
        <v>#N/A</v>
      </c>
      <c r="AG33" s="3" t="e">
        <f ca="1">VLOOKUP(Tableau118[[#This Row],[Key(ID-Actif)]],'DATA BTO'!A:N,10,FALSE)</f>
        <v>#N/A</v>
      </c>
      <c r="AH33" s="3" t="e">
        <f ca="1">VLOOKUP(Tableau118[[#This Row],[Key(ID-Actif)]],'DATA BTO'!A:N,11,FALSE)</f>
        <v>#N/A</v>
      </c>
      <c r="AI33" s="50" t="e">
        <f ca="1">VLOOKUP(Tableau118[[#This Row],[Key(ID-Actif)]],'DATA BTO'!A:N,12,FALSE)</f>
        <v>#N/A</v>
      </c>
      <c r="AJ33" s="53" t="e">
        <f ca="1">VLOOKUP(Tableau118[[#This Row],[Key(ID-Actif)]],'DATA BTO'!A:N,14,FALSE)</f>
        <v>#N/A</v>
      </c>
      <c r="AK33" s="54" t="e">
        <f ca="1">VLOOKUP(Tableau118[[#This Row],[Key(POD -PFI- Usine)]],'DATA Consignee'!A:F,6,FALSE)</f>
        <v>#N/A</v>
      </c>
      <c r="AL33" s="125"/>
      <c r="AM33" s="483" t="str">
        <f>IF(Tableau118[[#This Row],[Name PFI/CDD]]="","-",VLOOKUP(Tableau118[[#This Row],[Name PFI/CDD]],Plant_AILN!I:J,2,FALSE))</f>
        <v>-</v>
      </c>
      <c r="AN3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" s="2" t="e">
        <f ca="1">VLOOKUP(Tableau118[[#This Row],[Key(POD -PFI- Usine)]],'DATA Consignee'!A:J,10,FALSE)</f>
        <v>#N/A</v>
      </c>
      <c r="AQ33" s="50" t="e">
        <f ca="1">VLOOKUP(Tableau118[[#This Row],[Key(POD -PFI- Usine)]],'DATA Consignee'!A:N,14,FALSE)</f>
        <v>#N/A</v>
      </c>
      <c r="AR3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" s="50" t="e">
        <f ca="1">Tableau118[[#This Row],[Transit time]]+Tableau118[[#This Row],[Time for security]]+Tableau118[[#This Row],[Time for security2 buffer]]</f>
        <v>#N/A</v>
      </c>
      <c r="AU3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" s="389" t="e">
        <f ca="1">Tableau118[[#This Row],[Leadtime SI2C]]+Tableau118[[#This Row],[First Receipt Days]]-Tableau118[[#This Row],[Day Customer Order]]+1</f>
        <v>#N/A</v>
      </c>
      <c r="AW33" s="117" t="e">
        <f ca="1">IF(Tableau118[[#This Row],[Name ILN]]&lt;&gt;"SFK Freight Forwarder",Tableau118[[#This Row],[Cust. Leadtime]],Tableau118[[#This Row],[Leadtime SI2C]])</f>
        <v>#N/A</v>
      </c>
      <c r="AX33" s="51" t="e">
        <f>VLOOKUP(Tableau118[[#This Row],[ID]],'DATA BTO'!B:P,15,FALSE)</f>
        <v>#N/A</v>
      </c>
      <c r="AY33" s="328" t="e">
        <f ca="1">IFERROR(VLOOKUP(Tableau118[[#This Row],[Key(ID-Actif)]],'DATA BTO'!A:N,4,FALSE),VLOOKUP(Tableau118[[#This Row],[ID]],'DATA BTO'!B:N,3,FALSE))</f>
        <v>#N/A</v>
      </c>
      <c r="AZ3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" s="50"/>
    </row>
    <row r="34" spans="2:57">
      <c r="B34" s="65" t="str">
        <f>_xlfn.CONCAT(Tableau118[[#This Row],[Name ILN]],"-",Tableau118[[#This Row],[Name Shipper]],"-",Tableau118[[#This Row],[Name Site]])</f>
        <v>--</v>
      </c>
      <c r="C34" s="65" t="e">
        <f ca="1">_xlfn.CONCAT(Tableau118[[#This Row],[Compte ILN]],"-",Tableau118[[#This Row],[Compte Shipper]],"-",Tableau118[[#This Row],[POL]],"-",Tableau118[[#This Row],[Compte Site]])</f>
        <v>#N/A</v>
      </c>
      <c r="D34" s="64" t="e">
        <f ca="1">_xlfn.CONCAT(Tableau118[[#This Row],[Compte ILN]],"-",Tableau118[[#This Row],[Compte Shipper]],"-",Tableau118[[#This Row],[POL]])</f>
        <v>#N/A</v>
      </c>
      <c r="E34" s="396" t="e">
        <f ca="1">_xlfn.CONCAT(Tableau118[[#This Row],[POL]],"-",Tableau118[[#This Row],[Carrier]],"-",Tableau118[[#This Row],[POD]])</f>
        <v>#N/A</v>
      </c>
      <c r="F34" s="64" t="str">
        <f>_xlfn.CONCAT(Tableau118[[#This Row],[ID]],"-","Next")</f>
        <v>-Next</v>
      </c>
      <c r="G34" s="64" t="e">
        <f ca="1">_xlfn.CONCAT(Tableau118[[#This Row],[POD]],"-",Tableau118[[#This Row],[Code PFI]],"-",Tableau118[[#This Row],[Compte Site]])</f>
        <v>#N/A</v>
      </c>
      <c r="H3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" s="397" t="str">
        <f ca="1">IF(COUNTIF(I:I,Tableau118[[#This Row],[Plant-ILN-shipper-POL-Carrier-POD-PFI]])=1,"Non","Oui")</f>
        <v>Oui</v>
      </c>
      <c r="K34" s="398" t="e">
        <f>VLOOKUP(Tableau118[[#This Row],[Name Site]],Plant_AILN!A:D,4,FALSE)</f>
        <v>#N/A</v>
      </c>
      <c r="L34" s="285"/>
      <c r="M34" s="480"/>
      <c r="N34" s="55"/>
      <c r="O34" s="114"/>
      <c r="P34" s="481"/>
      <c r="Q34" s="50"/>
      <c r="R34" s="50"/>
      <c r="S34" s="50"/>
      <c r="T34" s="50"/>
      <c r="U34" s="50"/>
      <c r="V34" s="50"/>
      <c r="W34" s="53"/>
      <c r="X34" s="283"/>
      <c r="Y34" s="482">
        <f>IFERROR(VLOOKUP(Tableau118[[#This Row],[Name Shipper]],Plant_AILN!L:M,2,FALSE),0)</f>
        <v>0</v>
      </c>
      <c r="Z34" s="358"/>
      <c r="AA34" s="353" t="e">
        <f ca="1">VLOOKUP(Tableau118[[#This Row],[Key(ID-Actif)]],'DATA BTO'!A:N,5,FALSE)</f>
        <v>#N/A</v>
      </c>
      <c r="AB34" s="3" t="e">
        <f ca="1">VLOOKUP(Tableau118[[#This Row],[Key(ID-Actif)]],'DATA BTO'!A:N,6,FALSE)</f>
        <v>#N/A</v>
      </c>
      <c r="AC34" s="50" t="e">
        <f ca="1">VLOOKUP(Tableau118[[#This Row],[Key(ID-Actif)]],'DATA BTO'!A:N,7,FALSE)</f>
        <v>#N/A</v>
      </c>
      <c r="AD34" s="50" t="e">
        <f ca="1">VLOOKUP(Tableau118[[#This Row],[Key(ID-Actif)]],'DATA BTO'!A:N,8,FALSE)</f>
        <v>#N/A</v>
      </c>
      <c r="AE34" s="50" t="e">
        <f ca="1">IF(Tableau118[[#This Row],[First Day to POL]]&lt;=Tableau118[[#This Row],[Day Cut Off]],Tableau118[[#This Row],[Day ETD]],Tableau118[[#This Row],[Day ETD]]+7)</f>
        <v>#N/A</v>
      </c>
      <c r="AF34" s="50" t="e">
        <f ca="1">VLOOKUP(Tableau118[[#This Row],[Key(ID-Actif)]],'DATA BTO'!A:N,9,FALSE)</f>
        <v>#N/A</v>
      </c>
      <c r="AG34" s="3" t="e">
        <f ca="1">VLOOKUP(Tableau118[[#This Row],[Key(ID-Actif)]],'DATA BTO'!A:N,10,FALSE)</f>
        <v>#N/A</v>
      </c>
      <c r="AH34" s="3" t="e">
        <f ca="1">VLOOKUP(Tableau118[[#This Row],[Key(ID-Actif)]],'DATA BTO'!A:N,11,FALSE)</f>
        <v>#N/A</v>
      </c>
      <c r="AI34" s="50" t="e">
        <f ca="1">VLOOKUP(Tableau118[[#This Row],[Key(ID-Actif)]],'DATA BTO'!A:N,12,FALSE)</f>
        <v>#N/A</v>
      </c>
      <c r="AJ34" s="53" t="e">
        <f ca="1">VLOOKUP(Tableau118[[#This Row],[Key(ID-Actif)]],'DATA BTO'!A:N,14,FALSE)</f>
        <v>#N/A</v>
      </c>
      <c r="AK34" s="54" t="e">
        <f ca="1">VLOOKUP(Tableau118[[#This Row],[Key(POD -PFI- Usine)]],'DATA Consignee'!A:F,6,FALSE)</f>
        <v>#N/A</v>
      </c>
      <c r="AL34" s="125"/>
      <c r="AM34" s="483" t="str">
        <f>IF(Tableau118[[#This Row],[Name PFI/CDD]]="","-",VLOOKUP(Tableau118[[#This Row],[Name PFI/CDD]],Plant_AILN!I:J,2,FALSE))</f>
        <v>-</v>
      </c>
      <c r="AN3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" s="2" t="e">
        <f ca="1">VLOOKUP(Tableau118[[#This Row],[Key(POD -PFI- Usine)]],'DATA Consignee'!A:J,10,FALSE)</f>
        <v>#N/A</v>
      </c>
      <c r="AQ34" s="50" t="e">
        <f ca="1">VLOOKUP(Tableau118[[#This Row],[Key(POD -PFI- Usine)]],'DATA Consignee'!A:N,14,FALSE)</f>
        <v>#N/A</v>
      </c>
      <c r="AR3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" s="50" t="e">
        <f ca="1">Tableau118[[#This Row],[Transit time]]+Tableau118[[#This Row],[Time for security]]+Tableau118[[#This Row],[Time for security2 buffer]]</f>
        <v>#N/A</v>
      </c>
      <c r="AU3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" s="389" t="e">
        <f ca="1">Tableau118[[#This Row],[Leadtime SI2C]]+Tableau118[[#This Row],[First Receipt Days]]-Tableau118[[#This Row],[Day Customer Order]]+1</f>
        <v>#N/A</v>
      </c>
      <c r="AW34" s="117" t="e">
        <f ca="1">IF(Tableau118[[#This Row],[Name ILN]]&lt;&gt;"SFK Freight Forwarder",Tableau118[[#This Row],[Cust. Leadtime]],Tableau118[[#This Row],[Leadtime SI2C]])</f>
        <v>#N/A</v>
      </c>
      <c r="AX34" s="51" t="e">
        <f>VLOOKUP(Tableau118[[#This Row],[ID]],'DATA BTO'!B:P,15,FALSE)</f>
        <v>#N/A</v>
      </c>
      <c r="AY34" s="328" t="e">
        <f ca="1">IFERROR(VLOOKUP(Tableau118[[#This Row],[Key(ID-Actif)]],'DATA BTO'!A:N,4,FALSE),VLOOKUP(Tableau118[[#This Row],[ID]],'DATA BTO'!B:N,3,FALSE))</f>
        <v>#N/A</v>
      </c>
      <c r="AZ3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" s="50"/>
    </row>
    <row r="35" spans="2:57">
      <c r="B35" s="65" t="str">
        <f>_xlfn.CONCAT(Tableau118[[#This Row],[Name ILN]],"-",Tableau118[[#This Row],[Name Shipper]],"-",Tableau118[[#This Row],[Name Site]])</f>
        <v>--</v>
      </c>
      <c r="C35" s="65" t="e">
        <f ca="1">_xlfn.CONCAT(Tableau118[[#This Row],[Compte ILN]],"-",Tableau118[[#This Row],[Compte Shipper]],"-",Tableau118[[#This Row],[POL]],"-",Tableau118[[#This Row],[Compte Site]])</f>
        <v>#N/A</v>
      </c>
      <c r="D35" s="64" t="e">
        <f ca="1">_xlfn.CONCAT(Tableau118[[#This Row],[Compte ILN]],"-",Tableau118[[#This Row],[Compte Shipper]],"-",Tableau118[[#This Row],[POL]])</f>
        <v>#N/A</v>
      </c>
      <c r="E35" s="396" t="e">
        <f ca="1">_xlfn.CONCAT(Tableau118[[#This Row],[POL]],"-",Tableau118[[#This Row],[Carrier]],"-",Tableau118[[#This Row],[POD]])</f>
        <v>#N/A</v>
      </c>
      <c r="F35" s="64" t="str">
        <f>_xlfn.CONCAT(Tableau118[[#This Row],[ID]],"-","Next")</f>
        <v>-Next</v>
      </c>
      <c r="G35" s="64" t="e">
        <f ca="1">_xlfn.CONCAT(Tableau118[[#This Row],[POD]],"-",Tableau118[[#This Row],[Code PFI]],"-",Tableau118[[#This Row],[Compte Site]])</f>
        <v>#N/A</v>
      </c>
      <c r="H3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" s="397" t="str">
        <f ca="1">IF(COUNTIF(I:I,Tableau118[[#This Row],[Plant-ILN-shipper-POL-Carrier-POD-PFI]])=1,"Non","Oui")</f>
        <v>Oui</v>
      </c>
      <c r="K35" s="398" t="e">
        <f>VLOOKUP(Tableau118[[#This Row],[Name Site]],Plant_AILN!A:D,4,FALSE)</f>
        <v>#N/A</v>
      </c>
      <c r="L35" s="363"/>
      <c r="M35" s="480"/>
      <c r="N35" s="55"/>
      <c r="O35" s="114"/>
      <c r="P35" s="481"/>
      <c r="Q35" s="50"/>
      <c r="R35" s="50"/>
      <c r="S35" s="50"/>
      <c r="T35" s="50"/>
      <c r="U35" s="50"/>
      <c r="V35" s="50"/>
      <c r="W35" s="53"/>
      <c r="X35" s="283"/>
      <c r="Y35" s="482">
        <f>IFERROR(VLOOKUP(Tableau118[[#This Row],[Name Shipper]],Plant_AILN!L:M,2,FALSE),0)</f>
        <v>0</v>
      </c>
      <c r="Z35" s="358"/>
      <c r="AA35" s="353" t="e">
        <f ca="1">VLOOKUP(Tableau118[[#This Row],[Key(ID-Actif)]],'DATA BTO'!A:N,5,FALSE)</f>
        <v>#N/A</v>
      </c>
      <c r="AB35" s="3" t="e">
        <f ca="1">VLOOKUP(Tableau118[[#This Row],[Key(ID-Actif)]],'DATA BTO'!A:N,6,FALSE)</f>
        <v>#N/A</v>
      </c>
      <c r="AC35" s="50" t="e">
        <f ca="1">VLOOKUP(Tableau118[[#This Row],[Key(ID-Actif)]],'DATA BTO'!A:N,7,FALSE)</f>
        <v>#N/A</v>
      </c>
      <c r="AD35" s="50" t="e">
        <f ca="1">VLOOKUP(Tableau118[[#This Row],[Key(ID-Actif)]],'DATA BTO'!A:N,8,FALSE)</f>
        <v>#N/A</v>
      </c>
      <c r="AE35" s="50" t="e">
        <f ca="1">IF(Tableau118[[#This Row],[First Day to POL]]&lt;=Tableau118[[#This Row],[Day Cut Off]],Tableau118[[#This Row],[Day ETD]],Tableau118[[#This Row],[Day ETD]]+7)</f>
        <v>#N/A</v>
      </c>
      <c r="AF35" s="50" t="e">
        <f ca="1">VLOOKUP(Tableau118[[#This Row],[Key(ID-Actif)]],'DATA BTO'!A:N,9,FALSE)</f>
        <v>#N/A</v>
      </c>
      <c r="AG35" s="3" t="e">
        <f ca="1">VLOOKUP(Tableau118[[#This Row],[Key(ID-Actif)]],'DATA BTO'!A:N,10,FALSE)</f>
        <v>#N/A</v>
      </c>
      <c r="AH35" s="3" t="e">
        <f ca="1">VLOOKUP(Tableau118[[#This Row],[Key(ID-Actif)]],'DATA BTO'!A:N,11,FALSE)</f>
        <v>#N/A</v>
      </c>
      <c r="AI35" s="50" t="e">
        <f ca="1">VLOOKUP(Tableau118[[#This Row],[Key(ID-Actif)]],'DATA BTO'!A:N,12,FALSE)</f>
        <v>#N/A</v>
      </c>
      <c r="AJ35" s="53" t="e">
        <f ca="1">VLOOKUP(Tableau118[[#This Row],[Key(ID-Actif)]],'DATA BTO'!A:N,14,FALSE)</f>
        <v>#N/A</v>
      </c>
      <c r="AK35" s="54" t="e">
        <f ca="1">VLOOKUP(Tableau118[[#This Row],[Key(POD -PFI- Usine)]],'DATA Consignee'!A:F,6,FALSE)</f>
        <v>#N/A</v>
      </c>
      <c r="AL35" s="125" t="s">
        <v>153</v>
      </c>
      <c r="AM35" s="483">
        <f>IF(Tableau118[[#This Row],[Name PFI/CDD]]="","-",VLOOKUP(Tableau118[[#This Row],[Name PFI/CDD]],Plant_AILN!I:J,2,FALSE))</f>
        <v>90016600</v>
      </c>
      <c r="AN3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" s="2" t="e">
        <f ca="1">VLOOKUP(Tableau118[[#This Row],[Key(POD -PFI- Usine)]],'DATA Consignee'!A:J,10,FALSE)</f>
        <v>#N/A</v>
      </c>
      <c r="AQ35" s="50" t="e">
        <f ca="1">VLOOKUP(Tableau118[[#This Row],[Key(POD -PFI- Usine)]],'DATA Consignee'!A:N,14,FALSE)</f>
        <v>#N/A</v>
      </c>
      <c r="AR3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" s="50" t="e">
        <f ca="1">Tableau118[[#This Row],[Transit time]]+Tableau118[[#This Row],[Time for security]]+Tableau118[[#This Row],[Time for security2 buffer]]</f>
        <v>#N/A</v>
      </c>
      <c r="AU3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" s="389" t="e">
        <f ca="1">Tableau118[[#This Row],[Leadtime SI2C]]+Tableau118[[#This Row],[First Receipt Days]]-Tableau118[[#This Row],[Day Customer Order]]+1</f>
        <v>#N/A</v>
      </c>
      <c r="AW35" s="117" t="e">
        <f ca="1">IF(Tableau118[[#This Row],[Name ILN]]&lt;&gt;"SFK Freight Forwarder",Tableau118[[#This Row],[Cust. Leadtime]],Tableau118[[#This Row],[Leadtime SI2C]])</f>
        <v>#N/A</v>
      </c>
      <c r="AX35" s="51" t="e">
        <f>VLOOKUP(Tableau118[[#This Row],[ID]],'DATA BTO'!B:P,15,FALSE)</f>
        <v>#N/A</v>
      </c>
      <c r="AY35" s="328" t="e">
        <f ca="1">IFERROR(VLOOKUP(Tableau118[[#This Row],[Key(ID-Actif)]],'DATA BTO'!A:N,4,FALSE),VLOOKUP(Tableau118[[#This Row],[ID]],'DATA BTO'!B:N,3,FALSE))</f>
        <v>#N/A</v>
      </c>
      <c r="AZ3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" s="50"/>
    </row>
    <row r="36" spans="2:57">
      <c r="B36" s="65" t="str">
        <f>_xlfn.CONCAT(Tableau118[[#This Row],[Name ILN]],"-",Tableau118[[#This Row],[Name Shipper]],"-",Tableau118[[#This Row],[Name Site]])</f>
        <v>--</v>
      </c>
      <c r="C36" s="65" t="e">
        <f ca="1">_xlfn.CONCAT(Tableau118[[#This Row],[Compte ILN]],"-",Tableau118[[#This Row],[Compte Shipper]],"-",Tableau118[[#This Row],[POL]],"-",Tableau118[[#This Row],[Compte Site]])</f>
        <v>#N/A</v>
      </c>
      <c r="D36" s="64" t="e">
        <f ca="1">_xlfn.CONCAT(Tableau118[[#This Row],[Compte ILN]],"-",Tableau118[[#This Row],[Compte Shipper]],"-",Tableau118[[#This Row],[POL]])</f>
        <v>#N/A</v>
      </c>
      <c r="E36" s="396" t="e">
        <f ca="1">_xlfn.CONCAT(Tableau118[[#This Row],[POL]],"-",Tableau118[[#This Row],[Carrier]],"-",Tableau118[[#This Row],[POD]])</f>
        <v>#N/A</v>
      </c>
      <c r="F36" s="64" t="str">
        <f>_xlfn.CONCAT(Tableau118[[#This Row],[ID]],"-","Next")</f>
        <v>-Next</v>
      </c>
      <c r="G36" s="64" t="e">
        <f ca="1">_xlfn.CONCAT(Tableau118[[#This Row],[POD]],"-",Tableau118[[#This Row],[Code PFI]],"-",Tableau118[[#This Row],[Compte Site]])</f>
        <v>#N/A</v>
      </c>
      <c r="H3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" s="397" t="str">
        <f ca="1">IF(COUNTIF(I:I,Tableau118[[#This Row],[Plant-ILN-shipper-POL-Carrier-POD-PFI]])=1,"Non","Oui")</f>
        <v>Oui</v>
      </c>
      <c r="K36" s="398" t="e">
        <f>VLOOKUP(Tableau118[[#This Row],[Name Site]],Plant_AILN!A:D,4,FALSE)</f>
        <v>#N/A</v>
      </c>
      <c r="L36" s="285"/>
      <c r="M36" s="480"/>
      <c r="N36" s="55"/>
      <c r="O36" s="114"/>
      <c r="P36" s="481"/>
      <c r="Q36" s="50"/>
      <c r="R36" s="50"/>
      <c r="S36" s="50"/>
      <c r="T36" s="50"/>
      <c r="U36" s="50"/>
      <c r="V36" s="50"/>
      <c r="W36" s="53"/>
      <c r="X36" s="283"/>
      <c r="Y36" s="482">
        <f>IFERROR(VLOOKUP(Tableau118[[#This Row],[Name Shipper]],Plant_AILN!L:M,2,FALSE),0)</f>
        <v>0</v>
      </c>
      <c r="Z36" s="358"/>
      <c r="AA36" s="353" t="e">
        <f ca="1">VLOOKUP(Tableau118[[#This Row],[Key(ID-Actif)]],'DATA BTO'!A:N,5,FALSE)</f>
        <v>#N/A</v>
      </c>
      <c r="AB36" s="3" t="e">
        <f ca="1">VLOOKUP(Tableau118[[#This Row],[Key(ID-Actif)]],'DATA BTO'!A:N,6,FALSE)</f>
        <v>#N/A</v>
      </c>
      <c r="AC36" s="50" t="e">
        <f ca="1">VLOOKUP(Tableau118[[#This Row],[Key(ID-Actif)]],'DATA BTO'!A:N,7,FALSE)</f>
        <v>#N/A</v>
      </c>
      <c r="AD36" s="50" t="e">
        <f ca="1">VLOOKUP(Tableau118[[#This Row],[Key(ID-Actif)]],'DATA BTO'!A:N,8,FALSE)</f>
        <v>#N/A</v>
      </c>
      <c r="AE36" s="50" t="e">
        <f ca="1">IF(Tableau118[[#This Row],[First Day to POL]]&lt;=Tableau118[[#This Row],[Day Cut Off]],Tableau118[[#This Row],[Day ETD]],Tableau118[[#This Row],[Day ETD]]+7)</f>
        <v>#N/A</v>
      </c>
      <c r="AF36" s="50" t="e">
        <f ca="1">VLOOKUP(Tableau118[[#This Row],[Key(ID-Actif)]],'DATA BTO'!A:N,9,FALSE)</f>
        <v>#N/A</v>
      </c>
      <c r="AG36" s="3" t="e">
        <f ca="1">VLOOKUP(Tableau118[[#This Row],[Key(ID-Actif)]],'DATA BTO'!A:N,10,FALSE)</f>
        <v>#N/A</v>
      </c>
      <c r="AH36" s="3" t="e">
        <f ca="1">VLOOKUP(Tableau118[[#This Row],[Key(ID-Actif)]],'DATA BTO'!A:N,11,FALSE)</f>
        <v>#N/A</v>
      </c>
      <c r="AI36" s="50" t="e">
        <f ca="1">VLOOKUP(Tableau118[[#This Row],[Key(ID-Actif)]],'DATA BTO'!A:N,12,FALSE)</f>
        <v>#N/A</v>
      </c>
      <c r="AJ36" s="53" t="e">
        <f ca="1">VLOOKUP(Tableau118[[#This Row],[Key(ID-Actif)]],'DATA BTO'!A:N,14,FALSE)</f>
        <v>#N/A</v>
      </c>
      <c r="AK36" s="54" t="e">
        <f ca="1">VLOOKUP(Tableau118[[#This Row],[Key(POD -PFI- Usine)]],'DATA Consignee'!A:F,6,FALSE)</f>
        <v>#N/A</v>
      </c>
      <c r="AL36" s="125"/>
      <c r="AM36" s="483" t="str">
        <f>IF(Tableau118[[#This Row],[Name PFI/CDD]]="","-",VLOOKUP(Tableau118[[#This Row],[Name PFI/CDD]],Plant_AILN!I:J,2,FALSE))</f>
        <v>-</v>
      </c>
      <c r="AN3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" s="2" t="e">
        <f ca="1">VLOOKUP(Tableau118[[#This Row],[Key(POD -PFI- Usine)]],'DATA Consignee'!A:J,10,FALSE)</f>
        <v>#N/A</v>
      </c>
      <c r="AQ36" s="50" t="e">
        <f ca="1">VLOOKUP(Tableau118[[#This Row],[Key(POD -PFI- Usine)]],'DATA Consignee'!A:N,14,FALSE)</f>
        <v>#N/A</v>
      </c>
      <c r="AR3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" s="50" t="e">
        <f ca="1">Tableau118[[#This Row],[Transit time]]+Tableau118[[#This Row],[Time for security]]+Tableau118[[#This Row],[Time for security2 buffer]]</f>
        <v>#N/A</v>
      </c>
      <c r="AU3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" s="389" t="e">
        <f ca="1">Tableau118[[#This Row],[Leadtime SI2C]]+Tableau118[[#This Row],[First Receipt Days]]-Tableau118[[#This Row],[Day Customer Order]]+1</f>
        <v>#N/A</v>
      </c>
      <c r="AW36" s="117" t="e">
        <f ca="1">IF(Tableau118[[#This Row],[Name ILN]]&lt;&gt;"SFK Freight Forwarder",Tableau118[[#This Row],[Cust. Leadtime]],Tableau118[[#This Row],[Leadtime SI2C]])</f>
        <v>#N/A</v>
      </c>
      <c r="AX36" s="51" t="e">
        <f>VLOOKUP(Tableau118[[#This Row],[ID]],'DATA BTO'!B:P,15,FALSE)</f>
        <v>#N/A</v>
      </c>
      <c r="AY36" s="328" t="e">
        <f ca="1">IFERROR(VLOOKUP(Tableau118[[#This Row],[Key(ID-Actif)]],'DATA BTO'!A:N,4,FALSE),VLOOKUP(Tableau118[[#This Row],[ID]],'DATA BTO'!B:N,3,FALSE))</f>
        <v>#N/A</v>
      </c>
      <c r="AZ3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" s="50"/>
    </row>
    <row r="37" spans="2:57">
      <c r="B37" s="65" t="str">
        <f>_xlfn.CONCAT(Tableau118[[#This Row],[Name ILN]],"-",Tableau118[[#This Row],[Name Shipper]],"-",Tableau118[[#This Row],[Name Site]])</f>
        <v>--</v>
      </c>
      <c r="C37" s="65" t="e">
        <f ca="1">_xlfn.CONCAT(Tableau118[[#This Row],[Compte ILN]],"-",Tableau118[[#This Row],[Compte Shipper]],"-",Tableau118[[#This Row],[POL]],"-",Tableau118[[#This Row],[Compte Site]])</f>
        <v>#N/A</v>
      </c>
      <c r="D37" s="64" t="e">
        <f ca="1">_xlfn.CONCAT(Tableau118[[#This Row],[Compte ILN]],"-",Tableau118[[#This Row],[Compte Shipper]],"-",Tableau118[[#This Row],[POL]])</f>
        <v>#N/A</v>
      </c>
      <c r="E37" s="396" t="e">
        <f ca="1">_xlfn.CONCAT(Tableau118[[#This Row],[POL]],"-",Tableau118[[#This Row],[Carrier]],"-",Tableau118[[#This Row],[POD]])</f>
        <v>#N/A</v>
      </c>
      <c r="F37" s="64" t="str">
        <f>_xlfn.CONCAT(Tableau118[[#This Row],[ID]],"-","Next")</f>
        <v>-Next</v>
      </c>
      <c r="G37" s="64" t="e">
        <f ca="1">_xlfn.CONCAT(Tableau118[[#This Row],[POD]],"-",Tableau118[[#This Row],[Code PFI]],"-",Tableau118[[#This Row],[Compte Site]])</f>
        <v>#N/A</v>
      </c>
      <c r="H3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" s="397" t="str">
        <f ca="1">IF(COUNTIF(I:I,Tableau118[[#This Row],[Plant-ILN-shipper-POL-Carrier-POD-PFI]])=1,"Non","Oui")</f>
        <v>Oui</v>
      </c>
      <c r="K37" s="398" t="e">
        <f>VLOOKUP(Tableau118[[#This Row],[Name Site]],Plant_AILN!A:D,4,FALSE)</f>
        <v>#N/A</v>
      </c>
      <c r="L37" s="285"/>
      <c r="M37" s="480"/>
      <c r="N37" s="55"/>
      <c r="O37" s="114"/>
      <c r="P37" s="481"/>
      <c r="Q37" s="50"/>
      <c r="R37" s="50"/>
      <c r="S37" s="50"/>
      <c r="T37" s="50"/>
      <c r="U37" s="50"/>
      <c r="V37" s="50"/>
      <c r="W37" s="53"/>
      <c r="X37" s="283"/>
      <c r="Y37" s="482">
        <f>IFERROR(VLOOKUP(Tableau118[[#This Row],[Name Shipper]],Plant_AILN!L:M,2,FALSE),0)</f>
        <v>0</v>
      </c>
      <c r="Z37" s="358"/>
      <c r="AA37" s="353" t="e">
        <f ca="1">VLOOKUP(Tableau118[[#This Row],[Key(ID-Actif)]],'DATA BTO'!A:N,5,FALSE)</f>
        <v>#N/A</v>
      </c>
      <c r="AB37" s="3" t="e">
        <f ca="1">VLOOKUP(Tableau118[[#This Row],[Key(ID-Actif)]],'DATA BTO'!A:N,6,FALSE)</f>
        <v>#N/A</v>
      </c>
      <c r="AC37" s="50" t="e">
        <f ca="1">VLOOKUP(Tableau118[[#This Row],[Key(ID-Actif)]],'DATA BTO'!A:N,7,FALSE)</f>
        <v>#N/A</v>
      </c>
      <c r="AD37" s="50" t="e">
        <f ca="1">VLOOKUP(Tableau118[[#This Row],[Key(ID-Actif)]],'DATA BTO'!A:N,8,FALSE)</f>
        <v>#N/A</v>
      </c>
      <c r="AE37" s="50" t="e">
        <f ca="1">IF(Tableau118[[#This Row],[First Day to POL]]&lt;=Tableau118[[#This Row],[Day Cut Off]],Tableau118[[#This Row],[Day ETD]],Tableau118[[#This Row],[Day ETD]]+7)</f>
        <v>#N/A</v>
      </c>
      <c r="AF37" s="50" t="e">
        <f ca="1">VLOOKUP(Tableau118[[#This Row],[Key(ID-Actif)]],'DATA BTO'!A:N,9,FALSE)</f>
        <v>#N/A</v>
      </c>
      <c r="AG37" s="3" t="e">
        <f ca="1">VLOOKUP(Tableau118[[#This Row],[Key(ID-Actif)]],'DATA BTO'!A:N,10,FALSE)</f>
        <v>#N/A</v>
      </c>
      <c r="AH37" s="3" t="e">
        <f ca="1">VLOOKUP(Tableau118[[#This Row],[Key(ID-Actif)]],'DATA BTO'!A:N,11,FALSE)</f>
        <v>#N/A</v>
      </c>
      <c r="AI37" s="50" t="e">
        <f ca="1">VLOOKUP(Tableau118[[#This Row],[Key(ID-Actif)]],'DATA BTO'!A:N,12,FALSE)</f>
        <v>#N/A</v>
      </c>
      <c r="AJ37" s="53" t="e">
        <f ca="1">VLOOKUP(Tableau118[[#This Row],[Key(ID-Actif)]],'DATA BTO'!A:N,14,FALSE)</f>
        <v>#N/A</v>
      </c>
      <c r="AK37" s="54" t="e">
        <f ca="1">VLOOKUP(Tableau118[[#This Row],[Key(POD -PFI- Usine)]],'DATA Consignee'!A:F,6,FALSE)</f>
        <v>#N/A</v>
      </c>
      <c r="AL37" s="125"/>
      <c r="AM37" s="483" t="str">
        <f>IF(Tableau118[[#This Row],[Name PFI/CDD]]="","-",VLOOKUP(Tableau118[[#This Row],[Name PFI/CDD]],Plant_AILN!I:J,2,FALSE))</f>
        <v>-</v>
      </c>
      <c r="AN3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" s="2" t="e">
        <f ca="1">VLOOKUP(Tableau118[[#This Row],[Key(POD -PFI- Usine)]],'DATA Consignee'!A:J,10,FALSE)</f>
        <v>#N/A</v>
      </c>
      <c r="AQ37" s="50" t="e">
        <f ca="1">VLOOKUP(Tableau118[[#This Row],[Key(POD -PFI- Usine)]],'DATA Consignee'!A:N,14,FALSE)</f>
        <v>#N/A</v>
      </c>
      <c r="AR3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" s="50" t="e">
        <f ca="1">Tableau118[[#This Row],[Transit time]]+Tableau118[[#This Row],[Time for security]]+Tableau118[[#This Row],[Time for security2 buffer]]</f>
        <v>#N/A</v>
      </c>
      <c r="AU3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" s="389" t="e">
        <f ca="1">Tableau118[[#This Row],[Leadtime SI2C]]+Tableau118[[#This Row],[First Receipt Days]]-Tableau118[[#This Row],[Day Customer Order]]+1</f>
        <v>#N/A</v>
      </c>
      <c r="AW37" s="117" t="e">
        <f ca="1">IF(Tableau118[[#This Row],[Name ILN]]&lt;&gt;"SFK Freight Forwarder",Tableau118[[#This Row],[Cust. Leadtime]],Tableau118[[#This Row],[Leadtime SI2C]])</f>
        <v>#N/A</v>
      </c>
      <c r="AX37" s="51" t="e">
        <f>VLOOKUP(Tableau118[[#This Row],[ID]],'DATA BTO'!B:P,15,FALSE)</f>
        <v>#N/A</v>
      </c>
      <c r="AY37" s="328" t="e">
        <f ca="1">IFERROR(VLOOKUP(Tableau118[[#This Row],[Key(ID-Actif)]],'DATA BTO'!A:N,4,FALSE),VLOOKUP(Tableau118[[#This Row],[ID]],'DATA BTO'!B:N,3,FALSE))</f>
        <v>#N/A</v>
      </c>
      <c r="AZ3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" s="50"/>
    </row>
    <row r="38" spans="2:57">
      <c r="B38" s="65" t="str">
        <f>_xlfn.CONCAT(Tableau118[[#This Row],[Name ILN]],"-",Tableau118[[#This Row],[Name Shipper]],"-",Tableau118[[#This Row],[Name Site]])</f>
        <v>--</v>
      </c>
      <c r="C38" s="65" t="e">
        <f ca="1">_xlfn.CONCAT(Tableau118[[#This Row],[Compte ILN]],"-",Tableau118[[#This Row],[Compte Shipper]],"-",Tableau118[[#This Row],[POL]],"-",Tableau118[[#This Row],[Compte Site]])</f>
        <v>#N/A</v>
      </c>
      <c r="D38" s="64" t="e">
        <f ca="1">_xlfn.CONCAT(Tableau118[[#This Row],[Compte ILN]],"-",Tableau118[[#This Row],[Compte Shipper]],"-",Tableau118[[#This Row],[POL]])</f>
        <v>#N/A</v>
      </c>
      <c r="E38" s="396" t="e">
        <f ca="1">_xlfn.CONCAT(Tableau118[[#This Row],[POL]],"-",Tableau118[[#This Row],[Carrier]],"-",Tableau118[[#This Row],[POD]])</f>
        <v>#N/A</v>
      </c>
      <c r="F38" s="64" t="str">
        <f>_xlfn.CONCAT(Tableau118[[#This Row],[ID]],"-","Next")</f>
        <v>-Next</v>
      </c>
      <c r="G38" s="64" t="e">
        <f ca="1">_xlfn.CONCAT(Tableau118[[#This Row],[POD]],"-",Tableau118[[#This Row],[Code PFI]],"-",Tableau118[[#This Row],[Compte Site]])</f>
        <v>#N/A</v>
      </c>
      <c r="H3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" s="397" t="str">
        <f ca="1">IF(COUNTIF(I:I,Tableau118[[#This Row],[Plant-ILN-shipper-POL-Carrier-POD-PFI]])=1,"Non","Oui")</f>
        <v>Oui</v>
      </c>
      <c r="K38" s="398" t="e">
        <f>VLOOKUP(Tableau118[[#This Row],[Name Site]],Plant_AILN!A:D,4,FALSE)</f>
        <v>#N/A</v>
      </c>
      <c r="L38" s="285"/>
      <c r="M38" s="480"/>
      <c r="N38" s="55"/>
      <c r="O38" s="114"/>
      <c r="P38" s="481"/>
      <c r="Q38" s="50"/>
      <c r="R38" s="50"/>
      <c r="S38" s="50"/>
      <c r="T38" s="50"/>
      <c r="U38" s="50"/>
      <c r="V38" s="50"/>
      <c r="W38" s="53"/>
      <c r="X38" s="283"/>
      <c r="Y38" s="482">
        <f>IFERROR(VLOOKUP(Tableau118[[#This Row],[Name Shipper]],Plant_AILN!L:M,2,FALSE),0)</f>
        <v>0</v>
      </c>
      <c r="Z38" s="358"/>
      <c r="AA38" s="353" t="e">
        <f ca="1">VLOOKUP(Tableau118[[#This Row],[Key(ID-Actif)]],'DATA BTO'!A:N,5,FALSE)</f>
        <v>#N/A</v>
      </c>
      <c r="AB38" s="3" t="e">
        <f ca="1">VLOOKUP(Tableau118[[#This Row],[Key(ID-Actif)]],'DATA BTO'!A:N,6,FALSE)</f>
        <v>#N/A</v>
      </c>
      <c r="AC38" s="50" t="e">
        <f ca="1">VLOOKUP(Tableau118[[#This Row],[Key(ID-Actif)]],'DATA BTO'!A:N,7,FALSE)</f>
        <v>#N/A</v>
      </c>
      <c r="AD38" s="50" t="e">
        <f ca="1">VLOOKUP(Tableau118[[#This Row],[Key(ID-Actif)]],'DATA BTO'!A:N,8,FALSE)</f>
        <v>#N/A</v>
      </c>
      <c r="AE38" s="50" t="e">
        <f ca="1">IF(Tableau118[[#This Row],[First Day to POL]]&lt;=Tableau118[[#This Row],[Day Cut Off]],Tableau118[[#This Row],[Day ETD]],Tableau118[[#This Row],[Day ETD]]+7)</f>
        <v>#N/A</v>
      </c>
      <c r="AF38" s="50" t="e">
        <f ca="1">VLOOKUP(Tableau118[[#This Row],[Key(ID-Actif)]],'DATA BTO'!A:N,9,FALSE)</f>
        <v>#N/A</v>
      </c>
      <c r="AG38" s="3" t="e">
        <f ca="1">VLOOKUP(Tableau118[[#This Row],[Key(ID-Actif)]],'DATA BTO'!A:N,10,FALSE)</f>
        <v>#N/A</v>
      </c>
      <c r="AH38" s="3" t="e">
        <f ca="1">VLOOKUP(Tableau118[[#This Row],[Key(ID-Actif)]],'DATA BTO'!A:N,11,FALSE)</f>
        <v>#N/A</v>
      </c>
      <c r="AI38" s="50" t="e">
        <f ca="1">VLOOKUP(Tableau118[[#This Row],[Key(ID-Actif)]],'DATA BTO'!A:N,12,FALSE)</f>
        <v>#N/A</v>
      </c>
      <c r="AJ38" s="53" t="e">
        <f ca="1">VLOOKUP(Tableau118[[#This Row],[Key(ID-Actif)]],'DATA BTO'!A:N,14,FALSE)</f>
        <v>#N/A</v>
      </c>
      <c r="AK38" s="54" t="e">
        <f ca="1">VLOOKUP(Tableau118[[#This Row],[Key(POD -PFI- Usine)]],'DATA Consignee'!A:F,6,FALSE)</f>
        <v>#N/A</v>
      </c>
      <c r="AL38" s="125"/>
      <c r="AM38" s="483" t="str">
        <f>IF(Tableau118[[#This Row],[Name PFI/CDD]]="","-",VLOOKUP(Tableau118[[#This Row],[Name PFI/CDD]],Plant_AILN!I:J,2,FALSE))</f>
        <v>-</v>
      </c>
      <c r="AN3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" s="2" t="e">
        <f ca="1">VLOOKUP(Tableau118[[#This Row],[Key(POD -PFI- Usine)]],'DATA Consignee'!A:J,10,FALSE)</f>
        <v>#N/A</v>
      </c>
      <c r="AQ38" s="50" t="e">
        <f ca="1">VLOOKUP(Tableau118[[#This Row],[Key(POD -PFI- Usine)]],'DATA Consignee'!A:N,14,FALSE)</f>
        <v>#N/A</v>
      </c>
      <c r="AR3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" s="50" t="e">
        <f ca="1">Tableau118[[#This Row],[Transit time]]+Tableau118[[#This Row],[Time for security]]+Tableau118[[#This Row],[Time for security2 buffer]]</f>
        <v>#N/A</v>
      </c>
      <c r="AU3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" s="389" t="e">
        <f ca="1">Tableau118[[#This Row],[Leadtime SI2C]]+Tableau118[[#This Row],[First Receipt Days]]-Tableau118[[#This Row],[Day Customer Order]]+1</f>
        <v>#N/A</v>
      </c>
      <c r="AW38" s="117" t="e">
        <f ca="1">IF(Tableau118[[#This Row],[Name ILN]]&lt;&gt;"SFK Freight Forwarder",Tableau118[[#This Row],[Cust. Leadtime]],Tableau118[[#This Row],[Leadtime SI2C]])</f>
        <v>#N/A</v>
      </c>
      <c r="AX38" s="51" t="e">
        <f>VLOOKUP(Tableau118[[#This Row],[ID]],'DATA BTO'!B:P,15,FALSE)</f>
        <v>#N/A</v>
      </c>
      <c r="AY38" s="328" t="e">
        <f ca="1">IFERROR(VLOOKUP(Tableau118[[#This Row],[Key(ID-Actif)]],'DATA BTO'!A:N,4,FALSE),VLOOKUP(Tableau118[[#This Row],[ID]],'DATA BTO'!B:N,3,FALSE))</f>
        <v>#N/A</v>
      </c>
      <c r="AZ3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" s="50"/>
    </row>
    <row r="39" spans="2:57">
      <c r="B39" s="65" t="str">
        <f>_xlfn.CONCAT(Tableau118[[#This Row],[Name ILN]],"-",Tableau118[[#This Row],[Name Shipper]],"-",Tableau118[[#This Row],[Name Site]])</f>
        <v>--</v>
      </c>
      <c r="C39" s="65" t="e">
        <f ca="1">_xlfn.CONCAT(Tableau118[[#This Row],[Compte ILN]],"-",Tableau118[[#This Row],[Compte Shipper]],"-",Tableau118[[#This Row],[POL]],"-",Tableau118[[#This Row],[Compte Site]])</f>
        <v>#N/A</v>
      </c>
      <c r="D39" s="64" t="e">
        <f ca="1">_xlfn.CONCAT(Tableau118[[#This Row],[Compte ILN]],"-",Tableau118[[#This Row],[Compte Shipper]],"-",Tableau118[[#This Row],[POL]])</f>
        <v>#N/A</v>
      </c>
      <c r="E39" s="396" t="e">
        <f ca="1">_xlfn.CONCAT(Tableau118[[#This Row],[POL]],"-",Tableau118[[#This Row],[Carrier]],"-",Tableau118[[#This Row],[POD]])</f>
        <v>#N/A</v>
      </c>
      <c r="F39" s="64" t="str">
        <f>_xlfn.CONCAT(Tableau118[[#This Row],[ID]],"-","Next")</f>
        <v>-Next</v>
      </c>
      <c r="G39" s="64" t="e">
        <f ca="1">_xlfn.CONCAT(Tableau118[[#This Row],[POD]],"-",Tableau118[[#This Row],[Code PFI]],"-",Tableau118[[#This Row],[Compte Site]])</f>
        <v>#N/A</v>
      </c>
      <c r="H3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" s="397" t="str">
        <f ca="1">IF(COUNTIF(I:I,Tableau118[[#This Row],[Plant-ILN-shipper-POL-Carrier-POD-PFI]])=1,"Non","Oui")</f>
        <v>Oui</v>
      </c>
      <c r="K39" s="398" t="e">
        <f>VLOOKUP(Tableau118[[#This Row],[Name Site]],Plant_AILN!A:D,4,FALSE)</f>
        <v>#N/A</v>
      </c>
      <c r="L39" s="285"/>
      <c r="M39" s="480"/>
      <c r="N39" s="55"/>
      <c r="O39" s="114"/>
      <c r="P39" s="481"/>
      <c r="Q39" s="50"/>
      <c r="R39" s="50"/>
      <c r="S39" s="50"/>
      <c r="T39" s="50"/>
      <c r="U39" s="50"/>
      <c r="V39" s="50"/>
      <c r="W39" s="53"/>
      <c r="X39" s="283"/>
      <c r="Y39" s="482">
        <f>IFERROR(VLOOKUP(Tableau118[[#This Row],[Name Shipper]],Plant_AILN!L:M,2,FALSE),0)</f>
        <v>0</v>
      </c>
      <c r="Z39" s="358"/>
      <c r="AA39" s="353" t="e">
        <f ca="1">VLOOKUP(Tableau118[[#This Row],[Key(ID-Actif)]],'DATA BTO'!A:N,5,FALSE)</f>
        <v>#N/A</v>
      </c>
      <c r="AB39" s="3" t="e">
        <f ca="1">VLOOKUP(Tableau118[[#This Row],[Key(ID-Actif)]],'DATA BTO'!A:N,6,FALSE)</f>
        <v>#N/A</v>
      </c>
      <c r="AC39" s="50" t="e">
        <f ca="1">VLOOKUP(Tableau118[[#This Row],[Key(ID-Actif)]],'DATA BTO'!A:N,7,FALSE)</f>
        <v>#N/A</v>
      </c>
      <c r="AD39" s="50" t="e">
        <f ca="1">VLOOKUP(Tableau118[[#This Row],[Key(ID-Actif)]],'DATA BTO'!A:N,8,FALSE)</f>
        <v>#N/A</v>
      </c>
      <c r="AE39" s="50" t="e">
        <f ca="1">IF(Tableau118[[#This Row],[First Day to POL]]&lt;=Tableau118[[#This Row],[Day Cut Off]],Tableau118[[#This Row],[Day ETD]],Tableau118[[#This Row],[Day ETD]]+7)</f>
        <v>#N/A</v>
      </c>
      <c r="AF39" s="50" t="e">
        <f ca="1">VLOOKUP(Tableau118[[#This Row],[Key(ID-Actif)]],'DATA BTO'!A:N,9,FALSE)</f>
        <v>#N/A</v>
      </c>
      <c r="AG39" s="3" t="e">
        <f ca="1">VLOOKUP(Tableau118[[#This Row],[Key(ID-Actif)]],'DATA BTO'!A:N,10,FALSE)</f>
        <v>#N/A</v>
      </c>
      <c r="AH39" s="3" t="e">
        <f ca="1">VLOOKUP(Tableau118[[#This Row],[Key(ID-Actif)]],'DATA BTO'!A:N,11,FALSE)</f>
        <v>#N/A</v>
      </c>
      <c r="AI39" s="50" t="e">
        <f ca="1">VLOOKUP(Tableau118[[#This Row],[Key(ID-Actif)]],'DATA BTO'!A:N,12,FALSE)</f>
        <v>#N/A</v>
      </c>
      <c r="AJ39" s="53" t="e">
        <f ca="1">VLOOKUP(Tableau118[[#This Row],[Key(ID-Actif)]],'DATA BTO'!A:N,14,FALSE)</f>
        <v>#N/A</v>
      </c>
      <c r="AK39" s="54" t="e">
        <f ca="1">VLOOKUP(Tableau118[[#This Row],[Key(POD -PFI- Usine)]],'DATA Consignee'!A:F,6,FALSE)</f>
        <v>#N/A</v>
      </c>
      <c r="AL39" s="125"/>
      <c r="AM39" s="483" t="str">
        <f>IF(Tableau118[[#This Row],[Name PFI/CDD]]="","-",VLOOKUP(Tableau118[[#This Row],[Name PFI/CDD]],Plant_AILN!I:J,2,FALSE))</f>
        <v>-</v>
      </c>
      <c r="AN3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" s="2" t="e">
        <f ca="1">VLOOKUP(Tableau118[[#This Row],[Key(POD -PFI- Usine)]],'DATA Consignee'!A:J,10,FALSE)</f>
        <v>#N/A</v>
      </c>
      <c r="AQ39" s="50" t="e">
        <f ca="1">VLOOKUP(Tableau118[[#This Row],[Key(POD -PFI- Usine)]],'DATA Consignee'!A:N,14,FALSE)</f>
        <v>#N/A</v>
      </c>
      <c r="AR3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" s="50" t="e">
        <f ca="1">Tableau118[[#This Row],[Transit time]]+Tableau118[[#This Row],[Time for security]]+Tableau118[[#This Row],[Time for security2 buffer]]</f>
        <v>#N/A</v>
      </c>
      <c r="AU3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" s="389" t="e">
        <f ca="1">Tableau118[[#This Row],[Leadtime SI2C]]+Tableau118[[#This Row],[First Receipt Days]]-Tableau118[[#This Row],[Day Customer Order]]+1</f>
        <v>#N/A</v>
      </c>
      <c r="AW39" s="117" t="e">
        <f ca="1">IF(Tableau118[[#This Row],[Name ILN]]&lt;&gt;"SFK Freight Forwarder",Tableau118[[#This Row],[Cust. Leadtime]],Tableau118[[#This Row],[Leadtime SI2C]])</f>
        <v>#N/A</v>
      </c>
      <c r="AX39" s="51" t="e">
        <f>VLOOKUP(Tableau118[[#This Row],[ID]],'DATA BTO'!B:P,15,FALSE)</f>
        <v>#N/A</v>
      </c>
      <c r="AY39" s="328" t="e">
        <f ca="1">IFERROR(VLOOKUP(Tableau118[[#This Row],[Key(ID-Actif)]],'DATA BTO'!A:N,4,FALSE),VLOOKUP(Tableau118[[#This Row],[ID]],'DATA BTO'!B:N,3,FALSE))</f>
        <v>#N/A</v>
      </c>
      <c r="AZ3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" s="50"/>
    </row>
    <row r="40" spans="2:57">
      <c r="B40" s="65" t="str">
        <f>_xlfn.CONCAT(Tableau118[[#This Row],[Name ILN]],"-",Tableau118[[#This Row],[Name Shipper]],"-",Tableau118[[#This Row],[Name Site]])</f>
        <v>--</v>
      </c>
      <c r="C40" s="65" t="e">
        <f ca="1">_xlfn.CONCAT(Tableau118[[#This Row],[Compte ILN]],"-",Tableau118[[#This Row],[Compte Shipper]],"-",Tableau118[[#This Row],[POL]],"-",Tableau118[[#This Row],[Compte Site]])</f>
        <v>#N/A</v>
      </c>
      <c r="D40" s="64" t="e">
        <f ca="1">_xlfn.CONCAT(Tableau118[[#This Row],[Compte ILN]],"-",Tableau118[[#This Row],[Compte Shipper]],"-",Tableau118[[#This Row],[POL]])</f>
        <v>#N/A</v>
      </c>
      <c r="E40" s="396" t="e">
        <f ca="1">_xlfn.CONCAT(Tableau118[[#This Row],[POL]],"-",Tableau118[[#This Row],[Carrier]],"-",Tableau118[[#This Row],[POD]])</f>
        <v>#N/A</v>
      </c>
      <c r="F40" s="64" t="str">
        <f>_xlfn.CONCAT(Tableau118[[#This Row],[ID]],"-","Next")</f>
        <v>-Next</v>
      </c>
      <c r="G40" s="64" t="e">
        <f ca="1">_xlfn.CONCAT(Tableau118[[#This Row],[POD]],"-",Tableau118[[#This Row],[Code PFI]],"-",Tableau118[[#This Row],[Compte Site]])</f>
        <v>#N/A</v>
      </c>
      <c r="H4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0" s="397" t="str">
        <f ca="1">IF(COUNTIF(I:I,Tableau118[[#This Row],[Plant-ILN-shipper-POL-Carrier-POD-PFI]])=1,"Non","Oui")</f>
        <v>Oui</v>
      </c>
      <c r="K40" s="398" t="e">
        <f>VLOOKUP(Tableau118[[#This Row],[Name Site]],Plant_AILN!A:D,4,FALSE)</f>
        <v>#N/A</v>
      </c>
      <c r="L40" s="285"/>
      <c r="M40" s="480"/>
      <c r="N40" s="55"/>
      <c r="O40" s="114"/>
      <c r="P40" s="481"/>
      <c r="Q40" s="50"/>
      <c r="R40" s="50"/>
      <c r="S40" s="50"/>
      <c r="T40" s="50"/>
      <c r="U40" s="50"/>
      <c r="V40" s="50"/>
      <c r="W40" s="53"/>
      <c r="X40" s="283"/>
      <c r="Y40" s="482">
        <f>IFERROR(VLOOKUP(Tableau118[[#This Row],[Name Shipper]],Plant_AILN!L:M,2,FALSE),0)</f>
        <v>0</v>
      </c>
      <c r="Z40" s="358"/>
      <c r="AA40" s="353" t="e">
        <f ca="1">VLOOKUP(Tableau118[[#This Row],[Key(ID-Actif)]],'DATA BTO'!A:N,5,FALSE)</f>
        <v>#N/A</v>
      </c>
      <c r="AB40" s="3" t="e">
        <f ca="1">VLOOKUP(Tableau118[[#This Row],[Key(ID-Actif)]],'DATA BTO'!A:N,6,FALSE)</f>
        <v>#N/A</v>
      </c>
      <c r="AC40" s="50" t="e">
        <f ca="1">VLOOKUP(Tableau118[[#This Row],[Key(ID-Actif)]],'DATA BTO'!A:N,7,FALSE)</f>
        <v>#N/A</v>
      </c>
      <c r="AD40" s="50" t="e">
        <f ca="1">VLOOKUP(Tableau118[[#This Row],[Key(ID-Actif)]],'DATA BTO'!A:N,8,FALSE)</f>
        <v>#N/A</v>
      </c>
      <c r="AE40" s="50" t="e">
        <f ca="1">IF(Tableau118[[#This Row],[First Day to POL]]&lt;=Tableau118[[#This Row],[Day Cut Off]],Tableau118[[#This Row],[Day ETD]],Tableau118[[#This Row],[Day ETD]]+7)</f>
        <v>#N/A</v>
      </c>
      <c r="AF40" s="50" t="e">
        <f ca="1">VLOOKUP(Tableau118[[#This Row],[Key(ID-Actif)]],'DATA BTO'!A:N,9,FALSE)</f>
        <v>#N/A</v>
      </c>
      <c r="AG40" s="3" t="e">
        <f ca="1">VLOOKUP(Tableau118[[#This Row],[Key(ID-Actif)]],'DATA BTO'!A:N,10,FALSE)</f>
        <v>#N/A</v>
      </c>
      <c r="AH40" s="3" t="e">
        <f ca="1">VLOOKUP(Tableau118[[#This Row],[Key(ID-Actif)]],'DATA BTO'!A:N,11,FALSE)</f>
        <v>#N/A</v>
      </c>
      <c r="AI40" s="50" t="e">
        <f ca="1">VLOOKUP(Tableau118[[#This Row],[Key(ID-Actif)]],'DATA BTO'!A:N,12,FALSE)</f>
        <v>#N/A</v>
      </c>
      <c r="AJ40" s="53" t="e">
        <f ca="1">VLOOKUP(Tableau118[[#This Row],[Key(ID-Actif)]],'DATA BTO'!A:N,14,FALSE)</f>
        <v>#N/A</v>
      </c>
      <c r="AK40" s="54" t="e">
        <f ca="1">VLOOKUP(Tableau118[[#This Row],[Key(POD -PFI- Usine)]],'DATA Consignee'!A:F,6,FALSE)</f>
        <v>#N/A</v>
      </c>
      <c r="AL40" s="125"/>
      <c r="AM40" s="483" t="str">
        <f>IF(Tableau118[[#This Row],[Name PFI/CDD]]="","-",VLOOKUP(Tableau118[[#This Row],[Name PFI/CDD]],Plant_AILN!I:J,2,FALSE))</f>
        <v>-</v>
      </c>
      <c r="AN4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0" s="2" t="e">
        <f ca="1">VLOOKUP(Tableau118[[#This Row],[Key(POD -PFI- Usine)]],'DATA Consignee'!A:J,10,FALSE)</f>
        <v>#N/A</v>
      </c>
      <c r="AQ40" s="50" t="e">
        <f ca="1">VLOOKUP(Tableau118[[#This Row],[Key(POD -PFI- Usine)]],'DATA Consignee'!A:N,14,FALSE)</f>
        <v>#N/A</v>
      </c>
      <c r="AR4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0" s="50" t="e">
        <f ca="1">Tableau118[[#This Row],[Transit time]]+Tableau118[[#This Row],[Time for security]]+Tableau118[[#This Row],[Time for security2 buffer]]</f>
        <v>#N/A</v>
      </c>
      <c r="AU4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0" s="389" t="e">
        <f ca="1">Tableau118[[#This Row],[Leadtime SI2C]]+Tableau118[[#This Row],[First Receipt Days]]-Tableau118[[#This Row],[Day Customer Order]]+1</f>
        <v>#N/A</v>
      </c>
      <c r="AW40" s="117" t="e">
        <f ca="1">IF(Tableau118[[#This Row],[Name ILN]]&lt;&gt;"SFK Freight Forwarder",Tableau118[[#This Row],[Cust. Leadtime]],Tableau118[[#This Row],[Leadtime SI2C]])</f>
        <v>#N/A</v>
      </c>
      <c r="AX40" s="51" t="e">
        <f>VLOOKUP(Tableau118[[#This Row],[ID]],'DATA BTO'!B:P,15,FALSE)</f>
        <v>#N/A</v>
      </c>
      <c r="AY40" s="328" t="e">
        <f ca="1">IFERROR(VLOOKUP(Tableau118[[#This Row],[Key(ID-Actif)]],'DATA BTO'!A:N,4,FALSE),VLOOKUP(Tableau118[[#This Row],[ID]],'DATA BTO'!B:N,3,FALSE))</f>
        <v>#N/A</v>
      </c>
      <c r="AZ4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0" s="50"/>
    </row>
    <row r="41" spans="2:57">
      <c r="B41" s="65" t="str">
        <f>_xlfn.CONCAT(Tableau118[[#This Row],[Name ILN]],"-",Tableau118[[#This Row],[Name Shipper]],"-",Tableau118[[#This Row],[Name Site]])</f>
        <v>--</v>
      </c>
      <c r="C41" s="65" t="e">
        <f ca="1">_xlfn.CONCAT(Tableau118[[#This Row],[Compte ILN]],"-",Tableau118[[#This Row],[Compte Shipper]],"-",Tableau118[[#This Row],[POL]],"-",Tableau118[[#This Row],[Compte Site]])</f>
        <v>#N/A</v>
      </c>
      <c r="D41" s="64" t="e">
        <f ca="1">_xlfn.CONCAT(Tableau118[[#This Row],[Compte ILN]],"-",Tableau118[[#This Row],[Compte Shipper]],"-",Tableau118[[#This Row],[POL]])</f>
        <v>#N/A</v>
      </c>
      <c r="E41" s="396" t="e">
        <f ca="1">_xlfn.CONCAT(Tableau118[[#This Row],[POL]],"-",Tableau118[[#This Row],[Carrier]],"-",Tableau118[[#This Row],[POD]])</f>
        <v>#N/A</v>
      </c>
      <c r="F41" s="64" t="str">
        <f>_xlfn.CONCAT(Tableau118[[#This Row],[ID]],"-","Next")</f>
        <v>-Next</v>
      </c>
      <c r="G41" s="64" t="e">
        <f ca="1">_xlfn.CONCAT(Tableau118[[#This Row],[POD]],"-",Tableau118[[#This Row],[Code PFI]],"-",Tableau118[[#This Row],[Compte Site]])</f>
        <v>#N/A</v>
      </c>
      <c r="H4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1" s="397" t="str">
        <f ca="1">IF(COUNTIF(I:I,Tableau118[[#This Row],[Plant-ILN-shipper-POL-Carrier-POD-PFI]])=1,"Non","Oui")</f>
        <v>Oui</v>
      </c>
      <c r="K41" s="398" t="e">
        <f>VLOOKUP(Tableau118[[#This Row],[Name Site]],Plant_AILN!A:D,4,FALSE)</f>
        <v>#N/A</v>
      </c>
      <c r="L41" s="285"/>
      <c r="M41" s="480"/>
      <c r="N41" s="55"/>
      <c r="O41" s="114"/>
      <c r="P41" s="481"/>
      <c r="Q41" s="50"/>
      <c r="R41" s="50"/>
      <c r="S41" s="50"/>
      <c r="T41" s="50"/>
      <c r="U41" s="50"/>
      <c r="V41" s="50"/>
      <c r="W41" s="53"/>
      <c r="X41" s="283"/>
      <c r="Y41" s="482">
        <f>IFERROR(VLOOKUP(Tableau118[[#This Row],[Name Shipper]],Plant_AILN!L:M,2,FALSE),0)</f>
        <v>0</v>
      </c>
      <c r="Z41" s="358"/>
      <c r="AA41" s="353" t="e">
        <f ca="1">VLOOKUP(Tableau118[[#This Row],[Key(ID-Actif)]],'DATA BTO'!A:N,5,FALSE)</f>
        <v>#N/A</v>
      </c>
      <c r="AB41" s="3" t="e">
        <f ca="1">VLOOKUP(Tableau118[[#This Row],[Key(ID-Actif)]],'DATA BTO'!A:N,6,FALSE)</f>
        <v>#N/A</v>
      </c>
      <c r="AC41" s="50" t="e">
        <f ca="1">VLOOKUP(Tableau118[[#This Row],[Key(ID-Actif)]],'DATA BTO'!A:N,7,FALSE)</f>
        <v>#N/A</v>
      </c>
      <c r="AD41" s="50" t="e">
        <f ca="1">VLOOKUP(Tableau118[[#This Row],[Key(ID-Actif)]],'DATA BTO'!A:N,8,FALSE)</f>
        <v>#N/A</v>
      </c>
      <c r="AE41" s="50" t="e">
        <f ca="1">IF(Tableau118[[#This Row],[First Day to POL]]&lt;=Tableau118[[#This Row],[Day Cut Off]],Tableau118[[#This Row],[Day ETD]],Tableau118[[#This Row],[Day ETD]]+7)</f>
        <v>#N/A</v>
      </c>
      <c r="AF41" s="50" t="e">
        <f ca="1">VLOOKUP(Tableau118[[#This Row],[Key(ID-Actif)]],'DATA BTO'!A:N,9,FALSE)</f>
        <v>#N/A</v>
      </c>
      <c r="AG41" s="3" t="e">
        <f ca="1">VLOOKUP(Tableau118[[#This Row],[Key(ID-Actif)]],'DATA BTO'!A:N,10,FALSE)</f>
        <v>#N/A</v>
      </c>
      <c r="AH41" s="3" t="e">
        <f ca="1">VLOOKUP(Tableau118[[#This Row],[Key(ID-Actif)]],'DATA BTO'!A:N,11,FALSE)</f>
        <v>#N/A</v>
      </c>
      <c r="AI41" s="50" t="e">
        <f ca="1">VLOOKUP(Tableau118[[#This Row],[Key(ID-Actif)]],'DATA BTO'!A:N,12,FALSE)</f>
        <v>#N/A</v>
      </c>
      <c r="AJ41" s="53" t="e">
        <f ca="1">VLOOKUP(Tableau118[[#This Row],[Key(ID-Actif)]],'DATA BTO'!A:N,14,FALSE)</f>
        <v>#N/A</v>
      </c>
      <c r="AK41" s="54" t="e">
        <f ca="1">VLOOKUP(Tableau118[[#This Row],[Key(POD -PFI- Usine)]],'DATA Consignee'!A:F,6,FALSE)</f>
        <v>#N/A</v>
      </c>
      <c r="AL41" s="125"/>
      <c r="AM41" s="483" t="str">
        <f>IF(Tableau118[[#This Row],[Name PFI/CDD]]="","-",VLOOKUP(Tableau118[[#This Row],[Name PFI/CDD]],Plant_AILN!I:J,2,FALSE))</f>
        <v>-</v>
      </c>
      <c r="AN4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1" s="2" t="e">
        <f ca="1">VLOOKUP(Tableau118[[#This Row],[Key(POD -PFI- Usine)]],'DATA Consignee'!A:J,10,FALSE)</f>
        <v>#N/A</v>
      </c>
      <c r="AQ41" s="50" t="e">
        <f ca="1">VLOOKUP(Tableau118[[#This Row],[Key(POD -PFI- Usine)]],'DATA Consignee'!A:N,14,FALSE)</f>
        <v>#N/A</v>
      </c>
      <c r="AR4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1" s="50" t="e">
        <f ca="1">Tableau118[[#This Row],[Transit time]]+Tableau118[[#This Row],[Time for security]]+Tableau118[[#This Row],[Time for security2 buffer]]</f>
        <v>#N/A</v>
      </c>
      <c r="AU4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1" s="389" t="e">
        <f ca="1">Tableau118[[#This Row],[Leadtime SI2C]]+Tableau118[[#This Row],[First Receipt Days]]-Tableau118[[#This Row],[Day Customer Order]]+1</f>
        <v>#N/A</v>
      </c>
      <c r="AW41" s="117" t="e">
        <f ca="1">IF(Tableau118[[#This Row],[Name ILN]]&lt;&gt;"SFK Freight Forwarder",Tableau118[[#This Row],[Cust. Leadtime]],Tableau118[[#This Row],[Leadtime SI2C]])</f>
        <v>#N/A</v>
      </c>
      <c r="AX41" s="51" t="e">
        <f>VLOOKUP(Tableau118[[#This Row],[ID]],'DATA BTO'!B:P,15,FALSE)</f>
        <v>#N/A</v>
      </c>
      <c r="AY41" s="328" t="e">
        <f ca="1">IFERROR(VLOOKUP(Tableau118[[#This Row],[Key(ID-Actif)]],'DATA BTO'!A:N,4,FALSE),VLOOKUP(Tableau118[[#This Row],[ID]],'DATA BTO'!B:N,3,FALSE))</f>
        <v>#N/A</v>
      </c>
      <c r="AZ4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1" s="50"/>
    </row>
    <row r="42" spans="2:57">
      <c r="B42" s="65" t="str">
        <f>_xlfn.CONCAT(Tableau118[[#This Row],[Name ILN]],"-",Tableau118[[#This Row],[Name Shipper]],"-",Tableau118[[#This Row],[Name Site]])</f>
        <v>--</v>
      </c>
      <c r="C42" s="65" t="e">
        <f ca="1">_xlfn.CONCAT(Tableau118[[#This Row],[Compte ILN]],"-",Tableau118[[#This Row],[Compte Shipper]],"-",Tableau118[[#This Row],[POL]],"-",Tableau118[[#This Row],[Compte Site]])</f>
        <v>#N/A</v>
      </c>
      <c r="D42" s="64" t="e">
        <f ca="1">_xlfn.CONCAT(Tableau118[[#This Row],[Compte ILN]],"-",Tableau118[[#This Row],[Compte Shipper]],"-",Tableau118[[#This Row],[POL]])</f>
        <v>#N/A</v>
      </c>
      <c r="E42" s="396" t="e">
        <f ca="1">_xlfn.CONCAT(Tableau118[[#This Row],[POL]],"-",Tableau118[[#This Row],[Carrier]],"-",Tableau118[[#This Row],[POD]])</f>
        <v>#N/A</v>
      </c>
      <c r="F42" s="64" t="str">
        <f>_xlfn.CONCAT(Tableau118[[#This Row],[ID]],"-","Next")</f>
        <v>-Next</v>
      </c>
      <c r="G42" s="64" t="e">
        <f ca="1">_xlfn.CONCAT(Tableau118[[#This Row],[POD]],"-",Tableau118[[#This Row],[Code PFI]],"-",Tableau118[[#This Row],[Compte Site]])</f>
        <v>#N/A</v>
      </c>
      <c r="H4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2" s="397" t="str">
        <f ca="1">IF(COUNTIF(I:I,Tableau118[[#This Row],[Plant-ILN-shipper-POL-Carrier-POD-PFI]])=1,"Non","Oui")</f>
        <v>Oui</v>
      </c>
      <c r="K42" s="398" t="e">
        <f>VLOOKUP(Tableau118[[#This Row],[Name Site]],Plant_AILN!A:D,4,FALSE)</f>
        <v>#N/A</v>
      </c>
      <c r="L42" s="285"/>
      <c r="M42" s="480"/>
      <c r="N42" s="55"/>
      <c r="O42" s="114"/>
      <c r="P42" s="481"/>
      <c r="Q42" s="50"/>
      <c r="R42" s="50"/>
      <c r="S42" s="50"/>
      <c r="T42" s="50"/>
      <c r="U42" s="50"/>
      <c r="V42" s="50"/>
      <c r="W42" s="53"/>
      <c r="X42" s="358"/>
      <c r="Y42" s="482">
        <f>IFERROR(VLOOKUP(Tableau118[[#This Row],[Name Shipper]],Plant_AILN!L:M,2,FALSE),0)</f>
        <v>0</v>
      </c>
      <c r="Z42" s="358"/>
      <c r="AA42" s="353" t="e">
        <f ca="1">VLOOKUP(Tableau118[[#This Row],[Key(ID-Actif)]],'DATA BTO'!A:N,5,FALSE)</f>
        <v>#N/A</v>
      </c>
      <c r="AB42" s="3" t="e">
        <f ca="1">VLOOKUP(Tableau118[[#This Row],[Key(ID-Actif)]],'DATA BTO'!A:N,6,FALSE)</f>
        <v>#N/A</v>
      </c>
      <c r="AC42" s="50" t="e">
        <f ca="1">VLOOKUP(Tableau118[[#This Row],[Key(ID-Actif)]],'DATA BTO'!A:N,7,FALSE)</f>
        <v>#N/A</v>
      </c>
      <c r="AD42" s="50" t="e">
        <f ca="1">VLOOKUP(Tableau118[[#This Row],[Key(ID-Actif)]],'DATA BTO'!A:N,8,FALSE)</f>
        <v>#N/A</v>
      </c>
      <c r="AE42" s="50" t="e">
        <f ca="1">IF(Tableau118[[#This Row],[First Day to POL]]&lt;=Tableau118[[#This Row],[Day Cut Off]],Tableau118[[#This Row],[Day ETD]],Tableau118[[#This Row],[Day ETD]]+7)</f>
        <v>#N/A</v>
      </c>
      <c r="AF42" s="50" t="e">
        <f ca="1">VLOOKUP(Tableau118[[#This Row],[Key(ID-Actif)]],'DATA BTO'!A:N,9,FALSE)</f>
        <v>#N/A</v>
      </c>
      <c r="AG42" s="3" t="e">
        <f ca="1">VLOOKUP(Tableau118[[#This Row],[Key(ID-Actif)]],'DATA BTO'!A:N,10,FALSE)</f>
        <v>#N/A</v>
      </c>
      <c r="AH42" s="3" t="e">
        <f ca="1">VLOOKUP(Tableau118[[#This Row],[Key(ID-Actif)]],'DATA BTO'!A:N,11,FALSE)</f>
        <v>#N/A</v>
      </c>
      <c r="AI42" s="50" t="e">
        <f ca="1">VLOOKUP(Tableau118[[#This Row],[Key(ID-Actif)]],'DATA BTO'!A:N,12,FALSE)</f>
        <v>#N/A</v>
      </c>
      <c r="AJ42" s="53" t="e">
        <f ca="1">VLOOKUP(Tableau118[[#This Row],[Key(ID-Actif)]],'DATA BTO'!A:N,14,FALSE)</f>
        <v>#N/A</v>
      </c>
      <c r="AK42" s="54" t="e">
        <f ca="1">VLOOKUP(Tableau118[[#This Row],[Key(POD -PFI- Usine)]],'DATA Consignee'!A:F,6,FALSE)</f>
        <v>#N/A</v>
      </c>
      <c r="AL42" s="125"/>
      <c r="AM42" s="483" t="str">
        <f>IF(Tableau118[[#This Row],[Name PFI/CDD]]="","-",VLOOKUP(Tableau118[[#This Row],[Name PFI/CDD]],Plant_AILN!I:J,2,FALSE))</f>
        <v>-</v>
      </c>
      <c r="AN4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2" s="2" t="e">
        <f ca="1">VLOOKUP(Tableau118[[#This Row],[Key(POD -PFI- Usine)]],'DATA Consignee'!A:J,10,FALSE)</f>
        <v>#N/A</v>
      </c>
      <c r="AQ42" s="50" t="e">
        <f ca="1">VLOOKUP(Tableau118[[#This Row],[Key(POD -PFI- Usine)]],'DATA Consignee'!A:N,14,FALSE)</f>
        <v>#N/A</v>
      </c>
      <c r="AR4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2" s="50" t="e">
        <f ca="1">Tableau118[[#This Row],[Transit time]]+Tableau118[[#This Row],[Time for security]]+Tableau118[[#This Row],[Time for security2 buffer]]</f>
        <v>#N/A</v>
      </c>
      <c r="AU4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2" s="389" t="e">
        <f ca="1">Tableau118[[#This Row],[Leadtime SI2C]]+Tableau118[[#This Row],[First Receipt Days]]-Tableau118[[#This Row],[Day Customer Order]]+1</f>
        <v>#N/A</v>
      </c>
      <c r="AW42" s="117" t="e">
        <f ca="1">IF(Tableau118[[#This Row],[Name ILN]]&lt;&gt;"SFK Freight Forwarder",Tableau118[[#This Row],[Cust. Leadtime]],Tableau118[[#This Row],[Leadtime SI2C]])</f>
        <v>#N/A</v>
      </c>
      <c r="AX42" s="51" t="e">
        <f>VLOOKUP(Tableau118[[#This Row],[ID]],'DATA BTO'!B:P,15,FALSE)</f>
        <v>#N/A</v>
      </c>
      <c r="AY42" s="328" t="e">
        <f ca="1">IFERROR(VLOOKUP(Tableau118[[#This Row],[Key(ID-Actif)]],'DATA BTO'!A:N,4,FALSE),VLOOKUP(Tableau118[[#This Row],[ID]],'DATA BTO'!B:N,3,FALSE))</f>
        <v>#N/A</v>
      </c>
      <c r="AZ4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2" s="50"/>
    </row>
    <row r="43" spans="2:57">
      <c r="B43" s="65" t="str">
        <f>_xlfn.CONCAT(Tableau118[[#This Row],[Name ILN]],"-",Tableau118[[#This Row],[Name Shipper]],"-",Tableau118[[#This Row],[Name Site]])</f>
        <v>--</v>
      </c>
      <c r="C43" s="65" t="e">
        <f ca="1">_xlfn.CONCAT(Tableau118[[#This Row],[Compte ILN]],"-",Tableau118[[#This Row],[Compte Shipper]],"-",Tableau118[[#This Row],[POL]],"-",Tableau118[[#This Row],[Compte Site]])</f>
        <v>#N/A</v>
      </c>
      <c r="D43" s="64" t="e">
        <f ca="1">_xlfn.CONCAT(Tableau118[[#This Row],[Compte ILN]],"-",Tableau118[[#This Row],[Compte Shipper]],"-",Tableau118[[#This Row],[POL]])</f>
        <v>#N/A</v>
      </c>
      <c r="E43" s="396" t="e">
        <f ca="1">_xlfn.CONCAT(Tableau118[[#This Row],[POL]],"-",Tableau118[[#This Row],[Carrier]],"-",Tableau118[[#This Row],[POD]])</f>
        <v>#N/A</v>
      </c>
      <c r="F43" s="64" t="str">
        <f>_xlfn.CONCAT(Tableau118[[#This Row],[ID]],"-","Next")</f>
        <v>-Next</v>
      </c>
      <c r="G43" s="64" t="e">
        <f ca="1">_xlfn.CONCAT(Tableau118[[#This Row],[POD]],"-",Tableau118[[#This Row],[Code PFI]],"-",Tableau118[[#This Row],[Compte Site]])</f>
        <v>#N/A</v>
      </c>
      <c r="H4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3" s="397" t="str">
        <f ca="1">IF(COUNTIF(I:I,Tableau118[[#This Row],[Plant-ILN-shipper-POL-Carrier-POD-PFI]])=1,"Non","Oui")</f>
        <v>Oui</v>
      </c>
      <c r="K43" s="398" t="e">
        <f>VLOOKUP(Tableau118[[#This Row],[Name Site]],Plant_AILN!A:D,4,FALSE)</f>
        <v>#N/A</v>
      </c>
      <c r="L43" s="285"/>
      <c r="M43" s="480"/>
      <c r="N43" s="55"/>
      <c r="O43" s="114"/>
      <c r="P43" s="481"/>
      <c r="Q43" s="50"/>
      <c r="R43" s="50"/>
      <c r="S43" s="50"/>
      <c r="T43" s="50"/>
      <c r="U43" s="50"/>
      <c r="V43" s="50"/>
      <c r="W43" s="53"/>
      <c r="X43" s="283"/>
      <c r="Y43" s="482">
        <f>IFERROR(VLOOKUP(Tableau118[[#This Row],[Name Shipper]],Plant_AILN!L:M,2,FALSE),0)</f>
        <v>0</v>
      </c>
      <c r="Z43" s="358"/>
      <c r="AA43" s="353" t="e">
        <f ca="1">VLOOKUP(Tableau118[[#This Row],[Key(ID-Actif)]],'DATA BTO'!A:N,5,FALSE)</f>
        <v>#N/A</v>
      </c>
      <c r="AB43" s="3" t="e">
        <f ca="1">VLOOKUP(Tableau118[[#This Row],[Key(ID-Actif)]],'DATA BTO'!A:N,6,FALSE)</f>
        <v>#N/A</v>
      </c>
      <c r="AC43" s="50" t="e">
        <f ca="1">VLOOKUP(Tableau118[[#This Row],[Key(ID-Actif)]],'DATA BTO'!A:N,7,FALSE)</f>
        <v>#N/A</v>
      </c>
      <c r="AD43" s="50" t="e">
        <f ca="1">VLOOKUP(Tableau118[[#This Row],[Key(ID-Actif)]],'DATA BTO'!A:N,8,FALSE)</f>
        <v>#N/A</v>
      </c>
      <c r="AE43" s="50" t="e">
        <f ca="1">IF(Tableau118[[#This Row],[First Day to POL]]&lt;=Tableau118[[#This Row],[Day Cut Off]],Tableau118[[#This Row],[Day ETD]],Tableau118[[#This Row],[Day ETD]]+7)</f>
        <v>#N/A</v>
      </c>
      <c r="AF43" s="50" t="e">
        <f ca="1">VLOOKUP(Tableau118[[#This Row],[Key(ID-Actif)]],'DATA BTO'!A:N,9,FALSE)</f>
        <v>#N/A</v>
      </c>
      <c r="AG43" s="3" t="e">
        <f ca="1">VLOOKUP(Tableau118[[#This Row],[Key(ID-Actif)]],'DATA BTO'!A:N,10,FALSE)</f>
        <v>#N/A</v>
      </c>
      <c r="AH43" s="3" t="e">
        <f ca="1">VLOOKUP(Tableau118[[#This Row],[Key(ID-Actif)]],'DATA BTO'!A:N,11,FALSE)</f>
        <v>#N/A</v>
      </c>
      <c r="AI43" s="50" t="e">
        <f ca="1">VLOOKUP(Tableau118[[#This Row],[Key(ID-Actif)]],'DATA BTO'!A:N,12,FALSE)</f>
        <v>#N/A</v>
      </c>
      <c r="AJ43" s="53" t="e">
        <f ca="1">VLOOKUP(Tableau118[[#This Row],[Key(ID-Actif)]],'DATA BTO'!A:N,14,FALSE)</f>
        <v>#N/A</v>
      </c>
      <c r="AK43" s="54" t="e">
        <f ca="1">VLOOKUP(Tableau118[[#This Row],[Key(POD -PFI- Usine)]],'DATA Consignee'!A:F,6,FALSE)</f>
        <v>#N/A</v>
      </c>
      <c r="AL43" s="125"/>
      <c r="AM43" s="483" t="str">
        <f>IF(Tableau118[[#This Row],[Name PFI/CDD]]="","-",VLOOKUP(Tableau118[[#This Row],[Name PFI/CDD]],Plant_AILN!I:J,2,FALSE))</f>
        <v>-</v>
      </c>
      <c r="AN4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3" s="2" t="e">
        <f ca="1">VLOOKUP(Tableau118[[#This Row],[Key(POD -PFI- Usine)]],'DATA Consignee'!A:J,10,FALSE)</f>
        <v>#N/A</v>
      </c>
      <c r="AQ43" s="50" t="e">
        <f ca="1">VLOOKUP(Tableau118[[#This Row],[Key(POD -PFI- Usine)]],'DATA Consignee'!A:N,14,FALSE)</f>
        <v>#N/A</v>
      </c>
      <c r="AR4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3" s="50" t="e">
        <f ca="1">Tableau118[[#This Row],[Transit time]]+Tableau118[[#This Row],[Time for security]]+Tableau118[[#This Row],[Time for security2 buffer]]</f>
        <v>#N/A</v>
      </c>
      <c r="AU4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3" s="389" t="e">
        <f ca="1">Tableau118[[#This Row],[Leadtime SI2C]]+Tableau118[[#This Row],[First Receipt Days]]-Tableau118[[#This Row],[Day Customer Order]]+1</f>
        <v>#N/A</v>
      </c>
      <c r="AW43" s="117" t="e">
        <f ca="1">IF(Tableau118[[#This Row],[Name ILN]]&lt;&gt;"SFK Freight Forwarder",Tableau118[[#This Row],[Cust. Leadtime]],Tableau118[[#This Row],[Leadtime SI2C]])</f>
        <v>#N/A</v>
      </c>
      <c r="AX43" s="51" t="e">
        <f>VLOOKUP(Tableau118[[#This Row],[ID]],'DATA BTO'!B:P,15,FALSE)</f>
        <v>#N/A</v>
      </c>
      <c r="AY43" s="328" t="e">
        <f ca="1">IFERROR(VLOOKUP(Tableau118[[#This Row],[Key(ID-Actif)]],'DATA BTO'!A:N,4,FALSE),VLOOKUP(Tableau118[[#This Row],[ID]],'DATA BTO'!B:N,3,FALSE))</f>
        <v>#N/A</v>
      </c>
      <c r="AZ4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3" s="50"/>
    </row>
    <row r="44" spans="2:57">
      <c r="B44" s="65" t="str">
        <f>_xlfn.CONCAT(Tableau118[[#This Row],[Name ILN]],"-",Tableau118[[#This Row],[Name Shipper]],"-",Tableau118[[#This Row],[Name Site]])</f>
        <v>--</v>
      </c>
      <c r="C44" s="65" t="e">
        <f ca="1">_xlfn.CONCAT(Tableau118[[#This Row],[Compte ILN]],"-",Tableau118[[#This Row],[Compte Shipper]],"-",Tableau118[[#This Row],[POL]],"-",Tableau118[[#This Row],[Compte Site]])</f>
        <v>#N/A</v>
      </c>
      <c r="D44" s="64" t="e">
        <f ca="1">_xlfn.CONCAT(Tableau118[[#This Row],[Compte ILN]],"-",Tableau118[[#This Row],[Compte Shipper]],"-",Tableau118[[#This Row],[POL]])</f>
        <v>#N/A</v>
      </c>
      <c r="E44" s="396" t="e">
        <f ca="1">_xlfn.CONCAT(Tableau118[[#This Row],[POL]],"-",Tableau118[[#This Row],[Carrier]],"-",Tableau118[[#This Row],[POD]])</f>
        <v>#N/A</v>
      </c>
      <c r="F44" s="64" t="str">
        <f>_xlfn.CONCAT(Tableau118[[#This Row],[ID]],"-","Next")</f>
        <v>-Next</v>
      </c>
      <c r="G44" s="64" t="e">
        <f ca="1">_xlfn.CONCAT(Tableau118[[#This Row],[POD]],"-",Tableau118[[#This Row],[Code PFI]],"-",Tableau118[[#This Row],[Compte Site]])</f>
        <v>#N/A</v>
      </c>
      <c r="H4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4" s="397" t="str">
        <f ca="1">IF(COUNTIF(I:I,Tableau118[[#This Row],[Plant-ILN-shipper-POL-Carrier-POD-PFI]])=1,"Non","Oui")</f>
        <v>Oui</v>
      </c>
      <c r="K44" s="398" t="e">
        <f>VLOOKUP(Tableau118[[#This Row],[Name Site]],Plant_AILN!A:D,4,FALSE)</f>
        <v>#N/A</v>
      </c>
      <c r="L44" s="285"/>
      <c r="M44" s="480"/>
      <c r="N44" s="55"/>
      <c r="O44" s="114"/>
      <c r="P44" s="481"/>
      <c r="Q44" s="50"/>
      <c r="R44" s="50"/>
      <c r="S44" s="50"/>
      <c r="T44" s="50"/>
      <c r="U44" s="50"/>
      <c r="V44" s="50"/>
      <c r="W44" s="53"/>
      <c r="X44" s="283"/>
      <c r="Y44" s="482">
        <f>IFERROR(VLOOKUP(Tableau118[[#This Row],[Name Shipper]],Plant_AILN!L:M,2,FALSE),0)</f>
        <v>0</v>
      </c>
      <c r="Z44" s="358"/>
      <c r="AA44" s="353" t="e">
        <f ca="1">VLOOKUP(Tableau118[[#This Row],[Key(ID-Actif)]],'DATA BTO'!A:N,5,FALSE)</f>
        <v>#N/A</v>
      </c>
      <c r="AB44" s="3" t="e">
        <f ca="1">VLOOKUP(Tableau118[[#This Row],[Key(ID-Actif)]],'DATA BTO'!A:N,6,FALSE)</f>
        <v>#N/A</v>
      </c>
      <c r="AC44" s="50" t="e">
        <f ca="1">VLOOKUP(Tableau118[[#This Row],[Key(ID-Actif)]],'DATA BTO'!A:N,7,FALSE)</f>
        <v>#N/A</v>
      </c>
      <c r="AD44" s="50" t="e">
        <f ca="1">VLOOKUP(Tableau118[[#This Row],[Key(ID-Actif)]],'DATA BTO'!A:N,8,FALSE)</f>
        <v>#N/A</v>
      </c>
      <c r="AE44" s="50" t="e">
        <f ca="1">IF(Tableau118[[#This Row],[First Day to POL]]&lt;=Tableau118[[#This Row],[Day Cut Off]],Tableau118[[#This Row],[Day ETD]],Tableau118[[#This Row],[Day ETD]]+7)</f>
        <v>#N/A</v>
      </c>
      <c r="AF44" s="50" t="e">
        <f ca="1">VLOOKUP(Tableau118[[#This Row],[Key(ID-Actif)]],'DATA BTO'!A:N,9,FALSE)</f>
        <v>#N/A</v>
      </c>
      <c r="AG44" s="3" t="e">
        <f ca="1">VLOOKUP(Tableau118[[#This Row],[Key(ID-Actif)]],'DATA BTO'!A:N,10,FALSE)</f>
        <v>#N/A</v>
      </c>
      <c r="AH44" s="3" t="e">
        <f ca="1">VLOOKUP(Tableau118[[#This Row],[Key(ID-Actif)]],'DATA BTO'!A:N,11,FALSE)</f>
        <v>#N/A</v>
      </c>
      <c r="AI44" s="50" t="e">
        <f ca="1">VLOOKUP(Tableau118[[#This Row],[Key(ID-Actif)]],'DATA BTO'!A:N,12,FALSE)</f>
        <v>#N/A</v>
      </c>
      <c r="AJ44" s="53" t="e">
        <f ca="1">VLOOKUP(Tableau118[[#This Row],[Key(ID-Actif)]],'DATA BTO'!A:N,14,FALSE)</f>
        <v>#N/A</v>
      </c>
      <c r="AK44" s="54" t="e">
        <f ca="1">VLOOKUP(Tableau118[[#This Row],[Key(POD -PFI- Usine)]],'DATA Consignee'!A:F,6,FALSE)</f>
        <v>#N/A</v>
      </c>
      <c r="AL44" s="125"/>
      <c r="AM44" s="483" t="str">
        <f>IF(Tableau118[[#This Row],[Name PFI/CDD]]="","-",VLOOKUP(Tableau118[[#This Row],[Name PFI/CDD]],Plant_AILN!I:J,2,FALSE))</f>
        <v>-</v>
      </c>
      <c r="AN4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4" s="2" t="e">
        <f ca="1">VLOOKUP(Tableau118[[#This Row],[Key(POD -PFI- Usine)]],'DATA Consignee'!A:J,10,FALSE)</f>
        <v>#N/A</v>
      </c>
      <c r="AQ44" s="50" t="e">
        <f ca="1">VLOOKUP(Tableau118[[#This Row],[Key(POD -PFI- Usine)]],'DATA Consignee'!A:N,14,FALSE)</f>
        <v>#N/A</v>
      </c>
      <c r="AR4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4" s="50" t="e">
        <f ca="1">Tableau118[[#This Row],[Transit time]]+Tableau118[[#This Row],[Time for security]]+Tableau118[[#This Row],[Time for security2 buffer]]</f>
        <v>#N/A</v>
      </c>
      <c r="AU4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4" s="389" t="e">
        <f ca="1">Tableau118[[#This Row],[Leadtime SI2C]]+Tableau118[[#This Row],[First Receipt Days]]-Tableau118[[#This Row],[Day Customer Order]]+1</f>
        <v>#N/A</v>
      </c>
      <c r="AW44" s="117" t="e">
        <f ca="1">IF(Tableau118[[#This Row],[Name ILN]]&lt;&gt;"SFK Freight Forwarder",Tableau118[[#This Row],[Cust. Leadtime]],Tableau118[[#This Row],[Leadtime SI2C]])</f>
        <v>#N/A</v>
      </c>
      <c r="AX44" s="51" t="e">
        <f>VLOOKUP(Tableau118[[#This Row],[ID]],'DATA BTO'!B:P,15,FALSE)</f>
        <v>#N/A</v>
      </c>
      <c r="AY44" s="328" t="e">
        <f ca="1">IFERROR(VLOOKUP(Tableau118[[#This Row],[Key(ID-Actif)]],'DATA BTO'!A:N,4,FALSE),VLOOKUP(Tableau118[[#This Row],[ID]],'DATA BTO'!B:N,3,FALSE))</f>
        <v>#N/A</v>
      </c>
      <c r="AZ4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4" s="50"/>
    </row>
    <row r="45" spans="2:57">
      <c r="B45" s="65" t="str">
        <f>_xlfn.CONCAT(Tableau118[[#This Row],[Name ILN]],"-",Tableau118[[#This Row],[Name Shipper]],"-",Tableau118[[#This Row],[Name Site]])</f>
        <v>--</v>
      </c>
      <c r="C45" s="65" t="e">
        <f ca="1">_xlfn.CONCAT(Tableau118[[#This Row],[Compte ILN]],"-",Tableau118[[#This Row],[Compte Shipper]],"-",Tableau118[[#This Row],[POL]],"-",Tableau118[[#This Row],[Compte Site]])</f>
        <v>#N/A</v>
      </c>
      <c r="D45" s="64" t="e">
        <f ca="1">_xlfn.CONCAT(Tableau118[[#This Row],[Compte ILN]],"-",Tableau118[[#This Row],[Compte Shipper]],"-",Tableau118[[#This Row],[POL]])</f>
        <v>#N/A</v>
      </c>
      <c r="E45" s="396" t="e">
        <f ca="1">_xlfn.CONCAT(Tableau118[[#This Row],[POL]],"-",Tableau118[[#This Row],[Carrier]],"-",Tableau118[[#This Row],[POD]])</f>
        <v>#N/A</v>
      </c>
      <c r="F45" s="64" t="str">
        <f>_xlfn.CONCAT(Tableau118[[#This Row],[ID]],"-","Next")</f>
        <v>-Next</v>
      </c>
      <c r="G45" s="64" t="e">
        <f ca="1">_xlfn.CONCAT(Tableau118[[#This Row],[POD]],"-",Tableau118[[#This Row],[Code PFI]],"-",Tableau118[[#This Row],[Compte Site]])</f>
        <v>#N/A</v>
      </c>
      <c r="H4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5" s="397" t="str">
        <f ca="1">IF(COUNTIF(I:I,Tableau118[[#This Row],[Plant-ILN-shipper-POL-Carrier-POD-PFI]])=1,"Non","Oui")</f>
        <v>Oui</v>
      </c>
      <c r="K45" s="398" t="e">
        <f>VLOOKUP(Tableau118[[#This Row],[Name Site]],Plant_AILN!A:D,4,FALSE)</f>
        <v>#N/A</v>
      </c>
      <c r="L45" s="285"/>
      <c r="M45" s="480"/>
      <c r="N45" s="55"/>
      <c r="O45" s="114"/>
      <c r="P45" s="481"/>
      <c r="Q45" s="50"/>
      <c r="R45" s="50"/>
      <c r="S45" s="50"/>
      <c r="T45" s="50"/>
      <c r="U45" s="50"/>
      <c r="V45" s="50"/>
      <c r="W45" s="53"/>
      <c r="X45" s="283"/>
      <c r="Y45" s="482">
        <f>IFERROR(VLOOKUP(Tableau118[[#This Row],[Name Shipper]],Plant_AILN!L:M,2,FALSE),0)</f>
        <v>0</v>
      </c>
      <c r="Z45" s="358"/>
      <c r="AA45" s="353" t="e">
        <f ca="1">VLOOKUP(Tableau118[[#This Row],[Key(ID-Actif)]],'DATA BTO'!A:N,5,FALSE)</f>
        <v>#N/A</v>
      </c>
      <c r="AB45" s="3" t="e">
        <f ca="1">VLOOKUP(Tableau118[[#This Row],[Key(ID-Actif)]],'DATA BTO'!A:N,6,FALSE)</f>
        <v>#N/A</v>
      </c>
      <c r="AC45" s="50" t="e">
        <f ca="1">VLOOKUP(Tableau118[[#This Row],[Key(ID-Actif)]],'DATA BTO'!A:N,7,FALSE)</f>
        <v>#N/A</v>
      </c>
      <c r="AD45" s="50" t="e">
        <f ca="1">VLOOKUP(Tableau118[[#This Row],[Key(ID-Actif)]],'DATA BTO'!A:N,8,FALSE)</f>
        <v>#N/A</v>
      </c>
      <c r="AE45" s="50" t="e">
        <f ca="1">IF(Tableau118[[#This Row],[First Day to POL]]&lt;=Tableau118[[#This Row],[Day Cut Off]],Tableau118[[#This Row],[Day ETD]],Tableau118[[#This Row],[Day ETD]]+7)</f>
        <v>#N/A</v>
      </c>
      <c r="AF45" s="50" t="e">
        <f ca="1">VLOOKUP(Tableau118[[#This Row],[Key(ID-Actif)]],'DATA BTO'!A:N,9,FALSE)</f>
        <v>#N/A</v>
      </c>
      <c r="AG45" s="3" t="e">
        <f ca="1">VLOOKUP(Tableau118[[#This Row],[Key(ID-Actif)]],'DATA BTO'!A:N,10,FALSE)</f>
        <v>#N/A</v>
      </c>
      <c r="AH45" s="3" t="e">
        <f ca="1">VLOOKUP(Tableau118[[#This Row],[Key(ID-Actif)]],'DATA BTO'!A:N,11,FALSE)</f>
        <v>#N/A</v>
      </c>
      <c r="AI45" s="50" t="e">
        <f ca="1">VLOOKUP(Tableau118[[#This Row],[Key(ID-Actif)]],'DATA BTO'!A:N,12,FALSE)</f>
        <v>#N/A</v>
      </c>
      <c r="AJ45" s="53" t="e">
        <f ca="1">VLOOKUP(Tableau118[[#This Row],[Key(ID-Actif)]],'DATA BTO'!A:N,14,FALSE)</f>
        <v>#N/A</v>
      </c>
      <c r="AK45" s="54" t="e">
        <f ca="1">VLOOKUP(Tableau118[[#This Row],[Key(POD -PFI- Usine)]],'DATA Consignee'!A:F,6,FALSE)</f>
        <v>#N/A</v>
      </c>
      <c r="AL45" s="125"/>
      <c r="AM45" s="483" t="str">
        <f>IF(Tableau118[[#This Row],[Name PFI/CDD]]="","-",VLOOKUP(Tableau118[[#This Row],[Name PFI/CDD]],Plant_AILN!I:J,2,FALSE))</f>
        <v>-</v>
      </c>
      <c r="AN4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5" s="2" t="e">
        <f ca="1">VLOOKUP(Tableau118[[#This Row],[Key(POD -PFI- Usine)]],'DATA Consignee'!A:J,10,FALSE)</f>
        <v>#N/A</v>
      </c>
      <c r="AQ45" s="50" t="e">
        <f ca="1">VLOOKUP(Tableau118[[#This Row],[Key(POD -PFI- Usine)]],'DATA Consignee'!A:N,14,FALSE)</f>
        <v>#N/A</v>
      </c>
      <c r="AR4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5" s="50" t="e">
        <f ca="1">Tableau118[[#This Row],[Transit time]]+Tableau118[[#This Row],[Time for security]]+Tableau118[[#This Row],[Time for security2 buffer]]</f>
        <v>#N/A</v>
      </c>
      <c r="AU4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5" s="389" t="e">
        <f ca="1">Tableau118[[#This Row],[Leadtime SI2C]]+Tableau118[[#This Row],[First Receipt Days]]-Tableau118[[#This Row],[Day Customer Order]]+1</f>
        <v>#N/A</v>
      </c>
      <c r="AW45" s="117" t="e">
        <f ca="1">IF(Tableau118[[#This Row],[Name ILN]]&lt;&gt;"SFK Freight Forwarder",Tableau118[[#This Row],[Cust. Leadtime]],Tableau118[[#This Row],[Leadtime SI2C]])</f>
        <v>#N/A</v>
      </c>
      <c r="AX45" s="51" t="e">
        <f>VLOOKUP(Tableau118[[#This Row],[ID]],'DATA BTO'!B:P,15,FALSE)</f>
        <v>#N/A</v>
      </c>
      <c r="AY45" s="328" t="e">
        <f ca="1">IFERROR(VLOOKUP(Tableau118[[#This Row],[Key(ID-Actif)]],'DATA BTO'!A:N,4,FALSE),VLOOKUP(Tableau118[[#This Row],[ID]],'DATA BTO'!B:N,3,FALSE))</f>
        <v>#N/A</v>
      </c>
      <c r="AZ4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5" s="50"/>
    </row>
    <row r="46" spans="2:57">
      <c r="B46" s="65" t="str">
        <f>_xlfn.CONCAT(Tableau118[[#This Row],[Name ILN]],"-",Tableau118[[#This Row],[Name Shipper]],"-",Tableau118[[#This Row],[Name Site]])</f>
        <v>--</v>
      </c>
      <c r="C46" s="65" t="e">
        <f ca="1">_xlfn.CONCAT(Tableau118[[#This Row],[Compte ILN]],"-",Tableau118[[#This Row],[Compte Shipper]],"-",Tableau118[[#This Row],[POL]],"-",Tableau118[[#This Row],[Compte Site]])</f>
        <v>#N/A</v>
      </c>
      <c r="D46" s="64" t="e">
        <f ca="1">_xlfn.CONCAT(Tableau118[[#This Row],[Compte ILN]],"-",Tableau118[[#This Row],[Compte Shipper]],"-",Tableau118[[#This Row],[POL]])</f>
        <v>#N/A</v>
      </c>
      <c r="E46" s="396" t="e">
        <f ca="1">_xlfn.CONCAT(Tableau118[[#This Row],[POL]],"-",Tableau118[[#This Row],[Carrier]],"-",Tableau118[[#This Row],[POD]])</f>
        <v>#N/A</v>
      </c>
      <c r="F46" s="64" t="str">
        <f>_xlfn.CONCAT(Tableau118[[#This Row],[ID]],"-","Next")</f>
        <v>-Next</v>
      </c>
      <c r="G46" s="64" t="e">
        <f ca="1">_xlfn.CONCAT(Tableau118[[#This Row],[POD]],"-",Tableau118[[#This Row],[Code PFI]],"-",Tableau118[[#This Row],[Compte Site]])</f>
        <v>#N/A</v>
      </c>
      <c r="H4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6" s="397" t="str">
        <f ca="1">IF(COUNTIF(I:I,Tableau118[[#This Row],[Plant-ILN-shipper-POL-Carrier-POD-PFI]])=1,"Non","Oui")</f>
        <v>Oui</v>
      </c>
      <c r="K46" s="398" t="e">
        <f>VLOOKUP(Tableau118[[#This Row],[Name Site]],Plant_AILN!A:D,4,FALSE)</f>
        <v>#N/A</v>
      </c>
      <c r="L46" s="285"/>
      <c r="M46" s="480"/>
      <c r="N46" s="55"/>
      <c r="O46" s="114"/>
      <c r="P46" s="481"/>
      <c r="Q46" s="50"/>
      <c r="R46" s="50"/>
      <c r="S46" s="50"/>
      <c r="T46" s="50"/>
      <c r="U46" s="50"/>
      <c r="V46" s="50"/>
      <c r="W46" s="53"/>
      <c r="X46" s="283"/>
      <c r="Y46" s="482">
        <f>IFERROR(VLOOKUP(Tableau118[[#This Row],[Name Shipper]],Plant_AILN!L:M,2,FALSE),0)</f>
        <v>0</v>
      </c>
      <c r="Z46" s="358"/>
      <c r="AA46" s="353" t="e">
        <f ca="1">VLOOKUP(Tableau118[[#This Row],[Key(ID-Actif)]],'DATA BTO'!A:N,5,FALSE)</f>
        <v>#N/A</v>
      </c>
      <c r="AB46" s="3" t="e">
        <f ca="1">VLOOKUP(Tableau118[[#This Row],[Key(ID-Actif)]],'DATA BTO'!A:N,6,FALSE)</f>
        <v>#N/A</v>
      </c>
      <c r="AC46" s="50" t="e">
        <f ca="1">VLOOKUP(Tableau118[[#This Row],[Key(ID-Actif)]],'DATA BTO'!A:N,7,FALSE)</f>
        <v>#N/A</v>
      </c>
      <c r="AD46" s="50" t="e">
        <f ca="1">VLOOKUP(Tableau118[[#This Row],[Key(ID-Actif)]],'DATA BTO'!A:N,8,FALSE)</f>
        <v>#N/A</v>
      </c>
      <c r="AE46" s="50" t="e">
        <f ca="1">IF(Tableau118[[#This Row],[First Day to POL]]&lt;=Tableau118[[#This Row],[Day Cut Off]],Tableau118[[#This Row],[Day ETD]],Tableau118[[#This Row],[Day ETD]]+7)</f>
        <v>#N/A</v>
      </c>
      <c r="AF46" s="50" t="e">
        <f ca="1">VLOOKUP(Tableau118[[#This Row],[Key(ID-Actif)]],'DATA BTO'!A:N,9,FALSE)</f>
        <v>#N/A</v>
      </c>
      <c r="AG46" s="3" t="e">
        <f ca="1">VLOOKUP(Tableau118[[#This Row],[Key(ID-Actif)]],'DATA BTO'!A:N,10,FALSE)</f>
        <v>#N/A</v>
      </c>
      <c r="AH46" s="3" t="e">
        <f ca="1">VLOOKUP(Tableau118[[#This Row],[Key(ID-Actif)]],'DATA BTO'!A:N,11,FALSE)</f>
        <v>#N/A</v>
      </c>
      <c r="AI46" s="50" t="e">
        <f ca="1">VLOOKUP(Tableau118[[#This Row],[Key(ID-Actif)]],'DATA BTO'!A:N,12,FALSE)</f>
        <v>#N/A</v>
      </c>
      <c r="AJ46" s="53" t="e">
        <f ca="1">VLOOKUP(Tableau118[[#This Row],[Key(ID-Actif)]],'DATA BTO'!A:N,14,FALSE)</f>
        <v>#N/A</v>
      </c>
      <c r="AK46" s="54" t="e">
        <f ca="1">VLOOKUP(Tableau118[[#This Row],[Key(POD -PFI- Usine)]],'DATA Consignee'!A:F,6,FALSE)</f>
        <v>#N/A</v>
      </c>
      <c r="AL46" s="125"/>
      <c r="AM46" s="483" t="str">
        <f>IF(Tableau118[[#This Row],[Name PFI/CDD]]="","-",VLOOKUP(Tableau118[[#This Row],[Name PFI/CDD]],Plant_AILN!I:J,2,FALSE))</f>
        <v>-</v>
      </c>
      <c r="AN4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6" s="2" t="e">
        <f ca="1">VLOOKUP(Tableau118[[#This Row],[Key(POD -PFI- Usine)]],'DATA Consignee'!A:J,10,FALSE)</f>
        <v>#N/A</v>
      </c>
      <c r="AQ46" s="50" t="e">
        <f ca="1">VLOOKUP(Tableau118[[#This Row],[Key(POD -PFI- Usine)]],'DATA Consignee'!A:N,14,FALSE)</f>
        <v>#N/A</v>
      </c>
      <c r="AR4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6" s="50" t="e">
        <f ca="1">Tableau118[[#This Row],[Transit time]]+Tableau118[[#This Row],[Time for security]]+Tableau118[[#This Row],[Time for security2 buffer]]</f>
        <v>#N/A</v>
      </c>
      <c r="AU4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6" s="389" t="e">
        <f ca="1">Tableau118[[#This Row],[Leadtime SI2C]]+Tableau118[[#This Row],[First Receipt Days]]-Tableau118[[#This Row],[Day Customer Order]]+1</f>
        <v>#N/A</v>
      </c>
      <c r="AW46" s="117" t="e">
        <f ca="1">IF(Tableau118[[#This Row],[Name ILN]]&lt;&gt;"SFK Freight Forwarder",Tableau118[[#This Row],[Cust. Leadtime]],Tableau118[[#This Row],[Leadtime SI2C]])</f>
        <v>#N/A</v>
      </c>
      <c r="AX46" s="51" t="e">
        <f>VLOOKUP(Tableau118[[#This Row],[ID]],'DATA BTO'!B:P,15,FALSE)</f>
        <v>#N/A</v>
      </c>
      <c r="AY46" s="328" t="e">
        <f ca="1">IFERROR(VLOOKUP(Tableau118[[#This Row],[Key(ID-Actif)]],'DATA BTO'!A:N,4,FALSE),VLOOKUP(Tableau118[[#This Row],[ID]],'DATA BTO'!B:N,3,FALSE))</f>
        <v>#N/A</v>
      </c>
      <c r="AZ4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6" s="50"/>
    </row>
    <row r="47" spans="2:57">
      <c r="B47" s="65" t="str">
        <f>_xlfn.CONCAT(Tableau118[[#This Row],[Name ILN]],"-",Tableau118[[#This Row],[Name Shipper]],"-",Tableau118[[#This Row],[Name Site]])</f>
        <v>--</v>
      </c>
      <c r="C47" s="65" t="e">
        <f ca="1">_xlfn.CONCAT(Tableau118[[#This Row],[Compte ILN]],"-",Tableau118[[#This Row],[Compte Shipper]],"-",Tableau118[[#This Row],[POL]],"-",Tableau118[[#This Row],[Compte Site]])</f>
        <v>#N/A</v>
      </c>
      <c r="D47" s="64" t="e">
        <f ca="1">_xlfn.CONCAT(Tableau118[[#This Row],[Compte ILN]],"-",Tableau118[[#This Row],[Compte Shipper]],"-",Tableau118[[#This Row],[POL]])</f>
        <v>#N/A</v>
      </c>
      <c r="E47" s="396" t="e">
        <f ca="1">_xlfn.CONCAT(Tableau118[[#This Row],[POL]],"-",Tableau118[[#This Row],[Carrier]],"-",Tableau118[[#This Row],[POD]])</f>
        <v>#N/A</v>
      </c>
      <c r="F47" s="64" t="str">
        <f>_xlfn.CONCAT(Tableau118[[#This Row],[ID]],"-","Next")</f>
        <v>-Next</v>
      </c>
      <c r="G47" s="64" t="e">
        <f ca="1">_xlfn.CONCAT(Tableau118[[#This Row],[POD]],"-",Tableau118[[#This Row],[Code PFI]],"-",Tableau118[[#This Row],[Compte Site]])</f>
        <v>#N/A</v>
      </c>
      <c r="H4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7" s="397" t="str">
        <f ca="1">IF(COUNTIF(I:I,Tableau118[[#This Row],[Plant-ILN-shipper-POL-Carrier-POD-PFI]])=1,"Non","Oui")</f>
        <v>Oui</v>
      </c>
      <c r="K47" s="398" t="e">
        <f>VLOOKUP(Tableau118[[#This Row],[Name Site]],Plant_AILN!A:D,4,FALSE)</f>
        <v>#N/A</v>
      </c>
      <c r="L47" s="285"/>
      <c r="M47" s="480"/>
      <c r="N47" s="55"/>
      <c r="O47" s="114"/>
      <c r="P47" s="481"/>
      <c r="Q47" s="50"/>
      <c r="R47" s="50"/>
      <c r="S47" s="50"/>
      <c r="T47" s="50"/>
      <c r="U47" s="50"/>
      <c r="V47" s="50"/>
      <c r="W47" s="53"/>
      <c r="X47" s="283"/>
      <c r="Y47" s="482">
        <f>IFERROR(VLOOKUP(Tableau118[[#This Row],[Name Shipper]],Plant_AILN!L:M,2,FALSE),0)</f>
        <v>0</v>
      </c>
      <c r="Z47" s="358"/>
      <c r="AA47" s="353" t="e">
        <f ca="1">VLOOKUP(Tableau118[[#This Row],[Key(ID-Actif)]],'DATA BTO'!A:N,5,FALSE)</f>
        <v>#N/A</v>
      </c>
      <c r="AB47" s="3" t="e">
        <f ca="1">VLOOKUP(Tableau118[[#This Row],[Key(ID-Actif)]],'DATA BTO'!A:N,6,FALSE)</f>
        <v>#N/A</v>
      </c>
      <c r="AC47" s="50" t="e">
        <f ca="1">VLOOKUP(Tableau118[[#This Row],[Key(ID-Actif)]],'DATA BTO'!A:N,7,FALSE)</f>
        <v>#N/A</v>
      </c>
      <c r="AD47" s="50" t="e">
        <f ca="1">VLOOKUP(Tableau118[[#This Row],[Key(ID-Actif)]],'DATA BTO'!A:N,8,FALSE)</f>
        <v>#N/A</v>
      </c>
      <c r="AE47" s="50" t="e">
        <f ca="1">IF(Tableau118[[#This Row],[First Day to POL]]&lt;=Tableau118[[#This Row],[Day Cut Off]],Tableau118[[#This Row],[Day ETD]],Tableau118[[#This Row],[Day ETD]]+7)</f>
        <v>#N/A</v>
      </c>
      <c r="AF47" s="50" t="e">
        <f ca="1">VLOOKUP(Tableau118[[#This Row],[Key(ID-Actif)]],'DATA BTO'!A:N,9,FALSE)</f>
        <v>#N/A</v>
      </c>
      <c r="AG47" s="3" t="e">
        <f ca="1">VLOOKUP(Tableau118[[#This Row],[Key(ID-Actif)]],'DATA BTO'!A:N,10,FALSE)</f>
        <v>#N/A</v>
      </c>
      <c r="AH47" s="3" t="e">
        <f ca="1">VLOOKUP(Tableau118[[#This Row],[Key(ID-Actif)]],'DATA BTO'!A:N,11,FALSE)</f>
        <v>#N/A</v>
      </c>
      <c r="AI47" s="50" t="e">
        <f ca="1">VLOOKUP(Tableau118[[#This Row],[Key(ID-Actif)]],'DATA BTO'!A:N,12,FALSE)</f>
        <v>#N/A</v>
      </c>
      <c r="AJ47" s="53" t="e">
        <f ca="1">VLOOKUP(Tableau118[[#This Row],[Key(ID-Actif)]],'DATA BTO'!A:N,14,FALSE)</f>
        <v>#N/A</v>
      </c>
      <c r="AK47" s="54" t="e">
        <f ca="1">VLOOKUP(Tableau118[[#This Row],[Key(POD -PFI- Usine)]],'DATA Consignee'!A:F,6,FALSE)</f>
        <v>#N/A</v>
      </c>
      <c r="AL47" s="125"/>
      <c r="AM47" s="483" t="str">
        <f>IF(Tableau118[[#This Row],[Name PFI/CDD]]="","-",VLOOKUP(Tableau118[[#This Row],[Name PFI/CDD]],Plant_AILN!I:J,2,FALSE))</f>
        <v>-</v>
      </c>
      <c r="AN4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7" s="2" t="e">
        <f ca="1">VLOOKUP(Tableau118[[#This Row],[Key(POD -PFI- Usine)]],'DATA Consignee'!A:J,10,FALSE)</f>
        <v>#N/A</v>
      </c>
      <c r="AQ47" s="50" t="e">
        <f ca="1">VLOOKUP(Tableau118[[#This Row],[Key(POD -PFI- Usine)]],'DATA Consignee'!A:N,14,FALSE)</f>
        <v>#N/A</v>
      </c>
      <c r="AR4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7" s="50" t="e">
        <f ca="1">Tableau118[[#This Row],[Transit time]]+Tableau118[[#This Row],[Time for security]]+Tableau118[[#This Row],[Time for security2 buffer]]</f>
        <v>#N/A</v>
      </c>
      <c r="AU4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7" s="389" t="e">
        <f ca="1">Tableau118[[#This Row],[Leadtime SI2C]]+Tableau118[[#This Row],[First Receipt Days]]-Tableau118[[#This Row],[Day Customer Order]]+1</f>
        <v>#N/A</v>
      </c>
      <c r="AW47" s="117" t="e">
        <f ca="1">IF(Tableau118[[#This Row],[Name ILN]]&lt;&gt;"SFK Freight Forwarder",Tableau118[[#This Row],[Cust. Leadtime]],Tableau118[[#This Row],[Leadtime SI2C]])</f>
        <v>#N/A</v>
      </c>
      <c r="AX47" s="51" t="e">
        <f>VLOOKUP(Tableau118[[#This Row],[ID]],'DATA BTO'!B:P,15,FALSE)</f>
        <v>#N/A</v>
      </c>
      <c r="AY47" s="328" t="e">
        <f ca="1">IFERROR(VLOOKUP(Tableau118[[#This Row],[Key(ID-Actif)]],'DATA BTO'!A:N,4,FALSE),VLOOKUP(Tableau118[[#This Row],[ID]],'DATA BTO'!B:N,3,FALSE))</f>
        <v>#N/A</v>
      </c>
      <c r="AZ4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7" s="50"/>
    </row>
    <row r="48" spans="2:57">
      <c r="B48" s="65" t="str">
        <f>_xlfn.CONCAT(Tableau118[[#This Row],[Name ILN]],"-",Tableau118[[#This Row],[Name Shipper]],"-",Tableau118[[#This Row],[Name Site]])</f>
        <v>--</v>
      </c>
      <c r="C48" s="65" t="e">
        <f ca="1">_xlfn.CONCAT(Tableau118[[#This Row],[Compte ILN]],"-",Tableau118[[#This Row],[Compte Shipper]],"-",Tableau118[[#This Row],[POL]],"-",Tableau118[[#This Row],[Compte Site]])</f>
        <v>#N/A</v>
      </c>
      <c r="D48" s="64" t="e">
        <f ca="1">_xlfn.CONCAT(Tableau118[[#This Row],[Compte ILN]],"-",Tableau118[[#This Row],[Compte Shipper]],"-",Tableau118[[#This Row],[POL]])</f>
        <v>#N/A</v>
      </c>
      <c r="E48" s="396" t="e">
        <f ca="1">_xlfn.CONCAT(Tableau118[[#This Row],[POL]],"-",Tableau118[[#This Row],[Carrier]],"-",Tableau118[[#This Row],[POD]])</f>
        <v>#N/A</v>
      </c>
      <c r="F48" s="64" t="str">
        <f>_xlfn.CONCAT(Tableau118[[#This Row],[ID]],"-","Next")</f>
        <v>-Next</v>
      </c>
      <c r="G48" s="64" t="e">
        <f ca="1">_xlfn.CONCAT(Tableau118[[#This Row],[POD]],"-",Tableau118[[#This Row],[Code PFI]],"-",Tableau118[[#This Row],[Compte Site]])</f>
        <v>#N/A</v>
      </c>
      <c r="H4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8" s="397" t="str">
        <f ca="1">IF(COUNTIF(I:I,Tableau118[[#This Row],[Plant-ILN-shipper-POL-Carrier-POD-PFI]])=1,"Non","Oui")</f>
        <v>Oui</v>
      </c>
      <c r="K48" s="398" t="e">
        <f>VLOOKUP(Tableau118[[#This Row],[Name Site]],Plant_AILN!A:D,4,FALSE)</f>
        <v>#N/A</v>
      </c>
      <c r="L48" s="285"/>
      <c r="M48" s="480"/>
      <c r="N48" s="55"/>
      <c r="O48" s="114"/>
      <c r="P48" s="481"/>
      <c r="Q48" s="50"/>
      <c r="R48" s="50"/>
      <c r="S48" s="50"/>
      <c r="T48" s="50"/>
      <c r="U48" s="50"/>
      <c r="V48" s="50"/>
      <c r="W48" s="53"/>
      <c r="X48" s="283"/>
      <c r="Y48" s="482">
        <f>IFERROR(VLOOKUP(Tableau118[[#This Row],[Name Shipper]],Plant_AILN!L:M,2,FALSE),0)</f>
        <v>0</v>
      </c>
      <c r="Z48" s="358"/>
      <c r="AA48" s="353" t="e">
        <f ca="1">VLOOKUP(Tableau118[[#This Row],[Key(ID-Actif)]],'DATA BTO'!A:N,5,FALSE)</f>
        <v>#N/A</v>
      </c>
      <c r="AB48" s="3" t="e">
        <f ca="1">VLOOKUP(Tableau118[[#This Row],[Key(ID-Actif)]],'DATA BTO'!A:N,6,FALSE)</f>
        <v>#N/A</v>
      </c>
      <c r="AC48" s="50" t="e">
        <f ca="1">VLOOKUP(Tableau118[[#This Row],[Key(ID-Actif)]],'DATA BTO'!A:N,7,FALSE)</f>
        <v>#N/A</v>
      </c>
      <c r="AD48" s="50" t="e">
        <f ca="1">VLOOKUP(Tableau118[[#This Row],[Key(ID-Actif)]],'DATA BTO'!A:N,8,FALSE)</f>
        <v>#N/A</v>
      </c>
      <c r="AE48" s="50" t="e">
        <f ca="1">IF(Tableau118[[#This Row],[First Day to POL]]&lt;=Tableau118[[#This Row],[Day Cut Off]],Tableau118[[#This Row],[Day ETD]],Tableau118[[#This Row],[Day ETD]]+7)</f>
        <v>#N/A</v>
      </c>
      <c r="AF48" s="50" t="e">
        <f ca="1">VLOOKUP(Tableau118[[#This Row],[Key(ID-Actif)]],'DATA BTO'!A:N,9,FALSE)</f>
        <v>#N/A</v>
      </c>
      <c r="AG48" s="3" t="e">
        <f ca="1">VLOOKUP(Tableau118[[#This Row],[Key(ID-Actif)]],'DATA BTO'!A:N,10,FALSE)</f>
        <v>#N/A</v>
      </c>
      <c r="AH48" s="3" t="e">
        <f ca="1">VLOOKUP(Tableau118[[#This Row],[Key(ID-Actif)]],'DATA BTO'!A:N,11,FALSE)</f>
        <v>#N/A</v>
      </c>
      <c r="AI48" s="50" t="e">
        <f ca="1">VLOOKUP(Tableau118[[#This Row],[Key(ID-Actif)]],'DATA BTO'!A:N,12,FALSE)</f>
        <v>#N/A</v>
      </c>
      <c r="AJ48" s="53" t="e">
        <f ca="1">VLOOKUP(Tableau118[[#This Row],[Key(ID-Actif)]],'DATA BTO'!A:N,14,FALSE)</f>
        <v>#N/A</v>
      </c>
      <c r="AK48" s="54" t="e">
        <f ca="1">VLOOKUP(Tableau118[[#This Row],[Key(POD -PFI- Usine)]],'DATA Consignee'!A:F,6,FALSE)</f>
        <v>#N/A</v>
      </c>
      <c r="AL48" s="125"/>
      <c r="AM48" s="483" t="str">
        <f>IF(Tableau118[[#This Row],[Name PFI/CDD]]="","-",VLOOKUP(Tableau118[[#This Row],[Name PFI/CDD]],Plant_AILN!I:J,2,FALSE))</f>
        <v>-</v>
      </c>
      <c r="AN4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8" s="2" t="e">
        <f ca="1">VLOOKUP(Tableau118[[#This Row],[Key(POD -PFI- Usine)]],'DATA Consignee'!A:J,10,FALSE)</f>
        <v>#N/A</v>
      </c>
      <c r="AQ48" s="50" t="e">
        <f ca="1">VLOOKUP(Tableau118[[#This Row],[Key(POD -PFI- Usine)]],'DATA Consignee'!A:N,14,FALSE)</f>
        <v>#N/A</v>
      </c>
      <c r="AR4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8" s="50" t="e">
        <f ca="1">Tableau118[[#This Row],[Transit time]]+Tableau118[[#This Row],[Time for security]]+Tableau118[[#This Row],[Time for security2 buffer]]</f>
        <v>#N/A</v>
      </c>
      <c r="AU4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8" s="389" t="e">
        <f ca="1">Tableau118[[#This Row],[Leadtime SI2C]]+Tableau118[[#This Row],[First Receipt Days]]-Tableau118[[#This Row],[Day Customer Order]]+1</f>
        <v>#N/A</v>
      </c>
      <c r="AW48" s="117" t="e">
        <f ca="1">IF(Tableau118[[#This Row],[Name ILN]]&lt;&gt;"SFK Freight Forwarder",Tableau118[[#This Row],[Cust. Leadtime]],Tableau118[[#This Row],[Leadtime SI2C]])</f>
        <v>#N/A</v>
      </c>
      <c r="AX48" s="51" t="e">
        <f>VLOOKUP(Tableau118[[#This Row],[ID]],'DATA BTO'!B:P,15,FALSE)</f>
        <v>#N/A</v>
      </c>
      <c r="AY48" s="328" t="e">
        <f ca="1">IFERROR(VLOOKUP(Tableau118[[#This Row],[Key(ID-Actif)]],'DATA BTO'!A:N,4,FALSE),VLOOKUP(Tableau118[[#This Row],[ID]],'DATA BTO'!B:N,3,FALSE))</f>
        <v>#N/A</v>
      </c>
      <c r="AZ4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8" s="50"/>
    </row>
    <row r="49" spans="2:57">
      <c r="B49" s="65" t="str">
        <f>_xlfn.CONCAT(Tableau118[[#This Row],[Name ILN]],"-",Tableau118[[#This Row],[Name Shipper]],"-",Tableau118[[#This Row],[Name Site]])</f>
        <v>--</v>
      </c>
      <c r="C49" s="65" t="e">
        <f ca="1">_xlfn.CONCAT(Tableau118[[#This Row],[Compte ILN]],"-",Tableau118[[#This Row],[Compte Shipper]],"-",Tableau118[[#This Row],[POL]],"-",Tableau118[[#This Row],[Compte Site]])</f>
        <v>#N/A</v>
      </c>
      <c r="D49" s="64" t="e">
        <f ca="1">_xlfn.CONCAT(Tableau118[[#This Row],[Compte ILN]],"-",Tableau118[[#This Row],[Compte Shipper]],"-",Tableau118[[#This Row],[POL]])</f>
        <v>#N/A</v>
      </c>
      <c r="E49" s="396" t="e">
        <f ca="1">_xlfn.CONCAT(Tableau118[[#This Row],[POL]],"-",Tableau118[[#This Row],[Carrier]],"-",Tableau118[[#This Row],[POD]])</f>
        <v>#N/A</v>
      </c>
      <c r="F49" s="64" t="str">
        <f>_xlfn.CONCAT(Tableau118[[#This Row],[ID]],"-","Next")</f>
        <v>-Next</v>
      </c>
      <c r="G49" s="64" t="e">
        <f ca="1">_xlfn.CONCAT(Tableau118[[#This Row],[POD]],"-",Tableau118[[#This Row],[Code PFI]],"-",Tableau118[[#This Row],[Compte Site]])</f>
        <v>#N/A</v>
      </c>
      <c r="H4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9" s="397" t="str">
        <f ca="1">IF(COUNTIF(I:I,Tableau118[[#This Row],[Plant-ILN-shipper-POL-Carrier-POD-PFI]])=1,"Non","Oui")</f>
        <v>Oui</v>
      </c>
      <c r="K49" s="398" t="e">
        <f>VLOOKUP(Tableau118[[#This Row],[Name Site]],Plant_AILN!A:D,4,FALSE)</f>
        <v>#N/A</v>
      </c>
      <c r="L49" s="285"/>
      <c r="M49" s="480"/>
      <c r="N49" s="55"/>
      <c r="O49" s="114"/>
      <c r="P49" s="481"/>
      <c r="Q49" s="50"/>
      <c r="R49" s="50"/>
      <c r="S49" s="50"/>
      <c r="T49" s="50"/>
      <c r="U49" s="50"/>
      <c r="V49" s="50"/>
      <c r="W49" s="53"/>
      <c r="X49" s="283"/>
      <c r="Y49" s="482">
        <f>IFERROR(VLOOKUP(Tableau118[[#This Row],[Name Shipper]],Plant_AILN!L:M,2,FALSE),0)</f>
        <v>0</v>
      </c>
      <c r="Z49" s="358"/>
      <c r="AA49" s="353" t="e">
        <f ca="1">VLOOKUP(Tableau118[[#This Row],[Key(ID-Actif)]],'DATA BTO'!A:N,5,FALSE)</f>
        <v>#N/A</v>
      </c>
      <c r="AB49" s="3" t="e">
        <f ca="1">VLOOKUP(Tableau118[[#This Row],[Key(ID-Actif)]],'DATA BTO'!A:N,6,FALSE)</f>
        <v>#N/A</v>
      </c>
      <c r="AC49" s="50" t="e">
        <f ca="1">VLOOKUP(Tableau118[[#This Row],[Key(ID-Actif)]],'DATA BTO'!A:N,7,FALSE)</f>
        <v>#N/A</v>
      </c>
      <c r="AD49" s="50" t="e">
        <f ca="1">VLOOKUP(Tableau118[[#This Row],[Key(ID-Actif)]],'DATA BTO'!A:N,8,FALSE)</f>
        <v>#N/A</v>
      </c>
      <c r="AE49" s="50" t="e">
        <f ca="1">IF(Tableau118[[#This Row],[First Day to POL]]&lt;=Tableau118[[#This Row],[Day Cut Off]],Tableau118[[#This Row],[Day ETD]],Tableau118[[#This Row],[Day ETD]]+7)</f>
        <v>#N/A</v>
      </c>
      <c r="AF49" s="50" t="e">
        <f ca="1">VLOOKUP(Tableau118[[#This Row],[Key(ID-Actif)]],'DATA BTO'!A:N,9,FALSE)</f>
        <v>#N/A</v>
      </c>
      <c r="AG49" s="3" t="e">
        <f ca="1">VLOOKUP(Tableau118[[#This Row],[Key(ID-Actif)]],'DATA BTO'!A:N,10,FALSE)</f>
        <v>#N/A</v>
      </c>
      <c r="AH49" s="3" t="e">
        <f ca="1">VLOOKUP(Tableau118[[#This Row],[Key(ID-Actif)]],'DATA BTO'!A:N,11,FALSE)</f>
        <v>#N/A</v>
      </c>
      <c r="AI49" s="50" t="e">
        <f ca="1">VLOOKUP(Tableau118[[#This Row],[Key(ID-Actif)]],'DATA BTO'!A:N,12,FALSE)</f>
        <v>#N/A</v>
      </c>
      <c r="AJ49" s="53" t="e">
        <f ca="1">VLOOKUP(Tableau118[[#This Row],[Key(ID-Actif)]],'DATA BTO'!A:N,14,FALSE)</f>
        <v>#N/A</v>
      </c>
      <c r="AK49" s="54" t="e">
        <f ca="1">VLOOKUP(Tableau118[[#This Row],[Key(POD -PFI- Usine)]],'DATA Consignee'!A:F,6,FALSE)</f>
        <v>#N/A</v>
      </c>
      <c r="AL49" s="125"/>
      <c r="AM49" s="483" t="str">
        <f>IF(Tableau118[[#This Row],[Name PFI/CDD]]="","-",VLOOKUP(Tableau118[[#This Row],[Name PFI/CDD]],Plant_AILN!I:J,2,FALSE))</f>
        <v>-</v>
      </c>
      <c r="AN4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9" s="2" t="e">
        <f ca="1">VLOOKUP(Tableau118[[#This Row],[Key(POD -PFI- Usine)]],'DATA Consignee'!A:J,10,FALSE)</f>
        <v>#N/A</v>
      </c>
      <c r="AQ49" s="50" t="e">
        <f ca="1">VLOOKUP(Tableau118[[#This Row],[Key(POD -PFI- Usine)]],'DATA Consignee'!A:N,14,FALSE)</f>
        <v>#N/A</v>
      </c>
      <c r="AR4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9" s="50" t="e">
        <f ca="1">Tableau118[[#This Row],[Transit time]]+Tableau118[[#This Row],[Time for security]]+Tableau118[[#This Row],[Time for security2 buffer]]</f>
        <v>#N/A</v>
      </c>
      <c r="AU4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9" s="389" t="e">
        <f ca="1">Tableau118[[#This Row],[Leadtime SI2C]]+Tableau118[[#This Row],[First Receipt Days]]-Tableau118[[#This Row],[Day Customer Order]]+1</f>
        <v>#N/A</v>
      </c>
      <c r="AW49" s="117" t="e">
        <f ca="1">IF(Tableau118[[#This Row],[Name ILN]]&lt;&gt;"SFK Freight Forwarder",Tableau118[[#This Row],[Cust. Leadtime]],Tableau118[[#This Row],[Leadtime SI2C]])</f>
        <v>#N/A</v>
      </c>
      <c r="AX49" s="51" t="e">
        <f>VLOOKUP(Tableau118[[#This Row],[ID]],'DATA BTO'!B:P,15,FALSE)</f>
        <v>#N/A</v>
      </c>
      <c r="AY49" s="328" t="e">
        <f ca="1">IFERROR(VLOOKUP(Tableau118[[#This Row],[Key(ID-Actif)]],'DATA BTO'!A:N,4,FALSE),VLOOKUP(Tableau118[[#This Row],[ID]],'DATA BTO'!B:N,3,FALSE))</f>
        <v>#N/A</v>
      </c>
      <c r="AZ4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9" s="50"/>
    </row>
    <row r="50" spans="2:57">
      <c r="B50" s="65" t="str">
        <f>_xlfn.CONCAT(Tableau118[[#This Row],[Name ILN]],"-",Tableau118[[#This Row],[Name Shipper]],"-",Tableau118[[#This Row],[Name Site]])</f>
        <v>--</v>
      </c>
      <c r="C50" s="65" t="e">
        <f ca="1">_xlfn.CONCAT(Tableau118[[#This Row],[Compte ILN]],"-",Tableau118[[#This Row],[Compte Shipper]],"-",Tableau118[[#This Row],[POL]],"-",Tableau118[[#This Row],[Compte Site]])</f>
        <v>#N/A</v>
      </c>
      <c r="D50" s="64" t="e">
        <f ca="1">_xlfn.CONCAT(Tableau118[[#This Row],[Compte ILN]],"-",Tableau118[[#This Row],[Compte Shipper]],"-",Tableau118[[#This Row],[POL]])</f>
        <v>#N/A</v>
      </c>
      <c r="E50" s="396" t="e">
        <f ca="1">_xlfn.CONCAT(Tableau118[[#This Row],[POL]],"-",Tableau118[[#This Row],[Carrier]],"-",Tableau118[[#This Row],[POD]])</f>
        <v>#N/A</v>
      </c>
      <c r="F50" s="64" t="str">
        <f>_xlfn.CONCAT(Tableau118[[#This Row],[ID]],"-","Next")</f>
        <v>-Next</v>
      </c>
      <c r="G50" s="64" t="e">
        <f ca="1">_xlfn.CONCAT(Tableau118[[#This Row],[POD]],"-",Tableau118[[#This Row],[Code PFI]],"-",Tableau118[[#This Row],[Compte Site]])</f>
        <v>#N/A</v>
      </c>
      <c r="H5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0" s="397" t="str">
        <f ca="1">IF(COUNTIF(I:I,Tableau118[[#This Row],[Plant-ILN-shipper-POL-Carrier-POD-PFI]])=1,"Non","Oui")</f>
        <v>Oui</v>
      </c>
      <c r="K50" s="398" t="e">
        <f>VLOOKUP(Tableau118[[#This Row],[Name Site]],Plant_AILN!A:D,4,FALSE)</f>
        <v>#N/A</v>
      </c>
      <c r="L50" s="285"/>
      <c r="M50" s="480"/>
      <c r="N50" s="55"/>
      <c r="O50" s="114"/>
      <c r="P50" s="481"/>
      <c r="Q50" s="50"/>
      <c r="R50" s="50"/>
      <c r="S50" s="50"/>
      <c r="T50" s="50"/>
      <c r="U50" s="50"/>
      <c r="V50" s="50"/>
      <c r="W50" s="53"/>
      <c r="X50" s="283"/>
      <c r="Y50" s="482">
        <f>IFERROR(VLOOKUP(Tableau118[[#This Row],[Name Shipper]],Plant_AILN!L:M,2,FALSE),0)</f>
        <v>0</v>
      </c>
      <c r="Z50" s="358"/>
      <c r="AA50" s="353" t="e">
        <f ca="1">VLOOKUP(Tableau118[[#This Row],[Key(ID-Actif)]],'DATA BTO'!A:N,5,FALSE)</f>
        <v>#N/A</v>
      </c>
      <c r="AB50" s="3" t="e">
        <f ca="1">VLOOKUP(Tableau118[[#This Row],[Key(ID-Actif)]],'DATA BTO'!A:N,6,FALSE)</f>
        <v>#N/A</v>
      </c>
      <c r="AC50" s="50" t="e">
        <f ca="1">VLOOKUP(Tableau118[[#This Row],[Key(ID-Actif)]],'DATA BTO'!A:N,7,FALSE)</f>
        <v>#N/A</v>
      </c>
      <c r="AD50" s="50" t="e">
        <f ca="1">VLOOKUP(Tableau118[[#This Row],[Key(ID-Actif)]],'DATA BTO'!A:N,8,FALSE)</f>
        <v>#N/A</v>
      </c>
      <c r="AE50" s="50" t="e">
        <f ca="1">IF(Tableau118[[#This Row],[First Day to POL]]&lt;=Tableau118[[#This Row],[Day Cut Off]],Tableau118[[#This Row],[Day ETD]],Tableau118[[#This Row],[Day ETD]]+7)</f>
        <v>#N/A</v>
      </c>
      <c r="AF50" s="50" t="e">
        <f ca="1">VLOOKUP(Tableau118[[#This Row],[Key(ID-Actif)]],'DATA BTO'!A:N,9,FALSE)</f>
        <v>#N/A</v>
      </c>
      <c r="AG50" s="3" t="e">
        <f ca="1">VLOOKUP(Tableau118[[#This Row],[Key(ID-Actif)]],'DATA BTO'!A:N,10,FALSE)</f>
        <v>#N/A</v>
      </c>
      <c r="AH50" s="3" t="e">
        <f ca="1">VLOOKUP(Tableau118[[#This Row],[Key(ID-Actif)]],'DATA BTO'!A:N,11,FALSE)</f>
        <v>#N/A</v>
      </c>
      <c r="AI50" s="50" t="e">
        <f ca="1">VLOOKUP(Tableau118[[#This Row],[Key(ID-Actif)]],'DATA BTO'!A:N,12,FALSE)</f>
        <v>#N/A</v>
      </c>
      <c r="AJ50" s="53" t="e">
        <f ca="1">VLOOKUP(Tableau118[[#This Row],[Key(ID-Actif)]],'DATA BTO'!A:N,14,FALSE)</f>
        <v>#N/A</v>
      </c>
      <c r="AK50" s="54" t="e">
        <f ca="1">VLOOKUP(Tableau118[[#This Row],[Key(POD -PFI- Usine)]],'DATA Consignee'!A:F,6,FALSE)</f>
        <v>#N/A</v>
      </c>
      <c r="AL50" s="125"/>
      <c r="AM50" s="483" t="str">
        <f>IF(Tableau118[[#This Row],[Name PFI/CDD]]="","-",VLOOKUP(Tableau118[[#This Row],[Name PFI/CDD]],Plant_AILN!I:J,2,FALSE))</f>
        <v>-</v>
      </c>
      <c r="AN5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0" s="2" t="e">
        <f ca="1">VLOOKUP(Tableau118[[#This Row],[Key(POD -PFI- Usine)]],'DATA Consignee'!A:J,10,FALSE)</f>
        <v>#N/A</v>
      </c>
      <c r="AQ50" s="50" t="e">
        <f ca="1">VLOOKUP(Tableau118[[#This Row],[Key(POD -PFI- Usine)]],'DATA Consignee'!A:N,14,FALSE)</f>
        <v>#N/A</v>
      </c>
      <c r="AR5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0" s="50" t="e">
        <f ca="1">Tableau118[[#This Row],[Transit time]]+Tableau118[[#This Row],[Time for security]]+Tableau118[[#This Row],[Time for security2 buffer]]</f>
        <v>#N/A</v>
      </c>
      <c r="AU5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0" s="389" t="e">
        <f ca="1">Tableau118[[#This Row],[Leadtime SI2C]]+Tableau118[[#This Row],[First Receipt Days]]-Tableau118[[#This Row],[Day Customer Order]]+1</f>
        <v>#N/A</v>
      </c>
      <c r="AW50" s="117" t="e">
        <f ca="1">IF(Tableau118[[#This Row],[Name ILN]]&lt;&gt;"SFK Freight Forwarder",Tableau118[[#This Row],[Cust. Leadtime]],Tableau118[[#This Row],[Leadtime SI2C]])</f>
        <v>#N/A</v>
      </c>
      <c r="AX50" s="51" t="e">
        <f>VLOOKUP(Tableau118[[#This Row],[ID]],'DATA BTO'!B:P,15,FALSE)</f>
        <v>#N/A</v>
      </c>
      <c r="AY50" s="328" t="e">
        <f ca="1">IFERROR(VLOOKUP(Tableau118[[#This Row],[Key(ID-Actif)]],'DATA BTO'!A:N,4,FALSE),VLOOKUP(Tableau118[[#This Row],[ID]],'DATA BTO'!B:N,3,FALSE))</f>
        <v>#N/A</v>
      </c>
      <c r="AZ5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0" s="50"/>
    </row>
    <row r="51" spans="2:57">
      <c r="B51" s="65" t="str">
        <f>_xlfn.CONCAT(Tableau118[[#This Row],[Name ILN]],"-",Tableau118[[#This Row],[Name Shipper]],"-",Tableau118[[#This Row],[Name Site]])</f>
        <v>--</v>
      </c>
      <c r="C51" s="65" t="e">
        <f ca="1">_xlfn.CONCAT(Tableau118[[#This Row],[Compte ILN]],"-",Tableau118[[#This Row],[Compte Shipper]],"-",Tableau118[[#This Row],[POL]],"-",Tableau118[[#This Row],[Compte Site]])</f>
        <v>#N/A</v>
      </c>
      <c r="D51" s="64" t="e">
        <f ca="1">_xlfn.CONCAT(Tableau118[[#This Row],[Compte ILN]],"-",Tableau118[[#This Row],[Compte Shipper]],"-",Tableau118[[#This Row],[POL]])</f>
        <v>#N/A</v>
      </c>
      <c r="E51" s="396" t="e">
        <f ca="1">_xlfn.CONCAT(Tableau118[[#This Row],[POL]],"-",Tableau118[[#This Row],[Carrier]],"-",Tableau118[[#This Row],[POD]])</f>
        <v>#N/A</v>
      </c>
      <c r="F51" s="64" t="str">
        <f>_xlfn.CONCAT(Tableau118[[#This Row],[ID]],"-","Next")</f>
        <v>-Next</v>
      </c>
      <c r="G51" s="64" t="e">
        <f ca="1">_xlfn.CONCAT(Tableau118[[#This Row],[POD]],"-",Tableau118[[#This Row],[Code PFI]],"-",Tableau118[[#This Row],[Compte Site]])</f>
        <v>#N/A</v>
      </c>
      <c r="H5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1" s="397" t="str">
        <f ca="1">IF(COUNTIF(I:I,Tableau118[[#This Row],[Plant-ILN-shipper-POL-Carrier-POD-PFI]])=1,"Non","Oui")</f>
        <v>Oui</v>
      </c>
      <c r="K51" s="398" t="e">
        <f>VLOOKUP(Tableau118[[#This Row],[Name Site]],Plant_AILN!A:D,4,FALSE)</f>
        <v>#N/A</v>
      </c>
      <c r="L51" s="285"/>
      <c r="M51" s="480"/>
      <c r="N51" s="55"/>
      <c r="O51" s="114"/>
      <c r="P51" s="481"/>
      <c r="Q51" s="50"/>
      <c r="R51" s="50"/>
      <c r="S51" s="50"/>
      <c r="T51" s="50"/>
      <c r="U51" s="50"/>
      <c r="V51" s="50"/>
      <c r="W51" s="53"/>
      <c r="X51" s="283"/>
      <c r="Y51" s="482">
        <f>IFERROR(VLOOKUP(Tableau118[[#This Row],[Name Shipper]],Plant_AILN!L:M,2,FALSE),0)</f>
        <v>0</v>
      </c>
      <c r="Z51" s="358"/>
      <c r="AA51" s="353" t="e">
        <f ca="1">VLOOKUP(Tableau118[[#This Row],[Key(ID-Actif)]],'DATA BTO'!A:N,5,FALSE)</f>
        <v>#N/A</v>
      </c>
      <c r="AB51" s="3" t="e">
        <f ca="1">VLOOKUP(Tableau118[[#This Row],[Key(ID-Actif)]],'DATA BTO'!A:N,6,FALSE)</f>
        <v>#N/A</v>
      </c>
      <c r="AC51" s="50" t="e">
        <f ca="1">VLOOKUP(Tableau118[[#This Row],[Key(ID-Actif)]],'DATA BTO'!A:N,7,FALSE)</f>
        <v>#N/A</v>
      </c>
      <c r="AD51" s="50" t="e">
        <f ca="1">VLOOKUP(Tableau118[[#This Row],[Key(ID-Actif)]],'DATA BTO'!A:N,8,FALSE)</f>
        <v>#N/A</v>
      </c>
      <c r="AE51" s="50" t="e">
        <f ca="1">IF(Tableau118[[#This Row],[First Day to POL]]&lt;=Tableau118[[#This Row],[Day Cut Off]],Tableau118[[#This Row],[Day ETD]],Tableau118[[#This Row],[Day ETD]]+7)</f>
        <v>#N/A</v>
      </c>
      <c r="AF51" s="50" t="e">
        <f ca="1">VLOOKUP(Tableau118[[#This Row],[Key(ID-Actif)]],'DATA BTO'!A:N,9,FALSE)</f>
        <v>#N/A</v>
      </c>
      <c r="AG51" s="3" t="e">
        <f ca="1">VLOOKUP(Tableau118[[#This Row],[Key(ID-Actif)]],'DATA BTO'!A:N,10,FALSE)</f>
        <v>#N/A</v>
      </c>
      <c r="AH51" s="3" t="e">
        <f ca="1">VLOOKUP(Tableau118[[#This Row],[Key(ID-Actif)]],'DATA BTO'!A:N,11,FALSE)</f>
        <v>#N/A</v>
      </c>
      <c r="AI51" s="50" t="e">
        <f ca="1">VLOOKUP(Tableau118[[#This Row],[Key(ID-Actif)]],'DATA BTO'!A:N,12,FALSE)</f>
        <v>#N/A</v>
      </c>
      <c r="AJ51" s="53" t="e">
        <f ca="1">VLOOKUP(Tableau118[[#This Row],[Key(ID-Actif)]],'DATA BTO'!A:N,14,FALSE)</f>
        <v>#N/A</v>
      </c>
      <c r="AK51" s="54" t="e">
        <f ca="1">VLOOKUP(Tableau118[[#This Row],[Key(POD -PFI- Usine)]],'DATA Consignee'!A:F,6,FALSE)</f>
        <v>#N/A</v>
      </c>
      <c r="AL51" s="125"/>
      <c r="AM51" s="483" t="str">
        <f>IF(Tableau118[[#This Row],[Name PFI/CDD]]="","-",VLOOKUP(Tableau118[[#This Row],[Name PFI/CDD]],Plant_AILN!I:J,2,FALSE))</f>
        <v>-</v>
      </c>
      <c r="AN5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1" s="2" t="e">
        <f ca="1">VLOOKUP(Tableau118[[#This Row],[Key(POD -PFI- Usine)]],'DATA Consignee'!A:J,10,FALSE)</f>
        <v>#N/A</v>
      </c>
      <c r="AQ51" s="50" t="e">
        <f ca="1">VLOOKUP(Tableau118[[#This Row],[Key(POD -PFI- Usine)]],'DATA Consignee'!A:N,14,FALSE)</f>
        <v>#N/A</v>
      </c>
      <c r="AR5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1" s="50" t="e">
        <f ca="1">Tableau118[[#This Row],[Transit time]]+Tableau118[[#This Row],[Time for security]]+Tableau118[[#This Row],[Time for security2 buffer]]</f>
        <v>#N/A</v>
      </c>
      <c r="AU5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1" s="389" t="e">
        <f ca="1">Tableau118[[#This Row],[Leadtime SI2C]]+Tableau118[[#This Row],[First Receipt Days]]-Tableau118[[#This Row],[Day Customer Order]]+1</f>
        <v>#N/A</v>
      </c>
      <c r="AW51" s="117" t="e">
        <f ca="1">IF(Tableau118[[#This Row],[Name ILN]]&lt;&gt;"SFK Freight Forwarder",Tableau118[[#This Row],[Cust. Leadtime]],Tableau118[[#This Row],[Leadtime SI2C]])</f>
        <v>#N/A</v>
      </c>
      <c r="AX51" s="51" t="e">
        <f>VLOOKUP(Tableau118[[#This Row],[ID]],'DATA BTO'!B:P,15,FALSE)</f>
        <v>#N/A</v>
      </c>
      <c r="AY51" s="328" t="e">
        <f ca="1">IFERROR(VLOOKUP(Tableau118[[#This Row],[Key(ID-Actif)]],'DATA BTO'!A:N,4,FALSE),VLOOKUP(Tableau118[[#This Row],[ID]],'DATA BTO'!B:N,3,FALSE))</f>
        <v>#N/A</v>
      </c>
      <c r="AZ5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1" s="50"/>
    </row>
    <row r="52" spans="2:57">
      <c r="B52" s="65" t="str">
        <f>_xlfn.CONCAT(Tableau118[[#This Row],[Name ILN]],"-",Tableau118[[#This Row],[Name Shipper]],"-",Tableau118[[#This Row],[Name Site]])</f>
        <v>--</v>
      </c>
      <c r="C52" s="65" t="e">
        <f ca="1">_xlfn.CONCAT(Tableau118[[#This Row],[Compte ILN]],"-",Tableau118[[#This Row],[Compte Shipper]],"-",Tableau118[[#This Row],[POL]],"-",Tableau118[[#This Row],[Compte Site]])</f>
        <v>#N/A</v>
      </c>
      <c r="D52" s="64" t="e">
        <f ca="1">_xlfn.CONCAT(Tableau118[[#This Row],[Compte ILN]],"-",Tableau118[[#This Row],[Compte Shipper]],"-",Tableau118[[#This Row],[POL]])</f>
        <v>#N/A</v>
      </c>
      <c r="E52" s="396" t="e">
        <f ca="1">_xlfn.CONCAT(Tableau118[[#This Row],[POL]],"-",Tableau118[[#This Row],[Carrier]],"-",Tableau118[[#This Row],[POD]])</f>
        <v>#N/A</v>
      </c>
      <c r="F52" s="64" t="str">
        <f>_xlfn.CONCAT(Tableau118[[#This Row],[ID]],"-","Next")</f>
        <v>-Next</v>
      </c>
      <c r="G52" s="64" t="e">
        <f ca="1">_xlfn.CONCAT(Tableau118[[#This Row],[POD]],"-",Tableau118[[#This Row],[Code PFI]],"-",Tableau118[[#This Row],[Compte Site]])</f>
        <v>#N/A</v>
      </c>
      <c r="H5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2" s="397" t="str">
        <f ca="1">IF(COUNTIF(I:I,Tableau118[[#This Row],[Plant-ILN-shipper-POL-Carrier-POD-PFI]])=1,"Non","Oui")</f>
        <v>Oui</v>
      </c>
      <c r="K52" s="398" t="e">
        <f>VLOOKUP(Tableau118[[#This Row],[Name Site]],Plant_AILN!A:D,4,FALSE)</f>
        <v>#N/A</v>
      </c>
      <c r="L52" s="285"/>
      <c r="M52" s="480"/>
      <c r="N52" s="55"/>
      <c r="O52" s="114"/>
      <c r="P52" s="481"/>
      <c r="Q52" s="50"/>
      <c r="R52" s="50"/>
      <c r="S52" s="50"/>
      <c r="T52" s="50"/>
      <c r="U52" s="50"/>
      <c r="V52" s="50"/>
      <c r="W52" s="53"/>
      <c r="X52" s="283"/>
      <c r="Y52" s="482">
        <f>IFERROR(VLOOKUP(Tableau118[[#This Row],[Name Shipper]],Plant_AILN!L:M,2,FALSE),0)</f>
        <v>0</v>
      </c>
      <c r="Z52" s="358"/>
      <c r="AA52" s="353" t="e">
        <f ca="1">VLOOKUP(Tableau118[[#This Row],[Key(ID-Actif)]],'DATA BTO'!A:N,5,FALSE)</f>
        <v>#N/A</v>
      </c>
      <c r="AB52" s="3" t="e">
        <f ca="1">VLOOKUP(Tableau118[[#This Row],[Key(ID-Actif)]],'DATA BTO'!A:N,6,FALSE)</f>
        <v>#N/A</v>
      </c>
      <c r="AC52" s="50" t="e">
        <f ca="1">VLOOKUP(Tableau118[[#This Row],[Key(ID-Actif)]],'DATA BTO'!A:N,7,FALSE)</f>
        <v>#N/A</v>
      </c>
      <c r="AD52" s="50" t="e">
        <f ca="1">VLOOKUP(Tableau118[[#This Row],[Key(ID-Actif)]],'DATA BTO'!A:N,8,FALSE)</f>
        <v>#N/A</v>
      </c>
      <c r="AE52" s="50" t="e">
        <f ca="1">IF(Tableau118[[#This Row],[First Day to POL]]&lt;=Tableau118[[#This Row],[Day Cut Off]],Tableau118[[#This Row],[Day ETD]],Tableau118[[#This Row],[Day ETD]]+7)</f>
        <v>#N/A</v>
      </c>
      <c r="AF52" s="50" t="e">
        <f ca="1">VLOOKUP(Tableau118[[#This Row],[Key(ID-Actif)]],'DATA BTO'!A:N,9,FALSE)</f>
        <v>#N/A</v>
      </c>
      <c r="AG52" s="3" t="e">
        <f ca="1">VLOOKUP(Tableau118[[#This Row],[Key(ID-Actif)]],'DATA BTO'!A:N,10,FALSE)</f>
        <v>#N/A</v>
      </c>
      <c r="AH52" s="3" t="e">
        <f ca="1">VLOOKUP(Tableau118[[#This Row],[Key(ID-Actif)]],'DATA BTO'!A:N,11,FALSE)</f>
        <v>#N/A</v>
      </c>
      <c r="AI52" s="50" t="e">
        <f ca="1">VLOOKUP(Tableau118[[#This Row],[Key(ID-Actif)]],'DATA BTO'!A:N,12,FALSE)</f>
        <v>#N/A</v>
      </c>
      <c r="AJ52" s="53" t="e">
        <f ca="1">VLOOKUP(Tableau118[[#This Row],[Key(ID-Actif)]],'DATA BTO'!A:N,14,FALSE)</f>
        <v>#N/A</v>
      </c>
      <c r="AK52" s="54" t="e">
        <f ca="1">VLOOKUP(Tableau118[[#This Row],[Key(POD -PFI- Usine)]],'DATA Consignee'!A:F,6,FALSE)</f>
        <v>#N/A</v>
      </c>
      <c r="AL52" s="125"/>
      <c r="AM52" s="483" t="str">
        <f>IF(Tableau118[[#This Row],[Name PFI/CDD]]="","-",VLOOKUP(Tableau118[[#This Row],[Name PFI/CDD]],Plant_AILN!I:J,2,FALSE))</f>
        <v>-</v>
      </c>
      <c r="AN5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2" s="2" t="e">
        <f ca="1">VLOOKUP(Tableau118[[#This Row],[Key(POD -PFI- Usine)]],'DATA Consignee'!A:J,10,FALSE)</f>
        <v>#N/A</v>
      </c>
      <c r="AQ52" s="50" t="e">
        <f ca="1">VLOOKUP(Tableau118[[#This Row],[Key(POD -PFI- Usine)]],'DATA Consignee'!A:N,14,FALSE)</f>
        <v>#N/A</v>
      </c>
      <c r="AR5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2" s="50" t="e">
        <f ca="1">Tableau118[[#This Row],[Transit time]]+Tableau118[[#This Row],[Time for security]]+Tableau118[[#This Row],[Time for security2 buffer]]</f>
        <v>#N/A</v>
      </c>
      <c r="AU5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2" s="389" t="e">
        <f ca="1">Tableau118[[#This Row],[Leadtime SI2C]]+Tableau118[[#This Row],[First Receipt Days]]-Tableau118[[#This Row],[Day Customer Order]]+1</f>
        <v>#N/A</v>
      </c>
      <c r="AW52" s="117" t="e">
        <f ca="1">IF(Tableau118[[#This Row],[Name ILN]]&lt;&gt;"SFK Freight Forwarder",Tableau118[[#This Row],[Cust. Leadtime]],Tableau118[[#This Row],[Leadtime SI2C]])</f>
        <v>#N/A</v>
      </c>
      <c r="AX52" s="51" t="e">
        <f>VLOOKUP(Tableau118[[#This Row],[ID]],'DATA BTO'!B:P,15,FALSE)</f>
        <v>#N/A</v>
      </c>
      <c r="AY52" s="328" t="e">
        <f ca="1">IFERROR(VLOOKUP(Tableau118[[#This Row],[Key(ID-Actif)]],'DATA BTO'!A:N,4,FALSE),VLOOKUP(Tableau118[[#This Row],[ID]],'DATA BTO'!B:N,3,FALSE))</f>
        <v>#N/A</v>
      </c>
      <c r="AZ5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2" s="50"/>
    </row>
    <row r="53" spans="2:57">
      <c r="B53" s="65" t="str">
        <f>_xlfn.CONCAT(Tableau118[[#This Row],[Name ILN]],"-",Tableau118[[#This Row],[Name Shipper]],"-",Tableau118[[#This Row],[Name Site]])</f>
        <v>--</v>
      </c>
      <c r="C53" s="65" t="e">
        <f ca="1">_xlfn.CONCAT(Tableau118[[#This Row],[Compte ILN]],"-",Tableau118[[#This Row],[Compte Shipper]],"-",Tableau118[[#This Row],[POL]],"-",Tableau118[[#This Row],[Compte Site]])</f>
        <v>#N/A</v>
      </c>
      <c r="D53" s="64" t="e">
        <f ca="1">_xlfn.CONCAT(Tableau118[[#This Row],[Compte ILN]],"-",Tableau118[[#This Row],[Compte Shipper]],"-",Tableau118[[#This Row],[POL]])</f>
        <v>#N/A</v>
      </c>
      <c r="E53" s="396" t="e">
        <f ca="1">_xlfn.CONCAT(Tableau118[[#This Row],[POL]],"-",Tableau118[[#This Row],[Carrier]],"-",Tableau118[[#This Row],[POD]])</f>
        <v>#N/A</v>
      </c>
      <c r="F53" s="64" t="str">
        <f>_xlfn.CONCAT(Tableau118[[#This Row],[ID]],"-","Next")</f>
        <v>-Next</v>
      </c>
      <c r="G53" s="64" t="e">
        <f ca="1">_xlfn.CONCAT(Tableau118[[#This Row],[POD]],"-",Tableau118[[#This Row],[Code PFI]],"-",Tableau118[[#This Row],[Compte Site]])</f>
        <v>#N/A</v>
      </c>
      <c r="H5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3" s="397" t="str">
        <f ca="1">IF(COUNTIF(I:I,Tableau118[[#This Row],[Plant-ILN-shipper-POL-Carrier-POD-PFI]])=1,"Non","Oui")</f>
        <v>Oui</v>
      </c>
      <c r="K53" s="398" t="e">
        <f>VLOOKUP(Tableau118[[#This Row],[Name Site]],Plant_AILN!A:D,4,FALSE)</f>
        <v>#N/A</v>
      </c>
      <c r="L53" s="285"/>
      <c r="M53" s="480"/>
      <c r="N53" s="55"/>
      <c r="O53" s="114"/>
      <c r="P53" s="481"/>
      <c r="Q53" s="50"/>
      <c r="R53" s="50"/>
      <c r="S53" s="50"/>
      <c r="T53" s="50"/>
      <c r="U53" s="50"/>
      <c r="V53" s="50"/>
      <c r="W53" s="53"/>
      <c r="X53" s="283"/>
      <c r="Y53" s="482">
        <f>IFERROR(VLOOKUP(Tableau118[[#This Row],[Name Shipper]],Plant_AILN!L:M,2,FALSE),0)</f>
        <v>0</v>
      </c>
      <c r="Z53" s="358"/>
      <c r="AA53" s="353" t="e">
        <f ca="1">VLOOKUP(Tableau118[[#This Row],[Key(ID-Actif)]],'DATA BTO'!A:N,5,FALSE)</f>
        <v>#N/A</v>
      </c>
      <c r="AB53" s="3" t="e">
        <f ca="1">VLOOKUP(Tableau118[[#This Row],[Key(ID-Actif)]],'DATA BTO'!A:N,6,FALSE)</f>
        <v>#N/A</v>
      </c>
      <c r="AC53" s="50" t="e">
        <f ca="1">VLOOKUP(Tableau118[[#This Row],[Key(ID-Actif)]],'DATA BTO'!A:N,7,FALSE)</f>
        <v>#N/A</v>
      </c>
      <c r="AD53" s="50" t="e">
        <f ca="1">VLOOKUP(Tableau118[[#This Row],[Key(ID-Actif)]],'DATA BTO'!A:N,8,FALSE)</f>
        <v>#N/A</v>
      </c>
      <c r="AE53" s="50" t="e">
        <f ca="1">IF(Tableau118[[#This Row],[First Day to POL]]&lt;=Tableau118[[#This Row],[Day Cut Off]],Tableau118[[#This Row],[Day ETD]],Tableau118[[#This Row],[Day ETD]]+7)</f>
        <v>#N/A</v>
      </c>
      <c r="AF53" s="50" t="e">
        <f ca="1">VLOOKUP(Tableau118[[#This Row],[Key(ID-Actif)]],'DATA BTO'!A:N,9,FALSE)</f>
        <v>#N/A</v>
      </c>
      <c r="AG53" s="3" t="e">
        <f ca="1">VLOOKUP(Tableau118[[#This Row],[Key(ID-Actif)]],'DATA BTO'!A:N,10,FALSE)</f>
        <v>#N/A</v>
      </c>
      <c r="AH53" s="3" t="e">
        <f ca="1">VLOOKUP(Tableau118[[#This Row],[Key(ID-Actif)]],'DATA BTO'!A:N,11,FALSE)</f>
        <v>#N/A</v>
      </c>
      <c r="AI53" s="50" t="e">
        <f ca="1">VLOOKUP(Tableau118[[#This Row],[Key(ID-Actif)]],'DATA BTO'!A:N,12,FALSE)</f>
        <v>#N/A</v>
      </c>
      <c r="AJ53" s="53" t="e">
        <f ca="1">VLOOKUP(Tableau118[[#This Row],[Key(ID-Actif)]],'DATA BTO'!A:N,14,FALSE)</f>
        <v>#N/A</v>
      </c>
      <c r="AK53" s="54" t="e">
        <f ca="1">VLOOKUP(Tableau118[[#This Row],[Key(POD -PFI- Usine)]],'DATA Consignee'!A:F,6,FALSE)</f>
        <v>#N/A</v>
      </c>
      <c r="AL53" s="125"/>
      <c r="AM53" s="483" t="str">
        <f>IF(Tableau118[[#This Row],[Name PFI/CDD]]="","-",VLOOKUP(Tableau118[[#This Row],[Name PFI/CDD]],Plant_AILN!I:J,2,FALSE))</f>
        <v>-</v>
      </c>
      <c r="AN5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3" s="2" t="e">
        <f ca="1">VLOOKUP(Tableau118[[#This Row],[Key(POD -PFI- Usine)]],'DATA Consignee'!A:J,10,FALSE)</f>
        <v>#N/A</v>
      </c>
      <c r="AQ53" s="50" t="e">
        <f ca="1">VLOOKUP(Tableau118[[#This Row],[Key(POD -PFI- Usine)]],'DATA Consignee'!A:N,14,FALSE)</f>
        <v>#N/A</v>
      </c>
      <c r="AR5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3" s="50" t="e">
        <f ca="1">Tableau118[[#This Row],[Transit time]]+Tableau118[[#This Row],[Time for security]]+Tableau118[[#This Row],[Time for security2 buffer]]</f>
        <v>#N/A</v>
      </c>
      <c r="AU5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3" s="389" t="e">
        <f ca="1">Tableau118[[#This Row],[Leadtime SI2C]]+Tableau118[[#This Row],[First Receipt Days]]-Tableau118[[#This Row],[Day Customer Order]]+1</f>
        <v>#N/A</v>
      </c>
      <c r="AW53" s="117" t="e">
        <f ca="1">IF(Tableau118[[#This Row],[Name ILN]]&lt;&gt;"SFK Freight Forwarder",Tableau118[[#This Row],[Cust. Leadtime]],Tableau118[[#This Row],[Leadtime SI2C]])</f>
        <v>#N/A</v>
      </c>
      <c r="AX53" s="51" t="e">
        <f>VLOOKUP(Tableau118[[#This Row],[ID]],'DATA BTO'!B:P,15,FALSE)</f>
        <v>#N/A</v>
      </c>
      <c r="AY53" s="328" t="e">
        <f ca="1">IFERROR(VLOOKUP(Tableau118[[#This Row],[Key(ID-Actif)]],'DATA BTO'!A:N,4,FALSE),VLOOKUP(Tableau118[[#This Row],[ID]],'DATA BTO'!B:N,3,FALSE))</f>
        <v>#N/A</v>
      </c>
      <c r="AZ5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3" s="50"/>
    </row>
    <row r="54" spans="2:57">
      <c r="B54" s="65" t="str">
        <f>_xlfn.CONCAT(Tableau118[[#This Row],[Name ILN]],"-",Tableau118[[#This Row],[Name Shipper]],"-",Tableau118[[#This Row],[Name Site]])</f>
        <v>--</v>
      </c>
      <c r="C54" s="65" t="e">
        <f ca="1">_xlfn.CONCAT(Tableau118[[#This Row],[Compte ILN]],"-",Tableau118[[#This Row],[Compte Shipper]],"-",Tableau118[[#This Row],[POL]],"-",Tableau118[[#This Row],[Compte Site]])</f>
        <v>#N/A</v>
      </c>
      <c r="D54" s="64" t="e">
        <f ca="1">_xlfn.CONCAT(Tableau118[[#This Row],[Compte ILN]],"-",Tableau118[[#This Row],[Compte Shipper]],"-",Tableau118[[#This Row],[POL]])</f>
        <v>#N/A</v>
      </c>
      <c r="E54" s="396" t="e">
        <f ca="1">_xlfn.CONCAT(Tableau118[[#This Row],[POL]],"-",Tableau118[[#This Row],[Carrier]],"-",Tableau118[[#This Row],[POD]])</f>
        <v>#N/A</v>
      </c>
      <c r="F54" s="64" t="str">
        <f>_xlfn.CONCAT(Tableau118[[#This Row],[ID]],"-","Next")</f>
        <v>-Next</v>
      </c>
      <c r="G54" s="64" t="e">
        <f ca="1">_xlfn.CONCAT(Tableau118[[#This Row],[POD]],"-",Tableau118[[#This Row],[Code PFI]],"-",Tableau118[[#This Row],[Compte Site]])</f>
        <v>#N/A</v>
      </c>
      <c r="H5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4" s="397" t="str">
        <f ca="1">IF(COUNTIF(I:I,Tableau118[[#This Row],[Plant-ILN-shipper-POL-Carrier-POD-PFI]])=1,"Non","Oui")</f>
        <v>Oui</v>
      </c>
      <c r="K54" s="398" t="e">
        <f>VLOOKUP(Tableau118[[#This Row],[Name Site]],Plant_AILN!A:D,4,FALSE)</f>
        <v>#N/A</v>
      </c>
      <c r="L54" s="285"/>
      <c r="M54" s="480"/>
      <c r="N54" s="55"/>
      <c r="O54" s="114"/>
      <c r="P54" s="481"/>
      <c r="Q54" s="50"/>
      <c r="R54" s="50"/>
      <c r="S54" s="50"/>
      <c r="T54" s="50"/>
      <c r="U54" s="50"/>
      <c r="V54" s="50"/>
      <c r="W54" s="53"/>
      <c r="X54" s="283"/>
      <c r="Y54" s="482">
        <f>IFERROR(VLOOKUP(Tableau118[[#This Row],[Name Shipper]],Plant_AILN!L:M,2,FALSE),0)</f>
        <v>0</v>
      </c>
      <c r="Z54" s="358"/>
      <c r="AA54" s="353" t="e">
        <f ca="1">VLOOKUP(Tableau118[[#This Row],[Key(ID-Actif)]],'DATA BTO'!A:N,5,FALSE)</f>
        <v>#N/A</v>
      </c>
      <c r="AB54" s="3" t="e">
        <f ca="1">VLOOKUP(Tableau118[[#This Row],[Key(ID-Actif)]],'DATA BTO'!A:N,6,FALSE)</f>
        <v>#N/A</v>
      </c>
      <c r="AC54" s="50" t="e">
        <f ca="1">VLOOKUP(Tableau118[[#This Row],[Key(ID-Actif)]],'DATA BTO'!A:N,7,FALSE)</f>
        <v>#N/A</v>
      </c>
      <c r="AD54" s="50" t="e">
        <f ca="1">VLOOKUP(Tableau118[[#This Row],[Key(ID-Actif)]],'DATA BTO'!A:N,8,FALSE)</f>
        <v>#N/A</v>
      </c>
      <c r="AE54" s="50" t="e">
        <f ca="1">IF(Tableau118[[#This Row],[First Day to POL]]&lt;=Tableau118[[#This Row],[Day Cut Off]],Tableau118[[#This Row],[Day ETD]],Tableau118[[#This Row],[Day ETD]]+7)</f>
        <v>#N/A</v>
      </c>
      <c r="AF54" s="50" t="e">
        <f ca="1">VLOOKUP(Tableau118[[#This Row],[Key(ID-Actif)]],'DATA BTO'!A:N,9,FALSE)</f>
        <v>#N/A</v>
      </c>
      <c r="AG54" s="3" t="e">
        <f ca="1">VLOOKUP(Tableau118[[#This Row],[Key(ID-Actif)]],'DATA BTO'!A:N,10,FALSE)</f>
        <v>#N/A</v>
      </c>
      <c r="AH54" s="3" t="e">
        <f ca="1">VLOOKUP(Tableau118[[#This Row],[Key(ID-Actif)]],'DATA BTO'!A:N,11,FALSE)</f>
        <v>#N/A</v>
      </c>
      <c r="AI54" s="50" t="e">
        <f ca="1">VLOOKUP(Tableau118[[#This Row],[Key(ID-Actif)]],'DATA BTO'!A:N,12,FALSE)</f>
        <v>#N/A</v>
      </c>
      <c r="AJ54" s="53" t="e">
        <f ca="1">VLOOKUP(Tableau118[[#This Row],[Key(ID-Actif)]],'DATA BTO'!A:N,14,FALSE)</f>
        <v>#N/A</v>
      </c>
      <c r="AK54" s="54" t="e">
        <f ca="1">VLOOKUP(Tableau118[[#This Row],[Key(POD -PFI- Usine)]],'DATA Consignee'!A:F,6,FALSE)</f>
        <v>#N/A</v>
      </c>
      <c r="AL54" s="125"/>
      <c r="AM54" s="483" t="str">
        <f>IF(Tableau118[[#This Row],[Name PFI/CDD]]="","-",VLOOKUP(Tableau118[[#This Row],[Name PFI/CDD]],Plant_AILN!I:J,2,FALSE))</f>
        <v>-</v>
      </c>
      <c r="AN5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4" s="2" t="e">
        <f ca="1">VLOOKUP(Tableau118[[#This Row],[Key(POD -PFI- Usine)]],'DATA Consignee'!A:J,10,FALSE)</f>
        <v>#N/A</v>
      </c>
      <c r="AQ54" s="50" t="e">
        <f ca="1">VLOOKUP(Tableau118[[#This Row],[Key(POD -PFI- Usine)]],'DATA Consignee'!A:N,14,FALSE)</f>
        <v>#N/A</v>
      </c>
      <c r="AR5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4" s="50" t="e">
        <f ca="1">Tableau118[[#This Row],[Transit time]]+Tableau118[[#This Row],[Time for security]]+Tableau118[[#This Row],[Time for security2 buffer]]</f>
        <v>#N/A</v>
      </c>
      <c r="AU5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4" s="389" t="e">
        <f ca="1">Tableau118[[#This Row],[Leadtime SI2C]]+Tableau118[[#This Row],[First Receipt Days]]-Tableau118[[#This Row],[Day Customer Order]]+1</f>
        <v>#N/A</v>
      </c>
      <c r="AW54" s="117" t="e">
        <f ca="1">IF(Tableau118[[#This Row],[Name ILN]]&lt;&gt;"SFK Freight Forwarder",Tableau118[[#This Row],[Cust. Leadtime]],Tableau118[[#This Row],[Leadtime SI2C]])</f>
        <v>#N/A</v>
      </c>
      <c r="AX54" s="51" t="e">
        <f>VLOOKUP(Tableau118[[#This Row],[ID]],'DATA BTO'!B:P,15,FALSE)</f>
        <v>#N/A</v>
      </c>
      <c r="AY54" s="328" t="e">
        <f ca="1">IFERROR(VLOOKUP(Tableau118[[#This Row],[Key(ID-Actif)]],'DATA BTO'!A:N,4,FALSE),VLOOKUP(Tableau118[[#This Row],[ID]],'DATA BTO'!B:N,3,FALSE))</f>
        <v>#N/A</v>
      </c>
      <c r="AZ5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4" s="50"/>
    </row>
    <row r="55" spans="2:57">
      <c r="B55" s="65" t="str">
        <f>_xlfn.CONCAT(Tableau118[[#This Row],[Name ILN]],"-",Tableau118[[#This Row],[Name Shipper]],"-",Tableau118[[#This Row],[Name Site]])</f>
        <v>--</v>
      </c>
      <c r="C55" s="65" t="e">
        <f ca="1">_xlfn.CONCAT(Tableau118[[#This Row],[Compte ILN]],"-",Tableau118[[#This Row],[Compte Shipper]],"-",Tableau118[[#This Row],[POL]],"-",Tableau118[[#This Row],[Compte Site]])</f>
        <v>#N/A</v>
      </c>
      <c r="D55" s="64" t="e">
        <f ca="1">_xlfn.CONCAT(Tableau118[[#This Row],[Compte ILN]],"-",Tableau118[[#This Row],[Compte Shipper]],"-",Tableau118[[#This Row],[POL]])</f>
        <v>#N/A</v>
      </c>
      <c r="E55" s="396" t="e">
        <f ca="1">_xlfn.CONCAT(Tableau118[[#This Row],[POL]],"-",Tableau118[[#This Row],[Carrier]],"-",Tableau118[[#This Row],[POD]])</f>
        <v>#N/A</v>
      </c>
      <c r="F55" s="64" t="str">
        <f>_xlfn.CONCAT(Tableau118[[#This Row],[ID]],"-","Next")</f>
        <v>-Next</v>
      </c>
      <c r="G55" s="64" t="e">
        <f ca="1">_xlfn.CONCAT(Tableau118[[#This Row],[POD]],"-",Tableau118[[#This Row],[Code PFI]],"-",Tableau118[[#This Row],[Compte Site]])</f>
        <v>#N/A</v>
      </c>
      <c r="H5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5" s="397" t="str">
        <f ca="1">IF(COUNTIF(I:I,Tableau118[[#This Row],[Plant-ILN-shipper-POL-Carrier-POD-PFI]])=1,"Non","Oui")</f>
        <v>Oui</v>
      </c>
      <c r="K55" s="398" t="e">
        <f>VLOOKUP(Tableau118[[#This Row],[Name Site]],Plant_AILN!A:D,4,FALSE)</f>
        <v>#N/A</v>
      </c>
      <c r="L55" s="285"/>
      <c r="M55" s="480"/>
      <c r="N55" s="55"/>
      <c r="O55" s="114"/>
      <c r="P55" s="481"/>
      <c r="Q55" s="50"/>
      <c r="R55" s="50"/>
      <c r="S55" s="50"/>
      <c r="T55" s="50"/>
      <c r="U55" s="50"/>
      <c r="V55" s="50"/>
      <c r="W55" s="53"/>
      <c r="X55" s="283"/>
      <c r="Y55" s="482">
        <f>IFERROR(VLOOKUP(Tableau118[[#This Row],[Name Shipper]],Plant_AILN!L:M,2,FALSE),0)</f>
        <v>0</v>
      </c>
      <c r="Z55" s="358"/>
      <c r="AA55" s="353" t="e">
        <f ca="1">VLOOKUP(Tableau118[[#This Row],[Key(ID-Actif)]],'DATA BTO'!A:N,5,FALSE)</f>
        <v>#N/A</v>
      </c>
      <c r="AB55" s="3" t="e">
        <f ca="1">VLOOKUP(Tableau118[[#This Row],[Key(ID-Actif)]],'DATA BTO'!A:N,6,FALSE)</f>
        <v>#N/A</v>
      </c>
      <c r="AC55" s="50" t="e">
        <f ca="1">VLOOKUP(Tableau118[[#This Row],[Key(ID-Actif)]],'DATA BTO'!A:N,7,FALSE)</f>
        <v>#N/A</v>
      </c>
      <c r="AD55" s="50" t="e">
        <f ca="1">VLOOKUP(Tableau118[[#This Row],[Key(ID-Actif)]],'DATA BTO'!A:N,8,FALSE)</f>
        <v>#N/A</v>
      </c>
      <c r="AE55" s="50" t="e">
        <f ca="1">IF(Tableau118[[#This Row],[First Day to POL]]&lt;=Tableau118[[#This Row],[Day Cut Off]],Tableau118[[#This Row],[Day ETD]],Tableau118[[#This Row],[Day ETD]]+7)</f>
        <v>#N/A</v>
      </c>
      <c r="AF55" s="50" t="e">
        <f ca="1">VLOOKUP(Tableau118[[#This Row],[Key(ID-Actif)]],'DATA BTO'!A:N,9,FALSE)</f>
        <v>#N/A</v>
      </c>
      <c r="AG55" s="3" t="e">
        <f ca="1">VLOOKUP(Tableau118[[#This Row],[Key(ID-Actif)]],'DATA BTO'!A:N,10,FALSE)</f>
        <v>#N/A</v>
      </c>
      <c r="AH55" s="3" t="e">
        <f ca="1">VLOOKUP(Tableau118[[#This Row],[Key(ID-Actif)]],'DATA BTO'!A:N,11,FALSE)</f>
        <v>#N/A</v>
      </c>
      <c r="AI55" s="50" t="e">
        <f ca="1">VLOOKUP(Tableau118[[#This Row],[Key(ID-Actif)]],'DATA BTO'!A:N,12,FALSE)</f>
        <v>#N/A</v>
      </c>
      <c r="AJ55" s="53" t="e">
        <f ca="1">VLOOKUP(Tableau118[[#This Row],[Key(ID-Actif)]],'DATA BTO'!A:N,14,FALSE)</f>
        <v>#N/A</v>
      </c>
      <c r="AK55" s="54" t="e">
        <f ca="1">VLOOKUP(Tableau118[[#This Row],[Key(POD -PFI- Usine)]],'DATA Consignee'!A:F,6,FALSE)</f>
        <v>#N/A</v>
      </c>
      <c r="AL55" s="125"/>
      <c r="AM55" s="483" t="str">
        <f>IF(Tableau118[[#This Row],[Name PFI/CDD]]="","-",VLOOKUP(Tableau118[[#This Row],[Name PFI/CDD]],Plant_AILN!I:J,2,FALSE))</f>
        <v>-</v>
      </c>
      <c r="AN5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5" s="2" t="e">
        <f ca="1">VLOOKUP(Tableau118[[#This Row],[Key(POD -PFI- Usine)]],'DATA Consignee'!A:J,10,FALSE)</f>
        <v>#N/A</v>
      </c>
      <c r="AQ55" s="50" t="e">
        <f ca="1">VLOOKUP(Tableau118[[#This Row],[Key(POD -PFI- Usine)]],'DATA Consignee'!A:N,14,FALSE)</f>
        <v>#N/A</v>
      </c>
      <c r="AR5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5" s="50" t="e">
        <f ca="1">Tableau118[[#This Row],[Transit time]]+Tableau118[[#This Row],[Time for security]]+Tableau118[[#This Row],[Time for security2 buffer]]</f>
        <v>#N/A</v>
      </c>
      <c r="AU5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5" s="389" t="e">
        <f ca="1">Tableau118[[#This Row],[Leadtime SI2C]]+Tableau118[[#This Row],[First Receipt Days]]-Tableau118[[#This Row],[Day Customer Order]]+1</f>
        <v>#N/A</v>
      </c>
      <c r="AW55" s="117" t="e">
        <f ca="1">IF(Tableau118[[#This Row],[Name ILN]]&lt;&gt;"SFK Freight Forwarder",Tableau118[[#This Row],[Cust. Leadtime]],Tableau118[[#This Row],[Leadtime SI2C]])</f>
        <v>#N/A</v>
      </c>
      <c r="AX55" s="51" t="e">
        <f>VLOOKUP(Tableau118[[#This Row],[ID]],'DATA BTO'!B:P,15,FALSE)</f>
        <v>#N/A</v>
      </c>
      <c r="AY55" s="328" t="e">
        <f ca="1">IFERROR(VLOOKUP(Tableau118[[#This Row],[Key(ID-Actif)]],'DATA BTO'!A:N,4,FALSE),VLOOKUP(Tableau118[[#This Row],[ID]],'DATA BTO'!B:N,3,FALSE))</f>
        <v>#N/A</v>
      </c>
      <c r="AZ5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5" s="50"/>
    </row>
    <row r="56" spans="2:57">
      <c r="B56" s="65" t="str">
        <f>_xlfn.CONCAT(Tableau118[[#This Row],[Name ILN]],"-",Tableau118[[#This Row],[Name Shipper]],"-",Tableau118[[#This Row],[Name Site]])</f>
        <v>--</v>
      </c>
      <c r="C56" s="65" t="e">
        <f ca="1">_xlfn.CONCAT(Tableau118[[#This Row],[Compte ILN]],"-",Tableau118[[#This Row],[Compte Shipper]],"-",Tableau118[[#This Row],[POL]],"-",Tableau118[[#This Row],[Compte Site]])</f>
        <v>#N/A</v>
      </c>
      <c r="D56" s="64" t="e">
        <f ca="1">_xlfn.CONCAT(Tableau118[[#This Row],[Compte ILN]],"-",Tableau118[[#This Row],[Compte Shipper]],"-",Tableau118[[#This Row],[POL]])</f>
        <v>#N/A</v>
      </c>
      <c r="E56" s="396" t="e">
        <f ca="1">_xlfn.CONCAT(Tableau118[[#This Row],[POL]],"-",Tableau118[[#This Row],[Carrier]],"-",Tableau118[[#This Row],[POD]])</f>
        <v>#N/A</v>
      </c>
      <c r="F56" s="64" t="str">
        <f>_xlfn.CONCAT(Tableau118[[#This Row],[ID]],"-","Next")</f>
        <v>-Next</v>
      </c>
      <c r="G56" s="64" t="e">
        <f ca="1">_xlfn.CONCAT(Tableau118[[#This Row],[POD]],"-",Tableau118[[#This Row],[Code PFI]],"-",Tableau118[[#This Row],[Compte Site]])</f>
        <v>#N/A</v>
      </c>
      <c r="H5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6" s="397" t="str">
        <f ca="1">IF(COUNTIF(I:I,Tableau118[[#This Row],[Plant-ILN-shipper-POL-Carrier-POD-PFI]])=1,"Non","Oui")</f>
        <v>Oui</v>
      </c>
      <c r="K56" s="398" t="e">
        <f>VLOOKUP(Tableau118[[#This Row],[Name Site]],Plant_AILN!A:D,4,FALSE)</f>
        <v>#N/A</v>
      </c>
      <c r="L56" s="285"/>
      <c r="M56" s="480"/>
      <c r="N56" s="55"/>
      <c r="O56" s="114"/>
      <c r="P56" s="481"/>
      <c r="Q56" s="50"/>
      <c r="R56" s="50"/>
      <c r="S56" s="50"/>
      <c r="T56" s="50"/>
      <c r="U56" s="50"/>
      <c r="V56" s="50"/>
      <c r="W56" s="53"/>
      <c r="X56" s="283"/>
      <c r="Y56" s="482">
        <f>IFERROR(VLOOKUP(Tableau118[[#This Row],[Name Shipper]],Plant_AILN!L:M,2,FALSE),0)</f>
        <v>0</v>
      </c>
      <c r="Z56" s="358"/>
      <c r="AA56" s="353" t="e">
        <f ca="1">VLOOKUP(Tableau118[[#This Row],[Key(ID-Actif)]],'DATA BTO'!A:N,5,FALSE)</f>
        <v>#N/A</v>
      </c>
      <c r="AB56" s="3" t="e">
        <f ca="1">VLOOKUP(Tableau118[[#This Row],[Key(ID-Actif)]],'DATA BTO'!A:N,6,FALSE)</f>
        <v>#N/A</v>
      </c>
      <c r="AC56" s="50" t="e">
        <f ca="1">VLOOKUP(Tableau118[[#This Row],[Key(ID-Actif)]],'DATA BTO'!A:N,7,FALSE)</f>
        <v>#N/A</v>
      </c>
      <c r="AD56" s="50" t="e">
        <f ca="1">VLOOKUP(Tableau118[[#This Row],[Key(ID-Actif)]],'DATA BTO'!A:N,8,FALSE)</f>
        <v>#N/A</v>
      </c>
      <c r="AE56" s="50" t="e">
        <f ca="1">IF(Tableau118[[#This Row],[First Day to POL]]&lt;=Tableau118[[#This Row],[Day Cut Off]],Tableau118[[#This Row],[Day ETD]],Tableau118[[#This Row],[Day ETD]]+7)</f>
        <v>#N/A</v>
      </c>
      <c r="AF56" s="50" t="e">
        <f ca="1">VLOOKUP(Tableau118[[#This Row],[Key(ID-Actif)]],'DATA BTO'!A:N,9,FALSE)</f>
        <v>#N/A</v>
      </c>
      <c r="AG56" s="3" t="e">
        <f ca="1">VLOOKUP(Tableau118[[#This Row],[Key(ID-Actif)]],'DATA BTO'!A:N,10,FALSE)</f>
        <v>#N/A</v>
      </c>
      <c r="AH56" s="3" t="e">
        <f ca="1">VLOOKUP(Tableau118[[#This Row],[Key(ID-Actif)]],'DATA BTO'!A:N,11,FALSE)</f>
        <v>#N/A</v>
      </c>
      <c r="AI56" s="50" t="e">
        <f ca="1">VLOOKUP(Tableau118[[#This Row],[Key(ID-Actif)]],'DATA BTO'!A:N,12,FALSE)</f>
        <v>#N/A</v>
      </c>
      <c r="AJ56" s="53" t="e">
        <f ca="1">VLOOKUP(Tableau118[[#This Row],[Key(ID-Actif)]],'DATA BTO'!A:N,14,FALSE)</f>
        <v>#N/A</v>
      </c>
      <c r="AK56" s="54" t="e">
        <f ca="1">VLOOKUP(Tableau118[[#This Row],[Key(POD -PFI- Usine)]],'DATA Consignee'!A:F,6,FALSE)</f>
        <v>#N/A</v>
      </c>
      <c r="AL56" s="125"/>
      <c r="AM56" s="483" t="str">
        <f>IF(Tableau118[[#This Row],[Name PFI/CDD]]="","-",VLOOKUP(Tableau118[[#This Row],[Name PFI/CDD]],Plant_AILN!I:J,2,FALSE))</f>
        <v>-</v>
      </c>
      <c r="AN5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6" s="2" t="e">
        <f ca="1">VLOOKUP(Tableau118[[#This Row],[Key(POD -PFI- Usine)]],'DATA Consignee'!A:J,10,FALSE)</f>
        <v>#N/A</v>
      </c>
      <c r="AQ56" s="50" t="e">
        <f ca="1">VLOOKUP(Tableau118[[#This Row],[Key(POD -PFI- Usine)]],'DATA Consignee'!A:N,14,FALSE)</f>
        <v>#N/A</v>
      </c>
      <c r="AR5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6" s="50" t="e">
        <f ca="1">Tableau118[[#This Row],[Transit time]]+Tableau118[[#This Row],[Time for security]]+Tableau118[[#This Row],[Time for security2 buffer]]</f>
        <v>#N/A</v>
      </c>
      <c r="AU5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6" s="389" t="e">
        <f ca="1">Tableau118[[#This Row],[Leadtime SI2C]]+Tableau118[[#This Row],[First Receipt Days]]-Tableau118[[#This Row],[Day Customer Order]]+1</f>
        <v>#N/A</v>
      </c>
      <c r="AW56" s="117" t="e">
        <f ca="1">IF(Tableau118[[#This Row],[Name ILN]]&lt;&gt;"SFK Freight Forwarder",Tableau118[[#This Row],[Cust. Leadtime]],Tableau118[[#This Row],[Leadtime SI2C]])</f>
        <v>#N/A</v>
      </c>
      <c r="AX56" s="51" t="e">
        <f>VLOOKUP(Tableau118[[#This Row],[ID]],'DATA BTO'!B:P,15,FALSE)</f>
        <v>#N/A</v>
      </c>
      <c r="AY56" s="328" t="e">
        <f ca="1">IFERROR(VLOOKUP(Tableau118[[#This Row],[Key(ID-Actif)]],'DATA BTO'!A:N,4,FALSE),VLOOKUP(Tableau118[[#This Row],[ID]],'DATA BTO'!B:N,3,FALSE))</f>
        <v>#N/A</v>
      </c>
      <c r="AZ5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6" s="50"/>
    </row>
    <row r="57" spans="2:57">
      <c r="B57" s="65" t="str">
        <f>_xlfn.CONCAT(Tableau118[[#This Row],[Name ILN]],"-",Tableau118[[#This Row],[Name Shipper]],"-",Tableau118[[#This Row],[Name Site]])</f>
        <v>--</v>
      </c>
      <c r="C57" s="65" t="e">
        <f ca="1">_xlfn.CONCAT(Tableau118[[#This Row],[Compte ILN]],"-",Tableau118[[#This Row],[Compte Shipper]],"-",Tableau118[[#This Row],[POL]],"-",Tableau118[[#This Row],[Compte Site]])</f>
        <v>#N/A</v>
      </c>
      <c r="D57" s="64" t="e">
        <f ca="1">_xlfn.CONCAT(Tableau118[[#This Row],[Compte ILN]],"-",Tableau118[[#This Row],[Compte Shipper]],"-",Tableau118[[#This Row],[POL]])</f>
        <v>#N/A</v>
      </c>
      <c r="E57" s="396" t="e">
        <f ca="1">_xlfn.CONCAT(Tableau118[[#This Row],[POL]],"-",Tableau118[[#This Row],[Carrier]],"-",Tableau118[[#This Row],[POD]])</f>
        <v>#N/A</v>
      </c>
      <c r="F57" s="64" t="str">
        <f>_xlfn.CONCAT(Tableau118[[#This Row],[ID]],"-","Next")</f>
        <v>-Next</v>
      </c>
      <c r="G57" s="64" t="e">
        <f ca="1">_xlfn.CONCAT(Tableau118[[#This Row],[POD]],"-",Tableau118[[#This Row],[Code PFI]],"-",Tableau118[[#This Row],[Compte Site]])</f>
        <v>#N/A</v>
      </c>
      <c r="H5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7" s="397" t="str">
        <f ca="1">IF(COUNTIF(I:I,Tableau118[[#This Row],[Plant-ILN-shipper-POL-Carrier-POD-PFI]])=1,"Non","Oui")</f>
        <v>Oui</v>
      </c>
      <c r="K57" s="398" t="e">
        <f>VLOOKUP(Tableau118[[#This Row],[Name Site]],Plant_AILN!A:D,4,FALSE)</f>
        <v>#N/A</v>
      </c>
      <c r="L57" s="285"/>
      <c r="M57" s="480"/>
      <c r="N57" s="55"/>
      <c r="O57" s="114"/>
      <c r="P57" s="481"/>
      <c r="Q57" s="50"/>
      <c r="R57" s="50"/>
      <c r="S57" s="50"/>
      <c r="T57" s="50"/>
      <c r="U57" s="50"/>
      <c r="V57" s="50"/>
      <c r="W57" s="53"/>
      <c r="X57" s="283"/>
      <c r="Y57" s="482">
        <f>IFERROR(VLOOKUP(Tableau118[[#This Row],[Name Shipper]],Plant_AILN!L:M,2,FALSE),0)</f>
        <v>0</v>
      </c>
      <c r="Z57" s="358"/>
      <c r="AA57" s="353" t="e">
        <f ca="1">VLOOKUP(Tableau118[[#This Row],[Key(ID-Actif)]],'DATA BTO'!A:N,5,FALSE)</f>
        <v>#N/A</v>
      </c>
      <c r="AB57" s="3" t="e">
        <f ca="1">VLOOKUP(Tableau118[[#This Row],[Key(ID-Actif)]],'DATA BTO'!A:N,6,FALSE)</f>
        <v>#N/A</v>
      </c>
      <c r="AC57" s="50" t="e">
        <f ca="1">VLOOKUP(Tableau118[[#This Row],[Key(ID-Actif)]],'DATA BTO'!A:N,7,FALSE)</f>
        <v>#N/A</v>
      </c>
      <c r="AD57" s="50" t="e">
        <f ca="1">VLOOKUP(Tableau118[[#This Row],[Key(ID-Actif)]],'DATA BTO'!A:N,8,FALSE)</f>
        <v>#N/A</v>
      </c>
      <c r="AE57" s="50" t="e">
        <f ca="1">IF(Tableau118[[#This Row],[First Day to POL]]&lt;=Tableau118[[#This Row],[Day Cut Off]],Tableau118[[#This Row],[Day ETD]],Tableau118[[#This Row],[Day ETD]]+7)</f>
        <v>#N/A</v>
      </c>
      <c r="AF57" s="50" t="e">
        <f ca="1">VLOOKUP(Tableau118[[#This Row],[Key(ID-Actif)]],'DATA BTO'!A:N,9,FALSE)</f>
        <v>#N/A</v>
      </c>
      <c r="AG57" s="3" t="e">
        <f ca="1">VLOOKUP(Tableau118[[#This Row],[Key(ID-Actif)]],'DATA BTO'!A:N,10,FALSE)</f>
        <v>#N/A</v>
      </c>
      <c r="AH57" s="3" t="e">
        <f ca="1">VLOOKUP(Tableau118[[#This Row],[Key(ID-Actif)]],'DATA BTO'!A:N,11,FALSE)</f>
        <v>#N/A</v>
      </c>
      <c r="AI57" s="50" t="e">
        <f ca="1">VLOOKUP(Tableau118[[#This Row],[Key(ID-Actif)]],'DATA BTO'!A:N,12,FALSE)</f>
        <v>#N/A</v>
      </c>
      <c r="AJ57" s="53" t="e">
        <f ca="1">VLOOKUP(Tableau118[[#This Row],[Key(ID-Actif)]],'DATA BTO'!A:N,14,FALSE)</f>
        <v>#N/A</v>
      </c>
      <c r="AK57" s="54" t="e">
        <f ca="1">VLOOKUP(Tableau118[[#This Row],[Key(POD -PFI- Usine)]],'DATA Consignee'!A:F,6,FALSE)</f>
        <v>#N/A</v>
      </c>
      <c r="AL57" s="125"/>
      <c r="AM57" s="483" t="str">
        <f>IF(Tableau118[[#This Row],[Name PFI/CDD]]="","-",VLOOKUP(Tableau118[[#This Row],[Name PFI/CDD]],Plant_AILN!I:J,2,FALSE))</f>
        <v>-</v>
      </c>
      <c r="AN5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7" s="2" t="e">
        <f ca="1">VLOOKUP(Tableau118[[#This Row],[Key(POD -PFI- Usine)]],'DATA Consignee'!A:J,10,FALSE)</f>
        <v>#N/A</v>
      </c>
      <c r="AQ57" s="50" t="e">
        <f ca="1">VLOOKUP(Tableau118[[#This Row],[Key(POD -PFI- Usine)]],'DATA Consignee'!A:N,14,FALSE)</f>
        <v>#N/A</v>
      </c>
      <c r="AR5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7" s="50" t="e">
        <f ca="1">Tableau118[[#This Row],[Transit time]]+Tableau118[[#This Row],[Time for security]]+Tableau118[[#This Row],[Time for security2 buffer]]</f>
        <v>#N/A</v>
      </c>
      <c r="AU5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7" s="389" t="e">
        <f ca="1">Tableau118[[#This Row],[Leadtime SI2C]]+Tableau118[[#This Row],[First Receipt Days]]-Tableau118[[#This Row],[Day Customer Order]]+1</f>
        <v>#N/A</v>
      </c>
      <c r="AW57" s="117" t="e">
        <f ca="1">IF(Tableau118[[#This Row],[Name ILN]]&lt;&gt;"SFK Freight Forwarder",Tableau118[[#This Row],[Cust. Leadtime]],Tableau118[[#This Row],[Leadtime SI2C]])</f>
        <v>#N/A</v>
      </c>
      <c r="AX57" s="51" t="e">
        <f>VLOOKUP(Tableau118[[#This Row],[ID]],'DATA BTO'!B:P,15,FALSE)</f>
        <v>#N/A</v>
      </c>
      <c r="AY57" s="328" t="e">
        <f ca="1">IFERROR(VLOOKUP(Tableau118[[#This Row],[Key(ID-Actif)]],'DATA BTO'!A:N,4,FALSE),VLOOKUP(Tableau118[[#This Row],[ID]],'DATA BTO'!B:N,3,FALSE))</f>
        <v>#N/A</v>
      </c>
      <c r="AZ5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7" s="50"/>
    </row>
    <row r="58" spans="2:57">
      <c r="B58" s="65" t="str">
        <f>_xlfn.CONCAT(Tableau118[[#This Row],[Name ILN]],"-",Tableau118[[#This Row],[Name Shipper]],"-",Tableau118[[#This Row],[Name Site]])</f>
        <v>--</v>
      </c>
      <c r="C58" s="65" t="e">
        <f ca="1">_xlfn.CONCAT(Tableau118[[#This Row],[Compte ILN]],"-",Tableau118[[#This Row],[Compte Shipper]],"-",Tableau118[[#This Row],[POL]],"-",Tableau118[[#This Row],[Compte Site]])</f>
        <v>#N/A</v>
      </c>
      <c r="D58" s="64" t="e">
        <f ca="1">_xlfn.CONCAT(Tableau118[[#This Row],[Compte ILN]],"-",Tableau118[[#This Row],[Compte Shipper]],"-",Tableau118[[#This Row],[POL]])</f>
        <v>#N/A</v>
      </c>
      <c r="E58" s="396" t="e">
        <f ca="1">_xlfn.CONCAT(Tableau118[[#This Row],[POL]],"-",Tableau118[[#This Row],[Carrier]],"-",Tableau118[[#This Row],[POD]])</f>
        <v>#N/A</v>
      </c>
      <c r="F58" s="64" t="str">
        <f>_xlfn.CONCAT(Tableau118[[#This Row],[ID]],"-","Next")</f>
        <v>-Next</v>
      </c>
      <c r="G58" s="64" t="e">
        <f ca="1">_xlfn.CONCAT(Tableau118[[#This Row],[POD]],"-",Tableau118[[#This Row],[Code PFI]],"-",Tableau118[[#This Row],[Compte Site]])</f>
        <v>#N/A</v>
      </c>
      <c r="H5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8" s="397" t="str">
        <f ca="1">IF(COUNTIF(I:I,Tableau118[[#This Row],[Plant-ILN-shipper-POL-Carrier-POD-PFI]])=1,"Non","Oui")</f>
        <v>Oui</v>
      </c>
      <c r="K58" s="398" t="e">
        <f>VLOOKUP(Tableau118[[#This Row],[Name Site]],Plant_AILN!A:D,4,FALSE)</f>
        <v>#N/A</v>
      </c>
      <c r="L58" s="285"/>
      <c r="M58" s="480"/>
      <c r="N58" s="55"/>
      <c r="O58" s="114"/>
      <c r="P58" s="481"/>
      <c r="Q58" s="50"/>
      <c r="R58" s="50"/>
      <c r="S58" s="50"/>
      <c r="T58" s="50"/>
      <c r="U58" s="50"/>
      <c r="V58" s="50"/>
      <c r="W58" s="53"/>
      <c r="X58" s="283"/>
      <c r="Y58" s="482">
        <f>IFERROR(VLOOKUP(Tableau118[[#This Row],[Name Shipper]],Plant_AILN!L:M,2,FALSE),0)</f>
        <v>0</v>
      </c>
      <c r="Z58" s="358"/>
      <c r="AA58" s="353" t="e">
        <f ca="1">VLOOKUP(Tableau118[[#This Row],[Key(ID-Actif)]],'DATA BTO'!A:N,5,FALSE)</f>
        <v>#N/A</v>
      </c>
      <c r="AB58" s="3" t="e">
        <f ca="1">VLOOKUP(Tableau118[[#This Row],[Key(ID-Actif)]],'DATA BTO'!A:N,6,FALSE)</f>
        <v>#N/A</v>
      </c>
      <c r="AC58" s="50" t="e">
        <f ca="1">VLOOKUP(Tableau118[[#This Row],[Key(ID-Actif)]],'DATA BTO'!A:N,7,FALSE)</f>
        <v>#N/A</v>
      </c>
      <c r="AD58" s="50" t="e">
        <f ca="1">VLOOKUP(Tableau118[[#This Row],[Key(ID-Actif)]],'DATA BTO'!A:N,8,FALSE)</f>
        <v>#N/A</v>
      </c>
      <c r="AE58" s="50" t="e">
        <f ca="1">IF(Tableau118[[#This Row],[First Day to POL]]&lt;=Tableau118[[#This Row],[Day Cut Off]],Tableau118[[#This Row],[Day ETD]],Tableau118[[#This Row],[Day ETD]]+7)</f>
        <v>#N/A</v>
      </c>
      <c r="AF58" s="50" t="e">
        <f ca="1">VLOOKUP(Tableau118[[#This Row],[Key(ID-Actif)]],'DATA BTO'!A:N,9,FALSE)</f>
        <v>#N/A</v>
      </c>
      <c r="AG58" s="3" t="e">
        <f ca="1">VLOOKUP(Tableau118[[#This Row],[Key(ID-Actif)]],'DATA BTO'!A:N,10,FALSE)</f>
        <v>#N/A</v>
      </c>
      <c r="AH58" s="3" t="e">
        <f ca="1">VLOOKUP(Tableau118[[#This Row],[Key(ID-Actif)]],'DATA BTO'!A:N,11,FALSE)</f>
        <v>#N/A</v>
      </c>
      <c r="AI58" s="50" t="e">
        <f ca="1">VLOOKUP(Tableau118[[#This Row],[Key(ID-Actif)]],'DATA BTO'!A:N,12,FALSE)</f>
        <v>#N/A</v>
      </c>
      <c r="AJ58" s="53" t="e">
        <f ca="1">VLOOKUP(Tableau118[[#This Row],[Key(ID-Actif)]],'DATA BTO'!A:N,14,FALSE)</f>
        <v>#N/A</v>
      </c>
      <c r="AK58" s="54" t="e">
        <f ca="1">VLOOKUP(Tableau118[[#This Row],[Key(POD -PFI- Usine)]],'DATA Consignee'!A:F,6,FALSE)</f>
        <v>#N/A</v>
      </c>
      <c r="AL58" s="125"/>
      <c r="AM58" s="483" t="str">
        <f>IF(Tableau118[[#This Row],[Name PFI/CDD]]="","-",VLOOKUP(Tableau118[[#This Row],[Name PFI/CDD]],Plant_AILN!I:J,2,FALSE))</f>
        <v>-</v>
      </c>
      <c r="AN5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8" s="2" t="e">
        <f ca="1">VLOOKUP(Tableau118[[#This Row],[Key(POD -PFI- Usine)]],'DATA Consignee'!A:J,10,FALSE)</f>
        <v>#N/A</v>
      </c>
      <c r="AQ58" s="50" t="e">
        <f ca="1">VLOOKUP(Tableau118[[#This Row],[Key(POD -PFI- Usine)]],'DATA Consignee'!A:N,14,FALSE)</f>
        <v>#N/A</v>
      </c>
      <c r="AR5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8" s="50" t="e">
        <f ca="1">Tableau118[[#This Row],[Transit time]]+Tableau118[[#This Row],[Time for security]]+Tableau118[[#This Row],[Time for security2 buffer]]</f>
        <v>#N/A</v>
      </c>
      <c r="AU5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8" s="389" t="e">
        <f ca="1">Tableau118[[#This Row],[Leadtime SI2C]]+Tableau118[[#This Row],[First Receipt Days]]-Tableau118[[#This Row],[Day Customer Order]]+1</f>
        <v>#N/A</v>
      </c>
      <c r="AW58" s="117" t="e">
        <f ca="1">IF(Tableau118[[#This Row],[Name ILN]]&lt;&gt;"SFK Freight Forwarder",Tableau118[[#This Row],[Cust. Leadtime]],Tableau118[[#This Row],[Leadtime SI2C]])</f>
        <v>#N/A</v>
      </c>
      <c r="AX58" s="51" t="e">
        <f>VLOOKUP(Tableau118[[#This Row],[ID]],'DATA BTO'!B:P,15,FALSE)</f>
        <v>#N/A</v>
      </c>
      <c r="AY58" s="328" t="e">
        <f ca="1">IFERROR(VLOOKUP(Tableau118[[#This Row],[Key(ID-Actif)]],'DATA BTO'!A:N,4,FALSE),VLOOKUP(Tableau118[[#This Row],[ID]],'DATA BTO'!B:N,3,FALSE))</f>
        <v>#N/A</v>
      </c>
      <c r="AZ5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8" s="50"/>
    </row>
    <row r="59" spans="2:57">
      <c r="B59" s="65" t="str">
        <f>_xlfn.CONCAT(Tableau118[[#This Row],[Name ILN]],"-",Tableau118[[#This Row],[Name Shipper]],"-",Tableau118[[#This Row],[Name Site]])</f>
        <v>--</v>
      </c>
      <c r="C59" s="65" t="e">
        <f ca="1">_xlfn.CONCAT(Tableau118[[#This Row],[Compte ILN]],"-",Tableau118[[#This Row],[Compte Shipper]],"-",Tableau118[[#This Row],[POL]],"-",Tableau118[[#This Row],[Compte Site]])</f>
        <v>#N/A</v>
      </c>
      <c r="D59" s="64" t="e">
        <f ca="1">_xlfn.CONCAT(Tableau118[[#This Row],[Compte ILN]],"-",Tableau118[[#This Row],[Compte Shipper]],"-",Tableau118[[#This Row],[POL]])</f>
        <v>#N/A</v>
      </c>
      <c r="E59" s="396" t="e">
        <f ca="1">_xlfn.CONCAT(Tableau118[[#This Row],[POL]],"-",Tableau118[[#This Row],[Carrier]],"-",Tableau118[[#This Row],[POD]])</f>
        <v>#N/A</v>
      </c>
      <c r="F59" s="64" t="str">
        <f>_xlfn.CONCAT(Tableau118[[#This Row],[ID]],"-","Next")</f>
        <v>-Next</v>
      </c>
      <c r="G59" s="64" t="e">
        <f ca="1">_xlfn.CONCAT(Tableau118[[#This Row],[POD]],"-",Tableau118[[#This Row],[Code PFI]],"-",Tableau118[[#This Row],[Compte Site]])</f>
        <v>#N/A</v>
      </c>
      <c r="H5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5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59" s="397" t="str">
        <f ca="1">IF(COUNTIF(I:I,Tableau118[[#This Row],[Plant-ILN-shipper-POL-Carrier-POD-PFI]])=1,"Non","Oui")</f>
        <v>Oui</v>
      </c>
      <c r="K59" s="398" t="e">
        <f>VLOOKUP(Tableau118[[#This Row],[Name Site]],Plant_AILN!A:D,4,FALSE)</f>
        <v>#N/A</v>
      </c>
      <c r="L59" s="285"/>
      <c r="M59" s="480"/>
      <c r="N59" s="55"/>
      <c r="O59" s="114"/>
      <c r="P59" s="481"/>
      <c r="Q59" s="50"/>
      <c r="R59" s="50"/>
      <c r="S59" s="50"/>
      <c r="T59" s="50"/>
      <c r="U59" s="50"/>
      <c r="V59" s="50"/>
      <c r="W59" s="53"/>
      <c r="X59" s="283"/>
      <c r="Y59" s="482">
        <f>IFERROR(VLOOKUP(Tableau118[[#This Row],[Name Shipper]],Plant_AILN!L:M,2,FALSE),0)</f>
        <v>0</v>
      </c>
      <c r="Z59" s="358"/>
      <c r="AA59" s="353" t="e">
        <f ca="1">VLOOKUP(Tableau118[[#This Row],[Key(ID-Actif)]],'DATA BTO'!A:N,5,FALSE)</f>
        <v>#N/A</v>
      </c>
      <c r="AB59" s="3" t="e">
        <f ca="1">VLOOKUP(Tableau118[[#This Row],[Key(ID-Actif)]],'DATA BTO'!A:N,6,FALSE)</f>
        <v>#N/A</v>
      </c>
      <c r="AC59" s="50" t="e">
        <f ca="1">VLOOKUP(Tableau118[[#This Row],[Key(ID-Actif)]],'DATA BTO'!A:N,7,FALSE)</f>
        <v>#N/A</v>
      </c>
      <c r="AD59" s="50" t="e">
        <f ca="1">VLOOKUP(Tableau118[[#This Row],[Key(ID-Actif)]],'DATA BTO'!A:N,8,FALSE)</f>
        <v>#N/A</v>
      </c>
      <c r="AE59" s="50" t="e">
        <f ca="1">IF(Tableau118[[#This Row],[First Day to POL]]&lt;=Tableau118[[#This Row],[Day Cut Off]],Tableau118[[#This Row],[Day ETD]],Tableau118[[#This Row],[Day ETD]]+7)</f>
        <v>#N/A</v>
      </c>
      <c r="AF59" s="50" t="e">
        <f ca="1">VLOOKUP(Tableau118[[#This Row],[Key(ID-Actif)]],'DATA BTO'!A:N,9,FALSE)</f>
        <v>#N/A</v>
      </c>
      <c r="AG59" s="3" t="e">
        <f ca="1">VLOOKUP(Tableau118[[#This Row],[Key(ID-Actif)]],'DATA BTO'!A:N,10,FALSE)</f>
        <v>#N/A</v>
      </c>
      <c r="AH59" s="3" t="e">
        <f ca="1">VLOOKUP(Tableau118[[#This Row],[Key(ID-Actif)]],'DATA BTO'!A:N,11,FALSE)</f>
        <v>#N/A</v>
      </c>
      <c r="AI59" s="50" t="e">
        <f ca="1">VLOOKUP(Tableau118[[#This Row],[Key(ID-Actif)]],'DATA BTO'!A:N,12,FALSE)</f>
        <v>#N/A</v>
      </c>
      <c r="AJ59" s="53" t="e">
        <f ca="1">VLOOKUP(Tableau118[[#This Row],[Key(ID-Actif)]],'DATA BTO'!A:N,14,FALSE)</f>
        <v>#N/A</v>
      </c>
      <c r="AK59" s="54" t="e">
        <f ca="1">VLOOKUP(Tableau118[[#This Row],[Key(POD -PFI- Usine)]],'DATA Consignee'!A:F,6,FALSE)</f>
        <v>#N/A</v>
      </c>
      <c r="AL59" s="125"/>
      <c r="AM59" s="483" t="str">
        <f>IF(Tableau118[[#This Row],[Name PFI/CDD]]="","-",VLOOKUP(Tableau118[[#This Row],[Name PFI/CDD]],Plant_AILN!I:J,2,FALSE))</f>
        <v>-</v>
      </c>
      <c r="AN5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5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59" s="2" t="e">
        <f ca="1">VLOOKUP(Tableau118[[#This Row],[Key(POD -PFI- Usine)]],'DATA Consignee'!A:J,10,FALSE)</f>
        <v>#N/A</v>
      </c>
      <c r="AQ59" s="50" t="e">
        <f ca="1">VLOOKUP(Tableau118[[#This Row],[Key(POD -PFI- Usine)]],'DATA Consignee'!A:N,14,FALSE)</f>
        <v>#N/A</v>
      </c>
      <c r="AR5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5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59" s="50" t="e">
        <f ca="1">Tableau118[[#This Row],[Transit time]]+Tableau118[[#This Row],[Time for security]]+Tableau118[[#This Row],[Time for security2 buffer]]</f>
        <v>#N/A</v>
      </c>
      <c r="AU5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59" s="389" t="e">
        <f ca="1">Tableau118[[#This Row],[Leadtime SI2C]]+Tableau118[[#This Row],[First Receipt Days]]-Tableau118[[#This Row],[Day Customer Order]]+1</f>
        <v>#N/A</v>
      </c>
      <c r="AW59" s="117" t="e">
        <f ca="1">IF(Tableau118[[#This Row],[Name ILN]]&lt;&gt;"SFK Freight Forwarder",Tableau118[[#This Row],[Cust. Leadtime]],Tableau118[[#This Row],[Leadtime SI2C]])</f>
        <v>#N/A</v>
      </c>
      <c r="AX59" s="51" t="e">
        <f>VLOOKUP(Tableau118[[#This Row],[ID]],'DATA BTO'!B:P,15,FALSE)</f>
        <v>#N/A</v>
      </c>
      <c r="AY59" s="328" t="e">
        <f ca="1">IFERROR(VLOOKUP(Tableau118[[#This Row],[Key(ID-Actif)]],'DATA BTO'!A:N,4,FALSE),VLOOKUP(Tableau118[[#This Row],[ID]],'DATA BTO'!B:N,3,FALSE))</f>
        <v>#N/A</v>
      </c>
      <c r="AZ5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5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5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5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5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59" s="50"/>
    </row>
    <row r="60" spans="2:57">
      <c r="B60" s="65" t="str">
        <f>_xlfn.CONCAT(Tableau118[[#This Row],[Name ILN]],"-",Tableau118[[#This Row],[Name Shipper]],"-",Tableau118[[#This Row],[Name Site]])</f>
        <v>--</v>
      </c>
      <c r="C60" s="65" t="e">
        <f ca="1">_xlfn.CONCAT(Tableau118[[#This Row],[Compte ILN]],"-",Tableau118[[#This Row],[Compte Shipper]],"-",Tableau118[[#This Row],[POL]],"-",Tableau118[[#This Row],[Compte Site]])</f>
        <v>#N/A</v>
      </c>
      <c r="D60" s="64" t="e">
        <f ca="1">_xlfn.CONCAT(Tableau118[[#This Row],[Compte ILN]],"-",Tableau118[[#This Row],[Compte Shipper]],"-",Tableau118[[#This Row],[POL]])</f>
        <v>#N/A</v>
      </c>
      <c r="E60" s="396" t="e">
        <f ca="1">_xlfn.CONCAT(Tableau118[[#This Row],[POL]],"-",Tableau118[[#This Row],[Carrier]],"-",Tableau118[[#This Row],[POD]])</f>
        <v>#N/A</v>
      </c>
      <c r="F60" s="64" t="str">
        <f>_xlfn.CONCAT(Tableau118[[#This Row],[ID]],"-","Next")</f>
        <v>-Next</v>
      </c>
      <c r="G60" s="64" t="e">
        <f ca="1">_xlfn.CONCAT(Tableau118[[#This Row],[POD]],"-",Tableau118[[#This Row],[Code PFI]],"-",Tableau118[[#This Row],[Compte Site]])</f>
        <v>#N/A</v>
      </c>
      <c r="H6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0" s="397" t="str">
        <f ca="1">IF(COUNTIF(I:I,Tableau118[[#This Row],[Plant-ILN-shipper-POL-Carrier-POD-PFI]])=1,"Non","Oui")</f>
        <v>Oui</v>
      </c>
      <c r="K60" s="398" t="e">
        <f>VLOOKUP(Tableau118[[#This Row],[Name Site]],Plant_AILN!A:D,4,FALSE)</f>
        <v>#N/A</v>
      </c>
      <c r="L60" s="285"/>
      <c r="M60" s="480"/>
      <c r="N60" s="55"/>
      <c r="O60" s="114"/>
      <c r="P60" s="481"/>
      <c r="Q60" s="50"/>
      <c r="R60" s="50"/>
      <c r="S60" s="50"/>
      <c r="T60" s="50"/>
      <c r="U60" s="50"/>
      <c r="V60" s="50"/>
      <c r="W60" s="53"/>
      <c r="X60" s="283"/>
      <c r="Y60" s="482">
        <f>IFERROR(VLOOKUP(Tableau118[[#This Row],[Name Shipper]],Plant_AILN!L:M,2,FALSE),0)</f>
        <v>0</v>
      </c>
      <c r="Z60" s="358"/>
      <c r="AA60" s="353" t="e">
        <f ca="1">VLOOKUP(Tableau118[[#This Row],[Key(ID-Actif)]],'DATA BTO'!A:N,5,FALSE)</f>
        <v>#N/A</v>
      </c>
      <c r="AB60" s="3" t="e">
        <f ca="1">VLOOKUP(Tableau118[[#This Row],[Key(ID-Actif)]],'DATA BTO'!A:N,6,FALSE)</f>
        <v>#N/A</v>
      </c>
      <c r="AC60" s="50" t="e">
        <f ca="1">VLOOKUP(Tableau118[[#This Row],[Key(ID-Actif)]],'DATA BTO'!A:N,7,FALSE)</f>
        <v>#N/A</v>
      </c>
      <c r="AD60" s="50" t="e">
        <f ca="1">VLOOKUP(Tableau118[[#This Row],[Key(ID-Actif)]],'DATA BTO'!A:N,8,FALSE)</f>
        <v>#N/A</v>
      </c>
      <c r="AE60" s="50" t="e">
        <f ca="1">IF(Tableau118[[#This Row],[First Day to POL]]&lt;=Tableau118[[#This Row],[Day Cut Off]],Tableau118[[#This Row],[Day ETD]],Tableau118[[#This Row],[Day ETD]]+7)</f>
        <v>#N/A</v>
      </c>
      <c r="AF60" s="50" t="e">
        <f ca="1">VLOOKUP(Tableau118[[#This Row],[Key(ID-Actif)]],'DATA BTO'!A:N,9,FALSE)</f>
        <v>#N/A</v>
      </c>
      <c r="AG60" s="3" t="e">
        <f ca="1">VLOOKUP(Tableau118[[#This Row],[Key(ID-Actif)]],'DATA BTO'!A:N,10,FALSE)</f>
        <v>#N/A</v>
      </c>
      <c r="AH60" s="3" t="e">
        <f ca="1">VLOOKUP(Tableau118[[#This Row],[Key(ID-Actif)]],'DATA BTO'!A:N,11,FALSE)</f>
        <v>#N/A</v>
      </c>
      <c r="AI60" s="50" t="e">
        <f ca="1">VLOOKUP(Tableau118[[#This Row],[Key(ID-Actif)]],'DATA BTO'!A:N,12,FALSE)</f>
        <v>#N/A</v>
      </c>
      <c r="AJ60" s="53" t="e">
        <f ca="1">VLOOKUP(Tableau118[[#This Row],[Key(ID-Actif)]],'DATA BTO'!A:N,14,FALSE)</f>
        <v>#N/A</v>
      </c>
      <c r="AK60" s="54" t="e">
        <f ca="1">VLOOKUP(Tableau118[[#This Row],[Key(POD -PFI- Usine)]],'DATA Consignee'!A:F,6,FALSE)</f>
        <v>#N/A</v>
      </c>
      <c r="AL60" s="125"/>
      <c r="AM60" s="483" t="str">
        <f>IF(Tableau118[[#This Row],[Name PFI/CDD]]="","-",VLOOKUP(Tableau118[[#This Row],[Name PFI/CDD]],Plant_AILN!I:J,2,FALSE))</f>
        <v>-</v>
      </c>
      <c r="AN6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0" s="2" t="e">
        <f ca="1">VLOOKUP(Tableau118[[#This Row],[Key(POD -PFI- Usine)]],'DATA Consignee'!A:J,10,FALSE)</f>
        <v>#N/A</v>
      </c>
      <c r="AQ60" s="50" t="e">
        <f ca="1">VLOOKUP(Tableau118[[#This Row],[Key(POD -PFI- Usine)]],'DATA Consignee'!A:N,14,FALSE)</f>
        <v>#N/A</v>
      </c>
      <c r="AR6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0" s="50" t="e">
        <f ca="1">Tableau118[[#This Row],[Transit time]]+Tableau118[[#This Row],[Time for security]]+Tableau118[[#This Row],[Time for security2 buffer]]</f>
        <v>#N/A</v>
      </c>
      <c r="AU6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0" s="389" t="e">
        <f ca="1">Tableau118[[#This Row],[Leadtime SI2C]]+Tableau118[[#This Row],[First Receipt Days]]-Tableau118[[#This Row],[Day Customer Order]]+1</f>
        <v>#N/A</v>
      </c>
      <c r="AW60" s="117" t="e">
        <f ca="1">IF(Tableau118[[#This Row],[Name ILN]]&lt;&gt;"SFK Freight Forwarder",Tableau118[[#This Row],[Cust. Leadtime]],Tableau118[[#This Row],[Leadtime SI2C]])</f>
        <v>#N/A</v>
      </c>
      <c r="AX60" s="51" t="e">
        <f>VLOOKUP(Tableau118[[#This Row],[ID]],'DATA BTO'!B:P,15,FALSE)</f>
        <v>#N/A</v>
      </c>
      <c r="AY60" s="328" t="e">
        <f ca="1">IFERROR(VLOOKUP(Tableau118[[#This Row],[Key(ID-Actif)]],'DATA BTO'!A:N,4,FALSE),VLOOKUP(Tableau118[[#This Row],[ID]],'DATA BTO'!B:N,3,FALSE))</f>
        <v>#N/A</v>
      </c>
      <c r="AZ6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0" s="50"/>
    </row>
    <row r="61" spans="2:57">
      <c r="B61" s="65" t="str">
        <f>_xlfn.CONCAT(Tableau118[[#This Row],[Name ILN]],"-",Tableau118[[#This Row],[Name Shipper]],"-",Tableau118[[#This Row],[Name Site]])</f>
        <v>--</v>
      </c>
      <c r="C61" s="65" t="e">
        <f ca="1">_xlfn.CONCAT(Tableau118[[#This Row],[Compte ILN]],"-",Tableau118[[#This Row],[Compte Shipper]],"-",Tableau118[[#This Row],[POL]],"-",Tableau118[[#This Row],[Compte Site]])</f>
        <v>#N/A</v>
      </c>
      <c r="D61" s="64" t="e">
        <f ca="1">_xlfn.CONCAT(Tableau118[[#This Row],[Compte ILN]],"-",Tableau118[[#This Row],[Compte Shipper]],"-",Tableau118[[#This Row],[POL]])</f>
        <v>#N/A</v>
      </c>
      <c r="E61" s="396" t="e">
        <f ca="1">_xlfn.CONCAT(Tableau118[[#This Row],[POL]],"-",Tableau118[[#This Row],[Carrier]],"-",Tableau118[[#This Row],[POD]])</f>
        <v>#N/A</v>
      </c>
      <c r="F61" s="64" t="str">
        <f>_xlfn.CONCAT(Tableau118[[#This Row],[ID]],"-","Next")</f>
        <v>-Next</v>
      </c>
      <c r="G61" s="64" t="e">
        <f ca="1">_xlfn.CONCAT(Tableau118[[#This Row],[POD]],"-",Tableau118[[#This Row],[Code PFI]],"-",Tableau118[[#This Row],[Compte Site]])</f>
        <v>#N/A</v>
      </c>
      <c r="H6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1" s="397" t="str">
        <f ca="1">IF(COUNTIF(I:I,Tableau118[[#This Row],[Plant-ILN-shipper-POL-Carrier-POD-PFI]])=1,"Non","Oui")</f>
        <v>Oui</v>
      </c>
      <c r="K61" s="398" t="e">
        <f>VLOOKUP(Tableau118[[#This Row],[Name Site]],Plant_AILN!A:D,4,FALSE)</f>
        <v>#N/A</v>
      </c>
      <c r="L61" s="285"/>
      <c r="M61" s="480"/>
      <c r="N61" s="55"/>
      <c r="O61" s="114"/>
      <c r="P61" s="481"/>
      <c r="Q61" s="50"/>
      <c r="R61" s="50"/>
      <c r="S61" s="50"/>
      <c r="T61" s="50"/>
      <c r="U61" s="50"/>
      <c r="V61" s="50"/>
      <c r="W61" s="53"/>
      <c r="X61" s="283"/>
      <c r="Y61" s="482">
        <f>IFERROR(VLOOKUP(Tableau118[[#This Row],[Name Shipper]],Plant_AILN!L:M,2,FALSE),0)</f>
        <v>0</v>
      </c>
      <c r="Z61" s="358"/>
      <c r="AA61" s="353" t="e">
        <f ca="1">VLOOKUP(Tableau118[[#This Row],[Key(ID-Actif)]],'DATA BTO'!A:N,5,FALSE)</f>
        <v>#N/A</v>
      </c>
      <c r="AB61" s="3" t="e">
        <f ca="1">VLOOKUP(Tableau118[[#This Row],[Key(ID-Actif)]],'DATA BTO'!A:N,6,FALSE)</f>
        <v>#N/A</v>
      </c>
      <c r="AC61" s="50" t="e">
        <f ca="1">VLOOKUP(Tableau118[[#This Row],[Key(ID-Actif)]],'DATA BTO'!A:N,7,FALSE)</f>
        <v>#N/A</v>
      </c>
      <c r="AD61" s="50" t="e">
        <f ca="1">VLOOKUP(Tableau118[[#This Row],[Key(ID-Actif)]],'DATA BTO'!A:N,8,FALSE)</f>
        <v>#N/A</v>
      </c>
      <c r="AE61" s="50" t="e">
        <f ca="1">IF(Tableau118[[#This Row],[First Day to POL]]&lt;=Tableau118[[#This Row],[Day Cut Off]],Tableau118[[#This Row],[Day ETD]],Tableau118[[#This Row],[Day ETD]]+7)</f>
        <v>#N/A</v>
      </c>
      <c r="AF61" s="50" t="e">
        <f ca="1">VLOOKUP(Tableau118[[#This Row],[Key(ID-Actif)]],'DATA BTO'!A:N,9,FALSE)</f>
        <v>#N/A</v>
      </c>
      <c r="AG61" s="3" t="e">
        <f ca="1">VLOOKUP(Tableau118[[#This Row],[Key(ID-Actif)]],'DATA BTO'!A:N,10,FALSE)</f>
        <v>#N/A</v>
      </c>
      <c r="AH61" s="3" t="e">
        <f ca="1">VLOOKUP(Tableau118[[#This Row],[Key(ID-Actif)]],'DATA BTO'!A:N,11,FALSE)</f>
        <v>#N/A</v>
      </c>
      <c r="AI61" s="50" t="e">
        <f ca="1">VLOOKUP(Tableau118[[#This Row],[Key(ID-Actif)]],'DATA BTO'!A:N,12,FALSE)</f>
        <v>#N/A</v>
      </c>
      <c r="AJ61" s="53" t="e">
        <f ca="1">VLOOKUP(Tableau118[[#This Row],[Key(ID-Actif)]],'DATA BTO'!A:N,14,FALSE)</f>
        <v>#N/A</v>
      </c>
      <c r="AK61" s="54" t="e">
        <f ca="1">VLOOKUP(Tableau118[[#This Row],[Key(POD -PFI- Usine)]],'DATA Consignee'!A:F,6,FALSE)</f>
        <v>#N/A</v>
      </c>
      <c r="AL61" s="125"/>
      <c r="AM61" s="483" t="str">
        <f>IF(Tableau118[[#This Row],[Name PFI/CDD]]="","-",VLOOKUP(Tableau118[[#This Row],[Name PFI/CDD]],Plant_AILN!I:J,2,FALSE))</f>
        <v>-</v>
      </c>
      <c r="AN6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1" s="2" t="e">
        <f ca="1">VLOOKUP(Tableau118[[#This Row],[Key(POD -PFI- Usine)]],'DATA Consignee'!A:J,10,FALSE)</f>
        <v>#N/A</v>
      </c>
      <c r="AQ61" s="50" t="e">
        <f ca="1">VLOOKUP(Tableau118[[#This Row],[Key(POD -PFI- Usine)]],'DATA Consignee'!A:N,14,FALSE)</f>
        <v>#N/A</v>
      </c>
      <c r="AR6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1" s="50" t="e">
        <f ca="1">Tableau118[[#This Row],[Transit time]]+Tableau118[[#This Row],[Time for security]]+Tableau118[[#This Row],[Time for security2 buffer]]</f>
        <v>#N/A</v>
      </c>
      <c r="AU6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1" s="389" t="e">
        <f ca="1">Tableau118[[#This Row],[Leadtime SI2C]]+Tableau118[[#This Row],[First Receipt Days]]-Tableau118[[#This Row],[Day Customer Order]]+1</f>
        <v>#N/A</v>
      </c>
      <c r="AW61" s="117" t="e">
        <f ca="1">IF(Tableau118[[#This Row],[Name ILN]]&lt;&gt;"SFK Freight Forwarder",Tableau118[[#This Row],[Cust. Leadtime]],Tableau118[[#This Row],[Leadtime SI2C]])</f>
        <v>#N/A</v>
      </c>
      <c r="AX61" s="51" t="e">
        <f>VLOOKUP(Tableau118[[#This Row],[ID]],'DATA BTO'!B:P,15,FALSE)</f>
        <v>#N/A</v>
      </c>
      <c r="AY61" s="328" t="e">
        <f ca="1">IFERROR(VLOOKUP(Tableau118[[#This Row],[Key(ID-Actif)]],'DATA BTO'!A:N,4,FALSE),VLOOKUP(Tableau118[[#This Row],[ID]],'DATA BTO'!B:N,3,FALSE))</f>
        <v>#N/A</v>
      </c>
      <c r="AZ6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1" s="50"/>
    </row>
    <row r="62" spans="2:57">
      <c r="B62" s="65" t="str">
        <f>_xlfn.CONCAT(Tableau118[[#This Row],[Name ILN]],"-",Tableau118[[#This Row],[Name Shipper]],"-",Tableau118[[#This Row],[Name Site]])</f>
        <v>--</v>
      </c>
      <c r="C62" s="65" t="e">
        <f ca="1">_xlfn.CONCAT(Tableau118[[#This Row],[Compte ILN]],"-",Tableau118[[#This Row],[Compte Shipper]],"-",Tableau118[[#This Row],[POL]],"-",Tableau118[[#This Row],[Compte Site]])</f>
        <v>#N/A</v>
      </c>
      <c r="D62" s="64" t="e">
        <f ca="1">_xlfn.CONCAT(Tableau118[[#This Row],[Compte ILN]],"-",Tableau118[[#This Row],[Compte Shipper]],"-",Tableau118[[#This Row],[POL]])</f>
        <v>#N/A</v>
      </c>
      <c r="E62" s="396" t="e">
        <f ca="1">_xlfn.CONCAT(Tableau118[[#This Row],[POL]],"-",Tableau118[[#This Row],[Carrier]],"-",Tableau118[[#This Row],[POD]])</f>
        <v>#N/A</v>
      </c>
      <c r="F62" s="64" t="str">
        <f>_xlfn.CONCAT(Tableau118[[#This Row],[ID]],"-","Next")</f>
        <v>-Next</v>
      </c>
      <c r="G62" s="64" t="e">
        <f ca="1">_xlfn.CONCAT(Tableau118[[#This Row],[POD]],"-",Tableau118[[#This Row],[Code PFI]],"-",Tableau118[[#This Row],[Compte Site]])</f>
        <v>#N/A</v>
      </c>
      <c r="H6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2" s="397" t="str">
        <f ca="1">IF(COUNTIF(I:I,Tableau118[[#This Row],[Plant-ILN-shipper-POL-Carrier-POD-PFI]])=1,"Non","Oui")</f>
        <v>Oui</v>
      </c>
      <c r="K62" s="398" t="e">
        <f>VLOOKUP(Tableau118[[#This Row],[Name Site]],Plant_AILN!A:D,4,FALSE)</f>
        <v>#N/A</v>
      </c>
      <c r="L62" s="285"/>
      <c r="M62" s="480"/>
      <c r="N62" s="55"/>
      <c r="O62" s="114"/>
      <c r="P62" s="481"/>
      <c r="Q62" s="50"/>
      <c r="R62" s="50"/>
      <c r="S62" s="50"/>
      <c r="T62" s="50"/>
      <c r="U62" s="50"/>
      <c r="V62" s="50"/>
      <c r="W62" s="53"/>
      <c r="X62" s="283"/>
      <c r="Y62" s="482">
        <f>IFERROR(VLOOKUP(Tableau118[[#This Row],[Name Shipper]],Plant_AILN!L:M,2,FALSE),0)</f>
        <v>0</v>
      </c>
      <c r="Z62" s="358"/>
      <c r="AA62" s="353" t="e">
        <f ca="1">VLOOKUP(Tableau118[[#This Row],[Key(ID-Actif)]],'DATA BTO'!A:N,5,FALSE)</f>
        <v>#N/A</v>
      </c>
      <c r="AB62" s="3" t="e">
        <f ca="1">VLOOKUP(Tableau118[[#This Row],[Key(ID-Actif)]],'DATA BTO'!A:N,6,FALSE)</f>
        <v>#N/A</v>
      </c>
      <c r="AC62" s="50" t="e">
        <f ca="1">VLOOKUP(Tableau118[[#This Row],[Key(ID-Actif)]],'DATA BTO'!A:N,7,FALSE)</f>
        <v>#N/A</v>
      </c>
      <c r="AD62" s="50" t="e">
        <f ca="1">VLOOKUP(Tableau118[[#This Row],[Key(ID-Actif)]],'DATA BTO'!A:N,8,FALSE)</f>
        <v>#N/A</v>
      </c>
      <c r="AE62" s="50" t="e">
        <f ca="1">IF(Tableau118[[#This Row],[First Day to POL]]&lt;=Tableau118[[#This Row],[Day Cut Off]],Tableau118[[#This Row],[Day ETD]],Tableau118[[#This Row],[Day ETD]]+7)</f>
        <v>#N/A</v>
      </c>
      <c r="AF62" s="50" t="e">
        <f ca="1">VLOOKUP(Tableau118[[#This Row],[Key(ID-Actif)]],'DATA BTO'!A:N,9,FALSE)</f>
        <v>#N/A</v>
      </c>
      <c r="AG62" s="3" t="e">
        <f ca="1">VLOOKUP(Tableau118[[#This Row],[Key(ID-Actif)]],'DATA BTO'!A:N,10,FALSE)</f>
        <v>#N/A</v>
      </c>
      <c r="AH62" s="3" t="e">
        <f ca="1">VLOOKUP(Tableau118[[#This Row],[Key(ID-Actif)]],'DATA BTO'!A:N,11,FALSE)</f>
        <v>#N/A</v>
      </c>
      <c r="AI62" s="50" t="e">
        <f ca="1">VLOOKUP(Tableau118[[#This Row],[Key(ID-Actif)]],'DATA BTO'!A:N,12,FALSE)</f>
        <v>#N/A</v>
      </c>
      <c r="AJ62" s="53" t="e">
        <f ca="1">VLOOKUP(Tableau118[[#This Row],[Key(ID-Actif)]],'DATA BTO'!A:N,14,FALSE)</f>
        <v>#N/A</v>
      </c>
      <c r="AK62" s="54" t="e">
        <f ca="1">VLOOKUP(Tableau118[[#This Row],[Key(POD -PFI- Usine)]],'DATA Consignee'!A:F,6,FALSE)</f>
        <v>#N/A</v>
      </c>
      <c r="AL62" s="125"/>
      <c r="AM62" s="483" t="str">
        <f>IF(Tableau118[[#This Row],[Name PFI/CDD]]="","-",VLOOKUP(Tableau118[[#This Row],[Name PFI/CDD]],Plant_AILN!I:J,2,FALSE))</f>
        <v>-</v>
      </c>
      <c r="AN6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2" s="2" t="e">
        <f ca="1">VLOOKUP(Tableau118[[#This Row],[Key(POD -PFI- Usine)]],'DATA Consignee'!A:J,10,FALSE)</f>
        <v>#N/A</v>
      </c>
      <c r="AQ62" s="50" t="e">
        <f ca="1">VLOOKUP(Tableau118[[#This Row],[Key(POD -PFI- Usine)]],'DATA Consignee'!A:N,14,FALSE)</f>
        <v>#N/A</v>
      </c>
      <c r="AR6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2" s="50" t="e">
        <f ca="1">Tableau118[[#This Row],[Transit time]]+Tableau118[[#This Row],[Time for security]]+Tableau118[[#This Row],[Time for security2 buffer]]</f>
        <v>#N/A</v>
      </c>
      <c r="AU6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2" s="389" t="e">
        <f ca="1">Tableau118[[#This Row],[Leadtime SI2C]]+Tableau118[[#This Row],[First Receipt Days]]-Tableau118[[#This Row],[Day Customer Order]]+1</f>
        <v>#N/A</v>
      </c>
      <c r="AW62" s="117" t="e">
        <f ca="1">IF(Tableau118[[#This Row],[Name ILN]]&lt;&gt;"SFK Freight Forwarder",Tableau118[[#This Row],[Cust. Leadtime]],Tableau118[[#This Row],[Leadtime SI2C]])</f>
        <v>#N/A</v>
      </c>
      <c r="AX62" s="51" t="e">
        <f>VLOOKUP(Tableau118[[#This Row],[ID]],'DATA BTO'!B:P,15,FALSE)</f>
        <v>#N/A</v>
      </c>
      <c r="AY62" s="328" t="e">
        <f ca="1">IFERROR(VLOOKUP(Tableau118[[#This Row],[Key(ID-Actif)]],'DATA BTO'!A:N,4,FALSE),VLOOKUP(Tableau118[[#This Row],[ID]],'DATA BTO'!B:N,3,FALSE))</f>
        <v>#N/A</v>
      </c>
      <c r="AZ6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2" s="50"/>
    </row>
    <row r="63" spans="2:57">
      <c r="B63" s="65" t="str">
        <f>_xlfn.CONCAT(Tableau118[[#This Row],[Name ILN]],"-",Tableau118[[#This Row],[Name Shipper]],"-",Tableau118[[#This Row],[Name Site]])</f>
        <v>--</v>
      </c>
      <c r="C63" s="65" t="e">
        <f ca="1">_xlfn.CONCAT(Tableau118[[#This Row],[Compte ILN]],"-",Tableau118[[#This Row],[Compte Shipper]],"-",Tableau118[[#This Row],[POL]],"-",Tableau118[[#This Row],[Compte Site]])</f>
        <v>#N/A</v>
      </c>
      <c r="D63" s="64" t="e">
        <f ca="1">_xlfn.CONCAT(Tableau118[[#This Row],[Compte ILN]],"-",Tableau118[[#This Row],[Compte Shipper]],"-",Tableau118[[#This Row],[POL]])</f>
        <v>#N/A</v>
      </c>
      <c r="E63" s="396" t="e">
        <f ca="1">_xlfn.CONCAT(Tableau118[[#This Row],[POL]],"-",Tableau118[[#This Row],[Carrier]],"-",Tableau118[[#This Row],[POD]])</f>
        <v>#N/A</v>
      </c>
      <c r="F63" s="64" t="str">
        <f>_xlfn.CONCAT(Tableau118[[#This Row],[ID]],"-","Next")</f>
        <v>-Next</v>
      </c>
      <c r="G63" s="64" t="e">
        <f ca="1">_xlfn.CONCAT(Tableau118[[#This Row],[POD]],"-",Tableau118[[#This Row],[Code PFI]],"-",Tableau118[[#This Row],[Compte Site]])</f>
        <v>#N/A</v>
      </c>
      <c r="H6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3" s="397" t="str">
        <f ca="1">IF(COUNTIF(I:I,Tableau118[[#This Row],[Plant-ILN-shipper-POL-Carrier-POD-PFI]])=1,"Non","Oui")</f>
        <v>Oui</v>
      </c>
      <c r="K63" s="398" t="e">
        <f>VLOOKUP(Tableau118[[#This Row],[Name Site]],Plant_AILN!A:D,4,FALSE)</f>
        <v>#N/A</v>
      </c>
      <c r="L63" s="285"/>
      <c r="M63" s="480"/>
      <c r="N63" s="55"/>
      <c r="O63" s="114"/>
      <c r="P63" s="481"/>
      <c r="Q63" s="50"/>
      <c r="R63" s="50"/>
      <c r="S63" s="50"/>
      <c r="T63" s="50"/>
      <c r="U63" s="50"/>
      <c r="V63" s="50"/>
      <c r="W63" s="53"/>
      <c r="X63" s="283"/>
      <c r="Y63" s="482">
        <f>IFERROR(VLOOKUP(Tableau118[[#This Row],[Name Shipper]],Plant_AILN!L:M,2,FALSE),0)</f>
        <v>0</v>
      </c>
      <c r="Z63" s="358"/>
      <c r="AA63" s="353" t="e">
        <f ca="1">VLOOKUP(Tableau118[[#This Row],[Key(ID-Actif)]],'DATA BTO'!A:N,5,FALSE)</f>
        <v>#N/A</v>
      </c>
      <c r="AB63" s="3" t="e">
        <f ca="1">VLOOKUP(Tableau118[[#This Row],[Key(ID-Actif)]],'DATA BTO'!A:N,6,FALSE)</f>
        <v>#N/A</v>
      </c>
      <c r="AC63" s="50" t="e">
        <f ca="1">VLOOKUP(Tableau118[[#This Row],[Key(ID-Actif)]],'DATA BTO'!A:N,7,FALSE)</f>
        <v>#N/A</v>
      </c>
      <c r="AD63" s="50" t="e">
        <f ca="1">VLOOKUP(Tableau118[[#This Row],[Key(ID-Actif)]],'DATA BTO'!A:N,8,FALSE)</f>
        <v>#N/A</v>
      </c>
      <c r="AE63" s="50" t="e">
        <f ca="1">IF(Tableau118[[#This Row],[First Day to POL]]&lt;=Tableau118[[#This Row],[Day Cut Off]],Tableau118[[#This Row],[Day ETD]],Tableau118[[#This Row],[Day ETD]]+7)</f>
        <v>#N/A</v>
      </c>
      <c r="AF63" s="50" t="e">
        <f ca="1">VLOOKUP(Tableau118[[#This Row],[Key(ID-Actif)]],'DATA BTO'!A:N,9,FALSE)</f>
        <v>#N/A</v>
      </c>
      <c r="AG63" s="3" t="e">
        <f ca="1">VLOOKUP(Tableau118[[#This Row],[Key(ID-Actif)]],'DATA BTO'!A:N,10,FALSE)</f>
        <v>#N/A</v>
      </c>
      <c r="AH63" s="3" t="e">
        <f ca="1">VLOOKUP(Tableau118[[#This Row],[Key(ID-Actif)]],'DATA BTO'!A:N,11,FALSE)</f>
        <v>#N/A</v>
      </c>
      <c r="AI63" s="50" t="e">
        <f ca="1">VLOOKUP(Tableau118[[#This Row],[Key(ID-Actif)]],'DATA BTO'!A:N,12,FALSE)</f>
        <v>#N/A</v>
      </c>
      <c r="AJ63" s="53" t="e">
        <f ca="1">VLOOKUP(Tableau118[[#This Row],[Key(ID-Actif)]],'DATA BTO'!A:N,14,FALSE)</f>
        <v>#N/A</v>
      </c>
      <c r="AK63" s="54" t="e">
        <f ca="1">VLOOKUP(Tableau118[[#This Row],[Key(POD -PFI- Usine)]],'DATA Consignee'!A:F,6,FALSE)</f>
        <v>#N/A</v>
      </c>
      <c r="AL63" s="125"/>
      <c r="AM63" s="483" t="str">
        <f>IF(Tableau118[[#This Row],[Name PFI/CDD]]="","-",VLOOKUP(Tableau118[[#This Row],[Name PFI/CDD]],Plant_AILN!I:J,2,FALSE))</f>
        <v>-</v>
      </c>
      <c r="AN6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3" s="2" t="e">
        <f ca="1">VLOOKUP(Tableau118[[#This Row],[Key(POD -PFI- Usine)]],'DATA Consignee'!A:J,10,FALSE)</f>
        <v>#N/A</v>
      </c>
      <c r="AQ63" s="50" t="e">
        <f ca="1">VLOOKUP(Tableau118[[#This Row],[Key(POD -PFI- Usine)]],'DATA Consignee'!A:N,14,FALSE)</f>
        <v>#N/A</v>
      </c>
      <c r="AR6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3" s="50" t="e">
        <f ca="1">Tableau118[[#This Row],[Transit time]]+Tableau118[[#This Row],[Time for security]]+Tableau118[[#This Row],[Time for security2 buffer]]</f>
        <v>#N/A</v>
      </c>
      <c r="AU6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3" s="389" t="e">
        <f ca="1">Tableau118[[#This Row],[Leadtime SI2C]]+Tableau118[[#This Row],[First Receipt Days]]-Tableau118[[#This Row],[Day Customer Order]]+1</f>
        <v>#N/A</v>
      </c>
      <c r="AW63" s="117" t="e">
        <f ca="1">IF(Tableau118[[#This Row],[Name ILN]]&lt;&gt;"SFK Freight Forwarder",Tableau118[[#This Row],[Cust. Leadtime]],Tableau118[[#This Row],[Leadtime SI2C]])</f>
        <v>#N/A</v>
      </c>
      <c r="AX63" s="51" t="e">
        <f>VLOOKUP(Tableau118[[#This Row],[ID]],'DATA BTO'!B:P,15,FALSE)</f>
        <v>#N/A</v>
      </c>
      <c r="AY63" s="328" t="e">
        <f ca="1">IFERROR(VLOOKUP(Tableau118[[#This Row],[Key(ID-Actif)]],'DATA BTO'!A:N,4,FALSE),VLOOKUP(Tableau118[[#This Row],[ID]],'DATA BTO'!B:N,3,FALSE))</f>
        <v>#N/A</v>
      </c>
      <c r="AZ6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3" s="50"/>
    </row>
    <row r="64" spans="2:57">
      <c r="B64" s="65" t="str">
        <f>_xlfn.CONCAT(Tableau118[[#This Row],[Name ILN]],"-",Tableau118[[#This Row],[Name Shipper]],"-",Tableau118[[#This Row],[Name Site]])</f>
        <v>--</v>
      </c>
      <c r="C64" s="65" t="e">
        <f ca="1">_xlfn.CONCAT(Tableau118[[#This Row],[Compte ILN]],"-",Tableau118[[#This Row],[Compte Shipper]],"-",Tableau118[[#This Row],[POL]],"-",Tableau118[[#This Row],[Compte Site]])</f>
        <v>#N/A</v>
      </c>
      <c r="D64" s="64" t="e">
        <f ca="1">_xlfn.CONCAT(Tableau118[[#This Row],[Compte ILN]],"-",Tableau118[[#This Row],[Compte Shipper]],"-",Tableau118[[#This Row],[POL]])</f>
        <v>#N/A</v>
      </c>
      <c r="E64" s="396" t="e">
        <f ca="1">_xlfn.CONCAT(Tableau118[[#This Row],[POL]],"-",Tableau118[[#This Row],[Carrier]],"-",Tableau118[[#This Row],[POD]])</f>
        <v>#N/A</v>
      </c>
      <c r="F64" s="64" t="str">
        <f>_xlfn.CONCAT(Tableau118[[#This Row],[ID]],"-","Next")</f>
        <v>-Next</v>
      </c>
      <c r="G64" s="64" t="e">
        <f ca="1">_xlfn.CONCAT(Tableau118[[#This Row],[POD]],"-",Tableau118[[#This Row],[Code PFI]],"-",Tableau118[[#This Row],[Compte Site]])</f>
        <v>#N/A</v>
      </c>
      <c r="H6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4" s="397" t="str">
        <f ca="1">IF(COUNTIF(I:I,Tableau118[[#This Row],[Plant-ILN-shipper-POL-Carrier-POD-PFI]])=1,"Non","Oui")</f>
        <v>Oui</v>
      </c>
      <c r="K64" s="398" t="e">
        <f>VLOOKUP(Tableau118[[#This Row],[Name Site]],Plant_AILN!A:D,4,FALSE)</f>
        <v>#N/A</v>
      </c>
      <c r="L64" s="285"/>
      <c r="M64" s="480"/>
      <c r="N64" s="55"/>
      <c r="O64" s="114"/>
      <c r="P64" s="481"/>
      <c r="Q64" s="50"/>
      <c r="R64" s="50"/>
      <c r="S64" s="50"/>
      <c r="T64" s="50"/>
      <c r="U64" s="50"/>
      <c r="V64" s="50"/>
      <c r="W64" s="53"/>
      <c r="X64" s="283"/>
      <c r="Y64" s="482">
        <f>IFERROR(VLOOKUP(Tableau118[[#This Row],[Name Shipper]],Plant_AILN!L:M,2,FALSE),0)</f>
        <v>0</v>
      </c>
      <c r="Z64" s="358"/>
      <c r="AA64" s="353" t="e">
        <f ca="1">VLOOKUP(Tableau118[[#This Row],[Key(ID-Actif)]],'DATA BTO'!A:N,5,FALSE)</f>
        <v>#N/A</v>
      </c>
      <c r="AB64" s="3" t="e">
        <f ca="1">VLOOKUP(Tableau118[[#This Row],[Key(ID-Actif)]],'DATA BTO'!A:N,6,FALSE)</f>
        <v>#N/A</v>
      </c>
      <c r="AC64" s="50" t="e">
        <f ca="1">VLOOKUP(Tableau118[[#This Row],[Key(ID-Actif)]],'DATA BTO'!A:N,7,FALSE)</f>
        <v>#N/A</v>
      </c>
      <c r="AD64" s="50" t="e">
        <f ca="1">VLOOKUP(Tableau118[[#This Row],[Key(ID-Actif)]],'DATA BTO'!A:N,8,FALSE)</f>
        <v>#N/A</v>
      </c>
      <c r="AE64" s="50" t="e">
        <f ca="1">IF(Tableau118[[#This Row],[First Day to POL]]&lt;=Tableau118[[#This Row],[Day Cut Off]],Tableau118[[#This Row],[Day ETD]],Tableau118[[#This Row],[Day ETD]]+7)</f>
        <v>#N/A</v>
      </c>
      <c r="AF64" s="50" t="e">
        <f ca="1">VLOOKUP(Tableau118[[#This Row],[Key(ID-Actif)]],'DATA BTO'!A:N,9,FALSE)</f>
        <v>#N/A</v>
      </c>
      <c r="AG64" s="3" t="e">
        <f ca="1">VLOOKUP(Tableau118[[#This Row],[Key(ID-Actif)]],'DATA BTO'!A:N,10,FALSE)</f>
        <v>#N/A</v>
      </c>
      <c r="AH64" s="3" t="e">
        <f ca="1">VLOOKUP(Tableau118[[#This Row],[Key(ID-Actif)]],'DATA BTO'!A:N,11,FALSE)</f>
        <v>#N/A</v>
      </c>
      <c r="AI64" s="50" t="e">
        <f ca="1">VLOOKUP(Tableau118[[#This Row],[Key(ID-Actif)]],'DATA BTO'!A:N,12,FALSE)</f>
        <v>#N/A</v>
      </c>
      <c r="AJ64" s="53" t="e">
        <f ca="1">VLOOKUP(Tableau118[[#This Row],[Key(ID-Actif)]],'DATA BTO'!A:N,14,FALSE)</f>
        <v>#N/A</v>
      </c>
      <c r="AK64" s="54" t="e">
        <f ca="1">VLOOKUP(Tableau118[[#This Row],[Key(POD -PFI- Usine)]],'DATA Consignee'!A:F,6,FALSE)</f>
        <v>#N/A</v>
      </c>
      <c r="AL64" s="125"/>
      <c r="AM64" s="483" t="str">
        <f>IF(Tableau118[[#This Row],[Name PFI/CDD]]="","-",VLOOKUP(Tableau118[[#This Row],[Name PFI/CDD]],Plant_AILN!I:J,2,FALSE))</f>
        <v>-</v>
      </c>
      <c r="AN6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4" s="2" t="e">
        <f ca="1">VLOOKUP(Tableau118[[#This Row],[Key(POD -PFI- Usine)]],'DATA Consignee'!A:J,10,FALSE)</f>
        <v>#N/A</v>
      </c>
      <c r="AQ64" s="50" t="e">
        <f ca="1">VLOOKUP(Tableau118[[#This Row],[Key(POD -PFI- Usine)]],'DATA Consignee'!A:N,14,FALSE)</f>
        <v>#N/A</v>
      </c>
      <c r="AR6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4" s="50" t="e">
        <f ca="1">Tableau118[[#This Row],[Transit time]]+Tableau118[[#This Row],[Time for security]]+Tableau118[[#This Row],[Time for security2 buffer]]</f>
        <v>#N/A</v>
      </c>
      <c r="AU6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4" s="389" t="e">
        <f ca="1">Tableau118[[#This Row],[Leadtime SI2C]]+Tableau118[[#This Row],[First Receipt Days]]-Tableau118[[#This Row],[Day Customer Order]]+1</f>
        <v>#N/A</v>
      </c>
      <c r="AW64" s="117" t="e">
        <f ca="1">IF(Tableau118[[#This Row],[Name ILN]]&lt;&gt;"SFK Freight Forwarder",Tableau118[[#This Row],[Cust. Leadtime]],Tableau118[[#This Row],[Leadtime SI2C]])</f>
        <v>#N/A</v>
      </c>
      <c r="AX64" s="51" t="e">
        <f>VLOOKUP(Tableau118[[#This Row],[ID]],'DATA BTO'!B:P,15,FALSE)</f>
        <v>#N/A</v>
      </c>
      <c r="AY64" s="328" t="e">
        <f ca="1">IFERROR(VLOOKUP(Tableau118[[#This Row],[Key(ID-Actif)]],'DATA BTO'!A:N,4,FALSE),VLOOKUP(Tableau118[[#This Row],[ID]],'DATA BTO'!B:N,3,FALSE))</f>
        <v>#N/A</v>
      </c>
      <c r="AZ6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4" s="50"/>
    </row>
    <row r="65" spans="2:57">
      <c r="B65" s="65" t="str">
        <f>_xlfn.CONCAT(Tableau118[[#This Row],[Name ILN]],"-",Tableau118[[#This Row],[Name Shipper]],"-",Tableau118[[#This Row],[Name Site]])</f>
        <v>--</v>
      </c>
      <c r="C65" s="65" t="e">
        <f ca="1">_xlfn.CONCAT(Tableau118[[#This Row],[Compte ILN]],"-",Tableau118[[#This Row],[Compte Shipper]],"-",Tableau118[[#This Row],[POL]],"-",Tableau118[[#This Row],[Compte Site]])</f>
        <v>#N/A</v>
      </c>
      <c r="D65" s="64" t="e">
        <f ca="1">_xlfn.CONCAT(Tableau118[[#This Row],[Compte ILN]],"-",Tableau118[[#This Row],[Compte Shipper]],"-",Tableau118[[#This Row],[POL]])</f>
        <v>#N/A</v>
      </c>
      <c r="E65" s="396" t="e">
        <f ca="1">_xlfn.CONCAT(Tableau118[[#This Row],[POL]],"-",Tableau118[[#This Row],[Carrier]],"-",Tableau118[[#This Row],[POD]])</f>
        <v>#N/A</v>
      </c>
      <c r="F65" s="64" t="str">
        <f>_xlfn.CONCAT(Tableau118[[#This Row],[ID]],"-","Next")</f>
        <v>-Next</v>
      </c>
      <c r="G65" s="64" t="e">
        <f ca="1">_xlfn.CONCAT(Tableau118[[#This Row],[POD]],"-",Tableau118[[#This Row],[Code PFI]],"-",Tableau118[[#This Row],[Compte Site]])</f>
        <v>#N/A</v>
      </c>
      <c r="H6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5" s="397" t="str">
        <f ca="1">IF(COUNTIF(I:I,Tableau118[[#This Row],[Plant-ILN-shipper-POL-Carrier-POD-PFI]])=1,"Non","Oui")</f>
        <v>Oui</v>
      </c>
      <c r="K65" s="398" t="e">
        <f>VLOOKUP(Tableau118[[#This Row],[Name Site]],Plant_AILN!A:D,4,FALSE)</f>
        <v>#N/A</v>
      </c>
      <c r="L65" s="285"/>
      <c r="M65" s="480"/>
      <c r="N65" s="55"/>
      <c r="O65" s="114"/>
      <c r="P65" s="481"/>
      <c r="Q65" s="50"/>
      <c r="R65" s="50"/>
      <c r="S65" s="50"/>
      <c r="T65" s="50"/>
      <c r="U65" s="50"/>
      <c r="V65" s="50"/>
      <c r="W65" s="53"/>
      <c r="X65" s="283"/>
      <c r="Y65" s="482">
        <f>IFERROR(VLOOKUP(Tableau118[[#This Row],[Name Shipper]],Plant_AILN!L:M,2,FALSE),0)</f>
        <v>0</v>
      </c>
      <c r="Z65" s="358"/>
      <c r="AA65" s="353" t="e">
        <f ca="1">VLOOKUP(Tableau118[[#This Row],[Key(ID-Actif)]],'DATA BTO'!A:N,5,FALSE)</f>
        <v>#N/A</v>
      </c>
      <c r="AB65" s="3" t="e">
        <f ca="1">VLOOKUP(Tableau118[[#This Row],[Key(ID-Actif)]],'DATA BTO'!A:N,6,FALSE)</f>
        <v>#N/A</v>
      </c>
      <c r="AC65" s="50" t="e">
        <f ca="1">VLOOKUP(Tableau118[[#This Row],[Key(ID-Actif)]],'DATA BTO'!A:N,7,FALSE)</f>
        <v>#N/A</v>
      </c>
      <c r="AD65" s="50" t="e">
        <f ca="1">VLOOKUP(Tableau118[[#This Row],[Key(ID-Actif)]],'DATA BTO'!A:N,8,FALSE)</f>
        <v>#N/A</v>
      </c>
      <c r="AE65" s="50" t="e">
        <f ca="1">IF(Tableau118[[#This Row],[First Day to POL]]&lt;=Tableau118[[#This Row],[Day Cut Off]],Tableau118[[#This Row],[Day ETD]],Tableau118[[#This Row],[Day ETD]]+7)</f>
        <v>#N/A</v>
      </c>
      <c r="AF65" s="50" t="e">
        <f ca="1">VLOOKUP(Tableau118[[#This Row],[Key(ID-Actif)]],'DATA BTO'!A:N,9,FALSE)</f>
        <v>#N/A</v>
      </c>
      <c r="AG65" s="3" t="e">
        <f ca="1">VLOOKUP(Tableau118[[#This Row],[Key(ID-Actif)]],'DATA BTO'!A:N,10,FALSE)</f>
        <v>#N/A</v>
      </c>
      <c r="AH65" s="3" t="e">
        <f ca="1">VLOOKUP(Tableau118[[#This Row],[Key(ID-Actif)]],'DATA BTO'!A:N,11,FALSE)</f>
        <v>#N/A</v>
      </c>
      <c r="AI65" s="50" t="e">
        <f ca="1">VLOOKUP(Tableau118[[#This Row],[Key(ID-Actif)]],'DATA BTO'!A:N,12,FALSE)</f>
        <v>#N/A</v>
      </c>
      <c r="AJ65" s="53" t="e">
        <f ca="1">VLOOKUP(Tableau118[[#This Row],[Key(ID-Actif)]],'DATA BTO'!A:N,14,FALSE)</f>
        <v>#N/A</v>
      </c>
      <c r="AK65" s="54" t="e">
        <f ca="1">VLOOKUP(Tableau118[[#This Row],[Key(POD -PFI- Usine)]],'DATA Consignee'!A:F,6,FALSE)</f>
        <v>#N/A</v>
      </c>
      <c r="AL65" s="125"/>
      <c r="AM65" s="483" t="str">
        <f>IF(Tableau118[[#This Row],[Name PFI/CDD]]="","-",VLOOKUP(Tableau118[[#This Row],[Name PFI/CDD]],Plant_AILN!I:J,2,FALSE))</f>
        <v>-</v>
      </c>
      <c r="AN6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5" s="2" t="e">
        <f ca="1">VLOOKUP(Tableau118[[#This Row],[Key(POD -PFI- Usine)]],'DATA Consignee'!A:J,10,FALSE)</f>
        <v>#N/A</v>
      </c>
      <c r="AQ65" s="50" t="e">
        <f ca="1">VLOOKUP(Tableau118[[#This Row],[Key(POD -PFI- Usine)]],'DATA Consignee'!A:N,14,FALSE)</f>
        <v>#N/A</v>
      </c>
      <c r="AR6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5" s="50" t="e">
        <f ca="1">Tableau118[[#This Row],[Transit time]]+Tableau118[[#This Row],[Time for security]]+Tableau118[[#This Row],[Time for security2 buffer]]</f>
        <v>#N/A</v>
      </c>
      <c r="AU6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5" s="389" t="e">
        <f ca="1">Tableau118[[#This Row],[Leadtime SI2C]]+Tableau118[[#This Row],[First Receipt Days]]-Tableau118[[#This Row],[Day Customer Order]]+1</f>
        <v>#N/A</v>
      </c>
      <c r="AW65" s="117" t="e">
        <f ca="1">IF(Tableau118[[#This Row],[Name ILN]]&lt;&gt;"SFK Freight Forwarder",Tableau118[[#This Row],[Cust. Leadtime]],Tableau118[[#This Row],[Leadtime SI2C]])</f>
        <v>#N/A</v>
      </c>
      <c r="AX65" s="51" t="e">
        <f>VLOOKUP(Tableau118[[#This Row],[ID]],'DATA BTO'!B:P,15,FALSE)</f>
        <v>#N/A</v>
      </c>
      <c r="AY65" s="328" t="e">
        <f ca="1">IFERROR(VLOOKUP(Tableau118[[#This Row],[Key(ID-Actif)]],'DATA BTO'!A:N,4,FALSE),VLOOKUP(Tableau118[[#This Row],[ID]],'DATA BTO'!B:N,3,FALSE))</f>
        <v>#N/A</v>
      </c>
      <c r="AZ6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5" s="50"/>
    </row>
    <row r="66" spans="2:57">
      <c r="B66" s="65" t="str">
        <f>_xlfn.CONCAT(Tableau118[[#This Row],[Name ILN]],"-",Tableau118[[#This Row],[Name Shipper]],"-",Tableau118[[#This Row],[Name Site]])</f>
        <v>--</v>
      </c>
      <c r="C66" s="65" t="e">
        <f ca="1">_xlfn.CONCAT(Tableau118[[#This Row],[Compte ILN]],"-",Tableau118[[#This Row],[Compte Shipper]],"-",Tableau118[[#This Row],[POL]],"-",Tableau118[[#This Row],[Compte Site]])</f>
        <v>#N/A</v>
      </c>
      <c r="D66" s="64" t="e">
        <f ca="1">_xlfn.CONCAT(Tableau118[[#This Row],[Compte ILN]],"-",Tableau118[[#This Row],[Compte Shipper]],"-",Tableau118[[#This Row],[POL]])</f>
        <v>#N/A</v>
      </c>
      <c r="E66" s="396" t="e">
        <f ca="1">_xlfn.CONCAT(Tableau118[[#This Row],[POL]],"-",Tableau118[[#This Row],[Carrier]],"-",Tableau118[[#This Row],[POD]])</f>
        <v>#N/A</v>
      </c>
      <c r="F66" s="64" t="str">
        <f>_xlfn.CONCAT(Tableau118[[#This Row],[ID]],"-","Next")</f>
        <v>-Next</v>
      </c>
      <c r="G66" s="64" t="e">
        <f ca="1">_xlfn.CONCAT(Tableau118[[#This Row],[POD]],"-",Tableau118[[#This Row],[Code PFI]],"-",Tableau118[[#This Row],[Compte Site]])</f>
        <v>#N/A</v>
      </c>
      <c r="H6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6" s="397" t="str">
        <f ca="1">IF(COUNTIF(I:I,Tableau118[[#This Row],[Plant-ILN-shipper-POL-Carrier-POD-PFI]])=1,"Non","Oui")</f>
        <v>Oui</v>
      </c>
      <c r="K66" s="398" t="e">
        <f>VLOOKUP(Tableau118[[#This Row],[Name Site]],Plant_AILN!A:D,4,FALSE)</f>
        <v>#N/A</v>
      </c>
      <c r="L66" s="285"/>
      <c r="M66" s="480"/>
      <c r="N66" s="55"/>
      <c r="O66" s="114"/>
      <c r="P66" s="481"/>
      <c r="Q66" s="50"/>
      <c r="R66" s="50"/>
      <c r="S66" s="50"/>
      <c r="T66" s="50"/>
      <c r="U66" s="50"/>
      <c r="V66" s="50"/>
      <c r="W66" s="53"/>
      <c r="X66" s="283"/>
      <c r="Y66" s="482">
        <f>IFERROR(VLOOKUP(Tableau118[[#This Row],[Name Shipper]],Plant_AILN!L:M,2,FALSE),0)</f>
        <v>0</v>
      </c>
      <c r="Z66" s="358"/>
      <c r="AA66" s="353" t="e">
        <f ca="1">VLOOKUP(Tableau118[[#This Row],[Key(ID-Actif)]],'DATA BTO'!A:N,5,FALSE)</f>
        <v>#N/A</v>
      </c>
      <c r="AB66" s="3" t="e">
        <f ca="1">VLOOKUP(Tableau118[[#This Row],[Key(ID-Actif)]],'DATA BTO'!A:N,6,FALSE)</f>
        <v>#N/A</v>
      </c>
      <c r="AC66" s="50" t="e">
        <f ca="1">VLOOKUP(Tableau118[[#This Row],[Key(ID-Actif)]],'DATA BTO'!A:N,7,FALSE)</f>
        <v>#N/A</v>
      </c>
      <c r="AD66" s="50" t="e">
        <f ca="1">VLOOKUP(Tableau118[[#This Row],[Key(ID-Actif)]],'DATA BTO'!A:N,8,FALSE)</f>
        <v>#N/A</v>
      </c>
      <c r="AE66" s="50" t="e">
        <f ca="1">IF(Tableau118[[#This Row],[First Day to POL]]&lt;=Tableau118[[#This Row],[Day Cut Off]],Tableau118[[#This Row],[Day ETD]],Tableau118[[#This Row],[Day ETD]]+7)</f>
        <v>#N/A</v>
      </c>
      <c r="AF66" s="50" t="e">
        <f ca="1">VLOOKUP(Tableau118[[#This Row],[Key(ID-Actif)]],'DATA BTO'!A:N,9,FALSE)</f>
        <v>#N/A</v>
      </c>
      <c r="AG66" s="3" t="e">
        <f ca="1">VLOOKUP(Tableau118[[#This Row],[Key(ID-Actif)]],'DATA BTO'!A:N,10,FALSE)</f>
        <v>#N/A</v>
      </c>
      <c r="AH66" s="3" t="e">
        <f ca="1">VLOOKUP(Tableau118[[#This Row],[Key(ID-Actif)]],'DATA BTO'!A:N,11,FALSE)</f>
        <v>#N/A</v>
      </c>
      <c r="AI66" s="50" t="e">
        <f ca="1">VLOOKUP(Tableau118[[#This Row],[Key(ID-Actif)]],'DATA BTO'!A:N,12,FALSE)</f>
        <v>#N/A</v>
      </c>
      <c r="AJ66" s="53" t="e">
        <f ca="1">VLOOKUP(Tableau118[[#This Row],[Key(ID-Actif)]],'DATA BTO'!A:N,14,FALSE)</f>
        <v>#N/A</v>
      </c>
      <c r="AK66" s="54" t="e">
        <f ca="1">VLOOKUP(Tableau118[[#This Row],[Key(POD -PFI- Usine)]],'DATA Consignee'!A:F,6,FALSE)</f>
        <v>#N/A</v>
      </c>
      <c r="AL66" s="125"/>
      <c r="AM66" s="483" t="str">
        <f>IF(Tableau118[[#This Row],[Name PFI/CDD]]="","-",VLOOKUP(Tableau118[[#This Row],[Name PFI/CDD]],Plant_AILN!I:J,2,FALSE))</f>
        <v>-</v>
      </c>
      <c r="AN6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6" s="2" t="e">
        <f ca="1">VLOOKUP(Tableau118[[#This Row],[Key(POD -PFI- Usine)]],'DATA Consignee'!A:J,10,FALSE)</f>
        <v>#N/A</v>
      </c>
      <c r="AQ66" s="50" t="e">
        <f ca="1">VLOOKUP(Tableau118[[#This Row],[Key(POD -PFI- Usine)]],'DATA Consignee'!A:N,14,FALSE)</f>
        <v>#N/A</v>
      </c>
      <c r="AR6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6" s="50" t="e">
        <f ca="1">Tableau118[[#This Row],[Transit time]]+Tableau118[[#This Row],[Time for security]]+Tableau118[[#This Row],[Time for security2 buffer]]</f>
        <v>#N/A</v>
      </c>
      <c r="AU6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6" s="389" t="e">
        <f ca="1">Tableau118[[#This Row],[Leadtime SI2C]]+Tableau118[[#This Row],[First Receipt Days]]-Tableau118[[#This Row],[Day Customer Order]]+1</f>
        <v>#N/A</v>
      </c>
      <c r="AW66" s="117" t="e">
        <f ca="1">IF(Tableau118[[#This Row],[Name ILN]]&lt;&gt;"SFK Freight Forwarder",Tableau118[[#This Row],[Cust. Leadtime]],Tableau118[[#This Row],[Leadtime SI2C]])</f>
        <v>#N/A</v>
      </c>
      <c r="AX66" s="51" t="e">
        <f>VLOOKUP(Tableau118[[#This Row],[ID]],'DATA BTO'!B:P,15,FALSE)</f>
        <v>#N/A</v>
      </c>
      <c r="AY66" s="328" t="e">
        <f ca="1">IFERROR(VLOOKUP(Tableau118[[#This Row],[Key(ID-Actif)]],'DATA BTO'!A:N,4,FALSE),VLOOKUP(Tableau118[[#This Row],[ID]],'DATA BTO'!B:N,3,FALSE))</f>
        <v>#N/A</v>
      </c>
      <c r="AZ6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6" s="50"/>
    </row>
    <row r="67" spans="2:57">
      <c r="B67" s="65" t="str">
        <f>_xlfn.CONCAT(Tableau118[[#This Row],[Name ILN]],"-",Tableau118[[#This Row],[Name Shipper]],"-",Tableau118[[#This Row],[Name Site]])</f>
        <v>--</v>
      </c>
      <c r="C67" s="65" t="e">
        <f ca="1">_xlfn.CONCAT(Tableau118[[#This Row],[Compte ILN]],"-",Tableau118[[#This Row],[Compte Shipper]],"-",Tableau118[[#This Row],[POL]],"-",Tableau118[[#This Row],[Compte Site]])</f>
        <v>#N/A</v>
      </c>
      <c r="D67" s="64" t="e">
        <f ca="1">_xlfn.CONCAT(Tableau118[[#This Row],[Compte ILN]],"-",Tableau118[[#This Row],[Compte Shipper]],"-",Tableau118[[#This Row],[POL]])</f>
        <v>#N/A</v>
      </c>
      <c r="E67" s="396" t="e">
        <f ca="1">_xlfn.CONCAT(Tableau118[[#This Row],[POL]],"-",Tableau118[[#This Row],[Carrier]],"-",Tableau118[[#This Row],[POD]])</f>
        <v>#N/A</v>
      </c>
      <c r="F67" s="64" t="str">
        <f>_xlfn.CONCAT(Tableau118[[#This Row],[ID]],"-","Next")</f>
        <v>-Next</v>
      </c>
      <c r="G67" s="64" t="e">
        <f ca="1">_xlfn.CONCAT(Tableau118[[#This Row],[POD]],"-",Tableau118[[#This Row],[Code PFI]],"-",Tableau118[[#This Row],[Compte Site]])</f>
        <v>#N/A</v>
      </c>
      <c r="H6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7" s="397" t="str">
        <f ca="1">IF(COUNTIF(I:I,Tableau118[[#This Row],[Plant-ILN-shipper-POL-Carrier-POD-PFI]])=1,"Non","Oui")</f>
        <v>Oui</v>
      </c>
      <c r="K67" s="398" t="e">
        <f>VLOOKUP(Tableau118[[#This Row],[Name Site]],Plant_AILN!A:D,4,FALSE)</f>
        <v>#N/A</v>
      </c>
      <c r="L67" s="285"/>
      <c r="M67" s="480"/>
      <c r="N67" s="55"/>
      <c r="O67" s="114"/>
      <c r="P67" s="481"/>
      <c r="Q67" s="50"/>
      <c r="R67" s="50"/>
      <c r="S67" s="50"/>
      <c r="T67" s="50"/>
      <c r="U67" s="50"/>
      <c r="V67" s="50"/>
      <c r="W67" s="53"/>
      <c r="X67" s="283"/>
      <c r="Y67" s="482">
        <f>IFERROR(VLOOKUP(Tableau118[[#This Row],[Name Shipper]],Plant_AILN!L:M,2,FALSE),0)</f>
        <v>0</v>
      </c>
      <c r="Z67" s="358"/>
      <c r="AA67" s="353" t="e">
        <f ca="1">VLOOKUP(Tableau118[[#This Row],[Key(ID-Actif)]],'DATA BTO'!A:N,5,FALSE)</f>
        <v>#N/A</v>
      </c>
      <c r="AB67" s="3" t="e">
        <f ca="1">VLOOKUP(Tableau118[[#This Row],[Key(ID-Actif)]],'DATA BTO'!A:N,6,FALSE)</f>
        <v>#N/A</v>
      </c>
      <c r="AC67" s="50" t="e">
        <f ca="1">VLOOKUP(Tableau118[[#This Row],[Key(ID-Actif)]],'DATA BTO'!A:N,7,FALSE)</f>
        <v>#N/A</v>
      </c>
      <c r="AD67" s="50" t="e">
        <f ca="1">VLOOKUP(Tableau118[[#This Row],[Key(ID-Actif)]],'DATA BTO'!A:N,8,FALSE)</f>
        <v>#N/A</v>
      </c>
      <c r="AE67" s="50" t="e">
        <f ca="1">IF(Tableau118[[#This Row],[First Day to POL]]&lt;=Tableau118[[#This Row],[Day Cut Off]],Tableau118[[#This Row],[Day ETD]],Tableau118[[#This Row],[Day ETD]]+7)</f>
        <v>#N/A</v>
      </c>
      <c r="AF67" s="50" t="e">
        <f ca="1">VLOOKUP(Tableau118[[#This Row],[Key(ID-Actif)]],'DATA BTO'!A:N,9,FALSE)</f>
        <v>#N/A</v>
      </c>
      <c r="AG67" s="3" t="e">
        <f ca="1">VLOOKUP(Tableau118[[#This Row],[Key(ID-Actif)]],'DATA BTO'!A:N,10,FALSE)</f>
        <v>#N/A</v>
      </c>
      <c r="AH67" s="3" t="e">
        <f ca="1">VLOOKUP(Tableau118[[#This Row],[Key(ID-Actif)]],'DATA BTO'!A:N,11,FALSE)</f>
        <v>#N/A</v>
      </c>
      <c r="AI67" s="50" t="e">
        <f ca="1">VLOOKUP(Tableau118[[#This Row],[Key(ID-Actif)]],'DATA BTO'!A:N,12,FALSE)</f>
        <v>#N/A</v>
      </c>
      <c r="AJ67" s="53" t="e">
        <f ca="1">VLOOKUP(Tableau118[[#This Row],[Key(ID-Actif)]],'DATA BTO'!A:N,14,FALSE)</f>
        <v>#N/A</v>
      </c>
      <c r="AK67" s="54" t="e">
        <f ca="1">VLOOKUP(Tableau118[[#This Row],[Key(POD -PFI- Usine)]],'DATA Consignee'!A:F,6,FALSE)</f>
        <v>#N/A</v>
      </c>
      <c r="AL67" s="125"/>
      <c r="AM67" s="483" t="str">
        <f>IF(Tableau118[[#This Row],[Name PFI/CDD]]="","-",VLOOKUP(Tableau118[[#This Row],[Name PFI/CDD]],Plant_AILN!I:J,2,FALSE))</f>
        <v>-</v>
      </c>
      <c r="AN6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7" s="2" t="e">
        <f ca="1">VLOOKUP(Tableau118[[#This Row],[Key(POD -PFI- Usine)]],'DATA Consignee'!A:J,10,FALSE)</f>
        <v>#N/A</v>
      </c>
      <c r="AQ67" s="50" t="e">
        <f ca="1">VLOOKUP(Tableau118[[#This Row],[Key(POD -PFI- Usine)]],'DATA Consignee'!A:N,14,FALSE)</f>
        <v>#N/A</v>
      </c>
      <c r="AR6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7" s="50" t="e">
        <f ca="1">Tableau118[[#This Row],[Transit time]]+Tableau118[[#This Row],[Time for security]]+Tableau118[[#This Row],[Time for security2 buffer]]</f>
        <v>#N/A</v>
      </c>
      <c r="AU6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7" s="389" t="e">
        <f ca="1">Tableau118[[#This Row],[Leadtime SI2C]]+Tableau118[[#This Row],[First Receipt Days]]-Tableau118[[#This Row],[Day Customer Order]]+1</f>
        <v>#N/A</v>
      </c>
      <c r="AW67" s="117" t="e">
        <f ca="1">IF(Tableau118[[#This Row],[Name ILN]]&lt;&gt;"SFK Freight Forwarder",Tableau118[[#This Row],[Cust. Leadtime]],Tableau118[[#This Row],[Leadtime SI2C]])</f>
        <v>#N/A</v>
      </c>
      <c r="AX67" s="51" t="e">
        <f>VLOOKUP(Tableau118[[#This Row],[ID]],'DATA BTO'!B:P,15,FALSE)</f>
        <v>#N/A</v>
      </c>
      <c r="AY67" s="328" t="e">
        <f ca="1">IFERROR(VLOOKUP(Tableau118[[#This Row],[Key(ID-Actif)]],'DATA BTO'!A:N,4,FALSE),VLOOKUP(Tableau118[[#This Row],[ID]],'DATA BTO'!B:N,3,FALSE))</f>
        <v>#N/A</v>
      </c>
      <c r="AZ6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7" s="50"/>
    </row>
    <row r="68" spans="2:57">
      <c r="B68" s="65" t="str">
        <f>_xlfn.CONCAT(Tableau118[[#This Row],[Name ILN]],"-",Tableau118[[#This Row],[Name Shipper]],"-",Tableau118[[#This Row],[Name Site]])</f>
        <v>--</v>
      </c>
      <c r="C68" s="65" t="e">
        <f ca="1">_xlfn.CONCAT(Tableau118[[#This Row],[Compte ILN]],"-",Tableau118[[#This Row],[Compte Shipper]],"-",Tableau118[[#This Row],[POL]],"-",Tableau118[[#This Row],[Compte Site]])</f>
        <v>#N/A</v>
      </c>
      <c r="D68" s="64" t="e">
        <f ca="1">_xlfn.CONCAT(Tableau118[[#This Row],[Compte ILN]],"-",Tableau118[[#This Row],[Compte Shipper]],"-",Tableau118[[#This Row],[POL]])</f>
        <v>#N/A</v>
      </c>
      <c r="E68" s="396" t="e">
        <f ca="1">_xlfn.CONCAT(Tableau118[[#This Row],[POL]],"-",Tableau118[[#This Row],[Carrier]],"-",Tableau118[[#This Row],[POD]])</f>
        <v>#N/A</v>
      </c>
      <c r="F68" s="64" t="str">
        <f>_xlfn.CONCAT(Tableau118[[#This Row],[ID]],"-","Next")</f>
        <v>-Next</v>
      </c>
      <c r="G68" s="64" t="e">
        <f ca="1">_xlfn.CONCAT(Tableau118[[#This Row],[POD]],"-",Tableau118[[#This Row],[Code PFI]],"-",Tableau118[[#This Row],[Compte Site]])</f>
        <v>#N/A</v>
      </c>
      <c r="H6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8" s="397" t="str">
        <f ca="1">IF(COUNTIF(I:I,Tableau118[[#This Row],[Plant-ILN-shipper-POL-Carrier-POD-PFI]])=1,"Non","Oui")</f>
        <v>Oui</v>
      </c>
      <c r="K68" s="398" t="e">
        <f>VLOOKUP(Tableau118[[#This Row],[Name Site]],Plant_AILN!A:D,4,FALSE)</f>
        <v>#N/A</v>
      </c>
      <c r="L68" s="285"/>
      <c r="M68" s="480"/>
      <c r="N68" s="55"/>
      <c r="O68" s="114"/>
      <c r="P68" s="481"/>
      <c r="Q68" s="50"/>
      <c r="R68" s="50"/>
      <c r="S68" s="50"/>
      <c r="T68" s="50"/>
      <c r="U68" s="50"/>
      <c r="V68" s="50"/>
      <c r="W68" s="53"/>
      <c r="X68" s="283"/>
      <c r="Y68" s="482">
        <f>IFERROR(VLOOKUP(Tableau118[[#This Row],[Name Shipper]],Plant_AILN!L:M,2,FALSE),0)</f>
        <v>0</v>
      </c>
      <c r="Z68" s="358"/>
      <c r="AA68" s="353" t="e">
        <f ca="1">VLOOKUP(Tableau118[[#This Row],[Key(ID-Actif)]],'DATA BTO'!A:N,5,FALSE)</f>
        <v>#N/A</v>
      </c>
      <c r="AB68" s="3" t="e">
        <f ca="1">VLOOKUP(Tableau118[[#This Row],[Key(ID-Actif)]],'DATA BTO'!A:N,6,FALSE)</f>
        <v>#N/A</v>
      </c>
      <c r="AC68" s="50" t="e">
        <f ca="1">VLOOKUP(Tableau118[[#This Row],[Key(ID-Actif)]],'DATA BTO'!A:N,7,FALSE)</f>
        <v>#N/A</v>
      </c>
      <c r="AD68" s="50" t="e">
        <f ca="1">VLOOKUP(Tableau118[[#This Row],[Key(ID-Actif)]],'DATA BTO'!A:N,8,FALSE)</f>
        <v>#N/A</v>
      </c>
      <c r="AE68" s="50" t="e">
        <f ca="1">IF(Tableau118[[#This Row],[First Day to POL]]&lt;=Tableau118[[#This Row],[Day Cut Off]],Tableau118[[#This Row],[Day ETD]],Tableau118[[#This Row],[Day ETD]]+7)</f>
        <v>#N/A</v>
      </c>
      <c r="AF68" s="50" t="e">
        <f ca="1">VLOOKUP(Tableau118[[#This Row],[Key(ID-Actif)]],'DATA BTO'!A:N,9,FALSE)</f>
        <v>#N/A</v>
      </c>
      <c r="AG68" s="3" t="e">
        <f ca="1">VLOOKUP(Tableau118[[#This Row],[Key(ID-Actif)]],'DATA BTO'!A:N,10,FALSE)</f>
        <v>#N/A</v>
      </c>
      <c r="AH68" s="3" t="e">
        <f ca="1">VLOOKUP(Tableau118[[#This Row],[Key(ID-Actif)]],'DATA BTO'!A:N,11,FALSE)</f>
        <v>#N/A</v>
      </c>
      <c r="AI68" s="50" t="e">
        <f ca="1">VLOOKUP(Tableau118[[#This Row],[Key(ID-Actif)]],'DATA BTO'!A:N,12,FALSE)</f>
        <v>#N/A</v>
      </c>
      <c r="AJ68" s="53" t="e">
        <f ca="1">VLOOKUP(Tableau118[[#This Row],[Key(ID-Actif)]],'DATA BTO'!A:N,14,FALSE)</f>
        <v>#N/A</v>
      </c>
      <c r="AK68" s="54" t="e">
        <f ca="1">VLOOKUP(Tableau118[[#This Row],[Key(POD -PFI- Usine)]],'DATA Consignee'!A:F,6,FALSE)</f>
        <v>#N/A</v>
      </c>
      <c r="AL68" s="125"/>
      <c r="AM68" s="483" t="str">
        <f>IF(Tableau118[[#This Row],[Name PFI/CDD]]="","-",VLOOKUP(Tableau118[[#This Row],[Name PFI/CDD]],Plant_AILN!I:J,2,FALSE))</f>
        <v>-</v>
      </c>
      <c r="AN6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8" s="2" t="e">
        <f ca="1">VLOOKUP(Tableau118[[#This Row],[Key(POD -PFI- Usine)]],'DATA Consignee'!A:J,10,FALSE)</f>
        <v>#N/A</v>
      </c>
      <c r="AQ68" s="50" t="e">
        <f ca="1">VLOOKUP(Tableau118[[#This Row],[Key(POD -PFI- Usine)]],'DATA Consignee'!A:N,14,FALSE)</f>
        <v>#N/A</v>
      </c>
      <c r="AR6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8" s="50" t="e">
        <f ca="1">Tableau118[[#This Row],[Transit time]]+Tableau118[[#This Row],[Time for security]]+Tableau118[[#This Row],[Time for security2 buffer]]</f>
        <v>#N/A</v>
      </c>
      <c r="AU6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8" s="389" t="e">
        <f ca="1">Tableau118[[#This Row],[Leadtime SI2C]]+Tableau118[[#This Row],[First Receipt Days]]-Tableau118[[#This Row],[Day Customer Order]]+1</f>
        <v>#N/A</v>
      </c>
      <c r="AW68" s="117" t="e">
        <f ca="1">IF(Tableau118[[#This Row],[Name ILN]]&lt;&gt;"SFK Freight Forwarder",Tableau118[[#This Row],[Cust. Leadtime]],Tableau118[[#This Row],[Leadtime SI2C]])</f>
        <v>#N/A</v>
      </c>
      <c r="AX68" s="51" t="e">
        <f>VLOOKUP(Tableau118[[#This Row],[ID]],'DATA BTO'!B:P,15,FALSE)</f>
        <v>#N/A</v>
      </c>
      <c r="AY68" s="328" t="e">
        <f ca="1">IFERROR(VLOOKUP(Tableau118[[#This Row],[Key(ID-Actif)]],'DATA BTO'!A:N,4,FALSE),VLOOKUP(Tableau118[[#This Row],[ID]],'DATA BTO'!B:N,3,FALSE))</f>
        <v>#N/A</v>
      </c>
      <c r="AZ6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8" s="50"/>
    </row>
    <row r="69" spans="2:57">
      <c r="B69" s="65" t="str">
        <f>_xlfn.CONCAT(Tableau118[[#This Row],[Name ILN]],"-",Tableau118[[#This Row],[Name Shipper]],"-",Tableau118[[#This Row],[Name Site]])</f>
        <v>--</v>
      </c>
      <c r="C69" s="65" t="e">
        <f ca="1">_xlfn.CONCAT(Tableau118[[#This Row],[Compte ILN]],"-",Tableau118[[#This Row],[Compte Shipper]],"-",Tableau118[[#This Row],[POL]],"-",Tableau118[[#This Row],[Compte Site]])</f>
        <v>#N/A</v>
      </c>
      <c r="D69" s="64" t="e">
        <f ca="1">_xlfn.CONCAT(Tableau118[[#This Row],[Compte ILN]],"-",Tableau118[[#This Row],[Compte Shipper]],"-",Tableau118[[#This Row],[POL]])</f>
        <v>#N/A</v>
      </c>
      <c r="E69" s="396" t="e">
        <f ca="1">_xlfn.CONCAT(Tableau118[[#This Row],[POL]],"-",Tableau118[[#This Row],[Carrier]],"-",Tableau118[[#This Row],[POD]])</f>
        <v>#N/A</v>
      </c>
      <c r="F69" s="64" t="str">
        <f>_xlfn.CONCAT(Tableau118[[#This Row],[ID]],"-","Next")</f>
        <v>-Next</v>
      </c>
      <c r="G69" s="64" t="e">
        <f ca="1">_xlfn.CONCAT(Tableau118[[#This Row],[POD]],"-",Tableau118[[#This Row],[Code PFI]],"-",Tableau118[[#This Row],[Compte Site]])</f>
        <v>#N/A</v>
      </c>
      <c r="H6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6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69" s="397" t="str">
        <f ca="1">IF(COUNTIF(I:I,Tableau118[[#This Row],[Plant-ILN-shipper-POL-Carrier-POD-PFI]])=1,"Non","Oui")</f>
        <v>Oui</v>
      </c>
      <c r="K69" s="398" t="e">
        <f>VLOOKUP(Tableau118[[#This Row],[Name Site]],Plant_AILN!A:D,4,FALSE)</f>
        <v>#N/A</v>
      </c>
      <c r="L69" s="285"/>
      <c r="M69" s="480"/>
      <c r="N69" s="55"/>
      <c r="O69" s="114"/>
      <c r="P69" s="481"/>
      <c r="Q69" s="50"/>
      <c r="R69" s="50"/>
      <c r="S69" s="50"/>
      <c r="T69" s="50"/>
      <c r="U69" s="50"/>
      <c r="V69" s="50"/>
      <c r="W69" s="53"/>
      <c r="X69" s="283"/>
      <c r="Y69" s="482">
        <f>IFERROR(VLOOKUP(Tableau118[[#This Row],[Name Shipper]],Plant_AILN!L:M,2,FALSE),0)</f>
        <v>0</v>
      </c>
      <c r="Z69" s="358"/>
      <c r="AA69" s="353" t="e">
        <f ca="1">VLOOKUP(Tableau118[[#This Row],[Key(ID-Actif)]],'DATA BTO'!A:N,5,FALSE)</f>
        <v>#N/A</v>
      </c>
      <c r="AB69" s="3" t="e">
        <f ca="1">VLOOKUP(Tableau118[[#This Row],[Key(ID-Actif)]],'DATA BTO'!A:N,6,FALSE)</f>
        <v>#N/A</v>
      </c>
      <c r="AC69" s="50" t="e">
        <f ca="1">VLOOKUP(Tableau118[[#This Row],[Key(ID-Actif)]],'DATA BTO'!A:N,7,FALSE)</f>
        <v>#N/A</v>
      </c>
      <c r="AD69" s="50" t="e">
        <f ca="1">VLOOKUP(Tableau118[[#This Row],[Key(ID-Actif)]],'DATA BTO'!A:N,8,FALSE)</f>
        <v>#N/A</v>
      </c>
      <c r="AE69" s="50" t="e">
        <f ca="1">IF(Tableau118[[#This Row],[First Day to POL]]&lt;=Tableau118[[#This Row],[Day Cut Off]],Tableau118[[#This Row],[Day ETD]],Tableau118[[#This Row],[Day ETD]]+7)</f>
        <v>#N/A</v>
      </c>
      <c r="AF69" s="50" t="e">
        <f ca="1">VLOOKUP(Tableau118[[#This Row],[Key(ID-Actif)]],'DATA BTO'!A:N,9,FALSE)</f>
        <v>#N/A</v>
      </c>
      <c r="AG69" s="3" t="e">
        <f ca="1">VLOOKUP(Tableau118[[#This Row],[Key(ID-Actif)]],'DATA BTO'!A:N,10,FALSE)</f>
        <v>#N/A</v>
      </c>
      <c r="AH69" s="3" t="e">
        <f ca="1">VLOOKUP(Tableau118[[#This Row],[Key(ID-Actif)]],'DATA BTO'!A:N,11,FALSE)</f>
        <v>#N/A</v>
      </c>
      <c r="AI69" s="50" t="e">
        <f ca="1">VLOOKUP(Tableau118[[#This Row],[Key(ID-Actif)]],'DATA BTO'!A:N,12,FALSE)</f>
        <v>#N/A</v>
      </c>
      <c r="AJ69" s="53" t="e">
        <f ca="1">VLOOKUP(Tableau118[[#This Row],[Key(ID-Actif)]],'DATA BTO'!A:N,14,FALSE)</f>
        <v>#N/A</v>
      </c>
      <c r="AK69" s="54" t="e">
        <f ca="1">VLOOKUP(Tableau118[[#This Row],[Key(POD -PFI- Usine)]],'DATA Consignee'!A:F,6,FALSE)</f>
        <v>#N/A</v>
      </c>
      <c r="AL69" s="125"/>
      <c r="AM69" s="483" t="str">
        <f>IF(Tableau118[[#This Row],[Name PFI/CDD]]="","-",VLOOKUP(Tableau118[[#This Row],[Name PFI/CDD]],Plant_AILN!I:J,2,FALSE))</f>
        <v>-</v>
      </c>
      <c r="AN6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6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69" s="2" t="e">
        <f ca="1">VLOOKUP(Tableau118[[#This Row],[Key(POD -PFI- Usine)]],'DATA Consignee'!A:J,10,FALSE)</f>
        <v>#N/A</v>
      </c>
      <c r="AQ69" s="50" t="e">
        <f ca="1">VLOOKUP(Tableau118[[#This Row],[Key(POD -PFI- Usine)]],'DATA Consignee'!A:N,14,FALSE)</f>
        <v>#N/A</v>
      </c>
      <c r="AR6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6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69" s="50" t="e">
        <f ca="1">Tableau118[[#This Row],[Transit time]]+Tableau118[[#This Row],[Time for security]]+Tableau118[[#This Row],[Time for security2 buffer]]</f>
        <v>#N/A</v>
      </c>
      <c r="AU6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69" s="389" t="e">
        <f ca="1">Tableau118[[#This Row],[Leadtime SI2C]]+Tableau118[[#This Row],[First Receipt Days]]-Tableau118[[#This Row],[Day Customer Order]]+1</f>
        <v>#N/A</v>
      </c>
      <c r="AW69" s="117" t="e">
        <f ca="1">IF(Tableau118[[#This Row],[Name ILN]]&lt;&gt;"SFK Freight Forwarder",Tableau118[[#This Row],[Cust. Leadtime]],Tableau118[[#This Row],[Leadtime SI2C]])</f>
        <v>#N/A</v>
      </c>
      <c r="AX69" s="51" t="e">
        <f>VLOOKUP(Tableau118[[#This Row],[ID]],'DATA BTO'!B:P,15,FALSE)</f>
        <v>#N/A</v>
      </c>
      <c r="AY69" s="328" t="e">
        <f ca="1">IFERROR(VLOOKUP(Tableau118[[#This Row],[Key(ID-Actif)]],'DATA BTO'!A:N,4,FALSE),VLOOKUP(Tableau118[[#This Row],[ID]],'DATA BTO'!B:N,3,FALSE))</f>
        <v>#N/A</v>
      </c>
      <c r="AZ6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6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6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6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6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69" s="50"/>
    </row>
    <row r="70" spans="2:57">
      <c r="B70" s="65" t="str">
        <f>_xlfn.CONCAT(Tableau118[[#This Row],[Name ILN]],"-",Tableau118[[#This Row],[Name Shipper]],"-",Tableau118[[#This Row],[Name Site]])</f>
        <v>--</v>
      </c>
      <c r="C70" s="65" t="e">
        <f ca="1">_xlfn.CONCAT(Tableau118[[#This Row],[Compte ILN]],"-",Tableau118[[#This Row],[Compte Shipper]],"-",Tableau118[[#This Row],[POL]],"-",Tableau118[[#This Row],[Compte Site]])</f>
        <v>#N/A</v>
      </c>
      <c r="D70" s="64" t="e">
        <f ca="1">_xlfn.CONCAT(Tableau118[[#This Row],[Compte ILN]],"-",Tableau118[[#This Row],[Compte Shipper]],"-",Tableau118[[#This Row],[POL]])</f>
        <v>#N/A</v>
      </c>
      <c r="E70" s="396" t="e">
        <f ca="1">_xlfn.CONCAT(Tableau118[[#This Row],[POL]],"-",Tableau118[[#This Row],[Carrier]],"-",Tableau118[[#This Row],[POD]])</f>
        <v>#N/A</v>
      </c>
      <c r="F70" s="64" t="str">
        <f>_xlfn.CONCAT(Tableau118[[#This Row],[ID]],"-","Next")</f>
        <v>-Next</v>
      </c>
      <c r="G70" s="64" t="e">
        <f ca="1">_xlfn.CONCAT(Tableau118[[#This Row],[POD]],"-",Tableau118[[#This Row],[Code PFI]],"-",Tableau118[[#This Row],[Compte Site]])</f>
        <v>#N/A</v>
      </c>
      <c r="H7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0" s="397" t="str">
        <f ca="1">IF(COUNTIF(I:I,Tableau118[[#This Row],[Plant-ILN-shipper-POL-Carrier-POD-PFI]])=1,"Non","Oui")</f>
        <v>Oui</v>
      </c>
      <c r="K70" s="398" t="e">
        <f>VLOOKUP(Tableau118[[#This Row],[Name Site]],Plant_AILN!A:D,4,FALSE)</f>
        <v>#N/A</v>
      </c>
      <c r="L70" s="285"/>
      <c r="M70" s="480"/>
      <c r="N70" s="55"/>
      <c r="O70" s="114"/>
      <c r="P70" s="481"/>
      <c r="Q70" s="50"/>
      <c r="R70" s="50"/>
      <c r="S70" s="50"/>
      <c r="T70" s="50"/>
      <c r="U70" s="50"/>
      <c r="V70" s="50"/>
      <c r="W70" s="53"/>
      <c r="X70" s="283"/>
      <c r="Y70" s="482">
        <f>IFERROR(VLOOKUP(Tableau118[[#This Row],[Name Shipper]],Plant_AILN!L:M,2,FALSE),0)</f>
        <v>0</v>
      </c>
      <c r="Z70" s="358"/>
      <c r="AA70" s="353" t="e">
        <f ca="1">VLOOKUP(Tableau118[[#This Row],[Key(ID-Actif)]],'DATA BTO'!A:N,5,FALSE)</f>
        <v>#N/A</v>
      </c>
      <c r="AB70" s="3" t="e">
        <f ca="1">VLOOKUP(Tableau118[[#This Row],[Key(ID-Actif)]],'DATA BTO'!A:N,6,FALSE)</f>
        <v>#N/A</v>
      </c>
      <c r="AC70" s="50" t="e">
        <f ca="1">VLOOKUP(Tableau118[[#This Row],[Key(ID-Actif)]],'DATA BTO'!A:N,7,FALSE)</f>
        <v>#N/A</v>
      </c>
      <c r="AD70" s="50" t="e">
        <f ca="1">VLOOKUP(Tableau118[[#This Row],[Key(ID-Actif)]],'DATA BTO'!A:N,8,FALSE)</f>
        <v>#N/A</v>
      </c>
      <c r="AE70" s="50" t="e">
        <f ca="1">IF(Tableau118[[#This Row],[First Day to POL]]&lt;=Tableau118[[#This Row],[Day Cut Off]],Tableau118[[#This Row],[Day ETD]],Tableau118[[#This Row],[Day ETD]]+7)</f>
        <v>#N/A</v>
      </c>
      <c r="AF70" s="50" t="e">
        <f ca="1">VLOOKUP(Tableau118[[#This Row],[Key(ID-Actif)]],'DATA BTO'!A:N,9,FALSE)</f>
        <v>#N/A</v>
      </c>
      <c r="AG70" s="3" t="e">
        <f ca="1">VLOOKUP(Tableau118[[#This Row],[Key(ID-Actif)]],'DATA BTO'!A:N,10,FALSE)</f>
        <v>#N/A</v>
      </c>
      <c r="AH70" s="3" t="e">
        <f ca="1">VLOOKUP(Tableau118[[#This Row],[Key(ID-Actif)]],'DATA BTO'!A:N,11,FALSE)</f>
        <v>#N/A</v>
      </c>
      <c r="AI70" s="50" t="e">
        <f ca="1">VLOOKUP(Tableau118[[#This Row],[Key(ID-Actif)]],'DATA BTO'!A:N,12,FALSE)</f>
        <v>#N/A</v>
      </c>
      <c r="AJ70" s="53" t="e">
        <f ca="1">VLOOKUP(Tableau118[[#This Row],[Key(ID-Actif)]],'DATA BTO'!A:N,14,FALSE)</f>
        <v>#N/A</v>
      </c>
      <c r="AK70" s="54" t="e">
        <f ca="1">VLOOKUP(Tableau118[[#This Row],[Key(POD -PFI- Usine)]],'DATA Consignee'!A:F,6,FALSE)</f>
        <v>#N/A</v>
      </c>
      <c r="AL70" s="125"/>
      <c r="AM70" s="483" t="str">
        <f>IF(Tableau118[[#This Row],[Name PFI/CDD]]="","-",VLOOKUP(Tableau118[[#This Row],[Name PFI/CDD]],Plant_AILN!I:J,2,FALSE))</f>
        <v>-</v>
      </c>
      <c r="AN7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0" s="2" t="e">
        <f ca="1">VLOOKUP(Tableau118[[#This Row],[Key(POD -PFI- Usine)]],'DATA Consignee'!A:J,10,FALSE)</f>
        <v>#N/A</v>
      </c>
      <c r="AQ70" s="50" t="e">
        <f ca="1">VLOOKUP(Tableau118[[#This Row],[Key(POD -PFI- Usine)]],'DATA Consignee'!A:N,14,FALSE)</f>
        <v>#N/A</v>
      </c>
      <c r="AR7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0" s="50" t="e">
        <f ca="1">Tableau118[[#This Row],[Transit time]]+Tableau118[[#This Row],[Time for security]]+Tableau118[[#This Row],[Time for security2 buffer]]</f>
        <v>#N/A</v>
      </c>
      <c r="AU7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0" s="389" t="e">
        <f ca="1">Tableau118[[#This Row],[Leadtime SI2C]]+Tableau118[[#This Row],[First Receipt Days]]-Tableau118[[#This Row],[Day Customer Order]]+1</f>
        <v>#N/A</v>
      </c>
      <c r="AW70" s="117" t="e">
        <f ca="1">IF(Tableau118[[#This Row],[Name ILN]]&lt;&gt;"SFK Freight Forwarder",Tableau118[[#This Row],[Cust. Leadtime]],Tableau118[[#This Row],[Leadtime SI2C]])</f>
        <v>#N/A</v>
      </c>
      <c r="AX70" s="51" t="e">
        <f>VLOOKUP(Tableau118[[#This Row],[ID]],'DATA BTO'!B:P,15,FALSE)</f>
        <v>#N/A</v>
      </c>
      <c r="AY70" s="328" t="e">
        <f ca="1">IFERROR(VLOOKUP(Tableau118[[#This Row],[Key(ID-Actif)]],'DATA BTO'!A:N,4,FALSE),VLOOKUP(Tableau118[[#This Row],[ID]],'DATA BTO'!B:N,3,FALSE))</f>
        <v>#N/A</v>
      </c>
      <c r="AZ7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0" s="50"/>
    </row>
    <row r="71" spans="2:57">
      <c r="B71" s="65" t="str">
        <f>_xlfn.CONCAT(Tableau118[[#This Row],[Name ILN]],"-",Tableau118[[#This Row],[Name Shipper]],"-",Tableau118[[#This Row],[Name Site]])</f>
        <v>--</v>
      </c>
      <c r="C71" s="65" t="e">
        <f ca="1">_xlfn.CONCAT(Tableau118[[#This Row],[Compte ILN]],"-",Tableau118[[#This Row],[Compte Shipper]],"-",Tableau118[[#This Row],[POL]],"-",Tableau118[[#This Row],[Compte Site]])</f>
        <v>#N/A</v>
      </c>
      <c r="D71" s="64" t="e">
        <f ca="1">_xlfn.CONCAT(Tableau118[[#This Row],[Compte ILN]],"-",Tableau118[[#This Row],[Compte Shipper]],"-",Tableau118[[#This Row],[POL]])</f>
        <v>#N/A</v>
      </c>
      <c r="E71" s="396" t="e">
        <f ca="1">_xlfn.CONCAT(Tableau118[[#This Row],[POL]],"-",Tableau118[[#This Row],[Carrier]],"-",Tableau118[[#This Row],[POD]])</f>
        <v>#N/A</v>
      </c>
      <c r="F71" s="64" t="str">
        <f>_xlfn.CONCAT(Tableau118[[#This Row],[ID]],"-","Next")</f>
        <v>-Next</v>
      </c>
      <c r="G71" s="64" t="e">
        <f ca="1">_xlfn.CONCAT(Tableau118[[#This Row],[POD]],"-",Tableau118[[#This Row],[Code PFI]],"-",Tableau118[[#This Row],[Compte Site]])</f>
        <v>#N/A</v>
      </c>
      <c r="H7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1" s="397" t="str">
        <f ca="1">IF(COUNTIF(I:I,Tableau118[[#This Row],[Plant-ILN-shipper-POL-Carrier-POD-PFI]])=1,"Non","Oui")</f>
        <v>Oui</v>
      </c>
      <c r="K71" s="398" t="e">
        <f>VLOOKUP(Tableau118[[#This Row],[Name Site]],Plant_AILN!A:D,4,FALSE)</f>
        <v>#N/A</v>
      </c>
      <c r="L71" s="285"/>
      <c r="M71" s="480"/>
      <c r="N71" s="55"/>
      <c r="O71" s="114"/>
      <c r="P71" s="481"/>
      <c r="Q71" s="50"/>
      <c r="R71" s="50"/>
      <c r="S71" s="50"/>
      <c r="T71" s="50"/>
      <c r="U71" s="50"/>
      <c r="V71" s="50"/>
      <c r="W71" s="53"/>
      <c r="X71" s="283"/>
      <c r="Y71" s="482">
        <f>IFERROR(VLOOKUP(Tableau118[[#This Row],[Name Shipper]],Plant_AILN!L:M,2,FALSE),0)</f>
        <v>0</v>
      </c>
      <c r="Z71" s="358"/>
      <c r="AA71" s="353" t="e">
        <f ca="1">VLOOKUP(Tableau118[[#This Row],[Key(ID-Actif)]],'DATA BTO'!A:N,5,FALSE)</f>
        <v>#N/A</v>
      </c>
      <c r="AB71" s="3" t="e">
        <f ca="1">VLOOKUP(Tableau118[[#This Row],[Key(ID-Actif)]],'DATA BTO'!A:N,6,FALSE)</f>
        <v>#N/A</v>
      </c>
      <c r="AC71" s="50" t="e">
        <f ca="1">VLOOKUP(Tableau118[[#This Row],[Key(ID-Actif)]],'DATA BTO'!A:N,7,FALSE)</f>
        <v>#N/A</v>
      </c>
      <c r="AD71" s="50" t="e">
        <f ca="1">VLOOKUP(Tableau118[[#This Row],[Key(ID-Actif)]],'DATA BTO'!A:N,8,FALSE)</f>
        <v>#N/A</v>
      </c>
      <c r="AE71" s="50" t="e">
        <f ca="1">IF(Tableau118[[#This Row],[First Day to POL]]&lt;=Tableau118[[#This Row],[Day Cut Off]],Tableau118[[#This Row],[Day ETD]],Tableau118[[#This Row],[Day ETD]]+7)</f>
        <v>#N/A</v>
      </c>
      <c r="AF71" s="50" t="e">
        <f ca="1">VLOOKUP(Tableau118[[#This Row],[Key(ID-Actif)]],'DATA BTO'!A:N,9,FALSE)</f>
        <v>#N/A</v>
      </c>
      <c r="AG71" s="3" t="e">
        <f ca="1">VLOOKUP(Tableau118[[#This Row],[Key(ID-Actif)]],'DATA BTO'!A:N,10,FALSE)</f>
        <v>#N/A</v>
      </c>
      <c r="AH71" s="3" t="e">
        <f ca="1">VLOOKUP(Tableau118[[#This Row],[Key(ID-Actif)]],'DATA BTO'!A:N,11,FALSE)</f>
        <v>#N/A</v>
      </c>
      <c r="AI71" s="50" t="e">
        <f ca="1">VLOOKUP(Tableau118[[#This Row],[Key(ID-Actif)]],'DATA BTO'!A:N,12,FALSE)</f>
        <v>#N/A</v>
      </c>
      <c r="AJ71" s="53" t="e">
        <f ca="1">VLOOKUP(Tableau118[[#This Row],[Key(ID-Actif)]],'DATA BTO'!A:N,14,FALSE)</f>
        <v>#N/A</v>
      </c>
      <c r="AK71" s="54" t="e">
        <f ca="1">VLOOKUP(Tableau118[[#This Row],[Key(POD -PFI- Usine)]],'DATA Consignee'!A:F,6,FALSE)</f>
        <v>#N/A</v>
      </c>
      <c r="AL71" s="125"/>
      <c r="AM71" s="483" t="str">
        <f>IF(Tableau118[[#This Row],[Name PFI/CDD]]="","-",VLOOKUP(Tableau118[[#This Row],[Name PFI/CDD]],Plant_AILN!I:J,2,FALSE))</f>
        <v>-</v>
      </c>
      <c r="AN7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1" s="2" t="e">
        <f ca="1">VLOOKUP(Tableau118[[#This Row],[Key(POD -PFI- Usine)]],'DATA Consignee'!A:J,10,FALSE)</f>
        <v>#N/A</v>
      </c>
      <c r="AQ71" s="50" t="e">
        <f ca="1">VLOOKUP(Tableau118[[#This Row],[Key(POD -PFI- Usine)]],'DATA Consignee'!A:N,14,FALSE)</f>
        <v>#N/A</v>
      </c>
      <c r="AR7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1" s="50" t="e">
        <f ca="1">Tableau118[[#This Row],[Transit time]]+Tableau118[[#This Row],[Time for security]]+Tableau118[[#This Row],[Time for security2 buffer]]</f>
        <v>#N/A</v>
      </c>
      <c r="AU7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1" s="389" t="e">
        <f ca="1">Tableau118[[#This Row],[Leadtime SI2C]]+Tableau118[[#This Row],[First Receipt Days]]-Tableau118[[#This Row],[Day Customer Order]]+1</f>
        <v>#N/A</v>
      </c>
      <c r="AW71" s="117" t="e">
        <f ca="1">IF(Tableau118[[#This Row],[Name ILN]]&lt;&gt;"SFK Freight Forwarder",Tableau118[[#This Row],[Cust. Leadtime]],Tableau118[[#This Row],[Leadtime SI2C]])</f>
        <v>#N/A</v>
      </c>
      <c r="AX71" s="51" t="e">
        <f>VLOOKUP(Tableau118[[#This Row],[ID]],'DATA BTO'!B:P,15,FALSE)</f>
        <v>#N/A</v>
      </c>
      <c r="AY71" s="328" t="e">
        <f ca="1">IFERROR(VLOOKUP(Tableau118[[#This Row],[Key(ID-Actif)]],'DATA BTO'!A:N,4,FALSE),VLOOKUP(Tableau118[[#This Row],[ID]],'DATA BTO'!B:N,3,FALSE))</f>
        <v>#N/A</v>
      </c>
      <c r="AZ7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1" s="50"/>
    </row>
    <row r="72" spans="2:57">
      <c r="B72" s="65" t="str">
        <f>_xlfn.CONCAT(Tableau118[[#This Row],[Name ILN]],"-",Tableau118[[#This Row],[Name Shipper]],"-",Tableau118[[#This Row],[Name Site]])</f>
        <v>--</v>
      </c>
      <c r="C72" s="65" t="e">
        <f ca="1">_xlfn.CONCAT(Tableau118[[#This Row],[Compte ILN]],"-",Tableau118[[#This Row],[Compte Shipper]],"-",Tableau118[[#This Row],[POL]],"-",Tableau118[[#This Row],[Compte Site]])</f>
        <v>#N/A</v>
      </c>
      <c r="D72" s="64" t="e">
        <f ca="1">_xlfn.CONCAT(Tableau118[[#This Row],[Compte ILN]],"-",Tableau118[[#This Row],[Compte Shipper]],"-",Tableau118[[#This Row],[POL]])</f>
        <v>#N/A</v>
      </c>
      <c r="E72" s="396" t="e">
        <f ca="1">_xlfn.CONCAT(Tableau118[[#This Row],[POL]],"-",Tableau118[[#This Row],[Carrier]],"-",Tableau118[[#This Row],[POD]])</f>
        <v>#N/A</v>
      </c>
      <c r="F72" s="64" t="str">
        <f>_xlfn.CONCAT(Tableau118[[#This Row],[ID]],"-","Next")</f>
        <v>-Next</v>
      </c>
      <c r="G72" s="64" t="e">
        <f ca="1">_xlfn.CONCAT(Tableau118[[#This Row],[POD]],"-",Tableau118[[#This Row],[Code PFI]],"-",Tableau118[[#This Row],[Compte Site]])</f>
        <v>#N/A</v>
      </c>
      <c r="H7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2" s="397" t="str">
        <f ca="1">IF(COUNTIF(I:I,Tableau118[[#This Row],[Plant-ILN-shipper-POL-Carrier-POD-PFI]])=1,"Non","Oui")</f>
        <v>Oui</v>
      </c>
      <c r="K72" s="398" t="e">
        <f>VLOOKUP(Tableau118[[#This Row],[Name Site]],Plant_AILN!A:D,4,FALSE)</f>
        <v>#N/A</v>
      </c>
      <c r="L72" s="285"/>
      <c r="M72" s="480"/>
      <c r="N72" s="55"/>
      <c r="O72" s="114"/>
      <c r="P72" s="481"/>
      <c r="Q72" s="50"/>
      <c r="R72" s="50"/>
      <c r="S72" s="50"/>
      <c r="T72" s="50"/>
      <c r="U72" s="50"/>
      <c r="V72" s="50"/>
      <c r="W72" s="53"/>
      <c r="X72" s="283"/>
      <c r="Y72" s="482">
        <f>IFERROR(VLOOKUP(Tableau118[[#This Row],[Name Shipper]],Plant_AILN!L:M,2,FALSE),0)</f>
        <v>0</v>
      </c>
      <c r="Z72" s="358"/>
      <c r="AA72" s="353" t="e">
        <f ca="1">VLOOKUP(Tableau118[[#This Row],[Key(ID-Actif)]],'DATA BTO'!A:N,5,FALSE)</f>
        <v>#N/A</v>
      </c>
      <c r="AB72" s="3" t="e">
        <f ca="1">VLOOKUP(Tableau118[[#This Row],[Key(ID-Actif)]],'DATA BTO'!A:N,6,FALSE)</f>
        <v>#N/A</v>
      </c>
      <c r="AC72" s="50" t="e">
        <f ca="1">VLOOKUP(Tableau118[[#This Row],[Key(ID-Actif)]],'DATA BTO'!A:N,7,FALSE)</f>
        <v>#N/A</v>
      </c>
      <c r="AD72" s="50" t="e">
        <f ca="1">VLOOKUP(Tableau118[[#This Row],[Key(ID-Actif)]],'DATA BTO'!A:N,8,FALSE)</f>
        <v>#N/A</v>
      </c>
      <c r="AE72" s="50" t="e">
        <f ca="1">IF(Tableau118[[#This Row],[First Day to POL]]&lt;=Tableau118[[#This Row],[Day Cut Off]],Tableau118[[#This Row],[Day ETD]],Tableau118[[#This Row],[Day ETD]]+7)</f>
        <v>#N/A</v>
      </c>
      <c r="AF72" s="50" t="e">
        <f ca="1">VLOOKUP(Tableau118[[#This Row],[Key(ID-Actif)]],'DATA BTO'!A:N,9,FALSE)</f>
        <v>#N/A</v>
      </c>
      <c r="AG72" s="3" t="e">
        <f ca="1">VLOOKUP(Tableau118[[#This Row],[Key(ID-Actif)]],'DATA BTO'!A:N,10,FALSE)</f>
        <v>#N/A</v>
      </c>
      <c r="AH72" s="3" t="e">
        <f ca="1">VLOOKUP(Tableau118[[#This Row],[Key(ID-Actif)]],'DATA BTO'!A:N,11,FALSE)</f>
        <v>#N/A</v>
      </c>
      <c r="AI72" s="50" t="e">
        <f ca="1">VLOOKUP(Tableau118[[#This Row],[Key(ID-Actif)]],'DATA BTO'!A:N,12,FALSE)</f>
        <v>#N/A</v>
      </c>
      <c r="AJ72" s="53" t="e">
        <f ca="1">VLOOKUP(Tableau118[[#This Row],[Key(ID-Actif)]],'DATA BTO'!A:N,14,FALSE)</f>
        <v>#N/A</v>
      </c>
      <c r="AK72" s="54" t="e">
        <f ca="1">VLOOKUP(Tableau118[[#This Row],[Key(POD -PFI- Usine)]],'DATA Consignee'!A:F,6,FALSE)</f>
        <v>#N/A</v>
      </c>
      <c r="AL72" s="125"/>
      <c r="AM72" s="483" t="str">
        <f>IF(Tableau118[[#This Row],[Name PFI/CDD]]="","-",VLOOKUP(Tableau118[[#This Row],[Name PFI/CDD]],Plant_AILN!I:J,2,FALSE))</f>
        <v>-</v>
      </c>
      <c r="AN7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2" s="2" t="e">
        <f ca="1">VLOOKUP(Tableau118[[#This Row],[Key(POD -PFI- Usine)]],'DATA Consignee'!A:J,10,FALSE)</f>
        <v>#N/A</v>
      </c>
      <c r="AQ72" s="50" t="e">
        <f ca="1">VLOOKUP(Tableau118[[#This Row],[Key(POD -PFI- Usine)]],'DATA Consignee'!A:N,14,FALSE)</f>
        <v>#N/A</v>
      </c>
      <c r="AR7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2" s="50" t="e">
        <f ca="1">Tableau118[[#This Row],[Transit time]]+Tableau118[[#This Row],[Time for security]]+Tableau118[[#This Row],[Time for security2 buffer]]</f>
        <v>#N/A</v>
      </c>
      <c r="AU7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2" s="389" t="e">
        <f ca="1">Tableau118[[#This Row],[Leadtime SI2C]]+Tableau118[[#This Row],[First Receipt Days]]-Tableau118[[#This Row],[Day Customer Order]]+1</f>
        <v>#N/A</v>
      </c>
      <c r="AW72" s="117" t="e">
        <f ca="1">IF(Tableau118[[#This Row],[Name ILN]]&lt;&gt;"SFK Freight Forwarder",Tableau118[[#This Row],[Cust. Leadtime]],Tableau118[[#This Row],[Leadtime SI2C]])</f>
        <v>#N/A</v>
      </c>
      <c r="AX72" s="51" t="e">
        <f>VLOOKUP(Tableau118[[#This Row],[ID]],'DATA BTO'!B:P,15,FALSE)</f>
        <v>#N/A</v>
      </c>
      <c r="AY72" s="328" t="e">
        <f ca="1">IFERROR(VLOOKUP(Tableau118[[#This Row],[Key(ID-Actif)]],'DATA BTO'!A:N,4,FALSE),VLOOKUP(Tableau118[[#This Row],[ID]],'DATA BTO'!B:N,3,FALSE))</f>
        <v>#N/A</v>
      </c>
      <c r="AZ7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2" s="50"/>
    </row>
    <row r="73" spans="2:57">
      <c r="B73" s="65" t="str">
        <f>_xlfn.CONCAT(Tableau118[[#This Row],[Name ILN]],"-",Tableau118[[#This Row],[Name Shipper]],"-",Tableau118[[#This Row],[Name Site]])</f>
        <v>--</v>
      </c>
      <c r="C73" s="65" t="e">
        <f ca="1">_xlfn.CONCAT(Tableau118[[#This Row],[Compte ILN]],"-",Tableau118[[#This Row],[Compte Shipper]],"-",Tableau118[[#This Row],[POL]],"-",Tableau118[[#This Row],[Compte Site]])</f>
        <v>#N/A</v>
      </c>
      <c r="D73" s="64" t="e">
        <f ca="1">_xlfn.CONCAT(Tableau118[[#This Row],[Compte ILN]],"-",Tableau118[[#This Row],[Compte Shipper]],"-",Tableau118[[#This Row],[POL]])</f>
        <v>#N/A</v>
      </c>
      <c r="E73" s="396" t="e">
        <f ca="1">_xlfn.CONCAT(Tableau118[[#This Row],[POL]],"-",Tableau118[[#This Row],[Carrier]],"-",Tableau118[[#This Row],[POD]])</f>
        <v>#N/A</v>
      </c>
      <c r="F73" s="64" t="str">
        <f>_xlfn.CONCAT(Tableau118[[#This Row],[ID]],"-","Next")</f>
        <v>-Next</v>
      </c>
      <c r="G73" s="64" t="e">
        <f ca="1">_xlfn.CONCAT(Tableau118[[#This Row],[POD]],"-",Tableau118[[#This Row],[Code PFI]],"-",Tableau118[[#This Row],[Compte Site]])</f>
        <v>#N/A</v>
      </c>
      <c r="H7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3" s="397" t="str">
        <f ca="1">IF(COUNTIF(I:I,Tableau118[[#This Row],[Plant-ILN-shipper-POL-Carrier-POD-PFI]])=1,"Non","Oui")</f>
        <v>Oui</v>
      </c>
      <c r="K73" s="398" t="e">
        <f>VLOOKUP(Tableau118[[#This Row],[Name Site]],Plant_AILN!A:D,4,FALSE)</f>
        <v>#N/A</v>
      </c>
      <c r="L73" s="285"/>
      <c r="M73" s="496"/>
      <c r="N73" s="55"/>
      <c r="O73" s="114"/>
      <c r="P73" s="481"/>
      <c r="Q73" s="50"/>
      <c r="R73" s="50"/>
      <c r="S73" s="50"/>
      <c r="T73" s="50"/>
      <c r="U73" s="50"/>
      <c r="V73" s="50"/>
      <c r="W73" s="53"/>
      <c r="X73" s="283"/>
      <c r="Y73" s="482">
        <f>IFERROR(VLOOKUP(Tableau118[[#This Row],[Name Shipper]],Plant_AILN!L:M,2,FALSE),0)</f>
        <v>0</v>
      </c>
      <c r="Z73" s="358"/>
      <c r="AA73" s="353" t="e">
        <f ca="1">VLOOKUP(Tableau118[[#This Row],[Key(ID-Actif)]],'DATA BTO'!A:N,5,FALSE)</f>
        <v>#N/A</v>
      </c>
      <c r="AB73" s="3" t="e">
        <f ca="1">VLOOKUP(Tableau118[[#This Row],[Key(ID-Actif)]],'DATA BTO'!A:N,6,FALSE)</f>
        <v>#N/A</v>
      </c>
      <c r="AC73" s="50" t="e">
        <f ca="1">VLOOKUP(Tableau118[[#This Row],[Key(ID-Actif)]],'DATA BTO'!A:N,7,FALSE)</f>
        <v>#N/A</v>
      </c>
      <c r="AD73" s="50" t="e">
        <f ca="1">VLOOKUP(Tableau118[[#This Row],[Key(ID-Actif)]],'DATA BTO'!A:N,8,FALSE)</f>
        <v>#N/A</v>
      </c>
      <c r="AE73" s="50" t="e">
        <f ca="1">IF(Tableau118[[#This Row],[First Day to POL]]&lt;=Tableau118[[#This Row],[Day Cut Off]],Tableau118[[#This Row],[Day ETD]],Tableau118[[#This Row],[Day ETD]]+7)</f>
        <v>#N/A</v>
      </c>
      <c r="AF73" s="50" t="e">
        <f ca="1">VLOOKUP(Tableau118[[#This Row],[Key(ID-Actif)]],'DATA BTO'!A:N,9,FALSE)</f>
        <v>#N/A</v>
      </c>
      <c r="AG73" s="3" t="e">
        <f ca="1">VLOOKUP(Tableau118[[#This Row],[Key(ID-Actif)]],'DATA BTO'!A:N,10,FALSE)</f>
        <v>#N/A</v>
      </c>
      <c r="AH73" s="3" t="e">
        <f ca="1">VLOOKUP(Tableau118[[#This Row],[Key(ID-Actif)]],'DATA BTO'!A:N,11,FALSE)</f>
        <v>#N/A</v>
      </c>
      <c r="AI73" s="50" t="e">
        <f ca="1">VLOOKUP(Tableau118[[#This Row],[Key(ID-Actif)]],'DATA BTO'!A:N,12,FALSE)</f>
        <v>#N/A</v>
      </c>
      <c r="AJ73" s="53" t="e">
        <f ca="1">VLOOKUP(Tableau118[[#This Row],[Key(ID-Actif)]],'DATA BTO'!A:N,14,FALSE)</f>
        <v>#N/A</v>
      </c>
      <c r="AK73" s="54" t="e">
        <f ca="1">VLOOKUP(Tableau118[[#This Row],[Key(POD -PFI- Usine)]],'DATA Consignee'!A:F,6,FALSE)</f>
        <v>#N/A</v>
      </c>
      <c r="AL73" s="125" t="s">
        <v>158</v>
      </c>
      <c r="AM73" s="483">
        <f>IF(Tableau118[[#This Row],[Name PFI/CDD]]="","-",VLOOKUP(Tableau118[[#This Row],[Name PFI/CDD]],Plant_AILN!I:J,2,FALSE))</f>
        <v>2839004</v>
      </c>
      <c r="AN7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3" s="2" t="e">
        <f ca="1">VLOOKUP(Tableau118[[#This Row],[Key(POD -PFI- Usine)]],'DATA Consignee'!A:J,10,FALSE)</f>
        <v>#N/A</v>
      </c>
      <c r="AQ73" s="50" t="e">
        <f ca="1">VLOOKUP(Tableau118[[#This Row],[Key(POD -PFI- Usine)]],'DATA Consignee'!A:N,14,FALSE)</f>
        <v>#N/A</v>
      </c>
      <c r="AR7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3" s="50" t="e">
        <f ca="1">Tableau118[[#This Row],[Transit time]]+Tableau118[[#This Row],[Time for security]]+Tableau118[[#This Row],[Time for security2 buffer]]</f>
        <v>#N/A</v>
      </c>
      <c r="AU7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3" s="389" t="e">
        <f ca="1">Tableau118[[#This Row],[Leadtime SI2C]]+Tableau118[[#This Row],[First Receipt Days]]-Tableau118[[#This Row],[Day Customer Order]]+1</f>
        <v>#N/A</v>
      </c>
      <c r="AW73" s="117" t="e">
        <f ca="1">IF(Tableau118[[#This Row],[Name ILN]]&lt;&gt;"SFK Freight Forwarder",Tableau118[[#This Row],[Cust. Leadtime]],Tableau118[[#This Row],[Leadtime SI2C]])</f>
        <v>#N/A</v>
      </c>
      <c r="AX73" s="51" t="e">
        <f>VLOOKUP(Tableau118[[#This Row],[ID]],'DATA BTO'!B:P,15,FALSE)</f>
        <v>#N/A</v>
      </c>
      <c r="AY73" s="328" t="e">
        <f ca="1">IFERROR(VLOOKUP(Tableau118[[#This Row],[Key(ID-Actif)]],'DATA BTO'!A:N,4,FALSE),VLOOKUP(Tableau118[[#This Row],[ID]],'DATA BTO'!B:N,3,FALSE))</f>
        <v>#N/A</v>
      </c>
      <c r="AZ7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3" s="50"/>
    </row>
    <row r="74" spans="2:57">
      <c r="B74" s="65" t="str">
        <f>_xlfn.CONCAT(Tableau118[[#This Row],[Name ILN]],"-",Tableau118[[#This Row],[Name Shipper]],"-",Tableau118[[#This Row],[Name Site]])</f>
        <v>--</v>
      </c>
      <c r="C74" s="65" t="e">
        <f ca="1">_xlfn.CONCAT(Tableau118[[#This Row],[Compte ILN]],"-",Tableau118[[#This Row],[Compte Shipper]],"-",Tableau118[[#This Row],[POL]],"-",Tableau118[[#This Row],[Compte Site]])</f>
        <v>#N/A</v>
      </c>
      <c r="D74" s="64" t="e">
        <f ca="1">_xlfn.CONCAT(Tableau118[[#This Row],[Compte ILN]],"-",Tableau118[[#This Row],[Compte Shipper]],"-",Tableau118[[#This Row],[POL]])</f>
        <v>#N/A</v>
      </c>
      <c r="E74" s="396" t="e">
        <f ca="1">_xlfn.CONCAT(Tableau118[[#This Row],[POL]],"-",Tableau118[[#This Row],[Carrier]],"-",Tableau118[[#This Row],[POD]])</f>
        <v>#N/A</v>
      </c>
      <c r="F74" s="64" t="str">
        <f>_xlfn.CONCAT(Tableau118[[#This Row],[ID]],"-","Next")</f>
        <v>-Next</v>
      </c>
      <c r="G74" s="64" t="e">
        <f ca="1">_xlfn.CONCAT(Tableau118[[#This Row],[POD]],"-",Tableau118[[#This Row],[Code PFI]],"-",Tableau118[[#This Row],[Compte Site]])</f>
        <v>#N/A</v>
      </c>
      <c r="H7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4" s="397" t="str">
        <f ca="1">IF(COUNTIF(I:I,Tableau118[[#This Row],[Plant-ILN-shipper-POL-Carrier-POD-PFI]])=1,"Non","Oui")</f>
        <v>Oui</v>
      </c>
      <c r="K74" s="398" t="e">
        <f>VLOOKUP(Tableau118[[#This Row],[Name Site]],Plant_AILN!A:D,4,FALSE)</f>
        <v>#N/A</v>
      </c>
      <c r="L74" s="285"/>
      <c r="M74" s="496"/>
      <c r="N74" s="55"/>
      <c r="O74" s="114"/>
      <c r="P74" s="481"/>
      <c r="Q74" s="50"/>
      <c r="R74" s="50"/>
      <c r="S74" s="50"/>
      <c r="T74" s="50"/>
      <c r="U74" s="50"/>
      <c r="V74" s="50"/>
      <c r="W74" s="53"/>
      <c r="X74" s="283"/>
      <c r="Y74" s="482">
        <f>IFERROR(VLOOKUP(Tableau118[[#This Row],[Name Shipper]],Plant_AILN!L:M,2,FALSE),0)</f>
        <v>0</v>
      </c>
      <c r="Z74" s="358"/>
      <c r="AA74" s="353" t="e">
        <f ca="1">VLOOKUP(Tableau118[[#This Row],[Key(ID-Actif)]],'DATA BTO'!A:N,5,FALSE)</f>
        <v>#N/A</v>
      </c>
      <c r="AB74" s="3" t="e">
        <f ca="1">VLOOKUP(Tableau118[[#This Row],[Key(ID-Actif)]],'DATA BTO'!A:N,6,FALSE)</f>
        <v>#N/A</v>
      </c>
      <c r="AC74" s="50" t="e">
        <f ca="1">VLOOKUP(Tableau118[[#This Row],[Key(ID-Actif)]],'DATA BTO'!A:N,7,FALSE)</f>
        <v>#N/A</v>
      </c>
      <c r="AD74" s="50" t="e">
        <f ca="1">VLOOKUP(Tableau118[[#This Row],[Key(ID-Actif)]],'DATA BTO'!A:N,8,FALSE)</f>
        <v>#N/A</v>
      </c>
      <c r="AE74" s="50" t="e">
        <f ca="1">IF(Tableau118[[#This Row],[First Day to POL]]&lt;=Tableau118[[#This Row],[Day Cut Off]],Tableau118[[#This Row],[Day ETD]],Tableau118[[#This Row],[Day ETD]]+7)</f>
        <v>#N/A</v>
      </c>
      <c r="AF74" s="50" t="e">
        <f ca="1">VLOOKUP(Tableau118[[#This Row],[Key(ID-Actif)]],'DATA BTO'!A:N,9,FALSE)</f>
        <v>#N/A</v>
      </c>
      <c r="AG74" s="3" t="e">
        <f ca="1">VLOOKUP(Tableau118[[#This Row],[Key(ID-Actif)]],'DATA BTO'!A:N,10,FALSE)</f>
        <v>#N/A</v>
      </c>
      <c r="AH74" s="3" t="e">
        <f ca="1">VLOOKUP(Tableau118[[#This Row],[Key(ID-Actif)]],'DATA BTO'!A:N,11,FALSE)</f>
        <v>#N/A</v>
      </c>
      <c r="AI74" s="50" t="e">
        <f ca="1">VLOOKUP(Tableau118[[#This Row],[Key(ID-Actif)]],'DATA BTO'!A:N,12,FALSE)</f>
        <v>#N/A</v>
      </c>
      <c r="AJ74" s="53" t="e">
        <f ca="1">VLOOKUP(Tableau118[[#This Row],[Key(ID-Actif)]],'DATA BTO'!A:N,14,FALSE)</f>
        <v>#N/A</v>
      </c>
      <c r="AK74" s="54" t="e">
        <f ca="1">VLOOKUP(Tableau118[[#This Row],[Key(POD -PFI- Usine)]],'DATA Consignee'!A:F,6,FALSE)</f>
        <v>#N/A</v>
      </c>
      <c r="AL74" s="125"/>
      <c r="AM74" s="483" t="str">
        <f>IF(Tableau118[[#This Row],[Name PFI/CDD]]="","-",VLOOKUP(Tableau118[[#This Row],[Name PFI/CDD]],Plant_AILN!I:J,2,FALSE))</f>
        <v>-</v>
      </c>
      <c r="AN7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4" s="2" t="e">
        <f ca="1">VLOOKUP(Tableau118[[#This Row],[Key(POD -PFI- Usine)]],'DATA Consignee'!A:J,10,FALSE)</f>
        <v>#N/A</v>
      </c>
      <c r="AQ74" s="50" t="e">
        <f ca="1">VLOOKUP(Tableau118[[#This Row],[Key(POD -PFI- Usine)]],'DATA Consignee'!A:N,14,FALSE)</f>
        <v>#N/A</v>
      </c>
      <c r="AR7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4" s="50" t="e">
        <f ca="1">Tableau118[[#This Row],[Transit time]]+Tableau118[[#This Row],[Time for security]]+Tableau118[[#This Row],[Time for security2 buffer]]</f>
        <v>#N/A</v>
      </c>
      <c r="AU7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4" s="389" t="e">
        <f ca="1">Tableau118[[#This Row],[Leadtime SI2C]]+Tableau118[[#This Row],[First Receipt Days]]-Tableau118[[#This Row],[Day Customer Order]]+1</f>
        <v>#N/A</v>
      </c>
      <c r="AW74" s="117" t="e">
        <f ca="1">IF(Tableau118[[#This Row],[Name ILN]]&lt;&gt;"SFK Freight Forwarder",Tableau118[[#This Row],[Cust. Leadtime]],Tableau118[[#This Row],[Leadtime SI2C]])</f>
        <v>#N/A</v>
      </c>
      <c r="AX74" s="51" t="e">
        <f>VLOOKUP(Tableau118[[#This Row],[ID]],'DATA BTO'!B:P,15,FALSE)</f>
        <v>#N/A</v>
      </c>
      <c r="AY74" s="328" t="e">
        <f ca="1">IFERROR(VLOOKUP(Tableau118[[#This Row],[Key(ID-Actif)]],'DATA BTO'!A:N,4,FALSE),VLOOKUP(Tableau118[[#This Row],[ID]],'DATA BTO'!B:N,3,FALSE))</f>
        <v>#N/A</v>
      </c>
      <c r="AZ7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4" s="50"/>
    </row>
    <row r="75" spans="2:57">
      <c r="B75" s="65" t="str">
        <f>_xlfn.CONCAT(Tableau118[[#This Row],[Name ILN]],"-",Tableau118[[#This Row],[Name Shipper]],"-",Tableau118[[#This Row],[Name Site]])</f>
        <v>--</v>
      </c>
      <c r="C75" s="65" t="e">
        <f ca="1">_xlfn.CONCAT(Tableau118[[#This Row],[Compte ILN]],"-",Tableau118[[#This Row],[Compte Shipper]],"-",Tableau118[[#This Row],[POL]],"-",Tableau118[[#This Row],[Compte Site]])</f>
        <v>#N/A</v>
      </c>
      <c r="D75" s="64" t="e">
        <f ca="1">_xlfn.CONCAT(Tableau118[[#This Row],[Compte ILN]],"-",Tableau118[[#This Row],[Compte Shipper]],"-",Tableau118[[#This Row],[POL]])</f>
        <v>#N/A</v>
      </c>
      <c r="E75" s="396" t="e">
        <f ca="1">_xlfn.CONCAT(Tableau118[[#This Row],[POL]],"-",Tableau118[[#This Row],[Carrier]],"-",Tableau118[[#This Row],[POD]])</f>
        <v>#N/A</v>
      </c>
      <c r="F75" s="64" t="str">
        <f>_xlfn.CONCAT(Tableau118[[#This Row],[ID]],"-","Next")</f>
        <v>-Next</v>
      </c>
      <c r="G75" s="64" t="e">
        <f ca="1">_xlfn.CONCAT(Tableau118[[#This Row],[POD]],"-",Tableau118[[#This Row],[Code PFI]],"-",Tableau118[[#This Row],[Compte Site]])</f>
        <v>#N/A</v>
      </c>
      <c r="H7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5" s="397" t="str">
        <f ca="1">IF(COUNTIF(I:I,Tableau118[[#This Row],[Plant-ILN-shipper-POL-Carrier-POD-PFI]])=1,"Non","Oui")</f>
        <v>Oui</v>
      </c>
      <c r="K75" s="398" t="e">
        <f>VLOOKUP(Tableau118[[#This Row],[Name Site]],Plant_AILN!A:D,4,FALSE)</f>
        <v>#N/A</v>
      </c>
      <c r="L75" s="285"/>
      <c r="M75" s="496"/>
      <c r="N75" s="55"/>
      <c r="O75" s="114"/>
      <c r="P75" s="481"/>
      <c r="Q75" s="50"/>
      <c r="R75" s="50"/>
      <c r="S75" s="50"/>
      <c r="T75" s="50"/>
      <c r="U75" s="50"/>
      <c r="V75" s="50"/>
      <c r="W75" s="53"/>
      <c r="X75" s="283"/>
      <c r="Y75" s="482">
        <f>IFERROR(VLOOKUP(Tableau118[[#This Row],[Name Shipper]],Plant_AILN!L:M,2,FALSE),0)</f>
        <v>0</v>
      </c>
      <c r="Z75" s="358"/>
      <c r="AA75" s="353" t="e">
        <f ca="1">VLOOKUP(Tableau118[[#This Row],[Key(ID-Actif)]],'DATA BTO'!A:N,5,FALSE)</f>
        <v>#N/A</v>
      </c>
      <c r="AB75" s="3" t="e">
        <f ca="1">VLOOKUP(Tableau118[[#This Row],[Key(ID-Actif)]],'DATA BTO'!A:N,6,FALSE)</f>
        <v>#N/A</v>
      </c>
      <c r="AC75" s="50" t="e">
        <f ca="1">VLOOKUP(Tableau118[[#This Row],[Key(ID-Actif)]],'DATA BTO'!A:N,7,FALSE)</f>
        <v>#N/A</v>
      </c>
      <c r="AD75" s="50" t="e">
        <f ca="1">VLOOKUP(Tableau118[[#This Row],[Key(ID-Actif)]],'DATA BTO'!A:N,8,FALSE)</f>
        <v>#N/A</v>
      </c>
      <c r="AE75" s="50" t="e">
        <f ca="1">IF(Tableau118[[#This Row],[First Day to POL]]&lt;=Tableau118[[#This Row],[Day Cut Off]],Tableau118[[#This Row],[Day ETD]],Tableau118[[#This Row],[Day ETD]]+7)</f>
        <v>#N/A</v>
      </c>
      <c r="AF75" s="50" t="e">
        <f ca="1">VLOOKUP(Tableau118[[#This Row],[Key(ID-Actif)]],'DATA BTO'!A:N,9,FALSE)</f>
        <v>#N/A</v>
      </c>
      <c r="AG75" s="3" t="e">
        <f ca="1">VLOOKUP(Tableau118[[#This Row],[Key(ID-Actif)]],'DATA BTO'!A:N,10,FALSE)</f>
        <v>#N/A</v>
      </c>
      <c r="AH75" s="3" t="e">
        <f ca="1">VLOOKUP(Tableau118[[#This Row],[Key(ID-Actif)]],'DATA BTO'!A:N,11,FALSE)</f>
        <v>#N/A</v>
      </c>
      <c r="AI75" s="50" t="e">
        <f ca="1">VLOOKUP(Tableau118[[#This Row],[Key(ID-Actif)]],'DATA BTO'!A:N,12,FALSE)</f>
        <v>#N/A</v>
      </c>
      <c r="AJ75" s="53" t="e">
        <f ca="1">VLOOKUP(Tableau118[[#This Row],[Key(ID-Actif)]],'DATA BTO'!A:N,14,FALSE)</f>
        <v>#N/A</v>
      </c>
      <c r="AK75" s="54" t="e">
        <f ca="1">VLOOKUP(Tableau118[[#This Row],[Key(POD -PFI- Usine)]],'DATA Consignee'!A:F,6,FALSE)</f>
        <v>#N/A</v>
      </c>
      <c r="AL75" s="125"/>
      <c r="AM75" s="483" t="str">
        <f>IF(Tableau118[[#This Row],[Name PFI/CDD]]="","-",VLOOKUP(Tableau118[[#This Row],[Name PFI/CDD]],Plant_AILN!I:J,2,FALSE))</f>
        <v>-</v>
      </c>
      <c r="AN7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5" s="2" t="e">
        <f ca="1">VLOOKUP(Tableau118[[#This Row],[Key(POD -PFI- Usine)]],'DATA Consignee'!A:J,10,FALSE)</f>
        <v>#N/A</v>
      </c>
      <c r="AQ75" s="50" t="e">
        <f ca="1">VLOOKUP(Tableau118[[#This Row],[Key(POD -PFI- Usine)]],'DATA Consignee'!A:N,14,FALSE)</f>
        <v>#N/A</v>
      </c>
      <c r="AR7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5" s="50" t="e">
        <f ca="1">Tableau118[[#This Row],[Transit time]]+Tableau118[[#This Row],[Time for security]]+Tableau118[[#This Row],[Time for security2 buffer]]</f>
        <v>#N/A</v>
      </c>
      <c r="AU7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5" s="389" t="e">
        <f ca="1">Tableau118[[#This Row],[Leadtime SI2C]]+Tableau118[[#This Row],[First Receipt Days]]-Tableau118[[#This Row],[Day Customer Order]]+1</f>
        <v>#N/A</v>
      </c>
      <c r="AW75" s="117" t="e">
        <f ca="1">IF(Tableau118[[#This Row],[Name ILN]]&lt;&gt;"SFK Freight Forwarder",Tableau118[[#This Row],[Cust. Leadtime]],Tableau118[[#This Row],[Leadtime SI2C]])</f>
        <v>#N/A</v>
      </c>
      <c r="AX75" s="51" t="e">
        <f>VLOOKUP(Tableau118[[#This Row],[ID]],'DATA BTO'!B:P,15,FALSE)</f>
        <v>#N/A</v>
      </c>
      <c r="AY75" s="328" t="e">
        <f ca="1">IFERROR(VLOOKUP(Tableau118[[#This Row],[Key(ID-Actif)]],'DATA BTO'!A:N,4,FALSE),VLOOKUP(Tableau118[[#This Row],[ID]],'DATA BTO'!B:N,3,FALSE))</f>
        <v>#N/A</v>
      </c>
      <c r="AZ7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5" s="50"/>
    </row>
    <row r="76" spans="2:57">
      <c r="B76" s="65" t="str">
        <f>_xlfn.CONCAT(Tableau118[[#This Row],[Name ILN]],"-",Tableau118[[#This Row],[Name Shipper]],"-",Tableau118[[#This Row],[Name Site]])</f>
        <v>--</v>
      </c>
      <c r="C76" s="65" t="e">
        <f ca="1">_xlfn.CONCAT(Tableau118[[#This Row],[Compte ILN]],"-",Tableau118[[#This Row],[Compte Shipper]],"-",Tableau118[[#This Row],[POL]],"-",Tableau118[[#This Row],[Compte Site]])</f>
        <v>#N/A</v>
      </c>
      <c r="D76" s="64" t="e">
        <f ca="1">_xlfn.CONCAT(Tableau118[[#This Row],[Compte ILN]],"-",Tableau118[[#This Row],[Compte Shipper]],"-",Tableau118[[#This Row],[POL]])</f>
        <v>#N/A</v>
      </c>
      <c r="E76" s="396" t="e">
        <f ca="1">_xlfn.CONCAT(Tableau118[[#This Row],[POL]],"-",Tableau118[[#This Row],[Carrier]],"-",Tableau118[[#This Row],[POD]])</f>
        <v>#N/A</v>
      </c>
      <c r="F76" s="64" t="str">
        <f>_xlfn.CONCAT(Tableau118[[#This Row],[ID]],"-","Next")</f>
        <v>-Next</v>
      </c>
      <c r="G76" s="64" t="e">
        <f ca="1">_xlfn.CONCAT(Tableau118[[#This Row],[POD]],"-",Tableau118[[#This Row],[Code PFI]],"-",Tableau118[[#This Row],[Compte Site]])</f>
        <v>#N/A</v>
      </c>
      <c r="H7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6" s="397" t="str">
        <f ca="1">IF(COUNTIF(I:I,Tableau118[[#This Row],[Plant-ILN-shipper-POL-Carrier-POD-PFI]])=1,"Non","Oui")</f>
        <v>Oui</v>
      </c>
      <c r="K76" s="398" t="e">
        <f>VLOOKUP(Tableau118[[#This Row],[Name Site]],Plant_AILN!A:D,4,FALSE)</f>
        <v>#N/A</v>
      </c>
      <c r="L76" s="285"/>
      <c r="M76" s="496"/>
      <c r="N76" s="55"/>
      <c r="O76" s="114"/>
      <c r="P76" s="481"/>
      <c r="Q76" s="50"/>
      <c r="R76" s="50"/>
      <c r="S76" s="50"/>
      <c r="T76" s="50"/>
      <c r="U76" s="50"/>
      <c r="V76" s="50"/>
      <c r="W76" s="53"/>
      <c r="X76" s="283"/>
      <c r="Y76" s="482">
        <f>IFERROR(VLOOKUP(Tableau118[[#This Row],[Name Shipper]],Plant_AILN!L:M,2,FALSE),0)</f>
        <v>0</v>
      </c>
      <c r="Z76" s="358"/>
      <c r="AA76" s="353" t="e">
        <f ca="1">VLOOKUP(Tableau118[[#This Row],[Key(ID-Actif)]],'DATA BTO'!A:N,5,FALSE)</f>
        <v>#N/A</v>
      </c>
      <c r="AB76" s="3" t="e">
        <f ca="1">VLOOKUP(Tableau118[[#This Row],[Key(ID-Actif)]],'DATA BTO'!A:N,6,FALSE)</f>
        <v>#N/A</v>
      </c>
      <c r="AC76" s="50" t="e">
        <f ca="1">VLOOKUP(Tableau118[[#This Row],[Key(ID-Actif)]],'DATA BTO'!A:N,7,FALSE)</f>
        <v>#N/A</v>
      </c>
      <c r="AD76" s="50" t="e">
        <f ca="1">VLOOKUP(Tableau118[[#This Row],[Key(ID-Actif)]],'DATA BTO'!A:N,8,FALSE)</f>
        <v>#N/A</v>
      </c>
      <c r="AE76" s="50" t="e">
        <f ca="1">IF(Tableau118[[#This Row],[First Day to POL]]&lt;=Tableau118[[#This Row],[Day Cut Off]],Tableau118[[#This Row],[Day ETD]],Tableau118[[#This Row],[Day ETD]]+7)</f>
        <v>#N/A</v>
      </c>
      <c r="AF76" s="50" t="e">
        <f ca="1">VLOOKUP(Tableau118[[#This Row],[Key(ID-Actif)]],'DATA BTO'!A:N,9,FALSE)</f>
        <v>#N/A</v>
      </c>
      <c r="AG76" s="3" t="e">
        <f ca="1">VLOOKUP(Tableau118[[#This Row],[Key(ID-Actif)]],'DATA BTO'!A:N,10,FALSE)</f>
        <v>#N/A</v>
      </c>
      <c r="AH76" s="3" t="e">
        <f ca="1">VLOOKUP(Tableau118[[#This Row],[Key(ID-Actif)]],'DATA BTO'!A:N,11,FALSE)</f>
        <v>#N/A</v>
      </c>
      <c r="AI76" s="50" t="e">
        <f ca="1">VLOOKUP(Tableau118[[#This Row],[Key(ID-Actif)]],'DATA BTO'!A:N,12,FALSE)</f>
        <v>#N/A</v>
      </c>
      <c r="AJ76" s="53" t="e">
        <f ca="1">VLOOKUP(Tableau118[[#This Row],[Key(ID-Actif)]],'DATA BTO'!A:N,14,FALSE)</f>
        <v>#N/A</v>
      </c>
      <c r="AK76" s="54" t="e">
        <f ca="1">VLOOKUP(Tableau118[[#This Row],[Key(POD -PFI- Usine)]],'DATA Consignee'!A:F,6,FALSE)</f>
        <v>#N/A</v>
      </c>
      <c r="AL76" s="125"/>
      <c r="AM76" s="483" t="str">
        <f>IF(Tableau118[[#This Row],[Name PFI/CDD]]="","-",VLOOKUP(Tableau118[[#This Row],[Name PFI/CDD]],Plant_AILN!I:J,2,FALSE))</f>
        <v>-</v>
      </c>
      <c r="AN7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6" s="2" t="e">
        <f ca="1">VLOOKUP(Tableau118[[#This Row],[Key(POD -PFI- Usine)]],'DATA Consignee'!A:J,10,FALSE)</f>
        <v>#N/A</v>
      </c>
      <c r="AQ76" s="50" t="e">
        <f ca="1">VLOOKUP(Tableau118[[#This Row],[Key(POD -PFI- Usine)]],'DATA Consignee'!A:N,14,FALSE)</f>
        <v>#N/A</v>
      </c>
      <c r="AR7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6" s="50" t="e">
        <f ca="1">Tableau118[[#This Row],[Transit time]]+Tableau118[[#This Row],[Time for security]]+Tableau118[[#This Row],[Time for security2 buffer]]</f>
        <v>#N/A</v>
      </c>
      <c r="AU7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6" s="389" t="e">
        <f ca="1">Tableau118[[#This Row],[Leadtime SI2C]]+Tableau118[[#This Row],[First Receipt Days]]-Tableau118[[#This Row],[Day Customer Order]]+1</f>
        <v>#N/A</v>
      </c>
      <c r="AW76" s="117" t="e">
        <f ca="1">IF(Tableau118[[#This Row],[Name ILN]]&lt;&gt;"SFK Freight Forwarder",Tableau118[[#This Row],[Cust. Leadtime]],Tableau118[[#This Row],[Leadtime SI2C]])</f>
        <v>#N/A</v>
      </c>
      <c r="AX76" s="51" t="e">
        <f>VLOOKUP(Tableau118[[#This Row],[ID]],'DATA BTO'!B:P,15,FALSE)</f>
        <v>#N/A</v>
      </c>
      <c r="AY76" s="328" t="e">
        <f ca="1">IFERROR(VLOOKUP(Tableau118[[#This Row],[Key(ID-Actif)]],'DATA BTO'!A:N,4,FALSE),VLOOKUP(Tableau118[[#This Row],[ID]],'DATA BTO'!B:N,3,FALSE))</f>
        <v>#N/A</v>
      </c>
      <c r="AZ7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6" s="50"/>
    </row>
    <row r="77" spans="2:57">
      <c r="B77" s="65" t="str">
        <f>_xlfn.CONCAT(Tableau118[[#This Row],[Name ILN]],"-",Tableau118[[#This Row],[Name Shipper]],"-",Tableau118[[#This Row],[Name Site]])</f>
        <v>--</v>
      </c>
      <c r="C77" s="65" t="e">
        <f ca="1">_xlfn.CONCAT(Tableau118[[#This Row],[Compte ILN]],"-",Tableau118[[#This Row],[Compte Shipper]],"-",Tableau118[[#This Row],[POL]],"-",Tableau118[[#This Row],[Compte Site]])</f>
        <v>#N/A</v>
      </c>
      <c r="D77" s="64" t="e">
        <f ca="1">_xlfn.CONCAT(Tableau118[[#This Row],[Compte ILN]],"-",Tableau118[[#This Row],[Compte Shipper]],"-",Tableau118[[#This Row],[POL]])</f>
        <v>#N/A</v>
      </c>
      <c r="E77" s="396" t="e">
        <f ca="1">_xlfn.CONCAT(Tableau118[[#This Row],[POL]],"-",Tableau118[[#This Row],[Carrier]],"-",Tableau118[[#This Row],[POD]])</f>
        <v>#N/A</v>
      </c>
      <c r="F77" s="64" t="str">
        <f>_xlfn.CONCAT(Tableau118[[#This Row],[ID]],"-","Next")</f>
        <v>-Next</v>
      </c>
      <c r="G77" s="64" t="e">
        <f ca="1">_xlfn.CONCAT(Tableau118[[#This Row],[POD]],"-",Tableau118[[#This Row],[Code PFI]],"-",Tableau118[[#This Row],[Compte Site]])</f>
        <v>#N/A</v>
      </c>
      <c r="H7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7" s="397" t="str">
        <f ca="1">IF(COUNTIF(I:I,Tableau118[[#This Row],[Plant-ILN-shipper-POL-Carrier-POD-PFI]])=1,"Non","Oui")</f>
        <v>Oui</v>
      </c>
      <c r="K77" s="398" t="e">
        <f>VLOOKUP(Tableau118[[#This Row],[Name Site]],Plant_AILN!A:D,4,FALSE)</f>
        <v>#N/A</v>
      </c>
      <c r="L77" s="285"/>
      <c r="M77" s="496"/>
      <c r="N77" s="55"/>
      <c r="O77" s="114"/>
      <c r="P77" s="481"/>
      <c r="Q77" s="50"/>
      <c r="R77" s="50"/>
      <c r="S77" s="50"/>
      <c r="T77" s="50"/>
      <c r="U77" s="50"/>
      <c r="V77" s="50"/>
      <c r="W77" s="53"/>
      <c r="X77" s="283"/>
      <c r="Y77" s="482">
        <f>IFERROR(VLOOKUP(Tableau118[[#This Row],[Name Shipper]],Plant_AILN!L:M,2,FALSE),0)</f>
        <v>0</v>
      </c>
      <c r="Z77" s="358"/>
      <c r="AA77" s="353" t="e">
        <f ca="1">VLOOKUP(Tableau118[[#This Row],[Key(ID-Actif)]],'DATA BTO'!A:N,5,FALSE)</f>
        <v>#N/A</v>
      </c>
      <c r="AB77" s="3" t="e">
        <f ca="1">VLOOKUP(Tableau118[[#This Row],[Key(ID-Actif)]],'DATA BTO'!A:N,6,FALSE)</f>
        <v>#N/A</v>
      </c>
      <c r="AC77" s="50" t="e">
        <f ca="1">VLOOKUP(Tableau118[[#This Row],[Key(ID-Actif)]],'DATA BTO'!A:N,7,FALSE)</f>
        <v>#N/A</v>
      </c>
      <c r="AD77" s="50" t="e">
        <f ca="1">VLOOKUP(Tableau118[[#This Row],[Key(ID-Actif)]],'DATA BTO'!A:N,8,FALSE)</f>
        <v>#N/A</v>
      </c>
      <c r="AE77" s="50" t="e">
        <f ca="1">IF(Tableau118[[#This Row],[First Day to POL]]&lt;=Tableau118[[#This Row],[Day Cut Off]],Tableau118[[#This Row],[Day ETD]],Tableau118[[#This Row],[Day ETD]]+7)</f>
        <v>#N/A</v>
      </c>
      <c r="AF77" s="50" t="e">
        <f ca="1">VLOOKUP(Tableau118[[#This Row],[Key(ID-Actif)]],'DATA BTO'!A:N,9,FALSE)</f>
        <v>#N/A</v>
      </c>
      <c r="AG77" s="3" t="e">
        <f ca="1">VLOOKUP(Tableau118[[#This Row],[Key(ID-Actif)]],'DATA BTO'!A:N,10,FALSE)</f>
        <v>#N/A</v>
      </c>
      <c r="AH77" s="3" t="e">
        <f ca="1">VLOOKUP(Tableau118[[#This Row],[Key(ID-Actif)]],'DATA BTO'!A:N,11,FALSE)</f>
        <v>#N/A</v>
      </c>
      <c r="AI77" s="50" t="e">
        <f ca="1">VLOOKUP(Tableau118[[#This Row],[Key(ID-Actif)]],'DATA BTO'!A:N,12,FALSE)</f>
        <v>#N/A</v>
      </c>
      <c r="AJ77" s="53" t="e">
        <f ca="1">VLOOKUP(Tableau118[[#This Row],[Key(ID-Actif)]],'DATA BTO'!A:N,14,FALSE)</f>
        <v>#N/A</v>
      </c>
      <c r="AK77" s="54" t="e">
        <f ca="1">VLOOKUP(Tableau118[[#This Row],[Key(POD -PFI- Usine)]],'DATA Consignee'!A:F,6,FALSE)</f>
        <v>#N/A</v>
      </c>
      <c r="AL77" s="125"/>
      <c r="AM77" s="483" t="str">
        <f>IF(Tableau118[[#This Row],[Name PFI/CDD]]="","-",VLOOKUP(Tableau118[[#This Row],[Name PFI/CDD]],Plant_AILN!I:J,2,FALSE))</f>
        <v>-</v>
      </c>
      <c r="AN7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7" s="2" t="e">
        <f ca="1">VLOOKUP(Tableau118[[#This Row],[Key(POD -PFI- Usine)]],'DATA Consignee'!A:J,10,FALSE)</f>
        <v>#N/A</v>
      </c>
      <c r="AQ77" s="50" t="e">
        <f ca="1">VLOOKUP(Tableau118[[#This Row],[Key(POD -PFI- Usine)]],'DATA Consignee'!A:N,14,FALSE)</f>
        <v>#N/A</v>
      </c>
      <c r="AR7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7" s="50" t="e">
        <f ca="1">Tableau118[[#This Row],[Transit time]]+Tableau118[[#This Row],[Time for security]]+Tableau118[[#This Row],[Time for security2 buffer]]</f>
        <v>#N/A</v>
      </c>
      <c r="AU7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7" s="389" t="e">
        <f ca="1">Tableau118[[#This Row],[Leadtime SI2C]]+Tableau118[[#This Row],[First Receipt Days]]-Tableau118[[#This Row],[Day Customer Order]]+1</f>
        <v>#N/A</v>
      </c>
      <c r="AW77" s="117" t="e">
        <f ca="1">IF(Tableau118[[#This Row],[Name ILN]]&lt;&gt;"SFK Freight Forwarder",Tableau118[[#This Row],[Cust. Leadtime]],Tableau118[[#This Row],[Leadtime SI2C]])</f>
        <v>#N/A</v>
      </c>
      <c r="AX77" s="51" t="e">
        <f>VLOOKUP(Tableau118[[#This Row],[ID]],'DATA BTO'!B:P,15,FALSE)</f>
        <v>#N/A</v>
      </c>
      <c r="AY77" s="328" t="e">
        <f ca="1">IFERROR(VLOOKUP(Tableau118[[#This Row],[Key(ID-Actif)]],'DATA BTO'!A:N,4,FALSE),VLOOKUP(Tableau118[[#This Row],[ID]],'DATA BTO'!B:N,3,FALSE))</f>
        <v>#N/A</v>
      </c>
      <c r="AZ7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7" s="50"/>
    </row>
    <row r="78" spans="2:57">
      <c r="B78" s="65" t="str">
        <f>_xlfn.CONCAT(Tableau118[[#This Row],[Name ILN]],"-",Tableau118[[#This Row],[Name Shipper]],"-",Tableau118[[#This Row],[Name Site]])</f>
        <v>--</v>
      </c>
      <c r="C78" s="65" t="e">
        <f ca="1">_xlfn.CONCAT(Tableau118[[#This Row],[Compte ILN]],"-",Tableau118[[#This Row],[Compte Shipper]],"-",Tableau118[[#This Row],[POL]],"-",Tableau118[[#This Row],[Compte Site]])</f>
        <v>#N/A</v>
      </c>
      <c r="D78" s="64" t="e">
        <f ca="1">_xlfn.CONCAT(Tableau118[[#This Row],[Compte ILN]],"-",Tableau118[[#This Row],[Compte Shipper]],"-",Tableau118[[#This Row],[POL]])</f>
        <v>#N/A</v>
      </c>
      <c r="E78" s="396" t="e">
        <f ca="1">_xlfn.CONCAT(Tableau118[[#This Row],[POL]],"-",Tableau118[[#This Row],[Carrier]],"-",Tableau118[[#This Row],[POD]])</f>
        <v>#N/A</v>
      </c>
      <c r="F78" s="64" t="str">
        <f>_xlfn.CONCAT(Tableau118[[#This Row],[ID]],"-","Next")</f>
        <v>-Next</v>
      </c>
      <c r="G78" s="64" t="e">
        <f ca="1">_xlfn.CONCAT(Tableau118[[#This Row],[POD]],"-",Tableau118[[#This Row],[Code PFI]],"-",Tableau118[[#This Row],[Compte Site]])</f>
        <v>#N/A</v>
      </c>
      <c r="H7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8" s="397" t="str">
        <f ca="1">IF(COUNTIF(I:I,Tableau118[[#This Row],[Plant-ILN-shipper-POL-Carrier-POD-PFI]])=1,"Non","Oui")</f>
        <v>Oui</v>
      </c>
      <c r="K78" s="398" t="e">
        <f>VLOOKUP(Tableau118[[#This Row],[Name Site]],Plant_AILN!A:D,4,FALSE)</f>
        <v>#N/A</v>
      </c>
      <c r="L78" s="285"/>
      <c r="M78" s="496"/>
      <c r="N78" s="55"/>
      <c r="O78" s="114"/>
      <c r="P78" s="481"/>
      <c r="Q78" s="50"/>
      <c r="R78" s="50"/>
      <c r="S78" s="50"/>
      <c r="T78" s="50"/>
      <c r="U78" s="50"/>
      <c r="V78" s="50"/>
      <c r="W78" s="53"/>
      <c r="X78" s="283"/>
      <c r="Y78" s="482">
        <f>IFERROR(VLOOKUP(Tableau118[[#This Row],[Name Shipper]],Plant_AILN!L:M,2,FALSE),0)</f>
        <v>0</v>
      </c>
      <c r="Z78" s="358"/>
      <c r="AA78" s="353" t="e">
        <f ca="1">VLOOKUP(Tableau118[[#This Row],[Key(ID-Actif)]],'DATA BTO'!A:N,5,FALSE)</f>
        <v>#N/A</v>
      </c>
      <c r="AB78" s="3" t="e">
        <f ca="1">VLOOKUP(Tableau118[[#This Row],[Key(ID-Actif)]],'DATA BTO'!A:N,6,FALSE)</f>
        <v>#N/A</v>
      </c>
      <c r="AC78" s="50" t="e">
        <f ca="1">VLOOKUP(Tableau118[[#This Row],[Key(ID-Actif)]],'DATA BTO'!A:N,7,FALSE)</f>
        <v>#N/A</v>
      </c>
      <c r="AD78" s="50" t="e">
        <f ca="1">VLOOKUP(Tableau118[[#This Row],[Key(ID-Actif)]],'DATA BTO'!A:N,8,FALSE)</f>
        <v>#N/A</v>
      </c>
      <c r="AE78" s="50" t="e">
        <f ca="1">IF(Tableau118[[#This Row],[First Day to POL]]&lt;=Tableau118[[#This Row],[Day Cut Off]],Tableau118[[#This Row],[Day ETD]],Tableau118[[#This Row],[Day ETD]]+7)</f>
        <v>#N/A</v>
      </c>
      <c r="AF78" s="50" t="e">
        <f ca="1">VLOOKUP(Tableau118[[#This Row],[Key(ID-Actif)]],'DATA BTO'!A:N,9,FALSE)</f>
        <v>#N/A</v>
      </c>
      <c r="AG78" s="3" t="e">
        <f ca="1">VLOOKUP(Tableau118[[#This Row],[Key(ID-Actif)]],'DATA BTO'!A:N,10,FALSE)</f>
        <v>#N/A</v>
      </c>
      <c r="AH78" s="3" t="e">
        <f ca="1">VLOOKUP(Tableau118[[#This Row],[Key(ID-Actif)]],'DATA BTO'!A:N,11,FALSE)</f>
        <v>#N/A</v>
      </c>
      <c r="AI78" s="50" t="e">
        <f ca="1">VLOOKUP(Tableau118[[#This Row],[Key(ID-Actif)]],'DATA BTO'!A:N,12,FALSE)</f>
        <v>#N/A</v>
      </c>
      <c r="AJ78" s="53" t="e">
        <f ca="1">VLOOKUP(Tableau118[[#This Row],[Key(ID-Actif)]],'DATA BTO'!A:N,14,FALSE)</f>
        <v>#N/A</v>
      </c>
      <c r="AK78" s="54" t="e">
        <f ca="1">VLOOKUP(Tableau118[[#This Row],[Key(POD -PFI- Usine)]],'DATA Consignee'!A:F,6,FALSE)</f>
        <v>#N/A</v>
      </c>
      <c r="AL78" s="125"/>
      <c r="AM78" s="483" t="str">
        <f>IF(Tableau118[[#This Row],[Name PFI/CDD]]="","-",VLOOKUP(Tableau118[[#This Row],[Name PFI/CDD]],Plant_AILN!I:J,2,FALSE))</f>
        <v>-</v>
      </c>
      <c r="AN7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8" s="2" t="e">
        <f ca="1">VLOOKUP(Tableau118[[#This Row],[Key(POD -PFI- Usine)]],'DATA Consignee'!A:J,10,FALSE)</f>
        <v>#N/A</v>
      </c>
      <c r="AQ78" s="50" t="e">
        <f ca="1">VLOOKUP(Tableau118[[#This Row],[Key(POD -PFI- Usine)]],'DATA Consignee'!A:N,14,FALSE)</f>
        <v>#N/A</v>
      </c>
      <c r="AR7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8" s="50" t="e">
        <f ca="1">Tableau118[[#This Row],[Transit time]]+Tableau118[[#This Row],[Time for security]]+Tableau118[[#This Row],[Time for security2 buffer]]</f>
        <v>#N/A</v>
      </c>
      <c r="AU7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8" s="389" t="e">
        <f ca="1">Tableau118[[#This Row],[Leadtime SI2C]]+Tableau118[[#This Row],[First Receipt Days]]-Tableau118[[#This Row],[Day Customer Order]]+1</f>
        <v>#N/A</v>
      </c>
      <c r="AW78" s="117" t="e">
        <f ca="1">IF(Tableau118[[#This Row],[Name ILN]]&lt;&gt;"SFK Freight Forwarder",Tableau118[[#This Row],[Cust. Leadtime]],Tableau118[[#This Row],[Leadtime SI2C]])</f>
        <v>#N/A</v>
      </c>
      <c r="AX78" s="51" t="e">
        <f>VLOOKUP(Tableau118[[#This Row],[ID]],'DATA BTO'!B:P,15,FALSE)</f>
        <v>#N/A</v>
      </c>
      <c r="AY78" s="328" t="e">
        <f ca="1">IFERROR(VLOOKUP(Tableau118[[#This Row],[Key(ID-Actif)]],'DATA BTO'!A:N,4,FALSE),VLOOKUP(Tableau118[[#This Row],[ID]],'DATA BTO'!B:N,3,FALSE))</f>
        <v>#N/A</v>
      </c>
      <c r="AZ7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8" s="50"/>
    </row>
    <row r="79" spans="2:57">
      <c r="B79" s="65" t="str">
        <f>_xlfn.CONCAT(Tableau118[[#This Row],[Name ILN]],"-",Tableau118[[#This Row],[Name Shipper]],"-",Tableau118[[#This Row],[Name Site]])</f>
        <v>--</v>
      </c>
      <c r="C79" s="65" t="e">
        <f ca="1">_xlfn.CONCAT(Tableau118[[#This Row],[Compte ILN]],"-",Tableau118[[#This Row],[Compte Shipper]],"-",Tableau118[[#This Row],[POL]],"-",Tableau118[[#This Row],[Compte Site]])</f>
        <v>#N/A</v>
      </c>
      <c r="D79" s="64" t="e">
        <f ca="1">_xlfn.CONCAT(Tableau118[[#This Row],[Compte ILN]],"-",Tableau118[[#This Row],[Compte Shipper]],"-",Tableau118[[#This Row],[POL]])</f>
        <v>#N/A</v>
      </c>
      <c r="E79" s="396" t="e">
        <f ca="1">_xlfn.CONCAT(Tableau118[[#This Row],[POL]],"-",Tableau118[[#This Row],[Carrier]],"-",Tableau118[[#This Row],[POD]])</f>
        <v>#N/A</v>
      </c>
      <c r="F79" s="64" t="str">
        <f>_xlfn.CONCAT(Tableau118[[#This Row],[ID]],"-","Next")</f>
        <v>-Next</v>
      </c>
      <c r="G79" s="64" t="e">
        <f ca="1">_xlfn.CONCAT(Tableau118[[#This Row],[POD]],"-",Tableau118[[#This Row],[Code PFI]],"-",Tableau118[[#This Row],[Compte Site]])</f>
        <v>#N/A</v>
      </c>
      <c r="H7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7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79" s="397" t="str">
        <f ca="1">IF(COUNTIF(I:I,Tableau118[[#This Row],[Plant-ILN-shipper-POL-Carrier-POD-PFI]])=1,"Non","Oui")</f>
        <v>Oui</v>
      </c>
      <c r="K79" s="398" t="e">
        <f>VLOOKUP(Tableau118[[#This Row],[Name Site]],Plant_AILN!A:D,4,FALSE)</f>
        <v>#N/A</v>
      </c>
      <c r="L79" s="285"/>
      <c r="M79" s="496"/>
      <c r="N79" s="55"/>
      <c r="O79" s="114"/>
      <c r="P79" s="481"/>
      <c r="Q79" s="50"/>
      <c r="R79" s="50"/>
      <c r="S79" s="50"/>
      <c r="T79" s="50"/>
      <c r="U79" s="50"/>
      <c r="V79" s="50"/>
      <c r="W79" s="53"/>
      <c r="X79" s="283"/>
      <c r="Y79" s="482">
        <f>IFERROR(VLOOKUP(Tableau118[[#This Row],[Name Shipper]],Plant_AILN!L:M,2,FALSE),0)</f>
        <v>0</v>
      </c>
      <c r="Z79" s="358"/>
      <c r="AA79" s="353" t="e">
        <f ca="1">VLOOKUP(Tableau118[[#This Row],[Key(ID-Actif)]],'DATA BTO'!A:N,5,FALSE)</f>
        <v>#N/A</v>
      </c>
      <c r="AB79" s="3" t="e">
        <f ca="1">VLOOKUP(Tableau118[[#This Row],[Key(ID-Actif)]],'DATA BTO'!A:N,6,FALSE)</f>
        <v>#N/A</v>
      </c>
      <c r="AC79" s="50" t="e">
        <f ca="1">VLOOKUP(Tableau118[[#This Row],[Key(ID-Actif)]],'DATA BTO'!A:N,7,FALSE)</f>
        <v>#N/A</v>
      </c>
      <c r="AD79" s="50" t="e">
        <f ca="1">VLOOKUP(Tableau118[[#This Row],[Key(ID-Actif)]],'DATA BTO'!A:N,8,FALSE)</f>
        <v>#N/A</v>
      </c>
      <c r="AE79" s="50" t="e">
        <f ca="1">IF(Tableau118[[#This Row],[First Day to POL]]&lt;=Tableau118[[#This Row],[Day Cut Off]],Tableau118[[#This Row],[Day ETD]],Tableau118[[#This Row],[Day ETD]]+7)</f>
        <v>#N/A</v>
      </c>
      <c r="AF79" s="50" t="e">
        <f ca="1">VLOOKUP(Tableau118[[#This Row],[Key(ID-Actif)]],'DATA BTO'!A:N,9,FALSE)</f>
        <v>#N/A</v>
      </c>
      <c r="AG79" s="3" t="e">
        <f ca="1">VLOOKUP(Tableau118[[#This Row],[Key(ID-Actif)]],'DATA BTO'!A:N,10,FALSE)</f>
        <v>#N/A</v>
      </c>
      <c r="AH79" s="3" t="e">
        <f ca="1">VLOOKUP(Tableau118[[#This Row],[Key(ID-Actif)]],'DATA BTO'!A:N,11,FALSE)</f>
        <v>#N/A</v>
      </c>
      <c r="AI79" s="50" t="e">
        <f ca="1">VLOOKUP(Tableau118[[#This Row],[Key(ID-Actif)]],'DATA BTO'!A:N,12,FALSE)</f>
        <v>#N/A</v>
      </c>
      <c r="AJ79" s="53" t="e">
        <f ca="1">VLOOKUP(Tableau118[[#This Row],[Key(ID-Actif)]],'DATA BTO'!A:N,14,FALSE)</f>
        <v>#N/A</v>
      </c>
      <c r="AK79" s="54" t="e">
        <f ca="1">VLOOKUP(Tableau118[[#This Row],[Key(POD -PFI- Usine)]],'DATA Consignee'!A:F,6,FALSE)</f>
        <v>#N/A</v>
      </c>
      <c r="AL79" s="125"/>
      <c r="AM79" s="483" t="str">
        <f>IF(Tableau118[[#This Row],[Name PFI/CDD]]="","-",VLOOKUP(Tableau118[[#This Row],[Name PFI/CDD]],Plant_AILN!I:J,2,FALSE))</f>
        <v>-</v>
      </c>
      <c r="AN7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7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79" s="2" t="e">
        <f ca="1">VLOOKUP(Tableau118[[#This Row],[Key(POD -PFI- Usine)]],'DATA Consignee'!A:J,10,FALSE)</f>
        <v>#N/A</v>
      </c>
      <c r="AQ79" s="50" t="e">
        <f ca="1">VLOOKUP(Tableau118[[#This Row],[Key(POD -PFI- Usine)]],'DATA Consignee'!A:N,14,FALSE)</f>
        <v>#N/A</v>
      </c>
      <c r="AR7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7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79" s="50" t="e">
        <f ca="1">Tableau118[[#This Row],[Transit time]]+Tableau118[[#This Row],[Time for security]]+Tableau118[[#This Row],[Time for security2 buffer]]</f>
        <v>#N/A</v>
      </c>
      <c r="AU7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79" s="389" t="e">
        <f ca="1">Tableau118[[#This Row],[Leadtime SI2C]]+Tableau118[[#This Row],[First Receipt Days]]-Tableau118[[#This Row],[Day Customer Order]]+1</f>
        <v>#N/A</v>
      </c>
      <c r="AW79" s="117" t="e">
        <f ca="1">IF(Tableau118[[#This Row],[Name ILN]]&lt;&gt;"SFK Freight Forwarder",Tableau118[[#This Row],[Cust. Leadtime]],Tableau118[[#This Row],[Leadtime SI2C]])</f>
        <v>#N/A</v>
      </c>
      <c r="AX79" s="51" t="e">
        <f>VLOOKUP(Tableau118[[#This Row],[ID]],'DATA BTO'!B:P,15,FALSE)</f>
        <v>#N/A</v>
      </c>
      <c r="AY79" s="328" t="e">
        <f ca="1">IFERROR(VLOOKUP(Tableau118[[#This Row],[Key(ID-Actif)]],'DATA BTO'!A:N,4,FALSE),VLOOKUP(Tableau118[[#This Row],[ID]],'DATA BTO'!B:N,3,FALSE))</f>
        <v>#N/A</v>
      </c>
      <c r="AZ7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7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7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7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7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79" s="50"/>
    </row>
    <row r="80" spans="2:57">
      <c r="B80" s="65" t="str">
        <f>_xlfn.CONCAT(Tableau118[[#This Row],[Name ILN]],"-",Tableau118[[#This Row],[Name Shipper]],"-",Tableau118[[#This Row],[Name Site]])</f>
        <v>--</v>
      </c>
      <c r="C80" s="65" t="e">
        <f ca="1">_xlfn.CONCAT(Tableau118[[#This Row],[Compte ILN]],"-",Tableau118[[#This Row],[Compte Shipper]],"-",Tableau118[[#This Row],[POL]],"-",Tableau118[[#This Row],[Compte Site]])</f>
        <v>#N/A</v>
      </c>
      <c r="D80" s="64" t="e">
        <f ca="1">_xlfn.CONCAT(Tableau118[[#This Row],[Compte ILN]],"-",Tableau118[[#This Row],[Compte Shipper]],"-",Tableau118[[#This Row],[POL]])</f>
        <v>#N/A</v>
      </c>
      <c r="E80" s="396" t="e">
        <f ca="1">_xlfn.CONCAT(Tableau118[[#This Row],[POL]],"-",Tableau118[[#This Row],[Carrier]],"-",Tableau118[[#This Row],[POD]])</f>
        <v>#N/A</v>
      </c>
      <c r="F80" s="64" t="str">
        <f>_xlfn.CONCAT(Tableau118[[#This Row],[ID]],"-","Next")</f>
        <v>-Next</v>
      </c>
      <c r="G80" s="64" t="e">
        <f ca="1">_xlfn.CONCAT(Tableau118[[#This Row],[POD]],"-",Tableau118[[#This Row],[Code PFI]],"-",Tableau118[[#This Row],[Compte Site]])</f>
        <v>#N/A</v>
      </c>
      <c r="H8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0" s="397" t="str">
        <f ca="1">IF(COUNTIF(I:I,Tableau118[[#This Row],[Plant-ILN-shipper-POL-Carrier-POD-PFI]])=1,"Non","Oui")</f>
        <v>Oui</v>
      </c>
      <c r="K80" s="398" t="e">
        <f>VLOOKUP(Tableau118[[#This Row],[Name Site]],Plant_AILN!A:D,4,FALSE)</f>
        <v>#N/A</v>
      </c>
      <c r="L80" s="285"/>
      <c r="M80" s="496"/>
      <c r="N80" s="55"/>
      <c r="O80" s="114"/>
      <c r="P80" s="481"/>
      <c r="Q80" s="50"/>
      <c r="R80" s="50"/>
      <c r="S80" s="50"/>
      <c r="T80" s="50"/>
      <c r="U80" s="50"/>
      <c r="V80" s="50"/>
      <c r="W80" s="53"/>
      <c r="X80" s="283"/>
      <c r="Y80" s="482">
        <f>IFERROR(VLOOKUP(Tableau118[[#This Row],[Name Shipper]],Plant_AILN!L:M,2,FALSE),0)</f>
        <v>0</v>
      </c>
      <c r="Z80" s="358"/>
      <c r="AA80" s="353" t="e">
        <f ca="1">VLOOKUP(Tableau118[[#This Row],[Key(ID-Actif)]],'DATA BTO'!A:N,5,FALSE)</f>
        <v>#N/A</v>
      </c>
      <c r="AB80" s="3" t="e">
        <f ca="1">VLOOKUP(Tableau118[[#This Row],[Key(ID-Actif)]],'DATA BTO'!A:N,6,FALSE)</f>
        <v>#N/A</v>
      </c>
      <c r="AC80" s="50" t="e">
        <f ca="1">VLOOKUP(Tableau118[[#This Row],[Key(ID-Actif)]],'DATA BTO'!A:N,7,FALSE)</f>
        <v>#N/A</v>
      </c>
      <c r="AD80" s="50" t="e">
        <f ca="1">VLOOKUP(Tableau118[[#This Row],[Key(ID-Actif)]],'DATA BTO'!A:N,8,FALSE)</f>
        <v>#N/A</v>
      </c>
      <c r="AE80" s="50" t="e">
        <f ca="1">IF(Tableau118[[#This Row],[First Day to POL]]&lt;=Tableau118[[#This Row],[Day Cut Off]],Tableau118[[#This Row],[Day ETD]],Tableau118[[#This Row],[Day ETD]]+7)</f>
        <v>#N/A</v>
      </c>
      <c r="AF80" s="50" t="e">
        <f ca="1">VLOOKUP(Tableau118[[#This Row],[Key(ID-Actif)]],'DATA BTO'!A:N,9,FALSE)</f>
        <v>#N/A</v>
      </c>
      <c r="AG80" s="3" t="e">
        <f ca="1">VLOOKUP(Tableau118[[#This Row],[Key(ID-Actif)]],'DATA BTO'!A:N,10,FALSE)</f>
        <v>#N/A</v>
      </c>
      <c r="AH80" s="3" t="e">
        <f ca="1">VLOOKUP(Tableau118[[#This Row],[Key(ID-Actif)]],'DATA BTO'!A:N,11,FALSE)</f>
        <v>#N/A</v>
      </c>
      <c r="AI80" s="50" t="e">
        <f ca="1">VLOOKUP(Tableau118[[#This Row],[Key(ID-Actif)]],'DATA BTO'!A:N,12,FALSE)</f>
        <v>#N/A</v>
      </c>
      <c r="AJ80" s="53" t="e">
        <f ca="1">VLOOKUP(Tableau118[[#This Row],[Key(ID-Actif)]],'DATA BTO'!A:N,14,FALSE)</f>
        <v>#N/A</v>
      </c>
      <c r="AK80" s="54" t="e">
        <f ca="1">VLOOKUP(Tableau118[[#This Row],[Key(POD -PFI- Usine)]],'DATA Consignee'!A:F,6,FALSE)</f>
        <v>#N/A</v>
      </c>
      <c r="AL80" s="125"/>
      <c r="AM80" s="483" t="str">
        <f>IF(Tableau118[[#This Row],[Name PFI/CDD]]="","-",VLOOKUP(Tableau118[[#This Row],[Name PFI/CDD]],Plant_AILN!I:J,2,FALSE))</f>
        <v>-</v>
      </c>
      <c r="AN8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0" s="2" t="e">
        <f ca="1">VLOOKUP(Tableau118[[#This Row],[Key(POD -PFI- Usine)]],'DATA Consignee'!A:J,10,FALSE)</f>
        <v>#N/A</v>
      </c>
      <c r="AQ80" s="50" t="e">
        <f ca="1">VLOOKUP(Tableau118[[#This Row],[Key(POD -PFI- Usine)]],'DATA Consignee'!A:N,14,FALSE)</f>
        <v>#N/A</v>
      </c>
      <c r="AR8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0" s="50" t="e">
        <f ca="1">Tableau118[[#This Row],[Transit time]]+Tableau118[[#This Row],[Time for security]]+Tableau118[[#This Row],[Time for security2 buffer]]</f>
        <v>#N/A</v>
      </c>
      <c r="AU8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0" s="389" t="e">
        <f ca="1">Tableau118[[#This Row],[Leadtime SI2C]]+Tableau118[[#This Row],[First Receipt Days]]-Tableau118[[#This Row],[Day Customer Order]]+1</f>
        <v>#N/A</v>
      </c>
      <c r="AW80" s="117" t="e">
        <f ca="1">IF(Tableau118[[#This Row],[Name ILN]]&lt;&gt;"SFK Freight Forwarder",Tableau118[[#This Row],[Cust. Leadtime]],Tableau118[[#This Row],[Leadtime SI2C]])</f>
        <v>#N/A</v>
      </c>
      <c r="AX80" s="51" t="e">
        <f>VLOOKUP(Tableau118[[#This Row],[ID]],'DATA BTO'!B:P,15,FALSE)</f>
        <v>#N/A</v>
      </c>
      <c r="AY80" s="328" t="e">
        <f ca="1">IFERROR(VLOOKUP(Tableau118[[#This Row],[Key(ID-Actif)]],'DATA BTO'!A:N,4,FALSE),VLOOKUP(Tableau118[[#This Row],[ID]],'DATA BTO'!B:N,3,FALSE))</f>
        <v>#N/A</v>
      </c>
      <c r="AZ8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0" s="50"/>
    </row>
    <row r="81" spans="2:57">
      <c r="B81" s="65" t="str">
        <f>_xlfn.CONCAT(Tableau118[[#This Row],[Name ILN]],"-",Tableau118[[#This Row],[Name Shipper]],"-",Tableau118[[#This Row],[Name Site]])</f>
        <v>--</v>
      </c>
      <c r="C81" s="65" t="e">
        <f ca="1">_xlfn.CONCAT(Tableau118[[#This Row],[Compte ILN]],"-",Tableau118[[#This Row],[Compte Shipper]],"-",Tableau118[[#This Row],[POL]],"-",Tableau118[[#This Row],[Compte Site]])</f>
        <v>#N/A</v>
      </c>
      <c r="D81" s="64" t="e">
        <f ca="1">_xlfn.CONCAT(Tableau118[[#This Row],[Compte ILN]],"-",Tableau118[[#This Row],[Compte Shipper]],"-",Tableau118[[#This Row],[POL]])</f>
        <v>#N/A</v>
      </c>
      <c r="E81" s="396" t="e">
        <f ca="1">_xlfn.CONCAT(Tableau118[[#This Row],[POL]],"-",Tableau118[[#This Row],[Carrier]],"-",Tableau118[[#This Row],[POD]])</f>
        <v>#N/A</v>
      </c>
      <c r="F81" s="64" t="str">
        <f>_xlfn.CONCAT(Tableau118[[#This Row],[ID]],"-","Next")</f>
        <v>-Next</v>
      </c>
      <c r="G81" s="64" t="e">
        <f ca="1">_xlfn.CONCAT(Tableau118[[#This Row],[POD]],"-",Tableau118[[#This Row],[Code PFI]],"-",Tableau118[[#This Row],[Compte Site]])</f>
        <v>#N/A</v>
      </c>
      <c r="H8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1" s="397" t="str">
        <f ca="1">IF(COUNTIF(I:I,Tableau118[[#This Row],[Plant-ILN-shipper-POL-Carrier-POD-PFI]])=1,"Non","Oui")</f>
        <v>Oui</v>
      </c>
      <c r="K81" s="398" t="e">
        <f>VLOOKUP(Tableau118[[#This Row],[Name Site]],Plant_AILN!A:D,4,FALSE)</f>
        <v>#N/A</v>
      </c>
      <c r="L81" s="285"/>
      <c r="M81" s="496"/>
      <c r="N81" s="55"/>
      <c r="O81" s="114"/>
      <c r="P81" s="481"/>
      <c r="Q81" s="50"/>
      <c r="R81" s="50"/>
      <c r="S81" s="50"/>
      <c r="T81" s="50"/>
      <c r="U81" s="50"/>
      <c r="V81" s="50"/>
      <c r="W81" s="53"/>
      <c r="X81" s="283"/>
      <c r="Y81" s="482">
        <f>IFERROR(VLOOKUP(Tableau118[[#This Row],[Name Shipper]],Plant_AILN!L:M,2,FALSE),0)</f>
        <v>0</v>
      </c>
      <c r="Z81" s="358"/>
      <c r="AA81" s="353" t="e">
        <f ca="1">VLOOKUP(Tableau118[[#This Row],[Key(ID-Actif)]],'DATA BTO'!A:N,5,FALSE)</f>
        <v>#N/A</v>
      </c>
      <c r="AB81" s="3" t="e">
        <f ca="1">VLOOKUP(Tableau118[[#This Row],[Key(ID-Actif)]],'DATA BTO'!A:N,6,FALSE)</f>
        <v>#N/A</v>
      </c>
      <c r="AC81" s="50" t="e">
        <f ca="1">VLOOKUP(Tableau118[[#This Row],[Key(ID-Actif)]],'DATA BTO'!A:N,7,FALSE)</f>
        <v>#N/A</v>
      </c>
      <c r="AD81" s="50" t="e">
        <f ca="1">VLOOKUP(Tableau118[[#This Row],[Key(ID-Actif)]],'DATA BTO'!A:N,8,FALSE)</f>
        <v>#N/A</v>
      </c>
      <c r="AE81" s="50" t="e">
        <f ca="1">IF(Tableau118[[#This Row],[First Day to POL]]&lt;=Tableau118[[#This Row],[Day Cut Off]],Tableau118[[#This Row],[Day ETD]],Tableau118[[#This Row],[Day ETD]]+7)</f>
        <v>#N/A</v>
      </c>
      <c r="AF81" s="50" t="e">
        <f ca="1">VLOOKUP(Tableau118[[#This Row],[Key(ID-Actif)]],'DATA BTO'!A:N,9,FALSE)</f>
        <v>#N/A</v>
      </c>
      <c r="AG81" s="3" t="e">
        <f ca="1">VLOOKUP(Tableau118[[#This Row],[Key(ID-Actif)]],'DATA BTO'!A:N,10,FALSE)</f>
        <v>#N/A</v>
      </c>
      <c r="AH81" s="3" t="e">
        <f ca="1">VLOOKUP(Tableau118[[#This Row],[Key(ID-Actif)]],'DATA BTO'!A:N,11,FALSE)</f>
        <v>#N/A</v>
      </c>
      <c r="AI81" s="50" t="e">
        <f ca="1">VLOOKUP(Tableau118[[#This Row],[Key(ID-Actif)]],'DATA BTO'!A:N,12,FALSE)</f>
        <v>#N/A</v>
      </c>
      <c r="AJ81" s="53" t="e">
        <f ca="1">VLOOKUP(Tableau118[[#This Row],[Key(ID-Actif)]],'DATA BTO'!A:N,14,FALSE)</f>
        <v>#N/A</v>
      </c>
      <c r="AK81" s="54" t="e">
        <f ca="1">VLOOKUP(Tableau118[[#This Row],[Key(POD -PFI- Usine)]],'DATA Consignee'!A:F,6,FALSE)</f>
        <v>#N/A</v>
      </c>
      <c r="AL81" s="125"/>
      <c r="AM81" s="483" t="str">
        <f>IF(Tableau118[[#This Row],[Name PFI/CDD]]="","-",VLOOKUP(Tableau118[[#This Row],[Name PFI/CDD]],Plant_AILN!I:J,2,FALSE))</f>
        <v>-</v>
      </c>
      <c r="AN8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1" s="2" t="e">
        <f ca="1">VLOOKUP(Tableau118[[#This Row],[Key(POD -PFI- Usine)]],'DATA Consignee'!A:J,10,FALSE)</f>
        <v>#N/A</v>
      </c>
      <c r="AQ81" s="50" t="e">
        <f ca="1">VLOOKUP(Tableau118[[#This Row],[Key(POD -PFI- Usine)]],'DATA Consignee'!A:N,14,FALSE)</f>
        <v>#N/A</v>
      </c>
      <c r="AR8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1" s="50" t="e">
        <f ca="1">Tableau118[[#This Row],[Transit time]]+Tableau118[[#This Row],[Time for security]]+Tableau118[[#This Row],[Time for security2 buffer]]</f>
        <v>#N/A</v>
      </c>
      <c r="AU8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1" s="389" t="e">
        <f ca="1">Tableau118[[#This Row],[Leadtime SI2C]]+Tableau118[[#This Row],[First Receipt Days]]-Tableau118[[#This Row],[Day Customer Order]]+1</f>
        <v>#N/A</v>
      </c>
      <c r="AW81" s="117" t="e">
        <f ca="1">IF(Tableau118[[#This Row],[Name ILN]]&lt;&gt;"SFK Freight Forwarder",Tableau118[[#This Row],[Cust. Leadtime]],Tableau118[[#This Row],[Leadtime SI2C]])</f>
        <v>#N/A</v>
      </c>
      <c r="AX81" s="51" t="e">
        <f>VLOOKUP(Tableau118[[#This Row],[ID]],'DATA BTO'!B:P,15,FALSE)</f>
        <v>#N/A</v>
      </c>
      <c r="AY81" s="328" t="e">
        <f ca="1">IFERROR(VLOOKUP(Tableau118[[#This Row],[Key(ID-Actif)]],'DATA BTO'!A:N,4,FALSE),VLOOKUP(Tableau118[[#This Row],[ID]],'DATA BTO'!B:N,3,FALSE))</f>
        <v>#N/A</v>
      </c>
      <c r="AZ8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1" s="50"/>
    </row>
    <row r="82" spans="2:57">
      <c r="B82" s="65" t="str">
        <f>_xlfn.CONCAT(Tableau118[[#This Row],[Name ILN]],"-",Tableau118[[#This Row],[Name Shipper]],"-",Tableau118[[#This Row],[Name Site]])</f>
        <v>--</v>
      </c>
      <c r="C82" s="65" t="e">
        <f ca="1">_xlfn.CONCAT(Tableau118[[#This Row],[Compte ILN]],"-",Tableau118[[#This Row],[Compte Shipper]],"-",Tableau118[[#This Row],[POL]],"-",Tableau118[[#This Row],[Compte Site]])</f>
        <v>#N/A</v>
      </c>
      <c r="D82" s="64" t="e">
        <f ca="1">_xlfn.CONCAT(Tableau118[[#This Row],[Compte ILN]],"-",Tableau118[[#This Row],[Compte Shipper]],"-",Tableau118[[#This Row],[POL]])</f>
        <v>#N/A</v>
      </c>
      <c r="E82" s="396" t="e">
        <f ca="1">_xlfn.CONCAT(Tableau118[[#This Row],[POL]],"-",Tableau118[[#This Row],[Carrier]],"-",Tableau118[[#This Row],[POD]])</f>
        <v>#N/A</v>
      </c>
      <c r="F82" s="64" t="str">
        <f>_xlfn.CONCAT(Tableau118[[#This Row],[ID]],"-","Next")</f>
        <v>-Next</v>
      </c>
      <c r="G82" s="64" t="e">
        <f ca="1">_xlfn.CONCAT(Tableau118[[#This Row],[POD]],"-",Tableau118[[#This Row],[Code PFI]],"-",Tableau118[[#This Row],[Compte Site]])</f>
        <v>#N/A</v>
      </c>
      <c r="H8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2" s="397" t="str">
        <f ca="1">IF(COUNTIF(I:I,Tableau118[[#This Row],[Plant-ILN-shipper-POL-Carrier-POD-PFI]])=1,"Non","Oui")</f>
        <v>Oui</v>
      </c>
      <c r="K82" s="398" t="e">
        <f>VLOOKUP(Tableau118[[#This Row],[Name Site]],Plant_AILN!A:D,4,FALSE)</f>
        <v>#N/A</v>
      </c>
      <c r="L82" s="285"/>
      <c r="M82" s="496"/>
      <c r="N82" s="55"/>
      <c r="O82" s="114"/>
      <c r="P82" s="481"/>
      <c r="Q82" s="50"/>
      <c r="R82" s="50"/>
      <c r="S82" s="50"/>
      <c r="T82" s="50"/>
      <c r="U82" s="50"/>
      <c r="V82" s="50"/>
      <c r="W82" s="53"/>
      <c r="X82" s="283"/>
      <c r="Y82" s="482">
        <f>IFERROR(VLOOKUP(Tableau118[[#This Row],[Name Shipper]],Plant_AILN!L:M,2,FALSE),0)</f>
        <v>0</v>
      </c>
      <c r="Z82" s="358"/>
      <c r="AA82" s="353" t="e">
        <f ca="1">VLOOKUP(Tableau118[[#This Row],[Key(ID-Actif)]],'DATA BTO'!A:N,5,FALSE)</f>
        <v>#N/A</v>
      </c>
      <c r="AB82" s="3" t="e">
        <f ca="1">VLOOKUP(Tableau118[[#This Row],[Key(ID-Actif)]],'DATA BTO'!A:N,6,FALSE)</f>
        <v>#N/A</v>
      </c>
      <c r="AC82" s="50" t="e">
        <f ca="1">VLOOKUP(Tableau118[[#This Row],[Key(ID-Actif)]],'DATA BTO'!A:N,7,FALSE)</f>
        <v>#N/A</v>
      </c>
      <c r="AD82" s="50" t="e">
        <f ca="1">VLOOKUP(Tableau118[[#This Row],[Key(ID-Actif)]],'DATA BTO'!A:N,8,FALSE)</f>
        <v>#N/A</v>
      </c>
      <c r="AE82" s="50" t="e">
        <f ca="1">IF(Tableau118[[#This Row],[First Day to POL]]&lt;=Tableau118[[#This Row],[Day Cut Off]],Tableau118[[#This Row],[Day ETD]],Tableau118[[#This Row],[Day ETD]]+7)</f>
        <v>#N/A</v>
      </c>
      <c r="AF82" s="50" t="e">
        <f ca="1">VLOOKUP(Tableau118[[#This Row],[Key(ID-Actif)]],'DATA BTO'!A:N,9,FALSE)</f>
        <v>#N/A</v>
      </c>
      <c r="AG82" s="3" t="e">
        <f ca="1">VLOOKUP(Tableau118[[#This Row],[Key(ID-Actif)]],'DATA BTO'!A:N,10,FALSE)</f>
        <v>#N/A</v>
      </c>
      <c r="AH82" s="3" t="e">
        <f ca="1">VLOOKUP(Tableau118[[#This Row],[Key(ID-Actif)]],'DATA BTO'!A:N,11,FALSE)</f>
        <v>#N/A</v>
      </c>
      <c r="AI82" s="50" t="e">
        <f ca="1">VLOOKUP(Tableau118[[#This Row],[Key(ID-Actif)]],'DATA BTO'!A:N,12,FALSE)</f>
        <v>#N/A</v>
      </c>
      <c r="AJ82" s="53" t="e">
        <f ca="1">VLOOKUP(Tableau118[[#This Row],[Key(ID-Actif)]],'DATA BTO'!A:N,14,FALSE)</f>
        <v>#N/A</v>
      </c>
      <c r="AK82" s="54" t="e">
        <f ca="1">VLOOKUP(Tableau118[[#This Row],[Key(POD -PFI- Usine)]],'DATA Consignee'!A:F,6,FALSE)</f>
        <v>#N/A</v>
      </c>
      <c r="AL82" s="125"/>
      <c r="AM82" s="483" t="str">
        <f>IF(Tableau118[[#This Row],[Name PFI/CDD]]="","-",VLOOKUP(Tableau118[[#This Row],[Name PFI/CDD]],Plant_AILN!I:J,2,FALSE))</f>
        <v>-</v>
      </c>
      <c r="AN8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2" s="2" t="e">
        <f ca="1">VLOOKUP(Tableau118[[#This Row],[Key(POD -PFI- Usine)]],'DATA Consignee'!A:J,10,FALSE)</f>
        <v>#N/A</v>
      </c>
      <c r="AQ82" s="50" t="e">
        <f ca="1">VLOOKUP(Tableau118[[#This Row],[Key(POD -PFI- Usine)]],'DATA Consignee'!A:N,14,FALSE)</f>
        <v>#N/A</v>
      </c>
      <c r="AR8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2" s="50" t="e">
        <f ca="1">Tableau118[[#This Row],[Transit time]]+Tableau118[[#This Row],[Time for security]]+Tableau118[[#This Row],[Time for security2 buffer]]</f>
        <v>#N/A</v>
      </c>
      <c r="AU8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2" s="389" t="e">
        <f ca="1">Tableau118[[#This Row],[Leadtime SI2C]]+Tableau118[[#This Row],[First Receipt Days]]-Tableau118[[#This Row],[Day Customer Order]]+1</f>
        <v>#N/A</v>
      </c>
      <c r="AW82" s="117" t="e">
        <f ca="1">IF(Tableau118[[#This Row],[Name ILN]]&lt;&gt;"SFK Freight Forwarder",Tableau118[[#This Row],[Cust. Leadtime]],Tableau118[[#This Row],[Leadtime SI2C]])</f>
        <v>#N/A</v>
      </c>
      <c r="AX82" s="51" t="e">
        <f>VLOOKUP(Tableau118[[#This Row],[ID]],'DATA BTO'!B:P,15,FALSE)</f>
        <v>#N/A</v>
      </c>
      <c r="AY82" s="328" t="e">
        <f ca="1">IFERROR(VLOOKUP(Tableau118[[#This Row],[Key(ID-Actif)]],'DATA BTO'!A:N,4,FALSE),VLOOKUP(Tableau118[[#This Row],[ID]],'DATA BTO'!B:N,3,FALSE))</f>
        <v>#N/A</v>
      </c>
      <c r="AZ8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2" s="50"/>
    </row>
    <row r="83" spans="2:57">
      <c r="B83" s="65" t="str">
        <f>_xlfn.CONCAT(Tableau118[[#This Row],[Name ILN]],"-",Tableau118[[#This Row],[Name Shipper]],"-",Tableau118[[#This Row],[Name Site]])</f>
        <v>--</v>
      </c>
      <c r="C83" s="65" t="e">
        <f ca="1">_xlfn.CONCAT(Tableau118[[#This Row],[Compte ILN]],"-",Tableau118[[#This Row],[Compte Shipper]],"-",Tableau118[[#This Row],[POL]],"-",Tableau118[[#This Row],[Compte Site]])</f>
        <v>#N/A</v>
      </c>
      <c r="D83" s="64" t="e">
        <f ca="1">_xlfn.CONCAT(Tableau118[[#This Row],[Compte ILN]],"-",Tableau118[[#This Row],[Compte Shipper]],"-",Tableau118[[#This Row],[POL]])</f>
        <v>#N/A</v>
      </c>
      <c r="E83" s="396" t="e">
        <f ca="1">_xlfn.CONCAT(Tableau118[[#This Row],[POL]],"-",Tableau118[[#This Row],[Carrier]],"-",Tableau118[[#This Row],[POD]])</f>
        <v>#N/A</v>
      </c>
      <c r="F83" s="64" t="str">
        <f>_xlfn.CONCAT(Tableau118[[#This Row],[ID]],"-","Next")</f>
        <v>-Next</v>
      </c>
      <c r="G83" s="64" t="e">
        <f ca="1">_xlfn.CONCAT(Tableau118[[#This Row],[POD]],"-",Tableau118[[#This Row],[Code PFI]],"-",Tableau118[[#This Row],[Compte Site]])</f>
        <v>#N/A</v>
      </c>
      <c r="H8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3" s="397" t="str">
        <f ca="1">IF(COUNTIF(I:I,Tableau118[[#This Row],[Plant-ILN-shipper-POL-Carrier-POD-PFI]])=1,"Non","Oui")</f>
        <v>Oui</v>
      </c>
      <c r="K83" s="398" t="e">
        <f>VLOOKUP(Tableau118[[#This Row],[Name Site]],Plant_AILN!A:D,4,FALSE)</f>
        <v>#N/A</v>
      </c>
      <c r="L83" s="285"/>
      <c r="M83" s="496"/>
      <c r="N83" s="55"/>
      <c r="O83" s="114"/>
      <c r="P83" s="481"/>
      <c r="Q83" s="50"/>
      <c r="R83" s="50"/>
      <c r="S83" s="50"/>
      <c r="T83" s="50"/>
      <c r="U83" s="50"/>
      <c r="V83" s="50"/>
      <c r="W83" s="53"/>
      <c r="X83" s="283"/>
      <c r="Y83" s="482">
        <f>IFERROR(VLOOKUP(Tableau118[[#This Row],[Name Shipper]],Plant_AILN!L:M,2,FALSE),0)</f>
        <v>0</v>
      </c>
      <c r="Z83" s="358"/>
      <c r="AA83" s="353" t="e">
        <f ca="1">VLOOKUP(Tableau118[[#This Row],[Key(ID-Actif)]],'DATA BTO'!A:N,5,FALSE)</f>
        <v>#N/A</v>
      </c>
      <c r="AB83" s="3" t="e">
        <f ca="1">VLOOKUP(Tableau118[[#This Row],[Key(ID-Actif)]],'DATA BTO'!A:N,6,FALSE)</f>
        <v>#N/A</v>
      </c>
      <c r="AC83" s="50" t="e">
        <f ca="1">VLOOKUP(Tableau118[[#This Row],[Key(ID-Actif)]],'DATA BTO'!A:N,7,FALSE)</f>
        <v>#N/A</v>
      </c>
      <c r="AD83" s="50" t="e">
        <f ca="1">VLOOKUP(Tableau118[[#This Row],[Key(ID-Actif)]],'DATA BTO'!A:N,8,FALSE)</f>
        <v>#N/A</v>
      </c>
      <c r="AE83" s="50" t="e">
        <f ca="1">IF(Tableau118[[#This Row],[First Day to POL]]&lt;=Tableau118[[#This Row],[Day Cut Off]],Tableau118[[#This Row],[Day ETD]],Tableau118[[#This Row],[Day ETD]]+7)</f>
        <v>#N/A</v>
      </c>
      <c r="AF83" s="50" t="e">
        <f ca="1">VLOOKUP(Tableau118[[#This Row],[Key(ID-Actif)]],'DATA BTO'!A:N,9,FALSE)</f>
        <v>#N/A</v>
      </c>
      <c r="AG83" s="3" t="e">
        <f ca="1">VLOOKUP(Tableau118[[#This Row],[Key(ID-Actif)]],'DATA BTO'!A:N,10,FALSE)</f>
        <v>#N/A</v>
      </c>
      <c r="AH83" s="3" t="e">
        <f ca="1">VLOOKUP(Tableau118[[#This Row],[Key(ID-Actif)]],'DATA BTO'!A:N,11,FALSE)</f>
        <v>#N/A</v>
      </c>
      <c r="AI83" s="50" t="e">
        <f ca="1">VLOOKUP(Tableau118[[#This Row],[Key(ID-Actif)]],'DATA BTO'!A:N,12,FALSE)</f>
        <v>#N/A</v>
      </c>
      <c r="AJ83" s="53" t="e">
        <f ca="1">VLOOKUP(Tableau118[[#This Row],[Key(ID-Actif)]],'DATA BTO'!A:N,14,FALSE)</f>
        <v>#N/A</v>
      </c>
      <c r="AK83" s="54" t="e">
        <f ca="1">VLOOKUP(Tableau118[[#This Row],[Key(POD -PFI- Usine)]],'DATA Consignee'!A:F,6,FALSE)</f>
        <v>#N/A</v>
      </c>
      <c r="AL83" s="125"/>
      <c r="AM83" s="483" t="str">
        <f>IF(Tableau118[[#This Row],[Name PFI/CDD]]="","-",VLOOKUP(Tableau118[[#This Row],[Name PFI/CDD]],Plant_AILN!I:J,2,FALSE))</f>
        <v>-</v>
      </c>
      <c r="AN8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3" s="2" t="e">
        <f ca="1">VLOOKUP(Tableau118[[#This Row],[Key(POD -PFI- Usine)]],'DATA Consignee'!A:J,10,FALSE)</f>
        <v>#N/A</v>
      </c>
      <c r="AQ83" s="50" t="e">
        <f ca="1">VLOOKUP(Tableau118[[#This Row],[Key(POD -PFI- Usine)]],'DATA Consignee'!A:N,14,FALSE)</f>
        <v>#N/A</v>
      </c>
      <c r="AR8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3" s="50" t="e">
        <f ca="1">Tableau118[[#This Row],[Transit time]]+Tableau118[[#This Row],[Time for security]]+Tableau118[[#This Row],[Time for security2 buffer]]</f>
        <v>#N/A</v>
      </c>
      <c r="AU8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3" s="389" t="e">
        <f ca="1">Tableau118[[#This Row],[Leadtime SI2C]]+Tableau118[[#This Row],[First Receipt Days]]-Tableau118[[#This Row],[Day Customer Order]]+1</f>
        <v>#N/A</v>
      </c>
      <c r="AW83" s="117" t="e">
        <f ca="1">IF(Tableau118[[#This Row],[Name ILN]]&lt;&gt;"SFK Freight Forwarder",Tableau118[[#This Row],[Cust. Leadtime]],Tableau118[[#This Row],[Leadtime SI2C]])</f>
        <v>#N/A</v>
      </c>
      <c r="AX83" s="51" t="e">
        <f>VLOOKUP(Tableau118[[#This Row],[ID]],'DATA BTO'!B:P,15,FALSE)</f>
        <v>#N/A</v>
      </c>
      <c r="AY83" s="328" t="e">
        <f ca="1">IFERROR(VLOOKUP(Tableau118[[#This Row],[Key(ID-Actif)]],'DATA BTO'!A:N,4,FALSE),VLOOKUP(Tableau118[[#This Row],[ID]],'DATA BTO'!B:N,3,FALSE))</f>
        <v>#N/A</v>
      </c>
      <c r="AZ8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3" s="50"/>
    </row>
    <row r="84" spans="2:57">
      <c r="B84" s="65" t="str">
        <f>_xlfn.CONCAT(Tableau118[[#This Row],[Name ILN]],"-",Tableau118[[#This Row],[Name Shipper]],"-",Tableau118[[#This Row],[Name Site]])</f>
        <v>--</v>
      </c>
      <c r="C84" s="65" t="e">
        <f ca="1">_xlfn.CONCAT(Tableau118[[#This Row],[Compte ILN]],"-",Tableau118[[#This Row],[Compte Shipper]],"-",Tableau118[[#This Row],[POL]],"-",Tableau118[[#This Row],[Compte Site]])</f>
        <v>#N/A</v>
      </c>
      <c r="D84" s="64" t="e">
        <f ca="1">_xlfn.CONCAT(Tableau118[[#This Row],[Compte ILN]],"-",Tableau118[[#This Row],[Compte Shipper]],"-",Tableau118[[#This Row],[POL]])</f>
        <v>#N/A</v>
      </c>
      <c r="E84" s="396" t="e">
        <f ca="1">_xlfn.CONCAT(Tableau118[[#This Row],[POL]],"-",Tableau118[[#This Row],[Carrier]],"-",Tableau118[[#This Row],[POD]])</f>
        <v>#N/A</v>
      </c>
      <c r="F84" s="64" t="str">
        <f>_xlfn.CONCAT(Tableau118[[#This Row],[ID]],"-","Next")</f>
        <v>-Next</v>
      </c>
      <c r="G84" s="64" t="e">
        <f ca="1">_xlfn.CONCAT(Tableau118[[#This Row],[POD]],"-",Tableau118[[#This Row],[Code PFI]],"-",Tableau118[[#This Row],[Compte Site]])</f>
        <v>#N/A</v>
      </c>
      <c r="H8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4" s="397" t="str">
        <f ca="1">IF(COUNTIF(I:I,Tableau118[[#This Row],[Plant-ILN-shipper-POL-Carrier-POD-PFI]])=1,"Non","Oui")</f>
        <v>Oui</v>
      </c>
      <c r="K84" s="398" t="e">
        <f>VLOOKUP(Tableau118[[#This Row],[Name Site]],Plant_AILN!A:D,4,FALSE)</f>
        <v>#N/A</v>
      </c>
      <c r="L84" s="285"/>
      <c r="M84" s="480"/>
      <c r="N84" s="55"/>
      <c r="O84" s="114"/>
      <c r="P84" s="481"/>
      <c r="Q84" s="50"/>
      <c r="R84" s="50"/>
      <c r="S84" s="50"/>
      <c r="T84" s="50"/>
      <c r="U84" s="50"/>
      <c r="V84" s="50"/>
      <c r="W84" s="53"/>
      <c r="X84" s="283"/>
      <c r="Y84" s="482">
        <f>IFERROR(VLOOKUP(Tableau118[[#This Row],[Name Shipper]],Plant_AILN!L:M,2,FALSE),0)</f>
        <v>0</v>
      </c>
      <c r="Z84" s="358"/>
      <c r="AA84" s="353" t="e">
        <f ca="1">VLOOKUP(Tableau118[[#This Row],[Key(ID-Actif)]],'DATA BTO'!A:N,5,FALSE)</f>
        <v>#N/A</v>
      </c>
      <c r="AB84" s="3" t="e">
        <f ca="1">VLOOKUP(Tableau118[[#This Row],[Key(ID-Actif)]],'DATA BTO'!A:N,6,FALSE)</f>
        <v>#N/A</v>
      </c>
      <c r="AC84" s="50" t="e">
        <f ca="1">VLOOKUP(Tableau118[[#This Row],[Key(ID-Actif)]],'DATA BTO'!A:N,7,FALSE)</f>
        <v>#N/A</v>
      </c>
      <c r="AD84" s="50" t="e">
        <f ca="1">VLOOKUP(Tableau118[[#This Row],[Key(ID-Actif)]],'DATA BTO'!A:N,8,FALSE)</f>
        <v>#N/A</v>
      </c>
      <c r="AE84" s="50" t="e">
        <f ca="1">IF(Tableau118[[#This Row],[First Day to POL]]&lt;=Tableau118[[#This Row],[Day Cut Off]],Tableau118[[#This Row],[Day ETD]],Tableau118[[#This Row],[Day ETD]]+7)</f>
        <v>#N/A</v>
      </c>
      <c r="AF84" s="50" t="e">
        <f ca="1">VLOOKUP(Tableau118[[#This Row],[Key(ID-Actif)]],'DATA BTO'!A:N,9,FALSE)</f>
        <v>#N/A</v>
      </c>
      <c r="AG84" s="3" t="e">
        <f ca="1">VLOOKUP(Tableau118[[#This Row],[Key(ID-Actif)]],'DATA BTO'!A:N,10,FALSE)</f>
        <v>#N/A</v>
      </c>
      <c r="AH84" s="3" t="e">
        <f ca="1">VLOOKUP(Tableau118[[#This Row],[Key(ID-Actif)]],'DATA BTO'!A:N,11,FALSE)</f>
        <v>#N/A</v>
      </c>
      <c r="AI84" s="50" t="e">
        <f ca="1">VLOOKUP(Tableau118[[#This Row],[Key(ID-Actif)]],'DATA BTO'!A:N,12,FALSE)</f>
        <v>#N/A</v>
      </c>
      <c r="AJ84" s="53" t="e">
        <f ca="1">VLOOKUP(Tableau118[[#This Row],[Key(ID-Actif)]],'DATA BTO'!A:N,14,FALSE)</f>
        <v>#N/A</v>
      </c>
      <c r="AK84" s="54" t="e">
        <f ca="1">VLOOKUP(Tableau118[[#This Row],[Key(POD -PFI- Usine)]],'DATA Consignee'!A:F,6,FALSE)</f>
        <v>#N/A</v>
      </c>
      <c r="AL84" s="125"/>
      <c r="AM84" s="483" t="str">
        <f>IF(Tableau118[[#This Row],[Name PFI/CDD]]="","-",VLOOKUP(Tableau118[[#This Row],[Name PFI/CDD]],Plant_AILN!I:J,2,FALSE))</f>
        <v>-</v>
      </c>
      <c r="AN8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4" s="2" t="e">
        <f ca="1">VLOOKUP(Tableau118[[#This Row],[Key(POD -PFI- Usine)]],'DATA Consignee'!A:J,10,FALSE)</f>
        <v>#N/A</v>
      </c>
      <c r="AQ84" s="50" t="e">
        <f ca="1">VLOOKUP(Tableau118[[#This Row],[Key(POD -PFI- Usine)]],'DATA Consignee'!A:N,14,FALSE)</f>
        <v>#N/A</v>
      </c>
      <c r="AR8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4" s="50" t="e">
        <f ca="1">Tableau118[[#This Row],[Transit time]]+Tableau118[[#This Row],[Time for security]]+Tableau118[[#This Row],[Time for security2 buffer]]</f>
        <v>#N/A</v>
      </c>
      <c r="AU8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4" s="389" t="e">
        <f ca="1">Tableau118[[#This Row],[Leadtime SI2C]]+Tableau118[[#This Row],[First Receipt Days]]-Tableau118[[#This Row],[Day Customer Order]]+1</f>
        <v>#N/A</v>
      </c>
      <c r="AW84" s="117" t="e">
        <f ca="1">IF(Tableau118[[#This Row],[Name ILN]]&lt;&gt;"SFK Freight Forwarder",Tableau118[[#This Row],[Cust. Leadtime]],Tableau118[[#This Row],[Leadtime SI2C]])</f>
        <v>#N/A</v>
      </c>
      <c r="AX84" s="51" t="e">
        <f>VLOOKUP(Tableau118[[#This Row],[ID]],'DATA BTO'!B:P,15,FALSE)</f>
        <v>#N/A</v>
      </c>
      <c r="AY84" s="328" t="e">
        <f ca="1">IFERROR(VLOOKUP(Tableau118[[#This Row],[Key(ID-Actif)]],'DATA BTO'!A:N,4,FALSE),VLOOKUP(Tableau118[[#This Row],[ID]],'DATA BTO'!B:N,3,FALSE))</f>
        <v>#N/A</v>
      </c>
      <c r="AZ8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4" s="50"/>
    </row>
    <row r="85" spans="2:57">
      <c r="B85" s="65" t="str">
        <f>_xlfn.CONCAT(Tableau118[[#This Row],[Name ILN]],"-",Tableau118[[#This Row],[Name Shipper]],"-",Tableau118[[#This Row],[Name Site]])</f>
        <v>--</v>
      </c>
      <c r="C85" s="65" t="e">
        <f ca="1">_xlfn.CONCAT(Tableau118[[#This Row],[Compte ILN]],"-",Tableau118[[#This Row],[Compte Shipper]],"-",Tableau118[[#This Row],[POL]],"-",Tableau118[[#This Row],[Compte Site]])</f>
        <v>#N/A</v>
      </c>
      <c r="D85" s="64" t="e">
        <f ca="1">_xlfn.CONCAT(Tableau118[[#This Row],[Compte ILN]],"-",Tableau118[[#This Row],[Compte Shipper]],"-",Tableau118[[#This Row],[POL]])</f>
        <v>#N/A</v>
      </c>
      <c r="E85" s="396" t="e">
        <f ca="1">_xlfn.CONCAT(Tableau118[[#This Row],[POL]],"-",Tableau118[[#This Row],[Carrier]],"-",Tableau118[[#This Row],[POD]])</f>
        <v>#N/A</v>
      </c>
      <c r="F85" s="64" t="str">
        <f>_xlfn.CONCAT(Tableau118[[#This Row],[ID]],"-","Next")</f>
        <v>-Next</v>
      </c>
      <c r="G85" s="64" t="e">
        <f ca="1">_xlfn.CONCAT(Tableau118[[#This Row],[POD]],"-",Tableau118[[#This Row],[Code PFI]],"-",Tableau118[[#This Row],[Compte Site]])</f>
        <v>#N/A</v>
      </c>
      <c r="H8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5" s="397" t="str">
        <f ca="1">IF(COUNTIF(I:I,Tableau118[[#This Row],[Plant-ILN-shipper-POL-Carrier-POD-PFI]])=1,"Non","Oui")</f>
        <v>Oui</v>
      </c>
      <c r="K85" s="398" t="e">
        <f>VLOOKUP(Tableau118[[#This Row],[Name Site]],Plant_AILN!A:D,4,FALSE)</f>
        <v>#N/A</v>
      </c>
      <c r="L85" s="285"/>
      <c r="M85" s="480"/>
      <c r="N85" s="55"/>
      <c r="O85" s="114"/>
      <c r="P85" s="481"/>
      <c r="Q85" s="50"/>
      <c r="R85" s="50"/>
      <c r="S85" s="50"/>
      <c r="T85" s="50"/>
      <c r="U85" s="50"/>
      <c r="V85" s="50"/>
      <c r="W85" s="53"/>
      <c r="X85" s="283"/>
      <c r="Y85" s="482">
        <f>IFERROR(VLOOKUP(Tableau118[[#This Row],[Name Shipper]],Plant_AILN!L:M,2,FALSE),0)</f>
        <v>0</v>
      </c>
      <c r="Z85" s="358"/>
      <c r="AA85" s="353" t="e">
        <f ca="1">VLOOKUP(Tableau118[[#This Row],[Key(ID-Actif)]],'DATA BTO'!A:N,5,FALSE)</f>
        <v>#N/A</v>
      </c>
      <c r="AB85" s="3" t="e">
        <f ca="1">VLOOKUP(Tableau118[[#This Row],[Key(ID-Actif)]],'DATA BTO'!A:N,6,FALSE)</f>
        <v>#N/A</v>
      </c>
      <c r="AC85" s="50" t="e">
        <f ca="1">VLOOKUP(Tableau118[[#This Row],[Key(ID-Actif)]],'DATA BTO'!A:N,7,FALSE)</f>
        <v>#N/A</v>
      </c>
      <c r="AD85" s="50" t="e">
        <f ca="1">VLOOKUP(Tableau118[[#This Row],[Key(ID-Actif)]],'DATA BTO'!A:N,8,FALSE)</f>
        <v>#N/A</v>
      </c>
      <c r="AE85" s="50" t="e">
        <f ca="1">IF(Tableau118[[#This Row],[First Day to POL]]&lt;=Tableau118[[#This Row],[Day Cut Off]],Tableau118[[#This Row],[Day ETD]],Tableau118[[#This Row],[Day ETD]]+7)</f>
        <v>#N/A</v>
      </c>
      <c r="AF85" s="50" t="e">
        <f ca="1">VLOOKUP(Tableau118[[#This Row],[Key(ID-Actif)]],'DATA BTO'!A:N,9,FALSE)</f>
        <v>#N/A</v>
      </c>
      <c r="AG85" s="3" t="e">
        <f ca="1">VLOOKUP(Tableau118[[#This Row],[Key(ID-Actif)]],'DATA BTO'!A:N,10,FALSE)</f>
        <v>#N/A</v>
      </c>
      <c r="AH85" s="3" t="e">
        <f ca="1">VLOOKUP(Tableau118[[#This Row],[Key(ID-Actif)]],'DATA BTO'!A:N,11,FALSE)</f>
        <v>#N/A</v>
      </c>
      <c r="AI85" s="50" t="e">
        <f ca="1">VLOOKUP(Tableau118[[#This Row],[Key(ID-Actif)]],'DATA BTO'!A:N,12,FALSE)</f>
        <v>#N/A</v>
      </c>
      <c r="AJ85" s="53" t="e">
        <f ca="1">VLOOKUP(Tableau118[[#This Row],[Key(ID-Actif)]],'DATA BTO'!A:N,14,FALSE)</f>
        <v>#N/A</v>
      </c>
      <c r="AK85" s="54" t="e">
        <f ca="1">VLOOKUP(Tableau118[[#This Row],[Key(POD -PFI- Usine)]],'DATA Consignee'!A:F,6,FALSE)</f>
        <v>#N/A</v>
      </c>
      <c r="AL85" s="125"/>
      <c r="AM85" s="483" t="str">
        <f>IF(Tableau118[[#This Row],[Name PFI/CDD]]="","-",VLOOKUP(Tableau118[[#This Row],[Name PFI/CDD]],Plant_AILN!I:J,2,FALSE))</f>
        <v>-</v>
      </c>
      <c r="AN8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5" s="2" t="e">
        <f ca="1">VLOOKUP(Tableau118[[#This Row],[Key(POD -PFI- Usine)]],'DATA Consignee'!A:J,10,FALSE)</f>
        <v>#N/A</v>
      </c>
      <c r="AQ85" s="50" t="e">
        <f ca="1">VLOOKUP(Tableau118[[#This Row],[Key(POD -PFI- Usine)]],'DATA Consignee'!A:N,14,FALSE)</f>
        <v>#N/A</v>
      </c>
      <c r="AR8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5" s="50" t="e">
        <f ca="1">Tableau118[[#This Row],[Transit time]]+Tableau118[[#This Row],[Time for security]]+Tableau118[[#This Row],[Time for security2 buffer]]</f>
        <v>#N/A</v>
      </c>
      <c r="AU8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5" s="389" t="e">
        <f ca="1">Tableau118[[#This Row],[Leadtime SI2C]]+Tableau118[[#This Row],[First Receipt Days]]-Tableau118[[#This Row],[Day Customer Order]]+1</f>
        <v>#N/A</v>
      </c>
      <c r="AW85" s="117" t="e">
        <f ca="1">IF(Tableau118[[#This Row],[Name ILN]]&lt;&gt;"SFK Freight Forwarder",Tableau118[[#This Row],[Cust. Leadtime]],Tableau118[[#This Row],[Leadtime SI2C]])</f>
        <v>#N/A</v>
      </c>
      <c r="AX85" s="51" t="e">
        <f>VLOOKUP(Tableau118[[#This Row],[ID]],'DATA BTO'!B:P,15,FALSE)</f>
        <v>#N/A</v>
      </c>
      <c r="AY85" s="328" t="e">
        <f ca="1">IFERROR(VLOOKUP(Tableau118[[#This Row],[Key(ID-Actif)]],'DATA BTO'!A:N,4,FALSE),VLOOKUP(Tableau118[[#This Row],[ID]],'DATA BTO'!B:N,3,FALSE))</f>
        <v>#N/A</v>
      </c>
      <c r="AZ8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5" s="50"/>
    </row>
    <row r="86" spans="2:57">
      <c r="B86" s="65" t="str">
        <f>_xlfn.CONCAT(Tableau118[[#This Row],[Name ILN]],"-",Tableau118[[#This Row],[Name Shipper]],"-",Tableau118[[#This Row],[Name Site]])</f>
        <v>--</v>
      </c>
      <c r="C86" s="65" t="e">
        <f ca="1">_xlfn.CONCAT(Tableau118[[#This Row],[Compte ILN]],"-",Tableau118[[#This Row],[Compte Shipper]],"-",Tableau118[[#This Row],[POL]],"-",Tableau118[[#This Row],[Compte Site]])</f>
        <v>#N/A</v>
      </c>
      <c r="D86" s="64" t="e">
        <f ca="1">_xlfn.CONCAT(Tableau118[[#This Row],[Compte ILN]],"-",Tableau118[[#This Row],[Compte Shipper]],"-",Tableau118[[#This Row],[POL]])</f>
        <v>#N/A</v>
      </c>
      <c r="E86" s="396" t="e">
        <f ca="1">_xlfn.CONCAT(Tableau118[[#This Row],[POL]],"-",Tableau118[[#This Row],[Carrier]],"-",Tableau118[[#This Row],[POD]])</f>
        <v>#N/A</v>
      </c>
      <c r="F86" s="64" t="str">
        <f>_xlfn.CONCAT(Tableau118[[#This Row],[ID]],"-","Next")</f>
        <v>-Next</v>
      </c>
      <c r="G86" s="64" t="e">
        <f ca="1">_xlfn.CONCAT(Tableau118[[#This Row],[POD]],"-",Tableau118[[#This Row],[Code PFI]],"-",Tableau118[[#This Row],[Compte Site]])</f>
        <v>#N/A</v>
      </c>
      <c r="H8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6" s="397" t="str">
        <f ca="1">IF(COUNTIF(I:I,Tableau118[[#This Row],[Plant-ILN-shipper-POL-Carrier-POD-PFI]])=1,"Non","Oui")</f>
        <v>Oui</v>
      </c>
      <c r="K86" s="398" t="e">
        <f>VLOOKUP(Tableau118[[#This Row],[Name Site]],Plant_AILN!A:D,4,FALSE)</f>
        <v>#N/A</v>
      </c>
      <c r="L86" s="285"/>
      <c r="M86" s="480"/>
      <c r="N86" s="55"/>
      <c r="O86" s="114"/>
      <c r="P86" s="481"/>
      <c r="Q86" s="50"/>
      <c r="R86" s="50"/>
      <c r="S86" s="50"/>
      <c r="T86" s="50"/>
      <c r="U86" s="50"/>
      <c r="V86" s="50"/>
      <c r="W86" s="53"/>
      <c r="X86" s="283"/>
      <c r="Y86" s="482">
        <f>IFERROR(VLOOKUP(Tableau118[[#This Row],[Name Shipper]],Plant_AILN!L:M,2,FALSE),0)</f>
        <v>0</v>
      </c>
      <c r="Z86" s="358"/>
      <c r="AA86" s="353" t="e">
        <f ca="1">VLOOKUP(Tableau118[[#This Row],[Key(ID-Actif)]],'DATA BTO'!A:N,5,FALSE)</f>
        <v>#N/A</v>
      </c>
      <c r="AB86" s="3" t="e">
        <f ca="1">VLOOKUP(Tableau118[[#This Row],[Key(ID-Actif)]],'DATA BTO'!A:N,6,FALSE)</f>
        <v>#N/A</v>
      </c>
      <c r="AC86" s="50" t="e">
        <f ca="1">VLOOKUP(Tableau118[[#This Row],[Key(ID-Actif)]],'DATA BTO'!A:N,7,FALSE)</f>
        <v>#N/A</v>
      </c>
      <c r="AD86" s="50" t="e">
        <f ca="1">VLOOKUP(Tableau118[[#This Row],[Key(ID-Actif)]],'DATA BTO'!A:N,8,FALSE)</f>
        <v>#N/A</v>
      </c>
      <c r="AE86" s="50" t="e">
        <f ca="1">IF(Tableau118[[#This Row],[First Day to POL]]&lt;=Tableau118[[#This Row],[Day Cut Off]],Tableau118[[#This Row],[Day ETD]],Tableau118[[#This Row],[Day ETD]]+7)</f>
        <v>#N/A</v>
      </c>
      <c r="AF86" s="50" t="e">
        <f ca="1">VLOOKUP(Tableau118[[#This Row],[Key(ID-Actif)]],'DATA BTO'!A:N,9,FALSE)</f>
        <v>#N/A</v>
      </c>
      <c r="AG86" s="3" t="e">
        <f ca="1">VLOOKUP(Tableau118[[#This Row],[Key(ID-Actif)]],'DATA BTO'!A:N,10,FALSE)</f>
        <v>#N/A</v>
      </c>
      <c r="AH86" s="3" t="e">
        <f ca="1">VLOOKUP(Tableau118[[#This Row],[Key(ID-Actif)]],'DATA BTO'!A:N,11,FALSE)</f>
        <v>#N/A</v>
      </c>
      <c r="AI86" s="50" t="e">
        <f ca="1">VLOOKUP(Tableau118[[#This Row],[Key(ID-Actif)]],'DATA BTO'!A:N,12,FALSE)</f>
        <v>#N/A</v>
      </c>
      <c r="AJ86" s="53" t="e">
        <f ca="1">VLOOKUP(Tableau118[[#This Row],[Key(ID-Actif)]],'DATA BTO'!A:N,14,FALSE)</f>
        <v>#N/A</v>
      </c>
      <c r="AK86" s="54" t="e">
        <f ca="1">VLOOKUP(Tableau118[[#This Row],[Key(POD -PFI- Usine)]],'DATA Consignee'!A:F,6,FALSE)</f>
        <v>#N/A</v>
      </c>
      <c r="AL86" s="125"/>
      <c r="AM86" s="483" t="str">
        <f>IF(Tableau118[[#This Row],[Name PFI/CDD]]="","-",VLOOKUP(Tableau118[[#This Row],[Name PFI/CDD]],Plant_AILN!I:J,2,FALSE))</f>
        <v>-</v>
      </c>
      <c r="AN8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6" s="2" t="e">
        <f ca="1">VLOOKUP(Tableau118[[#This Row],[Key(POD -PFI- Usine)]],'DATA Consignee'!A:J,10,FALSE)</f>
        <v>#N/A</v>
      </c>
      <c r="AQ86" s="50" t="e">
        <f ca="1">VLOOKUP(Tableau118[[#This Row],[Key(POD -PFI- Usine)]],'DATA Consignee'!A:N,14,FALSE)</f>
        <v>#N/A</v>
      </c>
      <c r="AR8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6" s="50" t="e">
        <f ca="1">Tableau118[[#This Row],[Transit time]]+Tableau118[[#This Row],[Time for security]]+Tableau118[[#This Row],[Time for security2 buffer]]</f>
        <v>#N/A</v>
      </c>
      <c r="AU8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6" s="389" t="e">
        <f ca="1">Tableau118[[#This Row],[Leadtime SI2C]]+Tableau118[[#This Row],[First Receipt Days]]-Tableau118[[#This Row],[Day Customer Order]]+1</f>
        <v>#N/A</v>
      </c>
      <c r="AW86" s="117" t="e">
        <f ca="1">IF(Tableau118[[#This Row],[Name ILN]]&lt;&gt;"SFK Freight Forwarder",Tableau118[[#This Row],[Cust. Leadtime]],Tableau118[[#This Row],[Leadtime SI2C]])</f>
        <v>#N/A</v>
      </c>
      <c r="AX86" s="51" t="e">
        <f>VLOOKUP(Tableau118[[#This Row],[ID]],'DATA BTO'!B:P,15,FALSE)</f>
        <v>#N/A</v>
      </c>
      <c r="AY86" s="328" t="e">
        <f ca="1">IFERROR(VLOOKUP(Tableau118[[#This Row],[Key(ID-Actif)]],'DATA BTO'!A:N,4,FALSE),VLOOKUP(Tableau118[[#This Row],[ID]],'DATA BTO'!B:N,3,FALSE))</f>
        <v>#N/A</v>
      </c>
      <c r="AZ8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6" s="50"/>
    </row>
    <row r="87" spans="2:57">
      <c r="B87" s="65" t="str">
        <f>_xlfn.CONCAT(Tableau118[[#This Row],[Name ILN]],"-",Tableau118[[#This Row],[Name Shipper]],"-",Tableau118[[#This Row],[Name Site]])</f>
        <v>--</v>
      </c>
      <c r="C87" s="65" t="e">
        <f ca="1">_xlfn.CONCAT(Tableau118[[#This Row],[Compte ILN]],"-",Tableau118[[#This Row],[Compte Shipper]],"-",Tableau118[[#This Row],[POL]],"-",Tableau118[[#This Row],[Compte Site]])</f>
        <v>#N/A</v>
      </c>
      <c r="D87" s="64" t="e">
        <f ca="1">_xlfn.CONCAT(Tableau118[[#This Row],[Compte ILN]],"-",Tableau118[[#This Row],[Compte Shipper]],"-",Tableau118[[#This Row],[POL]])</f>
        <v>#N/A</v>
      </c>
      <c r="E87" s="396" t="e">
        <f ca="1">_xlfn.CONCAT(Tableau118[[#This Row],[POL]],"-",Tableau118[[#This Row],[Carrier]],"-",Tableau118[[#This Row],[POD]])</f>
        <v>#N/A</v>
      </c>
      <c r="F87" s="64" t="str">
        <f>_xlfn.CONCAT(Tableau118[[#This Row],[ID]],"-","Next")</f>
        <v>-Next</v>
      </c>
      <c r="G87" s="64" t="e">
        <f ca="1">_xlfn.CONCAT(Tableau118[[#This Row],[POD]],"-",Tableau118[[#This Row],[Code PFI]],"-",Tableau118[[#This Row],[Compte Site]])</f>
        <v>#N/A</v>
      </c>
      <c r="H8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7" s="397" t="str">
        <f ca="1">IF(COUNTIF(I:I,Tableau118[[#This Row],[Plant-ILN-shipper-POL-Carrier-POD-PFI]])=1,"Non","Oui")</f>
        <v>Oui</v>
      </c>
      <c r="K87" s="398" t="e">
        <f>VLOOKUP(Tableau118[[#This Row],[Name Site]],Plant_AILN!A:D,4,FALSE)</f>
        <v>#N/A</v>
      </c>
      <c r="L87" s="285"/>
      <c r="M87" s="480"/>
      <c r="N87" s="55"/>
      <c r="O87" s="114"/>
      <c r="P87" s="481"/>
      <c r="Q87" s="50"/>
      <c r="R87" s="50"/>
      <c r="S87" s="50"/>
      <c r="T87" s="50"/>
      <c r="U87" s="50"/>
      <c r="V87" s="50"/>
      <c r="W87" s="53"/>
      <c r="X87" s="283"/>
      <c r="Y87" s="482">
        <f>IFERROR(VLOOKUP(Tableau118[[#This Row],[Name Shipper]],Plant_AILN!L:M,2,FALSE),0)</f>
        <v>0</v>
      </c>
      <c r="Z87" s="358"/>
      <c r="AA87" s="353" t="e">
        <f ca="1">VLOOKUP(Tableau118[[#This Row],[Key(ID-Actif)]],'DATA BTO'!A:N,5,FALSE)</f>
        <v>#N/A</v>
      </c>
      <c r="AB87" s="3" t="e">
        <f ca="1">VLOOKUP(Tableau118[[#This Row],[Key(ID-Actif)]],'DATA BTO'!A:N,6,FALSE)</f>
        <v>#N/A</v>
      </c>
      <c r="AC87" s="50" t="e">
        <f ca="1">VLOOKUP(Tableau118[[#This Row],[Key(ID-Actif)]],'DATA BTO'!A:N,7,FALSE)</f>
        <v>#N/A</v>
      </c>
      <c r="AD87" s="50" t="e">
        <f ca="1">VLOOKUP(Tableau118[[#This Row],[Key(ID-Actif)]],'DATA BTO'!A:N,8,FALSE)</f>
        <v>#N/A</v>
      </c>
      <c r="AE87" s="50" t="e">
        <f ca="1">IF(Tableau118[[#This Row],[First Day to POL]]&lt;=Tableau118[[#This Row],[Day Cut Off]],Tableau118[[#This Row],[Day ETD]],Tableau118[[#This Row],[Day ETD]]+7)</f>
        <v>#N/A</v>
      </c>
      <c r="AF87" s="50" t="e">
        <f ca="1">VLOOKUP(Tableau118[[#This Row],[Key(ID-Actif)]],'DATA BTO'!A:N,9,FALSE)</f>
        <v>#N/A</v>
      </c>
      <c r="AG87" s="3" t="e">
        <f ca="1">VLOOKUP(Tableau118[[#This Row],[Key(ID-Actif)]],'DATA BTO'!A:N,10,FALSE)</f>
        <v>#N/A</v>
      </c>
      <c r="AH87" s="3" t="e">
        <f ca="1">VLOOKUP(Tableau118[[#This Row],[Key(ID-Actif)]],'DATA BTO'!A:N,11,FALSE)</f>
        <v>#N/A</v>
      </c>
      <c r="AI87" s="50" t="e">
        <f ca="1">VLOOKUP(Tableau118[[#This Row],[Key(ID-Actif)]],'DATA BTO'!A:N,12,FALSE)</f>
        <v>#N/A</v>
      </c>
      <c r="AJ87" s="53" t="e">
        <f ca="1">VLOOKUP(Tableau118[[#This Row],[Key(ID-Actif)]],'DATA BTO'!A:N,14,FALSE)</f>
        <v>#N/A</v>
      </c>
      <c r="AK87" s="54" t="e">
        <f ca="1">VLOOKUP(Tableau118[[#This Row],[Key(POD -PFI- Usine)]],'DATA Consignee'!A:F,6,FALSE)</f>
        <v>#N/A</v>
      </c>
      <c r="AL87" s="125"/>
      <c r="AM87" s="483" t="str">
        <f>IF(Tableau118[[#This Row],[Name PFI/CDD]]="","-",VLOOKUP(Tableau118[[#This Row],[Name PFI/CDD]],Plant_AILN!I:J,2,FALSE))</f>
        <v>-</v>
      </c>
      <c r="AN8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7" s="2" t="e">
        <f ca="1">VLOOKUP(Tableau118[[#This Row],[Key(POD -PFI- Usine)]],'DATA Consignee'!A:J,10,FALSE)</f>
        <v>#N/A</v>
      </c>
      <c r="AQ87" s="50" t="e">
        <f ca="1">VLOOKUP(Tableau118[[#This Row],[Key(POD -PFI- Usine)]],'DATA Consignee'!A:N,14,FALSE)</f>
        <v>#N/A</v>
      </c>
      <c r="AR8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7" s="50" t="e">
        <f ca="1">Tableau118[[#This Row],[Transit time]]+Tableau118[[#This Row],[Time for security]]+Tableau118[[#This Row],[Time for security2 buffer]]</f>
        <v>#N/A</v>
      </c>
      <c r="AU8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7" s="389" t="e">
        <f ca="1">Tableau118[[#This Row],[Leadtime SI2C]]+Tableau118[[#This Row],[First Receipt Days]]-Tableau118[[#This Row],[Day Customer Order]]+1</f>
        <v>#N/A</v>
      </c>
      <c r="AW87" s="117" t="e">
        <f ca="1">IF(Tableau118[[#This Row],[Name ILN]]&lt;&gt;"SFK Freight Forwarder",Tableau118[[#This Row],[Cust. Leadtime]],Tableau118[[#This Row],[Leadtime SI2C]])</f>
        <v>#N/A</v>
      </c>
      <c r="AX87" s="51" t="e">
        <f>VLOOKUP(Tableau118[[#This Row],[ID]],'DATA BTO'!B:P,15,FALSE)</f>
        <v>#N/A</v>
      </c>
      <c r="AY87" s="328" t="e">
        <f ca="1">IFERROR(VLOOKUP(Tableau118[[#This Row],[Key(ID-Actif)]],'DATA BTO'!A:N,4,FALSE),VLOOKUP(Tableau118[[#This Row],[ID]],'DATA BTO'!B:N,3,FALSE))</f>
        <v>#N/A</v>
      </c>
      <c r="AZ8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7" s="50"/>
    </row>
    <row r="88" spans="2:57">
      <c r="B88" s="65" t="str">
        <f>_xlfn.CONCAT(Tableau118[[#This Row],[Name ILN]],"-",Tableau118[[#This Row],[Name Shipper]],"-",Tableau118[[#This Row],[Name Site]])</f>
        <v>--</v>
      </c>
      <c r="C88" s="65" t="e">
        <f ca="1">_xlfn.CONCAT(Tableau118[[#This Row],[Compte ILN]],"-",Tableau118[[#This Row],[Compte Shipper]],"-",Tableau118[[#This Row],[POL]],"-",Tableau118[[#This Row],[Compte Site]])</f>
        <v>#N/A</v>
      </c>
      <c r="D88" s="64" t="e">
        <f ca="1">_xlfn.CONCAT(Tableau118[[#This Row],[Compte ILN]],"-",Tableau118[[#This Row],[Compte Shipper]],"-",Tableau118[[#This Row],[POL]])</f>
        <v>#N/A</v>
      </c>
      <c r="E88" s="396" t="e">
        <f ca="1">_xlfn.CONCAT(Tableau118[[#This Row],[POL]],"-",Tableau118[[#This Row],[Carrier]],"-",Tableau118[[#This Row],[POD]])</f>
        <v>#N/A</v>
      </c>
      <c r="F88" s="64" t="str">
        <f>_xlfn.CONCAT(Tableau118[[#This Row],[ID]],"-","Next")</f>
        <v>-Next</v>
      </c>
      <c r="G88" s="64" t="e">
        <f ca="1">_xlfn.CONCAT(Tableau118[[#This Row],[POD]],"-",Tableau118[[#This Row],[Code PFI]],"-",Tableau118[[#This Row],[Compte Site]])</f>
        <v>#N/A</v>
      </c>
      <c r="H8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8" s="397" t="str">
        <f ca="1">IF(COUNTIF(I:I,Tableau118[[#This Row],[Plant-ILN-shipper-POL-Carrier-POD-PFI]])=1,"Non","Oui")</f>
        <v>Oui</v>
      </c>
      <c r="K88" s="398" t="e">
        <f>VLOOKUP(Tableau118[[#This Row],[Name Site]],Plant_AILN!A:D,4,FALSE)</f>
        <v>#N/A</v>
      </c>
      <c r="L88" s="285"/>
      <c r="M88" s="480"/>
      <c r="N88" s="55"/>
      <c r="O88" s="114"/>
      <c r="P88" s="481"/>
      <c r="Q88" s="50"/>
      <c r="R88" s="50"/>
      <c r="S88" s="50"/>
      <c r="T88" s="50"/>
      <c r="U88" s="50"/>
      <c r="V88" s="50"/>
      <c r="W88" s="53"/>
      <c r="X88" s="283"/>
      <c r="Y88" s="482">
        <f>IFERROR(VLOOKUP(Tableau118[[#This Row],[Name Shipper]],Plant_AILN!L:M,2,FALSE),0)</f>
        <v>0</v>
      </c>
      <c r="Z88" s="358"/>
      <c r="AA88" s="353" t="e">
        <f ca="1">VLOOKUP(Tableau118[[#This Row],[Key(ID-Actif)]],'DATA BTO'!A:N,5,FALSE)</f>
        <v>#N/A</v>
      </c>
      <c r="AB88" s="3" t="e">
        <f ca="1">VLOOKUP(Tableau118[[#This Row],[Key(ID-Actif)]],'DATA BTO'!A:N,6,FALSE)</f>
        <v>#N/A</v>
      </c>
      <c r="AC88" s="50" t="e">
        <f ca="1">VLOOKUP(Tableau118[[#This Row],[Key(ID-Actif)]],'DATA BTO'!A:N,7,FALSE)</f>
        <v>#N/A</v>
      </c>
      <c r="AD88" s="50" t="e">
        <f ca="1">VLOOKUP(Tableau118[[#This Row],[Key(ID-Actif)]],'DATA BTO'!A:N,8,FALSE)</f>
        <v>#N/A</v>
      </c>
      <c r="AE88" s="50" t="e">
        <f ca="1">IF(Tableau118[[#This Row],[First Day to POL]]&lt;=Tableau118[[#This Row],[Day Cut Off]],Tableau118[[#This Row],[Day ETD]],Tableau118[[#This Row],[Day ETD]]+7)</f>
        <v>#N/A</v>
      </c>
      <c r="AF88" s="50" t="e">
        <f ca="1">VLOOKUP(Tableau118[[#This Row],[Key(ID-Actif)]],'DATA BTO'!A:N,9,FALSE)</f>
        <v>#N/A</v>
      </c>
      <c r="AG88" s="3" t="e">
        <f ca="1">VLOOKUP(Tableau118[[#This Row],[Key(ID-Actif)]],'DATA BTO'!A:N,10,FALSE)</f>
        <v>#N/A</v>
      </c>
      <c r="AH88" s="3" t="e">
        <f ca="1">VLOOKUP(Tableau118[[#This Row],[Key(ID-Actif)]],'DATA BTO'!A:N,11,FALSE)</f>
        <v>#N/A</v>
      </c>
      <c r="AI88" s="50" t="e">
        <f ca="1">VLOOKUP(Tableau118[[#This Row],[Key(ID-Actif)]],'DATA BTO'!A:N,12,FALSE)</f>
        <v>#N/A</v>
      </c>
      <c r="AJ88" s="53" t="e">
        <f ca="1">VLOOKUP(Tableau118[[#This Row],[Key(ID-Actif)]],'DATA BTO'!A:N,14,FALSE)</f>
        <v>#N/A</v>
      </c>
      <c r="AK88" s="54" t="e">
        <f ca="1">VLOOKUP(Tableau118[[#This Row],[Key(POD -PFI- Usine)]],'DATA Consignee'!A:F,6,FALSE)</f>
        <v>#N/A</v>
      </c>
      <c r="AL88" s="125"/>
      <c r="AM88" s="483" t="str">
        <f>IF(Tableau118[[#This Row],[Name PFI/CDD]]="","-",VLOOKUP(Tableau118[[#This Row],[Name PFI/CDD]],Plant_AILN!I:J,2,FALSE))</f>
        <v>-</v>
      </c>
      <c r="AN8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8" s="2" t="e">
        <f ca="1">VLOOKUP(Tableau118[[#This Row],[Key(POD -PFI- Usine)]],'DATA Consignee'!A:J,10,FALSE)</f>
        <v>#N/A</v>
      </c>
      <c r="AQ88" s="50" t="e">
        <f ca="1">VLOOKUP(Tableau118[[#This Row],[Key(POD -PFI- Usine)]],'DATA Consignee'!A:N,14,FALSE)</f>
        <v>#N/A</v>
      </c>
      <c r="AR8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8" s="50" t="e">
        <f ca="1">Tableau118[[#This Row],[Transit time]]+Tableau118[[#This Row],[Time for security]]+Tableau118[[#This Row],[Time for security2 buffer]]</f>
        <v>#N/A</v>
      </c>
      <c r="AU8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8" s="389" t="e">
        <f ca="1">Tableau118[[#This Row],[Leadtime SI2C]]+Tableau118[[#This Row],[First Receipt Days]]-Tableau118[[#This Row],[Day Customer Order]]+1</f>
        <v>#N/A</v>
      </c>
      <c r="AW88" s="117" t="e">
        <f ca="1">IF(Tableau118[[#This Row],[Name ILN]]&lt;&gt;"SFK Freight Forwarder",Tableau118[[#This Row],[Cust. Leadtime]],Tableau118[[#This Row],[Leadtime SI2C]])</f>
        <v>#N/A</v>
      </c>
      <c r="AX88" s="51" t="e">
        <f>VLOOKUP(Tableau118[[#This Row],[ID]],'DATA BTO'!B:P,15,FALSE)</f>
        <v>#N/A</v>
      </c>
      <c r="AY88" s="328" t="e">
        <f ca="1">IFERROR(VLOOKUP(Tableau118[[#This Row],[Key(ID-Actif)]],'DATA BTO'!A:N,4,FALSE),VLOOKUP(Tableau118[[#This Row],[ID]],'DATA BTO'!B:N,3,FALSE))</f>
        <v>#N/A</v>
      </c>
      <c r="AZ8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8" s="50"/>
    </row>
    <row r="89" spans="2:57">
      <c r="B89" s="65" t="str">
        <f>_xlfn.CONCAT(Tableau118[[#This Row],[Name ILN]],"-",Tableau118[[#This Row],[Name Shipper]],"-",Tableau118[[#This Row],[Name Site]])</f>
        <v>--</v>
      </c>
      <c r="C89" s="65" t="e">
        <f ca="1">_xlfn.CONCAT(Tableau118[[#This Row],[Compte ILN]],"-",Tableau118[[#This Row],[Compte Shipper]],"-",Tableau118[[#This Row],[POL]],"-",Tableau118[[#This Row],[Compte Site]])</f>
        <v>#N/A</v>
      </c>
      <c r="D89" s="64" t="e">
        <f ca="1">_xlfn.CONCAT(Tableau118[[#This Row],[Compte ILN]],"-",Tableau118[[#This Row],[Compte Shipper]],"-",Tableau118[[#This Row],[POL]])</f>
        <v>#N/A</v>
      </c>
      <c r="E89" s="396" t="e">
        <f ca="1">_xlfn.CONCAT(Tableau118[[#This Row],[POL]],"-",Tableau118[[#This Row],[Carrier]],"-",Tableau118[[#This Row],[POD]])</f>
        <v>#N/A</v>
      </c>
      <c r="F89" s="64" t="str">
        <f>_xlfn.CONCAT(Tableau118[[#This Row],[ID]],"-","Next")</f>
        <v>-Next</v>
      </c>
      <c r="G89" s="64" t="e">
        <f ca="1">_xlfn.CONCAT(Tableau118[[#This Row],[POD]],"-",Tableau118[[#This Row],[Code PFI]],"-",Tableau118[[#This Row],[Compte Site]])</f>
        <v>#N/A</v>
      </c>
      <c r="H8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8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89" s="397" t="str">
        <f ca="1">IF(COUNTIF(I:I,Tableau118[[#This Row],[Plant-ILN-shipper-POL-Carrier-POD-PFI]])=1,"Non","Oui")</f>
        <v>Oui</v>
      </c>
      <c r="K89" s="398" t="e">
        <f>VLOOKUP(Tableau118[[#This Row],[Name Site]],Plant_AILN!A:D,4,FALSE)</f>
        <v>#N/A</v>
      </c>
      <c r="L89" s="285"/>
      <c r="M89" s="480"/>
      <c r="N89" s="55"/>
      <c r="O89" s="114"/>
      <c r="P89" s="481"/>
      <c r="Q89" s="50"/>
      <c r="R89" s="50"/>
      <c r="S89" s="50"/>
      <c r="T89" s="50"/>
      <c r="U89" s="50"/>
      <c r="V89" s="50"/>
      <c r="W89" s="53"/>
      <c r="X89" s="283"/>
      <c r="Y89" s="482">
        <f>IFERROR(VLOOKUP(Tableau118[[#This Row],[Name Shipper]],Plant_AILN!L:M,2,FALSE),0)</f>
        <v>0</v>
      </c>
      <c r="Z89" s="358"/>
      <c r="AA89" s="353" t="e">
        <f ca="1">VLOOKUP(Tableau118[[#This Row],[Key(ID-Actif)]],'DATA BTO'!A:N,5,FALSE)</f>
        <v>#N/A</v>
      </c>
      <c r="AB89" s="3" t="e">
        <f ca="1">VLOOKUP(Tableau118[[#This Row],[Key(ID-Actif)]],'DATA BTO'!A:N,6,FALSE)</f>
        <v>#N/A</v>
      </c>
      <c r="AC89" s="50" t="e">
        <f ca="1">VLOOKUP(Tableau118[[#This Row],[Key(ID-Actif)]],'DATA BTO'!A:N,7,FALSE)</f>
        <v>#N/A</v>
      </c>
      <c r="AD89" s="50" t="e">
        <f ca="1">VLOOKUP(Tableau118[[#This Row],[Key(ID-Actif)]],'DATA BTO'!A:N,8,FALSE)</f>
        <v>#N/A</v>
      </c>
      <c r="AE89" s="50" t="e">
        <f ca="1">IF(Tableau118[[#This Row],[First Day to POL]]&lt;=Tableau118[[#This Row],[Day Cut Off]],Tableau118[[#This Row],[Day ETD]],Tableau118[[#This Row],[Day ETD]]+7)</f>
        <v>#N/A</v>
      </c>
      <c r="AF89" s="50" t="e">
        <f ca="1">VLOOKUP(Tableau118[[#This Row],[Key(ID-Actif)]],'DATA BTO'!A:N,9,FALSE)</f>
        <v>#N/A</v>
      </c>
      <c r="AG89" s="3" t="e">
        <f ca="1">VLOOKUP(Tableau118[[#This Row],[Key(ID-Actif)]],'DATA BTO'!A:N,10,FALSE)</f>
        <v>#N/A</v>
      </c>
      <c r="AH89" s="3" t="e">
        <f ca="1">VLOOKUP(Tableau118[[#This Row],[Key(ID-Actif)]],'DATA BTO'!A:N,11,FALSE)</f>
        <v>#N/A</v>
      </c>
      <c r="AI89" s="50" t="e">
        <f ca="1">VLOOKUP(Tableau118[[#This Row],[Key(ID-Actif)]],'DATA BTO'!A:N,12,FALSE)</f>
        <v>#N/A</v>
      </c>
      <c r="AJ89" s="53" t="e">
        <f ca="1">VLOOKUP(Tableau118[[#This Row],[Key(ID-Actif)]],'DATA BTO'!A:N,14,FALSE)</f>
        <v>#N/A</v>
      </c>
      <c r="AK89" s="54" t="e">
        <f ca="1">VLOOKUP(Tableau118[[#This Row],[Key(POD -PFI- Usine)]],'DATA Consignee'!A:F,6,FALSE)</f>
        <v>#N/A</v>
      </c>
      <c r="AL89" s="125"/>
      <c r="AM89" s="483" t="str">
        <f>IF(Tableau118[[#This Row],[Name PFI/CDD]]="","-",VLOOKUP(Tableau118[[#This Row],[Name PFI/CDD]],Plant_AILN!I:J,2,FALSE))</f>
        <v>-</v>
      </c>
      <c r="AN8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8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89" s="2" t="e">
        <f ca="1">VLOOKUP(Tableau118[[#This Row],[Key(POD -PFI- Usine)]],'DATA Consignee'!A:J,10,FALSE)</f>
        <v>#N/A</v>
      </c>
      <c r="AQ89" s="50" t="e">
        <f ca="1">VLOOKUP(Tableau118[[#This Row],[Key(POD -PFI- Usine)]],'DATA Consignee'!A:N,14,FALSE)</f>
        <v>#N/A</v>
      </c>
      <c r="AR8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8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89" s="50" t="e">
        <f ca="1">Tableau118[[#This Row],[Transit time]]+Tableau118[[#This Row],[Time for security]]+Tableau118[[#This Row],[Time for security2 buffer]]</f>
        <v>#N/A</v>
      </c>
      <c r="AU8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89" s="389" t="e">
        <f ca="1">Tableau118[[#This Row],[Leadtime SI2C]]+Tableau118[[#This Row],[First Receipt Days]]-Tableau118[[#This Row],[Day Customer Order]]+1</f>
        <v>#N/A</v>
      </c>
      <c r="AW89" s="117" t="e">
        <f ca="1">IF(Tableau118[[#This Row],[Name ILN]]&lt;&gt;"SFK Freight Forwarder",Tableau118[[#This Row],[Cust. Leadtime]],Tableau118[[#This Row],[Leadtime SI2C]])</f>
        <v>#N/A</v>
      </c>
      <c r="AX89" s="51" t="e">
        <f>VLOOKUP(Tableau118[[#This Row],[ID]],'DATA BTO'!B:P,15,FALSE)</f>
        <v>#N/A</v>
      </c>
      <c r="AY89" s="328" t="e">
        <f ca="1">IFERROR(VLOOKUP(Tableau118[[#This Row],[Key(ID-Actif)]],'DATA BTO'!A:N,4,FALSE),VLOOKUP(Tableau118[[#This Row],[ID]],'DATA BTO'!B:N,3,FALSE))</f>
        <v>#N/A</v>
      </c>
      <c r="AZ8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8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8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8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8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89" s="50"/>
    </row>
    <row r="90" spans="2:57">
      <c r="B90" s="65" t="str">
        <f>_xlfn.CONCAT(Tableau118[[#This Row],[Name ILN]],"-",Tableau118[[#This Row],[Name Shipper]],"-",Tableau118[[#This Row],[Name Site]])</f>
        <v>--</v>
      </c>
      <c r="C90" s="65" t="e">
        <f ca="1">_xlfn.CONCAT(Tableau118[[#This Row],[Compte ILN]],"-",Tableau118[[#This Row],[Compte Shipper]],"-",Tableau118[[#This Row],[POL]],"-",Tableau118[[#This Row],[Compte Site]])</f>
        <v>#N/A</v>
      </c>
      <c r="D90" s="64" t="e">
        <f ca="1">_xlfn.CONCAT(Tableau118[[#This Row],[Compte ILN]],"-",Tableau118[[#This Row],[Compte Shipper]],"-",Tableau118[[#This Row],[POL]])</f>
        <v>#N/A</v>
      </c>
      <c r="E90" s="396" t="e">
        <f ca="1">_xlfn.CONCAT(Tableau118[[#This Row],[POL]],"-",Tableau118[[#This Row],[Carrier]],"-",Tableau118[[#This Row],[POD]])</f>
        <v>#N/A</v>
      </c>
      <c r="F90" s="64" t="str">
        <f>_xlfn.CONCAT(Tableau118[[#This Row],[ID]],"-","Next")</f>
        <v>-Next</v>
      </c>
      <c r="G90" s="64" t="e">
        <f ca="1">_xlfn.CONCAT(Tableau118[[#This Row],[POD]],"-",Tableau118[[#This Row],[Code PFI]],"-",Tableau118[[#This Row],[Compte Site]])</f>
        <v>#N/A</v>
      </c>
      <c r="H9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0" s="397" t="str">
        <f ca="1">IF(COUNTIF(I:I,Tableau118[[#This Row],[Plant-ILN-shipper-POL-Carrier-POD-PFI]])=1,"Non","Oui")</f>
        <v>Oui</v>
      </c>
      <c r="K90" s="398" t="e">
        <f>VLOOKUP(Tableau118[[#This Row],[Name Site]],Plant_AILN!A:D,4,FALSE)</f>
        <v>#N/A</v>
      </c>
      <c r="L90" s="285"/>
      <c r="M90" s="480"/>
      <c r="N90" s="55"/>
      <c r="O90" s="114"/>
      <c r="P90" s="481"/>
      <c r="Q90" s="50"/>
      <c r="R90" s="50"/>
      <c r="S90" s="50"/>
      <c r="T90" s="50"/>
      <c r="U90" s="50"/>
      <c r="V90" s="50"/>
      <c r="W90" s="53"/>
      <c r="X90" s="283"/>
      <c r="Y90" s="482">
        <f>IFERROR(VLOOKUP(Tableau118[[#This Row],[Name Shipper]],Plant_AILN!L:M,2,FALSE),0)</f>
        <v>0</v>
      </c>
      <c r="Z90" s="358"/>
      <c r="AA90" s="353" t="e">
        <f ca="1">VLOOKUP(Tableau118[[#This Row],[Key(ID-Actif)]],'DATA BTO'!A:N,5,FALSE)</f>
        <v>#N/A</v>
      </c>
      <c r="AB90" s="3" t="e">
        <f ca="1">VLOOKUP(Tableau118[[#This Row],[Key(ID-Actif)]],'DATA BTO'!A:N,6,FALSE)</f>
        <v>#N/A</v>
      </c>
      <c r="AC90" s="50" t="e">
        <f ca="1">VLOOKUP(Tableau118[[#This Row],[Key(ID-Actif)]],'DATA BTO'!A:N,7,FALSE)</f>
        <v>#N/A</v>
      </c>
      <c r="AD90" s="50" t="e">
        <f ca="1">VLOOKUP(Tableau118[[#This Row],[Key(ID-Actif)]],'DATA BTO'!A:N,8,FALSE)</f>
        <v>#N/A</v>
      </c>
      <c r="AE90" s="50" t="e">
        <f ca="1">IF(Tableau118[[#This Row],[First Day to POL]]&lt;=Tableau118[[#This Row],[Day Cut Off]],Tableau118[[#This Row],[Day ETD]],Tableau118[[#This Row],[Day ETD]]+7)</f>
        <v>#N/A</v>
      </c>
      <c r="AF90" s="50" t="e">
        <f ca="1">VLOOKUP(Tableau118[[#This Row],[Key(ID-Actif)]],'DATA BTO'!A:N,9,FALSE)</f>
        <v>#N/A</v>
      </c>
      <c r="AG90" s="3" t="e">
        <f ca="1">VLOOKUP(Tableau118[[#This Row],[Key(ID-Actif)]],'DATA BTO'!A:N,10,FALSE)</f>
        <v>#N/A</v>
      </c>
      <c r="AH90" s="3" t="e">
        <f ca="1">VLOOKUP(Tableau118[[#This Row],[Key(ID-Actif)]],'DATA BTO'!A:N,11,FALSE)</f>
        <v>#N/A</v>
      </c>
      <c r="AI90" s="50" t="e">
        <f ca="1">VLOOKUP(Tableau118[[#This Row],[Key(ID-Actif)]],'DATA BTO'!A:N,12,FALSE)</f>
        <v>#N/A</v>
      </c>
      <c r="AJ90" s="53" t="e">
        <f ca="1">VLOOKUP(Tableau118[[#This Row],[Key(ID-Actif)]],'DATA BTO'!A:N,14,FALSE)</f>
        <v>#N/A</v>
      </c>
      <c r="AK90" s="54" t="e">
        <f ca="1">VLOOKUP(Tableau118[[#This Row],[Key(POD -PFI- Usine)]],'DATA Consignee'!A:F,6,FALSE)</f>
        <v>#N/A</v>
      </c>
      <c r="AL90" s="125"/>
      <c r="AM90" s="483" t="str">
        <f>IF(Tableau118[[#This Row],[Name PFI/CDD]]="","-",VLOOKUP(Tableau118[[#This Row],[Name PFI/CDD]],Plant_AILN!I:J,2,FALSE))</f>
        <v>-</v>
      </c>
      <c r="AN9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0" s="2" t="e">
        <f ca="1">VLOOKUP(Tableau118[[#This Row],[Key(POD -PFI- Usine)]],'DATA Consignee'!A:J,10,FALSE)</f>
        <v>#N/A</v>
      </c>
      <c r="AQ90" s="50" t="e">
        <f ca="1">VLOOKUP(Tableau118[[#This Row],[Key(POD -PFI- Usine)]],'DATA Consignee'!A:N,14,FALSE)</f>
        <v>#N/A</v>
      </c>
      <c r="AR9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0" s="50" t="e">
        <f ca="1">Tableau118[[#This Row],[Transit time]]+Tableau118[[#This Row],[Time for security]]+Tableau118[[#This Row],[Time for security2 buffer]]</f>
        <v>#N/A</v>
      </c>
      <c r="AU9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0" s="389" t="e">
        <f ca="1">Tableau118[[#This Row],[Leadtime SI2C]]+Tableau118[[#This Row],[First Receipt Days]]-Tableau118[[#This Row],[Day Customer Order]]+1</f>
        <v>#N/A</v>
      </c>
      <c r="AW90" s="117" t="e">
        <f ca="1">IF(Tableau118[[#This Row],[Name ILN]]&lt;&gt;"SFK Freight Forwarder",Tableau118[[#This Row],[Cust. Leadtime]],Tableau118[[#This Row],[Leadtime SI2C]])</f>
        <v>#N/A</v>
      </c>
      <c r="AX90" s="51" t="e">
        <f>VLOOKUP(Tableau118[[#This Row],[ID]],'DATA BTO'!B:P,15,FALSE)</f>
        <v>#N/A</v>
      </c>
      <c r="AY90" s="328" t="e">
        <f ca="1">IFERROR(VLOOKUP(Tableau118[[#This Row],[Key(ID-Actif)]],'DATA BTO'!A:N,4,FALSE),VLOOKUP(Tableau118[[#This Row],[ID]],'DATA BTO'!B:N,3,FALSE))</f>
        <v>#N/A</v>
      </c>
      <c r="AZ9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0" s="50"/>
    </row>
    <row r="91" spans="2:57">
      <c r="B91" s="65" t="str">
        <f>_xlfn.CONCAT(Tableau118[[#This Row],[Name ILN]],"-",Tableau118[[#This Row],[Name Shipper]],"-",Tableau118[[#This Row],[Name Site]])</f>
        <v>--</v>
      </c>
      <c r="C91" s="65" t="e">
        <f ca="1">_xlfn.CONCAT(Tableau118[[#This Row],[Compte ILN]],"-",Tableau118[[#This Row],[Compte Shipper]],"-",Tableau118[[#This Row],[POL]],"-",Tableau118[[#This Row],[Compte Site]])</f>
        <v>#N/A</v>
      </c>
      <c r="D91" s="64" t="e">
        <f ca="1">_xlfn.CONCAT(Tableau118[[#This Row],[Compte ILN]],"-",Tableau118[[#This Row],[Compte Shipper]],"-",Tableau118[[#This Row],[POL]])</f>
        <v>#N/A</v>
      </c>
      <c r="E91" s="396" t="e">
        <f ca="1">_xlfn.CONCAT(Tableau118[[#This Row],[POL]],"-",Tableau118[[#This Row],[Carrier]],"-",Tableau118[[#This Row],[POD]])</f>
        <v>#N/A</v>
      </c>
      <c r="F91" s="64" t="str">
        <f>_xlfn.CONCAT(Tableau118[[#This Row],[ID]],"-","Next")</f>
        <v>-Next</v>
      </c>
      <c r="G91" s="64" t="e">
        <f ca="1">_xlfn.CONCAT(Tableau118[[#This Row],[POD]],"-",Tableau118[[#This Row],[Code PFI]],"-",Tableau118[[#This Row],[Compte Site]])</f>
        <v>#N/A</v>
      </c>
      <c r="H9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1" s="397" t="str">
        <f ca="1">IF(COUNTIF(I:I,Tableau118[[#This Row],[Plant-ILN-shipper-POL-Carrier-POD-PFI]])=1,"Non","Oui")</f>
        <v>Oui</v>
      </c>
      <c r="K91" s="398" t="e">
        <f>VLOOKUP(Tableau118[[#This Row],[Name Site]],Plant_AILN!A:D,4,FALSE)</f>
        <v>#N/A</v>
      </c>
      <c r="L91" s="285"/>
      <c r="M91" s="480"/>
      <c r="N91" s="55"/>
      <c r="O91" s="114"/>
      <c r="P91" s="481"/>
      <c r="Q91" s="50"/>
      <c r="R91" s="50"/>
      <c r="S91" s="50"/>
      <c r="T91" s="50"/>
      <c r="U91" s="50"/>
      <c r="V91" s="50"/>
      <c r="W91" s="53"/>
      <c r="X91" s="283"/>
      <c r="Y91" s="482">
        <f>IFERROR(VLOOKUP(Tableau118[[#This Row],[Name Shipper]],Plant_AILN!L:M,2,FALSE),0)</f>
        <v>0</v>
      </c>
      <c r="Z91" s="358"/>
      <c r="AA91" s="353" t="e">
        <f ca="1">VLOOKUP(Tableau118[[#This Row],[Key(ID-Actif)]],'DATA BTO'!A:N,5,FALSE)</f>
        <v>#N/A</v>
      </c>
      <c r="AB91" s="3" t="e">
        <f ca="1">VLOOKUP(Tableau118[[#This Row],[Key(ID-Actif)]],'DATA BTO'!A:N,6,FALSE)</f>
        <v>#N/A</v>
      </c>
      <c r="AC91" s="50" t="e">
        <f ca="1">VLOOKUP(Tableau118[[#This Row],[Key(ID-Actif)]],'DATA BTO'!A:N,7,FALSE)</f>
        <v>#N/A</v>
      </c>
      <c r="AD91" s="50" t="e">
        <f ca="1">VLOOKUP(Tableau118[[#This Row],[Key(ID-Actif)]],'DATA BTO'!A:N,8,FALSE)</f>
        <v>#N/A</v>
      </c>
      <c r="AE91" s="50" t="e">
        <f ca="1">IF(Tableau118[[#This Row],[First Day to POL]]&lt;=Tableau118[[#This Row],[Day Cut Off]],Tableau118[[#This Row],[Day ETD]],Tableau118[[#This Row],[Day ETD]]+7)</f>
        <v>#N/A</v>
      </c>
      <c r="AF91" s="50" t="e">
        <f ca="1">VLOOKUP(Tableau118[[#This Row],[Key(ID-Actif)]],'DATA BTO'!A:N,9,FALSE)</f>
        <v>#N/A</v>
      </c>
      <c r="AG91" s="3" t="e">
        <f ca="1">VLOOKUP(Tableau118[[#This Row],[Key(ID-Actif)]],'DATA BTO'!A:N,10,FALSE)</f>
        <v>#N/A</v>
      </c>
      <c r="AH91" s="3" t="e">
        <f ca="1">VLOOKUP(Tableau118[[#This Row],[Key(ID-Actif)]],'DATA BTO'!A:N,11,FALSE)</f>
        <v>#N/A</v>
      </c>
      <c r="AI91" s="50" t="e">
        <f ca="1">VLOOKUP(Tableau118[[#This Row],[Key(ID-Actif)]],'DATA BTO'!A:N,12,FALSE)</f>
        <v>#N/A</v>
      </c>
      <c r="AJ91" s="53" t="e">
        <f ca="1">VLOOKUP(Tableau118[[#This Row],[Key(ID-Actif)]],'DATA BTO'!A:N,14,FALSE)</f>
        <v>#N/A</v>
      </c>
      <c r="AK91" s="54" t="e">
        <f ca="1">VLOOKUP(Tableau118[[#This Row],[Key(POD -PFI- Usine)]],'DATA Consignee'!A:F,6,FALSE)</f>
        <v>#N/A</v>
      </c>
      <c r="AL91" s="125" t="s">
        <v>158</v>
      </c>
      <c r="AM91" s="483">
        <f>IF(Tableau118[[#This Row],[Name PFI/CDD]]="","-",VLOOKUP(Tableau118[[#This Row],[Name PFI/CDD]],Plant_AILN!I:J,2,FALSE))</f>
        <v>2839004</v>
      </c>
      <c r="AN9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1" s="2" t="e">
        <f ca="1">VLOOKUP(Tableau118[[#This Row],[Key(POD -PFI- Usine)]],'DATA Consignee'!A:J,10,FALSE)</f>
        <v>#N/A</v>
      </c>
      <c r="AQ91" s="50" t="e">
        <f ca="1">VLOOKUP(Tableau118[[#This Row],[Key(POD -PFI- Usine)]],'DATA Consignee'!A:N,14,FALSE)</f>
        <v>#N/A</v>
      </c>
      <c r="AR9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1" s="50" t="e">
        <f ca="1">Tableau118[[#This Row],[Transit time]]+Tableau118[[#This Row],[Time for security]]+Tableau118[[#This Row],[Time for security2 buffer]]</f>
        <v>#N/A</v>
      </c>
      <c r="AU9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1" s="389" t="e">
        <f ca="1">Tableau118[[#This Row],[Leadtime SI2C]]+Tableau118[[#This Row],[First Receipt Days]]-Tableau118[[#This Row],[Day Customer Order]]+1</f>
        <v>#N/A</v>
      </c>
      <c r="AW91" s="117" t="e">
        <f ca="1">IF(Tableau118[[#This Row],[Name ILN]]&lt;&gt;"SFK Freight Forwarder",Tableau118[[#This Row],[Cust. Leadtime]],Tableau118[[#This Row],[Leadtime SI2C]])</f>
        <v>#N/A</v>
      </c>
      <c r="AX91" s="51" t="e">
        <f>VLOOKUP(Tableau118[[#This Row],[ID]],'DATA BTO'!B:P,15,FALSE)</f>
        <v>#N/A</v>
      </c>
      <c r="AY91" s="328" t="e">
        <f ca="1">IFERROR(VLOOKUP(Tableau118[[#This Row],[Key(ID-Actif)]],'DATA BTO'!A:N,4,FALSE),VLOOKUP(Tableau118[[#This Row],[ID]],'DATA BTO'!B:N,3,FALSE))</f>
        <v>#N/A</v>
      </c>
      <c r="AZ9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1" s="50"/>
    </row>
    <row r="92" spans="2:57">
      <c r="B92" s="65" t="str">
        <f>_xlfn.CONCAT(Tableau118[[#This Row],[Name ILN]],"-",Tableau118[[#This Row],[Name Shipper]],"-",Tableau118[[#This Row],[Name Site]])</f>
        <v>--</v>
      </c>
      <c r="C92" s="65" t="e">
        <f ca="1">_xlfn.CONCAT(Tableau118[[#This Row],[Compte ILN]],"-",Tableau118[[#This Row],[Compte Shipper]],"-",Tableau118[[#This Row],[POL]],"-",Tableau118[[#This Row],[Compte Site]])</f>
        <v>#N/A</v>
      </c>
      <c r="D92" s="64" t="e">
        <f ca="1">_xlfn.CONCAT(Tableau118[[#This Row],[Compte ILN]],"-",Tableau118[[#This Row],[Compte Shipper]],"-",Tableau118[[#This Row],[POL]])</f>
        <v>#N/A</v>
      </c>
      <c r="E92" s="396" t="e">
        <f ca="1">_xlfn.CONCAT(Tableau118[[#This Row],[POL]],"-",Tableau118[[#This Row],[Carrier]],"-",Tableau118[[#This Row],[POD]])</f>
        <v>#N/A</v>
      </c>
      <c r="F92" s="64" t="str">
        <f>_xlfn.CONCAT(Tableau118[[#This Row],[ID]],"-","Next")</f>
        <v>-Next</v>
      </c>
      <c r="G92" s="64" t="e">
        <f ca="1">_xlfn.CONCAT(Tableau118[[#This Row],[POD]],"-",Tableau118[[#This Row],[Code PFI]],"-",Tableau118[[#This Row],[Compte Site]])</f>
        <v>#N/A</v>
      </c>
      <c r="H9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2" s="397" t="str">
        <f ca="1">IF(COUNTIF(I:I,Tableau118[[#This Row],[Plant-ILN-shipper-POL-Carrier-POD-PFI]])=1,"Non","Oui")</f>
        <v>Oui</v>
      </c>
      <c r="K92" s="398" t="e">
        <f>VLOOKUP(Tableau118[[#This Row],[Name Site]],Plant_AILN!A:D,4,FALSE)</f>
        <v>#N/A</v>
      </c>
      <c r="L92" s="285"/>
      <c r="M92" s="480"/>
      <c r="N92" s="55"/>
      <c r="O92" s="114"/>
      <c r="P92" s="481"/>
      <c r="Q92" s="50"/>
      <c r="R92" s="50"/>
      <c r="S92" s="50"/>
      <c r="T92" s="50"/>
      <c r="U92" s="50"/>
      <c r="V92" s="50"/>
      <c r="W92" s="53"/>
      <c r="X92" s="283"/>
      <c r="Y92" s="482">
        <f>IFERROR(VLOOKUP(Tableau118[[#This Row],[Name Shipper]],Plant_AILN!L:M,2,FALSE),0)</f>
        <v>0</v>
      </c>
      <c r="Z92" s="358"/>
      <c r="AA92" s="353" t="e">
        <f ca="1">VLOOKUP(Tableau118[[#This Row],[Key(ID-Actif)]],'DATA BTO'!A:N,5,FALSE)</f>
        <v>#N/A</v>
      </c>
      <c r="AB92" s="3" t="e">
        <f ca="1">VLOOKUP(Tableau118[[#This Row],[Key(ID-Actif)]],'DATA BTO'!A:N,6,FALSE)</f>
        <v>#N/A</v>
      </c>
      <c r="AC92" s="50" t="e">
        <f ca="1">VLOOKUP(Tableau118[[#This Row],[Key(ID-Actif)]],'DATA BTO'!A:N,7,FALSE)</f>
        <v>#N/A</v>
      </c>
      <c r="AD92" s="50" t="e">
        <f ca="1">VLOOKUP(Tableau118[[#This Row],[Key(ID-Actif)]],'DATA BTO'!A:N,8,FALSE)</f>
        <v>#N/A</v>
      </c>
      <c r="AE92" s="50" t="e">
        <f ca="1">IF(Tableau118[[#This Row],[First Day to POL]]&lt;=Tableau118[[#This Row],[Day Cut Off]],Tableau118[[#This Row],[Day ETD]],Tableau118[[#This Row],[Day ETD]]+7)</f>
        <v>#N/A</v>
      </c>
      <c r="AF92" s="50" t="e">
        <f ca="1">VLOOKUP(Tableau118[[#This Row],[Key(ID-Actif)]],'DATA BTO'!A:N,9,FALSE)</f>
        <v>#N/A</v>
      </c>
      <c r="AG92" s="3" t="e">
        <f ca="1">VLOOKUP(Tableau118[[#This Row],[Key(ID-Actif)]],'DATA BTO'!A:N,10,FALSE)</f>
        <v>#N/A</v>
      </c>
      <c r="AH92" s="3" t="e">
        <f ca="1">VLOOKUP(Tableau118[[#This Row],[Key(ID-Actif)]],'DATA BTO'!A:N,11,FALSE)</f>
        <v>#N/A</v>
      </c>
      <c r="AI92" s="50" t="e">
        <f ca="1">VLOOKUP(Tableau118[[#This Row],[Key(ID-Actif)]],'DATA BTO'!A:N,12,FALSE)</f>
        <v>#N/A</v>
      </c>
      <c r="AJ92" s="53" t="e">
        <f ca="1">VLOOKUP(Tableau118[[#This Row],[Key(ID-Actif)]],'DATA BTO'!A:N,14,FALSE)</f>
        <v>#N/A</v>
      </c>
      <c r="AK92" s="54" t="e">
        <f ca="1">VLOOKUP(Tableau118[[#This Row],[Key(POD -PFI- Usine)]],'DATA Consignee'!A:F,6,FALSE)</f>
        <v>#N/A</v>
      </c>
      <c r="AL92" s="125"/>
      <c r="AM92" s="483" t="str">
        <f>IF(Tableau118[[#This Row],[Name PFI/CDD]]="","-",VLOOKUP(Tableau118[[#This Row],[Name PFI/CDD]],Plant_AILN!I:J,2,FALSE))</f>
        <v>-</v>
      </c>
      <c r="AN9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2" s="2" t="e">
        <f ca="1">VLOOKUP(Tableau118[[#This Row],[Key(POD -PFI- Usine)]],'DATA Consignee'!A:J,10,FALSE)</f>
        <v>#N/A</v>
      </c>
      <c r="AQ92" s="50" t="e">
        <f ca="1">VLOOKUP(Tableau118[[#This Row],[Key(POD -PFI- Usine)]],'DATA Consignee'!A:N,14,FALSE)</f>
        <v>#N/A</v>
      </c>
      <c r="AR9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2" s="50" t="e">
        <f ca="1">Tableau118[[#This Row],[Transit time]]+Tableau118[[#This Row],[Time for security]]+Tableau118[[#This Row],[Time for security2 buffer]]</f>
        <v>#N/A</v>
      </c>
      <c r="AU9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2" s="389" t="e">
        <f ca="1">Tableau118[[#This Row],[Leadtime SI2C]]+Tableau118[[#This Row],[First Receipt Days]]-Tableau118[[#This Row],[Day Customer Order]]+1</f>
        <v>#N/A</v>
      </c>
      <c r="AW92" s="117" t="e">
        <f ca="1">IF(Tableau118[[#This Row],[Name ILN]]&lt;&gt;"SFK Freight Forwarder",Tableau118[[#This Row],[Cust. Leadtime]],Tableau118[[#This Row],[Leadtime SI2C]])</f>
        <v>#N/A</v>
      </c>
      <c r="AX92" s="51" t="e">
        <f>VLOOKUP(Tableau118[[#This Row],[ID]],'DATA BTO'!B:P,15,FALSE)</f>
        <v>#N/A</v>
      </c>
      <c r="AY92" s="328" t="e">
        <f ca="1">IFERROR(VLOOKUP(Tableau118[[#This Row],[Key(ID-Actif)]],'DATA BTO'!A:N,4,FALSE),VLOOKUP(Tableau118[[#This Row],[ID]],'DATA BTO'!B:N,3,FALSE))</f>
        <v>#N/A</v>
      </c>
      <c r="AZ9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2" s="50"/>
    </row>
    <row r="93" spans="2:57">
      <c r="B93" s="65" t="str">
        <f>_xlfn.CONCAT(Tableau118[[#This Row],[Name ILN]],"-",Tableau118[[#This Row],[Name Shipper]],"-",Tableau118[[#This Row],[Name Site]])</f>
        <v>--</v>
      </c>
      <c r="C93" s="65" t="e">
        <f ca="1">_xlfn.CONCAT(Tableau118[[#This Row],[Compte ILN]],"-",Tableau118[[#This Row],[Compte Shipper]],"-",Tableau118[[#This Row],[POL]],"-",Tableau118[[#This Row],[Compte Site]])</f>
        <v>#N/A</v>
      </c>
      <c r="D93" s="64" t="e">
        <f ca="1">_xlfn.CONCAT(Tableau118[[#This Row],[Compte ILN]],"-",Tableau118[[#This Row],[Compte Shipper]],"-",Tableau118[[#This Row],[POL]])</f>
        <v>#N/A</v>
      </c>
      <c r="E93" s="396" t="e">
        <f ca="1">_xlfn.CONCAT(Tableau118[[#This Row],[POL]],"-",Tableau118[[#This Row],[Carrier]],"-",Tableau118[[#This Row],[POD]])</f>
        <v>#N/A</v>
      </c>
      <c r="F93" s="64" t="str">
        <f>_xlfn.CONCAT(Tableau118[[#This Row],[ID]],"-","Next")</f>
        <v>-Next</v>
      </c>
      <c r="G93" s="64" t="e">
        <f ca="1">_xlfn.CONCAT(Tableau118[[#This Row],[POD]],"-",Tableau118[[#This Row],[Code PFI]],"-",Tableau118[[#This Row],[Compte Site]])</f>
        <v>#N/A</v>
      </c>
      <c r="H9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3" s="397" t="str">
        <f ca="1">IF(COUNTIF(I:I,Tableau118[[#This Row],[Plant-ILN-shipper-POL-Carrier-POD-PFI]])=1,"Non","Oui")</f>
        <v>Oui</v>
      </c>
      <c r="K93" s="398" t="e">
        <f>VLOOKUP(Tableau118[[#This Row],[Name Site]],Plant_AILN!A:D,4,FALSE)</f>
        <v>#N/A</v>
      </c>
      <c r="L93" s="285"/>
      <c r="M93" s="480"/>
      <c r="N93" s="55"/>
      <c r="O93" s="114"/>
      <c r="P93" s="481"/>
      <c r="Q93" s="50"/>
      <c r="R93" s="50"/>
      <c r="S93" s="50"/>
      <c r="T93" s="50"/>
      <c r="U93" s="50"/>
      <c r="V93" s="50"/>
      <c r="W93" s="53"/>
      <c r="X93" s="283"/>
      <c r="Y93" s="482">
        <f>IFERROR(VLOOKUP(Tableau118[[#This Row],[Name Shipper]],Plant_AILN!L:M,2,FALSE),0)</f>
        <v>0</v>
      </c>
      <c r="Z93" s="358"/>
      <c r="AA93" s="353" t="e">
        <f ca="1">VLOOKUP(Tableau118[[#This Row],[Key(ID-Actif)]],'DATA BTO'!A:N,5,FALSE)</f>
        <v>#N/A</v>
      </c>
      <c r="AB93" s="3" t="e">
        <f ca="1">VLOOKUP(Tableau118[[#This Row],[Key(ID-Actif)]],'DATA BTO'!A:N,6,FALSE)</f>
        <v>#N/A</v>
      </c>
      <c r="AC93" s="50" t="e">
        <f ca="1">VLOOKUP(Tableau118[[#This Row],[Key(ID-Actif)]],'DATA BTO'!A:N,7,FALSE)</f>
        <v>#N/A</v>
      </c>
      <c r="AD93" s="50" t="e">
        <f ca="1">VLOOKUP(Tableau118[[#This Row],[Key(ID-Actif)]],'DATA BTO'!A:N,8,FALSE)</f>
        <v>#N/A</v>
      </c>
      <c r="AE93" s="50" t="e">
        <f ca="1">IF(Tableau118[[#This Row],[First Day to POL]]&lt;=Tableau118[[#This Row],[Day Cut Off]],Tableau118[[#This Row],[Day ETD]],Tableau118[[#This Row],[Day ETD]]+7)</f>
        <v>#N/A</v>
      </c>
      <c r="AF93" s="50" t="e">
        <f ca="1">VLOOKUP(Tableau118[[#This Row],[Key(ID-Actif)]],'DATA BTO'!A:N,9,FALSE)</f>
        <v>#N/A</v>
      </c>
      <c r="AG93" s="3" t="e">
        <f ca="1">VLOOKUP(Tableau118[[#This Row],[Key(ID-Actif)]],'DATA BTO'!A:N,10,FALSE)</f>
        <v>#N/A</v>
      </c>
      <c r="AH93" s="3" t="e">
        <f ca="1">VLOOKUP(Tableau118[[#This Row],[Key(ID-Actif)]],'DATA BTO'!A:N,11,FALSE)</f>
        <v>#N/A</v>
      </c>
      <c r="AI93" s="50" t="e">
        <f ca="1">VLOOKUP(Tableau118[[#This Row],[Key(ID-Actif)]],'DATA BTO'!A:N,12,FALSE)</f>
        <v>#N/A</v>
      </c>
      <c r="AJ93" s="53" t="e">
        <f ca="1">VLOOKUP(Tableau118[[#This Row],[Key(ID-Actif)]],'DATA BTO'!A:N,14,FALSE)</f>
        <v>#N/A</v>
      </c>
      <c r="AK93" s="54" t="e">
        <f ca="1">VLOOKUP(Tableau118[[#This Row],[Key(POD -PFI- Usine)]],'DATA Consignee'!A:F,6,FALSE)</f>
        <v>#N/A</v>
      </c>
      <c r="AL93" s="125"/>
      <c r="AM93" s="483" t="str">
        <f>IF(Tableau118[[#This Row],[Name PFI/CDD]]="","-",VLOOKUP(Tableau118[[#This Row],[Name PFI/CDD]],Plant_AILN!I:J,2,FALSE))</f>
        <v>-</v>
      </c>
      <c r="AN9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3" s="2" t="e">
        <f ca="1">VLOOKUP(Tableau118[[#This Row],[Key(POD -PFI- Usine)]],'DATA Consignee'!A:J,10,FALSE)</f>
        <v>#N/A</v>
      </c>
      <c r="AQ93" s="50" t="e">
        <f ca="1">VLOOKUP(Tableau118[[#This Row],[Key(POD -PFI- Usine)]],'DATA Consignee'!A:N,14,FALSE)</f>
        <v>#N/A</v>
      </c>
      <c r="AR9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3" s="50" t="e">
        <f ca="1">Tableau118[[#This Row],[Transit time]]+Tableau118[[#This Row],[Time for security]]+Tableau118[[#This Row],[Time for security2 buffer]]</f>
        <v>#N/A</v>
      </c>
      <c r="AU9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3" s="389" t="e">
        <f ca="1">Tableau118[[#This Row],[Leadtime SI2C]]+Tableau118[[#This Row],[First Receipt Days]]-Tableau118[[#This Row],[Day Customer Order]]+1</f>
        <v>#N/A</v>
      </c>
      <c r="AW93" s="117" t="e">
        <f ca="1">IF(Tableau118[[#This Row],[Name ILN]]&lt;&gt;"SFK Freight Forwarder",Tableau118[[#This Row],[Cust. Leadtime]],Tableau118[[#This Row],[Leadtime SI2C]])</f>
        <v>#N/A</v>
      </c>
      <c r="AX93" s="51" t="e">
        <f>VLOOKUP(Tableau118[[#This Row],[ID]],'DATA BTO'!B:P,15,FALSE)</f>
        <v>#N/A</v>
      </c>
      <c r="AY93" s="328" t="e">
        <f ca="1">IFERROR(VLOOKUP(Tableau118[[#This Row],[Key(ID-Actif)]],'DATA BTO'!A:N,4,FALSE),VLOOKUP(Tableau118[[#This Row],[ID]],'DATA BTO'!B:N,3,FALSE))</f>
        <v>#N/A</v>
      </c>
      <c r="AZ9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3" s="50"/>
    </row>
    <row r="94" spans="2:57">
      <c r="B94" s="65" t="str">
        <f>_xlfn.CONCAT(Tableau118[[#This Row],[Name ILN]],"-",Tableau118[[#This Row],[Name Shipper]],"-",Tableau118[[#This Row],[Name Site]])</f>
        <v>--</v>
      </c>
      <c r="C94" s="65" t="e">
        <f ca="1">_xlfn.CONCAT(Tableau118[[#This Row],[Compte ILN]],"-",Tableau118[[#This Row],[Compte Shipper]],"-",Tableau118[[#This Row],[POL]],"-",Tableau118[[#This Row],[Compte Site]])</f>
        <v>#N/A</v>
      </c>
      <c r="D94" s="64" t="e">
        <f ca="1">_xlfn.CONCAT(Tableau118[[#This Row],[Compte ILN]],"-",Tableau118[[#This Row],[Compte Shipper]],"-",Tableau118[[#This Row],[POL]])</f>
        <v>#N/A</v>
      </c>
      <c r="E94" s="396" t="e">
        <f ca="1">_xlfn.CONCAT(Tableau118[[#This Row],[POL]],"-",Tableau118[[#This Row],[Carrier]],"-",Tableau118[[#This Row],[POD]])</f>
        <v>#N/A</v>
      </c>
      <c r="F94" s="64" t="str">
        <f>_xlfn.CONCAT(Tableau118[[#This Row],[ID]],"-","Next")</f>
        <v>-Next</v>
      </c>
      <c r="G94" s="64" t="e">
        <f ca="1">_xlfn.CONCAT(Tableau118[[#This Row],[POD]],"-",Tableau118[[#This Row],[Code PFI]],"-",Tableau118[[#This Row],[Compte Site]])</f>
        <v>#N/A</v>
      </c>
      <c r="H9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4" s="397" t="str">
        <f ca="1">IF(COUNTIF(I:I,Tableau118[[#This Row],[Plant-ILN-shipper-POL-Carrier-POD-PFI]])=1,"Non","Oui")</f>
        <v>Oui</v>
      </c>
      <c r="K94" s="398" t="e">
        <f>VLOOKUP(Tableau118[[#This Row],[Name Site]],Plant_AILN!A:D,4,FALSE)</f>
        <v>#N/A</v>
      </c>
      <c r="L94" s="285"/>
      <c r="M94" s="480"/>
      <c r="N94" s="55"/>
      <c r="O94" s="114"/>
      <c r="P94" s="481"/>
      <c r="Q94" s="50"/>
      <c r="R94" s="50"/>
      <c r="S94" s="50"/>
      <c r="T94" s="50"/>
      <c r="U94" s="50"/>
      <c r="V94" s="50"/>
      <c r="W94" s="53"/>
      <c r="X94" s="283"/>
      <c r="Y94" s="482">
        <f>IFERROR(VLOOKUP(Tableau118[[#This Row],[Name Shipper]],Plant_AILN!L:M,2,FALSE),0)</f>
        <v>0</v>
      </c>
      <c r="Z94" s="358"/>
      <c r="AA94" s="353" t="e">
        <f ca="1">VLOOKUP(Tableau118[[#This Row],[Key(ID-Actif)]],'DATA BTO'!A:N,5,FALSE)</f>
        <v>#N/A</v>
      </c>
      <c r="AB94" s="3" t="e">
        <f ca="1">VLOOKUP(Tableau118[[#This Row],[Key(ID-Actif)]],'DATA BTO'!A:N,6,FALSE)</f>
        <v>#N/A</v>
      </c>
      <c r="AC94" s="50" t="e">
        <f ca="1">VLOOKUP(Tableau118[[#This Row],[Key(ID-Actif)]],'DATA BTO'!A:N,7,FALSE)</f>
        <v>#N/A</v>
      </c>
      <c r="AD94" s="50" t="e">
        <f ca="1">VLOOKUP(Tableau118[[#This Row],[Key(ID-Actif)]],'DATA BTO'!A:N,8,FALSE)</f>
        <v>#N/A</v>
      </c>
      <c r="AE94" s="50" t="e">
        <f ca="1">IF(Tableau118[[#This Row],[First Day to POL]]&lt;=Tableau118[[#This Row],[Day Cut Off]],Tableau118[[#This Row],[Day ETD]],Tableau118[[#This Row],[Day ETD]]+7)</f>
        <v>#N/A</v>
      </c>
      <c r="AF94" s="50" t="e">
        <f ca="1">VLOOKUP(Tableau118[[#This Row],[Key(ID-Actif)]],'DATA BTO'!A:N,9,FALSE)</f>
        <v>#N/A</v>
      </c>
      <c r="AG94" s="3" t="e">
        <f ca="1">VLOOKUP(Tableau118[[#This Row],[Key(ID-Actif)]],'DATA BTO'!A:N,10,FALSE)</f>
        <v>#N/A</v>
      </c>
      <c r="AH94" s="3" t="e">
        <f ca="1">VLOOKUP(Tableau118[[#This Row],[Key(ID-Actif)]],'DATA BTO'!A:N,11,FALSE)</f>
        <v>#N/A</v>
      </c>
      <c r="AI94" s="50" t="e">
        <f ca="1">VLOOKUP(Tableau118[[#This Row],[Key(ID-Actif)]],'DATA BTO'!A:N,12,FALSE)</f>
        <v>#N/A</v>
      </c>
      <c r="AJ94" s="53" t="e">
        <f ca="1">VLOOKUP(Tableau118[[#This Row],[Key(ID-Actif)]],'DATA BTO'!A:N,14,FALSE)</f>
        <v>#N/A</v>
      </c>
      <c r="AK94" s="54" t="e">
        <f ca="1">VLOOKUP(Tableau118[[#This Row],[Key(POD -PFI- Usine)]],'DATA Consignee'!A:F,6,FALSE)</f>
        <v>#N/A</v>
      </c>
      <c r="AL94" s="125"/>
      <c r="AM94" s="483" t="str">
        <f>IF(Tableau118[[#This Row],[Name PFI/CDD]]="","-",VLOOKUP(Tableau118[[#This Row],[Name PFI/CDD]],Plant_AILN!I:J,2,FALSE))</f>
        <v>-</v>
      </c>
      <c r="AN9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4" s="2" t="e">
        <f ca="1">VLOOKUP(Tableau118[[#This Row],[Key(POD -PFI- Usine)]],'DATA Consignee'!A:J,10,FALSE)</f>
        <v>#N/A</v>
      </c>
      <c r="AQ94" s="50" t="e">
        <f ca="1">VLOOKUP(Tableau118[[#This Row],[Key(POD -PFI- Usine)]],'DATA Consignee'!A:N,14,FALSE)</f>
        <v>#N/A</v>
      </c>
      <c r="AR9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4" s="50" t="e">
        <f ca="1">Tableau118[[#This Row],[Transit time]]+Tableau118[[#This Row],[Time for security]]+Tableau118[[#This Row],[Time for security2 buffer]]</f>
        <v>#N/A</v>
      </c>
      <c r="AU9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4" s="389" t="e">
        <f ca="1">Tableau118[[#This Row],[Leadtime SI2C]]+Tableau118[[#This Row],[First Receipt Days]]-Tableau118[[#This Row],[Day Customer Order]]+1</f>
        <v>#N/A</v>
      </c>
      <c r="AW94" s="117" t="e">
        <f ca="1">IF(Tableau118[[#This Row],[Name ILN]]&lt;&gt;"SFK Freight Forwarder",Tableau118[[#This Row],[Cust. Leadtime]],Tableau118[[#This Row],[Leadtime SI2C]])</f>
        <v>#N/A</v>
      </c>
      <c r="AX94" s="51" t="e">
        <f>VLOOKUP(Tableau118[[#This Row],[ID]],'DATA BTO'!B:P,15,FALSE)</f>
        <v>#N/A</v>
      </c>
      <c r="AY94" s="328" t="e">
        <f ca="1">IFERROR(VLOOKUP(Tableau118[[#This Row],[Key(ID-Actif)]],'DATA BTO'!A:N,4,FALSE),VLOOKUP(Tableau118[[#This Row],[ID]],'DATA BTO'!B:N,3,FALSE))</f>
        <v>#N/A</v>
      </c>
      <c r="AZ9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4" s="50"/>
    </row>
    <row r="95" spans="2:57">
      <c r="B95" s="65" t="str">
        <f>_xlfn.CONCAT(Tableau118[[#This Row],[Name ILN]],"-",Tableau118[[#This Row],[Name Shipper]],"-",Tableau118[[#This Row],[Name Site]])</f>
        <v>--</v>
      </c>
      <c r="C95" s="65" t="e">
        <f ca="1">_xlfn.CONCAT(Tableau118[[#This Row],[Compte ILN]],"-",Tableau118[[#This Row],[Compte Shipper]],"-",Tableau118[[#This Row],[POL]],"-",Tableau118[[#This Row],[Compte Site]])</f>
        <v>#N/A</v>
      </c>
      <c r="D95" s="64" t="e">
        <f ca="1">_xlfn.CONCAT(Tableau118[[#This Row],[Compte ILN]],"-",Tableau118[[#This Row],[Compte Shipper]],"-",Tableau118[[#This Row],[POL]])</f>
        <v>#N/A</v>
      </c>
      <c r="E95" s="396" t="e">
        <f ca="1">_xlfn.CONCAT(Tableau118[[#This Row],[POL]],"-",Tableau118[[#This Row],[Carrier]],"-",Tableau118[[#This Row],[POD]])</f>
        <v>#N/A</v>
      </c>
      <c r="F95" s="64" t="str">
        <f>_xlfn.CONCAT(Tableau118[[#This Row],[ID]],"-","Next")</f>
        <v>-Next</v>
      </c>
      <c r="G95" s="64" t="e">
        <f ca="1">_xlfn.CONCAT(Tableau118[[#This Row],[POD]],"-",Tableau118[[#This Row],[Code PFI]],"-",Tableau118[[#This Row],[Compte Site]])</f>
        <v>#N/A</v>
      </c>
      <c r="H9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5" s="397" t="str">
        <f ca="1">IF(COUNTIF(I:I,Tableau118[[#This Row],[Plant-ILN-shipper-POL-Carrier-POD-PFI]])=1,"Non","Oui")</f>
        <v>Oui</v>
      </c>
      <c r="K95" s="398" t="e">
        <f>VLOOKUP(Tableau118[[#This Row],[Name Site]],Plant_AILN!A:D,4,FALSE)</f>
        <v>#N/A</v>
      </c>
      <c r="L95" s="285"/>
      <c r="M95" s="480"/>
      <c r="N95" s="55"/>
      <c r="O95" s="114"/>
      <c r="P95" s="481"/>
      <c r="Q95" s="50"/>
      <c r="R95" s="50"/>
      <c r="S95" s="50"/>
      <c r="T95" s="50"/>
      <c r="U95" s="50"/>
      <c r="V95" s="50"/>
      <c r="W95" s="53"/>
      <c r="X95" s="283"/>
      <c r="Y95" s="482">
        <f>IFERROR(VLOOKUP(Tableau118[[#This Row],[Name Shipper]],Plant_AILN!L:M,2,FALSE),0)</f>
        <v>0</v>
      </c>
      <c r="Z95" s="358"/>
      <c r="AA95" s="353" t="e">
        <f ca="1">VLOOKUP(Tableau118[[#This Row],[Key(ID-Actif)]],'DATA BTO'!A:N,5,FALSE)</f>
        <v>#N/A</v>
      </c>
      <c r="AB95" s="3" t="e">
        <f ca="1">VLOOKUP(Tableau118[[#This Row],[Key(ID-Actif)]],'DATA BTO'!A:N,6,FALSE)</f>
        <v>#N/A</v>
      </c>
      <c r="AC95" s="50" t="e">
        <f ca="1">VLOOKUP(Tableau118[[#This Row],[Key(ID-Actif)]],'DATA BTO'!A:N,7,FALSE)</f>
        <v>#N/A</v>
      </c>
      <c r="AD95" s="50" t="e">
        <f ca="1">VLOOKUP(Tableau118[[#This Row],[Key(ID-Actif)]],'DATA BTO'!A:N,8,FALSE)</f>
        <v>#N/A</v>
      </c>
      <c r="AE95" s="50" t="e">
        <f ca="1">IF(Tableau118[[#This Row],[First Day to POL]]&lt;=Tableau118[[#This Row],[Day Cut Off]],Tableau118[[#This Row],[Day ETD]],Tableau118[[#This Row],[Day ETD]]+7)</f>
        <v>#N/A</v>
      </c>
      <c r="AF95" s="50" t="e">
        <f ca="1">VLOOKUP(Tableau118[[#This Row],[Key(ID-Actif)]],'DATA BTO'!A:N,9,FALSE)</f>
        <v>#N/A</v>
      </c>
      <c r="AG95" s="3" t="e">
        <f ca="1">VLOOKUP(Tableau118[[#This Row],[Key(ID-Actif)]],'DATA BTO'!A:N,10,FALSE)</f>
        <v>#N/A</v>
      </c>
      <c r="AH95" s="3" t="e">
        <f ca="1">VLOOKUP(Tableau118[[#This Row],[Key(ID-Actif)]],'DATA BTO'!A:N,11,FALSE)</f>
        <v>#N/A</v>
      </c>
      <c r="AI95" s="50" t="e">
        <f ca="1">VLOOKUP(Tableau118[[#This Row],[Key(ID-Actif)]],'DATA BTO'!A:N,12,FALSE)</f>
        <v>#N/A</v>
      </c>
      <c r="AJ95" s="53" t="e">
        <f ca="1">VLOOKUP(Tableau118[[#This Row],[Key(ID-Actif)]],'DATA BTO'!A:N,14,FALSE)</f>
        <v>#N/A</v>
      </c>
      <c r="AK95" s="54" t="e">
        <f ca="1">VLOOKUP(Tableau118[[#This Row],[Key(POD -PFI- Usine)]],'DATA Consignee'!A:F,6,FALSE)</f>
        <v>#N/A</v>
      </c>
      <c r="AL95" s="125"/>
      <c r="AM95" s="483" t="str">
        <f>IF(Tableau118[[#This Row],[Name PFI/CDD]]="","-",VLOOKUP(Tableau118[[#This Row],[Name PFI/CDD]],Plant_AILN!I:J,2,FALSE))</f>
        <v>-</v>
      </c>
      <c r="AN9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5" s="2" t="e">
        <f ca="1">VLOOKUP(Tableau118[[#This Row],[Key(POD -PFI- Usine)]],'DATA Consignee'!A:J,10,FALSE)</f>
        <v>#N/A</v>
      </c>
      <c r="AQ95" s="50" t="e">
        <f ca="1">VLOOKUP(Tableau118[[#This Row],[Key(POD -PFI- Usine)]],'DATA Consignee'!A:N,14,FALSE)</f>
        <v>#N/A</v>
      </c>
      <c r="AR9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5" s="50" t="e">
        <f ca="1">Tableau118[[#This Row],[Transit time]]+Tableau118[[#This Row],[Time for security]]+Tableau118[[#This Row],[Time for security2 buffer]]</f>
        <v>#N/A</v>
      </c>
      <c r="AU9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5" s="389" t="e">
        <f ca="1">Tableau118[[#This Row],[Leadtime SI2C]]+Tableau118[[#This Row],[First Receipt Days]]-Tableau118[[#This Row],[Day Customer Order]]+1</f>
        <v>#N/A</v>
      </c>
      <c r="AW95" s="117" t="e">
        <f ca="1">IF(Tableau118[[#This Row],[Name ILN]]&lt;&gt;"SFK Freight Forwarder",Tableau118[[#This Row],[Cust. Leadtime]],Tableau118[[#This Row],[Leadtime SI2C]])</f>
        <v>#N/A</v>
      </c>
      <c r="AX95" s="51" t="e">
        <f>VLOOKUP(Tableau118[[#This Row],[ID]],'DATA BTO'!B:P,15,FALSE)</f>
        <v>#N/A</v>
      </c>
      <c r="AY95" s="328" t="e">
        <f ca="1">IFERROR(VLOOKUP(Tableau118[[#This Row],[Key(ID-Actif)]],'DATA BTO'!A:N,4,FALSE),VLOOKUP(Tableau118[[#This Row],[ID]],'DATA BTO'!B:N,3,FALSE))</f>
        <v>#N/A</v>
      </c>
      <c r="AZ9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5" s="50"/>
    </row>
    <row r="96" spans="2:57">
      <c r="B96" s="65" t="str">
        <f>_xlfn.CONCAT(Tableau118[[#This Row],[Name ILN]],"-",Tableau118[[#This Row],[Name Shipper]],"-",Tableau118[[#This Row],[Name Site]])</f>
        <v>--</v>
      </c>
      <c r="C96" s="65" t="e">
        <f ca="1">_xlfn.CONCAT(Tableau118[[#This Row],[Compte ILN]],"-",Tableau118[[#This Row],[Compte Shipper]],"-",Tableau118[[#This Row],[POL]],"-",Tableau118[[#This Row],[Compte Site]])</f>
        <v>#N/A</v>
      </c>
      <c r="D96" s="64" t="e">
        <f ca="1">_xlfn.CONCAT(Tableau118[[#This Row],[Compte ILN]],"-",Tableau118[[#This Row],[Compte Shipper]],"-",Tableau118[[#This Row],[POL]])</f>
        <v>#N/A</v>
      </c>
      <c r="E96" s="396" t="e">
        <f ca="1">_xlfn.CONCAT(Tableau118[[#This Row],[POL]],"-",Tableau118[[#This Row],[Carrier]],"-",Tableau118[[#This Row],[POD]])</f>
        <v>#N/A</v>
      </c>
      <c r="F96" s="64" t="str">
        <f>_xlfn.CONCAT(Tableau118[[#This Row],[ID]],"-","Next")</f>
        <v>-Next</v>
      </c>
      <c r="G96" s="64" t="e">
        <f ca="1">_xlfn.CONCAT(Tableau118[[#This Row],[POD]],"-",Tableau118[[#This Row],[Code PFI]],"-",Tableau118[[#This Row],[Compte Site]])</f>
        <v>#N/A</v>
      </c>
      <c r="H9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6" s="397" t="str">
        <f ca="1">IF(COUNTIF(I:I,Tableau118[[#This Row],[Plant-ILN-shipper-POL-Carrier-POD-PFI]])=1,"Non","Oui")</f>
        <v>Oui</v>
      </c>
      <c r="K96" s="398" t="e">
        <f>VLOOKUP(Tableau118[[#This Row],[Name Site]],Plant_AILN!A:D,4,FALSE)</f>
        <v>#N/A</v>
      </c>
      <c r="L96" s="285"/>
      <c r="M96" s="480"/>
      <c r="N96" s="55"/>
      <c r="O96" s="114"/>
      <c r="P96" s="481"/>
      <c r="Q96" s="50"/>
      <c r="R96" s="50"/>
      <c r="S96" s="50"/>
      <c r="T96" s="50"/>
      <c r="U96" s="50"/>
      <c r="V96" s="50"/>
      <c r="W96" s="53"/>
      <c r="X96" s="283"/>
      <c r="Y96" s="482">
        <f>IFERROR(VLOOKUP(Tableau118[[#This Row],[Name Shipper]],Plant_AILN!L:M,2,FALSE),0)</f>
        <v>0</v>
      </c>
      <c r="Z96" s="358"/>
      <c r="AA96" s="353" t="e">
        <f ca="1">VLOOKUP(Tableau118[[#This Row],[Key(ID-Actif)]],'DATA BTO'!A:N,5,FALSE)</f>
        <v>#N/A</v>
      </c>
      <c r="AB96" s="3" t="e">
        <f ca="1">VLOOKUP(Tableau118[[#This Row],[Key(ID-Actif)]],'DATA BTO'!A:N,6,FALSE)</f>
        <v>#N/A</v>
      </c>
      <c r="AC96" s="50" t="e">
        <f ca="1">VLOOKUP(Tableau118[[#This Row],[Key(ID-Actif)]],'DATA BTO'!A:N,7,FALSE)</f>
        <v>#N/A</v>
      </c>
      <c r="AD96" s="50" t="e">
        <f ca="1">VLOOKUP(Tableau118[[#This Row],[Key(ID-Actif)]],'DATA BTO'!A:N,8,FALSE)</f>
        <v>#N/A</v>
      </c>
      <c r="AE96" s="50" t="e">
        <f ca="1">IF(Tableau118[[#This Row],[First Day to POL]]&lt;=Tableau118[[#This Row],[Day Cut Off]],Tableau118[[#This Row],[Day ETD]],Tableau118[[#This Row],[Day ETD]]+7)</f>
        <v>#N/A</v>
      </c>
      <c r="AF96" s="50" t="e">
        <f ca="1">VLOOKUP(Tableau118[[#This Row],[Key(ID-Actif)]],'DATA BTO'!A:N,9,FALSE)</f>
        <v>#N/A</v>
      </c>
      <c r="AG96" s="3" t="e">
        <f ca="1">VLOOKUP(Tableau118[[#This Row],[Key(ID-Actif)]],'DATA BTO'!A:N,10,FALSE)</f>
        <v>#N/A</v>
      </c>
      <c r="AH96" s="3" t="e">
        <f ca="1">VLOOKUP(Tableau118[[#This Row],[Key(ID-Actif)]],'DATA BTO'!A:N,11,FALSE)</f>
        <v>#N/A</v>
      </c>
      <c r="AI96" s="50" t="e">
        <f ca="1">VLOOKUP(Tableau118[[#This Row],[Key(ID-Actif)]],'DATA BTO'!A:N,12,FALSE)</f>
        <v>#N/A</v>
      </c>
      <c r="AJ96" s="53" t="e">
        <f ca="1">VLOOKUP(Tableau118[[#This Row],[Key(ID-Actif)]],'DATA BTO'!A:N,14,FALSE)</f>
        <v>#N/A</v>
      </c>
      <c r="AK96" s="54" t="e">
        <f ca="1">VLOOKUP(Tableau118[[#This Row],[Key(POD -PFI- Usine)]],'DATA Consignee'!A:F,6,FALSE)</f>
        <v>#N/A</v>
      </c>
      <c r="AL96" s="125"/>
      <c r="AM96" s="483" t="str">
        <f>IF(Tableau118[[#This Row],[Name PFI/CDD]]="","-",VLOOKUP(Tableau118[[#This Row],[Name PFI/CDD]],Plant_AILN!I:J,2,FALSE))</f>
        <v>-</v>
      </c>
      <c r="AN9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6" s="2" t="e">
        <f ca="1">VLOOKUP(Tableau118[[#This Row],[Key(POD -PFI- Usine)]],'DATA Consignee'!A:J,10,FALSE)</f>
        <v>#N/A</v>
      </c>
      <c r="AQ96" s="50" t="e">
        <f ca="1">VLOOKUP(Tableau118[[#This Row],[Key(POD -PFI- Usine)]],'DATA Consignee'!A:N,14,FALSE)</f>
        <v>#N/A</v>
      </c>
      <c r="AR9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6" s="50" t="e">
        <f ca="1">Tableau118[[#This Row],[Transit time]]+Tableau118[[#This Row],[Time for security]]+Tableau118[[#This Row],[Time for security2 buffer]]</f>
        <v>#N/A</v>
      </c>
      <c r="AU9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6" s="389" t="e">
        <f ca="1">Tableau118[[#This Row],[Leadtime SI2C]]+Tableau118[[#This Row],[First Receipt Days]]-Tableau118[[#This Row],[Day Customer Order]]+1</f>
        <v>#N/A</v>
      </c>
      <c r="AW96" s="117" t="e">
        <f ca="1">IF(Tableau118[[#This Row],[Name ILN]]&lt;&gt;"SFK Freight Forwarder",Tableau118[[#This Row],[Cust. Leadtime]],Tableau118[[#This Row],[Leadtime SI2C]])</f>
        <v>#N/A</v>
      </c>
      <c r="AX96" s="51" t="e">
        <f>VLOOKUP(Tableau118[[#This Row],[ID]],'DATA BTO'!B:P,15,FALSE)</f>
        <v>#N/A</v>
      </c>
      <c r="AY96" s="328" t="e">
        <f ca="1">IFERROR(VLOOKUP(Tableau118[[#This Row],[Key(ID-Actif)]],'DATA BTO'!A:N,4,FALSE),VLOOKUP(Tableau118[[#This Row],[ID]],'DATA BTO'!B:N,3,FALSE))</f>
        <v>#N/A</v>
      </c>
      <c r="AZ9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6" s="50"/>
    </row>
    <row r="97" spans="2:57">
      <c r="B97" s="65" t="str">
        <f>_xlfn.CONCAT(Tableau118[[#This Row],[Name ILN]],"-",Tableau118[[#This Row],[Name Shipper]],"-",Tableau118[[#This Row],[Name Site]])</f>
        <v>--</v>
      </c>
      <c r="C97" s="65" t="e">
        <f ca="1">_xlfn.CONCAT(Tableau118[[#This Row],[Compte ILN]],"-",Tableau118[[#This Row],[Compte Shipper]],"-",Tableau118[[#This Row],[POL]],"-",Tableau118[[#This Row],[Compte Site]])</f>
        <v>#N/A</v>
      </c>
      <c r="D97" s="64" t="e">
        <f ca="1">_xlfn.CONCAT(Tableau118[[#This Row],[Compte ILN]],"-",Tableau118[[#This Row],[Compte Shipper]],"-",Tableau118[[#This Row],[POL]])</f>
        <v>#N/A</v>
      </c>
      <c r="E97" s="396" t="e">
        <f ca="1">_xlfn.CONCAT(Tableau118[[#This Row],[POL]],"-",Tableau118[[#This Row],[Carrier]],"-",Tableau118[[#This Row],[POD]])</f>
        <v>#N/A</v>
      </c>
      <c r="F97" s="64" t="str">
        <f>_xlfn.CONCAT(Tableau118[[#This Row],[ID]],"-","Next")</f>
        <v>-Next</v>
      </c>
      <c r="G97" s="64" t="e">
        <f ca="1">_xlfn.CONCAT(Tableau118[[#This Row],[POD]],"-",Tableau118[[#This Row],[Code PFI]],"-",Tableau118[[#This Row],[Compte Site]])</f>
        <v>#N/A</v>
      </c>
      <c r="H9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7" s="397" t="str">
        <f ca="1">IF(COUNTIF(I:I,Tableau118[[#This Row],[Plant-ILN-shipper-POL-Carrier-POD-PFI]])=1,"Non","Oui")</f>
        <v>Oui</v>
      </c>
      <c r="K97" s="398" t="e">
        <f>VLOOKUP(Tableau118[[#This Row],[Name Site]],Plant_AILN!A:D,4,FALSE)</f>
        <v>#N/A</v>
      </c>
      <c r="L97" s="285"/>
      <c r="M97" s="480"/>
      <c r="N97" s="55"/>
      <c r="O97" s="114"/>
      <c r="P97" s="481"/>
      <c r="Q97" s="50"/>
      <c r="R97" s="50"/>
      <c r="S97" s="50"/>
      <c r="T97" s="50"/>
      <c r="U97" s="50"/>
      <c r="V97" s="50"/>
      <c r="W97" s="53"/>
      <c r="X97" s="283"/>
      <c r="Y97" s="482">
        <f>IFERROR(VLOOKUP(Tableau118[[#This Row],[Name Shipper]],Plant_AILN!L:M,2,FALSE),0)</f>
        <v>0</v>
      </c>
      <c r="Z97" s="358"/>
      <c r="AA97" s="353" t="e">
        <f ca="1">VLOOKUP(Tableau118[[#This Row],[Key(ID-Actif)]],'DATA BTO'!A:N,5,FALSE)</f>
        <v>#N/A</v>
      </c>
      <c r="AB97" s="3" t="e">
        <f ca="1">VLOOKUP(Tableau118[[#This Row],[Key(ID-Actif)]],'DATA BTO'!A:N,6,FALSE)</f>
        <v>#N/A</v>
      </c>
      <c r="AC97" s="50" t="e">
        <f ca="1">VLOOKUP(Tableau118[[#This Row],[Key(ID-Actif)]],'DATA BTO'!A:N,7,FALSE)</f>
        <v>#N/A</v>
      </c>
      <c r="AD97" s="50" t="e">
        <f ca="1">VLOOKUP(Tableau118[[#This Row],[Key(ID-Actif)]],'DATA BTO'!A:N,8,FALSE)</f>
        <v>#N/A</v>
      </c>
      <c r="AE97" s="50" t="e">
        <f ca="1">IF(Tableau118[[#This Row],[First Day to POL]]&lt;=Tableau118[[#This Row],[Day Cut Off]],Tableau118[[#This Row],[Day ETD]],Tableau118[[#This Row],[Day ETD]]+7)</f>
        <v>#N/A</v>
      </c>
      <c r="AF97" s="50" t="e">
        <f ca="1">VLOOKUP(Tableau118[[#This Row],[Key(ID-Actif)]],'DATA BTO'!A:N,9,FALSE)</f>
        <v>#N/A</v>
      </c>
      <c r="AG97" s="3" t="e">
        <f ca="1">VLOOKUP(Tableau118[[#This Row],[Key(ID-Actif)]],'DATA BTO'!A:N,10,FALSE)</f>
        <v>#N/A</v>
      </c>
      <c r="AH97" s="3" t="e">
        <f ca="1">VLOOKUP(Tableau118[[#This Row],[Key(ID-Actif)]],'DATA BTO'!A:N,11,FALSE)</f>
        <v>#N/A</v>
      </c>
      <c r="AI97" s="50" t="e">
        <f ca="1">VLOOKUP(Tableau118[[#This Row],[Key(ID-Actif)]],'DATA BTO'!A:N,12,FALSE)</f>
        <v>#N/A</v>
      </c>
      <c r="AJ97" s="53" t="e">
        <f ca="1">VLOOKUP(Tableau118[[#This Row],[Key(ID-Actif)]],'DATA BTO'!A:N,14,FALSE)</f>
        <v>#N/A</v>
      </c>
      <c r="AK97" s="54" t="e">
        <f ca="1">VLOOKUP(Tableau118[[#This Row],[Key(POD -PFI- Usine)]],'DATA Consignee'!A:F,6,FALSE)</f>
        <v>#N/A</v>
      </c>
      <c r="AL97" s="125"/>
      <c r="AM97" s="483" t="str">
        <f>IF(Tableau118[[#This Row],[Name PFI/CDD]]="","-",VLOOKUP(Tableau118[[#This Row],[Name PFI/CDD]],Plant_AILN!I:J,2,FALSE))</f>
        <v>-</v>
      </c>
      <c r="AN9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7" s="2" t="e">
        <f ca="1">VLOOKUP(Tableau118[[#This Row],[Key(POD -PFI- Usine)]],'DATA Consignee'!A:J,10,FALSE)</f>
        <v>#N/A</v>
      </c>
      <c r="AQ97" s="50" t="e">
        <f ca="1">VLOOKUP(Tableau118[[#This Row],[Key(POD -PFI- Usine)]],'DATA Consignee'!A:N,14,FALSE)</f>
        <v>#N/A</v>
      </c>
      <c r="AR9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7" s="50" t="e">
        <f ca="1">Tableau118[[#This Row],[Transit time]]+Tableau118[[#This Row],[Time for security]]+Tableau118[[#This Row],[Time for security2 buffer]]</f>
        <v>#N/A</v>
      </c>
      <c r="AU9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7" s="389" t="e">
        <f ca="1">Tableau118[[#This Row],[Leadtime SI2C]]+Tableau118[[#This Row],[First Receipt Days]]-Tableau118[[#This Row],[Day Customer Order]]+1</f>
        <v>#N/A</v>
      </c>
      <c r="AW97" s="117" t="e">
        <f ca="1">IF(Tableau118[[#This Row],[Name ILN]]&lt;&gt;"SFK Freight Forwarder",Tableau118[[#This Row],[Cust. Leadtime]],Tableau118[[#This Row],[Leadtime SI2C]])</f>
        <v>#N/A</v>
      </c>
      <c r="AX97" s="51" t="e">
        <f>VLOOKUP(Tableau118[[#This Row],[ID]],'DATA BTO'!B:P,15,FALSE)</f>
        <v>#N/A</v>
      </c>
      <c r="AY97" s="328" t="e">
        <f ca="1">IFERROR(VLOOKUP(Tableau118[[#This Row],[Key(ID-Actif)]],'DATA BTO'!A:N,4,FALSE),VLOOKUP(Tableau118[[#This Row],[ID]],'DATA BTO'!B:N,3,FALSE))</f>
        <v>#N/A</v>
      </c>
      <c r="AZ9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7" s="50"/>
    </row>
    <row r="98" spans="2:57">
      <c r="B98" s="65" t="str">
        <f>_xlfn.CONCAT(Tableau118[[#This Row],[Name ILN]],"-",Tableau118[[#This Row],[Name Shipper]],"-",Tableau118[[#This Row],[Name Site]])</f>
        <v>--</v>
      </c>
      <c r="C98" s="65" t="e">
        <f ca="1">_xlfn.CONCAT(Tableau118[[#This Row],[Compte ILN]],"-",Tableau118[[#This Row],[Compte Shipper]],"-",Tableau118[[#This Row],[POL]],"-",Tableau118[[#This Row],[Compte Site]])</f>
        <v>#N/A</v>
      </c>
      <c r="D98" s="64" t="e">
        <f ca="1">_xlfn.CONCAT(Tableau118[[#This Row],[Compte ILN]],"-",Tableau118[[#This Row],[Compte Shipper]],"-",Tableau118[[#This Row],[POL]])</f>
        <v>#N/A</v>
      </c>
      <c r="E98" s="396" t="e">
        <f ca="1">_xlfn.CONCAT(Tableau118[[#This Row],[POL]],"-",Tableau118[[#This Row],[Carrier]],"-",Tableau118[[#This Row],[POD]])</f>
        <v>#N/A</v>
      </c>
      <c r="F98" s="64" t="str">
        <f>_xlfn.CONCAT(Tableau118[[#This Row],[ID]],"-","Next")</f>
        <v>-Next</v>
      </c>
      <c r="G98" s="64" t="e">
        <f ca="1">_xlfn.CONCAT(Tableau118[[#This Row],[POD]],"-",Tableau118[[#This Row],[Code PFI]],"-",Tableau118[[#This Row],[Compte Site]])</f>
        <v>#N/A</v>
      </c>
      <c r="H9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8" s="397" t="str">
        <f ca="1">IF(COUNTIF(I:I,Tableau118[[#This Row],[Plant-ILN-shipper-POL-Carrier-POD-PFI]])=1,"Non","Oui")</f>
        <v>Oui</v>
      </c>
      <c r="K98" s="398" t="e">
        <f>VLOOKUP(Tableau118[[#This Row],[Name Site]],Plant_AILN!A:D,4,FALSE)</f>
        <v>#N/A</v>
      </c>
      <c r="L98" s="285"/>
      <c r="M98" s="480"/>
      <c r="N98" s="55"/>
      <c r="O98" s="114"/>
      <c r="P98" s="481"/>
      <c r="Q98" s="50"/>
      <c r="R98" s="50"/>
      <c r="S98" s="50"/>
      <c r="T98" s="50"/>
      <c r="U98" s="50"/>
      <c r="V98" s="50"/>
      <c r="W98" s="53"/>
      <c r="X98" s="283"/>
      <c r="Y98" s="482">
        <f>IFERROR(VLOOKUP(Tableau118[[#This Row],[Name Shipper]],Plant_AILN!L:M,2,FALSE),0)</f>
        <v>0</v>
      </c>
      <c r="Z98" s="358"/>
      <c r="AA98" s="353" t="e">
        <f ca="1">VLOOKUP(Tableau118[[#This Row],[Key(ID-Actif)]],'DATA BTO'!A:N,5,FALSE)</f>
        <v>#N/A</v>
      </c>
      <c r="AB98" s="3" t="e">
        <f ca="1">VLOOKUP(Tableau118[[#This Row],[Key(ID-Actif)]],'DATA BTO'!A:N,6,FALSE)</f>
        <v>#N/A</v>
      </c>
      <c r="AC98" s="50" t="e">
        <f ca="1">VLOOKUP(Tableau118[[#This Row],[Key(ID-Actif)]],'DATA BTO'!A:N,7,FALSE)</f>
        <v>#N/A</v>
      </c>
      <c r="AD98" s="50" t="e">
        <f ca="1">VLOOKUP(Tableau118[[#This Row],[Key(ID-Actif)]],'DATA BTO'!A:N,8,FALSE)</f>
        <v>#N/A</v>
      </c>
      <c r="AE98" s="50" t="e">
        <f ca="1">IF(Tableau118[[#This Row],[First Day to POL]]&lt;=Tableau118[[#This Row],[Day Cut Off]],Tableau118[[#This Row],[Day ETD]],Tableau118[[#This Row],[Day ETD]]+7)</f>
        <v>#N/A</v>
      </c>
      <c r="AF98" s="50" t="e">
        <f ca="1">VLOOKUP(Tableau118[[#This Row],[Key(ID-Actif)]],'DATA BTO'!A:N,9,FALSE)</f>
        <v>#N/A</v>
      </c>
      <c r="AG98" s="3" t="e">
        <f ca="1">VLOOKUP(Tableau118[[#This Row],[Key(ID-Actif)]],'DATA BTO'!A:N,10,FALSE)</f>
        <v>#N/A</v>
      </c>
      <c r="AH98" s="3" t="e">
        <f ca="1">VLOOKUP(Tableau118[[#This Row],[Key(ID-Actif)]],'DATA BTO'!A:N,11,FALSE)</f>
        <v>#N/A</v>
      </c>
      <c r="AI98" s="50" t="e">
        <f ca="1">VLOOKUP(Tableau118[[#This Row],[Key(ID-Actif)]],'DATA BTO'!A:N,12,FALSE)</f>
        <v>#N/A</v>
      </c>
      <c r="AJ98" s="53" t="e">
        <f ca="1">VLOOKUP(Tableau118[[#This Row],[Key(ID-Actif)]],'DATA BTO'!A:N,14,FALSE)</f>
        <v>#N/A</v>
      </c>
      <c r="AK98" s="54" t="e">
        <f ca="1">VLOOKUP(Tableau118[[#This Row],[Key(POD -PFI- Usine)]],'DATA Consignee'!A:F,6,FALSE)</f>
        <v>#N/A</v>
      </c>
      <c r="AL98" s="125"/>
      <c r="AM98" s="483" t="str">
        <f>IF(Tableau118[[#This Row],[Name PFI/CDD]]="","-",VLOOKUP(Tableau118[[#This Row],[Name PFI/CDD]],Plant_AILN!I:J,2,FALSE))</f>
        <v>-</v>
      </c>
      <c r="AN9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8" s="2" t="e">
        <f ca="1">VLOOKUP(Tableau118[[#This Row],[Key(POD -PFI- Usine)]],'DATA Consignee'!A:J,10,FALSE)</f>
        <v>#N/A</v>
      </c>
      <c r="AQ98" s="50" t="e">
        <f ca="1">VLOOKUP(Tableau118[[#This Row],[Key(POD -PFI- Usine)]],'DATA Consignee'!A:N,14,FALSE)</f>
        <v>#N/A</v>
      </c>
      <c r="AR9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8" s="50" t="e">
        <f ca="1">Tableau118[[#This Row],[Transit time]]+Tableau118[[#This Row],[Time for security]]+Tableau118[[#This Row],[Time for security2 buffer]]</f>
        <v>#N/A</v>
      </c>
      <c r="AU9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8" s="389" t="e">
        <f ca="1">Tableau118[[#This Row],[Leadtime SI2C]]+Tableau118[[#This Row],[First Receipt Days]]-Tableau118[[#This Row],[Day Customer Order]]+1</f>
        <v>#N/A</v>
      </c>
      <c r="AW98" s="117" t="e">
        <f ca="1">IF(Tableau118[[#This Row],[Name ILN]]&lt;&gt;"SFK Freight Forwarder",Tableau118[[#This Row],[Cust. Leadtime]],Tableau118[[#This Row],[Leadtime SI2C]])</f>
        <v>#N/A</v>
      </c>
      <c r="AX98" s="51" t="e">
        <f>VLOOKUP(Tableau118[[#This Row],[ID]],'DATA BTO'!B:P,15,FALSE)</f>
        <v>#N/A</v>
      </c>
      <c r="AY98" s="328" t="e">
        <f ca="1">IFERROR(VLOOKUP(Tableau118[[#This Row],[Key(ID-Actif)]],'DATA BTO'!A:N,4,FALSE),VLOOKUP(Tableau118[[#This Row],[ID]],'DATA BTO'!B:N,3,FALSE))</f>
        <v>#N/A</v>
      </c>
      <c r="AZ9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8" s="50"/>
    </row>
    <row r="99" spans="2:57">
      <c r="B99" s="65" t="str">
        <f>_xlfn.CONCAT(Tableau118[[#This Row],[Name ILN]],"-",Tableau118[[#This Row],[Name Shipper]],"-",Tableau118[[#This Row],[Name Site]])</f>
        <v>--</v>
      </c>
      <c r="C99" s="65" t="e">
        <f ca="1">_xlfn.CONCAT(Tableau118[[#This Row],[Compte ILN]],"-",Tableau118[[#This Row],[Compte Shipper]],"-",Tableau118[[#This Row],[POL]],"-",Tableau118[[#This Row],[Compte Site]])</f>
        <v>#N/A</v>
      </c>
      <c r="D99" s="64" t="e">
        <f ca="1">_xlfn.CONCAT(Tableau118[[#This Row],[Compte ILN]],"-",Tableau118[[#This Row],[Compte Shipper]],"-",Tableau118[[#This Row],[POL]])</f>
        <v>#N/A</v>
      </c>
      <c r="E99" s="396" t="e">
        <f ca="1">_xlfn.CONCAT(Tableau118[[#This Row],[POL]],"-",Tableau118[[#This Row],[Carrier]],"-",Tableau118[[#This Row],[POD]])</f>
        <v>#N/A</v>
      </c>
      <c r="F99" s="64" t="str">
        <f>_xlfn.CONCAT(Tableau118[[#This Row],[ID]],"-","Next")</f>
        <v>-Next</v>
      </c>
      <c r="G99" s="64" t="e">
        <f ca="1">_xlfn.CONCAT(Tableau118[[#This Row],[POD]],"-",Tableau118[[#This Row],[Code PFI]],"-",Tableau118[[#This Row],[Compte Site]])</f>
        <v>#N/A</v>
      </c>
      <c r="H9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9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99" s="397" t="str">
        <f ca="1">IF(COUNTIF(I:I,Tableau118[[#This Row],[Plant-ILN-shipper-POL-Carrier-POD-PFI]])=1,"Non","Oui")</f>
        <v>Oui</v>
      </c>
      <c r="K99" s="398" t="e">
        <f>VLOOKUP(Tableau118[[#This Row],[Name Site]],Plant_AILN!A:D,4,FALSE)</f>
        <v>#N/A</v>
      </c>
      <c r="L99" s="285"/>
      <c r="M99" s="480"/>
      <c r="N99" s="55"/>
      <c r="O99" s="114"/>
      <c r="P99" s="481"/>
      <c r="Q99" s="50"/>
      <c r="R99" s="50"/>
      <c r="S99" s="50"/>
      <c r="T99" s="50"/>
      <c r="U99" s="50"/>
      <c r="V99" s="50"/>
      <c r="W99" s="53"/>
      <c r="X99" s="283"/>
      <c r="Y99" s="482">
        <f>IFERROR(VLOOKUP(Tableau118[[#This Row],[Name Shipper]],Plant_AILN!L:M,2,FALSE),0)</f>
        <v>0</v>
      </c>
      <c r="Z99" s="358"/>
      <c r="AA99" s="353" t="e">
        <f ca="1">VLOOKUP(Tableau118[[#This Row],[Key(ID-Actif)]],'DATA BTO'!A:N,5,FALSE)</f>
        <v>#N/A</v>
      </c>
      <c r="AB99" s="3" t="e">
        <f ca="1">VLOOKUP(Tableau118[[#This Row],[Key(ID-Actif)]],'DATA BTO'!A:N,6,FALSE)</f>
        <v>#N/A</v>
      </c>
      <c r="AC99" s="50" t="e">
        <f ca="1">VLOOKUP(Tableau118[[#This Row],[Key(ID-Actif)]],'DATA BTO'!A:N,7,FALSE)</f>
        <v>#N/A</v>
      </c>
      <c r="AD99" s="50" t="e">
        <f ca="1">VLOOKUP(Tableau118[[#This Row],[Key(ID-Actif)]],'DATA BTO'!A:N,8,FALSE)</f>
        <v>#N/A</v>
      </c>
      <c r="AE99" s="50" t="e">
        <f ca="1">IF(Tableau118[[#This Row],[First Day to POL]]&lt;=Tableau118[[#This Row],[Day Cut Off]],Tableau118[[#This Row],[Day ETD]],Tableau118[[#This Row],[Day ETD]]+7)</f>
        <v>#N/A</v>
      </c>
      <c r="AF99" s="50" t="e">
        <f ca="1">VLOOKUP(Tableau118[[#This Row],[Key(ID-Actif)]],'DATA BTO'!A:N,9,FALSE)</f>
        <v>#N/A</v>
      </c>
      <c r="AG99" s="3" t="e">
        <f ca="1">VLOOKUP(Tableau118[[#This Row],[Key(ID-Actif)]],'DATA BTO'!A:N,10,FALSE)</f>
        <v>#N/A</v>
      </c>
      <c r="AH99" s="3" t="e">
        <f ca="1">VLOOKUP(Tableau118[[#This Row],[Key(ID-Actif)]],'DATA BTO'!A:N,11,FALSE)</f>
        <v>#N/A</v>
      </c>
      <c r="AI99" s="50" t="e">
        <f ca="1">VLOOKUP(Tableau118[[#This Row],[Key(ID-Actif)]],'DATA BTO'!A:N,12,FALSE)</f>
        <v>#N/A</v>
      </c>
      <c r="AJ99" s="53" t="e">
        <f ca="1">VLOOKUP(Tableau118[[#This Row],[Key(ID-Actif)]],'DATA BTO'!A:N,14,FALSE)</f>
        <v>#N/A</v>
      </c>
      <c r="AK99" s="54" t="e">
        <f ca="1">VLOOKUP(Tableau118[[#This Row],[Key(POD -PFI- Usine)]],'DATA Consignee'!A:F,6,FALSE)</f>
        <v>#N/A</v>
      </c>
      <c r="AL99" s="125"/>
      <c r="AM99" s="483" t="str">
        <f>IF(Tableau118[[#This Row],[Name PFI/CDD]]="","-",VLOOKUP(Tableau118[[#This Row],[Name PFI/CDD]],Plant_AILN!I:J,2,FALSE))</f>
        <v>-</v>
      </c>
      <c r="AN9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9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99" s="2" t="e">
        <f ca="1">VLOOKUP(Tableau118[[#This Row],[Key(POD -PFI- Usine)]],'DATA Consignee'!A:J,10,FALSE)</f>
        <v>#N/A</v>
      </c>
      <c r="AQ99" s="50" t="e">
        <f ca="1">VLOOKUP(Tableau118[[#This Row],[Key(POD -PFI- Usine)]],'DATA Consignee'!A:N,14,FALSE)</f>
        <v>#N/A</v>
      </c>
      <c r="AR9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9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99" s="50" t="e">
        <f ca="1">Tableau118[[#This Row],[Transit time]]+Tableau118[[#This Row],[Time for security]]+Tableau118[[#This Row],[Time for security2 buffer]]</f>
        <v>#N/A</v>
      </c>
      <c r="AU9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99" s="389" t="e">
        <f ca="1">Tableau118[[#This Row],[Leadtime SI2C]]+Tableau118[[#This Row],[First Receipt Days]]-Tableau118[[#This Row],[Day Customer Order]]+1</f>
        <v>#N/A</v>
      </c>
      <c r="AW99" s="117" t="e">
        <f ca="1">IF(Tableau118[[#This Row],[Name ILN]]&lt;&gt;"SFK Freight Forwarder",Tableau118[[#This Row],[Cust. Leadtime]],Tableau118[[#This Row],[Leadtime SI2C]])</f>
        <v>#N/A</v>
      </c>
      <c r="AX99" s="51" t="e">
        <f>VLOOKUP(Tableau118[[#This Row],[ID]],'DATA BTO'!B:P,15,FALSE)</f>
        <v>#N/A</v>
      </c>
      <c r="AY99" s="328" t="e">
        <f ca="1">IFERROR(VLOOKUP(Tableau118[[#This Row],[Key(ID-Actif)]],'DATA BTO'!A:N,4,FALSE),VLOOKUP(Tableau118[[#This Row],[ID]],'DATA BTO'!B:N,3,FALSE))</f>
        <v>#N/A</v>
      </c>
      <c r="AZ9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9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9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9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9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99" s="50"/>
    </row>
    <row r="100" spans="2:57">
      <c r="B100" s="65" t="str">
        <f>_xlfn.CONCAT(Tableau118[[#This Row],[Name ILN]],"-",Tableau118[[#This Row],[Name Shipper]],"-",Tableau118[[#This Row],[Name Site]])</f>
        <v>--</v>
      </c>
      <c r="C100" s="65" t="e">
        <f ca="1">_xlfn.CONCAT(Tableau118[[#This Row],[Compte ILN]],"-",Tableau118[[#This Row],[Compte Shipper]],"-",Tableau118[[#This Row],[POL]],"-",Tableau118[[#This Row],[Compte Site]])</f>
        <v>#N/A</v>
      </c>
      <c r="D100" s="64" t="e">
        <f ca="1">_xlfn.CONCAT(Tableau118[[#This Row],[Compte ILN]],"-",Tableau118[[#This Row],[Compte Shipper]],"-",Tableau118[[#This Row],[POL]])</f>
        <v>#N/A</v>
      </c>
      <c r="E100" s="396" t="e">
        <f ca="1">_xlfn.CONCAT(Tableau118[[#This Row],[POL]],"-",Tableau118[[#This Row],[Carrier]],"-",Tableau118[[#This Row],[POD]])</f>
        <v>#N/A</v>
      </c>
      <c r="F100" s="64" t="str">
        <f>_xlfn.CONCAT(Tableau118[[#This Row],[ID]],"-","Next")</f>
        <v>-Next</v>
      </c>
      <c r="G100" s="64" t="e">
        <f ca="1">_xlfn.CONCAT(Tableau118[[#This Row],[POD]],"-",Tableau118[[#This Row],[Code PFI]],"-",Tableau118[[#This Row],[Compte Site]])</f>
        <v>#N/A</v>
      </c>
      <c r="H10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0" s="397" t="str">
        <f ca="1">IF(COUNTIF(I:I,Tableau118[[#This Row],[Plant-ILN-shipper-POL-Carrier-POD-PFI]])=1,"Non","Oui")</f>
        <v>Oui</v>
      </c>
      <c r="K100" s="398" t="e">
        <f>VLOOKUP(Tableau118[[#This Row],[Name Site]],Plant_AILN!A:D,4,FALSE)</f>
        <v>#N/A</v>
      </c>
      <c r="L100" s="285"/>
      <c r="M100" s="480"/>
      <c r="N100" s="55"/>
      <c r="O100" s="114"/>
      <c r="P100" s="481"/>
      <c r="Q100" s="50"/>
      <c r="R100" s="50"/>
      <c r="S100" s="50"/>
      <c r="T100" s="50"/>
      <c r="U100" s="50"/>
      <c r="V100" s="50"/>
      <c r="W100" s="53"/>
      <c r="X100" s="283"/>
      <c r="Y100" s="482">
        <f>IFERROR(VLOOKUP(Tableau118[[#This Row],[Name Shipper]],Plant_AILN!L:M,2,FALSE),0)</f>
        <v>0</v>
      </c>
      <c r="Z100" s="358"/>
      <c r="AA100" s="353" t="e">
        <f ca="1">VLOOKUP(Tableau118[[#This Row],[Key(ID-Actif)]],'DATA BTO'!A:N,5,FALSE)</f>
        <v>#N/A</v>
      </c>
      <c r="AB100" s="3" t="e">
        <f ca="1">VLOOKUP(Tableau118[[#This Row],[Key(ID-Actif)]],'DATA BTO'!A:N,6,FALSE)</f>
        <v>#N/A</v>
      </c>
      <c r="AC100" s="50" t="e">
        <f ca="1">VLOOKUP(Tableau118[[#This Row],[Key(ID-Actif)]],'DATA BTO'!A:N,7,FALSE)</f>
        <v>#N/A</v>
      </c>
      <c r="AD100" s="50" t="e">
        <f ca="1">VLOOKUP(Tableau118[[#This Row],[Key(ID-Actif)]],'DATA BTO'!A:N,8,FALSE)</f>
        <v>#N/A</v>
      </c>
      <c r="AE100" s="50" t="e">
        <f ca="1">IF(Tableau118[[#This Row],[First Day to POL]]&lt;=Tableau118[[#This Row],[Day Cut Off]],Tableau118[[#This Row],[Day ETD]],Tableau118[[#This Row],[Day ETD]]+7)</f>
        <v>#N/A</v>
      </c>
      <c r="AF100" s="50" t="e">
        <f ca="1">VLOOKUP(Tableau118[[#This Row],[Key(ID-Actif)]],'DATA BTO'!A:N,9,FALSE)</f>
        <v>#N/A</v>
      </c>
      <c r="AG100" s="3" t="e">
        <f ca="1">VLOOKUP(Tableau118[[#This Row],[Key(ID-Actif)]],'DATA BTO'!A:N,10,FALSE)</f>
        <v>#N/A</v>
      </c>
      <c r="AH100" s="3" t="e">
        <f ca="1">VLOOKUP(Tableau118[[#This Row],[Key(ID-Actif)]],'DATA BTO'!A:N,11,FALSE)</f>
        <v>#N/A</v>
      </c>
      <c r="AI100" s="50" t="e">
        <f ca="1">VLOOKUP(Tableau118[[#This Row],[Key(ID-Actif)]],'DATA BTO'!A:N,12,FALSE)</f>
        <v>#N/A</v>
      </c>
      <c r="AJ100" s="53" t="e">
        <f ca="1">VLOOKUP(Tableau118[[#This Row],[Key(ID-Actif)]],'DATA BTO'!A:N,14,FALSE)</f>
        <v>#N/A</v>
      </c>
      <c r="AK100" s="54" t="e">
        <f ca="1">VLOOKUP(Tableau118[[#This Row],[Key(POD -PFI- Usine)]],'DATA Consignee'!A:F,6,FALSE)</f>
        <v>#N/A</v>
      </c>
      <c r="AL100" s="125"/>
      <c r="AM100" s="483" t="str">
        <f>IF(Tableau118[[#This Row],[Name PFI/CDD]]="","-",VLOOKUP(Tableau118[[#This Row],[Name PFI/CDD]],Plant_AILN!I:J,2,FALSE))</f>
        <v>-</v>
      </c>
      <c r="AN10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0" s="2" t="e">
        <f ca="1">VLOOKUP(Tableau118[[#This Row],[Key(POD -PFI- Usine)]],'DATA Consignee'!A:J,10,FALSE)</f>
        <v>#N/A</v>
      </c>
      <c r="AQ100" s="50" t="e">
        <f ca="1">VLOOKUP(Tableau118[[#This Row],[Key(POD -PFI- Usine)]],'DATA Consignee'!A:N,14,FALSE)</f>
        <v>#N/A</v>
      </c>
      <c r="AR10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0" s="50" t="e">
        <f ca="1">Tableau118[[#This Row],[Transit time]]+Tableau118[[#This Row],[Time for security]]+Tableau118[[#This Row],[Time for security2 buffer]]</f>
        <v>#N/A</v>
      </c>
      <c r="AU10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0" s="389" t="e">
        <f ca="1">Tableau118[[#This Row],[Leadtime SI2C]]+Tableau118[[#This Row],[First Receipt Days]]-Tableau118[[#This Row],[Day Customer Order]]+1</f>
        <v>#N/A</v>
      </c>
      <c r="AW100" s="117" t="e">
        <f ca="1">IF(Tableau118[[#This Row],[Name ILN]]&lt;&gt;"SFK Freight Forwarder",Tableau118[[#This Row],[Cust. Leadtime]],Tableau118[[#This Row],[Leadtime SI2C]])</f>
        <v>#N/A</v>
      </c>
      <c r="AX100" s="51" t="e">
        <f>VLOOKUP(Tableau118[[#This Row],[ID]],'DATA BTO'!B:P,15,FALSE)</f>
        <v>#N/A</v>
      </c>
      <c r="AY100" s="328" t="e">
        <f ca="1">IFERROR(VLOOKUP(Tableau118[[#This Row],[Key(ID-Actif)]],'DATA BTO'!A:N,4,FALSE),VLOOKUP(Tableau118[[#This Row],[ID]],'DATA BTO'!B:N,3,FALSE))</f>
        <v>#N/A</v>
      </c>
      <c r="AZ10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0" s="50"/>
    </row>
    <row r="101" spans="2:57">
      <c r="B101" s="65" t="str">
        <f>_xlfn.CONCAT(Tableau118[[#This Row],[Name ILN]],"-",Tableau118[[#This Row],[Name Shipper]],"-",Tableau118[[#This Row],[Name Site]])</f>
        <v>--</v>
      </c>
      <c r="C101" s="65" t="e">
        <f ca="1">_xlfn.CONCAT(Tableau118[[#This Row],[Compte ILN]],"-",Tableau118[[#This Row],[Compte Shipper]],"-",Tableau118[[#This Row],[POL]],"-",Tableau118[[#This Row],[Compte Site]])</f>
        <v>#N/A</v>
      </c>
      <c r="D101" s="64" t="e">
        <f ca="1">_xlfn.CONCAT(Tableau118[[#This Row],[Compte ILN]],"-",Tableau118[[#This Row],[Compte Shipper]],"-",Tableau118[[#This Row],[POL]])</f>
        <v>#N/A</v>
      </c>
      <c r="E101" s="396" t="e">
        <f ca="1">_xlfn.CONCAT(Tableau118[[#This Row],[POL]],"-",Tableau118[[#This Row],[Carrier]],"-",Tableau118[[#This Row],[POD]])</f>
        <v>#N/A</v>
      </c>
      <c r="F101" s="64" t="str">
        <f>_xlfn.CONCAT(Tableau118[[#This Row],[ID]],"-","Next")</f>
        <v>-Next</v>
      </c>
      <c r="G101" s="64" t="e">
        <f ca="1">_xlfn.CONCAT(Tableau118[[#This Row],[POD]],"-",Tableau118[[#This Row],[Code PFI]],"-",Tableau118[[#This Row],[Compte Site]])</f>
        <v>#N/A</v>
      </c>
      <c r="H10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1" s="397" t="str">
        <f ca="1">IF(COUNTIF(I:I,Tableau118[[#This Row],[Plant-ILN-shipper-POL-Carrier-POD-PFI]])=1,"Non","Oui")</f>
        <v>Oui</v>
      </c>
      <c r="K101" s="398" t="e">
        <f>VLOOKUP(Tableau118[[#This Row],[Name Site]],Plant_AILN!A:D,4,FALSE)</f>
        <v>#N/A</v>
      </c>
      <c r="L101" s="285"/>
      <c r="M101" s="480"/>
      <c r="N101" s="55"/>
      <c r="O101" s="114"/>
      <c r="P101" s="481"/>
      <c r="Q101" s="50"/>
      <c r="R101" s="50"/>
      <c r="S101" s="50"/>
      <c r="T101" s="50"/>
      <c r="U101" s="50"/>
      <c r="V101" s="50"/>
      <c r="W101" s="53"/>
      <c r="X101" s="283"/>
      <c r="Y101" s="482">
        <f>IFERROR(VLOOKUP(Tableau118[[#This Row],[Name Shipper]],Plant_AILN!L:M,2,FALSE),0)</f>
        <v>0</v>
      </c>
      <c r="Z101" s="358"/>
      <c r="AA101" s="353" t="e">
        <f ca="1">VLOOKUP(Tableau118[[#This Row],[Key(ID-Actif)]],'DATA BTO'!A:N,5,FALSE)</f>
        <v>#N/A</v>
      </c>
      <c r="AB101" s="3" t="e">
        <f ca="1">VLOOKUP(Tableau118[[#This Row],[Key(ID-Actif)]],'DATA BTO'!A:N,6,FALSE)</f>
        <v>#N/A</v>
      </c>
      <c r="AC101" s="50" t="e">
        <f ca="1">VLOOKUP(Tableau118[[#This Row],[Key(ID-Actif)]],'DATA BTO'!A:N,7,FALSE)</f>
        <v>#N/A</v>
      </c>
      <c r="AD101" s="50" t="e">
        <f ca="1">VLOOKUP(Tableau118[[#This Row],[Key(ID-Actif)]],'DATA BTO'!A:N,8,FALSE)</f>
        <v>#N/A</v>
      </c>
      <c r="AE101" s="50" t="e">
        <f ca="1">IF(Tableau118[[#This Row],[First Day to POL]]&lt;=Tableau118[[#This Row],[Day Cut Off]],Tableau118[[#This Row],[Day ETD]],Tableau118[[#This Row],[Day ETD]]+7)</f>
        <v>#N/A</v>
      </c>
      <c r="AF101" s="50" t="e">
        <f ca="1">VLOOKUP(Tableau118[[#This Row],[Key(ID-Actif)]],'DATA BTO'!A:N,9,FALSE)</f>
        <v>#N/A</v>
      </c>
      <c r="AG101" s="3" t="e">
        <f ca="1">VLOOKUP(Tableau118[[#This Row],[Key(ID-Actif)]],'DATA BTO'!A:N,10,FALSE)</f>
        <v>#N/A</v>
      </c>
      <c r="AH101" s="3" t="e">
        <f ca="1">VLOOKUP(Tableau118[[#This Row],[Key(ID-Actif)]],'DATA BTO'!A:N,11,FALSE)</f>
        <v>#N/A</v>
      </c>
      <c r="AI101" s="50" t="e">
        <f ca="1">VLOOKUP(Tableau118[[#This Row],[Key(ID-Actif)]],'DATA BTO'!A:N,12,FALSE)</f>
        <v>#N/A</v>
      </c>
      <c r="AJ101" s="53" t="e">
        <f ca="1">VLOOKUP(Tableau118[[#This Row],[Key(ID-Actif)]],'DATA BTO'!A:N,14,FALSE)</f>
        <v>#N/A</v>
      </c>
      <c r="AK101" s="54" t="e">
        <f ca="1">VLOOKUP(Tableau118[[#This Row],[Key(POD -PFI- Usine)]],'DATA Consignee'!A:F,6,FALSE)</f>
        <v>#N/A</v>
      </c>
      <c r="AL101" s="125"/>
      <c r="AM101" s="483" t="str">
        <f>IF(Tableau118[[#This Row],[Name PFI/CDD]]="","-",VLOOKUP(Tableau118[[#This Row],[Name PFI/CDD]],Plant_AILN!I:J,2,FALSE))</f>
        <v>-</v>
      </c>
      <c r="AN10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1" s="2" t="e">
        <f ca="1">VLOOKUP(Tableau118[[#This Row],[Key(POD -PFI- Usine)]],'DATA Consignee'!A:J,10,FALSE)</f>
        <v>#N/A</v>
      </c>
      <c r="AQ101" s="50" t="e">
        <f ca="1">VLOOKUP(Tableau118[[#This Row],[Key(POD -PFI- Usine)]],'DATA Consignee'!A:N,14,FALSE)</f>
        <v>#N/A</v>
      </c>
      <c r="AR10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1" s="50" t="e">
        <f ca="1">Tableau118[[#This Row],[Transit time]]+Tableau118[[#This Row],[Time for security]]+Tableau118[[#This Row],[Time for security2 buffer]]</f>
        <v>#N/A</v>
      </c>
      <c r="AU10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1" s="389" t="e">
        <f ca="1">Tableau118[[#This Row],[Leadtime SI2C]]+Tableau118[[#This Row],[First Receipt Days]]-Tableau118[[#This Row],[Day Customer Order]]+1</f>
        <v>#N/A</v>
      </c>
      <c r="AW101" s="117" t="e">
        <f ca="1">IF(Tableau118[[#This Row],[Name ILN]]&lt;&gt;"SFK Freight Forwarder",Tableau118[[#This Row],[Cust. Leadtime]],Tableau118[[#This Row],[Leadtime SI2C]])</f>
        <v>#N/A</v>
      </c>
      <c r="AX101" s="51" t="e">
        <f>VLOOKUP(Tableau118[[#This Row],[ID]],'DATA BTO'!B:P,15,FALSE)</f>
        <v>#N/A</v>
      </c>
      <c r="AY101" s="328" t="e">
        <f ca="1">IFERROR(VLOOKUP(Tableau118[[#This Row],[Key(ID-Actif)]],'DATA BTO'!A:N,4,FALSE),VLOOKUP(Tableau118[[#This Row],[ID]],'DATA BTO'!B:N,3,FALSE))</f>
        <v>#N/A</v>
      </c>
      <c r="AZ10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1" s="50"/>
    </row>
    <row r="102" spans="2:57">
      <c r="B102" s="65" t="str">
        <f>_xlfn.CONCAT(Tableau118[[#This Row],[Name ILN]],"-",Tableau118[[#This Row],[Name Shipper]],"-",Tableau118[[#This Row],[Name Site]])</f>
        <v>--</v>
      </c>
      <c r="C102" s="65" t="e">
        <f ca="1">_xlfn.CONCAT(Tableau118[[#This Row],[Compte ILN]],"-",Tableau118[[#This Row],[Compte Shipper]],"-",Tableau118[[#This Row],[POL]],"-",Tableau118[[#This Row],[Compte Site]])</f>
        <v>#N/A</v>
      </c>
      <c r="D102" s="64" t="e">
        <f ca="1">_xlfn.CONCAT(Tableau118[[#This Row],[Compte ILN]],"-",Tableau118[[#This Row],[Compte Shipper]],"-",Tableau118[[#This Row],[POL]])</f>
        <v>#N/A</v>
      </c>
      <c r="E102" s="396" t="e">
        <f ca="1">_xlfn.CONCAT(Tableau118[[#This Row],[POL]],"-",Tableau118[[#This Row],[Carrier]],"-",Tableau118[[#This Row],[POD]])</f>
        <v>#N/A</v>
      </c>
      <c r="F102" s="64" t="str">
        <f>_xlfn.CONCAT(Tableau118[[#This Row],[ID]],"-","Next")</f>
        <v>-Next</v>
      </c>
      <c r="G102" s="64" t="e">
        <f ca="1">_xlfn.CONCAT(Tableau118[[#This Row],[POD]],"-",Tableau118[[#This Row],[Code PFI]],"-",Tableau118[[#This Row],[Compte Site]])</f>
        <v>#N/A</v>
      </c>
      <c r="H10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2" s="397" t="str">
        <f ca="1">IF(COUNTIF(I:I,Tableau118[[#This Row],[Plant-ILN-shipper-POL-Carrier-POD-PFI]])=1,"Non","Oui")</f>
        <v>Oui</v>
      </c>
      <c r="K102" s="398" t="e">
        <f>VLOOKUP(Tableau118[[#This Row],[Name Site]],Plant_AILN!A:D,4,FALSE)</f>
        <v>#N/A</v>
      </c>
      <c r="L102" s="285"/>
      <c r="M102" s="480"/>
      <c r="N102" s="55"/>
      <c r="O102" s="66"/>
      <c r="P102" s="481"/>
      <c r="Q102" s="50"/>
      <c r="R102" s="50"/>
      <c r="S102" s="50"/>
      <c r="T102" s="50"/>
      <c r="U102" s="50"/>
      <c r="V102" s="50"/>
      <c r="W102" s="53"/>
      <c r="X102" s="283"/>
      <c r="Y102" s="482">
        <f>IFERROR(VLOOKUP(Tableau118[[#This Row],[Name Shipper]],Plant_AILN!L:M,2,FALSE),0)</f>
        <v>0</v>
      </c>
      <c r="Z102" s="358"/>
      <c r="AA102" s="353" t="e">
        <f ca="1">VLOOKUP(Tableau118[[#This Row],[Key(ID-Actif)]],'DATA BTO'!A:N,5,FALSE)</f>
        <v>#N/A</v>
      </c>
      <c r="AB102" s="3" t="e">
        <f ca="1">VLOOKUP(Tableau118[[#This Row],[Key(ID-Actif)]],'DATA BTO'!A:N,6,FALSE)</f>
        <v>#N/A</v>
      </c>
      <c r="AC102" s="50" t="e">
        <f ca="1">VLOOKUP(Tableau118[[#This Row],[Key(ID-Actif)]],'DATA BTO'!A:N,7,FALSE)</f>
        <v>#N/A</v>
      </c>
      <c r="AD102" s="50" t="e">
        <f ca="1">VLOOKUP(Tableau118[[#This Row],[Key(ID-Actif)]],'DATA BTO'!A:N,8,FALSE)</f>
        <v>#N/A</v>
      </c>
      <c r="AE102" s="50" t="e">
        <f ca="1">IF(Tableau118[[#This Row],[First Day to POL]]&lt;=Tableau118[[#This Row],[Day Cut Off]],Tableau118[[#This Row],[Day ETD]],Tableau118[[#This Row],[Day ETD]]+7)</f>
        <v>#N/A</v>
      </c>
      <c r="AF102" s="50" t="e">
        <f ca="1">VLOOKUP(Tableau118[[#This Row],[Key(ID-Actif)]],'DATA BTO'!A:N,9,FALSE)</f>
        <v>#N/A</v>
      </c>
      <c r="AG102" s="3" t="e">
        <f ca="1">VLOOKUP(Tableau118[[#This Row],[Key(ID-Actif)]],'DATA BTO'!A:N,10,FALSE)</f>
        <v>#N/A</v>
      </c>
      <c r="AH102" s="3" t="e">
        <f ca="1">VLOOKUP(Tableau118[[#This Row],[Key(ID-Actif)]],'DATA BTO'!A:N,11,FALSE)</f>
        <v>#N/A</v>
      </c>
      <c r="AI102" s="50" t="e">
        <f ca="1">VLOOKUP(Tableau118[[#This Row],[Key(ID-Actif)]],'DATA BTO'!A:N,12,FALSE)</f>
        <v>#N/A</v>
      </c>
      <c r="AJ102" s="53" t="e">
        <f ca="1">VLOOKUP(Tableau118[[#This Row],[Key(ID-Actif)]],'DATA BTO'!A:N,14,FALSE)</f>
        <v>#N/A</v>
      </c>
      <c r="AK102" s="54" t="e">
        <f ca="1">VLOOKUP(Tableau118[[#This Row],[Key(POD -PFI- Usine)]],'DATA Consignee'!A:F,6,FALSE)</f>
        <v>#N/A</v>
      </c>
      <c r="AL102" s="125"/>
      <c r="AM102" s="483" t="str">
        <f>IF(Tableau118[[#This Row],[Name PFI/CDD]]="","-",VLOOKUP(Tableau118[[#This Row],[Name PFI/CDD]],Plant_AILN!I:J,2,FALSE))</f>
        <v>-</v>
      </c>
      <c r="AN10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2" s="2" t="e">
        <f ca="1">VLOOKUP(Tableau118[[#This Row],[Key(POD -PFI- Usine)]],'DATA Consignee'!A:J,10,FALSE)</f>
        <v>#N/A</v>
      </c>
      <c r="AQ102" s="50" t="e">
        <f ca="1">VLOOKUP(Tableau118[[#This Row],[Key(POD -PFI- Usine)]],'DATA Consignee'!A:N,14,FALSE)</f>
        <v>#N/A</v>
      </c>
      <c r="AR10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2" s="50" t="e">
        <f ca="1">Tableau118[[#This Row],[Transit time]]+Tableau118[[#This Row],[Time for security]]+Tableau118[[#This Row],[Time for security2 buffer]]</f>
        <v>#N/A</v>
      </c>
      <c r="AU10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2" s="389" t="e">
        <f ca="1">Tableau118[[#This Row],[Leadtime SI2C]]+Tableau118[[#This Row],[First Receipt Days]]-Tableau118[[#This Row],[Day Customer Order]]+1</f>
        <v>#N/A</v>
      </c>
      <c r="AW102" s="117" t="e">
        <f ca="1">IF(Tableau118[[#This Row],[Name ILN]]&lt;&gt;"SFK Freight Forwarder",Tableau118[[#This Row],[Cust. Leadtime]],Tableau118[[#This Row],[Leadtime SI2C]])</f>
        <v>#N/A</v>
      </c>
      <c r="AX102" s="51" t="e">
        <f>VLOOKUP(Tableau118[[#This Row],[ID]],'DATA BTO'!B:P,15,FALSE)</f>
        <v>#N/A</v>
      </c>
      <c r="AY102" s="328" t="e">
        <f ca="1">IFERROR(VLOOKUP(Tableau118[[#This Row],[Key(ID-Actif)]],'DATA BTO'!A:N,4,FALSE),VLOOKUP(Tableau118[[#This Row],[ID]],'DATA BTO'!B:N,3,FALSE))</f>
        <v>#N/A</v>
      </c>
      <c r="AZ10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2" s="50"/>
    </row>
    <row r="103" spans="2:57">
      <c r="B103" s="65" t="str">
        <f>_xlfn.CONCAT(Tableau118[[#This Row],[Name ILN]],"-",Tableau118[[#This Row],[Name Shipper]],"-",Tableau118[[#This Row],[Name Site]])</f>
        <v>--</v>
      </c>
      <c r="C103" s="65" t="e">
        <f ca="1">_xlfn.CONCAT(Tableau118[[#This Row],[Compte ILN]],"-",Tableau118[[#This Row],[Compte Shipper]],"-",Tableau118[[#This Row],[POL]],"-",Tableau118[[#This Row],[Compte Site]])</f>
        <v>#N/A</v>
      </c>
      <c r="D103" s="64" t="e">
        <f ca="1">_xlfn.CONCAT(Tableau118[[#This Row],[Compte ILN]],"-",Tableau118[[#This Row],[Compte Shipper]],"-",Tableau118[[#This Row],[POL]])</f>
        <v>#N/A</v>
      </c>
      <c r="E103" s="396" t="e">
        <f ca="1">_xlfn.CONCAT(Tableau118[[#This Row],[POL]],"-",Tableau118[[#This Row],[Carrier]],"-",Tableau118[[#This Row],[POD]])</f>
        <v>#N/A</v>
      </c>
      <c r="F103" s="64" t="str">
        <f>_xlfn.CONCAT(Tableau118[[#This Row],[ID]],"-","Next")</f>
        <v>-Next</v>
      </c>
      <c r="G103" s="64" t="e">
        <f ca="1">_xlfn.CONCAT(Tableau118[[#This Row],[POD]],"-",Tableau118[[#This Row],[Code PFI]],"-",Tableau118[[#This Row],[Compte Site]])</f>
        <v>#N/A</v>
      </c>
      <c r="H10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3" s="397" t="str">
        <f ca="1">IF(COUNTIF(I:I,Tableau118[[#This Row],[Plant-ILN-shipper-POL-Carrier-POD-PFI]])=1,"Non","Oui")</f>
        <v>Oui</v>
      </c>
      <c r="K103" s="398" t="e">
        <f>VLOOKUP(Tableau118[[#This Row],[Name Site]],Plant_AILN!A:D,4,FALSE)</f>
        <v>#N/A</v>
      </c>
      <c r="L103" s="285"/>
      <c r="M103" s="480"/>
      <c r="N103" s="55"/>
      <c r="O103" s="66"/>
      <c r="P103" s="481"/>
      <c r="Q103" s="50"/>
      <c r="R103" s="50"/>
      <c r="S103" s="50"/>
      <c r="T103" s="50"/>
      <c r="U103" s="50"/>
      <c r="V103" s="50"/>
      <c r="W103" s="53"/>
      <c r="X103" s="283"/>
      <c r="Y103" s="482">
        <f>IFERROR(VLOOKUP(Tableau118[[#This Row],[Name Shipper]],Plant_AILN!L:M,2,FALSE),0)</f>
        <v>0</v>
      </c>
      <c r="Z103" s="358"/>
      <c r="AA103" s="353" t="e">
        <f ca="1">VLOOKUP(Tableau118[[#This Row],[Key(ID-Actif)]],'DATA BTO'!A:N,5,FALSE)</f>
        <v>#N/A</v>
      </c>
      <c r="AB103" s="3" t="e">
        <f ca="1">VLOOKUP(Tableau118[[#This Row],[Key(ID-Actif)]],'DATA BTO'!A:N,6,FALSE)</f>
        <v>#N/A</v>
      </c>
      <c r="AC103" s="50" t="e">
        <f ca="1">VLOOKUP(Tableau118[[#This Row],[Key(ID-Actif)]],'DATA BTO'!A:N,7,FALSE)</f>
        <v>#N/A</v>
      </c>
      <c r="AD103" s="50" t="e">
        <f ca="1">VLOOKUP(Tableau118[[#This Row],[Key(ID-Actif)]],'DATA BTO'!A:N,8,FALSE)</f>
        <v>#N/A</v>
      </c>
      <c r="AE103" s="50" t="e">
        <f ca="1">IF(Tableau118[[#This Row],[First Day to POL]]&lt;=Tableau118[[#This Row],[Day Cut Off]],Tableau118[[#This Row],[Day ETD]],Tableau118[[#This Row],[Day ETD]]+7)</f>
        <v>#N/A</v>
      </c>
      <c r="AF103" s="50" t="e">
        <f ca="1">VLOOKUP(Tableau118[[#This Row],[Key(ID-Actif)]],'DATA BTO'!A:N,9,FALSE)</f>
        <v>#N/A</v>
      </c>
      <c r="AG103" s="3" t="e">
        <f ca="1">VLOOKUP(Tableau118[[#This Row],[Key(ID-Actif)]],'DATA BTO'!A:N,10,FALSE)</f>
        <v>#N/A</v>
      </c>
      <c r="AH103" s="3" t="e">
        <f ca="1">VLOOKUP(Tableau118[[#This Row],[Key(ID-Actif)]],'DATA BTO'!A:N,11,FALSE)</f>
        <v>#N/A</v>
      </c>
      <c r="AI103" s="50" t="e">
        <f ca="1">VLOOKUP(Tableau118[[#This Row],[Key(ID-Actif)]],'DATA BTO'!A:N,12,FALSE)</f>
        <v>#N/A</v>
      </c>
      <c r="AJ103" s="53" t="e">
        <f ca="1">VLOOKUP(Tableau118[[#This Row],[Key(ID-Actif)]],'DATA BTO'!A:N,14,FALSE)</f>
        <v>#N/A</v>
      </c>
      <c r="AK103" s="54" t="e">
        <f ca="1">VLOOKUP(Tableau118[[#This Row],[Key(POD -PFI- Usine)]],'DATA Consignee'!A:F,6,FALSE)</f>
        <v>#N/A</v>
      </c>
      <c r="AL103" s="125"/>
      <c r="AM103" s="483" t="str">
        <f>IF(Tableau118[[#This Row],[Name PFI/CDD]]="","-",VLOOKUP(Tableau118[[#This Row],[Name PFI/CDD]],Plant_AILN!I:J,2,FALSE))</f>
        <v>-</v>
      </c>
      <c r="AN10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3" s="2" t="e">
        <f ca="1">VLOOKUP(Tableau118[[#This Row],[Key(POD -PFI- Usine)]],'DATA Consignee'!A:J,10,FALSE)</f>
        <v>#N/A</v>
      </c>
      <c r="AQ103" s="50" t="e">
        <f ca="1">VLOOKUP(Tableau118[[#This Row],[Key(POD -PFI- Usine)]],'DATA Consignee'!A:N,14,FALSE)</f>
        <v>#N/A</v>
      </c>
      <c r="AR10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3" s="50" t="e">
        <f ca="1">Tableau118[[#This Row],[Transit time]]+Tableau118[[#This Row],[Time for security]]+Tableau118[[#This Row],[Time for security2 buffer]]</f>
        <v>#N/A</v>
      </c>
      <c r="AU10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3" s="389" t="e">
        <f ca="1">Tableau118[[#This Row],[Leadtime SI2C]]+Tableau118[[#This Row],[First Receipt Days]]-Tableau118[[#This Row],[Day Customer Order]]+1</f>
        <v>#N/A</v>
      </c>
      <c r="AW103" s="117" t="e">
        <f ca="1">IF(Tableau118[[#This Row],[Name ILN]]&lt;&gt;"SFK Freight Forwarder",Tableau118[[#This Row],[Cust. Leadtime]],Tableau118[[#This Row],[Leadtime SI2C]])</f>
        <v>#N/A</v>
      </c>
      <c r="AX103" s="51" t="e">
        <f>VLOOKUP(Tableau118[[#This Row],[ID]],'DATA BTO'!B:P,15,FALSE)</f>
        <v>#N/A</v>
      </c>
      <c r="AY103" s="328" t="e">
        <f ca="1">IFERROR(VLOOKUP(Tableau118[[#This Row],[Key(ID-Actif)]],'DATA BTO'!A:N,4,FALSE),VLOOKUP(Tableau118[[#This Row],[ID]],'DATA BTO'!B:N,3,FALSE))</f>
        <v>#N/A</v>
      </c>
      <c r="AZ10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3" s="50"/>
    </row>
    <row r="104" spans="2:57">
      <c r="B104" s="65" t="str">
        <f>_xlfn.CONCAT(Tableau118[[#This Row],[Name ILN]],"-",Tableau118[[#This Row],[Name Shipper]],"-",Tableau118[[#This Row],[Name Site]])</f>
        <v>--</v>
      </c>
      <c r="C104" s="65" t="e">
        <f ca="1">_xlfn.CONCAT(Tableau118[[#This Row],[Compte ILN]],"-",Tableau118[[#This Row],[Compte Shipper]],"-",Tableau118[[#This Row],[POL]],"-",Tableau118[[#This Row],[Compte Site]])</f>
        <v>#N/A</v>
      </c>
      <c r="D104" s="64" t="e">
        <f ca="1">_xlfn.CONCAT(Tableau118[[#This Row],[Compte ILN]],"-",Tableau118[[#This Row],[Compte Shipper]],"-",Tableau118[[#This Row],[POL]])</f>
        <v>#N/A</v>
      </c>
      <c r="E104" s="396" t="e">
        <f ca="1">_xlfn.CONCAT(Tableau118[[#This Row],[POL]],"-",Tableau118[[#This Row],[Carrier]],"-",Tableau118[[#This Row],[POD]])</f>
        <v>#N/A</v>
      </c>
      <c r="F104" s="64" t="str">
        <f>_xlfn.CONCAT(Tableau118[[#This Row],[ID]],"-","Next")</f>
        <v>-Next</v>
      </c>
      <c r="G104" s="64" t="e">
        <f ca="1">_xlfn.CONCAT(Tableau118[[#This Row],[POD]],"-",Tableau118[[#This Row],[Code PFI]],"-",Tableau118[[#This Row],[Compte Site]])</f>
        <v>#N/A</v>
      </c>
      <c r="H10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4" s="397" t="str">
        <f ca="1">IF(COUNTIF(I:I,Tableau118[[#This Row],[Plant-ILN-shipper-POL-Carrier-POD-PFI]])=1,"Non","Oui")</f>
        <v>Oui</v>
      </c>
      <c r="K104" s="398" t="e">
        <f>VLOOKUP(Tableau118[[#This Row],[Name Site]],Plant_AILN!A:D,4,FALSE)</f>
        <v>#N/A</v>
      </c>
      <c r="L104" s="285"/>
      <c r="M104" s="480"/>
      <c r="N104" s="55"/>
      <c r="O104" s="114"/>
      <c r="P104" s="481"/>
      <c r="Q104" s="50"/>
      <c r="R104" s="50"/>
      <c r="S104" s="50"/>
      <c r="T104" s="50"/>
      <c r="U104" s="50"/>
      <c r="V104" s="50"/>
      <c r="W104" s="53"/>
      <c r="X104" s="283"/>
      <c r="Y104" s="482">
        <f>IFERROR(VLOOKUP(Tableau118[[#This Row],[Name Shipper]],Plant_AILN!L:M,2,FALSE),0)</f>
        <v>0</v>
      </c>
      <c r="Z104" s="358"/>
      <c r="AA104" s="353" t="e">
        <f ca="1">VLOOKUP(Tableau118[[#This Row],[Key(ID-Actif)]],'DATA BTO'!A:N,5,FALSE)</f>
        <v>#N/A</v>
      </c>
      <c r="AB104" s="3" t="e">
        <f ca="1">VLOOKUP(Tableau118[[#This Row],[Key(ID-Actif)]],'DATA BTO'!A:N,6,FALSE)</f>
        <v>#N/A</v>
      </c>
      <c r="AC104" s="50" t="e">
        <f ca="1">VLOOKUP(Tableau118[[#This Row],[Key(ID-Actif)]],'DATA BTO'!A:N,7,FALSE)</f>
        <v>#N/A</v>
      </c>
      <c r="AD104" s="50" t="e">
        <f ca="1">VLOOKUP(Tableau118[[#This Row],[Key(ID-Actif)]],'DATA BTO'!A:N,8,FALSE)</f>
        <v>#N/A</v>
      </c>
      <c r="AE104" s="50" t="e">
        <f ca="1">IF(Tableau118[[#This Row],[First Day to POL]]&lt;=Tableau118[[#This Row],[Day Cut Off]],Tableau118[[#This Row],[Day ETD]],Tableau118[[#This Row],[Day ETD]]+7)</f>
        <v>#N/A</v>
      </c>
      <c r="AF104" s="50" t="e">
        <f ca="1">VLOOKUP(Tableau118[[#This Row],[Key(ID-Actif)]],'DATA BTO'!A:N,9,FALSE)</f>
        <v>#N/A</v>
      </c>
      <c r="AG104" s="3" t="e">
        <f ca="1">VLOOKUP(Tableau118[[#This Row],[Key(ID-Actif)]],'DATA BTO'!A:N,10,FALSE)</f>
        <v>#N/A</v>
      </c>
      <c r="AH104" s="3" t="e">
        <f ca="1">VLOOKUP(Tableau118[[#This Row],[Key(ID-Actif)]],'DATA BTO'!A:N,11,FALSE)</f>
        <v>#N/A</v>
      </c>
      <c r="AI104" s="50" t="e">
        <f ca="1">VLOOKUP(Tableau118[[#This Row],[Key(ID-Actif)]],'DATA BTO'!A:N,12,FALSE)</f>
        <v>#N/A</v>
      </c>
      <c r="AJ104" s="53" t="e">
        <f ca="1">VLOOKUP(Tableau118[[#This Row],[Key(ID-Actif)]],'DATA BTO'!A:N,14,FALSE)</f>
        <v>#N/A</v>
      </c>
      <c r="AK104" s="54" t="e">
        <f ca="1">VLOOKUP(Tableau118[[#This Row],[Key(POD -PFI- Usine)]],'DATA Consignee'!A:F,6,FALSE)</f>
        <v>#N/A</v>
      </c>
      <c r="AL104" s="125"/>
      <c r="AM104" s="483" t="str">
        <f>IF(Tableau118[[#This Row],[Name PFI/CDD]]="","-",VLOOKUP(Tableau118[[#This Row],[Name PFI/CDD]],Plant_AILN!I:J,2,FALSE))</f>
        <v>-</v>
      </c>
      <c r="AN10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4" s="2" t="e">
        <f ca="1">VLOOKUP(Tableau118[[#This Row],[Key(POD -PFI- Usine)]],'DATA Consignee'!A:J,10,FALSE)</f>
        <v>#N/A</v>
      </c>
      <c r="AQ104" s="50" t="e">
        <f ca="1">VLOOKUP(Tableau118[[#This Row],[Key(POD -PFI- Usine)]],'DATA Consignee'!A:N,14,FALSE)</f>
        <v>#N/A</v>
      </c>
      <c r="AR10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4" s="50" t="e">
        <f ca="1">Tableau118[[#This Row],[Transit time]]+Tableau118[[#This Row],[Time for security]]+Tableau118[[#This Row],[Time for security2 buffer]]</f>
        <v>#N/A</v>
      </c>
      <c r="AU10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4" s="389" t="e">
        <f ca="1">Tableau118[[#This Row],[Leadtime SI2C]]+Tableau118[[#This Row],[First Receipt Days]]-Tableau118[[#This Row],[Day Customer Order]]+1</f>
        <v>#N/A</v>
      </c>
      <c r="AW104" s="117" t="e">
        <f ca="1">IF(Tableau118[[#This Row],[Name ILN]]&lt;&gt;"SFK Freight Forwarder",Tableau118[[#This Row],[Cust. Leadtime]],Tableau118[[#This Row],[Leadtime SI2C]])</f>
        <v>#N/A</v>
      </c>
      <c r="AX104" s="51" t="e">
        <f>VLOOKUP(Tableau118[[#This Row],[ID]],'DATA BTO'!B:P,15,FALSE)</f>
        <v>#N/A</v>
      </c>
      <c r="AY104" s="328" t="e">
        <f ca="1">IFERROR(VLOOKUP(Tableau118[[#This Row],[Key(ID-Actif)]],'DATA BTO'!A:N,4,FALSE),VLOOKUP(Tableau118[[#This Row],[ID]],'DATA BTO'!B:N,3,FALSE))</f>
        <v>#N/A</v>
      </c>
      <c r="AZ10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4" s="50"/>
    </row>
    <row r="105" spans="2:57">
      <c r="B105" s="65" t="str">
        <f>_xlfn.CONCAT(Tableau118[[#This Row],[Name ILN]],"-",Tableau118[[#This Row],[Name Shipper]],"-",Tableau118[[#This Row],[Name Site]])</f>
        <v>--</v>
      </c>
      <c r="C105" s="65" t="e">
        <f ca="1">_xlfn.CONCAT(Tableau118[[#This Row],[Compte ILN]],"-",Tableau118[[#This Row],[Compte Shipper]],"-",Tableau118[[#This Row],[POL]],"-",Tableau118[[#This Row],[Compte Site]])</f>
        <v>#N/A</v>
      </c>
      <c r="D105" s="64" t="e">
        <f ca="1">_xlfn.CONCAT(Tableau118[[#This Row],[Compte ILN]],"-",Tableau118[[#This Row],[Compte Shipper]],"-",Tableau118[[#This Row],[POL]])</f>
        <v>#N/A</v>
      </c>
      <c r="E105" s="396" t="e">
        <f ca="1">_xlfn.CONCAT(Tableau118[[#This Row],[POL]],"-",Tableau118[[#This Row],[Carrier]],"-",Tableau118[[#This Row],[POD]])</f>
        <v>#N/A</v>
      </c>
      <c r="F105" s="64" t="str">
        <f>_xlfn.CONCAT(Tableau118[[#This Row],[ID]],"-","Next")</f>
        <v>-Next</v>
      </c>
      <c r="G105" s="64" t="e">
        <f ca="1">_xlfn.CONCAT(Tableau118[[#This Row],[POD]],"-",Tableau118[[#This Row],[Code PFI]],"-",Tableau118[[#This Row],[Compte Site]])</f>
        <v>#N/A</v>
      </c>
      <c r="H10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5" s="397" t="str">
        <f ca="1">IF(COUNTIF(I:I,Tableau118[[#This Row],[Plant-ILN-shipper-POL-Carrier-POD-PFI]])=1,"Non","Oui")</f>
        <v>Oui</v>
      </c>
      <c r="K105" s="398" t="e">
        <f>VLOOKUP(Tableau118[[#This Row],[Name Site]],Plant_AILN!A:D,4,FALSE)</f>
        <v>#N/A</v>
      </c>
      <c r="L105" s="285"/>
      <c r="M105" s="480"/>
      <c r="N105" s="55"/>
      <c r="O105" s="114"/>
      <c r="P105" s="481"/>
      <c r="Q105" s="50"/>
      <c r="R105" s="50"/>
      <c r="S105" s="50"/>
      <c r="T105" s="50"/>
      <c r="U105" s="50"/>
      <c r="V105" s="50"/>
      <c r="W105" s="53"/>
      <c r="X105" s="283"/>
      <c r="Y105" s="482">
        <f>IFERROR(VLOOKUP(Tableau118[[#This Row],[Name Shipper]],Plant_AILN!L:M,2,FALSE),0)</f>
        <v>0</v>
      </c>
      <c r="Z105" s="358"/>
      <c r="AA105" s="353" t="e">
        <f ca="1">VLOOKUP(Tableau118[[#This Row],[Key(ID-Actif)]],'DATA BTO'!A:N,5,FALSE)</f>
        <v>#N/A</v>
      </c>
      <c r="AB105" s="3" t="e">
        <f ca="1">VLOOKUP(Tableau118[[#This Row],[Key(ID-Actif)]],'DATA BTO'!A:N,6,FALSE)</f>
        <v>#N/A</v>
      </c>
      <c r="AC105" s="50" t="e">
        <f ca="1">VLOOKUP(Tableau118[[#This Row],[Key(ID-Actif)]],'DATA BTO'!A:N,7,FALSE)</f>
        <v>#N/A</v>
      </c>
      <c r="AD105" s="50" t="e">
        <f ca="1">VLOOKUP(Tableau118[[#This Row],[Key(ID-Actif)]],'DATA BTO'!A:N,8,FALSE)</f>
        <v>#N/A</v>
      </c>
      <c r="AE105" s="50" t="e">
        <f ca="1">IF(Tableau118[[#This Row],[First Day to POL]]&lt;=Tableau118[[#This Row],[Day Cut Off]],Tableau118[[#This Row],[Day ETD]],Tableau118[[#This Row],[Day ETD]]+7)</f>
        <v>#N/A</v>
      </c>
      <c r="AF105" s="50" t="e">
        <f ca="1">VLOOKUP(Tableau118[[#This Row],[Key(ID-Actif)]],'DATA BTO'!A:N,9,FALSE)</f>
        <v>#N/A</v>
      </c>
      <c r="AG105" s="3" t="e">
        <f ca="1">VLOOKUP(Tableau118[[#This Row],[Key(ID-Actif)]],'DATA BTO'!A:N,10,FALSE)</f>
        <v>#N/A</v>
      </c>
      <c r="AH105" s="3" t="e">
        <f ca="1">VLOOKUP(Tableau118[[#This Row],[Key(ID-Actif)]],'DATA BTO'!A:N,11,FALSE)</f>
        <v>#N/A</v>
      </c>
      <c r="AI105" s="50" t="e">
        <f ca="1">VLOOKUP(Tableau118[[#This Row],[Key(ID-Actif)]],'DATA BTO'!A:N,12,FALSE)</f>
        <v>#N/A</v>
      </c>
      <c r="AJ105" s="53" t="e">
        <f ca="1">VLOOKUP(Tableau118[[#This Row],[Key(ID-Actif)]],'DATA BTO'!A:N,14,FALSE)</f>
        <v>#N/A</v>
      </c>
      <c r="AK105" s="54" t="e">
        <f ca="1">VLOOKUP(Tableau118[[#This Row],[Key(POD -PFI- Usine)]],'DATA Consignee'!A:F,6,FALSE)</f>
        <v>#N/A</v>
      </c>
      <c r="AL105" s="125"/>
      <c r="AM105" s="483" t="str">
        <f>IF(Tableau118[[#This Row],[Name PFI/CDD]]="","-",VLOOKUP(Tableau118[[#This Row],[Name PFI/CDD]],Plant_AILN!I:J,2,FALSE))</f>
        <v>-</v>
      </c>
      <c r="AN10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5" s="2" t="e">
        <f ca="1">VLOOKUP(Tableau118[[#This Row],[Key(POD -PFI- Usine)]],'DATA Consignee'!A:J,10,FALSE)</f>
        <v>#N/A</v>
      </c>
      <c r="AQ105" s="50" t="e">
        <f ca="1">VLOOKUP(Tableau118[[#This Row],[Key(POD -PFI- Usine)]],'DATA Consignee'!A:N,14,FALSE)</f>
        <v>#N/A</v>
      </c>
      <c r="AR10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5" s="50" t="e">
        <f ca="1">Tableau118[[#This Row],[Transit time]]+Tableau118[[#This Row],[Time for security]]+Tableau118[[#This Row],[Time for security2 buffer]]</f>
        <v>#N/A</v>
      </c>
      <c r="AU10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5" s="389" t="e">
        <f ca="1">Tableau118[[#This Row],[Leadtime SI2C]]+Tableau118[[#This Row],[First Receipt Days]]-Tableau118[[#This Row],[Day Customer Order]]+1</f>
        <v>#N/A</v>
      </c>
      <c r="AW105" s="117" t="e">
        <f ca="1">IF(Tableau118[[#This Row],[Name ILN]]&lt;&gt;"SFK Freight Forwarder",Tableau118[[#This Row],[Cust. Leadtime]],Tableau118[[#This Row],[Leadtime SI2C]])</f>
        <v>#N/A</v>
      </c>
      <c r="AX105" s="51" t="e">
        <f>VLOOKUP(Tableau118[[#This Row],[ID]],'DATA BTO'!B:P,15,FALSE)</f>
        <v>#N/A</v>
      </c>
      <c r="AY105" s="328" t="e">
        <f ca="1">IFERROR(VLOOKUP(Tableau118[[#This Row],[Key(ID-Actif)]],'DATA BTO'!A:N,4,FALSE),VLOOKUP(Tableau118[[#This Row],[ID]],'DATA BTO'!B:N,3,FALSE))</f>
        <v>#N/A</v>
      </c>
      <c r="AZ10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5" s="50"/>
    </row>
    <row r="106" spans="2:57">
      <c r="B106" s="65" t="str">
        <f>_xlfn.CONCAT(Tableau118[[#This Row],[Name ILN]],"-",Tableau118[[#This Row],[Name Shipper]],"-",Tableau118[[#This Row],[Name Site]])</f>
        <v>--</v>
      </c>
      <c r="C106" s="65" t="e">
        <f ca="1">_xlfn.CONCAT(Tableau118[[#This Row],[Compte ILN]],"-",Tableau118[[#This Row],[Compte Shipper]],"-",Tableau118[[#This Row],[POL]],"-",Tableau118[[#This Row],[Compte Site]])</f>
        <v>#N/A</v>
      </c>
      <c r="D106" s="64" t="e">
        <f ca="1">_xlfn.CONCAT(Tableau118[[#This Row],[Compte ILN]],"-",Tableau118[[#This Row],[Compte Shipper]],"-",Tableau118[[#This Row],[POL]])</f>
        <v>#N/A</v>
      </c>
      <c r="E106" s="396" t="e">
        <f ca="1">_xlfn.CONCAT(Tableau118[[#This Row],[POL]],"-",Tableau118[[#This Row],[Carrier]],"-",Tableau118[[#This Row],[POD]])</f>
        <v>#N/A</v>
      </c>
      <c r="F106" s="64" t="str">
        <f>_xlfn.CONCAT(Tableau118[[#This Row],[ID]],"-","Next")</f>
        <v>-Next</v>
      </c>
      <c r="G106" s="64" t="e">
        <f ca="1">_xlfn.CONCAT(Tableau118[[#This Row],[POD]],"-",Tableau118[[#This Row],[Code PFI]],"-",Tableau118[[#This Row],[Compte Site]])</f>
        <v>#N/A</v>
      </c>
      <c r="H10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6" s="397" t="str">
        <f ca="1">IF(COUNTIF(I:I,Tableau118[[#This Row],[Plant-ILN-shipper-POL-Carrier-POD-PFI]])=1,"Non","Oui")</f>
        <v>Oui</v>
      </c>
      <c r="K106" s="398" t="e">
        <f>VLOOKUP(Tableau118[[#This Row],[Name Site]],Plant_AILN!A:D,4,FALSE)</f>
        <v>#N/A</v>
      </c>
      <c r="L106" s="285"/>
      <c r="M106" s="480"/>
      <c r="N106" s="55"/>
      <c r="O106" s="114"/>
      <c r="P106" s="481"/>
      <c r="Q106" s="50"/>
      <c r="R106" s="50"/>
      <c r="S106" s="50"/>
      <c r="T106" s="50"/>
      <c r="U106" s="50"/>
      <c r="V106" s="50"/>
      <c r="W106" s="53"/>
      <c r="X106" s="283"/>
      <c r="Y106" s="482">
        <f>IFERROR(VLOOKUP(Tableau118[[#This Row],[Name Shipper]],Plant_AILN!L:M,2,FALSE),0)</f>
        <v>0</v>
      </c>
      <c r="Z106" s="358"/>
      <c r="AA106" s="353" t="e">
        <f ca="1">VLOOKUP(Tableau118[[#This Row],[Key(ID-Actif)]],'DATA BTO'!A:N,5,FALSE)</f>
        <v>#N/A</v>
      </c>
      <c r="AB106" s="3" t="e">
        <f ca="1">VLOOKUP(Tableau118[[#This Row],[Key(ID-Actif)]],'DATA BTO'!A:N,6,FALSE)</f>
        <v>#N/A</v>
      </c>
      <c r="AC106" s="50" t="e">
        <f ca="1">VLOOKUP(Tableau118[[#This Row],[Key(ID-Actif)]],'DATA BTO'!A:N,7,FALSE)</f>
        <v>#N/A</v>
      </c>
      <c r="AD106" s="50" t="e">
        <f ca="1">VLOOKUP(Tableau118[[#This Row],[Key(ID-Actif)]],'DATA BTO'!A:N,8,FALSE)</f>
        <v>#N/A</v>
      </c>
      <c r="AE106" s="50" t="e">
        <f ca="1">IF(Tableau118[[#This Row],[First Day to POL]]&lt;=Tableau118[[#This Row],[Day Cut Off]],Tableau118[[#This Row],[Day ETD]],Tableau118[[#This Row],[Day ETD]]+7)</f>
        <v>#N/A</v>
      </c>
      <c r="AF106" s="50" t="e">
        <f ca="1">VLOOKUP(Tableau118[[#This Row],[Key(ID-Actif)]],'DATA BTO'!A:N,9,FALSE)</f>
        <v>#N/A</v>
      </c>
      <c r="AG106" s="3" t="e">
        <f ca="1">VLOOKUP(Tableau118[[#This Row],[Key(ID-Actif)]],'DATA BTO'!A:N,10,FALSE)</f>
        <v>#N/A</v>
      </c>
      <c r="AH106" s="3" t="e">
        <f ca="1">VLOOKUP(Tableau118[[#This Row],[Key(ID-Actif)]],'DATA BTO'!A:N,11,FALSE)</f>
        <v>#N/A</v>
      </c>
      <c r="AI106" s="50" t="e">
        <f ca="1">VLOOKUP(Tableau118[[#This Row],[Key(ID-Actif)]],'DATA BTO'!A:N,12,FALSE)</f>
        <v>#N/A</v>
      </c>
      <c r="AJ106" s="53" t="e">
        <f ca="1">VLOOKUP(Tableau118[[#This Row],[Key(ID-Actif)]],'DATA BTO'!A:N,14,FALSE)</f>
        <v>#N/A</v>
      </c>
      <c r="AK106" s="54" t="e">
        <f ca="1">VLOOKUP(Tableau118[[#This Row],[Key(POD -PFI- Usine)]],'DATA Consignee'!A:F,6,FALSE)</f>
        <v>#N/A</v>
      </c>
      <c r="AL106" s="125"/>
      <c r="AM106" s="483" t="str">
        <f>IF(Tableau118[[#This Row],[Name PFI/CDD]]="","-",VLOOKUP(Tableau118[[#This Row],[Name PFI/CDD]],Plant_AILN!I:J,2,FALSE))</f>
        <v>-</v>
      </c>
      <c r="AN10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6" s="2" t="e">
        <f ca="1">VLOOKUP(Tableau118[[#This Row],[Key(POD -PFI- Usine)]],'DATA Consignee'!A:J,10,FALSE)</f>
        <v>#N/A</v>
      </c>
      <c r="AQ106" s="50" t="e">
        <f ca="1">VLOOKUP(Tableau118[[#This Row],[Key(POD -PFI- Usine)]],'DATA Consignee'!A:N,14,FALSE)</f>
        <v>#N/A</v>
      </c>
      <c r="AR10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6" s="50" t="e">
        <f ca="1">Tableau118[[#This Row],[Transit time]]+Tableau118[[#This Row],[Time for security]]+Tableau118[[#This Row],[Time for security2 buffer]]</f>
        <v>#N/A</v>
      </c>
      <c r="AU10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6" s="389" t="e">
        <f ca="1">Tableau118[[#This Row],[Leadtime SI2C]]+Tableau118[[#This Row],[First Receipt Days]]-Tableau118[[#This Row],[Day Customer Order]]+1</f>
        <v>#N/A</v>
      </c>
      <c r="AW106" s="117" t="e">
        <f ca="1">IF(Tableau118[[#This Row],[Name ILN]]&lt;&gt;"SFK Freight Forwarder",Tableau118[[#This Row],[Cust. Leadtime]],Tableau118[[#This Row],[Leadtime SI2C]])</f>
        <v>#N/A</v>
      </c>
      <c r="AX106" s="51" t="e">
        <f>VLOOKUP(Tableau118[[#This Row],[ID]],'DATA BTO'!B:P,15,FALSE)</f>
        <v>#N/A</v>
      </c>
      <c r="AY106" s="328" t="e">
        <f ca="1">IFERROR(VLOOKUP(Tableau118[[#This Row],[Key(ID-Actif)]],'DATA BTO'!A:N,4,FALSE),VLOOKUP(Tableau118[[#This Row],[ID]],'DATA BTO'!B:N,3,FALSE))</f>
        <v>#N/A</v>
      </c>
      <c r="AZ10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6" s="50"/>
    </row>
    <row r="107" spans="2:57">
      <c r="B107" s="65" t="str">
        <f>_xlfn.CONCAT(Tableau118[[#This Row],[Name ILN]],"-",Tableau118[[#This Row],[Name Shipper]],"-",Tableau118[[#This Row],[Name Site]])</f>
        <v>--</v>
      </c>
      <c r="C107" s="65" t="e">
        <f ca="1">_xlfn.CONCAT(Tableau118[[#This Row],[Compte ILN]],"-",Tableau118[[#This Row],[Compte Shipper]],"-",Tableau118[[#This Row],[POL]],"-",Tableau118[[#This Row],[Compte Site]])</f>
        <v>#N/A</v>
      </c>
      <c r="D107" s="64" t="e">
        <f ca="1">_xlfn.CONCAT(Tableau118[[#This Row],[Compte ILN]],"-",Tableau118[[#This Row],[Compte Shipper]],"-",Tableau118[[#This Row],[POL]])</f>
        <v>#N/A</v>
      </c>
      <c r="E107" s="396" t="e">
        <f ca="1">_xlfn.CONCAT(Tableau118[[#This Row],[POL]],"-",Tableau118[[#This Row],[Carrier]],"-",Tableau118[[#This Row],[POD]])</f>
        <v>#N/A</v>
      </c>
      <c r="F107" s="64" t="str">
        <f>_xlfn.CONCAT(Tableau118[[#This Row],[ID]],"-","Next")</f>
        <v>-Next</v>
      </c>
      <c r="G107" s="64" t="e">
        <f ca="1">_xlfn.CONCAT(Tableau118[[#This Row],[POD]],"-",Tableau118[[#This Row],[Code PFI]],"-",Tableau118[[#This Row],[Compte Site]])</f>
        <v>#N/A</v>
      </c>
      <c r="H10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7" s="397" t="str">
        <f ca="1">IF(COUNTIF(I:I,Tableau118[[#This Row],[Plant-ILN-shipper-POL-Carrier-POD-PFI]])=1,"Non","Oui")</f>
        <v>Oui</v>
      </c>
      <c r="K107" s="398" t="e">
        <f>VLOOKUP(Tableau118[[#This Row],[Name Site]],Plant_AILN!A:D,4,FALSE)</f>
        <v>#N/A</v>
      </c>
      <c r="L107" s="285"/>
      <c r="M107" s="480"/>
      <c r="N107" s="55"/>
      <c r="O107" s="114"/>
      <c r="P107" s="481"/>
      <c r="Q107" s="50"/>
      <c r="R107" s="50"/>
      <c r="S107" s="50"/>
      <c r="T107" s="50"/>
      <c r="U107" s="50"/>
      <c r="V107" s="50"/>
      <c r="W107" s="53"/>
      <c r="X107" s="283"/>
      <c r="Y107" s="482">
        <f>IFERROR(VLOOKUP(Tableau118[[#This Row],[Name Shipper]],Plant_AILN!L:M,2,FALSE),0)</f>
        <v>0</v>
      </c>
      <c r="Z107" s="358"/>
      <c r="AA107" s="353" t="e">
        <f ca="1">VLOOKUP(Tableau118[[#This Row],[Key(ID-Actif)]],'DATA BTO'!A:N,5,FALSE)</f>
        <v>#N/A</v>
      </c>
      <c r="AB107" s="3" t="e">
        <f ca="1">VLOOKUP(Tableau118[[#This Row],[Key(ID-Actif)]],'DATA BTO'!A:N,6,FALSE)</f>
        <v>#N/A</v>
      </c>
      <c r="AC107" s="50" t="e">
        <f ca="1">VLOOKUP(Tableau118[[#This Row],[Key(ID-Actif)]],'DATA BTO'!A:N,7,FALSE)</f>
        <v>#N/A</v>
      </c>
      <c r="AD107" s="50" t="e">
        <f ca="1">VLOOKUP(Tableau118[[#This Row],[Key(ID-Actif)]],'DATA BTO'!A:N,8,FALSE)</f>
        <v>#N/A</v>
      </c>
      <c r="AE107" s="50" t="e">
        <f ca="1">IF(Tableau118[[#This Row],[First Day to POL]]&lt;=Tableau118[[#This Row],[Day Cut Off]],Tableau118[[#This Row],[Day ETD]],Tableau118[[#This Row],[Day ETD]]+7)</f>
        <v>#N/A</v>
      </c>
      <c r="AF107" s="50" t="e">
        <f ca="1">VLOOKUP(Tableau118[[#This Row],[Key(ID-Actif)]],'DATA BTO'!A:N,9,FALSE)</f>
        <v>#N/A</v>
      </c>
      <c r="AG107" s="3" t="e">
        <f ca="1">VLOOKUP(Tableau118[[#This Row],[Key(ID-Actif)]],'DATA BTO'!A:N,10,FALSE)</f>
        <v>#N/A</v>
      </c>
      <c r="AH107" s="3" t="e">
        <f ca="1">VLOOKUP(Tableau118[[#This Row],[Key(ID-Actif)]],'DATA BTO'!A:N,11,FALSE)</f>
        <v>#N/A</v>
      </c>
      <c r="AI107" s="50" t="e">
        <f ca="1">VLOOKUP(Tableau118[[#This Row],[Key(ID-Actif)]],'DATA BTO'!A:N,12,FALSE)</f>
        <v>#N/A</v>
      </c>
      <c r="AJ107" s="53" t="e">
        <f ca="1">VLOOKUP(Tableau118[[#This Row],[Key(ID-Actif)]],'DATA BTO'!A:N,14,FALSE)</f>
        <v>#N/A</v>
      </c>
      <c r="AK107" s="54" t="e">
        <f ca="1">VLOOKUP(Tableau118[[#This Row],[Key(POD -PFI- Usine)]],'DATA Consignee'!A:F,6,FALSE)</f>
        <v>#N/A</v>
      </c>
      <c r="AL107" s="125"/>
      <c r="AM107" s="483" t="str">
        <f>IF(Tableau118[[#This Row],[Name PFI/CDD]]="","-",VLOOKUP(Tableau118[[#This Row],[Name PFI/CDD]],Plant_AILN!I:J,2,FALSE))</f>
        <v>-</v>
      </c>
      <c r="AN10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7" s="2" t="e">
        <f ca="1">VLOOKUP(Tableau118[[#This Row],[Key(POD -PFI- Usine)]],'DATA Consignee'!A:J,10,FALSE)</f>
        <v>#N/A</v>
      </c>
      <c r="AQ107" s="50" t="e">
        <f ca="1">VLOOKUP(Tableau118[[#This Row],[Key(POD -PFI- Usine)]],'DATA Consignee'!A:N,14,FALSE)</f>
        <v>#N/A</v>
      </c>
      <c r="AR10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7" s="50" t="e">
        <f ca="1">Tableau118[[#This Row],[Transit time]]+Tableau118[[#This Row],[Time for security]]+Tableau118[[#This Row],[Time for security2 buffer]]</f>
        <v>#N/A</v>
      </c>
      <c r="AU10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7" s="389" t="e">
        <f ca="1">Tableau118[[#This Row],[Leadtime SI2C]]+Tableau118[[#This Row],[First Receipt Days]]-Tableau118[[#This Row],[Day Customer Order]]+1</f>
        <v>#N/A</v>
      </c>
      <c r="AW107" s="117" t="e">
        <f ca="1">IF(Tableau118[[#This Row],[Name ILN]]&lt;&gt;"SFK Freight Forwarder",Tableau118[[#This Row],[Cust. Leadtime]],Tableau118[[#This Row],[Leadtime SI2C]])</f>
        <v>#N/A</v>
      </c>
      <c r="AX107" s="51" t="e">
        <f>VLOOKUP(Tableau118[[#This Row],[ID]],'DATA BTO'!B:P,15,FALSE)</f>
        <v>#N/A</v>
      </c>
      <c r="AY107" s="328" t="e">
        <f ca="1">IFERROR(VLOOKUP(Tableau118[[#This Row],[Key(ID-Actif)]],'DATA BTO'!A:N,4,FALSE),VLOOKUP(Tableau118[[#This Row],[ID]],'DATA BTO'!B:N,3,FALSE))</f>
        <v>#N/A</v>
      </c>
      <c r="AZ10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7" s="50"/>
    </row>
    <row r="108" spans="2:57">
      <c r="B108" s="65" t="str">
        <f>_xlfn.CONCAT(Tableau118[[#This Row],[Name ILN]],"-",Tableau118[[#This Row],[Name Shipper]],"-",Tableau118[[#This Row],[Name Site]])</f>
        <v>--</v>
      </c>
      <c r="C108" s="65" t="e">
        <f ca="1">_xlfn.CONCAT(Tableau118[[#This Row],[Compte ILN]],"-",Tableau118[[#This Row],[Compte Shipper]],"-",Tableau118[[#This Row],[POL]],"-",Tableau118[[#This Row],[Compte Site]])</f>
        <v>#N/A</v>
      </c>
      <c r="D108" s="64" t="e">
        <f ca="1">_xlfn.CONCAT(Tableau118[[#This Row],[Compte ILN]],"-",Tableau118[[#This Row],[Compte Shipper]],"-",Tableau118[[#This Row],[POL]])</f>
        <v>#N/A</v>
      </c>
      <c r="E108" s="396" t="e">
        <f ca="1">_xlfn.CONCAT(Tableau118[[#This Row],[POL]],"-",Tableau118[[#This Row],[Carrier]],"-",Tableau118[[#This Row],[POD]])</f>
        <v>#N/A</v>
      </c>
      <c r="F108" s="64" t="str">
        <f>_xlfn.CONCAT(Tableau118[[#This Row],[ID]],"-","Next")</f>
        <v>-Next</v>
      </c>
      <c r="G108" s="64" t="e">
        <f ca="1">_xlfn.CONCAT(Tableau118[[#This Row],[POD]],"-",Tableau118[[#This Row],[Code PFI]],"-",Tableau118[[#This Row],[Compte Site]])</f>
        <v>#N/A</v>
      </c>
      <c r="H10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8" s="397" t="str">
        <f ca="1">IF(COUNTIF(I:I,Tableau118[[#This Row],[Plant-ILN-shipper-POL-Carrier-POD-PFI]])=1,"Non","Oui")</f>
        <v>Oui</v>
      </c>
      <c r="K108" s="398" t="e">
        <f>VLOOKUP(Tableau118[[#This Row],[Name Site]],Plant_AILN!A:D,4,FALSE)</f>
        <v>#N/A</v>
      </c>
      <c r="L108" s="285"/>
      <c r="M108" s="480"/>
      <c r="N108" s="55"/>
      <c r="O108" s="114"/>
      <c r="P108" s="481"/>
      <c r="Q108" s="50"/>
      <c r="R108" s="50"/>
      <c r="S108" s="50"/>
      <c r="T108" s="50"/>
      <c r="U108" s="50"/>
      <c r="V108" s="50"/>
      <c r="W108" s="53"/>
      <c r="X108" s="283"/>
      <c r="Y108" s="482">
        <f>IFERROR(VLOOKUP(Tableau118[[#This Row],[Name Shipper]],Plant_AILN!L:M,2,FALSE),0)</f>
        <v>0</v>
      </c>
      <c r="Z108" s="358"/>
      <c r="AA108" s="353" t="e">
        <f ca="1">VLOOKUP(Tableau118[[#This Row],[Key(ID-Actif)]],'DATA BTO'!A:N,5,FALSE)</f>
        <v>#N/A</v>
      </c>
      <c r="AB108" s="3" t="e">
        <f ca="1">VLOOKUP(Tableau118[[#This Row],[Key(ID-Actif)]],'DATA BTO'!A:N,6,FALSE)</f>
        <v>#N/A</v>
      </c>
      <c r="AC108" s="50" t="e">
        <f ca="1">VLOOKUP(Tableau118[[#This Row],[Key(ID-Actif)]],'DATA BTO'!A:N,7,FALSE)</f>
        <v>#N/A</v>
      </c>
      <c r="AD108" s="50" t="e">
        <f ca="1">VLOOKUP(Tableau118[[#This Row],[Key(ID-Actif)]],'DATA BTO'!A:N,8,FALSE)</f>
        <v>#N/A</v>
      </c>
      <c r="AE108" s="50" t="e">
        <f ca="1">IF(Tableau118[[#This Row],[First Day to POL]]&lt;=Tableau118[[#This Row],[Day Cut Off]],Tableau118[[#This Row],[Day ETD]],Tableau118[[#This Row],[Day ETD]]+7)</f>
        <v>#N/A</v>
      </c>
      <c r="AF108" s="50" t="e">
        <f ca="1">VLOOKUP(Tableau118[[#This Row],[Key(ID-Actif)]],'DATA BTO'!A:N,9,FALSE)</f>
        <v>#N/A</v>
      </c>
      <c r="AG108" s="3" t="e">
        <f ca="1">VLOOKUP(Tableau118[[#This Row],[Key(ID-Actif)]],'DATA BTO'!A:N,10,FALSE)</f>
        <v>#N/A</v>
      </c>
      <c r="AH108" s="3" t="e">
        <f ca="1">VLOOKUP(Tableau118[[#This Row],[Key(ID-Actif)]],'DATA BTO'!A:N,11,FALSE)</f>
        <v>#N/A</v>
      </c>
      <c r="AI108" s="50" t="e">
        <f ca="1">VLOOKUP(Tableau118[[#This Row],[Key(ID-Actif)]],'DATA BTO'!A:N,12,FALSE)</f>
        <v>#N/A</v>
      </c>
      <c r="AJ108" s="53" t="e">
        <f ca="1">VLOOKUP(Tableau118[[#This Row],[Key(ID-Actif)]],'DATA BTO'!A:N,14,FALSE)</f>
        <v>#N/A</v>
      </c>
      <c r="AK108" s="54" t="e">
        <f ca="1">VLOOKUP(Tableau118[[#This Row],[Key(POD -PFI- Usine)]],'DATA Consignee'!A:F,6,FALSE)</f>
        <v>#N/A</v>
      </c>
      <c r="AL108" s="125"/>
      <c r="AM108" s="483" t="str">
        <f>IF(Tableau118[[#This Row],[Name PFI/CDD]]="","-",VLOOKUP(Tableau118[[#This Row],[Name PFI/CDD]],Plant_AILN!I:J,2,FALSE))</f>
        <v>-</v>
      </c>
      <c r="AN10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8" s="2" t="e">
        <f ca="1">VLOOKUP(Tableau118[[#This Row],[Key(POD -PFI- Usine)]],'DATA Consignee'!A:J,10,FALSE)</f>
        <v>#N/A</v>
      </c>
      <c r="AQ108" s="50" t="e">
        <f ca="1">VLOOKUP(Tableau118[[#This Row],[Key(POD -PFI- Usine)]],'DATA Consignee'!A:N,14,FALSE)</f>
        <v>#N/A</v>
      </c>
      <c r="AR10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8" s="50" t="e">
        <f ca="1">Tableau118[[#This Row],[Transit time]]+Tableau118[[#This Row],[Time for security]]+Tableau118[[#This Row],[Time for security2 buffer]]</f>
        <v>#N/A</v>
      </c>
      <c r="AU10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8" s="389" t="e">
        <f ca="1">Tableau118[[#This Row],[Leadtime SI2C]]+Tableau118[[#This Row],[First Receipt Days]]-Tableau118[[#This Row],[Day Customer Order]]+1</f>
        <v>#N/A</v>
      </c>
      <c r="AW108" s="117" t="e">
        <f ca="1">IF(Tableau118[[#This Row],[Name ILN]]&lt;&gt;"SFK Freight Forwarder",Tableau118[[#This Row],[Cust. Leadtime]],Tableau118[[#This Row],[Leadtime SI2C]])</f>
        <v>#N/A</v>
      </c>
      <c r="AX108" s="51" t="e">
        <f>VLOOKUP(Tableau118[[#This Row],[ID]],'DATA BTO'!B:P,15,FALSE)</f>
        <v>#N/A</v>
      </c>
      <c r="AY108" s="328" t="e">
        <f ca="1">IFERROR(VLOOKUP(Tableau118[[#This Row],[Key(ID-Actif)]],'DATA BTO'!A:N,4,FALSE),VLOOKUP(Tableau118[[#This Row],[ID]],'DATA BTO'!B:N,3,FALSE))</f>
        <v>#N/A</v>
      </c>
      <c r="AZ10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8" s="50"/>
    </row>
    <row r="109" spans="2:57">
      <c r="B109" s="65" t="str">
        <f>_xlfn.CONCAT(Tableau118[[#This Row],[Name ILN]],"-",Tableau118[[#This Row],[Name Shipper]],"-",Tableau118[[#This Row],[Name Site]])</f>
        <v>--</v>
      </c>
      <c r="C109" s="65" t="e">
        <f ca="1">_xlfn.CONCAT(Tableau118[[#This Row],[Compte ILN]],"-",Tableau118[[#This Row],[Compte Shipper]],"-",Tableau118[[#This Row],[POL]],"-",Tableau118[[#This Row],[Compte Site]])</f>
        <v>#N/A</v>
      </c>
      <c r="D109" s="64" t="e">
        <f ca="1">_xlfn.CONCAT(Tableau118[[#This Row],[Compte ILN]],"-",Tableau118[[#This Row],[Compte Shipper]],"-",Tableau118[[#This Row],[POL]])</f>
        <v>#N/A</v>
      </c>
      <c r="E109" s="396" t="e">
        <f ca="1">_xlfn.CONCAT(Tableau118[[#This Row],[POL]],"-",Tableau118[[#This Row],[Carrier]],"-",Tableau118[[#This Row],[POD]])</f>
        <v>#N/A</v>
      </c>
      <c r="F109" s="64" t="str">
        <f>_xlfn.CONCAT(Tableau118[[#This Row],[ID]],"-","Next")</f>
        <v>-Next</v>
      </c>
      <c r="G109" s="64" t="e">
        <f ca="1">_xlfn.CONCAT(Tableau118[[#This Row],[POD]],"-",Tableau118[[#This Row],[Code PFI]],"-",Tableau118[[#This Row],[Compte Site]])</f>
        <v>#N/A</v>
      </c>
      <c r="H10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0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09" s="397" t="str">
        <f ca="1">IF(COUNTIF(I:I,Tableau118[[#This Row],[Plant-ILN-shipper-POL-Carrier-POD-PFI]])=1,"Non","Oui")</f>
        <v>Oui</v>
      </c>
      <c r="K109" s="398" t="e">
        <f>VLOOKUP(Tableau118[[#This Row],[Name Site]],Plant_AILN!A:D,4,FALSE)</f>
        <v>#N/A</v>
      </c>
      <c r="L109" s="285"/>
      <c r="M109" s="480"/>
      <c r="N109" s="55"/>
      <c r="O109" s="114"/>
      <c r="P109" s="481"/>
      <c r="Q109" s="50"/>
      <c r="R109" s="50"/>
      <c r="S109" s="50"/>
      <c r="T109" s="50"/>
      <c r="U109" s="50"/>
      <c r="V109" s="50"/>
      <c r="W109" s="53"/>
      <c r="X109" s="283"/>
      <c r="Y109" s="482">
        <f>IFERROR(VLOOKUP(Tableau118[[#This Row],[Name Shipper]],Plant_AILN!L:M,2,FALSE),0)</f>
        <v>0</v>
      </c>
      <c r="Z109" s="358"/>
      <c r="AA109" s="353" t="e">
        <f ca="1">VLOOKUP(Tableau118[[#This Row],[Key(ID-Actif)]],'DATA BTO'!A:N,5,FALSE)</f>
        <v>#N/A</v>
      </c>
      <c r="AB109" s="3" t="e">
        <f ca="1">VLOOKUP(Tableau118[[#This Row],[Key(ID-Actif)]],'DATA BTO'!A:N,6,FALSE)</f>
        <v>#N/A</v>
      </c>
      <c r="AC109" s="50" t="e">
        <f ca="1">VLOOKUP(Tableau118[[#This Row],[Key(ID-Actif)]],'DATA BTO'!A:N,7,FALSE)</f>
        <v>#N/A</v>
      </c>
      <c r="AD109" s="50" t="e">
        <f ca="1">VLOOKUP(Tableau118[[#This Row],[Key(ID-Actif)]],'DATA BTO'!A:N,8,FALSE)</f>
        <v>#N/A</v>
      </c>
      <c r="AE109" s="50" t="e">
        <f ca="1">IF(Tableau118[[#This Row],[First Day to POL]]&lt;=Tableau118[[#This Row],[Day Cut Off]],Tableau118[[#This Row],[Day ETD]],Tableau118[[#This Row],[Day ETD]]+7)</f>
        <v>#N/A</v>
      </c>
      <c r="AF109" s="50" t="e">
        <f ca="1">VLOOKUP(Tableau118[[#This Row],[Key(ID-Actif)]],'DATA BTO'!A:N,9,FALSE)</f>
        <v>#N/A</v>
      </c>
      <c r="AG109" s="3" t="e">
        <f ca="1">VLOOKUP(Tableau118[[#This Row],[Key(ID-Actif)]],'DATA BTO'!A:N,10,FALSE)</f>
        <v>#N/A</v>
      </c>
      <c r="AH109" s="3" t="e">
        <f ca="1">VLOOKUP(Tableau118[[#This Row],[Key(ID-Actif)]],'DATA BTO'!A:N,11,FALSE)</f>
        <v>#N/A</v>
      </c>
      <c r="AI109" s="50" t="e">
        <f ca="1">VLOOKUP(Tableau118[[#This Row],[Key(ID-Actif)]],'DATA BTO'!A:N,12,FALSE)</f>
        <v>#N/A</v>
      </c>
      <c r="AJ109" s="53" t="e">
        <f ca="1">VLOOKUP(Tableau118[[#This Row],[Key(ID-Actif)]],'DATA BTO'!A:N,14,FALSE)</f>
        <v>#N/A</v>
      </c>
      <c r="AK109" s="54" t="e">
        <f ca="1">VLOOKUP(Tableau118[[#This Row],[Key(POD -PFI- Usine)]],'DATA Consignee'!A:F,6,FALSE)</f>
        <v>#N/A</v>
      </c>
      <c r="AL109" s="125"/>
      <c r="AM109" s="483" t="str">
        <f>IF(Tableau118[[#This Row],[Name PFI/CDD]]="","-",VLOOKUP(Tableau118[[#This Row],[Name PFI/CDD]],Plant_AILN!I:J,2,FALSE))</f>
        <v>-</v>
      </c>
      <c r="AN10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0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09" s="2" t="e">
        <f ca="1">VLOOKUP(Tableau118[[#This Row],[Key(POD -PFI- Usine)]],'DATA Consignee'!A:J,10,FALSE)</f>
        <v>#N/A</v>
      </c>
      <c r="AQ109" s="50" t="e">
        <f ca="1">VLOOKUP(Tableau118[[#This Row],[Key(POD -PFI- Usine)]],'DATA Consignee'!A:N,14,FALSE)</f>
        <v>#N/A</v>
      </c>
      <c r="AR10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0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09" s="50" t="e">
        <f ca="1">Tableau118[[#This Row],[Transit time]]+Tableau118[[#This Row],[Time for security]]+Tableau118[[#This Row],[Time for security2 buffer]]</f>
        <v>#N/A</v>
      </c>
      <c r="AU10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09" s="389" t="e">
        <f ca="1">Tableau118[[#This Row],[Leadtime SI2C]]+Tableau118[[#This Row],[First Receipt Days]]-Tableau118[[#This Row],[Day Customer Order]]+1</f>
        <v>#N/A</v>
      </c>
      <c r="AW109" s="117" t="e">
        <f ca="1">IF(Tableau118[[#This Row],[Name ILN]]&lt;&gt;"SFK Freight Forwarder",Tableau118[[#This Row],[Cust. Leadtime]],Tableau118[[#This Row],[Leadtime SI2C]])</f>
        <v>#N/A</v>
      </c>
      <c r="AX109" s="51" t="e">
        <f>VLOOKUP(Tableau118[[#This Row],[ID]],'DATA BTO'!B:P,15,FALSE)</f>
        <v>#N/A</v>
      </c>
      <c r="AY109" s="328" t="e">
        <f ca="1">IFERROR(VLOOKUP(Tableau118[[#This Row],[Key(ID-Actif)]],'DATA BTO'!A:N,4,FALSE),VLOOKUP(Tableau118[[#This Row],[ID]],'DATA BTO'!B:N,3,FALSE))</f>
        <v>#N/A</v>
      </c>
      <c r="AZ10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0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0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0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0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09" s="50"/>
    </row>
    <row r="110" spans="2:57">
      <c r="B110" s="65" t="str">
        <f>_xlfn.CONCAT(Tableau118[[#This Row],[Name ILN]],"-",Tableau118[[#This Row],[Name Shipper]],"-",Tableau118[[#This Row],[Name Site]])</f>
        <v>--</v>
      </c>
      <c r="C110" s="65" t="e">
        <f ca="1">_xlfn.CONCAT(Tableau118[[#This Row],[Compte ILN]],"-",Tableau118[[#This Row],[Compte Shipper]],"-",Tableau118[[#This Row],[POL]],"-",Tableau118[[#This Row],[Compte Site]])</f>
        <v>#N/A</v>
      </c>
      <c r="D110" s="64" t="e">
        <f ca="1">_xlfn.CONCAT(Tableau118[[#This Row],[Compte ILN]],"-",Tableau118[[#This Row],[Compte Shipper]],"-",Tableau118[[#This Row],[POL]])</f>
        <v>#N/A</v>
      </c>
      <c r="E110" s="396" t="e">
        <f ca="1">_xlfn.CONCAT(Tableau118[[#This Row],[POL]],"-",Tableau118[[#This Row],[Carrier]],"-",Tableau118[[#This Row],[POD]])</f>
        <v>#N/A</v>
      </c>
      <c r="F110" s="64" t="str">
        <f>_xlfn.CONCAT(Tableau118[[#This Row],[ID]],"-","Next")</f>
        <v>-Next</v>
      </c>
      <c r="G110" s="64" t="e">
        <f ca="1">_xlfn.CONCAT(Tableau118[[#This Row],[POD]],"-",Tableau118[[#This Row],[Code PFI]],"-",Tableau118[[#This Row],[Compte Site]])</f>
        <v>#N/A</v>
      </c>
      <c r="H11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0" s="397" t="str">
        <f ca="1">IF(COUNTIF(I:I,Tableau118[[#This Row],[Plant-ILN-shipper-POL-Carrier-POD-PFI]])=1,"Non","Oui")</f>
        <v>Oui</v>
      </c>
      <c r="K110" s="398" t="e">
        <f>VLOOKUP(Tableau118[[#This Row],[Name Site]],Plant_AILN!A:D,4,FALSE)</f>
        <v>#N/A</v>
      </c>
      <c r="L110" s="285"/>
      <c r="M110" s="480"/>
      <c r="N110" s="55"/>
      <c r="O110" s="114"/>
      <c r="P110" s="481"/>
      <c r="Q110" s="50"/>
      <c r="R110" s="50"/>
      <c r="S110" s="50"/>
      <c r="T110" s="50"/>
      <c r="U110" s="50"/>
      <c r="V110" s="50"/>
      <c r="W110" s="53"/>
      <c r="X110" s="283"/>
      <c r="Y110" s="482">
        <f>IFERROR(VLOOKUP(Tableau118[[#This Row],[Name Shipper]],Plant_AILN!L:M,2,FALSE),0)</f>
        <v>0</v>
      </c>
      <c r="Z110" s="358"/>
      <c r="AA110" s="353" t="e">
        <f ca="1">VLOOKUP(Tableau118[[#This Row],[Key(ID-Actif)]],'DATA BTO'!A:N,5,FALSE)</f>
        <v>#N/A</v>
      </c>
      <c r="AB110" s="3" t="e">
        <f ca="1">VLOOKUP(Tableau118[[#This Row],[Key(ID-Actif)]],'DATA BTO'!A:N,6,FALSE)</f>
        <v>#N/A</v>
      </c>
      <c r="AC110" s="50" t="e">
        <f ca="1">VLOOKUP(Tableau118[[#This Row],[Key(ID-Actif)]],'DATA BTO'!A:N,7,FALSE)</f>
        <v>#N/A</v>
      </c>
      <c r="AD110" s="50" t="e">
        <f ca="1">VLOOKUP(Tableau118[[#This Row],[Key(ID-Actif)]],'DATA BTO'!A:N,8,FALSE)</f>
        <v>#N/A</v>
      </c>
      <c r="AE110" s="50" t="e">
        <f ca="1">IF(Tableau118[[#This Row],[First Day to POL]]&lt;=Tableau118[[#This Row],[Day Cut Off]],Tableau118[[#This Row],[Day ETD]],Tableau118[[#This Row],[Day ETD]]+7)</f>
        <v>#N/A</v>
      </c>
      <c r="AF110" s="50" t="e">
        <f ca="1">VLOOKUP(Tableau118[[#This Row],[Key(ID-Actif)]],'DATA BTO'!A:N,9,FALSE)</f>
        <v>#N/A</v>
      </c>
      <c r="AG110" s="3" t="e">
        <f ca="1">VLOOKUP(Tableau118[[#This Row],[Key(ID-Actif)]],'DATA BTO'!A:N,10,FALSE)</f>
        <v>#N/A</v>
      </c>
      <c r="AH110" s="3" t="e">
        <f ca="1">VLOOKUP(Tableau118[[#This Row],[Key(ID-Actif)]],'DATA BTO'!A:N,11,FALSE)</f>
        <v>#N/A</v>
      </c>
      <c r="AI110" s="50" t="e">
        <f ca="1">VLOOKUP(Tableau118[[#This Row],[Key(ID-Actif)]],'DATA BTO'!A:N,12,FALSE)</f>
        <v>#N/A</v>
      </c>
      <c r="AJ110" s="53" t="e">
        <f ca="1">VLOOKUP(Tableau118[[#This Row],[Key(ID-Actif)]],'DATA BTO'!A:N,14,FALSE)</f>
        <v>#N/A</v>
      </c>
      <c r="AK110" s="54" t="e">
        <f ca="1">VLOOKUP(Tableau118[[#This Row],[Key(POD -PFI- Usine)]],'DATA Consignee'!A:F,6,FALSE)</f>
        <v>#N/A</v>
      </c>
      <c r="AL110" s="125"/>
      <c r="AM110" s="483" t="str">
        <f>IF(Tableau118[[#This Row],[Name PFI/CDD]]="","-",VLOOKUP(Tableau118[[#This Row],[Name PFI/CDD]],Plant_AILN!I:J,2,FALSE))</f>
        <v>-</v>
      </c>
      <c r="AN11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0" s="2" t="e">
        <f ca="1">VLOOKUP(Tableau118[[#This Row],[Key(POD -PFI- Usine)]],'DATA Consignee'!A:J,10,FALSE)</f>
        <v>#N/A</v>
      </c>
      <c r="AQ110" s="50" t="e">
        <f ca="1">VLOOKUP(Tableau118[[#This Row],[Key(POD -PFI- Usine)]],'DATA Consignee'!A:N,14,FALSE)</f>
        <v>#N/A</v>
      </c>
      <c r="AR11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0" s="50" t="e">
        <f ca="1">Tableau118[[#This Row],[Transit time]]+Tableau118[[#This Row],[Time for security]]+Tableau118[[#This Row],[Time for security2 buffer]]</f>
        <v>#N/A</v>
      </c>
      <c r="AU11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0" s="389" t="e">
        <f ca="1">Tableau118[[#This Row],[Leadtime SI2C]]+Tableau118[[#This Row],[First Receipt Days]]-Tableau118[[#This Row],[Day Customer Order]]+1</f>
        <v>#N/A</v>
      </c>
      <c r="AW110" s="117" t="e">
        <f ca="1">IF(Tableau118[[#This Row],[Name ILN]]&lt;&gt;"SFK Freight Forwarder",Tableau118[[#This Row],[Cust. Leadtime]],Tableau118[[#This Row],[Leadtime SI2C]])</f>
        <v>#N/A</v>
      </c>
      <c r="AX110" s="51" t="e">
        <f>VLOOKUP(Tableau118[[#This Row],[ID]],'DATA BTO'!B:P,15,FALSE)</f>
        <v>#N/A</v>
      </c>
      <c r="AY110" s="328" t="e">
        <f ca="1">IFERROR(VLOOKUP(Tableau118[[#This Row],[Key(ID-Actif)]],'DATA BTO'!A:N,4,FALSE),VLOOKUP(Tableau118[[#This Row],[ID]],'DATA BTO'!B:N,3,FALSE))</f>
        <v>#N/A</v>
      </c>
      <c r="AZ11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0" s="50"/>
    </row>
    <row r="111" spans="2:57">
      <c r="B111" s="65" t="str">
        <f>_xlfn.CONCAT(Tableau118[[#This Row],[Name ILN]],"-",Tableau118[[#This Row],[Name Shipper]],"-",Tableau118[[#This Row],[Name Site]])</f>
        <v>--</v>
      </c>
      <c r="C111" s="65" t="e">
        <f ca="1">_xlfn.CONCAT(Tableau118[[#This Row],[Compte ILN]],"-",Tableau118[[#This Row],[Compte Shipper]],"-",Tableau118[[#This Row],[POL]],"-",Tableau118[[#This Row],[Compte Site]])</f>
        <v>#N/A</v>
      </c>
      <c r="D111" s="64" t="e">
        <f ca="1">_xlfn.CONCAT(Tableau118[[#This Row],[Compte ILN]],"-",Tableau118[[#This Row],[Compte Shipper]],"-",Tableau118[[#This Row],[POL]])</f>
        <v>#N/A</v>
      </c>
      <c r="E111" s="396" t="e">
        <f ca="1">_xlfn.CONCAT(Tableau118[[#This Row],[POL]],"-",Tableau118[[#This Row],[Carrier]],"-",Tableau118[[#This Row],[POD]])</f>
        <v>#N/A</v>
      </c>
      <c r="F111" s="64" t="str">
        <f>_xlfn.CONCAT(Tableau118[[#This Row],[ID]],"-","Next")</f>
        <v>-Next</v>
      </c>
      <c r="G111" s="64" t="e">
        <f ca="1">_xlfn.CONCAT(Tableau118[[#This Row],[POD]],"-",Tableau118[[#This Row],[Code PFI]],"-",Tableau118[[#This Row],[Compte Site]])</f>
        <v>#N/A</v>
      </c>
      <c r="H11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1" s="397" t="str">
        <f ca="1">IF(COUNTIF(I:I,Tableau118[[#This Row],[Plant-ILN-shipper-POL-Carrier-POD-PFI]])=1,"Non","Oui")</f>
        <v>Oui</v>
      </c>
      <c r="K111" s="398" t="e">
        <f>VLOOKUP(Tableau118[[#This Row],[Name Site]],Plant_AILN!A:D,4,FALSE)</f>
        <v>#N/A</v>
      </c>
      <c r="L111" s="285"/>
      <c r="M111" s="480"/>
      <c r="N111" s="55"/>
      <c r="O111" s="114"/>
      <c r="P111" s="481"/>
      <c r="Q111" s="50"/>
      <c r="R111" s="50"/>
      <c r="S111" s="50"/>
      <c r="T111" s="50"/>
      <c r="U111" s="50"/>
      <c r="V111" s="50"/>
      <c r="W111" s="53"/>
      <c r="X111" s="283"/>
      <c r="Y111" s="482">
        <f>IFERROR(VLOOKUP(Tableau118[[#This Row],[Name Shipper]],Plant_AILN!L:M,2,FALSE),0)</f>
        <v>0</v>
      </c>
      <c r="Z111" s="358"/>
      <c r="AA111" s="353" t="e">
        <f ca="1">VLOOKUP(Tableau118[[#This Row],[Key(ID-Actif)]],'DATA BTO'!A:N,5,FALSE)</f>
        <v>#N/A</v>
      </c>
      <c r="AB111" s="3" t="e">
        <f ca="1">VLOOKUP(Tableau118[[#This Row],[Key(ID-Actif)]],'DATA BTO'!A:N,6,FALSE)</f>
        <v>#N/A</v>
      </c>
      <c r="AC111" s="50" t="e">
        <f ca="1">VLOOKUP(Tableau118[[#This Row],[Key(ID-Actif)]],'DATA BTO'!A:N,7,FALSE)</f>
        <v>#N/A</v>
      </c>
      <c r="AD111" s="50" t="e">
        <f ca="1">VLOOKUP(Tableau118[[#This Row],[Key(ID-Actif)]],'DATA BTO'!A:N,8,FALSE)</f>
        <v>#N/A</v>
      </c>
      <c r="AE111" s="50" t="e">
        <f ca="1">IF(Tableau118[[#This Row],[First Day to POL]]&lt;=Tableau118[[#This Row],[Day Cut Off]],Tableau118[[#This Row],[Day ETD]],Tableau118[[#This Row],[Day ETD]]+7)</f>
        <v>#N/A</v>
      </c>
      <c r="AF111" s="50" t="e">
        <f ca="1">VLOOKUP(Tableau118[[#This Row],[Key(ID-Actif)]],'DATA BTO'!A:N,9,FALSE)</f>
        <v>#N/A</v>
      </c>
      <c r="AG111" s="3" t="e">
        <f ca="1">VLOOKUP(Tableau118[[#This Row],[Key(ID-Actif)]],'DATA BTO'!A:N,10,FALSE)</f>
        <v>#N/A</v>
      </c>
      <c r="AH111" s="3" t="e">
        <f ca="1">VLOOKUP(Tableau118[[#This Row],[Key(ID-Actif)]],'DATA BTO'!A:N,11,FALSE)</f>
        <v>#N/A</v>
      </c>
      <c r="AI111" s="50" t="e">
        <f ca="1">VLOOKUP(Tableau118[[#This Row],[Key(ID-Actif)]],'DATA BTO'!A:N,12,FALSE)</f>
        <v>#N/A</v>
      </c>
      <c r="AJ111" s="53" t="e">
        <f ca="1">VLOOKUP(Tableau118[[#This Row],[Key(ID-Actif)]],'DATA BTO'!A:N,14,FALSE)</f>
        <v>#N/A</v>
      </c>
      <c r="AK111" s="54" t="e">
        <f ca="1">VLOOKUP(Tableau118[[#This Row],[Key(POD -PFI- Usine)]],'DATA Consignee'!A:F,6,FALSE)</f>
        <v>#N/A</v>
      </c>
      <c r="AL111" s="125"/>
      <c r="AM111" s="483" t="str">
        <f>IF(Tableau118[[#This Row],[Name PFI/CDD]]="","-",VLOOKUP(Tableau118[[#This Row],[Name PFI/CDD]],Plant_AILN!I:J,2,FALSE))</f>
        <v>-</v>
      </c>
      <c r="AN11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1" s="2" t="e">
        <f ca="1">VLOOKUP(Tableau118[[#This Row],[Key(POD -PFI- Usine)]],'DATA Consignee'!A:J,10,FALSE)</f>
        <v>#N/A</v>
      </c>
      <c r="AQ111" s="50" t="e">
        <f ca="1">VLOOKUP(Tableau118[[#This Row],[Key(POD -PFI- Usine)]],'DATA Consignee'!A:N,14,FALSE)</f>
        <v>#N/A</v>
      </c>
      <c r="AR11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1" s="50" t="e">
        <f ca="1">Tableau118[[#This Row],[Transit time]]+Tableau118[[#This Row],[Time for security]]+Tableau118[[#This Row],[Time for security2 buffer]]</f>
        <v>#N/A</v>
      </c>
      <c r="AU11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1" s="389" t="e">
        <f ca="1">Tableau118[[#This Row],[Leadtime SI2C]]+Tableau118[[#This Row],[First Receipt Days]]-Tableau118[[#This Row],[Day Customer Order]]+1</f>
        <v>#N/A</v>
      </c>
      <c r="AW111" s="117" t="e">
        <f ca="1">IF(Tableau118[[#This Row],[Name ILN]]&lt;&gt;"SFK Freight Forwarder",Tableau118[[#This Row],[Cust. Leadtime]],Tableau118[[#This Row],[Leadtime SI2C]])</f>
        <v>#N/A</v>
      </c>
      <c r="AX111" s="51" t="e">
        <f>VLOOKUP(Tableau118[[#This Row],[ID]],'DATA BTO'!B:P,15,FALSE)</f>
        <v>#N/A</v>
      </c>
      <c r="AY111" s="328" t="e">
        <f ca="1">IFERROR(VLOOKUP(Tableau118[[#This Row],[Key(ID-Actif)]],'DATA BTO'!A:N,4,FALSE),VLOOKUP(Tableau118[[#This Row],[ID]],'DATA BTO'!B:N,3,FALSE))</f>
        <v>#N/A</v>
      </c>
      <c r="AZ11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1" s="50"/>
    </row>
    <row r="112" spans="2:57">
      <c r="B112" s="65" t="str">
        <f>_xlfn.CONCAT(Tableau118[[#This Row],[Name ILN]],"-",Tableau118[[#This Row],[Name Shipper]],"-",Tableau118[[#This Row],[Name Site]])</f>
        <v>--</v>
      </c>
      <c r="C112" s="65" t="e">
        <f ca="1">_xlfn.CONCAT(Tableau118[[#This Row],[Compte ILN]],"-",Tableau118[[#This Row],[Compte Shipper]],"-",Tableau118[[#This Row],[POL]],"-",Tableau118[[#This Row],[Compte Site]])</f>
        <v>#N/A</v>
      </c>
      <c r="D112" s="64" t="e">
        <f ca="1">_xlfn.CONCAT(Tableau118[[#This Row],[Compte ILN]],"-",Tableau118[[#This Row],[Compte Shipper]],"-",Tableau118[[#This Row],[POL]])</f>
        <v>#N/A</v>
      </c>
      <c r="E112" s="396" t="e">
        <f ca="1">_xlfn.CONCAT(Tableau118[[#This Row],[POL]],"-",Tableau118[[#This Row],[Carrier]],"-",Tableau118[[#This Row],[POD]])</f>
        <v>#N/A</v>
      </c>
      <c r="F112" s="64" t="str">
        <f>_xlfn.CONCAT(Tableau118[[#This Row],[ID]],"-","Next")</f>
        <v>-Next</v>
      </c>
      <c r="G112" s="64" t="e">
        <f ca="1">_xlfn.CONCAT(Tableau118[[#This Row],[POD]],"-",Tableau118[[#This Row],[Code PFI]],"-",Tableau118[[#This Row],[Compte Site]])</f>
        <v>#N/A</v>
      </c>
      <c r="H11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2" s="397" t="str">
        <f ca="1">IF(COUNTIF(I:I,Tableau118[[#This Row],[Plant-ILN-shipper-POL-Carrier-POD-PFI]])=1,"Non","Oui")</f>
        <v>Oui</v>
      </c>
      <c r="K112" s="398" t="e">
        <f>VLOOKUP(Tableau118[[#This Row],[Name Site]],Plant_AILN!A:D,4,FALSE)</f>
        <v>#N/A</v>
      </c>
      <c r="L112" s="285"/>
      <c r="M112" s="480"/>
      <c r="N112" s="55"/>
      <c r="O112" s="114"/>
      <c r="P112" s="481"/>
      <c r="Q112" s="50"/>
      <c r="R112" s="50"/>
      <c r="S112" s="50"/>
      <c r="T112" s="50"/>
      <c r="U112" s="50"/>
      <c r="V112" s="50"/>
      <c r="W112" s="53"/>
      <c r="X112" s="283"/>
      <c r="Y112" s="482">
        <f>IFERROR(VLOOKUP(Tableau118[[#This Row],[Name Shipper]],Plant_AILN!L:M,2,FALSE),0)</f>
        <v>0</v>
      </c>
      <c r="Z112" s="358"/>
      <c r="AA112" s="353" t="e">
        <f ca="1">VLOOKUP(Tableau118[[#This Row],[Key(ID-Actif)]],'DATA BTO'!A:N,5,FALSE)</f>
        <v>#N/A</v>
      </c>
      <c r="AB112" s="3" t="e">
        <f ca="1">VLOOKUP(Tableau118[[#This Row],[Key(ID-Actif)]],'DATA BTO'!A:N,6,FALSE)</f>
        <v>#N/A</v>
      </c>
      <c r="AC112" s="50" t="e">
        <f ca="1">VLOOKUP(Tableau118[[#This Row],[Key(ID-Actif)]],'DATA BTO'!A:N,7,FALSE)</f>
        <v>#N/A</v>
      </c>
      <c r="AD112" s="50" t="e">
        <f ca="1">VLOOKUP(Tableau118[[#This Row],[Key(ID-Actif)]],'DATA BTO'!A:N,8,FALSE)</f>
        <v>#N/A</v>
      </c>
      <c r="AE112" s="50" t="e">
        <f ca="1">IF(Tableau118[[#This Row],[First Day to POL]]&lt;=Tableau118[[#This Row],[Day Cut Off]],Tableau118[[#This Row],[Day ETD]],Tableau118[[#This Row],[Day ETD]]+7)</f>
        <v>#N/A</v>
      </c>
      <c r="AF112" s="50" t="e">
        <f ca="1">VLOOKUP(Tableau118[[#This Row],[Key(ID-Actif)]],'DATA BTO'!A:N,9,FALSE)</f>
        <v>#N/A</v>
      </c>
      <c r="AG112" s="3" t="e">
        <f ca="1">VLOOKUP(Tableau118[[#This Row],[Key(ID-Actif)]],'DATA BTO'!A:N,10,FALSE)</f>
        <v>#N/A</v>
      </c>
      <c r="AH112" s="3" t="e">
        <f ca="1">VLOOKUP(Tableau118[[#This Row],[Key(ID-Actif)]],'DATA BTO'!A:N,11,FALSE)</f>
        <v>#N/A</v>
      </c>
      <c r="AI112" s="50" t="e">
        <f ca="1">VLOOKUP(Tableau118[[#This Row],[Key(ID-Actif)]],'DATA BTO'!A:N,12,FALSE)</f>
        <v>#N/A</v>
      </c>
      <c r="AJ112" s="53" t="e">
        <f ca="1">VLOOKUP(Tableau118[[#This Row],[Key(ID-Actif)]],'DATA BTO'!A:N,14,FALSE)</f>
        <v>#N/A</v>
      </c>
      <c r="AK112" s="54" t="e">
        <f ca="1">VLOOKUP(Tableau118[[#This Row],[Key(POD -PFI- Usine)]],'DATA Consignee'!A:F,6,FALSE)</f>
        <v>#N/A</v>
      </c>
      <c r="AL112" s="125"/>
      <c r="AM112" s="483" t="str">
        <f>IF(Tableau118[[#This Row],[Name PFI/CDD]]="","-",VLOOKUP(Tableau118[[#This Row],[Name PFI/CDD]],Plant_AILN!I:J,2,FALSE))</f>
        <v>-</v>
      </c>
      <c r="AN11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2" s="2" t="e">
        <f ca="1">VLOOKUP(Tableau118[[#This Row],[Key(POD -PFI- Usine)]],'DATA Consignee'!A:J,10,FALSE)</f>
        <v>#N/A</v>
      </c>
      <c r="AQ112" s="50" t="e">
        <f ca="1">VLOOKUP(Tableau118[[#This Row],[Key(POD -PFI- Usine)]],'DATA Consignee'!A:N,14,FALSE)</f>
        <v>#N/A</v>
      </c>
      <c r="AR11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2" s="50" t="e">
        <f ca="1">Tableau118[[#This Row],[Transit time]]+Tableau118[[#This Row],[Time for security]]+Tableau118[[#This Row],[Time for security2 buffer]]</f>
        <v>#N/A</v>
      </c>
      <c r="AU11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2" s="389" t="e">
        <f ca="1">Tableau118[[#This Row],[Leadtime SI2C]]+Tableau118[[#This Row],[First Receipt Days]]-Tableau118[[#This Row],[Day Customer Order]]+1</f>
        <v>#N/A</v>
      </c>
      <c r="AW112" s="117" t="e">
        <f ca="1">IF(Tableau118[[#This Row],[Name ILN]]&lt;&gt;"SFK Freight Forwarder",Tableau118[[#This Row],[Cust. Leadtime]],Tableau118[[#This Row],[Leadtime SI2C]])</f>
        <v>#N/A</v>
      </c>
      <c r="AX112" s="51" t="e">
        <f>VLOOKUP(Tableau118[[#This Row],[ID]],'DATA BTO'!B:P,15,FALSE)</f>
        <v>#N/A</v>
      </c>
      <c r="AY112" s="328" t="e">
        <f ca="1">IFERROR(VLOOKUP(Tableau118[[#This Row],[Key(ID-Actif)]],'DATA BTO'!A:N,4,FALSE),VLOOKUP(Tableau118[[#This Row],[ID]],'DATA BTO'!B:N,3,FALSE))</f>
        <v>#N/A</v>
      </c>
      <c r="AZ11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2" s="50"/>
    </row>
    <row r="113" spans="2:57">
      <c r="B113" s="65" t="str">
        <f>_xlfn.CONCAT(Tableau118[[#This Row],[Name ILN]],"-",Tableau118[[#This Row],[Name Shipper]],"-",Tableau118[[#This Row],[Name Site]])</f>
        <v>--</v>
      </c>
      <c r="C113" s="65" t="e">
        <f ca="1">_xlfn.CONCAT(Tableau118[[#This Row],[Compte ILN]],"-",Tableau118[[#This Row],[Compte Shipper]],"-",Tableau118[[#This Row],[POL]],"-",Tableau118[[#This Row],[Compte Site]])</f>
        <v>#N/A</v>
      </c>
      <c r="D113" s="64" t="e">
        <f ca="1">_xlfn.CONCAT(Tableau118[[#This Row],[Compte ILN]],"-",Tableau118[[#This Row],[Compte Shipper]],"-",Tableau118[[#This Row],[POL]])</f>
        <v>#N/A</v>
      </c>
      <c r="E113" s="396" t="e">
        <f ca="1">_xlfn.CONCAT(Tableau118[[#This Row],[POL]],"-",Tableau118[[#This Row],[Carrier]],"-",Tableau118[[#This Row],[POD]])</f>
        <v>#N/A</v>
      </c>
      <c r="F113" s="64" t="str">
        <f>_xlfn.CONCAT(Tableau118[[#This Row],[ID]],"-","Next")</f>
        <v>-Next</v>
      </c>
      <c r="G113" s="64" t="e">
        <f ca="1">_xlfn.CONCAT(Tableau118[[#This Row],[POD]],"-",Tableau118[[#This Row],[Code PFI]],"-",Tableau118[[#This Row],[Compte Site]])</f>
        <v>#N/A</v>
      </c>
      <c r="H11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3" s="397" t="str">
        <f ca="1">IF(COUNTIF(I:I,Tableau118[[#This Row],[Plant-ILN-shipper-POL-Carrier-POD-PFI]])=1,"Non","Oui")</f>
        <v>Oui</v>
      </c>
      <c r="K113" s="398" t="e">
        <f>VLOOKUP(Tableau118[[#This Row],[Name Site]],Plant_AILN!A:D,4,FALSE)</f>
        <v>#N/A</v>
      </c>
      <c r="L113" s="285"/>
      <c r="M113" s="480"/>
      <c r="N113" s="55"/>
      <c r="O113" s="114"/>
      <c r="P113" s="481"/>
      <c r="Q113" s="50"/>
      <c r="R113" s="50"/>
      <c r="S113" s="50"/>
      <c r="T113" s="50"/>
      <c r="U113" s="50"/>
      <c r="V113" s="50"/>
      <c r="W113" s="53"/>
      <c r="X113" s="283"/>
      <c r="Y113" s="482">
        <f>IFERROR(VLOOKUP(Tableau118[[#This Row],[Name Shipper]],Plant_AILN!L:M,2,FALSE),0)</f>
        <v>0</v>
      </c>
      <c r="Z113" s="358"/>
      <c r="AA113" s="353" t="e">
        <f ca="1">VLOOKUP(Tableau118[[#This Row],[Key(ID-Actif)]],'DATA BTO'!A:N,5,FALSE)</f>
        <v>#N/A</v>
      </c>
      <c r="AB113" s="3" t="e">
        <f ca="1">VLOOKUP(Tableau118[[#This Row],[Key(ID-Actif)]],'DATA BTO'!A:N,6,FALSE)</f>
        <v>#N/A</v>
      </c>
      <c r="AC113" s="50" t="e">
        <f ca="1">VLOOKUP(Tableau118[[#This Row],[Key(ID-Actif)]],'DATA BTO'!A:N,7,FALSE)</f>
        <v>#N/A</v>
      </c>
      <c r="AD113" s="50" t="e">
        <f ca="1">VLOOKUP(Tableau118[[#This Row],[Key(ID-Actif)]],'DATA BTO'!A:N,8,FALSE)</f>
        <v>#N/A</v>
      </c>
      <c r="AE113" s="50" t="e">
        <f ca="1">IF(Tableau118[[#This Row],[First Day to POL]]&lt;=Tableau118[[#This Row],[Day Cut Off]],Tableau118[[#This Row],[Day ETD]],Tableau118[[#This Row],[Day ETD]]+7)</f>
        <v>#N/A</v>
      </c>
      <c r="AF113" s="50" t="e">
        <f ca="1">VLOOKUP(Tableau118[[#This Row],[Key(ID-Actif)]],'DATA BTO'!A:N,9,FALSE)</f>
        <v>#N/A</v>
      </c>
      <c r="AG113" s="3" t="e">
        <f ca="1">VLOOKUP(Tableau118[[#This Row],[Key(ID-Actif)]],'DATA BTO'!A:N,10,FALSE)</f>
        <v>#N/A</v>
      </c>
      <c r="AH113" s="3" t="e">
        <f ca="1">VLOOKUP(Tableau118[[#This Row],[Key(ID-Actif)]],'DATA BTO'!A:N,11,FALSE)</f>
        <v>#N/A</v>
      </c>
      <c r="AI113" s="50" t="e">
        <f ca="1">VLOOKUP(Tableau118[[#This Row],[Key(ID-Actif)]],'DATA BTO'!A:N,12,FALSE)</f>
        <v>#N/A</v>
      </c>
      <c r="AJ113" s="53" t="e">
        <f ca="1">VLOOKUP(Tableau118[[#This Row],[Key(ID-Actif)]],'DATA BTO'!A:N,14,FALSE)</f>
        <v>#N/A</v>
      </c>
      <c r="AK113" s="54" t="e">
        <f ca="1">VLOOKUP(Tableau118[[#This Row],[Key(POD -PFI- Usine)]],'DATA Consignee'!A:F,6,FALSE)</f>
        <v>#N/A</v>
      </c>
      <c r="AL113" s="125"/>
      <c r="AM113" s="483" t="str">
        <f>IF(Tableau118[[#This Row],[Name PFI/CDD]]="","-",VLOOKUP(Tableau118[[#This Row],[Name PFI/CDD]],Plant_AILN!I:J,2,FALSE))</f>
        <v>-</v>
      </c>
      <c r="AN11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3" s="2" t="e">
        <f ca="1">VLOOKUP(Tableau118[[#This Row],[Key(POD -PFI- Usine)]],'DATA Consignee'!A:J,10,FALSE)</f>
        <v>#N/A</v>
      </c>
      <c r="AQ113" s="50" t="e">
        <f ca="1">VLOOKUP(Tableau118[[#This Row],[Key(POD -PFI- Usine)]],'DATA Consignee'!A:N,14,FALSE)</f>
        <v>#N/A</v>
      </c>
      <c r="AR11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3" s="50" t="e">
        <f ca="1">Tableau118[[#This Row],[Transit time]]+Tableau118[[#This Row],[Time for security]]+Tableau118[[#This Row],[Time for security2 buffer]]</f>
        <v>#N/A</v>
      </c>
      <c r="AU11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3" s="389" t="e">
        <f ca="1">Tableau118[[#This Row],[Leadtime SI2C]]+Tableau118[[#This Row],[First Receipt Days]]-Tableau118[[#This Row],[Day Customer Order]]+1</f>
        <v>#N/A</v>
      </c>
      <c r="AW113" s="117" t="e">
        <f ca="1">IF(Tableau118[[#This Row],[Name ILN]]&lt;&gt;"SFK Freight Forwarder",Tableau118[[#This Row],[Cust. Leadtime]],Tableau118[[#This Row],[Leadtime SI2C]])</f>
        <v>#N/A</v>
      </c>
      <c r="AX113" s="51" t="e">
        <f>VLOOKUP(Tableau118[[#This Row],[ID]],'DATA BTO'!B:P,15,FALSE)</f>
        <v>#N/A</v>
      </c>
      <c r="AY113" s="328" t="e">
        <f ca="1">IFERROR(VLOOKUP(Tableau118[[#This Row],[Key(ID-Actif)]],'DATA BTO'!A:N,4,FALSE),VLOOKUP(Tableau118[[#This Row],[ID]],'DATA BTO'!B:N,3,FALSE))</f>
        <v>#N/A</v>
      </c>
      <c r="AZ11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3" s="50"/>
    </row>
    <row r="114" spans="2:57">
      <c r="B114" s="65" t="str">
        <f>_xlfn.CONCAT(Tableau118[[#This Row],[Name ILN]],"-",Tableau118[[#This Row],[Name Shipper]],"-",Tableau118[[#This Row],[Name Site]])</f>
        <v>--</v>
      </c>
      <c r="C114" s="65" t="e">
        <f ca="1">_xlfn.CONCAT(Tableau118[[#This Row],[Compte ILN]],"-",Tableau118[[#This Row],[Compte Shipper]],"-",Tableau118[[#This Row],[POL]],"-",Tableau118[[#This Row],[Compte Site]])</f>
        <v>#N/A</v>
      </c>
      <c r="D114" s="64" t="e">
        <f ca="1">_xlfn.CONCAT(Tableau118[[#This Row],[Compte ILN]],"-",Tableau118[[#This Row],[Compte Shipper]],"-",Tableau118[[#This Row],[POL]])</f>
        <v>#N/A</v>
      </c>
      <c r="E114" s="396" t="e">
        <f ca="1">_xlfn.CONCAT(Tableau118[[#This Row],[POL]],"-",Tableau118[[#This Row],[Carrier]],"-",Tableau118[[#This Row],[POD]])</f>
        <v>#N/A</v>
      </c>
      <c r="F114" s="64" t="str">
        <f>_xlfn.CONCAT(Tableau118[[#This Row],[ID]],"-","Next")</f>
        <v>-Next</v>
      </c>
      <c r="G114" s="64" t="e">
        <f ca="1">_xlfn.CONCAT(Tableau118[[#This Row],[POD]],"-",Tableau118[[#This Row],[Code PFI]],"-",Tableau118[[#This Row],[Compte Site]])</f>
        <v>#N/A</v>
      </c>
      <c r="H11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4" s="397" t="str">
        <f ca="1">IF(COUNTIF(I:I,Tableau118[[#This Row],[Plant-ILN-shipper-POL-Carrier-POD-PFI]])=1,"Non","Oui")</f>
        <v>Oui</v>
      </c>
      <c r="K114" s="399" t="e">
        <f>VLOOKUP(Tableau118[[#This Row],[Name Site]],Plant_AILN!A:D,4,FALSE)</f>
        <v>#N/A</v>
      </c>
      <c r="L114" s="10"/>
      <c r="M114" s="480"/>
      <c r="N114" s="55"/>
      <c r="O114" s="114"/>
      <c r="P114" s="481"/>
      <c r="Q114" s="50"/>
      <c r="R114" s="50"/>
      <c r="S114" s="50"/>
      <c r="T114" s="50"/>
      <c r="U114" s="50"/>
      <c r="V114" s="50"/>
      <c r="W114" s="53"/>
      <c r="X114" s="283"/>
      <c r="Y114" s="482">
        <f>IFERROR(VLOOKUP(Tableau118[[#This Row],[Name Shipper]],Plant_AILN!L:M,2,FALSE),0)</f>
        <v>0</v>
      </c>
      <c r="Z114" s="358"/>
      <c r="AA114" s="353" t="e">
        <f ca="1">VLOOKUP(Tableau118[[#This Row],[Key(ID-Actif)]],'DATA BTO'!A:N,5,FALSE)</f>
        <v>#N/A</v>
      </c>
      <c r="AB114" s="3" t="e">
        <f ca="1">VLOOKUP(Tableau118[[#This Row],[Key(ID-Actif)]],'DATA BTO'!A:N,6,FALSE)</f>
        <v>#N/A</v>
      </c>
      <c r="AC114" s="50" t="e">
        <f ca="1">VLOOKUP(Tableau118[[#This Row],[Key(ID-Actif)]],'DATA BTO'!A:N,7,FALSE)</f>
        <v>#N/A</v>
      </c>
      <c r="AD114" s="50" t="e">
        <f ca="1">VLOOKUP(Tableau118[[#This Row],[Key(ID-Actif)]],'DATA BTO'!A:N,8,FALSE)</f>
        <v>#N/A</v>
      </c>
      <c r="AE114" s="50" t="e">
        <f ca="1">IF(Tableau118[[#This Row],[First Day to POL]]&lt;=Tableau118[[#This Row],[Day Cut Off]],Tableau118[[#This Row],[Day ETD]],Tableau118[[#This Row],[Day ETD]]+7)</f>
        <v>#N/A</v>
      </c>
      <c r="AF114" s="50" t="e">
        <f ca="1">VLOOKUP(Tableau118[[#This Row],[Key(ID-Actif)]],'DATA BTO'!A:N,9,FALSE)</f>
        <v>#N/A</v>
      </c>
      <c r="AG114" s="3" t="e">
        <f ca="1">VLOOKUP(Tableau118[[#This Row],[Key(ID-Actif)]],'DATA BTO'!A:N,10,FALSE)</f>
        <v>#N/A</v>
      </c>
      <c r="AH114" s="3" t="e">
        <f ca="1">VLOOKUP(Tableau118[[#This Row],[Key(ID-Actif)]],'DATA BTO'!A:N,11,FALSE)</f>
        <v>#N/A</v>
      </c>
      <c r="AI114" s="50" t="e">
        <f ca="1">VLOOKUP(Tableau118[[#This Row],[Key(ID-Actif)]],'DATA BTO'!A:N,12,FALSE)</f>
        <v>#N/A</v>
      </c>
      <c r="AJ114" s="53" t="e">
        <f ca="1">VLOOKUP(Tableau118[[#This Row],[Key(ID-Actif)]],'DATA BTO'!A:N,14,FALSE)</f>
        <v>#N/A</v>
      </c>
      <c r="AK114" s="54" t="e">
        <f ca="1">VLOOKUP(Tableau118[[#This Row],[Key(POD -PFI- Usine)]],'DATA Consignee'!A:F,6,FALSE)</f>
        <v>#N/A</v>
      </c>
      <c r="AL114" s="125" t="s">
        <v>217</v>
      </c>
      <c r="AM114" s="483">
        <f>IF(Tableau118[[#This Row],[Name PFI/CDD]]="","-",VLOOKUP(Tableau118[[#This Row],[Name PFI/CDD]],Plant_AILN!I:J,2,FALSE))</f>
        <v>90016600</v>
      </c>
      <c r="AN11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4" s="2" t="e">
        <f ca="1">VLOOKUP(Tableau118[[#This Row],[Key(POD -PFI- Usine)]],'DATA Consignee'!A:J,10,FALSE)</f>
        <v>#N/A</v>
      </c>
      <c r="AQ114" s="50" t="e">
        <f ca="1">VLOOKUP(Tableau118[[#This Row],[Key(POD -PFI- Usine)]],'DATA Consignee'!A:N,14,FALSE)</f>
        <v>#N/A</v>
      </c>
      <c r="AR11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4" s="50" t="e">
        <f ca="1">Tableau118[[#This Row],[Transit time]]+Tableau118[[#This Row],[Time for security]]+Tableau118[[#This Row],[Time for security2 buffer]]</f>
        <v>#N/A</v>
      </c>
      <c r="AU11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4" s="389" t="e">
        <f ca="1">Tableau118[[#This Row],[Leadtime SI2C]]+Tableau118[[#This Row],[First Receipt Days]]-Tableau118[[#This Row],[Day Customer Order]]+1</f>
        <v>#N/A</v>
      </c>
      <c r="AW114" s="117" t="e">
        <f ca="1">IF(Tableau118[[#This Row],[Name ILN]]&lt;&gt;"SFK Freight Forwarder",Tableau118[[#This Row],[Cust. Leadtime]],Tableau118[[#This Row],[Leadtime SI2C]])</f>
        <v>#N/A</v>
      </c>
      <c r="AX114" s="51" t="e">
        <f>VLOOKUP(Tableau118[[#This Row],[ID]],'DATA BTO'!B:P,15,FALSE)</f>
        <v>#N/A</v>
      </c>
      <c r="AY114" s="328" t="e">
        <f ca="1">IFERROR(VLOOKUP(Tableau118[[#This Row],[Key(ID-Actif)]],'DATA BTO'!A:N,4,FALSE),VLOOKUP(Tableau118[[#This Row],[ID]],'DATA BTO'!B:N,3,FALSE))</f>
        <v>#N/A</v>
      </c>
      <c r="AZ11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4" s="50"/>
    </row>
    <row r="115" spans="2:57">
      <c r="B115" s="65" t="str">
        <f>_xlfn.CONCAT(Tableau118[[#This Row],[Name ILN]],"-",Tableau118[[#This Row],[Name Shipper]],"-",Tableau118[[#This Row],[Name Site]])</f>
        <v>--</v>
      </c>
      <c r="C115" s="65" t="e">
        <f ca="1">_xlfn.CONCAT(Tableau118[[#This Row],[Compte ILN]],"-",Tableau118[[#This Row],[Compte Shipper]],"-",Tableau118[[#This Row],[POL]],"-",Tableau118[[#This Row],[Compte Site]])</f>
        <v>#N/A</v>
      </c>
      <c r="D115" s="64" t="e">
        <f ca="1">_xlfn.CONCAT(Tableau118[[#This Row],[Compte ILN]],"-",Tableau118[[#This Row],[Compte Shipper]],"-",Tableau118[[#This Row],[POL]])</f>
        <v>#N/A</v>
      </c>
      <c r="E115" s="396" t="e">
        <f ca="1">_xlfn.CONCAT(Tableau118[[#This Row],[POL]],"-",Tableau118[[#This Row],[Carrier]],"-",Tableau118[[#This Row],[POD]])</f>
        <v>#N/A</v>
      </c>
      <c r="F115" s="64" t="str">
        <f>_xlfn.CONCAT(Tableau118[[#This Row],[ID]],"-","Next")</f>
        <v>-Next</v>
      </c>
      <c r="G115" s="64" t="e">
        <f ca="1">_xlfn.CONCAT(Tableau118[[#This Row],[POD]],"-",Tableau118[[#This Row],[Code PFI]],"-",Tableau118[[#This Row],[Compte Site]])</f>
        <v>#N/A</v>
      </c>
      <c r="H11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5" s="397" t="str">
        <f ca="1">IF(COUNTIF(I:I,Tableau118[[#This Row],[Plant-ILN-shipper-POL-Carrier-POD-PFI]])=1,"Non","Oui")</f>
        <v>Oui</v>
      </c>
      <c r="K115" s="399" t="e">
        <f>VLOOKUP(Tableau118[[#This Row],[Name Site]],Plant_AILN!A:D,4,FALSE)</f>
        <v>#N/A</v>
      </c>
      <c r="L115" s="10"/>
      <c r="M115" s="480"/>
      <c r="N115" s="55"/>
      <c r="O115" s="114"/>
      <c r="P115" s="481"/>
      <c r="Q115" s="50"/>
      <c r="R115" s="50"/>
      <c r="S115" s="50"/>
      <c r="T115" s="50"/>
      <c r="U115" s="50"/>
      <c r="V115" s="50"/>
      <c r="W115" s="53"/>
      <c r="X115" s="283"/>
      <c r="Y115" s="482">
        <f>IFERROR(VLOOKUP(Tableau118[[#This Row],[Name Shipper]],Plant_AILN!L:M,2,FALSE),0)</f>
        <v>0</v>
      </c>
      <c r="Z115" s="358"/>
      <c r="AA115" s="353" t="e">
        <f ca="1">VLOOKUP(Tableau118[[#This Row],[Key(ID-Actif)]],'DATA BTO'!A:N,5,FALSE)</f>
        <v>#N/A</v>
      </c>
      <c r="AB115" s="3" t="e">
        <f ca="1">VLOOKUP(Tableau118[[#This Row],[Key(ID-Actif)]],'DATA BTO'!A:N,6,FALSE)</f>
        <v>#N/A</v>
      </c>
      <c r="AC115" s="50" t="e">
        <f ca="1">VLOOKUP(Tableau118[[#This Row],[Key(ID-Actif)]],'DATA BTO'!A:N,7,FALSE)</f>
        <v>#N/A</v>
      </c>
      <c r="AD115" s="50" t="e">
        <f ca="1">VLOOKUP(Tableau118[[#This Row],[Key(ID-Actif)]],'DATA BTO'!A:N,8,FALSE)</f>
        <v>#N/A</v>
      </c>
      <c r="AE115" s="50" t="e">
        <f ca="1">IF(Tableau118[[#This Row],[First Day to POL]]&lt;=Tableau118[[#This Row],[Day Cut Off]],Tableau118[[#This Row],[Day ETD]],Tableau118[[#This Row],[Day ETD]]+7)</f>
        <v>#N/A</v>
      </c>
      <c r="AF115" s="50" t="e">
        <f ca="1">VLOOKUP(Tableau118[[#This Row],[Key(ID-Actif)]],'DATA BTO'!A:N,9,FALSE)</f>
        <v>#N/A</v>
      </c>
      <c r="AG115" s="3" t="e">
        <f ca="1">VLOOKUP(Tableau118[[#This Row],[Key(ID-Actif)]],'DATA BTO'!A:N,10,FALSE)</f>
        <v>#N/A</v>
      </c>
      <c r="AH115" s="3" t="e">
        <f ca="1">VLOOKUP(Tableau118[[#This Row],[Key(ID-Actif)]],'DATA BTO'!A:N,11,FALSE)</f>
        <v>#N/A</v>
      </c>
      <c r="AI115" s="50" t="e">
        <f ca="1">VLOOKUP(Tableau118[[#This Row],[Key(ID-Actif)]],'DATA BTO'!A:N,12,FALSE)</f>
        <v>#N/A</v>
      </c>
      <c r="AJ115" s="53" t="e">
        <f ca="1">VLOOKUP(Tableau118[[#This Row],[Key(ID-Actif)]],'DATA BTO'!A:N,14,FALSE)</f>
        <v>#N/A</v>
      </c>
      <c r="AK115" s="54" t="e">
        <f ca="1">VLOOKUP(Tableau118[[#This Row],[Key(POD -PFI- Usine)]],'DATA Consignee'!A:F,6,FALSE)</f>
        <v>#N/A</v>
      </c>
      <c r="AL115" s="125" t="s">
        <v>153</v>
      </c>
      <c r="AM115" s="483">
        <f>IF(Tableau118[[#This Row],[Name PFI/CDD]]="","-",VLOOKUP(Tableau118[[#This Row],[Name PFI/CDD]],Plant_AILN!I:J,2,FALSE))</f>
        <v>90016600</v>
      </c>
      <c r="AN11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5" s="2" t="e">
        <f ca="1">VLOOKUP(Tableau118[[#This Row],[Key(POD -PFI- Usine)]],'DATA Consignee'!A:J,10,FALSE)</f>
        <v>#N/A</v>
      </c>
      <c r="AQ115" s="50" t="e">
        <f ca="1">VLOOKUP(Tableau118[[#This Row],[Key(POD -PFI- Usine)]],'DATA Consignee'!A:N,14,FALSE)</f>
        <v>#N/A</v>
      </c>
      <c r="AR11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5" s="50" t="e">
        <f ca="1">Tableau118[[#This Row],[Transit time]]+Tableau118[[#This Row],[Time for security]]+Tableau118[[#This Row],[Time for security2 buffer]]</f>
        <v>#N/A</v>
      </c>
      <c r="AU11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5" s="389" t="e">
        <f ca="1">Tableau118[[#This Row],[Leadtime SI2C]]+Tableau118[[#This Row],[First Receipt Days]]-Tableau118[[#This Row],[Day Customer Order]]+1</f>
        <v>#N/A</v>
      </c>
      <c r="AW115" s="117" t="e">
        <f ca="1">IF(Tableau118[[#This Row],[Name ILN]]&lt;&gt;"SFK Freight Forwarder",Tableau118[[#This Row],[Cust. Leadtime]],Tableau118[[#This Row],[Leadtime SI2C]])</f>
        <v>#N/A</v>
      </c>
      <c r="AX115" s="51" t="e">
        <f>VLOOKUP(Tableau118[[#This Row],[ID]],'DATA BTO'!B:P,15,FALSE)</f>
        <v>#N/A</v>
      </c>
      <c r="AY115" s="328" t="e">
        <f ca="1">IFERROR(VLOOKUP(Tableau118[[#This Row],[Key(ID-Actif)]],'DATA BTO'!A:N,4,FALSE),VLOOKUP(Tableau118[[#This Row],[ID]],'DATA BTO'!B:N,3,FALSE))</f>
        <v>#N/A</v>
      </c>
      <c r="AZ11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5" s="50"/>
    </row>
    <row r="116" spans="2:57">
      <c r="B116" s="65" t="str">
        <f>_xlfn.CONCAT(Tableau118[[#This Row],[Name ILN]],"-",Tableau118[[#This Row],[Name Shipper]],"-",Tableau118[[#This Row],[Name Site]])</f>
        <v>--</v>
      </c>
      <c r="C116" s="65" t="e">
        <f ca="1">_xlfn.CONCAT(Tableau118[[#This Row],[Compte ILN]],"-",Tableau118[[#This Row],[Compte Shipper]],"-",Tableau118[[#This Row],[POL]],"-",Tableau118[[#This Row],[Compte Site]])</f>
        <v>#N/A</v>
      </c>
      <c r="D116" s="64" t="e">
        <f ca="1">_xlfn.CONCAT(Tableau118[[#This Row],[Compte ILN]],"-",Tableau118[[#This Row],[Compte Shipper]],"-",Tableau118[[#This Row],[POL]])</f>
        <v>#N/A</v>
      </c>
      <c r="E116" s="396" t="e">
        <f ca="1">_xlfn.CONCAT(Tableau118[[#This Row],[POL]],"-",Tableau118[[#This Row],[Carrier]],"-",Tableau118[[#This Row],[POD]])</f>
        <v>#N/A</v>
      </c>
      <c r="F116" s="64" t="str">
        <f>_xlfn.CONCAT(Tableau118[[#This Row],[ID]],"-","Next")</f>
        <v>-Next</v>
      </c>
      <c r="G116" s="64" t="e">
        <f ca="1">_xlfn.CONCAT(Tableau118[[#This Row],[POD]],"-",Tableau118[[#This Row],[Code PFI]],"-",Tableau118[[#This Row],[Compte Site]])</f>
        <v>#N/A</v>
      </c>
      <c r="H11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6" s="397" t="str">
        <f ca="1">IF(COUNTIF(I:I,Tableau118[[#This Row],[Plant-ILN-shipper-POL-Carrier-POD-PFI]])=1,"Non","Oui")</f>
        <v>Oui</v>
      </c>
      <c r="K116" s="399" t="e">
        <f>VLOOKUP(Tableau118[[#This Row],[Name Site]],Plant_AILN!A:D,4,FALSE)</f>
        <v>#N/A</v>
      </c>
      <c r="L116" s="10"/>
      <c r="M116" s="480"/>
      <c r="N116" s="55"/>
      <c r="O116" s="114"/>
      <c r="P116" s="481"/>
      <c r="Q116" s="50"/>
      <c r="R116" s="50"/>
      <c r="S116" s="50"/>
      <c r="T116" s="50"/>
      <c r="U116" s="50"/>
      <c r="V116" s="50"/>
      <c r="W116" s="53"/>
      <c r="X116" s="283"/>
      <c r="Y116" s="482">
        <f>IFERROR(VLOOKUP(Tableau118[[#This Row],[Name Shipper]],Plant_AILN!L:M,2,FALSE),0)</f>
        <v>0</v>
      </c>
      <c r="Z116" s="358"/>
      <c r="AA116" s="353" t="e">
        <f ca="1">VLOOKUP(Tableau118[[#This Row],[Key(ID-Actif)]],'DATA BTO'!A:N,5,FALSE)</f>
        <v>#N/A</v>
      </c>
      <c r="AB116" s="3" t="e">
        <f ca="1">VLOOKUP(Tableau118[[#This Row],[Key(ID-Actif)]],'DATA BTO'!A:N,6,FALSE)</f>
        <v>#N/A</v>
      </c>
      <c r="AC116" s="50" t="e">
        <f ca="1">VLOOKUP(Tableau118[[#This Row],[Key(ID-Actif)]],'DATA BTO'!A:N,7,FALSE)</f>
        <v>#N/A</v>
      </c>
      <c r="AD116" s="50" t="e">
        <f ca="1">VLOOKUP(Tableau118[[#This Row],[Key(ID-Actif)]],'DATA BTO'!A:N,8,FALSE)</f>
        <v>#N/A</v>
      </c>
      <c r="AE116" s="50" t="e">
        <f ca="1">IF(Tableau118[[#This Row],[First Day to POL]]&lt;=Tableau118[[#This Row],[Day Cut Off]],Tableau118[[#This Row],[Day ETD]],Tableau118[[#This Row],[Day ETD]]+7)</f>
        <v>#N/A</v>
      </c>
      <c r="AF116" s="50" t="e">
        <f ca="1">VLOOKUP(Tableau118[[#This Row],[Key(ID-Actif)]],'DATA BTO'!A:N,9,FALSE)</f>
        <v>#N/A</v>
      </c>
      <c r="AG116" s="3" t="e">
        <f ca="1">VLOOKUP(Tableau118[[#This Row],[Key(ID-Actif)]],'DATA BTO'!A:N,10,FALSE)</f>
        <v>#N/A</v>
      </c>
      <c r="AH116" s="3" t="e">
        <f ca="1">VLOOKUP(Tableau118[[#This Row],[Key(ID-Actif)]],'DATA BTO'!A:N,11,FALSE)</f>
        <v>#N/A</v>
      </c>
      <c r="AI116" s="50" t="e">
        <f ca="1">VLOOKUP(Tableau118[[#This Row],[Key(ID-Actif)]],'DATA BTO'!A:N,12,FALSE)</f>
        <v>#N/A</v>
      </c>
      <c r="AJ116" s="53" t="e">
        <f ca="1">VLOOKUP(Tableau118[[#This Row],[Key(ID-Actif)]],'DATA BTO'!A:N,14,FALSE)</f>
        <v>#N/A</v>
      </c>
      <c r="AK116" s="54" t="e">
        <f ca="1">VLOOKUP(Tableau118[[#This Row],[Key(POD -PFI- Usine)]],'DATA Consignee'!A:F,6,FALSE)</f>
        <v>#N/A</v>
      </c>
      <c r="AL116" s="125" t="s">
        <v>153</v>
      </c>
      <c r="AM116" s="483">
        <f>IF(Tableau118[[#This Row],[Name PFI/CDD]]="","-",VLOOKUP(Tableau118[[#This Row],[Name PFI/CDD]],Plant_AILN!I:J,2,FALSE))</f>
        <v>90016600</v>
      </c>
      <c r="AN11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6" s="2" t="e">
        <f ca="1">VLOOKUP(Tableau118[[#This Row],[Key(POD -PFI- Usine)]],'DATA Consignee'!A:J,10,FALSE)</f>
        <v>#N/A</v>
      </c>
      <c r="AQ116" s="50" t="e">
        <f ca="1">VLOOKUP(Tableau118[[#This Row],[Key(POD -PFI- Usine)]],'DATA Consignee'!A:N,14,FALSE)</f>
        <v>#N/A</v>
      </c>
      <c r="AR11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6" s="50" t="e">
        <f ca="1">Tableau118[[#This Row],[Transit time]]+Tableau118[[#This Row],[Time for security]]+Tableau118[[#This Row],[Time for security2 buffer]]</f>
        <v>#N/A</v>
      </c>
      <c r="AU11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6" s="389" t="e">
        <f ca="1">Tableau118[[#This Row],[Leadtime SI2C]]+Tableau118[[#This Row],[First Receipt Days]]-Tableau118[[#This Row],[Day Customer Order]]+1</f>
        <v>#N/A</v>
      </c>
      <c r="AW116" s="117" t="e">
        <f ca="1">IF(Tableau118[[#This Row],[Name ILN]]&lt;&gt;"SFK Freight Forwarder",Tableau118[[#This Row],[Cust. Leadtime]],Tableau118[[#This Row],[Leadtime SI2C]])</f>
        <v>#N/A</v>
      </c>
      <c r="AX116" s="51" t="e">
        <f>VLOOKUP(Tableau118[[#This Row],[ID]],'DATA BTO'!B:P,15,FALSE)</f>
        <v>#N/A</v>
      </c>
      <c r="AY116" s="328" t="e">
        <f ca="1">IFERROR(VLOOKUP(Tableau118[[#This Row],[Key(ID-Actif)]],'DATA BTO'!A:N,4,FALSE),VLOOKUP(Tableau118[[#This Row],[ID]],'DATA BTO'!B:N,3,FALSE))</f>
        <v>#N/A</v>
      </c>
      <c r="AZ11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6" s="50"/>
    </row>
    <row r="117" spans="2:57">
      <c r="B117" s="65" t="str">
        <f>_xlfn.CONCAT(Tableau118[[#This Row],[Name ILN]],"-",Tableau118[[#This Row],[Name Shipper]],"-",Tableau118[[#This Row],[Name Site]])</f>
        <v>--</v>
      </c>
      <c r="C117" s="65" t="e">
        <f ca="1">_xlfn.CONCAT(Tableau118[[#This Row],[Compte ILN]],"-",Tableau118[[#This Row],[Compte Shipper]],"-",Tableau118[[#This Row],[POL]],"-",Tableau118[[#This Row],[Compte Site]])</f>
        <v>#N/A</v>
      </c>
      <c r="D117" s="64" t="e">
        <f ca="1">_xlfn.CONCAT(Tableau118[[#This Row],[Compte ILN]],"-",Tableau118[[#This Row],[Compte Shipper]],"-",Tableau118[[#This Row],[POL]])</f>
        <v>#N/A</v>
      </c>
      <c r="E117" s="396" t="e">
        <f ca="1">_xlfn.CONCAT(Tableau118[[#This Row],[POL]],"-",Tableau118[[#This Row],[Carrier]],"-",Tableau118[[#This Row],[POD]])</f>
        <v>#N/A</v>
      </c>
      <c r="F117" s="64" t="str">
        <f>_xlfn.CONCAT(Tableau118[[#This Row],[ID]],"-","Next")</f>
        <v>-Next</v>
      </c>
      <c r="G117" s="64" t="e">
        <f ca="1">_xlfn.CONCAT(Tableau118[[#This Row],[POD]],"-",Tableau118[[#This Row],[Code PFI]],"-",Tableau118[[#This Row],[Compte Site]])</f>
        <v>#N/A</v>
      </c>
      <c r="H11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7" s="397" t="str">
        <f ca="1">IF(COUNTIF(I:I,Tableau118[[#This Row],[Plant-ILN-shipper-POL-Carrier-POD-PFI]])=1,"Non","Oui")</f>
        <v>Oui</v>
      </c>
      <c r="K117" s="399" t="e">
        <f>VLOOKUP(Tableau118[[#This Row],[Name Site]],Plant_AILN!A:D,4,FALSE)</f>
        <v>#N/A</v>
      </c>
      <c r="L117" s="10"/>
      <c r="M117" s="480"/>
      <c r="N117" s="55"/>
      <c r="O117" s="114"/>
      <c r="P117" s="481"/>
      <c r="Q117" s="50"/>
      <c r="R117" s="50"/>
      <c r="S117" s="50"/>
      <c r="T117" s="50"/>
      <c r="U117" s="50"/>
      <c r="V117" s="50"/>
      <c r="W117" s="53"/>
      <c r="X117" s="283"/>
      <c r="Y117" s="482">
        <f>IFERROR(VLOOKUP(Tableau118[[#This Row],[Name Shipper]],Plant_AILN!L:M,2,FALSE),0)</f>
        <v>0</v>
      </c>
      <c r="Z117" s="358"/>
      <c r="AA117" s="353" t="e">
        <f ca="1">VLOOKUP(Tableau118[[#This Row],[Key(ID-Actif)]],'DATA BTO'!A:N,5,FALSE)</f>
        <v>#N/A</v>
      </c>
      <c r="AB117" s="3" t="e">
        <f ca="1">VLOOKUP(Tableau118[[#This Row],[Key(ID-Actif)]],'DATA BTO'!A:N,6,FALSE)</f>
        <v>#N/A</v>
      </c>
      <c r="AC117" s="50" t="e">
        <f ca="1">VLOOKUP(Tableau118[[#This Row],[Key(ID-Actif)]],'DATA BTO'!A:N,7,FALSE)</f>
        <v>#N/A</v>
      </c>
      <c r="AD117" s="50" t="e">
        <f ca="1">VLOOKUP(Tableau118[[#This Row],[Key(ID-Actif)]],'DATA BTO'!A:N,8,FALSE)</f>
        <v>#N/A</v>
      </c>
      <c r="AE117" s="50" t="e">
        <f ca="1">IF(Tableau118[[#This Row],[First Day to POL]]&lt;=Tableau118[[#This Row],[Day Cut Off]],Tableau118[[#This Row],[Day ETD]],Tableau118[[#This Row],[Day ETD]]+7)</f>
        <v>#N/A</v>
      </c>
      <c r="AF117" s="50" t="e">
        <f ca="1">VLOOKUP(Tableau118[[#This Row],[Key(ID-Actif)]],'DATA BTO'!A:N,9,FALSE)</f>
        <v>#N/A</v>
      </c>
      <c r="AG117" s="3" t="e">
        <f ca="1">VLOOKUP(Tableau118[[#This Row],[Key(ID-Actif)]],'DATA BTO'!A:N,10,FALSE)</f>
        <v>#N/A</v>
      </c>
      <c r="AH117" s="3" t="e">
        <f ca="1">VLOOKUP(Tableau118[[#This Row],[Key(ID-Actif)]],'DATA BTO'!A:N,11,FALSE)</f>
        <v>#N/A</v>
      </c>
      <c r="AI117" s="50" t="e">
        <f ca="1">VLOOKUP(Tableau118[[#This Row],[Key(ID-Actif)]],'DATA BTO'!A:N,12,FALSE)</f>
        <v>#N/A</v>
      </c>
      <c r="AJ117" s="53" t="e">
        <f ca="1">VLOOKUP(Tableau118[[#This Row],[Key(ID-Actif)]],'DATA BTO'!A:N,14,FALSE)</f>
        <v>#N/A</v>
      </c>
      <c r="AK117" s="54" t="e">
        <f ca="1">VLOOKUP(Tableau118[[#This Row],[Key(POD -PFI- Usine)]],'DATA Consignee'!A:F,6,FALSE)</f>
        <v>#N/A</v>
      </c>
      <c r="AL117" s="125" t="s">
        <v>217</v>
      </c>
      <c r="AM117" s="483">
        <f>IF(Tableau118[[#This Row],[Name PFI/CDD]]="","-",VLOOKUP(Tableau118[[#This Row],[Name PFI/CDD]],Plant_AILN!I:J,2,FALSE))</f>
        <v>90016600</v>
      </c>
      <c r="AN11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7" s="2" t="e">
        <f ca="1">VLOOKUP(Tableau118[[#This Row],[Key(POD -PFI- Usine)]],'DATA Consignee'!A:J,10,FALSE)</f>
        <v>#N/A</v>
      </c>
      <c r="AQ117" s="50" t="e">
        <f ca="1">VLOOKUP(Tableau118[[#This Row],[Key(POD -PFI- Usine)]],'DATA Consignee'!A:N,14,FALSE)</f>
        <v>#N/A</v>
      </c>
      <c r="AR11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7" s="50" t="e">
        <f ca="1">Tableau118[[#This Row],[Transit time]]+Tableau118[[#This Row],[Time for security]]+Tableau118[[#This Row],[Time for security2 buffer]]</f>
        <v>#N/A</v>
      </c>
      <c r="AU11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7" s="389" t="e">
        <f ca="1">Tableau118[[#This Row],[Leadtime SI2C]]+Tableau118[[#This Row],[First Receipt Days]]-Tableau118[[#This Row],[Day Customer Order]]+1</f>
        <v>#N/A</v>
      </c>
      <c r="AW117" s="117" t="e">
        <f ca="1">IF(Tableau118[[#This Row],[Name ILN]]&lt;&gt;"SFK Freight Forwarder",Tableau118[[#This Row],[Cust. Leadtime]],Tableau118[[#This Row],[Leadtime SI2C]])</f>
        <v>#N/A</v>
      </c>
      <c r="AX117" s="51" t="e">
        <f>VLOOKUP(Tableau118[[#This Row],[ID]],'DATA BTO'!B:P,15,FALSE)</f>
        <v>#N/A</v>
      </c>
      <c r="AY117" s="328" t="e">
        <f ca="1">IFERROR(VLOOKUP(Tableau118[[#This Row],[Key(ID-Actif)]],'DATA BTO'!A:N,4,FALSE),VLOOKUP(Tableau118[[#This Row],[ID]],'DATA BTO'!B:N,3,FALSE))</f>
        <v>#N/A</v>
      </c>
      <c r="AZ11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7" s="50"/>
    </row>
    <row r="118" spans="2:57">
      <c r="B118" s="65" t="str">
        <f>_xlfn.CONCAT(Tableau118[[#This Row],[Name ILN]],"-",Tableau118[[#This Row],[Name Shipper]],"-",Tableau118[[#This Row],[Name Site]])</f>
        <v>--</v>
      </c>
      <c r="C118" s="65" t="e">
        <f ca="1">_xlfn.CONCAT(Tableau118[[#This Row],[Compte ILN]],"-",Tableau118[[#This Row],[Compte Shipper]],"-",Tableau118[[#This Row],[POL]],"-",Tableau118[[#This Row],[Compte Site]])</f>
        <v>#N/A</v>
      </c>
      <c r="D118" s="64" t="e">
        <f ca="1">_xlfn.CONCAT(Tableau118[[#This Row],[Compte ILN]],"-",Tableau118[[#This Row],[Compte Shipper]],"-",Tableau118[[#This Row],[POL]])</f>
        <v>#N/A</v>
      </c>
      <c r="E118" s="396" t="e">
        <f ca="1">_xlfn.CONCAT(Tableau118[[#This Row],[POL]],"-",Tableau118[[#This Row],[Carrier]],"-",Tableau118[[#This Row],[POD]])</f>
        <v>#N/A</v>
      </c>
      <c r="F118" s="64" t="str">
        <f>_xlfn.CONCAT(Tableau118[[#This Row],[ID]],"-","Next")</f>
        <v>-Next</v>
      </c>
      <c r="G118" s="64" t="e">
        <f ca="1">_xlfn.CONCAT(Tableau118[[#This Row],[POD]],"-",Tableau118[[#This Row],[Code PFI]],"-",Tableau118[[#This Row],[Compte Site]])</f>
        <v>#N/A</v>
      </c>
      <c r="H11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8" s="397" t="str">
        <f ca="1">IF(COUNTIF(I:I,Tableau118[[#This Row],[Plant-ILN-shipper-POL-Carrier-POD-PFI]])=1,"Non","Oui")</f>
        <v>Oui</v>
      </c>
      <c r="K118" s="399" t="e">
        <f>VLOOKUP(Tableau118[[#This Row],[Name Site]],Plant_AILN!A:D,4,FALSE)</f>
        <v>#N/A</v>
      </c>
      <c r="L118" s="10"/>
      <c r="M118" s="480"/>
      <c r="N118" s="55"/>
      <c r="O118" s="114"/>
      <c r="P118" s="481"/>
      <c r="Q118" s="50"/>
      <c r="R118" s="50"/>
      <c r="S118" s="50"/>
      <c r="T118" s="50"/>
      <c r="U118" s="50"/>
      <c r="V118" s="50"/>
      <c r="W118" s="53"/>
      <c r="X118" s="283"/>
      <c r="Y118" s="482">
        <f>IFERROR(VLOOKUP(Tableau118[[#This Row],[Name Shipper]],Plant_AILN!L:M,2,FALSE),0)</f>
        <v>0</v>
      </c>
      <c r="Z118" s="358"/>
      <c r="AA118" s="353" t="e">
        <f ca="1">VLOOKUP(Tableau118[[#This Row],[Key(ID-Actif)]],'DATA BTO'!A:N,5,FALSE)</f>
        <v>#N/A</v>
      </c>
      <c r="AB118" s="3" t="e">
        <f ca="1">VLOOKUP(Tableau118[[#This Row],[Key(ID-Actif)]],'DATA BTO'!A:N,6,FALSE)</f>
        <v>#N/A</v>
      </c>
      <c r="AC118" s="50" t="e">
        <f ca="1">VLOOKUP(Tableau118[[#This Row],[Key(ID-Actif)]],'DATA BTO'!A:N,7,FALSE)</f>
        <v>#N/A</v>
      </c>
      <c r="AD118" s="50" t="e">
        <f ca="1">VLOOKUP(Tableau118[[#This Row],[Key(ID-Actif)]],'DATA BTO'!A:N,8,FALSE)</f>
        <v>#N/A</v>
      </c>
      <c r="AE118" s="50" t="e">
        <f ca="1">IF(Tableau118[[#This Row],[First Day to POL]]&lt;=Tableau118[[#This Row],[Day Cut Off]],Tableau118[[#This Row],[Day ETD]],Tableau118[[#This Row],[Day ETD]]+7)</f>
        <v>#N/A</v>
      </c>
      <c r="AF118" s="50" t="e">
        <f ca="1">VLOOKUP(Tableau118[[#This Row],[Key(ID-Actif)]],'DATA BTO'!A:N,9,FALSE)</f>
        <v>#N/A</v>
      </c>
      <c r="AG118" s="3" t="e">
        <f ca="1">VLOOKUP(Tableau118[[#This Row],[Key(ID-Actif)]],'DATA BTO'!A:N,10,FALSE)</f>
        <v>#N/A</v>
      </c>
      <c r="AH118" s="3" t="e">
        <f ca="1">VLOOKUP(Tableau118[[#This Row],[Key(ID-Actif)]],'DATA BTO'!A:N,11,FALSE)</f>
        <v>#N/A</v>
      </c>
      <c r="AI118" s="50" t="e">
        <f ca="1">VLOOKUP(Tableau118[[#This Row],[Key(ID-Actif)]],'DATA BTO'!A:N,12,FALSE)</f>
        <v>#N/A</v>
      </c>
      <c r="AJ118" s="53" t="e">
        <f ca="1">VLOOKUP(Tableau118[[#This Row],[Key(ID-Actif)]],'DATA BTO'!A:N,14,FALSE)</f>
        <v>#N/A</v>
      </c>
      <c r="AK118" s="54" t="e">
        <f ca="1">VLOOKUP(Tableau118[[#This Row],[Key(POD -PFI- Usine)]],'DATA Consignee'!A:F,6,FALSE)</f>
        <v>#N/A</v>
      </c>
      <c r="AL118" s="125" t="s">
        <v>153</v>
      </c>
      <c r="AM118" s="483">
        <f>IF(Tableau118[[#This Row],[Name PFI/CDD]]="","-",VLOOKUP(Tableau118[[#This Row],[Name PFI/CDD]],Plant_AILN!I:J,2,FALSE))</f>
        <v>90016600</v>
      </c>
      <c r="AN11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8" s="2" t="e">
        <f ca="1">VLOOKUP(Tableau118[[#This Row],[Key(POD -PFI- Usine)]],'DATA Consignee'!A:J,10,FALSE)</f>
        <v>#N/A</v>
      </c>
      <c r="AQ118" s="50" t="e">
        <f ca="1">VLOOKUP(Tableau118[[#This Row],[Key(POD -PFI- Usine)]],'DATA Consignee'!A:N,14,FALSE)</f>
        <v>#N/A</v>
      </c>
      <c r="AR11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8" s="50" t="e">
        <f ca="1">Tableau118[[#This Row],[Transit time]]+Tableau118[[#This Row],[Time for security]]+Tableau118[[#This Row],[Time for security2 buffer]]</f>
        <v>#N/A</v>
      </c>
      <c r="AU11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8" s="389" t="e">
        <f ca="1">Tableau118[[#This Row],[Leadtime SI2C]]+Tableau118[[#This Row],[First Receipt Days]]-Tableau118[[#This Row],[Day Customer Order]]+1</f>
        <v>#N/A</v>
      </c>
      <c r="AW118" s="117" t="e">
        <f ca="1">IF(Tableau118[[#This Row],[Name ILN]]&lt;&gt;"SFK Freight Forwarder",Tableau118[[#This Row],[Cust. Leadtime]],Tableau118[[#This Row],[Leadtime SI2C]])</f>
        <v>#N/A</v>
      </c>
      <c r="AX118" s="51" t="e">
        <f>VLOOKUP(Tableau118[[#This Row],[ID]],'DATA BTO'!B:P,15,FALSE)</f>
        <v>#N/A</v>
      </c>
      <c r="AY118" s="328" t="e">
        <f ca="1">IFERROR(VLOOKUP(Tableau118[[#This Row],[Key(ID-Actif)]],'DATA BTO'!A:N,4,FALSE),VLOOKUP(Tableau118[[#This Row],[ID]],'DATA BTO'!B:N,3,FALSE))</f>
        <v>#N/A</v>
      </c>
      <c r="AZ11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8" s="50"/>
    </row>
    <row r="119" spans="2:57">
      <c r="B119" s="65" t="str">
        <f>_xlfn.CONCAT(Tableau118[[#This Row],[Name ILN]],"-",Tableau118[[#This Row],[Name Shipper]],"-",Tableau118[[#This Row],[Name Site]])</f>
        <v>--</v>
      </c>
      <c r="C119" s="65" t="e">
        <f ca="1">_xlfn.CONCAT(Tableau118[[#This Row],[Compte ILN]],"-",Tableau118[[#This Row],[Compte Shipper]],"-",Tableau118[[#This Row],[POL]],"-",Tableau118[[#This Row],[Compte Site]])</f>
        <v>#N/A</v>
      </c>
      <c r="D119" s="64" t="e">
        <f ca="1">_xlfn.CONCAT(Tableau118[[#This Row],[Compte ILN]],"-",Tableau118[[#This Row],[Compte Shipper]],"-",Tableau118[[#This Row],[POL]])</f>
        <v>#N/A</v>
      </c>
      <c r="E119" s="396" t="e">
        <f ca="1">_xlfn.CONCAT(Tableau118[[#This Row],[POL]],"-",Tableau118[[#This Row],[Carrier]],"-",Tableau118[[#This Row],[POD]])</f>
        <v>#N/A</v>
      </c>
      <c r="F119" s="64" t="str">
        <f>_xlfn.CONCAT(Tableau118[[#This Row],[ID]],"-","Next")</f>
        <v>-Next</v>
      </c>
      <c r="G119" s="64" t="e">
        <f ca="1">_xlfn.CONCAT(Tableau118[[#This Row],[POD]],"-",Tableau118[[#This Row],[Code PFI]],"-",Tableau118[[#This Row],[Compte Site]])</f>
        <v>#N/A</v>
      </c>
      <c r="H11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1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19" s="397" t="str">
        <f ca="1">IF(COUNTIF(I:I,Tableau118[[#This Row],[Plant-ILN-shipper-POL-Carrier-POD-PFI]])=1,"Non","Oui")</f>
        <v>Oui</v>
      </c>
      <c r="K119" s="399" t="e">
        <f>VLOOKUP(Tableau118[[#This Row],[Name Site]],Plant_AILN!A:D,4,FALSE)</f>
        <v>#N/A</v>
      </c>
      <c r="L119" s="10"/>
      <c r="M119" s="480"/>
      <c r="N119" s="55"/>
      <c r="O119" s="114"/>
      <c r="P119" s="481"/>
      <c r="Q119" s="50"/>
      <c r="R119" s="50"/>
      <c r="S119" s="50"/>
      <c r="T119" s="50"/>
      <c r="U119" s="50"/>
      <c r="V119" s="50"/>
      <c r="W119" s="53"/>
      <c r="X119" s="283"/>
      <c r="Y119" s="482">
        <f>IFERROR(VLOOKUP(Tableau118[[#This Row],[Name Shipper]],Plant_AILN!L:M,2,FALSE),0)</f>
        <v>0</v>
      </c>
      <c r="Z119" s="358"/>
      <c r="AA119" s="353" t="e">
        <f ca="1">VLOOKUP(Tableau118[[#This Row],[Key(ID-Actif)]],'DATA BTO'!A:N,5,FALSE)</f>
        <v>#N/A</v>
      </c>
      <c r="AB119" s="3" t="e">
        <f ca="1">VLOOKUP(Tableau118[[#This Row],[Key(ID-Actif)]],'DATA BTO'!A:N,6,FALSE)</f>
        <v>#N/A</v>
      </c>
      <c r="AC119" s="50" t="e">
        <f ca="1">VLOOKUP(Tableau118[[#This Row],[Key(ID-Actif)]],'DATA BTO'!A:N,7,FALSE)</f>
        <v>#N/A</v>
      </c>
      <c r="AD119" s="50" t="e">
        <f ca="1">VLOOKUP(Tableau118[[#This Row],[Key(ID-Actif)]],'DATA BTO'!A:N,8,FALSE)</f>
        <v>#N/A</v>
      </c>
      <c r="AE119" s="50" t="e">
        <f ca="1">IF(Tableau118[[#This Row],[First Day to POL]]&lt;=Tableau118[[#This Row],[Day Cut Off]],Tableau118[[#This Row],[Day ETD]],Tableau118[[#This Row],[Day ETD]]+7)</f>
        <v>#N/A</v>
      </c>
      <c r="AF119" s="50" t="e">
        <f ca="1">VLOOKUP(Tableau118[[#This Row],[Key(ID-Actif)]],'DATA BTO'!A:N,9,FALSE)</f>
        <v>#N/A</v>
      </c>
      <c r="AG119" s="3" t="e">
        <f ca="1">VLOOKUP(Tableau118[[#This Row],[Key(ID-Actif)]],'DATA BTO'!A:N,10,FALSE)</f>
        <v>#N/A</v>
      </c>
      <c r="AH119" s="3" t="e">
        <f ca="1">VLOOKUP(Tableau118[[#This Row],[Key(ID-Actif)]],'DATA BTO'!A:N,11,FALSE)</f>
        <v>#N/A</v>
      </c>
      <c r="AI119" s="50" t="e">
        <f ca="1">VLOOKUP(Tableau118[[#This Row],[Key(ID-Actif)]],'DATA BTO'!A:N,12,FALSE)</f>
        <v>#N/A</v>
      </c>
      <c r="AJ119" s="53" t="e">
        <f ca="1">VLOOKUP(Tableau118[[#This Row],[Key(ID-Actif)]],'DATA BTO'!A:N,14,FALSE)</f>
        <v>#N/A</v>
      </c>
      <c r="AK119" s="54" t="e">
        <f ca="1">VLOOKUP(Tableau118[[#This Row],[Key(POD -PFI- Usine)]],'DATA Consignee'!A:F,6,FALSE)</f>
        <v>#N/A</v>
      </c>
      <c r="AL119" s="125" t="s">
        <v>153</v>
      </c>
      <c r="AM119" s="483">
        <f>IF(Tableau118[[#This Row],[Name PFI/CDD]]="","-",VLOOKUP(Tableau118[[#This Row],[Name PFI/CDD]],Plant_AILN!I:J,2,FALSE))</f>
        <v>90016600</v>
      </c>
      <c r="AN11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1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19" s="2" t="e">
        <f ca="1">VLOOKUP(Tableau118[[#This Row],[Key(POD -PFI- Usine)]],'DATA Consignee'!A:J,10,FALSE)</f>
        <v>#N/A</v>
      </c>
      <c r="AQ119" s="50" t="e">
        <f ca="1">VLOOKUP(Tableau118[[#This Row],[Key(POD -PFI- Usine)]],'DATA Consignee'!A:N,14,FALSE)</f>
        <v>#N/A</v>
      </c>
      <c r="AR11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1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19" s="50" t="e">
        <f ca="1">Tableau118[[#This Row],[Transit time]]+Tableau118[[#This Row],[Time for security]]+Tableau118[[#This Row],[Time for security2 buffer]]</f>
        <v>#N/A</v>
      </c>
      <c r="AU11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19" s="389" t="e">
        <f ca="1">Tableau118[[#This Row],[Leadtime SI2C]]+Tableau118[[#This Row],[First Receipt Days]]-Tableau118[[#This Row],[Day Customer Order]]+1</f>
        <v>#N/A</v>
      </c>
      <c r="AW119" s="117" t="e">
        <f ca="1">IF(Tableau118[[#This Row],[Name ILN]]&lt;&gt;"SFK Freight Forwarder",Tableau118[[#This Row],[Cust. Leadtime]],Tableau118[[#This Row],[Leadtime SI2C]])</f>
        <v>#N/A</v>
      </c>
      <c r="AX119" s="51" t="e">
        <f>VLOOKUP(Tableau118[[#This Row],[ID]],'DATA BTO'!B:P,15,FALSE)</f>
        <v>#N/A</v>
      </c>
      <c r="AY119" s="328" t="e">
        <f ca="1">IFERROR(VLOOKUP(Tableau118[[#This Row],[Key(ID-Actif)]],'DATA BTO'!A:N,4,FALSE),VLOOKUP(Tableau118[[#This Row],[ID]],'DATA BTO'!B:N,3,FALSE))</f>
        <v>#N/A</v>
      </c>
      <c r="AZ11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1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1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1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1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19" s="50"/>
    </row>
    <row r="120" spans="2:57">
      <c r="B120" s="65" t="str">
        <f>_xlfn.CONCAT(Tableau118[[#This Row],[Name ILN]],"-",Tableau118[[#This Row],[Name Shipper]],"-",Tableau118[[#This Row],[Name Site]])</f>
        <v>--</v>
      </c>
      <c r="C120" s="65" t="e">
        <f ca="1">_xlfn.CONCAT(Tableau118[[#This Row],[Compte ILN]],"-",Tableau118[[#This Row],[Compte Shipper]],"-",Tableau118[[#This Row],[POL]],"-",Tableau118[[#This Row],[Compte Site]])</f>
        <v>#N/A</v>
      </c>
      <c r="D120" s="64" t="e">
        <f ca="1">_xlfn.CONCAT(Tableau118[[#This Row],[Compte ILN]],"-",Tableau118[[#This Row],[Compte Shipper]],"-",Tableau118[[#This Row],[POL]])</f>
        <v>#N/A</v>
      </c>
      <c r="E120" s="396" t="e">
        <f ca="1">_xlfn.CONCAT(Tableau118[[#This Row],[POL]],"-",Tableau118[[#This Row],[Carrier]],"-",Tableau118[[#This Row],[POD]])</f>
        <v>#N/A</v>
      </c>
      <c r="F120" s="64" t="str">
        <f>_xlfn.CONCAT(Tableau118[[#This Row],[ID]],"-","Next")</f>
        <v>-Next</v>
      </c>
      <c r="G120" s="64" t="e">
        <f ca="1">_xlfn.CONCAT(Tableau118[[#This Row],[POD]],"-",Tableau118[[#This Row],[Code PFI]],"-",Tableau118[[#This Row],[Compte Site]])</f>
        <v>#N/A</v>
      </c>
      <c r="H12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0" s="397" t="str">
        <f ca="1">IF(COUNTIF(I:I,Tableau118[[#This Row],[Plant-ILN-shipper-POL-Carrier-POD-PFI]])=1,"Non","Oui")</f>
        <v>Oui</v>
      </c>
      <c r="K120" s="399" t="e">
        <f>VLOOKUP(Tableau118[[#This Row],[Name Site]],Plant_AILN!A:D,4,FALSE)</f>
        <v>#N/A</v>
      </c>
      <c r="L120" s="10"/>
      <c r="M120" s="480"/>
      <c r="N120" s="55"/>
      <c r="O120" s="114"/>
      <c r="P120" s="481"/>
      <c r="Q120" s="50"/>
      <c r="R120" s="50"/>
      <c r="S120" s="50"/>
      <c r="T120" s="50"/>
      <c r="U120" s="50"/>
      <c r="V120" s="50"/>
      <c r="W120" s="53"/>
      <c r="X120" s="283"/>
      <c r="Y120" s="482">
        <f>IFERROR(VLOOKUP(Tableau118[[#This Row],[Name Shipper]],Plant_AILN!L:M,2,FALSE),0)</f>
        <v>0</v>
      </c>
      <c r="Z120" s="358"/>
      <c r="AA120" s="353" t="e">
        <f ca="1">VLOOKUP(Tableau118[[#This Row],[Key(ID-Actif)]],'DATA BTO'!A:N,5,FALSE)</f>
        <v>#N/A</v>
      </c>
      <c r="AB120" s="3" t="e">
        <f ca="1">VLOOKUP(Tableau118[[#This Row],[Key(ID-Actif)]],'DATA BTO'!A:N,6,FALSE)</f>
        <v>#N/A</v>
      </c>
      <c r="AC120" s="50" t="e">
        <f ca="1">VLOOKUP(Tableau118[[#This Row],[Key(ID-Actif)]],'DATA BTO'!A:N,7,FALSE)</f>
        <v>#N/A</v>
      </c>
      <c r="AD120" s="50" t="e">
        <f ca="1">VLOOKUP(Tableau118[[#This Row],[Key(ID-Actif)]],'DATA BTO'!A:N,8,FALSE)</f>
        <v>#N/A</v>
      </c>
      <c r="AE120" s="50" t="e">
        <f ca="1">IF(Tableau118[[#This Row],[First Day to POL]]&lt;=Tableau118[[#This Row],[Day Cut Off]],Tableau118[[#This Row],[Day ETD]],Tableau118[[#This Row],[Day ETD]]+7)</f>
        <v>#N/A</v>
      </c>
      <c r="AF120" s="50" t="e">
        <f ca="1">VLOOKUP(Tableau118[[#This Row],[Key(ID-Actif)]],'DATA BTO'!A:N,9,FALSE)</f>
        <v>#N/A</v>
      </c>
      <c r="AG120" s="3" t="e">
        <f ca="1">VLOOKUP(Tableau118[[#This Row],[Key(ID-Actif)]],'DATA BTO'!A:N,10,FALSE)</f>
        <v>#N/A</v>
      </c>
      <c r="AH120" s="3" t="e">
        <f ca="1">VLOOKUP(Tableau118[[#This Row],[Key(ID-Actif)]],'DATA BTO'!A:N,11,FALSE)</f>
        <v>#N/A</v>
      </c>
      <c r="AI120" s="50" t="e">
        <f ca="1">VLOOKUP(Tableau118[[#This Row],[Key(ID-Actif)]],'DATA BTO'!A:N,12,FALSE)</f>
        <v>#N/A</v>
      </c>
      <c r="AJ120" s="53" t="e">
        <f ca="1">VLOOKUP(Tableau118[[#This Row],[Key(ID-Actif)]],'DATA BTO'!A:N,14,FALSE)</f>
        <v>#N/A</v>
      </c>
      <c r="AK120" s="54" t="e">
        <f ca="1">VLOOKUP(Tableau118[[#This Row],[Key(POD -PFI- Usine)]],'DATA Consignee'!A:F,6,FALSE)</f>
        <v>#N/A</v>
      </c>
      <c r="AL120" s="125" t="s">
        <v>217</v>
      </c>
      <c r="AM120" s="483">
        <f>IF(Tableau118[[#This Row],[Name PFI/CDD]]="","-",VLOOKUP(Tableau118[[#This Row],[Name PFI/CDD]],Plant_AILN!I:J,2,FALSE))</f>
        <v>90016600</v>
      </c>
      <c r="AN12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0" s="2" t="e">
        <f ca="1">VLOOKUP(Tableau118[[#This Row],[Key(POD -PFI- Usine)]],'DATA Consignee'!A:J,10,FALSE)</f>
        <v>#N/A</v>
      </c>
      <c r="AQ120" s="50" t="e">
        <f ca="1">VLOOKUP(Tableau118[[#This Row],[Key(POD -PFI- Usine)]],'DATA Consignee'!A:N,14,FALSE)</f>
        <v>#N/A</v>
      </c>
      <c r="AR12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0" s="50" t="e">
        <f ca="1">Tableau118[[#This Row],[Transit time]]+Tableau118[[#This Row],[Time for security]]+Tableau118[[#This Row],[Time for security2 buffer]]</f>
        <v>#N/A</v>
      </c>
      <c r="AU12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0" s="389" t="e">
        <f ca="1">Tableau118[[#This Row],[Leadtime SI2C]]+Tableau118[[#This Row],[First Receipt Days]]-Tableau118[[#This Row],[Day Customer Order]]+1</f>
        <v>#N/A</v>
      </c>
      <c r="AW120" s="117" t="e">
        <f ca="1">IF(Tableau118[[#This Row],[Name ILN]]&lt;&gt;"SFK Freight Forwarder",Tableau118[[#This Row],[Cust. Leadtime]],Tableau118[[#This Row],[Leadtime SI2C]])</f>
        <v>#N/A</v>
      </c>
      <c r="AX120" s="51" t="e">
        <f>VLOOKUP(Tableau118[[#This Row],[ID]],'DATA BTO'!B:P,15,FALSE)</f>
        <v>#N/A</v>
      </c>
      <c r="AY120" s="328" t="e">
        <f ca="1">IFERROR(VLOOKUP(Tableau118[[#This Row],[Key(ID-Actif)]],'DATA BTO'!A:N,4,FALSE),VLOOKUP(Tableau118[[#This Row],[ID]],'DATA BTO'!B:N,3,FALSE))</f>
        <v>#N/A</v>
      </c>
      <c r="AZ12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0" s="50"/>
    </row>
    <row r="121" spans="2:57">
      <c r="B121" s="65" t="str">
        <f>_xlfn.CONCAT(Tableau118[[#This Row],[Name ILN]],"-",Tableau118[[#This Row],[Name Shipper]],"-",Tableau118[[#This Row],[Name Site]])</f>
        <v>--</v>
      </c>
      <c r="C121" s="65" t="e">
        <f ca="1">_xlfn.CONCAT(Tableau118[[#This Row],[Compte ILN]],"-",Tableau118[[#This Row],[Compte Shipper]],"-",Tableau118[[#This Row],[POL]],"-",Tableau118[[#This Row],[Compte Site]])</f>
        <v>#N/A</v>
      </c>
      <c r="D121" s="64" t="e">
        <f ca="1">_xlfn.CONCAT(Tableau118[[#This Row],[Compte ILN]],"-",Tableau118[[#This Row],[Compte Shipper]],"-",Tableau118[[#This Row],[POL]])</f>
        <v>#N/A</v>
      </c>
      <c r="E121" s="396" t="e">
        <f ca="1">_xlfn.CONCAT(Tableau118[[#This Row],[POL]],"-",Tableau118[[#This Row],[Carrier]],"-",Tableau118[[#This Row],[POD]])</f>
        <v>#N/A</v>
      </c>
      <c r="F121" s="64" t="str">
        <f>_xlfn.CONCAT(Tableau118[[#This Row],[ID]],"-","Next")</f>
        <v>-Next</v>
      </c>
      <c r="G121" s="64" t="e">
        <f ca="1">_xlfn.CONCAT(Tableau118[[#This Row],[POD]],"-",Tableau118[[#This Row],[Code PFI]],"-",Tableau118[[#This Row],[Compte Site]])</f>
        <v>#N/A</v>
      </c>
      <c r="H12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1" s="397" t="str">
        <f ca="1">IF(COUNTIF(I:I,Tableau118[[#This Row],[Plant-ILN-shipper-POL-Carrier-POD-PFI]])=1,"Non","Oui")</f>
        <v>Oui</v>
      </c>
      <c r="K121" s="399" t="e">
        <f>VLOOKUP(Tableau118[[#This Row],[Name Site]],Plant_AILN!A:D,4,FALSE)</f>
        <v>#N/A</v>
      </c>
      <c r="L121" s="10"/>
      <c r="M121" s="480"/>
      <c r="N121" s="55"/>
      <c r="O121" s="114"/>
      <c r="P121" s="481"/>
      <c r="Q121" s="50"/>
      <c r="R121" s="50"/>
      <c r="S121" s="50"/>
      <c r="T121" s="50"/>
      <c r="U121" s="50"/>
      <c r="V121" s="50"/>
      <c r="W121" s="53"/>
      <c r="X121" s="283"/>
      <c r="Y121" s="482">
        <f>IFERROR(VLOOKUP(Tableau118[[#This Row],[Name Shipper]],Plant_AILN!L:M,2,FALSE),0)</f>
        <v>0</v>
      </c>
      <c r="Z121" s="358"/>
      <c r="AA121" s="353" t="e">
        <f ca="1">VLOOKUP(Tableau118[[#This Row],[Key(ID-Actif)]],'DATA BTO'!A:N,5,FALSE)</f>
        <v>#N/A</v>
      </c>
      <c r="AB121" s="3" t="e">
        <f ca="1">VLOOKUP(Tableau118[[#This Row],[Key(ID-Actif)]],'DATA BTO'!A:N,6,FALSE)</f>
        <v>#N/A</v>
      </c>
      <c r="AC121" s="50" t="e">
        <f ca="1">VLOOKUP(Tableau118[[#This Row],[Key(ID-Actif)]],'DATA BTO'!A:N,7,FALSE)</f>
        <v>#N/A</v>
      </c>
      <c r="AD121" s="50" t="e">
        <f ca="1">VLOOKUP(Tableau118[[#This Row],[Key(ID-Actif)]],'DATA BTO'!A:N,8,FALSE)</f>
        <v>#N/A</v>
      </c>
      <c r="AE121" s="50" t="e">
        <f ca="1">IF(Tableau118[[#This Row],[First Day to POL]]&lt;=Tableau118[[#This Row],[Day Cut Off]],Tableau118[[#This Row],[Day ETD]],Tableau118[[#This Row],[Day ETD]]+7)</f>
        <v>#N/A</v>
      </c>
      <c r="AF121" s="50" t="e">
        <f ca="1">VLOOKUP(Tableau118[[#This Row],[Key(ID-Actif)]],'DATA BTO'!A:N,9,FALSE)</f>
        <v>#N/A</v>
      </c>
      <c r="AG121" s="3" t="e">
        <f ca="1">VLOOKUP(Tableau118[[#This Row],[Key(ID-Actif)]],'DATA BTO'!A:N,10,FALSE)</f>
        <v>#N/A</v>
      </c>
      <c r="AH121" s="3" t="e">
        <f ca="1">VLOOKUP(Tableau118[[#This Row],[Key(ID-Actif)]],'DATA BTO'!A:N,11,FALSE)</f>
        <v>#N/A</v>
      </c>
      <c r="AI121" s="50" t="e">
        <f ca="1">VLOOKUP(Tableau118[[#This Row],[Key(ID-Actif)]],'DATA BTO'!A:N,12,FALSE)</f>
        <v>#N/A</v>
      </c>
      <c r="AJ121" s="53" t="e">
        <f ca="1">VLOOKUP(Tableau118[[#This Row],[Key(ID-Actif)]],'DATA BTO'!A:N,14,FALSE)</f>
        <v>#N/A</v>
      </c>
      <c r="AK121" s="54" t="e">
        <f ca="1">VLOOKUP(Tableau118[[#This Row],[Key(POD -PFI- Usine)]],'DATA Consignee'!A:F,6,FALSE)</f>
        <v>#N/A</v>
      </c>
      <c r="AL121" s="125" t="s">
        <v>153</v>
      </c>
      <c r="AM121" s="483">
        <f>IF(Tableau118[[#This Row],[Name PFI/CDD]]="","-",VLOOKUP(Tableau118[[#This Row],[Name PFI/CDD]],Plant_AILN!I:J,2,FALSE))</f>
        <v>90016600</v>
      </c>
      <c r="AN12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1" s="2" t="e">
        <f ca="1">VLOOKUP(Tableau118[[#This Row],[Key(POD -PFI- Usine)]],'DATA Consignee'!A:J,10,FALSE)</f>
        <v>#N/A</v>
      </c>
      <c r="AQ121" s="50" t="e">
        <f ca="1">VLOOKUP(Tableau118[[#This Row],[Key(POD -PFI- Usine)]],'DATA Consignee'!A:N,14,FALSE)</f>
        <v>#N/A</v>
      </c>
      <c r="AR12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1" s="50" t="e">
        <f ca="1">Tableau118[[#This Row],[Transit time]]+Tableau118[[#This Row],[Time for security]]+Tableau118[[#This Row],[Time for security2 buffer]]</f>
        <v>#N/A</v>
      </c>
      <c r="AU12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1" s="389" t="e">
        <f ca="1">Tableau118[[#This Row],[Leadtime SI2C]]+Tableau118[[#This Row],[First Receipt Days]]-Tableau118[[#This Row],[Day Customer Order]]+1</f>
        <v>#N/A</v>
      </c>
      <c r="AW121" s="117" t="e">
        <f ca="1">IF(Tableau118[[#This Row],[Name ILN]]&lt;&gt;"SFK Freight Forwarder",Tableau118[[#This Row],[Cust. Leadtime]],Tableau118[[#This Row],[Leadtime SI2C]])</f>
        <v>#N/A</v>
      </c>
      <c r="AX121" s="51" t="e">
        <f>VLOOKUP(Tableau118[[#This Row],[ID]],'DATA BTO'!B:P,15,FALSE)</f>
        <v>#N/A</v>
      </c>
      <c r="AY121" s="328" t="e">
        <f ca="1">IFERROR(VLOOKUP(Tableau118[[#This Row],[Key(ID-Actif)]],'DATA BTO'!A:N,4,FALSE),VLOOKUP(Tableau118[[#This Row],[ID]],'DATA BTO'!B:N,3,FALSE))</f>
        <v>#N/A</v>
      </c>
      <c r="AZ12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1" s="50"/>
    </row>
    <row r="122" spans="2:57">
      <c r="B122" s="65" t="str">
        <f>_xlfn.CONCAT(Tableau118[[#This Row],[Name ILN]],"-",Tableau118[[#This Row],[Name Shipper]],"-",Tableau118[[#This Row],[Name Site]])</f>
        <v>--</v>
      </c>
      <c r="C122" s="65" t="e">
        <f ca="1">_xlfn.CONCAT(Tableau118[[#This Row],[Compte ILN]],"-",Tableau118[[#This Row],[Compte Shipper]],"-",Tableau118[[#This Row],[POL]],"-",Tableau118[[#This Row],[Compte Site]])</f>
        <v>#N/A</v>
      </c>
      <c r="D122" s="64" t="e">
        <f ca="1">_xlfn.CONCAT(Tableau118[[#This Row],[Compte ILN]],"-",Tableau118[[#This Row],[Compte Shipper]],"-",Tableau118[[#This Row],[POL]])</f>
        <v>#N/A</v>
      </c>
      <c r="E122" s="396" t="e">
        <f ca="1">_xlfn.CONCAT(Tableau118[[#This Row],[POL]],"-",Tableau118[[#This Row],[Carrier]],"-",Tableau118[[#This Row],[POD]])</f>
        <v>#N/A</v>
      </c>
      <c r="F122" s="64" t="str">
        <f>_xlfn.CONCAT(Tableau118[[#This Row],[ID]],"-","Next")</f>
        <v>-Next</v>
      </c>
      <c r="G122" s="64" t="e">
        <f ca="1">_xlfn.CONCAT(Tableau118[[#This Row],[POD]],"-",Tableau118[[#This Row],[Code PFI]],"-",Tableau118[[#This Row],[Compte Site]])</f>
        <v>#N/A</v>
      </c>
      <c r="H12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2" s="397" t="str">
        <f ca="1">IF(COUNTIF(I:I,Tableau118[[#This Row],[Plant-ILN-shipper-POL-Carrier-POD-PFI]])=1,"Non","Oui")</f>
        <v>Oui</v>
      </c>
      <c r="K122" s="399" t="e">
        <f>VLOOKUP(Tableau118[[#This Row],[Name Site]],Plant_AILN!A:D,4,FALSE)</f>
        <v>#N/A</v>
      </c>
      <c r="L122" s="10"/>
      <c r="M122" s="480"/>
      <c r="N122" s="55"/>
      <c r="O122" s="114"/>
      <c r="P122" s="481"/>
      <c r="Q122" s="50"/>
      <c r="R122" s="50"/>
      <c r="S122" s="50"/>
      <c r="T122" s="50"/>
      <c r="U122" s="50"/>
      <c r="V122" s="50"/>
      <c r="W122" s="53"/>
      <c r="X122" s="283"/>
      <c r="Y122" s="482">
        <f>IFERROR(VLOOKUP(Tableau118[[#This Row],[Name Shipper]],Plant_AILN!L:M,2,FALSE),0)</f>
        <v>0</v>
      </c>
      <c r="Z122" s="358"/>
      <c r="AA122" s="353" t="e">
        <f ca="1">VLOOKUP(Tableau118[[#This Row],[Key(ID-Actif)]],'DATA BTO'!A:N,5,FALSE)</f>
        <v>#N/A</v>
      </c>
      <c r="AB122" s="3" t="e">
        <f ca="1">VLOOKUP(Tableau118[[#This Row],[Key(ID-Actif)]],'DATA BTO'!A:N,6,FALSE)</f>
        <v>#N/A</v>
      </c>
      <c r="AC122" s="50" t="e">
        <f ca="1">VLOOKUP(Tableau118[[#This Row],[Key(ID-Actif)]],'DATA BTO'!A:N,7,FALSE)</f>
        <v>#N/A</v>
      </c>
      <c r="AD122" s="50" t="e">
        <f ca="1">VLOOKUP(Tableau118[[#This Row],[Key(ID-Actif)]],'DATA BTO'!A:N,8,FALSE)</f>
        <v>#N/A</v>
      </c>
      <c r="AE122" s="50" t="e">
        <f ca="1">IF(Tableau118[[#This Row],[First Day to POL]]&lt;=Tableau118[[#This Row],[Day Cut Off]],Tableau118[[#This Row],[Day ETD]],Tableau118[[#This Row],[Day ETD]]+7)</f>
        <v>#N/A</v>
      </c>
      <c r="AF122" s="50" t="e">
        <f ca="1">VLOOKUP(Tableau118[[#This Row],[Key(ID-Actif)]],'DATA BTO'!A:N,9,FALSE)</f>
        <v>#N/A</v>
      </c>
      <c r="AG122" s="3" t="e">
        <f ca="1">VLOOKUP(Tableau118[[#This Row],[Key(ID-Actif)]],'DATA BTO'!A:N,10,FALSE)</f>
        <v>#N/A</v>
      </c>
      <c r="AH122" s="3" t="e">
        <f ca="1">VLOOKUP(Tableau118[[#This Row],[Key(ID-Actif)]],'DATA BTO'!A:N,11,FALSE)</f>
        <v>#N/A</v>
      </c>
      <c r="AI122" s="50" t="e">
        <f ca="1">VLOOKUP(Tableau118[[#This Row],[Key(ID-Actif)]],'DATA BTO'!A:N,12,FALSE)</f>
        <v>#N/A</v>
      </c>
      <c r="AJ122" s="53" t="e">
        <f ca="1">VLOOKUP(Tableau118[[#This Row],[Key(ID-Actif)]],'DATA BTO'!A:N,14,FALSE)</f>
        <v>#N/A</v>
      </c>
      <c r="AK122" s="54" t="e">
        <f ca="1">VLOOKUP(Tableau118[[#This Row],[Key(POD -PFI- Usine)]],'DATA Consignee'!A:F,6,FALSE)</f>
        <v>#N/A</v>
      </c>
      <c r="AL122" s="125" t="s">
        <v>217</v>
      </c>
      <c r="AM122" s="483">
        <f>IF(Tableau118[[#This Row],[Name PFI/CDD]]="","-",VLOOKUP(Tableau118[[#This Row],[Name PFI/CDD]],Plant_AILN!I:J,2,FALSE))</f>
        <v>90016600</v>
      </c>
      <c r="AN12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2" s="2" t="e">
        <f ca="1">VLOOKUP(Tableau118[[#This Row],[Key(POD -PFI- Usine)]],'DATA Consignee'!A:J,10,FALSE)</f>
        <v>#N/A</v>
      </c>
      <c r="AQ122" s="50" t="e">
        <f ca="1">VLOOKUP(Tableau118[[#This Row],[Key(POD -PFI- Usine)]],'DATA Consignee'!A:N,14,FALSE)</f>
        <v>#N/A</v>
      </c>
      <c r="AR12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2" s="50" t="e">
        <f ca="1">Tableau118[[#This Row],[Transit time]]+Tableau118[[#This Row],[Time for security]]+Tableau118[[#This Row],[Time for security2 buffer]]</f>
        <v>#N/A</v>
      </c>
      <c r="AU12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2" s="389" t="e">
        <f ca="1">Tableau118[[#This Row],[Leadtime SI2C]]+Tableau118[[#This Row],[First Receipt Days]]-Tableau118[[#This Row],[Day Customer Order]]+1</f>
        <v>#N/A</v>
      </c>
      <c r="AW122" s="117" t="e">
        <f ca="1">IF(Tableau118[[#This Row],[Name ILN]]&lt;&gt;"SFK Freight Forwarder",Tableau118[[#This Row],[Cust. Leadtime]],Tableau118[[#This Row],[Leadtime SI2C]])</f>
        <v>#N/A</v>
      </c>
      <c r="AX122" s="51" t="e">
        <f>VLOOKUP(Tableau118[[#This Row],[ID]],'DATA BTO'!B:P,15,FALSE)</f>
        <v>#N/A</v>
      </c>
      <c r="AY122" s="328" t="e">
        <f ca="1">IFERROR(VLOOKUP(Tableau118[[#This Row],[Key(ID-Actif)]],'DATA BTO'!A:N,4,FALSE),VLOOKUP(Tableau118[[#This Row],[ID]],'DATA BTO'!B:N,3,FALSE))</f>
        <v>#N/A</v>
      </c>
      <c r="AZ12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2" s="50"/>
    </row>
    <row r="123" spans="2:57">
      <c r="B123" s="65" t="str">
        <f>_xlfn.CONCAT(Tableau118[[#This Row],[Name ILN]],"-",Tableau118[[#This Row],[Name Shipper]],"-",Tableau118[[#This Row],[Name Site]])</f>
        <v>--</v>
      </c>
      <c r="C123" s="65" t="e">
        <f ca="1">_xlfn.CONCAT(Tableau118[[#This Row],[Compte ILN]],"-",Tableau118[[#This Row],[Compte Shipper]],"-",Tableau118[[#This Row],[POL]],"-",Tableau118[[#This Row],[Compte Site]])</f>
        <v>#N/A</v>
      </c>
      <c r="D123" s="64" t="e">
        <f ca="1">_xlfn.CONCAT(Tableau118[[#This Row],[Compte ILN]],"-",Tableau118[[#This Row],[Compte Shipper]],"-",Tableau118[[#This Row],[POL]])</f>
        <v>#N/A</v>
      </c>
      <c r="E123" s="396" t="e">
        <f ca="1">_xlfn.CONCAT(Tableau118[[#This Row],[POL]],"-",Tableau118[[#This Row],[Carrier]],"-",Tableau118[[#This Row],[POD]])</f>
        <v>#N/A</v>
      </c>
      <c r="F123" s="64" t="str">
        <f>_xlfn.CONCAT(Tableau118[[#This Row],[ID]],"-","Next")</f>
        <v>-Next</v>
      </c>
      <c r="G123" s="64" t="e">
        <f ca="1">_xlfn.CONCAT(Tableau118[[#This Row],[POD]],"-",Tableau118[[#This Row],[Code PFI]],"-",Tableau118[[#This Row],[Compte Site]])</f>
        <v>#N/A</v>
      </c>
      <c r="H12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3" s="397" t="str">
        <f ca="1">IF(COUNTIF(I:I,Tableau118[[#This Row],[Plant-ILN-shipper-POL-Carrier-POD-PFI]])=1,"Non","Oui")</f>
        <v>Oui</v>
      </c>
      <c r="K123" s="399" t="e">
        <f>VLOOKUP(Tableau118[[#This Row],[Name Site]],Plant_AILN!A:D,4,FALSE)</f>
        <v>#N/A</v>
      </c>
      <c r="L123" s="10"/>
      <c r="M123" s="480"/>
      <c r="N123" s="55"/>
      <c r="O123" s="114"/>
      <c r="P123" s="481"/>
      <c r="Q123" s="50"/>
      <c r="R123" s="50"/>
      <c r="S123" s="50"/>
      <c r="T123" s="50"/>
      <c r="U123" s="50"/>
      <c r="V123" s="50"/>
      <c r="W123" s="53"/>
      <c r="X123" s="283"/>
      <c r="Y123" s="482">
        <f>IFERROR(VLOOKUP(Tableau118[[#This Row],[Name Shipper]],Plant_AILN!L:M,2,FALSE),0)</f>
        <v>0</v>
      </c>
      <c r="Z123" s="358"/>
      <c r="AA123" s="353" t="e">
        <f ca="1">VLOOKUP(Tableau118[[#This Row],[Key(ID-Actif)]],'DATA BTO'!A:N,5,FALSE)</f>
        <v>#N/A</v>
      </c>
      <c r="AB123" s="3" t="e">
        <f ca="1">VLOOKUP(Tableau118[[#This Row],[Key(ID-Actif)]],'DATA BTO'!A:N,6,FALSE)</f>
        <v>#N/A</v>
      </c>
      <c r="AC123" s="50" t="e">
        <f ca="1">VLOOKUP(Tableau118[[#This Row],[Key(ID-Actif)]],'DATA BTO'!A:N,7,FALSE)</f>
        <v>#N/A</v>
      </c>
      <c r="AD123" s="50" t="e">
        <f ca="1">VLOOKUP(Tableau118[[#This Row],[Key(ID-Actif)]],'DATA BTO'!A:N,8,FALSE)</f>
        <v>#N/A</v>
      </c>
      <c r="AE123" s="50" t="e">
        <f ca="1">IF(Tableau118[[#This Row],[First Day to POL]]&lt;=Tableau118[[#This Row],[Day Cut Off]],Tableau118[[#This Row],[Day ETD]],Tableau118[[#This Row],[Day ETD]]+7)</f>
        <v>#N/A</v>
      </c>
      <c r="AF123" s="50" t="e">
        <f ca="1">VLOOKUP(Tableau118[[#This Row],[Key(ID-Actif)]],'DATA BTO'!A:N,9,FALSE)</f>
        <v>#N/A</v>
      </c>
      <c r="AG123" s="3" t="e">
        <f ca="1">VLOOKUP(Tableau118[[#This Row],[Key(ID-Actif)]],'DATA BTO'!A:N,10,FALSE)</f>
        <v>#N/A</v>
      </c>
      <c r="AH123" s="3" t="e">
        <f ca="1">VLOOKUP(Tableau118[[#This Row],[Key(ID-Actif)]],'DATA BTO'!A:N,11,FALSE)</f>
        <v>#N/A</v>
      </c>
      <c r="AI123" s="50" t="e">
        <f ca="1">VLOOKUP(Tableau118[[#This Row],[Key(ID-Actif)]],'DATA BTO'!A:N,12,FALSE)</f>
        <v>#N/A</v>
      </c>
      <c r="AJ123" s="53" t="e">
        <f ca="1">VLOOKUP(Tableau118[[#This Row],[Key(ID-Actif)]],'DATA BTO'!A:N,14,FALSE)</f>
        <v>#N/A</v>
      </c>
      <c r="AK123" s="54" t="e">
        <f ca="1">VLOOKUP(Tableau118[[#This Row],[Key(POD -PFI- Usine)]],'DATA Consignee'!A:F,6,FALSE)</f>
        <v>#N/A</v>
      </c>
      <c r="AL123" s="125" t="s">
        <v>217</v>
      </c>
      <c r="AM123" s="483">
        <f>IF(Tableau118[[#This Row],[Name PFI/CDD]]="","-",VLOOKUP(Tableau118[[#This Row],[Name PFI/CDD]],Plant_AILN!I:J,2,FALSE))</f>
        <v>90016600</v>
      </c>
      <c r="AN12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3" s="2" t="e">
        <f ca="1">VLOOKUP(Tableau118[[#This Row],[Key(POD -PFI- Usine)]],'DATA Consignee'!A:J,10,FALSE)</f>
        <v>#N/A</v>
      </c>
      <c r="AQ123" s="50" t="e">
        <f ca="1">VLOOKUP(Tableau118[[#This Row],[Key(POD -PFI- Usine)]],'DATA Consignee'!A:N,14,FALSE)</f>
        <v>#N/A</v>
      </c>
      <c r="AR12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3" s="50" t="e">
        <f ca="1">Tableau118[[#This Row],[Transit time]]+Tableau118[[#This Row],[Time for security]]+Tableau118[[#This Row],[Time for security2 buffer]]</f>
        <v>#N/A</v>
      </c>
      <c r="AU12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3" s="389" t="e">
        <f ca="1">Tableau118[[#This Row],[Leadtime SI2C]]+Tableau118[[#This Row],[First Receipt Days]]-Tableau118[[#This Row],[Day Customer Order]]+1</f>
        <v>#N/A</v>
      </c>
      <c r="AW123" s="117" t="e">
        <f ca="1">IF(Tableau118[[#This Row],[Name ILN]]&lt;&gt;"SFK Freight Forwarder",Tableau118[[#This Row],[Cust. Leadtime]],Tableau118[[#This Row],[Leadtime SI2C]])</f>
        <v>#N/A</v>
      </c>
      <c r="AX123" s="51" t="e">
        <f>VLOOKUP(Tableau118[[#This Row],[ID]],'DATA BTO'!B:P,15,FALSE)</f>
        <v>#N/A</v>
      </c>
      <c r="AY123" s="328" t="e">
        <f ca="1">IFERROR(VLOOKUP(Tableau118[[#This Row],[Key(ID-Actif)]],'DATA BTO'!A:N,4,FALSE),VLOOKUP(Tableau118[[#This Row],[ID]],'DATA BTO'!B:N,3,FALSE))</f>
        <v>#N/A</v>
      </c>
      <c r="AZ12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3" s="50"/>
    </row>
    <row r="124" spans="2:57">
      <c r="B124" s="65" t="str">
        <f>_xlfn.CONCAT(Tableau118[[#This Row],[Name ILN]],"-",Tableau118[[#This Row],[Name Shipper]],"-",Tableau118[[#This Row],[Name Site]])</f>
        <v>--</v>
      </c>
      <c r="C124" s="65" t="e">
        <f ca="1">_xlfn.CONCAT(Tableau118[[#This Row],[Compte ILN]],"-",Tableau118[[#This Row],[Compte Shipper]],"-",Tableau118[[#This Row],[POL]],"-",Tableau118[[#This Row],[Compte Site]])</f>
        <v>#N/A</v>
      </c>
      <c r="D124" s="64" t="e">
        <f ca="1">_xlfn.CONCAT(Tableau118[[#This Row],[Compte ILN]],"-",Tableau118[[#This Row],[Compte Shipper]],"-",Tableau118[[#This Row],[POL]])</f>
        <v>#N/A</v>
      </c>
      <c r="E124" s="396" t="e">
        <f ca="1">_xlfn.CONCAT(Tableau118[[#This Row],[POL]],"-",Tableau118[[#This Row],[Carrier]],"-",Tableau118[[#This Row],[POD]])</f>
        <v>#N/A</v>
      </c>
      <c r="F124" s="64" t="str">
        <f>_xlfn.CONCAT(Tableau118[[#This Row],[ID]],"-","Next")</f>
        <v>-Next</v>
      </c>
      <c r="G124" s="64" t="e">
        <f ca="1">_xlfn.CONCAT(Tableau118[[#This Row],[POD]],"-",Tableau118[[#This Row],[Code PFI]],"-",Tableau118[[#This Row],[Compte Site]])</f>
        <v>#N/A</v>
      </c>
      <c r="H12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4" s="397" t="str">
        <f ca="1">IF(COUNTIF(I:I,Tableau118[[#This Row],[Plant-ILN-shipper-POL-Carrier-POD-PFI]])=1,"Non","Oui")</f>
        <v>Oui</v>
      </c>
      <c r="K124" s="399" t="e">
        <f>VLOOKUP(Tableau118[[#This Row],[Name Site]],Plant_AILN!A:D,4,FALSE)</f>
        <v>#N/A</v>
      </c>
      <c r="L124" s="10"/>
      <c r="M124" s="480"/>
      <c r="N124" s="55"/>
      <c r="O124" s="114"/>
      <c r="P124" s="481"/>
      <c r="Q124" s="50"/>
      <c r="R124" s="50"/>
      <c r="S124" s="50"/>
      <c r="T124" s="50"/>
      <c r="U124" s="50"/>
      <c r="V124" s="50"/>
      <c r="W124" s="53"/>
      <c r="X124" s="283"/>
      <c r="Y124" s="482">
        <f>IFERROR(VLOOKUP(Tableau118[[#This Row],[Name Shipper]],Plant_AILN!L:M,2,FALSE),0)</f>
        <v>0</v>
      </c>
      <c r="Z124" s="358"/>
      <c r="AA124" s="353" t="e">
        <f ca="1">VLOOKUP(Tableau118[[#This Row],[Key(ID-Actif)]],'DATA BTO'!A:N,5,FALSE)</f>
        <v>#N/A</v>
      </c>
      <c r="AB124" s="3" t="e">
        <f ca="1">VLOOKUP(Tableau118[[#This Row],[Key(ID-Actif)]],'DATA BTO'!A:N,6,FALSE)</f>
        <v>#N/A</v>
      </c>
      <c r="AC124" s="50" t="e">
        <f ca="1">VLOOKUP(Tableau118[[#This Row],[Key(ID-Actif)]],'DATA BTO'!A:N,7,FALSE)</f>
        <v>#N/A</v>
      </c>
      <c r="AD124" s="50" t="e">
        <f ca="1">VLOOKUP(Tableau118[[#This Row],[Key(ID-Actif)]],'DATA BTO'!A:N,8,FALSE)</f>
        <v>#N/A</v>
      </c>
      <c r="AE124" s="50" t="e">
        <f ca="1">IF(Tableau118[[#This Row],[First Day to POL]]&lt;=Tableau118[[#This Row],[Day Cut Off]],Tableau118[[#This Row],[Day ETD]],Tableau118[[#This Row],[Day ETD]]+7)</f>
        <v>#N/A</v>
      </c>
      <c r="AF124" s="50" t="e">
        <f ca="1">VLOOKUP(Tableau118[[#This Row],[Key(ID-Actif)]],'DATA BTO'!A:N,9,FALSE)</f>
        <v>#N/A</v>
      </c>
      <c r="AG124" s="3" t="e">
        <f ca="1">VLOOKUP(Tableau118[[#This Row],[Key(ID-Actif)]],'DATA BTO'!A:N,10,FALSE)</f>
        <v>#N/A</v>
      </c>
      <c r="AH124" s="3" t="e">
        <f ca="1">VLOOKUP(Tableau118[[#This Row],[Key(ID-Actif)]],'DATA BTO'!A:N,11,FALSE)</f>
        <v>#N/A</v>
      </c>
      <c r="AI124" s="50" t="e">
        <f ca="1">VLOOKUP(Tableau118[[#This Row],[Key(ID-Actif)]],'DATA BTO'!A:N,12,FALSE)</f>
        <v>#N/A</v>
      </c>
      <c r="AJ124" s="53" t="e">
        <f ca="1">VLOOKUP(Tableau118[[#This Row],[Key(ID-Actif)]],'DATA BTO'!A:N,14,FALSE)</f>
        <v>#N/A</v>
      </c>
      <c r="AK124" s="54" t="e">
        <f ca="1">VLOOKUP(Tableau118[[#This Row],[Key(POD -PFI- Usine)]],'DATA Consignee'!A:F,6,FALSE)</f>
        <v>#N/A</v>
      </c>
      <c r="AL124" s="125" t="s">
        <v>217</v>
      </c>
      <c r="AM124" s="483">
        <f>IF(Tableau118[[#This Row],[Name PFI/CDD]]="","-",VLOOKUP(Tableau118[[#This Row],[Name PFI/CDD]],Plant_AILN!I:J,2,FALSE))</f>
        <v>90016600</v>
      </c>
      <c r="AN12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4" s="2" t="e">
        <f ca="1">VLOOKUP(Tableau118[[#This Row],[Key(POD -PFI- Usine)]],'DATA Consignee'!A:J,10,FALSE)</f>
        <v>#N/A</v>
      </c>
      <c r="AQ124" s="50" t="e">
        <f ca="1">VLOOKUP(Tableau118[[#This Row],[Key(POD -PFI- Usine)]],'DATA Consignee'!A:N,14,FALSE)</f>
        <v>#N/A</v>
      </c>
      <c r="AR12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4" s="50" t="e">
        <f ca="1">Tableau118[[#This Row],[Transit time]]+Tableau118[[#This Row],[Time for security]]+Tableau118[[#This Row],[Time for security2 buffer]]</f>
        <v>#N/A</v>
      </c>
      <c r="AU12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4" s="389" t="e">
        <f ca="1">Tableau118[[#This Row],[Leadtime SI2C]]+Tableau118[[#This Row],[First Receipt Days]]-Tableau118[[#This Row],[Day Customer Order]]+1</f>
        <v>#N/A</v>
      </c>
      <c r="AW124" s="117" t="e">
        <f ca="1">IF(Tableau118[[#This Row],[Name ILN]]&lt;&gt;"SFK Freight Forwarder",Tableau118[[#This Row],[Cust. Leadtime]],Tableau118[[#This Row],[Leadtime SI2C]])</f>
        <v>#N/A</v>
      </c>
      <c r="AX124" s="51" t="e">
        <f>VLOOKUP(Tableau118[[#This Row],[ID]],'DATA BTO'!B:P,15,FALSE)</f>
        <v>#N/A</v>
      </c>
      <c r="AY124" s="328" t="e">
        <f ca="1">IFERROR(VLOOKUP(Tableau118[[#This Row],[Key(ID-Actif)]],'DATA BTO'!A:N,4,FALSE),VLOOKUP(Tableau118[[#This Row],[ID]],'DATA BTO'!B:N,3,FALSE))</f>
        <v>#N/A</v>
      </c>
      <c r="AZ12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4" s="50"/>
    </row>
    <row r="125" spans="2:57">
      <c r="B125" s="65" t="str">
        <f>_xlfn.CONCAT(Tableau118[[#This Row],[Name ILN]],"-",Tableau118[[#This Row],[Name Shipper]],"-",Tableau118[[#This Row],[Name Site]])</f>
        <v>--</v>
      </c>
      <c r="C125" s="65" t="e">
        <f ca="1">_xlfn.CONCAT(Tableau118[[#This Row],[Compte ILN]],"-",Tableau118[[#This Row],[Compte Shipper]],"-",Tableau118[[#This Row],[POL]],"-",Tableau118[[#This Row],[Compte Site]])</f>
        <v>#N/A</v>
      </c>
      <c r="D125" s="64" t="e">
        <f ca="1">_xlfn.CONCAT(Tableau118[[#This Row],[Compte ILN]],"-",Tableau118[[#This Row],[Compte Shipper]],"-",Tableau118[[#This Row],[POL]])</f>
        <v>#N/A</v>
      </c>
      <c r="E125" s="396" t="e">
        <f ca="1">_xlfn.CONCAT(Tableau118[[#This Row],[POL]],"-",Tableau118[[#This Row],[Carrier]],"-",Tableau118[[#This Row],[POD]])</f>
        <v>#N/A</v>
      </c>
      <c r="F125" s="64" t="str">
        <f>_xlfn.CONCAT(Tableau118[[#This Row],[ID]],"-","Next")</f>
        <v>-Next</v>
      </c>
      <c r="G125" s="64" t="e">
        <f ca="1">_xlfn.CONCAT(Tableau118[[#This Row],[POD]],"-",Tableau118[[#This Row],[Code PFI]],"-",Tableau118[[#This Row],[Compte Site]])</f>
        <v>#N/A</v>
      </c>
      <c r="H12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5" s="397" t="str">
        <f ca="1">IF(COUNTIF(I:I,Tableau118[[#This Row],[Plant-ILN-shipper-POL-Carrier-POD-PFI]])=1,"Non","Oui")</f>
        <v>Oui</v>
      </c>
      <c r="K125" s="399" t="e">
        <f>VLOOKUP(Tableau118[[#This Row],[Name Site]],Plant_AILN!A:D,4,FALSE)</f>
        <v>#N/A</v>
      </c>
      <c r="L125" s="10"/>
      <c r="M125" s="480"/>
      <c r="N125" s="55"/>
      <c r="O125" s="114"/>
      <c r="P125" s="481"/>
      <c r="Q125" s="50"/>
      <c r="R125" s="50"/>
      <c r="S125" s="50"/>
      <c r="T125" s="50"/>
      <c r="U125" s="50"/>
      <c r="V125" s="50"/>
      <c r="W125" s="53"/>
      <c r="X125" s="283"/>
      <c r="Y125" s="482">
        <f>IFERROR(VLOOKUP(Tableau118[[#This Row],[Name Shipper]],Plant_AILN!L:M,2,FALSE),0)</f>
        <v>0</v>
      </c>
      <c r="Z125" s="358"/>
      <c r="AA125" s="353" t="e">
        <f ca="1">VLOOKUP(Tableau118[[#This Row],[Key(ID-Actif)]],'DATA BTO'!A:N,5,FALSE)</f>
        <v>#N/A</v>
      </c>
      <c r="AB125" s="3" t="e">
        <f ca="1">VLOOKUP(Tableau118[[#This Row],[Key(ID-Actif)]],'DATA BTO'!A:N,6,FALSE)</f>
        <v>#N/A</v>
      </c>
      <c r="AC125" s="50" t="e">
        <f ca="1">VLOOKUP(Tableau118[[#This Row],[Key(ID-Actif)]],'DATA BTO'!A:N,7,FALSE)</f>
        <v>#N/A</v>
      </c>
      <c r="AD125" s="50" t="e">
        <f ca="1">VLOOKUP(Tableau118[[#This Row],[Key(ID-Actif)]],'DATA BTO'!A:N,8,FALSE)</f>
        <v>#N/A</v>
      </c>
      <c r="AE125" s="50" t="e">
        <f ca="1">IF(Tableau118[[#This Row],[First Day to POL]]&lt;=Tableau118[[#This Row],[Day Cut Off]],Tableau118[[#This Row],[Day ETD]],Tableau118[[#This Row],[Day ETD]]+7)</f>
        <v>#N/A</v>
      </c>
      <c r="AF125" s="50" t="e">
        <f ca="1">VLOOKUP(Tableau118[[#This Row],[Key(ID-Actif)]],'DATA BTO'!A:N,9,FALSE)</f>
        <v>#N/A</v>
      </c>
      <c r="AG125" s="3" t="e">
        <f ca="1">VLOOKUP(Tableau118[[#This Row],[Key(ID-Actif)]],'DATA BTO'!A:N,10,FALSE)</f>
        <v>#N/A</v>
      </c>
      <c r="AH125" s="3" t="e">
        <f ca="1">VLOOKUP(Tableau118[[#This Row],[Key(ID-Actif)]],'DATA BTO'!A:N,11,FALSE)</f>
        <v>#N/A</v>
      </c>
      <c r="AI125" s="50" t="e">
        <f ca="1">VLOOKUP(Tableau118[[#This Row],[Key(ID-Actif)]],'DATA BTO'!A:N,12,FALSE)</f>
        <v>#N/A</v>
      </c>
      <c r="AJ125" s="53" t="e">
        <f ca="1">VLOOKUP(Tableau118[[#This Row],[Key(ID-Actif)]],'DATA BTO'!A:N,14,FALSE)</f>
        <v>#N/A</v>
      </c>
      <c r="AK125" s="54" t="e">
        <f ca="1">VLOOKUP(Tableau118[[#This Row],[Key(POD -PFI- Usine)]],'DATA Consignee'!A:F,6,FALSE)</f>
        <v>#N/A</v>
      </c>
      <c r="AL125" s="125" t="s">
        <v>217</v>
      </c>
      <c r="AM125" s="483">
        <f>IF(Tableau118[[#This Row],[Name PFI/CDD]]="","-",VLOOKUP(Tableau118[[#This Row],[Name PFI/CDD]],Plant_AILN!I:J,2,FALSE))</f>
        <v>90016600</v>
      </c>
      <c r="AN12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5" s="2" t="e">
        <f ca="1">VLOOKUP(Tableau118[[#This Row],[Key(POD -PFI- Usine)]],'DATA Consignee'!A:J,10,FALSE)</f>
        <v>#N/A</v>
      </c>
      <c r="AQ125" s="50" t="e">
        <f ca="1">VLOOKUP(Tableau118[[#This Row],[Key(POD -PFI- Usine)]],'DATA Consignee'!A:N,14,FALSE)</f>
        <v>#N/A</v>
      </c>
      <c r="AR12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5" s="50" t="e">
        <f ca="1">Tableau118[[#This Row],[Transit time]]+Tableau118[[#This Row],[Time for security]]+Tableau118[[#This Row],[Time for security2 buffer]]</f>
        <v>#N/A</v>
      </c>
      <c r="AU12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5" s="389" t="e">
        <f ca="1">Tableau118[[#This Row],[Leadtime SI2C]]+Tableau118[[#This Row],[First Receipt Days]]-Tableau118[[#This Row],[Day Customer Order]]+1</f>
        <v>#N/A</v>
      </c>
      <c r="AW125" s="117" t="e">
        <f ca="1">IF(Tableau118[[#This Row],[Name ILN]]&lt;&gt;"SFK Freight Forwarder",Tableau118[[#This Row],[Cust. Leadtime]],Tableau118[[#This Row],[Leadtime SI2C]])</f>
        <v>#N/A</v>
      </c>
      <c r="AX125" s="51" t="e">
        <f>VLOOKUP(Tableau118[[#This Row],[ID]],'DATA BTO'!B:P,15,FALSE)</f>
        <v>#N/A</v>
      </c>
      <c r="AY125" s="328" t="e">
        <f ca="1">IFERROR(VLOOKUP(Tableau118[[#This Row],[Key(ID-Actif)]],'DATA BTO'!A:N,4,FALSE),VLOOKUP(Tableau118[[#This Row],[ID]],'DATA BTO'!B:N,3,FALSE))</f>
        <v>#N/A</v>
      </c>
      <c r="AZ12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5" s="50"/>
    </row>
    <row r="126" spans="2:57">
      <c r="B126" s="65" t="str">
        <f>_xlfn.CONCAT(Tableau118[[#This Row],[Name ILN]],"-",Tableau118[[#This Row],[Name Shipper]],"-",Tableau118[[#This Row],[Name Site]])</f>
        <v>--</v>
      </c>
      <c r="C126" s="65" t="e">
        <f ca="1">_xlfn.CONCAT(Tableau118[[#This Row],[Compte ILN]],"-",Tableau118[[#This Row],[Compte Shipper]],"-",Tableau118[[#This Row],[POL]],"-",Tableau118[[#This Row],[Compte Site]])</f>
        <v>#N/A</v>
      </c>
      <c r="D126" s="64" t="e">
        <f ca="1">_xlfn.CONCAT(Tableau118[[#This Row],[Compte ILN]],"-",Tableau118[[#This Row],[Compte Shipper]],"-",Tableau118[[#This Row],[POL]])</f>
        <v>#N/A</v>
      </c>
      <c r="E126" s="396" t="e">
        <f ca="1">_xlfn.CONCAT(Tableau118[[#This Row],[POL]],"-",Tableau118[[#This Row],[Carrier]],"-",Tableau118[[#This Row],[POD]])</f>
        <v>#N/A</v>
      </c>
      <c r="F126" s="64" t="str">
        <f>_xlfn.CONCAT(Tableau118[[#This Row],[ID]],"-","Next")</f>
        <v>-Next</v>
      </c>
      <c r="G126" s="64" t="e">
        <f ca="1">_xlfn.CONCAT(Tableau118[[#This Row],[POD]],"-",Tableau118[[#This Row],[Code PFI]],"-",Tableau118[[#This Row],[Compte Site]])</f>
        <v>#N/A</v>
      </c>
      <c r="H12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6" s="397" t="str">
        <f ca="1">IF(COUNTIF(I:I,Tableau118[[#This Row],[Plant-ILN-shipper-POL-Carrier-POD-PFI]])=1,"Non","Oui")</f>
        <v>Oui</v>
      </c>
      <c r="K126" s="399" t="e">
        <f>VLOOKUP(Tableau118[[#This Row],[Name Site]],Plant_AILN!A:D,4,FALSE)</f>
        <v>#N/A</v>
      </c>
      <c r="L126" s="10"/>
      <c r="M126" s="480"/>
      <c r="N126" s="55"/>
      <c r="O126" s="114"/>
      <c r="P126" s="481"/>
      <c r="Q126" s="50"/>
      <c r="R126" s="50"/>
      <c r="S126" s="50"/>
      <c r="T126" s="50"/>
      <c r="U126" s="50"/>
      <c r="V126" s="50"/>
      <c r="W126" s="53"/>
      <c r="X126" s="283"/>
      <c r="Y126" s="482">
        <f>IFERROR(VLOOKUP(Tableau118[[#This Row],[Name Shipper]],Plant_AILN!L:M,2,FALSE),0)</f>
        <v>0</v>
      </c>
      <c r="Z126" s="358"/>
      <c r="AA126" s="353" t="e">
        <f ca="1">VLOOKUP(Tableau118[[#This Row],[Key(ID-Actif)]],'DATA BTO'!A:N,5,FALSE)</f>
        <v>#N/A</v>
      </c>
      <c r="AB126" s="3" t="e">
        <f ca="1">VLOOKUP(Tableau118[[#This Row],[Key(ID-Actif)]],'DATA BTO'!A:N,6,FALSE)</f>
        <v>#N/A</v>
      </c>
      <c r="AC126" s="50" t="e">
        <f ca="1">VLOOKUP(Tableau118[[#This Row],[Key(ID-Actif)]],'DATA BTO'!A:N,7,FALSE)</f>
        <v>#N/A</v>
      </c>
      <c r="AD126" s="50" t="e">
        <f ca="1">VLOOKUP(Tableau118[[#This Row],[Key(ID-Actif)]],'DATA BTO'!A:N,8,FALSE)</f>
        <v>#N/A</v>
      </c>
      <c r="AE126" s="50" t="e">
        <f ca="1">IF(Tableau118[[#This Row],[First Day to POL]]&lt;=Tableau118[[#This Row],[Day Cut Off]],Tableau118[[#This Row],[Day ETD]],Tableau118[[#This Row],[Day ETD]]+7)</f>
        <v>#N/A</v>
      </c>
      <c r="AF126" s="50" t="e">
        <f ca="1">VLOOKUP(Tableau118[[#This Row],[Key(ID-Actif)]],'DATA BTO'!A:N,9,FALSE)</f>
        <v>#N/A</v>
      </c>
      <c r="AG126" s="3" t="e">
        <f ca="1">VLOOKUP(Tableau118[[#This Row],[Key(ID-Actif)]],'DATA BTO'!A:N,10,FALSE)</f>
        <v>#N/A</v>
      </c>
      <c r="AH126" s="3" t="e">
        <f ca="1">VLOOKUP(Tableau118[[#This Row],[Key(ID-Actif)]],'DATA BTO'!A:N,11,FALSE)</f>
        <v>#N/A</v>
      </c>
      <c r="AI126" s="50" t="e">
        <f ca="1">VLOOKUP(Tableau118[[#This Row],[Key(ID-Actif)]],'DATA BTO'!A:N,12,FALSE)</f>
        <v>#N/A</v>
      </c>
      <c r="AJ126" s="53" t="e">
        <f ca="1">VLOOKUP(Tableau118[[#This Row],[Key(ID-Actif)]],'DATA BTO'!A:N,14,FALSE)</f>
        <v>#N/A</v>
      </c>
      <c r="AK126" s="54" t="e">
        <f ca="1">VLOOKUP(Tableau118[[#This Row],[Key(POD -PFI- Usine)]],'DATA Consignee'!A:F,6,FALSE)</f>
        <v>#N/A</v>
      </c>
      <c r="AL126" s="125" t="s">
        <v>153</v>
      </c>
      <c r="AM126" s="483">
        <f>IF(Tableau118[[#This Row],[Name PFI/CDD]]="","-",VLOOKUP(Tableau118[[#This Row],[Name PFI/CDD]],Plant_AILN!I:J,2,FALSE))</f>
        <v>90016600</v>
      </c>
      <c r="AN12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6" s="2" t="e">
        <f ca="1">VLOOKUP(Tableau118[[#This Row],[Key(POD -PFI- Usine)]],'DATA Consignee'!A:J,10,FALSE)</f>
        <v>#N/A</v>
      </c>
      <c r="AQ126" s="50" t="e">
        <f ca="1">VLOOKUP(Tableau118[[#This Row],[Key(POD -PFI- Usine)]],'DATA Consignee'!A:N,14,FALSE)</f>
        <v>#N/A</v>
      </c>
      <c r="AR12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6" s="50" t="e">
        <f ca="1">Tableau118[[#This Row],[Transit time]]+Tableau118[[#This Row],[Time for security]]+Tableau118[[#This Row],[Time for security2 buffer]]</f>
        <v>#N/A</v>
      </c>
      <c r="AU12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6" s="389" t="e">
        <f ca="1">Tableau118[[#This Row],[Leadtime SI2C]]+Tableau118[[#This Row],[First Receipt Days]]-Tableau118[[#This Row],[Day Customer Order]]+1</f>
        <v>#N/A</v>
      </c>
      <c r="AW126" s="117" t="e">
        <f ca="1">IF(Tableau118[[#This Row],[Name ILN]]&lt;&gt;"SFK Freight Forwarder",Tableau118[[#This Row],[Cust. Leadtime]],Tableau118[[#This Row],[Leadtime SI2C]])</f>
        <v>#N/A</v>
      </c>
      <c r="AX126" s="51" t="e">
        <f>VLOOKUP(Tableau118[[#This Row],[ID]],'DATA BTO'!B:P,15,FALSE)</f>
        <v>#N/A</v>
      </c>
      <c r="AY126" s="328" t="e">
        <f ca="1">IFERROR(VLOOKUP(Tableau118[[#This Row],[Key(ID-Actif)]],'DATA BTO'!A:N,4,FALSE),VLOOKUP(Tableau118[[#This Row],[ID]],'DATA BTO'!B:N,3,FALSE))</f>
        <v>#N/A</v>
      </c>
      <c r="AZ12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6" s="50"/>
    </row>
    <row r="127" spans="2:57">
      <c r="B127" s="65" t="str">
        <f>_xlfn.CONCAT(Tableau118[[#This Row],[Name ILN]],"-",Tableau118[[#This Row],[Name Shipper]],"-",Tableau118[[#This Row],[Name Site]])</f>
        <v>--</v>
      </c>
      <c r="C127" s="65" t="e">
        <f ca="1">_xlfn.CONCAT(Tableau118[[#This Row],[Compte ILN]],"-",Tableau118[[#This Row],[Compte Shipper]],"-",Tableau118[[#This Row],[POL]],"-",Tableau118[[#This Row],[Compte Site]])</f>
        <v>#N/A</v>
      </c>
      <c r="D127" s="64" t="e">
        <f ca="1">_xlfn.CONCAT(Tableau118[[#This Row],[Compte ILN]],"-",Tableau118[[#This Row],[Compte Shipper]],"-",Tableau118[[#This Row],[POL]])</f>
        <v>#N/A</v>
      </c>
      <c r="E127" s="396" t="e">
        <f ca="1">_xlfn.CONCAT(Tableau118[[#This Row],[POL]],"-",Tableau118[[#This Row],[Carrier]],"-",Tableau118[[#This Row],[POD]])</f>
        <v>#N/A</v>
      </c>
      <c r="F127" s="64" t="str">
        <f>_xlfn.CONCAT(Tableau118[[#This Row],[ID]],"-","Next")</f>
        <v>-Next</v>
      </c>
      <c r="G127" s="64" t="e">
        <f ca="1">_xlfn.CONCAT(Tableau118[[#This Row],[POD]],"-",Tableau118[[#This Row],[Code PFI]],"-",Tableau118[[#This Row],[Compte Site]])</f>
        <v>#N/A</v>
      </c>
      <c r="H12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7" s="397" t="str">
        <f ca="1">IF(COUNTIF(I:I,Tableau118[[#This Row],[Plant-ILN-shipper-POL-Carrier-POD-PFI]])=1,"Non","Oui")</f>
        <v>Oui</v>
      </c>
      <c r="K127" s="399" t="e">
        <f>VLOOKUP(Tableau118[[#This Row],[Name Site]],Plant_AILN!A:D,4,FALSE)</f>
        <v>#N/A</v>
      </c>
      <c r="L127" s="10"/>
      <c r="M127" s="480"/>
      <c r="N127" s="55"/>
      <c r="O127" s="114"/>
      <c r="P127" s="481"/>
      <c r="Q127" s="50"/>
      <c r="R127" s="50"/>
      <c r="S127" s="50"/>
      <c r="T127" s="50"/>
      <c r="U127" s="50"/>
      <c r="V127" s="50"/>
      <c r="W127" s="53"/>
      <c r="X127" s="283"/>
      <c r="Y127" s="482">
        <f>IFERROR(VLOOKUP(Tableau118[[#This Row],[Name Shipper]],Plant_AILN!L:M,2,FALSE),0)</f>
        <v>0</v>
      </c>
      <c r="Z127" s="358"/>
      <c r="AA127" s="353" t="e">
        <f ca="1">VLOOKUP(Tableau118[[#This Row],[Key(ID-Actif)]],'DATA BTO'!A:N,5,FALSE)</f>
        <v>#N/A</v>
      </c>
      <c r="AB127" s="3" t="e">
        <f ca="1">VLOOKUP(Tableau118[[#This Row],[Key(ID-Actif)]],'DATA BTO'!A:N,6,FALSE)</f>
        <v>#N/A</v>
      </c>
      <c r="AC127" s="50" t="e">
        <f ca="1">VLOOKUP(Tableau118[[#This Row],[Key(ID-Actif)]],'DATA BTO'!A:N,7,FALSE)</f>
        <v>#N/A</v>
      </c>
      <c r="AD127" s="50" t="e">
        <f ca="1">VLOOKUP(Tableau118[[#This Row],[Key(ID-Actif)]],'DATA BTO'!A:N,8,FALSE)</f>
        <v>#N/A</v>
      </c>
      <c r="AE127" s="50" t="e">
        <f ca="1">IF(Tableau118[[#This Row],[First Day to POL]]&lt;=Tableau118[[#This Row],[Day Cut Off]],Tableau118[[#This Row],[Day ETD]],Tableau118[[#This Row],[Day ETD]]+7)</f>
        <v>#N/A</v>
      </c>
      <c r="AF127" s="50" t="e">
        <f ca="1">VLOOKUP(Tableau118[[#This Row],[Key(ID-Actif)]],'DATA BTO'!A:N,9,FALSE)</f>
        <v>#N/A</v>
      </c>
      <c r="AG127" s="3" t="e">
        <f ca="1">VLOOKUP(Tableau118[[#This Row],[Key(ID-Actif)]],'DATA BTO'!A:N,10,FALSE)</f>
        <v>#N/A</v>
      </c>
      <c r="AH127" s="3" t="e">
        <f ca="1">VLOOKUP(Tableau118[[#This Row],[Key(ID-Actif)]],'DATA BTO'!A:N,11,FALSE)</f>
        <v>#N/A</v>
      </c>
      <c r="AI127" s="50" t="e">
        <f ca="1">VLOOKUP(Tableau118[[#This Row],[Key(ID-Actif)]],'DATA BTO'!A:N,12,FALSE)</f>
        <v>#N/A</v>
      </c>
      <c r="AJ127" s="53" t="e">
        <f ca="1">VLOOKUP(Tableau118[[#This Row],[Key(ID-Actif)]],'DATA BTO'!A:N,14,FALSE)</f>
        <v>#N/A</v>
      </c>
      <c r="AK127" s="54" t="e">
        <f ca="1">VLOOKUP(Tableau118[[#This Row],[Key(POD -PFI- Usine)]],'DATA Consignee'!A:F,6,FALSE)</f>
        <v>#N/A</v>
      </c>
      <c r="AL127" s="125" t="s">
        <v>153</v>
      </c>
      <c r="AM127" s="483">
        <f>IF(Tableau118[[#This Row],[Name PFI/CDD]]="","-",VLOOKUP(Tableau118[[#This Row],[Name PFI/CDD]],Plant_AILN!I:J,2,FALSE))</f>
        <v>90016600</v>
      </c>
      <c r="AN12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7" s="2" t="e">
        <f ca="1">VLOOKUP(Tableau118[[#This Row],[Key(POD -PFI- Usine)]],'DATA Consignee'!A:J,10,FALSE)</f>
        <v>#N/A</v>
      </c>
      <c r="AQ127" s="50" t="e">
        <f ca="1">VLOOKUP(Tableau118[[#This Row],[Key(POD -PFI- Usine)]],'DATA Consignee'!A:N,14,FALSE)</f>
        <v>#N/A</v>
      </c>
      <c r="AR12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7" s="50" t="e">
        <f ca="1">Tableau118[[#This Row],[Transit time]]+Tableau118[[#This Row],[Time for security]]+Tableau118[[#This Row],[Time for security2 buffer]]</f>
        <v>#N/A</v>
      </c>
      <c r="AU12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7" s="389" t="e">
        <f ca="1">Tableau118[[#This Row],[Leadtime SI2C]]+Tableau118[[#This Row],[First Receipt Days]]-Tableau118[[#This Row],[Day Customer Order]]+1</f>
        <v>#N/A</v>
      </c>
      <c r="AW127" s="117" t="e">
        <f ca="1">IF(Tableau118[[#This Row],[Name ILN]]&lt;&gt;"SFK Freight Forwarder",Tableau118[[#This Row],[Cust. Leadtime]],Tableau118[[#This Row],[Leadtime SI2C]])</f>
        <v>#N/A</v>
      </c>
      <c r="AX127" s="51" t="e">
        <f>VLOOKUP(Tableau118[[#This Row],[ID]],'DATA BTO'!B:P,15,FALSE)</f>
        <v>#N/A</v>
      </c>
      <c r="AY127" s="328" t="e">
        <f ca="1">IFERROR(VLOOKUP(Tableau118[[#This Row],[Key(ID-Actif)]],'DATA BTO'!A:N,4,FALSE),VLOOKUP(Tableau118[[#This Row],[ID]],'DATA BTO'!B:N,3,FALSE))</f>
        <v>#N/A</v>
      </c>
      <c r="AZ12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7" s="50"/>
    </row>
    <row r="128" spans="2:57">
      <c r="B128" s="65" t="str">
        <f>_xlfn.CONCAT(Tableau118[[#This Row],[Name ILN]],"-",Tableau118[[#This Row],[Name Shipper]],"-",Tableau118[[#This Row],[Name Site]])</f>
        <v>--</v>
      </c>
      <c r="C128" s="65" t="e">
        <f ca="1">_xlfn.CONCAT(Tableau118[[#This Row],[Compte ILN]],"-",Tableau118[[#This Row],[Compte Shipper]],"-",Tableau118[[#This Row],[POL]],"-",Tableau118[[#This Row],[Compte Site]])</f>
        <v>#N/A</v>
      </c>
      <c r="D128" s="64" t="e">
        <f ca="1">_xlfn.CONCAT(Tableau118[[#This Row],[Compte ILN]],"-",Tableau118[[#This Row],[Compte Shipper]],"-",Tableau118[[#This Row],[POL]])</f>
        <v>#N/A</v>
      </c>
      <c r="E128" s="396" t="e">
        <f ca="1">_xlfn.CONCAT(Tableau118[[#This Row],[POL]],"-",Tableau118[[#This Row],[Carrier]],"-",Tableau118[[#This Row],[POD]])</f>
        <v>#N/A</v>
      </c>
      <c r="F128" s="64" t="str">
        <f>_xlfn.CONCAT(Tableau118[[#This Row],[ID]],"-","Next")</f>
        <v>-Next</v>
      </c>
      <c r="G128" s="64" t="e">
        <f ca="1">_xlfn.CONCAT(Tableau118[[#This Row],[POD]],"-",Tableau118[[#This Row],[Code PFI]],"-",Tableau118[[#This Row],[Compte Site]])</f>
        <v>#N/A</v>
      </c>
      <c r="H12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8" s="397" t="str">
        <f ca="1">IF(COUNTIF(I:I,Tableau118[[#This Row],[Plant-ILN-shipper-POL-Carrier-POD-PFI]])=1,"Non","Oui")</f>
        <v>Oui</v>
      </c>
      <c r="K128" s="399" t="e">
        <f>VLOOKUP(Tableau118[[#This Row],[Name Site]],Plant_AILN!A:D,4,FALSE)</f>
        <v>#N/A</v>
      </c>
      <c r="L128" s="10"/>
      <c r="M128" s="480"/>
      <c r="N128" s="55"/>
      <c r="O128" s="114"/>
      <c r="P128" s="481"/>
      <c r="Q128" s="50"/>
      <c r="R128" s="50"/>
      <c r="S128" s="50"/>
      <c r="T128" s="50"/>
      <c r="U128" s="50"/>
      <c r="V128" s="50"/>
      <c r="W128" s="53"/>
      <c r="X128" s="283"/>
      <c r="Y128" s="482">
        <f>IFERROR(VLOOKUP(Tableau118[[#This Row],[Name Shipper]],Plant_AILN!L:M,2,FALSE),0)</f>
        <v>0</v>
      </c>
      <c r="Z128" s="358"/>
      <c r="AA128" s="353" t="e">
        <f ca="1">VLOOKUP(Tableau118[[#This Row],[Key(ID-Actif)]],'DATA BTO'!A:N,5,FALSE)</f>
        <v>#N/A</v>
      </c>
      <c r="AB128" s="3" t="e">
        <f ca="1">VLOOKUP(Tableau118[[#This Row],[Key(ID-Actif)]],'DATA BTO'!A:N,6,FALSE)</f>
        <v>#N/A</v>
      </c>
      <c r="AC128" s="50" t="e">
        <f ca="1">VLOOKUP(Tableau118[[#This Row],[Key(ID-Actif)]],'DATA BTO'!A:N,7,FALSE)</f>
        <v>#N/A</v>
      </c>
      <c r="AD128" s="50" t="e">
        <f ca="1">VLOOKUP(Tableau118[[#This Row],[Key(ID-Actif)]],'DATA BTO'!A:N,8,FALSE)</f>
        <v>#N/A</v>
      </c>
      <c r="AE128" s="50" t="e">
        <f ca="1">IF(Tableau118[[#This Row],[First Day to POL]]&lt;=Tableau118[[#This Row],[Day Cut Off]],Tableau118[[#This Row],[Day ETD]],Tableau118[[#This Row],[Day ETD]]+7)</f>
        <v>#N/A</v>
      </c>
      <c r="AF128" s="50" t="e">
        <f ca="1">VLOOKUP(Tableau118[[#This Row],[Key(ID-Actif)]],'DATA BTO'!A:N,9,FALSE)</f>
        <v>#N/A</v>
      </c>
      <c r="AG128" s="3" t="e">
        <f ca="1">VLOOKUP(Tableau118[[#This Row],[Key(ID-Actif)]],'DATA BTO'!A:N,10,FALSE)</f>
        <v>#N/A</v>
      </c>
      <c r="AH128" s="3" t="e">
        <f ca="1">VLOOKUP(Tableau118[[#This Row],[Key(ID-Actif)]],'DATA BTO'!A:N,11,FALSE)</f>
        <v>#N/A</v>
      </c>
      <c r="AI128" s="50" t="e">
        <f ca="1">VLOOKUP(Tableau118[[#This Row],[Key(ID-Actif)]],'DATA BTO'!A:N,12,FALSE)</f>
        <v>#N/A</v>
      </c>
      <c r="AJ128" s="53" t="e">
        <f ca="1">VLOOKUP(Tableau118[[#This Row],[Key(ID-Actif)]],'DATA BTO'!A:N,14,FALSE)</f>
        <v>#N/A</v>
      </c>
      <c r="AK128" s="54" t="e">
        <f ca="1">VLOOKUP(Tableau118[[#This Row],[Key(POD -PFI- Usine)]],'DATA Consignee'!A:F,6,FALSE)</f>
        <v>#N/A</v>
      </c>
      <c r="AL128" s="125" t="s">
        <v>153</v>
      </c>
      <c r="AM128" s="483">
        <f>IF(Tableau118[[#This Row],[Name PFI/CDD]]="","-",VLOOKUP(Tableau118[[#This Row],[Name PFI/CDD]],Plant_AILN!I:J,2,FALSE))</f>
        <v>90016600</v>
      </c>
      <c r="AN12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8" s="2" t="e">
        <f ca="1">VLOOKUP(Tableau118[[#This Row],[Key(POD -PFI- Usine)]],'DATA Consignee'!A:J,10,FALSE)</f>
        <v>#N/A</v>
      </c>
      <c r="AQ128" s="50" t="e">
        <f ca="1">VLOOKUP(Tableau118[[#This Row],[Key(POD -PFI- Usine)]],'DATA Consignee'!A:N,14,FALSE)</f>
        <v>#N/A</v>
      </c>
      <c r="AR12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8" s="50" t="e">
        <f ca="1">Tableau118[[#This Row],[Transit time]]+Tableau118[[#This Row],[Time for security]]+Tableau118[[#This Row],[Time for security2 buffer]]</f>
        <v>#N/A</v>
      </c>
      <c r="AU12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8" s="389" t="e">
        <f ca="1">Tableau118[[#This Row],[Leadtime SI2C]]+Tableau118[[#This Row],[First Receipt Days]]-Tableau118[[#This Row],[Day Customer Order]]+1</f>
        <v>#N/A</v>
      </c>
      <c r="AW128" s="117" t="e">
        <f ca="1">IF(Tableau118[[#This Row],[Name ILN]]&lt;&gt;"SFK Freight Forwarder",Tableau118[[#This Row],[Cust. Leadtime]],Tableau118[[#This Row],[Leadtime SI2C]])</f>
        <v>#N/A</v>
      </c>
      <c r="AX128" s="51" t="e">
        <f>VLOOKUP(Tableau118[[#This Row],[ID]],'DATA BTO'!B:P,15,FALSE)</f>
        <v>#N/A</v>
      </c>
      <c r="AY128" s="328" t="e">
        <f ca="1">IFERROR(VLOOKUP(Tableau118[[#This Row],[Key(ID-Actif)]],'DATA BTO'!A:N,4,FALSE),VLOOKUP(Tableau118[[#This Row],[ID]],'DATA BTO'!B:N,3,FALSE))</f>
        <v>#N/A</v>
      </c>
      <c r="AZ12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8" s="50"/>
    </row>
    <row r="129" spans="2:57">
      <c r="B129" s="65" t="str">
        <f>_xlfn.CONCAT(Tableau118[[#This Row],[Name ILN]],"-",Tableau118[[#This Row],[Name Shipper]],"-",Tableau118[[#This Row],[Name Site]])</f>
        <v>--</v>
      </c>
      <c r="C129" s="65" t="e">
        <f ca="1">_xlfn.CONCAT(Tableau118[[#This Row],[Compte ILN]],"-",Tableau118[[#This Row],[Compte Shipper]],"-",Tableau118[[#This Row],[POL]],"-",Tableau118[[#This Row],[Compte Site]])</f>
        <v>#N/A</v>
      </c>
      <c r="D129" s="64" t="e">
        <f ca="1">_xlfn.CONCAT(Tableau118[[#This Row],[Compte ILN]],"-",Tableau118[[#This Row],[Compte Shipper]],"-",Tableau118[[#This Row],[POL]])</f>
        <v>#N/A</v>
      </c>
      <c r="E129" s="396" t="e">
        <f ca="1">_xlfn.CONCAT(Tableau118[[#This Row],[POL]],"-",Tableau118[[#This Row],[Carrier]],"-",Tableau118[[#This Row],[POD]])</f>
        <v>#N/A</v>
      </c>
      <c r="F129" s="64" t="str">
        <f>_xlfn.CONCAT(Tableau118[[#This Row],[ID]],"-","Next")</f>
        <v>-Next</v>
      </c>
      <c r="G129" s="64" t="e">
        <f ca="1">_xlfn.CONCAT(Tableau118[[#This Row],[POD]],"-",Tableau118[[#This Row],[Code PFI]],"-",Tableau118[[#This Row],[Compte Site]])</f>
        <v>#N/A</v>
      </c>
      <c r="H12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2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29" s="397" t="str">
        <f ca="1">IF(COUNTIF(I:I,Tableau118[[#This Row],[Plant-ILN-shipper-POL-Carrier-POD-PFI]])=1,"Non","Oui")</f>
        <v>Oui</v>
      </c>
      <c r="K129" s="399" t="e">
        <f>VLOOKUP(Tableau118[[#This Row],[Name Site]],Plant_AILN!A:D,4,FALSE)</f>
        <v>#N/A</v>
      </c>
      <c r="L129" s="10"/>
      <c r="M129" s="480"/>
      <c r="N129" s="55"/>
      <c r="O129" s="114"/>
      <c r="P129" s="481"/>
      <c r="Q129" s="50"/>
      <c r="R129" s="50"/>
      <c r="S129" s="50"/>
      <c r="T129" s="50"/>
      <c r="U129" s="50"/>
      <c r="V129" s="50"/>
      <c r="W129" s="53"/>
      <c r="X129" s="283"/>
      <c r="Y129" s="482">
        <f>IFERROR(VLOOKUP(Tableau118[[#This Row],[Name Shipper]],Plant_AILN!L:M,2,FALSE),0)</f>
        <v>0</v>
      </c>
      <c r="Z129" s="358"/>
      <c r="AA129" s="353" t="e">
        <f ca="1">VLOOKUP(Tableau118[[#This Row],[Key(ID-Actif)]],'DATA BTO'!A:N,5,FALSE)</f>
        <v>#N/A</v>
      </c>
      <c r="AB129" s="3" t="e">
        <f ca="1">VLOOKUP(Tableau118[[#This Row],[Key(ID-Actif)]],'DATA BTO'!A:N,6,FALSE)</f>
        <v>#N/A</v>
      </c>
      <c r="AC129" s="50" t="e">
        <f ca="1">VLOOKUP(Tableau118[[#This Row],[Key(ID-Actif)]],'DATA BTO'!A:N,7,FALSE)</f>
        <v>#N/A</v>
      </c>
      <c r="AD129" s="50" t="e">
        <f ca="1">VLOOKUP(Tableau118[[#This Row],[Key(ID-Actif)]],'DATA BTO'!A:N,8,FALSE)</f>
        <v>#N/A</v>
      </c>
      <c r="AE129" s="50" t="e">
        <f ca="1">IF(Tableau118[[#This Row],[First Day to POL]]&lt;=Tableau118[[#This Row],[Day Cut Off]],Tableau118[[#This Row],[Day ETD]],Tableau118[[#This Row],[Day ETD]]+7)</f>
        <v>#N/A</v>
      </c>
      <c r="AF129" s="50" t="e">
        <f ca="1">VLOOKUP(Tableau118[[#This Row],[Key(ID-Actif)]],'DATA BTO'!A:N,9,FALSE)</f>
        <v>#N/A</v>
      </c>
      <c r="AG129" s="3" t="e">
        <f ca="1">VLOOKUP(Tableau118[[#This Row],[Key(ID-Actif)]],'DATA BTO'!A:N,10,FALSE)</f>
        <v>#N/A</v>
      </c>
      <c r="AH129" s="3" t="e">
        <f ca="1">VLOOKUP(Tableau118[[#This Row],[Key(ID-Actif)]],'DATA BTO'!A:N,11,FALSE)</f>
        <v>#N/A</v>
      </c>
      <c r="AI129" s="50" t="e">
        <f ca="1">VLOOKUP(Tableau118[[#This Row],[Key(ID-Actif)]],'DATA BTO'!A:N,12,FALSE)</f>
        <v>#N/A</v>
      </c>
      <c r="AJ129" s="53" t="e">
        <f ca="1">VLOOKUP(Tableau118[[#This Row],[Key(ID-Actif)]],'DATA BTO'!A:N,14,FALSE)</f>
        <v>#N/A</v>
      </c>
      <c r="AK129" s="54" t="e">
        <f ca="1">VLOOKUP(Tableau118[[#This Row],[Key(POD -PFI- Usine)]],'DATA Consignee'!A:F,6,FALSE)</f>
        <v>#N/A</v>
      </c>
      <c r="AL129" s="125" t="s">
        <v>217</v>
      </c>
      <c r="AM129" s="483">
        <f>IF(Tableau118[[#This Row],[Name PFI/CDD]]="","-",VLOOKUP(Tableau118[[#This Row],[Name PFI/CDD]],Plant_AILN!I:J,2,FALSE))</f>
        <v>90016600</v>
      </c>
      <c r="AN12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2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29" s="2" t="e">
        <f ca="1">VLOOKUP(Tableau118[[#This Row],[Key(POD -PFI- Usine)]],'DATA Consignee'!A:J,10,FALSE)</f>
        <v>#N/A</v>
      </c>
      <c r="AQ129" s="50" t="e">
        <f ca="1">VLOOKUP(Tableau118[[#This Row],[Key(POD -PFI- Usine)]],'DATA Consignee'!A:N,14,FALSE)</f>
        <v>#N/A</v>
      </c>
      <c r="AR12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2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29" s="50" t="e">
        <f ca="1">Tableau118[[#This Row],[Transit time]]+Tableau118[[#This Row],[Time for security]]+Tableau118[[#This Row],[Time for security2 buffer]]</f>
        <v>#N/A</v>
      </c>
      <c r="AU12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29" s="389" t="e">
        <f ca="1">Tableau118[[#This Row],[Leadtime SI2C]]+Tableau118[[#This Row],[First Receipt Days]]-Tableau118[[#This Row],[Day Customer Order]]+1</f>
        <v>#N/A</v>
      </c>
      <c r="AW129" s="117" t="e">
        <f ca="1">IF(Tableau118[[#This Row],[Name ILN]]&lt;&gt;"SFK Freight Forwarder",Tableau118[[#This Row],[Cust. Leadtime]],Tableau118[[#This Row],[Leadtime SI2C]])</f>
        <v>#N/A</v>
      </c>
      <c r="AX129" s="51" t="e">
        <f>VLOOKUP(Tableau118[[#This Row],[ID]],'DATA BTO'!B:P,15,FALSE)</f>
        <v>#N/A</v>
      </c>
      <c r="AY129" s="328" t="e">
        <f ca="1">IFERROR(VLOOKUP(Tableau118[[#This Row],[Key(ID-Actif)]],'DATA BTO'!A:N,4,FALSE),VLOOKUP(Tableau118[[#This Row],[ID]],'DATA BTO'!B:N,3,FALSE))</f>
        <v>#N/A</v>
      </c>
      <c r="AZ12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2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2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2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2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29" s="50"/>
    </row>
    <row r="130" spans="2:57">
      <c r="B130" s="65" t="str">
        <f>_xlfn.CONCAT(Tableau118[[#This Row],[Name ILN]],"-",Tableau118[[#This Row],[Name Shipper]],"-",Tableau118[[#This Row],[Name Site]])</f>
        <v>--</v>
      </c>
      <c r="C130" s="65" t="e">
        <f ca="1">_xlfn.CONCAT(Tableau118[[#This Row],[Compte ILN]],"-",Tableau118[[#This Row],[Compte Shipper]],"-",Tableau118[[#This Row],[POL]],"-",Tableau118[[#This Row],[Compte Site]])</f>
        <v>#N/A</v>
      </c>
      <c r="D130" s="64" t="e">
        <f ca="1">_xlfn.CONCAT(Tableau118[[#This Row],[Compte ILN]],"-",Tableau118[[#This Row],[Compte Shipper]],"-",Tableau118[[#This Row],[POL]])</f>
        <v>#N/A</v>
      </c>
      <c r="E130" s="396" t="e">
        <f ca="1">_xlfn.CONCAT(Tableau118[[#This Row],[POL]],"-",Tableau118[[#This Row],[Carrier]],"-",Tableau118[[#This Row],[POD]])</f>
        <v>#N/A</v>
      </c>
      <c r="F130" s="64" t="str">
        <f>_xlfn.CONCAT(Tableau118[[#This Row],[ID]],"-","Next")</f>
        <v>-Next</v>
      </c>
      <c r="G130" s="64" t="e">
        <f ca="1">_xlfn.CONCAT(Tableau118[[#This Row],[POD]],"-",Tableau118[[#This Row],[Code PFI]],"-",Tableau118[[#This Row],[Compte Site]])</f>
        <v>#N/A</v>
      </c>
      <c r="H13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0" s="397" t="str">
        <f ca="1">IF(COUNTIF(I:I,Tableau118[[#This Row],[Plant-ILN-shipper-POL-Carrier-POD-PFI]])=1,"Non","Oui")</f>
        <v>Oui</v>
      </c>
      <c r="K130" s="399" t="e">
        <f>VLOOKUP(Tableau118[[#This Row],[Name Site]],Plant_AILN!A:D,4,FALSE)</f>
        <v>#N/A</v>
      </c>
      <c r="L130" s="10"/>
      <c r="M130" s="480"/>
      <c r="N130" s="55"/>
      <c r="O130" s="114"/>
      <c r="P130" s="481"/>
      <c r="Q130" s="50"/>
      <c r="R130" s="50"/>
      <c r="S130" s="50"/>
      <c r="T130" s="50"/>
      <c r="U130" s="50"/>
      <c r="V130" s="50"/>
      <c r="W130" s="53"/>
      <c r="X130" s="283"/>
      <c r="Y130" s="482">
        <f>IFERROR(VLOOKUP(Tableau118[[#This Row],[Name Shipper]],Plant_AILN!L:M,2,FALSE),0)</f>
        <v>0</v>
      </c>
      <c r="Z130" s="358"/>
      <c r="AA130" s="353" t="e">
        <f ca="1">VLOOKUP(Tableau118[[#This Row],[Key(ID-Actif)]],'DATA BTO'!A:N,5,FALSE)</f>
        <v>#N/A</v>
      </c>
      <c r="AB130" s="3" t="e">
        <f ca="1">VLOOKUP(Tableau118[[#This Row],[Key(ID-Actif)]],'DATA BTO'!A:N,6,FALSE)</f>
        <v>#N/A</v>
      </c>
      <c r="AC130" s="50" t="e">
        <f ca="1">VLOOKUP(Tableau118[[#This Row],[Key(ID-Actif)]],'DATA BTO'!A:N,7,FALSE)</f>
        <v>#N/A</v>
      </c>
      <c r="AD130" s="50" t="e">
        <f ca="1">VLOOKUP(Tableau118[[#This Row],[Key(ID-Actif)]],'DATA BTO'!A:N,8,FALSE)</f>
        <v>#N/A</v>
      </c>
      <c r="AE130" s="50" t="e">
        <f ca="1">IF(Tableau118[[#This Row],[First Day to POL]]&lt;=Tableau118[[#This Row],[Day Cut Off]],Tableau118[[#This Row],[Day ETD]],Tableau118[[#This Row],[Day ETD]]+7)</f>
        <v>#N/A</v>
      </c>
      <c r="AF130" s="50" t="e">
        <f ca="1">VLOOKUP(Tableau118[[#This Row],[Key(ID-Actif)]],'DATA BTO'!A:N,9,FALSE)</f>
        <v>#N/A</v>
      </c>
      <c r="AG130" s="3" t="e">
        <f ca="1">VLOOKUP(Tableau118[[#This Row],[Key(ID-Actif)]],'DATA BTO'!A:N,10,FALSE)</f>
        <v>#N/A</v>
      </c>
      <c r="AH130" s="3" t="e">
        <f ca="1">VLOOKUP(Tableau118[[#This Row],[Key(ID-Actif)]],'DATA BTO'!A:N,11,FALSE)</f>
        <v>#N/A</v>
      </c>
      <c r="AI130" s="50" t="e">
        <f ca="1">VLOOKUP(Tableau118[[#This Row],[Key(ID-Actif)]],'DATA BTO'!A:N,12,FALSE)</f>
        <v>#N/A</v>
      </c>
      <c r="AJ130" s="53" t="e">
        <f ca="1">VLOOKUP(Tableau118[[#This Row],[Key(ID-Actif)]],'DATA BTO'!A:N,14,FALSE)</f>
        <v>#N/A</v>
      </c>
      <c r="AK130" s="54" t="e">
        <f ca="1">VLOOKUP(Tableau118[[#This Row],[Key(POD -PFI- Usine)]],'DATA Consignee'!A:F,6,FALSE)</f>
        <v>#N/A</v>
      </c>
      <c r="AL130" s="125" t="s">
        <v>153</v>
      </c>
      <c r="AM130" s="483">
        <f>IF(Tableau118[[#This Row],[Name PFI/CDD]]="","-",VLOOKUP(Tableau118[[#This Row],[Name PFI/CDD]],Plant_AILN!I:J,2,FALSE))</f>
        <v>90016600</v>
      </c>
      <c r="AN13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0" s="2" t="e">
        <f ca="1">VLOOKUP(Tableau118[[#This Row],[Key(POD -PFI- Usine)]],'DATA Consignee'!A:J,10,FALSE)</f>
        <v>#N/A</v>
      </c>
      <c r="AQ130" s="50" t="e">
        <f ca="1">VLOOKUP(Tableau118[[#This Row],[Key(POD -PFI- Usine)]],'DATA Consignee'!A:N,14,FALSE)</f>
        <v>#N/A</v>
      </c>
      <c r="AR13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0" s="50" t="e">
        <f ca="1">Tableau118[[#This Row],[Transit time]]+Tableau118[[#This Row],[Time for security]]+Tableau118[[#This Row],[Time for security2 buffer]]</f>
        <v>#N/A</v>
      </c>
      <c r="AU13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0" s="389" t="e">
        <f ca="1">Tableau118[[#This Row],[Leadtime SI2C]]+Tableau118[[#This Row],[First Receipt Days]]-Tableau118[[#This Row],[Day Customer Order]]+1</f>
        <v>#N/A</v>
      </c>
      <c r="AW130" s="117" t="e">
        <f ca="1">IF(Tableau118[[#This Row],[Name ILN]]&lt;&gt;"SFK Freight Forwarder",Tableau118[[#This Row],[Cust. Leadtime]],Tableau118[[#This Row],[Leadtime SI2C]])</f>
        <v>#N/A</v>
      </c>
      <c r="AX130" s="51" t="e">
        <f>VLOOKUP(Tableau118[[#This Row],[ID]],'DATA BTO'!B:P,15,FALSE)</f>
        <v>#N/A</v>
      </c>
      <c r="AY130" s="328" t="e">
        <f ca="1">IFERROR(VLOOKUP(Tableau118[[#This Row],[Key(ID-Actif)]],'DATA BTO'!A:N,4,FALSE),VLOOKUP(Tableau118[[#This Row],[ID]],'DATA BTO'!B:N,3,FALSE))</f>
        <v>#N/A</v>
      </c>
      <c r="AZ13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0" s="50"/>
    </row>
    <row r="131" spans="2:57">
      <c r="B131" s="65" t="str">
        <f>_xlfn.CONCAT(Tableau118[[#This Row],[Name ILN]],"-",Tableau118[[#This Row],[Name Shipper]],"-",Tableau118[[#This Row],[Name Site]])</f>
        <v>--</v>
      </c>
      <c r="C131" s="65" t="e">
        <f ca="1">_xlfn.CONCAT(Tableau118[[#This Row],[Compte ILN]],"-",Tableau118[[#This Row],[Compte Shipper]],"-",Tableau118[[#This Row],[POL]],"-",Tableau118[[#This Row],[Compte Site]])</f>
        <v>#N/A</v>
      </c>
      <c r="D131" s="64" t="e">
        <f ca="1">_xlfn.CONCAT(Tableau118[[#This Row],[Compte ILN]],"-",Tableau118[[#This Row],[Compte Shipper]],"-",Tableau118[[#This Row],[POL]])</f>
        <v>#N/A</v>
      </c>
      <c r="E131" s="396" t="e">
        <f ca="1">_xlfn.CONCAT(Tableau118[[#This Row],[POL]],"-",Tableau118[[#This Row],[Carrier]],"-",Tableau118[[#This Row],[POD]])</f>
        <v>#N/A</v>
      </c>
      <c r="F131" s="64" t="str">
        <f>_xlfn.CONCAT(Tableau118[[#This Row],[ID]],"-","Next")</f>
        <v>-Next</v>
      </c>
      <c r="G131" s="64" t="e">
        <f ca="1">_xlfn.CONCAT(Tableau118[[#This Row],[POD]],"-",Tableau118[[#This Row],[Code PFI]],"-",Tableau118[[#This Row],[Compte Site]])</f>
        <v>#N/A</v>
      </c>
      <c r="H13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1" s="397" t="str">
        <f ca="1">IF(COUNTIF(I:I,Tableau118[[#This Row],[Plant-ILN-shipper-POL-Carrier-POD-PFI]])=1,"Non","Oui")</f>
        <v>Oui</v>
      </c>
      <c r="K131" s="399" t="e">
        <f>VLOOKUP(Tableau118[[#This Row],[Name Site]],Plant_AILN!A:D,4,FALSE)</f>
        <v>#N/A</v>
      </c>
      <c r="L131" s="10"/>
      <c r="M131" s="480"/>
      <c r="N131" s="55"/>
      <c r="O131" s="114"/>
      <c r="P131" s="481"/>
      <c r="Q131" s="50"/>
      <c r="R131" s="50"/>
      <c r="S131" s="50"/>
      <c r="T131" s="50"/>
      <c r="U131" s="50"/>
      <c r="V131" s="50"/>
      <c r="W131" s="53"/>
      <c r="X131" s="283"/>
      <c r="Y131" s="482">
        <f>IFERROR(VLOOKUP(Tableau118[[#This Row],[Name Shipper]],Plant_AILN!L:M,2,FALSE),0)</f>
        <v>0</v>
      </c>
      <c r="Z131" s="358"/>
      <c r="AA131" s="353" t="e">
        <f ca="1">VLOOKUP(Tableau118[[#This Row],[Key(ID-Actif)]],'DATA BTO'!A:N,5,FALSE)</f>
        <v>#N/A</v>
      </c>
      <c r="AB131" s="3" t="e">
        <f ca="1">VLOOKUP(Tableau118[[#This Row],[Key(ID-Actif)]],'DATA BTO'!A:N,6,FALSE)</f>
        <v>#N/A</v>
      </c>
      <c r="AC131" s="50" t="e">
        <f ca="1">VLOOKUP(Tableau118[[#This Row],[Key(ID-Actif)]],'DATA BTO'!A:N,7,FALSE)</f>
        <v>#N/A</v>
      </c>
      <c r="AD131" s="50" t="e">
        <f ca="1">VLOOKUP(Tableau118[[#This Row],[Key(ID-Actif)]],'DATA BTO'!A:N,8,FALSE)</f>
        <v>#N/A</v>
      </c>
      <c r="AE131" s="50" t="e">
        <f ca="1">IF(Tableau118[[#This Row],[First Day to POL]]&lt;=Tableau118[[#This Row],[Day Cut Off]],Tableau118[[#This Row],[Day ETD]],Tableau118[[#This Row],[Day ETD]]+7)</f>
        <v>#N/A</v>
      </c>
      <c r="AF131" s="50" t="e">
        <f ca="1">VLOOKUP(Tableau118[[#This Row],[Key(ID-Actif)]],'DATA BTO'!A:N,9,FALSE)</f>
        <v>#N/A</v>
      </c>
      <c r="AG131" s="3" t="e">
        <f ca="1">VLOOKUP(Tableau118[[#This Row],[Key(ID-Actif)]],'DATA BTO'!A:N,10,FALSE)</f>
        <v>#N/A</v>
      </c>
      <c r="AH131" s="3" t="e">
        <f ca="1">VLOOKUP(Tableau118[[#This Row],[Key(ID-Actif)]],'DATA BTO'!A:N,11,FALSE)</f>
        <v>#N/A</v>
      </c>
      <c r="AI131" s="50" t="e">
        <f ca="1">VLOOKUP(Tableau118[[#This Row],[Key(ID-Actif)]],'DATA BTO'!A:N,12,FALSE)</f>
        <v>#N/A</v>
      </c>
      <c r="AJ131" s="53" t="e">
        <f ca="1">VLOOKUP(Tableau118[[#This Row],[Key(ID-Actif)]],'DATA BTO'!A:N,14,FALSE)</f>
        <v>#N/A</v>
      </c>
      <c r="AK131" s="54" t="e">
        <f ca="1">VLOOKUP(Tableau118[[#This Row],[Key(POD -PFI- Usine)]],'DATA Consignee'!A:F,6,FALSE)</f>
        <v>#N/A</v>
      </c>
      <c r="AL131" s="125" t="s">
        <v>217</v>
      </c>
      <c r="AM131" s="483">
        <f>IF(Tableau118[[#This Row],[Name PFI/CDD]]="","-",VLOOKUP(Tableau118[[#This Row],[Name PFI/CDD]],Plant_AILN!I:J,2,FALSE))</f>
        <v>90016600</v>
      </c>
      <c r="AN13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1" s="2" t="e">
        <f ca="1">VLOOKUP(Tableau118[[#This Row],[Key(POD -PFI- Usine)]],'DATA Consignee'!A:J,10,FALSE)</f>
        <v>#N/A</v>
      </c>
      <c r="AQ131" s="50" t="e">
        <f ca="1">VLOOKUP(Tableau118[[#This Row],[Key(POD -PFI- Usine)]],'DATA Consignee'!A:N,14,FALSE)</f>
        <v>#N/A</v>
      </c>
      <c r="AR13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1" s="50" t="e">
        <f ca="1">Tableau118[[#This Row],[Transit time]]+Tableau118[[#This Row],[Time for security]]+Tableau118[[#This Row],[Time for security2 buffer]]</f>
        <v>#N/A</v>
      </c>
      <c r="AU13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1" s="389" t="e">
        <f ca="1">Tableau118[[#This Row],[Leadtime SI2C]]+Tableau118[[#This Row],[First Receipt Days]]-Tableau118[[#This Row],[Day Customer Order]]+1</f>
        <v>#N/A</v>
      </c>
      <c r="AW131" s="117" t="e">
        <f ca="1">IF(Tableau118[[#This Row],[Name ILN]]&lt;&gt;"SFK Freight Forwarder",Tableau118[[#This Row],[Cust. Leadtime]],Tableau118[[#This Row],[Leadtime SI2C]])</f>
        <v>#N/A</v>
      </c>
      <c r="AX131" s="51" t="e">
        <f>VLOOKUP(Tableau118[[#This Row],[ID]],'DATA BTO'!B:P,15,FALSE)</f>
        <v>#N/A</v>
      </c>
      <c r="AY131" s="328" t="e">
        <f ca="1">IFERROR(VLOOKUP(Tableau118[[#This Row],[Key(ID-Actif)]],'DATA BTO'!A:N,4,FALSE),VLOOKUP(Tableau118[[#This Row],[ID]],'DATA BTO'!B:N,3,FALSE))</f>
        <v>#N/A</v>
      </c>
      <c r="AZ13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1" s="50"/>
    </row>
    <row r="132" spans="2:57">
      <c r="B132" s="65" t="str">
        <f>_xlfn.CONCAT(Tableau118[[#This Row],[Name ILN]],"-",Tableau118[[#This Row],[Name Shipper]],"-",Tableau118[[#This Row],[Name Site]])</f>
        <v>--</v>
      </c>
      <c r="C132" s="65" t="e">
        <f ca="1">_xlfn.CONCAT(Tableau118[[#This Row],[Compte ILN]],"-",Tableau118[[#This Row],[Compte Shipper]],"-",Tableau118[[#This Row],[POL]],"-",Tableau118[[#This Row],[Compte Site]])</f>
        <v>#N/A</v>
      </c>
      <c r="D132" s="64" t="e">
        <f ca="1">_xlfn.CONCAT(Tableau118[[#This Row],[Compte ILN]],"-",Tableau118[[#This Row],[Compte Shipper]],"-",Tableau118[[#This Row],[POL]])</f>
        <v>#N/A</v>
      </c>
      <c r="E132" s="396" t="e">
        <f ca="1">_xlfn.CONCAT(Tableau118[[#This Row],[POL]],"-",Tableau118[[#This Row],[Carrier]],"-",Tableau118[[#This Row],[POD]])</f>
        <v>#N/A</v>
      </c>
      <c r="F132" s="64" t="str">
        <f>_xlfn.CONCAT(Tableau118[[#This Row],[ID]],"-","Next")</f>
        <v>-Next</v>
      </c>
      <c r="G132" s="64" t="e">
        <f ca="1">_xlfn.CONCAT(Tableau118[[#This Row],[POD]],"-",Tableau118[[#This Row],[Code PFI]],"-",Tableau118[[#This Row],[Compte Site]])</f>
        <v>#N/A</v>
      </c>
      <c r="H13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2" s="397" t="str">
        <f ca="1">IF(COUNTIF(I:I,Tableau118[[#This Row],[Plant-ILN-shipper-POL-Carrier-POD-PFI]])=1,"Non","Oui")</f>
        <v>Oui</v>
      </c>
      <c r="K132" s="399" t="e">
        <f>VLOOKUP(Tableau118[[#This Row],[Name Site]],Plant_AILN!A:D,4,FALSE)</f>
        <v>#N/A</v>
      </c>
      <c r="L132" s="10"/>
      <c r="M132" s="480"/>
      <c r="N132" s="55"/>
      <c r="O132" s="114"/>
      <c r="P132" s="481"/>
      <c r="Q132" s="50"/>
      <c r="R132" s="50"/>
      <c r="S132" s="50"/>
      <c r="T132" s="50"/>
      <c r="U132" s="50"/>
      <c r="V132" s="50"/>
      <c r="W132" s="53"/>
      <c r="X132" s="283"/>
      <c r="Y132" s="482">
        <f>IFERROR(VLOOKUP(Tableau118[[#This Row],[Name Shipper]],Plant_AILN!L:M,2,FALSE),0)</f>
        <v>0</v>
      </c>
      <c r="Z132" s="358"/>
      <c r="AA132" s="353" t="e">
        <f ca="1">VLOOKUP(Tableau118[[#This Row],[Key(ID-Actif)]],'DATA BTO'!A:N,5,FALSE)</f>
        <v>#N/A</v>
      </c>
      <c r="AB132" s="3" t="e">
        <f ca="1">VLOOKUP(Tableau118[[#This Row],[Key(ID-Actif)]],'DATA BTO'!A:N,6,FALSE)</f>
        <v>#N/A</v>
      </c>
      <c r="AC132" s="50" t="e">
        <f ca="1">VLOOKUP(Tableau118[[#This Row],[Key(ID-Actif)]],'DATA BTO'!A:N,7,FALSE)</f>
        <v>#N/A</v>
      </c>
      <c r="AD132" s="50" t="e">
        <f ca="1">VLOOKUP(Tableau118[[#This Row],[Key(ID-Actif)]],'DATA BTO'!A:N,8,FALSE)</f>
        <v>#N/A</v>
      </c>
      <c r="AE132" s="50" t="e">
        <f ca="1">IF(Tableau118[[#This Row],[First Day to POL]]&lt;=Tableau118[[#This Row],[Day Cut Off]],Tableau118[[#This Row],[Day ETD]],Tableau118[[#This Row],[Day ETD]]+7)</f>
        <v>#N/A</v>
      </c>
      <c r="AF132" s="50" t="e">
        <f ca="1">VLOOKUP(Tableau118[[#This Row],[Key(ID-Actif)]],'DATA BTO'!A:N,9,FALSE)</f>
        <v>#N/A</v>
      </c>
      <c r="AG132" s="3" t="e">
        <f ca="1">VLOOKUP(Tableau118[[#This Row],[Key(ID-Actif)]],'DATA BTO'!A:N,10,FALSE)</f>
        <v>#N/A</v>
      </c>
      <c r="AH132" s="3" t="e">
        <f ca="1">VLOOKUP(Tableau118[[#This Row],[Key(ID-Actif)]],'DATA BTO'!A:N,11,FALSE)</f>
        <v>#N/A</v>
      </c>
      <c r="AI132" s="50" t="e">
        <f ca="1">VLOOKUP(Tableau118[[#This Row],[Key(ID-Actif)]],'DATA BTO'!A:N,12,FALSE)</f>
        <v>#N/A</v>
      </c>
      <c r="AJ132" s="53" t="e">
        <f ca="1">VLOOKUP(Tableau118[[#This Row],[Key(ID-Actif)]],'DATA BTO'!A:N,14,FALSE)</f>
        <v>#N/A</v>
      </c>
      <c r="AK132" s="54" t="e">
        <f ca="1">VLOOKUP(Tableau118[[#This Row],[Key(POD -PFI- Usine)]],'DATA Consignee'!A:F,6,FALSE)</f>
        <v>#N/A</v>
      </c>
      <c r="AL132" s="125" t="s">
        <v>153</v>
      </c>
      <c r="AM132" s="483">
        <f>IF(Tableau118[[#This Row],[Name PFI/CDD]]="","-",VLOOKUP(Tableau118[[#This Row],[Name PFI/CDD]],Plant_AILN!I:J,2,FALSE))</f>
        <v>90016600</v>
      </c>
      <c r="AN13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2" s="2" t="e">
        <f ca="1">VLOOKUP(Tableau118[[#This Row],[Key(POD -PFI- Usine)]],'DATA Consignee'!A:J,10,FALSE)</f>
        <v>#N/A</v>
      </c>
      <c r="AQ132" s="50" t="e">
        <f ca="1">VLOOKUP(Tableau118[[#This Row],[Key(POD -PFI- Usine)]],'DATA Consignee'!A:N,14,FALSE)</f>
        <v>#N/A</v>
      </c>
      <c r="AR13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2" s="50" t="e">
        <f ca="1">Tableau118[[#This Row],[Transit time]]+Tableau118[[#This Row],[Time for security]]+Tableau118[[#This Row],[Time for security2 buffer]]</f>
        <v>#N/A</v>
      </c>
      <c r="AU13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2" s="389" t="e">
        <f ca="1">Tableau118[[#This Row],[Leadtime SI2C]]+Tableau118[[#This Row],[First Receipt Days]]-Tableau118[[#This Row],[Day Customer Order]]+1</f>
        <v>#N/A</v>
      </c>
      <c r="AW132" s="117" t="e">
        <f ca="1">IF(Tableau118[[#This Row],[Name ILN]]&lt;&gt;"SFK Freight Forwarder",Tableau118[[#This Row],[Cust. Leadtime]],Tableau118[[#This Row],[Leadtime SI2C]])</f>
        <v>#N/A</v>
      </c>
      <c r="AX132" s="51" t="e">
        <f>VLOOKUP(Tableau118[[#This Row],[ID]],'DATA BTO'!B:P,15,FALSE)</f>
        <v>#N/A</v>
      </c>
      <c r="AY132" s="328" t="e">
        <f ca="1">IFERROR(VLOOKUP(Tableau118[[#This Row],[Key(ID-Actif)]],'DATA BTO'!A:N,4,FALSE),VLOOKUP(Tableau118[[#This Row],[ID]],'DATA BTO'!B:N,3,FALSE))</f>
        <v>#N/A</v>
      </c>
      <c r="AZ13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2" s="50"/>
    </row>
    <row r="133" spans="2:57">
      <c r="B133" s="65" t="str">
        <f>_xlfn.CONCAT(Tableau118[[#This Row],[Name ILN]],"-",Tableau118[[#This Row],[Name Shipper]],"-",Tableau118[[#This Row],[Name Site]])</f>
        <v>--</v>
      </c>
      <c r="C133" s="65" t="e">
        <f ca="1">_xlfn.CONCAT(Tableau118[[#This Row],[Compte ILN]],"-",Tableau118[[#This Row],[Compte Shipper]],"-",Tableau118[[#This Row],[POL]],"-",Tableau118[[#This Row],[Compte Site]])</f>
        <v>#N/A</v>
      </c>
      <c r="D133" s="64" t="e">
        <f ca="1">_xlfn.CONCAT(Tableau118[[#This Row],[Compte ILN]],"-",Tableau118[[#This Row],[Compte Shipper]],"-",Tableau118[[#This Row],[POL]])</f>
        <v>#N/A</v>
      </c>
      <c r="E133" s="396" t="e">
        <f ca="1">_xlfn.CONCAT(Tableau118[[#This Row],[POL]],"-",Tableau118[[#This Row],[Carrier]],"-",Tableau118[[#This Row],[POD]])</f>
        <v>#N/A</v>
      </c>
      <c r="F133" s="64" t="str">
        <f>_xlfn.CONCAT(Tableau118[[#This Row],[ID]],"-","Next")</f>
        <v>-Next</v>
      </c>
      <c r="G133" s="64" t="e">
        <f ca="1">_xlfn.CONCAT(Tableau118[[#This Row],[POD]],"-",Tableau118[[#This Row],[Code PFI]],"-",Tableau118[[#This Row],[Compte Site]])</f>
        <v>#N/A</v>
      </c>
      <c r="H13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3" s="397" t="str">
        <f ca="1">IF(COUNTIF(I:I,Tableau118[[#This Row],[Plant-ILN-shipper-POL-Carrier-POD-PFI]])=1,"Non","Oui")</f>
        <v>Oui</v>
      </c>
      <c r="K133" s="399" t="e">
        <f>VLOOKUP(Tableau118[[#This Row],[Name Site]],Plant_AILN!A:D,4,FALSE)</f>
        <v>#N/A</v>
      </c>
      <c r="L133" s="10"/>
      <c r="M133" s="480"/>
      <c r="N133" s="55"/>
      <c r="O133" s="114"/>
      <c r="P133" s="481"/>
      <c r="Q133" s="50"/>
      <c r="R133" s="50"/>
      <c r="S133" s="50"/>
      <c r="T133" s="50"/>
      <c r="U133" s="50"/>
      <c r="V133" s="50"/>
      <c r="W133" s="53"/>
      <c r="X133" s="283"/>
      <c r="Y133" s="482">
        <f>IFERROR(VLOOKUP(Tableau118[[#This Row],[Name Shipper]],Plant_AILN!L:M,2,FALSE),0)</f>
        <v>0</v>
      </c>
      <c r="Z133" s="358"/>
      <c r="AA133" s="353" t="e">
        <f ca="1">VLOOKUP(Tableau118[[#This Row],[Key(ID-Actif)]],'DATA BTO'!A:N,5,FALSE)</f>
        <v>#N/A</v>
      </c>
      <c r="AB133" s="3" t="e">
        <f ca="1">VLOOKUP(Tableau118[[#This Row],[Key(ID-Actif)]],'DATA BTO'!A:N,6,FALSE)</f>
        <v>#N/A</v>
      </c>
      <c r="AC133" s="50" t="e">
        <f ca="1">VLOOKUP(Tableau118[[#This Row],[Key(ID-Actif)]],'DATA BTO'!A:N,7,FALSE)</f>
        <v>#N/A</v>
      </c>
      <c r="AD133" s="50" t="e">
        <f ca="1">VLOOKUP(Tableau118[[#This Row],[Key(ID-Actif)]],'DATA BTO'!A:N,8,FALSE)</f>
        <v>#N/A</v>
      </c>
      <c r="AE133" s="50" t="e">
        <f ca="1">IF(Tableau118[[#This Row],[First Day to POL]]&lt;=Tableau118[[#This Row],[Day Cut Off]],Tableau118[[#This Row],[Day ETD]],Tableau118[[#This Row],[Day ETD]]+7)</f>
        <v>#N/A</v>
      </c>
      <c r="AF133" s="50" t="e">
        <f ca="1">VLOOKUP(Tableau118[[#This Row],[Key(ID-Actif)]],'DATA BTO'!A:N,9,FALSE)</f>
        <v>#N/A</v>
      </c>
      <c r="AG133" s="3" t="e">
        <f ca="1">VLOOKUP(Tableau118[[#This Row],[Key(ID-Actif)]],'DATA BTO'!A:N,10,FALSE)</f>
        <v>#N/A</v>
      </c>
      <c r="AH133" s="3" t="e">
        <f ca="1">VLOOKUP(Tableau118[[#This Row],[Key(ID-Actif)]],'DATA BTO'!A:N,11,FALSE)</f>
        <v>#N/A</v>
      </c>
      <c r="AI133" s="50" t="e">
        <f ca="1">VLOOKUP(Tableau118[[#This Row],[Key(ID-Actif)]],'DATA BTO'!A:N,12,FALSE)</f>
        <v>#N/A</v>
      </c>
      <c r="AJ133" s="53" t="e">
        <f ca="1">VLOOKUP(Tableau118[[#This Row],[Key(ID-Actif)]],'DATA BTO'!A:N,14,FALSE)</f>
        <v>#N/A</v>
      </c>
      <c r="AK133" s="54" t="e">
        <f ca="1">VLOOKUP(Tableau118[[#This Row],[Key(POD -PFI- Usine)]],'DATA Consignee'!A:F,6,FALSE)</f>
        <v>#N/A</v>
      </c>
      <c r="AL133" s="125" t="s">
        <v>153</v>
      </c>
      <c r="AM133" s="483">
        <f>IF(Tableau118[[#This Row],[Name PFI/CDD]]="","-",VLOOKUP(Tableau118[[#This Row],[Name PFI/CDD]],Plant_AILN!I:J,2,FALSE))</f>
        <v>90016600</v>
      </c>
      <c r="AN13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3" s="2" t="e">
        <f ca="1">VLOOKUP(Tableau118[[#This Row],[Key(POD -PFI- Usine)]],'DATA Consignee'!A:J,10,FALSE)</f>
        <v>#N/A</v>
      </c>
      <c r="AQ133" s="50" t="e">
        <f ca="1">VLOOKUP(Tableau118[[#This Row],[Key(POD -PFI- Usine)]],'DATA Consignee'!A:N,14,FALSE)</f>
        <v>#N/A</v>
      </c>
      <c r="AR13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3" s="50" t="e">
        <f ca="1">Tableau118[[#This Row],[Transit time]]+Tableau118[[#This Row],[Time for security]]+Tableau118[[#This Row],[Time for security2 buffer]]</f>
        <v>#N/A</v>
      </c>
      <c r="AU13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3" s="389" t="e">
        <f ca="1">Tableau118[[#This Row],[Leadtime SI2C]]+Tableau118[[#This Row],[First Receipt Days]]-Tableau118[[#This Row],[Day Customer Order]]+1</f>
        <v>#N/A</v>
      </c>
      <c r="AW133" s="117" t="e">
        <f ca="1">IF(Tableau118[[#This Row],[Name ILN]]&lt;&gt;"SFK Freight Forwarder",Tableau118[[#This Row],[Cust. Leadtime]],Tableau118[[#This Row],[Leadtime SI2C]])</f>
        <v>#N/A</v>
      </c>
      <c r="AX133" s="51" t="e">
        <f>VLOOKUP(Tableau118[[#This Row],[ID]],'DATA BTO'!B:P,15,FALSE)</f>
        <v>#N/A</v>
      </c>
      <c r="AY133" s="328" t="e">
        <f ca="1">IFERROR(VLOOKUP(Tableau118[[#This Row],[Key(ID-Actif)]],'DATA BTO'!A:N,4,FALSE),VLOOKUP(Tableau118[[#This Row],[ID]],'DATA BTO'!B:N,3,FALSE))</f>
        <v>#N/A</v>
      </c>
      <c r="AZ13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3" s="50"/>
    </row>
    <row r="134" spans="2:57">
      <c r="B134" s="65" t="str">
        <f>_xlfn.CONCAT(Tableau118[[#This Row],[Name ILN]],"-",Tableau118[[#This Row],[Name Shipper]],"-",Tableau118[[#This Row],[Name Site]])</f>
        <v>--</v>
      </c>
      <c r="C134" s="65" t="e">
        <f ca="1">_xlfn.CONCAT(Tableau118[[#This Row],[Compte ILN]],"-",Tableau118[[#This Row],[Compte Shipper]],"-",Tableau118[[#This Row],[POL]],"-",Tableau118[[#This Row],[Compte Site]])</f>
        <v>#N/A</v>
      </c>
      <c r="D134" s="64" t="e">
        <f ca="1">_xlfn.CONCAT(Tableau118[[#This Row],[Compte ILN]],"-",Tableau118[[#This Row],[Compte Shipper]],"-",Tableau118[[#This Row],[POL]])</f>
        <v>#N/A</v>
      </c>
      <c r="E134" s="396" t="e">
        <f ca="1">_xlfn.CONCAT(Tableau118[[#This Row],[POL]],"-",Tableau118[[#This Row],[Carrier]],"-",Tableau118[[#This Row],[POD]])</f>
        <v>#N/A</v>
      </c>
      <c r="F134" s="64" t="str">
        <f>_xlfn.CONCAT(Tableau118[[#This Row],[ID]],"-","Next")</f>
        <v>-Next</v>
      </c>
      <c r="G134" s="64" t="e">
        <f ca="1">_xlfn.CONCAT(Tableau118[[#This Row],[POD]],"-",Tableau118[[#This Row],[Code PFI]],"-",Tableau118[[#This Row],[Compte Site]])</f>
        <v>#N/A</v>
      </c>
      <c r="H13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4" s="397" t="str">
        <f ca="1">IF(COUNTIF(I:I,Tableau118[[#This Row],[Plant-ILN-shipper-POL-Carrier-POD-PFI]])=1,"Non","Oui")</f>
        <v>Oui</v>
      </c>
      <c r="K134" s="399" t="e">
        <f>VLOOKUP(Tableau118[[#This Row],[Name Site]],Plant_AILN!A:D,4,FALSE)</f>
        <v>#N/A</v>
      </c>
      <c r="L134" s="10"/>
      <c r="M134" s="480"/>
      <c r="N134" s="55"/>
      <c r="O134" s="114"/>
      <c r="P134" s="481"/>
      <c r="Q134" s="50"/>
      <c r="R134" s="50"/>
      <c r="S134" s="50"/>
      <c r="T134" s="50"/>
      <c r="U134" s="50"/>
      <c r="V134" s="50"/>
      <c r="W134" s="53"/>
      <c r="X134" s="283"/>
      <c r="Y134" s="482">
        <f>IFERROR(VLOOKUP(Tableau118[[#This Row],[Name Shipper]],Plant_AILN!L:M,2,FALSE),0)</f>
        <v>0</v>
      </c>
      <c r="Z134" s="358"/>
      <c r="AA134" s="353" t="e">
        <f ca="1">VLOOKUP(Tableau118[[#This Row],[Key(ID-Actif)]],'DATA BTO'!A:N,5,FALSE)</f>
        <v>#N/A</v>
      </c>
      <c r="AB134" s="3" t="e">
        <f ca="1">VLOOKUP(Tableau118[[#This Row],[Key(ID-Actif)]],'DATA BTO'!A:N,6,FALSE)</f>
        <v>#N/A</v>
      </c>
      <c r="AC134" s="50" t="e">
        <f ca="1">VLOOKUP(Tableau118[[#This Row],[Key(ID-Actif)]],'DATA BTO'!A:N,7,FALSE)</f>
        <v>#N/A</v>
      </c>
      <c r="AD134" s="50" t="e">
        <f ca="1">VLOOKUP(Tableau118[[#This Row],[Key(ID-Actif)]],'DATA BTO'!A:N,8,FALSE)</f>
        <v>#N/A</v>
      </c>
      <c r="AE134" s="50" t="e">
        <f ca="1">IF(Tableau118[[#This Row],[First Day to POL]]&lt;=Tableau118[[#This Row],[Day Cut Off]],Tableau118[[#This Row],[Day ETD]],Tableau118[[#This Row],[Day ETD]]+7)</f>
        <v>#N/A</v>
      </c>
      <c r="AF134" s="50" t="e">
        <f ca="1">VLOOKUP(Tableau118[[#This Row],[Key(ID-Actif)]],'DATA BTO'!A:N,9,FALSE)</f>
        <v>#N/A</v>
      </c>
      <c r="AG134" s="3" t="e">
        <f ca="1">VLOOKUP(Tableau118[[#This Row],[Key(ID-Actif)]],'DATA BTO'!A:N,10,FALSE)</f>
        <v>#N/A</v>
      </c>
      <c r="AH134" s="3" t="e">
        <f ca="1">VLOOKUP(Tableau118[[#This Row],[Key(ID-Actif)]],'DATA BTO'!A:N,11,FALSE)</f>
        <v>#N/A</v>
      </c>
      <c r="AI134" s="50" t="e">
        <f ca="1">VLOOKUP(Tableau118[[#This Row],[Key(ID-Actif)]],'DATA BTO'!A:N,12,FALSE)</f>
        <v>#N/A</v>
      </c>
      <c r="AJ134" s="53" t="e">
        <f ca="1">VLOOKUP(Tableau118[[#This Row],[Key(ID-Actif)]],'DATA BTO'!A:N,14,FALSE)</f>
        <v>#N/A</v>
      </c>
      <c r="AK134" s="54" t="e">
        <f ca="1">VLOOKUP(Tableau118[[#This Row],[Key(POD -PFI- Usine)]],'DATA Consignee'!A:F,6,FALSE)</f>
        <v>#N/A</v>
      </c>
      <c r="AL134" s="125" t="s">
        <v>153</v>
      </c>
      <c r="AM134" s="483">
        <f>IF(Tableau118[[#This Row],[Name PFI/CDD]]="","-",VLOOKUP(Tableau118[[#This Row],[Name PFI/CDD]],Plant_AILN!I:J,2,FALSE))</f>
        <v>90016600</v>
      </c>
      <c r="AN13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4" s="2" t="e">
        <f ca="1">VLOOKUP(Tableau118[[#This Row],[Key(POD -PFI- Usine)]],'DATA Consignee'!A:J,10,FALSE)</f>
        <v>#N/A</v>
      </c>
      <c r="AQ134" s="50" t="e">
        <f ca="1">VLOOKUP(Tableau118[[#This Row],[Key(POD -PFI- Usine)]],'DATA Consignee'!A:N,14,FALSE)</f>
        <v>#N/A</v>
      </c>
      <c r="AR13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4" s="50" t="e">
        <f ca="1">Tableau118[[#This Row],[Transit time]]+Tableau118[[#This Row],[Time for security]]+Tableau118[[#This Row],[Time for security2 buffer]]</f>
        <v>#N/A</v>
      </c>
      <c r="AU13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4" s="389" t="e">
        <f ca="1">Tableau118[[#This Row],[Leadtime SI2C]]+Tableau118[[#This Row],[First Receipt Days]]-Tableau118[[#This Row],[Day Customer Order]]+1</f>
        <v>#N/A</v>
      </c>
      <c r="AW134" s="117" t="e">
        <f ca="1">IF(Tableau118[[#This Row],[Name ILN]]&lt;&gt;"SFK Freight Forwarder",Tableau118[[#This Row],[Cust. Leadtime]],Tableau118[[#This Row],[Leadtime SI2C]])</f>
        <v>#N/A</v>
      </c>
      <c r="AX134" s="51" t="e">
        <f>VLOOKUP(Tableau118[[#This Row],[ID]],'DATA BTO'!B:P,15,FALSE)</f>
        <v>#N/A</v>
      </c>
      <c r="AY134" s="328" t="e">
        <f ca="1">IFERROR(VLOOKUP(Tableau118[[#This Row],[Key(ID-Actif)]],'DATA BTO'!A:N,4,FALSE),VLOOKUP(Tableau118[[#This Row],[ID]],'DATA BTO'!B:N,3,FALSE))</f>
        <v>#N/A</v>
      </c>
      <c r="AZ13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4" s="50"/>
    </row>
    <row r="135" spans="2:57">
      <c r="B135" s="65" t="str">
        <f>_xlfn.CONCAT(Tableau118[[#This Row],[Name ILN]],"-",Tableau118[[#This Row],[Name Shipper]],"-",Tableau118[[#This Row],[Name Site]])</f>
        <v>--</v>
      </c>
      <c r="C135" s="65" t="e">
        <f ca="1">_xlfn.CONCAT(Tableau118[[#This Row],[Compte ILN]],"-",Tableau118[[#This Row],[Compte Shipper]],"-",Tableau118[[#This Row],[POL]],"-",Tableau118[[#This Row],[Compte Site]])</f>
        <v>#N/A</v>
      </c>
      <c r="D135" s="64" t="e">
        <f ca="1">_xlfn.CONCAT(Tableau118[[#This Row],[Compte ILN]],"-",Tableau118[[#This Row],[Compte Shipper]],"-",Tableau118[[#This Row],[POL]])</f>
        <v>#N/A</v>
      </c>
      <c r="E135" s="396" t="e">
        <f ca="1">_xlfn.CONCAT(Tableau118[[#This Row],[POL]],"-",Tableau118[[#This Row],[Carrier]],"-",Tableau118[[#This Row],[POD]])</f>
        <v>#N/A</v>
      </c>
      <c r="F135" s="64" t="str">
        <f>_xlfn.CONCAT(Tableau118[[#This Row],[ID]],"-","Next")</f>
        <v>-Next</v>
      </c>
      <c r="G135" s="64" t="e">
        <f ca="1">_xlfn.CONCAT(Tableau118[[#This Row],[POD]],"-",Tableau118[[#This Row],[Code PFI]],"-",Tableau118[[#This Row],[Compte Site]])</f>
        <v>#N/A</v>
      </c>
      <c r="H13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5" s="397" t="str">
        <f ca="1">IF(COUNTIF(I:I,Tableau118[[#This Row],[Plant-ILN-shipper-POL-Carrier-POD-PFI]])=1,"Non","Oui")</f>
        <v>Oui</v>
      </c>
      <c r="K135" s="399" t="e">
        <f>VLOOKUP(Tableau118[[#This Row],[Name Site]],Plant_AILN!A:D,4,FALSE)</f>
        <v>#N/A</v>
      </c>
      <c r="L135" s="10"/>
      <c r="M135" s="480"/>
      <c r="N135" s="55"/>
      <c r="O135" s="114"/>
      <c r="P135" s="481"/>
      <c r="Q135" s="50"/>
      <c r="R135" s="50"/>
      <c r="S135" s="50"/>
      <c r="T135" s="50"/>
      <c r="U135" s="50"/>
      <c r="V135" s="50"/>
      <c r="W135" s="53"/>
      <c r="X135" s="283"/>
      <c r="Y135" s="482">
        <f>IFERROR(VLOOKUP(Tableau118[[#This Row],[Name Shipper]],Plant_AILN!L:M,2,FALSE),0)</f>
        <v>0</v>
      </c>
      <c r="Z135" s="358"/>
      <c r="AA135" s="353" t="e">
        <f ca="1">VLOOKUP(Tableau118[[#This Row],[Key(ID-Actif)]],'DATA BTO'!A:N,5,FALSE)</f>
        <v>#N/A</v>
      </c>
      <c r="AB135" s="3" t="e">
        <f ca="1">VLOOKUP(Tableau118[[#This Row],[Key(ID-Actif)]],'DATA BTO'!A:N,6,FALSE)</f>
        <v>#N/A</v>
      </c>
      <c r="AC135" s="50" t="e">
        <f ca="1">VLOOKUP(Tableau118[[#This Row],[Key(ID-Actif)]],'DATA BTO'!A:N,7,FALSE)</f>
        <v>#N/A</v>
      </c>
      <c r="AD135" s="50" t="e">
        <f ca="1">VLOOKUP(Tableau118[[#This Row],[Key(ID-Actif)]],'DATA BTO'!A:N,8,FALSE)</f>
        <v>#N/A</v>
      </c>
      <c r="AE135" s="50" t="e">
        <f ca="1">IF(Tableau118[[#This Row],[First Day to POL]]&lt;=Tableau118[[#This Row],[Day Cut Off]],Tableau118[[#This Row],[Day ETD]],Tableau118[[#This Row],[Day ETD]]+7)</f>
        <v>#N/A</v>
      </c>
      <c r="AF135" s="50" t="e">
        <f ca="1">VLOOKUP(Tableau118[[#This Row],[Key(ID-Actif)]],'DATA BTO'!A:N,9,FALSE)</f>
        <v>#N/A</v>
      </c>
      <c r="AG135" s="3" t="e">
        <f ca="1">VLOOKUP(Tableau118[[#This Row],[Key(ID-Actif)]],'DATA BTO'!A:N,10,FALSE)</f>
        <v>#N/A</v>
      </c>
      <c r="AH135" s="3" t="e">
        <f ca="1">VLOOKUP(Tableau118[[#This Row],[Key(ID-Actif)]],'DATA BTO'!A:N,11,FALSE)</f>
        <v>#N/A</v>
      </c>
      <c r="AI135" s="50" t="e">
        <f ca="1">VLOOKUP(Tableau118[[#This Row],[Key(ID-Actif)]],'DATA BTO'!A:N,12,FALSE)</f>
        <v>#N/A</v>
      </c>
      <c r="AJ135" s="53" t="e">
        <f ca="1">VLOOKUP(Tableau118[[#This Row],[Key(ID-Actif)]],'DATA BTO'!A:N,14,FALSE)</f>
        <v>#N/A</v>
      </c>
      <c r="AK135" s="54" t="e">
        <f ca="1">VLOOKUP(Tableau118[[#This Row],[Key(POD -PFI- Usine)]],'DATA Consignee'!A:F,6,FALSE)</f>
        <v>#N/A</v>
      </c>
      <c r="AL135" s="125" t="s">
        <v>153</v>
      </c>
      <c r="AM135" s="483">
        <f>IF(Tableau118[[#This Row],[Name PFI/CDD]]="","-",VLOOKUP(Tableau118[[#This Row],[Name PFI/CDD]],Plant_AILN!I:J,2,FALSE))</f>
        <v>90016600</v>
      </c>
      <c r="AN13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5" s="2" t="e">
        <f ca="1">VLOOKUP(Tableau118[[#This Row],[Key(POD -PFI- Usine)]],'DATA Consignee'!A:J,10,FALSE)</f>
        <v>#N/A</v>
      </c>
      <c r="AQ135" s="50" t="e">
        <f ca="1">VLOOKUP(Tableau118[[#This Row],[Key(POD -PFI- Usine)]],'DATA Consignee'!A:N,14,FALSE)</f>
        <v>#N/A</v>
      </c>
      <c r="AR13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5" s="50" t="e">
        <f ca="1">Tableau118[[#This Row],[Transit time]]+Tableau118[[#This Row],[Time for security]]+Tableau118[[#This Row],[Time for security2 buffer]]</f>
        <v>#N/A</v>
      </c>
      <c r="AU13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5" s="389" t="e">
        <f ca="1">Tableau118[[#This Row],[Leadtime SI2C]]+Tableau118[[#This Row],[First Receipt Days]]-Tableau118[[#This Row],[Day Customer Order]]+1</f>
        <v>#N/A</v>
      </c>
      <c r="AW135" s="117" t="e">
        <f ca="1">IF(Tableau118[[#This Row],[Name ILN]]&lt;&gt;"SFK Freight Forwarder",Tableau118[[#This Row],[Cust. Leadtime]],Tableau118[[#This Row],[Leadtime SI2C]])</f>
        <v>#N/A</v>
      </c>
      <c r="AX135" s="51" t="e">
        <f>VLOOKUP(Tableau118[[#This Row],[ID]],'DATA BTO'!B:P,15,FALSE)</f>
        <v>#N/A</v>
      </c>
      <c r="AY135" s="328" t="e">
        <f ca="1">IFERROR(VLOOKUP(Tableau118[[#This Row],[Key(ID-Actif)]],'DATA BTO'!A:N,4,FALSE),VLOOKUP(Tableau118[[#This Row],[ID]],'DATA BTO'!B:N,3,FALSE))</f>
        <v>#N/A</v>
      </c>
      <c r="AZ13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5" s="50"/>
    </row>
    <row r="136" spans="2:57">
      <c r="B136" s="65" t="str">
        <f>_xlfn.CONCAT(Tableau118[[#This Row],[Name ILN]],"-",Tableau118[[#This Row],[Name Shipper]],"-",Tableau118[[#This Row],[Name Site]])</f>
        <v>--</v>
      </c>
      <c r="C136" s="65" t="e">
        <f ca="1">_xlfn.CONCAT(Tableau118[[#This Row],[Compte ILN]],"-",Tableau118[[#This Row],[Compte Shipper]],"-",Tableau118[[#This Row],[POL]],"-",Tableau118[[#This Row],[Compte Site]])</f>
        <v>#N/A</v>
      </c>
      <c r="D136" s="64" t="e">
        <f ca="1">_xlfn.CONCAT(Tableau118[[#This Row],[Compte ILN]],"-",Tableau118[[#This Row],[Compte Shipper]],"-",Tableau118[[#This Row],[POL]])</f>
        <v>#N/A</v>
      </c>
      <c r="E136" s="396" t="e">
        <f ca="1">_xlfn.CONCAT(Tableau118[[#This Row],[POL]],"-",Tableau118[[#This Row],[Carrier]],"-",Tableau118[[#This Row],[POD]])</f>
        <v>#N/A</v>
      </c>
      <c r="F136" s="64" t="str">
        <f>_xlfn.CONCAT(Tableau118[[#This Row],[ID]],"-","Next")</f>
        <v>-Next</v>
      </c>
      <c r="G136" s="64" t="e">
        <f ca="1">_xlfn.CONCAT(Tableau118[[#This Row],[POD]],"-",Tableau118[[#This Row],[Code PFI]],"-",Tableau118[[#This Row],[Compte Site]])</f>
        <v>#N/A</v>
      </c>
      <c r="H13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6" s="397" t="str">
        <f ca="1">IF(COUNTIF(I:I,Tableau118[[#This Row],[Plant-ILN-shipper-POL-Carrier-POD-PFI]])=1,"Non","Oui")</f>
        <v>Oui</v>
      </c>
      <c r="K136" s="399" t="e">
        <f>VLOOKUP(Tableau118[[#This Row],[Name Site]],Plant_AILN!A:D,4,FALSE)</f>
        <v>#N/A</v>
      </c>
      <c r="L136" s="10"/>
      <c r="M136" s="480"/>
      <c r="N136" s="55"/>
      <c r="O136" s="114"/>
      <c r="P136" s="481"/>
      <c r="Q136" s="50"/>
      <c r="R136" s="50"/>
      <c r="S136" s="50"/>
      <c r="T136" s="50"/>
      <c r="U136" s="50"/>
      <c r="V136" s="50"/>
      <c r="W136" s="53"/>
      <c r="X136" s="283"/>
      <c r="Y136" s="482">
        <f>IFERROR(VLOOKUP(Tableau118[[#This Row],[Name Shipper]],Plant_AILN!L:M,2,FALSE),0)</f>
        <v>0</v>
      </c>
      <c r="Z136" s="358"/>
      <c r="AA136" s="353" t="e">
        <f ca="1">VLOOKUP(Tableau118[[#This Row],[Key(ID-Actif)]],'DATA BTO'!A:N,5,FALSE)</f>
        <v>#N/A</v>
      </c>
      <c r="AB136" s="3" t="e">
        <f ca="1">VLOOKUP(Tableau118[[#This Row],[Key(ID-Actif)]],'DATA BTO'!A:N,6,FALSE)</f>
        <v>#N/A</v>
      </c>
      <c r="AC136" s="50" t="e">
        <f ca="1">VLOOKUP(Tableau118[[#This Row],[Key(ID-Actif)]],'DATA BTO'!A:N,7,FALSE)</f>
        <v>#N/A</v>
      </c>
      <c r="AD136" s="50" t="e">
        <f ca="1">VLOOKUP(Tableau118[[#This Row],[Key(ID-Actif)]],'DATA BTO'!A:N,8,FALSE)</f>
        <v>#N/A</v>
      </c>
      <c r="AE136" s="50" t="e">
        <f ca="1">IF(Tableau118[[#This Row],[First Day to POL]]&lt;=Tableau118[[#This Row],[Day Cut Off]],Tableau118[[#This Row],[Day ETD]],Tableau118[[#This Row],[Day ETD]]+7)</f>
        <v>#N/A</v>
      </c>
      <c r="AF136" s="50" t="e">
        <f ca="1">VLOOKUP(Tableau118[[#This Row],[Key(ID-Actif)]],'DATA BTO'!A:N,9,FALSE)</f>
        <v>#N/A</v>
      </c>
      <c r="AG136" s="3" t="e">
        <f ca="1">VLOOKUP(Tableau118[[#This Row],[Key(ID-Actif)]],'DATA BTO'!A:N,10,FALSE)</f>
        <v>#N/A</v>
      </c>
      <c r="AH136" s="3" t="e">
        <f ca="1">VLOOKUP(Tableau118[[#This Row],[Key(ID-Actif)]],'DATA BTO'!A:N,11,FALSE)</f>
        <v>#N/A</v>
      </c>
      <c r="AI136" s="50" t="e">
        <f ca="1">VLOOKUP(Tableau118[[#This Row],[Key(ID-Actif)]],'DATA BTO'!A:N,12,FALSE)</f>
        <v>#N/A</v>
      </c>
      <c r="AJ136" s="53" t="e">
        <f ca="1">VLOOKUP(Tableau118[[#This Row],[Key(ID-Actif)]],'DATA BTO'!A:N,14,FALSE)</f>
        <v>#N/A</v>
      </c>
      <c r="AK136" s="54" t="e">
        <f ca="1">VLOOKUP(Tableau118[[#This Row],[Key(POD -PFI- Usine)]],'DATA Consignee'!A:F,6,FALSE)</f>
        <v>#N/A</v>
      </c>
      <c r="AL136" s="125" t="s">
        <v>153</v>
      </c>
      <c r="AM136" s="483">
        <f>IF(Tableau118[[#This Row],[Name PFI/CDD]]="","-",VLOOKUP(Tableau118[[#This Row],[Name PFI/CDD]],Plant_AILN!I:J,2,FALSE))</f>
        <v>90016600</v>
      </c>
      <c r="AN13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6" s="2" t="e">
        <f ca="1">VLOOKUP(Tableau118[[#This Row],[Key(POD -PFI- Usine)]],'DATA Consignee'!A:J,10,FALSE)</f>
        <v>#N/A</v>
      </c>
      <c r="AQ136" s="50" t="e">
        <f ca="1">VLOOKUP(Tableau118[[#This Row],[Key(POD -PFI- Usine)]],'DATA Consignee'!A:N,14,FALSE)</f>
        <v>#N/A</v>
      </c>
      <c r="AR13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6" s="50" t="e">
        <f ca="1">Tableau118[[#This Row],[Transit time]]+Tableau118[[#This Row],[Time for security]]+Tableau118[[#This Row],[Time for security2 buffer]]</f>
        <v>#N/A</v>
      </c>
      <c r="AU13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6" s="389" t="e">
        <f ca="1">Tableau118[[#This Row],[Leadtime SI2C]]+Tableau118[[#This Row],[First Receipt Days]]-Tableau118[[#This Row],[Day Customer Order]]+1</f>
        <v>#N/A</v>
      </c>
      <c r="AW136" s="117" t="e">
        <f ca="1">IF(Tableau118[[#This Row],[Name ILN]]&lt;&gt;"SFK Freight Forwarder",Tableau118[[#This Row],[Cust. Leadtime]],Tableau118[[#This Row],[Leadtime SI2C]])</f>
        <v>#N/A</v>
      </c>
      <c r="AX136" s="51" t="e">
        <f>VLOOKUP(Tableau118[[#This Row],[ID]],'DATA BTO'!B:P,15,FALSE)</f>
        <v>#N/A</v>
      </c>
      <c r="AY136" s="328" t="e">
        <f ca="1">IFERROR(VLOOKUP(Tableau118[[#This Row],[Key(ID-Actif)]],'DATA BTO'!A:N,4,FALSE),VLOOKUP(Tableau118[[#This Row],[ID]],'DATA BTO'!B:N,3,FALSE))</f>
        <v>#N/A</v>
      </c>
      <c r="AZ13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6" s="50"/>
    </row>
    <row r="137" spans="2:57">
      <c r="B137" s="65" t="str">
        <f>_xlfn.CONCAT(Tableau118[[#This Row],[Name ILN]],"-",Tableau118[[#This Row],[Name Shipper]],"-",Tableau118[[#This Row],[Name Site]])</f>
        <v>--</v>
      </c>
      <c r="C137" s="65" t="e">
        <f ca="1">_xlfn.CONCAT(Tableau118[[#This Row],[Compte ILN]],"-",Tableau118[[#This Row],[Compte Shipper]],"-",Tableau118[[#This Row],[POL]],"-",Tableau118[[#This Row],[Compte Site]])</f>
        <v>#N/A</v>
      </c>
      <c r="D137" s="64" t="e">
        <f ca="1">_xlfn.CONCAT(Tableau118[[#This Row],[Compte ILN]],"-",Tableau118[[#This Row],[Compte Shipper]],"-",Tableau118[[#This Row],[POL]])</f>
        <v>#N/A</v>
      </c>
      <c r="E137" s="396" t="e">
        <f ca="1">_xlfn.CONCAT(Tableau118[[#This Row],[POL]],"-",Tableau118[[#This Row],[Carrier]],"-",Tableau118[[#This Row],[POD]])</f>
        <v>#N/A</v>
      </c>
      <c r="F137" s="64" t="str">
        <f>_xlfn.CONCAT(Tableau118[[#This Row],[ID]],"-","Next")</f>
        <v>-Next</v>
      </c>
      <c r="G137" s="64" t="e">
        <f ca="1">_xlfn.CONCAT(Tableau118[[#This Row],[POD]],"-",Tableau118[[#This Row],[Code PFI]],"-",Tableau118[[#This Row],[Compte Site]])</f>
        <v>#N/A</v>
      </c>
      <c r="H13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7" s="397" t="str">
        <f ca="1">IF(COUNTIF(I:I,Tableau118[[#This Row],[Plant-ILN-shipper-POL-Carrier-POD-PFI]])=1,"Non","Oui")</f>
        <v>Oui</v>
      </c>
      <c r="K137" s="399" t="e">
        <f>VLOOKUP(Tableau118[[#This Row],[Name Site]],Plant_AILN!A:D,4,FALSE)</f>
        <v>#N/A</v>
      </c>
      <c r="L137" s="10"/>
      <c r="M137" s="480"/>
      <c r="N137" s="55"/>
      <c r="O137" s="114"/>
      <c r="P137" s="481"/>
      <c r="Q137" s="50"/>
      <c r="R137" s="50"/>
      <c r="S137" s="50"/>
      <c r="T137" s="50"/>
      <c r="U137" s="50"/>
      <c r="V137" s="50"/>
      <c r="W137" s="53"/>
      <c r="X137" s="283"/>
      <c r="Y137" s="482">
        <f>IFERROR(VLOOKUP(Tableau118[[#This Row],[Name Shipper]],Plant_AILN!L:M,2,FALSE),0)</f>
        <v>0</v>
      </c>
      <c r="Z137" s="358"/>
      <c r="AA137" s="353" t="e">
        <f ca="1">VLOOKUP(Tableau118[[#This Row],[Key(ID-Actif)]],'DATA BTO'!A:N,5,FALSE)</f>
        <v>#N/A</v>
      </c>
      <c r="AB137" s="3" t="e">
        <f ca="1">VLOOKUP(Tableau118[[#This Row],[Key(ID-Actif)]],'DATA BTO'!A:N,6,FALSE)</f>
        <v>#N/A</v>
      </c>
      <c r="AC137" s="50" t="e">
        <f ca="1">VLOOKUP(Tableau118[[#This Row],[Key(ID-Actif)]],'DATA BTO'!A:N,7,FALSE)</f>
        <v>#N/A</v>
      </c>
      <c r="AD137" s="50" t="e">
        <f ca="1">VLOOKUP(Tableau118[[#This Row],[Key(ID-Actif)]],'DATA BTO'!A:N,8,FALSE)</f>
        <v>#N/A</v>
      </c>
      <c r="AE137" s="50" t="e">
        <f ca="1">IF(Tableau118[[#This Row],[First Day to POL]]&lt;=Tableau118[[#This Row],[Day Cut Off]],Tableau118[[#This Row],[Day ETD]],Tableau118[[#This Row],[Day ETD]]+7)</f>
        <v>#N/A</v>
      </c>
      <c r="AF137" s="50" t="e">
        <f ca="1">VLOOKUP(Tableau118[[#This Row],[Key(ID-Actif)]],'DATA BTO'!A:N,9,FALSE)</f>
        <v>#N/A</v>
      </c>
      <c r="AG137" s="3" t="e">
        <f ca="1">VLOOKUP(Tableau118[[#This Row],[Key(ID-Actif)]],'DATA BTO'!A:N,10,FALSE)</f>
        <v>#N/A</v>
      </c>
      <c r="AH137" s="3" t="e">
        <f ca="1">VLOOKUP(Tableau118[[#This Row],[Key(ID-Actif)]],'DATA BTO'!A:N,11,FALSE)</f>
        <v>#N/A</v>
      </c>
      <c r="AI137" s="50" t="e">
        <f ca="1">VLOOKUP(Tableau118[[#This Row],[Key(ID-Actif)]],'DATA BTO'!A:N,12,FALSE)</f>
        <v>#N/A</v>
      </c>
      <c r="AJ137" s="53" t="e">
        <f ca="1">VLOOKUP(Tableau118[[#This Row],[Key(ID-Actif)]],'DATA BTO'!A:N,14,FALSE)</f>
        <v>#N/A</v>
      </c>
      <c r="AK137" s="54" t="e">
        <f ca="1">VLOOKUP(Tableau118[[#This Row],[Key(POD -PFI- Usine)]],'DATA Consignee'!A:F,6,FALSE)</f>
        <v>#N/A</v>
      </c>
      <c r="AL137" s="125" t="s">
        <v>218</v>
      </c>
      <c r="AM137" s="483">
        <f>IF(Tableau118[[#This Row],[Name PFI/CDD]]="","-",VLOOKUP(Tableau118[[#This Row],[Name PFI/CDD]],Plant_AILN!I:J,2,FALSE))</f>
        <v>2839004</v>
      </c>
      <c r="AN13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7" s="2" t="e">
        <f ca="1">VLOOKUP(Tableau118[[#This Row],[Key(POD -PFI- Usine)]],'DATA Consignee'!A:J,10,FALSE)</f>
        <v>#N/A</v>
      </c>
      <c r="AQ137" s="50" t="e">
        <f ca="1">VLOOKUP(Tableau118[[#This Row],[Key(POD -PFI- Usine)]],'DATA Consignee'!A:N,14,FALSE)</f>
        <v>#N/A</v>
      </c>
      <c r="AR13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7" s="50" t="e">
        <f ca="1">Tableau118[[#This Row],[Transit time]]+Tableau118[[#This Row],[Time for security]]+Tableau118[[#This Row],[Time for security2 buffer]]</f>
        <v>#N/A</v>
      </c>
      <c r="AU13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7" s="389" t="e">
        <f ca="1">Tableau118[[#This Row],[Leadtime SI2C]]+Tableau118[[#This Row],[First Receipt Days]]-Tableau118[[#This Row],[Day Customer Order]]+1</f>
        <v>#N/A</v>
      </c>
      <c r="AW137" s="117" t="e">
        <f ca="1">IF(Tableau118[[#This Row],[Name ILN]]&lt;&gt;"SFK Freight Forwarder",Tableau118[[#This Row],[Cust. Leadtime]],Tableau118[[#This Row],[Leadtime SI2C]])</f>
        <v>#N/A</v>
      </c>
      <c r="AX137" s="51" t="e">
        <f>VLOOKUP(Tableau118[[#This Row],[ID]],'DATA BTO'!B:P,15,FALSE)</f>
        <v>#N/A</v>
      </c>
      <c r="AY137" s="328" t="e">
        <f ca="1">IFERROR(VLOOKUP(Tableau118[[#This Row],[Key(ID-Actif)]],'DATA BTO'!A:N,4,FALSE),VLOOKUP(Tableau118[[#This Row],[ID]],'DATA BTO'!B:N,3,FALSE))</f>
        <v>#N/A</v>
      </c>
      <c r="AZ13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7" s="50"/>
    </row>
    <row r="138" spans="2:57">
      <c r="B138" s="65" t="str">
        <f>_xlfn.CONCAT(Tableau118[[#This Row],[Name ILN]],"-",Tableau118[[#This Row],[Name Shipper]],"-",Tableau118[[#This Row],[Name Site]])</f>
        <v>--</v>
      </c>
      <c r="C138" s="65" t="e">
        <f ca="1">_xlfn.CONCAT(Tableau118[[#This Row],[Compte ILN]],"-",Tableau118[[#This Row],[Compte Shipper]],"-",Tableau118[[#This Row],[POL]],"-",Tableau118[[#This Row],[Compte Site]])</f>
        <v>#N/A</v>
      </c>
      <c r="D138" s="64" t="e">
        <f ca="1">_xlfn.CONCAT(Tableau118[[#This Row],[Compte ILN]],"-",Tableau118[[#This Row],[Compte Shipper]],"-",Tableau118[[#This Row],[POL]])</f>
        <v>#N/A</v>
      </c>
      <c r="E138" s="396" t="e">
        <f ca="1">_xlfn.CONCAT(Tableau118[[#This Row],[POL]],"-",Tableau118[[#This Row],[Carrier]],"-",Tableau118[[#This Row],[POD]])</f>
        <v>#N/A</v>
      </c>
      <c r="F138" s="64" t="str">
        <f>_xlfn.CONCAT(Tableau118[[#This Row],[ID]],"-","Next")</f>
        <v>-Next</v>
      </c>
      <c r="G138" s="64" t="e">
        <f ca="1">_xlfn.CONCAT(Tableau118[[#This Row],[POD]],"-",Tableau118[[#This Row],[Code PFI]],"-",Tableau118[[#This Row],[Compte Site]])</f>
        <v>#N/A</v>
      </c>
      <c r="H13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8" s="397" t="str">
        <f ca="1">IF(COUNTIF(I:I,Tableau118[[#This Row],[Plant-ILN-shipper-POL-Carrier-POD-PFI]])=1,"Non","Oui")</f>
        <v>Oui</v>
      </c>
      <c r="K138" s="399" t="e">
        <f>VLOOKUP(Tableau118[[#This Row],[Name Site]],Plant_AILN!A:D,4,FALSE)</f>
        <v>#N/A</v>
      </c>
      <c r="L138" s="10"/>
      <c r="M138" s="480"/>
      <c r="N138" s="55"/>
      <c r="O138" s="114"/>
      <c r="P138" s="481"/>
      <c r="Q138" s="50"/>
      <c r="R138" s="50"/>
      <c r="S138" s="50"/>
      <c r="T138" s="50"/>
      <c r="U138" s="50"/>
      <c r="V138" s="50"/>
      <c r="W138" s="53"/>
      <c r="X138" s="283"/>
      <c r="Y138" s="482">
        <f>IFERROR(VLOOKUP(Tableau118[[#This Row],[Name Shipper]],Plant_AILN!L:M,2,FALSE),0)</f>
        <v>0</v>
      </c>
      <c r="Z138" s="358"/>
      <c r="AA138" s="353" t="e">
        <f ca="1">VLOOKUP(Tableau118[[#This Row],[Key(ID-Actif)]],'DATA BTO'!A:N,5,FALSE)</f>
        <v>#N/A</v>
      </c>
      <c r="AB138" s="3" t="e">
        <f ca="1">VLOOKUP(Tableau118[[#This Row],[Key(ID-Actif)]],'DATA BTO'!A:N,6,FALSE)</f>
        <v>#N/A</v>
      </c>
      <c r="AC138" s="50" t="e">
        <f ca="1">VLOOKUP(Tableau118[[#This Row],[Key(ID-Actif)]],'DATA BTO'!A:N,7,FALSE)</f>
        <v>#N/A</v>
      </c>
      <c r="AD138" s="50" t="e">
        <f ca="1">VLOOKUP(Tableau118[[#This Row],[Key(ID-Actif)]],'DATA BTO'!A:N,8,FALSE)</f>
        <v>#N/A</v>
      </c>
      <c r="AE138" s="50" t="e">
        <f ca="1">IF(Tableau118[[#This Row],[First Day to POL]]&lt;=Tableau118[[#This Row],[Day Cut Off]],Tableau118[[#This Row],[Day ETD]],Tableau118[[#This Row],[Day ETD]]+7)</f>
        <v>#N/A</v>
      </c>
      <c r="AF138" s="50" t="e">
        <f ca="1">VLOOKUP(Tableau118[[#This Row],[Key(ID-Actif)]],'DATA BTO'!A:N,9,FALSE)</f>
        <v>#N/A</v>
      </c>
      <c r="AG138" s="3" t="e">
        <f ca="1">VLOOKUP(Tableau118[[#This Row],[Key(ID-Actif)]],'DATA BTO'!A:N,10,FALSE)</f>
        <v>#N/A</v>
      </c>
      <c r="AH138" s="3" t="e">
        <f ca="1">VLOOKUP(Tableau118[[#This Row],[Key(ID-Actif)]],'DATA BTO'!A:N,11,FALSE)</f>
        <v>#N/A</v>
      </c>
      <c r="AI138" s="50" t="e">
        <f ca="1">VLOOKUP(Tableau118[[#This Row],[Key(ID-Actif)]],'DATA BTO'!A:N,12,FALSE)</f>
        <v>#N/A</v>
      </c>
      <c r="AJ138" s="53" t="e">
        <f ca="1">VLOOKUP(Tableau118[[#This Row],[Key(ID-Actif)]],'DATA BTO'!A:N,14,FALSE)</f>
        <v>#N/A</v>
      </c>
      <c r="AK138" s="54" t="e">
        <f ca="1">VLOOKUP(Tableau118[[#This Row],[Key(POD -PFI- Usine)]],'DATA Consignee'!A:F,6,FALSE)</f>
        <v>#N/A</v>
      </c>
      <c r="AL138" s="125"/>
      <c r="AM138" s="483" t="str">
        <f>IF(Tableau118[[#This Row],[Name PFI/CDD]]="","-",VLOOKUP(Tableau118[[#This Row],[Name PFI/CDD]],Plant_AILN!I:J,2,FALSE))</f>
        <v>-</v>
      </c>
      <c r="AN13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8" s="2" t="e">
        <f ca="1">VLOOKUP(Tableau118[[#This Row],[Key(POD -PFI- Usine)]],'DATA Consignee'!A:J,10,FALSE)</f>
        <v>#N/A</v>
      </c>
      <c r="AQ138" s="50" t="e">
        <f ca="1">VLOOKUP(Tableau118[[#This Row],[Key(POD -PFI- Usine)]],'DATA Consignee'!A:N,14,FALSE)</f>
        <v>#N/A</v>
      </c>
      <c r="AR13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8" s="50" t="e">
        <f ca="1">Tableau118[[#This Row],[Transit time]]+Tableau118[[#This Row],[Time for security]]+Tableau118[[#This Row],[Time for security2 buffer]]</f>
        <v>#N/A</v>
      </c>
      <c r="AU13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8" s="389" t="e">
        <f ca="1">Tableau118[[#This Row],[Leadtime SI2C]]+Tableau118[[#This Row],[First Receipt Days]]-Tableau118[[#This Row],[Day Customer Order]]+1</f>
        <v>#N/A</v>
      </c>
      <c r="AW138" s="117" t="e">
        <f ca="1">IF(Tableau118[[#This Row],[Name ILN]]&lt;&gt;"SFK Freight Forwarder",Tableau118[[#This Row],[Cust. Leadtime]],Tableau118[[#This Row],[Leadtime SI2C]])</f>
        <v>#N/A</v>
      </c>
      <c r="AX138" s="51" t="e">
        <f>VLOOKUP(Tableau118[[#This Row],[ID]],'DATA BTO'!B:P,15,FALSE)</f>
        <v>#N/A</v>
      </c>
      <c r="AY138" s="328" t="e">
        <f ca="1">IFERROR(VLOOKUP(Tableau118[[#This Row],[Key(ID-Actif)]],'DATA BTO'!A:N,4,FALSE),VLOOKUP(Tableau118[[#This Row],[ID]],'DATA BTO'!B:N,3,FALSE))</f>
        <v>#N/A</v>
      </c>
      <c r="AZ13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8" s="50"/>
    </row>
    <row r="139" spans="2:57">
      <c r="B139" s="65" t="str">
        <f>_xlfn.CONCAT(Tableau118[[#This Row],[Name ILN]],"-",Tableau118[[#This Row],[Name Shipper]],"-",Tableau118[[#This Row],[Name Site]])</f>
        <v>--</v>
      </c>
      <c r="C139" s="65" t="e">
        <f ca="1">_xlfn.CONCAT(Tableau118[[#This Row],[Compte ILN]],"-",Tableau118[[#This Row],[Compte Shipper]],"-",Tableau118[[#This Row],[POL]],"-",Tableau118[[#This Row],[Compte Site]])</f>
        <v>#N/A</v>
      </c>
      <c r="D139" s="64" t="e">
        <f ca="1">_xlfn.CONCAT(Tableau118[[#This Row],[Compte ILN]],"-",Tableau118[[#This Row],[Compte Shipper]],"-",Tableau118[[#This Row],[POL]])</f>
        <v>#N/A</v>
      </c>
      <c r="E139" s="396" t="e">
        <f ca="1">_xlfn.CONCAT(Tableau118[[#This Row],[POL]],"-",Tableau118[[#This Row],[Carrier]],"-",Tableau118[[#This Row],[POD]])</f>
        <v>#N/A</v>
      </c>
      <c r="F139" s="64" t="str">
        <f>_xlfn.CONCAT(Tableau118[[#This Row],[ID]],"-","Next")</f>
        <v>-Next</v>
      </c>
      <c r="G139" s="64" t="e">
        <f ca="1">_xlfn.CONCAT(Tableau118[[#This Row],[POD]],"-",Tableau118[[#This Row],[Code PFI]],"-",Tableau118[[#This Row],[Compte Site]])</f>
        <v>#N/A</v>
      </c>
      <c r="H13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3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39" s="397" t="str">
        <f ca="1">IF(COUNTIF(I:I,Tableau118[[#This Row],[Plant-ILN-shipper-POL-Carrier-POD-PFI]])=1,"Non","Oui")</f>
        <v>Oui</v>
      </c>
      <c r="K139" s="399" t="e">
        <f>VLOOKUP(Tableau118[[#This Row],[Name Site]],Plant_AILN!A:D,4,FALSE)</f>
        <v>#N/A</v>
      </c>
      <c r="L139" s="10"/>
      <c r="M139" s="480"/>
      <c r="N139" s="55"/>
      <c r="O139" s="114"/>
      <c r="P139" s="481"/>
      <c r="Q139" s="50"/>
      <c r="R139" s="50"/>
      <c r="S139" s="50"/>
      <c r="T139" s="50"/>
      <c r="U139" s="50"/>
      <c r="V139" s="50"/>
      <c r="W139" s="53"/>
      <c r="X139" s="283"/>
      <c r="Y139" s="482">
        <f>IFERROR(VLOOKUP(Tableau118[[#This Row],[Name Shipper]],Plant_AILN!L:M,2,FALSE),0)</f>
        <v>0</v>
      </c>
      <c r="Z139" s="358"/>
      <c r="AA139" s="353" t="e">
        <f ca="1">VLOOKUP(Tableau118[[#This Row],[Key(ID-Actif)]],'DATA BTO'!A:N,5,FALSE)</f>
        <v>#N/A</v>
      </c>
      <c r="AB139" s="3" t="e">
        <f ca="1">VLOOKUP(Tableau118[[#This Row],[Key(ID-Actif)]],'DATA BTO'!A:N,6,FALSE)</f>
        <v>#N/A</v>
      </c>
      <c r="AC139" s="50" t="e">
        <f ca="1">VLOOKUP(Tableau118[[#This Row],[Key(ID-Actif)]],'DATA BTO'!A:N,7,FALSE)</f>
        <v>#N/A</v>
      </c>
      <c r="AD139" s="50" t="e">
        <f ca="1">VLOOKUP(Tableau118[[#This Row],[Key(ID-Actif)]],'DATA BTO'!A:N,8,FALSE)</f>
        <v>#N/A</v>
      </c>
      <c r="AE139" s="50" t="e">
        <f ca="1">IF(Tableau118[[#This Row],[First Day to POL]]&lt;=Tableau118[[#This Row],[Day Cut Off]],Tableau118[[#This Row],[Day ETD]],Tableau118[[#This Row],[Day ETD]]+7)</f>
        <v>#N/A</v>
      </c>
      <c r="AF139" s="50" t="e">
        <f ca="1">VLOOKUP(Tableau118[[#This Row],[Key(ID-Actif)]],'DATA BTO'!A:N,9,FALSE)</f>
        <v>#N/A</v>
      </c>
      <c r="AG139" s="3" t="e">
        <f ca="1">VLOOKUP(Tableau118[[#This Row],[Key(ID-Actif)]],'DATA BTO'!A:N,10,FALSE)</f>
        <v>#N/A</v>
      </c>
      <c r="AH139" s="3" t="e">
        <f ca="1">VLOOKUP(Tableau118[[#This Row],[Key(ID-Actif)]],'DATA BTO'!A:N,11,FALSE)</f>
        <v>#N/A</v>
      </c>
      <c r="AI139" s="50" t="e">
        <f ca="1">VLOOKUP(Tableau118[[#This Row],[Key(ID-Actif)]],'DATA BTO'!A:N,12,FALSE)</f>
        <v>#N/A</v>
      </c>
      <c r="AJ139" s="53" t="e">
        <f ca="1">VLOOKUP(Tableau118[[#This Row],[Key(ID-Actif)]],'DATA BTO'!A:N,14,FALSE)</f>
        <v>#N/A</v>
      </c>
      <c r="AK139" s="54" t="e">
        <f ca="1">VLOOKUP(Tableau118[[#This Row],[Key(POD -PFI- Usine)]],'DATA Consignee'!A:F,6,FALSE)</f>
        <v>#N/A</v>
      </c>
      <c r="AL139" s="125" t="s">
        <v>217</v>
      </c>
      <c r="AM139" s="483">
        <f>IF(Tableau118[[#This Row],[Name PFI/CDD]]="","-",VLOOKUP(Tableau118[[#This Row],[Name PFI/CDD]],Plant_AILN!I:J,2,FALSE))</f>
        <v>90016600</v>
      </c>
      <c r="AN13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3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39" s="2" t="e">
        <f ca="1">VLOOKUP(Tableau118[[#This Row],[Key(POD -PFI- Usine)]],'DATA Consignee'!A:J,10,FALSE)</f>
        <v>#N/A</v>
      </c>
      <c r="AQ139" s="50" t="e">
        <f ca="1">VLOOKUP(Tableau118[[#This Row],[Key(POD -PFI- Usine)]],'DATA Consignee'!A:N,14,FALSE)</f>
        <v>#N/A</v>
      </c>
      <c r="AR13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3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39" s="50" t="e">
        <f ca="1">Tableau118[[#This Row],[Transit time]]+Tableau118[[#This Row],[Time for security]]+Tableau118[[#This Row],[Time for security2 buffer]]</f>
        <v>#N/A</v>
      </c>
      <c r="AU13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39" s="389" t="e">
        <f ca="1">Tableau118[[#This Row],[Leadtime SI2C]]+Tableau118[[#This Row],[First Receipt Days]]-Tableau118[[#This Row],[Day Customer Order]]+1</f>
        <v>#N/A</v>
      </c>
      <c r="AW139" s="117" t="e">
        <f ca="1">IF(Tableau118[[#This Row],[Name ILN]]&lt;&gt;"SFK Freight Forwarder",Tableau118[[#This Row],[Cust. Leadtime]],Tableau118[[#This Row],[Leadtime SI2C]])</f>
        <v>#N/A</v>
      </c>
      <c r="AX139" s="51" t="e">
        <f>VLOOKUP(Tableau118[[#This Row],[ID]],'DATA BTO'!B:P,15,FALSE)</f>
        <v>#N/A</v>
      </c>
      <c r="AY139" s="328" t="e">
        <f ca="1">IFERROR(VLOOKUP(Tableau118[[#This Row],[Key(ID-Actif)]],'DATA BTO'!A:N,4,FALSE),VLOOKUP(Tableau118[[#This Row],[ID]],'DATA BTO'!B:N,3,FALSE))</f>
        <v>#N/A</v>
      </c>
      <c r="AZ13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3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3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3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3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39" s="50"/>
    </row>
    <row r="140" spans="2:57">
      <c r="B140" s="65" t="str">
        <f>_xlfn.CONCAT(Tableau118[[#This Row],[Name ILN]],"-",Tableau118[[#This Row],[Name Shipper]],"-",Tableau118[[#This Row],[Name Site]])</f>
        <v>--</v>
      </c>
      <c r="C140" s="65" t="e">
        <f ca="1">_xlfn.CONCAT(Tableau118[[#This Row],[Compte ILN]],"-",Tableau118[[#This Row],[Compte Shipper]],"-",Tableau118[[#This Row],[POL]],"-",Tableau118[[#This Row],[Compte Site]])</f>
        <v>#N/A</v>
      </c>
      <c r="D140" s="64" t="e">
        <f ca="1">_xlfn.CONCAT(Tableau118[[#This Row],[Compte ILN]],"-",Tableau118[[#This Row],[Compte Shipper]],"-",Tableau118[[#This Row],[POL]])</f>
        <v>#N/A</v>
      </c>
      <c r="E140" s="396" t="e">
        <f ca="1">_xlfn.CONCAT(Tableau118[[#This Row],[POL]],"-",Tableau118[[#This Row],[Carrier]],"-",Tableau118[[#This Row],[POD]])</f>
        <v>#N/A</v>
      </c>
      <c r="F140" s="64" t="str">
        <f>_xlfn.CONCAT(Tableau118[[#This Row],[ID]],"-","Next")</f>
        <v>-Next</v>
      </c>
      <c r="G140" s="64" t="e">
        <f ca="1">_xlfn.CONCAT(Tableau118[[#This Row],[POD]],"-",Tableau118[[#This Row],[Code PFI]],"-",Tableau118[[#This Row],[Compte Site]])</f>
        <v>#N/A</v>
      </c>
      <c r="H14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0" s="397" t="str">
        <f ca="1">IF(COUNTIF(I:I,Tableau118[[#This Row],[Plant-ILN-shipper-POL-Carrier-POD-PFI]])=1,"Non","Oui")</f>
        <v>Oui</v>
      </c>
      <c r="K140" s="399" t="e">
        <f>VLOOKUP(Tableau118[[#This Row],[Name Site]],Plant_AILN!A:D,4,FALSE)</f>
        <v>#N/A</v>
      </c>
      <c r="L140" s="10"/>
      <c r="M140" s="480"/>
      <c r="N140" s="55"/>
      <c r="O140" s="114"/>
      <c r="P140" s="481"/>
      <c r="Q140" s="50"/>
      <c r="R140" s="50"/>
      <c r="S140" s="50"/>
      <c r="T140" s="50"/>
      <c r="U140" s="50"/>
      <c r="V140" s="50"/>
      <c r="W140" s="53"/>
      <c r="X140" s="283"/>
      <c r="Y140" s="482">
        <f>IFERROR(VLOOKUP(Tableau118[[#This Row],[Name Shipper]],Plant_AILN!L:M,2,FALSE),0)</f>
        <v>0</v>
      </c>
      <c r="Z140" s="358"/>
      <c r="AA140" s="353" t="e">
        <f ca="1">VLOOKUP(Tableau118[[#This Row],[Key(ID-Actif)]],'DATA BTO'!A:N,5,FALSE)</f>
        <v>#N/A</v>
      </c>
      <c r="AB140" s="3" t="e">
        <f ca="1">VLOOKUP(Tableau118[[#This Row],[Key(ID-Actif)]],'DATA BTO'!A:N,6,FALSE)</f>
        <v>#N/A</v>
      </c>
      <c r="AC140" s="50" t="e">
        <f ca="1">VLOOKUP(Tableau118[[#This Row],[Key(ID-Actif)]],'DATA BTO'!A:N,7,FALSE)</f>
        <v>#N/A</v>
      </c>
      <c r="AD140" s="50" t="e">
        <f ca="1">VLOOKUP(Tableau118[[#This Row],[Key(ID-Actif)]],'DATA BTO'!A:N,8,FALSE)</f>
        <v>#N/A</v>
      </c>
      <c r="AE140" s="50" t="e">
        <f ca="1">IF(Tableau118[[#This Row],[First Day to POL]]&lt;=Tableau118[[#This Row],[Day Cut Off]],Tableau118[[#This Row],[Day ETD]],Tableau118[[#This Row],[Day ETD]]+7)</f>
        <v>#N/A</v>
      </c>
      <c r="AF140" s="50" t="e">
        <f ca="1">VLOOKUP(Tableau118[[#This Row],[Key(ID-Actif)]],'DATA BTO'!A:N,9,FALSE)</f>
        <v>#N/A</v>
      </c>
      <c r="AG140" s="3" t="e">
        <f ca="1">VLOOKUP(Tableau118[[#This Row],[Key(ID-Actif)]],'DATA BTO'!A:N,10,FALSE)</f>
        <v>#N/A</v>
      </c>
      <c r="AH140" s="3" t="e">
        <f ca="1">VLOOKUP(Tableau118[[#This Row],[Key(ID-Actif)]],'DATA BTO'!A:N,11,FALSE)</f>
        <v>#N/A</v>
      </c>
      <c r="AI140" s="50" t="e">
        <f ca="1">VLOOKUP(Tableau118[[#This Row],[Key(ID-Actif)]],'DATA BTO'!A:N,12,FALSE)</f>
        <v>#N/A</v>
      </c>
      <c r="AJ140" s="53" t="e">
        <f ca="1">VLOOKUP(Tableau118[[#This Row],[Key(ID-Actif)]],'DATA BTO'!A:N,14,FALSE)</f>
        <v>#N/A</v>
      </c>
      <c r="AK140" s="54" t="e">
        <f ca="1">VLOOKUP(Tableau118[[#This Row],[Key(POD -PFI- Usine)]],'DATA Consignee'!A:F,6,FALSE)</f>
        <v>#N/A</v>
      </c>
      <c r="AL140" s="125"/>
      <c r="AM140" s="483" t="str">
        <f>IF(Tableau118[[#This Row],[Name PFI/CDD]]="","-",VLOOKUP(Tableau118[[#This Row],[Name PFI/CDD]],Plant_AILN!I:J,2,FALSE))</f>
        <v>-</v>
      </c>
      <c r="AN14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4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40" s="2" t="e">
        <f ca="1">VLOOKUP(Tableau118[[#This Row],[Key(POD -PFI- Usine)]],'DATA Consignee'!A:J,10,FALSE)</f>
        <v>#N/A</v>
      </c>
      <c r="AQ140" s="50" t="e">
        <f ca="1">VLOOKUP(Tableau118[[#This Row],[Key(POD -PFI- Usine)]],'DATA Consignee'!A:N,14,FALSE)</f>
        <v>#N/A</v>
      </c>
      <c r="AR14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0" s="50" t="e">
        <f ca="1">Tableau118[[#This Row],[Transit time]]+Tableau118[[#This Row],[Time for security]]+Tableau118[[#This Row],[Time for security2 buffer]]</f>
        <v>#N/A</v>
      </c>
      <c r="AU14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0" s="389" t="e">
        <f ca="1">Tableau118[[#This Row],[Leadtime SI2C]]+Tableau118[[#This Row],[First Receipt Days]]-Tableau118[[#This Row],[Day Customer Order]]+1</f>
        <v>#N/A</v>
      </c>
      <c r="AW140" s="117" t="e">
        <f ca="1">IF(Tableau118[[#This Row],[Name ILN]]&lt;&gt;"SFK Freight Forwarder",Tableau118[[#This Row],[Cust. Leadtime]],Tableau118[[#This Row],[Leadtime SI2C]])</f>
        <v>#N/A</v>
      </c>
      <c r="AX140" s="51" t="e">
        <f>VLOOKUP(Tableau118[[#This Row],[ID]],'DATA BTO'!B:P,15,FALSE)</f>
        <v>#N/A</v>
      </c>
      <c r="AY140" s="328" t="e">
        <f ca="1">IFERROR(VLOOKUP(Tableau118[[#This Row],[Key(ID-Actif)]],'DATA BTO'!A:N,4,FALSE),VLOOKUP(Tableau118[[#This Row],[ID]],'DATA BTO'!B:N,3,FALSE))</f>
        <v>#N/A</v>
      </c>
      <c r="AZ14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0" s="50"/>
    </row>
    <row r="141" spans="2:57">
      <c r="B141" s="65" t="str">
        <f>_xlfn.CONCAT(Tableau118[[#This Row],[Name ILN]],"-",Tableau118[[#This Row],[Name Shipper]],"-",Tableau118[[#This Row],[Name Site]])</f>
        <v>--</v>
      </c>
      <c r="C141" s="65" t="e">
        <f ca="1">_xlfn.CONCAT(Tableau118[[#This Row],[Compte ILN]],"-",Tableau118[[#This Row],[Compte Shipper]],"-",Tableau118[[#This Row],[POL]],"-",Tableau118[[#This Row],[Compte Site]])</f>
        <v>#N/A</v>
      </c>
      <c r="D141" s="64" t="e">
        <f ca="1">_xlfn.CONCAT(Tableau118[[#This Row],[Compte ILN]],"-",Tableau118[[#This Row],[Compte Shipper]],"-",Tableau118[[#This Row],[POL]])</f>
        <v>#N/A</v>
      </c>
      <c r="E141" s="396" t="e">
        <f ca="1">_xlfn.CONCAT(Tableau118[[#This Row],[POL]],"-",Tableau118[[#This Row],[Carrier]],"-",Tableau118[[#This Row],[POD]])</f>
        <v>#N/A</v>
      </c>
      <c r="F141" s="64" t="str">
        <f>_xlfn.CONCAT(Tableau118[[#This Row],[ID]],"-","Next")</f>
        <v>-Next</v>
      </c>
      <c r="G141" s="64" t="e">
        <f ca="1">_xlfn.CONCAT(Tableau118[[#This Row],[POD]],"-",Tableau118[[#This Row],[Code PFI]],"-",Tableau118[[#This Row],[Compte Site]])</f>
        <v>#N/A</v>
      </c>
      <c r="H14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1" s="397" t="str">
        <f ca="1">IF(COUNTIF(I:I,Tableau118[[#This Row],[Plant-ILN-shipper-POL-Carrier-POD-PFI]])=1,"Non","Oui")</f>
        <v>Oui</v>
      </c>
      <c r="K141" s="399" t="e">
        <f>VLOOKUP(Tableau118[[#This Row],[Name Site]],Plant_AILN!A:D,4,FALSE)</f>
        <v>#N/A</v>
      </c>
      <c r="L141" s="10"/>
      <c r="M141" s="480"/>
      <c r="N141" s="55"/>
      <c r="O141" s="114"/>
      <c r="P141" s="481"/>
      <c r="Q141" s="50"/>
      <c r="R141" s="50"/>
      <c r="S141" s="50"/>
      <c r="T141" s="50"/>
      <c r="U141" s="50"/>
      <c r="V141" s="50"/>
      <c r="W141" s="53"/>
      <c r="X141" s="283"/>
      <c r="Y141" s="482">
        <f>IFERROR(VLOOKUP(Tableau118[[#This Row],[Name Shipper]],Plant_AILN!L:M,2,FALSE),0)</f>
        <v>0</v>
      </c>
      <c r="Z141" s="358"/>
      <c r="AA141" s="353" t="e">
        <f ca="1">VLOOKUP(Tableau118[[#This Row],[Key(ID-Actif)]],'DATA BTO'!A:N,5,FALSE)</f>
        <v>#N/A</v>
      </c>
      <c r="AB141" s="3" t="e">
        <f ca="1">VLOOKUP(Tableau118[[#This Row],[Key(ID-Actif)]],'DATA BTO'!A:N,6,FALSE)</f>
        <v>#N/A</v>
      </c>
      <c r="AC141" s="50" t="e">
        <f ca="1">VLOOKUP(Tableau118[[#This Row],[Key(ID-Actif)]],'DATA BTO'!A:N,7,FALSE)</f>
        <v>#N/A</v>
      </c>
      <c r="AD141" s="50" t="e">
        <f ca="1">VLOOKUP(Tableau118[[#This Row],[Key(ID-Actif)]],'DATA BTO'!A:N,8,FALSE)</f>
        <v>#N/A</v>
      </c>
      <c r="AE141" s="50" t="e">
        <f ca="1">IF(Tableau118[[#This Row],[First Day to POL]]&lt;=Tableau118[[#This Row],[Day Cut Off]],Tableau118[[#This Row],[Day ETD]],Tableau118[[#This Row],[Day ETD]]+7)</f>
        <v>#N/A</v>
      </c>
      <c r="AF141" s="50" t="e">
        <f ca="1">VLOOKUP(Tableau118[[#This Row],[Key(ID-Actif)]],'DATA BTO'!A:N,9,FALSE)</f>
        <v>#N/A</v>
      </c>
      <c r="AG141" s="3" t="e">
        <f ca="1">VLOOKUP(Tableau118[[#This Row],[Key(ID-Actif)]],'DATA BTO'!A:N,10,FALSE)</f>
        <v>#N/A</v>
      </c>
      <c r="AH141" s="3" t="e">
        <f ca="1">VLOOKUP(Tableau118[[#This Row],[Key(ID-Actif)]],'DATA BTO'!A:N,11,FALSE)</f>
        <v>#N/A</v>
      </c>
      <c r="AI141" s="50" t="e">
        <f ca="1">VLOOKUP(Tableau118[[#This Row],[Key(ID-Actif)]],'DATA BTO'!A:N,12,FALSE)</f>
        <v>#N/A</v>
      </c>
      <c r="AJ141" s="53" t="e">
        <f ca="1">VLOOKUP(Tableau118[[#This Row],[Key(ID-Actif)]],'DATA BTO'!A:N,14,FALSE)</f>
        <v>#N/A</v>
      </c>
      <c r="AK141" s="54" t="e">
        <f ca="1">VLOOKUP(Tableau118[[#This Row],[Key(POD -PFI- Usine)]],'DATA Consignee'!A:F,6,FALSE)</f>
        <v>#N/A</v>
      </c>
      <c r="AL141" s="125" t="s">
        <v>161</v>
      </c>
      <c r="AM141" s="483">
        <f>IF(Tableau118[[#This Row],[Name PFI/CDD]]="","-",VLOOKUP(Tableau118[[#This Row],[Name PFI/CDD]],Plant_AILN!I:J,2,FALSE))</f>
        <v>91018400</v>
      </c>
      <c r="AN141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1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1" s="2" t="e">
        <f ca="1">VLOOKUP(Tableau118[[#This Row],[Key(POD -PFI- Usine)]],'DATA Consignee'!A:J,10,FALSE)</f>
        <v>#N/A</v>
      </c>
      <c r="AQ141" s="50" t="e">
        <f ca="1">VLOOKUP(Tableau118[[#This Row],[Key(POD -PFI- Usine)]],'DATA Consignee'!A:N,14,FALSE)</f>
        <v>#N/A</v>
      </c>
      <c r="AR14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1" s="50" t="e">
        <f ca="1">Tableau118[[#This Row],[Transit time]]+Tableau118[[#This Row],[Time for security]]+Tableau118[[#This Row],[Time for security2 buffer]]</f>
        <v>#N/A</v>
      </c>
      <c r="AU14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1" s="389" t="e">
        <f ca="1">Tableau118[[#This Row],[Leadtime SI2C]]+Tableau118[[#This Row],[First Receipt Days]]-Tableau118[[#This Row],[Day Customer Order]]+1</f>
        <v>#N/A</v>
      </c>
      <c r="AW141" s="117" t="e">
        <f ca="1">IF(Tableau118[[#This Row],[Name ILN]]&lt;&gt;"SFK Freight Forwarder",Tableau118[[#This Row],[Cust. Leadtime]],Tableau118[[#This Row],[Leadtime SI2C]])</f>
        <v>#N/A</v>
      </c>
      <c r="AX141" s="51" t="e">
        <f>VLOOKUP(Tableau118[[#This Row],[ID]],'DATA BTO'!B:P,15,FALSE)</f>
        <v>#N/A</v>
      </c>
      <c r="AY141" s="328" t="e">
        <f ca="1">IFERROR(VLOOKUP(Tableau118[[#This Row],[Key(ID-Actif)]],'DATA BTO'!A:N,4,FALSE),VLOOKUP(Tableau118[[#This Row],[ID]],'DATA BTO'!B:N,3,FALSE))</f>
        <v>#N/A</v>
      </c>
      <c r="AZ14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1" s="50"/>
    </row>
    <row r="142" spans="2:57">
      <c r="B142" s="65" t="str">
        <f>_xlfn.CONCAT(Tableau118[[#This Row],[Name ILN]],"-",Tableau118[[#This Row],[Name Shipper]],"-",Tableau118[[#This Row],[Name Site]])</f>
        <v>--</v>
      </c>
      <c r="C142" s="65" t="e">
        <f ca="1">_xlfn.CONCAT(Tableau118[[#This Row],[Compte ILN]],"-",Tableau118[[#This Row],[Compte Shipper]],"-",Tableau118[[#This Row],[POL]],"-",Tableau118[[#This Row],[Compte Site]])</f>
        <v>#N/A</v>
      </c>
      <c r="D142" s="64" t="e">
        <f ca="1">_xlfn.CONCAT(Tableau118[[#This Row],[Compte ILN]],"-",Tableau118[[#This Row],[Compte Shipper]],"-",Tableau118[[#This Row],[POL]])</f>
        <v>#N/A</v>
      </c>
      <c r="E142" s="396" t="e">
        <f ca="1">_xlfn.CONCAT(Tableau118[[#This Row],[POL]],"-",Tableau118[[#This Row],[Carrier]],"-",Tableau118[[#This Row],[POD]])</f>
        <v>#N/A</v>
      </c>
      <c r="F142" s="64" t="str">
        <f>_xlfn.CONCAT(Tableau118[[#This Row],[ID]],"-","Next")</f>
        <v>-Next</v>
      </c>
      <c r="G142" s="64" t="e">
        <f ca="1">_xlfn.CONCAT(Tableau118[[#This Row],[POD]],"-",Tableau118[[#This Row],[Code PFI]],"-",Tableau118[[#This Row],[Compte Site]])</f>
        <v>#N/A</v>
      </c>
      <c r="H14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2" s="397" t="str">
        <f ca="1">IF(COUNTIF(I:I,Tableau118[[#This Row],[Plant-ILN-shipper-POL-Carrier-POD-PFI]])=1,"Non","Oui")</f>
        <v>Oui</v>
      </c>
      <c r="K142" s="399" t="e">
        <f>VLOOKUP(Tableau118[[#This Row],[Name Site]],Plant_AILN!A:D,4,FALSE)</f>
        <v>#N/A</v>
      </c>
      <c r="L142" s="10"/>
      <c r="M142" s="480"/>
      <c r="N142" s="55"/>
      <c r="O142" s="114"/>
      <c r="P142" s="481"/>
      <c r="Q142" s="50"/>
      <c r="R142" s="50"/>
      <c r="S142" s="50"/>
      <c r="T142" s="50"/>
      <c r="U142" s="50"/>
      <c r="V142" s="50"/>
      <c r="W142" s="53"/>
      <c r="X142" s="283"/>
      <c r="Y142" s="482">
        <f>IFERROR(VLOOKUP(Tableau118[[#This Row],[Name Shipper]],Plant_AILN!L:M,2,FALSE),0)</f>
        <v>0</v>
      </c>
      <c r="Z142" s="358"/>
      <c r="AA142" s="353" t="e">
        <f ca="1">VLOOKUP(Tableau118[[#This Row],[Key(ID-Actif)]],'DATA BTO'!A:N,5,FALSE)</f>
        <v>#N/A</v>
      </c>
      <c r="AB142" s="3" t="e">
        <f ca="1">VLOOKUP(Tableau118[[#This Row],[Key(ID-Actif)]],'DATA BTO'!A:N,6,FALSE)</f>
        <v>#N/A</v>
      </c>
      <c r="AC142" s="50" t="e">
        <f ca="1">VLOOKUP(Tableau118[[#This Row],[Key(ID-Actif)]],'DATA BTO'!A:N,7,FALSE)</f>
        <v>#N/A</v>
      </c>
      <c r="AD142" s="50" t="e">
        <f ca="1">VLOOKUP(Tableau118[[#This Row],[Key(ID-Actif)]],'DATA BTO'!A:N,8,FALSE)</f>
        <v>#N/A</v>
      </c>
      <c r="AE142" s="50" t="e">
        <f ca="1">IF(Tableau118[[#This Row],[First Day to POL]]&lt;=Tableau118[[#This Row],[Day Cut Off]],Tableau118[[#This Row],[Day ETD]],Tableau118[[#This Row],[Day ETD]]+7)</f>
        <v>#N/A</v>
      </c>
      <c r="AF142" s="50" t="e">
        <f ca="1">VLOOKUP(Tableau118[[#This Row],[Key(ID-Actif)]],'DATA BTO'!A:N,9,FALSE)</f>
        <v>#N/A</v>
      </c>
      <c r="AG142" s="3" t="e">
        <f ca="1">VLOOKUP(Tableau118[[#This Row],[Key(ID-Actif)]],'DATA BTO'!A:N,10,FALSE)</f>
        <v>#N/A</v>
      </c>
      <c r="AH142" s="3" t="e">
        <f ca="1">VLOOKUP(Tableau118[[#This Row],[Key(ID-Actif)]],'DATA BTO'!A:N,11,FALSE)</f>
        <v>#N/A</v>
      </c>
      <c r="AI142" s="50" t="e">
        <f ca="1">VLOOKUP(Tableau118[[#This Row],[Key(ID-Actif)]],'DATA BTO'!A:N,12,FALSE)</f>
        <v>#N/A</v>
      </c>
      <c r="AJ142" s="53" t="e">
        <f ca="1">VLOOKUP(Tableau118[[#This Row],[Key(ID-Actif)]],'DATA BTO'!A:N,14,FALSE)</f>
        <v>#N/A</v>
      </c>
      <c r="AK142" s="54" t="e">
        <f ca="1">VLOOKUP(Tableau118[[#This Row],[Key(POD -PFI- Usine)]],'DATA Consignee'!A:F,6,FALSE)</f>
        <v>#N/A</v>
      </c>
      <c r="AL142" s="125" t="s">
        <v>218</v>
      </c>
      <c r="AM142" s="483">
        <f>IF(Tableau118[[#This Row],[Name PFI/CDD]]="","-",VLOOKUP(Tableau118[[#This Row],[Name PFI/CDD]],Plant_AILN!I:J,2,FALSE))</f>
        <v>2839004</v>
      </c>
      <c r="AN14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4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42" s="2" t="e">
        <f ca="1">VLOOKUP(Tableau118[[#This Row],[Key(POD -PFI- Usine)]],'DATA Consignee'!A:J,10,FALSE)</f>
        <v>#N/A</v>
      </c>
      <c r="AQ142" s="50" t="e">
        <f ca="1">VLOOKUP(Tableau118[[#This Row],[Key(POD -PFI- Usine)]],'DATA Consignee'!A:N,14,FALSE)</f>
        <v>#N/A</v>
      </c>
      <c r="AR14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2" s="50" t="e">
        <f ca="1">Tableau118[[#This Row],[Transit time]]+Tableau118[[#This Row],[Time for security]]+Tableau118[[#This Row],[Time for security2 buffer]]</f>
        <v>#N/A</v>
      </c>
      <c r="AU14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2" s="389" t="e">
        <f ca="1">Tableau118[[#This Row],[Leadtime SI2C]]+Tableau118[[#This Row],[First Receipt Days]]-Tableau118[[#This Row],[Day Customer Order]]+1</f>
        <v>#N/A</v>
      </c>
      <c r="AW142" s="117" t="e">
        <f ca="1">IF(Tableau118[[#This Row],[Name ILN]]&lt;&gt;"SFK Freight Forwarder",Tableau118[[#This Row],[Cust. Leadtime]],Tableau118[[#This Row],[Leadtime SI2C]])</f>
        <v>#N/A</v>
      </c>
      <c r="AX142" s="51" t="e">
        <f>VLOOKUP(Tableau118[[#This Row],[ID]],'DATA BTO'!B:P,15,FALSE)</f>
        <v>#N/A</v>
      </c>
      <c r="AY142" s="328" t="e">
        <f ca="1">IFERROR(VLOOKUP(Tableau118[[#This Row],[Key(ID-Actif)]],'DATA BTO'!A:N,4,FALSE),VLOOKUP(Tableau118[[#This Row],[ID]],'DATA BTO'!B:N,3,FALSE))</f>
        <v>#N/A</v>
      </c>
      <c r="AZ14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2" s="50"/>
    </row>
    <row r="143" spans="2:57">
      <c r="B143" s="65" t="str">
        <f>_xlfn.CONCAT(Tableau118[[#This Row],[Name ILN]],"-",Tableau118[[#This Row],[Name Shipper]],"-",Tableau118[[#This Row],[Name Site]])</f>
        <v>--</v>
      </c>
      <c r="C143" s="65" t="e">
        <f ca="1">_xlfn.CONCAT(Tableau118[[#This Row],[Compte ILN]],"-",Tableau118[[#This Row],[Compte Shipper]],"-",Tableau118[[#This Row],[POL]],"-",Tableau118[[#This Row],[Compte Site]])</f>
        <v>#N/A</v>
      </c>
      <c r="D143" s="64" t="e">
        <f ca="1">_xlfn.CONCAT(Tableau118[[#This Row],[Compte ILN]],"-",Tableau118[[#This Row],[Compte Shipper]],"-",Tableau118[[#This Row],[POL]])</f>
        <v>#N/A</v>
      </c>
      <c r="E143" s="396" t="e">
        <f ca="1">_xlfn.CONCAT(Tableau118[[#This Row],[POL]],"-",Tableau118[[#This Row],[Carrier]],"-",Tableau118[[#This Row],[POD]])</f>
        <v>#N/A</v>
      </c>
      <c r="F143" s="64" t="str">
        <f>_xlfn.CONCAT(Tableau118[[#This Row],[ID]],"-","Next")</f>
        <v>-Next</v>
      </c>
      <c r="G143" s="64" t="e">
        <f ca="1">_xlfn.CONCAT(Tableau118[[#This Row],[POD]],"-",Tableau118[[#This Row],[Code PFI]],"-",Tableau118[[#This Row],[Compte Site]])</f>
        <v>#N/A</v>
      </c>
      <c r="H14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3" s="397" t="str">
        <f ca="1">IF(COUNTIF(I:I,Tableau118[[#This Row],[Plant-ILN-shipper-POL-Carrier-POD-PFI]])=1,"Non","Oui")</f>
        <v>Oui</v>
      </c>
      <c r="K143" s="399" t="e">
        <f>VLOOKUP(Tableau118[[#This Row],[Name Site]],Plant_AILN!A:D,4,FALSE)</f>
        <v>#N/A</v>
      </c>
      <c r="L143" s="10"/>
      <c r="M143" s="480"/>
      <c r="N143" s="55"/>
      <c r="O143" s="114"/>
      <c r="P143" s="481"/>
      <c r="Q143" s="50"/>
      <c r="R143" s="50"/>
      <c r="S143" s="50"/>
      <c r="T143" s="50"/>
      <c r="U143" s="50"/>
      <c r="V143" s="50"/>
      <c r="W143" s="53"/>
      <c r="X143" s="283"/>
      <c r="Y143" s="482">
        <f>IFERROR(VLOOKUP(Tableau118[[#This Row],[Name Shipper]],Plant_AILN!L:M,2,FALSE),0)</f>
        <v>0</v>
      </c>
      <c r="Z143" s="358"/>
      <c r="AA143" s="353" t="e">
        <f ca="1">VLOOKUP(Tableau118[[#This Row],[Key(ID-Actif)]],'DATA BTO'!A:N,5,FALSE)</f>
        <v>#N/A</v>
      </c>
      <c r="AB143" s="3" t="e">
        <f ca="1">VLOOKUP(Tableau118[[#This Row],[Key(ID-Actif)]],'DATA BTO'!A:N,6,FALSE)</f>
        <v>#N/A</v>
      </c>
      <c r="AC143" s="50" t="e">
        <f ca="1">VLOOKUP(Tableau118[[#This Row],[Key(ID-Actif)]],'DATA BTO'!A:N,7,FALSE)</f>
        <v>#N/A</v>
      </c>
      <c r="AD143" s="50" t="e">
        <f ca="1">VLOOKUP(Tableau118[[#This Row],[Key(ID-Actif)]],'DATA BTO'!A:N,8,FALSE)</f>
        <v>#N/A</v>
      </c>
      <c r="AE143" s="50" t="e">
        <f ca="1">IF(Tableau118[[#This Row],[First Day to POL]]&lt;=Tableau118[[#This Row],[Day Cut Off]],Tableau118[[#This Row],[Day ETD]],Tableau118[[#This Row],[Day ETD]]+7)</f>
        <v>#N/A</v>
      </c>
      <c r="AF143" s="50" t="e">
        <f ca="1">VLOOKUP(Tableau118[[#This Row],[Key(ID-Actif)]],'DATA BTO'!A:N,9,FALSE)</f>
        <v>#N/A</v>
      </c>
      <c r="AG143" s="3" t="e">
        <f ca="1">VLOOKUP(Tableau118[[#This Row],[Key(ID-Actif)]],'DATA BTO'!A:N,10,FALSE)</f>
        <v>#N/A</v>
      </c>
      <c r="AH143" s="3" t="e">
        <f ca="1">VLOOKUP(Tableau118[[#This Row],[Key(ID-Actif)]],'DATA BTO'!A:N,11,FALSE)</f>
        <v>#N/A</v>
      </c>
      <c r="AI143" s="50" t="e">
        <f ca="1">VLOOKUP(Tableau118[[#This Row],[Key(ID-Actif)]],'DATA BTO'!A:N,12,FALSE)</f>
        <v>#N/A</v>
      </c>
      <c r="AJ143" s="53" t="e">
        <f ca="1">VLOOKUP(Tableau118[[#This Row],[Key(ID-Actif)]],'DATA BTO'!A:N,14,FALSE)</f>
        <v>#N/A</v>
      </c>
      <c r="AK143" s="54" t="e">
        <f ca="1">VLOOKUP(Tableau118[[#This Row],[Key(POD -PFI- Usine)]],'DATA Consignee'!A:F,6,FALSE)</f>
        <v>#N/A</v>
      </c>
      <c r="AL143" s="125" t="s">
        <v>161</v>
      </c>
      <c r="AM143" s="483">
        <f>IF(Tableau118[[#This Row],[Name PFI/CDD]]="","-",VLOOKUP(Tableau118[[#This Row],[Name PFI/CDD]],Plant_AILN!I:J,2,FALSE))</f>
        <v>91018400</v>
      </c>
      <c r="AN143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3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3" s="2" t="e">
        <f ca="1">VLOOKUP(Tableau118[[#This Row],[Key(POD -PFI- Usine)]],'DATA Consignee'!A:J,10,FALSE)</f>
        <v>#N/A</v>
      </c>
      <c r="AQ143" s="50" t="e">
        <f ca="1">VLOOKUP(Tableau118[[#This Row],[Key(POD -PFI- Usine)]],'DATA Consignee'!A:N,14,FALSE)</f>
        <v>#N/A</v>
      </c>
      <c r="AR14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3" s="50" t="e">
        <f ca="1">Tableau118[[#This Row],[Transit time]]+Tableau118[[#This Row],[Time for security]]+Tableau118[[#This Row],[Time for security2 buffer]]</f>
        <v>#N/A</v>
      </c>
      <c r="AU14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3" s="389" t="e">
        <f ca="1">Tableau118[[#This Row],[Leadtime SI2C]]+Tableau118[[#This Row],[First Receipt Days]]-Tableau118[[#This Row],[Day Customer Order]]+1</f>
        <v>#N/A</v>
      </c>
      <c r="AW143" s="117" t="e">
        <f ca="1">IF(Tableau118[[#This Row],[Name ILN]]&lt;&gt;"SFK Freight Forwarder",Tableau118[[#This Row],[Cust. Leadtime]],Tableau118[[#This Row],[Leadtime SI2C]])</f>
        <v>#N/A</v>
      </c>
      <c r="AX143" s="51" t="e">
        <f>VLOOKUP(Tableau118[[#This Row],[ID]],'DATA BTO'!B:P,15,FALSE)</f>
        <v>#N/A</v>
      </c>
      <c r="AY143" s="328" t="e">
        <f ca="1">IFERROR(VLOOKUP(Tableau118[[#This Row],[Key(ID-Actif)]],'DATA BTO'!A:N,4,FALSE),VLOOKUP(Tableau118[[#This Row],[ID]],'DATA BTO'!B:N,3,FALSE))</f>
        <v>#N/A</v>
      </c>
      <c r="AZ14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3" s="50"/>
    </row>
    <row r="144" spans="2:57">
      <c r="B144" s="65" t="str">
        <f>_xlfn.CONCAT(Tableau118[[#This Row],[Name ILN]],"-",Tableau118[[#This Row],[Name Shipper]],"-",Tableau118[[#This Row],[Name Site]])</f>
        <v>--</v>
      </c>
      <c r="C144" s="65" t="e">
        <f ca="1">_xlfn.CONCAT(Tableau118[[#This Row],[Compte ILN]],"-",Tableau118[[#This Row],[Compte Shipper]],"-",Tableau118[[#This Row],[POL]],"-",Tableau118[[#This Row],[Compte Site]])</f>
        <v>#N/A</v>
      </c>
      <c r="D144" s="64" t="e">
        <f ca="1">_xlfn.CONCAT(Tableau118[[#This Row],[Compte ILN]],"-",Tableau118[[#This Row],[Compte Shipper]],"-",Tableau118[[#This Row],[POL]])</f>
        <v>#N/A</v>
      </c>
      <c r="E144" s="396" t="e">
        <f ca="1">_xlfn.CONCAT(Tableau118[[#This Row],[POL]],"-",Tableau118[[#This Row],[Carrier]],"-",Tableau118[[#This Row],[POD]])</f>
        <v>#N/A</v>
      </c>
      <c r="F144" s="64" t="str">
        <f>_xlfn.CONCAT(Tableau118[[#This Row],[ID]],"-","Next")</f>
        <v>-Next</v>
      </c>
      <c r="G144" s="64" t="e">
        <f ca="1">_xlfn.CONCAT(Tableau118[[#This Row],[POD]],"-",Tableau118[[#This Row],[Code PFI]],"-",Tableau118[[#This Row],[Compte Site]])</f>
        <v>#N/A</v>
      </c>
      <c r="H14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4" s="397" t="str">
        <f ca="1">IF(COUNTIF(I:I,Tableau118[[#This Row],[Plant-ILN-shipper-POL-Carrier-POD-PFI]])=1,"Non","Oui")</f>
        <v>Oui</v>
      </c>
      <c r="K144" s="399" t="e">
        <f>VLOOKUP(Tableau118[[#This Row],[Name Site]],Plant_AILN!A:D,4,FALSE)</f>
        <v>#N/A</v>
      </c>
      <c r="L144" s="10"/>
      <c r="M144" s="480"/>
      <c r="N144" s="55"/>
      <c r="O144" s="114"/>
      <c r="P144" s="481"/>
      <c r="Q144" s="50"/>
      <c r="R144" s="50"/>
      <c r="S144" s="50"/>
      <c r="T144" s="50"/>
      <c r="U144" s="50"/>
      <c r="V144" s="50"/>
      <c r="W144" s="53"/>
      <c r="X144" s="283"/>
      <c r="Y144" s="482">
        <f>IFERROR(VLOOKUP(Tableau118[[#This Row],[Name Shipper]],Plant_AILN!L:M,2,FALSE),0)</f>
        <v>0</v>
      </c>
      <c r="Z144" s="358"/>
      <c r="AA144" s="353" t="e">
        <f ca="1">VLOOKUP(Tableau118[[#This Row],[Key(ID-Actif)]],'DATA BTO'!A:N,5,FALSE)</f>
        <v>#N/A</v>
      </c>
      <c r="AB144" s="3" t="e">
        <f ca="1">VLOOKUP(Tableau118[[#This Row],[Key(ID-Actif)]],'DATA BTO'!A:N,6,FALSE)</f>
        <v>#N/A</v>
      </c>
      <c r="AC144" s="50" t="e">
        <f ca="1">VLOOKUP(Tableau118[[#This Row],[Key(ID-Actif)]],'DATA BTO'!A:N,7,FALSE)</f>
        <v>#N/A</v>
      </c>
      <c r="AD144" s="50" t="e">
        <f ca="1">VLOOKUP(Tableau118[[#This Row],[Key(ID-Actif)]],'DATA BTO'!A:N,8,FALSE)</f>
        <v>#N/A</v>
      </c>
      <c r="AE144" s="50" t="e">
        <f ca="1">IF(Tableau118[[#This Row],[First Day to POL]]&lt;=Tableau118[[#This Row],[Day Cut Off]],Tableau118[[#This Row],[Day ETD]],Tableau118[[#This Row],[Day ETD]]+7)</f>
        <v>#N/A</v>
      </c>
      <c r="AF144" s="50" t="e">
        <f ca="1">VLOOKUP(Tableau118[[#This Row],[Key(ID-Actif)]],'DATA BTO'!A:N,9,FALSE)</f>
        <v>#N/A</v>
      </c>
      <c r="AG144" s="3" t="e">
        <f ca="1">VLOOKUP(Tableau118[[#This Row],[Key(ID-Actif)]],'DATA BTO'!A:N,10,FALSE)</f>
        <v>#N/A</v>
      </c>
      <c r="AH144" s="3" t="e">
        <f ca="1">VLOOKUP(Tableau118[[#This Row],[Key(ID-Actif)]],'DATA BTO'!A:N,11,FALSE)</f>
        <v>#N/A</v>
      </c>
      <c r="AI144" s="50" t="e">
        <f ca="1">VLOOKUP(Tableau118[[#This Row],[Key(ID-Actif)]],'DATA BTO'!A:N,12,FALSE)</f>
        <v>#N/A</v>
      </c>
      <c r="AJ144" s="53" t="e">
        <f ca="1">VLOOKUP(Tableau118[[#This Row],[Key(ID-Actif)]],'DATA BTO'!A:N,14,FALSE)</f>
        <v>#N/A</v>
      </c>
      <c r="AK144" s="54" t="e">
        <f ca="1">VLOOKUP(Tableau118[[#This Row],[Key(POD -PFI- Usine)]],'DATA Consignee'!A:F,6,FALSE)</f>
        <v>#N/A</v>
      </c>
      <c r="AL144" s="125" t="s">
        <v>161</v>
      </c>
      <c r="AM144" s="483">
        <f>IF(Tableau118[[#This Row],[Name PFI/CDD]]="","-",VLOOKUP(Tableau118[[#This Row],[Name PFI/CDD]],Plant_AILN!I:J,2,FALSE))</f>
        <v>91018400</v>
      </c>
      <c r="AN144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4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4" s="2" t="e">
        <f ca="1">VLOOKUP(Tableau118[[#This Row],[Key(POD -PFI- Usine)]],'DATA Consignee'!A:J,10,FALSE)</f>
        <v>#N/A</v>
      </c>
      <c r="AQ144" s="50" t="e">
        <f ca="1">VLOOKUP(Tableau118[[#This Row],[Key(POD -PFI- Usine)]],'DATA Consignee'!A:N,14,FALSE)</f>
        <v>#N/A</v>
      </c>
      <c r="AR14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4" s="50" t="e">
        <f ca="1">Tableau118[[#This Row],[Transit time]]+Tableau118[[#This Row],[Time for security]]+Tableau118[[#This Row],[Time for security2 buffer]]</f>
        <v>#N/A</v>
      </c>
      <c r="AU14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4" s="389" t="e">
        <f ca="1">Tableau118[[#This Row],[Leadtime SI2C]]+Tableau118[[#This Row],[First Receipt Days]]-Tableau118[[#This Row],[Day Customer Order]]+1</f>
        <v>#N/A</v>
      </c>
      <c r="AW144" s="117" t="e">
        <f ca="1">IF(Tableau118[[#This Row],[Name ILN]]&lt;&gt;"SFK Freight Forwarder",Tableau118[[#This Row],[Cust. Leadtime]],Tableau118[[#This Row],[Leadtime SI2C]])</f>
        <v>#N/A</v>
      </c>
      <c r="AX144" s="51" t="e">
        <f>VLOOKUP(Tableau118[[#This Row],[ID]],'DATA BTO'!B:P,15,FALSE)</f>
        <v>#N/A</v>
      </c>
      <c r="AY144" s="328" t="e">
        <f ca="1">IFERROR(VLOOKUP(Tableau118[[#This Row],[Key(ID-Actif)]],'DATA BTO'!A:N,4,FALSE),VLOOKUP(Tableau118[[#This Row],[ID]],'DATA BTO'!B:N,3,FALSE))</f>
        <v>#N/A</v>
      </c>
      <c r="AZ14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4" s="50"/>
    </row>
    <row r="145" spans="2:57">
      <c r="B145" s="65" t="str">
        <f>_xlfn.CONCAT(Tableau118[[#This Row],[Name ILN]],"-",Tableau118[[#This Row],[Name Shipper]],"-",Tableau118[[#This Row],[Name Site]])</f>
        <v>--</v>
      </c>
      <c r="C145" s="65" t="e">
        <f ca="1">_xlfn.CONCAT(Tableau118[[#This Row],[Compte ILN]],"-",Tableau118[[#This Row],[Compte Shipper]],"-",Tableau118[[#This Row],[POL]],"-",Tableau118[[#This Row],[Compte Site]])</f>
        <v>#N/A</v>
      </c>
      <c r="D145" s="64" t="e">
        <f ca="1">_xlfn.CONCAT(Tableau118[[#This Row],[Compte ILN]],"-",Tableau118[[#This Row],[Compte Shipper]],"-",Tableau118[[#This Row],[POL]])</f>
        <v>#N/A</v>
      </c>
      <c r="E145" s="396" t="e">
        <f ca="1">_xlfn.CONCAT(Tableau118[[#This Row],[POL]],"-",Tableau118[[#This Row],[Carrier]],"-",Tableau118[[#This Row],[POD]])</f>
        <v>#N/A</v>
      </c>
      <c r="F145" s="64" t="str">
        <f>_xlfn.CONCAT(Tableau118[[#This Row],[ID]],"-","Next")</f>
        <v>-Next</v>
      </c>
      <c r="G145" s="64" t="e">
        <f ca="1">_xlfn.CONCAT(Tableau118[[#This Row],[POD]],"-",Tableau118[[#This Row],[Code PFI]],"-",Tableau118[[#This Row],[Compte Site]])</f>
        <v>#N/A</v>
      </c>
      <c r="H14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5" s="397" t="str">
        <f ca="1">IF(COUNTIF(I:I,Tableau118[[#This Row],[Plant-ILN-shipper-POL-Carrier-POD-PFI]])=1,"Non","Oui")</f>
        <v>Oui</v>
      </c>
      <c r="K145" s="399" t="e">
        <f>VLOOKUP(Tableau118[[#This Row],[Name Site]],Plant_AILN!A:D,4,FALSE)</f>
        <v>#N/A</v>
      </c>
      <c r="L145" s="10"/>
      <c r="M145" s="480"/>
      <c r="N145" s="55"/>
      <c r="O145" s="114"/>
      <c r="P145" s="481"/>
      <c r="Q145" s="50"/>
      <c r="R145" s="50"/>
      <c r="S145" s="50"/>
      <c r="T145" s="50"/>
      <c r="U145" s="50"/>
      <c r="V145" s="50"/>
      <c r="W145" s="53"/>
      <c r="X145" s="283"/>
      <c r="Y145" s="482">
        <f>IFERROR(VLOOKUP(Tableau118[[#This Row],[Name Shipper]],Plant_AILN!L:M,2,FALSE),0)</f>
        <v>0</v>
      </c>
      <c r="Z145" s="358"/>
      <c r="AA145" s="353" t="e">
        <f ca="1">VLOOKUP(Tableau118[[#This Row],[Key(ID-Actif)]],'DATA BTO'!A:N,5,FALSE)</f>
        <v>#N/A</v>
      </c>
      <c r="AB145" s="3" t="e">
        <f ca="1">VLOOKUP(Tableau118[[#This Row],[Key(ID-Actif)]],'DATA BTO'!A:N,6,FALSE)</f>
        <v>#N/A</v>
      </c>
      <c r="AC145" s="50" t="e">
        <f ca="1">VLOOKUP(Tableau118[[#This Row],[Key(ID-Actif)]],'DATA BTO'!A:N,7,FALSE)</f>
        <v>#N/A</v>
      </c>
      <c r="AD145" s="50" t="e">
        <f ca="1">VLOOKUP(Tableau118[[#This Row],[Key(ID-Actif)]],'DATA BTO'!A:N,8,FALSE)</f>
        <v>#N/A</v>
      </c>
      <c r="AE145" s="50" t="e">
        <f ca="1">IF(Tableau118[[#This Row],[First Day to POL]]&lt;=Tableau118[[#This Row],[Day Cut Off]],Tableau118[[#This Row],[Day ETD]],Tableau118[[#This Row],[Day ETD]]+7)</f>
        <v>#N/A</v>
      </c>
      <c r="AF145" s="50" t="e">
        <f ca="1">VLOOKUP(Tableau118[[#This Row],[Key(ID-Actif)]],'DATA BTO'!A:N,9,FALSE)</f>
        <v>#N/A</v>
      </c>
      <c r="AG145" s="3" t="e">
        <f ca="1">VLOOKUP(Tableau118[[#This Row],[Key(ID-Actif)]],'DATA BTO'!A:N,10,FALSE)</f>
        <v>#N/A</v>
      </c>
      <c r="AH145" s="3" t="e">
        <f ca="1">VLOOKUP(Tableau118[[#This Row],[Key(ID-Actif)]],'DATA BTO'!A:N,11,FALSE)</f>
        <v>#N/A</v>
      </c>
      <c r="AI145" s="50" t="e">
        <f ca="1">VLOOKUP(Tableau118[[#This Row],[Key(ID-Actif)]],'DATA BTO'!A:N,12,FALSE)</f>
        <v>#N/A</v>
      </c>
      <c r="AJ145" s="53" t="e">
        <f ca="1">VLOOKUP(Tableau118[[#This Row],[Key(ID-Actif)]],'DATA BTO'!A:N,14,FALSE)</f>
        <v>#N/A</v>
      </c>
      <c r="AK145" s="54" t="e">
        <f ca="1">VLOOKUP(Tableau118[[#This Row],[Key(POD -PFI- Usine)]],'DATA Consignee'!A:F,6,FALSE)</f>
        <v>#N/A</v>
      </c>
      <c r="AL145" s="125" t="s">
        <v>161</v>
      </c>
      <c r="AM145" s="483">
        <f>IF(Tableau118[[#This Row],[Name PFI/CDD]]="","-",VLOOKUP(Tableau118[[#This Row],[Name PFI/CDD]],Plant_AILN!I:J,2,FALSE))</f>
        <v>91018400</v>
      </c>
      <c r="AN145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5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5" s="2" t="e">
        <f ca="1">VLOOKUP(Tableau118[[#This Row],[Key(POD -PFI- Usine)]],'DATA Consignee'!A:J,10,FALSE)</f>
        <v>#N/A</v>
      </c>
      <c r="AQ145" s="50" t="e">
        <f ca="1">VLOOKUP(Tableau118[[#This Row],[Key(POD -PFI- Usine)]],'DATA Consignee'!A:N,14,FALSE)</f>
        <v>#N/A</v>
      </c>
      <c r="AR14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5" s="50" t="e">
        <f ca="1">Tableau118[[#This Row],[Transit time]]+Tableau118[[#This Row],[Time for security]]+Tableau118[[#This Row],[Time for security2 buffer]]</f>
        <v>#N/A</v>
      </c>
      <c r="AU14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5" s="389" t="e">
        <f ca="1">Tableau118[[#This Row],[Leadtime SI2C]]+Tableau118[[#This Row],[First Receipt Days]]-Tableau118[[#This Row],[Day Customer Order]]+1</f>
        <v>#N/A</v>
      </c>
      <c r="AW145" s="117" t="e">
        <f ca="1">IF(Tableau118[[#This Row],[Name ILN]]&lt;&gt;"SFK Freight Forwarder",Tableau118[[#This Row],[Cust. Leadtime]],Tableau118[[#This Row],[Leadtime SI2C]])</f>
        <v>#N/A</v>
      </c>
      <c r="AX145" s="51" t="e">
        <f>VLOOKUP(Tableau118[[#This Row],[ID]],'DATA BTO'!B:P,15,FALSE)</f>
        <v>#N/A</v>
      </c>
      <c r="AY145" s="328" t="e">
        <f ca="1">IFERROR(VLOOKUP(Tableau118[[#This Row],[Key(ID-Actif)]],'DATA BTO'!A:N,4,FALSE),VLOOKUP(Tableau118[[#This Row],[ID]],'DATA BTO'!B:N,3,FALSE))</f>
        <v>#N/A</v>
      </c>
      <c r="AZ14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5" s="50"/>
    </row>
    <row r="146" spans="2:57">
      <c r="B146" s="65" t="str">
        <f>_xlfn.CONCAT(Tableau118[[#This Row],[Name ILN]],"-",Tableau118[[#This Row],[Name Shipper]],"-",Tableau118[[#This Row],[Name Site]])</f>
        <v>--</v>
      </c>
      <c r="C146" s="65" t="e">
        <f ca="1">_xlfn.CONCAT(Tableau118[[#This Row],[Compte ILN]],"-",Tableau118[[#This Row],[Compte Shipper]],"-",Tableau118[[#This Row],[POL]],"-",Tableau118[[#This Row],[Compte Site]])</f>
        <v>#N/A</v>
      </c>
      <c r="D146" s="64" t="e">
        <f ca="1">_xlfn.CONCAT(Tableau118[[#This Row],[Compte ILN]],"-",Tableau118[[#This Row],[Compte Shipper]],"-",Tableau118[[#This Row],[POL]])</f>
        <v>#N/A</v>
      </c>
      <c r="E146" s="396" t="e">
        <f ca="1">_xlfn.CONCAT(Tableau118[[#This Row],[POL]],"-",Tableau118[[#This Row],[Carrier]],"-",Tableau118[[#This Row],[POD]])</f>
        <v>#N/A</v>
      </c>
      <c r="F146" s="64" t="str">
        <f>_xlfn.CONCAT(Tableau118[[#This Row],[ID]],"-","Next")</f>
        <v>-Next</v>
      </c>
      <c r="G146" s="64" t="e">
        <f ca="1">_xlfn.CONCAT(Tableau118[[#This Row],[POD]],"-",Tableau118[[#This Row],[Code PFI]],"-",Tableau118[[#This Row],[Compte Site]])</f>
        <v>#N/A</v>
      </c>
      <c r="H14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6" s="397" t="str">
        <f ca="1">IF(COUNTIF(I:I,Tableau118[[#This Row],[Plant-ILN-shipper-POL-Carrier-POD-PFI]])=1,"Non","Oui")</f>
        <v>Oui</v>
      </c>
      <c r="K146" s="399" t="e">
        <f>VLOOKUP(Tableau118[[#This Row],[Name Site]],Plant_AILN!A:D,4,FALSE)</f>
        <v>#N/A</v>
      </c>
      <c r="L146" s="10"/>
      <c r="M146" s="480"/>
      <c r="N146" s="55"/>
      <c r="O146" s="114"/>
      <c r="P146" s="481"/>
      <c r="Q146" s="50"/>
      <c r="R146" s="50"/>
      <c r="S146" s="50"/>
      <c r="T146" s="50"/>
      <c r="U146" s="50"/>
      <c r="V146" s="50"/>
      <c r="W146" s="53"/>
      <c r="X146" s="283"/>
      <c r="Y146" s="482">
        <f>IFERROR(VLOOKUP(Tableau118[[#This Row],[Name Shipper]],Plant_AILN!L:M,2,FALSE),0)</f>
        <v>0</v>
      </c>
      <c r="Z146" s="358"/>
      <c r="AA146" s="353" t="e">
        <f ca="1">VLOOKUP(Tableau118[[#This Row],[Key(ID-Actif)]],'DATA BTO'!A:N,5,FALSE)</f>
        <v>#N/A</v>
      </c>
      <c r="AB146" s="3" t="e">
        <f ca="1">VLOOKUP(Tableau118[[#This Row],[Key(ID-Actif)]],'DATA BTO'!A:N,6,FALSE)</f>
        <v>#N/A</v>
      </c>
      <c r="AC146" s="50" t="e">
        <f ca="1">VLOOKUP(Tableau118[[#This Row],[Key(ID-Actif)]],'DATA BTO'!A:N,7,FALSE)</f>
        <v>#N/A</v>
      </c>
      <c r="AD146" s="50" t="e">
        <f ca="1">VLOOKUP(Tableau118[[#This Row],[Key(ID-Actif)]],'DATA BTO'!A:N,8,FALSE)</f>
        <v>#N/A</v>
      </c>
      <c r="AE146" s="50" t="e">
        <f ca="1">IF(Tableau118[[#This Row],[First Day to POL]]&lt;=Tableau118[[#This Row],[Day Cut Off]],Tableau118[[#This Row],[Day ETD]],Tableau118[[#This Row],[Day ETD]]+7)</f>
        <v>#N/A</v>
      </c>
      <c r="AF146" s="50" t="e">
        <f ca="1">VLOOKUP(Tableau118[[#This Row],[Key(ID-Actif)]],'DATA BTO'!A:N,9,FALSE)</f>
        <v>#N/A</v>
      </c>
      <c r="AG146" s="3" t="e">
        <f ca="1">VLOOKUP(Tableau118[[#This Row],[Key(ID-Actif)]],'DATA BTO'!A:N,10,FALSE)</f>
        <v>#N/A</v>
      </c>
      <c r="AH146" s="3" t="e">
        <f ca="1">VLOOKUP(Tableau118[[#This Row],[Key(ID-Actif)]],'DATA BTO'!A:N,11,FALSE)</f>
        <v>#N/A</v>
      </c>
      <c r="AI146" s="50" t="e">
        <f ca="1">VLOOKUP(Tableau118[[#This Row],[Key(ID-Actif)]],'DATA BTO'!A:N,12,FALSE)</f>
        <v>#N/A</v>
      </c>
      <c r="AJ146" s="53" t="e">
        <f ca="1">VLOOKUP(Tableau118[[#This Row],[Key(ID-Actif)]],'DATA BTO'!A:N,14,FALSE)</f>
        <v>#N/A</v>
      </c>
      <c r="AK146" s="54" t="e">
        <f ca="1">VLOOKUP(Tableau118[[#This Row],[Key(POD -PFI- Usine)]],'DATA Consignee'!A:F,6,FALSE)</f>
        <v>#N/A</v>
      </c>
      <c r="AL146" s="125" t="s">
        <v>161</v>
      </c>
      <c r="AM146" s="483">
        <f>IF(Tableau118[[#This Row],[Name PFI/CDD]]="","-",VLOOKUP(Tableau118[[#This Row],[Name PFI/CDD]],Plant_AILN!I:J,2,FALSE))</f>
        <v>91018400</v>
      </c>
      <c r="AN146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6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6" s="2" t="e">
        <f ca="1">VLOOKUP(Tableau118[[#This Row],[Key(POD -PFI- Usine)]],'DATA Consignee'!A:J,10,FALSE)</f>
        <v>#N/A</v>
      </c>
      <c r="AQ146" s="50" t="e">
        <f ca="1">VLOOKUP(Tableau118[[#This Row],[Key(POD -PFI- Usine)]],'DATA Consignee'!A:N,14,FALSE)</f>
        <v>#N/A</v>
      </c>
      <c r="AR14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6" s="50" t="e">
        <f ca="1">Tableau118[[#This Row],[Transit time]]+Tableau118[[#This Row],[Time for security]]+Tableau118[[#This Row],[Time for security2 buffer]]</f>
        <v>#N/A</v>
      </c>
      <c r="AU14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6" s="389" t="e">
        <f ca="1">Tableau118[[#This Row],[Leadtime SI2C]]+Tableau118[[#This Row],[First Receipt Days]]-Tableau118[[#This Row],[Day Customer Order]]+1</f>
        <v>#N/A</v>
      </c>
      <c r="AW146" s="117" t="e">
        <f ca="1">IF(Tableau118[[#This Row],[Name ILN]]&lt;&gt;"SFK Freight Forwarder",Tableau118[[#This Row],[Cust. Leadtime]],Tableau118[[#This Row],[Leadtime SI2C]])</f>
        <v>#N/A</v>
      </c>
      <c r="AX146" s="51" t="e">
        <f>VLOOKUP(Tableau118[[#This Row],[ID]],'DATA BTO'!B:P,15,FALSE)</f>
        <v>#N/A</v>
      </c>
      <c r="AY146" s="328" t="e">
        <f ca="1">IFERROR(VLOOKUP(Tableau118[[#This Row],[Key(ID-Actif)]],'DATA BTO'!A:N,4,FALSE),VLOOKUP(Tableau118[[#This Row],[ID]],'DATA BTO'!B:N,3,FALSE))</f>
        <v>#N/A</v>
      </c>
      <c r="AZ14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6" s="50"/>
    </row>
    <row r="147" spans="2:57">
      <c r="B147" s="65" t="str">
        <f>_xlfn.CONCAT(Tableau118[[#This Row],[Name ILN]],"-",Tableau118[[#This Row],[Name Shipper]],"-",Tableau118[[#This Row],[Name Site]])</f>
        <v>--</v>
      </c>
      <c r="C147" s="65" t="e">
        <f ca="1">_xlfn.CONCAT(Tableau118[[#This Row],[Compte ILN]],"-",Tableau118[[#This Row],[Compte Shipper]],"-",Tableau118[[#This Row],[POL]],"-",Tableau118[[#This Row],[Compte Site]])</f>
        <v>#N/A</v>
      </c>
      <c r="D147" s="64" t="e">
        <f ca="1">_xlfn.CONCAT(Tableau118[[#This Row],[Compte ILN]],"-",Tableau118[[#This Row],[Compte Shipper]],"-",Tableau118[[#This Row],[POL]])</f>
        <v>#N/A</v>
      </c>
      <c r="E147" s="396" t="e">
        <f ca="1">_xlfn.CONCAT(Tableau118[[#This Row],[POL]],"-",Tableau118[[#This Row],[Carrier]],"-",Tableau118[[#This Row],[POD]])</f>
        <v>#N/A</v>
      </c>
      <c r="F147" s="64" t="str">
        <f>_xlfn.CONCAT(Tableau118[[#This Row],[ID]],"-","Next")</f>
        <v>-Next</v>
      </c>
      <c r="G147" s="64" t="e">
        <f ca="1">_xlfn.CONCAT(Tableau118[[#This Row],[POD]],"-",Tableau118[[#This Row],[Code PFI]],"-",Tableau118[[#This Row],[Compte Site]])</f>
        <v>#N/A</v>
      </c>
      <c r="H14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7" s="397" t="str">
        <f ca="1">IF(COUNTIF(I:I,Tableau118[[#This Row],[Plant-ILN-shipper-POL-Carrier-POD-PFI]])=1,"Non","Oui")</f>
        <v>Oui</v>
      </c>
      <c r="K147" s="399" t="e">
        <f>VLOOKUP(Tableau118[[#This Row],[Name Site]],Plant_AILN!A:D,4,FALSE)</f>
        <v>#N/A</v>
      </c>
      <c r="L147" s="10"/>
      <c r="M147" s="480"/>
      <c r="N147" s="55"/>
      <c r="O147" s="114"/>
      <c r="P147" s="481"/>
      <c r="Q147" s="50"/>
      <c r="R147" s="50"/>
      <c r="S147" s="50"/>
      <c r="T147" s="50"/>
      <c r="U147" s="50"/>
      <c r="V147" s="50"/>
      <c r="W147" s="53"/>
      <c r="X147" s="283"/>
      <c r="Y147" s="482">
        <f>IFERROR(VLOOKUP(Tableau118[[#This Row],[Name Shipper]],Plant_AILN!L:M,2,FALSE),0)</f>
        <v>0</v>
      </c>
      <c r="Z147" s="358"/>
      <c r="AA147" s="353" t="e">
        <f ca="1">VLOOKUP(Tableau118[[#This Row],[Key(ID-Actif)]],'DATA BTO'!A:N,5,FALSE)</f>
        <v>#N/A</v>
      </c>
      <c r="AB147" s="3" t="e">
        <f ca="1">VLOOKUP(Tableau118[[#This Row],[Key(ID-Actif)]],'DATA BTO'!A:N,6,FALSE)</f>
        <v>#N/A</v>
      </c>
      <c r="AC147" s="50" t="e">
        <f ca="1">VLOOKUP(Tableau118[[#This Row],[Key(ID-Actif)]],'DATA BTO'!A:N,7,FALSE)</f>
        <v>#N/A</v>
      </c>
      <c r="AD147" s="50" t="e">
        <f ca="1">VLOOKUP(Tableau118[[#This Row],[Key(ID-Actif)]],'DATA BTO'!A:N,8,FALSE)</f>
        <v>#N/A</v>
      </c>
      <c r="AE147" s="50" t="e">
        <f ca="1">IF(Tableau118[[#This Row],[First Day to POL]]&lt;=Tableau118[[#This Row],[Day Cut Off]],Tableau118[[#This Row],[Day ETD]],Tableau118[[#This Row],[Day ETD]]+7)</f>
        <v>#N/A</v>
      </c>
      <c r="AF147" s="50" t="e">
        <f ca="1">VLOOKUP(Tableau118[[#This Row],[Key(ID-Actif)]],'DATA BTO'!A:N,9,FALSE)</f>
        <v>#N/A</v>
      </c>
      <c r="AG147" s="3" t="e">
        <f ca="1">VLOOKUP(Tableau118[[#This Row],[Key(ID-Actif)]],'DATA BTO'!A:N,10,FALSE)</f>
        <v>#N/A</v>
      </c>
      <c r="AH147" s="3" t="e">
        <f ca="1">VLOOKUP(Tableau118[[#This Row],[Key(ID-Actif)]],'DATA BTO'!A:N,11,FALSE)</f>
        <v>#N/A</v>
      </c>
      <c r="AI147" s="50" t="e">
        <f ca="1">VLOOKUP(Tableau118[[#This Row],[Key(ID-Actif)]],'DATA BTO'!A:N,12,FALSE)</f>
        <v>#N/A</v>
      </c>
      <c r="AJ147" s="53" t="e">
        <f ca="1">VLOOKUP(Tableau118[[#This Row],[Key(ID-Actif)]],'DATA BTO'!A:N,14,FALSE)</f>
        <v>#N/A</v>
      </c>
      <c r="AK147" s="54" t="e">
        <f ca="1">VLOOKUP(Tableau118[[#This Row],[Key(POD -PFI- Usine)]],'DATA Consignee'!A:F,6,FALSE)</f>
        <v>#N/A</v>
      </c>
      <c r="AL147" s="125" t="s">
        <v>161</v>
      </c>
      <c r="AM147" s="483">
        <f>IF(Tableau118[[#This Row],[Name PFI/CDD]]="","-",VLOOKUP(Tableau118[[#This Row],[Name PFI/CDD]],Plant_AILN!I:J,2,FALSE))</f>
        <v>91018400</v>
      </c>
      <c r="AN147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7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7" s="2" t="e">
        <f ca="1">VLOOKUP(Tableau118[[#This Row],[Key(POD -PFI- Usine)]],'DATA Consignee'!A:J,10,FALSE)</f>
        <v>#N/A</v>
      </c>
      <c r="AQ147" s="50" t="e">
        <f ca="1">VLOOKUP(Tableau118[[#This Row],[Key(POD -PFI- Usine)]],'DATA Consignee'!A:N,14,FALSE)</f>
        <v>#N/A</v>
      </c>
      <c r="AR14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7" s="50" t="e">
        <f ca="1">Tableau118[[#This Row],[Transit time]]+Tableau118[[#This Row],[Time for security]]+Tableau118[[#This Row],[Time for security2 buffer]]</f>
        <v>#N/A</v>
      </c>
      <c r="AU14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7" s="389" t="e">
        <f ca="1">Tableau118[[#This Row],[Leadtime SI2C]]+Tableau118[[#This Row],[First Receipt Days]]-Tableau118[[#This Row],[Day Customer Order]]+1</f>
        <v>#N/A</v>
      </c>
      <c r="AW147" s="117" t="e">
        <f ca="1">IF(Tableau118[[#This Row],[Name ILN]]&lt;&gt;"SFK Freight Forwarder",Tableau118[[#This Row],[Cust. Leadtime]],Tableau118[[#This Row],[Leadtime SI2C]])</f>
        <v>#N/A</v>
      </c>
      <c r="AX147" s="51" t="e">
        <f>VLOOKUP(Tableau118[[#This Row],[ID]],'DATA BTO'!B:P,15,FALSE)</f>
        <v>#N/A</v>
      </c>
      <c r="AY147" s="328" t="e">
        <f ca="1">IFERROR(VLOOKUP(Tableau118[[#This Row],[Key(ID-Actif)]],'DATA BTO'!A:N,4,FALSE),VLOOKUP(Tableau118[[#This Row],[ID]],'DATA BTO'!B:N,3,FALSE))</f>
        <v>#N/A</v>
      </c>
      <c r="AZ14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7" s="50"/>
    </row>
    <row r="148" spans="2:57">
      <c r="B148" s="65" t="str">
        <f>_xlfn.CONCAT(Tableau118[[#This Row],[Name ILN]],"-",Tableau118[[#This Row],[Name Shipper]],"-",Tableau118[[#This Row],[Name Site]])</f>
        <v>--</v>
      </c>
      <c r="C148" s="65" t="e">
        <f ca="1">_xlfn.CONCAT(Tableau118[[#This Row],[Compte ILN]],"-",Tableau118[[#This Row],[Compte Shipper]],"-",Tableau118[[#This Row],[POL]],"-",Tableau118[[#This Row],[Compte Site]])</f>
        <v>#N/A</v>
      </c>
      <c r="D148" s="64" t="e">
        <f ca="1">_xlfn.CONCAT(Tableau118[[#This Row],[Compte ILN]],"-",Tableau118[[#This Row],[Compte Shipper]],"-",Tableau118[[#This Row],[POL]])</f>
        <v>#N/A</v>
      </c>
      <c r="E148" s="396" t="e">
        <f ca="1">_xlfn.CONCAT(Tableau118[[#This Row],[POL]],"-",Tableau118[[#This Row],[Carrier]],"-",Tableau118[[#This Row],[POD]])</f>
        <v>#N/A</v>
      </c>
      <c r="F148" s="64" t="str">
        <f>_xlfn.CONCAT(Tableau118[[#This Row],[ID]],"-","Next")</f>
        <v>-Next</v>
      </c>
      <c r="G148" s="64" t="e">
        <f ca="1">_xlfn.CONCAT(Tableau118[[#This Row],[POD]],"-",Tableau118[[#This Row],[Code PFI]],"-",Tableau118[[#This Row],[Compte Site]])</f>
        <v>#N/A</v>
      </c>
      <c r="H14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8" s="397" t="str">
        <f ca="1">IF(COUNTIF(I:I,Tableau118[[#This Row],[Plant-ILN-shipper-POL-Carrier-POD-PFI]])=1,"Non","Oui")</f>
        <v>Oui</v>
      </c>
      <c r="K148" s="399" t="e">
        <f>VLOOKUP(Tableau118[[#This Row],[Name Site]],Plant_AILN!A:D,4,FALSE)</f>
        <v>#N/A</v>
      </c>
      <c r="L148" s="10"/>
      <c r="M148" s="480"/>
      <c r="N148" s="55"/>
      <c r="O148" s="114"/>
      <c r="P148" s="481"/>
      <c r="Q148" s="50"/>
      <c r="R148" s="50"/>
      <c r="S148" s="50"/>
      <c r="T148" s="50"/>
      <c r="U148" s="50"/>
      <c r="V148" s="50"/>
      <c r="W148" s="53"/>
      <c r="X148" s="283"/>
      <c r="Y148" s="482">
        <f>IFERROR(VLOOKUP(Tableau118[[#This Row],[Name Shipper]],Plant_AILN!L:M,2,FALSE),0)</f>
        <v>0</v>
      </c>
      <c r="Z148" s="358"/>
      <c r="AA148" s="353" t="e">
        <f ca="1">VLOOKUP(Tableau118[[#This Row],[Key(ID-Actif)]],'DATA BTO'!A:N,5,FALSE)</f>
        <v>#N/A</v>
      </c>
      <c r="AB148" s="3" t="e">
        <f ca="1">VLOOKUP(Tableau118[[#This Row],[Key(ID-Actif)]],'DATA BTO'!A:N,6,FALSE)</f>
        <v>#N/A</v>
      </c>
      <c r="AC148" s="50" t="e">
        <f ca="1">VLOOKUP(Tableau118[[#This Row],[Key(ID-Actif)]],'DATA BTO'!A:N,7,FALSE)</f>
        <v>#N/A</v>
      </c>
      <c r="AD148" s="50" t="e">
        <f ca="1">VLOOKUP(Tableau118[[#This Row],[Key(ID-Actif)]],'DATA BTO'!A:N,8,FALSE)</f>
        <v>#N/A</v>
      </c>
      <c r="AE148" s="50" t="e">
        <f ca="1">IF(Tableau118[[#This Row],[First Day to POL]]&lt;=Tableau118[[#This Row],[Day Cut Off]],Tableau118[[#This Row],[Day ETD]],Tableau118[[#This Row],[Day ETD]]+7)</f>
        <v>#N/A</v>
      </c>
      <c r="AF148" s="50" t="e">
        <f ca="1">VLOOKUP(Tableau118[[#This Row],[Key(ID-Actif)]],'DATA BTO'!A:N,9,FALSE)</f>
        <v>#N/A</v>
      </c>
      <c r="AG148" s="3" t="e">
        <f ca="1">VLOOKUP(Tableau118[[#This Row],[Key(ID-Actif)]],'DATA BTO'!A:N,10,FALSE)</f>
        <v>#N/A</v>
      </c>
      <c r="AH148" s="3" t="e">
        <f ca="1">VLOOKUP(Tableau118[[#This Row],[Key(ID-Actif)]],'DATA BTO'!A:N,11,FALSE)</f>
        <v>#N/A</v>
      </c>
      <c r="AI148" s="50" t="e">
        <f ca="1">VLOOKUP(Tableau118[[#This Row],[Key(ID-Actif)]],'DATA BTO'!A:N,12,FALSE)</f>
        <v>#N/A</v>
      </c>
      <c r="AJ148" s="53" t="e">
        <f ca="1">VLOOKUP(Tableau118[[#This Row],[Key(ID-Actif)]],'DATA BTO'!A:N,14,FALSE)</f>
        <v>#N/A</v>
      </c>
      <c r="AK148" s="54" t="e">
        <f ca="1">VLOOKUP(Tableau118[[#This Row],[Key(POD -PFI- Usine)]],'DATA Consignee'!A:F,6,FALSE)</f>
        <v>#N/A</v>
      </c>
      <c r="AL148" s="125" t="s">
        <v>166</v>
      </c>
      <c r="AM148" s="483">
        <f>IF(Tableau118[[#This Row],[Name PFI/CDD]]="","-",VLOOKUP(Tableau118[[#This Row],[Name PFI/CDD]],Plant_AILN!I:J,2,FALSE))</f>
        <v>91018400</v>
      </c>
      <c r="AN14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8" s="2" t="e">
        <f ca="1">VLOOKUP(Tableau118[[#This Row],[Key(POD -PFI- Usine)]],'DATA Consignee'!A:J,10,FALSE)</f>
        <v>#N/A</v>
      </c>
      <c r="AQ148" s="50" t="e">
        <f ca="1">VLOOKUP(Tableau118[[#This Row],[Key(POD -PFI- Usine)]],'DATA Consignee'!A:N,14,FALSE)</f>
        <v>#N/A</v>
      </c>
      <c r="AR14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8" s="50" t="e">
        <f ca="1">Tableau118[[#This Row],[Transit time]]+Tableau118[[#This Row],[Time for security]]+Tableau118[[#This Row],[Time for security2 buffer]]</f>
        <v>#N/A</v>
      </c>
      <c r="AU14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8" s="389" t="e">
        <f ca="1">Tableau118[[#This Row],[Leadtime SI2C]]+Tableau118[[#This Row],[First Receipt Days]]-Tableau118[[#This Row],[Day Customer Order]]+1</f>
        <v>#N/A</v>
      </c>
      <c r="AW148" s="117" t="e">
        <f ca="1">IF(Tableau118[[#This Row],[Name ILN]]&lt;&gt;"SFK Freight Forwarder",Tableau118[[#This Row],[Cust. Leadtime]],Tableau118[[#This Row],[Leadtime SI2C]])</f>
        <v>#N/A</v>
      </c>
      <c r="AX148" s="51" t="e">
        <f>VLOOKUP(Tableau118[[#This Row],[ID]],'DATA BTO'!B:P,15,FALSE)</f>
        <v>#N/A</v>
      </c>
      <c r="AY148" s="328" t="e">
        <f ca="1">IFERROR(VLOOKUP(Tableau118[[#This Row],[Key(ID-Actif)]],'DATA BTO'!A:N,4,FALSE),VLOOKUP(Tableau118[[#This Row],[ID]],'DATA BTO'!B:N,3,FALSE))</f>
        <v>#N/A</v>
      </c>
      <c r="AZ14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8" s="50"/>
    </row>
    <row r="149" spans="2:57">
      <c r="B149" s="65" t="str">
        <f>_xlfn.CONCAT(Tableau118[[#This Row],[Name ILN]],"-",Tableau118[[#This Row],[Name Shipper]],"-",Tableau118[[#This Row],[Name Site]])</f>
        <v>--</v>
      </c>
      <c r="C149" s="65" t="e">
        <f ca="1">_xlfn.CONCAT(Tableau118[[#This Row],[Compte ILN]],"-",Tableau118[[#This Row],[Compte Shipper]],"-",Tableau118[[#This Row],[POL]],"-",Tableau118[[#This Row],[Compte Site]])</f>
        <v>#N/A</v>
      </c>
      <c r="D149" s="64" t="e">
        <f ca="1">_xlfn.CONCAT(Tableau118[[#This Row],[Compte ILN]],"-",Tableau118[[#This Row],[Compte Shipper]],"-",Tableau118[[#This Row],[POL]])</f>
        <v>#N/A</v>
      </c>
      <c r="E149" s="396" t="e">
        <f ca="1">_xlfn.CONCAT(Tableau118[[#This Row],[POL]],"-",Tableau118[[#This Row],[Carrier]],"-",Tableau118[[#This Row],[POD]])</f>
        <v>#N/A</v>
      </c>
      <c r="F149" s="64" t="str">
        <f>_xlfn.CONCAT(Tableau118[[#This Row],[ID]],"-","Next")</f>
        <v>-Next</v>
      </c>
      <c r="G149" s="64" t="e">
        <f ca="1">_xlfn.CONCAT(Tableau118[[#This Row],[POD]],"-",Tableau118[[#This Row],[Code PFI]],"-",Tableau118[[#This Row],[Compte Site]])</f>
        <v>#N/A</v>
      </c>
      <c r="H14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4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49" s="397" t="str">
        <f ca="1">IF(COUNTIF(I:I,Tableau118[[#This Row],[Plant-ILN-shipper-POL-Carrier-POD-PFI]])=1,"Non","Oui")</f>
        <v>Oui</v>
      </c>
      <c r="K149" s="399" t="e">
        <f>VLOOKUP(Tableau118[[#This Row],[Name Site]],Plant_AILN!A:D,4,FALSE)</f>
        <v>#N/A</v>
      </c>
      <c r="L149" s="10"/>
      <c r="M149" s="480"/>
      <c r="N149" s="55"/>
      <c r="O149" s="114"/>
      <c r="P149" s="481"/>
      <c r="Q149" s="50"/>
      <c r="R149" s="50"/>
      <c r="S149" s="50"/>
      <c r="T149" s="50"/>
      <c r="U149" s="50"/>
      <c r="V149" s="50"/>
      <c r="W149" s="53"/>
      <c r="X149" s="283"/>
      <c r="Y149" s="482">
        <f>IFERROR(VLOOKUP(Tableau118[[#This Row],[Name Shipper]],Plant_AILN!L:M,2,FALSE),0)</f>
        <v>0</v>
      </c>
      <c r="Z149" s="358"/>
      <c r="AA149" s="353" t="e">
        <f ca="1">VLOOKUP(Tableau118[[#This Row],[Key(ID-Actif)]],'DATA BTO'!A:N,5,FALSE)</f>
        <v>#N/A</v>
      </c>
      <c r="AB149" s="3" t="e">
        <f ca="1">VLOOKUP(Tableau118[[#This Row],[Key(ID-Actif)]],'DATA BTO'!A:N,6,FALSE)</f>
        <v>#N/A</v>
      </c>
      <c r="AC149" s="50" t="e">
        <f ca="1">VLOOKUP(Tableau118[[#This Row],[Key(ID-Actif)]],'DATA BTO'!A:N,7,FALSE)</f>
        <v>#N/A</v>
      </c>
      <c r="AD149" s="50" t="e">
        <f ca="1">VLOOKUP(Tableau118[[#This Row],[Key(ID-Actif)]],'DATA BTO'!A:N,8,FALSE)</f>
        <v>#N/A</v>
      </c>
      <c r="AE149" s="50" t="e">
        <f ca="1">IF(Tableau118[[#This Row],[First Day to POL]]&lt;=Tableau118[[#This Row],[Day Cut Off]],Tableau118[[#This Row],[Day ETD]],Tableau118[[#This Row],[Day ETD]]+7)</f>
        <v>#N/A</v>
      </c>
      <c r="AF149" s="50" t="e">
        <f ca="1">VLOOKUP(Tableau118[[#This Row],[Key(ID-Actif)]],'DATA BTO'!A:N,9,FALSE)</f>
        <v>#N/A</v>
      </c>
      <c r="AG149" s="3" t="e">
        <f ca="1">VLOOKUP(Tableau118[[#This Row],[Key(ID-Actif)]],'DATA BTO'!A:N,10,FALSE)</f>
        <v>#N/A</v>
      </c>
      <c r="AH149" s="3" t="e">
        <f ca="1">VLOOKUP(Tableau118[[#This Row],[Key(ID-Actif)]],'DATA BTO'!A:N,11,FALSE)</f>
        <v>#N/A</v>
      </c>
      <c r="AI149" s="50" t="e">
        <f ca="1">VLOOKUP(Tableau118[[#This Row],[Key(ID-Actif)]],'DATA BTO'!A:N,12,FALSE)</f>
        <v>#N/A</v>
      </c>
      <c r="AJ149" s="53" t="e">
        <f ca="1">VLOOKUP(Tableau118[[#This Row],[Key(ID-Actif)]],'DATA BTO'!A:N,14,FALSE)</f>
        <v>#N/A</v>
      </c>
      <c r="AK149" s="54" t="e">
        <f ca="1">VLOOKUP(Tableau118[[#This Row],[Key(POD -PFI- Usine)]],'DATA Consignee'!A:F,6,FALSE)</f>
        <v>#N/A</v>
      </c>
      <c r="AL149" s="125" t="s">
        <v>161</v>
      </c>
      <c r="AM149" s="483">
        <f>IF(Tableau118[[#This Row],[Name PFI/CDD]]="","-",VLOOKUP(Tableau118[[#This Row],[Name PFI/CDD]],Plant_AILN!I:J,2,FALSE))</f>
        <v>91018400</v>
      </c>
      <c r="AN149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49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49" s="2" t="e">
        <f ca="1">VLOOKUP(Tableau118[[#This Row],[Key(POD -PFI- Usine)]],'DATA Consignee'!A:J,10,FALSE)</f>
        <v>#N/A</v>
      </c>
      <c r="AQ149" s="50" t="e">
        <f ca="1">VLOOKUP(Tableau118[[#This Row],[Key(POD -PFI- Usine)]],'DATA Consignee'!A:N,14,FALSE)</f>
        <v>#N/A</v>
      </c>
      <c r="AR14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4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49" s="50" t="e">
        <f ca="1">Tableau118[[#This Row],[Transit time]]+Tableau118[[#This Row],[Time for security]]+Tableau118[[#This Row],[Time for security2 buffer]]</f>
        <v>#N/A</v>
      </c>
      <c r="AU14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49" s="389" t="e">
        <f ca="1">Tableau118[[#This Row],[Leadtime SI2C]]+Tableau118[[#This Row],[First Receipt Days]]-Tableau118[[#This Row],[Day Customer Order]]+1</f>
        <v>#N/A</v>
      </c>
      <c r="AW149" s="117" t="e">
        <f ca="1">IF(Tableau118[[#This Row],[Name ILN]]&lt;&gt;"SFK Freight Forwarder",Tableau118[[#This Row],[Cust. Leadtime]],Tableau118[[#This Row],[Leadtime SI2C]])</f>
        <v>#N/A</v>
      </c>
      <c r="AX149" s="51" t="e">
        <f>VLOOKUP(Tableau118[[#This Row],[ID]],'DATA BTO'!B:P,15,FALSE)</f>
        <v>#N/A</v>
      </c>
      <c r="AY149" s="328" t="e">
        <f ca="1">IFERROR(VLOOKUP(Tableau118[[#This Row],[Key(ID-Actif)]],'DATA BTO'!A:N,4,FALSE),VLOOKUP(Tableau118[[#This Row],[ID]],'DATA BTO'!B:N,3,FALSE))</f>
        <v>#N/A</v>
      </c>
      <c r="AZ14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4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4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4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4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49" s="50"/>
    </row>
    <row r="150" spans="2:57">
      <c r="B150" s="65" t="str">
        <f>_xlfn.CONCAT(Tableau118[[#This Row],[Name ILN]],"-",Tableau118[[#This Row],[Name Shipper]],"-",Tableau118[[#This Row],[Name Site]])</f>
        <v>--</v>
      </c>
      <c r="C150" s="65" t="e">
        <f ca="1">_xlfn.CONCAT(Tableau118[[#This Row],[Compte ILN]],"-",Tableau118[[#This Row],[Compte Shipper]],"-",Tableau118[[#This Row],[POL]],"-",Tableau118[[#This Row],[Compte Site]])</f>
        <v>#N/A</v>
      </c>
      <c r="D150" s="64" t="e">
        <f ca="1">_xlfn.CONCAT(Tableau118[[#This Row],[Compte ILN]],"-",Tableau118[[#This Row],[Compte Shipper]],"-",Tableau118[[#This Row],[POL]])</f>
        <v>#N/A</v>
      </c>
      <c r="E150" s="396" t="e">
        <f ca="1">_xlfn.CONCAT(Tableau118[[#This Row],[POL]],"-",Tableau118[[#This Row],[Carrier]],"-",Tableau118[[#This Row],[POD]])</f>
        <v>#N/A</v>
      </c>
      <c r="F150" s="64" t="str">
        <f>_xlfn.CONCAT(Tableau118[[#This Row],[ID]],"-","Next")</f>
        <v>-Next</v>
      </c>
      <c r="G150" s="64" t="e">
        <f ca="1">_xlfn.CONCAT(Tableau118[[#This Row],[POD]],"-",Tableau118[[#This Row],[Code PFI]],"-",Tableau118[[#This Row],[Compte Site]])</f>
        <v>#N/A</v>
      </c>
      <c r="H15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0" s="397" t="str">
        <f ca="1">IF(COUNTIF(I:I,Tableau118[[#This Row],[Plant-ILN-shipper-POL-Carrier-POD-PFI]])=1,"Non","Oui")</f>
        <v>Oui</v>
      </c>
      <c r="K150" s="399" t="e">
        <f>VLOOKUP(Tableau118[[#This Row],[Name Site]],Plant_AILN!A:D,4,FALSE)</f>
        <v>#N/A</v>
      </c>
      <c r="L150" s="10"/>
      <c r="M150" s="480"/>
      <c r="N150" s="55"/>
      <c r="O150" s="114"/>
      <c r="P150" s="481"/>
      <c r="Q150" s="50"/>
      <c r="R150" s="50"/>
      <c r="S150" s="50"/>
      <c r="T150" s="50"/>
      <c r="U150" s="50"/>
      <c r="V150" s="50"/>
      <c r="W150" s="53"/>
      <c r="X150" s="283"/>
      <c r="Y150" s="482">
        <f>IFERROR(VLOOKUP(Tableau118[[#This Row],[Name Shipper]],Plant_AILN!L:M,2,FALSE),0)</f>
        <v>0</v>
      </c>
      <c r="Z150" s="358"/>
      <c r="AA150" s="353" t="e">
        <f ca="1">VLOOKUP(Tableau118[[#This Row],[Key(ID-Actif)]],'DATA BTO'!A:N,5,FALSE)</f>
        <v>#N/A</v>
      </c>
      <c r="AB150" s="3" t="e">
        <f ca="1">VLOOKUP(Tableau118[[#This Row],[Key(ID-Actif)]],'DATA BTO'!A:N,6,FALSE)</f>
        <v>#N/A</v>
      </c>
      <c r="AC150" s="50" t="e">
        <f ca="1">VLOOKUP(Tableau118[[#This Row],[Key(ID-Actif)]],'DATA BTO'!A:N,7,FALSE)</f>
        <v>#N/A</v>
      </c>
      <c r="AD150" s="50" t="e">
        <f ca="1">VLOOKUP(Tableau118[[#This Row],[Key(ID-Actif)]],'DATA BTO'!A:N,8,FALSE)</f>
        <v>#N/A</v>
      </c>
      <c r="AE150" s="50" t="e">
        <f ca="1">IF(Tableau118[[#This Row],[First Day to POL]]&lt;=Tableau118[[#This Row],[Day Cut Off]],Tableau118[[#This Row],[Day ETD]],Tableau118[[#This Row],[Day ETD]]+7)</f>
        <v>#N/A</v>
      </c>
      <c r="AF150" s="50" t="e">
        <f ca="1">VLOOKUP(Tableau118[[#This Row],[Key(ID-Actif)]],'DATA BTO'!A:N,9,FALSE)</f>
        <v>#N/A</v>
      </c>
      <c r="AG150" s="3" t="e">
        <f ca="1">VLOOKUP(Tableau118[[#This Row],[Key(ID-Actif)]],'DATA BTO'!A:N,10,FALSE)</f>
        <v>#N/A</v>
      </c>
      <c r="AH150" s="3" t="e">
        <f ca="1">VLOOKUP(Tableau118[[#This Row],[Key(ID-Actif)]],'DATA BTO'!A:N,11,FALSE)</f>
        <v>#N/A</v>
      </c>
      <c r="AI150" s="50" t="e">
        <f ca="1">VLOOKUP(Tableau118[[#This Row],[Key(ID-Actif)]],'DATA BTO'!A:N,12,FALSE)</f>
        <v>#N/A</v>
      </c>
      <c r="AJ150" s="53" t="e">
        <f ca="1">VLOOKUP(Tableau118[[#This Row],[Key(ID-Actif)]],'DATA BTO'!A:N,14,FALSE)</f>
        <v>#N/A</v>
      </c>
      <c r="AK150" s="54" t="e">
        <f ca="1">VLOOKUP(Tableau118[[#This Row],[Key(POD -PFI- Usine)]],'DATA Consignee'!A:F,6,FALSE)</f>
        <v>#N/A</v>
      </c>
      <c r="AL150" s="125" t="s">
        <v>161</v>
      </c>
      <c r="AM150" s="483">
        <f>IF(Tableau118[[#This Row],[Name PFI/CDD]]="","-",VLOOKUP(Tableau118[[#This Row],[Name PFI/CDD]],Plant_AILN!I:J,2,FALSE))</f>
        <v>91018400</v>
      </c>
      <c r="AN150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0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0" s="2" t="e">
        <f ca="1">VLOOKUP(Tableau118[[#This Row],[Key(POD -PFI- Usine)]],'DATA Consignee'!A:J,10,FALSE)</f>
        <v>#N/A</v>
      </c>
      <c r="AQ150" s="50" t="e">
        <f ca="1">VLOOKUP(Tableau118[[#This Row],[Key(POD -PFI- Usine)]],'DATA Consignee'!A:N,14,FALSE)</f>
        <v>#N/A</v>
      </c>
      <c r="AR15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0" s="50" t="e">
        <f ca="1">Tableau118[[#This Row],[Transit time]]+Tableau118[[#This Row],[Time for security]]+Tableau118[[#This Row],[Time for security2 buffer]]</f>
        <v>#N/A</v>
      </c>
      <c r="AU15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0" s="389" t="e">
        <f ca="1">Tableau118[[#This Row],[Leadtime SI2C]]+Tableau118[[#This Row],[First Receipt Days]]-Tableau118[[#This Row],[Day Customer Order]]+1</f>
        <v>#N/A</v>
      </c>
      <c r="AW150" s="117" t="e">
        <f ca="1">IF(Tableau118[[#This Row],[Name ILN]]&lt;&gt;"SFK Freight Forwarder",Tableau118[[#This Row],[Cust. Leadtime]],Tableau118[[#This Row],[Leadtime SI2C]])</f>
        <v>#N/A</v>
      </c>
      <c r="AX150" s="51" t="e">
        <f>VLOOKUP(Tableau118[[#This Row],[ID]],'DATA BTO'!B:P,15,FALSE)</f>
        <v>#N/A</v>
      </c>
      <c r="AY150" s="328" t="e">
        <f ca="1">IFERROR(VLOOKUP(Tableau118[[#This Row],[Key(ID-Actif)]],'DATA BTO'!A:N,4,FALSE),VLOOKUP(Tableau118[[#This Row],[ID]],'DATA BTO'!B:N,3,FALSE))</f>
        <v>#N/A</v>
      </c>
      <c r="AZ15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0" s="50"/>
    </row>
    <row r="151" spans="2:57">
      <c r="B151" s="65" t="str">
        <f>_xlfn.CONCAT(Tableau118[[#This Row],[Name ILN]],"-",Tableau118[[#This Row],[Name Shipper]],"-",Tableau118[[#This Row],[Name Site]])</f>
        <v>--</v>
      </c>
      <c r="C151" s="65" t="e">
        <f ca="1">_xlfn.CONCAT(Tableau118[[#This Row],[Compte ILN]],"-",Tableau118[[#This Row],[Compte Shipper]],"-",Tableau118[[#This Row],[POL]],"-",Tableau118[[#This Row],[Compte Site]])</f>
        <v>#N/A</v>
      </c>
      <c r="D151" s="64" t="e">
        <f ca="1">_xlfn.CONCAT(Tableau118[[#This Row],[Compte ILN]],"-",Tableau118[[#This Row],[Compte Shipper]],"-",Tableau118[[#This Row],[POL]])</f>
        <v>#N/A</v>
      </c>
      <c r="E151" s="396" t="e">
        <f ca="1">_xlfn.CONCAT(Tableau118[[#This Row],[POL]],"-",Tableau118[[#This Row],[Carrier]],"-",Tableau118[[#This Row],[POD]])</f>
        <v>#N/A</v>
      </c>
      <c r="F151" s="64" t="str">
        <f>_xlfn.CONCAT(Tableau118[[#This Row],[ID]],"-","Next")</f>
        <v>-Next</v>
      </c>
      <c r="G151" s="64" t="e">
        <f ca="1">_xlfn.CONCAT(Tableau118[[#This Row],[POD]],"-",Tableau118[[#This Row],[Code PFI]],"-",Tableau118[[#This Row],[Compte Site]])</f>
        <v>#N/A</v>
      </c>
      <c r="H15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1" s="397" t="str">
        <f ca="1">IF(COUNTIF(I:I,Tableau118[[#This Row],[Plant-ILN-shipper-POL-Carrier-POD-PFI]])=1,"Non","Oui")</f>
        <v>Oui</v>
      </c>
      <c r="K151" s="399" t="e">
        <f>VLOOKUP(Tableau118[[#This Row],[Name Site]],Plant_AILN!A:D,4,FALSE)</f>
        <v>#N/A</v>
      </c>
      <c r="L151" s="10"/>
      <c r="M151" s="480"/>
      <c r="N151" s="55"/>
      <c r="O151" s="114"/>
      <c r="P151" s="481"/>
      <c r="Q151" s="50"/>
      <c r="R151" s="50"/>
      <c r="S151" s="50"/>
      <c r="T151" s="50"/>
      <c r="U151" s="50"/>
      <c r="V151" s="50"/>
      <c r="W151" s="53"/>
      <c r="X151" s="283"/>
      <c r="Y151" s="482">
        <f>IFERROR(VLOOKUP(Tableau118[[#This Row],[Name Shipper]],Plant_AILN!L:M,2,FALSE),0)</f>
        <v>0</v>
      </c>
      <c r="Z151" s="358"/>
      <c r="AA151" s="353" t="e">
        <f ca="1">VLOOKUP(Tableau118[[#This Row],[Key(ID-Actif)]],'DATA BTO'!A:N,5,FALSE)</f>
        <v>#N/A</v>
      </c>
      <c r="AB151" s="3" t="e">
        <f ca="1">VLOOKUP(Tableau118[[#This Row],[Key(ID-Actif)]],'DATA BTO'!A:N,6,FALSE)</f>
        <v>#N/A</v>
      </c>
      <c r="AC151" s="50" t="e">
        <f ca="1">VLOOKUP(Tableau118[[#This Row],[Key(ID-Actif)]],'DATA BTO'!A:N,7,FALSE)</f>
        <v>#N/A</v>
      </c>
      <c r="AD151" s="50" t="e">
        <f ca="1">VLOOKUP(Tableau118[[#This Row],[Key(ID-Actif)]],'DATA BTO'!A:N,8,FALSE)</f>
        <v>#N/A</v>
      </c>
      <c r="AE151" s="50" t="e">
        <f ca="1">IF(Tableau118[[#This Row],[First Day to POL]]&lt;=Tableau118[[#This Row],[Day Cut Off]],Tableau118[[#This Row],[Day ETD]],Tableau118[[#This Row],[Day ETD]]+7)</f>
        <v>#N/A</v>
      </c>
      <c r="AF151" s="50" t="e">
        <f ca="1">VLOOKUP(Tableau118[[#This Row],[Key(ID-Actif)]],'DATA BTO'!A:N,9,FALSE)</f>
        <v>#N/A</v>
      </c>
      <c r="AG151" s="3" t="e">
        <f ca="1">VLOOKUP(Tableau118[[#This Row],[Key(ID-Actif)]],'DATA BTO'!A:N,10,FALSE)</f>
        <v>#N/A</v>
      </c>
      <c r="AH151" s="3" t="e">
        <f ca="1">VLOOKUP(Tableau118[[#This Row],[Key(ID-Actif)]],'DATA BTO'!A:N,11,FALSE)</f>
        <v>#N/A</v>
      </c>
      <c r="AI151" s="50" t="e">
        <f ca="1">VLOOKUP(Tableau118[[#This Row],[Key(ID-Actif)]],'DATA BTO'!A:N,12,FALSE)</f>
        <v>#N/A</v>
      </c>
      <c r="AJ151" s="53" t="e">
        <f ca="1">VLOOKUP(Tableau118[[#This Row],[Key(ID-Actif)]],'DATA BTO'!A:N,14,FALSE)</f>
        <v>#N/A</v>
      </c>
      <c r="AK151" s="54" t="e">
        <f ca="1">VLOOKUP(Tableau118[[#This Row],[Key(POD -PFI- Usine)]],'DATA Consignee'!A:F,6,FALSE)</f>
        <v>#N/A</v>
      </c>
      <c r="AL151" s="125" t="s">
        <v>161</v>
      </c>
      <c r="AM151" s="483">
        <f>IF(Tableau118[[#This Row],[Name PFI/CDD]]="","-",VLOOKUP(Tableau118[[#This Row],[Name PFI/CDD]],Plant_AILN!I:J,2,FALSE))</f>
        <v>91018400</v>
      </c>
      <c r="AN151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1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1" s="2" t="e">
        <f ca="1">VLOOKUP(Tableau118[[#This Row],[Key(POD -PFI- Usine)]],'DATA Consignee'!A:J,10,FALSE)</f>
        <v>#N/A</v>
      </c>
      <c r="AQ151" s="50" t="e">
        <f ca="1">VLOOKUP(Tableau118[[#This Row],[Key(POD -PFI- Usine)]],'DATA Consignee'!A:N,14,FALSE)</f>
        <v>#N/A</v>
      </c>
      <c r="AR15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1" s="50" t="e">
        <f ca="1">Tableau118[[#This Row],[Transit time]]+Tableau118[[#This Row],[Time for security]]+Tableau118[[#This Row],[Time for security2 buffer]]</f>
        <v>#N/A</v>
      </c>
      <c r="AU15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1" s="389" t="e">
        <f ca="1">Tableau118[[#This Row],[Leadtime SI2C]]+Tableau118[[#This Row],[First Receipt Days]]-Tableau118[[#This Row],[Day Customer Order]]+1</f>
        <v>#N/A</v>
      </c>
      <c r="AW151" s="117" t="e">
        <f ca="1">IF(Tableau118[[#This Row],[Name ILN]]&lt;&gt;"SFK Freight Forwarder",Tableau118[[#This Row],[Cust. Leadtime]],Tableau118[[#This Row],[Leadtime SI2C]])</f>
        <v>#N/A</v>
      </c>
      <c r="AX151" s="51" t="e">
        <f>VLOOKUP(Tableau118[[#This Row],[ID]],'DATA BTO'!B:P,15,FALSE)</f>
        <v>#N/A</v>
      </c>
      <c r="AY151" s="328" t="e">
        <f ca="1">IFERROR(VLOOKUP(Tableau118[[#This Row],[Key(ID-Actif)]],'DATA BTO'!A:N,4,FALSE),VLOOKUP(Tableau118[[#This Row],[ID]],'DATA BTO'!B:N,3,FALSE))</f>
        <v>#N/A</v>
      </c>
      <c r="AZ15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1" s="50"/>
    </row>
    <row r="152" spans="2:57">
      <c r="B152" s="65" t="str">
        <f>_xlfn.CONCAT(Tableau118[[#This Row],[Name ILN]],"-",Tableau118[[#This Row],[Name Shipper]],"-",Tableau118[[#This Row],[Name Site]])</f>
        <v>--</v>
      </c>
      <c r="C152" s="65" t="e">
        <f ca="1">_xlfn.CONCAT(Tableau118[[#This Row],[Compte ILN]],"-",Tableau118[[#This Row],[Compte Shipper]],"-",Tableau118[[#This Row],[POL]],"-",Tableau118[[#This Row],[Compte Site]])</f>
        <v>#N/A</v>
      </c>
      <c r="D152" s="64" t="e">
        <f ca="1">_xlfn.CONCAT(Tableau118[[#This Row],[Compte ILN]],"-",Tableau118[[#This Row],[Compte Shipper]],"-",Tableau118[[#This Row],[POL]])</f>
        <v>#N/A</v>
      </c>
      <c r="E152" s="396" t="e">
        <f ca="1">_xlfn.CONCAT(Tableau118[[#This Row],[POL]],"-",Tableau118[[#This Row],[Carrier]],"-",Tableau118[[#This Row],[POD]])</f>
        <v>#N/A</v>
      </c>
      <c r="F152" s="64" t="str">
        <f>_xlfn.CONCAT(Tableau118[[#This Row],[ID]],"-","Next")</f>
        <v>-Next</v>
      </c>
      <c r="G152" s="64" t="e">
        <f ca="1">_xlfn.CONCAT(Tableau118[[#This Row],[POD]],"-",Tableau118[[#This Row],[Code PFI]],"-",Tableau118[[#This Row],[Compte Site]])</f>
        <v>#N/A</v>
      </c>
      <c r="H15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2" s="397" t="str">
        <f ca="1">IF(COUNTIF(I:I,Tableau118[[#This Row],[Plant-ILN-shipper-POL-Carrier-POD-PFI]])=1,"Non","Oui")</f>
        <v>Oui</v>
      </c>
      <c r="K152" s="399" t="e">
        <f>VLOOKUP(Tableau118[[#This Row],[Name Site]],Plant_AILN!A:D,4,FALSE)</f>
        <v>#N/A</v>
      </c>
      <c r="L152" s="10"/>
      <c r="M152" s="480"/>
      <c r="N152" s="55"/>
      <c r="O152" s="114"/>
      <c r="P152" s="481"/>
      <c r="Q152" s="50"/>
      <c r="R152" s="50"/>
      <c r="S152" s="50"/>
      <c r="T152" s="50"/>
      <c r="U152" s="50"/>
      <c r="V152" s="50"/>
      <c r="W152" s="53"/>
      <c r="X152" s="114"/>
      <c r="Y152" s="482">
        <f>IFERROR(VLOOKUP(Tableau118[[#This Row],[Name Shipper]],Plant_AILN!L:M,2,FALSE),0)</f>
        <v>0</v>
      </c>
      <c r="Z152" s="358"/>
      <c r="AA152" s="353" t="e">
        <f ca="1">VLOOKUP(Tableau118[[#This Row],[Key(ID-Actif)]],'DATA BTO'!A:N,5,FALSE)</f>
        <v>#N/A</v>
      </c>
      <c r="AB152" s="3" t="e">
        <f ca="1">VLOOKUP(Tableau118[[#This Row],[Key(ID-Actif)]],'DATA BTO'!A:N,6,FALSE)</f>
        <v>#N/A</v>
      </c>
      <c r="AC152" s="50" t="e">
        <f ca="1">VLOOKUP(Tableau118[[#This Row],[Key(ID-Actif)]],'DATA BTO'!A:N,7,FALSE)</f>
        <v>#N/A</v>
      </c>
      <c r="AD152" s="50" t="e">
        <f ca="1">VLOOKUP(Tableau118[[#This Row],[Key(ID-Actif)]],'DATA BTO'!A:N,8,FALSE)</f>
        <v>#N/A</v>
      </c>
      <c r="AE152" s="50" t="e">
        <f ca="1">IF(Tableau118[[#This Row],[First Day to POL]]&lt;=Tableau118[[#This Row],[Day Cut Off]],Tableau118[[#This Row],[Day ETD]],Tableau118[[#This Row],[Day ETD]]+7)</f>
        <v>#N/A</v>
      </c>
      <c r="AF152" s="50" t="e">
        <f ca="1">VLOOKUP(Tableau118[[#This Row],[Key(ID-Actif)]],'DATA BTO'!A:N,9,FALSE)</f>
        <v>#N/A</v>
      </c>
      <c r="AG152" s="3" t="e">
        <f ca="1">VLOOKUP(Tableau118[[#This Row],[Key(ID-Actif)]],'DATA BTO'!A:N,10,FALSE)</f>
        <v>#N/A</v>
      </c>
      <c r="AH152" s="3" t="e">
        <f ca="1">VLOOKUP(Tableau118[[#This Row],[Key(ID-Actif)]],'DATA BTO'!A:N,11,FALSE)</f>
        <v>#N/A</v>
      </c>
      <c r="AI152" s="50" t="e">
        <f ca="1">VLOOKUP(Tableau118[[#This Row],[Key(ID-Actif)]],'DATA BTO'!A:N,12,FALSE)</f>
        <v>#N/A</v>
      </c>
      <c r="AJ152" s="53" t="e">
        <f ca="1">VLOOKUP(Tableau118[[#This Row],[Key(ID-Actif)]],'DATA BTO'!A:N,14,FALSE)</f>
        <v>#N/A</v>
      </c>
      <c r="AK152" s="54" t="e">
        <f ca="1">VLOOKUP(Tableau118[[#This Row],[Key(POD -PFI- Usine)]],'DATA Consignee'!A:F,6,FALSE)</f>
        <v>#N/A</v>
      </c>
      <c r="AL152" s="125" t="s">
        <v>166</v>
      </c>
      <c r="AM152" s="483">
        <f>IF(Tableau118[[#This Row],[Name PFI/CDD]]="","-",VLOOKUP(Tableau118[[#This Row],[Name PFI/CDD]],Plant_AILN!I:J,2,FALSE))</f>
        <v>91018400</v>
      </c>
      <c r="AN152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2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2" s="2" t="e">
        <f ca="1">VLOOKUP(Tableau118[[#This Row],[Key(POD -PFI- Usine)]],'DATA Consignee'!A:J,10,FALSE)</f>
        <v>#N/A</v>
      </c>
      <c r="AQ152" s="50" t="e">
        <f ca="1">VLOOKUP(Tableau118[[#This Row],[Key(POD -PFI- Usine)]],'DATA Consignee'!A:N,14,FALSE)</f>
        <v>#N/A</v>
      </c>
      <c r="AR15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2" s="50" t="e">
        <f ca="1">Tableau118[[#This Row],[Transit time]]+Tableau118[[#This Row],[Time for security]]+Tableau118[[#This Row],[Time for security2 buffer]]</f>
        <v>#N/A</v>
      </c>
      <c r="AU15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2" s="389" t="e">
        <f ca="1">Tableau118[[#This Row],[Leadtime SI2C]]+Tableau118[[#This Row],[First Receipt Days]]-Tableau118[[#This Row],[Day Customer Order]]+1</f>
        <v>#N/A</v>
      </c>
      <c r="AW152" s="117" t="e">
        <f ca="1">IF(Tableau118[[#This Row],[Name ILN]]&lt;&gt;"SFK Freight Forwarder",Tableau118[[#This Row],[Cust. Leadtime]],Tableau118[[#This Row],[Leadtime SI2C]])</f>
        <v>#N/A</v>
      </c>
      <c r="AX152" s="51" t="e">
        <f>VLOOKUP(Tableau118[[#This Row],[ID]],'DATA BTO'!B:P,15,FALSE)</f>
        <v>#N/A</v>
      </c>
      <c r="AY152" s="328" t="e">
        <f ca="1">IFERROR(VLOOKUP(Tableau118[[#This Row],[Key(ID-Actif)]],'DATA BTO'!A:N,4,FALSE),VLOOKUP(Tableau118[[#This Row],[ID]],'DATA BTO'!B:N,3,FALSE))</f>
        <v>#N/A</v>
      </c>
      <c r="AZ15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2" s="50"/>
    </row>
    <row r="153" spans="2:57">
      <c r="B153" s="65" t="str">
        <f>_xlfn.CONCAT(Tableau118[[#This Row],[Name ILN]],"-",Tableau118[[#This Row],[Name Shipper]],"-",Tableau118[[#This Row],[Name Site]])</f>
        <v>--</v>
      </c>
      <c r="C153" s="65" t="e">
        <f ca="1">_xlfn.CONCAT(Tableau118[[#This Row],[Compte ILN]],"-",Tableau118[[#This Row],[Compte Shipper]],"-",Tableau118[[#This Row],[POL]],"-",Tableau118[[#This Row],[Compte Site]])</f>
        <v>#N/A</v>
      </c>
      <c r="D153" s="64" t="e">
        <f ca="1">_xlfn.CONCAT(Tableau118[[#This Row],[Compte ILN]],"-",Tableau118[[#This Row],[Compte Shipper]],"-",Tableau118[[#This Row],[POL]])</f>
        <v>#N/A</v>
      </c>
      <c r="E153" s="396" t="e">
        <f ca="1">_xlfn.CONCAT(Tableau118[[#This Row],[POL]],"-",Tableau118[[#This Row],[Carrier]],"-",Tableau118[[#This Row],[POD]])</f>
        <v>#N/A</v>
      </c>
      <c r="F153" s="64" t="str">
        <f>_xlfn.CONCAT(Tableau118[[#This Row],[ID]],"-","Next")</f>
        <v>-Next</v>
      </c>
      <c r="G153" s="64" t="e">
        <f ca="1">_xlfn.CONCAT(Tableau118[[#This Row],[POD]],"-",Tableau118[[#This Row],[Code PFI]],"-",Tableau118[[#This Row],[Compte Site]])</f>
        <v>#N/A</v>
      </c>
      <c r="H15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3" s="397" t="str">
        <f ca="1">IF(COUNTIF(I:I,Tableau118[[#This Row],[Plant-ILN-shipper-POL-Carrier-POD-PFI]])=1,"Non","Oui")</f>
        <v>Oui</v>
      </c>
      <c r="K153" s="399" t="e">
        <f>VLOOKUP(Tableau118[[#This Row],[Name Site]],Plant_AILN!A:D,4,FALSE)</f>
        <v>#N/A</v>
      </c>
      <c r="L153" s="10"/>
      <c r="M153" s="480"/>
      <c r="N153" s="55"/>
      <c r="O153" s="114"/>
      <c r="P153" s="481"/>
      <c r="Q153" s="50"/>
      <c r="R153" s="50"/>
      <c r="S153" s="50"/>
      <c r="T153" s="50"/>
      <c r="U153" s="50"/>
      <c r="V153" s="50"/>
      <c r="W153" s="53"/>
      <c r="X153" s="283"/>
      <c r="Y153" s="482">
        <f>IFERROR(VLOOKUP(Tableau118[[#This Row],[Name Shipper]],Plant_AILN!L:M,2,FALSE),0)</f>
        <v>0</v>
      </c>
      <c r="Z153" s="358"/>
      <c r="AA153" s="353" t="e">
        <f ca="1">VLOOKUP(Tableau118[[#This Row],[Key(ID-Actif)]],'DATA BTO'!A:N,5,FALSE)</f>
        <v>#N/A</v>
      </c>
      <c r="AB153" s="3" t="e">
        <f ca="1">VLOOKUP(Tableau118[[#This Row],[Key(ID-Actif)]],'DATA BTO'!A:N,6,FALSE)</f>
        <v>#N/A</v>
      </c>
      <c r="AC153" s="50" t="e">
        <f ca="1">VLOOKUP(Tableau118[[#This Row],[Key(ID-Actif)]],'DATA BTO'!A:N,7,FALSE)</f>
        <v>#N/A</v>
      </c>
      <c r="AD153" s="50" t="e">
        <f ca="1">VLOOKUP(Tableau118[[#This Row],[Key(ID-Actif)]],'DATA BTO'!A:N,8,FALSE)</f>
        <v>#N/A</v>
      </c>
      <c r="AE153" s="50" t="e">
        <f ca="1">IF(Tableau118[[#This Row],[First Day to POL]]&lt;=Tableau118[[#This Row],[Day Cut Off]],Tableau118[[#This Row],[Day ETD]],Tableau118[[#This Row],[Day ETD]]+7)</f>
        <v>#N/A</v>
      </c>
      <c r="AF153" s="50" t="e">
        <f ca="1">VLOOKUP(Tableau118[[#This Row],[Key(ID-Actif)]],'DATA BTO'!A:N,9,FALSE)</f>
        <v>#N/A</v>
      </c>
      <c r="AG153" s="3" t="e">
        <f ca="1">VLOOKUP(Tableau118[[#This Row],[Key(ID-Actif)]],'DATA BTO'!A:N,10,FALSE)</f>
        <v>#N/A</v>
      </c>
      <c r="AH153" s="3" t="e">
        <f ca="1">VLOOKUP(Tableau118[[#This Row],[Key(ID-Actif)]],'DATA BTO'!A:N,11,FALSE)</f>
        <v>#N/A</v>
      </c>
      <c r="AI153" s="50" t="e">
        <f ca="1">VLOOKUP(Tableau118[[#This Row],[Key(ID-Actif)]],'DATA BTO'!A:N,12,FALSE)</f>
        <v>#N/A</v>
      </c>
      <c r="AJ153" s="53" t="e">
        <f ca="1">VLOOKUP(Tableau118[[#This Row],[Key(ID-Actif)]],'DATA BTO'!A:N,14,FALSE)</f>
        <v>#N/A</v>
      </c>
      <c r="AK153" s="54" t="e">
        <f ca="1">VLOOKUP(Tableau118[[#This Row],[Key(POD -PFI- Usine)]],'DATA Consignee'!A:F,6,FALSE)</f>
        <v>#N/A</v>
      </c>
      <c r="AL153" s="125" t="s">
        <v>161</v>
      </c>
      <c r="AM153" s="483">
        <f>IF(Tableau118[[#This Row],[Name PFI/CDD]]="","-",VLOOKUP(Tableau118[[#This Row],[Name PFI/CDD]],Plant_AILN!I:J,2,FALSE))</f>
        <v>91018400</v>
      </c>
      <c r="AN153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3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3" s="2" t="e">
        <f ca="1">VLOOKUP(Tableau118[[#This Row],[Key(POD -PFI- Usine)]],'DATA Consignee'!A:J,10,FALSE)</f>
        <v>#N/A</v>
      </c>
      <c r="AQ153" s="50" t="e">
        <f ca="1">VLOOKUP(Tableau118[[#This Row],[Key(POD -PFI- Usine)]],'DATA Consignee'!A:N,14,FALSE)</f>
        <v>#N/A</v>
      </c>
      <c r="AR15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3" s="50" t="e">
        <f ca="1">Tableau118[[#This Row],[Transit time]]+Tableau118[[#This Row],[Time for security]]+Tableau118[[#This Row],[Time for security2 buffer]]</f>
        <v>#N/A</v>
      </c>
      <c r="AU15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3" s="389" t="e">
        <f ca="1">Tableau118[[#This Row],[Leadtime SI2C]]+Tableau118[[#This Row],[First Receipt Days]]-Tableau118[[#This Row],[Day Customer Order]]+1</f>
        <v>#N/A</v>
      </c>
      <c r="AW153" s="117" t="e">
        <f ca="1">IF(Tableau118[[#This Row],[Name ILN]]&lt;&gt;"SFK Freight Forwarder",Tableau118[[#This Row],[Cust. Leadtime]],Tableau118[[#This Row],[Leadtime SI2C]])</f>
        <v>#N/A</v>
      </c>
      <c r="AX153" s="51" t="e">
        <f>VLOOKUP(Tableau118[[#This Row],[ID]],'DATA BTO'!B:P,15,FALSE)</f>
        <v>#N/A</v>
      </c>
      <c r="AY153" s="328" t="e">
        <f ca="1">IFERROR(VLOOKUP(Tableau118[[#This Row],[Key(ID-Actif)]],'DATA BTO'!A:N,4,FALSE),VLOOKUP(Tableau118[[#This Row],[ID]],'DATA BTO'!B:N,3,FALSE))</f>
        <v>#N/A</v>
      </c>
      <c r="AZ15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3" s="50"/>
    </row>
    <row r="154" spans="2:57">
      <c r="B154" s="65" t="str">
        <f>_xlfn.CONCAT(Tableau118[[#This Row],[Name ILN]],"-",Tableau118[[#This Row],[Name Shipper]],"-",Tableau118[[#This Row],[Name Site]])</f>
        <v>--</v>
      </c>
      <c r="C154" s="65" t="e">
        <f ca="1">_xlfn.CONCAT(Tableau118[[#This Row],[Compte ILN]],"-",Tableau118[[#This Row],[Compte Shipper]],"-",Tableau118[[#This Row],[POL]],"-",Tableau118[[#This Row],[Compte Site]])</f>
        <v>#N/A</v>
      </c>
      <c r="D154" s="64" t="e">
        <f ca="1">_xlfn.CONCAT(Tableau118[[#This Row],[Compte ILN]],"-",Tableau118[[#This Row],[Compte Shipper]],"-",Tableau118[[#This Row],[POL]])</f>
        <v>#N/A</v>
      </c>
      <c r="E154" s="396" t="e">
        <f ca="1">_xlfn.CONCAT(Tableau118[[#This Row],[POL]],"-",Tableau118[[#This Row],[Carrier]],"-",Tableau118[[#This Row],[POD]])</f>
        <v>#N/A</v>
      </c>
      <c r="F154" s="64" t="str">
        <f>_xlfn.CONCAT(Tableau118[[#This Row],[ID]],"-","Next")</f>
        <v>-Next</v>
      </c>
      <c r="G154" s="64" t="e">
        <f ca="1">_xlfn.CONCAT(Tableau118[[#This Row],[POD]],"-",Tableau118[[#This Row],[Code PFI]],"-",Tableau118[[#This Row],[Compte Site]])</f>
        <v>#N/A</v>
      </c>
      <c r="H15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4" s="397" t="str">
        <f ca="1">IF(COUNTIF(I:I,Tableau118[[#This Row],[Plant-ILN-shipper-POL-Carrier-POD-PFI]])=1,"Non","Oui")</f>
        <v>Oui</v>
      </c>
      <c r="K154" s="399" t="e">
        <f>VLOOKUP(Tableau118[[#This Row],[Name Site]],Plant_AILN!A:D,4,FALSE)</f>
        <v>#N/A</v>
      </c>
      <c r="L154" s="10"/>
      <c r="M154" s="480"/>
      <c r="N154" s="55"/>
      <c r="O154" s="114"/>
      <c r="P154" s="481"/>
      <c r="Q154" s="50"/>
      <c r="R154" s="50"/>
      <c r="S154" s="50"/>
      <c r="T154" s="50"/>
      <c r="U154" s="50"/>
      <c r="V154" s="50"/>
      <c r="W154" s="53"/>
      <c r="X154" s="283"/>
      <c r="Y154" s="482">
        <f>IFERROR(VLOOKUP(Tableau118[[#This Row],[Name Shipper]],Plant_AILN!L:M,2,FALSE),0)</f>
        <v>0</v>
      </c>
      <c r="Z154" s="358"/>
      <c r="AA154" s="353" t="e">
        <f ca="1">VLOOKUP(Tableau118[[#This Row],[Key(ID-Actif)]],'DATA BTO'!A:N,5,FALSE)</f>
        <v>#N/A</v>
      </c>
      <c r="AB154" s="3" t="e">
        <f ca="1">VLOOKUP(Tableau118[[#This Row],[Key(ID-Actif)]],'DATA BTO'!A:N,6,FALSE)</f>
        <v>#N/A</v>
      </c>
      <c r="AC154" s="50" t="e">
        <f ca="1">VLOOKUP(Tableau118[[#This Row],[Key(ID-Actif)]],'DATA BTO'!A:N,7,FALSE)</f>
        <v>#N/A</v>
      </c>
      <c r="AD154" s="50" t="e">
        <f ca="1">VLOOKUP(Tableau118[[#This Row],[Key(ID-Actif)]],'DATA BTO'!A:N,8,FALSE)</f>
        <v>#N/A</v>
      </c>
      <c r="AE154" s="50" t="e">
        <f ca="1">IF(Tableau118[[#This Row],[First Day to POL]]&lt;=Tableau118[[#This Row],[Day Cut Off]],Tableau118[[#This Row],[Day ETD]],Tableau118[[#This Row],[Day ETD]]+7)</f>
        <v>#N/A</v>
      </c>
      <c r="AF154" s="50" t="e">
        <f ca="1">VLOOKUP(Tableau118[[#This Row],[Key(ID-Actif)]],'DATA BTO'!A:N,9,FALSE)</f>
        <v>#N/A</v>
      </c>
      <c r="AG154" s="3" t="e">
        <f ca="1">VLOOKUP(Tableau118[[#This Row],[Key(ID-Actif)]],'DATA BTO'!A:N,10,FALSE)</f>
        <v>#N/A</v>
      </c>
      <c r="AH154" s="3" t="e">
        <f ca="1">VLOOKUP(Tableau118[[#This Row],[Key(ID-Actif)]],'DATA BTO'!A:N,11,FALSE)</f>
        <v>#N/A</v>
      </c>
      <c r="AI154" s="50" t="e">
        <f ca="1">VLOOKUP(Tableau118[[#This Row],[Key(ID-Actif)]],'DATA BTO'!A:N,12,FALSE)</f>
        <v>#N/A</v>
      </c>
      <c r="AJ154" s="53" t="e">
        <f ca="1">VLOOKUP(Tableau118[[#This Row],[Key(ID-Actif)]],'DATA BTO'!A:N,14,FALSE)</f>
        <v>#N/A</v>
      </c>
      <c r="AK154" s="54" t="e">
        <f ca="1">VLOOKUP(Tableau118[[#This Row],[Key(POD -PFI- Usine)]],'DATA Consignee'!A:F,6,FALSE)</f>
        <v>#N/A</v>
      </c>
      <c r="AL154" s="125" t="s">
        <v>161</v>
      </c>
      <c r="AM154" s="483">
        <f>IF(Tableau118[[#This Row],[Name PFI/CDD]]="","-",VLOOKUP(Tableau118[[#This Row],[Name PFI/CDD]],Plant_AILN!I:J,2,FALSE))</f>
        <v>91018400</v>
      </c>
      <c r="AN154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4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4" s="2" t="e">
        <f ca="1">VLOOKUP(Tableau118[[#This Row],[Key(POD -PFI- Usine)]],'DATA Consignee'!A:J,10,FALSE)</f>
        <v>#N/A</v>
      </c>
      <c r="AQ154" s="50" t="e">
        <f ca="1">VLOOKUP(Tableau118[[#This Row],[Key(POD -PFI- Usine)]],'DATA Consignee'!A:N,14,FALSE)</f>
        <v>#N/A</v>
      </c>
      <c r="AR15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4" s="50" t="e">
        <f ca="1">Tableau118[[#This Row],[Transit time]]+Tableau118[[#This Row],[Time for security]]+Tableau118[[#This Row],[Time for security2 buffer]]</f>
        <v>#N/A</v>
      </c>
      <c r="AU15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4" s="389" t="e">
        <f ca="1">Tableau118[[#This Row],[Leadtime SI2C]]+Tableau118[[#This Row],[First Receipt Days]]-Tableau118[[#This Row],[Day Customer Order]]+1</f>
        <v>#N/A</v>
      </c>
      <c r="AW154" s="117" t="e">
        <f ca="1">IF(Tableau118[[#This Row],[Name ILN]]&lt;&gt;"SFK Freight Forwarder",Tableau118[[#This Row],[Cust. Leadtime]],Tableau118[[#This Row],[Leadtime SI2C]])</f>
        <v>#N/A</v>
      </c>
      <c r="AX154" s="51" t="e">
        <f>VLOOKUP(Tableau118[[#This Row],[ID]],'DATA BTO'!B:P,15,FALSE)</f>
        <v>#N/A</v>
      </c>
      <c r="AY154" s="328" t="e">
        <f ca="1">IFERROR(VLOOKUP(Tableau118[[#This Row],[Key(ID-Actif)]],'DATA BTO'!A:N,4,FALSE),VLOOKUP(Tableau118[[#This Row],[ID]],'DATA BTO'!B:N,3,FALSE))</f>
        <v>#N/A</v>
      </c>
      <c r="AZ15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4" s="50"/>
    </row>
    <row r="155" spans="2:57">
      <c r="B155" s="65" t="str">
        <f>_xlfn.CONCAT(Tableau118[[#This Row],[Name ILN]],"-",Tableau118[[#This Row],[Name Shipper]],"-",Tableau118[[#This Row],[Name Site]])</f>
        <v>--</v>
      </c>
      <c r="C155" s="65" t="e">
        <f ca="1">_xlfn.CONCAT(Tableau118[[#This Row],[Compte ILN]],"-",Tableau118[[#This Row],[Compte Shipper]],"-",Tableau118[[#This Row],[POL]],"-",Tableau118[[#This Row],[Compte Site]])</f>
        <v>#N/A</v>
      </c>
      <c r="D155" s="64" t="e">
        <f ca="1">_xlfn.CONCAT(Tableau118[[#This Row],[Compte ILN]],"-",Tableau118[[#This Row],[Compte Shipper]],"-",Tableau118[[#This Row],[POL]])</f>
        <v>#N/A</v>
      </c>
      <c r="E155" s="396" t="e">
        <f ca="1">_xlfn.CONCAT(Tableau118[[#This Row],[POL]],"-",Tableau118[[#This Row],[Carrier]],"-",Tableau118[[#This Row],[POD]])</f>
        <v>#N/A</v>
      </c>
      <c r="F155" s="64" t="str">
        <f>_xlfn.CONCAT(Tableau118[[#This Row],[ID]],"-","Next")</f>
        <v>-Next</v>
      </c>
      <c r="G155" s="64" t="e">
        <f ca="1">_xlfn.CONCAT(Tableau118[[#This Row],[POD]],"-",Tableau118[[#This Row],[Code PFI]],"-",Tableau118[[#This Row],[Compte Site]])</f>
        <v>#N/A</v>
      </c>
      <c r="H15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5" s="397" t="str">
        <f ca="1">IF(COUNTIF(I:I,Tableau118[[#This Row],[Plant-ILN-shipper-POL-Carrier-POD-PFI]])=1,"Non","Oui")</f>
        <v>Oui</v>
      </c>
      <c r="K155" s="399" t="e">
        <f>VLOOKUP(Tableau118[[#This Row],[Name Site]],Plant_AILN!A:D,4,FALSE)</f>
        <v>#N/A</v>
      </c>
      <c r="L155" s="10"/>
      <c r="M155" s="480"/>
      <c r="N155" s="55"/>
      <c r="O155" s="114"/>
      <c r="P155" s="481"/>
      <c r="Q155" s="50"/>
      <c r="R155" s="50"/>
      <c r="S155" s="50"/>
      <c r="T155" s="50"/>
      <c r="U155" s="50"/>
      <c r="V155" s="50"/>
      <c r="W155" s="53"/>
      <c r="X155" s="283"/>
      <c r="Y155" s="482">
        <f>IFERROR(VLOOKUP(Tableau118[[#This Row],[Name Shipper]],Plant_AILN!L:M,2,FALSE),0)</f>
        <v>0</v>
      </c>
      <c r="Z155" s="358"/>
      <c r="AA155" s="353" t="e">
        <f ca="1">VLOOKUP(Tableau118[[#This Row],[Key(ID-Actif)]],'DATA BTO'!A:N,5,FALSE)</f>
        <v>#N/A</v>
      </c>
      <c r="AB155" s="3" t="e">
        <f ca="1">VLOOKUP(Tableau118[[#This Row],[Key(ID-Actif)]],'DATA BTO'!A:N,6,FALSE)</f>
        <v>#N/A</v>
      </c>
      <c r="AC155" s="50" t="e">
        <f ca="1">VLOOKUP(Tableau118[[#This Row],[Key(ID-Actif)]],'DATA BTO'!A:N,7,FALSE)</f>
        <v>#N/A</v>
      </c>
      <c r="AD155" s="50" t="e">
        <f ca="1">VLOOKUP(Tableau118[[#This Row],[Key(ID-Actif)]],'DATA BTO'!A:N,8,FALSE)</f>
        <v>#N/A</v>
      </c>
      <c r="AE155" s="50" t="e">
        <f ca="1">IF(Tableau118[[#This Row],[First Day to POL]]&lt;=Tableau118[[#This Row],[Day Cut Off]],Tableau118[[#This Row],[Day ETD]],Tableau118[[#This Row],[Day ETD]]+7)</f>
        <v>#N/A</v>
      </c>
      <c r="AF155" s="50" t="e">
        <f ca="1">VLOOKUP(Tableau118[[#This Row],[Key(ID-Actif)]],'DATA BTO'!A:N,9,FALSE)</f>
        <v>#N/A</v>
      </c>
      <c r="AG155" s="3" t="e">
        <f ca="1">VLOOKUP(Tableau118[[#This Row],[Key(ID-Actif)]],'DATA BTO'!A:N,10,FALSE)</f>
        <v>#N/A</v>
      </c>
      <c r="AH155" s="3" t="e">
        <f ca="1">VLOOKUP(Tableau118[[#This Row],[Key(ID-Actif)]],'DATA BTO'!A:N,11,FALSE)</f>
        <v>#N/A</v>
      </c>
      <c r="AI155" s="50" t="e">
        <f ca="1">VLOOKUP(Tableau118[[#This Row],[Key(ID-Actif)]],'DATA BTO'!A:N,12,FALSE)</f>
        <v>#N/A</v>
      </c>
      <c r="AJ155" s="53" t="e">
        <f ca="1">VLOOKUP(Tableau118[[#This Row],[Key(ID-Actif)]],'DATA BTO'!A:N,14,FALSE)</f>
        <v>#N/A</v>
      </c>
      <c r="AK155" s="54" t="e">
        <f ca="1">VLOOKUP(Tableau118[[#This Row],[Key(POD -PFI- Usine)]],'DATA Consignee'!A:F,6,FALSE)</f>
        <v>#N/A</v>
      </c>
      <c r="AL155" s="125" t="s">
        <v>161</v>
      </c>
      <c r="AM155" s="483">
        <f>IF(Tableau118[[#This Row],[Name PFI/CDD]]="","-",VLOOKUP(Tableau118[[#This Row],[Name PFI/CDD]],Plant_AILN!I:J,2,FALSE))</f>
        <v>91018400</v>
      </c>
      <c r="AN155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5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5" s="2" t="e">
        <f ca="1">VLOOKUP(Tableau118[[#This Row],[Key(POD -PFI- Usine)]],'DATA Consignee'!A:J,10,FALSE)</f>
        <v>#N/A</v>
      </c>
      <c r="AQ155" s="50" t="e">
        <f ca="1">VLOOKUP(Tableau118[[#This Row],[Key(POD -PFI- Usine)]],'DATA Consignee'!A:N,14,FALSE)</f>
        <v>#N/A</v>
      </c>
      <c r="AR15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5" s="50" t="e">
        <f ca="1">Tableau118[[#This Row],[Transit time]]+Tableau118[[#This Row],[Time for security]]+Tableau118[[#This Row],[Time for security2 buffer]]</f>
        <v>#N/A</v>
      </c>
      <c r="AU15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5" s="389" t="e">
        <f ca="1">Tableau118[[#This Row],[Leadtime SI2C]]+Tableau118[[#This Row],[First Receipt Days]]-Tableau118[[#This Row],[Day Customer Order]]+1</f>
        <v>#N/A</v>
      </c>
      <c r="AW155" s="117" t="e">
        <f ca="1">IF(Tableau118[[#This Row],[Name ILN]]&lt;&gt;"SFK Freight Forwarder",Tableau118[[#This Row],[Cust. Leadtime]],Tableau118[[#This Row],[Leadtime SI2C]])</f>
        <v>#N/A</v>
      </c>
      <c r="AX155" s="51" t="e">
        <f>VLOOKUP(Tableau118[[#This Row],[ID]],'DATA BTO'!B:P,15,FALSE)</f>
        <v>#N/A</v>
      </c>
      <c r="AY155" s="328" t="e">
        <f ca="1">IFERROR(VLOOKUP(Tableau118[[#This Row],[Key(ID-Actif)]],'DATA BTO'!A:N,4,FALSE),VLOOKUP(Tableau118[[#This Row],[ID]],'DATA BTO'!B:N,3,FALSE))</f>
        <v>#N/A</v>
      </c>
      <c r="AZ15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5" s="50"/>
    </row>
    <row r="156" spans="2:57">
      <c r="B156" s="65" t="str">
        <f>_xlfn.CONCAT(Tableau118[[#This Row],[Name ILN]],"-",Tableau118[[#This Row],[Name Shipper]],"-",Tableau118[[#This Row],[Name Site]])</f>
        <v>--</v>
      </c>
      <c r="C156" s="65" t="e">
        <f ca="1">_xlfn.CONCAT(Tableau118[[#This Row],[Compte ILN]],"-",Tableau118[[#This Row],[Compte Shipper]],"-",Tableau118[[#This Row],[POL]],"-",Tableau118[[#This Row],[Compte Site]])</f>
        <v>#N/A</v>
      </c>
      <c r="D156" s="64" t="e">
        <f ca="1">_xlfn.CONCAT(Tableau118[[#This Row],[Compte ILN]],"-",Tableau118[[#This Row],[Compte Shipper]],"-",Tableau118[[#This Row],[POL]])</f>
        <v>#N/A</v>
      </c>
      <c r="E156" s="396" t="e">
        <f ca="1">_xlfn.CONCAT(Tableau118[[#This Row],[POL]],"-",Tableau118[[#This Row],[Carrier]],"-",Tableau118[[#This Row],[POD]])</f>
        <v>#N/A</v>
      </c>
      <c r="F156" s="64" t="str">
        <f>_xlfn.CONCAT(Tableau118[[#This Row],[ID]],"-","Next")</f>
        <v>-Next</v>
      </c>
      <c r="G156" s="64" t="e">
        <f ca="1">_xlfn.CONCAT(Tableau118[[#This Row],[POD]],"-",Tableau118[[#This Row],[Code PFI]],"-",Tableau118[[#This Row],[Compte Site]])</f>
        <v>#N/A</v>
      </c>
      <c r="H15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6" s="397" t="str">
        <f ca="1">IF(COUNTIF(I:I,Tableau118[[#This Row],[Plant-ILN-shipper-POL-Carrier-POD-PFI]])=1,"Non","Oui")</f>
        <v>Oui</v>
      </c>
      <c r="K156" s="399" t="e">
        <f>VLOOKUP(Tableau118[[#This Row],[Name Site]],Plant_AILN!A:D,4,FALSE)</f>
        <v>#N/A</v>
      </c>
      <c r="L156" s="10"/>
      <c r="M156" s="480"/>
      <c r="N156" s="55"/>
      <c r="O156" s="114"/>
      <c r="P156" s="481"/>
      <c r="Q156" s="50"/>
      <c r="R156" s="50"/>
      <c r="S156" s="50"/>
      <c r="T156" s="50"/>
      <c r="U156" s="50"/>
      <c r="V156" s="50"/>
      <c r="W156" s="53"/>
      <c r="X156" s="283"/>
      <c r="Y156" s="482">
        <f>IFERROR(VLOOKUP(Tableau118[[#This Row],[Name Shipper]],Plant_AILN!L:M,2,FALSE),0)</f>
        <v>0</v>
      </c>
      <c r="Z156" s="358"/>
      <c r="AA156" s="353" t="e">
        <f ca="1">VLOOKUP(Tableau118[[#This Row],[Key(ID-Actif)]],'DATA BTO'!A:N,5,FALSE)</f>
        <v>#N/A</v>
      </c>
      <c r="AB156" s="3" t="e">
        <f ca="1">VLOOKUP(Tableau118[[#This Row],[Key(ID-Actif)]],'DATA BTO'!A:N,6,FALSE)</f>
        <v>#N/A</v>
      </c>
      <c r="AC156" s="50" t="e">
        <f ca="1">VLOOKUP(Tableau118[[#This Row],[Key(ID-Actif)]],'DATA BTO'!A:N,7,FALSE)</f>
        <v>#N/A</v>
      </c>
      <c r="AD156" s="50" t="e">
        <f ca="1">VLOOKUP(Tableau118[[#This Row],[Key(ID-Actif)]],'DATA BTO'!A:N,8,FALSE)</f>
        <v>#N/A</v>
      </c>
      <c r="AE156" s="50" t="e">
        <f ca="1">IF(Tableau118[[#This Row],[First Day to POL]]&lt;=Tableau118[[#This Row],[Day Cut Off]],Tableau118[[#This Row],[Day ETD]],Tableau118[[#This Row],[Day ETD]]+7)</f>
        <v>#N/A</v>
      </c>
      <c r="AF156" s="50" t="e">
        <f ca="1">VLOOKUP(Tableau118[[#This Row],[Key(ID-Actif)]],'DATA BTO'!A:N,9,FALSE)</f>
        <v>#N/A</v>
      </c>
      <c r="AG156" s="3" t="e">
        <f ca="1">VLOOKUP(Tableau118[[#This Row],[Key(ID-Actif)]],'DATA BTO'!A:N,10,FALSE)</f>
        <v>#N/A</v>
      </c>
      <c r="AH156" s="3" t="e">
        <f ca="1">VLOOKUP(Tableau118[[#This Row],[Key(ID-Actif)]],'DATA BTO'!A:N,11,FALSE)</f>
        <v>#N/A</v>
      </c>
      <c r="AI156" s="50" t="e">
        <f ca="1">VLOOKUP(Tableau118[[#This Row],[Key(ID-Actif)]],'DATA BTO'!A:N,12,FALSE)</f>
        <v>#N/A</v>
      </c>
      <c r="AJ156" s="53" t="e">
        <f ca="1">VLOOKUP(Tableau118[[#This Row],[Key(ID-Actif)]],'DATA BTO'!A:N,14,FALSE)</f>
        <v>#N/A</v>
      </c>
      <c r="AK156" s="54" t="e">
        <f ca="1">VLOOKUP(Tableau118[[#This Row],[Key(POD -PFI- Usine)]],'DATA Consignee'!A:F,6,FALSE)</f>
        <v>#N/A</v>
      </c>
      <c r="AL156" s="125" t="s">
        <v>161</v>
      </c>
      <c r="AM156" s="483">
        <f>IF(Tableau118[[#This Row],[Name PFI/CDD]]="","-",VLOOKUP(Tableau118[[#This Row],[Name PFI/CDD]],Plant_AILN!I:J,2,FALSE))</f>
        <v>91018400</v>
      </c>
      <c r="AN156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6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6" s="2" t="e">
        <f ca="1">VLOOKUP(Tableau118[[#This Row],[Key(POD -PFI- Usine)]],'DATA Consignee'!A:J,10,FALSE)</f>
        <v>#N/A</v>
      </c>
      <c r="AQ156" s="50" t="e">
        <f ca="1">VLOOKUP(Tableau118[[#This Row],[Key(POD -PFI- Usine)]],'DATA Consignee'!A:N,14,FALSE)</f>
        <v>#N/A</v>
      </c>
      <c r="AR15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6" s="50" t="e">
        <f ca="1">Tableau118[[#This Row],[Transit time]]+Tableau118[[#This Row],[Time for security]]+Tableau118[[#This Row],[Time for security2 buffer]]</f>
        <v>#N/A</v>
      </c>
      <c r="AU15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6" s="389" t="e">
        <f ca="1">Tableau118[[#This Row],[Leadtime SI2C]]+Tableau118[[#This Row],[First Receipt Days]]-Tableau118[[#This Row],[Day Customer Order]]+1</f>
        <v>#N/A</v>
      </c>
      <c r="AW156" s="117" t="e">
        <f ca="1">IF(Tableau118[[#This Row],[Name ILN]]&lt;&gt;"SFK Freight Forwarder",Tableau118[[#This Row],[Cust. Leadtime]],Tableau118[[#This Row],[Leadtime SI2C]])</f>
        <v>#N/A</v>
      </c>
      <c r="AX156" s="51" t="e">
        <f>VLOOKUP(Tableau118[[#This Row],[ID]],'DATA BTO'!B:P,15,FALSE)</f>
        <v>#N/A</v>
      </c>
      <c r="AY156" s="328" t="e">
        <f ca="1">IFERROR(VLOOKUP(Tableau118[[#This Row],[Key(ID-Actif)]],'DATA BTO'!A:N,4,FALSE),VLOOKUP(Tableau118[[#This Row],[ID]],'DATA BTO'!B:N,3,FALSE))</f>
        <v>#N/A</v>
      </c>
      <c r="AZ15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6" s="50"/>
    </row>
    <row r="157" spans="2:57">
      <c r="B157" s="65" t="str">
        <f>_xlfn.CONCAT(Tableau118[[#This Row],[Name ILN]],"-",Tableau118[[#This Row],[Name Shipper]],"-",Tableau118[[#This Row],[Name Site]])</f>
        <v>--</v>
      </c>
      <c r="C157" s="65" t="e">
        <f ca="1">_xlfn.CONCAT(Tableau118[[#This Row],[Compte ILN]],"-",Tableau118[[#This Row],[Compte Shipper]],"-",Tableau118[[#This Row],[POL]],"-",Tableau118[[#This Row],[Compte Site]])</f>
        <v>#N/A</v>
      </c>
      <c r="D157" s="64" t="e">
        <f ca="1">_xlfn.CONCAT(Tableau118[[#This Row],[Compte ILN]],"-",Tableau118[[#This Row],[Compte Shipper]],"-",Tableau118[[#This Row],[POL]])</f>
        <v>#N/A</v>
      </c>
      <c r="E157" s="396" t="e">
        <f ca="1">_xlfn.CONCAT(Tableau118[[#This Row],[POL]],"-",Tableau118[[#This Row],[Carrier]],"-",Tableau118[[#This Row],[POD]])</f>
        <v>#N/A</v>
      </c>
      <c r="F157" s="64" t="str">
        <f>_xlfn.CONCAT(Tableau118[[#This Row],[ID]],"-","Next")</f>
        <v>-Next</v>
      </c>
      <c r="G157" s="64" t="e">
        <f ca="1">_xlfn.CONCAT(Tableau118[[#This Row],[POD]],"-",Tableau118[[#This Row],[Code PFI]],"-",Tableau118[[#This Row],[Compte Site]])</f>
        <v>#N/A</v>
      </c>
      <c r="H15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7" s="397" t="str">
        <f ca="1">IF(COUNTIF(I:I,Tableau118[[#This Row],[Plant-ILN-shipper-POL-Carrier-POD-PFI]])=1,"Non","Oui")</f>
        <v>Oui</v>
      </c>
      <c r="K157" s="399" t="e">
        <f>VLOOKUP(Tableau118[[#This Row],[Name Site]],Plant_AILN!A:D,4,FALSE)</f>
        <v>#N/A</v>
      </c>
      <c r="L157" s="10"/>
      <c r="M157" s="480"/>
      <c r="N157" s="55"/>
      <c r="O157" s="122"/>
      <c r="P157" s="481"/>
      <c r="Q157" s="50"/>
      <c r="R157" s="50"/>
      <c r="S157" s="50"/>
      <c r="T157" s="50"/>
      <c r="U157" s="50"/>
      <c r="V157" s="50"/>
      <c r="W157" s="53"/>
      <c r="X157" s="283"/>
      <c r="Y157" s="482">
        <f>IFERROR(VLOOKUP(Tableau118[[#This Row],[Name Shipper]],Plant_AILN!L:M,2,FALSE),0)</f>
        <v>0</v>
      </c>
      <c r="Z157" s="358"/>
      <c r="AA157" s="353" t="e">
        <f ca="1">VLOOKUP(Tableau118[[#This Row],[Key(ID-Actif)]],'DATA BTO'!A:N,5,FALSE)</f>
        <v>#N/A</v>
      </c>
      <c r="AB157" s="3" t="e">
        <f ca="1">VLOOKUP(Tableau118[[#This Row],[Key(ID-Actif)]],'DATA BTO'!A:N,6,FALSE)</f>
        <v>#N/A</v>
      </c>
      <c r="AC157" s="50" t="e">
        <f ca="1">VLOOKUP(Tableau118[[#This Row],[Key(ID-Actif)]],'DATA BTO'!A:N,7,FALSE)</f>
        <v>#N/A</v>
      </c>
      <c r="AD157" s="50" t="e">
        <f ca="1">VLOOKUP(Tableau118[[#This Row],[Key(ID-Actif)]],'DATA BTO'!A:N,8,FALSE)</f>
        <v>#N/A</v>
      </c>
      <c r="AE157" s="50" t="e">
        <f ca="1">IF(Tableau118[[#This Row],[First Day to POL]]&lt;=Tableau118[[#This Row],[Day Cut Off]],Tableau118[[#This Row],[Day ETD]],Tableau118[[#This Row],[Day ETD]]+7)</f>
        <v>#N/A</v>
      </c>
      <c r="AF157" s="50" t="e">
        <f ca="1">VLOOKUP(Tableau118[[#This Row],[Key(ID-Actif)]],'DATA BTO'!A:N,9,FALSE)</f>
        <v>#N/A</v>
      </c>
      <c r="AG157" s="3" t="e">
        <f ca="1">VLOOKUP(Tableau118[[#This Row],[Key(ID-Actif)]],'DATA BTO'!A:N,10,FALSE)</f>
        <v>#N/A</v>
      </c>
      <c r="AH157" s="3" t="e">
        <f ca="1">VLOOKUP(Tableau118[[#This Row],[Key(ID-Actif)]],'DATA BTO'!A:N,11,FALSE)</f>
        <v>#N/A</v>
      </c>
      <c r="AI157" s="50" t="e">
        <f ca="1">VLOOKUP(Tableau118[[#This Row],[Key(ID-Actif)]],'DATA BTO'!A:N,12,FALSE)</f>
        <v>#N/A</v>
      </c>
      <c r="AJ157" s="53" t="e">
        <f ca="1">VLOOKUP(Tableau118[[#This Row],[Key(ID-Actif)]],'DATA BTO'!A:N,14,FALSE)</f>
        <v>#N/A</v>
      </c>
      <c r="AK157" s="54" t="e">
        <f ca="1">VLOOKUP(Tableau118[[#This Row],[Key(POD -PFI- Usine)]],'DATA Consignee'!A:F,6,FALSE)</f>
        <v>#N/A</v>
      </c>
      <c r="AL157" s="125" t="s">
        <v>161</v>
      </c>
      <c r="AM157" s="483">
        <f>IF(Tableau118[[#This Row],[Name PFI/CDD]]="","-",VLOOKUP(Tableau118[[#This Row],[Name PFI/CDD]],Plant_AILN!I:J,2,FALSE))</f>
        <v>91018400</v>
      </c>
      <c r="AN157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7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7" s="2" t="e">
        <f ca="1">VLOOKUP(Tableau118[[#This Row],[Key(POD -PFI- Usine)]],'DATA Consignee'!A:J,10,FALSE)</f>
        <v>#N/A</v>
      </c>
      <c r="AQ157" s="50" t="e">
        <f ca="1">VLOOKUP(Tableau118[[#This Row],[Key(POD -PFI- Usine)]],'DATA Consignee'!A:N,14,FALSE)</f>
        <v>#N/A</v>
      </c>
      <c r="AR15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7" s="50" t="e">
        <f ca="1">Tableau118[[#This Row],[Transit time]]+Tableau118[[#This Row],[Time for security]]+Tableau118[[#This Row],[Time for security2 buffer]]</f>
        <v>#N/A</v>
      </c>
      <c r="AU15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7" s="389" t="e">
        <f ca="1">Tableau118[[#This Row],[Leadtime SI2C]]+Tableau118[[#This Row],[First Receipt Days]]-Tableau118[[#This Row],[Day Customer Order]]+1</f>
        <v>#N/A</v>
      </c>
      <c r="AW157" s="117" t="e">
        <f ca="1">IF(Tableau118[[#This Row],[Name ILN]]&lt;&gt;"SFK Freight Forwarder",Tableau118[[#This Row],[Cust. Leadtime]],Tableau118[[#This Row],[Leadtime SI2C]])</f>
        <v>#N/A</v>
      </c>
      <c r="AX157" s="51" t="e">
        <f>VLOOKUP(Tableau118[[#This Row],[ID]],'DATA BTO'!B:P,15,FALSE)</f>
        <v>#N/A</v>
      </c>
      <c r="AY157" s="328" t="e">
        <f ca="1">IFERROR(VLOOKUP(Tableau118[[#This Row],[Key(ID-Actif)]],'DATA BTO'!A:N,4,FALSE),VLOOKUP(Tableau118[[#This Row],[ID]],'DATA BTO'!B:N,3,FALSE))</f>
        <v>#N/A</v>
      </c>
      <c r="AZ15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7" s="50"/>
    </row>
    <row r="158" spans="2:57">
      <c r="B158" s="65" t="str">
        <f>_xlfn.CONCAT(Tableau118[[#This Row],[Name ILN]],"-",Tableau118[[#This Row],[Name Shipper]],"-",Tableau118[[#This Row],[Name Site]])</f>
        <v>--</v>
      </c>
      <c r="C158" s="65" t="e">
        <f ca="1">_xlfn.CONCAT(Tableau118[[#This Row],[Compte ILN]],"-",Tableau118[[#This Row],[Compte Shipper]],"-",Tableau118[[#This Row],[POL]],"-",Tableau118[[#This Row],[Compte Site]])</f>
        <v>#N/A</v>
      </c>
      <c r="D158" s="64" t="e">
        <f ca="1">_xlfn.CONCAT(Tableau118[[#This Row],[Compte ILN]],"-",Tableau118[[#This Row],[Compte Shipper]],"-",Tableau118[[#This Row],[POL]])</f>
        <v>#N/A</v>
      </c>
      <c r="E158" s="396" t="e">
        <f ca="1">_xlfn.CONCAT(Tableau118[[#This Row],[POL]],"-",Tableau118[[#This Row],[Carrier]],"-",Tableau118[[#This Row],[POD]])</f>
        <v>#N/A</v>
      </c>
      <c r="F158" s="64" t="str">
        <f>_xlfn.CONCAT(Tableau118[[#This Row],[ID]],"-","Next")</f>
        <v>-Next</v>
      </c>
      <c r="G158" s="64" t="e">
        <f ca="1">_xlfn.CONCAT(Tableau118[[#This Row],[POD]],"-",Tableau118[[#This Row],[Code PFI]],"-",Tableau118[[#This Row],[Compte Site]])</f>
        <v>#N/A</v>
      </c>
      <c r="H15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8" s="397" t="str">
        <f ca="1">IF(COUNTIF(I:I,Tableau118[[#This Row],[Plant-ILN-shipper-POL-Carrier-POD-PFI]])=1,"Non","Oui")</f>
        <v>Oui</v>
      </c>
      <c r="K158" s="399" t="e">
        <f>VLOOKUP(Tableau118[[#This Row],[Name Site]],Plant_AILN!A:D,4,FALSE)</f>
        <v>#N/A</v>
      </c>
      <c r="L158" s="10"/>
      <c r="M158" s="480"/>
      <c r="N158" s="55"/>
      <c r="O158" s="122"/>
      <c r="P158" s="481"/>
      <c r="Q158" s="50"/>
      <c r="R158" s="50"/>
      <c r="S158" s="50"/>
      <c r="T158" s="50"/>
      <c r="U158" s="50"/>
      <c r="V158" s="50"/>
      <c r="W158" s="53"/>
      <c r="X158" s="283"/>
      <c r="Y158" s="482">
        <f>IFERROR(VLOOKUP(Tableau118[[#This Row],[Name Shipper]],Plant_AILN!L:M,2,FALSE),0)</f>
        <v>0</v>
      </c>
      <c r="Z158" s="358"/>
      <c r="AA158" s="353" t="e">
        <f ca="1">VLOOKUP(Tableau118[[#This Row],[Key(ID-Actif)]],'DATA BTO'!A:N,5,FALSE)</f>
        <v>#N/A</v>
      </c>
      <c r="AB158" s="3" t="e">
        <f ca="1">VLOOKUP(Tableau118[[#This Row],[Key(ID-Actif)]],'DATA BTO'!A:N,6,FALSE)</f>
        <v>#N/A</v>
      </c>
      <c r="AC158" s="50" t="e">
        <f ca="1">VLOOKUP(Tableau118[[#This Row],[Key(ID-Actif)]],'DATA BTO'!A:N,7,FALSE)</f>
        <v>#N/A</v>
      </c>
      <c r="AD158" s="50" t="e">
        <f ca="1">VLOOKUP(Tableau118[[#This Row],[Key(ID-Actif)]],'DATA BTO'!A:N,8,FALSE)</f>
        <v>#N/A</v>
      </c>
      <c r="AE158" s="50" t="e">
        <f ca="1">IF(Tableau118[[#This Row],[First Day to POL]]&lt;=Tableau118[[#This Row],[Day Cut Off]],Tableau118[[#This Row],[Day ETD]],Tableau118[[#This Row],[Day ETD]]+7)</f>
        <v>#N/A</v>
      </c>
      <c r="AF158" s="50" t="e">
        <f ca="1">VLOOKUP(Tableau118[[#This Row],[Key(ID-Actif)]],'DATA BTO'!A:N,9,FALSE)</f>
        <v>#N/A</v>
      </c>
      <c r="AG158" s="3" t="e">
        <f ca="1">VLOOKUP(Tableau118[[#This Row],[Key(ID-Actif)]],'DATA BTO'!A:N,10,FALSE)</f>
        <v>#N/A</v>
      </c>
      <c r="AH158" s="3" t="e">
        <f ca="1">VLOOKUP(Tableau118[[#This Row],[Key(ID-Actif)]],'DATA BTO'!A:N,11,FALSE)</f>
        <v>#N/A</v>
      </c>
      <c r="AI158" s="50" t="e">
        <f ca="1">VLOOKUP(Tableau118[[#This Row],[Key(ID-Actif)]],'DATA BTO'!A:N,12,FALSE)</f>
        <v>#N/A</v>
      </c>
      <c r="AJ158" s="53" t="e">
        <f ca="1">VLOOKUP(Tableau118[[#This Row],[Key(ID-Actif)]],'DATA BTO'!A:N,14,FALSE)</f>
        <v>#N/A</v>
      </c>
      <c r="AK158" s="54" t="e">
        <f ca="1">VLOOKUP(Tableau118[[#This Row],[Key(POD -PFI- Usine)]],'DATA Consignee'!A:F,6,FALSE)</f>
        <v>#N/A</v>
      </c>
      <c r="AL158" s="125" t="s">
        <v>161</v>
      </c>
      <c r="AM158" s="483">
        <f>IF(Tableau118[[#This Row],[Name PFI/CDD]]="","-",VLOOKUP(Tableau118[[#This Row],[Name PFI/CDD]],Plant_AILN!I:J,2,FALSE))</f>
        <v>91018400</v>
      </c>
      <c r="AN15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8" s="2" t="e">
        <f ca="1">VLOOKUP(Tableau118[[#This Row],[Key(POD -PFI- Usine)]],'DATA Consignee'!A:J,10,FALSE)</f>
        <v>#N/A</v>
      </c>
      <c r="AQ158" s="50" t="e">
        <f ca="1">VLOOKUP(Tableau118[[#This Row],[Key(POD -PFI- Usine)]],'DATA Consignee'!A:N,14,FALSE)</f>
        <v>#N/A</v>
      </c>
      <c r="AR15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8" s="50" t="e">
        <f ca="1">Tableau118[[#This Row],[Transit time]]+Tableau118[[#This Row],[Time for security]]+Tableau118[[#This Row],[Time for security2 buffer]]</f>
        <v>#N/A</v>
      </c>
      <c r="AU15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8" s="389" t="e">
        <f ca="1">Tableau118[[#This Row],[Leadtime SI2C]]+Tableau118[[#This Row],[First Receipt Days]]-Tableau118[[#This Row],[Day Customer Order]]+1</f>
        <v>#N/A</v>
      </c>
      <c r="AW158" s="117" t="e">
        <f ca="1">IF(Tableau118[[#This Row],[Name ILN]]&lt;&gt;"SFK Freight Forwarder",Tableau118[[#This Row],[Cust. Leadtime]],Tableau118[[#This Row],[Leadtime SI2C]])</f>
        <v>#N/A</v>
      </c>
      <c r="AX158" s="51" t="e">
        <f>VLOOKUP(Tableau118[[#This Row],[ID]],'DATA BTO'!B:P,15,FALSE)</f>
        <v>#N/A</v>
      </c>
      <c r="AY158" s="328" t="e">
        <f ca="1">IFERROR(VLOOKUP(Tableau118[[#This Row],[Key(ID-Actif)]],'DATA BTO'!A:N,4,FALSE),VLOOKUP(Tableau118[[#This Row],[ID]],'DATA BTO'!B:N,3,FALSE))</f>
        <v>#N/A</v>
      </c>
      <c r="AZ15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8" s="50"/>
    </row>
    <row r="159" spans="2:57">
      <c r="B159" s="65" t="str">
        <f>_xlfn.CONCAT(Tableau118[[#This Row],[Name ILN]],"-",Tableau118[[#This Row],[Name Shipper]],"-",Tableau118[[#This Row],[Name Site]])</f>
        <v>--</v>
      </c>
      <c r="C159" s="65" t="e">
        <f ca="1">_xlfn.CONCAT(Tableau118[[#This Row],[Compte ILN]],"-",Tableau118[[#This Row],[Compte Shipper]],"-",Tableau118[[#This Row],[POL]],"-",Tableau118[[#This Row],[Compte Site]])</f>
        <v>#N/A</v>
      </c>
      <c r="D159" s="64" t="e">
        <f ca="1">_xlfn.CONCAT(Tableau118[[#This Row],[Compte ILN]],"-",Tableau118[[#This Row],[Compte Shipper]],"-",Tableau118[[#This Row],[POL]])</f>
        <v>#N/A</v>
      </c>
      <c r="E159" s="396" t="e">
        <f ca="1">_xlfn.CONCAT(Tableau118[[#This Row],[POL]],"-",Tableau118[[#This Row],[Carrier]],"-",Tableau118[[#This Row],[POD]])</f>
        <v>#N/A</v>
      </c>
      <c r="F159" s="64" t="str">
        <f>_xlfn.CONCAT(Tableau118[[#This Row],[ID]],"-","Next")</f>
        <v>-Next</v>
      </c>
      <c r="G159" s="64" t="e">
        <f ca="1">_xlfn.CONCAT(Tableau118[[#This Row],[POD]],"-",Tableau118[[#This Row],[Code PFI]],"-",Tableau118[[#This Row],[Compte Site]])</f>
        <v>#N/A</v>
      </c>
      <c r="H15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5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59" s="397" t="str">
        <f ca="1">IF(COUNTIF(I:I,Tableau118[[#This Row],[Plant-ILN-shipper-POL-Carrier-POD-PFI]])=1,"Non","Oui")</f>
        <v>Oui</v>
      </c>
      <c r="K159" s="399" t="e">
        <f>VLOOKUP(Tableau118[[#This Row],[Name Site]],Plant_AILN!A:D,4,FALSE)</f>
        <v>#N/A</v>
      </c>
      <c r="L159" s="10"/>
      <c r="M159" s="480"/>
      <c r="N159" s="55"/>
      <c r="O159" s="122"/>
      <c r="P159" s="481"/>
      <c r="Q159" s="50"/>
      <c r="R159" s="50"/>
      <c r="S159" s="50"/>
      <c r="T159" s="50"/>
      <c r="U159" s="50"/>
      <c r="V159" s="50"/>
      <c r="W159" s="53"/>
      <c r="X159" s="283"/>
      <c r="Y159" s="482">
        <f>IFERROR(VLOOKUP(Tableau118[[#This Row],[Name Shipper]],Plant_AILN!L:M,2,FALSE),0)</f>
        <v>0</v>
      </c>
      <c r="Z159" s="358"/>
      <c r="AA159" s="353" t="e">
        <f ca="1">VLOOKUP(Tableau118[[#This Row],[Key(ID-Actif)]],'DATA BTO'!A:N,5,FALSE)</f>
        <v>#N/A</v>
      </c>
      <c r="AB159" s="3" t="e">
        <f ca="1">VLOOKUP(Tableau118[[#This Row],[Key(ID-Actif)]],'DATA BTO'!A:N,6,FALSE)</f>
        <v>#N/A</v>
      </c>
      <c r="AC159" s="50" t="e">
        <f ca="1">VLOOKUP(Tableau118[[#This Row],[Key(ID-Actif)]],'DATA BTO'!A:N,7,FALSE)</f>
        <v>#N/A</v>
      </c>
      <c r="AD159" s="50" t="e">
        <f ca="1">VLOOKUP(Tableau118[[#This Row],[Key(ID-Actif)]],'DATA BTO'!A:N,8,FALSE)</f>
        <v>#N/A</v>
      </c>
      <c r="AE159" s="50" t="e">
        <f ca="1">IF(Tableau118[[#This Row],[First Day to POL]]&lt;=Tableau118[[#This Row],[Day Cut Off]],Tableau118[[#This Row],[Day ETD]],Tableau118[[#This Row],[Day ETD]]+7)</f>
        <v>#N/A</v>
      </c>
      <c r="AF159" s="50" t="e">
        <f ca="1">VLOOKUP(Tableau118[[#This Row],[Key(ID-Actif)]],'DATA BTO'!A:N,9,FALSE)</f>
        <v>#N/A</v>
      </c>
      <c r="AG159" s="3" t="e">
        <f ca="1">VLOOKUP(Tableau118[[#This Row],[Key(ID-Actif)]],'DATA BTO'!A:N,10,FALSE)</f>
        <v>#N/A</v>
      </c>
      <c r="AH159" s="3" t="e">
        <f ca="1">VLOOKUP(Tableau118[[#This Row],[Key(ID-Actif)]],'DATA BTO'!A:N,11,FALSE)</f>
        <v>#N/A</v>
      </c>
      <c r="AI159" s="50" t="e">
        <f ca="1">VLOOKUP(Tableau118[[#This Row],[Key(ID-Actif)]],'DATA BTO'!A:N,12,FALSE)</f>
        <v>#N/A</v>
      </c>
      <c r="AJ159" s="53" t="e">
        <f ca="1">VLOOKUP(Tableau118[[#This Row],[Key(ID-Actif)]],'DATA BTO'!A:N,14,FALSE)</f>
        <v>#N/A</v>
      </c>
      <c r="AK159" s="54" t="e">
        <f ca="1">VLOOKUP(Tableau118[[#This Row],[Key(POD -PFI- Usine)]],'DATA Consignee'!A:F,6,FALSE)</f>
        <v>#N/A</v>
      </c>
      <c r="AL159" s="125" t="s">
        <v>161</v>
      </c>
      <c r="AM159" s="483">
        <f>IF(Tableau118[[#This Row],[Name PFI/CDD]]="","-",VLOOKUP(Tableau118[[#This Row],[Name PFI/CDD]],Plant_AILN!I:J,2,FALSE))</f>
        <v>91018400</v>
      </c>
      <c r="AN159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59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59" s="2" t="e">
        <f ca="1">VLOOKUP(Tableau118[[#This Row],[Key(POD -PFI- Usine)]],'DATA Consignee'!A:J,10,FALSE)</f>
        <v>#N/A</v>
      </c>
      <c r="AQ159" s="50" t="e">
        <f ca="1">VLOOKUP(Tableau118[[#This Row],[Key(POD -PFI- Usine)]],'DATA Consignee'!A:N,14,FALSE)</f>
        <v>#N/A</v>
      </c>
      <c r="AR15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5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59" s="50" t="e">
        <f ca="1">Tableau118[[#This Row],[Transit time]]+Tableau118[[#This Row],[Time for security]]+Tableau118[[#This Row],[Time for security2 buffer]]</f>
        <v>#N/A</v>
      </c>
      <c r="AU15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59" s="389" t="e">
        <f ca="1">Tableau118[[#This Row],[Leadtime SI2C]]+Tableau118[[#This Row],[First Receipt Days]]-Tableau118[[#This Row],[Day Customer Order]]+1</f>
        <v>#N/A</v>
      </c>
      <c r="AW159" s="117" t="e">
        <f ca="1">IF(Tableau118[[#This Row],[Name ILN]]&lt;&gt;"SFK Freight Forwarder",Tableau118[[#This Row],[Cust. Leadtime]],Tableau118[[#This Row],[Leadtime SI2C]])</f>
        <v>#N/A</v>
      </c>
      <c r="AX159" s="51" t="e">
        <f>VLOOKUP(Tableau118[[#This Row],[ID]],'DATA BTO'!B:P,15,FALSE)</f>
        <v>#N/A</v>
      </c>
      <c r="AY159" s="328" t="e">
        <f ca="1">IFERROR(VLOOKUP(Tableau118[[#This Row],[Key(ID-Actif)]],'DATA BTO'!A:N,4,FALSE),VLOOKUP(Tableau118[[#This Row],[ID]],'DATA BTO'!B:N,3,FALSE))</f>
        <v>#N/A</v>
      </c>
      <c r="AZ15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5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5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5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5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59" s="50"/>
    </row>
    <row r="160" spans="2:57">
      <c r="B160" s="65" t="str">
        <f>_xlfn.CONCAT(Tableau118[[#This Row],[Name ILN]],"-",Tableau118[[#This Row],[Name Shipper]],"-",Tableau118[[#This Row],[Name Site]])</f>
        <v>--</v>
      </c>
      <c r="C160" s="65" t="e">
        <f ca="1">_xlfn.CONCAT(Tableau118[[#This Row],[Compte ILN]],"-",Tableau118[[#This Row],[Compte Shipper]],"-",Tableau118[[#This Row],[POL]],"-",Tableau118[[#This Row],[Compte Site]])</f>
        <v>#N/A</v>
      </c>
      <c r="D160" s="64" t="e">
        <f ca="1">_xlfn.CONCAT(Tableau118[[#This Row],[Compte ILN]],"-",Tableau118[[#This Row],[Compte Shipper]],"-",Tableau118[[#This Row],[POL]])</f>
        <v>#N/A</v>
      </c>
      <c r="E160" s="396" t="e">
        <f ca="1">_xlfn.CONCAT(Tableau118[[#This Row],[POL]],"-",Tableau118[[#This Row],[Carrier]],"-",Tableau118[[#This Row],[POD]])</f>
        <v>#N/A</v>
      </c>
      <c r="F160" s="64" t="str">
        <f>_xlfn.CONCAT(Tableau118[[#This Row],[ID]],"-","Next")</f>
        <v>-Next</v>
      </c>
      <c r="G160" s="64" t="e">
        <f ca="1">_xlfn.CONCAT(Tableau118[[#This Row],[POD]],"-",Tableau118[[#This Row],[Code PFI]],"-",Tableau118[[#This Row],[Compte Site]])</f>
        <v>#N/A</v>
      </c>
      <c r="H16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0" s="397" t="str">
        <f ca="1">IF(COUNTIF(I:I,Tableau118[[#This Row],[Plant-ILN-shipper-POL-Carrier-POD-PFI]])=1,"Non","Oui")</f>
        <v>Oui</v>
      </c>
      <c r="K160" s="399" t="e">
        <f>VLOOKUP(Tableau118[[#This Row],[Name Site]],Plant_AILN!A:D,4,FALSE)</f>
        <v>#N/A</v>
      </c>
      <c r="L160" s="10"/>
      <c r="M160" s="480"/>
      <c r="N160" s="55"/>
      <c r="O160" s="122"/>
      <c r="P160" s="481"/>
      <c r="Q160" s="50"/>
      <c r="R160" s="50"/>
      <c r="S160" s="50"/>
      <c r="T160" s="50"/>
      <c r="U160" s="50"/>
      <c r="V160" s="50"/>
      <c r="W160" s="53"/>
      <c r="X160" s="283"/>
      <c r="Y160" s="482">
        <f>IFERROR(VLOOKUP(Tableau118[[#This Row],[Name Shipper]],Plant_AILN!L:M,2,FALSE),0)</f>
        <v>0</v>
      </c>
      <c r="Z160" s="358"/>
      <c r="AA160" s="353" t="e">
        <f ca="1">VLOOKUP(Tableau118[[#This Row],[Key(ID-Actif)]],'DATA BTO'!A:N,5,FALSE)</f>
        <v>#N/A</v>
      </c>
      <c r="AB160" s="3" t="e">
        <f ca="1">VLOOKUP(Tableau118[[#This Row],[Key(ID-Actif)]],'DATA BTO'!A:N,6,FALSE)</f>
        <v>#N/A</v>
      </c>
      <c r="AC160" s="50" t="e">
        <f ca="1">VLOOKUP(Tableau118[[#This Row],[Key(ID-Actif)]],'DATA BTO'!A:N,7,FALSE)</f>
        <v>#N/A</v>
      </c>
      <c r="AD160" s="50" t="e">
        <f ca="1">VLOOKUP(Tableau118[[#This Row],[Key(ID-Actif)]],'DATA BTO'!A:N,8,FALSE)</f>
        <v>#N/A</v>
      </c>
      <c r="AE160" s="50" t="e">
        <f ca="1">IF(Tableau118[[#This Row],[First Day to POL]]&lt;=Tableau118[[#This Row],[Day Cut Off]],Tableau118[[#This Row],[Day ETD]],Tableau118[[#This Row],[Day ETD]]+7)</f>
        <v>#N/A</v>
      </c>
      <c r="AF160" s="50" t="e">
        <f ca="1">VLOOKUP(Tableau118[[#This Row],[Key(ID-Actif)]],'DATA BTO'!A:N,9,FALSE)</f>
        <v>#N/A</v>
      </c>
      <c r="AG160" s="3" t="e">
        <f ca="1">VLOOKUP(Tableau118[[#This Row],[Key(ID-Actif)]],'DATA BTO'!A:N,10,FALSE)</f>
        <v>#N/A</v>
      </c>
      <c r="AH160" s="3" t="e">
        <f ca="1">VLOOKUP(Tableau118[[#This Row],[Key(ID-Actif)]],'DATA BTO'!A:N,11,FALSE)</f>
        <v>#N/A</v>
      </c>
      <c r="AI160" s="50" t="e">
        <f ca="1">VLOOKUP(Tableau118[[#This Row],[Key(ID-Actif)]],'DATA BTO'!A:N,12,FALSE)</f>
        <v>#N/A</v>
      </c>
      <c r="AJ160" s="53" t="e">
        <f ca="1">VLOOKUP(Tableau118[[#This Row],[Key(ID-Actif)]],'DATA BTO'!A:N,14,FALSE)</f>
        <v>#N/A</v>
      </c>
      <c r="AK160" s="54" t="e">
        <f ca="1">VLOOKUP(Tableau118[[#This Row],[Key(POD -PFI- Usine)]],'DATA Consignee'!A:F,6,FALSE)</f>
        <v>#N/A</v>
      </c>
      <c r="AL160" s="125" t="s">
        <v>217</v>
      </c>
      <c r="AM160" s="483">
        <f>IF(Tableau118[[#This Row],[Name PFI/CDD]]="","-",VLOOKUP(Tableau118[[#This Row],[Name PFI/CDD]],Plant_AILN!I:J,2,FALSE))</f>
        <v>90016600</v>
      </c>
      <c r="AN16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0" s="2" t="e">
        <f ca="1">VLOOKUP(Tableau118[[#This Row],[Key(POD -PFI- Usine)]],'DATA Consignee'!A:J,10,FALSE)</f>
        <v>#N/A</v>
      </c>
      <c r="AQ160" s="50" t="e">
        <f ca="1">VLOOKUP(Tableau118[[#This Row],[Key(POD -PFI- Usine)]],'DATA Consignee'!A:N,14,FALSE)</f>
        <v>#N/A</v>
      </c>
      <c r="AR16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0" s="50" t="e">
        <f ca="1">Tableau118[[#This Row],[Transit time]]+Tableau118[[#This Row],[Time for security]]+Tableau118[[#This Row],[Time for security2 buffer]]</f>
        <v>#N/A</v>
      </c>
      <c r="AU16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0" s="389" t="e">
        <f ca="1">Tableau118[[#This Row],[Leadtime SI2C]]+Tableau118[[#This Row],[First Receipt Days]]-Tableau118[[#This Row],[Day Customer Order]]+1</f>
        <v>#N/A</v>
      </c>
      <c r="AW160" s="117" t="e">
        <f ca="1">IF(Tableau118[[#This Row],[Name ILN]]&lt;&gt;"SFK Freight Forwarder",Tableau118[[#This Row],[Cust. Leadtime]],Tableau118[[#This Row],[Leadtime SI2C]])</f>
        <v>#N/A</v>
      </c>
      <c r="AX160" s="51" t="e">
        <f>VLOOKUP(Tableau118[[#This Row],[ID]],'DATA BTO'!B:P,15,FALSE)</f>
        <v>#N/A</v>
      </c>
      <c r="AY160" s="328" t="e">
        <f ca="1">IFERROR(VLOOKUP(Tableau118[[#This Row],[Key(ID-Actif)]],'DATA BTO'!A:N,4,FALSE),VLOOKUP(Tableau118[[#This Row],[ID]],'DATA BTO'!B:N,3,FALSE))</f>
        <v>#N/A</v>
      </c>
      <c r="AZ16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0" s="50"/>
    </row>
    <row r="161" spans="2:57">
      <c r="B161" s="65" t="str">
        <f>_xlfn.CONCAT(Tableau118[[#This Row],[Name ILN]],"-",Tableau118[[#This Row],[Name Shipper]],"-",Tableau118[[#This Row],[Name Site]])</f>
        <v>--</v>
      </c>
      <c r="C161" s="65" t="e">
        <f ca="1">_xlfn.CONCAT(Tableau118[[#This Row],[Compte ILN]],"-",Tableau118[[#This Row],[Compte Shipper]],"-",Tableau118[[#This Row],[POL]],"-",Tableau118[[#This Row],[Compte Site]])</f>
        <v>#N/A</v>
      </c>
      <c r="D161" s="64" t="e">
        <f ca="1">_xlfn.CONCAT(Tableau118[[#This Row],[Compte ILN]],"-",Tableau118[[#This Row],[Compte Shipper]],"-",Tableau118[[#This Row],[POL]])</f>
        <v>#N/A</v>
      </c>
      <c r="E161" s="396" t="e">
        <f ca="1">_xlfn.CONCAT(Tableau118[[#This Row],[POL]],"-",Tableau118[[#This Row],[Carrier]],"-",Tableau118[[#This Row],[POD]])</f>
        <v>#N/A</v>
      </c>
      <c r="F161" s="64" t="str">
        <f>_xlfn.CONCAT(Tableau118[[#This Row],[ID]],"-","Next")</f>
        <v>-Next</v>
      </c>
      <c r="G161" s="64" t="e">
        <f ca="1">_xlfn.CONCAT(Tableau118[[#This Row],[POD]],"-",Tableau118[[#This Row],[Code PFI]],"-",Tableau118[[#This Row],[Compte Site]])</f>
        <v>#N/A</v>
      </c>
      <c r="H16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1" s="397" t="str">
        <f ca="1">IF(COUNTIF(I:I,Tableau118[[#This Row],[Plant-ILN-shipper-POL-Carrier-POD-PFI]])=1,"Non","Oui")</f>
        <v>Oui</v>
      </c>
      <c r="K161" s="399" t="e">
        <f>VLOOKUP(Tableau118[[#This Row],[Name Site]],Plant_AILN!A:D,4,FALSE)</f>
        <v>#N/A</v>
      </c>
      <c r="L161" s="10"/>
      <c r="M161" s="480"/>
      <c r="N161" s="55"/>
      <c r="O161" s="122"/>
      <c r="P161" s="481"/>
      <c r="Q161" s="50"/>
      <c r="R161" s="50"/>
      <c r="S161" s="50"/>
      <c r="T161" s="50"/>
      <c r="U161" s="50"/>
      <c r="V161" s="50"/>
      <c r="W161" s="53"/>
      <c r="X161" s="283"/>
      <c r="Y161" s="482">
        <f>IFERROR(VLOOKUP(Tableau118[[#This Row],[Name Shipper]],Plant_AILN!L:M,2,FALSE),0)</f>
        <v>0</v>
      </c>
      <c r="Z161" s="358"/>
      <c r="AA161" s="353" t="e">
        <f ca="1">VLOOKUP(Tableau118[[#This Row],[Key(ID-Actif)]],'DATA BTO'!A:N,5,FALSE)</f>
        <v>#N/A</v>
      </c>
      <c r="AB161" s="3" t="e">
        <f ca="1">VLOOKUP(Tableau118[[#This Row],[Key(ID-Actif)]],'DATA BTO'!A:N,6,FALSE)</f>
        <v>#N/A</v>
      </c>
      <c r="AC161" s="50" t="e">
        <f ca="1">VLOOKUP(Tableau118[[#This Row],[Key(ID-Actif)]],'DATA BTO'!A:N,7,FALSE)</f>
        <v>#N/A</v>
      </c>
      <c r="AD161" s="50" t="e">
        <f ca="1">VLOOKUP(Tableau118[[#This Row],[Key(ID-Actif)]],'DATA BTO'!A:N,8,FALSE)</f>
        <v>#N/A</v>
      </c>
      <c r="AE161" s="50" t="e">
        <f ca="1">IF(Tableau118[[#This Row],[First Day to POL]]&lt;=Tableau118[[#This Row],[Day Cut Off]],Tableau118[[#This Row],[Day ETD]],Tableau118[[#This Row],[Day ETD]]+7)</f>
        <v>#N/A</v>
      </c>
      <c r="AF161" s="50" t="e">
        <f ca="1">VLOOKUP(Tableau118[[#This Row],[Key(ID-Actif)]],'DATA BTO'!A:N,9,FALSE)</f>
        <v>#N/A</v>
      </c>
      <c r="AG161" s="3" t="e">
        <f ca="1">VLOOKUP(Tableau118[[#This Row],[Key(ID-Actif)]],'DATA BTO'!A:N,10,FALSE)</f>
        <v>#N/A</v>
      </c>
      <c r="AH161" s="3" t="e">
        <f ca="1">VLOOKUP(Tableau118[[#This Row],[Key(ID-Actif)]],'DATA BTO'!A:N,11,FALSE)</f>
        <v>#N/A</v>
      </c>
      <c r="AI161" s="50" t="e">
        <f ca="1">VLOOKUP(Tableau118[[#This Row],[Key(ID-Actif)]],'DATA BTO'!A:N,12,FALSE)</f>
        <v>#N/A</v>
      </c>
      <c r="AJ161" s="53" t="e">
        <f ca="1">VLOOKUP(Tableau118[[#This Row],[Key(ID-Actif)]],'DATA BTO'!A:N,14,FALSE)</f>
        <v>#N/A</v>
      </c>
      <c r="AK161" s="54" t="e">
        <f ca="1">VLOOKUP(Tableau118[[#This Row],[Key(POD -PFI- Usine)]],'DATA Consignee'!A:F,6,FALSE)</f>
        <v>#N/A</v>
      </c>
      <c r="AL161" s="125" t="s">
        <v>153</v>
      </c>
      <c r="AM161" s="483">
        <f>IF(Tableau118[[#This Row],[Name PFI/CDD]]="","-",VLOOKUP(Tableau118[[#This Row],[Name PFI/CDD]],Plant_AILN!I:J,2,FALSE))</f>
        <v>90016600</v>
      </c>
      <c r="AN16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1" s="2" t="e">
        <f ca="1">VLOOKUP(Tableau118[[#This Row],[Key(POD -PFI- Usine)]],'DATA Consignee'!A:J,10,FALSE)</f>
        <v>#N/A</v>
      </c>
      <c r="AQ161" s="50" t="e">
        <f ca="1">VLOOKUP(Tableau118[[#This Row],[Key(POD -PFI- Usine)]],'DATA Consignee'!A:N,14,FALSE)</f>
        <v>#N/A</v>
      </c>
      <c r="AR16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1" s="50" t="e">
        <f ca="1">Tableau118[[#This Row],[Transit time]]+Tableau118[[#This Row],[Time for security]]+Tableau118[[#This Row],[Time for security2 buffer]]</f>
        <v>#N/A</v>
      </c>
      <c r="AU16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1" s="389" t="e">
        <f ca="1">Tableau118[[#This Row],[Leadtime SI2C]]+Tableau118[[#This Row],[First Receipt Days]]-Tableau118[[#This Row],[Day Customer Order]]+1</f>
        <v>#N/A</v>
      </c>
      <c r="AW161" s="117" t="e">
        <f ca="1">IF(Tableau118[[#This Row],[Name ILN]]&lt;&gt;"SFK Freight Forwarder",Tableau118[[#This Row],[Cust. Leadtime]],Tableau118[[#This Row],[Leadtime SI2C]])</f>
        <v>#N/A</v>
      </c>
      <c r="AX161" s="51" t="e">
        <f>VLOOKUP(Tableau118[[#This Row],[ID]],'DATA BTO'!B:P,15,FALSE)</f>
        <v>#N/A</v>
      </c>
      <c r="AY161" s="328" t="e">
        <f ca="1">IFERROR(VLOOKUP(Tableau118[[#This Row],[Key(ID-Actif)]],'DATA BTO'!A:N,4,FALSE),VLOOKUP(Tableau118[[#This Row],[ID]],'DATA BTO'!B:N,3,FALSE))</f>
        <v>#N/A</v>
      </c>
      <c r="AZ16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1" s="50"/>
    </row>
    <row r="162" spans="2:57">
      <c r="B162" s="65" t="str">
        <f>_xlfn.CONCAT(Tableau118[[#This Row],[Name ILN]],"-",Tableau118[[#This Row],[Name Shipper]],"-",Tableau118[[#This Row],[Name Site]])</f>
        <v>--</v>
      </c>
      <c r="C162" s="65" t="e">
        <f ca="1">_xlfn.CONCAT(Tableau118[[#This Row],[Compte ILN]],"-",Tableau118[[#This Row],[Compte Shipper]],"-",Tableau118[[#This Row],[POL]],"-",Tableau118[[#This Row],[Compte Site]])</f>
        <v>#N/A</v>
      </c>
      <c r="D162" s="64" t="e">
        <f ca="1">_xlfn.CONCAT(Tableau118[[#This Row],[Compte ILN]],"-",Tableau118[[#This Row],[Compte Shipper]],"-",Tableau118[[#This Row],[POL]])</f>
        <v>#N/A</v>
      </c>
      <c r="E162" s="396" t="e">
        <f ca="1">_xlfn.CONCAT(Tableau118[[#This Row],[POL]],"-",Tableau118[[#This Row],[Carrier]],"-",Tableau118[[#This Row],[POD]])</f>
        <v>#N/A</v>
      </c>
      <c r="F162" s="64" t="str">
        <f>_xlfn.CONCAT(Tableau118[[#This Row],[ID]],"-","Next")</f>
        <v>-Next</v>
      </c>
      <c r="G162" s="64" t="e">
        <f ca="1">_xlfn.CONCAT(Tableau118[[#This Row],[POD]],"-",Tableau118[[#This Row],[Code PFI]],"-",Tableau118[[#This Row],[Compte Site]])</f>
        <v>#N/A</v>
      </c>
      <c r="H16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2" s="397" t="str">
        <f ca="1">IF(COUNTIF(I:I,Tableau118[[#This Row],[Plant-ILN-shipper-POL-Carrier-POD-PFI]])=1,"Non","Oui")</f>
        <v>Oui</v>
      </c>
      <c r="K162" s="399" t="e">
        <f>VLOOKUP(Tableau118[[#This Row],[Name Site]],Plant_AILN!A:D,4,FALSE)</f>
        <v>#N/A</v>
      </c>
      <c r="L162" s="10"/>
      <c r="M162" s="480"/>
      <c r="N162" s="55"/>
      <c r="O162" s="122"/>
      <c r="P162" s="481"/>
      <c r="Q162" s="50"/>
      <c r="R162" s="50"/>
      <c r="S162" s="50"/>
      <c r="T162" s="50"/>
      <c r="U162" s="50"/>
      <c r="V162" s="50"/>
      <c r="W162" s="53"/>
      <c r="X162" s="283"/>
      <c r="Y162" s="482">
        <f>IFERROR(VLOOKUP(Tableau118[[#This Row],[Name Shipper]],Plant_AILN!L:M,2,FALSE),0)</f>
        <v>0</v>
      </c>
      <c r="Z162" s="358"/>
      <c r="AA162" s="353" t="e">
        <f ca="1">VLOOKUP(Tableau118[[#This Row],[Key(ID-Actif)]],'DATA BTO'!A:N,5,FALSE)</f>
        <v>#N/A</v>
      </c>
      <c r="AB162" s="3" t="e">
        <f ca="1">VLOOKUP(Tableau118[[#This Row],[Key(ID-Actif)]],'DATA BTO'!A:N,6,FALSE)</f>
        <v>#N/A</v>
      </c>
      <c r="AC162" s="50" t="e">
        <f ca="1">VLOOKUP(Tableau118[[#This Row],[Key(ID-Actif)]],'DATA BTO'!A:N,7,FALSE)</f>
        <v>#N/A</v>
      </c>
      <c r="AD162" s="50" t="e">
        <f ca="1">VLOOKUP(Tableau118[[#This Row],[Key(ID-Actif)]],'DATA BTO'!A:N,8,FALSE)</f>
        <v>#N/A</v>
      </c>
      <c r="AE162" s="50" t="e">
        <f ca="1">IF(Tableau118[[#This Row],[First Day to POL]]&lt;=Tableau118[[#This Row],[Day Cut Off]],Tableau118[[#This Row],[Day ETD]],Tableau118[[#This Row],[Day ETD]]+7)</f>
        <v>#N/A</v>
      </c>
      <c r="AF162" s="50" t="e">
        <f ca="1">VLOOKUP(Tableau118[[#This Row],[Key(ID-Actif)]],'DATA BTO'!A:N,9,FALSE)</f>
        <v>#N/A</v>
      </c>
      <c r="AG162" s="3" t="e">
        <f ca="1">VLOOKUP(Tableau118[[#This Row],[Key(ID-Actif)]],'DATA BTO'!A:N,10,FALSE)</f>
        <v>#N/A</v>
      </c>
      <c r="AH162" s="3" t="e">
        <f ca="1">VLOOKUP(Tableau118[[#This Row],[Key(ID-Actif)]],'DATA BTO'!A:N,11,FALSE)</f>
        <v>#N/A</v>
      </c>
      <c r="AI162" s="50" t="e">
        <f ca="1">VLOOKUP(Tableau118[[#This Row],[Key(ID-Actif)]],'DATA BTO'!A:N,12,FALSE)</f>
        <v>#N/A</v>
      </c>
      <c r="AJ162" s="53" t="e">
        <f ca="1">VLOOKUP(Tableau118[[#This Row],[Key(ID-Actif)]],'DATA BTO'!A:N,14,FALSE)</f>
        <v>#N/A</v>
      </c>
      <c r="AK162" s="54" t="e">
        <f ca="1">VLOOKUP(Tableau118[[#This Row],[Key(POD -PFI- Usine)]],'DATA Consignee'!A:F,6,FALSE)</f>
        <v>#N/A</v>
      </c>
      <c r="AL162" s="125" t="s">
        <v>153</v>
      </c>
      <c r="AM162" s="483">
        <f>IF(Tableau118[[#This Row],[Name PFI/CDD]]="","-",VLOOKUP(Tableau118[[#This Row],[Name PFI/CDD]],Plant_AILN!I:J,2,FALSE))</f>
        <v>90016600</v>
      </c>
      <c r="AN16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2" s="2" t="e">
        <f ca="1">VLOOKUP(Tableau118[[#This Row],[Key(POD -PFI- Usine)]],'DATA Consignee'!A:J,10,FALSE)</f>
        <v>#N/A</v>
      </c>
      <c r="AQ162" s="50" t="e">
        <f ca="1">VLOOKUP(Tableau118[[#This Row],[Key(POD -PFI- Usine)]],'DATA Consignee'!A:N,14,FALSE)</f>
        <v>#N/A</v>
      </c>
      <c r="AR16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2" s="50" t="e">
        <f ca="1">Tableau118[[#This Row],[Transit time]]+Tableau118[[#This Row],[Time for security]]+Tableau118[[#This Row],[Time for security2 buffer]]</f>
        <v>#N/A</v>
      </c>
      <c r="AU16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2" s="389" t="e">
        <f ca="1">Tableau118[[#This Row],[Leadtime SI2C]]+Tableau118[[#This Row],[First Receipt Days]]-Tableau118[[#This Row],[Day Customer Order]]+1</f>
        <v>#N/A</v>
      </c>
      <c r="AW162" s="117" t="e">
        <f ca="1">IF(Tableau118[[#This Row],[Name ILN]]&lt;&gt;"SFK Freight Forwarder",Tableau118[[#This Row],[Cust. Leadtime]],Tableau118[[#This Row],[Leadtime SI2C]])</f>
        <v>#N/A</v>
      </c>
      <c r="AX162" s="51" t="e">
        <f>VLOOKUP(Tableau118[[#This Row],[ID]],'DATA BTO'!B:P,15,FALSE)</f>
        <v>#N/A</v>
      </c>
      <c r="AY162" s="328" t="e">
        <f ca="1">IFERROR(VLOOKUP(Tableau118[[#This Row],[Key(ID-Actif)]],'DATA BTO'!A:N,4,FALSE),VLOOKUP(Tableau118[[#This Row],[ID]],'DATA BTO'!B:N,3,FALSE))</f>
        <v>#N/A</v>
      </c>
      <c r="AZ16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2" s="50"/>
    </row>
    <row r="163" spans="2:57">
      <c r="B163" s="65" t="str">
        <f>_xlfn.CONCAT(Tableau118[[#This Row],[Name ILN]],"-",Tableau118[[#This Row],[Name Shipper]],"-",Tableau118[[#This Row],[Name Site]])</f>
        <v>--</v>
      </c>
      <c r="C163" s="65" t="e">
        <f ca="1">_xlfn.CONCAT(Tableau118[[#This Row],[Compte ILN]],"-",Tableau118[[#This Row],[Compte Shipper]],"-",Tableau118[[#This Row],[POL]],"-",Tableau118[[#This Row],[Compte Site]])</f>
        <v>#N/A</v>
      </c>
      <c r="D163" s="64" t="e">
        <f ca="1">_xlfn.CONCAT(Tableau118[[#This Row],[Compte ILN]],"-",Tableau118[[#This Row],[Compte Shipper]],"-",Tableau118[[#This Row],[POL]])</f>
        <v>#N/A</v>
      </c>
      <c r="E163" s="396" t="e">
        <f ca="1">_xlfn.CONCAT(Tableau118[[#This Row],[POL]],"-",Tableau118[[#This Row],[Carrier]],"-",Tableau118[[#This Row],[POD]])</f>
        <v>#N/A</v>
      </c>
      <c r="F163" s="64" t="str">
        <f>_xlfn.CONCAT(Tableau118[[#This Row],[ID]],"-","Next")</f>
        <v>-Next</v>
      </c>
      <c r="G163" s="64" t="e">
        <f ca="1">_xlfn.CONCAT(Tableau118[[#This Row],[POD]],"-",Tableau118[[#This Row],[Code PFI]],"-",Tableau118[[#This Row],[Compte Site]])</f>
        <v>#N/A</v>
      </c>
      <c r="H16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3" s="397" t="str">
        <f ca="1">IF(COUNTIF(I:I,Tableau118[[#This Row],[Plant-ILN-shipper-POL-Carrier-POD-PFI]])=1,"Non","Oui")</f>
        <v>Oui</v>
      </c>
      <c r="K163" s="399" t="e">
        <f>VLOOKUP(Tableau118[[#This Row],[Name Site]],Plant_AILN!A:D,4,FALSE)</f>
        <v>#N/A</v>
      </c>
      <c r="L163" s="10"/>
      <c r="M163" s="480"/>
      <c r="N163" s="55"/>
      <c r="O163" s="122"/>
      <c r="P163" s="481"/>
      <c r="Q163" s="50"/>
      <c r="R163" s="50"/>
      <c r="S163" s="50"/>
      <c r="T163" s="50"/>
      <c r="U163" s="50"/>
      <c r="V163" s="50"/>
      <c r="W163" s="53"/>
      <c r="X163" s="283"/>
      <c r="Y163" s="482">
        <f>IFERROR(VLOOKUP(Tableau118[[#This Row],[Name Shipper]],Plant_AILN!L:M,2,FALSE),0)</f>
        <v>0</v>
      </c>
      <c r="Z163" s="358"/>
      <c r="AA163" s="353" t="e">
        <f ca="1">VLOOKUP(Tableau118[[#This Row],[Key(ID-Actif)]],'DATA BTO'!A:N,5,FALSE)</f>
        <v>#N/A</v>
      </c>
      <c r="AB163" s="3" t="e">
        <f ca="1">VLOOKUP(Tableau118[[#This Row],[Key(ID-Actif)]],'DATA BTO'!A:N,6,FALSE)</f>
        <v>#N/A</v>
      </c>
      <c r="AC163" s="50" t="e">
        <f ca="1">VLOOKUP(Tableau118[[#This Row],[Key(ID-Actif)]],'DATA BTO'!A:N,7,FALSE)</f>
        <v>#N/A</v>
      </c>
      <c r="AD163" s="50" t="e">
        <f ca="1">VLOOKUP(Tableau118[[#This Row],[Key(ID-Actif)]],'DATA BTO'!A:N,8,FALSE)</f>
        <v>#N/A</v>
      </c>
      <c r="AE163" s="50" t="e">
        <f ca="1">IF(Tableau118[[#This Row],[First Day to POL]]&lt;=Tableau118[[#This Row],[Day Cut Off]],Tableau118[[#This Row],[Day ETD]],Tableau118[[#This Row],[Day ETD]]+7)</f>
        <v>#N/A</v>
      </c>
      <c r="AF163" s="50" t="e">
        <f ca="1">VLOOKUP(Tableau118[[#This Row],[Key(ID-Actif)]],'DATA BTO'!A:N,9,FALSE)</f>
        <v>#N/A</v>
      </c>
      <c r="AG163" s="3" t="e">
        <f ca="1">VLOOKUP(Tableau118[[#This Row],[Key(ID-Actif)]],'DATA BTO'!A:N,10,FALSE)</f>
        <v>#N/A</v>
      </c>
      <c r="AH163" s="3" t="e">
        <f ca="1">VLOOKUP(Tableau118[[#This Row],[Key(ID-Actif)]],'DATA BTO'!A:N,11,FALSE)</f>
        <v>#N/A</v>
      </c>
      <c r="AI163" s="50" t="e">
        <f ca="1">VLOOKUP(Tableau118[[#This Row],[Key(ID-Actif)]],'DATA BTO'!A:N,12,FALSE)</f>
        <v>#N/A</v>
      </c>
      <c r="AJ163" s="53" t="e">
        <f ca="1">VLOOKUP(Tableau118[[#This Row],[Key(ID-Actif)]],'DATA BTO'!A:N,14,FALSE)</f>
        <v>#N/A</v>
      </c>
      <c r="AK163" s="54" t="e">
        <f ca="1">VLOOKUP(Tableau118[[#This Row],[Key(POD -PFI- Usine)]],'DATA Consignee'!A:F,6,FALSE)</f>
        <v>#N/A</v>
      </c>
      <c r="AL163" s="125" t="s">
        <v>153</v>
      </c>
      <c r="AM163" s="483">
        <f>IF(Tableau118[[#This Row],[Name PFI/CDD]]="","-",VLOOKUP(Tableau118[[#This Row],[Name PFI/CDD]],Plant_AILN!I:J,2,FALSE))</f>
        <v>90016600</v>
      </c>
      <c r="AN16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3" s="2" t="e">
        <f ca="1">VLOOKUP(Tableau118[[#This Row],[Key(POD -PFI- Usine)]],'DATA Consignee'!A:J,10,FALSE)</f>
        <v>#N/A</v>
      </c>
      <c r="AQ163" s="50" t="e">
        <f ca="1">VLOOKUP(Tableau118[[#This Row],[Key(POD -PFI- Usine)]],'DATA Consignee'!A:N,14,FALSE)</f>
        <v>#N/A</v>
      </c>
      <c r="AR16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3" s="50" t="e">
        <f ca="1">Tableau118[[#This Row],[Transit time]]+Tableau118[[#This Row],[Time for security]]+Tableau118[[#This Row],[Time for security2 buffer]]</f>
        <v>#N/A</v>
      </c>
      <c r="AU16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3" s="389" t="e">
        <f ca="1">Tableau118[[#This Row],[Leadtime SI2C]]+Tableau118[[#This Row],[First Receipt Days]]-Tableau118[[#This Row],[Day Customer Order]]+1</f>
        <v>#N/A</v>
      </c>
      <c r="AW163" s="117" t="e">
        <f ca="1">IF(Tableau118[[#This Row],[Name ILN]]&lt;&gt;"SFK Freight Forwarder",Tableau118[[#This Row],[Cust. Leadtime]],Tableau118[[#This Row],[Leadtime SI2C]])</f>
        <v>#N/A</v>
      </c>
      <c r="AX163" s="51" t="e">
        <f>VLOOKUP(Tableau118[[#This Row],[ID]],'DATA BTO'!B:P,15,FALSE)</f>
        <v>#N/A</v>
      </c>
      <c r="AY163" s="328" t="e">
        <f ca="1">IFERROR(VLOOKUP(Tableau118[[#This Row],[Key(ID-Actif)]],'DATA BTO'!A:N,4,FALSE),VLOOKUP(Tableau118[[#This Row],[ID]],'DATA BTO'!B:N,3,FALSE))</f>
        <v>#N/A</v>
      </c>
      <c r="AZ16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3" s="50"/>
    </row>
    <row r="164" spans="2:57">
      <c r="B164" s="65" t="str">
        <f>_xlfn.CONCAT(Tableau118[[#This Row],[Name ILN]],"-",Tableau118[[#This Row],[Name Shipper]],"-",Tableau118[[#This Row],[Name Site]])</f>
        <v>--</v>
      </c>
      <c r="C164" s="65" t="e">
        <f ca="1">_xlfn.CONCAT(Tableau118[[#This Row],[Compte ILN]],"-",Tableau118[[#This Row],[Compte Shipper]],"-",Tableau118[[#This Row],[POL]],"-",Tableau118[[#This Row],[Compte Site]])</f>
        <v>#N/A</v>
      </c>
      <c r="D164" s="64" t="e">
        <f ca="1">_xlfn.CONCAT(Tableau118[[#This Row],[Compte ILN]],"-",Tableau118[[#This Row],[Compte Shipper]],"-",Tableau118[[#This Row],[POL]])</f>
        <v>#N/A</v>
      </c>
      <c r="E164" s="396" t="e">
        <f ca="1">_xlfn.CONCAT(Tableau118[[#This Row],[POL]],"-",Tableau118[[#This Row],[Carrier]],"-",Tableau118[[#This Row],[POD]])</f>
        <v>#N/A</v>
      </c>
      <c r="F164" s="64" t="str">
        <f>_xlfn.CONCAT(Tableau118[[#This Row],[ID]],"-","Next")</f>
        <v>-Next</v>
      </c>
      <c r="G164" s="64" t="e">
        <f ca="1">_xlfn.CONCAT(Tableau118[[#This Row],[POD]],"-",Tableau118[[#This Row],[Code PFI]],"-",Tableau118[[#This Row],[Compte Site]])</f>
        <v>#N/A</v>
      </c>
      <c r="H16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4" s="397" t="str">
        <f ca="1">IF(COUNTIF(I:I,Tableau118[[#This Row],[Plant-ILN-shipper-POL-Carrier-POD-PFI]])=1,"Non","Oui")</f>
        <v>Oui</v>
      </c>
      <c r="K164" s="399" t="e">
        <f>VLOOKUP(Tableau118[[#This Row],[Name Site]],Plant_AILN!A:D,4,FALSE)</f>
        <v>#N/A</v>
      </c>
      <c r="L164" s="10"/>
      <c r="M164" s="480"/>
      <c r="N164" s="55"/>
      <c r="O164" s="122"/>
      <c r="P164" s="481"/>
      <c r="Q164" s="50"/>
      <c r="R164" s="50"/>
      <c r="S164" s="50"/>
      <c r="T164" s="50"/>
      <c r="U164" s="50"/>
      <c r="V164" s="50"/>
      <c r="W164" s="53"/>
      <c r="X164" s="283"/>
      <c r="Y164" s="482">
        <f>IFERROR(VLOOKUP(Tableau118[[#This Row],[Name Shipper]],Plant_AILN!L:M,2,FALSE),0)</f>
        <v>0</v>
      </c>
      <c r="Z164" s="358"/>
      <c r="AA164" s="353" t="e">
        <f ca="1">VLOOKUP(Tableau118[[#This Row],[Key(ID-Actif)]],'DATA BTO'!A:N,5,FALSE)</f>
        <v>#N/A</v>
      </c>
      <c r="AB164" s="3" t="e">
        <f ca="1">VLOOKUP(Tableau118[[#This Row],[Key(ID-Actif)]],'DATA BTO'!A:N,6,FALSE)</f>
        <v>#N/A</v>
      </c>
      <c r="AC164" s="50" t="e">
        <f ca="1">VLOOKUP(Tableau118[[#This Row],[Key(ID-Actif)]],'DATA BTO'!A:N,7,FALSE)</f>
        <v>#N/A</v>
      </c>
      <c r="AD164" s="50" t="e">
        <f ca="1">VLOOKUP(Tableau118[[#This Row],[Key(ID-Actif)]],'DATA BTO'!A:N,8,FALSE)</f>
        <v>#N/A</v>
      </c>
      <c r="AE164" s="50" t="e">
        <f ca="1">IF(Tableau118[[#This Row],[First Day to POL]]&lt;=Tableau118[[#This Row],[Day Cut Off]],Tableau118[[#This Row],[Day ETD]],Tableau118[[#This Row],[Day ETD]]+7)</f>
        <v>#N/A</v>
      </c>
      <c r="AF164" s="50" t="e">
        <f ca="1">VLOOKUP(Tableau118[[#This Row],[Key(ID-Actif)]],'DATA BTO'!A:N,9,FALSE)</f>
        <v>#N/A</v>
      </c>
      <c r="AG164" s="3" t="e">
        <f ca="1">VLOOKUP(Tableau118[[#This Row],[Key(ID-Actif)]],'DATA BTO'!A:N,10,FALSE)</f>
        <v>#N/A</v>
      </c>
      <c r="AH164" s="3" t="e">
        <f ca="1">VLOOKUP(Tableau118[[#This Row],[Key(ID-Actif)]],'DATA BTO'!A:N,11,FALSE)</f>
        <v>#N/A</v>
      </c>
      <c r="AI164" s="50" t="e">
        <f ca="1">VLOOKUP(Tableau118[[#This Row],[Key(ID-Actif)]],'DATA BTO'!A:N,12,FALSE)</f>
        <v>#N/A</v>
      </c>
      <c r="AJ164" s="53" t="e">
        <f ca="1">VLOOKUP(Tableau118[[#This Row],[Key(ID-Actif)]],'DATA BTO'!A:N,14,FALSE)</f>
        <v>#N/A</v>
      </c>
      <c r="AK164" s="54" t="e">
        <f ca="1">VLOOKUP(Tableau118[[#This Row],[Key(POD -PFI- Usine)]],'DATA Consignee'!A:F,6,FALSE)</f>
        <v>#N/A</v>
      </c>
      <c r="AL164" s="125" t="s">
        <v>153</v>
      </c>
      <c r="AM164" s="483">
        <f>IF(Tableau118[[#This Row],[Name PFI/CDD]]="","-",VLOOKUP(Tableau118[[#This Row],[Name PFI/CDD]],Plant_AILN!I:J,2,FALSE))</f>
        <v>90016600</v>
      </c>
      <c r="AN16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4" s="2" t="e">
        <f ca="1">VLOOKUP(Tableau118[[#This Row],[Key(POD -PFI- Usine)]],'DATA Consignee'!A:J,10,FALSE)</f>
        <v>#N/A</v>
      </c>
      <c r="AQ164" s="50" t="e">
        <f ca="1">VLOOKUP(Tableau118[[#This Row],[Key(POD -PFI- Usine)]],'DATA Consignee'!A:N,14,FALSE)</f>
        <v>#N/A</v>
      </c>
      <c r="AR16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4" s="50" t="e">
        <f ca="1">Tableau118[[#This Row],[Transit time]]+Tableau118[[#This Row],[Time for security]]+Tableau118[[#This Row],[Time for security2 buffer]]</f>
        <v>#N/A</v>
      </c>
      <c r="AU16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4" s="389" t="e">
        <f ca="1">Tableau118[[#This Row],[Leadtime SI2C]]+Tableau118[[#This Row],[First Receipt Days]]-Tableau118[[#This Row],[Day Customer Order]]+1</f>
        <v>#N/A</v>
      </c>
      <c r="AW164" s="117" t="e">
        <f ca="1">IF(Tableau118[[#This Row],[Name ILN]]&lt;&gt;"SFK Freight Forwarder",Tableau118[[#This Row],[Cust. Leadtime]],Tableau118[[#This Row],[Leadtime SI2C]])</f>
        <v>#N/A</v>
      </c>
      <c r="AX164" s="51" t="e">
        <f>VLOOKUP(Tableau118[[#This Row],[ID]],'DATA BTO'!B:P,15,FALSE)</f>
        <v>#N/A</v>
      </c>
      <c r="AY164" s="328" t="e">
        <f ca="1">IFERROR(VLOOKUP(Tableau118[[#This Row],[Key(ID-Actif)]],'DATA BTO'!A:N,4,FALSE),VLOOKUP(Tableau118[[#This Row],[ID]],'DATA BTO'!B:N,3,FALSE))</f>
        <v>#N/A</v>
      </c>
      <c r="AZ16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4" s="50"/>
    </row>
    <row r="165" spans="2:57">
      <c r="B165" s="65" t="str">
        <f>_xlfn.CONCAT(Tableau118[[#This Row],[Name ILN]],"-",Tableau118[[#This Row],[Name Shipper]],"-",Tableau118[[#This Row],[Name Site]])</f>
        <v>--</v>
      </c>
      <c r="C165" s="65" t="e">
        <f ca="1">_xlfn.CONCAT(Tableau118[[#This Row],[Compte ILN]],"-",Tableau118[[#This Row],[Compte Shipper]],"-",Tableau118[[#This Row],[POL]],"-",Tableau118[[#This Row],[Compte Site]])</f>
        <v>#N/A</v>
      </c>
      <c r="D165" s="64" t="e">
        <f ca="1">_xlfn.CONCAT(Tableau118[[#This Row],[Compte ILN]],"-",Tableau118[[#This Row],[Compte Shipper]],"-",Tableau118[[#This Row],[POL]])</f>
        <v>#N/A</v>
      </c>
      <c r="E165" s="396" t="e">
        <f ca="1">_xlfn.CONCAT(Tableau118[[#This Row],[POL]],"-",Tableau118[[#This Row],[Carrier]],"-",Tableau118[[#This Row],[POD]])</f>
        <v>#N/A</v>
      </c>
      <c r="F165" s="64" t="str">
        <f>_xlfn.CONCAT(Tableau118[[#This Row],[ID]],"-","Next")</f>
        <v>-Next</v>
      </c>
      <c r="G165" s="64" t="e">
        <f ca="1">_xlfn.CONCAT(Tableau118[[#This Row],[POD]],"-",Tableau118[[#This Row],[Code PFI]],"-",Tableau118[[#This Row],[Compte Site]])</f>
        <v>#N/A</v>
      </c>
      <c r="H16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5" s="397" t="str">
        <f ca="1">IF(COUNTIF(I:I,Tableau118[[#This Row],[Plant-ILN-shipper-POL-Carrier-POD-PFI]])=1,"Non","Oui")</f>
        <v>Oui</v>
      </c>
      <c r="K165" s="399" t="e">
        <f>VLOOKUP(Tableau118[[#This Row],[Name Site]],Plant_AILN!A:D,4,FALSE)</f>
        <v>#N/A</v>
      </c>
      <c r="L165" s="10"/>
      <c r="M165" s="480"/>
      <c r="N165" s="55"/>
      <c r="O165" s="122"/>
      <c r="P165" s="481"/>
      <c r="Q165" s="50"/>
      <c r="R165" s="50"/>
      <c r="S165" s="50"/>
      <c r="T165" s="50"/>
      <c r="U165" s="50"/>
      <c r="V165" s="50"/>
      <c r="W165" s="53"/>
      <c r="X165" s="283"/>
      <c r="Y165" s="482">
        <f>IFERROR(VLOOKUP(Tableau118[[#This Row],[Name Shipper]],Plant_AILN!L:M,2,FALSE),0)</f>
        <v>0</v>
      </c>
      <c r="Z165" s="358"/>
      <c r="AA165" s="353" t="e">
        <f ca="1">VLOOKUP(Tableau118[[#This Row],[Key(ID-Actif)]],'DATA BTO'!A:N,5,FALSE)</f>
        <v>#N/A</v>
      </c>
      <c r="AB165" s="3" t="e">
        <f ca="1">VLOOKUP(Tableau118[[#This Row],[Key(ID-Actif)]],'DATA BTO'!A:N,6,FALSE)</f>
        <v>#N/A</v>
      </c>
      <c r="AC165" s="50" t="e">
        <f ca="1">VLOOKUP(Tableau118[[#This Row],[Key(ID-Actif)]],'DATA BTO'!A:N,7,FALSE)</f>
        <v>#N/A</v>
      </c>
      <c r="AD165" s="50" t="e">
        <f ca="1">VLOOKUP(Tableau118[[#This Row],[Key(ID-Actif)]],'DATA BTO'!A:N,8,FALSE)</f>
        <v>#N/A</v>
      </c>
      <c r="AE165" s="50" t="e">
        <f ca="1">IF(Tableau118[[#This Row],[First Day to POL]]&lt;=Tableau118[[#This Row],[Day Cut Off]],Tableau118[[#This Row],[Day ETD]],Tableau118[[#This Row],[Day ETD]]+7)</f>
        <v>#N/A</v>
      </c>
      <c r="AF165" s="50" t="e">
        <f ca="1">VLOOKUP(Tableau118[[#This Row],[Key(ID-Actif)]],'DATA BTO'!A:N,9,FALSE)</f>
        <v>#N/A</v>
      </c>
      <c r="AG165" s="3" t="e">
        <f ca="1">VLOOKUP(Tableau118[[#This Row],[Key(ID-Actif)]],'DATA BTO'!A:N,10,FALSE)</f>
        <v>#N/A</v>
      </c>
      <c r="AH165" s="3" t="e">
        <f ca="1">VLOOKUP(Tableau118[[#This Row],[Key(ID-Actif)]],'DATA BTO'!A:N,11,FALSE)</f>
        <v>#N/A</v>
      </c>
      <c r="AI165" s="50" t="e">
        <f ca="1">VLOOKUP(Tableau118[[#This Row],[Key(ID-Actif)]],'DATA BTO'!A:N,12,FALSE)</f>
        <v>#N/A</v>
      </c>
      <c r="AJ165" s="53" t="e">
        <f ca="1">VLOOKUP(Tableau118[[#This Row],[Key(ID-Actif)]],'DATA BTO'!A:N,14,FALSE)</f>
        <v>#N/A</v>
      </c>
      <c r="AK165" s="54" t="e">
        <f ca="1">VLOOKUP(Tableau118[[#This Row],[Key(POD -PFI- Usine)]],'DATA Consignee'!A:F,6,FALSE)</f>
        <v>#N/A</v>
      </c>
      <c r="AL165" s="125" t="s">
        <v>153</v>
      </c>
      <c r="AM165" s="483">
        <f>IF(Tableau118[[#This Row],[Name PFI/CDD]]="","-",VLOOKUP(Tableau118[[#This Row],[Name PFI/CDD]],Plant_AILN!I:J,2,FALSE))</f>
        <v>90016600</v>
      </c>
      <c r="AN16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5" s="2" t="e">
        <f ca="1">VLOOKUP(Tableau118[[#This Row],[Key(POD -PFI- Usine)]],'DATA Consignee'!A:J,10,FALSE)</f>
        <v>#N/A</v>
      </c>
      <c r="AQ165" s="50" t="e">
        <f ca="1">VLOOKUP(Tableau118[[#This Row],[Key(POD -PFI- Usine)]],'DATA Consignee'!A:N,14,FALSE)</f>
        <v>#N/A</v>
      </c>
      <c r="AR16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5" s="50" t="e">
        <f ca="1">Tableau118[[#This Row],[Transit time]]+Tableau118[[#This Row],[Time for security]]+Tableau118[[#This Row],[Time for security2 buffer]]</f>
        <v>#N/A</v>
      </c>
      <c r="AU16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5" s="389" t="e">
        <f ca="1">Tableau118[[#This Row],[Leadtime SI2C]]+Tableau118[[#This Row],[First Receipt Days]]-Tableau118[[#This Row],[Day Customer Order]]+1</f>
        <v>#N/A</v>
      </c>
      <c r="AW165" s="117" t="e">
        <f ca="1">IF(Tableau118[[#This Row],[Name ILN]]&lt;&gt;"SFK Freight Forwarder",Tableau118[[#This Row],[Cust. Leadtime]],Tableau118[[#This Row],[Leadtime SI2C]])</f>
        <v>#N/A</v>
      </c>
      <c r="AX165" s="51" t="e">
        <f>VLOOKUP(Tableau118[[#This Row],[ID]],'DATA BTO'!B:P,15,FALSE)</f>
        <v>#N/A</v>
      </c>
      <c r="AY165" s="328" t="e">
        <f ca="1">IFERROR(VLOOKUP(Tableau118[[#This Row],[Key(ID-Actif)]],'DATA BTO'!A:N,4,FALSE),VLOOKUP(Tableau118[[#This Row],[ID]],'DATA BTO'!B:N,3,FALSE))</f>
        <v>#N/A</v>
      </c>
      <c r="AZ16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5" s="50"/>
    </row>
    <row r="166" spans="2:57">
      <c r="B166" s="65" t="str">
        <f>_xlfn.CONCAT(Tableau118[[#This Row],[Name ILN]],"-",Tableau118[[#This Row],[Name Shipper]],"-",Tableau118[[#This Row],[Name Site]])</f>
        <v>--</v>
      </c>
      <c r="C166" s="65" t="e">
        <f ca="1">_xlfn.CONCAT(Tableau118[[#This Row],[Compte ILN]],"-",Tableau118[[#This Row],[Compte Shipper]],"-",Tableau118[[#This Row],[POL]],"-",Tableau118[[#This Row],[Compte Site]])</f>
        <v>#N/A</v>
      </c>
      <c r="D166" s="64" t="e">
        <f ca="1">_xlfn.CONCAT(Tableau118[[#This Row],[Compte ILN]],"-",Tableau118[[#This Row],[Compte Shipper]],"-",Tableau118[[#This Row],[POL]])</f>
        <v>#N/A</v>
      </c>
      <c r="E166" s="396" t="e">
        <f ca="1">_xlfn.CONCAT(Tableau118[[#This Row],[POL]],"-",Tableau118[[#This Row],[Carrier]],"-",Tableau118[[#This Row],[POD]])</f>
        <v>#N/A</v>
      </c>
      <c r="F166" s="64" t="str">
        <f>_xlfn.CONCAT(Tableau118[[#This Row],[ID]],"-","Next")</f>
        <v>-Next</v>
      </c>
      <c r="G166" s="64" t="e">
        <f ca="1">_xlfn.CONCAT(Tableau118[[#This Row],[POD]],"-",Tableau118[[#This Row],[Code PFI]],"-",Tableau118[[#This Row],[Compte Site]])</f>
        <v>#N/A</v>
      </c>
      <c r="H16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6" s="397" t="str">
        <f ca="1">IF(COUNTIF(I:I,Tableau118[[#This Row],[Plant-ILN-shipper-POL-Carrier-POD-PFI]])=1,"Non","Oui")</f>
        <v>Oui</v>
      </c>
      <c r="K166" s="399" t="e">
        <f>VLOOKUP(Tableau118[[#This Row],[Name Site]],Plant_AILN!A:D,4,FALSE)</f>
        <v>#N/A</v>
      </c>
      <c r="L166" s="10"/>
      <c r="M166" s="480"/>
      <c r="N166" s="55"/>
      <c r="O166" s="122"/>
      <c r="P166" s="481"/>
      <c r="Q166" s="50"/>
      <c r="R166" s="50"/>
      <c r="S166" s="50"/>
      <c r="T166" s="50"/>
      <c r="U166" s="50"/>
      <c r="V166" s="50"/>
      <c r="W166" s="53"/>
      <c r="X166" s="283"/>
      <c r="Y166" s="482">
        <f>IFERROR(VLOOKUP(Tableau118[[#This Row],[Name Shipper]],Plant_AILN!L:M,2,FALSE),0)</f>
        <v>0</v>
      </c>
      <c r="Z166" s="358"/>
      <c r="AA166" s="353" t="e">
        <f ca="1">VLOOKUP(Tableau118[[#This Row],[Key(ID-Actif)]],'DATA BTO'!A:N,5,FALSE)</f>
        <v>#N/A</v>
      </c>
      <c r="AB166" s="3" t="e">
        <f ca="1">VLOOKUP(Tableau118[[#This Row],[Key(ID-Actif)]],'DATA BTO'!A:N,6,FALSE)</f>
        <v>#N/A</v>
      </c>
      <c r="AC166" s="50" t="e">
        <f ca="1">VLOOKUP(Tableau118[[#This Row],[Key(ID-Actif)]],'DATA BTO'!A:N,7,FALSE)</f>
        <v>#N/A</v>
      </c>
      <c r="AD166" s="50" t="e">
        <f ca="1">VLOOKUP(Tableau118[[#This Row],[Key(ID-Actif)]],'DATA BTO'!A:N,8,FALSE)</f>
        <v>#N/A</v>
      </c>
      <c r="AE166" s="50" t="e">
        <f ca="1">IF(Tableau118[[#This Row],[First Day to POL]]&lt;=Tableau118[[#This Row],[Day Cut Off]],Tableau118[[#This Row],[Day ETD]],Tableau118[[#This Row],[Day ETD]]+7)</f>
        <v>#N/A</v>
      </c>
      <c r="AF166" s="50" t="e">
        <f ca="1">VLOOKUP(Tableau118[[#This Row],[Key(ID-Actif)]],'DATA BTO'!A:N,9,FALSE)</f>
        <v>#N/A</v>
      </c>
      <c r="AG166" s="3" t="e">
        <f ca="1">VLOOKUP(Tableau118[[#This Row],[Key(ID-Actif)]],'DATA BTO'!A:N,10,FALSE)</f>
        <v>#N/A</v>
      </c>
      <c r="AH166" s="3" t="e">
        <f ca="1">VLOOKUP(Tableau118[[#This Row],[Key(ID-Actif)]],'DATA BTO'!A:N,11,FALSE)</f>
        <v>#N/A</v>
      </c>
      <c r="AI166" s="50" t="e">
        <f ca="1">VLOOKUP(Tableau118[[#This Row],[Key(ID-Actif)]],'DATA BTO'!A:N,12,FALSE)</f>
        <v>#N/A</v>
      </c>
      <c r="AJ166" s="53" t="e">
        <f ca="1">VLOOKUP(Tableau118[[#This Row],[Key(ID-Actif)]],'DATA BTO'!A:N,14,FALSE)</f>
        <v>#N/A</v>
      </c>
      <c r="AK166" s="54" t="e">
        <f ca="1">VLOOKUP(Tableau118[[#This Row],[Key(POD -PFI- Usine)]],'DATA Consignee'!A:F,6,FALSE)</f>
        <v>#N/A</v>
      </c>
      <c r="AL166" s="125" t="s">
        <v>153</v>
      </c>
      <c r="AM166" s="483">
        <f>IF(Tableau118[[#This Row],[Name PFI/CDD]]="","-",VLOOKUP(Tableau118[[#This Row],[Name PFI/CDD]],Plant_AILN!I:J,2,FALSE))</f>
        <v>90016600</v>
      </c>
      <c r="AN16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6" s="2" t="e">
        <f ca="1">VLOOKUP(Tableau118[[#This Row],[Key(POD -PFI- Usine)]],'DATA Consignee'!A:J,10,FALSE)</f>
        <v>#N/A</v>
      </c>
      <c r="AQ166" s="50" t="e">
        <f ca="1">VLOOKUP(Tableau118[[#This Row],[Key(POD -PFI- Usine)]],'DATA Consignee'!A:N,14,FALSE)</f>
        <v>#N/A</v>
      </c>
      <c r="AR16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6" s="50" t="e">
        <f ca="1">Tableau118[[#This Row],[Transit time]]+Tableau118[[#This Row],[Time for security]]+Tableau118[[#This Row],[Time for security2 buffer]]</f>
        <v>#N/A</v>
      </c>
      <c r="AU16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6" s="389" t="e">
        <f ca="1">Tableau118[[#This Row],[Leadtime SI2C]]+Tableau118[[#This Row],[First Receipt Days]]-Tableau118[[#This Row],[Day Customer Order]]+1</f>
        <v>#N/A</v>
      </c>
      <c r="AW166" s="117" t="e">
        <f ca="1">IF(Tableau118[[#This Row],[Name ILN]]&lt;&gt;"SFK Freight Forwarder",Tableau118[[#This Row],[Cust. Leadtime]],Tableau118[[#This Row],[Leadtime SI2C]])</f>
        <v>#N/A</v>
      </c>
      <c r="AX166" s="51" t="e">
        <f>VLOOKUP(Tableau118[[#This Row],[ID]],'DATA BTO'!B:P,15,FALSE)</f>
        <v>#N/A</v>
      </c>
      <c r="AY166" s="328" t="e">
        <f ca="1">IFERROR(VLOOKUP(Tableau118[[#This Row],[Key(ID-Actif)]],'DATA BTO'!A:N,4,FALSE),VLOOKUP(Tableau118[[#This Row],[ID]],'DATA BTO'!B:N,3,FALSE))</f>
        <v>#N/A</v>
      </c>
      <c r="AZ16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6" s="50"/>
    </row>
    <row r="167" spans="2:57">
      <c r="B167" s="65" t="str">
        <f>_xlfn.CONCAT(Tableau118[[#This Row],[Name ILN]],"-",Tableau118[[#This Row],[Name Shipper]],"-",Tableau118[[#This Row],[Name Site]])</f>
        <v>--</v>
      </c>
      <c r="C167" s="65" t="e">
        <f ca="1">_xlfn.CONCAT(Tableau118[[#This Row],[Compte ILN]],"-",Tableau118[[#This Row],[Compte Shipper]],"-",Tableau118[[#This Row],[POL]],"-",Tableau118[[#This Row],[Compte Site]])</f>
        <v>#N/A</v>
      </c>
      <c r="D167" s="64" t="e">
        <f ca="1">_xlfn.CONCAT(Tableau118[[#This Row],[Compte ILN]],"-",Tableau118[[#This Row],[Compte Shipper]],"-",Tableau118[[#This Row],[POL]])</f>
        <v>#N/A</v>
      </c>
      <c r="E167" s="396" t="e">
        <f ca="1">_xlfn.CONCAT(Tableau118[[#This Row],[POL]],"-",Tableau118[[#This Row],[Carrier]],"-",Tableau118[[#This Row],[POD]])</f>
        <v>#N/A</v>
      </c>
      <c r="F167" s="64" t="str">
        <f>_xlfn.CONCAT(Tableau118[[#This Row],[ID]],"-","Next")</f>
        <v>-Next</v>
      </c>
      <c r="G167" s="64" t="e">
        <f ca="1">_xlfn.CONCAT(Tableau118[[#This Row],[POD]],"-",Tableau118[[#This Row],[Code PFI]],"-",Tableau118[[#This Row],[Compte Site]])</f>
        <v>#N/A</v>
      </c>
      <c r="H16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7" s="397" t="str">
        <f ca="1">IF(COUNTIF(I:I,Tableau118[[#This Row],[Plant-ILN-shipper-POL-Carrier-POD-PFI]])=1,"Non","Oui")</f>
        <v>Oui</v>
      </c>
      <c r="K167" s="399" t="e">
        <f>VLOOKUP(Tableau118[[#This Row],[Name Site]],Plant_AILN!A:D,4,FALSE)</f>
        <v>#N/A</v>
      </c>
      <c r="L167" s="10"/>
      <c r="M167" s="480"/>
      <c r="N167" s="55"/>
      <c r="O167" s="122"/>
      <c r="P167" s="481"/>
      <c r="Q167" s="50"/>
      <c r="R167" s="50"/>
      <c r="S167" s="50"/>
      <c r="T167" s="50"/>
      <c r="U167" s="50"/>
      <c r="V167" s="50"/>
      <c r="W167" s="53"/>
      <c r="X167" s="283"/>
      <c r="Y167" s="482">
        <f>IFERROR(VLOOKUP(Tableau118[[#This Row],[Name Shipper]],Plant_AILN!L:M,2,FALSE),0)</f>
        <v>0</v>
      </c>
      <c r="Z167" s="358"/>
      <c r="AA167" s="353" t="e">
        <f ca="1">VLOOKUP(Tableau118[[#This Row],[Key(ID-Actif)]],'DATA BTO'!A:N,5,FALSE)</f>
        <v>#N/A</v>
      </c>
      <c r="AB167" s="3" t="e">
        <f ca="1">VLOOKUP(Tableau118[[#This Row],[Key(ID-Actif)]],'DATA BTO'!A:N,6,FALSE)</f>
        <v>#N/A</v>
      </c>
      <c r="AC167" s="50" t="e">
        <f ca="1">VLOOKUP(Tableau118[[#This Row],[Key(ID-Actif)]],'DATA BTO'!A:N,7,FALSE)</f>
        <v>#N/A</v>
      </c>
      <c r="AD167" s="50" t="e">
        <f ca="1">VLOOKUP(Tableau118[[#This Row],[Key(ID-Actif)]],'DATA BTO'!A:N,8,FALSE)</f>
        <v>#N/A</v>
      </c>
      <c r="AE167" s="50" t="e">
        <f ca="1">IF(Tableau118[[#This Row],[First Day to POL]]&lt;=Tableau118[[#This Row],[Day Cut Off]],Tableau118[[#This Row],[Day ETD]],Tableau118[[#This Row],[Day ETD]]+7)</f>
        <v>#N/A</v>
      </c>
      <c r="AF167" s="50" t="e">
        <f ca="1">VLOOKUP(Tableau118[[#This Row],[Key(ID-Actif)]],'DATA BTO'!A:N,9,FALSE)</f>
        <v>#N/A</v>
      </c>
      <c r="AG167" s="3" t="e">
        <f ca="1">VLOOKUP(Tableau118[[#This Row],[Key(ID-Actif)]],'DATA BTO'!A:N,10,FALSE)</f>
        <v>#N/A</v>
      </c>
      <c r="AH167" s="3" t="e">
        <f ca="1">VLOOKUP(Tableau118[[#This Row],[Key(ID-Actif)]],'DATA BTO'!A:N,11,FALSE)</f>
        <v>#N/A</v>
      </c>
      <c r="AI167" s="50" t="e">
        <f ca="1">VLOOKUP(Tableau118[[#This Row],[Key(ID-Actif)]],'DATA BTO'!A:N,12,FALSE)</f>
        <v>#N/A</v>
      </c>
      <c r="AJ167" s="53" t="e">
        <f ca="1">VLOOKUP(Tableau118[[#This Row],[Key(ID-Actif)]],'DATA BTO'!A:N,14,FALSE)</f>
        <v>#N/A</v>
      </c>
      <c r="AK167" s="54" t="e">
        <f ca="1">VLOOKUP(Tableau118[[#This Row],[Key(POD -PFI- Usine)]],'DATA Consignee'!A:F,6,FALSE)</f>
        <v>#N/A</v>
      </c>
      <c r="AL167" s="125" t="s">
        <v>153</v>
      </c>
      <c r="AM167" s="483">
        <f>IF(Tableau118[[#This Row],[Name PFI/CDD]]="","-",VLOOKUP(Tableau118[[#This Row],[Name PFI/CDD]],Plant_AILN!I:J,2,FALSE))</f>
        <v>90016600</v>
      </c>
      <c r="AN16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7" s="2" t="e">
        <f ca="1">VLOOKUP(Tableau118[[#This Row],[Key(POD -PFI- Usine)]],'DATA Consignee'!A:J,10,FALSE)</f>
        <v>#N/A</v>
      </c>
      <c r="AQ167" s="50" t="e">
        <f ca="1">VLOOKUP(Tableau118[[#This Row],[Key(POD -PFI- Usine)]],'DATA Consignee'!A:N,14,FALSE)</f>
        <v>#N/A</v>
      </c>
      <c r="AR16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7" s="50" t="e">
        <f ca="1">Tableau118[[#This Row],[Transit time]]+Tableau118[[#This Row],[Time for security]]+Tableau118[[#This Row],[Time for security2 buffer]]</f>
        <v>#N/A</v>
      </c>
      <c r="AU16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7" s="389" t="e">
        <f ca="1">Tableau118[[#This Row],[Leadtime SI2C]]+Tableau118[[#This Row],[First Receipt Days]]-Tableau118[[#This Row],[Day Customer Order]]+1</f>
        <v>#N/A</v>
      </c>
      <c r="AW167" s="117" t="e">
        <f ca="1">IF(Tableau118[[#This Row],[Name ILN]]&lt;&gt;"SFK Freight Forwarder",Tableau118[[#This Row],[Cust. Leadtime]],Tableau118[[#This Row],[Leadtime SI2C]])</f>
        <v>#N/A</v>
      </c>
      <c r="AX167" s="51" t="e">
        <f>VLOOKUP(Tableau118[[#This Row],[ID]],'DATA BTO'!B:P,15,FALSE)</f>
        <v>#N/A</v>
      </c>
      <c r="AY167" s="328" t="e">
        <f ca="1">IFERROR(VLOOKUP(Tableau118[[#This Row],[Key(ID-Actif)]],'DATA BTO'!A:N,4,FALSE),VLOOKUP(Tableau118[[#This Row],[ID]],'DATA BTO'!B:N,3,FALSE))</f>
        <v>#N/A</v>
      </c>
      <c r="AZ16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7" s="50"/>
    </row>
    <row r="168" spans="2:57">
      <c r="B168" s="65" t="str">
        <f>_xlfn.CONCAT(Tableau118[[#This Row],[Name ILN]],"-",Tableau118[[#This Row],[Name Shipper]],"-",Tableau118[[#This Row],[Name Site]])</f>
        <v>--</v>
      </c>
      <c r="C168" s="65" t="e">
        <f ca="1">_xlfn.CONCAT(Tableau118[[#This Row],[Compte ILN]],"-",Tableau118[[#This Row],[Compte Shipper]],"-",Tableau118[[#This Row],[POL]],"-",Tableau118[[#This Row],[Compte Site]])</f>
        <v>#N/A</v>
      </c>
      <c r="D168" s="64" t="e">
        <f ca="1">_xlfn.CONCAT(Tableau118[[#This Row],[Compte ILN]],"-",Tableau118[[#This Row],[Compte Shipper]],"-",Tableau118[[#This Row],[POL]])</f>
        <v>#N/A</v>
      </c>
      <c r="E168" s="396" t="e">
        <f ca="1">_xlfn.CONCAT(Tableau118[[#This Row],[POL]],"-",Tableau118[[#This Row],[Carrier]],"-",Tableau118[[#This Row],[POD]])</f>
        <v>#N/A</v>
      </c>
      <c r="F168" s="64" t="str">
        <f>_xlfn.CONCAT(Tableau118[[#This Row],[ID]],"-","Next")</f>
        <v>-Next</v>
      </c>
      <c r="G168" s="64" t="e">
        <f ca="1">_xlfn.CONCAT(Tableau118[[#This Row],[POD]],"-",Tableau118[[#This Row],[Code PFI]],"-",Tableau118[[#This Row],[Compte Site]])</f>
        <v>#N/A</v>
      </c>
      <c r="H16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8" s="397" t="str">
        <f ca="1">IF(COUNTIF(I:I,Tableau118[[#This Row],[Plant-ILN-shipper-POL-Carrier-POD-PFI]])=1,"Non","Oui")</f>
        <v>Oui</v>
      </c>
      <c r="K168" s="399" t="e">
        <f>VLOOKUP(Tableau118[[#This Row],[Name Site]],Plant_AILN!A:D,4,FALSE)</f>
        <v>#N/A</v>
      </c>
      <c r="L168" s="10"/>
      <c r="M168" s="480"/>
      <c r="N168" s="55"/>
      <c r="O168" s="122"/>
      <c r="P168" s="481"/>
      <c r="Q168" s="50"/>
      <c r="R168" s="50"/>
      <c r="S168" s="50"/>
      <c r="T168" s="50"/>
      <c r="U168" s="50"/>
      <c r="V168" s="50"/>
      <c r="W168" s="53"/>
      <c r="X168" s="283"/>
      <c r="Y168" s="482">
        <f>IFERROR(VLOOKUP(Tableau118[[#This Row],[Name Shipper]],Plant_AILN!L:M,2,FALSE),0)</f>
        <v>0</v>
      </c>
      <c r="Z168" s="358"/>
      <c r="AA168" s="353" t="e">
        <f ca="1">VLOOKUP(Tableau118[[#This Row],[Key(ID-Actif)]],'DATA BTO'!A:N,5,FALSE)</f>
        <v>#N/A</v>
      </c>
      <c r="AB168" s="3" t="e">
        <f ca="1">VLOOKUP(Tableau118[[#This Row],[Key(ID-Actif)]],'DATA BTO'!A:N,6,FALSE)</f>
        <v>#N/A</v>
      </c>
      <c r="AC168" s="50" t="e">
        <f ca="1">VLOOKUP(Tableau118[[#This Row],[Key(ID-Actif)]],'DATA BTO'!A:N,7,FALSE)</f>
        <v>#N/A</v>
      </c>
      <c r="AD168" s="50" t="e">
        <f ca="1">VLOOKUP(Tableau118[[#This Row],[Key(ID-Actif)]],'DATA BTO'!A:N,8,FALSE)</f>
        <v>#N/A</v>
      </c>
      <c r="AE168" s="50" t="e">
        <f ca="1">IF(Tableau118[[#This Row],[First Day to POL]]&lt;=Tableau118[[#This Row],[Day Cut Off]],Tableau118[[#This Row],[Day ETD]],Tableau118[[#This Row],[Day ETD]]+7)</f>
        <v>#N/A</v>
      </c>
      <c r="AF168" s="50" t="e">
        <f ca="1">VLOOKUP(Tableau118[[#This Row],[Key(ID-Actif)]],'DATA BTO'!A:N,9,FALSE)</f>
        <v>#N/A</v>
      </c>
      <c r="AG168" s="3" t="e">
        <f ca="1">VLOOKUP(Tableau118[[#This Row],[Key(ID-Actif)]],'DATA BTO'!A:N,10,FALSE)</f>
        <v>#N/A</v>
      </c>
      <c r="AH168" s="3" t="e">
        <f ca="1">VLOOKUP(Tableau118[[#This Row],[Key(ID-Actif)]],'DATA BTO'!A:N,11,FALSE)</f>
        <v>#N/A</v>
      </c>
      <c r="AI168" s="50" t="e">
        <f ca="1">VLOOKUP(Tableau118[[#This Row],[Key(ID-Actif)]],'DATA BTO'!A:N,12,FALSE)</f>
        <v>#N/A</v>
      </c>
      <c r="AJ168" s="53" t="e">
        <f ca="1">VLOOKUP(Tableau118[[#This Row],[Key(ID-Actif)]],'DATA BTO'!A:N,14,FALSE)</f>
        <v>#N/A</v>
      </c>
      <c r="AK168" s="54" t="e">
        <f ca="1">VLOOKUP(Tableau118[[#This Row],[Key(POD -PFI- Usine)]],'DATA Consignee'!A:F,6,FALSE)</f>
        <v>#N/A</v>
      </c>
      <c r="AL168" s="125" t="s">
        <v>218</v>
      </c>
      <c r="AM168" s="483">
        <f>IF(Tableau118[[#This Row],[Name PFI/CDD]]="","-",VLOOKUP(Tableau118[[#This Row],[Name PFI/CDD]],Plant_AILN!I:J,2,FALSE))</f>
        <v>2839004</v>
      </c>
      <c r="AN16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8" s="2" t="e">
        <f ca="1">VLOOKUP(Tableau118[[#This Row],[Key(POD -PFI- Usine)]],'DATA Consignee'!A:J,10,FALSE)</f>
        <v>#N/A</v>
      </c>
      <c r="AQ168" s="50" t="e">
        <f ca="1">VLOOKUP(Tableau118[[#This Row],[Key(POD -PFI- Usine)]],'DATA Consignee'!A:N,14,FALSE)</f>
        <v>#N/A</v>
      </c>
      <c r="AR16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8" s="50" t="e">
        <f ca="1">Tableau118[[#This Row],[Transit time]]+Tableau118[[#This Row],[Time for security]]+Tableau118[[#This Row],[Time for security2 buffer]]</f>
        <v>#N/A</v>
      </c>
      <c r="AU16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8" s="389" t="e">
        <f ca="1">Tableau118[[#This Row],[Leadtime SI2C]]+Tableau118[[#This Row],[First Receipt Days]]-Tableau118[[#This Row],[Day Customer Order]]+1</f>
        <v>#N/A</v>
      </c>
      <c r="AW168" s="117" t="e">
        <f ca="1">IF(Tableau118[[#This Row],[Name ILN]]&lt;&gt;"SFK Freight Forwarder",Tableau118[[#This Row],[Cust. Leadtime]],Tableau118[[#This Row],[Leadtime SI2C]])</f>
        <v>#N/A</v>
      </c>
      <c r="AX168" s="51" t="e">
        <f>VLOOKUP(Tableau118[[#This Row],[ID]],'DATA BTO'!B:P,15,FALSE)</f>
        <v>#N/A</v>
      </c>
      <c r="AY168" s="328" t="e">
        <f ca="1">IFERROR(VLOOKUP(Tableau118[[#This Row],[Key(ID-Actif)]],'DATA BTO'!A:N,4,FALSE),VLOOKUP(Tableau118[[#This Row],[ID]],'DATA BTO'!B:N,3,FALSE))</f>
        <v>#N/A</v>
      </c>
      <c r="AZ16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8" s="50"/>
    </row>
    <row r="169" spans="2:57">
      <c r="B169" s="65" t="str">
        <f>_xlfn.CONCAT(Tableau118[[#This Row],[Name ILN]],"-",Tableau118[[#This Row],[Name Shipper]],"-",Tableau118[[#This Row],[Name Site]])</f>
        <v>--</v>
      </c>
      <c r="C169" s="65" t="e">
        <f ca="1">_xlfn.CONCAT(Tableau118[[#This Row],[Compte ILN]],"-",Tableau118[[#This Row],[Compte Shipper]],"-",Tableau118[[#This Row],[POL]],"-",Tableau118[[#This Row],[Compte Site]])</f>
        <v>#N/A</v>
      </c>
      <c r="D169" s="64" t="e">
        <f ca="1">_xlfn.CONCAT(Tableau118[[#This Row],[Compte ILN]],"-",Tableau118[[#This Row],[Compte Shipper]],"-",Tableau118[[#This Row],[POL]])</f>
        <v>#N/A</v>
      </c>
      <c r="E169" s="396" t="e">
        <f ca="1">_xlfn.CONCAT(Tableau118[[#This Row],[POL]],"-",Tableau118[[#This Row],[Carrier]],"-",Tableau118[[#This Row],[POD]])</f>
        <v>#N/A</v>
      </c>
      <c r="F169" s="64" t="str">
        <f>_xlfn.CONCAT(Tableau118[[#This Row],[ID]],"-","Next")</f>
        <v>-Next</v>
      </c>
      <c r="G169" s="64" t="e">
        <f ca="1">_xlfn.CONCAT(Tableau118[[#This Row],[POD]],"-",Tableau118[[#This Row],[Code PFI]],"-",Tableau118[[#This Row],[Compte Site]])</f>
        <v>#N/A</v>
      </c>
      <c r="H16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6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69" s="397" t="str">
        <f ca="1">IF(COUNTIF(I:I,Tableau118[[#This Row],[Plant-ILN-shipper-POL-Carrier-POD-PFI]])=1,"Non","Oui")</f>
        <v>Oui</v>
      </c>
      <c r="K169" s="399" t="e">
        <f>VLOOKUP(Tableau118[[#This Row],[Name Site]],Plant_AILN!A:D,4,FALSE)</f>
        <v>#N/A</v>
      </c>
      <c r="L169" s="10"/>
      <c r="M169" s="480"/>
      <c r="N169" s="55"/>
      <c r="O169" s="122"/>
      <c r="P169" s="481"/>
      <c r="Q169" s="50"/>
      <c r="R169" s="50"/>
      <c r="S169" s="50"/>
      <c r="T169" s="50"/>
      <c r="U169" s="50"/>
      <c r="V169" s="50"/>
      <c r="W169" s="53"/>
      <c r="X169" s="283"/>
      <c r="Y169" s="482">
        <f>IFERROR(VLOOKUP(Tableau118[[#This Row],[Name Shipper]],Plant_AILN!L:M,2,FALSE),0)</f>
        <v>0</v>
      </c>
      <c r="Z169" s="358"/>
      <c r="AA169" s="353" t="e">
        <f ca="1">VLOOKUP(Tableau118[[#This Row],[Key(ID-Actif)]],'DATA BTO'!A:N,5,FALSE)</f>
        <v>#N/A</v>
      </c>
      <c r="AB169" s="3" t="e">
        <f ca="1">VLOOKUP(Tableau118[[#This Row],[Key(ID-Actif)]],'DATA BTO'!A:N,6,FALSE)</f>
        <v>#N/A</v>
      </c>
      <c r="AC169" s="50" t="e">
        <f ca="1">VLOOKUP(Tableau118[[#This Row],[Key(ID-Actif)]],'DATA BTO'!A:N,7,FALSE)</f>
        <v>#N/A</v>
      </c>
      <c r="AD169" s="50" t="e">
        <f ca="1">VLOOKUP(Tableau118[[#This Row],[Key(ID-Actif)]],'DATA BTO'!A:N,8,FALSE)</f>
        <v>#N/A</v>
      </c>
      <c r="AE169" s="50" t="e">
        <f ca="1">IF(Tableau118[[#This Row],[First Day to POL]]&lt;=Tableau118[[#This Row],[Day Cut Off]],Tableau118[[#This Row],[Day ETD]],Tableau118[[#This Row],[Day ETD]]+7)</f>
        <v>#N/A</v>
      </c>
      <c r="AF169" s="50" t="e">
        <f ca="1">VLOOKUP(Tableau118[[#This Row],[Key(ID-Actif)]],'DATA BTO'!A:N,9,FALSE)</f>
        <v>#N/A</v>
      </c>
      <c r="AG169" s="3" t="e">
        <f ca="1">VLOOKUP(Tableau118[[#This Row],[Key(ID-Actif)]],'DATA BTO'!A:N,10,FALSE)</f>
        <v>#N/A</v>
      </c>
      <c r="AH169" s="3" t="e">
        <f ca="1">VLOOKUP(Tableau118[[#This Row],[Key(ID-Actif)]],'DATA BTO'!A:N,11,FALSE)</f>
        <v>#N/A</v>
      </c>
      <c r="AI169" s="50" t="e">
        <f ca="1">VLOOKUP(Tableau118[[#This Row],[Key(ID-Actif)]],'DATA BTO'!A:N,12,FALSE)</f>
        <v>#N/A</v>
      </c>
      <c r="AJ169" s="53" t="e">
        <f ca="1">VLOOKUP(Tableau118[[#This Row],[Key(ID-Actif)]],'DATA BTO'!A:N,14,FALSE)</f>
        <v>#N/A</v>
      </c>
      <c r="AK169" s="54" t="e">
        <f ca="1">VLOOKUP(Tableau118[[#This Row],[Key(POD -PFI- Usine)]],'DATA Consignee'!A:F,6,FALSE)</f>
        <v>#N/A</v>
      </c>
      <c r="AL169" s="125"/>
      <c r="AM169" s="483" t="str">
        <f>IF(Tableau118[[#This Row],[Name PFI/CDD]]="","-",VLOOKUP(Tableau118[[#This Row],[Name PFI/CDD]],Plant_AILN!I:J,2,FALSE))</f>
        <v>-</v>
      </c>
      <c r="AN16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6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69" s="2" t="e">
        <f ca="1">VLOOKUP(Tableau118[[#This Row],[Key(POD -PFI- Usine)]],'DATA Consignee'!A:J,10,FALSE)</f>
        <v>#N/A</v>
      </c>
      <c r="AQ169" s="50" t="e">
        <f ca="1">VLOOKUP(Tableau118[[#This Row],[Key(POD -PFI- Usine)]],'DATA Consignee'!A:N,14,FALSE)</f>
        <v>#N/A</v>
      </c>
      <c r="AR16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6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69" s="50" t="e">
        <f ca="1">Tableau118[[#This Row],[Transit time]]+Tableau118[[#This Row],[Time for security]]+Tableau118[[#This Row],[Time for security2 buffer]]</f>
        <v>#N/A</v>
      </c>
      <c r="AU16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69" s="389" t="e">
        <f ca="1">Tableau118[[#This Row],[Leadtime SI2C]]+Tableau118[[#This Row],[First Receipt Days]]-Tableau118[[#This Row],[Day Customer Order]]+1</f>
        <v>#N/A</v>
      </c>
      <c r="AW169" s="117" t="e">
        <f ca="1">IF(Tableau118[[#This Row],[Name ILN]]&lt;&gt;"SFK Freight Forwarder",Tableau118[[#This Row],[Cust. Leadtime]],Tableau118[[#This Row],[Leadtime SI2C]])</f>
        <v>#N/A</v>
      </c>
      <c r="AX169" s="51" t="e">
        <f>VLOOKUP(Tableau118[[#This Row],[ID]],'DATA BTO'!B:P,15,FALSE)</f>
        <v>#N/A</v>
      </c>
      <c r="AY169" s="328" t="e">
        <f ca="1">IFERROR(VLOOKUP(Tableau118[[#This Row],[Key(ID-Actif)]],'DATA BTO'!A:N,4,FALSE),VLOOKUP(Tableau118[[#This Row],[ID]],'DATA BTO'!B:N,3,FALSE))</f>
        <v>#N/A</v>
      </c>
      <c r="AZ16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6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6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6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6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69" s="50"/>
    </row>
    <row r="170" spans="2:57">
      <c r="B170" s="65" t="str">
        <f>_xlfn.CONCAT(Tableau118[[#This Row],[Name ILN]],"-",Tableau118[[#This Row],[Name Shipper]],"-",Tableau118[[#This Row],[Name Site]])</f>
        <v>--</v>
      </c>
      <c r="C170" s="65" t="e">
        <f ca="1">_xlfn.CONCAT(Tableau118[[#This Row],[Compte ILN]],"-",Tableau118[[#This Row],[Compte Shipper]],"-",Tableau118[[#This Row],[POL]],"-",Tableau118[[#This Row],[Compte Site]])</f>
        <v>#N/A</v>
      </c>
      <c r="D170" s="64" t="e">
        <f ca="1">_xlfn.CONCAT(Tableau118[[#This Row],[Compte ILN]],"-",Tableau118[[#This Row],[Compte Shipper]],"-",Tableau118[[#This Row],[POL]])</f>
        <v>#N/A</v>
      </c>
      <c r="E170" s="396" t="e">
        <f ca="1">_xlfn.CONCAT(Tableau118[[#This Row],[POL]],"-",Tableau118[[#This Row],[Carrier]],"-",Tableau118[[#This Row],[POD]])</f>
        <v>#N/A</v>
      </c>
      <c r="F170" s="64" t="str">
        <f>_xlfn.CONCAT(Tableau118[[#This Row],[ID]],"-","Next")</f>
        <v>-Next</v>
      </c>
      <c r="G170" s="64" t="e">
        <f ca="1">_xlfn.CONCAT(Tableau118[[#This Row],[POD]],"-",Tableau118[[#This Row],[Code PFI]],"-",Tableau118[[#This Row],[Compte Site]])</f>
        <v>#N/A</v>
      </c>
      <c r="H17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0" s="397" t="str">
        <f ca="1">IF(COUNTIF(I:I,Tableau118[[#This Row],[Plant-ILN-shipper-POL-Carrier-POD-PFI]])=1,"Non","Oui")</f>
        <v>Oui</v>
      </c>
      <c r="K170" s="399" t="e">
        <f>VLOOKUP(Tableau118[[#This Row],[Name Site]],Plant_AILN!A:D,4,FALSE)</f>
        <v>#N/A</v>
      </c>
      <c r="L170" s="10"/>
      <c r="M170" s="480"/>
      <c r="N170" s="55"/>
      <c r="O170" s="122"/>
      <c r="P170" s="481"/>
      <c r="Q170" s="50"/>
      <c r="R170" s="50"/>
      <c r="S170" s="50"/>
      <c r="T170" s="50"/>
      <c r="U170" s="50"/>
      <c r="V170" s="50"/>
      <c r="W170" s="53"/>
      <c r="X170" s="283"/>
      <c r="Y170" s="482">
        <f>IFERROR(VLOOKUP(Tableau118[[#This Row],[Name Shipper]],Plant_AILN!L:M,2,FALSE),0)</f>
        <v>0</v>
      </c>
      <c r="Z170" s="358"/>
      <c r="AA170" s="353" t="e">
        <f ca="1">VLOOKUP(Tableau118[[#This Row],[Key(ID-Actif)]],'DATA BTO'!A:N,5,FALSE)</f>
        <v>#N/A</v>
      </c>
      <c r="AB170" s="3" t="e">
        <f ca="1">VLOOKUP(Tableau118[[#This Row],[Key(ID-Actif)]],'DATA BTO'!A:N,6,FALSE)</f>
        <v>#N/A</v>
      </c>
      <c r="AC170" s="50" t="e">
        <f ca="1">VLOOKUP(Tableau118[[#This Row],[Key(ID-Actif)]],'DATA BTO'!A:N,7,FALSE)</f>
        <v>#N/A</v>
      </c>
      <c r="AD170" s="50" t="e">
        <f ca="1">VLOOKUP(Tableau118[[#This Row],[Key(ID-Actif)]],'DATA BTO'!A:N,8,FALSE)</f>
        <v>#N/A</v>
      </c>
      <c r="AE170" s="50" t="e">
        <f ca="1">IF(Tableau118[[#This Row],[First Day to POL]]&lt;=Tableau118[[#This Row],[Day Cut Off]],Tableau118[[#This Row],[Day ETD]],Tableau118[[#This Row],[Day ETD]]+7)</f>
        <v>#N/A</v>
      </c>
      <c r="AF170" s="50" t="e">
        <f ca="1">VLOOKUP(Tableau118[[#This Row],[Key(ID-Actif)]],'DATA BTO'!A:N,9,FALSE)</f>
        <v>#N/A</v>
      </c>
      <c r="AG170" s="3" t="e">
        <f ca="1">VLOOKUP(Tableau118[[#This Row],[Key(ID-Actif)]],'DATA BTO'!A:N,10,FALSE)</f>
        <v>#N/A</v>
      </c>
      <c r="AH170" s="3" t="e">
        <f ca="1">VLOOKUP(Tableau118[[#This Row],[Key(ID-Actif)]],'DATA BTO'!A:N,11,FALSE)</f>
        <v>#N/A</v>
      </c>
      <c r="AI170" s="50" t="e">
        <f ca="1">VLOOKUP(Tableau118[[#This Row],[Key(ID-Actif)]],'DATA BTO'!A:N,12,FALSE)</f>
        <v>#N/A</v>
      </c>
      <c r="AJ170" s="53" t="e">
        <f ca="1">VLOOKUP(Tableau118[[#This Row],[Key(ID-Actif)]],'DATA BTO'!A:N,14,FALSE)</f>
        <v>#N/A</v>
      </c>
      <c r="AK170" s="54" t="e">
        <f ca="1">VLOOKUP(Tableau118[[#This Row],[Key(POD -PFI- Usine)]],'DATA Consignee'!A:F,6,FALSE)</f>
        <v>#N/A</v>
      </c>
      <c r="AL170" s="125"/>
      <c r="AM170" s="483" t="str">
        <f>IF(Tableau118[[#This Row],[Name PFI/CDD]]="","-",VLOOKUP(Tableau118[[#This Row],[Name PFI/CDD]],Plant_AILN!I:J,2,FALSE))</f>
        <v>-</v>
      </c>
      <c r="AN17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0" s="2" t="e">
        <f ca="1">VLOOKUP(Tableau118[[#This Row],[Key(POD -PFI- Usine)]],'DATA Consignee'!A:J,10,FALSE)</f>
        <v>#N/A</v>
      </c>
      <c r="AQ170" s="50" t="e">
        <f ca="1">VLOOKUP(Tableau118[[#This Row],[Key(POD -PFI- Usine)]],'DATA Consignee'!A:N,14,FALSE)</f>
        <v>#N/A</v>
      </c>
      <c r="AR17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0" s="50" t="e">
        <f ca="1">Tableau118[[#This Row],[Transit time]]+Tableau118[[#This Row],[Time for security]]+Tableau118[[#This Row],[Time for security2 buffer]]</f>
        <v>#N/A</v>
      </c>
      <c r="AU17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0" s="389" t="e">
        <f ca="1">Tableau118[[#This Row],[Leadtime SI2C]]+Tableau118[[#This Row],[First Receipt Days]]-Tableau118[[#This Row],[Day Customer Order]]+1</f>
        <v>#N/A</v>
      </c>
      <c r="AW170" s="117" t="e">
        <f ca="1">IF(Tableau118[[#This Row],[Name ILN]]&lt;&gt;"SFK Freight Forwarder",Tableau118[[#This Row],[Cust. Leadtime]],Tableau118[[#This Row],[Leadtime SI2C]])</f>
        <v>#N/A</v>
      </c>
      <c r="AX170" s="51" t="e">
        <f>VLOOKUP(Tableau118[[#This Row],[ID]],'DATA BTO'!B:P,15,FALSE)</f>
        <v>#N/A</v>
      </c>
      <c r="AY170" s="328" t="e">
        <f ca="1">IFERROR(VLOOKUP(Tableau118[[#This Row],[Key(ID-Actif)]],'DATA BTO'!A:N,4,FALSE),VLOOKUP(Tableau118[[#This Row],[ID]],'DATA BTO'!B:N,3,FALSE))</f>
        <v>#N/A</v>
      </c>
      <c r="AZ17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0" s="50"/>
    </row>
    <row r="171" spans="2:57">
      <c r="B171" s="65" t="str">
        <f>_xlfn.CONCAT(Tableau118[[#This Row],[Name ILN]],"-",Tableau118[[#This Row],[Name Shipper]],"-",Tableau118[[#This Row],[Name Site]])</f>
        <v>--</v>
      </c>
      <c r="C171" s="65" t="e">
        <f ca="1">_xlfn.CONCAT(Tableau118[[#This Row],[Compte ILN]],"-",Tableau118[[#This Row],[Compte Shipper]],"-",Tableau118[[#This Row],[POL]],"-",Tableau118[[#This Row],[Compte Site]])</f>
        <v>#N/A</v>
      </c>
      <c r="D171" s="64" t="e">
        <f ca="1">_xlfn.CONCAT(Tableau118[[#This Row],[Compte ILN]],"-",Tableau118[[#This Row],[Compte Shipper]],"-",Tableau118[[#This Row],[POL]])</f>
        <v>#N/A</v>
      </c>
      <c r="E171" s="396" t="e">
        <f ca="1">_xlfn.CONCAT(Tableau118[[#This Row],[POL]],"-",Tableau118[[#This Row],[Carrier]],"-",Tableau118[[#This Row],[POD]])</f>
        <v>#N/A</v>
      </c>
      <c r="F171" s="64" t="str">
        <f>_xlfn.CONCAT(Tableau118[[#This Row],[ID]],"-","Next")</f>
        <v>-Next</v>
      </c>
      <c r="G171" s="64" t="e">
        <f ca="1">_xlfn.CONCAT(Tableau118[[#This Row],[POD]],"-",Tableau118[[#This Row],[Code PFI]],"-",Tableau118[[#This Row],[Compte Site]])</f>
        <v>#N/A</v>
      </c>
      <c r="H17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1" s="397" t="str">
        <f ca="1">IF(COUNTIF(I:I,Tableau118[[#This Row],[Plant-ILN-shipper-POL-Carrier-POD-PFI]])=1,"Non","Oui")</f>
        <v>Oui</v>
      </c>
      <c r="K171" s="399" t="e">
        <f>VLOOKUP(Tableau118[[#This Row],[Name Site]],Plant_AILN!A:D,4,FALSE)</f>
        <v>#N/A</v>
      </c>
      <c r="L171" s="10"/>
      <c r="M171" s="480"/>
      <c r="N171" s="55"/>
      <c r="O171" s="123"/>
      <c r="P171" s="481"/>
      <c r="Q171" s="50"/>
      <c r="R171" s="50"/>
      <c r="S171" s="50"/>
      <c r="T171" s="50"/>
      <c r="U171" s="50"/>
      <c r="V171" s="50"/>
      <c r="W171" s="53"/>
      <c r="X171" s="283"/>
      <c r="Y171" s="482">
        <f>IFERROR(VLOOKUP(Tableau118[[#This Row],[Name Shipper]],Plant_AILN!L:M,2,FALSE),0)</f>
        <v>0</v>
      </c>
      <c r="Z171" s="358"/>
      <c r="AA171" s="353" t="e">
        <f ca="1">VLOOKUP(Tableau118[[#This Row],[Key(ID-Actif)]],'DATA BTO'!A:N,5,FALSE)</f>
        <v>#N/A</v>
      </c>
      <c r="AB171" s="3" t="e">
        <f ca="1">VLOOKUP(Tableau118[[#This Row],[Key(ID-Actif)]],'DATA BTO'!A:N,6,FALSE)</f>
        <v>#N/A</v>
      </c>
      <c r="AC171" s="50" t="e">
        <f ca="1">VLOOKUP(Tableau118[[#This Row],[Key(ID-Actif)]],'DATA BTO'!A:N,7,FALSE)</f>
        <v>#N/A</v>
      </c>
      <c r="AD171" s="50" t="e">
        <f ca="1">VLOOKUP(Tableau118[[#This Row],[Key(ID-Actif)]],'DATA BTO'!A:N,8,FALSE)</f>
        <v>#N/A</v>
      </c>
      <c r="AE171" s="50" t="e">
        <f ca="1">IF(Tableau118[[#This Row],[First Day to POL]]&lt;=Tableau118[[#This Row],[Day Cut Off]],Tableau118[[#This Row],[Day ETD]],Tableau118[[#This Row],[Day ETD]]+7)</f>
        <v>#N/A</v>
      </c>
      <c r="AF171" s="50" t="e">
        <f ca="1">VLOOKUP(Tableau118[[#This Row],[Key(ID-Actif)]],'DATA BTO'!A:N,9,FALSE)</f>
        <v>#N/A</v>
      </c>
      <c r="AG171" s="3" t="e">
        <f ca="1">VLOOKUP(Tableau118[[#This Row],[Key(ID-Actif)]],'DATA BTO'!A:N,10,FALSE)</f>
        <v>#N/A</v>
      </c>
      <c r="AH171" s="3" t="e">
        <f ca="1">VLOOKUP(Tableau118[[#This Row],[Key(ID-Actif)]],'DATA BTO'!A:N,11,FALSE)</f>
        <v>#N/A</v>
      </c>
      <c r="AI171" s="50" t="e">
        <f ca="1">VLOOKUP(Tableau118[[#This Row],[Key(ID-Actif)]],'DATA BTO'!A:N,12,FALSE)</f>
        <v>#N/A</v>
      </c>
      <c r="AJ171" s="53" t="e">
        <f ca="1">VLOOKUP(Tableau118[[#This Row],[Key(ID-Actif)]],'DATA BTO'!A:N,14,FALSE)</f>
        <v>#N/A</v>
      </c>
      <c r="AK171" s="54" t="e">
        <f ca="1">VLOOKUP(Tableau118[[#This Row],[Key(POD -PFI- Usine)]],'DATA Consignee'!A:F,6,FALSE)</f>
        <v>#N/A</v>
      </c>
      <c r="AL171" s="125"/>
      <c r="AM171" s="483" t="str">
        <f>IF(Tableau118[[#This Row],[Name PFI/CDD]]="","-",VLOOKUP(Tableau118[[#This Row],[Name PFI/CDD]],Plant_AILN!I:J,2,FALSE))</f>
        <v>-</v>
      </c>
      <c r="AN17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1" s="2" t="e">
        <f ca="1">VLOOKUP(Tableau118[[#This Row],[Key(POD -PFI- Usine)]],'DATA Consignee'!A:J,10,FALSE)</f>
        <v>#N/A</v>
      </c>
      <c r="AQ171" s="50" t="e">
        <f ca="1">VLOOKUP(Tableau118[[#This Row],[Key(POD -PFI- Usine)]],'DATA Consignee'!A:N,14,FALSE)</f>
        <v>#N/A</v>
      </c>
      <c r="AR17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1" s="50" t="e">
        <f ca="1">Tableau118[[#This Row],[Transit time]]+Tableau118[[#This Row],[Time for security]]+Tableau118[[#This Row],[Time for security2 buffer]]</f>
        <v>#N/A</v>
      </c>
      <c r="AU17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1" s="389" t="e">
        <f ca="1">Tableau118[[#This Row],[Leadtime SI2C]]+Tableau118[[#This Row],[First Receipt Days]]-Tableau118[[#This Row],[Day Customer Order]]+1</f>
        <v>#N/A</v>
      </c>
      <c r="AW171" s="117" t="e">
        <f ca="1">IF(Tableau118[[#This Row],[Name ILN]]&lt;&gt;"SFK Freight Forwarder",Tableau118[[#This Row],[Cust. Leadtime]],Tableau118[[#This Row],[Leadtime SI2C]])</f>
        <v>#N/A</v>
      </c>
      <c r="AX171" s="51" t="e">
        <f>VLOOKUP(Tableau118[[#This Row],[ID]],'DATA BTO'!B:P,15,FALSE)</f>
        <v>#N/A</v>
      </c>
      <c r="AY171" s="328" t="e">
        <f ca="1">IFERROR(VLOOKUP(Tableau118[[#This Row],[Key(ID-Actif)]],'DATA BTO'!A:N,4,FALSE),VLOOKUP(Tableau118[[#This Row],[ID]],'DATA BTO'!B:N,3,FALSE))</f>
        <v>#N/A</v>
      </c>
      <c r="AZ17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1" s="50"/>
    </row>
    <row r="172" spans="2:57">
      <c r="B172" s="65" t="str">
        <f>_xlfn.CONCAT(Tableau118[[#This Row],[Name ILN]],"-",Tableau118[[#This Row],[Name Shipper]],"-",Tableau118[[#This Row],[Name Site]])</f>
        <v>--</v>
      </c>
      <c r="C172" s="65" t="e">
        <f ca="1">_xlfn.CONCAT(Tableau118[[#This Row],[Compte ILN]],"-",Tableau118[[#This Row],[Compte Shipper]],"-",Tableau118[[#This Row],[POL]],"-",Tableau118[[#This Row],[Compte Site]])</f>
        <v>#N/A</v>
      </c>
      <c r="D172" s="64" t="e">
        <f ca="1">_xlfn.CONCAT(Tableau118[[#This Row],[Compte ILN]],"-",Tableau118[[#This Row],[Compte Shipper]],"-",Tableau118[[#This Row],[POL]])</f>
        <v>#N/A</v>
      </c>
      <c r="E172" s="396" t="e">
        <f ca="1">_xlfn.CONCAT(Tableau118[[#This Row],[POL]],"-",Tableau118[[#This Row],[Carrier]],"-",Tableau118[[#This Row],[POD]])</f>
        <v>#N/A</v>
      </c>
      <c r="F172" s="64" t="str">
        <f>_xlfn.CONCAT(Tableau118[[#This Row],[ID]],"-","Next")</f>
        <v>-Next</v>
      </c>
      <c r="G172" s="64" t="e">
        <f ca="1">_xlfn.CONCAT(Tableau118[[#This Row],[POD]],"-",Tableau118[[#This Row],[Code PFI]],"-",Tableau118[[#This Row],[Compte Site]])</f>
        <v>#N/A</v>
      </c>
      <c r="H17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2" s="397" t="str">
        <f ca="1">IF(COUNTIF(I:I,Tableau118[[#This Row],[Plant-ILN-shipper-POL-Carrier-POD-PFI]])=1,"Non","Oui")</f>
        <v>Oui</v>
      </c>
      <c r="K172" s="399" t="e">
        <f>VLOOKUP(Tableau118[[#This Row],[Name Site]],Plant_AILN!A:D,4,FALSE)</f>
        <v>#N/A</v>
      </c>
      <c r="L172" s="10"/>
      <c r="M172" s="480"/>
      <c r="N172" s="55"/>
      <c r="O172" s="122"/>
      <c r="P172" s="481"/>
      <c r="Q172" s="50"/>
      <c r="R172" s="50"/>
      <c r="S172" s="50"/>
      <c r="T172" s="50"/>
      <c r="U172" s="50"/>
      <c r="V172" s="50"/>
      <c r="W172" s="53"/>
      <c r="X172" s="283"/>
      <c r="Y172" s="482">
        <f>IFERROR(VLOOKUP(Tableau118[[#This Row],[Name Shipper]],Plant_AILN!L:M,2,FALSE),0)</f>
        <v>0</v>
      </c>
      <c r="Z172" s="358"/>
      <c r="AA172" s="353" t="e">
        <f ca="1">VLOOKUP(Tableau118[[#This Row],[Key(ID-Actif)]],'DATA BTO'!A:N,5,FALSE)</f>
        <v>#N/A</v>
      </c>
      <c r="AB172" s="3" t="e">
        <f ca="1">VLOOKUP(Tableau118[[#This Row],[Key(ID-Actif)]],'DATA BTO'!A:N,6,FALSE)</f>
        <v>#N/A</v>
      </c>
      <c r="AC172" s="50" t="e">
        <f ca="1">VLOOKUP(Tableau118[[#This Row],[Key(ID-Actif)]],'DATA BTO'!A:N,7,FALSE)</f>
        <v>#N/A</v>
      </c>
      <c r="AD172" s="50" t="e">
        <f ca="1">VLOOKUP(Tableau118[[#This Row],[Key(ID-Actif)]],'DATA BTO'!A:N,8,FALSE)</f>
        <v>#N/A</v>
      </c>
      <c r="AE172" s="50" t="e">
        <f ca="1">IF(Tableau118[[#This Row],[First Day to POL]]&lt;=Tableau118[[#This Row],[Day Cut Off]],Tableau118[[#This Row],[Day ETD]],Tableau118[[#This Row],[Day ETD]]+7)</f>
        <v>#N/A</v>
      </c>
      <c r="AF172" s="50" t="e">
        <f ca="1">VLOOKUP(Tableau118[[#This Row],[Key(ID-Actif)]],'DATA BTO'!A:N,9,FALSE)</f>
        <v>#N/A</v>
      </c>
      <c r="AG172" s="3" t="e">
        <f ca="1">VLOOKUP(Tableau118[[#This Row],[Key(ID-Actif)]],'DATA BTO'!A:N,10,FALSE)</f>
        <v>#N/A</v>
      </c>
      <c r="AH172" s="3" t="e">
        <f ca="1">VLOOKUP(Tableau118[[#This Row],[Key(ID-Actif)]],'DATA BTO'!A:N,11,FALSE)</f>
        <v>#N/A</v>
      </c>
      <c r="AI172" s="50" t="e">
        <f ca="1">VLOOKUP(Tableau118[[#This Row],[Key(ID-Actif)]],'DATA BTO'!A:N,12,FALSE)</f>
        <v>#N/A</v>
      </c>
      <c r="AJ172" s="53" t="e">
        <f ca="1">VLOOKUP(Tableau118[[#This Row],[Key(ID-Actif)]],'DATA BTO'!A:N,14,FALSE)</f>
        <v>#N/A</v>
      </c>
      <c r="AK172" s="54" t="e">
        <f ca="1">VLOOKUP(Tableau118[[#This Row],[Key(POD -PFI- Usine)]],'DATA Consignee'!A:F,6,FALSE)</f>
        <v>#N/A</v>
      </c>
      <c r="AL172" s="125"/>
      <c r="AM172" s="483" t="str">
        <f>IF(Tableau118[[#This Row],[Name PFI/CDD]]="","-",VLOOKUP(Tableau118[[#This Row],[Name PFI/CDD]],Plant_AILN!I:J,2,FALSE))</f>
        <v>-</v>
      </c>
      <c r="AN17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2" s="2" t="e">
        <f ca="1">VLOOKUP(Tableau118[[#This Row],[Key(POD -PFI- Usine)]],'DATA Consignee'!A:J,10,FALSE)</f>
        <v>#N/A</v>
      </c>
      <c r="AQ172" s="50" t="e">
        <f ca="1">VLOOKUP(Tableau118[[#This Row],[Key(POD -PFI- Usine)]],'DATA Consignee'!A:N,14,FALSE)</f>
        <v>#N/A</v>
      </c>
      <c r="AR17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2" s="50" t="e">
        <f ca="1">Tableau118[[#This Row],[Transit time]]+Tableau118[[#This Row],[Time for security]]+Tableau118[[#This Row],[Time for security2 buffer]]</f>
        <v>#N/A</v>
      </c>
      <c r="AU17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2" s="389" t="e">
        <f ca="1">Tableau118[[#This Row],[Leadtime SI2C]]+Tableau118[[#This Row],[First Receipt Days]]-Tableau118[[#This Row],[Day Customer Order]]+1</f>
        <v>#N/A</v>
      </c>
      <c r="AW172" s="117" t="e">
        <f ca="1">IF(Tableau118[[#This Row],[Name ILN]]&lt;&gt;"SFK Freight Forwarder",Tableau118[[#This Row],[Cust. Leadtime]],Tableau118[[#This Row],[Leadtime SI2C]])</f>
        <v>#N/A</v>
      </c>
      <c r="AX172" s="51" t="e">
        <f>VLOOKUP(Tableau118[[#This Row],[ID]],'DATA BTO'!B:P,15,FALSE)</f>
        <v>#N/A</v>
      </c>
      <c r="AY172" s="328" t="e">
        <f ca="1">IFERROR(VLOOKUP(Tableau118[[#This Row],[Key(ID-Actif)]],'DATA BTO'!A:N,4,FALSE),VLOOKUP(Tableau118[[#This Row],[ID]],'DATA BTO'!B:N,3,FALSE))</f>
        <v>#N/A</v>
      </c>
      <c r="AZ17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2" s="50"/>
    </row>
    <row r="173" spans="2:57">
      <c r="B173" s="65" t="str">
        <f>_xlfn.CONCAT(Tableau118[[#This Row],[Name ILN]],"-",Tableau118[[#This Row],[Name Shipper]],"-",Tableau118[[#This Row],[Name Site]])</f>
        <v>--</v>
      </c>
      <c r="C173" s="65" t="e">
        <f ca="1">_xlfn.CONCAT(Tableau118[[#This Row],[Compte ILN]],"-",Tableau118[[#This Row],[Compte Shipper]],"-",Tableau118[[#This Row],[POL]],"-",Tableau118[[#This Row],[Compte Site]])</f>
        <v>#N/A</v>
      </c>
      <c r="D173" s="64" t="e">
        <f ca="1">_xlfn.CONCAT(Tableau118[[#This Row],[Compte ILN]],"-",Tableau118[[#This Row],[Compte Shipper]],"-",Tableau118[[#This Row],[POL]])</f>
        <v>#N/A</v>
      </c>
      <c r="E173" s="396" t="e">
        <f ca="1">_xlfn.CONCAT(Tableau118[[#This Row],[POL]],"-",Tableau118[[#This Row],[Carrier]],"-",Tableau118[[#This Row],[POD]])</f>
        <v>#N/A</v>
      </c>
      <c r="F173" s="64" t="str">
        <f>_xlfn.CONCAT(Tableau118[[#This Row],[ID]],"-","Next")</f>
        <v>-Next</v>
      </c>
      <c r="G173" s="64" t="e">
        <f ca="1">_xlfn.CONCAT(Tableau118[[#This Row],[POD]],"-",Tableau118[[#This Row],[Code PFI]],"-",Tableau118[[#This Row],[Compte Site]])</f>
        <v>#N/A</v>
      </c>
      <c r="H17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3" s="397" t="str">
        <f ca="1">IF(COUNTIF(I:I,Tableau118[[#This Row],[Plant-ILN-shipper-POL-Carrier-POD-PFI]])=1,"Non","Oui")</f>
        <v>Oui</v>
      </c>
      <c r="K173" s="399" t="e">
        <f>VLOOKUP(Tableau118[[#This Row],[Name Site]],Plant_AILN!A:D,4,FALSE)</f>
        <v>#N/A</v>
      </c>
      <c r="L173" s="10"/>
      <c r="M173" s="480"/>
      <c r="N173" s="55"/>
      <c r="O173" s="122"/>
      <c r="P173" s="481"/>
      <c r="Q173" s="50"/>
      <c r="R173" s="50"/>
      <c r="S173" s="50"/>
      <c r="T173" s="50"/>
      <c r="U173" s="50"/>
      <c r="V173" s="50"/>
      <c r="W173" s="53"/>
      <c r="X173" s="283"/>
      <c r="Y173" s="482">
        <f>IFERROR(VLOOKUP(Tableau118[[#This Row],[Name Shipper]],Plant_AILN!L:M,2,FALSE),0)</f>
        <v>0</v>
      </c>
      <c r="Z173" s="358"/>
      <c r="AA173" s="353" t="e">
        <f ca="1">VLOOKUP(Tableau118[[#This Row],[Key(ID-Actif)]],'DATA BTO'!A:N,5,FALSE)</f>
        <v>#N/A</v>
      </c>
      <c r="AB173" s="3" t="e">
        <f ca="1">VLOOKUP(Tableau118[[#This Row],[Key(ID-Actif)]],'DATA BTO'!A:N,6,FALSE)</f>
        <v>#N/A</v>
      </c>
      <c r="AC173" s="50" t="e">
        <f ca="1">VLOOKUP(Tableau118[[#This Row],[Key(ID-Actif)]],'DATA BTO'!A:N,7,FALSE)</f>
        <v>#N/A</v>
      </c>
      <c r="AD173" s="50" t="e">
        <f ca="1">VLOOKUP(Tableau118[[#This Row],[Key(ID-Actif)]],'DATA BTO'!A:N,8,FALSE)</f>
        <v>#N/A</v>
      </c>
      <c r="AE173" s="50" t="e">
        <f ca="1">IF(Tableau118[[#This Row],[First Day to POL]]&lt;=Tableau118[[#This Row],[Day Cut Off]],Tableau118[[#This Row],[Day ETD]],Tableau118[[#This Row],[Day ETD]]+7)</f>
        <v>#N/A</v>
      </c>
      <c r="AF173" s="50" t="e">
        <f ca="1">VLOOKUP(Tableau118[[#This Row],[Key(ID-Actif)]],'DATA BTO'!A:N,9,FALSE)</f>
        <v>#N/A</v>
      </c>
      <c r="AG173" s="3" t="e">
        <f ca="1">VLOOKUP(Tableau118[[#This Row],[Key(ID-Actif)]],'DATA BTO'!A:N,10,FALSE)</f>
        <v>#N/A</v>
      </c>
      <c r="AH173" s="3" t="e">
        <f ca="1">VLOOKUP(Tableau118[[#This Row],[Key(ID-Actif)]],'DATA BTO'!A:N,11,FALSE)</f>
        <v>#N/A</v>
      </c>
      <c r="AI173" s="50" t="e">
        <f ca="1">VLOOKUP(Tableau118[[#This Row],[Key(ID-Actif)]],'DATA BTO'!A:N,12,FALSE)</f>
        <v>#N/A</v>
      </c>
      <c r="AJ173" s="53" t="e">
        <f ca="1">VLOOKUP(Tableau118[[#This Row],[Key(ID-Actif)]],'DATA BTO'!A:N,14,FALSE)</f>
        <v>#N/A</v>
      </c>
      <c r="AK173" s="54" t="e">
        <f ca="1">VLOOKUP(Tableau118[[#This Row],[Key(POD -PFI- Usine)]],'DATA Consignee'!A:F,6,FALSE)</f>
        <v>#N/A</v>
      </c>
      <c r="AL173" s="125"/>
      <c r="AM173" s="483" t="str">
        <f>IF(Tableau118[[#This Row],[Name PFI/CDD]]="","-",VLOOKUP(Tableau118[[#This Row],[Name PFI/CDD]],Plant_AILN!I:J,2,FALSE))</f>
        <v>-</v>
      </c>
      <c r="AN17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3" s="2" t="e">
        <f ca="1">VLOOKUP(Tableau118[[#This Row],[Key(POD -PFI- Usine)]],'DATA Consignee'!A:J,10,FALSE)</f>
        <v>#N/A</v>
      </c>
      <c r="AQ173" s="50" t="e">
        <f ca="1">VLOOKUP(Tableau118[[#This Row],[Key(POD -PFI- Usine)]],'DATA Consignee'!A:N,14,FALSE)</f>
        <v>#N/A</v>
      </c>
      <c r="AR17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3" s="50" t="e">
        <f ca="1">Tableau118[[#This Row],[Transit time]]+Tableau118[[#This Row],[Time for security]]+Tableau118[[#This Row],[Time for security2 buffer]]</f>
        <v>#N/A</v>
      </c>
      <c r="AU17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3" s="389" t="e">
        <f ca="1">Tableau118[[#This Row],[Leadtime SI2C]]+Tableau118[[#This Row],[First Receipt Days]]-Tableau118[[#This Row],[Day Customer Order]]+1</f>
        <v>#N/A</v>
      </c>
      <c r="AW173" s="117" t="e">
        <f ca="1">IF(Tableau118[[#This Row],[Name ILN]]&lt;&gt;"SFK Freight Forwarder",Tableau118[[#This Row],[Cust. Leadtime]],Tableau118[[#This Row],[Leadtime SI2C]])</f>
        <v>#N/A</v>
      </c>
      <c r="AX173" s="51" t="e">
        <f>VLOOKUP(Tableau118[[#This Row],[ID]],'DATA BTO'!B:P,15,FALSE)</f>
        <v>#N/A</v>
      </c>
      <c r="AY173" s="328" t="e">
        <f ca="1">IFERROR(VLOOKUP(Tableau118[[#This Row],[Key(ID-Actif)]],'DATA BTO'!A:N,4,FALSE),VLOOKUP(Tableau118[[#This Row],[ID]],'DATA BTO'!B:N,3,FALSE))</f>
        <v>#N/A</v>
      </c>
      <c r="AZ17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3" s="50"/>
    </row>
    <row r="174" spans="2:57">
      <c r="B174" s="65" t="str">
        <f>_xlfn.CONCAT(Tableau118[[#This Row],[Name ILN]],"-",Tableau118[[#This Row],[Name Shipper]],"-",Tableau118[[#This Row],[Name Site]])</f>
        <v>--</v>
      </c>
      <c r="C174" s="65" t="e">
        <f ca="1">_xlfn.CONCAT(Tableau118[[#This Row],[Compte ILN]],"-",Tableau118[[#This Row],[Compte Shipper]],"-",Tableau118[[#This Row],[POL]],"-",Tableau118[[#This Row],[Compte Site]])</f>
        <v>#N/A</v>
      </c>
      <c r="D174" s="64" t="e">
        <f ca="1">_xlfn.CONCAT(Tableau118[[#This Row],[Compte ILN]],"-",Tableau118[[#This Row],[Compte Shipper]],"-",Tableau118[[#This Row],[POL]])</f>
        <v>#N/A</v>
      </c>
      <c r="E174" s="396" t="e">
        <f ca="1">_xlfn.CONCAT(Tableau118[[#This Row],[POL]],"-",Tableau118[[#This Row],[Carrier]],"-",Tableau118[[#This Row],[POD]])</f>
        <v>#N/A</v>
      </c>
      <c r="F174" s="64" t="str">
        <f>_xlfn.CONCAT(Tableau118[[#This Row],[ID]],"-","Next")</f>
        <v>-Next</v>
      </c>
      <c r="G174" s="64" t="e">
        <f ca="1">_xlfn.CONCAT(Tableau118[[#This Row],[POD]],"-",Tableau118[[#This Row],[Code PFI]],"-",Tableau118[[#This Row],[Compte Site]])</f>
        <v>#N/A</v>
      </c>
      <c r="H17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4" s="397" t="str">
        <f ca="1">IF(COUNTIF(I:I,Tableau118[[#This Row],[Plant-ILN-shipper-POL-Carrier-POD-PFI]])=1,"Non","Oui")</f>
        <v>Oui</v>
      </c>
      <c r="K174" s="399" t="e">
        <f>VLOOKUP(Tableau118[[#This Row],[Name Site]],Plant_AILN!A:D,4,FALSE)</f>
        <v>#N/A</v>
      </c>
      <c r="L174" s="10"/>
      <c r="M174" s="480"/>
      <c r="N174" s="55"/>
      <c r="O174" s="122"/>
      <c r="P174" s="481"/>
      <c r="Q174" s="50"/>
      <c r="R174" s="50"/>
      <c r="S174" s="50"/>
      <c r="T174" s="50"/>
      <c r="U174" s="50"/>
      <c r="V174" s="50"/>
      <c r="W174" s="53"/>
      <c r="X174" s="283"/>
      <c r="Y174" s="482">
        <f>IFERROR(VLOOKUP(Tableau118[[#This Row],[Name Shipper]],Plant_AILN!L:M,2,FALSE),0)</f>
        <v>0</v>
      </c>
      <c r="Z174" s="358"/>
      <c r="AA174" s="353" t="e">
        <f ca="1">VLOOKUP(Tableau118[[#This Row],[Key(ID-Actif)]],'DATA BTO'!A:N,5,FALSE)</f>
        <v>#N/A</v>
      </c>
      <c r="AB174" s="3" t="e">
        <f ca="1">VLOOKUP(Tableau118[[#This Row],[Key(ID-Actif)]],'DATA BTO'!A:N,6,FALSE)</f>
        <v>#N/A</v>
      </c>
      <c r="AC174" s="50" t="e">
        <f ca="1">VLOOKUP(Tableau118[[#This Row],[Key(ID-Actif)]],'DATA BTO'!A:N,7,FALSE)</f>
        <v>#N/A</v>
      </c>
      <c r="AD174" s="50" t="e">
        <f ca="1">VLOOKUP(Tableau118[[#This Row],[Key(ID-Actif)]],'DATA BTO'!A:N,8,FALSE)</f>
        <v>#N/A</v>
      </c>
      <c r="AE174" s="50" t="e">
        <f ca="1">IF(Tableau118[[#This Row],[First Day to POL]]&lt;=Tableau118[[#This Row],[Day Cut Off]],Tableau118[[#This Row],[Day ETD]],Tableau118[[#This Row],[Day ETD]]+7)</f>
        <v>#N/A</v>
      </c>
      <c r="AF174" s="50" t="e">
        <f ca="1">VLOOKUP(Tableau118[[#This Row],[Key(ID-Actif)]],'DATA BTO'!A:N,9,FALSE)</f>
        <v>#N/A</v>
      </c>
      <c r="AG174" s="3" t="e">
        <f ca="1">VLOOKUP(Tableau118[[#This Row],[Key(ID-Actif)]],'DATA BTO'!A:N,10,FALSE)</f>
        <v>#N/A</v>
      </c>
      <c r="AH174" s="3" t="e">
        <f ca="1">VLOOKUP(Tableau118[[#This Row],[Key(ID-Actif)]],'DATA BTO'!A:N,11,FALSE)</f>
        <v>#N/A</v>
      </c>
      <c r="AI174" s="50" t="e">
        <f ca="1">VLOOKUP(Tableau118[[#This Row],[Key(ID-Actif)]],'DATA BTO'!A:N,12,FALSE)</f>
        <v>#N/A</v>
      </c>
      <c r="AJ174" s="53" t="e">
        <f ca="1">VLOOKUP(Tableau118[[#This Row],[Key(ID-Actif)]],'DATA BTO'!A:N,14,FALSE)</f>
        <v>#N/A</v>
      </c>
      <c r="AK174" s="54" t="e">
        <f ca="1">VLOOKUP(Tableau118[[#This Row],[Key(POD -PFI- Usine)]],'DATA Consignee'!A:F,6,FALSE)</f>
        <v>#N/A</v>
      </c>
      <c r="AL174" s="125"/>
      <c r="AM174" s="483" t="str">
        <f>IF(Tableau118[[#This Row],[Name PFI/CDD]]="","-",VLOOKUP(Tableau118[[#This Row],[Name PFI/CDD]],Plant_AILN!I:J,2,FALSE))</f>
        <v>-</v>
      </c>
      <c r="AN17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4" s="2" t="e">
        <f ca="1">VLOOKUP(Tableau118[[#This Row],[Key(POD -PFI- Usine)]],'DATA Consignee'!A:J,10,FALSE)</f>
        <v>#N/A</v>
      </c>
      <c r="AQ174" s="50" t="e">
        <f ca="1">VLOOKUP(Tableau118[[#This Row],[Key(POD -PFI- Usine)]],'DATA Consignee'!A:N,14,FALSE)</f>
        <v>#N/A</v>
      </c>
      <c r="AR17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4" s="50" t="e">
        <f ca="1">Tableau118[[#This Row],[Transit time]]+Tableau118[[#This Row],[Time for security]]+Tableau118[[#This Row],[Time for security2 buffer]]</f>
        <v>#N/A</v>
      </c>
      <c r="AU17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4" s="389" t="e">
        <f ca="1">Tableau118[[#This Row],[Leadtime SI2C]]+Tableau118[[#This Row],[First Receipt Days]]-Tableau118[[#This Row],[Day Customer Order]]+1</f>
        <v>#N/A</v>
      </c>
      <c r="AW174" s="117" t="e">
        <f ca="1">IF(Tableau118[[#This Row],[Name ILN]]&lt;&gt;"SFK Freight Forwarder",Tableau118[[#This Row],[Cust. Leadtime]],Tableau118[[#This Row],[Leadtime SI2C]])</f>
        <v>#N/A</v>
      </c>
      <c r="AX174" s="51" t="e">
        <f>VLOOKUP(Tableau118[[#This Row],[ID]],'DATA BTO'!B:P,15,FALSE)</f>
        <v>#N/A</v>
      </c>
      <c r="AY174" s="328" t="e">
        <f ca="1">IFERROR(VLOOKUP(Tableau118[[#This Row],[Key(ID-Actif)]],'DATA BTO'!A:N,4,FALSE),VLOOKUP(Tableau118[[#This Row],[ID]],'DATA BTO'!B:N,3,FALSE))</f>
        <v>#N/A</v>
      </c>
      <c r="AZ17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4" s="50"/>
    </row>
    <row r="175" spans="2:57">
      <c r="B175" s="65" t="str">
        <f>_xlfn.CONCAT(Tableau118[[#This Row],[Name ILN]],"-",Tableau118[[#This Row],[Name Shipper]],"-",Tableau118[[#This Row],[Name Site]])</f>
        <v>--</v>
      </c>
      <c r="C175" s="65" t="e">
        <f ca="1">_xlfn.CONCAT(Tableau118[[#This Row],[Compte ILN]],"-",Tableau118[[#This Row],[Compte Shipper]],"-",Tableau118[[#This Row],[POL]],"-",Tableau118[[#This Row],[Compte Site]])</f>
        <v>#N/A</v>
      </c>
      <c r="D175" s="64" t="e">
        <f ca="1">_xlfn.CONCAT(Tableau118[[#This Row],[Compte ILN]],"-",Tableau118[[#This Row],[Compte Shipper]],"-",Tableau118[[#This Row],[POL]])</f>
        <v>#N/A</v>
      </c>
      <c r="E175" s="396" t="e">
        <f ca="1">_xlfn.CONCAT(Tableau118[[#This Row],[POL]],"-",Tableau118[[#This Row],[Carrier]],"-",Tableau118[[#This Row],[POD]])</f>
        <v>#N/A</v>
      </c>
      <c r="F175" s="64" t="str">
        <f>_xlfn.CONCAT(Tableau118[[#This Row],[ID]],"-","Next")</f>
        <v>-Next</v>
      </c>
      <c r="G175" s="64" t="e">
        <f ca="1">_xlfn.CONCAT(Tableau118[[#This Row],[POD]],"-",Tableau118[[#This Row],[Code PFI]],"-",Tableau118[[#This Row],[Compte Site]])</f>
        <v>#N/A</v>
      </c>
      <c r="H17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5" s="397" t="str">
        <f ca="1">IF(COUNTIF(I:I,Tableau118[[#This Row],[Plant-ILN-shipper-POL-Carrier-POD-PFI]])=1,"Non","Oui")</f>
        <v>Oui</v>
      </c>
      <c r="K175" s="399" t="e">
        <f>VLOOKUP(Tableau118[[#This Row],[Name Site]],Plant_AILN!A:D,4,FALSE)</f>
        <v>#N/A</v>
      </c>
      <c r="L175" s="10"/>
      <c r="M175" s="480"/>
      <c r="N175" s="55"/>
      <c r="O175" s="122"/>
      <c r="P175" s="481"/>
      <c r="Q175" s="50"/>
      <c r="R175" s="50"/>
      <c r="S175" s="50"/>
      <c r="T175" s="50"/>
      <c r="U175" s="50"/>
      <c r="V175" s="50"/>
      <c r="W175" s="53"/>
      <c r="X175" s="283"/>
      <c r="Y175" s="482">
        <f>IFERROR(VLOOKUP(Tableau118[[#This Row],[Name Shipper]],Plant_AILN!L:M,2,FALSE),0)</f>
        <v>0</v>
      </c>
      <c r="Z175" s="358"/>
      <c r="AA175" s="353" t="e">
        <f ca="1">VLOOKUP(Tableau118[[#This Row],[Key(ID-Actif)]],'DATA BTO'!A:N,5,FALSE)</f>
        <v>#N/A</v>
      </c>
      <c r="AB175" s="3" t="e">
        <f ca="1">VLOOKUP(Tableau118[[#This Row],[Key(ID-Actif)]],'DATA BTO'!A:N,6,FALSE)</f>
        <v>#N/A</v>
      </c>
      <c r="AC175" s="50" t="e">
        <f ca="1">VLOOKUP(Tableau118[[#This Row],[Key(ID-Actif)]],'DATA BTO'!A:N,7,FALSE)</f>
        <v>#N/A</v>
      </c>
      <c r="AD175" s="50" t="e">
        <f ca="1">VLOOKUP(Tableau118[[#This Row],[Key(ID-Actif)]],'DATA BTO'!A:N,8,FALSE)</f>
        <v>#N/A</v>
      </c>
      <c r="AE175" s="50" t="e">
        <f ca="1">IF(Tableau118[[#This Row],[First Day to POL]]&lt;=Tableau118[[#This Row],[Day Cut Off]],Tableau118[[#This Row],[Day ETD]],Tableau118[[#This Row],[Day ETD]]+7)</f>
        <v>#N/A</v>
      </c>
      <c r="AF175" s="50" t="e">
        <f ca="1">VLOOKUP(Tableau118[[#This Row],[Key(ID-Actif)]],'DATA BTO'!A:N,9,FALSE)</f>
        <v>#N/A</v>
      </c>
      <c r="AG175" s="3" t="e">
        <f ca="1">VLOOKUP(Tableau118[[#This Row],[Key(ID-Actif)]],'DATA BTO'!A:N,10,FALSE)</f>
        <v>#N/A</v>
      </c>
      <c r="AH175" s="3" t="e">
        <f ca="1">VLOOKUP(Tableau118[[#This Row],[Key(ID-Actif)]],'DATA BTO'!A:N,11,FALSE)</f>
        <v>#N/A</v>
      </c>
      <c r="AI175" s="50" t="e">
        <f ca="1">VLOOKUP(Tableau118[[#This Row],[Key(ID-Actif)]],'DATA BTO'!A:N,12,FALSE)</f>
        <v>#N/A</v>
      </c>
      <c r="AJ175" s="53" t="e">
        <f ca="1">VLOOKUP(Tableau118[[#This Row],[Key(ID-Actif)]],'DATA BTO'!A:N,14,FALSE)</f>
        <v>#N/A</v>
      </c>
      <c r="AK175" s="54" t="e">
        <f ca="1">VLOOKUP(Tableau118[[#This Row],[Key(POD -PFI- Usine)]],'DATA Consignee'!A:F,6,FALSE)</f>
        <v>#N/A</v>
      </c>
      <c r="AL175" s="125"/>
      <c r="AM175" s="483" t="str">
        <f>IF(Tableau118[[#This Row],[Name PFI/CDD]]="","-",VLOOKUP(Tableau118[[#This Row],[Name PFI/CDD]],Plant_AILN!I:J,2,FALSE))</f>
        <v>-</v>
      </c>
      <c r="AN17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5" s="2" t="e">
        <f ca="1">VLOOKUP(Tableau118[[#This Row],[Key(POD -PFI- Usine)]],'DATA Consignee'!A:J,10,FALSE)</f>
        <v>#N/A</v>
      </c>
      <c r="AQ175" s="50" t="e">
        <f ca="1">VLOOKUP(Tableau118[[#This Row],[Key(POD -PFI- Usine)]],'DATA Consignee'!A:N,14,FALSE)</f>
        <v>#N/A</v>
      </c>
      <c r="AR17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5" s="50" t="e">
        <f ca="1">Tableau118[[#This Row],[Transit time]]+Tableau118[[#This Row],[Time for security]]+Tableau118[[#This Row],[Time for security2 buffer]]</f>
        <v>#N/A</v>
      </c>
      <c r="AU17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5" s="389" t="e">
        <f ca="1">Tableau118[[#This Row],[Leadtime SI2C]]+Tableau118[[#This Row],[First Receipt Days]]-Tableau118[[#This Row],[Day Customer Order]]+1</f>
        <v>#N/A</v>
      </c>
      <c r="AW175" s="117" t="e">
        <f ca="1">IF(Tableau118[[#This Row],[Name ILN]]&lt;&gt;"SFK Freight Forwarder",Tableau118[[#This Row],[Cust. Leadtime]],Tableau118[[#This Row],[Leadtime SI2C]])</f>
        <v>#N/A</v>
      </c>
      <c r="AX175" s="51" t="e">
        <f>VLOOKUP(Tableau118[[#This Row],[ID]],'DATA BTO'!B:P,15,FALSE)</f>
        <v>#N/A</v>
      </c>
      <c r="AY175" s="328" t="e">
        <f ca="1">IFERROR(VLOOKUP(Tableau118[[#This Row],[Key(ID-Actif)]],'DATA BTO'!A:N,4,FALSE),VLOOKUP(Tableau118[[#This Row],[ID]],'DATA BTO'!B:N,3,FALSE))</f>
        <v>#N/A</v>
      </c>
      <c r="AZ17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5" s="50"/>
    </row>
    <row r="176" spans="2:57">
      <c r="B176" s="65" t="str">
        <f>_xlfn.CONCAT(Tableau118[[#This Row],[Name ILN]],"-",Tableau118[[#This Row],[Name Shipper]],"-",Tableau118[[#This Row],[Name Site]])</f>
        <v>--</v>
      </c>
      <c r="C176" s="65" t="e">
        <f ca="1">_xlfn.CONCAT(Tableau118[[#This Row],[Compte ILN]],"-",Tableau118[[#This Row],[Compte Shipper]],"-",Tableau118[[#This Row],[POL]],"-",Tableau118[[#This Row],[Compte Site]])</f>
        <v>#N/A</v>
      </c>
      <c r="D176" s="64" t="e">
        <f ca="1">_xlfn.CONCAT(Tableau118[[#This Row],[Compte ILN]],"-",Tableau118[[#This Row],[Compte Shipper]],"-",Tableau118[[#This Row],[POL]])</f>
        <v>#N/A</v>
      </c>
      <c r="E176" s="396" t="e">
        <f ca="1">_xlfn.CONCAT(Tableau118[[#This Row],[POL]],"-",Tableau118[[#This Row],[Carrier]],"-",Tableau118[[#This Row],[POD]])</f>
        <v>#N/A</v>
      </c>
      <c r="F176" s="64" t="str">
        <f>_xlfn.CONCAT(Tableau118[[#This Row],[ID]],"-","Next")</f>
        <v>-Next</v>
      </c>
      <c r="G176" s="64" t="e">
        <f ca="1">_xlfn.CONCAT(Tableau118[[#This Row],[POD]],"-",Tableau118[[#This Row],[Code PFI]],"-",Tableau118[[#This Row],[Compte Site]])</f>
        <v>#N/A</v>
      </c>
      <c r="H17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6" s="397" t="str">
        <f ca="1">IF(COUNTIF(I:I,Tableau118[[#This Row],[Plant-ILN-shipper-POL-Carrier-POD-PFI]])=1,"Non","Oui")</f>
        <v>Oui</v>
      </c>
      <c r="K176" s="399" t="e">
        <f>VLOOKUP(Tableau118[[#This Row],[Name Site]],Plant_AILN!A:D,4,FALSE)</f>
        <v>#N/A</v>
      </c>
      <c r="L176" s="10"/>
      <c r="M176" s="480"/>
      <c r="N176" s="55"/>
      <c r="O176" s="122"/>
      <c r="P176" s="481"/>
      <c r="Q176" s="50"/>
      <c r="R176" s="50"/>
      <c r="S176" s="50"/>
      <c r="T176" s="50"/>
      <c r="U176" s="50"/>
      <c r="V176" s="50"/>
      <c r="W176" s="53"/>
      <c r="X176" s="283"/>
      <c r="Y176" s="482">
        <f>IFERROR(VLOOKUP(Tableau118[[#This Row],[Name Shipper]],Plant_AILN!L:M,2,FALSE),0)</f>
        <v>0</v>
      </c>
      <c r="Z176" s="358"/>
      <c r="AA176" s="353" t="e">
        <f ca="1">VLOOKUP(Tableau118[[#This Row],[Key(ID-Actif)]],'DATA BTO'!A:N,5,FALSE)</f>
        <v>#N/A</v>
      </c>
      <c r="AB176" s="3" t="e">
        <f ca="1">VLOOKUP(Tableau118[[#This Row],[Key(ID-Actif)]],'DATA BTO'!A:N,6,FALSE)</f>
        <v>#N/A</v>
      </c>
      <c r="AC176" s="50" t="e">
        <f ca="1">VLOOKUP(Tableau118[[#This Row],[Key(ID-Actif)]],'DATA BTO'!A:N,7,FALSE)</f>
        <v>#N/A</v>
      </c>
      <c r="AD176" s="50" t="e">
        <f ca="1">VLOOKUP(Tableau118[[#This Row],[Key(ID-Actif)]],'DATA BTO'!A:N,8,FALSE)</f>
        <v>#N/A</v>
      </c>
      <c r="AE176" s="50" t="e">
        <f ca="1">IF(Tableau118[[#This Row],[First Day to POL]]&lt;=Tableau118[[#This Row],[Day Cut Off]],Tableau118[[#This Row],[Day ETD]],Tableau118[[#This Row],[Day ETD]]+7)</f>
        <v>#N/A</v>
      </c>
      <c r="AF176" s="50" t="e">
        <f ca="1">VLOOKUP(Tableau118[[#This Row],[Key(ID-Actif)]],'DATA BTO'!A:N,9,FALSE)</f>
        <v>#N/A</v>
      </c>
      <c r="AG176" s="3" t="e">
        <f ca="1">VLOOKUP(Tableau118[[#This Row],[Key(ID-Actif)]],'DATA BTO'!A:N,10,FALSE)</f>
        <v>#N/A</v>
      </c>
      <c r="AH176" s="3" t="e">
        <f ca="1">VLOOKUP(Tableau118[[#This Row],[Key(ID-Actif)]],'DATA BTO'!A:N,11,FALSE)</f>
        <v>#N/A</v>
      </c>
      <c r="AI176" s="50" t="e">
        <f ca="1">VLOOKUP(Tableau118[[#This Row],[Key(ID-Actif)]],'DATA BTO'!A:N,12,FALSE)</f>
        <v>#N/A</v>
      </c>
      <c r="AJ176" s="53" t="e">
        <f ca="1">VLOOKUP(Tableau118[[#This Row],[Key(ID-Actif)]],'DATA BTO'!A:N,14,FALSE)</f>
        <v>#N/A</v>
      </c>
      <c r="AK176" s="54" t="e">
        <f ca="1">VLOOKUP(Tableau118[[#This Row],[Key(POD -PFI- Usine)]],'DATA Consignee'!A:F,6,FALSE)</f>
        <v>#N/A</v>
      </c>
      <c r="AL176" s="125"/>
      <c r="AM176" s="483" t="str">
        <f>IF(Tableau118[[#This Row],[Name PFI/CDD]]="","-",VLOOKUP(Tableau118[[#This Row],[Name PFI/CDD]],Plant_AILN!I:J,2,FALSE))</f>
        <v>-</v>
      </c>
      <c r="AN17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6" s="2" t="e">
        <f ca="1">VLOOKUP(Tableau118[[#This Row],[Key(POD -PFI- Usine)]],'DATA Consignee'!A:J,10,FALSE)</f>
        <v>#N/A</v>
      </c>
      <c r="AQ176" s="50" t="e">
        <f ca="1">VLOOKUP(Tableau118[[#This Row],[Key(POD -PFI- Usine)]],'DATA Consignee'!A:N,14,FALSE)</f>
        <v>#N/A</v>
      </c>
      <c r="AR17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6" s="50" t="e">
        <f ca="1">Tableau118[[#This Row],[Transit time]]+Tableau118[[#This Row],[Time for security]]+Tableau118[[#This Row],[Time for security2 buffer]]</f>
        <v>#N/A</v>
      </c>
      <c r="AU17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6" s="389" t="e">
        <f ca="1">Tableau118[[#This Row],[Leadtime SI2C]]+Tableau118[[#This Row],[First Receipt Days]]-Tableau118[[#This Row],[Day Customer Order]]+1</f>
        <v>#N/A</v>
      </c>
      <c r="AW176" s="117" t="e">
        <f ca="1">IF(Tableau118[[#This Row],[Name ILN]]&lt;&gt;"SFK Freight Forwarder",Tableau118[[#This Row],[Cust. Leadtime]],Tableau118[[#This Row],[Leadtime SI2C]])</f>
        <v>#N/A</v>
      </c>
      <c r="AX176" s="51" t="e">
        <f>VLOOKUP(Tableau118[[#This Row],[ID]],'DATA BTO'!B:P,15,FALSE)</f>
        <v>#N/A</v>
      </c>
      <c r="AY176" s="328" t="e">
        <f ca="1">IFERROR(VLOOKUP(Tableau118[[#This Row],[Key(ID-Actif)]],'DATA BTO'!A:N,4,FALSE),VLOOKUP(Tableau118[[#This Row],[ID]],'DATA BTO'!B:N,3,FALSE))</f>
        <v>#N/A</v>
      </c>
      <c r="AZ17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6" s="50"/>
    </row>
    <row r="177" spans="2:57">
      <c r="B177" s="65" t="str">
        <f>_xlfn.CONCAT(Tableau118[[#This Row],[Name ILN]],"-",Tableau118[[#This Row],[Name Shipper]],"-",Tableau118[[#This Row],[Name Site]])</f>
        <v>--</v>
      </c>
      <c r="C177" s="65" t="e">
        <f ca="1">_xlfn.CONCAT(Tableau118[[#This Row],[Compte ILN]],"-",Tableau118[[#This Row],[Compte Shipper]],"-",Tableau118[[#This Row],[POL]],"-",Tableau118[[#This Row],[Compte Site]])</f>
        <v>#N/A</v>
      </c>
      <c r="D177" s="64" t="e">
        <f ca="1">_xlfn.CONCAT(Tableau118[[#This Row],[Compte ILN]],"-",Tableau118[[#This Row],[Compte Shipper]],"-",Tableau118[[#This Row],[POL]])</f>
        <v>#N/A</v>
      </c>
      <c r="E177" s="396" t="e">
        <f ca="1">_xlfn.CONCAT(Tableau118[[#This Row],[POL]],"-",Tableau118[[#This Row],[Carrier]],"-",Tableau118[[#This Row],[POD]])</f>
        <v>#N/A</v>
      </c>
      <c r="F177" s="64" t="str">
        <f>_xlfn.CONCAT(Tableau118[[#This Row],[ID]],"-","Next")</f>
        <v>-Next</v>
      </c>
      <c r="G177" s="64" t="e">
        <f ca="1">_xlfn.CONCAT(Tableau118[[#This Row],[POD]],"-",Tableau118[[#This Row],[Code PFI]],"-",Tableau118[[#This Row],[Compte Site]])</f>
        <v>#N/A</v>
      </c>
      <c r="H17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7" s="397" t="str">
        <f ca="1">IF(COUNTIF(I:I,Tableau118[[#This Row],[Plant-ILN-shipper-POL-Carrier-POD-PFI]])=1,"Non","Oui")</f>
        <v>Oui</v>
      </c>
      <c r="K177" s="399" t="e">
        <f>VLOOKUP(Tableau118[[#This Row],[Name Site]],Plant_AILN!A:D,4,FALSE)</f>
        <v>#N/A</v>
      </c>
      <c r="L177" s="10"/>
      <c r="M177" s="480"/>
      <c r="N177" s="55"/>
      <c r="O177" s="122"/>
      <c r="P177" s="481"/>
      <c r="Q177" s="50"/>
      <c r="R177" s="50"/>
      <c r="S177" s="50"/>
      <c r="T177" s="50"/>
      <c r="U177" s="50"/>
      <c r="V177" s="50"/>
      <c r="W177" s="53"/>
      <c r="X177" s="283"/>
      <c r="Y177" s="482">
        <f>IFERROR(VLOOKUP(Tableau118[[#This Row],[Name Shipper]],Plant_AILN!L:M,2,FALSE),0)</f>
        <v>0</v>
      </c>
      <c r="Z177" s="358"/>
      <c r="AA177" s="353" t="e">
        <f ca="1">VLOOKUP(Tableau118[[#This Row],[Key(ID-Actif)]],'DATA BTO'!A:N,5,FALSE)</f>
        <v>#N/A</v>
      </c>
      <c r="AB177" s="3" t="e">
        <f ca="1">VLOOKUP(Tableau118[[#This Row],[Key(ID-Actif)]],'DATA BTO'!A:N,6,FALSE)</f>
        <v>#N/A</v>
      </c>
      <c r="AC177" s="50" t="e">
        <f ca="1">VLOOKUP(Tableau118[[#This Row],[Key(ID-Actif)]],'DATA BTO'!A:N,7,FALSE)</f>
        <v>#N/A</v>
      </c>
      <c r="AD177" s="50" t="e">
        <f ca="1">VLOOKUP(Tableau118[[#This Row],[Key(ID-Actif)]],'DATA BTO'!A:N,8,FALSE)</f>
        <v>#N/A</v>
      </c>
      <c r="AE177" s="50" t="e">
        <f ca="1">IF(Tableau118[[#This Row],[First Day to POL]]&lt;=Tableau118[[#This Row],[Day Cut Off]],Tableau118[[#This Row],[Day ETD]],Tableau118[[#This Row],[Day ETD]]+7)</f>
        <v>#N/A</v>
      </c>
      <c r="AF177" s="50" t="e">
        <f ca="1">VLOOKUP(Tableau118[[#This Row],[Key(ID-Actif)]],'DATA BTO'!A:N,9,FALSE)</f>
        <v>#N/A</v>
      </c>
      <c r="AG177" s="3" t="e">
        <f ca="1">VLOOKUP(Tableau118[[#This Row],[Key(ID-Actif)]],'DATA BTO'!A:N,10,FALSE)</f>
        <v>#N/A</v>
      </c>
      <c r="AH177" s="3" t="e">
        <f ca="1">VLOOKUP(Tableau118[[#This Row],[Key(ID-Actif)]],'DATA BTO'!A:N,11,FALSE)</f>
        <v>#N/A</v>
      </c>
      <c r="AI177" s="50" t="e">
        <f ca="1">VLOOKUP(Tableau118[[#This Row],[Key(ID-Actif)]],'DATA BTO'!A:N,12,FALSE)</f>
        <v>#N/A</v>
      </c>
      <c r="AJ177" s="53" t="e">
        <f ca="1">VLOOKUP(Tableau118[[#This Row],[Key(ID-Actif)]],'DATA BTO'!A:N,14,FALSE)</f>
        <v>#N/A</v>
      </c>
      <c r="AK177" s="54" t="e">
        <f ca="1">VLOOKUP(Tableau118[[#This Row],[Key(POD -PFI- Usine)]],'DATA Consignee'!A:F,6,FALSE)</f>
        <v>#N/A</v>
      </c>
      <c r="AL177" s="125"/>
      <c r="AM177" s="483" t="str">
        <f>IF(Tableau118[[#This Row],[Name PFI/CDD]]="","-",VLOOKUP(Tableau118[[#This Row],[Name PFI/CDD]],Plant_AILN!I:J,2,FALSE))</f>
        <v>-</v>
      </c>
      <c r="AN17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7" s="2" t="e">
        <f ca="1">VLOOKUP(Tableau118[[#This Row],[Key(POD -PFI- Usine)]],'DATA Consignee'!A:J,10,FALSE)</f>
        <v>#N/A</v>
      </c>
      <c r="AQ177" s="50" t="e">
        <f ca="1">VLOOKUP(Tableau118[[#This Row],[Key(POD -PFI- Usine)]],'DATA Consignee'!A:N,14,FALSE)</f>
        <v>#N/A</v>
      </c>
      <c r="AR17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7" s="50" t="e">
        <f ca="1">Tableau118[[#This Row],[Transit time]]+Tableau118[[#This Row],[Time for security]]+Tableau118[[#This Row],[Time for security2 buffer]]</f>
        <v>#N/A</v>
      </c>
      <c r="AU17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7" s="389" t="e">
        <f ca="1">Tableau118[[#This Row],[Leadtime SI2C]]+Tableau118[[#This Row],[First Receipt Days]]-Tableau118[[#This Row],[Day Customer Order]]+1</f>
        <v>#N/A</v>
      </c>
      <c r="AW177" s="117" t="e">
        <f ca="1">IF(Tableau118[[#This Row],[Name ILN]]&lt;&gt;"SFK Freight Forwarder",Tableau118[[#This Row],[Cust. Leadtime]],Tableau118[[#This Row],[Leadtime SI2C]])</f>
        <v>#N/A</v>
      </c>
      <c r="AX177" s="51" t="e">
        <f>VLOOKUP(Tableau118[[#This Row],[ID]],'DATA BTO'!B:P,15,FALSE)</f>
        <v>#N/A</v>
      </c>
      <c r="AY177" s="328" t="e">
        <f ca="1">IFERROR(VLOOKUP(Tableau118[[#This Row],[Key(ID-Actif)]],'DATA BTO'!A:N,4,FALSE),VLOOKUP(Tableau118[[#This Row],[ID]],'DATA BTO'!B:N,3,FALSE))</f>
        <v>#N/A</v>
      </c>
      <c r="AZ17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7" s="50"/>
    </row>
    <row r="178" spans="2:57">
      <c r="B178" s="65" t="str">
        <f>_xlfn.CONCAT(Tableau118[[#This Row],[Name ILN]],"-",Tableau118[[#This Row],[Name Shipper]],"-",Tableau118[[#This Row],[Name Site]])</f>
        <v>--</v>
      </c>
      <c r="C178" s="65" t="e">
        <f ca="1">_xlfn.CONCAT(Tableau118[[#This Row],[Compte ILN]],"-",Tableau118[[#This Row],[Compte Shipper]],"-",Tableau118[[#This Row],[POL]],"-",Tableau118[[#This Row],[Compte Site]])</f>
        <v>#N/A</v>
      </c>
      <c r="D178" s="64" t="e">
        <f ca="1">_xlfn.CONCAT(Tableau118[[#This Row],[Compte ILN]],"-",Tableau118[[#This Row],[Compte Shipper]],"-",Tableau118[[#This Row],[POL]])</f>
        <v>#N/A</v>
      </c>
      <c r="E178" s="396" t="e">
        <f ca="1">_xlfn.CONCAT(Tableau118[[#This Row],[POL]],"-",Tableau118[[#This Row],[Carrier]],"-",Tableau118[[#This Row],[POD]])</f>
        <v>#N/A</v>
      </c>
      <c r="F178" s="64" t="str">
        <f>_xlfn.CONCAT(Tableau118[[#This Row],[ID]],"-","Next")</f>
        <v>-Next</v>
      </c>
      <c r="G178" s="64" t="e">
        <f ca="1">_xlfn.CONCAT(Tableau118[[#This Row],[POD]],"-",Tableau118[[#This Row],[Code PFI]],"-",Tableau118[[#This Row],[Compte Site]])</f>
        <v>#N/A</v>
      </c>
      <c r="H17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8" s="397" t="str">
        <f ca="1">IF(COUNTIF(I:I,Tableau118[[#This Row],[Plant-ILN-shipper-POL-Carrier-POD-PFI]])=1,"Non","Oui")</f>
        <v>Oui</v>
      </c>
      <c r="K178" s="399" t="e">
        <f>VLOOKUP(Tableau118[[#This Row],[Name Site]],Plant_AILN!A:D,4,FALSE)</f>
        <v>#N/A</v>
      </c>
      <c r="L178" s="10"/>
      <c r="M178" s="480"/>
      <c r="N178" s="55"/>
      <c r="O178" s="122"/>
      <c r="P178" s="481"/>
      <c r="Q178" s="50"/>
      <c r="R178" s="50"/>
      <c r="S178" s="50"/>
      <c r="T178" s="50"/>
      <c r="U178" s="50"/>
      <c r="V178" s="50"/>
      <c r="W178" s="53"/>
      <c r="X178" s="283"/>
      <c r="Y178" s="482">
        <f>IFERROR(VLOOKUP(Tableau118[[#This Row],[Name Shipper]],Plant_AILN!L:M,2,FALSE),0)</f>
        <v>0</v>
      </c>
      <c r="Z178" s="358"/>
      <c r="AA178" s="353" t="e">
        <f ca="1">VLOOKUP(Tableau118[[#This Row],[Key(ID-Actif)]],'DATA BTO'!A:N,5,FALSE)</f>
        <v>#N/A</v>
      </c>
      <c r="AB178" s="3" t="e">
        <f ca="1">VLOOKUP(Tableau118[[#This Row],[Key(ID-Actif)]],'DATA BTO'!A:N,6,FALSE)</f>
        <v>#N/A</v>
      </c>
      <c r="AC178" s="50" t="e">
        <f ca="1">VLOOKUP(Tableau118[[#This Row],[Key(ID-Actif)]],'DATA BTO'!A:N,7,FALSE)</f>
        <v>#N/A</v>
      </c>
      <c r="AD178" s="50" t="e">
        <f ca="1">VLOOKUP(Tableau118[[#This Row],[Key(ID-Actif)]],'DATA BTO'!A:N,8,FALSE)</f>
        <v>#N/A</v>
      </c>
      <c r="AE178" s="50" t="e">
        <f ca="1">IF(Tableau118[[#This Row],[First Day to POL]]&lt;=Tableau118[[#This Row],[Day Cut Off]],Tableau118[[#This Row],[Day ETD]],Tableau118[[#This Row],[Day ETD]]+7)</f>
        <v>#N/A</v>
      </c>
      <c r="AF178" s="50" t="e">
        <f ca="1">VLOOKUP(Tableau118[[#This Row],[Key(ID-Actif)]],'DATA BTO'!A:N,9,FALSE)</f>
        <v>#N/A</v>
      </c>
      <c r="AG178" s="3" t="e">
        <f ca="1">VLOOKUP(Tableau118[[#This Row],[Key(ID-Actif)]],'DATA BTO'!A:N,10,FALSE)</f>
        <v>#N/A</v>
      </c>
      <c r="AH178" s="3" t="e">
        <f ca="1">VLOOKUP(Tableau118[[#This Row],[Key(ID-Actif)]],'DATA BTO'!A:N,11,FALSE)</f>
        <v>#N/A</v>
      </c>
      <c r="AI178" s="50" t="e">
        <f ca="1">VLOOKUP(Tableau118[[#This Row],[Key(ID-Actif)]],'DATA BTO'!A:N,12,FALSE)</f>
        <v>#N/A</v>
      </c>
      <c r="AJ178" s="53" t="e">
        <f ca="1">VLOOKUP(Tableau118[[#This Row],[Key(ID-Actif)]],'DATA BTO'!A:N,14,FALSE)</f>
        <v>#N/A</v>
      </c>
      <c r="AK178" s="54" t="e">
        <f ca="1">VLOOKUP(Tableau118[[#This Row],[Key(POD -PFI- Usine)]],'DATA Consignee'!A:F,6,FALSE)</f>
        <v>#N/A</v>
      </c>
      <c r="AL178" s="125"/>
      <c r="AM178" s="483" t="str">
        <f>IF(Tableau118[[#This Row],[Name PFI/CDD]]="","-",VLOOKUP(Tableau118[[#This Row],[Name PFI/CDD]],Plant_AILN!I:J,2,FALSE))</f>
        <v>-</v>
      </c>
      <c r="AN17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8" s="2" t="e">
        <f ca="1">VLOOKUP(Tableau118[[#This Row],[Key(POD -PFI- Usine)]],'DATA Consignee'!A:J,10,FALSE)</f>
        <v>#N/A</v>
      </c>
      <c r="AQ178" s="50" t="e">
        <f ca="1">VLOOKUP(Tableau118[[#This Row],[Key(POD -PFI- Usine)]],'DATA Consignee'!A:N,14,FALSE)</f>
        <v>#N/A</v>
      </c>
      <c r="AR17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8" s="50" t="e">
        <f ca="1">Tableau118[[#This Row],[Transit time]]+Tableau118[[#This Row],[Time for security]]+Tableau118[[#This Row],[Time for security2 buffer]]</f>
        <v>#N/A</v>
      </c>
      <c r="AU17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8" s="389" t="e">
        <f ca="1">Tableau118[[#This Row],[Leadtime SI2C]]+Tableau118[[#This Row],[First Receipt Days]]-Tableau118[[#This Row],[Day Customer Order]]+1</f>
        <v>#N/A</v>
      </c>
      <c r="AW178" s="117" t="e">
        <f ca="1">IF(Tableau118[[#This Row],[Name ILN]]&lt;&gt;"SFK Freight Forwarder",Tableau118[[#This Row],[Cust. Leadtime]],Tableau118[[#This Row],[Leadtime SI2C]])</f>
        <v>#N/A</v>
      </c>
      <c r="AX178" s="51" t="e">
        <f>VLOOKUP(Tableau118[[#This Row],[ID]],'DATA BTO'!B:P,15,FALSE)</f>
        <v>#N/A</v>
      </c>
      <c r="AY178" s="328" t="e">
        <f ca="1">IFERROR(VLOOKUP(Tableau118[[#This Row],[Key(ID-Actif)]],'DATA BTO'!A:N,4,FALSE),VLOOKUP(Tableau118[[#This Row],[ID]],'DATA BTO'!B:N,3,FALSE))</f>
        <v>#N/A</v>
      </c>
      <c r="AZ17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8" s="50"/>
    </row>
    <row r="179" spans="2:57">
      <c r="B179" s="65" t="str">
        <f>_xlfn.CONCAT(Tableau118[[#This Row],[Name ILN]],"-",Tableau118[[#This Row],[Name Shipper]],"-",Tableau118[[#This Row],[Name Site]])</f>
        <v>--</v>
      </c>
      <c r="C179" s="65" t="e">
        <f ca="1">_xlfn.CONCAT(Tableau118[[#This Row],[Compte ILN]],"-",Tableau118[[#This Row],[Compte Shipper]],"-",Tableau118[[#This Row],[POL]],"-",Tableau118[[#This Row],[Compte Site]])</f>
        <v>#N/A</v>
      </c>
      <c r="D179" s="64" t="e">
        <f ca="1">_xlfn.CONCAT(Tableau118[[#This Row],[Compte ILN]],"-",Tableau118[[#This Row],[Compte Shipper]],"-",Tableau118[[#This Row],[POL]])</f>
        <v>#N/A</v>
      </c>
      <c r="E179" s="396" t="e">
        <f ca="1">_xlfn.CONCAT(Tableau118[[#This Row],[POL]],"-",Tableau118[[#This Row],[Carrier]],"-",Tableau118[[#This Row],[POD]])</f>
        <v>#N/A</v>
      </c>
      <c r="F179" s="64" t="str">
        <f>_xlfn.CONCAT(Tableau118[[#This Row],[ID]],"-","Next")</f>
        <v>-Next</v>
      </c>
      <c r="G179" s="64" t="e">
        <f ca="1">_xlfn.CONCAT(Tableau118[[#This Row],[POD]],"-",Tableau118[[#This Row],[Code PFI]],"-",Tableau118[[#This Row],[Compte Site]])</f>
        <v>#N/A</v>
      </c>
      <c r="H17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7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79" s="397" t="str">
        <f ca="1">IF(COUNTIF(I:I,Tableau118[[#This Row],[Plant-ILN-shipper-POL-Carrier-POD-PFI]])=1,"Non","Oui")</f>
        <v>Oui</v>
      </c>
      <c r="K179" s="399" t="e">
        <f>VLOOKUP(Tableau118[[#This Row],[Name Site]],Plant_AILN!A:D,4,FALSE)</f>
        <v>#N/A</v>
      </c>
      <c r="L179" s="10"/>
      <c r="M179" s="480"/>
      <c r="N179" s="55"/>
      <c r="O179" s="122"/>
      <c r="P179" s="481"/>
      <c r="Q179" s="50"/>
      <c r="R179" s="50"/>
      <c r="S179" s="50"/>
      <c r="T179" s="50"/>
      <c r="U179" s="50"/>
      <c r="V179" s="50"/>
      <c r="W179" s="53"/>
      <c r="X179" s="283"/>
      <c r="Y179" s="482">
        <f>IFERROR(VLOOKUP(Tableau118[[#This Row],[Name Shipper]],Plant_AILN!L:M,2,FALSE),0)</f>
        <v>0</v>
      </c>
      <c r="Z179" s="358"/>
      <c r="AA179" s="353" t="e">
        <f ca="1">VLOOKUP(Tableau118[[#This Row],[Key(ID-Actif)]],'DATA BTO'!A:N,5,FALSE)</f>
        <v>#N/A</v>
      </c>
      <c r="AB179" s="3" t="e">
        <f ca="1">VLOOKUP(Tableau118[[#This Row],[Key(ID-Actif)]],'DATA BTO'!A:N,6,FALSE)</f>
        <v>#N/A</v>
      </c>
      <c r="AC179" s="50" t="e">
        <f ca="1">VLOOKUP(Tableau118[[#This Row],[Key(ID-Actif)]],'DATA BTO'!A:N,7,FALSE)</f>
        <v>#N/A</v>
      </c>
      <c r="AD179" s="50" t="e">
        <f ca="1">VLOOKUP(Tableau118[[#This Row],[Key(ID-Actif)]],'DATA BTO'!A:N,8,FALSE)</f>
        <v>#N/A</v>
      </c>
      <c r="AE179" s="50" t="e">
        <f ca="1">IF(Tableau118[[#This Row],[First Day to POL]]&lt;=Tableau118[[#This Row],[Day Cut Off]],Tableau118[[#This Row],[Day ETD]],Tableau118[[#This Row],[Day ETD]]+7)</f>
        <v>#N/A</v>
      </c>
      <c r="AF179" s="50" t="e">
        <f ca="1">VLOOKUP(Tableau118[[#This Row],[Key(ID-Actif)]],'DATA BTO'!A:N,9,FALSE)</f>
        <v>#N/A</v>
      </c>
      <c r="AG179" s="3" t="e">
        <f ca="1">VLOOKUP(Tableau118[[#This Row],[Key(ID-Actif)]],'DATA BTO'!A:N,10,FALSE)</f>
        <v>#N/A</v>
      </c>
      <c r="AH179" s="3" t="e">
        <f ca="1">VLOOKUP(Tableau118[[#This Row],[Key(ID-Actif)]],'DATA BTO'!A:N,11,FALSE)</f>
        <v>#N/A</v>
      </c>
      <c r="AI179" s="50" t="e">
        <f ca="1">VLOOKUP(Tableau118[[#This Row],[Key(ID-Actif)]],'DATA BTO'!A:N,12,FALSE)</f>
        <v>#N/A</v>
      </c>
      <c r="AJ179" s="53" t="e">
        <f ca="1">VLOOKUP(Tableau118[[#This Row],[Key(ID-Actif)]],'DATA BTO'!A:N,14,FALSE)</f>
        <v>#N/A</v>
      </c>
      <c r="AK179" s="54" t="e">
        <f ca="1">VLOOKUP(Tableau118[[#This Row],[Key(POD -PFI- Usine)]],'DATA Consignee'!A:F,6,FALSE)</f>
        <v>#N/A</v>
      </c>
      <c r="AL179" s="125"/>
      <c r="AM179" s="483" t="str">
        <f>IF(Tableau118[[#This Row],[Name PFI/CDD]]="","-",VLOOKUP(Tableau118[[#This Row],[Name PFI/CDD]],Plant_AILN!I:J,2,FALSE))</f>
        <v>-</v>
      </c>
      <c r="AN17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7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79" s="2" t="e">
        <f ca="1">VLOOKUP(Tableau118[[#This Row],[Key(POD -PFI- Usine)]],'DATA Consignee'!A:J,10,FALSE)</f>
        <v>#N/A</v>
      </c>
      <c r="AQ179" s="50" t="e">
        <f ca="1">VLOOKUP(Tableau118[[#This Row],[Key(POD -PFI- Usine)]],'DATA Consignee'!A:N,14,FALSE)</f>
        <v>#N/A</v>
      </c>
      <c r="AR17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7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79" s="50" t="e">
        <f ca="1">Tableau118[[#This Row],[Transit time]]+Tableau118[[#This Row],[Time for security]]+Tableau118[[#This Row],[Time for security2 buffer]]</f>
        <v>#N/A</v>
      </c>
      <c r="AU17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79" s="389" t="e">
        <f ca="1">Tableau118[[#This Row],[Leadtime SI2C]]+Tableau118[[#This Row],[First Receipt Days]]-Tableau118[[#This Row],[Day Customer Order]]+1</f>
        <v>#N/A</v>
      </c>
      <c r="AW179" s="117" t="e">
        <f ca="1">IF(Tableau118[[#This Row],[Name ILN]]&lt;&gt;"SFK Freight Forwarder",Tableau118[[#This Row],[Cust. Leadtime]],Tableau118[[#This Row],[Leadtime SI2C]])</f>
        <v>#N/A</v>
      </c>
      <c r="AX179" s="51" t="e">
        <f>VLOOKUP(Tableau118[[#This Row],[ID]],'DATA BTO'!B:P,15,FALSE)</f>
        <v>#N/A</v>
      </c>
      <c r="AY179" s="328" t="e">
        <f ca="1">IFERROR(VLOOKUP(Tableau118[[#This Row],[Key(ID-Actif)]],'DATA BTO'!A:N,4,FALSE),VLOOKUP(Tableau118[[#This Row],[ID]],'DATA BTO'!B:N,3,FALSE))</f>
        <v>#N/A</v>
      </c>
      <c r="AZ17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7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7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7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7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79" s="50"/>
    </row>
    <row r="180" spans="2:57">
      <c r="B180" s="65" t="str">
        <f>_xlfn.CONCAT(Tableau118[[#This Row],[Name ILN]],"-",Tableau118[[#This Row],[Name Shipper]],"-",Tableau118[[#This Row],[Name Site]])</f>
        <v>--</v>
      </c>
      <c r="C180" s="65" t="e">
        <f ca="1">_xlfn.CONCAT(Tableau118[[#This Row],[Compte ILN]],"-",Tableau118[[#This Row],[Compte Shipper]],"-",Tableau118[[#This Row],[POL]],"-",Tableau118[[#This Row],[Compte Site]])</f>
        <v>#N/A</v>
      </c>
      <c r="D180" s="64" t="e">
        <f ca="1">_xlfn.CONCAT(Tableau118[[#This Row],[Compte ILN]],"-",Tableau118[[#This Row],[Compte Shipper]],"-",Tableau118[[#This Row],[POL]])</f>
        <v>#N/A</v>
      </c>
      <c r="E180" s="396" t="e">
        <f ca="1">_xlfn.CONCAT(Tableau118[[#This Row],[POL]],"-",Tableau118[[#This Row],[Carrier]],"-",Tableau118[[#This Row],[POD]])</f>
        <v>#N/A</v>
      </c>
      <c r="F180" s="64" t="str">
        <f>_xlfn.CONCAT(Tableau118[[#This Row],[ID]],"-","Next")</f>
        <v>-Next</v>
      </c>
      <c r="G180" s="64" t="e">
        <f ca="1">_xlfn.CONCAT(Tableau118[[#This Row],[POD]],"-",Tableau118[[#This Row],[Code PFI]],"-",Tableau118[[#This Row],[Compte Site]])</f>
        <v>#N/A</v>
      </c>
      <c r="H18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0" s="397" t="str">
        <f ca="1">IF(COUNTIF(I:I,Tableau118[[#This Row],[Plant-ILN-shipper-POL-Carrier-POD-PFI]])=1,"Non","Oui")</f>
        <v>Oui</v>
      </c>
      <c r="K180" s="399" t="e">
        <f>VLOOKUP(Tableau118[[#This Row],[Name Site]],Plant_AILN!A:D,4,FALSE)</f>
        <v>#N/A</v>
      </c>
      <c r="L180" s="10"/>
      <c r="M180" s="480"/>
      <c r="N180" s="55"/>
      <c r="O180" s="122"/>
      <c r="P180" s="481"/>
      <c r="Q180" s="50"/>
      <c r="R180" s="50"/>
      <c r="S180" s="50"/>
      <c r="T180" s="50"/>
      <c r="U180" s="50"/>
      <c r="V180" s="50"/>
      <c r="W180" s="53"/>
      <c r="X180" s="283"/>
      <c r="Y180" s="482">
        <f>IFERROR(VLOOKUP(Tableau118[[#This Row],[Name Shipper]],Plant_AILN!L:M,2,FALSE),0)</f>
        <v>0</v>
      </c>
      <c r="Z180" s="358"/>
      <c r="AA180" s="353" t="e">
        <f ca="1">VLOOKUP(Tableau118[[#This Row],[Key(ID-Actif)]],'DATA BTO'!A:N,5,FALSE)</f>
        <v>#N/A</v>
      </c>
      <c r="AB180" s="3" t="e">
        <f ca="1">VLOOKUP(Tableau118[[#This Row],[Key(ID-Actif)]],'DATA BTO'!A:N,6,FALSE)</f>
        <v>#N/A</v>
      </c>
      <c r="AC180" s="50" t="e">
        <f ca="1">VLOOKUP(Tableau118[[#This Row],[Key(ID-Actif)]],'DATA BTO'!A:N,7,FALSE)</f>
        <v>#N/A</v>
      </c>
      <c r="AD180" s="50" t="e">
        <f ca="1">VLOOKUP(Tableau118[[#This Row],[Key(ID-Actif)]],'DATA BTO'!A:N,8,FALSE)</f>
        <v>#N/A</v>
      </c>
      <c r="AE180" s="50" t="e">
        <f ca="1">IF(Tableau118[[#This Row],[First Day to POL]]&lt;=Tableau118[[#This Row],[Day Cut Off]],Tableau118[[#This Row],[Day ETD]],Tableau118[[#This Row],[Day ETD]]+7)</f>
        <v>#N/A</v>
      </c>
      <c r="AF180" s="50" t="e">
        <f ca="1">VLOOKUP(Tableau118[[#This Row],[Key(ID-Actif)]],'DATA BTO'!A:N,9,FALSE)</f>
        <v>#N/A</v>
      </c>
      <c r="AG180" s="3" t="e">
        <f ca="1">VLOOKUP(Tableau118[[#This Row],[Key(ID-Actif)]],'DATA BTO'!A:N,10,FALSE)</f>
        <v>#N/A</v>
      </c>
      <c r="AH180" s="3" t="e">
        <f ca="1">VLOOKUP(Tableau118[[#This Row],[Key(ID-Actif)]],'DATA BTO'!A:N,11,FALSE)</f>
        <v>#N/A</v>
      </c>
      <c r="AI180" s="50" t="e">
        <f ca="1">VLOOKUP(Tableau118[[#This Row],[Key(ID-Actif)]],'DATA BTO'!A:N,12,FALSE)</f>
        <v>#N/A</v>
      </c>
      <c r="AJ180" s="53" t="e">
        <f ca="1">VLOOKUP(Tableau118[[#This Row],[Key(ID-Actif)]],'DATA BTO'!A:N,14,FALSE)</f>
        <v>#N/A</v>
      </c>
      <c r="AK180" s="54" t="e">
        <f ca="1">VLOOKUP(Tableau118[[#This Row],[Key(POD -PFI- Usine)]],'DATA Consignee'!A:F,6,FALSE)</f>
        <v>#N/A</v>
      </c>
      <c r="AL180" s="125"/>
      <c r="AM180" s="483" t="str">
        <f>IF(Tableau118[[#This Row],[Name PFI/CDD]]="","-",VLOOKUP(Tableau118[[#This Row],[Name PFI/CDD]],Plant_AILN!I:J,2,FALSE))</f>
        <v>-</v>
      </c>
      <c r="AN18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0" s="2" t="e">
        <f ca="1">VLOOKUP(Tableau118[[#This Row],[Key(POD -PFI- Usine)]],'DATA Consignee'!A:J,10,FALSE)</f>
        <v>#N/A</v>
      </c>
      <c r="AQ180" s="50" t="e">
        <f ca="1">VLOOKUP(Tableau118[[#This Row],[Key(POD -PFI- Usine)]],'DATA Consignee'!A:N,14,FALSE)</f>
        <v>#N/A</v>
      </c>
      <c r="AR18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0" s="50" t="e">
        <f ca="1">Tableau118[[#This Row],[Transit time]]+Tableau118[[#This Row],[Time for security]]+Tableau118[[#This Row],[Time for security2 buffer]]</f>
        <v>#N/A</v>
      </c>
      <c r="AU18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0" s="389" t="e">
        <f ca="1">Tableau118[[#This Row],[Leadtime SI2C]]+Tableau118[[#This Row],[First Receipt Days]]-Tableau118[[#This Row],[Day Customer Order]]+1</f>
        <v>#N/A</v>
      </c>
      <c r="AW180" s="117" t="e">
        <f ca="1">IF(Tableau118[[#This Row],[Name ILN]]&lt;&gt;"SFK Freight Forwarder",Tableau118[[#This Row],[Cust. Leadtime]],Tableau118[[#This Row],[Leadtime SI2C]])</f>
        <v>#N/A</v>
      </c>
      <c r="AX180" s="51" t="e">
        <f>VLOOKUP(Tableau118[[#This Row],[ID]],'DATA BTO'!B:P,15,FALSE)</f>
        <v>#N/A</v>
      </c>
      <c r="AY180" s="328" t="e">
        <f ca="1">IFERROR(VLOOKUP(Tableau118[[#This Row],[Key(ID-Actif)]],'DATA BTO'!A:N,4,FALSE),VLOOKUP(Tableau118[[#This Row],[ID]],'DATA BTO'!B:N,3,FALSE))</f>
        <v>#N/A</v>
      </c>
      <c r="AZ18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0" s="50"/>
    </row>
    <row r="181" spans="2:57">
      <c r="B181" s="65" t="str">
        <f>_xlfn.CONCAT(Tableau118[[#This Row],[Name ILN]],"-",Tableau118[[#This Row],[Name Shipper]],"-",Tableau118[[#This Row],[Name Site]])</f>
        <v>--</v>
      </c>
      <c r="C181" s="65" t="e">
        <f ca="1">_xlfn.CONCAT(Tableau118[[#This Row],[Compte ILN]],"-",Tableau118[[#This Row],[Compte Shipper]],"-",Tableau118[[#This Row],[POL]],"-",Tableau118[[#This Row],[Compte Site]])</f>
        <v>#N/A</v>
      </c>
      <c r="D181" s="64" t="e">
        <f ca="1">_xlfn.CONCAT(Tableau118[[#This Row],[Compte ILN]],"-",Tableau118[[#This Row],[Compte Shipper]],"-",Tableau118[[#This Row],[POL]])</f>
        <v>#N/A</v>
      </c>
      <c r="E181" s="396" t="e">
        <f ca="1">_xlfn.CONCAT(Tableau118[[#This Row],[POL]],"-",Tableau118[[#This Row],[Carrier]],"-",Tableau118[[#This Row],[POD]])</f>
        <v>#N/A</v>
      </c>
      <c r="F181" s="64" t="str">
        <f>_xlfn.CONCAT(Tableau118[[#This Row],[ID]],"-","Next")</f>
        <v>-Next</v>
      </c>
      <c r="G181" s="64" t="e">
        <f ca="1">_xlfn.CONCAT(Tableau118[[#This Row],[POD]],"-",Tableau118[[#This Row],[Code PFI]],"-",Tableau118[[#This Row],[Compte Site]])</f>
        <v>#N/A</v>
      </c>
      <c r="H18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1" s="397" t="str">
        <f ca="1">IF(COUNTIF(I:I,Tableau118[[#This Row],[Plant-ILN-shipper-POL-Carrier-POD-PFI]])=1,"Non","Oui")</f>
        <v>Oui</v>
      </c>
      <c r="K181" s="399" t="e">
        <f>VLOOKUP(Tableau118[[#This Row],[Name Site]],Plant_AILN!A:D,4,FALSE)</f>
        <v>#N/A</v>
      </c>
      <c r="L181" s="10"/>
      <c r="M181" s="480"/>
      <c r="N181" s="55"/>
      <c r="O181" s="122"/>
      <c r="P181" s="481"/>
      <c r="Q181" s="50"/>
      <c r="R181" s="50"/>
      <c r="S181" s="50"/>
      <c r="T181" s="50"/>
      <c r="U181" s="50"/>
      <c r="V181" s="50"/>
      <c r="W181" s="53"/>
      <c r="X181" s="283"/>
      <c r="Y181" s="482">
        <f>IFERROR(VLOOKUP(Tableau118[[#This Row],[Name Shipper]],Plant_AILN!L:M,2,FALSE),0)</f>
        <v>0</v>
      </c>
      <c r="Z181" s="358"/>
      <c r="AA181" s="353" t="e">
        <f ca="1">VLOOKUP(Tableau118[[#This Row],[Key(ID-Actif)]],'DATA BTO'!A:N,5,FALSE)</f>
        <v>#N/A</v>
      </c>
      <c r="AB181" s="3" t="e">
        <f ca="1">VLOOKUP(Tableau118[[#This Row],[Key(ID-Actif)]],'DATA BTO'!A:N,6,FALSE)</f>
        <v>#N/A</v>
      </c>
      <c r="AC181" s="50" t="e">
        <f ca="1">VLOOKUP(Tableau118[[#This Row],[Key(ID-Actif)]],'DATA BTO'!A:N,7,FALSE)</f>
        <v>#N/A</v>
      </c>
      <c r="AD181" s="50" t="e">
        <f ca="1">VLOOKUP(Tableau118[[#This Row],[Key(ID-Actif)]],'DATA BTO'!A:N,8,FALSE)</f>
        <v>#N/A</v>
      </c>
      <c r="AE181" s="50" t="e">
        <f ca="1">IF(Tableau118[[#This Row],[First Day to POL]]&lt;=Tableau118[[#This Row],[Day Cut Off]],Tableau118[[#This Row],[Day ETD]],Tableau118[[#This Row],[Day ETD]]+7)</f>
        <v>#N/A</v>
      </c>
      <c r="AF181" s="50" t="e">
        <f ca="1">VLOOKUP(Tableau118[[#This Row],[Key(ID-Actif)]],'DATA BTO'!A:N,9,FALSE)</f>
        <v>#N/A</v>
      </c>
      <c r="AG181" s="3" t="e">
        <f ca="1">VLOOKUP(Tableau118[[#This Row],[Key(ID-Actif)]],'DATA BTO'!A:N,10,FALSE)</f>
        <v>#N/A</v>
      </c>
      <c r="AH181" s="3" t="e">
        <f ca="1">VLOOKUP(Tableau118[[#This Row],[Key(ID-Actif)]],'DATA BTO'!A:N,11,FALSE)</f>
        <v>#N/A</v>
      </c>
      <c r="AI181" s="50" t="e">
        <f ca="1">VLOOKUP(Tableau118[[#This Row],[Key(ID-Actif)]],'DATA BTO'!A:N,12,FALSE)</f>
        <v>#N/A</v>
      </c>
      <c r="AJ181" s="53" t="e">
        <f ca="1">VLOOKUP(Tableau118[[#This Row],[Key(ID-Actif)]],'DATA BTO'!A:N,14,FALSE)</f>
        <v>#N/A</v>
      </c>
      <c r="AK181" s="54" t="e">
        <f ca="1">VLOOKUP(Tableau118[[#This Row],[Key(POD -PFI- Usine)]],'DATA Consignee'!A:F,6,FALSE)</f>
        <v>#N/A</v>
      </c>
      <c r="AL181" s="125"/>
      <c r="AM181" s="483" t="str">
        <f>IF(Tableau118[[#This Row],[Name PFI/CDD]]="","-",VLOOKUP(Tableau118[[#This Row],[Name PFI/CDD]],Plant_AILN!I:J,2,FALSE))</f>
        <v>-</v>
      </c>
      <c r="AN18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1" s="2" t="e">
        <f ca="1">VLOOKUP(Tableau118[[#This Row],[Key(POD -PFI- Usine)]],'DATA Consignee'!A:J,10,FALSE)</f>
        <v>#N/A</v>
      </c>
      <c r="AQ181" s="50" t="e">
        <f ca="1">VLOOKUP(Tableau118[[#This Row],[Key(POD -PFI- Usine)]],'DATA Consignee'!A:N,14,FALSE)</f>
        <v>#N/A</v>
      </c>
      <c r="AR18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1" s="50" t="e">
        <f ca="1">Tableau118[[#This Row],[Transit time]]+Tableau118[[#This Row],[Time for security]]+Tableau118[[#This Row],[Time for security2 buffer]]</f>
        <v>#N/A</v>
      </c>
      <c r="AU18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1" s="389" t="e">
        <f ca="1">Tableau118[[#This Row],[Leadtime SI2C]]+Tableau118[[#This Row],[First Receipt Days]]-Tableau118[[#This Row],[Day Customer Order]]+1</f>
        <v>#N/A</v>
      </c>
      <c r="AW181" s="117" t="e">
        <f ca="1">IF(Tableau118[[#This Row],[Name ILN]]&lt;&gt;"SFK Freight Forwarder",Tableau118[[#This Row],[Cust. Leadtime]],Tableau118[[#This Row],[Leadtime SI2C]])</f>
        <v>#N/A</v>
      </c>
      <c r="AX181" s="51" t="e">
        <f>VLOOKUP(Tableau118[[#This Row],[ID]],'DATA BTO'!B:P,15,FALSE)</f>
        <v>#N/A</v>
      </c>
      <c r="AY181" s="328" t="e">
        <f ca="1">IFERROR(VLOOKUP(Tableau118[[#This Row],[Key(ID-Actif)]],'DATA BTO'!A:N,4,FALSE),VLOOKUP(Tableau118[[#This Row],[ID]],'DATA BTO'!B:N,3,FALSE))</f>
        <v>#N/A</v>
      </c>
      <c r="AZ18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1" s="50"/>
    </row>
    <row r="182" spans="2:57">
      <c r="B182" s="65" t="str">
        <f>_xlfn.CONCAT(Tableau118[[#This Row],[Name ILN]],"-",Tableau118[[#This Row],[Name Shipper]],"-",Tableau118[[#This Row],[Name Site]])</f>
        <v>--</v>
      </c>
      <c r="C182" s="65" t="e">
        <f ca="1">_xlfn.CONCAT(Tableau118[[#This Row],[Compte ILN]],"-",Tableau118[[#This Row],[Compte Shipper]],"-",Tableau118[[#This Row],[POL]],"-",Tableau118[[#This Row],[Compte Site]])</f>
        <v>#N/A</v>
      </c>
      <c r="D182" s="64" t="e">
        <f ca="1">_xlfn.CONCAT(Tableau118[[#This Row],[Compte ILN]],"-",Tableau118[[#This Row],[Compte Shipper]],"-",Tableau118[[#This Row],[POL]])</f>
        <v>#N/A</v>
      </c>
      <c r="E182" s="396" t="e">
        <f ca="1">_xlfn.CONCAT(Tableau118[[#This Row],[POL]],"-",Tableau118[[#This Row],[Carrier]],"-",Tableau118[[#This Row],[POD]])</f>
        <v>#N/A</v>
      </c>
      <c r="F182" s="64" t="str">
        <f>_xlfn.CONCAT(Tableau118[[#This Row],[ID]],"-","Next")</f>
        <v>-Next</v>
      </c>
      <c r="G182" s="64" t="e">
        <f ca="1">_xlfn.CONCAT(Tableau118[[#This Row],[POD]],"-",Tableau118[[#This Row],[Code PFI]],"-",Tableau118[[#This Row],[Compte Site]])</f>
        <v>#N/A</v>
      </c>
      <c r="H18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2" s="397" t="str">
        <f ca="1">IF(COUNTIF(I:I,Tableau118[[#This Row],[Plant-ILN-shipper-POL-Carrier-POD-PFI]])=1,"Non","Oui")</f>
        <v>Oui</v>
      </c>
      <c r="K182" s="399" t="e">
        <f>VLOOKUP(Tableau118[[#This Row],[Name Site]],Plant_AILN!A:D,4,FALSE)</f>
        <v>#N/A</v>
      </c>
      <c r="L182" s="10"/>
      <c r="M182" s="480"/>
      <c r="N182" s="55"/>
      <c r="O182" s="122"/>
      <c r="P182" s="481"/>
      <c r="Q182" s="50"/>
      <c r="R182" s="50"/>
      <c r="S182" s="50"/>
      <c r="T182" s="50"/>
      <c r="U182" s="50"/>
      <c r="V182" s="50"/>
      <c r="W182" s="53"/>
      <c r="X182" s="283"/>
      <c r="Y182" s="482">
        <f>IFERROR(VLOOKUP(Tableau118[[#This Row],[Name Shipper]],Plant_AILN!L:M,2,FALSE),0)</f>
        <v>0</v>
      </c>
      <c r="Z182" s="358"/>
      <c r="AA182" s="353" t="e">
        <f ca="1">VLOOKUP(Tableau118[[#This Row],[Key(ID-Actif)]],'DATA BTO'!A:N,5,FALSE)</f>
        <v>#N/A</v>
      </c>
      <c r="AB182" s="3" t="e">
        <f ca="1">VLOOKUP(Tableau118[[#This Row],[Key(ID-Actif)]],'DATA BTO'!A:N,6,FALSE)</f>
        <v>#N/A</v>
      </c>
      <c r="AC182" s="50" t="e">
        <f ca="1">VLOOKUP(Tableau118[[#This Row],[Key(ID-Actif)]],'DATA BTO'!A:N,7,FALSE)</f>
        <v>#N/A</v>
      </c>
      <c r="AD182" s="50" t="e">
        <f ca="1">VLOOKUP(Tableau118[[#This Row],[Key(ID-Actif)]],'DATA BTO'!A:N,8,FALSE)</f>
        <v>#N/A</v>
      </c>
      <c r="AE182" s="50" t="e">
        <f ca="1">IF(Tableau118[[#This Row],[First Day to POL]]&lt;=Tableau118[[#This Row],[Day Cut Off]],Tableau118[[#This Row],[Day ETD]],Tableau118[[#This Row],[Day ETD]]+7)</f>
        <v>#N/A</v>
      </c>
      <c r="AF182" s="50" t="e">
        <f ca="1">VLOOKUP(Tableau118[[#This Row],[Key(ID-Actif)]],'DATA BTO'!A:N,9,FALSE)</f>
        <v>#N/A</v>
      </c>
      <c r="AG182" s="3" t="e">
        <f ca="1">VLOOKUP(Tableau118[[#This Row],[Key(ID-Actif)]],'DATA BTO'!A:N,10,FALSE)</f>
        <v>#N/A</v>
      </c>
      <c r="AH182" s="3" t="e">
        <f ca="1">VLOOKUP(Tableau118[[#This Row],[Key(ID-Actif)]],'DATA BTO'!A:N,11,FALSE)</f>
        <v>#N/A</v>
      </c>
      <c r="AI182" s="50" t="e">
        <f ca="1">VLOOKUP(Tableau118[[#This Row],[Key(ID-Actif)]],'DATA BTO'!A:N,12,FALSE)</f>
        <v>#N/A</v>
      </c>
      <c r="AJ182" s="53" t="e">
        <f ca="1">VLOOKUP(Tableau118[[#This Row],[Key(ID-Actif)]],'DATA BTO'!A:N,14,FALSE)</f>
        <v>#N/A</v>
      </c>
      <c r="AK182" s="54" t="e">
        <f ca="1">VLOOKUP(Tableau118[[#This Row],[Key(POD -PFI- Usine)]],'DATA Consignee'!A:F,6,FALSE)</f>
        <v>#N/A</v>
      </c>
      <c r="AL182" s="125"/>
      <c r="AM182" s="483" t="str">
        <f>IF(Tableau118[[#This Row],[Name PFI/CDD]]="","-",VLOOKUP(Tableau118[[#This Row],[Name PFI/CDD]],Plant_AILN!I:J,2,FALSE))</f>
        <v>-</v>
      </c>
      <c r="AN18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2" s="2" t="e">
        <f ca="1">VLOOKUP(Tableau118[[#This Row],[Key(POD -PFI- Usine)]],'DATA Consignee'!A:J,10,FALSE)</f>
        <v>#N/A</v>
      </c>
      <c r="AQ182" s="50" t="e">
        <f ca="1">VLOOKUP(Tableau118[[#This Row],[Key(POD -PFI- Usine)]],'DATA Consignee'!A:N,14,FALSE)</f>
        <v>#N/A</v>
      </c>
      <c r="AR18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2" s="50" t="e">
        <f ca="1">Tableau118[[#This Row],[Transit time]]+Tableau118[[#This Row],[Time for security]]+Tableau118[[#This Row],[Time for security2 buffer]]</f>
        <v>#N/A</v>
      </c>
      <c r="AU18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2" s="389" t="e">
        <f ca="1">Tableau118[[#This Row],[Leadtime SI2C]]+Tableau118[[#This Row],[First Receipt Days]]-Tableau118[[#This Row],[Day Customer Order]]+1</f>
        <v>#N/A</v>
      </c>
      <c r="AW182" s="117" t="e">
        <f ca="1">IF(Tableau118[[#This Row],[Name ILN]]&lt;&gt;"SFK Freight Forwarder",Tableau118[[#This Row],[Cust. Leadtime]],Tableau118[[#This Row],[Leadtime SI2C]])</f>
        <v>#N/A</v>
      </c>
      <c r="AX182" s="51" t="e">
        <f>VLOOKUP(Tableau118[[#This Row],[ID]],'DATA BTO'!B:P,15,FALSE)</f>
        <v>#N/A</v>
      </c>
      <c r="AY182" s="328" t="e">
        <f ca="1">IFERROR(VLOOKUP(Tableau118[[#This Row],[Key(ID-Actif)]],'DATA BTO'!A:N,4,FALSE),VLOOKUP(Tableau118[[#This Row],[ID]],'DATA BTO'!B:N,3,FALSE))</f>
        <v>#N/A</v>
      </c>
      <c r="AZ18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2" s="50"/>
    </row>
    <row r="183" spans="2:57">
      <c r="B183" s="65" t="str">
        <f>_xlfn.CONCAT(Tableau118[[#This Row],[Name ILN]],"-",Tableau118[[#This Row],[Name Shipper]],"-",Tableau118[[#This Row],[Name Site]])</f>
        <v>--</v>
      </c>
      <c r="C183" s="65" t="e">
        <f ca="1">_xlfn.CONCAT(Tableau118[[#This Row],[Compte ILN]],"-",Tableau118[[#This Row],[Compte Shipper]],"-",Tableau118[[#This Row],[POL]],"-",Tableau118[[#This Row],[Compte Site]])</f>
        <v>#N/A</v>
      </c>
      <c r="D183" s="64" t="e">
        <f ca="1">_xlfn.CONCAT(Tableau118[[#This Row],[Compte ILN]],"-",Tableau118[[#This Row],[Compte Shipper]],"-",Tableau118[[#This Row],[POL]])</f>
        <v>#N/A</v>
      </c>
      <c r="E183" s="396" t="e">
        <f ca="1">_xlfn.CONCAT(Tableau118[[#This Row],[POL]],"-",Tableau118[[#This Row],[Carrier]],"-",Tableau118[[#This Row],[POD]])</f>
        <v>#N/A</v>
      </c>
      <c r="F183" s="64" t="str">
        <f>_xlfn.CONCAT(Tableau118[[#This Row],[ID]],"-","Next")</f>
        <v>-Next</v>
      </c>
      <c r="G183" s="64" t="e">
        <f ca="1">_xlfn.CONCAT(Tableau118[[#This Row],[POD]],"-",Tableau118[[#This Row],[Code PFI]],"-",Tableau118[[#This Row],[Compte Site]])</f>
        <v>#N/A</v>
      </c>
      <c r="H18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3" s="397" t="str">
        <f ca="1">IF(COUNTIF(I:I,Tableau118[[#This Row],[Plant-ILN-shipper-POL-Carrier-POD-PFI]])=1,"Non","Oui")</f>
        <v>Oui</v>
      </c>
      <c r="K183" s="399" t="e">
        <f>VLOOKUP(Tableau118[[#This Row],[Name Site]],Plant_AILN!A:D,4,FALSE)</f>
        <v>#N/A</v>
      </c>
      <c r="L183" s="10"/>
      <c r="M183" s="480"/>
      <c r="N183" s="55"/>
      <c r="O183" s="122"/>
      <c r="P183" s="481"/>
      <c r="Q183" s="50"/>
      <c r="R183" s="50"/>
      <c r="S183" s="50"/>
      <c r="T183" s="50"/>
      <c r="U183" s="50"/>
      <c r="V183" s="50"/>
      <c r="W183" s="53"/>
      <c r="X183" s="283"/>
      <c r="Y183" s="482">
        <f>IFERROR(VLOOKUP(Tableau118[[#This Row],[Name Shipper]],Plant_AILN!L:M,2,FALSE),0)</f>
        <v>0</v>
      </c>
      <c r="Z183" s="358"/>
      <c r="AA183" s="353" t="e">
        <f ca="1">VLOOKUP(Tableau118[[#This Row],[Key(ID-Actif)]],'DATA BTO'!A:N,5,FALSE)</f>
        <v>#N/A</v>
      </c>
      <c r="AB183" s="3" t="e">
        <f ca="1">VLOOKUP(Tableau118[[#This Row],[Key(ID-Actif)]],'DATA BTO'!A:N,6,FALSE)</f>
        <v>#N/A</v>
      </c>
      <c r="AC183" s="50" t="e">
        <f ca="1">VLOOKUP(Tableau118[[#This Row],[Key(ID-Actif)]],'DATA BTO'!A:N,7,FALSE)</f>
        <v>#N/A</v>
      </c>
      <c r="AD183" s="50" t="e">
        <f ca="1">VLOOKUP(Tableau118[[#This Row],[Key(ID-Actif)]],'DATA BTO'!A:N,8,FALSE)</f>
        <v>#N/A</v>
      </c>
      <c r="AE183" s="50" t="e">
        <f ca="1">IF(Tableau118[[#This Row],[First Day to POL]]&lt;=Tableau118[[#This Row],[Day Cut Off]],Tableau118[[#This Row],[Day ETD]],Tableau118[[#This Row],[Day ETD]]+7)</f>
        <v>#N/A</v>
      </c>
      <c r="AF183" s="50" t="e">
        <f ca="1">VLOOKUP(Tableau118[[#This Row],[Key(ID-Actif)]],'DATA BTO'!A:N,9,FALSE)</f>
        <v>#N/A</v>
      </c>
      <c r="AG183" s="3" t="e">
        <f ca="1">VLOOKUP(Tableau118[[#This Row],[Key(ID-Actif)]],'DATA BTO'!A:N,10,FALSE)</f>
        <v>#N/A</v>
      </c>
      <c r="AH183" s="3" t="e">
        <f ca="1">VLOOKUP(Tableau118[[#This Row],[Key(ID-Actif)]],'DATA BTO'!A:N,11,FALSE)</f>
        <v>#N/A</v>
      </c>
      <c r="AI183" s="50" t="e">
        <f ca="1">VLOOKUP(Tableau118[[#This Row],[Key(ID-Actif)]],'DATA BTO'!A:N,12,FALSE)</f>
        <v>#N/A</v>
      </c>
      <c r="AJ183" s="53" t="e">
        <f ca="1">VLOOKUP(Tableau118[[#This Row],[Key(ID-Actif)]],'DATA BTO'!A:N,14,FALSE)</f>
        <v>#N/A</v>
      </c>
      <c r="AK183" s="54" t="e">
        <f ca="1">VLOOKUP(Tableau118[[#This Row],[Key(POD -PFI- Usine)]],'DATA Consignee'!A:F,6,FALSE)</f>
        <v>#N/A</v>
      </c>
      <c r="AL183" s="125"/>
      <c r="AM183" s="483" t="str">
        <f>IF(Tableau118[[#This Row],[Name PFI/CDD]]="","-",VLOOKUP(Tableau118[[#This Row],[Name PFI/CDD]],Plant_AILN!I:J,2,FALSE))</f>
        <v>-</v>
      </c>
      <c r="AN18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3" s="2" t="e">
        <f ca="1">VLOOKUP(Tableau118[[#This Row],[Key(POD -PFI- Usine)]],'DATA Consignee'!A:J,10,FALSE)</f>
        <v>#N/A</v>
      </c>
      <c r="AQ183" s="50" t="e">
        <f ca="1">VLOOKUP(Tableau118[[#This Row],[Key(POD -PFI- Usine)]],'DATA Consignee'!A:N,14,FALSE)</f>
        <v>#N/A</v>
      </c>
      <c r="AR18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3" s="50" t="e">
        <f ca="1">Tableau118[[#This Row],[Transit time]]+Tableau118[[#This Row],[Time for security]]+Tableau118[[#This Row],[Time for security2 buffer]]</f>
        <v>#N/A</v>
      </c>
      <c r="AU18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3" s="389" t="e">
        <f ca="1">Tableau118[[#This Row],[Leadtime SI2C]]+Tableau118[[#This Row],[First Receipt Days]]-Tableau118[[#This Row],[Day Customer Order]]+1</f>
        <v>#N/A</v>
      </c>
      <c r="AW183" s="117" t="e">
        <f ca="1">IF(Tableau118[[#This Row],[Name ILN]]&lt;&gt;"SFK Freight Forwarder",Tableau118[[#This Row],[Cust. Leadtime]],Tableau118[[#This Row],[Leadtime SI2C]])</f>
        <v>#N/A</v>
      </c>
      <c r="AX183" s="51" t="e">
        <f>VLOOKUP(Tableau118[[#This Row],[ID]],'DATA BTO'!B:P,15,FALSE)</f>
        <v>#N/A</v>
      </c>
      <c r="AY183" s="328" t="e">
        <f ca="1">IFERROR(VLOOKUP(Tableau118[[#This Row],[Key(ID-Actif)]],'DATA BTO'!A:N,4,FALSE),VLOOKUP(Tableau118[[#This Row],[ID]],'DATA BTO'!B:N,3,FALSE))</f>
        <v>#N/A</v>
      </c>
      <c r="AZ18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3" s="50"/>
    </row>
    <row r="184" spans="2:57">
      <c r="B184" s="65" t="str">
        <f>_xlfn.CONCAT(Tableau118[[#This Row],[Name ILN]],"-",Tableau118[[#This Row],[Name Shipper]],"-",Tableau118[[#This Row],[Name Site]])</f>
        <v>--</v>
      </c>
      <c r="C184" s="65" t="e">
        <f ca="1">_xlfn.CONCAT(Tableau118[[#This Row],[Compte ILN]],"-",Tableau118[[#This Row],[Compte Shipper]],"-",Tableau118[[#This Row],[POL]],"-",Tableau118[[#This Row],[Compte Site]])</f>
        <v>#N/A</v>
      </c>
      <c r="D184" s="64" t="e">
        <f ca="1">_xlfn.CONCAT(Tableau118[[#This Row],[Compte ILN]],"-",Tableau118[[#This Row],[Compte Shipper]],"-",Tableau118[[#This Row],[POL]])</f>
        <v>#N/A</v>
      </c>
      <c r="E184" s="396" t="e">
        <f ca="1">_xlfn.CONCAT(Tableau118[[#This Row],[POL]],"-",Tableau118[[#This Row],[Carrier]],"-",Tableau118[[#This Row],[POD]])</f>
        <v>#N/A</v>
      </c>
      <c r="F184" s="64" t="str">
        <f>_xlfn.CONCAT(Tableau118[[#This Row],[ID]],"-","Next")</f>
        <v>-Next</v>
      </c>
      <c r="G184" s="64" t="e">
        <f ca="1">_xlfn.CONCAT(Tableau118[[#This Row],[POD]],"-",Tableau118[[#This Row],[Code PFI]],"-",Tableau118[[#This Row],[Compte Site]])</f>
        <v>#N/A</v>
      </c>
      <c r="H18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4" s="397" t="str">
        <f ca="1">IF(COUNTIF(I:I,Tableau118[[#This Row],[Plant-ILN-shipper-POL-Carrier-POD-PFI]])=1,"Non","Oui")</f>
        <v>Oui</v>
      </c>
      <c r="K184" s="399" t="e">
        <f>VLOOKUP(Tableau118[[#This Row],[Name Site]],Plant_AILN!A:D,4,FALSE)</f>
        <v>#N/A</v>
      </c>
      <c r="L184" s="10"/>
      <c r="M184" s="480"/>
      <c r="N184" s="55"/>
      <c r="O184" s="122"/>
      <c r="P184" s="481"/>
      <c r="Q184" s="50"/>
      <c r="R184" s="50"/>
      <c r="S184" s="50"/>
      <c r="T184" s="50"/>
      <c r="U184" s="50"/>
      <c r="V184" s="50"/>
      <c r="W184" s="53"/>
      <c r="X184" s="283"/>
      <c r="Y184" s="482">
        <f>IFERROR(VLOOKUP(Tableau118[[#This Row],[Name Shipper]],Plant_AILN!L:M,2,FALSE),0)</f>
        <v>0</v>
      </c>
      <c r="Z184" s="358"/>
      <c r="AA184" s="353" t="e">
        <f ca="1">VLOOKUP(Tableau118[[#This Row],[Key(ID-Actif)]],'DATA BTO'!A:N,5,FALSE)</f>
        <v>#N/A</v>
      </c>
      <c r="AB184" s="3" t="e">
        <f ca="1">VLOOKUP(Tableau118[[#This Row],[Key(ID-Actif)]],'DATA BTO'!A:N,6,FALSE)</f>
        <v>#N/A</v>
      </c>
      <c r="AC184" s="50" t="e">
        <f ca="1">VLOOKUP(Tableau118[[#This Row],[Key(ID-Actif)]],'DATA BTO'!A:N,7,FALSE)</f>
        <v>#N/A</v>
      </c>
      <c r="AD184" s="50" t="e">
        <f ca="1">VLOOKUP(Tableau118[[#This Row],[Key(ID-Actif)]],'DATA BTO'!A:N,8,FALSE)</f>
        <v>#N/A</v>
      </c>
      <c r="AE184" s="50" t="e">
        <f ca="1">IF(Tableau118[[#This Row],[First Day to POL]]&lt;=Tableau118[[#This Row],[Day Cut Off]],Tableau118[[#This Row],[Day ETD]],Tableau118[[#This Row],[Day ETD]]+7)</f>
        <v>#N/A</v>
      </c>
      <c r="AF184" s="50" t="e">
        <f ca="1">VLOOKUP(Tableau118[[#This Row],[Key(ID-Actif)]],'DATA BTO'!A:N,9,FALSE)</f>
        <v>#N/A</v>
      </c>
      <c r="AG184" s="3" t="e">
        <f ca="1">VLOOKUP(Tableau118[[#This Row],[Key(ID-Actif)]],'DATA BTO'!A:N,10,FALSE)</f>
        <v>#N/A</v>
      </c>
      <c r="AH184" s="3" t="e">
        <f ca="1">VLOOKUP(Tableau118[[#This Row],[Key(ID-Actif)]],'DATA BTO'!A:N,11,FALSE)</f>
        <v>#N/A</v>
      </c>
      <c r="AI184" s="50" t="e">
        <f ca="1">VLOOKUP(Tableau118[[#This Row],[Key(ID-Actif)]],'DATA BTO'!A:N,12,FALSE)</f>
        <v>#N/A</v>
      </c>
      <c r="AJ184" s="53" t="e">
        <f ca="1">VLOOKUP(Tableau118[[#This Row],[Key(ID-Actif)]],'DATA BTO'!A:N,14,FALSE)</f>
        <v>#N/A</v>
      </c>
      <c r="AK184" s="54" t="e">
        <f ca="1">VLOOKUP(Tableau118[[#This Row],[Key(POD -PFI- Usine)]],'DATA Consignee'!A:F,6,FALSE)</f>
        <v>#N/A</v>
      </c>
      <c r="AL184" s="125"/>
      <c r="AM184" s="483" t="str">
        <f>IF(Tableau118[[#This Row],[Name PFI/CDD]]="","-",VLOOKUP(Tableau118[[#This Row],[Name PFI/CDD]],Plant_AILN!I:J,2,FALSE))</f>
        <v>-</v>
      </c>
      <c r="AN18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4" s="2" t="e">
        <f ca="1">VLOOKUP(Tableau118[[#This Row],[Key(POD -PFI- Usine)]],'DATA Consignee'!A:J,10,FALSE)</f>
        <v>#N/A</v>
      </c>
      <c r="AQ184" s="50" t="e">
        <f ca="1">VLOOKUP(Tableau118[[#This Row],[Key(POD -PFI- Usine)]],'DATA Consignee'!A:N,14,FALSE)</f>
        <v>#N/A</v>
      </c>
      <c r="AR18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4" s="50" t="e">
        <f ca="1">Tableau118[[#This Row],[Transit time]]+Tableau118[[#This Row],[Time for security]]+Tableau118[[#This Row],[Time for security2 buffer]]</f>
        <v>#N/A</v>
      </c>
      <c r="AU18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4" s="389" t="e">
        <f ca="1">Tableau118[[#This Row],[Leadtime SI2C]]+Tableau118[[#This Row],[First Receipt Days]]-Tableau118[[#This Row],[Day Customer Order]]+1</f>
        <v>#N/A</v>
      </c>
      <c r="AW184" s="117" t="e">
        <f ca="1">IF(Tableau118[[#This Row],[Name ILN]]&lt;&gt;"SFK Freight Forwarder",Tableau118[[#This Row],[Cust. Leadtime]],Tableau118[[#This Row],[Leadtime SI2C]])</f>
        <v>#N/A</v>
      </c>
      <c r="AX184" s="51" t="e">
        <f>VLOOKUP(Tableau118[[#This Row],[ID]],'DATA BTO'!B:P,15,FALSE)</f>
        <v>#N/A</v>
      </c>
      <c r="AY184" s="328" t="e">
        <f ca="1">IFERROR(VLOOKUP(Tableau118[[#This Row],[Key(ID-Actif)]],'DATA BTO'!A:N,4,FALSE),VLOOKUP(Tableau118[[#This Row],[ID]],'DATA BTO'!B:N,3,FALSE))</f>
        <v>#N/A</v>
      </c>
      <c r="AZ18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4" s="50"/>
    </row>
    <row r="185" spans="2:57">
      <c r="B185" s="65" t="str">
        <f>_xlfn.CONCAT(Tableau118[[#This Row],[Name ILN]],"-",Tableau118[[#This Row],[Name Shipper]],"-",Tableau118[[#This Row],[Name Site]])</f>
        <v>--</v>
      </c>
      <c r="C185" s="65" t="e">
        <f ca="1">_xlfn.CONCAT(Tableau118[[#This Row],[Compte ILN]],"-",Tableau118[[#This Row],[Compte Shipper]],"-",Tableau118[[#This Row],[POL]],"-",Tableau118[[#This Row],[Compte Site]])</f>
        <v>#N/A</v>
      </c>
      <c r="D185" s="64" t="e">
        <f ca="1">_xlfn.CONCAT(Tableau118[[#This Row],[Compte ILN]],"-",Tableau118[[#This Row],[Compte Shipper]],"-",Tableau118[[#This Row],[POL]])</f>
        <v>#N/A</v>
      </c>
      <c r="E185" s="396" t="e">
        <f ca="1">_xlfn.CONCAT(Tableau118[[#This Row],[POL]],"-",Tableau118[[#This Row],[Carrier]],"-",Tableau118[[#This Row],[POD]])</f>
        <v>#N/A</v>
      </c>
      <c r="F185" s="64" t="str">
        <f>_xlfn.CONCAT(Tableau118[[#This Row],[ID]],"-","Next")</f>
        <v>-Next</v>
      </c>
      <c r="G185" s="64" t="e">
        <f ca="1">_xlfn.CONCAT(Tableau118[[#This Row],[POD]],"-",Tableau118[[#This Row],[Code PFI]],"-",Tableau118[[#This Row],[Compte Site]])</f>
        <v>#N/A</v>
      </c>
      <c r="H18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5" s="397" t="str">
        <f ca="1">IF(COUNTIF(I:I,Tableau118[[#This Row],[Plant-ILN-shipper-POL-Carrier-POD-PFI]])=1,"Non","Oui")</f>
        <v>Oui</v>
      </c>
      <c r="K185" s="399" t="e">
        <f>VLOOKUP(Tableau118[[#This Row],[Name Site]],Plant_AILN!A:D,4,FALSE)</f>
        <v>#N/A</v>
      </c>
      <c r="L185" s="10"/>
      <c r="M185" s="480"/>
      <c r="N185" s="55"/>
      <c r="O185" s="122"/>
      <c r="P185" s="481"/>
      <c r="Q185" s="50"/>
      <c r="R185" s="50"/>
      <c r="S185" s="50"/>
      <c r="T185" s="50"/>
      <c r="U185" s="50"/>
      <c r="V185" s="50"/>
      <c r="W185" s="53"/>
      <c r="X185" s="283"/>
      <c r="Y185" s="482">
        <f>IFERROR(VLOOKUP(Tableau118[[#This Row],[Name Shipper]],Plant_AILN!L:M,2,FALSE),0)</f>
        <v>0</v>
      </c>
      <c r="Z185" s="358"/>
      <c r="AA185" s="353" t="e">
        <f ca="1">VLOOKUP(Tableau118[[#This Row],[Key(ID-Actif)]],'DATA BTO'!A:N,5,FALSE)</f>
        <v>#N/A</v>
      </c>
      <c r="AB185" s="3" t="e">
        <f ca="1">VLOOKUP(Tableau118[[#This Row],[Key(ID-Actif)]],'DATA BTO'!A:N,6,FALSE)</f>
        <v>#N/A</v>
      </c>
      <c r="AC185" s="50" t="e">
        <f ca="1">VLOOKUP(Tableau118[[#This Row],[Key(ID-Actif)]],'DATA BTO'!A:N,7,FALSE)</f>
        <v>#N/A</v>
      </c>
      <c r="AD185" s="50" t="e">
        <f ca="1">VLOOKUP(Tableau118[[#This Row],[Key(ID-Actif)]],'DATA BTO'!A:N,8,FALSE)</f>
        <v>#N/A</v>
      </c>
      <c r="AE185" s="50" t="e">
        <f ca="1">IF(Tableau118[[#This Row],[First Day to POL]]&lt;=Tableau118[[#This Row],[Day Cut Off]],Tableau118[[#This Row],[Day ETD]],Tableau118[[#This Row],[Day ETD]]+7)</f>
        <v>#N/A</v>
      </c>
      <c r="AF185" s="50" t="e">
        <f ca="1">VLOOKUP(Tableau118[[#This Row],[Key(ID-Actif)]],'DATA BTO'!A:N,9,FALSE)</f>
        <v>#N/A</v>
      </c>
      <c r="AG185" s="3" t="e">
        <f ca="1">VLOOKUP(Tableau118[[#This Row],[Key(ID-Actif)]],'DATA BTO'!A:N,10,FALSE)</f>
        <v>#N/A</v>
      </c>
      <c r="AH185" s="3" t="e">
        <f ca="1">VLOOKUP(Tableau118[[#This Row],[Key(ID-Actif)]],'DATA BTO'!A:N,11,FALSE)</f>
        <v>#N/A</v>
      </c>
      <c r="AI185" s="50" t="e">
        <f ca="1">VLOOKUP(Tableau118[[#This Row],[Key(ID-Actif)]],'DATA BTO'!A:N,12,FALSE)</f>
        <v>#N/A</v>
      </c>
      <c r="AJ185" s="53" t="e">
        <f ca="1">VLOOKUP(Tableau118[[#This Row],[Key(ID-Actif)]],'DATA BTO'!A:N,14,FALSE)</f>
        <v>#N/A</v>
      </c>
      <c r="AK185" s="54" t="e">
        <f ca="1">VLOOKUP(Tableau118[[#This Row],[Key(POD -PFI- Usine)]],'DATA Consignee'!A:F,6,FALSE)</f>
        <v>#N/A</v>
      </c>
      <c r="AL185" s="125" t="s">
        <v>158</v>
      </c>
      <c r="AM185" s="483">
        <f>IF(Tableau118[[#This Row],[Name PFI/CDD]]="","-",VLOOKUP(Tableau118[[#This Row],[Name PFI/CDD]],Plant_AILN!I:J,2,FALSE))</f>
        <v>2839004</v>
      </c>
      <c r="AN18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5" s="2" t="e">
        <f ca="1">VLOOKUP(Tableau118[[#This Row],[Key(POD -PFI- Usine)]],'DATA Consignee'!A:J,10,FALSE)</f>
        <v>#N/A</v>
      </c>
      <c r="AQ185" s="50" t="e">
        <f ca="1">VLOOKUP(Tableau118[[#This Row],[Key(POD -PFI- Usine)]],'DATA Consignee'!A:N,14,FALSE)</f>
        <v>#N/A</v>
      </c>
      <c r="AR18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5" s="50" t="e">
        <f ca="1">Tableau118[[#This Row],[Transit time]]+Tableau118[[#This Row],[Time for security]]+Tableau118[[#This Row],[Time for security2 buffer]]</f>
        <v>#N/A</v>
      </c>
      <c r="AU18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5" s="389" t="e">
        <f ca="1">Tableau118[[#This Row],[Leadtime SI2C]]+Tableau118[[#This Row],[First Receipt Days]]-Tableau118[[#This Row],[Day Customer Order]]+1</f>
        <v>#N/A</v>
      </c>
      <c r="AW185" s="117" t="e">
        <f ca="1">IF(Tableau118[[#This Row],[Name ILN]]&lt;&gt;"SFK Freight Forwarder",Tableau118[[#This Row],[Cust. Leadtime]],Tableau118[[#This Row],[Leadtime SI2C]])</f>
        <v>#N/A</v>
      </c>
      <c r="AX185" s="51" t="e">
        <f>VLOOKUP(Tableau118[[#This Row],[ID]],'DATA BTO'!B:P,15,FALSE)</f>
        <v>#N/A</v>
      </c>
      <c r="AY185" s="328" t="e">
        <f ca="1">IFERROR(VLOOKUP(Tableau118[[#This Row],[Key(ID-Actif)]],'DATA BTO'!A:N,4,FALSE),VLOOKUP(Tableau118[[#This Row],[ID]],'DATA BTO'!B:N,3,FALSE))</f>
        <v>#N/A</v>
      </c>
      <c r="AZ18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5" s="50"/>
    </row>
    <row r="186" spans="2:57">
      <c r="B186" s="65" t="str">
        <f>_xlfn.CONCAT(Tableau118[[#This Row],[Name ILN]],"-",Tableau118[[#This Row],[Name Shipper]],"-",Tableau118[[#This Row],[Name Site]])</f>
        <v>--</v>
      </c>
      <c r="C186" s="65" t="e">
        <f ca="1">_xlfn.CONCAT(Tableau118[[#This Row],[Compte ILN]],"-",Tableau118[[#This Row],[Compte Shipper]],"-",Tableau118[[#This Row],[POL]],"-",Tableau118[[#This Row],[Compte Site]])</f>
        <v>#N/A</v>
      </c>
      <c r="D186" s="64" t="e">
        <f ca="1">_xlfn.CONCAT(Tableau118[[#This Row],[Compte ILN]],"-",Tableau118[[#This Row],[Compte Shipper]],"-",Tableau118[[#This Row],[POL]])</f>
        <v>#N/A</v>
      </c>
      <c r="E186" s="396" t="e">
        <f ca="1">_xlfn.CONCAT(Tableau118[[#This Row],[POL]],"-",Tableau118[[#This Row],[Carrier]],"-",Tableau118[[#This Row],[POD]])</f>
        <v>#N/A</v>
      </c>
      <c r="F186" s="64" t="str">
        <f>_xlfn.CONCAT(Tableau118[[#This Row],[ID]],"-","Next")</f>
        <v>-Next</v>
      </c>
      <c r="G186" s="64" t="e">
        <f ca="1">_xlfn.CONCAT(Tableau118[[#This Row],[POD]],"-",Tableau118[[#This Row],[Code PFI]],"-",Tableau118[[#This Row],[Compte Site]])</f>
        <v>#N/A</v>
      </c>
      <c r="H18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6" s="397" t="str">
        <f ca="1">IF(COUNTIF(I:I,Tableau118[[#This Row],[Plant-ILN-shipper-POL-Carrier-POD-PFI]])=1,"Non","Oui")</f>
        <v>Oui</v>
      </c>
      <c r="K186" s="398" t="e">
        <f>VLOOKUP(Tableau118[[#This Row],[Name Site]],Plant_AILN!A:D,4,FALSE)</f>
        <v>#N/A</v>
      </c>
      <c r="L186" s="10"/>
      <c r="M186" s="480"/>
      <c r="N186" s="55"/>
      <c r="O186" s="122"/>
      <c r="P186" s="481"/>
      <c r="Q186" s="50"/>
      <c r="R186" s="50"/>
      <c r="S186" s="50"/>
      <c r="T186" s="50"/>
      <c r="U186" s="50"/>
      <c r="V186" s="50"/>
      <c r="W186" s="53"/>
      <c r="X186" s="283"/>
      <c r="Y186" s="500">
        <f>IFERROR(VLOOKUP(Tableau118[[#This Row],[Name Shipper]],Plant_AILN!L:M,2,FALSE),0)</f>
        <v>0</v>
      </c>
      <c r="Z186" s="358"/>
      <c r="AA186" s="353" t="e">
        <f ca="1">VLOOKUP(Tableau118[[#This Row],[Key(ID-Actif)]],'DATA BTO'!A:N,5,FALSE)</f>
        <v>#N/A</v>
      </c>
      <c r="AB186" s="3" t="e">
        <f ca="1">VLOOKUP(Tableau118[[#This Row],[Key(ID-Actif)]],'DATA BTO'!A:N,6,FALSE)</f>
        <v>#N/A</v>
      </c>
      <c r="AC186" s="50" t="e">
        <f ca="1">VLOOKUP(Tableau118[[#This Row],[Key(ID-Actif)]],'DATA BTO'!A:N,7,FALSE)</f>
        <v>#N/A</v>
      </c>
      <c r="AD186" s="50" t="e">
        <f ca="1">VLOOKUP(Tableau118[[#This Row],[Key(ID-Actif)]],'DATA BTO'!A:N,8,FALSE)</f>
        <v>#N/A</v>
      </c>
      <c r="AE186" s="50" t="e">
        <f ca="1">IF(Tableau118[[#This Row],[First Day to POL]]&lt;=Tableau118[[#This Row],[Day Cut Off]],Tableau118[[#This Row],[Day ETD]],Tableau118[[#This Row],[Day ETD]]+7)</f>
        <v>#N/A</v>
      </c>
      <c r="AF186" s="50" t="e">
        <f ca="1">VLOOKUP(Tableau118[[#This Row],[Key(ID-Actif)]],'DATA BTO'!A:N,9,FALSE)</f>
        <v>#N/A</v>
      </c>
      <c r="AG186" s="3" t="e">
        <f ca="1">VLOOKUP(Tableau118[[#This Row],[Key(ID-Actif)]],'DATA BTO'!A:N,10,FALSE)</f>
        <v>#N/A</v>
      </c>
      <c r="AH186" s="3" t="e">
        <f ca="1">VLOOKUP(Tableau118[[#This Row],[Key(ID-Actif)]],'DATA BTO'!A:N,11,FALSE)</f>
        <v>#N/A</v>
      </c>
      <c r="AI186" s="50" t="e">
        <f ca="1">VLOOKUP(Tableau118[[#This Row],[Key(ID-Actif)]],'DATA BTO'!A:N,12,FALSE)</f>
        <v>#N/A</v>
      </c>
      <c r="AJ186" s="53" t="e">
        <f ca="1">VLOOKUP(Tableau118[[#This Row],[Key(ID-Actif)]],'DATA BTO'!A:N,14,FALSE)</f>
        <v>#N/A</v>
      </c>
      <c r="AK186" s="54" t="e">
        <f ca="1">VLOOKUP(Tableau118[[#This Row],[Key(POD -PFI- Usine)]],'DATA Consignee'!A:F,6,FALSE)</f>
        <v>#N/A</v>
      </c>
      <c r="AL186" s="125" t="s">
        <v>161</v>
      </c>
      <c r="AM186" s="483">
        <f>IF(Tableau118[[#This Row],[Name PFI/CDD]]="","-",VLOOKUP(Tableau118[[#This Row],[Name PFI/CDD]],Plant_AILN!I:J,2,FALSE))</f>
        <v>91018400</v>
      </c>
      <c r="AN186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86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86" s="2" t="e">
        <f ca="1">VLOOKUP(Tableau118[[#This Row],[Key(POD -PFI- Usine)]],'DATA Consignee'!A:J,10,FALSE)</f>
        <v>#N/A</v>
      </c>
      <c r="AQ186" s="50" t="e">
        <f ca="1">VLOOKUP(Tableau118[[#This Row],[Key(POD -PFI- Usine)]],'DATA Consignee'!A:N,14,FALSE)</f>
        <v>#N/A</v>
      </c>
      <c r="AR18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6" s="50" t="e">
        <f ca="1">Tableau118[[#This Row],[Transit time]]+Tableau118[[#This Row],[Time for security]]+Tableau118[[#This Row],[Time for security2 buffer]]</f>
        <v>#N/A</v>
      </c>
      <c r="AU18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6" s="389" t="e">
        <f ca="1">Tableau118[[#This Row],[Leadtime SI2C]]+Tableau118[[#This Row],[First Receipt Days]]-Tableau118[[#This Row],[Day Customer Order]]+1</f>
        <v>#N/A</v>
      </c>
      <c r="AW186" s="117" t="e">
        <f ca="1">IF(Tableau118[[#This Row],[Name ILN]]&lt;&gt;"SFK Freight Forwarder",Tableau118[[#This Row],[Cust. Leadtime]],Tableau118[[#This Row],[Leadtime SI2C]])</f>
        <v>#N/A</v>
      </c>
      <c r="AX186" s="51" t="e">
        <f>VLOOKUP(Tableau118[[#This Row],[ID]],'DATA BTO'!B:P,15,FALSE)</f>
        <v>#N/A</v>
      </c>
      <c r="AY186" s="328" t="e">
        <f ca="1">IFERROR(VLOOKUP(Tableau118[[#This Row],[Key(ID-Actif)]],'DATA BTO'!A:N,4,FALSE),VLOOKUP(Tableau118[[#This Row],[ID]],'DATA BTO'!B:N,3,FALSE))</f>
        <v>#N/A</v>
      </c>
      <c r="AZ18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6" s="51" t="s">
        <v>192</v>
      </c>
    </row>
    <row r="187" spans="2:57">
      <c r="B187" s="65" t="str">
        <f>_xlfn.CONCAT(Tableau118[[#This Row],[Name ILN]],"-",Tableau118[[#This Row],[Name Shipper]],"-",Tableau118[[#This Row],[Name Site]])</f>
        <v>--</v>
      </c>
      <c r="C187" s="65" t="e">
        <f ca="1">_xlfn.CONCAT(Tableau118[[#This Row],[Compte ILN]],"-",Tableau118[[#This Row],[Compte Shipper]],"-",Tableau118[[#This Row],[POL]],"-",Tableau118[[#This Row],[Compte Site]])</f>
        <v>#N/A</v>
      </c>
      <c r="D187" s="64" t="e">
        <f ca="1">_xlfn.CONCAT(Tableau118[[#This Row],[Compte ILN]],"-",Tableau118[[#This Row],[Compte Shipper]],"-",Tableau118[[#This Row],[POL]])</f>
        <v>#N/A</v>
      </c>
      <c r="E187" s="396" t="e">
        <f ca="1">_xlfn.CONCAT(Tableau118[[#This Row],[POL]],"-",Tableau118[[#This Row],[Carrier]],"-",Tableau118[[#This Row],[POD]])</f>
        <v>#N/A</v>
      </c>
      <c r="F187" s="64" t="str">
        <f>_xlfn.CONCAT(Tableau118[[#This Row],[ID]],"-","Next")</f>
        <v>-Next</v>
      </c>
      <c r="G187" s="64" t="e">
        <f ca="1">_xlfn.CONCAT(Tableau118[[#This Row],[POD]],"-",Tableau118[[#This Row],[Code PFI]],"-",Tableau118[[#This Row],[Compte Site]])</f>
        <v>#N/A</v>
      </c>
      <c r="H18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7" s="397" t="str">
        <f ca="1">IF(COUNTIF(I:I,Tableau118[[#This Row],[Plant-ILN-shipper-POL-Carrier-POD-PFI]])=1,"Non","Oui")</f>
        <v>Oui</v>
      </c>
      <c r="K187" s="398" t="e">
        <f>VLOOKUP(Tableau118[[#This Row],[Name Site]],Plant_AILN!A:D,4,FALSE)</f>
        <v>#N/A</v>
      </c>
      <c r="L187" s="10"/>
      <c r="M187" s="480"/>
      <c r="N187" s="55"/>
      <c r="O187" s="122"/>
      <c r="P187" s="481"/>
      <c r="Q187" s="50"/>
      <c r="R187" s="50"/>
      <c r="S187" s="50"/>
      <c r="T187" s="50"/>
      <c r="U187" s="50"/>
      <c r="V187" s="50"/>
      <c r="W187" s="53"/>
      <c r="X187" s="283"/>
      <c r="Y187" s="482">
        <f>IFERROR(VLOOKUP(Tableau118[[#This Row],[Name Shipper]],Plant_AILN!L:M,2,FALSE),0)</f>
        <v>0</v>
      </c>
      <c r="Z187" s="358"/>
      <c r="AA187" s="353" t="e">
        <f ca="1">VLOOKUP(Tableau118[[#This Row],[Key(ID-Actif)]],'DATA BTO'!A:N,5,FALSE)</f>
        <v>#N/A</v>
      </c>
      <c r="AB187" s="3" t="e">
        <f ca="1">VLOOKUP(Tableau118[[#This Row],[Key(ID-Actif)]],'DATA BTO'!A:N,6,FALSE)</f>
        <v>#N/A</v>
      </c>
      <c r="AC187" s="50" t="e">
        <f ca="1">VLOOKUP(Tableau118[[#This Row],[Key(ID-Actif)]],'DATA BTO'!A:N,7,FALSE)</f>
        <v>#N/A</v>
      </c>
      <c r="AD187" s="50" t="e">
        <f ca="1">VLOOKUP(Tableau118[[#This Row],[Key(ID-Actif)]],'DATA BTO'!A:N,8,FALSE)</f>
        <v>#N/A</v>
      </c>
      <c r="AE187" s="50" t="e">
        <f ca="1">IF(Tableau118[[#This Row],[First Day to POL]]&lt;=Tableau118[[#This Row],[Day Cut Off]],Tableau118[[#This Row],[Day ETD]],Tableau118[[#This Row],[Day ETD]]+7)</f>
        <v>#N/A</v>
      </c>
      <c r="AF187" s="50" t="e">
        <f ca="1">VLOOKUP(Tableau118[[#This Row],[Key(ID-Actif)]],'DATA BTO'!A:N,9,FALSE)</f>
        <v>#N/A</v>
      </c>
      <c r="AG187" s="3" t="e">
        <f ca="1">VLOOKUP(Tableau118[[#This Row],[Key(ID-Actif)]],'DATA BTO'!A:N,10,FALSE)</f>
        <v>#N/A</v>
      </c>
      <c r="AH187" s="3" t="e">
        <f ca="1">VLOOKUP(Tableau118[[#This Row],[Key(ID-Actif)]],'DATA BTO'!A:N,11,FALSE)</f>
        <v>#N/A</v>
      </c>
      <c r="AI187" s="50" t="e">
        <f ca="1">VLOOKUP(Tableau118[[#This Row],[Key(ID-Actif)]],'DATA BTO'!A:N,12,FALSE)</f>
        <v>#N/A</v>
      </c>
      <c r="AJ187" s="53" t="e">
        <f ca="1">VLOOKUP(Tableau118[[#This Row],[Key(ID-Actif)]],'DATA BTO'!A:N,14,FALSE)</f>
        <v>#N/A</v>
      </c>
      <c r="AK187" s="54" t="e">
        <f ca="1">VLOOKUP(Tableau118[[#This Row],[Key(POD -PFI- Usine)]],'DATA Consignee'!A:F,6,FALSE)</f>
        <v>#N/A</v>
      </c>
      <c r="AL187" s="125"/>
      <c r="AM187" s="483" t="str">
        <f>IF(Tableau118[[#This Row],[Name PFI/CDD]]="","-",VLOOKUP(Tableau118[[#This Row],[Name PFI/CDD]],Plant_AILN!I:J,2,FALSE))</f>
        <v>-</v>
      </c>
      <c r="AN18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7" s="2" t="e">
        <f ca="1">VLOOKUP(Tableau118[[#This Row],[Key(POD -PFI- Usine)]],'DATA Consignee'!A:J,10,FALSE)</f>
        <v>#N/A</v>
      </c>
      <c r="AQ187" s="50" t="e">
        <f ca="1">VLOOKUP(Tableau118[[#This Row],[Key(POD -PFI- Usine)]],'DATA Consignee'!A:N,14,FALSE)</f>
        <v>#N/A</v>
      </c>
      <c r="AR18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7" s="50" t="e">
        <f ca="1">Tableau118[[#This Row],[Transit time]]+Tableau118[[#This Row],[Time for security]]+Tableau118[[#This Row],[Time for security2 buffer]]</f>
        <v>#N/A</v>
      </c>
      <c r="AU18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7" s="389" t="e">
        <f ca="1">Tableau118[[#This Row],[Leadtime SI2C]]+Tableau118[[#This Row],[First Receipt Days]]-Tableau118[[#This Row],[Day Customer Order]]+1</f>
        <v>#N/A</v>
      </c>
      <c r="AW187" s="117" t="e">
        <f ca="1">IF(Tableau118[[#This Row],[Name ILN]]&lt;&gt;"SFK Freight Forwarder",Tableau118[[#This Row],[Cust. Leadtime]],Tableau118[[#This Row],[Leadtime SI2C]])</f>
        <v>#N/A</v>
      </c>
      <c r="AX187" s="51" t="e">
        <f>VLOOKUP(Tableau118[[#This Row],[ID]],'DATA BTO'!B:P,15,FALSE)</f>
        <v>#N/A</v>
      </c>
      <c r="AY187" s="328" t="e">
        <f ca="1">IFERROR(VLOOKUP(Tableau118[[#This Row],[Key(ID-Actif)]],'DATA BTO'!A:N,4,FALSE),VLOOKUP(Tableau118[[#This Row],[ID]],'DATA BTO'!B:N,3,FALSE))</f>
        <v>#N/A</v>
      </c>
      <c r="AZ18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7" s="50"/>
    </row>
    <row r="188" spans="2:57">
      <c r="B188" s="65" t="str">
        <f>_xlfn.CONCAT(Tableau118[[#This Row],[Name ILN]],"-",Tableau118[[#This Row],[Name Shipper]],"-",Tableau118[[#This Row],[Name Site]])</f>
        <v>--</v>
      </c>
      <c r="C188" s="65" t="e">
        <f ca="1">_xlfn.CONCAT(Tableau118[[#This Row],[Compte ILN]],"-",Tableau118[[#This Row],[Compte Shipper]],"-",Tableau118[[#This Row],[POL]],"-",Tableau118[[#This Row],[Compte Site]])</f>
        <v>#N/A</v>
      </c>
      <c r="D188" s="64" t="e">
        <f ca="1">_xlfn.CONCAT(Tableau118[[#This Row],[Compte ILN]],"-",Tableau118[[#This Row],[Compte Shipper]],"-",Tableau118[[#This Row],[POL]])</f>
        <v>#N/A</v>
      </c>
      <c r="E188" s="396" t="e">
        <f ca="1">_xlfn.CONCAT(Tableau118[[#This Row],[POL]],"-",Tableau118[[#This Row],[Carrier]],"-",Tableau118[[#This Row],[POD]])</f>
        <v>#N/A</v>
      </c>
      <c r="F188" s="64" t="str">
        <f>_xlfn.CONCAT(Tableau118[[#This Row],[ID]],"-","Next")</f>
        <v>-Next</v>
      </c>
      <c r="G188" s="64" t="e">
        <f ca="1">_xlfn.CONCAT(Tableau118[[#This Row],[POD]],"-",Tableau118[[#This Row],[Code PFI]],"-",Tableau118[[#This Row],[Compte Site]])</f>
        <v>#N/A</v>
      </c>
      <c r="H18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8" s="397" t="str">
        <f ca="1">IF(COUNTIF(I:I,Tableau118[[#This Row],[Plant-ILN-shipper-POL-Carrier-POD-PFI]])=1,"Non","Oui")</f>
        <v>Oui</v>
      </c>
      <c r="K188" s="398" t="e">
        <f>VLOOKUP(Tableau118[[#This Row],[Name Site]],Plant_AILN!A:D,4,FALSE)</f>
        <v>#N/A</v>
      </c>
      <c r="L188" s="10"/>
      <c r="M188" s="480"/>
      <c r="N188" s="55"/>
      <c r="O188" s="122"/>
      <c r="P188" s="481"/>
      <c r="Q188" s="50"/>
      <c r="R188" s="50"/>
      <c r="S188" s="50"/>
      <c r="T188" s="50"/>
      <c r="U188" s="50"/>
      <c r="V188" s="50"/>
      <c r="W188" s="53"/>
      <c r="X188" s="283"/>
      <c r="Y188" s="500">
        <f>IFERROR(VLOOKUP(Tableau118[[#This Row],[Name Shipper]],Plant_AILN!L:M,2,FALSE),0)</f>
        <v>0</v>
      </c>
      <c r="Z188" s="358"/>
      <c r="AA188" s="353" t="e">
        <f ca="1">VLOOKUP(Tableau118[[#This Row],[Key(ID-Actif)]],'DATA BTO'!A:N,5,FALSE)</f>
        <v>#N/A</v>
      </c>
      <c r="AB188" s="3" t="e">
        <f ca="1">VLOOKUP(Tableau118[[#This Row],[Key(ID-Actif)]],'DATA BTO'!A:N,6,FALSE)</f>
        <v>#N/A</v>
      </c>
      <c r="AC188" s="50" t="e">
        <f ca="1">VLOOKUP(Tableau118[[#This Row],[Key(ID-Actif)]],'DATA BTO'!A:N,7,FALSE)</f>
        <v>#N/A</v>
      </c>
      <c r="AD188" s="50" t="e">
        <f ca="1">VLOOKUP(Tableau118[[#This Row],[Key(ID-Actif)]],'DATA BTO'!A:N,8,FALSE)</f>
        <v>#N/A</v>
      </c>
      <c r="AE188" s="50" t="e">
        <f ca="1">IF(Tableau118[[#This Row],[First Day to POL]]&lt;=Tableau118[[#This Row],[Day Cut Off]],Tableau118[[#This Row],[Day ETD]],Tableau118[[#This Row],[Day ETD]]+7)</f>
        <v>#N/A</v>
      </c>
      <c r="AF188" s="50" t="e">
        <f ca="1">VLOOKUP(Tableau118[[#This Row],[Key(ID-Actif)]],'DATA BTO'!A:N,9,FALSE)</f>
        <v>#N/A</v>
      </c>
      <c r="AG188" s="3" t="e">
        <f ca="1">VLOOKUP(Tableau118[[#This Row],[Key(ID-Actif)]],'DATA BTO'!A:N,10,FALSE)</f>
        <v>#N/A</v>
      </c>
      <c r="AH188" s="3" t="e">
        <f ca="1">VLOOKUP(Tableau118[[#This Row],[Key(ID-Actif)]],'DATA BTO'!A:N,11,FALSE)</f>
        <v>#N/A</v>
      </c>
      <c r="AI188" s="50" t="e">
        <f ca="1">VLOOKUP(Tableau118[[#This Row],[Key(ID-Actif)]],'DATA BTO'!A:N,12,FALSE)</f>
        <v>#N/A</v>
      </c>
      <c r="AJ188" s="53" t="e">
        <f ca="1">VLOOKUP(Tableau118[[#This Row],[Key(ID-Actif)]],'DATA BTO'!A:N,14,FALSE)</f>
        <v>#N/A</v>
      </c>
      <c r="AK188" s="54" t="e">
        <f ca="1">VLOOKUP(Tableau118[[#This Row],[Key(POD -PFI- Usine)]],'DATA Consignee'!A:F,6,FALSE)</f>
        <v>#N/A</v>
      </c>
      <c r="AL188" s="125"/>
      <c r="AM188" s="483" t="str">
        <f>IF(Tableau118[[#This Row],[Name PFI/CDD]]="","-",VLOOKUP(Tableau118[[#This Row],[Name PFI/CDD]],Plant_AILN!I:J,2,FALSE))</f>
        <v>-</v>
      </c>
      <c r="AN18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8" s="2" t="e">
        <f ca="1">VLOOKUP(Tableau118[[#This Row],[Key(POD -PFI- Usine)]],'DATA Consignee'!A:J,10,FALSE)</f>
        <v>#N/A</v>
      </c>
      <c r="AQ188" s="50" t="e">
        <f ca="1">VLOOKUP(Tableau118[[#This Row],[Key(POD -PFI- Usine)]],'DATA Consignee'!A:N,14,FALSE)</f>
        <v>#N/A</v>
      </c>
      <c r="AR18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8" s="50" t="e">
        <f ca="1">Tableau118[[#This Row],[Transit time]]+Tableau118[[#This Row],[Time for security]]+Tableau118[[#This Row],[Time for security2 buffer]]</f>
        <v>#N/A</v>
      </c>
      <c r="AU18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8" s="389" t="e">
        <f ca="1">Tableau118[[#This Row],[Leadtime SI2C]]+Tableau118[[#This Row],[First Receipt Days]]-Tableau118[[#This Row],[Day Customer Order]]+1</f>
        <v>#N/A</v>
      </c>
      <c r="AW188" s="117" t="e">
        <f ca="1">IF(Tableau118[[#This Row],[Name ILN]]&lt;&gt;"SFK Freight Forwarder",Tableau118[[#This Row],[Cust. Leadtime]],Tableau118[[#This Row],[Leadtime SI2C]])</f>
        <v>#N/A</v>
      </c>
      <c r="AX188" s="51" t="e">
        <f>VLOOKUP(Tableau118[[#This Row],[ID]],'DATA BTO'!B:P,15,FALSE)</f>
        <v>#N/A</v>
      </c>
      <c r="AY188" s="328" t="e">
        <f ca="1">IFERROR(VLOOKUP(Tableau118[[#This Row],[Key(ID-Actif)]],'DATA BTO'!A:N,4,FALSE),VLOOKUP(Tableau118[[#This Row],[ID]],'DATA BTO'!B:N,3,FALSE))</f>
        <v>#N/A</v>
      </c>
      <c r="AZ18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8" s="51" t="s">
        <v>192</v>
      </c>
    </row>
    <row r="189" spans="2:57">
      <c r="B189" s="65" t="str">
        <f>_xlfn.CONCAT(Tableau118[[#This Row],[Name ILN]],"-",Tableau118[[#This Row],[Name Shipper]],"-",Tableau118[[#This Row],[Name Site]])</f>
        <v>--</v>
      </c>
      <c r="C189" s="65" t="e">
        <f ca="1">_xlfn.CONCAT(Tableau118[[#This Row],[Compte ILN]],"-",Tableau118[[#This Row],[Compte Shipper]],"-",Tableau118[[#This Row],[POL]],"-",Tableau118[[#This Row],[Compte Site]])</f>
        <v>#N/A</v>
      </c>
      <c r="D189" s="64" t="e">
        <f ca="1">_xlfn.CONCAT(Tableau118[[#This Row],[Compte ILN]],"-",Tableau118[[#This Row],[Compte Shipper]],"-",Tableau118[[#This Row],[POL]])</f>
        <v>#N/A</v>
      </c>
      <c r="E189" s="396" t="e">
        <f ca="1">_xlfn.CONCAT(Tableau118[[#This Row],[POL]],"-",Tableau118[[#This Row],[Carrier]],"-",Tableau118[[#This Row],[POD]])</f>
        <v>#N/A</v>
      </c>
      <c r="F189" s="64" t="str">
        <f>_xlfn.CONCAT(Tableau118[[#This Row],[ID]],"-","Next")</f>
        <v>-Next</v>
      </c>
      <c r="G189" s="64" t="e">
        <f ca="1">_xlfn.CONCAT(Tableau118[[#This Row],[POD]],"-",Tableau118[[#This Row],[Code PFI]],"-",Tableau118[[#This Row],[Compte Site]])</f>
        <v>#N/A</v>
      </c>
      <c r="H18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8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89" s="397" t="str">
        <f ca="1">IF(COUNTIF(I:I,Tableau118[[#This Row],[Plant-ILN-shipper-POL-Carrier-POD-PFI]])=1,"Non","Oui")</f>
        <v>Oui</v>
      </c>
      <c r="K189" s="398" t="e">
        <f>VLOOKUP(Tableau118[[#This Row],[Name Site]],Plant_AILN!A:D,4,FALSE)</f>
        <v>#N/A</v>
      </c>
      <c r="L189" s="10"/>
      <c r="M189" s="480"/>
      <c r="N189" s="55"/>
      <c r="O189" s="122"/>
      <c r="P189" s="481"/>
      <c r="Q189" s="50"/>
      <c r="R189" s="50"/>
      <c r="S189" s="50"/>
      <c r="T189" s="50"/>
      <c r="U189" s="50"/>
      <c r="V189" s="50"/>
      <c r="W189" s="53"/>
      <c r="X189" s="283"/>
      <c r="Y189" s="500">
        <f>IFERROR(VLOOKUP(Tableau118[[#This Row],[Name Shipper]],Plant_AILN!L:M,2,FALSE),0)</f>
        <v>0</v>
      </c>
      <c r="Z189" s="358"/>
      <c r="AA189" s="353" t="e">
        <f ca="1">VLOOKUP(Tableau118[[#This Row],[Key(ID-Actif)]],'DATA BTO'!A:N,5,FALSE)</f>
        <v>#N/A</v>
      </c>
      <c r="AB189" s="3" t="e">
        <f ca="1">VLOOKUP(Tableau118[[#This Row],[Key(ID-Actif)]],'DATA BTO'!A:N,6,FALSE)</f>
        <v>#N/A</v>
      </c>
      <c r="AC189" s="50" t="e">
        <f ca="1">VLOOKUP(Tableau118[[#This Row],[Key(ID-Actif)]],'DATA BTO'!A:N,7,FALSE)</f>
        <v>#N/A</v>
      </c>
      <c r="AD189" s="50" t="e">
        <f ca="1">VLOOKUP(Tableau118[[#This Row],[Key(ID-Actif)]],'DATA BTO'!A:N,8,FALSE)</f>
        <v>#N/A</v>
      </c>
      <c r="AE189" s="50" t="e">
        <f ca="1">IF(Tableau118[[#This Row],[First Day to POL]]&lt;=Tableau118[[#This Row],[Day Cut Off]],Tableau118[[#This Row],[Day ETD]],Tableau118[[#This Row],[Day ETD]]+7)</f>
        <v>#N/A</v>
      </c>
      <c r="AF189" s="50" t="e">
        <f ca="1">VLOOKUP(Tableau118[[#This Row],[Key(ID-Actif)]],'DATA BTO'!A:N,9,FALSE)</f>
        <v>#N/A</v>
      </c>
      <c r="AG189" s="3" t="e">
        <f ca="1">VLOOKUP(Tableau118[[#This Row],[Key(ID-Actif)]],'DATA BTO'!A:N,10,FALSE)</f>
        <v>#N/A</v>
      </c>
      <c r="AH189" s="3" t="e">
        <f ca="1">VLOOKUP(Tableau118[[#This Row],[Key(ID-Actif)]],'DATA BTO'!A:N,11,FALSE)</f>
        <v>#N/A</v>
      </c>
      <c r="AI189" s="50" t="e">
        <f ca="1">VLOOKUP(Tableau118[[#This Row],[Key(ID-Actif)]],'DATA BTO'!A:N,12,FALSE)</f>
        <v>#N/A</v>
      </c>
      <c r="AJ189" s="53" t="e">
        <f ca="1">VLOOKUP(Tableau118[[#This Row],[Key(ID-Actif)]],'DATA BTO'!A:N,14,FALSE)</f>
        <v>#N/A</v>
      </c>
      <c r="AK189" s="54" t="e">
        <f ca="1">VLOOKUP(Tableau118[[#This Row],[Key(POD -PFI- Usine)]],'DATA Consignee'!A:F,6,FALSE)</f>
        <v>#N/A</v>
      </c>
      <c r="AL189" s="125" t="s">
        <v>158</v>
      </c>
      <c r="AM189" s="483">
        <f>IF(Tableau118[[#This Row],[Name PFI/CDD]]="","-",VLOOKUP(Tableau118[[#This Row],[Name PFI/CDD]],Plant_AILN!I:J,2,FALSE))</f>
        <v>2839004</v>
      </c>
      <c r="AN18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8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89" s="2" t="e">
        <f ca="1">VLOOKUP(Tableau118[[#This Row],[Key(POD -PFI- Usine)]],'DATA Consignee'!A:J,10,FALSE)</f>
        <v>#N/A</v>
      </c>
      <c r="AQ189" s="50" t="e">
        <f ca="1">VLOOKUP(Tableau118[[#This Row],[Key(POD -PFI- Usine)]],'DATA Consignee'!A:N,14,FALSE)</f>
        <v>#N/A</v>
      </c>
      <c r="AR18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8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89" s="50" t="e">
        <f ca="1">Tableau118[[#This Row],[Transit time]]+Tableau118[[#This Row],[Time for security]]+Tableau118[[#This Row],[Time for security2 buffer]]</f>
        <v>#N/A</v>
      </c>
      <c r="AU18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89" s="389" t="e">
        <f ca="1">Tableau118[[#This Row],[Leadtime SI2C]]+Tableau118[[#This Row],[First Receipt Days]]-Tableau118[[#This Row],[Day Customer Order]]+1</f>
        <v>#N/A</v>
      </c>
      <c r="AW189" s="117" t="e">
        <f ca="1">IF(Tableau118[[#This Row],[Name ILN]]&lt;&gt;"SFK Freight Forwarder",Tableau118[[#This Row],[Cust. Leadtime]],Tableau118[[#This Row],[Leadtime SI2C]])</f>
        <v>#N/A</v>
      </c>
      <c r="AX189" s="51" t="e">
        <f>VLOOKUP(Tableau118[[#This Row],[ID]],'DATA BTO'!B:P,15,FALSE)</f>
        <v>#N/A</v>
      </c>
      <c r="AY189" s="328" t="e">
        <f ca="1">IFERROR(VLOOKUP(Tableau118[[#This Row],[Key(ID-Actif)]],'DATA BTO'!A:N,4,FALSE),VLOOKUP(Tableau118[[#This Row],[ID]],'DATA BTO'!B:N,3,FALSE))</f>
        <v>#N/A</v>
      </c>
      <c r="AZ18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8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8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8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8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89" s="51" t="s">
        <v>192</v>
      </c>
    </row>
    <row r="190" spans="2:57">
      <c r="B190" s="65" t="str">
        <f>_xlfn.CONCAT(Tableau118[[#This Row],[Name ILN]],"-",Tableau118[[#This Row],[Name Shipper]],"-",Tableau118[[#This Row],[Name Site]])</f>
        <v>--</v>
      </c>
      <c r="C190" s="65" t="e">
        <f ca="1">_xlfn.CONCAT(Tableau118[[#This Row],[Compte ILN]],"-",Tableau118[[#This Row],[Compte Shipper]],"-",Tableau118[[#This Row],[POL]],"-",Tableau118[[#This Row],[Compte Site]])</f>
        <v>#N/A</v>
      </c>
      <c r="D190" s="64" t="e">
        <f ca="1">_xlfn.CONCAT(Tableau118[[#This Row],[Compte ILN]],"-",Tableau118[[#This Row],[Compte Shipper]],"-",Tableau118[[#This Row],[POL]])</f>
        <v>#N/A</v>
      </c>
      <c r="E190" s="396" t="e">
        <f ca="1">_xlfn.CONCAT(Tableau118[[#This Row],[POL]],"-",Tableau118[[#This Row],[Carrier]],"-",Tableau118[[#This Row],[POD]])</f>
        <v>#N/A</v>
      </c>
      <c r="F190" s="64" t="str">
        <f>_xlfn.CONCAT(Tableau118[[#This Row],[ID]],"-","Next")</f>
        <v>-Next</v>
      </c>
      <c r="G190" s="64" t="e">
        <f ca="1">_xlfn.CONCAT(Tableau118[[#This Row],[POD]],"-",Tableau118[[#This Row],[Code PFI]],"-",Tableau118[[#This Row],[Compte Site]])</f>
        <v>#N/A</v>
      </c>
      <c r="H19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0" s="397" t="str">
        <f ca="1">IF(COUNTIF(I:I,Tableau118[[#This Row],[Plant-ILN-shipper-POL-Carrier-POD-PFI]])=1,"Non","Oui")</f>
        <v>Oui</v>
      </c>
      <c r="K190" s="398" t="e">
        <f>VLOOKUP(Tableau118[[#This Row],[Name Site]],Plant_AILN!A:D,4,FALSE)</f>
        <v>#N/A</v>
      </c>
      <c r="L190" s="10"/>
      <c r="M190" s="480"/>
      <c r="N190" s="55"/>
      <c r="O190" s="122"/>
      <c r="P190" s="481"/>
      <c r="Q190" s="50"/>
      <c r="R190" s="50"/>
      <c r="S190" s="50"/>
      <c r="T190" s="50"/>
      <c r="U190" s="50"/>
      <c r="V190" s="50"/>
      <c r="W190" s="53"/>
      <c r="X190" s="283"/>
      <c r="Y190" s="500">
        <f>IFERROR(VLOOKUP(Tableau118[[#This Row],[Name Shipper]],Plant_AILN!L:M,2,FALSE),0)</f>
        <v>0</v>
      </c>
      <c r="Z190" s="358"/>
      <c r="AA190" s="353" t="e">
        <f ca="1">VLOOKUP(Tableau118[[#This Row],[Key(ID-Actif)]],'DATA BTO'!A:N,5,FALSE)</f>
        <v>#N/A</v>
      </c>
      <c r="AB190" s="3" t="e">
        <f ca="1">VLOOKUP(Tableau118[[#This Row],[Key(ID-Actif)]],'DATA BTO'!A:N,6,FALSE)</f>
        <v>#N/A</v>
      </c>
      <c r="AC190" s="50" t="e">
        <f ca="1">VLOOKUP(Tableau118[[#This Row],[Key(ID-Actif)]],'DATA BTO'!A:N,7,FALSE)</f>
        <v>#N/A</v>
      </c>
      <c r="AD190" s="50" t="e">
        <f ca="1">VLOOKUP(Tableau118[[#This Row],[Key(ID-Actif)]],'DATA BTO'!A:N,8,FALSE)</f>
        <v>#N/A</v>
      </c>
      <c r="AE190" s="50" t="e">
        <f ca="1">IF(Tableau118[[#This Row],[First Day to POL]]&lt;=Tableau118[[#This Row],[Day Cut Off]],Tableau118[[#This Row],[Day ETD]],Tableau118[[#This Row],[Day ETD]]+7)</f>
        <v>#N/A</v>
      </c>
      <c r="AF190" s="50" t="e">
        <f ca="1">VLOOKUP(Tableau118[[#This Row],[Key(ID-Actif)]],'DATA BTO'!A:N,9,FALSE)</f>
        <v>#N/A</v>
      </c>
      <c r="AG190" s="3" t="e">
        <f ca="1">VLOOKUP(Tableau118[[#This Row],[Key(ID-Actif)]],'DATA BTO'!A:N,10,FALSE)</f>
        <v>#N/A</v>
      </c>
      <c r="AH190" s="3" t="e">
        <f ca="1">VLOOKUP(Tableau118[[#This Row],[Key(ID-Actif)]],'DATA BTO'!A:N,11,FALSE)</f>
        <v>#N/A</v>
      </c>
      <c r="AI190" s="50" t="e">
        <f ca="1">VLOOKUP(Tableau118[[#This Row],[Key(ID-Actif)]],'DATA BTO'!A:N,12,FALSE)</f>
        <v>#N/A</v>
      </c>
      <c r="AJ190" s="53" t="e">
        <f ca="1">VLOOKUP(Tableau118[[#This Row],[Key(ID-Actif)]],'DATA BTO'!A:N,14,FALSE)</f>
        <v>#N/A</v>
      </c>
      <c r="AK190" s="54" t="e">
        <f ca="1">VLOOKUP(Tableau118[[#This Row],[Key(POD -PFI- Usine)]],'DATA Consignee'!A:F,6,FALSE)</f>
        <v>#N/A</v>
      </c>
      <c r="AL190" s="125"/>
      <c r="AM190" s="483" t="str">
        <f>IF(Tableau118[[#This Row],[Name PFI/CDD]]="","-",VLOOKUP(Tableau118[[#This Row],[Name PFI/CDD]],Plant_AILN!I:J,2,FALSE))</f>
        <v>-</v>
      </c>
      <c r="AN19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0" s="2" t="e">
        <f ca="1">VLOOKUP(Tableau118[[#This Row],[Key(POD -PFI- Usine)]],'DATA Consignee'!A:J,10,FALSE)</f>
        <v>#N/A</v>
      </c>
      <c r="AQ190" s="50" t="e">
        <f ca="1">VLOOKUP(Tableau118[[#This Row],[Key(POD -PFI- Usine)]],'DATA Consignee'!A:N,14,FALSE)</f>
        <v>#N/A</v>
      </c>
      <c r="AR19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0" s="50" t="e">
        <f ca="1">Tableau118[[#This Row],[Transit time]]+Tableau118[[#This Row],[Time for security]]+Tableau118[[#This Row],[Time for security2 buffer]]</f>
        <v>#N/A</v>
      </c>
      <c r="AU19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0" s="389" t="e">
        <f ca="1">Tableau118[[#This Row],[Leadtime SI2C]]+Tableau118[[#This Row],[First Receipt Days]]-Tableau118[[#This Row],[Day Customer Order]]+1</f>
        <v>#N/A</v>
      </c>
      <c r="AW190" s="117" t="e">
        <f ca="1">IF(Tableau118[[#This Row],[Name ILN]]&lt;&gt;"SFK Freight Forwarder",Tableau118[[#This Row],[Cust. Leadtime]],Tableau118[[#This Row],[Leadtime SI2C]])</f>
        <v>#N/A</v>
      </c>
      <c r="AX190" s="51" t="e">
        <f>VLOOKUP(Tableau118[[#This Row],[ID]],'DATA BTO'!B:P,15,FALSE)</f>
        <v>#N/A</v>
      </c>
      <c r="AY190" s="328" t="e">
        <f ca="1">IFERROR(VLOOKUP(Tableau118[[#This Row],[Key(ID-Actif)]],'DATA BTO'!A:N,4,FALSE),VLOOKUP(Tableau118[[#This Row],[ID]],'DATA BTO'!B:N,3,FALSE))</f>
        <v>#N/A</v>
      </c>
      <c r="AZ19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0" s="51" t="s">
        <v>192</v>
      </c>
    </row>
    <row r="191" spans="2:57">
      <c r="B191" s="65" t="str">
        <f>_xlfn.CONCAT(Tableau118[[#This Row],[Name ILN]],"-",Tableau118[[#This Row],[Name Shipper]],"-",Tableau118[[#This Row],[Name Site]])</f>
        <v>--</v>
      </c>
      <c r="C191" s="65" t="e">
        <f ca="1">_xlfn.CONCAT(Tableau118[[#This Row],[Compte ILN]],"-",Tableau118[[#This Row],[Compte Shipper]],"-",Tableau118[[#This Row],[POL]],"-",Tableau118[[#This Row],[Compte Site]])</f>
        <v>#N/A</v>
      </c>
      <c r="D191" s="64" t="e">
        <f ca="1">_xlfn.CONCAT(Tableau118[[#This Row],[Compte ILN]],"-",Tableau118[[#This Row],[Compte Shipper]],"-",Tableau118[[#This Row],[POL]])</f>
        <v>#N/A</v>
      </c>
      <c r="E191" s="396" t="e">
        <f ca="1">_xlfn.CONCAT(Tableau118[[#This Row],[POL]],"-",Tableau118[[#This Row],[Carrier]],"-",Tableau118[[#This Row],[POD]])</f>
        <v>#N/A</v>
      </c>
      <c r="F191" s="64" t="str">
        <f>_xlfn.CONCAT(Tableau118[[#This Row],[ID]],"-","Next")</f>
        <v>-Next</v>
      </c>
      <c r="G191" s="64" t="e">
        <f ca="1">_xlfn.CONCAT(Tableau118[[#This Row],[POD]],"-",Tableau118[[#This Row],[Code PFI]],"-",Tableau118[[#This Row],[Compte Site]])</f>
        <v>#N/A</v>
      </c>
      <c r="H19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1" s="397" t="str">
        <f ca="1">IF(COUNTIF(I:I,Tableau118[[#This Row],[Plant-ILN-shipper-POL-Carrier-POD-PFI]])=1,"Non","Oui")</f>
        <v>Oui</v>
      </c>
      <c r="K191" s="398" t="e">
        <f>VLOOKUP(Tableau118[[#This Row],[Name Site]],Plant_AILN!A:D,4,FALSE)</f>
        <v>#N/A</v>
      </c>
      <c r="L191" s="363"/>
      <c r="M191" s="480"/>
      <c r="N191" s="55"/>
      <c r="O191" s="122"/>
      <c r="P191" s="481"/>
      <c r="Q191" s="50"/>
      <c r="R191" s="50"/>
      <c r="S191" s="50"/>
      <c r="T191" s="50"/>
      <c r="U191" s="50"/>
      <c r="V191" s="50"/>
      <c r="W191" s="53"/>
      <c r="X191" s="283"/>
      <c r="Y191" s="482">
        <f>IFERROR(VLOOKUP(Tableau118[[#This Row],[Name Shipper]],Plant_AILN!L:M,2,FALSE),0)</f>
        <v>0</v>
      </c>
      <c r="Z191" s="358"/>
      <c r="AA191" s="353" t="e">
        <f ca="1">VLOOKUP(Tableau118[[#This Row],[Key(ID-Actif)]],'DATA BTO'!A:N,5,FALSE)</f>
        <v>#N/A</v>
      </c>
      <c r="AB191" s="3" t="e">
        <f ca="1">VLOOKUP(Tableau118[[#This Row],[Key(ID-Actif)]],'DATA BTO'!A:N,6,FALSE)</f>
        <v>#N/A</v>
      </c>
      <c r="AC191" s="50" t="e">
        <f ca="1">VLOOKUP(Tableau118[[#This Row],[Key(ID-Actif)]],'DATA BTO'!A:N,7,FALSE)</f>
        <v>#N/A</v>
      </c>
      <c r="AD191" s="50" t="e">
        <f ca="1">VLOOKUP(Tableau118[[#This Row],[Key(ID-Actif)]],'DATA BTO'!A:N,8,FALSE)</f>
        <v>#N/A</v>
      </c>
      <c r="AE191" s="50" t="e">
        <f ca="1">IF(Tableau118[[#This Row],[First Day to POL]]&lt;=Tableau118[[#This Row],[Day Cut Off]],Tableau118[[#This Row],[Day ETD]],Tableau118[[#This Row],[Day ETD]]+7)</f>
        <v>#N/A</v>
      </c>
      <c r="AF191" s="50" t="e">
        <f ca="1">VLOOKUP(Tableau118[[#This Row],[Key(ID-Actif)]],'DATA BTO'!A:N,9,FALSE)</f>
        <v>#N/A</v>
      </c>
      <c r="AG191" s="3" t="e">
        <f ca="1">VLOOKUP(Tableau118[[#This Row],[Key(ID-Actif)]],'DATA BTO'!A:N,10,FALSE)</f>
        <v>#N/A</v>
      </c>
      <c r="AH191" s="3" t="e">
        <f ca="1">VLOOKUP(Tableau118[[#This Row],[Key(ID-Actif)]],'DATA BTO'!A:N,11,FALSE)</f>
        <v>#N/A</v>
      </c>
      <c r="AI191" s="50" t="e">
        <f ca="1">VLOOKUP(Tableau118[[#This Row],[Key(ID-Actif)]],'DATA BTO'!A:N,12,FALSE)</f>
        <v>#N/A</v>
      </c>
      <c r="AJ191" s="53" t="e">
        <f ca="1">VLOOKUP(Tableau118[[#This Row],[Key(ID-Actif)]],'DATA BTO'!A:N,14,FALSE)</f>
        <v>#N/A</v>
      </c>
      <c r="AK191" s="54" t="e">
        <f ca="1">VLOOKUP(Tableau118[[#This Row],[Key(POD -PFI- Usine)]],'DATA Consignee'!A:F,6,FALSE)</f>
        <v>#N/A</v>
      </c>
      <c r="AL191" s="125" t="s">
        <v>166</v>
      </c>
      <c r="AM191" s="483">
        <f>IF(Tableau118[[#This Row],[Name PFI/CDD]]="","-",VLOOKUP(Tableau118[[#This Row],[Name PFI/CDD]],Plant_AILN!I:J,2,FALSE))</f>
        <v>91018400</v>
      </c>
      <c r="AN191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91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91" s="2" t="e">
        <f ca="1">VLOOKUP(Tableau118[[#This Row],[Key(POD -PFI- Usine)]],'DATA Consignee'!A:J,10,FALSE)</f>
        <v>#N/A</v>
      </c>
      <c r="AQ191" s="50" t="e">
        <f ca="1">VLOOKUP(Tableau118[[#This Row],[Key(POD -PFI- Usine)]],'DATA Consignee'!A:N,14,FALSE)</f>
        <v>#N/A</v>
      </c>
      <c r="AR19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1" s="50" t="e">
        <f ca="1">Tableau118[[#This Row],[Transit time]]+Tableau118[[#This Row],[Time for security]]+Tableau118[[#This Row],[Time for security2 buffer]]</f>
        <v>#N/A</v>
      </c>
      <c r="AU19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1" s="389" t="e">
        <f ca="1">Tableau118[[#This Row],[Leadtime SI2C]]+Tableau118[[#This Row],[First Receipt Days]]-Tableau118[[#This Row],[Day Customer Order]]+1</f>
        <v>#N/A</v>
      </c>
      <c r="AW191" s="117" t="e">
        <f ca="1">IF(Tableau118[[#This Row],[Name ILN]]&lt;&gt;"SFK Freight Forwarder",Tableau118[[#This Row],[Cust. Leadtime]],Tableau118[[#This Row],[Leadtime SI2C]])</f>
        <v>#N/A</v>
      </c>
      <c r="AX191" s="51" t="e">
        <f>VLOOKUP(Tableau118[[#This Row],[ID]],'DATA BTO'!B:P,15,FALSE)</f>
        <v>#N/A</v>
      </c>
      <c r="AY191" s="328" t="e">
        <f ca="1">IFERROR(VLOOKUP(Tableau118[[#This Row],[Key(ID-Actif)]],'DATA BTO'!A:N,4,FALSE),VLOOKUP(Tableau118[[#This Row],[ID]],'DATA BTO'!B:N,3,FALSE))</f>
        <v>#N/A</v>
      </c>
      <c r="AZ19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1" s="50"/>
    </row>
    <row r="192" spans="2:57">
      <c r="B192" s="65" t="str">
        <f>_xlfn.CONCAT(Tableau118[[#This Row],[Name ILN]],"-",Tableau118[[#This Row],[Name Shipper]],"-",Tableau118[[#This Row],[Name Site]])</f>
        <v>--</v>
      </c>
      <c r="C192" s="65" t="e">
        <f ca="1">_xlfn.CONCAT(Tableau118[[#This Row],[Compte ILN]],"-",Tableau118[[#This Row],[Compte Shipper]],"-",Tableau118[[#This Row],[POL]],"-",Tableau118[[#This Row],[Compte Site]])</f>
        <v>#N/A</v>
      </c>
      <c r="D192" s="64" t="e">
        <f ca="1">_xlfn.CONCAT(Tableau118[[#This Row],[Compte ILN]],"-",Tableau118[[#This Row],[Compte Shipper]],"-",Tableau118[[#This Row],[POL]])</f>
        <v>#N/A</v>
      </c>
      <c r="E192" s="396" t="e">
        <f ca="1">_xlfn.CONCAT(Tableau118[[#This Row],[POL]],"-",Tableau118[[#This Row],[Carrier]],"-",Tableau118[[#This Row],[POD]])</f>
        <v>#N/A</v>
      </c>
      <c r="F192" s="64" t="str">
        <f>_xlfn.CONCAT(Tableau118[[#This Row],[ID]],"-","Next")</f>
        <v>-Next</v>
      </c>
      <c r="G192" s="64" t="e">
        <f ca="1">_xlfn.CONCAT(Tableau118[[#This Row],[POD]],"-",Tableau118[[#This Row],[Code PFI]],"-",Tableau118[[#This Row],[Compte Site]])</f>
        <v>#N/A</v>
      </c>
      <c r="H19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2" s="397" t="str">
        <f ca="1">IF(COUNTIF(I:I,Tableau118[[#This Row],[Plant-ILN-shipper-POL-Carrier-POD-PFI]])=1,"Non","Oui")</f>
        <v>Oui</v>
      </c>
      <c r="K192" s="398" t="e">
        <f>VLOOKUP(Tableau118[[#This Row],[Name Site]],Plant_AILN!A:D,4,FALSE)</f>
        <v>#N/A</v>
      </c>
      <c r="L192" s="363"/>
      <c r="M192" s="480"/>
      <c r="N192" s="55"/>
      <c r="O192" s="122"/>
      <c r="P192" s="481"/>
      <c r="Q192" s="50"/>
      <c r="R192" s="50"/>
      <c r="S192" s="50"/>
      <c r="T192" s="50"/>
      <c r="U192" s="50"/>
      <c r="V192" s="50"/>
      <c r="W192" s="53"/>
      <c r="X192" s="283"/>
      <c r="Y192" s="482">
        <f>IFERROR(VLOOKUP(Tableau118[[#This Row],[Name Shipper]],Plant_AILN!L:M,2,FALSE),0)</f>
        <v>0</v>
      </c>
      <c r="Z192" s="358"/>
      <c r="AA192" s="353" t="e">
        <f ca="1">VLOOKUP(Tableau118[[#This Row],[Key(ID-Actif)]],'DATA BTO'!A:N,5,FALSE)</f>
        <v>#N/A</v>
      </c>
      <c r="AB192" s="3" t="e">
        <f ca="1">VLOOKUP(Tableau118[[#This Row],[Key(ID-Actif)]],'DATA BTO'!A:N,6,FALSE)</f>
        <v>#N/A</v>
      </c>
      <c r="AC192" s="50" t="e">
        <f ca="1">VLOOKUP(Tableau118[[#This Row],[Key(ID-Actif)]],'DATA BTO'!A:N,7,FALSE)</f>
        <v>#N/A</v>
      </c>
      <c r="AD192" s="50" t="e">
        <f ca="1">VLOOKUP(Tableau118[[#This Row],[Key(ID-Actif)]],'DATA BTO'!A:N,8,FALSE)</f>
        <v>#N/A</v>
      </c>
      <c r="AE192" s="50" t="e">
        <f ca="1">IF(Tableau118[[#This Row],[First Day to POL]]&lt;=Tableau118[[#This Row],[Day Cut Off]],Tableau118[[#This Row],[Day ETD]],Tableau118[[#This Row],[Day ETD]]+7)</f>
        <v>#N/A</v>
      </c>
      <c r="AF192" s="50" t="e">
        <f ca="1">VLOOKUP(Tableau118[[#This Row],[Key(ID-Actif)]],'DATA BTO'!A:N,9,FALSE)</f>
        <v>#N/A</v>
      </c>
      <c r="AG192" s="3" t="e">
        <f ca="1">VLOOKUP(Tableau118[[#This Row],[Key(ID-Actif)]],'DATA BTO'!A:N,10,FALSE)</f>
        <v>#N/A</v>
      </c>
      <c r="AH192" s="3" t="e">
        <f ca="1">VLOOKUP(Tableau118[[#This Row],[Key(ID-Actif)]],'DATA BTO'!A:N,11,FALSE)</f>
        <v>#N/A</v>
      </c>
      <c r="AI192" s="50" t="e">
        <f ca="1">VLOOKUP(Tableau118[[#This Row],[Key(ID-Actif)]],'DATA BTO'!A:N,12,FALSE)</f>
        <v>#N/A</v>
      </c>
      <c r="AJ192" s="53" t="e">
        <f ca="1">VLOOKUP(Tableau118[[#This Row],[Key(ID-Actif)]],'DATA BTO'!A:N,14,FALSE)</f>
        <v>#N/A</v>
      </c>
      <c r="AK192" s="54" t="e">
        <f ca="1">VLOOKUP(Tableau118[[#This Row],[Key(POD -PFI- Usine)]],'DATA Consignee'!A:F,6,FALSE)</f>
        <v>#N/A</v>
      </c>
      <c r="AL192" s="125" t="s">
        <v>166</v>
      </c>
      <c r="AM192" s="483">
        <f>IF(Tableau118[[#This Row],[Name PFI/CDD]]="","-",VLOOKUP(Tableau118[[#This Row],[Name PFI/CDD]],Plant_AILN!I:J,2,FALSE))</f>
        <v>91018400</v>
      </c>
      <c r="AN192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92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92" s="2" t="e">
        <f ca="1">VLOOKUP(Tableau118[[#This Row],[Key(POD -PFI- Usine)]],'DATA Consignee'!A:J,10,FALSE)</f>
        <v>#N/A</v>
      </c>
      <c r="AQ192" s="50" t="e">
        <f ca="1">VLOOKUP(Tableau118[[#This Row],[Key(POD -PFI- Usine)]],'DATA Consignee'!A:N,14,FALSE)</f>
        <v>#N/A</v>
      </c>
      <c r="AR19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2" s="50" t="e">
        <f ca="1">Tableau118[[#This Row],[Transit time]]+Tableau118[[#This Row],[Time for security]]+Tableau118[[#This Row],[Time for security2 buffer]]</f>
        <v>#N/A</v>
      </c>
      <c r="AU19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2" s="389" t="e">
        <f ca="1">Tableau118[[#This Row],[Leadtime SI2C]]+Tableau118[[#This Row],[First Receipt Days]]-Tableau118[[#This Row],[Day Customer Order]]+1</f>
        <v>#N/A</v>
      </c>
      <c r="AW192" s="117" t="e">
        <f ca="1">IF(Tableau118[[#This Row],[Name ILN]]&lt;&gt;"SFK Freight Forwarder",Tableau118[[#This Row],[Cust. Leadtime]],Tableau118[[#This Row],[Leadtime SI2C]])</f>
        <v>#N/A</v>
      </c>
      <c r="AX192" s="51" t="e">
        <f>VLOOKUP(Tableau118[[#This Row],[ID]],'DATA BTO'!B:P,15,FALSE)</f>
        <v>#N/A</v>
      </c>
      <c r="AY192" s="328" t="e">
        <f ca="1">IFERROR(VLOOKUP(Tableau118[[#This Row],[Key(ID-Actif)]],'DATA BTO'!A:N,4,FALSE),VLOOKUP(Tableau118[[#This Row],[ID]],'DATA BTO'!B:N,3,FALSE))</f>
        <v>#N/A</v>
      </c>
      <c r="AZ19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2" s="50"/>
    </row>
    <row r="193" spans="2:57">
      <c r="B193" s="65" t="str">
        <f>_xlfn.CONCAT(Tableau118[[#This Row],[Name ILN]],"-",Tableau118[[#This Row],[Name Shipper]],"-",Tableau118[[#This Row],[Name Site]])</f>
        <v>--</v>
      </c>
      <c r="C193" s="65" t="e">
        <f ca="1">_xlfn.CONCAT(Tableau118[[#This Row],[Compte ILN]],"-",Tableau118[[#This Row],[Compte Shipper]],"-",Tableau118[[#This Row],[POL]],"-",Tableau118[[#This Row],[Compte Site]])</f>
        <v>#N/A</v>
      </c>
      <c r="D193" s="64" t="e">
        <f ca="1">_xlfn.CONCAT(Tableau118[[#This Row],[Compte ILN]],"-",Tableau118[[#This Row],[Compte Shipper]],"-",Tableau118[[#This Row],[POL]])</f>
        <v>#N/A</v>
      </c>
      <c r="E193" s="396" t="e">
        <f ca="1">_xlfn.CONCAT(Tableau118[[#This Row],[POL]],"-",Tableau118[[#This Row],[Carrier]],"-",Tableau118[[#This Row],[POD]])</f>
        <v>#N/A</v>
      </c>
      <c r="F193" s="64" t="str">
        <f>_xlfn.CONCAT(Tableau118[[#This Row],[ID]],"-","Next")</f>
        <v>-Next</v>
      </c>
      <c r="G193" s="64" t="e">
        <f ca="1">_xlfn.CONCAT(Tableau118[[#This Row],[POD]],"-",Tableau118[[#This Row],[Code PFI]],"-",Tableau118[[#This Row],[Compte Site]])</f>
        <v>#N/A</v>
      </c>
      <c r="H19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3" s="397" t="str">
        <f ca="1">IF(COUNTIF(I:I,Tableau118[[#This Row],[Plant-ILN-shipper-POL-Carrier-POD-PFI]])=1,"Non","Oui")</f>
        <v>Oui</v>
      </c>
      <c r="K193" s="398" t="e">
        <f>VLOOKUP(Tableau118[[#This Row],[Name Site]],Plant_AILN!A:D,4,FALSE)</f>
        <v>#N/A</v>
      </c>
      <c r="L193" s="363"/>
      <c r="M193" s="480"/>
      <c r="N193" s="55"/>
      <c r="O193" s="122"/>
      <c r="P193" s="481"/>
      <c r="Q193" s="50"/>
      <c r="R193" s="50"/>
      <c r="S193" s="50"/>
      <c r="T193" s="50"/>
      <c r="U193" s="50"/>
      <c r="V193" s="50"/>
      <c r="W193" s="53"/>
      <c r="X193" s="283"/>
      <c r="Y193" s="482">
        <f>IFERROR(VLOOKUP(Tableau118[[#This Row],[Name Shipper]],Plant_AILN!L:M,2,FALSE),0)</f>
        <v>0</v>
      </c>
      <c r="Z193" s="358"/>
      <c r="AA193" s="353" t="e">
        <f ca="1">VLOOKUP(Tableau118[[#This Row],[Key(ID-Actif)]],'DATA BTO'!A:N,5,FALSE)</f>
        <v>#N/A</v>
      </c>
      <c r="AB193" s="3" t="e">
        <f ca="1">VLOOKUP(Tableau118[[#This Row],[Key(ID-Actif)]],'DATA BTO'!A:N,6,FALSE)</f>
        <v>#N/A</v>
      </c>
      <c r="AC193" s="50" t="e">
        <f ca="1">VLOOKUP(Tableau118[[#This Row],[Key(ID-Actif)]],'DATA BTO'!A:N,7,FALSE)</f>
        <v>#N/A</v>
      </c>
      <c r="AD193" s="50" t="e">
        <f ca="1">VLOOKUP(Tableau118[[#This Row],[Key(ID-Actif)]],'DATA BTO'!A:N,8,FALSE)</f>
        <v>#N/A</v>
      </c>
      <c r="AE193" s="50" t="e">
        <f ca="1">IF(Tableau118[[#This Row],[First Day to POL]]&lt;=Tableau118[[#This Row],[Day Cut Off]],Tableau118[[#This Row],[Day ETD]],Tableau118[[#This Row],[Day ETD]]+7)</f>
        <v>#N/A</v>
      </c>
      <c r="AF193" s="50" t="e">
        <f ca="1">VLOOKUP(Tableau118[[#This Row],[Key(ID-Actif)]],'DATA BTO'!A:N,9,FALSE)</f>
        <v>#N/A</v>
      </c>
      <c r="AG193" s="3" t="e">
        <f ca="1">VLOOKUP(Tableau118[[#This Row],[Key(ID-Actif)]],'DATA BTO'!A:N,10,FALSE)</f>
        <v>#N/A</v>
      </c>
      <c r="AH193" s="3" t="e">
        <f ca="1">VLOOKUP(Tableau118[[#This Row],[Key(ID-Actif)]],'DATA BTO'!A:N,11,FALSE)</f>
        <v>#N/A</v>
      </c>
      <c r="AI193" s="50" t="e">
        <f ca="1">VLOOKUP(Tableau118[[#This Row],[Key(ID-Actif)]],'DATA BTO'!A:N,12,FALSE)</f>
        <v>#N/A</v>
      </c>
      <c r="AJ193" s="53" t="e">
        <f ca="1">VLOOKUP(Tableau118[[#This Row],[Key(ID-Actif)]],'DATA BTO'!A:N,14,FALSE)</f>
        <v>#N/A</v>
      </c>
      <c r="AK193" s="54" t="e">
        <f ca="1">VLOOKUP(Tableau118[[#This Row],[Key(POD -PFI- Usine)]],'DATA Consignee'!A:F,6,FALSE)</f>
        <v>#N/A</v>
      </c>
      <c r="AL193" s="125" t="s">
        <v>166</v>
      </c>
      <c r="AM193" s="483">
        <f>IF(Tableau118[[#This Row],[Name PFI/CDD]]="","-",VLOOKUP(Tableau118[[#This Row],[Name PFI/CDD]],Plant_AILN!I:J,2,FALSE))</f>
        <v>91018400</v>
      </c>
      <c r="AN193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193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193" s="2" t="e">
        <f ca="1">VLOOKUP(Tableau118[[#This Row],[Key(POD -PFI- Usine)]],'DATA Consignee'!A:J,10,FALSE)</f>
        <v>#N/A</v>
      </c>
      <c r="AQ193" s="50" t="e">
        <f ca="1">VLOOKUP(Tableau118[[#This Row],[Key(POD -PFI- Usine)]],'DATA Consignee'!A:N,14,FALSE)</f>
        <v>#N/A</v>
      </c>
      <c r="AR19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3" s="50" t="e">
        <f ca="1">Tableau118[[#This Row],[Transit time]]+Tableau118[[#This Row],[Time for security]]+Tableau118[[#This Row],[Time for security2 buffer]]</f>
        <v>#N/A</v>
      </c>
      <c r="AU19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3" s="389" t="e">
        <f ca="1">Tableau118[[#This Row],[Leadtime SI2C]]+Tableau118[[#This Row],[First Receipt Days]]-Tableau118[[#This Row],[Day Customer Order]]+1</f>
        <v>#N/A</v>
      </c>
      <c r="AW193" s="117" t="e">
        <f ca="1">IF(Tableau118[[#This Row],[Name ILN]]&lt;&gt;"SFK Freight Forwarder",Tableau118[[#This Row],[Cust. Leadtime]],Tableau118[[#This Row],[Leadtime SI2C]])</f>
        <v>#N/A</v>
      </c>
      <c r="AX193" s="51" t="e">
        <f>VLOOKUP(Tableau118[[#This Row],[ID]],'DATA BTO'!B:P,15,FALSE)</f>
        <v>#N/A</v>
      </c>
      <c r="AY193" s="328" t="e">
        <f ca="1">IFERROR(VLOOKUP(Tableau118[[#This Row],[Key(ID-Actif)]],'DATA BTO'!A:N,4,FALSE),VLOOKUP(Tableau118[[#This Row],[ID]],'DATA BTO'!B:N,3,FALSE))</f>
        <v>#N/A</v>
      </c>
      <c r="AZ19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3" s="50"/>
    </row>
    <row r="194" spans="2:57">
      <c r="B194" s="65" t="str">
        <f>_xlfn.CONCAT(Tableau118[[#This Row],[Name ILN]],"-",Tableau118[[#This Row],[Name Shipper]],"-",Tableau118[[#This Row],[Name Site]])</f>
        <v>--</v>
      </c>
      <c r="C194" s="65" t="e">
        <f ca="1">_xlfn.CONCAT(Tableau118[[#This Row],[Compte ILN]],"-",Tableau118[[#This Row],[Compte Shipper]],"-",Tableau118[[#This Row],[POL]],"-",Tableau118[[#This Row],[Compte Site]])</f>
        <v>#N/A</v>
      </c>
      <c r="D194" s="64" t="e">
        <f ca="1">_xlfn.CONCAT(Tableau118[[#This Row],[Compte ILN]],"-",Tableau118[[#This Row],[Compte Shipper]],"-",Tableau118[[#This Row],[POL]])</f>
        <v>#N/A</v>
      </c>
      <c r="E194" s="396" t="e">
        <f ca="1">_xlfn.CONCAT(Tableau118[[#This Row],[POL]],"-",Tableau118[[#This Row],[Carrier]],"-",Tableau118[[#This Row],[POD]])</f>
        <v>#N/A</v>
      </c>
      <c r="F194" s="64" t="str">
        <f>_xlfn.CONCAT(Tableau118[[#This Row],[ID]],"-","Next")</f>
        <v>-Next</v>
      </c>
      <c r="G194" s="64" t="e">
        <f ca="1">_xlfn.CONCAT(Tableau118[[#This Row],[POD]],"-",Tableau118[[#This Row],[Code PFI]],"-",Tableau118[[#This Row],[Compte Site]])</f>
        <v>#N/A</v>
      </c>
      <c r="H19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4" s="397" t="str">
        <f ca="1">IF(COUNTIF(I:I,Tableau118[[#This Row],[Plant-ILN-shipper-POL-Carrier-POD-PFI]])=1,"Non","Oui")</f>
        <v>Oui</v>
      </c>
      <c r="K194" s="398" t="e">
        <f>VLOOKUP(Tableau118[[#This Row],[Name Site]],Plant_AILN!A:D,4,FALSE)</f>
        <v>#N/A</v>
      </c>
      <c r="L194" s="363"/>
      <c r="M194" s="480"/>
      <c r="N194" s="55"/>
      <c r="O194" s="122"/>
      <c r="P194" s="481"/>
      <c r="Q194" s="50"/>
      <c r="R194" s="50"/>
      <c r="S194" s="50"/>
      <c r="T194" s="50"/>
      <c r="U194" s="50"/>
      <c r="V194" s="50"/>
      <c r="W194" s="53"/>
      <c r="X194" s="283"/>
      <c r="Y194" s="482">
        <f>IFERROR(VLOOKUP(Tableau118[[#This Row],[Name Shipper]],Plant_AILN!L:M,2,FALSE),0)</f>
        <v>0</v>
      </c>
      <c r="Z194" s="358"/>
      <c r="AA194" s="353" t="e">
        <f ca="1">VLOOKUP(Tableau118[[#This Row],[Key(ID-Actif)]],'DATA BTO'!A:N,5,FALSE)</f>
        <v>#N/A</v>
      </c>
      <c r="AB194" s="3" t="e">
        <f ca="1">VLOOKUP(Tableau118[[#This Row],[Key(ID-Actif)]],'DATA BTO'!A:N,6,FALSE)</f>
        <v>#N/A</v>
      </c>
      <c r="AC194" s="50" t="e">
        <f ca="1">VLOOKUP(Tableau118[[#This Row],[Key(ID-Actif)]],'DATA BTO'!A:N,7,FALSE)</f>
        <v>#N/A</v>
      </c>
      <c r="AD194" s="50" t="e">
        <f ca="1">VLOOKUP(Tableau118[[#This Row],[Key(ID-Actif)]],'DATA BTO'!A:N,8,FALSE)</f>
        <v>#N/A</v>
      </c>
      <c r="AE194" s="50" t="e">
        <f ca="1">IF(Tableau118[[#This Row],[First Day to POL]]&lt;=Tableau118[[#This Row],[Day Cut Off]],Tableau118[[#This Row],[Day ETD]],Tableau118[[#This Row],[Day ETD]]+7)</f>
        <v>#N/A</v>
      </c>
      <c r="AF194" s="50" t="e">
        <f ca="1">VLOOKUP(Tableau118[[#This Row],[Key(ID-Actif)]],'DATA BTO'!A:N,9,FALSE)</f>
        <v>#N/A</v>
      </c>
      <c r="AG194" s="3" t="e">
        <f ca="1">VLOOKUP(Tableau118[[#This Row],[Key(ID-Actif)]],'DATA BTO'!A:N,10,FALSE)</f>
        <v>#N/A</v>
      </c>
      <c r="AH194" s="3" t="e">
        <f ca="1">VLOOKUP(Tableau118[[#This Row],[Key(ID-Actif)]],'DATA BTO'!A:N,11,FALSE)</f>
        <v>#N/A</v>
      </c>
      <c r="AI194" s="50" t="e">
        <f ca="1">VLOOKUP(Tableau118[[#This Row],[Key(ID-Actif)]],'DATA BTO'!A:N,12,FALSE)</f>
        <v>#N/A</v>
      </c>
      <c r="AJ194" s="53" t="e">
        <f ca="1">VLOOKUP(Tableau118[[#This Row],[Key(ID-Actif)]],'DATA BTO'!A:N,14,FALSE)</f>
        <v>#N/A</v>
      </c>
      <c r="AK194" s="54" t="e">
        <f ca="1">VLOOKUP(Tableau118[[#This Row],[Key(POD -PFI- Usine)]],'DATA Consignee'!A:F,6,FALSE)</f>
        <v>#N/A</v>
      </c>
      <c r="AL194" s="125" t="s">
        <v>158</v>
      </c>
      <c r="AM194" s="483">
        <f>IF(Tableau118[[#This Row],[Name PFI/CDD]]="","-",VLOOKUP(Tableau118[[#This Row],[Name PFI/CDD]],Plant_AILN!I:J,2,FALSE))</f>
        <v>2839004</v>
      </c>
      <c r="AN19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4" s="2" t="e">
        <f ca="1">VLOOKUP(Tableau118[[#This Row],[Key(POD -PFI- Usine)]],'DATA Consignee'!A:J,10,FALSE)</f>
        <v>#N/A</v>
      </c>
      <c r="AQ194" s="50" t="e">
        <f ca="1">VLOOKUP(Tableau118[[#This Row],[Key(POD -PFI- Usine)]],'DATA Consignee'!A:N,14,FALSE)</f>
        <v>#N/A</v>
      </c>
      <c r="AR19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4" s="50" t="e">
        <f ca="1">Tableau118[[#This Row],[Transit time]]+Tableau118[[#This Row],[Time for security]]+Tableau118[[#This Row],[Time for security2 buffer]]</f>
        <v>#N/A</v>
      </c>
      <c r="AU19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4" s="389" t="e">
        <f ca="1">Tableau118[[#This Row],[Leadtime SI2C]]+Tableau118[[#This Row],[First Receipt Days]]-Tableau118[[#This Row],[Day Customer Order]]+1</f>
        <v>#N/A</v>
      </c>
      <c r="AW194" s="117" t="e">
        <f ca="1">IF(Tableau118[[#This Row],[Name ILN]]&lt;&gt;"SFK Freight Forwarder",Tableau118[[#This Row],[Cust. Leadtime]],Tableau118[[#This Row],[Leadtime SI2C]])</f>
        <v>#N/A</v>
      </c>
      <c r="AX194" s="51" t="e">
        <f>VLOOKUP(Tableau118[[#This Row],[ID]],'DATA BTO'!B:P,15,FALSE)</f>
        <v>#N/A</v>
      </c>
      <c r="AY194" s="328" t="e">
        <f ca="1">IFERROR(VLOOKUP(Tableau118[[#This Row],[Key(ID-Actif)]],'DATA BTO'!A:N,4,FALSE),VLOOKUP(Tableau118[[#This Row],[ID]],'DATA BTO'!B:N,3,FALSE))</f>
        <v>#N/A</v>
      </c>
      <c r="AZ19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4" s="50"/>
    </row>
    <row r="195" spans="2:57">
      <c r="B195" s="65" t="str">
        <f>_xlfn.CONCAT(Tableau118[[#This Row],[Name ILN]],"-",Tableau118[[#This Row],[Name Shipper]],"-",Tableau118[[#This Row],[Name Site]])</f>
        <v>--</v>
      </c>
      <c r="C195" s="65" t="e">
        <f ca="1">_xlfn.CONCAT(Tableau118[[#This Row],[Compte ILN]],"-",Tableau118[[#This Row],[Compte Shipper]],"-",Tableau118[[#This Row],[POL]],"-",Tableau118[[#This Row],[Compte Site]])</f>
        <v>#N/A</v>
      </c>
      <c r="D195" s="64" t="e">
        <f ca="1">_xlfn.CONCAT(Tableau118[[#This Row],[Compte ILN]],"-",Tableau118[[#This Row],[Compte Shipper]],"-",Tableau118[[#This Row],[POL]])</f>
        <v>#N/A</v>
      </c>
      <c r="E195" s="396" t="e">
        <f ca="1">_xlfn.CONCAT(Tableau118[[#This Row],[POL]],"-",Tableau118[[#This Row],[Carrier]],"-",Tableau118[[#This Row],[POD]])</f>
        <v>#N/A</v>
      </c>
      <c r="F195" s="64" t="str">
        <f>_xlfn.CONCAT(Tableau118[[#This Row],[ID]],"-","Next")</f>
        <v>-Next</v>
      </c>
      <c r="G195" s="64" t="e">
        <f ca="1">_xlfn.CONCAT(Tableau118[[#This Row],[POD]],"-",Tableau118[[#This Row],[Code PFI]],"-",Tableau118[[#This Row],[Compte Site]])</f>
        <v>#N/A</v>
      </c>
      <c r="H19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5" s="397" t="str">
        <f ca="1">IF(COUNTIF(I:I,Tableau118[[#This Row],[Plant-ILN-shipper-POL-Carrier-POD-PFI]])=1,"Non","Oui")</f>
        <v>Oui</v>
      </c>
      <c r="K195" s="398" t="e">
        <f>VLOOKUP(Tableau118[[#This Row],[Name Site]],Plant_AILN!A:D,4,FALSE)</f>
        <v>#N/A</v>
      </c>
      <c r="L195" s="363"/>
      <c r="M195" s="480"/>
      <c r="N195" s="55"/>
      <c r="O195" s="122"/>
      <c r="P195" s="481"/>
      <c r="Q195" s="50"/>
      <c r="R195" s="50"/>
      <c r="S195" s="50"/>
      <c r="T195" s="50"/>
      <c r="U195" s="50"/>
      <c r="V195" s="50"/>
      <c r="W195" s="53"/>
      <c r="X195" s="283"/>
      <c r="Y195" s="482">
        <f>IFERROR(VLOOKUP(Tableau118[[#This Row],[Name Shipper]],Plant_AILN!L:M,2,FALSE),0)</f>
        <v>0</v>
      </c>
      <c r="Z195" s="358"/>
      <c r="AA195" s="353" t="e">
        <f ca="1">VLOOKUP(Tableau118[[#This Row],[Key(ID-Actif)]],'DATA BTO'!A:N,5,FALSE)</f>
        <v>#N/A</v>
      </c>
      <c r="AB195" s="3" t="e">
        <f ca="1">VLOOKUP(Tableau118[[#This Row],[Key(ID-Actif)]],'DATA BTO'!A:N,6,FALSE)</f>
        <v>#N/A</v>
      </c>
      <c r="AC195" s="50" t="e">
        <f ca="1">VLOOKUP(Tableau118[[#This Row],[Key(ID-Actif)]],'DATA BTO'!A:N,7,FALSE)</f>
        <v>#N/A</v>
      </c>
      <c r="AD195" s="50" t="e">
        <f ca="1">VLOOKUP(Tableau118[[#This Row],[Key(ID-Actif)]],'DATA BTO'!A:N,8,FALSE)</f>
        <v>#N/A</v>
      </c>
      <c r="AE195" s="50" t="e">
        <f ca="1">IF(Tableau118[[#This Row],[First Day to POL]]&lt;=Tableau118[[#This Row],[Day Cut Off]],Tableau118[[#This Row],[Day ETD]],Tableau118[[#This Row],[Day ETD]]+7)</f>
        <v>#N/A</v>
      </c>
      <c r="AF195" s="50" t="e">
        <f ca="1">VLOOKUP(Tableau118[[#This Row],[Key(ID-Actif)]],'DATA BTO'!A:N,9,FALSE)</f>
        <v>#N/A</v>
      </c>
      <c r="AG195" s="3" t="e">
        <f ca="1">VLOOKUP(Tableau118[[#This Row],[Key(ID-Actif)]],'DATA BTO'!A:N,10,FALSE)</f>
        <v>#N/A</v>
      </c>
      <c r="AH195" s="3" t="e">
        <f ca="1">VLOOKUP(Tableau118[[#This Row],[Key(ID-Actif)]],'DATA BTO'!A:N,11,FALSE)</f>
        <v>#N/A</v>
      </c>
      <c r="AI195" s="50" t="e">
        <f ca="1">VLOOKUP(Tableau118[[#This Row],[Key(ID-Actif)]],'DATA BTO'!A:N,12,FALSE)</f>
        <v>#N/A</v>
      </c>
      <c r="AJ195" s="53" t="e">
        <f ca="1">VLOOKUP(Tableau118[[#This Row],[Key(ID-Actif)]],'DATA BTO'!A:N,14,FALSE)</f>
        <v>#N/A</v>
      </c>
      <c r="AK195" s="54" t="e">
        <f ca="1">VLOOKUP(Tableau118[[#This Row],[Key(POD -PFI- Usine)]],'DATA Consignee'!A:F,6,FALSE)</f>
        <v>#N/A</v>
      </c>
      <c r="AL195" s="125" t="s">
        <v>158</v>
      </c>
      <c r="AM195" s="483">
        <f>IF(Tableau118[[#This Row],[Name PFI/CDD]]="","-",VLOOKUP(Tableau118[[#This Row],[Name PFI/CDD]],Plant_AILN!I:J,2,FALSE))</f>
        <v>2839004</v>
      </c>
      <c r="AN19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5" s="2" t="e">
        <f ca="1">VLOOKUP(Tableau118[[#This Row],[Key(POD -PFI- Usine)]],'DATA Consignee'!A:J,10,FALSE)</f>
        <v>#N/A</v>
      </c>
      <c r="AQ195" s="50" t="e">
        <f ca="1">VLOOKUP(Tableau118[[#This Row],[Key(POD -PFI- Usine)]],'DATA Consignee'!A:N,14,FALSE)</f>
        <v>#N/A</v>
      </c>
      <c r="AR19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5" s="50" t="e">
        <f ca="1">Tableau118[[#This Row],[Transit time]]+Tableau118[[#This Row],[Time for security]]+Tableau118[[#This Row],[Time for security2 buffer]]</f>
        <v>#N/A</v>
      </c>
      <c r="AU19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5" s="389" t="e">
        <f ca="1">Tableau118[[#This Row],[Leadtime SI2C]]+Tableau118[[#This Row],[First Receipt Days]]-Tableau118[[#This Row],[Day Customer Order]]+1</f>
        <v>#N/A</v>
      </c>
      <c r="AW195" s="117" t="e">
        <f ca="1">IF(Tableau118[[#This Row],[Name ILN]]&lt;&gt;"SFK Freight Forwarder",Tableau118[[#This Row],[Cust. Leadtime]],Tableau118[[#This Row],[Leadtime SI2C]])</f>
        <v>#N/A</v>
      </c>
      <c r="AX195" s="51" t="e">
        <f>VLOOKUP(Tableau118[[#This Row],[ID]],'DATA BTO'!B:P,15,FALSE)</f>
        <v>#N/A</v>
      </c>
      <c r="AY195" s="328" t="e">
        <f ca="1">IFERROR(VLOOKUP(Tableau118[[#This Row],[Key(ID-Actif)]],'DATA BTO'!A:N,4,FALSE),VLOOKUP(Tableau118[[#This Row],[ID]],'DATA BTO'!B:N,3,FALSE))</f>
        <v>#N/A</v>
      </c>
      <c r="AZ19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5" s="50"/>
    </row>
    <row r="196" spans="2:57">
      <c r="B196" s="65" t="str">
        <f>_xlfn.CONCAT(Tableau118[[#This Row],[Name ILN]],"-",Tableau118[[#This Row],[Name Shipper]],"-",Tableau118[[#This Row],[Name Site]])</f>
        <v>--</v>
      </c>
      <c r="C196" s="65" t="e">
        <f ca="1">_xlfn.CONCAT(Tableau118[[#This Row],[Compte ILN]],"-",Tableau118[[#This Row],[Compte Shipper]],"-",Tableau118[[#This Row],[POL]],"-",Tableau118[[#This Row],[Compte Site]])</f>
        <v>#N/A</v>
      </c>
      <c r="D196" s="64" t="e">
        <f ca="1">_xlfn.CONCAT(Tableau118[[#This Row],[Compte ILN]],"-",Tableau118[[#This Row],[Compte Shipper]],"-",Tableau118[[#This Row],[POL]])</f>
        <v>#N/A</v>
      </c>
      <c r="E196" s="396" t="e">
        <f ca="1">_xlfn.CONCAT(Tableau118[[#This Row],[POL]],"-",Tableau118[[#This Row],[Carrier]],"-",Tableau118[[#This Row],[POD]])</f>
        <v>#N/A</v>
      </c>
      <c r="F196" s="64" t="str">
        <f>_xlfn.CONCAT(Tableau118[[#This Row],[ID]],"-","Next")</f>
        <v>-Next</v>
      </c>
      <c r="G196" s="64" t="e">
        <f ca="1">_xlfn.CONCAT(Tableau118[[#This Row],[POD]],"-",Tableau118[[#This Row],[Code PFI]],"-",Tableau118[[#This Row],[Compte Site]])</f>
        <v>#N/A</v>
      </c>
      <c r="H19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6" s="397" t="str">
        <f ca="1">IF(COUNTIF(I:I,Tableau118[[#This Row],[Plant-ILN-shipper-POL-Carrier-POD-PFI]])=1,"Non","Oui")</f>
        <v>Oui</v>
      </c>
      <c r="K196" s="398" t="e">
        <f>VLOOKUP(Tableau118[[#This Row],[Name Site]],Plant_AILN!A:D,4,FALSE)</f>
        <v>#N/A</v>
      </c>
      <c r="L196" s="363"/>
      <c r="M196" s="480"/>
      <c r="N196" s="55"/>
      <c r="O196" s="122"/>
      <c r="P196" s="481"/>
      <c r="Q196" s="50"/>
      <c r="R196" s="50"/>
      <c r="S196" s="50"/>
      <c r="T196" s="50"/>
      <c r="U196" s="50"/>
      <c r="V196" s="50"/>
      <c r="W196" s="53"/>
      <c r="X196" s="283"/>
      <c r="Y196" s="482">
        <f>IFERROR(VLOOKUP(Tableau118[[#This Row],[Name Shipper]],Plant_AILN!L:M,2,FALSE),0)</f>
        <v>0</v>
      </c>
      <c r="Z196" s="358"/>
      <c r="AA196" s="353" t="e">
        <f ca="1">VLOOKUP(Tableau118[[#This Row],[Key(ID-Actif)]],'DATA BTO'!A:N,5,FALSE)</f>
        <v>#N/A</v>
      </c>
      <c r="AB196" s="3" t="e">
        <f ca="1">VLOOKUP(Tableau118[[#This Row],[Key(ID-Actif)]],'DATA BTO'!A:N,6,FALSE)</f>
        <v>#N/A</v>
      </c>
      <c r="AC196" s="50" t="e">
        <f ca="1">VLOOKUP(Tableau118[[#This Row],[Key(ID-Actif)]],'DATA BTO'!A:N,7,FALSE)</f>
        <v>#N/A</v>
      </c>
      <c r="AD196" s="50" t="e">
        <f ca="1">VLOOKUP(Tableau118[[#This Row],[Key(ID-Actif)]],'DATA BTO'!A:N,8,FALSE)</f>
        <v>#N/A</v>
      </c>
      <c r="AE196" s="50" t="e">
        <f ca="1">IF(Tableau118[[#This Row],[First Day to POL]]&lt;=Tableau118[[#This Row],[Day Cut Off]],Tableau118[[#This Row],[Day ETD]],Tableau118[[#This Row],[Day ETD]]+7)</f>
        <v>#N/A</v>
      </c>
      <c r="AF196" s="50" t="e">
        <f ca="1">VLOOKUP(Tableau118[[#This Row],[Key(ID-Actif)]],'DATA BTO'!A:N,9,FALSE)</f>
        <v>#N/A</v>
      </c>
      <c r="AG196" s="3" t="e">
        <f ca="1">VLOOKUP(Tableau118[[#This Row],[Key(ID-Actif)]],'DATA BTO'!A:N,10,FALSE)</f>
        <v>#N/A</v>
      </c>
      <c r="AH196" s="3" t="e">
        <f ca="1">VLOOKUP(Tableau118[[#This Row],[Key(ID-Actif)]],'DATA BTO'!A:N,11,FALSE)</f>
        <v>#N/A</v>
      </c>
      <c r="AI196" s="50" t="e">
        <f ca="1">VLOOKUP(Tableau118[[#This Row],[Key(ID-Actif)]],'DATA BTO'!A:N,12,FALSE)</f>
        <v>#N/A</v>
      </c>
      <c r="AJ196" s="53" t="e">
        <f ca="1">VLOOKUP(Tableau118[[#This Row],[Key(ID-Actif)]],'DATA BTO'!A:N,14,FALSE)</f>
        <v>#N/A</v>
      </c>
      <c r="AK196" s="54" t="e">
        <f ca="1">VLOOKUP(Tableau118[[#This Row],[Key(POD -PFI- Usine)]],'DATA Consignee'!A:F,6,FALSE)</f>
        <v>#N/A</v>
      </c>
      <c r="AL196" s="125" t="s">
        <v>158</v>
      </c>
      <c r="AM196" s="483">
        <f>IF(Tableau118[[#This Row],[Name PFI/CDD]]="","-",VLOOKUP(Tableau118[[#This Row],[Name PFI/CDD]],Plant_AILN!I:J,2,FALSE))</f>
        <v>2839004</v>
      </c>
      <c r="AN19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6" s="2" t="e">
        <f ca="1">VLOOKUP(Tableau118[[#This Row],[Key(POD -PFI- Usine)]],'DATA Consignee'!A:J,10,FALSE)</f>
        <v>#N/A</v>
      </c>
      <c r="AQ196" s="50" t="e">
        <f ca="1">VLOOKUP(Tableau118[[#This Row],[Key(POD -PFI- Usine)]],'DATA Consignee'!A:N,14,FALSE)</f>
        <v>#N/A</v>
      </c>
      <c r="AR19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6" s="50" t="e">
        <f ca="1">Tableau118[[#This Row],[Transit time]]+Tableau118[[#This Row],[Time for security]]+Tableau118[[#This Row],[Time for security2 buffer]]</f>
        <v>#N/A</v>
      </c>
      <c r="AU19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6" s="389" t="e">
        <f ca="1">Tableau118[[#This Row],[Leadtime SI2C]]+Tableau118[[#This Row],[First Receipt Days]]-Tableau118[[#This Row],[Day Customer Order]]+1</f>
        <v>#N/A</v>
      </c>
      <c r="AW196" s="117" t="e">
        <f ca="1">IF(Tableau118[[#This Row],[Name ILN]]&lt;&gt;"SFK Freight Forwarder",Tableau118[[#This Row],[Cust. Leadtime]],Tableau118[[#This Row],[Leadtime SI2C]])</f>
        <v>#N/A</v>
      </c>
      <c r="AX196" s="51" t="e">
        <f>VLOOKUP(Tableau118[[#This Row],[ID]],'DATA BTO'!B:P,15,FALSE)</f>
        <v>#N/A</v>
      </c>
      <c r="AY196" s="328" t="e">
        <f ca="1">IFERROR(VLOOKUP(Tableau118[[#This Row],[Key(ID-Actif)]],'DATA BTO'!A:N,4,FALSE),VLOOKUP(Tableau118[[#This Row],[ID]],'DATA BTO'!B:N,3,FALSE))</f>
        <v>#N/A</v>
      </c>
      <c r="AZ19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6" s="50"/>
    </row>
    <row r="197" spans="2:57">
      <c r="B197" s="65" t="str">
        <f>_xlfn.CONCAT(Tableau118[[#This Row],[Name ILN]],"-",Tableau118[[#This Row],[Name Shipper]],"-",Tableau118[[#This Row],[Name Site]])</f>
        <v>--</v>
      </c>
      <c r="C197" s="65" t="e">
        <f ca="1">_xlfn.CONCAT(Tableau118[[#This Row],[Compte ILN]],"-",Tableau118[[#This Row],[Compte Shipper]],"-",Tableau118[[#This Row],[POL]],"-",Tableau118[[#This Row],[Compte Site]])</f>
        <v>#N/A</v>
      </c>
      <c r="D197" s="64" t="e">
        <f ca="1">_xlfn.CONCAT(Tableau118[[#This Row],[Compte ILN]],"-",Tableau118[[#This Row],[Compte Shipper]],"-",Tableau118[[#This Row],[POL]])</f>
        <v>#N/A</v>
      </c>
      <c r="E197" s="396" t="e">
        <f ca="1">_xlfn.CONCAT(Tableau118[[#This Row],[POL]],"-",Tableau118[[#This Row],[Carrier]],"-",Tableau118[[#This Row],[POD]])</f>
        <v>#N/A</v>
      </c>
      <c r="F197" s="64" t="str">
        <f>_xlfn.CONCAT(Tableau118[[#This Row],[ID]],"-","Next")</f>
        <v>-Next</v>
      </c>
      <c r="G197" s="64" t="e">
        <f ca="1">_xlfn.CONCAT(Tableau118[[#This Row],[POD]],"-",Tableau118[[#This Row],[Code PFI]],"-",Tableau118[[#This Row],[Compte Site]])</f>
        <v>#N/A</v>
      </c>
      <c r="H197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7" s="397" t="str">
        <f ca="1">IF(COUNTIF(I:I,Tableau118[[#This Row],[Plant-ILN-shipper-POL-Carrier-POD-PFI]])=1,"Non","Oui")</f>
        <v>Oui</v>
      </c>
      <c r="K197" s="398" t="e">
        <f>VLOOKUP(Tableau118[[#This Row],[Name Site]],Plant_AILN!A:D,4,FALSE)</f>
        <v>#N/A</v>
      </c>
      <c r="L197" s="363"/>
      <c r="M197" s="480"/>
      <c r="N197" s="55"/>
      <c r="O197" s="122"/>
      <c r="P197" s="481"/>
      <c r="Q197" s="50"/>
      <c r="R197" s="50"/>
      <c r="S197" s="50"/>
      <c r="T197" s="50"/>
      <c r="U197" s="50"/>
      <c r="V197" s="50"/>
      <c r="W197" s="53"/>
      <c r="X197" s="283"/>
      <c r="Y197" s="482">
        <f>IFERROR(VLOOKUP(Tableau118[[#This Row],[Name Shipper]],Plant_AILN!L:M,2,FALSE),0)</f>
        <v>0</v>
      </c>
      <c r="Z197" s="358"/>
      <c r="AA197" s="353" t="e">
        <f ca="1">VLOOKUP(Tableau118[[#This Row],[Key(ID-Actif)]],'DATA BTO'!A:N,5,FALSE)</f>
        <v>#N/A</v>
      </c>
      <c r="AB197" s="3" t="e">
        <f ca="1">VLOOKUP(Tableau118[[#This Row],[Key(ID-Actif)]],'DATA BTO'!A:N,6,FALSE)</f>
        <v>#N/A</v>
      </c>
      <c r="AC197" s="50" t="e">
        <f ca="1">VLOOKUP(Tableau118[[#This Row],[Key(ID-Actif)]],'DATA BTO'!A:N,7,FALSE)</f>
        <v>#N/A</v>
      </c>
      <c r="AD197" s="50" t="e">
        <f ca="1">VLOOKUP(Tableau118[[#This Row],[Key(ID-Actif)]],'DATA BTO'!A:N,8,FALSE)</f>
        <v>#N/A</v>
      </c>
      <c r="AE197" s="50" t="e">
        <f ca="1">IF(Tableau118[[#This Row],[First Day to POL]]&lt;=Tableau118[[#This Row],[Day Cut Off]],Tableau118[[#This Row],[Day ETD]],Tableau118[[#This Row],[Day ETD]]+7)</f>
        <v>#N/A</v>
      </c>
      <c r="AF197" s="50" t="e">
        <f ca="1">VLOOKUP(Tableau118[[#This Row],[Key(ID-Actif)]],'DATA BTO'!A:N,9,FALSE)</f>
        <v>#N/A</v>
      </c>
      <c r="AG197" s="3" t="e">
        <f ca="1">VLOOKUP(Tableau118[[#This Row],[Key(ID-Actif)]],'DATA BTO'!A:N,10,FALSE)</f>
        <v>#N/A</v>
      </c>
      <c r="AH197" s="3" t="e">
        <f ca="1">VLOOKUP(Tableau118[[#This Row],[Key(ID-Actif)]],'DATA BTO'!A:N,11,FALSE)</f>
        <v>#N/A</v>
      </c>
      <c r="AI197" s="50" t="e">
        <f ca="1">VLOOKUP(Tableau118[[#This Row],[Key(ID-Actif)]],'DATA BTO'!A:N,12,FALSE)</f>
        <v>#N/A</v>
      </c>
      <c r="AJ197" s="53" t="e">
        <f ca="1">VLOOKUP(Tableau118[[#This Row],[Key(ID-Actif)]],'DATA BTO'!A:N,14,FALSE)</f>
        <v>#N/A</v>
      </c>
      <c r="AK197" s="54" t="e">
        <f ca="1">VLOOKUP(Tableau118[[#This Row],[Key(POD -PFI- Usine)]],'DATA Consignee'!A:F,6,FALSE)</f>
        <v>#N/A</v>
      </c>
      <c r="AL197" s="125" t="s">
        <v>158</v>
      </c>
      <c r="AM197" s="483">
        <f>IF(Tableau118[[#This Row],[Name PFI/CDD]]="","-",VLOOKUP(Tableau118[[#This Row],[Name PFI/CDD]],Plant_AILN!I:J,2,FALSE))</f>
        <v>2839004</v>
      </c>
      <c r="AN19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7" s="2" t="e">
        <f ca="1">VLOOKUP(Tableau118[[#This Row],[Key(POD -PFI- Usine)]],'DATA Consignee'!A:J,10,FALSE)</f>
        <v>#N/A</v>
      </c>
      <c r="AQ197" s="50" t="e">
        <f ca="1">VLOOKUP(Tableau118[[#This Row],[Key(POD -PFI- Usine)]],'DATA Consignee'!A:N,14,FALSE)</f>
        <v>#N/A</v>
      </c>
      <c r="AR19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7" s="50" t="e">
        <f ca="1">Tableau118[[#This Row],[Transit time]]+Tableau118[[#This Row],[Time for security]]+Tableau118[[#This Row],[Time for security2 buffer]]</f>
        <v>#N/A</v>
      </c>
      <c r="AU19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7" s="389" t="e">
        <f ca="1">Tableau118[[#This Row],[Leadtime SI2C]]+Tableau118[[#This Row],[First Receipt Days]]-Tableau118[[#This Row],[Day Customer Order]]+1</f>
        <v>#N/A</v>
      </c>
      <c r="AW197" s="117" t="e">
        <f ca="1">IF(Tableau118[[#This Row],[Name ILN]]&lt;&gt;"SFK Freight Forwarder",Tableau118[[#This Row],[Cust. Leadtime]],Tableau118[[#This Row],[Leadtime SI2C]])</f>
        <v>#N/A</v>
      </c>
      <c r="AX197" s="51" t="e">
        <f>VLOOKUP(Tableau118[[#This Row],[ID]],'DATA BTO'!B:P,15,FALSE)</f>
        <v>#N/A</v>
      </c>
      <c r="AY197" s="328" t="e">
        <f ca="1">IFERROR(VLOOKUP(Tableau118[[#This Row],[Key(ID-Actif)]],'DATA BTO'!A:N,4,FALSE),VLOOKUP(Tableau118[[#This Row],[ID]],'DATA BTO'!B:N,3,FALSE))</f>
        <v>#N/A</v>
      </c>
      <c r="AZ19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7" s="50"/>
    </row>
    <row r="198" spans="2:57">
      <c r="B198" s="65" t="str">
        <f>_xlfn.CONCAT(Tableau118[[#This Row],[Name ILN]],"-",Tableau118[[#This Row],[Name Shipper]],"-",Tableau118[[#This Row],[Name Site]])</f>
        <v>--</v>
      </c>
      <c r="C198" s="65" t="e">
        <f ca="1">_xlfn.CONCAT(Tableau118[[#This Row],[Compte ILN]],"-",Tableau118[[#This Row],[Compte Shipper]],"-",Tableau118[[#This Row],[POL]],"-",Tableau118[[#This Row],[Compte Site]])</f>
        <v>#N/A</v>
      </c>
      <c r="D198" s="64" t="e">
        <f ca="1">_xlfn.CONCAT(Tableau118[[#This Row],[Compte ILN]],"-",Tableau118[[#This Row],[Compte Shipper]],"-",Tableau118[[#This Row],[POL]])</f>
        <v>#N/A</v>
      </c>
      <c r="E198" s="396" t="e">
        <f ca="1">_xlfn.CONCAT(Tableau118[[#This Row],[POL]],"-",Tableau118[[#This Row],[Carrier]],"-",Tableau118[[#This Row],[POD]])</f>
        <v>#N/A</v>
      </c>
      <c r="F198" s="64" t="str">
        <f>_xlfn.CONCAT(Tableau118[[#This Row],[ID]],"-","Next")</f>
        <v>-Next</v>
      </c>
      <c r="G198" s="64" t="e">
        <f ca="1">_xlfn.CONCAT(Tableau118[[#This Row],[POD]],"-",Tableau118[[#This Row],[Code PFI]],"-",Tableau118[[#This Row],[Compte Site]])</f>
        <v>#N/A</v>
      </c>
      <c r="H198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8" s="397" t="str">
        <f ca="1">IF(COUNTIF(I:I,Tableau118[[#This Row],[Plant-ILN-shipper-POL-Carrier-POD-PFI]])=1,"Non","Oui")</f>
        <v>Oui</v>
      </c>
      <c r="K198" s="398" t="e">
        <f>VLOOKUP(Tableau118[[#This Row],[Name Site]],Plant_AILN!A:D,4,FALSE)</f>
        <v>#N/A</v>
      </c>
      <c r="L198" s="363"/>
      <c r="M198" s="480"/>
      <c r="N198" s="55"/>
      <c r="O198" s="122"/>
      <c r="P198" s="481"/>
      <c r="Q198" s="50"/>
      <c r="R198" s="50"/>
      <c r="S198" s="50"/>
      <c r="T198" s="50"/>
      <c r="U198" s="50"/>
      <c r="V198" s="50"/>
      <c r="W198" s="53"/>
      <c r="X198" s="283"/>
      <c r="Y198" s="482">
        <f>IFERROR(VLOOKUP(Tableau118[[#This Row],[Name Shipper]],Plant_AILN!L:M,2,FALSE),0)</f>
        <v>0</v>
      </c>
      <c r="Z198" s="358"/>
      <c r="AA198" s="353" t="e">
        <f ca="1">VLOOKUP(Tableau118[[#This Row],[Key(ID-Actif)]],'DATA BTO'!A:N,5,FALSE)</f>
        <v>#N/A</v>
      </c>
      <c r="AB198" s="3" t="e">
        <f ca="1">VLOOKUP(Tableau118[[#This Row],[Key(ID-Actif)]],'DATA BTO'!A:N,6,FALSE)</f>
        <v>#N/A</v>
      </c>
      <c r="AC198" s="50" t="e">
        <f ca="1">VLOOKUP(Tableau118[[#This Row],[Key(ID-Actif)]],'DATA BTO'!A:N,7,FALSE)</f>
        <v>#N/A</v>
      </c>
      <c r="AD198" s="50" t="e">
        <f ca="1">VLOOKUP(Tableau118[[#This Row],[Key(ID-Actif)]],'DATA BTO'!A:N,8,FALSE)</f>
        <v>#N/A</v>
      </c>
      <c r="AE198" s="50" t="e">
        <f ca="1">IF(Tableau118[[#This Row],[First Day to POL]]&lt;=Tableau118[[#This Row],[Day Cut Off]],Tableau118[[#This Row],[Day ETD]],Tableau118[[#This Row],[Day ETD]]+7)</f>
        <v>#N/A</v>
      </c>
      <c r="AF198" s="50" t="e">
        <f ca="1">VLOOKUP(Tableau118[[#This Row],[Key(ID-Actif)]],'DATA BTO'!A:N,9,FALSE)</f>
        <v>#N/A</v>
      </c>
      <c r="AG198" s="3" t="e">
        <f ca="1">VLOOKUP(Tableau118[[#This Row],[Key(ID-Actif)]],'DATA BTO'!A:N,10,FALSE)</f>
        <v>#N/A</v>
      </c>
      <c r="AH198" s="3" t="e">
        <f ca="1">VLOOKUP(Tableau118[[#This Row],[Key(ID-Actif)]],'DATA BTO'!A:N,11,FALSE)</f>
        <v>#N/A</v>
      </c>
      <c r="AI198" s="50" t="e">
        <f ca="1">VLOOKUP(Tableau118[[#This Row],[Key(ID-Actif)]],'DATA BTO'!A:N,12,FALSE)</f>
        <v>#N/A</v>
      </c>
      <c r="AJ198" s="53" t="e">
        <f ca="1">VLOOKUP(Tableau118[[#This Row],[Key(ID-Actif)]],'DATA BTO'!A:N,14,FALSE)</f>
        <v>#N/A</v>
      </c>
      <c r="AK198" s="54" t="e">
        <f ca="1">VLOOKUP(Tableau118[[#This Row],[Key(POD -PFI- Usine)]],'DATA Consignee'!A:F,6,FALSE)</f>
        <v>#N/A</v>
      </c>
      <c r="AL198" s="125" t="s">
        <v>158</v>
      </c>
      <c r="AM198" s="483">
        <f>IF(Tableau118[[#This Row],[Name PFI/CDD]]="","-",VLOOKUP(Tableau118[[#This Row],[Name PFI/CDD]],Plant_AILN!I:J,2,FALSE))</f>
        <v>2839004</v>
      </c>
      <c r="AN19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8" s="2" t="e">
        <f ca="1">VLOOKUP(Tableau118[[#This Row],[Key(POD -PFI- Usine)]],'DATA Consignee'!A:J,10,FALSE)</f>
        <v>#N/A</v>
      </c>
      <c r="AQ198" s="50" t="e">
        <f ca="1">VLOOKUP(Tableau118[[#This Row],[Key(POD -PFI- Usine)]],'DATA Consignee'!A:N,14,FALSE)</f>
        <v>#N/A</v>
      </c>
      <c r="AR19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8" s="50" t="e">
        <f ca="1">Tableau118[[#This Row],[Transit time]]+Tableau118[[#This Row],[Time for security]]+Tableau118[[#This Row],[Time for security2 buffer]]</f>
        <v>#N/A</v>
      </c>
      <c r="AU19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8" s="389" t="e">
        <f ca="1">Tableau118[[#This Row],[Leadtime SI2C]]+Tableau118[[#This Row],[First Receipt Days]]-Tableau118[[#This Row],[Day Customer Order]]+1</f>
        <v>#N/A</v>
      </c>
      <c r="AW198" s="117" t="e">
        <f ca="1">IF(Tableau118[[#This Row],[Name ILN]]&lt;&gt;"SFK Freight Forwarder",Tableau118[[#This Row],[Cust. Leadtime]],Tableau118[[#This Row],[Leadtime SI2C]])</f>
        <v>#N/A</v>
      </c>
      <c r="AX198" s="51" t="e">
        <f>VLOOKUP(Tableau118[[#This Row],[ID]],'DATA BTO'!B:P,15,FALSE)</f>
        <v>#N/A</v>
      </c>
      <c r="AY198" s="328" t="e">
        <f ca="1">IFERROR(VLOOKUP(Tableau118[[#This Row],[Key(ID-Actif)]],'DATA BTO'!A:N,4,FALSE),VLOOKUP(Tableau118[[#This Row],[ID]],'DATA BTO'!B:N,3,FALSE))</f>
        <v>#N/A</v>
      </c>
      <c r="AZ19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8" s="50"/>
    </row>
    <row r="199" spans="2:57">
      <c r="B199" s="65" t="str">
        <f>_xlfn.CONCAT(Tableau118[[#This Row],[Name ILN]],"-",Tableau118[[#This Row],[Name Shipper]],"-",Tableau118[[#This Row],[Name Site]])</f>
        <v>--</v>
      </c>
      <c r="C199" s="65" t="e">
        <f ca="1">_xlfn.CONCAT(Tableau118[[#This Row],[Compte ILN]],"-",Tableau118[[#This Row],[Compte Shipper]],"-",Tableau118[[#This Row],[POL]],"-",Tableau118[[#This Row],[Compte Site]])</f>
        <v>#N/A</v>
      </c>
      <c r="D199" s="64" t="e">
        <f ca="1">_xlfn.CONCAT(Tableau118[[#This Row],[Compte ILN]],"-",Tableau118[[#This Row],[Compte Shipper]],"-",Tableau118[[#This Row],[POL]])</f>
        <v>#N/A</v>
      </c>
      <c r="E199" s="396" t="e">
        <f ca="1">_xlfn.CONCAT(Tableau118[[#This Row],[POL]],"-",Tableau118[[#This Row],[Carrier]],"-",Tableau118[[#This Row],[POD]])</f>
        <v>#N/A</v>
      </c>
      <c r="F199" s="64" t="str">
        <f>_xlfn.CONCAT(Tableau118[[#This Row],[ID]],"-","Next")</f>
        <v>-Next</v>
      </c>
      <c r="G199" s="64" t="e">
        <f ca="1">_xlfn.CONCAT(Tableau118[[#This Row],[POD]],"-",Tableau118[[#This Row],[Code PFI]],"-",Tableau118[[#This Row],[Compte Site]])</f>
        <v>#N/A</v>
      </c>
      <c r="H199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19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199" s="397" t="str">
        <f ca="1">IF(COUNTIF(I:I,Tableau118[[#This Row],[Plant-ILN-shipper-POL-Carrier-POD-PFI]])=1,"Non","Oui")</f>
        <v>Oui</v>
      </c>
      <c r="K199" s="398" t="e">
        <f>VLOOKUP(Tableau118[[#This Row],[Name Site]],Plant_AILN!A:D,4,FALSE)</f>
        <v>#N/A</v>
      </c>
      <c r="L199" s="363"/>
      <c r="M199" s="480"/>
      <c r="N199" s="55"/>
      <c r="O199" s="122"/>
      <c r="P199" s="481"/>
      <c r="Q199" s="50"/>
      <c r="R199" s="50"/>
      <c r="S199" s="50"/>
      <c r="T199" s="50"/>
      <c r="U199" s="50"/>
      <c r="V199" s="50"/>
      <c r="W199" s="53"/>
      <c r="X199" s="283"/>
      <c r="Y199" s="482">
        <f>IFERROR(VLOOKUP(Tableau118[[#This Row],[Name Shipper]],Plant_AILN!L:M,2,FALSE),0)</f>
        <v>0</v>
      </c>
      <c r="Z199" s="358"/>
      <c r="AA199" s="353" t="e">
        <f ca="1">VLOOKUP(Tableau118[[#This Row],[Key(ID-Actif)]],'DATA BTO'!A:N,5,FALSE)</f>
        <v>#N/A</v>
      </c>
      <c r="AB199" s="3" t="e">
        <f ca="1">VLOOKUP(Tableau118[[#This Row],[Key(ID-Actif)]],'DATA BTO'!A:N,6,FALSE)</f>
        <v>#N/A</v>
      </c>
      <c r="AC199" s="50" t="e">
        <f ca="1">VLOOKUP(Tableau118[[#This Row],[Key(ID-Actif)]],'DATA BTO'!A:N,7,FALSE)</f>
        <v>#N/A</v>
      </c>
      <c r="AD199" s="50" t="e">
        <f ca="1">VLOOKUP(Tableau118[[#This Row],[Key(ID-Actif)]],'DATA BTO'!A:N,8,FALSE)</f>
        <v>#N/A</v>
      </c>
      <c r="AE199" s="50" t="e">
        <f ca="1">IF(Tableau118[[#This Row],[First Day to POL]]&lt;=Tableau118[[#This Row],[Day Cut Off]],Tableau118[[#This Row],[Day ETD]],Tableau118[[#This Row],[Day ETD]]+7)</f>
        <v>#N/A</v>
      </c>
      <c r="AF199" s="50" t="e">
        <f ca="1">VLOOKUP(Tableau118[[#This Row],[Key(ID-Actif)]],'DATA BTO'!A:N,9,FALSE)</f>
        <v>#N/A</v>
      </c>
      <c r="AG199" s="3" t="e">
        <f ca="1">VLOOKUP(Tableau118[[#This Row],[Key(ID-Actif)]],'DATA BTO'!A:N,10,FALSE)</f>
        <v>#N/A</v>
      </c>
      <c r="AH199" s="3" t="e">
        <f ca="1">VLOOKUP(Tableau118[[#This Row],[Key(ID-Actif)]],'DATA BTO'!A:N,11,FALSE)</f>
        <v>#N/A</v>
      </c>
      <c r="AI199" s="50" t="e">
        <f ca="1">VLOOKUP(Tableau118[[#This Row],[Key(ID-Actif)]],'DATA BTO'!A:N,12,FALSE)</f>
        <v>#N/A</v>
      </c>
      <c r="AJ199" s="53" t="e">
        <f ca="1">VLOOKUP(Tableau118[[#This Row],[Key(ID-Actif)]],'DATA BTO'!A:N,14,FALSE)</f>
        <v>#N/A</v>
      </c>
      <c r="AK199" s="54" t="e">
        <f ca="1">VLOOKUP(Tableau118[[#This Row],[Key(POD -PFI- Usine)]],'DATA Consignee'!A:F,6,FALSE)</f>
        <v>#N/A</v>
      </c>
      <c r="AL199" s="125" t="s">
        <v>158</v>
      </c>
      <c r="AM199" s="483">
        <f>IF(Tableau118[[#This Row],[Name PFI/CDD]]="","-",VLOOKUP(Tableau118[[#This Row],[Name PFI/CDD]],Plant_AILN!I:J,2,FALSE))</f>
        <v>2839004</v>
      </c>
      <c r="AN19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19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199" s="2" t="e">
        <f ca="1">VLOOKUP(Tableau118[[#This Row],[Key(POD -PFI- Usine)]],'DATA Consignee'!A:J,10,FALSE)</f>
        <v>#N/A</v>
      </c>
      <c r="AQ199" s="50" t="e">
        <f ca="1">VLOOKUP(Tableau118[[#This Row],[Key(POD -PFI- Usine)]],'DATA Consignee'!A:N,14,FALSE)</f>
        <v>#N/A</v>
      </c>
      <c r="AR19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19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199" s="50" t="e">
        <f ca="1">Tableau118[[#This Row],[Transit time]]+Tableau118[[#This Row],[Time for security]]+Tableau118[[#This Row],[Time for security2 buffer]]</f>
        <v>#N/A</v>
      </c>
      <c r="AU19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199" s="389" t="e">
        <f ca="1">Tableau118[[#This Row],[Leadtime SI2C]]+Tableau118[[#This Row],[First Receipt Days]]-Tableau118[[#This Row],[Day Customer Order]]+1</f>
        <v>#N/A</v>
      </c>
      <c r="AW199" s="117" t="e">
        <f ca="1">IF(Tableau118[[#This Row],[Name ILN]]&lt;&gt;"SFK Freight Forwarder",Tableau118[[#This Row],[Cust. Leadtime]],Tableau118[[#This Row],[Leadtime SI2C]])</f>
        <v>#N/A</v>
      </c>
      <c r="AX199" s="51" t="e">
        <f>VLOOKUP(Tableau118[[#This Row],[ID]],'DATA BTO'!B:P,15,FALSE)</f>
        <v>#N/A</v>
      </c>
      <c r="AY199" s="328" t="e">
        <f ca="1">IFERROR(VLOOKUP(Tableau118[[#This Row],[Key(ID-Actif)]],'DATA BTO'!A:N,4,FALSE),VLOOKUP(Tableau118[[#This Row],[ID]],'DATA BTO'!B:N,3,FALSE))</f>
        <v>#N/A</v>
      </c>
      <c r="AZ19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19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19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19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19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199" s="50"/>
    </row>
    <row r="200" spans="2:57">
      <c r="B200" s="65" t="str">
        <f>_xlfn.CONCAT(Tableau118[[#This Row],[Name ILN]],"-",Tableau118[[#This Row],[Name Shipper]],"-",Tableau118[[#This Row],[Name Site]])</f>
        <v>--</v>
      </c>
      <c r="C200" s="65" t="e">
        <f ca="1">_xlfn.CONCAT(Tableau118[[#This Row],[Compte ILN]],"-",Tableau118[[#This Row],[Compte Shipper]],"-",Tableau118[[#This Row],[POL]],"-",Tableau118[[#This Row],[Compte Site]])</f>
        <v>#N/A</v>
      </c>
      <c r="D200" s="64" t="e">
        <f ca="1">_xlfn.CONCAT(Tableau118[[#This Row],[Compte ILN]],"-",Tableau118[[#This Row],[Compte Shipper]],"-",Tableau118[[#This Row],[POL]])</f>
        <v>#N/A</v>
      </c>
      <c r="E200" s="396" t="e">
        <f ca="1">_xlfn.CONCAT(Tableau118[[#This Row],[POL]],"-",Tableau118[[#This Row],[Carrier]],"-",Tableau118[[#This Row],[POD]])</f>
        <v>#N/A</v>
      </c>
      <c r="F200" s="64" t="str">
        <f>_xlfn.CONCAT(Tableau118[[#This Row],[ID]],"-","Next")</f>
        <v>-Next</v>
      </c>
      <c r="G200" s="64" t="e">
        <f ca="1">_xlfn.CONCAT(Tableau118[[#This Row],[POD]],"-",Tableau118[[#This Row],[Code PFI]],"-",Tableau118[[#This Row],[Compte Site]])</f>
        <v>#N/A</v>
      </c>
      <c r="H200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0" s="397" t="str">
        <f ca="1">IF(COUNTIF(I:I,Tableau118[[#This Row],[Plant-ILN-shipper-POL-Carrier-POD-PFI]])=1,"Non","Oui")</f>
        <v>Oui</v>
      </c>
      <c r="K200" s="398" t="e">
        <f>VLOOKUP(Tableau118[[#This Row],[Name Site]],Plant_AILN!A:D,4,FALSE)</f>
        <v>#N/A</v>
      </c>
      <c r="L200" s="363"/>
      <c r="M200" s="480"/>
      <c r="N200" s="55"/>
      <c r="O200" s="122"/>
      <c r="P200" s="481"/>
      <c r="Q200" s="50"/>
      <c r="R200" s="50"/>
      <c r="S200" s="50"/>
      <c r="T200" s="50"/>
      <c r="U200" s="50"/>
      <c r="V200" s="50"/>
      <c r="W200" s="53"/>
      <c r="X200" s="283"/>
      <c r="Y200" s="482">
        <f>IFERROR(VLOOKUP(Tableau118[[#This Row],[Name Shipper]],Plant_AILN!L:M,2,FALSE),0)</f>
        <v>0</v>
      </c>
      <c r="Z200" s="358"/>
      <c r="AA200" s="353" t="e">
        <f ca="1">VLOOKUP(Tableau118[[#This Row],[Key(ID-Actif)]],'DATA BTO'!A:N,5,FALSE)</f>
        <v>#N/A</v>
      </c>
      <c r="AB200" s="3" t="e">
        <f ca="1">VLOOKUP(Tableau118[[#This Row],[Key(ID-Actif)]],'DATA BTO'!A:N,6,FALSE)</f>
        <v>#N/A</v>
      </c>
      <c r="AC200" s="50" t="e">
        <f ca="1">VLOOKUP(Tableau118[[#This Row],[Key(ID-Actif)]],'DATA BTO'!A:N,7,FALSE)</f>
        <v>#N/A</v>
      </c>
      <c r="AD200" s="50" t="e">
        <f ca="1">VLOOKUP(Tableau118[[#This Row],[Key(ID-Actif)]],'DATA BTO'!A:N,8,FALSE)</f>
        <v>#N/A</v>
      </c>
      <c r="AE200" s="50" t="e">
        <f ca="1">IF(Tableau118[[#This Row],[First Day to POL]]&lt;=Tableau118[[#This Row],[Day Cut Off]],Tableau118[[#This Row],[Day ETD]],Tableau118[[#This Row],[Day ETD]]+7)</f>
        <v>#N/A</v>
      </c>
      <c r="AF200" s="50" t="e">
        <f ca="1">VLOOKUP(Tableau118[[#This Row],[Key(ID-Actif)]],'DATA BTO'!A:N,9,FALSE)</f>
        <v>#N/A</v>
      </c>
      <c r="AG200" s="3" t="e">
        <f ca="1">VLOOKUP(Tableau118[[#This Row],[Key(ID-Actif)]],'DATA BTO'!A:N,10,FALSE)</f>
        <v>#N/A</v>
      </c>
      <c r="AH200" s="3" t="e">
        <f ca="1">VLOOKUP(Tableau118[[#This Row],[Key(ID-Actif)]],'DATA BTO'!A:N,11,FALSE)</f>
        <v>#N/A</v>
      </c>
      <c r="AI200" s="50" t="e">
        <f ca="1">VLOOKUP(Tableau118[[#This Row],[Key(ID-Actif)]],'DATA BTO'!A:N,12,FALSE)</f>
        <v>#N/A</v>
      </c>
      <c r="AJ200" s="53" t="e">
        <f ca="1">VLOOKUP(Tableau118[[#This Row],[Key(ID-Actif)]],'DATA BTO'!A:N,14,FALSE)</f>
        <v>#N/A</v>
      </c>
      <c r="AK200" s="54" t="e">
        <f ca="1">VLOOKUP(Tableau118[[#This Row],[Key(POD -PFI- Usine)]],'DATA Consignee'!A:F,6,FALSE)</f>
        <v>#N/A</v>
      </c>
      <c r="AL200" s="125" t="s">
        <v>158</v>
      </c>
      <c r="AM200" s="483">
        <f>IF(Tableau118[[#This Row],[Name PFI/CDD]]="","-",VLOOKUP(Tableau118[[#This Row],[Name PFI/CDD]],Plant_AILN!I:J,2,FALSE))</f>
        <v>2839004</v>
      </c>
      <c r="AN20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0" s="2" t="e">
        <f ca="1">VLOOKUP(Tableau118[[#This Row],[Key(POD -PFI- Usine)]],'DATA Consignee'!A:J,10,FALSE)</f>
        <v>#N/A</v>
      </c>
      <c r="AQ200" s="50" t="e">
        <f ca="1">VLOOKUP(Tableau118[[#This Row],[Key(POD -PFI- Usine)]],'DATA Consignee'!A:N,14,FALSE)</f>
        <v>#N/A</v>
      </c>
      <c r="AR20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0" s="50" t="e">
        <f ca="1">Tableau118[[#This Row],[Transit time]]+Tableau118[[#This Row],[Time for security]]+Tableau118[[#This Row],[Time for security2 buffer]]</f>
        <v>#N/A</v>
      </c>
      <c r="AU20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0" s="389" t="e">
        <f ca="1">Tableau118[[#This Row],[Leadtime SI2C]]+Tableau118[[#This Row],[First Receipt Days]]-Tableau118[[#This Row],[Day Customer Order]]+1</f>
        <v>#N/A</v>
      </c>
      <c r="AW200" s="117" t="e">
        <f ca="1">IF(Tableau118[[#This Row],[Name ILN]]&lt;&gt;"SFK Freight Forwarder",Tableau118[[#This Row],[Cust. Leadtime]],Tableau118[[#This Row],[Leadtime SI2C]])</f>
        <v>#N/A</v>
      </c>
      <c r="AX200" s="51" t="e">
        <f>VLOOKUP(Tableau118[[#This Row],[ID]],'DATA BTO'!B:P,15,FALSE)</f>
        <v>#N/A</v>
      </c>
      <c r="AY200" s="328" t="e">
        <f ca="1">IFERROR(VLOOKUP(Tableau118[[#This Row],[Key(ID-Actif)]],'DATA BTO'!A:N,4,FALSE),VLOOKUP(Tableau118[[#This Row],[ID]],'DATA BTO'!B:N,3,FALSE))</f>
        <v>#N/A</v>
      </c>
      <c r="AZ20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0" s="50"/>
    </row>
    <row r="201" spans="2:57">
      <c r="B201" s="65" t="str">
        <f>_xlfn.CONCAT(Tableau118[[#This Row],[Name ILN]],"-",Tableau118[[#This Row],[Name Shipper]],"-",Tableau118[[#This Row],[Name Site]])</f>
        <v>--</v>
      </c>
      <c r="C201" s="65" t="e">
        <f ca="1">_xlfn.CONCAT(Tableau118[[#This Row],[Compte ILN]],"-",Tableau118[[#This Row],[Compte Shipper]],"-",Tableau118[[#This Row],[POL]],"-",Tableau118[[#This Row],[Compte Site]])</f>
        <v>#N/A</v>
      </c>
      <c r="D201" s="64" t="e">
        <f ca="1">_xlfn.CONCAT(Tableau118[[#This Row],[Compte ILN]],"-",Tableau118[[#This Row],[Compte Shipper]],"-",Tableau118[[#This Row],[POL]])</f>
        <v>#N/A</v>
      </c>
      <c r="E201" s="396" t="e">
        <f ca="1">_xlfn.CONCAT(Tableau118[[#This Row],[POL]],"-",Tableau118[[#This Row],[Carrier]],"-",Tableau118[[#This Row],[POD]])</f>
        <v>#N/A</v>
      </c>
      <c r="F201" s="64" t="str">
        <f>_xlfn.CONCAT(Tableau118[[#This Row],[ID]],"-","Next")</f>
        <v>-Next</v>
      </c>
      <c r="G201" s="64" t="e">
        <f ca="1">_xlfn.CONCAT(Tableau118[[#This Row],[POD]],"-",Tableau118[[#This Row],[Code PFI]],"-",Tableau118[[#This Row],[Compte Site]])</f>
        <v>#N/A</v>
      </c>
      <c r="H201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1" s="397" t="str">
        <f ca="1">IF(COUNTIF(I:I,Tableau118[[#This Row],[Plant-ILN-shipper-POL-Carrier-POD-PFI]])=1,"Non","Oui")</f>
        <v>Oui</v>
      </c>
      <c r="K201" s="398" t="e">
        <f>VLOOKUP(Tableau118[[#This Row],[Name Site]],Plant_AILN!A:D,4,FALSE)</f>
        <v>#N/A</v>
      </c>
      <c r="L201" s="363"/>
      <c r="M201" s="480"/>
      <c r="N201" s="55"/>
      <c r="O201" s="122"/>
      <c r="P201" s="481"/>
      <c r="Q201" s="50"/>
      <c r="R201" s="50"/>
      <c r="S201" s="50"/>
      <c r="T201" s="50"/>
      <c r="U201" s="50"/>
      <c r="V201" s="50"/>
      <c r="W201" s="53"/>
      <c r="X201" s="283"/>
      <c r="Y201" s="482">
        <f>IFERROR(VLOOKUP(Tableau118[[#This Row],[Name Shipper]],Plant_AILN!L:M,2,FALSE),0)</f>
        <v>0</v>
      </c>
      <c r="Z201" s="358"/>
      <c r="AA201" s="353" t="e">
        <f ca="1">VLOOKUP(Tableau118[[#This Row],[Key(ID-Actif)]],'DATA BTO'!A:N,5,FALSE)</f>
        <v>#N/A</v>
      </c>
      <c r="AB201" s="3" t="e">
        <f ca="1">VLOOKUP(Tableau118[[#This Row],[Key(ID-Actif)]],'DATA BTO'!A:N,6,FALSE)</f>
        <v>#N/A</v>
      </c>
      <c r="AC201" s="50" t="e">
        <f ca="1">VLOOKUP(Tableau118[[#This Row],[Key(ID-Actif)]],'DATA BTO'!A:N,7,FALSE)</f>
        <v>#N/A</v>
      </c>
      <c r="AD201" s="50" t="e">
        <f ca="1">VLOOKUP(Tableau118[[#This Row],[Key(ID-Actif)]],'DATA BTO'!A:N,8,FALSE)</f>
        <v>#N/A</v>
      </c>
      <c r="AE201" s="50" t="e">
        <f ca="1">IF(Tableau118[[#This Row],[First Day to POL]]&lt;=Tableau118[[#This Row],[Day Cut Off]],Tableau118[[#This Row],[Day ETD]],Tableau118[[#This Row],[Day ETD]]+7)</f>
        <v>#N/A</v>
      </c>
      <c r="AF201" s="50" t="e">
        <f ca="1">VLOOKUP(Tableau118[[#This Row],[Key(ID-Actif)]],'DATA BTO'!A:N,9,FALSE)</f>
        <v>#N/A</v>
      </c>
      <c r="AG201" s="3" t="e">
        <f ca="1">VLOOKUP(Tableau118[[#This Row],[Key(ID-Actif)]],'DATA BTO'!A:N,10,FALSE)</f>
        <v>#N/A</v>
      </c>
      <c r="AH201" s="3" t="e">
        <f ca="1">VLOOKUP(Tableau118[[#This Row],[Key(ID-Actif)]],'DATA BTO'!A:N,11,FALSE)</f>
        <v>#N/A</v>
      </c>
      <c r="AI201" s="50" t="e">
        <f ca="1">VLOOKUP(Tableau118[[#This Row],[Key(ID-Actif)]],'DATA BTO'!A:N,12,FALSE)</f>
        <v>#N/A</v>
      </c>
      <c r="AJ201" s="53" t="e">
        <f ca="1">VLOOKUP(Tableau118[[#This Row],[Key(ID-Actif)]],'DATA BTO'!A:N,14,FALSE)</f>
        <v>#N/A</v>
      </c>
      <c r="AK201" s="54" t="e">
        <f ca="1">VLOOKUP(Tableau118[[#This Row],[Key(POD -PFI- Usine)]],'DATA Consignee'!A:F,6,FALSE)</f>
        <v>#N/A</v>
      </c>
      <c r="AL201" s="125" t="s">
        <v>158</v>
      </c>
      <c r="AM201" s="483">
        <f>IF(Tableau118[[#This Row],[Name PFI/CDD]]="","-",VLOOKUP(Tableau118[[#This Row],[Name PFI/CDD]],Plant_AILN!I:J,2,FALSE))</f>
        <v>2839004</v>
      </c>
      <c r="AN20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1" s="2" t="e">
        <f ca="1">VLOOKUP(Tableau118[[#This Row],[Key(POD -PFI- Usine)]],'DATA Consignee'!A:J,10,FALSE)</f>
        <v>#N/A</v>
      </c>
      <c r="AQ201" s="50" t="e">
        <f ca="1">VLOOKUP(Tableau118[[#This Row],[Key(POD -PFI- Usine)]],'DATA Consignee'!A:N,14,FALSE)</f>
        <v>#N/A</v>
      </c>
      <c r="AR20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1" s="50" t="e">
        <f ca="1">Tableau118[[#This Row],[Transit time]]+Tableau118[[#This Row],[Time for security]]+Tableau118[[#This Row],[Time for security2 buffer]]</f>
        <v>#N/A</v>
      </c>
      <c r="AU20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1" s="389" t="e">
        <f ca="1">Tableau118[[#This Row],[Leadtime SI2C]]+Tableau118[[#This Row],[First Receipt Days]]-Tableau118[[#This Row],[Day Customer Order]]+1</f>
        <v>#N/A</v>
      </c>
      <c r="AW201" s="117" t="e">
        <f ca="1">IF(Tableau118[[#This Row],[Name ILN]]&lt;&gt;"SFK Freight Forwarder",Tableau118[[#This Row],[Cust. Leadtime]],Tableau118[[#This Row],[Leadtime SI2C]])</f>
        <v>#N/A</v>
      </c>
      <c r="AX201" s="51" t="e">
        <f>VLOOKUP(Tableau118[[#This Row],[ID]],'DATA BTO'!B:P,15,FALSE)</f>
        <v>#N/A</v>
      </c>
      <c r="AY201" s="328" t="e">
        <f ca="1">IFERROR(VLOOKUP(Tableau118[[#This Row],[Key(ID-Actif)]],'DATA BTO'!A:N,4,FALSE),VLOOKUP(Tableau118[[#This Row],[ID]],'DATA BTO'!B:N,3,FALSE))</f>
        <v>#N/A</v>
      </c>
      <c r="AZ20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1" s="50"/>
    </row>
    <row r="202" spans="2:57">
      <c r="B202" s="65" t="str">
        <f>_xlfn.CONCAT(Tableau118[[#This Row],[Name ILN]],"-",Tableau118[[#This Row],[Name Shipper]],"-",Tableau118[[#This Row],[Name Site]])</f>
        <v>--</v>
      </c>
      <c r="C202" s="65" t="e">
        <f ca="1">_xlfn.CONCAT(Tableau118[[#This Row],[Compte ILN]],"-",Tableau118[[#This Row],[Compte Shipper]],"-",Tableau118[[#This Row],[POL]],"-",Tableau118[[#This Row],[Compte Site]])</f>
        <v>#N/A</v>
      </c>
      <c r="D202" s="64" t="e">
        <f ca="1">_xlfn.CONCAT(Tableau118[[#This Row],[Compte ILN]],"-",Tableau118[[#This Row],[Compte Shipper]],"-",Tableau118[[#This Row],[POL]])</f>
        <v>#N/A</v>
      </c>
      <c r="E202" s="396" t="e">
        <f ca="1">_xlfn.CONCAT(Tableau118[[#This Row],[POL]],"-",Tableau118[[#This Row],[Carrier]],"-",Tableau118[[#This Row],[POD]])</f>
        <v>#N/A</v>
      </c>
      <c r="F202" s="64" t="str">
        <f>_xlfn.CONCAT(Tableau118[[#This Row],[ID]],"-","Next")</f>
        <v>-Next</v>
      </c>
      <c r="G202" s="64" t="e">
        <f ca="1">_xlfn.CONCAT(Tableau118[[#This Row],[POD]],"-",Tableau118[[#This Row],[Code PFI]],"-",Tableau118[[#This Row],[Compte Site]])</f>
        <v>#N/A</v>
      </c>
      <c r="H202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2" s="397" t="str">
        <f ca="1">IF(COUNTIF(I:I,Tableau118[[#This Row],[Plant-ILN-shipper-POL-Carrier-POD-PFI]])=1,"Non","Oui")</f>
        <v>Oui</v>
      </c>
      <c r="K202" s="398" t="e">
        <f>VLOOKUP(Tableau118[[#This Row],[Name Site]],Plant_AILN!A:D,4,FALSE)</f>
        <v>#N/A</v>
      </c>
      <c r="L202" s="285"/>
      <c r="M202" s="480"/>
      <c r="N202" s="55"/>
      <c r="O202" s="122"/>
      <c r="P202" s="481"/>
      <c r="Q202" s="50"/>
      <c r="R202" s="50"/>
      <c r="S202" s="50"/>
      <c r="T202" s="50"/>
      <c r="U202" s="50"/>
      <c r="V202" s="50"/>
      <c r="W202" s="53"/>
      <c r="X202" s="283"/>
      <c r="Y202" s="482">
        <f>IFERROR(VLOOKUP(Tableau118[[#This Row],[Name Shipper]],Plant_AILN!L:M,2,FALSE),0)</f>
        <v>0</v>
      </c>
      <c r="Z202" s="358"/>
      <c r="AA202" s="353" t="e">
        <f ca="1">VLOOKUP(Tableau118[[#This Row],[Key(ID-Actif)]],'DATA BTO'!A:N,5,FALSE)</f>
        <v>#N/A</v>
      </c>
      <c r="AB202" s="3" t="e">
        <f ca="1">VLOOKUP(Tableau118[[#This Row],[Key(ID-Actif)]],'DATA BTO'!A:N,6,FALSE)</f>
        <v>#N/A</v>
      </c>
      <c r="AC202" s="50" t="e">
        <f ca="1">VLOOKUP(Tableau118[[#This Row],[Key(ID-Actif)]],'DATA BTO'!A:N,7,FALSE)</f>
        <v>#N/A</v>
      </c>
      <c r="AD202" s="50" t="e">
        <f ca="1">VLOOKUP(Tableau118[[#This Row],[Key(ID-Actif)]],'DATA BTO'!A:N,8,FALSE)</f>
        <v>#N/A</v>
      </c>
      <c r="AE202" s="50" t="e">
        <f ca="1">IF(Tableau118[[#This Row],[First Day to POL]]&lt;=Tableau118[[#This Row],[Day Cut Off]],Tableau118[[#This Row],[Day ETD]],Tableau118[[#This Row],[Day ETD]]+7)</f>
        <v>#N/A</v>
      </c>
      <c r="AF202" s="50" t="e">
        <f ca="1">VLOOKUP(Tableau118[[#This Row],[Key(ID-Actif)]],'DATA BTO'!A:N,9,FALSE)</f>
        <v>#N/A</v>
      </c>
      <c r="AG202" s="3" t="e">
        <f ca="1">VLOOKUP(Tableau118[[#This Row],[Key(ID-Actif)]],'DATA BTO'!A:N,10,FALSE)</f>
        <v>#N/A</v>
      </c>
      <c r="AH202" s="3" t="e">
        <f ca="1">VLOOKUP(Tableau118[[#This Row],[Key(ID-Actif)]],'DATA BTO'!A:N,11,FALSE)</f>
        <v>#N/A</v>
      </c>
      <c r="AI202" s="50" t="e">
        <f ca="1">VLOOKUP(Tableau118[[#This Row],[Key(ID-Actif)]],'DATA BTO'!A:N,12,FALSE)</f>
        <v>#N/A</v>
      </c>
      <c r="AJ202" s="53" t="e">
        <f ca="1">VLOOKUP(Tableau118[[#This Row],[Key(ID-Actif)]],'DATA BTO'!A:N,14,FALSE)</f>
        <v>#N/A</v>
      </c>
      <c r="AK202" s="54" t="e">
        <f ca="1">VLOOKUP(Tableau118[[#This Row],[Key(POD -PFI- Usine)]],'DATA Consignee'!A:F,6,FALSE)</f>
        <v>#N/A</v>
      </c>
      <c r="AL202" s="125"/>
      <c r="AM202" s="483" t="str">
        <f>IF(Tableau118[[#This Row],[Name PFI/CDD]]="","-",VLOOKUP(Tableau118[[#This Row],[Name PFI/CDD]],Plant_AILN!I:J,2,FALSE))</f>
        <v>-</v>
      </c>
      <c r="AN20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2" s="2" t="e">
        <f ca="1">VLOOKUP(Tableau118[[#This Row],[Key(POD -PFI- Usine)]],'DATA Consignee'!A:J,10,FALSE)</f>
        <v>#N/A</v>
      </c>
      <c r="AQ202" s="50" t="e">
        <f ca="1">VLOOKUP(Tableau118[[#This Row],[Key(POD -PFI- Usine)]],'DATA Consignee'!A:N,14,FALSE)</f>
        <v>#N/A</v>
      </c>
      <c r="AR20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2" s="50" t="e">
        <f ca="1">Tableau118[[#This Row],[Transit time]]+Tableau118[[#This Row],[Time for security]]+Tableau118[[#This Row],[Time for security2 buffer]]</f>
        <v>#N/A</v>
      </c>
      <c r="AU20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2" s="389" t="e">
        <f ca="1">Tableau118[[#This Row],[Leadtime SI2C]]+Tableau118[[#This Row],[First Receipt Days]]-Tableau118[[#This Row],[Day Customer Order]]+1</f>
        <v>#N/A</v>
      </c>
      <c r="AW202" s="117" t="e">
        <f ca="1">IF(Tableau118[[#This Row],[Name ILN]]&lt;&gt;"SFK Freight Forwarder",Tableau118[[#This Row],[Cust. Leadtime]],Tableau118[[#This Row],[Leadtime SI2C]])</f>
        <v>#N/A</v>
      </c>
      <c r="AX202" s="51" t="e">
        <f>VLOOKUP(Tableau118[[#This Row],[ID]],'DATA BTO'!B:P,15,FALSE)</f>
        <v>#N/A</v>
      </c>
      <c r="AY202" s="328" t="e">
        <f ca="1">IFERROR(VLOOKUP(Tableau118[[#This Row],[Key(ID-Actif)]],'DATA BTO'!A:N,4,FALSE),VLOOKUP(Tableau118[[#This Row],[ID]],'DATA BTO'!B:N,3,FALSE))</f>
        <v>#N/A</v>
      </c>
      <c r="AZ20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2" s="50"/>
    </row>
    <row r="203" spans="2:57">
      <c r="B203" s="65" t="str">
        <f>_xlfn.CONCAT(Tableau118[[#This Row],[Name ILN]],"-",Tableau118[[#This Row],[Name Shipper]],"-",Tableau118[[#This Row],[Name Site]])</f>
        <v>--</v>
      </c>
      <c r="C203" s="65" t="e">
        <f ca="1">_xlfn.CONCAT(Tableau118[[#This Row],[Compte ILN]],"-",Tableau118[[#This Row],[Compte Shipper]],"-",Tableau118[[#This Row],[POL]],"-",Tableau118[[#This Row],[Compte Site]])</f>
        <v>#N/A</v>
      </c>
      <c r="D203" s="64" t="e">
        <f ca="1">_xlfn.CONCAT(Tableau118[[#This Row],[Compte ILN]],"-",Tableau118[[#This Row],[Compte Shipper]],"-",Tableau118[[#This Row],[POL]])</f>
        <v>#N/A</v>
      </c>
      <c r="E203" s="396" t="e">
        <f ca="1">_xlfn.CONCAT(Tableau118[[#This Row],[POL]],"-",Tableau118[[#This Row],[Carrier]],"-",Tableau118[[#This Row],[POD]])</f>
        <v>#N/A</v>
      </c>
      <c r="F203" s="64" t="str">
        <f>_xlfn.CONCAT(Tableau118[[#This Row],[ID]],"-","Next")</f>
        <v>-Next</v>
      </c>
      <c r="G203" s="64" t="e">
        <f ca="1">_xlfn.CONCAT(Tableau118[[#This Row],[POD]],"-",Tableau118[[#This Row],[Code PFI]],"-",Tableau118[[#This Row],[Compte Site]])</f>
        <v>#N/A</v>
      </c>
      <c r="H203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3" s="397" t="str">
        <f ca="1">IF(COUNTIF(I:I,Tableau118[[#This Row],[Plant-ILN-shipper-POL-Carrier-POD-PFI]])=1,"Non","Oui")</f>
        <v>Oui</v>
      </c>
      <c r="K203" s="398" t="e">
        <f>VLOOKUP(Tableau118[[#This Row],[Name Site]],Plant_AILN!A:D,4,FALSE)</f>
        <v>#N/A</v>
      </c>
      <c r="L203" s="363"/>
      <c r="M203" s="480"/>
      <c r="N203" s="55"/>
      <c r="O203" s="122"/>
      <c r="P203" s="481"/>
      <c r="Q203" s="50"/>
      <c r="R203" s="50"/>
      <c r="S203" s="50"/>
      <c r="T203" s="50"/>
      <c r="U203" s="50"/>
      <c r="V203" s="50"/>
      <c r="W203" s="53"/>
      <c r="X203" s="283"/>
      <c r="Y203" s="482">
        <f>IFERROR(VLOOKUP(Tableau118[[#This Row],[Name Shipper]],Plant_AILN!L:M,2,FALSE),0)</f>
        <v>0</v>
      </c>
      <c r="Z203" s="358"/>
      <c r="AA203" s="353" t="e">
        <f ca="1">VLOOKUP(Tableau118[[#This Row],[Key(ID-Actif)]],'DATA BTO'!A:N,5,FALSE)</f>
        <v>#N/A</v>
      </c>
      <c r="AB203" s="3" t="e">
        <f ca="1">VLOOKUP(Tableau118[[#This Row],[Key(ID-Actif)]],'DATA BTO'!A:N,6,FALSE)</f>
        <v>#N/A</v>
      </c>
      <c r="AC203" s="50" t="e">
        <f ca="1">VLOOKUP(Tableau118[[#This Row],[Key(ID-Actif)]],'DATA BTO'!A:N,7,FALSE)</f>
        <v>#N/A</v>
      </c>
      <c r="AD203" s="50" t="e">
        <f ca="1">VLOOKUP(Tableau118[[#This Row],[Key(ID-Actif)]],'DATA BTO'!A:N,8,FALSE)</f>
        <v>#N/A</v>
      </c>
      <c r="AE203" s="50" t="e">
        <f ca="1">IF(Tableau118[[#This Row],[First Day to POL]]&lt;=Tableau118[[#This Row],[Day Cut Off]],Tableau118[[#This Row],[Day ETD]],Tableau118[[#This Row],[Day ETD]]+7)</f>
        <v>#N/A</v>
      </c>
      <c r="AF203" s="50" t="e">
        <f ca="1">VLOOKUP(Tableau118[[#This Row],[Key(ID-Actif)]],'DATA BTO'!A:N,9,FALSE)</f>
        <v>#N/A</v>
      </c>
      <c r="AG203" s="3" t="e">
        <f ca="1">VLOOKUP(Tableau118[[#This Row],[Key(ID-Actif)]],'DATA BTO'!A:N,10,FALSE)</f>
        <v>#N/A</v>
      </c>
      <c r="AH203" s="3" t="e">
        <f ca="1">VLOOKUP(Tableau118[[#This Row],[Key(ID-Actif)]],'DATA BTO'!A:N,11,FALSE)</f>
        <v>#N/A</v>
      </c>
      <c r="AI203" s="50" t="e">
        <f ca="1">VLOOKUP(Tableau118[[#This Row],[Key(ID-Actif)]],'DATA BTO'!A:N,12,FALSE)</f>
        <v>#N/A</v>
      </c>
      <c r="AJ203" s="53" t="e">
        <f ca="1">VLOOKUP(Tableau118[[#This Row],[Key(ID-Actif)]],'DATA BTO'!A:N,14,FALSE)</f>
        <v>#N/A</v>
      </c>
      <c r="AK203" s="54" t="e">
        <f ca="1">VLOOKUP(Tableau118[[#This Row],[Key(POD -PFI- Usine)]],'DATA Consignee'!A:F,6,FALSE)</f>
        <v>#N/A</v>
      </c>
      <c r="AL203" s="125" t="s">
        <v>153</v>
      </c>
      <c r="AM203" s="483">
        <f>IF(Tableau118[[#This Row],[Name PFI/CDD]]="","-",VLOOKUP(Tableau118[[#This Row],[Name PFI/CDD]],Plant_AILN!I:J,2,FALSE))</f>
        <v>90016600</v>
      </c>
      <c r="AN20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3" s="2" t="e">
        <f ca="1">VLOOKUP(Tableau118[[#This Row],[Key(POD -PFI- Usine)]],'DATA Consignee'!A:J,10,FALSE)</f>
        <v>#N/A</v>
      </c>
      <c r="AQ203" s="50" t="e">
        <f ca="1">VLOOKUP(Tableau118[[#This Row],[Key(POD -PFI- Usine)]],'DATA Consignee'!A:N,14,FALSE)</f>
        <v>#N/A</v>
      </c>
      <c r="AR20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3" s="50" t="e">
        <f ca="1">Tableau118[[#This Row],[Transit time]]+Tableau118[[#This Row],[Time for security]]+Tableau118[[#This Row],[Time for security2 buffer]]</f>
        <v>#N/A</v>
      </c>
      <c r="AU20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3" s="389" t="e">
        <f ca="1">Tableau118[[#This Row],[Leadtime SI2C]]+Tableau118[[#This Row],[First Receipt Days]]-Tableau118[[#This Row],[Day Customer Order]]+1</f>
        <v>#N/A</v>
      </c>
      <c r="AW203" s="117" t="e">
        <f ca="1">IF(Tableau118[[#This Row],[Name ILN]]&lt;&gt;"SFK Freight Forwarder",Tableau118[[#This Row],[Cust. Leadtime]],Tableau118[[#This Row],[Leadtime SI2C]])</f>
        <v>#N/A</v>
      </c>
      <c r="AX203" s="51" t="e">
        <f>VLOOKUP(Tableau118[[#This Row],[ID]],'DATA BTO'!B:P,15,FALSE)</f>
        <v>#N/A</v>
      </c>
      <c r="AY203" s="328" t="e">
        <f ca="1">IFERROR(VLOOKUP(Tableau118[[#This Row],[Key(ID-Actif)]],'DATA BTO'!A:N,4,FALSE),VLOOKUP(Tableau118[[#This Row],[ID]],'DATA BTO'!B:N,3,FALSE))</f>
        <v>#N/A</v>
      </c>
      <c r="AZ20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3" s="50"/>
    </row>
    <row r="204" spans="2:57">
      <c r="B204" s="65" t="str">
        <f>_xlfn.CONCAT(Tableau118[[#This Row],[Name ILN]],"-",Tableau118[[#This Row],[Name Shipper]],"-",Tableau118[[#This Row],[Name Site]])</f>
        <v>--</v>
      </c>
      <c r="C204" s="65" t="e">
        <f ca="1">_xlfn.CONCAT(Tableau118[[#This Row],[Compte ILN]],"-",Tableau118[[#This Row],[Compte Shipper]],"-",Tableau118[[#This Row],[POL]],"-",Tableau118[[#This Row],[Compte Site]])</f>
        <v>#N/A</v>
      </c>
      <c r="D204" s="64" t="e">
        <f ca="1">_xlfn.CONCAT(Tableau118[[#This Row],[Compte ILN]],"-",Tableau118[[#This Row],[Compte Shipper]],"-",Tableau118[[#This Row],[POL]])</f>
        <v>#N/A</v>
      </c>
      <c r="E204" s="396" t="e">
        <f ca="1">_xlfn.CONCAT(Tableau118[[#This Row],[POL]],"-",Tableau118[[#This Row],[Carrier]],"-",Tableau118[[#This Row],[POD]])</f>
        <v>#N/A</v>
      </c>
      <c r="F204" s="64" t="str">
        <f>_xlfn.CONCAT(Tableau118[[#This Row],[ID]],"-","Next")</f>
        <v>-Next</v>
      </c>
      <c r="G204" s="64" t="e">
        <f ca="1">_xlfn.CONCAT(Tableau118[[#This Row],[POD]],"-",Tableau118[[#This Row],[Code PFI]],"-",Tableau118[[#This Row],[Compte Site]])</f>
        <v>#N/A</v>
      </c>
      <c r="H204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4" s="397" t="str">
        <f ca="1">IF(COUNTIF(I:I,Tableau118[[#This Row],[Plant-ILN-shipper-POL-Carrier-POD-PFI]])=1,"Non","Oui")</f>
        <v>Oui</v>
      </c>
      <c r="K204" s="398" t="e">
        <f>VLOOKUP(Tableau118[[#This Row],[Name Site]],Plant_AILN!A:D,4,FALSE)</f>
        <v>#N/A</v>
      </c>
      <c r="L204" s="363"/>
      <c r="M204" s="480"/>
      <c r="N204" s="55"/>
      <c r="O204" s="122"/>
      <c r="P204" s="481"/>
      <c r="Q204" s="50"/>
      <c r="R204" s="50"/>
      <c r="S204" s="50"/>
      <c r="T204" s="50"/>
      <c r="U204" s="50"/>
      <c r="V204" s="50"/>
      <c r="W204" s="53"/>
      <c r="X204" s="283"/>
      <c r="Y204" s="482">
        <f>IFERROR(VLOOKUP(Tableau118[[#This Row],[Name Shipper]],Plant_AILN!L:M,2,FALSE),0)</f>
        <v>0</v>
      </c>
      <c r="Z204" s="358"/>
      <c r="AA204" s="353" t="e">
        <f ca="1">VLOOKUP(Tableau118[[#This Row],[Key(ID-Actif)]],'DATA BTO'!A:N,5,FALSE)</f>
        <v>#N/A</v>
      </c>
      <c r="AB204" s="3" t="e">
        <f ca="1">VLOOKUP(Tableau118[[#This Row],[Key(ID-Actif)]],'DATA BTO'!A:N,6,FALSE)</f>
        <v>#N/A</v>
      </c>
      <c r="AC204" s="50" t="e">
        <f ca="1">VLOOKUP(Tableau118[[#This Row],[Key(ID-Actif)]],'DATA BTO'!A:N,7,FALSE)</f>
        <v>#N/A</v>
      </c>
      <c r="AD204" s="50" t="e">
        <f ca="1">VLOOKUP(Tableau118[[#This Row],[Key(ID-Actif)]],'DATA BTO'!A:N,8,FALSE)</f>
        <v>#N/A</v>
      </c>
      <c r="AE204" s="50" t="e">
        <f ca="1">IF(Tableau118[[#This Row],[First Day to POL]]&lt;=Tableau118[[#This Row],[Day Cut Off]],Tableau118[[#This Row],[Day ETD]],Tableau118[[#This Row],[Day ETD]]+7)</f>
        <v>#N/A</v>
      </c>
      <c r="AF204" s="50" t="e">
        <f ca="1">VLOOKUP(Tableau118[[#This Row],[Key(ID-Actif)]],'DATA BTO'!A:N,9,FALSE)</f>
        <v>#N/A</v>
      </c>
      <c r="AG204" s="3" t="e">
        <f ca="1">VLOOKUP(Tableau118[[#This Row],[Key(ID-Actif)]],'DATA BTO'!A:N,10,FALSE)</f>
        <v>#N/A</v>
      </c>
      <c r="AH204" s="3" t="e">
        <f ca="1">VLOOKUP(Tableau118[[#This Row],[Key(ID-Actif)]],'DATA BTO'!A:N,11,FALSE)</f>
        <v>#N/A</v>
      </c>
      <c r="AI204" s="50" t="e">
        <f ca="1">VLOOKUP(Tableau118[[#This Row],[Key(ID-Actif)]],'DATA BTO'!A:N,12,FALSE)</f>
        <v>#N/A</v>
      </c>
      <c r="AJ204" s="53" t="e">
        <f ca="1">VLOOKUP(Tableau118[[#This Row],[Key(ID-Actif)]],'DATA BTO'!A:N,14,FALSE)</f>
        <v>#N/A</v>
      </c>
      <c r="AK204" s="54" t="e">
        <f ca="1">VLOOKUP(Tableau118[[#This Row],[Key(POD -PFI- Usine)]],'DATA Consignee'!A:F,6,FALSE)</f>
        <v>#N/A</v>
      </c>
      <c r="AL204" s="125" t="s">
        <v>153</v>
      </c>
      <c r="AM204" s="483">
        <f>IF(Tableau118[[#This Row],[Name PFI/CDD]]="","-",VLOOKUP(Tableau118[[#This Row],[Name PFI/CDD]],Plant_AILN!I:J,2,FALSE))</f>
        <v>90016600</v>
      </c>
      <c r="AN20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4" s="2" t="e">
        <f ca="1">VLOOKUP(Tableau118[[#This Row],[Key(POD -PFI- Usine)]],'DATA Consignee'!A:J,10,FALSE)</f>
        <v>#N/A</v>
      </c>
      <c r="AQ204" s="50" t="e">
        <f ca="1">VLOOKUP(Tableau118[[#This Row],[Key(POD -PFI- Usine)]],'DATA Consignee'!A:N,14,FALSE)</f>
        <v>#N/A</v>
      </c>
      <c r="AR20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4" s="50" t="e">
        <f ca="1">Tableau118[[#This Row],[Transit time]]+Tableau118[[#This Row],[Time for security]]+Tableau118[[#This Row],[Time for security2 buffer]]</f>
        <v>#N/A</v>
      </c>
      <c r="AU20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4" s="389" t="e">
        <f ca="1">Tableau118[[#This Row],[Leadtime SI2C]]+Tableau118[[#This Row],[First Receipt Days]]-Tableau118[[#This Row],[Day Customer Order]]+1</f>
        <v>#N/A</v>
      </c>
      <c r="AW204" s="117" t="e">
        <f ca="1">IF(Tableau118[[#This Row],[Name ILN]]&lt;&gt;"SFK Freight Forwarder",Tableau118[[#This Row],[Cust. Leadtime]],Tableau118[[#This Row],[Leadtime SI2C]])</f>
        <v>#N/A</v>
      </c>
      <c r="AX204" s="51" t="e">
        <f>VLOOKUP(Tableau118[[#This Row],[ID]],'DATA BTO'!B:P,15,FALSE)</f>
        <v>#N/A</v>
      </c>
      <c r="AY204" s="328" t="e">
        <f ca="1">IFERROR(VLOOKUP(Tableau118[[#This Row],[Key(ID-Actif)]],'DATA BTO'!A:N,4,FALSE),VLOOKUP(Tableau118[[#This Row],[ID]],'DATA BTO'!B:N,3,FALSE))</f>
        <v>#N/A</v>
      </c>
      <c r="AZ20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4" s="50"/>
    </row>
    <row r="205" spans="2:57">
      <c r="B205" s="65" t="str">
        <f>_xlfn.CONCAT(Tableau118[[#This Row],[Name ILN]],"-",Tableau118[[#This Row],[Name Shipper]],"-",Tableau118[[#This Row],[Name Site]])</f>
        <v>--</v>
      </c>
      <c r="C205" s="65" t="e">
        <f ca="1">_xlfn.CONCAT(Tableau118[[#This Row],[Compte ILN]],"-",Tableau118[[#This Row],[Compte Shipper]],"-",Tableau118[[#This Row],[POL]],"-",Tableau118[[#This Row],[Compte Site]])</f>
        <v>#N/A</v>
      </c>
      <c r="D205" s="64" t="e">
        <f ca="1">_xlfn.CONCAT(Tableau118[[#This Row],[Compte ILN]],"-",Tableau118[[#This Row],[Compte Shipper]],"-",Tableau118[[#This Row],[POL]])</f>
        <v>#N/A</v>
      </c>
      <c r="E205" s="396" t="e">
        <f ca="1">_xlfn.CONCAT(Tableau118[[#This Row],[POL]],"-",Tableau118[[#This Row],[Carrier]],"-",Tableau118[[#This Row],[POD]])</f>
        <v>#N/A</v>
      </c>
      <c r="F205" s="64" t="str">
        <f>_xlfn.CONCAT(Tableau118[[#This Row],[ID]],"-","Next")</f>
        <v>-Next</v>
      </c>
      <c r="G205" s="64" t="e">
        <f ca="1">_xlfn.CONCAT(Tableau118[[#This Row],[POD]],"-",Tableau118[[#This Row],[Code PFI]],"-",Tableau118[[#This Row],[Compte Site]])</f>
        <v>#N/A</v>
      </c>
      <c r="H205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5" s="397" t="str">
        <f ca="1">IF(COUNTIF(I:I,Tableau118[[#This Row],[Plant-ILN-shipper-POL-Carrier-POD-PFI]])=1,"Non","Oui")</f>
        <v>Oui</v>
      </c>
      <c r="K205" s="398" t="e">
        <f>VLOOKUP(Tableau118[[#This Row],[Name Site]],Plant_AILN!A:D,4,FALSE)</f>
        <v>#N/A</v>
      </c>
      <c r="L205" s="363"/>
      <c r="M205" s="480"/>
      <c r="N205" s="55"/>
      <c r="O205" s="122"/>
      <c r="P205" s="481"/>
      <c r="Q205" s="50"/>
      <c r="R205" s="50"/>
      <c r="S205" s="50"/>
      <c r="T205" s="50"/>
      <c r="U205" s="50"/>
      <c r="V205" s="50"/>
      <c r="W205" s="53"/>
      <c r="X205" s="283"/>
      <c r="Y205" s="482">
        <f>IFERROR(VLOOKUP(Tableau118[[#This Row],[Name Shipper]],Plant_AILN!L:M,2,FALSE),0)</f>
        <v>0</v>
      </c>
      <c r="Z205" s="358"/>
      <c r="AA205" s="353" t="e">
        <f ca="1">VLOOKUP(Tableau118[[#This Row],[Key(ID-Actif)]],'DATA BTO'!A:N,5,FALSE)</f>
        <v>#N/A</v>
      </c>
      <c r="AB205" s="3" t="e">
        <f ca="1">VLOOKUP(Tableau118[[#This Row],[Key(ID-Actif)]],'DATA BTO'!A:N,6,FALSE)</f>
        <v>#N/A</v>
      </c>
      <c r="AC205" s="50" t="e">
        <f ca="1">VLOOKUP(Tableau118[[#This Row],[Key(ID-Actif)]],'DATA BTO'!A:N,7,FALSE)</f>
        <v>#N/A</v>
      </c>
      <c r="AD205" s="50" t="e">
        <f ca="1">VLOOKUP(Tableau118[[#This Row],[Key(ID-Actif)]],'DATA BTO'!A:N,8,FALSE)</f>
        <v>#N/A</v>
      </c>
      <c r="AE205" s="50" t="e">
        <f ca="1">IF(Tableau118[[#This Row],[First Day to POL]]&lt;=Tableau118[[#This Row],[Day Cut Off]],Tableau118[[#This Row],[Day ETD]],Tableau118[[#This Row],[Day ETD]]+7)</f>
        <v>#N/A</v>
      </c>
      <c r="AF205" s="50" t="e">
        <f ca="1">VLOOKUP(Tableau118[[#This Row],[Key(ID-Actif)]],'DATA BTO'!A:N,9,FALSE)</f>
        <v>#N/A</v>
      </c>
      <c r="AG205" s="3" t="e">
        <f ca="1">VLOOKUP(Tableau118[[#This Row],[Key(ID-Actif)]],'DATA BTO'!A:N,10,FALSE)</f>
        <v>#N/A</v>
      </c>
      <c r="AH205" s="3" t="e">
        <f ca="1">VLOOKUP(Tableau118[[#This Row],[Key(ID-Actif)]],'DATA BTO'!A:N,11,FALSE)</f>
        <v>#N/A</v>
      </c>
      <c r="AI205" s="50" t="e">
        <f ca="1">VLOOKUP(Tableau118[[#This Row],[Key(ID-Actif)]],'DATA BTO'!A:N,12,FALSE)</f>
        <v>#N/A</v>
      </c>
      <c r="AJ205" s="53" t="e">
        <f ca="1">VLOOKUP(Tableau118[[#This Row],[Key(ID-Actif)]],'DATA BTO'!A:N,14,FALSE)</f>
        <v>#N/A</v>
      </c>
      <c r="AK205" s="54" t="e">
        <f ca="1">VLOOKUP(Tableau118[[#This Row],[Key(POD -PFI- Usine)]],'DATA Consignee'!A:F,6,FALSE)</f>
        <v>#N/A</v>
      </c>
      <c r="AL205" s="125" t="s">
        <v>217</v>
      </c>
      <c r="AM205" s="483">
        <f>IF(Tableau118[[#This Row],[Name PFI/CDD]]="","-",VLOOKUP(Tableau118[[#This Row],[Name PFI/CDD]],Plant_AILN!I:J,2,FALSE))</f>
        <v>90016600</v>
      </c>
      <c r="AN20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5" s="2" t="e">
        <f ca="1">VLOOKUP(Tableau118[[#This Row],[Key(POD -PFI- Usine)]],'DATA Consignee'!A:J,10,FALSE)</f>
        <v>#N/A</v>
      </c>
      <c r="AQ205" s="50" t="e">
        <f ca="1">VLOOKUP(Tableau118[[#This Row],[Key(POD -PFI- Usine)]],'DATA Consignee'!A:N,14,FALSE)</f>
        <v>#N/A</v>
      </c>
      <c r="AR20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5" s="50" t="e">
        <f ca="1">Tableau118[[#This Row],[Transit time]]+Tableau118[[#This Row],[Time for security]]+Tableau118[[#This Row],[Time for security2 buffer]]</f>
        <v>#N/A</v>
      </c>
      <c r="AU20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5" s="389" t="e">
        <f ca="1">Tableau118[[#This Row],[Leadtime SI2C]]+Tableau118[[#This Row],[First Receipt Days]]-Tableau118[[#This Row],[Day Customer Order]]+1</f>
        <v>#N/A</v>
      </c>
      <c r="AW205" s="117" t="e">
        <f ca="1">IF(Tableau118[[#This Row],[Name ILN]]&lt;&gt;"SFK Freight Forwarder",Tableau118[[#This Row],[Cust. Leadtime]],Tableau118[[#This Row],[Leadtime SI2C]])</f>
        <v>#N/A</v>
      </c>
      <c r="AX205" s="51" t="e">
        <f>VLOOKUP(Tableau118[[#This Row],[ID]],'DATA BTO'!B:P,15,FALSE)</f>
        <v>#N/A</v>
      </c>
      <c r="AY205" s="328" t="e">
        <f ca="1">IFERROR(VLOOKUP(Tableau118[[#This Row],[Key(ID-Actif)]],'DATA BTO'!A:N,4,FALSE),VLOOKUP(Tableau118[[#This Row],[ID]],'DATA BTO'!B:N,3,FALSE))</f>
        <v>#N/A</v>
      </c>
      <c r="AZ20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5" s="50"/>
    </row>
    <row r="206" spans="2:57">
      <c r="B206" s="65" t="str">
        <f>_xlfn.CONCAT(Tableau118[[#This Row],[Name ILN]],"-",Tableau118[[#This Row],[Name Shipper]],"-",Tableau118[[#This Row],[Name Site]])</f>
        <v>--</v>
      </c>
      <c r="C206" s="65" t="e">
        <f ca="1">_xlfn.CONCAT(Tableau118[[#This Row],[Compte ILN]],"-",Tableau118[[#This Row],[Compte Shipper]],"-",Tableau118[[#This Row],[POL]],"-",Tableau118[[#This Row],[Compte Site]])</f>
        <v>#N/A</v>
      </c>
      <c r="D206" s="64" t="e">
        <f ca="1">_xlfn.CONCAT(Tableau118[[#This Row],[Compte ILN]],"-",Tableau118[[#This Row],[Compte Shipper]],"-",Tableau118[[#This Row],[POL]])</f>
        <v>#N/A</v>
      </c>
      <c r="E206" s="396" t="e">
        <f ca="1">_xlfn.CONCAT(Tableau118[[#This Row],[POL]],"-",Tableau118[[#This Row],[Carrier]],"-",Tableau118[[#This Row],[POD]])</f>
        <v>#N/A</v>
      </c>
      <c r="F206" s="64" t="str">
        <f>_xlfn.CONCAT(Tableau118[[#This Row],[ID]],"-","Next")</f>
        <v>-Next</v>
      </c>
      <c r="G206" s="64" t="e">
        <f ca="1">_xlfn.CONCAT(Tableau118[[#This Row],[POD]],"-",Tableau118[[#This Row],[Code PFI]],"-",Tableau118[[#This Row],[Compte Site]])</f>
        <v>#N/A</v>
      </c>
      <c r="H206" s="396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6" s="397" t="str">
        <f ca="1">IF(COUNTIF(I:I,Tableau118[[#This Row],[Plant-ILN-shipper-POL-Carrier-POD-PFI]])=1,"Non","Oui")</f>
        <v>Oui</v>
      </c>
      <c r="K206" s="398" t="e">
        <f>VLOOKUP(Tableau118[[#This Row],[Name Site]],Plant_AILN!A:D,4,FALSE)</f>
        <v>#N/A</v>
      </c>
      <c r="L206" s="363"/>
      <c r="M206" s="480"/>
      <c r="N206" s="55"/>
      <c r="O206" s="122"/>
      <c r="P206" s="481"/>
      <c r="Q206" s="50"/>
      <c r="R206" s="50"/>
      <c r="S206" s="50"/>
      <c r="T206" s="50"/>
      <c r="U206" s="50"/>
      <c r="V206" s="50"/>
      <c r="W206" s="53"/>
      <c r="X206" s="283"/>
      <c r="Y206" s="482">
        <f>IFERROR(VLOOKUP(Tableau118[[#This Row],[Name Shipper]],Plant_AILN!L:M,2,FALSE),0)</f>
        <v>0</v>
      </c>
      <c r="Z206" s="358"/>
      <c r="AA206" s="353" t="e">
        <f ca="1">VLOOKUP(Tableau118[[#This Row],[Key(ID-Actif)]],'DATA BTO'!A:N,5,FALSE)</f>
        <v>#N/A</v>
      </c>
      <c r="AB206" s="3" t="e">
        <f ca="1">VLOOKUP(Tableau118[[#This Row],[Key(ID-Actif)]],'DATA BTO'!A:N,6,FALSE)</f>
        <v>#N/A</v>
      </c>
      <c r="AC206" s="50" t="e">
        <f ca="1">VLOOKUP(Tableau118[[#This Row],[Key(ID-Actif)]],'DATA BTO'!A:N,7,FALSE)</f>
        <v>#N/A</v>
      </c>
      <c r="AD206" s="50" t="e">
        <f ca="1">VLOOKUP(Tableau118[[#This Row],[Key(ID-Actif)]],'DATA BTO'!A:N,8,FALSE)</f>
        <v>#N/A</v>
      </c>
      <c r="AE206" s="50" t="e">
        <f ca="1">IF(Tableau118[[#This Row],[First Day to POL]]&lt;=Tableau118[[#This Row],[Day Cut Off]],Tableau118[[#This Row],[Day ETD]],Tableau118[[#This Row],[Day ETD]]+7)</f>
        <v>#N/A</v>
      </c>
      <c r="AF206" s="50" t="e">
        <f ca="1">VLOOKUP(Tableau118[[#This Row],[Key(ID-Actif)]],'DATA BTO'!A:N,9,FALSE)</f>
        <v>#N/A</v>
      </c>
      <c r="AG206" s="3" t="e">
        <f ca="1">VLOOKUP(Tableau118[[#This Row],[Key(ID-Actif)]],'DATA BTO'!A:N,10,FALSE)</f>
        <v>#N/A</v>
      </c>
      <c r="AH206" s="3" t="e">
        <f ca="1">VLOOKUP(Tableau118[[#This Row],[Key(ID-Actif)]],'DATA BTO'!A:N,11,FALSE)</f>
        <v>#N/A</v>
      </c>
      <c r="AI206" s="50" t="e">
        <f ca="1">VLOOKUP(Tableau118[[#This Row],[Key(ID-Actif)]],'DATA BTO'!A:N,12,FALSE)</f>
        <v>#N/A</v>
      </c>
      <c r="AJ206" s="53" t="e">
        <f ca="1">VLOOKUP(Tableau118[[#This Row],[Key(ID-Actif)]],'DATA BTO'!A:N,14,FALSE)</f>
        <v>#N/A</v>
      </c>
      <c r="AK206" s="54" t="e">
        <f ca="1">VLOOKUP(Tableau118[[#This Row],[Key(POD -PFI- Usine)]],'DATA Consignee'!A:F,6,FALSE)</f>
        <v>#N/A</v>
      </c>
      <c r="AL206" s="125"/>
      <c r="AM206" s="483" t="str">
        <f>IF(Tableau118[[#This Row],[Name PFI/CDD]]="","-",VLOOKUP(Tableau118[[#This Row],[Name PFI/CDD]],Plant_AILN!I:J,2,FALSE))</f>
        <v>-</v>
      </c>
      <c r="AN20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6" s="2" t="e">
        <f ca="1">VLOOKUP(Tableau118[[#This Row],[Key(POD -PFI- Usine)]],'DATA Consignee'!A:J,10,FALSE)</f>
        <v>#N/A</v>
      </c>
      <c r="AQ206" s="50" t="e">
        <f ca="1">VLOOKUP(Tableau118[[#This Row],[Key(POD -PFI- Usine)]],'DATA Consignee'!A:N,14,FALSE)</f>
        <v>#N/A</v>
      </c>
      <c r="AR20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6" s="50" t="e">
        <f ca="1">Tableau118[[#This Row],[Transit time]]+Tableau118[[#This Row],[Time for security]]+Tableau118[[#This Row],[Time for security2 buffer]]</f>
        <v>#N/A</v>
      </c>
      <c r="AU20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6" s="389" t="e">
        <f ca="1">Tableau118[[#This Row],[Leadtime SI2C]]+Tableau118[[#This Row],[First Receipt Days]]-Tableau118[[#This Row],[Day Customer Order]]+1</f>
        <v>#N/A</v>
      </c>
      <c r="AW206" s="117" t="e">
        <f ca="1">IF(Tableau118[[#This Row],[Name ILN]]&lt;&gt;"SFK Freight Forwarder",Tableau118[[#This Row],[Cust. Leadtime]],Tableau118[[#This Row],[Leadtime SI2C]])</f>
        <v>#N/A</v>
      </c>
      <c r="AX206" s="51" t="e">
        <f>VLOOKUP(Tableau118[[#This Row],[ID]],'DATA BTO'!B:P,15,FALSE)</f>
        <v>#N/A</v>
      </c>
      <c r="AY206" s="328" t="e">
        <f ca="1">IFERROR(VLOOKUP(Tableau118[[#This Row],[Key(ID-Actif)]],'DATA BTO'!A:N,4,FALSE),VLOOKUP(Tableau118[[#This Row],[ID]],'DATA BTO'!B:N,3,FALSE))</f>
        <v>#N/A</v>
      </c>
      <c r="AZ20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6" s="50"/>
    </row>
    <row r="207" spans="2:57">
      <c r="B207" s="65" t="str">
        <f>_xlfn.CONCAT(Tableau118[[#This Row],[Name ILN]],"-",Tableau118[[#This Row],[Name Shipper]],"-",Tableau118[[#This Row],[Name Site]])</f>
        <v>--</v>
      </c>
      <c r="C207" s="65" t="e">
        <f ca="1">_xlfn.CONCAT(Tableau118[[#This Row],[Compte ILN]],"-",Tableau118[[#This Row],[Compte Shipper]],"-",Tableau118[[#This Row],[POL]],"-",Tableau118[[#This Row],[Compte Site]])</f>
        <v>#N/A</v>
      </c>
      <c r="D207" s="80" t="e">
        <f ca="1">_xlfn.CONCAT(Tableau118[[#This Row],[Compte ILN]],"-",Tableau118[[#This Row],[Compte Shipper]],"-",Tableau118[[#This Row],[POL]])</f>
        <v>#N/A</v>
      </c>
      <c r="E207" s="81" t="e">
        <f ca="1">_xlfn.CONCAT(Tableau118[[#This Row],[POL]],"-",Tableau118[[#This Row],[Carrier]],"-",Tableau118[[#This Row],[POD]])</f>
        <v>#N/A</v>
      </c>
      <c r="F207" s="80" t="str">
        <f>_xlfn.CONCAT(Tableau118[[#This Row],[ID]],"-","Next")</f>
        <v>-Next</v>
      </c>
      <c r="G207" s="80" t="e">
        <f ca="1">_xlfn.CONCAT(Tableau118[[#This Row],[POD]],"-",Tableau118[[#This Row],[Code PFI]],"-",Tableau118[[#This Row],[Compte Site]])</f>
        <v>#N/A</v>
      </c>
      <c r="H20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7" s="397" t="str">
        <f ca="1">IF(COUNTIF(I:I,Tableau118[[#This Row],[Plant-ILN-shipper-POL-Carrier-POD-PFI]])=1,"Non","Oui")</f>
        <v>Oui</v>
      </c>
      <c r="K207" s="126" t="e">
        <f>VLOOKUP(Tableau118[[#This Row],[Name Site]],Plant_AILN!A:D,4,FALSE)</f>
        <v>#N/A</v>
      </c>
      <c r="L207" s="10"/>
      <c r="M207" s="480"/>
      <c r="N207" s="55"/>
      <c r="O207" s="122"/>
      <c r="P207" s="481"/>
      <c r="Q207" s="50"/>
      <c r="R207" s="50"/>
      <c r="S207" s="50"/>
      <c r="T207" s="50"/>
      <c r="U207" s="50"/>
      <c r="V207" s="50"/>
      <c r="W207" s="53"/>
      <c r="X207" s="283"/>
      <c r="Y207" s="482">
        <f>IFERROR(VLOOKUP(Tableau118[[#This Row],[Name Shipper]],Plant_AILN!L:M,2,FALSE),0)</f>
        <v>0</v>
      </c>
      <c r="Z207" s="358"/>
      <c r="AA207" s="353" t="e">
        <f ca="1">VLOOKUP(Tableau118[[#This Row],[Key(ID-Actif)]],'DATA BTO'!A:N,5,FALSE)</f>
        <v>#N/A</v>
      </c>
      <c r="AB207" s="3" t="e">
        <f ca="1">VLOOKUP(Tableau118[[#This Row],[Key(ID-Actif)]],'DATA BTO'!A:N,6,FALSE)</f>
        <v>#N/A</v>
      </c>
      <c r="AC207" s="50" t="e">
        <f ca="1">VLOOKUP(Tableau118[[#This Row],[Key(ID-Actif)]],'DATA BTO'!A:N,7,FALSE)</f>
        <v>#N/A</v>
      </c>
      <c r="AD207" s="50" t="e">
        <f ca="1">VLOOKUP(Tableau118[[#This Row],[Key(ID-Actif)]],'DATA BTO'!A:N,8,FALSE)</f>
        <v>#N/A</v>
      </c>
      <c r="AE207" s="50" t="e">
        <f ca="1">IF(Tableau118[[#This Row],[First Day to POL]]&lt;=Tableau118[[#This Row],[Day Cut Off]],Tableau118[[#This Row],[Day ETD]],Tableau118[[#This Row],[Day ETD]]+7)</f>
        <v>#N/A</v>
      </c>
      <c r="AF207" s="50" t="e">
        <f ca="1">VLOOKUP(Tableau118[[#This Row],[Key(ID-Actif)]],'DATA BTO'!A:N,9,FALSE)</f>
        <v>#N/A</v>
      </c>
      <c r="AG207" s="3" t="e">
        <f ca="1">VLOOKUP(Tableau118[[#This Row],[Key(ID-Actif)]],'DATA BTO'!A:N,10,FALSE)</f>
        <v>#N/A</v>
      </c>
      <c r="AH207" s="3" t="e">
        <f ca="1">VLOOKUP(Tableau118[[#This Row],[Key(ID-Actif)]],'DATA BTO'!A:N,11,FALSE)</f>
        <v>#N/A</v>
      </c>
      <c r="AI207" s="50" t="e">
        <f ca="1">VLOOKUP(Tableau118[[#This Row],[Key(ID-Actif)]],'DATA BTO'!A:N,12,FALSE)</f>
        <v>#N/A</v>
      </c>
      <c r="AJ207" s="53" t="e">
        <f ca="1">VLOOKUP(Tableau118[[#This Row],[Key(ID-Actif)]],'DATA BTO'!A:N,14,FALSE)</f>
        <v>#N/A</v>
      </c>
      <c r="AK207" s="54" t="e">
        <f ca="1">VLOOKUP(Tableau118[[#This Row],[Key(POD -PFI- Usine)]],'DATA Consignee'!A:F,6,FALSE)</f>
        <v>#N/A</v>
      </c>
      <c r="AL207" s="125"/>
      <c r="AM207" s="483" t="str">
        <f>IF(Tableau118[[#This Row],[Name PFI/CDD]]="","-",VLOOKUP(Tableau118[[#This Row],[Name PFI/CDD]],Plant_AILN!I:J,2,FALSE))</f>
        <v>-</v>
      </c>
      <c r="AN20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7" s="2" t="e">
        <f ca="1">VLOOKUP(Tableau118[[#This Row],[Key(POD -PFI- Usine)]],'DATA Consignee'!A:J,10,FALSE)</f>
        <v>#N/A</v>
      </c>
      <c r="AQ207" s="50" t="e">
        <f ca="1">VLOOKUP(Tableau118[[#This Row],[Key(POD -PFI- Usine)]],'DATA Consignee'!A:N,14,FALSE)</f>
        <v>#N/A</v>
      </c>
      <c r="AR20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7" s="50" t="e">
        <f ca="1">Tableau118[[#This Row],[Transit time]]+Tableau118[[#This Row],[Time for security]]+Tableau118[[#This Row],[Time for security2 buffer]]</f>
        <v>#N/A</v>
      </c>
      <c r="AU20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7" s="389" t="e">
        <f ca="1">Tableau118[[#This Row],[Leadtime SI2C]]+Tableau118[[#This Row],[First Receipt Days]]-Tableau118[[#This Row],[Day Customer Order]]+1</f>
        <v>#N/A</v>
      </c>
      <c r="AW207" s="117" t="e">
        <f ca="1">IF(Tableau118[[#This Row],[Name ILN]]&lt;&gt;"SFK Freight Forwarder",Tableau118[[#This Row],[Cust. Leadtime]],Tableau118[[#This Row],[Leadtime SI2C]])</f>
        <v>#N/A</v>
      </c>
      <c r="AX207" s="51" t="e">
        <f>VLOOKUP(Tableau118[[#This Row],[ID]],'DATA BTO'!B:P,15,FALSE)</f>
        <v>#N/A</v>
      </c>
      <c r="AY207" s="328" t="e">
        <f ca="1">IFERROR(VLOOKUP(Tableau118[[#This Row],[Key(ID-Actif)]],'DATA BTO'!A:N,4,FALSE),VLOOKUP(Tableau118[[#This Row],[ID]],'DATA BTO'!B:N,3,FALSE))</f>
        <v>#N/A</v>
      </c>
      <c r="AZ20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7" s="50"/>
    </row>
    <row r="208" spans="2:57">
      <c r="B208" s="65" t="str">
        <f>_xlfn.CONCAT(Tableau118[[#This Row],[Name ILN]],"-",Tableau118[[#This Row],[Name Shipper]],"-",Tableau118[[#This Row],[Name Site]])</f>
        <v>--</v>
      </c>
      <c r="C208" s="65" t="e">
        <f ca="1">_xlfn.CONCAT(Tableau118[[#This Row],[Compte ILN]],"-",Tableau118[[#This Row],[Compte Shipper]],"-",Tableau118[[#This Row],[POL]],"-",Tableau118[[#This Row],[Compte Site]])</f>
        <v>#N/A</v>
      </c>
      <c r="D208" s="64" t="e">
        <f ca="1">_xlfn.CONCAT(Tableau118[[#This Row],[Compte ILN]],"-",Tableau118[[#This Row],[Compte Shipper]],"-",Tableau118[[#This Row],[POL]])</f>
        <v>#N/A</v>
      </c>
      <c r="E208" s="128" t="e">
        <f ca="1">_xlfn.CONCAT(Tableau118[[#This Row],[POL]],"-",Tableau118[[#This Row],[Carrier]],"-",Tableau118[[#This Row],[POD]])</f>
        <v>#N/A</v>
      </c>
      <c r="F208" s="64" t="str">
        <f>_xlfn.CONCAT(Tableau118[[#This Row],[ID]],"-","Next")</f>
        <v>-Next</v>
      </c>
      <c r="G208" s="64" t="e">
        <f ca="1">_xlfn.CONCAT(Tableau118[[#This Row],[POD]],"-",Tableau118[[#This Row],[Code PFI]],"-",Tableau118[[#This Row],[Compte Site]])</f>
        <v>#N/A</v>
      </c>
      <c r="H20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8" s="397" t="str">
        <f ca="1">IF(COUNTIF(I:I,Tableau118[[#This Row],[Plant-ILN-shipper-POL-Carrier-POD-PFI]])=1,"Non","Oui")</f>
        <v>Oui</v>
      </c>
      <c r="K208" s="126" t="e">
        <f>VLOOKUP(Tableau118[[#This Row],[Name Site]],Plant_AILN!A:D,4,FALSE)</f>
        <v>#N/A</v>
      </c>
      <c r="L208" s="10"/>
      <c r="M208" s="480"/>
      <c r="N208" s="55"/>
      <c r="O208" s="122"/>
      <c r="P208" s="481"/>
      <c r="Q208" s="50"/>
      <c r="R208" s="50"/>
      <c r="S208" s="50"/>
      <c r="T208" s="50"/>
      <c r="U208" s="50"/>
      <c r="V208" s="50"/>
      <c r="W208" s="53"/>
      <c r="X208" s="283"/>
      <c r="Y208" s="482">
        <f>IFERROR(VLOOKUP(Tableau118[[#This Row],[Name Shipper]],Plant_AILN!L:M,2,FALSE),0)</f>
        <v>0</v>
      </c>
      <c r="Z208" s="358"/>
      <c r="AA208" s="353" t="e">
        <f ca="1">VLOOKUP(Tableau118[[#This Row],[Key(ID-Actif)]],'DATA BTO'!A:N,5,FALSE)</f>
        <v>#N/A</v>
      </c>
      <c r="AB208" s="3" t="e">
        <f ca="1">VLOOKUP(Tableau118[[#This Row],[Key(ID-Actif)]],'DATA BTO'!A:N,6,FALSE)</f>
        <v>#N/A</v>
      </c>
      <c r="AC208" s="50" t="e">
        <f ca="1">VLOOKUP(Tableau118[[#This Row],[Key(ID-Actif)]],'DATA BTO'!A:N,7,FALSE)</f>
        <v>#N/A</v>
      </c>
      <c r="AD208" s="50" t="e">
        <f ca="1">VLOOKUP(Tableau118[[#This Row],[Key(ID-Actif)]],'DATA BTO'!A:N,8,FALSE)</f>
        <v>#N/A</v>
      </c>
      <c r="AE208" s="50" t="e">
        <f ca="1">IF(Tableau118[[#This Row],[First Day to POL]]&lt;=Tableau118[[#This Row],[Day Cut Off]],Tableau118[[#This Row],[Day ETD]],Tableau118[[#This Row],[Day ETD]]+7)</f>
        <v>#N/A</v>
      </c>
      <c r="AF208" s="50" t="e">
        <f ca="1">VLOOKUP(Tableau118[[#This Row],[Key(ID-Actif)]],'DATA BTO'!A:N,9,FALSE)</f>
        <v>#N/A</v>
      </c>
      <c r="AG208" s="3" t="e">
        <f ca="1">VLOOKUP(Tableau118[[#This Row],[Key(ID-Actif)]],'DATA BTO'!A:N,10,FALSE)</f>
        <v>#N/A</v>
      </c>
      <c r="AH208" s="3" t="e">
        <f ca="1">VLOOKUP(Tableau118[[#This Row],[Key(ID-Actif)]],'DATA BTO'!A:N,11,FALSE)</f>
        <v>#N/A</v>
      </c>
      <c r="AI208" s="50" t="e">
        <f ca="1">VLOOKUP(Tableau118[[#This Row],[Key(ID-Actif)]],'DATA BTO'!A:N,12,FALSE)</f>
        <v>#N/A</v>
      </c>
      <c r="AJ208" s="53" t="e">
        <f ca="1">VLOOKUP(Tableau118[[#This Row],[Key(ID-Actif)]],'DATA BTO'!A:N,14,FALSE)</f>
        <v>#N/A</v>
      </c>
      <c r="AK208" s="54" t="e">
        <f ca="1">VLOOKUP(Tableau118[[#This Row],[Key(POD -PFI- Usine)]],'DATA Consignee'!A:F,6,FALSE)</f>
        <v>#N/A</v>
      </c>
      <c r="AL208" s="125" t="s">
        <v>166</v>
      </c>
      <c r="AM208" s="483">
        <f>IF(Tableau118[[#This Row],[Name PFI/CDD]]="","-",VLOOKUP(Tableau118[[#This Row],[Name PFI/CDD]],Plant_AILN!I:J,2,FALSE))</f>
        <v>91018400</v>
      </c>
      <c r="AN20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0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08" s="2" t="e">
        <f ca="1">VLOOKUP(Tableau118[[#This Row],[Key(POD -PFI- Usine)]],'DATA Consignee'!A:J,10,FALSE)</f>
        <v>#N/A</v>
      </c>
      <c r="AQ208" s="50" t="e">
        <f ca="1">VLOOKUP(Tableau118[[#This Row],[Key(POD -PFI- Usine)]],'DATA Consignee'!A:N,14,FALSE)</f>
        <v>#N/A</v>
      </c>
      <c r="AR20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8" s="50" t="e">
        <f ca="1">Tableau118[[#This Row],[Transit time]]+Tableau118[[#This Row],[Time for security]]+Tableau118[[#This Row],[Time for security2 buffer]]</f>
        <v>#N/A</v>
      </c>
      <c r="AU20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8" s="389" t="e">
        <f ca="1">Tableau118[[#This Row],[Leadtime SI2C]]+Tableau118[[#This Row],[First Receipt Days]]-Tableau118[[#This Row],[Day Customer Order]]+1</f>
        <v>#N/A</v>
      </c>
      <c r="AW208" s="117" t="e">
        <f ca="1">IF(Tableau118[[#This Row],[Name ILN]]&lt;&gt;"SFK Freight Forwarder",Tableau118[[#This Row],[Cust. Leadtime]],Tableau118[[#This Row],[Leadtime SI2C]])</f>
        <v>#N/A</v>
      </c>
      <c r="AX208" s="51" t="e">
        <f>VLOOKUP(Tableau118[[#This Row],[ID]],'DATA BTO'!B:P,15,FALSE)</f>
        <v>#N/A</v>
      </c>
      <c r="AY208" s="328" t="e">
        <f ca="1">IFERROR(VLOOKUP(Tableau118[[#This Row],[Key(ID-Actif)]],'DATA BTO'!A:N,4,FALSE),VLOOKUP(Tableau118[[#This Row],[ID]],'DATA BTO'!B:N,3,FALSE))</f>
        <v>#N/A</v>
      </c>
      <c r="AZ20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8" s="50"/>
    </row>
    <row r="209" spans="2:57">
      <c r="B209" s="65" t="str">
        <f>_xlfn.CONCAT(Tableau118[[#This Row],[Name ILN]],"-",Tableau118[[#This Row],[Name Shipper]],"-",Tableau118[[#This Row],[Name Site]])</f>
        <v>--</v>
      </c>
      <c r="C209" s="65" t="e">
        <f ca="1">_xlfn.CONCAT(Tableau118[[#This Row],[Compte ILN]],"-",Tableau118[[#This Row],[Compte Shipper]],"-",Tableau118[[#This Row],[POL]],"-",Tableau118[[#This Row],[Compte Site]])</f>
        <v>#N/A</v>
      </c>
      <c r="D209" s="64" t="e">
        <f ca="1">_xlfn.CONCAT(Tableau118[[#This Row],[Compte ILN]],"-",Tableau118[[#This Row],[Compte Shipper]],"-",Tableau118[[#This Row],[POL]])</f>
        <v>#N/A</v>
      </c>
      <c r="E209" s="128" t="e">
        <f ca="1">_xlfn.CONCAT(Tableau118[[#This Row],[POL]],"-",Tableau118[[#This Row],[Carrier]],"-",Tableau118[[#This Row],[POD]])</f>
        <v>#N/A</v>
      </c>
      <c r="F209" s="64" t="str">
        <f>_xlfn.CONCAT(Tableau118[[#This Row],[ID]],"-","Next")</f>
        <v>-Next</v>
      </c>
      <c r="G209" s="64" t="e">
        <f ca="1">_xlfn.CONCAT(Tableau118[[#This Row],[POD]],"-",Tableau118[[#This Row],[Code PFI]],"-",Tableau118[[#This Row],[Compte Site]])</f>
        <v>#N/A</v>
      </c>
      <c r="H20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0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09" s="400" t="str">
        <f ca="1">IF(COUNTIF(I:I,Tableau118[[#This Row],[Plant-ILN-shipper-POL-Carrier-POD-PFI]])=1,"Non","Oui")</f>
        <v>Oui</v>
      </c>
      <c r="K209" s="126" t="e">
        <f>VLOOKUP(Tableau118[[#This Row],[Name Site]],Plant_AILN!A:D,4,FALSE)</f>
        <v>#N/A</v>
      </c>
      <c r="L209" s="10"/>
      <c r="M209" s="480"/>
      <c r="N209" s="55"/>
      <c r="O209" s="124"/>
      <c r="P209" s="481"/>
      <c r="Q209" s="50"/>
      <c r="R209" s="50"/>
      <c r="S209" s="50"/>
      <c r="T209" s="50"/>
      <c r="U209" s="50"/>
      <c r="V209" s="50"/>
      <c r="W209" s="53"/>
      <c r="X209" s="283"/>
      <c r="Y209" s="482">
        <f>IFERROR(VLOOKUP(Tableau118[[#This Row],[Name Shipper]],Plant_AILN!L:M,2,FALSE),0)</f>
        <v>0</v>
      </c>
      <c r="Z209" s="358"/>
      <c r="AA209" s="353" t="e">
        <f ca="1">VLOOKUP(Tableau118[[#This Row],[Key(ID-Actif)]],'DATA BTO'!A:N,5,FALSE)</f>
        <v>#N/A</v>
      </c>
      <c r="AB209" s="3" t="e">
        <f ca="1">VLOOKUP(Tableau118[[#This Row],[Key(ID-Actif)]],'DATA BTO'!A:N,6,FALSE)</f>
        <v>#N/A</v>
      </c>
      <c r="AC209" s="50" t="e">
        <f ca="1">VLOOKUP(Tableau118[[#This Row],[Key(ID-Actif)]],'DATA BTO'!A:N,7,FALSE)</f>
        <v>#N/A</v>
      </c>
      <c r="AD209" s="50" t="e">
        <f ca="1">VLOOKUP(Tableau118[[#This Row],[Key(ID-Actif)]],'DATA BTO'!A:N,8,FALSE)</f>
        <v>#N/A</v>
      </c>
      <c r="AE209" s="50" t="e">
        <f ca="1">IF(Tableau118[[#This Row],[First Day to POL]]&lt;=Tableau118[[#This Row],[Day Cut Off]],Tableau118[[#This Row],[Day ETD]],Tableau118[[#This Row],[Day ETD]]+7)</f>
        <v>#N/A</v>
      </c>
      <c r="AF209" s="50" t="e">
        <f ca="1">VLOOKUP(Tableau118[[#This Row],[Key(ID-Actif)]],'DATA BTO'!A:N,9,FALSE)</f>
        <v>#N/A</v>
      </c>
      <c r="AG209" s="3" t="e">
        <f ca="1">VLOOKUP(Tableau118[[#This Row],[Key(ID-Actif)]],'DATA BTO'!A:N,10,FALSE)</f>
        <v>#N/A</v>
      </c>
      <c r="AH209" s="3" t="e">
        <f ca="1">VLOOKUP(Tableau118[[#This Row],[Key(ID-Actif)]],'DATA BTO'!A:N,11,FALSE)</f>
        <v>#N/A</v>
      </c>
      <c r="AI209" s="50" t="e">
        <f ca="1">VLOOKUP(Tableau118[[#This Row],[Key(ID-Actif)]],'DATA BTO'!A:N,12,FALSE)</f>
        <v>#N/A</v>
      </c>
      <c r="AJ209" s="53" t="e">
        <f ca="1">VLOOKUP(Tableau118[[#This Row],[Key(ID-Actif)]],'DATA BTO'!A:N,14,FALSE)</f>
        <v>#N/A</v>
      </c>
      <c r="AK209" s="54" t="e">
        <f ca="1">VLOOKUP(Tableau118[[#This Row],[Key(POD -PFI- Usine)]],'DATA Consignee'!A:F,6,FALSE)</f>
        <v>#N/A</v>
      </c>
      <c r="AL209" s="125"/>
      <c r="AM209" s="483" t="str">
        <f>IF(Tableau118[[#This Row],[Name PFI/CDD]]="","-",VLOOKUP(Tableau118[[#This Row],[Name PFI/CDD]],Plant_AILN!I:J,2,FALSE))</f>
        <v>-</v>
      </c>
      <c r="AN20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0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09" s="2" t="e">
        <f ca="1">VLOOKUP(Tableau118[[#This Row],[Key(POD -PFI- Usine)]],'DATA Consignee'!A:J,10,FALSE)</f>
        <v>#N/A</v>
      </c>
      <c r="AQ209" s="50" t="e">
        <f ca="1">VLOOKUP(Tableau118[[#This Row],[Key(POD -PFI- Usine)]],'DATA Consignee'!A:N,14,FALSE)</f>
        <v>#N/A</v>
      </c>
      <c r="AR20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0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09" s="50" t="e">
        <f ca="1">Tableau118[[#This Row],[Transit time]]+Tableau118[[#This Row],[Time for security]]+Tableau118[[#This Row],[Time for security2 buffer]]</f>
        <v>#N/A</v>
      </c>
      <c r="AU20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09" s="50" t="e">
        <f ca="1">Tableau118[[#This Row],[Leadtime SI2C]]+Tableau118[[#This Row],[First Receipt Days]]-Tableau118[[#This Row],[Day Customer Order]]+1</f>
        <v>#N/A</v>
      </c>
      <c r="AW209" s="117" t="e">
        <f ca="1">IF(Tableau118[[#This Row],[Name ILN]]&lt;&gt;"SFK Freight Forwarder",Tableau118[[#This Row],[Cust. Leadtime]],Tableau118[[#This Row],[Leadtime SI2C]])</f>
        <v>#N/A</v>
      </c>
      <c r="AX209" s="51" t="e">
        <f>VLOOKUP(Tableau118[[#This Row],[ID]],'DATA BTO'!B:P,15,FALSE)</f>
        <v>#N/A</v>
      </c>
      <c r="AY209" s="328" t="e">
        <f ca="1">IFERROR(VLOOKUP(Tableau118[[#This Row],[Key(ID-Actif)]],'DATA BTO'!A:N,4,FALSE),VLOOKUP(Tableau118[[#This Row],[ID]],'DATA BTO'!B:N,3,FALSE))</f>
        <v>#N/A</v>
      </c>
      <c r="AZ20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0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0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0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0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09" s="50"/>
    </row>
    <row r="210" spans="2:57">
      <c r="B210" s="65" t="str">
        <f>_xlfn.CONCAT(Tableau118[[#This Row],[Name ILN]],"-",Tableau118[[#This Row],[Name Shipper]],"-",Tableau118[[#This Row],[Name Site]])</f>
        <v>--</v>
      </c>
      <c r="C210" s="65" t="e">
        <f ca="1">_xlfn.CONCAT(Tableau118[[#This Row],[Compte ILN]],"-",Tableau118[[#This Row],[Compte Shipper]],"-",Tableau118[[#This Row],[POL]],"-",Tableau118[[#This Row],[Compte Site]])</f>
        <v>#N/A</v>
      </c>
      <c r="D210" s="80" t="e">
        <f ca="1">_xlfn.CONCAT(Tableau118[[#This Row],[Compte ILN]],"-",Tableau118[[#This Row],[Compte Shipper]],"-",Tableau118[[#This Row],[POL]])</f>
        <v>#N/A</v>
      </c>
      <c r="E210" s="81" t="e">
        <f ca="1">_xlfn.CONCAT(Tableau118[[#This Row],[POL]],"-",Tableau118[[#This Row],[Carrier]],"-",Tableau118[[#This Row],[POD]])</f>
        <v>#N/A</v>
      </c>
      <c r="F210" s="80" t="str">
        <f>_xlfn.CONCAT(Tableau118[[#This Row],[ID]],"-","Next")</f>
        <v>-Next</v>
      </c>
      <c r="G210" s="80" t="e">
        <f ca="1">_xlfn.CONCAT(Tableau118[[#This Row],[POD]],"-",Tableau118[[#This Row],[Code PFI]],"-",Tableau118[[#This Row],[Compte Site]])</f>
        <v>#N/A</v>
      </c>
      <c r="H21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0" s="397" t="str">
        <f ca="1">IF(COUNTIF(I:I,Tableau118[[#This Row],[Plant-ILN-shipper-POL-Carrier-POD-PFI]])=1,"Non","Oui")</f>
        <v>Oui</v>
      </c>
      <c r="K210" s="101" t="e">
        <f>VLOOKUP(Tableau118[[#This Row],[Name Site]],Plant_AILN!A:D,4,FALSE)</f>
        <v>#N/A</v>
      </c>
      <c r="L210" s="10"/>
      <c r="M210" s="480"/>
      <c r="N210" s="102"/>
      <c r="O210" s="124"/>
      <c r="P210" s="484"/>
      <c r="Q210" s="79"/>
      <c r="R210" s="50"/>
      <c r="S210" s="79"/>
      <c r="T210" s="79"/>
      <c r="U210" s="79"/>
      <c r="V210" s="79"/>
      <c r="W210" s="104"/>
      <c r="X210" s="283"/>
      <c r="Y210" s="487">
        <f>IFERROR(VLOOKUP(Tableau118[[#This Row],[Name Shipper]],Plant_AILN!L:M,2,FALSE),0)</f>
        <v>0</v>
      </c>
      <c r="Z210" s="358"/>
      <c r="AA210" s="354" t="e">
        <f ca="1">VLOOKUP(Tableau118[[#This Row],[Key(ID-Actif)]],'DATA BTO'!A:N,5,FALSE)</f>
        <v>#N/A</v>
      </c>
      <c r="AB210" s="3" t="e">
        <f ca="1">VLOOKUP(Tableau118[[#This Row],[Key(ID-Actif)]],'DATA BTO'!A:N,6,FALSE)</f>
        <v>#N/A</v>
      </c>
      <c r="AC210" s="79" t="e">
        <f ca="1">VLOOKUP(Tableau118[[#This Row],[Key(ID-Actif)]],'DATA BTO'!A:N,7,FALSE)</f>
        <v>#N/A</v>
      </c>
      <c r="AD210" s="79" t="e">
        <f ca="1">VLOOKUP(Tableau118[[#This Row],[Key(ID-Actif)]],'DATA BTO'!A:N,8,FALSE)</f>
        <v>#N/A</v>
      </c>
      <c r="AE210" s="79" t="e">
        <f ca="1">IF(Tableau118[[#This Row],[First Day to POL]]&lt;=Tableau118[[#This Row],[Day Cut Off]],Tableau118[[#This Row],[Day ETD]],Tableau118[[#This Row],[Day ETD]]+7)</f>
        <v>#N/A</v>
      </c>
      <c r="AF210" s="79" t="e">
        <f ca="1">VLOOKUP(Tableau118[[#This Row],[Key(ID-Actif)]],'DATA BTO'!A:N,9,FALSE)</f>
        <v>#N/A</v>
      </c>
      <c r="AG210" s="106" t="e">
        <f ca="1">VLOOKUP(Tableau118[[#This Row],[Key(ID-Actif)]],'DATA BTO'!A:N,10,FALSE)</f>
        <v>#N/A</v>
      </c>
      <c r="AH210" s="106" t="e">
        <f ca="1">VLOOKUP(Tableau118[[#This Row],[Key(ID-Actif)]],'DATA BTO'!A:N,11,FALSE)</f>
        <v>#N/A</v>
      </c>
      <c r="AI210" s="79" t="e">
        <f ca="1">VLOOKUP(Tableau118[[#This Row],[Key(ID-Actif)]],'DATA BTO'!A:N,12,FALSE)</f>
        <v>#N/A</v>
      </c>
      <c r="AJ210" s="104" t="e">
        <f ca="1">VLOOKUP(Tableau118[[#This Row],[Key(ID-Actif)]],'DATA BTO'!A:N,14,FALSE)</f>
        <v>#N/A</v>
      </c>
      <c r="AK210" s="105" t="e">
        <f ca="1">VLOOKUP(Tableau118[[#This Row],[Key(POD -PFI- Usine)]],'DATA Consignee'!A:F,6,FALSE)</f>
        <v>#N/A</v>
      </c>
      <c r="AL210" s="136"/>
      <c r="AM210" s="488" t="str">
        <f>IF(Tableau118[[#This Row],[Name PFI/CDD]]="","-",VLOOKUP(Tableau118[[#This Row],[Name PFI/CDD]],Plant_AILN!I:J,2,FALSE))</f>
        <v>-</v>
      </c>
      <c r="AN21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0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0" s="108" t="e">
        <f ca="1">VLOOKUP(Tableau118[[#This Row],[Key(POD -PFI- Usine)]],'DATA Consignee'!A:J,10,FALSE)</f>
        <v>#N/A</v>
      </c>
      <c r="AQ210" s="79" t="e">
        <f ca="1">VLOOKUP(Tableau118[[#This Row],[Key(POD -PFI- Usine)]],'DATA Consignee'!A:N,14,FALSE)</f>
        <v>#N/A</v>
      </c>
      <c r="AR21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0" s="79" t="e">
        <f ca="1">Tableau118[[#This Row],[Transit time]]+Tableau118[[#This Row],[Time for security]]+Tableau118[[#This Row],[Time for security2 buffer]]</f>
        <v>#N/A</v>
      </c>
      <c r="AU21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0" s="104" t="e">
        <f ca="1">Tableau118[[#This Row],[Leadtime SI2C]]+Tableau118[[#This Row],[First Receipt Days]]-Tableau118[[#This Row],[Day Customer Order]]+1</f>
        <v>#N/A</v>
      </c>
      <c r="AW210" s="118" t="e">
        <f ca="1">IF(Tableau118[[#This Row],[Name ILN]]&lt;&gt;"SFK Freight Forwarder",Tableau118[[#This Row],[Cust. Leadtime]],Tableau118[[#This Row],[Leadtime SI2C]])</f>
        <v>#N/A</v>
      </c>
      <c r="AX210" s="51" t="e">
        <f>VLOOKUP(Tableau118[[#This Row],[ID]],'DATA BTO'!B:P,15,FALSE)</f>
        <v>#N/A</v>
      </c>
      <c r="AY210" s="328" t="e">
        <f ca="1">IFERROR(VLOOKUP(Tableau118[[#This Row],[Key(ID-Actif)]],'DATA BTO'!A:N,4,FALSE),VLOOKUP(Tableau118[[#This Row],[ID]],'DATA BTO'!B:N,3,FALSE))</f>
        <v>#N/A</v>
      </c>
      <c r="AZ21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0" s="50"/>
    </row>
    <row r="211" spans="2:57">
      <c r="B211" s="65" t="str">
        <f>_xlfn.CONCAT(Tableau118[[#This Row],[Name ILN]],"-",Tableau118[[#This Row],[Name Shipper]],"-",Tableau118[[#This Row],[Name Site]])</f>
        <v>--</v>
      </c>
      <c r="C211" s="65" t="e">
        <f ca="1">_xlfn.CONCAT(Tableau118[[#This Row],[Compte ILN]],"-",Tableau118[[#This Row],[Compte Shipper]],"-",Tableau118[[#This Row],[POL]],"-",Tableau118[[#This Row],[Compte Site]])</f>
        <v>#N/A</v>
      </c>
      <c r="D211" s="80" t="e">
        <f ca="1">_xlfn.CONCAT(Tableau118[[#This Row],[Compte ILN]],"-",Tableau118[[#This Row],[Compte Shipper]],"-",Tableau118[[#This Row],[POL]])</f>
        <v>#N/A</v>
      </c>
      <c r="E211" s="81" t="e">
        <f ca="1">_xlfn.CONCAT(Tableau118[[#This Row],[POL]],"-",Tableau118[[#This Row],[Carrier]],"-",Tableau118[[#This Row],[POD]])</f>
        <v>#N/A</v>
      </c>
      <c r="F211" s="80" t="str">
        <f>_xlfn.CONCAT(Tableau118[[#This Row],[ID]],"-","Next")</f>
        <v>-Next</v>
      </c>
      <c r="G211" s="80" t="e">
        <f ca="1">_xlfn.CONCAT(Tableau118[[#This Row],[POD]],"-",Tableau118[[#This Row],[Code PFI]],"-",Tableau118[[#This Row],[Compte Site]])</f>
        <v>#N/A</v>
      </c>
      <c r="H211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1" s="397" t="str">
        <f ca="1">IF(COUNTIF(I:I,Tableau118[[#This Row],[Plant-ILN-shipper-POL-Carrier-POD-PFI]])=1,"Non","Oui")</f>
        <v>Oui</v>
      </c>
      <c r="K211" s="101" t="e">
        <f>VLOOKUP(Tableau118[[#This Row],[Name Site]],Plant_AILN!A:D,4,FALSE)</f>
        <v>#N/A</v>
      </c>
      <c r="L211" s="10"/>
      <c r="M211" s="480"/>
      <c r="N211" s="102"/>
      <c r="O211" s="124"/>
      <c r="P211" s="484"/>
      <c r="Q211" s="79"/>
      <c r="R211" s="50"/>
      <c r="S211" s="79"/>
      <c r="T211" s="79"/>
      <c r="U211" s="79"/>
      <c r="V211" s="79"/>
      <c r="W211" s="104"/>
      <c r="X211" s="283"/>
      <c r="Y211" s="487">
        <f>IFERROR(VLOOKUP(Tableau118[[#This Row],[Name Shipper]],Plant_AILN!L:M,2,FALSE),0)</f>
        <v>0</v>
      </c>
      <c r="Z211" s="358"/>
      <c r="AA211" s="354" t="e">
        <f ca="1">VLOOKUP(Tableau118[[#This Row],[Key(ID-Actif)]],'DATA BTO'!A:N,5,FALSE)</f>
        <v>#N/A</v>
      </c>
      <c r="AB211" s="3" t="e">
        <f ca="1">VLOOKUP(Tableau118[[#This Row],[Key(ID-Actif)]],'DATA BTO'!A:N,6,FALSE)</f>
        <v>#N/A</v>
      </c>
      <c r="AC211" s="79" t="e">
        <f ca="1">VLOOKUP(Tableau118[[#This Row],[Key(ID-Actif)]],'DATA BTO'!A:N,7,FALSE)</f>
        <v>#N/A</v>
      </c>
      <c r="AD211" s="79" t="e">
        <f ca="1">VLOOKUP(Tableau118[[#This Row],[Key(ID-Actif)]],'DATA BTO'!A:N,8,FALSE)</f>
        <v>#N/A</v>
      </c>
      <c r="AE211" s="79" t="e">
        <f ca="1">IF(Tableau118[[#This Row],[First Day to POL]]&lt;=Tableau118[[#This Row],[Day Cut Off]],Tableau118[[#This Row],[Day ETD]],Tableau118[[#This Row],[Day ETD]]+7)</f>
        <v>#N/A</v>
      </c>
      <c r="AF211" s="79" t="e">
        <f ca="1">VLOOKUP(Tableau118[[#This Row],[Key(ID-Actif)]],'DATA BTO'!A:N,9,FALSE)</f>
        <v>#N/A</v>
      </c>
      <c r="AG211" s="106" t="e">
        <f ca="1">VLOOKUP(Tableau118[[#This Row],[Key(ID-Actif)]],'DATA BTO'!A:N,10,FALSE)</f>
        <v>#N/A</v>
      </c>
      <c r="AH211" s="106" t="e">
        <f ca="1">VLOOKUP(Tableau118[[#This Row],[Key(ID-Actif)]],'DATA BTO'!A:N,11,FALSE)</f>
        <v>#N/A</v>
      </c>
      <c r="AI211" s="79" t="e">
        <f ca="1">VLOOKUP(Tableau118[[#This Row],[Key(ID-Actif)]],'DATA BTO'!A:N,12,FALSE)</f>
        <v>#N/A</v>
      </c>
      <c r="AJ211" s="104" t="e">
        <f ca="1">VLOOKUP(Tableau118[[#This Row],[Key(ID-Actif)]],'DATA BTO'!A:N,14,FALSE)</f>
        <v>#N/A</v>
      </c>
      <c r="AK211" s="105" t="e">
        <f ca="1">VLOOKUP(Tableau118[[#This Row],[Key(POD -PFI- Usine)]],'DATA Consignee'!A:F,6,FALSE)</f>
        <v>#N/A</v>
      </c>
      <c r="AL211" s="136"/>
      <c r="AM211" s="488" t="str">
        <f>IF(Tableau118[[#This Row],[Name PFI/CDD]]="","-",VLOOKUP(Tableau118[[#This Row],[Name PFI/CDD]],Plant_AILN!I:J,2,FALSE))</f>
        <v>-</v>
      </c>
      <c r="AN211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1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1" s="108" t="e">
        <f ca="1">VLOOKUP(Tableau118[[#This Row],[Key(POD -PFI- Usine)]],'DATA Consignee'!A:J,10,FALSE)</f>
        <v>#N/A</v>
      </c>
      <c r="AQ211" s="79" t="e">
        <f ca="1">VLOOKUP(Tableau118[[#This Row],[Key(POD -PFI- Usine)]],'DATA Consignee'!A:N,14,FALSE)</f>
        <v>#N/A</v>
      </c>
      <c r="AR211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1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1" s="79" t="e">
        <f ca="1">Tableau118[[#This Row],[Transit time]]+Tableau118[[#This Row],[Time for security]]+Tableau118[[#This Row],[Time for security2 buffer]]</f>
        <v>#N/A</v>
      </c>
      <c r="AU211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1" s="104" t="e">
        <f ca="1">Tableau118[[#This Row],[Leadtime SI2C]]+Tableau118[[#This Row],[First Receipt Days]]-Tableau118[[#This Row],[Day Customer Order]]+1</f>
        <v>#N/A</v>
      </c>
      <c r="AW211" s="118" t="e">
        <f ca="1">IF(Tableau118[[#This Row],[Name ILN]]&lt;&gt;"SFK Freight Forwarder",Tableau118[[#This Row],[Cust. Leadtime]],Tableau118[[#This Row],[Leadtime SI2C]])</f>
        <v>#N/A</v>
      </c>
      <c r="AX211" s="51" t="e">
        <f>VLOOKUP(Tableau118[[#This Row],[ID]],'DATA BTO'!B:P,15,FALSE)</f>
        <v>#N/A</v>
      </c>
      <c r="AY211" s="328" t="e">
        <f ca="1">IFERROR(VLOOKUP(Tableau118[[#This Row],[Key(ID-Actif)]],'DATA BTO'!A:N,4,FALSE),VLOOKUP(Tableau118[[#This Row],[ID]],'DATA BTO'!B:N,3,FALSE))</f>
        <v>#N/A</v>
      </c>
      <c r="AZ21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1" s="50"/>
    </row>
    <row r="212" spans="2:57">
      <c r="B212" s="65" t="str">
        <f>_xlfn.CONCAT(Tableau118[[#This Row],[Name ILN]],"-",Tableau118[[#This Row],[Name Shipper]],"-",Tableau118[[#This Row],[Name Site]])</f>
        <v>--</v>
      </c>
      <c r="C212" s="65" t="e">
        <f ca="1">_xlfn.CONCAT(Tableau118[[#This Row],[Compte ILN]],"-",Tableau118[[#This Row],[Compte Shipper]],"-",Tableau118[[#This Row],[POL]],"-",Tableau118[[#This Row],[Compte Site]])</f>
        <v>#N/A</v>
      </c>
      <c r="D212" s="80" t="e">
        <f ca="1">_xlfn.CONCAT(Tableau118[[#This Row],[Compte ILN]],"-",Tableau118[[#This Row],[Compte Shipper]],"-",Tableau118[[#This Row],[POL]])</f>
        <v>#N/A</v>
      </c>
      <c r="E212" s="81" t="e">
        <f ca="1">_xlfn.CONCAT(Tableau118[[#This Row],[POL]],"-",Tableau118[[#This Row],[Carrier]],"-",Tableau118[[#This Row],[POD]])</f>
        <v>#N/A</v>
      </c>
      <c r="F212" s="80" t="str">
        <f>_xlfn.CONCAT(Tableau118[[#This Row],[ID]],"-","Next")</f>
        <v>-Next</v>
      </c>
      <c r="G212" s="80" t="e">
        <f ca="1">_xlfn.CONCAT(Tableau118[[#This Row],[POD]],"-",Tableau118[[#This Row],[Code PFI]],"-",Tableau118[[#This Row],[Compte Site]])</f>
        <v>#N/A</v>
      </c>
      <c r="H21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2" s="397" t="str">
        <f ca="1">IF(COUNTIF(I:I,Tableau118[[#This Row],[Plant-ILN-shipper-POL-Carrier-POD-PFI]])=1,"Non","Oui")</f>
        <v>Oui</v>
      </c>
      <c r="K212" s="101" t="e">
        <f>VLOOKUP(Tableau118[[#This Row],[Name Site]],Plant_AILN!A:D,4,FALSE)</f>
        <v>#N/A</v>
      </c>
      <c r="L212" s="10"/>
      <c r="M212" s="480"/>
      <c r="N212" s="102"/>
      <c r="O212" s="124"/>
      <c r="P212" s="484"/>
      <c r="Q212" s="79"/>
      <c r="R212" s="50"/>
      <c r="S212" s="79"/>
      <c r="T212" s="79"/>
      <c r="U212" s="79"/>
      <c r="V212" s="79"/>
      <c r="W212" s="104"/>
      <c r="X212" s="283"/>
      <c r="Y212" s="487">
        <f>IFERROR(VLOOKUP(Tableau118[[#This Row],[Name Shipper]],Plant_AILN!L:M,2,FALSE),0)</f>
        <v>0</v>
      </c>
      <c r="Z212" s="358"/>
      <c r="AA212" s="354" t="e">
        <f ca="1">VLOOKUP(Tableau118[[#This Row],[Key(ID-Actif)]],'DATA BTO'!A:N,5,FALSE)</f>
        <v>#N/A</v>
      </c>
      <c r="AB212" s="3" t="e">
        <f ca="1">VLOOKUP(Tableau118[[#This Row],[Key(ID-Actif)]],'DATA BTO'!A:N,6,FALSE)</f>
        <v>#N/A</v>
      </c>
      <c r="AC212" s="79" t="e">
        <f ca="1">VLOOKUP(Tableau118[[#This Row],[Key(ID-Actif)]],'DATA BTO'!A:N,7,FALSE)</f>
        <v>#N/A</v>
      </c>
      <c r="AD212" s="79" t="e">
        <f ca="1">VLOOKUP(Tableau118[[#This Row],[Key(ID-Actif)]],'DATA BTO'!A:N,8,FALSE)</f>
        <v>#N/A</v>
      </c>
      <c r="AE212" s="79" t="e">
        <f ca="1">IF(Tableau118[[#This Row],[First Day to POL]]&lt;=Tableau118[[#This Row],[Day Cut Off]],Tableau118[[#This Row],[Day ETD]],Tableau118[[#This Row],[Day ETD]]+7)</f>
        <v>#N/A</v>
      </c>
      <c r="AF212" s="79" t="e">
        <f ca="1">VLOOKUP(Tableau118[[#This Row],[Key(ID-Actif)]],'DATA BTO'!A:N,9,FALSE)</f>
        <v>#N/A</v>
      </c>
      <c r="AG212" s="106" t="e">
        <f ca="1">VLOOKUP(Tableau118[[#This Row],[Key(ID-Actif)]],'DATA BTO'!A:N,10,FALSE)</f>
        <v>#N/A</v>
      </c>
      <c r="AH212" s="106" t="e">
        <f ca="1">VLOOKUP(Tableau118[[#This Row],[Key(ID-Actif)]],'DATA BTO'!A:N,11,FALSE)</f>
        <v>#N/A</v>
      </c>
      <c r="AI212" s="79" t="e">
        <f ca="1">VLOOKUP(Tableau118[[#This Row],[Key(ID-Actif)]],'DATA BTO'!A:N,12,FALSE)</f>
        <v>#N/A</v>
      </c>
      <c r="AJ212" s="104" t="e">
        <f ca="1">VLOOKUP(Tableau118[[#This Row],[Key(ID-Actif)]],'DATA BTO'!A:N,14,FALSE)</f>
        <v>#N/A</v>
      </c>
      <c r="AK212" s="105" t="e">
        <f ca="1">VLOOKUP(Tableau118[[#This Row],[Key(POD -PFI- Usine)]],'DATA Consignee'!A:F,6,FALSE)</f>
        <v>#N/A</v>
      </c>
      <c r="AL212" s="136"/>
      <c r="AM212" s="488" t="str">
        <f>IF(Tableau118[[#This Row],[Name PFI/CDD]]="","-",VLOOKUP(Tableau118[[#This Row],[Name PFI/CDD]],Plant_AILN!I:J,2,FALSE))</f>
        <v>-</v>
      </c>
      <c r="AN21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2" s="108" t="e">
        <f ca="1">VLOOKUP(Tableau118[[#This Row],[Key(POD -PFI- Usine)]],'DATA Consignee'!A:J,10,FALSE)</f>
        <v>#N/A</v>
      </c>
      <c r="AQ212" s="79" t="e">
        <f ca="1">VLOOKUP(Tableau118[[#This Row],[Key(POD -PFI- Usine)]],'DATA Consignee'!A:N,14,FALSE)</f>
        <v>#N/A</v>
      </c>
      <c r="AR21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2" s="79" t="e">
        <f ca="1">Tableau118[[#This Row],[Transit time]]+Tableau118[[#This Row],[Time for security]]+Tableau118[[#This Row],[Time for security2 buffer]]</f>
        <v>#N/A</v>
      </c>
      <c r="AU21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2" s="104" t="e">
        <f ca="1">Tableau118[[#This Row],[Leadtime SI2C]]+Tableau118[[#This Row],[First Receipt Days]]-Tableau118[[#This Row],[Day Customer Order]]+1</f>
        <v>#N/A</v>
      </c>
      <c r="AW212" s="118" t="e">
        <f ca="1">IF(Tableau118[[#This Row],[Name ILN]]&lt;&gt;"SFK Freight Forwarder",Tableau118[[#This Row],[Cust. Leadtime]],Tableau118[[#This Row],[Leadtime SI2C]])</f>
        <v>#N/A</v>
      </c>
      <c r="AX212" s="51" t="e">
        <f>VLOOKUP(Tableau118[[#This Row],[ID]],'DATA BTO'!B:P,15,FALSE)</f>
        <v>#N/A</v>
      </c>
      <c r="AY212" s="328" t="e">
        <f ca="1">IFERROR(VLOOKUP(Tableau118[[#This Row],[Key(ID-Actif)]],'DATA BTO'!A:N,4,FALSE),VLOOKUP(Tableau118[[#This Row],[ID]],'DATA BTO'!B:N,3,FALSE))</f>
        <v>#N/A</v>
      </c>
      <c r="AZ21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2" s="50"/>
    </row>
    <row r="213" spans="2:57">
      <c r="B213" s="65" t="str">
        <f>_xlfn.CONCAT(Tableau118[[#This Row],[Name ILN]],"-",Tableau118[[#This Row],[Name Shipper]],"-",Tableau118[[#This Row],[Name Site]])</f>
        <v>--</v>
      </c>
      <c r="C213" s="65" t="e">
        <f ca="1">_xlfn.CONCAT(Tableau118[[#This Row],[Compte ILN]],"-",Tableau118[[#This Row],[Compte Shipper]],"-",Tableau118[[#This Row],[POL]],"-",Tableau118[[#This Row],[Compte Site]])</f>
        <v>#N/A</v>
      </c>
      <c r="D213" s="80" t="e">
        <f ca="1">_xlfn.CONCAT(Tableau118[[#This Row],[Compte ILN]],"-",Tableau118[[#This Row],[Compte Shipper]],"-",Tableau118[[#This Row],[POL]])</f>
        <v>#N/A</v>
      </c>
      <c r="E213" s="81" t="e">
        <f ca="1">_xlfn.CONCAT(Tableau118[[#This Row],[POL]],"-",Tableau118[[#This Row],[Carrier]],"-",Tableau118[[#This Row],[POD]])</f>
        <v>#N/A</v>
      </c>
      <c r="F213" s="80" t="str">
        <f>_xlfn.CONCAT(Tableau118[[#This Row],[ID]],"-","Next")</f>
        <v>-Next</v>
      </c>
      <c r="G213" s="80" t="e">
        <f ca="1">_xlfn.CONCAT(Tableau118[[#This Row],[POD]],"-",Tableau118[[#This Row],[Code PFI]],"-",Tableau118[[#This Row],[Compte Site]])</f>
        <v>#N/A</v>
      </c>
      <c r="H21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3" s="401" t="str">
        <f ca="1">IF(COUNTIF(I:I,Tableau118[[#This Row],[Plant-ILN-shipper-POL-Carrier-POD-PFI]])=1,"Non","Oui")</f>
        <v>Oui</v>
      </c>
      <c r="K213" s="402" t="e">
        <f>VLOOKUP(Tableau118[[#This Row],[Name Site]],Plant_AILN!A:D,4,FALSE)</f>
        <v>#N/A</v>
      </c>
      <c r="L213" s="285"/>
      <c r="M213" s="480"/>
      <c r="N213" s="102"/>
      <c r="O213" s="124"/>
      <c r="P213" s="484"/>
      <c r="Q213" s="79"/>
      <c r="R213" s="50"/>
      <c r="S213" s="79"/>
      <c r="T213" s="79"/>
      <c r="U213" s="79"/>
      <c r="V213" s="79"/>
      <c r="W213" s="104"/>
      <c r="X213" s="283"/>
      <c r="Y213" s="487">
        <f>IFERROR(VLOOKUP(Tableau118[[#This Row],[Name Shipper]],Plant_AILN!L:M,2,FALSE),0)</f>
        <v>0</v>
      </c>
      <c r="Z213" s="358"/>
      <c r="AA213" s="354" t="e">
        <f ca="1">VLOOKUP(Tableau118[[#This Row],[Key(ID-Actif)]],'DATA BTO'!A:N,5,FALSE)</f>
        <v>#N/A</v>
      </c>
      <c r="AB213" s="106" t="e">
        <f ca="1">VLOOKUP(Tableau118[[#This Row],[Key(ID-Actif)]],'DATA BTO'!A:N,6,FALSE)</f>
        <v>#N/A</v>
      </c>
      <c r="AC213" s="79" t="e">
        <f ca="1">VLOOKUP(Tableau118[[#This Row],[Key(ID-Actif)]],'DATA BTO'!A:N,7,FALSE)</f>
        <v>#N/A</v>
      </c>
      <c r="AD213" s="79" t="e">
        <f ca="1">VLOOKUP(Tableau118[[#This Row],[Key(ID-Actif)]],'DATA BTO'!A:N,8,FALSE)</f>
        <v>#N/A</v>
      </c>
      <c r="AE213" s="79" t="e">
        <f ca="1">IF(Tableau118[[#This Row],[First Day to POL]]&lt;=Tableau118[[#This Row],[Day Cut Off]],Tableau118[[#This Row],[Day ETD]],Tableau118[[#This Row],[Day ETD]]+7)</f>
        <v>#N/A</v>
      </c>
      <c r="AF213" s="79" t="e">
        <f ca="1">VLOOKUP(Tableau118[[#This Row],[Key(ID-Actif)]],'DATA BTO'!A:N,9,FALSE)</f>
        <v>#N/A</v>
      </c>
      <c r="AG213" s="106" t="e">
        <f ca="1">VLOOKUP(Tableau118[[#This Row],[Key(ID-Actif)]],'DATA BTO'!A:N,10,FALSE)</f>
        <v>#N/A</v>
      </c>
      <c r="AH213" s="106" t="e">
        <f ca="1">VLOOKUP(Tableau118[[#This Row],[Key(ID-Actif)]],'DATA BTO'!A:N,11,FALSE)</f>
        <v>#N/A</v>
      </c>
      <c r="AI213" s="79" t="e">
        <f ca="1">VLOOKUP(Tableau118[[#This Row],[Key(ID-Actif)]],'DATA BTO'!A:N,12,FALSE)</f>
        <v>#N/A</v>
      </c>
      <c r="AJ213" s="104" t="e">
        <f ca="1">VLOOKUP(Tableau118[[#This Row],[Key(ID-Actif)]],'DATA BTO'!A:N,14,FALSE)</f>
        <v>#N/A</v>
      </c>
      <c r="AK213" s="105" t="e">
        <f ca="1">VLOOKUP(Tableau118[[#This Row],[Key(POD -PFI- Usine)]],'DATA Consignee'!A:F,6,FALSE)</f>
        <v>#N/A</v>
      </c>
      <c r="AL213" s="125"/>
      <c r="AM213" s="488" t="str">
        <f>IF(Tableau118[[#This Row],[Name PFI/CDD]]="","-",VLOOKUP(Tableau118[[#This Row],[Name PFI/CDD]],Plant_AILN!I:J,2,FALSE))</f>
        <v>-</v>
      </c>
      <c r="AN21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3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3" s="108" t="e">
        <f ca="1">VLOOKUP(Tableau118[[#This Row],[Key(POD -PFI- Usine)]],'DATA Consignee'!A:J,10,FALSE)</f>
        <v>#N/A</v>
      </c>
      <c r="AQ213" s="79" t="e">
        <f ca="1">VLOOKUP(Tableau118[[#This Row],[Key(POD -PFI- Usine)]],'DATA Consignee'!A:N,14,FALSE)</f>
        <v>#N/A</v>
      </c>
      <c r="AR21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3" s="79" t="e">
        <f ca="1">Tableau118[[#This Row],[Transit time]]+Tableau118[[#This Row],[Time for security]]+Tableau118[[#This Row],[Time for security2 buffer]]</f>
        <v>#N/A</v>
      </c>
      <c r="AU21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3" s="79" t="e">
        <f ca="1">Tableau118[[#This Row],[Leadtime SI2C]]+Tableau118[[#This Row],[First Receipt Days]]-Tableau118[[#This Row],[Day Customer Order]]+1</f>
        <v>#N/A</v>
      </c>
      <c r="AW213" s="118" t="e">
        <f ca="1">IF(Tableau118[[#This Row],[Name ILN]]&lt;&gt;"SFK Freight Forwarder",Tableau118[[#This Row],[Cust. Leadtime]],Tableau118[[#This Row],[Leadtime SI2C]])</f>
        <v>#N/A</v>
      </c>
      <c r="AX213" s="51" t="e">
        <f>VLOOKUP(Tableau118[[#This Row],[ID]],'DATA BTO'!B:P,15,FALSE)</f>
        <v>#N/A</v>
      </c>
      <c r="AY213" s="328" t="e">
        <f ca="1">IFERROR(VLOOKUP(Tableau118[[#This Row],[Key(ID-Actif)]],'DATA BTO'!A:N,4,FALSE),VLOOKUP(Tableau118[[#This Row],[ID]],'DATA BTO'!B:N,3,FALSE))</f>
        <v>#N/A</v>
      </c>
      <c r="AZ21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3" s="50"/>
    </row>
    <row r="214" spans="2:57">
      <c r="B214" s="65" t="str">
        <f>_xlfn.CONCAT(Tableau118[[#This Row],[Name ILN]],"-",Tableau118[[#This Row],[Name Shipper]],"-",Tableau118[[#This Row],[Name Site]])</f>
        <v>--</v>
      </c>
      <c r="C214" s="65" t="e">
        <f ca="1">_xlfn.CONCAT(Tableau118[[#This Row],[Compte ILN]],"-",Tableau118[[#This Row],[Compte Shipper]],"-",Tableau118[[#This Row],[POL]],"-",Tableau118[[#This Row],[Compte Site]])</f>
        <v>#N/A</v>
      </c>
      <c r="D214" s="80" t="e">
        <f ca="1">_xlfn.CONCAT(Tableau118[[#This Row],[Compte ILN]],"-",Tableau118[[#This Row],[Compte Shipper]],"-",Tableau118[[#This Row],[POL]])</f>
        <v>#N/A</v>
      </c>
      <c r="E214" s="81" t="e">
        <f ca="1">_xlfn.CONCAT(Tableau118[[#This Row],[POL]],"-",Tableau118[[#This Row],[Carrier]],"-",Tableau118[[#This Row],[POD]])</f>
        <v>#N/A</v>
      </c>
      <c r="F214" s="80" t="str">
        <f>_xlfn.CONCAT(Tableau118[[#This Row],[ID]],"-","Next")</f>
        <v>-Next</v>
      </c>
      <c r="G214" s="80" t="e">
        <f ca="1">_xlfn.CONCAT(Tableau118[[#This Row],[POD]],"-",Tableau118[[#This Row],[Code PFI]],"-",Tableau118[[#This Row],[Compte Site]])</f>
        <v>#N/A</v>
      </c>
      <c r="H214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4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4" s="401" t="str">
        <f ca="1">IF(COUNTIF(I:I,Tableau118[[#This Row],[Plant-ILN-shipper-POL-Carrier-POD-PFI]])=1,"Non","Oui")</f>
        <v>Oui</v>
      </c>
      <c r="K214" s="101" t="e">
        <f>VLOOKUP(Tableau118[[#This Row],[Name Site]],Plant_AILN!A:D,4,FALSE)</f>
        <v>#N/A</v>
      </c>
      <c r="L214" s="10"/>
      <c r="M214" s="480"/>
      <c r="N214" s="102"/>
      <c r="O214" s="124"/>
      <c r="P214" s="484"/>
      <c r="Q214" s="79"/>
      <c r="R214" s="50"/>
      <c r="S214" s="79"/>
      <c r="T214" s="79"/>
      <c r="U214" s="79"/>
      <c r="V214" s="79"/>
      <c r="W214" s="104"/>
      <c r="X214" s="283"/>
      <c r="Y214" s="487">
        <f>IFERROR(VLOOKUP(Tableau118[[#This Row],[Name Shipper]],Plant_AILN!L:M,2,FALSE),0)</f>
        <v>0</v>
      </c>
      <c r="Z214" s="358"/>
      <c r="AA214" s="354" t="e">
        <f ca="1">VLOOKUP(Tableau118[[#This Row],[Key(ID-Actif)]],'DATA BTO'!A:N,5,FALSE)</f>
        <v>#N/A</v>
      </c>
      <c r="AB214" s="106" t="e">
        <f ca="1">VLOOKUP(Tableau118[[#This Row],[Key(ID-Actif)]],'DATA BTO'!A:N,6,FALSE)</f>
        <v>#N/A</v>
      </c>
      <c r="AC214" s="79" t="e">
        <f ca="1">VLOOKUP(Tableau118[[#This Row],[Key(ID-Actif)]],'DATA BTO'!A:N,7,FALSE)</f>
        <v>#N/A</v>
      </c>
      <c r="AD214" s="79" t="e">
        <f ca="1">VLOOKUP(Tableau118[[#This Row],[Key(ID-Actif)]],'DATA BTO'!A:N,8,FALSE)</f>
        <v>#N/A</v>
      </c>
      <c r="AE214" s="79" t="e">
        <f ca="1">IF(Tableau118[[#This Row],[First Day to POL]]&lt;=Tableau118[[#This Row],[Day Cut Off]],Tableau118[[#This Row],[Day ETD]],Tableau118[[#This Row],[Day ETD]]+7)</f>
        <v>#N/A</v>
      </c>
      <c r="AF214" s="79" t="e">
        <f ca="1">VLOOKUP(Tableau118[[#This Row],[Key(ID-Actif)]],'DATA BTO'!A:N,9,FALSE)</f>
        <v>#N/A</v>
      </c>
      <c r="AG214" s="106" t="e">
        <f ca="1">VLOOKUP(Tableau118[[#This Row],[Key(ID-Actif)]],'DATA BTO'!A:N,10,FALSE)</f>
        <v>#N/A</v>
      </c>
      <c r="AH214" s="106" t="e">
        <f ca="1">VLOOKUP(Tableau118[[#This Row],[Key(ID-Actif)]],'DATA BTO'!A:N,11,FALSE)</f>
        <v>#N/A</v>
      </c>
      <c r="AI214" s="79" t="e">
        <f ca="1">VLOOKUP(Tableau118[[#This Row],[Key(ID-Actif)]],'DATA BTO'!A:N,12,FALSE)</f>
        <v>#N/A</v>
      </c>
      <c r="AJ214" s="104" t="e">
        <f ca="1">VLOOKUP(Tableau118[[#This Row],[Key(ID-Actif)]],'DATA BTO'!A:N,14,FALSE)</f>
        <v>#N/A</v>
      </c>
      <c r="AK214" s="105" t="e">
        <f ca="1">VLOOKUP(Tableau118[[#This Row],[Key(POD -PFI- Usine)]],'DATA Consignee'!A:F,6,FALSE)</f>
        <v>#N/A</v>
      </c>
      <c r="AL214" s="125"/>
      <c r="AM214" s="488" t="str">
        <f>IF(Tableau118[[#This Row],[Name PFI/CDD]]="","-",VLOOKUP(Tableau118[[#This Row],[Name PFI/CDD]],Plant_AILN!I:J,2,FALSE))</f>
        <v>-</v>
      </c>
      <c r="AN214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4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4" s="108" t="e">
        <f ca="1">VLOOKUP(Tableau118[[#This Row],[Key(POD -PFI- Usine)]],'DATA Consignee'!A:J,10,FALSE)</f>
        <v>#N/A</v>
      </c>
      <c r="AQ214" s="79" t="e">
        <f ca="1">VLOOKUP(Tableau118[[#This Row],[Key(POD -PFI- Usine)]],'DATA Consignee'!A:N,14,FALSE)</f>
        <v>#N/A</v>
      </c>
      <c r="AR214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4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4" s="79" t="e">
        <f ca="1">Tableau118[[#This Row],[Transit time]]+Tableau118[[#This Row],[Time for security]]+Tableau118[[#This Row],[Time for security2 buffer]]</f>
        <v>#N/A</v>
      </c>
      <c r="AU214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4" s="79" t="e">
        <f ca="1">Tableau118[[#This Row],[Leadtime SI2C]]+Tableau118[[#This Row],[First Receipt Days]]-Tableau118[[#This Row],[Day Customer Order]]+1</f>
        <v>#N/A</v>
      </c>
      <c r="AW214" s="118" t="e">
        <f ca="1">IF(Tableau118[[#This Row],[Name ILN]]&lt;&gt;"SFK Freight Forwarder",Tableau118[[#This Row],[Cust. Leadtime]],Tableau118[[#This Row],[Leadtime SI2C]])</f>
        <v>#N/A</v>
      </c>
      <c r="AX214" s="51" t="e">
        <f>VLOOKUP(Tableau118[[#This Row],[ID]],'DATA BTO'!B:P,15,FALSE)</f>
        <v>#N/A</v>
      </c>
      <c r="AY214" s="328" t="e">
        <f ca="1">IFERROR(VLOOKUP(Tableau118[[#This Row],[Key(ID-Actif)]],'DATA BTO'!A:N,4,FALSE),VLOOKUP(Tableau118[[#This Row],[ID]],'DATA BTO'!B:N,3,FALSE))</f>
        <v>#N/A</v>
      </c>
      <c r="AZ21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4" s="50"/>
    </row>
    <row r="215" spans="2:57">
      <c r="B215" s="65" t="str">
        <f>_xlfn.CONCAT(Tableau118[[#This Row],[Name ILN]],"-",Tableau118[[#This Row],[Name Shipper]],"-",Tableau118[[#This Row],[Name Site]])</f>
        <v>--</v>
      </c>
      <c r="C215" s="65" t="e">
        <f ca="1">_xlfn.CONCAT(Tableau118[[#This Row],[Compte ILN]],"-",Tableau118[[#This Row],[Compte Shipper]],"-",Tableau118[[#This Row],[POL]],"-",Tableau118[[#This Row],[Compte Site]])</f>
        <v>#N/A</v>
      </c>
      <c r="D215" s="80" t="e">
        <f ca="1">_xlfn.CONCAT(Tableau118[[#This Row],[Compte ILN]],"-",Tableau118[[#This Row],[Compte Shipper]],"-",Tableau118[[#This Row],[POL]])</f>
        <v>#N/A</v>
      </c>
      <c r="E215" s="81" t="e">
        <f ca="1">_xlfn.CONCAT(Tableau118[[#This Row],[POL]],"-",Tableau118[[#This Row],[Carrier]],"-",Tableau118[[#This Row],[POD]])</f>
        <v>#N/A</v>
      </c>
      <c r="F215" s="80" t="str">
        <f>_xlfn.CONCAT(Tableau118[[#This Row],[ID]],"-","Next")</f>
        <v>-Next</v>
      </c>
      <c r="G215" s="80" t="e">
        <f ca="1">_xlfn.CONCAT(Tableau118[[#This Row],[POD]],"-",Tableau118[[#This Row],[Code PFI]],"-",Tableau118[[#This Row],[Compte Site]])</f>
        <v>#N/A</v>
      </c>
      <c r="H215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5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5" s="401" t="str">
        <f ca="1">IF(COUNTIF(I:I,Tableau118[[#This Row],[Plant-ILN-shipper-POL-Carrier-POD-PFI]])=1,"Non","Oui")</f>
        <v>Oui</v>
      </c>
      <c r="K215" s="101" t="e">
        <f>VLOOKUP(Tableau118[[#This Row],[Name Site]],Plant_AILN!A:D,4,FALSE)</f>
        <v>#N/A</v>
      </c>
      <c r="L215" s="10"/>
      <c r="M215" s="480"/>
      <c r="N215" s="102"/>
      <c r="O215" s="124"/>
      <c r="P215" s="484"/>
      <c r="Q215" s="79"/>
      <c r="R215" s="50"/>
      <c r="S215" s="79"/>
      <c r="T215" s="79"/>
      <c r="U215" s="79"/>
      <c r="V215" s="79"/>
      <c r="W215" s="104"/>
      <c r="X215" s="283"/>
      <c r="Y215" s="487">
        <f>IFERROR(VLOOKUP(Tableau118[[#This Row],[Name Shipper]],Plant_AILN!L:M,2,FALSE),0)</f>
        <v>0</v>
      </c>
      <c r="Z215" s="358"/>
      <c r="AA215" s="354" t="e">
        <f ca="1">VLOOKUP(Tableau118[[#This Row],[Key(ID-Actif)]],'DATA BTO'!A:N,5,FALSE)</f>
        <v>#N/A</v>
      </c>
      <c r="AB215" s="106" t="e">
        <f ca="1">VLOOKUP(Tableau118[[#This Row],[Key(ID-Actif)]],'DATA BTO'!A:N,6,FALSE)</f>
        <v>#N/A</v>
      </c>
      <c r="AC215" s="79" t="e">
        <f ca="1">VLOOKUP(Tableau118[[#This Row],[Key(ID-Actif)]],'DATA BTO'!A:N,7,FALSE)</f>
        <v>#N/A</v>
      </c>
      <c r="AD215" s="79" t="e">
        <f ca="1">VLOOKUP(Tableau118[[#This Row],[Key(ID-Actif)]],'DATA BTO'!A:N,8,FALSE)</f>
        <v>#N/A</v>
      </c>
      <c r="AE215" s="79" t="e">
        <f ca="1">IF(Tableau118[[#This Row],[First Day to POL]]&lt;=Tableau118[[#This Row],[Day Cut Off]],Tableau118[[#This Row],[Day ETD]],Tableau118[[#This Row],[Day ETD]]+7)</f>
        <v>#N/A</v>
      </c>
      <c r="AF215" s="79" t="e">
        <f ca="1">VLOOKUP(Tableau118[[#This Row],[Key(ID-Actif)]],'DATA BTO'!A:N,9,FALSE)</f>
        <v>#N/A</v>
      </c>
      <c r="AG215" s="106" t="e">
        <f ca="1">VLOOKUP(Tableau118[[#This Row],[Key(ID-Actif)]],'DATA BTO'!A:N,10,FALSE)</f>
        <v>#N/A</v>
      </c>
      <c r="AH215" s="106" t="e">
        <f ca="1">VLOOKUP(Tableau118[[#This Row],[Key(ID-Actif)]],'DATA BTO'!A:N,11,FALSE)</f>
        <v>#N/A</v>
      </c>
      <c r="AI215" s="79" t="e">
        <f ca="1">VLOOKUP(Tableau118[[#This Row],[Key(ID-Actif)]],'DATA BTO'!A:N,12,FALSE)</f>
        <v>#N/A</v>
      </c>
      <c r="AJ215" s="104" t="e">
        <f ca="1">VLOOKUP(Tableau118[[#This Row],[Key(ID-Actif)]],'DATA BTO'!A:N,14,FALSE)</f>
        <v>#N/A</v>
      </c>
      <c r="AK215" s="105" t="e">
        <f ca="1">VLOOKUP(Tableau118[[#This Row],[Key(POD -PFI- Usine)]],'DATA Consignee'!A:F,6,FALSE)</f>
        <v>#N/A</v>
      </c>
      <c r="AL215" s="125"/>
      <c r="AM215" s="488" t="str">
        <f>IF(Tableau118[[#This Row],[Name PFI/CDD]]="","-",VLOOKUP(Tableau118[[#This Row],[Name PFI/CDD]],Plant_AILN!I:J,2,FALSE))</f>
        <v>-</v>
      </c>
      <c r="AN215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5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5" s="108" t="e">
        <f ca="1">VLOOKUP(Tableau118[[#This Row],[Key(POD -PFI- Usine)]],'DATA Consignee'!A:J,10,FALSE)</f>
        <v>#N/A</v>
      </c>
      <c r="AQ215" s="79" t="e">
        <f ca="1">VLOOKUP(Tableau118[[#This Row],[Key(POD -PFI- Usine)]],'DATA Consignee'!A:N,14,FALSE)</f>
        <v>#N/A</v>
      </c>
      <c r="AR215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5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5" s="79" t="e">
        <f ca="1">Tableau118[[#This Row],[Transit time]]+Tableau118[[#This Row],[Time for security]]+Tableau118[[#This Row],[Time for security2 buffer]]</f>
        <v>#N/A</v>
      </c>
      <c r="AU215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5" s="79" t="e">
        <f ca="1">Tableau118[[#This Row],[Leadtime SI2C]]+Tableau118[[#This Row],[First Receipt Days]]-Tableau118[[#This Row],[Day Customer Order]]+1</f>
        <v>#N/A</v>
      </c>
      <c r="AW215" s="118" t="e">
        <f ca="1">IF(Tableau118[[#This Row],[Name ILN]]&lt;&gt;"SFK Freight Forwarder",Tableau118[[#This Row],[Cust. Leadtime]],Tableau118[[#This Row],[Leadtime SI2C]])</f>
        <v>#N/A</v>
      </c>
      <c r="AX215" s="51" t="e">
        <f>VLOOKUP(Tableau118[[#This Row],[ID]],'DATA BTO'!B:P,15,FALSE)</f>
        <v>#N/A</v>
      </c>
      <c r="AY215" s="328" t="e">
        <f ca="1">IFERROR(VLOOKUP(Tableau118[[#This Row],[Key(ID-Actif)]],'DATA BTO'!A:N,4,FALSE),VLOOKUP(Tableau118[[#This Row],[ID]],'DATA BTO'!B:N,3,FALSE))</f>
        <v>#N/A</v>
      </c>
      <c r="AZ21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5" s="50"/>
    </row>
    <row r="216" spans="2:57">
      <c r="B216" s="65" t="str">
        <f>_xlfn.CONCAT(Tableau118[[#This Row],[Name ILN]],"-",Tableau118[[#This Row],[Name Shipper]],"-",Tableau118[[#This Row],[Name Site]])</f>
        <v>--</v>
      </c>
      <c r="C216" s="65" t="e">
        <f ca="1">_xlfn.CONCAT(Tableau118[[#This Row],[Compte ILN]],"-",Tableau118[[#This Row],[Compte Shipper]],"-",Tableau118[[#This Row],[POL]],"-",Tableau118[[#This Row],[Compte Site]])</f>
        <v>#N/A</v>
      </c>
      <c r="D216" s="80" t="e">
        <f ca="1">_xlfn.CONCAT(Tableau118[[#This Row],[Compte ILN]],"-",Tableau118[[#This Row],[Compte Shipper]],"-",Tableau118[[#This Row],[POL]])</f>
        <v>#N/A</v>
      </c>
      <c r="E216" s="81" t="e">
        <f ca="1">_xlfn.CONCAT(Tableau118[[#This Row],[POL]],"-",Tableau118[[#This Row],[Carrier]],"-",Tableau118[[#This Row],[POD]])</f>
        <v>#N/A</v>
      </c>
      <c r="F216" s="80" t="str">
        <f>_xlfn.CONCAT(Tableau118[[#This Row],[ID]],"-","Next")</f>
        <v>-Next</v>
      </c>
      <c r="G216" s="80" t="e">
        <f ca="1">_xlfn.CONCAT(Tableau118[[#This Row],[POD]],"-",Tableau118[[#This Row],[Code PFI]],"-",Tableau118[[#This Row],[Compte Site]])</f>
        <v>#N/A</v>
      </c>
      <c r="H216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6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6" s="401" t="str">
        <f ca="1">IF(COUNTIF(I:I,Tableau118[[#This Row],[Plant-ILN-shipper-POL-Carrier-POD-PFI]])=1,"Non","Oui")</f>
        <v>Oui</v>
      </c>
      <c r="K216" s="101" t="e">
        <f>VLOOKUP(Tableau118[[#This Row],[Name Site]],Plant_AILN!A:D,4,FALSE)</f>
        <v>#N/A</v>
      </c>
      <c r="L216" s="363"/>
      <c r="M216" s="480"/>
      <c r="N216" s="102"/>
      <c r="O216" s="124"/>
      <c r="P216" s="484"/>
      <c r="Q216" s="79"/>
      <c r="R216" s="79"/>
      <c r="S216" s="79"/>
      <c r="T216" s="79"/>
      <c r="U216" s="79"/>
      <c r="V216" s="79"/>
      <c r="W216" s="104"/>
      <c r="X216" s="283"/>
      <c r="Y216" s="487">
        <f>IFERROR(VLOOKUP(Tableau118[[#This Row],[Name Shipper]],Plant_AILN!L:M,2,FALSE),0)</f>
        <v>0</v>
      </c>
      <c r="Z216" s="358"/>
      <c r="AA216" s="354" t="e">
        <f ca="1">VLOOKUP(Tableau118[[#This Row],[Key(ID-Actif)]],'DATA BTO'!A:N,5,FALSE)</f>
        <v>#N/A</v>
      </c>
      <c r="AB216" s="106" t="e">
        <f ca="1">VLOOKUP(Tableau118[[#This Row],[Key(ID-Actif)]],'DATA BTO'!A:N,6,FALSE)</f>
        <v>#N/A</v>
      </c>
      <c r="AC216" s="79" t="e">
        <f ca="1">VLOOKUP(Tableau118[[#This Row],[Key(ID-Actif)]],'DATA BTO'!A:N,7,FALSE)</f>
        <v>#N/A</v>
      </c>
      <c r="AD216" s="79" t="e">
        <f ca="1">VLOOKUP(Tableau118[[#This Row],[Key(ID-Actif)]],'DATA BTO'!A:N,8,FALSE)</f>
        <v>#N/A</v>
      </c>
      <c r="AE216" s="79" t="e">
        <f ca="1">IF(Tableau118[[#This Row],[First Day to POL]]&lt;=Tableau118[[#This Row],[Day Cut Off]],Tableau118[[#This Row],[Day ETD]],Tableau118[[#This Row],[Day ETD]]+7)</f>
        <v>#N/A</v>
      </c>
      <c r="AF216" s="79" t="e">
        <f ca="1">VLOOKUP(Tableau118[[#This Row],[Key(ID-Actif)]],'DATA BTO'!A:N,9,FALSE)</f>
        <v>#N/A</v>
      </c>
      <c r="AG216" s="106" t="e">
        <f ca="1">VLOOKUP(Tableau118[[#This Row],[Key(ID-Actif)]],'DATA BTO'!A:N,10,FALSE)</f>
        <v>#N/A</v>
      </c>
      <c r="AH216" s="106" t="e">
        <f ca="1">VLOOKUP(Tableau118[[#This Row],[Key(ID-Actif)]],'DATA BTO'!A:N,11,FALSE)</f>
        <v>#N/A</v>
      </c>
      <c r="AI216" s="79" t="e">
        <f ca="1">VLOOKUP(Tableau118[[#This Row],[Key(ID-Actif)]],'DATA BTO'!A:N,12,FALSE)</f>
        <v>#N/A</v>
      </c>
      <c r="AJ216" s="104" t="e">
        <f ca="1">VLOOKUP(Tableau118[[#This Row],[Key(ID-Actif)]],'DATA BTO'!A:N,14,FALSE)</f>
        <v>#N/A</v>
      </c>
      <c r="AK216" s="105" t="e">
        <f ca="1">VLOOKUP(Tableau118[[#This Row],[Key(POD -PFI- Usine)]],'DATA Consignee'!A:F,6,FALSE)</f>
        <v>#N/A</v>
      </c>
      <c r="AL216" s="136"/>
      <c r="AM216" s="488" t="str">
        <f>IF(Tableau118[[#This Row],[Name PFI/CDD]]="","-",VLOOKUP(Tableau118[[#This Row],[Name PFI/CDD]],Plant_AILN!I:J,2,FALSE))</f>
        <v>-</v>
      </c>
      <c r="AN216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6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6" s="108" t="e">
        <f ca="1">VLOOKUP(Tableau118[[#This Row],[Key(POD -PFI- Usine)]],'DATA Consignee'!A:J,10,FALSE)</f>
        <v>#N/A</v>
      </c>
      <c r="AQ216" s="79" t="e">
        <f ca="1">VLOOKUP(Tableau118[[#This Row],[Key(POD -PFI- Usine)]],'DATA Consignee'!A:N,14,FALSE)</f>
        <v>#N/A</v>
      </c>
      <c r="AR216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6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6" s="79" t="e">
        <f ca="1">Tableau118[[#This Row],[Transit time]]+Tableau118[[#This Row],[Time for security]]+Tableau118[[#This Row],[Time for security2 buffer]]</f>
        <v>#N/A</v>
      </c>
      <c r="AU216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6" s="79" t="e">
        <f ca="1">Tableau118[[#This Row],[Leadtime SI2C]]+Tableau118[[#This Row],[First Receipt Days]]-Tableau118[[#This Row],[Day Customer Order]]+1</f>
        <v>#N/A</v>
      </c>
      <c r="AW216" s="118" t="e">
        <f ca="1">IF(Tableau118[[#This Row],[Name ILN]]&lt;&gt;"SFK Freight Forwarder",Tableau118[[#This Row],[Cust. Leadtime]],Tableau118[[#This Row],[Leadtime SI2C]])</f>
        <v>#N/A</v>
      </c>
      <c r="AX216" s="51" t="e">
        <f>VLOOKUP(Tableau118[[#This Row],[ID]],'DATA BTO'!B:P,15,FALSE)</f>
        <v>#N/A</v>
      </c>
      <c r="AY216" s="328" t="e">
        <f ca="1">IFERROR(VLOOKUP(Tableau118[[#This Row],[Key(ID-Actif)]],'DATA BTO'!A:N,4,FALSE),VLOOKUP(Tableau118[[#This Row],[ID]],'DATA BTO'!B:N,3,FALSE))</f>
        <v>#N/A</v>
      </c>
      <c r="AZ21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6" s="50"/>
    </row>
    <row r="217" spans="2:57" ht="15" customHeight="1">
      <c r="B217" s="65" t="str">
        <f>_xlfn.CONCAT(Tableau118[[#This Row],[Name ILN]],"-",Tableau118[[#This Row],[Name Shipper]],"-",Tableau118[[#This Row],[Name Site]])</f>
        <v>--</v>
      </c>
      <c r="C217" s="65" t="e">
        <f ca="1">_xlfn.CONCAT(Tableau118[[#This Row],[Compte ILN]],"-",Tableau118[[#This Row],[Compte Shipper]],"-",Tableau118[[#This Row],[POL]],"-",Tableau118[[#This Row],[Compte Site]])</f>
        <v>#N/A</v>
      </c>
      <c r="D217" s="80" t="e">
        <f ca="1">_xlfn.CONCAT(Tableau118[[#This Row],[Compte ILN]],"-",Tableau118[[#This Row],[Compte Shipper]],"-",Tableau118[[#This Row],[POL]])</f>
        <v>#N/A</v>
      </c>
      <c r="E217" s="81" t="e">
        <f ca="1">_xlfn.CONCAT(Tableau118[[#This Row],[POL]],"-",Tableau118[[#This Row],[Carrier]],"-",Tableau118[[#This Row],[POD]])</f>
        <v>#N/A</v>
      </c>
      <c r="F217" s="80" t="str">
        <f>_xlfn.CONCAT(Tableau118[[#This Row],[ID]],"-","Next")</f>
        <v>-Next</v>
      </c>
      <c r="G217" s="80" t="e">
        <f ca="1">_xlfn.CONCAT(Tableau118[[#This Row],[POD]],"-",Tableau118[[#This Row],[Code PFI]],"-",Tableau118[[#This Row],[Compte Site]])</f>
        <v>#N/A</v>
      </c>
      <c r="H21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7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7" s="401" t="str">
        <f ca="1">IF(COUNTIF(I:I,Tableau118[[#This Row],[Plant-ILN-shipper-POL-Carrier-POD-PFI]])=1,"Non","Oui")</f>
        <v>Oui</v>
      </c>
      <c r="K217" s="101" t="e">
        <f>VLOOKUP(Tableau118[[#This Row],[Name Site]],Plant_AILN!A:D,4,FALSE)</f>
        <v>#N/A</v>
      </c>
      <c r="L217" s="363"/>
      <c r="M217" s="480"/>
      <c r="N217" s="102"/>
      <c r="O217" s="124"/>
      <c r="P217" s="484"/>
      <c r="Q217" s="79"/>
      <c r="R217" s="79"/>
      <c r="S217" s="79"/>
      <c r="T217" s="79"/>
      <c r="U217" s="79"/>
      <c r="V217" s="79"/>
      <c r="W217" s="104"/>
      <c r="X217" s="283"/>
      <c r="Y217" s="487">
        <f>IFERROR(VLOOKUP(Tableau118[[#This Row],[Name Shipper]],Plant_AILN!L:M,2,FALSE),0)</f>
        <v>0</v>
      </c>
      <c r="Z217" s="358"/>
      <c r="AA217" s="354" t="e">
        <f ca="1">VLOOKUP(Tableau118[[#This Row],[Key(ID-Actif)]],'DATA BTO'!A:N,5,FALSE)</f>
        <v>#N/A</v>
      </c>
      <c r="AB217" s="106" t="e">
        <f ca="1">VLOOKUP(Tableau118[[#This Row],[Key(ID-Actif)]],'DATA BTO'!A:N,6,FALSE)</f>
        <v>#N/A</v>
      </c>
      <c r="AC217" s="79" t="e">
        <f ca="1">VLOOKUP(Tableau118[[#This Row],[Key(ID-Actif)]],'DATA BTO'!A:N,7,FALSE)</f>
        <v>#N/A</v>
      </c>
      <c r="AD217" s="79" t="e">
        <f ca="1">VLOOKUP(Tableau118[[#This Row],[Key(ID-Actif)]],'DATA BTO'!A:N,8,FALSE)</f>
        <v>#N/A</v>
      </c>
      <c r="AE217" s="79" t="e">
        <f ca="1">IF(Tableau118[[#This Row],[First Day to POL]]&lt;=Tableau118[[#This Row],[Day Cut Off]],Tableau118[[#This Row],[Day ETD]],Tableau118[[#This Row],[Day ETD]]+7)</f>
        <v>#N/A</v>
      </c>
      <c r="AF217" s="79" t="e">
        <f ca="1">VLOOKUP(Tableau118[[#This Row],[Key(ID-Actif)]],'DATA BTO'!A:N,9,FALSE)</f>
        <v>#N/A</v>
      </c>
      <c r="AG217" s="106" t="e">
        <f ca="1">VLOOKUP(Tableau118[[#This Row],[Key(ID-Actif)]],'DATA BTO'!A:N,10,FALSE)</f>
        <v>#N/A</v>
      </c>
      <c r="AH217" s="106" t="e">
        <f ca="1">VLOOKUP(Tableau118[[#This Row],[Key(ID-Actif)]],'DATA BTO'!A:N,11,FALSE)</f>
        <v>#N/A</v>
      </c>
      <c r="AI217" s="79" t="e">
        <f ca="1">VLOOKUP(Tableau118[[#This Row],[Key(ID-Actif)]],'DATA BTO'!A:N,12,FALSE)</f>
        <v>#N/A</v>
      </c>
      <c r="AJ217" s="104" t="e">
        <f ca="1">VLOOKUP(Tableau118[[#This Row],[Key(ID-Actif)]],'DATA BTO'!A:N,14,FALSE)</f>
        <v>#N/A</v>
      </c>
      <c r="AK217" s="105" t="e">
        <f ca="1">VLOOKUP(Tableau118[[#This Row],[Key(POD -PFI- Usine)]],'DATA Consignee'!A:F,6,FALSE)</f>
        <v>#N/A</v>
      </c>
      <c r="AL217" s="136"/>
      <c r="AM217" s="488" t="str">
        <f>IF(Tableau118[[#This Row],[Name PFI/CDD]]="","-",VLOOKUP(Tableau118[[#This Row],[Name PFI/CDD]],Plant_AILN!I:J,2,FALSE))</f>
        <v>-</v>
      </c>
      <c r="AN217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7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7" s="108" t="e">
        <f ca="1">VLOOKUP(Tableau118[[#This Row],[Key(POD -PFI- Usine)]],'DATA Consignee'!A:J,10,FALSE)</f>
        <v>#N/A</v>
      </c>
      <c r="AQ217" s="79" t="e">
        <f ca="1">VLOOKUP(Tableau118[[#This Row],[Key(POD -PFI- Usine)]],'DATA Consignee'!A:N,14,FALSE)</f>
        <v>#N/A</v>
      </c>
      <c r="AR217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7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7" s="79" t="e">
        <f ca="1">Tableau118[[#This Row],[Transit time]]+Tableau118[[#This Row],[Time for security]]+Tableau118[[#This Row],[Time for security2 buffer]]</f>
        <v>#N/A</v>
      </c>
      <c r="AU217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7" s="79" t="e">
        <f ca="1">Tableau118[[#This Row],[Leadtime SI2C]]+Tableau118[[#This Row],[First Receipt Days]]-Tableau118[[#This Row],[Day Customer Order]]+1</f>
        <v>#N/A</v>
      </c>
      <c r="AW217" s="118" t="e">
        <f ca="1">IF(Tableau118[[#This Row],[Name ILN]]&lt;&gt;"SFK Freight Forwarder",Tableau118[[#This Row],[Cust. Leadtime]],Tableau118[[#This Row],[Leadtime SI2C]])</f>
        <v>#N/A</v>
      </c>
      <c r="AX217" s="51" t="e">
        <f>VLOOKUP(Tableau118[[#This Row],[ID]],'DATA BTO'!B:P,15,FALSE)</f>
        <v>#N/A</v>
      </c>
      <c r="AY217" s="328" t="e">
        <f ca="1">IFERROR(VLOOKUP(Tableau118[[#This Row],[Key(ID-Actif)]],'DATA BTO'!A:N,4,FALSE),VLOOKUP(Tableau118[[#This Row],[ID]],'DATA BTO'!B:N,3,FALSE))</f>
        <v>#N/A</v>
      </c>
      <c r="AZ21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7" s="50"/>
    </row>
    <row r="218" spans="2:57">
      <c r="B218" s="65" t="str">
        <f>_xlfn.CONCAT(Tableau118[[#This Row],[Name ILN]],"-",Tableau118[[#This Row],[Name Shipper]],"-",Tableau118[[#This Row],[Name Site]])</f>
        <v>--</v>
      </c>
      <c r="C218" s="65" t="e">
        <f ca="1">_xlfn.CONCAT(Tableau118[[#This Row],[Compte ILN]],"-",Tableau118[[#This Row],[Compte Shipper]],"-",Tableau118[[#This Row],[POL]],"-",Tableau118[[#This Row],[Compte Site]])</f>
        <v>#N/A</v>
      </c>
      <c r="D218" s="80" t="e">
        <f ca="1">_xlfn.CONCAT(Tableau118[[#This Row],[Compte ILN]],"-",Tableau118[[#This Row],[Compte Shipper]],"-",Tableau118[[#This Row],[POL]])</f>
        <v>#N/A</v>
      </c>
      <c r="E218" s="81" t="e">
        <f ca="1">_xlfn.CONCAT(Tableau118[[#This Row],[POL]],"-",Tableau118[[#This Row],[Carrier]],"-",Tableau118[[#This Row],[POD]])</f>
        <v>#N/A</v>
      </c>
      <c r="F218" s="80" t="str">
        <f>_xlfn.CONCAT(Tableau118[[#This Row],[ID]],"-","Next")</f>
        <v>-Next</v>
      </c>
      <c r="G218" s="80" t="e">
        <f ca="1">_xlfn.CONCAT(Tableau118[[#This Row],[POD]],"-",Tableau118[[#This Row],[Code PFI]],"-",Tableau118[[#This Row],[Compte Site]])</f>
        <v>#N/A</v>
      </c>
      <c r="H218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8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8" s="401" t="str">
        <f ca="1">IF(COUNTIF(I:I,Tableau118[[#This Row],[Plant-ILN-shipper-POL-Carrier-POD-PFI]])=1,"Non","Oui")</f>
        <v>Oui</v>
      </c>
      <c r="K218" s="101" t="e">
        <f>VLOOKUP(Tableau118[[#This Row],[Name Site]],Plant_AILN!A:D,4,FALSE)</f>
        <v>#N/A</v>
      </c>
      <c r="L218" s="363"/>
      <c r="M218" s="480"/>
      <c r="N218" s="102"/>
      <c r="O218" s="124"/>
      <c r="P218" s="484"/>
      <c r="Q218" s="79"/>
      <c r="R218" s="79"/>
      <c r="S218" s="79"/>
      <c r="T218" s="79"/>
      <c r="U218" s="79"/>
      <c r="V218" s="79"/>
      <c r="W218" s="104"/>
      <c r="X218" s="283"/>
      <c r="Y218" s="487">
        <f>IFERROR(VLOOKUP(Tableau118[[#This Row],[Name Shipper]],Plant_AILN!L:M,2,FALSE),0)</f>
        <v>0</v>
      </c>
      <c r="Z218" s="358"/>
      <c r="AA218" s="354" t="e">
        <f ca="1">VLOOKUP(Tableau118[[#This Row],[Key(ID-Actif)]],'DATA BTO'!A:N,5,FALSE)</f>
        <v>#N/A</v>
      </c>
      <c r="AB218" s="106" t="e">
        <f ca="1">VLOOKUP(Tableau118[[#This Row],[Key(ID-Actif)]],'DATA BTO'!A:N,6,FALSE)</f>
        <v>#N/A</v>
      </c>
      <c r="AC218" s="79" t="e">
        <f ca="1">VLOOKUP(Tableau118[[#This Row],[Key(ID-Actif)]],'DATA BTO'!A:N,7,FALSE)</f>
        <v>#N/A</v>
      </c>
      <c r="AD218" s="79" t="e">
        <f ca="1">VLOOKUP(Tableau118[[#This Row],[Key(ID-Actif)]],'DATA BTO'!A:N,8,FALSE)</f>
        <v>#N/A</v>
      </c>
      <c r="AE218" s="79" t="e">
        <f ca="1">IF(Tableau118[[#This Row],[First Day to POL]]&lt;=Tableau118[[#This Row],[Day Cut Off]],Tableau118[[#This Row],[Day ETD]],Tableau118[[#This Row],[Day ETD]]+7)</f>
        <v>#N/A</v>
      </c>
      <c r="AF218" s="79" t="e">
        <f ca="1">VLOOKUP(Tableau118[[#This Row],[Key(ID-Actif)]],'DATA BTO'!A:N,9,FALSE)</f>
        <v>#N/A</v>
      </c>
      <c r="AG218" s="106" t="e">
        <f ca="1">VLOOKUP(Tableau118[[#This Row],[Key(ID-Actif)]],'DATA BTO'!A:N,10,FALSE)</f>
        <v>#N/A</v>
      </c>
      <c r="AH218" s="106" t="e">
        <f ca="1">VLOOKUP(Tableau118[[#This Row],[Key(ID-Actif)]],'DATA BTO'!A:N,11,FALSE)</f>
        <v>#N/A</v>
      </c>
      <c r="AI218" s="79" t="e">
        <f ca="1">VLOOKUP(Tableau118[[#This Row],[Key(ID-Actif)]],'DATA BTO'!A:N,12,FALSE)</f>
        <v>#N/A</v>
      </c>
      <c r="AJ218" s="104" t="e">
        <f ca="1">VLOOKUP(Tableau118[[#This Row],[Key(ID-Actif)]],'DATA BTO'!A:N,14,FALSE)</f>
        <v>#N/A</v>
      </c>
      <c r="AK218" s="105" t="e">
        <f ca="1">VLOOKUP(Tableau118[[#This Row],[Key(POD -PFI- Usine)]],'DATA Consignee'!A:F,6,FALSE)</f>
        <v>#N/A</v>
      </c>
      <c r="AL218" s="136"/>
      <c r="AM218" s="488" t="str">
        <f>IF(Tableau118[[#This Row],[Name PFI/CDD]]="","-",VLOOKUP(Tableau118[[#This Row],[Name PFI/CDD]],Plant_AILN!I:J,2,FALSE))</f>
        <v>-</v>
      </c>
      <c r="AN218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8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8" s="108" t="e">
        <f ca="1">VLOOKUP(Tableau118[[#This Row],[Key(POD -PFI- Usine)]],'DATA Consignee'!A:J,10,FALSE)</f>
        <v>#N/A</v>
      </c>
      <c r="AQ218" s="79" t="e">
        <f ca="1">VLOOKUP(Tableau118[[#This Row],[Key(POD -PFI- Usine)]],'DATA Consignee'!A:N,14,FALSE)</f>
        <v>#N/A</v>
      </c>
      <c r="AR218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8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8" s="79" t="e">
        <f ca="1">Tableau118[[#This Row],[Transit time]]+Tableau118[[#This Row],[Time for security]]+Tableau118[[#This Row],[Time for security2 buffer]]</f>
        <v>#N/A</v>
      </c>
      <c r="AU218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8" s="79" t="e">
        <f ca="1">Tableau118[[#This Row],[Leadtime SI2C]]+Tableau118[[#This Row],[First Receipt Days]]-Tableau118[[#This Row],[Day Customer Order]]+1</f>
        <v>#N/A</v>
      </c>
      <c r="AW218" s="118" t="e">
        <f ca="1">IF(Tableau118[[#This Row],[Name ILN]]&lt;&gt;"SFK Freight Forwarder",Tableau118[[#This Row],[Cust. Leadtime]],Tableau118[[#This Row],[Leadtime SI2C]])</f>
        <v>#N/A</v>
      </c>
      <c r="AX218" s="51" t="e">
        <f>VLOOKUP(Tableau118[[#This Row],[ID]],'DATA BTO'!B:P,15,FALSE)</f>
        <v>#N/A</v>
      </c>
      <c r="AY218" s="328" t="e">
        <f ca="1">IFERROR(VLOOKUP(Tableau118[[#This Row],[Key(ID-Actif)]],'DATA BTO'!A:N,4,FALSE),VLOOKUP(Tableau118[[#This Row],[ID]],'DATA BTO'!B:N,3,FALSE))</f>
        <v>#N/A</v>
      </c>
      <c r="AZ21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8" s="50"/>
    </row>
    <row r="219" spans="2:57">
      <c r="B219" s="65" t="str">
        <f>_xlfn.CONCAT(Tableau118[[#This Row],[Name ILN]],"-",Tableau118[[#This Row],[Name Shipper]],"-",Tableau118[[#This Row],[Name Site]])</f>
        <v>--</v>
      </c>
      <c r="C219" s="65" t="e">
        <f ca="1">_xlfn.CONCAT(Tableau118[[#This Row],[Compte ILN]],"-",Tableau118[[#This Row],[Compte Shipper]],"-",Tableau118[[#This Row],[POL]],"-",Tableau118[[#This Row],[Compte Site]])</f>
        <v>#N/A</v>
      </c>
      <c r="D219" s="80" t="e">
        <f ca="1">_xlfn.CONCAT(Tableau118[[#This Row],[Compte ILN]],"-",Tableau118[[#This Row],[Compte Shipper]],"-",Tableau118[[#This Row],[POL]])</f>
        <v>#N/A</v>
      </c>
      <c r="E219" s="81" t="e">
        <f ca="1">_xlfn.CONCAT(Tableau118[[#This Row],[POL]],"-",Tableau118[[#This Row],[Carrier]],"-",Tableau118[[#This Row],[POD]])</f>
        <v>#N/A</v>
      </c>
      <c r="F219" s="80" t="str">
        <f>_xlfn.CONCAT(Tableau118[[#This Row],[ID]],"-","Next")</f>
        <v>-Next</v>
      </c>
      <c r="G219" s="80" t="e">
        <f ca="1">_xlfn.CONCAT(Tableau118[[#This Row],[POD]],"-",Tableau118[[#This Row],[Code PFI]],"-",Tableau118[[#This Row],[Compte Site]])</f>
        <v>#N/A</v>
      </c>
      <c r="H219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19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19" s="401" t="str">
        <f ca="1">IF(COUNTIF(I:I,Tableau118[[#This Row],[Plant-ILN-shipper-POL-Carrier-POD-PFI]])=1,"Non","Oui")</f>
        <v>Oui</v>
      </c>
      <c r="K219" s="101" t="e">
        <f>VLOOKUP(Tableau118[[#This Row],[Name Site]],Plant_AILN!A:D,4,FALSE)</f>
        <v>#N/A</v>
      </c>
      <c r="L219" s="10"/>
      <c r="M219" s="480"/>
      <c r="N219" s="102"/>
      <c r="O219" s="124"/>
      <c r="P219" s="484"/>
      <c r="Q219" s="79"/>
      <c r="R219" s="79"/>
      <c r="S219" s="79"/>
      <c r="T219" s="79"/>
      <c r="U219" s="79"/>
      <c r="V219" s="79"/>
      <c r="W219" s="104"/>
      <c r="X219" s="283"/>
      <c r="Y219" s="487">
        <f>IFERROR(VLOOKUP(Tableau118[[#This Row],[Name Shipper]],Plant_AILN!L:M,2,FALSE),0)</f>
        <v>0</v>
      </c>
      <c r="Z219" s="358"/>
      <c r="AA219" s="354" t="e">
        <f ca="1">VLOOKUP(Tableau118[[#This Row],[Key(ID-Actif)]],'DATA BTO'!A:N,5,FALSE)</f>
        <v>#N/A</v>
      </c>
      <c r="AB219" s="106" t="e">
        <f ca="1">VLOOKUP(Tableau118[[#This Row],[Key(ID-Actif)]],'DATA BTO'!A:N,6,FALSE)</f>
        <v>#N/A</v>
      </c>
      <c r="AC219" s="79" t="e">
        <f ca="1">VLOOKUP(Tableau118[[#This Row],[Key(ID-Actif)]],'DATA BTO'!A:N,7,FALSE)</f>
        <v>#N/A</v>
      </c>
      <c r="AD219" s="79" t="e">
        <f ca="1">VLOOKUP(Tableau118[[#This Row],[Key(ID-Actif)]],'DATA BTO'!A:N,8,FALSE)</f>
        <v>#N/A</v>
      </c>
      <c r="AE219" s="79" t="e">
        <f ca="1">IF(Tableau118[[#This Row],[First Day to POL]]&lt;=Tableau118[[#This Row],[Day Cut Off]],Tableau118[[#This Row],[Day ETD]],Tableau118[[#This Row],[Day ETD]]+7)</f>
        <v>#N/A</v>
      </c>
      <c r="AF219" s="79" t="e">
        <f ca="1">VLOOKUP(Tableau118[[#This Row],[Key(ID-Actif)]],'DATA BTO'!A:N,9,FALSE)</f>
        <v>#N/A</v>
      </c>
      <c r="AG219" s="106" t="e">
        <f ca="1">VLOOKUP(Tableau118[[#This Row],[Key(ID-Actif)]],'DATA BTO'!A:N,10,FALSE)</f>
        <v>#N/A</v>
      </c>
      <c r="AH219" s="106" t="e">
        <f ca="1">VLOOKUP(Tableau118[[#This Row],[Key(ID-Actif)]],'DATA BTO'!A:N,11,FALSE)</f>
        <v>#N/A</v>
      </c>
      <c r="AI219" s="79" t="e">
        <f ca="1">VLOOKUP(Tableau118[[#This Row],[Key(ID-Actif)]],'DATA BTO'!A:N,12,FALSE)</f>
        <v>#N/A</v>
      </c>
      <c r="AJ219" s="104" t="e">
        <f ca="1">VLOOKUP(Tableau118[[#This Row],[Key(ID-Actif)]],'DATA BTO'!A:N,14,FALSE)</f>
        <v>#N/A</v>
      </c>
      <c r="AK219" s="105" t="e">
        <f ca="1">VLOOKUP(Tableau118[[#This Row],[Key(POD -PFI- Usine)]],'DATA Consignee'!A:F,6,FALSE)</f>
        <v>#N/A</v>
      </c>
      <c r="AL219" s="136"/>
      <c r="AM219" s="488" t="str">
        <f>IF(Tableau118[[#This Row],[Name PFI/CDD]]="","-",VLOOKUP(Tableau118[[#This Row],[Name PFI/CDD]],Plant_AILN!I:J,2,FALSE))</f>
        <v>-</v>
      </c>
      <c r="AN219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19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19" s="108" t="e">
        <f ca="1">VLOOKUP(Tableau118[[#This Row],[Key(POD -PFI- Usine)]],'DATA Consignee'!A:J,10,FALSE)</f>
        <v>#N/A</v>
      </c>
      <c r="AQ219" s="79" t="e">
        <f ca="1">VLOOKUP(Tableau118[[#This Row],[Key(POD -PFI- Usine)]],'DATA Consignee'!A:N,14,FALSE)</f>
        <v>#N/A</v>
      </c>
      <c r="AR219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19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19" s="79" t="e">
        <f ca="1">Tableau118[[#This Row],[Transit time]]+Tableau118[[#This Row],[Time for security]]+Tableau118[[#This Row],[Time for security2 buffer]]</f>
        <v>#N/A</v>
      </c>
      <c r="AU219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19" s="79" t="e">
        <f ca="1">Tableau118[[#This Row],[Leadtime SI2C]]+Tableau118[[#This Row],[First Receipt Days]]-Tableau118[[#This Row],[Day Customer Order]]+1</f>
        <v>#N/A</v>
      </c>
      <c r="AW219" s="118" t="e">
        <f ca="1">IF(Tableau118[[#This Row],[Name ILN]]&lt;&gt;"SFK Freight Forwarder",Tableau118[[#This Row],[Cust. Leadtime]],Tableau118[[#This Row],[Leadtime SI2C]])</f>
        <v>#N/A</v>
      </c>
      <c r="AX219" s="51" t="e">
        <f>VLOOKUP(Tableau118[[#This Row],[ID]],'DATA BTO'!B:P,15,FALSE)</f>
        <v>#N/A</v>
      </c>
      <c r="AY219" s="328" t="e">
        <f ca="1">IFERROR(VLOOKUP(Tableau118[[#This Row],[Key(ID-Actif)]],'DATA BTO'!A:N,4,FALSE),VLOOKUP(Tableau118[[#This Row],[ID]],'DATA BTO'!B:N,3,FALSE))</f>
        <v>#N/A</v>
      </c>
      <c r="AZ21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1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1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1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1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19" s="50"/>
    </row>
    <row r="220" spans="2:57">
      <c r="B220" s="65" t="str">
        <f>_xlfn.CONCAT(Tableau118[[#This Row],[Name ILN]],"-",Tableau118[[#This Row],[Name Shipper]],"-",Tableau118[[#This Row],[Name Site]])</f>
        <v>--</v>
      </c>
      <c r="C220" s="65" t="e">
        <f ca="1">_xlfn.CONCAT(Tableau118[[#This Row],[Compte ILN]],"-",Tableau118[[#This Row],[Compte Shipper]],"-",Tableau118[[#This Row],[POL]],"-",Tableau118[[#This Row],[Compte Site]])</f>
        <v>#N/A</v>
      </c>
      <c r="D220" s="80" t="e">
        <f ca="1">_xlfn.CONCAT(Tableau118[[#This Row],[Compte ILN]],"-",Tableau118[[#This Row],[Compte Shipper]],"-",Tableau118[[#This Row],[POL]])</f>
        <v>#N/A</v>
      </c>
      <c r="E220" s="81" t="e">
        <f ca="1">_xlfn.CONCAT(Tableau118[[#This Row],[POL]],"-",Tableau118[[#This Row],[Carrier]],"-",Tableau118[[#This Row],[POD]])</f>
        <v>#N/A</v>
      </c>
      <c r="F220" s="80" t="str">
        <f>_xlfn.CONCAT(Tableau118[[#This Row],[ID]],"-","Next")</f>
        <v>-Next</v>
      </c>
      <c r="G220" s="80" t="e">
        <f ca="1">_xlfn.CONCAT(Tableau118[[#This Row],[POD]],"-",Tableau118[[#This Row],[Code PFI]],"-",Tableau118[[#This Row],[Compte Site]])</f>
        <v>#N/A</v>
      </c>
      <c r="H22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0" s="401" t="str">
        <f ca="1">IF(COUNTIF(I:I,Tableau118[[#This Row],[Plant-ILN-shipper-POL-Carrier-POD-PFI]])=1,"Non","Oui")</f>
        <v>Oui</v>
      </c>
      <c r="K220" s="101" t="e">
        <f>VLOOKUP(Tableau118[[#This Row],[Name Site]],Plant_AILN!A:D,4,FALSE)</f>
        <v>#N/A</v>
      </c>
      <c r="L220" s="10"/>
      <c r="M220" s="480"/>
      <c r="N220" s="102"/>
      <c r="O220" s="114"/>
      <c r="P220" s="484"/>
      <c r="Q220" s="79"/>
      <c r="R220" s="79"/>
      <c r="S220" s="79"/>
      <c r="T220" s="79"/>
      <c r="U220" s="79"/>
      <c r="V220" s="79"/>
      <c r="W220" s="104"/>
      <c r="X220" s="283"/>
      <c r="Y220" s="487">
        <f>IFERROR(VLOOKUP(Tableau118[[#This Row],[Name Shipper]],Plant_AILN!L:M,2,FALSE),0)</f>
        <v>0</v>
      </c>
      <c r="Z220" s="358"/>
      <c r="AA220" s="354" t="e">
        <f ca="1">VLOOKUP(Tableau118[[#This Row],[Key(ID-Actif)]],'DATA BTO'!A:N,5,FALSE)</f>
        <v>#N/A</v>
      </c>
      <c r="AB220" s="106" t="e">
        <f ca="1">VLOOKUP(Tableau118[[#This Row],[Key(ID-Actif)]],'DATA BTO'!A:N,6,FALSE)</f>
        <v>#N/A</v>
      </c>
      <c r="AC220" s="79" t="e">
        <f ca="1">VLOOKUP(Tableau118[[#This Row],[Key(ID-Actif)]],'DATA BTO'!A:N,7,FALSE)</f>
        <v>#N/A</v>
      </c>
      <c r="AD220" s="79" t="e">
        <f ca="1">VLOOKUP(Tableau118[[#This Row],[Key(ID-Actif)]],'DATA BTO'!A:N,8,FALSE)</f>
        <v>#N/A</v>
      </c>
      <c r="AE220" s="79" t="e">
        <f ca="1">IF(Tableau118[[#This Row],[First Day to POL]]&lt;=Tableau118[[#This Row],[Day Cut Off]],Tableau118[[#This Row],[Day ETD]],Tableau118[[#This Row],[Day ETD]]+7)</f>
        <v>#N/A</v>
      </c>
      <c r="AF220" s="79" t="e">
        <f ca="1">VLOOKUP(Tableau118[[#This Row],[Key(ID-Actif)]],'DATA BTO'!A:N,9,FALSE)</f>
        <v>#N/A</v>
      </c>
      <c r="AG220" s="106" t="e">
        <f ca="1">VLOOKUP(Tableau118[[#This Row],[Key(ID-Actif)]],'DATA BTO'!A:N,10,FALSE)</f>
        <v>#N/A</v>
      </c>
      <c r="AH220" s="106" t="e">
        <f ca="1">VLOOKUP(Tableau118[[#This Row],[Key(ID-Actif)]],'DATA BTO'!A:N,11,FALSE)</f>
        <v>#N/A</v>
      </c>
      <c r="AI220" s="79" t="e">
        <f ca="1">VLOOKUP(Tableau118[[#This Row],[Key(ID-Actif)]],'DATA BTO'!A:N,12,FALSE)</f>
        <v>#N/A</v>
      </c>
      <c r="AJ220" s="104" t="e">
        <f ca="1">VLOOKUP(Tableau118[[#This Row],[Key(ID-Actif)]],'DATA BTO'!A:N,14,FALSE)</f>
        <v>#N/A</v>
      </c>
      <c r="AK220" s="105" t="e">
        <f ca="1">VLOOKUP(Tableau118[[#This Row],[Key(POD -PFI- Usine)]],'DATA Consignee'!A:F,6,FALSE)</f>
        <v>#N/A</v>
      </c>
      <c r="AL220" s="136"/>
      <c r="AM220" s="488" t="str">
        <f>IF(Tableau118[[#This Row],[Name PFI/CDD]]="","-",VLOOKUP(Tableau118[[#This Row],[Name PFI/CDD]],Plant_AILN!I:J,2,FALSE))</f>
        <v>-</v>
      </c>
      <c r="AN22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0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0" s="108" t="e">
        <f ca="1">VLOOKUP(Tableau118[[#This Row],[Key(POD -PFI- Usine)]],'DATA Consignee'!A:J,10,FALSE)</f>
        <v>#N/A</v>
      </c>
      <c r="AQ220" s="79" t="e">
        <f ca="1">VLOOKUP(Tableau118[[#This Row],[Key(POD -PFI- Usine)]],'DATA Consignee'!A:N,14,FALSE)</f>
        <v>#N/A</v>
      </c>
      <c r="AR22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0" s="79" t="e">
        <f ca="1">Tableau118[[#This Row],[Transit time]]+Tableau118[[#This Row],[Time for security]]+Tableau118[[#This Row],[Time for security2 buffer]]</f>
        <v>#N/A</v>
      </c>
      <c r="AU22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0" s="79" t="e">
        <f ca="1">Tableau118[[#This Row],[Leadtime SI2C]]+Tableau118[[#This Row],[First Receipt Days]]-Tableau118[[#This Row],[Day Customer Order]]+1</f>
        <v>#N/A</v>
      </c>
      <c r="AW220" s="118" t="e">
        <f ca="1">IF(Tableau118[[#This Row],[Name ILN]]&lt;&gt;"SFK Freight Forwarder",Tableau118[[#This Row],[Cust. Leadtime]],Tableau118[[#This Row],[Leadtime SI2C]])</f>
        <v>#N/A</v>
      </c>
      <c r="AX220" s="51" t="e">
        <f>VLOOKUP(Tableau118[[#This Row],[ID]],'DATA BTO'!B:P,15,FALSE)</f>
        <v>#N/A</v>
      </c>
      <c r="AY220" s="328" t="e">
        <f ca="1">IFERROR(VLOOKUP(Tableau118[[#This Row],[Key(ID-Actif)]],'DATA BTO'!A:N,4,FALSE),VLOOKUP(Tableau118[[#This Row],[ID]],'DATA BTO'!B:N,3,FALSE))</f>
        <v>#N/A</v>
      </c>
      <c r="AZ22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0" s="50"/>
    </row>
    <row r="221" spans="2:57">
      <c r="B221" s="65" t="str">
        <f>_xlfn.CONCAT(Tableau118[[#This Row],[Name ILN]],"-",Tableau118[[#This Row],[Name Shipper]],"-",Tableau118[[#This Row],[Name Site]])</f>
        <v>--</v>
      </c>
      <c r="C221" s="65" t="e">
        <f ca="1">_xlfn.CONCAT(Tableau118[[#This Row],[Compte ILN]],"-",Tableau118[[#This Row],[Compte Shipper]],"-",Tableau118[[#This Row],[POL]],"-",Tableau118[[#This Row],[Compte Site]])</f>
        <v>#N/A</v>
      </c>
      <c r="D221" s="80" t="e">
        <f ca="1">_xlfn.CONCAT(Tableau118[[#This Row],[Compte ILN]],"-",Tableau118[[#This Row],[Compte Shipper]],"-",Tableau118[[#This Row],[POL]])</f>
        <v>#N/A</v>
      </c>
      <c r="E221" s="81" t="e">
        <f ca="1">_xlfn.CONCAT(Tableau118[[#This Row],[POL]],"-",Tableau118[[#This Row],[Carrier]],"-",Tableau118[[#This Row],[POD]])</f>
        <v>#N/A</v>
      </c>
      <c r="F221" s="80" t="str">
        <f>_xlfn.CONCAT(Tableau118[[#This Row],[ID]],"-","Next")</f>
        <v>-Next</v>
      </c>
      <c r="G221" s="80" t="e">
        <f ca="1">_xlfn.CONCAT(Tableau118[[#This Row],[POD]],"-",Tableau118[[#This Row],[Code PFI]],"-",Tableau118[[#This Row],[Compte Site]])</f>
        <v>#N/A</v>
      </c>
      <c r="H221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1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1" s="401" t="str">
        <f ca="1">IF(COUNTIF(I:I,Tableau118[[#This Row],[Plant-ILN-shipper-POL-Carrier-POD-PFI]])=1,"Non","Oui")</f>
        <v>Oui</v>
      </c>
      <c r="K221" s="101" t="e">
        <f>VLOOKUP(Tableau118[[#This Row],[Name Site]],Plant_AILN!A:D,4,FALSE)</f>
        <v>#N/A</v>
      </c>
      <c r="L221" s="10"/>
      <c r="M221" s="480"/>
      <c r="N221" s="102"/>
      <c r="O221" s="124"/>
      <c r="P221" s="484"/>
      <c r="Q221" s="79"/>
      <c r="R221" s="79"/>
      <c r="S221" s="79"/>
      <c r="T221" s="79"/>
      <c r="U221" s="79"/>
      <c r="V221" s="79"/>
      <c r="W221" s="104"/>
      <c r="X221" s="283"/>
      <c r="Y221" s="487">
        <f>IFERROR(VLOOKUP(Tableau118[[#This Row],[Name Shipper]],Plant_AILN!L:M,2,FALSE),0)</f>
        <v>0</v>
      </c>
      <c r="Z221" s="358"/>
      <c r="AA221" s="354" t="e">
        <f ca="1">VLOOKUP(Tableau118[[#This Row],[Key(ID-Actif)]],'DATA BTO'!A:N,5,FALSE)</f>
        <v>#N/A</v>
      </c>
      <c r="AB221" s="106" t="e">
        <f ca="1">VLOOKUP(Tableau118[[#This Row],[Key(ID-Actif)]],'DATA BTO'!A:N,6,FALSE)</f>
        <v>#N/A</v>
      </c>
      <c r="AC221" s="79" t="e">
        <f ca="1">VLOOKUP(Tableau118[[#This Row],[Key(ID-Actif)]],'DATA BTO'!A:N,7,FALSE)</f>
        <v>#N/A</v>
      </c>
      <c r="AD221" s="79" t="e">
        <f ca="1">VLOOKUP(Tableau118[[#This Row],[Key(ID-Actif)]],'DATA BTO'!A:N,8,FALSE)</f>
        <v>#N/A</v>
      </c>
      <c r="AE221" s="79" t="e">
        <f ca="1">IF(Tableau118[[#This Row],[First Day to POL]]&lt;=Tableau118[[#This Row],[Day Cut Off]],Tableau118[[#This Row],[Day ETD]],Tableau118[[#This Row],[Day ETD]]+7)</f>
        <v>#N/A</v>
      </c>
      <c r="AF221" s="79" t="e">
        <f ca="1">VLOOKUP(Tableau118[[#This Row],[Key(ID-Actif)]],'DATA BTO'!A:N,9,FALSE)</f>
        <v>#N/A</v>
      </c>
      <c r="AG221" s="106" t="e">
        <f ca="1">VLOOKUP(Tableau118[[#This Row],[Key(ID-Actif)]],'DATA BTO'!A:N,10,FALSE)</f>
        <v>#N/A</v>
      </c>
      <c r="AH221" s="106" t="e">
        <f ca="1">VLOOKUP(Tableau118[[#This Row],[Key(ID-Actif)]],'DATA BTO'!A:N,11,FALSE)</f>
        <v>#N/A</v>
      </c>
      <c r="AI221" s="79" t="e">
        <f ca="1">VLOOKUP(Tableau118[[#This Row],[Key(ID-Actif)]],'DATA BTO'!A:N,12,FALSE)</f>
        <v>#N/A</v>
      </c>
      <c r="AJ221" s="104" t="e">
        <f ca="1">VLOOKUP(Tableau118[[#This Row],[Key(ID-Actif)]],'DATA BTO'!A:N,14,FALSE)</f>
        <v>#N/A</v>
      </c>
      <c r="AK221" s="105" t="e">
        <f ca="1">VLOOKUP(Tableau118[[#This Row],[Key(POD -PFI- Usine)]],'DATA Consignee'!A:F,6,FALSE)</f>
        <v>#N/A</v>
      </c>
      <c r="AL221" s="136"/>
      <c r="AM221" s="488" t="str">
        <f>IF(Tableau118[[#This Row],[Name PFI/CDD]]="","-",VLOOKUP(Tableau118[[#This Row],[Name PFI/CDD]],Plant_AILN!I:J,2,FALSE))</f>
        <v>-</v>
      </c>
      <c r="AN221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1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1" s="108" t="e">
        <f ca="1">VLOOKUP(Tableau118[[#This Row],[Key(POD -PFI- Usine)]],'DATA Consignee'!A:J,10,FALSE)</f>
        <v>#N/A</v>
      </c>
      <c r="AQ221" s="79" t="e">
        <f ca="1">VLOOKUP(Tableau118[[#This Row],[Key(POD -PFI- Usine)]],'DATA Consignee'!A:N,14,FALSE)</f>
        <v>#N/A</v>
      </c>
      <c r="AR221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1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1" s="79" t="e">
        <f ca="1">Tableau118[[#This Row],[Transit time]]+Tableau118[[#This Row],[Time for security]]+Tableau118[[#This Row],[Time for security2 buffer]]</f>
        <v>#N/A</v>
      </c>
      <c r="AU221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1" s="79" t="e">
        <f ca="1">Tableau118[[#This Row],[Leadtime SI2C]]+Tableau118[[#This Row],[First Receipt Days]]-Tableau118[[#This Row],[Day Customer Order]]+1</f>
        <v>#N/A</v>
      </c>
      <c r="AW221" s="118" t="e">
        <f ca="1">IF(Tableau118[[#This Row],[Name ILN]]&lt;&gt;"SFK Freight Forwarder",Tableau118[[#This Row],[Cust. Leadtime]],Tableau118[[#This Row],[Leadtime SI2C]])</f>
        <v>#N/A</v>
      </c>
      <c r="AX221" s="51" t="e">
        <f>VLOOKUP(Tableau118[[#This Row],[ID]],'DATA BTO'!B:P,15,FALSE)</f>
        <v>#N/A</v>
      </c>
      <c r="AY221" s="328" t="e">
        <f ca="1">IFERROR(VLOOKUP(Tableau118[[#This Row],[Key(ID-Actif)]],'DATA BTO'!A:N,4,FALSE),VLOOKUP(Tableau118[[#This Row],[ID]],'DATA BTO'!B:N,3,FALSE))</f>
        <v>#N/A</v>
      </c>
      <c r="AZ22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1" s="50"/>
    </row>
    <row r="222" spans="2:57">
      <c r="B222" s="65" t="str">
        <f>_xlfn.CONCAT(Tableau118[[#This Row],[Name ILN]],"-",Tableau118[[#This Row],[Name Shipper]],"-",Tableau118[[#This Row],[Name Site]])</f>
        <v>--</v>
      </c>
      <c r="C222" s="65" t="e">
        <f ca="1">_xlfn.CONCAT(Tableau118[[#This Row],[Compte ILN]],"-",Tableau118[[#This Row],[Compte Shipper]],"-",Tableau118[[#This Row],[POL]],"-",Tableau118[[#This Row],[Compte Site]])</f>
        <v>#N/A</v>
      </c>
      <c r="D222" s="80" t="e">
        <f ca="1">_xlfn.CONCAT(Tableau118[[#This Row],[Compte ILN]],"-",Tableau118[[#This Row],[Compte Shipper]],"-",Tableau118[[#This Row],[POL]])</f>
        <v>#N/A</v>
      </c>
      <c r="E222" s="81" t="e">
        <f ca="1">_xlfn.CONCAT(Tableau118[[#This Row],[POL]],"-",Tableau118[[#This Row],[Carrier]],"-",Tableau118[[#This Row],[POD]])</f>
        <v>#N/A</v>
      </c>
      <c r="F222" s="80" t="str">
        <f>_xlfn.CONCAT(Tableau118[[#This Row],[ID]],"-","Next")</f>
        <v>-Next</v>
      </c>
      <c r="G222" s="80" t="e">
        <f ca="1">_xlfn.CONCAT(Tableau118[[#This Row],[POD]],"-",Tableau118[[#This Row],[Code PFI]],"-",Tableau118[[#This Row],[Compte Site]])</f>
        <v>#N/A</v>
      </c>
      <c r="H22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2" s="401" t="str">
        <f ca="1">IF(COUNTIF(I:I,Tableau118[[#This Row],[Plant-ILN-shipper-POL-Carrier-POD-PFI]])=1,"Non","Oui")</f>
        <v>Oui</v>
      </c>
      <c r="K222" s="101" t="e">
        <f>VLOOKUP(Tableau118[[#This Row],[Name Site]],Plant_AILN!A:D,4,FALSE)</f>
        <v>#N/A</v>
      </c>
      <c r="L222" s="10"/>
      <c r="M222" s="480"/>
      <c r="N222" s="102"/>
      <c r="O222" s="124"/>
      <c r="P222" s="484"/>
      <c r="Q222" s="79"/>
      <c r="R222" s="79"/>
      <c r="S222" s="79"/>
      <c r="T222" s="79"/>
      <c r="U222" s="79"/>
      <c r="V222" s="79"/>
      <c r="W222" s="104"/>
      <c r="X222" s="283"/>
      <c r="Y222" s="487">
        <f>IFERROR(VLOOKUP(Tableau118[[#This Row],[Name Shipper]],Plant_AILN!L:M,2,FALSE),0)</f>
        <v>0</v>
      </c>
      <c r="Z222" s="358"/>
      <c r="AA222" s="354" t="e">
        <f ca="1">VLOOKUP(Tableau118[[#This Row],[Key(ID-Actif)]],'DATA BTO'!A:N,5,FALSE)</f>
        <v>#N/A</v>
      </c>
      <c r="AB222" s="106" t="e">
        <f ca="1">VLOOKUP(Tableau118[[#This Row],[Key(ID-Actif)]],'DATA BTO'!A:N,6,FALSE)</f>
        <v>#N/A</v>
      </c>
      <c r="AC222" s="79" t="e">
        <f ca="1">VLOOKUP(Tableau118[[#This Row],[Key(ID-Actif)]],'DATA BTO'!A:N,7,FALSE)</f>
        <v>#N/A</v>
      </c>
      <c r="AD222" s="79" t="e">
        <f ca="1">VLOOKUP(Tableau118[[#This Row],[Key(ID-Actif)]],'DATA BTO'!A:N,8,FALSE)</f>
        <v>#N/A</v>
      </c>
      <c r="AE222" s="79" t="e">
        <f ca="1">IF(Tableau118[[#This Row],[First Day to POL]]&lt;=Tableau118[[#This Row],[Day Cut Off]],Tableau118[[#This Row],[Day ETD]],Tableau118[[#This Row],[Day ETD]]+7)</f>
        <v>#N/A</v>
      </c>
      <c r="AF222" s="79" t="e">
        <f ca="1">VLOOKUP(Tableau118[[#This Row],[Key(ID-Actif)]],'DATA BTO'!A:N,9,FALSE)</f>
        <v>#N/A</v>
      </c>
      <c r="AG222" s="106" t="e">
        <f ca="1">VLOOKUP(Tableau118[[#This Row],[Key(ID-Actif)]],'DATA BTO'!A:N,10,FALSE)</f>
        <v>#N/A</v>
      </c>
      <c r="AH222" s="106" t="e">
        <f ca="1">VLOOKUP(Tableau118[[#This Row],[Key(ID-Actif)]],'DATA BTO'!A:N,11,FALSE)</f>
        <v>#N/A</v>
      </c>
      <c r="AI222" s="79" t="e">
        <f ca="1">VLOOKUP(Tableau118[[#This Row],[Key(ID-Actif)]],'DATA BTO'!A:N,12,FALSE)</f>
        <v>#N/A</v>
      </c>
      <c r="AJ222" s="104" t="e">
        <f ca="1">VLOOKUP(Tableau118[[#This Row],[Key(ID-Actif)]],'DATA BTO'!A:N,14,FALSE)</f>
        <v>#N/A</v>
      </c>
      <c r="AK222" s="105" t="e">
        <f ca="1">VLOOKUP(Tableau118[[#This Row],[Key(POD -PFI- Usine)]],'DATA Consignee'!A:F,6,FALSE)</f>
        <v>#N/A</v>
      </c>
      <c r="AL222" s="125" t="s">
        <v>153</v>
      </c>
      <c r="AM222" s="488">
        <f>IF(Tableau118[[#This Row],[Name PFI/CDD]]="","-",VLOOKUP(Tableau118[[#This Row],[Name PFI/CDD]],Plant_AILN!I:J,2,FALSE))</f>
        <v>90016600</v>
      </c>
      <c r="AN22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2" s="108" t="e">
        <f ca="1">VLOOKUP(Tableau118[[#This Row],[Key(POD -PFI- Usine)]],'DATA Consignee'!A:J,10,FALSE)</f>
        <v>#N/A</v>
      </c>
      <c r="AQ222" s="79" t="e">
        <f ca="1">VLOOKUP(Tableau118[[#This Row],[Key(POD -PFI- Usine)]],'DATA Consignee'!A:N,14,FALSE)</f>
        <v>#N/A</v>
      </c>
      <c r="AR22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2" s="79" t="e">
        <f ca="1">Tableau118[[#This Row],[Transit time]]+Tableau118[[#This Row],[Time for security]]+Tableau118[[#This Row],[Time for security2 buffer]]</f>
        <v>#N/A</v>
      </c>
      <c r="AU22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2" s="79" t="e">
        <f ca="1">Tableau118[[#This Row],[Leadtime SI2C]]+Tableau118[[#This Row],[First Receipt Days]]-Tableau118[[#This Row],[Day Customer Order]]+1</f>
        <v>#N/A</v>
      </c>
      <c r="AW222" s="118" t="e">
        <f ca="1">IF(Tableau118[[#This Row],[Name ILN]]&lt;&gt;"SFK Freight Forwarder",Tableau118[[#This Row],[Cust. Leadtime]],Tableau118[[#This Row],[Leadtime SI2C]])</f>
        <v>#N/A</v>
      </c>
      <c r="AX222" s="51" t="e">
        <f>VLOOKUP(Tableau118[[#This Row],[ID]],'DATA BTO'!B:P,15,FALSE)</f>
        <v>#N/A</v>
      </c>
      <c r="AY222" s="328" t="e">
        <f ca="1">IFERROR(VLOOKUP(Tableau118[[#This Row],[Key(ID-Actif)]],'DATA BTO'!A:N,4,FALSE),VLOOKUP(Tableau118[[#This Row],[ID]],'DATA BTO'!B:N,3,FALSE))</f>
        <v>#N/A</v>
      </c>
      <c r="AZ22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2" s="50"/>
    </row>
    <row r="223" spans="2:57">
      <c r="B223" s="65" t="str">
        <f>_xlfn.CONCAT(Tableau118[[#This Row],[Name ILN]],"-",Tableau118[[#This Row],[Name Shipper]],"-",Tableau118[[#This Row],[Name Site]])</f>
        <v>--</v>
      </c>
      <c r="C223" s="65" t="e">
        <f ca="1">_xlfn.CONCAT(Tableau118[[#This Row],[Compte ILN]],"-",Tableau118[[#This Row],[Compte Shipper]],"-",Tableau118[[#This Row],[POL]],"-",Tableau118[[#This Row],[Compte Site]])</f>
        <v>#N/A</v>
      </c>
      <c r="D223" s="80" t="e">
        <f ca="1">_xlfn.CONCAT(Tableau118[[#This Row],[Compte ILN]],"-",Tableau118[[#This Row],[Compte Shipper]],"-",Tableau118[[#This Row],[POL]])</f>
        <v>#N/A</v>
      </c>
      <c r="E223" s="81" t="e">
        <f ca="1">_xlfn.CONCAT(Tableau118[[#This Row],[POL]],"-",Tableau118[[#This Row],[Carrier]],"-",Tableau118[[#This Row],[POD]])</f>
        <v>#N/A</v>
      </c>
      <c r="F223" s="80" t="str">
        <f>_xlfn.CONCAT(Tableau118[[#This Row],[ID]],"-","Next")</f>
        <v>-Next</v>
      </c>
      <c r="G223" s="80" t="e">
        <f ca="1">_xlfn.CONCAT(Tableau118[[#This Row],[POD]],"-",Tableau118[[#This Row],[Code PFI]],"-",Tableau118[[#This Row],[Compte Site]])</f>
        <v>#N/A</v>
      </c>
      <c r="H22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3" s="401" t="str">
        <f ca="1">IF(COUNTIF(I:I,Tableau118[[#This Row],[Plant-ILN-shipper-POL-Carrier-POD-PFI]])=1,"Non","Oui")</f>
        <v>Oui</v>
      </c>
      <c r="K223" s="101" t="e">
        <f>VLOOKUP(Tableau118[[#This Row],[Name Site]],Plant_AILN!A:D,4,FALSE)</f>
        <v>#N/A</v>
      </c>
      <c r="L223" s="10"/>
      <c r="M223" s="480"/>
      <c r="N223" s="102"/>
      <c r="O223" s="121"/>
      <c r="P223" s="484"/>
      <c r="Q223" s="79"/>
      <c r="R223" s="79"/>
      <c r="S223" s="79"/>
      <c r="T223" s="79"/>
      <c r="U223" s="79"/>
      <c r="V223" s="79"/>
      <c r="W223" s="104"/>
      <c r="X223" s="283"/>
      <c r="Y223" s="487">
        <f>IFERROR(VLOOKUP(Tableau118[[#This Row],[Name Shipper]],Plant_AILN!L:M,2,FALSE),0)</f>
        <v>0</v>
      </c>
      <c r="Z223" s="358"/>
      <c r="AA223" s="354" t="e">
        <f ca="1">VLOOKUP(Tableau118[[#This Row],[Key(ID-Actif)]],'DATA BTO'!A:N,5,FALSE)</f>
        <v>#N/A</v>
      </c>
      <c r="AB223" s="106" t="e">
        <f ca="1">VLOOKUP(Tableau118[[#This Row],[Key(ID-Actif)]],'DATA BTO'!A:N,6,FALSE)</f>
        <v>#N/A</v>
      </c>
      <c r="AC223" s="79" t="e">
        <f ca="1">VLOOKUP(Tableau118[[#This Row],[Key(ID-Actif)]],'DATA BTO'!A:N,7,FALSE)</f>
        <v>#N/A</v>
      </c>
      <c r="AD223" s="79" t="e">
        <f ca="1">VLOOKUP(Tableau118[[#This Row],[Key(ID-Actif)]],'DATA BTO'!A:N,8,FALSE)</f>
        <v>#N/A</v>
      </c>
      <c r="AE223" s="79" t="e">
        <f ca="1">IF(Tableau118[[#This Row],[First Day to POL]]&lt;=Tableau118[[#This Row],[Day Cut Off]],Tableau118[[#This Row],[Day ETD]],Tableau118[[#This Row],[Day ETD]]+7)</f>
        <v>#N/A</v>
      </c>
      <c r="AF223" s="79" t="e">
        <f ca="1">VLOOKUP(Tableau118[[#This Row],[Key(ID-Actif)]],'DATA BTO'!A:N,9,FALSE)</f>
        <v>#N/A</v>
      </c>
      <c r="AG223" s="106" t="e">
        <f ca="1">VLOOKUP(Tableau118[[#This Row],[Key(ID-Actif)]],'DATA BTO'!A:N,10,FALSE)</f>
        <v>#N/A</v>
      </c>
      <c r="AH223" s="106" t="e">
        <f ca="1">VLOOKUP(Tableau118[[#This Row],[Key(ID-Actif)]],'DATA BTO'!A:N,11,FALSE)</f>
        <v>#N/A</v>
      </c>
      <c r="AI223" s="79" t="e">
        <f ca="1">VLOOKUP(Tableau118[[#This Row],[Key(ID-Actif)]],'DATA BTO'!A:N,12,FALSE)</f>
        <v>#N/A</v>
      </c>
      <c r="AJ223" s="104" t="e">
        <f ca="1">VLOOKUP(Tableau118[[#This Row],[Key(ID-Actif)]],'DATA BTO'!A:N,14,FALSE)</f>
        <v>#N/A</v>
      </c>
      <c r="AK223" s="105" t="e">
        <f ca="1">VLOOKUP(Tableau118[[#This Row],[Key(POD -PFI- Usine)]],'DATA Consignee'!A:F,6,FALSE)</f>
        <v>#N/A</v>
      </c>
      <c r="AL223" s="135" t="s">
        <v>153</v>
      </c>
      <c r="AM223" s="488">
        <f>IF(Tableau118[[#This Row],[Name PFI/CDD]]="","-",VLOOKUP(Tableau118[[#This Row],[Name PFI/CDD]],Plant_AILN!I:J,2,FALSE))</f>
        <v>90016600</v>
      </c>
      <c r="AN22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3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3" s="108" t="e">
        <f ca="1">VLOOKUP(Tableau118[[#This Row],[Key(POD -PFI- Usine)]],'DATA Consignee'!A:J,10,FALSE)</f>
        <v>#N/A</v>
      </c>
      <c r="AQ223" s="79" t="e">
        <f ca="1">VLOOKUP(Tableau118[[#This Row],[Key(POD -PFI- Usine)]],'DATA Consignee'!A:N,14,FALSE)</f>
        <v>#N/A</v>
      </c>
      <c r="AR22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3" s="79" t="e">
        <f ca="1">Tableau118[[#This Row],[Transit time]]+Tableau118[[#This Row],[Time for security]]+Tableau118[[#This Row],[Time for security2 buffer]]</f>
        <v>#N/A</v>
      </c>
      <c r="AU22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3" s="79" t="e">
        <f ca="1">Tableau118[[#This Row],[Leadtime SI2C]]+Tableau118[[#This Row],[First Receipt Days]]-Tableau118[[#This Row],[Day Customer Order]]+1</f>
        <v>#N/A</v>
      </c>
      <c r="AW223" s="118" t="e">
        <f ca="1">IF(Tableau118[[#This Row],[Name ILN]]&lt;&gt;"SFK Freight Forwarder",Tableau118[[#This Row],[Cust. Leadtime]],Tableau118[[#This Row],[Leadtime SI2C]])</f>
        <v>#N/A</v>
      </c>
      <c r="AX223" s="51" t="e">
        <f>VLOOKUP(Tableau118[[#This Row],[ID]],'DATA BTO'!B:P,15,FALSE)</f>
        <v>#N/A</v>
      </c>
      <c r="AY223" s="328" t="e">
        <f ca="1">IFERROR(VLOOKUP(Tableau118[[#This Row],[Key(ID-Actif)]],'DATA BTO'!A:N,4,FALSE),VLOOKUP(Tableau118[[#This Row],[ID]],'DATA BTO'!B:N,3,FALSE))</f>
        <v>#N/A</v>
      </c>
      <c r="AZ22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3" s="50"/>
    </row>
    <row r="224" spans="2:57">
      <c r="B224" s="65" t="str">
        <f>_xlfn.CONCAT(Tableau118[[#This Row],[Name ILN]],"-",Tableau118[[#This Row],[Name Shipper]],"-",Tableau118[[#This Row],[Name Site]])</f>
        <v>--</v>
      </c>
      <c r="C224" s="65" t="e">
        <f ca="1">_xlfn.CONCAT(Tableau118[[#This Row],[Compte ILN]],"-",Tableau118[[#This Row],[Compte Shipper]],"-",Tableau118[[#This Row],[POL]],"-",Tableau118[[#This Row],[Compte Site]])</f>
        <v>#N/A</v>
      </c>
      <c r="D224" s="64" t="e">
        <f ca="1">_xlfn.CONCAT(Tableau118[[#This Row],[Compte ILN]],"-",Tableau118[[#This Row],[Compte Shipper]],"-",Tableau118[[#This Row],[POL]])</f>
        <v>#N/A</v>
      </c>
      <c r="E224" s="128" t="e">
        <f ca="1">_xlfn.CONCAT(Tableau118[[#This Row],[POL]],"-",Tableau118[[#This Row],[Carrier]],"-",Tableau118[[#This Row],[POD]])</f>
        <v>#N/A</v>
      </c>
      <c r="F224" s="64" t="str">
        <f>_xlfn.CONCAT(Tableau118[[#This Row],[ID]],"-","Next")</f>
        <v>-Next</v>
      </c>
      <c r="G224" s="64" t="e">
        <f ca="1">_xlfn.CONCAT(Tableau118[[#This Row],[POD]],"-",Tableau118[[#This Row],[Code PFI]],"-",Tableau118[[#This Row],[Compte Site]])</f>
        <v>#N/A</v>
      </c>
      <c r="H22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4" s="400" t="str">
        <f ca="1">IF(COUNTIF(I:I,Tableau118[[#This Row],[Plant-ILN-shipper-POL-Carrier-POD-PFI]])=1,"Non","Oui")</f>
        <v>Oui</v>
      </c>
      <c r="K224" s="126" t="e">
        <f>VLOOKUP(Tableau118[[#This Row],[Name Site]],Plant_AILN!A:D,4,FALSE)</f>
        <v>#N/A</v>
      </c>
      <c r="L224" s="10"/>
      <c r="M224" s="480"/>
      <c r="N224" s="55"/>
      <c r="O224" s="114"/>
      <c r="P224" s="481"/>
      <c r="Q224" s="50"/>
      <c r="R224" s="50"/>
      <c r="S224" s="50"/>
      <c r="T224" s="50"/>
      <c r="U224" s="50"/>
      <c r="V224" s="50"/>
      <c r="W224" s="53"/>
      <c r="X224" s="283"/>
      <c r="Y224" s="482">
        <f>IFERROR(VLOOKUP(Tableau118[[#This Row],[Name Shipper]],Plant_AILN!L:M,2,FALSE),0)</f>
        <v>0</v>
      </c>
      <c r="Z224" s="358"/>
      <c r="AA224" s="353" t="e">
        <f ca="1">VLOOKUP(Tableau118[[#This Row],[Key(ID-Actif)]],'DATA BTO'!A:N,5,FALSE)</f>
        <v>#N/A</v>
      </c>
      <c r="AB224" s="3" t="e">
        <f ca="1">VLOOKUP(Tableau118[[#This Row],[Key(ID-Actif)]],'DATA BTO'!A:N,6,FALSE)</f>
        <v>#N/A</v>
      </c>
      <c r="AC224" s="50" t="e">
        <f ca="1">VLOOKUP(Tableau118[[#This Row],[Key(ID-Actif)]],'DATA BTO'!A:N,7,FALSE)</f>
        <v>#N/A</v>
      </c>
      <c r="AD224" s="50" t="e">
        <f ca="1">VLOOKUP(Tableau118[[#This Row],[Key(ID-Actif)]],'DATA BTO'!A:N,8,FALSE)</f>
        <v>#N/A</v>
      </c>
      <c r="AE224" s="50" t="e">
        <f ca="1">IF(Tableau118[[#This Row],[First Day to POL]]&lt;=Tableau118[[#This Row],[Day Cut Off]],Tableau118[[#This Row],[Day ETD]],Tableau118[[#This Row],[Day ETD]]+7)</f>
        <v>#N/A</v>
      </c>
      <c r="AF224" s="50" t="e">
        <f ca="1">VLOOKUP(Tableau118[[#This Row],[Key(ID-Actif)]],'DATA BTO'!A:N,9,FALSE)</f>
        <v>#N/A</v>
      </c>
      <c r="AG224" s="3" t="e">
        <f ca="1">VLOOKUP(Tableau118[[#This Row],[Key(ID-Actif)]],'DATA BTO'!A:N,10,FALSE)</f>
        <v>#N/A</v>
      </c>
      <c r="AH224" s="3" t="e">
        <f ca="1">VLOOKUP(Tableau118[[#This Row],[Key(ID-Actif)]],'DATA BTO'!A:N,11,FALSE)</f>
        <v>#N/A</v>
      </c>
      <c r="AI224" s="50" t="e">
        <f ca="1">VLOOKUP(Tableau118[[#This Row],[Key(ID-Actif)]],'DATA BTO'!A:N,12,FALSE)</f>
        <v>#N/A</v>
      </c>
      <c r="AJ224" s="53" t="e">
        <f ca="1">VLOOKUP(Tableau118[[#This Row],[Key(ID-Actif)]],'DATA BTO'!A:N,14,FALSE)</f>
        <v>#N/A</v>
      </c>
      <c r="AK224" s="54" t="e">
        <f ca="1">VLOOKUP(Tableau118[[#This Row],[Key(POD -PFI- Usine)]],'DATA Consignee'!A:F,6,FALSE)</f>
        <v>#N/A</v>
      </c>
      <c r="AL224" s="125" t="s">
        <v>153</v>
      </c>
      <c r="AM224" s="483">
        <f>IF(Tableau118[[#This Row],[Name PFI/CDD]]="","-",VLOOKUP(Tableau118[[#This Row],[Name PFI/CDD]],Plant_AILN!I:J,2,FALSE))</f>
        <v>90016600</v>
      </c>
      <c r="AN22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4" s="2" t="e">
        <f ca="1">VLOOKUP(Tableau118[[#This Row],[Key(POD -PFI- Usine)]],'DATA Consignee'!A:J,10,FALSE)</f>
        <v>#N/A</v>
      </c>
      <c r="AQ224" s="50" t="e">
        <f ca="1">VLOOKUP(Tableau118[[#This Row],[Key(POD -PFI- Usine)]],'DATA Consignee'!A:N,14,FALSE)</f>
        <v>#N/A</v>
      </c>
      <c r="AR22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4" s="50" t="e">
        <f ca="1">Tableau118[[#This Row],[Transit time]]+Tableau118[[#This Row],[Time for security]]+Tableau118[[#This Row],[Time for security2 buffer]]</f>
        <v>#N/A</v>
      </c>
      <c r="AU22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4" s="50" t="e">
        <f ca="1">Tableau118[[#This Row],[Leadtime SI2C]]+Tableau118[[#This Row],[First Receipt Days]]-Tableau118[[#This Row],[Day Customer Order]]+1</f>
        <v>#N/A</v>
      </c>
      <c r="AW224" s="117" t="e">
        <f ca="1">IF(Tableau118[[#This Row],[Name ILN]]&lt;&gt;"SFK Freight Forwarder",Tableau118[[#This Row],[Cust. Leadtime]],Tableau118[[#This Row],[Leadtime SI2C]])</f>
        <v>#N/A</v>
      </c>
      <c r="AX224" s="51" t="e">
        <f>VLOOKUP(Tableau118[[#This Row],[ID]],'DATA BTO'!B:P,15,FALSE)</f>
        <v>#N/A</v>
      </c>
      <c r="AY224" s="328" t="e">
        <f ca="1">IFERROR(VLOOKUP(Tableau118[[#This Row],[Key(ID-Actif)]],'DATA BTO'!A:N,4,FALSE),VLOOKUP(Tableau118[[#This Row],[ID]],'DATA BTO'!B:N,3,FALSE))</f>
        <v>#N/A</v>
      </c>
      <c r="AZ22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4" s="50"/>
    </row>
    <row r="225" spans="2:57">
      <c r="B225" s="65" t="str">
        <f>_xlfn.CONCAT(Tableau118[[#This Row],[Name ILN]],"-",Tableau118[[#This Row],[Name Shipper]],"-",Tableau118[[#This Row],[Name Site]])</f>
        <v>--</v>
      </c>
      <c r="C225" s="65" t="e">
        <f ca="1">_xlfn.CONCAT(Tableau118[[#This Row],[Compte ILN]],"-",Tableau118[[#This Row],[Compte Shipper]],"-",Tableau118[[#This Row],[POL]],"-",Tableau118[[#This Row],[Compte Site]])</f>
        <v>#N/A</v>
      </c>
      <c r="D225" s="64" t="e">
        <f ca="1">_xlfn.CONCAT(Tableau118[[#This Row],[Compte ILN]],"-",Tableau118[[#This Row],[Compte Shipper]],"-",Tableau118[[#This Row],[POL]])</f>
        <v>#N/A</v>
      </c>
      <c r="E225" s="128" t="e">
        <f ca="1">_xlfn.CONCAT(Tableau118[[#This Row],[POL]],"-",Tableau118[[#This Row],[Carrier]],"-",Tableau118[[#This Row],[POD]])</f>
        <v>#N/A</v>
      </c>
      <c r="F225" s="64" t="str">
        <f>_xlfn.CONCAT(Tableau118[[#This Row],[ID]],"-","Next")</f>
        <v>-Next</v>
      </c>
      <c r="G225" s="64" t="e">
        <f ca="1">_xlfn.CONCAT(Tableau118[[#This Row],[POD]],"-",Tableau118[[#This Row],[Code PFI]],"-",Tableau118[[#This Row],[Compte Site]])</f>
        <v>#N/A</v>
      </c>
      <c r="H22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5" s="400" t="str">
        <f ca="1">IF(COUNTIF(I:I,Tableau118[[#This Row],[Plant-ILN-shipper-POL-Carrier-POD-PFI]])=1,"Non","Oui")</f>
        <v>Oui</v>
      </c>
      <c r="K225" s="126" t="e">
        <f>VLOOKUP(Tableau118[[#This Row],[Name Site]],Plant_AILN!A:D,4,FALSE)</f>
        <v>#N/A</v>
      </c>
      <c r="L225" s="10"/>
      <c r="M225" s="480"/>
      <c r="N225" s="55"/>
      <c r="O225" s="114"/>
      <c r="P225" s="481"/>
      <c r="Q225" s="50"/>
      <c r="R225" s="50"/>
      <c r="S225" s="50"/>
      <c r="T225" s="50"/>
      <c r="U225" s="50"/>
      <c r="V225" s="50"/>
      <c r="W225" s="53"/>
      <c r="X225" s="283"/>
      <c r="Y225" s="482">
        <f>IFERROR(VLOOKUP(Tableau118[[#This Row],[Name Shipper]],Plant_AILN!L:M,2,FALSE),0)</f>
        <v>0</v>
      </c>
      <c r="Z225" s="358"/>
      <c r="AA225" s="353" t="e">
        <f ca="1">VLOOKUP(Tableau118[[#This Row],[Key(ID-Actif)]],'DATA BTO'!A:N,5,FALSE)</f>
        <v>#N/A</v>
      </c>
      <c r="AB225" s="3" t="e">
        <f ca="1">VLOOKUP(Tableau118[[#This Row],[Key(ID-Actif)]],'DATA BTO'!A:N,6,FALSE)</f>
        <v>#N/A</v>
      </c>
      <c r="AC225" s="50" t="e">
        <f ca="1">VLOOKUP(Tableau118[[#This Row],[Key(ID-Actif)]],'DATA BTO'!A:N,7,FALSE)</f>
        <v>#N/A</v>
      </c>
      <c r="AD225" s="50" t="e">
        <f ca="1">VLOOKUP(Tableau118[[#This Row],[Key(ID-Actif)]],'DATA BTO'!A:N,8,FALSE)</f>
        <v>#N/A</v>
      </c>
      <c r="AE225" s="50" t="e">
        <f ca="1">IF(Tableau118[[#This Row],[First Day to POL]]&lt;=Tableau118[[#This Row],[Day Cut Off]],Tableau118[[#This Row],[Day ETD]],Tableau118[[#This Row],[Day ETD]]+7)</f>
        <v>#N/A</v>
      </c>
      <c r="AF225" s="50" t="e">
        <f ca="1">VLOOKUP(Tableau118[[#This Row],[Key(ID-Actif)]],'DATA BTO'!A:N,9,FALSE)</f>
        <v>#N/A</v>
      </c>
      <c r="AG225" s="3" t="e">
        <f ca="1">VLOOKUP(Tableau118[[#This Row],[Key(ID-Actif)]],'DATA BTO'!A:N,10,FALSE)</f>
        <v>#N/A</v>
      </c>
      <c r="AH225" s="3" t="e">
        <f ca="1">VLOOKUP(Tableau118[[#This Row],[Key(ID-Actif)]],'DATA BTO'!A:N,11,FALSE)</f>
        <v>#N/A</v>
      </c>
      <c r="AI225" s="50" t="e">
        <f ca="1">VLOOKUP(Tableau118[[#This Row],[Key(ID-Actif)]],'DATA BTO'!A:N,12,FALSE)</f>
        <v>#N/A</v>
      </c>
      <c r="AJ225" s="53" t="e">
        <f ca="1">VLOOKUP(Tableau118[[#This Row],[Key(ID-Actif)]],'DATA BTO'!A:N,14,FALSE)</f>
        <v>#N/A</v>
      </c>
      <c r="AK225" s="54" t="e">
        <f ca="1">VLOOKUP(Tableau118[[#This Row],[Key(POD -PFI- Usine)]],'DATA Consignee'!A:F,6,FALSE)</f>
        <v>#N/A</v>
      </c>
      <c r="AL225" s="125" t="s">
        <v>153</v>
      </c>
      <c r="AM225" s="483">
        <f>IF(Tableau118[[#This Row],[Name PFI/CDD]]="","-",VLOOKUP(Tableau118[[#This Row],[Name PFI/CDD]],Plant_AILN!I:J,2,FALSE))</f>
        <v>90016600</v>
      </c>
      <c r="AN22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5" s="2" t="e">
        <f ca="1">VLOOKUP(Tableau118[[#This Row],[Key(POD -PFI- Usine)]],'DATA Consignee'!A:J,10,FALSE)</f>
        <v>#N/A</v>
      </c>
      <c r="AQ225" s="50" t="e">
        <f ca="1">VLOOKUP(Tableau118[[#This Row],[Key(POD -PFI- Usine)]],'DATA Consignee'!A:N,14,FALSE)</f>
        <v>#N/A</v>
      </c>
      <c r="AR22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5" s="50" t="e">
        <f ca="1">Tableau118[[#This Row],[Transit time]]+Tableau118[[#This Row],[Time for security]]+Tableau118[[#This Row],[Time for security2 buffer]]</f>
        <v>#N/A</v>
      </c>
      <c r="AU22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5" s="50" t="e">
        <f ca="1">Tableau118[[#This Row],[Leadtime SI2C]]+Tableau118[[#This Row],[First Receipt Days]]-Tableau118[[#This Row],[Day Customer Order]]+1</f>
        <v>#N/A</v>
      </c>
      <c r="AW225" s="117" t="e">
        <f ca="1">IF(Tableau118[[#This Row],[Name ILN]]&lt;&gt;"SFK Freight Forwarder",Tableau118[[#This Row],[Cust. Leadtime]],Tableau118[[#This Row],[Leadtime SI2C]])</f>
        <v>#N/A</v>
      </c>
      <c r="AX225" s="51" t="e">
        <f>VLOOKUP(Tableau118[[#This Row],[ID]],'DATA BTO'!B:P,15,FALSE)</f>
        <v>#N/A</v>
      </c>
      <c r="AY225" s="328" t="e">
        <f ca="1">IFERROR(VLOOKUP(Tableau118[[#This Row],[Key(ID-Actif)]],'DATA BTO'!A:N,4,FALSE),VLOOKUP(Tableau118[[#This Row],[ID]],'DATA BTO'!B:N,3,FALSE))</f>
        <v>#N/A</v>
      </c>
      <c r="AZ22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5" s="50"/>
    </row>
    <row r="226" spans="2:57">
      <c r="B226" s="65" t="str">
        <f>_xlfn.CONCAT(Tableau118[[#This Row],[Name ILN]],"-",Tableau118[[#This Row],[Name Shipper]],"-",Tableau118[[#This Row],[Name Site]])</f>
        <v>--</v>
      </c>
      <c r="C226" s="65" t="e">
        <f ca="1">_xlfn.CONCAT(Tableau118[[#This Row],[Compte ILN]],"-",Tableau118[[#This Row],[Compte Shipper]],"-",Tableau118[[#This Row],[POL]],"-",Tableau118[[#This Row],[Compte Site]])</f>
        <v>#N/A</v>
      </c>
      <c r="D226" s="64" t="e">
        <f ca="1">_xlfn.CONCAT(Tableau118[[#This Row],[Compte ILN]],"-",Tableau118[[#This Row],[Compte Shipper]],"-",Tableau118[[#This Row],[POL]])</f>
        <v>#N/A</v>
      </c>
      <c r="E226" s="128" t="e">
        <f ca="1">_xlfn.CONCAT(Tableau118[[#This Row],[POL]],"-",Tableau118[[#This Row],[Carrier]],"-",Tableau118[[#This Row],[POD]])</f>
        <v>#N/A</v>
      </c>
      <c r="F226" s="64" t="str">
        <f>_xlfn.CONCAT(Tableau118[[#This Row],[ID]],"-","Next")</f>
        <v>-Next</v>
      </c>
      <c r="G226" s="64" t="e">
        <f ca="1">_xlfn.CONCAT(Tableau118[[#This Row],[POD]],"-",Tableau118[[#This Row],[Code PFI]],"-",Tableau118[[#This Row],[Compte Site]])</f>
        <v>#N/A</v>
      </c>
      <c r="H22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6" s="400" t="str">
        <f ca="1">IF(COUNTIF(I:I,Tableau118[[#This Row],[Plant-ILN-shipper-POL-Carrier-POD-PFI]])=1,"Non","Oui")</f>
        <v>Oui</v>
      </c>
      <c r="K226" s="126" t="e">
        <f>VLOOKUP(Tableau118[[#This Row],[Name Site]],Plant_AILN!A:D,4,FALSE)</f>
        <v>#N/A</v>
      </c>
      <c r="L226" s="10"/>
      <c r="M226" s="480"/>
      <c r="N226" s="55"/>
      <c r="O226" s="114"/>
      <c r="P226" s="481"/>
      <c r="Q226" s="50"/>
      <c r="R226" s="50"/>
      <c r="S226" s="50"/>
      <c r="T226" s="50"/>
      <c r="U226" s="50"/>
      <c r="V226" s="50"/>
      <c r="W226" s="53"/>
      <c r="X226" s="283"/>
      <c r="Y226" s="482">
        <f>IFERROR(VLOOKUP(Tableau118[[#This Row],[Name Shipper]],Plant_AILN!L:M,2,FALSE),0)</f>
        <v>0</v>
      </c>
      <c r="Z226" s="358"/>
      <c r="AA226" s="353" t="e">
        <f ca="1">VLOOKUP(Tableau118[[#This Row],[Key(ID-Actif)]],'DATA BTO'!A:N,5,FALSE)</f>
        <v>#N/A</v>
      </c>
      <c r="AB226" s="3" t="e">
        <f ca="1">VLOOKUP(Tableau118[[#This Row],[Key(ID-Actif)]],'DATA BTO'!A:N,6,FALSE)</f>
        <v>#N/A</v>
      </c>
      <c r="AC226" s="50" t="e">
        <f ca="1">VLOOKUP(Tableau118[[#This Row],[Key(ID-Actif)]],'DATA BTO'!A:N,7,FALSE)</f>
        <v>#N/A</v>
      </c>
      <c r="AD226" s="50" t="e">
        <f ca="1">VLOOKUP(Tableau118[[#This Row],[Key(ID-Actif)]],'DATA BTO'!A:N,8,FALSE)</f>
        <v>#N/A</v>
      </c>
      <c r="AE226" s="50" t="e">
        <f ca="1">IF(Tableau118[[#This Row],[First Day to POL]]&lt;=Tableau118[[#This Row],[Day Cut Off]],Tableau118[[#This Row],[Day ETD]],Tableau118[[#This Row],[Day ETD]]+7)</f>
        <v>#N/A</v>
      </c>
      <c r="AF226" s="50" t="e">
        <f ca="1">VLOOKUP(Tableau118[[#This Row],[Key(ID-Actif)]],'DATA BTO'!A:N,9,FALSE)</f>
        <v>#N/A</v>
      </c>
      <c r="AG226" s="3" t="e">
        <f ca="1">VLOOKUP(Tableau118[[#This Row],[Key(ID-Actif)]],'DATA BTO'!A:N,10,FALSE)</f>
        <v>#N/A</v>
      </c>
      <c r="AH226" s="3" t="e">
        <f ca="1">VLOOKUP(Tableau118[[#This Row],[Key(ID-Actif)]],'DATA BTO'!A:N,11,FALSE)</f>
        <v>#N/A</v>
      </c>
      <c r="AI226" s="50" t="e">
        <f ca="1">VLOOKUP(Tableau118[[#This Row],[Key(ID-Actif)]],'DATA BTO'!A:N,12,FALSE)</f>
        <v>#N/A</v>
      </c>
      <c r="AJ226" s="53" t="e">
        <f ca="1">VLOOKUP(Tableau118[[#This Row],[Key(ID-Actif)]],'DATA BTO'!A:N,14,FALSE)</f>
        <v>#N/A</v>
      </c>
      <c r="AK226" s="54" t="e">
        <f ca="1">VLOOKUP(Tableau118[[#This Row],[Key(POD -PFI- Usine)]],'DATA Consignee'!A:F,6,FALSE)</f>
        <v>#N/A</v>
      </c>
      <c r="AL226" s="125" t="s">
        <v>153</v>
      </c>
      <c r="AM226" s="483">
        <f>IF(Tableau118[[#This Row],[Name PFI/CDD]]="","-",VLOOKUP(Tableau118[[#This Row],[Name PFI/CDD]],Plant_AILN!I:J,2,FALSE))</f>
        <v>90016600</v>
      </c>
      <c r="AN22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6" s="2" t="e">
        <f ca="1">VLOOKUP(Tableau118[[#This Row],[Key(POD -PFI- Usine)]],'DATA Consignee'!A:J,10,FALSE)</f>
        <v>#N/A</v>
      </c>
      <c r="AQ226" s="50" t="e">
        <f ca="1">VLOOKUP(Tableau118[[#This Row],[Key(POD -PFI- Usine)]],'DATA Consignee'!A:N,14,FALSE)</f>
        <v>#N/A</v>
      </c>
      <c r="AR22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6" s="50" t="e">
        <f ca="1">Tableau118[[#This Row],[Transit time]]+Tableau118[[#This Row],[Time for security]]+Tableau118[[#This Row],[Time for security2 buffer]]</f>
        <v>#N/A</v>
      </c>
      <c r="AU22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6" s="50" t="e">
        <f ca="1">Tableau118[[#This Row],[Leadtime SI2C]]+Tableau118[[#This Row],[First Receipt Days]]-Tableau118[[#This Row],[Day Customer Order]]+1</f>
        <v>#N/A</v>
      </c>
      <c r="AW226" s="117" t="e">
        <f ca="1">IF(Tableau118[[#This Row],[Name ILN]]&lt;&gt;"SFK Freight Forwarder",Tableau118[[#This Row],[Cust. Leadtime]],Tableau118[[#This Row],[Leadtime SI2C]])</f>
        <v>#N/A</v>
      </c>
      <c r="AX226" s="51" t="e">
        <f>VLOOKUP(Tableau118[[#This Row],[ID]],'DATA BTO'!B:P,15,FALSE)</f>
        <v>#N/A</v>
      </c>
      <c r="AY226" s="328" t="e">
        <f ca="1">IFERROR(VLOOKUP(Tableau118[[#This Row],[Key(ID-Actif)]],'DATA BTO'!A:N,4,FALSE),VLOOKUP(Tableau118[[#This Row],[ID]],'DATA BTO'!B:N,3,FALSE))</f>
        <v>#N/A</v>
      </c>
      <c r="AZ22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6" s="50"/>
    </row>
    <row r="227" spans="2:57">
      <c r="B227" s="65" t="str">
        <f>_xlfn.CONCAT(Tableau118[[#This Row],[Name ILN]],"-",Tableau118[[#This Row],[Name Shipper]],"-",Tableau118[[#This Row],[Name Site]])</f>
        <v>--</v>
      </c>
      <c r="C227" s="65" t="e">
        <f ca="1">_xlfn.CONCAT(Tableau118[[#This Row],[Compte ILN]],"-",Tableau118[[#This Row],[Compte Shipper]],"-",Tableau118[[#This Row],[POL]],"-",Tableau118[[#This Row],[Compte Site]])</f>
        <v>#N/A</v>
      </c>
      <c r="D227" s="64" t="e">
        <f ca="1">_xlfn.CONCAT(Tableau118[[#This Row],[Compte ILN]],"-",Tableau118[[#This Row],[Compte Shipper]],"-",Tableau118[[#This Row],[POL]])</f>
        <v>#N/A</v>
      </c>
      <c r="E227" s="128" t="e">
        <f ca="1">_xlfn.CONCAT(Tableau118[[#This Row],[POL]],"-",Tableau118[[#This Row],[Carrier]],"-",Tableau118[[#This Row],[POD]])</f>
        <v>#N/A</v>
      </c>
      <c r="F227" s="64" t="str">
        <f>_xlfn.CONCAT(Tableau118[[#This Row],[ID]],"-","Next")</f>
        <v>-Next</v>
      </c>
      <c r="G227" s="64" t="e">
        <f ca="1">_xlfn.CONCAT(Tableau118[[#This Row],[POD]],"-",Tableau118[[#This Row],[Code PFI]],"-",Tableau118[[#This Row],[Compte Site]])</f>
        <v>#N/A</v>
      </c>
      <c r="H22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7" s="400" t="str">
        <f ca="1">IF(COUNTIF(I:I,Tableau118[[#This Row],[Plant-ILN-shipper-POL-Carrier-POD-PFI]])=1,"Non","Oui")</f>
        <v>Oui</v>
      </c>
      <c r="K227" s="126" t="e">
        <f>VLOOKUP(Tableau118[[#This Row],[Name Site]],Plant_AILN!A:D,4,FALSE)</f>
        <v>#N/A</v>
      </c>
      <c r="L227" s="10"/>
      <c r="M227" s="480"/>
      <c r="N227" s="55"/>
      <c r="O227" s="114"/>
      <c r="P227" s="481"/>
      <c r="Q227" s="50"/>
      <c r="R227" s="50"/>
      <c r="S227" s="50"/>
      <c r="T227" s="50"/>
      <c r="U227" s="50"/>
      <c r="V227" s="50"/>
      <c r="W227" s="53"/>
      <c r="X227" s="283"/>
      <c r="Y227" s="482">
        <f>IFERROR(VLOOKUP(Tableau118[[#This Row],[Name Shipper]],Plant_AILN!L:M,2,FALSE),0)</f>
        <v>0</v>
      </c>
      <c r="Z227" s="358"/>
      <c r="AA227" s="353" t="e">
        <f ca="1">VLOOKUP(Tableau118[[#This Row],[Key(ID-Actif)]],'DATA BTO'!A:N,5,FALSE)</f>
        <v>#N/A</v>
      </c>
      <c r="AB227" s="3" t="e">
        <f ca="1">VLOOKUP(Tableau118[[#This Row],[Key(ID-Actif)]],'DATA BTO'!A:N,6,FALSE)</f>
        <v>#N/A</v>
      </c>
      <c r="AC227" s="50" t="e">
        <f ca="1">VLOOKUP(Tableau118[[#This Row],[Key(ID-Actif)]],'DATA BTO'!A:N,7,FALSE)</f>
        <v>#N/A</v>
      </c>
      <c r="AD227" s="50" t="e">
        <f ca="1">VLOOKUP(Tableau118[[#This Row],[Key(ID-Actif)]],'DATA BTO'!A:N,8,FALSE)</f>
        <v>#N/A</v>
      </c>
      <c r="AE227" s="50" t="e">
        <f ca="1">IF(Tableau118[[#This Row],[First Day to POL]]&lt;=Tableau118[[#This Row],[Day Cut Off]],Tableau118[[#This Row],[Day ETD]],Tableau118[[#This Row],[Day ETD]]+7)</f>
        <v>#N/A</v>
      </c>
      <c r="AF227" s="50" t="e">
        <f ca="1">VLOOKUP(Tableau118[[#This Row],[Key(ID-Actif)]],'DATA BTO'!A:N,9,FALSE)</f>
        <v>#N/A</v>
      </c>
      <c r="AG227" s="3" t="e">
        <f ca="1">VLOOKUP(Tableau118[[#This Row],[Key(ID-Actif)]],'DATA BTO'!A:N,10,FALSE)</f>
        <v>#N/A</v>
      </c>
      <c r="AH227" s="3" t="e">
        <f ca="1">VLOOKUP(Tableau118[[#This Row],[Key(ID-Actif)]],'DATA BTO'!A:N,11,FALSE)</f>
        <v>#N/A</v>
      </c>
      <c r="AI227" s="50" t="e">
        <f ca="1">VLOOKUP(Tableau118[[#This Row],[Key(ID-Actif)]],'DATA BTO'!A:N,12,FALSE)</f>
        <v>#N/A</v>
      </c>
      <c r="AJ227" s="53" t="e">
        <f ca="1">VLOOKUP(Tableau118[[#This Row],[Key(ID-Actif)]],'DATA BTO'!A:N,14,FALSE)</f>
        <v>#N/A</v>
      </c>
      <c r="AK227" s="54" t="e">
        <f ca="1">VLOOKUP(Tableau118[[#This Row],[Key(POD -PFI- Usine)]],'DATA Consignee'!A:F,6,FALSE)</f>
        <v>#N/A</v>
      </c>
      <c r="AL227" s="125" t="s">
        <v>153</v>
      </c>
      <c r="AM227" s="483">
        <f>IF(Tableau118[[#This Row],[Name PFI/CDD]]="","-",VLOOKUP(Tableau118[[#This Row],[Name PFI/CDD]],Plant_AILN!I:J,2,FALSE))</f>
        <v>90016600</v>
      </c>
      <c r="AN22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2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27" s="2" t="e">
        <f ca="1">VLOOKUP(Tableau118[[#This Row],[Key(POD -PFI- Usine)]],'DATA Consignee'!A:J,10,FALSE)</f>
        <v>#N/A</v>
      </c>
      <c r="AQ227" s="50" t="e">
        <f ca="1">VLOOKUP(Tableau118[[#This Row],[Key(POD -PFI- Usine)]],'DATA Consignee'!A:N,14,FALSE)</f>
        <v>#N/A</v>
      </c>
      <c r="AR22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7" s="50" t="e">
        <f ca="1">Tableau118[[#This Row],[Transit time]]+Tableau118[[#This Row],[Time for security]]+Tableau118[[#This Row],[Time for security2 buffer]]</f>
        <v>#N/A</v>
      </c>
      <c r="AU22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7" s="50" t="e">
        <f ca="1">Tableau118[[#This Row],[Leadtime SI2C]]+Tableau118[[#This Row],[First Receipt Days]]-Tableau118[[#This Row],[Day Customer Order]]+1</f>
        <v>#N/A</v>
      </c>
      <c r="AW227" s="117" t="e">
        <f ca="1">IF(Tableau118[[#This Row],[Name ILN]]&lt;&gt;"SFK Freight Forwarder",Tableau118[[#This Row],[Cust. Leadtime]],Tableau118[[#This Row],[Leadtime SI2C]])</f>
        <v>#N/A</v>
      </c>
      <c r="AX227" s="51" t="e">
        <f>VLOOKUP(Tableau118[[#This Row],[ID]],'DATA BTO'!B:P,15,FALSE)</f>
        <v>#N/A</v>
      </c>
      <c r="AY227" s="328" t="e">
        <f ca="1">IFERROR(VLOOKUP(Tableau118[[#This Row],[Key(ID-Actif)]],'DATA BTO'!A:N,4,FALSE),VLOOKUP(Tableau118[[#This Row],[ID]],'DATA BTO'!B:N,3,FALSE))</f>
        <v>#N/A</v>
      </c>
      <c r="AZ22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7" s="50"/>
    </row>
    <row r="228" spans="2:57">
      <c r="B228" s="65" t="str">
        <f>_xlfn.CONCAT(Tableau118[[#This Row],[Name ILN]],"-",Tableau118[[#This Row],[Name Shipper]],"-",Tableau118[[#This Row],[Name Site]])</f>
        <v>--</v>
      </c>
      <c r="C228" s="65" t="e">
        <f ca="1">_xlfn.CONCAT(Tableau118[[#This Row],[Compte ILN]],"-",Tableau118[[#This Row],[Compte Shipper]],"-",Tableau118[[#This Row],[POL]],"-",Tableau118[[#This Row],[Compte Site]])</f>
        <v>#N/A</v>
      </c>
      <c r="D228" s="64" t="e">
        <f ca="1">_xlfn.CONCAT(Tableau118[[#This Row],[Compte ILN]],"-",Tableau118[[#This Row],[Compte Shipper]],"-",Tableau118[[#This Row],[POL]])</f>
        <v>#N/A</v>
      </c>
      <c r="E228" s="128" t="e">
        <f ca="1">_xlfn.CONCAT(Tableau118[[#This Row],[POL]],"-",Tableau118[[#This Row],[Carrier]],"-",Tableau118[[#This Row],[POD]])</f>
        <v>#N/A</v>
      </c>
      <c r="F228" s="64" t="str">
        <f>_xlfn.CONCAT(Tableau118[[#This Row],[ID]],"-","Next")</f>
        <v>-Next</v>
      </c>
      <c r="G228" s="64" t="e">
        <f ca="1">_xlfn.CONCAT(Tableau118[[#This Row],[POD]],"-",Tableau118[[#This Row],[Code PFI]],"-",Tableau118[[#This Row],[Compte Site]])</f>
        <v>#N/A</v>
      </c>
      <c r="H22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8" s="400" t="str">
        <f ca="1">IF(COUNTIF(I:I,Tableau118[[#This Row],[Plant-ILN-shipper-POL-Carrier-POD-PFI]])=1,"Non","Oui")</f>
        <v>Oui</v>
      </c>
      <c r="K228" s="126" t="e">
        <f>VLOOKUP(Tableau118[[#This Row],[Name Site]],Plant_AILN!A:D,4,FALSE)</f>
        <v>#N/A</v>
      </c>
      <c r="L228" s="10"/>
      <c r="M228" s="480"/>
      <c r="N228" s="55"/>
      <c r="O228" s="114"/>
      <c r="P228" s="481"/>
      <c r="Q228" s="50"/>
      <c r="R228" s="50"/>
      <c r="S228" s="50"/>
      <c r="T228" s="50"/>
      <c r="U228" s="50"/>
      <c r="V228" s="50"/>
      <c r="W228" s="53"/>
      <c r="X228" s="283"/>
      <c r="Y228" s="482">
        <f>IFERROR(VLOOKUP(Tableau118[[#This Row],[Name Shipper]],Plant_AILN!L:M,2,FALSE),0)</f>
        <v>0</v>
      </c>
      <c r="Z228" s="358"/>
      <c r="AA228" s="353" t="e">
        <f ca="1">VLOOKUP(Tableau118[[#This Row],[Key(ID-Actif)]],'DATA BTO'!A:N,5,FALSE)</f>
        <v>#N/A</v>
      </c>
      <c r="AB228" s="3" t="e">
        <f ca="1">VLOOKUP(Tableau118[[#This Row],[Key(ID-Actif)]],'DATA BTO'!A:N,6,FALSE)</f>
        <v>#N/A</v>
      </c>
      <c r="AC228" s="50" t="e">
        <f ca="1">VLOOKUP(Tableau118[[#This Row],[Key(ID-Actif)]],'DATA BTO'!A:N,7,FALSE)</f>
        <v>#N/A</v>
      </c>
      <c r="AD228" s="50" t="e">
        <f ca="1">VLOOKUP(Tableau118[[#This Row],[Key(ID-Actif)]],'DATA BTO'!A:N,8,FALSE)</f>
        <v>#N/A</v>
      </c>
      <c r="AE228" s="50" t="e">
        <f ca="1">IF(Tableau118[[#This Row],[First Day to POL]]&lt;=Tableau118[[#This Row],[Day Cut Off]],Tableau118[[#This Row],[Day ETD]],Tableau118[[#This Row],[Day ETD]]+7)</f>
        <v>#N/A</v>
      </c>
      <c r="AF228" s="50" t="e">
        <f ca="1">VLOOKUP(Tableau118[[#This Row],[Key(ID-Actif)]],'DATA BTO'!A:N,9,FALSE)</f>
        <v>#N/A</v>
      </c>
      <c r="AG228" s="3" t="e">
        <f ca="1">VLOOKUP(Tableau118[[#This Row],[Key(ID-Actif)]],'DATA BTO'!A:N,10,FALSE)</f>
        <v>#N/A</v>
      </c>
      <c r="AH228" s="3" t="e">
        <f ca="1">VLOOKUP(Tableau118[[#This Row],[Key(ID-Actif)]],'DATA BTO'!A:N,11,FALSE)</f>
        <v>#N/A</v>
      </c>
      <c r="AI228" s="50" t="e">
        <f ca="1">VLOOKUP(Tableau118[[#This Row],[Key(ID-Actif)]],'DATA BTO'!A:N,12,FALSE)</f>
        <v>#N/A</v>
      </c>
      <c r="AJ228" s="53" t="e">
        <f ca="1">VLOOKUP(Tableau118[[#This Row],[Key(ID-Actif)]],'DATA BTO'!A:N,14,FALSE)</f>
        <v>#N/A</v>
      </c>
      <c r="AK228" s="54" t="e">
        <f ca="1">VLOOKUP(Tableau118[[#This Row],[Key(POD -PFI- Usine)]],'DATA Consignee'!A:F,6,FALSE)</f>
        <v>#N/A</v>
      </c>
      <c r="AL228" s="125" t="s">
        <v>161</v>
      </c>
      <c r="AM228" s="483">
        <f>IF(Tableau118[[#This Row],[Name PFI/CDD]]="","-",VLOOKUP(Tableau118[[#This Row],[Name PFI/CDD]],Plant_AILN!I:J,2,FALSE))</f>
        <v>91018400</v>
      </c>
      <c r="AN228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28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28" s="2" t="e">
        <f ca="1">VLOOKUP(Tableau118[[#This Row],[Key(POD -PFI- Usine)]],'DATA Consignee'!A:J,10,FALSE)</f>
        <v>#N/A</v>
      </c>
      <c r="AQ228" s="50" t="e">
        <f ca="1">VLOOKUP(Tableau118[[#This Row],[Key(POD -PFI- Usine)]],'DATA Consignee'!A:N,14,FALSE)</f>
        <v>#N/A</v>
      </c>
      <c r="AR22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8" s="50" t="e">
        <f ca="1">Tableau118[[#This Row],[Transit time]]+Tableau118[[#This Row],[Time for security]]+Tableau118[[#This Row],[Time for security2 buffer]]</f>
        <v>#N/A</v>
      </c>
      <c r="AU22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8" s="50" t="e">
        <f ca="1">Tableau118[[#This Row],[Leadtime SI2C]]+Tableau118[[#This Row],[First Receipt Days]]-Tableau118[[#This Row],[Day Customer Order]]+1</f>
        <v>#N/A</v>
      </c>
      <c r="AW228" s="117" t="e">
        <f ca="1">IF(Tableau118[[#This Row],[Name ILN]]&lt;&gt;"SFK Freight Forwarder",Tableau118[[#This Row],[Cust. Leadtime]],Tableau118[[#This Row],[Leadtime SI2C]])</f>
        <v>#N/A</v>
      </c>
      <c r="AX228" s="51" t="e">
        <f>VLOOKUP(Tableau118[[#This Row],[ID]],'DATA BTO'!B:P,15,FALSE)</f>
        <v>#N/A</v>
      </c>
      <c r="AY228" s="328" t="e">
        <f ca="1">IFERROR(VLOOKUP(Tableau118[[#This Row],[Key(ID-Actif)]],'DATA BTO'!A:N,4,FALSE),VLOOKUP(Tableau118[[#This Row],[ID]],'DATA BTO'!B:N,3,FALSE))</f>
        <v>#N/A</v>
      </c>
      <c r="AZ22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8" s="50"/>
    </row>
    <row r="229" spans="2:57">
      <c r="B229" s="65" t="str">
        <f>_xlfn.CONCAT(Tableau118[[#This Row],[Name ILN]],"-",Tableau118[[#This Row],[Name Shipper]],"-",Tableau118[[#This Row],[Name Site]])</f>
        <v>--</v>
      </c>
      <c r="C229" s="65" t="e">
        <f ca="1">_xlfn.CONCAT(Tableau118[[#This Row],[Compte ILN]],"-",Tableau118[[#This Row],[Compte Shipper]],"-",Tableau118[[#This Row],[POL]],"-",Tableau118[[#This Row],[Compte Site]])</f>
        <v>#N/A</v>
      </c>
      <c r="D229" s="64" t="e">
        <f ca="1">_xlfn.CONCAT(Tableau118[[#This Row],[Compte ILN]],"-",Tableau118[[#This Row],[Compte Shipper]],"-",Tableau118[[#This Row],[POL]])</f>
        <v>#N/A</v>
      </c>
      <c r="E229" s="128" t="e">
        <f ca="1">_xlfn.CONCAT(Tableau118[[#This Row],[POL]],"-",Tableau118[[#This Row],[Carrier]],"-",Tableau118[[#This Row],[POD]])</f>
        <v>#N/A</v>
      </c>
      <c r="F229" s="64" t="str">
        <f>_xlfn.CONCAT(Tableau118[[#This Row],[ID]],"-","Next")</f>
        <v>-Next</v>
      </c>
      <c r="G229" s="64" t="e">
        <f ca="1">_xlfn.CONCAT(Tableau118[[#This Row],[POD]],"-",Tableau118[[#This Row],[Code PFI]],"-",Tableau118[[#This Row],[Compte Site]])</f>
        <v>#N/A</v>
      </c>
      <c r="H22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2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29" s="400" t="str">
        <f ca="1">IF(COUNTIF(I:I,Tableau118[[#This Row],[Plant-ILN-shipper-POL-Carrier-POD-PFI]])=1,"Non","Oui")</f>
        <v>Oui</v>
      </c>
      <c r="K229" s="126" t="e">
        <f>VLOOKUP(Tableau118[[#This Row],[Name Site]],Plant_AILN!A:D,4,FALSE)</f>
        <v>#N/A</v>
      </c>
      <c r="L229" s="10"/>
      <c r="M229" s="480"/>
      <c r="N229" s="55"/>
      <c r="O229" s="114"/>
      <c r="P229" s="481"/>
      <c r="Q229" s="50"/>
      <c r="R229" s="50"/>
      <c r="S229" s="50"/>
      <c r="T229" s="50"/>
      <c r="U229" s="50"/>
      <c r="V229" s="50"/>
      <c r="W229" s="53"/>
      <c r="X229" s="283"/>
      <c r="Y229" s="482">
        <f>IFERROR(VLOOKUP(Tableau118[[#This Row],[Name Shipper]],Plant_AILN!L:M,2,FALSE),0)</f>
        <v>0</v>
      </c>
      <c r="Z229" s="358"/>
      <c r="AA229" s="353" t="e">
        <f ca="1">VLOOKUP(Tableau118[[#This Row],[Key(ID-Actif)]],'DATA BTO'!A:N,5,FALSE)</f>
        <v>#N/A</v>
      </c>
      <c r="AB229" s="3" t="e">
        <f ca="1">VLOOKUP(Tableau118[[#This Row],[Key(ID-Actif)]],'DATA BTO'!A:N,6,FALSE)</f>
        <v>#N/A</v>
      </c>
      <c r="AC229" s="50" t="e">
        <f ca="1">VLOOKUP(Tableau118[[#This Row],[Key(ID-Actif)]],'DATA BTO'!A:N,7,FALSE)</f>
        <v>#N/A</v>
      </c>
      <c r="AD229" s="50" t="e">
        <f ca="1">VLOOKUP(Tableau118[[#This Row],[Key(ID-Actif)]],'DATA BTO'!A:N,8,FALSE)</f>
        <v>#N/A</v>
      </c>
      <c r="AE229" s="50" t="e">
        <f ca="1">IF(Tableau118[[#This Row],[First Day to POL]]&lt;=Tableau118[[#This Row],[Day Cut Off]],Tableau118[[#This Row],[Day ETD]],Tableau118[[#This Row],[Day ETD]]+7)</f>
        <v>#N/A</v>
      </c>
      <c r="AF229" s="50" t="e">
        <f ca="1">VLOOKUP(Tableau118[[#This Row],[Key(ID-Actif)]],'DATA BTO'!A:N,9,FALSE)</f>
        <v>#N/A</v>
      </c>
      <c r="AG229" s="3" t="e">
        <f ca="1">VLOOKUP(Tableau118[[#This Row],[Key(ID-Actif)]],'DATA BTO'!A:N,10,FALSE)</f>
        <v>#N/A</v>
      </c>
      <c r="AH229" s="3" t="e">
        <f ca="1">VLOOKUP(Tableau118[[#This Row],[Key(ID-Actif)]],'DATA BTO'!A:N,11,FALSE)</f>
        <v>#N/A</v>
      </c>
      <c r="AI229" s="50" t="e">
        <f ca="1">VLOOKUP(Tableau118[[#This Row],[Key(ID-Actif)]],'DATA BTO'!A:N,12,FALSE)</f>
        <v>#N/A</v>
      </c>
      <c r="AJ229" s="53" t="e">
        <f ca="1">VLOOKUP(Tableau118[[#This Row],[Key(ID-Actif)]],'DATA BTO'!A:N,14,FALSE)</f>
        <v>#N/A</v>
      </c>
      <c r="AK229" s="54" t="e">
        <f ca="1">VLOOKUP(Tableau118[[#This Row],[Key(POD -PFI- Usine)]],'DATA Consignee'!A:F,6,FALSE)</f>
        <v>#N/A</v>
      </c>
      <c r="AL229" s="125" t="s">
        <v>161</v>
      </c>
      <c r="AM229" s="483">
        <f>IF(Tableau118[[#This Row],[Name PFI/CDD]]="","-",VLOOKUP(Tableau118[[#This Row],[Name PFI/CDD]],Plant_AILN!I:J,2,FALSE))</f>
        <v>91018400</v>
      </c>
      <c r="AN229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29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29" s="2" t="e">
        <f ca="1">VLOOKUP(Tableau118[[#This Row],[Key(POD -PFI- Usine)]],'DATA Consignee'!A:J,10,FALSE)</f>
        <v>#N/A</v>
      </c>
      <c r="AQ229" s="50" t="e">
        <f ca="1">VLOOKUP(Tableau118[[#This Row],[Key(POD -PFI- Usine)]],'DATA Consignee'!A:N,14,FALSE)</f>
        <v>#N/A</v>
      </c>
      <c r="AR22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2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29" s="50" t="e">
        <f ca="1">Tableau118[[#This Row],[Transit time]]+Tableau118[[#This Row],[Time for security]]+Tableau118[[#This Row],[Time for security2 buffer]]</f>
        <v>#N/A</v>
      </c>
      <c r="AU22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29" s="50" t="e">
        <f ca="1">Tableau118[[#This Row],[Leadtime SI2C]]+Tableau118[[#This Row],[First Receipt Days]]-Tableau118[[#This Row],[Day Customer Order]]+1</f>
        <v>#N/A</v>
      </c>
      <c r="AW229" s="117" t="e">
        <f ca="1">IF(Tableau118[[#This Row],[Name ILN]]&lt;&gt;"SFK Freight Forwarder",Tableau118[[#This Row],[Cust. Leadtime]],Tableau118[[#This Row],[Leadtime SI2C]])</f>
        <v>#N/A</v>
      </c>
      <c r="AX229" s="51" t="e">
        <f>VLOOKUP(Tableau118[[#This Row],[ID]],'DATA BTO'!B:P,15,FALSE)</f>
        <v>#N/A</v>
      </c>
      <c r="AY229" s="328" t="e">
        <f ca="1">IFERROR(VLOOKUP(Tableau118[[#This Row],[Key(ID-Actif)]],'DATA BTO'!A:N,4,FALSE),VLOOKUP(Tableau118[[#This Row],[ID]],'DATA BTO'!B:N,3,FALSE))</f>
        <v>#N/A</v>
      </c>
      <c r="AZ22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2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2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2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2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29" s="50"/>
    </row>
    <row r="230" spans="2:57">
      <c r="B230" s="65" t="str">
        <f>_xlfn.CONCAT(Tableau118[[#This Row],[Name ILN]],"-",Tableau118[[#This Row],[Name Shipper]],"-",Tableau118[[#This Row],[Name Site]])</f>
        <v>--</v>
      </c>
      <c r="C230" s="65" t="e">
        <f ca="1">_xlfn.CONCAT(Tableau118[[#This Row],[Compte ILN]],"-",Tableau118[[#This Row],[Compte Shipper]],"-",Tableau118[[#This Row],[POL]],"-",Tableau118[[#This Row],[Compte Site]])</f>
        <v>#N/A</v>
      </c>
      <c r="D230" s="80" t="e">
        <f ca="1">_xlfn.CONCAT(Tableau118[[#This Row],[Compte ILN]],"-",Tableau118[[#This Row],[Compte Shipper]],"-",Tableau118[[#This Row],[POL]])</f>
        <v>#N/A</v>
      </c>
      <c r="E230" s="81" t="e">
        <f ca="1">_xlfn.CONCAT(Tableau118[[#This Row],[POL]],"-",Tableau118[[#This Row],[Carrier]],"-",Tableau118[[#This Row],[POD]])</f>
        <v>#N/A</v>
      </c>
      <c r="F230" s="80" t="str">
        <f>_xlfn.CONCAT(Tableau118[[#This Row],[ID]],"-","Next")</f>
        <v>-Next</v>
      </c>
      <c r="G230" s="80" t="e">
        <f ca="1">_xlfn.CONCAT(Tableau118[[#This Row],[POD]],"-",Tableau118[[#This Row],[Code PFI]],"-",Tableau118[[#This Row],[Compte Site]])</f>
        <v>#N/A</v>
      </c>
      <c r="H23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0" s="401" t="str">
        <f ca="1">IF(COUNTIF(I:I,Tableau118[[#This Row],[Plant-ILN-shipper-POL-Carrier-POD-PFI]])=1,"Non","Oui")</f>
        <v>Oui</v>
      </c>
      <c r="K230" s="101" t="e">
        <f>VLOOKUP(Tableau118[[#This Row],[Name Site]],Plant_AILN!A:D,4,FALSE)</f>
        <v>#N/A</v>
      </c>
      <c r="L230" s="10"/>
      <c r="M230" s="480"/>
      <c r="N230" s="102"/>
      <c r="O230" s="114"/>
      <c r="P230" s="484"/>
      <c r="Q230" s="79"/>
      <c r="R230" s="79"/>
      <c r="S230" s="79"/>
      <c r="T230" s="79"/>
      <c r="U230" s="79"/>
      <c r="V230" s="79"/>
      <c r="W230" s="104"/>
      <c r="X230" s="283"/>
      <c r="Y230" s="487">
        <f>IFERROR(VLOOKUP(Tableau118[[#This Row],[Name Shipper]],Plant_AILN!L:M,2,FALSE),0)</f>
        <v>0</v>
      </c>
      <c r="Z230" s="358"/>
      <c r="AA230" s="354" t="e">
        <f ca="1">VLOOKUP(Tableau118[[#This Row],[Key(ID-Actif)]],'DATA BTO'!A:N,5,FALSE)</f>
        <v>#N/A</v>
      </c>
      <c r="AB230" s="106" t="e">
        <f ca="1">VLOOKUP(Tableau118[[#This Row],[Key(ID-Actif)]],'DATA BTO'!A:N,6,FALSE)</f>
        <v>#N/A</v>
      </c>
      <c r="AC230" s="79" t="e">
        <f ca="1">VLOOKUP(Tableau118[[#This Row],[Key(ID-Actif)]],'DATA BTO'!A:N,7,FALSE)</f>
        <v>#N/A</v>
      </c>
      <c r="AD230" s="79" t="e">
        <f ca="1">VLOOKUP(Tableau118[[#This Row],[Key(ID-Actif)]],'DATA BTO'!A:N,8,FALSE)</f>
        <v>#N/A</v>
      </c>
      <c r="AE230" s="79" t="e">
        <f ca="1">IF(Tableau118[[#This Row],[First Day to POL]]&lt;=Tableau118[[#This Row],[Day Cut Off]],Tableau118[[#This Row],[Day ETD]],Tableau118[[#This Row],[Day ETD]]+7)</f>
        <v>#N/A</v>
      </c>
      <c r="AF230" s="79" t="e">
        <f ca="1">VLOOKUP(Tableau118[[#This Row],[Key(ID-Actif)]],'DATA BTO'!A:N,9,FALSE)</f>
        <v>#N/A</v>
      </c>
      <c r="AG230" s="106" t="e">
        <f ca="1">VLOOKUP(Tableau118[[#This Row],[Key(ID-Actif)]],'DATA BTO'!A:N,10,FALSE)</f>
        <v>#N/A</v>
      </c>
      <c r="AH230" s="106" t="e">
        <f ca="1">VLOOKUP(Tableau118[[#This Row],[Key(ID-Actif)]],'DATA BTO'!A:N,11,FALSE)</f>
        <v>#N/A</v>
      </c>
      <c r="AI230" s="79" t="e">
        <f ca="1">VLOOKUP(Tableau118[[#This Row],[Key(ID-Actif)]],'DATA BTO'!A:N,12,FALSE)</f>
        <v>#N/A</v>
      </c>
      <c r="AJ230" s="104" t="e">
        <f ca="1">VLOOKUP(Tableau118[[#This Row],[Key(ID-Actif)]],'DATA BTO'!A:N,14,FALSE)</f>
        <v>#N/A</v>
      </c>
      <c r="AK230" s="105" t="e">
        <f ca="1">VLOOKUP(Tableau118[[#This Row],[Key(POD -PFI- Usine)]],'DATA Consignee'!A:F,6,FALSE)</f>
        <v>#N/A</v>
      </c>
      <c r="AL230" s="125" t="s">
        <v>161</v>
      </c>
      <c r="AM230" s="488">
        <f>IF(Tableau118[[#This Row],[Name PFI/CDD]]="","-",VLOOKUP(Tableau118[[#This Row],[Name PFI/CDD]],Plant_AILN!I:J,2,FALSE))</f>
        <v>91018400</v>
      </c>
      <c r="AN230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30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30" s="108" t="e">
        <f ca="1">VLOOKUP(Tableau118[[#This Row],[Key(POD -PFI- Usine)]],'DATA Consignee'!A:J,10,FALSE)</f>
        <v>#N/A</v>
      </c>
      <c r="AQ230" s="79" t="e">
        <f ca="1">VLOOKUP(Tableau118[[#This Row],[Key(POD -PFI- Usine)]],'DATA Consignee'!A:N,14,FALSE)</f>
        <v>#N/A</v>
      </c>
      <c r="AR23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0" s="79" t="e">
        <f ca="1">Tableau118[[#This Row],[Transit time]]+Tableau118[[#This Row],[Time for security]]+Tableau118[[#This Row],[Time for security2 buffer]]</f>
        <v>#N/A</v>
      </c>
      <c r="AU23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0" s="79" t="e">
        <f ca="1">Tableau118[[#This Row],[Leadtime SI2C]]+Tableau118[[#This Row],[First Receipt Days]]-Tableau118[[#This Row],[Day Customer Order]]+1</f>
        <v>#N/A</v>
      </c>
      <c r="AW230" s="118" t="e">
        <f ca="1">IF(Tableau118[[#This Row],[Name ILN]]&lt;&gt;"SFK Freight Forwarder",Tableau118[[#This Row],[Cust. Leadtime]],Tableau118[[#This Row],[Leadtime SI2C]])</f>
        <v>#N/A</v>
      </c>
      <c r="AX230" s="51" t="e">
        <f>VLOOKUP(Tableau118[[#This Row],[ID]],'DATA BTO'!B:P,15,FALSE)</f>
        <v>#N/A</v>
      </c>
      <c r="AY230" s="328" t="e">
        <f ca="1">IFERROR(VLOOKUP(Tableau118[[#This Row],[Key(ID-Actif)]],'DATA BTO'!A:N,4,FALSE),VLOOKUP(Tableau118[[#This Row],[ID]],'DATA BTO'!B:N,3,FALSE))</f>
        <v>#N/A</v>
      </c>
      <c r="AZ23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0" s="50"/>
    </row>
    <row r="231" spans="2:57">
      <c r="B231" s="65" t="str">
        <f>_xlfn.CONCAT(Tableau118[[#This Row],[Name ILN]],"-",Tableau118[[#This Row],[Name Shipper]],"-",Tableau118[[#This Row],[Name Site]])</f>
        <v>--</v>
      </c>
      <c r="C231" s="65" t="e">
        <f ca="1">_xlfn.CONCAT(Tableau118[[#This Row],[Compte ILN]],"-",Tableau118[[#This Row],[Compte Shipper]],"-",Tableau118[[#This Row],[POL]],"-",Tableau118[[#This Row],[Compte Site]])</f>
        <v>#N/A</v>
      </c>
      <c r="D231" s="64" t="e">
        <f ca="1">_xlfn.CONCAT(Tableau118[[#This Row],[Compte ILN]],"-",Tableau118[[#This Row],[Compte Shipper]],"-",Tableau118[[#This Row],[POL]])</f>
        <v>#N/A</v>
      </c>
      <c r="E231" s="128" t="e">
        <f ca="1">_xlfn.CONCAT(Tableau118[[#This Row],[POL]],"-",Tableau118[[#This Row],[Carrier]],"-",Tableau118[[#This Row],[POD]])</f>
        <v>#N/A</v>
      </c>
      <c r="F231" s="64" t="str">
        <f>_xlfn.CONCAT(Tableau118[[#This Row],[ID]],"-","Next")</f>
        <v>-Next</v>
      </c>
      <c r="G231" s="64" t="e">
        <f ca="1">_xlfn.CONCAT(Tableau118[[#This Row],[POD]],"-",Tableau118[[#This Row],[Code PFI]],"-",Tableau118[[#This Row],[Compte Site]])</f>
        <v>#N/A</v>
      </c>
      <c r="H23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1" s="400" t="str">
        <f ca="1">IF(COUNTIF(I:I,Tableau118[[#This Row],[Plant-ILN-shipper-POL-Carrier-POD-PFI]])=1,"Non","Oui")</f>
        <v>Oui</v>
      </c>
      <c r="K231" s="126" t="e">
        <f>VLOOKUP(Tableau118[[#This Row],[Name Site]],Plant_AILN!A:D,4,FALSE)</f>
        <v>#N/A</v>
      </c>
      <c r="L231" s="10"/>
      <c r="M231" s="480"/>
      <c r="N231" s="55"/>
      <c r="O231" s="130"/>
      <c r="P231" s="481"/>
      <c r="Q231" s="50"/>
      <c r="R231" s="50"/>
      <c r="S231" s="50"/>
      <c r="T231" s="50"/>
      <c r="U231" s="50"/>
      <c r="V231" s="50"/>
      <c r="W231" s="53"/>
      <c r="X231" s="287"/>
      <c r="Y231" s="482">
        <f>IFERROR(VLOOKUP(Tableau118[[#This Row],[Name Shipper]],Plant_AILN!L:M,2,FALSE),0)</f>
        <v>0</v>
      </c>
      <c r="Z231" s="358"/>
      <c r="AA231" s="353" t="e">
        <f ca="1">VLOOKUP(Tableau118[[#This Row],[Key(ID-Actif)]],'DATA BTO'!A:N,5,FALSE)</f>
        <v>#N/A</v>
      </c>
      <c r="AB231" s="3" t="e">
        <f ca="1">VLOOKUP(Tableau118[[#This Row],[Key(ID-Actif)]],'DATA BTO'!A:N,6,FALSE)</f>
        <v>#N/A</v>
      </c>
      <c r="AC231" s="50" t="e">
        <f ca="1">VLOOKUP(Tableau118[[#This Row],[Key(ID-Actif)]],'DATA BTO'!A:N,7,FALSE)</f>
        <v>#N/A</v>
      </c>
      <c r="AD231" s="50" t="e">
        <f ca="1">VLOOKUP(Tableau118[[#This Row],[Key(ID-Actif)]],'DATA BTO'!A:N,8,FALSE)</f>
        <v>#N/A</v>
      </c>
      <c r="AE231" s="50" t="e">
        <f ca="1">IF(Tableau118[[#This Row],[First Day to POL]]&lt;=Tableau118[[#This Row],[Day Cut Off]],Tableau118[[#This Row],[Day ETD]],Tableau118[[#This Row],[Day ETD]]+7)</f>
        <v>#N/A</v>
      </c>
      <c r="AF231" s="50" t="e">
        <f ca="1">VLOOKUP(Tableau118[[#This Row],[Key(ID-Actif)]],'DATA BTO'!A:N,9,FALSE)</f>
        <v>#N/A</v>
      </c>
      <c r="AG231" s="3" t="e">
        <f ca="1">VLOOKUP(Tableau118[[#This Row],[Key(ID-Actif)]],'DATA BTO'!A:N,10,FALSE)</f>
        <v>#N/A</v>
      </c>
      <c r="AH231" s="3" t="e">
        <f ca="1">VLOOKUP(Tableau118[[#This Row],[Key(ID-Actif)]],'DATA BTO'!A:N,11,FALSE)</f>
        <v>#N/A</v>
      </c>
      <c r="AI231" s="50" t="e">
        <f ca="1">VLOOKUP(Tableau118[[#This Row],[Key(ID-Actif)]],'DATA BTO'!A:N,12,FALSE)</f>
        <v>#N/A</v>
      </c>
      <c r="AJ231" s="53" t="e">
        <f ca="1">VLOOKUP(Tableau118[[#This Row],[Key(ID-Actif)]],'DATA BTO'!A:N,14,FALSE)</f>
        <v>#N/A</v>
      </c>
      <c r="AK231" s="54" t="e">
        <f ca="1">VLOOKUP(Tableau118[[#This Row],[Key(POD -PFI- Usine)]],'DATA Consignee'!A:F,6,FALSE)</f>
        <v>#N/A</v>
      </c>
      <c r="AL231" s="125"/>
      <c r="AM231" s="483" t="str">
        <f>IF(Tableau118[[#This Row],[Name PFI/CDD]]="","-",VLOOKUP(Tableau118[[#This Row],[Name PFI/CDD]],Plant_AILN!I:J,2,FALSE))</f>
        <v>-</v>
      </c>
      <c r="AN23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1" s="2" t="e">
        <f ca="1">VLOOKUP(Tableau118[[#This Row],[Key(POD -PFI- Usine)]],'DATA Consignee'!A:J,10,FALSE)</f>
        <v>#N/A</v>
      </c>
      <c r="AQ231" s="50" t="e">
        <f ca="1">VLOOKUP(Tableau118[[#This Row],[Key(POD -PFI- Usine)]],'DATA Consignee'!A:N,14,FALSE)</f>
        <v>#N/A</v>
      </c>
      <c r="AR23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1" s="50" t="e">
        <f ca="1">Tableau118[[#This Row],[Transit time]]+Tableau118[[#This Row],[Time for security]]+Tableau118[[#This Row],[Time for security2 buffer]]</f>
        <v>#N/A</v>
      </c>
      <c r="AU23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1" s="50" t="e">
        <f ca="1">Tableau118[[#This Row],[Leadtime SI2C]]+Tableau118[[#This Row],[First Receipt Days]]-Tableau118[[#This Row],[Day Customer Order]]+1</f>
        <v>#N/A</v>
      </c>
      <c r="AW231" s="117" t="e">
        <f ca="1">IF(Tableau118[[#This Row],[Name ILN]]&lt;&gt;"SFK Freight Forwarder",Tableau118[[#This Row],[Cust. Leadtime]],Tableau118[[#This Row],[Leadtime SI2C]])</f>
        <v>#N/A</v>
      </c>
      <c r="AX231" s="51" t="e">
        <f>VLOOKUP(Tableau118[[#This Row],[ID]],'DATA BTO'!B:P,15,FALSE)</f>
        <v>#N/A</v>
      </c>
      <c r="AY231" s="328" t="e">
        <f ca="1">IFERROR(VLOOKUP(Tableau118[[#This Row],[Key(ID-Actif)]],'DATA BTO'!A:N,4,FALSE),VLOOKUP(Tableau118[[#This Row],[ID]],'DATA BTO'!B:N,3,FALSE))</f>
        <v>#N/A</v>
      </c>
      <c r="AZ23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1" s="50"/>
    </row>
    <row r="232" spans="2:57">
      <c r="B232" s="65" t="str">
        <f>_xlfn.CONCAT(Tableau118[[#This Row],[Name ILN]],"-",Tableau118[[#This Row],[Name Shipper]],"-",Tableau118[[#This Row],[Name Site]])</f>
        <v>--</v>
      </c>
      <c r="C232" s="65" t="e">
        <f ca="1">_xlfn.CONCAT(Tableau118[[#This Row],[Compte ILN]],"-",Tableau118[[#This Row],[Compte Shipper]],"-",Tableau118[[#This Row],[POL]],"-",Tableau118[[#This Row],[Compte Site]])</f>
        <v>#N/A</v>
      </c>
      <c r="D232" s="80" t="e">
        <f ca="1">_xlfn.CONCAT(Tableau118[[#This Row],[Compte ILN]],"-",Tableau118[[#This Row],[Compte Shipper]],"-",Tableau118[[#This Row],[POL]])</f>
        <v>#N/A</v>
      </c>
      <c r="E232" s="81" t="e">
        <f ca="1">_xlfn.CONCAT(Tableau118[[#This Row],[POL]],"-",Tableau118[[#This Row],[Carrier]],"-",Tableau118[[#This Row],[POD]])</f>
        <v>#N/A</v>
      </c>
      <c r="F232" s="80" t="str">
        <f>_xlfn.CONCAT(Tableau118[[#This Row],[ID]],"-","Next")</f>
        <v>-Next</v>
      </c>
      <c r="G232" s="80" t="e">
        <f ca="1">_xlfn.CONCAT(Tableau118[[#This Row],[POD]],"-",Tableau118[[#This Row],[Code PFI]],"-",Tableau118[[#This Row],[Compte Site]])</f>
        <v>#N/A</v>
      </c>
      <c r="H23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2" s="401" t="str">
        <f ca="1">IF(COUNTIF(I:I,Tableau118[[#This Row],[Plant-ILN-shipper-POL-Carrier-POD-PFI]])=1,"Non","Oui")</f>
        <v>Oui</v>
      </c>
      <c r="K232" s="101" t="e">
        <f>VLOOKUP(Tableau118[[#This Row],[Name Site]],Plant_AILN!A:D,4,FALSE)</f>
        <v>#N/A</v>
      </c>
      <c r="L232" s="10"/>
      <c r="M232" s="480"/>
      <c r="N232" s="102"/>
      <c r="O232" s="114"/>
      <c r="P232" s="484"/>
      <c r="Q232" s="79"/>
      <c r="R232" s="79"/>
      <c r="S232" s="79"/>
      <c r="T232" s="79"/>
      <c r="U232" s="79"/>
      <c r="V232" s="79"/>
      <c r="W232" s="104"/>
      <c r="X232" s="283"/>
      <c r="Y232" s="487">
        <f>IFERROR(VLOOKUP(Tableau118[[#This Row],[Name Shipper]],Plant_AILN!L:M,2,FALSE),0)</f>
        <v>0</v>
      </c>
      <c r="Z232" s="358"/>
      <c r="AA232" s="354" t="e">
        <f ca="1">VLOOKUP(Tableau118[[#This Row],[Key(ID-Actif)]],'DATA BTO'!A:N,5,FALSE)</f>
        <v>#N/A</v>
      </c>
      <c r="AB232" s="106" t="e">
        <f ca="1">VLOOKUP(Tableau118[[#This Row],[Key(ID-Actif)]],'DATA BTO'!A:N,6,FALSE)</f>
        <v>#N/A</v>
      </c>
      <c r="AC232" s="79" t="e">
        <f ca="1">VLOOKUP(Tableau118[[#This Row],[Key(ID-Actif)]],'DATA BTO'!A:N,7,FALSE)</f>
        <v>#N/A</v>
      </c>
      <c r="AD232" s="79" t="e">
        <f ca="1">VLOOKUP(Tableau118[[#This Row],[Key(ID-Actif)]],'DATA BTO'!A:N,8,FALSE)</f>
        <v>#N/A</v>
      </c>
      <c r="AE232" s="79" t="e">
        <f ca="1">IF(Tableau118[[#This Row],[First Day to POL]]&lt;=Tableau118[[#This Row],[Day Cut Off]],Tableau118[[#This Row],[Day ETD]],Tableau118[[#This Row],[Day ETD]]+7)</f>
        <v>#N/A</v>
      </c>
      <c r="AF232" s="79" t="e">
        <f ca="1">VLOOKUP(Tableau118[[#This Row],[Key(ID-Actif)]],'DATA BTO'!A:N,9,FALSE)</f>
        <v>#N/A</v>
      </c>
      <c r="AG232" s="106" t="e">
        <f ca="1">VLOOKUP(Tableau118[[#This Row],[Key(ID-Actif)]],'DATA BTO'!A:N,10,FALSE)</f>
        <v>#N/A</v>
      </c>
      <c r="AH232" s="106" t="e">
        <f ca="1">VLOOKUP(Tableau118[[#This Row],[Key(ID-Actif)]],'DATA BTO'!A:N,11,FALSE)</f>
        <v>#N/A</v>
      </c>
      <c r="AI232" s="79" t="e">
        <f ca="1">VLOOKUP(Tableau118[[#This Row],[Key(ID-Actif)]],'DATA BTO'!A:N,12,FALSE)</f>
        <v>#N/A</v>
      </c>
      <c r="AJ232" s="104" t="e">
        <f ca="1">VLOOKUP(Tableau118[[#This Row],[Key(ID-Actif)]],'DATA BTO'!A:N,14,FALSE)</f>
        <v>#N/A</v>
      </c>
      <c r="AK232" s="105" t="e">
        <f ca="1">VLOOKUP(Tableau118[[#This Row],[Key(POD -PFI- Usine)]],'DATA Consignee'!A:F,6,FALSE)</f>
        <v>#N/A</v>
      </c>
      <c r="AL232" s="125"/>
      <c r="AM232" s="488" t="str">
        <f>IF(Tableau118[[#This Row],[Name PFI/CDD]]="","-",VLOOKUP(Tableau118[[#This Row],[Name PFI/CDD]],Plant_AILN!I:J,2,FALSE))</f>
        <v>-</v>
      </c>
      <c r="AN23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2" s="108" t="e">
        <f ca="1">VLOOKUP(Tableau118[[#This Row],[Key(POD -PFI- Usine)]],'DATA Consignee'!A:J,10,FALSE)</f>
        <v>#N/A</v>
      </c>
      <c r="AQ232" s="79" t="e">
        <f ca="1">VLOOKUP(Tableau118[[#This Row],[Key(POD -PFI- Usine)]],'DATA Consignee'!A:N,14,FALSE)</f>
        <v>#N/A</v>
      </c>
      <c r="AR23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2" s="79" t="e">
        <f ca="1">Tableau118[[#This Row],[Transit time]]+Tableau118[[#This Row],[Time for security]]+Tableau118[[#This Row],[Time for security2 buffer]]</f>
        <v>#N/A</v>
      </c>
      <c r="AU23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2" s="79" t="e">
        <f ca="1">Tableau118[[#This Row],[Leadtime SI2C]]+Tableau118[[#This Row],[First Receipt Days]]-Tableau118[[#This Row],[Day Customer Order]]+1</f>
        <v>#N/A</v>
      </c>
      <c r="AW232" s="118" t="e">
        <f ca="1">IF(Tableau118[[#This Row],[Name ILN]]&lt;&gt;"SFK Freight Forwarder",Tableau118[[#This Row],[Cust. Leadtime]],Tableau118[[#This Row],[Leadtime SI2C]])</f>
        <v>#N/A</v>
      </c>
      <c r="AX232" s="51" t="e">
        <f>VLOOKUP(Tableau118[[#This Row],[ID]],'DATA BTO'!B:P,15,FALSE)</f>
        <v>#N/A</v>
      </c>
      <c r="AY232" s="328" t="e">
        <f ca="1">IFERROR(VLOOKUP(Tableau118[[#This Row],[Key(ID-Actif)]],'DATA BTO'!A:N,4,FALSE),VLOOKUP(Tableau118[[#This Row],[ID]],'DATA BTO'!B:N,3,FALSE))</f>
        <v>#N/A</v>
      </c>
      <c r="AZ23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2" s="50"/>
    </row>
    <row r="233" spans="2:57">
      <c r="B233" s="65" t="str">
        <f>_xlfn.CONCAT(Tableau118[[#This Row],[Name ILN]],"-",Tableau118[[#This Row],[Name Shipper]],"-",Tableau118[[#This Row],[Name Site]])</f>
        <v>--</v>
      </c>
      <c r="C233" s="65" t="e">
        <f ca="1">_xlfn.CONCAT(Tableau118[[#This Row],[Compte ILN]],"-",Tableau118[[#This Row],[Compte Shipper]],"-",Tableau118[[#This Row],[POL]],"-",Tableau118[[#This Row],[Compte Site]])</f>
        <v>#N/A</v>
      </c>
      <c r="D233" s="80" t="e">
        <f ca="1">_xlfn.CONCAT(Tableau118[[#This Row],[Compte ILN]],"-",Tableau118[[#This Row],[Compte Shipper]],"-",Tableau118[[#This Row],[POL]])</f>
        <v>#N/A</v>
      </c>
      <c r="E233" s="81" t="e">
        <f ca="1">_xlfn.CONCAT(Tableau118[[#This Row],[POL]],"-",Tableau118[[#This Row],[Carrier]],"-",Tableau118[[#This Row],[POD]])</f>
        <v>#N/A</v>
      </c>
      <c r="F233" s="80" t="str">
        <f>_xlfn.CONCAT(Tableau118[[#This Row],[ID]],"-","Next")</f>
        <v>-Next</v>
      </c>
      <c r="G233" s="80" t="e">
        <f ca="1">_xlfn.CONCAT(Tableau118[[#This Row],[POD]],"-",Tableau118[[#This Row],[Code PFI]],"-",Tableau118[[#This Row],[Compte Site]])</f>
        <v>#N/A</v>
      </c>
      <c r="H23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3" s="401" t="str">
        <f ca="1">IF(COUNTIF(I:I,Tableau118[[#This Row],[Plant-ILN-shipper-POL-Carrier-POD-PFI]])=1,"Non","Oui")</f>
        <v>Oui</v>
      </c>
      <c r="K233" s="101" t="e">
        <f>VLOOKUP(Tableau118[[#This Row],[Name Site]],Plant_AILN!A:D,4,FALSE)</f>
        <v>#N/A</v>
      </c>
      <c r="L233" s="10"/>
      <c r="M233" s="480"/>
      <c r="N233" s="102"/>
      <c r="O233" s="114"/>
      <c r="P233" s="484"/>
      <c r="Q233" s="79"/>
      <c r="R233" s="79"/>
      <c r="S233" s="79"/>
      <c r="T233" s="79"/>
      <c r="U233" s="79"/>
      <c r="V233" s="79"/>
      <c r="W233" s="104"/>
      <c r="X233" s="283"/>
      <c r="Y233" s="487">
        <f>IFERROR(VLOOKUP(Tableau118[[#This Row],[Name Shipper]],Plant_AILN!L:M,2,FALSE),0)</f>
        <v>0</v>
      </c>
      <c r="Z233" s="358"/>
      <c r="AA233" s="354" t="e">
        <f ca="1">VLOOKUP(Tableau118[[#This Row],[Key(ID-Actif)]],'DATA BTO'!A:N,5,FALSE)</f>
        <v>#N/A</v>
      </c>
      <c r="AB233" s="106" t="e">
        <f ca="1">VLOOKUP(Tableau118[[#This Row],[Key(ID-Actif)]],'DATA BTO'!A:N,6,FALSE)</f>
        <v>#N/A</v>
      </c>
      <c r="AC233" s="79" t="e">
        <f ca="1">VLOOKUP(Tableau118[[#This Row],[Key(ID-Actif)]],'DATA BTO'!A:N,7,FALSE)</f>
        <v>#N/A</v>
      </c>
      <c r="AD233" s="79" t="e">
        <f ca="1">VLOOKUP(Tableau118[[#This Row],[Key(ID-Actif)]],'DATA BTO'!A:N,8,FALSE)</f>
        <v>#N/A</v>
      </c>
      <c r="AE233" s="79" t="e">
        <f ca="1">IF(Tableau118[[#This Row],[First Day to POL]]&lt;=Tableau118[[#This Row],[Day Cut Off]],Tableau118[[#This Row],[Day ETD]],Tableau118[[#This Row],[Day ETD]]+7)</f>
        <v>#N/A</v>
      </c>
      <c r="AF233" s="79" t="e">
        <f ca="1">VLOOKUP(Tableau118[[#This Row],[Key(ID-Actif)]],'DATA BTO'!A:N,9,FALSE)</f>
        <v>#N/A</v>
      </c>
      <c r="AG233" s="106" t="e">
        <f ca="1">VLOOKUP(Tableau118[[#This Row],[Key(ID-Actif)]],'DATA BTO'!A:N,10,FALSE)</f>
        <v>#N/A</v>
      </c>
      <c r="AH233" s="106" t="e">
        <f ca="1">VLOOKUP(Tableau118[[#This Row],[Key(ID-Actif)]],'DATA BTO'!A:N,11,FALSE)</f>
        <v>#N/A</v>
      </c>
      <c r="AI233" s="79" t="e">
        <f ca="1">VLOOKUP(Tableau118[[#This Row],[Key(ID-Actif)]],'DATA BTO'!A:N,12,FALSE)</f>
        <v>#N/A</v>
      </c>
      <c r="AJ233" s="104" t="e">
        <f ca="1">VLOOKUP(Tableau118[[#This Row],[Key(ID-Actif)]],'DATA BTO'!A:N,14,FALSE)</f>
        <v>#N/A</v>
      </c>
      <c r="AK233" s="105" t="e">
        <f ca="1">VLOOKUP(Tableau118[[#This Row],[Key(POD -PFI- Usine)]],'DATA Consignee'!A:F,6,FALSE)</f>
        <v>#N/A</v>
      </c>
      <c r="AL233" s="125"/>
      <c r="AM233" s="488" t="str">
        <f>IF(Tableau118[[#This Row],[Name PFI/CDD]]="","-",VLOOKUP(Tableau118[[#This Row],[Name PFI/CDD]],Plant_AILN!I:J,2,FALSE))</f>
        <v>-</v>
      </c>
      <c r="AN23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3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3" s="108" t="e">
        <f ca="1">VLOOKUP(Tableau118[[#This Row],[Key(POD -PFI- Usine)]],'DATA Consignee'!A:J,10,FALSE)</f>
        <v>#N/A</v>
      </c>
      <c r="AQ233" s="79" t="e">
        <f ca="1">VLOOKUP(Tableau118[[#This Row],[Key(POD -PFI- Usine)]],'DATA Consignee'!A:N,14,FALSE)</f>
        <v>#N/A</v>
      </c>
      <c r="AR23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3" s="79" t="e">
        <f ca="1">Tableau118[[#This Row],[Transit time]]+Tableau118[[#This Row],[Time for security]]+Tableau118[[#This Row],[Time for security2 buffer]]</f>
        <v>#N/A</v>
      </c>
      <c r="AU23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3" s="79" t="e">
        <f ca="1">Tableau118[[#This Row],[Leadtime SI2C]]+Tableau118[[#This Row],[First Receipt Days]]-Tableau118[[#This Row],[Day Customer Order]]+1</f>
        <v>#N/A</v>
      </c>
      <c r="AW233" s="118" t="e">
        <f ca="1">IF(Tableau118[[#This Row],[Name ILN]]&lt;&gt;"SFK Freight Forwarder",Tableau118[[#This Row],[Cust. Leadtime]],Tableau118[[#This Row],[Leadtime SI2C]])</f>
        <v>#N/A</v>
      </c>
      <c r="AX233" s="51" t="e">
        <f>VLOOKUP(Tableau118[[#This Row],[ID]],'DATA BTO'!B:P,15,FALSE)</f>
        <v>#N/A</v>
      </c>
      <c r="AY233" s="328" t="e">
        <f ca="1">IFERROR(VLOOKUP(Tableau118[[#This Row],[Key(ID-Actif)]],'DATA BTO'!A:N,4,FALSE),VLOOKUP(Tableau118[[#This Row],[ID]],'DATA BTO'!B:N,3,FALSE))</f>
        <v>#N/A</v>
      </c>
      <c r="AZ23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3" s="50"/>
    </row>
    <row r="234" spans="2:57">
      <c r="B234" s="65" t="str">
        <f>_xlfn.CONCAT(Tableau118[[#This Row],[Name ILN]],"-",Tableau118[[#This Row],[Name Shipper]],"-",Tableau118[[#This Row],[Name Site]])</f>
        <v>--</v>
      </c>
      <c r="C234" s="65" t="e">
        <f ca="1">_xlfn.CONCAT(Tableau118[[#This Row],[Compte ILN]],"-",Tableau118[[#This Row],[Compte Shipper]],"-",Tableau118[[#This Row],[POL]],"-",Tableau118[[#This Row],[Compte Site]])</f>
        <v>#N/A</v>
      </c>
      <c r="D234" s="64" t="e">
        <f ca="1">_xlfn.CONCAT(Tableau118[[#This Row],[Compte ILN]],"-",Tableau118[[#This Row],[Compte Shipper]],"-",Tableau118[[#This Row],[POL]])</f>
        <v>#N/A</v>
      </c>
      <c r="E234" s="128" t="e">
        <f ca="1">_xlfn.CONCAT(Tableau118[[#This Row],[POL]],"-",Tableau118[[#This Row],[Carrier]],"-",Tableau118[[#This Row],[POD]])</f>
        <v>#N/A</v>
      </c>
      <c r="F234" s="64" t="str">
        <f>_xlfn.CONCAT(Tableau118[[#This Row],[ID]],"-","Next")</f>
        <v>-Next</v>
      </c>
      <c r="G234" s="64" t="e">
        <f ca="1">_xlfn.CONCAT(Tableau118[[#This Row],[POD]],"-",Tableau118[[#This Row],[Code PFI]],"-",Tableau118[[#This Row],[Compte Site]])</f>
        <v>#N/A</v>
      </c>
      <c r="H23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4" s="400" t="str">
        <f ca="1">IF(COUNTIF(I:I,Tableau118[[#This Row],[Plant-ILN-shipper-POL-Carrier-POD-PFI]])=1,"Non","Oui")</f>
        <v>Oui</v>
      </c>
      <c r="K234" s="126" t="e">
        <f>VLOOKUP(Tableau118[[#This Row],[Name Site]],Plant_AILN!A:D,4,FALSE)</f>
        <v>#N/A</v>
      </c>
      <c r="L234" s="10"/>
      <c r="M234" s="480"/>
      <c r="N234" s="55"/>
      <c r="O234" s="114"/>
      <c r="P234" s="481"/>
      <c r="Q234" s="50"/>
      <c r="R234" s="50"/>
      <c r="S234" s="50"/>
      <c r="T234" s="50"/>
      <c r="U234" s="50"/>
      <c r="V234" s="50"/>
      <c r="W234" s="53"/>
      <c r="X234" s="283"/>
      <c r="Y234" s="482">
        <f>IFERROR(VLOOKUP(Tableau118[[#This Row],[Name Shipper]],Plant_AILN!L:M,2,FALSE),0)</f>
        <v>0</v>
      </c>
      <c r="Z234" s="358"/>
      <c r="AA234" s="353" t="e">
        <f ca="1">VLOOKUP(Tableau118[[#This Row],[Key(ID-Actif)]],'DATA BTO'!A:N,5,FALSE)</f>
        <v>#N/A</v>
      </c>
      <c r="AB234" s="3" t="e">
        <f ca="1">VLOOKUP(Tableau118[[#This Row],[Key(ID-Actif)]],'DATA BTO'!A:N,6,FALSE)</f>
        <v>#N/A</v>
      </c>
      <c r="AC234" s="50" t="e">
        <f ca="1">VLOOKUP(Tableau118[[#This Row],[Key(ID-Actif)]],'DATA BTO'!A:N,7,FALSE)</f>
        <v>#N/A</v>
      </c>
      <c r="AD234" s="50" t="e">
        <f ca="1">VLOOKUP(Tableau118[[#This Row],[Key(ID-Actif)]],'DATA BTO'!A:N,8,FALSE)</f>
        <v>#N/A</v>
      </c>
      <c r="AE234" s="50" t="e">
        <f ca="1">IF(Tableau118[[#This Row],[First Day to POL]]&lt;=Tableau118[[#This Row],[Day Cut Off]],Tableau118[[#This Row],[Day ETD]],Tableau118[[#This Row],[Day ETD]]+7)</f>
        <v>#N/A</v>
      </c>
      <c r="AF234" s="50" t="e">
        <f ca="1">VLOOKUP(Tableau118[[#This Row],[Key(ID-Actif)]],'DATA BTO'!A:N,9,FALSE)</f>
        <v>#N/A</v>
      </c>
      <c r="AG234" s="3" t="e">
        <f ca="1">VLOOKUP(Tableau118[[#This Row],[Key(ID-Actif)]],'DATA BTO'!A:N,10,FALSE)</f>
        <v>#N/A</v>
      </c>
      <c r="AH234" s="3" t="e">
        <f ca="1">VLOOKUP(Tableau118[[#This Row],[Key(ID-Actif)]],'DATA BTO'!A:N,11,FALSE)</f>
        <v>#N/A</v>
      </c>
      <c r="AI234" s="50" t="e">
        <f ca="1">VLOOKUP(Tableau118[[#This Row],[Key(ID-Actif)]],'DATA BTO'!A:N,12,FALSE)</f>
        <v>#N/A</v>
      </c>
      <c r="AJ234" s="53" t="e">
        <f ca="1">VLOOKUP(Tableau118[[#This Row],[Key(ID-Actif)]],'DATA BTO'!A:N,14,FALSE)</f>
        <v>#N/A</v>
      </c>
      <c r="AK234" s="54" t="e">
        <f ca="1">VLOOKUP(Tableau118[[#This Row],[Key(POD -PFI- Usine)]],'DATA Consignee'!A:F,6,FALSE)</f>
        <v>#N/A</v>
      </c>
      <c r="AL234" s="125" t="s">
        <v>158</v>
      </c>
      <c r="AM234" s="483">
        <f>IF(Tableau118[[#This Row],[Name PFI/CDD]]="","-",VLOOKUP(Tableau118[[#This Row],[Name PFI/CDD]],Plant_AILN!I:J,2,FALSE))</f>
        <v>2839004</v>
      </c>
      <c r="AN23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4" s="2" t="e">
        <f ca="1">VLOOKUP(Tableau118[[#This Row],[Key(POD -PFI- Usine)]],'DATA Consignee'!A:J,10,FALSE)</f>
        <v>#N/A</v>
      </c>
      <c r="AQ234" s="50" t="e">
        <f ca="1">VLOOKUP(Tableau118[[#This Row],[Key(POD -PFI- Usine)]],'DATA Consignee'!A:N,14,FALSE)</f>
        <v>#N/A</v>
      </c>
      <c r="AR23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4" s="50" t="e">
        <f ca="1">Tableau118[[#This Row],[Transit time]]+Tableau118[[#This Row],[Time for security]]+Tableau118[[#This Row],[Time for security2 buffer]]</f>
        <v>#N/A</v>
      </c>
      <c r="AU23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4" s="50" t="e">
        <f ca="1">Tableau118[[#This Row],[Leadtime SI2C]]+Tableau118[[#This Row],[First Receipt Days]]-Tableau118[[#This Row],[Day Customer Order]]+1</f>
        <v>#N/A</v>
      </c>
      <c r="AW234" s="117" t="e">
        <f ca="1">IF(Tableau118[[#This Row],[Name ILN]]&lt;&gt;"SFK Freight Forwarder",Tableau118[[#This Row],[Cust. Leadtime]],Tableau118[[#This Row],[Leadtime SI2C]])</f>
        <v>#N/A</v>
      </c>
      <c r="AX234" s="51" t="e">
        <f>VLOOKUP(Tableau118[[#This Row],[ID]],'DATA BTO'!B:P,15,FALSE)</f>
        <v>#N/A</v>
      </c>
      <c r="AY234" s="328" t="e">
        <f ca="1">IFERROR(VLOOKUP(Tableau118[[#This Row],[Key(ID-Actif)]],'DATA BTO'!A:N,4,FALSE),VLOOKUP(Tableau118[[#This Row],[ID]],'DATA BTO'!B:N,3,FALSE))</f>
        <v>#N/A</v>
      </c>
      <c r="AZ23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4" s="50"/>
    </row>
    <row r="235" spans="2:57" ht="15" customHeight="1">
      <c r="B235" s="65" t="str">
        <f>_xlfn.CONCAT(Tableau118[[#This Row],[Name ILN]],"-",Tableau118[[#This Row],[Name Shipper]],"-",Tableau118[[#This Row],[Name Site]])</f>
        <v>--</v>
      </c>
      <c r="C235" s="65" t="e">
        <f ca="1">_xlfn.CONCAT(Tableau118[[#This Row],[Compte ILN]],"-",Tableau118[[#This Row],[Compte Shipper]],"-",Tableau118[[#This Row],[POL]],"-",Tableau118[[#This Row],[Compte Site]])</f>
        <v>#N/A</v>
      </c>
      <c r="D235" s="80" t="e">
        <f ca="1">_xlfn.CONCAT(Tableau118[[#This Row],[Compte ILN]],"-",Tableau118[[#This Row],[Compte Shipper]],"-",Tableau118[[#This Row],[POL]])</f>
        <v>#N/A</v>
      </c>
      <c r="E235" s="81" t="e">
        <f ca="1">_xlfn.CONCAT(Tableau118[[#This Row],[POL]],"-",Tableau118[[#This Row],[Carrier]],"-",Tableau118[[#This Row],[POD]])</f>
        <v>#N/A</v>
      </c>
      <c r="F235" s="80" t="str">
        <f>_xlfn.CONCAT(Tableau118[[#This Row],[ID]],"-","Next")</f>
        <v>-Next</v>
      </c>
      <c r="G235" s="80" t="e">
        <f ca="1">_xlfn.CONCAT(Tableau118[[#This Row],[POD]],"-",Tableau118[[#This Row],[Code PFI]],"-",Tableau118[[#This Row],[Compte Site]])</f>
        <v>#N/A</v>
      </c>
      <c r="H235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5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5" s="401" t="str">
        <f ca="1">IF(COUNTIF(I:I,Tableau118[[#This Row],[Plant-ILN-shipper-POL-Carrier-POD-PFI]])=1,"Non","Oui")</f>
        <v>Oui</v>
      </c>
      <c r="K235" s="101" t="e">
        <f>VLOOKUP(Tableau118[[#This Row],[Name Site]],Plant_AILN!A:D,4,FALSE)</f>
        <v>#N/A</v>
      </c>
      <c r="L235" s="364"/>
      <c r="M235" s="480"/>
      <c r="N235" s="102"/>
      <c r="O235" s="124"/>
      <c r="P235" s="484"/>
      <c r="Q235" s="79"/>
      <c r="R235" s="79"/>
      <c r="S235" s="79"/>
      <c r="T235" s="79"/>
      <c r="U235" s="79"/>
      <c r="V235" s="79"/>
      <c r="W235" s="104"/>
      <c r="X235" s="283"/>
      <c r="Y235" s="487">
        <f>IFERROR(VLOOKUP(Tableau118[[#This Row],[Name Shipper]],Plant_AILN!L:M,2,FALSE),0)</f>
        <v>0</v>
      </c>
      <c r="Z235" s="358"/>
      <c r="AA235" s="354" t="e">
        <f ca="1">VLOOKUP(Tableau118[[#This Row],[Key(ID-Actif)]],'DATA BTO'!A:N,5,FALSE)</f>
        <v>#N/A</v>
      </c>
      <c r="AB235" s="106" t="e">
        <f ca="1">VLOOKUP(Tableau118[[#This Row],[Key(ID-Actif)]],'DATA BTO'!A:N,6,FALSE)</f>
        <v>#N/A</v>
      </c>
      <c r="AC235" s="79" t="e">
        <f ca="1">VLOOKUP(Tableau118[[#This Row],[Key(ID-Actif)]],'DATA BTO'!A:N,7,FALSE)</f>
        <v>#N/A</v>
      </c>
      <c r="AD235" s="79" t="e">
        <f ca="1">VLOOKUP(Tableau118[[#This Row],[Key(ID-Actif)]],'DATA BTO'!A:N,8,FALSE)</f>
        <v>#N/A</v>
      </c>
      <c r="AE235" s="79" t="e">
        <f ca="1">IF(Tableau118[[#This Row],[First Day to POL]]&lt;=Tableau118[[#This Row],[Day Cut Off]],Tableau118[[#This Row],[Day ETD]],Tableau118[[#This Row],[Day ETD]]+7)</f>
        <v>#N/A</v>
      </c>
      <c r="AF235" s="79" t="e">
        <f ca="1">VLOOKUP(Tableau118[[#This Row],[Key(ID-Actif)]],'DATA BTO'!A:N,9,FALSE)</f>
        <v>#N/A</v>
      </c>
      <c r="AG235" s="106" t="e">
        <f ca="1">VLOOKUP(Tableau118[[#This Row],[Key(ID-Actif)]],'DATA BTO'!A:N,10,FALSE)</f>
        <v>#N/A</v>
      </c>
      <c r="AH235" s="106" t="e">
        <f ca="1">VLOOKUP(Tableau118[[#This Row],[Key(ID-Actif)]],'DATA BTO'!A:N,11,FALSE)</f>
        <v>#N/A</v>
      </c>
      <c r="AI235" s="79" t="e">
        <f ca="1">VLOOKUP(Tableau118[[#This Row],[Key(ID-Actif)]],'DATA BTO'!A:N,12,FALSE)</f>
        <v>#N/A</v>
      </c>
      <c r="AJ235" s="104" t="e">
        <f ca="1">VLOOKUP(Tableau118[[#This Row],[Key(ID-Actif)]],'DATA BTO'!A:N,14,FALSE)</f>
        <v>#N/A</v>
      </c>
      <c r="AK235" s="105" t="e">
        <f ca="1">VLOOKUP(Tableau118[[#This Row],[Key(POD -PFI- Usine)]],'DATA Consignee'!A:F,6,FALSE)</f>
        <v>#N/A</v>
      </c>
      <c r="AL235" s="365" t="s">
        <v>161</v>
      </c>
      <c r="AM235" s="488">
        <f>IF(Tableau118[[#This Row],[Name PFI/CDD]]="","-",VLOOKUP(Tableau118[[#This Row],[Name PFI/CDD]],Plant_AILN!I:J,2,FALSE))</f>
        <v>91018400</v>
      </c>
      <c r="AN235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35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35" s="108" t="e">
        <f ca="1">VLOOKUP(Tableau118[[#This Row],[Key(POD -PFI- Usine)]],'DATA Consignee'!A:J,10,FALSE)</f>
        <v>#N/A</v>
      </c>
      <c r="AQ235" s="79" t="e">
        <f ca="1">VLOOKUP(Tableau118[[#This Row],[Key(POD -PFI- Usine)]],'DATA Consignee'!A:N,14,FALSE)</f>
        <v>#N/A</v>
      </c>
      <c r="AR235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5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5" s="79" t="e">
        <f ca="1">Tableau118[[#This Row],[Transit time]]+Tableau118[[#This Row],[Time for security]]+Tableau118[[#This Row],[Time for security2 buffer]]</f>
        <v>#N/A</v>
      </c>
      <c r="AU235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5" s="79" t="e">
        <f ca="1">Tableau118[[#This Row],[Leadtime SI2C]]+Tableau118[[#This Row],[First Receipt Days]]-Tableau118[[#This Row],[Day Customer Order]]+1</f>
        <v>#N/A</v>
      </c>
      <c r="AW235" s="118" t="e">
        <f ca="1">IF(Tableau118[[#This Row],[Name ILN]]&lt;&gt;"SFK Freight Forwarder",Tableau118[[#This Row],[Cust. Leadtime]],Tableau118[[#This Row],[Leadtime SI2C]])</f>
        <v>#N/A</v>
      </c>
      <c r="AX235" s="51" t="e">
        <f>VLOOKUP(Tableau118[[#This Row],[ID]],'DATA BTO'!B:P,15,FALSE)</f>
        <v>#N/A</v>
      </c>
      <c r="AY235" s="328" t="e">
        <f ca="1">IFERROR(VLOOKUP(Tableau118[[#This Row],[Key(ID-Actif)]],'DATA BTO'!A:N,4,FALSE),VLOOKUP(Tableau118[[#This Row],[ID]],'DATA BTO'!B:N,3,FALSE))</f>
        <v>#N/A</v>
      </c>
      <c r="AZ23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5" s="50"/>
    </row>
    <row r="236" spans="2:57">
      <c r="B236" s="65" t="str">
        <f>_xlfn.CONCAT(Tableau118[[#This Row],[Name ILN]],"-",Tableau118[[#This Row],[Name Shipper]],"-",Tableau118[[#This Row],[Name Site]])</f>
        <v>--</v>
      </c>
      <c r="C236" s="65" t="e">
        <f ca="1">_xlfn.CONCAT(Tableau118[[#This Row],[Compte ILN]],"-",Tableau118[[#This Row],[Compte Shipper]],"-",Tableau118[[#This Row],[POL]],"-",Tableau118[[#This Row],[Compte Site]])</f>
        <v>#N/A</v>
      </c>
      <c r="D236" s="80" t="e">
        <f ca="1">_xlfn.CONCAT(Tableau118[[#This Row],[Compte ILN]],"-",Tableau118[[#This Row],[Compte Shipper]],"-",Tableau118[[#This Row],[POL]])</f>
        <v>#N/A</v>
      </c>
      <c r="E236" s="81" t="e">
        <f ca="1">_xlfn.CONCAT(Tableau118[[#This Row],[POL]],"-",Tableau118[[#This Row],[Carrier]],"-",Tableau118[[#This Row],[POD]])</f>
        <v>#N/A</v>
      </c>
      <c r="F236" s="80" t="str">
        <f>_xlfn.CONCAT(Tableau118[[#This Row],[ID]],"-","Next")</f>
        <v>-Next</v>
      </c>
      <c r="G236" s="80" t="e">
        <f ca="1">_xlfn.CONCAT(Tableau118[[#This Row],[POD]],"-",Tableau118[[#This Row],[Code PFI]],"-",Tableau118[[#This Row],[Compte Site]])</f>
        <v>#N/A</v>
      </c>
      <c r="H236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6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6" s="401" t="str">
        <f ca="1">IF(COUNTIF(I:I,Tableau118[[#This Row],[Plant-ILN-shipper-POL-Carrier-POD-PFI]])=1,"Non","Oui")</f>
        <v>Oui</v>
      </c>
      <c r="K236" s="101" t="e">
        <f>VLOOKUP(Tableau118[[#This Row],[Name Site]],Plant_AILN!A:D,4,FALSE)</f>
        <v>#N/A</v>
      </c>
      <c r="L236" s="364"/>
      <c r="M236" s="480"/>
      <c r="N236" s="102"/>
      <c r="O236" s="124"/>
      <c r="P236" s="484"/>
      <c r="Q236" s="79"/>
      <c r="R236" s="79"/>
      <c r="S236" s="79"/>
      <c r="T236" s="79"/>
      <c r="U236" s="79"/>
      <c r="V236" s="79"/>
      <c r="W236" s="104"/>
      <c r="X236" s="283"/>
      <c r="Y236" s="487">
        <f>IFERROR(VLOOKUP(Tableau118[[#This Row],[Name Shipper]],Plant_AILN!L:M,2,FALSE),0)</f>
        <v>0</v>
      </c>
      <c r="Z236" s="358"/>
      <c r="AA236" s="354" t="e">
        <f ca="1">VLOOKUP(Tableau118[[#This Row],[Key(ID-Actif)]],'DATA BTO'!A:N,5,FALSE)</f>
        <v>#N/A</v>
      </c>
      <c r="AB236" s="106" t="e">
        <f ca="1">VLOOKUP(Tableau118[[#This Row],[Key(ID-Actif)]],'DATA BTO'!A:N,6,FALSE)</f>
        <v>#N/A</v>
      </c>
      <c r="AC236" s="79" t="e">
        <f ca="1">VLOOKUP(Tableau118[[#This Row],[Key(ID-Actif)]],'DATA BTO'!A:N,7,FALSE)</f>
        <v>#N/A</v>
      </c>
      <c r="AD236" s="79" t="e">
        <f ca="1">VLOOKUP(Tableau118[[#This Row],[Key(ID-Actif)]],'DATA BTO'!A:N,8,FALSE)</f>
        <v>#N/A</v>
      </c>
      <c r="AE236" s="79" t="e">
        <f ca="1">IF(Tableau118[[#This Row],[First Day to POL]]&lt;=Tableau118[[#This Row],[Day Cut Off]],Tableau118[[#This Row],[Day ETD]],Tableau118[[#This Row],[Day ETD]]+7)</f>
        <v>#N/A</v>
      </c>
      <c r="AF236" s="79" t="e">
        <f ca="1">VLOOKUP(Tableau118[[#This Row],[Key(ID-Actif)]],'DATA BTO'!A:N,9,FALSE)</f>
        <v>#N/A</v>
      </c>
      <c r="AG236" s="106" t="e">
        <f ca="1">VLOOKUP(Tableau118[[#This Row],[Key(ID-Actif)]],'DATA BTO'!A:N,10,FALSE)</f>
        <v>#N/A</v>
      </c>
      <c r="AH236" s="106" t="e">
        <f ca="1">VLOOKUP(Tableau118[[#This Row],[Key(ID-Actif)]],'DATA BTO'!A:N,11,FALSE)</f>
        <v>#N/A</v>
      </c>
      <c r="AI236" s="79" t="e">
        <f ca="1">VLOOKUP(Tableau118[[#This Row],[Key(ID-Actif)]],'DATA BTO'!A:N,12,FALSE)</f>
        <v>#N/A</v>
      </c>
      <c r="AJ236" s="104" t="e">
        <f ca="1">VLOOKUP(Tableau118[[#This Row],[Key(ID-Actif)]],'DATA BTO'!A:N,14,FALSE)</f>
        <v>#N/A</v>
      </c>
      <c r="AK236" s="105" t="e">
        <f ca="1">VLOOKUP(Tableau118[[#This Row],[Key(POD -PFI- Usine)]],'DATA Consignee'!A:F,6,FALSE)</f>
        <v>#N/A</v>
      </c>
      <c r="AL236" s="365" t="s">
        <v>161</v>
      </c>
      <c r="AM236" s="488">
        <f>IF(Tableau118[[#This Row],[Name PFI/CDD]]="","-",VLOOKUP(Tableau118[[#This Row],[Name PFI/CDD]],Plant_AILN!I:J,2,FALSE))</f>
        <v>91018400</v>
      </c>
      <c r="AN236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36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36" s="108" t="e">
        <f ca="1">VLOOKUP(Tableau118[[#This Row],[Key(POD -PFI- Usine)]],'DATA Consignee'!A:J,10,FALSE)</f>
        <v>#N/A</v>
      </c>
      <c r="AQ236" s="79" t="e">
        <f ca="1">VLOOKUP(Tableau118[[#This Row],[Key(POD -PFI- Usine)]],'DATA Consignee'!A:N,14,FALSE)</f>
        <v>#N/A</v>
      </c>
      <c r="AR236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6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6" s="79" t="e">
        <f ca="1">Tableau118[[#This Row],[Transit time]]+Tableau118[[#This Row],[Time for security]]+Tableau118[[#This Row],[Time for security2 buffer]]</f>
        <v>#N/A</v>
      </c>
      <c r="AU236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6" s="79" t="e">
        <f ca="1">Tableau118[[#This Row],[Leadtime SI2C]]+Tableau118[[#This Row],[First Receipt Days]]-Tableau118[[#This Row],[Day Customer Order]]+1</f>
        <v>#N/A</v>
      </c>
      <c r="AW236" s="118" t="e">
        <f ca="1">IF(Tableau118[[#This Row],[Name ILN]]&lt;&gt;"SFK Freight Forwarder",Tableau118[[#This Row],[Cust. Leadtime]],Tableau118[[#This Row],[Leadtime SI2C]])</f>
        <v>#N/A</v>
      </c>
      <c r="AX236" s="51" t="e">
        <f>VLOOKUP(Tableau118[[#This Row],[ID]],'DATA BTO'!B:P,15,FALSE)</f>
        <v>#N/A</v>
      </c>
      <c r="AY236" s="328" t="e">
        <f ca="1">IFERROR(VLOOKUP(Tableau118[[#This Row],[Key(ID-Actif)]],'DATA BTO'!A:N,4,FALSE),VLOOKUP(Tableau118[[#This Row],[ID]],'DATA BTO'!B:N,3,FALSE))</f>
        <v>#N/A</v>
      </c>
      <c r="AZ23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6" s="50"/>
    </row>
    <row r="237" spans="2:57">
      <c r="B237" s="65" t="str">
        <f>_xlfn.CONCAT(Tableau118[[#This Row],[Name ILN]],"-",Tableau118[[#This Row],[Name Shipper]],"-",Tableau118[[#This Row],[Name Site]])</f>
        <v>--</v>
      </c>
      <c r="C237" s="65" t="e">
        <f ca="1">_xlfn.CONCAT(Tableau118[[#This Row],[Compte ILN]],"-",Tableau118[[#This Row],[Compte Shipper]],"-",Tableau118[[#This Row],[POL]],"-",Tableau118[[#This Row],[Compte Site]])</f>
        <v>#N/A</v>
      </c>
      <c r="D237" s="80" t="e">
        <f ca="1">_xlfn.CONCAT(Tableau118[[#This Row],[Compte ILN]],"-",Tableau118[[#This Row],[Compte Shipper]],"-",Tableau118[[#This Row],[POL]])</f>
        <v>#N/A</v>
      </c>
      <c r="E237" s="81" t="e">
        <f ca="1">_xlfn.CONCAT(Tableau118[[#This Row],[POL]],"-",Tableau118[[#This Row],[Carrier]],"-",Tableau118[[#This Row],[POD]])</f>
        <v>#N/A</v>
      </c>
      <c r="F237" s="80" t="str">
        <f>_xlfn.CONCAT(Tableau118[[#This Row],[ID]],"-","Next")</f>
        <v>-Next</v>
      </c>
      <c r="G237" s="80" t="e">
        <f ca="1">_xlfn.CONCAT(Tableau118[[#This Row],[POD]],"-",Tableau118[[#This Row],[Code PFI]],"-",Tableau118[[#This Row],[Compte Site]])</f>
        <v>#N/A</v>
      </c>
      <c r="H23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7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7" s="401" t="str">
        <f ca="1">IF(COUNTIF(I:I,Tableau118[[#This Row],[Plant-ILN-shipper-POL-Carrier-POD-PFI]])=1,"Non","Oui")</f>
        <v>Oui</v>
      </c>
      <c r="K237" s="101" t="e">
        <f>VLOOKUP(Tableau118[[#This Row],[Name Site]],Plant_AILN!A:D,4,FALSE)</f>
        <v>#N/A</v>
      </c>
      <c r="L237" s="364"/>
      <c r="M237" s="480"/>
      <c r="N237" s="102"/>
      <c r="O237" s="124"/>
      <c r="P237" s="484"/>
      <c r="Q237" s="79"/>
      <c r="R237" s="79"/>
      <c r="S237" s="79"/>
      <c r="T237" s="79"/>
      <c r="U237" s="79"/>
      <c r="V237" s="79"/>
      <c r="W237" s="104"/>
      <c r="X237" s="283"/>
      <c r="Y237" s="487">
        <f>IFERROR(VLOOKUP(Tableau118[[#This Row],[Name Shipper]],Plant_AILN!L:M,2,FALSE),0)</f>
        <v>0</v>
      </c>
      <c r="Z237" s="358"/>
      <c r="AA237" s="354" t="e">
        <f ca="1">VLOOKUP(Tableau118[[#This Row],[Key(ID-Actif)]],'DATA BTO'!A:N,5,FALSE)</f>
        <v>#N/A</v>
      </c>
      <c r="AB237" s="106" t="e">
        <f ca="1">VLOOKUP(Tableau118[[#This Row],[Key(ID-Actif)]],'DATA BTO'!A:N,6,FALSE)</f>
        <v>#N/A</v>
      </c>
      <c r="AC237" s="79" t="e">
        <f ca="1">VLOOKUP(Tableau118[[#This Row],[Key(ID-Actif)]],'DATA BTO'!A:N,7,FALSE)</f>
        <v>#N/A</v>
      </c>
      <c r="AD237" s="79" t="e">
        <f ca="1">VLOOKUP(Tableau118[[#This Row],[Key(ID-Actif)]],'DATA BTO'!A:N,8,FALSE)</f>
        <v>#N/A</v>
      </c>
      <c r="AE237" s="79" t="e">
        <f ca="1">IF(Tableau118[[#This Row],[First Day to POL]]&lt;=Tableau118[[#This Row],[Day Cut Off]],Tableau118[[#This Row],[Day ETD]],Tableau118[[#This Row],[Day ETD]]+7)</f>
        <v>#N/A</v>
      </c>
      <c r="AF237" s="79" t="e">
        <f ca="1">VLOOKUP(Tableau118[[#This Row],[Key(ID-Actif)]],'DATA BTO'!A:N,9,FALSE)</f>
        <v>#N/A</v>
      </c>
      <c r="AG237" s="106" t="e">
        <f ca="1">VLOOKUP(Tableau118[[#This Row],[Key(ID-Actif)]],'DATA BTO'!A:N,10,FALSE)</f>
        <v>#N/A</v>
      </c>
      <c r="AH237" s="106" t="e">
        <f ca="1">VLOOKUP(Tableau118[[#This Row],[Key(ID-Actif)]],'DATA BTO'!A:N,11,FALSE)</f>
        <v>#N/A</v>
      </c>
      <c r="AI237" s="79" t="e">
        <f ca="1">VLOOKUP(Tableau118[[#This Row],[Key(ID-Actif)]],'DATA BTO'!A:N,12,FALSE)</f>
        <v>#N/A</v>
      </c>
      <c r="AJ237" s="104" t="e">
        <f ca="1">VLOOKUP(Tableau118[[#This Row],[Key(ID-Actif)]],'DATA BTO'!A:N,14,FALSE)</f>
        <v>#N/A</v>
      </c>
      <c r="AK237" s="105" t="e">
        <f ca="1">VLOOKUP(Tableau118[[#This Row],[Key(POD -PFI- Usine)]],'DATA Consignee'!A:F,6,FALSE)</f>
        <v>#N/A</v>
      </c>
      <c r="AL237" s="365" t="s">
        <v>161</v>
      </c>
      <c r="AM237" s="488">
        <f>IF(Tableau118[[#This Row],[Name PFI/CDD]]="","-",VLOOKUP(Tableau118[[#This Row],[Name PFI/CDD]],Plant_AILN!I:J,2,FALSE))</f>
        <v>91018400</v>
      </c>
      <c r="AN237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37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37" s="108" t="e">
        <f ca="1">VLOOKUP(Tableau118[[#This Row],[Key(POD -PFI- Usine)]],'DATA Consignee'!A:J,10,FALSE)</f>
        <v>#N/A</v>
      </c>
      <c r="AQ237" s="79" t="e">
        <f ca="1">VLOOKUP(Tableau118[[#This Row],[Key(POD -PFI- Usine)]],'DATA Consignee'!A:N,14,FALSE)</f>
        <v>#N/A</v>
      </c>
      <c r="AR237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7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7" s="79" t="e">
        <f ca="1">Tableau118[[#This Row],[Transit time]]+Tableau118[[#This Row],[Time for security]]+Tableau118[[#This Row],[Time for security2 buffer]]</f>
        <v>#N/A</v>
      </c>
      <c r="AU237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7" s="79" t="e">
        <f ca="1">Tableau118[[#This Row],[Leadtime SI2C]]+Tableau118[[#This Row],[First Receipt Days]]-Tableau118[[#This Row],[Day Customer Order]]+1</f>
        <v>#N/A</v>
      </c>
      <c r="AW237" s="118" t="e">
        <f ca="1">IF(Tableau118[[#This Row],[Name ILN]]&lt;&gt;"SFK Freight Forwarder",Tableau118[[#This Row],[Cust. Leadtime]],Tableau118[[#This Row],[Leadtime SI2C]])</f>
        <v>#N/A</v>
      </c>
      <c r="AX237" s="51" t="e">
        <f>VLOOKUP(Tableau118[[#This Row],[ID]],'DATA BTO'!B:P,15,FALSE)</f>
        <v>#N/A</v>
      </c>
      <c r="AY237" s="328" t="e">
        <f ca="1">IFERROR(VLOOKUP(Tableau118[[#This Row],[Key(ID-Actif)]],'DATA BTO'!A:N,4,FALSE),VLOOKUP(Tableau118[[#This Row],[ID]],'DATA BTO'!B:N,3,FALSE))</f>
        <v>#N/A</v>
      </c>
      <c r="AZ23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7" s="50"/>
    </row>
    <row r="238" spans="2:57">
      <c r="B238" s="65" t="str">
        <f>_xlfn.CONCAT(Tableau118[[#This Row],[Name ILN]],"-",Tableau118[[#This Row],[Name Shipper]],"-",Tableau118[[#This Row],[Name Site]])</f>
        <v>--</v>
      </c>
      <c r="C238" s="65" t="e">
        <f ca="1">_xlfn.CONCAT(Tableau118[[#This Row],[Compte ILN]],"-",Tableau118[[#This Row],[Compte Shipper]],"-",Tableau118[[#This Row],[POL]],"-",Tableau118[[#This Row],[Compte Site]])</f>
        <v>#N/A</v>
      </c>
      <c r="D238" s="80" t="e">
        <f ca="1">_xlfn.CONCAT(Tableau118[[#This Row],[Compte ILN]],"-",Tableau118[[#This Row],[Compte Shipper]],"-",Tableau118[[#This Row],[POL]])</f>
        <v>#N/A</v>
      </c>
      <c r="E238" s="81" t="e">
        <f ca="1">_xlfn.CONCAT(Tableau118[[#This Row],[POL]],"-",Tableau118[[#This Row],[Carrier]],"-",Tableau118[[#This Row],[POD]])</f>
        <v>#N/A</v>
      </c>
      <c r="F238" s="80" t="str">
        <f>_xlfn.CONCAT(Tableau118[[#This Row],[ID]],"-","Next")</f>
        <v>-Next</v>
      </c>
      <c r="G238" s="80" t="e">
        <f ca="1">_xlfn.CONCAT(Tableau118[[#This Row],[POD]],"-",Tableau118[[#This Row],[Code PFI]],"-",Tableau118[[#This Row],[Compte Site]])</f>
        <v>#N/A</v>
      </c>
      <c r="H238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8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8" s="401" t="str">
        <f ca="1">IF(COUNTIF(I:I,Tableau118[[#This Row],[Plant-ILN-shipper-POL-Carrier-POD-PFI]])=1,"Non","Oui")</f>
        <v>Oui</v>
      </c>
      <c r="K238" s="101" t="e">
        <f>VLOOKUP(Tableau118[[#This Row],[Name Site]],Plant_AILN!A:D,4,FALSE)</f>
        <v>#N/A</v>
      </c>
      <c r="L238" s="364"/>
      <c r="M238" s="480"/>
      <c r="N238" s="102"/>
      <c r="O238" s="114"/>
      <c r="P238" s="484"/>
      <c r="Q238" s="79"/>
      <c r="R238" s="79"/>
      <c r="S238" s="79"/>
      <c r="T238" s="79"/>
      <c r="U238" s="79"/>
      <c r="V238" s="79"/>
      <c r="W238" s="104"/>
      <c r="X238" s="283"/>
      <c r="Y238" s="487">
        <f>IFERROR(VLOOKUP(Tableau118[[#This Row],[Name Shipper]],Plant_AILN!L:M,2,FALSE),0)</f>
        <v>0</v>
      </c>
      <c r="Z238" s="358"/>
      <c r="AA238" s="354" t="e">
        <f ca="1">VLOOKUP(Tableau118[[#This Row],[Key(ID-Actif)]],'DATA BTO'!A:N,5,FALSE)</f>
        <v>#N/A</v>
      </c>
      <c r="AB238" s="106" t="e">
        <f ca="1">VLOOKUP(Tableau118[[#This Row],[Key(ID-Actif)]],'DATA BTO'!A:N,6,FALSE)</f>
        <v>#N/A</v>
      </c>
      <c r="AC238" s="79" t="e">
        <f ca="1">VLOOKUP(Tableau118[[#This Row],[Key(ID-Actif)]],'DATA BTO'!A:N,7,FALSE)</f>
        <v>#N/A</v>
      </c>
      <c r="AD238" s="79" t="e">
        <f ca="1">VLOOKUP(Tableau118[[#This Row],[Key(ID-Actif)]],'DATA BTO'!A:N,8,FALSE)</f>
        <v>#N/A</v>
      </c>
      <c r="AE238" s="79" t="e">
        <f ca="1">IF(Tableau118[[#This Row],[First Day to POL]]&lt;=Tableau118[[#This Row],[Day Cut Off]],Tableau118[[#This Row],[Day ETD]],Tableau118[[#This Row],[Day ETD]]+7)</f>
        <v>#N/A</v>
      </c>
      <c r="AF238" s="79" t="e">
        <f ca="1">VLOOKUP(Tableau118[[#This Row],[Key(ID-Actif)]],'DATA BTO'!A:N,9,FALSE)</f>
        <v>#N/A</v>
      </c>
      <c r="AG238" s="106" t="e">
        <f ca="1">VLOOKUP(Tableau118[[#This Row],[Key(ID-Actif)]],'DATA BTO'!A:N,10,FALSE)</f>
        <v>#N/A</v>
      </c>
      <c r="AH238" s="106" t="e">
        <f ca="1">VLOOKUP(Tableau118[[#This Row],[Key(ID-Actif)]],'DATA BTO'!A:N,11,FALSE)</f>
        <v>#N/A</v>
      </c>
      <c r="AI238" s="79" t="e">
        <f ca="1">VLOOKUP(Tableau118[[#This Row],[Key(ID-Actif)]],'DATA BTO'!A:N,12,FALSE)</f>
        <v>#N/A</v>
      </c>
      <c r="AJ238" s="104" t="e">
        <f ca="1">VLOOKUP(Tableau118[[#This Row],[Key(ID-Actif)]],'DATA BTO'!A:N,14,FALSE)</f>
        <v>#N/A</v>
      </c>
      <c r="AK238" s="105" t="e">
        <f ca="1">VLOOKUP(Tableau118[[#This Row],[Key(POD -PFI- Usine)]],'DATA Consignee'!A:F,6,FALSE)</f>
        <v>#N/A</v>
      </c>
      <c r="AL238" s="365" t="s">
        <v>161</v>
      </c>
      <c r="AM238" s="488">
        <f>IF(Tableau118[[#This Row],[Name PFI/CDD]]="","-",VLOOKUP(Tableau118[[#This Row],[Name PFI/CDD]],Plant_AILN!I:J,2,FALSE))</f>
        <v>91018400</v>
      </c>
      <c r="AN238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38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38" s="108" t="e">
        <f ca="1">VLOOKUP(Tableau118[[#This Row],[Key(POD -PFI- Usine)]],'DATA Consignee'!A:J,10,FALSE)</f>
        <v>#N/A</v>
      </c>
      <c r="AQ238" s="79" t="e">
        <f ca="1">VLOOKUP(Tableau118[[#This Row],[Key(POD -PFI- Usine)]],'DATA Consignee'!A:N,14,FALSE)</f>
        <v>#N/A</v>
      </c>
      <c r="AR238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8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8" s="79" t="e">
        <f ca="1">Tableau118[[#This Row],[Transit time]]+Tableau118[[#This Row],[Time for security]]+Tableau118[[#This Row],[Time for security2 buffer]]</f>
        <v>#N/A</v>
      </c>
      <c r="AU238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8" s="79" t="e">
        <f ca="1">Tableau118[[#This Row],[Leadtime SI2C]]+Tableau118[[#This Row],[First Receipt Days]]-Tableau118[[#This Row],[Day Customer Order]]+1</f>
        <v>#N/A</v>
      </c>
      <c r="AW238" s="118" t="e">
        <f ca="1">IF(Tableau118[[#This Row],[Name ILN]]&lt;&gt;"SFK Freight Forwarder",Tableau118[[#This Row],[Cust. Leadtime]],Tableau118[[#This Row],[Leadtime SI2C]])</f>
        <v>#N/A</v>
      </c>
      <c r="AX238" s="51" t="e">
        <f>VLOOKUP(Tableau118[[#This Row],[ID]],'DATA BTO'!B:P,15,FALSE)</f>
        <v>#N/A</v>
      </c>
      <c r="AY238" s="328" t="e">
        <f ca="1">IFERROR(VLOOKUP(Tableau118[[#This Row],[Key(ID-Actif)]],'DATA BTO'!A:N,4,FALSE),VLOOKUP(Tableau118[[#This Row],[ID]],'DATA BTO'!B:N,3,FALSE))</f>
        <v>#N/A</v>
      </c>
      <c r="AZ23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8" s="50"/>
    </row>
    <row r="239" spans="2:57">
      <c r="B239" s="65" t="str">
        <f>_xlfn.CONCAT(Tableau118[[#This Row],[Name ILN]],"-",Tableau118[[#This Row],[Name Shipper]],"-",Tableau118[[#This Row],[Name Site]])</f>
        <v>--</v>
      </c>
      <c r="C239" s="65" t="e">
        <f ca="1">_xlfn.CONCAT(Tableau118[[#This Row],[Compte ILN]],"-",Tableau118[[#This Row],[Compte Shipper]],"-",Tableau118[[#This Row],[POL]],"-",Tableau118[[#This Row],[Compte Site]])</f>
        <v>#N/A</v>
      </c>
      <c r="D239" s="80" t="e">
        <f ca="1">_xlfn.CONCAT(Tableau118[[#This Row],[Compte ILN]],"-",Tableau118[[#This Row],[Compte Shipper]],"-",Tableau118[[#This Row],[POL]])</f>
        <v>#N/A</v>
      </c>
      <c r="E239" s="81" t="e">
        <f ca="1">_xlfn.CONCAT(Tableau118[[#This Row],[POL]],"-",Tableau118[[#This Row],[Carrier]],"-",Tableau118[[#This Row],[POD]])</f>
        <v>#N/A</v>
      </c>
      <c r="F239" s="80" t="str">
        <f>_xlfn.CONCAT(Tableau118[[#This Row],[ID]],"-","Next")</f>
        <v>-Next</v>
      </c>
      <c r="G239" s="80" t="e">
        <f ca="1">_xlfn.CONCAT(Tableau118[[#This Row],[POD]],"-",Tableau118[[#This Row],[Code PFI]],"-",Tableau118[[#This Row],[Compte Site]])</f>
        <v>#N/A</v>
      </c>
      <c r="H239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39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39" s="401" t="str">
        <f ca="1">IF(COUNTIF(I:I,Tableau118[[#This Row],[Plant-ILN-shipper-POL-Carrier-POD-PFI]])=1,"Non","Oui")</f>
        <v>Oui</v>
      </c>
      <c r="K239" s="101" t="e">
        <f>VLOOKUP(Tableau118[[#This Row],[Name Site]],Plant_AILN!A:D,4,FALSE)</f>
        <v>#N/A</v>
      </c>
      <c r="L239" s="364"/>
      <c r="M239" s="480"/>
      <c r="N239" s="102"/>
      <c r="O239" s="114"/>
      <c r="P239" s="484"/>
      <c r="Q239" s="79"/>
      <c r="R239" s="79"/>
      <c r="S239" s="79"/>
      <c r="T239" s="79"/>
      <c r="U239" s="79"/>
      <c r="V239" s="79"/>
      <c r="W239" s="104"/>
      <c r="X239" s="283"/>
      <c r="Y239" s="487">
        <f>IFERROR(VLOOKUP(Tableau118[[#This Row],[Name Shipper]],Plant_AILN!L:M,2,FALSE),0)</f>
        <v>0</v>
      </c>
      <c r="Z239" s="358"/>
      <c r="AA239" s="354" t="e">
        <f ca="1">VLOOKUP(Tableau118[[#This Row],[Key(ID-Actif)]],'DATA BTO'!A:N,5,FALSE)</f>
        <v>#N/A</v>
      </c>
      <c r="AB239" s="106" t="e">
        <f ca="1">VLOOKUP(Tableau118[[#This Row],[Key(ID-Actif)]],'DATA BTO'!A:N,6,FALSE)</f>
        <v>#N/A</v>
      </c>
      <c r="AC239" s="79" t="e">
        <f ca="1">VLOOKUP(Tableau118[[#This Row],[Key(ID-Actif)]],'DATA BTO'!A:N,7,FALSE)</f>
        <v>#N/A</v>
      </c>
      <c r="AD239" s="79" t="e">
        <f ca="1">VLOOKUP(Tableau118[[#This Row],[Key(ID-Actif)]],'DATA BTO'!A:N,8,FALSE)</f>
        <v>#N/A</v>
      </c>
      <c r="AE239" s="79" t="e">
        <f ca="1">IF(Tableau118[[#This Row],[First Day to POL]]&lt;=Tableau118[[#This Row],[Day Cut Off]],Tableau118[[#This Row],[Day ETD]],Tableau118[[#This Row],[Day ETD]]+7)</f>
        <v>#N/A</v>
      </c>
      <c r="AF239" s="79" t="e">
        <f ca="1">VLOOKUP(Tableau118[[#This Row],[Key(ID-Actif)]],'DATA BTO'!A:N,9,FALSE)</f>
        <v>#N/A</v>
      </c>
      <c r="AG239" s="106" t="e">
        <f ca="1">VLOOKUP(Tableau118[[#This Row],[Key(ID-Actif)]],'DATA BTO'!A:N,10,FALSE)</f>
        <v>#N/A</v>
      </c>
      <c r="AH239" s="106" t="e">
        <f ca="1">VLOOKUP(Tableau118[[#This Row],[Key(ID-Actif)]],'DATA BTO'!A:N,11,FALSE)</f>
        <v>#N/A</v>
      </c>
      <c r="AI239" s="79" t="e">
        <f ca="1">VLOOKUP(Tableau118[[#This Row],[Key(ID-Actif)]],'DATA BTO'!A:N,12,FALSE)</f>
        <v>#N/A</v>
      </c>
      <c r="AJ239" s="104" t="e">
        <f ca="1">VLOOKUP(Tableau118[[#This Row],[Key(ID-Actif)]],'DATA BTO'!A:N,14,FALSE)</f>
        <v>#N/A</v>
      </c>
      <c r="AK239" s="105" t="e">
        <f ca="1">VLOOKUP(Tableau118[[#This Row],[Key(POD -PFI- Usine)]],'DATA Consignee'!A:F,6,FALSE)</f>
        <v>#N/A</v>
      </c>
      <c r="AL239" s="136"/>
      <c r="AM239" s="488" t="str">
        <f>IF(Tableau118[[#This Row],[Name PFI/CDD]]="","-",VLOOKUP(Tableau118[[#This Row],[Name PFI/CDD]],Plant_AILN!I:J,2,FALSE))</f>
        <v>-</v>
      </c>
      <c r="AN239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39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39" s="108" t="e">
        <f ca="1">VLOOKUP(Tableau118[[#This Row],[Key(POD -PFI- Usine)]],'DATA Consignee'!A:J,10,FALSE)</f>
        <v>#N/A</v>
      </c>
      <c r="AQ239" s="79" t="e">
        <f ca="1">VLOOKUP(Tableau118[[#This Row],[Key(POD -PFI- Usine)]],'DATA Consignee'!A:N,14,FALSE)</f>
        <v>#N/A</v>
      </c>
      <c r="AR239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39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39" s="79" t="e">
        <f ca="1">Tableau118[[#This Row],[Transit time]]+Tableau118[[#This Row],[Time for security]]+Tableau118[[#This Row],[Time for security2 buffer]]</f>
        <v>#N/A</v>
      </c>
      <c r="AU239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39" s="79" t="e">
        <f ca="1">Tableau118[[#This Row],[Leadtime SI2C]]+Tableau118[[#This Row],[First Receipt Days]]-Tableau118[[#This Row],[Day Customer Order]]+1</f>
        <v>#N/A</v>
      </c>
      <c r="AW239" s="118" t="e">
        <f ca="1">IF(Tableau118[[#This Row],[Name ILN]]&lt;&gt;"SFK Freight Forwarder",Tableau118[[#This Row],[Cust. Leadtime]],Tableau118[[#This Row],[Leadtime SI2C]])</f>
        <v>#N/A</v>
      </c>
      <c r="AX239" s="51" t="e">
        <f>VLOOKUP(Tableau118[[#This Row],[ID]],'DATA BTO'!B:P,15,FALSE)</f>
        <v>#N/A</v>
      </c>
      <c r="AY239" s="328" t="e">
        <f ca="1">IFERROR(VLOOKUP(Tableau118[[#This Row],[Key(ID-Actif)]],'DATA BTO'!A:N,4,FALSE),VLOOKUP(Tableau118[[#This Row],[ID]],'DATA BTO'!B:N,3,FALSE))</f>
        <v>#N/A</v>
      </c>
      <c r="AZ23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3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3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3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3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39" s="50"/>
    </row>
    <row r="240" spans="2:57">
      <c r="B240" s="65" t="str">
        <f>_xlfn.CONCAT(Tableau118[[#This Row],[Name ILN]],"-",Tableau118[[#This Row],[Name Shipper]],"-",Tableau118[[#This Row],[Name Site]])</f>
        <v>--</v>
      </c>
      <c r="C240" s="65" t="e">
        <f ca="1">_xlfn.CONCAT(Tableau118[[#This Row],[Compte ILN]],"-",Tableau118[[#This Row],[Compte Shipper]],"-",Tableau118[[#This Row],[POL]],"-",Tableau118[[#This Row],[Compte Site]])</f>
        <v>#N/A</v>
      </c>
      <c r="D240" s="80" t="e">
        <f ca="1">_xlfn.CONCAT(Tableau118[[#This Row],[Compte ILN]],"-",Tableau118[[#This Row],[Compte Shipper]],"-",Tableau118[[#This Row],[POL]])</f>
        <v>#N/A</v>
      </c>
      <c r="E240" s="81" t="e">
        <f ca="1">_xlfn.CONCAT(Tableau118[[#This Row],[POL]],"-",Tableau118[[#This Row],[Carrier]],"-",Tableau118[[#This Row],[POD]])</f>
        <v>#N/A</v>
      </c>
      <c r="F240" s="80" t="str">
        <f>_xlfn.CONCAT(Tableau118[[#This Row],[ID]],"-","Next")</f>
        <v>-Next</v>
      </c>
      <c r="G240" s="80" t="e">
        <f ca="1">_xlfn.CONCAT(Tableau118[[#This Row],[POD]],"-",Tableau118[[#This Row],[Code PFI]],"-",Tableau118[[#This Row],[Compte Site]])</f>
        <v>#N/A</v>
      </c>
      <c r="H24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0" s="118" t="str">
        <f ca="1">IF(COUNTIF(I:I,Tableau118[[#This Row],[Plant-ILN-shipper-POL-Carrier-POD-PFI]])=1,"Non","Oui")</f>
        <v>Oui</v>
      </c>
      <c r="K240" s="101" t="e">
        <f>VLOOKUP(Tableau118[[#This Row],[Name Site]],Plant_AILN!A:D,4,FALSE)</f>
        <v>#N/A</v>
      </c>
      <c r="L240" s="285"/>
      <c r="M240" s="480"/>
      <c r="N240" s="102"/>
      <c r="O240" s="122"/>
      <c r="P240" s="484"/>
      <c r="Q240" s="79"/>
      <c r="R240" s="79"/>
      <c r="S240" s="79"/>
      <c r="T240" s="79"/>
      <c r="U240" s="79"/>
      <c r="V240" s="79"/>
      <c r="W240" s="104"/>
      <c r="X240" s="283"/>
      <c r="Y240" s="487">
        <f>IFERROR(VLOOKUP(Tableau118[[#This Row],[Name Shipper]],Plant_AILN!L:M,2,FALSE),0)</f>
        <v>0</v>
      </c>
      <c r="Z240" s="358"/>
      <c r="AA240" s="354" t="e">
        <f ca="1">VLOOKUP(Tableau118[[#This Row],[Key(ID-Actif)]],'DATA BTO'!A:N,5,FALSE)</f>
        <v>#N/A</v>
      </c>
      <c r="AB240" s="106" t="e">
        <f ca="1">VLOOKUP(Tableau118[[#This Row],[Key(ID-Actif)]],'DATA BTO'!A:N,6,FALSE)</f>
        <v>#N/A</v>
      </c>
      <c r="AC240" s="79" t="e">
        <f ca="1">VLOOKUP(Tableau118[[#This Row],[Key(ID-Actif)]],'DATA BTO'!A:N,7,FALSE)</f>
        <v>#N/A</v>
      </c>
      <c r="AD240" s="79" t="e">
        <f ca="1">VLOOKUP(Tableau118[[#This Row],[Key(ID-Actif)]],'DATA BTO'!A:N,8,FALSE)</f>
        <v>#N/A</v>
      </c>
      <c r="AE240" s="79" t="e">
        <f ca="1">IF(Tableau118[[#This Row],[First Day to POL]]&lt;=Tableau118[[#This Row],[Day Cut Off]],Tableau118[[#This Row],[Day ETD]],Tableau118[[#This Row],[Day ETD]]+7)</f>
        <v>#N/A</v>
      </c>
      <c r="AF240" s="79" t="e">
        <f ca="1">VLOOKUP(Tableau118[[#This Row],[Key(ID-Actif)]],'DATA BTO'!A:N,9,FALSE)</f>
        <v>#N/A</v>
      </c>
      <c r="AG240" s="106" t="e">
        <f ca="1">VLOOKUP(Tableau118[[#This Row],[Key(ID-Actif)]],'DATA BTO'!A:N,10,FALSE)</f>
        <v>#N/A</v>
      </c>
      <c r="AH240" s="106" t="e">
        <f ca="1">VLOOKUP(Tableau118[[#This Row],[Key(ID-Actif)]],'DATA BTO'!A:N,11,FALSE)</f>
        <v>#N/A</v>
      </c>
      <c r="AI240" s="79" t="e">
        <f ca="1">VLOOKUP(Tableau118[[#This Row],[Key(ID-Actif)]],'DATA BTO'!A:N,12,FALSE)</f>
        <v>#N/A</v>
      </c>
      <c r="AJ240" s="104" t="e">
        <f ca="1">VLOOKUP(Tableau118[[#This Row],[Key(ID-Actif)]],'DATA BTO'!A:N,14,FALSE)</f>
        <v>#N/A</v>
      </c>
      <c r="AK240" s="105" t="e">
        <f ca="1">VLOOKUP(Tableau118[[#This Row],[Key(POD -PFI- Usine)]],'DATA Consignee'!A:F,6,FALSE)</f>
        <v>#N/A</v>
      </c>
      <c r="AL240" s="136"/>
      <c r="AM240" s="486" t="str">
        <f>IF(Tableau118[[#This Row],[Name PFI/CDD]]="","-",VLOOKUP(Tableau118[[#This Row],[Name PFI/CDD]],Plant_AILN!I:J,2,FALSE))</f>
        <v>-</v>
      </c>
      <c r="AN24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0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0" s="108" t="e">
        <f ca="1">VLOOKUP(Tableau118[[#This Row],[Key(POD -PFI- Usine)]],'DATA Consignee'!A:J,10,FALSE)</f>
        <v>#N/A</v>
      </c>
      <c r="AQ240" s="79" t="e">
        <f ca="1">VLOOKUP(Tableau118[[#This Row],[Key(POD -PFI- Usine)]],'DATA Consignee'!A:N,14,FALSE)</f>
        <v>#N/A</v>
      </c>
      <c r="AR24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0" s="79" t="e">
        <f ca="1">Tableau118[[#This Row],[Transit time]]+Tableau118[[#This Row],[Time for security]]+Tableau118[[#This Row],[Time for security2 buffer]]</f>
        <v>#N/A</v>
      </c>
      <c r="AU24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0" s="79" t="e">
        <f ca="1">Tableau118[[#This Row],[Leadtime SI2C]]+Tableau118[[#This Row],[First Receipt Days]]-Tableau118[[#This Row],[Day Customer Order]]+1</f>
        <v>#N/A</v>
      </c>
      <c r="AW240" s="118" t="e">
        <f ca="1">IF(Tableau118[[#This Row],[Name ILN]]&lt;&gt;"SFK Freight Forwarder",Tableau118[[#This Row],[Cust. Leadtime]],Tableau118[[#This Row],[Leadtime SI2C]])</f>
        <v>#N/A</v>
      </c>
      <c r="AX240" s="51" t="e">
        <f>VLOOKUP(Tableau118[[#This Row],[ID]],'DATA BTO'!B:P,15,FALSE)</f>
        <v>#N/A</v>
      </c>
      <c r="AY240" s="328" t="e">
        <f ca="1">IFERROR(VLOOKUP(Tableau118[[#This Row],[Key(ID-Actif)]],'DATA BTO'!A:N,4,FALSE),VLOOKUP(Tableau118[[#This Row],[ID]],'DATA BTO'!B:N,3,FALSE))</f>
        <v>#N/A</v>
      </c>
      <c r="AZ24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0" s="50"/>
    </row>
    <row r="241" spans="2:57">
      <c r="B241" s="65" t="str">
        <f>_xlfn.CONCAT(Tableau118[[#This Row],[Name ILN]],"-",Tableau118[[#This Row],[Name Shipper]],"-",Tableau118[[#This Row],[Name Site]])</f>
        <v>--</v>
      </c>
      <c r="C241" s="65" t="e">
        <f ca="1">_xlfn.CONCAT(Tableau118[[#This Row],[Compte ILN]],"-",Tableau118[[#This Row],[Compte Shipper]],"-",Tableau118[[#This Row],[POL]],"-",Tableau118[[#This Row],[Compte Site]])</f>
        <v>#N/A</v>
      </c>
      <c r="D241" s="80" t="e">
        <f ca="1">_xlfn.CONCAT(Tableau118[[#This Row],[Compte ILN]],"-",Tableau118[[#This Row],[Compte Shipper]],"-",Tableau118[[#This Row],[POL]])</f>
        <v>#N/A</v>
      </c>
      <c r="E241" s="81" t="e">
        <f ca="1">_xlfn.CONCAT(Tableau118[[#This Row],[POL]],"-",Tableau118[[#This Row],[Carrier]],"-",Tableau118[[#This Row],[POD]])</f>
        <v>#N/A</v>
      </c>
      <c r="F241" s="80" t="str">
        <f>_xlfn.CONCAT(Tableau118[[#This Row],[ID]],"-","Next")</f>
        <v>-Next</v>
      </c>
      <c r="G241" s="80" t="e">
        <f ca="1">_xlfn.CONCAT(Tableau118[[#This Row],[POD]],"-",Tableau118[[#This Row],[Code PFI]],"-",Tableau118[[#This Row],[Compte Site]])</f>
        <v>#N/A</v>
      </c>
      <c r="H241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1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1" s="118" t="str">
        <f ca="1">IF(COUNTIF(I:I,Tableau118[[#This Row],[Plant-ILN-shipper-POL-Carrier-POD-PFI]])=1,"Non","Oui")</f>
        <v>Oui</v>
      </c>
      <c r="K241" s="101" t="e">
        <f>VLOOKUP(Tableau118[[#This Row],[Name Site]],Plant_AILN!A:D,4,FALSE)</f>
        <v>#N/A</v>
      </c>
      <c r="L241" s="10"/>
      <c r="M241" s="480"/>
      <c r="N241" s="102"/>
      <c r="O241" s="122"/>
      <c r="P241" s="484"/>
      <c r="Q241" s="79"/>
      <c r="R241" s="79"/>
      <c r="S241" s="79"/>
      <c r="T241" s="79"/>
      <c r="U241" s="79"/>
      <c r="V241" s="79"/>
      <c r="W241" s="104"/>
      <c r="X241" s="283"/>
      <c r="Y241" s="487">
        <f>IFERROR(VLOOKUP(Tableau118[[#This Row],[Name Shipper]],Plant_AILN!L:M,2,FALSE),0)</f>
        <v>0</v>
      </c>
      <c r="Z241" s="358"/>
      <c r="AA241" s="354" t="e">
        <f ca="1">VLOOKUP(Tableau118[[#This Row],[Key(ID-Actif)]],'DATA BTO'!A:N,5,FALSE)</f>
        <v>#N/A</v>
      </c>
      <c r="AB241" s="106" t="e">
        <f ca="1">VLOOKUP(Tableau118[[#This Row],[Key(ID-Actif)]],'DATA BTO'!A:N,6,FALSE)</f>
        <v>#N/A</v>
      </c>
      <c r="AC241" s="79" t="e">
        <f ca="1">VLOOKUP(Tableau118[[#This Row],[Key(ID-Actif)]],'DATA BTO'!A:N,7,FALSE)</f>
        <v>#N/A</v>
      </c>
      <c r="AD241" s="79" t="e">
        <f ca="1">VLOOKUP(Tableau118[[#This Row],[Key(ID-Actif)]],'DATA BTO'!A:N,8,FALSE)</f>
        <v>#N/A</v>
      </c>
      <c r="AE241" s="79" t="e">
        <f ca="1">IF(Tableau118[[#This Row],[First Day to POL]]&lt;=Tableau118[[#This Row],[Day Cut Off]],Tableau118[[#This Row],[Day ETD]],Tableau118[[#This Row],[Day ETD]]+7)</f>
        <v>#N/A</v>
      </c>
      <c r="AF241" s="79" t="e">
        <f ca="1">VLOOKUP(Tableau118[[#This Row],[Key(ID-Actif)]],'DATA BTO'!A:N,9,FALSE)</f>
        <v>#N/A</v>
      </c>
      <c r="AG241" s="106" t="e">
        <f ca="1">VLOOKUP(Tableau118[[#This Row],[Key(ID-Actif)]],'DATA BTO'!A:N,10,FALSE)</f>
        <v>#N/A</v>
      </c>
      <c r="AH241" s="106" t="e">
        <f ca="1">VLOOKUP(Tableau118[[#This Row],[Key(ID-Actif)]],'DATA BTO'!A:N,11,FALSE)</f>
        <v>#N/A</v>
      </c>
      <c r="AI241" s="79" t="e">
        <f ca="1">VLOOKUP(Tableau118[[#This Row],[Key(ID-Actif)]],'DATA BTO'!A:N,12,FALSE)</f>
        <v>#N/A</v>
      </c>
      <c r="AJ241" s="104" t="e">
        <f ca="1">VLOOKUP(Tableau118[[#This Row],[Key(ID-Actif)]],'DATA BTO'!A:N,14,FALSE)</f>
        <v>#N/A</v>
      </c>
      <c r="AK241" s="105" t="e">
        <f ca="1">VLOOKUP(Tableau118[[#This Row],[Key(POD -PFI- Usine)]],'DATA Consignee'!A:F,6,FALSE)</f>
        <v>#N/A</v>
      </c>
      <c r="AL241" s="136"/>
      <c r="AM241" s="486" t="str">
        <f>IF(Tableau118[[#This Row],[Name PFI/CDD]]="","-",VLOOKUP(Tableau118[[#This Row],[Name PFI/CDD]],Plant_AILN!I:J,2,FALSE))</f>
        <v>-</v>
      </c>
      <c r="AN241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1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1" s="108" t="e">
        <f ca="1">VLOOKUP(Tableau118[[#This Row],[Key(POD -PFI- Usine)]],'DATA Consignee'!A:J,10,FALSE)</f>
        <v>#N/A</v>
      </c>
      <c r="AQ241" s="79" t="e">
        <f ca="1">VLOOKUP(Tableau118[[#This Row],[Key(POD -PFI- Usine)]],'DATA Consignee'!A:N,14,FALSE)</f>
        <v>#N/A</v>
      </c>
      <c r="AR241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1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1" s="79" t="e">
        <f ca="1">Tableau118[[#This Row],[Transit time]]+Tableau118[[#This Row],[Time for security]]+Tableau118[[#This Row],[Time for security2 buffer]]</f>
        <v>#N/A</v>
      </c>
      <c r="AU241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1" s="79" t="e">
        <f ca="1">Tableau118[[#This Row],[Leadtime SI2C]]+Tableau118[[#This Row],[First Receipt Days]]-Tableau118[[#This Row],[Day Customer Order]]+1</f>
        <v>#N/A</v>
      </c>
      <c r="AW241" s="118" t="e">
        <f ca="1">IF(Tableau118[[#This Row],[Name ILN]]&lt;&gt;"SFK Freight Forwarder",Tableau118[[#This Row],[Cust. Leadtime]],Tableau118[[#This Row],[Leadtime SI2C]])</f>
        <v>#N/A</v>
      </c>
      <c r="AX241" s="51" t="e">
        <f>VLOOKUP(Tableau118[[#This Row],[ID]],'DATA BTO'!B:P,15,FALSE)</f>
        <v>#N/A</v>
      </c>
      <c r="AY241" s="328" t="e">
        <f ca="1">IFERROR(VLOOKUP(Tableau118[[#This Row],[Key(ID-Actif)]],'DATA BTO'!A:N,4,FALSE),VLOOKUP(Tableau118[[#This Row],[ID]],'DATA BTO'!B:N,3,FALSE))</f>
        <v>#N/A</v>
      </c>
      <c r="AZ24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1" s="50"/>
    </row>
    <row r="242" spans="2:57">
      <c r="B242" s="65" t="str">
        <f>_xlfn.CONCAT(Tableau118[[#This Row],[Name ILN]],"-",Tableau118[[#This Row],[Name Shipper]],"-",Tableau118[[#This Row],[Name Site]])</f>
        <v>--</v>
      </c>
      <c r="C242" s="65" t="e">
        <f ca="1">_xlfn.CONCAT(Tableau118[[#This Row],[Compte ILN]],"-",Tableau118[[#This Row],[Compte Shipper]],"-",Tableau118[[#This Row],[POL]],"-",Tableau118[[#This Row],[Compte Site]])</f>
        <v>#N/A</v>
      </c>
      <c r="D242" s="80" t="e">
        <f ca="1">_xlfn.CONCAT(Tableau118[[#This Row],[Compte ILN]],"-",Tableau118[[#This Row],[Compte Shipper]],"-",Tableau118[[#This Row],[POL]])</f>
        <v>#N/A</v>
      </c>
      <c r="E242" s="81" t="e">
        <f ca="1">_xlfn.CONCAT(Tableau118[[#This Row],[POL]],"-",Tableau118[[#This Row],[Carrier]],"-",Tableau118[[#This Row],[POD]])</f>
        <v>#N/A</v>
      </c>
      <c r="F242" s="80" t="str">
        <f>_xlfn.CONCAT(Tableau118[[#This Row],[ID]],"-","Next")</f>
        <v>-Next</v>
      </c>
      <c r="G242" s="80" t="e">
        <f ca="1">_xlfn.CONCAT(Tableau118[[#This Row],[POD]],"-",Tableau118[[#This Row],[Code PFI]],"-",Tableau118[[#This Row],[Compte Site]])</f>
        <v>#N/A</v>
      </c>
      <c r="H24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2" s="118" t="str">
        <f ca="1">IF(COUNTIF(I:I,Tableau118[[#This Row],[Plant-ILN-shipper-POL-Carrier-POD-PFI]])=1,"Non","Oui")</f>
        <v>Oui</v>
      </c>
      <c r="K242" s="101" t="e">
        <f>VLOOKUP(Tableau118[[#This Row],[Name Site]],Plant_AILN!A:D,4,FALSE)</f>
        <v>#N/A</v>
      </c>
      <c r="L242" s="285"/>
      <c r="M242" s="480"/>
      <c r="N242" s="102"/>
      <c r="O242" s="114"/>
      <c r="P242" s="484"/>
      <c r="Q242" s="79"/>
      <c r="R242" s="79"/>
      <c r="S242" s="79"/>
      <c r="T242" s="79"/>
      <c r="U242" s="79"/>
      <c r="V242" s="79"/>
      <c r="W242" s="104"/>
      <c r="X242" s="283"/>
      <c r="Y242" s="487">
        <f>IFERROR(VLOOKUP(Tableau118[[#This Row],[Name Shipper]],Plant_AILN!L:M,2,FALSE),0)</f>
        <v>0</v>
      </c>
      <c r="Z242" s="358"/>
      <c r="AA242" s="354" t="e">
        <f ca="1">VLOOKUP(Tableau118[[#This Row],[Key(ID-Actif)]],'DATA BTO'!A:N,5,FALSE)</f>
        <v>#N/A</v>
      </c>
      <c r="AB242" s="106" t="e">
        <f ca="1">VLOOKUP(Tableau118[[#This Row],[Key(ID-Actif)]],'DATA BTO'!A:N,6,FALSE)</f>
        <v>#N/A</v>
      </c>
      <c r="AC242" s="79" t="e">
        <f ca="1">VLOOKUP(Tableau118[[#This Row],[Key(ID-Actif)]],'DATA BTO'!A:N,7,FALSE)</f>
        <v>#N/A</v>
      </c>
      <c r="AD242" s="79" t="e">
        <f ca="1">VLOOKUP(Tableau118[[#This Row],[Key(ID-Actif)]],'DATA BTO'!A:N,8,FALSE)</f>
        <v>#N/A</v>
      </c>
      <c r="AE242" s="79" t="e">
        <f ca="1">IF(Tableau118[[#This Row],[First Day to POL]]&lt;=Tableau118[[#This Row],[Day Cut Off]],Tableau118[[#This Row],[Day ETD]],Tableau118[[#This Row],[Day ETD]]+7)</f>
        <v>#N/A</v>
      </c>
      <c r="AF242" s="79" t="e">
        <f ca="1">VLOOKUP(Tableau118[[#This Row],[Key(ID-Actif)]],'DATA BTO'!A:N,9,FALSE)</f>
        <v>#N/A</v>
      </c>
      <c r="AG242" s="106" t="e">
        <f ca="1">VLOOKUP(Tableau118[[#This Row],[Key(ID-Actif)]],'DATA BTO'!A:N,10,FALSE)</f>
        <v>#N/A</v>
      </c>
      <c r="AH242" s="106" t="e">
        <f ca="1">VLOOKUP(Tableau118[[#This Row],[Key(ID-Actif)]],'DATA BTO'!A:N,11,FALSE)</f>
        <v>#N/A</v>
      </c>
      <c r="AI242" s="79" t="e">
        <f ca="1">VLOOKUP(Tableau118[[#This Row],[Key(ID-Actif)]],'DATA BTO'!A:N,12,FALSE)</f>
        <v>#N/A</v>
      </c>
      <c r="AJ242" s="104" t="e">
        <f ca="1">VLOOKUP(Tableau118[[#This Row],[Key(ID-Actif)]],'DATA BTO'!A:N,14,FALSE)</f>
        <v>#N/A</v>
      </c>
      <c r="AK242" s="105" t="e">
        <f ca="1">VLOOKUP(Tableau118[[#This Row],[Key(POD -PFI- Usine)]],'DATA Consignee'!A:F,6,FALSE)</f>
        <v>#N/A</v>
      </c>
      <c r="AL242" s="136"/>
      <c r="AM242" s="486" t="str">
        <f>IF(Tableau118[[#This Row],[Name PFI/CDD]]="","-",VLOOKUP(Tableau118[[#This Row],[Name PFI/CDD]],Plant_AILN!I:J,2,FALSE))</f>
        <v>-</v>
      </c>
      <c r="AN24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2" s="108" t="e">
        <f ca="1">VLOOKUP(Tableau118[[#This Row],[Key(POD -PFI- Usine)]],'DATA Consignee'!A:J,10,FALSE)</f>
        <v>#N/A</v>
      </c>
      <c r="AQ242" s="79" t="e">
        <f ca="1">VLOOKUP(Tableau118[[#This Row],[Key(POD -PFI- Usine)]],'DATA Consignee'!A:N,14,FALSE)</f>
        <v>#N/A</v>
      </c>
      <c r="AR24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2" s="79" t="e">
        <f ca="1">Tableau118[[#This Row],[Transit time]]+Tableau118[[#This Row],[Time for security]]+Tableau118[[#This Row],[Time for security2 buffer]]</f>
        <v>#N/A</v>
      </c>
      <c r="AU24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2" s="79" t="e">
        <f ca="1">Tableau118[[#This Row],[Leadtime SI2C]]+Tableau118[[#This Row],[First Receipt Days]]-Tableau118[[#This Row],[Day Customer Order]]+1</f>
        <v>#N/A</v>
      </c>
      <c r="AW242" s="118" t="e">
        <f ca="1">IF(Tableau118[[#This Row],[Name ILN]]&lt;&gt;"SFK Freight Forwarder",Tableau118[[#This Row],[Cust. Leadtime]],Tableau118[[#This Row],[Leadtime SI2C]])</f>
        <v>#N/A</v>
      </c>
      <c r="AX242" s="51" t="e">
        <f>VLOOKUP(Tableau118[[#This Row],[ID]],'DATA BTO'!B:P,15,FALSE)</f>
        <v>#N/A</v>
      </c>
      <c r="AY242" s="328" t="e">
        <f ca="1">IFERROR(VLOOKUP(Tableau118[[#This Row],[Key(ID-Actif)]],'DATA BTO'!A:N,4,FALSE),VLOOKUP(Tableau118[[#This Row],[ID]],'DATA BTO'!B:N,3,FALSE))</f>
        <v>#N/A</v>
      </c>
      <c r="AZ24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2" s="50"/>
    </row>
    <row r="243" spans="2:57">
      <c r="B243" s="65" t="str">
        <f>_xlfn.CONCAT(Tableau118[[#This Row],[Name ILN]],"-",Tableau118[[#This Row],[Name Shipper]],"-",Tableau118[[#This Row],[Name Site]])</f>
        <v>--</v>
      </c>
      <c r="C243" s="65" t="e">
        <f ca="1">_xlfn.CONCAT(Tableau118[[#This Row],[Compte ILN]],"-",Tableau118[[#This Row],[Compte Shipper]],"-",Tableau118[[#This Row],[POL]],"-",Tableau118[[#This Row],[Compte Site]])</f>
        <v>#N/A</v>
      </c>
      <c r="D243" s="80" t="e">
        <f ca="1">_xlfn.CONCAT(Tableau118[[#This Row],[Compte ILN]],"-",Tableau118[[#This Row],[Compte Shipper]],"-",Tableau118[[#This Row],[POL]])</f>
        <v>#N/A</v>
      </c>
      <c r="E243" s="81" t="e">
        <f ca="1">_xlfn.CONCAT(Tableau118[[#This Row],[POL]],"-",Tableau118[[#This Row],[Carrier]],"-",Tableau118[[#This Row],[POD]])</f>
        <v>#N/A</v>
      </c>
      <c r="F243" s="80" t="str">
        <f>_xlfn.CONCAT(Tableau118[[#This Row],[ID]],"-","Next")</f>
        <v>-Next</v>
      </c>
      <c r="G243" s="80" t="e">
        <f ca="1">_xlfn.CONCAT(Tableau118[[#This Row],[POD]],"-",Tableau118[[#This Row],[Code PFI]],"-",Tableau118[[#This Row],[Compte Site]])</f>
        <v>#N/A</v>
      </c>
      <c r="H24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3" s="118" t="str">
        <f ca="1">IF(COUNTIF(I:I,Tableau118[[#This Row],[Plant-ILN-shipper-POL-Carrier-POD-PFI]])=1,"Non","Oui")</f>
        <v>Oui</v>
      </c>
      <c r="K243" s="101" t="e">
        <f>VLOOKUP(Tableau118[[#This Row],[Name Site]],Plant_AILN!A:D,4,FALSE)</f>
        <v>#N/A</v>
      </c>
      <c r="L243" s="366"/>
      <c r="M243" s="480"/>
      <c r="N243" s="102"/>
      <c r="O243" s="284"/>
      <c r="P243" s="484"/>
      <c r="Q243" s="79"/>
      <c r="R243" s="79"/>
      <c r="S243" s="79"/>
      <c r="T243" s="79"/>
      <c r="U243" s="79"/>
      <c r="V243" s="79"/>
      <c r="W243" s="104"/>
      <c r="X243" s="283"/>
      <c r="Y243" s="487">
        <f>IFERROR(VLOOKUP(Tableau118[[#This Row],[Name Shipper]],Plant_AILN!L:M,2,FALSE),0)</f>
        <v>0</v>
      </c>
      <c r="Z243" s="367"/>
      <c r="AA243" s="354" t="e">
        <f ca="1">VLOOKUP(Tableau118[[#This Row],[Key(ID-Actif)]],'DATA BTO'!A:N,5,FALSE)</f>
        <v>#N/A</v>
      </c>
      <c r="AB243" s="106" t="e">
        <f ca="1">VLOOKUP(Tableau118[[#This Row],[Key(ID-Actif)]],'DATA BTO'!A:N,6,FALSE)</f>
        <v>#N/A</v>
      </c>
      <c r="AC243" s="79" t="e">
        <f ca="1">VLOOKUP(Tableau118[[#This Row],[Key(ID-Actif)]],'DATA BTO'!A:N,7,FALSE)</f>
        <v>#N/A</v>
      </c>
      <c r="AD243" s="79" t="e">
        <f ca="1">VLOOKUP(Tableau118[[#This Row],[Key(ID-Actif)]],'DATA BTO'!A:N,8,FALSE)</f>
        <v>#N/A</v>
      </c>
      <c r="AE243" s="79" t="e">
        <f ca="1">IF(Tableau118[[#This Row],[First Day to POL]]&lt;=Tableau118[[#This Row],[Day Cut Off]],Tableau118[[#This Row],[Day ETD]],Tableau118[[#This Row],[Day ETD]]+7)</f>
        <v>#N/A</v>
      </c>
      <c r="AF243" s="79" t="e">
        <f ca="1">VLOOKUP(Tableau118[[#This Row],[Key(ID-Actif)]],'DATA BTO'!A:N,9,FALSE)</f>
        <v>#N/A</v>
      </c>
      <c r="AG243" s="106" t="e">
        <f ca="1">VLOOKUP(Tableau118[[#This Row],[Key(ID-Actif)]],'DATA BTO'!A:N,10,FALSE)</f>
        <v>#N/A</v>
      </c>
      <c r="AH243" s="106" t="e">
        <f ca="1">VLOOKUP(Tableau118[[#This Row],[Key(ID-Actif)]],'DATA BTO'!A:N,11,FALSE)</f>
        <v>#N/A</v>
      </c>
      <c r="AI243" s="79" t="e">
        <f ca="1">VLOOKUP(Tableau118[[#This Row],[Key(ID-Actif)]],'DATA BTO'!A:N,12,FALSE)</f>
        <v>#N/A</v>
      </c>
      <c r="AJ243" s="104" t="e">
        <f ca="1">VLOOKUP(Tableau118[[#This Row],[Key(ID-Actif)]],'DATA BTO'!A:N,14,FALSE)</f>
        <v>#N/A</v>
      </c>
      <c r="AK243" s="105" t="e">
        <f ca="1">VLOOKUP(Tableau118[[#This Row],[Key(POD -PFI- Usine)]],'DATA Consignee'!A:F,6,FALSE)</f>
        <v>#N/A</v>
      </c>
      <c r="AL243" s="136" t="s">
        <v>161</v>
      </c>
      <c r="AM243" s="486">
        <f>IF(Tableau118[[#This Row],[Name PFI/CDD]]="","-",VLOOKUP(Tableau118[[#This Row],[Name PFI/CDD]],Plant_AILN!I:J,2,FALSE))</f>
        <v>91018400</v>
      </c>
      <c r="AN243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43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43" s="108" t="e">
        <f ca="1">VLOOKUP(Tableau118[[#This Row],[Key(POD -PFI- Usine)]],'DATA Consignee'!A:J,10,FALSE)</f>
        <v>#N/A</v>
      </c>
      <c r="AQ243" s="79" t="e">
        <f ca="1">VLOOKUP(Tableau118[[#This Row],[Key(POD -PFI- Usine)]],'DATA Consignee'!A:N,14,FALSE)</f>
        <v>#N/A</v>
      </c>
      <c r="AR24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3" s="79" t="e">
        <f ca="1">Tableau118[[#This Row],[Transit time]]+Tableau118[[#This Row],[Time for security]]+Tableau118[[#This Row],[Time for security2 buffer]]</f>
        <v>#N/A</v>
      </c>
      <c r="AU24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3" s="79" t="e">
        <f ca="1">Tableau118[[#This Row],[Leadtime SI2C]]+Tableau118[[#This Row],[First Receipt Days]]-Tableau118[[#This Row],[Day Customer Order]]+1</f>
        <v>#N/A</v>
      </c>
      <c r="AW243" s="118" t="e">
        <f ca="1">IF(Tableau118[[#This Row],[Name ILN]]&lt;&gt;"SFK Freight Forwarder",Tableau118[[#This Row],[Cust. Leadtime]],Tableau118[[#This Row],[Leadtime SI2C]])</f>
        <v>#N/A</v>
      </c>
      <c r="AX243" s="51" t="e">
        <f>VLOOKUP(Tableau118[[#This Row],[ID]],'DATA BTO'!B:P,15,FALSE)</f>
        <v>#N/A</v>
      </c>
      <c r="AY243" s="328" t="e">
        <f ca="1">IFERROR(VLOOKUP(Tableau118[[#This Row],[Key(ID-Actif)]],'DATA BTO'!A:N,4,FALSE),VLOOKUP(Tableau118[[#This Row],[ID]],'DATA BTO'!B:N,3,FALSE))</f>
        <v>#N/A</v>
      </c>
      <c r="AZ24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3" s="50"/>
    </row>
    <row r="244" spans="2:57">
      <c r="B244" s="65" t="str">
        <f>_xlfn.CONCAT(Tableau118[[#This Row],[Name ILN]],"-",Tableau118[[#This Row],[Name Shipper]],"-",Tableau118[[#This Row],[Name Site]])</f>
        <v>--</v>
      </c>
      <c r="C244" s="65" t="e">
        <f ca="1">_xlfn.CONCAT(Tableau118[[#This Row],[Compte ILN]],"-",Tableau118[[#This Row],[Compte Shipper]],"-",Tableau118[[#This Row],[POL]],"-",Tableau118[[#This Row],[Compte Site]])</f>
        <v>#N/A</v>
      </c>
      <c r="D244" s="80" t="e">
        <f ca="1">_xlfn.CONCAT(Tableau118[[#This Row],[Compte ILN]],"-",Tableau118[[#This Row],[Compte Shipper]],"-",Tableau118[[#This Row],[POL]])</f>
        <v>#N/A</v>
      </c>
      <c r="E244" s="81" t="e">
        <f ca="1">_xlfn.CONCAT(Tableau118[[#This Row],[POL]],"-",Tableau118[[#This Row],[Carrier]],"-",Tableau118[[#This Row],[POD]])</f>
        <v>#N/A</v>
      </c>
      <c r="F244" s="80" t="str">
        <f>_xlfn.CONCAT(Tableau118[[#This Row],[ID]],"-","Next")</f>
        <v>-Next</v>
      </c>
      <c r="G244" s="80" t="e">
        <f ca="1">_xlfn.CONCAT(Tableau118[[#This Row],[POD]],"-",Tableau118[[#This Row],[Code PFI]],"-",Tableau118[[#This Row],[Compte Site]])</f>
        <v>#N/A</v>
      </c>
      <c r="H244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4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4" s="118" t="str">
        <f ca="1">IF(COUNTIF(I:I,Tableau118[[#This Row],[Plant-ILN-shipper-POL-Carrier-POD-PFI]])=1,"Non","Oui")</f>
        <v>Oui</v>
      </c>
      <c r="K244" s="101" t="e">
        <f>VLOOKUP(Tableau118[[#This Row],[Name Site]],Plant_AILN!A:D,4,FALSE)</f>
        <v>#N/A</v>
      </c>
      <c r="L244" s="364"/>
      <c r="M244" s="480"/>
      <c r="N244" s="102"/>
      <c r="O244" s="284"/>
      <c r="P244" s="484"/>
      <c r="Q244" s="79"/>
      <c r="R244" s="79"/>
      <c r="S244" s="79"/>
      <c r="T244" s="79"/>
      <c r="U244" s="79"/>
      <c r="V244" s="79"/>
      <c r="W244" s="104"/>
      <c r="X244" s="283"/>
      <c r="Y244" s="487">
        <f>IFERROR(VLOOKUP(Tableau118[[#This Row],[Name Shipper]],Plant_AILN!L:M,2,FALSE),0)</f>
        <v>0</v>
      </c>
      <c r="Z244" s="367"/>
      <c r="AA244" s="354" t="e">
        <f ca="1">VLOOKUP(Tableau118[[#This Row],[Key(ID-Actif)]],'DATA BTO'!A:N,5,FALSE)</f>
        <v>#N/A</v>
      </c>
      <c r="AB244" s="106" t="e">
        <f ca="1">VLOOKUP(Tableau118[[#This Row],[Key(ID-Actif)]],'DATA BTO'!A:N,6,FALSE)</f>
        <v>#N/A</v>
      </c>
      <c r="AC244" s="79" t="e">
        <f ca="1">VLOOKUP(Tableau118[[#This Row],[Key(ID-Actif)]],'DATA BTO'!A:N,7,FALSE)</f>
        <v>#N/A</v>
      </c>
      <c r="AD244" s="79" t="e">
        <f ca="1">VLOOKUP(Tableau118[[#This Row],[Key(ID-Actif)]],'DATA BTO'!A:N,8,FALSE)</f>
        <v>#N/A</v>
      </c>
      <c r="AE244" s="79" t="e">
        <f ca="1">IF(Tableau118[[#This Row],[First Day to POL]]&lt;=Tableau118[[#This Row],[Day Cut Off]],Tableau118[[#This Row],[Day ETD]],Tableau118[[#This Row],[Day ETD]]+7)</f>
        <v>#N/A</v>
      </c>
      <c r="AF244" s="79" t="e">
        <f ca="1">VLOOKUP(Tableau118[[#This Row],[Key(ID-Actif)]],'DATA BTO'!A:N,9,FALSE)</f>
        <v>#N/A</v>
      </c>
      <c r="AG244" s="106" t="e">
        <f ca="1">VLOOKUP(Tableau118[[#This Row],[Key(ID-Actif)]],'DATA BTO'!A:N,10,FALSE)</f>
        <v>#N/A</v>
      </c>
      <c r="AH244" s="106" t="e">
        <f ca="1">VLOOKUP(Tableau118[[#This Row],[Key(ID-Actif)]],'DATA BTO'!A:N,11,FALSE)</f>
        <v>#N/A</v>
      </c>
      <c r="AI244" s="79" t="e">
        <f ca="1">VLOOKUP(Tableau118[[#This Row],[Key(ID-Actif)]],'DATA BTO'!A:N,12,FALSE)</f>
        <v>#N/A</v>
      </c>
      <c r="AJ244" s="104" t="e">
        <f ca="1">VLOOKUP(Tableau118[[#This Row],[Key(ID-Actif)]],'DATA BTO'!A:N,14,FALSE)</f>
        <v>#N/A</v>
      </c>
      <c r="AK244" s="105" t="e">
        <f ca="1">VLOOKUP(Tableau118[[#This Row],[Key(POD -PFI- Usine)]],'DATA Consignee'!A:F,6,FALSE)</f>
        <v>#N/A</v>
      </c>
      <c r="AL244" s="136"/>
      <c r="AM244" s="486" t="str">
        <f>IF(Tableau118[[#This Row],[Name PFI/CDD]]="","-",VLOOKUP(Tableau118[[#This Row],[Name PFI/CDD]],Plant_AILN!I:J,2,FALSE))</f>
        <v>-</v>
      </c>
      <c r="AN244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4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4" s="108" t="e">
        <f ca="1">VLOOKUP(Tableau118[[#This Row],[Key(POD -PFI- Usine)]],'DATA Consignee'!A:J,10,FALSE)</f>
        <v>#N/A</v>
      </c>
      <c r="AQ244" s="79" t="e">
        <f ca="1">VLOOKUP(Tableau118[[#This Row],[Key(POD -PFI- Usine)]],'DATA Consignee'!A:N,14,FALSE)</f>
        <v>#N/A</v>
      </c>
      <c r="AR244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4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4" s="79" t="e">
        <f ca="1">Tableau118[[#This Row],[Transit time]]+Tableau118[[#This Row],[Time for security]]+Tableau118[[#This Row],[Time for security2 buffer]]</f>
        <v>#N/A</v>
      </c>
      <c r="AU244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4" s="79" t="e">
        <f ca="1">Tableau118[[#This Row],[Leadtime SI2C]]+Tableau118[[#This Row],[First Receipt Days]]-Tableau118[[#This Row],[Day Customer Order]]+1</f>
        <v>#N/A</v>
      </c>
      <c r="AW244" s="118" t="e">
        <f ca="1">IF(Tableau118[[#This Row],[Name ILN]]&lt;&gt;"SFK Freight Forwarder",Tableau118[[#This Row],[Cust. Leadtime]],Tableau118[[#This Row],[Leadtime SI2C]])</f>
        <v>#N/A</v>
      </c>
      <c r="AX244" s="51" t="e">
        <f>VLOOKUP(Tableau118[[#This Row],[ID]],'DATA BTO'!B:P,15,FALSE)</f>
        <v>#N/A</v>
      </c>
      <c r="AY244" s="328" t="e">
        <f ca="1">IFERROR(VLOOKUP(Tableau118[[#This Row],[Key(ID-Actif)]],'DATA BTO'!A:N,4,FALSE),VLOOKUP(Tableau118[[#This Row],[ID]],'DATA BTO'!B:N,3,FALSE))</f>
        <v>#N/A</v>
      </c>
      <c r="AZ24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4" s="50"/>
    </row>
    <row r="245" spans="2:57">
      <c r="B245" s="65" t="str">
        <f>_xlfn.CONCAT(Tableau118[[#This Row],[Name ILN]],"-",Tableau118[[#This Row],[Name Shipper]],"-",Tableau118[[#This Row],[Name Site]])</f>
        <v>--</v>
      </c>
      <c r="C245" s="65" t="e">
        <f ca="1">_xlfn.CONCAT(Tableau118[[#This Row],[Compte ILN]],"-",Tableau118[[#This Row],[Compte Shipper]],"-",Tableau118[[#This Row],[POL]],"-",Tableau118[[#This Row],[Compte Site]])</f>
        <v>#N/A</v>
      </c>
      <c r="D245" s="64" t="e">
        <f ca="1">_xlfn.CONCAT(Tableau118[[#This Row],[Compte ILN]],"-",Tableau118[[#This Row],[Compte Shipper]],"-",Tableau118[[#This Row],[POL]])</f>
        <v>#N/A</v>
      </c>
      <c r="E245" s="128" t="e">
        <f ca="1">_xlfn.CONCAT(Tableau118[[#This Row],[POL]],"-",Tableau118[[#This Row],[Carrier]],"-",Tableau118[[#This Row],[POD]])</f>
        <v>#N/A</v>
      </c>
      <c r="F245" s="64" t="str">
        <f>_xlfn.CONCAT(Tableau118[[#This Row],[ID]],"-","Next")</f>
        <v>-Next</v>
      </c>
      <c r="G245" s="64" t="e">
        <f ca="1">_xlfn.CONCAT(Tableau118[[#This Row],[POD]],"-",Tableau118[[#This Row],[Code PFI]],"-",Tableau118[[#This Row],[Compte Site]])</f>
        <v>#N/A</v>
      </c>
      <c r="H24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5" s="117" t="str">
        <f ca="1">IF(COUNTIF(I:I,Tableau118[[#This Row],[Plant-ILN-shipper-POL-Carrier-POD-PFI]])=1,"Non","Oui")</f>
        <v>Oui</v>
      </c>
      <c r="K245" s="126" t="e">
        <f>VLOOKUP(Tableau118[[#This Row],[Name Site]],Plant_AILN!A:D,4,FALSE)</f>
        <v>#N/A</v>
      </c>
      <c r="L245" s="364"/>
      <c r="M245" s="480"/>
      <c r="N245" s="55"/>
      <c r="O245" s="122"/>
      <c r="P245" s="481"/>
      <c r="Q245" s="50"/>
      <c r="R245" s="50"/>
      <c r="S245" s="50"/>
      <c r="T245" s="50"/>
      <c r="U245" s="50"/>
      <c r="V245" s="50"/>
      <c r="W245" s="50"/>
      <c r="X245" s="283"/>
      <c r="Y245" s="489">
        <f>IFERROR(VLOOKUP(Tableau118[[#This Row],[Name Shipper]],Plant_AILN!L:M,2,FALSE),0)</f>
        <v>0</v>
      </c>
      <c r="Z245" s="358"/>
      <c r="AA245" s="353" t="e">
        <f ca="1">VLOOKUP(Tableau118[[#This Row],[Key(ID-Actif)]],'DATA BTO'!A:N,5,FALSE)</f>
        <v>#N/A</v>
      </c>
      <c r="AB245" s="3" t="e">
        <f ca="1">VLOOKUP(Tableau118[[#This Row],[Key(ID-Actif)]],'DATA BTO'!A:N,6,FALSE)</f>
        <v>#N/A</v>
      </c>
      <c r="AC245" s="50" t="e">
        <f ca="1">VLOOKUP(Tableau118[[#This Row],[Key(ID-Actif)]],'DATA BTO'!A:N,7,FALSE)</f>
        <v>#N/A</v>
      </c>
      <c r="AD245" s="50" t="e">
        <f ca="1">VLOOKUP(Tableau118[[#This Row],[Key(ID-Actif)]],'DATA BTO'!A:N,8,FALSE)</f>
        <v>#N/A</v>
      </c>
      <c r="AE245" s="50" t="e">
        <f ca="1">IF(Tableau118[[#This Row],[First Day to POL]]&lt;=Tableau118[[#This Row],[Day Cut Off]],Tableau118[[#This Row],[Day ETD]],Tableau118[[#This Row],[Day ETD]]+7)</f>
        <v>#N/A</v>
      </c>
      <c r="AF245" s="50" t="e">
        <f ca="1">VLOOKUP(Tableau118[[#This Row],[Key(ID-Actif)]],'DATA BTO'!A:N,9,FALSE)</f>
        <v>#N/A</v>
      </c>
      <c r="AG245" s="3" t="e">
        <f ca="1">VLOOKUP(Tableau118[[#This Row],[Key(ID-Actif)]],'DATA BTO'!A:N,10,FALSE)</f>
        <v>#N/A</v>
      </c>
      <c r="AH245" s="3" t="e">
        <f ca="1">VLOOKUP(Tableau118[[#This Row],[Key(ID-Actif)]],'DATA BTO'!A:N,11,FALSE)</f>
        <v>#N/A</v>
      </c>
      <c r="AI245" s="50" t="e">
        <f ca="1">VLOOKUP(Tableau118[[#This Row],[Key(ID-Actif)]],'DATA BTO'!A:N,12,FALSE)</f>
        <v>#N/A</v>
      </c>
      <c r="AJ245" s="53" t="e">
        <f ca="1">VLOOKUP(Tableau118[[#This Row],[Key(ID-Actif)]],'DATA BTO'!A:N,14,FALSE)</f>
        <v>#N/A</v>
      </c>
      <c r="AK245" s="54" t="e">
        <f ca="1">VLOOKUP(Tableau118[[#This Row],[Key(POD -PFI- Usine)]],'DATA Consignee'!A:F,6,FALSE)</f>
        <v>#N/A</v>
      </c>
      <c r="AL245" s="136" t="s">
        <v>153</v>
      </c>
      <c r="AM245" s="490">
        <f>IF(Tableau118[[#This Row],[Name PFI/CDD]]="","-",VLOOKUP(Tableau118[[#This Row],[Name PFI/CDD]],Plant_AILN!I:J,2,FALSE))</f>
        <v>90016600</v>
      </c>
      <c r="AN24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5" s="2" t="e">
        <f ca="1">VLOOKUP(Tableau118[[#This Row],[Key(POD -PFI- Usine)]],'DATA Consignee'!A:J,10,FALSE)</f>
        <v>#N/A</v>
      </c>
      <c r="AQ245" s="50" t="e">
        <f ca="1">VLOOKUP(Tableau118[[#This Row],[Key(POD -PFI- Usine)]],'DATA Consignee'!A:N,14,FALSE)</f>
        <v>#N/A</v>
      </c>
      <c r="AR24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5" s="50" t="e">
        <f ca="1">Tableau118[[#This Row],[Transit time]]+Tableau118[[#This Row],[Time for security]]+Tableau118[[#This Row],[Time for security2 buffer]]</f>
        <v>#N/A</v>
      </c>
      <c r="AU24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5" s="50" t="e">
        <f ca="1">Tableau118[[#This Row],[Leadtime SI2C]]+Tableau118[[#This Row],[First Receipt Days]]-Tableau118[[#This Row],[Day Customer Order]]+1</f>
        <v>#N/A</v>
      </c>
      <c r="AW245" s="117" t="e">
        <f ca="1">IF(Tableau118[[#This Row],[Name ILN]]&lt;&gt;"SFK Freight Forwarder",Tableau118[[#This Row],[Cust. Leadtime]],Tableau118[[#This Row],[Leadtime SI2C]])</f>
        <v>#N/A</v>
      </c>
      <c r="AX245" s="51" t="e">
        <f>VLOOKUP(Tableau118[[#This Row],[ID]],'DATA BTO'!B:P,15,FALSE)</f>
        <v>#N/A</v>
      </c>
      <c r="AY245" s="328" t="e">
        <f ca="1">IFERROR(VLOOKUP(Tableau118[[#This Row],[Key(ID-Actif)]],'DATA BTO'!A:N,4,FALSE),VLOOKUP(Tableau118[[#This Row],[ID]],'DATA BTO'!B:N,3,FALSE))</f>
        <v>#N/A</v>
      </c>
      <c r="AZ24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5" s="50"/>
    </row>
    <row r="246" spans="2:57">
      <c r="B246" s="65" t="str">
        <f>_xlfn.CONCAT(Tableau118[[#This Row],[Name ILN]],"-",Tableau118[[#This Row],[Name Shipper]],"-",Tableau118[[#This Row],[Name Site]])</f>
        <v>--</v>
      </c>
      <c r="C246" s="65" t="e">
        <f ca="1">_xlfn.CONCAT(Tableau118[[#This Row],[Compte ILN]],"-",Tableau118[[#This Row],[Compte Shipper]],"-",Tableau118[[#This Row],[POL]],"-",Tableau118[[#This Row],[Compte Site]])</f>
        <v>#N/A</v>
      </c>
      <c r="D246" s="64" t="e">
        <f ca="1">_xlfn.CONCAT(Tableau118[[#This Row],[Compte ILN]],"-",Tableau118[[#This Row],[Compte Shipper]],"-",Tableau118[[#This Row],[POL]])</f>
        <v>#N/A</v>
      </c>
      <c r="E246" s="128" t="e">
        <f ca="1">_xlfn.CONCAT(Tableau118[[#This Row],[POL]],"-",Tableau118[[#This Row],[Carrier]],"-",Tableau118[[#This Row],[POD]])</f>
        <v>#N/A</v>
      </c>
      <c r="F246" s="64" t="str">
        <f>_xlfn.CONCAT(Tableau118[[#This Row],[ID]],"-","Next")</f>
        <v>-Next</v>
      </c>
      <c r="G246" s="64" t="e">
        <f ca="1">_xlfn.CONCAT(Tableau118[[#This Row],[POD]],"-",Tableau118[[#This Row],[Code PFI]],"-",Tableau118[[#This Row],[Compte Site]])</f>
        <v>#N/A</v>
      </c>
      <c r="H24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6" s="117" t="str">
        <f ca="1">IF(COUNTIF(I:I,Tableau118[[#This Row],[Plant-ILN-shipper-POL-Carrier-POD-PFI]])=1,"Non","Oui")</f>
        <v>Oui</v>
      </c>
      <c r="K246" s="126" t="e">
        <f>VLOOKUP(Tableau118[[#This Row],[Name Site]],Plant_AILN!A:D,4,FALSE)</f>
        <v>#N/A</v>
      </c>
      <c r="L246" s="364"/>
      <c r="M246" s="480"/>
      <c r="N246" s="55"/>
      <c r="O246" s="122"/>
      <c r="P246" s="481"/>
      <c r="Q246" s="50"/>
      <c r="R246" s="50"/>
      <c r="S246" s="50"/>
      <c r="T246" s="50"/>
      <c r="U246" s="50"/>
      <c r="V246" s="50"/>
      <c r="W246" s="50"/>
      <c r="X246" s="283"/>
      <c r="Y246" s="489">
        <f>IFERROR(VLOOKUP(Tableau118[[#This Row],[Name Shipper]],Plant_AILN!L:M,2,FALSE),0)</f>
        <v>0</v>
      </c>
      <c r="Z246" s="358"/>
      <c r="AA246" s="353" t="e">
        <f ca="1">VLOOKUP(Tableau118[[#This Row],[Key(ID-Actif)]],'DATA BTO'!A:N,5,FALSE)</f>
        <v>#N/A</v>
      </c>
      <c r="AB246" s="3" t="e">
        <f ca="1">VLOOKUP(Tableau118[[#This Row],[Key(ID-Actif)]],'DATA BTO'!A:N,6,FALSE)</f>
        <v>#N/A</v>
      </c>
      <c r="AC246" s="50" t="e">
        <f ca="1">VLOOKUP(Tableau118[[#This Row],[Key(ID-Actif)]],'DATA BTO'!A:N,7,FALSE)</f>
        <v>#N/A</v>
      </c>
      <c r="AD246" s="50" t="e">
        <f ca="1">VLOOKUP(Tableau118[[#This Row],[Key(ID-Actif)]],'DATA BTO'!A:N,8,FALSE)</f>
        <v>#N/A</v>
      </c>
      <c r="AE246" s="50" t="e">
        <f ca="1">IF(Tableau118[[#This Row],[First Day to POL]]&lt;=Tableau118[[#This Row],[Day Cut Off]],Tableau118[[#This Row],[Day ETD]],Tableau118[[#This Row],[Day ETD]]+7)</f>
        <v>#N/A</v>
      </c>
      <c r="AF246" s="50" t="e">
        <f ca="1">VLOOKUP(Tableau118[[#This Row],[Key(ID-Actif)]],'DATA BTO'!A:N,9,FALSE)</f>
        <v>#N/A</v>
      </c>
      <c r="AG246" s="3" t="e">
        <f ca="1">VLOOKUP(Tableau118[[#This Row],[Key(ID-Actif)]],'DATA BTO'!A:N,10,FALSE)</f>
        <v>#N/A</v>
      </c>
      <c r="AH246" s="3" t="e">
        <f ca="1">VLOOKUP(Tableau118[[#This Row],[Key(ID-Actif)]],'DATA BTO'!A:N,11,FALSE)</f>
        <v>#N/A</v>
      </c>
      <c r="AI246" s="50" t="e">
        <f ca="1">VLOOKUP(Tableau118[[#This Row],[Key(ID-Actif)]],'DATA BTO'!A:N,12,FALSE)</f>
        <v>#N/A</v>
      </c>
      <c r="AJ246" s="53" t="e">
        <f ca="1">VLOOKUP(Tableau118[[#This Row],[Key(ID-Actif)]],'DATA BTO'!A:N,14,FALSE)</f>
        <v>#N/A</v>
      </c>
      <c r="AK246" s="54" t="e">
        <f ca="1">VLOOKUP(Tableau118[[#This Row],[Key(POD -PFI- Usine)]],'DATA Consignee'!A:F,6,FALSE)</f>
        <v>#N/A</v>
      </c>
      <c r="AL246" s="136" t="s">
        <v>153</v>
      </c>
      <c r="AM246" s="490">
        <f>IF(Tableau118[[#This Row],[Name PFI/CDD]]="","-",VLOOKUP(Tableau118[[#This Row],[Name PFI/CDD]],Plant_AILN!I:J,2,FALSE))</f>
        <v>90016600</v>
      </c>
      <c r="AN24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6" s="2" t="e">
        <f ca="1">VLOOKUP(Tableau118[[#This Row],[Key(POD -PFI- Usine)]],'DATA Consignee'!A:J,10,FALSE)</f>
        <v>#N/A</v>
      </c>
      <c r="AQ246" s="50" t="e">
        <f ca="1">VLOOKUP(Tableau118[[#This Row],[Key(POD -PFI- Usine)]],'DATA Consignee'!A:N,14,FALSE)</f>
        <v>#N/A</v>
      </c>
      <c r="AR24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6" s="50" t="e">
        <f ca="1">Tableau118[[#This Row],[Transit time]]+Tableau118[[#This Row],[Time for security]]+Tableau118[[#This Row],[Time for security2 buffer]]</f>
        <v>#N/A</v>
      </c>
      <c r="AU24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6" s="50" t="e">
        <f ca="1">Tableau118[[#This Row],[Leadtime SI2C]]+Tableau118[[#This Row],[First Receipt Days]]-Tableau118[[#This Row],[Day Customer Order]]+1</f>
        <v>#N/A</v>
      </c>
      <c r="AW246" s="117" t="e">
        <f ca="1">IF(Tableau118[[#This Row],[Name ILN]]&lt;&gt;"SFK Freight Forwarder",Tableau118[[#This Row],[Cust. Leadtime]],Tableau118[[#This Row],[Leadtime SI2C]])</f>
        <v>#N/A</v>
      </c>
      <c r="AX246" s="51" t="e">
        <f>VLOOKUP(Tableau118[[#This Row],[ID]],'DATA BTO'!B:P,15,FALSE)</f>
        <v>#N/A</v>
      </c>
      <c r="AY246" s="328" t="e">
        <f ca="1">IFERROR(VLOOKUP(Tableau118[[#This Row],[Key(ID-Actif)]],'DATA BTO'!A:N,4,FALSE),VLOOKUP(Tableau118[[#This Row],[ID]],'DATA BTO'!B:N,3,FALSE))</f>
        <v>#N/A</v>
      </c>
      <c r="AZ24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6" s="50"/>
    </row>
    <row r="247" spans="2:57">
      <c r="B247" s="65" t="str">
        <f>_xlfn.CONCAT(Tableau118[[#This Row],[Name ILN]],"-",Tableau118[[#This Row],[Name Shipper]],"-",Tableau118[[#This Row],[Name Site]])</f>
        <v>--</v>
      </c>
      <c r="C247" s="65" t="e">
        <f ca="1">_xlfn.CONCAT(Tableau118[[#This Row],[Compte ILN]],"-",Tableau118[[#This Row],[Compte Shipper]],"-",Tableau118[[#This Row],[POL]],"-",Tableau118[[#This Row],[Compte Site]])</f>
        <v>#N/A</v>
      </c>
      <c r="D247" s="64" t="e">
        <f ca="1">_xlfn.CONCAT(Tableau118[[#This Row],[Compte ILN]],"-",Tableau118[[#This Row],[Compte Shipper]],"-",Tableau118[[#This Row],[POL]])</f>
        <v>#N/A</v>
      </c>
      <c r="E247" s="128" t="e">
        <f ca="1">_xlfn.CONCAT(Tableau118[[#This Row],[POL]],"-",Tableau118[[#This Row],[Carrier]],"-",Tableau118[[#This Row],[POD]])</f>
        <v>#N/A</v>
      </c>
      <c r="F247" s="64" t="str">
        <f>_xlfn.CONCAT(Tableau118[[#This Row],[ID]],"-","Next")</f>
        <v>-Next</v>
      </c>
      <c r="G247" s="64" t="e">
        <f ca="1">_xlfn.CONCAT(Tableau118[[#This Row],[POD]],"-",Tableau118[[#This Row],[Code PFI]],"-",Tableau118[[#This Row],[Compte Site]])</f>
        <v>#N/A</v>
      </c>
      <c r="H24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7" s="117" t="str">
        <f ca="1">IF(COUNTIF(I:I,Tableau118[[#This Row],[Plant-ILN-shipper-POL-Carrier-POD-PFI]])=1,"Non","Oui")</f>
        <v>Oui</v>
      </c>
      <c r="K247" s="126" t="e">
        <f>VLOOKUP(Tableau118[[#This Row],[Name Site]],Plant_AILN!A:D,4,FALSE)</f>
        <v>#N/A</v>
      </c>
      <c r="L247" s="364"/>
      <c r="M247" s="480"/>
      <c r="N247" s="55"/>
      <c r="O247" s="122"/>
      <c r="P247" s="481"/>
      <c r="Q247" s="50"/>
      <c r="R247" s="50"/>
      <c r="S247" s="50"/>
      <c r="T247" s="50"/>
      <c r="U247" s="50"/>
      <c r="V247" s="50"/>
      <c r="W247" s="50"/>
      <c r="X247" s="283"/>
      <c r="Y247" s="489">
        <f>IFERROR(VLOOKUP(Tableau118[[#This Row],[Name Shipper]],Plant_AILN!L:M,2,FALSE),0)</f>
        <v>0</v>
      </c>
      <c r="Z247" s="358"/>
      <c r="AA247" s="353" t="e">
        <f ca="1">VLOOKUP(Tableau118[[#This Row],[Key(ID-Actif)]],'DATA BTO'!A:N,5,FALSE)</f>
        <v>#N/A</v>
      </c>
      <c r="AB247" s="3" t="e">
        <f ca="1">VLOOKUP(Tableau118[[#This Row],[Key(ID-Actif)]],'DATA BTO'!A:N,6,FALSE)</f>
        <v>#N/A</v>
      </c>
      <c r="AC247" s="50" t="e">
        <f ca="1">VLOOKUP(Tableau118[[#This Row],[Key(ID-Actif)]],'DATA BTO'!A:N,7,FALSE)</f>
        <v>#N/A</v>
      </c>
      <c r="AD247" s="50" t="e">
        <f ca="1">VLOOKUP(Tableau118[[#This Row],[Key(ID-Actif)]],'DATA BTO'!A:N,8,FALSE)</f>
        <v>#N/A</v>
      </c>
      <c r="AE247" s="50" t="e">
        <f ca="1">IF(Tableau118[[#This Row],[First Day to POL]]&lt;=Tableau118[[#This Row],[Day Cut Off]],Tableau118[[#This Row],[Day ETD]],Tableau118[[#This Row],[Day ETD]]+7)</f>
        <v>#N/A</v>
      </c>
      <c r="AF247" s="50" t="e">
        <f ca="1">VLOOKUP(Tableau118[[#This Row],[Key(ID-Actif)]],'DATA BTO'!A:N,9,FALSE)</f>
        <v>#N/A</v>
      </c>
      <c r="AG247" s="3" t="e">
        <f ca="1">VLOOKUP(Tableau118[[#This Row],[Key(ID-Actif)]],'DATA BTO'!A:N,10,FALSE)</f>
        <v>#N/A</v>
      </c>
      <c r="AH247" s="3" t="e">
        <f ca="1">VLOOKUP(Tableau118[[#This Row],[Key(ID-Actif)]],'DATA BTO'!A:N,11,FALSE)</f>
        <v>#N/A</v>
      </c>
      <c r="AI247" s="50" t="e">
        <f ca="1">VLOOKUP(Tableau118[[#This Row],[Key(ID-Actif)]],'DATA BTO'!A:N,12,FALSE)</f>
        <v>#N/A</v>
      </c>
      <c r="AJ247" s="53" t="e">
        <f ca="1">VLOOKUP(Tableau118[[#This Row],[Key(ID-Actif)]],'DATA BTO'!A:N,14,FALSE)</f>
        <v>#N/A</v>
      </c>
      <c r="AK247" s="54" t="e">
        <f ca="1">VLOOKUP(Tableau118[[#This Row],[Key(POD -PFI- Usine)]],'DATA Consignee'!A:F,6,FALSE)</f>
        <v>#N/A</v>
      </c>
      <c r="AL247" s="136" t="s">
        <v>153</v>
      </c>
      <c r="AM247" s="490">
        <f>IF(Tableau118[[#This Row],[Name PFI/CDD]]="","-",VLOOKUP(Tableau118[[#This Row],[Name PFI/CDD]],Plant_AILN!I:J,2,FALSE))</f>
        <v>90016600</v>
      </c>
      <c r="AN24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7" s="2" t="e">
        <f ca="1">VLOOKUP(Tableau118[[#This Row],[Key(POD -PFI- Usine)]],'DATA Consignee'!A:J,10,FALSE)</f>
        <v>#N/A</v>
      </c>
      <c r="AQ247" s="50" t="e">
        <f ca="1">VLOOKUP(Tableau118[[#This Row],[Key(POD -PFI- Usine)]],'DATA Consignee'!A:N,14,FALSE)</f>
        <v>#N/A</v>
      </c>
      <c r="AR24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7" s="50" t="e">
        <f ca="1">Tableau118[[#This Row],[Transit time]]+Tableau118[[#This Row],[Time for security]]+Tableau118[[#This Row],[Time for security2 buffer]]</f>
        <v>#N/A</v>
      </c>
      <c r="AU24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7" s="50" t="e">
        <f ca="1">Tableau118[[#This Row],[Leadtime SI2C]]+Tableau118[[#This Row],[First Receipt Days]]-Tableau118[[#This Row],[Day Customer Order]]+1</f>
        <v>#N/A</v>
      </c>
      <c r="AW247" s="117" t="e">
        <f ca="1">IF(Tableau118[[#This Row],[Name ILN]]&lt;&gt;"SFK Freight Forwarder",Tableau118[[#This Row],[Cust. Leadtime]],Tableau118[[#This Row],[Leadtime SI2C]])</f>
        <v>#N/A</v>
      </c>
      <c r="AX247" s="51" t="e">
        <f>VLOOKUP(Tableau118[[#This Row],[ID]],'DATA BTO'!B:P,15,FALSE)</f>
        <v>#N/A</v>
      </c>
      <c r="AY247" s="328" t="e">
        <f ca="1">IFERROR(VLOOKUP(Tableau118[[#This Row],[Key(ID-Actif)]],'DATA BTO'!A:N,4,FALSE),VLOOKUP(Tableau118[[#This Row],[ID]],'DATA BTO'!B:N,3,FALSE))</f>
        <v>#N/A</v>
      </c>
      <c r="AZ24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7" s="50"/>
    </row>
    <row r="248" spans="2:57">
      <c r="B248" s="65" t="str">
        <f>_xlfn.CONCAT(Tableau118[[#This Row],[Name ILN]],"-",Tableau118[[#This Row],[Name Shipper]],"-",Tableau118[[#This Row],[Name Site]])</f>
        <v>--</v>
      </c>
      <c r="C248" s="65" t="e">
        <f ca="1">_xlfn.CONCAT(Tableau118[[#This Row],[Compte ILN]],"-",Tableau118[[#This Row],[Compte Shipper]],"-",Tableau118[[#This Row],[POL]],"-",Tableau118[[#This Row],[Compte Site]])</f>
        <v>#N/A</v>
      </c>
      <c r="D248" s="64" t="e">
        <f ca="1">_xlfn.CONCAT(Tableau118[[#This Row],[Compte ILN]],"-",Tableau118[[#This Row],[Compte Shipper]],"-",Tableau118[[#This Row],[POL]])</f>
        <v>#N/A</v>
      </c>
      <c r="E248" s="128" t="e">
        <f ca="1">_xlfn.CONCAT(Tableau118[[#This Row],[POL]],"-",Tableau118[[#This Row],[Carrier]],"-",Tableau118[[#This Row],[POD]])</f>
        <v>#N/A</v>
      </c>
      <c r="F248" s="64" t="str">
        <f>_xlfn.CONCAT(Tableau118[[#This Row],[ID]],"-","Next")</f>
        <v>-Next</v>
      </c>
      <c r="G248" s="64" t="e">
        <f ca="1">_xlfn.CONCAT(Tableau118[[#This Row],[POD]],"-",Tableau118[[#This Row],[Code PFI]],"-",Tableau118[[#This Row],[Compte Site]])</f>
        <v>#N/A</v>
      </c>
      <c r="H24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8" s="117" t="str">
        <f ca="1">IF(COUNTIF(I:I,Tableau118[[#This Row],[Plant-ILN-shipper-POL-Carrier-POD-PFI]])=1,"Non","Oui")</f>
        <v>Oui</v>
      </c>
      <c r="K248" s="126" t="e">
        <f>VLOOKUP(Tableau118[[#This Row],[Name Site]],Plant_AILN!A:D,4,FALSE)</f>
        <v>#N/A</v>
      </c>
      <c r="L248" s="364"/>
      <c r="M248" s="480"/>
      <c r="N248" s="55"/>
      <c r="O248" s="122"/>
      <c r="P248" s="481"/>
      <c r="Q248" s="50"/>
      <c r="R248" s="50"/>
      <c r="S248" s="50"/>
      <c r="T248" s="50"/>
      <c r="U248" s="50"/>
      <c r="V248" s="50"/>
      <c r="W248" s="50"/>
      <c r="X248" s="283"/>
      <c r="Y248" s="489">
        <f>IFERROR(VLOOKUP(Tableau118[[#This Row],[Name Shipper]],Plant_AILN!L:M,2,FALSE),0)</f>
        <v>0</v>
      </c>
      <c r="Z248" s="358"/>
      <c r="AA248" s="353" t="e">
        <f ca="1">VLOOKUP(Tableau118[[#This Row],[Key(ID-Actif)]],'DATA BTO'!A:N,5,FALSE)</f>
        <v>#N/A</v>
      </c>
      <c r="AB248" s="3" t="e">
        <f ca="1">VLOOKUP(Tableau118[[#This Row],[Key(ID-Actif)]],'DATA BTO'!A:N,6,FALSE)</f>
        <v>#N/A</v>
      </c>
      <c r="AC248" s="50" t="e">
        <f ca="1">VLOOKUP(Tableau118[[#This Row],[Key(ID-Actif)]],'DATA BTO'!A:N,7,FALSE)</f>
        <v>#N/A</v>
      </c>
      <c r="AD248" s="50" t="e">
        <f ca="1">VLOOKUP(Tableau118[[#This Row],[Key(ID-Actif)]],'DATA BTO'!A:N,8,FALSE)</f>
        <v>#N/A</v>
      </c>
      <c r="AE248" s="50" t="e">
        <f ca="1">IF(Tableau118[[#This Row],[First Day to POL]]&lt;=Tableau118[[#This Row],[Day Cut Off]],Tableau118[[#This Row],[Day ETD]],Tableau118[[#This Row],[Day ETD]]+7)</f>
        <v>#N/A</v>
      </c>
      <c r="AF248" s="50" t="e">
        <f ca="1">VLOOKUP(Tableau118[[#This Row],[Key(ID-Actif)]],'DATA BTO'!A:N,9,FALSE)</f>
        <v>#N/A</v>
      </c>
      <c r="AG248" s="3" t="e">
        <f ca="1">VLOOKUP(Tableau118[[#This Row],[Key(ID-Actif)]],'DATA BTO'!A:N,10,FALSE)</f>
        <v>#N/A</v>
      </c>
      <c r="AH248" s="3" t="e">
        <f ca="1">VLOOKUP(Tableau118[[#This Row],[Key(ID-Actif)]],'DATA BTO'!A:N,11,FALSE)</f>
        <v>#N/A</v>
      </c>
      <c r="AI248" s="50" t="e">
        <f ca="1">VLOOKUP(Tableau118[[#This Row],[Key(ID-Actif)]],'DATA BTO'!A:N,12,FALSE)</f>
        <v>#N/A</v>
      </c>
      <c r="AJ248" s="53" t="e">
        <f ca="1">VLOOKUP(Tableau118[[#This Row],[Key(ID-Actif)]],'DATA BTO'!A:N,14,FALSE)</f>
        <v>#N/A</v>
      </c>
      <c r="AK248" s="54" t="e">
        <f ca="1">VLOOKUP(Tableau118[[#This Row],[Key(POD -PFI- Usine)]],'DATA Consignee'!A:F,6,FALSE)</f>
        <v>#N/A</v>
      </c>
      <c r="AL248" s="136" t="s">
        <v>153</v>
      </c>
      <c r="AM248" s="490">
        <f>IF(Tableau118[[#This Row],[Name PFI/CDD]]="","-",VLOOKUP(Tableau118[[#This Row],[Name PFI/CDD]],Plant_AILN!I:J,2,FALSE))</f>
        <v>90016600</v>
      </c>
      <c r="AN24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8" s="2" t="e">
        <f ca="1">VLOOKUP(Tableau118[[#This Row],[Key(POD -PFI- Usine)]],'DATA Consignee'!A:J,10,FALSE)</f>
        <v>#N/A</v>
      </c>
      <c r="AQ248" s="50" t="e">
        <f ca="1">VLOOKUP(Tableau118[[#This Row],[Key(POD -PFI- Usine)]],'DATA Consignee'!A:N,14,FALSE)</f>
        <v>#N/A</v>
      </c>
      <c r="AR24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8" s="50" t="e">
        <f ca="1">Tableau118[[#This Row],[Transit time]]+Tableau118[[#This Row],[Time for security]]+Tableau118[[#This Row],[Time for security2 buffer]]</f>
        <v>#N/A</v>
      </c>
      <c r="AU24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8" s="50" t="e">
        <f ca="1">Tableau118[[#This Row],[Leadtime SI2C]]+Tableau118[[#This Row],[First Receipt Days]]-Tableau118[[#This Row],[Day Customer Order]]+1</f>
        <v>#N/A</v>
      </c>
      <c r="AW248" s="117" t="e">
        <f ca="1">IF(Tableau118[[#This Row],[Name ILN]]&lt;&gt;"SFK Freight Forwarder",Tableau118[[#This Row],[Cust. Leadtime]],Tableau118[[#This Row],[Leadtime SI2C]])</f>
        <v>#N/A</v>
      </c>
      <c r="AX248" s="51" t="e">
        <f>VLOOKUP(Tableau118[[#This Row],[ID]],'DATA BTO'!B:P,15,FALSE)</f>
        <v>#N/A</v>
      </c>
      <c r="AY248" s="328" t="e">
        <f ca="1">IFERROR(VLOOKUP(Tableau118[[#This Row],[Key(ID-Actif)]],'DATA BTO'!A:N,4,FALSE),VLOOKUP(Tableau118[[#This Row],[ID]],'DATA BTO'!B:N,3,FALSE))</f>
        <v>#N/A</v>
      </c>
      <c r="AZ24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8" s="50"/>
    </row>
    <row r="249" spans="2:57">
      <c r="B249" s="65" t="str">
        <f>_xlfn.CONCAT(Tableau118[[#This Row],[Name ILN]],"-",Tableau118[[#This Row],[Name Shipper]],"-",Tableau118[[#This Row],[Name Site]])</f>
        <v>--</v>
      </c>
      <c r="C249" s="65" t="e">
        <f ca="1">_xlfn.CONCAT(Tableau118[[#This Row],[Compte ILN]],"-",Tableau118[[#This Row],[Compte Shipper]],"-",Tableau118[[#This Row],[POL]],"-",Tableau118[[#This Row],[Compte Site]])</f>
        <v>#N/A</v>
      </c>
      <c r="D249" s="64" t="e">
        <f ca="1">_xlfn.CONCAT(Tableau118[[#This Row],[Compte ILN]],"-",Tableau118[[#This Row],[Compte Shipper]],"-",Tableau118[[#This Row],[POL]])</f>
        <v>#N/A</v>
      </c>
      <c r="E249" s="128" t="e">
        <f ca="1">_xlfn.CONCAT(Tableau118[[#This Row],[POL]],"-",Tableau118[[#This Row],[Carrier]],"-",Tableau118[[#This Row],[POD]])</f>
        <v>#N/A</v>
      </c>
      <c r="F249" s="64" t="str">
        <f>_xlfn.CONCAT(Tableau118[[#This Row],[ID]],"-","Next")</f>
        <v>-Next</v>
      </c>
      <c r="G249" s="64" t="e">
        <f ca="1">_xlfn.CONCAT(Tableau118[[#This Row],[POD]],"-",Tableau118[[#This Row],[Code PFI]],"-",Tableau118[[#This Row],[Compte Site]])</f>
        <v>#N/A</v>
      </c>
      <c r="H24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4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49" s="117" t="str">
        <f ca="1">IF(COUNTIF(I:I,Tableau118[[#This Row],[Plant-ILN-shipper-POL-Carrier-POD-PFI]])=1,"Non","Oui")</f>
        <v>Oui</v>
      </c>
      <c r="K249" s="126" t="e">
        <f>VLOOKUP(Tableau118[[#This Row],[Name Site]],Plant_AILN!A:D,4,FALSE)</f>
        <v>#N/A</v>
      </c>
      <c r="L249" s="364"/>
      <c r="M249" s="480"/>
      <c r="N249" s="55"/>
      <c r="O249" s="122"/>
      <c r="P249" s="481"/>
      <c r="Q249" s="50"/>
      <c r="R249" s="50"/>
      <c r="S249" s="50"/>
      <c r="T249" s="50"/>
      <c r="U249" s="50"/>
      <c r="V249" s="50"/>
      <c r="W249" s="50"/>
      <c r="X249" s="283"/>
      <c r="Y249" s="489">
        <f>IFERROR(VLOOKUP(Tableau118[[#This Row],[Name Shipper]],Plant_AILN!L:M,2,FALSE),0)</f>
        <v>0</v>
      </c>
      <c r="Z249" s="358"/>
      <c r="AA249" s="353" t="e">
        <f ca="1">VLOOKUP(Tableau118[[#This Row],[Key(ID-Actif)]],'DATA BTO'!A:N,5,FALSE)</f>
        <v>#N/A</v>
      </c>
      <c r="AB249" s="3" t="e">
        <f ca="1">VLOOKUP(Tableau118[[#This Row],[Key(ID-Actif)]],'DATA BTO'!A:N,6,FALSE)</f>
        <v>#N/A</v>
      </c>
      <c r="AC249" s="50" t="e">
        <f ca="1">VLOOKUP(Tableau118[[#This Row],[Key(ID-Actif)]],'DATA BTO'!A:N,7,FALSE)</f>
        <v>#N/A</v>
      </c>
      <c r="AD249" s="50" t="e">
        <f ca="1">VLOOKUP(Tableau118[[#This Row],[Key(ID-Actif)]],'DATA BTO'!A:N,8,FALSE)</f>
        <v>#N/A</v>
      </c>
      <c r="AE249" s="50" t="e">
        <f ca="1">IF(Tableau118[[#This Row],[First Day to POL]]&lt;=Tableau118[[#This Row],[Day Cut Off]],Tableau118[[#This Row],[Day ETD]],Tableau118[[#This Row],[Day ETD]]+7)</f>
        <v>#N/A</v>
      </c>
      <c r="AF249" s="50" t="e">
        <f ca="1">VLOOKUP(Tableau118[[#This Row],[Key(ID-Actif)]],'DATA BTO'!A:N,9,FALSE)</f>
        <v>#N/A</v>
      </c>
      <c r="AG249" s="3" t="e">
        <f ca="1">VLOOKUP(Tableau118[[#This Row],[Key(ID-Actif)]],'DATA BTO'!A:N,10,FALSE)</f>
        <v>#N/A</v>
      </c>
      <c r="AH249" s="3" t="e">
        <f ca="1">VLOOKUP(Tableau118[[#This Row],[Key(ID-Actif)]],'DATA BTO'!A:N,11,FALSE)</f>
        <v>#N/A</v>
      </c>
      <c r="AI249" s="50" t="e">
        <f ca="1">VLOOKUP(Tableau118[[#This Row],[Key(ID-Actif)]],'DATA BTO'!A:N,12,FALSE)</f>
        <v>#N/A</v>
      </c>
      <c r="AJ249" s="53" t="e">
        <f ca="1">VLOOKUP(Tableau118[[#This Row],[Key(ID-Actif)]],'DATA BTO'!A:N,14,FALSE)</f>
        <v>#N/A</v>
      </c>
      <c r="AK249" s="54" t="e">
        <f ca="1">VLOOKUP(Tableau118[[#This Row],[Key(POD -PFI- Usine)]],'DATA Consignee'!A:F,6,FALSE)</f>
        <v>#N/A</v>
      </c>
      <c r="AL249" s="136"/>
      <c r="AM249" s="490" t="str">
        <f>IF(Tableau118[[#This Row],[Name PFI/CDD]]="","-",VLOOKUP(Tableau118[[#This Row],[Name PFI/CDD]],Plant_AILN!I:J,2,FALSE))</f>
        <v>-</v>
      </c>
      <c r="AN24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4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49" s="2" t="e">
        <f ca="1">VLOOKUP(Tableau118[[#This Row],[Key(POD -PFI- Usine)]],'DATA Consignee'!A:J,10,FALSE)</f>
        <v>#N/A</v>
      </c>
      <c r="AQ249" s="50" t="e">
        <f ca="1">VLOOKUP(Tableau118[[#This Row],[Key(POD -PFI- Usine)]],'DATA Consignee'!A:N,14,FALSE)</f>
        <v>#N/A</v>
      </c>
      <c r="AR24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4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49" s="50" t="e">
        <f ca="1">Tableau118[[#This Row],[Transit time]]+Tableau118[[#This Row],[Time for security]]+Tableau118[[#This Row],[Time for security2 buffer]]</f>
        <v>#N/A</v>
      </c>
      <c r="AU24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49" s="50" t="e">
        <f ca="1">Tableau118[[#This Row],[Leadtime SI2C]]+Tableau118[[#This Row],[First Receipt Days]]-Tableau118[[#This Row],[Day Customer Order]]+1</f>
        <v>#N/A</v>
      </c>
      <c r="AW249" s="117" t="e">
        <f ca="1">IF(Tableau118[[#This Row],[Name ILN]]&lt;&gt;"SFK Freight Forwarder",Tableau118[[#This Row],[Cust. Leadtime]],Tableau118[[#This Row],[Leadtime SI2C]])</f>
        <v>#N/A</v>
      </c>
      <c r="AX249" s="51" t="e">
        <f>VLOOKUP(Tableau118[[#This Row],[ID]],'DATA BTO'!B:P,15,FALSE)</f>
        <v>#N/A</v>
      </c>
      <c r="AY249" s="328" t="e">
        <f ca="1">IFERROR(VLOOKUP(Tableau118[[#This Row],[Key(ID-Actif)]],'DATA BTO'!A:N,4,FALSE),VLOOKUP(Tableau118[[#This Row],[ID]],'DATA BTO'!B:N,3,FALSE))</f>
        <v>#N/A</v>
      </c>
      <c r="AZ24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4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4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4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4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49" s="50"/>
    </row>
    <row r="250" spans="2:57">
      <c r="B250" s="65" t="str">
        <f>_xlfn.CONCAT(Tableau118[[#This Row],[Name ILN]],"-",Tableau118[[#This Row],[Name Shipper]],"-",Tableau118[[#This Row],[Name Site]])</f>
        <v>--</v>
      </c>
      <c r="C250" s="65" t="e">
        <f ca="1">_xlfn.CONCAT(Tableau118[[#This Row],[Compte ILN]],"-",Tableau118[[#This Row],[Compte Shipper]],"-",Tableau118[[#This Row],[POL]],"-",Tableau118[[#This Row],[Compte Site]])</f>
        <v>#N/A</v>
      </c>
      <c r="D250" s="64" t="e">
        <f ca="1">_xlfn.CONCAT(Tableau118[[#This Row],[Compte ILN]],"-",Tableau118[[#This Row],[Compte Shipper]],"-",Tableau118[[#This Row],[POL]])</f>
        <v>#N/A</v>
      </c>
      <c r="E250" s="128" t="e">
        <f ca="1">_xlfn.CONCAT(Tableau118[[#This Row],[POL]],"-",Tableau118[[#This Row],[Carrier]],"-",Tableau118[[#This Row],[POD]])</f>
        <v>#N/A</v>
      </c>
      <c r="F250" s="64" t="str">
        <f>_xlfn.CONCAT(Tableau118[[#This Row],[ID]],"-","Next")</f>
        <v>-Next</v>
      </c>
      <c r="G250" s="64" t="e">
        <f ca="1">_xlfn.CONCAT(Tableau118[[#This Row],[POD]],"-",Tableau118[[#This Row],[Code PFI]],"-",Tableau118[[#This Row],[Compte Site]])</f>
        <v>#N/A</v>
      </c>
      <c r="H25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0" s="117" t="str">
        <f ca="1">IF(COUNTIF(I:I,Tableau118[[#This Row],[Plant-ILN-shipper-POL-Carrier-POD-PFI]])=1,"Non","Oui")</f>
        <v>Oui</v>
      </c>
      <c r="K250" s="126" t="e">
        <f>VLOOKUP(Tableau118[[#This Row],[Name Site]],Plant_AILN!A:D,4,FALSE)</f>
        <v>#N/A</v>
      </c>
      <c r="L250" s="364"/>
      <c r="M250" s="480"/>
      <c r="N250" s="55"/>
      <c r="O250" s="122"/>
      <c r="P250" s="481"/>
      <c r="Q250" s="50"/>
      <c r="R250" s="50"/>
      <c r="S250" s="50"/>
      <c r="T250" s="50"/>
      <c r="U250" s="50"/>
      <c r="V250" s="50"/>
      <c r="W250" s="50"/>
      <c r="X250" s="283"/>
      <c r="Y250" s="489">
        <f>IFERROR(VLOOKUP(Tableau118[[#This Row],[Name Shipper]],Plant_AILN!L:M,2,FALSE),0)</f>
        <v>0</v>
      </c>
      <c r="Z250" s="358"/>
      <c r="AA250" s="353" t="e">
        <f ca="1">VLOOKUP(Tableau118[[#This Row],[Key(ID-Actif)]],'DATA BTO'!A:N,5,FALSE)</f>
        <v>#N/A</v>
      </c>
      <c r="AB250" s="3" t="e">
        <f ca="1">VLOOKUP(Tableau118[[#This Row],[Key(ID-Actif)]],'DATA BTO'!A:N,6,FALSE)</f>
        <v>#N/A</v>
      </c>
      <c r="AC250" s="50" t="e">
        <f ca="1">VLOOKUP(Tableau118[[#This Row],[Key(ID-Actif)]],'DATA BTO'!A:N,7,FALSE)</f>
        <v>#N/A</v>
      </c>
      <c r="AD250" s="50" t="e">
        <f ca="1">VLOOKUP(Tableau118[[#This Row],[Key(ID-Actif)]],'DATA BTO'!A:N,8,FALSE)</f>
        <v>#N/A</v>
      </c>
      <c r="AE250" s="50" t="e">
        <f ca="1">IF(Tableau118[[#This Row],[First Day to POL]]&lt;=Tableau118[[#This Row],[Day Cut Off]],Tableau118[[#This Row],[Day ETD]],Tableau118[[#This Row],[Day ETD]]+7)</f>
        <v>#N/A</v>
      </c>
      <c r="AF250" s="50" t="e">
        <f ca="1">VLOOKUP(Tableau118[[#This Row],[Key(ID-Actif)]],'DATA BTO'!A:N,9,FALSE)</f>
        <v>#N/A</v>
      </c>
      <c r="AG250" s="3" t="e">
        <f ca="1">VLOOKUP(Tableau118[[#This Row],[Key(ID-Actif)]],'DATA BTO'!A:N,10,FALSE)</f>
        <v>#N/A</v>
      </c>
      <c r="AH250" s="3" t="e">
        <f ca="1">VLOOKUP(Tableau118[[#This Row],[Key(ID-Actif)]],'DATA BTO'!A:N,11,FALSE)</f>
        <v>#N/A</v>
      </c>
      <c r="AI250" s="50" t="e">
        <f ca="1">VLOOKUP(Tableau118[[#This Row],[Key(ID-Actif)]],'DATA BTO'!A:N,12,FALSE)</f>
        <v>#N/A</v>
      </c>
      <c r="AJ250" s="53" t="e">
        <f ca="1">VLOOKUP(Tableau118[[#This Row],[Key(ID-Actif)]],'DATA BTO'!A:N,14,FALSE)</f>
        <v>#N/A</v>
      </c>
      <c r="AK250" s="54" t="e">
        <f ca="1">VLOOKUP(Tableau118[[#This Row],[Key(POD -PFI- Usine)]],'DATA Consignee'!A:F,6,FALSE)</f>
        <v>#N/A</v>
      </c>
      <c r="AL250" s="136" t="s">
        <v>161</v>
      </c>
      <c r="AM250" s="490">
        <f>IF(Tableau118[[#This Row],[Name PFI/CDD]]="","-",VLOOKUP(Tableau118[[#This Row],[Name PFI/CDD]],Plant_AILN!I:J,2,FALSE))</f>
        <v>91018400</v>
      </c>
      <c r="AN250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50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50" s="2" t="e">
        <f ca="1">VLOOKUP(Tableau118[[#This Row],[Key(POD -PFI- Usine)]],'DATA Consignee'!A:J,10,FALSE)</f>
        <v>#N/A</v>
      </c>
      <c r="AQ250" s="50" t="e">
        <f ca="1">VLOOKUP(Tableau118[[#This Row],[Key(POD -PFI- Usine)]],'DATA Consignee'!A:N,14,FALSE)</f>
        <v>#N/A</v>
      </c>
      <c r="AR25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0" s="50" t="e">
        <f ca="1">Tableau118[[#This Row],[Transit time]]+Tableau118[[#This Row],[Time for security]]+Tableau118[[#This Row],[Time for security2 buffer]]</f>
        <v>#N/A</v>
      </c>
      <c r="AU25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0" s="50" t="e">
        <f ca="1">Tableau118[[#This Row],[Leadtime SI2C]]+Tableau118[[#This Row],[First Receipt Days]]-Tableau118[[#This Row],[Day Customer Order]]+1</f>
        <v>#N/A</v>
      </c>
      <c r="AW250" s="117" t="e">
        <f ca="1">IF(Tableau118[[#This Row],[Name ILN]]&lt;&gt;"SFK Freight Forwarder",Tableau118[[#This Row],[Cust. Leadtime]],Tableau118[[#This Row],[Leadtime SI2C]])</f>
        <v>#N/A</v>
      </c>
      <c r="AX250" s="51" t="e">
        <f>VLOOKUP(Tableau118[[#This Row],[ID]],'DATA BTO'!B:P,15,FALSE)</f>
        <v>#N/A</v>
      </c>
      <c r="AY250" s="328" t="e">
        <f ca="1">IFERROR(VLOOKUP(Tableau118[[#This Row],[Key(ID-Actif)]],'DATA BTO'!A:N,4,FALSE),VLOOKUP(Tableau118[[#This Row],[ID]],'DATA BTO'!B:N,3,FALSE))</f>
        <v>#N/A</v>
      </c>
      <c r="AZ25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0" s="50"/>
    </row>
    <row r="251" spans="2:57">
      <c r="B251" s="65" t="str">
        <f>_xlfn.CONCAT(Tableau118[[#This Row],[Name ILN]],"-",Tableau118[[#This Row],[Name Shipper]],"-",Tableau118[[#This Row],[Name Site]])</f>
        <v>--</v>
      </c>
      <c r="C251" s="65" t="e">
        <f ca="1">_xlfn.CONCAT(Tableau118[[#This Row],[Compte ILN]],"-",Tableau118[[#This Row],[Compte Shipper]],"-",Tableau118[[#This Row],[POL]],"-",Tableau118[[#This Row],[Compte Site]])</f>
        <v>#N/A</v>
      </c>
      <c r="D251" s="64" t="e">
        <f ca="1">_xlfn.CONCAT(Tableau118[[#This Row],[Compte ILN]],"-",Tableau118[[#This Row],[Compte Shipper]],"-",Tableau118[[#This Row],[POL]])</f>
        <v>#N/A</v>
      </c>
      <c r="E251" s="128" t="e">
        <f ca="1">_xlfn.CONCAT(Tableau118[[#This Row],[POL]],"-",Tableau118[[#This Row],[Carrier]],"-",Tableau118[[#This Row],[POD]])</f>
        <v>#N/A</v>
      </c>
      <c r="F251" s="64" t="str">
        <f>_xlfn.CONCAT(Tableau118[[#This Row],[ID]],"-","Next")</f>
        <v>-Next</v>
      </c>
      <c r="G251" s="64" t="e">
        <f ca="1">_xlfn.CONCAT(Tableau118[[#This Row],[POD]],"-",Tableau118[[#This Row],[Code PFI]],"-",Tableau118[[#This Row],[Compte Site]])</f>
        <v>#N/A</v>
      </c>
      <c r="H25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1" s="117" t="str">
        <f ca="1">IF(COUNTIF(I:I,Tableau118[[#This Row],[Plant-ILN-shipper-POL-Carrier-POD-PFI]])=1,"Non","Oui")</f>
        <v>Oui</v>
      </c>
      <c r="K251" s="126" t="e">
        <f>VLOOKUP(Tableau118[[#This Row],[Name Site]],Plant_AILN!A:D,4,FALSE)</f>
        <v>#N/A</v>
      </c>
      <c r="L251" s="363"/>
      <c r="M251" s="480"/>
      <c r="N251" s="55"/>
      <c r="O251" s="122"/>
      <c r="P251" s="481"/>
      <c r="Q251" s="50"/>
      <c r="R251" s="50"/>
      <c r="S251" s="50"/>
      <c r="T251" s="50"/>
      <c r="U251" s="50"/>
      <c r="V251" s="50"/>
      <c r="W251" s="50"/>
      <c r="X251" s="283"/>
      <c r="Y251" s="489">
        <f>IFERROR(VLOOKUP(Tableau118[[#This Row],[Name Shipper]],Plant_AILN!L:M,2,FALSE),0)</f>
        <v>0</v>
      </c>
      <c r="Z251" s="358"/>
      <c r="AA251" s="353" t="e">
        <f ca="1">VLOOKUP(Tableau118[[#This Row],[Key(ID-Actif)]],'DATA BTO'!A:N,5,FALSE)</f>
        <v>#N/A</v>
      </c>
      <c r="AB251" s="3" t="e">
        <f ca="1">VLOOKUP(Tableau118[[#This Row],[Key(ID-Actif)]],'DATA BTO'!A:N,6,FALSE)</f>
        <v>#N/A</v>
      </c>
      <c r="AC251" s="50" t="e">
        <f ca="1">VLOOKUP(Tableau118[[#This Row],[Key(ID-Actif)]],'DATA BTO'!A:N,7,FALSE)</f>
        <v>#N/A</v>
      </c>
      <c r="AD251" s="50" t="e">
        <f ca="1">VLOOKUP(Tableau118[[#This Row],[Key(ID-Actif)]],'DATA BTO'!A:N,8,FALSE)</f>
        <v>#N/A</v>
      </c>
      <c r="AE251" s="50" t="e">
        <f ca="1">IF(Tableau118[[#This Row],[First Day to POL]]&lt;=Tableau118[[#This Row],[Day Cut Off]],Tableau118[[#This Row],[Day ETD]],Tableau118[[#This Row],[Day ETD]]+7)</f>
        <v>#N/A</v>
      </c>
      <c r="AF251" s="50" t="e">
        <f ca="1">VLOOKUP(Tableau118[[#This Row],[Key(ID-Actif)]],'DATA BTO'!A:N,9,FALSE)</f>
        <v>#N/A</v>
      </c>
      <c r="AG251" s="3" t="e">
        <f ca="1">VLOOKUP(Tableau118[[#This Row],[Key(ID-Actif)]],'DATA BTO'!A:N,10,FALSE)</f>
        <v>#N/A</v>
      </c>
      <c r="AH251" s="3" t="e">
        <f ca="1">VLOOKUP(Tableau118[[#This Row],[Key(ID-Actif)]],'DATA BTO'!A:N,11,FALSE)</f>
        <v>#N/A</v>
      </c>
      <c r="AI251" s="50" t="e">
        <f ca="1">VLOOKUP(Tableau118[[#This Row],[Key(ID-Actif)]],'DATA BTO'!A:N,12,FALSE)</f>
        <v>#N/A</v>
      </c>
      <c r="AJ251" s="53" t="e">
        <f ca="1">VLOOKUP(Tableau118[[#This Row],[Key(ID-Actif)]],'DATA BTO'!A:N,14,FALSE)</f>
        <v>#N/A</v>
      </c>
      <c r="AK251" s="54" t="e">
        <f ca="1">VLOOKUP(Tableau118[[#This Row],[Key(POD -PFI- Usine)]],'DATA Consignee'!A:F,6,FALSE)</f>
        <v>#N/A</v>
      </c>
      <c r="AL251" s="136" t="s">
        <v>166</v>
      </c>
      <c r="AM251" s="490">
        <f>IF(Tableau118[[#This Row],[Name PFI/CDD]]="","-",VLOOKUP(Tableau118[[#This Row],[Name PFI/CDD]],Plant_AILN!I:J,2,FALSE))</f>
        <v>91018400</v>
      </c>
      <c r="AN251" s="6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51" s="6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51" s="2" t="e">
        <f ca="1">VLOOKUP(Tableau118[[#This Row],[Key(POD -PFI- Usine)]],'DATA Consignee'!A:J,10,FALSE)</f>
        <v>#N/A</v>
      </c>
      <c r="AQ251" s="50" t="e">
        <f ca="1">VLOOKUP(Tableau118[[#This Row],[Key(POD -PFI- Usine)]],'DATA Consignee'!A:N,14,FALSE)</f>
        <v>#N/A</v>
      </c>
      <c r="AR25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1" s="50" t="e">
        <f ca="1">Tableau118[[#This Row],[Transit time]]+Tableau118[[#This Row],[Time for security]]+Tableau118[[#This Row],[Time for security2 buffer]]</f>
        <v>#N/A</v>
      </c>
      <c r="AU25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1" s="50" t="e">
        <f ca="1">Tableau118[[#This Row],[Leadtime SI2C]]+Tableau118[[#This Row],[First Receipt Days]]-Tableau118[[#This Row],[Day Customer Order]]+1</f>
        <v>#N/A</v>
      </c>
      <c r="AW251" s="117" t="e">
        <f ca="1">IF(Tableau118[[#This Row],[Name ILN]]&lt;&gt;"SFK Freight Forwarder",Tableau118[[#This Row],[Cust. Leadtime]],Tableau118[[#This Row],[Leadtime SI2C]])</f>
        <v>#N/A</v>
      </c>
      <c r="AX251" s="51" t="e">
        <f>VLOOKUP(Tableau118[[#This Row],[ID]],'DATA BTO'!B:P,15,FALSE)</f>
        <v>#N/A</v>
      </c>
      <c r="AY251" s="328" t="e">
        <f ca="1">IFERROR(VLOOKUP(Tableau118[[#This Row],[Key(ID-Actif)]],'DATA BTO'!A:N,4,FALSE),VLOOKUP(Tableau118[[#This Row],[ID]],'DATA BTO'!B:N,3,FALSE))</f>
        <v>#N/A</v>
      </c>
      <c r="AZ25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1" s="50"/>
    </row>
    <row r="252" spans="2:57">
      <c r="B252" s="65" t="str">
        <f>_xlfn.CONCAT(Tableau118[[#This Row],[Name ILN]],"-",Tableau118[[#This Row],[Name Shipper]],"-",Tableau118[[#This Row],[Name Site]])</f>
        <v>--</v>
      </c>
      <c r="C252" s="65" t="e">
        <f ca="1">_xlfn.CONCAT(Tableau118[[#This Row],[Compte ILN]],"-",Tableau118[[#This Row],[Compte Shipper]],"-",Tableau118[[#This Row],[POL]],"-",Tableau118[[#This Row],[Compte Site]])</f>
        <v>#N/A</v>
      </c>
      <c r="D252" s="80" t="e">
        <f ca="1">_xlfn.CONCAT(Tableau118[[#This Row],[Compte ILN]],"-",Tableau118[[#This Row],[Compte Shipper]],"-",Tableau118[[#This Row],[POL]])</f>
        <v>#N/A</v>
      </c>
      <c r="E252" s="81" t="e">
        <f ca="1">_xlfn.CONCAT(Tableau118[[#This Row],[POL]],"-",Tableau118[[#This Row],[Carrier]],"-",Tableau118[[#This Row],[POD]])</f>
        <v>#N/A</v>
      </c>
      <c r="F252" s="80" t="str">
        <f>_xlfn.CONCAT(Tableau118[[#This Row],[ID]],"-","Next")</f>
        <v>-Next</v>
      </c>
      <c r="G252" s="80" t="e">
        <f ca="1">_xlfn.CONCAT(Tableau118[[#This Row],[POD]],"-",Tableau118[[#This Row],[Code PFI]],"-",Tableau118[[#This Row],[Compte Site]])</f>
        <v>#N/A</v>
      </c>
      <c r="H25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2" s="118" t="str">
        <f ca="1">IF(COUNTIF(I:I,Tableau118[[#This Row],[Plant-ILN-shipper-POL-Carrier-POD-PFI]])=1,"Non","Oui")</f>
        <v>Oui</v>
      </c>
      <c r="K252" s="101" t="e">
        <f>VLOOKUP(Tableau118[[#This Row],[Name Site]],Plant_AILN!A:D,4,FALSE)</f>
        <v>#N/A</v>
      </c>
      <c r="L252" s="368"/>
      <c r="M252" s="480"/>
      <c r="N252" s="102"/>
      <c r="O252" s="124"/>
      <c r="P252" s="484"/>
      <c r="Q252" s="79"/>
      <c r="R252" s="79"/>
      <c r="S252" s="79"/>
      <c r="T252" s="79"/>
      <c r="U252" s="79"/>
      <c r="V252" s="79"/>
      <c r="W252" s="79"/>
      <c r="X252" s="124"/>
      <c r="Y252" s="485">
        <f>IFERROR(VLOOKUP(Tableau118[[#This Row],[Name Shipper]],Plant_AILN!L:M,2,FALSE),0)</f>
        <v>0</v>
      </c>
      <c r="Z252" s="369"/>
      <c r="AA252" s="354" t="e">
        <f ca="1">VLOOKUP(Tableau118[[#This Row],[Key(ID-Actif)]],'DATA BTO'!A:N,5,FALSE)</f>
        <v>#N/A</v>
      </c>
      <c r="AB252" s="106" t="e">
        <f ca="1">VLOOKUP(Tableau118[[#This Row],[Key(ID-Actif)]],'DATA BTO'!A:N,6,FALSE)</f>
        <v>#N/A</v>
      </c>
      <c r="AC252" s="79" t="e">
        <f ca="1">VLOOKUP(Tableau118[[#This Row],[Key(ID-Actif)]],'DATA BTO'!A:N,7,FALSE)</f>
        <v>#N/A</v>
      </c>
      <c r="AD252" s="79" t="e">
        <f ca="1">VLOOKUP(Tableau118[[#This Row],[Key(ID-Actif)]],'DATA BTO'!A:N,8,FALSE)</f>
        <v>#N/A</v>
      </c>
      <c r="AE252" s="79" t="e">
        <f ca="1">IF(Tableau118[[#This Row],[First Day to POL]]&lt;=Tableau118[[#This Row],[Day Cut Off]],Tableau118[[#This Row],[Day ETD]],Tableau118[[#This Row],[Day ETD]]+7)</f>
        <v>#N/A</v>
      </c>
      <c r="AF252" s="79" t="e">
        <f ca="1">VLOOKUP(Tableau118[[#This Row],[Key(ID-Actif)]],'DATA BTO'!A:N,9,FALSE)</f>
        <v>#N/A</v>
      </c>
      <c r="AG252" s="106" t="e">
        <f ca="1">VLOOKUP(Tableau118[[#This Row],[Key(ID-Actif)]],'DATA BTO'!A:N,10,FALSE)</f>
        <v>#N/A</v>
      </c>
      <c r="AH252" s="106" t="e">
        <f ca="1">VLOOKUP(Tableau118[[#This Row],[Key(ID-Actif)]],'DATA BTO'!A:N,11,FALSE)</f>
        <v>#N/A</v>
      </c>
      <c r="AI252" s="79" t="e">
        <f ca="1">VLOOKUP(Tableau118[[#This Row],[Key(ID-Actif)]],'DATA BTO'!A:N,12,FALSE)</f>
        <v>#N/A</v>
      </c>
      <c r="AJ252" s="104" t="e">
        <f ca="1">VLOOKUP(Tableau118[[#This Row],[Key(ID-Actif)]],'DATA BTO'!A:N,14,FALSE)</f>
        <v>#N/A</v>
      </c>
      <c r="AK252" s="105" t="e">
        <f ca="1">VLOOKUP(Tableau118[[#This Row],[Key(POD -PFI- Usine)]],'DATA Consignee'!A:F,6,FALSE)</f>
        <v>#N/A</v>
      </c>
      <c r="AL252" s="136"/>
      <c r="AM252" s="486" t="str">
        <f>IF(Tableau118[[#This Row],[Name PFI/CDD]]="","-",VLOOKUP(Tableau118[[#This Row],[Name PFI/CDD]],Plant_AILN!I:J,2,FALSE))</f>
        <v>-</v>
      </c>
      <c r="AN25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2" s="108" t="e">
        <f ca="1">VLOOKUP(Tableau118[[#This Row],[Key(POD -PFI- Usine)]],'DATA Consignee'!A:J,10,FALSE)</f>
        <v>#N/A</v>
      </c>
      <c r="AQ252" s="79" t="e">
        <f ca="1">VLOOKUP(Tableau118[[#This Row],[Key(POD -PFI- Usine)]],'DATA Consignee'!A:N,14,FALSE)</f>
        <v>#N/A</v>
      </c>
      <c r="AR25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2" s="79" t="e">
        <f ca="1">Tableau118[[#This Row],[Transit time]]+Tableau118[[#This Row],[Time for security]]+Tableau118[[#This Row],[Time for security2 buffer]]</f>
        <v>#N/A</v>
      </c>
      <c r="AU25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2" s="79" t="e">
        <f ca="1">Tableau118[[#This Row],[Leadtime SI2C]]+Tableau118[[#This Row],[First Receipt Days]]-Tableau118[[#This Row],[Day Customer Order]]+1</f>
        <v>#N/A</v>
      </c>
      <c r="AW252" s="118" t="e">
        <f ca="1">IF(Tableau118[[#This Row],[Name ILN]]&lt;&gt;"SFK Freight Forwarder",Tableau118[[#This Row],[Cust. Leadtime]],Tableau118[[#This Row],[Leadtime SI2C]])</f>
        <v>#N/A</v>
      </c>
      <c r="AX252" s="51" t="e">
        <f>VLOOKUP(Tableau118[[#This Row],[ID]],'DATA BTO'!B:P,15,FALSE)</f>
        <v>#N/A</v>
      </c>
      <c r="AY252" s="328" t="e">
        <f ca="1">IFERROR(VLOOKUP(Tableau118[[#This Row],[Key(ID-Actif)]],'DATA BTO'!A:N,4,FALSE),VLOOKUP(Tableau118[[#This Row],[ID]],'DATA BTO'!B:N,3,FALSE))</f>
        <v>#N/A</v>
      </c>
      <c r="AZ25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2" s="50"/>
    </row>
    <row r="253" spans="2:57">
      <c r="B253" s="65" t="str">
        <f>_xlfn.CONCAT(Tableau118[[#This Row],[Name ILN]],"-",Tableau118[[#This Row],[Name Shipper]],"-",Tableau118[[#This Row],[Name Site]])</f>
        <v>--</v>
      </c>
      <c r="C253" s="65" t="e">
        <f ca="1">_xlfn.CONCAT(Tableau118[[#This Row],[Compte ILN]],"-",Tableau118[[#This Row],[Compte Shipper]],"-",Tableau118[[#This Row],[POL]],"-",Tableau118[[#This Row],[Compte Site]])</f>
        <v>#N/A</v>
      </c>
      <c r="D253" s="80" t="e">
        <f ca="1">_xlfn.CONCAT(Tableau118[[#This Row],[Compte ILN]],"-",Tableau118[[#This Row],[Compte Shipper]],"-",Tableau118[[#This Row],[POL]])</f>
        <v>#N/A</v>
      </c>
      <c r="E253" s="81" t="e">
        <f ca="1">_xlfn.CONCAT(Tableau118[[#This Row],[POL]],"-",Tableau118[[#This Row],[Carrier]],"-",Tableau118[[#This Row],[POD]])</f>
        <v>#N/A</v>
      </c>
      <c r="F253" s="80" t="str">
        <f>_xlfn.CONCAT(Tableau118[[#This Row],[ID]],"-","Next")</f>
        <v>-Next</v>
      </c>
      <c r="G253" s="80" t="e">
        <f ca="1">_xlfn.CONCAT(Tableau118[[#This Row],[POD]],"-",Tableau118[[#This Row],[Code PFI]],"-",Tableau118[[#This Row],[Compte Site]])</f>
        <v>#N/A</v>
      </c>
      <c r="H25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3" s="118" t="str">
        <f ca="1">IF(COUNTIF(I:I,Tableau118[[#This Row],[Plant-ILN-shipper-POL-Carrier-POD-PFI]])=1,"Non","Oui")</f>
        <v>Oui</v>
      </c>
      <c r="K253" s="101" t="e">
        <f>VLOOKUP(Tableau118[[#This Row],[Name Site]],Plant_AILN!A:D,4,FALSE)</f>
        <v>#N/A</v>
      </c>
      <c r="L253" s="364"/>
      <c r="M253" s="480"/>
      <c r="N253" s="102"/>
      <c r="O253" s="124"/>
      <c r="P253" s="484"/>
      <c r="Q253" s="79"/>
      <c r="R253" s="79"/>
      <c r="S253" s="79"/>
      <c r="T253" s="79"/>
      <c r="U253" s="79"/>
      <c r="V253" s="79"/>
      <c r="W253" s="79"/>
      <c r="X253" s="124"/>
      <c r="Y253" s="485">
        <f>IFERROR(VLOOKUP(Tableau118[[#This Row],[Name Shipper]],Plant_AILN!L:M,2,FALSE),0)</f>
        <v>0</v>
      </c>
      <c r="Z253" s="369"/>
      <c r="AA253" s="354" t="e">
        <f ca="1">VLOOKUP(Tableau118[[#This Row],[Key(ID-Actif)]],'DATA BTO'!A:N,5,FALSE)</f>
        <v>#N/A</v>
      </c>
      <c r="AB253" s="106" t="e">
        <f ca="1">VLOOKUP(Tableau118[[#This Row],[Key(ID-Actif)]],'DATA BTO'!A:N,6,FALSE)</f>
        <v>#N/A</v>
      </c>
      <c r="AC253" s="79" t="e">
        <f ca="1">VLOOKUP(Tableau118[[#This Row],[Key(ID-Actif)]],'DATA BTO'!A:N,7,FALSE)</f>
        <v>#N/A</v>
      </c>
      <c r="AD253" s="79" t="e">
        <f ca="1">VLOOKUP(Tableau118[[#This Row],[Key(ID-Actif)]],'DATA BTO'!A:N,8,FALSE)</f>
        <v>#N/A</v>
      </c>
      <c r="AE253" s="79" t="e">
        <f ca="1">IF(Tableau118[[#This Row],[First Day to POL]]&lt;=Tableau118[[#This Row],[Day Cut Off]],Tableau118[[#This Row],[Day ETD]],Tableau118[[#This Row],[Day ETD]]+7)</f>
        <v>#N/A</v>
      </c>
      <c r="AF253" s="79" t="e">
        <f ca="1">VLOOKUP(Tableau118[[#This Row],[Key(ID-Actif)]],'DATA BTO'!A:N,9,FALSE)</f>
        <v>#N/A</v>
      </c>
      <c r="AG253" s="106" t="e">
        <f ca="1">VLOOKUP(Tableau118[[#This Row],[Key(ID-Actif)]],'DATA BTO'!A:N,10,FALSE)</f>
        <v>#N/A</v>
      </c>
      <c r="AH253" s="106" t="e">
        <f ca="1">VLOOKUP(Tableau118[[#This Row],[Key(ID-Actif)]],'DATA BTO'!A:N,11,FALSE)</f>
        <v>#N/A</v>
      </c>
      <c r="AI253" s="79" t="e">
        <f ca="1">VLOOKUP(Tableau118[[#This Row],[Key(ID-Actif)]],'DATA BTO'!A:N,12,FALSE)</f>
        <v>#N/A</v>
      </c>
      <c r="AJ253" s="104" t="e">
        <f ca="1">VLOOKUP(Tableau118[[#This Row],[Key(ID-Actif)]],'DATA BTO'!A:N,14,FALSE)</f>
        <v>#N/A</v>
      </c>
      <c r="AK253" s="105" t="e">
        <f ca="1">VLOOKUP(Tableau118[[#This Row],[Key(POD -PFI- Usine)]],'DATA Consignee'!A:F,6,FALSE)</f>
        <v>#N/A</v>
      </c>
      <c r="AL253" s="136"/>
      <c r="AM253" s="486" t="str">
        <f>IF(Tableau118[[#This Row],[Name PFI/CDD]]="","-",VLOOKUP(Tableau118[[#This Row],[Name PFI/CDD]],Plant_AILN!I:J,2,FALSE))</f>
        <v>-</v>
      </c>
      <c r="AN25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3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3" s="108" t="e">
        <f ca="1">VLOOKUP(Tableau118[[#This Row],[Key(POD -PFI- Usine)]],'DATA Consignee'!A:J,10,FALSE)</f>
        <v>#N/A</v>
      </c>
      <c r="AQ253" s="79" t="e">
        <f ca="1">VLOOKUP(Tableau118[[#This Row],[Key(POD -PFI- Usine)]],'DATA Consignee'!A:N,14,FALSE)</f>
        <v>#N/A</v>
      </c>
      <c r="AR25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3" s="79" t="e">
        <f ca="1">Tableau118[[#This Row],[Transit time]]+Tableau118[[#This Row],[Time for security]]+Tableau118[[#This Row],[Time for security2 buffer]]</f>
        <v>#N/A</v>
      </c>
      <c r="AU25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3" s="79" t="e">
        <f ca="1">Tableau118[[#This Row],[Leadtime SI2C]]+Tableau118[[#This Row],[First Receipt Days]]-Tableau118[[#This Row],[Day Customer Order]]+1</f>
        <v>#N/A</v>
      </c>
      <c r="AW253" s="118" t="e">
        <f ca="1">IF(Tableau118[[#This Row],[Name ILN]]&lt;&gt;"SFK Freight Forwarder",Tableau118[[#This Row],[Cust. Leadtime]],Tableau118[[#This Row],[Leadtime SI2C]])</f>
        <v>#N/A</v>
      </c>
      <c r="AX253" s="51" t="e">
        <f>VLOOKUP(Tableau118[[#This Row],[ID]],'DATA BTO'!B:P,15,FALSE)</f>
        <v>#N/A</v>
      </c>
      <c r="AY253" s="328" t="e">
        <f ca="1">IFERROR(VLOOKUP(Tableau118[[#This Row],[Key(ID-Actif)]],'DATA BTO'!A:N,4,FALSE),VLOOKUP(Tableau118[[#This Row],[ID]],'DATA BTO'!B:N,3,FALSE))</f>
        <v>#N/A</v>
      </c>
      <c r="AZ25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3" s="50"/>
    </row>
    <row r="254" spans="2:57" ht="15.75" customHeight="1" thickBot="1">
      <c r="B254" s="65" t="str">
        <f>_xlfn.CONCAT(Tableau118[[#This Row],[Name ILN]],"-",Tableau118[[#This Row],[Name Shipper]],"-",Tableau118[[#This Row],[Name Site]])</f>
        <v>--</v>
      </c>
      <c r="C254" s="65" t="e">
        <f ca="1">_xlfn.CONCAT(Tableau118[[#This Row],[Compte ILN]],"-",Tableau118[[#This Row],[Compte Shipper]],"-",Tableau118[[#This Row],[POL]],"-",Tableau118[[#This Row],[Compte Site]])</f>
        <v>#N/A</v>
      </c>
      <c r="D254" s="80" t="e">
        <f ca="1">_xlfn.CONCAT(Tableau118[[#This Row],[Compte ILN]],"-",Tableau118[[#This Row],[Compte Shipper]],"-",Tableau118[[#This Row],[POL]])</f>
        <v>#N/A</v>
      </c>
      <c r="E254" s="81" t="e">
        <f ca="1">_xlfn.CONCAT(Tableau118[[#This Row],[POL]],"-",Tableau118[[#This Row],[Carrier]],"-",Tableau118[[#This Row],[POD]])</f>
        <v>#N/A</v>
      </c>
      <c r="F254" s="80" t="str">
        <f>_xlfn.CONCAT(Tableau118[[#This Row],[ID]],"-","Next")</f>
        <v>-Next</v>
      </c>
      <c r="G254" s="80" t="e">
        <f ca="1">_xlfn.CONCAT(Tableau118[[#This Row],[POD]],"-",Tableau118[[#This Row],[Code PFI]],"-",Tableau118[[#This Row],[Compte Site]])</f>
        <v>#N/A</v>
      </c>
      <c r="H254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4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4" s="118" t="str">
        <f ca="1">IF(COUNTIF(I:I,Tableau118[[#This Row],[Plant-ILN-shipper-POL-Carrier-POD-PFI]])=1,"Non","Oui")</f>
        <v>Oui</v>
      </c>
      <c r="K254" s="101" t="e">
        <f>VLOOKUP(Tableau118[[#This Row],[Name Site]],Plant_AILN!A:D,4,FALSE)</f>
        <v>#N/A</v>
      </c>
      <c r="L254" s="368"/>
      <c r="M254" s="480"/>
      <c r="N254" s="102"/>
      <c r="O254" s="124"/>
      <c r="P254" s="484"/>
      <c r="Q254" s="79"/>
      <c r="R254" s="79"/>
      <c r="S254" s="79"/>
      <c r="T254" s="79"/>
      <c r="U254" s="79"/>
      <c r="V254" s="79"/>
      <c r="W254" s="79"/>
      <c r="X254" s="100"/>
      <c r="Y254" s="487">
        <f>IFERROR(VLOOKUP(Tableau118[[#This Row],[Name Shipper]],Plant_AILN!L:M,2,FALSE),0)</f>
        <v>0</v>
      </c>
      <c r="Z254" s="367"/>
      <c r="AA254" s="354" t="e">
        <f ca="1">VLOOKUP(Tableau118[[#This Row],[Key(ID-Actif)]],'DATA BTO'!A:N,5,FALSE)</f>
        <v>#N/A</v>
      </c>
      <c r="AB254" s="106" t="e">
        <f ca="1">VLOOKUP(Tableau118[[#This Row],[Key(ID-Actif)]],'DATA BTO'!A:N,6,FALSE)</f>
        <v>#N/A</v>
      </c>
      <c r="AC254" s="79" t="e">
        <f ca="1">VLOOKUP(Tableau118[[#This Row],[Key(ID-Actif)]],'DATA BTO'!A:N,7,FALSE)</f>
        <v>#N/A</v>
      </c>
      <c r="AD254" s="79" t="e">
        <f ca="1">VLOOKUP(Tableau118[[#This Row],[Key(ID-Actif)]],'DATA BTO'!A:N,8,FALSE)</f>
        <v>#N/A</v>
      </c>
      <c r="AE254" s="79" t="e">
        <f ca="1">IF(Tableau118[[#This Row],[First Day to POL]]&lt;=Tableau118[[#This Row],[Day Cut Off]],Tableau118[[#This Row],[Day ETD]],Tableau118[[#This Row],[Day ETD]]+7)</f>
        <v>#N/A</v>
      </c>
      <c r="AF254" s="79" t="e">
        <f ca="1">VLOOKUP(Tableau118[[#This Row],[Key(ID-Actif)]],'DATA BTO'!A:N,9,FALSE)</f>
        <v>#N/A</v>
      </c>
      <c r="AG254" s="106" t="e">
        <f ca="1">VLOOKUP(Tableau118[[#This Row],[Key(ID-Actif)]],'DATA BTO'!A:N,10,FALSE)</f>
        <v>#N/A</v>
      </c>
      <c r="AH254" s="106" t="e">
        <f ca="1">VLOOKUP(Tableau118[[#This Row],[Key(ID-Actif)]],'DATA BTO'!A:N,11,FALSE)</f>
        <v>#N/A</v>
      </c>
      <c r="AI254" s="79" t="e">
        <f ca="1">VLOOKUP(Tableau118[[#This Row],[Key(ID-Actif)]],'DATA BTO'!A:N,12,FALSE)</f>
        <v>#N/A</v>
      </c>
      <c r="AJ254" s="104" t="e">
        <f ca="1">VLOOKUP(Tableau118[[#This Row],[Key(ID-Actif)]],'DATA BTO'!A:N,14,FALSE)</f>
        <v>#N/A</v>
      </c>
      <c r="AK254" s="105" t="e">
        <f ca="1">VLOOKUP(Tableau118[[#This Row],[Key(POD -PFI- Usine)]],'DATA Consignee'!A:F,6,FALSE)</f>
        <v>#N/A</v>
      </c>
      <c r="AL254" s="136"/>
      <c r="AM254" s="486" t="str">
        <f>IF(Tableau118[[#This Row],[Name PFI/CDD]]="","-",VLOOKUP(Tableau118[[#This Row],[Name PFI/CDD]],Plant_AILN!I:J,2,FALSE))</f>
        <v>-</v>
      </c>
      <c r="AN254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4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4" s="108" t="e">
        <f ca="1">VLOOKUP(Tableau118[[#This Row],[Key(POD -PFI- Usine)]],'DATA Consignee'!A:J,10,FALSE)</f>
        <v>#N/A</v>
      </c>
      <c r="AQ254" s="79" t="e">
        <f ca="1">VLOOKUP(Tableau118[[#This Row],[Key(POD -PFI- Usine)]],'DATA Consignee'!A:N,14,FALSE)</f>
        <v>#N/A</v>
      </c>
      <c r="AR254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4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4" s="79" t="e">
        <f ca="1">Tableau118[[#This Row],[Transit time]]+Tableau118[[#This Row],[Time for security]]+Tableau118[[#This Row],[Time for security2 buffer]]</f>
        <v>#N/A</v>
      </c>
      <c r="AU254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4" s="79" t="e">
        <f ca="1">Tableau118[[#This Row],[Leadtime SI2C]]+Tableau118[[#This Row],[First Receipt Days]]-Tableau118[[#This Row],[Day Customer Order]]+1</f>
        <v>#N/A</v>
      </c>
      <c r="AW254" s="118" t="e">
        <f ca="1">IF(Tableau118[[#This Row],[Name ILN]]&lt;&gt;"SFK Freight Forwarder",Tableau118[[#This Row],[Cust. Leadtime]],Tableau118[[#This Row],[Leadtime SI2C]])</f>
        <v>#N/A</v>
      </c>
      <c r="AX254" s="51" t="e">
        <f>VLOOKUP(Tableau118[[#This Row],[ID]],'DATA BTO'!B:P,15,FALSE)</f>
        <v>#N/A</v>
      </c>
      <c r="AY254" s="328" t="e">
        <f ca="1">IFERROR(VLOOKUP(Tableau118[[#This Row],[Key(ID-Actif)]],'DATA BTO'!A:N,4,FALSE),VLOOKUP(Tableau118[[#This Row],[ID]],'DATA BTO'!B:N,3,FALSE))</f>
        <v>#N/A</v>
      </c>
      <c r="AZ25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4" s="403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4" s="403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4" s="403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4" s="404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4" s="50"/>
    </row>
    <row r="255" spans="2:57">
      <c r="B255" s="65" t="str">
        <f>_xlfn.CONCAT(Tableau118[[#This Row],[Name ILN]],"-",Tableau118[[#This Row],[Name Shipper]],"-",Tableau118[[#This Row],[Name Site]])</f>
        <v>--</v>
      </c>
      <c r="C255" s="80" t="e">
        <f ca="1">_xlfn.CONCAT(Tableau118[[#This Row],[Compte ILN]],"-",Tableau118[[#This Row],[Compte Shipper]],"-",Tableau118[[#This Row],[POL]],"-",Tableau118[[#This Row],[Compte Site]])</f>
        <v>#N/A</v>
      </c>
      <c r="D255" s="80" t="e">
        <f ca="1">_xlfn.CONCAT(Tableau118[[#This Row],[Compte ILN]],"-",Tableau118[[#This Row],[Compte Shipper]],"-",Tableau118[[#This Row],[POL]])</f>
        <v>#N/A</v>
      </c>
      <c r="E255" s="81" t="e">
        <f ca="1">_xlfn.CONCAT(Tableau118[[#This Row],[POL]],"-",Tableau118[[#This Row],[Carrier]],"-",Tableau118[[#This Row],[POD]])</f>
        <v>#N/A</v>
      </c>
      <c r="F255" s="80" t="str">
        <f>_xlfn.CONCAT(Tableau118[[#This Row],[ID]],"-","Next")</f>
        <v>-Next</v>
      </c>
      <c r="G255" s="80" t="e">
        <f ca="1">_xlfn.CONCAT(Tableau118[[#This Row],[POD]],"-",Tableau118[[#This Row],[Code PFI]],"-",Tableau118[[#This Row],[Compte Site]])</f>
        <v>#N/A</v>
      </c>
      <c r="H255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5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5" s="118" t="str">
        <f ca="1">IF(COUNTIF(I:I,Tableau118[[#This Row],[Plant-ILN-shipper-POL-Carrier-POD-PFI]])=1,"Non","Oui")</f>
        <v>Oui</v>
      </c>
      <c r="K255" s="101" t="e">
        <f>VLOOKUP(Tableau118[[#This Row],[Name Site]],Plant_AILN!A:D,4,FALSE)</f>
        <v>#N/A</v>
      </c>
      <c r="L255" s="368"/>
      <c r="M255" s="480"/>
      <c r="N255" s="102"/>
      <c r="O255" s="124"/>
      <c r="P255" s="484"/>
      <c r="Q255" s="79"/>
      <c r="R255" s="79"/>
      <c r="S255" s="79"/>
      <c r="T255" s="79"/>
      <c r="U255" s="79"/>
      <c r="V255" s="79"/>
      <c r="W255" s="79"/>
      <c r="X255" s="100"/>
      <c r="Y255" s="485">
        <f>IFERROR(VLOOKUP(Tableau118[[#This Row],[Name Shipper]],Plant_AILN!L:M,2,FALSE),0)</f>
        <v>0</v>
      </c>
      <c r="Z255" s="369"/>
      <c r="AA255" s="354" t="e">
        <f ca="1">VLOOKUP(Tableau118[[#This Row],[Key(ID-Actif)]],'DATA BTO'!A:N,5,FALSE)</f>
        <v>#N/A</v>
      </c>
      <c r="AB255" s="106" t="e">
        <f ca="1">VLOOKUP(Tableau118[[#This Row],[Key(ID-Actif)]],'DATA BTO'!A:N,6,FALSE)</f>
        <v>#N/A</v>
      </c>
      <c r="AC255" s="79" t="e">
        <f ca="1">VLOOKUP(Tableau118[[#This Row],[Key(ID-Actif)]],'DATA BTO'!A:N,7,FALSE)</f>
        <v>#N/A</v>
      </c>
      <c r="AD255" s="79" t="e">
        <f ca="1">VLOOKUP(Tableau118[[#This Row],[Key(ID-Actif)]],'DATA BTO'!A:N,8,FALSE)</f>
        <v>#N/A</v>
      </c>
      <c r="AE255" s="79" t="e">
        <f ca="1">IF(Tableau118[[#This Row],[First Day to POL]]&lt;=Tableau118[[#This Row],[Day Cut Off]],Tableau118[[#This Row],[Day ETD]],Tableau118[[#This Row],[Day ETD]]+7)</f>
        <v>#N/A</v>
      </c>
      <c r="AF255" s="79" t="e">
        <f ca="1">VLOOKUP(Tableau118[[#This Row],[Key(ID-Actif)]],'DATA BTO'!A:N,9,FALSE)</f>
        <v>#N/A</v>
      </c>
      <c r="AG255" s="106" t="e">
        <f ca="1">VLOOKUP(Tableau118[[#This Row],[Key(ID-Actif)]],'DATA BTO'!A:N,10,FALSE)</f>
        <v>#N/A</v>
      </c>
      <c r="AH255" s="106" t="e">
        <f ca="1">VLOOKUP(Tableau118[[#This Row],[Key(ID-Actif)]],'DATA BTO'!A:N,11,FALSE)</f>
        <v>#N/A</v>
      </c>
      <c r="AI255" s="79" t="e">
        <f ca="1">VLOOKUP(Tableau118[[#This Row],[Key(ID-Actif)]],'DATA BTO'!A:N,12,FALSE)</f>
        <v>#N/A</v>
      </c>
      <c r="AJ255" s="104" t="e">
        <f ca="1">VLOOKUP(Tableau118[[#This Row],[Key(ID-Actif)]],'DATA BTO'!A:N,14,FALSE)</f>
        <v>#N/A</v>
      </c>
      <c r="AK255" s="105" t="e">
        <f ca="1">VLOOKUP(Tableau118[[#This Row],[Key(POD -PFI- Usine)]],'DATA Consignee'!A:F,6,FALSE)</f>
        <v>#N/A</v>
      </c>
      <c r="AL255" s="136"/>
      <c r="AM255" s="486" t="str">
        <f>IF(Tableau118[[#This Row],[Name PFI/CDD]]="","-",VLOOKUP(Tableau118[[#This Row],[Name PFI/CDD]],Plant_AILN!I:J,2,FALSE))</f>
        <v>-</v>
      </c>
      <c r="AN255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5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5" s="108" t="e">
        <f ca="1">VLOOKUP(Tableau118[[#This Row],[Key(POD -PFI- Usine)]],'DATA Consignee'!A:J,10,FALSE)</f>
        <v>#N/A</v>
      </c>
      <c r="AQ255" s="79" t="e">
        <f ca="1">VLOOKUP(Tableau118[[#This Row],[Key(POD -PFI- Usine)]],'DATA Consignee'!A:N,14,FALSE)</f>
        <v>#N/A</v>
      </c>
      <c r="AR255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5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5" s="79" t="e">
        <f ca="1">Tableau118[[#This Row],[Transit time]]+Tableau118[[#This Row],[Time for security]]+Tableau118[[#This Row],[Time for security2 buffer]]</f>
        <v>#N/A</v>
      </c>
      <c r="AU255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5" s="79" t="e">
        <f ca="1">Tableau118[[#This Row],[Leadtime SI2C]]+Tableau118[[#This Row],[First Receipt Days]]-Tableau118[[#This Row],[Day Customer Order]]+1</f>
        <v>#N/A</v>
      </c>
      <c r="AW255" s="118" t="e">
        <f ca="1">IF(Tableau118[[#This Row],[Name ILN]]&lt;&gt;"SFK Freight Forwarder",Tableau118[[#This Row],[Cust. Leadtime]],Tableau118[[#This Row],[Leadtime SI2C]])</f>
        <v>#N/A</v>
      </c>
      <c r="AX255" s="51" t="e">
        <f>VLOOKUP(Tableau118[[#This Row],[ID]],'DATA BTO'!B:P,15,FALSE)</f>
        <v>#N/A</v>
      </c>
      <c r="AY255" s="328" t="e">
        <f ca="1">IFERROR(VLOOKUP(Tableau118[[#This Row],[Key(ID-Actif)]],'DATA BTO'!A:N,4,FALSE),VLOOKUP(Tableau118[[#This Row],[ID]],'DATA BTO'!B:N,3,FALSE))</f>
        <v>#N/A</v>
      </c>
      <c r="AZ25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5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5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5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5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5" s="50"/>
    </row>
    <row r="256" spans="2:57">
      <c r="B256" s="370" t="str">
        <f>_xlfn.CONCAT(Tableau118[[#This Row],[Name ILN]],"-",Tableau118[[#This Row],[Name Shipper]],"-",Tableau118[[#This Row],[Name Site]])</f>
        <v>--</v>
      </c>
      <c r="C256" s="80" t="e">
        <f ca="1">_xlfn.CONCAT(Tableau118[[#This Row],[Compte ILN]],"-",Tableau118[[#This Row],[Compte Shipper]],"-",Tableau118[[#This Row],[POL]],"-",Tableau118[[#This Row],[Compte Site]])</f>
        <v>#N/A</v>
      </c>
      <c r="D256" s="80" t="e">
        <f ca="1">_xlfn.CONCAT(Tableau118[[#This Row],[Compte ILN]],"-",Tableau118[[#This Row],[Compte Shipper]],"-",Tableau118[[#This Row],[POL]])</f>
        <v>#N/A</v>
      </c>
      <c r="E256" s="81" t="e">
        <f ca="1">_xlfn.CONCAT(Tableau118[[#This Row],[POL]],"-",Tableau118[[#This Row],[Carrier]],"-",Tableau118[[#This Row],[POD]])</f>
        <v>#N/A</v>
      </c>
      <c r="F256" s="80" t="str">
        <f>_xlfn.CONCAT(Tableau118[[#This Row],[ID]],"-","Next")</f>
        <v>-Next</v>
      </c>
      <c r="G256" s="80" t="e">
        <f ca="1">_xlfn.CONCAT(Tableau118[[#This Row],[POD]],"-",Tableau118[[#This Row],[Code PFI]],"-",Tableau118[[#This Row],[Compte Site]])</f>
        <v>#N/A</v>
      </c>
      <c r="H256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6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6" s="118" t="str">
        <f ca="1">IF(COUNTIF(I:I,Tableau118[[#This Row],[Plant-ILN-shipper-POL-Carrier-POD-PFI]])=1,"Non","Oui")</f>
        <v>Oui</v>
      </c>
      <c r="K256" s="101" t="e">
        <f>VLOOKUP(Tableau118[[#This Row],[Name Site]],Plant_AILN!A:D,4,FALSE)</f>
        <v>#N/A</v>
      </c>
      <c r="L256" s="368"/>
      <c r="M256" s="480"/>
      <c r="N256" s="102"/>
      <c r="O256" s="124"/>
      <c r="P256" s="484"/>
      <c r="Q256" s="79"/>
      <c r="R256" s="79"/>
      <c r="S256" s="79"/>
      <c r="T256" s="79"/>
      <c r="U256" s="79"/>
      <c r="V256" s="79"/>
      <c r="W256" s="79"/>
      <c r="X256" s="100"/>
      <c r="Y256" s="485">
        <f>IFERROR(VLOOKUP(Tableau118[[#This Row],[Name Shipper]],Plant_AILN!L:M,2,FALSE),0)</f>
        <v>0</v>
      </c>
      <c r="Z256" s="349"/>
      <c r="AA256" s="354" t="e">
        <f ca="1">VLOOKUP(Tableau118[[#This Row],[Key(ID-Actif)]],'DATA BTO'!A:N,5,FALSE)</f>
        <v>#N/A</v>
      </c>
      <c r="AB256" s="106" t="e">
        <f ca="1">VLOOKUP(Tableau118[[#This Row],[Key(ID-Actif)]],'DATA BTO'!A:N,6,FALSE)</f>
        <v>#N/A</v>
      </c>
      <c r="AC256" s="79" t="e">
        <f ca="1">VLOOKUP(Tableau118[[#This Row],[Key(ID-Actif)]],'DATA BTO'!A:N,7,FALSE)</f>
        <v>#N/A</v>
      </c>
      <c r="AD256" s="79" t="e">
        <f ca="1">VLOOKUP(Tableau118[[#This Row],[Key(ID-Actif)]],'DATA BTO'!A:N,8,FALSE)</f>
        <v>#N/A</v>
      </c>
      <c r="AE256" s="79" t="e">
        <f ca="1">IF(Tableau118[[#This Row],[First Day to POL]]&lt;=Tableau118[[#This Row],[Day Cut Off]],Tableau118[[#This Row],[Day ETD]],Tableau118[[#This Row],[Day ETD]]+7)</f>
        <v>#N/A</v>
      </c>
      <c r="AF256" s="79" t="e">
        <f ca="1">VLOOKUP(Tableau118[[#This Row],[Key(ID-Actif)]],'DATA BTO'!A:N,9,FALSE)</f>
        <v>#N/A</v>
      </c>
      <c r="AG256" s="106" t="e">
        <f ca="1">VLOOKUP(Tableau118[[#This Row],[Key(ID-Actif)]],'DATA BTO'!A:N,10,FALSE)</f>
        <v>#N/A</v>
      </c>
      <c r="AH256" s="106" t="e">
        <f ca="1">VLOOKUP(Tableau118[[#This Row],[Key(ID-Actif)]],'DATA BTO'!A:N,11,FALSE)</f>
        <v>#N/A</v>
      </c>
      <c r="AI256" s="79" t="e">
        <f ca="1">VLOOKUP(Tableau118[[#This Row],[Key(ID-Actif)]],'DATA BTO'!A:N,12,FALSE)</f>
        <v>#N/A</v>
      </c>
      <c r="AJ256" s="104" t="e">
        <f ca="1">VLOOKUP(Tableau118[[#This Row],[Key(ID-Actif)]],'DATA BTO'!A:N,14,FALSE)</f>
        <v>#N/A</v>
      </c>
      <c r="AK256" s="105" t="e">
        <f ca="1">VLOOKUP(Tableau118[[#This Row],[Key(POD -PFI- Usine)]],'DATA Consignee'!A:F,6,FALSE)</f>
        <v>#N/A</v>
      </c>
      <c r="AL256" s="100" t="s">
        <v>153</v>
      </c>
      <c r="AM256" s="486">
        <f>IF(Tableau118[[#This Row],[Name PFI/CDD]]="","-",VLOOKUP(Tableau118[[#This Row],[Name PFI/CDD]],Plant_AILN!I:J,2,FALSE))</f>
        <v>90016600</v>
      </c>
      <c r="AN256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6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6" s="108" t="e">
        <f ca="1">VLOOKUP(Tableau118[[#This Row],[Key(POD -PFI- Usine)]],'DATA Consignee'!A:J,10,FALSE)</f>
        <v>#N/A</v>
      </c>
      <c r="AQ256" s="79" t="e">
        <f ca="1">VLOOKUP(Tableau118[[#This Row],[Key(POD -PFI- Usine)]],'DATA Consignee'!A:N,14,FALSE)</f>
        <v>#N/A</v>
      </c>
      <c r="AR256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6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6" s="79" t="e">
        <f ca="1">Tableau118[[#This Row],[Transit time]]+Tableau118[[#This Row],[Time for security]]+Tableau118[[#This Row],[Time for security2 buffer]]</f>
        <v>#N/A</v>
      </c>
      <c r="AU256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6" s="79" t="e">
        <f ca="1">Tableau118[[#This Row],[Leadtime SI2C]]+Tableau118[[#This Row],[First Receipt Days]]-Tableau118[[#This Row],[Day Customer Order]]+1</f>
        <v>#N/A</v>
      </c>
      <c r="AW256" s="118" t="e">
        <f ca="1">IF(Tableau118[[#This Row],[Name ILN]]&lt;&gt;"SFK Freight Forwarder",Tableau118[[#This Row],[Cust. Leadtime]],Tableau118[[#This Row],[Leadtime SI2C]])</f>
        <v>#N/A</v>
      </c>
      <c r="AX256" s="51" t="e">
        <f>VLOOKUP(Tableau118[[#This Row],[ID]],'DATA BTO'!B:P,15,FALSE)</f>
        <v>#N/A</v>
      </c>
      <c r="AY256" s="347" t="e">
        <f ca="1">IFERROR(VLOOKUP(Tableau118[[#This Row],[Key(ID-Actif)]],'DATA BTO'!A:N,4,FALSE),VLOOKUP(Tableau118[[#This Row],[ID]],'DATA BTO'!B:N,3,FALSE))</f>
        <v>#N/A</v>
      </c>
      <c r="AZ256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6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6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6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6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6" s="50"/>
    </row>
    <row r="257" spans="2:57">
      <c r="B257" s="370" t="str">
        <f>_xlfn.CONCAT(Tableau118[[#This Row],[Name ILN]],"-",Tableau118[[#This Row],[Name Shipper]],"-",Tableau118[[#This Row],[Name Site]])</f>
        <v>--</v>
      </c>
      <c r="C257" s="80" t="e">
        <f ca="1">_xlfn.CONCAT(Tableau118[[#This Row],[Compte ILN]],"-",Tableau118[[#This Row],[Compte Shipper]],"-",Tableau118[[#This Row],[POL]],"-",Tableau118[[#This Row],[Compte Site]])</f>
        <v>#N/A</v>
      </c>
      <c r="D257" s="80" t="e">
        <f ca="1">_xlfn.CONCAT(Tableau118[[#This Row],[Compte ILN]],"-",Tableau118[[#This Row],[Compte Shipper]],"-",Tableau118[[#This Row],[POL]])</f>
        <v>#N/A</v>
      </c>
      <c r="E257" s="81" t="e">
        <f ca="1">_xlfn.CONCAT(Tableau118[[#This Row],[POL]],"-",Tableau118[[#This Row],[Carrier]],"-",Tableau118[[#This Row],[POD]])</f>
        <v>#N/A</v>
      </c>
      <c r="F257" s="80" t="str">
        <f>_xlfn.CONCAT(Tableau118[[#This Row],[ID]],"-","Next")</f>
        <v>-Next</v>
      </c>
      <c r="G257" s="80" t="e">
        <f ca="1">_xlfn.CONCAT(Tableau118[[#This Row],[POD]],"-",Tableau118[[#This Row],[Code PFI]],"-",Tableau118[[#This Row],[Compte Site]])</f>
        <v>#N/A</v>
      </c>
      <c r="H25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7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7" s="118" t="str">
        <f ca="1">IF(COUNTIF(I:I,Tableau118[[#This Row],[Plant-ILN-shipper-POL-Carrier-POD-PFI]])=1,"Non","Oui")</f>
        <v>Oui</v>
      </c>
      <c r="K257" s="101" t="e">
        <f>VLOOKUP(Tableau118[[#This Row],[Name Site]],Plant_AILN!A:D,4,FALSE)</f>
        <v>#N/A</v>
      </c>
      <c r="L257" s="368"/>
      <c r="M257" s="480"/>
      <c r="N257" s="102"/>
      <c r="O257" s="114"/>
      <c r="P257" s="484"/>
      <c r="Q257" s="79"/>
      <c r="R257" s="79"/>
      <c r="S257" s="79"/>
      <c r="T257" s="79"/>
      <c r="U257" s="79"/>
      <c r="V257" s="79"/>
      <c r="W257" s="79"/>
      <c r="X257" s="283"/>
      <c r="Y257" s="485">
        <f>IFERROR(VLOOKUP(Tableau118[[#This Row],[Name Shipper]],Plant_AILN!L:M,2,FALSE),0)</f>
        <v>0</v>
      </c>
      <c r="Z257" s="369"/>
      <c r="AA257" s="354" t="e">
        <f ca="1">VLOOKUP(Tableau118[[#This Row],[Key(ID-Actif)]],'DATA BTO'!A:N,5,FALSE)</f>
        <v>#N/A</v>
      </c>
      <c r="AB257" s="106" t="e">
        <f ca="1">VLOOKUP(Tableau118[[#This Row],[Key(ID-Actif)]],'DATA BTO'!A:N,6,FALSE)</f>
        <v>#N/A</v>
      </c>
      <c r="AC257" s="79" t="e">
        <f ca="1">VLOOKUP(Tableau118[[#This Row],[Key(ID-Actif)]],'DATA BTO'!A:N,7,FALSE)</f>
        <v>#N/A</v>
      </c>
      <c r="AD257" s="79" t="e">
        <f ca="1">VLOOKUP(Tableau118[[#This Row],[Key(ID-Actif)]],'DATA BTO'!A:N,8,FALSE)</f>
        <v>#N/A</v>
      </c>
      <c r="AE257" s="79" t="e">
        <f ca="1">IF(Tableau118[[#This Row],[First Day to POL]]&lt;=Tableau118[[#This Row],[Day Cut Off]],Tableau118[[#This Row],[Day ETD]],Tableau118[[#This Row],[Day ETD]]+7)</f>
        <v>#N/A</v>
      </c>
      <c r="AF257" s="79" t="e">
        <f ca="1">VLOOKUP(Tableau118[[#This Row],[Key(ID-Actif)]],'DATA BTO'!A:N,9,FALSE)</f>
        <v>#N/A</v>
      </c>
      <c r="AG257" s="106" t="e">
        <f ca="1">VLOOKUP(Tableau118[[#This Row],[Key(ID-Actif)]],'DATA BTO'!A:N,10,FALSE)</f>
        <v>#N/A</v>
      </c>
      <c r="AH257" s="106" t="e">
        <f ca="1">VLOOKUP(Tableau118[[#This Row],[Key(ID-Actif)]],'DATA BTO'!A:N,11,FALSE)</f>
        <v>#N/A</v>
      </c>
      <c r="AI257" s="79" t="e">
        <f ca="1">VLOOKUP(Tableau118[[#This Row],[Key(ID-Actif)]],'DATA BTO'!A:N,12,FALSE)</f>
        <v>#N/A</v>
      </c>
      <c r="AJ257" s="104" t="e">
        <f ca="1">VLOOKUP(Tableau118[[#This Row],[Key(ID-Actif)]],'DATA BTO'!A:N,14,FALSE)</f>
        <v>#N/A</v>
      </c>
      <c r="AK257" s="105" t="e">
        <f ca="1">VLOOKUP(Tableau118[[#This Row],[Key(POD -PFI- Usine)]],'DATA Consignee'!A:F,6,FALSE)</f>
        <v>#N/A</v>
      </c>
      <c r="AL257" s="125" t="s">
        <v>161</v>
      </c>
      <c r="AM257" s="486">
        <f>IF(Tableau118[[#This Row],[Name PFI/CDD]]="","-",VLOOKUP(Tableau118[[#This Row],[Name PFI/CDD]],Plant_AILN!I:J,2,FALSE))</f>
        <v>91018400</v>
      </c>
      <c r="AN257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57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57" s="108" t="e">
        <f ca="1">VLOOKUP(Tableau118[[#This Row],[Key(POD -PFI- Usine)]],'DATA Consignee'!A:J,10,FALSE)</f>
        <v>#N/A</v>
      </c>
      <c r="AQ257" s="79" t="e">
        <f ca="1">VLOOKUP(Tableau118[[#This Row],[Key(POD -PFI- Usine)]],'DATA Consignee'!A:N,14,FALSE)</f>
        <v>#N/A</v>
      </c>
      <c r="AR257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7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7" s="79" t="e">
        <f ca="1">Tableau118[[#This Row],[Transit time]]+Tableau118[[#This Row],[Time for security]]+Tableau118[[#This Row],[Time for security2 buffer]]</f>
        <v>#N/A</v>
      </c>
      <c r="AU257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7" s="79" t="e">
        <f ca="1">Tableau118[[#This Row],[Leadtime SI2C]]+Tableau118[[#This Row],[First Receipt Days]]-Tableau118[[#This Row],[Day Customer Order]]+1</f>
        <v>#N/A</v>
      </c>
      <c r="AW257" s="118" t="e">
        <f ca="1">IF(Tableau118[[#This Row],[Name ILN]]&lt;&gt;"SFK Freight Forwarder",Tableau118[[#This Row],[Cust. Leadtime]],Tableau118[[#This Row],[Leadtime SI2C]])</f>
        <v>#N/A</v>
      </c>
      <c r="AX257" s="51" t="e">
        <f>VLOOKUP(Tableau118[[#This Row],[ID]],'DATA BTO'!B:P,15,FALSE)</f>
        <v>#N/A</v>
      </c>
      <c r="AY257" s="347" t="e">
        <f ca="1">IFERROR(VLOOKUP(Tableau118[[#This Row],[Key(ID-Actif)]],'DATA BTO'!A:N,4,FALSE),VLOOKUP(Tableau118[[#This Row],[ID]],'DATA BTO'!B:N,3,FALSE))</f>
        <v>#N/A</v>
      </c>
      <c r="AZ257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7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7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7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7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7" s="50"/>
    </row>
    <row r="258" spans="2:57">
      <c r="B258" s="370" t="str">
        <f>_xlfn.CONCAT(Tableau118[[#This Row],[Name ILN]],"-",Tableau118[[#This Row],[Name Shipper]],"-",Tableau118[[#This Row],[Name Site]])</f>
        <v>--</v>
      </c>
      <c r="C258" s="80" t="e">
        <f ca="1">_xlfn.CONCAT(Tableau118[[#This Row],[Compte ILN]],"-",Tableau118[[#This Row],[Compte Shipper]],"-",Tableau118[[#This Row],[POL]],"-",Tableau118[[#This Row],[Compte Site]])</f>
        <v>#N/A</v>
      </c>
      <c r="D258" s="80" t="e">
        <f ca="1">_xlfn.CONCAT(Tableau118[[#This Row],[Compte ILN]],"-",Tableau118[[#This Row],[Compte Shipper]],"-",Tableau118[[#This Row],[POL]])</f>
        <v>#N/A</v>
      </c>
      <c r="E258" s="81" t="e">
        <f ca="1">_xlfn.CONCAT(Tableau118[[#This Row],[POL]],"-",Tableau118[[#This Row],[Carrier]],"-",Tableau118[[#This Row],[POD]])</f>
        <v>#N/A</v>
      </c>
      <c r="F258" s="80" t="str">
        <f>_xlfn.CONCAT(Tableau118[[#This Row],[ID]],"-","Next")</f>
        <v>-Next</v>
      </c>
      <c r="G258" s="80" t="e">
        <f ca="1">_xlfn.CONCAT(Tableau118[[#This Row],[POD]],"-",Tableau118[[#This Row],[Code PFI]],"-",Tableau118[[#This Row],[Compte Site]])</f>
        <v>#N/A</v>
      </c>
      <c r="H258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8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8" s="118" t="str">
        <f ca="1">IF(COUNTIF(I:I,Tableau118[[#This Row],[Plant-ILN-shipper-POL-Carrier-POD-PFI]])=1,"Non","Oui")</f>
        <v>Oui</v>
      </c>
      <c r="K258" s="101" t="e">
        <f>VLOOKUP(Tableau118[[#This Row],[Name Site]],Plant_AILN!A:D,4,FALSE)</f>
        <v>#N/A</v>
      </c>
      <c r="L258" s="368"/>
      <c r="M258" s="480"/>
      <c r="N258" s="102"/>
      <c r="O258" s="114"/>
      <c r="P258" s="484"/>
      <c r="Q258" s="79"/>
      <c r="R258" s="79"/>
      <c r="S258" s="79"/>
      <c r="T258" s="79"/>
      <c r="U258" s="79"/>
      <c r="V258" s="79"/>
      <c r="W258" s="79"/>
      <c r="X258" s="114"/>
      <c r="Y258" s="485">
        <f>IFERROR(VLOOKUP(Tableau118[[#This Row],[Name Shipper]],Plant_AILN!L:M,2,FALSE),0)</f>
        <v>0</v>
      </c>
      <c r="Z258" s="358"/>
      <c r="AA258" s="354" t="e">
        <f ca="1">VLOOKUP(Tableau118[[#This Row],[Key(ID-Actif)]],'DATA BTO'!A:N,5,FALSE)</f>
        <v>#N/A</v>
      </c>
      <c r="AB258" s="106" t="e">
        <f ca="1">VLOOKUP(Tableau118[[#This Row],[Key(ID-Actif)]],'DATA BTO'!A:N,6,FALSE)</f>
        <v>#N/A</v>
      </c>
      <c r="AC258" s="79" t="e">
        <f ca="1">VLOOKUP(Tableau118[[#This Row],[Key(ID-Actif)]],'DATA BTO'!A:N,7,FALSE)</f>
        <v>#N/A</v>
      </c>
      <c r="AD258" s="79" t="e">
        <f ca="1">VLOOKUP(Tableau118[[#This Row],[Key(ID-Actif)]],'DATA BTO'!A:N,8,FALSE)</f>
        <v>#N/A</v>
      </c>
      <c r="AE258" s="79" t="e">
        <f ca="1">IF(Tableau118[[#This Row],[First Day to POL]]&lt;=Tableau118[[#This Row],[Day Cut Off]],Tableau118[[#This Row],[Day ETD]],Tableau118[[#This Row],[Day ETD]]+7)</f>
        <v>#N/A</v>
      </c>
      <c r="AF258" s="79" t="e">
        <f ca="1">VLOOKUP(Tableau118[[#This Row],[Key(ID-Actif)]],'DATA BTO'!A:N,9,FALSE)</f>
        <v>#N/A</v>
      </c>
      <c r="AG258" s="106" t="e">
        <f ca="1">VLOOKUP(Tableau118[[#This Row],[Key(ID-Actif)]],'DATA BTO'!A:N,10,FALSE)</f>
        <v>#N/A</v>
      </c>
      <c r="AH258" s="106" t="e">
        <f ca="1">VLOOKUP(Tableau118[[#This Row],[Key(ID-Actif)]],'DATA BTO'!A:N,11,FALSE)</f>
        <v>#N/A</v>
      </c>
      <c r="AI258" s="79" t="e">
        <f ca="1">VLOOKUP(Tableau118[[#This Row],[Key(ID-Actif)]],'DATA BTO'!A:N,12,FALSE)</f>
        <v>#N/A</v>
      </c>
      <c r="AJ258" s="104" t="e">
        <f ca="1">VLOOKUP(Tableau118[[#This Row],[Key(ID-Actif)]],'DATA BTO'!A:N,14,FALSE)</f>
        <v>#N/A</v>
      </c>
      <c r="AK258" s="105" t="e">
        <f ca="1">VLOOKUP(Tableau118[[#This Row],[Key(POD -PFI- Usine)]],'DATA Consignee'!A:F,6,FALSE)</f>
        <v>#N/A</v>
      </c>
      <c r="AL258" s="125" t="s">
        <v>166</v>
      </c>
      <c r="AM258" s="486">
        <f>IF(Tableau118[[#This Row],[Name PFI/CDD]]="","-",VLOOKUP(Tableau118[[#This Row],[Name PFI/CDD]],Plant_AILN!I:J,2,FALSE))</f>
        <v>91018400</v>
      </c>
      <c r="AN258" s="107" t="e">
        <f ca="1">IF(COUNTIF(buffer_train[AILN],Tableau118[[#This Row],[Name PFI/CDD]])&gt;0,Tableau118[[#This Row],[First Receipt Days]]+Tableau118[[#This Row],[Cust.]]+Tableau118[[#This Row],[Parts Vanning]]+Tableau118[[#This Row],[Transit Time2]],"-")</f>
        <v>#N/A</v>
      </c>
      <c r="AO258" s="107" t="e">
        <f ca="1"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#N/A</v>
      </c>
      <c r="AP258" s="108" t="e">
        <f ca="1">VLOOKUP(Tableau118[[#This Row],[Key(POD -PFI- Usine)]],'DATA Consignee'!A:J,10,FALSE)</f>
        <v>#N/A</v>
      </c>
      <c r="AQ258" s="79" t="e">
        <f ca="1">VLOOKUP(Tableau118[[#This Row],[Key(POD -PFI- Usine)]],'DATA Consignee'!A:N,14,FALSE)</f>
        <v>#N/A</v>
      </c>
      <c r="AR258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8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8" s="79" t="e">
        <f ca="1">Tableau118[[#This Row],[Transit time]]+Tableau118[[#This Row],[Time for security]]+Tableau118[[#This Row],[Time for security2 buffer]]</f>
        <v>#N/A</v>
      </c>
      <c r="AU258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8" s="79" t="e">
        <f ca="1">Tableau118[[#This Row],[Leadtime SI2C]]+Tableau118[[#This Row],[First Receipt Days]]-Tableau118[[#This Row],[Day Customer Order]]+1</f>
        <v>#N/A</v>
      </c>
      <c r="AW258" s="118" t="e">
        <f ca="1">IF(Tableau118[[#This Row],[Name ILN]]&lt;&gt;"SFK Freight Forwarder",Tableau118[[#This Row],[Cust. Leadtime]],Tableau118[[#This Row],[Leadtime SI2C]])</f>
        <v>#N/A</v>
      </c>
      <c r="AX258" s="51" t="e">
        <f>VLOOKUP(Tableau118[[#This Row],[ID]],'DATA BTO'!B:P,15,FALSE)</f>
        <v>#N/A</v>
      </c>
      <c r="AY258" s="347" t="e">
        <f ca="1">IFERROR(VLOOKUP(Tableau118[[#This Row],[Key(ID-Actif)]],'DATA BTO'!A:N,4,FALSE),VLOOKUP(Tableau118[[#This Row],[ID]],'DATA BTO'!B:N,3,FALSE))</f>
        <v>#N/A</v>
      </c>
      <c r="AZ258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8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8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8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8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8" s="50"/>
    </row>
    <row r="259" spans="2:57">
      <c r="B259" s="370" t="str">
        <f>_xlfn.CONCAT(Tableau118[[#This Row],[Name ILN]],"-",Tableau118[[#This Row],[Name Shipper]],"-",Tableau118[[#This Row],[Name Site]])</f>
        <v>--</v>
      </c>
      <c r="C259" s="80" t="e">
        <f ca="1">_xlfn.CONCAT(Tableau118[[#This Row],[Compte ILN]],"-",Tableau118[[#This Row],[Compte Shipper]],"-",Tableau118[[#This Row],[POL]],"-",Tableau118[[#This Row],[Compte Site]])</f>
        <v>#N/A</v>
      </c>
      <c r="D259" s="80" t="e">
        <f ca="1">_xlfn.CONCAT(Tableau118[[#This Row],[Compte ILN]],"-",Tableau118[[#This Row],[Compte Shipper]],"-",Tableau118[[#This Row],[POL]])</f>
        <v>#N/A</v>
      </c>
      <c r="E259" s="81" t="e">
        <f ca="1">_xlfn.CONCAT(Tableau118[[#This Row],[POL]],"-",Tableau118[[#This Row],[Carrier]],"-",Tableau118[[#This Row],[POD]])</f>
        <v>#N/A</v>
      </c>
      <c r="F259" s="80" t="str">
        <f>_xlfn.CONCAT(Tableau118[[#This Row],[ID]],"-","Next")</f>
        <v>-Next</v>
      </c>
      <c r="G259" s="80" t="e">
        <f ca="1">_xlfn.CONCAT(Tableau118[[#This Row],[POD]],"-",Tableau118[[#This Row],[Code PFI]],"-",Tableau118[[#This Row],[Compte Site]])</f>
        <v>#N/A</v>
      </c>
      <c r="H259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59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59" s="118" t="str">
        <f ca="1">IF(COUNTIF(I:I,Tableau118[[#This Row],[Plant-ILN-shipper-POL-Carrier-POD-PFI]])=1,"Non","Oui")</f>
        <v>Oui</v>
      </c>
      <c r="K259" s="101" t="e">
        <f>VLOOKUP(Tableau118[[#This Row],[Name Site]],Plant_AILN!A:D,4,FALSE)</f>
        <v>#N/A</v>
      </c>
      <c r="L259" s="368"/>
      <c r="M259" s="480"/>
      <c r="N259" s="102"/>
      <c r="O259" s="124"/>
      <c r="P259" s="484"/>
      <c r="Q259" s="79"/>
      <c r="R259" s="79"/>
      <c r="S259" s="79"/>
      <c r="T259" s="79"/>
      <c r="U259" s="79"/>
      <c r="V259" s="79"/>
      <c r="W259" s="79"/>
      <c r="X259" s="380"/>
      <c r="Y259" s="485">
        <f>IFERROR(VLOOKUP(Tableau118[[#This Row],[Name Shipper]],Plant_AILN!L:M,2,FALSE),0)</f>
        <v>0</v>
      </c>
      <c r="Z259" s="369"/>
      <c r="AA259" s="354" t="e">
        <f ca="1">VLOOKUP(Tableau118[[#This Row],[Key(ID-Actif)]],'DATA BTO'!A:N,5,FALSE)</f>
        <v>#N/A</v>
      </c>
      <c r="AB259" s="106" t="e">
        <f ca="1">VLOOKUP(Tableau118[[#This Row],[Key(ID-Actif)]],'DATA BTO'!A:N,6,FALSE)</f>
        <v>#N/A</v>
      </c>
      <c r="AC259" s="79" t="e">
        <f ca="1">VLOOKUP(Tableau118[[#This Row],[Key(ID-Actif)]],'DATA BTO'!A:N,7,FALSE)</f>
        <v>#N/A</v>
      </c>
      <c r="AD259" s="79" t="e">
        <f ca="1">VLOOKUP(Tableau118[[#This Row],[Key(ID-Actif)]],'DATA BTO'!A:N,8,FALSE)</f>
        <v>#N/A</v>
      </c>
      <c r="AE259" s="79" t="e">
        <f ca="1">IF(Tableau118[[#This Row],[First Day to POL]]&lt;=Tableau118[[#This Row],[Day Cut Off]],Tableau118[[#This Row],[Day ETD]],Tableau118[[#This Row],[Day ETD]]+7)</f>
        <v>#N/A</v>
      </c>
      <c r="AF259" s="79" t="e">
        <f ca="1">VLOOKUP(Tableau118[[#This Row],[Key(ID-Actif)]],'DATA BTO'!A:N,9,FALSE)</f>
        <v>#N/A</v>
      </c>
      <c r="AG259" s="106" t="e">
        <f ca="1">VLOOKUP(Tableau118[[#This Row],[Key(ID-Actif)]],'DATA BTO'!A:N,10,FALSE)</f>
        <v>#N/A</v>
      </c>
      <c r="AH259" s="106" t="e">
        <f ca="1">VLOOKUP(Tableau118[[#This Row],[Key(ID-Actif)]],'DATA BTO'!A:N,11,FALSE)</f>
        <v>#N/A</v>
      </c>
      <c r="AI259" s="79" t="e">
        <f ca="1">VLOOKUP(Tableau118[[#This Row],[Key(ID-Actif)]],'DATA BTO'!A:N,12,FALSE)</f>
        <v>#N/A</v>
      </c>
      <c r="AJ259" s="104" t="e">
        <f ca="1">VLOOKUP(Tableau118[[#This Row],[Key(ID-Actif)]],'DATA BTO'!A:N,14,FALSE)</f>
        <v>#N/A</v>
      </c>
      <c r="AK259" s="105" t="e">
        <f ca="1">VLOOKUP(Tableau118[[#This Row],[Key(POD -PFI- Usine)]],'DATA Consignee'!A:F,6,FALSE)</f>
        <v>#N/A</v>
      </c>
      <c r="AL259" s="100"/>
      <c r="AM259" s="486" t="str">
        <f>IF(Tableau118[[#This Row],[Name PFI/CDD]]="","-",VLOOKUP(Tableau118[[#This Row],[Name PFI/CDD]],Plant_AILN!I:J,2,FALSE))</f>
        <v>-</v>
      </c>
      <c r="AN259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59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59" s="108" t="e">
        <f ca="1">VLOOKUP(Tableau118[[#This Row],[Key(POD -PFI- Usine)]],'DATA Consignee'!A:J,10,FALSE)</f>
        <v>#N/A</v>
      </c>
      <c r="AQ259" s="79" t="e">
        <f ca="1">VLOOKUP(Tableau118[[#This Row],[Key(POD -PFI- Usine)]],'DATA Consignee'!A:N,14,FALSE)</f>
        <v>#N/A</v>
      </c>
      <c r="AR259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59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59" s="79" t="e">
        <f ca="1">Tableau118[[#This Row],[Transit time]]+Tableau118[[#This Row],[Time for security]]+Tableau118[[#This Row],[Time for security2 buffer]]</f>
        <v>#N/A</v>
      </c>
      <c r="AU259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59" s="79" t="e">
        <f ca="1">Tableau118[[#This Row],[Leadtime SI2C]]+Tableau118[[#This Row],[First Receipt Days]]-Tableau118[[#This Row],[Day Customer Order]]+1</f>
        <v>#N/A</v>
      </c>
      <c r="AW259" s="118" t="e">
        <f ca="1">IF(Tableau118[[#This Row],[Name ILN]]&lt;&gt;"SFK Freight Forwarder",Tableau118[[#This Row],[Cust. Leadtime]],Tableau118[[#This Row],[Leadtime SI2C]])</f>
        <v>#N/A</v>
      </c>
      <c r="AX259" s="51" t="e">
        <f>VLOOKUP(Tableau118[[#This Row],[ID]],'DATA BTO'!B:P,15,FALSE)</f>
        <v>#N/A</v>
      </c>
      <c r="AY259" s="347" t="e">
        <f ca="1">IFERROR(VLOOKUP(Tableau118[[#This Row],[Key(ID-Actif)]],'DATA BTO'!A:N,4,FALSE),VLOOKUP(Tableau118[[#This Row],[ID]],'DATA BTO'!B:N,3,FALSE))</f>
        <v>#N/A</v>
      </c>
      <c r="AZ259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59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59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59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59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59" s="50"/>
    </row>
    <row r="260" spans="2:57">
      <c r="B260" s="370" t="str">
        <f>_xlfn.CONCAT(Tableau118[[#This Row],[Name ILN]],"-",Tableau118[[#This Row],[Name Shipper]],"-",Tableau118[[#This Row],[Name Site]])</f>
        <v>--</v>
      </c>
      <c r="C260" s="80" t="e">
        <f ca="1">_xlfn.CONCAT(Tableau118[[#This Row],[Compte ILN]],"-",Tableau118[[#This Row],[Compte Shipper]],"-",Tableau118[[#This Row],[POL]],"-",Tableau118[[#This Row],[Compte Site]])</f>
        <v>#N/A</v>
      </c>
      <c r="D260" s="80" t="e">
        <f ca="1">_xlfn.CONCAT(Tableau118[[#This Row],[Compte ILN]],"-",Tableau118[[#This Row],[Compte Shipper]],"-",Tableau118[[#This Row],[POL]])</f>
        <v>#N/A</v>
      </c>
      <c r="E260" s="81" t="e">
        <f ca="1">_xlfn.CONCAT(Tableau118[[#This Row],[POL]],"-",Tableau118[[#This Row],[Carrier]],"-",Tableau118[[#This Row],[POD]])</f>
        <v>#N/A</v>
      </c>
      <c r="F260" s="80" t="str">
        <f>_xlfn.CONCAT(Tableau118[[#This Row],[ID]],"-","Next")</f>
        <v>-Next</v>
      </c>
      <c r="G260" s="80" t="e">
        <f ca="1">_xlfn.CONCAT(Tableau118[[#This Row],[POD]],"-",Tableau118[[#This Row],[Code PFI]],"-",Tableau118[[#This Row],[Compte Site]])</f>
        <v>#N/A</v>
      </c>
      <c r="H26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0" s="118" t="str">
        <f ca="1">IF(COUNTIF(I:I,Tableau118[[#This Row],[Plant-ILN-shipper-POL-Carrier-POD-PFI]])=1,"Non","Oui")</f>
        <v>Oui</v>
      </c>
      <c r="K260" s="101" t="e">
        <f>VLOOKUP(Tableau118[[#This Row],[Name Site]],Plant_AILN!A:D,4,FALSE)</f>
        <v>#N/A</v>
      </c>
      <c r="L260" s="368"/>
      <c r="M260" s="480"/>
      <c r="N260" s="102"/>
      <c r="O260" s="124"/>
      <c r="P260" s="484"/>
      <c r="Q260" s="79"/>
      <c r="R260" s="79"/>
      <c r="S260" s="79"/>
      <c r="T260" s="79"/>
      <c r="U260" s="79"/>
      <c r="V260" s="79"/>
      <c r="W260" s="79"/>
      <c r="X260" s="100"/>
      <c r="Y260" s="485">
        <f>IFERROR(VLOOKUP(Tableau118[[#This Row],[Name Shipper]],Plant_AILN!L:M,2,FALSE),0)</f>
        <v>0</v>
      </c>
      <c r="Z260" s="369"/>
      <c r="AA260" s="354" t="e">
        <f ca="1">VLOOKUP(Tableau118[[#This Row],[Key(ID-Actif)]],'DATA BTO'!A:N,5,FALSE)</f>
        <v>#N/A</v>
      </c>
      <c r="AB260" s="106" t="e">
        <f ca="1">VLOOKUP(Tableau118[[#This Row],[Key(ID-Actif)]],'DATA BTO'!A:N,6,FALSE)</f>
        <v>#N/A</v>
      </c>
      <c r="AC260" s="79" t="e">
        <f ca="1">VLOOKUP(Tableau118[[#This Row],[Key(ID-Actif)]],'DATA BTO'!A:N,7,FALSE)</f>
        <v>#N/A</v>
      </c>
      <c r="AD260" s="79" t="e">
        <f ca="1">VLOOKUP(Tableau118[[#This Row],[Key(ID-Actif)]],'DATA BTO'!A:N,8,FALSE)</f>
        <v>#N/A</v>
      </c>
      <c r="AE260" s="79" t="e">
        <f ca="1">IF(Tableau118[[#This Row],[First Day to POL]]&lt;=Tableau118[[#This Row],[Day Cut Off]],Tableau118[[#This Row],[Day ETD]],Tableau118[[#This Row],[Day ETD]]+7)</f>
        <v>#N/A</v>
      </c>
      <c r="AF260" s="79" t="e">
        <f ca="1">VLOOKUP(Tableau118[[#This Row],[Key(ID-Actif)]],'DATA BTO'!A:N,9,FALSE)</f>
        <v>#N/A</v>
      </c>
      <c r="AG260" s="106" t="e">
        <f ca="1">VLOOKUP(Tableau118[[#This Row],[Key(ID-Actif)]],'DATA BTO'!A:N,10,FALSE)</f>
        <v>#N/A</v>
      </c>
      <c r="AH260" s="106" t="e">
        <f ca="1">VLOOKUP(Tableau118[[#This Row],[Key(ID-Actif)]],'DATA BTO'!A:N,11,FALSE)</f>
        <v>#N/A</v>
      </c>
      <c r="AI260" s="79" t="e">
        <f ca="1">VLOOKUP(Tableau118[[#This Row],[Key(ID-Actif)]],'DATA BTO'!A:N,12,FALSE)</f>
        <v>#N/A</v>
      </c>
      <c r="AJ260" s="104" t="e">
        <f ca="1">VLOOKUP(Tableau118[[#This Row],[Key(ID-Actif)]],'DATA BTO'!A:N,14,FALSE)</f>
        <v>#N/A</v>
      </c>
      <c r="AK260" s="105" t="e">
        <f ca="1">VLOOKUP(Tableau118[[#This Row],[Key(POD -PFI- Usine)]],'DATA Consignee'!A:F,6,FALSE)</f>
        <v>#N/A</v>
      </c>
      <c r="AL260" s="100"/>
      <c r="AM260" s="486" t="str">
        <f>IF(Tableau118[[#This Row],[Name PFI/CDD]]="","-",VLOOKUP(Tableau118[[#This Row],[Name PFI/CDD]],Plant_AILN!I:J,2,FALSE))</f>
        <v>-</v>
      </c>
      <c r="AN26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0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0" s="108" t="e">
        <f ca="1">VLOOKUP(Tableau118[[#This Row],[Key(POD -PFI- Usine)]],'DATA Consignee'!A:J,10,FALSE)</f>
        <v>#N/A</v>
      </c>
      <c r="AQ260" s="79" t="e">
        <f ca="1">VLOOKUP(Tableau118[[#This Row],[Key(POD -PFI- Usine)]],'DATA Consignee'!A:N,14,FALSE)</f>
        <v>#N/A</v>
      </c>
      <c r="AR26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0" s="79" t="e">
        <f ca="1">Tableau118[[#This Row],[Transit time]]+Tableau118[[#This Row],[Time for security]]+Tableau118[[#This Row],[Time for security2 buffer]]</f>
        <v>#N/A</v>
      </c>
      <c r="AU26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0" s="79" t="e">
        <f ca="1">Tableau118[[#This Row],[Leadtime SI2C]]+Tableau118[[#This Row],[First Receipt Days]]-Tableau118[[#This Row],[Day Customer Order]]+1</f>
        <v>#N/A</v>
      </c>
      <c r="AW260" s="118" t="e">
        <f ca="1">IF(Tableau118[[#This Row],[Name ILN]]&lt;&gt;"SFK Freight Forwarder",Tableau118[[#This Row],[Cust. Leadtime]],Tableau118[[#This Row],[Leadtime SI2C]])</f>
        <v>#N/A</v>
      </c>
      <c r="AX260" s="51" t="e">
        <f>VLOOKUP(Tableau118[[#This Row],[ID]],'DATA BTO'!B:P,15,FALSE)</f>
        <v>#N/A</v>
      </c>
      <c r="AY260" s="347" t="e">
        <f ca="1">IFERROR(VLOOKUP(Tableau118[[#This Row],[Key(ID-Actif)]],'DATA BTO'!A:N,4,FALSE),VLOOKUP(Tableau118[[#This Row],[ID]],'DATA BTO'!B:N,3,FALSE))</f>
        <v>#N/A</v>
      </c>
      <c r="AZ260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0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0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0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0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0" s="50"/>
    </row>
    <row r="261" spans="2:57">
      <c r="B261" s="370" t="str">
        <f>_xlfn.CONCAT(Tableau118[[#This Row],[Name ILN]],"-",Tableau118[[#This Row],[Name Shipper]],"-",Tableau118[[#This Row],[Name Site]])</f>
        <v>--</v>
      </c>
      <c r="C261" s="80" t="e">
        <f ca="1">_xlfn.CONCAT(Tableau118[[#This Row],[Compte ILN]],"-",Tableau118[[#This Row],[Compte Shipper]],"-",Tableau118[[#This Row],[POL]],"-",Tableau118[[#This Row],[Compte Site]])</f>
        <v>#N/A</v>
      </c>
      <c r="D261" s="80" t="e">
        <f ca="1">_xlfn.CONCAT(Tableau118[[#This Row],[Compte ILN]],"-",Tableau118[[#This Row],[Compte Shipper]],"-",Tableau118[[#This Row],[POL]])</f>
        <v>#N/A</v>
      </c>
      <c r="E261" s="81" t="e">
        <f ca="1">_xlfn.CONCAT(Tableau118[[#This Row],[POL]],"-",Tableau118[[#This Row],[Carrier]],"-",Tableau118[[#This Row],[POD]])</f>
        <v>#N/A</v>
      </c>
      <c r="F261" s="80" t="str">
        <f>_xlfn.CONCAT(Tableau118[[#This Row],[ID]],"-","Next")</f>
        <v>-Next</v>
      </c>
      <c r="G261" s="80" t="e">
        <f ca="1">_xlfn.CONCAT(Tableau118[[#This Row],[POD]],"-",Tableau118[[#This Row],[Code PFI]],"-",Tableau118[[#This Row],[Compte Site]])</f>
        <v>#N/A</v>
      </c>
      <c r="H261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1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1" s="118" t="str">
        <f ca="1">IF(COUNTIF(I:I,Tableau118[[#This Row],[Plant-ILN-shipper-POL-Carrier-POD-PFI]])=1,"Non","Oui")</f>
        <v>Oui</v>
      </c>
      <c r="K261" s="101" t="e">
        <f>VLOOKUP(Tableau118[[#This Row],[Name Site]],Plant_AILN!A:D,4,FALSE)</f>
        <v>#N/A</v>
      </c>
      <c r="L261" s="368"/>
      <c r="M261" s="480"/>
      <c r="N261" s="102"/>
      <c r="O261" s="124"/>
      <c r="P261" s="484"/>
      <c r="Q261" s="79"/>
      <c r="R261" s="79"/>
      <c r="S261" s="79"/>
      <c r="T261" s="79"/>
      <c r="U261" s="79"/>
      <c r="V261" s="79"/>
      <c r="W261" s="79"/>
      <c r="X261" s="100"/>
      <c r="Y261" s="485">
        <f>IFERROR(VLOOKUP(Tableau118[[#This Row],[Name Shipper]],Plant_AILN!L:M,2,FALSE),0)</f>
        <v>0</v>
      </c>
      <c r="Z261" s="369"/>
      <c r="AA261" s="354" t="e">
        <f ca="1">VLOOKUP(Tableau118[[#This Row],[Key(ID-Actif)]],'DATA BTO'!A:N,5,FALSE)</f>
        <v>#N/A</v>
      </c>
      <c r="AB261" s="106" t="e">
        <f ca="1">VLOOKUP(Tableau118[[#This Row],[Key(ID-Actif)]],'DATA BTO'!A:N,6,FALSE)</f>
        <v>#N/A</v>
      </c>
      <c r="AC261" s="79" t="e">
        <f ca="1">VLOOKUP(Tableau118[[#This Row],[Key(ID-Actif)]],'DATA BTO'!A:N,7,FALSE)</f>
        <v>#N/A</v>
      </c>
      <c r="AD261" s="79" t="e">
        <f ca="1">VLOOKUP(Tableau118[[#This Row],[Key(ID-Actif)]],'DATA BTO'!A:N,8,FALSE)</f>
        <v>#N/A</v>
      </c>
      <c r="AE261" s="79" t="e">
        <f ca="1">IF(Tableau118[[#This Row],[First Day to POL]]&lt;=Tableau118[[#This Row],[Day Cut Off]],Tableau118[[#This Row],[Day ETD]],Tableau118[[#This Row],[Day ETD]]+7)</f>
        <v>#N/A</v>
      </c>
      <c r="AF261" s="79" t="e">
        <f ca="1">VLOOKUP(Tableau118[[#This Row],[Key(ID-Actif)]],'DATA BTO'!A:N,9,FALSE)</f>
        <v>#N/A</v>
      </c>
      <c r="AG261" s="106" t="e">
        <f ca="1">VLOOKUP(Tableau118[[#This Row],[Key(ID-Actif)]],'DATA BTO'!A:N,10,FALSE)</f>
        <v>#N/A</v>
      </c>
      <c r="AH261" s="106" t="e">
        <f ca="1">VLOOKUP(Tableau118[[#This Row],[Key(ID-Actif)]],'DATA BTO'!A:N,11,FALSE)</f>
        <v>#N/A</v>
      </c>
      <c r="AI261" s="79" t="e">
        <f ca="1">VLOOKUP(Tableau118[[#This Row],[Key(ID-Actif)]],'DATA BTO'!A:N,12,FALSE)</f>
        <v>#N/A</v>
      </c>
      <c r="AJ261" s="104" t="e">
        <f ca="1">VLOOKUP(Tableau118[[#This Row],[Key(ID-Actif)]],'DATA BTO'!A:N,14,FALSE)</f>
        <v>#N/A</v>
      </c>
      <c r="AK261" s="105" t="e">
        <f ca="1">VLOOKUP(Tableau118[[#This Row],[Key(POD -PFI- Usine)]],'DATA Consignee'!A:F,6,FALSE)</f>
        <v>#N/A</v>
      </c>
      <c r="AL261" s="100"/>
      <c r="AM261" s="486" t="str">
        <f>IF(Tableau118[[#This Row],[Name PFI/CDD]]="","-",VLOOKUP(Tableau118[[#This Row],[Name PFI/CDD]],Plant_AILN!I:J,2,FALSE))</f>
        <v>-</v>
      </c>
      <c r="AN261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1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1" s="108" t="e">
        <f ca="1">VLOOKUP(Tableau118[[#This Row],[Key(POD -PFI- Usine)]],'DATA Consignee'!A:J,10,FALSE)</f>
        <v>#N/A</v>
      </c>
      <c r="AQ261" s="79" t="e">
        <f ca="1">VLOOKUP(Tableau118[[#This Row],[Key(POD -PFI- Usine)]],'DATA Consignee'!A:N,14,FALSE)</f>
        <v>#N/A</v>
      </c>
      <c r="AR261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1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1" s="79" t="e">
        <f ca="1">Tableau118[[#This Row],[Transit time]]+Tableau118[[#This Row],[Time for security]]+Tableau118[[#This Row],[Time for security2 buffer]]</f>
        <v>#N/A</v>
      </c>
      <c r="AU261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1" s="79" t="e">
        <f ca="1">Tableau118[[#This Row],[Leadtime SI2C]]+Tableau118[[#This Row],[First Receipt Days]]-Tableau118[[#This Row],[Day Customer Order]]+1</f>
        <v>#N/A</v>
      </c>
      <c r="AW261" s="118" t="e">
        <f ca="1">IF(Tableau118[[#This Row],[Name ILN]]&lt;&gt;"SFK Freight Forwarder",Tableau118[[#This Row],[Cust. Leadtime]],Tableau118[[#This Row],[Leadtime SI2C]])</f>
        <v>#N/A</v>
      </c>
      <c r="AX261" s="51" t="e">
        <f>VLOOKUP(Tableau118[[#This Row],[ID]],'DATA BTO'!B:P,15,FALSE)</f>
        <v>#N/A</v>
      </c>
      <c r="AY261" s="347" t="e">
        <f ca="1">IFERROR(VLOOKUP(Tableau118[[#This Row],[Key(ID-Actif)]],'DATA BTO'!A:N,4,FALSE),VLOOKUP(Tableau118[[#This Row],[ID]],'DATA BTO'!B:N,3,FALSE))</f>
        <v>#N/A</v>
      </c>
      <c r="AZ261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1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1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1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1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1" s="50"/>
    </row>
    <row r="262" spans="2:57">
      <c r="B262" s="370" t="str">
        <f>_xlfn.CONCAT(Tableau118[[#This Row],[Name ILN]],"-",Tableau118[[#This Row],[Name Shipper]],"-",Tableau118[[#This Row],[Name Site]])</f>
        <v>--</v>
      </c>
      <c r="C262" s="80" t="e">
        <f ca="1">_xlfn.CONCAT(Tableau118[[#This Row],[Compte ILN]],"-",Tableau118[[#This Row],[Compte Shipper]],"-",Tableau118[[#This Row],[POL]],"-",Tableau118[[#This Row],[Compte Site]])</f>
        <v>#N/A</v>
      </c>
      <c r="D262" s="80" t="e">
        <f ca="1">_xlfn.CONCAT(Tableau118[[#This Row],[Compte ILN]],"-",Tableau118[[#This Row],[Compte Shipper]],"-",Tableau118[[#This Row],[POL]])</f>
        <v>#N/A</v>
      </c>
      <c r="E262" s="81" t="e">
        <f ca="1">_xlfn.CONCAT(Tableau118[[#This Row],[POL]],"-",Tableau118[[#This Row],[Carrier]],"-",Tableau118[[#This Row],[POD]])</f>
        <v>#N/A</v>
      </c>
      <c r="F262" s="80" t="str">
        <f>_xlfn.CONCAT(Tableau118[[#This Row],[ID]],"-","Next")</f>
        <v>-Next</v>
      </c>
      <c r="G262" s="80" t="e">
        <f ca="1">_xlfn.CONCAT(Tableau118[[#This Row],[POD]],"-",Tableau118[[#This Row],[Code PFI]],"-",Tableau118[[#This Row],[Compte Site]])</f>
        <v>#N/A</v>
      </c>
      <c r="H26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2" s="118" t="str">
        <f ca="1">IF(COUNTIF(I:I,Tableau118[[#This Row],[Plant-ILN-shipper-POL-Carrier-POD-PFI]])=1,"Non","Oui")</f>
        <v>Oui</v>
      </c>
      <c r="K262" s="101" t="e">
        <f>VLOOKUP(Tableau118[[#This Row],[Name Site]],Plant_AILN!A:D,4,FALSE)</f>
        <v>#N/A</v>
      </c>
      <c r="L262" s="368"/>
      <c r="M262" s="480"/>
      <c r="N262" s="102"/>
      <c r="O262" s="124"/>
      <c r="P262" s="484"/>
      <c r="Q262" s="79"/>
      <c r="R262" s="79"/>
      <c r="S262" s="79"/>
      <c r="T262" s="79"/>
      <c r="U262" s="79"/>
      <c r="V262" s="79"/>
      <c r="W262" s="79"/>
      <c r="X262" s="100"/>
      <c r="Y262" s="485">
        <f>IFERROR(VLOOKUP(Tableau118[[#This Row],[Name Shipper]],Plant_AILN!L:M,2,FALSE),0)</f>
        <v>0</v>
      </c>
      <c r="Z262" s="349"/>
      <c r="AA262" s="354" t="e">
        <f ca="1">VLOOKUP(Tableau118[[#This Row],[Key(ID-Actif)]],'DATA BTO'!A:N,5,FALSE)</f>
        <v>#N/A</v>
      </c>
      <c r="AB262" s="106" t="e">
        <f ca="1">VLOOKUP(Tableau118[[#This Row],[Key(ID-Actif)]],'DATA BTO'!A:N,6,FALSE)</f>
        <v>#N/A</v>
      </c>
      <c r="AC262" s="79" t="e">
        <f ca="1">VLOOKUP(Tableau118[[#This Row],[Key(ID-Actif)]],'DATA BTO'!A:N,7,FALSE)</f>
        <v>#N/A</v>
      </c>
      <c r="AD262" s="79" t="e">
        <f ca="1">VLOOKUP(Tableau118[[#This Row],[Key(ID-Actif)]],'DATA BTO'!A:N,8,FALSE)</f>
        <v>#N/A</v>
      </c>
      <c r="AE262" s="79" t="e">
        <f ca="1">IF(Tableau118[[#This Row],[First Day to POL]]&lt;=Tableau118[[#This Row],[Day Cut Off]],Tableau118[[#This Row],[Day ETD]],Tableau118[[#This Row],[Day ETD]]+7)</f>
        <v>#N/A</v>
      </c>
      <c r="AF262" s="79" t="e">
        <f ca="1">VLOOKUP(Tableau118[[#This Row],[Key(ID-Actif)]],'DATA BTO'!A:N,9,FALSE)</f>
        <v>#N/A</v>
      </c>
      <c r="AG262" s="106" t="e">
        <f ca="1">VLOOKUP(Tableau118[[#This Row],[Key(ID-Actif)]],'DATA BTO'!A:N,10,FALSE)</f>
        <v>#N/A</v>
      </c>
      <c r="AH262" s="106" t="e">
        <f ca="1">VLOOKUP(Tableau118[[#This Row],[Key(ID-Actif)]],'DATA BTO'!A:N,11,FALSE)</f>
        <v>#N/A</v>
      </c>
      <c r="AI262" s="79" t="e">
        <f ca="1">VLOOKUP(Tableau118[[#This Row],[Key(ID-Actif)]],'DATA BTO'!A:N,12,FALSE)</f>
        <v>#N/A</v>
      </c>
      <c r="AJ262" s="104" t="e">
        <f ca="1">VLOOKUP(Tableau118[[#This Row],[Key(ID-Actif)]],'DATA BTO'!A:N,14,FALSE)</f>
        <v>#N/A</v>
      </c>
      <c r="AK262" s="105" t="e">
        <f ca="1">VLOOKUP(Tableau118[[#This Row],[Key(POD -PFI- Usine)]],'DATA Consignee'!A:F,6,FALSE)</f>
        <v>#N/A</v>
      </c>
      <c r="AL262" s="100"/>
      <c r="AM262" s="486" t="str">
        <f>IF(Tableau118[[#This Row],[Name PFI/CDD]]="","-",VLOOKUP(Tableau118[[#This Row],[Name PFI/CDD]],Plant_AILN!I:J,2,FALSE))</f>
        <v>-</v>
      </c>
      <c r="AN26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2" s="108" t="e">
        <f ca="1">VLOOKUP(Tableau118[[#This Row],[Key(POD -PFI- Usine)]],'DATA Consignee'!A:J,10,FALSE)</f>
        <v>#N/A</v>
      </c>
      <c r="AQ262" s="79" t="e">
        <f ca="1">VLOOKUP(Tableau118[[#This Row],[Key(POD -PFI- Usine)]],'DATA Consignee'!A:N,14,FALSE)</f>
        <v>#N/A</v>
      </c>
      <c r="AR26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2" s="79" t="e">
        <f ca="1">Tableau118[[#This Row],[Transit time]]+Tableau118[[#This Row],[Time for security]]+Tableau118[[#This Row],[Time for security2 buffer]]</f>
        <v>#N/A</v>
      </c>
      <c r="AU26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2" s="79" t="e">
        <f ca="1">Tableau118[[#This Row],[Leadtime SI2C]]+Tableau118[[#This Row],[First Receipt Days]]-Tableau118[[#This Row],[Day Customer Order]]+1</f>
        <v>#N/A</v>
      </c>
      <c r="AW262" s="118" t="e">
        <f ca="1">IF(Tableau118[[#This Row],[Name ILN]]&lt;&gt;"SFK Freight Forwarder",Tableau118[[#This Row],[Cust. Leadtime]],Tableau118[[#This Row],[Leadtime SI2C]])</f>
        <v>#N/A</v>
      </c>
      <c r="AX262" s="51" t="e">
        <f>VLOOKUP(Tableau118[[#This Row],[ID]],'DATA BTO'!B:P,15,FALSE)</f>
        <v>#N/A</v>
      </c>
      <c r="AY262" s="347" t="e">
        <f ca="1">IFERROR(VLOOKUP(Tableau118[[#This Row],[Key(ID-Actif)]],'DATA BTO'!A:N,4,FALSE),VLOOKUP(Tableau118[[#This Row],[ID]],'DATA BTO'!B:N,3,FALSE))</f>
        <v>#N/A</v>
      </c>
      <c r="AZ262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2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2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2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2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2" s="50"/>
    </row>
    <row r="263" spans="2:57">
      <c r="B263" s="370" t="str">
        <f>_xlfn.CONCAT(Tableau118[[#This Row],[Name ILN]],"-",Tableau118[[#This Row],[Name Shipper]],"-",Tableau118[[#This Row],[Name Site]])</f>
        <v>--</v>
      </c>
      <c r="C263" s="80" t="e">
        <f ca="1">_xlfn.CONCAT(Tableau118[[#This Row],[Compte ILN]],"-",Tableau118[[#This Row],[Compte Shipper]],"-",Tableau118[[#This Row],[POL]],"-",Tableau118[[#This Row],[Compte Site]])</f>
        <v>#N/A</v>
      </c>
      <c r="D263" s="80" t="e">
        <f ca="1">_xlfn.CONCAT(Tableau118[[#This Row],[Compte ILN]],"-",Tableau118[[#This Row],[Compte Shipper]],"-",Tableau118[[#This Row],[POL]])</f>
        <v>#N/A</v>
      </c>
      <c r="E263" s="81" t="e">
        <f ca="1">_xlfn.CONCAT(Tableau118[[#This Row],[POL]],"-",Tableau118[[#This Row],[Carrier]],"-",Tableau118[[#This Row],[POD]])</f>
        <v>#N/A</v>
      </c>
      <c r="F263" s="80" t="str">
        <f>_xlfn.CONCAT(Tableau118[[#This Row],[ID]],"-","Next")</f>
        <v>-Next</v>
      </c>
      <c r="G263" s="80" t="e">
        <f ca="1">_xlfn.CONCAT(Tableau118[[#This Row],[POD]],"-",Tableau118[[#This Row],[Code PFI]],"-",Tableau118[[#This Row],[Compte Site]])</f>
        <v>#N/A</v>
      </c>
      <c r="H26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3" s="118" t="str">
        <f ca="1">IF(COUNTIF(I:I,Tableau118[[#This Row],[Plant-ILN-shipper-POL-Carrier-POD-PFI]])=1,"Non","Oui")</f>
        <v>Oui</v>
      </c>
      <c r="K263" s="101" t="e">
        <f>VLOOKUP(Tableau118[[#This Row],[Name Site]],Plant_AILN!A:D,4,FALSE)</f>
        <v>#N/A</v>
      </c>
      <c r="L263" s="368"/>
      <c r="M263" s="480"/>
      <c r="N263" s="102"/>
      <c r="O263" s="124"/>
      <c r="P263" s="484"/>
      <c r="Q263" s="79"/>
      <c r="R263" s="79"/>
      <c r="S263" s="79"/>
      <c r="T263" s="79"/>
      <c r="U263" s="79"/>
      <c r="V263" s="79"/>
      <c r="W263" s="79"/>
      <c r="X263" s="100"/>
      <c r="Y263" s="485">
        <f>IFERROR(VLOOKUP(Tableau118[[#This Row],[Name Shipper]],Plant_AILN!L:M,2,FALSE),0)</f>
        <v>0</v>
      </c>
      <c r="Z263" s="369"/>
      <c r="AA263" s="354" t="e">
        <f ca="1">VLOOKUP(Tableau118[[#This Row],[Key(ID-Actif)]],'DATA BTO'!A:N,5,FALSE)</f>
        <v>#N/A</v>
      </c>
      <c r="AB263" s="106" t="e">
        <f ca="1">VLOOKUP(Tableau118[[#This Row],[Key(ID-Actif)]],'DATA BTO'!A:N,6,FALSE)</f>
        <v>#N/A</v>
      </c>
      <c r="AC263" s="79" t="e">
        <f ca="1">VLOOKUP(Tableau118[[#This Row],[Key(ID-Actif)]],'DATA BTO'!A:N,7,FALSE)</f>
        <v>#N/A</v>
      </c>
      <c r="AD263" s="79" t="e">
        <f ca="1">VLOOKUP(Tableau118[[#This Row],[Key(ID-Actif)]],'DATA BTO'!A:N,8,FALSE)</f>
        <v>#N/A</v>
      </c>
      <c r="AE263" s="79" t="e">
        <f ca="1">IF(Tableau118[[#This Row],[First Day to POL]]&lt;=Tableau118[[#This Row],[Day Cut Off]],Tableau118[[#This Row],[Day ETD]],Tableau118[[#This Row],[Day ETD]]+7)</f>
        <v>#N/A</v>
      </c>
      <c r="AF263" s="79" t="e">
        <f ca="1">VLOOKUP(Tableau118[[#This Row],[Key(ID-Actif)]],'DATA BTO'!A:N,9,FALSE)</f>
        <v>#N/A</v>
      </c>
      <c r="AG263" s="106" t="e">
        <f ca="1">VLOOKUP(Tableau118[[#This Row],[Key(ID-Actif)]],'DATA BTO'!A:N,10,FALSE)</f>
        <v>#N/A</v>
      </c>
      <c r="AH263" s="106" t="e">
        <f ca="1">VLOOKUP(Tableau118[[#This Row],[Key(ID-Actif)]],'DATA BTO'!A:N,11,FALSE)</f>
        <v>#N/A</v>
      </c>
      <c r="AI263" s="79" t="e">
        <f ca="1">VLOOKUP(Tableau118[[#This Row],[Key(ID-Actif)]],'DATA BTO'!A:N,12,FALSE)</f>
        <v>#N/A</v>
      </c>
      <c r="AJ263" s="104" t="e">
        <f ca="1">VLOOKUP(Tableau118[[#This Row],[Key(ID-Actif)]],'DATA BTO'!A:N,14,FALSE)</f>
        <v>#N/A</v>
      </c>
      <c r="AK263" s="105" t="e">
        <f ca="1">VLOOKUP(Tableau118[[#This Row],[Key(POD -PFI- Usine)]],'DATA Consignee'!A:F,6,FALSE)</f>
        <v>#N/A</v>
      </c>
      <c r="AL263" s="100"/>
      <c r="AM263" s="486" t="str">
        <f>IF(Tableau118[[#This Row],[Name PFI/CDD]]="","-",VLOOKUP(Tableau118[[#This Row],[Name PFI/CDD]],Plant_AILN!I:J,2,FALSE))</f>
        <v>-</v>
      </c>
      <c r="AN26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3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3" s="108" t="e">
        <f ca="1">VLOOKUP(Tableau118[[#This Row],[Key(POD -PFI- Usine)]],'DATA Consignee'!A:J,10,FALSE)</f>
        <v>#N/A</v>
      </c>
      <c r="AQ263" s="79" t="e">
        <f ca="1">VLOOKUP(Tableau118[[#This Row],[Key(POD -PFI- Usine)]],'DATA Consignee'!A:N,14,FALSE)</f>
        <v>#N/A</v>
      </c>
      <c r="AR26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3" s="79" t="e">
        <f ca="1">Tableau118[[#This Row],[Transit time]]+Tableau118[[#This Row],[Time for security]]+Tableau118[[#This Row],[Time for security2 buffer]]</f>
        <v>#N/A</v>
      </c>
      <c r="AU26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3" s="79" t="e">
        <f ca="1">Tableau118[[#This Row],[Leadtime SI2C]]+Tableau118[[#This Row],[First Receipt Days]]-Tableau118[[#This Row],[Day Customer Order]]+1</f>
        <v>#N/A</v>
      </c>
      <c r="AW263" s="118" t="e">
        <f ca="1">IF(Tableau118[[#This Row],[Name ILN]]&lt;&gt;"SFK Freight Forwarder",Tableau118[[#This Row],[Cust. Leadtime]],Tableau118[[#This Row],[Leadtime SI2C]])</f>
        <v>#N/A</v>
      </c>
      <c r="AX263" s="51" t="e">
        <f>VLOOKUP(Tableau118[[#This Row],[ID]],'DATA BTO'!B:P,15,FALSE)</f>
        <v>#N/A</v>
      </c>
      <c r="AY263" s="347" t="e">
        <f ca="1">IFERROR(VLOOKUP(Tableau118[[#This Row],[Key(ID-Actif)]],'DATA BTO'!A:N,4,FALSE),VLOOKUP(Tableau118[[#This Row],[ID]],'DATA BTO'!B:N,3,FALSE))</f>
        <v>#N/A</v>
      </c>
      <c r="AZ263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3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3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3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3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3" s="51" t="s">
        <v>192</v>
      </c>
    </row>
    <row r="264" spans="2:57">
      <c r="B264" s="370" t="str">
        <f>_xlfn.CONCAT(Tableau118[[#This Row],[Name ILN]],"-",Tableau118[[#This Row],[Name Shipper]],"-",Tableau118[[#This Row],[Name Site]])</f>
        <v>--</v>
      </c>
      <c r="C264" s="80" t="e">
        <f ca="1">_xlfn.CONCAT(Tableau118[[#This Row],[Compte ILN]],"-",Tableau118[[#This Row],[Compte Shipper]],"-",Tableau118[[#This Row],[POL]],"-",Tableau118[[#This Row],[Compte Site]])</f>
        <v>#N/A</v>
      </c>
      <c r="D264" s="80" t="e">
        <f ca="1">_xlfn.CONCAT(Tableau118[[#This Row],[Compte ILN]],"-",Tableau118[[#This Row],[Compte Shipper]],"-",Tableau118[[#This Row],[POL]])</f>
        <v>#N/A</v>
      </c>
      <c r="E264" s="81" t="e">
        <f ca="1">_xlfn.CONCAT(Tableau118[[#This Row],[POL]],"-",Tableau118[[#This Row],[Carrier]],"-",Tableau118[[#This Row],[POD]])</f>
        <v>#N/A</v>
      </c>
      <c r="F264" s="80" t="str">
        <f>_xlfn.CONCAT(Tableau118[[#This Row],[ID]],"-","Next")</f>
        <v>-Next</v>
      </c>
      <c r="G264" s="80" t="e">
        <f ca="1">_xlfn.CONCAT(Tableau118[[#This Row],[POD]],"-",Tableau118[[#This Row],[Code PFI]],"-",Tableau118[[#This Row],[Compte Site]])</f>
        <v>#N/A</v>
      </c>
      <c r="H264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4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4" s="118" t="str">
        <f ca="1">IF(COUNTIF(I:I,Tableau118[[#This Row],[Plant-ILN-shipper-POL-Carrier-POD-PFI]])=1,"Non","Oui")</f>
        <v>Oui</v>
      </c>
      <c r="K264" s="101" t="e">
        <f>VLOOKUP(Tableau118[[#This Row],[Name Site]],Plant_AILN!A:D,4,FALSE)</f>
        <v>#N/A</v>
      </c>
      <c r="L264" s="368"/>
      <c r="M264" s="480"/>
      <c r="N264" s="102"/>
      <c r="O264" s="124"/>
      <c r="P264" s="484"/>
      <c r="Q264" s="79"/>
      <c r="R264" s="79"/>
      <c r="S264" s="79"/>
      <c r="T264" s="79"/>
      <c r="U264" s="79"/>
      <c r="V264" s="79"/>
      <c r="W264" s="79"/>
      <c r="X264" s="100"/>
      <c r="Y264" s="485">
        <f>IFERROR(VLOOKUP(Tableau118[[#This Row],[Name Shipper]],Plant_AILN!L:M,2,FALSE),0)</f>
        <v>0</v>
      </c>
      <c r="Z264" s="369"/>
      <c r="AA264" s="354" t="e">
        <f ca="1">VLOOKUP(Tableau118[[#This Row],[Key(ID-Actif)]],'DATA BTO'!A:N,5,FALSE)</f>
        <v>#N/A</v>
      </c>
      <c r="AB264" s="106" t="e">
        <f ca="1">VLOOKUP(Tableau118[[#This Row],[Key(ID-Actif)]],'DATA BTO'!A:N,6,FALSE)</f>
        <v>#N/A</v>
      </c>
      <c r="AC264" s="79" t="e">
        <f ca="1">VLOOKUP(Tableau118[[#This Row],[Key(ID-Actif)]],'DATA BTO'!A:N,7,FALSE)</f>
        <v>#N/A</v>
      </c>
      <c r="AD264" s="79" t="e">
        <f ca="1">VLOOKUP(Tableau118[[#This Row],[Key(ID-Actif)]],'DATA BTO'!A:N,8,FALSE)</f>
        <v>#N/A</v>
      </c>
      <c r="AE264" s="79" t="e">
        <f ca="1">IF(Tableau118[[#This Row],[First Day to POL]]&lt;=Tableau118[[#This Row],[Day Cut Off]],Tableau118[[#This Row],[Day ETD]],Tableau118[[#This Row],[Day ETD]]+7)</f>
        <v>#N/A</v>
      </c>
      <c r="AF264" s="79" t="e">
        <f ca="1">VLOOKUP(Tableau118[[#This Row],[Key(ID-Actif)]],'DATA BTO'!A:N,9,FALSE)</f>
        <v>#N/A</v>
      </c>
      <c r="AG264" s="106" t="e">
        <f ca="1">VLOOKUP(Tableau118[[#This Row],[Key(ID-Actif)]],'DATA BTO'!A:N,10,FALSE)</f>
        <v>#N/A</v>
      </c>
      <c r="AH264" s="106" t="e">
        <f ca="1">VLOOKUP(Tableau118[[#This Row],[Key(ID-Actif)]],'DATA BTO'!A:N,11,FALSE)</f>
        <v>#N/A</v>
      </c>
      <c r="AI264" s="79" t="e">
        <f ca="1">VLOOKUP(Tableau118[[#This Row],[Key(ID-Actif)]],'DATA BTO'!A:N,12,FALSE)</f>
        <v>#N/A</v>
      </c>
      <c r="AJ264" s="104" t="e">
        <f ca="1">VLOOKUP(Tableau118[[#This Row],[Key(ID-Actif)]],'DATA BTO'!A:N,14,FALSE)</f>
        <v>#N/A</v>
      </c>
      <c r="AK264" s="105" t="e">
        <f ca="1">VLOOKUP(Tableau118[[#This Row],[Key(POD -PFI- Usine)]],'DATA Consignee'!A:F,6,FALSE)</f>
        <v>#N/A</v>
      </c>
      <c r="AL264" s="100"/>
      <c r="AM264" s="486" t="str">
        <f>IF(Tableau118[[#This Row],[Name PFI/CDD]]="","-",VLOOKUP(Tableau118[[#This Row],[Name PFI/CDD]],Plant_AILN!I:J,2,FALSE))</f>
        <v>-</v>
      </c>
      <c r="AN264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4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4" s="108" t="e">
        <f ca="1">VLOOKUP(Tableau118[[#This Row],[Key(POD -PFI- Usine)]],'DATA Consignee'!A:J,10,FALSE)</f>
        <v>#N/A</v>
      </c>
      <c r="AQ264" s="79" t="e">
        <f ca="1">VLOOKUP(Tableau118[[#This Row],[Key(POD -PFI- Usine)]],'DATA Consignee'!A:N,14,FALSE)</f>
        <v>#N/A</v>
      </c>
      <c r="AR264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4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4" s="79" t="e">
        <f ca="1">Tableau118[[#This Row],[Transit time]]+Tableau118[[#This Row],[Time for security]]+Tableau118[[#This Row],[Time for security2 buffer]]</f>
        <v>#N/A</v>
      </c>
      <c r="AU264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4" s="79" t="e">
        <f ca="1">Tableau118[[#This Row],[Leadtime SI2C]]+Tableau118[[#This Row],[First Receipt Days]]-Tableau118[[#This Row],[Day Customer Order]]+1</f>
        <v>#N/A</v>
      </c>
      <c r="AW264" s="118" t="e">
        <f ca="1">IF(Tableau118[[#This Row],[Name ILN]]&lt;&gt;"SFK Freight Forwarder",Tableau118[[#This Row],[Cust. Leadtime]],Tableau118[[#This Row],[Leadtime SI2C]])</f>
        <v>#N/A</v>
      </c>
      <c r="AX264" s="51" t="e">
        <f>VLOOKUP(Tableau118[[#This Row],[ID]],'DATA BTO'!B:P,15,FALSE)</f>
        <v>#N/A</v>
      </c>
      <c r="AY264" s="347" t="e">
        <f ca="1">IFERROR(VLOOKUP(Tableau118[[#This Row],[Key(ID-Actif)]],'DATA BTO'!A:N,4,FALSE),VLOOKUP(Tableau118[[#This Row],[ID]],'DATA BTO'!B:N,3,FALSE))</f>
        <v>#N/A</v>
      </c>
      <c r="AZ264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4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4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4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4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4" s="51" t="s">
        <v>192</v>
      </c>
    </row>
    <row r="265" spans="2:57">
      <c r="B265" s="370" t="str">
        <f>_xlfn.CONCAT(Tableau118[[#This Row],[Name ILN]],"-",Tableau118[[#This Row],[Name Shipper]],"-",Tableau118[[#This Row],[Name Site]])</f>
        <v>--</v>
      </c>
      <c r="C265" s="80" t="e">
        <f ca="1">_xlfn.CONCAT(Tableau118[[#This Row],[Compte ILN]],"-",Tableau118[[#This Row],[Compte Shipper]],"-",Tableau118[[#This Row],[POL]],"-",Tableau118[[#This Row],[Compte Site]])</f>
        <v>#N/A</v>
      </c>
      <c r="D265" s="80" t="e">
        <f ca="1">_xlfn.CONCAT(Tableau118[[#This Row],[Compte ILN]],"-",Tableau118[[#This Row],[Compte Shipper]],"-",Tableau118[[#This Row],[POL]])</f>
        <v>#N/A</v>
      </c>
      <c r="E265" s="81" t="e">
        <f ca="1">_xlfn.CONCAT(Tableau118[[#This Row],[POL]],"-",Tableau118[[#This Row],[Carrier]],"-",Tableau118[[#This Row],[POD]])</f>
        <v>#N/A</v>
      </c>
      <c r="F265" s="80" t="str">
        <f>_xlfn.CONCAT(Tableau118[[#This Row],[ID]],"-","Next")</f>
        <v>-Next</v>
      </c>
      <c r="G265" s="80" t="e">
        <f ca="1">_xlfn.CONCAT(Tableau118[[#This Row],[POD]],"-",Tableau118[[#This Row],[Code PFI]],"-",Tableau118[[#This Row],[Compte Site]])</f>
        <v>#N/A</v>
      </c>
      <c r="H265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5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5" s="118" t="str">
        <f ca="1">IF(COUNTIF(I:I,Tableau118[[#This Row],[Plant-ILN-shipper-POL-Carrier-POD-PFI]])=1,"Non","Oui")</f>
        <v>Oui</v>
      </c>
      <c r="K265" s="101" t="e">
        <f>VLOOKUP(Tableau118[[#This Row],[Name Site]],Plant_AILN!A:D,4,FALSE)</f>
        <v>#N/A</v>
      </c>
      <c r="L265" s="368"/>
      <c r="M265" s="480"/>
      <c r="N265" s="102"/>
      <c r="O265" s="124"/>
      <c r="P265" s="484"/>
      <c r="Q265" s="79"/>
      <c r="R265" s="79"/>
      <c r="S265" s="79"/>
      <c r="T265" s="79"/>
      <c r="U265" s="79"/>
      <c r="V265" s="79"/>
      <c r="W265" s="79"/>
      <c r="X265" s="100"/>
      <c r="Y265" s="485">
        <f>IFERROR(VLOOKUP(Tableau118[[#This Row],[Name Shipper]],Plant_AILN!L:M,2,FALSE),0)</f>
        <v>0</v>
      </c>
      <c r="Z265" s="369"/>
      <c r="AA265" s="354" t="e">
        <f ca="1">VLOOKUP(Tableau118[[#This Row],[Key(ID-Actif)]],'DATA BTO'!A:N,5,FALSE)</f>
        <v>#N/A</v>
      </c>
      <c r="AB265" s="106" t="e">
        <f ca="1">VLOOKUP(Tableau118[[#This Row],[Key(ID-Actif)]],'DATA BTO'!A:N,6,FALSE)</f>
        <v>#N/A</v>
      </c>
      <c r="AC265" s="79" t="e">
        <f ca="1">VLOOKUP(Tableau118[[#This Row],[Key(ID-Actif)]],'DATA BTO'!A:N,7,FALSE)</f>
        <v>#N/A</v>
      </c>
      <c r="AD265" s="79" t="e">
        <f ca="1">VLOOKUP(Tableau118[[#This Row],[Key(ID-Actif)]],'DATA BTO'!A:N,8,FALSE)</f>
        <v>#N/A</v>
      </c>
      <c r="AE265" s="79" t="e">
        <f ca="1">IF(Tableau118[[#This Row],[First Day to POL]]&lt;=Tableau118[[#This Row],[Day Cut Off]],Tableau118[[#This Row],[Day ETD]],Tableau118[[#This Row],[Day ETD]]+7)</f>
        <v>#N/A</v>
      </c>
      <c r="AF265" s="79" t="e">
        <f ca="1">VLOOKUP(Tableau118[[#This Row],[Key(ID-Actif)]],'DATA BTO'!A:N,9,FALSE)</f>
        <v>#N/A</v>
      </c>
      <c r="AG265" s="106" t="e">
        <f ca="1">VLOOKUP(Tableau118[[#This Row],[Key(ID-Actif)]],'DATA BTO'!A:N,10,FALSE)</f>
        <v>#N/A</v>
      </c>
      <c r="AH265" s="106" t="e">
        <f ca="1">VLOOKUP(Tableau118[[#This Row],[Key(ID-Actif)]],'DATA BTO'!A:N,11,FALSE)</f>
        <v>#N/A</v>
      </c>
      <c r="AI265" s="79" t="e">
        <f ca="1">VLOOKUP(Tableau118[[#This Row],[Key(ID-Actif)]],'DATA BTO'!A:N,12,FALSE)</f>
        <v>#N/A</v>
      </c>
      <c r="AJ265" s="104" t="e">
        <f ca="1">VLOOKUP(Tableau118[[#This Row],[Key(ID-Actif)]],'DATA BTO'!A:N,14,FALSE)</f>
        <v>#N/A</v>
      </c>
      <c r="AK265" s="105" t="e">
        <f ca="1">VLOOKUP(Tableau118[[#This Row],[Key(POD -PFI- Usine)]],'DATA Consignee'!A:F,6,FALSE)</f>
        <v>#N/A</v>
      </c>
      <c r="AL265" s="100"/>
      <c r="AM265" s="486" t="str">
        <f>IF(Tableau118[[#This Row],[Name PFI/CDD]]="","-",VLOOKUP(Tableau118[[#This Row],[Name PFI/CDD]],Plant_AILN!I:J,2,FALSE))</f>
        <v>-</v>
      </c>
      <c r="AN265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5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5" s="108" t="e">
        <f ca="1">VLOOKUP(Tableau118[[#This Row],[Key(POD -PFI- Usine)]],'DATA Consignee'!A:J,10,FALSE)</f>
        <v>#N/A</v>
      </c>
      <c r="AQ265" s="79" t="e">
        <f ca="1">VLOOKUP(Tableau118[[#This Row],[Key(POD -PFI- Usine)]],'DATA Consignee'!A:N,14,FALSE)</f>
        <v>#N/A</v>
      </c>
      <c r="AR265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5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5" s="79" t="e">
        <f ca="1">Tableau118[[#This Row],[Transit time]]+Tableau118[[#This Row],[Time for security]]+Tableau118[[#This Row],[Time for security2 buffer]]</f>
        <v>#N/A</v>
      </c>
      <c r="AU265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5" s="79" t="e">
        <f ca="1">Tableau118[[#This Row],[Leadtime SI2C]]+Tableau118[[#This Row],[First Receipt Days]]-Tableau118[[#This Row],[Day Customer Order]]+1</f>
        <v>#N/A</v>
      </c>
      <c r="AW265" s="118" t="e">
        <f ca="1">IF(Tableau118[[#This Row],[Name ILN]]&lt;&gt;"SFK Freight Forwarder",Tableau118[[#This Row],[Cust. Leadtime]],Tableau118[[#This Row],[Leadtime SI2C]])</f>
        <v>#N/A</v>
      </c>
      <c r="AX265" s="51" t="e">
        <f>VLOOKUP(Tableau118[[#This Row],[ID]],'DATA BTO'!B:P,15,FALSE)</f>
        <v>#N/A</v>
      </c>
      <c r="AY265" s="347" t="e">
        <f ca="1">IFERROR(VLOOKUP(Tableau118[[#This Row],[Key(ID-Actif)]],'DATA BTO'!A:N,4,FALSE),VLOOKUP(Tableau118[[#This Row],[ID]],'DATA BTO'!B:N,3,FALSE))</f>
        <v>#N/A</v>
      </c>
      <c r="AZ265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5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5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5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5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5" s="51" t="s">
        <v>192</v>
      </c>
    </row>
    <row r="266" spans="2:57">
      <c r="B266" s="370" t="str">
        <f>_xlfn.CONCAT(Tableau118[[#This Row],[Name ILN]],"-",Tableau118[[#This Row],[Name Shipper]],"-",Tableau118[[#This Row],[Name Site]])</f>
        <v>--</v>
      </c>
      <c r="C266" s="80" t="e">
        <f ca="1">_xlfn.CONCAT(Tableau118[[#This Row],[Compte ILN]],"-",Tableau118[[#This Row],[Compte Shipper]],"-",Tableau118[[#This Row],[POL]],"-",Tableau118[[#This Row],[Compte Site]])</f>
        <v>#N/A</v>
      </c>
      <c r="D266" s="80" t="e">
        <f ca="1">_xlfn.CONCAT(Tableau118[[#This Row],[Compte ILN]],"-",Tableau118[[#This Row],[Compte Shipper]],"-",Tableau118[[#This Row],[POL]])</f>
        <v>#N/A</v>
      </c>
      <c r="E266" s="81" t="e">
        <f ca="1">_xlfn.CONCAT(Tableau118[[#This Row],[POL]],"-",Tableau118[[#This Row],[Carrier]],"-",Tableau118[[#This Row],[POD]])</f>
        <v>#N/A</v>
      </c>
      <c r="F266" s="80" t="str">
        <f>_xlfn.CONCAT(Tableau118[[#This Row],[ID]],"-","Next")</f>
        <v>-Next</v>
      </c>
      <c r="G266" s="80" t="e">
        <f ca="1">_xlfn.CONCAT(Tableau118[[#This Row],[POD]],"-",Tableau118[[#This Row],[Code PFI]],"-",Tableau118[[#This Row],[Compte Site]])</f>
        <v>#N/A</v>
      </c>
      <c r="H266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6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6" s="118" t="str">
        <f ca="1">IF(COUNTIF(I:I,Tableau118[[#This Row],[Plant-ILN-shipper-POL-Carrier-POD-PFI]])=1,"Non","Oui")</f>
        <v>Oui</v>
      </c>
      <c r="K266" s="101" t="e">
        <f>VLOOKUP(Tableau118[[#This Row],[Name Site]],Plant_AILN!A:D,4,FALSE)</f>
        <v>#N/A</v>
      </c>
      <c r="L266" s="368"/>
      <c r="M266" s="480"/>
      <c r="N266" s="102"/>
      <c r="O266" s="124"/>
      <c r="P266" s="484"/>
      <c r="Q266" s="79"/>
      <c r="R266" s="79"/>
      <c r="S266" s="79"/>
      <c r="T266" s="79"/>
      <c r="U266" s="79"/>
      <c r="V266" s="79"/>
      <c r="W266" s="79"/>
      <c r="X266" s="100"/>
      <c r="Y266" s="485">
        <f>IFERROR(VLOOKUP(Tableau118[[#This Row],[Name Shipper]],Plant_AILN!L:M,2,FALSE),0)</f>
        <v>0</v>
      </c>
      <c r="Z266" s="369"/>
      <c r="AA266" s="354" t="e">
        <f ca="1">VLOOKUP(Tableau118[[#This Row],[Key(ID-Actif)]],'DATA BTO'!A:N,5,FALSE)</f>
        <v>#N/A</v>
      </c>
      <c r="AB266" s="106" t="e">
        <f ca="1">VLOOKUP(Tableau118[[#This Row],[Key(ID-Actif)]],'DATA BTO'!A:N,6,FALSE)</f>
        <v>#N/A</v>
      </c>
      <c r="AC266" s="79" t="e">
        <f ca="1">VLOOKUP(Tableau118[[#This Row],[Key(ID-Actif)]],'DATA BTO'!A:N,7,FALSE)</f>
        <v>#N/A</v>
      </c>
      <c r="AD266" s="79" t="e">
        <f ca="1">VLOOKUP(Tableau118[[#This Row],[Key(ID-Actif)]],'DATA BTO'!A:N,8,FALSE)</f>
        <v>#N/A</v>
      </c>
      <c r="AE266" s="79" t="e">
        <f ca="1">IF(Tableau118[[#This Row],[First Day to POL]]&lt;=Tableau118[[#This Row],[Day Cut Off]],Tableau118[[#This Row],[Day ETD]],Tableau118[[#This Row],[Day ETD]]+7)</f>
        <v>#N/A</v>
      </c>
      <c r="AF266" s="79" t="e">
        <f ca="1">VLOOKUP(Tableau118[[#This Row],[Key(ID-Actif)]],'DATA BTO'!A:N,9,FALSE)</f>
        <v>#N/A</v>
      </c>
      <c r="AG266" s="106" t="e">
        <f ca="1">VLOOKUP(Tableau118[[#This Row],[Key(ID-Actif)]],'DATA BTO'!A:N,10,FALSE)</f>
        <v>#N/A</v>
      </c>
      <c r="AH266" s="106" t="e">
        <f ca="1">VLOOKUP(Tableau118[[#This Row],[Key(ID-Actif)]],'DATA BTO'!A:N,11,FALSE)</f>
        <v>#N/A</v>
      </c>
      <c r="AI266" s="79" t="e">
        <f ca="1">VLOOKUP(Tableau118[[#This Row],[Key(ID-Actif)]],'DATA BTO'!A:N,12,FALSE)</f>
        <v>#N/A</v>
      </c>
      <c r="AJ266" s="104" t="e">
        <f ca="1">VLOOKUP(Tableau118[[#This Row],[Key(ID-Actif)]],'DATA BTO'!A:N,14,FALSE)</f>
        <v>#N/A</v>
      </c>
      <c r="AK266" s="105" t="e">
        <f ca="1">VLOOKUP(Tableau118[[#This Row],[Key(POD -PFI- Usine)]],'DATA Consignee'!A:F,6,FALSE)</f>
        <v>#N/A</v>
      </c>
      <c r="AL266" s="100"/>
      <c r="AM266" s="486" t="str">
        <f>IF(Tableau118[[#This Row],[Name PFI/CDD]]="","-",VLOOKUP(Tableau118[[#This Row],[Name PFI/CDD]],Plant_AILN!I:J,2,FALSE))</f>
        <v>-</v>
      </c>
      <c r="AN266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6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6" s="108" t="e">
        <f ca="1">VLOOKUP(Tableau118[[#This Row],[Key(POD -PFI- Usine)]],'DATA Consignee'!A:J,10,FALSE)</f>
        <v>#N/A</v>
      </c>
      <c r="AQ266" s="79" t="e">
        <f ca="1">VLOOKUP(Tableau118[[#This Row],[Key(POD -PFI- Usine)]],'DATA Consignee'!A:N,14,FALSE)</f>
        <v>#N/A</v>
      </c>
      <c r="AR266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6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6" s="79" t="e">
        <f ca="1">Tableau118[[#This Row],[Transit time]]+Tableau118[[#This Row],[Time for security]]+Tableau118[[#This Row],[Time for security2 buffer]]</f>
        <v>#N/A</v>
      </c>
      <c r="AU266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6" s="79" t="e">
        <f ca="1">Tableau118[[#This Row],[Leadtime SI2C]]+Tableau118[[#This Row],[First Receipt Days]]-Tableau118[[#This Row],[Day Customer Order]]+1</f>
        <v>#N/A</v>
      </c>
      <c r="AW266" s="118" t="e">
        <f ca="1">IF(Tableau118[[#This Row],[Name ILN]]&lt;&gt;"SFK Freight Forwarder",Tableau118[[#This Row],[Cust. Leadtime]],Tableau118[[#This Row],[Leadtime SI2C]])</f>
        <v>#N/A</v>
      </c>
      <c r="AX266" s="51" t="e">
        <f>VLOOKUP(Tableau118[[#This Row],[ID]],'DATA BTO'!B:P,15,FALSE)</f>
        <v>#N/A</v>
      </c>
      <c r="AY266" s="347" t="e">
        <f ca="1">IFERROR(VLOOKUP(Tableau118[[#This Row],[Key(ID-Actif)]],'DATA BTO'!A:N,4,FALSE),VLOOKUP(Tableau118[[#This Row],[ID]],'DATA BTO'!B:N,3,FALSE))</f>
        <v>#N/A</v>
      </c>
      <c r="AZ266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6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6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6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6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6" s="50"/>
    </row>
    <row r="267" spans="2:57">
      <c r="B267" s="370" t="str">
        <f>_xlfn.CONCAT(Tableau118[[#This Row],[Name ILN]],"-",Tableau118[[#This Row],[Name Shipper]],"-",Tableau118[[#This Row],[Name Site]])</f>
        <v>--</v>
      </c>
      <c r="C267" s="80" t="e">
        <f ca="1">_xlfn.CONCAT(Tableau118[[#This Row],[Compte ILN]],"-",Tableau118[[#This Row],[Compte Shipper]],"-",Tableau118[[#This Row],[POL]],"-",Tableau118[[#This Row],[Compte Site]])</f>
        <v>#N/A</v>
      </c>
      <c r="D267" s="80" t="e">
        <f ca="1">_xlfn.CONCAT(Tableau118[[#This Row],[Compte ILN]],"-",Tableau118[[#This Row],[Compte Shipper]],"-",Tableau118[[#This Row],[POL]])</f>
        <v>#N/A</v>
      </c>
      <c r="E267" s="81" t="e">
        <f ca="1">_xlfn.CONCAT(Tableau118[[#This Row],[POL]],"-",Tableau118[[#This Row],[Carrier]],"-",Tableau118[[#This Row],[POD]])</f>
        <v>#N/A</v>
      </c>
      <c r="F267" s="80" t="str">
        <f>_xlfn.CONCAT(Tableau118[[#This Row],[ID]],"-","Next")</f>
        <v>-Next</v>
      </c>
      <c r="G267" s="80" t="e">
        <f ca="1">_xlfn.CONCAT(Tableau118[[#This Row],[POD]],"-",Tableau118[[#This Row],[Code PFI]],"-",Tableau118[[#This Row],[Compte Site]])</f>
        <v>#N/A</v>
      </c>
      <c r="H26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7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7" s="118" t="str">
        <f ca="1">IF(COUNTIF(I:I,Tableau118[[#This Row],[Plant-ILN-shipper-POL-Carrier-POD-PFI]])=1,"Non","Oui")</f>
        <v>Oui</v>
      </c>
      <c r="K267" s="101" t="e">
        <f>VLOOKUP(Tableau118[[#This Row],[Name Site]],Plant_AILN!A:D,4,FALSE)</f>
        <v>#N/A</v>
      </c>
      <c r="L267" s="368"/>
      <c r="M267" s="480"/>
      <c r="N267" s="102"/>
      <c r="O267" s="124"/>
      <c r="P267" s="484"/>
      <c r="Q267" s="79"/>
      <c r="R267" s="79"/>
      <c r="S267" s="79"/>
      <c r="T267" s="79"/>
      <c r="U267" s="79"/>
      <c r="V267" s="79"/>
      <c r="W267" s="79"/>
      <c r="X267" s="100"/>
      <c r="Y267" s="485">
        <f>IFERROR(VLOOKUP(Tableau118[[#This Row],[Name Shipper]],Plant_AILN!L:M,2,FALSE),0)</f>
        <v>0</v>
      </c>
      <c r="Z267" s="369"/>
      <c r="AA267" s="354" t="e">
        <f ca="1">VLOOKUP(Tableau118[[#This Row],[Key(ID-Actif)]],'DATA BTO'!A:N,5,FALSE)</f>
        <v>#N/A</v>
      </c>
      <c r="AB267" s="106" t="e">
        <f ca="1">VLOOKUP(Tableau118[[#This Row],[Key(ID-Actif)]],'DATA BTO'!A:N,6,FALSE)</f>
        <v>#N/A</v>
      </c>
      <c r="AC267" s="79" t="e">
        <f ca="1">VLOOKUP(Tableau118[[#This Row],[Key(ID-Actif)]],'DATA BTO'!A:N,7,FALSE)</f>
        <v>#N/A</v>
      </c>
      <c r="AD267" s="79" t="e">
        <f ca="1">VLOOKUP(Tableau118[[#This Row],[Key(ID-Actif)]],'DATA BTO'!A:N,8,FALSE)</f>
        <v>#N/A</v>
      </c>
      <c r="AE267" s="79" t="e">
        <f ca="1">IF(Tableau118[[#This Row],[First Day to POL]]&lt;=Tableau118[[#This Row],[Day Cut Off]],Tableau118[[#This Row],[Day ETD]],Tableau118[[#This Row],[Day ETD]]+7)</f>
        <v>#N/A</v>
      </c>
      <c r="AF267" s="79" t="e">
        <f ca="1">VLOOKUP(Tableau118[[#This Row],[Key(ID-Actif)]],'DATA BTO'!A:N,9,FALSE)</f>
        <v>#N/A</v>
      </c>
      <c r="AG267" s="106" t="e">
        <f ca="1">VLOOKUP(Tableau118[[#This Row],[Key(ID-Actif)]],'DATA BTO'!A:N,10,FALSE)</f>
        <v>#N/A</v>
      </c>
      <c r="AH267" s="106" t="e">
        <f ca="1">VLOOKUP(Tableau118[[#This Row],[Key(ID-Actif)]],'DATA BTO'!A:N,11,FALSE)</f>
        <v>#N/A</v>
      </c>
      <c r="AI267" s="79" t="e">
        <f ca="1">VLOOKUP(Tableau118[[#This Row],[Key(ID-Actif)]],'DATA BTO'!A:N,12,FALSE)</f>
        <v>#N/A</v>
      </c>
      <c r="AJ267" s="104" t="e">
        <f ca="1">VLOOKUP(Tableau118[[#This Row],[Key(ID-Actif)]],'DATA BTO'!A:N,14,FALSE)</f>
        <v>#N/A</v>
      </c>
      <c r="AK267" s="105" t="e">
        <f ca="1">VLOOKUP(Tableau118[[#This Row],[Key(POD -PFI- Usine)]],'DATA Consignee'!A:F,6,FALSE)</f>
        <v>#N/A</v>
      </c>
      <c r="AL267" s="100"/>
      <c r="AM267" s="486" t="str">
        <f>IF(Tableau118[[#This Row],[Name PFI/CDD]]="","-",VLOOKUP(Tableau118[[#This Row],[Name PFI/CDD]],Plant_AILN!I:J,2,FALSE))</f>
        <v>-</v>
      </c>
      <c r="AN267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7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7" s="108" t="e">
        <f ca="1">VLOOKUP(Tableau118[[#This Row],[Key(POD -PFI- Usine)]],'DATA Consignee'!A:J,10,FALSE)</f>
        <v>#N/A</v>
      </c>
      <c r="AQ267" s="79" t="e">
        <f ca="1">VLOOKUP(Tableau118[[#This Row],[Key(POD -PFI- Usine)]],'DATA Consignee'!A:N,14,FALSE)</f>
        <v>#N/A</v>
      </c>
      <c r="AR267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7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7" s="79" t="e">
        <f ca="1">Tableau118[[#This Row],[Transit time]]+Tableau118[[#This Row],[Time for security]]+Tableau118[[#This Row],[Time for security2 buffer]]</f>
        <v>#N/A</v>
      </c>
      <c r="AU267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7" s="79" t="e">
        <f ca="1">Tableau118[[#This Row],[Leadtime SI2C]]+Tableau118[[#This Row],[First Receipt Days]]-Tableau118[[#This Row],[Day Customer Order]]+1</f>
        <v>#N/A</v>
      </c>
      <c r="AW267" s="118" t="e">
        <f ca="1">IF(Tableau118[[#This Row],[Name ILN]]&lt;&gt;"SFK Freight Forwarder",Tableau118[[#This Row],[Cust. Leadtime]],Tableau118[[#This Row],[Leadtime SI2C]])</f>
        <v>#N/A</v>
      </c>
      <c r="AX267" s="51" t="e">
        <f>VLOOKUP(Tableau118[[#This Row],[ID]],'DATA BTO'!B:P,15,FALSE)</f>
        <v>#N/A</v>
      </c>
      <c r="AY267" s="347" t="e">
        <f ca="1">IFERROR(VLOOKUP(Tableau118[[#This Row],[Key(ID-Actif)]],'DATA BTO'!A:N,4,FALSE),VLOOKUP(Tableau118[[#This Row],[ID]],'DATA BTO'!B:N,3,FALSE))</f>
        <v>#N/A</v>
      </c>
      <c r="AZ267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7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7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7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7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7" s="50"/>
    </row>
    <row r="268" spans="2:57">
      <c r="B268" s="370" t="str">
        <f>_xlfn.CONCAT(Tableau118[[#This Row],[Name ILN]],"-",Tableau118[[#This Row],[Name Shipper]],"-",Tableau118[[#This Row],[Name Site]])</f>
        <v>--</v>
      </c>
      <c r="C268" s="80" t="e">
        <f ca="1">_xlfn.CONCAT(Tableau118[[#This Row],[Compte ILN]],"-",Tableau118[[#This Row],[Compte Shipper]],"-",Tableau118[[#This Row],[POL]],"-",Tableau118[[#This Row],[Compte Site]])</f>
        <v>#N/A</v>
      </c>
      <c r="D268" s="80" t="e">
        <f ca="1">_xlfn.CONCAT(Tableau118[[#This Row],[Compte ILN]],"-",Tableau118[[#This Row],[Compte Shipper]],"-",Tableau118[[#This Row],[POL]])</f>
        <v>#N/A</v>
      </c>
      <c r="E268" s="81" t="e">
        <f ca="1">_xlfn.CONCAT(Tableau118[[#This Row],[POL]],"-",Tableau118[[#This Row],[Carrier]],"-",Tableau118[[#This Row],[POD]])</f>
        <v>#N/A</v>
      </c>
      <c r="F268" s="80" t="str">
        <f>_xlfn.CONCAT(Tableau118[[#This Row],[ID]],"-","Next")</f>
        <v>-Next</v>
      </c>
      <c r="G268" s="80" t="e">
        <f ca="1">_xlfn.CONCAT(Tableau118[[#This Row],[POD]],"-",Tableau118[[#This Row],[Code PFI]],"-",Tableau118[[#This Row],[Compte Site]])</f>
        <v>#N/A</v>
      </c>
      <c r="H268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8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8" s="118" t="str">
        <f ca="1">IF(COUNTIF(I:I,Tableau118[[#This Row],[Plant-ILN-shipper-POL-Carrier-POD-PFI]])=1,"Non","Oui")</f>
        <v>Oui</v>
      </c>
      <c r="K268" s="101" t="e">
        <f>VLOOKUP(Tableau118[[#This Row],[Name Site]],Plant_AILN!A:D,4,FALSE)</f>
        <v>#N/A</v>
      </c>
      <c r="L268" s="368"/>
      <c r="M268" s="480"/>
      <c r="N268" s="102"/>
      <c r="O268" s="124"/>
      <c r="P268" s="484"/>
      <c r="Q268" s="79"/>
      <c r="R268" s="79"/>
      <c r="S268" s="79"/>
      <c r="T268" s="79"/>
      <c r="U268" s="79"/>
      <c r="V268" s="79"/>
      <c r="W268" s="79"/>
      <c r="X268" s="100"/>
      <c r="Y268" s="485">
        <f>IFERROR(VLOOKUP(Tableau118[[#This Row],[Name Shipper]],Plant_AILN!L:M,2,FALSE),0)</f>
        <v>0</v>
      </c>
      <c r="Z268" s="369"/>
      <c r="AA268" s="354" t="e">
        <f ca="1">VLOOKUP(Tableau118[[#This Row],[Key(ID-Actif)]],'DATA BTO'!A:N,5,FALSE)</f>
        <v>#N/A</v>
      </c>
      <c r="AB268" s="106" t="e">
        <f ca="1">VLOOKUP(Tableau118[[#This Row],[Key(ID-Actif)]],'DATA BTO'!A:N,6,FALSE)</f>
        <v>#N/A</v>
      </c>
      <c r="AC268" s="79" t="e">
        <f ca="1">VLOOKUP(Tableau118[[#This Row],[Key(ID-Actif)]],'DATA BTO'!A:N,7,FALSE)</f>
        <v>#N/A</v>
      </c>
      <c r="AD268" s="79" t="e">
        <f ca="1">VLOOKUP(Tableau118[[#This Row],[Key(ID-Actif)]],'DATA BTO'!A:N,8,FALSE)</f>
        <v>#N/A</v>
      </c>
      <c r="AE268" s="79" t="e">
        <f ca="1">IF(Tableau118[[#This Row],[First Day to POL]]&lt;=Tableau118[[#This Row],[Day Cut Off]],Tableau118[[#This Row],[Day ETD]],Tableau118[[#This Row],[Day ETD]]+7)</f>
        <v>#N/A</v>
      </c>
      <c r="AF268" s="79" t="e">
        <f ca="1">VLOOKUP(Tableau118[[#This Row],[Key(ID-Actif)]],'DATA BTO'!A:N,9,FALSE)</f>
        <v>#N/A</v>
      </c>
      <c r="AG268" s="106" t="e">
        <f ca="1">VLOOKUP(Tableau118[[#This Row],[Key(ID-Actif)]],'DATA BTO'!A:N,10,FALSE)</f>
        <v>#N/A</v>
      </c>
      <c r="AH268" s="106" t="e">
        <f ca="1">VLOOKUP(Tableau118[[#This Row],[Key(ID-Actif)]],'DATA BTO'!A:N,11,FALSE)</f>
        <v>#N/A</v>
      </c>
      <c r="AI268" s="79" t="e">
        <f ca="1">VLOOKUP(Tableau118[[#This Row],[Key(ID-Actif)]],'DATA BTO'!A:N,12,FALSE)</f>
        <v>#N/A</v>
      </c>
      <c r="AJ268" s="104" t="e">
        <f ca="1">VLOOKUP(Tableau118[[#This Row],[Key(ID-Actif)]],'DATA BTO'!A:N,14,FALSE)</f>
        <v>#N/A</v>
      </c>
      <c r="AK268" s="105" t="e">
        <f ca="1">VLOOKUP(Tableau118[[#This Row],[Key(POD -PFI- Usine)]],'DATA Consignee'!A:F,6,FALSE)</f>
        <v>#N/A</v>
      </c>
      <c r="AL268" s="100" t="s">
        <v>218</v>
      </c>
      <c r="AM268" s="486">
        <f>IF(Tableau118[[#This Row],[Name PFI/CDD]]="","-",VLOOKUP(Tableau118[[#This Row],[Name PFI/CDD]],Plant_AILN!I:J,2,FALSE))</f>
        <v>2839004</v>
      </c>
      <c r="AN268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8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8" s="108" t="e">
        <f ca="1">VLOOKUP(Tableau118[[#This Row],[Key(POD -PFI- Usine)]],'DATA Consignee'!A:J,10,FALSE)</f>
        <v>#N/A</v>
      </c>
      <c r="AQ268" s="79" t="e">
        <f ca="1">VLOOKUP(Tableau118[[#This Row],[Key(POD -PFI- Usine)]],'DATA Consignee'!A:N,14,FALSE)</f>
        <v>#N/A</v>
      </c>
      <c r="AR268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8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8" s="79" t="e">
        <f ca="1">Tableau118[[#This Row],[Transit time]]+Tableau118[[#This Row],[Time for security]]+Tableau118[[#This Row],[Time for security2 buffer]]</f>
        <v>#N/A</v>
      </c>
      <c r="AU268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8" s="79" t="e">
        <f ca="1">Tableau118[[#This Row],[Leadtime SI2C]]+Tableau118[[#This Row],[First Receipt Days]]-Tableau118[[#This Row],[Day Customer Order]]+1</f>
        <v>#N/A</v>
      </c>
      <c r="AW268" s="118" t="e">
        <f ca="1">IF(Tableau118[[#This Row],[Name ILN]]&lt;&gt;"SFK Freight Forwarder",Tableau118[[#This Row],[Cust. Leadtime]],Tableau118[[#This Row],[Leadtime SI2C]])</f>
        <v>#N/A</v>
      </c>
      <c r="AX268" s="51" t="e">
        <f>VLOOKUP(Tableau118[[#This Row],[ID]],'DATA BTO'!B:P,15,FALSE)</f>
        <v>#N/A</v>
      </c>
      <c r="AY268" s="347" t="e">
        <f ca="1">IFERROR(VLOOKUP(Tableau118[[#This Row],[Key(ID-Actif)]],'DATA BTO'!A:N,4,FALSE),VLOOKUP(Tableau118[[#This Row],[ID]],'DATA BTO'!B:N,3,FALSE))</f>
        <v>#N/A</v>
      </c>
      <c r="AZ268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8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8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8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8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8" s="50"/>
    </row>
    <row r="269" spans="2:57">
      <c r="B269" s="370" t="str">
        <f>_xlfn.CONCAT(Tableau118[[#This Row],[Name ILN]],"-",Tableau118[[#This Row],[Name Shipper]],"-",Tableau118[[#This Row],[Name Site]])</f>
        <v>--</v>
      </c>
      <c r="C269" s="80" t="e">
        <f ca="1">_xlfn.CONCAT(Tableau118[[#This Row],[Compte ILN]],"-",Tableau118[[#This Row],[Compte Shipper]],"-",Tableau118[[#This Row],[POL]],"-",Tableau118[[#This Row],[Compte Site]])</f>
        <v>#N/A</v>
      </c>
      <c r="D269" s="80" t="e">
        <f ca="1">_xlfn.CONCAT(Tableau118[[#This Row],[Compte ILN]],"-",Tableau118[[#This Row],[Compte Shipper]],"-",Tableau118[[#This Row],[POL]])</f>
        <v>#N/A</v>
      </c>
      <c r="E269" s="81" t="e">
        <f ca="1">_xlfn.CONCAT(Tableau118[[#This Row],[POL]],"-",Tableau118[[#This Row],[Carrier]],"-",Tableau118[[#This Row],[POD]])</f>
        <v>#N/A</v>
      </c>
      <c r="F269" s="80" t="str">
        <f>_xlfn.CONCAT(Tableau118[[#This Row],[ID]],"-","Next")</f>
        <v>-Next</v>
      </c>
      <c r="G269" s="80" t="e">
        <f ca="1">_xlfn.CONCAT(Tableau118[[#This Row],[POD]],"-",Tableau118[[#This Row],[Code PFI]],"-",Tableau118[[#This Row],[Compte Site]])</f>
        <v>#N/A</v>
      </c>
      <c r="H269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69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69" s="118" t="str">
        <f ca="1">IF(COUNTIF(I:I,Tableau118[[#This Row],[Plant-ILN-shipper-POL-Carrier-POD-PFI]])=1,"Non","Oui")</f>
        <v>Oui</v>
      </c>
      <c r="K269" s="101" t="e">
        <f>VLOOKUP(Tableau118[[#This Row],[Name Site]],Plant_AILN!A:D,4,FALSE)</f>
        <v>#N/A</v>
      </c>
      <c r="L269" s="368"/>
      <c r="M269" s="480"/>
      <c r="N269" s="102"/>
      <c r="O269" s="124"/>
      <c r="P269" s="484"/>
      <c r="Q269" s="79"/>
      <c r="R269" s="79"/>
      <c r="S269" s="79"/>
      <c r="T269" s="79"/>
      <c r="U269" s="79"/>
      <c r="V269" s="79"/>
      <c r="W269" s="79"/>
      <c r="X269" s="100"/>
      <c r="Y269" s="485">
        <f>IFERROR(VLOOKUP(Tableau118[[#This Row],[Name Shipper]],Plant_AILN!L:M,2,FALSE),0)</f>
        <v>0</v>
      </c>
      <c r="Z269" s="349"/>
      <c r="AA269" s="354" t="e">
        <f ca="1">VLOOKUP(Tableau118[[#This Row],[Key(ID-Actif)]],'DATA BTO'!A:N,5,FALSE)</f>
        <v>#N/A</v>
      </c>
      <c r="AB269" s="106" t="e">
        <f ca="1">VLOOKUP(Tableau118[[#This Row],[Key(ID-Actif)]],'DATA BTO'!A:N,6,FALSE)</f>
        <v>#N/A</v>
      </c>
      <c r="AC269" s="79" t="e">
        <f ca="1">VLOOKUP(Tableau118[[#This Row],[Key(ID-Actif)]],'DATA BTO'!A:N,7,FALSE)</f>
        <v>#N/A</v>
      </c>
      <c r="AD269" s="79" t="e">
        <f ca="1">VLOOKUP(Tableau118[[#This Row],[Key(ID-Actif)]],'DATA BTO'!A:N,8,FALSE)</f>
        <v>#N/A</v>
      </c>
      <c r="AE269" s="79" t="e">
        <f ca="1">IF(Tableau118[[#This Row],[First Day to POL]]&lt;=Tableau118[[#This Row],[Day Cut Off]],Tableau118[[#This Row],[Day ETD]],Tableau118[[#This Row],[Day ETD]]+7)</f>
        <v>#N/A</v>
      </c>
      <c r="AF269" s="79" t="e">
        <f ca="1">VLOOKUP(Tableau118[[#This Row],[Key(ID-Actif)]],'DATA BTO'!A:N,9,FALSE)</f>
        <v>#N/A</v>
      </c>
      <c r="AG269" s="106" t="e">
        <f ca="1">VLOOKUP(Tableau118[[#This Row],[Key(ID-Actif)]],'DATA BTO'!A:N,10,FALSE)</f>
        <v>#N/A</v>
      </c>
      <c r="AH269" s="106" t="e">
        <f ca="1">VLOOKUP(Tableau118[[#This Row],[Key(ID-Actif)]],'DATA BTO'!A:N,11,FALSE)</f>
        <v>#N/A</v>
      </c>
      <c r="AI269" s="79" t="e">
        <f ca="1">VLOOKUP(Tableau118[[#This Row],[Key(ID-Actif)]],'DATA BTO'!A:N,12,FALSE)</f>
        <v>#N/A</v>
      </c>
      <c r="AJ269" s="104" t="e">
        <f ca="1">VLOOKUP(Tableau118[[#This Row],[Key(ID-Actif)]],'DATA BTO'!A:N,14,FALSE)</f>
        <v>#N/A</v>
      </c>
      <c r="AK269" s="105" t="e">
        <f ca="1">VLOOKUP(Tableau118[[#This Row],[Key(POD -PFI- Usine)]],'DATA Consignee'!A:F,6,FALSE)</f>
        <v>#N/A</v>
      </c>
      <c r="AL269" s="100"/>
      <c r="AM269" s="486" t="str">
        <f>IF(Tableau118[[#This Row],[Name PFI/CDD]]="","-",VLOOKUP(Tableau118[[#This Row],[Name PFI/CDD]],Plant_AILN!I:J,2,FALSE))</f>
        <v>-</v>
      </c>
      <c r="AN269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69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69" s="108" t="e">
        <f ca="1">VLOOKUP(Tableau118[[#This Row],[Key(POD -PFI- Usine)]],'DATA Consignee'!A:J,10,FALSE)</f>
        <v>#N/A</v>
      </c>
      <c r="AQ269" s="79" t="e">
        <f ca="1">VLOOKUP(Tableau118[[#This Row],[Key(POD -PFI- Usine)]],'DATA Consignee'!A:N,14,FALSE)</f>
        <v>#N/A</v>
      </c>
      <c r="AR269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69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69" s="79" t="e">
        <f ca="1">Tableau118[[#This Row],[Transit time]]+Tableau118[[#This Row],[Time for security]]+Tableau118[[#This Row],[Time for security2 buffer]]</f>
        <v>#N/A</v>
      </c>
      <c r="AU269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69" s="79" t="e">
        <f ca="1">Tableau118[[#This Row],[Leadtime SI2C]]+Tableau118[[#This Row],[First Receipt Days]]-Tableau118[[#This Row],[Day Customer Order]]+1</f>
        <v>#N/A</v>
      </c>
      <c r="AW269" s="118" t="e">
        <f ca="1">IF(Tableau118[[#This Row],[Name ILN]]&lt;&gt;"SFK Freight Forwarder",Tableau118[[#This Row],[Cust. Leadtime]],Tableau118[[#This Row],[Leadtime SI2C]])</f>
        <v>#N/A</v>
      </c>
      <c r="AX269" s="51" t="e">
        <f>VLOOKUP(Tableau118[[#This Row],[ID]],'DATA BTO'!B:P,15,FALSE)</f>
        <v>#N/A</v>
      </c>
      <c r="AY269" s="347" t="e">
        <f ca="1">IFERROR(VLOOKUP(Tableau118[[#This Row],[Key(ID-Actif)]],'DATA BTO'!A:N,4,FALSE),VLOOKUP(Tableau118[[#This Row],[ID]],'DATA BTO'!B:N,3,FALSE))</f>
        <v>#N/A</v>
      </c>
      <c r="AZ269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69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69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69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69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69" s="79"/>
    </row>
    <row r="270" spans="2:57">
      <c r="B270" s="370" t="str">
        <f>_xlfn.CONCAT(Tableau118[[#This Row],[Name ILN]],"-",Tableau118[[#This Row],[Name Shipper]],"-",Tableau118[[#This Row],[Name Site]])</f>
        <v>--</v>
      </c>
      <c r="C270" s="80" t="e">
        <f ca="1">_xlfn.CONCAT(Tableau118[[#This Row],[Compte ILN]],"-",Tableau118[[#This Row],[Compte Shipper]],"-",Tableau118[[#This Row],[POL]],"-",Tableau118[[#This Row],[Compte Site]])</f>
        <v>#N/A</v>
      </c>
      <c r="D270" s="80" t="e">
        <f ca="1">_xlfn.CONCAT(Tableau118[[#This Row],[Compte ILN]],"-",Tableau118[[#This Row],[Compte Shipper]],"-",Tableau118[[#This Row],[POL]])</f>
        <v>#N/A</v>
      </c>
      <c r="E270" s="81" t="e">
        <f ca="1">_xlfn.CONCAT(Tableau118[[#This Row],[POL]],"-",Tableau118[[#This Row],[Carrier]],"-",Tableau118[[#This Row],[POD]])</f>
        <v>#N/A</v>
      </c>
      <c r="F270" s="80" t="str">
        <f>_xlfn.CONCAT(Tableau118[[#This Row],[ID]],"-","Next")</f>
        <v>-Next</v>
      </c>
      <c r="G270" s="80" t="e">
        <f ca="1">_xlfn.CONCAT(Tableau118[[#This Row],[POD]],"-",Tableau118[[#This Row],[Code PFI]],"-",Tableau118[[#This Row],[Compte Site]])</f>
        <v>#N/A</v>
      </c>
      <c r="H27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0" s="118" t="str">
        <f ca="1">IF(COUNTIF(I:I,Tableau118[[#This Row],[Plant-ILN-shipper-POL-Carrier-POD-PFI]])=1,"Non","Oui")</f>
        <v>Oui</v>
      </c>
      <c r="K270" s="101" t="e">
        <f>VLOOKUP(Tableau118[[#This Row],[Name Site]],Plant_AILN!A:D,4,FALSE)</f>
        <v>#N/A</v>
      </c>
      <c r="L270" s="368"/>
      <c r="M270" s="480"/>
      <c r="N270" s="102"/>
      <c r="O270" s="124"/>
      <c r="P270" s="484"/>
      <c r="Q270" s="79"/>
      <c r="R270" s="79"/>
      <c r="S270" s="79"/>
      <c r="T270" s="79"/>
      <c r="U270" s="79"/>
      <c r="V270" s="79"/>
      <c r="W270" s="79"/>
      <c r="X270" s="381"/>
      <c r="Y270" s="485">
        <f>IFERROR(VLOOKUP(Tableau118[[#This Row],[Name Shipper]],Plant_AILN!L:M,2,FALSE),0)</f>
        <v>0</v>
      </c>
      <c r="Z270" s="369"/>
      <c r="AA270" s="354" t="e">
        <f ca="1">VLOOKUP(Tableau118[[#This Row],[Key(ID-Actif)]],'DATA BTO'!A:N,5,FALSE)</f>
        <v>#N/A</v>
      </c>
      <c r="AB270" s="106" t="e">
        <f ca="1">VLOOKUP(Tableau118[[#This Row],[Key(ID-Actif)]],'DATA BTO'!A:N,6,FALSE)</f>
        <v>#N/A</v>
      </c>
      <c r="AC270" s="79" t="e">
        <f ca="1">VLOOKUP(Tableau118[[#This Row],[Key(ID-Actif)]],'DATA BTO'!A:N,7,FALSE)</f>
        <v>#N/A</v>
      </c>
      <c r="AD270" s="79" t="e">
        <f ca="1">VLOOKUP(Tableau118[[#This Row],[Key(ID-Actif)]],'DATA BTO'!A:N,8,FALSE)</f>
        <v>#N/A</v>
      </c>
      <c r="AE270" s="79" t="e">
        <f ca="1">IF(Tableau118[[#This Row],[First Day to POL]]&lt;=Tableau118[[#This Row],[Day Cut Off]],Tableau118[[#This Row],[Day ETD]],Tableau118[[#This Row],[Day ETD]]+7)</f>
        <v>#N/A</v>
      </c>
      <c r="AF270" s="79" t="e">
        <f ca="1">VLOOKUP(Tableau118[[#This Row],[Key(ID-Actif)]],'DATA BTO'!A:N,9,FALSE)</f>
        <v>#N/A</v>
      </c>
      <c r="AG270" s="106" t="e">
        <f ca="1">VLOOKUP(Tableau118[[#This Row],[Key(ID-Actif)]],'DATA BTO'!A:N,10,FALSE)</f>
        <v>#N/A</v>
      </c>
      <c r="AH270" s="106" t="e">
        <f ca="1">VLOOKUP(Tableau118[[#This Row],[Key(ID-Actif)]],'DATA BTO'!A:N,11,FALSE)</f>
        <v>#N/A</v>
      </c>
      <c r="AI270" s="79" t="e">
        <f ca="1">VLOOKUP(Tableau118[[#This Row],[Key(ID-Actif)]],'DATA BTO'!A:N,12,FALSE)</f>
        <v>#N/A</v>
      </c>
      <c r="AJ270" s="104" t="e">
        <f ca="1">VLOOKUP(Tableau118[[#This Row],[Key(ID-Actif)]],'DATA BTO'!A:N,14,FALSE)</f>
        <v>#N/A</v>
      </c>
      <c r="AK270" s="105" t="e">
        <f ca="1">VLOOKUP(Tableau118[[#This Row],[Key(POD -PFI- Usine)]],'DATA Consignee'!A:F,6,FALSE)</f>
        <v>#N/A</v>
      </c>
      <c r="AL270" s="100"/>
      <c r="AM270" s="486" t="str">
        <f>IF(Tableau118[[#This Row],[Name PFI/CDD]]="","-",VLOOKUP(Tableau118[[#This Row],[Name PFI/CDD]],Plant_AILN!I:J,2,FALSE))</f>
        <v>-</v>
      </c>
      <c r="AN27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0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0" s="108" t="e">
        <f ca="1">VLOOKUP(Tableau118[[#This Row],[Key(POD -PFI- Usine)]],'DATA Consignee'!A:J,10,FALSE)</f>
        <v>#N/A</v>
      </c>
      <c r="AQ270" s="79" t="e">
        <f ca="1">VLOOKUP(Tableau118[[#This Row],[Key(POD -PFI- Usine)]],'DATA Consignee'!A:N,14,FALSE)</f>
        <v>#N/A</v>
      </c>
      <c r="AR27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0" s="79" t="e">
        <f ca="1">Tableau118[[#This Row],[Transit time]]+Tableau118[[#This Row],[Time for security]]+Tableau118[[#This Row],[Time for security2 buffer]]</f>
        <v>#N/A</v>
      </c>
      <c r="AU27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0" s="79" t="e">
        <f ca="1">Tableau118[[#This Row],[Leadtime SI2C]]+Tableau118[[#This Row],[First Receipt Days]]-Tableau118[[#This Row],[Day Customer Order]]+1</f>
        <v>#N/A</v>
      </c>
      <c r="AW270" s="118" t="e">
        <f ca="1">IF(Tableau118[[#This Row],[Name ILN]]&lt;&gt;"SFK Freight Forwarder",Tableau118[[#This Row],[Cust. Leadtime]],Tableau118[[#This Row],[Leadtime SI2C]])</f>
        <v>#N/A</v>
      </c>
      <c r="AX270" s="74" t="e">
        <f>VLOOKUP(Tableau118[[#This Row],[ID]],'DATA BTO'!B:P,15,FALSE)</f>
        <v>#N/A</v>
      </c>
      <c r="AY270" s="347" t="e">
        <f ca="1">IFERROR(VLOOKUP(Tableau118[[#This Row],[Key(ID-Actif)]],'DATA BTO'!A:N,4,FALSE),VLOOKUP(Tableau118[[#This Row],[ID]],'DATA BTO'!B:N,3,FALSE))</f>
        <v>#N/A</v>
      </c>
      <c r="AZ270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0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0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0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0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0" s="79"/>
    </row>
    <row r="271" spans="2:57">
      <c r="B271" s="370" t="str">
        <f>_xlfn.CONCAT(Tableau118[[#This Row],[Name ILN]],"-",Tableau118[[#This Row],[Name Shipper]],"-",Tableau118[[#This Row],[Name Site]])</f>
        <v>--</v>
      </c>
      <c r="C271" s="80" t="e">
        <f ca="1">_xlfn.CONCAT(Tableau118[[#This Row],[Compte ILN]],"-",Tableau118[[#This Row],[Compte Shipper]],"-",Tableau118[[#This Row],[POL]],"-",Tableau118[[#This Row],[Compte Site]])</f>
        <v>#N/A</v>
      </c>
      <c r="D271" s="80" t="e">
        <f ca="1">_xlfn.CONCAT(Tableau118[[#This Row],[Compte ILN]],"-",Tableau118[[#This Row],[Compte Shipper]],"-",Tableau118[[#This Row],[POL]])</f>
        <v>#N/A</v>
      </c>
      <c r="E271" s="81" t="e">
        <f ca="1">_xlfn.CONCAT(Tableau118[[#This Row],[POL]],"-",Tableau118[[#This Row],[Carrier]],"-",Tableau118[[#This Row],[POD]])</f>
        <v>#N/A</v>
      </c>
      <c r="F271" s="80" t="str">
        <f>_xlfn.CONCAT(Tableau118[[#This Row],[ID]],"-","Next")</f>
        <v>-Next</v>
      </c>
      <c r="G271" s="80" t="e">
        <f ca="1">_xlfn.CONCAT(Tableau118[[#This Row],[POD]],"-",Tableau118[[#This Row],[Code PFI]],"-",Tableau118[[#This Row],[Compte Site]])</f>
        <v>#N/A</v>
      </c>
      <c r="H271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1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1" s="118" t="str">
        <f ca="1">IF(COUNTIF(I:I,Tableau118[[#This Row],[Plant-ILN-shipper-POL-Carrier-POD-PFI]])=1,"Non","Oui")</f>
        <v>Oui</v>
      </c>
      <c r="K271" s="101" t="e">
        <f>VLOOKUP(Tableau118[[#This Row],[Name Site]],Plant_AILN!A:D,4,FALSE)</f>
        <v>#N/A</v>
      </c>
      <c r="L271" s="368"/>
      <c r="M271" s="480"/>
      <c r="N271" s="102"/>
      <c r="O271" s="124"/>
      <c r="P271" s="484"/>
      <c r="Q271" s="79"/>
      <c r="R271" s="79"/>
      <c r="S271" s="79"/>
      <c r="T271" s="79"/>
      <c r="U271" s="79"/>
      <c r="V271" s="79"/>
      <c r="W271" s="79"/>
      <c r="X271" s="100"/>
      <c r="Y271" s="485">
        <f>IFERROR(VLOOKUP(Tableau118[[#This Row],[Name Shipper]],Plant_AILN!L:M,2,FALSE),0)</f>
        <v>0</v>
      </c>
      <c r="Z271" s="369"/>
      <c r="AA271" s="354" t="e">
        <f ca="1">VLOOKUP(Tableau118[[#This Row],[Key(ID-Actif)]],'DATA BTO'!A:N,5,FALSE)</f>
        <v>#N/A</v>
      </c>
      <c r="AB271" s="106" t="e">
        <f ca="1">VLOOKUP(Tableau118[[#This Row],[Key(ID-Actif)]],'DATA BTO'!A:N,6,FALSE)</f>
        <v>#N/A</v>
      </c>
      <c r="AC271" s="79" t="e">
        <f ca="1">VLOOKUP(Tableau118[[#This Row],[Key(ID-Actif)]],'DATA BTO'!A:N,7,FALSE)</f>
        <v>#N/A</v>
      </c>
      <c r="AD271" s="79" t="e">
        <f ca="1">VLOOKUP(Tableau118[[#This Row],[Key(ID-Actif)]],'DATA BTO'!A:N,8,FALSE)</f>
        <v>#N/A</v>
      </c>
      <c r="AE271" s="79" t="e">
        <f ca="1">IF(Tableau118[[#This Row],[First Day to POL]]&lt;=Tableau118[[#This Row],[Day Cut Off]],Tableau118[[#This Row],[Day ETD]],Tableau118[[#This Row],[Day ETD]]+7)</f>
        <v>#N/A</v>
      </c>
      <c r="AF271" s="79" t="e">
        <f ca="1">VLOOKUP(Tableau118[[#This Row],[Key(ID-Actif)]],'DATA BTO'!A:N,9,FALSE)</f>
        <v>#N/A</v>
      </c>
      <c r="AG271" s="106" t="e">
        <f ca="1">VLOOKUP(Tableau118[[#This Row],[Key(ID-Actif)]],'DATA BTO'!A:N,10,FALSE)</f>
        <v>#N/A</v>
      </c>
      <c r="AH271" s="106" t="e">
        <f ca="1">VLOOKUP(Tableau118[[#This Row],[Key(ID-Actif)]],'DATA BTO'!A:N,11,FALSE)</f>
        <v>#N/A</v>
      </c>
      <c r="AI271" s="79" t="e">
        <f ca="1">VLOOKUP(Tableau118[[#This Row],[Key(ID-Actif)]],'DATA BTO'!A:N,12,FALSE)</f>
        <v>#N/A</v>
      </c>
      <c r="AJ271" s="104" t="e">
        <f ca="1">VLOOKUP(Tableau118[[#This Row],[Key(ID-Actif)]],'DATA BTO'!A:N,14,FALSE)</f>
        <v>#N/A</v>
      </c>
      <c r="AK271" s="105" t="e">
        <f ca="1">VLOOKUP(Tableau118[[#This Row],[Key(POD -PFI- Usine)]],'DATA Consignee'!A:F,6,FALSE)</f>
        <v>#N/A</v>
      </c>
      <c r="AL271" s="100"/>
      <c r="AM271" s="486" t="str">
        <f>IF(Tableau118[[#This Row],[Name PFI/CDD]]="","-",VLOOKUP(Tableau118[[#This Row],[Name PFI/CDD]],Plant_AILN!I:J,2,FALSE))</f>
        <v>-</v>
      </c>
      <c r="AN271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1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1" s="108" t="e">
        <f ca="1">VLOOKUP(Tableau118[[#This Row],[Key(POD -PFI- Usine)]],'DATA Consignee'!A:J,10,FALSE)</f>
        <v>#N/A</v>
      </c>
      <c r="AQ271" s="79" t="e">
        <f ca="1">VLOOKUP(Tableau118[[#This Row],[Key(POD -PFI- Usine)]],'DATA Consignee'!A:N,14,FALSE)</f>
        <v>#N/A</v>
      </c>
      <c r="AR271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1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1" s="79" t="e">
        <f ca="1">Tableau118[[#This Row],[Transit time]]+Tableau118[[#This Row],[Time for security]]+Tableau118[[#This Row],[Time for security2 buffer]]</f>
        <v>#N/A</v>
      </c>
      <c r="AU271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1" s="79" t="e">
        <f ca="1">Tableau118[[#This Row],[Leadtime SI2C]]+Tableau118[[#This Row],[First Receipt Days]]-Tableau118[[#This Row],[Day Customer Order]]+1</f>
        <v>#N/A</v>
      </c>
      <c r="AW271" s="118" t="e">
        <f ca="1">IF(Tableau118[[#This Row],[Name ILN]]&lt;&gt;"SFK Freight Forwarder",Tableau118[[#This Row],[Cust. Leadtime]],Tableau118[[#This Row],[Leadtime SI2C]])</f>
        <v>#N/A</v>
      </c>
      <c r="AX271" s="74" t="e">
        <f>VLOOKUP(Tableau118[[#This Row],[ID]],'DATA BTO'!B:P,15,FALSE)</f>
        <v>#N/A</v>
      </c>
      <c r="AY271" s="347" t="e">
        <f ca="1">IFERROR(VLOOKUP(Tableau118[[#This Row],[Key(ID-Actif)]],'DATA BTO'!A:N,4,FALSE),VLOOKUP(Tableau118[[#This Row],[ID]],'DATA BTO'!B:N,3,FALSE))</f>
        <v>#N/A</v>
      </c>
      <c r="AZ271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1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1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1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1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1" s="79"/>
    </row>
    <row r="272" spans="2:57">
      <c r="B272" s="370" t="str">
        <f>_xlfn.CONCAT(Tableau118[[#This Row],[Name ILN]],"-",Tableau118[[#This Row],[Name Shipper]],"-",Tableau118[[#This Row],[Name Site]])</f>
        <v>--</v>
      </c>
      <c r="C272" s="80" t="e">
        <f ca="1">_xlfn.CONCAT(Tableau118[[#This Row],[Compte ILN]],"-",Tableau118[[#This Row],[Compte Shipper]],"-",Tableau118[[#This Row],[POL]],"-",Tableau118[[#This Row],[Compte Site]])</f>
        <v>#N/A</v>
      </c>
      <c r="D272" s="80" t="e">
        <f ca="1">_xlfn.CONCAT(Tableau118[[#This Row],[Compte ILN]],"-",Tableau118[[#This Row],[Compte Shipper]],"-",Tableau118[[#This Row],[POL]])</f>
        <v>#N/A</v>
      </c>
      <c r="E272" s="81" t="e">
        <f ca="1">_xlfn.CONCAT(Tableau118[[#This Row],[POL]],"-",Tableau118[[#This Row],[Carrier]],"-",Tableau118[[#This Row],[POD]])</f>
        <v>#N/A</v>
      </c>
      <c r="F272" s="80" t="str">
        <f>_xlfn.CONCAT(Tableau118[[#This Row],[ID]],"-","Next")</f>
        <v>-Next</v>
      </c>
      <c r="G272" s="80" t="e">
        <f ca="1">_xlfn.CONCAT(Tableau118[[#This Row],[POD]],"-",Tableau118[[#This Row],[Code PFI]],"-",Tableau118[[#This Row],[Compte Site]])</f>
        <v>#N/A</v>
      </c>
      <c r="H27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2" s="118" t="str">
        <f ca="1">IF(COUNTIF(I:I,Tableau118[[#This Row],[Plant-ILN-shipper-POL-Carrier-POD-PFI]])=1,"Non","Oui")</f>
        <v>Oui</v>
      </c>
      <c r="K272" s="101" t="e">
        <f>VLOOKUP(Tableau118[[#This Row],[Name Site]],Plant_AILN!A:D,4,FALSE)</f>
        <v>#N/A</v>
      </c>
      <c r="L272" s="368"/>
      <c r="M272" s="480"/>
      <c r="N272" s="102"/>
      <c r="O272" s="124"/>
      <c r="P272" s="484"/>
      <c r="Q272" s="79"/>
      <c r="R272" s="79"/>
      <c r="S272" s="79"/>
      <c r="T272" s="79"/>
      <c r="U272" s="79"/>
      <c r="V272" s="79"/>
      <c r="W272" s="79"/>
      <c r="X272" s="100"/>
      <c r="Y272" s="485">
        <f>IFERROR(VLOOKUP(Tableau118[[#This Row],[Name Shipper]],Plant_AILN!L:M,2,FALSE),0)</f>
        <v>0</v>
      </c>
      <c r="Z272" s="369"/>
      <c r="AA272" s="354" t="e">
        <f ca="1">VLOOKUP(Tableau118[[#This Row],[Key(ID-Actif)]],'DATA BTO'!A:N,5,FALSE)</f>
        <v>#N/A</v>
      </c>
      <c r="AB272" s="106" t="e">
        <f ca="1">VLOOKUP(Tableau118[[#This Row],[Key(ID-Actif)]],'DATA BTO'!A:N,6,FALSE)</f>
        <v>#N/A</v>
      </c>
      <c r="AC272" s="79" t="e">
        <f ca="1">VLOOKUP(Tableau118[[#This Row],[Key(ID-Actif)]],'DATA BTO'!A:N,7,FALSE)</f>
        <v>#N/A</v>
      </c>
      <c r="AD272" s="79" t="e">
        <f ca="1">VLOOKUP(Tableau118[[#This Row],[Key(ID-Actif)]],'DATA BTO'!A:N,8,FALSE)</f>
        <v>#N/A</v>
      </c>
      <c r="AE272" s="79" t="e">
        <f ca="1">IF(Tableau118[[#This Row],[First Day to POL]]&lt;=Tableau118[[#This Row],[Day Cut Off]],Tableau118[[#This Row],[Day ETD]],Tableau118[[#This Row],[Day ETD]]+7)</f>
        <v>#N/A</v>
      </c>
      <c r="AF272" s="79" t="e">
        <f ca="1">VLOOKUP(Tableau118[[#This Row],[Key(ID-Actif)]],'DATA BTO'!A:N,9,FALSE)</f>
        <v>#N/A</v>
      </c>
      <c r="AG272" s="106" t="e">
        <f ca="1">VLOOKUP(Tableau118[[#This Row],[Key(ID-Actif)]],'DATA BTO'!A:N,10,FALSE)</f>
        <v>#N/A</v>
      </c>
      <c r="AH272" s="106" t="e">
        <f ca="1">VLOOKUP(Tableau118[[#This Row],[Key(ID-Actif)]],'DATA BTO'!A:N,11,FALSE)</f>
        <v>#N/A</v>
      </c>
      <c r="AI272" s="79" t="e">
        <f ca="1">VLOOKUP(Tableau118[[#This Row],[Key(ID-Actif)]],'DATA BTO'!A:N,12,FALSE)</f>
        <v>#N/A</v>
      </c>
      <c r="AJ272" s="104" t="e">
        <f ca="1">VLOOKUP(Tableau118[[#This Row],[Key(ID-Actif)]],'DATA BTO'!A:N,14,FALSE)</f>
        <v>#N/A</v>
      </c>
      <c r="AK272" s="105" t="e">
        <f ca="1">VLOOKUP(Tableau118[[#This Row],[Key(POD -PFI- Usine)]],'DATA Consignee'!A:F,6,FALSE)</f>
        <v>#N/A</v>
      </c>
      <c r="AL272" s="100"/>
      <c r="AM272" s="486" t="str">
        <f>IF(Tableau118[[#This Row],[Name PFI/CDD]]="","-",VLOOKUP(Tableau118[[#This Row],[Name PFI/CDD]],Plant_AILN!I:J,2,FALSE))</f>
        <v>-</v>
      </c>
      <c r="AN27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2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2" s="108" t="e">
        <f ca="1">VLOOKUP(Tableau118[[#This Row],[Key(POD -PFI- Usine)]],'DATA Consignee'!A:J,10,FALSE)</f>
        <v>#N/A</v>
      </c>
      <c r="AQ272" s="79" t="e">
        <f ca="1">VLOOKUP(Tableau118[[#This Row],[Key(POD -PFI- Usine)]],'DATA Consignee'!A:N,14,FALSE)</f>
        <v>#N/A</v>
      </c>
      <c r="AR27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2" s="79" t="e">
        <f ca="1">Tableau118[[#This Row],[Transit time]]+Tableau118[[#This Row],[Time for security]]+Tableau118[[#This Row],[Time for security2 buffer]]</f>
        <v>#N/A</v>
      </c>
      <c r="AU27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2" s="79" t="e">
        <f ca="1">Tableau118[[#This Row],[Leadtime SI2C]]+Tableau118[[#This Row],[First Receipt Days]]-Tableau118[[#This Row],[Day Customer Order]]+1</f>
        <v>#N/A</v>
      </c>
      <c r="AW272" s="118" t="e">
        <f ca="1">IF(Tableau118[[#This Row],[Name ILN]]&lt;&gt;"SFK Freight Forwarder",Tableau118[[#This Row],[Cust. Leadtime]],Tableau118[[#This Row],[Leadtime SI2C]])</f>
        <v>#N/A</v>
      </c>
      <c r="AX272" s="74" t="e">
        <f>VLOOKUP(Tableau118[[#This Row],[ID]],'DATA BTO'!B:P,15,FALSE)</f>
        <v>#N/A</v>
      </c>
      <c r="AY272" s="347" t="e">
        <f ca="1">IFERROR(VLOOKUP(Tableau118[[#This Row],[Key(ID-Actif)]],'DATA BTO'!A:N,4,FALSE),VLOOKUP(Tableau118[[#This Row],[ID]],'DATA BTO'!B:N,3,FALSE))</f>
        <v>#N/A</v>
      </c>
      <c r="AZ272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2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2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2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2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2" s="79"/>
    </row>
    <row r="273" spans="2:57">
      <c r="B273" s="370" t="str">
        <f>_xlfn.CONCAT(Tableau118[[#This Row],[Name ILN]],"-",Tableau118[[#This Row],[Name Shipper]],"-",Tableau118[[#This Row],[Name Site]])</f>
        <v>--</v>
      </c>
      <c r="C273" s="80" t="e">
        <f ca="1">_xlfn.CONCAT(Tableau118[[#This Row],[Compte ILN]],"-",Tableau118[[#This Row],[Compte Shipper]],"-",Tableau118[[#This Row],[POL]],"-",Tableau118[[#This Row],[Compte Site]])</f>
        <v>#N/A</v>
      </c>
      <c r="D273" s="80" t="e">
        <f ca="1">_xlfn.CONCAT(Tableau118[[#This Row],[Compte ILN]],"-",Tableau118[[#This Row],[Compte Shipper]],"-",Tableau118[[#This Row],[POL]])</f>
        <v>#N/A</v>
      </c>
      <c r="E273" s="81" t="e">
        <f ca="1">_xlfn.CONCAT(Tableau118[[#This Row],[POL]],"-",Tableau118[[#This Row],[Carrier]],"-",Tableau118[[#This Row],[POD]])</f>
        <v>#N/A</v>
      </c>
      <c r="F273" s="80" t="str">
        <f>_xlfn.CONCAT(Tableau118[[#This Row],[ID]],"-","Next")</f>
        <v>-Next</v>
      </c>
      <c r="G273" s="80" t="e">
        <f ca="1">_xlfn.CONCAT(Tableau118[[#This Row],[POD]],"-",Tableau118[[#This Row],[Code PFI]],"-",Tableau118[[#This Row],[Compte Site]])</f>
        <v>#N/A</v>
      </c>
      <c r="H27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3" s="118" t="str">
        <f ca="1">IF(COUNTIF(I:I,Tableau118[[#This Row],[Plant-ILN-shipper-POL-Carrier-POD-PFI]])=1,"Non","Oui")</f>
        <v>Oui</v>
      </c>
      <c r="K273" s="101" t="e">
        <f>VLOOKUP(Tableau118[[#This Row],[Name Site]],Plant_AILN!A:D,4,FALSE)</f>
        <v>#N/A</v>
      </c>
      <c r="L273" s="368"/>
      <c r="M273" s="480"/>
      <c r="N273" s="102"/>
      <c r="O273" s="124"/>
      <c r="P273" s="484"/>
      <c r="Q273" s="79"/>
      <c r="R273" s="79"/>
      <c r="S273" s="79"/>
      <c r="T273" s="79"/>
      <c r="U273" s="79"/>
      <c r="V273" s="79"/>
      <c r="W273" s="79"/>
      <c r="X273" s="100"/>
      <c r="Y273" s="485">
        <f>IFERROR(VLOOKUP(Tableau118[[#This Row],[Name Shipper]],Plant_AILN!L:M,2,FALSE),0)</f>
        <v>0</v>
      </c>
      <c r="Z273" s="369"/>
      <c r="AA273" s="354" t="e">
        <f ca="1">VLOOKUP(Tableau118[[#This Row],[Key(ID-Actif)]],'DATA BTO'!A:N,5,FALSE)</f>
        <v>#N/A</v>
      </c>
      <c r="AB273" s="106" t="e">
        <f ca="1">VLOOKUP(Tableau118[[#This Row],[Key(ID-Actif)]],'DATA BTO'!A:N,6,FALSE)</f>
        <v>#N/A</v>
      </c>
      <c r="AC273" s="79" t="e">
        <f ca="1">VLOOKUP(Tableau118[[#This Row],[Key(ID-Actif)]],'DATA BTO'!A:N,7,FALSE)</f>
        <v>#N/A</v>
      </c>
      <c r="AD273" s="79" t="e">
        <f ca="1">VLOOKUP(Tableau118[[#This Row],[Key(ID-Actif)]],'DATA BTO'!A:N,8,FALSE)</f>
        <v>#N/A</v>
      </c>
      <c r="AE273" s="79" t="e">
        <f ca="1">IF(Tableau118[[#This Row],[First Day to POL]]&lt;=Tableau118[[#This Row],[Day Cut Off]],Tableau118[[#This Row],[Day ETD]],Tableau118[[#This Row],[Day ETD]]+7)</f>
        <v>#N/A</v>
      </c>
      <c r="AF273" s="79" t="e">
        <f ca="1">VLOOKUP(Tableau118[[#This Row],[Key(ID-Actif)]],'DATA BTO'!A:N,9,FALSE)</f>
        <v>#N/A</v>
      </c>
      <c r="AG273" s="106" t="e">
        <f ca="1">VLOOKUP(Tableau118[[#This Row],[Key(ID-Actif)]],'DATA BTO'!A:N,10,FALSE)</f>
        <v>#N/A</v>
      </c>
      <c r="AH273" s="106" t="e">
        <f ca="1">VLOOKUP(Tableau118[[#This Row],[Key(ID-Actif)]],'DATA BTO'!A:N,11,FALSE)</f>
        <v>#N/A</v>
      </c>
      <c r="AI273" s="79" t="e">
        <f ca="1">VLOOKUP(Tableau118[[#This Row],[Key(ID-Actif)]],'DATA BTO'!A:N,12,FALSE)</f>
        <v>#N/A</v>
      </c>
      <c r="AJ273" s="104" t="e">
        <f ca="1">VLOOKUP(Tableau118[[#This Row],[Key(ID-Actif)]],'DATA BTO'!A:N,14,FALSE)</f>
        <v>#N/A</v>
      </c>
      <c r="AK273" s="105" t="e">
        <f ca="1">VLOOKUP(Tableau118[[#This Row],[Key(POD -PFI- Usine)]],'DATA Consignee'!A:F,6,FALSE)</f>
        <v>#N/A</v>
      </c>
      <c r="AL273" s="100"/>
      <c r="AM273" s="486" t="str">
        <f>IF(Tableau118[[#This Row],[Name PFI/CDD]]="","-",VLOOKUP(Tableau118[[#This Row],[Name PFI/CDD]],Plant_AILN!I:J,2,FALSE))</f>
        <v>-</v>
      </c>
      <c r="AN27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3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3" s="108" t="e">
        <f ca="1">VLOOKUP(Tableau118[[#This Row],[Key(POD -PFI- Usine)]],'DATA Consignee'!A:J,10,FALSE)</f>
        <v>#N/A</v>
      </c>
      <c r="AQ273" s="79" t="e">
        <f ca="1">VLOOKUP(Tableau118[[#This Row],[Key(POD -PFI- Usine)]],'DATA Consignee'!A:N,14,FALSE)</f>
        <v>#N/A</v>
      </c>
      <c r="AR27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3" s="79" t="e">
        <f ca="1">Tableau118[[#This Row],[Transit time]]+Tableau118[[#This Row],[Time for security]]+Tableau118[[#This Row],[Time for security2 buffer]]</f>
        <v>#N/A</v>
      </c>
      <c r="AU27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3" s="79" t="e">
        <f ca="1">Tableau118[[#This Row],[Leadtime SI2C]]+Tableau118[[#This Row],[First Receipt Days]]-Tableau118[[#This Row],[Day Customer Order]]+1</f>
        <v>#N/A</v>
      </c>
      <c r="AW273" s="118" t="e">
        <f ca="1">IF(Tableau118[[#This Row],[Name ILN]]&lt;&gt;"SFK Freight Forwarder",Tableau118[[#This Row],[Cust. Leadtime]],Tableau118[[#This Row],[Leadtime SI2C]])</f>
        <v>#N/A</v>
      </c>
      <c r="AX273" s="74" t="e">
        <f>VLOOKUP(Tableau118[[#This Row],[ID]],'DATA BTO'!B:P,15,FALSE)</f>
        <v>#N/A</v>
      </c>
      <c r="AY273" s="347" t="e">
        <f ca="1">IFERROR(VLOOKUP(Tableau118[[#This Row],[Key(ID-Actif)]],'DATA BTO'!A:N,4,FALSE),VLOOKUP(Tableau118[[#This Row],[ID]],'DATA BTO'!B:N,3,FALSE))</f>
        <v>#N/A</v>
      </c>
      <c r="AZ273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3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3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3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3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3" s="79"/>
    </row>
    <row r="274" spans="2:57">
      <c r="B274" s="370" t="str">
        <f>_xlfn.CONCAT(Tableau118[[#This Row],[Name ILN]],"-",Tableau118[[#This Row],[Name Shipper]],"-",Tableau118[[#This Row],[Name Site]])</f>
        <v>--</v>
      </c>
      <c r="C274" s="80" t="e">
        <f ca="1">_xlfn.CONCAT(Tableau118[[#This Row],[Compte ILN]],"-",Tableau118[[#This Row],[Compte Shipper]],"-",Tableau118[[#This Row],[POL]],"-",Tableau118[[#This Row],[Compte Site]])</f>
        <v>#N/A</v>
      </c>
      <c r="D274" s="80" t="e">
        <f ca="1">_xlfn.CONCAT(Tableau118[[#This Row],[Compte ILN]],"-",Tableau118[[#This Row],[Compte Shipper]],"-",Tableau118[[#This Row],[POL]])</f>
        <v>#N/A</v>
      </c>
      <c r="E274" s="81" t="e">
        <f ca="1">_xlfn.CONCAT(Tableau118[[#This Row],[POL]],"-",Tableau118[[#This Row],[Carrier]],"-",Tableau118[[#This Row],[POD]])</f>
        <v>#N/A</v>
      </c>
      <c r="F274" s="80" t="str">
        <f>_xlfn.CONCAT(Tableau118[[#This Row],[ID]],"-","Next")</f>
        <v>-Next</v>
      </c>
      <c r="G274" s="80" t="e">
        <f ca="1">_xlfn.CONCAT(Tableau118[[#This Row],[POD]],"-",Tableau118[[#This Row],[Code PFI]],"-",Tableau118[[#This Row],[Compte Site]])</f>
        <v>#N/A</v>
      </c>
      <c r="H274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4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4" s="118" t="str">
        <f ca="1">IF(COUNTIF(I:I,Tableau118[[#This Row],[Plant-ILN-shipper-POL-Carrier-POD-PFI]])=1,"Non","Oui")</f>
        <v>Oui</v>
      </c>
      <c r="K274" s="101" t="e">
        <f>VLOOKUP(Tableau118[[#This Row],[Name Site]],Plant_AILN!A:D,4,FALSE)</f>
        <v>#N/A</v>
      </c>
      <c r="L274" s="368"/>
      <c r="M274" s="480"/>
      <c r="N274" s="102"/>
      <c r="O274" s="124"/>
      <c r="P274" s="484"/>
      <c r="Q274" s="79"/>
      <c r="R274" s="79"/>
      <c r="S274" s="79"/>
      <c r="T274" s="79"/>
      <c r="U274" s="79"/>
      <c r="V274" s="79"/>
      <c r="W274" s="79"/>
      <c r="X274" s="100"/>
      <c r="Y274" s="485">
        <f>IFERROR(VLOOKUP(Tableau118[[#This Row],[Name Shipper]],Plant_AILN!L:M,2,FALSE),0)</f>
        <v>0</v>
      </c>
      <c r="Z274" s="369"/>
      <c r="AA274" s="354" t="e">
        <f ca="1">VLOOKUP(Tableau118[[#This Row],[Key(ID-Actif)]],'DATA BTO'!A:N,5,FALSE)</f>
        <v>#N/A</v>
      </c>
      <c r="AB274" s="106" t="e">
        <f ca="1">VLOOKUP(Tableau118[[#This Row],[Key(ID-Actif)]],'DATA BTO'!A:N,6,FALSE)</f>
        <v>#N/A</v>
      </c>
      <c r="AC274" s="79" t="e">
        <f ca="1">VLOOKUP(Tableau118[[#This Row],[Key(ID-Actif)]],'DATA BTO'!A:N,7,FALSE)</f>
        <v>#N/A</v>
      </c>
      <c r="AD274" s="79" t="e">
        <f ca="1">VLOOKUP(Tableau118[[#This Row],[Key(ID-Actif)]],'DATA BTO'!A:N,8,FALSE)</f>
        <v>#N/A</v>
      </c>
      <c r="AE274" s="79" t="e">
        <f ca="1">IF(Tableau118[[#This Row],[First Day to POL]]&lt;=Tableau118[[#This Row],[Day Cut Off]],Tableau118[[#This Row],[Day ETD]],Tableau118[[#This Row],[Day ETD]]+7)</f>
        <v>#N/A</v>
      </c>
      <c r="AF274" s="79" t="e">
        <f ca="1">VLOOKUP(Tableau118[[#This Row],[Key(ID-Actif)]],'DATA BTO'!A:N,9,FALSE)</f>
        <v>#N/A</v>
      </c>
      <c r="AG274" s="106" t="e">
        <f ca="1">VLOOKUP(Tableau118[[#This Row],[Key(ID-Actif)]],'DATA BTO'!A:N,10,FALSE)</f>
        <v>#N/A</v>
      </c>
      <c r="AH274" s="106" t="e">
        <f ca="1">VLOOKUP(Tableau118[[#This Row],[Key(ID-Actif)]],'DATA BTO'!A:N,11,FALSE)</f>
        <v>#N/A</v>
      </c>
      <c r="AI274" s="79" t="e">
        <f ca="1">VLOOKUP(Tableau118[[#This Row],[Key(ID-Actif)]],'DATA BTO'!A:N,12,FALSE)</f>
        <v>#N/A</v>
      </c>
      <c r="AJ274" s="104" t="e">
        <f ca="1">VLOOKUP(Tableau118[[#This Row],[Key(ID-Actif)]],'DATA BTO'!A:N,14,FALSE)</f>
        <v>#N/A</v>
      </c>
      <c r="AK274" s="105" t="e">
        <f ca="1">VLOOKUP(Tableau118[[#This Row],[Key(POD -PFI- Usine)]],'DATA Consignee'!A:F,6,FALSE)</f>
        <v>#N/A</v>
      </c>
      <c r="AL274" s="100"/>
      <c r="AM274" s="486" t="str">
        <f>IF(Tableau118[[#This Row],[Name PFI/CDD]]="","-",VLOOKUP(Tableau118[[#This Row],[Name PFI/CDD]],Plant_AILN!I:J,2,FALSE))</f>
        <v>-</v>
      </c>
      <c r="AN274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4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4" s="108" t="e">
        <f ca="1">VLOOKUP(Tableau118[[#This Row],[Key(POD -PFI- Usine)]],'DATA Consignee'!A:J,10,FALSE)</f>
        <v>#N/A</v>
      </c>
      <c r="AQ274" s="79" t="e">
        <f ca="1">VLOOKUP(Tableau118[[#This Row],[Key(POD -PFI- Usine)]],'DATA Consignee'!A:N,14,FALSE)</f>
        <v>#N/A</v>
      </c>
      <c r="AR274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4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4" s="79" t="e">
        <f ca="1">Tableau118[[#This Row],[Transit time]]+Tableau118[[#This Row],[Time for security]]+Tableau118[[#This Row],[Time for security2 buffer]]</f>
        <v>#N/A</v>
      </c>
      <c r="AU274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4" s="79" t="e">
        <f ca="1">Tableau118[[#This Row],[Leadtime SI2C]]+Tableau118[[#This Row],[First Receipt Days]]-Tableau118[[#This Row],[Day Customer Order]]+1</f>
        <v>#N/A</v>
      </c>
      <c r="AW274" s="118" t="e">
        <f ca="1">IF(Tableau118[[#This Row],[Name ILN]]&lt;&gt;"SFK Freight Forwarder",Tableau118[[#This Row],[Cust. Leadtime]],Tableau118[[#This Row],[Leadtime SI2C]])</f>
        <v>#N/A</v>
      </c>
      <c r="AX274" s="74" t="e">
        <f>VLOOKUP(Tableau118[[#This Row],[ID]],'DATA BTO'!B:P,15,FALSE)</f>
        <v>#N/A</v>
      </c>
      <c r="AY274" s="347" t="e">
        <f ca="1">IFERROR(VLOOKUP(Tableau118[[#This Row],[Key(ID-Actif)]],'DATA BTO'!A:N,4,FALSE),VLOOKUP(Tableau118[[#This Row],[ID]],'DATA BTO'!B:N,3,FALSE))</f>
        <v>#N/A</v>
      </c>
      <c r="AZ274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4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4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4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4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4" s="79"/>
    </row>
    <row r="275" spans="2:57">
      <c r="B275" s="370" t="str">
        <f>_xlfn.CONCAT(Tableau118[[#This Row],[Name ILN]],"-",Tableau118[[#This Row],[Name Shipper]],"-",Tableau118[[#This Row],[Name Site]])</f>
        <v>--</v>
      </c>
      <c r="C275" s="80" t="e">
        <f ca="1">_xlfn.CONCAT(Tableau118[[#This Row],[Compte ILN]],"-",Tableau118[[#This Row],[Compte Shipper]],"-",Tableau118[[#This Row],[POL]],"-",Tableau118[[#This Row],[Compte Site]])</f>
        <v>#N/A</v>
      </c>
      <c r="D275" s="80" t="e">
        <f ca="1">_xlfn.CONCAT(Tableau118[[#This Row],[Compte ILN]],"-",Tableau118[[#This Row],[Compte Shipper]],"-",Tableau118[[#This Row],[POL]])</f>
        <v>#N/A</v>
      </c>
      <c r="E275" s="81" t="e">
        <f ca="1">_xlfn.CONCAT(Tableau118[[#This Row],[POL]],"-",Tableau118[[#This Row],[Carrier]],"-",Tableau118[[#This Row],[POD]])</f>
        <v>#N/A</v>
      </c>
      <c r="F275" s="80" t="str">
        <f>_xlfn.CONCAT(Tableau118[[#This Row],[ID]],"-","Next")</f>
        <v>-Next</v>
      </c>
      <c r="G275" s="80" t="e">
        <f ca="1">_xlfn.CONCAT(Tableau118[[#This Row],[POD]],"-",Tableau118[[#This Row],[Code PFI]],"-",Tableau118[[#This Row],[Compte Site]])</f>
        <v>#N/A</v>
      </c>
      <c r="H275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5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5" s="118" t="str">
        <f ca="1">IF(COUNTIF(I:I,Tableau118[[#This Row],[Plant-ILN-shipper-POL-Carrier-POD-PFI]])=1,"Non","Oui")</f>
        <v>Oui</v>
      </c>
      <c r="K275" s="101" t="e">
        <f>VLOOKUP(Tableau118[[#This Row],[Name Site]],Plant_AILN!A:D,4,FALSE)</f>
        <v>#N/A</v>
      </c>
      <c r="L275" s="368"/>
      <c r="M275" s="480"/>
      <c r="N275" s="102"/>
      <c r="O275" s="124"/>
      <c r="P275" s="484"/>
      <c r="Q275" s="79"/>
      <c r="R275" s="79"/>
      <c r="S275" s="79"/>
      <c r="T275" s="79"/>
      <c r="U275" s="79"/>
      <c r="V275" s="79"/>
      <c r="W275" s="79"/>
      <c r="X275" s="100"/>
      <c r="Y275" s="485">
        <f>IFERROR(VLOOKUP(Tableau118[[#This Row],[Name Shipper]],Plant_AILN!L:M,2,FALSE),0)</f>
        <v>0</v>
      </c>
      <c r="Z275" s="369"/>
      <c r="AA275" s="354" t="e">
        <f ca="1">VLOOKUP(Tableau118[[#This Row],[Key(ID-Actif)]],'DATA BTO'!A:N,5,FALSE)</f>
        <v>#N/A</v>
      </c>
      <c r="AB275" s="106" t="e">
        <f ca="1">VLOOKUP(Tableau118[[#This Row],[Key(ID-Actif)]],'DATA BTO'!A:N,6,FALSE)</f>
        <v>#N/A</v>
      </c>
      <c r="AC275" s="79" t="e">
        <f ca="1">VLOOKUP(Tableau118[[#This Row],[Key(ID-Actif)]],'DATA BTO'!A:N,7,FALSE)</f>
        <v>#N/A</v>
      </c>
      <c r="AD275" s="79" t="e">
        <f ca="1">VLOOKUP(Tableau118[[#This Row],[Key(ID-Actif)]],'DATA BTO'!A:N,8,FALSE)</f>
        <v>#N/A</v>
      </c>
      <c r="AE275" s="79" t="e">
        <f ca="1">IF(Tableau118[[#This Row],[First Day to POL]]&lt;=Tableau118[[#This Row],[Day Cut Off]],Tableau118[[#This Row],[Day ETD]],Tableau118[[#This Row],[Day ETD]]+7)</f>
        <v>#N/A</v>
      </c>
      <c r="AF275" s="79" t="e">
        <f ca="1">VLOOKUP(Tableau118[[#This Row],[Key(ID-Actif)]],'DATA BTO'!A:N,9,FALSE)</f>
        <v>#N/A</v>
      </c>
      <c r="AG275" s="106" t="e">
        <f ca="1">VLOOKUP(Tableau118[[#This Row],[Key(ID-Actif)]],'DATA BTO'!A:N,10,FALSE)</f>
        <v>#N/A</v>
      </c>
      <c r="AH275" s="106" t="e">
        <f ca="1">VLOOKUP(Tableau118[[#This Row],[Key(ID-Actif)]],'DATA BTO'!A:N,11,FALSE)</f>
        <v>#N/A</v>
      </c>
      <c r="AI275" s="79" t="e">
        <f ca="1">VLOOKUP(Tableau118[[#This Row],[Key(ID-Actif)]],'DATA BTO'!A:N,12,FALSE)</f>
        <v>#N/A</v>
      </c>
      <c r="AJ275" s="104" t="e">
        <f ca="1">VLOOKUP(Tableau118[[#This Row],[Key(ID-Actif)]],'DATA BTO'!A:N,14,FALSE)</f>
        <v>#N/A</v>
      </c>
      <c r="AK275" s="105" t="e">
        <f ca="1">VLOOKUP(Tableau118[[#This Row],[Key(POD -PFI- Usine)]],'DATA Consignee'!A:F,6,FALSE)</f>
        <v>#N/A</v>
      </c>
      <c r="AL275" s="100"/>
      <c r="AM275" s="486" t="str">
        <f>IF(Tableau118[[#This Row],[Name PFI/CDD]]="","-",VLOOKUP(Tableau118[[#This Row],[Name PFI/CDD]],Plant_AILN!I:J,2,FALSE))</f>
        <v>-</v>
      </c>
      <c r="AN275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5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5" s="108" t="e">
        <f ca="1">VLOOKUP(Tableau118[[#This Row],[Key(POD -PFI- Usine)]],'DATA Consignee'!A:J,10,FALSE)</f>
        <v>#N/A</v>
      </c>
      <c r="AQ275" s="79" t="e">
        <f ca="1">VLOOKUP(Tableau118[[#This Row],[Key(POD -PFI- Usine)]],'DATA Consignee'!A:N,14,FALSE)</f>
        <v>#N/A</v>
      </c>
      <c r="AR275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5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5" s="79" t="e">
        <f ca="1">Tableau118[[#This Row],[Transit time]]+Tableau118[[#This Row],[Time for security]]+Tableau118[[#This Row],[Time for security2 buffer]]</f>
        <v>#N/A</v>
      </c>
      <c r="AU275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5" s="79" t="e">
        <f ca="1">Tableau118[[#This Row],[Leadtime SI2C]]+Tableau118[[#This Row],[First Receipt Days]]-Tableau118[[#This Row],[Day Customer Order]]+1</f>
        <v>#N/A</v>
      </c>
      <c r="AW275" s="118" t="e">
        <f ca="1">IF(Tableau118[[#This Row],[Name ILN]]&lt;&gt;"SFK Freight Forwarder",Tableau118[[#This Row],[Cust. Leadtime]],Tableau118[[#This Row],[Leadtime SI2C]])</f>
        <v>#N/A</v>
      </c>
      <c r="AX275" s="74" t="e">
        <f>VLOOKUP(Tableau118[[#This Row],[ID]],'DATA BTO'!B:P,15,FALSE)</f>
        <v>#N/A</v>
      </c>
      <c r="AY275" s="347" t="e">
        <f ca="1">IFERROR(VLOOKUP(Tableau118[[#This Row],[Key(ID-Actif)]],'DATA BTO'!A:N,4,FALSE),VLOOKUP(Tableau118[[#This Row],[ID]],'DATA BTO'!B:N,3,FALSE))</f>
        <v>#N/A</v>
      </c>
      <c r="AZ275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5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5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5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5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5" s="79"/>
    </row>
    <row r="276" spans="2:57">
      <c r="B276" s="370" t="str">
        <f>_xlfn.CONCAT(Tableau118[[#This Row],[Name ILN]],"-",Tableau118[[#This Row],[Name Shipper]],"-",Tableau118[[#This Row],[Name Site]])</f>
        <v>--</v>
      </c>
      <c r="C276" s="80" t="e">
        <f ca="1">_xlfn.CONCAT(Tableau118[[#This Row],[Compte ILN]],"-",Tableau118[[#This Row],[Compte Shipper]],"-",Tableau118[[#This Row],[POL]],"-",Tableau118[[#This Row],[Compte Site]])</f>
        <v>#N/A</v>
      </c>
      <c r="D276" s="80" t="e">
        <f ca="1">_xlfn.CONCAT(Tableau118[[#This Row],[Compte ILN]],"-",Tableau118[[#This Row],[Compte Shipper]],"-",Tableau118[[#This Row],[POL]])</f>
        <v>#N/A</v>
      </c>
      <c r="E276" s="81" t="e">
        <f ca="1">_xlfn.CONCAT(Tableau118[[#This Row],[POL]],"-",Tableau118[[#This Row],[Carrier]],"-",Tableau118[[#This Row],[POD]])</f>
        <v>#N/A</v>
      </c>
      <c r="F276" s="80" t="str">
        <f>_xlfn.CONCAT(Tableau118[[#This Row],[ID]],"-","Next")</f>
        <v>-Next</v>
      </c>
      <c r="G276" s="80" t="e">
        <f ca="1">_xlfn.CONCAT(Tableau118[[#This Row],[POD]],"-",Tableau118[[#This Row],[Code PFI]],"-",Tableau118[[#This Row],[Compte Site]])</f>
        <v>#N/A</v>
      </c>
      <c r="H276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6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6" s="118" t="str">
        <f ca="1">IF(COUNTIF(I:I,Tableau118[[#This Row],[Plant-ILN-shipper-POL-Carrier-POD-PFI]])=1,"Non","Oui")</f>
        <v>Oui</v>
      </c>
      <c r="K276" s="101" t="e">
        <f>VLOOKUP(Tableau118[[#This Row],[Name Site]],Plant_AILN!A:D,4,FALSE)</f>
        <v>#N/A</v>
      </c>
      <c r="L276" s="368"/>
      <c r="M276" s="480"/>
      <c r="N276" s="102"/>
      <c r="O276" s="124"/>
      <c r="P276" s="484"/>
      <c r="Q276" s="79"/>
      <c r="R276" s="79"/>
      <c r="S276" s="79"/>
      <c r="T276" s="79"/>
      <c r="U276" s="79"/>
      <c r="V276" s="79"/>
      <c r="W276" s="79"/>
      <c r="X276" s="100"/>
      <c r="Y276" s="485">
        <f>IFERROR(VLOOKUP(Tableau118[[#This Row],[Name Shipper]],Plant_AILN!L:M,2,FALSE),0)</f>
        <v>0</v>
      </c>
      <c r="Z276" s="369"/>
      <c r="AA276" s="354" t="e">
        <f ca="1">VLOOKUP(Tableau118[[#This Row],[Key(ID-Actif)]],'DATA BTO'!A:N,5,FALSE)</f>
        <v>#N/A</v>
      </c>
      <c r="AB276" s="106" t="e">
        <f ca="1">VLOOKUP(Tableau118[[#This Row],[Key(ID-Actif)]],'DATA BTO'!A:N,6,FALSE)</f>
        <v>#N/A</v>
      </c>
      <c r="AC276" s="79" t="e">
        <f ca="1">VLOOKUP(Tableau118[[#This Row],[Key(ID-Actif)]],'DATA BTO'!A:N,7,FALSE)</f>
        <v>#N/A</v>
      </c>
      <c r="AD276" s="79" t="e">
        <f ca="1">VLOOKUP(Tableau118[[#This Row],[Key(ID-Actif)]],'DATA BTO'!A:N,8,FALSE)</f>
        <v>#N/A</v>
      </c>
      <c r="AE276" s="79" t="e">
        <f ca="1">IF(Tableau118[[#This Row],[First Day to POL]]&lt;=Tableau118[[#This Row],[Day Cut Off]],Tableau118[[#This Row],[Day ETD]],Tableau118[[#This Row],[Day ETD]]+7)</f>
        <v>#N/A</v>
      </c>
      <c r="AF276" s="79" t="e">
        <f ca="1">VLOOKUP(Tableau118[[#This Row],[Key(ID-Actif)]],'DATA BTO'!A:N,9,FALSE)</f>
        <v>#N/A</v>
      </c>
      <c r="AG276" s="106" t="e">
        <f ca="1">VLOOKUP(Tableau118[[#This Row],[Key(ID-Actif)]],'DATA BTO'!A:N,10,FALSE)</f>
        <v>#N/A</v>
      </c>
      <c r="AH276" s="106" t="e">
        <f ca="1">VLOOKUP(Tableau118[[#This Row],[Key(ID-Actif)]],'DATA BTO'!A:N,11,FALSE)</f>
        <v>#N/A</v>
      </c>
      <c r="AI276" s="79" t="e">
        <f ca="1">VLOOKUP(Tableau118[[#This Row],[Key(ID-Actif)]],'DATA BTO'!A:N,12,FALSE)</f>
        <v>#N/A</v>
      </c>
      <c r="AJ276" s="104" t="e">
        <f ca="1">VLOOKUP(Tableau118[[#This Row],[Key(ID-Actif)]],'DATA BTO'!A:N,14,FALSE)</f>
        <v>#N/A</v>
      </c>
      <c r="AK276" s="105" t="e">
        <f ca="1">VLOOKUP(Tableau118[[#This Row],[Key(POD -PFI- Usine)]],'DATA Consignee'!A:F,6,FALSE)</f>
        <v>#N/A</v>
      </c>
      <c r="AL276" s="100"/>
      <c r="AM276" s="486" t="str">
        <f>IF(Tableau118[[#This Row],[Name PFI/CDD]]="","-",VLOOKUP(Tableau118[[#This Row],[Name PFI/CDD]],Plant_AILN!I:J,2,FALSE))</f>
        <v>-</v>
      </c>
      <c r="AN276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6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6" s="108" t="e">
        <f ca="1">VLOOKUP(Tableau118[[#This Row],[Key(POD -PFI- Usine)]],'DATA Consignee'!A:J,10,FALSE)</f>
        <v>#N/A</v>
      </c>
      <c r="AQ276" s="79" t="e">
        <f ca="1">VLOOKUP(Tableau118[[#This Row],[Key(POD -PFI- Usine)]],'DATA Consignee'!A:N,14,FALSE)</f>
        <v>#N/A</v>
      </c>
      <c r="AR276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6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6" s="79" t="e">
        <f ca="1">Tableau118[[#This Row],[Transit time]]+Tableau118[[#This Row],[Time for security]]+Tableau118[[#This Row],[Time for security2 buffer]]</f>
        <v>#N/A</v>
      </c>
      <c r="AU276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6" s="79" t="e">
        <f ca="1">Tableau118[[#This Row],[Leadtime SI2C]]+Tableau118[[#This Row],[First Receipt Days]]-Tableau118[[#This Row],[Day Customer Order]]+1</f>
        <v>#N/A</v>
      </c>
      <c r="AW276" s="118" t="e">
        <f ca="1">IF(Tableau118[[#This Row],[Name ILN]]&lt;&gt;"SFK Freight Forwarder",Tableau118[[#This Row],[Cust. Leadtime]],Tableau118[[#This Row],[Leadtime SI2C]])</f>
        <v>#N/A</v>
      </c>
      <c r="AX276" s="74" t="e">
        <f>VLOOKUP(Tableau118[[#This Row],[ID]],'DATA BTO'!B:P,15,FALSE)</f>
        <v>#N/A</v>
      </c>
      <c r="AY276" s="347" t="e">
        <f ca="1">IFERROR(VLOOKUP(Tableau118[[#This Row],[Key(ID-Actif)]],'DATA BTO'!A:N,4,FALSE),VLOOKUP(Tableau118[[#This Row],[ID]],'DATA BTO'!B:N,3,FALSE))</f>
        <v>#N/A</v>
      </c>
      <c r="AZ276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6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6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6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6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6" s="79"/>
    </row>
    <row r="277" spans="2:57">
      <c r="B277" s="370" t="str">
        <f>_xlfn.CONCAT(Tableau118[[#This Row],[Name ILN]],"-",Tableau118[[#This Row],[Name Shipper]],"-",Tableau118[[#This Row],[Name Site]])</f>
        <v>--</v>
      </c>
      <c r="C277" s="80" t="e">
        <f ca="1">_xlfn.CONCAT(Tableau118[[#This Row],[Compte ILN]],"-",Tableau118[[#This Row],[Compte Shipper]],"-",Tableau118[[#This Row],[POL]],"-",Tableau118[[#This Row],[Compte Site]])</f>
        <v>#N/A</v>
      </c>
      <c r="D277" s="80" t="e">
        <f ca="1">_xlfn.CONCAT(Tableau118[[#This Row],[Compte ILN]],"-",Tableau118[[#This Row],[Compte Shipper]],"-",Tableau118[[#This Row],[POL]])</f>
        <v>#N/A</v>
      </c>
      <c r="E277" s="81" t="e">
        <f ca="1">_xlfn.CONCAT(Tableau118[[#This Row],[POL]],"-",Tableau118[[#This Row],[Carrier]],"-",Tableau118[[#This Row],[POD]])</f>
        <v>#N/A</v>
      </c>
      <c r="F277" s="80" t="str">
        <f>_xlfn.CONCAT(Tableau118[[#This Row],[ID]],"-","Next")</f>
        <v>-Next</v>
      </c>
      <c r="G277" s="80" t="e">
        <f ca="1">_xlfn.CONCAT(Tableau118[[#This Row],[POD]],"-",Tableau118[[#This Row],[Code PFI]],"-",Tableau118[[#This Row],[Compte Site]])</f>
        <v>#N/A</v>
      </c>
      <c r="H27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7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7" s="118" t="str">
        <f ca="1">IF(COUNTIF(I:I,Tableau118[[#This Row],[Plant-ILN-shipper-POL-Carrier-POD-PFI]])=1,"Non","Oui")</f>
        <v>Oui</v>
      </c>
      <c r="K277" s="101" t="e">
        <f>VLOOKUP(Tableau118[[#This Row],[Name Site]],Plant_AILN!A:D,4,FALSE)</f>
        <v>#N/A</v>
      </c>
      <c r="L277" s="368"/>
      <c r="M277" s="480"/>
      <c r="N277" s="102"/>
      <c r="O277" s="124"/>
      <c r="P277" s="484"/>
      <c r="Q277" s="79"/>
      <c r="R277" s="79"/>
      <c r="S277" s="79"/>
      <c r="T277" s="79"/>
      <c r="U277" s="79"/>
      <c r="V277" s="79"/>
      <c r="W277" s="79"/>
      <c r="X277" s="100"/>
      <c r="Y277" s="485">
        <f>IFERROR(VLOOKUP(Tableau118[[#This Row],[Name Shipper]],Plant_AILN!L:M,2,FALSE),0)</f>
        <v>0</v>
      </c>
      <c r="Z277" s="369"/>
      <c r="AA277" s="354" t="e">
        <f ca="1">VLOOKUP(Tableau118[[#This Row],[Key(ID-Actif)]],'DATA BTO'!A:N,5,FALSE)</f>
        <v>#N/A</v>
      </c>
      <c r="AB277" s="106" t="e">
        <f ca="1">VLOOKUP(Tableau118[[#This Row],[Key(ID-Actif)]],'DATA BTO'!A:N,6,FALSE)</f>
        <v>#N/A</v>
      </c>
      <c r="AC277" s="79" t="e">
        <f ca="1">VLOOKUP(Tableau118[[#This Row],[Key(ID-Actif)]],'DATA BTO'!A:N,7,FALSE)</f>
        <v>#N/A</v>
      </c>
      <c r="AD277" s="79" t="e">
        <f ca="1">VLOOKUP(Tableau118[[#This Row],[Key(ID-Actif)]],'DATA BTO'!A:N,8,FALSE)</f>
        <v>#N/A</v>
      </c>
      <c r="AE277" s="79" t="e">
        <f ca="1">IF(Tableau118[[#This Row],[First Day to POL]]&lt;=Tableau118[[#This Row],[Day Cut Off]],Tableau118[[#This Row],[Day ETD]],Tableau118[[#This Row],[Day ETD]]+7)</f>
        <v>#N/A</v>
      </c>
      <c r="AF277" s="79" t="e">
        <f ca="1">VLOOKUP(Tableau118[[#This Row],[Key(ID-Actif)]],'DATA BTO'!A:N,9,FALSE)</f>
        <v>#N/A</v>
      </c>
      <c r="AG277" s="106" t="e">
        <f ca="1">VLOOKUP(Tableau118[[#This Row],[Key(ID-Actif)]],'DATA BTO'!A:N,10,FALSE)</f>
        <v>#N/A</v>
      </c>
      <c r="AH277" s="106" t="e">
        <f ca="1">VLOOKUP(Tableau118[[#This Row],[Key(ID-Actif)]],'DATA BTO'!A:N,11,FALSE)</f>
        <v>#N/A</v>
      </c>
      <c r="AI277" s="79" t="e">
        <f ca="1">VLOOKUP(Tableau118[[#This Row],[Key(ID-Actif)]],'DATA BTO'!A:N,12,FALSE)</f>
        <v>#N/A</v>
      </c>
      <c r="AJ277" s="104" t="e">
        <f ca="1">VLOOKUP(Tableau118[[#This Row],[Key(ID-Actif)]],'DATA BTO'!A:N,14,FALSE)</f>
        <v>#N/A</v>
      </c>
      <c r="AK277" s="105" t="e">
        <f ca="1">VLOOKUP(Tableau118[[#This Row],[Key(POD -PFI- Usine)]],'DATA Consignee'!A:F,6,FALSE)</f>
        <v>#N/A</v>
      </c>
      <c r="AL277" s="100"/>
      <c r="AM277" s="486" t="str">
        <f>IF(Tableau118[[#This Row],[Name PFI/CDD]]="","-",VLOOKUP(Tableau118[[#This Row],[Name PFI/CDD]],Plant_AILN!I:J,2,FALSE))</f>
        <v>-</v>
      </c>
      <c r="AN277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7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7" s="108" t="e">
        <f ca="1">VLOOKUP(Tableau118[[#This Row],[Key(POD -PFI- Usine)]],'DATA Consignee'!A:J,10,FALSE)</f>
        <v>#N/A</v>
      </c>
      <c r="AQ277" s="79" t="e">
        <f ca="1">VLOOKUP(Tableau118[[#This Row],[Key(POD -PFI- Usine)]],'DATA Consignee'!A:N,14,FALSE)</f>
        <v>#N/A</v>
      </c>
      <c r="AR277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7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7" s="79" t="e">
        <f ca="1">Tableau118[[#This Row],[Transit time]]+Tableau118[[#This Row],[Time for security]]+Tableau118[[#This Row],[Time for security2 buffer]]</f>
        <v>#N/A</v>
      </c>
      <c r="AU277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7" s="79" t="e">
        <f ca="1">Tableau118[[#This Row],[Leadtime SI2C]]+Tableau118[[#This Row],[First Receipt Days]]-Tableau118[[#This Row],[Day Customer Order]]+1</f>
        <v>#N/A</v>
      </c>
      <c r="AW277" s="118" t="e">
        <f ca="1">IF(Tableau118[[#This Row],[Name ILN]]&lt;&gt;"SFK Freight Forwarder",Tableau118[[#This Row],[Cust. Leadtime]],Tableau118[[#This Row],[Leadtime SI2C]])</f>
        <v>#N/A</v>
      </c>
      <c r="AX277" s="74" t="e">
        <f>VLOOKUP(Tableau118[[#This Row],[ID]],'DATA BTO'!B:P,15,FALSE)</f>
        <v>#N/A</v>
      </c>
      <c r="AY277" s="347" t="e">
        <f ca="1">IFERROR(VLOOKUP(Tableau118[[#This Row],[Key(ID-Actif)]],'DATA BTO'!A:N,4,FALSE),VLOOKUP(Tableau118[[#This Row],[ID]],'DATA BTO'!B:N,3,FALSE))</f>
        <v>#N/A</v>
      </c>
      <c r="AZ277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7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7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7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7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7" s="79"/>
    </row>
    <row r="278" spans="2:57">
      <c r="B278" s="370" t="str">
        <f>_xlfn.CONCAT(Tableau118[[#This Row],[Name ILN]],"-",Tableau118[[#This Row],[Name Shipper]],"-",Tableau118[[#This Row],[Name Site]])</f>
        <v>--</v>
      </c>
      <c r="C278" s="80" t="e">
        <f ca="1">_xlfn.CONCAT(Tableau118[[#This Row],[Compte ILN]],"-",Tableau118[[#This Row],[Compte Shipper]],"-",Tableau118[[#This Row],[POL]],"-",Tableau118[[#This Row],[Compte Site]])</f>
        <v>#N/A</v>
      </c>
      <c r="D278" s="80" t="e">
        <f ca="1">_xlfn.CONCAT(Tableau118[[#This Row],[Compte ILN]],"-",Tableau118[[#This Row],[Compte Shipper]],"-",Tableau118[[#This Row],[POL]])</f>
        <v>#N/A</v>
      </c>
      <c r="E278" s="81" t="e">
        <f ca="1">_xlfn.CONCAT(Tableau118[[#This Row],[POL]],"-",Tableau118[[#This Row],[Carrier]],"-",Tableau118[[#This Row],[POD]])</f>
        <v>#N/A</v>
      </c>
      <c r="F278" s="80" t="str">
        <f>_xlfn.CONCAT(Tableau118[[#This Row],[ID]],"-","Next")</f>
        <v>-Next</v>
      </c>
      <c r="G278" s="80" t="e">
        <f ca="1">_xlfn.CONCAT(Tableau118[[#This Row],[POD]],"-",Tableau118[[#This Row],[Code PFI]],"-",Tableau118[[#This Row],[Compte Site]])</f>
        <v>#N/A</v>
      </c>
      <c r="H278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8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8" s="118" t="str">
        <f ca="1">IF(COUNTIF(I:I,Tableau118[[#This Row],[Plant-ILN-shipper-POL-Carrier-POD-PFI]])=1,"Non","Oui")</f>
        <v>Oui</v>
      </c>
      <c r="K278" s="101" t="e">
        <f>VLOOKUP(Tableau118[[#This Row],[Name Site]],Plant_AILN!A:D,4,FALSE)</f>
        <v>#N/A</v>
      </c>
      <c r="L278" s="368"/>
      <c r="M278" s="480"/>
      <c r="N278" s="102"/>
      <c r="O278" s="124"/>
      <c r="P278" s="484"/>
      <c r="Q278" s="79"/>
      <c r="R278" s="79"/>
      <c r="S278" s="79"/>
      <c r="T278" s="79"/>
      <c r="U278" s="79"/>
      <c r="V278" s="79"/>
      <c r="W278" s="79"/>
      <c r="X278" s="100"/>
      <c r="Y278" s="485">
        <f>IFERROR(VLOOKUP(Tableau118[[#This Row],[Name Shipper]],Plant_AILN!L:M,2,FALSE),0)</f>
        <v>0</v>
      </c>
      <c r="Z278" s="369"/>
      <c r="AA278" s="354" t="e">
        <f ca="1">VLOOKUP(Tableau118[[#This Row],[Key(ID-Actif)]],'DATA BTO'!A:N,5,FALSE)</f>
        <v>#N/A</v>
      </c>
      <c r="AB278" s="106" t="e">
        <f ca="1">VLOOKUP(Tableau118[[#This Row],[Key(ID-Actif)]],'DATA BTO'!A:N,6,FALSE)</f>
        <v>#N/A</v>
      </c>
      <c r="AC278" s="79" t="e">
        <f ca="1">VLOOKUP(Tableau118[[#This Row],[Key(ID-Actif)]],'DATA BTO'!A:N,7,FALSE)</f>
        <v>#N/A</v>
      </c>
      <c r="AD278" s="79" t="e">
        <f ca="1">VLOOKUP(Tableau118[[#This Row],[Key(ID-Actif)]],'DATA BTO'!A:N,8,FALSE)</f>
        <v>#N/A</v>
      </c>
      <c r="AE278" s="79" t="e">
        <f ca="1">IF(Tableau118[[#This Row],[First Day to POL]]&lt;=Tableau118[[#This Row],[Day Cut Off]],Tableau118[[#This Row],[Day ETD]],Tableau118[[#This Row],[Day ETD]]+7)</f>
        <v>#N/A</v>
      </c>
      <c r="AF278" s="79" t="e">
        <f ca="1">VLOOKUP(Tableau118[[#This Row],[Key(ID-Actif)]],'DATA BTO'!A:N,9,FALSE)</f>
        <v>#N/A</v>
      </c>
      <c r="AG278" s="106" t="e">
        <f ca="1">VLOOKUP(Tableau118[[#This Row],[Key(ID-Actif)]],'DATA BTO'!A:N,10,FALSE)</f>
        <v>#N/A</v>
      </c>
      <c r="AH278" s="106" t="e">
        <f ca="1">VLOOKUP(Tableau118[[#This Row],[Key(ID-Actif)]],'DATA BTO'!A:N,11,FALSE)</f>
        <v>#N/A</v>
      </c>
      <c r="AI278" s="79" t="e">
        <f ca="1">VLOOKUP(Tableau118[[#This Row],[Key(ID-Actif)]],'DATA BTO'!A:N,12,FALSE)</f>
        <v>#N/A</v>
      </c>
      <c r="AJ278" s="104" t="e">
        <f ca="1">VLOOKUP(Tableau118[[#This Row],[Key(ID-Actif)]],'DATA BTO'!A:N,14,FALSE)</f>
        <v>#N/A</v>
      </c>
      <c r="AK278" s="105" t="e">
        <f ca="1">VLOOKUP(Tableau118[[#This Row],[Key(POD -PFI- Usine)]],'DATA Consignee'!A:F,6,FALSE)</f>
        <v>#N/A</v>
      </c>
      <c r="AL278" s="100"/>
      <c r="AM278" s="486" t="str">
        <f>IF(Tableau118[[#This Row],[Name PFI/CDD]]="","-",VLOOKUP(Tableau118[[#This Row],[Name PFI/CDD]],Plant_AILN!I:J,2,FALSE))</f>
        <v>-</v>
      </c>
      <c r="AN278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8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8" s="108" t="e">
        <f ca="1">VLOOKUP(Tableau118[[#This Row],[Key(POD -PFI- Usine)]],'DATA Consignee'!A:J,10,FALSE)</f>
        <v>#N/A</v>
      </c>
      <c r="AQ278" s="79" t="e">
        <f ca="1">VLOOKUP(Tableau118[[#This Row],[Key(POD -PFI- Usine)]],'DATA Consignee'!A:N,14,FALSE)</f>
        <v>#N/A</v>
      </c>
      <c r="AR278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8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8" s="79" t="e">
        <f ca="1">Tableau118[[#This Row],[Transit time]]+Tableau118[[#This Row],[Time for security]]+Tableau118[[#This Row],[Time for security2 buffer]]</f>
        <v>#N/A</v>
      </c>
      <c r="AU278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8" s="79" t="e">
        <f ca="1">Tableau118[[#This Row],[Leadtime SI2C]]+Tableau118[[#This Row],[First Receipt Days]]-Tableau118[[#This Row],[Day Customer Order]]+1</f>
        <v>#N/A</v>
      </c>
      <c r="AW278" s="118" t="e">
        <f ca="1">IF(Tableau118[[#This Row],[Name ILN]]&lt;&gt;"SFK Freight Forwarder",Tableau118[[#This Row],[Cust. Leadtime]],Tableau118[[#This Row],[Leadtime SI2C]])</f>
        <v>#N/A</v>
      </c>
      <c r="AX278" s="74" t="e">
        <f>VLOOKUP(Tableau118[[#This Row],[ID]],'DATA BTO'!B:P,15,FALSE)</f>
        <v>#N/A</v>
      </c>
      <c r="AY278" s="347" t="e">
        <f ca="1">IFERROR(VLOOKUP(Tableau118[[#This Row],[Key(ID-Actif)]],'DATA BTO'!A:N,4,FALSE),VLOOKUP(Tableau118[[#This Row],[ID]],'DATA BTO'!B:N,3,FALSE))</f>
        <v>#N/A</v>
      </c>
      <c r="AZ278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8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8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8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8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8" s="79"/>
    </row>
    <row r="279" spans="2:57">
      <c r="B279" s="370" t="str">
        <f>_xlfn.CONCAT(Tableau118[[#This Row],[Name ILN]],"-",Tableau118[[#This Row],[Name Shipper]],"-",Tableau118[[#This Row],[Name Site]])</f>
        <v>--</v>
      </c>
      <c r="C279" s="80" t="e">
        <f ca="1">_xlfn.CONCAT(Tableau118[[#This Row],[Compte ILN]],"-",Tableau118[[#This Row],[Compte Shipper]],"-",Tableau118[[#This Row],[POL]],"-",Tableau118[[#This Row],[Compte Site]])</f>
        <v>#N/A</v>
      </c>
      <c r="D279" s="80" t="e">
        <f ca="1">_xlfn.CONCAT(Tableau118[[#This Row],[Compte ILN]],"-",Tableau118[[#This Row],[Compte Shipper]],"-",Tableau118[[#This Row],[POL]])</f>
        <v>#N/A</v>
      </c>
      <c r="E279" s="81" t="e">
        <f ca="1">_xlfn.CONCAT(Tableau118[[#This Row],[POL]],"-",Tableau118[[#This Row],[Carrier]],"-",Tableau118[[#This Row],[POD]])</f>
        <v>#N/A</v>
      </c>
      <c r="F279" s="80" t="str">
        <f>_xlfn.CONCAT(Tableau118[[#This Row],[ID]],"-","Next")</f>
        <v>-Next</v>
      </c>
      <c r="G279" s="80" t="e">
        <f ca="1">_xlfn.CONCAT(Tableau118[[#This Row],[POD]],"-",Tableau118[[#This Row],[Code PFI]],"-",Tableau118[[#This Row],[Compte Site]])</f>
        <v>#N/A</v>
      </c>
      <c r="H279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79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79" s="118" t="str">
        <f ca="1">IF(COUNTIF(I:I,Tableau118[[#This Row],[Plant-ILN-shipper-POL-Carrier-POD-PFI]])=1,"Non","Oui")</f>
        <v>Oui</v>
      </c>
      <c r="K279" s="101" t="e">
        <f>VLOOKUP(Tableau118[[#This Row],[Name Site]],Plant_AILN!A:D,4,FALSE)</f>
        <v>#N/A</v>
      </c>
      <c r="L279" s="368"/>
      <c r="M279" s="480"/>
      <c r="N279" s="102"/>
      <c r="O279" s="124"/>
      <c r="P279" s="484"/>
      <c r="Q279" s="79"/>
      <c r="R279" s="79"/>
      <c r="S279" s="79"/>
      <c r="T279" s="79"/>
      <c r="U279" s="79"/>
      <c r="V279" s="79"/>
      <c r="W279" s="79"/>
      <c r="X279" s="100"/>
      <c r="Y279" s="485">
        <f>IFERROR(VLOOKUP(Tableau118[[#This Row],[Name Shipper]],Plant_AILN!L:M,2,FALSE),0)</f>
        <v>0</v>
      </c>
      <c r="Z279" s="369"/>
      <c r="AA279" s="354" t="e">
        <f ca="1">VLOOKUP(Tableau118[[#This Row],[Key(ID-Actif)]],'DATA BTO'!A:N,5,FALSE)</f>
        <v>#N/A</v>
      </c>
      <c r="AB279" s="106" t="e">
        <f ca="1">VLOOKUP(Tableau118[[#This Row],[Key(ID-Actif)]],'DATA BTO'!A:N,6,FALSE)</f>
        <v>#N/A</v>
      </c>
      <c r="AC279" s="79" t="e">
        <f ca="1">VLOOKUP(Tableau118[[#This Row],[Key(ID-Actif)]],'DATA BTO'!A:N,7,FALSE)</f>
        <v>#N/A</v>
      </c>
      <c r="AD279" s="79" t="e">
        <f ca="1">VLOOKUP(Tableau118[[#This Row],[Key(ID-Actif)]],'DATA BTO'!A:N,8,FALSE)</f>
        <v>#N/A</v>
      </c>
      <c r="AE279" s="79" t="e">
        <f ca="1">IF(Tableau118[[#This Row],[First Day to POL]]&lt;=Tableau118[[#This Row],[Day Cut Off]],Tableau118[[#This Row],[Day ETD]],Tableau118[[#This Row],[Day ETD]]+7)</f>
        <v>#N/A</v>
      </c>
      <c r="AF279" s="79" t="e">
        <f ca="1">VLOOKUP(Tableau118[[#This Row],[Key(ID-Actif)]],'DATA BTO'!A:N,9,FALSE)</f>
        <v>#N/A</v>
      </c>
      <c r="AG279" s="106" t="e">
        <f ca="1">VLOOKUP(Tableau118[[#This Row],[Key(ID-Actif)]],'DATA BTO'!A:N,10,FALSE)</f>
        <v>#N/A</v>
      </c>
      <c r="AH279" s="106" t="e">
        <f ca="1">VLOOKUP(Tableau118[[#This Row],[Key(ID-Actif)]],'DATA BTO'!A:N,11,FALSE)</f>
        <v>#N/A</v>
      </c>
      <c r="AI279" s="79" t="e">
        <f ca="1">VLOOKUP(Tableau118[[#This Row],[Key(ID-Actif)]],'DATA BTO'!A:N,12,FALSE)</f>
        <v>#N/A</v>
      </c>
      <c r="AJ279" s="104" t="e">
        <f ca="1">VLOOKUP(Tableau118[[#This Row],[Key(ID-Actif)]],'DATA BTO'!A:N,14,FALSE)</f>
        <v>#N/A</v>
      </c>
      <c r="AK279" s="105" t="e">
        <f ca="1">VLOOKUP(Tableau118[[#This Row],[Key(POD -PFI- Usine)]],'DATA Consignee'!A:F,6,FALSE)</f>
        <v>#N/A</v>
      </c>
      <c r="AL279" s="100"/>
      <c r="AM279" s="486" t="str">
        <f>IF(Tableau118[[#This Row],[Name PFI/CDD]]="","-",VLOOKUP(Tableau118[[#This Row],[Name PFI/CDD]],Plant_AILN!I:J,2,FALSE))</f>
        <v>-</v>
      </c>
      <c r="AN279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79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79" s="108" t="e">
        <f ca="1">VLOOKUP(Tableau118[[#This Row],[Key(POD -PFI- Usine)]],'DATA Consignee'!A:J,10,FALSE)</f>
        <v>#N/A</v>
      </c>
      <c r="AQ279" s="79" t="e">
        <f ca="1">VLOOKUP(Tableau118[[#This Row],[Key(POD -PFI- Usine)]],'DATA Consignee'!A:N,14,FALSE)</f>
        <v>#N/A</v>
      </c>
      <c r="AR279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79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79" s="79" t="e">
        <f ca="1">Tableau118[[#This Row],[Transit time]]+Tableau118[[#This Row],[Time for security]]+Tableau118[[#This Row],[Time for security2 buffer]]</f>
        <v>#N/A</v>
      </c>
      <c r="AU279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79" s="79" t="e">
        <f ca="1">Tableau118[[#This Row],[Leadtime SI2C]]+Tableau118[[#This Row],[First Receipt Days]]-Tableau118[[#This Row],[Day Customer Order]]+1</f>
        <v>#N/A</v>
      </c>
      <c r="AW279" s="118" t="e">
        <f ca="1">IF(Tableau118[[#This Row],[Name ILN]]&lt;&gt;"SFK Freight Forwarder",Tableau118[[#This Row],[Cust. Leadtime]],Tableau118[[#This Row],[Leadtime SI2C]])</f>
        <v>#N/A</v>
      </c>
      <c r="AX279" s="74" t="e">
        <f>VLOOKUP(Tableau118[[#This Row],[ID]],'DATA BTO'!B:P,15,FALSE)</f>
        <v>#N/A</v>
      </c>
      <c r="AY279" s="347" t="e">
        <f ca="1">IFERROR(VLOOKUP(Tableau118[[#This Row],[Key(ID-Actif)]],'DATA BTO'!A:N,4,FALSE),VLOOKUP(Tableau118[[#This Row],[ID]],'DATA BTO'!B:N,3,FALSE))</f>
        <v>#N/A</v>
      </c>
      <c r="AZ279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79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79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79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79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79" s="79"/>
    </row>
    <row r="280" spans="2:57">
      <c r="B280" s="370" t="str">
        <f>_xlfn.CONCAT(Tableau118[[#This Row],[Name ILN]],"-",Tableau118[[#This Row],[Name Shipper]],"-",Tableau118[[#This Row],[Name Site]])</f>
        <v>--</v>
      </c>
      <c r="C280" s="80" t="e">
        <f ca="1">_xlfn.CONCAT(Tableau118[[#This Row],[Compte ILN]],"-",Tableau118[[#This Row],[Compte Shipper]],"-",Tableau118[[#This Row],[POL]],"-",Tableau118[[#This Row],[Compte Site]])</f>
        <v>#N/A</v>
      </c>
      <c r="D280" s="80" t="e">
        <f ca="1">_xlfn.CONCAT(Tableau118[[#This Row],[Compte ILN]],"-",Tableau118[[#This Row],[Compte Shipper]],"-",Tableau118[[#This Row],[POL]])</f>
        <v>#N/A</v>
      </c>
      <c r="E280" s="81" t="e">
        <f ca="1">_xlfn.CONCAT(Tableau118[[#This Row],[POL]],"-",Tableau118[[#This Row],[Carrier]],"-",Tableau118[[#This Row],[POD]])</f>
        <v>#N/A</v>
      </c>
      <c r="F280" s="80" t="str">
        <f>_xlfn.CONCAT(Tableau118[[#This Row],[ID]],"-","Next")</f>
        <v>-Next</v>
      </c>
      <c r="G280" s="80" t="e">
        <f ca="1">_xlfn.CONCAT(Tableau118[[#This Row],[POD]],"-",Tableau118[[#This Row],[Code PFI]],"-",Tableau118[[#This Row],[Compte Site]])</f>
        <v>#N/A</v>
      </c>
      <c r="H28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0" s="118" t="str">
        <f ca="1">IF(COUNTIF(I:I,Tableau118[[#This Row],[Plant-ILN-shipper-POL-Carrier-POD-PFI]])=1,"Non","Oui")</f>
        <v>Oui</v>
      </c>
      <c r="K280" s="101" t="e">
        <f>VLOOKUP(Tableau118[[#This Row],[Name Site]],Plant_AILN!A:D,4,FALSE)</f>
        <v>#N/A</v>
      </c>
      <c r="L280" s="368"/>
      <c r="M280" s="480"/>
      <c r="N280" s="102"/>
      <c r="O280" s="124"/>
      <c r="P280" s="484"/>
      <c r="Q280" s="79"/>
      <c r="R280" s="79"/>
      <c r="S280" s="79"/>
      <c r="T280" s="79"/>
      <c r="U280" s="79"/>
      <c r="V280" s="79"/>
      <c r="W280" s="79"/>
      <c r="X280" s="100"/>
      <c r="Y280" s="485">
        <f>IFERROR(VLOOKUP(Tableau118[[#This Row],[Name Shipper]],Plant_AILN!L:M,2,FALSE),0)</f>
        <v>0</v>
      </c>
      <c r="Z280" s="369"/>
      <c r="AA280" s="354" t="e">
        <f ca="1">VLOOKUP(Tableau118[[#This Row],[Key(ID-Actif)]],'DATA BTO'!A:N,5,FALSE)</f>
        <v>#N/A</v>
      </c>
      <c r="AB280" s="106" t="e">
        <f ca="1">VLOOKUP(Tableau118[[#This Row],[Key(ID-Actif)]],'DATA BTO'!A:N,6,FALSE)</f>
        <v>#N/A</v>
      </c>
      <c r="AC280" s="79" t="e">
        <f ca="1">VLOOKUP(Tableau118[[#This Row],[Key(ID-Actif)]],'DATA BTO'!A:N,7,FALSE)</f>
        <v>#N/A</v>
      </c>
      <c r="AD280" s="79" t="e">
        <f ca="1">VLOOKUP(Tableau118[[#This Row],[Key(ID-Actif)]],'DATA BTO'!A:N,8,FALSE)</f>
        <v>#N/A</v>
      </c>
      <c r="AE280" s="79" t="e">
        <f ca="1">IF(Tableau118[[#This Row],[First Day to POL]]&lt;=Tableau118[[#This Row],[Day Cut Off]],Tableau118[[#This Row],[Day ETD]],Tableau118[[#This Row],[Day ETD]]+7)</f>
        <v>#N/A</v>
      </c>
      <c r="AF280" s="79" t="e">
        <f ca="1">VLOOKUP(Tableau118[[#This Row],[Key(ID-Actif)]],'DATA BTO'!A:N,9,FALSE)</f>
        <v>#N/A</v>
      </c>
      <c r="AG280" s="106" t="e">
        <f ca="1">VLOOKUP(Tableau118[[#This Row],[Key(ID-Actif)]],'DATA BTO'!A:N,10,FALSE)</f>
        <v>#N/A</v>
      </c>
      <c r="AH280" s="106" t="e">
        <f ca="1">VLOOKUP(Tableau118[[#This Row],[Key(ID-Actif)]],'DATA BTO'!A:N,11,FALSE)</f>
        <v>#N/A</v>
      </c>
      <c r="AI280" s="79" t="e">
        <f ca="1">VLOOKUP(Tableau118[[#This Row],[Key(ID-Actif)]],'DATA BTO'!A:N,12,FALSE)</f>
        <v>#N/A</v>
      </c>
      <c r="AJ280" s="104" t="e">
        <f ca="1">VLOOKUP(Tableau118[[#This Row],[Key(ID-Actif)]],'DATA BTO'!A:N,14,FALSE)</f>
        <v>#N/A</v>
      </c>
      <c r="AK280" s="105" t="e">
        <f ca="1">VLOOKUP(Tableau118[[#This Row],[Key(POD -PFI- Usine)]],'DATA Consignee'!A:F,6,FALSE)</f>
        <v>#N/A</v>
      </c>
      <c r="AL280" s="100"/>
      <c r="AM280" s="486" t="str">
        <f>IF(Tableau118[[#This Row],[Name PFI/CDD]]="","-",VLOOKUP(Tableau118[[#This Row],[Name PFI/CDD]],Plant_AILN!I:J,2,FALSE))</f>
        <v>-</v>
      </c>
      <c r="AN28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0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0" s="108" t="e">
        <f ca="1">VLOOKUP(Tableau118[[#This Row],[Key(POD -PFI- Usine)]],'DATA Consignee'!A:J,10,FALSE)</f>
        <v>#N/A</v>
      </c>
      <c r="AQ280" s="79" t="e">
        <f ca="1">VLOOKUP(Tableau118[[#This Row],[Key(POD -PFI- Usine)]],'DATA Consignee'!A:N,14,FALSE)</f>
        <v>#N/A</v>
      </c>
      <c r="AR28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0" s="79" t="e">
        <f ca="1">Tableau118[[#This Row],[Transit time]]+Tableau118[[#This Row],[Time for security]]+Tableau118[[#This Row],[Time for security2 buffer]]</f>
        <v>#N/A</v>
      </c>
      <c r="AU28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0" s="79" t="e">
        <f ca="1">Tableau118[[#This Row],[Leadtime SI2C]]+Tableau118[[#This Row],[First Receipt Days]]-Tableau118[[#This Row],[Day Customer Order]]+1</f>
        <v>#N/A</v>
      </c>
      <c r="AW280" s="118" t="e">
        <f ca="1">IF(Tableau118[[#This Row],[Name ILN]]&lt;&gt;"SFK Freight Forwarder",Tableau118[[#This Row],[Cust. Leadtime]],Tableau118[[#This Row],[Leadtime SI2C]])</f>
        <v>#N/A</v>
      </c>
      <c r="AX280" s="74" t="e">
        <f>VLOOKUP(Tableau118[[#This Row],[ID]],'DATA BTO'!B:P,15,FALSE)</f>
        <v>#N/A</v>
      </c>
      <c r="AY280" s="347" t="e">
        <f ca="1">IFERROR(VLOOKUP(Tableau118[[#This Row],[Key(ID-Actif)]],'DATA BTO'!A:N,4,FALSE),VLOOKUP(Tableau118[[#This Row],[ID]],'DATA BTO'!B:N,3,FALSE))</f>
        <v>#N/A</v>
      </c>
      <c r="AZ280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0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0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0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0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0" s="79"/>
    </row>
    <row r="281" spans="2:57">
      <c r="B281" s="370" t="str">
        <f>_xlfn.CONCAT(Tableau118[[#This Row],[Name ILN]],"-",Tableau118[[#This Row],[Name Shipper]],"-",Tableau118[[#This Row],[Name Site]])</f>
        <v>--</v>
      </c>
      <c r="C281" s="80" t="e">
        <f ca="1">_xlfn.CONCAT(Tableau118[[#This Row],[Compte ILN]],"-",Tableau118[[#This Row],[Compte Shipper]],"-",Tableau118[[#This Row],[POL]],"-",Tableau118[[#This Row],[Compte Site]])</f>
        <v>#N/A</v>
      </c>
      <c r="D281" s="80" t="e">
        <f ca="1">_xlfn.CONCAT(Tableau118[[#This Row],[Compte ILN]],"-",Tableau118[[#This Row],[Compte Shipper]],"-",Tableau118[[#This Row],[POL]])</f>
        <v>#N/A</v>
      </c>
      <c r="E281" s="81" t="e">
        <f ca="1">_xlfn.CONCAT(Tableau118[[#This Row],[POL]],"-",Tableau118[[#This Row],[Carrier]],"-",Tableau118[[#This Row],[POD]])</f>
        <v>#N/A</v>
      </c>
      <c r="F281" s="80" t="str">
        <f>_xlfn.CONCAT(Tableau118[[#This Row],[ID]],"-","Next")</f>
        <v>-Next</v>
      </c>
      <c r="G281" s="80" t="e">
        <f ca="1">_xlfn.CONCAT(Tableau118[[#This Row],[POD]],"-",Tableau118[[#This Row],[Code PFI]],"-",Tableau118[[#This Row],[Compte Site]])</f>
        <v>#N/A</v>
      </c>
      <c r="H281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1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1" s="118" t="str">
        <f ca="1">IF(COUNTIF(I:I,Tableau118[[#This Row],[Plant-ILN-shipper-POL-Carrier-POD-PFI]])=1,"Non","Oui")</f>
        <v>Oui</v>
      </c>
      <c r="K281" s="101" t="e">
        <f>VLOOKUP(Tableau118[[#This Row],[Name Site]],Plant_AILN!A:D,4,FALSE)</f>
        <v>#N/A</v>
      </c>
      <c r="L281" s="368"/>
      <c r="M281" s="480"/>
      <c r="N281" s="102"/>
      <c r="O281" s="124"/>
      <c r="P281" s="484"/>
      <c r="Q281" s="79"/>
      <c r="R281" s="79"/>
      <c r="S281" s="79"/>
      <c r="T281" s="79"/>
      <c r="U281" s="79"/>
      <c r="V281" s="79"/>
      <c r="W281" s="79"/>
      <c r="X281" s="100"/>
      <c r="Y281" s="485">
        <f>IFERROR(VLOOKUP(Tableau118[[#This Row],[Name Shipper]],Plant_AILN!L:M,2,FALSE),0)</f>
        <v>0</v>
      </c>
      <c r="Z281" s="369"/>
      <c r="AA281" s="354" t="e">
        <f ca="1">VLOOKUP(Tableau118[[#This Row],[Key(ID-Actif)]],'DATA BTO'!A:N,5,FALSE)</f>
        <v>#N/A</v>
      </c>
      <c r="AB281" s="106" t="e">
        <f ca="1">VLOOKUP(Tableau118[[#This Row],[Key(ID-Actif)]],'DATA BTO'!A:N,6,FALSE)</f>
        <v>#N/A</v>
      </c>
      <c r="AC281" s="79" t="e">
        <f ca="1">VLOOKUP(Tableau118[[#This Row],[Key(ID-Actif)]],'DATA BTO'!A:N,7,FALSE)</f>
        <v>#N/A</v>
      </c>
      <c r="AD281" s="79" t="e">
        <f ca="1">VLOOKUP(Tableau118[[#This Row],[Key(ID-Actif)]],'DATA BTO'!A:N,8,FALSE)</f>
        <v>#N/A</v>
      </c>
      <c r="AE281" s="79" t="e">
        <f ca="1">IF(Tableau118[[#This Row],[First Day to POL]]&lt;=Tableau118[[#This Row],[Day Cut Off]],Tableau118[[#This Row],[Day ETD]],Tableau118[[#This Row],[Day ETD]]+7)</f>
        <v>#N/A</v>
      </c>
      <c r="AF281" s="79" t="e">
        <f ca="1">VLOOKUP(Tableau118[[#This Row],[Key(ID-Actif)]],'DATA BTO'!A:N,9,FALSE)</f>
        <v>#N/A</v>
      </c>
      <c r="AG281" s="106" t="e">
        <f ca="1">VLOOKUP(Tableau118[[#This Row],[Key(ID-Actif)]],'DATA BTO'!A:N,10,FALSE)</f>
        <v>#N/A</v>
      </c>
      <c r="AH281" s="106" t="e">
        <f ca="1">VLOOKUP(Tableau118[[#This Row],[Key(ID-Actif)]],'DATA BTO'!A:N,11,FALSE)</f>
        <v>#N/A</v>
      </c>
      <c r="AI281" s="79" t="e">
        <f ca="1">VLOOKUP(Tableau118[[#This Row],[Key(ID-Actif)]],'DATA BTO'!A:N,12,FALSE)</f>
        <v>#N/A</v>
      </c>
      <c r="AJ281" s="104" t="e">
        <f ca="1">VLOOKUP(Tableau118[[#This Row],[Key(ID-Actif)]],'DATA BTO'!A:N,14,FALSE)</f>
        <v>#N/A</v>
      </c>
      <c r="AK281" s="105" t="e">
        <f ca="1">VLOOKUP(Tableau118[[#This Row],[Key(POD -PFI- Usine)]],'DATA Consignee'!A:F,6,FALSE)</f>
        <v>#N/A</v>
      </c>
      <c r="AL281" s="100"/>
      <c r="AM281" s="486" t="str">
        <f>IF(Tableau118[[#This Row],[Name PFI/CDD]]="","-",VLOOKUP(Tableau118[[#This Row],[Name PFI/CDD]],Plant_AILN!I:J,2,FALSE))</f>
        <v>-</v>
      </c>
      <c r="AN281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1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1" s="108" t="e">
        <f ca="1">VLOOKUP(Tableau118[[#This Row],[Key(POD -PFI- Usine)]],'DATA Consignee'!A:J,10,FALSE)</f>
        <v>#N/A</v>
      </c>
      <c r="AQ281" s="79" t="e">
        <f ca="1">VLOOKUP(Tableau118[[#This Row],[Key(POD -PFI- Usine)]],'DATA Consignee'!A:N,14,FALSE)</f>
        <v>#N/A</v>
      </c>
      <c r="AR281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1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1" s="79" t="e">
        <f ca="1">Tableau118[[#This Row],[Transit time]]+Tableau118[[#This Row],[Time for security]]+Tableau118[[#This Row],[Time for security2 buffer]]</f>
        <v>#N/A</v>
      </c>
      <c r="AU281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1" s="79" t="e">
        <f ca="1">Tableau118[[#This Row],[Leadtime SI2C]]+Tableau118[[#This Row],[First Receipt Days]]-Tableau118[[#This Row],[Day Customer Order]]+1</f>
        <v>#N/A</v>
      </c>
      <c r="AW281" s="118" t="e">
        <f ca="1">IF(Tableau118[[#This Row],[Name ILN]]&lt;&gt;"SFK Freight Forwarder",Tableau118[[#This Row],[Cust. Leadtime]],Tableau118[[#This Row],[Leadtime SI2C]])</f>
        <v>#N/A</v>
      </c>
      <c r="AX281" s="74" t="e">
        <f>VLOOKUP(Tableau118[[#This Row],[ID]],'DATA BTO'!B:P,15,FALSE)</f>
        <v>#N/A</v>
      </c>
      <c r="AY281" s="347" t="e">
        <f ca="1">IFERROR(VLOOKUP(Tableau118[[#This Row],[Key(ID-Actif)]],'DATA BTO'!A:N,4,FALSE),VLOOKUP(Tableau118[[#This Row],[ID]],'DATA BTO'!B:N,3,FALSE))</f>
        <v>#N/A</v>
      </c>
      <c r="AZ281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1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1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1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1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1" s="79"/>
    </row>
    <row r="282" spans="2:57">
      <c r="B282" s="370" t="str">
        <f>_xlfn.CONCAT(Tableau118[[#This Row],[Name ILN]],"-",Tableau118[[#This Row],[Name Shipper]],"-",Tableau118[[#This Row],[Name Site]])</f>
        <v>--</v>
      </c>
      <c r="C282" s="80" t="e">
        <f ca="1">_xlfn.CONCAT(Tableau118[[#This Row],[Compte ILN]],"-",Tableau118[[#This Row],[Compte Shipper]],"-",Tableau118[[#This Row],[POL]],"-",Tableau118[[#This Row],[Compte Site]])</f>
        <v>#N/A</v>
      </c>
      <c r="D282" s="80" t="e">
        <f ca="1">_xlfn.CONCAT(Tableau118[[#This Row],[Compte ILN]],"-",Tableau118[[#This Row],[Compte Shipper]],"-",Tableau118[[#This Row],[POL]])</f>
        <v>#N/A</v>
      </c>
      <c r="E282" s="81" t="e">
        <f ca="1">_xlfn.CONCAT(Tableau118[[#This Row],[POL]],"-",Tableau118[[#This Row],[Carrier]],"-",Tableau118[[#This Row],[POD]])</f>
        <v>#N/A</v>
      </c>
      <c r="F282" s="80" t="str">
        <f>_xlfn.CONCAT(Tableau118[[#This Row],[ID]],"-","Next")</f>
        <v>-Next</v>
      </c>
      <c r="G282" s="80" t="e">
        <f ca="1">_xlfn.CONCAT(Tableau118[[#This Row],[POD]],"-",Tableau118[[#This Row],[Code PFI]],"-",Tableau118[[#This Row],[Compte Site]])</f>
        <v>#N/A</v>
      </c>
      <c r="H282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2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2" s="118" t="str">
        <f ca="1">IF(COUNTIF(I:I,Tableau118[[#This Row],[Plant-ILN-shipper-POL-Carrier-POD-PFI]])=1,"Non","Oui")</f>
        <v>Oui</v>
      </c>
      <c r="K282" s="101" t="e">
        <f>VLOOKUP(Tableau118[[#This Row],[Name Site]],Plant_AILN!A:D,4,FALSE)</f>
        <v>#N/A</v>
      </c>
      <c r="L282" s="368"/>
      <c r="M282" s="480"/>
      <c r="N282" s="102"/>
      <c r="O282" s="124"/>
      <c r="P282" s="484"/>
      <c r="Q282" s="79"/>
      <c r="R282" s="79"/>
      <c r="S282" s="79"/>
      <c r="T282" s="79"/>
      <c r="U282" s="79"/>
      <c r="V282" s="79"/>
      <c r="W282" s="79"/>
      <c r="X282" s="283"/>
      <c r="Y282" s="485">
        <f>IFERROR(VLOOKUP(Tableau118[[#This Row],[Name Shipper]],Plant_AILN!L:M,2,FALSE),0)</f>
        <v>0</v>
      </c>
      <c r="Z282" s="369"/>
      <c r="AA282" s="354" t="e">
        <f ca="1">VLOOKUP(Tableau118[[#This Row],[Key(ID-Actif)]],'DATA BTO'!A:N,5,FALSE)</f>
        <v>#N/A</v>
      </c>
      <c r="AB282" s="106" t="e">
        <f ca="1">VLOOKUP(Tableau118[[#This Row],[Key(ID-Actif)]],'DATA BTO'!A:N,6,FALSE)</f>
        <v>#N/A</v>
      </c>
      <c r="AC282" s="79" t="e">
        <f ca="1">VLOOKUP(Tableau118[[#This Row],[Key(ID-Actif)]],'DATA BTO'!A:N,7,FALSE)</f>
        <v>#N/A</v>
      </c>
      <c r="AD282" s="79" t="e">
        <f ca="1">VLOOKUP(Tableau118[[#This Row],[Key(ID-Actif)]],'DATA BTO'!A:N,8,FALSE)</f>
        <v>#N/A</v>
      </c>
      <c r="AE282" s="79" t="e">
        <f ca="1">IF(Tableau118[[#This Row],[First Day to POL]]&lt;=Tableau118[[#This Row],[Day Cut Off]],Tableau118[[#This Row],[Day ETD]],Tableau118[[#This Row],[Day ETD]]+7)</f>
        <v>#N/A</v>
      </c>
      <c r="AF282" s="79" t="e">
        <f ca="1">VLOOKUP(Tableau118[[#This Row],[Key(ID-Actif)]],'DATA BTO'!A:N,9,FALSE)</f>
        <v>#N/A</v>
      </c>
      <c r="AG282" s="106" t="e">
        <f ca="1">VLOOKUP(Tableau118[[#This Row],[Key(ID-Actif)]],'DATA BTO'!A:N,10,FALSE)</f>
        <v>#N/A</v>
      </c>
      <c r="AH282" s="106" t="e">
        <f ca="1">VLOOKUP(Tableau118[[#This Row],[Key(ID-Actif)]],'DATA BTO'!A:N,11,FALSE)</f>
        <v>#N/A</v>
      </c>
      <c r="AI282" s="79" t="e">
        <f ca="1">VLOOKUP(Tableau118[[#This Row],[Key(ID-Actif)]],'DATA BTO'!A:N,12,FALSE)</f>
        <v>#N/A</v>
      </c>
      <c r="AJ282" s="104" t="e">
        <f ca="1">VLOOKUP(Tableau118[[#This Row],[Key(ID-Actif)]],'DATA BTO'!A:N,14,FALSE)</f>
        <v>#N/A</v>
      </c>
      <c r="AK282" s="105" t="e">
        <f ca="1">VLOOKUP(Tableau118[[#This Row],[Key(POD -PFI- Usine)]],'DATA Consignee'!A:F,6,FALSE)</f>
        <v>#N/A</v>
      </c>
      <c r="AL282" s="100"/>
      <c r="AM282" s="486" t="str">
        <f>IF(Tableau118[[#This Row],[Name PFI/CDD]]="","-",VLOOKUP(Tableau118[[#This Row],[Name PFI/CDD]],Plant_AILN!I:J,2,FALSE))</f>
        <v>-</v>
      </c>
      <c r="AN282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2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2" s="108" t="e">
        <f ca="1">VLOOKUP(Tableau118[[#This Row],[Key(POD -PFI- Usine)]],'DATA Consignee'!A:J,10,FALSE)</f>
        <v>#N/A</v>
      </c>
      <c r="AQ282" s="79" t="e">
        <f ca="1">VLOOKUP(Tableau118[[#This Row],[Key(POD -PFI- Usine)]],'DATA Consignee'!A:N,14,FALSE)</f>
        <v>#N/A</v>
      </c>
      <c r="AR282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2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2" s="79" t="e">
        <f ca="1">Tableau118[[#This Row],[Transit time]]+Tableau118[[#This Row],[Time for security]]+Tableau118[[#This Row],[Time for security2 buffer]]</f>
        <v>#N/A</v>
      </c>
      <c r="AU282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2" s="79" t="e">
        <f ca="1">Tableau118[[#This Row],[Leadtime SI2C]]+Tableau118[[#This Row],[First Receipt Days]]-Tableau118[[#This Row],[Day Customer Order]]+1</f>
        <v>#N/A</v>
      </c>
      <c r="AW282" s="118" t="e">
        <f ca="1">IF(Tableau118[[#This Row],[Name ILN]]&lt;&gt;"SFK Freight Forwarder",Tableau118[[#This Row],[Cust. Leadtime]],Tableau118[[#This Row],[Leadtime SI2C]])</f>
        <v>#N/A</v>
      </c>
      <c r="AX282" s="74" t="e">
        <f>VLOOKUP(Tableau118[[#This Row],[ID]],'DATA BTO'!B:P,15,FALSE)</f>
        <v>#N/A</v>
      </c>
      <c r="AY282" s="347" t="e">
        <f ca="1">IFERROR(VLOOKUP(Tableau118[[#This Row],[Key(ID-Actif)]],'DATA BTO'!A:N,4,FALSE),VLOOKUP(Tableau118[[#This Row],[ID]],'DATA BTO'!B:N,3,FALSE))</f>
        <v>#N/A</v>
      </c>
      <c r="AZ282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2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2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2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2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2" s="79"/>
    </row>
    <row r="283" spans="2:57">
      <c r="B283" s="370" t="str">
        <f>_xlfn.CONCAT(Tableau118[[#This Row],[Name ILN]],"-",Tableau118[[#This Row],[Name Shipper]],"-",Tableau118[[#This Row],[Name Site]])</f>
        <v>--</v>
      </c>
      <c r="C283" s="80" t="e">
        <f ca="1">_xlfn.CONCAT(Tableau118[[#This Row],[Compte ILN]],"-",Tableau118[[#This Row],[Compte Shipper]],"-",Tableau118[[#This Row],[POL]],"-",Tableau118[[#This Row],[Compte Site]])</f>
        <v>#N/A</v>
      </c>
      <c r="D283" s="80" t="e">
        <f ca="1">_xlfn.CONCAT(Tableau118[[#This Row],[Compte ILN]],"-",Tableau118[[#This Row],[Compte Shipper]],"-",Tableau118[[#This Row],[POL]])</f>
        <v>#N/A</v>
      </c>
      <c r="E283" s="81" t="e">
        <f ca="1">_xlfn.CONCAT(Tableau118[[#This Row],[POL]],"-",Tableau118[[#This Row],[Carrier]],"-",Tableau118[[#This Row],[POD]])</f>
        <v>#N/A</v>
      </c>
      <c r="F283" s="80" t="str">
        <f>_xlfn.CONCAT(Tableau118[[#This Row],[ID]],"-","Next")</f>
        <v>-Next</v>
      </c>
      <c r="G283" s="80" t="e">
        <f ca="1">_xlfn.CONCAT(Tableau118[[#This Row],[POD]],"-",Tableau118[[#This Row],[Code PFI]],"-",Tableau118[[#This Row],[Compte Site]])</f>
        <v>#N/A</v>
      </c>
      <c r="H283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3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3" s="118" t="str">
        <f ca="1">IF(COUNTIF(I:I,Tableau118[[#This Row],[Plant-ILN-shipper-POL-Carrier-POD-PFI]])=1,"Non","Oui")</f>
        <v>Oui</v>
      </c>
      <c r="K283" s="101" t="e">
        <f>VLOOKUP(Tableau118[[#This Row],[Name Site]],Plant_AILN!A:D,4,FALSE)</f>
        <v>#N/A</v>
      </c>
      <c r="L283" s="368"/>
      <c r="M283" s="480"/>
      <c r="N283" s="102"/>
      <c r="O283" s="124"/>
      <c r="P283" s="484"/>
      <c r="Q283" s="79"/>
      <c r="R283" s="79"/>
      <c r="S283" s="79"/>
      <c r="T283" s="79"/>
      <c r="U283" s="79"/>
      <c r="V283" s="79"/>
      <c r="W283" s="79"/>
      <c r="X283" s="283"/>
      <c r="Y283" s="485">
        <f>IFERROR(VLOOKUP(Tableau118[[#This Row],[Name Shipper]],Plant_AILN!L:M,2,FALSE),0)</f>
        <v>0</v>
      </c>
      <c r="Z283" s="369"/>
      <c r="AA283" s="354" t="e">
        <f ca="1">VLOOKUP(Tableau118[[#This Row],[Key(ID-Actif)]],'DATA BTO'!A:N,5,FALSE)</f>
        <v>#N/A</v>
      </c>
      <c r="AB283" s="106" t="e">
        <f ca="1">VLOOKUP(Tableau118[[#This Row],[Key(ID-Actif)]],'DATA BTO'!A:N,6,FALSE)</f>
        <v>#N/A</v>
      </c>
      <c r="AC283" s="79" t="e">
        <f ca="1">VLOOKUP(Tableau118[[#This Row],[Key(ID-Actif)]],'DATA BTO'!A:N,7,FALSE)</f>
        <v>#N/A</v>
      </c>
      <c r="AD283" s="79" t="e">
        <f ca="1">VLOOKUP(Tableau118[[#This Row],[Key(ID-Actif)]],'DATA BTO'!A:N,8,FALSE)</f>
        <v>#N/A</v>
      </c>
      <c r="AE283" s="79" t="e">
        <f ca="1">IF(Tableau118[[#This Row],[First Day to POL]]&lt;=Tableau118[[#This Row],[Day Cut Off]],Tableau118[[#This Row],[Day ETD]],Tableau118[[#This Row],[Day ETD]]+7)</f>
        <v>#N/A</v>
      </c>
      <c r="AF283" s="79" t="e">
        <f ca="1">VLOOKUP(Tableau118[[#This Row],[Key(ID-Actif)]],'DATA BTO'!A:N,9,FALSE)</f>
        <v>#N/A</v>
      </c>
      <c r="AG283" s="106" t="e">
        <f ca="1">VLOOKUP(Tableau118[[#This Row],[Key(ID-Actif)]],'DATA BTO'!A:N,10,FALSE)</f>
        <v>#N/A</v>
      </c>
      <c r="AH283" s="106" t="e">
        <f ca="1">VLOOKUP(Tableau118[[#This Row],[Key(ID-Actif)]],'DATA BTO'!A:N,11,FALSE)</f>
        <v>#N/A</v>
      </c>
      <c r="AI283" s="79" t="e">
        <f ca="1">VLOOKUP(Tableau118[[#This Row],[Key(ID-Actif)]],'DATA BTO'!A:N,12,FALSE)</f>
        <v>#N/A</v>
      </c>
      <c r="AJ283" s="104" t="e">
        <f ca="1">VLOOKUP(Tableau118[[#This Row],[Key(ID-Actif)]],'DATA BTO'!A:N,14,FALSE)</f>
        <v>#N/A</v>
      </c>
      <c r="AK283" s="105" t="e">
        <f ca="1">VLOOKUP(Tableau118[[#This Row],[Key(POD -PFI- Usine)]],'DATA Consignee'!A:F,6,FALSE)</f>
        <v>#N/A</v>
      </c>
      <c r="AL283" s="100"/>
      <c r="AM283" s="486" t="str">
        <f>IF(Tableau118[[#This Row],[Name PFI/CDD]]="","-",VLOOKUP(Tableau118[[#This Row],[Name PFI/CDD]],Plant_AILN!I:J,2,FALSE))</f>
        <v>-</v>
      </c>
      <c r="AN283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3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3" s="108" t="e">
        <f ca="1">VLOOKUP(Tableau118[[#This Row],[Key(POD -PFI- Usine)]],'DATA Consignee'!A:J,10,FALSE)</f>
        <v>#N/A</v>
      </c>
      <c r="AQ283" s="79" t="e">
        <f ca="1">VLOOKUP(Tableau118[[#This Row],[Key(POD -PFI- Usine)]],'DATA Consignee'!A:N,14,FALSE)</f>
        <v>#N/A</v>
      </c>
      <c r="AR283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3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3" s="79" t="e">
        <f ca="1">Tableau118[[#This Row],[Transit time]]+Tableau118[[#This Row],[Time for security]]+Tableau118[[#This Row],[Time for security2 buffer]]</f>
        <v>#N/A</v>
      </c>
      <c r="AU283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3" s="79" t="e">
        <f ca="1">Tableau118[[#This Row],[Leadtime SI2C]]+Tableau118[[#This Row],[First Receipt Days]]-Tableau118[[#This Row],[Day Customer Order]]+1</f>
        <v>#N/A</v>
      </c>
      <c r="AW283" s="118" t="e">
        <f ca="1">IF(Tableau118[[#This Row],[Name ILN]]&lt;&gt;"SFK Freight Forwarder",Tableau118[[#This Row],[Cust. Leadtime]],Tableau118[[#This Row],[Leadtime SI2C]])</f>
        <v>#N/A</v>
      </c>
      <c r="AX283" s="74" t="e">
        <f>VLOOKUP(Tableau118[[#This Row],[ID]],'DATA BTO'!B:P,15,FALSE)</f>
        <v>#N/A</v>
      </c>
      <c r="AY283" s="347" t="e">
        <f ca="1">IFERROR(VLOOKUP(Tableau118[[#This Row],[Key(ID-Actif)]],'DATA BTO'!A:N,4,FALSE),VLOOKUP(Tableau118[[#This Row],[ID]],'DATA BTO'!B:N,3,FALSE))</f>
        <v>#N/A</v>
      </c>
      <c r="AZ283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3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3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3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3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3" s="79"/>
    </row>
    <row r="284" spans="2:57">
      <c r="B284" s="370" t="str">
        <f>_xlfn.CONCAT(Tableau118[[#This Row],[Name ILN]],"-",Tableau118[[#This Row],[Name Shipper]],"-",Tableau118[[#This Row],[Name Site]])</f>
        <v>--</v>
      </c>
      <c r="C284" s="80" t="e">
        <f ca="1">_xlfn.CONCAT(Tableau118[[#This Row],[Compte ILN]],"-",Tableau118[[#This Row],[Compte Shipper]],"-",Tableau118[[#This Row],[POL]],"-",Tableau118[[#This Row],[Compte Site]])</f>
        <v>#N/A</v>
      </c>
      <c r="D284" s="80" t="e">
        <f ca="1">_xlfn.CONCAT(Tableau118[[#This Row],[Compte ILN]],"-",Tableau118[[#This Row],[Compte Shipper]],"-",Tableau118[[#This Row],[POL]])</f>
        <v>#N/A</v>
      </c>
      <c r="E284" s="81" t="e">
        <f ca="1">_xlfn.CONCAT(Tableau118[[#This Row],[POL]],"-",Tableau118[[#This Row],[Carrier]],"-",Tableau118[[#This Row],[POD]])</f>
        <v>#N/A</v>
      </c>
      <c r="F284" s="80" t="str">
        <f>_xlfn.CONCAT(Tableau118[[#This Row],[ID]],"-","Next")</f>
        <v>-Next</v>
      </c>
      <c r="G284" s="80" t="e">
        <f ca="1">_xlfn.CONCAT(Tableau118[[#This Row],[POD]],"-",Tableau118[[#This Row],[Code PFI]],"-",Tableau118[[#This Row],[Compte Site]])</f>
        <v>#N/A</v>
      </c>
      <c r="H284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4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4" s="118" t="str">
        <f ca="1">IF(COUNTIF(I:I,Tableau118[[#This Row],[Plant-ILN-shipper-POL-Carrier-POD-PFI]])=1,"Non","Oui")</f>
        <v>Oui</v>
      </c>
      <c r="K284" s="101" t="e">
        <f>VLOOKUP(Tableau118[[#This Row],[Name Site]],Plant_AILN!A:D,4,FALSE)</f>
        <v>#N/A</v>
      </c>
      <c r="L284" s="368"/>
      <c r="M284" s="480"/>
      <c r="N284" s="102"/>
      <c r="O284" s="124"/>
      <c r="P284" s="484"/>
      <c r="Q284" s="79"/>
      <c r="R284" s="79"/>
      <c r="S284" s="79"/>
      <c r="T284" s="79"/>
      <c r="U284" s="79"/>
      <c r="V284" s="79"/>
      <c r="W284" s="79"/>
      <c r="X284" s="124"/>
      <c r="Y284" s="485">
        <f>IFERROR(VLOOKUP(Tableau118[[#This Row],[Name Shipper]],Plant_AILN!L:M,2,FALSE),0)</f>
        <v>0</v>
      </c>
      <c r="Z284" s="369"/>
      <c r="AA284" s="354" t="e">
        <f ca="1">VLOOKUP(Tableau118[[#This Row],[Key(ID-Actif)]],'DATA BTO'!A:N,5,FALSE)</f>
        <v>#N/A</v>
      </c>
      <c r="AB284" s="106" t="e">
        <f ca="1">VLOOKUP(Tableau118[[#This Row],[Key(ID-Actif)]],'DATA BTO'!A:N,6,FALSE)</f>
        <v>#N/A</v>
      </c>
      <c r="AC284" s="79" t="e">
        <f ca="1">VLOOKUP(Tableau118[[#This Row],[Key(ID-Actif)]],'DATA BTO'!A:N,7,FALSE)</f>
        <v>#N/A</v>
      </c>
      <c r="AD284" s="79" t="e">
        <f ca="1">VLOOKUP(Tableau118[[#This Row],[Key(ID-Actif)]],'DATA BTO'!A:N,8,FALSE)</f>
        <v>#N/A</v>
      </c>
      <c r="AE284" s="79" t="e">
        <f ca="1">IF(Tableau118[[#This Row],[First Day to POL]]&lt;=Tableau118[[#This Row],[Day Cut Off]],Tableau118[[#This Row],[Day ETD]],Tableau118[[#This Row],[Day ETD]]+7)</f>
        <v>#N/A</v>
      </c>
      <c r="AF284" s="79" t="e">
        <f ca="1">VLOOKUP(Tableau118[[#This Row],[Key(ID-Actif)]],'DATA BTO'!A:N,9,FALSE)</f>
        <v>#N/A</v>
      </c>
      <c r="AG284" s="106" t="e">
        <f ca="1">VLOOKUP(Tableau118[[#This Row],[Key(ID-Actif)]],'DATA BTO'!A:N,10,FALSE)</f>
        <v>#N/A</v>
      </c>
      <c r="AH284" s="106" t="e">
        <f ca="1">VLOOKUP(Tableau118[[#This Row],[Key(ID-Actif)]],'DATA BTO'!A:N,11,FALSE)</f>
        <v>#N/A</v>
      </c>
      <c r="AI284" s="79" t="e">
        <f ca="1">VLOOKUP(Tableau118[[#This Row],[Key(ID-Actif)]],'DATA BTO'!A:N,12,FALSE)</f>
        <v>#N/A</v>
      </c>
      <c r="AJ284" s="104" t="e">
        <f ca="1">VLOOKUP(Tableau118[[#This Row],[Key(ID-Actif)]],'DATA BTO'!A:N,14,FALSE)</f>
        <v>#N/A</v>
      </c>
      <c r="AK284" s="105" t="e">
        <f ca="1">VLOOKUP(Tableau118[[#This Row],[Key(POD -PFI- Usine)]],'DATA Consignee'!A:F,6,FALSE)</f>
        <v>#N/A</v>
      </c>
      <c r="AL284" s="100"/>
      <c r="AM284" s="486" t="str">
        <f>IF(Tableau118[[#This Row],[Name PFI/CDD]]="","-",VLOOKUP(Tableau118[[#This Row],[Name PFI/CDD]],Plant_AILN!I:J,2,FALSE))</f>
        <v>-</v>
      </c>
      <c r="AN284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4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4" s="108" t="e">
        <f ca="1">VLOOKUP(Tableau118[[#This Row],[Key(POD -PFI- Usine)]],'DATA Consignee'!A:J,10,FALSE)</f>
        <v>#N/A</v>
      </c>
      <c r="AQ284" s="79" t="e">
        <f ca="1">VLOOKUP(Tableau118[[#This Row],[Key(POD -PFI- Usine)]],'DATA Consignee'!A:N,14,FALSE)</f>
        <v>#N/A</v>
      </c>
      <c r="AR284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4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4" s="79" t="e">
        <f ca="1">Tableau118[[#This Row],[Transit time]]+Tableau118[[#This Row],[Time for security]]+Tableau118[[#This Row],[Time for security2 buffer]]</f>
        <v>#N/A</v>
      </c>
      <c r="AU284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4" s="79" t="e">
        <f ca="1">Tableau118[[#This Row],[Leadtime SI2C]]+Tableau118[[#This Row],[First Receipt Days]]-Tableau118[[#This Row],[Day Customer Order]]+1</f>
        <v>#N/A</v>
      </c>
      <c r="AW284" s="118" t="e">
        <f ca="1">IF(Tableau118[[#This Row],[Name ILN]]&lt;&gt;"SFK Freight Forwarder",Tableau118[[#This Row],[Cust. Leadtime]],Tableau118[[#This Row],[Leadtime SI2C]])</f>
        <v>#N/A</v>
      </c>
      <c r="AX284" s="74" t="e">
        <f>VLOOKUP(Tableau118[[#This Row],[ID]],'DATA BTO'!B:P,15,FALSE)</f>
        <v>#N/A</v>
      </c>
      <c r="AY284" s="347" t="e">
        <f ca="1">IFERROR(VLOOKUP(Tableau118[[#This Row],[Key(ID-Actif)]],'DATA BTO'!A:N,4,FALSE),VLOOKUP(Tableau118[[#This Row],[ID]],'DATA BTO'!B:N,3,FALSE))</f>
        <v>#N/A</v>
      </c>
      <c r="AZ284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4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4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4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4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4" s="79"/>
    </row>
    <row r="285" spans="2:57">
      <c r="B285" s="370" t="str">
        <f>_xlfn.CONCAT(Tableau118[[#This Row],[Name ILN]],"-",Tableau118[[#This Row],[Name Shipper]],"-",Tableau118[[#This Row],[Name Site]])</f>
        <v>--</v>
      </c>
      <c r="C285" s="80" t="e">
        <f ca="1">_xlfn.CONCAT(Tableau118[[#This Row],[Compte ILN]],"-",Tableau118[[#This Row],[Compte Shipper]],"-",Tableau118[[#This Row],[POL]],"-",Tableau118[[#This Row],[Compte Site]])</f>
        <v>#N/A</v>
      </c>
      <c r="D285" s="80" t="e">
        <f ca="1">_xlfn.CONCAT(Tableau118[[#This Row],[Compte ILN]],"-",Tableau118[[#This Row],[Compte Shipper]],"-",Tableau118[[#This Row],[POL]])</f>
        <v>#N/A</v>
      </c>
      <c r="E285" s="81" t="e">
        <f ca="1">_xlfn.CONCAT(Tableau118[[#This Row],[POL]],"-",Tableau118[[#This Row],[Carrier]],"-",Tableau118[[#This Row],[POD]])</f>
        <v>#N/A</v>
      </c>
      <c r="F285" s="80" t="str">
        <f>_xlfn.CONCAT(Tableau118[[#This Row],[ID]],"-","Next")</f>
        <v>-Next</v>
      </c>
      <c r="G285" s="80" t="e">
        <f ca="1">_xlfn.CONCAT(Tableau118[[#This Row],[POD]],"-",Tableau118[[#This Row],[Code PFI]],"-",Tableau118[[#This Row],[Compte Site]])</f>
        <v>#N/A</v>
      </c>
      <c r="H285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5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5" s="118" t="str">
        <f ca="1">IF(COUNTIF(I:I,Tableau118[[#This Row],[Plant-ILN-shipper-POL-Carrier-POD-PFI]])=1,"Non","Oui")</f>
        <v>Oui</v>
      </c>
      <c r="K285" s="101" t="e">
        <f>VLOOKUP(Tableau118[[#This Row],[Name Site]],Plant_AILN!A:D,4,FALSE)</f>
        <v>#N/A</v>
      </c>
      <c r="L285" s="368"/>
      <c r="M285" s="480"/>
      <c r="N285" s="102"/>
      <c r="O285" s="124"/>
      <c r="P285" s="484"/>
      <c r="Q285" s="79"/>
      <c r="R285" s="79"/>
      <c r="S285" s="79"/>
      <c r="T285" s="79"/>
      <c r="U285" s="79"/>
      <c r="V285" s="79"/>
      <c r="W285" s="79"/>
      <c r="X285" s="124"/>
      <c r="Y285" s="485">
        <f>IFERROR(VLOOKUP(Tableau118[[#This Row],[Name Shipper]],Plant_AILN!L:M,2,FALSE),0)</f>
        <v>0</v>
      </c>
      <c r="Z285" s="369"/>
      <c r="AA285" s="354" t="e">
        <f ca="1">VLOOKUP(Tableau118[[#This Row],[Key(ID-Actif)]],'DATA BTO'!A:N,5,FALSE)</f>
        <v>#N/A</v>
      </c>
      <c r="AB285" s="106" t="e">
        <f ca="1">VLOOKUP(Tableau118[[#This Row],[Key(ID-Actif)]],'DATA BTO'!A:N,6,FALSE)</f>
        <v>#N/A</v>
      </c>
      <c r="AC285" s="79" t="e">
        <f ca="1">VLOOKUP(Tableau118[[#This Row],[Key(ID-Actif)]],'DATA BTO'!A:N,7,FALSE)</f>
        <v>#N/A</v>
      </c>
      <c r="AD285" s="79" t="e">
        <f ca="1">VLOOKUP(Tableau118[[#This Row],[Key(ID-Actif)]],'DATA BTO'!A:N,8,FALSE)</f>
        <v>#N/A</v>
      </c>
      <c r="AE285" s="79" t="e">
        <f ca="1">IF(Tableau118[[#This Row],[First Day to POL]]&lt;=Tableau118[[#This Row],[Day Cut Off]],Tableau118[[#This Row],[Day ETD]],Tableau118[[#This Row],[Day ETD]]+7)</f>
        <v>#N/A</v>
      </c>
      <c r="AF285" s="79" t="e">
        <f ca="1">VLOOKUP(Tableau118[[#This Row],[Key(ID-Actif)]],'DATA BTO'!A:N,9,FALSE)</f>
        <v>#N/A</v>
      </c>
      <c r="AG285" s="106" t="e">
        <f ca="1">VLOOKUP(Tableau118[[#This Row],[Key(ID-Actif)]],'DATA BTO'!A:N,10,FALSE)</f>
        <v>#N/A</v>
      </c>
      <c r="AH285" s="106" t="e">
        <f ca="1">VLOOKUP(Tableau118[[#This Row],[Key(ID-Actif)]],'DATA BTO'!A:N,11,FALSE)</f>
        <v>#N/A</v>
      </c>
      <c r="AI285" s="79" t="e">
        <f ca="1">VLOOKUP(Tableau118[[#This Row],[Key(ID-Actif)]],'DATA BTO'!A:N,12,FALSE)</f>
        <v>#N/A</v>
      </c>
      <c r="AJ285" s="104" t="e">
        <f ca="1">VLOOKUP(Tableau118[[#This Row],[Key(ID-Actif)]],'DATA BTO'!A:N,14,FALSE)</f>
        <v>#N/A</v>
      </c>
      <c r="AK285" s="105" t="e">
        <f ca="1">VLOOKUP(Tableau118[[#This Row],[Key(POD -PFI- Usine)]],'DATA Consignee'!A:F,6,FALSE)</f>
        <v>#N/A</v>
      </c>
      <c r="AL285" s="100"/>
      <c r="AM285" s="486" t="str">
        <f>IF(Tableau118[[#This Row],[Name PFI/CDD]]="","-",VLOOKUP(Tableau118[[#This Row],[Name PFI/CDD]],Plant_AILN!I:J,2,FALSE))</f>
        <v>-</v>
      </c>
      <c r="AN285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5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5" s="108" t="e">
        <f ca="1">VLOOKUP(Tableau118[[#This Row],[Key(POD -PFI- Usine)]],'DATA Consignee'!A:J,10,FALSE)</f>
        <v>#N/A</v>
      </c>
      <c r="AQ285" s="79" t="e">
        <f ca="1">VLOOKUP(Tableau118[[#This Row],[Key(POD -PFI- Usine)]],'DATA Consignee'!A:N,14,FALSE)</f>
        <v>#N/A</v>
      </c>
      <c r="AR285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5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5" s="79" t="e">
        <f ca="1">Tableau118[[#This Row],[Transit time]]+Tableau118[[#This Row],[Time for security]]+Tableau118[[#This Row],[Time for security2 buffer]]</f>
        <v>#N/A</v>
      </c>
      <c r="AU285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5" s="79" t="e">
        <f ca="1">Tableau118[[#This Row],[Leadtime SI2C]]+Tableau118[[#This Row],[First Receipt Days]]-Tableau118[[#This Row],[Day Customer Order]]+1</f>
        <v>#N/A</v>
      </c>
      <c r="AW285" s="118" t="e">
        <f ca="1">IF(Tableau118[[#This Row],[Name ILN]]&lt;&gt;"SFK Freight Forwarder",Tableau118[[#This Row],[Cust. Leadtime]],Tableau118[[#This Row],[Leadtime SI2C]])</f>
        <v>#N/A</v>
      </c>
      <c r="AX285" s="74" t="e">
        <f>VLOOKUP(Tableau118[[#This Row],[ID]],'DATA BTO'!B:P,15,FALSE)</f>
        <v>#N/A</v>
      </c>
      <c r="AY285" s="347" t="e">
        <f ca="1">IFERROR(VLOOKUP(Tableau118[[#This Row],[Key(ID-Actif)]],'DATA BTO'!A:N,4,FALSE),VLOOKUP(Tableau118[[#This Row],[ID]],'DATA BTO'!B:N,3,FALSE))</f>
        <v>#N/A</v>
      </c>
      <c r="AZ285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5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5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5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5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5" s="79"/>
    </row>
    <row r="286" spans="2:57">
      <c r="B286" s="370" t="str">
        <f>_xlfn.CONCAT(Tableau118[[#This Row],[Name ILN]],"-",Tableau118[[#This Row],[Name Shipper]],"-",Tableau118[[#This Row],[Name Site]])</f>
        <v>--</v>
      </c>
      <c r="C286" s="80" t="e">
        <f ca="1">_xlfn.CONCAT(Tableau118[[#This Row],[Compte ILN]],"-",Tableau118[[#This Row],[Compte Shipper]],"-",Tableau118[[#This Row],[POL]],"-",Tableau118[[#This Row],[Compte Site]])</f>
        <v>#N/A</v>
      </c>
      <c r="D286" s="80" t="e">
        <f ca="1">_xlfn.CONCAT(Tableau118[[#This Row],[Compte ILN]],"-",Tableau118[[#This Row],[Compte Shipper]],"-",Tableau118[[#This Row],[POL]])</f>
        <v>#N/A</v>
      </c>
      <c r="E286" s="81" t="e">
        <f ca="1">_xlfn.CONCAT(Tableau118[[#This Row],[POL]],"-",Tableau118[[#This Row],[Carrier]],"-",Tableau118[[#This Row],[POD]])</f>
        <v>#N/A</v>
      </c>
      <c r="F286" s="80" t="str">
        <f>_xlfn.CONCAT(Tableau118[[#This Row],[ID]],"-","Next")</f>
        <v>-Next</v>
      </c>
      <c r="G286" s="80" t="e">
        <f ca="1">_xlfn.CONCAT(Tableau118[[#This Row],[POD]],"-",Tableau118[[#This Row],[Code PFI]],"-",Tableau118[[#This Row],[Compte Site]])</f>
        <v>#N/A</v>
      </c>
      <c r="H286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6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6" s="118" t="str">
        <f ca="1">IF(COUNTIF(I:I,Tableau118[[#This Row],[Plant-ILN-shipper-POL-Carrier-POD-PFI]])=1,"Non","Oui")</f>
        <v>Oui</v>
      </c>
      <c r="K286" s="101" t="e">
        <f>VLOOKUP(Tableau118[[#This Row],[Name Site]],Plant_AILN!A:D,4,FALSE)</f>
        <v>#N/A</v>
      </c>
      <c r="L286" s="368"/>
      <c r="M286" s="480"/>
      <c r="N286" s="102"/>
      <c r="O286" s="124"/>
      <c r="P286" s="484"/>
      <c r="Q286" s="79"/>
      <c r="R286" s="79"/>
      <c r="S286" s="79"/>
      <c r="T286" s="79"/>
      <c r="U286" s="79"/>
      <c r="V286" s="79"/>
      <c r="W286" s="79"/>
      <c r="X286" s="100"/>
      <c r="Y286" s="485">
        <f>IFERROR(VLOOKUP(Tableau118[[#This Row],[Name Shipper]],Plant_AILN!L:M,2,FALSE),0)</f>
        <v>0</v>
      </c>
      <c r="Z286" s="369"/>
      <c r="AA286" s="354" t="e">
        <f ca="1">VLOOKUP(Tableau118[[#This Row],[Key(ID-Actif)]],'DATA BTO'!A:N,5,FALSE)</f>
        <v>#N/A</v>
      </c>
      <c r="AB286" s="106" t="e">
        <f ca="1">VLOOKUP(Tableau118[[#This Row],[Key(ID-Actif)]],'DATA BTO'!A:N,6,FALSE)</f>
        <v>#N/A</v>
      </c>
      <c r="AC286" s="79" t="e">
        <f ca="1">VLOOKUP(Tableau118[[#This Row],[Key(ID-Actif)]],'DATA BTO'!A:N,7,FALSE)</f>
        <v>#N/A</v>
      </c>
      <c r="AD286" s="79" t="e">
        <f ca="1">VLOOKUP(Tableau118[[#This Row],[Key(ID-Actif)]],'DATA BTO'!A:N,8,FALSE)</f>
        <v>#N/A</v>
      </c>
      <c r="AE286" s="79" t="e">
        <f ca="1">IF(Tableau118[[#This Row],[First Day to POL]]&lt;=Tableau118[[#This Row],[Day Cut Off]],Tableau118[[#This Row],[Day ETD]],Tableau118[[#This Row],[Day ETD]]+7)</f>
        <v>#N/A</v>
      </c>
      <c r="AF286" s="79" t="e">
        <f ca="1">VLOOKUP(Tableau118[[#This Row],[Key(ID-Actif)]],'DATA BTO'!A:N,9,FALSE)</f>
        <v>#N/A</v>
      </c>
      <c r="AG286" s="106" t="e">
        <f ca="1">VLOOKUP(Tableau118[[#This Row],[Key(ID-Actif)]],'DATA BTO'!A:N,10,FALSE)</f>
        <v>#N/A</v>
      </c>
      <c r="AH286" s="106" t="e">
        <f ca="1">VLOOKUP(Tableau118[[#This Row],[Key(ID-Actif)]],'DATA BTO'!A:N,11,FALSE)</f>
        <v>#N/A</v>
      </c>
      <c r="AI286" s="79" t="e">
        <f ca="1">VLOOKUP(Tableau118[[#This Row],[Key(ID-Actif)]],'DATA BTO'!A:N,12,FALSE)</f>
        <v>#N/A</v>
      </c>
      <c r="AJ286" s="104" t="e">
        <f ca="1">VLOOKUP(Tableau118[[#This Row],[Key(ID-Actif)]],'DATA BTO'!A:N,14,FALSE)</f>
        <v>#N/A</v>
      </c>
      <c r="AK286" s="105" t="e">
        <f ca="1">VLOOKUP(Tableau118[[#This Row],[Key(POD -PFI- Usine)]],'DATA Consignee'!A:F,6,FALSE)</f>
        <v>#N/A</v>
      </c>
      <c r="AL286" s="100"/>
      <c r="AM286" s="486" t="str">
        <f>IF(Tableau118[[#This Row],[Name PFI/CDD]]="","-",VLOOKUP(Tableau118[[#This Row],[Name PFI/CDD]],Plant_AILN!I:J,2,FALSE))</f>
        <v>-</v>
      </c>
      <c r="AN286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6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6" s="108" t="e">
        <f ca="1">VLOOKUP(Tableau118[[#This Row],[Key(POD -PFI- Usine)]],'DATA Consignee'!A:J,10,FALSE)</f>
        <v>#N/A</v>
      </c>
      <c r="AQ286" s="79" t="e">
        <f ca="1">VLOOKUP(Tableau118[[#This Row],[Key(POD -PFI- Usine)]],'DATA Consignee'!A:N,14,FALSE)</f>
        <v>#N/A</v>
      </c>
      <c r="AR286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6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6" s="79" t="e">
        <f ca="1">Tableau118[[#This Row],[Transit time]]+Tableau118[[#This Row],[Time for security]]+Tableau118[[#This Row],[Time for security2 buffer]]</f>
        <v>#N/A</v>
      </c>
      <c r="AU286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6" s="79" t="e">
        <f ca="1">Tableau118[[#This Row],[Leadtime SI2C]]+Tableau118[[#This Row],[First Receipt Days]]-Tableau118[[#This Row],[Day Customer Order]]+1</f>
        <v>#N/A</v>
      </c>
      <c r="AW286" s="118" t="e">
        <f ca="1">IF(Tableau118[[#This Row],[Name ILN]]&lt;&gt;"SFK Freight Forwarder",Tableau118[[#This Row],[Cust. Leadtime]],Tableau118[[#This Row],[Leadtime SI2C]])</f>
        <v>#N/A</v>
      </c>
      <c r="AX286" s="74" t="e">
        <f>VLOOKUP(Tableau118[[#This Row],[ID]],'DATA BTO'!B:P,15,FALSE)</f>
        <v>#N/A</v>
      </c>
      <c r="AY286" s="347" t="e">
        <f ca="1">IFERROR(VLOOKUP(Tableau118[[#This Row],[Key(ID-Actif)]],'DATA BTO'!A:N,4,FALSE),VLOOKUP(Tableau118[[#This Row],[ID]],'DATA BTO'!B:N,3,FALSE))</f>
        <v>#N/A</v>
      </c>
      <c r="AZ286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6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6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6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6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6" s="79"/>
    </row>
    <row r="287" spans="2:57">
      <c r="B287" s="370" t="str">
        <f>_xlfn.CONCAT(Tableau118[[#This Row],[Name ILN]],"-",Tableau118[[#This Row],[Name Shipper]],"-",Tableau118[[#This Row],[Name Site]])</f>
        <v>--</v>
      </c>
      <c r="C287" s="80" t="e">
        <f ca="1">_xlfn.CONCAT(Tableau118[[#This Row],[Compte ILN]],"-",Tableau118[[#This Row],[Compte Shipper]],"-",Tableau118[[#This Row],[POL]],"-",Tableau118[[#This Row],[Compte Site]])</f>
        <v>#N/A</v>
      </c>
      <c r="D287" s="80" t="e">
        <f ca="1">_xlfn.CONCAT(Tableau118[[#This Row],[Compte ILN]],"-",Tableau118[[#This Row],[Compte Shipper]],"-",Tableau118[[#This Row],[POL]])</f>
        <v>#N/A</v>
      </c>
      <c r="E287" s="81" t="e">
        <f ca="1">_xlfn.CONCAT(Tableau118[[#This Row],[POL]],"-",Tableau118[[#This Row],[Carrier]],"-",Tableau118[[#This Row],[POD]])</f>
        <v>#N/A</v>
      </c>
      <c r="F287" s="80" t="str">
        <f>_xlfn.CONCAT(Tableau118[[#This Row],[ID]],"-","Next")</f>
        <v>-Next</v>
      </c>
      <c r="G287" s="80" t="e">
        <f ca="1">_xlfn.CONCAT(Tableau118[[#This Row],[POD]],"-",Tableau118[[#This Row],[Code PFI]],"-",Tableau118[[#This Row],[Compte Site]])</f>
        <v>#N/A</v>
      </c>
      <c r="H287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7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7" s="118" t="str">
        <f ca="1">IF(COUNTIF(I:I,Tableau118[[#This Row],[Plant-ILN-shipper-POL-Carrier-POD-PFI]])=1,"Non","Oui")</f>
        <v>Oui</v>
      </c>
      <c r="K287" s="101" t="e">
        <f>VLOOKUP(Tableau118[[#This Row],[Name Site]],Plant_AILN!A:D,4,FALSE)</f>
        <v>#N/A</v>
      </c>
      <c r="L287" s="368"/>
      <c r="M287" s="480"/>
      <c r="N287" s="102"/>
      <c r="O287" s="124"/>
      <c r="P287" s="484"/>
      <c r="Q287" s="79"/>
      <c r="R287" s="79"/>
      <c r="S287" s="79"/>
      <c r="T287" s="79"/>
      <c r="U287" s="79"/>
      <c r="V287" s="79"/>
      <c r="W287" s="79"/>
      <c r="X287" s="100"/>
      <c r="Y287" s="485">
        <f>IFERROR(VLOOKUP(Tableau118[[#This Row],[Name Shipper]],Plant_AILN!L:M,2,FALSE),0)</f>
        <v>0</v>
      </c>
      <c r="Z287" s="369"/>
      <c r="AA287" s="354" t="e">
        <f ca="1">VLOOKUP(Tableau118[[#This Row],[Key(ID-Actif)]],'DATA BTO'!A:N,5,FALSE)</f>
        <v>#N/A</v>
      </c>
      <c r="AB287" s="106" t="e">
        <f ca="1">VLOOKUP(Tableau118[[#This Row],[Key(ID-Actif)]],'DATA BTO'!A:N,6,FALSE)</f>
        <v>#N/A</v>
      </c>
      <c r="AC287" s="79" t="e">
        <f ca="1">VLOOKUP(Tableau118[[#This Row],[Key(ID-Actif)]],'DATA BTO'!A:N,7,FALSE)</f>
        <v>#N/A</v>
      </c>
      <c r="AD287" s="79" t="e">
        <f ca="1">VLOOKUP(Tableau118[[#This Row],[Key(ID-Actif)]],'DATA BTO'!A:N,8,FALSE)</f>
        <v>#N/A</v>
      </c>
      <c r="AE287" s="79" t="e">
        <f ca="1">IF(Tableau118[[#This Row],[First Day to POL]]&lt;=Tableau118[[#This Row],[Day Cut Off]],Tableau118[[#This Row],[Day ETD]],Tableau118[[#This Row],[Day ETD]]+7)</f>
        <v>#N/A</v>
      </c>
      <c r="AF287" s="79" t="e">
        <f ca="1">VLOOKUP(Tableau118[[#This Row],[Key(ID-Actif)]],'DATA BTO'!A:N,9,FALSE)</f>
        <v>#N/A</v>
      </c>
      <c r="AG287" s="106" t="e">
        <f ca="1">VLOOKUP(Tableau118[[#This Row],[Key(ID-Actif)]],'DATA BTO'!A:N,10,FALSE)</f>
        <v>#N/A</v>
      </c>
      <c r="AH287" s="106" t="e">
        <f ca="1">VLOOKUP(Tableau118[[#This Row],[Key(ID-Actif)]],'DATA BTO'!A:N,11,FALSE)</f>
        <v>#N/A</v>
      </c>
      <c r="AI287" s="79" t="e">
        <f ca="1">VLOOKUP(Tableau118[[#This Row],[Key(ID-Actif)]],'DATA BTO'!A:N,12,FALSE)</f>
        <v>#N/A</v>
      </c>
      <c r="AJ287" s="104" t="e">
        <f ca="1">VLOOKUP(Tableau118[[#This Row],[Key(ID-Actif)]],'DATA BTO'!A:N,14,FALSE)</f>
        <v>#N/A</v>
      </c>
      <c r="AK287" s="105" t="e">
        <f ca="1">VLOOKUP(Tableau118[[#This Row],[Key(POD -PFI- Usine)]],'DATA Consignee'!A:F,6,FALSE)</f>
        <v>#N/A</v>
      </c>
      <c r="AL287" s="100"/>
      <c r="AM287" s="486" t="str">
        <f>IF(Tableau118[[#This Row],[Name PFI/CDD]]="","-",VLOOKUP(Tableau118[[#This Row],[Name PFI/CDD]],Plant_AILN!I:J,2,FALSE))</f>
        <v>-</v>
      </c>
      <c r="AN287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7" s="354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7" s="108" t="e">
        <f ca="1">VLOOKUP(Tableau118[[#This Row],[Key(POD -PFI- Usine)]],'DATA Consignee'!A:J,10,FALSE)</f>
        <v>#N/A</v>
      </c>
      <c r="AQ287" s="79" t="e">
        <f ca="1">VLOOKUP(Tableau118[[#This Row],[Key(POD -PFI- Usine)]],'DATA Consignee'!A:N,14,FALSE)</f>
        <v>#N/A</v>
      </c>
      <c r="AR287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7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7" s="79" t="e">
        <f ca="1">Tableau118[[#This Row],[Transit time]]+Tableau118[[#This Row],[Time for security]]+Tableau118[[#This Row],[Time for security2 buffer]]</f>
        <v>#N/A</v>
      </c>
      <c r="AU287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7" s="79" t="e">
        <f ca="1">Tableau118[[#This Row],[Leadtime SI2C]]+Tableau118[[#This Row],[First Receipt Days]]-Tableau118[[#This Row],[Day Customer Order]]+1</f>
        <v>#N/A</v>
      </c>
      <c r="AW287" s="118" t="e">
        <f ca="1">IF(Tableau118[[#This Row],[Name ILN]]&lt;&gt;"SFK Freight Forwarder",Tableau118[[#This Row],[Cust. Leadtime]],Tableau118[[#This Row],[Leadtime SI2C]])</f>
        <v>#N/A</v>
      </c>
      <c r="AX287" s="74" t="e">
        <f>VLOOKUP(Tableau118[[#This Row],[ID]],'DATA BTO'!B:P,15,FALSE)</f>
        <v>#N/A</v>
      </c>
      <c r="AY287" s="347" t="e">
        <f ca="1">IFERROR(VLOOKUP(Tableau118[[#This Row],[Key(ID-Actif)]],'DATA BTO'!A:N,4,FALSE),VLOOKUP(Tableau118[[#This Row],[ID]],'DATA BTO'!B:N,3,FALSE))</f>
        <v>#N/A</v>
      </c>
      <c r="AZ287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7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7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7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7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7" s="79"/>
    </row>
    <row r="288" spans="2:57">
      <c r="B288" s="405" t="str">
        <f>_xlfn.CONCAT(Tableau118[[#This Row],[Name ILN]],"-",Tableau118[[#This Row],[Name Shipper]],"-",Tableau118[[#This Row],[Name Site]])</f>
        <v>--</v>
      </c>
      <c r="C288" s="64" t="e">
        <f ca="1">_xlfn.CONCAT(Tableau118[[#This Row],[Compte ILN]],"-",Tableau118[[#This Row],[Compte Shipper]],"-",Tableau118[[#This Row],[POL]],"-",Tableau118[[#This Row],[Compte Site]])</f>
        <v>#N/A</v>
      </c>
      <c r="D288" s="64" t="e">
        <f ca="1">_xlfn.CONCAT(Tableau118[[#This Row],[Compte ILN]],"-",Tableau118[[#This Row],[Compte Shipper]],"-",Tableau118[[#This Row],[POL]])</f>
        <v>#N/A</v>
      </c>
      <c r="E288" s="128" t="e">
        <f ca="1">_xlfn.CONCAT(Tableau118[[#This Row],[POL]],"-",Tableau118[[#This Row],[Carrier]],"-",Tableau118[[#This Row],[POD]])</f>
        <v>#N/A</v>
      </c>
      <c r="F288" s="64" t="str">
        <f>_xlfn.CONCAT(Tableau118[[#This Row],[ID]],"-","Next")</f>
        <v>-Next</v>
      </c>
      <c r="G288" s="64" t="e">
        <f ca="1">_xlfn.CONCAT(Tableau118[[#This Row],[POD]],"-",Tableau118[[#This Row],[Code PFI]],"-",Tableau118[[#This Row],[Compte Site]])</f>
        <v>#N/A</v>
      </c>
      <c r="H28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8" s="117" t="str">
        <f ca="1">IF(COUNTIF(I:I,Tableau118[[#This Row],[Plant-ILN-shipper-POL-Carrier-POD-PFI]])=1,"Non","Oui")</f>
        <v>Oui</v>
      </c>
      <c r="K288" s="126" t="e">
        <f>VLOOKUP(Tableau118[[#This Row],[Name Site]],Plant_AILN!A:D,4,FALSE)</f>
        <v>#N/A</v>
      </c>
      <c r="L288" s="363"/>
      <c r="M288" s="480"/>
      <c r="N288" s="55"/>
      <c r="O288" s="122"/>
      <c r="P288" s="481"/>
      <c r="Q288" s="50"/>
      <c r="R288" s="50"/>
      <c r="S288" s="50"/>
      <c r="T288" s="50"/>
      <c r="U288" s="50"/>
      <c r="V288" s="50"/>
      <c r="W288" s="50"/>
      <c r="X288" s="100"/>
      <c r="Y288" s="489">
        <f>IFERROR(VLOOKUP(Tableau118[[#This Row],[Name Shipper]],Plant_AILN!L:M,2,FALSE),0)</f>
        <v>0</v>
      </c>
      <c r="Z288" s="358"/>
      <c r="AA288" s="353" t="e">
        <f ca="1">VLOOKUP(Tableau118[[#This Row],[Key(ID-Actif)]],'DATA BTO'!A:N,5,FALSE)</f>
        <v>#N/A</v>
      </c>
      <c r="AB288" s="3" t="e">
        <f ca="1">VLOOKUP(Tableau118[[#This Row],[Key(ID-Actif)]],'DATA BTO'!A:N,6,FALSE)</f>
        <v>#N/A</v>
      </c>
      <c r="AC288" s="50" t="e">
        <f ca="1">VLOOKUP(Tableau118[[#This Row],[Key(ID-Actif)]],'DATA BTO'!A:N,7,FALSE)</f>
        <v>#N/A</v>
      </c>
      <c r="AD288" s="50" t="e">
        <f ca="1">VLOOKUP(Tableau118[[#This Row],[Key(ID-Actif)]],'DATA BTO'!A:N,8,FALSE)</f>
        <v>#N/A</v>
      </c>
      <c r="AE288" s="79" t="e">
        <f ca="1">IF(Tableau118[[#This Row],[First Day to POL]]&lt;=Tableau118[[#This Row],[Day Cut Off]],Tableau118[[#This Row],[Day ETD]],Tableau118[[#This Row],[Day ETD]]+7)</f>
        <v>#N/A</v>
      </c>
      <c r="AF288" s="50" t="e">
        <f ca="1">VLOOKUP(Tableau118[[#This Row],[Key(ID-Actif)]],'DATA BTO'!A:N,9,FALSE)</f>
        <v>#N/A</v>
      </c>
      <c r="AG288" s="3" t="e">
        <f ca="1">VLOOKUP(Tableau118[[#This Row],[Key(ID-Actif)]],'DATA BTO'!A:N,10,FALSE)</f>
        <v>#N/A</v>
      </c>
      <c r="AH288" s="3" t="e">
        <f ca="1">VLOOKUP(Tableau118[[#This Row],[Key(ID-Actif)]],'DATA BTO'!A:N,11,FALSE)</f>
        <v>#N/A</v>
      </c>
      <c r="AI288" s="50" t="e">
        <f ca="1">VLOOKUP(Tableau118[[#This Row],[Key(ID-Actif)]],'DATA BTO'!A:N,12,FALSE)</f>
        <v>#N/A</v>
      </c>
      <c r="AJ288" s="53" t="e">
        <f ca="1">VLOOKUP(Tableau118[[#This Row],[Key(ID-Actif)]],'DATA BTO'!A:N,14,FALSE)</f>
        <v>#N/A</v>
      </c>
      <c r="AK288" s="54" t="e">
        <f ca="1">VLOOKUP(Tableau118[[#This Row],[Key(POD -PFI- Usine)]],'DATA Consignee'!A:F,6,FALSE)</f>
        <v>#N/A</v>
      </c>
      <c r="AL288" s="283"/>
      <c r="AM288" s="490" t="str">
        <f>IF(Tableau118[[#This Row],[Name PFI/CDD]]="","-",VLOOKUP(Tableau118[[#This Row],[Name PFI/CDD]],Plant_AILN!I:J,2,FALSE))</f>
        <v>-</v>
      </c>
      <c r="AN28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8" s="2" t="e">
        <f ca="1">VLOOKUP(Tableau118[[#This Row],[Key(POD -PFI- Usine)]],'DATA Consignee'!A:J,10,FALSE)</f>
        <v>#N/A</v>
      </c>
      <c r="AQ288" s="50" t="e">
        <f ca="1">VLOOKUP(Tableau118[[#This Row],[Key(POD -PFI- Usine)]],'DATA Consignee'!A:N,14,FALSE)</f>
        <v>#N/A</v>
      </c>
      <c r="AR28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8" s="50" t="e">
        <f ca="1">Tableau118[[#This Row],[Transit time]]+Tableau118[[#This Row],[Time for security]]+Tableau118[[#This Row],[Time for security2 buffer]]</f>
        <v>#N/A</v>
      </c>
      <c r="AU28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8" s="50" t="e">
        <f ca="1">Tableau118[[#This Row],[Leadtime SI2C]]+Tableau118[[#This Row],[First Receipt Days]]-Tableau118[[#This Row],[Day Customer Order]]+1</f>
        <v>#N/A</v>
      </c>
      <c r="AW288" s="117" t="e">
        <f ca="1">IF(Tableau118[[#This Row],[Name ILN]]&lt;&gt;"SFK Freight Forwarder",Tableau118[[#This Row],[Cust. Leadtime]],Tableau118[[#This Row],[Leadtime SI2C]])</f>
        <v>#N/A</v>
      </c>
      <c r="AX288" s="57" t="e">
        <f>VLOOKUP(Tableau118[[#This Row],[ID]],'DATA BTO'!B:P,15,FALSE)</f>
        <v>#N/A</v>
      </c>
      <c r="AY288" s="328" t="e">
        <f ca="1">IFERROR(VLOOKUP(Tableau118[[#This Row],[Key(ID-Actif)]],'DATA BTO'!A:N,4,FALSE),VLOOKUP(Tableau118[[#This Row],[ID]],'DATA BTO'!B:N,3,FALSE))</f>
        <v>#N/A</v>
      </c>
      <c r="AZ28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8" s="50"/>
    </row>
    <row r="289" spans="2:57">
      <c r="B289" s="405" t="str">
        <f>_xlfn.CONCAT(Tableau118[[#This Row],[Name ILN]],"-",Tableau118[[#This Row],[Name Shipper]],"-",Tableau118[[#This Row],[Name Site]])</f>
        <v>--</v>
      </c>
      <c r="C289" s="64" t="e">
        <f ca="1">_xlfn.CONCAT(Tableau118[[#This Row],[Compte ILN]],"-",Tableau118[[#This Row],[Compte Shipper]],"-",Tableau118[[#This Row],[POL]],"-",Tableau118[[#This Row],[Compte Site]])</f>
        <v>#N/A</v>
      </c>
      <c r="D289" s="64" t="e">
        <f ca="1">_xlfn.CONCAT(Tableau118[[#This Row],[Compte ILN]],"-",Tableau118[[#This Row],[Compte Shipper]],"-",Tableau118[[#This Row],[POL]])</f>
        <v>#N/A</v>
      </c>
      <c r="E289" s="128" t="e">
        <f ca="1">_xlfn.CONCAT(Tableau118[[#This Row],[POL]],"-",Tableau118[[#This Row],[Carrier]],"-",Tableau118[[#This Row],[POD]])</f>
        <v>#N/A</v>
      </c>
      <c r="F289" s="64" t="str">
        <f>_xlfn.CONCAT(Tableau118[[#This Row],[ID]],"-","Next")</f>
        <v>-Next</v>
      </c>
      <c r="G289" s="64" t="e">
        <f ca="1">_xlfn.CONCAT(Tableau118[[#This Row],[POD]],"-",Tableau118[[#This Row],[Code PFI]],"-",Tableau118[[#This Row],[Compte Site]])</f>
        <v>#N/A</v>
      </c>
      <c r="H28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8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89" s="117" t="str">
        <f ca="1">IF(COUNTIF(I:I,Tableau118[[#This Row],[Plant-ILN-shipper-POL-Carrier-POD-PFI]])=1,"Non","Oui")</f>
        <v>Oui</v>
      </c>
      <c r="K289" s="126" t="e">
        <f>VLOOKUP(Tableau118[[#This Row],[Name Site]],Plant_AILN!A:D,4,FALSE)</f>
        <v>#N/A</v>
      </c>
      <c r="L289" s="363"/>
      <c r="M289" s="480"/>
      <c r="N289" s="55"/>
      <c r="O289" s="122"/>
      <c r="P289" s="481"/>
      <c r="Q289" s="50"/>
      <c r="R289" s="50"/>
      <c r="S289" s="50"/>
      <c r="T289" s="50"/>
      <c r="U289" s="50"/>
      <c r="V289" s="50"/>
      <c r="W289" s="50"/>
      <c r="X289" s="283"/>
      <c r="Y289" s="489">
        <f>IFERROR(VLOOKUP(Tableau118[[#This Row],[Name Shipper]],Plant_AILN!L:M,2,FALSE),0)</f>
        <v>0</v>
      </c>
      <c r="Z289" s="358"/>
      <c r="AA289" s="353" t="e">
        <f ca="1">VLOOKUP(Tableau118[[#This Row],[Key(ID-Actif)]],'DATA BTO'!A:N,5,FALSE)</f>
        <v>#N/A</v>
      </c>
      <c r="AB289" s="3" t="e">
        <f ca="1">VLOOKUP(Tableau118[[#This Row],[Key(ID-Actif)]],'DATA BTO'!A:N,6,FALSE)</f>
        <v>#N/A</v>
      </c>
      <c r="AC289" s="50" t="e">
        <f ca="1">VLOOKUP(Tableau118[[#This Row],[Key(ID-Actif)]],'DATA BTO'!A:N,7,FALSE)</f>
        <v>#N/A</v>
      </c>
      <c r="AD289" s="50" t="e">
        <f ca="1">VLOOKUP(Tableau118[[#This Row],[Key(ID-Actif)]],'DATA BTO'!A:N,8,FALSE)</f>
        <v>#N/A</v>
      </c>
      <c r="AE289" s="79" t="e">
        <f ca="1">IF(Tableau118[[#This Row],[First Day to POL]]&lt;=Tableau118[[#This Row],[Day Cut Off]],Tableau118[[#This Row],[Day ETD]],Tableau118[[#This Row],[Day ETD]]+7)</f>
        <v>#N/A</v>
      </c>
      <c r="AF289" s="50" t="e">
        <f ca="1">VLOOKUP(Tableau118[[#This Row],[Key(ID-Actif)]],'DATA BTO'!A:N,9,FALSE)</f>
        <v>#N/A</v>
      </c>
      <c r="AG289" s="3" t="e">
        <f ca="1">VLOOKUP(Tableau118[[#This Row],[Key(ID-Actif)]],'DATA BTO'!A:N,10,FALSE)</f>
        <v>#N/A</v>
      </c>
      <c r="AH289" s="3" t="e">
        <f ca="1">VLOOKUP(Tableau118[[#This Row],[Key(ID-Actif)]],'DATA BTO'!A:N,11,FALSE)</f>
        <v>#N/A</v>
      </c>
      <c r="AI289" s="50" t="e">
        <f ca="1">VLOOKUP(Tableau118[[#This Row],[Key(ID-Actif)]],'DATA BTO'!A:N,12,FALSE)</f>
        <v>#N/A</v>
      </c>
      <c r="AJ289" s="53" t="e">
        <f ca="1">VLOOKUP(Tableau118[[#This Row],[Key(ID-Actif)]],'DATA BTO'!A:N,14,FALSE)</f>
        <v>#N/A</v>
      </c>
      <c r="AK289" s="54" t="e">
        <f ca="1">VLOOKUP(Tableau118[[#This Row],[Key(POD -PFI- Usine)]],'DATA Consignee'!A:F,6,FALSE)</f>
        <v>#N/A</v>
      </c>
      <c r="AL289" s="283"/>
      <c r="AM289" s="490" t="str">
        <f>IF(Tableau118[[#This Row],[Name PFI/CDD]]="","-",VLOOKUP(Tableau118[[#This Row],[Name PFI/CDD]],Plant_AILN!I:J,2,FALSE))</f>
        <v>-</v>
      </c>
      <c r="AN28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8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89" s="2" t="e">
        <f ca="1">VLOOKUP(Tableau118[[#This Row],[Key(POD -PFI- Usine)]],'DATA Consignee'!A:J,10,FALSE)</f>
        <v>#N/A</v>
      </c>
      <c r="AQ289" s="50" t="e">
        <f ca="1">VLOOKUP(Tableau118[[#This Row],[Key(POD -PFI- Usine)]],'DATA Consignee'!A:N,14,FALSE)</f>
        <v>#N/A</v>
      </c>
      <c r="AR28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8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89" s="50">
        <v>34</v>
      </c>
      <c r="AU28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89" s="50" t="e">
        <f ca="1">Tableau118[[#This Row],[Leadtime SI2C]]+Tableau118[[#This Row],[First Receipt Days]]-Tableau118[[#This Row],[Day Customer Order]]+1</f>
        <v>#N/A</v>
      </c>
      <c r="AW289" s="117">
        <f>90/7</f>
        <v>12.857142857142858</v>
      </c>
      <c r="AX289" s="57" t="e">
        <f>VLOOKUP(Tableau118[[#This Row],[ID]],'DATA BTO'!B:P,15,FALSE)</f>
        <v>#N/A</v>
      </c>
      <c r="AY289" s="328" t="e">
        <f ca="1">IFERROR(VLOOKUP(Tableau118[[#This Row],[Key(ID-Actif)]],'DATA BTO'!A:N,4,FALSE),VLOOKUP(Tableau118[[#This Row],[ID]],'DATA BTO'!B:N,3,FALSE))</f>
        <v>#N/A</v>
      </c>
      <c r="AZ28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8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8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8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8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89" s="50"/>
    </row>
    <row r="290" spans="2:57">
      <c r="B290" s="405" t="str">
        <f>_xlfn.CONCAT(Tableau118[[#This Row],[Name ILN]],"-",Tableau118[[#This Row],[Name Shipper]],"-",Tableau118[[#This Row],[Name Site]])</f>
        <v>--</v>
      </c>
      <c r="C290" s="64" t="e">
        <f ca="1">_xlfn.CONCAT(Tableau118[[#This Row],[Compte ILN]],"-",Tableau118[[#This Row],[Compte Shipper]],"-",Tableau118[[#This Row],[POL]],"-",Tableau118[[#This Row],[Compte Site]])</f>
        <v>#N/A</v>
      </c>
      <c r="D290" s="64" t="e">
        <f ca="1">_xlfn.CONCAT(Tableau118[[#This Row],[Compte ILN]],"-",Tableau118[[#This Row],[Compte Shipper]],"-",Tableau118[[#This Row],[POL]])</f>
        <v>#N/A</v>
      </c>
      <c r="E290" s="128" t="e">
        <f ca="1">_xlfn.CONCAT(Tableau118[[#This Row],[POL]],"-",Tableau118[[#This Row],[Carrier]],"-",Tableau118[[#This Row],[POD]])</f>
        <v>#N/A</v>
      </c>
      <c r="F290" s="64" t="str">
        <f>_xlfn.CONCAT(Tableau118[[#This Row],[ID]],"-","Next")</f>
        <v>-Next</v>
      </c>
      <c r="G290" s="64" t="e">
        <f ca="1">_xlfn.CONCAT(Tableau118[[#This Row],[POD]],"-",Tableau118[[#This Row],[Code PFI]],"-",Tableau118[[#This Row],[Compte Site]])</f>
        <v>#N/A</v>
      </c>
      <c r="H29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0" s="117" t="str">
        <f ca="1">IF(COUNTIF(I:I,Tableau118[[#This Row],[Plant-ILN-shipper-POL-Carrier-POD-PFI]])=1,"Non","Oui")</f>
        <v>Oui</v>
      </c>
      <c r="K290" s="126" t="e">
        <f>VLOOKUP(Tableau118[[#This Row],[Name Site]],Plant_AILN!A:D,4,FALSE)</f>
        <v>#N/A</v>
      </c>
      <c r="L290" s="363"/>
      <c r="M290" s="480"/>
      <c r="N290" s="55"/>
      <c r="O290" s="122"/>
      <c r="P290" s="481"/>
      <c r="Q290" s="50"/>
      <c r="R290" s="50"/>
      <c r="S290" s="50"/>
      <c r="T290" s="50"/>
      <c r="U290" s="50"/>
      <c r="V290" s="50"/>
      <c r="W290" s="50"/>
      <c r="X290" s="283"/>
      <c r="Y290" s="489">
        <f>IFERROR(VLOOKUP(Tableau118[[#This Row],[Name Shipper]],Plant_AILN!L:M,2,FALSE),0)</f>
        <v>0</v>
      </c>
      <c r="Z290" s="358"/>
      <c r="AA290" s="353" t="e">
        <f ca="1">VLOOKUP(Tableau118[[#This Row],[Key(ID-Actif)]],'DATA BTO'!A:N,5,FALSE)</f>
        <v>#N/A</v>
      </c>
      <c r="AB290" s="3" t="e">
        <f ca="1">VLOOKUP(Tableau118[[#This Row],[Key(ID-Actif)]],'DATA BTO'!A:N,6,FALSE)</f>
        <v>#N/A</v>
      </c>
      <c r="AC290" s="50" t="e">
        <f ca="1">VLOOKUP(Tableau118[[#This Row],[Key(ID-Actif)]],'DATA BTO'!A:N,7,FALSE)</f>
        <v>#N/A</v>
      </c>
      <c r="AD290" s="50" t="e">
        <f ca="1">VLOOKUP(Tableau118[[#This Row],[Key(ID-Actif)]],'DATA BTO'!A:N,8,FALSE)</f>
        <v>#N/A</v>
      </c>
      <c r="AE290" s="406" t="e">
        <f ca="1">IF(Tableau118[[#This Row],[First Day to POL]]&lt;=Tableau118[[#This Row],[Day Cut Off]],Tableau118[[#This Row],[Day ETD]],Tableau118[[#This Row],[Day ETD]]+7)</f>
        <v>#N/A</v>
      </c>
      <c r="AF290" s="50" t="e">
        <f ca="1">VLOOKUP(Tableau118[[#This Row],[Key(ID-Actif)]],'DATA BTO'!A:N,9,FALSE)</f>
        <v>#N/A</v>
      </c>
      <c r="AG290" s="3" t="e">
        <f ca="1">VLOOKUP(Tableau118[[#This Row],[Key(ID-Actif)]],'DATA BTO'!A:N,10,FALSE)</f>
        <v>#N/A</v>
      </c>
      <c r="AH290" s="3" t="e">
        <f ca="1">VLOOKUP(Tableau118[[#This Row],[Key(ID-Actif)]],'DATA BTO'!A:N,11,FALSE)</f>
        <v>#N/A</v>
      </c>
      <c r="AI290" s="50" t="e">
        <f ca="1">VLOOKUP(Tableau118[[#This Row],[Key(ID-Actif)]],'DATA BTO'!A:N,12,FALSE)</f>
        <v>#N/A</v>
      </c>
      <c r="AJ290" s="53" t="e">
        <f ca="1">VLOOKUP(Tableau118[[#This Row],[Key(ID-Actif)]],'DATA BTO'!A:N,14,FALSE)</f>
        <v>#N/A</v>
      </c>
      <c r="AK290" s="54" t="e">
        <f ca="1">VLOOKUP(Tableau118[[#This Row],[Key(POD -PFI- Usine)]],'DATA Consignee'!A:F,6,FALSE)</f>
        <v>#N/A</v>
      </c>
      <c r="AL290" s="283"/>
      <c r="AM290" s="490" t="str">
        <f>IF(Tableau118[[#This Row],[Name PFI/CDD]]="","-",VLOOKUP(Tableau118[[#This Row],[Name PFI/CDD]],Plant_AILN!I:J,2,FALSE))</f>
        <v>-</v>
      </c>
      <c r="AN29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0" s="2" t="e">
        <f ca="1">VLOOKUP(Tableau118[[#This Row],[Key(POD -PFI- Usine)]],'DATA Consignee'!A:J,10,FALSE)</f>
        <v>#N/A</v>
      </c>
      <c r="AQ290" s="50" t="e">
        <f ca="1">VLOOKUP(Tableau118[[#This Row],[Key(POD -PFI- Usine)]],'DATA Consignee'!A:N,14,FALSE)</f>
        <v>#N/A</v>
      </c>
      <c r="AR29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0" s="50" t="e">
        <f ca="1">Tableau118[[#This Row],[Transit time]]+Tableau118[[#This Row],[Time for security]]+Tableau118[[#This Row],[Time for security2 buffer]]</f>
        <v>#N/A</v>
      </c>
      <c r="AU29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0" s="50" t="e">
        <f ca="1">Tableau118[[#This Row],[Leadtime SI2C]]+Tableau118[[#This Row],[First Receipt Days]]-Tableau118[[#This Row],[Day Customer Order]]+1</f>
        <v>#N/A</v>
      </c>
      <c r="AW290" s="117" t="e">
        <f ca="1">IF(Tableau118[[#This Row],[Name ILN]]&lt;&gt;"SFK Freight Forwarder",Tableau118[[#This Row],[Cust. Leadtime]],Tableau118[[#This Row],[Leadtime SI2C]])</f>
        <v>#N/A</v>
      </c>
      <c r="AX290" s="57" t="e">
        <f>VLOOKUP(Tableau118[[#This Row],[ID]],'DATA BTO'!B:P,15,FALSE)</f>
        <v>#N/A</v>
      </c>
      <c r="AY290" s="328" t="e">
        <f ca="1">IFERROR(VLOOKUP(Tableau118[[#This Row],[Key(ID-Actif)]],'DATA BTO'!A:N,4,FALSE),VLOOKUP(Tableau118[[#This Row],[ID]],'DATA BTO'!B:N,3,FALSE))</f>
        <v>#N/A</v>
      </c>
      <c r="AZ29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0" s="50"/>
    </row>
    <row r="291" spans="2:57">
      <c r="B291" s="405" t="str">
        <f>_xlfn.CONCAT(Tableau118[[#This Row],[Name ILN]],"-",Tableau118[[#This Row],[Name Shipper]],"-",Tableau118[[#This Row],[Name Site]])</f>
        <v>--</v>
      </c>
      <c r="C291" s="64" t="e">
        <f ca="1">_xlfn.CONCAT(Tableau118[[#This Row],[Compte ILN]],"-",Tableau118[[#This Row],[Compte Shipper]],"-",Tableau118[[#This Row],[POL]],"-",Tableau118[[#This Row],[Compte Site]])</f>
        <v>#N/A</v>
      </c>
      <c r="D291" s="64" t="e">
        <f ca="1">_xlfn.CONCAT(Tableau118[[#This Row],[Compte ILN]],"-",Tableau118[[#This Row],[Compte Shipper]],"-",Tableau118[[#This Row],[POL]])</f>
        <v>#N/A</v>
      </c>
      <c r="E291" s="128" t="e">
        <f ca="1">_xlfn.CONCAT(Tableau118[[#This Row],[POL]],"-",Tableau118[[#This Row],[Carrier]],"-",Tableau118[[#This Row],[POD]])</f>
        <v>#N/A</v>
      </c>
      <c r="F291" s="64" t="str">
        <f>_xlfn.CONCAT(Tableau118[[#This Row],[ID]],"-","Next")</f>
        <v>-Next</v>
      </c>
      <c r="G291" s="64" t="e">
        <f ca="1">_xlfn.CONCAT(Tableau118[[#This Row],[POD]],"-",Tableau118[[#This Row],[Code PFI]],"-",Tableau118[[#This Row],[Compte Site]])</f>
        <v>#N/A</v>
      </c>
      <c r="H29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1" s="117" t="str">
        <f ca="1">IF(COUNTIF(I:I,Tableau118[[#This Row],[Plant-ILN-shipper-POL-Carrier-POD-PFI]])=1,"Non","Oui")</f>
        <v>Oui</v>
      </c>
      <c r="K291" s="126" t="e">
        <f>VLOOKUP(Tableau118[[#This Row],[Name Site]],Plant_AILN!A:D,4,FALSE)</f>
        <v>#N/A</v>
      </c>
      <c r="L291" s="363"/>
      <c r="M291" s="480"/>
      <c r="N291" s="55"/>
      <c r="O291" s="122"/>
      <c r="P291" s="481"/>
      <c r="Q291" s="50"/>
      <c r="R291" s="50"/>
      <c r="S291" s="50"/>
      <c r="T291" s="50"/>
      <c r="U291" s="50"/>
      <c r="V291" s="50"/>
      <c r="W291" s="50"/>
      <c r="X291" s="283"/>
      <c r="Y291" s="489">
        <f>IFERROR(VLOOKUP(Tableau118[[#This Row],[Name Shipper]],Plant_AILN!L:M,2,FALSE),0)</f>
        <v>0</v>
      </c>
      <c r="Z291" s="358"/>
      <c r="AA291" s="353" t="e">
        <f ca="1">VLOOKUP(Tableau118[[#This Row],[Key(ID-Actif)]],'DATA BTO'!A:N,5,FALSE)</f>
        <v>#N/A</v>
      </c>
      <c r="AB291" s="3" t="e">
        <f ca="1">VLOOKUP(Tableau118[[#This Row],[Key(ID-Actif)]],'DATA BTO'!A:N,6,FALSE)</f>
        <v>#N/A</v>
      </c>
      <c r="AC291" s="50" t="e">
        <f ca="1">VLOOKUP(Tableau118[[#This Row],[Key(ID-Actif)]],'DATA BTO'!A:N,7,FALSE)</f>
        <v>#N/A</v>
      </c>
      <c r="AD291" s="50" t="e">
        <f ca="1">VLOOKUP(Tableau118[[#This Row],[Key(ID-Actif)]],'DATA BTO'!A:N,8,FALSE)</f>
        <v>#N/A</v>
      </c>
      <c r="AE291" s="406" t="e">
        <f ca="1">IF(Tableau118[[#This Row],[First Day to POL]]&lt;=Tableau118[[#This Row],[Day Cut Off]],Tableau118[[#This Row],[Day ETD]],Tableau118[[#This Row],[Day ETD]]+7)</f>
        <v>#N/A</v>
      </c>
      <c r="AF291" s="50" t="e">
        <f ca="1">VLOOKUP(Tableau118[[#This Row],[Key(ID-Actif)]],'DATA BTO'!A:N,9,FALSE)</f>
        <v>#N/A</v>
      </c>
      <c r="AG291" s="3" t="e">
        <f ca="1">VLOOKUP(Tableau118[[#This Row],[Key(ID-Actif)]],'DATA BTO'!A:N,10,FALSE)</f>
        <v>#N/A</v>
      </c>
      <c r="AH291" s="3" t="e">
        <f ca="1">VLOOKUP(Tableau118[[#This Row],[Key(ID-Actif)]],'DATA BTO'!A:N,11,FALSE)</f>
        <v>#N/A</v>
      </c>
      <c r="AI291" s="50" t="e">
        <f ca="1">VLOOKUP(Tableau118[[#This Row],[Key(ID-Actif)]],'DATA BTO'!A:N,12,FALSE)</f>
        <v>#N/A</v>
      </c>
      <c r="AJ291" s="53" t="e">
        <f ca="1">VLOOKUP(Tableau118[[#This Row],[Key(ID-Actif)]],'DATA BTO'!A:N,14,FALSE)</f>
        <v>#N/A</v>
      </c>
      <c r="AK291" s="54" t="e">
        <f ca="1">VLOOKUP(Tableau118[[#This Row],[Key(POD -PFI- Usine)]],'DATA Consignee'!A:F,6,FALSE)</f>
        <v>#N/A</v>
      </c>
      <c r="AL291" s="283"/>
      <c r="AM291" s="490" t="str">
        <f>IF(Tableau118[[#This Row],[Name PFI/CDD]]="","-",VLOOKUP(Tableau118[[#This Row],[Name PFI/CDD]],Plant_AILN!I:J,2,FALSE))</f>
        <v>-</v>
      </c>
      <c r="AN29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1" s="2" t="e">
        <f ca="1">VLOOKUP(Tableau118[[#This Row],[Key(POD -PFI- Usine)]],'DATA Consignee'!A:J,10,FALSE)</f>
        <v>#N/A</v>
      </c>
      <c r="AQ291" s="50" t="e">
        <f ca="1">VLOOKUP(Tableau118[[#This Row],[Key(POD -PFI- Usine)]],'DATA Consignee'!A:N,14,FALSE)</f>
        <v>#N/A</v>
      </c>
      <c r="AR29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1" s="50" t="e">
        <f ca="1">Tableau118[[#This Row],[Transit time]]+Tableau118[[#This Row],[Time for security]]+Tableau118[[#This Row],[Time for security2 buffer]]</f>
        <v>#N/A</v>
      </c>
      <c r="AU29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1" s="50" t="e">
        <f ca="1">Tableau118[[#This Row],[Leadtime SI2C]]+Tableau118[[#This Row],[First Receipt Days]]-Tableau118[[#This Row],[Day Customer Order]]+1</f>
        <v>#N/A</v>
      </c>
      <c r="AW291" s="117" t="e">
        <f ca="1">IF(Tableau118[[#This Row],[Name ILN]]&lt;&gt;"SFK Freight Forwarder",Tableau118[[#This Row],[Cust. Leadtime]],Tableau118[[#This Row],[Leadtime SI2C]])</f>
        <v>#N/A</v>
      </c>
      <c r="AX291" s="57" t="e">
        <f>VLOOKUP(Tableau118[[#This Row],[ID]],'DATA BTO'!B:P,15,FALSE)</f>
        <v>#N/A</v>
      </c>
      <c r="AY291" s="328" t="e">
        <f ca="1">IFERROR(VLOOKUP(Tableau118[[#This Row],[Key(ID-Actif)]],'DATA BTO'!A:N,4,FALSE),VLOOKUP(Tableau118[[#This Row],[ID]],'DATA BTO'!B:N,3,FALSE))</f>
        <v>#N/A</v>
      </c>
      <c r="AZ29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1" s="50"/>
    </row>
    <row r="292" spans="2:57">
      <c r="B292" s="405" t="str">
        <f>_xlfn.CONCAT(Tableau118[[#This Row],[Name ILN]],"-",Tableau118[[#This Row],[Name Shipper]],"-",Tableau118[[#This Row],[Name Site]])</f>
        <v>--</v>
      </c>
      <c r="C292" s="64" t="e">
        <f ca="1">_xlfn.CONCAT(Tableau118[[#This Row],[Compte ILN]],"-",Tableau118[[#This Row],[Compte Shipper]],"-",Tableau118[[#This Row],[POL]],"-",Tableau118[[#This Row],[Compte Site]])</f>
        <v>#N/A</v>
      </c>
      <c r="D292" s="64" t="e">
        <f ca="1">_xlfn.CONCAT(Tableau118[[#This Row],[Compte ILN]],"-",Tableau118[[#This Row],[Compte Shipper]],"-",Tableau118[[#This Row],[POL]])</f>
        <v>#N/A</v>
      </c>
      <c r="E292" s="128" t="e">
        <f ca="1">_xlfn.CONCAT(Tableau118[[#This Row],[POL]],"-",Tableau118[[#This Row],[Carrier]],"-",Tableau118[[#This Row],[POD]])</f>
        <v>#N/A</v>
      </c>
      <c r="F292" s="64" t="str">
        <f>_xlfn.CONCAT(Tableau118[[#This Row],[ID]],"-","Next")</f>
        <v>-Next</v>
      </c>
      <c r="G292" s="64" t="e">
        <f ca="1">_xlfn.CONCAT(Tableau118[[#This Row],[POD]],"-",Tableau118[[#This Row],[Code PFI]],"-",Tableau118[[#This Row],[Compte Site]])</f>
        <v>#N/A</v>
      </c>
      <c r="H29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2" s="117" t="str">
        <f ca="1">IF(COUNTIF(I:I,Tableau118[[#This Row],[Plant-ILN-shipper-POL-Carrier-POD-PFI]])=1,"Non","Oui")</f>
        <v>Oui</v>
      </c>
      <c r="K292" s="126" t="e">
        <f>VLOOKUP(Tableau118[[#This Row],[Name Site]],Plant_AILN!A:D,4,FALSE)</f>
        <v>#N/A</v>
      </c>
      <c r="L292" s="363"/>
      <c r="M292" s="481"/>
      <c r="N292" s="55"/>
      <c r="O292" s="122"/>
      <c r="P292" s="481"/>
      <c r="Q292" s="50"/>
      <c r="R292" s="50"/>
      <c r="S292" s="50"/>
      <c r="T292" s="50"/>
      <c r="U292" s="50"/>
      <c r="V292" s="50"/>
      <c r="W292" s="50"/>
      <c r="X292" s="283"/>
      <c r="Y292" s="489">
        <f>IFERROR(VLOOKUP(Tableau118[[#This Row],[Name Shipper]],Plant_AILN!L:M,2,FALSE),0)</f>
        <v>0</v>
      </c>
      <c r="Z292" s="358"/>
      <c r="AA292" s="353" t="e">
        <f ca="1">VLOOKUP(Tableau118[[#This Row],[Key(ID-Actif)]],'DATA BTO'!A:N,5,FALSE)</f>
        <v>#N/A</v>
      </c>
      <c r="AB292" s="3" t="e">
        <f ca="1">VLOOKUP(Tableau118[[#This Row],[Key(ID-Actif)]],'DATA BTO'!A:N,6,FALSE)</f>
        <v>#N/A</v>
      </c>
      <c r="AC292" s="50" t="e">
        <f ca="1">VLOOKUP(Tableau118[[#This Row],[Key(ID-Actif)]],'DATA BTO'!A:N,7,FALSE)</f>
        <v>#N/A</v>
      </c>
      <c r="AD292" s="50" t="e">
        <f ca="1">VLOOKUP(Tableau118[[#This Row],[Key(ID-Actif)]],'DATA BTO'!A:N,8,FALSE)</f>
        <v>#N/A</v>
      </c>
      <c r="AE292" s="406" t="e">
        <f ca="1">IF(Tableau118[[#This Row],[First Day to POL]]&lt;=Tableau118[[#This Row],[Day Cut Off]],Tableau118[[#This Row],[Day ETD]],Tableau118[[#This Row],[Day ETD]]+7)</f>
        <v>#N/A</v>
      </c>
      <c r="AF292" s="50" t="e">
        <f ca="1">VLOOKUP(Tableau118[[#This Row],[Key(ID-Actif)]],'DATA BTO'!A:N,9,FALSE)</f>
        <v>#N/A</v>
      </c>
      <c r="AG292" s="3" t="e">
        <f ca="1">VLOOKUP(Tableau118[[#This Row],[Key(ID-Actif)]],'DATA BTO'!A:N,10,FALSE)</f>
        <v>#N/A</v>
      </c>
      <c r="AH292" s="3" t="e">
        <f ca="1">VLOOKUP(Tableau118[[#This Row],[Key(ID-Actif)]],'DATA BTO'!A:N,11,FALSE)</f>
        <v>#N/A</v>
      </c>
      <c r="AI292" s="50" t="e">
        <f ca="1">VLOOKUP(Tableau118[[#This Row],[Key(ID-Actif)]],'DATA BTO'!A:N,12,FALSE)</f>
        <v>#N/A</v>
      </c>
      <c r="AJ292" s="53" t="e">
        <f ca="1">VLOOKUP(Tableau118[[#This Row],[Key(ID-Actif)]],'DATA BTO'!A:N,14,FALSE)</f>
        <v>#N/A</v>
      </c>
      <c r="AK292" s="54" t="e">
        <f ca="1">VLOOKUP(Tableau118[[#This Row],[Key(POD -PFI- Usine)]],'DATA Consignee'!A:F,6,FALSE)</f>
        <v>#N/A</v>
      </c>
      <c r="AL292" s="283"/>
      <c r="AM292" s="490" t="str">
        <f>IF(Tableau118[[#This Row],[Name PFI/CDD]]="","-",VLOOKUP(Tableau118[[#This Row],[Name PFI/CDD]],Plant_AILN!I:J,2,FALSE))</f>
        <v>-</v>
      </c>
      <c r="AN29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2" s="2" t="e">
        <f ca="1">VLOOKUP(Tableau118[[#This Row],[Key(POD -PFI- Usine)]],'DATA Consignee'!A:J,10,FALSE)</f>
        <v>#N/A</v>
      </c>
      <c r="AQ292" s="50" t="e">
        <f ca="1">VLOOKUP(Tableau118[[#This Row],[Key(POD -PFI- Usine)]],'DATA Consignee'!A:N,14,FALSE)</f>
        <v>#N/A</v>
      </c>
      <c r="AR29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2" s="50" t="e">
        <f ca="1">Tableau118[[#This Row],[Transit time]]+Tableau118[[#This Row],[Time for security]]+Tableau118[[#This Row],[Time for security2 buffer]]</f>
        <v>#N/A</v>
      </c>
      <c r="AU29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2" s="50" t="e">
        <f ca="1">Tableau118[[#This Row],[Leadtime SI2C]]+Tableau118[[#This Row],[First Receipt Days]]-Tableau118[[#This Row],[Day Customer Order]]+1</f>
        <v>#N/A</v>
      </c>
      <c r="AW292" s="117" t="e">
        <f ca="1">IF(Tableau118[[#This Row],[Name ILN]]&lt;&gt;"SFK Freight Forwarder",Tableau118[[#This Row],[Cust. Leadtime]],Tableau118[[#This Row],[Leadtime SI2C]])</f>
        <v>#N/A</v>
      </c>
      <c r="AX292" s="57" t="e">
        <f>VLOOKUP(Tableau118[[#This Row],[ID]],'DATA BTO'!B:P,15,FALSE)</f>
        <v>#N/A</v>
      </c>
      <c r="AY292" s="328" t="e">
        <f ca="1">IFERROR(VLOOKUP(Tableau118[[#This Row],[Key(ID-Actif)]],'DATA BTO'!A:N,4,FALSE),VLOOKUP(Tableau118[[#This Row],[ID]],'DATA BTO'!B:N,3,FALSE))</f>
        <v>#N/A</v>
      </c>
      <c r="AZ29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2" s="50"/>
    </row>
    <row r="293" spans="2:57">
      <c r="B293" s="405" t="str">
        <f>_xlfn.CONCAT(Tableau118[[#This Row],[Name ILN]],"-",Tableau118[[#This Row],[Name Shipper]],"-",Tableau118[[#This Row],[Name Site]])</f>
        <v>--</v>
      </c>
      <c r="C293" s="64" t="e">
        <f ca="1">_xlfn.CONCAT(Tableau118[[#This Row],[Compte ILN]],"-",Tableau118[[#This Row],[Compte Shipper]],"-",Tableau118[[#This Row],[POL]],"-",Tableau118[[#This Row],[Compte Site]])</f>
        <v>#N/A</v>
      </c>
      <c r="D293" s="64" t="e">
        <f ca="1">_xlfn.CONCAT(Tableau118[[#This Row],[Compte ILN]],"-",Tableau118[[#This Row],[Compte Shipper]],"-",Tableau118[[#This Row],[POL]])</f>
        <v>#N/A</v>
      </c>
      <c r="E293" s="128" t="e">
        <f ca="1">_xlfn.CONCAT(Tableau118[[#This Row],[POL]],"-",Tableau118[[#This Row],[Carrier]],"-",Tableau118[[#This Row],[POD]])</f>
        <v>#N/A</v>
      </c>
      <c r="F293" s="64" t="str">
        <f>_xlfn.CONCAT(Tableau118[[#This Row],[ID]],"-","Next")</f>
        <v>-Next</v>
      </c>
      <c r="G293" s="64" t="e">
        <f ca="1">_xlfn.CONCAT(Tableau118[[#This Row],[POD]],"-",Tableau118[[#This Row],[Code PFI]],"-",Tableau118[[#This Row],[Compte Site]])</f>
        <v>#N/A</v>
      </c>
      <c r="H29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3" s="117" t="str">
        <f ca="1">IF(COUNTIF(I:I,Tableau118[[#This Row],[Plant-ILN-shipper-POL-Carrier-POD-PFI]])=1,"Non","Oui")</f>
        <v>Oui</v>
      </c>
      <c r="K293" s="126" t="e">
        <f>VLOOKUP(Tableau118[[#This Row],[Name Site]],Plant_AILN!A:D,4,FALSE)</f>
        <v>#N/A</v>
      </c>
      <c r="L293" s="285"/>
      <c r="M293" s="481"/>
      <c r="N293" s="55"/>
      <c r="O293" s="114"/>
      <c r="P293" s="481"/>
      <c r="Q293" s="50"/>
      <c r="R293" s="50"/>
      <c r="S293" s="50"/>
      <c r="T293" s="50"/>
      <c r="U293" s="50"/>
      <c r="V293" s="50"/>
      <c r="W293" s="50"/>
      <c r="X293" s="283"/>
      <c r="Y293" s="489">
        <f>IFERROR(VLOOKUP(Tableau118[[#This Row],[Name Shipper]],Plant_AILN!L:M,2,FALSE),0)</f>
        <v>0</v>
      </c>
      <c r="Z293" s="358"/>
      <c r="AA293" s="353" t="e">
        <f ca="1">VLOOKUP(Tableau118[[#This Row],[Key(ID-Actif)]],'DATA BTO'!A:N,5,FALSE)</f>
        <v>#N/A</v>
      </c>
      <c r="AB293" s="3" t="e">
        <f ca="1">VLOOKUP(Tableau118[[#This Row],[Key(ID-Actif)]],'DATA BTO'!A:N,6,FALSE)</f>
        <v>#N/A</v>
      </c>
      <c r="AC293" s="50" t="e">
        <f ca="1">VLOOKUP(Tableau118[[#This Row],[Key(ID-Actif)]],'DATA BTO'!A:N,7,FALSE)</f>
        <v>#N/A</v>
      </c>
      <c r="AD293" s="50" t="e">
        <f ca="1">VLOOKUP(Tableau118[[#This Row],[Key(ID-Actif)]],'DATA BTO'!A:N,8,FALSE)</f>
        <v>#N/A</v>
      </c>
      <c r="AE293" s="406" t="e">
        <f ca="1">IF(Tableau118[[#This Row],[First Day to POL]]&lt;=Tableau118[[#This Row],[Day Cut Off]],Tableau118[[#This Row],[Day ETD]],Tableau118[[#This Row],[Day ETD]]+7)</f>
        <v>#N/A</v>
      </c>
      <c r="AF293" s="50" t="e">
        <f ca="1">VLOOKUP(Tableau118[[#This Row],[Key(ID-Actif)]],'DATA BTO'!A:N,9,FALSE)</f>
        <v>#N/A</v>
      </c>
      <c r="AG293" s="3" t="e">
        <f ca="1">VLOOKUP(Tableau118[[#This Row],[Key(ID-Actif)]],'DATA BTO'!A:N,10,FALSE)</f>
        <v>#N/A</v>
      </c>
      <c r="AH293" s="3" t="e">
        <f ca="1">VLOOKUP(Tableau118[[#This Row],[Key(ID-Actif)]],'DATA BTO'!A:N,11,FALSE)</f>
        <v>#N/A</v>
      </c>
      <c r="AI293" s="50" t="e">
        <f ca="1">VLOOKUP(Tableau118[[#This Row],[Key(ID-Actif)]],'DATA BTO'!A:N,12,FALSE)</f>
        <v>#N/A</v>
      </c>
      <c r="AJ293" s="53" t="e">
        <f ca="1">VLOOKUP(Tableau118[[#This Row],[Key(ID-Actif)]],'DATA BTO'!A:N,14,FALSE)</f>
        <v>#N/A</v>
      </c>
      <c r="AK293" s="54" t="e">
        <f ca="1">VLOOKUP(Tableau118[[#This Row],[Key(POD -PFI- Usine)]],'DATA Consignee'!A:F,6,FALSE)</f>
        <v>#N/A</v>
      </c>
      <c r="AL293" s="283"/>
      <c r="AM293" s="490" t="str">
        <f>IF(Tableau118[[#This Row],[Name PFI/CDD]]="","-",VLOOKUP(Tableau118[[#This Row],[Name PFI/CDD]],Plant_AILN!I:J,2,FALSE))</f>
        <v>-</v>
      </c>
      <c r="AN29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3" s="2" t="e">
        <f ca="1">VLOOKUP(Tableau118[[#This Row],[Key(POD -PFI- Usine)]],'DATA Consignee'!A:J,10,FALSE)</f>
        <v>#N/A</v>
      </c>
      <c r="AQ293" s="50" t="e">
        <f ca="1">VLOOKUP(Tableau118[[#This Row],[Key(POD -PFI- Usine)]],'DATA Consignee'!A:N,14,FALSE)</f>
        <v>#N/A</v>
      </c>
      <c r="AR29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3" s="50" t="e">
        <f ca="1">Tableau118[[#This Row],[Transit time]]+Tableau118[[#This Row],[Time for security]]+Tableau118[[#This Row],[Time for security2 buffer]]</f>
        <v>#N/A</v>
      </c>
      <c r="AU29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3" s="50" t="e">
        <f ca="1">Tableau118[[#This Row],[Leadtime SI2C]]+Tableau118[[#This Row],[First Receipt Days]]-Tableau118[[#This Row],[Day Customer Order]]+1</f>
        <v>#N/A</v>
      </c>
      <c r="AW293" s="117" t="e">
        <f ca="1">IF(Tableau118[[#This Row],[Name ILN]]&lt;&gt;"SFK Freight Forwarder",Tableau118[[#This Row],[Cust. Leadtime]],Tableau118[[#This Row],[Leadtime SI2C]])</f>
        <v>#N/A</v>
      </c>
      <c r="AX293" s="57" t="e">
        <f>VLOOKUP(Tableau118[[#This Row],[ID]],'DATA BTO'!B:P,15,FALSE)</f>
        <v>#N/A</v>
      </c>
      <c r="AY293" s="328" t="e">
        <f ca="1">IFERROR(VLOOKUP(Tableau118[[#This Row],[Key(ID-Actif)]],'DATA BTO'!A:N,4,FALSE),VLOOKUP(Tableau118[[#This Row],[ID]],'DATA BTO'!B:N,3,FALSE))</f>
        <v>#N/A</v>
      </c>
      <c r="AZ29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3" s="50"/>
    </row>
    <row r="294" spans="2:57">
      <c r="B294" s="405" t="str">
        <f>_xlfn.CONCAT(Tableau118[[#This Row],[Name ILN]],"-",Tableau118[[#This Row],[Name Shipper]],"-",Tableau118[[#This Row],[Name Site]])</f>
        <v>--</v>
      </c>
      <c r="C294" s="64" t="e">
        <f ca="1">_xlfn.CONCAT(Tableau118[[#This Row],[Compte ILN]],"-",Tableau118[[#This Row],[Compte Shipper]],"-",Tableau118[[#This Row],[POL]],"-",Tableau118[[#This Row],[Compte Site]])</f>
        <v>#N/A</v>
      </c>
      <c r="D294" s="64" t="e">
        <f ca="1">_xlfn.CONCAT(Tableau118[[#This Row],[Compte ILN]],"-",Tableau118[[#This Row],[Compte Shipper]],"-",Tableau118[[#This Row],[POL]])</f>
        <v>#N/A</v>
      </c>
      <c r="E294" s="128" t="e">
        <f ca="1">_xlfn.CONCAT(Tableau118[[#This Row],[POL]],"-",Tableau118[[#This Row],[Carrier]],"-",Tableau118[[#This Row],[POD]])</f>
        <v>#N/A</v>
      </c>
      <c r="F294" s="64" t="str">
        <f>_xlfn.CONCAT(Tableau118[[#This Row],[ID]],"-","Next")</f>
        <v>-Next</v>
      </c>
      <c r="G294" s="64" t="e">
        <f ca="1">_xlfn.CONCAT(Tableau118[[#This Row],[POD]],"-",Tableau118[[#This Row],[Code PFI]],"-",Tableau118[[#This Row],[Compte Site]])</f>
        <v>#N/A</v>
      </c>
      <c r="H29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4" s="117" t="str">
        <f ca="1">IF(COUNTIF(I:I,Tableau118[[#This Row],[Plant-ILN-shipper-POL-Carrier-POD-PFI]])=1,"Non","Oui")</f>
        <v>Oui</v>
      </c>
      <c r="K294" s="126" t="e">
        <f>VLOOKUP(Tableau118[[#This Row],[Name Site]],Plant_AILN!A:D,4,FALSE)</f>
        <v>#N/A</v>
      </c>
      <c r="L294" s="363"/>
      <c r="M294" s="481"/>
      <c r="N294" s="55"/>
      <c r="O294" s="122"/>
      <c r="P294" s="481"/>
      <c r="Q294" s="50"/>
      <c r="R294" s="50"/>
      <c r="S294" s="50"/>
      <c r="T294" s="50"/>
      <c r="U294" s="50"/>
      <c r="V294" s="50"/>
      <c r="W294" s="50"/>
      <c r="X294" s="283"/>
      <c r="Y294" s="489">
        <f>IFERROR(VLOOKUP(Tableau118[[#This Row],[Name Shipper]],Plant_AILN!L:M,2,FALSE),0)</f>
        <v>0</v>
      </c>
      <c r="Z294" s="358"/>
      <c r="AA294" s="353" t="e">
        <f ca="1">VLOOKUP(Tableau118[[#This Row],[Key(ID-Actif)]],'DATA BTO'!A:N,5,FALSE)</f>
        <v>#N/A</v>
      </c>
      <c r="AB294" s="3" t="e">
        <f ca="1">VLOOKUP(Tableau118[[#This Row],[Key(ID-Actif)]],'DATA BTO'!A:N,6,FALSE)</f>
        <v>#N/A</v>
      </c>
      <c r="AC294" s="50" t="e">
        <f ca="1">VLOOKUP(Tableau118[[#This Row],[Key(ID-Actif)]],'DATA BTO'!A:N,7,FALSE)</f>
        <v>#N/A</v>
      </c>
      <c r="AD294" s="50" t="e">
        <f ca="1">VLOOKUP(Tableau118[[#This Row],[Key(ID-Actif)]],'DATA BTO'!A:N,8,FALSE)</f>
        <v>#N/A</v>
      </c>
      <c r="AE294" s="406" t="e">
        <f ca="1">IF(Tableau118[[#This Row],[First Day to POL]]&lt;=Tableau118[[#This Row],[Day Cut Off]],Tableau118[[#This Row],[Day ETD]],Tableau118[[#This Row],[Day ETD]]+7)</f>
        <v>#N/A</v>
      </c>
      <c r="AF294" s="50" t="e">
        <f ca="1">VLOOKUP(Tableau118[[#This Row],[Key(ID-Actif)]],'DATA BTO'!A:N,9,FALSE)</f>
        <v>#N/A</v>
      </c>
      <c r="AG294" s="3" t="e">
        <f ca="1">VLOOKUP(Tableau118[[#This Row],[Key(ID-Actif)]],'DATA BTO'!A:N,10,FALSE)</f>
        <v>#N/A</v>
      </c>
      <c r="AH294" s="3" t="e">
        <f ca="1">VLOOKUP(Tableau118[[#This Row],[Key(ID-Actif)]],'DATA BTO'!A:N,11,FALSE)</f>
        <v>#N/A</v>
      </c>
      <c r="AI294" s="50" t="e">
        <f ca="1">VLOOKUP(Tableau118[[#This Row],[Key(ID-Actif)]],'DATA BTO'!A:N,12,FALSE)</f>
        <v>#N/A</v>
      </c>
      <c r="AJ294" s="53" t="e">
        <f ca="1">VLOOKUP(Tableau118[[#This Row],[Key(ID-Actif)]],'DATA BTO'!A:N,14,FALSE)</f>
        <v>#N/A</v>
      </c>
      <c r="AK294" s="54" t="e">
        <f ca="1">VLOOKUP(Tableau118[[#This Row],[Key(POD -PFI- Usine)]],'DATA Consignee'!A:F,6,FALSE)</f>
        <v>#N/A</v>
      </c>
      <c r="AL294" s="283"/>
      <c r="AM294" s="490" t="str">
        <f>IF(Tableau118[[#This Row],[Name PFI/CDD]]="","-",VLOOKUP(Tableau118[[#This Row],[Name PFI/CDD]],Plant_AILN!I:J,2,FALSE))</f>
        <v>-</v>
      </c>
      <c r="AN29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4" s="2" t="e">
        <f ca="1">VLOOKUP(Tableau118[[#This Row],[Key(POD -PFI- Usine)]],'DATA Consignee'!A:J,10,FALSE)</f>
        <v>#N/A</v>
      </c>
      <c r="AQ294" s="50" t="e">
        <f ca="1">VLOOKUP(Tableau118[[#This Row],[Key(POD -PFI- Usine)]],'DATA Consignee'!A:N,14,FALSE)</f>
        <v>#N/A</v>
      </c>
      <c r="AR29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4" s="50" t="e">
        <f ca="1">Tableau118[[#This Row],[Transit time]]+Tableau118[[#This Row],[Time for security]]+Tableau118[[#This Row],[Time for security2 buffer]]</f>
        <v>#N/A</v>
      </c>
      <c r="AU29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4" s="50" t="e">
        <f ca="1">Tableau118[[#This Row],[Leadtime SI2C]]+Tableau118[[#This Row],[First Receipt Days]]-Tableau118[[#This Row],[Day Customer Order]]+1</f>
        <v>#N/A</v>
      </c>
      <c r="AW294" s="117" t="e">
        <f ca="1">IF(Tableau118[[#This Row],[Name ILN]]&lt;&gt;"SFK Freight Forwarder",Tableau118[[#This Row],[Cust. Leadtime]],Tableau118[[#This Row],[Leadtime SI2C]])</f>
        <v>#N/A</v>
      </c>
      <c r="AX294" s="57" t="e">
        <f>VLOOKUP(Tableau118[[#This Row],[ID]],'DATA BTO'!B:P,15,FALSE)</f>
        <v>#N/A</v>
      </c>
      <c r="AY294" s="328" t="e">
        <f ca="1">IFERROR(VLOOKUP(Tableau118[[#This Row],[Key(ID-Actif)]],'DATA BTO'!A:N,4,FALSE),VLOOKUP(Tableau118[[#This Row],[ID]],'DATA BTO'!B:N,3,FALSE))</f>
        <v>#N/A</v>
      </c>
      <c r="AZ29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4" s="50"/>
    </row>
    <row r="295" spans="2:57">
      <c r="B295" s="405" t="str">
        <f>_xlfn.CONCAT(Tableau118[[#This Row],[Name ILN]],"-",Tableau118[[#This Row],[Name Shipper]],"-",Tableau118[[#This Row],[Name Site]])</f>
        <v>--</v>
      </c>
      <c r="C295" s="64" t="e">
        <f ca="1">_xlfn.CONCAT(Tableau118[[#This Row],[Compte ILN]],"-",Tableau118[[#This Row],[Compte Shipper]],"-",Tableau118[[#This Row],[POL]],"-",Tableau118[[#This Row],[Compte Site]])</f>
        <v>#N/A</v>
      </c>
      <c r="D295" s="64" t="e">
        <f ca="1">_xlfn.CONCAT(Tableau118[[#This Row],[Compte ILN]],"-",Tableau118[[#This Row],[Compte Shipper]],"-",Tableau118[[#This Row],[POL]])</f>
        <v>#N/A</v>
      </c>
      <c r="E295" s="128" t="e">
        <f ca="1">_xlfn.CONCAT(Tableau118[[#This Row],[POL]],"-",Tableau118[[#This Row],[Carrier]],"-",Tableau118[[#This Row],[POD]])</f>
        <v>#N/A</v>
      </c>
      <c r="F295" s="64" t="str">
        <f>_xlfn.CONCAT(Tableau118[[#This Row],[ID]],"-","Next")</f>
        <v>-Next</v>
      </c>
      <c r="G295" s="64" t="e">
        <f ca="1">_xlfn.CONCAT(Tableau118[[#This Row],[POD]],"-",Tableau118[[#This Row],[Code PFI]],"-",Tableau118[[#This Row],[Compte Site]])</f>
        <v>#N/A</v>
      </c>
      <c r="H29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5" s="117" t="str">
        <f ca="1">IF(COUNTIF(I:I,Tableau118[[#This Row],[Plant-ILN-shipper-POL-Carrier-POD-PFI]])=1,"Non","Oui")</f>
        <v>Oui</v>
      </c>
      <c r="K295" s="126" t="e">
        <f>VLOOKUP(Tableau118[[#This Row],[Name Site]],Plant_AILN!A:D,4,FALSE)</f>
        <v>#N/A</v>
      </c>
      <c r="L295" s="363"/>
      <c r="M295" s="481"/>
      <c r="N295" s="55"/>
      <c r="O295" s="122"/>
      <c r="P295" s="481"/>
      <c r="Q295" s="50"/>
      <c r="R295" s="50"/>
      <c r="S295" s="50"/>
      <c r="T295" s="50"/>
      <c r="U295" s="50"/>
      <c r="V295" s="50"/>
      <c r="W295" s="50"/>
      <c r="X295" s="283"/>
      <c r="Y295" s="489">
        <f>IFERROR(VLOOKUP(Tableau118[[#This Row],[Name Shipper]],Plant_AILN!L:M,2,FALSE),0)</f>
        <v>0</v>
      </c>
      <c r="Z295" s="358"/>
      <c r="AA295" s="353" t="e">
        <f ca="1">VLOOKUP(Tableau118[[#This Row],[Key(ID-Actif)]],'DATA BTO'!A:N,5,FALSE)</f>
        <v>#N/A</v>
      </c>
      <c r="AB295" s="3" t="e">
        <f ca="1">VLOOKUP(Tableau118[[#This Row],[Key(ID-Actif)]],'DATA BTO'!A:N,6,FALSE)</f>
        <v>#N/A</v>
      </c>
      <c r="AC295" s="50" t="e">
        <f ca="1">VLOOKUP(Tableau118[[#This Row],[Key(ID-Actif)]],'DATA BTO'!A:N,7,FALSE)</f>
        <v>#N/A</v>
      </c>
      <c r="AD295" s="50" t="e">
        <f ca="1">VLOOKUP(Tableau118[[#This Row],[Key(ID-Actif)]],'DATA BTO'!A:N,8,FALSE)</f>
        <v>#N/A</v>
      </c>
      <c r="AE295" s="406" t="e">
        <f ca="1">IF(Tableau118[[#This Row],[First Day to POL]]&lt;=Tableau118[[#This Row],[Day Cut Off]],Tableau118[[#This Row],[Day ETD]],Tableau118[[#This Row],[Day ETD]]+7)</f>
        <v>#N/A</v>
      </c>
      <c r="AF295" s="50" t="e">
        <f ca="1">VLOOKUP(Tableau118[[#This Row],[Key(ID-Actif)]],'DATA BTO'!A:N,9,FALSE)</f>
        <v>#N/A</v>
      </c>
      <c r="AG295" s="3" t="e">
        <f ca="1">VLOOKUP(Tableau118[[#This Row],[Key(ID-Actif)]],'DATA BTO'!A:N,10,FALSE)</f>
        <v>#N/A</v>
      </c>
      <c r="AH295" s="3" t="e">
        <f ca="1">VLOOKUP(Tableau118[[#This Row],[Key(ID-Actif)]],'DATA BTO'!A:N,11,FALSE)</f>
        <v>#N/A</v>
      </c>
      <c r="AI295" s="50" t="e">
        <f ca="1">VLOOKUP(Tableau118[[#This Row],[Key(ID-Actif)]],'DATA BTO'!A:N,12,FALSE)</f>
        <v>#N/A</v>
      </c>
      <c r="AJ295" s="53" t="e">
        <f ca="1">VLOOKUP(Tableau118[[#This Row],[Key(ID-Actif)]],'DATA BTO'!A:N,14,FALSE)</f>
        <v>#N/A</v>
      </c>
      <c r="AK295" s="54" t="e">
        <f ca="1">VLOOKUP(Tableau118[[#This Row],[Key(POD -PFI- Usine)]],'DATA Consignee'!A:F,6,FALSE)</f>
        <v>#N/A</v>
      </c>
      <c r="AL295" s="283"/>
      <c r="AM295" s="490" t="str">
        <f>IF(Tableau118[[#This Row],[Name PFI/CDD]]="","-",VLOOKUP(Tableau118[[#This Row],[Name PFI/CDD]],Plant_AILN!I:J,2,FALSE))</f>
        <v>-</v>
      </c>
      <c r="AN29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5" s="2" t="e">
        <f ca="1">VLOOKUP(Tableau118[[#This Row],[Key(POD -PFI- Usine)]],'DATA Consignee'!A:J,10,FALSE)</f>
        <v>#N/A</v>
      </c>
      <c r="AQ295" s="50" t="e">
        <f ca="1">VLOOKUP(Tableau118[[#This Row],[Key(POD -PFI- Usine)]],'DATA Consignee'!A:N,14,FALSE)</f>
        <v>#N/A</v>
      </c>
      <c r="AR29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5" s="50" t="e">
        <f ca="1">Tableau118[[#This Row],[Transit time]]+Tableau118[[#This Row],[Time for security]]+Tableau118[[#This Row],[Time for security2 buffer]]</f>
        <v>#N/A</v>
      </c>
      <c r="AU29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5" s="50" t="e">
        <f ca="1">Tableau118[[#This Row],[Leadtime SI2C]]+Tableau118[[#This Row],[First Receipt Days]]-Tableau118[[#This Row],[Day Customer Order]]+1</f>
        <v>#N/A</v>
      </c>
      <c r="AW295" s="117" t="e">
        <f ca="1">IF(Tableau118[[#This Row],[Name ILN]]&lt;&gt;"SFK Freight Forwarder",Tableau118[[#This Row],[Cust. Leadtime]],Tableau118[[#This Row],[Leadtime SI2C]])</f>
        <v>#N/A</v>
      </c>
      <c r="AX295" s="57" t="e">
        <f>VLOOKUP(Tableau118[[#This Row],[ID]],'DATA BTO'!B:P,15,FALSE)</f>
        <v>#N/A</v>
      </c>
      <c r="AY295" s="328" t="e">
        <f ca="1">IFERROR(VLOOKUP(Tableau118[[#This Row],[Key(ID-Actif)]],'DATA BTO'!A:N,4,FALSE),VLOOKUP(Tableau118[[#This Row],[ID]],'DATA BTO'!B:N,3,FALSE))</f>
        <v>#N/A</v>
      </c>
      <c r="AZ29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5" s="50"/>
    </row>
    <row r="296" spans="2:57">
      <c r="B296" s="405" t="str">
        <f>_xlfn.CONCAT(Tableau118[[#This Row],[Name ILN]],"-",Tableau118[[#This Row],[Name Shipper]],"-",Tableau118[[#This Row],[Name Site]])</f>
        <v>--</v>
      </c>
      <c r="C296" s="64" t="e">
        <f ca="1">_xlfn.CONCAT(Tableau118[[#This Row],[Compte ILN]],"-",Tableau118[[#This Row],[Compte Shipper]],"-",Tableau118[[#This Row],[POL]],"-",Tableau118[[#This Row],[Compte Site]])</f>
        <v>#N/A</v>
      </c>
      <c r="D296" s="64" t="e">
        <f ca="1">_xlfn.CONCAT(Tableau118[[#This Row],[Compte ILN]],"-",Tableau118[[#This Row],[Compte Shipper]],"-",Tableau118[[#This Row],[POL]])</f>
        <v>#N/A</v>
      </c>
      <c r="E296" s="128" t="e">
        <f ca="1">_xlfn.CONCAT(Tableau118[[#This Row],[POL]],"-",Tableau118[[#This Row],[Carrier]],"-",Tableau118[[#This Row],[POD]])</f>
        <v>#N/A</v>
      </c>
      <c r="F296" s="64" t="str">
        <f>_xlfn.CONCAT(Tableau118[[#This Row],[ID]],"-","Next")</f>
        <v>-Next</v>
      </c>
      <c r="G296" s="64" t="e">
        <f ca="1">_xlfn.CONCAT(Tableau118[[#This Row],[POD]],"-",Tableau118[[#This Row],[Code PFI]],"-",Tableau118[[#This Row],[Compte Site]])</f>
        <v>#N/A</v>
      </c>
      <c r="H29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6" s="117" t="str">
        <f ca="1">IF(COUNTIF(I:I,Tableau118[[#This Row],[Plant-ILN-shipper-POL-Carrier-POD-PFI]])=1,"Non","Oui")</f>
        <v>Oui</v>
      </c>
      <c r="K296" s="126" t="e">
        <f>VLOOKUP(Tableau118[[#This Row],[Name Site]],Plant_AILN!A:D,4,FALSE)</f>
        <v>#N/A</v>
      </c>
      <c r="L296" s="363"/>
      <c r="M296" s="481"/>
      <c r="N296" s="55"/>
      <c r="O296" s="122"/>
      <c r="P296" s="481"/>
      <c r="Q296" s="50"/>
      <c r="R296" s="50"/>
      <c r="S296" s="50"/>
      <c r="T296" s="50"/>
      <c r="U296" s="50"/>
      <c r="V296" s="50"/>
      <c r="W296" s="50"/>
      <c r="X296" s="283"/>
      <c r="Y296" s="489">
        <f>IFERROR(VLOOKUP(Tableau118[[#This Row],[Name Shipper]],Plant_AILN!L:M,2,FALSE),0)</f>
        <v>0</v>
      </c>
      <c r="Z296" s="358"/>
      <c r="AA296" s="353" t="e">
        <f ca="1">VLOOKUP(Tableau118[[#This Row],[Key(ID-Actif)]],'DATA BTO'!A:N,5,FALSE)</f>
        <v>#N/A</v>
      </c>
      <c r="AB296" s="3" t="e">
        <f ca="1">VLOOKUP(Tableau118[[#This Row],[Key(ID-Actif)]],'DATA BTO'!A:N,6,FALSE)</f>
        <v>#N/A</v>
      </c>
      <c r="AC296" s="50" t="e">
        <f ca="1">VLOOKUP(Tableau118[[#This Row],[Key(ID-Actif)]],'DATA BTO'!A:N,7,FALSE)</f>
        <v>#N/A</v>
      </c>
      <c r="AD296" s="50" t="e">
        <f ca="1">VLOOKUP(Tableau118[[#This Row],[Key(ID-Actif)]],'DATA BTO'!A:N,8,FALSE)</f>
        <v>#N/A</v>
      </c>
      <c r="AE296" s="406" t="e">
        <f ca="1">IF(Tableau118[[#This Row],[First Day to POL]]&lt;=Tableau118[[#This Row],[Day Cut Off]],Tableau118[[#This Row],[Day ETD]],Tableau118[[#This Row],[Day ETD]]+7)</f>
        <v>#N/A</v>
      </c>
      <c r="AF296" s="50" t="e">
        <f ca="1">VLOOKUP(Tableau118[[#This Row],[Key(ID-Actif)]],'DATA BTO'!A:N,9,FALSE)</f>
        <v>#N/A</v>
      </c>
      <c r="AG296" s="3" t="e">
        <f ca="1">VLOOKUP(Tableau118[[#This Row],[Key(ID-Actif)]],'DATA BTO'!A:N,10,FALSE)</f>
        <v>#N/A</v>
      </c>
      <c r="AH296" s="3" t="e">
        <f ca="1">VLOOKUP(Tableau118[[#This Row],[Key(ID-Actif)]],'DATA BTO'!A:N,11,FALSE)</f>
        <v>#N/A</v>
      </c>
      <c r="AI296" s="50" t="e">
        <f ca="1">VLOOKUP(Tableau118[[#This Row],[Key(ID-Actif)]],'DATA BTO'!A:N,12,FALSE)</f>
        <v>#N/A</v>
      </c>
      <c r="AJ296" s="53" t="e">
        <f ca="1">VLOOKUP(Tableau118[[#This Row],[Key(ID-Actif)]],'DATA BTO'!A:N,14,FALSE)</f>
        <v>#N/A</v>
      </c>
      <c r="AK296" s="54" t="e">
        <f ca="1">VLOOKUP(Tableau118[[#This Row],[Key(POD -PFI- Usine)]],'DATA Consignee'!A:F,6,FALSE)</f>
        <v>#N/A</v>
      </c>
      <c r="AL296" s="283"/>
      <c r="AM296" s="490" t="str">
        <f>IF(Tableau118[[#This Row],[Name PFI/CDD]]="","-",VLOOKUP(Tableau118[[#This Row],[Name PFI/CDD]],Plant_AILN!I:J,2,FALSE))</f>
        <v>-</v>
      </c>
      <c r="AN29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6" s="2" t="e">
        <f ca="1">VLOOKUP(Tableau118[[#This Row],[Key(POD -PFI- Usine)]],'DATA Consignee'!A:J,10,FALSE)</f>
        <v>#N/A</v>
      </c>
      <c r="AQ296" s="50" t="e">
        <f ca="1">VLOOKUP(Tableau118[[#This Row],[Key(POD -PFI- Usine)]],'DATA Consignee'!A:N,14,FALSE)</f>
        <v>#N/A</v>
      </c>
      <c r="AR29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6" s="50" t="e">
        <f ca="1">Tableau118[[#This Row],[Transit time]]+Tableau118[[#This Row],[Time for security]]+Tableau118[[#This Row],[Time for security2 buffer]]</f>
        <v>#N/A</v>
      </c>
      <c r="AU29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6" s="50" t="e">
        <f ca="1">Tableau118[[#This Row],[Leadtime SI2C]]+Tableau118[[#This Row],[First Receipt Days]]-Tableau118[[#This Row],[Day Customer Order]]+1</f>
        <v>#N/A</v>
      </c>
      <c r="AW296" s="117" t="e">
        <f ca="1">IF(Tableau118[[#This Row],[Name ILN]]&lt;&gt;"SFK Freight Forwarder",Tableau118[[#This Row],[Cust. Leadtime]],Tableau118[[#This Row],[Leadtime SI2C]])</f>
        <v>#N/A</v>
      </c>
      <c r="AX296" s="57" t="e">
        <f>VLOOKUP(Tableau118[[#This Row],[ID]],'DATA BTO'!B:P,15,FALSE)</f>
        <v>#N/A</v>
      </c>
      <c r="AY296" s="328" t="e">
        <f ca="1">IFERROR(VLOOKUP(Tableau118[[#This Row],[Key(ID-Actif)]],'DATA BTO'!A:N,4,FALSE),VLOOKUP(Tableau118[[#This Row],[ID]],'DATA BTO'!B:N,3,FALSE))</f>
        <v>#N/A</v>
      </c>
      <c r="AZ29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6" s="50"/>
    </row>
    <row r="297" spans="2:57">
      <c r="B297" s="405" t="str">
        <f>_xlfn.CONCAT(Tableau118[[#This Row],[Name ILN]],"-",Tableau118[[#This Row],[Name Shipper]],"-",Tableau118[[#This Row],[Name Site]])</f>
        <v>--</v>
      </c>
      <c r="C297" s="64" t="e">
        <f ca="1">_xlfn.CONCAT(Tableau118[[#This Row],[Compte ILN]],"-",Tableau118[[#This Row],[Compte Shipper]],"-",Tableau118[[#This Row],[POL]],"-",Tableau118[[#This Row],[Compte Site]])</f>
        <v>#N/A</v>
      </c>
      <c r="D297" s="64" t="e">
        <f ca="1">_xlfn.CONCAT(Tableau118[[#This Row],[Compte ILN]],"-",Tableau118[[#This Row],[Compte Shipper]],"-",Tableau118[[#This Row],[POL]])</f>
        <v>#N/A</v>
      </c>
      <c r="E297" s="128" t="e">
        <f ca="1">_xlfn.CONCAT(Tableau118[[#This Row],[POL]],"-",Tableau118[[#This Row],[Carrier]],"-",Tableau118[[#This Row],[POD]])</f>
        <v>#N/A</v>
      </c>
      <c r="F297" s="64" t="str">
        <f>_xlfn.CONCAT(Tableau118[[#This Row],[ID]],"-","Next")</f>
        <v>-Next</v>
      </c>
      <c r="G297" s="64" t="e">
        <f ca="1">_xlfn.CONCAT(Tableau118[[#This Row],[POD]],"-",Tableau118[[#This Row],[Code PFI]],"-",Tableau118[[#This Row],[Compte Site]])</f>
        <v>#N/A</v>
      </c>
      <c r="H29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7" s="117" t="str">
        <f ca="1">IF(COUNTIF(I:I,Tableau118[[#This Row],[Plant-ILN-shipper-POL-Carrier-POD-PFI]])=1,"Non","Oui")</f>
        <v>Oui</v>
      </c>
      <c r="K297" s="126" t="e">
        <f>VLOOKUP(Tableau118[[#This Row],[Name Site]],Plant_AILN!A:D,4,FALSE)</f>
        <v>#N/A</v>
      </c>
      <c r="L297" s="363"/>
      <c r="M297" s="481"/>
      <c r="N297" s="55"/>
      <c r="O297" s="122"/>
      <c r="P297" s="481"/>
      <c r="Q297" s="50"/>
      <c r="R297" s="50"/>
      <c r="S297" s="50"/>
      <c r="T297" s="50"/>
      <c r="U297" s="50"/>
      <c r="V297" s="50"/>
      <c r="W297" s="50"/>
      <c r="X297" s="283"/>
      <c r="Y297" s="489">
        <f>IFERROR(VLOOKUP(Tableau118[[#This Row],[Name Shipper]],Plant_AILN!L:M,2,FALSE),0)</f>
        <v>0</v>
      </c>
      <c r="Z297" s="358"/>
      <c r="AA297" s="353" t="e">
        <f ca="1">VLOOKUP(Tableau118[[#This Row],[Key(ID-Actif)]],'DATA BTO'!A:N,5,FALSE)</f>
        <v>#N/A</v>
      </c>
      <c r="AB297" s="3" t="e">
        <f ca="1">VLOOKUP(Tableau118[[#This Row],[Key(ID-Actif)]],'DATA BTO'!A:N,6,FALSE)</f>
        <v>#N/A</v>
      </c>
      <c r="AC297" s="50" t="e">
        <f ca="1">VLOOKUP(Tableau118[[#This Row],[Key(ID-Actif)]],'DATA BTO'!A:N,7,FALSE)</f>
        <v>#N/A</v>
      </c>
      <c r="AD297" s="50" t="e">
        <f ca="1">VLOOKUP(Tableau118[[#This Row],[Key(ID-Actif)]],'DATA BTO'!A:N,8,FALSE)</f>
        <v>#N/A</v>
      </c>
      <c r="AE297" s="406" t="e">
        <f ca="1">IF(Tableau118[[#This Row],[First Day to POL]]&lt;=Tableau118[[#This Row],[Day Cut Off]],Tableau118[[#This Row],[Day ETD]],Tableau118[[#This Row],[Day ETD]]+7)</f>
        <v>#N/A</v>
      </c>
      <c r="AF297" s="50" t="e">
        <f ca="1">VLOOKUP(Tableau118[[#This Row],[Key(ID-Actif)]],'DATA BTO'!A:N,9,FALSE)</f>
        <v>#N/A</v>
      </c>
      <c r="AG297" s="3" t="e">
        <f ca="1">VLOOKUP(Tableau118[[#This Row],[Key(ID-Actif)]],'DATA BTO'!A:N,10,FALSE)</f>
        <v>#N/A</v>
      </c>
      <c r="AH297" s="3" t="e">
        <f ca="1">VLOOKUP(Tableau118[[#This Row],[Key(ID-Actif)]],'DATA BTO'!A:N,11,FALSE)</f>
        <v>#N/A</v>
      </c>
      <c r="AI297" s="50" t="e">
        <f ca="1">VLOOKUP(Tableau118[[#This Row],[Key(ID-Actif)]],'DATA BTO'!A:N,12,FALSE)</f>
        <v>#N/A</v>
      </c>
      <c r="AJ297" s="53" t="e">
        <f ca="1">VLOOKUP(Tableau118[[#This Row],[Key(ID-Actif)]],'DATA BTO'!A:N,14,FALSE)</f>
        <v>#N/A</v>
      </c>
      <c r="AK297" s="54" t="e">
        <f ca="1">VLOOKUP(Tableau118[[#This Row],[Key(POD -PFI- Usine)]],'DATA Consignee'!A:F,6,FALSE)</f>
        <v>#N/A</v>
      </c>
      <c r="AL297" s="283"/>
      <c r="AM297" s="490" t="str">
        <f>IF(Tableau118[[#This Row],[Name PFI/CDD]]="","-",VLOOKUP(Tableau118[[#This Row],[Name PFI/CDD]],Plant_AILN!I:J,2,FALSE))</f>
        <v>-</v>
      </c>
      <c r="AN29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7" s="2" t="e">
        <f ca="1">VLOOKUP(Tableau118[[#This Row],[Key(POD -PFI- Usine)]],'DATA Consignee'!A:J,10,FALSE)</f>
        <v>#N/A</v>
      </c>
      <c r="AQ297" s="50" t="e">
        <f ca="1">VLOOKUP(Tableau118[[#This Row],[Key(POD -PFI- Usine)]],'DATA Consignee'!A:N,14,FALSE)</f>
        <v>#N/A</v>
      </c>
      <c r="AR29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7" s="50" t="e">
        <f ca="1">Tableau118[[#This Row],[Transit time]]+Tableau118[[#This Row],[Time for security]]+Tableau118[[#This Row],[Time for security2 buffer]]</f>
        <v>#N/A</v>
      </c>
      <c r="AU29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7" s="50" t="e">
        <f ca="1">Tableau118[[#This Row],[Leadtime SI2C]]+Tableau118[[#This Row],[First Receipt Days]]-Tableau118[[#This Row],[Day Customer Order]]+1</f>
        <v>#N/A</v>
      </c>
      <c r="AW297" s="117" t="e">
        <f ca="1">IF(Tableau118[[#This Row],[Name ILN]]&lt;&gt;"SFK Freight Forwarder",Tableau118[[#This Row],[Cust. Leadtime]],Tableau118[[#This Row],[Leadtime SI2C]])</f>
        <v>#N/A</v>
      </c>
      <c r="AX297" s="57" t="e">
        <f>VLOOKUP(Tableau118[[#This Row],[ID]],'DATA BTO'!B:P,15,FALSE)</f>
        <v>#N/A</v>
      </c>
      <c r="AY297" s="328" t="e">
        <f ca="1">IFERROR(VLOOKUP(Tableau118[[#This Row],[Key(ID-Actif)]],'DATA BTO'!A:N,4,FALSE),VLOOKUP(Tableau118[[#This Row],[ID]],'DATA BTO'!B:N,3,FALSE))</f>
        <v>#N/A</v>
      </c>
      <c r="AZ29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7" s="50"/>
    </row>
    <row r="298" spans="2:57">
      <c r="B298" s="405" t="str">
        <f>_xlfn.CONCAT(Tableau118[[#This Row],[Name ILN]],"-",Tableau118[[#This Row],[Name Shipper]],"-",Tableau118[[#This Row],[Name Site]])</f>
        <v>--</v>
      </c>
      <c r="C298" s="64" t="e">
        <f ca="1">_xlfn.CONCAT(Tableau118[[#This Row],[Compte ILN]],"-",Tableau118[[#This Row],[Compte Shipper]],"-",Tableau118[[#This Row],[POL]],"-",Tableau118[[#This Row],[Compte Site]])</f>
        <v>#N/A</v>
      </c>
      <c r="D298" s="64" t="e">
        <f ca="1">_xlfn.CONCAT(Tableau118[[#This Row],[Compte ILN]],"-",Tableau118[[#This Row],[Compte Shipper]],"-",Tableau118[[#This Row],[POL]])</f>
        <v>#N/A</v>
      </c>
      <c r="E298" s="128" t="e">
        <f ca="1">_xlfn.CONCAT(Tableau118[[#This Row],[POL]],"-",Tableau118[[#This Row],[Carrier]],"-",Tableau118[[#This Row],[POD]])</f>
        <v>#N/A</v>
      </c>
      <c r="F298" s="64" t="str">
        <f>_xlfn.CONCAT(Tableau118[[#This Row],[ID]],"-","Next")</f>
        <v>-Next</v>
      </c>
      <c r="G298" s="64" t="e">
        <f ca="1">_xlfn.CONCAT(Tableau118[[#This Row],[POD]],"-",Tableau118[[#This Row],[Code PFI]],"-",Tableau118[[#This Row],[Compte Site]])</f>
        <v>#N/A</v>
      </c>
      <c r="H29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8" s="117" t="str">
        <f ca="1">IF(COUNTIF(I:I,Tableau118[[#This Row],[Plant-ILN-shipper-POL-Carrier-POD-PFI]])=1,"Non","Oui")</f>
        <v>Oui</v>
      </c>
      <c r="K298" s="126" t="e">
        <f>VLOOKUP(Tableau118[[#This Row],[Name Site]],Plant_AILN!A:D,4,FALSE)</f>
        <v>#N/A</v>
      </c>
      <c r="L298" s="363"/>
      <c r="M298" s="481"/>
      <c r="N298" s="55"/>
      <c r="O298" s="122"/>
      <c r="P298" s="481"/>
      <c r="Q298" s="50"/>
      <c r="R298" s="50"/>
      <c r="S298" s="50"/>
      <c r="T298" s="50"/>
      <c r="U298" s="50"/>
      <c r="V298" s="50"/>
      <c r="W298" s="50"/>
      <c r="X298" s="283"/>
      <c r="Y298" s="489">
        <f>IFERROR(VLOOKUP(Tableau118[[#This Row],[Name Shipper]],Plant_AILN!L:M,2,FALSE),0)</f>
        <v>0</v>
      </c>
      <c r="Z298" s="358"/>
      <c r="AA298" s="353" t="e">
        <f ca="1">VLOOKUP(Tableau118[[#This Row],[Key(ID-Actif)]],'DATA BTO'!A:N,5,FALSE)</f>
        <v>#N/A</v>
      </c>
      <c r="AB298" s="3" t="e">
        <f ca="1">VLOOKUP(Tableau118[[#This Row],[Key(ID-Actif)]],'DATA BTO'!A:N,6,FALSE)</f>
        <v>#N/A</v>
      </c>
      <c r="AC298" s="50" t="e">
        <f ca="1">VLOOKUP(Tableau118[[#This Row],[Key(ID-Actif)]],'DATA BTO'!A:N,7,FALSE)</f>
        <v>#N/A</v>
      </c>
      <c r="AD298" s="50" t="e">
        <f ca="1">VLOOKUP(Tableau118[[#This Row],[Key(ID-Actif)]],'DATA BTO'!A:N,8,FALSE)</f>
        <v>#N/A</v>
      </c>
      <c r="AE298" s="406" t="e">
        <f ca="1">IF(Tableau118[[#This Row],[First Day to POL]]&lt;=Tableau118[[#This Row],[Day Cut Off]],Tableau118[[#This Row],[Day ETD]],Tableau118[[#This Row],[Day ETD]]+7)</f>
        <v>#N/A</v>
      </c>
      <c r="AF298" s="50" t="e">
        <f ca="1">VLOOKUP(Tableau118[[#This Row],[Key(ID-Actif)]],'DATA BTO'!A:N,9,FALSE)</f>
        <v>#N/A</v>
      </c>
      <c r="AG298" s="3" t="e">
        <f ca="1">VLOOKUP(Tableau118[[#This Row],[Key(ID-Actif)]],'DATA BTO'!A:N,10,FALSE)</f>
        <v>#N/A</v>
      </c>
      <c r="AH298" s="3" t="e">
        <f ca="1">VLOOKUP(Tableau118[[#This Row],[Key(ID-Actif)]],'DATA BTO'!A:N,11,FALSE)</f>
        <v>#N/A</v>
      </c>
      <c r="AI298" s="50" t="e">
        <f ca="1">VLOOKUP(Tableau118[[#This Row],[Key(ID-Actif)]],'DATA BTO'!A:N,12,FALSE)</f>
        <v>#N/A</v>
      </c>
      <c r="AJ298" s="53" t="e">
        <f ca="1">VLOOKUP(Tableau118[[#This Row],[Key(ID-Actif)]],'DATA BTO'!A:N,14,FALSE)</f>
        <v>#N/A</v>
      </c>
      <c r="AK298" s="54" t="e">
        <f ca="1">VLOOKUP(Tableau118[[#This Row],[Key(POD -PFI- Usine)]],'DATA Consignee'!A:F,6,FALSE)</f>
        <v>#N/A</v>
      </c>
      <c r="AL298" s="283"/>
      <c r="AM298" s="490" t="str">
        <f>IF(Tableau118[[#This Row],[Name PFI/CDD]]="","-",VLOOKUP(Tableau118[[#This Row],[Name PFI/CDD]],Plant_AILN!I:J,2,FALSE))</f>
        <v>-</v>
      </c>
      <c r="AN29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8" s="2" t="e">
        <f ca="1">VLOOKUP(Tableau118[[#This Row],[Key(POD -PFI- Usine)]],'DATA Consignee'!A:J,10,FALSE)</f>
        <v>#N/A</v>
      </c>
      <c r="AQ298" s="50" t="e">
        <f ca="1">VLOOKUP(Tableau118[[#This Row],[Key(POD -PFI- Usine)]],'DATA Consignee'!A:N,14,FALSE)</f>
        <v>#N/A</v>
      </c>
      <c r="AR29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8" s="50" t="e">
        <f ca="1">Tableau118[[#This Row],[Transit time]]+Tableau118[[#This Row],[Time for security]]+Tableau118[[#This Row],[Time for security2 buffer]]</f>
        <v>#N/A</v>
      </c>
      <c r="AU29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8" s="50" t="e">
        <f ca="1">Tableau118[[#This Row],[Leadtime SI2C]]+Tableau118[[#This Row],[First Receipt Days]]-Tableau118[[#This Row],[Day Customer Order]]+1</f>
        <v>#N/A</v>
      </c>
      <c r="AW298" s="117" t="e">
        <f ca="1">IF(Tableau118[[#This Row],[Name ILN]]&lt;&gt;"SFK Freight Forwarder",Tableau118[[#This Row],[Cust. Leadtime]],Tableau118[[#This Row],[Leadtime SI2C]])</f>
        <v>#N/A</v>
      </c>
      <c r="AX298" s="57" t="e">
        <f>VLOOKUP(Tableau118[[#This Row],[ID]],'DATA BTO'!B:P,15,FALSE)</f>
        <v>#N/A</v>
      </c>
      <c r="AY298" s="328" t="e">
        <f ca="1">IFERROR(VLOOKUP(Tableau118[[#This Row],[Key(ID-Actif)]],'DATA BTO'!A:N,4,FALSE),VLOOKUP(Tableau118[[#This Row],[ID]],'DATA BTO'!B:N,3,FALSE))</f>
        <v>#N/A</v>
      </c>
      <c r="AZ29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8" s="50"/>
    </row>
    <row r="299" spans="2:57">
      <c r="B299" s="405" t="str">
        <f>_xlfn.CONCAT(Tableau118[[#This Row],[Name ILN]],"-",Tableau118[[#This Row],[Name Shipper]],"-",Tableau118[[#This Row],[Name Site]])</f>
        <v>--</v>
      </c>
      <c r="C299" s="64" t="e">
        <f ca="1">_xlfn.CONCAT(Tableau118[[#This Row],[Compte ILN]],"-",Tableau118[[#This Row],[Compte Shipper]],"-",Tableau118[[#This Row],[POL]],"-",Tableau118[[#This Row],[Compte Site]])</f>
        <v>#N/A</v>
      </c>
      <c r="D299" s="64" t="e">
        <f ca="1">_xlfn.CONCAT(Tableau118[[#This Row],[Compte ILN]],"-",Tableau118[[#This Row],[Compte Shipper]],"-",Tableau118[[#This Row],[POL]])</f>
        <v>#N/A</v>
      </c>
      <c r="E299" s="128" t="e">
        <f ca="1">_xlfn.CONCAT(Tableau118[[#This Row],[POL]],"-",Tableau118[[#This Row],[Carrier]],"-",Tableau118[[#This Row],[POD]])</f>
        <v>#N/A</v>
      </c>
      <c r="F299" s="64" t="str">
        <f>_xlfn.CONCAT(Tableau118[[#This Row],[ID]],"-","Next")</f>
        <v>-Next</v>
      </c>
      <c r="G299" s="64" t="e">
        <f ca="1">_xlfn.CONCAT(Tableau118[[#This Row],[POD]],"-",Tableau118[[#This Row],[Code PFI]],"-",Tableau118[[#This Row],[Compte Site]])</f>
        <v>#N/A</v>
      </c>
      <c r="H29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29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299" s="117" t="str">
        <f ca="1">IF(COUNTIF(I:I,Tableau118[[#This Row],[Plant-ILN-shipper-POL-Carrier-POD-PFI]])=1,"Non","Oui")</f>
        <v>Oui</v>
      </c>
      <c r="K299" s="126" t="e">
        <f>VLOOKUP(Tableau118[[#This Row],[Name Site]],Plant_AILN!A:D,4,FALSE)</f>
        <v>#N/A</v>
      </c>
      <c r="L299" s="363"/>
      <c r="M299" s="481"/>
      <c r="N299" s="55"/>
      <c r="O299" s="122"/>
      <c r="P299" s="481"/>
      <c r="Q299" s="50"/>
      <c r="R299" s="50"/>
      <c r="S299" s="50"/>
      <c r="T299" s="50"/>
      <c r="U299" s="50"/>
      <c r="V299" s="50"/>
      <c r="W299" s="50"/>
      <c r="X299" s="283"/>
      <c r="Y299" s="489">
        <f>IFERROR(VLOOKUP(Tableau118[[#This Row],[Name Shipper]],Plant_AILN!L:M,2,FALSE),0)</f>
        <v>0</v>
      </c>
      <c r="Z299" s="358"/>
      <c r="AA299" s="353" t="e">
        <f ca="1">VLOOKUP(Tableau118[[#This Row],[Key(ID-Actif)]],'DATA BTO'!A:N,5,FALSE)</f>
        <v>#N/A</v>
      </c>
      <c r="AB299" s="3" t="e">
        <f ca="1">VLOOKUP(Tableau118[[#This Row],[Key(ID-Actif)]],'DATA BTO'!A:N,6,FALSE)</f>
        <v>#N/A</v>
      </c>
      <c r="AC299" s="50" t="e">
        <f ca="1">VLOOKUP(Tableau118[[#This Row],[Key(ID-Actif)]],'DATA BTO'!A:N,7,FALSE)</f>
        <v>#N/A</v>
      </c>
      <c r="AD299" s="50" t="e">
        <f ca="1">VLOOKUP(Tableau118[[#This Row],[Key(ID-Actif)]],'DATA BTO'!A:N,8,FALSE)</f>
        <v>#N/A</v>
      </c>
      <c r="AE299" s="406" t="e">
        <f ca="1">IF(Tableau118[[#This Row],[First Day to POL]]&lt;=Tableau118[[#This Row],[Day Cut Off]],Tableau118[[#This Row],[Day ETD]],Tableau118[[#This Row],[Day ETD]]+7)</f>
        <v>#N/A</v>
      </c>
      <c r="AF299" s="50" t="e">
        <f ca="1">VLOOKUP(Tableau118[[#This Row],[Key(ID-Actif)]],'DATA BTO'!A:N,9,FALSE)</f>
        <v>#N/A</v>
      </c>
      <c r="AG299" s="3" t="e">
        <f ca="1">VLOOKUP(Tableau118[[#This Row],[Key(ID-Actif)]],'DATA BTO'!A:N,10,FALSE)</f>
        <v>#N/A</v>
      </c>
      <c r="AH299" s="3" t="e">
        <f ca="1">VLOOKUP(Tableau118[[#This Row],[Key(ID-Actif)]],'DATA BTO'!A:N,11,FALSE)</f>
        <v>#N/A</v>
      </c>
      <c r="AI299" s="50" t="e">
        <f ca="1">VLOOKUP(Tableau118[[#This Row],[Key(ID-Actif)]],'DATA BTO'!A:N,12,FALSE)</f>
        <v>#N/A</v>
      </c>
      <c r="AJ299" s="53" t="e">
        <f ca="1">VLOOKUP(Tableau118[[#This Row],[Key(ID-Actif)]],'DATA BTO'!A:N,14,FALSE)</f>
        <v>#N/A</v>
      </c>
      <c r="AK299" s="54" t="e">
        <f ca="1">VLOOKUP(Tableau118[[#This Row],[Key(POD -PFI- Usine)]],'DATA Consignee'!A:F,6,FALSE)</f>
        <v>#N/A</v>
      </c>
      <c r="AL299" s="283"/>
      <c r="AM299" s="490" t="str">
        <f>IF(Tableau118[[#This Row],[Name PFI/CDD]]="","-",VLOOKUP(Tableau118[[#This Row],[Name PFI/CDD]],Plant_AILN!I:J,2,FALSE))</f>
        <v>-</v>
      </c>
      <c r="AN29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29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299" s="2" t="e">
        <f ca="1">VLOOKUP(Tableau118[[#This Row],[Key(POD -PFI- Usine)]],'DATA Consignee'!A:J,10,FALSE)</f>
        <v>#N/A</v>
      </c>
      <c r="AQ299" s="50" t="e">
        <f ca="1">VLOOKUP(Tableau118[[#This Row],[Key(POD -PFI- Usine)]],'DATA Consignee'!A:N,14,FALSE)</f>
        <v>#N/A</v>
      </c>
      <c r="AR29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29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299" s="50" t="e">
        <f ca="1">Tableau118[[#This Row],[Transit time]]+Tableau118[[#This Row],[Time for security]]+Tableau118[[#This Row],[Time for security2 buffer]]</f>
        <v>#N/A</v>
      </c>
      <c r="AU29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299" s="50" t="e">
        <f ca="1">Tableau118[[#This Row],[Leadtime SI2C]]+Tableau118[[#This Row],[First Receipt Days]]-Tableau118[[#This Row],[Day Customer Order]]+1</f>
        <v>#N/A</v>
      </c>
      <c r="AW299" s="117" t="e">
        <f ca="1">IF(Tableau118[[#This Row],[Name ILN]]&lt;&gt;"SFK Freight Forwarder",Tableau118[[#This Row],[Cust. Leadtime]],Tableau118[[#This Row],[Leadtime SI2C]])</f>
        <v>#N/A</v>
      </c>
      <c r="AX299" s="57" t="e">
        <f>VLOOKUP(Tableau118[[#This Row],[ID]],'DATA BTO'!B:P,15,FALSE)</f>
        <v>#N/A</v>
      </c>
      <c r="AY299" s="328" t="e">
        <f ca="1">IFERROR(VLOOKUP(Tableau118[[#This Row],[Key(ID-Actif)]],'DATA BTO'!A:N,4,FALSE),VLOOKUP(Tableau118[[#This Row],[ID]],'DATA BTO'!B:N,3,FALSE))</f>
        <v>#N/A</v>
      </c>
      <c r="AZ29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29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29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29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29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299" s="50"/>
    </row>
    <row r="300" spans="2:57">
      <c r="B300" s="405" t="str">
        <f>_xlfn.CONCAT(Tableau118[[#This Row],[Name ILN]],"-",Tableau118[[#This Row],[Name Shipper]],"-",Tableau118[[#This Row],[Name Site]])</f>
        <v>--</v>
      </c>
      <c r="C300" s="64" t="e">
        <f ca="1">_xlfn.CONCAT(Tableau118[[#This Row],[Compte ILN]],"-",Tableau118[[#This Row],[Compte Shipper]],"-",Tableau118[[#This Row],[POL]],"-",Tableau118[[#This Row],[Compte Site]])</f>
        <v>#N/A</v>
      </c>
      <c r="D300" s="64" t="e">
        <f ca="1">_xlfn.CONCAT(Tableau118[[#This Row],[Compte ILN]],"-",Tableau118[[#This Row],[Compte Shipper]],"-",Tableau118[[#This Row],[POL]])</f>
        <v>#N/A</v>
      </c>
      <c r="E300" s="128" t="e">
        <f ca="1">_xlfn.CONCAT(Tableau118[[#This Row],[POL]],"-",Tableau118[[#This Row],[Carrier]],"-",Tableau118[[#This Row],[POD]])</f>
        <v>#N/A</v>
      </c>
      <c r="F300" s="64" t="str">
        <f>_xlfn.CONCAT(Tableau118[[#This Row],[ID]],"-","Next")</f>
        <v>-Next</v>
      </c>
      <c r="G300" s="64" t="e">
        <f ca="1">_xlfn.CONCAT(Tableau118[[#This Row],[POD]],"-",Tableau118[[#This Row],[Code PFI]],"-",Tableau118[[#This Row],[Compte Site]])</f>
        <v>#N/A</v>
      </c>
      <c r="H30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0" s="117" t="str">
        <f ca="1">IF(COUNTIF(I:I,Tableau118[[#This Row],[Plant-ILN-shipper-POL-Carrier-POD-PFI]])=1,"Non","Oui")</f>
        <v>Oui</v>
      </c>
      <c r="K300" s="126" t="e">
        <f>VLOOKUP(Tableau118[[#This Row],[Name Site]],Plant_AILN!A:D,4,FALSE)</f>
        <v>#N/A</v>
      </c>
      <c r="L300" s="363"/>
      <c r="M300" s="481"/>
      <c r="N300" s="55"/>
      <c r="O300" s="122"/>
      <c r="P300" s="481"/>
      <c r="Q300" s="50"/>
      <c r="R300" s="50"/>
      <c r="S300" s="50"/>
      <c r="T300" s="50"/>
      <c r="U300" s="50"/>
      <c r="V300" s="50"/>
      <c r="W300" s="50"/>
      <c r="X300" s="283"/>
      <c r="Y300" s="489">
        <f>IFERROR(VLOOKUP(Tableau118[[#This Row],[Name Shipper]],Plant_AILN!L:M,2,FALSE),0)</f>
        <v>0</v>
      </c>
      <c r="Z300" s="358"/>
      <c r="AA300" s="353" t="e">
        <f ca="1">VLOOKUP(Tableau118[[#This Row],[Key(ID-Actif)]],'DATA BTO'!A:N,5,FALSE)</f>
        <v>#N/A</v>
      </c>
      <c r="AB300" s="3" t="e">
        <f ca="1">VLOOKUP(Tableau118[[#This Row],[Key(ID-Actif)]],'DATA BTO'!A:N,6,FALSE)</f>
        <v>#N/A</v>
      </c>
      <c r="AC300" s="50" t="e">
        <f ca="1">VLOOKUP(Tableau118[[#This Row],[Key(ID-Actif)]],'DATA BTO'!A:N,7,FALSE)</f>
        <v>#N/A</v>
      </c>
      <c r="AD300" s="50" t="e">
        <f ca="1">VLOOKUP(Tableau118[[#This Row],[Key(ID-Actif)]],'DATA BTO'!A:N,8,FALSE)</f>
        <v>#N/A</v>
      </c>
      <c r="AE300" s="406" t="e">
        <f ca="1">IF(Tableau118[[#This Row],[First Day to POL]]&lt;=Tableau118[[#This Row],[Day Cut Off]],Tableau118[[#This Row],[Day ETD]],Tableau118[[#This Row],[Day ETD]]+7)</f>
        <v>#N/A</v>
      </c>
      <c r="AF300" s="50" t="e">
        <f ca="1">VLOOKUP(Tableau118[[#This Row],[Key(ID-Actif)]],'DATA BTO'!A:N,9,FALSE)</f>
        <v>#N/A</v>
      </c>
      <c r="AG300" s="3" t="e">
        <f ca="1">VLOOKUP(Tableau118[[#This Row],[Key(ID-Actif)]],'DATA BTO'!A:N,10,FALSE)</f>
        <v>#N/A</v>
      </c>
      <c r="AH300" s="3" t="e">
        <f ca="1">VLOOKUP(Tableau118[[#This Row],[Key(ID-Actif)]],'DATA BTO'!A:N,11,FALSE)</f>
        <v>#N/A</v>
      </c>
      <c r="AI300" s="50" t="e">
        <f ca="1">VLOOKUP(Tableau118[[#This Row],[Key(ID-Actif)]],'DATA BTO'!A:N,12,FALSE)</f>
        <v>#N/A</v>
      </c>
      <c r="AJ300" s="53" t="e">
        <f ca="1">VLOOKUP(Tableau118[[#This Row],[Key(ID-Actif)]],'DATA BTO'!A:N,14,FALSE)</f>
        <v>#N/A</v>
      </c>
      <c r="AK300" s="54" t="e">
        <f ca="1">VLOOKUP(Tableau118[[#This Row],[Key(POD -PFI- Usine)]],'DATA Consignee'!A:F,6,FALSE)</f>
        <v>#N/A</v>
      </c>
      <c r="AL300" s="283"/>
      <c r="AM300" s="490" t="str">
        <f>IF(Tableau118[[#This Row],[Name PFI/CDD]]="","-",VLOOKUP(Tableau118[[#This Row],[Name PFI/CDD]],Plant_AILN!I:J,2,FALSE))</f>
        <v>-</v>
      </c>
      <c r="AN30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0" s="2" t="e">
        <f ca="1">VLOOKUP(Tableau118[[#This Row],[Key(POD -PFI- Usine)]],'DATA Consignee'!A:J,10,FALSE)</f>
        <v>#N/A</v>
      </c>
      <c r="AQ300" s="50" t="e">
        <f ca="1">VLOOKUP(Tableau118[[#This Row],[Key(POD -PFI- Usine)]],'DATA Consignee'!A:N,14,FALSE)</f>
        <v>#N/A</v>
      </c>
      <c r="AR30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0" s="50" t="e">
        <f ca="1">Tableau118[[#This Row],[Transit time]]+Tableau118[[#This Row],[Time for security]]+Tableau118[[#This Row],[Time for security2 buffer]]</f>
        <v>#N/A</v>
      </c>
      <c r="AU30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0" s="50" t="e">
        <f ca="1">Tableau118[[#This Row],[Leadtime SI2C]]+Tableau118[[#This Row],[First Receipt Days]]-Tableau118[[#This Row],[Day Customer Order]]+1</f>
        <v>#N/A</v>
      </c>
      <c r="AW300" s="117" t="e">
        <f ca="1">IF(Tableau118[[#This Row],[Name ILN]]&lt;&gt;"SFK Freight Forwarder",Tableau118[[#This Row],[Cust. Leadtime]],Tableau118[[#This Row],[Leadtime SI2C]])</f>
        <v>#N/A</v>
      </c>
      <c r="AX300" s="57" t="e">
        <f>VLOOKUP(Tableau118[[#This Row],[ID]],'DATA BTO'!B:P,15,FALSE)</f>
        <v>#N/A</v>
      </c>
      <c r="AY300" s="328" t="e">
        <f ca="1">IFERROR(VLOOKUP(Tableau118[[#This Row],[Key(ID-Actif)]],'DATA BTO'!A:N,4,FALSE),VLOOKUP(Tableau118[[#This Row],[ID]],'DATA BTO'!B:N,3,FALSE))</f>
        <v>#N/A</v>
      </c>
      <c r="AZ30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0" s="50"/>
    </row>
    <row r="301" spans="2:57">
      <c r="B301" s="405" t="str">
        <f>_xlfn.CONCAT(Tableau118[[#This Row],[Name ILN]],"-",Tableau118[[#This Row],[Name Shipper]],"-",Tableau118[[#This Row],[Name Site]])</f>
        <v>--</v>
      </c>
      <c r="C301" s="64" t="e">
        <f ca="1">_xlfn.CONCAT(Tableau118[[#This Row],[Compte ILN]],"-",Tableau118[[#This Row],[Compte Shipper]],"-",Tableau118[[#This Row],[POL]],"-",Tableau118[[#This Row],[Compte Site]])</f>
        <v>#N/A</v>
      </c>
      <c r="D301" s="64" t="e">
        <f ca="1">_xlfn.CONCAT(Tableau118[[#This Row],[Compte ILN]],"-",Tableau118[[#This Row],[Compte Shipper]],"-",Tableau118[[#This Row],[POL]])</f>
        <v>#N/A</v>
      </c>
      <c r="E301" s="128" t="e">
        <f ca="1">_xlfn.CONCAT(Tableau118[[#This Row],[POL]],"-",Tableau118[[#This Row],[Carrier]],"-",Tableau118[[#This Row],[POD]])</f>
        <v>#N/A</v>
      </c>
      <c r="F301" s="64" t="str">
        <f>_xlfn.CONCAT(Tableau118[[#This Row],[ID]],"-","Next")</f>
        <v>-Next</v>
      </c>
      <c r="G301" s="64" t="e">
        <f ca="1">_xlfn.CONCAT(Tableau118[[#This Row],[POD]],"-",Tableau118[[#This Row],[Code PFI]],"-",Tableau118[[#This Row],[Compte Site]])</f>
        <v>#N/A</v>
      </c>
      <c r="H30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1" s="117" t="str">
        <f ca="1">IF(COUNTIF(I:I,Tableau118[[#This Row],[Plant-ILN-shipper-POL-Carrier-POD-PFI]])=1,"Non","Oui")</f>
        <v>Oui</v>
      </c>
      <c r="K301" s="126" t="e">
        <f>VLOOKUP(Tableau118[[#This Row],[Name Site]],Plant_AILN!A:D,4,FALSE)</f>
        <v>#N/A</v>
      </c>
      <c r="L301" s="363"/>
      <c r="M301" s="481"/>
      <c r="N301" s="55"/>
      <c r="O301" s="122"/>
      <c r="P301" s="481"/>
      <c r="Q301" s="50"/>
      <c r="R301" s="50"/>
      <c r="S301" s="50"/>
      <c r="T301" s="50"/>
      <c r="U301" s="50"/>
      <c r="V301" s="50"/>
      <c r="W301" s="50"/>
      <c r="X301" s="283"/>
      <c r="Y301" s="489">
        <f>IFERROR(VLOOKUP(Tableau118[[#This Row],[Name Shipper]],Plant_AILN!L:M,2,FALSE),0)</f>
        <v>0</v>
      </c>
      <c r="Z301" s="358"/>
      <c r="AA301" s="353" t="e">
        <f ca="1">VLOOKUP(Tableau118[[#This Row],[Key(ID-Actif)]],'DATA BTO'!A:N,5,FALSE)</f>
        <v>#N/A</v>
      </c>
      <c r="AB301" s="3" t="e">
        <f ca="1">VLOOKUP(Tableau118[[#This Row],[Key(ID-Actif)]],'DATA BTO'!A:N,6,FALSE)</f>
        <v>#N/A</v>
      </c>
      <c r="AC301" s="50" t="e">
        <f ca="1">VLOOKUP(Tableau118[[#This Row],[Key(ID-Actif)]],'DATA BTO'!A:N,7,FALSE)</f>
        <v>#N/A</v>
      </c>
      <c r="AD301" s="50" t="e">
        <f ca="1">VLOOKUP(Tableau118[[#This Row],[Key(ID-Actif)]],'DATA BTO'!A:N,8,FALSE)</f>
        <v>#N/A</v>
      </c>
      <c r="AE301" s="406" t="e">
        <f ca="1">IF(Tableau118[[#This Row],[First Day to POL]]&lt;=Tableau118[[#This Row],[Day Cut Off]],Tableau118[[#This Row],[Day ETD]],Tableau118[[#This Row],[Day ETD]]+7)</f>
        <v>#N/A</v>
      </c>
      <c r="AF301" s="50" t="e">
        <f ca="1">VLOOKUP(Tableau118[[#This Row],[Key(ID-Actif)]],'DATA BTO'!A:N,9,FALSE)</f>
        <v>#N/A</v>
      </c>
      <c r="AG301" s="3" t="e">
        <f ca="1">VLOOKUP(Tableau118[[#This Row],[Key(ID-Actif)]],'DATA BTO'!A:N,10,FALSE)</f>
        <v>#N/A</v>
      </c>
      <c r="AH301" s="3" t="e">
        <f ca="1">VLOOKUP(Tableau118[[#This Row],[Key(ID-Actif)]],'DATA BTO'!A:N,11,FALSE)</f>
        <v>#N/A</v>
      </c>
      <c r="AI301" s="50" t="e">
        <f ca="1">VLOOKUP(Tableau118[[#This Row],[Key(ID-Actif)]],'DATA BTO'!A:N,12,FALSE)</f>
        <v>#N/A</v>
      </c>
      <c r="AJ301" s="53" t="e">
        <f ca="1">VLOOKUP(Tableau118[[#This Row],[Key(ID-Actif)]],'DATA BTO'!A:N,14,FALSE)</f>
        <v>#N/A</v>
      </c>
      <c r="AK301" s="54" t="e">
        <f ca="1">VLOOKUP(Tableau118[[#This Row],[Key(POD -PFI- Usine)]],'DATA Consignee'!A:F,6,FALSE)</f>
        <v>#N/A</v>
      </c>
      <c r="AL301" s="283"/>
      <c r="AM301" s="490" t="str">
        <f>IF(Tableau118[[#This Row],[Name PFI/CDD]]="","-",VLOOKUP(Tableau118[[#This Row],[Name PFI/CDD]],Plant_AILN!I:J,2,FALSE))</f>
        <v>-</v>
      </c>
      <c r="AN30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1" s="2" t="e">
        <f ca="1">VLOOKUP(Tableau118[[#This Row],[Key(POD -PFI- Usine)]],'DATA Consignee'!A:J,10,FALSE)</f>
        <v>#N/A</v>
      </c>
      <c r="AQ301" s="50" t="e">
        <f ca="1">VLOOKUP(Tableau118[[#This Row],[Key(POD -PFI- Usine)]],'DATA Consignee'!A:N,14,FALSE)</f>
        <v>#N/A</v>
      </c>
      <c r="AR30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1" s="50" t="e">
        <f ca="1">Tableau118[[#This Row],[Transit time]]+Tableau118[[#This Row],[Time for security]]+Tableau118[[#This Row],[Time for security2 buffer]]</f>
        <v>#N/A</v>
      </c>
      <c r="AU30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1" s="50" t="e">
        <f ca="1">Tableau118[[#This Row],[Leadtime SI2C]]+Tableau118[[#This Row],[First Receipt Days]]-Tableau118[[#This Row],[Day Customer Order]]+1</f>
        <v>#N/A</v>
      </c>
      <c r="AW301" s="117" t="e">
        <f ca="1">IF(Tableau118[[#This Row],[Name ILN]]&lt;&gt;"SFK Freight Forwarder",Tableau118[[#This Row],[Cust. Leadtime]],Tableau118[[#This Row],[Leadtime SI2C]])</f>
        <v>#N/A</v>
      </c>
      <c r="AX301" s="57" t="e">
        <f>VLOOKUP(Tableau118[[#This Row],[ID]],'DATA BTO'!B:P,15,FALSE)</f>
        <v>#N/A</v>
      </c>
      <c r="AY301" s="328" t="e">
        <f ca="1">IFERROR(VLOOKUP(Tableau118[[#This Row],[Key(ID-Actif)]],'DATA BTO'!A:N,4,FALSE),VLOOKUP(Tableau118[[#This Row],[ID]],'DATA BTO'!B:N,3,FALSE))</f>
        <v>#N/A</v>
      </c>
      <c r="AZ30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1" s="50"/>
    </row>
    <row r="302" spans="2:57">
      <c r="B302" s="405" t="str">
        <f>_xlfn.CONCAT(Tableau118[[#This Row],[Name ILN]],"-",Tableau118[[#This Row],[Name Shipper]],"-",Tableau118[[#This Row],[Name Site]])</f>
        <v>--</v>
      </c>
      <c r="C302" s="64" t="e">
        <f ca="1">_xlfn.CONCAT(Tableau118[[#This Row],[Compte ILN]],"-",Tableau118[[#This Row],[Compte Shipper]],"-",Tableau118[[#This Row],[POL]],"-",Tableau118[[#This Row],[Compte Site]])</f>
        <v>#N/A</v>
      </c>
      <c r="D302" s="64" t="e">
        <f ca="1">_xlfn.CONCAT(Tableau118[[#This Row],[Compte ILN]],"-",Tableau118[[#This Row],[Compte Shipper]],"-",Tableau118[[#This Row],[POL]])</f>
        <v>#N/A</v>
      </c>
      <c r="E302" s="128" t="e">
        <f ca="1">_xlfn.CONCAT(Tableau118[[#This Row],[POL]],"-",Tableau118[[#This Row],[Carrier]],"-",Tableau118[[#This Row],[POD]])</f>
        <v>#N/A</v>
      </c>
      <c r="F302" s="64" t="str">
        <f>_xlfn.CONCAT(Tableau118[[#This Row],[ID]],"-","Next")</f>
        <v>-Next</v>
      </c>
      <c r="G302" s="64" t="e">
        <f ca="1">_xlfn.CONCAT(Tableau118[[#This Row],[POD]],"-",Tableau118[[#This Row],[Code PFI]],"-",Tableau118[[#This Row],[Compte Site]])</f>
        <v>#N/A</v>
      </c>
      <c r="H30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2" s="117" t="str">
        <f ca="1">IF(COUNTIF(I:I,Tableau118[[#This Row],[Plant-ILN-shipper-POL-Carrier-POD-PFI]])=1,"Non","Oui")</f>
        <v>Oui</v>
      </c>
      <c r="K302" s="126" t="e">
        <f>VLOOKUP(Tableau118[[#This Row],[Name Site]],Plant_AILN!A:D,4,FALSE)</f>
        <v>#N/A</v>
      </c>
      <c r="L302" s="363"/>
      <c r="M302" s="481"/>
      <c r="N302" s="55"/>
      <c r="O302" s="122"/>
      <c r="P302" s="481"/>
      <c r="Q302" s="50"/>
      <c r="R302" s="50"/>
      <c r="S302" s="50"/>
      <c r="T302" s="50"/>
      <c r="U302" s="50"/>
      <c r="V302" s="50"/>
      <c r="W302" s="50"/>
      <c r="X302" s="283"/>
      <c r="Y302" s="489">
        <f>IFERROR(VLOOKUP(Tableau118[[#This Row],[Name Shipper]],Plant_AILN!L:M,2,FALSE),0)</f>
        <v>0</v>
      </c>
      <c r="Z302" s="358"/>
      <c r="AA302" s="353" t="e">
        <f ca="1">VLOOKUP(Tableau118[[#This Row],[Key(ID-Actif)]],'DATA BTO'!A:N,5,FALSE)</f>
        <v>#N/A</v>
      </c>
      <c r="AB302" s="3" t="e">
        <f ca="1">VLOOKUP(Tableau118[[#This Row],[Key(ID-Actif)]],'DATA BTO'!A:N,6,FALSE)</f>
        <v>#N/A</v>
      </c>
      <c r="AC302" s="50" t="e">
        <f ca="1">VLOOKUP(Tableau118[[#This Row],[Key(ID-Actif)]],'DATA BTO'!A:N,7,FALSE)</f>
        <v>#N/A</v>
      </c>
      <c r="AD302" s="50" t="e">
        <f ca="1">VLOOKUP(Tableau118[[#This Row],[Key(ID-Actif)]],'DATA BTO'!A:N,8,FALSE)</f>
        <v>#N/A</v>
      </c>
      <c r="AE302" s="406" t="e">
        <f ca="1">IF(Tableau118[[#This Row],[First Day to POL]]&lt;=Tableau118[[#This Row],[Day Cut Off]],Tableau118[[#This Row],[Day ETD]],Tableau118[[#This Row],[Day ETD]]+7)</f>
        <v>#N/A</v>
      </c>
      <c r="AF302" s="50" t="e">
        <f ca="1">VLOOKUP(Tableau118[[#This Row],[Key(ID-Actif)]],'DATA BTO'!A:N,9,FALSE)</f>
        <v>#N/A</v>
      </c>
      <c r="AG302" s="3" t="e">
        <f ca="1">VLOOKUP(Tableau118[[#This Row],[Key(ID-Actif)]],'DATA BTO'!A:N,10,FALSE)</f>
        <v>#N/A</v>
      </c>
      <c r="AH302" s="3" t="e">
        <f ca="1">VLOOKUP(Tableau118[[#This Row],[Key(ID-Actif)]],'DATA BTO'!A:N,11,FALSE)</f>
        <v>#N/A</v>
      </c>
      <c r="AI302" s="50" t="e">
        <f ca="1">VLOOKUP(Tableau118[[#This Row],[Key(ID-Actif)]],'DATA BTO'!A:N,12,FALSE)</f>
        <v>#N/A</v>
      </c>
      <c r="AJ302" s="53" t="e">
        <f ca="1">VLOOKUP(Tableau118[[#This Row],[Key(ID-Actif)]],'DATA BTO'!A:N,14,FALSE)</f>
        <v>#N/A</v>
      </c>
      <c r="AK302" s="54" t="e">
        <f ca="1">VLOOKUP(Tableau118[[#This Row],[Key(POD -PFI- Usine)]],'DATA Consignee'!A:F,6,FALSE)</f>
        <v>#N/A</v>
      </c>
      <c r="AL302" s="283"/>
      <c r="AM302" s="490" t="str">
        <f>IF(Tableau118[[#This Row],[Name PFI/CDD]]="","-",VLOOKUP(Tableau118[[#This Row],[Name PFI/CDD]],Plant_AILN!I:J,2,FALSE))</f>
        <v>-</v>
      </c>
      <c r="AN30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2" s="2" t="e">
        <f ca="1">VLOOKUP(Tableau118[[#This Row],[Key(POD -PFI- Usine)]],'DATA Consignee'!A:J,10,FALSE)</f>
        <v>#N/A</v>
      </c>
      <c r="AQ302" s="50" t="e">
        <f ca="1">VLOOKUP(Tableau118[[#This Row],[Key(POD -PFI- Usine)]],'DATA Consignee'!A:N,14,FALSE)</f>
        <v>#N/A</v>
      </c>
      <c r="AR30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2" s="50" t="e">
        <f ca="1">Tableau118[[#This Row],[Transit time]]+Tableau118[[#This Row],[Time for security]]+Tableau118[[#This Row],[Time for security2 buffer]]</f>
        <v>#N/A</v>
      </c>
      <c r="AU30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2" s="50" t="e">
        <f ca="1">Tableau118[[#This Row],[Leadtime SI2C]]+Tableau118[[#This Row],[First Receipt Days]]-Tableau118[[#This Row],[Day Customer Order]]+1</f>
        <v>#N/A</v>
      </c>
      <c r="AW302" s="117" t="e">
        <f ca="1">IF(Tableau118[[#This Row],[Name ILN]]&lt;&gt;"SFK Freight Forwarder",Tableau118[[#This Row],[Cust. Leadtime]],Tableau118[[#This Row],[Leadtime SI2C]])</f>
        <v>#N/A</v>
      </c>
      <c r="AX302" s="57" t="e">
        <f>VLOOKUP(Tableau118[[#This Row],[ID]],'DATA BTO'!B:P,15,FALSE)</f>
        <v>#N/A</v>
      </c>
      <c r="AY302" s="328" t="e">
        <f ca="1">IFERROR(VLOOKUP(Tableau118[[#This Row],[Key(ID-Actif)]],'DATA BTO'!A:N,4,FALSE),VLOOKUP(Tableau118[[#This Row],[ID]],'DATA BTO'!B:N,3,FALSE))</f>
        <v>#N/A</v>
      </c>
      <c r="AZ30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2" s="50"/>
    </row>
    <row r="303" spans="2:57">
      <c r="B303" s="405" t="str">
        <f>_xlfn.CONCAT(Tableau118[[#This Row],[Name ILN]],"-",Tableau118[[#This Row],[Name Shipper]],"-",Tableau118[[#This Row],[Name Site]])</f>
        <v>--</v>
      </c>
      <c r="C303" s="64" t="e">
        <f ca="1">_xlfn.CONCAT(Tableau118[[#This Row],[Compte ILN]],"-",Tableau118[[#This Row],[Compte Shipper]],"-",Tableau118[[#This Row],[POL]],"-",Tableau118[[#This Row],[Compte Site]])</f>
        <v>#N/A</v>
      </c>
      <c r="D303" s="64" t="e">
        <f ca="1">_xlfn.CONCAT(Tableau118[[#This Row],[Compte ILN]],"-",Tableau118[[#This Row],[Compte Shipper]],"-",Tableau118[[#This Row],[POL]])</f>
        <v>#N/A</v>
      </c>
      <c r="E303" s="128" t="e">
        <f ca="1">_xlfn.CONCAT(Tableau118[[#This Row],[POL]],"-",Tableau118[[#This Row],[Carrier]],"-",Tableau118[[#This Row],[POD]])</f>
        <v>#N/A</v>
      </c>
      <c r="F303" s="64" t="str">
        <f>_xlfn.CONCAT(Tableau118[[#This Row],[ID]],"-","Next")</f>
        <v>-Next</v>
      </c>
      <c r="G303" s="64" t="e">
        <f ca="1">_xlfn.CONCAT(Tableau118[[#This Row],[POD]],"-",Tableau118[[#This Row],[Code PFI]],"-",Tableau118[[#This Row],[Compte Site]])</f>
        <v>#N/A</v>
      </c>
      <c r="H30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3" s="117" t="str">
        <f ca="1">IF(COUNTIF(I:I,Tableau118[[#This Row],[Plant-ILN-shipper-POL-Carrier-POD-PFI]])=1,"Non","Oui")</f>
        <v>Oui</v>
      </c>
      <c r="K303" s="126" t="e">
        <f>VLOOKUP(Tableau118[[#This Row],[Name Site]],Plant_AILN!A:D,4,FALSE)</f>
        <v>#N/A</v>
      </c>
      <c r="L303" s="363"/>
      <c r="M303" s="481"/>
      <c r="N303" s="55"/>
      <c r="O303" s="122"/>
      <c r="P303" s="481"/>
      <c r="Q303" s="50"/>
      <c r="R303" s="50"/>
      <c r="S303" s="50"/>
      <c r="T303" s="50"/>
      <c r="U303" s="50"/>
      <c r="V303" s="50"/>
      <c r="W303" s="50"/>
      <c r="X303" s="283"/>
      <c r="Y303" s="489">
        <f>IFERROR(VLOOKUP(Tableau118[[#This Row],[Name Shipper]],Plant_AILN!L:M,2,FALSE),0)</f>
        <v>0</v>
      </c>
      <c r="Z303" s="358"/>
      <c r="AA303" s="353" t="e">
        <f ca="1">VLOOKUP(Tableau118[[#This Row],[Key(ID-Actif)]],'DATA BTO'!A:N,5,FALSE)</f>
        <v>#N/A</v>
      </c>
      <c r="AB303" s="3" t="e">
        <f ca="1">VLOOKUP(Tableau118[[#This Row],[Key(ID-Actif)]],'DATA BTO'!A:N,6,FALSE)</f>
        <v>#N/A</v>
      </c>
      <c r="AC303" s="50" t="e">
        <f ca="1">VLOOKUP(Tableau118[[#This Row],[Key(ID-Actif)]],'DATA BTO'!A:N,7,FALSE)</f>
        <v>#N/A</v>
      </c>
      <c r="AD303" s="50" t="e">
        <f ca="1">VLOOKUP(Tableau118[[#This Row],[Key(ID-Actif)]],'DATA BTO'!A:N,8,FALSE)</f>
        <v>#N/A</v>
      </c>
      <c r="AE303" s="406" t="e">
        <f ca="1">IF(Tableau118[[#This Row],[First Day to POL]]&lt;=Tableau118[[#This Row],[Day Cut Off]],Tableau118[[#This Row],[Day ETD]],Tableau118[[#This Row],[Day ETD]]+7)</f>
        <v>#N/A</v>
      </c>
      <c r="AF303" s="50" t="e">
        <f ca="1">VLOOKUP(Tableau118[[#This Row],[Key(ID-Actif)]],'DATA BTO'!A:N,9,FALSE)</f>
        <v>#N/A</v>
      </c>
      <c r="AG303" s="3" t="e">
        <f ca="1">VLOOKUP(Tableau118[[#This Row],[Key(ID-Actif)]],'DATA BTO'!A:N,10,FALSE)</f>
        <v>#N/A</v>
      </c>
      <c r="AH303" s="3" t="e">
        <f ca="1">VLOOKUP(Tableau118[[#This Row],[Key(ID-Actif)]],'DATA BTO'!A:N,11,FALSE)</f>
        <v>#N/A</v>
      </c>
      <c r="AI303" s="50" t="e">
        <f ca="1">VLOOKUP(Tableau118[[#This Row],[Key(ID-Actif)]],'DATA BTO'!A:N,12,FALSE)</f>
        <v>#N/A</v>
      </c>
      <c r="AJ303" s="53" t="e">
        <f ca="1">VLOOKUP(Tableau118[[#This Row],[Key(ID-Actif)]],'DATA BTO'!A:N,14,FALSE)</f>
        <v>#N/A</v>
      </c>
      <c r="AK303" s="54" t="e">
        <f ca="1">VLOOKUP(Tableau118[[#This Row],[Key(POD -PFI- Usine)]],'DATA Consignee'!A:F,6,FALSE)</f>
        <v>#N/A</v>
      </c>
      <c r="AL303" s="283"/>
      <c r="AM303" s="490" t="str">
        <f>IF(Tableau118[[#This Row],[Name PFI/CDD]]="","-",VLOOKUP(Tableau118[[#This Row],[Name PFI/CDD]],Plant_AILN!I:J,2,FALSE))</f>
        <v>-</v>
      </c>
      <c r="AN30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3" s="2" t="e">
        <f ca="1">VLOOKUP(Tableau118[[#This Row],[Key(POD -PFI- Usine)]],'DATA Consignee'!A:J,10,FALSE)</f>
        <v>#N/A</v>
      </c>
      <c r="AQ303" s="50" t="e">
        <f ca="1">VLOOKUP(Tableau118[[#This Row],[Key(POD -PFI- Usine)]],'DATA Consignee'!A:N,14,FALSE)</f>
        <v>#N/A</v>
      </c>
      <c r="AR30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3" s="50" t="e">
        <f ca="1">Tableau118[[#This Row],[Transit time]]+Tableau118[[#This Row],[Time for security]]+Tableau118[[#This Row],[Time for security2 buffer]]</f>
        <v>#N/A</v>
      </c>
      <c r="AU30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3" s="50" t="e">
        <f ca="1">Tableau118[[#This Row],[Leadtime SI2C]]+Tableau118[[#This Row],[First Receipt Days]]-Tableau118[[#This Row],[Day Customer Order]]+1</f>
        <v>#N/A</v>
      </c>
      <c r="AW303" s="117" t="e">
        <f ca="1">IF(Tableau118[[#This Row],[Name ILN]]&lt;&gt;"SFK Freight Forwarder",Tableau118[[#This Row],[Cust. Leadtime]],Tableau118[[#This Row],[Leadtime SI2C]])</f>
        <v>#N/A</v>
      </c>
      <c r="AX303" s="57" t="e">
        <f>VLOOKUP(Tableau118[[#This Row],[ID]],'DATA BTO'!B:P,15,FALSE)</f>
        <v>#N/A</v>
      </c>
      <c r="AY303" s="328" t="e">
        <f ca="1">IFERROR(VLOOKUP(Tableau118[[#This Row],[Key(ID-Actif)]],'DATA BTO'!A:N,4,FALSE),VLOOKUP(Tableau118[[#This Row],[ID]],'DATA BTO'!B:N,3,FALSE))</f>
        <v>#N/A</v>
      </c>
      <c r="AZ30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3" s="50"/>
    </row>
    <row r="304" spans="2:57">
      <c r="B304" s="405" t="str">
        <f>_xlfn.CONCAT(Tableau118[[#This Row],[Name ILN]],"-",Tableau118[[#This Row],[Name Shipper]],"-",Tableau118[[#This Row],[Name Site]])</f>
        <v>--</v>
      </c>
      <c r="C304" s="64" t="e">
        <f ca="1">_xlfn.CONCAT(Tableau118[[#This Row],[Compte ILN]],"-",Tableau118[[#This Row],[Compte Shipper]],"-",Tableau118[[#This Row],[POL]],"-",Tableau118[[#This Row],[Compte Site]])</f>
        <v>#N/A</v>
      </c>
      <c r="D304" s="64" t="e">
        <f ca="1">_xlfn.CONCAT(Tableau118[[#This Row],[Compte ILN]],"-",Tableau118[[#This Row],[Compte Shipper]],"-",Tableau118[[#This Row],[POL]])</f>
        <v>#N/A</v>
      </c>
      <c r="E304" s="128" t="e">
        <f ca="1">_xlfn.CONCAT(Tableau118[[#This Row],[POL]],"-",Tableau118[[#This Row],[Carrier]],"-",Tableau118[[#This Row],[POD]])</f>
        <v>#N/A</v>
      </c>
      <c r="F304" s="64" t="str">
        <f>_xlfn.CONCAT(Tableau118[[#This Row],[ID]],"-","Next")</f>
        <v>-Next</v>
      </c>
      <c r="G304" s="64" t="e">
        <f ca="1">_xlfn.CONCAT(Tableau118[[#This Row],[POD]],"-",Tableau118[[#This Row],[Code PFI]],"-",Tableau118[[#This Row],[Compte Site]])</f>
        <v>#N/A</v>
      </c>
      <c r="H30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4" s="117" t="str">
        <f ca="1">IF(COUNTIF(I:I,Tableau118[[#This Row],[Plant-ILN-shipper-POL-Carrier-POD-PFI]])=1,"Non","Oui")</f>
        <v>Oui</v>
      </c>
      <c r="K304" s="126" t="e">
        <f>VLOOKUP(Tableau118[[#This Row],[Name Site]],Plant_AILN!A:D,4,FALSE)</f>
        <v>#N/A</v>
      </c>
      <c r="L304" s="363"/>
      <c r="M304" s="481"/>
      <c r="N304" s="55"/>
      <c r="O304" s="122"/>
      <c r="P304" s="481"/>
      <c r="Q304" s="50"/>
      <c r="R304" s="50"/>
      <c r="S304" s="50"/>
      <c r="T304" s="50"/>
      <c r="U304" s="50"/>
      <c r="V304" s="50"/>
      <c r="W304" s="50"/>
      <c r="X304" s="283"/>
      <c r="Y304" s="489">
        <f>IFERROR(VLOOKUP(Tableau118[[#This Row],[Name Shipper]],Plant_AILN!L:M,2,FALSE),0)</f>
        <v>0</v>
      </c>
      <c r="Z304" s="358"/>
      <c r="AA304" s="353" t="e">
        <f ca="1">VLOOKUP(Tableau118[[#This Row],[Key(ID-Actif)]],'DATA BTO'!A:N,5,FALSE)</f>
        <v>#N/A</v>
      </c>
      <c r="AB304" s="3" t="e">
        <f ca="1">VLOOKUP(Tableau118[[#This Row],[Key(ID-Actif)]],'DATA BTO'!A:N,6,FALSE)</f>
        <v>#N/A</v>
      </c>
      <c r="AC304" s="50" t="e">
        <f ca="1">VLOOKUP(Tableau118[[#This Row],[Key(ID-Actif)]],'DATA BTO'!A:N,7,FALSE)</f>
        <v>#N/A</v>
      </c>
      <c r="AD304" s="50" t="e">
        <f ca="1">VLOOKUP(Tableau118[[#This Row],[Key(ID-Actif)]],'DATA BTO'!A:N,8,FALSE)</f>
        <v>#N/A</v>
      </c>
      <c r="AE304" s="406" t="e">
        <f ca="1">IF(Tableau118[[#This Row],[First Day to POL]]&lt;=Tableau118[[#This Row],[Day Cut Off]],Tableau118[[#This Row],[Day ETD]],Tableau118[[#This Row],[Day ETD]]+7)</f>
        <v>#N/A</v>
      </c>
      <c r="AF304" s="50" t="e">
        <f ca="1">VLOOKUP(Tableau118[[#This Row],[Key(ID-Actif)]],'DATA BTO'!A:N,9,FALSE)</f>
        <v>#N/A</v>
      </c>
      <c r="AG304" s="3" t="e">
        <f ca="1">VLOOKUP(Tableau118[[#This Row],[Key(ID-Actif)]],'DATA BTO'!A:N,10,FALSE)</f>
        <v>#N/A</v>
      </c>
      <c r="AH304" s="3" t="e">
        <f ca="1">VLOOKUP(Tableau118[[#This Row],[Key(ID-Actif)]],'DATA BTO'!A:N,11,FALSE)</f>
        <v>#N/A</v>
      </c>
      <c r="AI304" s="50" t="e">
        <f ca="1">VLOOKUP(Tableau118[[#This Row],[Key(ID-Actif)]],'DATA BTO'!A:N,12,FALSE)</f>
        <v>#N/A</v>
      </c>
      <c r="AJ304" s="53" t="e">
        <f ca="1">VLOOKUP(Tableau118[[#This Row],[Key(ID-Actif)]],'DATA BTO'!A:N,14,FALSE)</f>
        <v>#N/A</v>
      </c>
      <c r="AK304" s="54" t="e">
        <f ca="1">VLOOKUP(Tableau118[[#This Row],[Key(POD -PFI- Usine)]],'DATA Consignee'!A:F,6,FALSE)</f>
        <v>#N/A</v>
      </c>
      <c r="AL304" s="283"/>
      <c r="AM304" s="490" t="str">
        <f>IF(Tableau118[[#This Row],[Name PFI/CDD]]="","-",VLOOKUP(Tableau118[[#This Row],[Name PFI/CDD]],Plant_AILN!I:J,2,FALSE))</f>
        <v>-</v>
      </c>
      <c r="AN30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4" s="2" t="e">
        <f ca="1">VLOOKUP(Tableau118[[#This Row],[Key(POD -PFI- Usine)]],'DATA Consignee'!A:J,10,FALSE)</f>
        <v>#N/A</v>
      </c>
      <c r="AQ304" s="50" t="e">
        <f ca="1">VLOOKUP(Tableau118[[#This Row],[Key(POD -PFI- Usine)]],'DATA Consignee'!A:N,14,FALSE)</f>
        <v>#N/A</v>
      </c>
      <c r="AR30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4" s="50" t="e">
        <f ca="1">Tableau118[[#This Row],[Transit time]]+Tableau118[[#This Row],[Time for security]]+Tableau118[[#This Row],[Time for security2 buffer]]</f>
        <v>#N/A</v>
      </c>
      <c r="AU30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4" s="50" t="e">
        <f ca="1">Tableau118[[#This Row],[Leadtime SI2C]]+Tableau118[[#This Row],[First Receipt Days]]-Tableau118[[#This Row],[Day Customer Order]]+1</f>
        <v>#N/A</v>
      </c>
      <c r="AW304" s="117" t="e">
        <f ca="1">IF(Tableau118[[#This Row],[Name ILN]]&lt;&gt;"SFK Freight Forwarder",Tableau118[[#This Row],[Cust. Leadtime]],Tableau118[[#This Row],[Leadtime SI2C]])</f>
        <v>#N/A</v>
      </c>
      <c r="AX304" s="57" t="e">
        <f>VLOOKUP(Tableau118[[#This Row],[ID]],'DATA BTO'!B:P,15,FALSE)</f>
        <v>#N/A</v>
      </c>
      <c r="AY304" s="328" t="e">
        <f ca="1">IFERROR(VLOOKUP(Tableau118[[#This Row],[Key(ID-Actif)]],'DATA BTO'!A:N,4,FALSE),VLOOKUP(Tableau118[[#This Row],[ID]],'DATA BTO'!B:N,3,FALSE))</f>
        <v>#N/A</v>
      </c>
      <c r="AZ30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4" s="50"/>
    </row>
    <row r="305" spans="2:57">
      <c r="B305" s="405" t="str">
        <f>_xlfn.CONCAT(Tableau118[[#This Row],[Name ILN]],"-",Tableau118[[#This Row],[Name Shipper]],"-",Tableau118[[#This Row],[Name Site]])</f>
        <v>--</v>
      </c>
      <c r="C305" s="64" t="e">
        <f ca="1">_xlfn.CONCAT(Tableau118[[#This Row],[Compte ILN]],"-",Tableau118[[#This Row],[Compte Shipper]],"-",Tableau118[[#This Row],[POL]],"-",Tableau118[[#This Row],[Compte Site]])</f>
        <v>#N/A</v>
      </c>
      <c r="D305" s="64" t="e">
        <f ca="1">_xlfn.CONCAT(Tableau118[[#This Row],[Compte ILN]],"-",Tableau118[[#This Row],[Compte Shipper]],"-",Tableau118[[#This Row],[POL]])</f>
        <v>#N/A</v>
      </c>
      <c r="E305" s="128" t="e">
        <f ca="1">_xlfn.CONCAT(Tableau118[[#This Row],[POL]],"-",Tableau118[[#This Row],[Carrier]],"-",Tableau118[[#This Row],[POD]])</f>
        <v>#N/A</v>
      </c>
      <c r="F305" s="64" t="str">
        <f>_xlfn.CONCAT(Tableau118[[#This Row],[ID]],"-","Next")</f>
        <v>-Next</v>
      </c>
      <c r="G305" s="64" t="e">
        <f ca="1">_xlfn.CONCAT(Tableau118[[#This Row],[POD]],"-",Tableau118[[#This Row],[Code PFI]],"-",Tableau118[[#This Row],[Compte Site]])</f>
        <v>#N/A</v>
      </c>
      <c r="H30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5" s="117" t="str">
        <f ca="1">IF(COUNTIF(I:I,Tableau118[[#This Row],[Plant-ILN-shipper-POL-Carrier-POD-PFI]])=1,"Non","Oui")</f>
        <v>Oui</v>
      </c>
      <c r="K305" s="126" t="e">
        <f>VLOOKUP(Tableau118[[#This Row],[Name Site]],Plant_AILN!A:D,4,FALSE)</f>
        <v>#N/A</v>
      </c>
      <c r="L305" s="363"/>
      <c r="M305" s="481"/>
      <c r="N305" s="55"/>
      <c r="O305" s="122"/>
      <c r="P305" s="481"/>
      <c r="Q305" s="50"/>
      <c r="R305" s="50"/>
      <c r="S305" s="50"/>
      <c r="T305" s="50"/>
      <c r="U305" s="50"/>
      <c r="V305" s="50"/>
      <c r="W305" s="50"/>
      <c r="X305" s="283"/>
      <c r="Y305" s="489">
        <f>IFERROR(VLOOKUP(Tableau118[[#This Row],[Name Shipper]],Plant_AILN!L:M,2,FALSE),0)</f>
        <v>0</v>
      </c>
      <c r="Z305" s="358"/>
      <c r="AA305" s="353" t="e">
        <f ca="1">VLOOKUP(Tableau118[[#This Row],[Key(ID-Actif)]],'DATA BTO'!A:N,5,FALSE)</f>
        <v>#N/A</v>
      </c>
      <c r="AB305" s="3" t="e">
        <f ca="1">VLOOKUP(Tableau118[[#This Row],[Key(ID-Actif)]],'DATA BTO'!A:N,6,FALSE)</f>
        <v>#N/A</v>
      </c>
      <c r="AC305" s="50" t="e">
        <f ca="1">VLOOKUP(Tableau118[[#This Row],[Key(ID-Actif)]],'DATA BTO'!A:N,7,FALSE)</f>
        <v>#N/A</v>
      </c>
      <c r="AD305" s="50" t="e">
        <f ca="1">VLOOKUP(Tableau118[[#This Row],[Key(ID-Actif)]],'DATA BTO'!A:N,8,FALSE)</f>
        <v>#N/A</v>
      </c>
      <c r="AE305" s="406" t="e">
        <f ca="1">IF(Tableau118[[#This Row],[First Day to POL]]&lt;=Tableau118[[#This Row],[Day Cut Off]],Tableau118[[#This Row],[Day ETD]],Tableau118[[#This Row],[Day ETD]]+7)</f>
        <v>#N/A</v>
      </c>
      <c r="AF305" s="50" t="e">
        <f ca="1">VLOOKUP(Tableau118[[#This Row],[Key(ID-Actif)]],'DATA BTO'!A:N,9,FALSE)</f>
        <v>#N/A</v>
      </c>
      <c r="AG305" s="3" t="e">
        <f ca="1">VLOOKUP(Tableau118[[#This Row],[Key(ID-Actif)]],'DATA BTO'!A:N,10,FALSE)</f>
        <v>#N/A</v>
      </c>
      <c r="AH305" s="3" t="e">
        <f ca="1">VLOOKUP(Tableau118[[#This Row],[Key(ID-Actif)]],'DATA BTO'!A:N,11,FALSE)</f>
        <v>#N/A</v>
      </c>
      <c r="AI305" s="50" t="e">
        <f ca="1">VLOOKUP(Tableau118[[#This Row],[Key(ID-Actif)]],'DATA BTO'!A:N,12,FALSE)</f>
        <v>#N/A</v>
      </c>
      <c r="AJ305" s="53" t="e">
        <f ca="1">VLOOKUP(Tableau118[[#This Row],[Key(ID-Actif)]],'DATA BTO'!A:N,14,FALSE)</f>
        <v>#N/A</v>
      </c>
      <c r="AK305" s="54" t="e">
        <f ca="1">VLOOKUP(Tableau118[[#This Row],[Key(POD -PFI- Usine)]],'DATA Consignee'!A:F,6,FALSE)</f>
        <v>#N/A</v>
      </c>
      <c r="AL305" s="283"/>
      <c r="AM305" s="490" t="str">
        <f>IF(Tableau118[[#This Row],[Name PFI/CDD]]="","-",VLOOKUP(Tableau118[[#This Row],[Name PFI/CDD]],Plant_AILN!I:J,2,FALSE))</f>
        <v>-</v>
      </c>
      <c r="AN30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5" s="2" t="e">
        <f ca="1">VLOOKUP(Tableau118[[#This Row],[Key(POD -PFI- Usine)]],'DATA Consignee'!A:J,10,FALSE)</f>
        <v>#N/A</v>
      </c>
      <c r="AQ305" s="50" t="e">
        <f ca="1">VLOOKUP(Tableau118[[#This Row],[Key(POD -PFI- Usine)]],'DATA Consignee'!A:N,14,FALSE)</f>
        <v>#N/A</v>
      </c>
      <c r="AR30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5" s="50" t="e">
        <f ca="1">Tableau118[[#This Row],[Transit time]]+Tableau118[[#This Row],[Time for security]]+Tableau118[[#This Row],[Time for security2 buffer]]</f>
        <v>#N/A</v>
      </c>
      <c r="AU30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5" s="50" t="e">
        <f ca="1">Tableau118[[#This Row],[Leadtime SI2C]]+Tableau118[[#This Row],[First Receipt Days]]-Tableau118[[#This Row],[Day Customer Order]]+1</f>
        <v>#N/A</v>
      </c>
      <c r="AW305" s="117" t="e">
        <f ca="1">IF(Tableau118[[#This Row],[Name ILN]]&lt;&gt;"SFK Freight Forwarder",Tableau118[[#This Row],[Cust. Leadtime]],Tableau118[[#This Row],[Leadtime SI2C]])</f>
        <v>#N/A</v>
      </c>
      <c r="AX305" s="57" t="e">
        <f>VLOOKUP(Tableau118[[#This Row],[ID]],'DATA BTO'!B:P,15,FALSE)</f>
        <v>#N/A</v>
      </c>
      <c r="AY305" s="328" t="e">
        <f ca="1">IFERROR(VLOOKUP(Tableau118[[#This Row],[Key(ID-Actif)]],'DATA BTO'!A:N,4,FALSE),VLOOKUP(Tableau118[[#This Row],[ID]],'DATA BTO'!B:N,3,FALSE))</f>
        <v>#N/A</v>
      </c>
      <c r="AZ30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5" s="50"/>
    </row>
    <row r="306" spans="2:57">
      <c r="B306" s="405" t="str">
        <f>_xlfn.CONCAT(Tableau118[[#This Row],[Name ILN]],"-",Tableau118[[#This Row],[Name Shipper]],"-",Tableau118[[#This Row],[Name Site]])</f>
        <v>--</v>
      </c>
      <c r="C306" s="64" t="e">
        <f ca="1">_xlfn.CONCAT(Tableau118[[#This Row],[Compte ILN]],"-",Tableau118[[#This Row],[Compte Shipper]],"-",Tableau118[[#This Row],[POL]],"-",Tableau118[[#This Row],[Compte Site]])</f>
        <v>#N/A</v>
      </c>
      <c r="D306" s="64" t="e">
        <f ca="1">_xlfn.CONCAT(Tableau118[[#This Row],[Compte ILN]],"-",Tableau118[[#This Row],[Compte Shipper]],"-",Tableau118[[#This Row],[POL]])</f>
        <v>#N/A</v>
      </c>
      <c r="E306" s="128" t="e">
        <f ca="1">_xlfn.CONCAT(Tableau118[[#This Row],[POL]],"-",Tableau118[[#This Row],[Carrier]],"-",Tableau118[[#This Row],[POD]])</f>
        <v>#N/A</v>
      </c>
      <c r="F306" s="64" t="str">
        <f>_xlfn.CONCAT(Tableau118[[#This Row],[ID]],"-","Next")</f>
        <v>-Next</v>
      </c>
      <c r="G306" s="64" t="e">
        <f ca="1">_xlfn.CONCAT(Tableau118[[#This Row],[POD]],"-",Tableau118[[#This Row],[Code PFI]],"-",Tableau118[[#This Row],[Compte Site]])</f>
        <v>#N/A</v>
      </c>
      <c r="H30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6" s="117" t="str">
        <f ca="1">IF(COUNTIF(I:I,Tableau118[[#This Row],[Plant-ILN-shipper-POL-Carrier-POD-PFI]])=1,"Non","Oui")</f>
        <v>Oui</v>
      </c>
      <c r="K306" s="126" t="e">
        <f>VLOOKUP(Tableau118[[#This Row],[Name Site]],Plant_AILN!A:D,4,FALSE)</f>
        <v>#N/A</v>
      </c>
      <c r="L306" s="363"/>
      <c r="M306" s="481"/>
      <c r="N306" s="55"/>
      <c r="O306" s="122"/>
      <c r="P306" s="481"/>
      <c r="Q306" s="50"/>
      <c r="R306" s="50"/>
      <c r="S306" s="50"/>
      <c r="T306" s="50"/>
      <c r="U306" s="50"/>
      <c r="V306" s="50"/>
      <c r="W306" s="50"/>
      <c r="X306" s="283"/>
      <c r="Y306" s="489">
        <f>IFERROR(VLOOKUP(Tableau118[[#This Row],[Name Shipper]],Plant_AILN!L:M,2,FALSE),0)</f>
        <v>0</v>
      </c>
      <c r="Z306" s="358"/>
      <c r="AA306" s="353" t="e">
        <f ca="1">VLOOKUP(Tableau118[[#This Row],[Key(ID-Actif)]],'DATA BTO'!A:N,5,FALSE)</f>
        <v>#N/A</v>
      </c>
      <c r="AB306" s="3" t="e">
        <f ca="1">VLOOKUP(Tableau118[[#This Row],[Key(ID-Actif)]],'DATA BTO'!A:N,6,FALSE)</f>
        <v>#N/A</v>
      </c>
      <c r="AC306" s="50" t="e">
        <f ca="1">VLOOKUP(Tableau118[[#This Row],[Key(ID-Actif)]],'DATA BTO'!A:N,7,FALSE)</f>
        <v>#N/A</v>
      </c>
      <c r="AD306" s="50" t="e">
        <f ca="1">VLOOKUP(Tableau118[[#This Row],[Key(ID-Actif)]],'DATA BTO'!A:N,8,FALSE)</f>
        <v>#N/A</v>
      </c>
      <c r="AE306" s="406" t="e">
        <f ca="1">IF(Tableau118[[#This Row],[First Day to POL]]&lt;=Tableau118[[#This Row],[Day Cut Off]],Tableau118[[#This Row],[Day ETD]],Tableau118[[#This Row],[Day ETD]]+7)</f>
        <v>#N/A</v>
      </c>
      <c r="AF306" s="50" t="e">
        <f ca="1">VLOOKUP(Tableau118[[#This Row],[Key(ID-Actif)]],'DATA BTO'!A:N,9,FALSE)</f>
        <v>#N/A</v>
      </c>
      <c r="AG306" s="3" t="e">
        <f ca="1">VLOOKUP(Tableau118[[#This Row],[Key(ID-Actif)]],'DATA BTO'!A:N,10,FALSE)</f>
        <v>#N/A</v>
      </c>
      <c r="AH306" s="3" t="e">
        <f ca="1">VLOOKUP(Tableau118[[#This Row],[Key(ID-Actif)]],'DATA BTO'!A:N,11,FALSE)</f>
        <v>#N/A</v>
      </c>
      <c r="AI306" s="50" t="e">
        <f ca="1">VLOOKUP(Tableau118[[#This Row],[Key(ID-Actif)]],'DATA BTO'!A:N,12,FALSE)</f>
        <v>#N/A</v>
      </c>
      <c r="AJ306" s="53" t="e">
        <f ca="1">VLOOKUP(Tableau118[[#This Row],[Key(ID-Actif)]],'DATA BTO'!A:N,14,FALSE)</f>
        <v>#N/A</v>
      </c>
      <c r="AK306" s="54" t="e">
        <f ca="1">VLOOKUP(Tableau118[[#This Row],[Key(POD -PFI- Usine)]],'DATA Consignee'!A:F,6,FALSE)</f>
        <v>#N/A</v>
      </c>
      <c r="AL306" s="283"/>
      <c r="AM306" s="490" t="str">
        <f>IF(Tableau118[[#This Row],[Name PFI/CDD]]="","-",VLOOKUP(Tableau118[[#This Row],[Name PFI/CDD]],Plant_AILN!I:J,2,FALSE))</f>
        <v>-</v>
      </c>
      <c r="AN30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6" s="2" t="e">
        <f ca="1">VLOOKUP(Tableau118[[#This Row],[Key(POD -PFI- Usine)]],'DATA Consignee'!A:J,10,FALSE)</f>
        <v>#N/A</v>
      </c>
      <c r="AQ306" s="50" t="e">
        <f ca="1">VLOOKUP(Tableau118[[#This Row],[Key(POD -PFI- Usine)]],'DATA Consignee'!A:N,14,FALSE)</f>
        <v>#N/A</v>
      </c>
      <c r="AR30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6" s="50" t="e">
        <f ca="1">Tableau118[[#This Row],[Transit time]]+Tableau118[[#This Row],[Time for security]]+Tableau118[[#This Row],[Time for security2 buffer]]</f>
        <v>#N/A</v>
      </c>
      <c r="AU30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6" s="50" t="e">
        <f ca="1">Tableau118[[#This Row],[Leadtime SI2C]]+Tableau118[[#This Row],[First Receipt Days]]-Tableau118[[#This Row],[Day Customer Order]]+1</f>
        <v>#N/A</v>
      </c>
      <c r="AW306" s="117" t="e">
        <f ca="1">IF(Tableau118[[#This Row],[Name ILN]]&lt;&gt;"SFK Freight Forwarder",Tableau118[[#This Row],[Cust. Leadtime]],Tableau118[[#This Row],[Leadtime SI2C]])</f>
        <v>#N/A</v>
      </c>
      <c r="AX306" s="57" t="e">
        <f>VLOOKUP(Tableau118[[#This Row],[ID]],'DATA BTO'!B:P,15,FALSE)</f>
        <v>#N/A</v>
      </c>
      <c r="AY306" s="328" t="e">
        <f ca="1">IFERROR(VLOOKUP(Tableau118[[#This Row],[Key(ID-Actif)]],'DATA BTO'!A:N,4,FALSE),VLOOKUP(Tableau118[[#This Row],[ID]],'DATA BTO'!B:N,3,FALSE))</f>
        <v>#N/A</v>
      </c>
      <c r="AZ30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6" s="50"/>
    </row>
    <row r="307" spans="2:57">
      <c r="B307" s="405" t="str">
        <f>_xlfn.CONCAT(Tableau118[[#This Row],[Name ILN]],"-",Tableau118[[#This Row],[Name Shipper]],"-",Tableau118[[#This Row],[Name Site]])</f>
        <v>--</v>
      </c>
      <c r="C307" s="64" t="e">
        <f ca="1">_xlfn.CONCAT(Tableau118[[#This Row],[Compte ILN]],"-",Tableau118[[#This Row],[Compte Shipper]],"-",Tableau118[[#This Row],[POL]],"-",Tableau118[[#This Row],[Compte Site]])</f>
        <v>#N/A</v>
      </c>
      <c r="D307" s="64" t="e">
        <f ca="1">_xlfn.CONCAT(Tableau118[[#This Row],[Compte ILN]],"-",Tableau118[[#This Row],[Compte Shipper]],"-",Tableau118[[#This Row],[POL]])</f>
        <v>#N/A</v>
      </c>
      <c r="E307" s="128" t="e">
        <f ca="1">_xlfn.CONCAT(Tableau118[[#This Row],[POL]],"-",Tableau118[[#This Row],[Carrier]],"-",Tableau118[[#This Row],[POD]])</f>
        <v>#N/A</v>
      </c>
      <c r="F307" s="64" t="str">
        <f>_xlfn.CONCAT(Tableau118[[#This Row],[ID]],"-","Next")</f>
        <v>-Next</v>
      </c>
      <c r="G307" s="64" t="e">
        <f ca="1">_xlfn.CONCAT(Tableau118[[#This Row],[POD]],"-",Tableau118[[#This Row],[Code PFI]],"-",Tableau118[[#This Row],[Compte Site]])</f>
        <v>#N/A</v>
      </c>
      <c r="H30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7" s="117" t="str">
        <f ca="1">IF(COUNTIF(I:I,Tableau118[[#This Row],[Plant-ILN-shipper-POL-Carrier-POD-PFI]])=1,"Non","Oui")</f>
        <v>Oui</v>
      </c>
      <c r="K307" s="126" t="e">
        <f>VLOOKUP(Tableau118[[#This Row],[Name Site]],Plant_AILN!A:D,4,FALSE)</f>
        <v>#N/A</v>
      </c>
      <c r="L307" s="363"/>
      <c r="M307" s="481"/>
      <c r="N307" s="55"/>
      <c r="O307" s="122"/>
      <c r="P307" s="481"/>
      <c r="Q307" s="50"/>
      <c r="R307" s="50"/>
      <c r="S307" s="50"/>
      <c r="T307" s="50"/>
      <c r="U307" s="50"/>
      <c r="V307" s="50"/>
      <c r="W307" s="50"/>
      <c r="X307" s="283"/>
      <c r="Y307" s="489">
        <f>IFERROR(VLOOKUP(Tableau118[[#This Row],[Name Shipper]],Plant_AILN!L:M,2,FALSE),0)</f>
        <v>0</v>
      </c>
      <c r="Z307" s="358"/>
      <c r="AA307" s="353" t="e">
        <f ca="1">VLOOKUP(Tableau118[[#This Row],[Key(ID-Actif)]],'DATA BTO'!A:N,5,FALSE)</f>
        <v>#N/A</v>
      </c>
      <c r="AB307" s="3" t="e">
        <f ca="1">VLOOKUP(Tableau118[[#This Row],[Key(ID-Actif)]],'DATA BTO'!A:N,6,FALSE)</f>
        <v>#N/A</v>
      </c>
      <c r="AC307" s="50" t="e">
        <f ca="1">VLOOKUP(Tableau118[[#This Row],[Key(ID-Actif)]],'DATA BTO'!A:N,7,FALSE)</f>
        <v>#N/A</v>
      </c>
      <c r="AD307" s="50" t="e">
        <f ca="1">VLOOKUP(Tableau118[[#This Row],[Key(ID-Actif)]],'DATA BTO'!A:N,8,FALSE)</f>
        <v>#N/A</v>
      </c>
      <c r="AE307" s="406" t="e">
        <f ca="1">IF(Tableau118[[#This Row],[First Day to POL]]&lt;=Tableau118[[#This Row],[Day Cut Off]],Tableau118[[#This Row],[Day ETD]],Tableau118[[#This Row],[Day ETD]]+7)</f>
        <v>#N/A</v>
      </c>
      <c r="AF307" s="50" t="e">
        <f ca="1">VLOOKUP(Tableau118[[#This Row],[Key(ID-Actif)]],'DATA BTO'!A:N,9,FALSE)</f>
        <v>#N/A</v>
      </c>
      <c r="AG307" s="3" t="e">
        <f ca="1">VLOOKUP(Tableau118[[#This Row],[Key(ID-Actif)]],'DATA BTO'!A:N,10,FALSE)</f>
        <v>#N/A</v>
      </c>
      <c r="AH307" s="3" t="e">
        <f ca="1">VLOOKUP(Tableau118[[#This Row],[Key(ID-Actif)]],'DATA BTO'!A:N,11,FALSE)</f>
        <v>#N/A</v>
      </c>
      <c r="AI307" s="50" t="e">
        <f ca="1">VLOOKUP(Tableau118[[#This Row],[Key(ID-Actif)]],'DATA BTO'!A:N,12,FALSE)</f>
        <v>#N/A</v>
      </c>
      <c r="AJ307" s="53" t="e">
        <f ca="1">VLOOKUP(Tableau118[[#This Row],[Key(ID-Actif)]],'DATA BTO'!A:N,14,FALSE)</f>
        <v>#N/A</v>
      </c>
      <c r="AK307" s="54" t="e">
        <f ca="1">VLOOKUP(Tableau118[[#This Row],[Key(POD -PFI- Usine)]],'DATA Consignee'!A:F,6,FALSE)</f>
        <v>#N/A</v>
      </c>
      <c r="AL307" s="283"/>
      <c r="AM307" s="490" t="str">
        <f>IF(Tableau118[[#This Row],[Name PFI/CDD]]="","-",VLOOKUP(Tableau118[[#This Row],[Name PFI/CDD]],Plant_AILN!I:J,2,FALSE))</f>
        <v>-</v>
      </c>
      <c r="AN30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7" s="2" t="e">
        <f ca="1">VLOOKUP(Tableau118[[#This Row],[Key(POD -PFI- Usine)]],'DATA Consignee'!A:J,10,FALSE)</f>
        <v>#N/A</v>
      </c>
      <c r="AQ307" s="50" t="e">
        <f ca="1">VLOOKUP(Tableau118[[#This Row],[Key(POD -PFI- Usine)]],'DATA Consignee'!A:N,14,FALSE)</f>
        <v>#N/A</v>
      </c>
      <c r="AR30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7" s="50" t="e">
        <f ca="1">Tableau118[[#This Row],[Transit time]]+Tableau118[[#This Row],[Time for security]]+Tableau118[[#This Row],[Time for security2 buffer]]</f>
        <v>#N/A</v>
      </c>
      <c r="AU30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7" s="50" t="e">
        <f ca="1">Tableau118[[#This Row],[Leadtime SI2C]]+Tableau118[[#This Row],[First Receipt Days]]-Tableau118[[#This Row],[Day Customer Order]]+1</f>
        <v>#N/A</v>
      </c>
      <c r="AW307" s="117" t="e">
        <f ca="1">IF(Tableau118[[#This Row],[Name ILN]]&lt;&gt;"SFK Freight Forwarder",Tableau118[[#This Row],[Cust. Leadtime]],Tableau118[[#This Row],[Leadtime SI2C]])</f>
        <v>#N/A</v>
      </c>
      <c r="AX307" s="57" t="e">
        <f>VLOOKUP(Tableau118[[#This Row],[ID]],'DATA BTO'!B:P,15,FALSE)</f>
        <v>#N/A</v>
      </c>
      <c r="AY307" s="328" t="e">
        <f ca="1">IFERROR(VLOOKUP(Tableau118[[#This Row],[Key(ID-Actif)]],'DATA BTO'!A:N,4,FALSE),VLOOKUP(Tableau118[[#This Row],[ID]],'DATA BTO'!B:N,3,FALSE))</f>
        <v>#N/A</v>
      </c>
      <c r="AZ30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7" s="50"/>
    </row>
    <row r="308" spans="2:57">
      <c r="B308" s="405" t="str">
        <f>_xlfn.CONCAT(Tableau118[[#This Row],[Name ILN]],"-",Tableau118[[#This Row],[Name Shipper]],"-",Tableau118[[#This Row],[Name Site]])</f>
        <v>--</v>
      </c>
      <c r="C308" s="64" t="e">
        <f ca="1">_xlfn.CONCAT(Tableau118[[#This Row],[Compte ILN]],"-",Tableau118[[#This Row],[Compte Shipper]],"-",Tableau118[[#This Row],[POL]],"-",Tableau118[[#This Row],[Compte Site]])</f>
        <v>#N/A</v>
      </c>
      <c r="D308" s="64" t="e">
        <f ca="1">_xlfn.CONCAT(Tableau118[[#This Row],[Compte ILN]],"-",Tableau118[[#This Row],[Compte Shipper]],"-",Tableau118[[#This Row],[POL]])</f>
        <v>#N/A</v>
      </c>
      <c r="E308" s="128" t="e">
        <f ca="1">_xlfn.CONCAT(Tableau118[[#This Row],[POL]],"-",Tableau118[[#This Row],[Carrier]],"-",Tableau118[[#This Row],[POD]])</f>
        <v>#N/A</v>
      </c>
      <c r="F308" s="64" t="str">
        <f>_xlfn.CONCAT(Tableau118[[#This Row],[ID]],"-","Next")</f>
        <v>-Next</v>
      </c>
      <c r="G308" s="64" t="e">
        <f ca="1">_xlfn.CONCAT(Tableau118[[#This Row],[POD]],"-",Tableau118[[#This Row],[Code PFI]],"-",Tableau118[[#This Row],[Compte Site]])</f>
        <v>#N/A</v>
      </c>
      <c r="H30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8" s="117" t="str">
        <f ca="1">IF(COUNTIF(I:I,Tableau118[[#This Row],[Plant-ILN-shipper-POL-Carrier-POD-PFI]])=1,"Non","Oui")</f>
        <v>Oui</v>
      </c>
      <c r="K308" s="126" t="e">
        <f>VLOOKUP(Tableau118[[#This Row],[Name Site]],Plant_AILN!A:D,4,FALSE)</f>
        <v>#N/A</v>
      </c>
      <c r="L308" s="363"/>
      <c r="M308" s="481"/>
      <c r="N308" s="55"/>
      <c r="O308" s="122"/>
      <c r="P308" s="481"/>
      <c r="Q308" s="50"/>
      <c r="R308" s="50"/>
      <c r="S308" s="50"/>
      <c r="T308" s="50"/>
      <c r="U308" s="50"/>
      <c r="V308" s="50"/>
      <c r="W308" s="50"/>
      <c r="X308" s="283"/>
      <c r="Y308" s="489">
        <f>IFERROR(VLOOKUP(Tableau118[[#This Row],[Name Shipper]],Plant_AILN!L:M,2,FALSE),0)</f>
        <v>0</v>
      </c>
      <c r="Z308" s="358"/>
      <c r="AA308" s="353" t="e">
        <f ca="1">VLOOKUP(Tableau118[[#This Row],[Key(ID-Actif)]],'DATA BTO'!A:N,5,FALSE)</f>
        <v>#N/A</v>
      </c>
      <c r="AB308" s="3" t="e">
        <f ca="1">VLOOKUP(Tableau118[[#This Row],[Key(ID-Actif)]],'DATA BTO'!A:N,6,FALSE)</f>
        <v>#N/A</v>
      </c>
      <c r="AC308" s="50" t="e">
        <f ca="1">VLOOKUP(Tableau118[[#This Row],[Key(ID-Actif)]],'DATA BTO'!A:N,7,FALSE)</f>
        <v>#N/A</v>
      </c>
      <c r="AD308" s="50" t="e">
        <f ca="1">VLOOKUP(Tableau118[[#This Row],[Key(ID-Actif)]],'DATA BTO'!A:N,8,FALSE)</f>
        <v>#N/A</v>
      </c>
      <c r="AE308" s="406" t="e">
        <f ca="1">IF(Tableau118[[#This Row],[First Day to POL]]&lt;=Tableau118[[#This Row],[Day Cut Off]],Tableau118[[#This Row],[Day ETD]],Tableau118[[#This Row],[Day ETD]]+7)</f>
        <v>#N/A</v>
      </c>
      <c r="AF308" s="50" t="e">
        <f ca="1">VLOOKUP(Tableau118[[#This Row],[Key(ID-Actif)]],'DATA BTO'!A:N,9,FALSE)</f>
        <v>#N/A</v>
      </c>
      <c r="AG308" s="3" t="e">
        <f ca="1">VLOOKUP(Tableau118[[#This Row],[Key(ID-Actif)]],'DATA BTO'!A:N,10,FALSE)</f>
        <v>#N/A</v>
      </c>
      <c r="AH308" s="3" t="e">
        <f ca="1">VLOOKUP(Tableau118[[#This Row],[Key(ID-Actif)]],'DATA BTO'!A:N,11,FALSE)</f>
        <v>#N/A</v>
      </c>
      <c r="AI308" s="50" t="e">
        <f ca="1">VLOOKUP(Tableau118[[#This Row],[Key(ID-Actif)]],'DATA BTO'!A:N,12,FALSE)</f>
        <v>#N/A</v>
      </c>
      <c r="AJ308" s="53" t="e">
        <f ca="1">VLOOKUP(Tableau118[[#This Row],[Key(ID-Actif)]],'DATA BTO'!A:N,14,FALSE)</f>
        <v>#N/A</v>
      </c>
      <c r="AK308" s="54" t="e">
        <f ca="1">VLOOKUP(Tableau118[[#This Row],[Key(POD -PFI- Usine)]],'DATA Consignee'!A:F,6,FALSE)</f>
        <v>#N/A</v>
      </c>
      <c r="AL308" s="283"/>
      <c r="AM308" s="490" t="str">
        <f>IF(Tableau118[[#This Row],[Name PFI/CDD]]="","-",VLOOKUP(Tableau118[[#This Row],[Name PFI/CDD]],Plant_AILN!I:J,2,FALSE))</f>
        <v>-</v>
      </c>
      <c r="AN30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8" s="2" t="e">
        <f ca="1">VLOOKUP(Tableau118[[#This Row],[Key(POD -PFI- Usine)]],'DATA Consignee'!A:J,10,FALSE)</f>
        <v>#N/A</v>
      </c>
      <c r="AQ308" s="50" t="e">
        <f ca="1">VLOOKUP(Tableau118[[#This Row],[Key(POD -PFI- Usine)]],'DATA Consignee'!A:N,14,FALSE)</f>
        <v>#N/A</v>
      </c>
      <c r="AR30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8" s="50" t="e">
        <f ca="1">Tableau118[[#This Row],[Transit time]]+Tableau118[[#This Row],[Time for security]]+Tableau118[[#This Row],[Time for security2 buffer]]</f>
        <v>#N/A</v>
      </c>
      <c r="AU30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8" s="50" t="e">
        <f ca="1">Tableau118[[#This Row],[Leadtime SI2C]]+Tableau118[[#This Row],[First Receipt Days]]-Tableau118[[#This Row],[Day Customer Order]]+1</f>
        <v>#N/A</v>
      </c>
      <c r="AW308" s="117" t="e">
        <f ca="1">IF(Tableau118[[#This Row],[Name ILN]]&lt;&gt;"SFK Freight Forwarder",Tableau118[[#This Row],[Cust. Leadtime]],Tableau118[[#This Row],[Leadtime SI2C]])</f>
        <v>#N/A</v>
      </c>
      <c r="AX308" s="57" t="e">
        <f>VLOOKUP(Tableau118[[#This Row],[ID]],'DATA BTO'!B:P,15,FALSE)</f>
        <v>#N/A</v>
      </c>
      <c r="AY308" s="328" t="e">
        <f ca="1">IFERROR(VLOOKUP(Tableau118[[#This Row],[Key(ID-Actif)]],'DATA BTO'!A:N,4,FALSE),VLOOKUP(Tableau118[[#This Row],[ID]],'DATA BTO'!B:N,3,FALSE))</f>
        <v>#N/A</v>
      </c>
      <c r="AZ30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8" s="50"/>
    </row>
    <row r="309" spans="2:57">
      <c r="B309" s="405" t="str">
        <f>_xlfn.CONCAT(Tableau118[[#This Row],[Name ILN]],"-",Tableau118[[#This Row],[Name Shipper]],"-",Tableau118[[#This Row],[Name Site]])</f>
        <v>--</v>
      </c>
      <c r="C309" s="64" t="e">
        <f ca="1">_xlfn.CONCAT(Tableau118[[#This Row],[Compte ILN]],"-",Tableau118[[#This Row],[Compte Shipper]],"-",Tableau118[[#This Row],[POL]],"-",Tableau118[[#This Row],[Compte Site]])</f>
        <v>#N/A</v>
      </c>
      <c r="D309" s="64" t="e">
        <f ca="1">_xlfn.CONCAT(Tableau118[[#This Row],[Compte ILN]],"-",Tableau118[[#This Row],[Compte Shipper]],"-",Tableau118[[#This Row],[POL]])</f>
        <v>#N/A</v>
      </c>
      <c r="E309" s="128" t="e">
        <f ca="1">_xlfn.CONCAT(Tableau118[[#This Row],[POL]],"-",Tableau118[[#This Row],[Carrier]],"-",Tableau118[[#This Row],[POD]])</f>
        <v>#N/A</v>
      </c>
      <c r="F309" s="64" t="str">
        <f>_xlfn.CONCAT(Tableau118[[#This Row],[ID]],"-","Next")</f>
        <v>-Next</v>
      </c>
      <c r="G309" s="64" t="e">
        <f ca="1">_xlfn.CONCAT(Tableau118[[#This Row],[POD]],"-",Tableau118[[#This Row],[Code PFI]],"-",Tableau118[[#This Row],[Compte Site]])</f>
        <v>#N/A</v>
      </c>
      <c r="H30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0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09" s="117" t="str">
        <f ca="1">IF(COUNTIF(I:I,Tableau118[[#This Row],[Plant-ILN-shipper-POL-Carrier-POD-PFI]])=1,"Non","Oui")</f>
        <v>Oui</v>
      </c>
      <c r="K309" s="126" t="e">
        <f>VLOOKUP(Tableau118[[#This Row],[Name Site]],Plant_AILN!A:D,4,FALSE)</f>
        <v>#N/A</v>
      </c>
      <c r="L309" s="363"/>
      <c r="M309" s="481"/>
      <c r="N309" s="55"/>
      <c r="O309" s="122"/>
      <c r="P309" s="481"/>
      <c r="Q309" s="50"/>
      <c r="R309" s="50"/>
      <c r="S309" s="50"/>
      <c r="T309" s="50"/>
      <c r="U309" s="50"/>
      <c r="V309" s="50"/>
      <c r="W309" s="50"/>
      <c r="X309" s="283"/>
      <c r="Y309" s="489">
        <f>IFERROR(VLOOKUP(Tableau118[[#This Row],[Name Shipper]],Plant_AILN!L:M,2,FALSE),0)</f>
        <v>0</v>
      </c>
      <c r="Z309" s="358"/>
      <c r="AA309" s="353" t="e">
        <f ca="1">VLOOKUP(Tableau118[[#This Row],[Key(ID-Actif)]],'DATA BTO'!A:N,5,FALSE)</f>
        <v>#N/A</v>
      </c>
      <c r="AB309" s="3" t="e">
        <f ca="1">VLOOKUP(Tableau118[[#This Row],[Key(ID-Actif)]],'DATA BTO'!A:N,6,FALSE)</f>
        <v>#N/A</v>
      </c>
      <c r="AC309" s="50" t="e">
        <f ca="1">VLOOKUP(Tableau118[[#This Row],[Key(ID-Actif)]],'DATA BTO'!A:N,7,FALSE)</f>
        <v>#N/A</v>
      </c>
      <c r="AD309" s="50" t="e">
        <f ca="1">VLOOKUP(Tableau118[[#This Row],[Key(ID-Actif)]],'DATA BTO'!A:N,8,FALSE)</f>
        <v>#N/A</v>
      </c>
      <c r="AE309" s="406" t="e">
        <f ca="1">IF(Tableau118[[#This Row],[First Day to POL]]&lt;=Tableau118[[#This Row],[Day Cut Off]],Tableau118[[#This Row],[Day ETD]],Tableau118[[#This Row],[Day ETD]]+7)</f>
        <v>#N/A</v>
      </c>
      <c r="AF309" s="50" t="e">
        <f ca="1">VLOOKUP(Tableau118[[#This Row],[Key(ID-Actif)]],'DATA BTO'!A:N,9,FALSE)</f>
        <v>#N/A</v>
      </c>
      <c r="AG309" s="3" t="e">
        <f ca="1">VLOOKUP(Tableau118[[#This Row],[Key(ID-Actif)]],'DATA BTO'!A:N,10,FALSE)</f>
        <v>#N/A</v>
      </c>
      <c r="AH309" s="3" t="e">
        <f ca="1">VLOOKUP(Tableau118[[#This Row],[Key(ID-Actif)]],'DATA BTO'!A:N,11,FALSE)</f>
        <v>#N/A</v>
      </c>
      <c r="AI309" s="50" t="e">
        <f ca="1">VLOOKUP(Tableau118[[#This Row],[Key(ID-Actif)]],'DATA BTO'!A:N,12,FALSE)</f>
        <v>#N/A</v>
      </c>
      <c r="AJ309" s="53" t="e">
        <f ca="1">VLOOKUP(Tableau118[[#This Row],[Key(ID-Actif)]],'DATA BTO'!A:N,14,FALSE)</f>
        <v>#N/A</v>
      </c>
      <c r="AK309" s="54" t="e">
        <f ca="1">VLOOKUP(Tableau118[[#This Row],[Key(POD -PFI- Usine)]],'DATA Consignee'!A:F,6,FALSE)</f>
        <v>#N/A</v>
      </c>
      <c r="AL309" s="283"/>
      <c r="AM309" s="490" t="str">
        <f>IF(Tableau118[[#This Row],[Name PFI/CDD]]="","-",VLOOKUP(Tableau118[[#This Row],[Name PFI/CDD]],Plant_AILN!I:J,2,FALSE))</f>
        <v>-</v>
      </c>
      <c r="AN30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0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09" s="2" t="e">
        <f ca="1">VLOOKUP(Tableau118[[#This Row],[Key(POD -PFI- Usine)]],'DATA Consignee'!A:J,10,FALSE)</f>
        <v>#N/A</v>
      </c>
      <c r="AQ309" s="50" t="e">
        <f ca="1">VLOOKUP(Tableau118[[#This Row],[Key(POD -PFI- Usine)]],'DATA Consignee'!A:N,14,FALSE)</f>
        <v>#N/A</v>
      </c>
      <c r="AR30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0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09" s="50" t="e">
        <f ca="1">Tableau118[[#This Row],[Transit time]]+Tableau118[[#This Row],[Time for security]]+Tableau118[[#This Row],[Time for security2 buffer]]</f>
        <v>#N/A</v>
      </c>
      <c r="AU30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09" s="50" t="e">
        <f ca="1">Tableau118[[#This Row],[Leadtime SI2C]]+Tableau118[[#This Row],[First Receipt Days]]-Tableau118[[#This Row],[Day Customer Order]]+1</f>
        <v>#N/A</v>
      </c>
      <c r="AW309" s="117" t="e">
        <f ca="1">IF(Tableau118[[#This Row],[Name ILN]]&lt;&gt;"SFK Freight Forwarder",Tableau118[[#This Row],[Cust. Leadtime]],Tableau118[[#This Row],[Leadtime SI2C]])</f>
        <v>#N/A</v>
      </c>
      <c r="AX309" s="57" t="e">
        <f>VLOOKUP(Tableau118[[#This Row],[ID]],'DATA BTO'!B:P,15,FALSE)</f>
        <v>#N/A</v>
      </c>
      <c r="AY309" s="328" t="e">
        <f ca="1">IFERROR(VLOOKUP(Tableau118[[#This Row],[Key(ID-Actif)]],'DATA BTO'!A:N,4,FALSE),VLOOKUP(Tableau118[[#This Row],[ID]],'DATA BTO'!B:N,3,FALSE))</f>
        <v>#N/A</v>
      </c>
      <c r="AZ30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0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0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0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0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09" s="50"/>
    </row>
    <row r="310" spans="2:57">
      <c r="B310" s="405" t="str">
        <f>_xlfn.CONCAT(Tableau118[[#This Row],[Name ILN]],"-",Tableau118[[#This Row],[Name Shipper]],"-",Tableau118[[#This Row],[Name Site]])</f>
        <v>--</v>
      </c>
      <c r="C310" s="64" t="e">
        <f ca="1">_xlfn.CONCAT(Tableau118[[#This Row],[Compte ILN]],"-",Tableau118[[#This Row],[Compte Shipper]],"-",Tableau118[[#This Row],[POL]],"-",Tableau118[[#This Row],[Compte Site]])</f>
        <v>#N/A</v>
      </c>
      <c r="D310" s="64" t="e">
        <f ca="1">_xlfn.CONCAT(Tableau118[[#This Row],[Compte ILN]],"-",Tableau118[[#This Row],[Compte Shipper]],"-",Tableau118[[#This Row],[POL]])</f>
        <v>#N/A</v>
      </c>
      <c r="E310" s="128" t="e">
        <f ca="1">_xlfn.CONCAT(Tableau118[[#This Row],[POL]],"-",Tableau118[[#This Row],[Carrier]],"-",Tableau118[[#This Row],[POD]])</f>
        <v>#N/A</v>
      </c>
      <c r="F310" s="64" t="str">
        <f>_xlfn.CONCAT(Tableau118[[#This Row],[ID]],"-","Next")</f>
        <v>-Next</v>
      </c>
      <c r="G310" s="64" t="e">
        <f ca="1">_xlfn.CONCAT(Tableau118[[#This Row],[POD]],"-",Tableau118[[#This Row],[Code PFI]],"-",Tableau118[[#This Row],[Compte Site]])</f>
        <v>#N/A</v>
      </c>
      <c r="H31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0" s="117" t="str">
        <f ca="1">IF(COUNTIF(I:I,Tableau118[[#This Row],[Plant-ILN-shipper-POL-Carrier-POD-PFI]])=1,"Non","Oui")</f>
        <v>Oui</v>
      </c>
      <c r="K310" s="126" t="e">
        <f>VLOOKUP(Tableau118[[#This Row],[Name Site]],Plant_AILN!A:D,4,FALSE)</f>
        <v>#N/A</v>
      </c>
      <c r="L310" s="363"/>
      <c r="M310" s="481"/>
      <c r="N310" s="55"/>
      <c r="O310" s="122"/>
      <c r="P310" s="481"/>
      <c r="Q310" s="50"/>
      <c r="R310" s="50"/>
      <c r="S310" s="50"/>
      <c r="T310" s="50"/>
      <c r="U310" s="50"/>
      <c r="V310" s="50"/>
      <c r="W310" s="50"/>
      <c r="X310" s="283"/>
      <c r="Y310" s="489">
        <f>IFERROR(VLOOKUP(Tableau118[[#This Row],[Name Shipper]],Plant_AILN!L:M,2,FALSE),0)</f>
        <v>0</v>
      </c>
      <c r="Z310" s="358"/>
      <c r="AA310" s="353" t="e">
        <f ca="1">VLOOKUP(Tableau118[[#This Row],[Key(ID-Actif)]],'DATA BTO'!A:N,5,FALSE)</f>
        <v>#N/A</v>
      </c>
      <c r="AB310" s="3" t="e">
        <f ca="1">VLOOKUP(Tableau118[[#This Row],[Key(ID-Actif)]],'DATA BTO'!A:N,6,FALSE)</f>
        <v>#N/A</v>
      </c>
      <c r="AC310" s="50" t="e">
        <f ca="1">VLOOKUP(Tableau118[[#This Row],[Key(ID-Actif)]],'DATA BTO'!A:N,7,FALSE)</f>
        <v>#N/A</v>
      </c>
      <c r="AD310" s="50" t="e">
        <f ca="1">VLOOKUP(Tableau118[[#This Row],[Key(ID-Actif)]],'DATA BTO'!A:N,8,FALSE)</f>
        <v>#N/A</v>
      </c>
      <c r="AE310" s="406" t="e">
        <f ca="1">IF(Tableau118[[#This Row],[First Day to POL]]&lt;=Tableau118[[#This Row],[Day Cut Off]],Tableau118[[#This Row],[Day ETD]],Tableau118[[#This Row],[Day ETD]]+7)</f>
        <v>#N/A</v>
      </c>
      <c r="AF310" s="50" t="e">
        <f ca="1">VLOOKUP(Tableau118[[#This Row],[Key(ID-Actif)]],'DATA BTO'!A:N,9,FALSE)</f>
        <v>#N/A</v>
      </c>
      <c r="AG310" s="3" t="e">
        <f ca="1">VLOOKUP(Tableau118[[#This Row],[Key(ID-Actif)]],'DATA BTO'!A:N,10,FALSE)</f>
        <v>#N/A</v>
      </c>
      <c r="AH310" s="3" t="e">
        <f ca="1">VLOOKUP(Tableau118[[#This Row],[Key(ID-Actif)]],'DATA BTO'!A:N,11,FALSE)</f>
        <v>#N/A</v>
      </c>
      <c r="AI310" s="50" t="e">
        <f ca="1">VLOOKUP(Tableau118[[#This Row],[Key(ID-Actif)]],'DATA BTO'!A:N,12,FALSE)</f>
        <v>#N/A</v>
      </c>
      <c r="AJ310" s="53" t="e">
        <f ca="1">VLOOKUP(Tableau118[[#This Row],[Key(ID-Actif)]],'DATA BTO'!A:N,14,FALSE)</f>
        <v>#N/A</v>
      </c>
      <c r="AK310" s="54" t="e">
        <f ca="1">VLOOKUP(Tableau118[[#This Row],[Key(POD -PFI- Usine)]],'DATA Consignee'!A:F,6,FALSE)</f>
        <v>#N/A</v>
      </c>
      <c r="AL310" s="283"/>
      <c r="AM310" s="490" t="str">
        <f>IF(Tableau118[[#This Row],[Name PFI/CDD]]="","-",VLOOKUP(Tableau118[[#This Row],[Name PFI/CDD]],Plant_AILN!I:J,2,FALSE))</f>
        <v>-</v>
      </c>
      <c r="AN31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0" s="2" t="e">
        <f ca="1">VLOOKUP(Tableau118[[#This Row],[Key(POD -PFI- Usine)]],'DATA Consignee'!A:J,10,FALSE)</f>
        <v>#N/A</v>
      </c>
      <c r="AQ310" s="50" t="e">
        <f ca="1">VLOOKUP(Tableau118[[#This Row],[Key(POD -PFI- Usine)]],'DATA Consignee'!A:N,14,FALSE)</f>
        <v>#N/A</v>
      </c>
      <c r="AR31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0" s="50" t="e">
        <f ca="1">Tableau118[[#This Row],[Transit time]]+Tableau118[[#This Row],[Time for security]]+Tableau118[[#This Row],[Time for security2 buffer]]</f>
        <v>#N/A</v>
      </c>
      <c r="AU31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0" s="50" t="e">
        <f ca="1">Tableau118[[#This Row],[Leadtime SI2C]]+Tableau118[[#This Row],[First Receipt Days]]-Tableau118[[#This Row],[Day Customer Order]]+1</f>
        <v>#N/A</v>
      </c>
      <c r="AW310" s="117" t="e">
        <f ca="1">IF(Tableau118[[#This Row],[Name ILN]]&lt;&gt;"SFK Freight Forwarder",Tableau118[[#This Row],[Cust. Leadtime]],Tableau118[[#This Row],[Leadtime SI2C]])</f>
        <v>#N/A</v>
      </c>
      <c r="AX310" s="57" t="e">
        <f>VLOOKUP(Tableau118[[#This Row],[ID]],'DATA BTO'!B:P,15,FALSE)</f>
        <v>#N/A</v>
      </c>
      <c r="AY310" s="328" t="e">
        <f ca="1">IFERROR(VLOOKUP(Tableau118[[#This Row],[Key(ID-Actif)]],'DATA BTO'!A:N,4,FALSE),VLOOKUP(Tableau118[[#This Row],[ID]],'DATA BTO'!B:N,3,FALSE))</f>
        <v>#N/A</v>
      </c>
      <c r="AZ31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0" s="50"/>
    </row>
    <row r="311" spans="2:57">
      <c r="B311" s="405" t="str">
        <f>_xlfn.CONCAT(Tableau118[[#This Row],[Name ILN]],"-",Tableau118[[#This Row],[Name Shipper]],"-",Tableau118[[#This Row],[Name Site]])</f>
        <v>--</v>
      </c>
      <c r="C311" s="64" t="e">
        <f ca="1">_xlfn.CONCAT(Tableau118[[#This Row],[Compte ILN]],"-",Tableau118[[#This Row],[Compte Shipper]],"-",Tableau118[[#This Row],[POL]],"-",Tableau118[[#This Row],[Compte Site]])</f>
        <v>#N/A</v>
      </c>
      <c r="D311" s="64" t="e">
        <f ca="1">_xlfn.CONCAT(Tableau118[[#This Row],[Compte ILN]],"-",Tableau118[[#This Row],[Compte Shipper]],"-",Tableau118[[#This Row],[POL]])</f>
        <v>#N/A</v>
      </c>
      <c r="E311" s="128" t="e">
        <f ca="1">_xlfn.CONCAT(Tableau118[[#This Row],[POL]],"-",Tableau118[[#This Row],[Carrier]],"-",Tableau118[[#This Row],[POD]])</f>
        <v>#N/A</v>
      </c>
      <c r="F311" s="64" t="str">
        <f>_xlfn.CONCAT(Tableau118[[#This Row],[ID]],"-","Next")</f>
        <v>-Next</v>
      </c>
      <c r="G311" s="64" t="e">
        <f ca="1">_xlfn.CONCAT(Tableau118[[#This Row],[POD]],"-",Tableau118[[#This Row],[Code PFI]],"-",Tableau118[[#This Row],[Compte Site]])</f>
        <v>#N/A</v>
      </c>
      <c r="H31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1" s="117" t="str">
        <f ca="1">IF(COUNTIF(I:I,Tableau118[[#This Row],[Plant-ILN-shipper-POL-Carrier-POD-PFI]])=1,"Non","Oui")</f>
        <v>Oui</v>
      </c>
      <c r="K311" s="126" t="e">
        <f>VLOOKUP(Tableau118[[#This Row],[Name Site]],Plant_AILN!A:D,4,FALSE)</f>
        <v>#N/A</v>
      </c>
      <c r="L311" s="363"/>
      <c r="M311" s="481"/>
      <c r="N311" s="55"/>
      <c r="O311" s="122"/>
      <c r="P311" s="481"/>
      <c r="Q311" s="50"/>
      <c r="R311" s="50"/>
      <c r="S311" s="50"/>
      <c r="T311" s="50"/>
      <c r="U311" s="50"/>
      <c r="V311" s="50"/>
      <c r="W311" s="50"/>
      <c r="X311" s="283"/>
      <c r="Y311" s="489">
        <f>IFERROR(VLOOKUP(Tableau118[[#This Row],[Name Shipper]],Plant_AILN!L:M,2,FALSE),0)</f>
        <v>0</v>
      </c>
      <c r="Z311" s="358"/>
      <c r="AA311" s="353" t="e">
        <f ca="1">VLOOKUP(Tableau118[[#This Row],[Key(ID-Actif)]],'DATA BTO'!A:N,5,FALSE)</f>
        <v>#N/A</v>
      </c>
      <c r="AB311" s="3" t="e">
        <f ca="1">VLOOKUP(Tableau118[[#This Row],[Key(ID-Actif)]],'DATA BTO'!A:N,6,FALSE)</f>
        <v>#N/A</v>
      </c>
      <c r="AC311" s="50" t="e">
        <f ca="1">VLOOKUP(Tableau118[[#This Row],[Key(ID-Actif)]],'DATA BTO'!A:N,7,FALSE)</f>
        <v>#N/A</v>
      </c>
      <c r="AD311" s="50" t="e">
        <f ca="1">VLOOKUP(Tableau118[[#This Row],[Key(ID-Actif)]],'DATA BTO'!A:N,8,FALSE)</f>
        <v>#N/A</v>
      </c>
      <c r="AE311" s="406" t="e">
        <f ca="1">IF(Tableau118[[#This Row],[First Day to POL]]&lt;=Tableau118[[#This Row],[Day Cut Off]],Tableau118[[#This Row],[Day ETD]],Tableau118[[#This Row],[Day ETD]]+7)</f>
        <v>#N/A</v>
      </c>
      <c r="AF311" s="50" t="e">
        <f ca="1">VLOOKUP(Tableau118[[#This Row],[Key(ID-Actif)]],'DATA BTO'!A:N,9,FALSE)</f>
        <v>#N/A</v>
      </c>
      <c r="AG311" s="3" t="e">
        <f ca="1">VLOOKUP(Tableau118[[#This Row],[Key(ID-Actif)]],'DATA BTO'!A:N,10,FALSE)</f>
        <v>#N/A</v>
      </c>
      <c r="AH311" s="3" t="e">
        <f ca="1">VLOOKUP(Tableau118[[#This Row],[Key(ID-Actif)]],'DATA BTO'!A:N,11,FALSE)</f>
        <v>#N/A</v>
      </c>
      <c r="AI311" s="50" t="e">
        <f ca="1">VLOOKUP(Tableau118[[#This Row],[Key(ID-Actif)]],'DATA BTO'!A:N,12,FALSE)</f>
        <v>#N/A</v>
      </c>
      <c r="AJ311" s="53" t="e">
        <f ca="1">VLOOKUP(Tableau118[[#This Row],[Key(ID-Actif)]],'DATA BTO'!A:N,14,FALSE)</f>
        <v>#N/A</v>
      </c>
      <c r="AK311" s="54" t="e">
        <f ca="1">VLOOKUP(Tableau118[[#This Row],[Key(POD -PFI- Usine)]],'DATA Consignee'!A:F,6,FALSE)</f>
        <v>#N/A</v>
      </c>
      <c r="AL311" s="283"/>
      <c r="AM311" s="490" t="str">
        <f>IF(Tableau118[[#This Row],[Name PFI/CDD]]="","-",VLOOKUP(Tableau118[[#This Row],[Name PFI/CDD]],Plant_AILN!I:J,2,FALSE))</f>
        <v>-</v>
      </c>
      <c r="AN31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1" s="2" t="e">
        <f ca="1">VLOOKUP(Tableau118[[#This Row],[Key(POD -PFI- Usine)]],'DATA Consignee'!A:J,10,FALSE)</f>
        <v>#N/A</v>
      </c>
      <c r="AQ311" s="50" t="e">
        <f ca="1">VLOOKUP(Tableau118[[#This Row],[Key(POD -PFI- Usine)]],'DATA Consignee'!A:N,14,FALSE)</f>
        <v>#N/A</v>
      </c>
      <c r="AR31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1" s="50" t="e">
        <f ca="1">Tableau118[[#This Row],[Transit time]]+Tableau118[[#This Row],[Time for security]]+Tableau118[[#This Row],[Time for security2 buffer]]</f>
        <v>#N/A</v>
      </c>
      <c r="AU31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1" s="50" t="e">
        <f ca="1">Tableau118[[#This Row],[Leadtime SI2C]]+Tableau118[[#This Row],[First Receipt Days]]-Tableau118[[#This Row],[Day Customer Order]]+1</f>
        <v>#N/A</v>
      </c>
      <c r="AW311" s="117" t="e">
        <f ca="1">IF(Tableau118[[#This Row],[Name ILN]]&lt;&gt;"SFK Freight Forwarder",Tableau118[[#This Row],[Cust. Leadtime]],Tableau118[[#This Row],[Leadtime SI2C]])</f>
        <v>#N/A</v>
      </c>
      <c r="AX311" s="57" t="e">
        <f>VLOOKUP(Tableau118[[#This Row],[ID]],'DATA BTO'!B:P,15,FALSE)</f>
        <v>#N/A</v>
      </c>
      <c r="AY311" s="328" t="e">
        <f ca="1">IFERROR(VLOOKUP(Tableau118[[#This Row],[Key(ID-Actif)]],'DATA BTO'!A:N,4,FALSE),VLOOKUP(Tableau118[[#This Row],[ID]],'DATA BTO'!B:N,3,FALSE))</f>
        <v>#N/A</v>
      </c>
      <c r="AZ31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1" s="50"/>
    </row>
    <row r="312" spans="2:57">
      <c r="B312" s="405" t="str">
        <f>_xlfn.CONCAT(Tableau118[[#This Row],[Name ILN]],"-",Tableau118[[#This Row],[Name Shipper]],"-",Tableau118[[#This Row],[Name Site]])</f>
        <v>--</v>
      </c>
      <c r="C312" s="64" t="e">
        <f ca="1">_xlfn.CONCAT(Tableau118[[#This Row],[Compte ILN]],"-",Tableau118[[#This Row],[Compte Shipper]],"-",Tableau118[[#This Row],[POL]],"-",Tableau118[[#This Row],[Compte Site]])</f>
        <v>#N/A</v>
      </c>
      <c r="D312" s="64" t="e">
        <f ca="1">_xlfn.CONCAT(Tableau118[[#This Row],[Compte ILN]],"-",Tableau118[[#This Row],[Compte Shipper]],"-",Tableau118[[#This Row],[POL]])</f>
        <v>#N/A</v>
      </c>
      <c r="E312" s="128" t="e">
        <f ca="1">_xlfn.CONCAT(Tableau118[[#This Row],[POL]],"-",Tableau118[[#This Row],[Carrier]],"-",Tableau118[[#This Row],[POD]])</f>
        <v>#N/A</v>
      </c>
      <c r="F312" s="64" t="str">
        <f>_xlfn.CONCAT(Tableau118[[#This Row],[ID]],"-","Next")</f>
        <v>-Next</v>
      </c>
      <c r="G312" s="64" t="e">
        <f ca="1">_xlfn.CONCAT(Tableau118[[#This Row],[POD]],"-",Tableau118[[#This Row],[Code PFI]],"-",Tableau118[[#This Row],[Compte Site]])</f>
        <v>#N/A</v>
      </c>
      <c r="H31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2" s="117" t="str">
        <f ca="1">IF(COUNTIF(I:I,Tableau118[[#This Row],[Plant-ILN-shipper-POL-Carrier-POD-PFI]])=1,"Non","Oui")</f>
        <v>Oui</v>
      </c>
      <c r="K312" s="126" t="e">
        <f>VLOOKUP(Tableau118[[#This Row],[Name Site]],Plant_AILN!A:D,4,FALSE)</f>
        <v>#N/A</v>
      </c>
      <c r="L312" s="363"/>
      <c r="M312" s="481"/>
      <c r="N312" s="55"/>
      <c r="O312" s="122"/>
      <c r="P312" s="481"/>
      <c r="Q312" s="50"/>
      <c r="R312" s="50"/>
      <c r="S312" s="50"/>
      <c r="T312" s="50"/>
      <c r="U312" s="50"/>
      <c r="V312" s="50"/>
      <c r="W312" s="50"/>
      <c r="X312" s="283"/>
      <c r="Y312" s="489">
        <f>IFERROR(VLOOKUP(Tableau118[[#This Row],[Name Shipper]],Plant_AILN!L:M,2,FALSE),0)</f>
        <v>0</v>
      </c>
      <c r="Z312" s="358"/>
      <c r="AA312" s="353" t="e">
        <f ca="1">VLOOKUP(Tableau118[[#This Row],[Key(ID-Actif)]],'DATA BTO'!A:N,5,FALSE)</f>
        <v>#N/A</v>
      </c>
      <c r="AB312" s="3" t="e">
        <f ca="1">VLOOKUP(Tableau118[[#This Row],[Key(ID-Actif)]],'DATA BTO'!A:N,6,FALSE)</f>
        <v>#N/A</v>
      </c>
      <c r="AC312" s="50" t="e">
        <f ca="1">VLOOKUP(Tableau118[[#This Row],[Key(ID-Actif)]],'DATA BTO'!A:N,7,FALSE)</f>
        <v>#N/A</v>
      </c>
      <c r="AD312" s="50" t="e">
        <f ca="1">VLOOKUP(Tableau118[[#This Row],[Key(ID-Actif)]],'DATA BTO'!A:N,8,FALSE)</f>
        <v>#N/A</v>
      </c>
      <c r="AE312" s="406" t="e">
        <f ca="1">IF(Tableau118[[#This Row],[First Day to POL]]&lt;=Tableau118[[#This Row],[Day Cut Off]],Tableau118[[#This Row],[Day ETD]],Tableau118[[#This Row],[Day ETD]]+7)</f>
        <v>#N/A</v>
      </c>
      <c r="AF312" s="50" t="e">
        <f ca="1">VLOOKUP(Tableau118[[#This Row],[Key(ID-Actif)]],'DATA BTO'!A:N,9,FALSE)</f>
        <v>#N/A</v>
      </c>
      <c r="AG312" s="3" t="e">
        <f ca="1">VLOOKUP(Tableau118[[#This Row],[Key(ID-Actif)]],'DATA BTO'!A:N,10,FALSE)</f>
        <v>#N/A</v>
      </c>
      <c r="AH312" s="3" t="e">
        <f ca="1">VLOOKUP(Tableau118[[#This Row],[Key(ID-Actif)]],'DATA BTO'!A:N,11,FALSE)</f>
        <v>#N/A</v>
      </c>
      <c r="AI312" s="50" t="e">
        <f ca="1">VLOOKUP(Tableau118[[#This Row],[Key(ID-Actif)]],'DATA BTO'!A:N,12,FALSE)</f>
        <v>#N/A</v>
      </c>
      <c r="AJ312" s="53" t="e">
        <f ca="1">VLOOKUP(Tableau118[[#This Row],[Key(ID-Actif)]],'DATA BTO'!A:N,14,FALSE)</f>
        <v>#N/A</v>
      </c>
      <c r="AK312" s="54" t="e">
        <f ca="1">VLOOKUP(Tableau118[[#This Row],[Key(POD -PFI- Usine)]],'DATA Consignee'!A:F,6,FALSE)</f>
        <v>#N/A</v>
      </c>
      <c r="AL312" s="283"/>
      <c r="AM312" s="490" t="str">
        <f>IF(Tableau118[[#This Row],[Name PFI/CDD]]="","-",VLOOKUP(Tableau118[[#This Row],[Name PFI/CDD]],Plant_AILN!I:J,2,FALSE))</f>
        <v>-</v>
      </c>
      <c r="AN31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2" s="2" t="e">
        <f ca="1">VLOOKUP(Tableau118[[#This Row],[Key(POD -PFI- Usine)]],'DATA Consignee'!A:J,10,FALSE)</f>
        <v>#N/A</v>
      </c>
      <c r="AQ312" s="50" t="e">
        <f ca="1">VLOOKUP(Tableau118[[#This Row],[Key(POD -PFI- Usine)]],'DATA Consignee'!A:N,14,FALSE)</f>
        <v>#N/A</v>
      </c>
      <c r="AR31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2" s="50" t="e">
        <f ca="1">Tableau118[[#This Row],[Transit time]]+Tableau118[[#This Row],[Time for security]]+Tableau118[[#This Row],[Time for security2 buffer]]</f>
        <v>#N/A</v>
      </c>
      <c r="AU31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2" s="50" t="e">
        <f ca="1">Tableau118[[#This Row],[Leadtime SI2C]]+Tableau118[[#This Row],[First Receipt Days]]-Tableau118[[#This Row],[Day Customer Order]]+1</f>
        <v>#N/A</v>
      </c>
      <c r="AW312" s="117" t="e">
        <f ca="1">IF(Tableau118[[#This Row],[Name ILN]]&lt;&gt;"SFK Freight Forwarder",Tableau118[[#This Row],[Cust. Leadtime]],Tableau118[[#This Row],[Leadtime SI2C]])</f>
        <v>#N/A</v>
      </c>
      <c r="AX312" s="57" t="e">
        <f>VLOOKUP(Tableau118[[#This Row],[ID]],'DATA BTO'!B:P,15,FALSE)</f>
        <v>#N/A</v>
      </c>
      <c r="AY312" s="328" t="e">
        <f ca="1">IFERROR(VLOOKUP(Tableau118[[#This Row],[Key(ID-Actif)]],'DATA BTO'!A:N,4,FALSE),VLOOKUP(Tableau118[[#This Row],[ID]],'DATA BTO'!B:N,3,FALSE))</f>
        <v>#N/A</v>
      </c>
      <c r="AZ31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2" s="50"/>
    </row>
    <row r="313" spans="2:57">
      <c r="B313" s="405" t="str">
        <f>_xlfn.CONCAT(Tableau118[[#This Row],[Name ILN]],"-",Tableau118[[#This Row],[Name Shipper]],"-",Tableau118[[#This Row],[Name Site]])</f>
        <v>--</v>
      </c>
      <c r="C313" s="64" t="e">
        <f ca="1">_xlfn.CONCAT(Tableau118[[#This Row],[Compte ILN]],"-",Tableau118[[#This Row],[Compte Shipper]],"-",Tableau118[[#This Row],[POL]],"-",Tableau118[[#This Row],[Compte Site]])</f>
        <v>#N/A</v>
      </c>
      <c r="D313" s="64" t="e">
        <f ca="1">_xlfn.CONCAT(Tableau118[[#This Row],[Compte ILN]],"-",Tableau118[[#This Row],[Compte Shipper]],"-",Tableau118[[#This Row],[POL]])</f>
        <v>#N/A</v>
      </c>
      <c r="E313" s="128" t="e">
        <f ca="1">_xlfn.CONCAT(Tableau118[[#This Row],[POL]],"-",Tableau118[[#This Row],[Carrier]],"-",Tableau118[[#This Row],[POD]])</f>
        <v>#N/A</v>
      </c>
      <c r="F313" s="64" t="str">
        <f>_xlfn.CONCAT(Tableau118[[#This Row],[ID]],"-","Next")</f>
        <v>-Next</v>
      </c>
      <c r="G313" s="64" t="e">
        <f ca="1">_xlfn.CONCAT(Tableau118[[#This Row],[POD]],"-",Tableau118[[#This Row],[Code PFI]],"-",Tableau118[[#This Row],[Compte Site]])</f>
        <v>#N/A</v>
      </c>
      <c r="H31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3" s="117" t="str">
        <f ca="1">IF(COUNTIF(I:I,Tableau118[[#This Row],[Plant-ILN-shipper-POL-Carrier-POD-PFI]])=1,"Non","Oui")</f>
        <v>Oui</v>
      </c>
      <c r="K313" s="126" t="e">
        <f>VLOOKUP(Tableau118[[#This Row],[Name Site]],Plant_AILN!A:D,4,FALSE)</f>
        <v>#N/A</v>
      </c>
      <c r="L313" s="363"/>
      <c r="M313" s="481"/>
      <c r="N313" s="55"/>
      <c r="O313" s="122"/>
      <c r="P313" s="481"/>
      <c r="Q313" s="50"/>
      <c r="R313" s="50"/>
      <c r="S313" s="50"/>
      <c r="T313" s="50"/>
      <c r="U313" s="50"/>
      <c r="V313" s="50"/>
      <c r="W313" s="50"/>
      <c r="X313" s="283"/>
      <c r="Y313" s="489">
        <f>IFERROR(VLOOKUP(Tableau118[[#This Row],[Name Shipper]],Plant_AILN!L:M,2,FALSE),0)</f>
        <v>0</v>
      </c>
      <c r="Z313" s="358"/>
      <c r="AA313" s="353" t="e">
        <f ca="1">VLOOKUP(Tableau118[[#This Row],[Key(ID-Actif)]],'DATA BTO'!A:N,5,FALSE)</f>
        <v>#N/A</v>
      </c>
      <c r="AB313" s="3" t="e">
        <f ca="1">VLOOKUP(Tableau118[[#This Row],[Key(ID-Actif)]],'DATA BTO'!A:N,6,FALSE)</f>
        <v>#N/A</v>
      </c>
      <c r="AC313" s="50" t="e">
        <f ca="1">VLOOKUP(Tableau118[[#This Row],[Key(ID-Actif)]],'DATA BTO'!A:N,7,FALSE)</f>
        <v>#N/A</v>
      </c>
      <c r="AD313" s="50" t="e">
        <f ca="1">VLOOKUP(Tableau118[[#This Row],[Key(ID-Actif)]],'DATA BTO'!A:N,8,FALSE)</f>
        <v>#N/A</v>
      </c>
      <c r="AE313" s="406" t="e">
        <f ca="1">IF(Tableau118[[#This Row],[First Day to POL]]&lt;=Tableau118[[#This Row],[Day Cut Off]],Tableau118[[#This Row],[Day ETD]],Tableau118[[#This Row],[Day ETD]]+7)</f>
        <v>#N/A</v>
      </c>
      <c r="AF313" s="50" t="e">
        <f ca="1">VLOOKUP(Tableau118[[#This Row],[Key(ID-Actif)]],'DATA BTO'!A:N,9,FALSE)</f>
        <v>#N/A</v>
      </c>
      <c r="AG313" s="3" t="e">
        <f ca="1">VLOOKUP(Tableau118[[#This Row],[Key(ID-Actif)]],'DATA BTO'!A:N,10,FALSE)</f>
        <v>#N/A</v>
      </c>
      <c r="AH313" s="3" t="e">
        <f ca="1">VLOOKUP(Tableau118[[#This Row],[Key(ID-Actif)]],'DATA BTO'!A:N,11,FALSE)</f>
        <v>#N/A</v>
      </c>
      <c r="AI313" s="50" t="e">
        <f ca="1">VLOOKUP(Tableau118[[#This Row],[Key(ID-Actif)]],'DATA BTO'!A:N,12,FALSE)</f>
        <v>#N/A</v>
      </c>
      <c r="AJ313" s="53" t="e">
        <f ca="1">VLOOKUP(Tableau118[[#This Row],[Key(ID-Actif)]],'DATA BTO'!A:N,14,FALSE)</f>
        <v>#N/A</v>
      </c>
      <c r="AK313" s="54" t="e">
        <f ca="1">VLOOKUP(Tableau118[[#This Row],[Key(POD -PFI- Usine)]],'DATA Consignee'!A:F,6,FALSE)</f>
        <v>#N/A</v>
      </c>
      <c r="AL313" s="283"/>
      <c r="AM313" s="490" t="str">
        <f>IF(Tableau118[[#This Row],[Name PFI/CDD]]="","-",VLOOKUP(Tableau118[[#This Row],[Name PFI/CDD]],Plant_AILN!I:J,2,FALSE))</f>
        <v>-</v>
      </c>
      <c r="AN31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3" s="2" t="e">
        <f ca="1">VLOOKUP(Tableau118[[#This Row],[Key(POD -PFI- Usine)]],'DATA Consignee'!A:J,10,FALSE)</f>
        <v>#N/A</v>
      </c>
      <c r="AQ313" s="50" t="e">
        <f ca="1">VLOOKUP(Tableau118[[#This Row],[Key(POD -PFI- Usine)]],'DATA Consignee'!A:N,14,FALSE)</f>
        <v>#N/A</v>
      </c>
      <c r="AR31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3" s="50" t="e">
        <f ca="1">Tableau118[[#This Row],[Transit time]]+Tableau118[[#This Row],[Time for security]]+Tableau118[[#This Row],[Time for security2 buffer]]</f>
        <v>#N/A</v>
      </c>
      <c r="AU31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3" s="50" t="e">
        <f ca="1">Tableau118[[#This Row],[Leadtime SI2C]]+Tableau118[[#This Row],[First Receipt Days]]-Tableau118[[#This Row],[Day Customer Order]]+1</f>
        <v>#N/A</v>
      </c>
      <c r="AW313" s="117" t="e">
        <f ca="1">IF(Tableau118[[#This Row],[Name ILN]]&lt;&gt;"SFK Freight Forwarder",Tableau118[[#This Row],[Cust. Leadtime]],Tableau118[[#This Row],[Leadtime SI2C]])</f>
        <v>#N/A</v>
      </c>
      <c r="AX313" s="57" t="e">
        <f>VLOOKUP(Tableau118[[#This Row],[ID]],'DATA BTO'!B:P,15,FALSE)</f>
        <v>#N/A</v>
      </c>
      <c r="AY313" s="328" t="e">
        <f ca="1">IFERROR(VLOOKUP(Tableau118[[#This Row],[Key(ID-Actif)]],'DATA BTO'!A:N,4,FALSE),VLOOKUP(Tableau118[[#This Row],[ID]],'DATA BTO'!B:N,3,FALSE))</f>
        <v>#N/A</v>
      </c>
      <c r="AZ31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3" s="50"/>
    </row>
    <row r="314" spans="2:57">
      <c r="B314" s="405" t="str">
        <f>_xlfn.CONCAT(Tableau118[[#This Row],[Name ILN]],"-",Tableau118[[#This Row],[Name Shipper]],"-",Tableau118[[#This Row],[Name Site]])</f>
        <v>--</v>
      </c>
      <c r="C314" s="64" t="e">
        <f ca="1">_xlfn.CONCAT(Tableau118[[#This Row],[Compte ILN]],"-",Tableau118[[#This Row],[Compte Shipper]],"-",Tableau118[[#This Row],[POL]],"-",Tableau118[[#This Row],[Compte Site]])</f>
        <v>#N/A</v>
      </c>
      <c r="D314" s="64" t="e">
        <f ca="1">_xlfn.CONCAT(Tableau118[[#This Row],[Compte ILN]],"-",Tableau118[[#This Row],[Compte Shipper]],"-",Tableau118[[#This Row],[POL]])</f>
        <v>#N/A</v>
      </c>
      <c r="E314" s="128" t="e">
        <f ca="1">_xlfn.CONCAT(Tableau118[[#This Row],[POL]],"-",Tableau118[[#This Row],[Carrier]],"-",Tableau118[[#This Row],[POD]])</f>
        <v>#N/A</v>
      </c>
      <c r="F314" s="64" t="str">
        <f>_xlfn.CONCAT(Tableau118[[#This Row],[ID]],"-","Next")</f>
        <v>-Next</v>
      </c>
      <c r="G314" s="64" t="e">
        <f ca="1">_xlfn.CONCAT(Tableau118[[#This Row],[POD]],"-",Tableau118[[#This Row],[Code PFI]],"-",Tableau118[[#This Row],[Compte Site]])</f>
        <v>#N/A</v>
      </c>
      <c r="H31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4" s="117" t="str">
        <f ca="1">IF(COUNTIF(I:I,Tableau118[[#This Row],[Plant-ILN-shipper-POL-Carrier-POD-PFI]])=1,"Non","Oui")</f>
        <v>Oui</v>
      </c>
      <c r="K314" s="126" t="e">
        <f>VLOOKUP(Tableau118[[#This Row],[Name Site]],Plant_AILN!A:D,4,FALSE)</f>
        <v>#N/A</v>
      </c>
      <c r="L314" s="363"/>
      <c r="M314" s="481"/>
      <c r="N314" s="55"/>
      <c r="O314" s="122"/>
      <c r="P314" s="481"/>
      <c r="Q314" s="50"/>
      <c r="R314" s="50"/>
      <c r="S314" s="50"/>
      <c r="T314" s="50"/>
      <c r="U314" s="50"/>
      <c r="V314" s="50"/>
      <c r="W314" s="50"/>
      <c r="X314" s="283"/>
      <c r="Y314" s="489">
        <f>IFERROR(VLOOKUP(Tableau118[[#This Row],[Name Shipper]],Plant_AILN!L:M,2,FALSE),0)</f>
        <v>0</v>
      </c>
      <c r="Z314" s="358"/>
      <c r="AA314" s="353" t="e">
        <f ca="1">VLOOKUP(Tableau118[[#This Row],[Key(ID-Actif)]],'DATA BTO'!A:N,5,FALSE)</f>
        <v>#N/A</v>
      </c>
      <c r="AB314" s="3" t="e">
        <f ca="1">VLOOKUP(Tableau118[[#This Row],[Key(ID-Actif)]],'DATA BTO'!A:N,6,FALSE)</f>
        <v>#N/A</v>
      </c>
      <c r="AC314" s="50" t="e">
        <f ca="1">VLOOKUP(Tableau118[[#This Row],[Key(ID-Actif)]],'DATA BTO'!A:N,7,FALSE)</f>
        <v>#N/A</v>
      </c>
      <c r="AD314" s="50" t="e">
        <f ca="1">VLOOKUP(Tableau118[[#This Row],[Key(ID-Actif)]],'DATA BTO'!A:N,8,FALSE)</f>
        <v>#N/A</v>
      </c>
      <c r="AE314" s="406" t="e">
        <f ca="1">IF(Tableau118[[#This Row],[First Day to POL]]&lt;=Tableau118[[#This Row],[Day Cut Off]],Tableau118[[#This Row],[Day ETD]],Tableau118[[#This Row],[Day ETD]]+7)</f>
        <v>#N/A</v>
      </c>
      <c r="AF314" s="50" t="e">
        <f ca="1">VLOOKUP(Tableau118[[#This Row],[Key(ID-Actif)]],'DATA BTO'!A:N,9,FALSE)</f>
        <v>#N/A</v>
      </c>
      <c r="AG314" s="3" t="e">
        <f ca="1">VLOOKUP(Tableau118[[#This Row],[Key(ID-Actif)]],'DATA BTO'!A:N,10,FALSE)</f>
        <v>#N/A</v>
      </c>
      <c r="AH314" s="3" t="e">
        <f ca="1">VLOOKUP(Tableau118[[#This Row],[Key(ID-Actif)]],'DATA BTO'!A:N,11,FALSE)</f>
        <v>#N/A</v>
      </c>
      <c r="AI314" s="50" t="e">
        <f ca="1">VLOOKUP(Tableau118[[#This Row],[Key(ID-Actif)]],'DATA BTO'!A:N,12,FALSE)</f>
        <v>#N/A</v>
      </c>
      <c r="AJ314" s="53" t="e">
        <f ca="1">VLOOKUP(Tableau118[[#This Row],[Key(ID-Actif)]],'DATA BTO'!A:N,14,FALSE)</f>
        <v>#N/A</v>
      </c>
      <c r="AK314" s="54" t="e">
        <f ca="1">VLOOKUP(Tableau118[[#This Row],[Key(POD -PFI- Usine)]],'DATA Consignee'!A:F,6,FALSE)</f>
        <v>#N/A</v>
      </c>
      <c r="AL314" s="283"/>
      <c r="AM314" s="490" t="str">
        <f>IF(Tableau118[[#This Row],[Name PFI/CDD]]="","-",VLOOKUP(Tableau118[[#This Row],[Name PFI/CDD]],Plant_AILN!I:J,2,FALSE))</f>
        <v>-</v>
      </c>
      <c r="AN31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4" s="2" t="e">
        <f ca="1">VLOOKUP(Tableau118[[#This Row],[Key(POD -PFI- Usine)]],'DATA Consignee'!A:J,10,FALSE)</f>
        <v>#N/A</v>
      </c>
      <c r="AQ314" s="50" t="e">
        <f ca="1">VLOOKUP(Tableau118[[#This Row],[Key(POD -PFI- Usine)]],'DATA Consignee'!A:N,14,FALSE)</f>
        <v>#N/A</v>
      </c>
      <c r="AR31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4" s="50" t="e">
        <f ca="1">Tableau118[[#This Row],[Transit time]]+Tableau118[[#This Row],[Time for security]]+Tableau118[[#This Row],[Time for security2 buffer]]</f>
        <v>#N/A</v>
      </c>
      <c r="AU31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4" s="50" t="e">
        <f ca="1">Tableau118[[#This Row],[Leadtime SI2C]]+Tableau118[[#This Row],[First Receipt Days]]-Tableau118[[#This Row],[Day Customer Order]]+1</f>
        <v>#N/A</v>
      </c>
      <c r="AW314" s="117" t="e">
        <f ca="1">IF(Tableau118[[#This Row],[Name ILN]]&lt;&gt;"SFK Freight Forwarder",Tableau118[[#This Row],[Cust. Leadtime]],Tableau118[[#This Row],[Leadtime SI2C]])</f>
        <v>#N/A</v>
      </c>
      <c r="AX314" s="57" t="e">
        <f>VLOOKUP(Tableau118[[#This Row],[ID]],'DATA BTO'!B:P,15,FALSE)</f>
        <v>#N/A</v>
      </c>
      <c r="AY314" s="328" t="e">
        <f ca="1">IFERROR(VLOOKUP(Tableau118[[#This Row],[Key(ID-Actif)]],'DATA BTO'!A:N,4,FALSE),VLOOKUP(Tableau118[[#This Row],[ID]],'DATA BTO'!B:N,3,FALSE))</f>
        <v>#N/A</v>
      </c>
      <c r="AZ31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4" s="50"/>
    </row>
    <row r="315" spans="2:57">
      <c r="B315" s="405" t="str">
        <f>_xlfn.CONCAT(Tableau118[[#This Row],[Name ILN]],"-",Tableau118[[#This Row],[Name Shipper]],"-",Tableau118[[#This Row],[Name Site]])</f>
        <v>--</v>
      </c>
      <c r="C315" s="64" t="e">
        <f ca="1">_xlfn.CONCAT(Tableau118[[#This Row],[Compte ILN]],"-",Tableau118[[#This Row],[Compte Shipper]],"-",Tableau118[[#This Row],[POL]],"-",Tableau118[[#This Row],[Compte Site]])</f>
        <v>#N/A</v>
      </c>
      <c r="D315" s="64" t="e">
        <f ca="1">_xlfn.CONCAT(Tableau118[[#This Row],[Compte ILN]],"-",Tableau118[[#This Row],[Compte Shipper]],"-",Tableau118[[#This Row],[POL]])</f>
        <v>#N/A</v>
      </c>
      <c r="E315" s="128" t="e">
        <f ca="1">_xlfn.CONCAT(Tableau118[[#This Row],[POL]],"-",Tableau118[[#This Row],[Carrier]],"-",Tableau118[[#This Row],[POD]])</f>
        <v>#N/A</v>
      </c>
      <c r="F315" s="64" t="str">
        <f>_xlfn.CONCAT(Tableau118[[#This Row],[ID]],"-","Next")</f>
        <v>-Next</v>
      </c>
      <c r="G315" s="64" t="e">
        <f ca="1">_xlfn.CONCAT(Tableau118[[#This Row],[POD]],"-",Tableau118[[#This Row],[Code PFI]],"-",Tableau118[[#This Row],[Compte Site]])</f>
        <v>#N/A</v>
      </c>
      <c r="H31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5" s="117" t="str">
        <f ca="1">IF(COUNTIF(I:I,Tableau118[[#This Row],[Plant-ILN-shipper-POL-Carrier-POD-PFI]])=1,"Non","Oui")</f>
        <v>Oui</v>
      </c>
      <c r="K315" s="126" t="e">
        <f>VLOOKUP(Tableau118[[#This Row],[Name Site]],Plant_AILN!A:D,4,FALSE)</f>
        <v>#N/A</v>
      </c>
      <c r="L315" s="363"/>
      <c r="M315" s="481"/>
      <c r="N315" s="55"/>
      <c r="O315" s="122"/>
      <c r="P315" s="481"/>
      <c r="Q315" s="50"/>
      <c r="R315" s="50"/>
      <c r="S315" s="50"/>
      <c r="T315" s="50"/>
      <c r="U315" s="50"/>
      <c r="V315" s="50"/>
      <c r="W315" s="50"/>
      <c r="X315" s="283"/>
      <c r="Y315" s="489">
        <f>IFERROR(VLOOKUP(Tableau118[[#This Row],[Name Shipper]],Plant_AILN!L:M,2,FALSE),0)</f>
        <v>0</v>
      </c>
      <c r="Z315" s="358"/>
      <c r="AA315" s="353" t="e">
        <f ca="1">VLOOKUP(Tableau118[[#This Row],[Key(ID-Actif)]],'DATA BTO'!A:N,5,FALSE)</f>
        <v>#N/A</v>
      </c>
      <c r="AB315" s="3" t="e">
        <f ca="1">VLOOKUP(Tableau118[[#This Row],[Key(ID-Actif)]],'DATA BTO'!A:N,6,FALSE)</f>
        <v>#N/A</v>
      </c>
      <c r="AC315" s="50" t="e">
        <f ca="1">VLOOKUP(Tableau118[[#This Row],[Key(ID-Actif)]],'DATA BTO'!A:N,7,FALSE)</f>
        <v>#N/A</v>
      </c>
      <c r="AD315" s="50" t="e">
        <f ca="1">VLOOKUP(Tableau118[[#This Row],[Key(ID-Actif)]],'DATA BTO'!A:N,8,FALSE)</f>
        <v>#N/A</v>
      </c>
      <c r="AE315" s="406" t="e">
        <f ca="1">IF(Tableau118[[#This Row],[First Day to POL]]&lt;=Tableau118[[#This Row],[Day Cut Off]],Tableau118[[#This Row],[Day ETD]],Tableau118[[#This Row],[Day ETD]]+7)</f>
        <v>#N/A</v>
      </c>
      <c r="AF315" s="50" t="e">
        <f ca="1">VLOOKUP(Tableau118[[#This Row],[Key(ID-Actif)]],'DATA BTO'!A:N,9,FALSE)</f>
        <v>#N/A</v>
      </c>
      <c r="AG315" s="3" t="e">
        <f ca="1">VLOOKUP(Tableau118[[#This Row],[Key(ID-Actif)]],'DATA BTO'!A:N,10,FALSE)</f>
        <v>#N/A</v>
      </c>
      <c r="AH315" s="3" t="e">
        <f ca="1">VLOOKUP(Tableau118[[#This Row],[Key(ID-Actif)]],'DATA BTO'!A:N,11,FALSE)</f>
        <v>#N/A</v>
      </c>
      <c r="AI315" s="50" t="e">
        <f ca="1">VLOOKUP(Tableau118[[#This Row],[Key(ID-Actif)]],'DATA BTO'!A:N,12,FALSE)</f>
        <v>#N/A</v>
      </c>
      <c r="AJ315" s="53" t="e">
        <f ca="1">VLOOKUP(Tableau118[[#This Row],[Key(ID-Actif)]],'DATA BTO'!A:N,14,FALSE)</f>
        <v>#N/A</v>
      </c>
      <c r="AK315" s="54" t="e">
        <f ca="1">VLOOKUP(Tableau118[[#This Row],[Key(POD -PFI- Usine)]],'DATA Consignee'!A:F,6,FALSE)</f>
        <v>#N/A</v>
      </c>
      <c r="AL315" s="283"/>
      <c r="AM315" s="490" t="str">
        <f>IF(Tableau118[[#This Row],[Name PFI/CDD]]="","-",VLOOKUP(Tableau118[[#This Row],[Name PFI/CDD]],Plant_AILN!I:J,2,FALSE))</f>
        <v>-</v>
      </c>
      <c r="AN31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5" s="2" t="e">
        <f ca="1">VLOOKUP(Tableau118[[#This Row],[Key(POD -PFI- Usine)]],'DATA Consignee'!A:J,10,FALSE)</f>
        <v>#N/A</v>
      </c>
      <c r="AQ315" s="50" t="e">
        <f ca="1">VLOOKUP(Tableau118[[#This Row],[Key(POD -PFI- Usine)]],'DATA Consignee'!A:N,14,FALSE)</f>
        <v>#N/A</v>
      </c>
      <c r="AR31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5" s="50" t="e">
        <f ca="1">Tableau118[[#This Row],[Transit time]]+Tableau118[[#This Row],[Time for security]]+Tableau118[[#This Row],[Time for security2 buffer]]</f>
        <v>#N/A</v>
      </c>
      <c r="AU31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5" s="50" t="e">
        <f ca="1">Tableau118[[#This Row],[Leadtime SI2C]]+Tableau118[[#This Row],[First Receipt Days]]-Tableau118[[#This Row],[Day Customer Order]]+1</f>
        <v>#N/A</v>
      </c>
      <c r="AW315" s="117" t="e">
        <f ca="1">IF(Tableau118[[#This Row],[Name ILN]]&lt;&gt;"SFK Freight Forwarder",Tableau118[[#This Row],[Cust. Leadtime]],Tableau118[[#This Row],[Leadtime SI2C]])</f>
        <v>#N/A</v>
      </c>
      <c r="AX315" s="57" t="e">
        <f>VLOOKUP(Tableau118[[#This Row],[ID]],'DATA BTO'!B:P,15,FALSE)</f>
        <v>#N/A</v>
      </c>
      <c r="AY315" s="328" t="e">
        <f ca="1">IFERROR(VLOOKUP(Tableau118[[#This Row],[Key(ID-Actif)]],'DATA BTO'!A:N,4,FALSE),VLOOKUP(Tableau118[[#This Row],[ID]],'DATA BTO'!B:N,3,FALSE))</f>
        <v>#N/A</v>
      </c>
      <c r="AZ31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5" s="50"/>
    </row>
    <row r="316" spans="2:57">
      <c r="B316" s="405" t="str">
        <f>_xlfn.CONCAT(Tableau118[[#This Row],[Name ILN]],"-",Tableau118[[#This Row],[Name Shipper]],"-",Tableau118[[#This Row],[Name Site]])</f>
        <v>--</v>
      </c>
      <c r="C316" s="64" t="e">
        <f ca="1">_xlfn.CONCAT(Tableau118[[#This Row],[Compte ILN]],"-",Tableau118[[#This Row],[Compte Shipper]],"-",Tableau118[[#This Row],[POL]],"-",Tableau118[[#This Row],[Compte Site]])</f>
        <v>#N/A</v>
      </c>
      <c r="D316" s="64" t="e">
        <f ca="1">_xlfn.CONCAT(Tableau118[[#This Row],[Compte ILN]],"-",Tableau118[[#This Row],[Compte Shipper]],"-",Tableau118[[#This Row],[POL]])</f>
        <v>#N/A</v>
      </c>
      <c r="E316" s="128" t="e">
        <f ca="1">_xlfn.CONCAT(Tableau118[[#This Row],[POL]],"-",Tableau118[[#This Row],[Carrier]],"-",Tableau118[[#This Row],[POD]])</f>
        <v>#N/A</v>
      </c>
      <c r="F316" s="64" t="str">
        <f>_xlfn.CONCAT(Tableau118[[#This Row],[ID]],"-","Next")</f>
        <v>-Next</v>
      </c>
      <c r="G316" s="64" t="e">
        <f ca="1">_xlfn.CONCAT(Tableau118[[#This Row],[POD]],"-",Tableau118[[#This Row],[Code PFI]],"-",Tableau118[[#This Row],[Compte Site]])</f>
        <v>#N/A</v>
      </c>
      <c r="H31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6" s="117" t="str">
        <f ca="1">IF(COUNTIF(I:I,Tableau118[[#This Row],[Plant-ILN-shipper-POL-Carrier-POD-PFI]])=1,"Non","Oui")</f>
        <v>Oui</v>
      </c>
      <c r="K316" s="126" t="e">
        <f>VLOOKUP(Tableau118[[#This Row],[Name Site]],Plant_AILN!A:D,4,FALSE)</f>
        <v>#N/A</v>
      </c>
      <c r="L316" s="363"/>
      <c r="M316" s="481"/>
      <c r="N316" s="55"/>
      <c r="O316" s="122"/>
      <c r="P316" s="481"/>
      <c r="Q316" s="50"/>
      <c r="R316" s="50"/>
      <c r="S316" s="50"/>
      <c r="T316" s="50"/>
      <c r="U316" s="50"/>
      <c r="V316" s="50"/>
      <c r="W316" s="50"/>
      <c r="X316" s="283"/>
      <c r="Y316" s="489">
        <f>IFERROR(VLOOKUP(Tableau118[[#This Row],[Name Shipper]],Plant_AILN!L:M,2,FALSE),0)</f>
        <v>0</v>
      </c>
      <c r="Z316" s="358"/>
      <c r="AA316" s="353" t="e">
        <f ca="1">VLOOKUP(Tableau118[[#This Row],[Key(ID-Actif)]],'DATA BTO'!A:N,5,FALSE)</f>
        <v>#N/A</v>
      </c>
      <c r="AB316" s="3" t="e">
        <f ca="1">VLOOKUP(Tableau118[[#This Row],[Key(ID-Actif)]],'DATA BTO'!A:N,6,FALSE)</f>
        <v>#N/A</v>
      </c>
      <c r="AC316" s="50" t="e">
        <f ca="1">VLOOKUP(Tableau118[[#This Row],[Key(ID-Actif)]],'DATA BTO'!A:N,7,FALSE)</f>
        <v>#N/A</v>
      </c>
      <c r="AD316" s="50" t="e">
        <f ca="1">VLOOKUP(Tableau118[[#This Row],[Key(ID-Actif)]],'DATA BTO'!A:N,8,FALSE)</f>
        <v>#N/A</v>
      </c>
      <c r="AE316" s="406" t="e">
        <f ca="1">IF(Tableau118[[#This Row],[First Day to POL]]&lt;=Tableau118[[#This Row],[Day Cut Off]],Tableau118[[#This Row],[Day ETD]],Tableau118[[#This Row],[Day ETD]]+7)</f>
        <v>#N/A</v>
      </c>
      <c r="AF316" s="50" t="e">
        <f ca="1">VLOOKUP(Tableau118[[#This Row],[Key(ID-Actif)]],'DATA BTO'!A:N,9,FALSE)</f>
        <v>#N/A</v>
      </c>
      <c r="AG316" s="3" t="e">
        <f ca="1">VLOOKUP(Tableau118[[#This Row],[Key(ID-Actif)]],'DATA BTO'!A:N,10,FALSE)</f>
        <v>#N/A</v>
      </c>
      <c r="AH316" s="3" t="e">
        <f ca="1">VLOOKUP(Tableau118[[#This Row],[Key(ID-Actif)]],'DATA BTO'!A:N,11,FALSE)</f>
        <v>#N/A</v>
      </c>
      <c r="AI316" s="50" t="e">
        <f ca="1">VLOOKUP(Tableau118[[#This Row],[Key(ID-Actif)]],'DATA BTO'!A:N,12,FALSE)</f>
        <v>#N/A</v>
      </c>
      <c r="AJ316" s="53" t="e">
        <f ca="1">VLOOKUP(Tableau118[[#This Row],[Key(ID-Actif)]],'DATA BTO'!A:N,14,FALSE)</f>
        <v>#N/A</v>
      </c>
      <c r="AK316" s="54" t="e">
        <f ca="1">VLOOKUP(Tableau118[[#This Row],[Key(POD -PFI- Usine)]],'DATA Consignee'!A:F,6,FALSE)</f>
        <v>#N/A</v>
      </c>
      <c r="AL316" s="283"/>
      <c r="AM316" s="490" t="str">
        <f>IF(Tableau118[[#This Row],[Name PFI/CDD]]="","-",VLOOKUP(Tableau118[[#This Row],[Name PFI/CDD]],Plant_AILN!I:J,2,FALSE))</f>
        <v>-</v>
      </c>
      <c r="AN31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6" s="2" t="e">
        <f ca="1">VLOOKUP(Tableau118[[#This Row],[Key(POD -PFI- Usine)]],'DATA Consignee'!A:J,10,FALSE)</f>
        <v>#N/A</v>
      </c>
      <c r="AQ316" s="50" t="e">
        <f ca="1">VLOOKUP(Tableau118[[#This Row],[Key(POD -PFI- Usine)]],'DATA Consignee'!A:N,14,FALSE)</f>
        <v>#N/A</v>
      </c>
      <c r="AR31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6" s="50" t="e">
        <f ca="1">Tableau118[[#This Row],[Transit time]]+Tableau118[[#This Row],[Time for security]]+Tableau118[[#This Row],[Time for security2 buffer]]</f>
        <v>#N/A</v>
      </c>
      <c r="AU31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6" s="50" t="e">
        <f ca="1">Tableau118[[#This Row],[Leadtime SI2C]]+Tableau118[[#This Row],[First Receipt Days]]-Tableau118[[#This Row],[Day Customer Order]]+1</f>
        <v>#N/A</v>
      </c>
      <c r="AW316" s="117" t="e">
        <f ca="1">IF(Tableau118[[#This Row],[Name ILN]]&lt;&gt;"SFK Freight Forwarder",Tableau118[[#This Row],[Cust. Leadtime]],Tableau118[[#This Row],[Leadtime SI2C]])</f>
        <v>#N/A</v>
      </c>
      <c r="AX316" s="57" t="e">
        <f>VLOOKUP(Tableau118[[#This Row],[ID]],'DATA BTO'!B:P,15,FALSE)</f>
        <v>#N/A</v>
      </c>
      <c r="AY316" s="328" t="e">
        <f ca="1">IFERROR(VLOOKUP(Tableau118[[#This Row],[Key(ID-Actif)]],'DATA BTO'!A:N,4,FALSE),VLOOKUP(Tableau118[[#This Row],[ID]],'DATA BTO'!B:N,3,FALSE))</f>
        <v>#N/A</v>
      </c>
      <c r="AZ31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6" s="50"/>
    </row>
    <row r="317" spans="2:57">
      <c r="B317" s="405" t="str">
        <f>_xlfn.CONCAT(Tableau118[[#This Row],[Name ILN]],"-",Tableau118[[#This Row],[Name Shipper]],"-",Tableau118[[#This Row],[Name Site]])</f>
        <v>--</v>
      </c>
      <c r="C317" s="64" t="e">
        <f ca="1">_xlfn.CONCAT(Tableau118[[#This Row],[Compte ILN]],"-",Tableau118[[#This Row],[Compte Shipper]],"-",Tableau118[[#This Row],[POL]],"-",Tableau118[[#This Row],[Compte Site]])</f>
        <v>#N/A</v>
      </c>
      <c r="D317" s="64" t="e">
        <f ca="1">_xlfn.CONCAT(Tableau118[[#This Row],[Compte ILN]],"-",Tableau118[[#This Row],[Compte Shipper]],"-",Tableau118[[#This Row],[POL]])</f>
        <v>#N/A</v>
      </c>
      <c r="E317" s="128" t="e">
        <f ca="1">_xlfn.CONCAT(Tableau118[[#This Row],[POL]],"-",Tableau118[[#This Row],[Carrier]],"-",Tableau118[[#This Row],[POD]])</f>
        <v>#N/A</v>
      </c>
      <c r="F317" s="64" t="str">
        <f>_xlfn.CONCAT(Tableau118[[#This Row],[ID]],"-","Next")</f>
        <v>-Next</v>
      </c>
      <c r="G317" s="64" t="e">
        <f ca="1">_xlfn.CONCAT(Tableau118[[#This Row],[POD]],"-",Tableau118[[#This Row],[Code PFI]],"-",Tableau118[[#This Row],[Compte Site]])</f>
        <v>#N/A</v>
      </c>
      <c r="H31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7" s="117" t="str">
        <f ca="1">IF(COUNTIF(I:I,Tableau118[[#This Row],[Plant-ILN-shipper-POL-Carrier-POD-PFI]])=1,"Non","Oui")</f>
        <v>Oui</v>
      </c>
      <c r="K317" s="126" t="e">
        <f>VLOOKUP(Tableau118[[#This Row],[Name Site]],Plant_AILN!A:D,4,FALSE)</f>
        <v>#N/A</v>
      </c>
      <c r="L317" s="363"/>
      <c r="M317" s="481"/>
      <c r="N317" s="55"/>
      <c r="O317" s="122"/>
      <c r="P317" s="481"/>
      <c r="Q317" s="50"/>
      <c r="R317" s="50"/>
      <c r="S317" s="50"/>
      <c r="T317" s="50"/>
      <c r="U317" s="50"/>
      <c r="V317" s="50"/>
      <c r="W317" s="50"/>
      <c r="X317" s="283"/>
      <c r="Y317" s="489">
        <f>IFERROR(VLOOKUP(Tableau118[[#This Row],[Name Shipper]],Plant_AILN!L:M,2,FALSE),0)</f>
        <v>0</v>
      </c>
      <c r="Z317" s="358"/>
      <c r="AA317" s="353" t="e">
        <f ca="1">VLOOKUP(Tableau118[[#This Row],[Key(ID-Actif)]],'DATA BTO'!A:N,5,FALSE)</f>
        <v>#N/A</v>
      </c>
      <c r="AB317" s="3" t="e">
        <f ca="1">VLOOKUP(Tableau118[[#This Row],[Key(ID-Actif)]],'DATA BTO'!A:N,6,FALSE)</f>
        <v>#N/A</v>
      </c>
      <c r="AC317" s="50" t="e">
        <f ca="1">VLOOKUP(Tableau118[[#This Row],[Key(ID-Actif)]],'DATA BTO'!A:N,7,FALSE)</f>
        <v>#N/A</v>
      </c>
      <c r="AD317" s="50" t="e">
        <f ca="1">VLOOKUP(Tableau118[[#This Row],[Key(ID-Actif)]],'DATA BTO'!A:N,8,FALSE)</f>
        <v>#N/A</v>
      </c>
      <c r="AE317" s="406" t="e">
        <f ca="1">IF(Tableau118[[#This Row],[First Day to POL]]&lt;=Tableau118[[#This Row],[Day Cut Off]],Tableau118[[#This Row],[Day ETD]],Tableau118[[#This Row],[Day ETD]]+7)</f>
        <v>#N/A</v>
      </c>
      <c r="AF317" s="50" t="e">
        <f ca="1">VLOOKUP(Tableau118[[#This Row],[Key(ID-Actif)]],'DATA BTO'!A:N,9,FALSE)</f>
        <v>#N/A</v>
      </c>
      <c r="AG317" s="3" t="e">
        <f ca="1">VLOOKUP(Tableau118[[#This Row],[Key(ID-Actif)]],'DATA BTO'!A:N,10,FALSE)</f>
        <v>#N/A</v>
      </c>
      <c r="AH317" s="3" t="e">
        <f ca="1">VLOOKUP(Tableau118[[#This Row],[Key(ID-Actif)]],'DATA BTO'!A:N,11,FALSE)</f>
        <v>#N/A</v>
      </c>
      <c r="AI317" s="50" t="e">
        <f ca="1">VLOOKUP(Tableau118[[#This Row],[Key(ID-Actif)]],'DATA BTO'!A:N,12,FALSE)</f>
        <v>#N/A</v>
      </c>
      <c r="AJ317" s="53" t="e">
        <f ca="1">VLOOKUP(Tableau118[[#This Row],[Key(ID-Actif)]],'DATA BTO'!A:N,14,FALSE)</f>
        <v>#N/A</v>
      </c>
      <c r="AK317" s="54" t="e">
        <f ca="1">VLOOKUP(Tableau118[[#This Row],[Key(POD -PFI- Usine)]],'DATA Consignee'!A:F,6,FALSE)</f>
        <v>#N/A</v>
      </c>
      <c r="AL317" s="283"/>
      <c r="AM317" s="490" t="str">
        <f>IF(Tableau118[[#This Row],[Name PFI/CDD]]="","-",VLOOKUP(Tableau118[[#This Row],[Name PFI/CDD]],Plant_AILN!I:J,2,FALSE))</f>
        <v>-</v>
      </c>
      <c r="AN31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7" s="2" t="e">
        <f ca="1">VLOOKUP(Tableau118[[#This Row],[Key(POD -PFI- Usine)]],'DATA Consignee'!A:J,10,FALSE)</f>
        <v>#N/A</v>
      </c>
      <c r="AQ317" s="50" t="e">
        <f ca="1">VLOOKUP(Tableau118[[#This Row],[Key(POD -PFI- Usine)]],'DATA Consignee'!A:N,14,FALSE)</f>
        <v>#N/A</v>
      </c>
      <c r="AR31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7" s="50" t="e">
        <f ca="1">Tableau118[[#This Row],[Transit time]]+Tableau118[[#This Row],[Time for security]]+Tableau118[[#This Row],[Time for security2 buffer]]</f>
        <v>#N/A</v>
      </c>
      <c r="AU31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7" s="50" t="e">
        <f ca="1">Tableau118[[#This Row],[Leadtime SI2C]]+Tableau118[[#This Row],[First Receipt Days]]-Tableau118[[#This Row],[Day Customer Order]]+1</f>
        <v>#N/A</v>
      </c>
      <c r="AW317" s="117" t="e">
        <f ca="1">IF(Tableau118[[#This Row],[Name ILN]]&lt;&gt;"SFK Freight Forwarder",Tableau118[[#This Row],[Cust. Leadtime]],Tableau118[[#This Row],[Leadtime SI2C]])</f>
        <v>#N/A</v>
      </c>
      <c r="AX317" s="57" t="e">
        <f>VLOOKUP(Tableau118[[#This Row],[ID]],'DATA BTO'!B:P,15,FALSE)</f>
        <v>#N/A</v>
      </c>
      <c r="AY317" s="328" t="e">
        <f ca="1">IFERROR(VLOOKUP(Tableau118[[#This Row],[Key(ID-Actif)]],'DATA BTO'!A:N,4,FALSE),VLOOKUP(Tableau118[[#This Row],[ID]],'DATA BTO'!B:N,3,FALSE))</f>
        <v>#N/A</v>
      </c>
      <c r="AZ31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7" s="50"/>
    </row>
    <row r="318" spans="2:57">
      <c r="B318" s="405" t="str">
        <f>_xlfn.CONCAT(Tableau118[[#This Row],[Name ILN]],"-",Tableau118[[#This Row],[Name Shipper]],"-",Tableau118[[#This Row],[Name Site]])</f>
        <v>--</v>
      </c>
      <c r="C318" s="64" t="e">
        <f ca="1">_xlfn.CONCAT(Tableau118[[#This Row],[Compte ILN]],"-",Tableau118[[#This Row],[Compte Shipper]],"-",Tableau118[[#This Row],[POL]],"-",Tableau118[[#This Row],[Compte Site]])</f>
        <v>#N/A</v>
      </c>
      <c r="D318" s="64" t="e">
        <f ca="1">_xlfn.CONCAT(Tableau118[[#This Row],[Compte ILN]],"-",Tableau118[[#This Row],[Compte Shipper]],"-",Tableau118[[#This Row],[POL]])</f>
        <v>#N/A</v>
      </c>
      <c r="E318" s="128" t="e">
        <f ca="1">_xlfn.CONCAT(Tableau118[[#This Row],[POL]],"-",Tableau118[[#This Row],[Carrier]],"-",Tableau118[[#This Row],[POD]])</f>
        <v>#N/A</v>
      </c>
      <c r="F318" s="64" t="str">
        <f>_xlfn.CONCAT(Tableau118[[#This Row],[ID]],"-","Next")</f>
        <v>-Next</v>
      </c>
      <c r="G318" s="64" t="e">
        <f ca="1">_xlfn.CONCAT(Tableau118[[#This Row],[POD]],"-",Tableau118[[#This Row],[Code PFI]],"-",Tableau118[[#This Row],[Compte Site]])</f>
        <v>#N/A</v>
      </c>
      <c r="H31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8" s="117" t="str">
        <f ca="1">IF(COUNTIF(I:I,Tableau118[[#This Row],[Plant-ILN-shipper-POL-Carrier-POD-PFI]])=1,"Non","Oui")</f>
        <v>Oui</v>
      </c>
      <c r="K318" s="126" t="e">
        <f>VLOOKUP(Tableau118[[#This Row],[Name Site]],Plant_AILN!A:D,4,FALSE)</f>
        <v>#N/A</v>
      </c>
      <c r="L318" s="363"/>
      <c r="M318" s="481"/>
      <c r="N318" s="55"/>
      <c r="O318" s="122"/>
      <c r="P318" s="481"/>
      <c r="Q318" s="50"/>
      <c r="R318" s="50"/>
      <c r="S318" s="50"/>
      <c r="T318" s="50"/>
      <c r="U318" s="50"/>
      <c r="V318" s="50"/>
      <c r="W318" s="50"/>
      <c r="X318" s="283"/>
      <c r="Y318" s="489">
        <f>IFERROR(VLOOKUP(Tableau118[[#This Row],[Name Shipper]],Plant_AILN!L:M,2,FALSE),0)</f>
        <v>0</v>
      </c>
      <c r="Z318" s="358"/>
      <c r="AA318" s="353" t="e">
        <f ca="1">VLOOKUP(Tableau118[[#This Row],[Key(ID-Actif)]],'DATA BTO'!A:N,5,FALSE)</f>
        <v>#N/A</v>
      </c>
      <c r="AB318" s="3" t="e">
        <f ca="1">VLOOKUP(Tableau118[[#This Row],[Key(ID-Actif)]],'DATA BTO'!A:N,6,FALSE)</f>
        <v>#N/A</v>
      </c>
      <c r="AC318" s="50" t="e">
        <f ca="1">VLOOKUP(Tableau118[[#This Row],[Key(ID-Actif)]],'DATA BTO'!A:N,7,FALSE)</f>
        <v>#N/A</v>
      </c>
      <c r="AD318" s="50" t="e">
        <f ca="1">VLOOKUP(Tableau118[[#This Row],[Key(ID-Actif)]],'DATA BTO'!A:N,8,FALSE)</f>
        <v>#N/A</v>
      </c>
      <c r="AE318" s="406" t="e">
        <f ca="1">IF(Tableau118[[#This Row],[First Day to POL]]&lt;=Tableau118[[#This Row],[Day Cut Off]],Tableau118[[#This Row],[Day ETD]],Tableau118[[#This Row],[Day ETD]]+7)</f>
        <v>#N/A</v>
      </c>
      <c r="AF318" s="50" t="e">
        <f ca="1">VLOOKUP(Tableau118[[#This Row],[Key(ID-Actif)]],'DATA BTO'!A:N,9,FALSE)</f>
        <v>#N/A</v>
      </c>
      <c r="AG318" s="3" t="e">
        <f ca="1">VLOOKUP(Tableau118[[#This Row],[Key(ID-Actif)]],'DATA BTO'!A:N,10,FALSE)</f>
        <v>#N/A</v>
      </c>
      <c r="AH318" s="3" t="e">
        <f ca="1">VLOOKUP(Tableau118[[#This Row],[Key(ID-Actif)]],'DATA BTO'!A:N,11,FALSE)</f>
        <v>#N/A</v>
      </c>
      <c r="AI318" s="50" t="e">
        <f ca="1">VLOOKUP(Tableau118[[#This Row],[Key(ID-Actif)]],'DATA BTO'!A:N,12,FALSE)</f>
        <v>#N/A</v>
      </c>
      <c r="AJ318" s="53" t="e">
        <f ca="1">VLOOKUP(Tableau118[[#This Row],[Key(ID-Actif)]],'DATA BTO'!A:N,14,FALSE)</f>
        <v>#N/A</v>
      </c>
      <c r="AK318" s="54" t="e">
        <f ca="1">VLOOKUP(Tableau118[[#This Row],[Key(POD -PFI- Usine)]],'DATA Consignee'!A:F,6,FALSE)</f>
        <v>#N/A</v>
      </c>
      <c r="AL318" s="283"/>
      <c r="AM318" s="490" t="str">
        <f>IF(Tableau118[[#This Row],[Name PFI/CDD]]="","-",VLOOKUP(Tableau118[[#This Row],[Name PFI/CDD]],Plant_AILN!I:J,2,FALSE))</f>
        <v>-</v>
      </c>
      <c r="AN31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8" s="2" t="e">
        <f ca="1">VLOOKUP(Tableau118[[#This Row],[Key(POD -PFI- Usine)]],'DATA Consignee'!A:J,10,FALSE)</f>
        <v>#N/A</v>
      </c>
      <c r="AQ318" s="50" t="e">
        <f ca="1">VLOOKUP(Tableau118[[#This Row],[Key(POD -PFI- Usine)]],'DATA Consignee'!A:N,14,FALSE)</f>
        <v>#N/A</v>
      </c>
      <c r="AR31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8" s="50" t="e">
        <f ca="1">Tableau118[[#This Row],[Transit time]]+Tableau118[[#This Row],[Time for security]]+Tableau118[[#This Row],[Time for security2 buffer]]</f>
        <v>#N/A</v>
      </c>
      <c r="AU31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8" s="50" t="e">
        <f ca="1">Tableau118[[#This Row],[Leadtime SI2C]]+Tableau118[[#This Row],[First Receipt Days]]-Tableau118[[#This Row],[Day Customer Order]]+1</f>
        <v>#N/A</v>
      </c>
      <c r="AW318" s="117" t="e">
        <f ca="1">IF(Tableau118[[#This Row],[Name ILN]]&lt;&gt;"SFK Freight Forwarder",Tableau118[[#This Row],[Cust. Leadtime]],Tableau118[[#This Row],[Leadtime SI2C]])</f>
        <v>#N/A</v>
      </c>
      <c r="AX318" s="57" t="e">
        <f>VLOOKUP(Tableau118[[#This Row],[ID]],'DATA BTO'!B:P,15,FALSE)</f>
        <v>#N/A</v>
      </c>
      <c r="AY318" s="328" t="e">
        <f ca="1">IFERROR(VLOOKUP(Tableau118[[#This Row],[Key(ID-Actif)]],'DATA BTO'!A:N,4,FALSE),VLOOKUP(Tableau118[[#This Row],[ID]],'DATA BTO'!B:N,3,FALSE))</f>
        <v>#N/A</v>
      </c>
      <c r="AZ31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8" s="50"/>
    </row>
    <row r="319" spans="2:57">
      <c r="B319" s="405" t="str">
        <f>_xlfn.CONCAT(Tableau118[[#This Row],[Name ILN]],"-",Tableau118[[#This Row],[Name Shipper]],"-",Tableau118[[#This Row],[Name Site]])</f>
        <v>--</v>
      </c>
      <c r="C319" s="64" t="e">
        <f ca="1">_xlfn.CONCAT(Tableau118[[#This Row],[Compte ILN]],"-",Tableau118[[#This Row],[Compte Shipper]],"-",Tableau118[[#This Row],[POL]],"-",Tableau118[[#This Row],[Compte Site]])</f>
        <v>#N/A</v>
      </c>
      <c r="D319" s="64" t="e">
        <f ca="1">_xlfn.CONCAT(Tableau118[[#This Row],[Compte ILN]],"-",Tableau118[[#This Row],[Compte Shipper]],"-",Tableau118[[#This Row],[POL]])</f>
        <v>#N/A</v>
      </c>
      <c r="E319" s="128" t="e">
        <f ca="1">_xlfn.CONCAT(Tableau118[[#This Row],[POL]],"-",Tableau118[[#This Row],[Carrier]],"-",Tableau118[[#This Row],[POD]])</f>
        <v>#N/A</v>
      </c>
      <c r="F319" s="64" t="str">
        <f>_xlfn.CONCAT(Tableau118[[#This Row],[ID]],"-","Next")</f>
        <v>-Next</v>
      </c>
      <c r="G319" s="64" t="e">
        <f ca="1">_xlfn.CONCAT(Tableau118[[#This Row],[POD]],"-",Tableau118[[#This Row],[Code PFI]],"-",Tableau118[[#This Row],[Compte Site]])</f>
        <v>#N/A</v>
      </c>
      <c r="H31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1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19" s="117" t="str">
        <f ca="1">IF(COUNTIF(I:I,Tableau118[[#This Row],[Plant-ILN-shipper-POL-Carrier-POD-PFI]])=1,"Non","Oui")</f>
        <v>Oui</v>
      </c>
      <c r="K319" s="126" t="e">
        <f>VLOOKUP(Tableau118[[#This Row],[Name Site]],Plant_AILN!A:D,4,FALSE)</f>
        <v>#N/A</v>
      </c>
      <c r="L319" s="363"/>
      <c r="M319" s="481"/>
      <c r="N319" s="55"/>
      <c r="O319" s="122"/>
      <c r="P319" s="481"/>
      <c r="Q319" s="50"/>
      <c r="R319" s="50"/>
      <c r="S319" s="50"/>
      <c r="T319" s="50"/>
      <c r="U319" s="50"/>
      <c r="V319" s="50"/>
      <c r="W319" s="50"/>
      <c r="X319" s="283"/>
      <c r="Y319" s="489">
        <f>IFERROR(VLOOKUP(Tableau118[[#This Row],[Name Shipper]],Plant_AILN!L:M,2,FALSE),0)</f>
        <v>0</v>
      </c>
      <c r="Z319" s="358"/>
      <c r="AA319" s="353" t="e">
        <f ca="1">VLOOKUP(Tableau118[[#This Row],[Key(ID-Actif)]],'DATA BTO'!A:N,5,FALSE)</f>
        <v>#N/A</v>
      </c>
      <c r="AB319" s="3" t="e">
        <f ca="1">VLOOKUP(Tableau118[[#This Row],[Key(ID-Actif)]],'DATA BTO'!A:N,6,FALSE)</f>
        <v>#N/A</v>
      </c>
      <c r="AC319" s="50" t="e">
        <f ca="1">VLOOKUP(Tableau118[[#This Row],[Key(ID-Actif)]],'DATA BTO'!A:N,7,FALSE)</f>
        <v>#N/A</v>
      </c>
      <c r="AD319" s="50" t="e">
        <f ca="1">VLOOKUP(Tableau118[[#This Row],[Key(ID-Actif)]],'DATA BTO'!A:N,8,FALSE)</f>
        <v>#N/A</v>
      </c>
      <c r="AE319" s="406" t="e">
        <f ca="1">IF(Tableau118[[#This Row],[First Day to POL]]&lt;=Tableau118[[#This Row],[Day Cut Off]],Tableau118[[#This Row],[Day ETD]],Tableau118[[#This Row],[Day ETD]]+7)</f>
        <v>#N/A</v>
      </c>
      <c r="AF319" s="50" t="e">
        <f ca="1">VLOOKUP(Tableau118[[#This Row],[Key(ID-Actif)]],'DATA BTO'!A:N,9,FALSE)</f>
        <v>#N/A</v>
      </c>
      <c r="AG319" s="3" t="e">
        <f ca="1">VLOOKUP(Tableau118[[#This Row],[Key(ID-Actif)]],'DATA BTO'!A:N,10,FALSE)</f>
        <v>#N/A</v>
      </c>
      <c r="AH319" s="3" t="e">
        <f ca="1">VLOOKUP(Tableau118[[#This Row],[Key(ID-Actif)]],'DATA BTO'!A:N,11,FALSE)</f>
        <v>#N/A</v>
      </c>
      <c r="AI319" s="50" t="e">
        <f ca="1">VLOOKUP(Tableau118[[#This Row],[Key(ID-Actif)]],'DATA BTO'!A:N,12,FALSE)</f>
        <v>#N/A</v>
      </c>
      <c r="AJ319" s="53" t="e">
        <f ca="1">VLOOKUP(Tableau118[[#This Row],[Key(ID-Actif)]],'DATA BTO'!A:N,14,FALSE)</f>
        <v>#N/A</v>
      </c>
      <c r="AK319" s="54" t="e">
        <f ca="1">VLOOKUP(Tableau118[[#This Row],[Key(POD -PFI- Usine)]],'DATA Consignee'!A:F,6,FALSE)</f>
        <v>#N/A</v>
      </c>
      <c r="AL319" s="283"/>
      <c r="AM319" s="490" t="str">
        <f>IF(Tableau118[[#This Row],[Name PFI/CDD]]="","-",VLOOKUP(Tableau118[[#This Row],[Name PFI/CDD]],Plant_AILN!I:J,2,FALSE))</f>
        <v>-</v>
      </c>
      <c r="AN31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1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19" s="2" t="e">
        <f ca="1">VLOOKUP(Tableau118[[#This Row],[Key(POD -PFI- Usine)]],'DATA Consignee'!A:J,10,FALSE)</f>
        <v>#N/A</v>
      </c>
      <c r="AQ319" s="50" t="e">
        <f ca="1">VLOOKUP(Tableau118[[#This Row],[Key(POD -PFI- Usine)]],'DATA Consignee'!A:N,14,FALSE)</f>
        <v>#N/A</v>
      </c>
      <c r="AR31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1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19" s="50" t="e">
        <f ca="1">Tableau118[[#This Row],[Transit time]]+Tableau118[[#This Row],[Time for security]]+Tableau118[[#This Row],[Time for security2 buffer]]</f>
        <v>#N/A</v>
      </c>
      <c r="AU31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19" s="50" t="e">
        <f ca="1">Tableau118[[#This Row],[Leadtime SI2C]]+Tableau118[[#This Row],[First Receipt Days]]-Tableau118[[#This Row],[Day Customer Order]]+1</f>
        <v>#N/A</v>
      </c>
      <c r="AW319" s="117" t="e">
        <f ca="1">IF(Tableau118[[#This Row],[Name ILN]]&lt;&gt;"SFK Freight Forwarder",Tableau118[[#This Row],[Cust. Leadtime]],Tableau118[[#This Row],[Leadtime SI2C]])</f>
        <v>#N/A</v>
      </c>
      <c r="AX319" s="57" t="e">
        <f>VLOOKUP(Tableau118[[#This Row],[ID]],'DATA BTO'!B:P,15,FALSE)</f>
        <v>#N/A</v>
      </c>
      <c r="AY319" s="328" t="e">
        <f ca="1">IFERROR(VLOOKUP(Tableau118[[#This Row],[Key(ID-Actif)]],'DATA BTO'!A:N,4,FALSE),VLOOKUP(Tableau118[[#This Row],[ID]],'DATA BTO'!B:N,3,FALSE))</f>
        <v>#N/A</v>
      </c>
      <c r="AZ31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1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1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1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1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19" s="50"/>
    </row>
    <row r="320" spans="2:57">
      <c r="B320" s="405" t="str">
        <f>_xlfn.CONCAT(Tableau118[[#This Row],[Name ILN]],"-",Tableau118[[#This Row],[Name Shipper]],"-",Tableau118[[#This Row],[Name Site]])</f>
        <v>--</v>
      </c>
      <c r="C320" s="64" t="e">
        <f ca="1">_xlfn.CONCAT(Tableau118[[#This Row],[Compte ILN]],"-",Tableau118[[#This Row],[Compte Shipper]],"-",Tableau118[[#This Row],[POL]],"-",Tableau118[[#This Row],[Compte Site]])</f>
        <v>#N/A</v>
      </c>
      <c r="D320" s="64" t="e">
        <f ca="1">_xlfn.CONCAT(Tableau118[[#This Row],[Compte ILN]],"-",Tableau118[[#This Row],[Compte Shipper]],"-",Tableau118[[#This Row],[POL]])</f>
        <v>#N/A</v>
      </c>
      <c r="E320" s="128" t="e">
        <f ca="1">_xlfn.CONCAT(Tableau118[[#This Row],[POL]],"-",Tableau118[[#This Row],[Carrier]],"-",Tableau118[[#This Row],[POD]])</f>
        <v>#N/A</v>
      </c>
      <c r="F320" s="64" t="str">
        <f>_xlfn.CONCAT(Tableau118[[#This Row],[ID]],"-","Next")</f>
        <v>-Next</v>
      </c>
      <c r="G320" s="64" t="e">
        <f ca="1">_xlfn.CONCAT(Tableau118[[#This Row],[POD]],"-",Tableau118[[#This Row],[Code PFI]],"-",Tableau118[[#This Row],[Compte Site]])</f>
        <v>#N/A</v>
      </c>
      <c r="H32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0" s="117" t="str">
        <f ca="1">IF(COUNTIF(I:I,Tableau118[[#This Row],[Plant-ILN-shipper-POL-Carrier-POD-PFI]])=1,"Non","Oui")</f>
        <v>Oui</v>
      </c>
      <c r="K320" s="126" t="e">
        <f>VLOOKUP(Tableau118[[#This Row],[Name Site]],Plant_AILN!A:D,4,FALSE)</f>
        <v>#N/A</v>
      </c>
      <c r="L320" s="363"/>
      <c r="M320" s="481"/>
      <c r="N320" s="55"/>
      <c r="O320" s="122"/>
      <c r="P320" s="481"/>
      <c r="Q320" s="50"/>
      <c r="R320" s="50"/>
      <c r="S320" s="50"/>
      <c r="T320" s="50"/>
      <c r="U320" s="50"/>
      <c r="V320" s="50"/>
      <c r="W320" s="50"/>
      <c r="X320" s="283"/>
      <c r="Y320" s="489">
        <f>IFERROR(VLOOKUP(Tableau118[[#This Row],[Name Shipper]],Plant_AILN!L:M,2,FALSE),0)</f>
        <v>0</v>
      </c>
      <c r="Z320" s="358"/>
      <c r="AA320" s="353" t="e">
        <f ca="1">VLOOKUP(Tableau118[[#This Row],[Key(ID-Actif)]],'DATA BTO'!A:N,5,FALSE)</f>
        <v>#N/A</v>
      </c>
      <c r="AB320" s="3" t="e">
        <f ca="1">VLOOKUP(Tableau118[[#This Row],[Key(ID-Actif)]],'DATA BTO'!A:N,6,FALSE)</f>
        <v>#N/A</v>
      </c>
      <c r="AC320" s="50" t="e">
        <f ca="1">VLOOKUP(Tableau118[[#This Row],[Key(ID-Actif)]],'DATA BTO'!A:N,7,FALSE)</f>
        <v>#N/A</v>
      </c>
      <c r="AD320" s="50" t="e">
        <f ca="1">VLOOKUP(Tableau118[[#This Row],[Key(ID-Actif)]],'DATA BTO'!A:N,8,FALSE)</f>
        <v>#N/A</v>
      </c>
      <c r="AE320" s="406" t="e">
        <f ca="1">IF(Tableau118[[#This Row],[First Day to POL]]&lt;=Tableau118[[#This Row],[Day Cut Off]],Tableau118[[#This Row],[Day ETD]],Tableau118[[#This Row],[Day ETD]]+7)</f>
        <v>#N/A</v>
      </c>
      <c r="AF320" s="50" t="e">
        <f ca="1">VLOOKUP(Tableau118[[#This Row],[Key(ID-Actif)]],'DATA BTO'!A:N,9,FALSE)</f>
        <v>#N/A</v>
      </c>
      <c r="AG320" s="3" t="e">
        <f ca="1">VLOOKUP(Tableau118[[#This Row],[Key(ID-Actif)]],'DATA BTO'!A:N,10,FALSE)</f>
        <v>#N/A</v>
      </c>
      <c r="AH320" s="3" t="e">
        <f ca="1">VLOOKUP(Tableau118[[#This Row],[Key(ID-Actif)]],'DATA BTO'!A:N,11,FALSE)</f>
        <v>#N/A</v>
      </c>
      <c r="AI320" s="50" t="e">
        <f ca="1">VLOOKUP(Tableau118[[#This Row],[Key(ID-Actif)]],'DATA BTO'!A:N,12,FALSE)</f>
        <v>#N/A</v>
      </c>
      <c r="AJ320" s="53" t="e">
        <f ca="1">VLOOKUP(Tableau118[[#This Row],[Key(ID-Actif)]],'DATA BTO'!A:N,14,FALSE)</f>
        <v>#N/A</v>
      </c>
      <c r="AK320" s="54" t="e">
        <f ca="1">VLOOKUP(Tableau118[[#This Row],[Key(POD -PFI- Usine)]],'DATA Consignee'!A:F,6,FALSE)</f>
        <v>#N/A</v>
      </c>
      <c r="AL320" s="283"/>
      <c r="AM320" s="490" t="str">
        <f>IF(Tableau118[[#This Row],[Name PFI/CDD]]="","-",VLOOKUP(Tableau118[[#This Row],[Name PFI/CDD]],Plant_AILN!I:J,2,FALSE))</f>
        <v>-</v>
      </c>
      <c r="AN32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0" s="2" t="e">
        <f ca="1">VLOOKUP(Tableau118[[#This Row],[Key(POD -PFI- Usine)]],'DATA Consignee'!A:J,10,FALSE)</f>
        <v>#N/A</v>
      </c>
      <c r="AQ320" s="50" t="e">
        <f ca="1">VLOOKUP(Tableau118[[#This Row],[Key(POD -PFI- Usine)]],'DATA Consignee'!A:N,14,FALSE)</f>
        <v>#N/A</v>
      </c>
      <c r="AR32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0" s="50" t="e">
        <f ca="1">Tableau118[[#This Row],[Transit time]]+Tableau118[[#This Row],[Time for security]]+Tableau118[[#This Row],[Time for security2 buffer]]</f>
        <v>#N/A</v>
      </c>
      <c r="AU32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0" s="50" t="e">
        <f ca="1">Tableau118[[#This Row],[Leadtime SI2C]]+Tableau118[[#This Row],[First Receipt Days]]-Tableau118[[#This Row],[Day Customer Order]]+1</f>
        <v>#N/A</v>
      </c>
      <c r="AW320" s="117" t="e">
        <f ca="1">IF(Tableau118[[#This Row],[Name ILN]]&lt;&gt;"SFK Freight Forwarder",Tableau118[[#This Row],[Cust. Leadtime]],Tableau118[[#This Row],[Leadtime SI2C]])</f>
        <v>#N/A</v>
      </c>
      <c r="AX320" s="57" t="e">
        <f>VLOOKUP(Tableau118[[#This Row],[ID]],'DATA BTO'!B:P,15,FALSE)</f>
        <v>#N/A</v>
      </c>
      <c r="AY320" s="328" t="e">
        <f ca="1">IFERROR(VLOOKUP(Tableau118[[#This Row],[Key(ID-Actif)]],'DATA BTO'!A:N,4,FALSE),VLOOKUP(Tableau118[[#This Row],[ID]],'DATA BTO'!B:N,3,FALSE))</f>
        <v>#N/A</v>
      </c>
      <c r="AZ32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0" s="50"/>
    </row>
    <row r="321" spans="2:57">
      <c r="B321" s="405" t="str">
        <f>_xlfn.CONCAT(Tableau118[[#This Row],[Name ILN]],"-",Tableau118[[#This Row],[Name Shipper]],"-",Tableau118[[#This Row],[Name Site]])</f>
        <v>--</v>
      </c>
      <c r="C321" s="64" t="e">
        <f ca="1">_xlfn.CONCAT(Tableau118[[#This Row],[Compte ILN]],"-",Tableau118[[#This Row],[Compte Shipper]],"-",Tableau118[[#This Row],[POL]],"-",Tableau118[[#This Row],[Compte Site]])</f>
        <v>#N/A</v>
      </c>
      <c r="D321" s="64" t="e">
        <f ca="1">_xlfn.CONCAT(Tableau118[[#This Row],[Compte ILN]],"-",Tableau118[[#This Row],[Compte Shipper]],"-",Tableau118[[#This Row],[POL]])</f>
        <v>#N/A</v>
      </c>
      <c r="E321" s="128" t="e">
        <f ca="1">_xlfn.CONCAT(Tableau118[[#This Row],[POL]],"-",Tableau118[[#This Row],[Carrier]],"-",Tableau118[[#This Row],[POD]])</f>
        <v>#N/A</v>
      </c>
      <c r="F321" s="64" t="str">
        <f>_xlfn.CONCAT(Tableau118[[#This Row],[ID]],"-","Next")</f>
        <v>-Next</v>
      </c>
      <c r="G321" s="64" t="e">
        <f ca="1">_xlfn.CONCAT(Tableau118[[#This Row],[POD]],"-",Tableau118[[#This Row],[Code PFI]],"-",Tableau118[[#This Row],[Compte Site]])</f>
        <v>#N/A</v>
      </c>
      <c r="H32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1" s="117" t="str">
        <f ca="1">IF(COUNTIF(I:I,Tableau118[[#This Row],[Plant-ILN-shipper-POL-Carrier-POD-PFI]])=1,"Non","Oui")</f>
        <v>Oui</v>
      </c>
      <c r="K321" s="126" t="e">
        <f>VLOOKUP(Tableau118[[#This Row],[Name Site]],Plant_AILN!A:D,4,FALSE)</f>
        <v>#N/A</v>
      </c>
      <c r="L321" s="363"/>
      <c r="M321" s="481"/>
      <c r="N321" s="55"/>
      <c r="O321" s="122"/>
      <c r="P321" s="481"/>
      <c r="Q321" s="50"/>
      <c r="R321" s="50"/>
      <c r="S321" s="50"/>
      <c r="T321" s="50"/>
      <c r="U321" s="50"/>
      <c r="V321" s="50"/>
      <c r="W321" s="50"/>
      <c r="X321" s="283"/>
      <c r="Y321" s="489">
        <f>IFERROR(VLOOKUP(Tableau118[[#This Row],[Name Shipper]],Plant_AILN!L:M,2,FALSE),0)</f>
        <v>0</v>
      </c>
      <c r="Z321" s="358"/>
      <c r="AA321" s="353" t="e">
        <f ca="1">VLOOKUP(Tableau118[[#This Row],[Key(ID-Actif)]],'DATA BTO'!A:N,5,FALSE)</f>
        <v>#N/A</v>
      </c>
      <c r="AB321" s="3" t="e">
        <f ca="1">VLOOKUP(Tableau118[[#This Row],[Key(ID-Actif)]],'DATA BTO'!A:N,6,FALSE)</f>
        <v>#N/A</v>
      </c>
      <c r="AC321" s="50" t="e">
        <f ca="1">VLOOKUP(Tableau118[[#This Row],[Key(ID-Actif)]],'DATA BTO'!A:N,7,FALSE)</f>
        <v>#N/A</v>
      </c>
      <c r="AD321" s="50" t="e">
        <f ca="1">VLOOKUP(Tableau118[[#This Row],[Key(ID-Actif)]],'DATA BTO'!A:N,8,FALSE)</f>
        <v>#N/A</v>
      </c>
      <c r="AE321" s="406" t="e">
        <f ca="1">IF(Tableau118[[#This Row],[First Day to POL]]&lt;=Tableau118[[#This Row],[Day Cut Off]],Tableau118[[#This Row],[Day ETD]],Tableau118[[#This Row],[Day ETD]]+7)</f>
        <v>#N/A</v>
      </c>
      <c r="AF321" s="50" t="e">
        <f ca="1">VLOOKUP(Tableau118[[#This Row],[Key(ID-Actif)]],'DATA BTO'!A:N,9,FALSE)</f>
        <v>#N/A</v>
      </c>
      <c r="AG321" s="3" t="e">
        <f ca="1">VLOOKUP(Tableau118[[#This Row],[Key(ID-Actif)]],'DATA BTO'!A:N,10,FALSE)</f>
        <v>#N/A</v>
      </c>
      <c r="AH321" s="3" t="e">
        <f ca="1">VLOOKUP(Tableau118[[#This Row],[Key(ID-Actif)]],'DATA BTO'!A:N,11,FALSE)</f>
        <v>#N/A</v>
      </c>
      <c r="AI321" s="50" t="e">
        <f ca="1">VLOOKUP(Tableau118[[#This Row],[Key(ID-Actif)]],'DATA BTO'!A:N,12,FALSE)</f>
        <v>#N/A</v>
      </c>
      <c r="AJ321" s="53" t="e">
        <f ca="1">VLOOKUP(Tableau118[[#This Row],[Key(ID-Actif)]],'DATA BTO'!A:N,14,FALSE)</f>
        <v>#N/A</v>
      </c>
      <c r="AK321" s="54" t="e">
        <f ca="1">VLOOKUP(Tableau118[[#This Row],[Key(POD -PFI- Usine)]],'DATA Consignee'!A:F,6,FALSE)</f>
        <v>#N/A</v>
      </c>
      <c r="AL321" s="283"/>
      <c r="AM321" s="490" t="str">
        <f>IF(Tableau118[[#This Row],[Name PFI/CDD]]="","-",VLOOKUP(Tableau118[[#This Row],[Name PFI/CDD]],Plant_AILN!I:J,2,FALSE))</f>
        <v>-</v>
      </c>
      <c r="AN32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1" s="2" t="e">
        <f ca="1">VLOOKUP(Tableau118[[#This Row],[Key(POD -PFI- Usine)]],'DATA Consignee'!A:J,10,FALSE)</f>
        <v>#N/A</v>
      </c>
      <c r="AQ321" s="50" t="e">
        <f ca="1">VLOOKUP(Tableau118[[#This Row],[Key(POD -PFI- Usine)]],'DATA Consignee'!A:N,14,FALSE)</f>
        <v>#N/A</v>
      </c>
      <c r="AR32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1" s="50" t="e">
        <f ca="1">Tableau118[[#This Row],[Transit time]]+Tableau118[[#This Row],[Time for security]]+Tableau118[[#This Row],[Time for security2 buffer]]</f>
        <v>#N/A</v>
      </c>
      <c r="AU32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1" s="50" t="e">
        <f ca="1">Tableau118[[#This Row],[Leadtime SI2C]]+Tableau118[[#This Row],[First Receipt Days]]-Tableau118[[#This Row],[Day Customer Order]]+1</f>
        <v>#N/A</v>
      </c>
      <c r="AW321" s="117" t="e">
        <f ca="1">IF(Tableau118[[#This Row],[Name ILN]]&lt;&gt;"SFK Freight Forwarder",Tableau118[[#This Row],[Cust. Leadtime]],Tableau118[[#This Row],[Leadtime SI2C]])</f>
        <v>#N/A</v>
      </c>
      <c r="AX321" s="57" t="e">
        <f>VLOOKUP(Tableau118[[#This Row],[ID]],'DATA BTO'!B:P,15,FALSE)</f>
        <v>#N/A</v>
      </c>
      <c r="AY321" s="328" t="e">
        <f ca="1">IFERROR(VLOOKUP(Tableau118[[#This Row],[Key(ID-Actif)]],'DATA BTO'!A:N,4,FALSE),VLOOKUP(Tableau118[[#This Row],[ID]],'DATA BTO'!B:N,3,FALSE))</f>
        <v>#N/A</v>
      </c>
      <c r="AZ32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1" s="50"/>
    </row>
    <row r="322" spans="2:57">
      <c r="B322" s="405" t="str">
        <f>_xlfn.CONCAT(Tableau118[[#This Row],[Name ILN]],"-",Tableau118[[#This Row],[Name Shipper]],"-",Tableau118[[#This Row],[Name Site]])</f>
        <v>--</v>
      </c>
      <c r="C322" s="64" t="e">
        <f ca="1">_xlfn.CONCAT(Tableau118[[#This Row],[Compte ILN]],"-",Tableau118[[#This Row],[Compte Shipper]],"-",Tableau118[[#This Row],[POL]],"-",Tableau118[[#This Row],[Compte Site]])</f>
        <v>#N/A</v>
      </c>
      <c r="D322" s="64" t="e">
        <f ca="1">_xlfn.CONCAT(Tableau118[[#This Row],[Compte ILN]],"-",Tableau118[[#This Row],[Compte Shipper]],"-",Tableau118[[#This Row],[POL]])</f>
        <v>#N/A</v>
      </c>
      <c r="E322" s="128" t="e">
        <f ca="1">_xlfn.CONCAT(Tableau118[[#This Row],[POL]],"-",Tableau118[[#This Row],[Carrier]],"-",Tableau118[[#This Row],[POD]])</f>
        <v>#N/A</v>
      </c>
      <c r="F322" s="64" t="str">
        <f>_xlfn.CONCAT(Tableau118[[#This Row],[ID]],"-","Next")</f>
        <v>-Next</v>
      </c>
      <c r="G322" s="64" t="e">
        <f ca="1">_xlfn.CONCAT(Tableau118[[#This Row],[POD]],"-",Tableau118[[#This Row],[Code PFI]],"-",Tableau118[[#This Row],[Compte Site]])</f>
        <v>#N/A</v>
      </c>
      <c r="H32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2" s="117" t="str">
        <f ca="1">IF(COUNTIF(I:I,Tableau118[[#This Row],[Plant-ILN-shipper-POL-Carrier-POD-PFI]])=1,"Non","Oui")</f>
        <v>Oui</v>
      </c>
      <c r="K322" s="126" t="e">
        <f>VLOOKUP(Tableau118[[#This Row],[Name Site]],Plant_AILN!A:D,4,FALSE)</f>
        <v>#N/A</v>
      </c>
      <c r="L322" s="363"/>
      <c r="M322" s="481"/>
      <c r="N322" s="55"/>
      <c r="O322" s="122"/>
      <c r="P322" s="481"/>
      <c r="Q322" s="50"/>
      <c r="R322" s="50"/>
      <c r="S322" s="50"/>
      <c r="T322" s="50"/>
      <c r="U322" s="50"/>
      <c r="V322" s="50"/>
      <c r="W322" s="50"/>
      <c r="X322" s="283"/>
      <c r="Y322" s="489">
        <f>IFERROR(VLOOKUP(Tableau118[[#This Row],[Name Shipper]],Plant_AILN!L:M,2,FALSE),0)</f>
        <v>0</v>
      </c>
      <c r="Z322" s="358"/>
      <c r="AA322" s="353" t="e">
        <f ca="1">VLOOKUP(Tableau118[[#This Row],[Key(ID-Actif)]],'DATA BTO'!A:N,5,FALSE)</f>
        <v>#N/A</v>
      </c>
      <c r="AB322" s="3" t="e">
        <f ca="1">VLOOKUP(Tableau118[[#This Row],[Key(ID-Actif)]],'DATA BTO'!A:N,6,FALSE)</f>
        <v>#N/A</v>
      </c>
      <c r="AC322" s="50" t="e">
        <f ca="1">VLOOKUP(Tableau118[[#This Row],[Key(ID-Actif)]],'DATA BTO'!A:N,7,FALSE)</f>
        <v>#N/A</v>
      </c>
      <c r="AD322" s="50" t="e">
        <f ca="1">VLOOKUP(Tableau118[[#This Row],[Key(ID-Actif)]],'DATA BTO'!A:N,8,FALSE)</f>
        <v>#N/A</v>
      </c>
      <c r="AE322" s="406" t="e">
        <f ca="1">IF(Tableau118[[#This Row],[First Day to POL]]&lt;=Tableau118[[#This Row],[Day Cut Off]],Tableau118[[#This Row],[Day ETD]],Tableau118[[#This Row],[Day ETD]]+7)</f>
        <v>#N/A</v>
      </c>
      <c r="AF322" s="50" t="e">
        <f ca="1">VLOOKUP(Tableau118[[#This Row],[Key(ID-Actif)]],'DATA BTO'!A:N,9,FALSE)</f>
        <v>#N/A</v>
      </c>
      <c r="AG322" s="3" t="e">
        <f ca="1">VLOOKUP(Tableau118[[#This Row],[Key(ID-Actif)]],'DATA BTO'!A:N,10,FALSE)</f>
        <v>#N/A</v>
      </c>
      <c r="AH322" s="3" t="e">
        <f ca="1">VLOOKUP(Tableau118[[#This Row],[Key(ID-Actif)]],'DATA BTO'!A:N,11,FALSE)</f>
        <v>#N/A</v>
      </c>
      <c r="AI322" s="50" t="e">
        <f ca="1">VLOOKUP(Tableau118[[#This Row],[Key(ID-Actif)]],'DATA BTO'!A:N,12,FALSE)</f>
        <v>#N/A</v>
      </c>
      <c r="AJ322" s="53" t="e">
        <f ca="1">VLOOKUP(Tableau118[[#This Row],[Key(ID-Actif)]],'DATA BTO'!A:N,14,FALSE)</f>
        <v>#N/A</v>
      </c>
      <c r="AK322" s="54" t="e">
        <f ca="1">VLOOKUP(Tableau118[[#This Row],[Key(POD -PFI- Usine)]],'DATA Consignee'!A:F,6,FALSE)</f>
        <v>#N/A</v>
      </c>
      <c r="AL322" s="283"/>
      <c r="AM322" s="490" t="str">
        <f>IF(Tableau118[[#This Row],[Name PFI/CDD]]="","-",VLOOKUP(Tableau118[[#This Row],[Name PFI/CDD]],Plant_AILN!I:J,2,FALSE))</f>
        <v>-</v>
      </c>
      <c r="AN32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2" s="2" t="e">
        <f ca="1">VLOOKUP(Tableau118[[#This Row],[Key(POD -PFI- Usine)]],'DATA Consignee'!A:J,10,FALSE)</f>
        <v>#N/A</v>
      </c>
      <c r="AQ322" s="50" t="e">
        <f ca="1">VLOOKUP(Tableau118[[#This Row],[Key(POD -PFI- Usine)]],'DATA Consignee'!A:N,14,FALSE)</f>
        <v>#N/A</v>
      </c>
      <c r="AR32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2" s="50" t="e">
        <f ca="1">Tableau118[[#This Row],[Transit time]]+Tableau118[[#This Row],[Time for security]]+Tableau118[[#This Row],[Time for security2 buffer]]</f>
        <v>#N/A</v>
      </c>
      <c r="AU32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2" s="50" t="e">
        <f ca="1">Tableau118[[#This Row],[Leadtime SI2C]]+Tableau118[[#This Row],[First Receipt Days]]-Tableau118[[#This Row],[Day Customer Order]]+1</f>
        <v>#N/A</v>
      </c>
      <c r="AW322" s="117" t="e">
        <f ca="1">IF(Tableau118[[#This Row],[Name ILN]]&lt;&gt;"SFK Freight Forwarder",Tableau118[[#This Row],[Cust. Leadtime]],Tableau118[[#This Row],[Leadtime SI2C]])</f>
        <v>#N/A</v>
      </c>
      <c r="AX322" s="57" t="e">
        <f>VLOOKUP(Tableau118[[#This Row],[ID]],'DATA BTO'!B:P,15,FALSE)</f>
        <v>#N/A</v>
      </c>
      <c r="AY322" s="328" t="e">
        <f ca="1">IFERROR(VLOOKUP(Tableau118[[#This Row],[Key(ID-Actif)]],'DATA BTO'!A:N,4,FALSE),VLOOKUP(Tableau118[[#This Row],[ID]],'DATA BTO'!B:N,3,FALSE))</f>
        <v>#N/A</v>
      </c>
      <c r="AZ32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2" s="50"/>
    </row>
    <row r="323" spans="2:57">
      <c r="B323" s="405" t="str">
        <f>_xlfn.CONCAT(Tableau118[[#This Row],[Name ILN]],"-",Tableau118[[#This Row],[Name Shipper]],"-",Tableau118[[#This Row],[Name Site]])</f>
        <v>--</v>
      </c>
      <c r="C323" s="64" t="e">
        <f ca="1">_xlfn.CONCAT(Tableau118[[#This Row],[Compte ILN]],"-",Tableau118[[#This Row],[Compte Shipper]],"-",Tableau118[[#This Row],[POL]],"-",Tableau118[[#This Row],[Compte Site]])</f>
        <v>#N/A</v>
      </c>
      <c r="D323" s="64" t="e">
        <f ca="1">_xlfn.CONCAT(Tableau118[[#This Row],[Compte ILN]],"-",Tableau118[[#This Row],[Compte Shipper]],"-",Tableau118[[#This Row],[POL]])</f>
        <v>#N/A</v>
      </c>
      <c r="E323" s="128" t="e">
        <f ca="1">_xlfn.CONCAT(Tableau118[[#This Row],[POL]],"-",Tableau118[[#This Row],[Carrier]],"-",Tableau118[[#This Row],[POD]])</f>
        <v>#N/A</v>
      </c>
      <c r="F323" s="64" t="str">
        <f>_xlfn.CONCAT(Tableau118[[#This Row],[ID]],"-","Next")</f>
        <v>-Next</v>
      </c>
      <c r="G323" s="64" t="e">
        <f ca="1">_xlfn.CONCAT(Tableau118[[#This Row],[POD]],"-",Tableau118[[#This Row],[Code PFI]],"-",Tableau118[[#This Row],[Compte Site]])</f>
        <v>#N/A</v>
      </c>
      <c r="H32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3" s="117" t="str">
        <f ca="1">IF(COUNTIF(I:I,Tableau118[[#This Row],[Plant-ILN-shipper-POL-Carrier-POD-PFI]])=1,"Non","Oui")</f>
        <v>Oui</v>
      </c>
      <c r="K323" s="126" t="e">
        <f>VLOOKUP(Tableau118[[#This Row],[Name Site]],Plant_AILN!A:D,4,FALSE)</f>
        <v>#N/A</v>
      </c>
      <c r="L323" s="363"/>
      <c r="M323" s="481"/>
      <c r="N323" s="55"/>
      <c r="O323" s="122"/>
      <c r="P323" s="481"/>
      <c r="Q323" s="50"/>
      <c r="R323" s="50"/>
      <c r="S323" s="50"/>
      <c r="T323" s="50"/>
      <c r="U323" s="50"/>
      <c r="V323" s="50"/>
      <c r="W323" s="50"/>
      <c r="X323" s="283"/>
      <c r="Y323" s="489">
        <f>IFERROR(VLOOKUP(Tableau118[[#This Row],[Name Shipper]],Plant_AILN!L:M,2,FALSE),0)</f>
        <v>0</v>
      </c>
      <c r="Z323" s="358"/>
      <c r="AA323" s="353" t="e">
        <f ca="1">VLOOKUP(Tableau118[[#This Row],[Key(ID-Actif)]],'DATA BTO'!A:N,5,FALSE)</f>
        <v>#N/A</v>
      </c>
      <c r="AB323" s="3" t="e">
        <f ca="1">VLOOKUP(Tableau118[[#This Row],[Key(ID-Actif)]],'DATA BTO'!A:N,6,FALSE)</f>
        <v>#N/A</v>
      </c>
      <c r="AC323" s="50" t="e">
        <f ca="1">VLOOKUP(Tableau118[[#This Row],[Key(ID-Actif)]],'DATA BTO'!A:N,7,FALSE)</f>
        <v>#N/A</v>
      </c>
      <c r="AD323" s="50" t="e">
        <f ca="1">VLOOKUP(Tableau118[[#This Row],[Key(ID-Actif)]],'DATA BTO'!A:N,8,FALSE)</f>
        <v>#N/A</v>
      </c>
      <c r="AE323" s="406" t="e">
        <f ca="1">IF(Tableau118[[#This Row],[First Day to POL]]&lt;=Tableau118[[#This Row],[Day Cut Off]],Tableau118[[#This Row],[Day ETD]],Tableau118[[#This Row],[Day ETD]]+7)</f>
        <v>#N/A</v>
      </c>
      <c r="AF323" s="50" t="e">
        <f ca="1">VLOOKUP(Tableau118[[#This Row],[Key(ID-Actif)]],'DATA BTO'!A:N,9,FALSE)</f>
        <v>#N/A</v>
      </c>
      <c r="AG323" s="3" t="e">
        <f ca="1">VLOOKUP(Tableau118[[#This Row],[Key(ID-Actif)]],'DATA BTO'!A:N,10,FALSE)</f>
        <v>#N/A</v>
      </c>
      <c r="AH323" s="3" t="e">
        <f ca="1">VLOOKUP(Tableau118[[#This Row],[Key(ID-Actif)]],'DATA BTO'!A:N,11,FALSE)</f>
        <v>#N/A</v>
      </c>
      <c r="AI323" s="50" t="e">
        <f ca="1">VLOOKUP(Tableau118[[#This Row],[Key(ID-Actif)]],'DATA BTO'!A:N,12,FALSE)</f>
        <v>#N/A</v>
      </c>
      <c r="AJ323" s="53" t="e">
        <f ca="1">VLOOKUP(Tableau118[[#This Row],[Key(ID-Actif)]],'DATA BTO'!A:N,14,FALSE)</f>
        <v>#N/A</v>
      </c>
      <c r="AK323" s="54" t="e">
        <f ca="1">VLOOKUP(Tableau118[[#This Row],[Key(POD -PFI- Usine)]],'DATA Consignee'!A:F,6,FALSE)</f>
        <v>#N/A</v>
      </c>
      <c r="AL323" s="283"/>
      <c r="AM323" s="490" t="str">
        <f>IF(Tableau118[[#This Row],[Name PFI/CDD]]="","-",VLOOKUP(Tableau118[[#This Row],[Name PFI/CDD]],Plant_AILN!I:J,2,FALSE))</f>
        <v>-</v>
      </c>
      <c r="AN32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3" s="2" t="e">
        <f ca="1">VLOOKUP(Tableau118[[#This Row],[Key(POD -PFI- Usine)]],'DATA Consignee'!A:J,10,FALSE)</f>
        <v>#N/A</v>
      </c>
      <c r="AQ323" s="50" t="e">
        <f ca="1">VLOOKUP(Tableau118[[#This Row],[Key(POD -PFI- Usine)]],'DATA Consignee'!A:N,14,FALSE)</f>
        <v>#N/A</v>
      </c>
      <c r="AR32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3" s="50" t="e">
        <f ca="1">Tableau118[[#This Row],[Transit time]]+Tableau118[[#This Row],[Time for security]]+Tableau118[[#This Row],[Time for security2 buffer]]</f>
        <v>#N/A</v>
      </c>
      <c r="AU32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3" s="50" t="e">
        <f ca="1">Tableau118[[#This Row],[Leadtime SI2C]]+Tableau118[[#This Row],[First Receipt Days]]-Tableau118[[#This Row],[Day Customer Order]]+1</f>
        <v>#N/A</v>
      </c>
      <c r="AW323" s="117" t="e">
        <f ca="1">IF(Tableau118[[#This Row],[Name ILN]]&lt;&gt;"SFK Freight Forwarder",Tableau118[[#This Row],[Cust. Leadtime]],Tableau118[[#This Row],[Leadtime SI2C]])</f>
        <v>#N/A</v>
      </c>
      <c r="AX323" s="57" t="e">
        <f>VLOOKUP(Tableau118[[#This Row],[ID]],'DATA BTO'!B:P,15,FALSE)</f>
        <v>#N/A</v>
      </c>
      <c r="AY323" s="328" t="e">
        <f ca="1">IFERROR(VLOOKUP(Tableau118[[#This Row],[Key(ID-Actif)]],'DATA BTO'!A:N,4,FALSE),VLOOKUP(Tableau118[[#This Row],[ID]],'DATA BTO'!B:N,3,FALSE))</f>
        <v>#N/A</v>
      </c>
      <c r="AZ32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3" s="50"/>
    </row>
    <row r="324" spans="2:57">
      <c r="B324" s="405" t="str">
        <f>_xlfn.CONCAT(Tableau118[[#This Row],[Name ILN]],"-",Tableau118[[#This Row],[Name Shipper]],"-",Tableau118[[#This Row],[Name Site]])</f>
        <v>--</v>
      </c>
      <c r="C324" s="64" t="e">
        <f ca="1">_xlfn.CONCAT(Tableau118[[#This Row],[Compte ILN]],"-",Tableau118[[#This Row],[Compte Shipper]],"-",Tableau118[[#This Row],[POL]],"-",Tableau118[[#This Row],[Compte Site]])</f>
        <v>#N/A</v>
      </c>
      <c r="D324" s="64" t="e">
        <f ca="1">_xlfn.CONCAT(Tableau118[[#This Row],[Compte ILN]],"-",Tableau118[[#This Row],[Compte Shipper]],"-",Tableau118[[#This Row],[POL]])</f>
        <v>#N/A</v>
      </c>
      <c r="E324" s="128" t="e">
        <f ca="1">_xlfn.CONCAT(Tableau118[[#This Row],[POL]],"-",Tableau118[[#This Row],[Carrier]],"-",Tableau118[[#This Row],[POD]])</f>
        <v>#N/A</v>
      </c>
      <c r="F324" s="64" t="str">
        <f>_xlfn.CONCAT(Tableau118[[#This Row],[ID]],"-","Next")</f>
        <v>-Next</v>
      </c>
      <c r="G324" s="64" t="e">
        <f ca="1">_xlfn.CONCAT(Tableau118[[#This Row],[POD]],"-",Tableau118[[#This Row],[Code PFI]],"-",Tableau118[[#This Row],[Compte Site]])</f>
        <v>#N/A</v>
      </c>
      <c r="H32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4" s="117" t="str">
        <f ca="1">IF(COUNTIF(I:I,Tableau118[[#This Row],[Plant-ILN-shipper-POL-Carrier-POD-PFI]])=1,"Non","Oui")</f>
        <v>Oui</v>
      </c>
      <c r="K324" s="126" t="e">
        <f>VLOOKUP(Tableau118[[#This Row],[Name Site]],Plant_AILN!A:D,4,FALSE)</f>
        <v>#N/A</v>
      </c>
      <c r="L324" s="363"/>
      <c r="M324" s="481"/>
      <c r="N324" s="55"/>
      <c r="O324" s="122"/>
      <c r="P324" s="481"/>
      <c r="Q324" s="50"/>
      <c r="R324" s="50"/>
      <c r="S324" s="50"/>
      <c r="T324" s="50"/>
      <c r="U324" s="50"/>
      <c r="V324" s="50"/>
      <c r="W324" s="50"/>
      <c r="X324" s="283"/>
      <c r="Y324" s="489">
        <f>IFERROR(VLOOKUP(Tableau118[[#This Row],[Name Shipper]],Plant_AILN!L:M,2,FALSE),0)</f>
        <v>0</v>
      </c>
      <c r="Z324" s="358"/>
      <c r="AA324" s="353" t="e">
        <f ca="1">VLOOKUP(Tableau118[[#This Row],[Key(ID-Actif)]],'DATA BTO'!A:N,5,FALSE)</f>
        <v>#N/A</v>
      </c>
      <c r="AB324" s="3" t="e">
        <f ca="1">VLOOKUP(Tableau118[[#This Row],[Key(ID-Actif)]],'DATA BTO'!A:N,6,FALSE)</f>
        <v>#N/A</v>
      </c>
      <c r="AC324" s="50" t="e">
        <f ca="1">VLOOKUP(Tableau118[[#This Row],[Key(ID-Actif)]],'DATA BTO'!A:N,7,FALSE)</f>
        <v>#N/A</v>
      </c>
      <c r="AD324" s="50" t="e">
        <f ca="1">VLOOKUP(Tableau118[[#This Row],[Key(ID-Actif)]],'DATA BTO'!A:N,8,FALSE)</f>
        <v>#N/A</v>
      </c>
      <c r="AE324" s="406" t="e">
        <f ca="1">IF(Tableau118[[#This Row],[First Day to POL]]&lt;=Tableau118[[#This Row],[Day Cut Off]],Tableau118[[#This Row],[Day ETD]],Tableau118[[#This Row],[Day ETD]]+7)</f>
        <v>#N/A</v>
      </c>
      <c r="AF324" s="50" t="e">
        <f ca="1">VLOOKUP(Tableau118[[#This Row],[Key(ID-Actif)]],'DATA BTO'!A:N,9,FALSE)</f>
        <v>#N/A</v>
      </c>
      <c r="AG324" s="3" t="e">
        <f ca="1">VLOOKUP(Tableau118[[#This Row],[Key(ID-Actif)]],'DATA BTO'!A:N,10,FALSE)</f>
        <v>#N/A</v>
      </c>
      <c r="AH324" s="3" t="e">
        <f ca="1">VLOOKUP(Tableau118[[#This Row],[Key(ID-Actif)]],'DATA BTO'!A:N,11,FALSE)</f>
        <v>#N/A</v>
      </c>
      <c r="AI324" s="50" t="e">
        <f ca="1">VLOOKUP(Tableau118[[#This Row],[Key(ID-Actif)]],'DATA BTO'!A:N,12,FALSE)</f>
        <v>#N/A</v>
      </c>
      <c r="AJ324" s="53" t="e">
        <f ca="1">VLOOKUP(Tableau118[[#This Row],[Key(ID-Actif)]],'DATA BTO'!A:N,14,FALSE)</f>
        <v>#N/A</v>
      </c>
      <c r="AK324" s="54" t="e">
        <f ca="1">VLOOKUP(Tableau118[[#This Row],[Key(POD -PFI- Usine)]],'DATA Consignee'!A:F,6,FALSE)</f>
        <v>#N/A</v>
      </c>
      <c r="AL324" s="283"/>
      <c r="AM324" s="490" t="str">
        <f>IF(Tableau118[[#This Row],[Name PFI/CDD]]="","-",VLOOKUP(Tableau118[[#This Row],[Name PFI/CDD]],Plant_AILN!I:J,2,FALSE))</f>
        <v>-</v>
      </c>
      <c r="AN32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4" s="2" t="e">
        <f ca="1">VLOOKUP(Tableau118[[#This Row],[Key(POD -PFI- Usine)]],'DATA Consignee'!A:J,10,FALSE)</f>
        <v>#N/A</v>
      </c>
      <c r="AQ324" s="50" t="e">
        <f ca="1">VLOOKUP(Tableau118[[#This Row],[Key(POD -PFI- Usine)]],'DATA Consignee'!A:N,14,FALSE)</f>
        <v>#N/A</v>
      </c>
      <c r="AR32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4" s="50" t="e">
        <f ca="1">Tableau118[[#This Row],[Transit time]]+Tableau118[[#This Row],[Time for security]]+Tableau118[[#This Row],[Time for security2 buffer]]</f>
        <v>#N/A</v>
      </c>
      <c r="AU32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4" s="50" t="e">
        <f ca="1">Tableau118[[#This Row],[Leadtime SI2C]]+Tableau118[[#This Row],[First Receipt Days]]-Tableau118[[#This Row],[Day Customer Order]]+1</f>
        <v>#N/A</v>
      </c>
      <c r="AW324" s="117" t="e">
        <f ca="1">IF(Tableau118[[#This Row],[Name ILN]]&lt;&gt;"SFK Freight Forwarder",Tableau118[[#This Row],[Cust. Leadtime]],Tableau118[[#This Row],[Leadtime SI2C]])</f>
        <v>#N/A</v>
      </c>
      <c r="AX324" s="57" t="e">
        <f>VLOOKUP(Tableau118[[#This Row],[ID]],'DATA BTO'!B:P,15,FALSE)</f>
        <v>#N/A</v>
      </c>
      <c r="AY324" s="328" t="e">
        <f ca="1">IFERROR(VLOOKUP(Tableau118[[#This Row],[Key(ID-Actif)]],'DATA BTO'!A:N,4,FALSE),VLOOKUP(Tableau118[[#This Row],[ID]],'DATA BTO'!B:N,3,FALSE))</f>
        <v>#N/A</v>
      </c>
      <c r="AZ32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4" s="50"/>
    </row>
    <row r="325" spans="2:57">
      <c r="B325" s="405" t="str">
        <f>_xlfn.CONCAT(Tableau118[[#This Row],[Name ILN]],"-",Tableau118[[#This Row],[Name Shipper]],"-",Tableau118[[#This Row],[Name Site]])</f>
        <v>--</v>
      </c>
      <c r="C325" s="64" t="e">
        <f ca="1">_xlfn.CONCAT(Tableau118[[#This Row],[Compte ILN]],"-",Tableau118[[#This Row],[Compte Shipper]],"-",Tableau118[[#This Row],[POL]],"-",Tableau118[[#This Row],[Compte Site]])</f>
        <v>#N/A</v>
      </c>
      <c r="D325" s="64" t="e">
        <f ca="1">_xlfn.CONCAT(Tableau118[[#This Row],[Compte ILN]],"-",Tableau118[[#This Row],[Compte Shipper]],"-",Tableau118[[#This Row],[POL]])</f>
        <v>#N/A</v>
      </c>
      <c r="E325" s="128" t="e">
        <f ca="1">_xlfn.CONCAT(Tableau118[[#This Row],[POL]],"-",Tableau118[[#This Row],[Carrier]],"-",Tableau118[[#This Row],[POD]])</f>
        <v>#N/A</v>
      </c>
      <c r="F325" s="64" t="str">
        <f>_xlfn.CONCAT(Tableau118[[#This Row],[ID]],"-","Next")</f>
        <v>-Next</v>
      </c>
      <c r="G325" s="64" t="e">
        <f ca="1">_xlfn.CONCAT(Tableau118[[#This Row],[POD]],"-",Tableau118[[#This Row],[Code PFI]],"-",Tableau118[[#This Row],[Compte Site]])</f>
        <v>#N/A</v>
      </c>
      <c r="H32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5" s="117" t="str">
        <f ca="1">IF(COUNTIF(I:I,Tableau118[[#This Row],[Plant-ILN-shipper-POL-Carrier-POD-PFI]])=1,"Non","Oui")</f>
        <v>Oui</v>
      </c>
      <c r="K325" s="126" t="e">
        <f>VLOOKUP(Tableau118[[#This Row],[Name Site]],Plant_AILN!A:D,4,FALSE)</f>
        <v>#N/A</v>
      </c>
      <c r="L325" s="363"/>
      <c r="M325" s="481"/>
      <c r="N325" s="55"/>
      <c r="O325" s="122"/>
      <c r="P325" s="481"/>
      <c r="Q325" s="50"/>
      <c r="R325" s="50"/>
      <c r="S325" s="50"/>
      <c r="T325" s="50"/>
      <c r="U325" s="50"/>
      <c r="V325" s="50"/>
      <c r="W325" s="50"/>
      <c r="X325" s="283"/>
      <c r="Y325" s="489">
        <f>IFERROR(VLOOKUP(Tableau118[[#This Row],[Name Shipper]],Plant_AILN!L:M,2,FALSE),0)</f>
        <v>0</v>
      </c>
      <c r="Z325" s="358"/>
      <c r="AA325" s="353" t="e">
        <f ca="1">VLOOKUP(Tableau118[[#This Row],[Key(ID-Actif)]],'DATA BTO'!A:N,5,FALSE)</f>
        <v>#N/A</v>
      </c>
      <c r="AB325" s="3" t="e">
        <f ca="1">VLOOKUP(Tableau118[[#This Row],[Key(ID-Actif)]],'DATA BTO'!A:N,6,FALSE)</f>
        <v>#N/A</v>
      </c>
      <c r="AC325" s="50" t="e">
        <f ca="1">VLOOKUP(Tableau118[[#This Row],[Key(ID-Actif)]],'DATA BTO'!A:N,7,FALSE)</f>
        <v>#N/A</v>
      </c>
      <c r="AD325" s="50" t="e">
        <f ca="1">VLOOKUP(Tableau118[[#This Row],[Key(ID-Actif)]],'DATA BTO'!A:N,8,FALSE)</f>
        <v>#N/A</v>
      </c>
      <c r="AE325" s="406" t="e">
        <f ca="1">IF(Tableau118[[#This Row],[First Day to POL]]&lt;=Tableau118[[#This Row],[Day Cut Off]],Tableau118[[#This Row],[Day ETD]],Tableau118[[#This Row],[Day ETD]]+7)</f>
        <v>#N/A</v>
      </c>
      <c r="AF325" s="50" t="e">
        <f ca="1">VLOOKUP(Tableau118[[#This Row],[Key(ID-Actif)]],'DATA BTO'!A:N,9,FALSE)</f>
        <v>#N/A</v>
      </c>
      <c r="AG325" s="3" t="e">
        <f ca="1">VLOOKUP(Tableau118[[#This Row],[Key(ID-Actif)]],'DATA BTO'!A:N,10,FALSE)</f>
        <v>#N/A</v>
      </c>
      <c r="AH325" s="3" t="e">
        <f ca="1">VLOOKUP(Tableau118[[#This Row],[Key(ID-Actif)]],'DATA BTO'!A:N,11,FALSE)</f>
        <v>#N/A</v>
      </c>
      <c r="AI325" s="50" t="e">
        <f ca="1">VLOOKUP(Tableau118[[#This Row],[Key(ID-Actif)]],'DATA BTO'!A:N,12,FALSE)</f>
        <v>#N/A</v>
      </c>
      <c r="AJ325" s="53" t="e">
        <f ca="1">VLOOKUP(Tableau118[[#This Row],[Key(ID-Actif)]],'DATA BTO'!A:N,14,FALSE)</f>
        <v>#N/A</v>
      </c>
      <c r="AK325" s="54" t="e">
        <f ca="1">VLOOKUP(Tableau118[[#This Row],[Key(POD -PFI- Usine)]],'DATA Consignee'!A:F,6,FALSE)</f>
        <v>#N/A</v>
      </c>
      <c r="AL325" s="283"/>
      <c r="AM325" s="490" t="str">
        <f>IF(Tableau118[[#This Row],[Name PFI/CDD]]="","-",VLOOKUP(Tableau118[[#This Row],[Name PFI/CDD]],Plant_AILN!I:J,2,FALSE))</f>
        <v>-</v>
      </c>
      <c r="AN32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5" s="2" t="e">
        <f ca="1">VLOOKUP(Tableau118[[#This Row],[Key(POD -PFI- Usine)]],'DATA Consignee'!A:J,10,FALSE)</f>
        <v>#N/A</v>
      </c>
      <c r="AQ325" s="50" t="e">
        <f ca="1">VLOOKUP(Tableau118[[#This Row],[Key(POD -PFI- Usine)]],'DATA Consignee'!A:N,14,FALSE)</f>
        <v>#N/A</v>
      </c>
      <c r="AR32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5" s="50" t="e">
        <f ca="1">Tableau118[[#This Row],[Transit time]]+Tableau118[[#This Row],[Time for security]]+Tableau118[[#This Row],[Time for security2 buffer]]</f>
        <v>#N/A</v>
      </c>
      <c r="AU32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5" s="50" t="e">
        <f ca="1">Tableau118[[#This Row],[Leadtime SI2C]]+Tableau118[[#This Row],[First Receipt Days]]-Tableau118[[#This Row],[Day Customer Order]]+1</f>
        <v>#N/A</v>
      </c>
      <c r="AW325" s="117" t="e">
        <f ca="1">IF(Tableau118[[#This Row],[Name ILN]]&lt;&gt;"SFK Freight Forwarder",Tableau118[[#This Row],[Cust. Leadtime]],Tableau118[[#This Row],[Leadtime SI2C]])</f>
        <v>#N/A</v>
      </c>
      <c r="AX325" s="57" t="e">
        <f>VLOOKUP(Tableau118[[#This Row],[ID]],'DATA BTO'!B:P,15,FALSE)</f>
        <v>#N/A</v>
      </c>
      <c r="AY325" s="328" t="e">
        <f ca="1">IFERROR(VLOOKUP(Tableau118[[#This Row],[Key(ID-Actif)]],'DATA BTO'!A:N,4,FALSE),VLOOKUP(Tableau118[[#This Row],[ID]],'DATA BTO'!B:N,3,FALSE))</f>
        <v>#N/A</v>
      </c>
      <c r="AZ32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5" s="50"/>
    </row>
    <row r="326" spans="2:57">
      <c r="B326" s="405" t="str">
        <f>_xlfn.CONCAT(Tableau118[[#This Row],[Name ILN]],"-",Tableau118[[#This Row],[Name Shipper]],"-",Tableau118[[#This Row],[Name Site]])</f>
        <v>--</v>
      </c>
      <c r="C326" s="64" t="e">
        <f ca="1">_xlfn.CONCAT(Tableau118[[#This Row],[Compte ILN]],"-",Tableau118[[#This Row],[Compte Shipper]],"-",Tableau118[[#This Row],[POL]],"-",Tableau118[[#This Row],[Compte Site]])</f>
        <v>#N/A</v>
      </c>
      <c r="D326" s="64" t="e">
        <f ca="1">_xlfn.CONCAT(Tableau118[[#This Row],[Compte ILN]],"-",Tableau118[[#This Row],[Compte Shipper]],"-",Tableau118[[#This Row],[POL]])</f>
        <v>#N/A</v>
      </c>
      <c r="E326" s="128" t="e">
        <f ca="1">_xlfn.CONCAT(Tableau118[[#This Row],[POL]],"-",Tableau118[[#This Row],[Carrier]],"-",Tableau118[[#This Row],[POD]])</f>
        <v>#N/A</v>
      </c>
      <c r="F326" s="64" t="str">
        <f>_xlfn.CONCAT(Tableau118[[#This Row],[ID]],"-","Next")</f>
        <v>-Next</v>
      </c>
      <c r="G326" s="64" t="e">
        <f ca="1">_xlfn.CONCAT(Tableau118[[#This Row],[POD]],"-",Tableau118[[#This Row],[Code PFI]],"-",Tableau118[[#This Row],[Compte Site]])</f>
        <v>#N/A</v>
      </c>
      <c r="H32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6" s="117" t="str">
        <f ca="1">IF(COUNTIF(I:I,Tableau118[[#This Row],[Plant-ILN-shipper-POL-Carrier-POD-PFI]])=1,"Non","Oui")</f>
        <v>Oui</v>
      </c>
      <c r="K326" s="126" t="e">
        <f>VLOOKUP(Tableau118[[#This Row],[Name Site]],Plant_AILN!A:D,4,FALSE)</f>
        <v>#N/A</v>
      </c>
      <c r="L326" s="363"/>
      <c r="M326" s="481"/>
      <c r="N326" s="55"/>
      <c r="O326" s="122"/>
      <c r="P326" s="481"/>
      <c r="Q326" s="50"/>
      <c r="R326" s="50"/>
      <c r="S326" s="50"/>
      <c r="T326" s="50"/>
      <c r="U326" s="50"/>
      <c r="V326" s="50"/>
      <c r="W326" s="50"/>
      <c r="X326" s="283"/>
      <c r="Y326" s="489">
        <f>IFERROR(VLOOKUP(Tableau118[[#This Row],[Name Shipper]],Plant_AILN!L:M,2,FALSE),0)</f>
        <v>0</v>
      </c>
      <c r="Z326" s="358"/>
      <c r="AA326" s="353" t="e">
        <f ca="1">VLOOKUP(Tableau118[[#This Row],[Key(ID-Actif)]],'DATA BTO'!A:N,5,FALSE)</f>
        <v>#N/A</v>
      </c>
      <c r="AB326" s="3" t="e">
        <f ca="1">VLOOKUP(Tableau118[[#This Row],[Key(ID-Actif)]],'DATA BTO'!A:N,6,FALSE)</f>
        <v>#N/A</v>
      </c>
      <c r="AC326" s="50" t="e">
        <f ca="1">VLOOKUP(Tableau118[[#This Row],[Key(ID-Actif)]],'DATA BTO'!A:N,7,FALSE)</f>
        <v>#N/A</v>
      </c>
      <c r="AD326" s="50" t="e">
        <f ca="1">VLOOKUP(Tableau118[[#This Row],[Key(ID-Actif)]],'DATA BTO'!A:N,8,FALSE)</f>
        <v>#N/A</v>
      </c>
      <c r="AE326" s="406" t="e">
        <f ca="1">IF(Tableau118[[#This Row],[First Day to POL]]&lt;=Tableau118[[#This Row],[Day Cut Off]],Tableau118[[#This Row],[Day ETD]],Tableau118[[#This Row],[Day ETD]]+7)</f>
        <v>#N/A</v>
      </c>
      <c r="AF326" s="50" t="e">
        <f ca="1">VLOOKUP(Tableau118[[#This Row],[Key(ID-Actif)]],'DATA BTO'!A:N,9,FALSE)</f>
        <v>#N/A</v>
      </c>
      <c r="AG326" s="3" t="e">
        <f ca="1">VLOOKUP(Tableau118[[#This Row],[Key(ID-Actif)]],'DATA BTO'!A:N,10,FALSE)</f>
        <v>#N/A</v>
      </c>
      <c r="AH326" s="3" t="e">
        <f ca="1">VLOOKUP(Tableau118[[#This Row],[Key(ID-Actif)]],'DATA BTO'!A:N,11,FALSE)</f>
        <v>#N/A</v>
      </c>
      <c r="AI326" s="50" t="e">
        <f ca="1">VLOOKUP(Tableau118[[#This Row],[Key(ID-Actif)]],'DATA BTO'!A:N,12,FALSE)</f>
        <v>#N/A</v>
      </c>
      <c r="AJ326" s="53" t="e">
        <f ca="1">VLOOKUP(Tableau118[[#This Row],[Key(ID-Actif)]],'DATA BTO'!A:N,14,FALSE)</f>
        <v>#N/A</v>
      </c>
      <c r="AK326" s="54" t="e">
        <f ca="1">VLOOKUP(Tableau118[[#This Row],[Key(POD -PFI- Usine)]],'DATA Consignee'!A:F,6,FALSE)</f>
        <v>#N/A</v>
      </c>
      <c r="AL326" s="283"/>
      <c r="AM326" s="490" t="str">
        <f>IF(Tableau118[[#This Row],[Name PFI/CDD]]="","-",VLOOKUP(Tableau118[[#This Row],[Name PFI/CDD]],Plant_AILN!I:J,2,FALSE))</f>
        <v>-</v>
      </c>
      <c r="AN32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6" s="2" t="e">
        <f ca="1">VLOOKUP(Tableau118[[#This Row],[Key(POD -PFI- Usine)]],'DATA Consignee'!A:J,10,FALSE)</f>
        <v>#N/A</v>
      </c>
      <c r="AQ326" s="50" t="e">
        <f ca="1">VLOOKUP(Tableau118[[#This Row],[Key(POD -PFI- Usine)]],'DATA Consignee'!A:N,14,FALSE)</f>
        <v>#N/A</v>
      </c>
      <c r="AR32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6" s="50" t="e">
        <f ca="1">Tableau118[[#This Row],[Transit time]]+Tableau118[[#This Row],[Time for security]]+Tableau118[[#This Row],[Time for security2 buffer]]</f>
        <v>#N/A</v>
      </c>
      <c r="AU32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6" s="50" t="e">
        <f ca="1">Tableau118[[#This Row],[Leadtime SI2C]]+Tableau118[[#This Row],[First Receipt Days]]-Tableau118[[#This Row],[Day Customer Order]]+1</f>
        <v>#N/A</v>
      </c>
      <c r="AW326" s="117" t="e">
        <f ca="1">IF(Tableau118[[#This Row],[Name ILN]]&lt;&gt;"SFK Freight Forwarder",Tableau118[[#This Row],[Cust. Leadtime]],Tableau118[[#This Row],[Leadtime SI2C]])</f>
        <v>#N/A</v>
      </c>
      <c r="AX326" s="57" t="e">
        <f>VLOOKUP(Tableau118[[#This Row],[ID]],'DATA BTO'!B:P,15,FALSE)</f>
        <v>#N/A</v>
      </c>
      <c r="AY326" s="328" t="e">
        <f ca="1">IFERROR(VLOOKUP(Tableau118[[#This Row],[Key(ID-Actif)]],'DATA BTO'!A:N,4,FALSE),VLOOKUP(Tableau118[[#This Row],[ID]],'DATA BTO'!B:N,3,FALSE))</f>
        <v>#N/A</v>
      </c>
      <c r="AZ32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6" s="50"/>
    </row>
    <row r="327" spans="2:57">
      <c r="B327" s="405" t="str">
        <f>_xlfn.CONCAT(Tableau118[[#This Row],[Name ILN]],"-",Tableau118[[#This Row],[Name Shipper]],"-",Tableau118[[#This Row],[Name Site]])</f>
        <v>--</v>
      </c>
      <c r="C327" s="64" t="e">
        <f ca="1">_xlfn.CONCAT(Tableau118[[#This Row],[Compte ILN]],"-",Tableau118[[#This Row],[Compte Shipper]],"-",Tableau118[[#This Row],[POL]],"-",Tableau118[[#This Row],[Compte Site]])</f>
        <v>#N/A</v>
      </c>
      <c r="D327" s="64" t="e">
        <f ca="1">_xlfn.CONCAT(Tableau118[[#This Row],[Compte ILN]],"-",Tableau118[[#This Row],[Compte Shipper]],"-",Tableau118[[#This Row],[POL]])</f>
        <v>#N/A</v>
      </c>
      <c r="E327" s="128" t="e">
        <f ca="1">_xlfn.CONCAT(Tableau118[[#This Row],[POL]],"-",Tableau118[[#This Row],[Carrier]],"-",Tableau118[[#This Row],[POD]])</f>
        <v>#N/A</v>
      </c>
      <c r="F327" s="64" t="str">
        <f>_xlfn.CONCAT(Tableau118[[#This Row],[ID]],"-","Next")</f>
        <v>-Next</v>
      </c>
      <c r="G327" s="64" t="e">
        <f ca="1">_xlfn.CONCAT(Tableau118[[#This Row],[POD]],"-",Tableau118[[#This Row],[Code PFI]],"-",Tableau118[[#This Row],[Compte Site]])</f>
        <v>#N/A</v>
      </c>
      <c r="H32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7" s="117" t="str">
        <f ca="1">IF(COUNTIF(I:I,Tableau118[[#This Row],[Plant-ILN-shipper-POL-Carrier-POD-PFI]])=1,"Non","Oui")</f>
        <v>Oui</v>
      </c>
      <c r="K327" s="126" t="e">
        <f>VLOOKUP(Tableau118[[#This Row],[Name Site]],Plant_AILN!A:D,4,FALSE)</f>
        <v>#N/A</v>
      </c>
      <c r="L327" s="363"/>
      <c r="M327" s="481"/>
      <c r="N327" s="55"/>
      <c r="O327" s="122"/>
      <c r="P327" s="481"/>
      <c r="Q327" s="50"/>
      <c r="R327" s="50"/>
      <c r="S327" s="50"/>
      <c r="T327" s="50"/>
      <c r="U327" s="50"/>
      <c r="V327" s="50"/>
      <c r="W327" s="50"/>
      <c r="X327" s="283"/>
      <c r="Y327" s="489">
        <f>IFERROR(VLOOKUP(Tableau118[[#This Row],[Name Shipper]],Plant_AILN!L:M,2,FALSE),0)</f>
        <v>0</v>
      </c>
      <c r="Z327" s="358"/>
      <c r="AA327" s="353" t="e">
        <f ca="1">VLOOKUP(Tableau118[[#This Row],[Key(ID-Actif)]],'DATA BTO'!A:N,5,FALSE)</f>
        <v>#N/A</v>
      </c>
      <c r="AB327" s="3" t="e">
        <f ca="1">VLOOKUP(Tableau118[[#This Row],[Key(ID-Actif)]],'DATA BTO'!A:N,6,FALSE)</f>
        <v>#N/A</v>
      </c>
      <c r="AC327" s="50" t="e">
        <f ca="1">VLOOKUP(Tableau118[[#This Row],[Key(ID-Actif)]],'DATA BTO'!A:N,7,FALSE)</f>
        <v>#N/A</v>
      </c>
      <c r="AD327" s="50" t="e">
        <f ca="1">VLOOKUP(Tableau118[[#This Row],[Key(ID-Actif)]],'DATA BTO'!A:N,8,FALSE)</f>
        <v>#N/A</v>
      </c>
      <c r="AE327" s="406" t="e">
        <f ca="1">IF(Tableau118[[#This Row],[First Day to POL]]&lt;=Tableau118[[#This Row],[Day Cut Off]],Tableau118[[#This Row],[Day ETD]],Tableau118[[#This Row],[Day ETD]]+7)</f>
        <v>#N/A</v>
      </c>
      <c r="AF327" s="50" t="e">
        <f ca="1">VLOOKUP(Tableau118[[#This Row],[Key(ID-Actif)]],'DATA BTO'!A:N,9,FALSE)</f>
        <v>#N/A</v>
      </c>
      <c r="AG327" s="3" t="e">
        <f ca="1">VLOOKUP(Tableau118[[#This Row],[Key(ID-Actif)]],'DATA BTO'!A:N,10,FALSE)</f>
        <v>#N/A</v>
      </c>
      <c r="AH327" s="3" t="e">
        <f ca="1">VLOOKUP(Tableau118[[#This Row],[Key(ID-Actif)]],'DATA BTO'!A:N,11,FALSE)</f>
        <v>#N/A</v>
      </c>
      <c r="AI327" s="50" t="e">
        <f ca="1">VLOOKUP(Tableau118[[#This Row],[Key(ID-Actif)]],'DATA BTO'!A:N,12,FALSE)</f>
        <v>#N/A</v>
      </c>
      <c r="AJ327" s="53" t="e">
        <f ca="1">VLOOKUP(Tableau118[[#This Row],[Key(ID-Actif)]],'DATA BTO'!A:N,14,FALSE)</f>
        <v>#N/A</v>
      </c>
      <c r="AK327" s="54" t="e">
        <f ca="1">VLOOKUP(Tableau118[[#This Row],[Key(POD -PFI- Usine)]],'DATA Consignee'!A:F,6,FALSE)</f>
        <v>#N/A</v>
      </c>
      <c r="AL327" s="283"/>
      <c r="AM327" s="490" t="str">
        <f>IF(Tableau118[[#This Row],[Name PFI/CDD]]="","-",VLOOKUP(Tableau118[[#This Row],[Name PFI/CDD]],Plant_AILN!I:J,2,FALSE))</f>
        <v>-</v>
      </c>
      <c r="AN32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7" s="2" t="e">
        <f ca="1">VLOOKUP(Tableau118[[#This Row],[Key(POD -PFI- Usine)]],'DATA Consignee'!A:J,10,FALSE)</f>
        <v>#N/A</v>
      </c>
      <c r="AQ327" s="50" t="e">
        <f ca="1">VLOOKUP(Tableau118[[#This Row],[Key(POD -PFI- Usine)]],'DATA Consignee'!A:N,14,FALSE)</f>
        <v>#N/A</v>
      </c>
      <c r="AR32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7" s="50" t="e">
        <f ca="1">Tableau118[[#This Row],[Transit time]]+Tableau118[[#This Row],[Time for security]]+Tableau118[[#This Row],[Time for security2 buffer]]</f>
        <v>#N/A</v>
      </c>
      <c r="AU32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7" s="50" t="e">
        <f ca="1">Tableau118[[#This Row],[Leadtime SI2C]]+Tableau118[[#This Row],[First Receipt Days]]-Tableau118[[#This Row],[Day Customer Order]]+1</f>
        <v>#N/A</v>
      </c>
      <c r="AW327" s="117" t="e">
        <f ca="1">IF(Tableau118[[#This Row],[Name ILN]]&lt;&gt;"SFK Freight Forwarder",Tableau118[[#This Row],[Cust. Leadtime]],Tableau118[[#This Row],[Leadtime SI2C]])</f>
        <v>#N/A</v>
      </c>
      <c r="AX327" s="57" t="e">
        <f>VLOOKUP(Tableau118[[#This Row],[ID]],'DATA BTO'!B:P,15,FALSE)</f>
        <v>#N/A</v>
      </c>
      <c r="AY327" s="328" t="e">
        <f ca="1">IFERROR(VLOOKUP(Tableau118[[#This Row],[Key(ID-Actif)]],'DATA BTO'!A:N,4,FALSE),VLOOKUP(Tableau118[[#This Row],[ID]],'DATA BTO'!B:N,3,FALSE))</f>
        <v>#N/A</v>
      </c>
      <c r="AZ32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7" s="50"/>
    </row>
    <row r="328" spans="2:57">
      <c r="B328" s="405" t="str">
        <f>_xlfn.CONCAT(Tableau118[[#This Row],[Name ILN]],"-",Tableau118[[#This Row],[Name Shipper]],"-",Tableau118[[#This Row],[Name Site]])</f>
        <v>--</v>
      </c>
      <c r="C328" s="64" t="e">
        <f ca="1">_xlfn.CONCAT(Tableau118[[#This Row],[Compte ILN]],"-",Tableau118[[#This Row],[Compte Shipper]],"-",Tableau118[[#This Row],[POL]],"-",Tableau118[[#This Row],[Compte Site]])</f>
        <v>#N/A</v>
      </c>
      <c r="D328" s="64" t="e">
        <f ca="1">_xlfn.CONCAT(Tableau118[[#This Row],[Compte ILN]],"-",Tableau118[[#This Row],[Compte Shipper]],"-",Tableau118[[#This Row],[POL]])</f>
        <v>#N/A</v>
      </c>
      <c r="E328" s="128" t="e">
        <f ca="1">_xlfn.CONCAT(Tableau118[[#This Row],[POL]],"-",Tableau118[[#This Row],[Carrier]],"-",Tableau118[[#This Row],[POD]])</f>
        <v>#N/A</v>
      </c>
      <c r="F328" s="64" t="str">
        <f>_xlfn.CONCAT(Tableau118[[#This Row],[ID]],"-","Next")</f>
        <v>-Next</v>
      </c>
      <c r="G328" s="64" t="e">
        <f ca="1">_xlfn.CONCAT(Tableau118[[#This Row],[POD]],"-",Tableau118[[#This Row],[Code PFI]],"-",Tableau118[[#This Row],[Compte Site]])</f>
        <v>#N/A</v>
      </c>
      <c r="H32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8" s="117" t="str">
        <f ca="1">IF(COUNTIF(I:I,Tableau118[[#This Row],[Plant-ILN-shipper-POL-Carrier-POD-PFI]])=1,"Non","Oui")</f>
        <v>Oui</v>
      </c>
      <c r="K328" s="126" t="e">
        <f>VLOOKUP(Tableau118[[#This Row],[Name Site]],Plant_AILN!A:D,4,FALSE)</f>
        <v>#N/A</v>
      </c>
      <c r="L328" s="363"/>
      <c r="M328" s="481"/>
      <c r="N328" s="55"/>
      <c r="O328" s="122"/>
      <c r="P328" s="481"/>
      <c r="Q328" s="50"/>
      <c r="R328" s="50"/>
      <c r="S328" s="50"/>
      <c r="T328" s="50"/>
      <c r="U328" s="50"/>
      <c r="V328" s="50"/>
      <c r="W328" s="50"/>
      <c r="X328" s="283"/>
      <c r="Y328" s="489">
        <f>IFERROR(VLOOKUP(Tableau118[[#This Row],[Name Shipper]],Plant_AILN!L:M,2,FALSE),0)</f>
        <v>0</v>
      </c>
      <c r="Z328" s="358"/>
      <c r="AA328" s="353" t="e">
        <f ca="1">VLOOKUP(Tableau118[[#This Row],[Key(ID-Actif)]],'DATA BTO'!A:N,5,FALSE)</f>
        <v>#N/A</v>
      </c>
      <c r="AB328" s="3" t="e">
        <f ca="1">VLOOKUP(Tableau118[[#This Row],[Key(ID-Actif)]],'DATA BTO'!A:N,6,FALSE)</f>
        <v>#N/A</v>
      </c>
      <c r="AC328" s="50" t="e">
        <f ca="1">VLOOKUP(Tableau118[[#This Row],[Key(ID-Actif)]],'DATA BTO'!A:N,7,FALSE)</f>
        <v>#N/A</v>
      </c>
      <c r="AD328" s="50" t="e">
        <f ca="1">VLOOKUP(Tableau118[[#This Row],[Key(ID-Actif)]],'DATA BTO'!A:N,8,FALSE)</f>
        <v>#N/A</v>
      </c>
      <c r="AE328" s="406" t="e">
        <f ca="1">IF(Tableau118[[#This Row],[First Day to POL]]&lt;=Tableau118[[#This Row],[Day Cut Off]],Tableau118[[#This Row],[Day ETD]],Tableau118[[#This Row],[Day ETD]]+7)</f>
        <v>#N/A</v>
      </c>
      <c r="AF328" s="50" t="e">
        <f ca="1">VLOOKUP(Tableau118[[#This Row],[Key(ID-Actif)]],'DATA BTO'!A:N,9,FALSE)</f>
        <v>#N/A</v>
      </c>
      <c r="AG328" s="3" t="e">
        <f ca="1">VLOOKUP(Tableau118[[#This Row],[Key(ID-Actif)]],'DATA BTO'!A:N,10,FALSE)</f>
        <v>#N/A</v>
      </c>
      <c r="AH328" s="3" t="e">
        <f ca="1">VLOOKUP(Tableau118[[#This Row],[Key(ID-Actif)]],'DATA BTO'!A:N,11,FALSE)</f>
        <v>#N/A</v>
      </c>
      <c r="AI328" s="50" t="e">
        <f ca="1">VLOOKUP(Tableau118[[#This Row],[Key(ID-Actif)]],'DATA BTO'!A:N,12,FALSE)</f>
        <v>#N/A</v>
      </c>
      <c r="AJ328" s="53" t="e">
        <f ca="1">VLOOKUP(Tableau118[[#This Row],[Key(ID-Actif)]],'DATA BTO'!A:N,14,FALSE)</f>
        <v>#N/A</v>
      </c>
      <c r="AK328" s="54" t="e">
        <f ca="1">VLOOKUP(Tableau118[[#This Row],[Key(POD -PFI- Usine)]],'DATA Consignee'!A:F,6,FALSE)</f>
        <v>#N/A</v>
      </c>
      <c r="AL328" s="283"/>
      <c r="AM328" s="490" t="str">
        <f>IF(Tableau118[[#This Row],[Name PFI/CDD]]="","-",VLOOKUP(Tableau118[[#This Row],[Name PFI/CDD]],Plant_AILN!I:J,2,FALSE))</f>
        <v>-</v>
      </c>
      <c r="AN32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8" s="2" t="e">
        <f ca="1">VLOOKUP(Tableau118[[#This Row],[Key(POD -PFI- Usine)]],'DATA Consignee'!A:J,10,FALSE)</f>
        <v>#N/A</v>
      </c>
      <c r="AQ328" s="50" t="e">
        <f ca="1">VLOOKUP(Tableau118[[#This Row],[Key(POD -PFI- Usine)]],'DATA Consignee'!A:N,14,FALSE)</f>
        <v>#N/A</v>
      </c>
      <c r="AR32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8" s="50" t="e">
        <f ca="1">Tableau118[[#This Row],[Transit time]]+Tableau118[[#This Row],[Time for security]]+Tableau118[[#This Row],[Time for security2 buffer]]</f>
        <v>#N/A</v>
      </c>
      <c r="AU32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8" s="50" t="e">
        <f ca="1">Tableau118[[#This Row],[Leadtime SI2C]]+Tableau118[[#This Row],[First Receipt Days]]-Tableau118[[#This Row],[Day Customer Order]]+1</f>
        <v>#N/A</v>
      </c>
      <c r="AW328" s="117" t="e">
        <f ca="1">IF(Tableau118[[#This Row],[Name ILN]]&lt;&gt;"SFK Freight Forwarder",Tableau118[[#This Row],[Cust. Leadtime]],Tableau118[[#This Row],[Leadtime SI2C]])</f>
        <v>#N/A</v>
      </c>
      <c r="AX328" s="57" t="e">
        <f>VLOOKUP(Tableau118[[#This Row],[ID]],'DATA BTO'!B:P,15,FALSE)</f>
        <v>#N/A</v>
      </c>
      <c r="AY328" s="328" t="e">
        <f ca="1">IFERROR(VLOOKUP(Tableau118[[#This Row],[Key(ID-Actif)]],'DATA BTO'!A:N,4,FALSE),VLOOKUP(Tableau118[[#This Row],[ID]],'DATA BTO'!B:N,3,FALSE))</f>
        <v>#N/A</v>
      </c>
      <c r="AZ32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8" s="50"/>
    </row>
    <row r="329" spans="2:57">
      <c r="B329" s="405" t="str">
        <f>_xlfn.CONCAT(Tableau118[[#This Row],[Name ILN]],"-",Tableau118[[#This Row],[Name Shipper]],"-",Tableau118[[#This Row],[Name Site]])</f>
        <v>--</v>
      </c>
      <c r="C329" s="64" t="e">
        <f ca="1">_xlfn.CONCAT(Tableau118[[#This Row],[Compte ILN]],"-",Tableau118[[#This Row],[Compte Shipper]],"-",Tableau118[[#This Row],[POL]],"-",Tableau118[[#This Row],[Compte Site]])</f>
        <v>#N/A</v>
      </c>
      <c r="D329" s="64" t="e">
        <f ca="1">_xlfn.CONCAT(Tableau118[[#This Row],[Compte ILN]],"-",Tableau118[[#This Row],[Compte Shipper]],"-",Tableau118[[#This Row],[POL]])</f>
        <v>#N/A</v>
      </c>
      <c r="E329" s="128" t="e">
        <f ca="1">_xlfn.CONCAT(Tableau118[[#This Row],[POL]],"-",Tableau118[[#This Row],[Carrier]],"-",Tableau118[[#This Row],[POD]])</f>
        <v>#N/A</v>
      </c>
      <c r="F329" s="64" t="str">
        <f>_xlfn.CONCAT(Tableau118[[#This Row],[ID]],"-","Next")</f>
        <v>-Next</v>
      </c>
      <c r="G329" s="64" t="e">
        <f ca="1">_xlfn.CONCAT(Tableau118[[#This Row],[POD]],"-",Tableau118[[#This Row],[Code PFI]],"-",Tableau118[[#This Row],[Compte Site]])</f>
        <v>#N/A</v>
      </c>
      <c r="H32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2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29" s="117" t="str">
        <f ca="1">IF(COUNTIF(I:I,Tableau118[[#This Row],[Plant-ILN-shipper-POL-Carrier-POD-PFI]])=1,"Non","Oui")</f>
        <v>Oui</v>
      </c>
      <c r="K329" s="126" t="e">
        <f>VLOOKUP(Tableau118[[#This Row],[Name Site]],Plant_AILN!A:D,4,FALSE)</f>
        <v>#N/A</v>
      </c>
      <c r="L329" s="363"/>
      <c r="M329" s="481"/>
      <c r="N329" s="55"/>
      <c r="O329" s="122"/>
      <c r="P329" s="481"/>
      <c r="Q329" s="50"/>
      <c r="R329" s="50"/>
      <c r="S329" s="50"/>
      <c r="T329" s="50"/>
      <c r="U329" s="50"/>
      <c r="V329" s="50"/>
      <c r="W329" s="50"/>
      <c r="X329" s="283"/>
      <c r="Y329" s="489">
        <f>IFERROR(VLOOKUP(Tableau118[[#This Row],[Name Shipper]],Plant_AILN!L:M,2,FALSE),0)</f>
        <v>0</v>
      </c>
      <c r="Z329" s="358"/>
      <c r="AA329" s="353" t="e">
        <f ca="1">VLOOKUP(Tableau118[[#This Row],[Key(ID-Actif)]],'DATA BTO'!A:N,5,FALSE)</f>
        <v>#N/A</v>
      </c>
      <c r="AB329" s="3" t="e">
        <f ca="1">VLOOKUP(Tableau118[[#This Row],[Key(ID-Actif)]],'DATA BTO'!A:N,6,FALSE)</f>
        <v>#N/A</v>
      </c>
      <c r="AC329" s="50" t="e">
        <f ca="1">VLOOKUP(Tableau118[[#This Row],[Key(ID-Actif)]],'DATA BTO'!A:N,7,FALSE)</f>
        <v>#N/A</v>
      </c>
      <c r="AD329" s="50" t="e">
        <f ca="1">VLOOKUP(Tableau118[[#This Row],[Key(ID-Actif)]],'DATA BTO'!A:N,8,FALSE)</f>
        <v>#N/A</v>
      </c>
      <c r="AE329" s="406" t="e">
        <f ca="1">IF(Tableau118[[#This Row],[First Day to POL]]&lt;=Tableau118[[#This Row],[Day Cut Off]],Tableau118[[#This Row],[Day ETD]],Tableau118[[#This Row],[Day ETD]]+7)</f>
        <v>#N/A</v>
      </c>
      <c r="AF329" s="50" t="e">
        <f ca="1">VLOOKUP(Tableau118[[#This Row],[Key(ID-Actif)]],'DATA BTO'!A:N,9,FALSE)</f>
        <v>#N/A</v>
      </c>
      <c r="AG329" s="3" t="e">
        <f ca="1">VLOOKUP(Tableau118[[#This Row],[Key(ID-Actif)]],'DATA BTO'!A:N,10,FALSE)</f>
        <v>#N/A</v>
      </c>
      <c r="AH329" s="3" t="e">
        <f ca="1">VLOOKUP(Tableau118[[#This Row],[Key(ID-Actif)]],'DATA BTO'!A:N,11,FALSE)</f>
        <v>#N/A</v>
      </c>
      <c r="AI329" s="50" t="e">
        <f ca="1">VLOOKUP(Tableau118[[#This Row],[Key(ID-Actif)]],'DATA BTO'!A:N,12,FALSE)</f>
        <v>#N/A</v>
      </c>
      <c r="AJ329" s="53" t="e">
        <f ca="1">VLOOKUP(Tableau118[[#This Row],[Key(ID-Actif)]],'DATA BTO'!A:N,14,FALSE)</f>
        <v>#N/A</v>
      </c>
      <c r="AK329" s="54" t="e">
        <f ca="1">VLOOKUP(Tableau118[[#This Row],[Key(POD -PFI- Usine)]],'DATA Consignee'!A:F,6,FALSE)</f>
        <v>#N/A</v>
      </c>
      <c r="AL329" s="283"/>
      <c r="AM329" s="490" t="str">
        <f>IF(Tableau118[[#This Row],[Name PFI/CDD]]="","-",VLOOKUP(Tableau118[[#This Row],[Name PFI/CDD]],Plant_AILN!I:J,2,FALSE))</f>
        <v>-</v>
      </c>
      <c r="AN32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2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29" s="2" t="e">
        <f ca="1">VLOOKUP(Tableau118[[#This Row],[Key(POD -PFI- Usine)]],'DATA Consignee'!A:J,10,FALSE)</f>
        <v>#N/A</v>
      </c>
      <c r="AQ329" s="50" t="e">
        <f ca="1">VLOOKUP(Tableau118[[#This Row],[Key(POD -PFI- Usine)]],'DATA Consignee'!A:N,14,FALSE)</f>
        <v>#N/A</v>
      </c>
      <c r="AR32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2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29" s="50" t="e">
        <f ca="1">Tableau118[[#This Row],[Transit time]]+Tableau118[[#This Row],[Time for security]]+Tableau118[[#This Row],[Time for security2 buffer]]</f>
        <v>#N/A</v>
      </c>
      <c r="AU32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29" s="50" t="e">
        <f ca="1">Tableau118[[#This Row],[Leadtime SI2C]]+Tableau118[[#This Row],[First Receipt Days]]-Tableau118[[#This Row],[Day Customer Order]]+1</f>
        <v>#N/A</v>
      </c>
      <c r="AW329" s="117" t="e">
        <f ca="1">IF(Tableau118[[#This Row],[Name ILN]]&lt;&gt;"SFK Freight Forwarder",Tableau118[[#This Row],[Cust. Leadtime]],Tableau118[[#This Row],[Leadtime SI2C]])</f>
        <v>#N/A</v>
      </c>
      <c r="AX329" s="57" t="e">
        <f>VLOOKUP(Tableau118[[#This Row],[ID]],'DATA BTO'!B:P,15,FALSE)</f>
        <v>#N/A</v>
      </c>
      <c r="AY329" s="328" t="e">
        <f ca="1">IFERROR(VLOOKUP(Tableau118[[#This Row],[Key(ID-Actif)]],'DATA BTO'!A:N,4,FALSE),VLOOKUP(Tableau118[[#This Row],[ID]],'DATA BTO'!B:N,3,FALSE))</f>
        <v>#N/A</v>
      </c>
      <c r="AZ32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2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2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2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2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29" s="50"/>
    </row>
    <row r="330" spans="2:57">
      <c r="B330" s="405" t="str">
        <f>_xlfn.CONCAT(Tableau118[[#This Row],[Name ILN]],"-",Tableau118[[#This Row],[Name Shipper]],"-",Tableau118[[#This Row],[Name Site]])</f>
        <v>--</v>
      </c>
      <c r="C330" s="64" t="e">
        <f ca="1">_xlfn.CONCAT(Tableau118[[#This Row],[Compte ILN]],"-",Tableau118[[#This Row],[Compte Shipper]],"-",Tableau118[[#This Row],[POL]],"-",Tableau118[[#This Row],[Compte Site]])</f>
        <v>#N/A</v>
      </c>
      <c r="D330" s="64" t="e">
        <f ca="1">_xlfn.CONCAT(Tableau118[[#This Row],[Compte ILN]],"-",Tableau118[[#This Row],[Compte Shipper]],"-",Tableau118[[#This Row],[POL]])</f>
        <v>#N/A</v>
      </c>
      <c r="E330" s="128" t="e">
        <f ca="1">_xlfn.CONCAT(Tableau118[[#This Row],[POL]],"-",Tableau118[[#This Row],[Carrier]],"-",Tableau118[[#This Row],[POD]])</f>
        <v>#N/A</v>
      </c>
      <c r="F330" s="64" t="str">
        <f>_xlfn.CONCAT(Tableau118[[#This Row],[ID]],"-","Next")</f>
        <v>-Next</v>
      </c>
      <c r="G330" s="64" t="e">
        <f ca="1">_xlfn.CONCAT(Tableau118[[#This Row],[POD]],"-",Tableau118[[#This Row],[Code PFI]],"-",Tableau118[[#This Row],[Compte Site]])</f>
        <v>#N/A</v>
      </c>
      <c r="H33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0" s="117" t="str">
        <f ca="1">IF(COUNTIF(I:I,Tableau118[[#This Row],[Plant-ILN-shipper-POL-Carrier-POD-PFI]])=1,"Non","Oui")</f>
        <v>Oui</v>
      </c>
      <c r="K330" s="126" t="e">
        <f>VLOOKUP(Tableau118[[#This Row],[Name Site]],Plant_AILN!A:D,4,FALSE)</f>
        <v>#N/A</v>
      </c>
      <c r="L330" s="363"/>
      <c r="M330" s="481"/>
      <c r="N330" s="55"/>
      <c r="O330" s="122"/>
      <c r="P330" s="481"/>
      <c r="Q330" s="50"/>
      <c r="R330" s="50"/>
      <c r="S330" s="50"/>
      <c r="T330" s="50"/>
      <c r="U330" s="50"/>
      <c r="V330" s="50"/>
      <c r="W330" s="50"/>
      <c r="X330" s="283"/>
      <c r="Y330" s="489">
        <f>IFERROR(VLOOKUP(Tableau118[[#This Row],[Name Shipper]],Plant_AILN!L:M,2,FALSE),0)</f>
        <v>0</v>
      </c>
      <c r="Z330" s="358"/>
      <c r="AA330" s="353" t="e">
        <f ca="1">VLOOKUP(Tableau118[[#This Row],[Key(ID-Actif)]],'DATA BTO'!A:N,5,FALSE)</f>
        <v>#N/A</v>
      </c>
      <c r="AB330" s="3" t="e">
        <f ca="1">VLOOKUP(Tableau118[[#This Row],[Key(ID-Actif)]],'DATA BTO'!A:N,6,FALSE)</f>
        <v>#N/A</v>
      </c>
      <c r="AC330" s="50" t="e">
        <f ca="1">VLOOKUP(Tableau118[[#This Row],[Key(ID-Actif)]],'DATA BTO'!A:N,7,FALSE)</f>
        <v>#N/A</v>
      </c>
      <c r="AD330" s="50" t="e">
        <f ca="1">VLOOKUP(Tableau118[[#This Row],[Key(ID-Actif)]],'DATA BTO'!A:N,8,FALSE)</f>
        <v>#N/A</v>
      </c>
      <c r="AE330" s="406" t="e">
        <f ca="1">IF(Tableau118[[#This Row],[First Day to POL]]&lt;=Tableau118[[#This Row],[Day Cut Off]],Tableau118[[#This Row],[Day ETD]],Tableau118[[#This Row],[Day ETD]]+7)</f>
        <v>#N/A</v>
      </c>
      <c r="AF330" s="50" t="e">
        <f ca="1">VLOOKUP(Tableau118[[#This Row],[Key(ID-Actif)]],'DATA BTO'!A:N,9,FALSE)</f>
        <v>#N/A</v>
      </c>
      <c r="AG330" s="3" t="e">
        <f ca="1">VLOOKUP(Tableau118[[#This Row],[Key(ID-Actif)]],'DATA BTO'!A:N,10,FALSE)</f>
        <v>#N/A</v>
      </c>
      <c r="AH330" s="3" t="e">
        <f ca="1">VLOOKUP(Tableau118[[#This Row],[Key(ID-Actif)]],'DATA BTO'!A:N,11,FALSE)</f>
        <v>#N/A</v>
      </c>
      <c r="AI330" s="50" t="e">
        <f ca="1">VLOOKUP(Tableau118[[#This Row],[Key(ID-Actif)]],'DATA BTO'!A:N,12,FALSE)</f>
        <v>#N/A</v>
      </c>
      <c r="AJ330" s="53" t="e">
        <f ca="1">VLOOKUP(Tableau118[[#This Row],[Key(ID-Actif)]],'DATA BTO'!A:N,14,FALSE)</f>
        <v>#N/A</v>
      </c>
      <c r="AK330" s="54" t="e">
        <f ca="1">VLOOKUP(Tableau118[[#This Row],[Key(POD -PFI- Usine)]],'DATA Consignee'!A:F,6,FALSE)</f>
        <v>#N/A</v>
      </c>
      <c r="AL330" s="283"/>
      <c r="AM330" s="490" t="str">
        <f>IF(Tableau118[[#This Row],[Name PFI/CDD]]="","-",VLOOKUP(Tableau118[[#This Row],[Name PFI/CDD]],Plant_AILN!I:J,2,FALSE))</f>
        <v>-</v>
      </c>
      <c r="AN33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0" s="2" t="e">
        <f ca="1">VLOOKUP(Tableau118[[#This Row],[Key(POD -PFI- Usine)]],'DATA Consignee'!A:J,10,FALSE)</f>
        <v>#N/A</v>
      </c>
      <c r="AQ330" s="50" t="e">
        <f ca="1">VLOOKUP(Tableau118[[#This Row],[Key(POD -PFI- Usine)]],'DATA Consignee'!A:N,14,FALSE)</f>
        <v>#N/A</v>
      </c>
      <c r="AR33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0" s="50" t="e">
        <f ca="1">Tableau118[[#This Row],[Transit time]]+Tableau118[[#This Row],[Time for security]]+Tableau118[[#This Row],[Time for security2 buffer]]</f>
        <v>#N/A</v>
      </c>
      <c r="AU33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0" s="50" t="e">
        <f ca="1">Tableau118[[#This Row],[Leadtime SI2C]]+Tableau118[[#This Row],[First Receipt Days]]-Tableau118[[#This Row],[Day Customer Order]]+1</f>
        <v>#N/A</v>
      </c>
      <c r="AW330" s="117" t="e">
        <f ca="1">IF(Tableau118[[#This Row],[Name ILN]]&lt;&gt;"SFK Freight Forwarder",Tableau118[[#This Row],[Cust. Leadtime]],Tableau118[[#This Row],[Leadtime SI2C]])</f>
        <v>#N/A</v>
      </c>
      <c r="AX330" s="57" t="e">
        <f>VLOOKUP(Tableau118[[#This Row],[ID]],'DATA BTO'!B:P,15,FALSE)</f>
        <v>#N/A</v>
      </c>
      <c r="AY330" s="328" t="e">
        <f ca="1">IFERROR(VLOOKUP(Tableau118[[#This Row],[Key(ID-Actif)]],'DATA BTO'!A:N,4,FALSE),VLOOKUP(Tableau118[[#This Row],[ID]],'DATA BTO'!B:N,3,FALSE))</f>
        <v>#N/A</v>
      </c>
      <c r="AZ33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0" s="50"/>
    </row>
    <row r="331" spans="2:57">
      <c r="B331" s="405" t="str">
        <f>_xlfn.CONCAT(Tableau118[[#This Row],[Name ILN]],"-",Tableau118[[#This Row],[Name Shipper]],"-",Tableau118[[#This Row],[Name Site]])</f>
        <v>--</v>
      </c>
      <c r="C331" s="64" t="e">
        <f ca="1">_xlfn.CONCAT(Tableau118[[#This Row],[Compte ILN]],"-",Tableau118[[#This Row],[Compte Shipper]],"-",Tableau118[[#This Row],[POL]],"-",Tableau118[[#This Row],[Compte Site]])</f>
        <v>#N/A</v>
      </c>
      <c r="D331" s="64" t="e">
        <f ca="1">_xlfn.CONCAT(Tableau118[[#This Row],[Compte ILN]],"-",Tableau118[[#This Row],[Compte Shipper]],"-",Tableau118[[#This Row],[POL]])</f>
        <v>#N/A</v>
      </c>
      <c r="E331" s="128" t="e">
        <f ca="1">_xlfn.CONCAT(Tableau118[[#This Row],[POL]],"-",Tableau118[[#This Row],[Carrier]],"-",Tableau118[[#This Row],[POD]])</f>
        <v>#N/A</v>
      </c>
      <c r="F331" s="64" t="str">
        <f>_xlfn.CONCAT(Tableau118[[#This Row],[ID]],"-","Next")</f>
        <v>-Next</v>
      </c>
      <c r="G331" s="64" t="e">
        <f ca="1">_xlfn.CONCAT(Tableau118[[#This Row],[POD]],"-",Tableau118[[#This Row],[Code PFI]],"-",Tableau118[[#This Row],[Compte Site]])</f>
        <v>#N/A</v>
      </c>
      <c r="H33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1" s="117" t="str">
        <f ca="1">IF(COUNTIF(I:I,Tableau118[[#This Row],[Plant-ILN-shipper-POL-Carrier-POD-PFI]])=1,"Non","Oui")</f>
        <v>Oui</v>
      </c>
      <c r="K331" s="126" t="e">
        <f>VLOOKUP(Tableau118[[#This Row],[Name Site]],Plant_AILN!A:D,4,FALSE)</f>
        <v>#N/A</v>
      </c>
      <c r="L331" s="363"/>
      <c r="M331" s="481"/>
      <c r="N331" s="55"/>
      <c r="O331" s="122"/>
      <c r="P331" s="481"/>
      <c r="Q331" s="50"/>
      <c r="R331" s="50"/>
      <c r="S331" s="50"/>
      <c r="T331" s="50"/>
      <c r="U331" s="50"/>
      <c r="V331" s="50"/>
      <c r="W331" s="50"/>
      <c r="X331" s="283"/>
      <c r="Y331" s="489">
        <f>IFERROR(VLOOKUP(Tableau118[[#This Row],[Name Shipper]],Plant_AILN!L:M,2,FALSE),0)</f>
        <v>0</v>
      </c>
      <c r="Z331" s="358"/>
      <c r="AA331" s="353" t="e">
        <f ca="1">VLOOKUP(Tableau118[[#This Row],[Key(ID-Actif)]],'DATA BTO'!A:N,5,FALSE)</f>
        <v>#N/A</v>
      </c>
      <c r="AB331" s="3" t="e">
        <f ca="1">VLOOKUP(Tableau118[[#This Row],[Key(ID-Actif)]],'DATA BTO'!A:N,6,FALSE)</f>
        <v>#N/A</v>
      </c>
      <c r="AC331" s="50" t="e">
        <f ca="1">VLOOKUP(Tableau118[[#This Row],[Key(ID-Actif)]],'DATA BTO'!A:N,7,FALSE)</f>
        <v>#N/A</v>
      </c>
      <c r="AD331" s="50" t="e">
        <f ca="1">VLOOKUP(Tableau118[[#This Row],[Key(ID-Actif)]],'DATA BTO'!A:N,8,FALSE)</f>
        <v>#N/A</v>
      </c>
      <c r="AE331" s="406" t="e">
        <f ca="1">IF(Tableau118[[#This Row],[First Day to POL]]&lt;=Tableau118[[#This Row],[Day Cut Off]],Tableau118[[#This Row],[Day ETD]],Tableau118[[#This Row],[Day ETD]]+7)</f>
        <v>#N/A</v>
      </c>
      <c r="AF331" s="50" t="e">
        <f ca="1">VLOOKUP(Tableau118[[#This Row],[Key(ID-Actif)]],'DATA BTO'!A:N,9,FALSE)</f>
        <v>#N/A</v>
      </c>
      <c r="AG331" s="3" t="e">
        <f ca="1">VLOOKUP(Tableau118[[#This Row],[Key(ID-Actif)]],'DATA BTO'!A:N,10,FALSE)</f>
        <v>#N/A</v>
      </c>
      <c r="AH331" s="3" t="e">
        <f ca="1">VLOOKUP(Tableau118[[#This Row],[Key(ID-Actif)]],'DATA BTO'!A:N,11,FALSE)</f>
        <v>#N/A</v>
      </c>
      <c r="AI331" s="50" t="e">
        <f ca="1">VLOOKUP(Tableau118[[#This Row],[Key(ID-Actif)]],'DATA BTO'!A:N,12,FALSE)</f>
        <v>#N/A</v>
      </c>
      <c r="AJ331" s="53" t="e">
        <f ca="1">VLOOKUP(Tableau118[[#This Row],[Key(ID-Actif)]],'DATA BTO'!A:N,14,FALSE)</f>
        <v>#N/A</v>
      </c>
      <c r="AK331" s="54" t="e">
        <f ca="1">VLOOKUP(Tableau118[[#This Row],[Key(POD -PFI- Usine)]],'DATA Consignee'!A:F,6,FALSE)</f>
        <v>#N/A</v>
      </c>
      <c r="AL331" s="283"/>
      <c r="AM331" s="490" t="str">
        <f>IF(Tableau118[[#This Row],[Name PFI/CDD]]="","-",VLOOKUP(Tableau118[[#This Row],[Name PFI/CDD]],Plant_AILN!I:J,2,FALSE))</f>
        <v>-</v>
      </c>
      <c r="AN33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1" s="2" t="e">
        <f ca="1">VLOOKUP(Tableau118[[#This Row],[Key(POD -PFI- Usine)]],'DATA Consignee'!A:J,10,FALSE)</f>
        <v>#N/A</v>
      </c>
      <c r="AQ331" s="50" t="e">
        <f ca="1">VLOOKUP(Tableau118[[#This Row],[Key(POD -PFI- Usine)]],'DATA Consignee'!A:N,14,FALSE)</f>
        <v>#N/A</v>
      </c>
      <c r="AR33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1" s="50" t="e">
        <f ca="1">Tableau118[[#This Row],[Transit time]]+Tableau118[[#This Row],[Time for security]]+Tableau118[[#This Row],[Time for security2 buffer]]</f>
        <v>#N/A</v>
      </c>
      <c r="AU33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1" s="50" t="e">
        <f ca="1">Tableau118[[#This Row],[Leadtime SI2C]]+Tableau118[[#This Row],[First Receipt Days]]-Tableau118[[#This Row],[Day Customer Order]]+1</f>
        <v>#N/A</v>
      </c>
      <c r="AW331" s="117" t="e">
        <f ca="1">IF(Tableau118[[#This Row],[Name ILN]]&lt;&gt;"SFK Freight Forwarder",Tableau118[[#This Row],[Cust. Leadtime]],Tableau118[[#This Row],[Leadtime SI2C]])</f>
        <v>#N/A</v>
      </c>
      <c r="AX331" s="57" t="e">
        <f>VLOOKUP(Tableau118[[#This Row],[ID]],'DATA BTO'!B:P,15,FALSE)</f>
        <v>#N/A</v>
      </c>
      <c r="AY331" s="328" t="e">
        <f ca="1">IFERROR(VLOOKUP(Tableau118[[#This Row],[Key(ID-Actif)]],'DATA BTO'!A:N,4,FALSE),VLOOKUP(Tableau118[[#This Row],[ID]],'DATA BTO'!B:N,3,FALSE))</f>
        <v>#N/A</v>
      </c>
      <c r="AZ33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1" s="50"/>
    </row>
    <row r="332" spans="2:57">
      <c r="B332" s="405" t="str">
        <f>_xlfn.CONCAT(Tableau118[[#This Row],[Name ILN]],"-",Tableau118[[#This Row],[Name Shipper]],"-",Tableau118[[#This Row],[Name Site]])</f>
        <v>--</v>
      </c>
      <c r="C332" s="64" t="e">
        <f ca="1">_xlfn.CONCAT(Tableau118[[#This Row],[Compte ILN]],"-",Tableau118[[#This Row],[Compte Shipper]],"-",Tableau118[[#This Row],[POL]],"-",Tableau118[[#This Row],[Compte Site]])</f>
        <v>#N/A</v>
      </c>
      <c r="D332" s="64" t="e">
        <f ca="1">_xlfn.CONCAT(Tableau118[[#This Row],[Compte ILN]],"-",Tableau118[[#This Row],[Compte Shipper]],"-",Tableau118[[#This Row],[POL]])</f>
        <v>#N/A</v>
      </c>
      <c r="E332" s="128" t="e">
        <f ca="1">_xlfn.CONCAT(Tableau118[[#This Row],[POL]],"-",Tableau118[[#This Row],[Carrier]],"-",Tableau118[[#This Row],[POD]])</f>
        <v>#N/A</v>
      </c>
      <c r="F332" s="64" t="str">
        <f>_xlfn.CONCAT(Tableau118[[#This Row],[ID]],"-","Next")</f>
        <v>-Next</v>
      </c>
      <c r="G332" s="64" t="e">
        <f ca="1">_xlfn.CONCAT(Tableau118[[#This Row],[POD]],"-",Tableau118[[#This Row],[Code PFI]],"-",Tableau118[[#This Row],[Compte Site]])</f>
        <v>#N/A</v>
      </c>
      <c r="H33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2" s="117" t="str">
        <f ca="1">IF(COUNTIF(I:I,Tableau118[[#This Row],[Plant-ILN-shipper-POL-Carrier-POD-PFI]])=1,"Non","Oui")</f>
        <v>Oui</v>
      </c>
      <c r="K332" s="126" t="e">
        <f>VLOOKUP(Tableau118[[#This Row],[Name Site]],Plant_AILN!A:D,4,FALSE)</f>
        <v>#N/A</v>
      </c>
      <c r="L332" s="363"/>
      <c r="M332" s="481"/>
      <c r="N332" s="55"/>
      <c r="O332" s="122"/>
      <c r="P332" s="481"/>
      <c r="Q332" s="50"/>
      <c r="R332" s="50"/>
      <c r="S332" s="50"/>
      <c r="T332" s="50"/>
      <c r="U332" s="50"/>
      <c r="V332" s="50"/>
      <c r="W332" s="50"/>
      <c r="X332" s="283"/>
      <c r="Y332" s="489">
        <f>IFERROR(VLOOKUP(Tableau118[[#This Row],[Name Shipper]],Plant_AILN!L:M,2,FALSE),0)</f>
        <v>0</v>
      </c>
      <c r="Z332" s="358"/>
      <c r="AA332" s="353" t="e">
        <f ca="1">VLOOKUP(Tableau118[[#This Row],[Key(ID-Actif)]],'DATA BTO'!A:N,5,FALSE)</f>
        <v>#N/A</v>
      </c>
      <c r="AB332" s="3" t="e">
        <f ca="1">VLOOKUP(Tableau118[[#This Row],[Key(ID-Actif)]],'DATA BTO'!A:N,6,FALSE)</f>
        <v>#N/A</v>
      </c>
      <c r="AC332" s="50" t="e">
        <f ca="1">VLOOKUP(Tableau118[[#This Row],[Key(ID-Actif)]],'DATA BTO'!A:N,7,FALSE)</f>
        <v>#N/A</v>
      </c>
      <c r="AD332" s="50" t="e">
        <f ca="1">VLOOKUP(Tableau118[[#This Row],[Key(ID-Actif)]],'DATA BTO'!A:N,8,FALSE)</f>
        <v>#N/A</v>
      </c>
      <c r="AE332" s="406" t="e">
        <f ca="1">IF(Tableau118[[#This Row],[First Day to POL]]&lt;=Tableau118[[#This Row],[Day Cut Off]],Tableau118[[#This Row],[Day ETD]],Tableau118[[#This Row],[Day ETD]]+7)</f>
        <v>#N/A</v>
      </c>
      <c r="AF332" s="50" t="e">
        <f ca="1">VLOOKUP(Tableau118[[#This Row],[Key(ID-Actif)]],'DATA BTO'!A:N,9,FALSE)</f>
        <v>#N/A</v>
      </c>
      <c r="AG332" s="3" t="e">
        <f ca="1">VLOOKUP(Tableau118[[#This Row],[Key(ID-Actif)]],'DATA BTO'!A:N,10,FALSE)</f>
        <v>#N/A</v>
      </c>
      <c r="AH332" s="3" t="e">
        <f ca="1">VLOOKUP(Tableau118[[#This Row],[Key(ID-Actif)]],'DATA BTO'!A:N,11,FALSE)</f>
        <v>#N/A</v>
      </c>
      <c r="AI332" s="50" t="e">
        <f ca="1">VLOOKUP(Tableau118[[#This Row],[Key(ID-Actif)]],'DATA BTO'!A:N,12,FALSE)</f>
        <v>#N/A</v>
      </c>
      <c r="AJ332" s="53" t="e">
        <f ca="1">VLOOKUP(Tableau118[[#This Row],[Key(ID-Actif)]],'DATA BTO'!A:N,14,FALSE)</f>
        <v>#N/A</v>
      </c>
      <c r="AK332" s="54" t="e">
        <f ca="1">VLOOKUP(Tableau118[[#This Row],[Key(POD -PFI- Usine)]],'DATA Consignee'!A:F,6,FALSE)</f>
        <v>#N/A</v>
      </c>
      <c r="AL332" s="283"/>
      <c r="AM332" s="490" t="str">
        <f>IF(Tableau118[[#This Row],[Name PFI/CDD]]="","-",VLOOKUP(Tableau118[[#This Row],[Name PFI/CDD]],Plant_AILN!I:J,2,FALSE))</f>
        <v>-</v>
      </c>
      <c r="AN33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2" s="2" t="e">
        <f ca="1">VLOOKUP(Tableau118[[#This Row],[Key(POD -PFI- Usine)]],'DATA Consignee'!A:J,10,FALSE)</f>
        <v>#N/A</v>
      </c>
      <c r="AQ332" s="50" t="e">
        <f ca="1">VLOOKUP(Tableau118[[#This Row],[Key(POD -PFI- Usine)]],'DATA Consignee'!A:N,14,FALSE)</f>
        <v>#N/A</v>
      </c>
      <c r="AR33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2" s="50" t="e">
        <f ca="1">Tableau118[[#This Row],[Transit time]]+Tableau118[[#This Row],[Time for security]]+Tableau118[[#This Row],[Time for security2 buffer]]</f>
        <v>#N/A</v>
      </c>
      <c r="AU33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2" s="50" t="e">
        <f ca="1">Tableau118[[#This Row],[Leadtime SI2C]]+Tableau118[[#This Row],[First Receipt Days]]-Tableau118[[#This Row],[Day Customer Order]]+1</f>
        <v>#N/A</v>
      </c>
      <c r="AW332" s="117" t="e">
        <f ca="1">IF(Tableau118[[#This Row],[Name ILN]]&lt;&gt;"SFK Freight Forwarder",Tableau118[[#This Row],[Cust. Leadtime]],Tableau118[[#This Row],[Leadtime SI2C]])</f>
        <v>#N/A</v>
      </c>
      <c r="AX332" s="57" t="e">
        <f>VLOOKUP(Tableau118[[#This Row],[ID]],'DATA BTO'!B:P,15,FALSE)</f>
        <v>#N/A</v>
      </c>
      <c r="AY332" s="328" t="e">
        <f ca="1">IFERROR(VLOOKUP(Tableau118[[#This Row],[Key(ID-Actif)]],'DATA BTO'!A:N,4,FALSE),VLOOKUP(Tableau118[[#This Row],[ID]],'DATA BTO'!B:N,3,FALSE))</f>
        <v>#N/A</v>
      </c>
      <c r="AZ33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2" s="50"/>
    </row>
    <row r="333" spans="2:57">
      <c r="B333" s="405" t="str">
        <f>_xlfn.CONCAT(Tableau118[[#This Row],[Name ILN]],"-",Tableau118[[#This Row],[Name Shipper]],"-",Tableau118[[#This Row],[Name Site]])</f>
        <v>--</v>
      </c>
      <c r="C333" s="64" t="e">
        <f ca="1">_xlfn.CONCAT(Tableau118[[#This Row],[Compte ILN]],"-",Tableau118[[#This Row],[Compte Shipper]],"-",Tableau118[[#This Row],[POL]],"-",Tableau118[[#This Row],[Compte Site]])</f>
        <v>#N/A</v>
      </c>
      <c r="D333" s="64" t="e">
        <f ca="1">_xlfn.CONCAT(Tableau118[[#This Row],[Compte ILN]],"-",Tableau118[[#This Row],[Compte Shipper]],"-",Tableau118[[#This Row],[POL]])</f>
        <v>#N/A</v>
      </c>
      <c r="E333" s="128" t="e">
        <f ca="1">_xlfn.CONCAT(Tableau118[[#This Row],[POL]],"-",Tableau118[[#This Row],[Carrier]],"-",Tableau118[[#This Row],[POD]])</f>
        <v>#N/A</v>
      </c>
      <c r="F333" s="64" t="str">
        <f>_xlfn.CONCAT(Tableau118[[#This Row],[ID]],"-","Next")</f>
        <v>-Next</v>
      </c>
      <c r="G333" s="64" t="e">
        <f ca="1">_xlfn.CONCAT(Tableau118[[#This Row],[POD]],"-",Tableau118[[#This Row],[Code PFI]],"-",Tableau118[[#This Row],[Compte Site]])</f>
        <v>#N/A</v>
      </c>
      <c r="H33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3" s="117" t="str">
        <f ca="1">IF(COUNTIF(I:I,Tableau118[[#This Row],[Plant-ILN-shipper-POL-Carrier-POD-PFI]])=1,"Non","Oui")</f>
        <v>Oui</v>
      </c>
      <c r="K333" s="126" t="e">
        <f>VLOOKUP(Tableau118[[#This Row],[Name Site]],Plant_AILN!A:D,4,FALSE)</f>
        <v>#N/A</v>
      </c>
      <c r="L333" s="363"/>
      <c r="M333" s="481"/>
      <c r="N333" s="55"/>
      <c r="O333" s="122"/>
      <c r="P333" s="481"/>
      <c r="Q333" s="50"/>
      <c r="R333" s="50"/>
      <c r="S333" s="50"/>
      <c r="T333" s="50"/>
      <c r="U333" s="50"/>
      <c r="V333" s="50"/>
      <c r="W333" s="50"/>
      <c r="X333" s="283"/>
      <c r="Y333" s="489">
        <f>IFERROR(VLOOKUP(Tableau118[[#This Row],[Name Shipper]],Plant_AILN!L:M,2,FALSE),0)</f>
        <v>0</v>
      </c>
      <c r="Z333" s="358"/>
      <c r="AA333" s="353" t="e">
        <f ca="1">VLOOKUP(Tableau118[[#This Row],[Key(ID-Actif)]],'DATA BTO'!A:N,5,FALSE)</f>
        <v>#N/A</v>
      </c>
      <c r="AB333" s="3" t="e">
        <f ca="1">VLOOKUP(Tableau118[[#This Row],[Key(ID-Actif)]],'DATA BTO'!A:N,6,FALSE)</f>
        <v>#N/A</v>
      </c>
      <c r="AC333" s="50" t="e">
        <f ca="1">VLOOKUP(Tableau118[[#This Row],[Key(ID-Actif)]],'DATA BTO'!A:N,7,FALSE)</f>
        <v>#N/A</v>
      </c>
      <c r="AD333" s="50" t="e">
        <f ca="1">VLOOKUP(Tableau118[[#This Row],[Key(ID-Actif)]],'DATA BTO'!A:N,8,FALSE)</f>
        <v>#N/A</v>
      </c>
      <c r="AE333" s="406" t="e">
        <f ca="1">IF(Tableau118[[#This Row],[First Day to POL]]&lt;=Tableau118[[#This Row],[Day Cut Off]],Tableau118[[#This Row],[Day ETD]],Tableau118[[#This Row],[Day ETD]]+7)</f>
        <v>#N/A</v>
      </c>
      <c r="AF333" s="50" t="e">
        <f ca="1">VLOOKUP(Tableau118[[#This Row],[Key(ID-Actif)]],'DATA BTO'!A:N,9,FALSE)</f>
        <v>#N/A</v>
      </c>
      <c r="AG333" s="3" t="e">
        <f ca="1">VLOOKUP(Tableau118[[#This Row],[Key(ID-Actif)]],'DATA BTO'!A:N,10,FALSE)</f>
        <v>#N/A</v>
      </c>
      <c r="AH333" s="3" t="e">
        <f ca="1">VLOOKUP(Tableau118[[#This Row],[Key(ID-Actif)]],'DATA BTO'!A:N,11,FALSE)</f>
        <v>#N/A</v>
      </c>
      <c r="AI333" s="50" t="e">
        <f ca="1">VLOOKUP(Tableau118[[#This Row],[Key(ID-Actif)]],'DATA BTO'!A:N,12,FALSE)</f>
        <v>#N/A</v>
      </c>
      <c r="AJ333" s="53" t="e">
        <f ca="1">VLOOKUP(Tableau118[[#This Row],[Key(ID-Actif)]],'DATA BTO'!A:N,14,FALSE)</f>
        <v>#N/A</v>
      </c>
      <c r="AK333" s="54" t="e">
        <f ca="1">VLOOKUP(Tableau118[[#This Row],[Key(POD -PFI- Usine)]],'DATA Consignee'!A:F,6,FALSE)</f>
        <v>#N/A</v>
      </c>
      <c r="AL333" s="283"/>
      <c r="AM333" s="490" t="str">
        <f>IF(Tableau118[[#This Row],[Name PFI/CDD]]="","-",VLOOKUP(Tableau118[[#This Row],[Name PFI/CDD]],Plant_AILN!I:J,2,FALSE))</f>
        <v>-</v>
      </c>
      <c r="AN33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3" s="2" t="e">
        <f ca="1">VLOOKUP(Tableau118[[#This Row],[Key(POD -PFI- Usine)]],'DATA Consignee'!A:J,10,FALSE)</f>
        <v>#N/A</v>
      </c>
      <c r="AQ333" s="50" t="e">
        <f ca="1">VLOOKUP(Tableau118[[#This Row],[Key(POD -PFI- Usine)]],'DATA Consignee'!A:N,14,FALSE)</f>
        <v>#N/A</v>
      </c>
      <c r="AR33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3" s="50" t="e">
        <f ca="1">Tableau118[[#This Row],[Transit time]]+Tableau118[[#This Row],[Time for security]]+Tableau118[[#This Row],[Time for security2 buffer]]</f>
        <v>#N/A</v>
      </c>
      <c r="AU33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3" s="50" t="e">
        <f ca="1">Tableau118[[#This Row],[Leadtime SI2C]]+Tableau118[[#This Row],[First Receipt Days]]-Tableau118[[#This Row],[Day Customer Order]]+1</f>
        <v>#N/A</v>
      </c>
      <c r="AW333" s="117" t="e">
        <f ca="1">IF(Tableau118[[#This Row],[Name ILN]]&lt;&gt;"SFK Freight Forwarder",Tableau118[[#This Row],[Cust. Leadtime]],Tableau118[[#This Row],[Leadtime SI2C]])</f>
        <v>#N/A</v>
      </c>
      <c r="AX333" s="57" t="e">
        <f>VLOOKUP(Tableau118[[#This Row],[ID]],'DATA BTO'!B:P,15,FALSE)</f>
        <v>#N/A</v>
      </c>
      <c r="AY333" s="328" t="e">
        <f ca="1">IFERROR(VLOOKUP(Tableau118[[#This Row],[Key(ID-Actif)]],'DATA BTO'!A:N,4,FALSE),VLOOKUP(Tableau118[[#This Row],[ID]],'DATA BTO'!B:N,3,FALSE))</f>
        <v>#N/A</v>
      </c>
      <c r="AZ33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3" s="50"/>
    </row>
    <row r="334" spans="2:57">
      <c r="B334" s="405" t="str">
        <f>_xlfn.CONCAT(Tableau118[[#This Row],[Name ILN]],"-",Tableau118[[#This Row],[Name Shipper]],"-",Tableau118[[#This Row],[Name Site]])</f>
        <v>--</v>
      </c>
      <c r="C334" s="64" t="e">
        <f ca="1">_xlfn.CONCAT(Tableau118[[#This Row],[Compte ILN]],"-",Tableau118[[#This Row],[Compte Shipper]],"-",Tableau118[[#This Row],[POL]],"-",Tableau118[[#This Row],[Compte Site]])</f>
        <v>#N/A</v>
      </c>
      <c r="D334" s="64" t="e">
        <f ca="1">_xlfn.CONCAT(Tableau118[[#This Row],[Compte ILN]],"-",Tableau118[[#This Row],[Compte Shipper]],"-",Tableau118[[#This Row],[POL]])</f>
        <v>#N/A</v>
      </c>
      <c r="E334" s="128" t="e">
        <f ca="1">_xlfn.CONCAT(Tableau118[[#This Row],[POL]],"-",Tableau118[[#This Row],[Carrier]],"-",Tableau118[[#This Row],[POD]])</f>
        <v>#N/A</v>
      </c>
      <c r="F334" s="64" t="str">
        <f>_xlfn.CONCAT(Tableau118[[#This Row],[ID]],"-","Next")</f>
        <v>-Next</v>
      </c>
      <c r="G334" s="64" t="e">
        <f ca="1">_xlfn.CONCAT(Tableau118[[#This Row],[POD]],"-",Tableau118[[#This Row],[Code PFI]],"-",Tableau118[[#This Row],[Compte Site]])</f>
        <v>#N/A</v>
      </c>
      <c r="H33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4" s="117" t="str">
        <f ca="1">IF(COUNTIF(I:I,Tableau118[[#This Row],[Plant-ILN-shipper-POL-Carrier-POD-PFI]])=1,"Non","Oui")</f>
        <v>Oui</v>
      </c>
      <c r="K334" s="126" t="e">
        <f>VLOOKUP(Tableau118[[#This Row],[Name Site]],Plant_AILN!A:D,4,FALSE)</f>
        <v>#N/A</v>
      </c>
      <c r="L334" s="363"/>
      <c r="M334" s="481"/>
      <c r="N334" s="55"/>
      <c r="O334" s="122"/>
      <c r="P334" s="481"/>
      <c r="Q334" s="50"/>
      <c r="R334" s="50"/>
      <c r="S334" s="50"/>
      <c r="T334" s="50"/>
      <c r="U334" s="50"/>
      <c r="V334" s="50"/>
      <c r="W334" s="50"/>
      <c r="X334" s="283"/>
      <c r="Y334" s="489">
        <f>IFERROR(VLOOKUP(Tableau118[[#This Row],[Name Shipper]],Plant_AILN!L:M,2,FALSE),0)</f>
        <v>0</v>
      </c>
      <c r="Z334" s="358"/>
      <c r="AA334" s="353" t="e">
        <f ca="1">VLOOKUP(Tableau118[[#This Row],[Key(ID-Actif)]],'DATA BTO'!A:N,5,FALSE)</f>
        <v>#N/A</v>
      </c>
      <c r="AB334" s="3" t="e">
        <f ca="1">VLOOKUP(Tableau118[[#This Row],[Key(ID-Actif)]],'DATA BTO'!A:N,6,FALSE)</f>
        <v>#N/A</v>
      </c>
      <c r="AC334" s="50" t="e">
        <f ca="1">VLOOKUP(Tableau118[[#This Row],[Key(ID-Actif)]],'DATA BTO'!A:N,7,FALSE)</f>
        <v>#N/A</v>
      </c>
      <c r="AD334" s="50" t="e">
        <f ca="1">VLOOKUP(Tableau118[[#This Row],[Key(ID-Actif)]],'DATA BTO'!A:N,8,FALSE)</f>
        <v>#N/A</v>
      </c>
      <c r="AE334" s="406" t="e">
        <f ca="1">IF(Tableau118[[#This Row],[First Day to POL]]&lt;=Tableau118[[#This Row],[Day Cut Off]],Tableau118[[#This Row],[Day ETD]],Tableau118[[#This Row],[Day ETD]]+7)</f>
        <v>#N/A</v>
      </c>
      <c r="AF334" s="50" t="e">
        <f ca="1">VLOOKUP(Tableau118[[#This Row],[Key(ID-Actif)]],'DATA BTO'!A:N,9,FALSE)</f>
        <v>#N/A</v>
      </c>
      <c r="AG334" s="3" t="e">
        <f ca="1">VLOOKUP(Tableau118[[#This Row],[Key(ID-Actif)]],'DATA BTO'!A:N,10,FALSE)</f>
        <v>#N/A</v>
      </c>
      <c r="AH334" s="3" t="e">
        <f ca="1">VLOOKUP(Tableau118[[#This Row],[Key(ID-Actif)]],'DATA BTO'!A:N,11,FALSE)</f>
        <v>#N/A</v>
      </c>
      <c r="AI334" s="50" t="e">
        <f ca="1">VLOOKUP(Tableau118[[#This Row],[Key(ID-Actif)]],'DATA BTO'!A:N,12,FALSE)</f>
        <v>#N/A</v>
      </c>
      <c r="AJ334" s="53" t="e">
        <f ca="1">VLOOKUP(Tableau118[[#This Row],[Key(ID-Actif)]],'DATA BTO'!A:N,14,FALSE)</f>
        <v>#N/A</v>
      </c>
      <c r="AK334" s="54" t="e">
        <f ca="1">VLOOKUP(Tableau118[[#This Row],[Key(POD -PFI- Usine)]],'DATA Consignee'!A:F,6,FALSE)</f>
        <v>#N/A</v>
      </c>
      <c r="AL334" s="283"/>
      <c r="AM334" s="490" t="str">
        <f>IF(Tableau118[[#This Row],[Name PFI/CDD]]="","-",VLOOKUP(Tableau118[[#This Row],[Name PFI/CDD]],Plant_AILN!I:J,2,FALSE))</f>
        <v>-</v>
      </c>
      <c r="AN33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4" s="2" t="e">
        <f ca="1">VLOOKUP(Tableau118[[#This Row],[Key(POD -PFI- Usine)]],'DATA Consignee'!A:J,10,FALSE)</f>
        <v>#N/A</v>
      </c>
      <c r="AQ334" s="50" t="e">
        <f ca="1">VLOOKUP(Tableau118[[#This Row],[Key(POD -PFI- Usine)]],'DATA Consignee'!A:N,14,FALSE)</f>
        <v>#N/A</v>
      </c>
      <c r="AR33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4" s="50" t="e">
        <f ca="1">Tableau118[[#This Row],[Transit time]]+Tableau118[[#This Row],[Time for security]]+Tableau118[[#This Row],[Time for security2 buffer]]</f>
        <v>#N/A</v>
      </c>
      <c r="AU33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4" s="50" t="e">
        <f ca="1">Tableau118[[#This Row],[Leadtime SI2C]]+Tableau118[[#This Row],[First Receipt Days]]-Tableau118[[#This Row],[Day Customer Order]]+1</f>
        <v>#N/A</v>
      </c>
      <c r="AW334" s="117" t="e">
        <f ca="1">IF(Tableau118[[#This Row],[Name ILN]]&lt;&gt;"SFK Freight Forwarder",Tableau118[[#This Row],[Cust. Leadtime]],Tableau118[[#This Row],[Leadtime SI2C]])</f>
        <v>#N/A</v>
      </c>
      <c r="AX334" s="57" t="e">
        <f>VLOOKUP(Tableau118[[#This Row],[ID]],'DATA BTO'!B:P,15,FALSE)</f>
        <v>#N/A</v>
      </c>
      <c r="AY334" s="328" t="e">
        <f ca="1">IFERROR(VLOOKUP(Tableau118[[#This Row],[Key(ID-Actif)]],'DATA BTO'!A:N,4,FALSE),VLOOKUP(Tableau118[[#This Row],[ID]],'DATA BTO'!B:N,3,FALSE))</f>
        <v>#N/A</v>
      </c>
      <c r="AZ33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4" s="50"/>
    </row>
    <row r="335" spans="2:57">
      <c r="B335" s="405" t="str">
        <f>_xlfn.CONCAT(Tableau118[[#This Row],[Name ILN]],"-",Tableau118[[#This Row],[Name Shipper]],"-",Tableau118[[#This Row],[Name Site]])</f>
        <v>--</v>
      </c>
      <c r="C335" s="64" t="e">
        <f ca="1">_xlfn.CONCAT(Tableau118[[#This Row],[Compte ILN]],"-",Tableau118[[#This Row],[Compte Shipper]],"-",Tableau118[[#This Row],[POL]],"-",Tableau118[[#This Row],[Compte Site]])</f>
        <v>#N/A</v>
      </c>
      <c r="D335" s="64" t="e">
        <f ca="1">_xlfn.CONCAT(Tableau118[[#This Row],[Compte ILN]],"-",Tableau118[[#This Row],[Compte Shipper]],"-",Tableau118[[#This Row],[POL]])</f>
        <v>#N/A</v>
      </c>
      <c r="E335" s="128" t="e">
        <f ca="1">_xlfn.CONCAT(Tableau118[[#This Row],[POL]],"-",Tableau118[[#This Row],[Carrier]],"-",Tableau118[[#This Row],[POD]])</f>
        <v>#N/A</v>
      </c>
      <c r="F335" s="64" t="str">
        <f>_xlfn.CONCAT(Tableau118[[#This Row],[ID]],"-","Next")</f>
        <v>-Next</v>
      </c>
      <c r="G335" s="64" t="e">
        <f ca="1">_xlfn.CONCAT(Tableau118[[#This Row],[POD]],"-",Tableau118[[#This Row],[Code PFI]],"-",Tableau118[[#This Row],[Compte Site]])</f>
        <v>#N/A</v>
      </c>
      <c r="H33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5" s="117" t="str">
        <f ca="1">IF(COUNTIF(I:I,Tableau118[[#This Row],[Plant-ILN-shipper-POL-Carrier-POD-PFI]])=1,"Non","Oui")</f>
        <v>Oui</v>
      </c>
      <c r="K335" s="126" t="e">
        <f>VLOOKUP(Tableau118[[#This Row],[Name Site]],Plant_AILN!A:D,4,FALSE)</f>
        <v>#N/A</v>
      </c>
      <c r="L335" s="363"/>
      <c r="M335" s="481"/>
      <c r="N335" s="55"/>
      <c r="O335" s="122"/>
      <c r="P335" s="481"/>
      <c r="Q335" s="50"/>
      <c r="R335" s="50"/>
      <c r="S335" s="50"/>
      <c r="T335" s="50"/>
      <c r="U335" s="50"/>
      <c r="V335" s="50"/>
      <c r="W335" s="50"/>
      <c r="X335" s="283"/>
      <c r="Y335" s="489">
        <f>IFERROR(VLOOKUP(Tableau118[[#This Row],[Name Shipper]],Plant_AILN!L:M,2,FALSE),0)</f>
        <v>0</v>
      </c>
      <c r="Z335" s="358"/>
      <c r="AA335" s="353" t="e">
        <f ca="1">VLOOKUP(Tableau118[[#This Row],[Key(ID-Actif)]],'DATA BTO'!A:N,5,FALSE)</f>
        <v>#N/A</v>
      </c>
      <c r="AB335" s="3" t="e">
        <f ca="1">VLOOKUP(Tableau118[[#This Row],[Key(ID-Actif)]],'DATA BTO'!A:N,6,FALSE)</f>
        <v>#N/A</v>
      </c>
      <c r="AC335" s="50" t="e">
        <f ca="1">VLOOKUP(Tableau118[[#This Row],[Key(ID-Actif)]],'DATA BTO'!A:N,7,FALSE)</f>
        <v>#N/A</v>
      </c>
      <c r="AD335" s="50" t="e">
        <f ca="1">VLOOKUP(Tableau118[[#This Row],[Key(ID-Actif)]],'DATA BTO'!A:N,8,FALSE)</f>
        <v>#N/A</v>
      </c>
      <c r="AE335" s="406" t="e">
        <f ca="1">IF(Tableau118[[#This Row],[First Day to POL]]&lt;=Tableau118[[#This Row],[Day Cut Off]],Tableau118[[#This Row],[Day ETD]],Tableau118[[#This Row],[Day ETD]]+7)</f>
        <v>#N/A</v>
      </c>
      <c r="AF335" s="50" t="e">
        <f ca="1">VLOOKUP(Tableau118[[#This Row],[Key(ID-Actif)]],'DATA BTO'!A:N,9,FALSE)</f>
        <v>#N/A</v>
      </c>
      <c r="AG335" s="3" t="e">
        <f ca="1">VLOOKUP(Tableau118[[#This Row],[Key(ID-Actif)]],'DATA BTO'!A:N,10,FALSE)</f>
        <v>#N/A</v>
      </c>
      <c r="AH335" s="3" t="e">
        <f ca="1">VLOOKUP(Tableau118[[#This Row],[Key(ID-Actif)]],'DATA BTO'!A:N,11,FALSE)</f>
        <v>#N/A</v>
      </c>
      <c r="AI335" s="50" t="e">
        <f ca="1">VLOOKUP(Tableau118[[#This Row],[Key(ID-Actif)]],'DATA BTO'!A:N,12,FALSE)</f>
        <v>#N/A</v>
      </c>
      <c r="AJ335" s="53" t="e">
        <f ca="1">VLOOKUP(Tableau118[[#This Row],[Key(ID-Actif)]],'DATA BTO'!A:N,14,FALSE)</f>
        <v>#N/A</v>
      </c>
      <c r="AK335" s="54" t="e">
        <f ca="1">VLOOKUP(Tableau118[[#This Row],[Key(POD -PFI- Usine)]],'DATA Consignee'!A:F,6,FALSE)</f>
        <v>#N/A</v>
      </c>
      <c r="AL335" s="283"/>
      <c r="AM335" s="490" t="str">
        <f>IF(Tableau118[[#This Row],[Name PFI/CDD]]="","-",VLOOKUP(Tableau118[[#This Row],[Name PFI/CDD]],Plant_AILN!I:J,2,FALSE))</f>
        <v>-</v>
      </c>
      <c r="AN33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5" s="2" t="e">
        <f ca="1">VLOOKUP(Tableau118[[#This Row],[Key(POD -PFI- Usine)]],'DATA Consignee'!A:J,10,FALSE)</f>
        <v>#N/A</v>
      </c>
      <c r="AQ335" s="50" t="e">
        <f ca="1">VLOOKUP(Tableau118[[#This Row],[Key(POD -PFI- Usine)]],'DATA Consignee'!A:N,14,FALSE)</f>
        <v>#N/A</v>
      </c>
      <c r="AR33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5" s="50" t="e">
        <f ca="1">Tableau118[[#This Row],[Transit time]]+Tableau118[[#This Row],[Time for security]]+Tableau118[[#This Row],[Time for security2 buffer]]</f>
        <v>#N/A</v>
      </c>
      <c r="AU33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5" s="50" t="e">
        <f ca="1">Tableau118[[#This Row],[Leadtime SI2C]]+Tableau118[[#This Row],[First Receipt Days]]-Tableau118[[#This Row],[Day Customer Order]]+1</f>
        <v>#N/A</v>
      </c>
      <c r="AW335" s="117" t="e">
        <f ca="1">IF(Tableau118[[#This Row],[Name ILN]]&lt;&gt;"SFK Freight Forwarder",Tableau118[[#This Row],[Cust. Leadtime]],Tableau118[[#This Row],[Leadtime SI2C]])</f>
        <v>#N/A</v>
      </c>
      <c r="AX335" s="57" t="e">
        <f>VLOOKUP(Tableau118[[#This Row],[ID]],'DATA BTO'!B:P,15,FALSE)</f>
        <v>#N/A</v>
      </c>
      <c r="AY335" s="328" t="e">
        <f ca="1">IFERROR(VLOOKUP(Tableau118[[#This Row],[Key(ID-Actif)]],'DATA BTO'!A:N,4,FALSE),VLOOKUP(Tableau118[[#This Row],[ID]],'DATA BTO'!B:N,3,FALSE))</f>
        <v>#N/A</v>
      </c>
      <c r="AZ33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5" s="50"/>
    </row>
    <row r="336" spans="2:57">
      <c r="B336" s="405" t="str">
        <f>_xlfn.CONCAT(Tableau118[[#This Row],[Name ILN]],"-",Tableau118[[#This Row],[Name Shipper]],"-",Tableau118[[#This Row],[Name Site]])</f>
        <v>--</v>
      </c>
      <c r="C336" s="64" t="e">
        <f ca="1">_xlfn.CONCAT(Tableau118[[#This Row],[Compte ILN]],"-",Tableau118[[#This Row],[Compte Shipper]],"-",Tableau118[[#This Row],[POL]],"-",Tableau118[[#This Row],[Compte Site]])</f>
        <v>#N/A</v>
      </c>
      <c r="D336" s="64" t="e">
        <f ca="1">_xlfn.CONCAT(Tableau118[[#This Row],[Compte ILN]],"-",Tableau118[[#This Row],[Compte Shipper]],"-",Tableau118[[#This Row],[POL]])</f>
        <v>#N/A</v>
      </c>
      <c r="E336" s="128" t="e">
        <f ca="1">_xlfn.CONCAT(Tableau118[[#This Row],[POL]],"-",Tableau118[[#This Row],[Carrier]],"-",Tableau118[[#This Row],[POD]])</f>
        <v>#N/A</v>
      </c>
      <c r="F336" s="64" t="str">
        <f>_xlfn.CONCAT(Tableau118[[#This Row],[ID]],"-","Next")</f>
        <v>-Next</v>
      </c>
      <c r="G336" s="64" t="e">
        <f ca="1">_xlfn.CONCAT(Tableau118[[#This Row],[POD]],"-",Tableau118[[#This Row],[Code PFI]],"-",Tableau118[[#This Row],[Compte Site]])</f>
        <v>#N/A</v>
      </c>
      <c r="H33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6" s="117" t="str">
        <f ca="1">IF(COUNTIF(I:I,Tableau118[[#This Row],[Plant-ILN-shipper-POL-Carrier-POD-PFI]])=1,"Non","Oui")</f>
        <v>Oui</v>
      </c>
      <c r="K336" s="126" t="e">
        <f>VLOOKUP(Tableau118[[#This Row],[Name Site]],Plant_AILN!A:D,4,FALSE)</f>
        <v>#N/A</v>
      </c>
      <c r="L336" s="363"/>
      <c r="M336" s="481"/>
      <c r="N336" s="55"/>
      <c r="O336" s="122"/>
      <c r="P336" s="481"/>
      <c r="Q336" s="50"/>
      <c r="R336" s="50"/>
      <c r="S336" s="50"/>
      <c r="T336" s="50"/>
      <c r="U336" s="50"/>
      <c r="V336" s="50"/>
      <c r="W336" s="50"/>
      <c r="X336" s="283"/>
      <c r="Y336" s="489">
        <f>IFERROR(VLOOKUP(Tableau118[[#This Row],[Name Shipper]],Plant_AILN!L:M,2,FALSE),0)</f>
        <v>0</v>
      </c>
      <c r="Z336" s="358"/>
      <c r="AA336" s="353" t="e">
        <f ca="1">VLOOKUP(Tableau118[[#This Row],[Key(ID-Actif)]],'DATA BTO'!A:N,5,FALSE)</f>
        <v>#N/A</v>
      </c>
      <c r="AB336" s="3" t="e">
        <f ca="1">VLOOKUP(Tableau118[[#This Row],[Key(ID-Actif)]],'DATA BTO'!A:N,6,FALSE)</f>
        <v>#N/A</v>
      </c>
      <c r="AC336" s="50" t="e">
        <f ca="1">VLOOKUP(Tableau118[[#This Row],[Key(ID-Actif)]],'DATA BTO'!A:N,7,FALSE)</f>
        <v>#N/A</v>
      </c>
      <c r="AD336" s="50" t="e">
        <f ca="1">VLOOKUP(Tableau118[[#This Row],[Key(ID-Actif)]],'DATA BTO'!A:N,8,FALSE)</f>
        <v>#N/A</v>
      </c>
      <c r="AE336" s="406" t="e">
        <f ca="1">IF(Tableau118[[#This Row],[First Day to POL]]&lt;=Tableau118[[#This Row],[Day Cut Off]],Tableau118[[#This Row],[Day ETD]],Tableau118[[#This Row],[Day ETD]]+7)</f>
        <v>#N/A</v>
      </c>
      <c r="AF336" s="50" t="e">
        <f ca="1">VLOOKUP(Tableau118[[#This Row],[Key(ID-Actif)]],'DATA BTO'!A:N,9,FALSE)</f>
        <v>#N/A</v>
      </c>
      <c r="AG336" s="3" t="e">
        <f ca="1">VLOOKUP(Tableau118[[#This Row],[Key(ID-Actif)]],'DATA BTO'!A:N,10,FALSE)</f>
        <v>#N/A</v>
      </c>
      <c r="AH336" s="3" t="e">
        <f ca="1">VLOOKUP(Tableau118[[#This Row],[Key(ID-Actif)]],'DATA BTO'!A:N,11,FALSE)</f>
        <v>#N/A</v>
      </c>
      <c r="AI336" s="50" t="e">
        <f ca="1">VLOOKUP(Tableau118[[#This Row],[Key(ID-Actif)]],'DATA BTO'!A:N,12,FALSE)</f>
        <v>#N/A</v>
      </c>
      <c r="AJ336" s="53" t="e">
        <f ca="1">VLOOKUP(Tableau118[[#This Row],[Key(ID-Actif)]],'DATA BTO'!A:N,14,FALSE)</f>
        <v>#N/A</v>
      </c>
      <c r="AK336" s="54" t="e">
        <f ca="1">VLOOKUP(Tableau118[[#This Row],[Key(POD -PFI- Usine)]],'DATA Consignee'!A:F,6,FALSE)</f>
        <v>#N/A</v>
      </c>
      <c r="AL336" s="283"/>
      <c r="AM336" s="490" t="str">
        <f>IF(Tableau118[[#This Row],[Name PFI/CDD]]="","-",VLOOKUP(Tableau118[[#This Row],[Name PFI/CDD]],Plant_AILN!I:J,2,FALSE))</f>
        <v>-</v>
      </c>
      <c r="AN33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6" s="2" t="e">
        <f ca="1">VLOOKUP(Tableau118[[#This Row],[Key(POD -PFI- Usine)]],'DATA Consignee'!A:J,10,FALSE)</f>
        <v>#N/A</v>
      </c>
      <c r="AQ336" s="50" t="e">
        <f ca="1">VLOOKUP(Tableau118[[#This Row],[Key(POD -PFI- Usine)]],'DATA Consignee'!A:N,14,FALSE)</f>
        <v>#N/A</v>
      </c>
      <c r="AR33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6" s="50" t="e">
        <f ca="1">Tableau118[[#This Row],[Transit time]]+Tableau118[[#This Row],[Time for security]]+Tableau118[[#This Row],[Time for security2 buffer]]</f>
        <v>#N/A</v>
      </c>
      <c r="AU33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6" s="50" t="e">
        <f ca="1">Tableau118[[#This Row],[Leadtime SI2C]]+Tableau118[[#This Row],[First Receipt Days]]-Tableau118[[#This Row],[Day Customer Order]]+1</f>
        <v>#N/A</v>
      </c>
      <c r="AW336" s="117" t="e">
        <f ca="1">IF(Tableau118[[#This Row],[Name ILN]]&lt;&gt;"SFK Freight Forwarder",Tableau118[[#This Row],[Cust. Leadtime]],Tableau118[[#This Row],[Leadtime SI2C]])</f>
        <v>#N/A</v>
      </c>
      <c r="AX336" s="57" t="e">
        <f>VLOOKUP(Tableau118[[#This Row],[ID]],'DATA BTO'!B:P,15,FALSE)</f>
        <v>#N/A</v>
      </c>
      <c r="AY336" s="328" t="e">
        <f ca="1">IFERROR(VLOOKUP(Tableau118[[#This Row],[Key(ID-Actif)]],'DATA BTO'!A:N,4,FALSE),VLOOKUP(Tableau118[[#This Row],[ID]],'DATA BTO'!B:N,3,FALSE))</f>
        <v>#N/A</v>
      </c>
      <c r="AZ33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6" s="50"/>
    </row>
    <row r="337" spans="2:57">
      <c r="B337" s="405" t="str">
        <f>_xlfn.CONCAT(Tableau118[[#This Row],[Name ILN]],"-",Tableau118[[#This Row],[Name Shipper]],"-",Tableau118[[#This Row],[Name Site]])</f>
        <v>--</v>
      </c>
      <c r="C337" s="64" t="e">
        <f ca="1">_xlfn.CONCAT(Tableau118[[#This Row],[Compte ILN]],"-",Tableau118[[#This Row],[Compte Shipper]],"-",Tableau118[[#This Row],[POL]],"-",Tableau118[[#This Row],[Compte Site]])</f>
        <v>#N/A</v>
      </c>
      <c r="D337" s="64" t="e">
        <f ca="1">_xlfn.CONCAT(Tableau118[[#This Row],[Compte ILN]],"-",Tableau118[[#This Row],[Compte Shipper]],"-",Tableau118[[#This Row],[POL]])</f>
        <v>#N/A</v>
      </c>
      <c r="E337" s="128" t="e">
        <f ca="1">_xlfn.CONCAT(Tableau118[[#This Row],[POL]],"-",Tableau118[[#This Row],[Carrier]],"-",Tableau118[[#This Row],[POD]])</f>
        <v>#N/A</v>
      </c>
      <c r="F337" s="64" t="str">
        <f>_xlfn.CONCAT(Tableau118[[#This Row],[ID]],"-","Next")</f>
        <v>-Next</v>
      </c>
      <c r="G337" s="64" t="e">
        <f ca="1">_xlfn.CONCAT(Tableau118[[#This Row],[POD]],"-",Tableau118[[#This Row],[Code PFI]],"-",Tableau118[[#This Row],[Compte Site]])</f>
        <v>#N/A</v>
      </c>
      <c r="H33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7" s="117" t="str">
        <f ca="1">IF(COUNTIF(I:I,Tableau118[[#This Row],[Plant-ILN-shipper-POL-Carrier-POD-PFI]])=1,"Non","Oui")</f>
        <v>Oui</v>
      </c>
      <c r="K337" s="126" t="e">
        <f>VLOOKUP(Tableau118[[#This Row],[Name Site]],Plant_AILN!A:D,4,FALSE)</f>
        <v>#N/A</v>
      </c>
      <c r="L337" s="363"/>
      <c r="M337" s="481"/>
      <c r="N337" s="55"/>
      <c r="O337" s="122"/>
      <c r="P337" s="481"/>
      <c r="Q337" s="50"/>
      <c r="R337" s="50"/>
      <c r="S337" s="50"/>
      <c r="T337" s="50"/>
      <c r="U337" s="50"/>
      <c r="V337" s="50"/>
      <c r="W337" s="50"/>
      <c r="X337" s="283"/>
      <c r="Y337" s="489">
        <f>IFERROR(VLOOKUP(Tableau118[[#This Row],[Name Shipper]],Plant_AILN!L:M,2,FALSE),0)</f>
        <v>0</v>
      </c>
      <c r="Z337" s="358"/>
      <c r="AA337" s="353" t="e">
        <f ca="1">VLOOKUP(Tableau118[[#This Row],[Key(ID-Actif)]],'DATA BTO'!A:N,5,FALSE)</f>
        <v>#N/A</v>
      </c>
      <c r="AB337" s="3" t="e">
        <f ca="1">VLOOKUP(Tableau118[[#This Row],[Key(ID-Actif)]],'DATA BTO'!A:N,6,FALSE)</f>
        <v>#N/A</v>
      </c>
      <c r="AC337" s="50" t="e">
        <f ca="1">VLOOKUP(Tableau118[[#This Row],[Key(ID-Actif)]],'DATA BTO'!A:N,7,FALSE)</f>
        <v>#N/A</v>
      </c>
      <c r="AD337" s="50" t="e">
        <f ca="1">VLOOKUP(Tableau118[[#This Row],[Key(ID-Actif)]],'DATA BTO'!A:N,8,FALSE)</f>
        <v>#N/A</v>
      </c>
      <c r="AE337" s="406" t="e">
        <f ca="1">IF(Tableau118[[#This Row],[First Day to POL]]&lt;=Tableau118[[#This Row],[Day Cut Off]],Tableau118[[#This Row],[Day ETD]],Tableau118[[#This Row],[Day ETD]]+7)</f>
        <v>#N/A</v>
      </c>
      <c r="AF337" s="50" t="e">
        <f ca="1">VLOOKUP(Tableau118[[#This Row],[Key(ID-Actif)]],'DATA BTO'!A:N,9,FALSE)</f>
        <v>#N/A</v>
      </c>
      <c r="AG337" s="3" t="e">
        <f ca="1">VLOOKUP(Tableau118[[#This Row],[Key(ID-Actif)]],'DATA BTO'!A:N,10,FALSE)</f>
        <v>#N/A</v>
      </c>
      <c r="AH337" s="3" t="e">
        <f ca="1">VLOOKUP(Tableau118[[#This Row],[Key(ID-Actif)]],'DATA BTO'!A:N,11,FALSE)</f>
        <v>#N/A</v>
      </c>
      <c r="AI337" s="50" t="e">
        <f ca="1">VLOOKUP(Tableau118[[#This Row],[Key(ID-Actif)]],'DATA BTO'!A:N,12,FALSE)</f>
        <v>#N/A</v>
      </c>
      <c r="AJ337" s="53" t="e">
        <f ca="1">VLOOKUP(Tableau118[[#This Row],[Key(ID-Actif)]],'DATA BTO'!A:N,14,FALSE)</f>
        <v>#N/A</v>
      </c>
      <c r="AK337" s="54" t="e">
        <f ca="1">VLOOKUP(Tableau118[[#This Row],[Key(POD -PFI- Usine)]],'DATA Consignee'!A:F,6,FALSE)</f>
        <v>#N/A</v>
      </c>
      <c r="AL337" s="283"/>
      <c r="AM337" s="490" t="str">
        <f>IF(Tableau118[[#This Row],[Name PFI/CDD]]="","-",VLOOKUP(Tableau118[[#This Row],[Name PFI/CDD]],Plant_AILN!I:J,2,FALSE))</f>
        <v>-</v>
      </c>
      <c r="AN33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7" s="2" t="e">
        <f ca="1">VLOOKUP(Tableau118[[#This Row],[Key(POD -PFI- Usine)]],'DATA Consignee'!A:J,10,FALSE)</f>
        <v>#N/A</v>
      </c>
      <c r="AQ337" s="50" t="e">
        <f ca="1">VLOOKUP(Tableau118[[#This Row],[Key(POD -PFI- Usine)]],'DATA Consignee'!A:N,14,FALSE)</f>
        <v>#N/A</v>
      </c>
      <c r="AR33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7" s="50" t="e">
        <f ca="1">Tableau118[[#This Row],[Transit time]]+Tableau118[[#This Row],[Time for security]]+Tableau118[[#This Row],[Time for security2 buffer]]</f>
        <v>#N/A</v>
      </c>
      <c r="AU33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7" s="50" t="e">
        <f ca="1">Tableau118[[#This Row],[Leadtime SI2C]]+Tableau118[[#This Row],[First Receipt Days]]-Tableau118[[#This Row],[Day Customer Order]]+1</f>
        <v>#N/A</v>
      </c>
      <c r="AW337" s="117" t="e">
        <f ca="1">IF(Tableau118[[#This Row],[Name ILN]]&lt;&gt;"SFK Freight Forwarder",Tableau118[[#This Row],[Cust. Leadtime]],Tableau118[[#This Row],[Leadtime SI2C]])</f>
        <v>#N/A</v>
      </c>
      <c r="AX337" s="57" t="e">
        <f>VLOOKUP(Tableau118[[#This Row],[ID]],'DATA BTO'!B:P,15,FALSE)</f>
        <v>#N/A</v>
      </c>
      <c r="AY337" s="328" t="e">
        <f ca="1">IFERROR(VLOOKUP(Tableau118[[#This Row],[Key(ID-Actif)]],'DATA BTO'!A:N,4,FALSE),VLOOKUP(Tableau118[[#This Row],[ID]],'DATA BTO'!B:N,3,FALSE))</f>
        <v>#N/A</v>
      </c>
      <c r="AZ33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7" s="50"/>
    </row>
    <row r="338" spans="2:57">
      <c r="B338" s="405" t="str">
        <f>_xlfn.CONCAT(Tableau118[[#This Row],[Name ILN]],"-",Tableau118[[#This Row],[Name Shipper]],"-",Tableau118[[#This Row],[Name Site]])</f>
        <v>--</v>
      </c>
      <c r="C338" s="64" t="e">
        <f ca="1">_xlfn.CONCAT(Tableau118[[#This Row],[Compte ILN]],"-",Tableau118[[#This Row],[Compte Shipper]],"-",Tableau118[[#This Row],[POL]],"-",Tableau118[[#This Row],[Compte Site]])</f>
        <v>#N/A</v>
      </c>
      <c r="D338" s="64" t="e">
        <f ca="1">_xlfn.CONCAT(Tableau118[[#This Row],[Compte ILN]],"-",Tableau118[[#This Row],[Compte Shipper]],"-",Tableau118[[#This Row],[POL]])</f>
        <v>#N/A</v>
      </c>
      <c r="E338" s="128" t="e">
        <f ca="1">_xlfn.CONCAT(Tableau118[[#This Row],[POL]],"-",Tableau118[[#This Row],[Carrier]],"-",Tableau118[[#This Row],[POD]])</f>
        <v>#N/A</v>
      </c>
      <c r="F338" s="64" t="str">
        <f>_xlfn.CONCAT(Tableau118[[#This Row],[ID]],"-","Next")</f>
        <v>-Next</v>
      </c>
      <c r="G338" s="64" t="e">
        <f ca="1">_xlfn.CONCAT(Tableau118[[#This Row],[POD]],"-",Tableau118[[#This Row],[Code PFI]],"-",Tableau118[[#This Row],[Compte Site]])</f>
        <v>#N/A</v>
      </c>
      <c r="H33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8" s="117" t="str">
        <f ca="1">IF(COUNTIF(I:I,Tableau118[[#This Row],[Plant-ILN-shipper-POL-Carrier-POD-PFI]])=1,"Non","Oui")</f>
        <v>Oui</v>
      </c>
      <c r="K338" s="126" t="e">
        <f>VLOOKUP(Tableau118[[#This Row],[Name Site]],Plant_AILN!A:D,4,FALSE)</f>
        <v>#N/A</v>
      </c>
      <c r="L338" s="363"/>
      <c r="M338" s="481"/>
      <c r="N338" s="55"/>
      <c r="O338" s="122"/>
      <c r="P338" s="481"/>
      <c r="Q338" s="50"/>
      <c r="R338" s="50"/>
      <c r="S338" s="50"/>
      <c r="T338" s="50"/>
      <c r="U338" s="50"/>
      <c r="V338" s="50"/>
      <c r="W338" s="50"/>
      <c r="X338" s="283"/>
      <c r="Y338" s="489">
        <f>IFERROR(VLOOKUP(Tableau118[[#This Row],[Name Shipper]],Plant_AILN!L:M,2,FALSE),0)</f>
        <v>0</v>
      </c>
      <c r="Z338" s="358"/>
      <c r="AA338" s="353" t="e">
        <f ca="1">VLOOKUP(Tableau118[[#This Row],[Key(ID-Actif)]],'DATA BTO'!A:N,5,FALSE)</f>
        <v>#N/A</v>
      </c>
      <c r="AB338" s="3" t="e">
        <f ca="1">VLOOKUP(Tableau118[[#This Row],[Key(ID-Actif)]],'DATA BTO'!A:N,6,FALSE)</f>
        <v>#N/A</v>
      </c>
      <c r="AC338" s="50" t="e">
        <f ca="1">VLOOKUP(Tableau118[[#This Row],[Key(ID-Actif)]],'DATA BTO'!A:N,7,FALSE)</f>
        <v>#N/A</v>
      </c>
      <c r="AD338" s="50" t="e">
        <f ca="1">VLOOKUP(Tableau118[[#This Row],[Key(ID-Actif)]],'DATA BTO'!A:N,8,FALSE)</f>
        <v>#N/A</v>
      </c>
      <c r="AE338" s="406" t="e">
        <f ca="1">IF(Tableau118[[#This Row],[First Day to POL]]&lt;=Tableau118[[#This Row],[Day Cut Off]],Tableau118[[#This Row],[Day ETD]],Tableau118[[#This Row],[Day ETD]]+7)</f>
        <v>#N/A</v>
      </c>
      <c r="AF338" s="50" t="e">
        <f ca="1">VLOOKUP(Tableau118[[#This Row],[Key(ID-Actif)]],'DATA BTO'!A:N,9,FALSE)</f>
        <v>#N/A</v>
      </c>
      <c r="AG338" s="3" t="e">
        <f ca="1">VLOOKUP(Tableau118[[#This Row],[Key(ID-Actif)]],'DATA BTO'!A:N,10,FALSE)</f>
        <v>#N/A</v>
      </c>
      <c r="AH338" s="3" t="e">
        <f ca="1">VLOOKUP(Tableau118[[#This Row],[Key(ID-Actif)]],'DATA BTO'!A:N,11,FALSE)</f>
        <v>#N/A</v>
      </c>
      <c r="AI338" s="50" t="e">
        <f ca="1">VLOOKUP(Tableau118[[#This Row],[Key(ID-Actif)]],'DATA BTO'!A:N,12,FALSE)</f>
        <v>#N/A</v>
      </c>
      <c r="AJ338" s="53" t="e">
        <f ca="1">VLOOKUP(Tableau118[[#This Row],[Key(ID-Actif)]],'DATA BTO'!A:N,14,FALSE)</f>
        <v>#N/A</v>
      </c>
      <c r="AK338" s="54" t="e">
        <f ca="1">VLOOKUP(Tableau118[[#This Row],[Key(POD -PFI- Usine)]],'DATA Consignee'!A:F,6,FALSE)</f>
        <v>#N/A</v>
      </c>
      <c r="AL338" s="283"/>
      <c r="AM338" s="490" t="str">
        <f>IF(Tableau118[[#This Row],[Name PFI/CDD]]="","-",VLOOKUP(Tableau118[[#This Row],[Name PFI/CDD]],Plant_AILN!I:J,2,FALSE))</f>
        <v>-</v>
      </c>
      <c r="AN33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8" s="2" t="e">
        <f ca="1">VLOOKUP(Tableau118[[#This Row],[Key(POD -PFI- Usine)]],'DATA Consignee'!A:J,10,FALSE)</f>
        <v>#N/A</v>
      </c>
      <c r="AQ338" s="50" t="e">
        <f ca="1">VLOOKUP(Tableau118[[#This Row],[Key(POD -PFI- Usine)]],'DATA Consignee'!A:N,14,FALSE)</f>
        <v>#N/A</v>
      </c>
      <c r="AR33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8" s="50" t="e">
        <f ca="1">Tableau118[[#This Row],[Transit time]]+Tableau118[[#This Row],[Time for security]]+Tableau118[[#This Row],[Time for security2 buffer]]</f>
        <v>#N/A</v>
      </c>
      <c r="AU33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8" s="50" t="e">
        <f ca="1">Tableau118[[#This Row],[Leadtime SI2C]]+Tableau118[[#This Row],[First Receipt Days]]-Tableau118[[#This Row],[Day Customer Order]]+1</f>
        <v>#N/A</v>
      </c>
      <c r="AW338" s="117" t="e">
        <f ca="1">IF(Tableau118[[#This Row],[Name ILN]]&lt;&gt;"SFK Freight Forwarder",Tableau118[[#This Row],[Cust. Leadtime]],Tableau118[[#This Row],[Leadtime SI2C]])</f>
        <v>#N/A</v>
      </c>
      <c r="AX338" s="57" t="e">
        <f>VLOOKUP(Tableau118[[#This Row],[ID]],'DATA BTO'!B:P,15,FALSE)</f>
        <v>#N/A</v>
      </c>
      <c r="AY338" s="328" t="e">
        <f ca="1">IFERROR(VLOOKUP(Tableau118[[#This Row],[Key(ID-Actif)]],'DATA BTO'!A:N,4,FALSE),VLOOKUP(Tableau118[[#This Row],[ID]],'DATA BTO'!B:N,3,FALSE))</f>
        <v>#N/A</v>
      </c>
      <c r="AZ33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8" s="50"/>
    </row>
    <row r="339" spans="2:57">
      <c r="B339" s="405" t="str">
        <f>_xlfn.CONCAT(Tableau118[[#This Row],[Name ILN]],"-",Tableau118[[#This Row],[Name Shipper]],"-",Tableau118[[#This Row],[Name Site]])</f>
        <v>--</v>
      </c>
      <c r="C339" s="64" t="e">
        <f ca="1">_xlfn.CONCAT(Tableau118[[#This Row],[Compte ILN]],"-",Tableau118[[#This Row],[Compte Shipper]],"-",Tableau118[[#This Row],[POL]],"-",Tableau118[[#This Row],[Compte Site]])</f>
        <v>#N/A</v>
      </c>
      <c r="D339" s="64" t="e">
        <f ca="1">_xlfn.CONCAT(Tableau118[[#This Row],[Compte ILN]],"-",Tableau118[[#This Row],[Compte Shipper]],"-",Tableau118[[#This Row],[POL]])</f>
        <v>#N/A</v>
      </c>
      <c r="E339" s="128" t="e">
        <f ca="1">_xlfn.CONCAT(Tableau118[[#This Row],[POL]],"-",Tableau118[[#This Row],[Carrier]],"-",Tableau118[[#This Row],[POD]])</f>
        <v>#N/A</v>
      </c>
      <c r="F339" s="64" t="str">
        <f>_xlfn.CONCAT(Tableau118[[#This Row],[ID]],"-","Next")</f>
        <v>-Next</v>
      </c>
      <c r="G339" s="64" t="e">
        <f ca="1">_xlfn.CONCAT(Tableau118[[#This Row],[POD]],"-",Tableau118[[#This Row],[Code PFI]],"-",Tableau118[[#This Row],[Compte Site]])</f>
        <v>#N/A</v>
      </c>
      <c r="H33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3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39" s="117" t="str">
        <f ca="1">IF(COUNTIF(I:I,Tableau118[[#This Row],[Plant-ILN-shipper-POL-Carrier-POD-PFI]])=1,"Non","Oui")</f>
        <v>Oui</v>
      </c>
      <c r="K339" s="126" t="e">
        <f>VLOOKUP(Tableau118[[#This Row],[Name Site]],Plant_AILN!A:D,4,FALSE)</f>
        <v>#N/A</v>
      </c>
      <c r="L339" s="363"/>
      <c r="M339" s="481"/>
      <c r="N339" s="55"/>
      <c r="O339" s="122"/>
      <c r="P339" s="481"/>
      <c r="Q339" s="50"/>
      <c r="R339" s="50"/>
      <c r="S339" s="50"/>
      <c r="T339" s="50"/>
      <c r="U339" s="50"/>
      <c r="V339" s="50"/>
      <c r="W339" s="50"/>
      <c r="X339" s="283"/>
      <c r="Y339" s="489">
        <f>IFERROR(VLOOKUP(Tableau118[[#This Row],[Name Shipper]],Plant_AILN!L:M,2,FALSE),0)</f>
        <v>0</v>
      </c>
      <c r="Z339" s="358"/>
      <c r="AA339" s="353" t="e">
        <f ca="1">VLOOKUP(Tableau118[[#This Row],[Key(ID-Actif)]],'DATA BTO'!A:N,5,FALSE)</f>
        <v>#N/A</v>
      </c>
      <c r="AB339" s="3" t="e">
        <f ca="1">VLOOKUP(Tableau118[[#This Row],[Key(ID-Actif)]],'DATA BTO'!A:N,6,FALSE)</f>
        <v>#N/A</v>
      </c>
      <c r="AC339" s="50" t="e">
        <f ca="1">VLOOKUP(Tableau118[[#This Row],[Key(ID-Actif)]],'DATA BTO'!A:N,7,FALSE)</f>
        <v>#N/A</v>
      </c>
      <c r="AD339" s="50" t="e">
        <f ca="1">VLOOKUP(Tableau118[[#This Row],[Key(ID-Actif)]],'DATA BTO'!A:N,8,FALSE)</f>
        <v>#N/A</v>
      </c>
      <c r="AE339" s="406" t="e">
        <f ca="1">IF(Tableau118[[#This Row],[First Day to POL]]&lt;=Tableau118[[#This Row],[Day Cut Off]],Tableau118[[#This Row],[Day ETD]],Tableau118[[#This Row],[Day ETD]]+7)</f>
        <v>#N/A</v>
      </c>
      <c r="AF339" s="50" t="e">
        <f ca="1">VLOOKUP(Tableau118[[#This Row],[Key(ID-Actif)]],'DATA BTO'!A:N,9,FALSE)</f>
        <v>#N/A</v>
      </c>
      <c r="AG339" s="3" t="e">
        <f ca="1">VLOOKUP(Tableau118[[#This Row],[Key(ID-Actif)]],'DATA BTO'!A:N,10,FALSE)</f>
        <v>#N/A</v>
      </c>
      <c r="AH339" s="3" t="e">
        <f ca="1">VLOOKUP(Tableau118[[#This Row],[Key(ID-Actif)]],'DATA BTO'!A:N,11,FALSE)</f>
        <v>#N/A</v>
      </c>
      <c r="AI339" s="50" t="e">
        <f ca="1">VLOOKUP(Tableau118[[#This Row],[Key(ID-Actif)]],'DATA BTO'!A:N,12,FALSE)</f>
        <v>#N/A</v>
      </c>
      <c r="AJ339" s="53" t="e">
        <f ca="1">VLOOKUP(Tableau118[[#This Row],[Key(ID-Actif)]],'DATA BTO'!A:N,14,FALSE)</f>
        <v>#N/A</v>
      </c>
      <c r="AK339" s="54" t="e">
        <f ca="1">VLOOKUP(Tableau118[[#This Row],[Key(POD -PFI- Usine)]],'DATA Consignee'!A:F,6,FALSE)</f>
        <v>#N/A</v>
      </c>
      <c r="AL339" s="283"/>
      <c r="AM339" s="490" t="str">
        <f>IF(Tableau118[[#This Row],[Name PFI/CDD]]="","-",VLOOKUP(Tableau118[[#This Row],[Name PFI/CDD]],Plant_AILN!I:J,2,FALSE))</f>
        <v>-</v>
      </c>
      <c r="AN33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3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39" s="2" t="e">
        <f ca="1">VLOOKUP(Tableau118[[#This Row],[Key(POD -PFI- Usine)]],'DATA Consignee'!A:J,10,FALSE)</f>
        <v>#N/A</v>
      </c>
      <c r="AQ339" s="50" t="e">
        <f ca="1">VLOOKUP(Tableau118[[#This Row],[Key(POD -PFI- Usine)]],'DATA Consignee'!A:N,14,FALSE)</f>
        <v>#N/A</v>
      </c>
      <c r="AR33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3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39" s="50" t="e">
        <f ca="1">Tableau118[[#This Row],[Transit time]]+Tableau118[[#This Row],[Time for security]]+Tableau118[[#This Row],[Time for security2 buffer]]</f>
        <v>#N/A</v>
      </c>
      <c r="AU33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39" s="50" t="e">
        <f ca="1">Tableau118[[#This Row],[Leadtime SI2C]]+Tableau118[[#This Row],[First Receipt Days]]-Tableau118[[#This Row],[Day Customer Order]]+1</f>
        <v>#N/A</v>
      </c>
      <c r="AW339" s="117" t="e">
        <f ca="1">IF(Tableau118[[#This Row],[Name ILN]]&lt;&gt;"SFK Freight Forwarder",Tableau118[[#This Row],[Cust. Leadtime]],Tableau118[[#This Row],[Leadtime SI2C]])</f>
        <v>#N/A</v>
      </c>
      <c r="AX339" s="57" t="e">
        <f>VLOOKUP(Tableau118[[#This Row],[ID]],'DATA BTO'!B:P,15,FALSE)</f>
        <v>#N/A</v>
      </c>
      <c r="AY339" s="328" t="e">
        <f ca="1">IFERROR(VLOOKUP(Tableau118[[#This Row],[Key(ID-Actif)]],'DATA BTO'!A:N,4,FALSE),VLOOKUP(Tableau118[[#This Row],[ID]],'DATA BTO'!B:N,3,FALSE))</f>
        <v>#N/A</v>
      </c>
      <c r="AZ33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3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3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3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3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39" s="50"/>
    </row>
    <row r="340" spans="2:57">
      <c r="B340" s="405" t="str">
        <f>_xlfn.CONCAT(Tableau118[[#This Row],[Name ILN]],"-",Tableau118[[#This Row],[Name Shipper]],"-",Tableau118[[#This Row],[Name Site]])</f>
        <v>--</v>
      </c>
      <c r="C340" s="64" t="e">
        <f ca="1">_xlfn.CONCAT(Tableau118[[#This Row],[Compte ILN]],"-",Tableau118[[#This Row],[Compte Shipper]],"-",Tableau118[[#This Row],[POL]],"-",Tableau118[[#This Row],[Compte Site]])</f>
        <v>#N/A</v>
      </c>
      <c r="D340" s="64" t="e">
        <f ca="1">_xlfn.CONCAT(Tableau118[[#This Row],[Compte ILN]],"-",Tableau118[[#This Row],[Compte Shipper]],"-",Tableau118[[#This Row],[POL]])</f>
        <v>#N/A</v>
      </c>
      <c r="E340" s="128" t="e">
        <f ca="1">_xlfn.CONCAT(Tableau118[[#This Row],[POL]],"-",Tableau118[[#This Row],[Carrier]],"-",Tableau118[[#This Row],[POD]])</f>
        <v>#N/A</v>
      </c>
      <c r="F340" s="64" t="str">
        <f>_xlfn.CONCAT(Tableau118[[#This Row],[ID]],"-","Next")</f>
        <v>-Next</v>
      </c>
      <c r="G340" s="64" t="e">
        <f ca="1">_xlfn.CONCAT(Tableau118[[#This Row],[POD]],"-",Tableau118[[#This Row],[Code PFI]],"-",Tableau118[[#This Row],[Compte Site]])</f>
        <v>#N/A</v>
      </c>
      <c r="H34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0" s="117" t="str">
        <f ca="1">IF(COUNTIF(I:I,Tableau118[[#This Row],[Plant-ILN-shipper-POL-Carrier-POD-PFI]])=1,"Non","Oui")</f>
        <v>Oui</v>
      </c>
      <c r="K340" s="126" t="e">
        <f>VLOOKUP(Tableau118[[#This Row],[Name Site]],Plant_AILN!A:D,4,FALSE)</f>
        <v>#N/A</v>
      </c>
      <c r="L340" s="363"/>
      <c r="M340" s="481"/>
      <c r="N340" s="55"/>
      <c r="O340" s="122"/>
      <c r="P340" s="481"/>
      <c r="Q340" s="50"/>
      <c r="R340" s="50"/>
      <c r="S340" s="50"/>
      <c r="T340" s="50"/>
      <c r="U340" s="50"/>
      <c r="V340" s="50"/>
      <c r="W340" s="50"/>
      <c r="X340" s="283"/>
      <c r="Y340" s="489">
        <f>IFERROR(VLOOKUP(Tableau118[[#This Row],[Name Shipper]],Plant_AILN!L:M,2,FALSE),0)</f>
        <v>0</v>
      </c>
      <c r="Z340" s="358"/>
      <c r="AA340" s="353" t="e">
        <f ca="1">VLOOKUP(Tableau118[[#This Row],[Key(ID-Actif)]],'DATA BTO'!A:N,5,FALSE)</f>
        <v>#N/A</v>
      </c>
      <c r="AB340" s="3" t="e">
        <f ca="1">VLOOKUP(Tableau118[[#This Row],[Key(ID-Actif)]],'DATA BTO'!A:N,6,FALSE)</f>
        <v>#N/A</v>
      </c>
      <c r="AC340" s="50" t="e">
        <f ca="1">VLOOKUP(Tableau118[[#This Row],[Key(ID-Actif)]],'DATA BTO'!A:N,7,FALSE)</f>
        <v>#N/A</v>
      </c>
      <c r="AD340" s="50" t="e">
        <f ca="1">VLOOKUP(Tableau118[[#This Row],[Key(ID-Actif)]],'DATA BTO'!A:N,8,FALSE)</f>
        <v>#N/A</v>
      </c>
      <c r="AE340" s="406" t="e">
        <f ca="1">IF(Tableau118[[#This Row],[First Day to POL]]&lt;=Tableau118[[#This Row],[Day Cut Off]],Tableau118[[#This Row],[Day ETD]],Tableau118[[#This Row],[Day ETD]]+7)</f>
        <v>#N/A</v>
      </c>
      <c r="AF340" s="50" t="e">
        <f ca="1">VLOOKUP(Tableau118[[#This Row],[Key(ID-Actif)]],'DATA BTO'!A:N,9,FALSE)</f>
        <v>#N/A</v>
      </c>
      <c r="AG340" s="3" t="e">
        <f ca="1">VLOOKUP(Tableau118[[#This Row],[Key(ID-Actif)]],'DATA BTO'!A:N,10,FALSE)</f>
        <v>#N/A</v>
      </c>
      <c r="AH340" s="3" t="e">
        <f ca="1">VLOOKUP(Tableau118[[#This Row],[Key(ID-Actif)]],'DATA BTO'!A:N,11,FALSE)</f>
        <v>#N/A</v>
      </c>
      <c r="AI340" s="50" t="e">
        <f ca="1">VLOOKUP(Tableau118[[#This Row],[Key(ID-Actif)]],'DATA BTO'!A:N,12,FALSE)</f>
        <v>#N/A</v>
      </c>
      <c r="AJ340" s="53" t="e">
        <f ca="1">VLOOKUP(Tableau118[[#This Row],[Key(ID-Actif)]],'DATA BTO'!A:N,14,FALSE)</f>
        <v>#N/A</v>
      </c>
      <c r="AK340" s="54" t="e">
        <f ca="1">VLOOKUP(Tableau118[[#This Row],[Key(POD -PFI- Usine)]],'DATA Consignee'!A:F,6,FALSE)</f>
        <v>#N/A</v>
      </c>
      <c r="AL340" s="283"/>
      <c r="AM340" s="490" t="str">
        <f>IF(Tableau118[[#This Row],[Name PFI/CDD]]="","-",VLOOKUP(Tableau118[[#This Row],[Name PFI/CDD]],Plant_AILN!I:J,2,FALSE))</f>
        <v>-</v>
      </c>
      <c r="AN34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0" s="2" t="e">
        <f ca="1">VLOOKUP(Tableau118[[#This Row],[Key(POD -PFI- Usine)]],'DATA Consignee'!A:J,10,FALSE)</f>
        <v>#N/A</v>
      </c>
      <c r="AQ340" s="50" t="e">
        <f ca="1">VLOOKUP(Tableau118[[#This Row],[Key(POD -PFI- Usine)]],'DATA Consignee'!A:N,14,FALSE)</f>
        <v>#N/A</v>
      </c>
      <c r="AR34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0" s="50" t="e">
        <f ca="1">Tableau118[[#This Row],[Transit time]]+Tableau118[[#This Row],[Time for security]]+Tableau118[[#This Row],[Time for security2 buffer]]</f>
        <v>#N/A</v>
      </c>
      <c r="AU34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0" s="50" t="e">
        <f ca="1">Tableau118[[#This Row],[Leadtime SI2C]]+Tableau118[[#This Row],[First Receipt Days]]-Tableau118[[#This Row],[Day Customer Order]]+1</f>
        <v>#N/A</v>
      </c>
      <c r="AW340" s="117" t="e">
        <f ca="1">IF(Tableau118[[#This Row],[Name ILN]]&lt;&gt;"SFK Freight Forwarder",Tableau118[[#This Row],[Cust. Leadtime]],Tableau118[[#This Row],[Leadtime SI2C]])</f>
        <v>#N/A</v>
      </c>
      <c r="AX340" s="57" t="e">
        <f>VLOOKUP(Tableau118[[#This Row],[ID]],'DATA BTO'!B:P,15,FALSE)</f>
        <v>#N/A</v>
      </c>
      <c r="AY340" s="328" t="e">
        <f ca="1">IFERROR(VLOOKUP(Tableau118[[#This Row],[Key(ID-Actif)]],'DATA BTO'!A:N,4,FALSE),VLOOKUP(Tableau118[[#This Row],[ID]],'DATA BTO'!B:N,3,FALSE))</f>
        <v>#N/A</v>
      </c>
      <c r="AZ34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0" s="50"/>
    </row>
    <row r="341" spans="2:57">
      <c r="B341" s="405" t="str">
        <f>_xlfn.CONCAT(Tableau118[[#This Row],[Name ILN]],"-",Tableau118[[#This Row],[Name Shipper]],"-",Tableau118[[#This Row],[Name Site]])</f>
        <v>--</v>
      </c>
      <c r="C341" s="64" t="e">
        <f ca="1">_xlfn.CONCAT(Tableau118[[#This Row],[Compte ILN]],"-",Tableau118[[#This Row],[Compte Shipper]],"-",Tableau118[[#This Row],[POL]],"-",Tableau118[[#This Row],[Compte Site]])</f>
        <v>#N/A</v>
      </c>
      <c r="D341" s="64" t="e">
        <f ca="1">_xlfn.CONCAT(Tableau118[[#This Row],[Compte ILN]],"-",Tableau118[[#This Row],[Compte Shipper]],"-",Tableau118[[#This Row],[POL]])</f>
        <v>#N/A</v>
      </c>
      <c r="E341" s="128" t="e">
        <f ca="1">_xlfn.CONCAT(Tableau118[[#This Row],[POL]],"-",Tableau118[[#This Row],[Carrier]],"-",Tableau118[[#This Row],[POD]])</f>
        <v>#N/A</v>
      </c>
      <c r="F341" s="64" t="str">
        <f>_xlfn.CONCAT(Tableau118[[#This Row],[ID]],"-","Next")</f>
        <v>-Next</v>
      </c>
      <c r="G341" s="64" t="e">
        <f ca="1">_xlfn.CONCAT(Tableau118[[#This Row],[POD]],"-",Tableau118[[#This Row],[Code PFI]],"-",Tableau118[[#This Row],[Compte Site]])</f>
        <v>#N/A</v>
      </c>
      <c r="H34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1" s="117" t="str">
        <f ca="1">IF(COUNTIF(I:I,Tableau118[[#This Row],[Plant-ILN-shipper-POL-Carrier-POD-PFI]])=1,"Non","Oui")</f>
        <v>Oui</v>
      </c>
      <c r="K341" s="126" t="e">
        <f>VLOOKUP(Tableau118[[#This Row],[Name Site]],Plant_AILN!A:D,4,FALSE)</f>
        <v>#N/A</v>
      </c>
      <c r="L341" s="363"/>
      <c r="M341" s="481"/>
      <c r="N341" s="55"/>
      <c r="O341" s="122"/>
      <c r="P341" s="481"/>
      <c r="Q341" s="50"/>
      <c r="R341" s="50"/>
      <c r="S341" s="50"/>
      <c r="T341" s="50"/>
      <c r="U341" s="50"/>
      <c r="V341" s="50"/>
      <c r="W341" s="50"/>
      <c r="X341" s="283"/>
      <c r="Y341" s="489">
        <f>IFERROR(VLOOKUP(Tableau118[[#This Row],[Name Shipper]],Plant_AILN!L:M,2,FALSE),0)</f>
        <v>0</v>
      </c>
      <c r="Z341" s="358"/>
      <c r="AA341" s="353" t="e">
        <f ca="1">VLOOKUP(Tableau118[[#This Row],[Key(ID-Actif)]],'DATA BTO'!A:N,5,FALSE)</f>
        <v>#N/A</v>
      </c>
      <c r="AB341" s="3" t="e">
        <f ca="1">VLOOKUP(Tableau118[[#This Row],[Key(ID-Actif)]],'DATA BTO'!A:N,6,FALSE)</f>
        <v>#N/A</v>
      </c>
      <c r="AC341" s="50" t="e">
        <f ca="1">VLOOKUP(Tableau118[[#This Row],[Key(ID-Actif)]],'DATA BTO'!A:N,7,FALSE)</f>
        <v>#N/A</v>
      </c>
      <c r="AD341" s="50" t="e">
        <f ca="1">VLOOKUP(Tableau118[[#This Row],[Key(ID-Actif)]],'DATA BTO'!A:N,8,FALSE)</f>
        <v>#N/A</v>
      </c>
      <c r="AE341" s="406" t="e">
        <f ca="1">IF(Tableau118[[#This Row],[First Day to POL]]&lt;=Tableau118[[#This Row],[Day Cut Off]],Tableau118[[#This Row],[Day ETD]],Tableau118[[#This Row],[Day ETD]]+7)</f>
        <v>#N/A</v>
      </c>
      <c r="AF341" s="50" t="e">
        <f ca="1">VLOOKUP(Tableau118[[#This Row],[Key(ID-Actif)]],'DATA BTO'!A:N,9,FALSE)</f>
        <v>#N/A</v>
      </c>
      <c r="AG341" s="3" t="e">
        <f ca="1">VLOOKUP(Tableau118[[#This Row],[Key(ID-Actif)]],'DATA BTO'!A:N,10,FALSE)</f>
        <v>#N/A</v>
      </c>
      <c r="AH341" s="3" t="e">
        <f ca="1">VLOOKUP(Tableau118[[#This Row],[Key(ID-Actif)]],'DATA BTO'!A:N,11,FALSE)</f>
        <v>#N/A</v>
      </c>
      <c r="AI341" s="50" t="e">
        <f ca="1">VLOOKUP(Tableau118[[#This Row],[Key(ID-Actif)]],'DATA BTO'!A:N,12,FALSE)</f>
        <v>#N/A</v>
      </c>
      <c r="AJ341" s="53" t="e">
        <f ca="1">VLOOKUP(Tableau118[[#This Row],[Key(ID-Actif)]],'DATA BTO'!A:N,14,FALSE)</f>
        <v>#N/A</v>
      </c>
      <c r="AK341" s="54" t="e">
        <f ca="1">VLOOKUP(Tableau118[[#This Row],[Key(POD -PFI- Usine)]],'DATA Consignee'!A:F,6,FALSE)</f>
        <v>#N/A</v>
      </c>
      <c r="AL341" s="283"/>
      <c r="AM341" s="490" t="str">
        <f>IF(Tableau118[[#This Row],[Name PFI/CDD]]="","-",VLOOKUP(Tableau118[[#This Row],[Name PFI/CDD]],Plant_AILN!I:J,2,FALSE))</f>
        <v>-</v>
      </c>
      <c r="AN34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1" s="2" t="e">
        <f ca="1">VLOOKUP(Tableau118[[#This Row],[Key(POD -PFI- Usine)]],'DATA Consignee'!A:J,10,FALSE)</f>
        <v>#N/A</v>
      </c>
      <c r="AQ341" s="50" t="e">
        <f ca="1">VLOOKUP(Tableau118[[#This Row],[Key(POD -PFI- Usine)]],'DATA Consignee'!A:N,14,FALSE)</f>
        <v>#N/A</v>
      </c>
      <c r="AR34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1" s="50" t="e">
        <f ca="1">Tableau118[[#This Row],[Transit time]]+Tableau118[[#This Row],[Time for security]]+Tableau118[[#This Row],[Time for security2 buffer]]</f>
        <v>#N/A</v>
      </c>
      <c r="AU34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1" s="50" t="e">
        <f ca="1">Tableau118[[#This Row],[Leadtime SI2C]]+Tableau118[[#This Row],[First Receipt Days]]-Tableau118[[#This Row],[Day Customer Order]]+1</f>
        <v>#N/A</v>
      </c>
      <c r="AW341" s="117" t="e">
        <f ca="1">IF(Tableau118[[#This Row],[Name ILN]]&lt;&gt;"SFK Freight Forwarder",Tableau118[[#This Row],[Cust. Leadtime]],Tableau118[[#This Row],[Leadtime SI2C]])</f>
        <v>#N/A</v>
      </c>
      <c r="AX341" s="57" t="e">
        <f>VLOOKUP(Tableau118[[#This Row],[ID]],'DATA BTO'!B:P,15,FALSE)</f>
        <v>#N/A</v>
      </c>
      <c r="AY341" s="328" t="e">
        <f ca="1">IFERROR(VLOOKUP(Tableau118[[#This Row],[Key(ID-Actif)]],'DATA BTO'!A:N,4,FALSE),VLOOKUP(Tableau118[[#This Row],[ID]],'DATA BTO'!B:N,3,FALSE))</f>
        <v>#N/A</v>
      </c>
      <c r="AZ34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1" s="50"/>
    </row>
    <row r="342" spans="2:57">
      <c r="B342" s="405" t="str">
        <f>_xlfn.CONCAT(Tableau118[[#This Row],[Name ILN]],"-",Tableau118[[#This Row],[Name Shipper]],"-",Tableau118[[#This Row],[Name Site]])</f>
        <v>--</v>
      </c>
      <c r="C342" s="64" t="e">
        <f ca="1">_xlfn.CONCAT(Tableau118[[#This Row],[Compte ILN]],"-",Tableau118[[#This Row],[Compte Shipper]],"-",Tableau118[[#This Row],[POL]],"-",Tableau118[[#This Row],[Compte Site]])</f>
        <v>#N/A</v>
      </c>
      <c r="D342" s="64" t="e">
        <f ca="1">_xlfn.CONCAT(Tableau118[[#This Row],[Compte ILN]],"-",Tableau118[[#This Row],[Compte Shipper]],"-",Tableau118[[#This Row],[POL]])</f>
        <v>#N/A</v>
      </c>
      <c r="E342" s="128" t="e">
        <f ca="1">_xlfn.CONCAT(Tableau118[[#This Row],[POL]],"-",Tableau118[[#This Row],[Carrier]],"-",Tableau118[[#This Row],[POD]])</f>
        <v>#N/A</v>
      </c>
      <c r="F342" s="64" t="str">
        <f>_xlfn.CONCAT(Tableau118[[#This Row],[ID]],"-","Next")</f>
        <v>-Next</v>
      </c>
      <c r="G342" s="64" t="e">
        <f ca="1">_xlfn.CONCAT(Tableau118[[#This Row],[POD]],"-",Tableau118[[#This Row],[Code PFI]],"-",Tableau118[[#This Row],[Compte Site]])</f>
        <v>#N/A</v>
      </c>
      <c r="H34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2" s="117" t="str">
        <f ca="1">IF(COUNTIF(I:I,Tableau118[[#This Row],[Plant-ILN-shipper-POL-Carrier-POD-PFI]])=1,"Non","Oui")</f>
        <v>Oui</v>
      </c>
      <c r="K342" s="126" t="e">
        <f>VLOOKUP(Tableau118[[#This Row],[Name Site]],Plant_AILN!A:D,4,FALSE)</f>
        <v>#N/A</v>
      </c>
      <c r="L342" s="363"/>
      <c r="M342" s="481"/>
      <c r="N342" s="55"/>
      <c r="O342" s="122"/>
      <c r="P342" s="481"/>
      <c r="Q342" s="50"/>
      <c r="R342" s="50"/>
      <c r="S342" s="50"/>
      <c r="T342" s="50"/>
      <c r="U342" s="50"/>
      <c r="V342" s="50"/>
      <c r="W342" s="50"/>
      <c r="X342" s="283"/>
      <c r="Y342" s="489">
        <f>IFERROR(VLOOKUP(Tableau118[[#This Row],[Name Shipper]],Plant_AILN!L:M,2,FALSE),0)</f>
        <v>0</v>
      </c>
      <c r="Z342" s="358"/>
      <c r="AA342" s="353" t="e">
        <f ca="1">VLOOKUP(Tableau118[[#This Row],[Key(ID-Actif)]],'DATA BTO'!A:N,5,FALSE)</f>
        <v>#N/A</v>
      </c>
      <c r="AB342" s="3" t="e">
        <f ca="1">VLOOKUP(Tableau118[[#This Row],[Key(ID-Actif)]],'DATA BTO'!A:N,6,FALSE)</f>
        <v>#N/A</v>
      </c>
      <c r="AC342" s="50" t="e">
        <f ca="1">VLOOKUP(Tableau118[[#This Row],[Key(ID-Actif)]],'DATA BTO'!A:N,7,FALSE)</f>
        <v>#N/A</v>
      </c>
      <c r="AD342" s="50" t="e">
        <f ca="1">VLOOKUP(Tableau118[[#This Row],[Key(ID-Actif)]],'DATA BTO'!A:N,8,FALSE)</f>
        <v>#N/A</v>
      </c>
      <c r="AE342" s="406" t="e">
        <f ca="1">IF(Tableau118[[#This Row],[First Day to POL]]&lt;=Tableau118[[#This Row],[Day Cut Off]],Tableau118[[#This Row],[Day ETD]],Tableau118[[#This Row],[Day ETD]]+7)</f>
        <v>#N/A</v>
      </c>
      <c r="AF342" s="50" t="e">
        <f ca="1">VLOOKUP(Tableau118[[#This Row],[Key(ID-Actif)]],'DATA BTO'!A:N,9,FALSE)</f>
        <v>#N/A</v>
      </c>
      <c r="AG342" s="3" t="e">
        <f ca="1">VLOOKUP(Tableau118[[#This Row],[Key(ID-Actif)]],'DATA BTO'!A:N,10,FALSE)</f>
        <v>#N/A</v>
      </c>
      <c r="AH342" s="3" t="e">
        <f ca="1">VLOOKUP(Tableau118[[#This Row],[Key(ID-Actif)]],'DATA BTO'!A:N,11,FALSE)</f>
        <v>#N/A</v>
      </c>
      <c r="AI342" s="50" t="e">
        <f ca="1">VLOOKUP(Tableau118[[#This Row],[Key(ID-Actif)]],'DATA BTO'!A:N,12,FALSE)</f>
        <v>#N/A</v>
      </c>
      <c r="AJ342" s="53" t="e">
        <f ca="1">VLOOKUP(Tableau118[[#This Row],[Key(ID-Actif)]],'DATA BTO'!A:N,14,FALSE)</f>
        <v>#N/A</v>
      </c>
      <c r="AK342" s="54" t="e">
        <f ca="1">VLOOKUP(Tableau118[[#This Row],[Key(POD -PFI- Usine)]],'DATA Consignee'!A:F,6,FALSE)</f>
        <v>#N/A</v>
      </c>
      <c r="AL342" s="283"/>
      <c r="AM342" s="490" t="str">
        <f>IF(Tableau118[[#This Row],[Name PFI/CDD]]="","-",VLOOKUP(Tableau118[[#This Row],[Name PFI/CDD]],Plant_AILN!I:J,2,FALSE))</f>
        <v>-</v>
      </c>
      <c r="AN34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2" s="2" t="e">
        <f ca="1">VLOOKUP(Tableau118[[#This Row],[Key(POD -PFI- Usine)]],'DATA Consignee'!A:J,10,FALSE)</f>
        <v>#N/A</v>
      </c>
      <c r="AQ342" s="50" t="e">
        <f ca="1">VLOOKUP(Tableau118[[#This Row],[Key(POD -PFI- Usine)]],'DATA Consignee'!A:N,14,FALSE)</f>
        <v>#N/A</v>
      </c>
      <c r="AR34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2" s="50" t="e">
        <f ca="1">Tableau118[[#This Row],[Transit time]]+Tableau118[[#This Row],[Time for security]]+Tableau118[[#This Row],[Time for security2 buffer]]</f>
        <v>#N/A</v>
      </c>
      <c r="AU34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2" s="50" t="e">
        <f ca="1">Tableau118[[#This Row],[Leadtime SI2C]]+Tableau118[[#This Row],[First Receipt Days]]-Tableau118[[#This Row],[Day Customer Order]]+1</f>
        <v>#N/A</v>
      </c>
      <c r="AW342" s="117" t="e">
        <f ca="1">IF(Tableau118[[#This Row],[Name ILN]]&lt;&gt;"SFK Freight Forwarder",Tableau118[[#This Row],[Cust. Leadtime]],Tableau118[[#This Row],[Leadtime SI2C]])</f>
        <v>#N/A</v>
      </c>
      <c r="AX342" s="57" t="e">
        <f>VLOOKUP(Tableau118[[#This Row],[ID]],'DATA BTO'!B:P,15,FALSE)</f>
        <v>#N/A</v>
      </c>
      <c r="AY342" s="328" t="e">
        <f ca="1">IFERROR(VLOOKUP(Tableau118[[#This Row],[Key(ID-Actif)]],'DATA BTO'!A:N,4,FALSE),VLOOKUP(Tableau118[[#This Row],[ID]],'DATA BTO'!B:N,3,FALSE))</f>
        <v>#N/A</v>
      </c>
      <c r="AZ34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2" s="50"/>
    </row>
    <row r="343" spans="2:57">
      <c r="B343" s="405" t="str">
        <f>_xlfn.CONCAT(Tableau118[[#This Row],[Name ILN]],"-",Tableau118[[#This Row],[Name Shipper]],"-",Tableau118[[#This Row],[Name Site]])</f>
        <v>--</v>
      </c>
      <c r="C343" s="64" t="e">
        <f ca="1">_xlfn.CONCAT(Tableau118[[#This Row],[Compte ILN]],"-",Tableau118[[#This Row],[Compte Shipper]],"-",Tableau118[[#This Row],[POL]],"-",Tableau118[[#This Row],[Compte Site]])</f>
        <v>#N/A</v>
      </c>
      <c r="D343" s="64" t="e">
        <f ca="1">_xlfn.CONCAT(Tableau118[[#This Row],[Compte ILN]],"-",Tableau118[[#This Row],[Compte Shipper]],"-",Tableau118[[#This Row],[POL]])</f>
        <v>#N/A</v>
      </c>
      <c r="E343" s="128" t="e">
        <f ca="1">_xlfn.CONCAT(Tableau118[[#This Row],[POL]],"-",Tableau118[[#This Row],[Carrier]],"-",Tableau118[[#This Row],[POD]])</f>
        <v>#N/A</v>
      </c>
      <c r="F343" s="64" t="str">
        <f>_xlfn.CONCAT(Tableau118[[#This Row],[ID]],"-","Next")</f>
        <v>-Next</v>
      </c>
      <c r="G343" s="64" t="e">
        <f ca="1">_xlfn.CONCAT(Tableau118[[#This Row],[POD]],"-",Tableau118[[#This Row],[Code PFI]],"-",Tableau118[[#This Row],[Compte Site]])</f>
        <v>#N/A</v>
      </c>
      <c r="H34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3" s="117" t="str">
        <f ca="1">IF(COUNTIF(I:I,Tableau118[[#This Row],[Plant-ILN-shipper-POL-Carrier-POD-PFI]])=1,"Non","Oui")</f>
        <v>Oui</v>
      </c>
      <c r="K343" s="126" t="e">
        <f>VLOOKUP(Tableau118[[#This Row],[Name Site]],Plant_AILN!A:D,4,FALSE)</f>
        <v>#N/A</v>
      </c>
      <c r="L343" s="363"/>
      <c r="M343" s="481"/>
      <c r="N343" s="55"/>
      <c r="O343" s="122"/>
      <c r="P343" s="481"/>
      <c r="Q343" s="50"/>
      <c r="R343" s="50"/>
      <c r="S343" s="50"/>
      <c r="T343" s="50"/>
      <c r="U343" s="50"/>
      <c r="V343" s="50"/>
      <c r="W343" s="50"/>
      <c r="X343" s="283"/>
      <c r="Y343" s="489">
        <f>IFERROR(VLOOKUP(Tableau118[[#This Row],[Name Shipper]],Plant_AILN!L:M,2,FALSE),0)</f>
        <v>0</v>
      </c>
      <c r="Z343" s="358"/>
      <c r="AA343" s="353" t="e">
        <f ca="1">VLOOKUP(Tableau118[[#This Row],[Key(ID-Actif)]],'DATA BTO'!A:N,5,FALSE)</f>
        <v>#N/A</v>
      </c>
      <c r="AB343" s="3" t="e">
        <f ca="1">VLOOKUP(Tableau118[[#This Row],[Key(ID-Actif)]],'DATA BTO'!A:N,6,FALSE)</f>
        <v>#N/A</v>
      </c>
      <c r="AC343" s="50" t="e">
        <f ca="1">VLOOKUP(Tableau118[[#This Row],[Key(ID-Actif)]],'DATA BTO'!A:N,7,FALSE)</f>
        <v>#N/A</v>
      </c>
      <c r="AD343" s="50" t="e">
        <f ca="1">VLOOKUP(Tableau118[[#This Row],[Key(ID-Actif)]],'DATA BTO'!A:N,8,FALSE)</f>
        <v>#N/A</v>
      </c>
      <c r="AE343" s="406" t="e">
        <f ca="1">IF(Tableau118[[#This Row],[First Day to POL]]&lt;=Tableau118[[#This Row],[Day Cut Off]],Tableau118[[#This Row],[Day ETD]],Tableau118[[#This Row],[Day ETD]]+7)</f>
        <v>#N/A</v>
      </c>
      <c r="AF343" s="50" t="e">
        <f ca="1">VLOOKUP(Tableau118[[#This Row],[Key(ID-Actif)]],'DATA BTO'!A:N,9,FALSE)</f>
        <v>#N/A</v>
      </c>
      <c r="AG343" s="3" t="e">
        <f ca="1">VLOOKUP(Tableau118[[#This Row],[Key(ID-Actif)]],'DATA BTO'!A:N,10,FALSE)</f>
        <v>#N/A</v>
      </c>
      <c r="AH343" s="3" t="e">
        <f ca="1">VLOOKUP(Tableau118[[#This Row],[Key(ID-Actif)]],'DATA BTO'!A:N,11,FALSE)</f>
        <v>#N/A</v>
      </c>
      <c r="AI343" s="50" t="e">
        <f ca="1">VLOOKUP(Tableau118[[#This Row],[Key(ID-Actif)]],'DATA BTO'!A:N,12,FALSE)</f>
        <v>#N/A</v>
      </c>
      <c r="AJ343" s="53" t="e">
        <f ca="1">VLOOKUP(Tableau118[[#This Row],[Key(ID-Actif)]],'DATA BTO'!A:N,14,FALSE)</f>
        <v>#N/A</v>
      </c>
      <c r="AK343" s="54" t="e">
        <f ca="1">VLOOKUP(Tableau118[[#This Row],[Key(POD -PFI- Usine)]],'DATA Consignee'!A:F,6,FALSE)</f>
        <v>#N/A</v>
      </c>
      <c r="AL343" s="283"/>
      <c r="AM343" s="490" t="str">
        <f>IF(Tableau118[[#This Row],[Name PFI/CDD]]="","-",VLOOKUP(Tableau118[[#This Row],[Name PFI/CDD]],Plant_AILN!I:J,2,FALSE))</f>
        <v>-</v>
      </c>
      <c r="AN34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3" s="2" t="e">
        <f ca="1">VLOOKUP(Tableau118[[#This Row],[Key(POD -PFI- Usine)]],'DATA Consignee'!A:J,10,FALSE)</f>
        <v>#N/A</v>
      </c>
      <c r="AQ343" s="50" t="e">
        <f ca="1">VLOOKUP(Tableau118[[#This Row],[Key(POD -PFI- Usine)]],'DATA Consignee'!A:N,14,FALSE)</f>
        <v>#N/A</v>
      </c>
      <c r="AR34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3" s="50" t="e">
        <f ca="1">Tableau118[[#This Row],[Transit time]]+Tableau118[[#This Row],[Time for security]]+Tableau118[[#This Row],[Time for security2 buffer]]</f>
        <v>#N/A</v>
      </c>
      <c r="AU34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3" s="50" t="e">
        <f ca="1">Tableau118[[#This Row],[Leadtime SI2C]]+Tableau118[[#This Row],[First Receipt Days]]-Tableau118[[#This Row],[Day Customer Order]]+1</f>
        <v>#N/A</v>
      </c>
      <c r="AW343" s="117" t="e">
        <f ca="1">IF(Tableau118[[#This Row],[Name ILN]]&lt;&gt;"SFK Freight Forwarder",Tableau118[[#This Row],[Cust. Leadtime]],Tableau118[[#This Row],[Leadtime SI2C]])</f>
        <v>#N/A</v>
      </c>
      <c r="AX343" s="57" t="e">
        <f>VLOOKUP(Tableau118[[#This Row],[ID]],'DATA BTO'!B:P,15,FALSE)</f>
        <v>#N/A</v>
      </c>
      <c r="AY343" s="328" t="e">
        <f ca="1">IFERROR(VLOOKUP(Tableau118[[#This Row],[Key(ID-Actif)]],'DATA BTO'!A:N,4,FALSE),VLOOKUP(Tableau118[[#This Row],[ID]],'DATA BTO'!B:N,3,FALSE))</f>
        <v>#N/A</v>
      </c>
      <c r="AZ34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3" s="50"/>
    </row>
    <row r="344" spans="2:57">
      <c r="B344" s="405" t="str">
        <f>_xlfn.CONCAT(Tableau118[[#This Row],[Name ILN]],"-",Tableau118[[#This Row],[Name Shipper]],"-",Tableau118[[#This Row],[Name Site]])</f>
        <v>--</v>
      </c>
      <c r="C344" s="64" t="e">
        <f ca="1">_xlfn.CONCAT(Tableau118[[#This Row],[Compte ILN]],"-",Tableau118[[#This Row],[Compte Shipper]],"-",Tableau118[[#This Row],[POL]],"-",Tableau118[[#This Row],[Compte Site]])</f>
        <v>#N/A</v>
      </c>
      <c r="D344" s="64" t="e">
        <f ca="1">_xlfn.CONCAT(Tableau118[[#This Row],[Compte ILN]],"-",Tableau118[[#This Row],[Compte Shipper]],"-",Tableau118[[#This Row],[POL]])</f>
        <v>#N/A</v>
      </c>
      <c r="E344" s="128" t="e">
        <f ca="1">_xlfn.CONCAT(Tableau118[[#This Row],[POL]],"-",Tableau118[[#This Row],[Carrier]],"-",Tableau118[[#This Row],[POD]])</f>
        <v>#N/A</v>
      </c>
      <c r="F344" s="64" t="str">
        <f>_xlfn.CONCAT(Tableau118[[#This Row],[ID]],"-","Next")</f>
        <v>-Next</v>
      </c>
      <c r="G344" s="64" t="e">
        <f ca="1">_xlfn.CONCAT(Tableau118[[#This Row],[POD]],"-",Tableau118[[#This Row],[Code PFI]],"-",Tableau118[[#This Row],[Compte Site]])</f>
        <v>#N/A</v>
      </c>
      <c r="H34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4" s="117" t="str">
        <f ca="1">IF(COUNTIF(I:I,Tableau118[[#This Row],[Plant-ILN-shipper-POL-Carrier-POD-PFI]])=1,"Non","Oui")</f>
        <v>Oui</v>
      </c>
      <c r="K344" s="126" t="e">
        <f>VLOOKUP(Tableau118[[#This Row],[Name Site]],Plant_AILN!A:D,4,FALSE)</f>
        <v>#N/A</v>
      </c>
      <c r="L344" s="363"/>
      <c r="M344" s="481"/>
      <c r="N344" s="55"/>
      <c r="O344" s="122"/>
      <c r="P344" s="481"/>
      <c r="Q344" s="50"/>
      <c r="R344" s="50"/>
      <c r="S344" s="50"/>
      <c r="T344" s="50"/>
      <c r="U344" s="50"/>
      <c r="V344" s="50"/>
      <c r="W344" s="50"/>
      <c r="X344" s="283"/>
      <c r="Y344" s="489">
        <f>IFERROR(VLOOKUP(Tableau118[[#This Row],[Name Shipper]],Plant_AILN!L:M,2,FALSE),0)</f>
        <v>0</v>
      </c>
      <c r="Z344" s="358"/>
      <c r="AA344" s="353" t="e">
        <f ca="1">VLOOKUP(Tableau118[[#This Row],[Key(ID-Actif)]],'DATA BTO'!A:N,5,FALSE)</f>
        <v>#N/A</v>
      </c>
      <c r="AB344" s="3" t="e">
        <f ca="1">VLOOKUP(Tableau118[[#This Row],[Key(ID-Actif)]],'DATA BTO'!A:N,6,FALSE)</f>
        <v>#N/A</v>
      </c>
      <c r="AC344" s="50" t="e">
        <f ca="1">VLOOKUP(Tableau118[[#This Row],[Key(ID-Actif)]],'DATA BTO'!A:N,7,FALSE)</f>
        <v>#N/A</v>
      </c>
      <c r="AD344" s="50" t="e">
        <f ca="1">VLOOKUP(Tableau118[[#This Row],[Key(ID-Actif)]],'DATA BTO'!A:N,8,FALSE)</f>
        <v>#N/A</v>
      </c>
      <c r="AE344" s="406" t="e">
        <f ca="1">IF(Tableau118[[#This Row],[First Day to POL]]&lt;=Tableau118[[#This Row],[Day Cut Off]],Tableau118[[#This Row],[Day ETD]],Tableau118[[#This Row],[Day ETD]]+7)</f>
        <v>#N/A</v>
      </c>
      <c r="AF344" s="50" t="e">
        <f ca="1">VLOOKUP(Tableau118[[#This Row],[Key(ID-Actif)]],'DATA BTO'!A:N,9,FALSE)</f>
        <v>#N/A</v>
      </c>
      <c r="AG344" s="3" t="e">
        <f ca="1">VLOOKUP(Tableau118[[#This Row],[Key(ID-Actif)]],'DATA BTO'!A:N,10,FALSE)</f>
        <v>#N/A</v>
      </c>
      <c r="AH344" s="3" t="e">
        <f ca="1">VLOOKUP(Tableau118[[#This Row],[Key(ID-Actif)]],'DATA BTO'!A:N,11,FALSE)</f>
        <v>#N/A</v>
      </c>
      <c r="AI344" s="50" t="e">
        <f ca="1">VLOOKUP(Tableau118[[#This Row],[Key(ID-Actif)]],'DATA BTO'!A:N,12,FALSE)</f>
        <v>#N/A</v>
      </c>
      <c r="AJ344" s="53" t="e">
        <f ca="1">VLOOKUP(Tableau118[[#This Row],[Key(ID-Actif)]],'DATA BTO'!A:N,14,FALSE)</f>
        <v>#N/A</v>
      </c>
      <c r="AK344" s="54" t="e">
        <f ca="1">VLOOKUP(Tableau118[[#This Row],[Key(POD -PFI- Usine)]],'DATA Consignee'!A:F,6,FALSE)</f>
        <v>#N/A</v>
      </c>
      <c r="AL344" s="283"/>
      <c r="AM344" s="490" t="str">
        <f>IF(Tableau118[[#This Row],[Name PFI/CDD]]="","-",VLOOKUP(Tableau118[[#This Row],[Name PFI/CDD]],Plant_AILN!I:J,2,FALSE))</f>
        <v>-</v>
      </c>
      <c r="AN34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4" s="2" t="e">
        <f ca="1">VLOOKUP(Tableau118[[#This Row],[Key(POD -PFI- Usine)]],'DATA Consignee'!A:J,10,FALSE)</f>
        <v>#N/A</v>
      </c>
      <c r="AQ344" s="50" t="e">
        <f ca="1">VLOOKUP(Tableau118[[#This Row],[Key(POD -PFI- Usine)]],'DATA Consignee'!A:N,14,FALSE)</f>
        <v>#N/A</v>
      </c>
      <c r="AR34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4" s="50" t="e">
        <f ca="1">Tableau118[[#This Row],[Transit time]]+Tableau118[[#This Row],[Time for security]]+Tableau118[[#This Row],[Time for security2 buffer]]</f>
        <v>#N/A</v>
      </c>
      <c r="AU34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4" s="50" t="e">
        <f ca="1">Tableau118[[#This Row],[Leadtime SI2C]]+Tableau118[[#This Row],[First Receipt Days]]-Tableau118[[#This Row],[Day Customer Order]]+1</f>
        <v>#N/A</v>
      </c>
      <c r="AW344" s="117" t="e">
        <f ca="1">IF(Tableau118[[#This Row],[Name ILN]]&lt;&gt;"SFK Freight Forwarder",Tableau118[[#This Row],[Cust. Leadtime]],Tableau118[[#This Row],[Leadtime SI2C]])</f>
        <v>#N/A</v>
      </c>
      <c r="AX344" s="57" t="e">
        <f>VLOOKUP(Tableau118[[#This Row],[ID]],'DATA BTO'!B:P,15,FALSE)</f>
        <v>#N/A</v>
      </c>
      <c r="AY344" s="328" t="e">
        <f ca="1">IFERROR(VLOOKUP(Tableau118[[#This Row],[Key(ID-Actif)]],'DATA BTO'!A:N,4,FALSE),VLOOKUP(Tableau118[[#This Row],[ID]],'DATA BTO'!B:N,3,FALSE))</f>
        <v>#N/A</v>
      </c>
      <c r="AZ34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4" s="50"/>
    </row>
    <row r="345" spans="2:57">
      <c r="B345" s="405" t="str">
        <f>_xlfn.CONCAT(Tableau118[[#This Row],[Name ILN]],"-",Tableau118[[#This Row],[Name Shipper]],"-",Tableau118[[#This Row],[Name Site]])</f>
        <v>--</v>
      </c>
      <c r="C345" s="64" t="e">
        <f ca="1">_xlfn.CONCAT(Tableau118[[#This Row],[Compte ILN]],"-",Tableau118[[#This Row],[Compte Shipper]],"-",Tableau118[[#This Row],[POL]],"-",Tableau118[[#This Row],[Compte Site]])</f>
        <v>#N/A</v>
      </c>
      <c r="D345" s="64" t="e">
        <f ca="1">_xlfn.CONCAT(Tableau118[[#This Row],[Compte ILN]],"-",Tableau118[[#This Row],[Compte Shipper]],"-",Tableau118[[#This Row],[POL]])</f>
        <v>#N/A</v>
      </c>
      <c r="E345" s="128" t="e">
        <f ca="1">_xlfn.CONCAT(Tableau118[[#This Row],[POL]],"-",Tableau118[[#This Row],[Carrier]],"-",Tableau118[[#This Row],[POD]])</f>
        <v>#N/A</v>
      </c>
      <c r="F345" s="64" t="str">
        <f>_xlfn.CONCAT(Tableau118[[#This Row],[ID]],"-","Next")</f>
        <v>-Next</v>
      </c>
      <c r="G345" s="64" t="e">
        <f ca="1">_xlfn.CONCAT(Tableau118[[#This Row],[POD]],"-",Tableau118[[#This Row],[Code PFI]],"-",Tableau118[[#This Row],[Compte Site]])</f>
        <v>#N/A</v>
      </c>
      <c r="H34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5" s="117" t="str">
        <f ca="1">IF(COUNTIF(I:I,Tableau118[[#This Row],[Plant-ILN-shipper-POL-Carrier-POD-PFI]])=1,"Non","Oui")</f>
        <v>Oui</v>
      </c>
      <c r="K345" s="126" t="e">
        <f>VLOOKUP(Tableau118[[#This Row],[Name Site]],Plant_AILN!A:D,4,FALSE)</f>
        <v>#N/A</v>
      </c>
      <c r="L345" s="363"/>
      <c r="M345" s="481"/>
      <c r="N345" s="55"/>
      <c r="O345" s="122"/>
      <c r="P345" s="481"/>
      <c r="Q345" s="50"/>
      <c r="R345" s="50"/>
      <c r="S345" s="50"/>
      <c r="T345" s="50"/>
      <c r="U345" s="50"/>
      <c r="V345" s="50"/>
      <c r="W345" s="50"/>
      <c r="X345" s="283"/>
      <c r="Y345" s="489">
        <f>IFERROR(VLOOKUP(Tableau118[[#This Row],[Name Shipper]],Plant_AILN!L:M,2,FALSE),0)</f>
        <v>0</v>
      </c>
      <c r="Z345" s="358"/>
      <c r="AA345" s="353" t="e">
        <f ca="1">VLOOKUP(Tableau118[[#This Row],[Key(ID-Actif)]],'DATA BTO'!A:N,5,FALSE)</f>
        <v>#N/A</v>
      </c>
      <c r="AB345" s="3" t="e">
        <f ca="1">VLOOKUP(Tableau118[[#This Row],[Key(ID-Actif)]],'DATA BTO'!A:N,6,FALSE)</f>
        <v>#N/A</v>
      </c>
      <c r="AC345" s="50" t="e">
        <f ca="1">VLOOKUP(Tableau118[[#This Row],[Key(ID-Actif)]],'DATA BTO'!A:N,7,FALSE)</f>
        <v>#N/A</v>
      </c>
      <c r="AD345" s="50" t="e">
        <f ca="1">VLOOKUP(Tableau118[[#This Row],[Key(ID-Actif)]],'DATA BTO'!A:N,8,FALSE)</f>
        <v>#N/A</v>
      </c>
      <c r="AE345" s="406" t="e">
        <f ca="1">IF(Tableau118[[#This Row],[First Day to POL]]&lt;=Tableau118[[#This Row],[Day Cut Off]],Tableau118[[#This Row],[Day ETD]],Tableau118[[#This Row],[Day ETD]]+7)</f>
        <v>#N/A</v>
      </c>
      <c r="AF345" s="50" t="e">
        <f ca="1">VLOOKUP(Tableau118[[#This Row],[Key(ID-Actif)]],'DATA BTO'!A:N,9,FALSE)</f>
        <v>#N/A</v>
      </c>
      <c r="AG345" s="3" t="e">
        <f ca="1">VLOOKUP(Tableau118[[#This Row],[Key(ID-Actif)]],'DATA BTO'!A:N,10,FALSE)</f>
        <v>#N/A</v>
      </c>
      <c r="AH345" s="3" t="e">
        <f ca="1">VLOOKUP(Tableau118[[#This Row],[Key(ID-Actif)]],'DATA BTO'!A:N,11,FALSE)</f>
        <v>#N/A</v>
      </c>
      <c r="AI345" s="50" t="e">
        <f ca="1">VLOOKUP(Tableau118[[#This Row],[Key(ID-Actif)]],'DATA BTO'!A:N,12,FALSE)</f>
        <v>#N/A</v>
      </c>
      <c r="AJ345" s="53" t="e">
        <f ca="1">VLOOKUP(Tableau118[[#This Row],[Key(ID-Actif)]],'DATA BTO'!A:N,14,FALSE)</f>
        <v>#N/A</v>
      </c>
      <c r="AK345" s="54" t="e">
        <f ca="1">VLOOKUP(Tableau118[[#This Row],[Key(POD -PFI- Usine)]],'DATA Consignee'!A:F,6,FALSE)</f>
        <v>#N/A</v>
      </c>
      <c r="AL345" s="283"/>
      <c r="AM345" s="490" t="str">
        <f>IF(Tableau118[[#This Row],[Name PFI/CDD]]="","-",VLOOKUP(Tableau118[[#This Row],[Name PFI/CDD]],Plant_AILN!I:J,2,FALSE))</f>
        <v>-</v>
      </c>
      <c r="AN34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5" s="2" t="e">
        <f ca="1">VLOOKUP(Tableau118[[#This Row],[Key(POD -PFI- Usine)]],'DATA Consignee'!A:J,10,FALSE)</f>
        <v>#N/A</v>
      </c>
      <c r="AQ345" s="50" t="e">
        <f ca="1">VLOOKUP(Tableau118[[#This Row],[Key(POD -PFI- Usine)]],'DATA Consignee'!A:N,14,FALSE)</f>
        <v>#N/A</v>
      </c>
      <c r="AR34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5" s="50" t="e">
        <f ca="1">Tableau118[[#This Row],[Transit time]]+Tableau118[[#This Row],[Time for security]]+Tableau118[[#This Row],[Time for security2 buffer]]</f>
        <v>#N/A</v>
      </c>
      <c r="AU34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5" s="50" t="e">
        <f ca="1">Tableau118[[#This Row],[Leadtime SI2C]]+Tableau118[[#This Row],[First Receipt Days]]-Tableau118[[#This Row],[Day Customer Order]]+1</f>
        <v>#N/A</v>
      </c>
      <c r="AW345" s="117" t="e">
        <f ca="1">IF(Tableau118[[#This Row],[Name ILN]]&lt;&gt;"SFK Freight Forwarder",Tableau118[[#This Row],[Cust. Leadtime]],Tableau118[[#This Row],[Leadtime SI2C]])</f>
        <v>#N/A</v>
      </c>
      <c r="AX345" s="57" t="e">
        <f>VLOOKUP(Tableau118[[#This Row],[ID]],'DATA BTO'!B:P,15,FALSE)</f>
        <v>#N/A</v>
      </c>
      <c r="AY345" s="328" t="e">
        <f ca="1">IFERROR(VLOOKUP(Tableau118[[#This Row],[Key(ID-Actif)]],'DATA BTO'!A:N,4,FALSE),VLOOKUP(Tableau118[[#This Row],[ID]],'DATA BTO'!B:N,3,FALSE))</f>
        <v>#N/A</v>
      </c>
      <c r="AZ34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5" s="50"/>
    </row>
    <row r="346" spans="2:57">
      <c r="B346" s="405" t="str">
        <f>_xlfn.CONCAT(Tableau118[[#This Row],[Name ILN]],"-",Tableau118[[#This Row],[Name Shipper]],"-",Tableau118[[#This Row],[Name Site]])</f>
        <v>--</v>
      </c>
      <c r="C346" s="64" t="e">
        <f ca="1">_xlfn.CONCAT(Tableau118[[#This Row],[Compte ILN]],"-",Tableau118[[#This Row],[Compte Shipper]],"-",Tableau118[[#This Row],[POL]],"-",Tableau118[[#This Row],[Compte Site]])</f>
        <v>#N/A</v>
      </c>
      <c r="D346" s="64" t="e">
        <f ca="1">_xlfn.CONCAT(Tableau118[[#This Row],[Compte ILN]],"-",Tableau118[[#This Row],[Compte Shipper]],"-",Tableau118[[#This Row],[POL]])</f>
        <v>#N/A</v>
      </c>
      <c r="E346" s="128" t="e">
        <f ca="1">_xlfn.CONCAT(Tableau118[[#This Row],[POL]],"-",Tableau118[[#This Row],[Carrier]],"-",Tableau118[[#This Row],[POD]])</f>
        <v>#N/A</v>
      </c>
      <c r="F346" s="64" t="str">
        <f>_xlfn.CONCAT(Tableau118[[#This Row],[ID]],"-","Next")</f>
        <v>-Next</v>
      </c>
      <c r="G346" s="64" t="e">
        <f ca="1">_xlfn.CONCAT(Tableau118[[#This Row],[POD]],"-",Tableau118[[#This Row],[Code PFI]],"-",Tableau118[[#This Row],[Compte Site]])</f>
        <v>#N/A</v>
      </c>
      <c r="H34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6" s="117" t="str">
        <f ca="1">IF(COUNTIF(I:I,Tableau118[[#This Row],[Plant-ILN-shipper-POL-Carrier-POD-PFI]])=1,"Non","Oui")</f>
        <v>Oui</v>
      </c>
      <c r="K346" s="126" t="e">
        <f>VLOOKUP(Tableau118[[#This Row],[Name Site]],Plant_AILN!A:D,4,FALSE)</f>
        <v>#N/A</v>
      </c>
      <c r="L346" s="363"/>
      <c r="M346" s="481"/>
      <c r="N346" s="55"/>
      <c r="O346" s="122"/>
      <c r="P346" s="481"/>
      <c r="Q346" s="50"/>
      <c r="R346" s="50"/>
      <c r="S346" s="50"/>
      <c r="T346" s="50"/>
      <c r="U346" s="50"/>
      <c r="V346" s="50"/>
      <c r="W346" s="50"/>
      <c r="X346" s="283"/>
      <c r="Y346" s="489">
        <f>IFERROR(VLOOKUP(Tableau118[[#This Row],[Name Shipper]],Plant_AILN!L:M,2,FALSE),0)</f>
        <v>0</v>
      </c>
      <c r="Z346" s="358"/>
      <c r="AA346" s="353" t="e">
        <f ca="1">VLOOKUP(Tableau118[[#This Row],[Key(ID-Actif)]],'DATA BTO'!A:N,5,FALSE)</f>
        <v>#N/A</v>
      </c>
      <c r="AB346" s="3" t="e">
        <f ca="1">VLOOKUP(Tableau118[[#This Row],[Key(ID-Actif)]],'DATA BTO'!A:N,6,FALSE)</f>
        <v>#N/A</v>
      </c>
      <c r="AC346" s="50" t="e">
        <f ca="1">VLOOKUP(Tableau118[[#This Row],[Key(ID-Actif)]],'DATA BTO'!A:N,7,FALSE)</f>
        <v>#N/A</v>
      </c>
      <c r="AD346" s="50" t="e">
        <f ca="1">VLOOKUP(Tableau118[[#This Row],[Key(ID-Actif)]],'DATA BTO'!A:N,8,FALSE)</f>
        <v>#N/A</v>
      </c>
      <c r="AE346" s="406" t="e">
        <f ca="1">IF(Tableau118[[#This Row],[First Day to POL]]&lt;=Tableau118[[#This Row],[Day Cut Off]],Tableau118[[#This Row],[Day ETD]],Tableau118[[#This Row],[Day ETD]]+7)</f>
        <v>#N/A</v>
      </c>
      <c r="AF346" s="50" t="e">
        <f ca="1">VLOOKUP(Tableau118[[#This Row],[Key(ID-Actif)]],'DATA BTO'!A:N,9,FALSE)</f>
        <v>#N/A</v>
      </c>
      <c r="AG346" s="3" t="e">
        <f ca="1">VLOOKUP(Tableau118[[#This Row],[Key(ID-Actif)]],'DATA BTO'!A:N,10,FALSE)</f>
        <v>#N/A</v>
      </c>
      <c r="AH346" s="3" t="e">
        <f ca="1">VLOOKUP(Tableau118[[#This Row],[Key(ID-Actif)]],'DATA BTO'!A:N,11,FALSE)</f>
        <v>#N/A</v>
      </c>
      <c r="AI346" s="50" t="e">
        <f ca="1">VLOOKUP(Tableau118[[#This Row],[Key(ID-Actif)]],'DATA BTO'!A:N,12,FALSE)</f>
        <v>#N/A</v>
      </c>
      <c r="AJ346" s="53" t="e">
        <f ca="1">VLOOKUP(Tableau118[[#This Row],[Key(ID-Actif)]],'DATA BTO'!A:N,14,FALSE)</f>
        <v>#N/A</v>
      </c>
      <c r="AK346" s="54" t="e">
        <f ca="1">VLOOKUP(Tableau118[[#This Row],[Key(POD -PFI- Usine)]],'DATA Consignee'!A:F,6,FALSE)</f>
        <v>#N/A</v>
      </c>
      <c r="AL346" s="283"/>
      <c r="AM346" s="490" t="str">
        <f>IF(Tableau118[[#This Row],[Name PFI/CDD]]="","-",VLOOKUP(Tableau118[[#This Row],[Name PFI/CDD]],Plant_AILN!I:J,2,FALSE))</f>
        <v>-</v>
      </c>
      <c r="AN34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6" s="2" t="e">
        <f ca="1">VLOOKUP(Tableau118[[#This Row],[Key(POD -PFI- Usine)]],'DATA Consignee'!A:J,10,FALSE)</f>
        <v>#N/A</v>
      </c>
      <c r="AQ346" s="50" t="e">
        <f ca="1">VLOOKUP(Tableau118[[#This Row],[Key(POD -PFI- Usine)]],'DATA Consignee'!A:N,14,FALSE)</f>
        <v>#N/A</v>
      </c>
      <c r="AR34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6" s="50" t="e">
        <f ca="1">Tableau118[[#This Row],[Transit time]]+Tableau118[[#This Row],[Time for security]]+Tableau118[[#This Row],[Time for security2 buffer]]</f>
        <v>#N/A</v>
      </c>
      <c r="AU34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6" s="50" t="e">
        <f ca="1">Tableau118[[#This Row],[Leadtime SI2C]]+Tableau118[[#This Row],[First Receipt Days]]-Tableau118[[#This Row],[Day Customer Order]]+1</f>
        <v>#N/A</v>
      </c>
      <c r="AW346" s="117" t="e">
        <f ca="1">IF(Tableau118[[#This Row],[Name ILN]]&lt;&gt;"SFK Freight Forwarder",Tableau118[[#This Row],[Cust. Leadtime]],Tableau118[[#This Row],[Leadtime SI2C]])</f>
        <v>#N/A</v>
      </c>
      <c r="AX346" s="57" t="e">
        <f>VLOOKUP(Tableau118[[#This Row],[ID]],'DATA BTO'!B:P,15,FALSE)</f>
        <v>#N/A</v>
      </c>
      <c r="AY346" s="328" t="e">
        <f ca="1">IFERROR(VLOOKUP(Tableau118[[#This Row],[Key(ID-Actif)]],'DATA BTO'!A:N,4,FALSE),VLOOKUP(Tableau118[[#This Row],[ID]],'DATA BTO'!B:N,3,FALSE))</f>
        <v>#N/A</v>
      </c>
      <c r="AZ34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6" s="50"/>
    </row>
    <row r="347" spans="2:57">
      <c r="B347" s="405" t="str">
        <f>_xlfn.CONCAT(Tableau118[[#This Row],[Name ILN]],"-",Tableau118[[#This Row],[Name Shipper]],"-",Tableau118[[#This Row],[Name Site]])</f>
        <v>--</v>
      </c>
      <c r="C347" s="64" t="e">
        <f ca="1">_xlfn.CONCAT(Tableau118[[#This Row],[Compte ILN]],"-",Tableau118[[#This Row],[Compte Shipper]],"-",Tableau118[[#This Row],[POL]],"-",Tableau118[[#This Row],[Compte Site]])</f>
        <v>#N/A</v>
      </c>
      <c r="D347" s="64" t="e">
        <f ca="1">_xlfn.CONCAT(Tableau118[[#This Row],[Compte ILN]],"-",Tableau118[[#This Row],[Compte Shipper]],"-",Tableau118[[#This Row],[POL]])</f>
        <v>#N/A</v>
      </c>
      <c r="E347" s="128" t="e">
        <f ca="1">_xlfn.CONCAT(Tableau118[[#This Row],[POL]],"-",Tableau118[[#This Row],[Carrier]],"-",Tableau118[[#This Row],[POD]])</f>
        <v>#N/A</v>
      </c>
      <c r="F347" s="64" t="str">
        <f>_xlfn.CONCAT(Tableau118[[#This Row],[ID]],"-","Next")</f>
        <v>-Next</v>
      </c>
      <c r="G347" s="64" t="e">
        <f ca="1">_xlfn.CONCAT(Tableau118[[#This Row],[POD]],"-",Tableau118[[#This Row],[Code PFI]],"-",Tableau118[[#This Row],[Compte Site]])</f>
        <v>#N/A</v>
      </c>
      <c r="H34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7" s="117" t="str">
        <f ca="1">IF(COUNTIF(I:I,Tableau118[[#This Row],[Plant-ILN-shipper-POL-Carrier-POD-PFI]])=1,"Non","Oui")</f>
        <v>Oui</v>
      </c>
      <c r="K347" s="126" t="e">
        <f>VLOOKUP(Tableau118[[#This Row],[Name Site]],Plant_AILN!A:D,4,FALSE)</f>
        <v>#N/A</v>
      </c>
      <c r="L347" s="363"/>
      <c r="M347" s="481"/>
      <c r="N347" s="55"/>
      <c r="O347" s="122"/>
      <c r="P347" s="481"/>
      <c r="Q347" s="50"/>
      <c r="R347" s="50"/>
      <c r="S347" s="50"/>
      <c r="T347" s="50"/>
      <c r="U347" s="50"/>
      <c r="V347" s="50"/>
      <c r="W347" s="50"/>
      <c r="X347" s="283"/>
      <c r="Y347" s="489">
        <f>IFERROR(VLOOKUP(Tableau118[[#This Row],[Name Shipper]],Plant_AILN!L:M,2,FALSE),0)</f>
        <v>0</v>
      </c>
      <c r="Z347" s="358"/>
      <c r="AA347" s="353" t="e">
        <f ca="1">VLOOKUP(Tableau118[[#This Row],[Key(ID-Actif)]],'DATA BTO'!A:N,5,FALSE)</f>
        <v>#N/A</v>
      </c>
      <c r="AB347" s="3" t="e">
        <f ca="1">VLOOKUP(Tableau118[[#This Row],[Key(ID-Actif)]],'DATA BTO'!A:N,6,FALSE)</f>
        <v>#N/A</v>
      </c>
      <c r="AC347" s="50" t="e">
        <f ca="1">VLOOKUP(Tableau118[[#This Row],[Key(ID-Actif)]],'DATA BTO'!A:N,7,FALSE)</f>
        <v>#N/A</v>
      </c>
      <c r="AD347" s="50" t="e">
        <f ca="1">VLOOKUP(Tableau118[[#This Row],[Key(ID-Actif)]],'DATA BTO'!A:N,8,FALSE)</f>
        <v>#N/A</v>
      </c>
      <c r="AE347" s="406" t="e">
        <f ca="1">IF(Tableau118[[#This Row],[First Day to POL]]&lt;=Tableau118[[#This Row],[Day Cut Off]],Tableau118[[#This Row],[Day ETD]],Tableau118[[#This Row],[Day ETD]]+7)</f>
        <v>#N/A</v>
      </c>
      <c r="AF347" s="50" t="e">
        <f ca="1">VLOOKUP(Tableau118[[#This Row],[Key(ID-Actif)]],'DATA BTO'!A:N,9,FALSE)</f>
        <v>#N/A</v>
      </c>
      <c r="AG347" s="3" t="e">
        <f ca="1">VLOOKUP(Tableau118[[#This Row],[Key(ID-Actif)]],'DATA BTO'!A:N,10,FALSE)</f>
        <v>#N/A</v>
      </c>
      <c r="AH347" s="3" t="e">
        <f ca="1">VLOOKUP(Tableau118[[#This Row],[Key(ID-Actif)]],'DATA BTO'!A:N,11,FALSE)</f>
        <v>#N/A</v>
      </c>
      <c r="AI347" s="50" t="e">
        <f ca="1">VLOOKUP(Tableau118[[#This Row],[Key(ID-Actif)]],'DATA BTO'!A:N,12,FALSE)</f>
        <v>#N/A</v>
      </c>
      <c r="AJ347" s="53" t="e">
        <f ca="1">VLOOKUP(Tableau118[[#This Row],[Key(ID-Actif)]],'DATA BTO'!A:N,14,FALSE)</f>
        <v>#N/A</v>
      </c>
      <c r="AK347" s="54" t="e">
        <f ca="1">VLOOKUP(Tableau118[[#This Row],[Key(POD -PFI- Usine)]],'DATA Consignee'!A:F,6,FALSE)</f>
        <v>#N/A</v>
      </c>
      <c r="AL347" s="283"/>
      <c r="AM347" s="490" t="str">
        <f>IF(Tableau118[[#This Row],[Name PFI/CDD]]="","-",VLOOKUP(Tableau118[[#This Row],[Name PFI/CDD]],Plant_AILN!I:J,2,FALSE))</f>
        <v>-</v>
      </c>
      <c r="AN34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7" s="2" t="e">
        <f ca="1">VLOOKUP(Tableau118[[#This Row],[Key(POD -PFI- Usine)]],'DATA Consignee'!A:J,10,FALSE)</f>
        <v>#N/A</v>
      </c>
      <c r="AQ347" s="50" t="e">
        <f ca="1">VLOOKUP(Tableau118[[#This Row],[Key(POD -PFI- Usine)]],'DATA Consignee'!A:N,14,FALSE)</f>
        <v>#N/A</v>
      </c>
      <c r="AR34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7" s="50" t="e">
        <f ca="1">Tableau118[[#This Row],[Transit time]]+Tableau118[[#This Row],[Time for security]]+Tableau118[[#This Row],[Time for security2 buffer]]</f>
        <v>#N/A</v>
      </c>
      <c r="AU34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7" s="50" t="e">
        <f ca="1">Tableau118[[#This Row],[Leadtime SI2C]]+Tableau118[[#This Row],[First Receipt Days]]-Tableau118[[#This Row],[Day Customer Order]]+1</f>
        <v>#N/A</v>
      </c>
      <c r="AW347" s="117" t="e">
        <f ca="1">IF(Tableau118[[#This Row],[Name ILN]]&lt;&gt;"SFK Freight Forwarder",Tableau118[[#This Row],[Cust. Leadtime]],Tableau118[[#This Row],[Leadtime SI2C]])</f>
        <v>#N/A</v>
      </c>
      <c r="AX347" s="57" t="e">
        <f>VLOOKUP(Tableau118[[#This Row],[ID]],'DATA BTO'!B:P,15,FALSE)</f>
        <v>#N/A</v>
      </c>
      <c r="AY347" s="328" t="e">
        <f ca="1">IFERROR(VLOOKUP(Tableau118[[#This Row],[Key(ID-Actif)]],'DATA BTO'!A:N,4,FALSE),VLOOKUP(Tableau118[[#This Row],[ID]],'DATA BTO'!B:N,3,FALSE))</f>
        <v>#N/A</v>
      </c>
      <c r="AZ34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7" s="50"/>
    </row>
    <row r="348" spans="2:57">
      <c r="B348" s="405" t="str">
        <f>_xlfn.CONCAT(Tableau118[[#This Row],[Name ILN]],"-",Tableau118[[#This Row],[Name Shipper]],"-",Tableau118[[#This Row],[Name Site]])</f>
        <v>--</v>
      </c>
      <c r="C348" s="64" t="e">
        <f ca="1">_xlfn.CONCAT(Tableau118[[#This Row],[Compte ILN]],"-",Tableau118[[#This Row],[Compte Shipper]],"-",Tableau118[[#This Row],[POL]],"-",Tableau118[[#This Row],[Compte Site]])</f>
        <v>#N/A</v>
      </c>
      <c r="D348" s="64" t="e">
        <f ca="1">_xlfn.CONCAT(Tableau118[[#This Row],[Compte ILN]],"-",Tableau118[[#This Row],[Compte Shipper]],"-",Tableau118[[#This Row],[POL]])</f>
        <v>#N/A</v>
      </c>
      <c r="E348" s="128" t="e">
        <f ca="1">_xlfn.CONCAT(Tableau118[[#This Row],[POL]],"-",Tableau118[[#This Row],[Carrier]],"-",Tableau118[[#This Row],[POD]])</f>
        <v>#N/A</v>
      </c>
      <c r="F348" s="64" t="str">
        <f>_xlfn.CONCAT(Tableau118[[#This Row],[ID]],"-","Next")</f>
        <v>-Next</v>
      </c>
      <c r="G348" s="64" t="e">
        <f ca="1">_xlfn.CONCAT(Tableau118[[#This Row],[POD]],"-",Tableau118[[#This Row],[Code PFI]],"-",Tableau118[[#This Row],[Compte Site]])</f>
        <v>#N/A</v>
      </c>
      <c r="H34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8" s="117" t="str">
        <f ca="1">IF(COUNTIF(I:I,Tableau118[[#This Row],[Plant-ILN-shipper-POL-Carrier-POD-PFI]])=1,"Non","Oui")</f>
        <v>Oui</v>
      </c>
      <c r="K348" s="126" t="e">
        <f>VLOOKUP(Tableau118[[#This Row],[Name Site]],Plant_AILN!A:D,4,FALSE)</f>
        <v>#N/A</v>
      </c>
      <c r="L348" s="363"/>
      <c r="M348" s="481"/>
      <c r="N348" s="55"/>
      <c r="O348" s="122"/>
      <c r="P348" s="481"/>
      <c r="Q348" s="50"/>
      <c r="R348" s="50"/>
      <c r="S348" s="50"/>
      <c r="T348" s="50"/>
      <c r="U348" s="50"/>
      <c r="V348" s="50"/>
      <c r="W348" s="50"/>
      <c r="X348" s="283"/>
      <c r="Y348" s="489">
        <f>IFERROR(VLOOKUP(Tableau118[[#This Row],[Name Shipper]],Plant_AILN!L:M,2,FALSE),0)</f>
        <v>0</v>
      </c>
      <c r="Z348" s="358"/>
      <c r="AA348" s="353" t="e">
        <f ca="1">VLOOKUP(Tableau118[[#This Row],[Key(ID-Actif)]],'DATA BTO'!A:N,5,FALSE)</f>
        <v>#N/A</v>
      </c>
      <c r="AB348" s="3" t="e">
        <f ca="1">VLOOKUP(Tableau118[[#This Row],[Key(ID-Actif)]],'DATA BTO'!A:N,6,FALSE)</f>
        <v>#N/A</v>
      </c>
      <c r="AC348" s="50" t="e">
        <f ca="1">VLOOKUP(Tableau118[[#This Row],[Key(ID-Actif)]],'DATA BTO'!A:N,7,FALSE)</f>
        <v>#N/A</v>
      </c>
      <c r="AD348" s="50" t="e">
        <f ca="1">VLOOKUP(Tableau118[[#This Row],[Key(ID-Actif)]],'DATA BTO'!A:N,8,FALSE)</f>
        <v>#N/A</v>
      </c>
      <c r="AE348" s="406" t="e">
        <f ca="1">IF(Tableau118[[#This Row],[First Day to POL]]&lt;=Tableau118[[#This Row],[Day Cut Off]],Tableau118[[#This Row],[Day ETD]],Tableau118[[#This Row],[Day ETD]]+7)</f>
        <v>#N/A</v>
      </c>
      <c r="AF348" s="50" t="e">
        <f ca="1">VLOOKUP(Tableau118[[#This Row],[Key(ID-Actif)]],'DATA BTO'!A:N,9,FALSE)</f>
        <v>#N/A</v>
      </c>
      <c r="AG348" s="3" t="e">
        <f ca="1">VLOOKUP(Tableau118[[#This Row],[Key(ID-Actif)]],'DATA BTO'!A:N,10,FALSE)</f>
        <v>#N/A</v>
      </c>
      <c r="AH348" s="3" t="e">
        <f ca="1">VLOOKUP(Tableau118[[#This Row],[Key(ID-Actif)]],'DATA BTO'!A:N,11,FALSE)</f>
        <v>#N/A</v>
      </c>
      <c r="AI348" s="50" t="e">
        <f ca="1">VLOOKUP(Tableau118[[#This Row],[Key(ID-Actif)]],'DATA BTO'!A:N,12,FALSE)</f>
        <v>#N/A</v>
      </c>
      <c r="AJ348" s="53" t="e">
        <f ca="1">VLOOKUP(Tableau118[[#This Row],[Key(ID-Actif)]],'DATA BTO'!A:N,14,FALSE)</f>
        <v>#N/A</v>
      </c>
      <c r="AK348" s="54" t="e">
        <f ca="1">VLOOKUP(Tableau118[[#This Row],[Key(POD -PFI- Usine)]],'DATA Consignee'!A:F,6,FALSE)</f>
        <v>#N/A</v>
      </c>
      <c r="AL348" s="283"/>
      <c r="AM348" s="490" t="str">
        <f>IF(Tableau118[[#This Row],[Name PFI/CDD]]="","-",VLOOKUP(Tableau118[[#This Row],[Name PFI/CDD]],Plant_AILN!I:J,2,FALSE))</f>
        <v>-</v>
      </c>
      <c r="AN34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8" s="2" t="e">
        <f ca="1">VLOOKUP(Tableau118[[#This Row],[Key(POD -PFI- Usine)]],'DATA Consignee'!A:J,10,FALSE)</f>
        <v>#N/A</v>
      </c>
      <c r="AQ348" s="50" t="e">
        <f ca="1">VLOOKUP(Tableau118[[#This Row],[Key(POD -PFI- Usine)]],'DATA Consignee'!A:N,14,FALSE)</f>
        <v>#N/A</v>
      </c>
      <c r="AR34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8" s="50" t="e">
        <f ca="1">Tableau118[[#This Row],[Transit time]]+Tableau118[[#This Row],[Time for security]]+Tableau118[[#This Row],[Time for security2 buffer]]</f>
        <v>#N/A</v>
      </c>
      <c r="AU34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8" s="50" t="e">
        <f ca="1">Tableau118[[#This Row],[Leadtime SI2C]]+Tableau118[[#This Row],[First Receipt Days]]-Tableau118[[#This Row],[Day Customer Order]]+1</f>
        <v>#N/A</v>
      </c>
      <c r="AW348" s="117" t="e">
        <f ca="1">IF(Tableau118[[#This Row],[Name ILN]]&lt;&gt;"SFK Freight Forwarder",Tableau118[[#This Row],[Cust. Leadtime]],Tableau118[[#This Row],[Leadtime SI2C]])</f>
        <v>#N/A</v>
      </c>
      <c r="AX348" s="57" t="e">
        <f>VLOOKUP(Tableau118[[#This Row],[ID]],'DATA BTO'!B:P,15,FALSE)</f>
        <v>#N/A</v>
      </c>
      <c r="AY348" s="328" t="e">
        <f ca="1">IFERROR(VLOOKUP(Tableau118[[#This Row],[Key(ID-Actif)]],'DATA BTO'!A:N,4,FALSE),VLOOKUP(Tableau118[[#This Row],[ID]],'DATA BTO'!B:N,3,FALSE))</f>
        <v>#N/A</v>
      </c>
      <c r="AZ34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8" s="50"/>
    </row>
    <row r="349" spans="2:57">
      <c r="B349" s="405" t="str">
        <f>_xlfn.CONCAT(Tableau118[[#This Row],[Name ILN]],"-",Tableau118[[#This Row],[Name Shipper]],"-",Tableau118[[#This Row],[Name Site]])</f>
        <v>--</v>
      </c>
      <c r="C349" s="64" t="e">
        <f ca="1">_xlfn.CONCAT(Tableau118[[#This Row],[Compte ILN]],"-",Tableau118[[#This Row],[Compte Shipper]],"-",Tableau118[[#This Row],[POL]],"-",Tableau118[[#This Row],[Compte Site]])</f>
        <v>#N/A</v>
      </c>
      <c r="D349" s="64" t="e">
        <f ca="1">_xlfn.CONCAT(Tableau118[[#This Row],[Compte ILN]],"-",Tableau118[[#This Row],[Compte Shipper]],"-",Tableau118[[#This Row],[POL]])</f>
        <v>#N/A</v>
      </c>
      <c r="E349" s="128" t="e">
        <f ca="1">_xlfn.CONCAT(Tableau118[[#This Row],[POL]],"-",Tableau118[[#This Row],[Carrier]],"-",Tableau118[[#This Row],[POD]])</f>
        <v>#N/A</v>
      </c>
      <c r="F349" s="64" t="str">
        <f>_xlfn.CONCAT(Tableau118[[#This Row],[ID]],"-","Next")</f>
        <v>-Next</v>
      </c>
      <c r="G349" s="64" t="e">
        <f ca="1">_xlfn.CONCAT(Tableau118[[#This Row],[POD]],"-",Tableau118[[#This Row],[Code PFI]],"-",Tableau118[[#This Row],[Compte Site]])</f>
        <v>#N/A</v>
      </c>
      <c r="H34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4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49" s="117" t="str">
        <f ca="1">IF(COUNTIF(I:I,Tableau118[[#This Row],[Plant-ILN-shipper-POL-Carrier-POD-PFI]])=1,"Non","Oui")</f>
        <v>Oui</v>
      </c>
      <c r="K349" s="126" t="e">
        <f>VLOOKUP(Tableau118[[#This Row],[Name Site]],Plant_AILN!A:D,4,FALSE)</f>
        <v>#N/A</v>
      </c>
      <c r="L349" s="363"/>
      <c r="M349" s="481"/>
      <c r="N349" s="55"/>
      <c r="O349" s="122"/>
      <c r="P349" s="481"/>
      <c r="Q349" s="50"/>
      <c r="R349" s="50"/>
      <c r="S349" s="50"/>
      <c r="T349" s="50"/>
      <c r="U349" s="50"/>
      <c r="V349" s="50"/>
      <c r="W349" s="50"/>
      <c r="X349" s="283"/>
      <c r="Y349" s="489">
        <f>IFERROR(VLOOKUP(Tableau118[[#This Row],[Name Shipper]],Plant_AILN!L:M,2,FALSE),0)</f>
        <v>0</v>
      </c>
      <c r="Z349" s="358"/>
      <c r="AA349" s="353" t="e">
        <f ca="1">VLOOKUP(Tableau118[[#This Row],[Key(ID-Actif)]],'DATA BTO'!A:N,5,FALSE)</f>
        <v>#N/A</v>
      </c>
      <c r="AB349" s="3" t="e">
        <f ca="1">VLOOKUP(Tableau118[[#This Row],[Key(ID-Actif)]],'DATA BTO'!A:N,6,FALSE)</f>
        <v>#N/A</v>
      </c>
      <c r="AC349" s="50" t="e">
        <f ca="1">VLOOKUP(Tableau118[[#This Row],[Key(ID-Actif)]],'DATA BTO'!A:N,7,FALSE)</f>
        <v>#N/A</v>
      </c>
      <c r="AD349" s="50" t="e">
        <f ca="1">VLOOKUP(Tableau118[[#This Row],[Key(ID-Actif)]],'DATA BTO'!A:N,8,FALSE)</f>
        <v>#N/A</v>
      </c>
      <c r="AE349" s="406" t="e">
        <f ca="1">IF(Tableau118[[#This Row],[First Day to POL]]&lt;=Tableau118[[#This Row],[Day Cut Off]],Tableau118[[#This Row],[Day ETD]],Tableau118[[#This Row],[Day ETD]]+7)</f>
        <v>#N/A</v>
      </c>
      <c r="AF349" s="50" t="e">
        <f ca="1">VLOOKUP(Tableau118[[#This Row],[Key(ID-Actif)]],'DATA BTO'!A:N,9,FALSE)</f>
        <v>#N/A</v>
      </c>
      <c r="AG349" s="3" t="e">
        <f ca="1">VLOOKUP(Tableau118[[#This Row],[Key(ID-Actif)]],'DATA BTO'!A:N,10,FALSE)</f>
        <v>#N/A</v>
      </c>
      <c r="AH349" s="3" t="e">
        <f ca="1">VLOOKUP(Tableau118[[#This Row],[Key(ID-Actif)]],'DATA BTO'!A:N,11,FALSE)</f>
        <v>#N/A</v>
      </c>
      <c r="AI349" s="50" t="e">
        <f ca="1">VLOOKUP(Tableau118[[#This Row],[Key(ID-Actif)]],'DATA BTO'!A:N,12,FALSE)</f>
        <v>#N/A</v>
      </c>
      <c r="AJ349" s="53" t="e">
        <f ca="1">VLOOKUP(Tableau118[[#This Row],[Key(ID-Actif)]],'DATA BTO'!A:N,14,FALSE)</f>
        <v>#N/A</v>
      </c>
      <c r="AK349" s="54" t="e">
        <f ca="1">VLOOKUP(Tableau118[[#This Row],[Key(POD -PFI- Usine)]],'DATA Consignee'!A:F,6,FALSE)</f>
        <v>#N/A</v>
      </c>
      <c r="AL349" s="283"/>
      <c r="AM349" s="490" t="str">
        <f>IF(Tableau118[[#This Row],[Name PFI/CDD]]="","-",VLOOKUP(Tableau118[[#This Row],[Name PFI/CDD]],Plant_AILN!I:J,2,FALSE))</f>
        <v>-</v>
      </c>
      <c r="AN34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4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49" s="2" t="e">
        <f ca="1">VLOOKUP(Tableau118[[#This Row],[Key(POD -PFI- Usine)]],'DATA Consignee'!A:J,10,FALSE)</f>
        <v>#N/A</v>
      </c>
      <c r="AQ349" s="50" t="e">
        <f ca="1">VLOOKUP(Tableau118[[#This Row],[Key(POD -PFI- Usine)]],'DATA Consignee'!A:N,14,FALSE)</f>
        <v>#N/A</v>
      </c>
      <c r="AR34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4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49" s="50" t="e">
        <f ca="1">Tableau118[[#This Row],[Transit time]]+Tableau118[[#This Row],[Time for security]]+Tableau118[[#This Row],[Time for security2 buffer]]</f>
        <v>#N/A</v>
      </c>
      <c r="AU34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49" s="50" t="e">
        <f ca="1">Tableau118[[#This Row],[Leadtime SI2C]]+Tableau118[[#This Row],[First Receipt Days]]-Tableau118[[#This Row],[Day Customer Order]]+1</f>
        <v>#N/A</v>
      </c>
      <c r="AW349" s="117" t="e">
        <f ca="1">IF(Tableau118[[#This Row],[Name ILN]]&lt;&gt;"SFK Freight Forwarder",Tableau118[[#This Row],[Cust. Leadtime]],Tableau118[[#This Row],[Leadtime SI2C]])</f>
        <v>#N/A</v>
      </c>
      <c r="AX349" s="57" t="e">
        <f>VLOOKUP(Tableau118[[#This Row],[ID]],'DATA BTO'!B:P,15,FALSE)</f>
        <v>#N/A</v>
      </c>
      <c r="AY349" s="328" t="e">
        <f ca="1">IFERROR(VLOOKUP(Tableau118[[#This Row],[Key(ID-Actif)]],'DATA BTO'!A:N,4,FALSE),VLOOKUP(Tableau118[[#This Row],[ID]],'DATA BTO'!B:N,3,FALSE))</f>
        <v>#N/A</v>
      </c>
      <c r="AZ34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4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4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4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4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49" s="50"/>
    </row>
    <row r="350" spans="2:57">
      <c r="B350" s="405" t="str">
        <f>_xlfn.CONCAT(Tableau118[[#This Row],[Name ILN]],"-",Tableau118[[#This Row],[Name Shipper]],"-",Tableau118[[#This Row],[Name Site]])</f>
        <v>--</v>
      </c>
      <c r="C350" s="64" t="e">
        <f ca="1">_xlfn.CONCAT(Tableau118[[#This Row],[Compte ILN]],"-",Tableau118[[#This Row],[Compte Shipper]],"-",Tableau118[[#This Row],[POL]],"-",Tableau118[[#This Row],[Compte Site]])</f>
        <v>#N/A</v>
      </c>
      <c r="D350" s="64" t="e">
        <f ca="1">_xlfn.CONCAT(Tableau118[[#This Row],[Compte ILN]],"-",Tableau118[[#This Row],[Compte Shipper]],"-",Tableau118[[#This Row],[POL]])</f>
        <v>#N/A</v>
      </c>
      <c r="E350" s="128" t="e">
        <f ca="1">_xlfn.CONCAT(Tableau118[[#This Row],[POL]],"-",Tableau118[[#This Row],[Carrier]],"-",Tableau118[[#This Row],[POD]])</f>
        <v>#N/A</v>
      </c>
      <c r="F350" s="64" t="str">
        <f>_xlfn.CONCAT(Tableau118[[#This Row],[ID]],"-","Next")</f>
        <v>-Next</v>
      </c>
      <c r="G350" s="64" t="e">
        <f ca="1">_xlfn.CONCAT(Tableau118[[#This Row],[POD]],"-",Tableau118[[#This Row],[Code PFI]],"-",Tableau118[[#This Row],[Compte Site]])</f>
        <v>#N/A</v>
      </c>
      <c r="H35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0" s="117" t="str">
        <f ca="1">IF(COUNTIF(I:I,Tableau118[[#This Row],[Plant-ILN-shipper-POL-Carrier-POD-PFI]])=1,"Non","Oui")</f>
        <v>Oui</v>
      </c>
      <c r="K350" s="126" t="e">
        <f>VLOOKUP(Tableau118[[#This Row],[Name Site]],Plant_AILN!A:D,4,FALSE)</f>
        <v>#N/A</v>
      </c>
      <c r="L350" s="363"/>
      <c r="M350" s="481"/>
      <c r="N350" s="55"/>
      <c r="O350" s="122"/>
      <c r="P350" s="481"/>
      <c r="Q350" s="50"/>
      <c r="R350" s="50"/>
      <c r="S350" s="50"/>
      <c r="T350" s="50"/>
      <c r="U350" s="50"/>
      <c r="V350" s="50"/>
      <c r="W350" s="50"/>
      <c r="X350" s="283"/>
      <c r="Y350" s="489">
        <f>IFERROR(VLOOKUP(Tableau118[[#This Row],[Name Shipper]],Plant_AILN!L:M,2,FALSE),0)</f>
        <v>0</v>
      </c>
      <c r="Z350" s="358"/>
      <c r="AA350" s="353" t="e">
        <f ca="1">VLOOKUP(Tableau118[[#This Row],[Key(ID-Actif)]],'DATA BTO'!A:N,5,FALSE)</f>
        <v>#N/A</v>
      </c>
      <c r="AB350" s="3" t="e">
        <f ca="1">VLOOKUP(Tableau118[[#This Row],[Key(ID-Actif)]],'DATA BTO'!A:N,6,FALSE)</f>
        <v>#N/A</v>
      </c>
      <c r="AC350" s="50" t="e">
        <f ca="1">VLOOKUP(Tableau118[[#This Row],[Key(ID-Actif)]],'DATA BTO'!A:N,7,FALSE)</f>
        <v>#N/A</v>
      </c>
      <c r="AD350" s="50" t="e">
        <f ca="1">VLOOKUP(Tableau118[[#This Row],[Key(ID-Actif)]],'DATA BTO'!A:N,8,FALSE)</f>
        <v>#N/A</v>
      </c>
      <c r="AE350" s="406" t="e">
        <f ca="1">IF(Tableau118[[#This Row],[First Day to POL]]&lt;=Tableau118[[#This Row],[Day Cut Off]],Tableau118[[#This Row],[Day ETD]],Tableau118[[#This Row],[Day ETD]]+7)</f>
        <v>#N/A</v>
      </c>
      <c r="AF350" s="50" t="e">
        <f ca="1">VLOOKUP(Tableau118[[#This Row],[Key(ID-Actif)]],'DATA BTO'!A:N,9,FALSE)</f>
        <v>#N/A</v>
      </c>
      <c r="AG350" s="3" t="e">
        <f ca="1">VLOOKUP(Tableau118[[#This Row],[Key(ID-Actif)]],'DATA BTO'!A:N,10,FALSE)</f>
        <v>#N/A</v>
      </c>
      <c r="AH350" s="3" t="e">
        <f ca="1">VLOOKUP(Tableau118[[#This Row],[Key(ID-Actif)]],'DATA BTO'!A:N,11,FALSE)</f>
        <v>#N/A</v>
      </c>
      <c r="AI350" s="50" t="e">
        <f ca="1">VLOOKUP(Tableau118[[#This Row],[Key(ID-Actif)]],'DATA BTO'!A:N,12,FALSE)</f>
        <v>#N/A</v>
      </c>
      <c r="AJ350" s="53" t="e">
        <f ca="1">VLOOKUP(Tableau118[[#This Row],[Key(ID-Actif)]],'DATA BTO'!A:N,14,FALSE)</f>
        <v>#N/A</v>
      </c>
      <c r="AK350" s="54" t="e">
        <f ca="1">VLOOKUP(Tableau118[[#This Row],[Key(POD -PFI- Usine)]],'DATA Consignee'!A:F,6,FALSE)</f>
        <v>#N/A</v>
      </c>
      <c r="AL350" s="283"/>
      <c r="AM350" s="490" t="str">
        <f>IF(Tableau118[[#This Row],[Name PFI/CDD]]="","-",VLOOKUP(Tableau118[[#This Row],[Name PFI/CDD]],Plant_AILN!I:J,2,FALSE))</f>
        <v>-</v>
      </c>
      <c r="AN35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0" s="2" t="e">
        <f ca="1">VLOOKUP(Tableau118[[#This Row],[Key(POD -PFI- Usine)]],'DATA Consignee'!A:J,10,FALSE)</f>
        <v>#N/A</v>
      </c>
      <c r="AQ350" s="50" t="e">
        <f ca="1">VLOOKUP(Tableau118[[#This Row],[Key(POD -PFI- Usine)]],'DATA Consignee'!A:N,14,FALSE)</f>
        <v>#N/A</v>
      </c>
      <c r="AR35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0" s="50" t="e">
        <f ca="1">Tableau118[[#This Row],[Transit time]]+Tableau118[[#This Row],[Time for security]]+Tableau118[[#This Row],[Time for security2 buffer]]</f>
        <v>#N/A</v>
      </c>
      <c r="AU35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0" s="50" t="e">
        <f ca="1">Tableau118[[#This Row],[Leadtime SI2C]]+Tableau118[[#This Row],[First Receipt Days]]-Tableau118[[#This Row],[Day Customer Order]]+1</f>
        <v>#N/A</v>
      </c>
      <c r="AW350" s="117" t="e">
        <f ca="1">IF(Tableau118[[#This Row],[Name ILN]]&lt;&gt;"SFK Freight Forwarder",Tableau118[[#This Row],[Cust. Leadtime]],Tableau118[[#This Row],[Leadtime SI2C]])</f>
        <v>#N/A</v>
      </c>
      <c r="AX350" s="57" t="e">
        <f>VLOOKUP(Tableau118[[#This Row],[ID]],'DATA BTO'!B:P,15,FALSE)</f>
        <v>#N/A</v>
      </c>
      <c r="AY350" s="328" t="e">
        <f ca="1">IFERROR(VLOOKUP(Tableau118[[#This Row],[Key(ID-Actif)]],'DATA BTO'!A:N,4,FALSE),VLOOKUP(Tableau118[[#This Row],[ID]],'DATA BTO'!B:N,3,FALSE))</f>
        <v>#N/A</v>
      </c>
      <c r="AZ35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0" s="50"/>
    </row>
    <row r="351" spans="2:57">
      <c r="B351" s="405" t="str">
        <f>_xlfn.CONCAT(Tableau118[[#This Row],[Name ILN]],"-",Tableau118[[#This Row],[Name Shipper]],"-",Tableau118[[#This Row],[Name Site]])</f>
        <v>--</v>
      </c>
      <c r="C351" s="64" t="e">
        <f ca="1">_xlfn.CONCAT(Tableau118[[#This Row],[Compte ILN]],"-",Tableau118[[#This Row],[Compte Shipper]],"-",Tableau118[[#This Row],[POL]],"-",Tableau118[[#This Row],[Compte Site]])</f>
        <v>#N/A</v>
      </c>
      <c r="D351" s="64" t="e">
        <f ca="1">_xlfn.CONCAT(Tableau118[[#This Row],[Compte ILN]],"-",Tableau118[[#This Row],[Compte Shipper]],"-",Tableau118[[#This Row],[POL]])</f>
        <v>#N/A</v>
      </c>
      <c r="E351" s="128" t="e">
        <f ca="1">_xlfn.CONCAT(Tableau118[[#This Row],[POL]],"-",Tableau118[[#This Row],[Carrier]],"-",Tableau118[[#This Row],[POD]])</f>
        <v>#N/A</v>
      </c>
      <c r="F351" s="64" t="str">
        <f>_xlfn.CONCAT(Tableau118[[#This Row],[ID]],"-","Next")</f>
        <v>-Next</v>
      </c>
      <c r="G351" s="64" t="e">
        <f ca="1">_xlfn.CONCAT(Tableau118[[#This Row],[POD]],"-",Tableau118[[#This Row],[Code PFI]],"-",Tableau118[[#This Row],[Compte Site]])</f>
        <v>#N/A</v>
      </c>
      <c r="H35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1" s="117" t="str">
        <f ca="1">IF(COUNTIF(I:I,Tableau118[[#This Row],[Plant-ILN-shipper-POL-Carrier-POD-PFI]])=1,"Non","Oui")</f>
        <v>Oui</v>
      </c>
      <c r="K351" s="126" t="e">
        <f>VLOOKUP(Tableau118[[#This Row],[Name Site]],Plant_AILN!A:D,4,FALSE)</f>
        <v>#N/A</v>
      </c>
      <c r="L351" s="363"/>
      <c r="M351" s="481"/>
      <c r="N351" s="55"/>
      <c r="O351" s="122"/>
      <c r="P351" s="481"/>
      <c r="Q351" s="50"/>
      <c r="R351" s="50"/>
      <c r="S351" s="50"/>
      <c r="T351" s="50"/>
      <c r="U351" s="50"/>
      <c r="V351" s="50"/>
      <c r="W351" s="50"/>
      <c r="X351" s="283"/>
      <c r="Y351" s="489">
        <f>IFERROR(VLOOKUP(Tableau118[[#This Row],[Name Shipper]],Plant_AILN!L:M,2,FALSE),0)</f>
        <v>0</v>
      </c>
      <c r="Z351" s="358"/>
      <c r="AA351" s="353" t="e">
        <f ca="1">VLOOKUP(Tableau118[[#This Row],[Key(ID-Actif)]],'DATA BTO'!A:N,5,FALSE)</f>
        <v>#N/A</v>
      </c>
      <c r="AB351" s="3" t="e">
        <f ca="1">VLOOKUP(Tableau118[[#This Row],[Key(ID-Actif)]],'DATA BTO'!A:N,6,FALSE)</f>
        <v>#N/A</v>
      </c>
      <c r="AC351" s="50" t="e">
        <f ca="1">VLOOKUP(Tableau118[[#This Row],[Key(ID-Actif)]],'DATA BTO'!A:N,7,FALSE)</f>
        <v>#N/A</v>
      </c>
      <c r="AD351" s="50" t="e">
        <f ca="1">VLOOKUP(Tableau118[[#This Row],[Key(ID-Actif)]],'DATA BTO'!A:N,8,FALSE)</f>
        <v>#N/A</v>
      </c>
      <c r="AE351" s="406" t="e">
        <f ca="1">IF(Tableau118[[#This Row],[First Day to POL]]&lt;=Tableau118[[#This Row],[Day Cut Off]],Tableau118[[#This Row],[Day ETD]],Tableau118[[#This Row],[Day ETD]]+7)</f>
        <v>#N/A</v>
      </c>
      <c r="AF351" s="50" t="e">
        <f ca="1">VLOOKUP(Tableau118[[#This Row],[Key(ID-Actif)]],'DATA BTO'!A:N,9,FALSE)</f>
        <v>#N/A</v>
      </c>
      <c r="AG351" s="3" t="e">
        <f ca="1">VLOOKUP(Tableau118[[#This Row],[Key(ID-Actif)]],'DATA BTO'!A:N,10,FALSE)</f>
        <v>#N/A</v>
      </c>
      <c r="AH351" s="3" t="e">
        <f ca="1">VLOOKUP(Tableau118[[#This Row],[Key(ID-Actif)]],'DATA BTO'!A:N,11,FALSE)</f>
        <v>#N/A</v>
      </c>
      <c r="AI351" s="50" t="e">
        <f ca="1">VLOOKUP(Tableau118[[#This Row],[Key(ID-Actif)]],'DATA BTO'!A:N,12,FALSE)</f>
        <v>#N/A</v>
      </c>
      <c r="AJ351" s="53" t="e">
        <f ca="1">VLOOKUP(Tableau118[[#This Row],[Key(ID-Actif)]],'DATA BTO'!A:N,14,FALSE)</f>
        <v>#N/A</v>
      </c>
      <c r="AK351" s="54" t="e">
        <f ca="1">VLOOKUP(Tableau118[[#This Row],[Key(POD -PFI- Usine)]],'DATA Consignee'!A:F,6,FALSE)</f>
        <v>#N/A</v>
      </c>
      <c r="AL351" s="283"/>
      <c r="AM351" s="490" t="str">
        <f>IF(Tableau118[[#This Row],[Name PFI/CDD]]="","-",VLOOKUP(Tableau118[[#This Row],[Name PFI/CDD]],Plant_AILN!I:J,2,FALSE))</f>
        <v>-</v>
      </c>
      <c r="AN35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1" s="2" t="e">
        <f ca="1">VLOOKUP(Tableau118[[#This Row],[Key(POD -PFI- Usine)]],'DATA Consignee'!A:J,10,FALSE)</f>
        <v>#N/A</v>
      </c>
      <c r="AQ351" s="50" t="e">
        <f ca="1">VLOOKUP(Tableau118[[#This Row],[Key(POD -PFI- Usine)]],'DATA Consignee'!A:N,14,FALSE)</f>
        <v>#N/A</v>
      </c>
      <c r="AR35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1" s="50" t="e">
        <f ca="1">Tableau118[[#This Row],[Transit time]]+Tableau118[[#This Row],[Time for security]]+Tableau118[[#This Row],[Time for security2 buffer]]</f>
        <v>#N/A</v>
      </c>
      <c r="AU35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1" s="50" t="e">
        <f ca="1">Tableau118[[#This Row],[Leadtime SI2C]]+Tableau118[[#This Row],[First Receipt Days]]-Tableau118[[#This Row],[Day Customer Order]]+1</f>
        <v>#N/A</v>
      </c>
      <c r="AW351" s="117" t="e">
        <f ca="1">IF(Tableau118[[#This Row],[Name ILN]]&lt;&gt;"SFK Freight Forwarder",Tableau118[[#This Row],[Cust. Leadtime]],Tableau118[[#This Row],[Leadtime SI2C]])</f>
        <v>#N/A</v>
      </c>
      <c r="AX351" s="57" t="e">
        <f>VLOOKUP(Tableau118[[#This Row],[ID]],'DATA BTO'!B:P,15,FALSE)</f>
        <v>#N/A</v>
      </c>
      <c r="AY351" s="328" t="e">
        <f ca="1">IFERROR(VLOOKUP(Tableau118[[#This Row],[Key(ID-Actif)]],'DATA BTO'!A:N,4,FALSE),VLOOKUP(Tableau118[[#This Row],[ID]],'DATA BTO'!B:N,3,FALSE))</f>
        <v>#N/A</v>
      </c>
      <c r="AZ35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1" s="50"/>
    </row>
    <row r="352" spans="2:57">
      <c r="B352" s="405" t="str">
        <f>_xlfn.CONCAT(Tableau118[[#This Row],[Name ILN]],"-",Tableau118[[#This Row],[Name Shipper]],"-",Tableau118[[#This Row],[Name Site]])</f>
        <v>--</v>
      </c>
      <c r="C352" s="64" t="e">
        <f ca="1">_xlfn.CONCAT(Tableau118[[#This Row],[Compte ILN]],"-",Tableau118[[#This Row],[Compte Shipper]],"-",Tableau118[[#This Row],[POL]],"-",Tableau118[[#This Row],[Compte Site]])</f>
        <v>#N/A</v>
      </c>
      <c r="D352" s="64" t="e">
        <f ca="1">_xlfn.CONCAT(Tableau118[[#This Row],[Compte ILN]],"-",Tableau118[[#This Row],[Compte Shipper]],"-",Tableau118[[#This Row],[POL]])</f>
        <v>#N/A</v>
      </c>
      <c r="E352" s="128" t="e">
        <f ca="1">_xlfn.CONCAT(Tableau118[[#This Row],[POL]],"-",Tableau118[[#This Row],[Carrier]],"-",Tableau118[[#This Row],[POD]])</f>
        <v>#N/A</v>
      </c>
      <c r="F352" s="64" t="str">
        <f>_xlfn.CONCAT(Tableau118[[#This Row],[ID]],"-","Next")</f>
        <v>-Next</v>
      </c>
      <c r="G352" s="64" t="e">
        <f ca="1">_xlfn.CONCAT(Tableau118[[#This Row],[POD]],"-",Tableau118[[#This Row],[Code PFI]],"-",Tableau118[[#This Row],[Compte Site]])</f>
        <v>#N/A</v>
      </c>
      <c r="H35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2" s="117" t="str">
        <f ca="1">IF(COUNTIF(I:I,Tableau118[[#This Row],[Plant-ILN-shipper-POL-Carrier-POD-PFI]])=1,"Non","Oui")</f>
        <v>Oui</v>
      </c>
      <c r="K352" s="126" t="e">
        <f>VLOOKUP(Tableau118[[#This Row],[Name Site]],Plant_AILN!A:D,4,FALSE)</f>
        <v>#N/A</v>
      </c>
      <c r="L352" s="363"/>
      <c r="M352" s="481"/>
      <c r="N352" s="55"/>
      <c r="O352" s="122"/>
      <c r="P352" s="481"/>
      <c r="Q352" s="50"/>
      <c r="R352" s="50"/>
      <c r="S352" s="50"/>
      <c r="T352" s="50"/>
      <c r="U352" s="50"/>
      <c r="V352" s="50"/>
      <c r="W352" s="50"/>
      <c r="X352" s="283"/>
      <c r="Y352" s="489">
        <f>IFERROR(VLOOKUP(Tableau118[[#This Row],[Name Shipper]],Plant_AILN!L:M,2,FALSE),0)</f>
        <v>0</v>
      </c>
      <c r="Z352" s="358"/>
      <c r="AA352" s="353" t="e">
        <f ca="1">VLOOKUP(Tableau118[[#This Row],[Key(ID-Actif)]],'DATA BTO'!A:N,5,FALSE)</f>
        <v>#N/A</v>
      </c>
      <c r="AB352" s="3" t="e">
        <f ca="1">VLOOKUP(Tableau118[[#This Row],[Key(ID-Actif)]],'DATA BTO'!A:N,6,FALSE)</f>
        <v>#N/A</v>
      </c>
      <c r="AC352" s="50" t="e">
        <f ca="1">VLOOKUP(Tableau118[[#This Row],[Key(ID-Actif)]],'DATA BTO'!A:N,7,FALSE)</f>
        <v>#N/A</v>
      </c>
      <c r="AD352" s="50" t="e">
        <f ca="1">VLOOKUP(Tableau118[[#This Row],[Key(ID-Actif)]],'DATA BTO'!A:N,8,FALSE)</f>
        <v>#N/A</v>
      </c>
      <c r="AE352" s="406" t="e">
        <f ca="1">IF(Tableau118[[#This Row],[First Day to POL]]&lt;=Tableau118[[#This Row],[Day Cut Off]],Tableau118[[#This Row],[Day ETD]],Tableau118[[#This Row],[Day ETD]]+7)</f>
        <v>#N/A</v>
      </c>
      <c r="AF352" s="50" t="e">
        <f ca="1">VLOOKUP(Tableau118[[#This Row],[Key(ID-Actif)]],'DATA BTO'!A:N,9,FALSE)</f>
        <v>#N/A</v>
      </c>
      <c r="AG352" s="3" t="e">
        <f ca="1">VLOOKUP(Tableau118[[#This Row],[Key(ID-Actif)]],'DATA BTO'!A:N,10,FALSE)</f>
        <v>#N/A</v>
      </c>
      <c r="AH352" s="3" t="e">
        <f ca="1">VLOOKUP(Tableau118[[#This Row],[Key(ID-Actif)]],'DATA BTO'!A:N,11,FALSE)</f>
        <v>#N/A</v>
      </c>
      <c r="AI352" s="50" t="e">
        <f ca="1">VLOOKUP(Tableau118[[#This Row],[Key(ID-Actif)]],'DATA BTO'!A:N,12,FALSE)</f>
        <v>#N/A</v>
      </c>
      <c r="AJ352" s="53" t="e">
        <f ca="1">VLOOKUP(Tableau118[[#This Row],[Key(ID-Actif)]],'DATA BTO'!A:N,14,FALSE)</f>
        <v>#N/A</v>
      </c>
      <c r="AK352" s="54" t="e">
        <f ca="1">VLOOKUP(Tableau118[[#This Row],[Key(POD -PFI- Usine)]],'DATA Consignee'!A:F,6,FALSE)</f>
        <v>#N/A</v>
      </c>
      <c r="AL352" s="283"/>
      <c r="AM352" s="490" t="str">
        <f>IF(Tableau118[[#This Row],[Name PFI/CDD]]="","-",VLOOKUP(Tableau118[[#This Row],[Name PFI/CDD]],Plant_AILN!I:J,2,FALSE))</f>
        <v>-</v>
      </c>
      <c r="AN35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2" s="2" t="e">
        <f ca="1">VLOOKUP(Tableau118[[#This Row],[Key(POD -PFI- Usine)]],'DATA Consignee'!A:J,10,FALSE)</f>
        <v>#N/A</v>
      </c>
      <c r="AQ352" s="50" t="e">
        <f ca="1">VLOOKUP(Tableau118[[#This Row],[Key(POD -PFI- Usine)]],'DATA Consignee'!A:N,14,FALSE)</f>
        <v>#N/A</v>
      </c>
      <c r="AR35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2" s="50" t="e">
        <f ca="1">Tableau118[[#This Row],[Transit time]]+Tableau118[[#This Row],[Time for security]]+Tableau118[[#This Row],[Time for security2 buffer]]</f>
        <v>#N/A</v>
      </c>
      <c r="AU35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2" s="50" t="e">
        <f ca="1">Tableau118[[#This Row],[Leadtime SI2C]]+Tableau118[[#This Row],[First Receipt Days]]-Tableau118[[#This Row],[Day Customer Order]]+1</f>
        <v>#N/A</v>
      </c>
      <c r="AW352" s="117" t="e">
        <f ca="1">IF(Tableau118[[#This Row],[Name ILN]]&lt;&gt;"SFK Freight Forwarder",Tableau118[[#This Row],[Cust. Leadtime]],Tableau118[[#This Row],[Leadtime SI2C]])</f>
        <v>#N/A</v>
      </c>
      <c r="AX352" s="57" t="e">
        <f>VLOOKUP(Tableau118[[#This Row],[ID]],'DATA BTO'!B:P,15,FALSE)</f>
        <v>#N/A</v>
      </c>
      <c r="AY352" s="328" t="e">
        <f ca="1">IFERROR(VLOOKUP(Tableau118[[#This Row],[Key(ID-Actif)]],'DATA BTO'!A:N,4,FALSE),VLOOKUP(Tableau118[[#This Row],[ID]],'DATA BTO'!B:N,3,FALSE))</f>
        <v>#N/A</v>
      </c>
      <c r="AZ35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2" s="50"/>
    </row>
    <row r="353" spans="2:57">
      <c r="B353" s="405" t="str">
        <f>_xlfn.CONCAT(Tableau118[[#This Row],[Name ILN]],"-",Tableau118[[#This Row],[Name Shipper]],"-",Tableau118[[#This Row],[Name Site]])</f>
        <v>--</v>
      </c>
      <c r="C353" s="64" t="e">
        <f ca="1">_xlfn.CONCAT(Tableau118[[#This Row],[Compte ILN]],"-",Tableau118[[#This Row],[Compte Shipper]],"-",Tableau118[[#This Row],[POL]],"-",Tableau118[[#This Row],[Compte Site]])</f>
        <v>#N/A</v>
      </c>
      <c r="D353" s="64" t="e">
        <f ca="1">_xlfn.CONCAT(Tableau118[[#This Row],[Compte ILN]],"-",Tableau118[[#This Row],[Compte Shipper]],"-",Tableau118[[#This Row],[POL]])</f>
        <v>#N/A</v>
      </c>
      <c r="E353" s="128" t="e">
        <f ca="1">_xlfn.CONCAT(Tableau118[[#This Row],[POL]],"-",Tableau118[[#This Row],[Carrier]],"-",Tableau118[[#This Row],[POD]])</f>
        <v>#N/A</v>
      </c>
      <c r="F353" s="64" t="str">
        <f>_xlfn.CONCAT(Tableau118[[#This Row],[ID]],"-","Next")</f>
        <v>-Next</v>
      </c>
      <c r="G353" s="64" t="e">
        <f ca="1">_xlfn.CONCAT(Tableau118[[#This Row],[POD]],"-",Tableau118[[#This Row],[Code PFI]],"-",Tableau118[[#This Row],[Compte Site]])</f>
        <v>#N/A</v>
      </c>
      <c r="H35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3" s="117" t="str">
        <f ca="1">IF(COUNTIF(I:I,Tableau118[[#This Row],[Plant-ILN-shipper-POL-Carrier-POD-PFI]])=1,"Non","Oui")</f>
        <v>Oui</v>
      </c>
      <c r="K353" s="126" t="e">
        <f>VLOOKUP(Tableau118[[#This Row],[Name Site]],Plant_AILN!A:D,4,FALSE)</f>
        <v>#N/A</v>
      </c>
      <c r="L353" s="363"/>
      <c r="M353" s="481"/>
      <c r="N353" s="55"/>
      <c r="O353" s="122"/>
      <c r="P353" s="481"/>
      <c r="Q353" s="50"/>
      <c r="R353" s="50"/>
      <c r="S353" s="50"/>
      <c r="T353" s="50"/>
      <c r="U353" s="50"/>
      <c r="V353" s="50"/>
      <c r="W353" s="50"/>
      <c r="X353" s="283"/>
      <c r="Y353" s="489">
        <f>IFERROR(VLOOKUP(Tableau118[[#This Row],[Name Shipper]],Plant_AILN!L:M,2,FALSE),0)</f>
        <v>0</v>
      </c>
      <c r="Z353" s="358"/>
      <c r="AA353" s="353" t="e">
        <f ca="1">VLOOKUP(Tableau118[[#This Row],[Key(ID-Actif)]],'DATA BTO'!A:N,5,FALSE)</f>
        <v>#N/A</v>
      </c>
      <c r="AB353" s="3" t="e">
        <f ca="1">VLOOKUP(Tableau118[[#This Row],[Key(ID-Actif)]],'DATA BTO'!A:N,6,FALSE)</f>
        <v>#N/A</v>
      </c>
      <c r="AC353" s="50" t="e">
        <f ca="1">VLOOKUP(Tableau118[[#This Row],[Key(ID-Actif)]],'DATA BTO'!A:N,7,FALSE)</f>
        <v>#N/A</v>
      </c>
      <c r="AD353" s="50" t="e">
        <f ca="1">VLOOKUP(Tableau118[[#This Row],[Key(ID-Actif)]],'DATA BTO'!A:N,8,FALSE)</f>
        <v>#N/A</v>
      </c>
      <c r="AE353" s="406" t="e">
        <f ca="1">IF(Tableau118[[#This Row],[First Day to POL]]&lt;=Tableau118[[#This Row],[Day Cut Off]],Tableau118[[#This Row],[Day ETD]],Tableau118[[#This Row],[Day ETD]]+7)</f>
        <v>#N/A</v>
      </c>
      <c r="AF353" s="50" t="e">
        <f ca="1">VLOOKUP(Tableau118[[#This Row],[Key(ID-Actif)]],'DATA BTO'!A:N,9,FALSE)</f>
        <v>#N/A</v>
      </c>
      <c r="AG353" s="3" t="e">
        <f ca="1">VLOOKUP(Tableau118[[#This Row],[Key(ID-Actif)]],'DATA BTO'!A:N,10,FALSE)</f>
        <v>#N/A</v>
      </c>
      <c r="AH353" s="3" t="e">
        <f ca="1">VLOOKUP(Tableau118[[#This Row],[Key(ID-Actif)]],'DATA BTO'!A:N,11,FALSE)</f>
        <v>#N/A</v>
      </c>
      <c r="AI353" s="50" t="e">
        <f ca="1">VLOOKUP(Tableau118[[#This Row],[Key(ID-Actif)]],'DATA BTO'!A:N,12,FALSE)</f>
        <v>#N/A</v>
      </c>
      <c r="AJ353" s="53" t="e">
        <f ca="1">VLOOKUP(Tableau118[[#This Row],[Key(ID-Actif)]],'DATA BTO'!A:N,14,FALSE)</f>
        <v>#N/A</v>
      </c>
      <c r="AK353" s="54" t="e">
        <f ca="1">VLOOKUP(Tableau118[[#This Row],[Key(POD -PFI- Usine)]],'DATA Consignee'!A:F,6,FALSE)</f>
        <v>#N/A</v>
      </c>
      <c r="AL353" s="283"/>
      <c r="AM353" s="490" t="str">
        <f>IF(Tableau118[[#This Row],[Name PFI/CDD]]="","-",VLOOKUP(Tableau118[[#This Row],[Name PFI/CDD]],Plant_AILN!I:J,2,FALSE))</f>
        <v>-</v>
      </c>
      <c r="AN35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3" s="2" t="e">
        <f ca="1">VLOOKUP(Tableau118[[#This Row],[Key(POD -PFI- Usine)]],'DATA Consignee'!A:J,10,FALSE)</f>
        <v>#N/A</v>
      </c>
      <c r="AQ353" s="50" t="e">
        <f ca="1">VLOOKUP(Tableau118[[#This Row],[Key(POD -PFI- Usine)]],'DATA Consignee'!A:N,14,FALSE)</f>
        <v>#N/A</v>
      </c>
      <c r="AR35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3" s="50" t="e">
        <f ca="1">Tableau118[[#This Row],[Transit time]]+Tableau118[[#This Row],[Time for security]]+Tableau118[[#This Row],[Time for security2 buffer]]</f>
        <v>#N/A</v>
      </c>
      <c r="AU35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3" s="50" t="e">
        <f ca="1">Tableau118[[#This Row],[Leadtime SI2C]]+Tableau118[[#This Row],[First Receipt Days]]-Tableau118[[#This Row],[Day Customer Order]]+1</f>
        <v>#N/A</v>
      </c>
      <c r="AW353" s="117" t="e">
        <f ca="1">IF(Tableau118[[#This Row],[Name ILN]]&lt;&gt;"SFK Freight Forwarder",Tableau118[[#This Row],[Cust. Leadtime]],Tableau118[[#This Row],[Leadtime SI2C]])</f>
        <v>#N/A</v>
      </c>
      <c r="AX353" s="57" t="e">
        <f>VLOOKUP(Tableau118[[#This Row],[ID]],'DATA BTO'!B:P,15,FALSE)</f>
        <v>#N/A</v>
      </c>
      <c r="AY353" s="328" t="e">
        <f ca="1">IFERROR(VLOOKUP(Tableau118[[#This Row],[Key(ID-Actif)]],'DATA BTO'!A:N,4,FALSE),VLOOKUP(Tableau118[[#This Row],[ID]],'DATA BTO'!B:N,3,FALSE))</f>
        <v>#N/A</v>
      </c>
      <c r="AZ35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3" s="50"/>
    </row>
    <row r="354" spans="2:57">
      <c r="B354" s="405" t="str">
        <f>_xlfn.CONCAT(Tableau118[[#This Row],[Name ILN]],"-",Tableau118[[#This Row],[Name Shipper]],"-",Tableau118[[#This Row],[Name Site]])</f>
        <v>--</v>
      </c>
      <c r="C354" s="64" t="e">
        <f ca="1">_xlfn.CONCAT(Tableau118[[#This Row],[Compte ILN]],"-",Tableau118[[#This Row],[Compte Shipper]],"-",Tableau118[[#This Row],[POL]],"-",Tableau118[[#This Row],[Compte Site]])</f>
        <v>#N/A</v>
      </c>
      <c r="D354" s="64" t="e">
        <f ca="1">_xlfn.CONCAT(Tableau118[[#This Row],[Compte ILN]],"-",Tableau118[[#This Row],[Compte Shipper]],"-",Tableau118[[#This Row],[POL]])</f>
        <v>#N/A</v>
      </c>
      <c r="E354" s="128" t="e">
        <f ca="1">_xlfn.CONCAT(Tableau118[[#This Row],[POL]],"-",Tableau118[[#This Row],[Carrier]],"-",Tableau118[[#This Row],[POD]])</f>
        <v>#N/A</v>
      </c>
      <c r="F354" s="64" t="str">
        <f>_xlfn.CONCAT(Tableau118[[#This Row],[ID]],"-","Next")</f>
        <v>-Next</v>
      </c>
      <c r="G354" s="64" t="e">
        <f ca="1">_xlfn.CONCAT(Tableau118[[#This Row],[POD]],"-",Tableau118[[#This Row],[Code PFI]],"-",Tableau118[[#This Row],[Compte Site]])</f>
        <v>#N/A</v>
      </c>
      <c r="H35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4" s="117" t="str">
        <f ca="1">IF(COUNTIF(I:I,Tableau118[[#This Row],[Plant-ILN-shipper-POL-Carrier-POD-PFI]])=1,"Non","Oui")</f>
        <v>Oui</v>
      </c>
      <c r="K354" s="126" t="e">
        <f>VLOOKUP(Tableau118[[#This Row],[Name Site]],Plant_AILN!A:D,4,FALSE)</f>
        <v>#N/A</v>
      </c>
      <c r="L354" s="363"/>
      <c r="M354" s="481"/>
      <c r="N354" s="55"/>
      <c r="O354" s="122"/>
      <c r="P354" s="481"/>
      <c r="Q354" s="50"/>
      <c r="R354" s="50"/>
      <c r="S354" s="50"/>
      <c r="T354" s="50"/>
      <c r="U354" s="50"/>
      <c r="V354" s="50"/>
      <c r="W354" s="50"/>
      <c r="X354" s="283"/>
      <c r="Y354" s="489">
        <f>IFERROR(VLOOKUP(Tableau118[[#This Row],[Name Shipper]],Plant_AILN!L:M,2,FALSE),0)</f>
        <v>0</v>
      </c>
      <c r="Z354" s="358"/>
      <c r="AA354" s="353" t="e">
        <f ca="1">VLOOKUP(Tableau118[[#This Row],[Key(ID-Actif)]],'DATA BTO'!A:N,5,FALSE)</f>
        <v>#N/A</v>
      </c>
      <c r="AB354" s="3" t="e">
        <f ca="1">VLOOKUP(Tableau118[[#This Row],[Key(ID-Actif)]],'DATA BTO'!A:N,6,FALSE)</f>
        <v>#N/A</v>
      </c>
      <c r="AC354" s="50" t="e">
        <f ca="1">VLOOKUP(Tableau118[[#This Row],[Key(ID-Actif)]],'DATA BTO'!A:N,7,FALSE)</f>
        <v>#N/A</v>
      </c>
      <c r="AD354" s="50" t="e">
        <f ca="1">VLOOKUP(Tableau118[[#This Row],[Key(ID-Actif)]],'DATA BTO'!A:N,8,FALSE)</f>
        <v>#N/A</v>
      </c>
      <c r="AE354" s="406" t="e">
        <f ca="1">IF(Tableau118[[#This Row],[First Day to POL]]&lt;=Tableau118[[#This Row],[Day Cut Off]],Tableau118[[#This Row],[Day ETD]],Tableau118[[#This Row],[Day ETD]]+7)</f>
        <v>#N/A</v>
      </c>
      <c r="AF354" s="50" t="e">
        <f ca="1">VLOOKUP(Tableau118[[#This Row],[Key(ID-Actif)]],'DATA BTO'!A:N,9,FALSE)</f>
        <v>#N/A</v>
      </c>
      <c r="AG354" s="3" t="e">
        <f ca="1">VLOOKUP(Tableau118[[#This Row],[Key(ID-Actif)]],'DATA BTO'!A:N,10,FALSE)</f>
        <v>#N/A</v>
      </c>
      <c r="AH354" s="3" t="e">
        <f ca="1">VLOOKUP(Tableau118[[#This Row],[Key(ID-Actif)]],'DATA BTO'!A:N,11,FALSE)</f>
        <v>#N/A</v>
      </c>
      <c r="AI354" s="50" t="e">
        <f ca="1">VLOOKUP(Tableau118[[#This Row],[Key(ID-Actif)]],'DATA BTO'!A:N,12,FALSE)</f>
        <v>#N/A</v>
      </c>
      <c r="AJ354" s="53" t="e">
        <f ca="1">VLOOKUP(Tableau118[[#This Row],[Key(ID-Actif)]],'DATA BTO'!A:N,14,FALSE)</f>
        <v>#N/A</v>
      </c>
      <c r="AK354" s="54" t="e">
        <f ca="1">VLOOKUP(Tableau118[[#This Row],[Key(POD -PFI- Usine)]],'DATA Consignee'!A:F,6,FALSE)</f>
        <v>#N/A</v>
      </c>
      <c r="AL354" s="283"/>
      <c r="AM354" s="490" t="str">
        <f>IF(Tableau118[[#This Row],[Name PFI/CDD]]="","-",VLOOKUP(Tableau118[[#This Row],[Name PFI/CDD]],Plant_AILN!I:J,2,FALSE))</f>
        <v>-</v>
      </c>
      <c r="AN35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4" s="2" t="e">
        <f ca="1">VLOOKUP(Tableau118[[#This Row],[Key(POD -PFI- Usine)]],'DATA Consignee'!A:J,10,FALSE)</f>
        <v>#N/A</v>
      </c>
      <c r="AQ354" s="50" t="e">
        <f ca="1">VLOOKUP(Tableau118[[#This Row],[Key(POD -PFI- Usine)]],'DATA Consignee'!A:N,14,FALSE)</f>
        <v>#N/A</v>
      </c>
      <c r="AR35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4" s="50" t="e">
        <f ca="1">Tableau118[[#This Row],[Transit time]]+Tableau118[[#This Row],[Time for security]]+Tableau118[[#This Row],[Time for security2 buffer]]</f>
        <v>#N/A</v>
      </c>
      <c r="AU35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4" s="50" t="e">
        <f ca="1">Tableau118[[#This Row],[Leadtime SI2C]]+Tableau118[[#This Row],[First Receipt Days]]-Tableau118[[#This Row],[Day Customer Order]]+1</f>
        <v>#N/A</v>
      </c>
      <c r="AW354" s="117" t="e">
        <f ca="1">IF(Tableau118[[#This Row],[Name ILN]]&lt;&gt;"SFK Freight Forwarder",Tableau118[[#This Row],[Cust. Leadtime]],Tableau118[[#This Row],[Leadtime SI2C]])</f>
        <v>#N/A</v>
      </c>
      <c r="AX354" s="57" t="e">
        <f>VLOOKUP(Tableau118[[#This Row],[ID]],'DATA BTO'!B:P,15,FALSE)</f>
        <v>#N/A</v>
      </c>
      <c r="AY354" s="328" t="e">
        <f ca="1">IFERROR(VLOOKUP(Tableau118[[#This Row],[Key(ID-Actif)]],'DATA BTO'!A:N,4,FALSE),VLOOKUP(Tableau118[[#This Row],[ID]],'DATA BTO'!B:N,3,FALSE))</f>
        <v>#N/A</v>
      </c>
      <c r="AZ35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4" s="50"/>
    </row>
    <row r="355" spans="2:57">
      <c r="B355" s="405" t="str">
        <f>_xlfn.CONCAT(Tableau118[[#This Row],[Name ILN]],"-",Tableau118[[#This Row],[Name Shipper]],"-",Tableau118[[#This Row],[Name Site]])</f>
        <v>--</v>
      </c>
      <c r="C355" s="64" t="e">
        <f ca="1">_xlfn.CONCAT(Tableau118[[#This Row],[Compte ILN]],"-",Tableau118[[#This Row],[Compte Shipper]],"-",Tableau118[[#This Row],[POL]],"-",Tableau118[[#This Row],[Compte Site]])</f>
        <v>#N/A</v>
      </c>
      <c r="D355" s="64" t="e">
        <f ca="1">_xlfn.CONCAT(Tableau118[[#This Row],[Compte ILN]],"-",Tableau118[[#This Row],[Compte Shipper]],"-",Tableau118[[#This Row],[POL]])</f>
        <v>#N/A</v>
      </c>
      <c r="E355" s="128" t="e">
        <f ca="1">_xlfn.CONCAT(Tableau118[[#This Row],[POL]],"-",Tableau118[[#This Row],[Carrier]],"-",Tableau118[[#This Row],[POD]])</f>
        <v>#N/A</v>
      </c>
      <c r="F355" s="64" t="str">
        <f>_xlfn.CONCAT(Tableau118[[#This Row],[ID]],"-","Next")</f>
        <v>-Next</v>
      </c>
      <c r="G355" s="64" t="e">
        <f ca="1">_xlfn.CONCAT(Tableau118[[#This Row],[POD]],"-",Tableau118[[#This Row],[Code PFI]],"-",Tableau118[[#This Row],[Compte Site]])</f>
        <v>#N/A</v>
      </c>
      <c r="H35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5" s="117" t="str">
        <f ca="1">IF(COUNTIF(I:I,Tableau118[[#This Row],[Plant-ILN-shipper-POL-Carrier-POD-PFI]])=1,"Non","Oui")</f>
        <v>Oui</v>
      </c>
      <c r="K355" s="126" t="e">
        <f>VLOOKUP(Tableau118[[#This Row],[Name Site]],Plant_AILN!A:D,4,FALSE)</f>
        <v>#N/A</v>
      </c>
      <c r="L355" s="363"/>
      <c r="M355" s="481"/>
      <c r="N355" s="55"/>
      <c r="O355" s="122"/>
      <c r="P355" s="481"/>
      <c r="Q355" s="50"/>
      <c r="R355" s="50"/>
      <c r="S355" s="50"/>
      <c r="T355" s="50"/>
      <c r="U355" s="50"/>
      <c r="V355" s="50"/>
      <c r="W355" s="50"/>
      <c r="X355" s="283"/>
      <c r="Y355" s="489">
        <f>IFERROR(VLOOKUP(Tableau118[[#This Row],[Name Shipper]],Plant_AILN!L:M,2,FALSE),0)</f>
        <v>0</v>
      </c>
      <c r="Z355" s="358"/>
      <c r="AA355" s="353" t="e">
        <f ca="1">VLOOKUP(Tableau118[[#This Row],[Key(ID-Actif)]],'DATA BTO'!A:N,5,FALSE)</f>
        <v>#N/A</v>
      </c>
      <c r="AB355" s="3" t="e">
        <f ca="1">VLOOKUP(Tableau118[[#This Row],[Key(ID-Actif)]],'DATA BTO'!A:N,6,FALSE)</f>
        <v>#N/A</v>
      </c>
      <c r="AC355" s="50" t="e">
        <f ca="1">VLOOKUP(Tableau118[[#This Row],[Key(ID-Actif)]],'DATA BTO'!A:N,7,FALSE)</f>
        <v>#N/A</v>
      </c>
      <c r="AD355" s="50" t="e">
        <f ca="1">VLOOKUP(Tableau118[[#This Row],[Key(ID-Actif)]],'DATA BTO'!A:N,8,FALSE)</f>
        <v>#N/A</v>
      </c>
      <c r="AE355" s="406" t="e">
        <f ca="1">IF(Tableau118[[#This Row],[First Day to POL]]&lt;=Tableau118[[#This Row],[Day Cut Off]],Tableau118[[#This Row],[Day ETD]],Tableau118[[#This Row],[Day ETD]]+7)</f>
        <v>#N/A</v>
      </c>
      <c r="AF355" s="50" t="e">
        <f ca="1">VLOOKUP(Tableau118[[#This Row],[Key(ID-Actif)]],'DATA BTO'!A:N,9,FALSE)</f>
        <v>#N/A</v>
      </c>
      <c r="AG355" s="3" t="e">
        <f ca="1">VLOOKUP(Tableau118[[#This Row],[Key(ID-Actif)]],'DATA BTO'!A:N,10,FALSE)</f>
        <v>#N/A</v>
      </c>
      <c r="AH355" s="3" t="e">
        <f ca="1">VLOOKUP(Tableau118[[#This Row],[Key(ID-Actif)]],'DATA BTO'!A:N,11,FALSE)</f>
        <v>#N/A</v>
      </c>
      <c r="AI355" s="50" t="e">
        <f ca="1">VLOOKUP(Tableau118[[#This Row],[Key(ID-Actif)]],'DATA BTO'!A:N,12,FALSE)</f>
        <v>#N/A</v>
      </c>
      <c r="AJ355" s="53" t="e">
        <f ca="1">VLOOKUP(Tableau118[[#This Row],[Key(ID-Actif)]],'DATA BTO'!A:N,14,FALSE)</f>
        <v>#N/A</v>
      </c>
      <c r="AK355" s="54" t="e">
        <f ca="1">VLOOKUP(Tableau118[[#This Row],[Key(POD -PFI- Usine)]],'DATA Consignee'!A:F,6,FALSE)</f>
        <v>#N/A</v>
      </c>
      <c r="AL355" s="283"/>
      <c r="AM355" s="490" t="str">
        <f>IF(Tableau118[[#This Row],[Name PFI/CDD]]="","-",VLOOKUP(Tableau118[[#This Row],[Name PFI/CDD]],Plant_AILN!I:J,2,FALSE))</f>
        <v>-</v>
      </c>
      <c r="AN35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5" s="2" t="e">
        <f ca="1">VLOOKUP(Tableau118[[#This Row],[Key(POD -PFI- Usine)]],'DATA Consignee'!A:J,10,FALSE)</f>
        <v>#N/A</v>
      </c>
      <c r="AQ355" s="50" t="e">
        <f ca="1">VLOOKUP(Tableau118[[#This Row],[Key(POD -PFI- Usine)]],'DATA Consignee'!A:N,14,FALSE)</f>
        <v>#N/A</v>
      </c>
      <c r="AR35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5" s="50" t="e">
        <f ca="1">Tableau118[[#This Row],[Transit time]]+Tableau118[[#This Row],[Time for security]]+Tableau118[[#This Row],[Time for security2 buffer]]</f>
        <v>#N/A</v>
      </c>
      <c r="AU35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5" s="50" t="e">
        <f ca="1">Tableau118[[#This Row],[Leadtime SI2C]]+Tableau118[[#This Row],[First Receipt Days]]-Tableau118[[#This Row],[Day Customer Order]]+1</f>
        <v>#N/A</v>
      </c>
      <c r="AW355" s="117" t="e">
        <f ca="1">IF(Tableau118[[#This Row],[Name ILN]]&lt;&gt;"SFK Freight Forwarder",Tableau118[[#This Row],[Cust. Leadtime]],Tableau118[[#This Row],[Leadtime SI2C]])</f>
        <v>#N/A</v>
      </c>
      <c r="AX355" s="57" t="e">
        <f>VLOOKUP(Tableau118[[#This Row],[ID]],'DATA BTO'!B:P,15,FALSE)</f>
        <v>#N/A</v>
      </c>
      <c r="AY355" s="328" t="e">
        <f ca="1">IFERROR(VLOOKUP(Tableau118[[#This Row],[Key(ID-Actif)]],'DATA BTO'!A:N,4,FALSE),VLOOKUP(Tableau118[[#This Row],[ID]],'DATA BTO'!B:N,3,FALSE))</f>
        <v>#N/A</v>
      </c>
      <c r="AZ35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5" s="50"/>
    </row>
    <row r="356" spans="2:57">
      <c r="B356" s="405" t="str">
        <f>_xlfn.CONCAT(Tableau118[[#This Row],[Name ILN]],"-",Tableau118[[#This Row],[Name Shipper]],"-",Tableau118[[#This Row],[Name Site]])</f>
        <v>--</v>
      </c>
      <c r="C356" s="64" t="e">
        <f ca="1">_xlfn.CONCAT(Tableau118[[#This Row],[Compte ILN]],"-",Tableau118[[#This Row],[Compte Shipper]],"-",Tableau118[[#This Row],[POL]],"-",Tableau118[[#This Row],[Compte Site]])</f>
        <v>#N/A</v>
      </c>
      <c r="D356" s="64" t="e">
        <f ca="1">_xlfn.CONCAT(Tableau118[[#This Row],[Compte ILN]],"-",Tableau118[[#This Row],[Compte Shipper]],"-",Tableau118[[#This Row],[POL]])</f>
        <v>#N/A</v>
      </c>
      <c r="E356" s="128" t="e">
        <f ca="1">_xlfn.CONCAT(Tableau118[[#This Row],[POL]],"-",Tableau118[[#This Row],[Carrier]],"-",Tableau118[[#This Row],[POD]])</f>
        <v>#N/A</v>
      </c>
      <c r="F356" s="64" t="str">
        <f>_xlfn.CONCAT(Tableau118[[#This Row],[ID]],"-","Next")</f>
        <v>-Next</v>
      </c>
      <c r="G356" s="64" t="e">
        <f ca="1">_xlfn.CONCAT(Tableau118[[#This Row],[POD]],"-",Tableau118[[#This Row],[Code PFI]],"-",Tableau118[[#This Row],[Compte Site]])</f>
        <v>#N/A</v>
      </c>
      <c r="H35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6" s="117" t="str">
        <f ca="1">IF(COUNTIF(I:I,Tableau118[[#This Row],[Plant-ILN-shipper-POL-Carrier-POD-PFI]])=1,"Non","Oui")</f>
        <v>Oui</v>
      </c>
      <c r="K356" s="126" t="e">
        <f>VLOOKUP(Tableau118[[#This Row],[Name Site]],Plant_AILN!A:D,4,FALSE)</f>
        <v>#N/A</v>
      </c>
      <c r="L356" s="363"/>
      <c r="M356" s="481"/>
      <c r="N356" s="55"/>
      <c r="O356" s="122"/>
      <c r="P356" s="481"/>
      <c r="Q356" s="50"/>
      <c r="R356" s="50"/>
      <c r="S356" s="50"/>
      <c r="T356" s="50"/>
      <c r="U356" s="50"/>
      <c r="V356" s="50"/>
      <c r="W356" s="50"/>
      <c r="X356" s="283"/>
      <c r="Y356" s="489">
        <f>IFERROR(VLOOKUP(Tableau118[[#This Row],[Name Shipper]],Plant_AILN!L:M,2,FALSE),0)</f>
        <v>0</v>
      </c>
      <c r="Z356" s="358"/>
      <c r="AA356" s="353" t="e">
        <f ca="1">VLOOKUP(Tableau118[[#This Row],[Key(ID-Actif)]],'DATA BTO'!A:N,5,FALSE)</f>
        <v>#N/A</v>
      </c>
      <c r="AB356" s="3" t="e">
        <f ca="1">VLOOKUP(Tableau118[[#This Row],[Key(ID-Actif)]],'DATA BTO'!A:N,6,FALSE)</f>
        <v>#N/A</v>
      </c>
      <c r="AC356" s="50" t="e">
        <f ca="1">VLOOKUP(Tableau118[[#This Row],[Key(ID-Actif)]],'DATA BTO'!A:N,7,FALSE)</f>
        <v>#N/A</v>
      </c>
      <c r="AD356" s="50" t="e">
        <f ca="1">VLOOKUP(Tableau118[[#This Row],[Key(ID-Actif)]],'DATA BTO'!A:N,8,FALSE)</f>
        <v>#N/A</v>
      </c>
      <c r="AE356" s="406" t="e">
        <f ca="1">IF(Tableau118[[#This Row],[First Day to POL]]&lt;=Tableau118[[#This Row],[Day Cut Off]],Tableau118[[#This Row],[Day ETD]],Tableau118[[#This Row],[Day ETD]]+7)</f>
        <v>#N/A</v>
      </c>
      <c r="AF356" s="50" t="e">
        <f ca="1">VLOOKUP(Tableau118[[#This Row],[Key(ID-Actif)]],'DATA BTO'!A:N,9,FALSE)</f>
        <v>#N/A</v>
      </c>
      <c r="AG356" s="3" t="e">
        <f ca="1">VLOOKUP(Tableau118[[#This Row],[Key(ID-Actif)]],'DATA BTO'!A:N,10,FALSE)</f>
        <v>#N/A</v>
      </c>
      <c r="AH356" s="3" t="e">
        <f ca="1">VLOOKUP(Tableau118[[#This Row],[Key(ID-Actif)]],'DATA BTO'!A:N,11,FALSE)</f>
        <v>#N/A</v>
      </c>
      <c r="AI356" s="50" t="e">
        <f ca="1">VLOOKUP(Tableau118[[#This Row],[Key(ID-Actif)]],'DATA BTO'!A:N,12,FALSE)</f>
        <v>#N/A</v>
      </c>
      <c r="AJ356" s="53" t="e">
        <f ca="1">VLOOKUP(Tableau118[[#This Row],[Key(ID-Actif)]],'DATA BTO'!A:N,14,FALSE)</f>
        <v>#N/A</v>
      </c>
      <c r="AK356" s="54" t="e">
        <f ca="1">VLOOKUP(Tableau118[[#This Row],[Key(POD -PFI- Usine)]],'DATA Consignee'!A:F,6,FALSE)</f>
        <v>#N/A</v>
      </c>
      <c r="AL356" s="283"/>
      <c r="AM356" s="490" t="str">
        <f>IF(Tableau118[[#This Row],[Name PFI/CDD]]="","-",VLOOKUP(Tableau118[[#This Row],[Name PFI/CDD]],Plant_AILN!I:J,2,FALSE))</f>
        <v>-</v>
      </c>
      <c r="AN35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6" s="2" t="e">
        <f ca="1">VLOOKUP(Tableau118[[#This Row],[Key(POD -PFI- Usine)]],'DATA Consignee'!A:J,10,FALSE)</f>
        <v>#N/A</v>
      </c>
      <c r="AQ356" s="50" t="e">
        <f ca="1">VLOOKUP(Tableau118[[#This Row],[Key(POD -PFI- Usine)]],'DATA Consignee'!A:N,14,FALSE)</f>
        <v>#N/A</v>
      </c>
      <c r="AR35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6" s="50" t="e">
        <f ca="1">Tableau118[[#This Row],[Transit time]]+Tableau118[[#This Row],[Time for security]]+Tableau118[[#This Row],[Time for security2 buffer]]</f>
        <v>#N/A</v>
      </c>
      <c r="AU35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6" s="50" t="e">
        <f ca="1">Tableau118[[#This Row],[Leadtime SI2C]]+Tableau118[[#This Row],[First Receipt Days]]-Tableau118[[#This Row],[Day Customer Order]]+1</f>
        <v>#N/A</v>
      </c>
      <c r="AW356" s="117" t="e">
        <f ca="1">IF(Tableau118[[#This Row],[Name ILN]]&lt;&gt;"SFK Freight Forwarder",Tableau118[[#This Row],[Cust. Leadtime]],Tableau118[[#This Row],[Leadtime SI2C]])</f>
        <v>#N/A</v>
      </c>
      <c r="AX356" s="57" t="e">
        <f>VLOOKUP(Tableau118[[#This Row],[ID]],'DATA BTO'!B:P,15,FALSE)</f>
        <v>#N/A</v>
      </c>
      <c r="AY356" s="328" t="e">
        <f ca="1">IFERROR(VLOOKUP(Tableau118[[#This Row],[Key(ID-Actif)]],'DATA BTO'!A:N,4,FALSE),VLOOKUP(Tableau118[[#This Row],[ID]],'DATA BTO'!B:N,3,FALSE))</f>
        <v>#N/A</v>
      </c>
      <c r="AZ35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6" s="50"/>
    </row>
    <row r="357" spans="2:57">
      <c r="B357" s="405" t="str">
        <f>_xlfn.CONCAT(Tableau118[[#This Row],[Name ILN]],"-",Tableau118[[#This Row],[Name Shipper]],"-",Tableau118[[#This Row],[Name Site]])</f>
        <v>--</v>
      </c>
      <c r="C357" s="64" t="e">
        <f ca="1">_xlfn.CONCAT(Tableau118[[#This Row],[Compte ILN]],"-",Tableau118[[#This Row],[Compte Shipper]],"-",Tableau118[[#This Row],[POL]],"-",Tableau118[[#This Row],[Compte Site]])</f>
        <v>#N/A</v>
      </c>
      <c r="D357" s="64" t="e">
        <f ca="1">_xlfn.CONCAT(Tableau118[[#This Row],[Compte ILN]],"-",Tableau118[[#This Row],[Compte Shipper]],"-",Tableau118[[#This Row],[POL]])</f>
        <v>#N/A</v>
      </c>
      <c r="E357" s="128" t="e">
        <f ca="1">_xlfn.CONCAT(Tableau118[[#This Row],[POL]],"-",Tableau118[[#This Row],[Carrier]],"-",Tableau118[[#This Row],[POD]])</f>
        <v>#N/A</v>
      </c>
      <c r="F357" s="64" t="str">
        <f>_xlfn.CONCAT(Tableau118[[#This Row],[ID]],"-","Next")</f>
        <v>-Next</v>
      </c>
      <c r="G357" s="64" t="e">
        <f ca="1">_xlfn.CONCAT(Tableau118[[#This Row],[POD]],"-",Tableau118[[#This Row],[Code PFI]],"-",Tableau118[[#This Row],[Compte Site]])</f>
        <v>#N/A</v>
      </c>
      <c r="H35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7" s="117" t="str">
        <f ca="1">IF(COUNTIF(I:I,Tableau118[[#This Row],[Plant-ILN-shipper-POL-Carrier-POD-PFI]])=1,"Non","Oui")</f>
        <v>Oui</v>
      </c>
      <c r="K357" s="126" t="e">
        <f>VLOOKUP(Tableau118[[#This Row],[Name Site]],Plant_AILN!A:D,4,FALSE)</f>
        <v>#N/A</v>
      </c>
      <c r="L357" s="363"/>
      <c r="M357" s="481"/>
      <c r="N357" s="55"/>
      <c r="O357" s="122"/>
      <c r="P357" s="481"/>
      <c r="Q357" s="50"/>
      <c r="R357" s="50"/>
      <c r="S357" s="50"/>
      <c r="T357" s="50"/>
      <c r="U357" s="50"/>
      <c r="V357" s="50"/>
      <c r="W357" s="50"/>
      <c r="X357" s="283"/>
      <c r="Y357" s="489">
        <f>IFERROR(VLOOKUP(Tableau118[[#This Row],[Name Shipper]],Plant_AILN!L:M,2,FALSE),0)</f>
        <v>0</v>
      </c>
      <c r="Z357" s="358"/>
      <c r="AA357" s="353" t="e">
        <f ca="1">VLOOKUP(Tableau118[[#This Row],[Key(ID-Actif)]],'DATA BTO'!A:N,5,FALSE)</f>
        <v>#N/A</v>
      </c>
      <c r="AB357" s="3" t="e">
        <f ca="1">VLOOKUP(Tableau118[[#This Row],[Key(ID-Actif)]],'DATA BTO'!A:N,6,FALSE)</f>
        <v>#N/A</v>
      </c>
      <c r="AC357" s="50" t="e">
        <f ca="1">VLOOKUP(Tableau118[[#This Row],[Key(ID-Actif)]],'DATA BTO'!A:N,7,FALSE)</f>
        <v>#N/A</v>
      </c>
      <c r="AD357" s="50" t="e">
        <f ca="1">VLOOKUP(Tableau118[[#This Row],[Key(ID-Actif)]],'DATA BTO'!A:N,8,FALSE)</f>
        <v>#N/A</v>
      </c>
      <c r="AE357" s="406" t="e">
        <f ca="1">IF(Tableau118[[#This Row],[First Day to POL]]&lt;=Tableau118[[#This Row],[Day Cut Off]],Tableau118[[#This Row],[Day ETD]],Tableau118[[#This Row],[Day ETD]]+7)</f>
        <v>#N/A</v>
      </c>
      <c r="AF357" s="50" t="e">
        <f ca="1">VLOOKUP(Tableau118[[#This Row],[Key(ID-Actif)]],'DATA BTO'!A:N,9,FALSE)</f>
        <v>#N/A</v>
      </c>
      <c r="AG357" s="3" t="e">
        <f ca="1">VLOOKUP(Tableau118[[#This Row],[Key(ID-Actif)]],'DATA BTO'!A:N,10,FALSE)</f>
        <v>#N/A</v>
      </c>
      <c r="AH357" s="3" t="e">
        <f ca="1">VLOOKUP(Tableau118[[#This Row],[Key(ID-Actif)]],'DATA BTO'!A:N,11,FALSE)</f>
        <v>#N/A</v>
      </c>
      <c r="AI357" s="50" t="e">
        <f ca="1">VLOOKUP(Tableau118[[#This Row],[Key(ID-Actif)]],'DATA BTO'!A:N,12,FALSE)</f>
        <v>#N/A</v>
      </c>
      <c r="AJ357" s="53" t="e">
        <f ca="1">VLOOKUP(Tableau118[[#This Row],[Key(ID-Actif)]],'DATA BTO'!A:N,14,FALSE)</f>
        <v>#N/A</v>
      </c>
      <c r="AK357" s="54" t="e">
        <f ca="1">VLOOKUP(Tableau118[[#This Row],[Key(POD -PFI- Usine)]],'DATA Consignee'!A:F,6,FALSE)</f>
        <v>#N/A</v>
      </c>
      <c r="AL357" s="283"/>
      <c r="AM357" s="490" t="str">
        <f>IF(Tableau118[[#This Row],[Name PFI/CDD]]="","-",VLOOKUP(Tableau118[[#This Row],[Name PFI/CDD]],Plant_AILN!I:J,2,FALSE))</f>
        <v>-</v>
      </c>
      <c r="AN35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7" s="2" t="e">
        <f ca="1">VLOOKUP(Tableau118[[#This Row],[Key(POD -PFI- Usine)]],'DATA Consignee'!A:J,10,FALSE)</f>
        <v>#N/A</v>
      </c>
      <c r="AQ357" s="50" t="e">
        <f ca="1">VLOOKUP(Tableau118[[#This Row],[Key(POD -PFI- Usine)]],'DATA Consignee'!A:N,14,FALSE)</f>
        <v>#N/A</v>
      </c>
      <c r="AR35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7" s="50" t="e">
        <f ca="1">Tableau118[[#This Row],[Transit time]]+Tableau118[[#This Row],[Time for security]]+Tableau118[[#This Row],[Time for security2 buffer]]</f>
        <v>#N/A</v>
      </c>
      <c r="AU35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7" s="50" t="e">
        <f ca="1">Tableau118[[#This Row],[Leadtime SI2C]]+Tableau118[[#This Row],[First Receipt Days]]-Tableau118[[#This Row],[Day Customer Order]]+1</f>
        <v>#N/A</v>
      </c>
      <c r="AW357" s="117" t="e">
        <f ca="1">IF(Tableau118[[#This Row],[Name ILN]]&lt;&gt;"SFK Freight Forwarder",Tableau118[[#This Row],[Cust. Leadtime]],Tableau118[[#This Row],[Leadtime SI2C]])</f>
        <v>#N/A</v>
      </c>
      <c r="AX357" s="57" t="e">
        <f>VLOOKUP(Tableau118[[#This Row],[ID]],'DATA BTO'!B:P,15,FALSE)</f>
        <v>#N/A</v>
      </c>
      <c r="AY357" s="328" t="e">
        <f ca="1">IFERROR(VLOOKUP(Tableau118[[#This Row],[Key(ID-Actif)]],'DATA BTO'!A:N,4,FALSE),VLOOKUP(Tableau118[[#This Row],[ID]],'DATA BTO'!B:N,3,FALSE))</f>
        <v>#N/A</v>
      </c>
      <c r="AZ35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7" s="50"/>
    </row>
    <row r="358" spans="2:57">
      <c r="B358" s="405" t="str">
        <f>_xlfn.CONCAT(Tableau118[[#This Row],[Name ILN]],"-",Tableau118[[#This Row],[Name Shipper]],"-",Tableau118[[#This Row],[Name Site]])</f>
        <v>--</v>
      </c>
      <c r="C358" s="64" t="e">
        <f ca="1">_xlfn.CONCAT(Tableau118[[#This Row],[Compte ILN]],"-",Tableau118[[#This Row],[Compte Shipper]],"-",Tableau118[[#This Row],[POL]],"-",Tableau118[[#This Row],[Compte Site]])</f>
        <v>#N/A</v>
      </c>
      <c r="D358" s="64" t="e">
        <f ca="1">_xlfn.CONCAT(Tableau118[[#This Row],[Compte ILN]],"-",Tableau118[[#This Row],[Compte Shipper]],"-",Tableau118[[#This Row],[POL]])</f>
        <v>#N/A</v>
      </c>
      <c r="E358" s="128" t="e">
        <f ca="1">_xlfn.CONCAT(Tableau118[[#This Row],[POL]],"-",Tableau118[[#This Row],[Carrier]],"-",Tableau118[[#This Row],[POD]])</f>
        <v>#N/A</v>
      </c>
      <c r="F358" s="64" t="str">
        <f>_xlfn.CONCAT(Tableau118[[#This Row],[ID]],"-","Next")</f>
        <v>-Next</v>
      </c>
      <c r="G358" s="64" t="e">
        <f ca="1">_xlfn.CONCAT(Tableau118[[#This Row],[POD]],"-",Tableau118[[#This Row],[Code PFI]],"-",Tableau118[[#This Row],[Compte Site]])</f>
        <v>#N/A</v>
      </c>
      <c r="H35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8" s="117" t="str">
        <f ca="1">IF(COUNTIF(I:I,Tableau118[[#This Row],[Plant-ILN-shipper-POL-Carrier-POD-PFI]])=1,"Non","Oui")</f>
        <v>Oui</v>
      </c>
      <c r="K358" s="126" t="e">
        <f>VLOOKUP(Tableau118[[#This Row],[Name Site]],Plant_AILN!A:D,4,FALSE)</f>
        <v>#N/A</v>
      </c>
      <c r="L358" s="363"/>
      <c r="M358" s="481"/>
      <c r="N358" s="55"/>
      <c r="O358" s="122"/>
      <c r="P358" s="481"/>
      <c r="Q358" s="50"/>
      <c r="R358" s="50"/>
      <c r="S358" s="50"/>
      <c r="T358" s="50"/>
      <c r="U358" s="50"/>
      <c r="V358" s="50"/>
      <c r="W358" s="50"/>
      <c r="X358" s="283"/>
      <c r="Y358" s="489">
        <f>IFERROR(VLOOKUP(Tableau118[[#This Row],[Name Shipper]],Plant_AILN!L:M,2,FALSE),0)</f>
        <v>0</v>
      </c>
      <c r="Z358" s="358"/>
      <c r="AA358" s="353" t="e">
        <f ca="1">VLOOKUP(Tableau118[[#This Row],[Key(ID-Actif)]],'DATA BTO'!A:N,5,FALSE)</f>
        <v>#N/A</v>
      </c>
      <c r="AB358" s="3" t="e">
        <f ca="1">VLOOKUP(Tableau118[[#This Row],[Key(ID-Actif)]],'DATA BTO'!A:N,6,FALSE)</f>
        <v>#N/A</v>
      </c>
      <c r="AC358" s="50" t="e">
        <f ca="1">VLOOKUP(Tableau118[[#This Row],[Key(ID-Actif)]],'DATA BTO'!A:N,7,FALSE)</f>
        <v>#N/A</v>
      </c>
      <c r="AD358" s="50" t="e">
        <f ca="1">VLOOKUP(Tableau118[[#This Row],[Key(ID-Actif)]],'DATA BTO'!A:N,8,FALSE)</f>
        <v>#N/A</v>
      </c>
      <c r="AE358" s="406" t="e">
        <f ca="1">IF(Tableau118[[#This Row],[First Day to POL]]&lt;=Tableau118[[#This Row],[Day Cut Off]],Tableau118[[#This Row],[Day ETD]],Tableau118[[#This Row],[Day ETD]]+7)</f>
        <v>#N/A</v>
      </c>
      <c r="AF358" s="50" t="e">
        <f ca="1">VLOOKUP(Tableau118[[#This Row],[Key(ID-Actif)]],'DATA BTO'!A:N,9,FALSE)</f>
        <v>#N/A</v>
      </c>
      <c r="AG358" s="3" t="e">
        <f ca="1">VLOOKUP(Tableau118[[#This Row],[Key(ID-Actif)]],'DATA BTO'!A:N,10,FALSE)</f>
        <v>#N/A</v>
      </c>
      <c r="AH358" s="3" t="e">
        <f ca="1">VLOOKUP(Tableau118[[#This Row],[Key(ID-Actif)]],'DATA BTO'!A:N,11,FALSE)</f>
        <v>#N/A</v>
      </c>
      <c r="AI358" s="50" t="e">
        <f ca="1">VLOOKUP(Tableau118[[#This Row],[Key(ID-Actif)]],'DATA BTO'!A:N,12,FALSE)</f>
        <v>#N/A</v>
      </c>
      <c r="AJ358" s="53" t="e">
        <f ca="1">VLOOKUP(Tableau118[[#This Row],[Key(ID-Actif)]],'DATA BTO'!A:N,14,FALSE)</f>
        <v>#N/A</v>
      </c>
      <c r="AK358" s="54" t="e">
        <f ca="1">VLOOKUP(Tableau118[[#This Row],[Key(POD -PFI- Usine)]],'DATA Consignee'!A:F,6,FALSE)</f>
        <v>#N/A</v>
      </c>
      <c r="AL358" s="283"/>
      <c r="AM358" s="490" t="str">
        <f>IF(Tableau118[[#This Row],[Name PFI/CDD]]="","-",VLOOKUP(Tableau118[[#This Row],[Name PFI/CDD]],Plant_AILN!I:J,2,FALSE))</f>
        <v>-</v>
      </c>
      <c r="AN35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8" s="2" t="e">
        <f ca="1">VLOOKUP(Tableau118[[#This Row],[Key(POD -PFI- Usine)]],'DATA Consignee'!A:J,10,FALSE)</f>
        <v>#N/A</v>
      </c>
      <c r="AQ358" s="50" t="e">
        <f ca="1">VLOOKUP(Tableau118[[#This Row],[Key(POD -PFI- Usine)]],'DATA Consignee'!A:N,14,FALSE)</f>
        <v>#N/A</v>
      </c>
      <c r="AR35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8" s="50" t="e">
        <f ca="1">Tableau118[[#This Row],[Transit time]]+Tableau118[[#This Row],[Time for security]]+Tableau118[[#This Row],[Time for security2 buffer]]</f>
        <v>#N/A</v>
      </c>
      <c r="AU35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8" s="50" t="e">
        <f ca="1">Tableau118[[#This Row],[Leadtime SI2C]]+Tableau118[[#This Row],[First Receipt Days]]-Tableau118[[#This Row],[Day Customer Order]]+1</f>
        <v>#N/A</v>
      </c>
      <c r="AW358" s="117" t="e">
        <f ca="1">IF(Tableau118[[#This Row],[Name ILN]]&lt;&gt;"SFK Freight Forwarder",Tableau118[[#This Row],[Cust. Leadtime]],Tableau118[[#This Row],[Leadtime SI2C]])</f>
        <v>#N/A</v>
      </c>
      <c r="AX358" s="57" t="e">
        <f>VLOOKUP(Tableau118[[#This Row],[ID]],'DATA BTO'!B:P,15,FALSE)</f>
        <v>#N/A</v>
      </c>
      <c r="AY358" s="328" t="e">
        <f ca="1">IFERROR(VLOOKUP(Tableau118[[#This Row],[Key(ID-Actif)]],'DATA BTO'!A:N,4,FALSE),VLOOKUP(Tableau118[[#This Row],[ID]],'DATA BTO'!B:N,3,FALSE))</f>
        <v>#N/A</v>
      </c>
      <c r="AZ35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8" s="50"/>
    </row>
    <row r="359" spans="2:57">
      <c r="B359" s="405" t="str">
        <f>_xlfn.CONCAT(Tableau118[[#This Row],[Name ILN]],"-",Tableau118[[#This Row],[Name Shipper]],"-",Tableau118[[#This Row],[Name Site]])</f>
        <v>--</v>
      </c>
      <c r="C359" s="64" t="e">
        <f ca="1">_xlfn.CONCAT(Tableau118[[#This Row],[Compte ILN]],"-",Tableau118[[#This Row],[Compte Shipper]],"-",Tableau118[[#This Row],[POL]],"-",Tableau118[[#This Row],[Compte Site]])</f>
        <v>#N/A</v>
      </c>
      <c r="D359" s="64" t="e">
        <f ca="1">_xlfn.CONCAT(Tableau118[[#This Row],[Compte ILN]],"-",Tableau118[[#This Row],[Compte Shipper]],"-",Tableau118[[#This Row],[POL]])</f>
        <v>#N/A</v>
      </c>
      <c r="E359" s="128" t="e">
        <f ca="1">_xlfn.CONCAT(Tableau118[[#This Row],[POL]],"-",Tableau118[[#This Row],[Carrier]],"-",Tableau118[[#This Row],[POD]])</f>
        <v>#N/A</v>
      </c>
      <c r="F359" s="64" t="str">
        <f>_xlfn.CONCAT(Tableau118[[#This Row],[ID]],"-","Next")</f>
        <v>-Next</v>
      </c>
      <c r="G359" s="64" t="e">
        <f ca="1">_xlfn.CONCAT(Tableau118[[#This Row],[POD]],"-",Tableau118[[#This Row],[Code PFI]],"-",Tableau118[[#This Row],[Compte Site]])</f>
        <v>#N/A</v>
      </c>
      <c r="H35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5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59" s="117" t="str">
        <f ca="1">IF(COUNTIF(I:I,Tableau118[[#This Row],[Plant-ILN-shipper-POL-Carrier-POD-PFI]])=1,"Non","Oui")</f>
        <v>Oui</v>
      </c>
      <c r="K359" s="126" t="e">
        <f>VLOOKUP(Tableau118[[#This Row],[Name Site]],Plant_AILN!A:D,4,FALSE)</f>
        <v>#N/A</v>
      </c>
      <c r="L359" s="363"/>
      <c r="M359" s="481"/>
      <c r="N359" s="55"/>
      <c r="O359" s="122"/>
      <c r="P359" s="481"/>
      <c r="Q359" s="50"/>
      <c r="R359" s="50"/>
      <c r="S359" s="50"/>
      <c r="T359" s="50"/>
      <c r="U359" s="50"/>
      <c r="V359" s="50"/>
      <c r="W359" s="50"/>
      <c r="X359" s="283"/>
      <c r="Y359" s="489">
        <f>IFERROR(VLOOKUP(Tableau118[[#This Row],[Name Shipper]],Plant_AILN!L:M,2,FALSE),0)</f>
        <v>0</v>
      </c>
      <c r="Z359" s="358"/>
      <c r="AA359" s="353" t="e">
        <f ca="1">VLOOKUP(Tableau118[[#This Row],[Key(ID-Actif)]],'DATA BTO'!A:N,5,FALSE)</f>
        <v>#N/A</v>
      </c>
      <c r="AB359" s="3" t="e">
        <f ca="1">VLOOKUP(Tableau118[[#This Row],[Key(ID-Actif)]],'DATA BTO'!A:N,6,FALSE)</f>
        <v>#N/A</v>
      </c>
      <c r="AC359" s="50" t="e">
        <f ca="1">VLOOKUP(Tableau118[[#This Row],[Key(ID-Actif)]],'DATA BTO'!A:N,7,FALSE)</f>
        <v>#N/A</v>
      </c>
      <c r="AD359" s="50" t="e">
        <f ca="1">VLOOKUP(Tableau118[[#This Row],[Key(ID-Actif)]],'DATA BTO'!A:N,8,FALSE)</f>
        <v>#N/A</v>
      </c>
      <c r="AE359" s="406" t="e">
        <f ca="1">IF(Tableau118[[#This Row],[First Day to POL]]&lt;=Tableau118[[#This Row],[Day Cut Off]],Tableau118[[#This Row],[Day ETD]],Tableau118[[#This Row],[Day ETD]]+7)</f>
        <v>#N/A</v>
      </c>
      <c r="AF359" s="50" t="e">
        <f ca="1">VLOOKUP(Tableau118[[#This Row],[Key(ID-Actif)]],'DATA BTO'!A:N,9,FALSE)</f>
        <v>#N/A</v>
      </c>
      <c r="AG359" s="3" t="e">
        <f ca="1">VLOOKUP(Tableau118[[#This Row],[Key(ID-Actif)]],'DATA BTO'!A:N,10,FALSE)</f>
        <v>#N/A</v>
      </c>
      <c r="AH359" s="3" t="e">
        <f ca="1">VLOOKUP(Tableau118[[#This Row],[Key(ID-Actif)]],'DATA BTO'!A:N,11,FALSE)</f>
        <v>#N/A</v>
      </c>
      <c r="AI359" s="50" t="e">
        <f ca="1">VLOOKUP(Tableau118[[#This Row],[Key(ID-Actif)]],'DATA BTO'!A:N,12,FALSE)</f>
        <v>#N/A</v>
      </c>
      <c r="AJ359" s="53" t="e">
        <f ca="1">VLOOKUP(Tableau118[[#This Row],[Key(ID-Actif)]],'DATA BTO'!A:N,14,FALSE)</f>
        <v>#N/A</v>
      </c>
      <c r="AK359" s="54" t="e">
        <f ca="1">VLOOKUP(Tableau118[[#This Row],[Key(POD -PFI- Usine)]],'DATA Consignee'!A:F,6,FALSE)</f>
        <v>#N/A</v>
      </c>
      <c r="AL359" s="283"/>
      <c r="AM359" s="490" t="str">
        <f>IF(Tableau118[[#This Row],[Name PFI/CDD]]="","-",VLOOKUP(Tableau118[[#This Row],[Name PFI/CDD]],Plant_AILN!I:J,2,FALSE))</f>
        <v>-</v>
      </c>
      <c r="AN35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5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59" s="2" t="e">
        <f ca="1">VLOOKUP(Tableau118[[#This Row],[Key(POD -PFI- Usine)]],'DATA Consignee'!A:J,10,FALSE)</f>
        <v>#N/A</v>
      </c>
      <c r="AQ359" s="50" t="e">
        <f ca="1">VLOOKUP(Tableau118[[#This Row],[Key(POD -PFI- Usine)]],'DATA Consignee'!A:N,14,FALSE)</f>
        <v>#N/A</v>
      </c>
      <c r="AR35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5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59" s="50" t="e">
        <f ca="1">Tableau118[[#This Row],[Transit time]]+Tableau118[[#This Row],[Time for security]]+Tableau118[[#This Row],[Time for security2 buffer]]</f>
        <v>#N/A</v>
      </c>
      <c r="AU35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59" s="50" t="e">
        <f ca="1">Tableau118[[#This Row],[Leadtime SI2C]]+Tableau118[[#This Row],[First Receipt Days]]-Tableau118[[#This Row],[Day Customer Order]]+1</f>
        <v>#N/A</v>
      </c>
      <c r="AW359" s="117" t="e">
        <f ca="1">IF(Tableau118[[#This Row],[Name ILN]]&lt;&gt;"SFK Freight Forwarder",Tableau118[[#This Row],[Cust. Leadtime]],Tableau118[[#This Row],[Leadtime SI2C]])</f>
        <v>#N/A</v>
      </c>
      <c r="AX359" s="57" t="e">
        <f>VLOOKUP(Tableau118[[#This Row],[ID]],'DATA BTO'!B:P,15,FALSE)</f>
        <v>#N/A</v>
      </c>
      <c r="AY359" s="328" t="e">
        <f ca="1">IFERROR(VLOOKUP(Tableau118[[#This Row],[Key(ID-Actif)]],'DATA BTO'!A:N,4,FALSE),VLOOKUP(Tableau118[[#This Row],[ID]],'DATA BTO'!B:N,3,FALSE))</f>
        <v>#N/A</v>
      </c>
      <c r="AZ35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5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5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5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5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59" s="50"/>
    </row>
    <row r="360" spans="2:57">
      <c r="B360" s="405" t="str">
        <f>_xlfn.CONCAT(Tableau118[[#This Row],[Name ILN]],"-",Tableau118[[#This Row],[Name Shipper]],"-",Tableau118[[#This Row],[Name Site]])</f>
        <v>--</v>
      </c>
      <c r="C360" s="64" t="e">
        <f ca="1">_xlfn.CONCAT(Tableau118[[#This Row],[Compte ILN]],"-",Tableau118[[#This Row],[Compte Shipper]],"-",Tableau118[[#This Row],[POL]],"-",Tableau118[[#This Row],[Compte Site]])</f>
        <v>#N/A</v>
      </c>
      <c r="D360" s="64" t="e">
        <f ca="1">_xlfn.CONCAT(Tableau118[[#This Row],[Compte ILN]],"-",Tableau118[[#This Row],[Compte Shipper]],"-",Tableau118[[#This Row],[POL]])</f>
        <v>#N/A</v>
      </c>
      <c r="E360" s="128" t="e">
        <f ca="1">_xlfn.CONCAT(Tableau118[[#This Row],[POL]],"-",Tableau118[[#This Row],[Carrier]],"-",Tableau118[[#This Row],[POD]])</f>
        <v>#N/A</v>
      </c>
      <c r="F360" s="64" t="str">
        <f>_xlfn.CONCAT(Tableau118[[#This Row],[ID]],"-","Next")</f>
        <v>-Next</v>
      </c>
      <c r="G360" s="64" t="e">
        <f ca="1">_xlfn.CONCAT(Tableau118[[#This Row],[POD]],"-",Tableau118[[#This Row],[Code PFI]],"-",Tableau118[[#This Row],[Compte Site]])</f>
        <v>#N/A</v>
      </c>
      <c r="H36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0" s="117" t="str">
        <f ca="1">IF(COUNTIF(I:I,Tableau118[[#This Row],[Plant-ILN-shipper-POL-Carrier-POD-PFI]])=1,"Non","Oui")</f>
        <v>Oui</v>
      </c>
      <c r="K360" s="126" t="e">
        <f>VLOOKUP(Tableau118[[#This Row],[Name Site]],Plant_AILN!A:D,4,FALSE)</f>
        <v>#N/A</v>
      </c>
      <c r="L360" s="363"/>
      <c r="M360" s="481"/>
      <c r="N360" s="55"/>
      <c r="O360" s="122"/>
      <c r="P360" s="481"/>
      <c r="Q360" s="50"/>
      <c r="R360" s="50"/>
      <c r="S360" s="50"/>
      <c r="T360" s="50"/>
      <c r="U360" s="50"/>
      <c r="V360" s="50"/>
      <c r="W360" s="50"/>
      <c r="X360" s="283"/>
      <c r="Y360" s="489">
        <f>IFERROR(VLOOKUP(Tableau118[[#This Row],[Name Shipper]],Plant_AILN!L:M,2,FALSE),0)</f>
        <v>0</v>
      </c>
      <c r="Z360" s="358"/>
      <c r="AA360" s="353" t="e">
        <f ca="1">VLOOKUP(Tableau118[[#This Row],[Key(ID-Actif)]],'DATA BTO'!A:N,5,FALSE)</f>
        <v>#N/A</v>
      </c>
      <c r="AB360" s="3" t="e">
        <f ca="1">VLOOKUP(Tableau118[[#This Row],[Key(ID-Actif)]],'DATA BTO'!A:N,6,FALSE)</f>
        <v>#N/A</v>
      </c>
      <c r="AC360" s="50" t="e">
        <f ca="1">VLOOKUP(Tableau118[[#This Row],[Key(ID-Actif)]],'DATA BTO'!A:N,7,FALSE)</f>
        <v>#N/A</v>
      </c>
      <c r="AD360" s="50" t="e">
        <f ca="1">VLOOKUP(Tableau118[[#This Row],[Key(ID-Actif)]],'DATA BTO'!A:N,8,FALSE)</f>
        <v>#N/A</v>
      </c>
      <c r="AE360" s="406" t="e">
        <f ca="1">IF(Tableau118[[#This Row],[First Day to POL]]&lt;=Tableau118[[#This Row],[Day Cut Off]],Tableau118[[#This Row],[Day ETD]],Tableau118[[#This Row],[Day ETD]]+7)</f>
        <v>#N/A</v>
      </c>
      <c r="AF360" s="50" t="e">
        <f ca="1">VLOOKUP(Tableau118[[#This Row],[Key(ID-Actif)]],'DATA BTO'!A:N,9,FALSE)</f>
        <v>#N/A</v>
      </c>
      <c r="AG360" s="3" t="e">
        <f ca="1">VLOOKUP(Tableau118[[#This Row],[Key(ID-Actif)]],'DATA BTO'!A:N,10,FALSE)</f>
        <v>#N/A</v>
      </c>
      <c r="AH360" s="3" t="e">
        <f ca="1">VLOOKUP(Tableau118[[#This Row],[Key(ID-Actif)]],'DATA BTO'!A:N,11,FALSE)</f>
        <v>#N/A</v>
      </c>
      <c r="AI360" s="50" t="e">
        <f ca="1">VLOOKUP(Tableau118[[#This Row],[Key(ID-Actif)]],'DATA BTO'!A:N,12,FALSE)</f>
        <v>#N/A</v>
      </c>
      <c r="AJ360" s="53" t="e">
        <f ca="1">VLOOKUP(Tableau118[[#This Row],[Key(ID-Actif)]],'DATA BTO'!A:N,14,FALSE)</f>
        <v>#N/A</v>
      </c>
      <c r="AK360" s="54" t="e">
        <f ca="1">VLOOKUP(Tableau118[[#This Row],[Key(POD -PFI- Usine)]],'DATA Consignee'!A:F,6,FALSE)</f>
        <v>#N/A</v>
      </c>
      <c r="AL360" s="283"/>
      <c r="AM360" s="490" t="str">
        <f>IF(Tableau118[[#This Row],[Name PFI/CDD]]="","-",VLOOKUP(Tableau118[[#This Row],[Name PFI/CDD]],Plant_AILN!I:J,2,FALSE))</f>
        <v>-</v>
      </c>
      <c r="AN36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0" s="2" t="e">
        <f ca="1">VLOOKUP(Tableau118[[#This Row],[Key(POD -PFI- Usine)]],'DATA Consignee'!A:J,10,FALSE)</f>
        <v>#N/A</v>
      </c>
      <c r="AQ360" s="50" t="e">
        <f ca="1">VLOOKUP(Tableau118[[#This Row],[Key(POD -PFI- Usine)]],'DATA Consignee'!A:N,14,FALSE)</f>
        <v>#N/A</v>
      </c>
      <c r="AR36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0" s="50" t="e">
        <f ca="1">Tableau118[[#This Row],[Transit time]]+Tableau118[[#This Row],[Time for security]]+Tableau118[[#This Row],[Time for security2 buffer]]</f>
        <v>#N/A</v>
      </c>
      <c r="AU36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0" s="50" t="e">
        <f ca="1">Tableau118[[#This Row],[Leadtime SI2C]]+Tableau118[[#This Row],[First Receipt Days]]-Tableau118[[#This Row],[Day Customer Order]]+1</f>
        <v>#N/A</v>
      </c>
      <c r="AW360" s="117" t="e">
        <f ca="1">IF(Tableau118[[#This Row],[Name ILN]]&lt;&gt;"SFK Freight Forwarder",Tableau118[[#This Row],[Cust. Leadtime]],Tableau118[[#This Row],[Leadtime SI2C]])</f>
        <v>#N/A</v>
      </c>
      <c r="AX360" s="57" t="e">
        <f>VLOOKUP(Tableau118[[#This Row],[ID]],'DATA BTO'!B:P,15,FALSE)</f>
        <v>#N/A</v>
      </c>
      <c r="AY360" s="328" t="e">
        <f ca="1">IFERROR(VLOOKUP(Tableau118[[#This Row],[Key(ID-Actif)]],'DATA BTO'!A:N,4,FALSE),VLOOKUP(Tableau118[[#This Row],[ID]],'DATA BTO'!B:N,3,FALSE))</f>
        <v>#N/A</v>
      </c>
      <c r="AZ36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0" s="50"/>
    </row>
    <row r="361" spans="2:57">
      <c r="B361" s="405" t="str">
        <f>_xlfn.CONCAT(Tableau118[[#This Row],[Name ILN]],"-",Tableau118[[#This Row],[Name Shipper]],"-",Tableau118[[#This Row],[Name Site]])</f>
        <v>--</v>
      </c>
      <c r="C361" s="64" t="e">
        <f ca="1">_xlfn.CONCAT(Tableau118[[#This Row],[Compte ILN]],"-",Tableau118[[#This Row],[Compte Shipper]],"-",Tableau118[[#This Row],[POL]],"-",Tableau118[[#This Row],[Compte Site]])</f>
        <v>#N/A</v>
      </c>
      <c r="D361" s="64" t="e">
        <f ca="1">_xlfn.CONCAT(Tableau118[[#This Row],[Compte ILN]],"-",Tableau118[[#This Row],[Compte Shipper]],"-",Tableau118[[#This Row],[POL]])</f>
        <v>#N/A</v>
      </c>
      <c r="E361" s="128" t="e">
        <f ca="1">_xlfn.CONCAT(Tableau118[[#This Row],[POL]],"-",Tableau118[[#This Row],[Carrier]],"-",Tableau118[[#This Row],[POD]])</f>
        <v>#N/A</v>
      </c>
      <c r="F361" s="64" t="str">
        <f>_xlfn.CONCAT(Tableau118[[#This Row],[ID]],"-","Next")</f>
        <v>-Next</v>
      </c>
      <c r="G361" s="64" t="e">
        <f ca="1">_xlfn.CONCAT(Tableau118[[#This Row],[POD]],"-",Tableau118[[#This Row],[Code PFI]],"-",Tableau118[[#This Row],[Compte Site]])</f>
        <v>#N/A</v>
      </c>
      <c r="H36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1" s="117" t="str">
        <f ca="1">IF(COUNTIF(I:I,Tableau118[[#This Row],[Plant-ILN-shipper-POL-Carrier-POD-PFI]])=1,"Non","Oui")</f>
        <v>Oui</v>
      </c>
      <c r="K361" s="126" t="e">
        <f>VLOOKUP(Tableau118[[#This Row],[Name Site]],Plant_AILN!A:D,4,FALSE)</f>
        <v>#N/A</v>
      </c>
      <c r="L361" s="363"/>
      <c r="M361" s="481"/>
      <c r="N361" s="55"/>
      <c r="O361" s="122"/>
      <c r="P361" s="481"/>
      <c r="Q361" s="50"/>
      <c r="R361" s="50"/>
      <c r="S361" s="50"/>
      <c r="T361" s="50"/>
      <c r="U361" s="50"/>
      <c r="V361" s="50"/>
      <c r="W361" s="50"/>
      <c r="X361" s="283"/>
      <c r="Y361" s="489">
        <f>IFERROR(VLOOKUP(Tableau118[[#This Row],[Name Shipper]],Plant_AILN!L:M,2,FALSE),0)</f>
        <v>0</v>
      </c>
      <c r="Z361" s="358"/>
      <c r="AA361" s="353" t="e">
        <f ca="1">VLOOKUP(Tableau118[[#This Row],[Key(ID-Actif)]],'DATA BTO'!A:N,5,FALSE)</f>
        <v>#N/A</v>
      </c>
      <c r="AB361" s="3" t="e">
        <f ca="1">VLOOKUP(Tableau118[[#This Row],[Key(ID-Actif)]],'DATA BTO'!A:N,6,FALSE)</f>
        <v>#N/A</v>
      </c>
      <c r="AC361" s="50" t="e">
        <f ca="1">VLOOKUP(Tableau118[[#This Row],[Key(ID-Actif)]],'DATA BTO'!A:N,7,FALSE)</f>
        <v>#N/A</v>
      </c>
      <c r="AD361" s="50" t="e">
        <f ca="1">VLOOKUP(Tableau118[[#This Row],[Key(ID-Actif)]],'DATA BTO'!A:N,8,FALSE)</f>
        <v>#N/A</v>
      </c>
      <c r="AE361" s="406" t="e">
        <f ca="1">IF(Tableau118[[#This Row],[First Day to POL]]&lt;=Tableau118[[#This Row],[Day Cut Off]],Tableau118[[#This Row],[Day ETD]],Tableau118[[#This Row],[Day ETD]]+7)</f>
        <v>#N/A</v>
      </c>
      <c r="AF361" s="50" t="e">
        <f ca="1">VLOOKUP(Tableau118[[#This Row],[Key(ID-Actif)]],'DATA BTO'!A:N,9,FALSE)</f>
        <v>#N/A</v>
      </c>
      <c r="AG361" s="3" t="e">
        <f ca="1">VLOOKUP(Tableau118[[#This Row],[Key(ID-Actif)]],'DATA BTO'!A:N,10,FALSE)</f>
        <v>#N/A</v>
      </c>
      <c r="AH361" s="3" t="e">
        <f ca="1">VLOOKUP(Tableau118[[#This Row],[Key(ID-Actif)]],'DATA BTO'!A:N,11,FALSE)</f>
        <v>#N/A</v>
      </c>
      <c r="AI361" s="50" t="e">
        <f ca="1">VLOOKUP(Tableau118[[#This Row],[Key(ID-Actif)]],'DATA BTO'!A:N,12,FALSE)</f>
        <v>#N/A</v>
      </c>
      <c r="AJ361" s="53" t="e">
        <f ca="1">VLOOKUP(Tableau118[[#This Row],[Key(ID-Actif)]],'DATA BTO'!A:N,14,FALSE)</f>
        <v>#N/A</v>
      </c>
      <c r="AK361" s="54" t="e">
        <f ca="1">VLOOKUP(Tableau118[[#This Row],[Key(POD -PFI- Usine)]],'DATA Consignee'!A:F,6,FALSE)</f>
        <v>#N/A</v>
      </c>
      <c r="AL361" s="283"/>
      <c r="AM361" s="490" t="str">
        <f>IF(Tableau118[[#This Row],[Name PFI/CDD]]="","-",VLOOKUP(Tableau118[[#This Row],[Name PFI/CDD]],Plant_AILN!I:J,2,FALSE))</f>
        <v>-</v>
      </c>
      <c r="AN36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1" s="2" t="e">
        <f ca="1">VLOOKUP(Tableau118[[#This Row],[Key(POD -PFI- Usine)]],'DATA Consignee'!A:J,10,FALSE)</f>
        <v>#N/A</v>
      </c>
      <c r="AQ361" s="50" t="e">
        <f ca="1">VLOOKUP(Tableau118[[#This Row],[Key(POD -PFI- Usine)]],'DATA Consignee'!A:N,14,FALSE)</f>
        <v>#N/A</v>
      </c>
      <c r="AR36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1" s="50" t="e">
        <f ca="1">Tableau118[[#This Row],[Transit time]]+Tableau118[[#This Row],[Time for security]]+Tableau118[[#This Row],[Time for security2 buffer]]</f>
        <v>#N/A</v>
      </c>
      <c r="AU36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1" s="50" t="e">
        <f ca="1">Tableau118[[#This Row],[Leadtime SI2C]]+Tableau118[[#This Row],[First Receipt Days]]-Tableau118[[#This Row],[Day Customer Order]]+1</f>
        <v>#N/A</v>
      </c>
      <c r="AW361" s="117" t="e">
        <f ca="1">IF(Tableau118[[#This Row],[Name ILN]]&lt;&gt;"SFK Freight Forwarder",Tableau118[[#This Row],[Cust. Leadtime]],Tableau118[[#This Row],[Leadtime SI2C]])</f>
        <v>#N/A</v>
      </c>
      <c r="AX361" s="57" t="e">
        <f>VLOOKUP(Tableau118[[#This Row],[ID]],'DATA BTO'!B:P,15,FALSE)</f>
        <v>#N/A</v>
      </c>
      <c r="AY361" s="328" t="e">
        <f ca="1">IFERROR(VLOOKUP(Tableau118[[#This Row],[Key(ID-Actif)]],'DATA BTO'!A:N,4,FALSE),VLOOKUP(Tableau118[[#This Row],[ID]],'DATA BTO'!B:N,3,FALSE))</f>
        <v>#N/A</v>
      </c>
      <c r="AZ36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1" s="50"/>
    </row>
    <row r="362" spans="2:57">
      <c r="B362" s="405" t="str">
        <f>_xlfn.CONCAT(Tableau118[[#This Row],[Name ILN]],"-",Tableau118[[#This Row],[Name Shipper]],"-",Tableau118[[#This Row],[Name Site]])</f>
        <v>--</v>
      </c>
      <c r="C362" s="64" t="e">
        <f ca="1">_xlfn.CONCAT(Tableau118[[#This Row],[Compte ILN]],"-",Tableau118[[#This Row],[Compte Shipper]],"-",Tableau118[[#This Row],[POL]],"-",Tableau118[[#This Row],[Compte Site]])</f>
        <v>#N/A</v>
      </c>
      <c r="D362" s="64" t="e">
        <f ca="1">_xlfn.CONCAT(Tableau118[[#This Row],[Compte ILN]],"-",Tableau118[[#This Row],[Compte Shipper]],"-",Tableau118[[#This Row],[POL]])</f>
        <v>#N/A</v>
      </c>
      <c r="E362" s="128" t="e">
        <f ca="1">_xlfn.CONCAT(Tableau118[[#This Row],[POL]],"-",Tableau118[[#This Row],[Carrier]],"-",Tableau118[[#This Row],[POD]])</f>
        <v>#N/A</v>
      </c>
      <c r="F362" s="64" t="str">
        <f>_xlfn.CONCAT(Tableau118[[#This Row],[ID]],"-","Next")</f>
        <v>-Next</v>
      </c>
      <c r="G362" s="64" t="e">
        <f ca="1">_xlfn.CONCAT(Tableau118[[#This Row],[POD]],"-",Tableau118[[#This Row],[Code PFI]],"-",Tableau118[[#This Row],[Compte Site]])</f>
        <v>#N/A</v>
      </c>
      <c r="H36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2" s="117" t="str">
        <f ca="1">IF(COUNTIF(I:I,Tableau118[[#This Row],[Plant-ILN-shipper-POL-Carrier-POD-PFI]])=1,"Non","Oui")</f>
        <v>Oui</v>
      </c>
      <c r="K362" s="126" t="e">
        <f>VLOOKUP(Tableau118[[#This Row],[Name Site]],Plant_AILN!A:D,4,FALSE)</f>
        <v>#N/A</v>
      </c>
      <c r="L362" s="363"/>
      <c r="M362" s="481"/>
      <c r="N362" s="55"/>
      <c r="O362" s="122"/>
      <c r="P362" s="481"/>
      <c r="Q362" s="50"/>
      <c r="R362" s="50"/>
      <c r="S362" s="50"/>
      <c r="T362" s="50"/>
      <c r="U362" s="50"/>
      <c r="V362" s="50"/>
      <c r="W362" s="50"/>
      <c r="X362" s="283"/>
      <c r="Y362" s="489">
        <f>IFERROR(VLOOKUP(Tableau118[[#This Row],[Name Shipper]],Plant_AILN!L:M,2,FALSE),0)</f>
        <v>0</v>
      </c>
      <c r="Z362" s="358"/>
      <c r="AA362" s="353" t="e">
        <f ca="1">VLOOKUP(Tableau118[[#This Row],[Key(ID-Actif)]],'DATA BTO'!A:N,5,FALSE)</f>
        <v>#N/A</v>
      </c>
      <c r="AB362" s="3" t="e">
        <f ca="1">VLOOKUP(Tableau118[[#This Row],[Key(ID-Actif)]],'DATA BTO'!A:N,6,FALSE)</f>
        <v>#N/A</v>
      </c>
      <c r="AC362" s="50" t="e">
        <f ca="1">VLOOKUP(Tableau118[[#This Row],[Key(ID-Actif)]],'DATA BTO'!A:N,7,FALSE)</f>
        <v>#N/A</v>
      </c>
      <c r="AD362" s="50" t="e">
        <f ca="1">VLOOKUP(Tableau118[[#This Row],[Key(ID-Actif)]],'DATA BTO'!A:N,8,FALSE)</f>
        <v>#N/A</v>
      </c>
      <c r="AE362" s="406" t="e">
        <f ca="1">IF(Tableau118[[#This Row],[First Day to POL]]&lt;=Tableau118[[#This Row],[Day Cut Off]],Tableau118[[#This Row],[Day ETD]],Tableau118[[#This Row],[Day ETD]]+7)</f>
        <v>#N/A</v>
      </c>
      <c r="AF362" s="50" t="e">
        <f ca="1">VLOOKUP(Tableau118[[#This Row],[Key(ID-Actif)]],'DATA BTO'!A:N,9,FALSE)</f>
        <v>#N/A</v>
      </c>
      <c r="AG362" s="3" t="e">
        <f ca="1">VLOOKUP(Tableau118[[#This Row],[Key(ID-Actif)]],'DATA BTO'!A:N,10,FALSE)</f>
        <v>#N/A</v>
      </c>
      <c r="AH362" s="3" t="e">
        <f ca="1">VLOOKUP(Tableau118[[#This Row],[Key(ID-Actif)]],'DATA BTO'!A:N,11,FALSE)</f>
        <v>#N/A</v>
      </c>
      <c r="AI362" s="50" t="e">
        <f ca="1">VLOOKUP(Tableau118[[#This Row],[Key(ID-Actif)]],'DATA BTO'!A:N,12,FALSE)</f>
        <v>#N/A</v>
      </c>
      <c r="AJ362" s="53" t="e">
        <f ca="1">VLOOKUP(Tableau118[[#This Row],[Key(ID-Actif)]],'DATA BTO'!A:N,14,FALSE)</f>
        <v>#N/A</v>
      </c>
      <c r="AK362" s="54" t="e">
        <f ca="1">VLOOKUP(Tableau118[[#This Row],[Key(POD -PFI- Usine)]],'DATA Consignee'!A:F,6,FALSE)</f>
        <v>#N/A</v>
      </c>
      <c r="AL362" s="283"/>
      <c r="AM362" s="490" t="str">
        <f>IF(Tableau118[[#This Row],[Name PFI/CDD]]="","-",VLOOKUP(Tableau118[[#This Row],[Name PFI/CDD]],Plant_AILN!I:J,2,FALSE))</f>
        <v>-</v>
      </c>
      <c r="AN36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2" s="2" t="e">
        <f ca="1">VLOOKUP(Tableau118[[#This Row],[Key(POD -PFI- Usine)]],'DATA Consignee'!A:J,10,FALSE)</f>
        <v>#N/A</v>
      </c>
      <c r="AQ362" s="50" t="e">
        <f ca="1">VLOOKUP(Tableau118[[#This Row],[Key(POD -PFI- Usine)]],'DATA Consignee'!A:N,14,FALSE)</f>
        <v>#N/A</v>
      </c>
      <c r="AR36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2" s="50" t="e">
        <f ca="1">Tableau118[[#This Row],[Transit time]]+Tableau118[[#This Row],[Time for security]]+Tableau118[[#This Row],[Time for security2 buffer]]</f>
        <v>#N/A</v>
      </c>
      <c r="AU36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2" s="50" t="e">
        <f ca="1">Tableau118[[#This Row],[Leadtime SI2C]]+Tableau118[[#This Row],[First Receipt Days]]-Tableau118[[#This Row],[Day Customer Order]]+1</f>
        <v>#N/A</v>
      </c>
      <c r="AW362" s="117" t="e">
        <f ca="1">IF(Tableau118[[#This Row],[Name ILN]]&lt;&gt;"SFK Freight Forwarder",Tableau118[[#This Row],[Cust. Leadtime]],Tableau118[[#This Row],[Leadtime SI2C]])</f>
        <v>#N/A</v>
      </c>
      <c r="AX362" s="57" t="e">
        <f>VLOOKUP(Tableau118[[#This Row],[ID]],'DATA BTO'!B:P,15,FALSE)</f>
        <v>#N/A</v>
      </c>
      <c r="AY362" s="328" t="e">
        <f ca="1">IFERROR(VLOOKUP(Tableau118[[#This Row],[Key(ID-Actif)]],'DATA BTO'!A:N,4,FALSE),VLOOKUP(Tableau118[[#This Row],[ID]],'DATA BTO'!B:N,3,FALSE))</f>
        <v>#N/A</v>
      </c>
      <c r="AZ36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2" s="50"/>
    </row>
    <row r="363" spans="2:57">
      <c r="B363" s="405" t="str">
        <f>_xlfn.CONCAT(Tableau118[[#This Row],[Name ILN]],"-",Tableau118[[#This Row],[Name Shipper]],"-",Tableau118[[#This Row],[Name Site]])</f>
        <v>--</v>
      </c>
      <c r="C363" s="64" t="e">
        <f ca="1">_xlfn.CONCAT(Tableau118[[#This Row],[Compte ILN]],"-",Tableau118[[#This Row],[Compte Shipper]],"-",Tableau118[[#This Row],[POL]],"-",Tableau118[[#This Row],[Compte Site]])</f>
        <v>#N/A</v>
      </c>
      <c r="D363" s="64" t="e">
        <f ca="1">_xlfn.CONCAT(Tableau118[[#This Row],[Compte ILN]],"-",Tableau118[[#This Row],[Compte Shipper]],"-",Tableau118[[#This Row],[POL]])</f>
        <v>#N/A</v>
      </c>
      <c r="E363" s="128" t="e">
        <f ca="1">_xlfn.CONCAT(Tableau118[[#This Row],[POL]],"-",Tableau118[[#This Row],[Carrier]],"-",Tableau118[[#This Row],[POD]])</f>
        <v>#N/A</v>
      </c>
      <c r="F363" s="64" t="str">
        <f>_xlfn.CONCAT(Tableau118[[#This Row],[ID]],"-","Next")</f>
        <v>-Next</v>
      </c>
      <c r="G363" s="64" t="e">
        <f ca="1">_xlfn.CONCAT(Tableau118[[#This Row],[POD]],"-",Tableau118[[#This Row],[Code PFI]],"-",Tableau118[[#This Row],[Compte Site]])</f>
        <v>#N/A</v>
      </c>
      <c r="H36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3" s="117" t="str">
        <f ca="1">IF(COUNTIF(I:I,Tableau118[[#This Row],[Plant-ILN-shipper-POL-Carrier-POD-PFI]])=1,"Non","Oui")</f>
        <v>Oui</v>
      </c>
      <c r="K363" s="126" t="e">
        <f>VLOOKUP(Tableau118[[#This Row],[Name Site]],Plant_AILN!A:D,4,FALSE)</f>
        <v>#N/A</v>
      </c>
      <c r="L363" s="363"/>
      <c r="M363" s="481"/>
      <c r="N363" s="55"/>
      <c r="O363" s="122"/>
      <c r="P363" s="481"/>
      <c r="Q363" s="50"/>
      <c r="R363" s="50"/>
      <c r="S363" s="50"/>
      <c r="T363" s="50"/>
      <c r="U363" s="50"/>
      <c r="V363" s="50"/>
      <c r="W363" s="50"/>
      <c r="X363" s="283"/>
      <c r="Y363" s="489">
        <f>IFERROR(VLOOKUP(Tableau118[[#This Row],[Name Shipper]],Plant_AILN!L:M,2,FALSE),0)</f>
        <v>0</v>
      </c>
      <c r="Z363" s="358"/>
      <c r="AA363" s="353" t="e">
        <f ca="1">VLOOKUP(Tableau118[[#This Row],[Key(ID-Actif)]],'DATA BTO'!A:N,5,FALSE)</f>
        <v>#N/A</v>
      </c>
      <c r="AB363" s="3" t="e">
        <f ca="1">VLOOKUP(Tableau118[[#This Row],[Key(ID-Actif)]],'DATA BTO'!A:N,6,FALSE)</f>
        <v>#N/A</v>
      </c>
      <c r="AC363" s="50" t="e">
        <f ca="1">VLOOKUP(Tableau118[[#This Row],[Key(ID-Actif)]],'DATA BTO'!A:N,7,FALSE)</f>
        <v>#N/A</v>
      </c>
      <c r="AD363" s="50" t="e">
        <f ca="1">VLOOKUP(Tableau118[[#This Row],[Key(ID-Actif)]],'DATA BTO'!A:N,8,FALSE)</f>
        <v>#N/A</v>
      </c>
      <c r="AE363" s="406" t="e">
        <f ca="1">IF(Tableau118[[#This Row],[First Day to POL]]&lt;=Tableau118[[#This Row],[Day Cut Off]],Tableau118[[#This Row],[Day ETD]],Tableau118[[#This Row],[Day ETD]]+7)</f>
        <v>#N/A</v>
      </c>
      <c r="AF363" s="50" t="e">
        <f ca="1">VLOOKUP(Tableau118[[#This Row],[Key(ID-Actif)]],'DATA BTO'!A:N,9,FALSE)</f>
        <v>#N/A</v>
      </c>
      <c r="AG363" s="3" t="e">
        <f ca="1">VLOOKUP(Tableau118[[#This Row],[Key(ID-Actif)]],'DATA BTO'!A:N,10,FALSE)</f>
        <v>#N/A</v>
      </c>
      <c r="AH363" s="3" t="e">
        <f ca="1">VLOOKUP(Tableau118[[#This Row],[Key(ID-Actif)]],'DATA BTO'!A:N,11,FALSE)</f>
        <v>#N/A</v>
      </c>
      <c r="AI363" s="50" t="e">
        <f ca="1">VLOOKUP(Tableau118[[#This Row],[Key(ID-Actif)]],'DATA BTO'!A:N,12,FALSE)</f>
        <v>#N/A</v>
      </c>
      <c r="AJ363" s="53" t="e">
        <f ca="1">VLOOKUP(Tableau118[[#This Row],[Key(ID-Actif)]],'DATA BTO'!A:N,14,FALSE)</f>
        <v>#N/A</v>
      </c>
      <c r="AK363" s="54" t="e">
        <f ca="1">VLOOKUP(Tableau118[[#This Row],[Key(POD -PFI- Usine)]],'DATA Consignee'!A:F,6,FALSE)</f>
        <v>#N/A</v>
      </c>
      <c r="AL363" s="283"/>
      <c r="AM363" s="490" t="str">
        <f>IF(Tableau118[[#This Row],[Name PFI/CDD]]="","-",VLOOKUP(Tableau118[[#This Row],[Name PFI/CDD]],Plant_AILN!I:J,2,FALSE))</f>
        <v>-</v>
      </c>
      <c r="AN36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3" s="2" t="e">
        <f ca="1">VLOOKUP(Tableau118[[#This Row],[Key(POD -PFI- Usine)]],'DATA Consignee'!A:J,10,FALSE)</f>
        <v>#N/A</v>
      </c>
      <c r="AQ363" s="50" t="e">
        <f ca="1">VLOOKUP(Tableau118[[#This Row],[Key(POD -PFI- Usine)]],'DATA Consignee'!A:N,14,FALSE)</f>
        <v>#N/A</v>
      </c>
      <c r="AR36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3" s="50" t="e">
        <f ca="1">Tableau118[[#This Row],[Transit time]]+Tableau118[[#This Row],[Time for security]]+Tableau118[[#This Row],[Time for security2 buffer]]</f>
        <v>#N/A</v>
      </c>
      <c r="AU36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3" s="50" t="e">
        <f ca="1">Tableau118[[#This Row],[Leadtime SI2C]]+Tableau118[[#This Row],[First Receipt Days]]-Tableau118[[#This Row],[Day Customer Order]]+1</f>
        <v>#N/A</v>
      </c>
      <c r="AW363" s="117" t="e">
        <f ca="1">IF(Tableau118[[#This Row],[Name ILN]]&lt;&gt;"SFK Freight Forwarder",Tableau118[[#This Row],[Cust. Leadtime]],Tableau118[[#This Row],[Leadtime SI2C]])</f>
        <v>#N/A</v>
      </c>
      <c r="AX363" s="57" t="e">
        <f>VLOOKUP(Tableau118[[#This Row],[ID]],'DATA BTO'!B:P,15,FALSE)</f>
        <v>#N/A</v>
      </c>
      <c r="AY363" s="328" t="e">
        <f ca="1">IFERROR(VLOOKUP(Tableau118[[#This Row],[Key(ID-Actif)]],'DATA BTO'!A:N,4,FALSE),VLOOKUP(Tableau118[[#This Row],[ID]],'DATA BTO'!B:N,3,FALSE))</f>
        <v>#N/A</v>
      </c>
      <c r="AZ36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3" s="50"/>
    </row>
    <row r="364" spans="2:57">
      <c r="B364" s="405" t="str">
        <f>_xlfn.CONCAT(Tableau118[[#This Row],[Name ILN]],"-",Tableau118[[#This Row],[Name Shipper]],"-",Tableau118[[#This Row],[Name Site]])</f>
        <v>--</v>
      </c>
      <c r="C364" s="64" t="e">
        <f ca="1">_xlfn.CONCAT(Tableau118[[#This Row],[Compte ILN]],"-",Tableau118[[#This Row],[Compte Shipper]],"-",Tableau118[[#This Row],[POL]],"-",Tableau118[[#This Row],[Compte Site]])</f>
        <v>#N/A</v>
      </c>
      <c r="D364" s="64" t="e">
        <f ca="1">_xlfn.CONCAT(Tableau118[[#This Row],[Compte ILN]],"-",Tableau118[[#This Row],[Compte Shipper]],"-",Tableau118[[#This Row],[POL]])</f>
        <v>#N/A</v>
      </c>
      <c r="E364" s="128" t="e">
        <f ca="1">_xlfn.CONCAT(Tableau118[[#This Row],[POL]],"-",Tableau118[[#This Row],[Carrier]],"-",Tableau118[[#This Row],[POD]])</f>
        <v>#N/A</v>
      </c>
      <c r="F364" s="64" t="str">
        <f>_xlfn.CONCAT(Tableau118[[#This Row],[ID]],"-","Next")</f>
        <v>-Next</v>
      </c>
      <c r="G364" s="64" t="e">
        <f ca="1">_xlfn.CONCAT(Tableau118[[#This Row],[POD]],"-",Tableau118[[#This Row],[Code PFI]],"-",Tableau118[[#This Row],[Compte Site]])</f>
        <v>#N/A</v>
      </c>
      <c r="H36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4" s="117" t="str">
        <f ca="1">IF(COUNTIF(I:I,Tableau118[[#This Row],[Plant-ILN-shipper-POL-Carrier-POD-PFI]])=1,"Non","Oui")</f>
        <v>Oui</v>
      </c>
      <c r="K364" s="126" t="e">
        <f>VLOOKUP(Tableau118[[#This Row],[Name Site]],Plant_AILN!A:D,4,FALSE)</f>
        <v>#N/A</v>
      </c>
      <c r="L364" s="363"/>
      <c r="M364" s="481"/>
      <c r="N364" s="55"/>
      <c r="O364" s="122"/>
      <c r="P364" s="481"/>
      <c r="Q364" s="50"/>
      <c r="R364" s="50"/>
      <c r="S364" s="50"/>
      <c r="T364" s="50"/>
      <c r="U364" s="50"/>
      <c r="V364" s="50"/>
      <c r="W364" s="50"/>
      <c r="X364" s="283"/>
      <c r="Y364" s="489">
        <f>IFERROR(VLOOKUP(Tableau118[[#This Row],[Name Shipper]],Plant_AILN!L:M,2,FALSE),0)</f>
        <v>0</v>
      </c>
      <c r="Z364" s="358"/>
      <c r="AA364" s="353" t="e">
        <f ca="1">VLOOKUP(Tableau118[[#This Row],[Key(ID-Actif)]],'DATA BTO'!A:N,5,FALSE)</f>
        <v>#N/A</v>
      </c>
      <c r="AB364" s="3" t="e">
        <f ca="1">VLOOKUP(Tableau118[[#This Row],[Key(ID-Actif)]],'DATA BTO'!A:N,6,FALSE)</f>
        <v>#N/A</v>
      </c>
      <c r="AC364" s="50" t="e">
        <f ca="1">VLOOKUP(Tableau118[[#This Row],[Key(ID-Actif)]],'DATA BTO'!A:N,7,FALSE)</f>
        <v>#N/A</v>
      </c>
      <c r="AD364" s="50" t="e">
        <f ca="1">VLOOKUP(Tableau118[[#This Row],[Key(ID-Actif)]],'DATA BTO'!A:N,8,FALSE)</f>
        <v>#N/A</v>
      </c>
      <c r="AE364" s="406" t="e">
        <f ca="1">IF(Tableau118[[#This Row],[First Day to POL]]&lt;=Tableau118[[#This Row],[Day Cut Off]],Tableau118[[#This Row],[Day ETD]],Tableau118[[#This Row],[Day ETD]]+7)</f>
        <v>#N/A</v>
      </c>
      <c r="AF364" s="50" t="e">
        <f ca="1">VLOOKUP(Tableau118[[#This Row],[Key(ID-Actif)]],'DATA BTO'!A:N,9,FALSE)</f>
        <v>#N/A</v>
      </c>
      <c r="AG364" s="3" t="e">
        <f ca="1">VLOOKUP(Tableau118[[#This Row],[Key(ID-Actif)]],'DATA BTO'!A:N,10,FALSE)</f>
        <v>#N/A</v>
      </c>
      <c r="AH364" s="3" t="e">
        <f ca="1">VLOOKUP(Tableau118[[#This Row],[Key(ID-Actif)]],'DATA BTO'!A:N,11,FALSE)</f>
        <v>#N/A</v>
      </c>
      <c r="AI364" s="50" t="e">
        <f ca="1">VLOOKUP(Tableau118[[#This Row],[Key(ID-Actif)]],'DATA BTO'!A:N,12,FALSE)</f>
        <v>#N/A</v>
      </c>
      <c r="AJ364" s="53" t="e">
        <f ca="1">VLOOKUP(Tableau118[[#This Row],[Key(ID-Actif)]],'DATA BTO'!A:N,14,FALSE)</f>
        <v>#N/A</v>
      </c>
      <c r="AK364" s="54" t="e">
        <f ca="1">VLOOKUP(Tableau118[[#This Row],[Key(POD -PFI- Usine)]],'DATA Consignee'!A:F,6,FALSE)</f>
        <v>#N/A</v>
      </c>
      <c r="AL364" s="283"/>
      <c r="AM364" s="490" t="str">
        <f>IF(Tableau118[[#This Row],[Name PFI/CDD]]="","-",VLOOKUP(Tableau118[[#This Row],[Name PFI/CDD]],Plant_AILN!I:J,2,FALSE))</f>
        <v>-</v>
      </c>
      <c r="AN36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4" s="2" t="e">
        <f ca="1">VLOOKUP(Tableau118[[#This Row],[Key(POD -PFI- Usine)]],'DATA Consignee'!A:J,10,FALSE)</f>
        <v>#N/A</v>
      </c>
      <c r="AQ364" s="50" t="e">
        <f ca="1">VLOOKUP(Tableau118[[#This Row],[Key(POD -PFI- Usine)]],'DATA Consignee'!A:N,14,FALSE)</f>
        <v>#N/A</v>
      </c>
      <c r="AR36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4" s="50" t="e">
        <f ca="1">Tableau118[[#This Row],[Transit time]]+Tableau118[[#This Row],[Time for security]]+Tableau118[[#This Row],[Time for security2 buffer]]</f>
        <v>#N/A</v>
      </c>
      <c r="AU36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4" s="50" t="e">
        <f ca="1">Tableau118[[#This Row],[Leadtime SI2C]]+Tableau118[[#This Row],[First Receipt Days]]-Tableau118[[#This Row],[Day Customer Order]]+1</f>
        <v>#N/A</v>
      </c>
      <c r="AW364" s="117" t="e">
        <f ca="1">IF(Tableau118[[#This Row],[Name ILN]]&lt;&gt;"SFK Freight Forwarder",Tableau118[[#This Row],[Cust. Leadtime]],Tableau118[[#This Row],[Leadtime SI2C]])</f>
        <v>#N/A</v>
      </c>
      <c r="AX364" s="57" t="e">
        <f>VLOOKUP(Tableau118[[#This Row],[ID]],'DATA BTO'!B:P,15,FALSE)</f>
        <v>#N/A</v>
      </c>
      <c r="AY364" s="328" t="e">
        <f ca="1">IFERROR(VLOOKUP(Tableau118[[#This Row],[Key(ID-Actif)]],'DATA BTO'!A:N,4,FALSE),VLOOKUP(Tableau118[[#This Row],[ID]],'DATA BTO'!B:N,3,FALSE))</f>
        <v>#N/A</v>
      </c>
      <c r="AZ36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4" s="50"/>
    </row>
    <row r="365" spans="2:57">
      <c r="B365" s="405" t="str">
        <f>_xlfn.CONCAT(Tableau118[[#This Row],[Name ILN]],"-",Tableau118[[#This Row],[Name Shipper]],"-",Tableau118[[#This Row],[Name Site]])</f>
        <v>--</v>
      </c>
      <c r="C365" s="64" t="e">
        <f ca="1">_xlfn.CONCAT(Tableau118[[#This Row],[Compte ILN]],"-",Tableau118[[#This Row],[Compte Shipper]],"-",Tableau118[[#This Row],[POL]],"-",Tableau118[[#This Row],[Compte Site]])</f>
        <v>#N/A</v>
      </c>
      <c r="D365" s="64" t="e">
        <f ca="1">_xlfn.CONCAT(Tableau118[[#This Row],[Compte ILN]],"-",Tableau118[[#This Row],[Compte Shipper]],"-",Tableau118[[#This Row],[POL]])</f>
        <v>#N/A</v>
      </c>
      <c r="E365" s="128" t="e">
        <f ca="1">_xlfn.CONCAT(Tableau118[[#This Row],[POL]],"-",Tableau118[[#This Row],[Carrier]],"-",Tableau118[[#This Row],[POD]])</f>
        <v>#N/A</v>
      </c>
      <c r="F365" s="64" t="str">
        <f>_xlfn.CONCAT(Tableau118[[#This Row],[ID]],"-","Next")</f>
        <v>-Next</v>
      </c>
      <c r="G365" s="64" t="e">
        <f ca="1">_xlfn.CONCAT(Tableau118[[#This Row],[POD]],"-",Tableau118[[#This Row],[Code PFI]],"-",Tableau118[[#This Row],[Compte Site]])</f>
        <v>#N/A</v>
      </c>
      <c r="H36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5" s="117" t="str">
        <f ca="1">IF(COUNTIF(I:I,Tableau118[[#This Row],[Plant-ILN-shipper-POL-Carrier-POD-PFI]])=1,"Non","Oui")</f>
        <v>Oui</v>
      </c>
      <c r="K365" s="126" t="e">
        <f>VLOOKUP(Tableau118[[#This Row],[Name Site]],Plant_AILN!A:D,4,FALSE)</f>
        <v>#N/A</v>
      </c>
      <c r="L365" s="363"/>
      <c r="M365" s="481"/>
      <c r="N365" s="55"/>
      <c r="O365" s="122"/>
      <c r="P365" s="481"/>
      <c r="Q365" s="50"/>
      <c r="R365" s="50"/>
      <c r="S365" s="50"/>
      <c r="T365" s="50"/>
      <c r="U365" s="50"/>
      <c r="V365" s="50"/>
      <c r="W365" s="50"/>
      <c r="X365" s="283"/>
      <c r="Y365" s="489">
        <f>IFERROR(VLOOKUP(Tableau118[[#This Row],[Name Shipper]],Plant_AILN!L:M,2,FALSE),0)</f>
        <v>0</v>
      </c>
      <c r="Z365" s="358"/>
      <c r="AA365" s="353" t="e">
        <f ca="1">VLOOKUP(Tableau118[[#This Row],[Key(ID-Actif)]],'DATA BTO'!A:N,5,FALSE)</f>
        <v>#N/A</v>
      </c>
      <c r="AB365" s="3" t="e">
        <f ca="1">VLOOKUP(Tableau118[[#This Row],[Key(ID-Actif)]],'DATA BTO'!A:N,6,FALSE)</f>
        <v>#N/A</v>
      </c>
      <c r="AC365" s="50" t="e">
        <f ca="1">VLOOKUP(Tableau118[[#This Row],[Key(ID-Actif)]],'DATA BTO'!A:N,7,FALSE)</f>
        <v>#N/A</v>
      </c>
      <c r="AD365" s="50" t="e">
        <f ca="1">VLOOKUP(Tableau118[[#This Row],[Key(ID-Actif)]],'DATA BTO'!A:N,8,FALSE)</f>
        <v>#N/A</v>
      </c>
      <c r="AE365" s="406" t="e">
        <f ca="1">IF(Tableau118[[#This Row],[First Day to POL]]&lt;=Tableau118[[#This Row],[Day Cut Off]],Tableau118[[#This Row],[Day ETD]],Tableau118[[#This Row],[Day ETD]]+7)</f>
        <v>#N/A</v>
      </c>
      <c r="AF365" s="50" t="e">
        <f ca="1">VLOOKUP(Tableau118[[#This Row],[Key(ID-Actif)]],'DATA BTO'!A:N,9,FALSE)</f>
        <v>#N/A</v>
      </c>
      <c r="AG365" s="3" t="e">
        <f ca="1">VLOOKUP(Tableau118[[#This Row],[Key(ID-Actif)]],'DATA BTO'!A:N,10,FALSE)</f>
        <v>#N/A</v>
      </c>
      <c r="AH365" s="3" t="e">
        <f ca="1">VLOOKUP(Tableau118[[#This Row],[Key(ID-Actif)]],'DATA BTO'!A:N,11,FALSE)</f>
        <v>#N/A</v>
      </c>
      <c r="AI365" s="50" t="e">
        <f ca="1">VLOOKUP(Tableau118[[#This Row],[Key(ID-Actif)]],'DATA BTO'!A:N,12,FALSE)</f>
        <v>#N/A</v>
      </c>
      <c r="AJ365" s="53" t="e">
        <f ca="1">VLOOKUP(Tableau118[[#This Row],[Key(ID-Actif)]],'DATA BTO'!A:N,14,FALSE)</f>
        <v>#N/A</v>
      </c>
      <c r="AK365" s="54" t="e">
        <f ca="1">VLOOKUP(Tableau118[[#This Row],[Key(POD -PFI- Usine)]],'DATA Consignee'!A:F,6,FALSE)</f>
        <v>#N/A</v>
      </c>
      <c r="AL365" s="283"/>
      <c r="AM365" s="490" t="str">
        <f>IF(Tableau118[[#This Row],[Name PFI/CDD]]="","-",VLOOKUP(Tableau118[[#This Row],[Name PFI/CDD]],Plant_AILN!I:J,2,FALSE))</f>
        <v>-</v>
      </c>
      <c r="AN36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5" s="2" t="e">
        <f ca="1">VLOOKUP(Tableau118[[#This Row],[Key(POD -PFI- Usine)]],'DATA Consignee'!A:J,10,FALSE)</f>
        <v>#N/A</v>
      </c>
      <c r="AQ365" s="50" t="e">
        <f ca="1">VLOOKUP(Tableau118[[#This Row],[Key(POD -PFI- Usine)]],'DATA Consignee'!A:N,14,FALSE)</f>
        <v>#N/A</v>
      </c>
      <c r="AR36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5" s="50" t="e">
        <f ca="1">Tableau118[[#This Row],[Transit time]]+Tableau118[[#This Row],[Time for security]]+Tableau118[[#This Row],[Time for security2 buffer]]</f>
        <v>#N/A</v>
      </c>
      <c r="AU36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5" s="50" t="e">
        <f ca="1">Tableau118[[#This Row],[Leadtime SI2C]]+Tableau118[[#This Row],[First Receipt Days]]-Tableau118[[#This Row],[Day Customer Order]]+1</f>
        <v>#N/A</v>
      </c>
      <c r="AW365" s="117" t="e">
        <f ca="1">IF(Tableau118[[#This Row],[Name ILN]]&lt;&gt;"SFK Freight Forwarder",Tableau118[[#This Row],[Cust. Leadtime]],Tableau118[[#This Row],[Leadtime SI2C]])</f>
        <v>#N/A</v>
      </c>
      <c r="AX365" s="57" t="e">
        <f>VLOOKUP(Tableau118[[#This Row],[ID]],'DATA BTO'!B:P,15,FALSE)</f>
        <v>#N/A</v>
      </c>
      <c r="AY365" s="328" t="e">
        <f ca="1">IFERROR(VLOOKUP(Tableau118[[#This Row],[Key(ID-Actif)]],'DATA BTO'!A:N,4,FALSE),VLOOKUP(Tableau118[[#This Row],[ID]],'DATA BTO'!B:N,3,FALSE))</f>
        <v>#N/A</v>
      </c>
      <c r="AZ36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5" s="50"/>
    </row>
    <row r="366" spans="2:57">
      <c r="B366" s="405" t="str">
        <f>_xlfn.CONCAT(Tableau118[[#This Row],[Name ILN]],"-",Tableau118[[#This Row],[Name Shipper]],"-",Tableau118[[#This Row],[Name Site]])</f>
        <v>--</v>
      </c>
      <c r="C366" s="64" t="e">
        <f ca="1">_xlfn.CONCAT(Tableau118[[#This Row],[Compte ILN]],"-",Tableau118[[#This Row],[Compte Shipper]],"-",Tableau118[[#This Row],[POL]],"-",Tableau118[[#This Row],[Compte Site]])</f>
        <v>#N/A</v>
      </c>
      <c r="D366" s="64" t="e">
        <f ca="1">_xlfn.CONCAT(Tableau118[[#This Row],[Compte ILN]],"-",Tableau118[[#This Row],[Compte Shipper]],"-",Tableau118[[#This Row],[POL]])</f>
        <v>#N/A</v>
      </c>
      <c r="E366" s="128" t="e">
        <f ca="1">_xlfn.CONCAT(Tableau118[[#This Row],[POL]],"-",Tableau118[[#This Row],[Carrier]],"-",Tableau118[[#This Row],[POD]])</f>
        <v>#N/A</v>
      </c>
      <c r="F366" s="64" t="str">
        <f>_xlfn.CONCAT(Tableau118[[#This Row],[ID]],"-","Next")</f>
        <v>-Next</v>
      </c>
      <c r="G366" s="64" t="e">
        <f ca="1">_xlfn.CONCAT(Tableau118[[#This Row],[POD]],"-",Tableau118[[#This Row],[Code PFI]],"-",Tableau118[[#This Row],[Compte Site]])</f>
        <v>#N/A</v>
      </c>
      <c r="H36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6" s="117" t="str">
        <f ca="1">IF(COUNTIF(I:I,Tableau118[[#This Row],[Plant-ILN-shipper-POL-Carrier-POD-PFI]])=1,"Non","Oui")</f>
        <v>Oui</v>
      </c>
      <c r="K366" s="126" t="e">
        <f>VLOOKUP(Tableau118[[#This Row],[Name Site]],Plant_AILN!A:D,4,FALSE)</f>
        <v>#N/A</v>
      </c>
      <c r="L366" s="363"/>
      <c r="M366" s="481"/>
      <c r="N366" s="55"/>
      <c r="O366" s="122"/>
      <c r="P366" s="481"/>
      <c r="Q366" s="50"/>
      <c r="R366" s="50"/>
      <c r="S366" s="50"/>
      <c r="T366" s="50"/>
      <c r="U366" s="50"/>
      <c r="V366" s="50"/>
      <c r="W366" s="50"/>
      <c r="X366" s="283"/>
      <c r="Y366" s="489">
        <f>IFERROR(VLOOKUP(Tableau118[[#This Row],[Name Shipper]],Plant_AILN!L:M,2,FALSE),0)</f>
        <v>0</v>
      </c>
      <c r="Z366" s="358"/>
      <c r="AA366" s="353" t="e">
        <f ca="1">VLOOKUP(Tableau118[[#This Row],[Key(ID-Actif)]],'DATA BTO'!A:N,5,FALSE)</f>
        <v>#N/A</v>
      </c>
      <c r="AB366" s="3" t="e">
        <f ca="1">VLOOKUP(Tableau118[[#This Row],[Key(ID-Actif)]],'DATA BTO'!A:N,6,FALSE)</f>
        <v>#N/A</v>
      </c>
      <c r="AC366" s="50" t="e">
        <f ca="1">VLOOKUP(Tableau118[[#This Row],[Key(ID-Actif)]],'DATA BTO'!A:N,7,FALSE)</f>
        <v>#N/A</v>
      </c>
      <c r="AD366" s="50" t="e">
        <f ca="1">VLOOKUP(Tableau118[[#This Row],[Key(ID-Actif)]],'DATA BTO'!A:N,8,FALSE)</f>
        <v>#N/A</v>
      </c>
      <c r="AE366" s="406" t="e">
        <f ca="1">IF(Tableau118[[#This Row],[First Day to POL]]&lt;=Tableau118[[#This Row],[Day Cut Off]],Tableau118[[#This Row],[Day ETD]],Tableau118[[#This Row],[Day ETD]]+7)</f>
        <v>#N/A</v>
      </c>
      <c r="AF366" s="50" t="e">
        <f ca="1">VLOOKUP(Tableau118[[#This Row],[Key(ID-Actif)]],'DATA BTO'!A:N,9,FALSE)</f>
        <v>#N/A</v>
      </c>
      <c r="AG366" s="3" t="e">
        <f ca="1">VLOOKUP(Tableau118[[#This Row],[Key(ID-Actif)]],'DATA BTO'!A:N,10,FALSE)</f>
        <v>#N/A</v>
      </c>
      <c r="AH366" s="3" t="e">
        <f ca="1">VLOOKUP(Tableau118[[#This Row],[Key(ID-Actif)]],'DATA BTO'!A:N,11,FALSE)</f>
        <v>#N/A</v>
      </c>
      <c r="AI366" s="50" t="e">
        <f ca="1">VLOOKUP(Tableau118[[#This Row],[Key(ID-Actif)]],'DATA BTO'!A:N,12,FALSE)</f>
        <v>#N/A</v>
      </c>
      <c r="AJ366" s="53" t="e">
        <f ca="1">VLOOKUP(Tableau118[[#This Row],[Key(ID-Actif)]],'DATA BTO'!A:N,14,FALSE)</f>
        <v>#N/A</v>
      </c>
      <c r="AK366" s="54" t="e">
        <f ca="1">VLOOKUP(Tableau118[[#This Row],[Key(POD -PFI- Usine)]],'DATA Consignee'!A:F,6,FALSE)</f>
        <v>#N/A</v>
      </c>
      <c r="AL366" s="283"/>
      <c r="AM366" s="490" t="str">
        <f>IF(Tableau118[[#This Row],[Name PFI/CDD]]="","-",VLOOKUP(Tableau118[[#This Row],[Name PFI/CDD]],Plant_AILN!I:J,2,FALSE))</f>
        <v>-</v>
      </c>
      <c r="AN36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6" s="2" t="e">
        <f ca="1">VLOOKUP(Tableau118[[#This Row],[Key(POD -PFI- Usine)]],'DATA Consignee'!A:J,10,FALSE)</f>
        <v>#N/A</v>
      </c>
      <c r="AQ366" s="50" t="e">
        <f ca="1">VLOOKUP(Tableau118[[#This Row],[Key(POD -PFI- Usine)]],'DATA Consignee'!A:N,14,FALSE)</f>
        <v>#N/A</v>
      </c>
      <c r="AR36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6" s="50" t="e">
        <f ca="1">Tableau118[[#This Row],[Transit time]]+Tableau118[[#This Row],[Time for security]]+Tableau118[[#This Row],[Time for security2 buffer]]</f>
        <v>#N/A</v>
      </c>
      <c r="AU36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6" s="50" t="e">
        <f ca="1">Tableau118[[#This Row],[Leadtime SI2C]]+Tableau118[[#This Row],[First Receipt Days]]-Tableau118[[#This Row],[Day Customer Order]]+1</f>
        <v>#N/A</v>
      </c>
      <c r="AW366" s="117" t="e">
        <f ca="1">IF(Tableau118[[#This Row],[Name ILN]]&lt;&gt;"SFK Freight Forwarder",Tableau118[[#This Row],[Cust. Leadtime]],Tableau118[[#This Row],[Leadtime SI2C]])</f>
        <v>#N/A</v>
      </c>
      <c r="AX366" s="57" t="e">
        <f>VLOOKUP(Tableau118[[#This Row],[ID]],'DATA BTO'!B:P,15,FALSE)</f>
        <v>#N/A</v>
      </c>
      <c r="AY366" s="328" t="e">
        <f ca="1">IFERROR(VLOOKUP(Tableau118[[#This Row],[Key(ID-Actif)]],'DATA BTO'!A:N,4,FALSE),VLOOKUP(Tableau118[[#This Row],[ID]],'DATA BTO'!B:N,3,FALSE))</f>
        <v>#N/A</v>
      </c>
      <c r="AZ36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6" s="50"/>
    </row>
    <row r="367" spans="2:57">
      <c r="B367" s="405" t="str">
        <f>_xlfn.CONCAT(Tableau118[[#This Row],[Name ILN]],"-",Tableau118[[#This Row],[Name Shipper]],"-",Tableau118[[#This Row],[Name Site]])</f>
        <v>--</v>
      </c>
      <c r="C367" s="64" t="e">
        <f ca="1">_xlfn.CONCAT(Tableau118[[#This Row],[Compte ILN]],"-",Tableau118[[#This Row],[Compte Shipper]],"-",Tableau118[[#This Row],[POL]],"-",Tableau118[[#This Row],[Compte Site]])</f>
        <v>#N/A</v>
      </c>
      <c r="D367" s="64" t="e">
        <f ca="1">_xlfn.CONCAT(Tableau118[[#This Row],[Compte ILN]],"-",Tableau118[[#This Row],[Compte Shipper]],"-",Tableau118[[#This Row],[POL]])</f>
        <v>#N/A</v>
      </c>
      <c r="E367" s="128" t="e">
        <f ca="1">_xlfn.CONCAT(Tableau118[[#This Row],[POL]],"-",Tableau118[[#This Row],[Carrier]],"-",Tableau118[[#This Row],[POD]])</f>
        <v>#N/A</v>
      </c>
      <c r="F367" s="64" t="str">
        <f>_xlfn.CONCAT(Tableau118[[#This Row],[ID]],"-","Next")</f>
        <v>-Next</v>
      </c>
      <c r="G367" s="64" t="e">
        <f ca="1">_xlfn.CONCAT(Tableau118[[#This Row],[POD]],"-",Tableau118[[#This Row],[Code PFI]],"-",Tableau118[[#This Row],[Compte Site]])</f>
        <v>#N/A</v>
      </c>
      <c r="H36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7" s="117" t="str">
        <f ca="1">IF(COUNTIF(I:I,Tableau118[[#This Row],[Plant-ILN-shipper-POL-Carrier-POD-PFI]])=1,"Non","Oui")</f>
        <v>Oui</v>
      </c>
      <c r="K367" s="126" t="e">
        <f>VLOOKUP(Tableau118[[#This Row],[Name Site]],Plant_AILN!A:D,4,FALSE)</f>
        <v>#N/A</v>
      </c>
      <c r="L367" s="363"/>
      <c r="M367" s="481"/>
      <c r="N367" s="55"/>
      <c r="O367" s="122"/>
      <c r="P367" s="481"/>
      <c r="Q367" s="50"/>
      <c r="R367" s="50"/>
      <c r="S367" s="50"/>
      <c r="T367" s="50"/>
      <c r="U367" s="50"/>
      <c r="V367" s="50"/>
      <c r="W367" s="50"/>
      <c r="X367" s="283"/>
      <c r="Y367" s="489">
        <f>IFERROR(VLOOKUP(Tableau118[[#This Row],[Name Shipper]],Plant_AILN!L:M,2,FALSE),0)</f>
        <v>0</v>
      </c>
      <c r="Z367" s="358"/>
      <c r="AA367" s="353" t="e">
        <f ca="1">VLOOKUP(Tableau118[[#This Row],[Key(ID-Actif)]],'DATA BTO'!A:N,5,FALSE)</f>
        <v>#N/A</v>
      </c>
      <c r="AB367" s="3" t="e">
        <f ca="1">VLOOKUP(Tableau118[[#This Row],[Key(ID-Actif)]],'DATA BTO'!A:N,6,FALSE)</f>
        <v>#N/A</v>
      </c>
      <c r="AC367" s="50" t="e">
        <f ca="1">VLOOKUP(Tableau118[[#This Row],[Key(ID-Actif)]],'DATA BTO'!A:N,7,FALSE)</f>
        <v>#N/A</v>
      </c>
      <c r="AD367" s="50" t="e">
        <f ca="1">VLOOKUP(Tableau118[[#This Row],[Key(ID-Actif)]],'DATA BTO'!A:N,8,FALSE)</f>
        <v>#N/A</v>
      </c>
      <c r="AE367" s="406" t="e">
        <f ca="1">IF(Tableau118[[#This Row],[First Day to POL]]&lt;=Tableau118[[#This Row],[Day Cut Off]],Tableau118[[#This Row],[Day ETD]],Tableau118[[#This Row],[Day ETD]]+7)</f>
        <v>#N/A</v>
      </c>
      <c r="AF367" s="50" t="e">
        <f ca="1">VLOOKUP(Tableau118[[#This Row],[Key(ID-Actif)]],'DATA BTO'!A:N,9,FALSE)</f>
        <v>#N/A</v>
      </c>
      <c r="AG367" s="3" t="e">
        <f ca="1">VLOOKUP(Tableau118[[#This Row],[Key(ID-Actif)]],'DATA BTO'!A:N,10,FALSE)</f>
        <v>#N/A</v>
      </c>
      <c r="AH367" s="3" t="e">
        <f ca="1">VLOOKUP(Tableau118[[#This Row],[Key(ID-Actif)]],'DATA BTO'!A:N,11,FALSE)</f>
        <v>#N/A</v>
      </c>
      <c r="AI367" s="50" t="e">
        <f ca="1">VLOOKUP(Tableau118[[#This Row],[Key(ID-Actif)]],'DATA BTO'!A:N,12,FALSE)</f>
        <v>#N/A</v>
      </c>
      <c r="AJ367" s="53" t="e">
        <f ca="1">VLOOKUP(Tableau118[[#This Row],[Key(ID-Actif)]],'DATA BTO'!A:N,14,FALSE)</f>
        <v>#N/A</v>
      </c>
      <c r="AK367" s="54" t="e">
        <f ca="1">VLOOKUP(Tableau118[[#This Row],[Key(POD -PFI- Usine)]],'DATA Consignee'!A:F,6,FALSE)</f>
        <v>#N/A</v>
      </c>
      <c r="AL367" s="283"/>
      <c r="AM367" s="490" t="str">
        <f>IF(Tableau118[[#This Row],[Name PFI/CDD]]="","-",VLOOKUP(Tableau118[[#This Row],[Name PFI/CDD]],Plant_AILN!I:J,2,FALSE))</f>
        <v>-</v>
      </c>
      <c r="AN36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7" s="2" t="e">
        <f ca="1">VLOOKUP(Tableau118[[#This Row],[Key(POD -PFI- Usine)]],'DATA Consignee'!A:J,10,FALSE)</f>
        <v>#N/A</v>
      </c>
      <c r="AQ367" s="50" t="e">
        <f ca="1">VLOOKUP(Tableau118[[#This Row],[Key(POD -PFI- Usine)]],'DATA Consignee'!A:N,14,FALSE)</f>
        <v>#N/A</v>
      </c>
      <c r="AR36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7" s="50" t="e">
        <f ca="1">Tableau118[[#This Row],[Transit time]]+Tableau118[[#This Row],[Time for security]]+Tableau118[[#This Row],[Time for security2 buffer]]</f>
        <v>#N/A</v>
      </c>
      <c r="AU36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7" s="50" t="e">
        <f ca="1">Tableau118[[#This Row],[Leadtime SI2C]]+Tableau118[[#This Row],[First Receipt Days]]-Tableau118[[#This Row],[Day Customer Order]]+1</f>
        <v>#N/A</v>
      </c>
      <c r="AW367" s="117" t="e">
        <f ca="1">IF(Tableau118[[#This Row],[Name ILN]]&lt;&gt;"SFK Freight Forwarder",Tableau118[[#This Row],[Cust. Leadtime]],Tableau118[[#This Row],[Leadtime SI2C]])</f>
        <v>#N/A</v>
      </c>
      <c r="AX367" s="57" t="e">
        <f>VLOOKUP(Tableau118[[#This Row],[ID]],'DATA BTO'!B:P,15,FALSE)</f>
        <v>#N/A</v>
      </c>
      <c r="AY367" s="328" t="e">
        <f ca="1">IFERROR(VLOOKUP(Tableau118[[#This Row],[Key(ID-Actif)]],'DATA BTO'!A:N,4,FALSE),VLOOKUP(Tableau118[[#This Row],[ID]],'DATA BTO'!B:N,3,FALSE))</f>
        <v>#N/A</v>
      </c>
      <c r="AZ36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7" s="50"/>
    </row>
    <row r="368" spans="2:57">
      <c r="B368" s="405" t="str">
        <f>_xlfn.CONCAT(Tableau118[[#This Row],[Name ILN]],"-",Tableau118[[#This Row],[Name Shipper]],"-",Tableau118[[#This Row],[Name Site]])</f>
        <v>--</v>
      </c>
      <c r="C368" s="64" t="e">
        <f ca="1">_xlfn.CONCAT(Tableau118[[#This Row],[Compte ILN]],"-",Tableau118[[#This Row],[Compte Shipper]],"-",Tableau118[[#This Row],[POL]],"-",Tableau118[[#This Row],[Compte Site]])</f>
        <v>#N/A</v>
      </c>
      <c r="D368" s="64" t="e">
        <f ca="1">_xlfn.CONCAT(Tableau118[[#This Row],[Compte ILN]],"-",Tableau118[[#This Row],[Compte Shipper]],"-",Tableau118[[#This Row],[POL]])</f>
        <v>#N/A</v>
      </c>
      <c r="E368" s="128" t="e">
        <f ca="1">_xlfn.CONCAT(Tableau118[[#This Row],[POL]],"-",Tableau118[[#This Row],[Carrier]],"-",Tableau118[[#This Row],[POD]])</f>
        <v>#N/A</v>
      </c>
      <c r="F368" s="64" t="str">
        <f>_xlfn.CONCAT(Tableau118[[#This Row],[ID]],"-","Next")</f>
        <v>-Next</v>
      </c>
      <c r="G368" s="64" t="e">
        <f ca="1">_xlfn.CONCAT(Tableau118[[#This Row],[POD]],"-",Tableau118[[#This Row],[Code PFI]],"-",Tableau118[[#This Row],[Compte Site]])</f>
        <v>#N/A</v>
      </c>
      <c r="H36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8" s="117" t="str">
        <f ca="1">IF(COUNTIF(I:I,Tableau118[[#This Row],[Plant-ILN-shipper-POL-Carrier-POD-PFI]])=1,"Non","Oui")</f>
        <v>Oui</v>
      </c>
      <c r="K368" s="126" t="e">
        <f>VLOOKUP(Tableau118[[#This Row],[Name Site]],Plant_AILN!A:D,4,FALSE)</f>
        <v>#N/A</v>
      </c>
      <c r="L368" s="363"/>
      <c r="M368" s="481"/>
      <c r="N368" s="55"/>
      <c r="O368" s="122"/>
      <c r="P368" s="481"/>
      <c r="Q368" s="50"/>
      <c r="R368" s="50"/>
      <c r="S368" s="50"/>
      <c r="T368" s="50"/>
      <c r="U368" s="50"/>
      <c r="V368" s="50"/>
      <c r="W368" s="50"/>
      <c r="X368" s="283"/>
      <c r="Y368" s="489">
        <f>IFERROR(VLOOKUP(Tableau118[[#This Row],[Name Shipper]],Plant_AILN!L:M,2,FALSE),0)</f>
        <v>0</v>
      </c>
      <c r="Z368" s="358"/>
      <c r="AA368" s="353" t="e">
        <f ca="1">VLOOKUP(Tableau118[[#This Row],[Key(ID-Actif)]],'DATA BTO'!A:N,5,FALSE)</f>
        <v>#N/A</v>
      </c>
      <c r="AB368" s="3" t="e">
        <f ca="1">VLOOKUP(Tableau118[[#This Row],[Key(ID-Actif)]],'DATA BTO'!A:N,6,FALSE)</f>
        <v>#N/A</v>
      </c>
      <c r="AC368" s="50" t="e">
        <f ca="1">VLOOKUP(Tableau118[[#This Row],[Key(ID-Actif)]],'DATA BTO'!A:N,7,FALSE)</f>
        <v>#N/A</v>
      </c>
      <c r="AD368" s="50" t="e">
        <f ca="1">VLOOKUP(Tableau118[[#This Row],[Key(ID-Actif)]],'DATA BTO'!A:N,8,FALSE)</f>
        <v>#N/A</v>
      </c>
      <c r="AE368" s="406" t="e">
        <f ca="1">IF(Tableau118[[#This Row],[First Day to POL]]&lt;=Tableau118[[#This Row],[Day Cut Off]],Tableau118[[#This Row],[Day ETD]],Tableau118[[#This Row],[Day ETD]]+7)</f>
        <v>#N/A</v>
      </c>
      <c r="AF368" s="50" t="e">
        <f ca="1">VLOOKUP(Tableau118[[#This Row],[Key(ID-Actif)]],'DATA BTO'!A:N,9,FALSE)</f>
        <v>#N/A</v>
      </c>
      <c r="AG368" s="3" t="e">
        <f ca="1">VLOOKUP(Tableau118[[#This Row],[Key(ID-Actif)]],'DATA BTO'!A:N,10,FALSE)</f>
        <v>#N/A</v>
      </c>
      <c r="AH368" s="3" t="e">
        <f ca="1">VLOOKUP(Tableau118[[#This Row],[Key(ID-Actif)]],'DATA BTO'!A:N,11,FALSE)</f>
        <v>#N/A</v>
      </c>
      <c r="AI368" s="50" t="e">
        <f ca="1">VLOOKUP(Tableau118[[#This Row],[Key(ID-Actif)]],'DATA BTO'!A:N,12,FALSE)</f>
        <v>#N/A</v>
      </c>
      <c r="AJ368" s="53" t="e">
        <f ca="1">VLOOKUP(Tableau118[[#This Row],[Key(ID-Actif)]],'DATA BTO'!A:N,14,FALSE)</f>
        <v>#N/A</v>
      </c>
      <c r="AK368" s="54" t="e">
        <f ca="1">VLOOKUP(Tableau118[[#This Row],[Key(POD -PFI- Usine)]],'DATA Consignee'!A:F,6,FALSE)</f>
        <v>#N/A</v>
      </c>
      <c r="AL368" s="283"/>
      <c r="AM368" s="490" t="str">
        <f>IF(Tableau118[[#This Row],[Name PFI/CDD]]="","-",VLOOKUP(Tableau118[[#This Row],[Name PFI/CDD]],Plant_AILN!I:J,2,FALSE))</f>
        <v>-</v>
      </c>
      <c r="AN36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8" s="2" t="e">
        <f ca="1">VLOOKUP(Tableau118[[#This Row],[Key(POD -PFI- Usine)]],'DATA Consignee'!A:J,10,FALSE)</f>
        <v>#N/A</v>
      </c>
      <c r="AQ368" s="50" t="e">
        <f ca="1">VLOOKUP(Tableau118[[#This Row],[Key(POD -PFI- Usine)]],'DATA Consignee'!A:N,14,FALSE)</f>
        <v>#N/A</v>
      </c>
      <c r="AR36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8" s="50" t="e">
        <f ca="1">Tableau118[[#This Row],[Transit time]]+Tableau118[[#This Row],[Time for security]]+Tableau118[[#This Row],[Time for security2 buffer]]</f>
        <v>#N/A</v>
      </c>
      <c r="AU36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8" s="50" t="e">
        <f ca="1">Tableau118[[#This Row],[Leadtime SI2C]]+Tableau118[[#This Row],[First Receipt Days]]-Tableau118[[#This Row],[Day Customer Order]]+1</f>
        <v>#N/A</v>
      </c>
      <c r="AW368" s="117" t="e">
        <f ca="1">IF(Tableau118[[#This Row],[Name ILN]]&lt;&gt;"SFK Freight Forwarder",Tableau118[[#This Row],[Cust. Leadtime]],Tableau118[[#This Row],[Leadtime SI2C]])</f>
        <v>#N/A</v>
      </c>
      <c r="AX368" s="57" t="e">
        <f>VLOOKUP(Tableau118[[#This Row],[ID]],'DATA BTO'!B:P,15,FALSE)</f>
        <v>#N/A</v>
      </c>
      <c r="AY368" s="328" t="e">
        <f ca="1">IFERROR(VLOOKUP(Tableau118[[#This Row],[Key(ID-Actif)]],'DATA BTO'!A:N,4,FALSE),VLOOKUP(Tableau118[[#This Row],[ID]],'DATA BTO'!B:N,3,FALSE))</f>
        <v>#N/A</v>
      </c>
      <c r="AZ36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8" s="50"/>
    </row>
    <row r="369" spans="2:57">
      <c r="B369" s="405" t="str">
        <f>_xlfn.CONCAT(Tableau118[[#This Row],[Name ILN]],"-",Tableau118[[#This Row],[Name Shipper]],"-",Tableau118[[#This Row],[Name Site]])</f>
        <v>--</v>
      </c>
      <c r="C369" s="64" t="e">
        <f ca="1">_xlfn.CONCAT(Tableau118[[#This Row],[Compte ILN]],"-",Tableau118[[#This Row],[Compte Shipper]],"-",Tableau118[[#This Row],[POL]],"-",Tableau118[[#This Row],[Compte Site]])</f>
        <v>#N/A</v>
      </c>
      <c r="D369" s="64" t="e">
        <f ca="1">_xlfn.CONCAT(Tableau118[[#This Row],[Compte ILN]],"-",Tableau118[[#This Row],[Compte Shipper]],"-",Tableau118[[#This Row],[POL]])</f>
        <v>#N/A</v>
      </c>
      <c r="E369" s="128" t="e">
        <f ca="1">_xlfn.CONCAT(Tableau118[[#This Row],[POL]],"-",Tableau118[[#This Row],[Carrier]],"-",Tableau118[[#This Row],[POD]])</f>
        <v>#N/A</v>
      </c>
      <c r="F369" s="64" t="str">
        <f>_xlfn.CONCAT(Tableau118[[#This Row],[ID]],"-","Next")</f>
        <v>-Next</v>
      </c>
      <c r="G369" s="64" t="e">
        <f ca="1">_xlfn.CONCAT(Tableau118[[#This Row],[POD]],"-",Tableau118[[#This Row],[Code PFI]],"-",Tableau118[[#This Row],[Compte Site]])</f>
        <v>#N/A</v>
      </c>
      <c r="H36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6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69" s="117" t="str">
        <f ca="1">IF(COUNTIF(I:I,Tableau118[[#This Row],[Plant-ILN-shipper-POL-Carrier-POD-PFI]])=1,"Non","Oui")</f>
        <v>Oui</v>
      </c>
      <c r="K369" s="126" t="e">
        <f>VLOOKUP(Tableau118[[#This Row],[Name Site]],Plant_AILN!A:D,4,FALSE)</f>
        <v>#N/A</v>
      </c>
      <c r="L369" s="363"/>
      <c r="M369" s="481"/>
      <c r="N369" s="55"/>
      <c r="O369" s="122"/>
      <c r="P369" s="481"/>
      <c r="Q369" s="50"/>
      <c r="R369" s="50"/>
      <c r="S369" s="50"/>
      <c r="T369" s="50"/>
      <c r="U369" s="50"/>
      <c r="V369" s="50"/>
      <c r="W369" s="50"/>
      <c r="X369" s="283"/>
      <c r="Y369" s="489">
        <f>IFERROR(VLOOKUP(Tableau118[[#This Row],[Name Shipper]],Plant_AILN!L:M,2,FALSE),0)</f>
        <v>0</v>
      </c>
      <c r="Z369" s="358"/>
      <c r="AA369" s="353" t="e">
        <f ca="1">VLOOKUP(Tableau118[[#This Row],[Key(ID-Actif)]],'DATA BTO'!A:N,5,FALSE)</f>
        <v>#N/A</v>
      </c>
      <c r="AB369" s="3" t="e">
        <f ca="1">VLOOKUP(Tableau118[[#This Row],[Key(ID-Actif)]],'DATA BTO'!A:N,6,FALSE)</f>
        <v>#N/A</v>
      </c>
      <c r="AC369" s="50" t="e">
        <f ca="1">VLOOKUP(Tableau118[[#This Row],[Key(ID-Actif)]],'DATA BTO'!A:N,7,FALSE)</f>
        <v>#N/A</v>
      </c>
      <c r="AD369" s="50" t="e">
        <f ca="1">VLOOKUP(Tableau118[[#This Row],[Key(ID-Actif)]],'DATA BTO'!A:N,8,FALSE)</f>
        <v>#N/A</v>
      </c>
      <c r="AE369" s="406" t="e">
        <f ca="1">IF(Tableau118[[#This Row],[First Day to POL]]&lt;=Tableau118[[#This Row],[Day Cut Off]],Tableau118[[#This Row],[Day ETD]],Tableau118[[#This Row],[Day ETD]]+7)</f>
        <v>#N/A</v>
      </c>
      <c r="AF369" s="50" t="e">
        <f ca="1">VLOOKUP(Tableau118[[#This Row],[Key(ID-Actif)]],'DATA BTO'!A:N,9,FALSE)</f>
        <v>#N/A</v>
      </c>
      <c r="AG369" s="3" t="e">
        <f ca="1">VLOOKUP(Tableau118[[#This Row],[Key(ID-Actif)]],'DATA BTO'!A:N,10,FALSE)</f>
        <v>#N/A</v>
      </c>
      <c r="AH369" s="3" t="e">
        <f ca="1">VLOOKUP(Tableau118[[#This Row],[Key(ID-Actif)]],'DATA BTO'!A:N,11,FALSE)</f>
        <v>#N/A</v>
      </c>
      <c r="AI369" s="50" t="e">
        <f ca="1">VLOOKUP(Tableau118[[#This Row],[Key(ID-Actif)]],'DATA BTO'!A:N,12,FALSE)</f>
        <v>#N/A</v>
      </c>
      <c r="AJ369" s="53" t="e">
        <f ca="1">VLOOKUP(Tableau118[[#This Row],[Key(ID-Actif)]],'DATA BTO'!A:N,14,FALSE)</f>
        <v>#N/A</v>
      </c>
      <c r="AK369" s="54" t="e">
        <f ca="1">VLOOKUP(Tableau118[[#This Row],[Key(POD -PFI- Usine)]],'DATA Consignee'!A:F,6,FALSE)</f>
        <v>#N/A</v>
      </c>
      <c r="AL369" s="283"/>
      <c r="AM369" s="490" t="str">
        <f>IF(Tableau118[[#This Row],[Name PFI/CDD]]="","-",VLOOKUP(Tableau118[[#This Row],[Name PFI/CDD]],Plant_AILN!I:J,2,FALSE))</f>
        <v>-</v>
      </c>
      <c r="AN36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6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69" s="2" t="e">
        <f ca="1">VLOOKUP(Tableau118[[#This Row],[Key(POD -PFI- Usine)]],'DATA Consignee'!A:J,10,FALSE)</f>
        <v>#N/A</v>
      </c>
      <c r="AQ369" s="50" t="e">
        <f ca="1">VLOOKUP(Tableau118[[#This Row],[Key(POD -PFI- Usine)]],'DATA Consignee'!A:N,14,FALSE)</f>
        <v>#N/A</v>
      </c>
      <c r="AR36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6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69" s="50" t="e">
        <f ca="1">Tableau118[[#This Row],[Transit time]]+Tableau118[[#This Row],[Time for security]]+Tableau118[[#This Row],[Time for security2 buffer]]</f>
        <v>#N/A</v>
      </c>
      <c r="AU36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69" s="50" t="e">
        <f ca="1">Tableau118[[#This Row],[Leadtime SI2C]]+Tableau118[[#This Row],[First Receipt Days]]-Tableau118[[#This Row],[Day Customer Order]]+1</f>
        <v>#N/A</v>
      </c>
      <c r="AW369" s="117" t="e">
        <f ca="1">IF(Tableau118[[#This Row],[Name ILN]]&lt;&gt;"SFK Freight Forwarder",Tableau118[[#This Row],[Cust. Leadtime]],Tableau118[[#This Row],[Leadtime SI2C]])</f>
        <v>#N/A</v>
      </c>
      <c r="AX369" s="57" t="e">
        <f>VLOOKUP(Tableau118[[#This Row],[ID]],'DATA BTO'!B:P,15,FALSE)</f>
        <v>#N/A</v>
      </c>
      <c r="AY369" s="328" t="e">
        <f ca="1">IFERROR(VLOOKUP(Tableau118[[#This Row],[Key(ID-Actif)]],'DATA BTO'!A:N,4,FALSE),VLOOKUP(Tableau118[[#This Row],[ID]],'DATA BTO'!B:N,3,FALSE))</f>
        <v>#N/A</v>
      </c>
      <c r="AZ36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6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6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6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6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69" s="50"/>
    </row>
    <row r="370" spans="2:57">
      <c r="B370" s="405" t="str">
        <f>_xlfn.CONCAT(Tableau118[[#This Row],[Name ILN]],"-",Tableau118[[#This Row],[Name Shipper]],"-",Tableau118[[#This Row],[Name Site]])</f>
        <v>--</v>
      </c>
      <c r="C370" s="64" t="e">
        <f ca="1">_xlfn.CONCAT(Tableau118[[#This Row],[Compte ILN]],"-",Tableau118[[#This Row],[Compte Shipper]],"-",Tableau118[[#This Row],[POL]],"-",Tableau118[[#This Row],[Compte Site]])</f>
        <v>#N/A</v>
      </c>
      <c r="D370" s="64" t="e">
        <f ca="1">_xlfn.CONCAT(Tableau118[[#This Row],[Compte ILN]],"-",Tableau118[[#This Row],[Compte Shipper]],"-",Tableau118[[#This Row],[POL]])</f>
        <v>#N/A</v>
      </c>
      <c r="E370" s="128" t="e">
        <f ca="1">_xlfn.CONCAT(Tableau118[[#This Row],[POL]],"-",Tableau118[[#This Row],[Carrier]],"-",Tableau118[[#This Row],[POD]])</f>
        <v>#N/A</v>
      </c>
      <c r="F370" s="64" t="str">
        <f>_xlfn.CONCAT(Tableau118[[#This Row],[ID]],"-","Next")</f>
        <v>-Next</v>
      </c>
      <c r="G370" s="64" t="e">
        <f ca="1">_xlfn.CONCAT(Tableau118[[#This Row],[POD]],"-",Tableau118[[#This Row],[Code PFI]],"-",Tableau118[[#This Row],[Compte Site]])</f>
        <v>#N/A</v>
      </c>
      <c r="H37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0" s="117" t="str">
        <f ca="1">IF(COUNTIF(I:I,Tableau118[[#This Row],[Plant-ILN-shipper-POL-Carrier-POD-PFI]])=1,"Non","Oui")</f>
        <v>Oui</v>
      </c>
      <c r="K370" s="126" t="e">
        <f>VLOOKUP(Tableau118[[#This Row],[Name Site]],Plant_AILN!A:D,4,FALSE)</f>
        <v>#N/A</v>
      </c>
      <c r="L370" s="363"/>
      <c r="M370" s="481"/>
      <c r="N370" s="55"/>
      <c r="O370" s="122"/>
      <c r="P370" s="481"/>
      <c r="Q370" s="50"/>
      <c r="R370" s="50"/>
      <c r="S370" s="50"/>
      <c r="T370" s="50"/>
      <c r="U370" s="50"/>
      <c r="V370" s="50"/>
      <c r="W370" s="50"/>
      <c r="X370" s="283"/>
      <c r="Y370" s="489">
        <f>IFERROR(VLOOKUP(Tableau118[[#This Row],[Name Shipper]],Plant_AILN!L:M,2,FALSE),0)</f>
        <v>0</v>
      </c>
      <c r="Z370" s="358"/>
      <c r="AA370" s="353" t="e">
        <f ca="1">VLOOKUP(Tableau118[[#This Row],[Key(ID-Actif)]],'DATA BTO'!A:N,5,FALSE)</f>
        <v>#N/A</v>
      </c>
      <c r="AB370" s="3" t="e">
        <f ca="1">VLOOKUP(Tableau118[[#This Row],[Key(ID-Actif)]],'DATA BTO'!A:N,6,FALSE)</f>
        <v>#N/A</v>
      </c>
      <c r="AC370" s="50" t="e">
        <f ca="1">VLOOKUP(Tableau118[[#This Row],[Key(ID-Actif)]],'DATA BTO'!A:N,7,FALSE)</f>
        <v>#N/A</v>
      </c>
      <c r="AD370" s="50" t="e">
        <f ca="1">VLOOKUP(Tableau118[[#This Row],[Key(ID-Actif)]],'DATA BTO'!A:N,8,FALSE)</f>
        <v>#N/A</v>
      </c>
      <c r="AE370" s="406" t="e">
        <f ca="1">IF(Tableau118[[#This Row],[First Day to POL]]&lt;=Tableau118[[#This Row],[Day Cut Off]],Tableau118[[#This Row],[Day ETD]],Tableau118[[#This Row],[Day ETD]]+7)</f>
        <v>#N/A</v>
      </c>
      <c r="AF370" s="50" t="e">
        <f ca="1">VLOOKUP(Tableau118[[#This Row],[Key(ID-Actif)]],'DATA BTO'!A:N,9,FALSE)</f>
        <v>#N/A</v>
      </c>
      <c r="AG370" s="3" t="e">
        <f ca="1">VLOOKUP(Tableau118[[#This Row],[Key(ID-Actif)]],'DATA BTO'!A:N,10,FALSE)</f>
        <v>#N/A</v>
      </c>
      <c r="AH370" s="3" t="e">
        <f ca="1">VLOOKUP(Tableau118[[#This Row],[Key(ID-Actif)]],'DATA BTO'!A:N,11,FALSE)</f>
        <v>#N/A</v>
      </c>
      <c r="AI370" s="50" t="e">
        <f ca="1">VLOOKUP(Tableau118[[#This Row],[Key(ID-Actif)]],'DATA BTO'!A:N,12,FALSE)</f>
        <v>#N/A</v>
      </c>
      <c r="AJ370" s="53" t="e">
        <f ca="1">VLOOKUP(Tableau118[[#This Row],[Key(ID-Actif)]],'DATA BTO'!A:N,14,FALSE)</f>
        <v>#N/A</v>
      </c>
      <c r="AK370" s="54" t="e">
        <f ca="1">VLOOKUP(Tableau118[[#This Row],[Key(POD -PFI- Usine)]],'DATA Consignee'!A:F,6,FALSE)</f>
        <v>#N/A</v>
      </c>
      <c r="AL370" s="283"/>
      <c r="AM370" s="490" t="str">
        <f>IF(Tableau118[[#This Row],[Name PFI/CDD]]="","-",VLOOKUP(Tableau118[[#This Row],[Name PFI/CDD]],Plant_AILN!I:J,2,FALSE))</f>
        <v>-</v>
      </c>
      <c r="AN37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0" s="2" t="e">
        <f ca="1">VLOOKUP(Tableau118[[#This Row],[Key(POD -PFI- Usine)]],'DATA Consignee'!A:J,10,FALSE)</f>
        <v>#N/A</v>
      </c>
      <c r="AQ370" s="50" t="e">
        <f ca="1">VLOOKUP(Tableau118[[#This Row],[Key(POD -PFI- Usine)]],'DATA Consignee'!A:N,14,FALSE)</f>
        <v>#N/A</v>
      </c>
      <c r="AR37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0" s="50" t="e">
        <f ca="1">Tableau118[[#This Row],[Transit time]]+Tableau118[[#This Row],[Time for security]]+Tableau118[[#This Row],[Time for security2 buffer]]</f>
        <v>#N/A</v>
      </c>
      <c r="AU37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0" s="50" t="e">
        <f ca="1">Tableau118[[#This Row],[Leadtime SI2C]]+Tableau118[[#This Row],[First Receipt Days]]-Tableau118[[#This Row],[Day Customer Order]]+1</f>
        <v>#N/A</v>
      </c>
      <c r="AW370" s="117" t="e">
        <f ca="1">IF(Tableau118[[#This Row],[Name ILN]]&lt;&gt;"SFK Freight Forwarder",Tableau118[[#This Row],[Cust. Leadtime]],Tableau118[[#This Row],[Leadtime SI2C]])</f>
        <v>#N/A</v>
      </c>
      <c r="AX370" s="57" t="e">
        <f>VLOOKUP(Tableau118[[#This Row],[ID]],'DATA BTO'!B:P,15,FALSE)</f>
        <v>#N/A</v>
      </c>
      <c r="AY370" s="328" t="e">
        <f ca="1">IFERROR(VLOOKUP(Tableau118[[#This Row],[Key(ID-Actif)]],'DATA BTO'!A:N,4,FALSE),VLOOKUP(Tableau118[[#This Row],[ID]],'DATA BTO'!B:N,3,FALSE))</f>
        <v>#N/A</v>
      </c>
      <c r="AZ37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0" s="50"/>
    </row>
    <row r="371" spans="2:57">
      <c r="B371" s="405" t="str">
        <f>_xlfn.CONCAT(Tableau118[[#This Row],[Name ILN]],"-",Tableau118[[#This Row],[Name Shipper]],"-",Tableau118[[#This Row],[Name Site]])</f>
        <v>--</v>
      </c>
      <c r="C371" s="64" t="e">
        <f ca="1">_xlfn.CONCAT(Tableau118[[#This Row],[Compte ILN]],"-",Tableau118[[#This Row],[Compte Shipper]],"-",Tableau118[[#This Row],[POL]],"-",Tableau118[[#This Row],[Compte Site]])</f>
        <v>#N/A</v>
      </c>
      <c r="D371" s="64" t="e">
        <f ca="1">_xlfn.CONCAT(Tableau118[[#This Row],[Compte ILN]],"-",Tableau118[[#This Row],[Compte Shipper]],"-",Tableau118[[#This Row],[POL]])</f>
        <v>#N/A</v>
      </c>
      <c r="E371" s="128" t="e">
        <f ca="1">_xlfn.CONCAT(Tableau118[[#This Row],[POL]],"-",Tableau118[[#This Row],[Carrier]],"-",Tableau118[[#This Row],[POD]])</f>
        <v>#N/A</v>
      </c>
      <c r="F371" s="64" t="str">
        <f>_xlfn.CONCAT(Tableau118[[#This Row],[ID]],"-","Next")</f>
        <v>-Next</v>
      </c>
      <c r="G371" s="64" t="e">
        <f ca="1">_xlfn.CONCAT(Tableau118[[#This Row],[POD]],"-",Tableau118[[#This Row],[Code PFI]],"-",Tableau118[[#This Row],[Compte Site]])</f>
        <v>#N/A</v>
      </c>
      <c r="H37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1" s="117" t="str">
        <f ca="1">IF(COUNTIF(I:I,Tableau118[[#This Row],[Plant-ILN-shipper-POL-Carrier-POD-PFI]])=1,"Non","Oui")</f>
        <v>Oui</v>
      </c>
      <c r="K371" s="126" t="e">
        <f>VLOOKUP(Tableau118[[#This Row],[Name Site]],Plant_AILN!A:D,4,FALSE)</f>
        <v>#N/A</v>
      </c>
      <c r="L371" s="363"/>
      <c r="M371" s="481"/>
      <c r="N371" s="55"/>
      <c r="O371" s="122"/>
      <c r="P371" s="481"/>
      <c r="Q371" s="50"/>
      <c r="R371" s="50"/>
      <c r="S371" s="50"/>
      <c r="T371" s="50"/>
      <c r="U371" s="50"/>
      <c r="V371" s="50"/>
      <c r="W371" s="50"/>
      <c r="X371" s="283"/>
      <c r="Y371" s="489">
        <f>IFERROR(VLOOKUP(Tableau118[[#This Row],[Name Shipper]],Plant_AILN!L:M,2,FALSE),0)</f>
        <v>0</v>
      </c>
      <c r="Z371" s="358"/>
      <c r="AA371" s="353" t="e">
        <f ca="1">VLOOKUP(Tableau118[[#This Row],[Key(ID-Actif)]],'DATA BTO'!A:N,5,FALSE)</f>
        <v>#N/A</v>
      </c>
      <c r="AB371" s="3" t="e">
        <f ca="1">VLOOKUP(Tableau118[[#This Row],[Key(ID-Actif)]],'DATA BTO'!A:N,6,FALSE)</f>
        <v>#N/A</v>
      </c>
      <c r="AC371" s="50" t="e">
        <f ca="1">VLOOKUP(Tableau118[[#This Row],[Key(ID-Actif)]],'DATA BTO'!A:N,7,FALSE)</f>
        <v>#N/A</v>
      </c>
      <c r="AD371" s="50" t="e">
        <f ca="1">VLOOKUP(Tableau118[[#This Row],[Key(ID-Actif)]],'DATA BTO'!A:N,8,FALSE)</f>
        <v>#N/A</v>
      </c>
      <c r="AE371" s="406" t="e">
        <f ca="1">IF(Tableau118[[#This Row],[First Day to POL]]&lt;=Tableau118[[#This Row],[Day Cut Off]],Tableau118[[#This Row],[Day ETD]],Tableau118[[#This Row],[Day ETD]]+7)</f>
        <v>#N/A</v>
      </c>
      <c r="AF371" s="50" t="e">
        <f ca="1">VLOOKUP(Tableau118[[#This Row],[Key(ID-Actif)]],'DATA BTO'!A:N,9,FALSE)</f>
        <v>#N/A</v>
      </c>
      <c r="AG371" s="3" t="e">
        <f ca="1">VLOOKUP(Tableau118[[#This Row],[Key(ID-Actif)]],'DATA BTO'!A:N,10,FALSE)</f>
        <v>#N/A</v>
      </c>
      <c r="AH371" s="3" t="e">
        <f ca="1">VLOOKUP(Tableau118[[#This Row],[Key(ID-Actif)]],'DATA BTO'!A:N,11,FALSE)</f>
        <v>#N/A</v>
      </c>
      <c r="AI371" s="50" t="e">
        <f ca="1">VLOOKUP(Tableau118[[#This Row],[Key(ID-Actif)]],'DATA BTO'!A:N,12,FALSE)</f>
        <v>#N/A</v>
      </c>
      <c r="AJ371" s="53" t="e">
        <f ca="1">VLOOKUP(Tableau118[[#This Row],[Key(ID-Actif)]],'DATA BTO'!A:N,14,FALSE)</f>
        <v>#N/A</v>
      </c>
      <c r="AK371" s="54" t="e">
        <f ca="1">VLOOKUP(Tableau118[[#This Row],[Key(POD -PFI- Usine)]],'DATA Consignee'!A:F,6,FALSE)</f>
        <v>#N/A</v>
      </c>
      <c r="AL371" s="283"/>
      <c r="AM371" s="490" t="str">
        <f>IF(Tableau118[[#This Row],[Name PFI/CDD]]="","-",VLOOKUP(Tableau118[[#This Row],[Name PFI/CDD]],Plant_AILN!I:J,2,FALSE))</f>
        <v>-</v>
      </c>
      <c r="AN37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1" s="2" t="e">
        <f ca="1">VLOOKUP(Tableau118[[#This Row],[Key(POD -PFI- Usine)]],'DATA Consignee'!A:J,10,FALSE)</f>
        <v>#N/A</v>
      </c>
      <c r="AQ371" s="50" t="e">
        <f ca="1">VLOOKUP(Tableau118[[#This Row],[Key(POD -PFI- Usine)]],'DATA Consignee'!A:N,14,FALSE)</f>
        <v>#N/A</v>
      </c>
      <c r="AR37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1" s="50" t="e">
        <f ca="1">Tableau118[[#This Row],[Transit time]]+Tableau118[[#This Row],[Time for security]]+Tableau118[[#This Row],[Time for security2 buffer]]</f>
        <v>#N/A</v>
      </c>
      <c r="AU37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1" s="50" t="e">
        <f ca="1">Tableau118[[#This Row],[Leadtime SI2C]]+Tableau118[[#This Row],[First Receipt Days]]-Tableau118[[#This Row],[Day Customer Order]]+1</f>
        <v>#N/A</v>
      </c>
      <c r="AW371" s="117" t="e">
        <f ca="1">IF(Tableau118[[#This Row],[Name ILN]]&lt;&gt;"SFK Freight Forwarder",Tableau118[[#This Row],[Cust. Leadtime]],Tableau118[[#This Row],[Leadtime SI2C]])</f>
        <v>#N/A</v>
      </c>
      <c r="AX371" s="57" t="e">
        <f>VLOOKUP(Tableau118[[#This Row],[ID]],'DATA BTO'!B:P,15,FALSE)</f>
        <v>#N/A</v>
      </c>
      <c r="AY371" s="328" t="e">
        <f ca="1">IFERROR(VLOOKUP(Tableau118[[#This Row],[Key(ID-Actif)]],'DATA BTO'!A:N,4,FALSE),VLOOKUP(Tableau118[[#This Row],[ID]],'DATA BTO'!B:N,3,FALSE))</f>
        <v>#N/A</v>
      </c>
      <c r="AZ37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1" s="50"/>
    </row>
    <row r="372" spans="2:57">
      <c r="B372" s="405" t="str">
        <f>_xlfn.CONCAT(Tableau118[[#This Row],[Name ILN]],"-",Tableau118[[#This Row],[Name Shipper]],"-",Tableau118[[#This Row],[Name Site]])</f>
        <v>--</v>
      </c>
      <c r="C372" s="64" t="e">
        <f ca="1">_xlfn.CONCAT(Tableau118[[#This Row],[Compte ILN]],"-",Tableau118[[#This Row],[Compte Shipper]],"-",Tableau118[[#This Row],[POL]],"-",Tableau118[[#This Row],[Compte Site]])</f>
        <v>#N/A</v>
      </c>
      <c r="D372" s="64" t="e">
        <f ca="1">_xlfn.CONCAT(Tableau118[[#This Row],[Compte ILN]],"-",Tableau118[[#This Row],[Compte Shipper]],"-",Tableau118[[#This Row],[POL]])</f>
        <v>#N/A</v>
      </c>
      <c r="E372" s="128" t="e">
        <f ca="1">_xlfn.CONCAT(Tableau118[[#This Row],[POL]],"-",Tableau118[[#This Row],[Carrier]],"-",Tableau118[[#This Row],[POD]])</f>
        <v>#N/A</v>
      </c>
      <c r="F372" s="64" t="str">
        <f>_xlfn.CONCAT(Tableau118[[#This Row],[ID]],"-","Next")</f>
        <v>-Next</v>
      </c>
      <c r="G372" s="64" t="e">
        <f ca="1">_xlfn.CONCAT(Tableau118[[#This Row],[POD]],"-",Tableau118[[#This Row],[Code PFI]],"-",Tableau118[[#This Row],[Compte Site]])</f>
        <v>#N/A</v>
      </c>
      <c r="H37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2" s="117" t="str">
        <f ca="1">IF(COUNTIF(I:I,Tableau118[[#This Row],[Plant-ILN-shipper-POL-Carrier-POD-PFI]])=1,"Non","Oui")</f>
        <v>Oui</v>
      </c>
      <c r="K372" s="126" t="e">
        <f>VLOOKUP(Tableau118[[#This Row],[Name Site]],Plant_AILN!A:D,4,FALSE)</f>
        <v>#N/A</v>
      </c>
      <c r="L372" s="363"/>
      <c r="M372" s="481"/>
      <c r="N372" s="55"/>
      <c r="O372" s="122"/>
      <c r="P372" s="481"/>
      <c r="Q372" s="50"/>
      <c r="R372" s="50"/>
      <c r="S372" s="50"/>
      <c r="T372" s="50"/>
      <c r="U372" s="50"/>
      <c r="V372" s="50"/>
      <c r="W372" s="50"/>
      <c r="X372" s="283"/>
      <c r="Y372" s="489">
        <f>IFERROR(VLOOKUP(Tableau118[[#This Row],[Name Shipper]],Plant_AILN!L:M,2,FALSE),0)</f>
        <v>0</v>
      </c>
      <c r="Z372" s="358"/>
      <c r="AA372" s="353" t="e">
        <f ca="1">VLOOKUP(Tableau118[[#This Row],[Key(ID-Actif)]],'DATA BTO'!A:N,5,FALSE)</f>
        <v>#N/A</v>
      </c>
      <c r="AB372" s="3" t="e">
        <f ca="1">VLOOKUP(Tableau118[[#This Row],[Key(ID-Actif)]],'DATA BTO'!A:N,6,FALSE)</f>
        <v>#N/A</v>
      </c>
      <c r="AC372" s="50" t="e">
        <f ca="1">VLOOKUP(Tableau118[[#This Row],[Key(ID-Actif)]],'DATA BTO'!A:N,7,FALSE)</f>
        <v>#N/A</v>
      </c>
      <c r="AD372" s="50" t="e">
        <f ca="1">VLOOKUP(Tableau118[[#This Row],[Key(ID-Actif)]],'DATA BTO'!A:N,8,FALSE)</f>
        <v>#N/A</v>
      </c>
      <c r="AE372" s="406" t="e">
        <f ca="1">IF(Tableau118[[#This Row],[First Day to POL]]&lt;=Tableau118[[#This Row],[Day Cut Off]],Tableau118[[#This Row],[Day ETD]],Tableau118[[#This Row],[Day ETD]]+7)</f>
        <v>#N/A</v>
      </c>
      <c r="AF372" s="50" t="e">
        <f ca="1">VLOOKUP(Tableau118[[#This Row],[Key(ID-Actif)]],'DATA BTO'!A:N,9,FALSE)</f>
        <v>#N/A</v>
      </c>
      <c r="AG372" s="3" t="e">
        <f ca="1">VLOOKUP(Tableau118[[#This Row],[Key(ID-Actif)]],'DATA BTO'!A:N,10,FALSE)</f>
        <v>#N/A</v>
      </c>
      <c r="AH372" s="3" t="e">
        <f ca="1">VLOOKUP(Tableau118[[#This Row],[Key(ID-Actif)]],'DATA BTO'!A:N,11,FALSE)</f>
        <v>#N/A</v>
      </c>
      <c r="AI372" s="50" t="e">
        <f ca="1">VLOOKUP(Tableau118[[#This Row],[Key(ID-Actif)]],'DATA BTO'!A:N,12,FALSE)</f>
        <v>#N/A</v>
      </c>
      <c r="AJ372" s="53" t="e">
        <f ca="1">VLOOKUP(Tableau118[[#This Row],[Key(ID-Actif)]],'DATA BTO'!A:N,14,FALSE)</f>
        <v>#N/A</v>
      </c>
      <c r="AK372" s="54" t="e">
        <f ca="1">VLOOKUP(Tableau118[[#This Row],[Key(POD -PFI- Usine)]],'DATA Consignee'!A:F,6,FALSE)</f>
        <v>#N/A</v>
      </c>
      <c r="AL372" s="283"/>
      <c r="AM372" s="490" t="str">
        <f>IF(Tableau118[[#This Row],[Name PFI/CDD]]="","-",VLOOKUP(Tableau118[[#This Row],[Name PFI/CDD]],Plant_AILN!I:J,2,FALSE))</f>
        <v>-</v>
      </c>
      <c r="AN37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2" s="2" t="e">
        <f ca="1">VLOOKUP(Tableau118[[#This Row],[Key(POD -PFI- Usine)]],'DATA Consignee'!A:J,10,FALSE)</f>
        <v>#N/A</v>
      </c>
      <c r="AQ372" s="50" t="e">
        <f ca="1">VLOOKUP(Tableau118[[#This Row],[Key(POD -PFI- Usine)]],'DATA Consignee'!A:N,14,FALSE)</f>
        <v>#N/A</v>
      </c>
      <c r="AR37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2" s="50" t="e">
        <f ca="1">Tableau118[[#This Row],[Transit time]]+Tableau118[[#This Row],[Time for security]]+Tableau118[[#This Row],[Time for security2 buffer]]</f>
        <v>#N/A</v>
      </c>
      <c r="AU37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2" s="50" t="e">
        <f ca="1">Tableau118[[#This Row],[Leadtime SI2C]]+Tableau118[[#This Row],[First Receipt Days]]-Tableau118[[#This Row],[Day Customer Order]]+1</f>
        <v>#N/A</v>
      </c>
      <c r="AW372" s="117" t="e">
        <f ca="1">IF(Tableau118[[#This Row],[Name ILN]]&lt;&gt;"SFK Freight Forwarder",Tableau118[[#This Row],[Cust. Leadtime]],Tableau118[[#This Row],[Leadtime SI2C]])</f>
        <v>#N/A</v>
      </c>
      <c r="AX372" s="57" t="e">
        <f>VLOOKUP(Tableau118[[#This Row],[ID]],'DATA BTO'!B:P,15,FALSE)</f>
        <v>#N/A</v>
      </c>
      <c r="AY372" s="328" t="e">
        <f ca="1">IFERROR(VLOOKUP(Tableau118[[#This Row],[Key(ID-Actif)]],'DATA BTO'!A:N,4,FALSE),VLOOKUP(Tableau118[[#This Row],[ID]],'DATA BTO'!B:N,3,FALSE))</f>
        <v>#N/A</v>
      </c>
      <c r="AZ37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2" s="50"/>
    </row>
    <row r="373" spans="2:57">
      <c r="B373" s="405" t="str">
        <f>_xlfn.CONCAT(Tableau118[[#This Row],[Name ILN]],"-",Tableau118[[#This Row],[Name Shipper]],"-",Tableau118[[#This Row],[Name Site]])</f>
        <v>--</v>
      </c>
      <c r="C373" s="64" t="e">
        <f ca="1">_xlfn.CONCAT(Tableau118[[#This Row],[Compte ILN]],"-",Tableau118[[#This Row],[Compte Shipper]],"-",Tableau118[[#This Row],[POL]],"-",Tableau118[[#This Row],[Compte Site]])</f>
        <v>#N/A</v>
      </c>
      <c r="D373" s="64" t="e">
        <f ca="1">_xlfn.CONCAT(Tableau118[[#This Row],[Compte ILN]],"-",Tableau118[[#This Row],[Compte Shipper]],"-",Tableau118[[#This Row],[POL]])</f>
        <v>#N/A</v>
      </c>
      <c r="E373" s="128" t="e">
        <f ca="1">_xlfn.CONCAT(Tableau118[[#This Row],[POL]],"-",Tableau118[[#This Row],[Carrier]],"-",Tableau118[[#This Row],[POD]])</f>
        <v>#N/A</v>
      </c>
      <c r="F373" s="64" t="str">
        <f>_xlfn.CONCAT(Tableau118[[#This Row],[ID]],"-","Next")</f>
        <v>-Next</v>
      </c>
      <c r="G373" s="64" t="e">
        <f ca="1">_xlfn.CONCAT(Tableau118[[#This Row],[POD]],"-",Tableau118[[#This Row],[Code PFI]],"-",Tableau118[[#This Row],[Compte Site]])</f>
        <v>#N/A</v>
      </c>
      <c r="H37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3" s="117" t="str">
        <f ca="1">IF(COUNTIF(I:I,Tableau118[[#This Row],[Plant-ILN-shipper-POL-Carrier-POD-PFI]])=1,"Non","Oui")</f>
        <v>Oui</v>
      </c>
      <c r="K373" s="126" t="e">
        <f>VLOOKUP(Tableau118[[#This Row],[Name Site]],Plant_AILN!A:D,4,FALSE)</f>
        <v>#N/A</v>
      </c>
      <c r="L373" s="363"/>
      <c r="M373" s="481"/>
      <c r="N373" s="55"/>
      <c r="O373" s="122"/>
      <c r="P373" s="481"/>
      <c r="Q373" s="50"/>
      <c r="R373" s="50"/>
      <c r="S373" s="50"/>
      <c r="T373" s="50"/>
      <c r="U373" s="50"/>
      <c r="V373" s="50"/>
      <c r="W373" s="50"/>
      <c r="X373" s="283"/>
      <c r="Y373" s="489">
        <f>IFERROR(VLOOKUP(Tableau118[[#This Row],[Name Shipper]],Plant_AILN!L:M,2,FALSE),0)</f>
        <v>0</v>
      </c>
      <c r="Z373" s="358"/>
      <c r="AA373" s="353" t="e">
        <f ca="1">VLOOKUP(Tableau118[[#This Row],[Key(ID-Actif)]],'DATA BTO'!A:N,5,FALSE)</f>
        <v>#N/A</v>
      </c>
      <c r="AB373" s="3" t="e">
        <f ca="1">VLOOKUP(Tableau118[[#This Row],[Key(ID-Actif)]],'DATA BTO'!A:N,6,FALSE)</f>
        <v>#N/A</v>
      </c>
      <c r="AC373" s="50" t="e">
        <f ca="1">VLOOKUP(Tableau118[[#This Row],[Key(ID-Actif)]],'DATA BTO'!A:N,7,FALSE)</f>
        <v>#N/A</v>
      </c>
      <c r="AD373" s="50" t="e">
        <f ca="1">VLOOKUP(Tableau118[[#This Row],[Key(ID-Actif)]],'DATA BTO'!A:N,8,FALSE)</f>
        <v>#N/A</v>
      </c>
      <c r="AE373" s="406" t="e">
        <f ca="1">IF(Tableau118[[#This Row],[First Day to POL]]&lt;=Tableau118[[#This Row],[Day Cut Off]],Tableau118[[#This Row],[Day ETD]],Tableau118[[#This Row],[Day ETD]]+7)</f>
        <v>#N/A</v>
      </c>
      <c r="AF373" s="50" t="e">
        <f ca="1">VLOOKUP(Tableau118[[#This Row],[Key(ID-Actif)]],'DATA BTO'!A:N,9,FALSE)</f>
        <v>#N/A</v>
      </c>
      <c r="AG373" s="3" t="e">
        <f ca="1">VLOOKUP(Tableau118[[#This Row],[Key(ID-Actif)]],'DATA BTO'!A:N,10,FALSE)</f>
        <v>#N/A</v>
      </c>
      <c r="AH373" s="3" t="e">
        <f ca="1">VLOOKUP(Tableau118[[#This Row],[Key(ID-Actif)]],'DATA BTO'!A:N,11,FALSE)</f>
        <v>#N/A</v>
      </c>
      <c r="AI373" s="50" t="e">
        <f ca="1">VLOOKUP(Tableau118[[#This Row],[Key(ID-Actif)]],'DATA BTO'!A:N,12,FALSE)</f>
        <v>#N/A</v>
      </c>
      <c r="AJ373" s="53" t="e">
        <f ca="1">VLOOKUP(Tableau118[[#This Row],[Key(ID-Actif)]],'DATA BTO'!A:N,14,FALSE)</f>
        <v>#N/A</v>
      </c>
      <c r="AK373" s="54" t="e">
        <f ca="1">VLOOKUP(Tableau118[[#This Row],[Key(POD -PFI- Usine)]],'DATA Consignee'!A:F,6,FALSE)</f>
        <v>#N/A</v>
      </c>
      <c r="AL373" s="283"/>
      <c r="AM373" s="490" t="str">
        <f>IF(Tableau118[[#This Row],[Name PFI/CDD]]="","-",VLOOKUP(Tableau118[[#This Row],[Name PFI/CDD]],Plant_AILN!I:J,2,FALSE))</f>
        <v>-</v>
      </c>
      <c r="AN37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3" s="2" t="e">
        <f ca="1">VLOOKUP(Tableau118[[#This Row],[Key(POD -PFI- Usine)]],'DATA Consignee'!A:J,10,FALSE)</f>
        <v>#N/A</v>
      </c>
      <c r="AQ373" s="50" t="e">
        <f ca="1">VLOOKUP(Tableau118[[#This Row],[Key(POD -PFI- Usine)]],'DATA Consignee'!A:N,14,FALSE)</f>
        <v>#N/A</v>
      </c>
      <c r="AR37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3" s="50" t="e">
        <f ca="1">Tableau118[[#This Row],[Transit time]]+Tableau118[[#This Row],[Time for security]]+Tableau118[[#This Row],[Time for security2 buffer]]</f>
        <v>#N/A</v>
      </c>
      <c r="AU37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3" s="50" t="e">
        <f ca="1">Tableau118[[#This Row],[Leadtime SI2C]]+Tableau118[[#This Row],[First Receipt Days]]-Tableau118[[#This Row],[Day Customer Order]]+1</f>
        <v>#N/A</v>
      </c>
      <c r="AW373" s="117" t="e">
        <f ca="1">IF(Tableau118[[#This Row],[Name ILN]]&lt;&gt;"SFK Freight Forwarder",Tableau118[[#This Row],[Cust. Leadtime]],Tableau118[[#This Row],[Leadtime SI2C]])</f>
        <v>#N/A</v>
      </c>
      <c r="AX373" s="57" t="e">
        <f>VLOOKUP(Tableau118[[#This Row],[ID]],'DATA BTO'!B:P,15,FALSE)</f>
        <v>#N/A</v>
      </c>
      <c r="AY373" s="328" t="e">
        <f ca="1">IFERROR(VLOOKUP(Tableau118[[#This Row],[Key(ID-Actif)]],'DATA BTO'!A:N,4,FALSE),VLOOKUP(Tableau118[[#This Row],[ID]],'DATA BTO'!B:N,3,FALSE))</f>
        <v>#N/A</v>
      </c>
      <c r="AZ37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3" s="50"/>
    </row>
    <row r="374" spans="2:57">
      <c r="B374" s="405" t="str">
        <f>_xlfn.CONCAT(Tableau118[[#This Row],[Name ILN]],"-",Tableau118[[#This Row],[Name Shipper]],"-",Tableau118[[#This Row],[Name Site]])</f>
        <v>--</v>
      </c>
      <c r="C374" s="64" t="e">
        <f ca="1">_xlfn.CONCAT(Tableau118[[#This Row],[Compte ILN]],"-",Tableau118[[#This Row],[Compte Shipper]],"-",Tableau118[[#This Row],[POL]],"-",Tableau118[[#This Row],[Compte Site]])</f>
        <v>#N/A</v>
      </c>
      <c r="D374" s="64" t="e">
        <f ca="1">_xlfn.CONCAT(Tableau118[[#This Row],[Compte ILN]],"-",Tableau118[[#This Row],[Compte Shipper]],"-",Tableau118[[#This Row],[POL]])</f>
        <v>#N/A</v>
      </c>
      <c r="E374" s="128" t="e">
        <f ca="1">_xlfn.CONCAT(Tableau118[[#This Row],[POL]],"-",Tableau118[[#This Row],[Carrier]],"-",Tableau118[[#This Row],[POD]])</f>
        <v>#N/A</v>
      </c>
      <c r="F374" s="64" t="str">
        <f>_xlfn.CONCAT(Tableau118[[#This Row],[ID]],"-","Next")</f>
        <v>-Next</v>
      </c>
      <c r="G374" s="64" t="e">
        <f ca="1">_xlfn.CONCAT(Tableau118[[#This Row],[POD]],"-",Tableau118[[#This Row],[Code PFI]],"-",Tableau118[[#This Row],[Compte Site]])</f>
        <v>#N/A</v>
      </c>
      <c r="H37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4" s="117" t="str">
        <f ca="1">IF(COUNTIF(I:I,Tableau118[[#This Row],[Plant-ILN-shipper-POL-Carrier-POD-PFI]])=1,"Non","Oui")</f>
        <v>Oui</v>
      </c>
      <c r="K374" s="126" t="e">
        <f>VLOOKUP(Tableau118[[#This Row],[Name Site]],Plant_AILN!A:D,4,FALSE)</f>
        <v>#N/A</v>
      </c>
      <c r="L374" s="363"/>
      <c r="M374" s="481"/>
      <c r="N374" s="55"/>
      <c r="O374" s="122"/>
      <c r="P374" s="481"/>
      <c r="Q374" s="50"/>
      <c r="R374" s="50"/>
      <c r="S374" s="50"/>
      <c r="T374" s="50"/>
      <c r="U374" s="50"/>
      <c r="V374" s="50"/>
      <c r="W374" s="50"/>
      <c r="X374" s="283"/>
      <c r="Y374" s="489">
        <f>IFERROR(VLOOKUP(Tableau118[[#This Row],[Name Shipper]],Plant_AILN!L:M,2,FALSE),0)</f>
        <v>0</v>
      </c>
      <c r="Z374" s="358"/>
      <c r="AA374" s="353" t="e">
        <f ca="1">VLOOKUP(Tableau118[[#This Row],[Key(ID-Actif)]],'DATA BTO'!A:N,5,FALSE)</f>
        <v>#N/A</v>
      </c>
      <c r="AB374" s="3" t="e">
        <f ca="1">VLOOKUP(Tableau118[[#This Row],[Key(ID-Actif)]],'DATA BTO'!A:N,6,FALSE)</f>
        <v>#N/A</v>
      </c>
      <c r="AC374" s="50" t="e">
        <f ca="1">VLOOKUP(Tableau118[[#This Row],[Key(ID-Actif)]],'DATA BTO'!A:N,7,FALSE)</f>
        <v>#N/A</v>
      </c>
      <c r="AD374" s="50" t="e">
        <f ca="1">VLOOKUP(Tableau118[[#This Row],[Key(ID-Actif)]],'DATA BTO'!A:N,8,FALSE)</f>
        <v>#N/A</v>
      </c>
      <c r="AE374" s="406" t="e">
        <f ca="1">IF(Tableau118[[#This Row],[First Day to POL]]&lt;=Tableau118[[#This Row],[Day Cut Off]],Tableau118[[#This Row],[Day ETD]],Tableau118[[#This Row],[Day ETD]]+7)</f>
        <v>#N/A</v>
      </c>
      <c r="AF374" s="50" t="e">
        <f ca="1">VLOOKUP(Tableau118[[#This Row],[Key(ID-Actif)]],'DATA BTO'!A:N,9,FALSE)</f>
        <v>#N/A</v>
      </c>
      <c r="AG374" s="3" t="e">
        <f ca="1">VLOOKUP(Tableau118[[#This Row],[Key(ID-Actif)]],'DATA BTO'!A:N,10,FALSE)</f>
        <v>#N/A</v>
      </c>
      <c r="AH374" s="3" t="e">
        <f ca="1">VLOOKUP(Tableau118[[#This Row],[Key(ID-Actif)]],'DATA BTO'!A:N,11,FALSE)</f>
        <v>#N/A</v>
      </c>
      <c r="AI374" s="50" t="e">
        <f ca="1">VLOOKUP(Tableau118[[#This Row],[Key(ID-Actif)]],'DATA BTO'!A:N,12,FALSE)</f>
        <v>#N/A</v>
      </c>
      <c r="AJ374" s="53" t="e">
        <f ca="1">VLOOKUP(Tableau118[[#This Row],[Key(ID-Actif)]],'DATA BTO'!A:N,14,FALSE)</f>
        <v>#N/A</v>
      </c>
      <c r="AK374" s="54" t="e">
        <f ca="1">VLOOKUP(Tableau118[[#This Row],[Key(POD -PFI- Usine)]],'DATA Consignee'!A:F,6,FALSE)</f>
        <v>#N/A</v>
      </c>
      <c r="AL374" s="283"/>
      <c r="AM374" s="490" t="str">
        <f>IF(Tableau118[[#This Row],[Name PFI/CDD]]="","-",VLOOKUP(Tableau118[[#This Row],[Name PFI/CDD]],Plant_AILN!I:J,2,FALSE))</f>
        <v>-</v>
      </c>
      <c r="AN37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4" s="2" t="e">
        <f ca="1">VLOOKUP(Tableau118[[#This Row],[Key(POD -PFI- Usine)]],'DATA Consignee'!A:J,10,FALSE)</f>
        <v>#N/A</v>
      </c>
      <c r="AQ374" s="50" t="e">
        <f ca="1">VLOOKUP(Tableau118[[#This Row],[Key(POD -PFI- Usine)]],'DATA Consignee'!A:N,14,FALSE)</f>
        <v>#N/A</v>
      </c>
      <c r="AR37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4" s="50" t="e">
        <f ca="1">Tableau118[[#This Row],[Transit time]]+Tableau118[[#This Row],[Time for security]]+Tableau118[[#This Row],[Time for security2 buffer]]</f>
        <v>#N/A</v>
      </c>
      <c r="AU37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4" s="50" t="e">
        <f ca="1">Tableau118[[#This Row],[Leadtime SI2C]]+Tableau118[[#This Row],[First Receipt Days]]-Tableau118[[#This Row],[Day Customer Order]]+1</f>
        <v>#N/A</v>
      </c>
      <c r="AW374" s="117" t="e">
        <f ca="1">IF(Tableau118[[#This Row],[Name ILN]]&lt;&gt;"SFK Freight Forwarder",Tableau118[[#This Row],[Cust. Leadtime]],Tableau118[[#This Row],[Leadtime SI2C]])</f>
        <v>#N/A</v>
      </c>
      <c r="AX374" s="57" t="e">
        <f>VLOOKUP(Tableau118[[#This Row],[ID]],'DATA BTO'!B:P,15,FALSE)</f>
        <v>#N/A</v>
      </c>
      <c r="AY374" s="328" t="e">
        <f ca="1">IFERROR(VLOOKUP(Tableau118[[#This Row],[Key(ID-Actif)]],'DATA BTO'!A:N,4,FALSE),VLOOKUP(Tableau118[[#This Row],[ID]],'DATA BTO'!B:N,3,FALSE))</f>
        <v>#N/A</v>
      </c>
      <c r="AZ37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4" s="50"/>
    </row>
    <row r="375" spans="2:57">
      <c r="B375" s="405" t="str">
        <f>_xlfn.CONCAT(Tableau118[[#This Row],[Name ILN]],"-",Tableau118[[#This Row],[Name Shipper]],"-",Tableau118[[#This Row],[Name Site]])</f>
        <v>--</v>
      </c>
      <c r="C375" s="64" t="e">
        <f ca="1">_xlfn.CONCAT(Tableau118[[#This Row],[Compte ILN]],"-",Tableau118[[#This Row],[Compte Shipper]],"-",Tableau118[[#This Row],[POL]],"-",Tableau118[[#This Row],[Compte Site]])</f>
        <v>#N/A</v>
      </c>
      <c r="D375" s="64" t="e">
        <f ca="1">_xlfn.CONCAT(Tableau118[[#This Row],[Compte ILN]],"-",Tableau118[[#This Row],[Compte Shipper]],"-",Tableau118[[#This Row],[POL]])</f>
        <v>#N/A</v>
      </c>
      <c r="E375" s="128" t="e">
        <f ca="1">_xlfn.CONCAT(Tableau118[[#This Row],[POL]],"-",Tableau118[[#This Row],[Carrier]],"-",Tableau118[[#This Row],[POD]])</f>
        <v>#N/A</v>
      </c>
      <c r="F375" s="64" t="str">
        <f>_xlfn.CONCAT(Tableau118[[#This Row],[ID]],"-","Next")</f>
        <v>-Next</v>
      </c>
      <c r="G375" s="64" t="e">
        <f ca="1">_xlfn.CONCAT(Tableau118[[#This Row],[POD]],"-",Tableau118[[#This Row],[Code PFI]],"-",Tableau118[[#This Row],[Compte Site]])</f>
        <v>#N/A</v>
      </c>
      <c r="H37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5" s="117" t="str">
        <f ca="1">IF(COUNTIF(I:I,Tableau118[[#This Row],[Plant-ILN-shipper-POL-Carrier-POD-PFI]])=1,"Non","Oui")</f>
        <v>Oui</v>
      </c>
      <c r="K375" s="126" t="e">
        <f>VLOOKUP(Tableau118[[#This Row],[Name Site]],Plant_AILN!A:D,4,FALSE)</f>
        <v>#N/A</v>
      </c>
      <c r="L375" s="363"/>
      <c r="M375" s="481"/>
      <c r="N375" s="55"/>
      <c r="O375" s="122"/>
      <c r="P375" s="481"/>
      <c r="Q375" s="50"/>
      <c r="R375" s="50"/>
      <c r="S375" s="50"/>
      <c r="T375" s="50"/>
      <c r="U375" s="50"/>
      <c r="V375" s="50"/>
      <c r="W375" s="50"/>
      <c r="X375" s="283"/>
      <c r="Y375" s="489">
        <f>IFERROR(VLOOKUP(Tableau118[[#This Row],[Name Shipper]],Plant_AILN!L:M,2,FALSE),0)</f>
        <v>0</v>
      </c>
      <c r="Z375" s="358"/>
      <c r="AA375" s="353" t="e">
        <f ca="1">VLOOKUP(Tableau118[[#This Row],[Key(ID-Actif)]],'DATA BTO'!A:N,5,FALSE)</f>
        <v>#N/A</v>
      </c>
      <c r="AB375" s="3" t="e">
        <f ca="1">VLOOKUP(Tableau118[[#This Row],[Key(ID-Actif)]],'DATA BTO'!A:N,6,FALSE)</f>
        <v>#N/A</v>
      </c>
      <c r="AC375" s="50" t="e">
        <f ca="1">VLOOKUP(Tableau118[[#This Row],[Key(ID-Actif)]],'DATA BTO'!A:N,7,FALSE)</f>
        <v>#N/A</v>
      </c>
      <c r="AD375" s="50" t="e">
        <f ca="1">VLOOKUP(Tableau118[[#This Row],[Key(ID-Actif)]],'DATA BTO'!A:N,8,FALSE)</f>
        <v>#N/A</v>
      </c>
      <c r="AE375" s="406" t="e">
        <f ca="1">IF(Tableau118[[#This Row],[First Day to POL]]&lt;=Tableau118[[#This Row],[Day Cut Off]],Tableau118[[#This Row],[Day ETD]],Tableau118[[#This Row],[Day ETD]]+7)</f>
        <v>#N/A</v>
      </c>
      <c r="AF375" s="50" t="e">
        <f ca="1">VLOOKUP(Tableau118[[#This Row],[Key(ID-Actif)]],'DATA BTO'!A:N,9,FALSE)</f>
        <v>#N/A</v>
      </c>
      <c r="AG375" s="3" t="e">
        <f ca="1">VLOOKUP(Tableau118[[#This Row],[Key(ID-Actif)]],'DATA BTO'!A:N,10,FALSE)</f>
        <v>#N/A</v>
      </c>
      <c r="AH375" s="3" t="e">
        <f ca="1">VLOOKUP(Tableau118[[#This Row],[Key(ID-Actif)]],'DATA BTO'!A:N,11,FALSE)</f>
        <v>#N/A</v>
      </c>
      <c r="AI375" s="50" t="e">
        <f ca="1">VLOOKUP(Tableau118[[#This Row],[Key(ID-Actif)]],'DATA BTO'!A:N,12,FALSE)</f>
        <v>#N/A</v>
      </c>
      <c r="AJ375" s="53" t="e">
        <f ca="1">VLOOKUP(Tableau118[[#This Row],[Key(ID-Actif)]],'DATA BTO'!A:N,14,FALSE)</f>
        <v>#N/A</v>
      </c>
      <c r="AK375" s="54" t="e">
        <f ca="1">VLOOKUP(Tableau118[[#This Row],[Key(POD -PFI- Usine)]],'DATA Consignee'!A:F,6,FALSE)</f>
        <v>#N/A</v>
      </c>
      <c r="AL375" s="283"/>
      <c r="AM375" s="490" t="str">
        <f>IF(Tableau118[[#This Row],[Name PFI/CDD]]="","-",VLOOKUP(Tableau118[[#This Row],[Name PFI/CDD]],Plant_AILN!I:J,2,FALSE))</f>
        <v>-</v>
      </c>
      <c r="AN37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5" s="2" t="e">
        <f ca="1">VLOOKUP(Tableau118[[#This Row],[Key(POD -PFI- Usine)]],'DATA Consignee'!A:J,10,FALSE)</f>
        <v>#N/A</v>
      </c>
      <c r="AQ375" s="50" t="e">
        <f ca="1">VLOOKUP(Tableau118[[#This Row],[Key(POD -PFI- Usine)]],'DATA Consignee'!A:N,14,FALSE)</f>
        <v>#N/A</v>
      </c>
      <c r="AR37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5" s="50" t="e">
        <f ca="1">Tableau118[[#This Row],[Transit time]]+Tableau118[[#This Row],[Time for security]]+Tableau118[[#This Row],[Time for security2 buffer]]</f>
        <v>#N/A</v>
      </c>
      <c r="AU37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5" s="50" t="e">
        <f ca="1">Tableau118[[#This Row],[Leadtime SI2C]]+Tableau118[[#This Row],[First Receipt Days]]-Tableau118[[#This Row],[Day Customer Order]]+1</f>
        <v>#N/A</v>
      </c>
      <c r="AW375" s="117" t="e">
        <f ca="1">IF(Tableau118[[#This Row],[Name ILN]]&lt;&gt;"SFK Freight Forwarder",Tableau118[[#This Row],[Cust. Leadtime]],Tableau118[[#This Row],[Leadtime SI2C]])</f>
        <v>#N/A</v>
      </c>
      <c r="AX375" s="57" t="e">
        <f>VLOOKUP(Tableau118[[#This Row],[ID]],'DATA BTO'!B:P,15,FALSE)</f>
        <v>#N/A</v>
      </c>
      <c r="AY375" s="328" t="e">
        <f ca="1">IFERROR(VLOOKUP(Tableau118[[#This Row],[Key(ID-Actif)]],'DATA BTO'!A:N,4,FALSE),VLOOKUP(Tableau118[[#This Row],[ID]],'DATA BTO'!B:N,3,FALSE))</f>
        <v>#N/A</v>
      </c>
      <c r="AZ37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5" s="50"/>
    </row>
    <row r="376" spans="2:57">
      <c r="B376" s="405" t="str">
        <f>_xlfn.CONCAT(Tableau118[[#This Row],[Name ILN]],"-",Tableau118[[#This Row],[Name Shipper]],"-",Tableau118[[#This Row],[Name Site]])</f>
        <v>--</v>
      </c>
      <c r="C376" s="64" t="e">
        <f ca="1">_xlfn.CONCAT(Tableau118[[#This Row],[Compte ILN]],"-",Tableau118[[#This Row],[Compte Shipper]],"-",Tableau118[[#This Row],[POL]],"-",Tableau118[[#This Row],[Compte Site]])</f>
        <v>#N/A</v>
      </c>
      <c r="D376" s="64" t="e">
        <f ca="1">_xlfn.CONCAT(Tableau118[[#This Row],[Compte ILN]],"-",Tableau118[[#This Row],[Compte Shipper]],"-",Tableau118[[#This Row],[POL]])</f>
        <v>#N/A</v>
      </c>
      <c r="E376" s="128" t="e">
        <f ca="1">_xlfn.CONCAT(Tableau118[[#This Row],[POL]],"-",Tableau118[[#This Row],[Carrier]],"-",Tableau118[[#This Row],[POD]])</f>
        <v>#N/A</v>
      </c>
      <c r="F376" s="64" t="str">
        <f>_xlfn.CONCAT(Tableau118[[#This Row],[ID]],"-","Next")</f>
        <v>-Next</v>
      </c>
      <c r="G376" s="64" t="e">
        <f ca="1">_xlfn.CONCAT(Tableau118[[#This Row],[POD]],"-",Tableau118[[#This Row],[Code PFI]],"-",Tableau118[[#This Row],[Compte Site]])</f>
        <v>#N/A</v>
      </c>
      <c r="H37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6" s="117" t="str">
        <f ca="1">IF(COUNTIF(I:I,Tableau118[[#This Row],[Plant-ILN-shipper-POL-Carrier-POD-PFI]])=1,"Non","Oui")</f>
        <v>Oui</v>
      </c>
      <c r="K376" s="126" t="e">
        <f>VLOOKUP(Tableau118[[#This Row],[Name Site]],Plant_AILN!A:D,4,FALSE)</f>
        <v>#N/A</v>
      </c>
      <c r="L376" s="363"/>
      <c r="M376" s="481"/>
      <c r="N376" s="55"/>
      <c r="O376" s="122"/>
      <c r="P376" s="481"/>
      <c r="Q376" s="50"/>
      <c r="R376" s="50"/>
      <c r="S376" s="50"/>
      <c r="T376" s="50"/>
      <c r="U376" s="50"/>
      <c r="V376" s="50"/>
      <c r="W376" s="50"/>
      <c r="X376" s="283"/>
      <c r="Y376" s="489">
        <f>IFERROR(VLOOKUP(Tableau118[[#This Row],[Name Shipper]],Plant_AILN!L:M,2,FALSE),0)</f>
        <v>0</v>
      </c>
      <c r="Z376" s="358"/>
      <c r="AA376" s="353" t="e">
        <f ca="1">VLOOKUP(Tableau118[[#This Row],[Key(ID-Actif)]],'DATA BTO'!A:N,5,FALSE)</f>
        <v>#N/A</v>
      </c>
      <c r="AB376" s="3" t="e">
        <f ca="1">VLOOKUP(Tableau118[[#This Row],[Key(ID-Actif)]],'DATA BTO'!A:N,6,FALSE)</f>
        <v>#N/A</v>
      </c>
      <c r="AC376" s="50" t="e">
        <f ca="1">VLOOKUP(Tableau118[[#This Row],[Key(ID-Actif)]],'DATA BTO'!A:N,7,FALSE)</f>
        <v>#N/A</v>
      </c>
      <c r="AD376" s="50" t="e">
        <f ca="1">VLOOKUP(Tableau118[[#This Row],[Key(ID-Actif)]],'DATA BTO'!A:N,8,FALSE)</f>
        <v>#N/A</v>
      </c>
      <c r="AE376" s="406" t="e">
        <f ca="1">IF(Tableau118[[#This Row],[First Day to POL]]&lt;=Tableau118[[#This Row],[Day Cut Off]],Tableau118[[#This Row],[Day ETD]],Tableau118[[#This Row],[Day ETD]]+7)</f>
        <v>#N/A</v>
      </c>
      <c r="AF376" s="50" t="e">
        <f ca="1">VLOOKUP(Tableau118[[#This Row],[Key(ID-Actif)]],'DATA BTO'!A:N,9,FALSE)</f>
        <v>#N/A</v>
      </c>
      <c r="AG376" s="3" t="e">
        <f ca="1">VLOOKUP(Tableau118[[#This Row],[Key(ID-Actif)]],'DATA BTO'!A:N,10,FALSE)</f>
        <v>#N/A</v>
      </c>
      <c r="AH376" s="3" t="e">
        <f ca="1">VLOOKUP(Tableau118[[#This Row],[Key(ID-Actif)]],'DATA BTO'!A:N,11,FALSE)</f>
        <v>#N/A</v>
      </c>
      <c r="AI376" s="50" t="e">
        <f ca="1">VLOOKUP(Tableau118[[#This Row],[Key(ID-Actif)]],'DATA BTO'!A:N,12,FALSE)</f>
        <v>#N/A</v>
      </c>
      <c r="AJ376" s="53" t="e">
        <f ca="1">VLOOKUP(Tableau118[[#This Row],[Key(ID-Actif)]],'DATA BTO'!A:N,14,FALSE)</f>
        <v>#N/A</v>
      </c>
      <c r="AK376" s="54" t="e">
        <f ca="1">VLOOKUP(Tableau118[[#This Row],[Key(POD -PFI- Usine)]],'DATA Consignee'!A:F,6,FALSE)</f>
        <v>#N/A</v>
      </c>
      <c r="AL376" s="283"/>
      <c r="AM376" s="490" t="str">
        <f>IF(Tableau118[[#This Row],[Name PFI/CDD]]="","-",VLOOKUP(Tableau118[[#This Row],[Name PFI/CDD]],Plant_AILN!I:J,2,FALSE))</f>
        <v>-</v>
      </c>
      <c r="AN37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6" s="2" t="e">
        <f ca="1">VLOOKUP(Tableau118[[#This Row],[Key(POD -PFI- Usine)]],'DATA Consignee'!A:J,10,FALSE)</f>
        <v>#N/A</v>
      </c>
      <c r="AQ376" s="50" t="e">
        <f ca="1">VLOOKUP(Tableau118[[#This Row],[Key(POD -PFI- Usine)]],'DATA Consignee'!A:N,14,FALSE)</f>
        <v>#N/A</v>
      </c>
      <c r="AR37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6" s="50" t="e">
        <f ca="1">Tableau118[[#This Row],[Transit time]]+Tableau118[[#This Row],[Time for security]]+Tableau118[[#This Row],[Time for security2 buffer]]</f>
        <v>#N/A</v>
      </c>
      <c r="AU37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6" s="50" t="e">
        <f ca="1">Tableau118[[#This Row],[Leadtime SI2C]]+Tableau118[[#This Row],[First Receipt Days]]-Tableau118[[#This Row],[Day Customer Order]]+1</f>
        <v>#N/A</v>
      </c>
      <c r="AW376" s="117" t="e">
        <f ca="1">IF(Tableau118[[#This Row],[Name ILN]]&lt;&gt;"SFK Freight Forwarder",Tableau118[[#This Row],[Cust. Leadtime]],Tableau118[[#This Row],[Leadtime SI2C]])</f>
        <v>#N/A</v>
      </c>
      <c r="AX376" s="57" t="e">
        <f>VLOOKUP(Tableau118[[#This Row],[ID]],'DATA BTO'!B:P,15,FALSE)</f>
        <v>#N/A</v>
      </c>
      <c r="AY376" s="328" t="e">
        <f ca="1">IFERROR(VLOOKUP(Tableau118[[#This Row],[Key(ID-Actif)]],'DATA BTO'!A:N,4,FALSE),VLOOKUP(Tableau118[[#This Row],[ID]],'DATA BTO'!B:N,3,FALSE))</f>
        <v>#N/A</v>
      </c>
      <c r="AZ37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6" s="50"/>
    </row>
    <row r="377" spans="2:57">
      <c r="B377" s="405" t="str">
        <f>_xlfn.CONCAT(Tableau118[[#This Row],[Name ILN]],"-",Tableau118[[#This Row],[Name Shipper]],"-",Tableau118[[#This Row],[Name Site]])</f>
        <v>--</v>
      </c>
      <c r="C377" s="64" t="e">
        <f ca="1">_xlfn.CONCAT(Tableau118[[#This Row],[Compte ILN]],"-",Tableau118[[#This Row],[Compte Shipper]],"-",Tableau118[[#This Row],[POL]],"-",Tableau118[[#This Row],[Compte Site]])</f>
        <v>#N/A</v>
      </c>
      <c r="D377" s="64" t="e">
        <f ca="1">_xlfn.CONCAT(Tableau118[[#This Row],[Compte ILN]],"-",Tableau118[[#This Row],[Compte Shipper]],"-",Tableau118[[#This Row],[POL]])</f>
        <v>#N/A</v>
      </c>
      <c r="E377" s="128" t="e">
        <f ca="1">_xlfn.CONCAT(Tableau118[[#This Row],[POL]],"-",Tableau118[[#This Row],[Carrier]],"-",Tableau118[[#This Row],[POD]])</f>
        <v>#N/A</v>
      </c>
      <c r="F377" s="64" t="str">
        <f>_xlfn.CONCAT(Tableau118[[#This Row],[ID]],"-","Next")</f>
        <v>-Next</v>
      </c>
      <c r="G377" s="64" t="e">
        <f ca="1">_xlfn.CONCAT(Tableau118[[#This Row],[POD]],"-",Tableau118[[#This Row],[Code PFI]],"-",Tableau118[[#This Row],[Compte Site]])</f>
        <v>#N/A</v>
      </c>
      <c r="H37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7" s="117" t="str">
        <f ca="1">IF(COUNTIF(I:I,Tableau118[[#This Row],[Plant-ILN-shipper-POL-Carrier-POD-PFI]])=1,"Non","Oui")</f>
        <v>Oui</v>
      </c>
      <c r="K377" s="126" t="e">
        <f>VLOOKUP(Tableau118[[#This Row],[Name Site]],Plant_AILN!A:D,4,FALSE)</f>
        <v>#N/A</v>
      </c>
      <c r="L377" s="363"/>
      <c r="M377" s="481"/>
      <c r="N377" s="55"/>
      <c r="O377" s="122"/>
      <c r="P377" s="481"/>
      <c r="Q377" s="50"/>
      <c r="R377" s="50"/>
      <c r="S377" s="50"/>
      <c r="T377" s="50"/>
      <c r="U377" s="50"/>
      <c r="V377" s="50"/>
      <c r="W377" s="50"/>
      <c r="X377" s="283"/>
      <c r="Y377" s="489">
        <f>IFERROR(VLOOKUP(Tableau118[[#This Row],[Name Shipper]],Plant_AILN!L:M,2,FALSE),0)</f>
        <v>0</v>
      </c>
      <c r="Z377" s="358"/>
      <c r="AA377" s="353" t="e">
        <f ca="1">VLOOKUP(Tableau118[[#This Row],[Key(ID-Actif)]],'DATA BTO'!A:N,5,FALSE)</f>
        <v>#N/A</v>
      </c>
      <c r="AB377" s="3" t="e">
        <f ca="1">VLOOKUP(Tableau118[[#This Row],[Key(ID-Actif)]],'DATA BTO'!A:N,6,FALSE)</f>
        <v>#N/A</v>
      </c>
      <c r="AC377" s="50" t="e">
        <f ca="1">VLOOKUP(Tableau118[[#This Row],[Key(ID-Actif)]],'DATA BTO'!A:N,7,FALSE)</f>
        <v>#N/A</v>
      </c>
      <c r="AD377" s="50" t="e">
        <f ca="1">VLOOKUP(Tableau118[[#This Row],[Key(ID-Actif)]],'DATA BTO'!A:N,8,FALSE)</f>
        <v>#N/A</v>
      </c>
      <c r="AE377" s="406" t="e">
        <f ca="1">IF(Tableau118[[#This Row],[First Day to POL]]&lt;=Tableau118[[#This Row],[Day Cut Off]],Tableau118[[#This Row],[Day ETD]],Tableau118[[#This Row],[Day ETD]]+7)</f>
        <v>#N/A</v>
      </c>
      <c r="AF377" s="50" t="e">
        <f ca="1">VLOOKUP(Tableau118[[#This Row],[Key(ID-Actif)]],'DATA BTO'!A:N,9,FALSE)</f>
        <v>#N/A</v>
      </c>
      <c r="AG377" s="3" t="e">
        <f ca="1">VLOOKUP(Tableau118[[#This Row],[Key(ID-Actif)]],'DATA BTO'!A:N,10,FALSE)</f>
        <v>#N/A</v>
      </c>
      <c r="AH377" s="3" t="e">
        <f ca="1">VLOOKUP(Tableau118[[#This Row],[Key(ID-Actif)]],'DATA BTO'!A:N,11,FALSE)</f>
        <v>#N/A</v>
      </c>
      <c r="AI377" s="50" t="e">
        <f ca="1">VLOOKUP(Tableau118[[#This Row],[Key(ID-Actif)]],'DATA BTO'!A:N,12,FALSE)</f>
        <v>#N/A</v>
      </c>
      <c r="AJ377" s="53" t="e">
        <f ca="1">VLOOKUP(Tableau118[[#This Row],[Key(ID-Actif)]],'DATA BTO'!A:N,14,FALSE)</f>
        <v>#N/A</v>
      </c>
      <c r="AK377" s="54" t="e">
        <f ca="1">VLOOKUP(Tableau118[[#This Row],[Key(POD -PFI- Usine)]],'DATA Consignee'!A:F,6,FALSE)</f>
        <v>#N/A</v>
      </c>
      <c r="AL377" s="283"/>
      <c r="AM377" s="490" t="str">
        <f>IF(Tableau118[[#This Row],[Name PFI/CDD]]="","-",VLOOKUP(Tableau118[[#This Row],[Name PFI/CDD]],Plant_AILN!I:J,2,FALSE))</f>
        <v>-</v>
      </c>
      <c r="AN37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7" s="2" t="e">
        <f ca="1">VLOOKUP(Tableau118[[#This Row],[Key(POD -PFI- Usine)]],'DATA Consignee'!A:J,10,FALSE)</f>
        <v>#N/A</v>
      </c>
      <c r="AQ377" s="50" t="e">
        <f ca="1">VLOOKUP(Tableau118[[#This Row],[Key(POD -PFI- Usine)]],'DATA Consignee'!A:N,14,FALSE)</f>
        <v>#N/A</v>
      </c>
      <c r="AR37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7" s="50" t="e">
        <f ca="1">Tableau118[[#This Row],[Transit time]]+Tableau118[[#This Row],[Time for security]]+Tableau118[[#This Row],[Time for security2 buffer]]</f>
        <v>#N/A</v>
      </c>
      <c r="AU37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7" s="50" t="e">
        <f ca="1">Tableau118[[#This Row],[Leadtime SI2C]]+Tableau118[[#This Row],[First Receipt Days]]-Tableau118[[#This Row],[Day Customer Order]]+1</f>
        <v>#N/A</v>
      </c>
      <c r="AW377" s="117" t="e">
        <f ca="1">IF(Tableau118[[#This Row],[Name ILN]]&lt;&gt;"SFK Freight Forwarder",Tableau118[[#This Row],[Cust. Leadtime]],Tableau118[[#This Row],[Leadtime SI2C]])</f>
        <v>#N/A</v>
      </c>
      <c r="AX377" s="57" t="e">
        <f>VLOOKUP(Tableau118[[#This Row],[ID]],'DATA BTO'!B:P,15,FALSE)</f>
        <v>#N/A</v>
      </c>
      <c r="AY377" s="328" t="e">
        <f ca="1">IFERROR(VLOOKUP(Tableau118[[#This Row],[Key(ID-Actif)]],'DATA BTO'!A:N,4,FALSE),VLOOKUP(Tableau118[[#This Row],[ID]],'DATA BTO'!B:N,3,FALSE))</f>
        <v>#N/A</v>
      </c>
      <c r="AZ37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7" s="50"/>
    </row>
    <row r="378" spans="2:57">
      <c r="B378" s="405" t="str">
        <f>_xlfn.CONCAT(Tableau118[[#This Row],[Name ILN]],"-",Tableau118[[#This Row],[Name Shipper]],"-",Tableau118[[#This Row],[Name Site]])</f>
        <v>--</v>
      </c>
      <c r="C378" s="64" t="e">
        <f ca="1">_xlfn.CONCAT(Tableau118[[#This Row],[Compte ILN]],"-",Tableau118[[#This Row],[Compte Shipper]],"-",Tableau118[[#This Row],[POL]],"-",Tableau118[[#This Row],[Compte Site]])</f>
        <v>#N/A</v>
      </c>
      <c r="D378" s="64" t="e">
        <f ca="1">_xlfn.CONCAT(Tableau118[[#This Row],[Compte ILN]],"-",Tableau118[[#This Row],[Compte Shipper]],"-",Tableau118[[#This Row],[POL]])</f>
        <v>#N/A</v>
      </c>
      <c r="E378" s="128" t="e">
        <f ca="1">_xlfn.CONCAT(Tableau118[[#This Row],[POL]],"-",Tableau118[[#This Row],[Carrier]],"-",Tableau118[[#This Row],[POD]])</f>
        <v>#N/A</v>
      </c>
      <c r="F378" s="64" t="str">
        <f>_xlfn.CONCAT(Tableau118[[#This Row],[ID]],"-","Next")</f>
        <v>-Next</v>
      </c>
      <c r="G378" s="64" t="e">
        <f ca="1">_xlfn.CONCAT(Tableau118[[#This Row],[POD]],"-",Tableau118[[#This Row],[Code PFI]],"-",Tableau118[[#This Row],[Compte Site]])</f>
        <v>#N/A</v>
      </c>
      <c r="H37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8" s="117" t="str">
        <f ca="1">IF(COUNTIF(I:I,Tableau118[[#This Row],[Plant-ILN-shipper-POL-Carrier-POD-PFI]])=1,"Non","Oui")</f>
        <v>Oui</v>
      </c>
      <c r="K378" s="126" t="e">
        <f>VLOOKUP(Tableau118[[#This Row],[Name Site]],Plant_AILN!A:D,4,FALSE)</f>
        <v>#N/A</v>
      </c>
      <c r="L378" s="363"/>
      <c r="M378" s="481"/>
      <c r="N378" s="55"/>
      <c r="O378" s="122"/>
      <c r="P378" s="481"/>
      <c r="Q378" s="50"/>
      <c r="R378" s="50"/>
      <c r="S378" s="50"/>
      <c r="T378" s="50"/>
      <c r="U378" s="50"/>
      <c r="V378" s="50"/>
      <c r="W378" s="50"/>
      <c r="X378" s="283"/>
      <c r="Y378" s="489">
        <f>IFERROR(VLOOKUP(Tableau118[[#This Row],[Name Shipper]],Plant_AILN!L:M,2,FALSE),0)</f>
        <v>0</v>
      </c>
      <c r="Z378" s="358"/>
      <c r="AA378" s="353" t="e">
        <f ca="1">VLOOKUP(Tableau118[[#This Row],[Key(ID-Actif)]],'DATA BTO'!A:N,5,FALSE)</f>
        <v>#N/A</v>
      </c>
      <c r="AB378" s="3" t="e">
        <f ca="1">VLOOKUP(Tableau118[[#This Row],[Key(ID-Actif)]],'DATA BTO'!A:N,6,FALSE)</f>
        <v>#N/A</v>
      </c>
      <c r="AC378" s="50" t="e">
        <f ca="1">VLOOKUP(Tableau118[[#This Row],[Key(ID-Actif)]],'DATA BTO'!A:N,7,FALSE)</f>
        <v>#N/A</v>
      </c>
      <c r="AD378" s="50" t="e">
        <f ca="1">VLOOKUP(Tableau118[[#This Row],[Key(ID-Actif)]],'DATA BTO'!A:N,8,FALSE)</f>
        <v>#N/A</v>
      </c>
      <c r="AE378" s="406" t="e">
        <f ca="1">IF(Tableau118[[#This Row],[First Day to POL]]&lt;=Tableau118[[#This Row],[Day Cut Off]],Tableau118[[#This Row],[Day ETD]],Tableau118[[#This Row],[Day ETD]]+7)</f>
        <v>#N/A</v>
      </c>
      <c r="AF378" s="50" t="e">
        <f ca="1">VLOOKUP(Tableau118[[#This Row],[Key(ID-Actif)]],'DATA BTO'!A:N,9,FALSE)</f>
        <v>#N/A</v>
      </c>
      <c r="AG378" s="3" t="e">
        <f ca="1">VLOOKUP(Tableau118[[#This Row],[Key(ID-Actif)]],'DATA BTO'!A:N,10,FALSE)</f>
        <v>#N/A</v>
      </c>
      <c r="AH378" s="3" t="e">
        <f ca="1">VLOOKUP(Tableau118[[#This Row],[Key(ID-Actif)]],'DATA BTO'!A:N,11,FALSE)</f>
        <v>#N/A</v>
      </c>
      <c r="AI378" s="50" t="e">
        <f ca="1">VLOOKUP(Tableau118[[#This Row],[Key(ID-Actif)]],'DATA BTO'!A:N,12,FALSE)</f>
        <v>#N/A</v>
      </c>
      <c r="AJ378" s="53" t="e">
        <f ca="1">VLOOKUP(Tableau118[[#This Row],[Key(ID-Actif)]],'DATA BTO'!A:N,14,FALSE)</f>
        <v>#N/A</v>
      </c>
      <c r="AK378" s="54" t="e">
        <f ca="1">VLOOKUP(Tableau118[[#This Row],[Key(POD -PFI- Usine)]],'DATA Consignee'!A:F,6,FALSE)</f>
        <v>#N/A</v>
      </c>
      <c r="AL378" s="283"/>
      <c r="AM378" s="490" t="str">
        <f>IF(Tableau118[[#This Row],[Name PFI/CDD]]="","-",VLOOKUP(Tableau118[[#This Row],[Name PFI/CDD]],Plant_AILN!I:J,2,FALSE))</f>
        <v>-</v>
      </c>
      <c r="AN37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8" s="2" t="e">
        <f ca="1">VLOOKUP(Tableau118[[#This Row],[Key(POD -PFI- Usine)]],'DATA Consignee'!A:J,10,FALSE)</f>
        <v>#N/A</v>
      </c>
      <c r="AQ378" s="50" t="e">
        <f ca="1">VLOOKUP(Tableau118[[#This Row],[Key(POD -PFI- Usine)]],'DATA Consignee'!A:N,14,FALSE)</f>
        <v>#N/A</v>
      </c>
      <c r="AR37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8" s="50" t="e">
        <f ca="1">Tableau118[[#This Row],[Transit time]]+Tableau118[[#This Row],[Time for security]]+Tableau118[[#This Row],[Time for security2 buffer]]</f>
        <v>#N/A</v>
      </c>
      <c r="AU37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8" s="50" t="e">
        <f ca="1">Tableau118[[#This Row],[Leadtime SI2C]]+Tableau118[[#This Row],[First Receipt Days]]-Tableau118[[#This Row],[Day Customer Order]]+1</f>
        <v>#N/A</v>
      </c>
      <c r="AW378" s="117" t="e">
        <f ca="1">IF(Tableau118[[#This Row],[Name ILN]]&lt;&gt;"SFK Freight Forwarder",Tableau118[[#This Row],[Cust. Leadtime]],Tableau118[[#This Row],[Leadtime SI2C]])</f>
        <v>#N/A</v>
      </c>
      <c r="AX378" s="57" t="e">
        <f>VLOOKUP(Tableau118[[#This Row],[ID]],'DATA BTO'!B:P,15,FALSE)</f>
        <v>#N/A</v>
      </c>
      <c r="AY378" s="328" t="e">
        <f ca="1">IFERROR(VLOOKUP(Tableau118[[#This Row],[Key(ID-Actif)]],'DATA BTO'!A:N,4,FALSE),VLOOKUP(Tableau118[[#This Row],[ID]],'DATA BTO'!B:N,3,FALSE))</f>
        <v>#N/A</v>
      </c>
      <c r="AZ37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8" s="50"/>
    </row>
    <row r="379" spans="2:57">
      <c r="B379" s="405" t="str">
        <f>_xlfn.CONCAT(Tableau118[[#This Row],[Name ILN]],"-",Tableau118[[#This Row],[Name Shipper]],"-",Tableau118[[#This Row],[Name Site]])</f>
        <v>--</v>
      </c>
      <c r="C379" s="64" t="e">
        <f ca="1">_xlfn.CONCAT(Tableau118[[#This Row],[Compte ILN]],"-",Tableau118[[#This Row],[Compte Shipper]],"-",Tableau118[[#This Row],[POL]],"-",Tableau118[[#This Row],[Compte Site]])</f>
        <v>#N/A</v>
      </c>
      <c r="D379" s="64" t="e">
        <f ca="1">_xlfn.CONCAT(Tableau118[[#This Row],[Compte ILN]],"-",Tableau118[[#This Row],[Compte Shipper]],"-",Tableau118[[#This Row],[POL]])</f>
        <v>#N/A</v>
      </c>
      <c r="E379" s="128" t="e">
        <f ca="1">_xlfn.CONCAT(Tableau118[[#This Row],[POL]],"-",Tableau118[[#This Row],[Carrier]],"-",Tableau118[[#This Row],[POD]])</f>
        <v>#N/A</v>
      </c>
      <c r="F379" s="64" t="str">
        <f>_xlfn.CONCAT(Tableau118[[#This Row],[ID]],"-","Next")</f>
        <v>-Next</v>
      </c>
      <c r="G379" s="64" t="e">
        <f ca="1">_xlfn.CONCAT(Tableau118[[#This Row],[POD]],"-",Tableau118[[#This Row],[Code PFI]],"-",Tableau118[[#This Row],[Compte Site]])</f>
        <v>#N/A</v>
      </c>
      <c r="H37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7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79" s="117" t="str">
        <f ca="1">IF(COUNTIF(I:I,Tableau118[[#This Row],[Plant-ILN-shipper-POL-Carrier-POD-PFI]])=1,"Non","Oui")</f>
        <v>Oui</v>
      </c>
      <c r="K379" s="126" t="e">
        <f>VLOOKUP(Tableau118[[#This Row],[Name Site]],Plant_AILN!A:D,4,FALSE)</f>
        <v>#N/A</v>
      </c>
      <c r="L379" s="363"/>
      <c r="M379" s="481"/>
      <c r="N379" s="55"/>
      <c r="O379" s="122"/>
      <c r="P379" s="481"/>
      <c r="Q379" s="50"/>
      <c r="R379" s="50"/>
      <c r="S379" s="50"/>
      <c r="T379" s="50"/>
      <c r="U379" s="50"/>
      <c r="V379" s="50"/>
      <c r="W379" s="50"/>
      <c r="X379" s="283"/>
      <c r="Y379" s="489">
        <f>IFERROR(VLOOKUP(Tableau118[[#This Row],[Name Shipper]],Plant_AILN!L:M,2,FALSE),0)</f>
        <v>0</v>
      </c>
      <c r="Z379" s="358"/>
      <c r="AA379" s="353" t="e">
        <f ca="1">VLOOKUP(Tableau118[[#This Row],[Key(ID-Actif)]],'DATA BTO'!A:N,5,FALSE)</f>
        <v>#N/A</v>
      </c>
      <c r="AB379" s="3" t="e">
        <f ca="1">VLOOKUP(Tableau118[[#This Row],[Key(ID-Actif)]],'DATA BTO'!A:N,6,FALSE)</f>
        <v>#N/A</v>
      </c>
      <c r="AC379" s="50" t="e">
        <f ca="1">VLOOKUP(Tableau118[[#This Row],[Key(ID-Actif)]],'DATA BTO'!A:N,7,FALSE)</f>
        <v>#N/A</v>
      </c>
      <c r="AD379" s="50" t="e">
        <f ca="1">VLOOKUP(Tableau118[[#This Row],[Key(ID-Actif)]],'DATA BTO'!A:N,8,FALSE)</f>
        <v>#N/A</v>
      </c>
      <c r="AE379" s="406" t="e">
        <f ca="1">IF(Tableau118[[#This Row],[First Day to POL]]&lt;=Tableau118[[#This Row],[Day Cut Off]],Tableau118[[#This Row],[Day ETD]],Tableau118[[#This Row],[Day ETD]]+7)</f>
        <v>#N/A</v>
      </c>
      <c r="AF379" s="50" t="e">
        <f ca="1">VLOOKUP(Tableau118[[#This Row],[Key(ID-Actif)]],'DATA BTO'!A:N,9,FALSE)</f>
        <v>#N/A</v>
      </c>
      <c r="AG379" s="3" t="e">
        <f ca="1">VLOOKUP(Tableau118[[#This Row],[Key(ID-Actif)]],'DATA BTO'!A:N,10,FALSE)</f>
        <v>#N/A</v>
      </c>
      <c r="AH379" s="3" t="e">
        <f ca="1">VLOOKUP(Tableau118[[#This Row],[Key(ID-Actif)]],'DATA BTO'!A:N,11,FALSE)</f>
        <v>#N/A</v>
      </c>
      <c r="AI379" s="50" t="e">
        <f ca="1">VLOOKUP(Tableau118[[#This Row],[Key(ID-Actif)]],'DATA BTO'!A:N,12,FALSE)</f>
        <v>#N/A</v>
      </c>
      <c r="AJ379" s="53" t="e">
        <f ca="1">VLOOKUP(Tableau118[[#This Row],[Key(ID-Actif)]],'DATA BTO'!A:N,14,FALSE)</f>
        <v>#N/A</v>
      </c>
      <c r="AK379" s="54" t="e">
        <f ca="1">VLOOKUP(Tableau118[[#This Row],[Key(POD -PFI- Usine)]],'DATA Consignee'!A:F,6,FALSE)</f>
        <v>#N/A</v>
      </c>
      <c r="AL379" s="283"/>
      <c r="AM379" s="490" t="str">
        <f>IF(Tableau118[[#This Row],[Name PFI/CDD]]="","-",VLOOKUP(Tableau118[[#This Row],[Name PFI/CDD]],Plant_AILN!I:J,2,FALSE))</f>
        <v>-</v>
      </c>
      <c r="AN37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7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79" s="2" t="e">
        <f ca="1">VLOOKUP(Tableau118[[#This Row],[Key(POD -PFI- Usine)]],'DATA Consignee'!A:J,10,FALSE)</f>
        <v>#N/A</v>
      </c>
      <c r="AQ379" s="50" t="e">
        <f ca="1">VLOOKUP(Tableau118[[#This Row],[Key(POD -PFI- Usine)]],'DATA Consignee'!A:N,14,FALSE)</f>
        <v>#N/A</v>
      </c>
      <c r="AR37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7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79" s="50" t="e">
        <f ca="1">Tableau118[[#This Row],[Transit time]]+Tableau118[[#This Row],[Time for security]]+Tableau118[[#This Row],[Time for security2 buffer]]</f>
        <v>#N/A</v>
      </c>
      <c r="AU37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79" s="50" t="e">
        <f ca="1">Tableau118[[#This Row],[Leadtime SI2C]]+Tableau118[[#This Row],[First Receipt Days]]-Tableau118[[#This Row],[Day Customer Order]]+1</f>
        <v>#N/A</v>
      </c>
      <c r="AW379" s="117" t="e">
        <f ca="1">IF(Tableau118[[#This Row],[Name ILN]]&lt;&gt;"SFK Freight Forwarder",Tableau118[[#This Row],[Cust. Leadtime]],Tableau118[[#This Row],[Leadtime SI2C]])</f>
        <v>#N/A</v>
      </c>
      <c r="AX379" s="57" t="e">
        <f>VLOOKUP(Tableau118[[#This Row],[ID]],'DATA BTO'!B:P,15,FALSE)</f>
        <v>#N/A</v>
      </c>
      <c r="AY379" s="328" t="e">
        <f ca="1">IFERROR(VLOOKUP(Tableau118[[#This Row],[Key(ID-Actif)]],'DATA BTO'!A:N,4,FALSE),VLOOKUP(Tableau118[[#This Row],[ID]],'DATA BTO'!B:N,3,FALSE))</f>
        <v>#N/A</v>
      </c>
      <c r="AZ37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7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7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7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7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79" s="50"/>
    </row>
    <row r="380" spans="2:57">
      <c r="B380" s="405" t="str">
        <f>_xlfn.CONCAT(Tableau118[[#This Row],[Name ILN]],"-",Tableau118[[#This Row],[Name Shipper]],"-",Tableau118[[#This Row],[Name Site]])</f>
        <v>--</v>
      </c>
      <c r="C380" s="64" t="e">
        <f ca="1">_xlfn.CONCAT(Tableau118[[#This Row],[Compte ILN]],"-",Tableau118[[#This Row],[Compte Shipper]],"-",Tableau118[[#This Row],[POL]],"-",Tableau118[[#This Row],[Compte Site]])</f>
        <v>#N/A</v>
      </c>
      <c r="D380" s="64" t="e">
        <f ca="1">_xlfn.CONCAT(Tableau118[[#This Row],[Compte ILN]],"-",Tableau118[[#This Row],[Compte Shipper]],"-",Tableau118[[#This Row],[POL]])</f>
        <v>#N/A</v>
      </c>
      <c r="E380" s="128" t="e">
        <f ca="1">_xlfn.CONCAT(Tableau118[[#This Row],[POL]],"-",Tableau118[[#This Row],[Carrier]],"-",Tableau118[[#This Row],[POD]])</f>
        <v>#N/A</v>
      </c>
      <c r="F380" s="64" t="str">
        <f>_xlfn.CONCAT(Tableau118[[#This Row],[ID]],"-","Next")</f>
        <v>-Next</v>
      </c>
      <c r="G380" s="64" t="e">
        <f ca="1">_xlfn.CONCAT(Tableau118[[#This Row],[POD]],"-",Tableau118[[#This Row],[Code PFI]],"-",Tableau118[[#This Row],[Compte Site]])</f>
        <v>#N/A</v>
      </c>
      <c r="H38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0" s="117" t="str">
        <f ca="1">IF(COUNTIF(I:I,Tableau118[[#This Row],[Plant-ILN-shipper-POL-Carrier-POD-PFI]])=1,"Non","Oui")</f>
        <v>Oui</v>
      </c>
      <c r="K380" s="126" t="e">
        <f>VLOOKUP(Tableau118[[#This Row],[Name Site]],Plant_AILN!A:D,4,FALSE)</f>
        <v>#N/A</v>
      </c>
      <c r="L380" s="363"/>
      <c r="M380" s="481"/>
      <c r="N380" s="55"/>
      <c r="O380" s="122"/>
      <c r="P380" s="481"/>
      <c r="Q380" s="50"/>
      <c r="R380" s="50"/>
      <c r="S380" s="50"/>
      <c r="T380" s="50"/>
      <c r="U380" s="50"/>
      <c r="V380" s="50"/>
      <c r="W380" s="50"/>
      <c r="X380" s="283"/>
      <c r="Y380" s="489">
        <f>IFERROR(VLOOKUP(Tableau118[[#This Row],[Name Shipper]],Plant_AILN!L:M,2,FALSE),0)</f>
        <v>0</v>
      </c>
      <c r="Z380" s="358"/>
      <c r="AA380" s="353" t="e">
        <f ca="1">VLOOKUP(Tableau118[[#This Row],[Key(ID-Actif)]],'DATA BTO'!A:N,5,FALSE)</f>
        <v>#N/A</v>
      </c>
      <c r="AB380" s="3" t="e">
        <f ca="1">VLOOKUP(Tableau118[[#This Row],[Key(ID-Actif)]],'DATA BTO'!A:N,6,FALSE)</f>
        <v>#N/A</v>
      </c>
      <c r="AC380" s="50" t="e">
        <f ca="1">VLOOKUP(Tableau118[[#This Row],[Key(ID-Actif)]],'DATA BTO'!A:N,7,FALSE)</f>
        <v>#N/A</v>
      </c>
      <c r="AD380" s="50" t="e">
        <f ca="1">VLOOKUP(Tableau118[[#This Row],[Key(ID-Actif)]],'DATA BTO'!A:N,8,FALSE)</f>
        <v>#N/A</v>
      </c>
      <c r="AE380" s="406" t="e">
        <f ca="1">IF(Tableau118[[#This Row],[First Day to POL]]&lt;=Tableau118[[#This Row],[Day Cut Off]],Tableau118[[#This Row],[Day ETD]],Tableau118[[#This Row],[Day ETD]]+7)</f>
        <v>#N/A</v>
      </c>
      <c r="AF380" s="50" t="e">
        <f ca="1">VLOOKUP(Tableau118[[#This Row],[Key(ID-Actif)]],'DATA BTO'!A:N,9,FALSE)</f>
        <v>#N/A</v>
      </c>
      <c r="AG380" s="3" t="e">
        <f ca="1">VLOOKUP(Tableau118[[#This Row],[Key(ID-Actif)]],'DATA BTO'!A:N,10,FALSE)</f>
        <v>#N/A</v>
      </c>
      <c r="AH380" s="3" t="e">
        <f ca="1">VLOOKUP(Tableau118[[#This Row],[Key(ID-Actif)]],'DATA BTO'!A:N,11,FALSE)</f>
        <v>#N/A</v>
      </c>
      <c r="AI380" s="50" t="e">
        <f ca="1">VLOOKUP(Tableau118[[#This Row],[Key(ID-Actif)]],'DATA BTO'!A:N,12,FALSE)</f>
        <v>#N/A</v>
      </c>
      <c r="AJ380" s="53" t="e">
        <f ca="1">VLOOKUP(Tableau118[[#This Row],[Key(ID-Actif)]],'DATA BTO'!A:N,14,FALSE)</f>
        <v>#N/A</v>
      </c>
      <c r="AK380" s="54" t="e">
        <f ca="1">VLOOKUP(Tableau118[[#This Row],[Key(POD -PFI- Usine)]],'DATA Consignee'!A:F,6,FALSE)</f>
        <v>#N/A</v>
      </c>
      <c r="AL380" s="283"/>
      <c r="AM380" s="490" t="str">
        <f>IF(Tableau118[[#This Row],[Name PFI/CDD]]="","-",VLOOKUP(Tableau118[[#This Row],[Name PFI/CDD]],Plant_AILN!I:J,2,FALSE))</f>
        <v>-</v>
      </c>
      <c r="AN38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0" s="2" t="e">
        <f ca="1">VLOOKUP(Tableau118[[#This Row],[Key(POD -PFI- Usine)]],'DATA Consignee'!A:J,10,FALSE)</f>
        <v>#N/A</v>
      </c>
      <c r="AQ380" s="50" t="e">
        <f ca="1">VLOOKUP(Tableau118[[#This Row],[Key(POD -PFI- Usine)]],'DATA Consignee'!A:N,14,FALSE)</f>
        <v>#N/A</v>
      </c>
      <c r="AR38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0" s="50" t="e">
        <f ca="1">Tableau118[[#This Row],[Transit time]]+Tableau118[[#This Row],[Time for security]]+Tableau118[[#This Row],[Time for security2 buffer]]</f>
        <v>#N/A</v>
      </c>
      <c r="AU38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0" s="50" t="e">
        <f ca="1">Tableau118[[#This Row],[Leadtime SI2C]]+Tableau118[[#This Row],[First Receipt Days]]-Tableau118[[#This Row],[Day Customer Order]]+1</f>
        <v>#N/A</v>
      </c>
      <c r="AW380" s="117" t="e">
        <f ca="1">IF(Tableau118[[#This Row],[Name ILN]]&lt;&gt;"SFK Freight Forwarder",Tableau118[[#This Row],[Cust. Leadtime]],Tableau118[[#This Row],[Leadtime SI2C]])</f>
        <v>#N/A</v>
      </c>
      <c r="AX380" s="57" t="e">
        <f>VLOOKUP(Tableau118[[#This Row],[ID]],'DATA BTO'!B:P,15,FALSE)</f>
        <v>#N/A</v>
      </c>
      <c r="AY380" s="328" t="e">
        <f ca="1">IFERROR(VLOOKUP(Tableau118[[#This Row],[Key(ID-Actif)]],'DATA BTO'!A:N,4,FALSE),VLOOKUP(Tableau118[[#This Row],[ID]],'DATA BTO'!B:N,3,FALSE))</f>
        <v>#N/A</v>
      </c>
      <c r="AZ38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0" s="50"/>
    </row>
    <row r="381" spans="2:57">
      <c r="B381" s="405" t="str">
        <f>_xlfn.CONCAT(Tableau118[[#This Row],[Name ILN]],"-",Tableau118[[#This Row],[Name Shipper]],"-",Tableau118[[#This Row],[Name Site]])</f>
        <v>--</v>
      </c>
      <c r="C381" s="64" t="e">
        <f ca="1">_xlfn.CONCAT(Tableau118[[#This Row],[Compte ILN]],"-",Tableau118[[#This Row],[Compte Shipper]],"-",Tableau118[[#This Row],[POL]],"-",Tableau118[[#This Row],[Compte Site]])</f>
        <v>#N/A</v>
      </c>
      <c r="D381" s="64" t="e">
        <f ca="1">_xlfn.CONCAT(Tableau118[[#This Row],[Compte ILN]],"-",Tableau118[[#This Row],[Compte Shipper]],"-",Tableau118[[#This Row],[POL]])</f>
        <v>#N/A</v>
      </c>
      <c r="E381" s="128" t="e">
        <f ca="1">_xlfn.CONCAT(Tableau118[[#This Row],[POL]],"-",Tableau118[[#This Row],[Carrier]],"-",Tableau118[[#This Row],[POD]])</f>
        <v>#N/A</v>
      </c>
      <c r="F381" s="64" t="str">
        <f>_xlfn.CONCAT(Tableau118[[#This Row],[ID]],"-","Next")</f>
        <v>-Next</v>
      </c>
      <c r="G381" s="64" t="e">
        <f ca="1">_xlfn.CONCAT(Tableau118[[#This Row],[POD]],"-",Tableau118[[#This Row],[Code PFI]],"-",Tableau118[[#This Row],[Compte Site]])</f>
        <v>#N/A</v>
      </c>
      <c r="H38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1" s="117" t="str">
        <f ca="1">IF(COUNTIF(I:I,Tableau118[[#This Row],[Plant-ILN-shipper-POL-Carrier-POD-PFI]])=1,"Non","Oui")</f>
        <v>Oui</v>
      </c>
      <c r="K381" s="126" t="e">
        <f>VLOOKUP(Tableau118[[#This Row],[Name Site]],Plant_AILN!A:D,4,FALSE)</f>
        <v>#N/A</v>
      </c>
      <c r="L381" s="363"/>
      <c r="M381" s="481"/>
      <c r="N381" s="55"/>
      <c r="O381" s="122"/>
      <c r="P381" s="481"/>
      <c r="Q381" s="50"/>
      <c r="R381" s="50"/>
      <c r="S381" s="50"/>
      <c r="T381" s="50"/>
      <c r="U381" s="50"/>
      <c r="V381" s="50"/>
      <c r="W381" s="50"/>
      <c r="X381" s="283"/>
      <c r="Y381" s="489">
        <f>IFERROR(VLOOKUP(Tableau118[[#This Row],[Name Shipper]],Plant_AILN!L:M,2,FALSE),0)</f>
        <v>0</v>
      </c>
      <c r="Z381" s="358"/>
      <c r="AA381" s="353" t="e">
        <f ca="1">VLOOKUP(Tableau118[[#This Row],[Key(ID-Actif)]],'DATA BTO'!A:N,5,FALSE)</f>
        <v>#N/A</v>
      </c>
      <c r="AB381" s="3" t="e">
        <f ca="1">VLOOKUP(Tableau118[[#This Row],[Key(ID-Actif)]],'DATA BTO'!A:N,6,FALSE)</f>
        <v>#N/A</v>
      </c>
      <c r="AC381" s="50" t="e">
        <f ca="1">VLOOKUP(Tableau118[[#This Row],[Key(ID-Actif)]],'DATA BTO'!A:N,7,FALSE)</f>
        <v>#N/A</v>
      </c>
      <c r="AD381" s="50" t="e">
        <f ca="1">VLOOKUP(Tableau118[[#This Row],[Key(ID-Actif)]],'DATA BTO'!A:N,8,FALSE)</f>
        <v>#N/A</v>
      </c>
      <c r="AE381" s="406" t="e">
        <f ca="1">IF(Tableau118[[#This Row],[First Day to POL]]&lt;=Tableau118[[#This Row],[Day Cut Off]],Tableau118[[#This Row],[Day ETD]],Tableau118[[#This Row],[Day ETD]]+7)</f>
        <v>#N/A</v>
      </c>
      <c r="AF381" s="50" t="e">
        <f ca="1">VLOOKUP(Tableau118[[#This Row],[Key(ID-Actif)]],'DATA BTO'!A:N,9,FALSE)</f>
        <v>#N/A</v>
      </c>
      <c r="AG381" s="3" t="e">
        <f ca="1">VLOOKUP(Tableau118[[#This Row],[Key(ID-Actif)]],'DATA BTO'!A:N,10,FALSE)</f>
        <v>#N/A</v>
      </c>
      <c r="AH381" s="3" t="e">
        <f ca="1">VLOOKUP(Tableau118[[#This Row],[Key(ID-Actif)]],'DATA BTO'!A:N,11,FALSE)</f>
        <v>#N/A</v>
      </c>
      <c r="AI381" s="50" t="e">
        <f ca="1">VLOOKUP(Tableau118[[#This Row],[Key(ID-Actif)]],'DATA BTO'!A:N,12,FALSE)</f>
        <v>#N/A</v>
      </c>
      <c r="AJ381" s="53" t="e">
        <f ca="1">VLOOKUP(Tableau118[[#This Row],[Key(ID-Actif)]],'DATA BTO'!A:N,14,FALSE)</f>
        <v>#N/A</v>
      </c>
      <c r="AK381" s="54" t="e">
        <f ca="1">VLOOKUP(Tableau118[[#This Row],[Key(POD -PFI- Usine)]],'DATA Consignee'!A:F,6,FALSE)</f>
        <v>#N/A</v>
      </c>
      <c r="AL381" s="283"/>
      <c r="AM381" s="490" t="str">
        <f>IF(Tableau118[[#This Row],[Name PFI/CDD]]="","-",VLOOKUP(Tableau118[[#This Row],[Name PFI/CDD]],Plant_AILN!I:J,2,FALSE))</f>
        <v>-</v>
      </c>
      <c r="AN38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1" s="2" t="e">
        <f ca="1">VLOOKUP(Tableau118[[#This Row],[Key(POD -PFI- Usine)]],'DATA Consignee'!A:J,10,FALSE)</f>
        <v>#N/A</v>
      </c>
      <c r="AQ381" s="50" t="e">
        <f ca="1">VLOOKUP(Tableau118[[#This Row],[Key(POD -PFI- Usine)]],'DATA Consignee'!A:N,14,FALSE)</f>
        <v>#N/A</v>
      </c>
      <c r="AR38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1" s="50" t="e">
        <f ca="1">Tableau118[[#This Row],[Transit time]]+Tableau118[[#This Row],[Time for security]]+Tableau118[[#This Row],[Time for security2 buffer]]</f>
        <v>#N/A</v>
      </c>
      <c r="AU38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1" s="50" t="e">
        <f ca="1">Tableau118[[#This Row],[Leadtime SI2C]]+Tableau118[[#This Row],[First Receipt Days]]-Tableau118[[#This Row],[Day Customer Order]]+1</f>
        <v>#N/A</v>
      </c>
      <c r="AW381" s="117" t="e">
        <f ca="1">IF(Tableau118[[#This Row],[Name ILN]]&lt;&gt;"SFK Freight Forwarder",Tableau118[[#This Row],[Cust. Leadtime]],Tableau118[[#This Row],[Leadtime SI2C]])</f>
        <v>#N/A</v>
      </c>
      <c r="AX381" s="57" t="e">
        <f>VLOOKUP(Tableau118[[#This Row],[ID]],'DATA BTO'!B:P,15,FALSE)</f>
        <v>#N/A</v>
      </c>
      <c r="AY381" s="328" t="e">
        <f ca="1">IFERROR(VLOOKUP(Tableau118[[#This Row],[Key(ID-Actif)]],'DATA BTO'!A:N,4,FALSE),VLOOKUP(Tableau118[[#This Row],[ID]],'DATA BTO'!B:N,3,FALSE))</f>
        <v>#N/A</v>
      </c>
      <c r="AZ38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1" s="50"/>
    </row>
    <row r="382" spans="2:57">
      <c r="B382" s="405" t="str">
        <f>_xlfn.CONCAT(Tableau118[[#This Row],[Name ILN]],"-",Tableau118[[#This Row],[Name Shipper]],"-",Tableau118[[#This Row],[Name Site]])</f>
        <v>--</v>
      </c>
      <c r="C382" s="64" t="e">
        <f ca="1">_xlfn.CONCAT(Tableau118[[#This Row],[Compte ILN]],"-",Tableau118[[#This Row],[Compte Shipper]],"-",Tableau118[[#This Row],[POL]],"-",Tableau118[[#This Row],[Compte Site]])</f>
        <v>#N/A</v>
      </c>
      <c r="D382" s="64" t="e">
        <f ca="1">_xlfn.CONCAT(Tableau118[[#This Row],[Compte ILN]],"-",Tableau118[[#This Row],[Compte Shipper]],"-",Tableau118[[#This Row],[POL]])</f>
        <v>#N/A</v>
      </c>
      <c r="E382" s="128" t="e">
        <f ca="1">_xlfn.CONCAT(Tableau118[[#This Row],[POL]],"-",Tableau118[[#This Row],[Carrier]],"-",Tableau118[[#This Row],[POD]])</f>
        <v>#N/A</v>
      </c>
      <c r="F382" s="64" t="str">
        <f>_xlfn.CONCAT(Tableau118[[#This Row],[ID]],"-","Next")</f>
        <v>-Next</v>
      </c>
      <c r="G382" s="64" t="e">
        <f ca="1">_xlfn.CONCAT(Tableau118[[#This Row],[POD]],"-",Tableau118[[#This Row],[Code PFI]],"-",Tableau118[[#This Row],[Compte Site]])</f>
        <v>#N/A</v>
      </c>
      <c r="H38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2" s="117" t="str">
        <f ca="1">IF(COUNTIF(I:I,Tableau118[[#This Row],[Plant-ILN-shipper-POL-Carrier-POD-PFI]])=1,"Non","Oui")</f>
        <v>Oui</v>
      </c>
      <c r="K382" s="126" t="e">
        <f>VLOOKUP(Tableau118[[#This Row],[Name Site]],Plant_AILN!A:D,4,FALSE)</f>
        <v>#N/A</v>
      </c>
      <c r="L382" s="363"/>
      <c r="M382" s="481"/>
      <c r="N382" s="55"/>
      <c r="O382" s="122"/>
      <c r="P382" s="481"/>
      <c r="Q382" s="50"/>
      <c r="R382" s="50"/>
      <c r="S382" s="50"/>
      <c r="T382" s="50"/>
      <c r="U382" s="50"/>
      <c r="V382" s="50"/>
      <c r="W382" s="50"/>
      <c r="X382" s="283"/>
      <c r="Y382" s="489">
        <f>IFERROR(VLOOKUP(Tableau118[[#This Row],[Name Shipper]],Plant_AILN!L:M,2,FALSE),0)</f>
        <v>0</v>
      </c>
      <c r="Z382" s="358"/>
      <c r="AA382" s="353" t="e">
        <f ca="1">VLOOKUP(Tableau118[[#This Row],[Key(ID-Actif)]],'DATA BTO'!A:N,5,FALSE)</f>
        <v>#N/A</v>
      </c>
      <c r="AB382" s="3" t="e">
        <f ca="1">VLOOKUP(Tableau118[[#This Row],[Key(ID-Actif)]],'DATA BTO'!A:N,6,FALSE)</f>
        <v>#N/A</v>
      </c>
      <c r="AC382" s="50" t="e">
        <f ca="1">VLOOKUP(Tableau118[[#This Row],[Key(ID-Actif)]],'DATA BTO'!A:N,7,FALSE)</f>
        <v>#N/A</v>
      </c>
      <c r="AD382" s="50" t="e">
        <f ca="1">VLOOKUP(Tableau118[[#This Row],[Key(ID-Actif)]],'DATA BTO'!A:N,8,FALSE)</f>
        <v>#N/A</v>
      </c>
      <c r="AE382" s="406" t="e">
        <f ca="1">IF(Tableau118[[#This Row],[First Day to POL]]&lt;=Tableau118[[#This Row],[Day Cut Off]],Tableau118[[#This Row],[Day ETD]],Tableau118[[#This Row],[Day ETD]]+7)</f>
        <v>#N/A</v>
      </c>
      <c r="AF382" s="50" t="e">
        <f ca="1">VLOOKUP(Tableau118[[#This Row],[Key(ID-Actif)]],'DATA BTO'!A:N,9,FALSE)</f>
        <v>#N/A</v>
      </c>
      <c r="AG382" s="3" t="e">
        <f ca="1">VLOOKUP(Tableau118[[#This Row],[Key(ID-Actif)]],'DATA BTO'!A:N,10,FALSE)</f>
        <v>#N/A</v>
      </c>
      <c r="AH382" s="3" t="e">
        <f ca="1">VLOOKUP(Tableau118[[#This Row],[Key(ID-Actif)]],'DATA BTO'!A:N,11,FALSE)</f>
        <v>#N/A</v>
      </c>
      <c r="AI382" s="50" t="e">
        <f ca="1">VLOOKUP(Tableau118[[#This Row],[Key(ID-Actif)]],'DATA BTO'!A:N,12,FALSE)</f>
        <v>#N/A</v>
      </c>
      <c r="AJ382" s="53" t="e">
        <f ca="1">VLOOKUP(Tableau118[[#This Row],[Key(ID-Actif)]],'DATA BTO'!A:N,14,FALSE)</f>
        <v>#N/A</v>
      </c>
      <c r="AK382" s="54" t="e">
        <f ca="1">VLOOKUP(Tableau118[[#This Row],[Key(POD -PFI- Usine)]],'DATA Consignee'!A:F,6,FALSE)</f>
        <v>#N/A</v>
      </c>
      <c r="AL382" s="283"/>
      <c r="AM382" s="490" t="str">
        <f>IF(Tableau118[[#This Row],[Name PFI/CDD]]="","-",VLOOKUP(Tableau118[[#This Row],[Name PFI/CDD]],Plant_AILN!I:J,2,FALSE))</f>
        <v>-</v>
      </c>
      <c r="AN38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2" s="2" t="e">
        <f ca="1">VLOOKUP(Tableau118[[#This Row],[Key(POD -PFI- Usine)]],'DATA Consignee'!A:J,10,FALSE)</f>
        <v>#N/A</v>
      </c>
      <c r="AQ382" s="50" t="e">
        <f ca="1">VLOOKUP(Tableau118[[#This Row],[Key(POD -PFI- Usine)]],'DATA Consignee'!A:N,14,FALSE)</f>
        <v>#N/A</v>
      </c>
      <c r="AR38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2" s="50" t="e">
        <f ca="1">Tableau118[[#This Row],[Transit time]]+Tableau118[[#This Row],[Time for security]]+Tableau118[[#This Row],[Time for security2 buffer]]</f>
        <v>#N/A</v>
      </c>
      <c r="AU38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2" s="50" t="e">
        <f ca="1">Tableau118[[#This Row],[Leadtime SI2C]]+Tableau118[[#This Row],[First Receipt Days]]-Tableau118[[#This Row],[Day Customer Order]]+1</f>
        <v>#N/A</v>
      </c>
      <c r="AW382" s="117" t="e">
        <f ca="1">IF(Tableau118[[#This Row],[Name ILN]]&lt;&gt;"SFK Freight Forwarder",Tableau118[[#This Row],[Cust. Leadtime]],Tableau118[[#This Row],[Leadtime SI2C]])</f>
        <v>#N/A</v>
      </c>
      <c r="AX382" s="57" t="e">
        <f>VLOOKUP(Tableau118[[#This Row],[ID]],'DATA BTO'!B:P,15,FALSE)</f>
        <v>#N/A</v>
      </c>
      <c r="AY382" s="328" t="e">
        <f ca="1">IFERROR(VLOOKUP(Tableau118[[#This Row],[Key(ID-Actif)]],'DATA BTO'!A:N,4,FALSE),VLOOKUP(Tableau118[[#This Row],[ID]],'DATA BTO'!B:N,3,FALSE))</f>
        <v>#N/A</v>
      </c>
      <c r="AZ38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2" s="50"/>
    </row>
    <row r="383" spans="2:57">
      <c r="B383" s="405" t="str">
        <f>_xlfn.CONCAT(Tableau118[[#This Row],[Name ILN]],"-",Tableau118[[#This Row],[Name Shipper]],"-",Tableau118[[#This Row],[Name Site]])</f>
        <v>--</v>
      </c>
      <c r="C383" s="64" t="e">
        <f ca="1">_xlfn.CONCAT(Tableau118[[#This Row],[Compte ILN]],"-",Tableau118[[#This Row],[Compte Shipper]],"-",Tableau118[[#This Row],[POL]],"-",Tableau118[[#This Row],[Compte Site]])</f>
        <v>#N/A</v>
      </c>
      <c r="D383" s="64" t="e">
        <f ca="1">_xlfn.CONCAT(Tableau118[[#This Row],[Compte ILN]],"-",Tableau118[[#This Row],[Compte Shipper]],"-",Tableau118[[#This Row],[POL]])</f>
        <v>#N/A</v>
      </c>
      <c r="E383" s="128" t="e">
        <f ca="1">_xlfn.CONCAT(Tableau118[[#This Row],[POL]],"-",Tableau118[[#This Row],[Carrier]],"-",Tableau118[[#This Row],[POD]])</f>
        <v>#N/A</v>
      </c>
      <c r="F383" s="64" t="str">
        <f>_xlfn.CONCAT(Tableau118[[#This Row],[ID]],"-","Next")</f>
        <v>-Next</v>
      </c>
      <c r="G383" s="64" t="e">
        <f ca="1">_xlfn.CONCAT(Tableau118[[#This Row],[POD]],"-",Tableau118[[#This Row],[Code PFI]],"-",Tableau118[[#This Row],[Compte Site]])</f>
        <v>#N/A</v>
      </c>
      <c r="H38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3" s="117" t="str">
        <f ca="1">IF(COUNTIF(I:I,Tableau118[[#This Row],[Plant-ILN-shipper-POL-Carrier-POD-PFI]])=1,"Non","Oui")</f>
        <v>Oui</v>
      </c>
      <c r="K383" s="126" t="e">
        <f>VLOOKUP(Tableau118[[#This Row],[Name Site]],Plant_AILN!A:D,4,FALSE)</f>
        <v>#N/A</v>
      </c>
      <c r="L383" s="363"/>
      <c r="M383" s="481"/>
      <c r="N383" s="55"/>
      <c r="O383" s="122"/>
      <c r="P383" s="481"/>
      <c r="Q383" s="50"/>
      <c r="R383" s="50"/>
      <c r="S383" s="50"/>
      <c r="T383" s="50"/>
      <c r="U383" s="50"/>
      <c r="V383" s="50"/>
      <c r="W383" s="50"/>
      <c r="X383" s="283"/>
      <c r="Y383" s="489">
        <f>IFERROR(VLOOKUP(Tableau118[[#This Row],[Name Shipper]],Plant_AILN!L:M,2,FALSE),0)</f>
        <v>0</v>
      </c>
      <c r="Z383" s="358"/>
      <c r="AA383" s="353" t="e">
        <f ca="1">VLOOKUP(Tableau118[[#This Row],[Key(ID-Actif)]],'DATA BTO'!A:N,5,FALSE)</f>
        <v>#N/A</v>
      </c>
      <c r="AB383" s="3" t="e">
        <f ca="1">VLOOKUP(Tableau118[[#This Row],[Key(ID-Actif)]],'DATA BTO'!A:N,6,FALSE)</f>
        <v>#N/A</v>
      </c>
      <c r="AC383" s="50" t="e">
        <f ca="1">VLOOKUP(Tableau118[[#This Row],[Key(ID-Actif)]],'DATA BTO'!A:N,7,FALSE)</f>
        <v>#N/A</v>
      </c>
      <c r="AD383" s="50" t="e">
        <f ca="1">VLOOKUP(Tableau118[[#This Row],[Key(ID-Actif)]],'DATA BTO'!A:N,8,FALSE)</f>
        <v>#N/A</v>
      </c>
      <c r="AE383" s="406" t="e">
        <f ca="1">IF(Tableau118[[#This Row],[First Day to POL]]&lt;=Tableau118[[#This Row],[Day Cut Off]],Tableau118[[#This Row],[Day ETD]],Tableau118[[#This Row],[Day ETD]]+7)</f>
        <v>#N/A</v>
      </c>
      <c r="AF383" s="50" t="e">
        <f ca="1">VLOOKUP(Tableau118[[#This Row],[Key(ID-Actif)]],'DATA BTO'!A:N,9,FALSE)</f>
        <v>#N/A</v>
      </c>
      <c r="AG383" s="3" t="e">
        <f ca="1">VLOOKUP(Tableau118[[#This Row],[Key(ID-Actif)]],'DATA BTO'!A:N,10,FALSE)</f>
        <v>#N/A</v>
      </c>
      <c r="AH383" s="3" t="e">
        <f ca="1">VLOOKUP(Tableau118[[#This Row],[Key(ID-Actif)]],'DATA BTO'!A:N,11,FALSE)</f>
        <v>#N/A</v>
      </c>
      <c r="AI383" s="50" t="e">
        <f ca="1">VLOOKUP(Tableau118[[#This Row],[Key(ID-Actif)]],'DATA BTO'!A:N,12,FALSE)</f>
        <v>#N/A</v>
      </c>
      <c r="AJ383" s="53" t="e">
        <f ca="1">VLOOKUP(Tableau118[[#This Row],[Key(ID-Actif)]],'DATA BTO'!A:N,14,FALSE)</f>
        <v>#N/A</v>
      </c>
      <c r="AK383" s="54" t="e">
        <f ca="1">VLOOKUP(Tableau118[[#This Row],[Key(POD -PFI- Usine)]],'DATA Consignee'!A:F,6,FALSE)</f>
        <v>#N/A</v>
      </c>
      <c r="AL383" s="283"/>
      <c r="AM383" s="490" t="str">
        <f>IF(Tableau118[[#This Row],[Name PFI/CDD]]="","-",VLOOKUP(Tableau118[[#This Row],[Name PFI/CDD]],Plant_AILN!I:J,2,FALSE))</f>
        <v>-</v>
      </c>
      <c r="AN38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3" s="2" t="e">
        <f ca="1">VLOOKUP(Tableau118[[#This Row],[Key(POD -PFI- Usine)]],'DATA Consignee'!A:J,10,FALSE)</f>
        <v>#N/A</v>
      </c>
      <c r="AQ383" s="50" t="e">
        <f ca="1">VLOOKUP(Tableau118[[#This Row],[Key(POD -PFI- Usine)]],'DATA Consignee'!A:N,14,FALSE)</f>
        <v>#N/A</v>
      </c>
      <c r="AR38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3" s="50" t="e">
        <f ca="1">Tableau118[[#This Row],[Transit time]]+Tableau118[[#This Row],[Time for security]]+Tableau118[[#This Row],[Time for security2 buffer]]</f>
        <v>#N/A</v>
      </c>
      <c r="AU38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3" s="50" t="e">
        <f ca="1">Tableau118[[#This Row],[Leadtime SI2C]]+Tableau118[[#This Row],[First Receipt Days]]-Tableau118[[#This Row],[Day Customer Order]]+1</f>
        <v>#N/A</v>
      </c>
      <c r="AW383" s="117" t="e">
        <f ca="1">IF(Tableau118[[#This Row],[Name ILN]]&lt;&gt;"SFK Freight Forwarder",Tableau118[[#This Row],[Cust. Leadtime]],Tableau118[[#This Row],[Leadtime SI2C]])</f>
        <v>#N/A</v>
      </c>
      <c r="AX383" s="57" t="e">
        <f>VLOOKUP(Tableau118[[#This Row],[ID]],'DATA BTO'!B:P,15,FALSE)</f>
        <v>#N/A</v>
      </c>
      <c r="AY383" s="328" t="e">
        <f ca="1">IFERROR(VLOOKUP(Tableau118[[#This Row],[Key(ID-Actif)]],'DATA BTO'!A:N,4,FALSE),VLOOKUP(Tableau118[[#This Row],[ID]],'DATA BTO'!B:N,3,FALSE))</f>
        <v>#N/A</v>
      </c>
      <c r="AZ38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3" s="50"/>
    </row>
    <row r="384" spans="2:57">
      <c r="B384" s="405" t="str">
        <f>_xlfn.CONCAT(Tableau118[[#This Row],[Name ILN]],"-",Tableau118[[#This Row],[Name Shipper]],"-",Tableau118[[#This Row],[Name Site]])</f>
        <v>--</v>
      </c>
      <c r="C384" s="64" t="e">
        <f ca="1">_xlfn.CONCAT(Tableau118[[#This Row],[Compte ILN]],"-",Tableau118[[#This Row],[Compte Shipper]],"-",Tableau118[[#This Row],[POL]],"-",Tableau118[[#This Row],[Compte Site]])</f>
        <v>#N/A</v>
      </c>
      <c r="D384" s="64" t="e">
        <f ca="1">_xlfn.CONCAT(Tableau118[[#This Row],[Compte ILN]],"-",Tableau118[[#This Row],[Compte Shipper]],"-",Tableau118[[#This Row],[POL]])</f>
        <v>#N/A</v>
      </c>
      <c r="E384" s="128" t="e">
        <f ca="1">_xlfn.CONCAT(Tableau118[[#This Row],[POL]],"-",Tableau118[[#This Row],[Carrier]],"-",Tableau118[[#This Row],[POD]])</f>
        <v>#N/A</v>
      </c>
      <c r="F384" s="64" t="str">
        <f>_xlfn.CONCAT(Tableau118[[#This Row],[ID]],"-","Next")</f>
        <v>-Next</v>
      </c>
      <c r="G384" s="64" t="e">
        <f ca="1">_xlfn.CONCAT(Tableau118[[#This Row],[POD]],"-",Tableau118[[#This Row],[Code PFI]],"-",Tableau118[[#This Row],[Compte Site]])</f>
        <v>#N/A</v>
      </c>
      <c r="H38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4" s="117" t="str">
        <f ca="1">IF(COUNTIF(I:I,Tableau118[[#This Row],[Plant-ILN-shipper-POL-Carrier-POD-PFI]])=1,"Non","Oui")</f>
        <v>Oui</v>
      </c>
      <c r="K384" s="126" t="e">
        <f>VLOOKUP(Tableau118[[#This Row],[Name Site]],Plant_AILN!A:D,4,FALSE)</f>
        <v>#N/A</v>
      </c>
      <c r="L384" s="363"/>
      <c r="M384" s="481"/>
      <c r="N384" s="55"/>
      <c r="O384" s="122"/>
      <c r="P384" s="481"/>
      <c r="Q384" s="50"/>
      <c r="R384" s="50"/>
      <c r="S384" s="50"/>
      <c r="T384" s="50"/>
      <c r="U384" s="50"/>
      <c r="V384" s="50"/>
      <c r="W384" s="50"/>
      <c r="X384" s="283"/>
      <c r="Y384" s="489">
        <f>IFERROR(VLOOKUP(Tableau118[[#This Row],[Name Shipper]],Plant_AILN!L:M,2,FALSE),0)</f>
        <v>0</v>
      </c>
      <c r="Z384" s="358"/>
      <c r="AA384" s="353" t="e">
        <f ca="1">VLOOKUP(Tableau118[[#This Row],[Key(ID-Actif)]],'DATA BTO'!A:N,5,FALSE)</f>
        <v>#N/A</v>
      </c>
      <c r="AB384" s="3" t="e">
        <f ca="1">VLOOKUP(Tableau118[[#This Row],[Key(ID-Actif)]],'DATA BTO'!A:N,6,FALSE)</f>
        <v>#N/A</v>
      </c>
      <c r="AC384" s="50" t="e">
        <f ca="1">VLOOKUP(Tableau118[[#This Row],[Key(ID-Actif)]],'DATA BTO'!A:N,7,FALSE)</f>
        <v>#N/A</v>
      </c>
      <c r="AD384" s="50" t="e">
        <f ca="1">VLOOKUP(Tableau118[[#This Row],[Key(ID-Actif)]],'DATA BTO'!A:N,8,FALSE)</f>
        <v>#N/A</v>
      </c>
      <c r="AE384" s="406" t="e">
        <f ca="1">IF(Tableau118[[#This Row],[First Day to POL]]&lt;=Tableau118[[#This Row],[Day Cut Off]],Tableau118[[#This Row],[Day ETD]],Tableau118[[#This Row],[Day ETD]]+7)</f>
        <v>#N/A</v>
      </c>
      <c r="AF384" s="50" t="e">
        <f ca="1">VLOOKUP(Tableau118[[#This Row],[Key(ID-Actif)]],'DATA BTO'!A:N,9,FALSE)</f>
        <v>#N/A</v>
      </c>
      <c r="AG384" s="3" t="e">
        <f ca="1">VLOOKUP(Tableau118[[#This Row],[Key(ID-Actif)]],'DATA BTO'!A:N,10,FALSE)</f>
        <v>#N/A</v>
      </c>
      <c r="AH384" s="3" t="e">
        <f ca="1">VLOOKUP(Tableau118[[#This Row],[Key(ID-Actif)]],'DATA BTO'!A:N,11,FALSE)</f>
        <v>#N/A</v>
      </c>
      <c r="AI384" s="50" t="e">
        <f ca="1">VLOOKUP(Tableau118[[#This Row],[Key(ID-Actif)]],'DATA BTO'!A:N,12,FALSE)</f>
        <v>#N/A</v>
      </c>
      <c r="AJ384" s="53" t="e">
        <f ca="1">VLOOKUP(Tableau118[[#This Row],[Key(ID-Actif)]],'DATA BTO'!A:N,14,FALSE)</f>
        <v>#N/A</v>
      </c>
      <c r="AK384" s="54" t="e">
        <f ca="1">VLOOKUP(Tableau118[[#This Row],[Key(POD -PFI- Usine)]],'DATA Consignee'!A:F,6,FALSE)</f>
        <v>#N/A</v>
      </c>
      <c r="AL384" s="283"/>
      <c r="AM384" s="490" t="str">
        <f>IF(Tableau118[[#This Row],[Name PFI/CDD]]="","-",VLOOKUP(Tableau118[[#This Row],[Name PFI/CDD]],Plant_AILN!I:J,2,FALSE))</f>
        <v>-</v>
      </c>
      <c r="AN38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4" s="2" t="e">
        <f ca="1">VLOOKUP(Tableau118[[#This Row],[Key(POD -PFI- Usine)]],'DATA Consignee'!A:J,10,FALSE)</f>
        <v>#N/A</v>
      </c>
      <c r="AQ384" s="50" t="e">
        <f ca="1">VLOOKUP(Tableau118[[#This Row],[Key(POD -PFI- Usine)]],'DATA Consignee'!A:N,14,FALSE)</f>
        <v>#N/A</v>
      </c>
      <c r="AR38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4" s="50" t="e">
        <f ca="1">Tableau118[[#This Row],[Transit time]]+Tableau118[[#This Row],[Time for security]]+Tableau118[[#This Row],[Time for security2 buffer]]</f>
        <v>#N/A</v>
      </c>
      <c r="AU38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4" s="50" t="e">
        <f ca="1">Tableau118[[#This Row],[Leadtime SI2C]]+Tableau118[[#This Row],[First Receipt Days]]-Tableau118[[#This Row],[Day Customer Order]]+1</f>
        <v>#N/A</v>
      </c>
      <c r="AW384" s="117" t="e">
        <f ca="1">IF(Tableau118[[#This Row],[Name ILN]]&lt;&gt;"SFK Freight Forwarder",Tableau118[[#This Row],[Cust. Leadtime]],Tableau118[[#This Row],[Leadtime SI2C]])</f>
        <v>#N/A</v>
      </c>
      <c r="AX384" s="57" t="e">
        <f>VLOOKUP(Tableau118[[#This Row],[ID]],'DATA BTO'!B:P,15,FALSE)</f>
        <v>#N/A</v>
      </c>
      <c r="AY384" s="328" t="e">
        <f ca="1">IFERROR(VLOOKUP(Tableau118[[#This Row],[Key(ID-Actif)]],'DATA BTO'!A:N,4,FALSE),VLOOKUP(Tableau118[[#This Row],[ID]],'DATA BTO'!B:N,3,FALSE))</f>
        <v>#N/A</v>
      </c>
      <c r="AZ38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4" s="50"/>
    </row>
    <row r="385" spans="2:57">
      <c r="B385" s="405" t="str">
        <f>_xlfn.CONCAT(Tableau118[[#This Row],[Name ILN]],"-",Tableau118[[#This Row],[Name Shipper]],"-",Tableau118[[#This Row],[Name Site]])</f>
        <v>--</v>
      </c>
      <c r="C385" s="64" t="e">
        <f ca="1">_xlfn.CONCAT(Tableau118[[#This Row],[Compte ILN]],"-",Tableau118[[#This Row],[Compte Shipper]],"-",Tableau118[[#This Row],[POL]],"-",Tableau118[[#This Row],[Compte Site]])</f>
        <v>#N/A</v>
      </c>
      <c r="D385" s="64" t="e">
        <f ca="1">_xlfn.CONCAT(Tableau118[[#This Row],[Compte ILN]],"-",Tableau118[[#This Row],[Compte Shipper]],"-",Tableau118[[#This Row],[POL]])</f>
        <v>#N/A</v>
      </c>
      <c r="E385" s="128" t="e">
        <f ca="1">_xlfn.CONCAT(Tableau118[[#This Row],[POL]],"-",Tableau118[[#This Row],[Carrier]],"-",Tableau118[[#This Row],[POD]])</f>
        <v>#N/A</v>
      </c>
      <c r="F385" s="64" t="str">
        <f>_xlfn.CONCAT(Tableau118[[#This Row],[ID]],"-","Next")</f>
        <v>-Next</v>
      </c>
      <c r="G385" s="64" t="e">
        <f ca="1">_xlfn.CONCAT(Tableau118[[#This Row],[POD]],"-",Tableau118[[#This Row],[Code PFI]],"-",Tableau118[[#This Row],[Compte Site]])</f>
        <v>#N/A</v>
      </c>
      <c r="H38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5" s="117" t="str">
        <f ca="1">IF(COUNTIF(I:I,Tableau118[[#This Row],[Plant-ILN-shipper-POL-Carrier-POD-PFI]])=1,"Non","Oui")</f>
        <v>Oui</v>
      </c>
      <c r="K385" s="126" t="e">
        <f>VLOOKUP(Tableau118[[#This Row],[Name Site]],Plant_AILN!A:D,4,FALSE)</f>
        <v>#N/A</v>
      </c>
      <c r="L385" s="363"/>
      <c r="M385" s="481"/>
      <c r="N385" s="55"/>
      <c r="O385" s="122"/>
      <c r="P385" s="481"/>
      <c r="Q385" s="50"/>
      <c r="R385" s="50"/>
      <c r="S385" s="50"/>
      <c r="T385" s="50"/>
      <c r="U385" s="50"/>
      <c r="V385" s="50"/>
      <c r="W385" s="50"/>
      <c r="X385" s="283"/>
      <c r="Y385" s="489">
        <f>IFERROR(VLOOKUP(Tableau118[[#This Row],[Name Shipper]],Plant_AILN!L:M,2,FALSE),0)</f>
        <v>0</v>
      </c>
      <c r="Z385" s="358"/>
      <c r="AA385" s="353" t="e">
        <f ca="1">VLOOKUP(Tableau118[[#This Row],[Key(ID-Actif)]],'DATA BTO'!A:N,5,FALSE)</f>
        <v>#N/A</v>
      </c>
      <c r="AB385" s="3" t="e">
        <f ca="1">VLOOKUP(Tableau118[[#This Row],[Key(ID-Actif)]],'DATA BTO'!A:N,6,FALSE)</f>
        <v>#N/A</v>
      </c>
      <c r="AC385" s="50" t="e">
        <f ca="1">VLOOKUP(Tableau118[[#This Row],[Key(ID-Actif)]],'DATA BTO'!A:N,7,FALSE)</f>
        <v>#N/A</v>
      </c>
      <c r="AD385" s="50" t="e">
        <f ca="1">VLOOKUP(Tableau118[[#This Row],[Key(ID-Actif)]],'DATA BTO'!A:N,8,FALSE)</f>
        <v>#N/A</v>
      </c>
      <c r="AE385" s="406" t="e">
        <f ca="1">IF(Tableau118[[#This Row],[First Day to POL]]&lt;=Tableau118[[#This Row],[Day Cut Off]],Tableau118[[#This Row],[Day ETD]],Tableau118[[#This Row],[Day ETD]]+7)</f>
        <v>#N/A</v>
      </c>
      <c r="AF385" s="50" t="e">
        <f ca="1">VLOOKUP(Tableau118[[#This Row],[Key(ID-Actif)]],'DATA BTO'!A:N,9,FALSE)</f>
        <v>#N/A</v>
      </c>
      <c r="AG385" s="3" t="e">
        <f ca="1">VLOOKUP(Tableau118[[#This Row],[Key(ID-Actif)]],'DATA BTO'!A:N,10,FALSE)</f>
        <v>#N/A</v>
      </c>
      <c r="AH385" s="3" t="e">
        <f ca="1">VLOOKUP(Tableau118[[#This Row],[Key(ID-Actif)]],'DATA BTO'!A:N,11,FALSE)</f>
        <v>#N/A</v>
      </c>
      <c r="AI385" s="50" t="e">
        <f ca="1">VLOOKUP(Tableau118[[#This Row],[Key(ID-Actif)]],'DATA BTO'!A:N,12,FALSE)</f>
        <v>#N/A</v>
      </c>
      <c r="AJ385" s="53" t="e">
        <f ca="1">VLOOKUP(Tableau118[[#This Row],[Key(ID-Actif)]],'DATA BTO'!A:N,14,FALSE)</f>
        <v>#N/A</v>
      </c>
      <c r="AK385" s="54" t="e">
        <f ca="1">VLOOKUP(Tableau118[[#This Row],[Key(POD -PFI- Usine)]],'DATA Consignee'!A:F,6,FALSE)</f>
        <v>#N/A</v>
      </c>
      <c r="AL385" s="283"/>
      <c r="AM385" s="490" t="str">
        <f>IF(Tableau118[[#This Row],[Name PFI/CDD]]="","-",VLOOKUP(Tableau118[[#This Row],[Name PFI/CDD]],Plant_AILN!I:J,2,FALSE))</f>
        <v>-</v>
      </c>
      <c r="AN38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5" s="2" t="e">
        <f ca="1">VLOOKUP(Tableau118[[#This Row],[Key(POD -PFI- Usine)]],'DATA Consignee'!A:J,10,FALSE)</f>
        <v>#N/A</v>
      </c>
      <c r="AQ385" s="50" t="e">
        <f ca="1">VLOOKUP(Tableau118[[#This Row],[Key(POD -PFI- Usine)]],'DATA Consignee'!A:N,14,FALSE)</f>
        <v>#N/A</v>
      </c>
      <c r="AR38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5" s="50" t="e">
        <f ca="1">Tableau118[[#This Row],[Transit time]]+Tableau118[[#This Row],[Time for security]]+Tableau118[[#This Row],[Time for security2 buffer]]</f>
        <v>#N/A</v>
      </c>
      <c r="AU38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5" s="50" t="e">
        <f ca="1">Tableau118[[#This Row],[Leadtime SI2C]]+Tableau118[[#This Row],[First Receipt Days]]-Tableau118[[#This Row],[Day Customer Order]]+1</f>
        <v>#N/A</v>
      </c>
      <c r="AW385" s="117" t="e">
        <f ca="1">IF(Tableau118[[#This Row],[Name ILN]]&lt;&gt;"SFK Freight Forwarder",Tableau118[[#This Row],[Cust. Leadtime]],Tableau118[[#This Row],[Leadtime SI2C]])</f>
        <v>#N/A</v>
      </c>
      <c r="AX385" s="57" t="e">
        <f>VLOOKUP(Tableau118[[#This Row],[ID]],'DATA BTO'!B:P,15,FALSE)</f>
        <v>#N/A</v>
      </c>
      <c r="AY385" s="328" t="e">
        <f ca="1">IFERROR(VLOOKUP(Tableau118[[#This Row],[Key(ID-Actif)]],'DATA BTO'!A:N,4,FALSE),VLOOKUP(Tableau118[[#This Row],[ID]],'DATA BTO'!B:N,3,FALSE))</f>
        <v>#N/A</v>
      </c>
      <c r="AZ38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5" s="50"/>
    </row>
    <row r="386" spans="2:57">
      <c r="B386" s="405" t="str">
        <f>_xlfn.CONCAT(Tableau118[[#This Row],[Name ILN]],"-",Tableau118[[#This Row],[Name Shipper]],"-",Tableau118[[#This Row],[Name Site]])</f>
        <v>--</v>
      </c>
      <c r="C386" s="64" t="e">
        <f ca="1">_xlfn.CONCAT(Tableau118[[#This Row],[Compte ILN]],"-",Tableau118[[#This Row],[Compte Shipper]],"-",Tableau118[[#This Row],[POL]],"-",Tableau118[[#This Row],[Compte Site]])</f>
        <v>#N/A</v>
      </c>
      <c r="D386" s="64" t="e">
        <f ca="1">_xlfn.CONCAT(Tableau118[[#This Row],[Compte ILN]],"-",Tableau118[[#This Row],[Compte Shipper]],"-",Tableau118[[#This Row],[POL]])</f>
        <v>#N/A</v>
      </c>
      <c r="E386" s="128" t="e">
        <f ca="1">_xlfn.CONCAT(Tableau118[[#This Row],[POL]],"-",Tableau118[[#This Row],[Carrier]],"-",Tableau118[[#This Row],[POD]])</f>
        <v>#N/A</v>
      </c>
      <c r="F386" s="64" t="str">
        <f>_xlfn.CONCAT(Tableau118[[#This Row],[ID]],"-","Next")</f>
        <v>-Next</v>
      </c>
      <c r="G386" s="64" t="e">
        <f ca="1">_xlfn.CONCAT(Tableau118[[#This Row],[POD]],"-",Tableau118[[#This Row],[Code PFI]],"-",Tableau118[[#This Row],[Compte Site]])</f>
        <v>#N/A</v>
      </c>
      <c r="H38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6" s="117" t="str">
        <f ca="1">IF(COUNTIF(I:I,Tableau118[[#This Row],[Plant-ILN-shipper-POL-Carrier-POD-PFI]])=1,"Non","Oui")</f>
        <v>Oui</v>
      </c>
      <c r="K386" s="126" t="e">
        <f>VLOOKUP(Tableau118[[#This Row],[Name Site]],Plant_AILN!A:D,4,FALSE)</f>
        <v>#N/A</v>
      </c>
      <c r="L386" s="363"/>
      <c r="M386" s="481"/>
      <c r="N386" s="55"/>
      <c r="O386" s="122"/>
      <c r="P386" s="481"/>
      <c r="Q386" s="50"/>
      <c r="R386" s="50"/>
      <c r="S386" s="50"/>
      <c r="T386" s="50"/>
      <c r="U386" s="50"/>
      <c r="V386" s="50"/>
      <c r="W386" s="50"/>
      <c r="X386" s="283"/>
      <c r="Y386" s="489">
        <f>IFERROR(VLOOKUP(Tableau118[[#This Row],[Name Shipper]],Plant_AILN!L:M,2,FALSE),0)</f>
        <v>0</v>
      </c>
      <c r="Z386" s="358"/>
      <c r="AA386" s="353" t="e">
        <f ca="1">VLOOKUP(Tableau118[[#This Row],[Key(ID-Actif)]],'DATA BTO'!A:N,5,FALSE)</f>
        <v>#N/A</v>
      </c>
      <c r="AB386" s="3" t="e">
        <f ca="1">VLOOKUP(Tableau118[[#This Row],[Key(ID-Actif)]],'DATA BTO'!A:N,6,FALSE)</f>
        <v>#N/A</v>
      </c>
      <c r="AC386" s="50" t="e">
        <f ca="1">VLOOKUP(Tableau118[[#This Row],[Key(ID-Actif)]],'DATA BTO'!A:N,7,FALSE)</f>
        <v>#N/A</v>
      </c>
      <c r="AD386" s="50" t="e">
        <f ca="1">VLOOKUP(Tableau118[[#This Row],[Key(ID-Actif)]],'DATA BTO'!A:N,8,FALSE)</f>
        <v>#N/A</v>
      </c>
      <c r="AE386" s="406" t="e">
        <f ca="1">IF(Tableau118[[#This Row],[First Day to POL]]&lt;=Tableau118[[#This Row],[Day Cut Off]],Tableau118[[#This Row],[Day ETD]],Tableau118[[#This Row],[Day ETD]]+7)</f>
        <v>#N/A</v>
      </c>
      <c r="AF386" s="50" t="e">
        <f ca="1">VLOOKUP(Tableau118[[#This Row],[Key(ID-Actif)]],'DATA BTO'!A:N,9,FALSE)</f>
        <v>#N/A</v>
      </c>
      <c r="AG386" s="3" t="e">
        <f ca="1">VLOOKUP(Tableau118[[#This Row],[Key(ID-Actif)]],'DATA BTO'!A:N,10,FALSE)</f>
        <v>#N/A</v>
      </c>
      <c r="AH386" s="3" t="e">
        <f ca="1">VLOOKUP(Tableau118[[#This Row],[Key(ID-Actif)]],'DATA BTO'!A:N,11,FALSE)</f>
        <v>#N/A</v>
      </c>
      <c r="AI386" s="50" t="e">
        <f ca="1">VLOOKUP(Tableau118[[#This Row],[Key(ID-Actif)]],'DATA BTO'!A:N,12,FALSE)</f>
        <v>#N/A</v>
      </c>
      <c r="AJ386" s="53" t="e">
        <f ca="1">VLOOKUP(Tableau118[[#This Row],[Key(ID-Actif)]],'DATA BTO'!A:N,14,FALSE)</f>
        <v>#N/A</v>
      </c>
      <c r="AK386" s="54" t="e">
        <f ca="1">VLOOKUP(Tableau118[[#This Row],[Key(POD -PFI- Usine)]],'DATA Consignee'!A:F,6,FALSE)</f>
        <v>#N/A</v>
      </c>
      <c r="AL386" s="283"/>
      <c r="AM386" s="490" t="str">
        <f>IF(Tableau118[[#This Row],[Name PFI/CDD]]="","-",VLOOKUP(Tableau118[[#This Row],[Name PFI/CDD]],Plant_AILN!I:J,2,FALSE))</f>
        <v>-</v>
      </c>
      <c r="AN38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6" s="2" t="e">
        <f ca="1">VLOOKUP(Tableau118[[#This Row],[Key(POD -PFI- Usine)]],'DATA Consignee'!A:J,10,FALSE)</f>
        <v>#N/A</v>
      </c>
      <c r="AQ386" s="50" t="e">
        <f ca="1">VLOOKUP(Tableau118[[#This Row],[Key(POD -PFI- Usine)]],'DATA Consignee'!A:N,14,FALSE)</f>
        <v>#N/A</v>
      </c>
      <c r="AR38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6" s="50" t="e">
        <f ca="1">Tableau118[[#This Row],[Transit time]]+Tableau118[[#This Row],[Time for security]]+Tableau118[[#This Row],[Time for security2 buffer]]</f>
        <v>#N/A</v>
      </c>
      <c r="AU38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6" s="50" t="e">
        <f ca="1">Tableau118[[#This Row],[Leadtime SI2C]]+Tableau118[[#This Row],[First Receipt Days]]-Tableau118[[#This Row],[Day Customer Order]]+1</f>
        <v>#N/A</v>
      </c>
      <c r="AW386" s="117" t="e">
        <f ca="1">IF(Tableau118[[#This Row],[Name ILN]]&lt;&gt;"SFK Freight Forwarder",Tableau118[[#This Row],[Cust. Leadtime]],Tableau118[[#This Row],[Leadtime SI2C]])</f>
        <v>#N/A</v>
      </c>
      <c r="AX386" s="57" t="e">
        <f>VLOOKUP(Tableau118[[#This Row],[ID]],'DATA BTO'!B:P,15,FALSE)</f>
        <v>#N/A</v>
      </c>
      <c r="AY386" s="328" t="e">
        <f ca="1">IFERROR(VLOOKUP(Tableau118[[#This Row],[Key(ID-Actif)]],'DATA BTO'!A:N,4,FALSE),VLOOKUP(Tableau118[[#This Row],[ID]],'DATA BTO'!B:N,3,FALSE))</f>
        <v>#N/A</v>
      </c>
      <c r="AZ38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6" s="50"/>
    </row>
    <row r="387" spans="2:57">
      <c r="B387" s="405" t="str">
        <f>_xlfn.CONCAT(Tableau118[[#This Row],[Name ILN]],"-",Tableau118[[#This Row],[Name Shipper]],"-",Tableau118[[#This Row],[Name Site]])</f>
        <v>--</v>
      </c>
      <c r="C387" s="64" t="e">
        <f ca="1">_xlfn.CONCAT(Tableau118[[#This Row],[Compte ILN]],"-",Tableau118[[#This Row],[Compte Shipper]],"-",Tableau118[[#This Row],[POL]],"-",Tableau118[[#This Row],[Compte Site]])</f>
        <v>#N/A</v>
      </c>
      <c r="D387" s="64" t="e">
        <f ca="1">_xlfn.CONCAT(Tableau118[[#This Row],[Compte ILN]],"-",Tableau118[[#This Row],[Compte Shipper]],"-",Tableau118[[#This Row],[POL]])</f>
        <v>#N/A</v>
      </c>
      <c r="E387" s="128" t="e">
        <f ca="1">_xlfn.CONCAT(Tableau118[[#This Row],[POL]],"-",Tableau118[[#This Row],[Carrier]],"-",Tableau118[[#This Row],[POD]])</f>
        <v>#N/A</v>
      </c>
      <c r="F387" s="64" t="str">
        <f>_xlfn.CONCAT(Tableau118[[#This Row],[ID]],"-","Next")</f>
        <v>-Next</v>
      </c>
      <c r="G387" s="64" t="e">
        <f ca="1">_xlfn.CONCAT(Tableau118[[#This Row],[POD]],"-",Tableau118[[#This Row],[Code PFI]],"-",Tableau118[[#This Row],[Compte Site]])</f>
        <v>#N/A</v>
      </c>
      <c r="H38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7" s="117" t="str">
        <f ca="1">IF(COUNTIF(I:I,Tableau118[[#This Row],[Plant-ILN-shipper-POL-Carrier-POD-PFI]])=1,"Non","Oui")</f>
        <v>Oui</v>
      </c>
      <c r="K387" s="126" t="e">
        <f>VLOOKUP(Tableau118[[#This Row],[Name Site]],Plant_AILN!A:D,4,FALSE)</f>
        <v>#N/A</v>
      </c>
      <c r="L387" s="363"/>
      <c r="M387" s="481"/>
      <c r="N387" s="55"/>
      <c r="O387" s="122"/>
      <c r="P387" s="481"/>
      <c r="Q387" s="50"/>
      <c r="R387" s="50"/>
      <c r="S387" s="50"/>
      <c r="T387" s="50"/>
      <c r="U387" s="50"/>
      <c r="V387" s="50"/>
      <c r="W387" s="50"/>
      <c r="X387" s="283"/>
      <c r="Y387" s="489">
        <f>IFERROR(VLOOKUP(Tableau118[[#This Row],[Name Shipper]],Plant_AILN!L:M,2,FALSE),0)</f>
        <v>0</v>
      </c>
      <c r="Z387" s="358"/>
      <c r="AA387" s="353" t="e">
        <f ca="1">VLOOKUP(Tableau118[[#This Row],[Key(ID-Actif)]],'DATA BTO'!A:N,5,FALSE)</f>
        <v>#N/A</v>
      </c>
      <c r="AB387" s="3" t="e">
        <f ca="1">VLOOKUP(Tableau118[[#This Row],[Key(ID-Actif)]],'DATA BTO'!A:N,6,FALSE)</f>
        <v>#N/A</v>
      </c>
      <c r="AC387" s="50" t="e">
        <f ca="1">VLOOKUP(Tableau118[[#This Row],[Key(ID-Actif)]],'DATA BTO'!A:N,7,FALSE)</f>
        <v>#N/A</v>
      </c>
      <c r="AD387" s="50" t="e">
        <f ca="1">VLOOKUP(Tableau118[[#This Row],[Key(ID-Actif)]],'DATA BTO'!A:N,8,FALSE)</f>
        <v>#N/A</v>
      </c>
      <c r="AE387" s="406" t="e">
        <f ca="1">IF(Tableau118[[#This Row],[First Day to POL]]&lt;=Tableau118[[#This Row],[Day Cut Off]],Tableau118[[#This Row],[Day ETD]],Tableau118[[#This Row],[Day ETD]]+7)</f>
        <v>#N/A</v>
      </c>
      <c r="AF387" s="50" t="e">
        <f ca="1">VLOOKUP(Tableau118[[#This Row],[Key(ID-Actif)]],'DATA BTO'!A:N,9,FALSE)</f>
        <v>#N/A</v>
      </c>
      <c r="AG387" s="3" t="e">
        <f ca="1">VLOOKUP(Tableau118[[#This Row],[Key(ID-Actif)]],'DATA BTO'!A:N,10,FALSE)</f>
        <v>#N/A</v>
      </c>
      <c r="AH387" s="3" t="e">
        <f ca="1">VLOOKUP(Tableau118[[#This Row],[Key(ID-Actif)]],'DATA BTO'!A:N,11,FALSE)</f>
        <v>#N/A</v>
      </c>
      <c r="AI387" s="50" t="e">
        <f ca="1">VLOOKUP(Tableau118[[#This Row],[Key(ID-Actif)]],'DATA BTO'!A:N,12,FALSE)</f>
        <v>#N/A</v>
      </c>
      <c r="AJ387" s="53" t="e">
        <f ca="1">VLOOKUP(Tableau118[[#This Row],[Key(ID-Actif)]],'DATA BTO'!A:N,14,FALSE)</f>
        <v>#N/A</v>
      </c>
      <c r="AK387" s="54" t="e">
        <f ca="1">VLOOKUP(Tableau118[[#This Row],[Key(POD -PFI- Usine)]],'DATA Consignee'!A:F,6,FALSE)</f>
        <v>#N/A</v>
      </c>
      <c r="AL387" s="283"/>
      <c r="AM387" s="490" t="str">
        <f>IF(Tableau118[[#This Row],[Name PFI/CDD]]="","-",VLOOKUP(Tableau118[[#This Row],[Name PFI/CDD]],Plant_AILN!I:J,2,FALSE))</f>
        <v>-</v>
      </c>
      <c r="AN38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7" s="2" t="e">
        <f ca="1">VLOOKUP(Tableau118[[#This Row],[Key(POD -PFI- Usine)]],'DATA Consignee'!A:J,10,FALSE)</f>
        <v>#N/A</v>
      </c>
      <c r="AQ387" s="50" t="e">
        <f ca="1">VLOOKUP(Tableau118[[#This Row],[Key(POD -PFI- Usine)]],'DATA Consignee'!A:N,14,FALSE)</f>
        <v>#N/A</v>
      </c>
      <c r="AR38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7" s="50" t="e">
        <f ca="1">Tableau118[[#This Row],[Transit time]]+Tableau118[[#This Row],[Time for security]]+Tableau118[[#This Row],[Time for security2 buffer]]</f>
        <v>#N/A</v>
      </c>
      <c r="AU38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7" s="50" t="e">
        <f ca="1">Tableau118[[#This Row],[Leadtime SI2C]]+Tableau118[[#This Row],[First Receipt Days]]-Tableau118[[#This Row],[Day Customer Order]]+1</f>
        <v>#N/A</v>
      </c>
      <c r="AW387" s="117" t="e">
        <f ca="1">IF(Tableau118[[#This Row],[Name ILN]]&lt;&gt;"SFK Freight Forwarder",Tableau118[[#This Row],[Cust. Leadtime]],Tableau118[[#This Row],[Leadtime SI2C]])</f>
        <v>#N/A</v>
      </c>
      <c r="AX387" s="57" t="e">
        <f>VLOOKUP(Tableau118[[#This Row],[ID]],'DATA BTO'!B:P,15,FALSE)</f>
        <v>#N/A</v>
      </c>
      <c r="AY387" s="328" t="e">
        <f ca="1">IFERROR(VLOOKUP(Tableau118[[#This Row],[Key(ID-Actif)]],'DATA BTO'!A:N,4,FALSE),VLOOKUP(Tableau118[[#This Row],[ID]],'DATA BTO'!B:N,3,FALSE))</f>
        <v>#N/A</v>
      </c>
      <c r="AZ38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7" s="50"/>
    </row>
    <row r="388" spans="2:57">
      <c r="B388" s="405" t="str">
        <f>_xlfn.CONCAT(Tableau118[[#This Row],[Name ILN]],"-",Tableau118[[#This Row],[Name Shipper]],"-",Tableau118[[#This Row],[Name Site]])</f>
        <v>--</v>
      </c>
      <c r="C388" s="64" t="e">
        <f ca="1">_xlfn.CONCAT(Tableau118[[#This Row],[Compte ILN]],"-",Tableau118[[#This Row],[Compte Shipper]],"-",Tableau118[[#This Row],[POL]],"-",Tableau118[[#This Row],[Compte Site]])</f>
        <v>#N/A</v>
      </c>
      <c r="D388" s="64" t="e">
        <f ca="1">_xlfn.CONCAT(Tableau118[[#This Row],[Compte ILN]],"-",Tableau118[[#This Row],[Compte Shipper]],"-",Tableau118[[#This Row],[POL]])</f>
        <v>#N/A</v>
      </c>
      <c r="E388" s="128" t="e">
        <f ca="1">_xlfn.CONCAT(Tableau118[[#This Row],[POL]],"-",Tableau118[[#This Row],[Carrier]],"-",Tableau118[[#This Row],[POD]])</f>
        <v>#N/A</v>
      </c>
      <c r="F388" s="64" t="str">
        <f>_xlfn.CONCAT(Tableau118[[#This Row],[ID]],"-","Next")</f>
        <v>-Next</v>
      </c>
      <c r="G388" s="64" t="e">
        <f ca="1">_xlfn.CONCAT(Tableau118[[#This Row],[POD]],"-",Tableau118[[#This Row],[Code PFI]],"-",Tableau118[[#This Row],[Compte Site]])</f>
        <v>#N/A</v>
      </c>
      <c r="H38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8" s="117" t="str">
        <f ca="1">IF(COUNTIF(I:I,Tableau118[[#This Row],[Plant-ILN-shipper-POL-Carrier-POD-PFI]])=1,"Non","Oui")</f>
        <v>Oui</v>
      </c>
      <c r="K388" s="126" t="e">
        <f>VLOOKUP(Tableau118[[#This Row],[Name Site]],Plant_AILN!A:D,4,FALSE)</f>
        <v>#N/A</v>
      </c>
      <c r="L388" s="363"/>
      <c r="M388" s="481"/>
      <c r="N388" s="55"/>
      <c r="O388" s="122"/>
      <c r="P388" s="481"/>
      <c r="Q388" s="50"/>
      <c r="R388" s="50"/>
      <c r="S388" s="50"/>
      <c r="T388" s="50"/>
      <c r="U388" s="50"/>
      <c r="V388" s="50"/>
      <c r="W388" s="50"/>
      <c r="X388" s="283"/>
      <c r="Y388" s="489">
        <f>IFERROR(VLOOKUP(Tableau118[[#This Row],[Name Shipper]],Plant_AILN!L:M,2,FALSE),0)</f>
        <v>0</v>
      </c>
      <c r="Z388" s="358"/>
      <c r="AA388" s="353" t="e">
        <f ca="1">VLOOKUP(Tableau118[[#This Row],[Key(ID-Actif)]],'DATA BTO'!A:N,5,FALSE)</f>
        <v>#N/A</v>
      </c>
      <c r="AB388" s="3" t="e">
        <f ca="1">VLOOKUP(Tableau118[[#This Row],[Key(ID-Actif)]],'DATA BTO'!A:N,6,FALSE)</f>
        <v>#N/A</v>
      </c>
      <c r="AC388" s="50" t="e">
        <f ca="1">VLOOKUP(Tableau118[[#This Row],[Key(ID-Actif)]],'DATA BTO'!A:N,7,FALSE)</f>
        <v>#N/A</v>
      </c>
      <c r="AD388" s="50" t="e">
        <f ca="1">VLOOKUP(Tableau118[[#This Row],[Key(ID-Actif)]],'DATA BTO'!A:N,8,FALSE)</f>
        <v>#N/A</v>
      </c>
      <c r="AE388" s="406" t="e">
        <f ca="1">IF(Tableau118[[#This Row],[First Day to POL]]&lt;=Tableau118[[#This Row],[Day Cut Off]],Tableau118[[#This Row],[Day ETD]],Tableau118[[#This Row],[Day ETD]]+7)</f>
        <v>#N/A</v>
      </c>
      <c r="AF388" s="50" t="e">
        <f ca="1">VLOOKUP(Tableau118[[#This Row],[Key(ID-Actif)]],'DATA BTO'!A:N,9,FALSE)</f>
        <v>#N/A</v>
      </c>
      <c r="AG388" s="3" t="e">
        <f ca="1">VLOOKUP(Tableau118[[#This Row],[Key(ID-Actif)]],'DATA BTO'!A:N,10,FALSE)</f>
        <v>#N/A</v>
      </c>
      <c r="AH388" s="3" t="e">
        <f ca="1">VLOOKUP(Tableau118[[#This Row],[Key(ID-Actif)]],'DATA BTO'!A:N,11,FALSE)</f>
        <v>#N/A</v>
      </c>
      <c r="AI388" s="50" t="e">
        <f ca="1">VLOOKUP(Tableau118[[#This Row],[Key(ID-Actif)]],'DATA BTO'!A:N,12,FALSE)</f>
        <v>#N/A</v>
      </c>
      <c r="AJ388" s="53" t="e">
        <f ca="1">VLOOKUP(Tableau118[[#This Row],[Key(ID-Actif)]],'DATA BTO'!A:N,14,FALSE)</f>
        <v>#N/A</v>
      </c>
      <c r="AK388" s="54" t="e">
        <f ca="1">VLOOKUP(Tableau118[[#This Row],[Key(POD -PFI- Usine)]],'DATA Consignee'!A:F,6,FALSE)</f>
        <v>#N/A</v>
      </c>
      <c r="AL388" s="283"/>
      <c r="AM388" s="490" t="str">
        <f>IF(Tableau118[[#This Row],[Name PFI/CDD]]="","-",VLOOKUP(Tableau118[[#This Row],[Name PFI/CDD]],Plant_AILN!I:J,2,FALSE))</f>
        <v>-</v>
      </c>
      <c r="AN38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8" s="2" t="e">
        <f ca="1">VLOOKUP(Tableau118[[#This Row],[Key(POD -PFI- Usine)]],'DATA Consignee'!A:J,10,FALSE)</f>
        <v>#N/A</v>
      </c>
      <c r="AQ388" s="50" t="e">
        <f ca="1">VLOOKUP(Tableau118[[#This Row],[Key(POD -PFI- Usine)]],'DATA Consignee'!A:N,14,FALSE)</f>
        <v>#N/A</v>
      </c>
      <c r="AR38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8" s="50" t="e">
        <f ca="1">Tableau118[[#This Row],[Transit time]]+Tableau118[[#This Row],[Time for security]]+Tableau118[[#This Row],[Time for security2 buffer]]</f>
        <v>#N/A</v>
      </c>
      <c r="AU38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8" s="50" t="e">
        <f ca="1">Tableau118[[#This Row],[Leadtime SI2C]]+Tableau118[[#This Row],[First Receipt Days]]-Tableau118[[#This Row],[Day Customer Order]]+1</f>
        <v>#N/A</v>
      </c>
      <c r="AW388" s="117" t="e">
        <f ca="1">IF(Tableau118[[#This Row],[Name ILN]]&lt;&gt;"SFK Freight Forwarder",Tableau118[[#This Row],[Cust. Leadtime]],Tableau118[[#This Row],[Leadtime SI2C]])</f>
        <v>#N/A</v>
      </c>
      <c r="AX388" s="57" t="e">
        <f>VLOOKUP(Tableau118[[#This Row],[ID]],'DATA BTO'!B:P,15,FALSE)</f>
        <v>#N/A</v>
      </c>
      <c r="AY388" s="328" t="e">
        <f ca="1">IFERROR(VLOOKUP(Tableau118[[#This Row],[Key(ID-Actif)]],'DATA BTO'!A:N,4,FALSE),VLOOKUP(Tableau118[[#This Row],[ID]],'DATA BTO'!B:N,3,FALSE))</f>
        <v>#N/A</v>
      </c>
      <c r="AZ38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8" s="50"/>
    </row>
    <row r="389" spans="2:57">
      <c r="B389" s="405" t="str">
        <f>_xlfn.CONCAT(Tableau118[[#This Row],[Name ILN]],"-",Tableau118[[#This Row],[Name Shipper]],"-",Tableau118[[#This Row],[Name Site]])</f>
        <v>--</v>
      </c>
      <c r="C389" s="64" t="e">
        <f ca="1">_xlfn.CONCAT(Tableau118[[#This Row],[Compte ILN]],"-",Tableau118[[#This Row],[Compte Shipper]],"-",Tableau118[[#This Row],[POL]],"-",Tableau118[[#This Row],[Compte Site]])</f>
        <v>#N/A</v>
      </c>
      <c r="D389" s="64" t="e">
        <f ca="1">_xlfn.CONCAT(Tableau118[[#This Row],[Compte ILN]],"-",Tableau118[[#This Row],[Compte Shipper]],"-",Tableau118[[#This Row],[POL]])</f>
        <v>#N/A</v>
      </c>
      <c r="E389" s="128" t="e">
        <f ca="1">_xlfn.CONCAT(Tableau118[[#This Row],[POL]],"-",Tableau118[[#This Row],[Carrier]],"-",Tableau118[[#This Row],[POD]])</f>
        <v>#N/A</v>
      </c>
      <c r="F389" s="64" t="str">
        <f>_xlfn.CONCAT(Tableau118[[#This Row],[ID]],"-","Next")</f>
        <v>-Next</v>
      </c>
      <c r="G389" s="64" t="e">
        <f ca="1">_xlfn.CONCAT(Tableau118[[#This Row],[POD]],"-",Tableau118[[#This Row],[Code PFI]],"-",Tableau118[[#This Row],[Compte Site]])</f>
        <v>#N/A</v>
      </c>
      <c r="H38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8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89" s="117" t="str">
        <f ca="1">IF(COUNTIF(I:I,Tableau118[[#This Row],[Plant-ILN-shipper-POL-Carrier-POD-PFI]])=1,"Non","Oui")</f>
        <v>Oui</v>
      </c>
      <c r="K389" s="126" t="e">
        <f>VLOOKUP(Tableau118[[#This Row],[Name Site]],Plant_AILN!A:D,4,FALSE)</f>
        <v>#N/A</v>
      </c>
      <c r="L389" s="363"/>
      <c r="M389" s="481"/>
      <c r="N389" s="55"/>
      <c r="O389" s="122"/>
      <c r="P389" s="481"/>
      <c r="Q389" s="50"/>
      <c r="R389" s="50"/>
      <c r="S389" s="50"/>
      <c r="T389" s="50"/>
      <c r="U389" s="50"/>
      <c r="V389" s="50"/>
      <c r="W389" s="50"/>
      <c r="X389" s="283"/>
      <c r="Y389" s="489">
        <f>IFERROR(VLOOKUP(Tableau118[[#This Row],[Name Shipper]],Plant_AILN!L:M,2,FALSE),0)</f>
        <v>0</v>
      </c>
      <c r="Z389" s="358"/>
      <c r="AA389" s="353" t="e">
        <f ca="1">VLOOKUP(Tableau118[[#This Row],[Key(ID-Actif)]],'DATA BTO'!A:N,5,FALSE)</f>
        <v>#N/A</v>
      </c>
      <c r="AB389" s="3" t="e">
        <f ca="1">VLOOKUP(Tableau118[[#This Row],[Key(ID-Actif)]],'DATA BTO'!A:N,6,FALSE)</f>
        <v>#N/A</v>
      </c>
      <c r="AC389" s="50" t="e">
        <f ca="1">VLOOKUP(Tableau118[[#This Row],[Key(ID-Actif)]],'DATA BTO'!A:N,7,FALSE)</f>
        <v>#N/A</v>
      </c>
      <c r="AD389" s="50" t="e">
        <f ca="1">VLOOKUP(Tableau118[[#This Row],[Key(ID-Actif)]],'DATA BTO'!A:N,8,FALSE)</f>
        <v>#N/A</v>
      </c>
      <c r="AE389" s="406" t="e">
        <f ca="1">IF(Tableau118[[#This Row],[First Day to POL]]&lt;=Tableau118[[#This Row],[Day Cut Off]],Tableau118[[#This Row],[Day ETD]],Tableau118[[#This Row],[Day ETD]]+7)</f>
        <v>#N/A</v>
      </c>
      <c r="AF389" s="50" t="e">
        <f ca="1">VLOOKUP(Tableau118[[#This Row],[Key(ID-Actif)]],'DATA BTO'!A:N,9,FALSE)</f>
        <v>#N/A</v>
      </c>
      <c r="AG389" s="3" t="e">
        <f ca="1">VLOOKUP(Tableau118[[#This Row],[Key(ID-Actif)]],'DATA BTO'!A:N,10,FALSE)</f>
        <v>#N/A</v>
      </c>
      <c r="AH389" s="3" t="e">
        <f ca="1">VLOOKUP(Tableau118[[#This Row],[Key(ID-Actif)]],'DATA BTO'!A:N,11,FALSE)</f>
        <v>#N/A</v>
      </c>
      <c r="AI389" s="50" t="e">
        <f ca="1">VLOOKUP(Tableau118[[#This Row],[Key(ID-Actif)]],'DATA BTO'!A:N,12,FALSE)</f>
        <v>#N/A</v>
      </c>
      <c r="AJ389" s="53" t="e">
        <f ca="1">VLOOKUP(Tableau118[[#This Row],[Key(ID-Actif)]],'DATA BTO'!A:N,14,FALSE)</f>
        <v>#N/A</v>
      </c>
      <c r="AK389" s="54" t="e">
        <f ca="1">VLOOKUP(Tableau118[[#This Row],[Key(POD -PFI- Usine)]],'DATA Consignee'!A:F,6,FALSE)</f>
        <v>#N/A</v>
      </c>
      <c r="AL389" s="283"/>
      <c r="AM389" s="490" t="str">
        <f>IF(Tableau118[[#This Row],[Name PFI/CDD]]="","-",VLOOKUP(Tableau118[[#This Row],[Name PFI/CDD]],Plant_AILN!I:J,2,FALSE))</f>
        <v>-</v>
      </c>
      <c r="AN38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8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89" s="2" t="e">
        <f ca="1">VLOOKUP(Tableau118[[#This Row],[Key(POD -PFI- Usine)]],'DATA Consignee'!A:J,10,FALSE)</f>
        <v>#N/A</v>
      </c>
      <c r="AQ389" s="50" t="e">
        <f ca="1">VLOOKUP(Tableau118[[#This Row],[Key(POD -PFI- Usine)]],'DATA Consignee'!A:N,14,FALSE)</f>
        <v>#N/A</v>
      </c>
      <c r="AR38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8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89" s="50" t="e">
        <f ca="1">Tableau118[[#This Row],[Transit time]]+Tableau118[[#This Row],[Time for security]]+Tableau118[[#This Row],[Time for security2 buffer]]</f>
        <v>#N/A</v>
      </c>
      <c r="AU38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89" s="50" t="e">
        <f ca="1">Tableau118[[#This Row],[Leadtime SI2C]]+Tableau118[[#This Row],[First Receipt Days]]-Tableau118[[#This Row],[Day Customer Order]]+1</f>
        <v>#N/A</v>
      </c>
      <c r="AW389" s="117" t="e">
        <f ca="1">IF(Tableau118[[#This Row],[Name ILN]]&lt;&gt;"SFK Freight Forwarder",Tableau118[[#This Row],[Cust. Leadtime]],Tableau118[[#This Row],[Leadtime SI2C]])</f>
        <v>#N/A</v>
      </c>
      <c r="AX389" s="57" t="e">
        <f>VLOOKUP(Tableau118[[#This Row],[ID]],'DATA BTO'!B:P,15,FALSE)</f>
        <v>#N/A</v>
      </c>
      <c r="AY389" s="328" t="e">
        <f ca="1">IFERROR(VLOOKUP(Tableau118[[#This Row],[Key(ID-Actif)]],'DATA BTO'!A:N,4,FALSE),VLOOKUP(Tableau118[[#This Row],[ID]],'DATA BTO'!B:N,3,FALSE))</f>
        <v>#N/A</v>
      </c>
      <c r="AZ38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8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8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8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8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89" s="50"/>
    </row>
    <row r="390" spans="2:57">
      <c r="B390" s="405" t="str">
        <f>_xlfn.CONCAT(Tableau118[[#This Row],[Name ILN]],"-",Tableau118[[#This Row],[Name Shipper]],"-",Tableau118[[#This Row],[Name Site]])</f>
        <v>--</v>
      </c>
      <c r="C390" s="64" t="e">
        <f ca="1">_xlfn.CONCAT(Tableau118[[#This Row],[Compte ILN]],"-",Tableau118[[#This Row],[Compte Shipper]],"-",Tableau118[[#This Row],[POL]],"-",Tableau118[[#This Row],[Compte Site]])</f>
        <v>#N/A</v>
      </c>
      <c r="D390" s="64" t="e">
        <f ca="1">_xlfn.CONCAT(Tableau118[[#This Row],[Compte ILN]],"-",Tableau118[[#This Row],[Compte Shipper]],"-",Tableau118[[#This Row],[POL]])</f>
        <v>#N/A</v>
      </c>
      <c r="E390" s="128" t="e">
        <f ca="1">_xlfn.CONCAT(Tableau118[[#This Row],[POL]],"-",Tableau118[[#This Row],[Carrier]],"-",Tableau118[[#This Row],[POD]])</f>
        <v>#N/A</v>
      </c>
      <c r="F390" s="64" t="str">
        <f>_xlfn.CONCAT(Tableau118[[#This Row],[ID]],"-","Next")</f>
        <v>-Next</v>
      </c>
      <c r="G390" s="64" t="e">
        <f ca="1">_xlfn.CONCAT(Tableau118[[#This Row],[POD]],"-",Tableau118[[#This Row],[Code PFI]],"-",Tableau118[[#This Row],[Compte Site]])</f>
        <v>#N/A</v>
      </c>
      <c r="H390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0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0" s="117" t="str">
        <f ca="1">IF(COUNTIF(I:I,Tableau118[[#This Row],[Plant-ILN-shipper-POL-Carrier-POD-PFI]])=1,"Non","Oui")</f>
        <v>Oui</v>
      </c>
      <c r="K390" s="126" t="e">
        <f>VLOOKUP(Tableau118[[#This Row],[Name Site]],Plant_AILN!A:D,4,FALSE)</f>
        <v>#N/A</v>
      </c>
      <c r="L390" s="363"/>
      <c r="M390" s="481"/>
      <c r="N390" s="55"/>
      <c r="O390" s="122"/>
      <c r="P390" s="481"/>
      <c r="Q390" s="50"/>
      <c r="R390" s="50"/>
      <c r="S390" s="50"/>
      <c r="T390" s="50"/>
      <c r="U390" s="50"/>
      <c r="V390" s="50"/>
      <c r="W390" s="50"/>
      <c r="X390" s="283"/>
      <c r="Y390" s="489">
        <f>IFERROR(VLOOKUP(Tableau118[[#This Row],[Name Shipper]],Plant_AILN!L:M,2,FALSE),0)</f>
        <v>0</v>
      </c>
      <c r="Z390" s="358"/>
      <c r="AA390" s="353" t="e">
        <f ca="1">VLOOKUP(Tableau118[[#This Row],[Key(ID-Actif)]],'DATA BTO'!A:N,5,FALSE)</f>
        <v>#N/A</v>
      </c>
      <c r="AB390" s="3" t="e">
        <f ca="1">VLOOKUP(Tableau118[[#This Row],[Key(ID-Actif)]],'DATA BTO'!A:N,6,FALSE)</f>
        <v>#N/A</v>
      </c>
      <c r="AC390" s="50" t="e">
        <f ca="1">VLOOKUP(Tableau118[[#This Row],[Key(ID-Actif)]],'DATA BTO'!A:N,7,FALSE)</f>
        <v>#N/A</v>
      </c>
      <c r="AD390" s="50" t="e">
        <f ca="1">VLOOKUP(Tableau118[[#This Row],[Key(ID-Actif)]],'DATA BTO'!A:N,8,FALSE)</f>
        <v>#N/A</v>
      </c>
      <c r="AE390" s="406" t="e">
        <f ca="1">IF(Tableau118[[#This Row],[First Day to POL]]&lt;=Tableau118[[#This Row],[Day Cut Off]],Tableau118[[#This Row],[Day ETD]],Tableau118[[#This Row],[Day ETD]]+7)</f>
        <v>#N/A</v>
      </c>
      <c r="AF390" s="50" t="e">
        <f ca="1">VLOOKUP(Tableau118[[#This Row],[Key(ID-Actif)]],'DATA BTO'!A:N,9,FALSE)</f>
        <v>#N/A</v>
      </c>
      <c r="AG390" s="3" t="e">
        <f ca="1">VLOOKUP(Tableau118[[#This Row],[Key(ID-Actif)]],'DATA BTO'!A:N,10,FALSE)</f>
        <v>#N/A</v>
      </c>
      <c r="AH390" s="3" t="e">
        <f ca="1">VLOOKUP(Tableau118[[#This Row],[Key(ID-Actif)]],'DATA BTO'!A:N,11,FALSE)</f>
        <v>#N/A</v>
      </c>
      <c r="AI390" s="50" t="e">
        <f ca="1">VLOOKUP(Tableau118[[#This Row],[Key(ID-Actif)]],'DATA BTO'!A:N,12,FALSE)</f>
        <v>#N/A</v>
      </c>
      <c r="AJ390" s="53" t="e">
        <f ca="1">VLOOKUP(Tableau118[[#This Row],[Key(ID-Actif)]],'DATA BTO'!A:N,14,FALSE)</f>
        <v>#N/A</v>
      </c>
      <c r="AK390" s="54" t="e">
        <f ca="1">VLOOKUP(Tableau118[[#This Row],[Key(POD -PFI- Usine)]],'DATA Consignee'!A:F,6,FALSE)</f>
        <v>#N/A</v>
      </c>
      <c r="AL390" s="283"/>
      <c r="AM390" s="490" t="str">
        <f>IF(Tableau118[[#This Row],[Name PFI/CDD]]="","-",VLOOKUP(Tableau118[[#This Row],[Name PFI/CDD]],Plant_AILN!I:J,2,FALSE))</f>
        <v>-</v>
      </c>
      <c r="AN390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0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0" s="2" t="e">
        <f ca="1">VLOOKUP(Tableau118[[#This Row],[Key(POD -PFI- Usine)]],'DATA Consignee'!A:J,10,FALSE)</f>
        <v>#N/A</v>
      </c>
      <c r="AQ390" s="50" t="e">
        <f ca="1">VLOOKUP(Tableau118[[#This Row],[Key(POD -PFI- Usine)]],'DATA Consignee'!A:N,14,FALSE)</f>
        <v>#N/A</v>
      </c>
      <c r="AR390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0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0" s="50" t="e">
        <f ca="1">Tableau118[[#This Row],[Transit time]]+Tableau118[[#This Row],[Time for security]]+Tableau118[[#This Row],[Time for security2 buffer]]</f>
        <v>#N/A</v>
      </c>
      <c r="AU390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0" s="50" t="e">
        <f ca="1">Tableau118[[#This Row],[Leadtime SI2C]]+Tableau118[[#This Row],[First Receipt Days]]-Tableau118[[#This Row],[Day Customer Order]]+1</f>
        <v>#N/A</v>
      </c>
      <c r="AW390" s="117" t="e">
        <f ca="1">IF(Tableau118[[#This Row],[Name ILN]]&lt;&gt;"SFK Freight Forwarder",Tableau118[[#This Row],[Cust. Leadtime]],Tableau118[[#This Row],[Leadtime SI2C]])</f>
        <v>#N/A</v>
      </c>
      <c r="AX390" s="57" t="e">
        <f>VLOOKUP(Tableau118[[#This Row],[ID]],'DATA BTO'!B:P,15,FALSE)</f>
        <v>#N/A</v>
      </c>
      <c r="AY390" s="328" t="e">
        <f ca="1">IFERROR(VLOOKUP(Tableau118[[#This Row],[Key(ID-Actif)]],'DATA BTO'!A:N,4,FALSE),VLOOKUP(Tableau118[[#This Row],[ID]],'DATA BTO'!B:N,3,FALSE))</f>
        <v>#N/A</v>
      </c>
      <c r="AZ390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0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0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0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0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0" s="50"/>
    </row>
    <row r="391" spans="2:57">
      <c r="B391" s="405" t="str">
        <f>_xlfn.CONCAT(Tableau118[[#This Row],[Name ILN]],"-",Tableau118[[#This Row],[Name Shipper]],"-",Tableau118[[#This Row],[Name Site]])</f>
        <v>--</v>
      </c>
      <c r="C391" s="64" t="e">
        <f ca="1">_xlfn.CONCAT(Tableau118[[#This Row],[Compte ILN]],"-",Tableau118[[#This Row],[Compte Shipper]],"-",Tableau118[[#This Row],[POL]],"-",Tableau118[[#This Row],[Compte Site]])</f>
        <v>#N/A</v>
      </c>
      <c r="D391" s="64" t="e">
        <f ca="1">_xlfn.CONCAT(Tableau118[[#This Row],[Compte ILN]],"-",Tableau118[[#This Row],[Compte Shipper]],"-",Tableau118[[#This Row],[POL]])</f>
        <v>#N/A</v>
      </c>
      <c r="E391" s="128" t="e">
        <f ca="1">_xlfn.CONCAT(Tableau118[[#This Row],[POL]],"-",Tableau118[[#This Row],[Carrier]],"-",Tableau118[[#This Row],[POD]])</f>
        <v>#N/A</v>
      </c>
      <c r="F391" s="64" t="str">
        <f>_xlfn.CONCAT(Tableau118[[#This Row],[ID]],"-","Next")</f>
        <v>-Next</v>
      </c>
      <c r="G391" s="64" t="e">
        <f ca="1">_xlfn.CONCAT(Tableau118[[#This Row],[POD]],"-",Tableau118[[#This Row],[Code PFI]],"-",Tableau118[[#This Row],[Compte Site]])</f>
        <v>#N/A</v>
      </c>
      <c r="H391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1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1" s="117" t="str">
        <f ca="1">IF(COUNTIF(I:I,Tableau118[[#This Row],[Plant-ILN-shipper-POL-Carrier-POD-PFI]])=1,"Non","Oui")</f>
        <v>Oui</v>
      </c>
      <c r="K391" s="126" t="e">
        <f>VLOOKUP(Tableau118[[#This Row],[Name Site]],Plant_AILN!A:D,4,FALSE)</f>
        <v>#N/A</v>
      </c>
      <c r="L391" s="363"/>
      <c r="M391" s="481"/>
      <c r="N391" s="55"/>
      <c r="O391" s="122"/>
      <c r="P391" s="481"/>
      <c r="Q391" s="50"/>
      <c r="R391" s="50"/>
      <c r="S391" s="50"/>
      <c r="T391" s="50"/>
      <c r="U391" s="50"/>
      <c r="V391" s="50"/>
      <c r="W391" s="50"/>
      <c r="X391" s="283"/>
      <c r="Y391" s="489">
        <f>IFERROR(VLOOKUP(Tableau118[[#This Row],[Name Shipper]],Plant_AILN!L:M,2,FALSE),0)</f>
        <v>0</v>
      </c>
      <c r="Z391" s="358"/>
      <c r="AA391" s="353" t="e">
        <f ca="1">VLOOKUP(Tableau118[[#This Row],[Key(ID-Actif)]],'DATA BTO'!A:N,5,FALSE)</f>
        <v>#N/A</v>
      </c>
      <c r="AB391" s="3" t="e">
        <f ca="1">VLOOKUP(Tableau118[[#This Row],[Key(ID-Actif)]],'DATA BTO'!A:N,6,FALSE)</f>
        <v>#N/A</v>
      </c>
      <c r="AC391" s="50" t="e">
        <f ca="1">VLOOKUP(Tableau118[[#This Row],[Key(ID-Actif)]],'DATA BTO'!A:N,7,FALSE)</f>
        <v>#N/A</v>
      </c>
      <c r="AD391" s="50" t="e">
        <f ca="1">VLOOKUP(Tableau118[[#This Row],[Key(ID-Actif)]],'DATA BTO'!A:N,8,FALSE)</f>
        <v>#N/A</v>
      </c>
      <c r="AE391" s="406" t="e">
        <f ca="1">IF(Tableau118[[#This Row],[First Day to POL]]&lt;=Tableau118[[#This Row],[Day Cut Off]],Tableau118[[#This Row],[Day ETD]],Tableau118[[#This Row],[Day ETD]]+7)</f>
        <v>#N/A</v>
      </c>
      <c r="AF391" s="50" t="e">
        <f ca="1">VLOOKUP(Tableau118[[#This Row],[Key(ID-Actif)]],'DATA BTO'!A:N,9,FALSE)</f>
        <v>#N/A</v>
      </c>
      <c r="AG391" s="3" t="e">
        <f ca="1">VLOOKUP(Tableau118[[#This Row],[Key(ID-Actif)]],'DATA BTO'!A:N,10,FALSE)</f>
        <v>#N/A</v>
      </c>
      <c r="AH391" s="3" t="e">
        <f ca="1">VLOOKUP(Tableau118[[#This Row],[Key(ID-Actif)]],'DATA BTO'!A:N,11,FALSE)</f>
        <v>#N/A</v>
      </c>
      <c r="AI391" s="50" t="e">
        <f ca="1">VLOOKUP(Tableau118[[#This Row],[Key(ID-Actif)]],'DATA BTO'!A:N,12,FALSE)</f>
        <v>#N/A</v>
      </c>
      <c r="AJ391" s="53" t="e">
        <f ca="1">VLOOKUP(Tableau118[[#This Row],[Key(ID-Actif)]],'DATA BTO'!A:N,14,FALSE)</f>
        <v>#N/A</v>
      </c>
      <c r="AK391" s="54" t="e">
        <f ca="1">VLOOKUP(Tableau118[[#This Row],[Key(POD -PFI- Usine)]],'DATA Consignee'!A:F,6,FALSE)</f>
        <v>#N/A</v>
      </c>
      <c r="AL391" s="283"/>
      <c r="AM391" s="490" t="str">
        <f>IF(Tableau118[[#This Row],[Name PFI/CDD]]="","-",VLOOKUP(Tableau118[[#This Row],[Name PFI/CDD]],Plant_AILN!I:J,2,FALSE))</f>
        <v>-</v>
      </c>
      <c r="AN391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1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1" s="2" t="e">
        <f ca="1">VLOOKUP(Tableau118[[#This Row],[Key(POD -PFI- Usine)]],'DATA Consignee'!A:J,10,FALSE)</f>
        <v>#N/A</v>
      </c>
      <c r="AQ391" s="50" t="e">
        <f ca="1">VLOOKUP(Tableau118[[#This Row],[Key(POD -PFI- Usine)]],'DATA Consignee'!A:N,14,FALSE)</f>
        <v>#N/A</v>
      </c>
      <c r="AR391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1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1" s="50" t="e">
        <f ca="1">Tableau118[[#This Row],[Transit time]]+Tableau118[[#This Row],[Time for security]]+Tableau118[[#This Row],[Time for security2 buffer]]</f>
        <v>#N/A</v>
      </c>
      <c r="AU391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1" s="50" t="e">
        <f ca="1">Tableau118[[#This Row],[Leadtime SI2C]]+Tableau118[[#This Row],[First Receipt Days]]-Tableau118[[#This Row],[Day Customer Order]]+1</f>
        <v>#N/A</v>
      </c>
      <c r="AW391" s="117" t="e">
        <f ca="1">IF(Tableau118[[#This Row],[Name ILN]]&lt;&gt;"SFK Freight Forwarder",Tableau118[[#This Row],[Cust. Leadtime]],Tableau118[[#This Row],[Leadtime SI2C]])</f>
        <v>#N/A</v>
      </c>
      <c r="AX391" s="57" t="e">
        <f>VLOOKUP(Tableau118[[#This Row],[ID]],'DATA BTO'!B:P,15,FALSE)</f>
        <v>#N/A</v>
      </c>
      <c r="AY391" s="328" t="e">
        <f ca="1">IFERROR(VLOOKUP(Tableau118[[#This Row],[Key(ID-Actif)]],'DATA BTO'!A:N,4,FALSE),VLOOKUP(Tableau118[[#This Row],[ID]],'DATA BTO'!B:N,3,FALSE))</f>
        <v>#N/A</v>
      </c>
      <c r="AZ391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1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1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1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1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1" s="50"/>
    </row>
    <row r="392" spans="2:57">
      <c r="B392" s="405" t="str">
        <f>_xlfn.CONCAT(Tableau118[[#This Row],[Name ILN]],"-",Tableau118[[#This Row],[Name Shipper]],"-",Tableau118[[#This Row],[Name Site]])</f>
        <v>--</v>
      </c>
      <c r="C392" s="64" t="e">
        <f ca="1">_xlfn.CONCAT(Tableau118[[#This Row],[Compte ILN]],"-",Tableau118[[#This Row],[Compte Shipper]],"-",Tableau118[[#This Row],[POL]],"-",Tableau118[[#This Row],[Compte Site]])</f>
        <v>#N/A</v>
      </c>
      <c r="D392" s="64" t="e">
        <f ca="1">_xlfn.CONCAT(Tableau118[[#This Row],[Compte ILN]],"-",Tableau118[[#This Row],[Compte Shipper]],"-",Tableau118[[#This Row],[POL]])</f>
        <v>#N/A</v>
      </c>
      <c r="E392" s="128" t="e">
        <f ca="1">_xlfn.CONCAT(Tableau118[[#This Row],[POL]],"-",Tableau118[[#This Row],[Carrier]],"-",Tableau118[[#This Row],[POD]])</f>
        <v>#N/A</v>
      </c>
      <c r="F392" s="64" t="str">
        <f>_xlfn.CONCAT(Tableau118[[#This Row],[ID]],"-","Next")</f>
        <v>-Next</v>
      </c>
      <c r="G392" s="64" t="e">
        <f ca="1">_xlfn.CONCAT(Tableau118[[#This Row],[POD]],"-",Tableau118[[#This Row],[Code PFI]],"-",Tableau118[[#This Row],[Compte Site]])</f>
        <v>#N/A</v>
      </c>
      <c r="H392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2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2" s="117" t="str">
        <f ca="1">IF(COUNTIF(I:I,Tableau118[[#This Row],[Plant-ILN-shipper-POL-Carrier-POD-PFI]])=1,"Non","Oui")</f>
        <v>Oui</v>
      </c>
      <c r="K392" s="126" t="e">
        <f>VLOOKUP(Tableau118[[#This Row],[Name Site]],Plant_AILN!A:D,4,FALSE)</f>
        <v>#N/A</v>
      </c>
      <c r="L392" s="363"/>
      <c r="M392" s="481"/>
      <c r="N392" s="55"/>
      <c r="O392" s="122"/>
      <c r="P392" s="481"/>
      <c r="Q392" s="50"/>
      <c r="R392" s="50"/>
      <c r="S392" s="50"/>
      <c r="T392" s="50"/>
      <c r="U392" s="50"/>
      <c r="V392" s="50"/>
      <c r="W392" s="50"/>
      <c r="X392" s="283"/>
      <c r="Y392" s="489">
        <f>IFERROR(VLOOKUP(Tableau118[[#This Row],[Name Shipper]],Plant_AILN!L:M,2,FALSE),0)</f>
        <v>0</v>
      </c>
      <c r="Z392" s="358"/>
      <c r="AA392" s="353" t="e">
        <f ca="1">VLOOKUP(Tableau118[[#This Row],[Key(ID-Actif)]],'DATA BTO'!A:N,5,FALSE)</f>
        <v>#N/A</v>
      </c>
      <c r="AB392" s="3" t="e">
        <f ca="1">VLOOKUP(Tableau118[[#This Row],[Key(ID-Actif)]],'DATA BTO'!A:N,6,FALSE)</f>
        <v>#N/A</v>
      </c>
      <c r="AC392" s="50" t="e">
        <f ca="1">VLOOKUP(Tableau118[[#This Row],[Key(ID-Actif)]],'DATA BTO'!A:N,7,FALSE)</f>
        <v>#N/A</v>
      </c>
      <c r="AD392" s="50" t="e">
        <f ca="1">VLOOKUP(Tableau118[[#This Row],[Key(ID-Actif)]],'DATA BTO'!A:N,8,FALSE)</f>
        <v>#N/A</v>
      </c>
      <c r="AE392" s="406" t="e">
        <f ca="1">IF(Tableau118[[#This Row],[First Day to POL]]&lt;=Tableau118[[#This Row],[Day Cut Off]],Tableau118[[#This Row],[Day ETD]],Tableau118[[#This Row],[Day ETD]]+7)</f>
        <v>#N/A</v>
      </c>
      <c r="AF392" s="50" t="e">
        <f ca="1">VLOOKUP(Tableau118[[#This Row],[Key(ID-Actif)]],'DATA BTO'!A:N,9,FALSE)</f>
        <v>#N/A</v>
      </c>
      <c r="AG392" s="3" t="e">
        <f ca="1">VLOOKUP(Tableau118[[#This Row],[Key(ID-Actif)]],'DATA BTO'!A:N,10,FALSE)</f>
        <v>#N/A</v>
      </c>
      <c r="AH392" s="3" t="e">
        <f ca="1">VLOOKUP(Tableau118[[#This Row],[Key(ID-Actif)]],'DATA BTO'!A:N,11,FALSE)</f>
        <v>#N/A</v>
      </c>
      <c r="AI392" s="50" t="e">
        <f ca="1">VLOOKUP(Tableau118[[#This Row],[Key(ID-Actif)]],'DATA BTO'!A:N,12,FALSE)</f>
        <v>#N/A</v>
      </c>
      <c r="AJ392" s="53" t="e">
        <f ca="1">VLOOKUP(Tableau118[[#This Row],[Key(ID-Actif)]],'DATA BTO'!A:N,14,FALSE)</f>
        <v>#N/A</v>
      </c>
      <c r="AK392" s="54" t="e">
        <f ca="1">VLOOKUP(Tableau118[[#This Row],[Key(POD -PFI- Usine)]],'DATA Consignee'!A:F,6,FALSE)</f>
        <v>#N/A</v>
      </c>
      <c r="AL392" s="283"/>
      <c r="AM392" s="490" t="str">
        <f>IF(Tableau118[[#This Row],[Name PFI/CDD]]="","-",VLOOKUP(Tableau118[[#This Row],[Name PFI/CDD]],Plant_AILN!I:J,2,FALSE))</f>
        <v>-</v>
      </c>
      <c r="AN392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2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2" s="2" t="e">
        <f ca="1">VLOOKUP(Tableau118[[#This Row],[Key(POD -PFI- Usine)]],'DATA Consignee'!A:J,10,FALSE)</f>
        <v>#N/A</v>
      </c>
      <c r="AQ392" s="50" t="e">
        <f ca="1">VLOOKUP(Tableau118[[#This Row],[Key(POD -PFI- Usine)]],'DATA Consignee'!A:N,14,FALSE)</f>
        <v>#N/A</v>
      </c>
      <c r="AR392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2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2" s="50" t="e">
        <f ca="1">Tableau118[[#This Row],[Transit time]]+Tableau118[[#This Row],[Time for security]]+Tableau118[[#This Row],[Time for security2 buffer]]</f>
        <v>#N/A</v>
      </c>
      <c r="AU392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2" s="50" t="e">
        <f ca="1">Tableau118[[#This Row],[Leadtime SI2C]]+Tableau118[[#This Row],[First Receipt Days]]-Tableau118[[#This Row],[Day Customer Order]]+1</f>
        <v>#N/A</v>
      </c>
      <c r="AW392" s="117" t="e">
        <f ca="1">IF(Tableau118[[#This Row],[Name ILN]]&lt;&gt;"SFK Freight Forwarder",Tableau118[[#This Row],[Cust. Leadtime]],Tableau118[[#This Row],[Leadtime SI2C]])</f>
        <v>#N/A</v>
      </c>
      <c r="AX392" s="57" t="e">
        <f>VLOOKUP(Tableau118[[#This Row],[ID]],'DATA BTO'!B:P,15,FALSE)</f>
        <v>#N/A</v>
      </c>
      <c r="AY392" s="328" t="e">
        <f ca="1">IFERROR(VLOOKUP(Tableau118[[#This Row],[Key(ID-Actif)]],'DATA BTO'!A:N,4,FALSE),VLOOKUP(Tableau118[[#This Row],[ID]],'DATA BTO'!B:N,3,FALSE))</f>
        <v>#N/A</v>
      </c>
      <c r="AZ392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2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2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2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2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2" s="50"/>
    </row>
    <row r="393" spans="2:57">
      <c r="B393" s="405" t="str">
        <f>_xlfn.CONCAT(Tableau118[[#This Row],[Name ILN]],"-",Tableau118[[#This Row],[Name Shipper]],"-",Tableau118[[#This Row],[Name Site]])</f>
        <v>--</v>
      </c>
      <c r="C393" s="64" t="e">
        <f ca="1">_xlfn.CONCAT(Tableau118[[#This Row],[Compte ILN]],"-",Tableau118[[#This Row],[Compte Shipper]],"-",Tableau118[[#This Row],[POL]],"-",Tableau118[[#This Row],[Compte Site]])</f>
        <v>#N/A</v>
      </c>
      <c r="D393" s="64" t="e">
        <f ca="1">_xlfn.CONCAT(Tableau118[[#This Row],[Compte ILN]],"-",Tableau118[[#This Row],[Compte Shipper]],"-",Tableau118[[#This Row],[POL]])</f>
        <v>#N/A</v>
      </c>
      <c r="E393" s="128" t="e">
        <f ca="1">_xlfn.CONCAT(Tableau118[[#This Row],[POL]],"-",Tableau118[[#This Row],[Carrier]],"-",Tableau118[[#This Row],[POD]])</f>
        <v>#N/A</v>
      </c>
      <c r="F393" s="64" t="str">
        <f>_xlfn.CONCAT(Tableau118[[#This Row],[ID]],"-","Next")</f>
        <v>-Next</v>
      </c>
      <c r="G393" s="64" t="e">
        <f ca="1">_xlfn.CONCAT(Tableau118[[#This Row],[POD]],"-",Tableau118[[#This Row],[Code PFI]],"-",Tableau118[[#This Row],[Compte Site]])</f>
        <v>#N/A</v>
      </c>
      <c r="H393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3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3" s="117" t="str">
        <f ca="1">IF(COUNTIF(I:I,Tableau118[[#This Row],[Plant-ILN-shipper-POL-Carrier-POD-PFI]])=1,"Non","Oui")</f>
        <v>Oui</v>
      </c>
      <c r="K393" s="126" t="e">
        <f>VLOOKUP(Tableau118[[#This Row],[Name Site]],Plant_AILN!A:D,4,FALSE)</f>
        <v>#N/A</v>
      </c>
      <c r="L393" s="363"/>
      <c r="M393" s="481"/>
      <c r="N393" s="55"/>
      <c r="O393" s="122"/>
      <c r="P393" s="481"/>
      <c r="Q393" s="50"/>
      <c r="R393" s="50"/>
      <c r="S393" s="50"/>
      <c r="T393" s="50"/>
      <c r="U393" s="50"/>
      <c r="V393" s="50"/>
      <c r="W393" s="50"/>
      <c r="X393" s="283"/>
      <c r="Y393" s="489">
        <f>IFERROR(VLOOKUP(Tableau118[[#This Row],[Name Shipper]],Plant_AILN!L:M,2,FALSE),0)</f>
        <v>0</v>
      </c>
      <c r="Z393" s="358"/>
      <c r="AA393" s="353" t="e">
        <f ca="1">VLOOKUP(Tableau118[[#This Row],[Key(ID-Actif)]],'DATA BTO'!A:N,5,FALSE)</f>
        <v>#N/A</v>
      </c>
      <c r="AB393" s="3" t="e">
        <f ca="1">VLOOKUP(Tableau118[[#This Row],[Key(ID-Actif)]],'DATA BTO'!A:N,6,FALSE)</f>
        <v>#N/A</v>
      </c>
      <c r="AC393" s="50" t="e">
        <f ca="1">VLOOKUP(Tableau118[[#This Row],[Key(ID-Actif)]],'DATA BTO'!A:N,7,FALSE)</f>
        <v>#N/A</v>
      </c>
      <c r="AD393" s="50" t="e">
        <f ca="1">VLOOKUP(Tableau118[[#This Row],[Key(ID-Actif)]],'DATA BTO'!A:N,8,FALSE)</f>
        <v>#N/A</v>
      </c>
      <c r="AE393" s="406" t="e">
        <f ca="1">IF(Tableau118[[#This Row],[First Day to POL]]&lt;=Tableau118[[#This Row],[Day Cut Off]],Tableau118[[#This Row],[Day ETD]],Tableau118[[#This Row],[Day ETD]]+7)</f>
        <v>#N/A</v>
      </c>
      <c r="AF393" s="50" t="e">
        <f ca="1">VLOOKUP(Tableau118[[#This Row],[Key(ID-Actif)]],'DATA BTO'!A:N,9,FALSE)</f>
        <v>#N/A</v>
      </c>
      <c r="AG393" s="3" t="e">
        <f ca="1">VLOOKUP(Tableau118[[#This Row],[Key(ID-Actif)]],'DATA BTO'!A:N,10,FALSE)</f>
        <v>#N/A</v>
      </c>
      <c r="AH393" s="3" t="e">
        <f ca="1">VLOOKUP(Tableau118[[#This Row],[Key(ID-Actif)]],'DATA BTO'!A:N,11,FALSE)</f>
        <v>#N/A</v>
      </c>
      <c r="AI393" s="50" t="e">
        <f ca="1">VLOOKUP(Tableau118[[#This Row],[Key(ID-Actif)]],'DATA BTO'!A:N,12,FALSE)</f>
        <v>#N/A</v>
      </c>
      <c r="AJ393" s="53" t="e">
        <f ca="1">VLOOKUP(Tableau118[[#This Row],[Key(ID-Actif)]],'DATA BTO'!A:N,14,FALSE)</f>
        <v>#N/A</v>
      </c>
      <c r="AK393" s="54" t="e">
        <f ca="1">VLOOKUP(Tableau118[[#This Row],[Key(POD -PFI- Usine)]],'DATA Consignee'!A:F,6,FALSE)</f>
        <v>#N/A</v>
      </c>
      <c r="AL393" s="283"/>
      <c r="AM393" s="490" t="str">
        <f>IF(Tableau118[[#This Row],[Name PFI/CDD]]="","-",VLOOKUP(Tableau118[[#This Row],[Name PFI/CDD]],Plant_AILN!I:J,2,FALSE))</f>
        <v>-</v>
      </c>
      <c r="AN393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3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3" s="2" t="e">
        <f ca="1">VLOOKUP(Tableau118[[#This Row],[Key(POD -PFI- Usine)]],'DATA Consignee'!A:J,10,FALSE)</f>
        <v>#N/A</v>
      </c>
      <c r="AQ393" s="50" t="e">
        <f ca="1">VLOOKUP(Tableau118[[#This Row],[Key(POD -PFI- Usine)]],'DATA Consignee'!A:N,14,FALSE)</f>
        <v>#N/A</v>
      </c>
      <c r="AR393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3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3" s="50" t="e">
        <f ca="1">Tableau118[[#This Row],[Transit time]]+Tableau118[[#This Row],[Time for security]]+Tableau118[[#This Row],[Time for security2 buffer]]</f>
        <v>#N/A</v>
      </c>
      <c r="AU393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3" s="50" t="e">
        <f ca="1">Tableau118[[#This Row],[Leadtime SI2C]]+Tableau118[[#This Row],[First Receipt Days]]-Tableau118[[#This Row],[Day Customer Order]]+1</f>
        <v>#N/A</v>
      </c>
      <c r="AW393" s="117" t="e">
        <f ca="1">IF(Tableau118[[#This Row],[Name ILN]]&lt;&gt;"SFK Freight Forwarder",Tableau118[[#This Row],[Cust. Leadtime]],Tableau118[[#This Row],[Leadtime SI2C]])</f>
        <v>#N/A</v>
      </c>
      <c r="AX393" s="57" t="e">
        <f>VLOOKUP(Tableau118[[#This Row],[ID]],'DATA BTO'!B:P,15,FALSE)</f>
        <v>#N/A</v>
      </c>
      <c r="AY393" s="328" t="e">
        <f ca="1">IFERROR(VLOOKUP(Tableau118[[#This Row],[Key(ID-Actif)]],'DATA BTO'!A:N,4,FALSE),VLOOKUP(Tableau118[[#This Row],[ID]],'DATA BTO'!B:N,3,FALSE))</f>
        <v>#N/A</v>
      </c>
      <c r="AZ393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3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3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3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3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3" s="50"/>
    </row>
    <row r="394" spans="2:57">
      <c r="B394" s="405" t="str">
        <f>_xlfn.CONCAT(Tableau118[[#This Row],[Name ILN]],"-",Tableau118[[#This Row],[Name Shipper]],"-",Tableau118[[#This Row],[Name Site]])</f>
        <v>--</v>
      </c>
      <c r="C394" s="64" t="e">
        <f ca="1">_xlfn.CONCAT(Tableau118[[#This Row],[Compte ILN]],"-",Tableau118[[#This Row],[Compte Shipper]],"-",Tableau118[[#This Row],[POL]],"-",Tableau118[[#This Row],[Compte Site]])</f>
        <v>#N/A</v>
      </c>
      <c r="D394" s="64" t="e">
        <f ca="1">_xlfn.CONCAT(Tableau118[[#This Row],[Compte ILN]],"-",Tableau118[[#This Row],[Compte Shipper]],"-",Tableau118[[#This Row],[POL]])</f>
        <v>#N/A</v>
      </c>
      <c r="E394" s="128" t="e">
        <f ca="1">_xlfn.CONCAT(Tableau118[[#This Row],[POL]],"-",Tableau118[[#This Row],[Carrier]],"-",Tableau118[[#This Row],[POD]])</f>
        <v>#N/A</v>
      </c>
      <c r="F394" s="64" t="str">
        <f>_xlfn.CONCAT(Tableau118[[#This Row],[ID]],"-","Next")</f>
        <v>-Next</v>
      </c>
      <c r="G394" s="64" t="e">
        <f ca="1">_xlfn.CONCAT(Tableau118[[#This Row],[POD]],"-",Tableau118[[#This Row],[Code PFI]],"-",Tableau118[[#This Row],[Compte Site]])</f>
        <v>#N/A</v>
      </c>
      <c r="H394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4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4" s="117" t="str">
        <f ca="1">IF(COUNTIF(I:I,Tableau118[[#This Row],[Plant-ILN-shipper-POL-Carrier-POD-PFI]])=1,"Non","Oui")</f>
        <v>Oui</v>
      </c>
      <c r="K394" s="126" t="e">
        <f>VLOOKUP(Tableau118[[#This Row],[Name Site]],Plant_AILN!A:D,4,FALSE)</f>
        <v>#N/A</v>
      </c>
      <c r="L394" s="363"/>
      <c r="M394" s="481"/>
      <c r="N394" s="55"/>
      <c r="O394" s="122"/>
      <c r="P394" s="481"/>
      <c r="Q394" s="50"/>
      <c r="R394" s="50"/>
      <c r="S394" s="50"/>
      <c r="T394" s="50"/>
      <c r="U394" s="50"/>
      <c r="V394" s="50"/>
      <c r="W394" s="50"/>
      <c r="X394" s="283"/>
      <c r="Y394" s="489">
        <f>IFERROR(VLOOKUP(Tableau118[[#This Row],[Name Shipper]],Plant_AILN!L:M,2,FALSE),0)</f>
        <v>0</v>
      </c>
      <c r="Z394" s="358"/>
      <c r="AA394" s="353" t="e">
        <f ca="1">VLOOKUP(Tableau118[[#This Row],[Key(ID-Actif)]],'DATA BTO'!A:N,5,FALSE)</f>
        <v>#N/A</v>
      </c>
      <c r="AB394" s="3" t="e">
        <f ca="1">VLOOKUP(Tableau118[[#This Row],[Key(ID-Actif)]],'DATA BTO'!A:N,6,FALSE)</f>
        <v>#N/A</v>
      </c>
      <c r="AC394" s="50" t="e">
        <f ca="1">VLOOKUP(Tableau118[[#This Row],[Key(ID-Actif)]],'DATA BTO'!A:N,7,FALSE)</f>
        <v>#N/A</v>
      </c>
      <c r="AD394" s="50" t="e">
        <f ca="1">VLOOKUP(Tableau118[[#This Row],[Key(ID-Actif)]],'DATA BTO'!A:N,8,FALSE)</f>
        <v>#N/A</v>
      </c>
      <c r="AE394" s="406" t="e">
        <f ca="1">IF(Tableau118[[#This Row],[First Day to POL]]&lt;=Tableau118[[#This Row],[Day Cut Off]],Tableau118[[#This Row],[Day ETD]],Tableau118[[#This Row],[Day ETD]]+7)</f>
        <v>#N/A</v>
      </c>
      <c r="AF394" s="50" t="e">
        <f ca="1">VLOOKUP(Tableau118[[#This Row],[Key(ID-Actif)]],'DATA BTO'!A:N,9,FALSE)</f>
        <v>#N/A</v>
      </c>
      <c r="AG394" s="3" t="e">
        <f ca="1">VLOOKUP(Tableau118[[#This Row],[Key(ID-Actif)]],'DATA BTO'!A:N,10,FALSE)</f>
        <v>#N/A</v>
      </c>
      <c r="AH394" s="3" t="e">
        <f ca="1">VLOOKUP(Tableau118[[#This Row],[Key(ID-Actif)]],'DATA BTO'!A:N,11,FALSE)</f>
        <v>#N/A</v>
      </c>
      <c r="AI394" s="50" t="e">
        <f ca="1">VLOOKUP(Tableau118[[#This Row],[Key(ID-Actif)]],'DATA BTO'!A:N,12,FALSE)</f>
        <v>#N/A</v>
      </c>
      <c r="AJ394" s="53" t="e">
        <f ca="1">VLOOKUP(Tableau118[[#This Row],[Key(ID-Actif)]],'DATA BTO'!A:N,14,FALSE)</f>
        <v>#N/A</v>
      </c>
      <c r="AK394" s="54" t="e">
        <f ca="1">VLOOKUP(Tableau118[[#This Row],[Key(POD -PFI- Usine)]],'DATA Consignee'!A:F,6,FALSE)</f>
        <v>#N/A</v>
      </c>
      <c r="AL394" s="283"/>
      <c r="AM394" s="490" t="str">
        <f>IF(Tableau118[[#This Row],[Name PFI/CDD]]="","-",VLOOKUP(Tableau118[[#This Row],[Name PFI/CDD]],Plant_AILN!I:J,2,FALSE))</f>
        <v>-</v>
      </c>
      <c r="AN394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4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4" s="2" t="e">
        <f ca="1">VLOOKUP(Tableau118[[#This Row],[Key(POD -PFI- Usine)]],'DATA Consignee'!A:J,10,FALSE)</f>
        <v>#N/A</v>
      </c>
      <c r="AQ394" s="50" t="e">
        <f ca="1">VLOOKUP(Tableau118[[#This Row],[Key(POD -PFI- Usine)]],'DATA Consignee'!A:N,14,FALSE)</f>
        <v>#N/A</v>
      </c>
      <c r="AR394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4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4" s="50" t="e">
        <f ca="1">Tableau118[[#This Row],[Transit time]]+Tableau118[[#This Row],[Time for security]]+Tableau118[[#This Row],[Time for security2 buffer]]</f>
        <v>#N/A</v>
      </c>
      <c r="AU394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4" s="50" t="e">
        <f ca="1">Tableau118[[#This Row],[Leadtime SI2C]]+Tableau118[[#This Row],[First Receipt Days]]-Tableau118[[#This Row],[Day Customer Order]]+1</f>
        <v>#N/A</v>
      </c>
      <c r="AW394" s="117" t="e">
        <f ca="1">IF(Tableau118[[#This Row],[Name ILN]]&lt;&gt;"SFK Freight Forwarder",Tableau118[[#This Row],[Cust. Leadtime]],Tableau118[[#This Row],[Leadtime SI2C]])</f>
        <v>#N/A</v>
      </c>
      <c r="AX394" s="57" t="e">
        <f>VLOOKUP(Tableau118[[#This Row],[ID]],'DATA BTO'!B:P,15,FALSE)</f>
        <v>#N/A</v>
      </c>
      <c r="AY394" s="328" t="e">
        <f ca="1">IFERROR(VLOOKUP(Tableau118[[#This Row],[Key(ID-Actif)]],'DATA BTO'!A:N,4,FALSE),VLOOKUP(Tableau118[[#This Row],[ID]],'DATA BTO'!B:N,3,FALSE))</f>
        <v>#N/A</v>
      </c>
      <c r="AZ394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4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4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4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4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4" s="50"/>
    </row>
    <row r="395" spans="2:57">
      <c r="B395" s="405" t="str">
        <f>_xlfn.CONCAT(Tableau118[[#This Row],[Name ILN]],"-",Tableau118[[#This Row],[Name Shipper]],"-",Tableau118[[#This Row],[Name Site]])</f>
        <v>--</v>
      </c>
      <c r="C395" s="64" t="e">
        <f ca="1">_xlfn.CONCAT(Tableau118[[#This Row],[Compte ILN]],"-",Tableau118[[#This Row],[Compte Shipper]],"-",Tableau118[[#This Row],[POL]],"-",Tableau118[[#This Row],[Compte Site]])</f>
        <v>#N/A</v>
      </c>
      <c r="D395" s="64" t="e">
        <f ca="1">_xlfn.CONCAT(Tableau118[[#This Row],[Compte ILN]],"-",Tableau118[[#This Row],[Compte Shipper]],"-",Tableau118[[#This Row],[POL]])</f>
        <v>#N/A</v>
      </c>
      <c r="E395" s="128" t="e">
        <f ca="1">_xlfn.CONCAT(Tableau118[[#This Row],[POL]],"-",Tableau118[[#This Row],[Carrier]],"-",Tableau118[[#This Row],[POD]])</f>
        <v>#N/A</v>
      </c>
      <c r="F395" s="64" t="str">
        <f>_xlfn.CONCAT(Tableau118[[#This Row],[ID]],"-","Next")</f>
        <v>-Next</v>
      </c>
      <c r="G395" s="64" t="e">
        <f ca="1">_xlfn.CONCAT(Tableau118[[#This Row],[POD]],"-",Tableau118[[#This Row],[Code PFI]],"-",Tableau118[[#This Row],[Compte Site]])</f>
        <v>#N/A</v>
      </c>
      <c r="H395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5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5" s="117" t="str">
        <f ca="1">IF(COUNTIF(I:I,Tableau118[[#This Row],[Plant-ILN-shipper-POL-Carrier-POD-PFI]])=1,"Non","Oui")</f>
        <v>Oui</v>
      </c>
      <c r="K395" s="126" t="e">
        <f>VLOOKUP(Tableau118[[#This Row],[Name Site]],Plant_AILN!A:D,4,FALSE)</f>
        <v>#N/A</v>
      </c>
      <c r="L395" s="363"/>
      <c r="M395" s="481"/>
      <c r="N395" s="55"/>
      <c r="O395" s="122"/>
      <c r="P395" s="481"/>
      <c r="Q395" s="50"/>
      <c r="R395" s="50"/>
      <c r="S395" s="50"/>
      <c r="T395" s="50"/>
      <c r="U395" s="50"/>
      <c r="V395" s="50"/>
      <c r="W395" s="50"/>
      <c r="X395" s="283"/>
      <c r="Y395" s="489">
        <f>IFERROR(VLOOKUP(Tableau118[[#This Row],[Name Shipper]],Plant_AILN!L:M,2,FALSE),0)</f>
        <v>0</v>
      </c>
      <c r="Z395" s="358"/>
      <c r="AA395" s="353" t="e">
        <f ca="1">VLOOKUP(Tableau118[[#This Row],[Key(ID-Actif)]],'DATA BTO'!A:N,5,FALSE)</f>
        <v>#N/A</v>
      </c>
      <c r="AB395" s="3" t="e">
        <f ca="1">VLOOKUP(Tableau118[[#This Row],[Key(ID-Actif)]],'DATA BTO'!A:N,6,FALSE)</f>
        <v>#N/A</v>
      </c>
      <c r="AC395" s="50" t="e">
        <f ca="1">VLOOKUP(Tableau118[[#This Row],[Key(ID-Actif)]],'DATA BTO'!A:N,7,FALSE)</f>
        <v>#N/A</v>
      </c>
      <c r="AD395" s="50" t="e">
        <f ca="1">VLOOKUP(Tableau118[[#This Row],[Key(ID-Actif)]],'DATA BTO'!A:N,8,FALSE)</f>
        <v>#N/A</v>
      </c>
      <c r="AE395" s="406" t="e">
        <f ca="1">IF(Tableau118[[#This Row],[First Day to POL]]&lt;=Tableau118[[#This Row],[Day Cut Off]],Tableau118[[#This Row],[Day ETD]],Tableau118[[#This Row],[Day ETD]]+7)</f>
        <v>#N/A</v>
      </c>
      <c r="AF395" s="50" t="e">
        <f ca="1">VLOOKUP(Tableau118[[#This Row],[Key(ID-Actif)]],'DATA BTO'!A:N,9,FALSE)</f>
        <v>#N/A</v>
      </c>
      <c r="AG395" s="3" t="e">
        <f ca="1">VLOOKUP(Tableau118[[#This Row],[Key(ID-Actif)]],'DATA BTO'!A:N,10,FALSE)</f>
        <v>#N/A</v>
      </c>
      <c r="AH395" s="3" t="e">
        <f ca="1">VLOOKUP(Tableau118[[#This Row],[Key(ID-Actif)]],'DATA BTO'!A:N,11,FALSE)</f>
        <v>#N/A</v>
      </c>
      <c r="AI395" s="50" t="e">
        <f ca="1">VLOOKUP(Tableau118[[#This Row],[Key(ID-Actif)]],'DATA BTO'!A:N,12,FALSE)</f>
        <v>#N/A</v>
      </c>
      <c r="AJ395" s="53" t="e">
        <f ca="1">VLOOKUP(Tableau118[[#This Row],[Key(ID-Actif)]],'DATA BTO'!A:N,14,FALSE)</f>
        <v>#N/A</v>
      </c>
      <c r="AK395" s="54" t="e">
        <f ca="1">VLOOKUP(Tableau118[[#This Row],[Key(POD -PFI- Usine)]],'DATA Consignee'!A:F,6,FALSE)</f>
        <v>#N/A</v>
      </c>
      <c r="AL395" s="283"/>
      <c r="AM395" s="490" t="str">
        <f>IF(Tableau118[[#This Row],[Name PFI/CDD]]="","-",VLOOKUP(Tableau118[[#This Row],[Name PFI/CDD]],Plant_AILN!I:J,2,FALSE))</f>
        <v>-</v>
      </c>
      <c r="AN395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5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5" s="2" t="e">
        <f ca="1">VLOOKUP(Tableau118[[#This Row],[Key(POD -PFI- Usine)]],'DATA Consignee'!A:J,10,FALSE)</f>
        <v>#N/A</v>
      </c>
      <c r="AQ395" s="50" t="e">
        <f ca="1">VLOOKUP(Tableau118[[#This Row],[Key(POD -PFI- Usine)]],'DATA Consignee'!A:N,14,FALSE)</f>
        <v>#N/A</v>
      </c>
      <c r="AR395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5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5" s="50" t="e">
        <f ca="1">Tableau118[[#This Row],[Transit time]]+Tableau118[[#This Row],[Time for security]]+Tableau118[[#This Row],[Time for security2 buffer]]</f>
        <v>#N/A</v>
      </c>
      <c r="AU395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5" s="50" t="e">
        <f ca="1">Tableau118[[#This Row],[Leadtime SI2C]]+Tableau118[[#This Row],[First Receipt Days]]-Tableau118[[#This Row],[Day Customer Order]]+1</f>
        <v>#N/A</v>
      </c>
      <c r="AW395" s="117" t="e">
        <f ca="1">IF(Tableau118[[#This Row],[Name ILN]]&lt;&gt;"SFK Freight Forwarder",Tableau118[[#This Row],[Cust. Leadtime]],Tableau118[[#This Row],[Leadtime SI2C]])</f>
        <v>#N/A</v>
      </c>
      <c r="AX395" s="57" t="e">
        <f>VLOOKUP(Tableau118[[#This Row],[ID]],'DATA BTO'!B:P,15,FALSE)</f>
        <v>#N/A</v>
      </c>
      <c r="AY395" s="328" t="e">
        <f ca="1">IFERROR(VLOOKUP(Tableau118[[#This Row],[Key(ID-Actif)]],'DATA BTO'!A:N,4,FALSE),VLOOKUP(Tableau118[[#This Row],[ID]],'DATA BTO'!B:N,3,FALSE))</f>
        <v>#N/A</v>
      </c>
      <c r="AZ395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5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5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5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5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5" s="50"/>
    </row>
    <row r="396" spans="2:57">
      <c r="B396" s="405" t="str">
        <f>_xlfn.CONCAT(Tableau118[[#This Row],[Name ILN]],"-",Tableau118[[#This Row],[Name Shipper]],"-",Tableau118[[#This Row],[Name Site]])</f>
        <v>--</v>
      </c>
      <c r="C396" s="64" t="e">
        <f ca="1">_xlfn.CONCAT(Tableau118[[#This Row],[Compte ILN]],"-",Tableau118[[#This Row],[Compte Shipper]],"-",Tableau118[[#This Row],[POL]],"-",Tableau118[[#This Row],[Compte Site]])</f>
        <v>#N/A</v>
      </c>
      <c r="D396" s="64" t="e">
        <f ca="1">_xlfn.CONCAT(Tableau118[[#This Row],[Compte ILN]],"-",Tableau118[[#This Row],[Compte Shipper]],"-",Tableau118[[#This Row],[POL]])</f>
        <v>#N/A</v>
      </c>
      <c r="E396" s="128" t="e">
        <f ca="1">_xlfn.CONCAT(Tableau118[[#This Row],[POL]],"-",Tableau118[[#This Row],[Carrier]],"-",Tableau118[[#This Row],[POD]])</f>
        <v>#N/A</v>
      </c>
      <c r="F396" s="64" t="str">
        <f>_xlfn.CONCAT(Tableau118[[#This Row],[ID]],"-","Next")</f>
        <v>-Next</v>
      </c>
      <c r="G396" s="64" t="e">
        <f ca="1">_xlfn.CONCAT(Tableau118[[#This Row],[POD]],"-",Tableau118[[#This Row],[Code PFI]],"-",Tableau118[[#This Row],[Compte Site]])</f>
        <v>#N/A</v>
      </c>
      <c r="H396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6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6" s="117" t="str">
        <f ca="1">IF(COUNTIF(I:I,Tableau118[[#This Row],[Plant-ILN-shipper-POL-Carrier-POD-PFI]])=1,"Non","Oui")</f>
        <v>Oui</v>
      </c>
      <c r="K396" s="126" t="e">
        <f>VLOOKUP(Tableau118[[#This Row],[Name Site]],Plant_AILN!A:D,4,FALSE)</f>
        <v>#N/A</v>
      </c>
      <c r="L396" s="363"/>
      <c r="M396" s="481"/>
      <c r="N396" s="55"/>
      <c r="O396" s="122"/>
      <c r="P396" s="481"/>
      <c r="Q396" s="50"/>
      <c r="R396" s="50"/>
      <c r="S396" s="50"/>
      <c r="T396" s="50"/>
      <c r="U396" s="50"/>
      <c r="V396" s="50"/>
      <c r="W396" s="50"/>
      <c r="X396" s="283"/>
      <c r="Y396" s="489">
        <f>IFERROR(VLOOKUP(Tableau118[[#This Row],[Name Shipper]],Plant_AILN!L:M,2,FALSE),0)</f>
        <v>0</v>
      </c>
      <c r="Z396" s="358"/>
      <c r="AA396" s="353" t="e">
        <f ca="1">VLOOKUP(Tableau118[[#This Row],[Key(ID-Actif)]],'DATA BTO'!A:N,5,FALSE)</f>
        <v>#N/A</v>
      </c>
      <c r="AB396" s="3" t="e">
        <f ca="1">VLOOKUP(Tableau118[[#This Row],[Key(ID-Actif)]],'DATA BTO'!A:N,6,FALSE)</f>
        <v>#N/A</v>
      </c>
      <c r="AC396" s="50" t="e">
        <f ca="1">VLOOKUP(Tableau118[[#This Row],[Key(ID-Actif)]],'DATA BTO'!A:N,7,FALSE)</f>
        <v>#N/A</v>
      </c>
      <c r="AD396" s="50" t="e">
        <f ca="1">VLOOKUP(Tableau118[[#This Row],[Key(ID-Actif)]],'DATA BTO'!A:N,8,FALSE)</f>
        <v>#N/A</v>
      </c>
      <c r="AE396" s="406" t="e">
        <f ca="1">IF(Tableau118[[#This Row],[First Day to POL]]&lt;=Tableau118[[#This Row],[Day Cut Off]],Tableau118[[#This Row],[Day ETD]],Tableau118[[#This Row],[Day ETD]]+7)</f>
        <v>#N/A</v>
      </c>
      <c r="AF396" s="50" t="e">
        <f ca="1">VLOOKUP(Tableau118[[#This Row],[Key(ID-Actif)]],'DATA BTO'!A:N,9,FALSE)</f>
        <v>#N/A</v>
      </c>
      <c r="AG396" s="3" t="e">
        <f ca="1">VLOOKUP(Tableau118[[#This Row],[Key(ID-Actif)]],'DATA BTO'!A:N,10,FALSE)</f>
        <v>#N/A</v>
      </c>
      <c r="AH396" s="3" t="e">
        <f ca="1">VLOOKUP(Tableau118[[#This Row],[Key(ID-Actif)]],'DATA BTO'!A:N,11,FALSE)</f>
        <v>#N/A</v>
      </c>
      <c r="AI396" s="50" t="e">
        <f ca="1">VLOOKUP(Tableau118[[#This Row],[Key(ID-Actif)]],'DATA BTO'!A:N,12,FALSE)</f>
        <v>#N/A</v>
      </c>
      <c r="AJ396" s="53" t="e">
        <f ca="1">VLOOKUP(Tableau118[[#This Row],[Key(ID-Actif)]],'DATA BTO'!A:N,14,FALSE)</f>
        <v>#N/A</v>
      </c>
      <c r="AK396" s="54" t="e">
        <f ca="1">VLOOKUP(Tableau118[[#This Row],[Key(POD -PFI- Usine)]],'DATA Consignee'!A:F,6,FALSE)</f>
        <v>#N/A</v>
      </c>
      <c r="AL396" s="283"/>
      <c r="AM396" s="490" t="str">
        <f>IF(Tableau118[[#This Row],[Name PFI/CDD]]="","-",VLOOKUP(Tableau118[[#This Row],[Name PFI/CDD]],Plant_AILN!I:J,2,FALSE))</f>
        <v>-</v>
      </c>
      <c r="AN396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6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6" s="2" t="e">
        <f ca="1">VLOOKUP(Tableau118[[#This Row],[Key(POD -PFI- Usine)]],'DATA Consignee'!A:J,10,FALSE)</f>
        <v>#N/A</v>
      </c>
      <c r="AQ396" s="50" t="e">
        <f ca="1">VLOOKUP(Tableau118[[#This Row],[Key(POD -PFI- Usine)]],'DATA Consignee'!A:N,14,FALSE)</f>
        <v>#N/A</v>
      </c>
      <c r="AR396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6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6" s="50" t="e">
        <f ca="1">Tableau118[[#This Row],[Transit time]]+Tableau118[[#This Row],[Time for security]]+Tableau118[[#This Row],[Time for security2 buffer]]</f>
        <v>#N/A</v>
      </c>
      <c r="AU396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6" s="50" t="e">
        <f ca="1">Tableau118[[#This Row],[Leadtime SI2C]]+Tableau118[[#This Row],[First Receipt Days]]-Tableau118[[#This Row],[Day Customer Order]]+1</f>
        <v>#N/A</v>
      </c>
      <c r="AW396" s="117" t="e">
        <f ca="1">IF(Tableau118[[#This Row],[Name ILN]]&lt;&gt;"SFK Freight Forwarder",Tableau118[[#This Row],[Cust. Leadtime]],Tableau118[[#This Row],[Leadtime SI2C]])</f>
        <v>#N/A</v>
      </c>
      <c r="AX396" s="57" t="e">
        <f>VLOOKUP(Tableau118[[#This Row],[ID]],'DATA BTO'!B:P,15,FALSE)</f>
        <v>#N/A</v>
      </c>
      <c r="AY396" s="328" t="e">
        <f ca="1">IFERROR(VLOOKUP(Tableau118[[#This Row],[Key(ID-Actif)]],'DATA BTO'!A:N,4,FALSE),VLOOKUP(Tableau118[[#This Row],[ID]],'DATA BTO'!B:N,3,FALSE))</f>
        <v>#N/A</v>
      </c>
      <c r="AZ396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6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6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6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6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6" s="50"/>
    </row>
    <row r="397" spans="2:57">
      <c r="B397" s="405" t="str">
        <f>_xlfn.CONCAT(Tableau118[[#This Row],[Name ILN]],"-",Tableau118[[#This Row],[Name Shipper]],"-",Tableau118[[#This Row],[Name Site]])</f>
        <v>--</v>
      </c>
      <c r="C397" s="64" t="e">
        <f ca="1">_xlfn.CONCAT(Tableau118[[#This Row],[Compte ILN]],"-",Tableau118[[#This Row],[Compte Shipper]],"-",Tableau118[[#This Row],[POL]],"-",Tableau118[[#This Row],[Compte Site]])</f>
        <v>#N/A</v>
      </c>
      <c r="D397" s="64" t="e">
        <f ca="1">_xlfn.CONCAT(Tableau118[[#This Row],[Compte ILN]],"-",Tableau118[[#This Row],[Compte Shipper]],"-",Tableau118[[#This Row],[POL]])</f>
        <v>#N/A</v>
      </c>
      <c r="E397" s="128" t="e">
        <f ca="1">_xlfn.CONCAT(Tableau118[[#This Row],[POL]],"-",Tableau118[[#This Row],[Carrier]],"-",Tableau118[[#This Row],[POD]])</f>
        <v>#N/A</v>
      </c>
      <c r="F397" s="64" t="str">
        <f>_xlfn.CONCAT(Tableau118[[#This Row],[ID]],"-","Next")</f>
        <v>-Next</v>
      </c>
      <c r="G397" s="64" t="e">
        <f ca="1">_xlfn.CONCAT(Tableau118[[#This Row],[POD]],"-",Tableau118[[#This Row],[Code PFI]],"-",Tableau118[[#This Row],[Compte Site]])</f>
        <v>#N/A</v>
      </c>
      <c r="H397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7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7" s="117" t="str">
        <f ca="1">IF(COUNTIF(I:I,Tableau118[[#This Row],[Plant-ILN-shipper-POL-Carrier-POD-PFI]])=1,"Non","Oui")</f>
        <v>Oui</v>
      </c>
      <c r="K397" s="126" t="e">
        <f>VLOOKUP(Tableau118[[#This Row],[Name Site]],Plant_AILN!A:D,4,FALSE)</f>
        <v>#N/A</v>
      </c>
      <c r="L397" s="363"/>
      <c r="M397" s="481"/>
      <c r="N397" s="55"/>
      <c r="O397" s="122"/>
      <c r="P397" s="481"/>
      <c r="Q397" s="50"/>
      <c r="R397" s="50"/>
      <c r="S397" s="50"/>
      <c r="T397" s="50"/>
      <c r="U397" s="50"/>
      <c r="V397" s="50"/>
      <c r="W397" s="50"/>
      <c r="X397" s="283"/>
      <c r="Y397" s="489">
        <f>IFERROR(VLOOKUP(Tableau118[[#This Row],[Name Shipper]],Plant_AILN!L:M,2,FALSE),0)</f>
        <v>0</v>
      </c>
      <c r="Z397" s="358"/>
      <c r="AA397" s="353" t="e">
        <f ca="1">VLOOKUP(Tableau118[[#This Row],[Key(ID-Actif)]],'DATA BTO'!A:N,5,FALSE)</f>
        <v>#N/A</v>
      </c>
      <c r="AB397" s="3" t="e">
        <f ca="1">VLOOKUP(Tableau118[[#This Row],[Key(ID-Actif)]],'DATA BTO'!A:N,6,FALSE)</f>
        <v>#N/A</v>
      </c>
      <c r="AC397" s="50" t="e">
        <f ca="1">VLOOKUP(Tableau118[[#This Row],[Key(ID-Actif)]],'DATA BTO'!A:N,7,FALSE)</f>
        <v>#N/A</v>
      </c>
      <c r="AD397" s="50" t="e">
        <f ca="1">VLOOKUP(Tableau118[[#This Row],[Key(ID-Actif)]],'DATA BTO'!A:N,8,FALSE)</f>
        <v>#N/A</v>
      </c>
      <c r="AE397" s="406" t="e">
        <f ca="1">IF(Tableau118[[#This Row],[First Day to POL]]&lt;=Tableau118[[#This Row],[Day Cut Off]],Tableau118[[#This Row],[Day ETD]],Tableau118[[#This Row],[Day ETD]]+7)</f>
        <v>#N/A</v>
      </c>
      <c r="AF397" s="50" t="e">
        <f ca="1">VLOOKUP(Tableau118[[#This Row],[Key(ID-Actif)]],'DATA BTO'!A:N,9,FALSE)</f>
        <v>#N/A</v>
      </c>
      <c r="AG397" s="3" t="e">
        <f ca="1">VLOOKUP(Tableau118[[#This Row],[Key(ID-Actif)]],'DATA BTO'!A:N,10,FALSE)</f>
        <v>#N/A</v>
      </c>
      <c r="AH397" s="3" t="e">
        <f ca="1">VLOOKUP(Tableau118[[#This Row],[Key(ID-Actif)]],'DATA BTO'!A:N,11,FALSE)</f>
        <v>#N/A</v>
      </c>
      <c r="AI397" s="50" t="e">
        <f ca="1">VLOOKUP(Tableau118[[#This Row],[Key(ID-Actif)]],'DATA BTO'!A:N,12,FALSE)</f>
        <v>#N/A</v>
      </c>
      <c r="AJ397" s="53" t="e">
        <f ca="1">VLOOKUP(Tableau118[[#This Row],[Key(ID-Actif)]],'DATA BTO'!A:N,14,FALSE)</f>
        <v>#N/A</v>
      </c>
      <c r="AK397" s="54" t="e">
        <f ca="1">VLOOKUP(Tableau118[[#This Row],[Key(POD -PFI- Usine)]],'DATA Consignee'!A:F,6,FALSE)</f>
        <v>#N/A</v>
      </c>
      <c r="AL397" s="283"/>
      <c r="AM397" s="490" t="str">
        <f>IF(Tableau118[[#This Row],[Name PFI/CDD]]="","-",VLOOKUP(Tableau118[[#This Row],[Name PFI/CDD]],Plant_AILN!I:J,2,FALSE))</f>
        <v>-</v>
      </c>
      <c r="AN397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7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7" s="2" t="e">
        <f ca="1">VLOOKUP(Tableau118[[#This Row],[Key(POD -PFI- Usine)]],'DATA Consignee'!A:J,10,FALSE)</f>
        <v>#N/A</v>
      </c>
      <c r="AQ397" s="50" t="e">
        <f ca="1">VLOOKUP(Tableau118[[#This Row],[Key(POD -PFI- Usine)]],'DATA Consignee'!A:N,14,FALSE)</f>
        <v>#N/A</v>
      </c>
      <c r="AR397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7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7" s="50" t="e">
        <f ca="1">Tableau118[[#This Row],[Transit time]]+Tableau118[[#This Row],[Time for security]]+Tableau118[[#This Row],[Time for security2 buffer]]</f>
        <v>#N/A</v>
      </c>
      <c r="AU397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7" s="50" t="e">
        <f ca="1">Tableau118[[#This Row],[Leadtime SI2C]]+Tableau118[[#This Row],[First Receipt Days]]-Tableau118[[#This Row],[Day Customer Order]]+1</f>
        <v>#N/A</v>
      </c>
      <c r="AW397" s="117" t="e">
        <f ca="1">IF(Tableau118[[#This Row],[Name ILN]]&lt;&gt;"SFK Freight Forwarder",Tableau118[[#This Row],[Cust. Leadtime]],Tableau118[[#This Row],[Leadtime SI2C]])</f>
        <v>#N/A</v>
      </c>
      <c r="AX397" s="57" t="e">
        <f>VLOOKUP(Tableau118[[#This Row],[ID]],'DATA BTO'!B:P,15,FALSE)</f>
        <v>#N/A</v>
      </c>
      <c r="AY397" s="328" t="e">
        <f ca="1">IFERROR(VLOOKUP(Tableau118[[#This Row],[Key(ID-Actif)]],'DATA BTO'!A:N,4,FALSE),VLOOKUP(Tableau118[[#This Row],[ID]],'DATA BTO'!B:N,3,FALSE))</f>
        <v>#N/A</v>
      </c>
      <c r="AZ397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7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7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7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7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7" s="50"/>
    </row>
    <row r="398" spans="2:57">
      <c r="B398" s="405" t="str">
        <f>_xlfn.CONCAT(Tableau118[[#This Row],[Name ILN]],"-",Tableau118[[#This Row],[Name Shipper]],"-",Tableau118[[#This Row],[Name Site]])</f>
        <v>--</v>
      </c>
      <c r="C398" s="64" t="e">
        <f ca="1">_xlfn.CONCAT(Tableau118[[#This Row],[Compte ILN]],"-",Tableau118[[#This Row],[Compte Shipper]],"-",Tableau118[[#This Row],[POL]],"-",Tableau118[[#This Row],[Compte Site]])</f>
        <v>#N/A</v>
      </c>
      <c r="D398" s="64" t="e">
        <f ca="1">_xlfn.CONCAT(Tableau118[[#This Row],[Compte ILN]],"-",Tableau118[[#This Row],[Compte Shipper]],"-",Tableau118[[#This Row],[POL]])</f>
        <v>#N/A</v>
      </c>
      <c r="E398" s="128" t="e">
        <f ca="1">_xlfn.CONCAT(Tableau118[[#This Row],[POL]],"-",Tableau118[[#This Row],[Carrier]],"-",Tableau118[[#This Row],[POD]])</f>
        <v>#N/A</v>
      </c>
      <c r="F398" s="64" t="str">
        <f>_xlfn.CONCAT(Tableau118[[#This Row],[ID]],"-","Next")</f>
        <v>-Next</v>
      </c>
      <c r="G398" s="64" t="e">
        <f ca="1">_xlfn.CONCAT(Tableau118[[#This Row],[POD]],"-",Tableau118[[#This Row],[Code PFI]],"-",Tableau118[[#This Row],[Compte Site]])</f>
        <v>#N/A</v>
      </c>
      <c r="H398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8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8" s="117" t="str">
        <f ca="1">IF(COUNTIF(I:I,Tableau118[[#This Row],[Plant-ILN-shipper-POL-Carrier-POD-PFI]])=1,"Non","Oui")</f>
        <v>Oui</v>
      </c>
      <c r="K398" s="126" t="e">
        <f>VLOOKUP(Tableau118[[#This Row],[Name Site]],Plant_AILN!A:D,4,FALSE)</f>
        <v>#N/A</v>
      </c>
      <c r="L398" s="363"/>
      <c r="M398" s="481"/>
      <c r="N398" s="55"/>
      <c r="O398" s="122"/>
      <c r="P398" s="481"/>
      <c r="Q398" s="50"/>
      <c r="R398" s="50"/>
      <c r="S398" s="50"/>
      <c r="T398" s="50"/>
      <c r="U398" s="50"/>
      <c r="V398" s="50"/>
      <c r="W398" s="50"/>
      <c r="X398" s="283"/>
      <c r="Y398" s="489">
        <f>IFERROR(VLOOKUP(Tableau118[[#This Row],[Name Shipper]],Plant_AILN!L:M,2,FALSE),0)</f>
        <v>0</v>
      </c>
      <c r="Z398" s="358"/>
      <c r="AA398" s="353" t="e">
        <f ca="1">VLOOKUP(Tableau118[[#This Row],[Key(ID-Actif)]],'DATA BTO'!A:N,5,FALSE)</f>
        <v>#N/A</v>
      </c>
      <c r="AB398" s="3" t="e">
        <f ca="1">VLOOKUP(Tableau118[[#This Row],[Key(ID-Actif)]],'DATA BTO'!A:N,6,FALSE)</f>
        <v>#N/A</v>
      </c>
      <c r="AC398" s="50" t="e">
        <f ca="1">VLOOKUP(Tableau118[[#This Row],[Key(ID-Actif)]],'DATA BTO'!A:N,7,FALSE)</f>
        <v>#N/A</v>
      </c>
      <c r="AD398" s="50" t="e">
        <f ca="1">VLOOKUP(Tableau118[[#This Row],[Key(ID-Actif)]],'DATA BTO'!A:N,8,FALSE)</f>
        <v>#N/A</v>
      </c>
      <c r="AE398" s="406" t="e">
        <f ca="1">IF(Tableau118[[#This Row],[First Day to POL]]&lt;=Tableau118[[#This Row],[Day Cut Off]],Tableau118[[#This Row],[Day ETD]],Tableau118[[#This Row],[Day ETD]]+7)</f>
        <v>#N/A</v>
      </c>
      <c r="AF398" s="50" t="e">
        <f ca="1">VLOOKUP(Tableau118[[#This Row],[Key(ID-Actif)]],'DATA BTO'!A:N,9,FALSE)</f>
        <v>#N/A</v>
      </c>
      <c r="AG398" s="3" t="e">
        <f ca="1">VLOOKUP(Tableau118[[#This Row],[Key(ID-Actif)]],'DATA BTO'!A:N,10,FALSE)</f>
        <v>#N/A</v>
      </c>
      <c r="AH398" s="3" t="e">
        <f ca="1">VLOOKUP(Tableau118[[#This Row],[Key(ID-Actif)]],'DATA BTO'!A:N,11,FALSE)</f>
        <v>#N/A</v>
      </c>
      <c r="AI398" s="50" t="e">
        <f ca="1">VLOOKUP(Tableau118[[#This Row],[Key(ID-Actif)]],'DATA BTO'!A:N,12,FALSE)</f>
        <v>#N/A</v>
      </c>
      <c r="AJ398" s="53" t="e">
        <f ca="1">VLOOKUP(Tableau118[[#This Row],[Key(ID-Actif)]],'DATA BTO'!A:N,14,FALSE)</f>
        <v>#N/A</v>
      </c>
      <c r="AK398" s="54" t="e">
        <f ca="1">VLOOKUP(Tableau118[[#This Row],[Key(POD -PFI- Usine)]],'DATA Consignee'!A:F,6,FALSE)</f>
        <v>#N/A</v>
      </c>
      <c r="AL398" s="283"/>
      <c r="AM398" s="490" t="str">
        <f>IF(Tableau118[[#This Row],[Name PFI/CDD]]="","-",VLOOKUP(Tableau118[[#This Row],[Name PFI/CDD]],Plant_AILN!I:J,2,FALSE))</f>
        <v>-</v>
      </c>
      <c r="AN398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8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8" s="2" t="e">
        <f ca="1">VLOOKUP(Tableau118[[#This Row],[Key(POD -PFI- Usine)]],'DATA Consignee'!A:J,10,FALSE)</f>
        <v>#N/A</v>
      </c>
      <c r="AQ398" s="50" t="e">
        <f ca="1">VLOOKUP(Tableau118[[#This Row],[Key(POD -PFI- Usine)]],'DATA Consignee'!A:N,14,FALSE)</f>
        <v>#N/A</v>
      </c>
      <c r="AR398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8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8" s="50" t="e">
        <f ca="1">Tableau118[[#This Row],[Transit time]]+Tableau118[[#This Row],[Time for security]]+Tableau118[[#This Row],[Time for security2 buffer]]</f>
        <v>#N/A</v>
      </c>
      <c r="AU398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8" s="50" t="e">
        <f ca="1">Tableau118[[#This Row],[Leadtime SI2C]]+Tableau118[[#This Row],[First Receipt Days]]-Tableau118[[#This Row],[Day Customer Order]]+1</f>
        <v>#N/A</v>
      </c>
      <c r="AW398" s="117" t="e">
        <f ca="1">IF(Tableau118[[#This Row],[Name ILN]]&lt;&gt;"SFK Freight Forwarder",Tableau118[[#This Row],[Cust. Leadtime]],Tableau118[[#This Row],[Leadtime SI2C]])</f>
        <v>#N/A</v>
      </c>
      <c r="AX398" s="57" t="e">
        <f>VLOOKUP(Tableau118[[#This Row],[ID]],'DATA BTO'!B:P,15,FALSE)</f>
        <v>#N/A</v>
      </c>
      <c r="AY398" s="328" t="e">
        <f ca="1">IFERROR(VLOOKUP(Tableau118[[#This Row],[Key(ID-Actif)]],'DATA BTO'!A:N,4,FALSE),VLOOKUP(Tableau118[[#This Row],[ID]],'DATA BTO'!B:N,3,FALSE))</f>
        <v>#N/A</v>
      </c>
      <c r="AZ398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8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8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8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8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8" s="50"/>
    </row>
    <row r="399" spans="2:57">
      <c r="B399" s="405" t="str">
        <f>_xlfn.CONCAT(Tableau118[[#This Row],[Name ILN]],"-",Tableau118[[#This Row],[Name Shipper]],"-",Tableau118[[#This Row],[Name Site]])</f>
        <v>--</v>
      </c>
      <c r="C399" s="64" t="e">
        <f ca="1">_xlfn.CONCAT(Tableau118[[#This Row],[Compte ILN]],"-",Tableau118[[#This Row],[Compte Shipper]],"-",Tableau118[[#This Row],[POL]],"-",Tableau118[[#This Row],[Compte Site]])</f>
        <v>#N/A</v>
      </c>
      <c r="D399" s="64" t="e">
        <f ca="1">_xlfn.CONCAT(Tableau118[[#This Row],[Compte ILN]],"-",Tableau118[[#This Row],[Compte Shipper]],"-",Tableau118[[#This Row],[POL]])</f>
        <v>#N/A</v>
      </c>
      <c r="E399" s="128" t="e">
        <f ca="1">_xlfn.CONCAT(Tableau118[[#This Row],[POL]],"-",Tableau118[[#This Row],[Carrier]],"-",Tableau118[[#This Row],[POD]])</f>
        <v>#N/A</v>
      </c>
      <c r="F399" s="64" t="str">
        <f>_xlfn.CONCAT(Tableau118[[#This Row],[ID]],"-","Next")</f>
        <v>-Next</v>
      </c>
      <c r="G399" s="64" t="e">
        <f ca="1">_xlfn.CONCAT(Tableau118[[#This Row],[POD]],"-",Tableau118[[#This Row],[Code PFI]],"-",Tableau118[[#This Row],[Compte Site]])</f>
        <v>#N/A</v>
      </c>
      <c r="H399" s="129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399" s="82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399" s="117" t="str">
        <f ca="1">IF(COUNTIF(I:I,Tableau118[[#This Row],[Plant-ILN-shipper-POL-Carrier-POD-PFI]])=1,"Non","Oui")</f>
        <v>Oui</v>
      </c>
      <c r="K399" s="126" t="e">
        <f>VLOOKUP(Tableau118[[#This Row],[Name Site]],Plant_AILN!A:D,4,FALSE)</f>
        <v>#N/A</v>
      </c>
      <c r="L399" s="363"/>
      <c r="M399" s="481"/>
      <c r="N399" s="55"/>
      <c r="O399" s="122"/>
      <c r="P399" s="481"/>
      <c r="Q399" s="50"/>
      <c r="R399" s="50"/>
      <c r="S399" s="50"/>
      <c r="T399" s="50"/>
      <c r="U399" s="50"/>
      <c r="V399" s="50"/>
      <c r="W399" s="50"/>
      <c r="X399" s="283"/>
      <c r="Y399" s="489">
        <f>IFERROR(VLOOKUP(Tableau118[[#This Row],[Name Shipper]],Plant_AILN!L:M,2,FALSE),0)</f>
        <v>0</v>
      </c>
      <c r="Z399" s="358"/>
      <c r="AA399" s="353" t="e">
        <f ca="1">VLOOKUP(Tableau118[[#This Row],[Key(ID-Actif)]],'DATA BTO'!A:N,5,FALSE)</f>
        <v>#N/A</v>
      </c>
      <c r="AB399" s="3" t="e">
        <f ca="1">VLOOKUP(Tableau118[[#This Row],[Key(ID-Actif)]],'DATA BTO'!A:N,6,FALSE)</f>
        <v>#N/A</v>
      </c>
      <c r="AC399" s="50" t="e">
        <f ca="1">VLOOKUP(Tableau118[[#This Row],[Key(ID-Actif)]],'DATA BTO'!A:N,7,FALSE)</f>
        <v>#N/A</v>
      </c>
      <c r="AD399" s="50" t="e">
        <f ca="1">VLOOKUP(Tableau118[[#This Row],[Key(ID-Actif)]],'DATA BTO'!A:N,8,FALSE)</f>
        <v>#N/A</v>
      </c>
      <c r="AE399" s="406" t="e">
        <f ca="1">IF(Tableau118[[#This Row],[First Day to POL]]&lt;=Tableau118[[#This Row],[Day Cut Off]],Tableau118[[#This Row],[Day ETD]],Tableau118[[#This Row],[Day ETD]]+7)</f>
        <v>#N/A</v>
      </c>
      <c r="AF399" s="50" t="e">
        <f ca="1">VLOOKUP(Tableau118[[#This Row],[Key(ID-Actif)]],'DATA BTO'!A:N,9,FALSE)</f>
        <v>#N/A</v>
      </c>
      <c r="AG399" s="3" t="e">
        <f ca="1">VLOOKUP(Tableau118[[#This Row],[Key(ID-Actif)]],'DATA BTO'!A:N,10,FALSE)</f>
        <v>#N/A</v>
      </c>
      <c r="AH399" s="3" t="e">
        <f ca="1">VLOOKUP(Tableau118[[#This Row],[Key(ID-Actif)]],'DATA BTO'!A:N,11,FALSE)</f>
        <v>#N/A</v>
      </c>
      <c r="AI399" s="50" t="e">
        <f ca="1">VLOOKUP(Tableau118[[#This Row],[Key(ID-Actif)]],'DATA BTO'!A:N,12,FALSE)</f>
        <v>#N/A</v>
      </c>
      <c r="AJ399" s="53" t="e">
        <f ca="1">VLOOKUP(Tableau118[[#This Row],[Key(ID-Actif)]],'DATA BTO'!A:N,14,FALSE)</f>
        <v>#N/A</v>
      </c>
      <c r="AK399" s="54" t="e">
        <f ca="1">VLOOKUP(Tableau118[[#This Row],[Key(POD -PFI- Usine)]],'DATA Consignee'!A:F,6,FALSE)</f>
        <v>#N/A</v>
      </c>
      <c r="AL399" s="283"/>
      <c r="AM399" s="490" t="str">
        <f>IF(Tableau118[[#This Row],[Name PFI/CDD]]="","-",VLOOKUP(Tableau118[[#This Row],[Name PFI/CDD]],Plant_AILN!I:J,2,FALSE))</f>
        <v>-</v>
      </c>
      <c r="AN399" s="6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399" s="6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399" s="2" t="e">
        <f ca="1">VLOOKUP(Tableau118[[#This Row],[Key(POD -PFI- Usine)]],'DATA Consignee'!A:J,10,FALSE)</f>
        <v>#N/A</v>
      </c>
      <c r="AQ399" s="50" t="e">
        <f ca="1">VLOOKUP(Tableau118[[#This Row],[Key(POD -PFI- Usine)]],'DATA Consignee'!A:N,14,FALSE)</f>
        <v>#N/A</v>
      </c>
      <c r="AR399" s="55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399" s="54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399" s="50" t="e">
        <f ca="1">Tableau118[[#This Row],[Transit time]]+Tableau118[[#This Row],[Time for security]]+Tableau118[[#This Row],[Time for security2 buffer]]</f>
        <v>#N/A</v>
      </c>
      <c r="AU399" s="50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399" s="50" t="e">
        <f ca="1">Tableau118[[#This Row],[Leadtime SI2C]]+Tableau118[[#This Row],[First Receipt Days]]-Tableau118[[#This Row],[Day Customer Order]]+1</f>
        <v>#N/A</v>
      </c>
      <c r="AW399" s="117" t="e">
        <f ca="1">IF(Tableau118[[#This Row],[Name ILN]]&lt;&gt;"SFK Freight Forwarder",Tableau118[[#This Row],[Cust. Leadtime]],Tableau118[[#This Row],[Leadtime SI2C]])</f>
        <v>#N/A</v>
      </c>
      <c r="AX399" s="57" t="e">
        <f>VLOOKUP(Tableau118[[#This Row],[ID]],'DATA BTO'!B:P,15,FALSE)</f>
        <v>#N/A</v>
      </c>
      <c r="AY399" s="328" t="e">
        <f ca="1">IFERROR(VLOOKUP(Tableau118[[#This Row],[Key(ID-Actif)]],'DATA BTO'!A:N,4,FALSE),VLOOKUP(Tableau118[[#This Row],[ID]],'DATA BTO'!B:N,3,FALSE))</f>
        <v>#N/A</v>
      </c>
      <c r="AZ399" s="50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399" s="50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399" s="50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399" s="50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399" s="55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399" s="50"/>
    </row>
    <row r="400" spans="2:57">
      <c r="B400" s="370" t="str">
        <f>_xlfn.CONCAT(Tableau118[[#This Row],[Name ILN]],"-",Tableau118[[#This Row],[Name Shipper]],"-",Tableau118[[#This Row],[Name Site]])</f>
        <v>--</v>
      </c>
      <c r="C400" s="80" t="e">
        <f ca="1">_xlfn.CONCAT(Tableau118[[#This Row],[Compte ILN]],"-",Tableau118[[#This Row],[Compte Shipper]],"-",Tableau118[[#This Row],[POL]],"-",Tableau118[[#This Row],[Compte Site]])</f>
        <v>#N/A</v>
      </c>
      <c r="D400" s="80" t="e">
        <f ca="1">_xlfn.CONCAT(Tableau118[[#This Row],[Compte ILN]],"-",Tableau118[[#This Row],[Compte Shipper]],"-",Tableau118[[#This Row],[POL]])</f>
        <v>#N/A</v>
      </c>
      <c r="E400" s="81" t="e">
        <f ca="1">_xlfn.CONCAT(Tableau118[[#This Row],[POL]],"-",Tableau118[[#This Row],[Carrier]],"-",Tableau118[[#This Row],[POD]])</f>
        <v>#N/A</v>
      </c>
      <c r="F400" s="80" t="str">
        <f>_xlfn.CONCAT(Tableau118[[#This Row],[ID]],"-","Next")</f>
        <v>-Next</v>
      </c>
      <c r="G400" s="80" t="e">
        <f ca="1">_xlfn.CONCAT(Tableau118[[#This Row],[POD]],"-",Tableau118[[#This Row],[Code PFI]],"-",Tableau118[[#This Row],[Compte Site]])</f>
        <v>#N/A</v>
      </c>
      <c r="H400" s="115" t="e">
        <f ca="1">_xlfn.CONCAT(IF(Tableau118[[#This Row],[Name ILN]]=Tableau118[[#This Row],[Name Shipper]],Tableau118[[#This Row],[Name ILN]],Tableau118[[#This Row],[Compte Shipper]]),Tableau118[[#This Row],[POL]],Tableau118[[#This Row],[Name Site]])</f>
        <v>#N/A</v>
      </c>
      <c r="I400" s="83" t="e">
        <f ca="1">_xlfn.CONCAT(Tableau118[[#This Row],[Name Site]],"-",Tableau118[[#This Row],[Name ILN]],"-",Tableau118[[#This Row],[Name Shipper]],"-",Tableau118[[#This Row],[ID]],"-",Tableau118[[#This Row],[POL]],"-",Tableau118[[#This Row],[Carrier]],"-",Tableau118[[#This Row],[POD]],"-",Tableau118[[#This Row],[Name PFI/CDD]],)</f>
        <v>#N/A</v>
      </c>
      <c r="J400" s="118" t="str">
        <f ca="1">IF(COUNTIF(I:I,Tableau118[[#This Row],[Plant-ILN-shipper-POL-Carrier-POD-PFI]])=1,"Non","Oui")</f>
        <v>Oui</v>
      </c>
      <c r="K400" s="101" t="e">
        <f>VLOOKUP(Tableau118[[#This Row],[Name Site]],Plant_AILN!A:D,4,FALSE)</f>
        <v>#N/A</v>
      </c>
      <c r="L400" s="368"/>
      <c r="M400" s="484"/>
      <c r="N400" s="102"/>
      <c r="O400" s="124"/>
      <c r="P400" s="484"/>
      <c r="Q400" s="79"/>
      <c r="R400" s="79"/>
      <c r="S400" s="79"/>
      <c r="T400" s="79"/>
      <c r="U400" s="79"/>
      <c r="V400" s="79"/>
      <c r="W400" s="79"/>
      <c r="X400" s="283"/>
      <c r="Y400" s="485">
        <f>IFERROR(VLOOKUP(Tableau118[[#This Row],[Name Shipper]],Plant_AILN!L:M,2,FALSE),0)</f>
        <v>0</v>
      </c>
      <c r="Z400" s="369"/>
      <c r="AA400" s="354" t="e">
        <f ca="1">VLOOKUP(Tableau118[[#This Row],[Key(ID-Actif)]],'DATA BTO'!A:N,5,FALSE)</f>
        <v>#N/A</v>
      </c>
      <c r="AB400" s="106" t="e">
        <f ca="1">VLOOKUP(Tableau118[[#This Row],[Key(ID-Actif)]],'DATA BTO'!A:N,6,FALSE)</f>
        <v>#N/A</v>
      </c>
      <c r="AC400" s="79" t="e">
        <f ca="1">VLOOKUP(Tableau118[[#This Row],[Key(ID-Actif)]],'DATA BTO'!A:N,7,FALSE)</f>
        <v>#N/A</v>
      </c>
      <c r="AD400" s="79" t="e">
        <f ca="1">VLOOKUP(Tableau118[[#This Row],[Key(ID-Actif)]],'DATA BTO'!A:N,8,FALSE)</f>
        <v>#N/A</v>
      </c>
      <c r="AE400" s="406" t="e">
        <f ca="1">IF(Tableau118[[#This Row],[First Day to POL]]&lt;=Tableau118[[#This Row],[Day Cut Off]],Tableau118[[#This Row],[Day ETD]],Tableau118[[#This Row],[Day ETD]]+7)</f>
        <v>#N/A</v>
      </c>
      <c r="AF400" s="79" t="e">
        <f ca="1">VLOOKUP(Tableau118[[#This Row],[Key(ID-Actif)]],'DATA BTO'!A:N,9,FALSE)</f>
        <v>#N/A</v>
      </c>
      <c r="AG400" s="106" t="e">
        <f ca="1">VLOOKUP(Tableau118[[#This Row],[Key(ID-Actif)]],'DATA BTO'!A:N,10,FALSE)</f>
        <v>#N/A</v>
      </c>
      <c r="AH400" s="106" t="e">
        <f ca="1">VLOOKUP(Tableau118[[#This Row],[Key(ID-Actif)]],'DATA BTO'!A:N,11,FALSE)</f>
        <v>#N/A</v>
      </c>
      <c r="AI400" s="79" t="e">
        <f ca="1">VLOOKUP(Tableau118[[#This Row],[Key(ID-Actif)]],'DATA BTO'!A:N,12,FALSE)</f>
        <v>#N/A</v>
      </c>
      <c r="AJ400" s="104" t="e">
        <f ca="1">VLOOKUP(Tableau118[[#This Row],[Key(ID-Actif)]],'DATA BTO'!A:N,14,FALSE)</f>
        <v>#N/A</v>
      </c>
      <c r="AK400" s="105" t="e">
        <f ca="1">VLOOKUP(Tableau118[[#This Row],[Key(POD -PFI- Usine)]],'DATA Consignee'!A:F,6,FALSE)</f>
        <v>#N/A</v>
      </c>
      <c r="AL400" s="100"/>
      <c r="AM400" s="486" t="str">
        <f>IF(Tableau118[[#This Row],[Name PFI/CDD]]="","-",VLOOKUP(Tableau118[[#This Row],[Name PFI/CDD]],Plant_AILN!I:J,2,FALSE))</f>
        <v>-</v>
      </c>
      <c r="AN400" s="107" t="str">
        <f>IF(COUNTIF(buffer_train[AILN],Tableau118[[#This Row],[Name PFI/CDD]])&gt;0,Tableau118[[#This Row],[First Receipt Days]]+Tableau118[[#This Row],[Cust.]]+Tableau118[[#This Row],[Parts Vanning]]+Tableau118[[#This Row],[Transit Time2]],"-")</f>
        <v>-</v>
      </c>
      <c r="AO400" s="107" t="str">
        <f>IF(Tableau118[[#This Row],[Leadtime train]]="-","-",MIN(MOD(VLOOKUP(Tableau118[[#This Row],[Name PFI/CDD]],buffer_train[],4,FALSE)-1-MOD(Tableau118[[#This Row],[Leadtime train]],7)+7,7),IF(VLOOKUP(Tableau118[[#This Row],[Name PFI/CDD]],buffer_train[],5,FALSE)&gt;0,MOD(VLOOKUP(Tableau118[[#This Row],[Name PFI/CDD]],buffer_train[],5,FALSE)-1-MOD(Tableau118[[#This Row],[Leadtime train]],7)+7,7),7)))</f>
        <v>-</v>
      </c>
      <c r="AP400" s="108" t="e">
        <f ca="1">VLOOKUP(Tableau118[[#This Row],[Key(POD -PFI- Usine)]],'DATA Consignee'!A:J,10,FALSE)</f>
        <v>#N/A</v>
      </c>
      <c r="AQ400" s="79" t="e">
        <f ca="1">VLOOKUP(Tableau118[[#This Row],[Key(POD -PFI- Usine)]],'DATA Consignee'!A:N,14,FALSE)</f>
        <v>#N/A</v>
      </c>
      <c r="AR400" s="102" t="e">
        <f ca="1">IF((7-MOD(Tableau118[[#This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train]]),7))=7,0,7-MOD(Tableau118[[#This Row],[Transit time]]+Tableau118[[#This Row],[Time for security]]+Tableau118[[#This Row],[Time for security2 buffer]]+Tableau118[[#This Row],[Cust.]]+IF(Tableau118[[#This Row],[Trpt POD &gt; PFI]]="-",0,Tableau118[[#This Row],[Trpt POD &gt; PFI]])+Tableau118[[#This Row],[Trpt POD/PFI vers Usine]]+Tableau118[[#This Row],[Parts Vanning]]+15+IF(Tableau118[[#This Row],[Buffer train]]="-",0,Tableau118[[#This Row],[Buffer train]]),7))</f>
        <v>#N/A</v>
      </c>
      <c r="AS400" s="105" t="e">
        <f ca="1">IF(AND(Tableau118[[#This Row],[First Day to POL]]=7,(INT((Tableau118[[#This Row],[Packaging préparation &amp; loading]]+Tableau118[[#This Row],[First Receipt Days]]+Tableau118[[#This Row],[Transport ILN to POL]])/7)=(Tableau118[[#This Row],[Packaging préparation &amp; loading]]+Tableau118[[#This Row],[First Receipt Days]]+Tableau118[[#This Row],[Transport ILN to POL]])/7)),Tableau118[[#This Row],[Packaging préparation &amp; loading]]+Tableau118[[#This Row],[Transport ILN to POL]]+Tableau118[[#This Row],[Day ETD]]-1,IF(AND(Tableau118[[#This Row],[Day Cut Off]]&gt;=Tableau118[[#This Row],[First Day to POL]],(Tableau118[[#This Row],[Packaging préparation &amp; loading]]+Tableau118[[#This Row],[First Receipt Days]]+Tableau118[[#This Row],[Transport ILN to POL]])&gt;(ROUNDDOWN((Tableau118[[#This Row],[Packaging préparation &amp; loading]]+Tableau118[[#This Row],[First Receipt Days]]+Tableau118[[#This Row],[Transport ILN to POL]])/7,0)*7+Tableau118[[#This Row],[First Day to POL]])),5+Tableau118[[#This Row],[Day ETD]]+((INT((Tableau118[[#This Row],[Packaging préparation &amp; loading]]+Tableau118[[#This Row],[Transport ILN to POL]]+1)/7))*7),IF(Tableau118[[#This Row],[Day Cut Off]]&gt;=Tableau118[[#This Row],[First Day to POL]],5+Tableau118[[#This Row],[Day ETD]]+((INT((Tableau118[[#This Row],[Packaging préparation &amp; loading]]+Tableau118[[#This Row],[Transport ILN to POL]]-7+1)/7))*7),12+Tableau118[[#This Row],[Day ETD]]+INT((Tableau118[[#This Row],[First Day to POL]]-Tableau118[[#This Row],[Day Cut Off]])/7)*7+((INT((Tableau118[[#This Row],[Packaging préparation &amp; loading]]+Tableau118[[#This Row],[Transport ILN to POL]]-7+1)/7))*7))))</f>
        <v>#N/A</v>
      </c>
      <c r="AT400" s="79" t="e">
        <f ca="1">Tableau118[[#This Row],[Transit time]]+Tableau118[[#This Row],[Time for security]]+Tableau118[[#This Row],[Time for security2 buffer]]</f>
        <v>#N/A</v>
      </c>
      <c r="AU400" s="79" t="e">
        <f ca="1">Tableau118[[#This Row],[Cust.]]+IF(Tableau118[[#This Row],[Trpt POD &gt; PFI]]="-",0,Tableau118[[#This Row],[Trpt POD &gt; PFI]])+Tableau118[[#This Row],[Trpt POD/PFI vers Usine]]+Tableau118[[#This Row],[Round.]]+Tableau118[[#This Row],[Parts Vanning]]+Tableau118[[#This Row],[Transit Time2]]+IF(Tableau118[[#This Row],[Buffer train]]="-",0,Tableau118[[#This Row],[Buffer train]])</f>
        <v>#N/A</v>
      </c>
      <c r="AV400" s="79" t="e">
        <f ca="1">Tableau118[[#This Row],[Leadtime SI2C]]+Tableau118[[#This Row],[First Receipt Days]]-Tableau118[[#This Row],[Day Customer Order]]+1</f>
        <v>#N/A</v>
      </c>
      <c r="AW400" s="118" t="e">
        <f ca="1">IF(Tableau118[[#This Row],[Name ILN]]&lt;&gt;"SFK Freight Forwarder",Tableau118[[#This Row],[Cust. Leadtime]],Tableau118[[#This Row],[Leadtime SI2C]])</f>
        <v>#N/A</v>
      </c>
      <c r="AX400" s="74" t="e">
        <f>VLOOKUP(Tableau118[[#This Row],[ID]],'DATA BTO'!B:P,15,FALSE)</f>
        <v>#N/A</v>
      </c>
      <c r="AY400" s="347" t="e">
        <f ca="1">IFERROR(VLOOKUP(Tableau118[[#This Row],[Key(ID-Actif)]],'DATA BTO'!A:N,4,FALSE),VLOOKUP(Tableau118[[#This Row],[ID]],'DATA BTO'!B:N,3,FALSE))</f>
        <v>#N/A</v>
      </c>
      <c r="AZ400" s="79" t="str">
        <f>IF(ISNUMBER(Tableau118[[#This Row],[Day Customer Order]]),"-","Please Check 'Name' information in 'Order' Sheet to make sure they have information")</f>
        <v>Please Check 'Name' information in 'Order' Sheet to make sure they have information</v>
      </c>
      <c r="BA400" s="79" t="str">
        <f>IF(ISNUMBER(Tableau118[[#This Row],[Day ILN Order]]),IF(OR(ISNUMBER(Tableau118[[#This Row],[Delivery time to ILN/Shipper]]),ISERROR(Tableau118[[#This Row],[POL]])),"-","Please Check 'ILN - shipper - POL (- plant (special case))' information in 'ILN' Sheet to make sure they have information(specifically : shipper and POL)"),"Please Check 'Name' information in 'DATA ILN' Sheet to make sure they have information")</f>
        <v>Please Check 'Name' information in 'DATA ILN' Sheet to make sure they have information</v>
      </c>
      <c r="BB400" s="79" t="str">
        <f ca="1">IFERROR(IF(Tableau118[[#This Row],[Expiration Date]]&gt;TODAY(),IF(AND(ISTEXT(Tableau118[[#This Row],[POL]]),ISNUMBER(Tableau118[[#This Row],[First Day to POL]])),"-","POL mismatch,Please Check POL in 'DATA ILN' and 'DATA BTO' to make sure they can match"),"Please update the BTO validity period"),"This ID does not exist")</f>
        <v>This ID does not exist</v>
      </c>
      <c r="BC400" s="79" t="str">
        <f ca="1">IF(IF(ISNUMBER(Tableau118[[#This Row],[Cust.]]),"-",IFERROR(Tableau118[[#This Row],[Plant-ILN-shipper-POL-Carrier-POD-PFI]],"-"))="-","-","Please Check 'Colonne C : POD to Site' information in 'DATA Consignee' Sheet OR POD mismatch,Please Check POD in 'DATA BTO' and 'DATA Consignee' Sheet to make sure they can match")</f>
        <v>-</v>
      </c>
      <c r="BD400" s="102" t="str">
        <f ca="1">IF(IF(ISNUMBER(Tableau118[[#This Row],[Trpt POD/PFI vers Usine]]),"-",IFERROR(Tableau118[[#This Row],[Plant-ILN-shipper-POL-Carrier-POD-PFI]],"-"))="-","-","Please Check 'Colonne A : POD - PFI - Site' information in 'DATA Consignee' Sheet AND 'Colonne M : PFI to Site' information in 'DATA Consignee' Sheet to make sure they have PFI/CDD information or not")</f>
        <v>-</v>
      </c>
      <c r="BE400" s="79"/>
    </row>
  </sheetData>
  <mergeCells count="18">
    <mergeCell ref="AX1:AX2"/>
    <mergeCell ref="I2:J2"/>
    <mergeCell ref="K2:N2"/>
    <mergeCell ref="O2:R2"/>
    <mergeCell ref="S2:V2"/>
    <mergeCell ref="W2:Y2"/>
    <mergeCell ref="Z2:AJ2"/>
    <mergeCell ref="AK2:AP2"/>
    <mergeCell ref="AQ2:AR2"/>
    <mergeCell ref="I1:J1"/>
    <mergeCell ref="K1:N1"/>
    <mergeCell ref="O1:Y1"/>
    <mergeCell ref="Z1:AI1"/>
    <mergeCell ref="AK1:AQ1"/>
    <mergeCell ref="AS2:AV2"/>
    <mergeCell ref="C3:D3"/>
    <mergeCell ref="AR1:AW1"/>
    <mergeCell ref="B1:H1"/>
  </mergeCells>
  <conditionalFormatting sqref="K5:AX400">
    <cfRule type="expression" dxfId="249" priority="20">
      <formula>$AY5&lt;=TODAY()</formula>
    </cfRule>
  </conditionalFormatting>
  <conditionalFormatting sqref="J5:J400">
    <cfRule type="expression" dxfId="248" priority="19">
      <formula>$J5="Oui"</formula>
    </cfRule>
  </conditionalFormatting>
  <conditionalFormatting sqref="BE186">
    <cfRule type="expression" dxfId="247" priority="18">
      <formula>$AY186&lt;=TODAY()</formula>
    </cfRule>
  </conditionalFormatting>
  <conditionalFormatting sqref="BE188">
    <cfRule type="expression" dxfId="246" priority="17">
      <formula>$AY188&lt;=TODAY()</formula>
    </cfRule>
  </conditionalFormatting>
  <conditionalFormatting sqref="BE189">
    <cfRule type="expression" dxfId="245" priority="16">
      <formula>$AY189&lt;=TODAY()</formula>
    </cfRule>
  </conditionalFormatting>
  <conditionalFormatting sqref="BE190">
    <cfRule type="expression" dxfId="244" priority="15">
      <formula>$AY190&lt;=TODAY()</formula>
    </cfRule>
  </conditionalFormatting>
  <conditionalFormatting sqref="BE263">
    <cfRule type="expression" dxfId="243" priority="14">
      <formula>$AY263&lt;=TODAY()</formula>
    </cfRule>
  </conditionalFormatting>
  <conditionalFormatting sqref="BE264">
    <cfRule type="expression" dxfId="242" priority="13">
      <formula>$AY264&lt;=TODAY()</formula>
    </cfRule>
  </conditionalFormatting>
  <conditionalFormatting sqref="BE265">
    <cfRule type="expression" dxfId="241" priority="12">
      <formula>$AY265&lt;=TODAY()</formula>
    </cfRule>
  </conditionalFormatting>
  <conditionalFormatting sqref="L275:L285">
    <cfRule type="expression" dxfId="240" priority="11">
      <formula>$AY275&lt;=TODAY()</formula>
    </cfRule>
  </conditionalFormatting>
  <conditionalFormatting sqref="L276:L285">
    <cfRule type="expression" dxfId="239" priority="10">
      <formula>$AY276&lt;=TODAY()</formula>
    </cfRule>
  </conditionalFormatting>
  <conditionalFormatting sqref="L277:L285">
    <cfRule type="expression" dxfId="238" priority="9">
      <formula>$AY277&lt;=TODAY()</formula>
    </cfRule>
  </conditionalFormatting>
  <conditionalFormatting sqref="L278:L285">
    <cfRule type="expression" dxfId="237" priority="8">
      <formula>$AY278&lt;=TODAY()</formula>
    </cfRule>
  </conditionalFormatting>
  <conditionalFormatting sqref="L279:L285">
    <cfRule type="expression" dxfId="236" priority="7">
      <formula>$AY279&lt;=TODAY()</formula>
    </cfRule>
  </conditionalFormatting>
  <conditionalFormatting sqref="L280:L285">
    <cfRule type="expression" dxfId="235" priority="6">
      <formula>$AY280&lt;=TODAY()</formula>
    </cfRule>
  </conditionalFormatting>
  <conditionalFormatting sqref="L281:L285">
    <cfRule type="expression" dxfId="234" priority="5">
      <formula>$AY281&lt;=TODAY()</formula>
    </cfRule>
  </conditionalFormatting>
  <conditionalFormatting sqref="L282:L285">
    <cfRule type="expression" dxfId="233" priority="4">
      <formula>$AY282&lt;=TODAY()</formula>
    </cfRule>
  </conditionalFormatting>
  <conditionalFormatting sqref="L283:L285">
    <cfRule type="expression" dxfId="232" priority="3">
      <formula>$AY283&lt;=TODAY()</formula>
    </cfRule>
  </conditionalFormatting>
  <conditionalFormatting sqref="L284:L285">
    <cfRule type="expression" dxfId="231" priority="2">
      <formula>$AY284&lt;=TODAY()</formula>
    </cfRule>
  </conditionalFormatting>
  <conditionalFormatting sqref="L285">
    <cfRule type="expression" dxfId="230" priority="1">
      <formula>$AY285&lt;=TODAY()</formula>
    </cfRule>
  </conditionalFormatting>
  <dataValidations count="4">
    <dataValidation type="list" allowBlank="1" showInputMessage="1" showErrorMessage="1" sqref="AL222:AL234 AL216:AL220 AL5:AL212 AL240:AL1048559" xr:uid="{00000000-0002-0000-0700-000000000000}">
      <formula1>PFIname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L217:L219 L222:L234 L240:L242 L5:L215 L244:L1048559" xr:uid="{00000000-0002-0000-0700-000001000000}">
      <formula1>plantname</formula1>
    </dataValidation>
    <dataValidation type="list" allowBlank="1" showInputMessage="1" showErrorMessage="1" sqref="X222:X239 X245:X253 X215:X216 X152 X258 X284:X285 O5:O1048559" xr:uid="{00000000-0002-0000-0700-000002000000}">
      <formula1>AILNname</formula1>
    </dataValidation>
    <dataValidation type="list" allowBlank="1" showInputMessage="1" showErrorMessage="1" sqref="X217:X220 X240:X242 X153:X214 X5:X151 X254:X257 X259:X269 X271:X283 X286:X1048559" xr:uid="{00000000-0002-0000-0700-000003000000}">
      <formula1>shippername</formula1>
    </dataValidation>
  </dataValidations>
  <pageMargins left="0.7" right="0.7" top="0.75" bottom="0.75" header="0.3" footer="0.3"/>
  <pageSetup paperSize="9" orientation="portrait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">
    <tabColor theme="9" tint="-0.499984740745262"/>
  </sheetPr>
  <dimension ref="A1:W111"/>
  <sheetViews>
    <sheetView zoomScale="110" zoomScaleNormal="110" workbookViewId="0">
      <selection activeCell="B5" sqref="B5"/>
    </sheetView>
  </sheetViews>
  <sheetFormatPr baseColWidth="10" defaultColWidth="8.44140625" defaultRowHeight="14.4"/>
  <cols>
    <col min="1" max="1" width="17" customWidth="1"/>
    <col min="2" max="2" width="18.44140625" customWidth="1"/>
    <col min="3" max="3" width="17.44140625" style="501" customWidth="1"/>
    <col min="4" max="4" width="13.44140625" bestFit="1" customWidth="1"/>
    <col min="5" max="5" width="11.44140625" style="48" customWidth="1"/>
    <col min="6" max="6" width="18.44140625" customWidth="1"/>
    <col min="7" max="7" width="13.44140625" style="475" bestFit="1" customWidth="1"/>
    <col min="8" max="8" width="5.44140625" customWidth="1"/>
    <col min="9" max="9" width="15.44140625" bestFit="1" customWidth="1"/>
    <col min="10" max="10" width="11" style="475" bestFit="1" customWidth="1"/>
    <col min="11" max="11" width="5.44140625" customWidth="1"/>
    <col min="12" max="12" width="49.44140625" bestFit="1" customWidth="1"/>
    <col min="13" max="13" width="13.44140625" bestFit="1" customWidth="1"/>
    <col min="14" max="14" width="0" hidden="1"/>
    <col min="15" max="15" width="14" hidden="1" customWidth="1"/>
    <col min="16" max="16" width="22.44140625" hidden="1" customWidth="1"/>
    <col min="17" max="17" width="11.44140625" hidden="1" customWidth="1"/>
    <col min="19" max="19" width="12.44140625" bestFit="1" customWidth="1"/>
    <col min="21" max="21" width="14.44140625" bestFit="1" customWidth="1"/>
    <col min="23" max="23" width="21" bestFit="1" customWidth="1"/>
  </cols>
  <sheetData>
    <row r="1" spans="1:23">
      <c r="A1" s="140" t="s">
        <v>219</v>
      </c>
      <c r="B1" s="140" t="s">
        <v>220</v>
      </c>
      <c r="C1" s="502" t="s">
        <v>221</v>
      </c>
      <c r="D1" s="140" t="s">
        <v>99</v>
      </c>
      <c r="E1" s="203"/>
      <c r="F1" s="140" t="s">
        <v>222</v>
      </c>
      <c r="G1" s="502" t="s">
        <v>221</v>
      </c>
      <c r="I1" s="140" t="s">
        <v>223</v>
      </c>
      <c r="J1" s="502" t="s">
        <v>221</v>
      </c>
      <c r="L1" s="140" t="s">
        <v>80</v>
      </c>
      <c r="M1" s="502" t="s">
        <v>221</v>
      </c>
      <c r="N1" s="71" t="s">
        <v>222</v>
      </c>
      <c r="O1" s="72" t="s">
        <v>224</v>
      </c>
      <c r="P1" s="72" t="s">
        <v>225</v>
      </c>
      <c r="Q1" s="78" t="s">
        <v>99</v>
      </c>
      <c r="S1" s="140" t="s">
        <v>111</v>
      </c>
      <c r="U1" s="140" t="s">
        <v>119</v>
      </c>
      <c r="W1" s="5" t="s">
        <v>226</v>
      </c>
    </row>
    <row r="2" spans="1:23">
      <c r="A2" s="69" t="s">
        <v>186</v>
      </c>
      <c r="B2" s="97" t="s">
        <v>227</v>
      </c>
      <c r="C2" s="503">
        <v>90018300</v>
      </c>
      <c r="D2" s="8" t="s">
        <v>228</v>
      </c>
      <c r="F2" s="76" t="s">
        <v>148</v>
      </c>
      <c r="G2" s="504">
        <v>95112</v>
      </c>
      <c r="I2" s="69" t="s">
        <v>153</v>
      </c>
      <c r="J2" s="505">
        <v>90016600</v>
      </c>
      <c r="L2" s="69" t="s">
        <v>229</v>
      </c>
      <c r="M2" s="506">
        <v>9521000</v>
      </c>
      <c r="N2" s="69" t="s">
        <v>230</v>
      </c>
      <c r="O2" s="8" t="s">
        <v>231</v>
      </c>
      <c r="P2" s="8" t="s">
        <v>232</v>
      </c>
      <c r="Q2" s="57" t="s">
        <v>233</v>
      </c>
      <c r="S2" s="51" t="s">
        <v>234</v>
      </c>
      <c r="U2" s="51" t="s">
        <v>235</v>
      </c>
      <c r="W2" s="89" t="s">
        <v>186</v>
      </c>
    </row>
    <row r="3" spans="1:23">
      <c r="A3" s="69" t="s">
        <v>236</v>
      </c>
      <c r="B3" s="97" t="s">
        <v>237</v>
      </c>
      <c r="C3" s="503">
        <v>9624700</v>
      </c>
      <c r="D3" s="8" t="s">
        <v>228</v>
      </c>
      <c r="F3" s="76" t="s">
        <v>159</v>
      </c>
      <c r="G3" s="504">
        <v>95436</v>
      </c>
      <c r="I3" s="69" t="s">
        <v>166</v>
      </c>
      <c r="J3" s="505">
        <v>91018400</v>
      </c>
      <c r="L3" s="69" t="s">
        <v>238</v>
      </c>
      <c r="M3" s="506">
        <v>92000100</v>
      </c>
      <c r="N3" s="69" t="s">
        <v>230</v>
      </c>
      <c r="O3" s="8" t="s">
        <v>239</v>
      </c>
      <c r="P3" s="8" t="s">
        <v>240</v>
      </c>
      <c r="Q3" s="57" t="s">
        <v>233</v>
      </c>
      <c r="S3" s="51" t="s">
        <v>241</v>
      </c>
      <c r="U3" s="51" t="s">
        <v>242</v>
      </c>
      <c r="W3" s="89" t="s">
        <v>236</v>
      </c>
    </row>
    <row r="4" spans="1:23">
      <c r="A4" s="69" t="s">
        <v>160</v>
      </c>
      <c r="B4" s="97" t="s">
        <v>160</v>
      </c>
      <c r="C4" s="503">
        <v>90016500</v>
      </c>
      <c r="D4" s="8" t="s">
        <v>243</v>
      </c>
      <c r="F4" s="76" t="s">
        <v>141</v>
      </c>
      <c r="G4" s="507">
        <v>2533780546</v>
      </c>
      <c r="I4" s="69" t="s">
        <v>158</v>
      </c>
      <c r="J4" s="508">
        <v>2839004</v>
      </c>
      <c r="L4" s="93" t="s">
        <v>244</v>
      </c>
      <c r="M4" s="374"/>
      <c r="N4" s="69" t="s">
        <v>230</v>
      </c>
      <c r="O4" s="8" t="s">
        <v>245</v>
      </c>
      <c r="P4" s="8" t="s">
        <v>246</v>
      </c>
      <c r="Q4" s="57" t="s">
        <v>247</v>
      </c>
      <c r="S4" s="51" t="s">
        <v>248</v>
      </c>
      <c r="U4" s="51" t="s">
        <v>249</v>
      </c>
      <c r="W4" s="8" t="s">
        <v>160</v>
      </c>
    </row>
    <row r="5" spans="1:23">
      <c r="A5" s="69" t="s">
        <v>214</v>
      </c>
      <c r="B5" s="97" t="s">
        <v>250</v>
      </c>
      <c r="C5" s="503">
        <v>91017600</v>
      </c>
      <c r="D5" s="8" t="s">
        <v>251</v>
      </c>
      <c r="F5" s="76" t="s">
        <v>204</v>
      </c>
      <c r="G5" s="504">
        <v>26376</v>
      </c>
      <c r="I5" s="69" t="s">
        <v>217</v>
      </c>
      <c r="J5" s="505">
        <v>90016600</v>
      </c>
      <c r="L5" s="69" t="s">
        <v>187</v>
      </c>
      <c r="M5" s="506">
        <v>90015100</v>
      </c>
      <c r="N5" s="69" t="s">
        <v>230</v>
      </c>
      <c r="O5" s="8" t="s">
        <v>252</v>
      </c>
      <c r="P5" s="8" t="s">
        <v>253</v>
      </c>
      <c r="Q5" s="57" t="s">
        <v>254</v>
      </c>
      <c r="S5" s="51" t="s">
        <v>255</v>
      </c>
      <c r="U5" s="75" t="s">
        <v>256</v>
      </c>
      <c r="W5" s="89" t="s">
        <v>214</v>
      </c>
    </row>
    <row r="6" spans="1:23">
      <c r="A6" s="69" t="s">
        <v>257</v>
      </c>
      <c r="B6" s="96" t="s">
        <v>258</v>
      </c>
      <c r="C6" s="509">
        <v>26549500</v>
      </c>
      <c r="D6" s="8" t="s">
        <v>259</v>
      </c>
      <c r="F6" s="76" t="s">
        <v>157</v>
      </c>
      <c r="G6" s="504">
        <v>95207</v>
      </c>
      <c r="I6" s="69" t="s">
        <v>218</v>
      </c>
      <c r="J6" s="505">
        <v>2839004</v>
      </c>
      <c r="L6" s="93" t="s">
        <v>20</v>
      </c>
      <c r="M6" s="506">
        <v>25566103</v>
      </c>
      <c r="N6" s="69" t="s">
        <v>230</v>
      </c>
      <c r="O6" s="8" t="s">
        <v>260</v>
      </c>
      <c r="P6" s="8" t="s">
        <v>261</v>
      </c>
      <c r="Q6" s="57" t="s">
        <v>262</v>
      </c>
      <c r="S6" s="51" t="s">
        <v>263</v>
      </c>
      <c r="U6" s="75" t="s">
        <v>264</v>
      </c>
      <c r="W6" s="8" t="s">
        <v>184</v>
      </c>
    </row>
    <row r="7" spans="1:23">
      <c r="A7" s="69" t="s">
        <v>190</v>
      </c>
      <c r="B7" s="69" t="s">
        <v>265</v>
      </c>
      <c r="C7" s="509">
        <v>26549502</v>
      </c>
      <c r="D7" s="8" t="s">
        <v>259</v>
      </c>
      <c r="F7" s="76" t="s">
        <v>266</v>
      </c>
      <c r="G7" s="510">
        <v>2533780535</v>
      </c>
      <c r="I7" s="69" t="s">
        <v>267</v>
      </c>
      <c r="J7" s="505">
        <v>28752501</v>
      </c>
      <c r="L7" s="69" t="s">
        <v>268</v>
      </c>
      <c r="M7" s="475">
        <v>29179903</v>
      </c>
      <c r="N7" s="69" t="s">
        <v>230</v>
      </c>
      <c r="O7" s="8" t="s">
        <v>269</v>
      </c>
      <c r="P7" s="8" t="s">
        <v>270</v>
      </c>
      <c r="Q7" s="57" t="s">
        <v>271</v>
      </c>
      <c r="S7" s="51" t="s">
        <v>272</v>
      </c>
      <c r="W7" s="89" t="s">
        <v>169</v>
      </c>
    </row>
    <row r="8" spans="1:23">
      <c r="A8" s="69" t="s">
        <v>184</v>
      </c>
      <c r="B8" s="97" t="s">
        <v>170</v>
      </c>
      <c r="C8" s="504">
        <v>92000100</v>
      </c>
      <c r="D8" s="8" t="s">
        <v>228</v>
      </c>
      <c r="F8" s="76" t="s">
        <v>1</v>
      </c>
      <c r="G8" s="504">
        <v>92000100</v>
      </c>
      <c r="I8" s="73" t="s">
        <v>161</v>
      </c>
      <c r="J8" s="511">
        <v>91018400</v>
      </c>
      <c r="L8" s="69" t="s">
        <v>273</v>
      </c>
      <c r="M8" s="475">
        <v>29179903</v>
      </c>
      <c r="N8" s="69" t="s">
        <v>230</v>
      </c>
      <c r="O8" s="8" t="s">
        <v>274</v>
      </c>
      <c r="P8" s="8" t="s">
        <v>275</v>
      </c>
      <c r="Q8" s="57" t="s">
        <v>233</v>
      </c>
      <c r="S8" s="51" t="s">
        <v>276</v>
      </c>
      <c r="W8" s="8" t="s">
        <v>138</v>
      </c>
    </row>
    <row r="9" spans="1:23">
      <c r="A9" s="69" t="s">
        <v>169</v>
      </c>
      <c r="B9" s="97" t="s">
        <v>277</v>
      </c>
      <c r="C9" s="503">
        <v>90016000</v>
      </c>
      <c r="D9" s="8" t="s">
        <v>278</v>
      </c>
      <c r="F9" s="76" t="s">
        <v>165</v>
      </c>
      <c r="G9" s="504">
        <v>28390</v>
      </c>
      <c r="I9" s="73"/>
      <c r="J9" s="511"/>
      <c r="L9" s="69" t="s">
        <v>279</v>
      </c>
      <c r="M9" s="506">
        <v>29179900</v>
      </c>
      <c r="N9" s="69" t="s">
        <v>230</v>
      </c>
      <c r="O9" s="8" t="s">
        <v>280</v>
      </c>
      <c r="P9" s="8" t="s">
        <v>281</v>
      </c>
      <c r="Q9" s="57" t="s">
        <v>271</v>
      </c>
      <c r="S9" s="51" t="s">
        <v>282</v>
      </c>
      <c r="W9" s="89" t="s">
        <v>168</v>
      </c>
    </row>
    <row r="10" spans="1:23">
      <c r="A10" s="69" t="s">
        <v>138</v>
      </c>
      <c r="B10" s="97" t="s">
        <v>138</v>
      </c>
      <c r="C10" s="503">
        <v>90009500</v>
      </c>
      <c r="D10" s="8" t="s">
        <v>283</v>
      </c>
      <c r="F10" s="76" t="s">
        <v>284</v>
      </c>
      <c r="G10" s="507">
        <v>29562503</v>
      </c>
      <c r="I10" s="73"/>
      <c r="J10" s="511"/>
      <c r="L10" s="69" t="s">
        <v>285</v>
      </c>
      <c r="M10" s="475">
        <v>29179903</v>
      </c>
      <c r="N10" s="69" t="s">
        <v>230</v>
      </c>
      <c r="O10" s="8" t="s">
        <v>286</v>
      </c>
      <c r="P10" s="8" t="s">
        <v>287</v>
      </c>
      <c r="Q10" s="57" t="s">
        <v>271</v>
      </c>
      <c r="S10" s="51" t="s">
        <v>288</v>
      </c>
      <c r="W10" s="8" t="s">
        <v>182</v>
      </c>
    </row>
    <row r="11" spans="1:23">
      <c r="A11" s="69" t="s">
        <v>168</v>
      </c>
      <c r="B11" s="97" t="s">
        <v>289</v>
      </c>
      <c r="C11" s="503">
        <v>90018600</v>
      </c>
      <c r="D11" s="8" t="s">
        <v>290</v>
      </c>
      <c r="F11" s="76" t="s">
        <v>142</v>
      </c>
      <c r="G11" s="507">
        <v>2533780535</v>
      </c>
      <c r="L11" s="69" t="s">
        <v>291</v>
      </c>
      <c r="M11" s="475">
        <v>29179901</v>
      </c>
      <c r="N11" s="69" t="s">
        <v>230</v>
      </c>
      <c r="O11" s="8" t="s">
        <v>292</v>
      </c>
      <c r="P11" s="8" t="s">
        <v>293</v>
      </c>
      <c r="Q11" s="57" t="s">
        <v>294</v>
      </c>
      <c r="S11" s="75" t="s">
        <v>295</v>
      </c>
      <c r="W11" s="89" t="s">
        <v>211</v>
      </c>
    </row>
    <row r="12" spans="1:23">
      <c r="A12" s="69" t="s">
        <v>182</v>
      </c>
      <c r="B12" s="97" t="s">
        <v>296</v>
      </c>
      <c r="C12" s="503">
        <v>90018000</v>
      </c>
      <c r="D12" s="8" t="s">
        <v>290</v>
      </c>
      <c r="F12" s="76" t="s">
        <v>155</v>
      </c>
      <c r="G12" s="507">
        <v>92050300</v>
      </c>
      <c r="L12" s="69" t="s">
        <v>297</v>
      </c>
      <c r="M12" s="507">
        <v>42631300</v>
      </c>
      <c r="N12" s="69" t="s">
        <v>230</v>
      </c>
      <c r="O12" s="8" t="s">
        <v>298</v>
      </c>
      <c r="P12" s="8" t="s">
        <v>299</v>
      </c>
      <c r="Q12" s="57" t="s">
        <v>300</v>
      </c>
      <c r="S12" s="51"/>
      <c r="W12" s="8" t="s">
        <v>156</v>
      </c>
    </row>
    <row r="13" spans="1:23">
      <c r="A13" s="69" t="s">
        <v>211</v>
      </c>
      <c r="B13" s="97" t="s">
        <v>301</v>
      </c>
      <c r="C13" s="503">
        <v>90018500</v>
      </c>
      <c r="D13" s="8" t="s">
        <v>290</v>
      </c>
      <c r="F13" s="76" t="s">
        <v>144</v>
      </c>
      <c r="G13" s="507">
        <v>91018400</v>
      </c>
      <c r="L13" s="69" t="s">
        <v>302</v>
      </c>
      <c r="M13" s="506">
        <v>27002800</v>
      </c>
      <c r="N13" s="69" t="s">
        <v>230</v>
      </c>
      <c r="O13" s="8" t="s">
        <v>303</v>
      </c>
      <c r="P13" s="8" t="s">
        <v>304</v>
      </c>
      <c r="Q13" s="57" t="s">
        <v>305</v>
      </c>
      <c r="W13" s="89" t="s">
        <v>180</v>
      </c>
    </row>
    <row r="14" spans="1:23">
      <c r="A14" s="69" t="s">
        <v>156</v>
      </c>
      <c r="B14" s="97" t="s">
        <v>306</v>
      </c>
      <c r="C14" s="503">
        <v>90012500</v>
      </c>
      <c r="D14" s="8" t="s">
        <v>307</v>
      </c>
      <c r="F14" s="76" t="s">
        <v>171</v>
      </c>
      <c r="G14" s="506">
        <v>26037000</v>
      </c>
      <c r="I14" s="512"/>
      <c r="L14" s="69" t="s">
        <v>148</v>
      </c>
      <c r="M14" s="504">
        <v>95112</v>
      </c>
      <c r="N14" s="69" t="s">
        <v>230</v>
      </c>
      <c r="O14" s="8" t="s">
        <v>308</v>
      </c>
      <c r="P14" s="8" t="s">
        <v>309</v>
      </c>
      <c r="Q14" s="57" t="s">
        <v>294</v>
      </c>
      <c r="W14" s="8" t="s">
        <v>189</v>
      </c>
    </row>
    <row r="15" spans="1:23">
      <c r="A15" s="69" t="s">
        <v>180</v>
      </c>
      <c r="B15" s="97" t="s">
        <v>310</v>
      </c>
      <c r="C15" s="503">
        <v>90016800</v>
      </c>
      <c r="D15" s="8" t="s">
        <v>307</v>
      </c>
      <c r="F15" s="77" t="s">
        <v>311</v>
      </c>
      <c r="G15" s="513">
        <v>26037002</v>
      </c>
      <c r="L15" s="69" t="s">
        <v>159</v>
      </c>
      <c r="M15" s="504">
        <v>95436</v>
      </c>
      <c r="N15" s="69" t="s">
        <v>230</v>
      </c>
      <c r="O15" s="8" t="s">
        <v>312</v>
      </c>
      <c r="P15" s="8" t="s">
        <v>313</v>
      </c>
      <c r="Q15" s="57" t="s">
        <v>314</v>
      </c>
      <c r="W15" s="89" t="s">
        <v>187</v>
      </c>
    </row>
    <row r="16" spans="1:23">
      <c r="A16" s="69" t="s">
        <v>315</v>
      </c>
      <c r="B16" s="97"/>
      <c r="C16" s="514"/>
      <c r="D16" s="8" t="s">
        <v>316</v>
      </c>
      <c r="F16" s="77" t="s">
        <v>206</v>
      </c>
      <c r="G16" s="513">
        <v>26037001</v>
      </c>
      <c r="L16" s="69" t="s">
        <v>141</v>
      </c>
      <c r="M16" s="506">
        <v>2533780546</v>
      </c>
      <c r="N16" s="69" t="s">
        <v>230</v>
      </c>
      <c r="O16" s="8" t="s">
        <v>317</v>
      </c>
      <c r="P16" s="8" t="s">
        <v>318</v>
      </c>
      <c r="Q16" s="57" t="s">
        <v>314</v>
      </c>
      <c r="W16" s="8" t="s">
        <v>1</v>
      </c>
    </row>
    <row r="17" spans="1:23">
      <c r="A17" s="69" t="s">
        <v>189</v>
      </c>
      <c r="B17" s="97" t="s">
        <v>319</v>
      </c>
      <c r="C17" s="503">
        <v>90019100</v>
      </c>
      <c r="D17" s="8" t="s">
        <v>228</v>
      </c>
      <c r="F17" s="77" t="s">
        <v>193</v>
      </c>
      <c r="G17" s="513">
        <v>27261102</v>
      </c>
      <c r="L17" s="69" t="s">
        <v>204</v>
      </c>
      <c r="M17" s="504">
        <v>26376</v>
      </c>
      <c r="N17" s="69" t="s">
        <v>230</v>
      </c>
      <c r="O17" s="8" t="s">
        <v>320</v>
      </c>
      <c r="P17" s="8" t="s">
        <v>321</v>
      </c>
      <c r="Q17" s="57" t="s">
        <v>254</v>
      </c>
      <c r="W17" s="89" t="s">
        <v>165</v>
      </c>
    </row>
    <row r="18" spans="1:23">
      <c r="A18" s="70" t="s">
        <v>322</v>
      </c>
      <c r="B18" s="98"/>
      <c r="C18" s="514"/>
      <c r="D18" s="7" t="s">
        <v>316</v>
      </c>
      <c r="F18" s="77" t="s">
        <v>150</v>
      </c>
      <c r="G18" s="513">
        <v>0</v>
      </c>
      <c r="L18" s="69" t="s">
        <v>157</v>
      </c>
      <c r="M18" s="504">
        <v>95207</v>
      </c>
      <c r="N18" s="69" t="s">
        <v>230</v>
      </c>
      <c r="O18" s="8" t="s">
        <v>323</v>
      </c>
      <c r="P18" s="8" t="s">
        <v>324</v>
      </c>
      <c r="Q18" s="57" t="s">
        <v>325</v>
      </c>
      <c r="W18" s="8" t="s">
        <v>144</v>
      </c>
    </row>
    <row r="19" spans="1:23">
      <c r="A19" s="69" t="s">
        <v>187</v>
      </c>
      <c r="B19" s="97" t="s">
        <v>326</v>
      </c>
      <c r="C19" s="515">
        <v>90015100</v>
      </c>
      <c r="D19" s="8" t="s">
        <v>228</v>
      </c>
      <c r="F19" s="77" t="s">
        <v>327</v>
      </c>
      <c r="G19" s="507">
        <v>26429412</v>
      </c>
      <c r="L19" s="76" t="s">
        <v>266</v>
      </c>
      <c r="M19" s="516">
        <v>2533780535</v>
      </c>
      <c r="N19" s="69" t="s">
        <v>230</v>
      </c>
      <c r="O19" s="8" t="s">
        <v>328</v>
      </c>
      <c r="P19" s="8" t="s">
        <v>329</v>
      </c>
      <c r="Q19" s="57" t="s">
        <v>330</v>
      </c>
      <c r="W19" s="89" t="s">
        <v>331</v>
      </c>
    </row>
    <row r="20" spans="1:23">
      <c r="A20" s="69" t="s">
        <v>1</v>
      </c>
      <c r="B20" s="97"/>
      <c r="C20" s="503">
        <v>90016600</v>
      </c>
      <c r="D20" s="8" t="s">
        <v>228</v>
      </c>
      <c r="F20" s="77" t="s">
        <v>332</v>
      </c>
      <c r="G20" s="513" t="s">
        <v>333</v>
      </c>
      <c r="L20" s="69" t="s">
        <v>1</v>
      </c>
      <c r="M20" s="504">
        <v>92000100</v>
      </c>
      <c r="N20" s="69" t="s">
        <v>334</v>
      </c>
      <c r="O20" s="8" t="s">
        <v>280</v>
      </c>
      <c r="P20" s="8" t="s">
        <v>335</v>
      </c>
      <c r="Q20" s="57" t="s">
        <v>271</v>
      </c>
      <c r="W20" s="8" t="s">
        <v>336</v>
      </c>
    </row>
    <row r="21" spans="1:23">
      <c r="A21" s="69" t="s">
        <v>165</v>
      </c>
      <c r="B21" s="97"/>
      <c r="C21" s="503">
        <v>283900400</v>
      </c>
      <c r="D21" s="8" t="s">
        <v>307</v>
      </c>
      <c r="F21" t="s">
        <v>183</v>
      </c>
      <c r="G21">
        <v>222222</v>
      </c>
      <c r="L21" s="69" t="s">
        <v>165</v>
      </c>
      <c r="M21" s="504">
        <v>28390</v>
      </c>
      <c r="N21" s="69" t="s">
        <v>334</v>
      </c>
      <c r="O21" s="8" t="s">
        <v>337</v>
      </c>
      <c r="P21" s="8" t="s">
        <v>338</v>
      </c>
      <c r="Q21" s="57" t="s">
        <v>271</v>
      </c>
      <c r="W21" s="89" t="s">
        <v>185</v>
      </c>
    </row>
    <row r="22" spans="1:23">
      <c r="A22" s="69" t="s">
        <v>144</v>
      </c>
      <c r="B22" s="97"/>
      <c r="C22" s="503">
        <v>9101840000</v>
      </c>
      <c r="D22" s="8" t="s">
        <v>251</v>
      </c>
      <c r="F22" t="s">
        <v>191</v>
      </c>
      <c r="G22">
        <v>333333</v>
      </c>
      <c r="L22" s="69" t="s">
        <v>284</v>
      </c>
      <c r="M22" s="506">
        <v>29562503</v>
      </c>
      <c r="N22" s="69" t="s">
        <v>334</v>
      </c>
      <c r="O22" s="8" t="s">
        <v>286</v>
      </c>
      <c r="P22" s="8" t="s">
        <v>339</v>
      </c>
      <c r="Q22" s="57" t="s">
        <v>271</v>
      </c>
      <c r="W22" s="8" t="s">
        <v>340</v>
      </c>
    </row>
    <row r="23" spans="1:23">
      <c r="A23" s="69" t="s">
        <v>341</v>
      </c>
      <c r="B23" s="96" t="s">
        <v>342</v>
      </c>
      <c r="C23" s="503">
        <v>92049500</v>
      </c>
      <c r="D23" s="8" t="s">
        <v>259</v>
      </c>
      <c r="L23" s="69" t="s">
        <v>142</v>
      </c>
      <c r="M23" s="506">
        <v>2533780535</v>
      </c>
      <c r="N23" s="69" t="s">
        <v>334</v>
      </c>
      <c r="O23" s="8" t="s">
        <v>343</v>
      </c>
      <c r="P23" s="8" t="s">
        <v>344</v>
      </c>
      <c r="Q23" s="57" t="s">
        <v>345</v>
      </c>
      <c r="W23" s="89" t="s">
        <v>163</v>
      </c>
    </row>
    <row r="24" spans="1:23">
      <c r="A24" s="69" t="s">
        <v>331</v>
      </c>
      <c r="B24" s="99" t="s">
        <v>346</v>
      </c>
      <c r="C24" s="503">
        <v>90020000</v>
      </c>
      <c r="D24" s="8" t="s">
        <v>347</v>
      </c>
      <c r="L24" s="69" t="s">
        <v>155</v>
      </c>
      <c r="M24" s="506">
        <v>92050300</v>
      </c>
      <c r="N24" s="69" t="s">
        <v>334</v>
      </c>
      <c r="O24" s="8" t="s">
        <v>348</v>
      </c>
      <c r="P24" s="8" t="s">
        <v>349</v>
      </c>
      <c r="Q24" s="57" t="s">
        <v>305</v>
      </c>
      <c r="W24" s="8" t="s">
        <v>203</v>
      </c>
    </row>
    <row r="25" spans="1:23">
      <c r="A25" s="69" t="s">
        <v>350</v>
      </c>
      <c r="B25" s="96"/>
      <c r="C25" s="514"/>
      <c r="D25" s="8" t="s">
        <v>350</v>
      </c>
      <c r="L25" s="69" t="s">
        <v>144</v>
      </c>
      <c r="M25" s="506">
        <v>91018400</v>
      </c>
      <c r="N25" s="69" t="s">
        <v>334</v>
      </c>
      <c r="O25" s="8" t="s">
        <v>323</v>
      </c>
      <c r="P25" s="8" t="s">
        <v>351</v>
      </c>
      <c r="Q25" s="57" t="s">
        <v>325</v>
      </c>
      <c r="W25" s="89" t="s">
        <v>164</v>
      </c>
    </row>
    <row r="26" spans="1:23">
      <c r="A26" s="69" t="s">
        <v>352</v>
      </c>
      <c r="B26" s="96"/>
      <c r="C26" s="514"/>
      <c r="D26" s="8" t="s">
        <v>350</v>
      </c>
      <c r="L26" s="69" t="s">
        <v>171</v>
      </c>
      <c r="M26" s="506">
        <v>26037000</v>
      </c>
      <c r="N26" s="69" t="s">
        <v>334</v>
      </c>
      <c r="O26" s="8" t="s">
        <v>353</v>
      </c>
      <c r="P26" s="8" t="s">
        <v>354</v>
      </c>
      <c r="Q26" s="57" t="s">
        <v>247</v>
      </c>
      <c r="W26" s="8" t="s">
        <v>167</v>
      </c>
    </row>
    <row r="27" spans="1:23">
      <c r="A27" s="69" t="s">
        <v>355</v>
      </c>
      <c r="B27" s="96" t="s">
        <v>356</v>
      </c>
      <c r="C27" s="514"/>
      <c r="D27" s="8" t="s">
        <v>350</v>
      </c>
      <c r="L27" s="93" t="s">
        <v>357</v>
      </c>
      <c r="M27" s="475">
        <v>42838302</v>
      </c>
      <c r="N27" s="69" t="s">
        <v>334</v>
      </c>
      <c r="O27" s="8" t="s">
        <v>358</v>
      </c>
      <c r="P27" s="8" t="s">
        <v>359</v>
      </c>
      <c r="Q27" s="57" t="s">
        <v>247</v>
      </c>
      <c r="W27" s="89" t="s">
        <v>175</v>
      </c>
    </row>
    <row r="28" spans="1:23">
      <c r="A28" s="69" t="s">
        <v>360</v>
      </c>
      <c r="B28" s="96" t="s">
        <v>356</v>
      </c>
      <c r="C28" s="514">
        <v>2915900</v>
      </c>
      <c r="D28" s="8" t="s">
        <v>350</v>
      </c>
      <c r="L28" s="93" t="s">
        <v>151</v>
      </c>
      <c r="M28" s="475">
        <v>42838302</v>
      </c>
      <c r="N28" s="69" t="s">
        <v>334</v>
      </c>
      <c r="O28" s="8" t="s">
        <v>361</v>
      </c>
      <c r="P28" s="8" t="s">
        <v>362</v>
      </c>
      <c r="Q28" s="57" t="s">
        <v>294</v>
      </c>
      <c r="W28" s="8" t="s">
        <v>181</v>
      </c>
    </row>
    <row r="29" spans="1:23">
      <c r="A29" s="69" t="s">
        <v>336</v>
      </c>
      <c r="B29" s="97" t="s">
        <v>363</v>
      </c>
      <c r="C29" s="503">
        <v>90030100</v>
      </c>
      <c r="D29" s="8" t="s">
        <v>347</v>
      </c>
      <c r="L29" s="76" t="s">
        <v>311</v>
      </c>
      <c r="M29" s="505">
        <v>26037002</v>
      </c>
      <c r="N29" s="69" t="s">
        <v>334</v>
      </c>
      <c r="O29" s="8" t="s">
        <v>364</v>
      </c>
      <c r="P29" s="8" t="s">
        <v>365</v>
      </c>
      <c r="Q29" s="57" t="s">
        <v>345</v>
      </c>
      <c r="W29" s="89" t="s">
        <v>36</v>
      </c>
    </row>
    <row r="30" spans="1:23">
      <c r="A30" s="69" t="s">
        <v>366</v>
      </c>
      <c r="B30" s="8" t="s">
        <v>367</v>
      </c>
      <c r="C30" s="514">
        <v>90022000</v>
      </c>
      <c r="D30" s="8" t="s">
        <v>368</v>
      </c>
      <c r="L30" s="76" t="s">
        <v>206</v>
      </c>
      <c r="M30" s="505">
        <v>26037001</v>
      </c>
      <c r="N30" s="69" t="s">
        <v>334</v>
      </c>
      <c r="O30" s="8" t="s">
        <v>369</v>
      </c>
      <c r="P30" s="8" t="s">
        <v>370</v>
      </c>
      <c r="Q30" s="57" t="s">
        <v>371</v>
      </c>
      <c r="W30" s="8" t="s">
        <v>215</v>
      </c>
    </row>
    <row r="31" spans="1:23">
      <c r="A31" s="69" t="s">
        <v>147</v>
      </c>
      <c r="B31" s="96"/>
      <c r="C31" s="509">
        <v>12300</v>
      </c>
      <c r="D31" s="8" t="s">
        <v>372</v>
      </c>
      <c r="L31" s="73" t="s">
        <v>373</v>
      </c>
      <c r="M31" s="517">
        <v>92007300</v>
      </c>
      <c r="N31" s="69" t="s">
        <v>334</v>
      </c>
      <c r="O31" s="8" t="s">
        <v>374</v>
      </c>
      <c r="P31" s="8" t="s">
        <v>375</v>
      </c>
      <c r="Q31" s="57" t="s">
        <v>300</v>
      </c>
      <c r="W31" s="89" t="s">
        <v>201</v>
      </c>
    </row>
    <row r="32" spans="1:23">
      <c r="A32" s="69" t="s">
        <v>185</v>
      </c>
      <c r="B32" s="97" t="s">
        <v>376</v>
      </c>
      <c r="C32" s="503">
        <v>90016200</v>
      </c>
      <c r="D32" s="8" t="s">
        <v>228</v>
      </c>
      <c r="L32" s="77" t="s">
        <v>193</v>
      </c>
      <c r="M32" s="505">
        <v>27261102</v>
      </c>
      <c r="N32" s="69" t="s">
        <v>334</v>
      </c>
      <c r="O32" s="8" t="s">
        <v>377</v>
      </c>
      <c r="P32" s="8" t="s">
        <v>378</v>
      </c>
      <c r="Q32" s="57" t="s">
        <v>379</v>
      </c>
      <c r="W32" s="8" t="s">
        <v>162</v>
      </c>
    </row>
    <row r="33" spans="1:23">
      <c r="A33" s="69" t="s">
        <v>380</v>
      </c>
      <c r="B33" s="96" t="s">
        <v>381</v>
      </c>
      <c r="C33" s="503">
        <v>90101300</v>
      </c>
      <c r="D33" s="8" t="s">
        <v>382</v>
      </c>
      <c r="L33" s="73" t="s">
        <v>170</v>
      </c>
      <c r="M33" s="518">
        <v>90016100</v>
      </c>
      <c r="N33" s="69" t="s">
        <v>334</v>
      </c>
      <c r="O33" s="8" t="s">
        <v>252</v>
      </c>
      <c r="P33" s="8" t="s">
        <v>383</v>
      </c>
      <c r="Q33" s="57" t="s">
        <v>254</v>
      </c>
      <c r="W33" s="89" t="s">
        <v>176</v>
      </c>
    </row>
    <row r="34" spans="1:23">
      <c r="A34" s="69" t="s">
        <v>340</v>
      </c>
      <c r="B34" s="97" t="s">
        <v>384</v>
      </c>
      <c r="C34" s="503">
        <v>90010700</v>
      </c>
      <c r="D34" s="8" t="s">
        <v>347</v>
      </c>
      <c r="L34" s="69" t="s">
        <v>385</v>
      </c>
      <c r="M34" s="517">
        <v>487230</v>
      </c>
      <c r="N34" s="69" t="s">
        <v>334</v>
      </c>
      <c r="O34" s="8" t="s">
        <v>386</v>
      </c>
      <c r="P34" s="8" t="s">
        <v>257</v>
      </c>
      <c r="Q34" s="57" t="s">
        <v>254</v>
      </c>
      <c r="W34" s="8" t="s">
        <v>178</v>
      </c>
    </row>
    <row r="35" spans="1:23">
      <c r="A35" s="69" t="s">
        <v>163</v>
      </c>
      <c r="B35" s="97" t="s">
        <v>387</v>
      </c>
      <c r="C35" s="503">
        <v>91017700</v>
      </c>
      <c r="D35" s="8" t="s">
        <v>251</v>
      </c>
      <c r="L35" s="73" t="s">
        <v>145</v>
      </c>
      <c r="M35" s="518">
        <v>91017500</v>
      </c>
      <c r="N35" s="69" t="s">
        <v>334</v>
      </c>
      <c r="O35" s="8" t="s">
        <v>388</v>
      </c>
      <c r="P35" s="8" t="s">
        <v>389</v>
      </c>
      <c r="Q35" s="57" t="s">
        <v>390</v>
      </c>
      <c r="W35" s="89" t="s">
        <v>152</v>
      </c>
    </row>
    <row r="36" spans="1:23">
      <c r="A36" s="69" t="s">
        <v>391</v>
      </c>
      <c r="B36" s="96" t="s">
        <v>392</v>
      </c>
      <c r="C36" s="503">
        <v>25079500</v>
      </c>
      <c r="D36" s="8" t="s">
        <v>393</v>
      </c>
      <c r="L36" s="73" t="s">
        <v>394</v>
      </c>
      <c r="M36" s="519">
        <v>900106</v>
      </c>
      <c r="N36" s="69" t="s">
        <v>334</v>
      </c>
      <c r="O36" s="8" t="s">
        <v>395</v>
      </c>
      <c r="P36" s="8" t="s">
        <v>396</v>
      </c>
      <c r="Q36" s="57" t="s">
        <v>247</v>
      </c>
      <c r="W36" s="8" t="s">
        <v>397</v>
      </c>
    </row>
    <row r="37" spans="1:23">
      <c r="A37" s="70" t="s">
        <v>398</v>
      </c>
      <c r="B37" s="96" t="s">
        <v>399</v>
      </c>
      <c r="C37" s="503">
        <v>28750500</v>
      </c>
      <c r="D37" s="8" t="s">
        <v>290</v>
      </c>
      <c r="L37" s="73" t="s">
        <v>150</v>
      </c>
      <c r="M37" s="520">
        <v>0</v>
      </c>
      <c r="N37" s="69" t="s">
        <v>334</v>
      </c>
      <c r="O37" s="8" t="s">
        <v>400</v>
      </c>
      <c r="P37" s="8" t="s">
        <v>401</v>
      </c>
      <c r="Q37" s="57" t="s">
        <v>247</v>
      </c>
      <c r="W37" s="89" t="s">
        <v>179</v>
      </c>
    </row>
    <row r="38" spans="1:23">
      <c r="A38" s="69" t="s">
        <v>402</v>
      </c>
      <c r="B38" s="96"/>
      <c r="C38" s="514"/>
      <c r="D38" s="8" t="s">
        <v>403</v>
      </c>
      <c r="L38" s="95" t="s">
        <v>397</v>
      </c>
      <c r="M38" s="520">
        <v>90018400</v>
      </c>
      <c r="N38" s="69" t="s">
        <v>334</v>
      </c>
      <c r="O38" s="8" t="s">
        <v>404</v>
      </c>
      <c r="P38" s="8" t="s">
        <v>331</v>
      </c>
      <c r="Q38" s="57" t="s">
        <v>247</v>
      </c>
      <c r="W38" s="8" t="s">
        <v>172</v>
      </c>
    </row>
    <row r="39" spans="1:23">
      <c r="A39" s="69" t="s">
        <v>405</v>
      </c>
      <c r="B39" s="96" t="s">
        <v>392</v>
      </c>
      <c r="C39" s="503">
        <v>25079500</v>
      </c>
      <c r="D39" s="8" t="s">
        <v>393</v>
      </c>
      <c r="L39" s="73" t="s">
        <v>406</v>
      </c>
      <c r="M39" s="518">
        <v>22107002</v>
      </c>
      <c r="N39" s="73" t="s">
        <v>334</v>
      </c>
      <c r="O39" s="9" t="s">
        <v>407</v>
      </c>
      <c r="P39" s="9" t="s">
        <v>181</v>
      </c>
      <c r="Q39" s="74" t="s">
        <v>408</v>
      </c>
      <c r="W39" s="89" t="s">
        <v>409</v>
      </c>
    </row>
    <row r="40" spans="1:23">
      <c r="A40" s="69" t="s">
        <v>410</v>
      </c>
      <c r="B40" s="96" t="s">
        <v>411</v>
      </c>
      <c r="C40" s="503">
        <v>25048500</v>
      </c>
      <c r="D40" s="8" t="s">
        <v>412</v>
      </c>
      <c r="L40" s="355" t="s">
        <v>413</v>
      </c>
      <c r="M40" s="511">
        <v>42619903</v>
      </c>
      <c r="N40" s="69" t="s">
        <v>414</v>
      </c>
      <c r="O40" s="8" t="s">
        <v>343</v>
      </c>
      <c r="P40" s="8" t="s">
        <v>415</v>
      </c>
      <c r="Q40" s="57" t="s">
        <v>345</v>
      </c>
      <c r="W40" s="8" t="s">
        <v>416</v>
      </c>
    </row>
    <row r="41" spans="1:23">
      <c r="A41" s="69" t="s">
        <v>203</v>
      </c>
      <c r="B41" s="97" t="s">
        <v>417</v>
      </c>
      <c r="C41" s="503">
        <v>90021000</v>
      </c>
      <c r="D41" s="8" t="s">
        <v>418</v>
      </c>
      <c r="L41" s="356" t="s">
        <v>419</v>
      </c>
      <c r="M41" s="520">
        <v>131</v>
      </c>
      <c r="N41" s="69" t="s">
        <v>414</v>
      </c>
      <c r="O41" s="8" t="s">
        <v>420</v>
      </c>
      <c r="P41" s="8" t="s">
        <v>421</v>
      </c>
      <c r="Q41" s="57" t="s">
        <v>345</v>
      </c>
    </row>
    <row r="42" spans="1:23">
      <c r="A42" s="69" t="s">
        <v>164</v>
      </c>
      <c r="B42" s="97" t="s">
        <v>422</v>
      </c>
      <c r="C42" s="503">
        <v>90014400</v>
      </c>
      <c r="D42" s="8" t="s">
        <v>368</v>
      </c>
      <c r="L42" s="73" t="s">
        <v>423</v>
      </c>
      <c r="M42" s="511">
        <v>27084300</v>
      </c>
      <c r="N42" s="69" t="s">
        <v>414</v>
      </c>
      <c r="O42" s="8" t="s">
        <v>377</v>
      </c>
      <c r="P42" s="8" t="s">
        <v>424</v>
      </c>
      <c r="Q42" s="57" t="s">
        <v>379</v>
      </c>
    </row>
    <row r="43" spans="1:23">
      <c r="A43" s="69" t="s">
        <v>167</v>
      </c>
      <c r="B43" s="97" t="s">
        <v>425</v>
      </c>
      <c r="C43" s="503">
        <v>90017000</v>
      </c>
      <c r="D43" s="8" t="s">
        <v>368</v>
      </c>
      <c r="L43" s="103" t="s">
        <v>426</v>
      </c>
      <c r="M43" s="511">
        <v>1111111111</v>
      </c>
      <c r="N43" s="69" t="s">
        <v>414</v>
      </c>
      <c r="O43" s="8" t="s">
        <v>361</v>
      </c>
      <c r="P43" s="8" t="s">
        <v>427</v>
      </c>
      <c r="Q43" s="57" t="s">
        <v>294</v>
      </c>
    </row>
    <row r="44" spans="1:23">
      <c r="A44" s="69" t="s">
        <v>175</v>
      </c>
      <c r="B44" s="97" t="s">
        <v>428</v>
      </c>
      <c r="C44" s="503">
        <v>91017200</v>
      </c>
      <c r="D44" s="8" t="s">
        <v>251</v>
      </c>
      <c r="L44" s="73" t="s">
        <v>429</v>
      </c>
      <c r="M44" s="511" t="s">
        <v>430</v>
      </c>
      <c r="N44" s="69" t="s">
        <v>414</v>
      </c>
      <c r="O44" s="8" t="s">
        <v>431</v>
      </c>
      <c r="P44" s="8" t="s">
        <v>432</v>
      </c>
      <c r="Q44" s="57" t="s">
        <v>300</v>
      </c>
    </row>
    <row r="45" spans="1:23">
      <c r="A45" s="69" t="s">
        <v>181</v>
      </c>
      <c r="B45" s="97" t="s">
        <v>433</v>
      </c>
      <c r="C45" s="503">
        <v>90016700</v>
      </c>
      <c r="D45" s="8" t="s">
        <v>434</v>
      </c>
      <c r="L45" s="73" t="s">
        <v>435</v>
      </c>
      <c r="M45" s="511">
        <v>25566103</v>
      </c>
      <c r="N45" s="69" t="s">
        <v>414</v>
      </c>
      <c r="O45" s="8" t="s">
        <v>436</v>
      </c>
      <c r="P45" s="8" t="s">
        <v>437</v>
      </c>
      <c r="Q45" s="57" t="s">
        <v>271</v>
      </c>
    </row>
    <row r="46" spans="1:23">
      <c r="A46" s="69" t="s">
        <v>36</v>
      </c>
      <c r="B46" s="97" t="s">
        <v>438</v>
      </c>
      <c r="C46" s="503">
        <v>92002200</v>
      </c>
      <c r="D46" s="8" t="s">
        <v>439</v>
      </c>
      <c r="L46" s="77" t="s">
        <v>332</v>
      </c>
      <c r="M46" s="511" t="s">
        <v>333</v>
      </c>
      <c r="N46" s="69" t="s">
        <v>414</v>
      </c>
      <c r="O46" s="8" t="s">
        <v>440</v>
      </c>
      <c r="P46" s="8" t="s">
        <v>441</v>
      </c>
      <c r="Q46" s="57" t="s">
        <v>325</v>
      </c>
    </row>
    <row r="47" spans="1:23">
      <c r="A47" s="69" t="s">
        <v>215</v>
      </c>
      <c r="B47" s="97" t="s">
        <v>442</v>
      </c>
      <c r="C47" s="503">
        <v>90012300</v>
      </c>
      <c r="D47" s="8" t="s">
        <v>307</v>
      </c>
      <c r="L47" s="77" t="s">
        <v>443</v>
      </c>
      <c r="M47" s="511" t="s">
        <v>444</v>
      </c>
      <c r="N47" s="69" t="s">
        <v>414</v>
      </c>
      <c r="O47" s="8" t="s">
        <v>445</v>
      </c>
      <c r="P47" s="8" t="s">
        <v>446</v>
      </c>
      <c r="Q47" s="57" t="s">
        <v>254</v>
      </c>
    </row>
    <row r="48" spans="1:23">
      <c r="A48" s="69" t="s">
        <v>201</v>
      </c>
      <c r="B48" s="97" t="s">
        <v>447</v>
      </c>
      <c r="C48" s="503">
        <v>90017100</v>
      </c>
      <c r="D48" s="8" t="s">
        <v>228</v>
      </c>
      <c r="L48" s="73" t="s">
        <v>448</v>
      </c>
      <c r="M48" s="511">
        <v>42524701</v>
      </c>
      <c r="N48" s="73" t="s">
        <v>414</v>
      </c>
      <c r="O48" s="9" t="s">
        <v>348</v>
      </c>
      <c r="P48" s="9" t="s">
        <v>449</v>
      </c>
      <c r="Q48" s="74" t="s">
        <v>305</v>
      </c>
    </row>
    <row r="49" spans="1:13">
      <c r="A49" s="69" t="s">
        <v>162</v>
      </c>
      <c r="B49" s="97" t="s">
        <v>145</v>
      </c>
      <c r="C49" s="503">
        <v>91017500</v>
      </c>
      <c r="D49" s="8" t="s">
        <v>251</v>
      </c>
      <c r="L49" s="73" t="s">
        <v>450</v>
      </c>
      <c r="M49" s="511">
        <v>22222</v>
      </c>
    </row>
    <row r="50" spans="1:13">
      <c r="A50" s="69" t="s">
        <v>176</v>
      </c>
      <c r="B50" s="97" t="s">
        <v>299</v>
      </c>
      <c r="C50" s="503">
        <v>9510600</v>
      </c>
      <c r="D50" s="8" t="s">
        <v>451</v>
      </c>
      <c r="L50" s="73" t="s">
        <v>177</v>
      </c>
      <c r="M50" s="511">
        <v>119640</v>
      </c>
    </row>
    <row r="51" spans="1:13">
      <c r="A51" s="69" t="s">
        <v>178</v>
      </c>
      <c r="B51" s="97" t="s">
        <v>178</v>
      </c>
      <c r="C51" s="503">
        <v>90038200</v>
      </c>
      <c r="D51" s="8" t="s">
        <v>452</v>
      </c>
      <c r="L51" s="73" t="s">
        <v>173</v>
      </c>
      <c r="M51" s="511">
        <v>261427</v>
      </c>
    </row>
    <row r="52" spans="1:13">
      <c r="A52" s="69" t="s">
        <v>152</v>
      </c>
      <c r="B52" s="97" t="s">
        <v>453</v>
      </c>
      <c r="C52" s="503">
        <v>90016900</v>
      </c>
      <c r="D52" s="8" t="s">
        <v>228</v>
      </c>
      <c r="L52" s="73" t="s">
        <v>174</v>
      </c>
      <c r="M52" s="511">
        <v>112741</v>
      </c>
    </row>
    <row r="53" spans="1:13">
      <c r="A53" s="69" t="s">
        <v>397</v>
      </c>
      <c r="B53" s="97" t="s">
        <v>454</v>
      </c>
      <c r="C53" s="503">
        <v>90018400</v>
      </c>
      <c r="D53" s="8" t="s">
        <v>228</v>
      </c>
      <c r="L53" s="73" t="s">
        <v>188</v>
      </c>
      <c r="M53" s="521">
        <v>29159</v>
      </c>
    </row>
    <row r="54" spans="1:13">
      <c r="A54" s="69" t="s">
        <v>179</v>
      </c>
      <c r="B54" s="97" t="s">
        <v>455</v>
      </c>
      <c r="C54" s="522">
        <v>900383</v>
      </c>
      <c r="D54" s="8" t="s">
        <v>452</v>
      </c>
      <c r="L54" s="73" t="s">
        <v>183</v>
      </c>
      <c r="M54" s="523">
        <v>222222</v>
      </c>
    </row>
    <row r="55" spans="1:13">
      <c r="A55" s="69" t="s">
        <v>172</v>
      </c>
      <c r="B55" s="97" t="s">
        <v>456</v>
      </c>
      <c r="C55" s="503">
        <v>91017300</v>
      </c>
      <c r="D55" s="8" t="s">
        <v>251</v>
      </c>
      <c r="L55" s="73" t="s">
        <v>191</v>
      </c>
      <c r="M55" s="511">
        <v>333333</v>
      </c>
    </row>
    <row r="56" spans="1:13" ht="17.850000000000001" customHeight="1">
      <c r="A56" s="69" t="s">
        <v>409</v>
      </c>
      <c r="B56" s="97" t="s">
        <v>363</v>
      </c>
      <c r="C56" s="503">
        <v>90030100</v>
      </c>
      <c r="D56" s="8" t="s">
        <v>347</v>
      </c>
    </row>
    <row r="57" spans="1:13">
      <c r="A57" s="73" t="s">
        <v>416</v>
      </c>
      <c r="B57" s="357" t="s">
        <v>457</v>
      </c>
      <c r="C57" s="524">
        <v>90030000</v>
      </c>
      <c r="D57" s="8" t="s">
        <v>347</v>
      </c>
    </row>
    <row r="58" spans="1:13">
      <c r="A58" s="73" t="s">
        <v>410</v>
      </c>
      <c r="B58" s="372" t="s">
        <v>458</v>
      </c>
      <c r="C58" s="524">
        <v>25048500</v>
      </c>
      <c r="D58" s="74" t="s">
        <v>412</v>
      </c>
    </row>
    <row r="59" spans="1:13">
      <c r="A59" s="73" t="s">
        <v>146</v>
      </c>
      <c r="B59" s="372" t="s">
        <v>459</v>
      </c>
      <c r="C59" s="524">
        <v>90101300</v>
      </c>
      <c r="D59" s="74" t="s">
        <v>382</v>
      </c>
    </row>
    <row r="106" spans="6:6">
      <c r="F106" s="47"/>
    </row>
    <row r="107" spans="6:6">
      <c r="F107" s="47"/>
    </row>
    <row r="108" spans="6:6">
      <c r="F108" s="47"/>
    </row>
    <row r="109" spans="6:6">
      <c r="F109" s="47"/>
    </row>
    <row r="110" spans="6:6">
      <c r="F110" s="47"/>
    </row>
    <row r="111" spans="6:6">
      <c r="F111" s="47"/>
    </row>
  </sheetData>
  <dataValidations count="2">
    <dataValidation type="list" allowBlank="1" showInputMessage="1" showErrorMessage="1" sqref="L41" xr:uid="{00000000-0002-0000-0800-000000000000}">
      <formula1>AILNname</formula1>
    </dataValidation>
    <dataValidation type="list" allowBlank="1" showInputMessage="1" showErrorMessage="1" sqref="L43 L49" xr:uid="{00000000-0002-0000-0800-000001000000}">
      <formula1>shippername</formula1>
    </dataValidation>
  </dataValidations>
  <pageMargins left="0.7" right="0.7" top="0.75" bottom="0.75" header="0.3" footer="0.3"/>
  <pageSetup paperSize="9" orientation="portrait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theme="4" tint="0.59999389629810485"/>
  </sheetPr>
  <dimension ref="A1:D55"/>
  <sheetViews>
    <sheetView workbookViewId="0">
      <pane ySplit="1" topLeftCell="A2" activePane="bottomLeft" state="frozen"/>
      <selection pane="bottomLeft" activeCell="B28" sqref="B28"/>
    </sheetView>
  </sheetViews>
  <sheetFormatPr baseColWidth="10" defaultColWidth="11.44140625" defaultRowHeight="14.4"/>
  <cols>
    <col min="1" max="1" width="18.44140625" style="48" customWidth="1"/>
    <col min="2" max="2" width="23" style="48" customWidth="1"/>
    <col min="3" max="3" width="13.44140625" style="48" customWidth="1"/>
    <col min="4" max="4" width="19.44140625" style="48" customWidth="1"/>
  </cols>
  <sheetData>
    <row r="1" spans="1:4" ht="43.35" customHeight="1">
      <c r="A1" s="111" t="s">
        <v>99</v>
      </c>
      <c r="B1" s="138" t="s">
        <v>460</v>
      </c>
      <c r="C1" s="139" t="s">
        <v>195</v>
      </c>
      <c r="D1" s="140" t="s">
        <v>41</v>
      </c>
    </row>
    <row r="2" spans="1:4">
      <c r="A2" s="5">
        <v>2</v>
      </c>
      <c r="B2" s="5">
        <v>3</v>
      </c>
      <c r="C2" s="243">
        <v>4</v>
      </c>
      <c r="D2" s="244">
        <v>5</v>
      </c>
    </row>
    <row r="3" spans="1:4">
      <c r="A3" s="245" t="str">
        <f>VLOOKUP(Tableau6[[#This Row],[Name]],Tableau10[],4,FALSE)</f>
        <v>ALGERIA</v>
      </c>
      <c r="B3" s="182" t="s">
        <v>203</v>
      </c>
      <c r="C3" s="245">
        <f>VLOOKUP(Tableau6[[#This Row],[Name]],Tableau10[],3,FALSE)</f>
        <v>90021000</v>
      </c>
      <c r="D3" s="219">
        <v>7</v>
      </c>
    </row>
    <row r="4" spans="1:4">
      <c r="A4" s="245" t="str">
        <f>VLOOKUP(Tableau6[[#This Row],[Name]],Tableau10[],4,FALSE)</f>
        <v>ARGENTINA</v>
      </c>
      <c r="B4" s="182" t="s">
        <v>169</v>
      </c>
      <c r="C4" s="245">
        <f>VLOOKUP(Tableau6[[#This Row],[Name]],Tableau10[],3,FALSE)</f>
        <v>90016000</v>
      </c>
      <c r="D4" s="219">
        <v>7</v>
      </c>
    </row>
    <row r="5" spans="1:4">
      <c r="A5" s="245" t="str">
        <f>VLOOKUP(Tableau6[[#This Row],[Name]],Tableau10[],4,FALSE)</f>
        <v>BRAZIL</v>
      </c>
      <c r="B5" s="182" t="s">
        <v>182</v>
      </c>
      <c r="C5" s="245">
        <f>VLOOKUP(Tableau6[[#This Row],[Name]],Tableau10[],3,FALSE)</f>
        <v>90018000</v>
      </c>
      <c r="D5" s="219">
        <v>7</v>
      </c>
    </row>
    <row r="6" spans="1:4">
      <c r="A6" s="245" t="str">
        <f>VLOOKUP(Tableau6[[#This Row],[Name]],Tableau10[],4,FALSE)</f>
        <v>BRAZIL</v>
      </c>
      <c r="B6" s="182" t="s">
        <v>168</v>
      </c>
      <c r="C6" s="245">
        <f>VLOOKUP(Tableau6[[#This Row],[Name]],Tableau10[],3,FALSE)</f>
        <v>90018600</v>
      </c>
      <c r="D6" s="219">
        <v>7</v>
      </c>
    </row>
    <row r="7" spans="1:4">
      <c r="A7" s="245" t="str">
        <f>VLOOKUP(Tableau6[[#This Row],[Name]],Tableau10[],4,FALSE)</f>
        <v>BRAZIL</v>
      </c>
      <c r="B7" s="182" t="s">
        <v>398</v>
      </c>
      <c r="C7" s="245">
        <f>VLOOKUP(Tableau6[[#This Row],[Name]],Tableau10[],3,FALSE)</f>
        <v>28750500</v>
      </c>
      <c r="D7" s="219">
        <v>7</v>
      </c>
    </row>
    <row r="8" spans="1:4">
      <c r="A8" s="245" t="str">
        <f>VLOOKUP(Tableau6[[#This Row],[Name]],Tableau10[],4,FALSE)</f>
        <v>BRAZIL</v>
      </c>
      <c r="B8" s="182" t="s">
        <v>211</v>
      </c>
      <c r="C8" s="245">
        <f>VLOOKUP(Tableau6[[#This Row],[Name]],Tableau10[],3,FALSE)</f>
        <v>90018500</v>
      </c>
      <c r="D8" s="219">
        <v>7</v>
      </c>
    </row>
    <row r="9" spans="1:4">
      <c r="A9" s="245" t="str">
        <f>VLOOKUP(Tableau6[[#This Row],[Name]],Tableau10[],4,FALSE)</f>
        <v>CHILE</v>
      </c>
      <c r="B9" s="182" t="s">
        <v>138</v>
      </c>
      <c r="C9" s="245">
        <f>VLOOKUP(Tableau6[[#This Row],[Name]],Tableau10[],3,FALSE)</f>
        <v>90009500</v>
      </c>
      <c r="D9" s="219">
        <v>7</v>
      </c>
    </row>
    <row r="10" spans="1:4">
      <c r="A10" s="245" t="str">
        <f>VLOOKUP(Tableau6[[#This Row],[Name]],Tableau10[],4,FALSE)</f>
        <v>CHINA</v>
      </c>
      <c r="B10" s="182" t="s">
        <v>315</v>
      </c>
      <c r="C10" s="245">
        <f>VLOOKUP(Tableau6[[#This Row],[Name]],Tableau10[],3,FALSE)</f>
        <v>0</v>
      </c>
      <c r="D10" s="219">
        <v>7</v>
      </c>
    </row>
    <row r="11" spans="1:4">
      <c r="A11" s="245" t="str">
        <f>VLOOKUP(Tableau6[[#This Row],[Name]],Tableau10[],4,FALSE)</f>
        <v>COLOMBIA</v>
      </c>
      <c r="B11" s="182" t="s">
        <v>176</v>
      </c>
      <c r="C11" s="245">
        <f>VLOOKUP(Tableau6[[#This Row],[Name]],Tableau10[],3,FALSE)</f>
        <v>9510600</v>
      </c>
      <c r="D11" s="219">
        <v>7</v>
      </c>
    </row>
    <row r="12" spans="1:4">
      <c r="A12" s="245" t="str">
        <f>VLOOKUP(Tableau6[[#This Row],[Name]],Tableau10[],4,FALSE)</f>
        <v>EGYPT</v>
      </c>
      <c r="B12" s="182" t="s">
        <v>402</v>
      </c>
      <c r="C12" s="245">
        <f>VLOOKUP(Tableau6[[#This Row],[Name]],Tableau10[],3,FALSE)</f>
        <v>0</v>
      </c>
      <c r="D12" s="219">
        <v>7</v>
      </c>
    </row>
    <row r="13" spans="1:4">
      <c r="A13" s="245" t="str">
        <f>VLOOKUP(Tableau6[[#This Row],[Name]],Tableau10[],4,FALSE)</f>
        <v>FRANCE</v>
      </c>
      <c r="B13" s="182" t="s">
        <v>189</v>
      </c>
      <c r="C13" s="245">
        <f>VLOOKUP(Tableau6[[#This Row],[Name]],Tableau10[],3,FALSE)</f>
        <v>90019100</v>
      </c>
      <c r="D13" s="219">
        <v>7</v>
      </c>
    </row>
    <row r="14" spans="1:4">
      <c r="A14" s="245" t="str">
        <f>VLOOKUP(Tableau6[[#This Row],[Name]],Tableau10[],4,FALSE)</f>
        <v>FRANCE</v>
      </c>
      <c r="B14" s="182" t="s">
        <v>236</v>
      </c>
      <c r="C14" s="426">
        <f>VLOOKUP(Tableau6[[#This Row],[Name]],Tableau10[],3,FALSE)</f>
        <v>9624700</v>
      </c>
      <c r="D14" s="427">
        <v>7</v>
      </c>
    </row>
    <row r="15" spans="1:4">
      <c r="A15" s="245" t="str">
        <f>VLOOKUP(Tableau6[[#This Row],[Name]],Tableau10[],4,FALSE)</f>
        <v>FRANCE</v>
      </c>
      <c r="B15" s="182" t="s">
        <v>187</v>
      </c>
      <c r="C15" s="245">
        <f>VLOOKUP(Tableau6[[#This Row],[Name]],Tableau10[],3,FALSE)</f>
        <v>90015100</v>
      </c>
      <c r="D15" s="219">
        <v>7</v>
      </c>
    </row>
    <row r="16" spans="1:4">
      <c r="A16" s="245" t="str">
        <f>VLOOKUP(Tableau6[[#This Row],[Name]],Tableau10[],4,FALSE)</f>
        <v>FRANCE</v>
      </c>
      <c r="B16" s="182" t="s">
        <v>184</v>
      </c>
      <c r="C16" s="245">
        <f>VLOOKUP(Tableau6[[#This Row],[Name]],Tableau10[],3,FALSE)</f>
        <v>92000100</v>
      </c>
      <c r="D16" s="219">
        <v>7</v>
      </c>
    </row>
    <row r="17" spans="1:4">
      <c r="A17" s="245" t="str">
        <f>VLOOKUP(Tableau6[[#This Row],[Name]],Tableau10[],4,FALSE)</f>
        <v>FRANCE</v>
      </c>
      <c r="B17" s="182" t="s">
        <v>1</v>
      </c>
      <c r="C17" s="245">
        <f>VLOOKUP(Tableau6[[#This Row],[Name]],Tableau10[],3,FALSE)</f>
        <v>90016600</v>
      </c>
      <c r="D17" s="219">
        <v>7</v>
      </c>
    </row>
    <row r="18" spans="1:4">
      <c r="A18" s="245" t="str">
        <f>VLOOKUP(Tableau6[[#This Row],[Name]],Tableau10[],4,FALSE)</f>
        <v>FRANCE</v>
      </c>
      <c r="B18" s="182" t="s">
        <v>397</v>
      </c>
      <c r="C18" s="245">
        <f>VLOOKUP(Tableau6[[#This Row],[Name]],Tableau10[],3,FALSE)</f>
        <v>90018400</v>
      </c>
      <c r="D18" s="219">
        <v>7</v>
      </c>
    </row>
    <row r="19" spans="1:4">
      <c r="A19" s="245" t="str">
        <f>VLOOKUP(Tableau6[[#This Row],[Name]],Tableau10[],4,FALSE)</f>
        <v>FRANCE</v>
      </c>
      <c r="B19" s="182" t="s">
        <v>201</v>
      </c>
      <c r="C19" s="245">
        <f>VLOOKUP(Tableau6[[#This Row],[Name]],Tableau10[],3,FALSE)</f>
        <v>90017100</v>
      </c>
      <c r="D19" s="219">
        <v>7</v>
      </c>
    </row>
    <row r="20" spans="1:4">
      <c r="A20" s="245" t="str">
        <f>VLOOKUP(Tableau6[[#This Row],[Name]],Tableau10[],4,FALSE)</f>
        <v>FRANCE</v>
      </c>
      <c r="B20" s="182" t="s">
        <v>185</v>
      </c>
      <c r="C20" s="245">
        <f>VLOOKUP(Tableau6[[#This Row],[Name]],Tableau10[],3,FALSE)</f>
        <v>90016200</v>
      </c>
      <c r="D20" s="219">
        <v>7</v>
      </c>
    </row>
    <row r="21" spans="1:4">
      <c r="A21" s="245" t="str">
        <f>VLOOKUP(Tableau6[[#This Row],[Name]],Tableau10[],4,FALSE)</f>
        <v>FRANCE</v>
      </c>
      <c r="B21" s="182" t="s">
        <v>186</v>
      </c>
      <c r="C21" s="245">
        <f>VLOOKUP(Tableau6[[#This Row],[Name]],Tableau10[],3,FALSE)</f>
        <v>90018300</v>
      </c>
      <c r="D21" s="219">
        <v>7</v>
      </c>
    </row>
    <row r="22" spans="1:4">
      <c r="A22" s="245" t="str">
        <f>VLOOKUP(Tableau6[[#This Row],[Name]],Tableau10[],4,FALSE)</f>
        <v>FRANCE</v>
      </c>
      <c r="B22" s="182" t="s">
        <v>152</v>
      </c>
      <c r="C22" s="245">
        <f>VLOOKUP(Tableau6[[#This Row],[Name]],Tableau10[],3,FALSE)</f>
        <v>90016900</v>
      </c>
      <c r="D22" s="219">
        <v>7</v>
      </c>
    </row>
    <row r="23" spans="1:4">
      <c r="A23" s="245" t="str">
        <f>VLOOKUP(Tableau6[[#This Row],[Name]],Tableau10[],4,FALSE)</f>
        <v>INDIA</v>
      </c>
      <c r="B23" s="182" t="s">
        <v>257</v>
      </c>
      <c r="C23" s="245">
        <f>VLOOKUP(Tableau6[[#This Row],[Name]],Tableau10[],3,FALSE)</f>
        <v>26549500</v>
      </c>
      <c r="D23" s="219">
        <v>7</v>
      </c>
    </row>
    <row r="24" spans="1:4">
      <c r="A24" s="245" t="str">
        <f>VLOOKUP(Tableau6[[#This Row],[Name]],Tableau10[],4,FALSE)</f>
        <v>INDIA</v>
      </c>
      <c r="B24" s="8" t="s">
        <v>265</v>
      </c>
      <c r="C24" s="426">
        <f>VLOOKUP(Tableau6[[#This Row],[Name]],Tableau10[],3,FALSE)</f>
        <v>26549502</v>
      </c>
      <c r="D24" s="427">
        <v>7</v>
      </c>
    </row>
    <row r="25" spans="1:4">
      <c r="A25" s="245" t="str">
        <f>VLOOKUP(Tableau6[[#This Row],[Name]],Tableau10[],4,FALSE)</f>
        <v>INDIA</v>
      </c>
      <c r="B25" s="182" t="s">
        <v>341</v>
      </c>
      <c r="C25" s="245">
        <f>VLOOKUP(Tableau6[[#This Row],[Name]],Tableau10[],3,FALSE)</f>
        <v>92049500</v>
      </c>
      <c r="D25" s="219">
        <v>7</v>
      </c>
    </row>
    <row r="26" spans="1:4">
      <c r="A26" s="245" t="str">
        <f>VLOOKUP(Tableau6[[#This Row],[Name]],Tableau10[],4,FALSE)</f>
        <v>JAPAN</v>
      </c>
      <c r="B26" s="182" t="s">
        <v>350</v>
      </c>
      <c r="C26" s="245">
        <f>VLOOKUP(Tableau6[[#This Row],[Name]],Tableau10[],3,FALSE)</f>
        <v>0</v>
      </c>
      <c r="D26" s="219">
        <v>7</v>
      </c>
    </row>
    <row r="27" spans="1:4">
      <c r="A27" s="245" t="str">
        <f>VLOOKUP(Tableau6[[#This Row],[Name]],Tableau10[],4,FALSE)</f>
        <v>JAPAN</v>
      </c>
      <c r="B27" s="182" t="s">
        <v>355</v>
      </c>
      <c r="C27" s="245">
        <f>VLOOKUP(Tableau6[[#This Row],[Name]],Tableau10[],3,FALSE)</f>
        <v>0</v>
      </c>
      <c r="D27" s="219">
        <v>7</v>
      </c>
    </row>
    <row r="28" spans="1:4">
      <c r="A28" s="245" t="str">
        <f>VLOOKUP(Tableau6[[#This Row],[Name]],Tableau10[],4,FALSE)</f>
        <v>JAPAN</v>
      </c>
      <c r="B28" s="182" t="s">
        <v>360</v>
      </c>
      <c r="C28" s="245">
        <f>VLOOKUP(Tableau6[[#This Row],[Name]],Tableau10[],3,FALSE)</f>
        <v>2915900</v>
      </c>
      <c r="D28" s="219">
        <v>7</v>
      </c>
    </row>
    <row r="29" spans="1:4">
      <c r="A29" s="245" t="str">
        <f>VLOOKUP(Tableau6[[#This Row],[Name]],Tableau10[],4,FALSE)</f>
        <v>JAPAN</v>
      </c>
      <c r="B29" s="182" t="s">
        <v>352</v>
      </c>
      <c r="C29" s="245">
        <f>VLOOKUP(Tableau6[[#This Row],[Name]],Tableau10[],3,FALSE)</f>
        <v>0</v>
      </c>
      <c r="D29" s="219">
        <v>7</v>
      </c>
    </row>
    <row r="30" spans="1:4">
      <c r="A30" s="245" t="str">
        <f>VLOOKUP(Tableau6[[#This Row],[Name]],Tableau10[],4,FALSE)</f>
        <v>KOREA</v>
      </c>
      <c r="B30" s="182" t="s">
        <v>36</v>
      </c>
      <c r="C30" s="245">
        <f>VLOOKUP(Tableau6[[#This Row],[Name]],Tableau10[],3,FALSE)</f>
        <v>92002200</v>
      </c>
      <c r="D30" s="219">
        <v>7</v>
      </c>
    </row>
    <row r="31" spans="1:4">
      <c r="A31" s="245" t="str">
        <f>VLOOKUP(Tableau6[[#This Row],[Name]],Tableau10[],4,FALSE)</f>
        <v xml:space="preserve">MALAYSIA </v>
      </c>
      <c r="B31" s="182" t="s">
        <v>147</v>
      </c>
      <c r="C31" s="245">
        <f>VLOOKUP(Tableau6[[#This Row],[Name]],Tableau10[],3,FALSE)</f>
        <v>12300</v>
      </c>
      <c r="D31" s="219">
        <v>7</v>
      </c>
    </row>
    <row r="32" spans="1:4">
      <c r="A32" s="245" t="str">
        <f>VLOOKUP(Tableau6[[#This Row],[Name]],Tableau10[],4,FALSE)</f>
        <v>MEXICO</v>
      </c>
      <c r="B32" s="182" t="s">
        <v>140</v>
      </c>
      <c r="C32" s="245">
        <f>VLOOKUP(Tableau6[[#This Row],[Name]],Tableau10[],3,FALSE)</f>
        <v>90101300</v>
      </c>
      <c r="D32" s="219">
        <v>7</v>
      </c>
    </row>
    <row r="33" spans="1:4">
      <c r="A33" s="245" t="str">
        <f>VLOOKUP(Tableau6[[#This Row],[Name]],Tableau10[],4,FALSE)</f>
        <v>MOROCCO</v>
      </c>
      <c r="B33" s="182" t="s">
        <v>179</v>
      </c>
      <c r="C33" s="245">
        <f>VLOOKUP(Tableau6[[#This Row],[Name]],Tableau10[],3,FALSE)</f>
        <v>900383</v>
      </c>
      <c r="D33" s="219">
        <v>7</v>
      </c>
    </row>
    <row r="34" spans="1:4">
      <c r="A34" s="245" t="str">
        <f>VLOOKUP(Tableau6[[#This Row],[Name]],Tableau10[],4,FALSE)</f>
        <v>MOROCCO</v>
      </c>
      <c r="B34" s="182" t="s">
        <v>178</v>
      </c>
      <c r="C34" s="245">
        <f>VLOOKUP(Tableau6[[#This Row],[Name]],Tableau10[],3,FALSE)</f>
        <v>90038200</v>
      </c>
      <c r="D34" s="219">
        <v>7</v>
      </c>
    </row>
    <row r="35" spans="1:4">
      <c r="A35" s="245" t="str">
        <f>VLOOKUP(Tableau6[[#This Row],[Name]],Tableau10[],4,FALSE)</f>
        <v>PORTUGAL</v>
      </c>
      <c r="B35" s="182" t="s">
        <v>160</v>
      </c>
      <c r="C35" s="245">
        <f>VLOOKUP(Tableau6[[#This Row],[Name]],Tableau10[],3,FALSE)</f>
        <v>90016500</v>
      </c>
      <c r="D35" s="219">
        <v>7</v>
      </c>
    </row>
    <row r="36" spans="1:4">
      <c r="A36" s="245" t="str">
        <f>VLOOKUP(Tableau6[[#This Row],[Name]],Tableau10[],4,FALSE)</f>
        <v>ROMANIA</v>
      </c>
      <c r="B36" s="182" t="s">
        <v>180</v>
      </c>
      <c r="C36" s="245">
        <f>VLOOKUP(Tableau6[[#This Row],[Name]],Tableau10[],3,FALSE)</f>
        <v>90016800</v>
      </c>
      <c r="D36" s="219">
        <v>7</v>
      </c>
    </row>
    <row r="37" spans="1:4">
      <c r="A37" s="245" t="str">
        <f>VLOOKUP(Tableau6[[#This Row],[Name]],Tableau10[],4,FALSE)</f>
        <v>ROMANIA</v>
      </c>
      <c r="B37" s="182" t="s">
        <v>165</v>
      </c>
      <c r="C37" s="245">
        <f>VLOOKUP(Tableau6[[#This Row],[Name]],Tableau10[],3,FALSE)</f>
        <v>283900400</v>
      </c>
      <c r="D37" s="219">
        <v>2</v>
      </c>
    </row>
    <row r="38" spans="1:4">
      <c r="A38" s="245" t="str">
        <f>VLOOKUP(Tableau6[[#This Row],[Name]],Tableau10[],4,FALSE)</f>
        <v>ROMANIA</v>
      </c>
      <c r="B38" s="182" t="s">
        <v>156</v>
      </c>
      <c r="C38" s="245">
        <f>VLOOKUP(Tableau6[[#This Row],[Name]],Tableau10[],3,FALSE)</f>
        <v>90012500</v>
      </c>
      <c r="D38" s="219">
        <v>7</v>
      </c>
    </row>
    <row r="39" spans="1:4">
      <c r="A39" s="245" t="str">
        <f>VLOOKUP(Tableau6[[#This Row],[Name]],Tableau10[],4,FALSE)</f>
        <v>ROMANIA</v>
      </c>
      <c r="B39" s="182" t="s">
        <v>215</v>
      </c>
      <c r="C39" s="245">
        <f>VLOOKUP(Tableau6[[#This Row],[Name]],Tableau10[],3,FALSE)</f>
        <v>90012300</v>
      </c>
      <c r="D39" s="219">
        <v>7</v>
      </c>
    </row>
    <row r="40" spans="1:4">
      <c r="A40" s="245" t="str">
        <f>VLOOKUP(Tableau6[[#This Row],[Name]],Tableau10[],4,FALSE)</f>
        <v>RUSSIA</v>
      </c>
      <c r="B40" s="182" t="s">
        <v>336</v>
      </c>
      <c r="C40" s="245">
        <f>VLOOKUP(Tableau6[[#This Row],[Name]],Tableau10[],3,FALSE)</f>
        <v>90030100</v>
      </c>
      <c r="D40" s="219">
        <v>7</v>
      </c>
    </row>
    <row r="41" spans="1:4">
      <c r="A41" s="245" t="str">
        <f>VLOOKUP(Tableau6[[#This Row],[Name]],Tableau10[],4,FALSE)</f>
        <v>RUSSIA</v>
      </c>
      <c r="B41" s="182" t="s">
        <v>340</v>
      </c>
      <c r="C41" s="245">
        <f>VLOOKUP(Tableau6[[#This Row],[Name]],Tableau10[],3,FALSE)</f>
        <v>90010700</v>
      </c>
      <c r="D41" s="219">
        <v>7</v>
      </c>
    </row>
    <row r="42" spans="1:4">
      <c r="A42" s="245" t="str">
        <f>VLOOKUP(Tableau6[[#This Row],[Name]],Tableau10[],4,FALSE)</f>
        <v>RUSSIA</v>
      </c>
      <c r="B42" s="182" t="s">
        <v>331</v>
      </c>
      <c r="C42" s="245">
        <f>VLOOKUP(Tableau6[[#This Row],[Name]],Tableau10[],3,FALSE)</f>
        <v>90020000</v>
      </c>
      <c r="D42" s="219">
        <v>7</v>
      </c>
    </row>
    <row r="43" spans="1:4">
      <c r="A43" s="245" t="str">
        <f>VLOOKUP(Tableau6[[#This Row],[Name]],Tableau10[],4,FALSE)</f>
        <v>SLOVENIA</v>
      </c>
      <c r="B43" s="182" t="s">
        <v>181</v>
      </c>
      <c r="C43" s="245">
        <f>VLOOKUP(Tableau6[[#This Row],[Name]],Tableau10[],3,FALSE)</f>
        <v>90016700</v>
      </c>
      <c r="D43" s="219">
        <v>7</v>
      </c>
    </row>
    <row r="44" spans="1:4">
      <c r="A44" s="245" t="str">
        <f>VLOOKUP(Tableau6[[#This Row],[Name]],Tableau10[],4,FALSE)</f>
        <v>SOUTH AFRICA</v>
      </c>
      <c r="B44" s="182" t="s">
        <v>391</v>
      </c>
      <c r="C44" s="245">
        <f>VLOOKUP(Tableau6[[#This Row],[Name]],Tableau10[],3,FALSE)</f>
        <v>25079500</v>
      </c>
      <c r="D44" s="219">
        <v>7</v>
      </c>
    </row>
    <row r="45" spans="1:4">
      <c r="A45" s="245" t="str">
        <f>VLOOKUP(Tableau6[[#This Row],[Name]],Tableau10[],4,FALSE)</f>
        <v>SPAIN</v>
      </c>
      <c r="B45" s="182" t="s">
        <v>172</v>
      </c>
      <c r="C45" s="245">
        <f>VLOOKUP(Tableau6[[#This Row],[Name]],Tableau10[],3,FALSE)</f>
        <v>91017300</v>
      </c>
      <c r="D45" s="219">
        <v>7</v>
      </c>
    </row>
    <row r="46" spans="1:4">
      <c r="A46" s="245" t="str">
        <f>VLOOKUP(Tableau6[[#This Row],[Name]],Tableau10[],4,FALSE)</f>
        <v>SPAIN</v>
      </c>
      <c r="B46" s="182" t="s">
        <v>163</v>
      </c>
      <c r="C46" s="245">
        <f>VLOOKUP(Tableau6[[#This Row],[Name]],Tableau10[],3,FALSE)</f>
        <v>91017700</v>
      </c>
      <c r="D46" s="219">
        <v>7</v>
      </c>
    </row>
    <row r="47" spans="1:4">
      <c r="A47" s="245" t="str">
        <f>VLOOKUP(Tableau6[[#This Row],[Name]],Tableau10[],4,FALSE)</f>
        <v>SPAIN</v>
      </c>
      <c r="B47" s="182" t="s">
        <v>144</v>
      </c>
      <c r="C47" s="245">
        <f>VLOOKUP(Tableau6[[#This Row],[Name]],Tableau10[],3,FALSE)</f>
        <v>9101840000</v>
      </c>
      <c r="D47" s="219">
        <v>2</v>
      </c>
    </row>
    <row r="48" spans="1:4">
      <c r="A48" s="245" t="str">
        <f>VLOOKUP(Tableau6[[#This Row],[Name]],Tableau10[],4,FALSE)</f>
        <v>SPAIN</v>
      </c>
      <c r="B48" s="182" t="s">
        <v>175</v>
      </c>
      <c r="C48" s="245">
        <f>VLOOKUP(Tableau6[[#This Row],[Name]],Tableau10[],3,FALSE)</f>
        <v>91017200</v>
      </c>
      <c r="D48" s="219">
        <v>7</v>
      </c>
    </row>
    <row r="49" spans="1:4" ht="14.85" customHeight="1">
      <c r="A49" s="245" t="str">
        <f>VLOOKUP(Tableau6[[#This Row],[Name]],Tableau10[],4,FALSE)</f>
        <v>SPAIN</v>
      </c>
      <c r="B49" s="182" t="s">
        <v>162</v>
      </c>
      <c r="C49" s="245">
        <f>VLOOKUP(Tableau6[[#This Row],[Name]],Tableau10[],3,FALSE)</f>
        <v>91017500</v>
      </c>
      <c r="D49" s="219">
        <v>7</v>
      </c>
    </row>
    <row r="50" spans="1:4">
      <c r="A50" s="245" t="str">
        <f>VLOOKUP(Tableau6[[#This Row],[Name]],Tableau10[],4,FALSE)</f>
        <v>SPAIN</v>
      </c>
      <c r="B50" s="246" t="s">
        <v>214</v>
      </c>
      <c r="C50" s="245">
        <f>VLOOKUP(Tableau6[[#This Row],[Name]],Tableau10[],3,FALSE)</f>
        <v>91017600</v>
      </c>
      <c r="D50" s="219">
        <v>7</v>
      </c>
    </row>
    <row r="51" spans="1:4">
      <c r="A51" s="245" t="str">
        <f>VLOOKUP(Tableau6[[#This Row],[Name]],Tableau10[],4,FALSE)</f>
        <v>THAILAND</v>
      </c>
      <c r="B51" s="182" t="s">
        <v>410</v>
      </c>
      <c r="C51" s="245">
        <f>VLOOKUP(Tableau6[[#This Row],[Name]],Tableau10[],3,FALSE)</f>
        <v>25048500</v>
      </c>
      <c r="D51" s="219">
        <v>7</v>
      </c>
    </row>
    <row r="52" spans="1:4">
      <c r="A52" s="245" t="str">
        <f>VLOOKUP(Tableau6[[#This Row],[Name]],Tableau10[],4,FALSE)</f>
        <v>TURKEY</v>
      </c>
      <c r="B52" s="182" t="s">
        <v>167</v>
      </c>
      <c r="C52" s="245">
        <f>VLOOKUP(Tableau6[[#This Row],[Name]],Tableau10[],3,FALSE)</f>
        <v>90017000</v>
      </c>
      <c r="D52" s="247">
        <v>7</v>
      </c>
    </row>
    <row r="53" spans="1:4">
      <c r="A53" s="245" t="str">
        <f>VLOOKUP(Tableau6[[#This Row],[Name]],Tableau10[],4,FALSE)</f>
        <v>TURKEY</v>
      </c>
      <c r="B53" s="281" t="s">
        <v>164</v>
      </c>
      <c r="C53" s="245">
        <f>VLOOKUP(Tableau6[[#This Row],[Name]],Tableau10[],3,FALSE)</f>
        <v>90014400</v>
      </c>
      <c r="D53" s="247">
        <v>2</v>
      </c>
    </row>
    <row r="54" spans="1:4">
      <c r="A54" s="245" t="str">
        <f>VLOOKUP(Tableau6[[#This Row],[Name]],Tableau10[],4,FALSE)</f>
        <v>TURKEY</v>
      </c>
      <c r="B54" s="281" t="s">
        <v>366</v>
      </c>
      <c r="C54" s="245">
        <f>VLOOKUP(Tableau6[[#This Row],[Name]],Tableau10[],3,FALSE)</f>
        <v>90022000</v>
      </c>
      <c r="D54" s="247">
        <v>7</v>
      </c>
    </row>
    <row r="55" spans="1:4">
      <c r="A55" s="281"/>
      <c r="B55" s="281"/>
      <c r="C55" s="435"/>
      <c r="D55" s="247"/>
    </row>
  </sheetData>
  <dataValidations count="1">
    <dataValidation type="list" allowBlank="1" showInputMessage="1" showErrorMessage="1" sqref="B53:B1048576 B3:B23 B25:B51" xr:uid="{00000000-0002-0000-0900-000000000000}">
      <formula1>plantname</formula1>
    </dataValidation>
  </dataValidations>
  <pageMargins left="0.7" right="0.7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0070C0"/>
  </sheetPr>
  <dimension ref="A1:R78"/>
  <sheetViews>
    <sheetView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O7" sqref="O7"/>
    </sheetView>
  </sheetViews>
  <sheetFormatPr baseColWidth="10" defaultColWidth="9.44140625" defaultRowHeight="21" customHeight="1"/>
  <cols>
    <col min="1" max="2" width="10.44140625" style="1" customWidth="1"/>
    <col min="3" max="3" width="14.44140625" style="207" customWidth="1"/>
    <col min="4" max="4" width="15.44140625" style="207" customWidth="1"/>
    <col min="5" max="5" width="14.44140625" style="1" customWidth="1"/>
    <col min="6" max="6" width="15.44140625" style="1" customWidth="1"/>
    <col min="7" max="7" width="8.44140625" style="1" customWidth="1"/>
    <col min="8" max="8" width="9.44140625" style="1" customWidth="1"/>
    <col min="9" max="9" width="13.44140625" style="1" customWidth="1"/>
    <col min="10" max="10" width="11.44140625" style="1" customWidth="1"/>
    <col min="11" max="12" width="10.44140625" style="1" customWidth="1"/>
    <col min="13" max="13" width="9.44140625" style="1" customWidth="1"/>
    <col min="14" max="14" width="11.44140625" style="1" customWidth="1"/>
    <col min="15" max="15" width="82.109375" style="1" customWidth="1"/>
    <col min="16" max="16" width="23.5546875" style="1" customWidth="1"/>
    <col min="17" max="17" width="13.44140625" style="207" customWidth="1"/>
    <col min="18" max="18" width="17.44140625" style="207" customWidth="1"/>
    <col min="19" max="19" width="9.44140625" style="1" customWidth="1"/>
    <col min="20" max="16384" width="9.44140625" style="1"/>
  </cols>
  <sheetData>
    <row r="1" spans="1:18" s="204" customFormat="1" ht="60.6" customHeight="1">
      <c r="A1" s="201" t="s">
        <v>461</v>
      </c>
      <c r="B1" s="152" t="s">
        <v>462</v>
      </c>
      <c r="C1" s="153" t="s">
        <v>463</v>
      </c>
      <c r="D1" s="153" t="s">
        <v>464</v>
      </c>
      <c r="E1" s="153" t="s">
        <v>110</v>
      </c>
      <c r="F1" s="153" t="s">
        <v>111</v>
      </c>
      <c r="G1" s="153" t="s">
        <v>465</v>
      </c>
      <c r="H1" s="153" t="s">
        <v>113</v>
      </c>
      <c r="I1" s="153" t="s">
        <v>115</v>
      </c>
      <c r="J1" s="153" t="s">
        <v>116</v>
      </c>
      <c r="K1" s="153" t="s">
        <v>117</v>
      </c>
      <c r="L1" s="153" t="s">
        <v>466</v>
      </c>
      <c r="M1" s="153" t="s">
        <v>467</v>
      </c>
      <c r="N1" s="413" t="s">
        <v>119</v>
      </c>
      <c r="O1" s="414" t="s">
        <v>196</v>
      </c>
      <c r="P1" s="415" t="s">
        <v>130</v>
      </c>
      <c r="Q1" s="415" t="s">
        <v>468</v>
      </c>
      <c r="R1" s="207" t="s">
        <v>469</v>
      </c>
    </row>
    <row r="2" spans="1:18" s="204" customFormat="1" ht="21" customHeight="1">
      <c r="A2" s="5">
        <v>0</v>
      </c>
      <c r="B2" s="5"/>
      <c r="C2" s="5"/>
      <c r="D2" s="5"/>
      <c r="E2" s="5">
        <v>18</v>
      </c>
      <c r="F2" s="5">
        <v>19</v>
      </c>
      <c r="G2" s="5">
        <v>20</v>
      </c>
      <c r="H2" s="5">
        <v>21</v>
      </c>
      <c r="I2" s="5">
        <v>22</v>
      </c>
      <c r="J2" s="5">
        <v>23</v>
      </c>
      <c r="K2" s="5">
        <v>24</v>
      </c>
      <c r="L2" s="5">
        <v>25</v>
      </c>
      <c r="M2" s="5"/>
      <c r="N2" s="5">
        <v>26</v>
      </c>
      <c r="O2" s="5">
        <v>38</v>
      </c>
      <c r="P2" s="5">
        <v>39</v>
      </c>
      <c r="Q2" s="416"/>
    </row>
    <row r="3" spans="1:18" ht="21" customHeight="1">
      <c r="A3" s="417" t="str">
        <f t="shared" ref="A3:A34" ca="1" si="0">_xlfn.CONCAT(B3,"-",M3)</f>
        <v>120-Actif</v>
      </c>
      <c r="B3" s="205">
        <v>120</v>
      </c>
      <c r="C3" s="412">
        <v>45778</v>
      </c>
      <c r="D3" s="412">
        <v>46142</v>
      </c>
      <c r="E3" s="205" t="s">
        <v>470</v>
      </c>
      <c r="F3" s="205" t="s">
        <v>276</v>
      </c>
      <c r="G3" s="205">
        <v>5</v>
      </c>
      <c r="H3" s="205">
        <v>7</v>
      </c>
      <c r="I3" s="205">
        <v>66</v>
      </c>
      <c r="J3" s="205" t="s">
        <v>471</v>
      </c>
      <c r="K3" s="205">
        <v>3</v>
      </c>
      <c r="L3" s="205">
        <v>7</v>
      </c>
      <c r="M3" s="3" t="str">
        <f ca="1">IF(AND(C3&lt;=TODAY(),D3&gt;TODAY()),"Actif",IF(C3&gt;TODAY(),"Next","Inactif"))</f>
        <v>Actif</v>
      </c>
      <c r="N3" s="205" t="s">
        <v>472</v>
      </c>
      <c r="O3" s="373" t="s">
        <v>473</v>
      </c>
      <c r="P3" s="373" t="s">
        <v>474</v>
      </c>
      <c r="Q3" s="205">
        <v>10</v>
      </c>
      <c r="R3" s="207" t="s">
        <v>475</v>
      </c>
    </row>
    <row r="4" spans="1:18" ht="21" customHeight="1">
      <c r="A4" s="417" t="str">
        <f t="shared" ca="1" si="0"/>
        <v>121-Actif</v>
      </c>
      <c r="B4" s="205">
        <v>121</v>
      </c>
      <c r="C4" s="412">
        <v>45778</v>
      </c>
      <c r="D4" s="412">
        <v>46142</v>
      </c>
      <c r="E4" s="205" t="s">
        <v>476</v>
      </c>
      <c r="F4" s="205" t="s">
        <v>276</v>
      </c>
      <c r="G4" s="205">
        <v>2</v>
      </c>
      <c r="H4" s="205">
        <v>4</v>
      </c>
      <c r="I4" s="205">
        <v>61</v>
      </c>
      <c r="J4" s="205" t="s">
        <v>471</v>
      </c>
      <c r="K4" s="205">
        <v>3</v>
      </c>
      <c r="L4" s="205">
        <v>7</v>
      </c>
      <c r="M4" s="3" t="str">
        <f ca="1">IF(AND(C4&lt;=TODAY(),D4&gt;TODAY()),"Actif",IF(C4&gt;TODAY(),"Next","Inactif"))</f>
        <v>Actif</v>
      </c>
      <c r="N4" s="205" t="s">
        <v>472</v>
      </c>
      <c r="O4" s="373" t="s">
        <v>477</v>
      </c>
      <c r="P4" s="373" t="s">
        <v>474</v>
      </c>
      <c r="Q4" s="205">
        <v>10</v>
      </c>
      <c r="R4" s="207" t="s">
        <v>475</v>
      </c>
    </row>
    <row r="5" spans="1:18" ht="21" customHeight="1">
      <c r="A5" s="417" t="str">
        <f t="shared" ca="1" si="0"/>
        <v>391-Actif</v>
      </c>
      <c r="B5" s="205">
        <v>391</v>
      </c>
      <c r="C5" s="412">
        <v>45778</v>
      </c>
      <c r="D5" s="412">
        <v>46142</v>
      </c>
      <c r="E5" s="205" t="s">
        <v>478</v>
      </c>
      <c r="F5" s="205" t="s">
        <v>282</v>
      </c>
      <c r="G5" s="205">
        <v>2</v>
      </c>
      <c r="H5" s="205">
        <v>5</v>
      </c>
      <c r="I5" s="205">
        <v>6</v>
      </c>
      <c r="J5" s="205" t="s">
        <v>479</v>
      </c>
      <c r="K5" s="205">
        <v>3</v>
      </c>
      <c r="L5" s="205"/>
      <c r="M5" s="3" t="str">
        <f ca="1">IF(AND(C5&lt;=TODAY(),D5&gt;TODAY()),"Actif",IF(C5&gt;TODAY(),"Next","Inactif"))</f>
        <v>Actif</v>
      </c>
      <c r="N5" s="205" t="s">
        <v>472</v>
      </c>
      <c r="O5" s="373" t="s">
        <v>480</v>
      </c>
      <c r="P5" s="373" t="s">
        <v>481</v>
      </c>
      <c r="Q5" s="205"/>
      <c r="R5" s="207" t="s">
        <v>482</v>
      </c>
    </row>
    <row r="6" spans="1:18" ht="21" customHeight="1">
      <c r="A6" s="417" t="str">
        <f t="shared" ca="1" si="0"/>
        <v>398-Actif</v>
      </c>
      <c r="B6" s="205">
        <v>398</v>
      </c>
      <c r="C6" s="412">
        <v>45778</v>
      </c>
      <c r="D6" s="412">
        <v>46142</v>
      </c>
      <c r="E6" s="205" t="s">
        <v>483</v>
      </c>
      <c r="F6" s="205" t="s">
        <v>282</v>
      </c>
      <c r="G6" s="205">
        <v>1</v>
      </c>
      <c r="H6" s="205">
        <v>3</v>
      </c>
      <c r="I6" s="205">
        <v>6</v>
      </c>
      <c r="J6" s="205" t="s">
        <v>479</v>
      </c>
      <c r="K6" s="205">
        <v>3</v>
      </c>
      <c r="L6" s="205"/>
      <c r="M6" s="3" t="str">
        <f ca="1">IF(AND(C6&lt;=TODAY(),D6&gt;TODAY()),"Actif",IF(C6&gt;TODAY(),"Next","Inactif"))</f>
        <v>Actif</v>
      </c>
      <c r="N6" s="205" t="s">
        <v>472</v>
      </c>
      <c r="O6" s="373" t="s">
        <v>480</v>
      </c>
      <c r="P6" s="373" t="s">
        <v>481</v>
      </c>
      <c r="Q6" s="205"/>
      <c r="R6" s="207" t="s">
        <v>482</v>
      </c>
    </row>
    <row r="7" spans="1:18" ht="21" customHeight="1">
      <c r="A7" s="418" t="str">
        <f t="shared" ca="1" si="0"/>
        <v>902-Actif</v>
      </c>
      <c r="B7" s="172">
        <v>902</v>
      </c>
      <c r="C7" s="419">
        <v>45778</v>
      </c>
      <c r="D7" s="419">
        <v>46142</v>
      </c>
      <c r="E7" s="205" t="s">
        <v>479</v>
      </c>
      <c r="F7" s="205" t="s">
        <v>276</v>
      </c>
      <c r="G7" s="205">
        <v>5</v>
      </c>
      <c r="H7" s="205">
        <v>7</v>
      </c>
      <c r="I7" s="205">
        <v>55</v>
      </c>
      <c r="J7" s="205" t="s">
        <v>484</v>
      </c>
      <c r="K7" s="205">
        <v>3</v>
      </c>
      <c r="L7" s="205">
        <v>7</v>
      </c>
      <c r="M7" s="4" t="str">
        <f ca="1">IF(AND(C7&lt;=TODAY(),D7&gt;TODAY()),"Actif",IF(C7&gt;TODAY(),"Next","Inactif"))</f>
        <v>Actif</v>
      </c>
      <c r="N7" s="205" t="s">
        <v>472</v>
      </c>
      <c r="O7" s="373" t="s">
        <v>480</v>
      </c>
      <c r="P7" s="373" t="s">
        <v>474</v>
      </c>
      <c r="Q7" s="205">
        <v>22</v>
      </c>
    </row>
    <row r="8" spans="1:18" ht="21" customHeight="1">
      <c r="A8" s="421" t="str">
        <f t="shared" ca="1" si="0"/>
        <v>1000-Actif</v>
      </c>
      <c r="B8" s="194">
        <v>1000</v>
      </c>
      <c r="C8" s="422">
        <v>45717</v>
      </c>
      <c r="D8" s="422">
        <v>46142</v>
      </c>
      <c r="E8" s="431" t="s">
        <v>485</v>
      </c>
      <c r="F8" s="205" t="s">
        <v>486</v>
      </c>
      <c r="G8" s="431">
        <v>5</v>
      </c>
      <c r="H8" s="423">
        <v>7</v>
      </c>
      <c r="I8" s="198">
        <v>22</v>
      </c>
      <c r="J8" s="198" t="s">
        <v>479</v>
      </c>
      <c r="K8" s="424">
        <v>3</v>
      </c>
      <c r="L8" s="198">
        <v>0</v>
      </c>
      <c r="M8" s="428" t="str">
        <f t="shared" ref="M8:M28" ca="1" si="1">IF(AND(C8&lt;TODAY(),D8&gt;TODAY()),"Actif",IF(C8&gt;TODAY(),"Next","Inactif"))</f>
        <v>Actif</v>
      </c>
      <c r="N8" s="423" t="s">
        <v>256</v>
      </c>
      <c r="O8" s="1" t="s">
        <v>487</v>
      </c>
      <c r="P8" s="373" t="s">
        <v>481</v>
      </c>
    </row>
    <row r="9" spans="1:18" ht="21" customHeight="1">
      <c r="A9" s="421" t="str">
        <f t="shared" ca="1" si="0"/>
        <v>1001-Actif</v>
      </c>
      <c r="B9" s="194">
        <v>1001</v>
      </c>
      <c r="C9" s="422">
        <v>45717</v>
      </c>
      <c r="D9" s="422">
        <v>46142</v>
      </c>
      <c r="E9" s="431" t="s">
        <v>488</v>
      </c>
      <c r="F9" s="205" t="s">
        <v>241</v>
      </c>
      <c r="G9" s="431">
        <v>2</v>
      </c>
      <c r="H9" s="423">
        <v>4</v>
      </c>
      <c r="I9" s="198">
        <v>40</v>
      </c>
      <c r="J9" s="198" t="s">
        <v>489</v>
      </c>
      <c r="K9" s="424">
        <v>3</v>
      </c>
      <c r="L9" s="198">
        <v>0</v>
      </c>
      <c r="M9" s="428" t="str">
        <f t="shared" ca="1" si="1"/>
        <v>Actif</v>
      </c>
      <c r="N9" s="423" t="s">
        <v>256</v>
      </c>
      <c r="O9" s="1" t="s">
        <v>490</v>
      </c>
      <c r="P9" s="373" t="s">
        <v>491</v>
      </c>
    </row>
    <row r="10" spans="1:18" ht="21" customHeight="1">
      <c r="A10" s="418" t="str">
        <f t="shared" ca="1" si="0"/>
        <v>1002-Actif</v>
      </c>
      <c r="B10" s="172">
        <v>1002</v>
      </c>
      <c r="C10" s="422">
        <v>45717</v>
      </c>
      <c r="D10" s="422">
        <v>46142</v>
      </c>
      <c r="E10" s="431" t="s">
        <v>488</v>
      </c>
      <c r="F10" s="205" t="s">
        <v>241</v>
      </c>
      <c r="G10" s="431">
        <v>2</v>
      </c>
      <c r="H10" s="423">
        <v>4</v>
      </c>
      <c r="I10" s="198">
        <v>48</v>
      </c>
      <c r="J10" s="198" t="s">
        <v>492</v>
      </c>
      <c r="K10" s="424">
        <v>3</v>
      </c>
      <c r="L10" s="198">
        <v>0</v>
      </c>
      <c r="M10" s="4" t="str">
        <f t="shared" ca="1" si="1"/>
        <v>Actif</v>
      </c>
      <c r="N10" s="423" t="s">
        <v>256</v>
      </c>
      <c r="O10" s="1" t="s">
        <v>490</v>
      </c>
      <c r="P10" s="373" t="s">
        <v>481</v>
      </c>
    </row>
    <row r="11" spans="1:18" ht="21" customHeight="1">
      <c r="A11" s="421" t="str">
        <f t="shared" ca="1" si="0"/>
        <v>1003-Actif</v>
      </c>
      <c r="B11" s="194">
        <v>1003</v>
      </c>
      <c r="C11" s="422">
        <v>45717</v>
      </c>
      <c r="D11" s="422">
        <v>46142</v>
      </c>
      <c r="E11" s="431" t="s">
        <v>488</v>
      </c>
      <c r="F11" s="205" t="s">
        <v>241</v>
      </c>
      <c r="G11" s="431">
        <v>5</v>
      </c>
      <c r="H11" s="423">
        <v>6</v>
      </c>
      <c r="I11" s="198">
        <v>5</v>
      </c>
      <c r="J11" s="198" t="s">
        <v>479</v>
      </c>
      <c r="K11" s="424">
        <v>3</v>
      </c>
      <c r="L11" s="198">
        <v>0</v>
      </c>
      <c r="M11" s="428" t="str">
        <f t="shared" ca="1" si="1"/>
        <v>Actif</v>
      </c>
      <c r="N11" s="423" t="s">
        <v>256</v>
      </c>
      <c r="O11" s="1" t="s">
        <v>490</v>
      </c>
      <c r="P11" s="373" t="s">
        <v>481</v>
      </c>
    </row>
    <row r="12" spans="1:18" ht="21" customHeight="1">
      <c r="A12" s="418" t="str">
        <f t="shared" ca="1" si="0"/>
        <v>1005-Actif</v>
      </c>
      <c r="B12" s="172">
        <v>1005</v>
      </c>
      <c r="C12" s="422">
        <v>45717</v>
      </c>
      <c r="D12" s="422">
        <v>46142</v>
      </c>
      <c r="E12" s="431" t="s">
        <v>493</v>
      </c>
      <c r="F12" s="205" t="s">
        <v>241</v>
      </c>
      <c r="G12" s="431">
        <v>2</v>
      </c>
      <c r="H12" s="423">
        <v>4</v>
      </c>
      <c r="I12" s="198">
        <v>35</v>
      </c>
      <c r="J12" s="198" t="s">
        <v>494</v>
      </c>
      <c r="K12" s="424">
        <v>3</v>
      </c>
      <c r="L12" s="198">
        <v>7</v>
      </c>
      <c r="M12" s="4" t="str">
        <f t="shared" ca="1" si="1"/>
        <v>Actif</v>
      </c>
      <c r="N12" s="423" t="s">
        <v>256</v>
      </c>
      <c r="O12" s="1" t="s">
        <v>495</v>
      </c>
      <c r="P12" s="373" t="s">
        <v>481</v>
      </c>
    </row>
    <row r="13" spans="1:18" ht="21" customHeight="1">
      <c r="A13" s="421" t="str">
        <f t="shared" ca="1" si="0"/>
        <v>1006-Actif</v>
      </c>
      <c r="B13" s="194">
        <v>1006</v>
      </c>
      <c r="C13" s="422">
        <v>45717</v>
      </c>
      <c r="D13" s="422">
        <v>46142</v>
      </c>
      <c r="E13" s="431" t="s">
        <v>493</v>
      </c>
      <c r="F13" s="205" t="s">
        <v>241</v>
      </c>
      <c r="G13" s="431">
        <v>2</v>
      </c>
      <c r="H13" s="423">
        <v>4</v>
      </c>
      <c r="I13" s="198">
        <v>57</v>
      </c>
      <c r="J13" s="198" t="s">
        <v>496</v>
      </c>
      <c r="K13" s="424">
        <v>3</v>
      </c>
      <c r="L13" s="198">
        <v>0</v>
      </c>
      <c r="M13" s="428" t="str">
        <f t="shared" ca="1" si="1"/>
        <v>Actif</v>
      </c>
      <c r="N13" s="423" t="s">
        <v>256</v>
      </c>
      <c r="O13" s="1" t="s">
        <v>495</v>
      </c>
      <c r="P13" s="373" t="s">
        <v>481</v>
      </c>
      <c r="Q13" s="207">
        <v>16</v>
      </c>
    </row>
    <row r="14" spans="1:18" ht="21" customHeight="1">
      <c r="A14" s="421" t="str">
        <f t="shared" ca="1" si="0"/>
        <v>1007-Actif</v>
      </c>
      <c r="B14" s="194">
        <v>1007</v>
      </c>
      <c r="C14" s="422">
        <v>45717</v>
      </c>
      <c r="D14" s="422">
        <v>46142</v>
      </c>
      <c r="E14" s="431" t="s">
        <v>493</v>
      </c>
      <c r="F14" s="205" t="s">
        <v>282</v>
      </c>
      <c r="G14" s="431">
        <v>6</v>
      </c>
      <c r="H14" s="423">
        <v>7</v>
      </c>
      <c r="I14" s="198">
        <v>44</v>
      </c>
      <c r="J14" s="198" t="s">
        <v>497</v>
      </c>
      <c r="K14" s="424">
        <v>3</v>
      </c>
      <c r="L14" s="198">
        <v>7</v>
      </c>
      <c r="M14" s="428" t="str">
        <f t="shared" ca="1" si="1"/>
        <v>Actif</v>
      </c>
      <c r="N14" s="423" t="s">
        <v>256</v>
      </c>
      <c r="O14" s="1" t="s">
        <v>495</v>
      </c>
      <c r="P14" s="373" t="s">
        <v>481</v>
      </c>
      <c r="Q14" s="207">
        <v>17</v>
      </c>
    </row>
    <row r="15" spans="1:18" ht="21" customHeight="1">
      <c r="A15" s="421" t="str">
        <f t="shared" ca="1" si="0"/>
        <v>1008-Actif</v>
      </c>
      <c r="B15" s="194">
        <v>1008</v>
      </c>
      <c r="C15" s="422">
        <v>45717</v>
      </c>
      <c r="D15" s="422">
        <v>46142</v>
      </c>
      <c r="E15" s="431" t="s">
        <v>493</v>
      </c>
      <c r="F15" s="205" t="s">
        <v>276</v>
      </c>
      <c r="G15" s="431">
        <v>3</v>
      </c>
      <c r="H15" s="423">
        <v>5</v>
      </c>
      <c r="I15" s="198">
        <v>78</v>
      </c>
      <c r="J15" s="198" t="s">
        <v>484</v>
      </c>
      <c r="K15" s="424">
        <v>3</v>
      </c>
      <c r="L15" s="198">
        <v>0</v>
      </c>
      <c r="M15" s="428" t="str">
        <f t="shared" ca="1" si="1"/>
        <v>Actif</v>
      </c>
      <c r="N15" s="423" t="s">
        <v>256</v>
      </c>
      <c r="O15" s="1" t="s">
        <v>495</v>
      </c>
      <c r="P15" s="373" t="s">
        <v>481</v>
      </c>
      <c r="Q15" s="207">
        <v>12</v>
      </c>
    </row>
    <row r="16" spans="1:18" ht="21" customHeight="1">
      <c r="A16" s="421" t="str">
        <f t="shared" ca="1" si="0"/>
        <v>1009-Actif</v>
      </c>
      <c r="B16" s="194">
        <v>1009</v>
      </c>
      <c r="C16" s="422">
        <v>45778</v>
      </c>
      <c r="D16" s="422">
        <v>46142</v>
      </c>
      <c r="E16" s="431" t="s">
        <v>493</v>
      </c>
      <c r="F16" s="205" t="s">
        <v>241</v>
      </c>
      <c r="G16" s="431">
        <v>2</v>
      </c>
      <c r="H16" s="423">
        <v>4</v>
      </c>
      <c r="I16" s="198">
        <v>60</v>
      </c>
      <c r="J16" s="198" t="s">
        <v>498</v>
      </c>
      <c r="K16" s="424">
        <v>3</v>
      </c>
      <c r="L16" s="198">
        <v>0</v>
      </c>
      <c r="M16" s="428" t="str">
        <f t="shared" ca="1" si="1"/>
        <v>Actif</v>
      </c>
      <c r="N16" s="423" t="s">
        <v>256</v>
      </c>
      <c r="O16" s="1" t="s">
        <v>499</v>
      </c>
      <c r="P16" s="373" t="s">
        <v>481</v>
      </c>
      <c r="Q16" s="207">
        <v>13</v>
      </c>
    </row>
    <row r="17" spans="1:18" ht="21" customHeight="1">
      <c r="A17" s="418" t="str">
        <f t="shared" ca="1" si="0"/>
        <v>1010-Actif</v>
      </c>
      <c r="B17" s="172">
        <v>1010</v>
      </c>
      <c r="C17" s="422">
        <v>45778</v>
      </c>
      <c r="D17" s="422">
        <v>46142</v>
      </c>
      <c r="E17" s="431" t="s">
        <v>493</v>
      </c>
      <c r="F17" s="205" t="s">
        <v>241</v>
      </c>
      <c r="G17" s="431">
        <v>2</v>
      </c>
      <c r="H17" s="423">
        <v>4</v>
      </c>
      <c r="I17" s="198">
        <v>62</v>
      </c>
      <c r="J17" s="198" t="s">
        <v>500</v>
      </c>
      <c r="K17" s="424">
        <v>3</v>
      </c>
      <c r="L17" s="198">
        <v>0</v>
      </c>
      <c r="M17" s="4" t="str">
        <f t="shared" ca="1" si="1"/>
        <v>Actif</v>
      </c>
      <c r="N17" s="423" t="s">
        <v>256</v>
      </c>
      <c r="O17" s="1" t="s">
        <v>501</v>
      </c>
      <c r="P17" s="373" t="s">
        <v>481</v>
      </c>
      <c r="Q17" s="207">
        <v>14</v>
      </c>
    </row>
    <row r="18" spans="1:18" ht="21" customHeight="1">
      <c r="A18" s="418" t="str">
        <f t="shared" ca="1" si="0"/>
        <v>1011-Actif</v>
      </c>
      <c r="B18" s="172">
        <v>1011</v>
      </c>
      <c r="C18" s="422">
        <v>45717</v>
      </c>
      <c r="D18" s="422">
        <v>46142</v>
      </c>
      <c r="E18" s="431" t="s">
        <v>493</v>
      </c>
      <c r="F18" s="205" t="s">
        <v>282</v>
      </c>
      <c r="G18" s="431">
        <v>5</v>
      </c>
      <c r="H18" s="423">
        <v>6</v>
      </c>
      <c r="I18" s="198">
        <v>7</v>
      </c>
      <c r="J18" s="198" t="s">
        <v>479</v>
      </c>
      <c r="K18" s="424">
        <v>3</v>
      </c>
      <c r="L18" s="198">
        <v>7</v>
      </c>
      <c r="M18" s="4" t="str">
        <f t="shared" ca="1" si="1"/>
        <v>Actif</v>
      </c>
      <c r="N18" s="423" t="s">
        <v>256</v>
      </c>
      <c r="O18" s="1" t="s">
        <v>495</v>
      </c>
      <c r="P18" s="373" t="s">
        <v>481</v>
      </c>
    </row>
    <row r="19" spans="1:18" ht="21" customHeight="1">
      <c r="A19" s="418" t="str">
        <f t="shared" ca="1" si="0"/>
        <v>1012-Actif</v>
      </c>
      <c r="B19" s="172">
        <v>1012</v>
      </c>
      <c r="C19" s="422">
        <v>45778</v>
      </c>
      <c r="D19" s="422">
        <v>46142</v>
      </c>
      <c r="E19" s="431" t="s">
        <v>493</v>
      </c>
      <c r="F19" s="205" t="s">
        <v>241</v>
      </c>
      <c r="G19" s="431">
        <v>2</v>
      </c>
      <c r="H19" s="423">
        <v>4</v>
      </c>
      <c r="I19" s="198">
        <v>57</v>
      </c>
      <c r="J19" s="198" t="s">
        <v>489</v>
      </c>
      <c r="K19" s="424">
        <v>3</v>
      </c>
      <c r="L19" s="198">
        <v>0</v>
      </c>
      <c r="M19" s="4" t="str">
        <f t="shared" ca="1" si="1"/>
        <v>Actif</v>
      </c>
      <c r="N19" s="423" t="s">
        <v>256</v>
      </c>
      <c r="O19" s="1" t="s">
        <v>499</v>
      </c>
      <c r="P19" s="373" t="s">
        <v>481</v>
      </c>
      <c r="Q19" s="207">
        <v>10</v>
      </c>
    </row>
    <row r="20" spans="1:18" ht="21" customHeight="1">
      <c r="A20" s="418" t="str">
        <f t="shared" ca="1" si="0"/>
        <v>1014-Actif</v>
      </c>
      <c r="B20" s="172">
        <v>1014</v>
      </c>
      <c r="C20" s="422">
        <v>45717</v>
      </c>
      <c r="D20" s="422">
        <v>46142</v>
      </c>
      <c r="E20" s="431" t="s">
        <v>502</v>
      </c>
      <c r="F20" s="205" t="s">
        <v>276</v>
      </c>
      <c r="G20" s="431">
        <v>6</v>
      </c>
      <c r="H20" s="423">
        <v>8</v>
      </c>
      <c r="I20" s="198">
        <v>13</v>
      </c>
      <c r="J20" s="198" t="s">
        <v>503</v>
      </c>
      <c r="K20" s="424">
        <v>3</v>
      </c>
      <c r="L20" s="198">
        <v>7</v>
      </c>
      <c r="M20" s="4" t="str">
        <f t="shared" ca="1" si="1"/>
        <v>Actif</v>
      </c>
      <c r="N20" s="423" t="s">
        <v>256</v>
      </c>
      <c r="O20" s="1" t="s">
        <v>487</v>
      </c>
      <c r="P20" s="373" t="s">
        <v>481</v>
      </c>
    </row>
    <row r="21" spans="1:18" ht="21" customHeight="1">
      <c r="A21" s="421" t="str">
        <f t="shared" ca="1" si="0"/>
        <v>1015-Actif</v>
      </c>
      <c r="B21" s="194">
        <v>1015</v>
      </c>
      <c r="C21" s="422">
        <v>45717</v>
      </c>
      <c r="D21" s="422">
        <v>46142</v>
      </c>
      <c r="E21" s="431" t="s">
        <v>502</v>
      </c>
      <c r="F21" s="205" t="s">
        <v>276</v>
      </c>
      <c r="G21" s="431">
        <v>6</v>
      </c>
      <c r="H21" s="423">
        <v>8</v>
      </c>
      <c r="I21" s="198">
        <v>32</v>
      </c>
      <c r="J21" s="198" t="s">
        <v>489</v>
      </c>
      <c r="K21" s="424">
        <v>3</v>
      </c>
      <c r="L21" s="198">
        <v>7</v>
      </c>
      <c r="M21" s="428" t="str">
        <f t="shared" ca="1" si="1"/>
        <v>Actif</v>
      </c>
      <c r="N21" s="423" t="s">
        <v>256</v>
      </c>
      <c r="O21" s="1" t="s">
        <v>487</v>
      </c>
      <c r="P21" s="373" t="s">
        <v>481</v>
      </c>
    </row>
    <row r="22" spans="1:18" ht="21" customHeight="1">
      <c r="A22" s="418" t="str">
        <f t="shared" ca="1" si="0"/>
        <v>1030-Actif</v>
      </c>
      <c r="B22" s="172">
        <v>1030</v>
      </c>
      <c r="C22" s="422">
        <v>45717</v>
      </c>
      <c r="D22" s="422">
        <v>46142</v>
      </c>
      <c r="E22" s="431" t="s">
        <v>483</v>
      </c>
      <c r="F22" s="205" t="s">
        <v>504</v>
      </c>
      <c r="G22" s="431">
        <v>4</v>
      </c>
      <c r="H22" s="423">
        <v>5</v>
      </c>
      <c r="I22" s="198">
        <v>48</v>
      </c>
      <c r="J22" s="198" t="s">
        <v>505</v>
      </c>
      <c r="K22" s="420">
        <v>0</v>
      </c>
      <c r="L22" s="205">
        <v>0</v>
      </c>
      <c r="M22" s="4" t="str">
        <f t="shared" ca="1" si="1"/>
        <v>Actif</v>
      </c>
      <c r="N22" s="206" t="s">
        <v>256</v>
      </c>
      <c r="O22" s="1" t="s">
        <v>506</v>
      </c>
      <c r="P22" s="373" t="s">
        <v>481</v>
      </c>
    </row>
    <row r="23" spans="1:18" ht="21" customHeight="1">
      <c r="A23" s="418" t="str">
        <f t="shared" ca="1" si="0"/>
        <v>1029-Actif</v>
      </c>
      <c r="B23" s="172">
        <v>1029</v>
      </c>
      <c r="C23" s="422">
        <v>45717</v>
      </c>
      <c r="D23" s="422">
        <v>46142</v>
      </c>
      <c r="E23" s="431" t="s">
        <v>483</v>
      </c>
      <c r="F23" s="205" t="s">
        <v>282</v>
      </c>
      <c r="G23" s="431">
        <v>1</v>
      </c>
      <c r="H23" s="423">
        <v>3</v>
      </c>
      <c r="I23" s="198">
        <v>58</v>
      </c>
      <c r="J23" s="198" t="s">
        <v>484</v>
      </c>
      <c r="K23" s="424">
        <v>3</v>
      </c>
      <c r="L23" s="198">
        <v>0</v>
      </c>
      <c r="M23" s="4" t="str">
        <f t="shared" ca="1" si="1"/>
        <v>Actif</v>
      </c>
      <c r="N23" s="423" t="s">
        <v>256</v>
      </c>
      <c r="O23" s="1" t="s">
        <v>506</v>
      </c>
      <c r="P23" s="373" t="s">
        <v>491</v>
      </c>
    </row>
    <row r="24" spans="1:18" ht="21" customHeight="1">
      <c r="A24" s="418" t="str">
        <f t="shared" ca="1" si="0"/>
        <v>1033-Actif</v>
      </c>
      <c r="B24" s="172">
        <v>1033</v>
      </c>
      <c r="C24" s="422">
        <v>45717</v>
      </c>
      <c r="D24" s="422">
        <v>46142</v>
      </c>
      <c r="E24" s="431" t="s">
        <v>483</v>
      </c>
      <c r="F24" s="205" t="s">
        <v>282</v>
      </c>
      <c r="G24" s="431">
        <v>1</v>
      </c>
      <c r="H24" s="423">
        <v>3</v>
      </c>
      <c r="I24" s="198">
        <v>66</v>
      </c>
      <c r="J24" s="198" t="s">
        <v>505</v>
      </c>
      <c r="K24" s="424">
        <v>3</v>
      </c>
      <c r="L24" s="198">
        <v>0</v>
      </c>
      <c r="M24" s="4" t="str">
        <f t="shared" ca="1" si="1"/>
        <v>Actif</v>
      </c>
      <c r="N24" s="423" t="s">
        <v>256</v>
      </c>
      <c r="O24" s="1" t="s">
        <v>506</v>
      </c>
      <c r="P24" s="373" t="s">
        <v>481</v>
      </c>
    </row>
    <row r="25" spans="1:18" ht="21" customHeight="1">
      <c r="A25" s="418" t="str">
        <f t="shared" ca="1" si="0"/>
        <v>1032-Actif</v>
      </c>
      <c r="B25" s="172">
        <v>1032</v>
      </c>
      <c r="C25" s="422">
        <v>45717</v>
      </c>
      <c r="D25" s="422">
        <v>46142</v>
      </c>
      <c r="E25" s="431" t="s">
        <v>483</v>
      </c>
      <c r="F25" s="205" t="s">
        <v>282</v>
      </c>
      <c r="G25" s="431">
        <v>6</v>
      </c>
      <c r="H25" s="423">
        <v>7</v>
      </c>
      <c r="I25" s="198">
        <v>42</v>
      </c>
      <c r="J25" s="198" t="s">
        <v>507</v>
      </c>
      <c r="K25" s="424">
        <v>3</v>
      </c>
      <c r="L25" s="198">
        <v>0</v>
      </c>
      <c r="M25" s="4" t="str">
        <f t="shared" ca="1" si="1"/>
        <v>Actif</v>
      </c>
      <c r="N25" s="423" t="s">
        <v>256</v>
      </c>
      <c r="O25" s="1" t="s">
        <v>506</v>
      </c>
      <c r="P25" s="373" t="s">
        <v>491</v>
      </c>
    </row>
    <row r="26" spans="1:18" ht="21" customHeight="1">
      <c r="A26" s="421" t="str">
        <f t="shared" ca="1" si="0"/>
        <v>1034-Actif</v>
      </c>
      <c r="B26" s="194">
        <v>1034</v>
      </c>
      <c r="C26" s="422">
        <v>45778</v>
      </c>
      <c r="D26" s="422">
        <v>46142</v>
      </c>
      <c r="E26" s="431" t="s">
        <v>493</v>
      </c>
      <c r="F26" s="205" t="s">
        <v>241</v>
      </c>
      <c r="G26" s="431">
        <v>2</v>
      </c>
      <c r="H26" s="423">
        <v>4</v>
      </c>
      <c r="I26" s="198">
        <v>52</v>
      </c>
      <c r="J26" s="198" t="s">
        <v>492</v>
      </c>
      <c r="K26" s="424">
        <v>3</v>
      </c>
      <c r="L26" s="198">
        <v>0</v>
      </c>
      <c r="M26" s="428" t="str">
        <f t="shared" ca="1" si="1"/>
        <v>Actif</v>
      </c>
      <c r="N26" s="423" t="s">
        <v>256</v>
      </c>
      <c r="O26" s="1" t="s">
        <v>499</v>
      </c>
      <c r="P26" s="373" t="s">
        <v>481</v>
      </c>
    </row>
    <row r="27" spans="1:18" ht="21" customHeight="1">
      <c r="A27" s="421" t="str">
        <f t="shared" ca="1" si="0"/>
        <v>1036-Actif</v>
      </c>
      <c r="B27" s="194">
        <v>1036</v>
      </c>
      <c r="C27" s="422">
        <v>45717</v>
      </c>
      <c r="D27" s="422">
        <v>46142</v>
      </c>
      <c r="E27" s="431" t="s">
        <v>502</v>
      </c>
      <c r="F27" s="205" t="s">
        <v>486</v>
      </c>
      <c r="G27" s="431">
        <v>3</v>
      </c>
      <c r="H27" s="423">
        <v>5</v>
      </c>
      <c r="I27" s="198">
        <v>28</v>
      </c>
      <c r="J27" s="198" t="s">
        <v>492</v>
      </c>
      <c r="K27" s="424">
        <v>3</v>
      </c>
      <c r="L27" s="198">
        <v>0</v>
      </c>
      <c r="M27" s="428" t="str">
        <f t="shared" ca="1" si="1"/>
        <v>Actif</v>
      </c>
      <c r="N27" s="423" t="s">
        <v>256</v>
      </c>
      <c r="O27" s="1" t="s">
        <v>487</v>
      </c>
      <c r="P27" s="373" t="s">
        <v>481</v>
      </c>
    </row>
    <row r="28" spans="1:18" ht="21" customHeight="1">
      <c r="A28" s="421" t="str">
        <f t="shared" ca="1" si="0"/>
        <v>1037-Actif</v>
      </c>
      <c r="B28" s="194">
        <v>1037</v>
      </c>
      <c r="C28" s="422">
        <v>45717</v>
      </c>
      <c r="D28" s="422">
        <v>46142</v>
      </c>
      <c r="E28" s="431" t="s">
        <v>493</v>
      </c>
      <c r="F28" s="205" t="s">
        <v>241</v>
      </c>
      <c r="G28" s="431">
        <v>2</v>
      </c>
      <c r="H28" s="423">
        <v>4</v>
      </c>
      <c r="I28" s="198">
        <v>62</v>
      </c>
      <c r="J28" s="198" t="s">
        <v>508</v>
      </c>
      <c r="K28" s="205">
        <v>3</v>
      </c>
      <c r="L28" s="205">
        <v>7</v>
      </c>
      <c r="M28" s="3" t="str">
        <f t="shared" ca="1" si="1"/>
        <v>Actif</v>
      </c>
      <c r="N28" s="205" t="s">
        <v>256</v>
      </c>
      <c r="O28" s="373" t="s">
        <v>495</v>
      </c>
      <c r="P28" s="373" t="s">
        <v>481</v>
      </c>
      <c r="Q28" s="207">
        <v>8</v>
      </c>
    </row>
    <row r="29" spans="1:18" ht="21" customHeight="1">
      <c r="A29" s="421" t="str">
        <f t="shared" ca="1" si="0"/>
        <v>903-Actif</v>
      </c>
      <c r="B29" s="194">
        <v>903</v>
      </c>
      <c r="C29" s="412">
        <v>45778</v>
      </c>
      <c r="D29" s="412">
        <v>46142</v>
      </c>
      <c r="E29" s="205" t="s">
        <v>479</v>
      </c>
      <c r="F29" s="206" t="s">
        <v>241</v>
      </c>
      <c r="G29" s="205">
        <v>5</v>
      </c>
      <c r="H29" s="205">
        <v>7</v>
      </c>
      <c r="I29" s="205">
        <v>43</v>
      </c>
      <c r="J29" s="205" t="s">
        <v>492</v>
      </c>
      <c r="K29" s="424">
        <v>3</v>
      </c>
      <c r="L29" s="205">
        <v>7</v>
      </c>
      <c r="M29" s="3" t="str">
        <f t="shared" ref="M29:M39" ca="1" si="2">IF(AND(C29&lt;=TODAY(),D29&gt;TODAY()),"Actif",IF(C29&gt;TODAY(),"Next","Inactif"))</f>
        <v>Actif</v>
      </c>
      <c r="N29" s="205" t="s">
        <v>472</v>
      </c>
      <c r="O29" s="373" t="s">
        <v>480</v>
      </c>
      <c r="P29" s="373" t="s">
        <v>474</v>
      </c>
      <c r="Q29" s="205">
        <v>4</v>
      </c>
      <c r="R29" s="205" t="s">
        <v>509</v>
      </c>
    </row>
    <row r="30" spans="1:18" ht="21" customHeight="1">
      <c r="A30" s="421" t="str">
        <f t="shared" ca="1" si="0"/>
        <v>904-Actif</v>
      </c>
      <c r="B30" s="194">
        <v>904</v>
      </c>
      <c r="C30" s="412">
        <v>45778</v>
      </c>
      <c r="D30" s="412">
        <v>46142</v>
      </c>
      <c r="E30" s="205" t="s">
        <v>479</v>
      </c>
      <c r="F30" s="206" t="s">
        <v>241</v>
      </c>
      <c r="G30" s="205">
        <v>4</v>
      </c>
      <c r="H30" s="205">
        <v>7</v>
      </c>
      <c r="I30" s="205">
        <v>53</v>
      </c>
      <c r="J30" s="205" t="s">
        <v>500</v>
      </c>
      <c r="K30" s="205">
        <v>3</v>
      </c>
      <c r="L30" s="205"/>
      <c r="M30" s="3" t="str">
        <f t="shared" ca="1" si="2"/>
        <v>Actif</v>
      </c>
      <c r="N30" s="205" t="s">
        <v>472</v>
      </c>
      <c r="O30" s="373" t="s">
        <v>480</v>
      </c>
      <c r="P30" s="373" t="s">
        <v>474</v>
      </c>
      <c r="Q30" s="205">
        <v>9</v>
      </c>
      <c r="R30" s="205" t="s">
        <v>509</v>
      </c>
    </row>
    <row r="31" spans="1:18" ht="21" customHeight="1">
      <c r="A31" s="421" t="str">
        <f t="shared" ca="1" si="0"/>
        <v>906-Actif</v>
      </c>
      <c r="B31" s="194">
        <v>906</v>
      </c>
      <c r="C31" s="412">
        <v>45778</v>
      </c>
      <c r="D31" s="412">
        <v>46142</v>
      </c>
      <c r="E31" s="205" t="s">
        <v>479</v>
      </c>
      <c r="F31" s="206" t="s">
        <v>241</v>
      </c>
      <c r="G31" s="205">
        <v>5</v>
      </c>
      <c r="H31" s="205">
        <v>7</v>
      </c>
      <c r="I31" s="205">
        <v>43</v>
      </c>
      <c r="J31" s="205" t="s">
        <v>489</v>
      </c>
      <c r="K31" s="205">
        <v>3</v>
      </c>
      <c r="L31" s="205">
        <v>14</v>
      </c>
      <c r="M31" s="3" t="str">
        <f t="shared" ca="1" si="2"/>
        <v>Actif</v>
      </c>
      <c r="N31" s="205" t="s">
        <v>472</v>
      </c>
      <c r="O31" s="373" t="s">
        <v>480</v>
      </c>
      <c r="P31" s="373" t="s">
        <v>474</v>
      </c>
      <c r="Q31" s="205">
        <v>15</v>
      </c>
      <c r="R31" s="205"/>
    </row>
    <row r="32" spans="1:18" ht="21" customHeight="1">
      <c r="A32" s="421" t="str">
        <f t="shared" ca="1" si="0"/>
        <v>912-Actif</v>
      </c>
      <c r="B32" s="194">
        <v>912</v>
      </c>
      <c r="C32" s="412">
        <v>45778</v>
      </c>
      <c r="D32" s="412">
        <v>46142</v>
      </c>
      <c r="E32" s="205" t="s">
        <v>476</v>
      </c>
      <c r="F32" s="206" t="s">
        <v>276</v>
      </c>
      <c r="G32" s="205">
        <v>2</v>
      </c>
      <c r="H32" s="205">
        <v>4</v>
      </c>
      <c r="I32" s="205">
        <v>36</v>
      </c>
      <c r="J32" s="205" t="s">
        <v>489</v>
      </c>
      <c r="K32" s="205">
        <v>3</v>
      </c>
      <c r="L32" s="205">
        <v>14</v>
      </c>
      <c r="M32" s="3" t="str">
        <f t="shared" ca="1" si="2"/>
        <v>Actif</v>
      </c>
      <c r="N32" s="205" t="s">
        <v>472</v>
      </c>
      <c r="O32" s="373" t="s">
        <v>480</v>
      </c>
      <c r="P32" s="373" t="s">
        <v>474</v>
      </c>
      <c r="Q32" s="205">
        <v>9</v>
      </c>
      <c r="R32" s="205" t="s">
        <v>475</v>
      </c>
    </row>
    <row r="33" spans="1:18" ht="21" customHeight="1">
      <c r="A33" s="421" t="str">
        <f t="shared" ca="1" si="0"/>
        <v>915-Actif</v>
      </c>
      <c r="B33" s="194">
        <v>915</v>
      </c>
      <c r="C33" s="412">
        <v>45778</v>
      </c>
      <c r="D33" s="412">
        <v>46142</v>
      </c>
      <c r="E33" s="205" t="s">
        <v>470</v>
      </c>
      <c r="F33" s="206" t="s">
        <v>276</v>
      </c>
      <c r="G33" s="205">
        <v>2</v>
      </c>
      <c r="H33" s="205">
        <v>4</v>
      </c>
      <c r="I33" s="205">
        <v>49</v>
      </c>
      <c r="J33" s="205" t="s">
        <v>484</v>
      </c>
      <c r="K33" s="424">
        <v>3</v>
      </c>
      <c r="L33" s="205">
        <v>7</v>
      </c>
      <c r="M33" s="3" t="str">
        <f t="shared" ca="1" si="2"/>
        <v>Actif</v>
      </c>
      <c r="N33" s="205" t="s">
        <v>472</v>
      </c>
      <c r="O33" s="373" t="s">
        <v>480</v>
      </c>
      <c r="P33" s="373" t="s">
        <v>474</v>
      </c>
      <c r="Q33" s="205">
        <v>13</v>
      </c>
      <c r="R33" s="205" t="s">
        <v>509</v>
      </c>
    </row>
    <row r="34" spans="1:18" ht="21" customHeight="1">
      <c r="A34" s="421" t="str">
        <f t="shared" ca="1" si="0"/>
        <v>917-Inactif</v>
      </c>
      <c r="B34" s="194">
        <v>917</v>
      </c>
      <c r="C34" s="412">
        <v>45778</v>
      </c>
      <c r="D34" s="412">
        <v>45793</v>
      </c>
      <c r="E34" s="205" t="s">
        <v>470</v>
      </c>
      <c r="F34" s="206" t="s">
        <v>486</v>
      </c>
      <c r="G34" s="205">
        <v>7</v>
      </c>
      <c r="H34" s="205">
        <v>9</v>
      </c>
      <c r="I34" s="205">
        <v>42</v>
      </c>
      <c r="J34" s="205" t="s">
        <v>510</v>
      </c>
      <c r="K34" s="424">
        <v>3</v>
      </c>
      <c r="L34" s="205">
        <v>14</v>
      </c>
      <c r="M34" s="3" t="str">
        <f t="shared" ca="1" si="2"/>
        <v>Inactif</v>
      </c>
      <c r="N34" s="205" t="s">
        <v>472</v>
      </c>
      <c r="O34" s="373" t="s">
        <v>480</v>
      </c>
      <c r="P34" s="373" t="s">
        <v>474</v>
      </c>
      <c r="Q34" s="205">
        <v>14</v>
      </c>
      <c r="R34" s="205" t="s">
        <v>511</v>
      </c>
    </row>
    <row r="35" spans="1:18" ht="21" customHeight="1">
      <c r="A35" s="421" t="str">
        <f t="shared" ref="A35:A66" ca="1" si="3">_xlfn.CONCAT(B35,"-",M35)</f>
        <v>917-Actif</v>
      </c>
      <c r="B35" s="194">
        <v>917</v>
      </c>
      <c r="C35" s="412">
        <v>45794</v>
      </c>
      <c r="D35" s="412">
        <v>46142</v>
      </c>
      <c r="E35" s="205" t="s">
        <v>470</v>
      </c>
      <c r="F35" s="206" t="s">
        <v>486</v>
      </c>
      <c r="G35" s="205">
        <v>7</v>
      </c>
      <c r="H35" s="205">
        <v>9</v>
      </c>
      <c r="I35" s="205">
        <v>49</v>
      </c>
      <c r="J35" s="205" t="s">
        <v>510</v>
      </c>
      <c r="K35" s="424">
        <v>3</v>
      </c>
      <c r="L35" s="205">
        <v>7</v>
      </c>
      <c r="M35" s="3" t="str">
        <f t="shared" ca="1" si="2"/>
        <v>Actif</v>
      </c>
      <c r="N35" s="205" t="s">
        <v>472</v>
      </c>
      <c r="O35" s="373" t="s">
        <v>512</v>
      </c>
      <c r="P35" s="373" t="s">
        <v>474</v>
      </c>
      <c r="Q35" s="205">
        <v>14</v>
      </c>
      <c r="R35" s="205" t="s">
        <v>511</v>
      </c>
    </row>
    <row r="36" spans="1:18" ht="21" customHeight="1">
      <c r="A36" s="421" t="str">
        <f t="shared" ca="1" si="3"/>
        <v>918-Actif</v>
      </c>
      <c r="B36" s="194">
        <v>918</v>
      </c>
      <c r="C36" s="412">
        <v>45778</v>
      </c>
      <c r="D36" s="412">
        <v>46142</v>
      </c>
      <c r="E36" s="205" t="s">
        <v>470</v>
      </c>
      <c r="F36" s="206" t="s">
        <v>241</v>
      </c>
      <c r="G36" s="205">
        <v>4</v>
      </c>
      <c r="H36" s="205">
        <v>6</v>
      </c>
      <c r="I36" s="205">
        <v>45</v>
      </c>
      <c r="J36" s="205" t="s">
        <v>492</v>
      </c>
      <c r="K36" s="205">
        <v>3</v>
      </c>
      <c r="L36" s="205">
        <v>7</v>
      </c>
      <c r="M36" s="3" t="str">
        <f t="shared" ca="1" si="2"/>
        <v>Actif</v>
      </c>
      <c r="N36" s="205" t="s">
        <v>472</v>
      </c>
      <c r="O36" s="373" t="s">
        <v>480</v>
      </c>
      <c r="P36" s="373" t="s">
        <v>474</v>
      </c>
      <c r="Q36" s="205">
        <v>14</v>
      </c>
      <c r="R36" s="205" t="s">
        <v>475</v>
      </c>
    </row>
    <row r="37" spans="1:18" ht="21" customHeight="1">
      <c r="A37" s="421" t="str">
        <f t="shared" ca="1" si="3"/>
        <v>925-Actif</v>
      </c>
      <c r="B37" s="194">
        <v>925</v>
      </c>
      <c r="C37" s="412">
        <v>45778</v>
      </c>
      <c r="D37" s="412">
        <v>46142</v>
      </c>
      <c r="E37" s="205" t="s">
        <v>470</v>
      </c>
      <c r="F37" s="206" t="s">
        <v>276</v>
      </c>
      <c r="G37" s="205">
        <v>5</v>
      </c>
      <c r="H37" s="205">
        <v>7</v>
      </c>
      <c r="I37" s="205">
        <v>33</v>
      </c>
      <c r="J37" s="205" t="s">
        <v>489</v>
      </c>
      <c r="K37" s="205">
        <v>3</v>
      </c>
      <c r="L37" s="205">
        <v>14</v>
      </c>
      <c r="M37" s="3" t="str">
        <f t="shared" ca="1" si="2"/>
        <v>Actif</v>
      </c>
      <c r="N37" s="205" t="s">
        <v>472</v>
      </c>
      <c r="O37" s="373" t="s">
        <v>473</v>
      </c>
      <c r="P37" s="373" t="s">
        <v>474</v>
      </c>
      <c r="Q37" s="205">
        <v>14</v>
      </c>
      <c r="R37" s="205" t="s">
        <v>475</v>
      </c>
    </row>
    <row r="38" spans="1:18" ht="21" customHeight="1">
      <c r="A38" s="421" t="str">
        <f t="shared" ca="1" si="3"/>
        <v>927-Actif</v>
      </c>
      <c r="B38" s="194">
        <v>927</v>
      </c>
      <c r="C38" s="412">
        <v>45778</v>
      </c>
      <c r="D38" s="412">
        <v>46142</v>
      </c>
      <c r="E38" s="205" t="s">
        <v>513</v>
      </c>
      <c r="F38" s="205" t="s">
        <v>241</v>
      </c>
      <c r="G38" s="205">
        <v>5</v>
      </c>
      <c r="H38" s="205">
        <v>9</v>
      </c>
      <c r="I38" s="205">
        <v>52</v>
      </c>
      <c r="J38" s="205" t="s">
        <v>500</v>
      </c>
      <c r="K38" s="424">
        <v>3</v>
      </c>
      <c r="L38" s="205">
        <v>0</v>
      </c>
      <c r="M38" s="3" t="str">
        <f t="shared" ca="1" si="2"/>
        <v>Actif</v>
      </c>
      <c r="N38" s="205" t="s">
        <v>472</v>
      </c>
      <c r="O38" s="373" t="s">
        <v>480</v>
      </c>
      <c r="P38" s="373" t="s">
        <v>474</v>
      </c>
      <c r="Q38" s="205">
        <v>10</v>
      </c>
      <c r="R38" s="205" t="s">
        <v>475</v>
      </c>
    </row>
    <row r="39" spans="1:18" ht="21" customHeight="1">
      <c r="A39" s="421" t="str">
        <f t="shared" ca="1" si="3"/>
        <v>930-Actif</v>
      </c>
      <c r="B39" s="194">
        <v>930</v>
      </c>
      <c r="C39" s="412">
        <v>45778</v>
      </c>
      <c r="D39" s="412">
        <v>46142</v>
      </c>
      <c r="E39" s="205" t="s">
        <v>513</v>
      </c>
      <c r="F39" s="206" t="s">
        <v>486</v>
      </c>
      <c r="G39" s="205">
        <v>5</v>
      </c>
      <c r="H39" s="205">
        <v>8</v>
      </c>
      <c r="I39" s="205">
        <v>40</v>
      </c>
      <c r="J39" s="205" t="s">
        <v>492</v>
      </c>
      <c r="K39" s="205">
        <v>3</v>
      </c>
      <c r="L39" s="205">
        <v>0</v>
      </c>
      <c r="M39" s="3" t="str">
        <f t="shared" ca="1" si="2"/>
        <v>Actif</v>
      </c>
      <c r="N39" s="205" t="s">
        <v>472</v>
      </c>
      <c r="O39" s="373" t="s">
        <v>480</v>
      </c>
      <c r="P39" s="373" t="s">
        <v>474</v>
      </c>
      <c r="Q39" s="205">
        <v>17</v>
      </c>
      <c r="R39" s="437" t="s">
        <v>514</v>
      </c>
    </row>
    <row r="40" spans="1:18" ht="21" customHeight="1">
      <c r="A40" s="418" t="str">
        <f t="shared" ca="1" si="3"/>
        <v>931-Actif</v>
      </c>
      <c r="B40" s="172">
        <v>931</v>
      </c>
      <c r="C40" s="412">
        <v>45778</v>
      </c>
      <c r="D40" s="412">
        <v>46142</v>
      </c>
      <c r="E40" s="206" t="s">
        <v>513</v>
      </c>
      <c r="F40" s="206" t="s">
        <v>282</v>
      </c>
      <c r="G40" s="206">
        <v>7</v>
      </c>
      <c r="H40" s="206">
        <v>9</v>
      </c>
      <c r="I40" s="205">
        <v>34</v>
      </c>
      <c r="J40" s="205" t="s">
        <v>489</v>
      </c>
      <c r="K40" s="420">
        <v>3</v>
      </c>
      <c r="L40" s="205">
        <v>0</v>
      </c>
      <c r="M40" s="4" t="str">
        <f ca="1">IF(AND(C40&lt;TODAY(),D40&gt;TODAY()),"Actif",IF(C40&gt;TODAY(),"Next","Inactif"))</f>
        <v>Actif</v>
      </c>
      <c r="N40" s="445" t="s">
        <v>472</v>
      </c>
      <c r="O40" s="373" t="s">
        <v>480</v>
      </c>
      <c r="P40" s="373" t="s">
        <v>474</v>
      </c>
      <c r="Q40" s="205">
        <v>17</v>
      </c>
      <c r="R40" s="205" t="s">
        <v>482</v>
      </c>
    </row>
    <row r="41" spans="1:18" ht="21" customHeight="1">
      <c r="A41" s="421" t="str">
        <f t="shared" ca="1" si="3"/>
        <v>932-Actif</v>
      </c>
      <c r="B41" s="194">
        <v>932</v>
      </c>
      <c r="C41" s="412">
        <v>45778</v>
      </c>
      <c r="D41" s="412">
        <v>46142</v>
      </c>
      <c r="E41" s="205" t="s">
        <v>513</v>
      </c>
      <c r="F41" s="206" t="s">
        <v>276</v>
      </c>
      <c r="G41" s="205">
        <v>3</v>
      </c>
      <c r="H41" s="205">
        <v>5</v>
      </c>
      <c r="I41" s="205">
        <v>50</v>
      </c>
      <c r="J41" s="205" t="s">
        <v>484</v>
      </c>
      <c r="K41" s="205">
        <v>3</v>
      </c>
      <c r="L41" s="205">
        <v>14</v>
      </c>
      <c r="M41" s="3" t="str">
        <f t="shared" ref="M41:M75" ca="1" si="4">IF(AND(C41&lt;=TODAY(),D41&gt;TODAY()),"Actif",IF(C41&gt;TODAY(),"Next","Inactif"))</f>
        <v>Actif</v>
      </c>
      <c r="N41" s="205" t="s">
        <v>472</v>
      </c>
      <c r="O41" s="373" t="s">
        <v>480</v>
      </c>
      <c r="P41" s="373" t="s">
        <v>474</v>
      </c>
      <c r="Q41" s="205">
        <v>14</v>
      </c>
      <c r="R41" s="436" t="s">
        <v>515</v>
      </c>
    </row>
    <row r="42" spans="1:18" ht="21" customHeight="1">
      <c r="A42" s="421" t="str">
        <f t="shared" ca="1" si="3"/>
        <v>1024-Actif</v>
      </c>
      <c r="B42" s="194">
        <v>1024</v>
      </c>
      <c r="C42" s="412">
        <v>45748</v>
      </c>
      <c r="D42" s="412">
        <v>46142</v>
      </c>
      <c r="E42" s="205" t="s">
        <v>513</v>
      </c>
      <c r="F42" s="206" t="s">
        <v>486</v>
      </c>
      <c r="G42" s="205">
        <v>3</v>
      </c>
      <c r="H42" s="205">
        <v>5</v>
      </c>
      <c r="I42" s="205">
        <v>3</v>
      </c>
      <c r="J42" s="205" t="s">
        <v>479</v>
      </c>
      <c r="K42" s="424">
        <v>3</v>
      </c>
      <c r="L42" s="205"/>
      <c r="M42" s="3" t="str">
        <f t="shared" ca="1" si="4"/>
        <v>Actif</v>
      </c>
      <c r="N42" s="205" t="s">
        <v>472</v>
      </c>
      <c r="O42" s="373" t="s">
        <v>480</v>
      </c>
      <c r="P42" s="373" t="s">
        <v>481</v>
      </c>
      <c r="Q42" s="205"/>
      <c r="R42" s="205" t="s">
        <v>516</v>
      </c>
    </row>
    <row r="43" spans="1:18" ht="21" customHeight="1">
      <c r="A43" s="421" t="str">
        <f t="shared" ca="1" si="3"/>
        <v>1026-Actif</v>
      </c>
      <c r="B43" s="194">
        <v>1026</v>
      </c>
      <c r="C43" s="412">
        <v>45748</v>
      </c>
      <c r="D43" s="412">
        <v>46142</v>
      </c>
      <c r="E43" s="205" t="s">
        <v>513</v>
      </c>
      <c r="F43" s="206" t="s">
        <v>241</v>
      </c>
      <c r="G43" s="205">
        <v>4</v>
      </c>
      <c r="H43" s="205">
        <v>6</v>
      </c>
      <c r="I43" s="205">
        <v>37</v>
      </c>
      <c r="J43" s="205" t="s">
        <v>505</v>
      </c>
      <c r="K43" s="205">
        <v>3</v>
      </c>
      <c r="L43" s="205"/>
      <c r="M43" s="3" t="str">
        <f t="shared" ca="1" si="4"/>
        <v>Actif</v>
      </c>
      <c r="N43" s="205" t="s">
        <v>472</v>
      </c>
      <c r="O43" s="373" t="s">
        <v>480</v>
      </c>
      <c r="P43" s="373" t="s">
        <v>481</v>
      </c>
      <c r="Q43" s="205"/>
      <c r="R43" s="205" t="s">
        <v>516</v>
      </c>
    </row>
    <row r="44" spans="1:18" ht="21" customHeight="1">
      <c r="A44" s="421" t="str">
        <f t="shared" ca="1" si="3"/>
        <v>1027-Actif</v>
      </c>
      <c r="B44" s="194">
        <v>1027</v>
      </c>
      <c r="C44" s="412">
        <v>45748</v>
      </c>
      <c r="D44" s="412">
        <v>46142</v>
      </c>
      <c r="E44" s="205" t="s">
        <v>513</v>
      </c>
      <c r="F44" s="206" t="s">
        <v>241</v>
      </c>
      <c r="G44" s="205">
        <v>2</v>
      </c>
      <c r="H44" s="205">
        <v>4</v>
      </c>
      <c r="I44" s="205">
        <v>39</v>
      </c>
      <c r="J44" s="205" t="s">
        <v>492</v>
      </c>
      <c r="K44" s="424">
        <v>3</v>
      </c>
      <c r="L44" s="205"/>
      <c r="M44" s="3" t="str">
        <f t="shared" ca="1" si="4"/>
        <v>Actif</v>
      </c>
      <c r="N44" s="205" t="s">
        <v>472</v>
      </c>
      <c r="O44" s="373" t="s">
        <v>480</v>
      </c>
      <c r="P44" s="373" t="s">
        <v>481</v>
      </c>
      <c r="Q44" s="205"/>
      <c r="R44" s="205" t="s">
        <v>516</v>
      </c>
    </row>
    <row r="45" spans="1:18" ht="21" customHeight="1">
      <c r="A45" s="421" t="str">
        <f t="shared" ca="1" si="3"/>
        <v>1038-Actif</v>
      </c>
      <c r="B45" s="194">
        <v>1038</v>
      </c>
      <c r="C45" s="412">
        <v>45748</v>
      </c>
      <c r="D45" s="412">
        <v>46142</v>
      </c>
      <c r="E45" s="205" t="s">
        <v>513</v>
      </c>
      <c r="F45" s="206" t="s">
        <v>504</v>
      </c>
      <c r="G45" s="205">
        <v>3</v>
      </c>
      <c r="H45" s="205">
        <v>5</v>
      </c>
      <c r="I45" s="205">
        <v>37</v>
      </c>
      <c r="J45" s="205" t="s">
        <v>517</v>
      </c>
      <c r="K45" s="205">
        <v>3</v>
      </c>
      <c r="L45" s="205"/>
      <c r="M45" s="3" t="str">
        <f t="shared" ca="1" si="4"/>
        <v>Actif</v>
      </c>
      <c r="N45" s="205" t="s">
        <v>472</v>
      </c>
      <c r="O45" s="373" t="s">
        <v>480</v>
      </c>
      <c r="P45" s="373" t="s">
        <v>481</v>
      </c>
      <c r="Q45" s="205"/>
      <c r="R45" s="205" t="s">
        <v>516</v>
      </c>
    </row>
    <row r="46" spans="1:18" ht="21" customHeight="1">
      <c r="A46" s="421" t="str">
        <f t="shared" ca="1" si="3"/>
        <v>1039-Actif</v>
      </c>
      <c r="B46" s="194">
        <v>1039</v>
      </c>
      <c r="C46" s="412">
        <v>45748</v>
      </c>
      <c r="D46" s="412">
        <v>46142</v>
      </c>
      <c r="E46" s="205" t="s">
        <v>513</v>
      </c>
      <c r="F46" s="206" t="s">
        <v>241</v>
      </c>
      <c r="G46" s="205">
        <v>2</v>
      </c>
      <c r="H46" s="205">
        <v>4</v>
      </c>
      <c r="I46" s="205">
        <v>38</v>
      </c>
      <c r="J46" s="205" t="s">
        <v>492</v>
      </c>
      <c r="K46" s="424">
        <v>3</v>
      </c>
      <c r="L46" s="205"/>
      <c r="M46" s="3" t="str">
        <f t="shared" ca="1" si="4"/>
        <v>Actif</v>
      </c>
      <c r="N46" s="205" t="s">
        <v>472</v>
      </c>
      <c r="O46" s="373" t="s">
        <v>480</v>
      </c>
      <c r="P46" s="373" t="s">
        <v>474</v>
      </c>
      <c r="Q46" s="205"/>
      <c r="R46" s="205" t="s">
        <v>516</v>
      </c>
    </row>
    <row r="47" spans="1:18" ht="21" customHeight="1">
      <c r="A47" s="421" t="str">
        <f t="shared" ca="1" si="3"/>
        <v>1045-Actif</v>
      </c>
      <c r="B47" s="194">
        <v>1045</v>
      </c>
      <c r="C47" s="412">
        <v>45748</v>
      </c>
      <c r="D47" s="412">
        <v>46142</v>
      </c>
      <c r="E47" s="205" t="s">
        <v>513</v>
      </c>
      <c r="F47" s="206" t="s">
        <v>241</v>
      </c>
      <c r="G47" s="205">
        <v>3</v>
      </c>
      <c r="H47" s="205">
        <v>5</v>
      </c>
      <c r="I47" s="205">
        <v>44</v>
      </c>
      <c r="J47" s="205" t="s">
        <v>500</v>
      </c>
      <c r="K47" s="205">
        <v>3</v>
      </c>
      <c r="L47" s="205"/>
      <c r="M47" s="3" t="str">
        <f t="shared" ca="1" si="4"/>
        <v>Actif</v>
      </c>
      <c r="N47" s="205" t="s">
        <v>472</v>
      </c>
      <c r="O47" s="373" t="s">
        <v>480</v>
      </c>
      <c r="P47" s="373" t="s">
        <v>491</v>
      </c>
      <c r="Q47" s="205"/>
      <c r="R47" s="205" t="s">
        <v>516</v>
      </c>
    </row>
    <row r="48" spans="1:18" ht="21" customHeight="1">
      <c r="A48" s="421" t="str">
        <f t="shared" ca="1" si="3"/>
        <v>1060-Actif</v>
      </c>
      <c r="B48" s="194">
        <v>1060</v>
      </c>
      <c r="C48" s="412">
        <v>45748</v>
      </c>
      <c r="D48" s="412">
        <v>46142</v>
      </c>
      <c r="E48" s="205" t="s">
        <v>513</v>
      </c>
      <c r="F48" s="206" t="s">
        <v>241</v>
      </c>
      <c r="G48" s="205">
        <v>6</v>
      </c>
      <c r="H48" s="205">
        <v>9</v>
      </c>
      <c r="I48" s="205">
        <v>17</v>
      </c>
      <c r="J48" s="205" t="s">
        <v>518</v>
      </c>
      <c r="K48" s="424">
        <v>3</v>
      </c>
      <c r="L48" s="205"/>
      <c r="M48" s="3" t="str">
        <f t="shared" ca="1" si="4"/>
        <v>Actif</v>
      </c>
      <c r="N48" s="205" t="s">
        <v>472</v>
      </c>
      <c r="O48" s="373" t="s">
        <v>480</v>
      </c>
      <c r="P48" s="373" t="s">
        <v>481</v>
      </c>
      <c r="Q48" s="205"/>
      <c r="R48" s="205" t="s">
        <v>482</v>
      </c>
    </row>
    <row r="49" spans="1:18" ht="21" customHeight="1">
      <c r="A49" s="418" t="str">
        <f t="shared" ca="1" si="3"/>
        <v>60-Actif</v>
      </c>
      <c r="B49" s="194">
        <v>60</v>
      </c>
      <c r="C49" s="412">
        <v>45778</v>
      </c>
      <c r="D49" s="412">
        <v>46142</v>
      </c>
      <c r="E49" s="205" t="s">
        <v>505</v>
      </c>
      <c r="F49" s="205" t="s">
        <v>486</v>
      </c>
      <c r="G49" s="205">
        <v>5</v>
      </c>
      <c r="H49" s="205">
        <v>7</v>
      </c>
      <c r="I49" s="205">
        <v>30</v>
      </c>
      <c r="J49" s="205" t="s">
        <v>471</v>
      </c>
      <c r="K49" s="424">
        <v>3</v>
      </c>
      <c r="L49" s="205"/>
      <c r="M49" s="3" t="str">
        <f t="shared" ca="1" si="4"/>
        <v>Actif</v>
      </c>
      <c r="N49" s="205" t="s">
        <v>256</v>
      </c>
      <c r="O49" s="373" t="s">
        <v>519</v>
      </c>
      <c r="P49" s="373" t="s">
        <v>474</v>
      </c>
      <c r="Q49" s="207">
        <v>7</v>
      </c>
    </row>
    <row r="50" spans="1:18" ht="21" customHeight="1">
      <c r="A50" s="421" t="str">
        <f t="shared" ca="1" si="3"/>
        <v>83-Actif</v>
      </c>
      <c r="B50" s="194">
        <v>83</v>
      </c>
      <c r="C50" s="412">
        <v>45778</v>
      </c>
      <c r="D50" s="412">
        <v>46142</v>
      </c>
      <c r="E50" s="205" t="s">
        <v>505</v>
      </c>
      <c r="F50" s="205" t="s">
        <v>486</v>
      </c>
      <c r="G50" s="205">
        <v>2</v>
      </c>
      <c r="H50" s="205">
        <v>5</v>
      </c>
      <c r="I50" s="205">
        <v>48</v>
      </c>
      <c r="J50" s="205" t="s">
        <v>520</v>
      </c>
      <c r="K50" s="424">
        <v>3</v>
      </c>
      <c r="L50" s="205"/>
      <c r="M50" s="3" t="str">
        <f t="shared" ca="1" si="4"/>
        <v>Actif</v>
      </c>
      <c r="N50" s="205" t="s">
        <v>256</v>
      </c>
      <c r="O50" s="373" t="s">
        <v>519</v>
      </c>
      <c r="P50" s="373" t="s">
        <v>521</v>
      </c>
      <c r="Q50" s="207">
        <v>0</v>
      </c>
      <c r="R50" s="207" t="s">
        <v>469</v>
      </c>
    </row>
    <row r="51" spans="1:18" ht="21" customHeight="1">
      <c r="A51" s="421" t="str">
        <f t="shared" ca="1" si="3"/>
        <v>101-Actif</v>
      </c>
      <c r="B51" s="194">
        <v>101</v>
      </c>
      <c r="C51" s="412">
        <v>45778</v>
      </c>
      <c r="D51" s="412">
        <v>46142</v>
      </c>
      <c r="E51" s="205" t="s">
        <v>505</v>
      </c>
      <c r="F51" s="205" t="s">
        <v>486</v>
      </c>
      <c r="G51" s="205">
        <v>4</v>
      </c>
      <c r="H51" s="205">
        <v>6</v>
      </c>
      <c r="I51" s="205">
        <v>30</v>
      </c>
      <c r="J51" s="205" t="s">
        <v>522</v>
      </c>
      <c r="K51" s="424">
        <v>3</v>
      </c>
      <c r="L51" s="205"/>
      <c r="M51" s="3" t="str">
        <f t="shared" ca="1" si="4"/>
        <v>Actif</v>
      </c>
      <c r="N51" s="205" t="s">
        <v>256</v>
      </c>
      <c r="O51" s="373" t="s">
        <v>519</v>
      </c>
      <c r="P51" s="373" t="s">
        <v>521</v>
      </c>
      <c r="Q51" s="207">
        <v>0</v>
      </c>
      <c r="R51" s="207" t="s">
        <v>523</v>
      </c>
    </row>
    <row r="52" spans="1:18" ht="21" customHeight="1">
      <c r="A52" s="421" t="str">
        <f t="shared" ca="1" si="3"/>
        <v>225-Actif</v>
      </c>
      <c r="B52" s="194">
        <v>225</v>
      </c>
      <c r="C52" s="412">
        <v>45778</v>
      </c>
      <c r="D52" s="412">
        <v>46142</v>
      </c>
      <c r="E52" s="205" t="s">
        <v>507</v>
      </c>
      <c r="F52" s="205" t="s">
        <v>272</v>
      </c>
      <c r="G52" s="205">
        <v>2</v>
      </c>
      <c r="H52" s="205">
        <v>4</v>
      </c>
      <c r="I52" s="205">
        <v>23</v>
      </c>
      <c r="J52" s="205" t="s">
        <v>524</v>
      </c>
      <c r="K52" s="424">
        <v>3</v>
      </c>
      <c r="L52" s="205"/>
      <c r="M52" s="3" t="str">
        <f t="shared" ca="1" si="4"/>
        <v>Actif</v>
      </c>
      <c r="N52" s="205" t="s">
        <v>256</v>
      </c>
      <c r="O52" s="373" t="s">
        <v>519</v>
      </c>
      <c r="P52" s="373" t="s">
        <v>525</v>
      </c>
      <c r="Q52" s="207">
        <v>7</v>
      </c>
      <c r="R52" s="207" t="s">
        <v>469</v>
      </c>
    </row>
    <row r="53" spans="1:18" ht="21" customHeight="1">
      <c r="A53" s="421" t="str">
        <f t="shared" ca="1" si="3"/>
        <v>233-Actif</v>
      </c>
      <c r="B53" s="194">
        <v>233</v>
      </c>
      <c r="C53" s="412">
        <v>45778</v>
      </c>
      <c r="D53" s="412">
        <v>46142</v>
      </c>
      <c r="E53" s="205" t="s">
        <v>492</v>
      </c>
      <c r="F53" s="205" t="s">
        <v>241</v>
      </c>
      <c r="G53" s="205">
        <v>5</v>
      </c>
      <c r="H53" s="205">
        <v>9</v>
      </c>
      <c r="I53" s="205">
        <v>43</v>
      </c>
      <c r="J53" s="205" t="s">
        <v>471</v>
      </c>
      <c r="K53" s="424">
        <v>3</v>
      </c>
      <c r="L53" s="205"/>
      <c r="M53" s="3" t="str">
        <f t="shared" ca="1" si="4"/>
        <v>Actif</v>
      </c>
      <c r="N53" s="205" t="s">
        <v>256</v>
      </c>
      <c r="O53" s="373" t="s">
        <v>519</v>
      </c>
      <c r="P53" s="373" t="s">
        <v>474</v>
      </c>
      <c r="Q53" s="207">
        <v>6</v>
      </c>
      <c r="R53" s="207" t="s">
        <v>523</v>
      </c>
    </row>
    <row r="54" spans="1:18" ht="21" customHeight="1">
      <c r="A54" s="421" t="str">
        <f t="shared" ca="1" si="3"/>
        <v>258-Actif</v>
      </c>
      <c r="B54" s="194">
        <v>258</v>
      </c>
      <c r="C54" s="412">
        <v>45778</v>
      </c>
      <c r="D54" s="412">
        <v>46142</v>
      </c>
      <c r="E54" s="205" t="s">
        <v>507</v>
      </c>
      <c r="F54" s="205" t="s">
        <v>486</v>
      </c>
      <c r="G54" s="205">
        <v>4</v>
      </c>
      <c r="H54" s="205">
        <v>6</v>
      </c>
      <c r="I54" s="205">
        <v>21</v>
      </c>
      <c r="J54" s="205" t="s">
        <v>502</v>
      </c>
      <c r="K54" s="424">
        <v>3</v>
      </c>
      <c r="L54" s="205">
        <v>7</v>
      </c>
      <c r="M54" s="3" t="str">
        <f t="shared" ca="1" si="4"/>
        <v>Actif</v>
      </c>
      <c r="N54" s="205" t="s">
        <v>256</v>
      </c>
      <c r="O54" s="373" t="s">
        <v>519</v>
      </c>
      <c r="P54" s="373" t="s">
        <v>525</v>
      </c>
      <c r="R54" s="207" t="s">
        <v>469</v>
      </c>
    </row>
    <row r="55" spans="1:18" ht="21" customHeight="1">
      <c r="A55" s="421" t="str">
        <f t="shared" ca="1" si="3"/>
        <v>619-Actif</v>
      </c>
      <c r="B55" s="194">
        <v>619</v>
      </c>
      <c r="C55" s="412">
        <v>45778</v>
      </c>
      <c r="D55" s="412">
        <v>46142</v>
      </c>
      <c r="E55" s="205" t="s">
        <v>500</v>
      </c>
      <c r="F55" s="205" t="s">
        <v>486</v>
      </c>
      <c r="G55" s="205">
        <v>5</v>
      </c>
      <c r="H55" s="205">
        <v>7</v>
      </c>
      <c r="I55" s="205">
        <v>55</v>
      </c>
      <c r="J55" s="205" t="s">
        <v>526</v>
      </c>
      <c r="K55" s="424">
        <v>3</v>
      </c>
      <c r="L55" s="205"/>
      <c r="M55" s="3" t="str">
        <f t="shared" ca="1" si="4"/>
        <v>Actif</v>
      </c>
      <c r="N55" s="205" t="s">
        <v>256</v>
      </c>
      <c r="O55" s="373" t="s">
        <v>519</v>
      </c>
      <c r="P55" s="373" t="s">
        <v>521</v>
      </c>
      <c r="R55" s="207" t="s">
        <v>523</v>
      </c>
    </row>
    <row r="56" spans="1:18" ht="21" customHeight="1">
      <c r="A56" s="421" t="str">
        <f t="shared" ca="1" si="3"/>
        <v>752-Actif</v>
      </c>
      <c r="B56" s="194">
        <v>752</v>
      </c>
      <c r="C56" s="412">
        <v>45778</v>
      </c>
      <c r="D56" s="412">
        <v>46142</v>
      </c>
      <c r="E56" s="205" t="s">
        <v>513</v>
      </c>
      <c r="F56" s="205" t="s">
        <v>241</v>
      </c>
      <c r="G56" s="205">
        <v>3</v>
      </c>
      <c r="H56" s="205">
        <v>5</v>
      </c>
      <c r="I56" s="205">
        <v>39</v>
      </c>
      <c r="J56" s="205" t="s">
        <v>489</v>
      </c>
      <c r="K56" s="424">
        <v>3</v>
      </c>
      <c r="L56" s="205"/>
      <c r="M56" s="3" t="str">
        <f t="shared" ca="1" si="4"/>
        <v>Actif</v>
      </c>
      <c r="N56" s="205" t="s">
        <v>256</v>
      </c>
      <c r="O56" s="373" t="s">
        <v>519</v>
      </c>
      <c r="P56" s="373" t="s">
        <v>527</v>
      </c>
      <c r="Q56" s="207">
        <v>14</v>
      </c>
      <c r="R56" s="207" t="s">
        <v>469</v>
      </c>
    </row>
    <row r="57" spans="1:18" ht="21" customHeight="1">
      <c r="A57" s="421" t="str">
        <f t="shared" ca="1" si="3"/>
        <v>761-Actif</v>
      </c>
      <c r="B57" s="194">
        <v>761</v>
      </c>
      <c r="C57" s="412">
        <v>45778</v>
      </c>
      <c r="D57" s="412">
        <v>46142</v>
      </c>
      <c r="E57" s="205" t="s">
        <v>513</v>
      </c>
      <c r="F57" s="205" t="s">
        <v>504</v>
      </c>
      <c r="G57" s="205">
        <v>4</v>
      </c>
      <c r="H57" s="205">
        <v>6</v>
      </c>
      <c r="I57" s="205">
        <v>37</v>
      </c>
      <c r="J57" s="205" t="s">
        <v>505</v>
      </c>
      <c r="K57" s="424">
        <v>3</v>
      </c>
      <c r="L57" s="205">
        <v>7</v>
      </c>
      <c r="M57" s="3" t="str">
        <f t="shared" ca="1" si="4"/>
        <v>Actif</v>
      </c>
      <c r="N57" s="205" t="s">
        <v>256</v>
      </c>
      <c r="O57" s="373" t="s">
        <v>519</v>
      </c>
      <c r="P57" s="373" t="s">
        <v>527</v>
      </c>
      <c r="Q57" s="207">
        <v>14</v>
      </c>
      <c r="R57" s="207" t="s">
        <v>469</v>
      </c>
    </row>
    <row r="58" spans="1:18" ht="21" customHeight="1">
      <c r="A58" s="421" t="str">
        <f t="shared" ca="1" si="3"/>
        <v>801-Actif</v>
      </c>
      <c r="B58" s="194">
        <v>801</v>
      </c>
      <c r="C58" s="412">
        <v>45778</v>
      </c>
      <c r="D58" s="412">
        <v>46142</v>
      </c>
      <c r="E58" s="205" t="s">
        <v>507</v>
      </c>
      <c r="F58" s="205" t="s">
        <v>486</v>
      </c>
      <c r="G58" s="205">
        <v>4</v>
      </c>
      <c r="H58" s="205">
        <v>6</v>
      </c>
      <c r="I58" s="205">
        <v>41</v>
      </c>
      <c r="J58" s="205" t="s">
        <v>479</v>
      </c>
      <c r="K58" s="424">
        <v>3</v>
      </c>
      <c r="L58" s="205">
        <v>14</v>
      </c>
      <c r="M58" s="3" t="str">
        <f t="shared" ca="1" si="4"/>
        <v>Actif</v>
      </c>
      <c r="N58" s="205" t="s">
        <v>256</v>
      </c>
      <c r="O58" s="373" t="s">
        <v>519</v>
      </c>
      <c r="P58" s="373" t="s">
        <v>527</v>
      </c>
      <c r="Q58" s="207">
        <v>14</v>
      </c>
      <c r="R58" s="207" t="s">
        <v>469</v>
      </c>
    </row>
    <row r="59" spans="1:18" ht="21" customHeight="1">
      <c r="A59" s="421" t="str">
        <f t="shared" ca="1" si="3"/>
        <v>907-Actif</v>
      </c>
      <c r="B59" s="194">
        <v>907</v>
      </c>
      <c r="C59" s="412">
        <v>45778</v>
      </c>
      <c r="D59" s="412">
        <v>46142</v>
      </c>
      <c r="E59" s="205" t="s">
        <v>510</v>
      </c>
      <c r="F59" s="205" t="s">
        <v>241</v>
      </c>
      <c r="G59" s="205">
        <v>3</v>
      </c>
      <c r="H59" s="205">
        <v>5</v>
      </c>
      <c r="I59" s="205">
        <v>34</v>
      </c>
      <c r="J59" s="205" t="s">
        <v>489</v>
      </c>
      <c r="K59" s="424">
        <v>3</v>
      </c>
      <c r="L59" s="205"/>
      <c r="M59" s="3" t="str">
        <f t="shared" ca="1" si="4"/>
        <v>Actif</v>
      </c>
      <c r="N59" s="205" t="s">
        <v>256</v>
      </c>
      <c r="O59" s="373" t="s">
        <v>519</v>
      </c>
      <c r="P59" s="373" t="s">
        <v>474</v>
      </c>
      <c r="Q59" s="207">
        <v>14</v>
      </c>
      <c r="R59" s="207" t="s">
        <v>469</v>
      </c>
    </row>
    <row r="60" spans="1:18" ht="21" customHeight="1">
      <c r="A60" s="421" t="str">
        <f t="shared" ca="1" si="3"/>
        <v>910-Actif</v>
      </c>
      <c r="B60" s="194">
        <v>910</v>
      </c>
      <c r="C60" s="412">
        <v>45778</v>
      </c>
      <c r="D60" s="412">
        <v>46142</v>
      </c>
      <c r="E60" s="205" t="s">
        <v>505</v>
      </c>
      <c r="F60" s="205" t="s">
        <v>241</v>
      </c>
      <c r="G60" s="205">
        <v>12</v>
      </c>
      <c r="H60" s="205">
        <v>15</v>
      </c>
      <c r="I60" s="205">
        <v>35</v>
      </c>
      <c r="J60" s="205" t="s">
        <v>489</v>
      </c>
      <c r="K60" s="424">
        <v>3</v>
      </c>
      <c r="L60" s="205">
        <v>0</v>
      </c>
      <c r="M60" s="3" t="str">
        <f t="shared" ca="1" si="4"/>
        <v>Actif</v>
      </c>
      <c r="N60" s="205" t="s">
        <v>256</v>
      </c>
      <c r="O60" s="373" t="s">
        <v>519</v>
      </c>
      <c r="P60" s="373" t="s">
        <v>474</v>
      </c>
      <c r="Q60" s="207">
        <v>14</v>
      </c>
      <c r="R60" s="207" t="s">
        <v>469</v>
      </c>
    </row>
    <row r="61" spans="1:18" ht="21" customHeight="1">
      <c r="A61" s="421" t="str">
        <f t="shared" ca="1" si="3"/>
        <v>926-Actif</v>
      </c>
      <c r="B61" s="194">
        <v>926</v>
      </c>
      <c r="C61" s="412">
        <v>45778</v>
      </c>
      <c r="D61" s="412">
        <v>46142</v>
      </c>
      <c r="E61" s="205" t="s">
        <v>505</v>
      </c>
      <c r="F61" s="205" t="s">
        <v>272</v>
      </c>
      <c r="G61" s="205">
        <v>10</v>
      </c>
      <c r="H61" s="205">
        <v>12</v>
      </c>
      <c r="I61" s="205">
        <v>27</v>
      </c>
      <c r="J61" s="205" t="s">
        <v>508</v>
      </c>
      <c r="K61" s="424">
        <v>3</v>
      </c>
      <c r="L61" s="205">
        <v>7</v>
      </c>
      <c r="M61" s="3" t="str">
        <f t="shared" ca="1" si="4"/>
        <v>Actif</v>
      </c>
      <c r="N61" s="205" t="s">
        <v>256</v>
      </c>
      <c r="O61" s="373" t="s">
        <v>528</v>
      </c>
      <c r="P61" s="373" t="s">
        <v>525</v>
      </c>
      <c r="Q61" s="207">
        <v>14</v>
      </c>
      <c r="R61" s="207" t="s">
        <v>469</v>
      </c>
    </row>
    <row r="62" spans="1:18" ht="21" customHeight="1">
      <c r="A62" s="421" t="str">
        <f t="shared" ca="1" si="3"/>
        <v>928-Actif</v>
      </c>
      <c r="B62" s="194">
        <v>928</v>
      </c>
      <c r="C62" s="412">
        <v>45778</v>
      </c>
      <c r="D62" s="412">
        <v>46142</v>
      </c>
      <c r="E62" s="205" t="s">
        <v>492</v>
      </c>
      <c r="F62" s="205" t="s">
        <v>241</v>
      </c>
      <c r="G62" s="205">
        <v>5</v>
      </c>
      <c r="H62" s="205">
        <v>9</v>
      </c>
      <c r="I62" s="205">
        <v>27</v>
      </c>
      <c r="J62" s="205" t="s">
        <v>489</v>
      </c>
      <c r="K62" s="424">
        <v>3</v>
      </c>
      <c r="L62" s="205">
        <v>7</v>
      </c>
      <c r="M62" s="3" t="str">
        <f t="shared" ca="1" si="4"/>
        <v>Actif</v>
      </c>
      <c r="N62" s="205" t="s">
        <v>256</v>
      </c>
      <c r="O62" s="373" t="s">
        <v>519</v>
      </c>
      <c r="P62" s="373" t="s">
        <v>474</v>
      </c>
      <c r="Q62" s="207">
        <v>14</v>
      </c>
      <c r="R62" s="207" t="s">
        <v>469</v>
      </c>
    </row>
    <row r="63" spans="1:18" ht="21" customHeight="1">
      <c r="A63" s="418" t="str">
        <f t="shared" ca="1" si="3"/>
        <v>900-Actif</v>
      </c>
      <c r="B63" s="172">
        <v>900</v>
      </c>
      <c r="C63" s="419">
        <v>45778</v>
      </c>
      <c r="D63" s="419">
        <v>46142</v>
      </c>
      <c r="E63" s="206" t="s">
        <v>497</v>
      </c>
      <c r="F63" s="206" t="s">
        <v>241</v>
      </c>
      <c r="G63" s="206">
        <v>4</v>
      </c>
      <c r="H63" s="206">
        <v>6</v>
      </c>
      <c r="I63" s="205">
        <v>23</v>
      </c>
      <c r="J63" s="205" t="s">
        <v>489</v>
      </c>
      <c r="K63" s="205">
        <v>3</v>
      </c>
      <c r="L63" s="205"/>
      <c r="M63" s="3" t="str">
        <f t="shared" ca="1" si="4"/>
        <v>Actif</v>
      </c>
      <c r="N63" s="206" t="s">
        <v>242</v>
      </c>
      <c r="O63" s="373" t="s">
        <v>519</v>
      </c>
      <c r="P63" s="373" t="s">
        <v>474</v>
      </c>
      <c r="Q63" s="207">
        <v>3</v>
      </c>
      <c r="R63" s="207" t="s">
        <v>469</v>
      </c>
    </row>
    <row r="64" spans="1:18" ht="21" customHeight="1">
      <c r="A64" s="418" t="str">
        <f t="shared" ca="1" si="3"/>
        <v>908-Actif</v>
      </c>
      <c r="B64" s="172">
        <v>908</v>
      </c>
      <c r="C64" s="419">
        <v>45778</v>
      </c>
      <c r="D64" s="419">
        <v>46142</v>
      </c>
      <c r="E64" s="206" t="s">
        <v>484</v>
      </c>
      <c r="F64" s="206" t="s">
        <v>272</v>
      </c>
      <c r="G64" s="205">
        <v>5</v>
      </c>
      <c r="H64" s="205">
        <v>7</v>
      </c>
      <c r="I64" s="205">
        <v>43</v>
      </c>
      <c r="J64" s="205" t="s">
        <v>489</v>
      </c>
      <c r="K64" s="424">
        <v>3</v>
      </c>
      <c r="L64" s="205">
        <v>7</v>
      </c>
      <c r="M64" s="3" t="str">
        <f t="shared" ca="1" si="4"/>
        <v>Actif</v>
      </c>
      <c r="N64" s="206" t="s">
        <v>242</v>
      </c>
      <c r="O64" s="373" t="s">
        <v>519</v>
      </c>
      <c r="P64" s="373" t="s">
        <v>474</v>
      </c>
      <c r="Q64" s="207">
        <v>16</v>
      </c>
      <c r="R64" s="207" t="s">
        <v>529</v>
      </c>
    </row>
    <row r="65" spans="1:18" ht="21" customHeight="1">
      <c r="A65" s="418" t="str">
        <f t="shared" ca="1" si="3"/>
        <v>131-Actif</v>
      </c>
      <c r="B65" s="438">
        <v>131</v>
      </c>
      <c r="C65" s="439">
        <v>45778</v>
      </c>
      <c r="D65" s="439">
        <v>46142</v>
      </c>
      <c r="E65" s="440" t="s">
        <v>471</v>
      </c>
      <c r="F65" s="440" t="s">
        <v>486</v>
      </c>
      <c r="G65" s="440">
        <v>3</v>
      </c>
      <c r="H65" s="440">
        <v>5</v>
      </c>
      <c r="I65" s="441">
        <v>12</v>
      </c>
      <c r="J65" s="441" t="s">
        <v>503</v>
      </c>
      <c r="K65" s="441">
        <v>3</v>
      </c>
      <c r="L65" s="205"/>
      <c r="M65" s="3" t="str">
        <f t="shared" ca="1" si="4"/>
        <v>Actif</v>
      </c>
      <c r="N65" s="206" t="s">
        <v>530</v>
      </c>
      <c r="O65" s="373" t="s">
        <v>519</v>
      </c>
      <c r="P65" s="373" t="s">
        <v>527</v>
      </c>
      <c r="R65" s="207" t="s">
        <v>531</v>
      </c>
    </row>
    <row r="66" spans="1:18" ht="21" customHeight="1">
      <c r="A66" s="418" t="str">
        <f t="shared" ca="1" si="3"/>
        <v>266-Actif</v>
      </c>
      <c r="B66" s="438">
        <v>266</v>
      </c>
      <c r="C66" s="439">
        <v>45778</v>
      </c>
      <c r="D66" s="439">
        <v>46142</v>
      </c>
      <c r="E66" s="440" t="s">
        <v>471</v>
      </c>
      <c r="F66" s="440" t="s">
        <v>486</v>
      </c>
      <c r="G66" s="440">
        <v>5</v>
      </c>
      <c r="H66" s="440">
        <v>7</v>
      </c>
      <c r="I66" s="441">
        <v>18</v>
      </c>
      <c r="J66" s="441" t="s">
        <v>532</v>
      </c>
      <c r="K66" s="441">
        <v>3</v>
      </c>
      <c r="L66" s="205"/>
      <c r="M66" s="3" t="str">
        <f t="shared" ca="1" si="4"/>
        <v>Actif</v>
      </c>
      <c r="N66" s="206" t="s">
        <v>530</v>
      </c>
      <c r="O66" s="373" t="s">
        <v>519</v>
      </c>
      <c r="P66" s="373" t="s">
        <v>525</v>
      </c>
      <c r="R66" s="207" t="s">
        <v>531</v>
      </c>
    </row>
    <row r="67" spans="1:18" ht="21" customHeight="1">
      <c r="A67" s="418" t="str">
        <f t="shared" ref="A67:A78" ca="1" si="5">_xlfn.CONCAT(B67,"-",M67)</f>
        <v>901-Actif</v>
      </c>
      <c r="B67" s="172">
        <v>901</v>
      </c>
      <c r="C67" s="419">
        <v>45778</v>
      </c>
      <c r="D67" s="419">
        <v>46142</v>
      </c>
      <c r="E67" s="206" t="s">
        <v>489</v>
      </c>
      <c r="F67" s="206" t="s">
        <v>241</v>
      </c>
      <c r="G67" s="206">
        <v>4</v>
      </c>
      <c r="H67" s="206">
        <v>6</v>
      </c>
      <c r="I67" s="205">
        <v>43</v>
      </c>
      <c r="J67" s="205" t="s">
        <v>484</v>
      </c>
      <c r="K67" s="205">
        <v>3</v>
      </c>
      <c r="L67" s="205"/>
      <c r="M67" s="3" t="str">
        <f t="shared" ca="1" si="4"/>
        <v>Actif</v>
      </c>
      <c r="N67" s="206" t="s">
        <v>530</v>
      </c>
      <c r="O67" s="373" t="s">
        <v>519</v>
      </c>
      <c r="P67" s="373" t="s">
        <v>474</v>
      </c>
      <c r="Q67" s="207">
        <v>7</v>
      </c>
      <c r="R67" s="207" t="s">
        <v>469</v>
      </c>
    </row>
    <row r="68" spans="1:18" ht="21" customHeight="1">
      <c r="A68" s="418" t="str">
        <f t="shared" ca="1" si="5"/>
        <v>916-Actif</v>
      </c>
      <c r="B68" s="172">
        <v>916</v>
      </c>
      <c r="C68" s="419">
        <v>45778</v>
      </c>
      <c r="D68" s="419">
        <v>46142</v>
      </c>
      <c r="E68" s="206" t="s">
        <v>489</v>
      </c>
      <c r="F68" s="206" t="s">
        <v>486</v>
      </c>
      <c r="G68" s="206">
        <v>3</v>
      </c>
      <c r="H68" s="206">
        <v>5</v>
      </c>
      <c r="I68" s="205">
        <v>30</v>
      </c>
      <c r="J68" s="205" t="s">
        <v>492</v>
      </c>
      <c r="K68" s="424">
        <v>3</v>
      </c>
      <c r="L68" s="205"/>
      <c r="M68" s="3" t="str">
        <f t="shared" ca="1" si="4"/>
        <v>Actif</v>
      </c>
      <c r="N68" s="206" t="s">
        <v>530</v>
      </c>
      <c r="O68" s="373" t="s">
        <v>519</v>
      </c>
      <c r="P68" s="373" t="s">
        <v>474</v>
      </c>
      <c r="Q68" s="207">
        <v>13</v>
      </c>
      <c r="R68" s="207" t="s">
        <v>469</v>
      </c>
    </row>
    <row r="69" spans="1:18" ht="21" customHeight="1">
      <c r="A69" s="418" t="str">
        <f t="shared" ca="1" si="5"/>
        <v>1080-Actif</v>
      </c>
      <c r="B69" s="172">
        <v>1080</v>
      </c>
      <c r="C69" s="419">
        <v>45778</v>
      </c>
      <c r="D69" s="419">
        <v>46142</v>
      </c>
      <c r="E69" s="206" t="s">
        <v>522</v>
      </c>
      <c r="F69" s="206" t="s">
        <v>276</v>
      </c>
      <c r="G69" s="206">
        <v>3</v>
      </c>
      <c r="H69" s="206">
        <v>5</v>
      </c>
      <c r="I69" s="205">
        <v>16</v>
      </c>
      <c r="J69" s="205" t="s">
        <v>503</v>
      </c>
      <c r="K69" s="424">
        <v>3</v>
      </c>
      <c r="L69" s="205"/>
      <c r="M69" s="3" t="str">
        <f t="shared" ca="1" si="4"/>
        <v>Actif</v>
      </c>
      <c r="N69" s="206" t="s">
        <v>530</v>
      </c>
      <c r="O69" s="373" t="s">
        <v>519</v>
      </c>
      <c r="P69" s="373" t="s">
        <v>481</v>
      </c>
      <c r="R69" s="207" t="s">
        <v>482</v>
      </c>
    </row>
    <row r="70" spans="1:18" ht="21" customHeight="1">
      <c r="A70" s="418" t="str">
        <f t="shared" ca="1" si="5"/>
        <v>1081-Actif</v>
      </c>
      <c r="B70" s="172">
        <v>1081</v>
      </c>
      <c r="C70" s="419">
        <v>45778</v>
      </c>
      <c r="D70" s="419">
        <v>46142</v>
      </c>
      <c r="E70" s="206" t="s">
        <v>522</v>
      </c>
      <c r="F70" s="206" t="s">
        <v>276</v>
      </c>
      <c r="G70" s="206">
        <v>3</v>
      </c>
      <c r="H70" s="206">
        <v>5</v>
      </c>
      <c r="I70" s="205">
        <v>35</v>
      </c>
      <c r="J70" s="205" t="s">
        <v>489</v>
      </c>
      <c r="K70" s="205">
        <v>3</v>
      </c>
      <c r="L70" s="205"/>
      <c r="M70" s="3" t="str">
        <f t="shared" ca="1" si="4"/>
        <v>Actif</v>
      </c>
      <c r="N70" s="206" t="s">
        <v>530</v>
      </c>
      <c r="O70" s="373" t="s">
        <v>519</v>
      </c>
      <c r="P70" s="373" t="s">
        <v>481</v>
      </c>
      <c r="R70" s="207" t="s">
        <v>482</v>
      </c>
    </row>
    <row r="71" spans="1:18" ht="21" customHeight="1">
      <c r="A71" s="418" t="str">
        <f t="shared" ca="1" si="5"/>
        <v>1082-Actif</v>
      </c>
      <c r="B71" s="172">
        <v>1082</v>
      </c>
      <c r="C71" s="419">
        <v>45778</v>
      </c>
      <c r="D71" s="419">
        <v>46142</v>
      </c>
      <c r="E71" s="206" t="s">
        <v>522</v>
      </c>
      <c r="F71" s="206" t="s">
        <v>276</v>
      </c>
      <c r="G71" s="206">
        <v>2</v>
      </c>
      <c r="H71" s="206">
        <v>4</v>
      </c>
      <c r="I71" s="205">
        <v>36</v>
      </c>
      <c r="J71" s="205" t="s">
        <v>508</v>
      </c>
      <c r="K71" s="424">
        <v>3</v>
      </c>
      <c r="L71" s="205"/>
      <c r="M71" s="3" t="str">
        <f t="shared" ca="1" si="4"/>
        <v>Actif</v>
      </c>
      <c r="N71" s="206" t="s">
        <v>530</v>
      </c>
      <c r="O71" s="373" t="s">
        <v>519</v>
      </c>
      <c r="P71" s="373" t="s">
        <v>481</v>
      </c>
      <c r="R71" s="207" t="s">
        <v>482</v>
      </c>
    </row>
    <row r="72" spans="1:18" ht="21" customHeight="1">
      <c r="A72" s="418" t="str">
        <f t="shared" ca="1" si="5"/>
        <v>1083-Actif</v>
      </c>
      <c r="B72" s="172">
        <v>1083</v>
      </c>
      <c r="C72" s="419">
        <v>45778</v>
      </c>
      <c r="D72" s="419">
        <v>46142</v>
      </c>
      <c r="E72" s="206" t="s">
        <v>532</v>
      </c>
      <c r="F72" s="206" t="s">
        <v>276</v>
      </c>
      <c r="G72" s="206">
        <v>3</v>
      </c>
      <c r="H72" s="206">
        <v>5</v>
      </c>
      <c r="I72" s="205">
        <v>25</v>
      </c>
      <c r="J72" s="205" t="s">
        <v>479</v>
      </c>
      <c r="K72" s="205">
        <v>3</v>
      </c>
      <c r="L72" s="205"/>
      <c r="M72" s="3" t="str">
        <f t="shared" ca="1" si="4"/>
        <v>Actif</v>
      </c>
      <c r="N72" s="206" t="s">
        <v>530</v>
      </c>
      <c r="O72" s="373" t="s">
        <v>519</v>
      </c>
      <c r="P72" s="373" t="s">
        <v>481</v>
      </c>
      <c r="R72" s="207" t="s">
        <v>482</v>
      </c>
    </row>
    <row r="73" spans="1:18" ht="21" customHeight="1">
      <c r="A73" s="418" t="str">
        <f t="shared" ca="1" si="5"/>
        <v>1084-Actif</v>
      </c>
      <c r="B73" s="172">
        <v>1084</v>
      </c>
      <c r="C73" s="419">
        <v>45778</v>
      </c>
      <c r="D73" s="419">
        <v>46142</v>
      </c>
      <c r="E73" s="206" t="s">
        <v>522</v>
      </c>
      <c r="F73" s="206" t="s">
        <v>276</v>
      </c>
      <c r="G73" s="206">
        <v>3</v>
      </c>
      <c r="H73" s="206">
        <v>5</v>
      </c>
      <c r="I73" s="205">
        <v>35</v>
      </c>
      <c r="J73" s="205" t="s">
        <v>489</v>
      </c>
      <c r="K73" s="424">
        <v>3</v>
      </c>
      <c r="L73" s="205"/>
      <c r="M73" s="3" t="str">
        <f t="shared" ca="1" si="4"/>
        <v>Actif</v>
      </c>
      <c r="N73" s="206" t="s">
        <v>530</v>
      </c>
      <c r="O73" s="373" t="s">
        <v>519</v>
      </c>
      <c r="P73" s="373" t="s">
        <v>491</v>
      </c>
      <c r="R73" s="207" t="s">
        <v>482</v>
      </c>
    </row>
    <row r="74" spans="1:18" ht="21" customHeight="1">
      <c r="A74" s="442" t="str">
        <f t="shared" ca="1" si="5"/>
        <v>920-Actif</v>
      </c>
      <c r="B74" s="207">
        <v>920</v>
      </c>
      <c r="C74" s="443">
        <v>45778</v>
      </c>
      <c r="D74" s="443">
        <v>46142</v>
      </c>
      <c r="E74" s="207" t="s">
        <v>476</v>
      </c>
      <c r="F74" s="207" t="s">
        <v>241</v>
      </c>
      <c r="G74" s="207">
        <v>4</v>
      </c>
      <c r="H74" s="207">
        <v>6</v>
      </c>
      <c r="I74" s="207">
        <v>30</v>
      </c>
      <c r="J74" s="207" t="s">
        <v>492</v>
      </c>
      <c r="K74" s="207">
        <v>3</v>
      </c>
      <c r="L74" s="207">
        <v>0</v>
      </c>
      <c r="M74" s="444" t="str">
        <f t="shared" ca="1" si="4"/>
        <v>Actif</v>
      </c>
      <c r="N74" s="207" t="s">
        <v>472</v>
      </c>
      <c r="P74" s="373" t="s">
        <v>474</v>
      </c>
      <c r="Q74" s="207">
        <v>14</v>
      </c>
      <c r="R74" s="207" t="s">
        <v>482</v>
      </c>
    </row>
    <row r="75" spans="1:18" ht="21" customHeight="1">
      <c r="A75" s="442" t="str">
        <f t="shared" ca="1" si="5"/>
        <v>921-Actif</v>
      </c>
      <c r="B75" s="207">
        <v>921</v>
      </c>
      <c r="C75" s="443">
        <v>45778</v>
      </c>
      <c r="D75" s="443">
        <v>46142</v>
      </c>
      <c r="E75" s="207" t="s">
        <v>476</v>
      </c>
      <c r="F75" s="207" t="s">
        <v>241</v>
      </c>
      <c r="G75" s="207">
        <v>4</v>
      </c>
      <c r="H75" s="207">
        <v>6</v>
      </c>
      <c r="I75" s="207">
        <v>48</v>
      </c>
      <c r="J75" s="207" t="s">
        <v>510</v>
      </c>
      <c r="K75" s="207">
        <v>3</v>
      </c>
      <c r="L75" s="207">
        <v>0</v>
      </c>
      <c r="M75" s="444" t="str">
        <f t="shared" ca="1" si="4"/>
        <v>Actif</v>
      </c>
      <c r="N75" s="207" t="s">
        <v>472</v>
      </c>
      <c r="P75" s="373" t="s">
        <v>474</v>
      </c>
      <c r="Q75" s="207">
        <v>14</v>
      </c>
      <c r="R75" s="207" t="s">
        <v>482</v>
      </c>
    </row>
    <row r="76" spans="1:18" ht="21" customHeight="1">
      <c r="A76" s="418" t="str">
        <f t="shared" ca="1" si="5"/>
        <v>1040-Actif</v>
      </c>
      <c r="B76" s="172">
        <v>1040</v>
      </c>
      <c r="C76" s="422">
        <v>45717</v>
      </c>
      <c r="D76" s="422">
        <v>46142</v>
      </c>
      <c r="E76" s="431" t="s">
        <v>493</v>
      </c>
      <c r="F76" s="205" t="s">
        <v>282</v>
      </c>
      <c r="G76" s="431">
        <v>5</v>
      </c>
      <c r="H76" s="423">
        <v>11</v>
      </c>
      <c r="I76" s="198">
        <v>32</v>
      </c>
      <c r="J76" s="198" t="s">
        <v>518</v>
      </c>
      <c r="K76" s="420">
        <v>3</v>
      </c>
      <c r="L76" s="205">
        <v>0</v>
      </c>
      <c r="M76" s="4" t="str">
        <f ca="1">IF(AND(C76&lt;TODAY(),D76&gt;TODAY()),"Actif",IF(C76&gt;TODAY(),"Next","Inactif"))</f>
        <v>Actif</v>
      </c>
      <c r="N76" s="206" t="s">
        <v>256</v>
      </c>
      <c r="O76" s="373" t="s">
        <v>495</v>
      </c>
      <c r="P76" s="373" t="s">
        <v>481</v>
      </c>
    </row>
    <row r="77" spans="1:18" ht="21" customHeight="1">
      <c r="A77" s="421" t="str">
        <f t="shared" ca="1" si="5"/>
        <v>1063-Actif</v>
      </c>
      <c r="B77" s="194">
        <v>1063</v>
      </c>
      <c r="C77" s="422">
        <v>45717</v>
      </c>
      <c r="D77" s="422">
        <v>46142</v>
      </c>
      <c r="E77" s="431" t="s">
        <v>488</v>
      </c>
      <c r="F77" s="205" t="s">
        <v>241</v>
      </c>
      <c r="G77" s="431">
        <v>2</v>
      </c>
      <c r="H77" s="423">
        <v>4</v>
      </c>
      <c r="I77" s="198">
        <v>50</v>
      </c>
      <c r="J77" s="198" t="s">
        <v>500</v>
      </c>
      <c r="K77" s="424">
        <v>3</v>
      </c>
      <c r="L77" s="198">
        <v>0</v>
      </c>
      <c r="M77" s="428" t="str">
        <f ca="1">IF(AND(C77&lt;TODAY(),D77&gt;TODAY()),"Actif",IF(C77&gt;TODAY(),"Next","Inactif"))</f>
        <v>Actif</v>
      </c>
      <c r="N77" s="205" t="s">
        <v>256</v>
      </c>
      <c r="O77" s="373" t="s">
        <v>490</v>
      </c>
      <c r="P77" s="373" t="s">
        <v>491</v>
      </c>
    </row>
    <row r="78" spans="1:18" ht="21" customHeight="1">
      <c r="A78" s="421" t="str">
        <f t="shared" ca="1" si="5"/>
        <v>924-Actif</v>
      </c>
      <c r="B78" s="194">
        <v>924</v>
      </c>
      <c r="C78" s="422">
        <v>45789</v>
      </c>
      <c r="D78" s="422">
        <v>46142</v>
      </c>
      <c r="E78" s="423" t="s">
        <v>497</v>
      </c>
      <c r="F78" s="423" t="s">
        <v>234</v>
      </c>
      <c r="G78" s="423">
        <v>5</v>
      </c>
      <c r="H78" s="423">
        <v>7</v>
      </c>
      <c r="I78" s="198">
        <v>21</v>
      </c>
      <c r="J78" s="198" t="s">
        <v>484</v>
      </c>
      <c r="K78" s="424">
        <v>3</v>
      </c>
      <c r="L78" s="198">
        <v>7</v>
      </c>
      <c r="M78" s="428" t="str">
        <f ca="1">IF(AND(C78&lt;=TODAY(),D78&gt;TODAY()),"Actif",IF(C78&gt;TODAY(),"Next","Inactif"))</f>
        <v>Actif</v>
      </c>
      <c r="N78" s="423" t="s">
        <v>242</v>
      </c>
      <c r="O78" s="425" t="s">
        <v>533</v>
      </c>
      <c r="P78" s="373" t="s">
        <v>534</v>
      </c>
      <c r="Q78" s="198"/>
      <c r="R78" s="1"/>
    </row>
  </sheetData>
  <pageMargins left="0.7" right="0.7" top="0.75" bottom="0.75" header="0.3" footer="0.3"/>
  <pageSetup orientation="portrait" horizontalDpi="360" verticalDpi="36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6">
    <tabColor rgb="FFDF41C8"/>
  </sheetPr>
  <dimension ref="A1:V233"/>
  <sheetViews>
    <sheetView zoomScale="70" zoomScaleNormal="70" workbookViewId="0">
      <pane ySplit="1" topLeftCell="A2" activePane="bottomLeft" state="frozen"/>
      <selection activeCell="C1" sqref="C1"/>
      <selection pane="bottomLeft" activeCell="E42" sqref="E42"/>
    </sheetView>
  </sheetViews>
  <sheetFormatPr baseColWidth="10" defaultColWidth="11.44140625" defaultRowHeight="14.4" outlineLevelCol="1"/>
  <cols>
    <col min="1" max="1" width="38.5546875" customWidth="1" outlineLevel="1"/>
    <col min="2" max="2" width="30.44140625" customWidth="1" outlineLevel="1"/>
    <col min="3" max="3" width="21" style="48" bestFit="1" customWidth="1"/>
    <col min="4" max="4" width="14.44140625" style="48" bestFit="1" customWidth="1"/>
    <col min="5" max="5" width="19.5546875" style="48" customWidth="1"/>
    <col min="6" max="6" width="14.44140625" style="48" customWidth="1"/>
    <col min="7" max="7" width="17.88671875" style="48" customWidth="1"/>
    <col min="8" max="8" width="15.44140625" style="48" customWidth="1"/>
    <col min="9" max="15" width="14.44140625" style="48" customWidth="1"/>
    <col min="16" max="16" width="12.44140625" customWidth="1"/>
    <col min="17" max="17" width="46.44140625" bestFit="1" customWidth="1"/>
  </cols>
  <sheetData>
    <row r="1" spans="1:22" ht="43.35" customHeight="1" thickBot="1">
      <c r="A1" s="208" t="s">
        <v>535</v>
      </c>
      <c r="B1" s="209" t="s">
        <v>536</v>
      </c>
      <c r="C1" s="210" t="s">
        <v>537</v>
      </c>
      <c r="D1" s="211" t="s">
        <v>103</v>
      </c>
      <c r="E1" s="138" t="s">
        <v>538</v>
      </c>
      <c r="F1" s="139" t="s">
        <v>109</v>
      </c>
      <c r="G1" s="159" t="s">
        <v>539</v>
      </c>
      <c r="H1" s="212" t="s">
        <v>101</v>
      </c>
      <c r="I1" s="159" t="s">
        <v>104</v>
      </c>
      <c r="J1" s="211" t="s">
        <v>105</v>
      </c>
      <c r="K1" s="212" t="s">
        <v>106</v>
      </c>
      <c r="L1" s="141" t="s">
        <v>42</v>
      </c>
      <c r="M1" s="139" t="s">
        <v>107</v>
      </c>
      <c r="N1" s="139" t="s">
        <v>43</v>
      </c>
      <c r="O1" s="140" t="s">
        <v>110</v>
      </c>
      <c r="P1" s="142" t="s">
        <v>44</v>
      </c>
      <c r="Q1" s="142" t="s">
        <v>540</v>
      </c>
    </row>
    <row r="2" spans="1:22" ht="15.75" customHeight="1" thickBot="1">
      <c r="A2" s="111"/>
      <c r="B2" s="341"/>
      <c r="C2" s="210">
        <v>6</v>
      </c>
      <c r="D2" s="213">
        <v>7</v>
      </c>
      <c r="E2" s="210">
        <v>15</v>
      </c>
      <c r="F2" s="212">
        <v>16</v>
      </c>
      <c r="G2" s="210"/>
      <c r="H2" s="212" t="str">
        <f>IF(Tableau2[[#This Row],[Name Consignee]]=0,"",VLOOKUP(Tableau2[[#This Row],[Name Consignee]],Plant_AILN!A:C,3,FALSE))</f>
        <v/>
      </c>
      <c r="I2" s="138">
        <v>8</v>
      </c>
      <c r="J2" s="139">
        <v>9</v>
      </c>
      <c r="K2" s="140">
        <v>10</v>
      </c>
      <c r="L2" s="214">
        <v>11</v>
      </c>
      <c r="M2" s="160">
        <v>12</v>
      </c>
      <c r="N2" s="160">
        <v>13</v>
      </c>
      <c r="O2" s="158">
        <v>18</v>
      </c>
      <c r="P2" s="214">
        <v>14</v>
      </c>
      <c r="R2" t="s">
        <v>541</v>
      </c>
    </row>
    <row r="3" spans="1:22" ht="15.75" customHeight="1" thickBot="1">
      <c r="A3" s="242" t="str">
        <f>_xlfn.CONCAT(Tableau2[[#This Row],[Compte ILN]],"-",Tableau2[[#This Row],[Compte Shipper]],"-",Tableau2[[#This Row],[POL]],"-",Tableau2[[#This Row],[Compte Consignee]])</f>
        <v>95112-95112-TRIZT-26549500</v>
      </c>
      <c r="B3" s="342" t="str">
        <f>IF(Tableau2[[#This Row],[Name Consignee]]="",_xlfn.CONCAT(Tableau2[[#This Row],[Compte ILN]],"-",Tableau2[[#This Row],[Compte Shipper]],"-",Tableau2[[#This Row],[POL]]),"-")</f>
        <v>-</v>
      </c>
      <c r="C3" s="215" t="s">
        <v>148</v>
      </c>
      <c r="D3" s="216">
        <f>VLOOKUP(Tableau2[[#This Row],[ Name ILN]],Plant_AILN!F:G,2,FALSE)</f>
        <v>95112</v>
      </c>
      <c r="E3" s="215" t="s">
        <v>148</v>
      </c>
      <c r="F3" s="217">
        <f>IFERROR(VLOOKUP(Tableau2[[#This Row],[Name of shipper]],Plant_AILN!L:M,2,FALSE),0)</f>
        <v>95112</v>
      </c>
      <c r="G3" s="218" t="s">
        <v>257</v>
      </c>
      <c r="H3" s="217">
        <f>IF(Tableau2[[#This Row],[Name Consignee]]=0,"",VLOOKUP(Tableau2[[#This Row],[Name Consignee]],Plant_AILN!A:C,3,FALSE))</f>
        <v>26549500</v>
      </c>
      <c r="I3" s="52">
        <v>9</v>
      </c>
      <c r="J3" s="219">
        <v>14</v>
      </c>
      <c r="K3" s="94">
        <v>5</v>
      </c>
      <c r="L3" s="215">
        <v>7</v>
      </c>
      <c r="M3" s="220">
        <f>Tableau2[[#This Row],[Delivery time to ILN/Shipper]]+Tableau2[[#This Row],[Day ILN Order]]-1</f>
        <v>22</v>
      </c>
      <c r="N3" s="221">
        <v>3</v>
      </c>
      <c r="O3" s="222" t="s">
        <v>500</v>
      </c>
      <c r="P3" s="58">
        <v>4</v>
      </c>
      <c r="R3" t="s">
        <v>542</v>
      </c>
      <c r="V3" s="223" t="s">
        <v>543</v>
      </c>
    </row>
    <row r="4" spans="1:22">
      <c r="A4" s="242" t="str">
        <f>_xlfn.CONCAT(Tableau2[[#This Row],[Compte ILN]],"-",Tableau2[[#This Row],[Compte Shipper]],"-",Tableau2[[#This Row],[POL]],"-",Tableau2[[#This Row],[Compte Consignee]])</f>
        <v>95112-95112-TRIZT-26549502</v>
      </c>
      <c r="B4" s="342" t="str">
        <f>IF(Tableau2[[#This Row],[Name Consignee]]="",_xlfn.CONCAT(Tableau2[[#This Row],[Compte ILN]],"-",Tableau2[[#This Row],[Compte Shipper]],"-",Tableau2[[#This Row],[POL]]),"-")</f>
        <v>-</v>
      </c>
      <c r="C4" s="215" t="s">
        <v>148</v>
      </c>
      <c r="D4" s="216">
        <f>VLOOKUP(Tableau2[[#This Row],[ Name ILN]],Plant_AILN!F:G,2,FALSE)</f>
        <v>95112</v>
      </c>
      <c r="E4" s="215" t="s">
        <v>148</v>
      </c>
      <c r="F4" s="217">
        <f>IFERROR(VLOOKUP(Tableau2[[#This Row],[Name of shipper]],Plant_AILN!L:M,2,FALSE),0)</f>
        <v>95112</v>
      </c>
      <c r="G4" s="218" t="s">
        <v>190</v>
      </c>
      <c r="H4" s="217">
        <f>IF(Tableau2[[#This Row],[Name Consignee]]=0,"",VLOOKUP(Tableau2[[#This Row],[Name Consignee]],Plant_AILN!A:C,3,FALSE))</f>
        <v>26549502</v>
      </c>
      <c r="I4" s="52">
        <v>9</v>
      </c>
      <c r="J4" s="219">
        <v>14</v>
      </c>
      <c r="K4" s="94">
        <v>5</v>
      </c>
      <c r="L4" s="215">
        <v>7</v>
      </c>
      <c r="M4" s="220">
        <f>Tableau2[[#This Row],[Delivery time to ILN/Shipper]]+Tableau2[[#This Row],[Day ILN Order]]-1</f>
        <v>22</v>
      </c>
      <c r="N4" s="221">
        <v>3</v>
      </c>
      <c r="O4" s="222" t="s">
        <v>500</v>
      </c>
      <c r="P4" s="58">
        <v>4</v>
      </c>
      <c r="R4" t="s">
        <v>542</v>
      </c>
      <c r="V4" s="223" t="s">
        <v>543</v>
      </c>
    </row>
    <row r="5" spans="1:22">
      <c r="A5" s="242" t="str">
        <f>_xlfn.CONCAT(Tableau2[[#This Row],[Compte ILN]],"-",Tableau2[[#This Row],[Compte Shipper]],"-",Tableau2[[#This Row],[POL]],"-",Tableau2[[#This Row],[Compte Consignee]])</f>
        <v>95112-95112-TRGEM-90016000</v>
      </c>
      <c r="B5" s="342" t="str">
        <f>IF(Tableau2[[#This Row],[Name Consignee]]="",_xlfn.CONCAT(Tableau2[[#This Row],[Compte ILN]],"-",Tableau2[[#This Row],[Compte Shipper]],"-",Tableau2[[#This Row],[POL]]),"-")</f>
        <v>-</v>
      </c>
      <c r="C5" s="224" t="s">
        <v>148</v>
      </c>
      <c r="D5" s="225">
        <f>VLOOKUP(Tableau2[[#This Row],[ Name ILN]],Plant_AILN!F:G,2,FALSE)</f>
        <v>95112</v>
      </c>
      <c r="E5" s="224" t="s">
        <v>148</v>
      </c>
      <c r="F5" s="226">
        <f>IFERROR(VLOOKUP(Tableau2[[#This Row],[Name of shipper]],Plant_AILN!L:M,2,FALSE),0)</f>
        <v>95112</v>
      </c>
      <c r="G5" s="137" t="s">
        <v>169</v>
      </c>
      <c r="H5" s="226">
        <f>IF(Tableau2[[#This Row],[Name Consignee]]=0,"",VLOOKUP(Tableau2[[#This Row],[Name Consignee]],Plant_AILN!A:C,3,FALSE))</f>
        <v>90016000</v>
      </c>
      <c r="I5" s="52">
        <v>9</v>
      </c>
      <c r="J5" s="219">
        <v>14</v>
      </c>
      <c r="K5" s="94">
        <v>5</v>
      </c>
      <c r="L5" s="227">
        <v>7</v>
      </c>
      <c r="M5" s="228">
        <f>Tableau2[[#This Row],[Delivery time to ILN/Shipper]]+Tableau2[[#This Row],[Day ILN Order]]-1</f>
        <v>22</v>
      </c>
      <c r="N5" s="229">
        <v>1</v>
      </c>
      <c r="O5" s="230" t="s">
        <v>510</v>
      </c>
      <c r="P5" s="58">
        <v>2</v>
      </c>
      <c r="R5" t="s">
        <v>544</v>
      </c>
      <c r="V5" s="223" t="s">
        <v>545</v>
      </c>
    </row>
    <row r="6" spans="1:22">
      <c r="A6" s="242" t="str">
        <f>_xlfn.CONCAT(Tableau2[[#This Row],[Compte ILN]],"-",Tableau2[[#This Row],[Compte Shipper]],"-",Tableau2[[#This Row],[POL]],"-",Tableau2[[#This Row],[Compte Consignee]])</f>
        <v>95112-95112-TRGEM-25079500</v>
      </c>
      <c r="B6" s="342" t="str">
        <f>IF(Tableau2[[#This Row],[Name Consignee]]="",_xlfn.CONCAT(Tableau2[[#This Row],[Compte ILN]],"-",Tableau2[[#This Row],[Compte Shipper]],"-",Tableau2[[#This Row],[POL]]),"-")</f>
        <v>-</v>
      </c>
      <c r="C6" s="224" t="s">
        <v>148</v>
      </c>
      <c r="D6" s="225">
        <f>VLOOKUP(Tableau2[[#This Row],[ Name ILN]],Plant_AILN!F:G,2,FALSE)</f>
        <v>95112</v>
      </c>
      <c r="E6" s="224" t="s">
        <v>148</v>
      </c>
      <c r="F6" s="226">
        <f>IFERROR(VLOOKUP(Tableau2[[#This Row],[Name of shipper]],Plant_AILN!L:M,2,FALSE),0)</f>
        <v>95112</v>
      </c>
      <c r="G6" s="137" t="s">
        <v>546</v>
      </c>
      <c r="H6" s="226">
        <f>IF(Tableau2[[#This Row],[Name Consignee]]=0,"",VLOOKUP(Tableau2[[#This Row],[Name Consignee]],Plant_AILN!A:C,3,FALSE))</f>
        <v>25079500</v>
      </c>
      <c r="I6" s="52">
        <v>9</v>
      </c>
      <c r="J6" s="219">
        <v>14</v>
      </c>
      <c r="K6" s="94">
        <v>5</v>
      </c>
      <c r="L6" s="227">
        <v>7</v>
      </c>
      <c r="M6" s="228">
        <f>Tableau2[[#This Row],[Delivery time to ILN/Shipper]]+Tableau2[[#This Row],[Day ILN Order]]-1</f>
        <v>22</v>
      </c>
      <c r="N6" s="229">
        <v>1</v>
      </c>
      <c r="O6" s="230" t="s">
        <v>510</v>
      </c>
      <c r="P6" s="58">
        <v>2</v>
      </c>
      <c r="R6" t="s">
        <v>547</v>
      </c>
    </row>
    <row r="7" spans="1:22">
      <c r="A7" s="242" t="str">
        <f>_xlfn.CONCAT(Tableau2[[#This Row],[Compte ILN]],"-",Tableau2[[#This Row],[Compte Shipper]],"-",Tableau2[[#This Row],[POL]],"-",Tableau2[[#This Row],[Compte Consignee]])</f>
        <v>95112-95112-TRIZT-92002200</v>
      </c>
      <c r="B7" s="342" t="str">
        <f>IF(Tableau2[[#This Row],[Name Consignee]]="",_xlfn.CONCAT(Tableau2[[#This Row],[Compte ILN]],"-",Tableau2[[#This Row],[Compte Shipper]],"-",Tableau2[[#This Row],[POL]]),"-")</f>
        <v>-</v>
      </c>
      <c r="C7" s="224" t="s">
        <v>148</v>
      </c>
      <c r="D7" s="225">
        <f>VLOOKUP(Tableau2[[#This Row],[ Name ILN]],Plant_AILN!F:G,2,FALSE)</f>
        <v>95112</v>
      </c>
      <c r="E7" s="224" t="s">
        <v>148</v>
      </c>
      <c r="F7" s="226">
        <f>IFERROR(VLOOKUP(Tableau2[[#This Row],[Name of shipper]],Plant_AILN!L:M,2,FALSE),0)</f>
        <v>95112</v>
      </c>
      <c r="G7" s="137" t="s">
        <v>36</v>
      </c>
      <c r="H7" s="226">
        <f>IF(Tableau2[[#This Row],[Name Consignee]]=0,"",VLOOKUP(Tableau2[[#This Row],[Name Consignee]],Plant_AILN!A:C,3,FALSE))</f>
        <v>92002200</v>
      </c>
      <c r="I7" s="52">
        <v>9</v>
      </c>
      <c r="J7" s="219">
        <v>14</v>
      </c>
      <c r="K7" s="94">
        <v>5</v>
      </c>
      <c r="L7" s="227">
        <v>7</v>
      </c>
      <c r="M7" s="228">
        <f>Tableau2[[#This Row],[Delivery time to ILN/Shipper]]+Tableau2[[#This Row],[Day ILN Order]]-1</f>
        <v>22</v>
      </c>
      <c r="N7" s="229">
        <v>2</v>
      </c>
      <c r="O7" s="230" t="s">
        <v>500</v>
      </c>
      <c r="P7" s="58">
        <v>3</v>
      </c>
    </row>
    <row r="8" spans="1:22">
      <c r="A8" s="242" t="str">
        <f>_xlfn.CONCAT(Tableau2[[#This Row],[Compte ILN]],"-",Tableau2[[#This Row],[Compte Shipper]],"-",Tableau2[[#This Row],[POL]],"-",Tableau2[[#This Row],[Compte Consignee]])</f>
        <v>95112-95112-TRGEM-90038200</v>
      </c>
      <c r="B8" s="342" t="str">
        <f>IF(Tableau2[[#This Row],[Name Consignee]]="",_xlfn.CONCAT(Tableau2[[#This Row],[Compte ILN]],"-",Tableau2[[#This Row],[Compte Shipper]],"-",Tableau2[[#This Row],[POL]]),"-")</f>
        <v>-</v>
      </c>
      <c r="C8" s="224" t="s">
        <v>148</v>
      </c>
      <c r="D8" s="225">
        <f>VLOOKUP(Tableau2[[#This Row],[ Name ILN]],Plant_AILN!F:G,2,FALSE)</f>
        <v>95112</v>
      </c>
      <c r="E8" s="224" t="s">
        <v>148</v>
      </c>
      <c r="F8" s="226">
        <f>IFERROR(VLOOKUP(Tableau2[[#This Row],[Name of shipper]],Plant_AILN!L:M,2,FALSE),0)</f>
        <v>95112</v>
      </c>
      <c r="G8" s="137" t="s">
        <v>178</v>
      </c>
      <c r="H8" s="226">
        <f>IF(Tableau2[[#This Row],[Name Consignee]]=0,"",VLOOKUP(Tableau2[[#This Row],[Name Consignee]],Plant_AILN!A:C,3,FALSE))</f>
        <v>90038200</v>
      </c>
      <c r="I8" s="52">
        <v>9</v>
      </c>
      <c r="J8" s="219">
        <v>14</v>
      </c>
      <c r="K8" s="94">
        <v>5</v>
      </c>
      <c r="L8" s="227">
        <v>7</v>
      </c>
      <c r="M8" s="228">
        <f>Tableau2[[#This Row],[Delivery time to ILN/Shipper]]+Tableau2[[#This Row],[Day ILN Order]]-1</f>
        <v>22</v>
      </c>
      <c r="N8" s="229">
        <v>1</v>
      </c>
      <c r="O8" s="230" t="s">
        <v>510</v>
      </c>
      <c r="P8" s="58">
        <v>2</v>
      </c>
    </row>
    <row r="9" spans="1:22">
      <c r="A9" s="242" t="str">
        <f>_xlfn.CONCAT(Tableau2[[#This Row],[Compte ILN]],"-",Tableau2[[#This Row],[Compte Shipper]],"-",Tableau2[[#This Row],[POL]],"-",Tableau2[[#This Row],[Compte Consignee]])</f>
        <v>95112-95112-TRGEM-900383</v>
      </c>
      <c r="B9" s="342" t="str">
        <f>IF(Tableau2[[#This Row],[Name Consignee]]="",_xlfn.CONCAT(Tableau2[[#This Row],[Compte ILN]],"-",Tableau2[[#This Row],[Compte Shipper]],"-",Tableau2[[#This Row],[POL]]),"-")</f>
        <v>-</v>
      </c>
      <c r="C9" s="224" t="s">
        <v>148</v>
      </c>
      <c r="D9" s="225">
        <f>VLOOKUP(Tableau2[[#This Row],[ Name ILN]],Plant_AILN!F:G,2,FALSE)</f>
        <v>95112</v>
      </c>
      <c r="E9" s="224" t="s">
        <v>148</v>
      </c>
      <c r="F9" s="226">
        <f>IFERROR(VLOOKUP(Tableau2[[#This Row],[Name of shipper]],Plant_AILN!L:M,2,FALSE),0)</f>
        <v>95112</v>
      </c>
      <c r="G9" s="137" t="s">
        <v>179</v>
      </c>
      <c r="H9" s="226">
        <f>IF(Tableau2[[#This Row],[Name Consignee]]=0,"",VLOOKUP(Tableau2[[#This Row],[Name Consignee]],Plant_AILN!A:C,3,FALSE))</f>
        <v>900383</v>
      </c>
      <c r="I9" s="52">
        <v>9</v>
      </c>
      <c r="J9" s="219">
        <v>14</v>
      </c>
      <c r="K9" s="94">
        <v>5</v>
      </c>
      <c r="L9" s="227">
        <v>7</v>
      </c>
      <c r="M9" s="228">
        <f>Tableau2[[#This Row],[Delivery time to ILN/Shipper]]+Tableau2[[#This Row],[Day ILN Order]]-1</f>
        <v>22</v>
      </c>
      <c r="N9" s="229">
        <v>1</v>
      </c>
      <c r="O9" s="230" t="s">
        <v>510</v>
      </c>
      <c r="P9" s="58">
        <v>2</v>
      </c>
    </row>
    <row r="10" spans="1:22">
      <c r="A10" s="242" t="str">
        <f>_xlfn.CONCAT(Tableau2[[#This Row],[Compte ILN]],"-",Tableau2[[#This Row],[Compte Shipper]],"-",Tableau2[[#This Row],[POL]],"-",Tableau2[[#This Row],[Compte Consignee]])</f>
        <v>95436-95436-KRPUS-26549500</v>
      </c>
      <c r="B10" s="342" t="str">
        <f>IF(Tableau2[[#This Row],[Name Consignee]]="",_xlfn.CONCAT(Tableau2[[#This Row],[Compte ILN]],"-",Tableau2[[#This Row],[Compte Shipper]],"-",Tableau2[[#This Row],[POL]]),"-")</f>
        <v>-</v>
      </c>
      <c r="C10" s="224" t="s">
        <v>159</v>
      </c>
      <c r="D10" s="225">
        <f>VLOOKUP(Tableau2[[#This Row],[ Name ILN]],Plant_AILN!F:G,2,FALSE)</f>
        <v>95436</v>
      </c>
      <c r="E10" s="224" t="s">
        <v>159</v>
      </c>
      <c r="F10" s="226">
        <f>IFERROR(VLOOKUP(Tableau2[[#This Row],[Name of shipper]],Plant_AILN!L:M,2,FALSE),0)</f>
        <v>95436</v>
      </c>
      <c r="G10" s="137" t="s">
        <v>257</v>
      </c>
      <c r="H10" s="226">
        <f>IF(Tableau2[[#This Row],[Name Consignee]]=0,"",VLOOKUP(Tableau2[[#This Row],[Name Consignee]],Plant_AILN!A:C,3,FALSE))</f>
        <v>26549500</v>
      </c>
      <c r="I10" s="52">
        <v>9</v>
      </c>
      <c r="J10" s="219">
        <v>14</v>
      </c>
      <c r="K10" s="94">
        <v>5</v>
      </c>
      <c r="L10" s="227">
        <v>7</v>
      </c>
      <c r="M10" s="228">
        <f>Tableau2[[#This Row],[Delivery time to ILN/Shipper]]+Tableau2[[#This Row],[Day ILN Order]]-1</f>
        <v>22</v>
      </c>
      <c r="N10" s="229">
        <v>1</v>
      </c>
      <c r="O10" s="230" t="s">
        <v>479</v>
      </c>
      <c r="P10" s="58">
        <v>5</v>
      </c>
    </row>
    <row r="11" spans="1:22">
      <c r="A11" s="242" t="str">
        <f>_xlfn.CONCAT(Tableau2[[#This Row],[Compte ILN]],"-",Tableau2[[#This Row],[Compte Shipper]],"-",Tableau2[[#This Row],[POL]],"-",Tableau2[[#This Row],[Compte Consignee]])</f>
        <v>95436-95436-KRPUS-26549502</v>
      </c>
      <c r="B11" s="342" t="str">
        <f>IF(Tableau2[[#This Row],[Name Consignee]]="",_xlfn.CONCAT(Tableau2[[#This Row],[Compte ILN]],"-",Tableau2[[#This Row],[Compte Shipper]],"-",Tableau2[[#This Row],[POL]]),"-")</f>
        <v>-</v>
      </c>
      <c r="C11" s="224" t="s">
        <v>159</v>
      </c>
      <c r="D11" s="225">
        <f>VLOOKUP(Tableau2[[#This Row],[ Name ILN]],Plant_AILN!F:G,2,FALSE)</f>
        <v>95436</v>
      </c>
      <c r="E11" s="224" t="s">
        <v>159</v>
      </c>
      <c r="F11" s="226">
        <f>IFERROR(VLOOKUP(Tableau2[[#This Row],[Name of shipper]],Plant_AILN!L:M,2,FALSE),0)</f>
        <v>95436</v>
      </c>
      <c r="G11" s="137" t="s">
        <v>190</v>
      </c>
      <c r="H11" s="226">
        <f>IF(Tableau2[[#This Row],[Name Consignee]]=0,"",VLOOKUP(Tableau2[[#This Row],[Name Consignee]],Plant_AILN!A:C,3,FALSE))</f>
        <v>26549502</v>
      </c>
      <c r="I11" s="52">
        <v>9</v>
      </c>
      <c r="J11" s="219">
        <v>14</v>
      </c>
      <c r="K11" s="94">
        <v>5</v>
      </c>
      <c r="L11" s="227">
        <v>7</v>
      </c>
      <c r="M11" s="228">
        <f>Tableau2[[#This Row],[Delivery time to ILN/Shipper]]+Tableau2[[#This Row],[Day ILN Order]]-1</f>
        <v>22</v>
      </c>
      <c r="N11" s="229">
        <v>1</v>
      </c>
      <c r="O11" s="230" t="s">
        <v>479</v>
      </c>
      <c r="P11" s="58">
        <v>5</v>
      </c>
    </row>
    <row r="12" spans="1:22">
      <c r="A12" s="242" t="str">
        <f>_xlfn.CONCAT(Tableau2[[#This Row],[Compte ILN]],"-",Tableau2[[#This Row],[Compte Shipper]],"-",Tableau2[[#This Row],[POL]],"-",Tableau2[[#This Row],[Compte Consignee]])</f>
        <v>95436-95436-KRPUS-</v>
      </c>
      <c r="B12" s="342" t="str">
        <f>IF(Tableau2[[#This Row],[Name Consignee]]="",_xlfn.CONCAT(Tableau2[[#This Row],[Compte ILN]],"-",Tableau2[[#This Row],[Compte Shipper]],"-",Tableau2[[#This Row],[POL]]),"-")</f>
        <v>95436-95436-KRPUS</v>
      </c>
      <c r="C12" s="224" t="s">
        <v>159</v>
      </c>
      <c r="D12" s="225">
        <f>VLOOKUP(Tableau2[[#This Row],[ Name ILN]],Plant_AILN!F:G,2,FALSE)</f>
        <v>95436</v>
      </c>
      <c r="E12" s="224" t="s">
        <v>159</v>
      </c>
      <c r="F12" s="226">
        <f>IFERROR(VLOOKUP(Tableau2[[#This Row],[Name of shipper]],Plant_AILN!L:M,2,FALSE),0)</f>
        <v>95436</v>
      </c>
      <c r="G12" s="137"/>
      <c r="H12" s="226" t="str">
        <f>IF(Tableau2[[#This Row],[Name Consignee]]=0,"",VLOOKUP(Tableau2[[#This Row],[Name Consignee]],Plant_AILN!A:C,3,FALSE))</f>
        <v/>
      </c>
      <c r="I12" s="52">
        <v>9</v>
      </c>
      <c r="J12" s="219">
        <v>14</v>
      </c>
      <c r="K12" s="94">
        <v>5</v>
      </c>
      <c r="L12" s="227">
        <v>7</v>
      </c>
      <c r="M12" s="228">
        <f>Tableau2[[#This Row],[Delivery time to ILN/Shipper]]+Tableau2[[#This Row],[Day ILN Order]]-1</f>
        <v>22</v>
      </c>
      <c r="N12" s="229">
        <v>1</v>
      </c>
      <c r="O12" s="230" t="s">
        <v>479</v>
      </c>
      <c r="P12" s="58">
        <v>5</v>
      </c>
    </row>
    <row r="13" spans="1:22">
      <c r="A13" s="242" t="str">
        <f>_xlfn.CONCAT(Tableau2[[#This Row],[Compte ILN]],"-",Tableau2[[#This Row],[Compte Shipper]],"-",Tableau2[[#This Row],[POL]],"-",Tableau2[[#This Row],[Compte Consignee]])</f>
        <v>95436-95436-KRPUS-90016000</v>
      </c>
      <c r="B13" s="342" t="str">
        <f>IF(Tableau2[[#This Row],[Name Consignee]]="",_xlfn.CONCAT(Tableau2[[#This Row],[Compte ILN]],"-",Tableau2[[#This Row],[Compte Shipper]],"-",Tableau2[[#This Row],[POL]]),"-")</f>
        <v>-</v>
      </c>
      <c r="C13" s="224" t="s">
        <v>159</v>
      </c>
      <c r="D13" s="225">
        <f>VLOOKUP(Tableau2[[#This Row],[ Name ILN]],Plant_AILN!F:G,2,FALSE)</f>
        <v>95436</v>
      </c>
      <c r="E13" s="224" t="s">
        <v>159</v>
      </c>
      <c r="F13" s="226">
        <f>IFERROR(VLOOKUP(Tableau2[[#This Row],[Name of shipper]],Plant_AILN!L:M,2,FALSE),0)</f>
        <v>95436</v>
      </c>
      <c r="G13" s="137" t="s">
        <v>169</v>
      </c>
      <c r="H13" s="226">
        <f>IF(Tableau2[[#This Row],[Name Consignee]]=0,"",VLOOKUP(Tableau2[[#This Row],[Name Consignee]],Plant_AILN!A:C,3,FALSE))</f>
        <v>90016000</v>
      </c>
      <c r="I13" s="52">
        <v>9</v>
      </c>
      <c r="J13" s="219">
        <v>14</v>
      </c>
      <c r="K13" s="94">
        <v>5</v>
      </c>
      <c r="L13" s="227">
        <v>7</v>
      </c>
      <c r="M13" s="228">
        <f>Tableau2[[#This Row],[Delivery time to ILN/Shipper]]+Tableau2[[#This Row],[Day ILN Order]]-1</f>
        <v>22</v>
      </c>
      <c r="N13" s="229">
        <v>1</v>
      </c>
      <c r="O13" s="230" t="s">
        <v>479</v>
      </c>
      <c r="P13" s="58">
        <v>5</v>
      </c>
    </row>
    <row r="14" spans="1:22">
      <c r="A14" s="242" t="str">
        <f>_xlfn.CONCAT(Tableau2[[#This Row],[Compte ILN]],"-",Tableau2[[#This Row],[Compte Shipper]],"-",Tableau2[[#This Row],[POL]],"-",Tableau2[[#This Row],[Compte Consignee]])</f>
        <v>95436-95436-KRPUS-90018000</v>
      </c>
      <c r="B14" s="342" t="str">
        <f>IF(Tableau2[[#This Row],[Name Consignee]]="",_xlfn.CONCAT(Tableau2[[#This Row],[Compte ILN]],"-",Tableau2[[#This Row],[Compte Shipper]],"-",Tableau2[[#This Row],[POL]]),"-")</f>
        <v>-</v>
      </c>
      <c r="C14" s="224" t="s">
        <v>159</v>
      </c>
      <c r="D14" s="225">
        <f>VLOOKUP(Tableau2[[#This Row],[ Name ILN]],Plant_AILN!F:G,2,FALSE)</f>
        <v>95436</v>
      </c>
      <c r="E14" s="224" t="s">
        <v>159</v>
      </c>
      <c r="F14" s="226">
        <f>IFERROR(VLOOKUP(Tableau2[[#This Row],[Name of shipper]],Plant_AILN!L:M,2,FALSE),0)</f>
        <v>95436</v>
      </c>
      <c r="G14" s="137" t="s">
        <v>149</v>
      </c>
      <c r="H14" s="226">
        <f>IF(Tableau2[[#This Row],[Name Consignee]]=0,"",VLOOKUP(Tableau2[[#This Row],[Name Consignee]],Plant_AILN!A:C,3,FALSE))</f>
        <v>90018000</v>
      </c>
      <c r="I14" s="52">
        <v>9</v>
      </c>
      <c r="J14" s="219">
        <v>14</v>
      </c>
      <c r="K14" s="94">
        <v>5</v>
      </c>
      <c r="L14" s="227">
        <v>7</v>
      </c>
      <c r="M14" s="228">
        <f>Tableau2[[#This Row],[Delivery time to ILN/Shipper]]+Tableau2[[#This Row],[Day ILN Order]]-1</f>
        <v>22</v>
      </c>
      <c r="N14" s="229">
        <v>1</v>
      </c>
      <c r="O14" s="230" t="s">
        <v>479</v>
      </c>
      <c r="P14" s="58">
        <v>5</v>
      </c>
    </row>
    <row r="15" spans="1:22">
      <c r="A15" s="242" t="str">
        <f>_xlfn.CONCAT(Tableau2[[#This Row],[Compte ILN]],"-",Tableau2[[#This Row],[Compte Shipper]],"-",Tableau2[[#This Row],[POL]],"-",Tableau2[[#This Row],[Compte Consignee]])</f>
        <v>95436-95436-KRPUS-90016800</v>
      </c>
      <c r="B15" s="342" t="str">
        <f>IF(Tableau2[[#This Row],[Name Consignee]]="",_xlfn.CONCAT(Tableau2[[#This Row],[Compte ILN]],"-",Tableau2[[#This Row],[Compte Shipper]],"-",Tableau2[[#This Row],[POL]]),"-")</f>
        <v>-</v>
      </c>
      <c r="C15" s="224" t="s">
        <v>159</v>
      </c>
      <c r="D15" s="225">
        <f>VLOOKUP(Tableau2[[#This Row],[ Name ILN]],Plant_AILN!F:G,2,FALSE)</f>
        <v>95436</v>
      </c>
      <c r="E15" s="224" t="s">
        <v>159</v>
      </c>
      <c r="F15" s="226">
        <f>IFERROR(VLOOKUP(Tableau2[[#This Row],[Name of shipper]],Plant_AILN!L:M,2,FALSE),0)</f>
        <v>95436</v>
      </c>
      <c r="G15" s="137" t="s">
        <v>180</v>
      </c>
      <c r="H15" s="226">
        <f>IF(Tableau2[[#This Row],[Name Consignee]]=0,"",VLOOKUP(Tableau2[[#This Row],[Name Consignee]],Plant_AILN!A:C,3,FALSE))</f>
        <v>90016800</v>
      </c>
      <c r="I15" s="52">
        <v>9</v>
      </c>
      <c r="J15" s="219">
        <v>14</v>
      </c>
      <c r="K15" s="94">
        <v>5</v>
      </c>
      <c r="L15" s="227">
        <v>7</v>
      </c>
      <c r="M15" s="228">
        <f>Tableau2[[#This Row],[Delivery time to ILN/Shipper]]+Tableau2[[#This Row],[Day ILN Order]]-1</f>
        <v>22</v>
      </c>
      <c r="N15" s="229">
        <v>1</v>
      </c>
      <c r="O15" s="230" t="s">
        <v>479</v>
      </c>
      <c r="P15" s="58">
        <v>3</v>
      </c>
    </row>
    <row r="16" spans="1:22">
      <c r="A16" s="242" t="str">
        <f>_xlfn.CONCAT(Tableau2[[#This Row],[Compte ILN]],"-",Tableau2[[#This Row],[Compte Shipper]],"-",Tableau2[[#This Row],[POL]],"-",Tableau2[[#This Row],[Compte Consignee]])</f>
        <v>95436-95436-KRPUS-90012500</v>
      </c>
      <c r="B16" s="242" t="str">
        <f>IF(Tableau2[[#This Row],[Name Consignee]]="",_xlfn.CONCAT(Tableau2[[#This Row],[Compte ILN]],"-",Tableau2[[#This Row],[Compte Shipper]],"-",Tableau2[[#This Row],[POL]]),"-")</f>
        <v>-</v>
      </c>
      <c r="C16" s="224" t="s">
        <v>159</v>
      </c>
      <c r="D16" s="228">
        <f>VLOOKUP(Tableau2[[#This Row],[ Name ILN]],Plant_AILN!F:G,2,FALSE)</f>
        <v>95436</v>
      </c>
      <c r="E16" s="224" t="s">
        <v>159</v>
      </c>
      <c r="F16" s="235">
        <f>IFERROR(VLOOKUP(Tableau2[[#This Row],[Name of shipper]],Plant_AILN!L:M,2,FALSE),0)</f>
        <v>95436</v>
      </c>
      <c r="G16" s="233" t="s">
        <v>156</v>
      </c>
      <c r="H16" s="235">
        <f>IF(Tableau2[[#This Row],[Name Consignee]]=0,"",VLOOKUP(Tableau2[[#This Row],[Name Consignee]],Plant_AILN!A:C,3,FALSE))</f>
        <v>90012500</v>
      </c>
      <c r="I16" s="52">
        <v>9</v>
      </c>
      <c r="J16" s="219">
        <v>14</v>
      </c>
      <c r="K16" s="94">
        <v>5</v>
      </c>
      <c r="L16" s="227">
        <v>7</v>
      </c>
      <c r="M16" s="228">
        <f>Tableau2[[#This Row],[Delivery time to ILN/Shipper]]+Tableau2[[#This Row],[Day ILN Order]]-1</f>
        <v>22</v>
      </c>
      <c r="N16" s="229">
        <v>1</v>
      </c>
      <c r="O16" s="230" t="s">
        <v>479</v>
      </c>
      <c r="P16" s="58">
        <v>3</v>
      </c>
    </row>
    <row r="17" spans="1:16">
      <c r="A17" s="242" t="str">
        <f>_xlfn.CONCAT(Tableau2[[#This Row],[Compte ILN]],"-",Tableau2[[#This Row],[Compte Shipper]],"-",Tableau2[[#This Row],[POL]],"-",Tableau2[[#This Row],[Compte Consignee]])</f>
        <v>95436-95436-KRPUS-90019100</v>
      </c>
      <c r="B17" s="342" t="str">
        <f>IF(Tableau2[[#This Row],[Name Consignee]]="",_xlfn.CONCAT(Tableau2[[#This Row],[Compte ILN]],"-",Tableau2[[#This Row],[Compte Shipper]],"-",Tableau2[[#This Row],[POL]]),"-")</f>
        <v>-</v>
      </c>
      <c r="C17" s="224" t="s">
        <v>159</v>
      </c>
      <c r="D17" s="225">
        <f>VLOOKUP(Tableau2[[#This Row],[ Name ILN]],Plant_AILN!F:G,2,FALSE)</f>
        <v>95436</v>
      </c>
      <c r="E17" s="224" t="s">
        <v>159</v>
      </c>
      <c r="F17" s="226">
        <f>IFERROR(VLOOKUP(Tableau2[[#This Row],[Name of shipper]],Plant_AILN!L:M,2,FALSE),0)</f>
        <v>95436</v>
      </c>
      <c r="G17" s="137" t="s">
        <v>189</v>
      </c>
      <c r="H17" s="226">
        <f>IF(Tableau2[[#This Row],[Name Consignee]]=0,"",VLOOKUP(Tableau2[[#This Row],[Name Consignee]],Plant_AILN!A:C,3,FALSE))</f>
        <v>90019100</v>
      </c>
      <c r="I17" s="52">
        <v>9</v>
      </c>
      <c r="J17" s="219">
        <v>14</v>
      </c>
      <c r="K17" s="94">
        <v>5</v>
      </c>
      <c r="L17" s="227">
        <v>7</v>
      </c>
      <c r="M17" s="228">
        <f>Tableau2[[#This Row],[Delivery time to ILN/Shipper]]+Tableau2[[#This Row],[Day ILN Order]]-1</f>
        <v>22</v>
      </c>
      <c r="N17" s="229">
        <v>1</v>
      </c>
      <c r="O17" s="230" t="s">
        <v>479</v>
      </c>
      <c r="P17" s="58">
        <v>3</v>
      </c>
    </row>
    <row r="18" spans="1:16">
      <c r="A18" s="242" t="str">
        <f>_xlfn.CONCAT(Tableau2[[#This Row],[Compte ILN]],"-",Tableau2[[#This Row],[Compte Shipper]],"-",Tableau2[[#This Row],[POL]],"-",Tableau2[[#This Row],[Compte Consignee]])</f>
        <v>95436-95436-KRPUS-90015100</v>
      </c>
      <c r="B18" s="342" t="str">
        <f>IF(Tableau2[[#This Row],[Name Consignee]]="",_xlfn.CONCAT(Tableau2[[#This Row],[Compte ILN]],"-",Tableau2[[#This Row],[Compte Shipper]],"-",Tableau2[[#This Row],[POL]]),"-")</f>
        <v>-</v>
      </c>
      <c r="C18" s="224" t="s">
        <v>159</v>
      </c>
      <c r="D18" s="225">
        <f>VLOOKUP(Tableau2[[#This Row],[ Name ILN]],Plant_AILN!F:G,2,FALSE)</f>
        <v>95436</v>
      </c>
      <c r="E18" s="224" t="s">
        <v>159</v>
      </c>
      <c r="F18" s="226">
        <f>IFERROR(VLOOKUP(Tableau2[[#This Row],[Name of shipper]],Plant_AILN!L:M,2,FALSE),0)</f>
        <v>95436</v>
      </c>
      <c r="G18" s="137" t="s">
        <v>187</v>
      </c>
      <c r="H18" s="226">
        <f>IF(Tableau2[[#This Row],[Name Consignee]]=0,"",VLOOKUP(Tableau2[[#This Row],[Name Consignee]],Plant_AILN!A:C,3,FALSE))</f>
        <v>90015100</v>
      </c>
      <c r="I18" s="52">
        <v>9</v>
      </c>
      <c r="J18" s="219">
        <v>14</v>
      </c>
      <c r="K18" s="94">
        <v>5</v>
      </c>
      <c r="L18" s="227">
        <v>7</v>
      </c>
      <c r="M18" s="228">
        <f>Tableau2[[#This Row],[Delivery time to ILN/Shipper]]+Tableau2[[#This Row],[Day ILN Order]]-1</f>
        <v>22</v>
      </c>
      <c r="N18" s="229">
        <v>1</v>
      </c>
      <c r="O18" s="230" t="s">
        <v>479</v>
      </c>
      <c r="P18" s="58">
        <v>3</v>
      </c>
    </row>
    <row r="19" spans="1:16">
      <c r="A19" s="242" t="str">
        <f>_xlfn.CONCAT(Tableau2[[#This Row],[Compte ILN]],"-",Tableau2[[#This Row],[Compte Shipper]],"-",Tableau2[[#This Row],[POL]],"-",Tableau2[[#This Row],[Compte Consignee]])</f>
        <v>95436-95436-KRPUS-90017000</v>
      </c>
      <c r="B19" s="342" t="str">
        <f>IF(Tableau2[[#This Row],[Name Consignee]]="",_xlfn.CONCAT(Tableau2[[#This Row],[Compte ILN]],"-",Tableau2[[#This Row],[Compte Shipper]],"-",Tableau2[[#This Row],[POL]]),"-")</f>
        <v>-</v>
      </c>
      <c r="C19" s="224" t="s">
        <v>159</v>
      </c>
      <c r="D19" s="225">
        <f>VLOOKUP(Tableau2[[#This Row],[ Name ILN]],Plant_AILN!F:G,2,FALSE)</f>
        <v>95436</v>
      </c>
      <c r="E19" s="224" t="s">
        <v>159</v>
      </c>
      <c r="F19" s="226">
        <f>IFERROR(VLOOKUP(Tableau2[[#This Row],[Name of shipper]],Plant_AILN!L:M,2,FALSE),0)</f>
        <v>95436</v>
      </c>
      <c r="G19" s="137" t="s">
        <v>167</v>
      </c>
      <c r="H19" s="226">
        <f>IF(Tableau2[[#This Row],[Name Consignee]]=0,"",VLOOKUP(Tableau2[[#This Row],[Name Consignee]],Plant_AILN!A:C,3,FALSE))</f>
        <v>90017000</v>
      </c>
      <c r="I19" s="52">
        <v>9</v>
      </c>
      <c r="J19" s="219">
        <v>14</v>
      </c>
      <c r="K19" s="94">
        <v>5</v>
      </c>
      <c r="L19" s="227">
        <v>7</v>
      </c>
      <c r="M19" s="228">
        <f>Tableau2[[#This Row],[Delivery time to ILN/Shipper]]+Tableau2[[#This Row],[Day ILN Order]]-1</f>
        <v>22</v>
      </c>
      <c r="N19" s="229">
        <v>1</v>
      </c>
      <c r="O19" s="230" t="s">
        <v>479</v>
      </c>
      <c r="P19" s="58">
        <v>3</v>
      </c>
    </row>
    <row r="20" spans="1:16">
      <c r="A20" s="242" t="str">
        <f>_xlfn.CONCAT(Tableau2[[#This Row],[Compte ILN]],"-",Tableau2[[#This Row],[Compte Shipper]],"-",Tableau2[[#This Row],[POL]],"-",Tableau2[[#This Row],[Compte Consignee]])</f>
        <v>95436-95436-KRPUS-90014400</v>
      </c>
      <c r="B20" s="242" t="str">
        <f>IF(Tableau2[[#This Row],[Name Consignee]]="",_xlfn.CONCAT(Tableau2[[#This Row],[Compte ILN]],"-",Tableau2[[#This Row],[Compte Shipper]],"-",Tableau2[[#This Row],[POL]]),"-")</f>
        <v>-</v>
      </c>
      <c r="C20" s="224" t="s">
        <v>159</v>
      </c>
      <c r="D20" s="228">
        <f>VLOOKUP(Tableau2[[#This Row],[ Name ILN]],Plant_AILN!F:G,2,FALSE)</f>
        <v>95436</v>
      </c>
      <c r="E20" s="224" t="s">
        <v>159</v>
      </c>
      <c r="F20" s="235">
        <f>IFERROR(VLOOKUP(Tableau2[[#This Row],[Name of shipper]],Plant_AILN!L:M,2,FALSE),0)</f>
        <v>95436</v>
      </c>
      <c r="G20" s="233" t="s">
        <v>164</v>
      </c>
      <c r="H20" s="235">
        <f>IF(Tableau2[[#This Row],[Name Consignee]]=0,"",VLOOKUP(Tableau2[[#This Row],[Name Consignee]],Plant_AILN!A:C,3,FALSE))</f>
        <v>90014400</v>
      </c>
      <c r="I20" s="52">
        <v>9</v>
      </c>
      <c r="J20" s="219">
        <v>14</v>
      </c>
      <c r="K20" s="94">
        <v>5</v>
      </c>
      <c r="L20" s="227">
        <v>7</v>
      </c>
      <c r="M20" s="228">
        <f>Tableau2[[#This Row],[Delivery time to ILN/Shipper]]+Tableau2[[#This Row],[Day ILN Order]]-1</f>
        <v>22</v>
      </c>
      <c r="N20" s="229">
        <v>1</v>
      </c>
      <c r="O20" s="230" t="s">
        <v>479</v>
      </c>
      <c r="P20" s="58">
        <v>3</v>
      </c>
    </row>
    <row r="21" spans="1:16">
      <c r="A21" s="242" t="str">
        <f>_xlfn.CONCAT(Tableau2[[#This Row],[Compte ILN]],"-",Tableau2[[#This Row],[Compte Shipper]],"-",Tableau2[[#This Row],[POL]],"-",Tableau2[[#This Row],[Compte Consignee]])</f>
        <v>95436-95436-KRPUS-90016700</v>
      </c>
      <c r="B21" s="342" t="str">
        <f>IF(Tableau2[[#This Row],[Name Consignee]]="",_xlfn.CONCAT(Tableau2[[#This Row],[Compte ILN]],"-",Tableau2[[#This Row],[Compte Shipper]],"-",Tableau2[[#This Row],[POL]]),"-")</f>
        <v>-</v>
      </c>
      <c r="C21" s="224" t="s">
        <v>159</v>
      </c>
      <c r="D21" s="225">
        <f>VLOOKUP(Tableau2[[#This Row],[ Name ILN]],Plant_AILN!F:G,2,FALSE)</f>
        <v>95436</v>
      </c>
      <c r="E21" s="224" t="s">
        <v>159</v>
      </c>
      <c r="F21" s="226">
        <f>IFERROR(VLOOKUP(Tableau2[[#This Row],[Name of shipper]],Plant_AILN!L:M,2,FALSE),0)</f>
        <v>95436</v>
      </c>
      <c r="G21" s="137" t="s">
        <v>181</v>
      </c>
      <c r="H21" s="226">
        <f>IF(Tableau2[[#This Row],[Name Consignee]]=0,"",VLOOKUP(Tableau2[[#This Row],[Name Consignee]],Plant_AILN!A:C,3,FALSE))</f>
        <v>90016700</v>
      </c>
      <c r="I21" s="52">
        <v>9</v>
      </c>
      <c r="J21" s="219">
        <v>14</v>
      </c>
      <c r="K21" s="94">
        <v>5</v>
      </c>
      <c r="L21" s="227">
        <v>7</v>
      </c>
      <c r="M21" s="228">
        <f>Tableau2[[#This Row],[Delivery time to ILN/Shipper]]+Tableau2[[#This Row],[Day ILN Order]]-1</f>
        <v>22</v>
      </c>
      <c r="N21" s="229">
        <v>1</v>
      </c>
      <c r="O21" s="230" t="s">
        <v>479</v>
      </c>
      <c r="P21" s="58">
        <v>3</v>
      </c>
    </row>
    <row r="22" spans="1:16">
      <c r="A22" s="242" t="str">
        <f>_xlfn.CONCAT(Tableau2[[#This Row],[Compte ILN]],"-",Tableau2[[#This Row],[Compte Shipper]],"-",Tableau2[[#This Row],[POL]],"-",Tableau2[[#This Row],[Compte Consignee]])</f>
        <v>95436-95436-KRPUS-9510600</v>
      </c>
      <c r="B22" s="342" t="str">
        <f>IF(Tableau2[[#This Row],[Name Consignee]]="",_xlfn.CONCAT(Tableau2[[#This Row],[Compte ILN]],"-",Tableau2[[#This Row],[Compte Shipper]],"-",Tableau2[[#This Row],[POL]]),"-")</f>
        <v>-</v>
      </c>
      <c r="C22" s="224" t="s">
        <v>159</v>
      </c>
      <c r="D22" s="225">
        <f>VLOOKUP(Tableau2[[#This Row],[ Name ILN]],Plant_AILN!F:G,2,FALSE)</f>
        <v>95436</v>
      </c>
      <c r="E22" s="224" t="s">
        <v>159</v>
      </c>
      <c r="F22" s="226">
        <f>IFERROR(VLOOKUP(Tableau2[[#This Row],[Name of shipper]],Plant_AILN!L:M,2,FALSE),0)</f>
        <v>95436</v>
      </c>
      <c r="G22" s="137" t="s">
        <v>176</v>
      </c>
      <c r="H22" s="226">
        <f>IF(Tableau2[[#This Row],[Name Consignee]]=0,"",VLOOKUP(Tableau2[[#This Row],[Name Consignee]],Plant_AILN!A:C,3,FALSE))</f>
        <v>9510600</v>
      </c>
      <c r="I22" s="52">
        <v>9</v>
      </c>
      <c r="J22" s="219">
        <v>14</v>
      </c>
      <c r="K22" s="94">
        <v>5</v>
      </c>
      <c r="L22" s="227">
        <v>7</v>
      </c>
      <c r="M22" s="228">
        <f>Tableau2[[#This Row],[Delivery time to ILN/Shipper]]+Tableau2[[#This Row],[Day ILN Order]]-1</f>
        <v>22</v>
      </c>
      <c r="N22" s="229">
        <v>1</v>
      </c>
      <c r="O22" s="230" t="s">
        <v>479</v>
      </c>
      <c r="P22" s="58">
        <v>3</v>
      </c>
    </row>
    <row r="23" spans="1:16">
      <c r="A23" s="242" t="str">
        <f>_xlfn.CONCAT(Tableau2[[#This Row],[Compte ILN]],"-",Tableau2[[#This Row],[Compte Shipper]],"-",Tableau2[[#This Row],[POL]],"-",Tableau2[[#This Row],[Compte Consignee]])</f>
        <v>95436-95436-KRPUS-900383</v>
      </c>
      <c r="B23" s="342" t="str">
        <f>IF(Tableau2[[#This Row],[Name Consignee]]="",_xlfn.CONCAT(Tableau2[[#This Row],[Compte ILN]],"-",Tableau2[[#This Row],[Compte Shipper]],"-",Tableau2[[#This Row],[POL]]),"-")</f>
        <v>-</v>
      </c>
      <c r="C23" s="224" t="s">
        <v>159</v>
      </c>
      <c r="D23" s="225">
        <f>VLOOKUP(Tableau2[[#This Row],[ Name ILN]],Plant_AILN!F:G,2,FALSE)</f>
        <v>95436</v>
      </c>
      <c r="E23" s="224" t="s">
        <v>159</v>
      </c>
      <c r="F23" s="226">
        <f>IFERROR(VLOOKUP(Tableau2[[#This Row],[Name of shipper]],Plant_AILN!L:M,2,FALSE),0)</f>
        <v>95436</v>
      </c>
      <c r="G23" s="137" t="s">
        <v>179</v>
      </c>
      <c r="H23" s="226">
        <f>IF(Tableau2[[#This Row],[Name Consignee]]=0,"",VLOOKUP(Tableau2[[#This Row],[Name Consignee]],Plant_AILN!A:C,3,FALSE))</f>
        <v>900383</v>
      </c>
      <c r="I23" s="52">
        <v>9</v>
      </c>
      <c r="J23" s="219">
        <v>14</v>
      </c>
      <c r="K23" s="94">
        <v>5</v>
      </c>
      <c r="L23" s="227">
        <v>7</v>
      </c>
      <c r="M23" s="228">
        <f>Tableau2[[#This Row],[Delivery time to ILN/Shipper]]+Tableau2[[#This Row],[Day ILN Order]]-1</f>
        <v>22</v>
      </c>
      <c r="N23" s="229">
        <v>1</v>
      </c>
      <c r="O23" s="230" t="s">
        <v>479</v>
      </c>
      <c r="P23" s="58">
        <v>5</v>
      </c>
    </row>
    <row r="24" spans="1:16">
      <c r="A24" s="242" t="str">
        <f>_xlfn.CONCAT(Tableau2[[#This Row],[Compte ILN]],"-",Tableau2[[#This Row],[Compte Shipper]],"-",Tableau2[[#This Row],[POL]],"-",Tableau2[[#This Row],[Compte Consignee]])</f>
        <v>95436-95436-KRPUS-91017700</v>
      </c>
      <c r="B24" s="242" t="str">
        <f>IF(Tableau2[[#This Row],[Name Consignee]]="",_xlfn.CONCAT(Tableau2[[#This Row],[Compte ILN]],"-",Tableau2[[#This Row],[Compte Shipper]],"-",Tableau2[[#This Row],[POL]]),"-")</f>
        <v>-</v>
      </c>
      <c r="C24" s="224" t="s">
        <v>159</v>
      </c>
      <c r="D24" s="228">
        <f>VLOOKUP(Tableau2[[#This Row],[ Name ILN]],Plant_AILN!F:G,2,FALSE)</f>
        <v>95436</v>
      </c>
      <c r="E24" s="224" t="s">
        <v>159</v>
      </c>
      <c r="F24" s="235">
        <f>IFERROR(VLOOKUP(Tableau2[[#This Row],[Name of shipper]],Plant_AILN!L:M,2,FALSE),0)</f>
        <v>95436</v>
      </c>
      <c r="G24" s="233" t="s">
        <v>163</v>
      </c>
      <c r="H24" s="235">
        <f>IF(Tableau2[[#This Row],[Name Consignee]]=0,"",VLOOKUP(Tableau2[[#This Row],[Name Consignee]],Plant_AILN!A:C,3,FALSE))</f>
        <v>91017700</v>
      </c>
      <c r="I24" s="52">
        <v>9</v>
      </c>
      <c r="J24" s="219">
        <v>14</v>
      </c>
      <c r="K24" s="94">
        <v>5</v>
      </c>
      <c r="L24" s="227">
        <v>7</v>
      </c>
      <c r="M24" s="228">
        <f>Tableau2[[#This Row],[Delivery time to ILN/Shipper]]+Tableau2[[#This Row],[Day ILN Order]]-1</f>
        <v>22</v>
      </c>
      <c r="N24" s="229">
        <v>1</v>
      </c>
      <c r="O24" s="230" t="s">
        <v>479</v>
      </c>
      <c r="P24" s="58">
        <v>3</v>
      </c>
    </row>
    <row r="25" spans="1:16">
      <c r="A25" s="242" t="str">
        <f>_xlfn.CONCAT(Tableau2[[#This Row],[Compte ILN]],"-",Tableau2[[#This Row],[Compte Shipper]],"-",Tableau2[[#This Row],[POL]],"-",Tableau2[[#This Row],[Compte Consignee]])</f>
        <v>95436-95436-KRPUS-91017300</v>
      </c>
      <c r="B25" s="342" t="str">
        <f>IF(Tableau2[[#This Row],[Name Consignee]]="",_xlfn.CONCAT(Tableau2[[#This Row],[Compte ILN]],"-",Tableau2[[#This Row],[Compte Shipper]],"-",Tableau2[[#This Row],[POL]]),"-")</f>
        <v>-</v>
      </c>
      <c r="C25" s="224" t="s">
        <v>159</v>
      </c>
      <c r="D25" s="225">
        <f>VLOOKUP(Tableau2[[#This Row],[ Name ILN]],Plant_AILN!F:G,2,FALSE)</f>
        <v>95436</v>
      </c>
      <c r="E25" s="224" t="s">
        <v>159</v>
      </c>
      <c r="F25" s="226">
        <f>IFERROR(VLOOKUP(Tableau2[[#This Row],[Name of shipper]],Plant_AILN!L:M,2,FALSE),0)</f>
        <v>95436</v>
      </c>
      <c r="G25" s="137" t="s">
        <v>172</v>
      </c>
      <c r="H25" s="226">
        <f>IF(Tableau2[[#This Row],[Name Consignee]]=0,"",VLOOKUP(Tableau2[[#This Row],[Name Consignee]],Plant_AILN!A:C,3,FALSE))</f>
        <v>91017300</v>
      </c>
      <c r="I25" s="52">
        <v>9</v>
      </c>
      <c r="J25" s="219">
        <v>14</v>
      </c>
      <c r="K25" s="94">
        <v>5</v>
      </c>
      <c r="L25" s="227">
        <v>7</v>
      </c>
      <c r="M25" s="228">
        <f>Tableau2[[#This Row],[Delivery time to ILN/Shipper]]+Tableau2[[#This Row],[Day ILN Order]]-1</f>
        <v>22</v>
      </c>
      <c r="N25" s="229">
        <v>1</v>
      </c>
      <c r="O25" s="230" t="s">
        <v>479</v>
      </c>
      <c r="P25" s="58">
        <v>3</v>
      </c>
    </row>
    <row r="26" spans="1:16">
      <c r="A26" s="242" t="str">
        <f>_xlfn.CONCAT(Tableau2[[#This Row],[Compte ILN]],"-",Tableau2[[#This Row],[Compte Shipper]],"-",Tableau2[[#This Row],[POL]],"-",Tableau2[[#This Row],[Compte Consignee]])</f>
        <v>92000100-92000100-FRLEH-26549500</v>
      </c>
      <c r="B26" s="342" t="str">
        <f>IF(Tableau2[[#This Row],[Name Consignee]]="",_xlfn.CONCAT(Tableau2[[#This Row],[Compte ILN]],"-",Tableau2[[#This Row],[Compte Shipper]],"-",Tableau2[[#This Row],[POL]]),"-")</f>
        <v>-</v>
      </c>
      <c r="C26" s="224" t="s">
        <v>1</v>
      </c>
      <c r="D26" s="225">
        <f>VLOOKUP(Tableau2[[#This Row],[ Name ILN]],Plant_AILN!F:G,2,FALSE)</f>
        <v>92000100</v>
      </c>
      <c r="E26" s="224" t="s">
        <v>1</v>
      </c>
      <c r="F26" s="226">
        <f>IFERROR(VLOOKUP(Tableau2[[#This Row],[Name of shipper]],Plant_AILN!L:M,2,FALSE),0)</f>
        <v>92000100</v>
      </c>
      <c r="G26" s="137" t="s">
        <v>257</v>
      </c>
      <c r="H26" s="226">
        <f>IF(Tableau2[[#This Row],[Name Consignee]]=0,"",VLOOKUP(Tableau2[[#This Row],[Name Consignee]],Plant_AILN!A:C,3,FALSE))</f>
        <v>26549500</v>
      </c>
      <c r="I26" s="52">
        <v>9</v>
      </c>
      <c r="J26" s="219">
        <v>14</v>
      </c>
      <c r="K26" s="94">
        <v>5</v>
      </c>
      <c r="L26" s="227">
        <v>7</v>
      </c>
      <c r="M26" s="228">
        <f>Tableau2[[#This Row],[Delivery time to ILN/Shipper]]+Tableau2[[#This Row],[Day ILN Order]]-1</f>
        <v>22</v>
      </c>
      <c r="N26" s="229">
        <v>1</v>
      </c>
      <c r="O26" s="230" t="s">
        <v>505</v>
      </c>
      <c r="P26" s="58">
        <v>3</v>
      </c>
    </row>
    <row r="27" spans="1:16">
      <c r="A27" s="242" t="str">
        <f>_xlfn.CONCAT(Tableau2[[#This Row],[Compte ILN]],"-",Tableau2[[#This Row],[Compte Shipper]],"-",Tableau2[[#This Row],[POL]],"-",Tableau2[[#This Row],[Compte Consignee]])</f>
        <v>92000100-92000100-FRLEH-26549502</v>
      </c>
      <c r="B27" s="342" t="str">
        <f>IF(Tableau2[[#This Row],[Name Consignee]]="",_xlfn.CONCAT(Tableau2[[#This Row],[Compte ILN]],"-",Tableau2[[#This Row],[Compte Shipper]],"-",Tableau2[[#This Row],[POL]]),"-")</f>
        <v>-</v>
      </c>
      <c r="C27" s="224" t="s">
        <v>1</v>
      </c>
      <c r="D27" s="225">
        <f>VLOOKUP(Tableau2[[#This Row],[ Name ILN]],Plant_AILN!F:G,2,FALSE)</f>
        <v>92000100</v>
      </c>
      <c r="E27" s="224" t="s">
        <v>1</v>
      </c>
      <c r="F27" s="226">
        <f>IFERROR(VLOOKUP(Tableau2[[#This Row],[Name of shipper]],Plant_AILN!L:M,2,FALSE),0)</f>
        <v>92000100</v>
      </c>
      <c r="G27" s="137" t="s">
        <v>190</v>
      </c>
      <c r="H27" s="226">
        <f>IF(Tableau2[[#This Row],[Name Consignee]]=0,"",VLOOKUP(Tableau2[[#This Row],[Name Consignee]],Plant_AILN!A:C,3,FALSE))</f>
        <v>26549502</v>
      </c>
      <c r="I27" s="52">
        <v>9</v>
      </c>
      <c r="J27" s="219">
        <v>14</v>
      </c>
      <c r="K27" s="94">
        <v>5</v>
      </c>
      <c r="L27" s="227">
        <v>7</v>
      </c>
      <c r="M27" s="228">
        <f>Tableau2[[#This Row],[Delivery time to ILN/Shipper]]+Tableau2[[#This Row],[Day ILN Order]]-1</f>
        <v>22</v>
      </c>
      <c r="N27" s="229">
        <v>1</v>
      </c>
      <c r="O27" s="230" t="s">
        <v>505</v>
      </c>
      <c r="P27" s="58">
        <v>3</v>
      </c>
    </row>
    <row r="28" spans="1:16">
      <c r="A28" s="242" t="str">
        <f>_xlfn.CONCAT(Tableau2[[#This Row],[Compte ILN]],"-",Tableau2[[#This Row],[Compte Shipper]],"-",Tableau2[[#This Row],[POL]],"-",Tableau2[[#This Row],[Compte Consignee]])</f>
        <v>92000100-92000100-FRLEH-90016000</v>
      </c>
      <c r="B28" s="342" t="str">
        <f>IF(Tableau2[[#This Row],[Name Consignee]]="",_xlfn.CONCAT(Tableau2[[#This Row],[Compte ILN]],"-",Tableau2[[#This Row],[Compte Shipper]],"-",Tableau2[[#This Row],[POL]]),"-")</f>
        <v>-</v>
      </c>
      <c r="C28" s="224" t="s">
        <v>1</v>
      </c>
      <c r="D28" s="225">
        <f>VLOOKUP(Tableau2[[#This Row],[ Name ILN]],Plant_AILN!F:G,2,FALSE)</f>
        <v>92000100</v>
      </c>
      <c r="E28" s="224" t="s">
        <v>1</v>
      </c>
      <c r="F28" s="226">
        <f>IFERROR(VLOOKUP(Tableau2[[#This Row],[Name of shipper]],Plant_AILN!L:M,2,FALSE),0)</f>
        <v>92000100</v>
      </c>
      <c r="G28" s="137" t="s">
        <v>169</v>
      </c>
      <c r="H28" s="226">
        <f>IF(Tableau2[[#This Row],[Name Consignee]]=0,"",VLOOKUP(Tableau2[[#This Row],[Name Consignee]],Plant_AILN!A:C,3,FALSE))</f>
        <v>90016000</v>
      </c>
      <c r="I28" s="52">
        <v>9</v>
      </c>
      <c r="J28" s="219">
        <v>14</v>
      </c>
      <c r="K28" s="94">
        <v>5</v>
      </c>
      <c r="L28" s="227">
        <v>7</v>
      </c>
      <c r="M28" s="228">
        <f>Tableau2[[#This Row],[Delivery time to ILN/Shipper]]+Tableau2[[#This Row],[Day ILN Order]]-1</f>
        <v>22</v>
      </c>
      <c r="N28" s="229">
        <v>1</v>
      </c>
      <c r="O28" s="230" t="s">
        <v>505</v>
      </c>
      <c r="P28" s="58">
        <v>2</v>
      </c>
    </row>
    <row r="29" spans="1:16">
      <c r="A29" s="242" t="str">
        <f>_xlfn.CONCAT(Tableau2[[#This Row],[Compte ILN]],"-",Tableau2[[#This Row],[Compte Shipper]],"-",Tableau2[[#This Row],[POL]],"-",Tableau2[[#This Row],[Compte Consignee]])</f>
        <v>92000100-90016100-FRLEH-90016000</v>
      </c>
      <c r="B29" s="242" t="str">
        <f>IF(Tableau2[[#This Row],[Name Consignee]]="",_xlfn.CONCAT(Tableau2[[#This Row],[Compte ILN]],"-",Tableau2[[#This Row],[Compte Shipper]],"-",Tableau2[[#This Row],[POL]]),"-")</f>
        <v>-</v>
      </c>
      <c r="C29" s="224" t="s">
        <v>1</v>
      </c>
      <c r="D29" s="228">
        <f>VLOOKUP(Tableau2[[#This Row],[ Name ILN]],Plant_AILN!F:G,2,FALSE)</f>
        <v>92000100</v>
      </c>
      <c r="E29" s="166" t="s">
        <v>170</v>
      </c>
      <c r="F29" s="235">
        <f>IFERROR(VLOOKUP(Tableau2[[#This Row],[Name of shipper]],Plant_AILN!L:M,2,FALSE),0)</f>
        <v>90016100</v>
      </c>
      <c r="G29" s="137" t="s">
        <v>169</v>
      </c>
      <c r="H29" s="235">
        <f>IF(Tableau2[[#This Row],[Name Consignee]]=0,"",VLOOKUP(Tableau2[[#This Row],[Name Consignee]],Plant_AILN!A:C,3,FALSE))</f>
        <v>90016000</v>
      </c>
      <c r="I29" s="219">
        <v>9</v>
      </c>
      <c r="J29" s="219">
        <v>14</v>
      </c>
      <c r="K29" s="94">
        <v>5</v>
      </c>
      <c r="L29" s="224">
        <v>7</v>
      </c>
      <c r="M29" s="228">
        <f>Tableau2[[#This Row],[Delivery time to ILN/Shipper]]+Tableau2[[#This Row],[Day ILN Order]]-1</f>
        <v>22</v>
      </c>
      <c r="N29" s="219">
        <v>1</v>
      </c>
      <c r="O29" s="94" t="s">
        <v>505</v>
      </c>
      <c r="P29" s="219">
        <v>3</v>
      </c>
    </row>
    <row r="30" spans="1:16">
      <c r="A30" s="242" t="str">
        <f>_xlfn.CONCAT(Tableau2[[#This Row],[Compte ILN]],"-",Tableau2[[#This Row],[Compte Shipper]],"-",Tableau2[[#This Row],[POL]],"-",Tableau2[[#This Row],[Compte Consignee]])</f>
        <v>92000100-92000100-FRLEH-90018000</v>
      </c>
      <c r="B30" s="342" t="str">
        <f>IF(Tableau2[[#This Row],[Name Consignee]]="",_xlfn.CONCAT(Tableau2[[#This Row],[Compte ILN]],"-",Tableau2[[#This Row],[Compte Shipper]],"-",Tableau2[[#This Row],[POL]]),"-")</f>
        <v>-</v>
      </c>
      <c r="C30" s="224" t="s">
        <v>1</v>
      </c>
      <c r="D30" s="225">
        <f>VLOOKUP(Tableau2[[#This Row],[ Name ILN]],Plant_AILN!F:G,2,FALSE)</f>
        <v>92000100</v>
      </c>
      <c r="E30" s="166" t="s">
        <v>1</v>
      </c>
      <c r="F30" s="226">
        <f>IFERROR(VLOOKUP(Tableau2[[#This Row],[Name of shipper]],Plant_AILN!L:M,2,FALSE),0)</f>
        <v>92000100</v>
      </c>
      <c r="G30" s="231" t="s">
        <v>149</v>
      </c>
      <c r="H30" s="226">
        <f>IF(Tableau2[[#This Row],[Name Consignee]]=0,"",VLOOKUP(Tableau2[[#This Row],[Name Consignee]],Plant_AILN!A:C,3,FALSE))</f>
        <v>90018000</v>
      </c>
      <c r="I30" s="52">
        <v>9</v>
      </c>
      <c r="J30" s="219">
        <v>14</v>
      </c>
      <c r="K30" s="94">
        <v>5</v>
      </c>
      <c r="L30" s="227">
        <v>7</v>
      </c>
      <c r="M30" s="228">
        <f>Tableau2[[#This Row],[Delivery time to ILN/Shipper]]+Tableau2[[#This Row],[Day ILN Order]]-1</f>
        <v>22</v>
      </c>
      <c r="N30" s="229">
        <v>1</v>
      </c>
      <c r="O30" s="230" t="s">
        <v>505</v>
      </c>
      <c r="P30" s="58">
        <v>5</v>
      </c>
    </row>
    <row r="31" spans="1:16">
      <c r="A31" s="242" t="str">
        <f>_xlfn.CONCAT(Tableau2[[#This Row],[Compte ILN]],"-",Tableau2[[#This Row],[Compte Shipper]],"-",Tableau2[[#This Row],[POL]],"-",Tableau2[[#This Row],[Compte Consignee]])</f>
        <v>92000100-92000100-FRLEH-92002200</v>
      </c>
      <c r="B31" s="342" t="str">
        <f>IF(Tableau2[[#This Row],[Name Consignee]]="",_xlfn.CONCAT(Tableau2[[#This Row],[Compte ILN]],"-",Tableau2[[#This Row],[Compte Shipper]],"-",Tableau2[[#This Row],[POL]]),"-")</f>
        <v>-</v>
      </c>
      <c r="C31" s="224" t="s">
        <v>1</v>
      </c>
      <c r="D31" s="225">
        <f>VLOOKUP(Tableau2[[#This Row],[ Name ILN]],Plant_AILN!F:G,2,FALSE)</f>
        <v>92000100</v>
      </c>
      <c r="E31" s="166" t="s">
        <v>1</v>
      </c>
      <c r="F31" s="226">
        <f>IFERROR(VLOOKUP(Tableau2[[#This Row],[Name of shipper]],Plant_AILN!L:M,2,FALSE),0)</f>
        <v>92000100</v>
      </c>
      <c r="G31" s="231" t="s">
        <v>36</v>
      </c>
      <c r="H31" s="226">
        <f>IF(Tableau2[[#This Row],[Name Consignee]]=0,"",VLOOKUP(Tableau2[[#This Row],[Name Consignee]],Plant_AILN!A:C,3,FALSE))</f>
        <v>92002200</v>
      </c>
      <c r="I31" s="52">
        <v>9</v>
      </c>
      <c r="J31" s="219">
        <v>14</v>
      </c>
      <c r="K31" s="94">
        <v>5</v>
      </c>
      <c r="L31" s="227">
        <v>7</v>
      </c>
      <c r="M31" s="228">
        <f>Tableau2[[#This Row],[Delivery time to ILN/Shipper]]+Tableau2[[#This Row],[Day ILN Order]]-1</f>
        <v>22</v>
      </c>
      <c r="N31" s="229">
        <v>3</v>
      </c>
      <c r="O31" s="230" t="s">
        <v>505</v>
      </c>
      <c r="P31" s="58">
        <v>5</v>
      </c>
    </row>
    <row r="32" spans="1:16">
      <c r="A32" s="242" t="str">
        <f>_xlfn.CONCAT(Tableau2[[#This Row],[Compte ILN]],"-",Tableau2[[#This Row],[Compte Shipper]],"-",Tableau2[[#This Row],[POL]],"-",Tableau2[[#This Row],[Compte Consignee]])</f>
        <v>28390-28390-ROCND-26549500</v>
      </c>
      <c r="B32" s="342" t="str">
        <f>IF(Tableau2[[#This Row],[Name Consignee]]="",_xlfn.CONCAT(Tableau2[[#This Row],[Compte ILN]],"-",Tableau2[[#This Row],[Compte Shipper]],"-",Tableau2[[#This Row],[POL]]),"-")</f>
        <v>-</v>
      </c>
      <c r="C32" s="224" t="s">
        <v>165</v>
      </c>
      <c r="D32" s="225">
        <f>VLOOKUP(Tableau2[[#This Row],[ Name ILN]],Plant_AILN!F:G,2,FALSE)</f>
        <v>28390</v>
      </c>
      <c r="E32" s="224" t="s">
        <v>165</v>
      </c>
      <c r="F32" s="226">
        <f>IFERROR(VLOOKUP(Tableau2[[#This Row],[Name of shipper]],Plant_AILN!L:M,2,FALSE),0)</f>
        <v>28390</v>
      </c>
      <c r="G32" s="137" t="s">
        <v>257</v>
      </c>
      <c r="H32" s="226">
        <f>IF(Tableau2[[#This Row],[Name Consignee]]=0,"",VLOOKUP(Tableau2[[#This Row],[Name Consignee]],Plant_AILN!A:C,3,FALSE))</f>
        <v>26549500</v>
      </c>
      <c r="I32" s="52">
        <v>9</v>
      </c>
      <c r="J32" s="219">
        <v>14</v>
      </c>
      <c r="K32" s="94">
        <v>5</v>
      </c>
      <c r="L32" s="227">
        <v>7</v>
      </c>
      <c r="M32" s="228">
        <f>Tableau2[[#This Row],[Delivery time to ILN/Shipper]]+Tableau2[[#This Row],[Day ILN Order]]-1</f>
        <v>22</v>
      </c>
      <c r="N32" s="229">
        <v>4</v>
      </c>
      <c r="O32" s="230" t="s">
        <v>484</v>
      </c>
      <c r="P32" s="58">
        <v>5</v>
      </c>
    </row>
    <row r="33" spans="1:16">
      <c r="A33" s="242" t="str">
        <f>_xlfn.CONCAT(Tableau2[[#This Row],[Compte ILN]],"-",Tableau2[[#This Row],[Compte Shipper]],"-",Tableau2[[#This Row],[POL]],"-",Tableau2[[#This Row],[Compte Consignee]])</f>
        <v>28390-28390-ROCND-26549502</v>
      </c>
      <c r="B33" s="342" t="str">
        <f>IF(Tableau2[[#This Row],[Name Consignee]]="",_xlfn.CONCAT(Tableau2[[#This Row],[Compte ILN]],"-",Tableau2[[#This Row],[Compte Shipper]],"-",Tableau2[[#This Row],[POL]]),"-")</f>
        <v>-</v>
      </c>
      <c r="C33" s="224" t="s">
        <v>165</v>
      </c>
      <c r="D33" s="225">
        <f>VLOOKUP(Tableau2[[#This Row],[ Name ILN]],Plant_AILN!F:G,2,FALSE)</f>
        <v>28390</v>
      </c>
      <c r="E33" s="224" t="s">
        <v>165</v>
      </c>
      <c r="F33" s="226">
        <f>IFERROR(VLOOKUP(Tableau2[[#This Row],[Name of shipper]],Plant_AILN!L:M,2,FALSE),0)</f>
        <v>28390</v>
      </c>
      <c r="G33" s="137" t="s">
        <v>190</v>
      </c>
      <c r="H33" s="226">
        <f>IF(Tableau2[[#This Row],[Name Consignee]]=0,"",VLOOKUP(Tableau2[[#This Row],[Name Consignee]],Plant_AILN!A:C,3,FALSE))</f>
        <v>26549502</v>
      </c>
      <c r="I33" s="52">
        <v>9</v>
      </c>
      <c r="J33" s="219">
        <v>14</v>
      </c>
      <c r="K33" s="94">
        <v>5</v>
      </c>
      <c r="L33" s="227">
        <v>7</v>
      </c>
      <c r="M33" s="228">
        <f>Tableau2[[#This Row],[Delivery time to ILN/Shipper]]+Tableau2[[#This Row],[Day ILN Order]]-1</f>
        <v>22</v>
      </c>
      <c r="N33" s="229">
        <v>4</v>
      </c>
      <c r="O33" s="230" t="s">
        <v>484</v>
      </c>
      <c r="P33" s="58">
        <v>5</v>
      </c>
    </row>
    <row r="34" spans="1:16">
      <c r="A34" s="242" t="str">
        <f>_xlfn.CONCAT(Tableau2[[#This Row],[Compte ILN]],"-",Tableau2[[#This Row],[Compte Shipper]],"-",Tableau2[[#This Row],[POL]],"-",Tableau2[[#This Row],[Compte Consignee]])</f>
        <v>28390-28390-ROCND-90016000</v>
      </c>
      <c r="B34" s="342" t="str">
        <f>IF(Tableau2[[#This Row],[Name Consignee]]="",_xlfn.CONCAT(Tableau2[[#This Row],[Compte ILN]],"-",Tableau2[[#This Row],[Compte Shipper]],"-",Tableau2[[#This Row],[POL]]),"-")</f>
        <v>-</v>
      </c>
      <c r="C34" s="224" t="s">
        <v>165</v>
      </c>
      <c r="D34" s="225">
        <f>VLOOKUP(Tableau2[[#This Row],[ Name ILN]],Plant_AILN!F:G,2,FALSE)</f>
        <v>28390</v>
      </c>
      <c r="E34" s="224" t="s">
        <v>165</v>
      </c>
      <c r="F34" s="226">
        <f>IFERROR(VLOOKUP(Tableau2[[#This Row],[Name of shipper]],Plant_AILN!L:M,2,FALSE),0)</f>
        <v>28390</v>
      </c>
      <c r="G34" s="137" t="s">
        <v>169</v>
      </c>
      <c r="H34" s="226">
        <f>IF(Tableau2[[#This Row],[Name Consignee]]=0,"",VLOOKUP(Tableau2[[#This Row],[Name Consignee]],Plant_AILN!A:C,3,FALSE))</f>
        <v>90016000</v>
      </c>
      <c r="I34" s="52">
        <v>9</v>
      </c>
      <c r="J34" s="219">
        <v>14</v>
      </c>
      <c r="K34" s="94">
        <v>5</v>
      </c>
      <c r="L34" s="227">
        <v>7</v>
      </c>
      <c r="M34" s="228">
        <f>Tableau2[[#This Row],[Delivery time to ILN/Shipper]]+Tableau2[[#This Row],[Day ILN Order]]-1</f>
        <v>22</v>
      </c>
      <c r="N34" s="229">
        <v>4</v>
      </c>
      <c r="O34" s="230" t="s">
        <v>484</v>
      </c>
      <c r="P34" s="58">
        <v>5</v>
      </c>
    </row>
    <row r="35" spans="1:16">
      <c r="A35" s="242" t="str">
        <f>_xlfn.CONCAT(Tableau2[[#This Row],[Compte ILN]],"-",Tableau2[[#This Row],[Compte Shipper]],"-",Tableau2[[#This Row],[POL]],"-",Tableau2[[#This Row],[Compte Consignee]])</f>
        <v>28390-28390-ROCND-90018600</v>
      </c>
      <c r="B35" s="342" t="str">
        <f>IF(Tableau2[[#This Row],[Name Consignee]]="",_xlfn.CONCAT(Tableau2[[#This Row],[Compte ILN]],"-",Tableau2[[#This Row],[Compte Shipper]],"-",Tableau2[[#This Row],[POL]]),"-")</f>
        <v>-</v>
      </c>
      <c r="C35" s="224" t="s">
        <v>165</v>
      </c>
      <c r="D35" s="225">
        <f>VLOOKUP(Tableau2[[#This Row],[ Name ILN]],Plant_AILN!F:G,2,FALSE)</f>
        <v>28390</v>
      </c>
      <c r="E35" s="224" t="s">
        <v>165</v>
      </c>
      <c r="F35" s="226">
        <f>IFERROR(VLOOKUP(Tableau2[[#This Row],[Name of shipper]],Plant_AILN!L:M,2,FALSE),0)</f>
        <v>28390</v>
      </c>
      <c r="G35" s="137" t="s">
        <v>154</v>
      </c>
      <c r="H35" s="226">
        <f>IF(Tableau2[[#This Row],[Name Consignee]]=0,"",VLOOKUP(Tableau2[[#This Row],[Name Consignee]],Plant_AILN!A:C,3,FALSE))</f>
        <v>90018600</v>
      </c>
      <c r="I35" s="52">
        <v>9</v>
      </c>
      <c r="J35" s="219">
        <v>14</v>
      </c>
      <c r="K35" s="94">
        <v>5</v>
      </c>
      <c r="L35" s="227">
        <v>7</v>
      </c>
      <c r="M35" s="228">
        <f>Tableau2[[#This Row],[Delivery time to ILN/Shipper]]+Tableau2[[#This Row],[Day ILN Order]]-1</f>
        <v>22</v>
      </c>
      <c r="N35" s="229">
        <v>4</v>
      </c>
      <c r="O35" s="230" t="s">
        <v>484</v>
      </c>
      <c r="P35" s="58">
        <v>5</v>
      </c>
    </row>
    <row r="36" spans="1:16">
      <c r="A36" s="242" t="str">
        <f>_xlfn.CONCAT(Tableau2[[#This Row],[Compte ILN]],"-",Tableau2[[#This Row],[Compte Shipper]],"-",Tableau2[[#This Row],[POL]],"-",Tableau2[[#This Row],[Compte Consignee]])</f>
        <v>28390-28390-ROCND-90018000</v>
      </c>
      <c r="B36" s="342" t="str">
        <f>IF(Tableau2[[#This Row],[Name Consignee]]="",_xlfn.CONCAT(Tableau2[[#This Row],[Compte ILN]],"-",Tableau2[[#This Row],[Compte Shipper]],"-",Tableau2[[#This Row],[POL]]),"-")</f>
        <v>-</v>
      </c>
      <c r="C36" s="224" t="s">
        <v>165</v>
      </c>
      <c r="D36" s="225">
        <f>VLOOKUP(Tableau2[[#This Row],[ Name ILN]],Plant_AILN!F:G,2,FALSE)</f>
        <v>28390</v>
      </c>
      <c r="E36" s="224" t="s">
        <v>165</v>
      </c>
      <c r="F36" s="226">
        <f>IFERROR(VLOOKUP(Tableau2[[#This Row],[Name of shipper]],Plant_AILN!L:M,2,FALSE),0)</f>
        <v>28390</v>
      </c>
      <c r="G36" s="137" t="s">
        <v>149</v>
      </c>
      <c r="H36" s="226">
        <f>IF(Tableau2[[#This Row],[Name Consignee]]=0,"",VLOOKUP(Tableau2[[#This Row],[Name Consignee]],Plant_AILN!A:C,3,FALSE))</f>
        <v>90018000</v>
      </c>
      <c r="I36" s="52">
        <v>9</v>
      </c>
      <c r="J36" s="219">
        <v>14</v>
      </c>
      <c r="K36" s="94">
        <v>5</v>
      </c>
      <c r="L36" s="227">
        <v>7</v>
      </c>
      <c r="M36" s="228">
        <f>Tableau2[[#This Row],[Delivery time to ILN/Shipper]]+Tableau2[[#This Row],[Day ILN Order]]-1</f>
        <v>22</v>
      </c>
      <c r="N36" s="229">
        <v>4</v>
      </c>
      <c r="O36" s="230" t="s">
        <v>484</v>
      </c>
      <c r="P36" s="58">
        <v>5</v>
      </c>
    </row>
    <row r="37" spans="1:16">
      <c r="A37" s="242" t="str">
        <f>_xlfn.CONCAT(Tableau2[[#This Row],[Compte ILN]],"-",Tableau2[[#This Row],[Compte Shipper]],"-",Tableau2[[#This Row],[POL]],"-",Tableau2[[#This Row],[Compte Consignee]])</f>
        <v>28390-28390-ROCND-90018500</v>
      </c>
      <c r="B37" s="342" t="str">
        <f>IF(Tableau2[[#This Row],[Name Consignee]]="",_xlfn.CONCAT(Tableau2[[#This Row],[Compte ILN]],"-",Tableau2[[#This Row],[Compte Shipper]],"-",Tableau2[[#This Row],[POL]]),"-")</f>
        <v>-</v>
      </c>
      <c r="C37" s="224" t="s">
        <v>165</v>
      </c>
      <c r="D37" s="225">
        <f>VLOOKUP(Tableau2[[#This Row],[ Name ILN]],Plant_AILN!F:G,2,FALSE)</f>
        <v>28390</v>
      </c>
      <c r="E37" s="224" t="s">
        <v>165</v>
      </c>
      <c r="F37" s="226">
        <f>IFERROR(VLOOKUP(Tableau2[[#This Row],[Name of shipper]],Plant_AILN!L:M,2,FALSE),0)</f>
        <v>28390</v>
      </c>
      <c r="G37" s="137" t="s">
        <v>548</v>
      </c>
      <c r="H37" s="226">
        <f>IF(Tableau2[[#This Row],[Name Consignee]]=0,"",VLOOKUP(Tableau2[[#This Row],[Name Consignee]],Plant_AILN!A:C,3,FALSE))</f>
        <v>90018500</v>
      </c>
      <c r="I37" s="52">
        <v>9</v>
      </c>
      <c r="J37" s="219">
        <v>14</v>
      </c>
      <c r="K37" s="94">
        <v>5</v>
      </c>
      <c r="L37" s="227">
        <v>7</v>
      </c>
      <c r="M37" s="228">
        <f>Tableau2[[#This Row],[Delivery time to ILN/Shipper]]+Tableau2[[#This Row],[Day ILN Order]]-1</f>
        <v>22</v>
      </c>
      <c r="N37" s="229">
        <v>4</v>
      </c>
      <c r="O37" s="230" t="s">
        <v>484</v>
      </c>
      <c r="P37" s="58">
        <v>5</v>
      </c>
    </row>
    <row r="38" spans="1:16">
      <c r="A38" s="242" t="str">
        <f>_xlfn.CONCAT(Tableau2[[#This Row],[Compte ILN]],"-",Tableau2[[#This Row],[Compte Shipper]],"-",Tableau2[[#This Row],[POL]],"-",Tableau2[[#This Row],[Compte Consignee]])</f>
        <v>28390-28390-ROCND-25079500</v>
      </c>
      <c r="B38" s="342" t="str">
        <f>IF(Tableau2[[#This Row],[Name Consignee]]="",_xlfn.CONCAT(Tableau2[[#This Row],[Compte ILN]],"-",Tableau2[[#This Row],[Compte Shipper]],"-",Tableau2[[#This Row],[POL]]),"-")</f>
        <v>-</v>
      </c>
      <c r="C38" s="224" t="s">
        <v>165</v>
      </c>
      <c r="D38" s="225">
        <f>VLOOKUP(Tableau2[[#This Row],[ Name ILN]],Plant_AILN!F:G,2,FALSE)</f>
        <v>28390</v>
      </c>
      <c r="E38" s="224" t="s">
        <v>165</v>
      </c>
      <c r="F38" s="226">
        <f>IFERROR(VLOOKUP(Tableau2[[#This Row],[Name of shipper]],Plant_AILN!L:M,2,FALSE),0)</f>
        <v>28390</v>
      </c>
      <c r="G38" s="137" t="s">
        <v>546</v>
      </c>
      <c r="H38" s="226">
        <f>IF(Tableau2[[#This Row],[Name Consignee]]=0,"",VLOOKUP(Tableau2[[#This Row],[Name Consignee]],Plant_AILN!A:C,3,FALSE))</f>
        <v>25079500</v>
      </c>
      <c r="I38" s="52">
        <v>9</v>
      </c>
      <c r="J38" s="219">
        <v>14</v>
      </c>
      <c r="K38" s="94">
        <v>5</v>
      </c>
      <c r="L38" s="227">
        <v>7</v>
      </c>
      <c r="M38" s="228">
        <f>Tableau2[[#This Row],[Delivery time to ILN/Shipper]]+Tableau2[[#This Row],[Day ILN Order]]-1</f>
        <v>22</v>
      </c>
      <c r="N38" s="229">
        <v>4</v>
      </c>
      <c r="O38" s="230" t="s">
        <v>484</v>
      </c>
      <c r="P38" s="58">
        <v>5</v>
      </c>
    </row>
    <row r="39" spans="1:16">
      <c r="A39" s="242" t="str">
        <f>_xlfn.CONCAT(Tableau2[[#This Row],[Compte ILN]],"-",Tableau2[[#This Row],[Compte Shipper]],"-",Tableau2[[#This Row],[POL]],"-",Tableau2[[#This Row],[Compte Consignee]])</f>
        <v>28390-28390-ROCND-92002200</v>
      </c>
      <c r="B39" s="342" t="str">
        <f>IF(Tableau2[[#This Row],[Name Consignee]]="",_xlfn.CONCAT(Tableau2[[#This Row],[Compte ILN]],"-",Tableau2[[#This Row],[Compte Shipper]],"-",Tableau2[[#This Row],[POL]]),"-")</f>
        <v>-</v>
      </c>
      <c r="C39" s="224" t="s">
        <v>165</v>
      </c>
      <c r="D39" s="225">
        <f>VLOOKUP(Tableau2[[#This Row],[ Name ILN]],Plant_AILN!F:G,2,FALSE)</f>
        <v>28390</v>
      </c>
      <c r="E39" s="224" t="s">
        <v>165</v>
      </c>
      <c r="F39" s="226">
        <f>IFERROR(VLOOKUP(Tableau2[[#This Row],[Name of shipper]],Plant_AILN!L:M,2,FALSE),0)</f>
        <v>28390</v>
      </c>
      <c r="G39" s="137" t="s">
        <v>36</v>
      </c>
      <c r="H39" s="226">
        <f>IF(Tableau2[[#This Row],[Name Consignee]]=0,"",VLOOKUP(Tableau2[[#This Row],[Name Consignee]],Plant_AILN!A:C,3,FALSE))</f>
        <v>92002200</v>
      </c>
      <c r="I39" s="52">
        <v>9</v>
      </c>
      <c r="J39" s="219">
        <v>14</v>
      </c>
      <c r="K39" s="94">
        <v>5</v>
      </c>
      <c r="L39" s="227">
        <v>7</v>
      </c>
      <c r="M39" s="228">
        <f>Tableau2[[#This Row],[Delivery time to ILN/Shipper]]+Tableau2[[#This Row],[Day ILN Order]]-1</f>
        <v>22</v>
      </c>
      <c r="N39" s="229">
        <v>4</v>
      </c>
      <c r="O39" s="230" t="s">
        <v>484</v>
      </c>
      <c r="P39" s="58">
        <v>5</v>
      </c>
    </row>
    <row r="40" spans="1:16">
      <c r="A40" s="242" t="str">
        <f>_xlfn.CONCAT(Tableau2[[#This Row],[Compte ILN]],"-",Tableau2[[#This Row],[Compte Shipper]],"-",Tableau2[[#This Row],[POL]],"-",Tableau2[[#This Row],[Compte Consignee]])</f>
        <v>28390-28390-ROCND-9510600</v>
      </c>
      <c r="B40" s="342" t="str">
        <f>IF(Tableau2[[#This Row],[Name Consignee]]="",_xlfn.CONCAT(Tableau2[[#This Row],[Compte ILN]],"-",Tableau2[[#This Row],[Compte Shipper]],"-",Tableau2[[#This Row],[POL]]),"-")</f>
        <v>-</v>
      </c>
      <c r="C40" s="224" t="s">
        <v>165</v>
      </c>
      <c r="D40" s="225">
        <f>VLOOKUP(Tableau2[[#This Row],[ Name ILN]],Plant_AILN!F:G,2,FALSE)</f>
        <v>28390</v>
      </c>
      <c r="E40" s="224" t="s">
        <v>165</v>
      </c>
      <c r="F40" s="226">
        <f>IFERROR(VLOOKUP(Tableau2[[#This Row],[Name of shipper]],Plant_AILN!L:M,2,FALSE),0)</f>
        <v>28390</v>
      </c>
      <c r="G40" s="137" t="s">
        <v>176</v>
      </c>
      <c r="H40" s="226">
        <f>IF(Tableau2[[#This Row],[Name Consignee]]=0,"",VLOOKUP(Tableau2[[#This Row],[Name Consignee]],Plant_AILN!A:C,3,FALSE))</f>
        <v>9510600</v>
      </c>
      <c r="I40" s="52">
        <v>9</v>
      </c>
      <c r="J40" s="219">
        <v>14</v>
      </c>
      <c r="K40" s="94">
        <v>5</v>
      </c>
      <c r="L40" s="227">
        <v>7</v>
      </c>
      <c r="M40" s="228">
        <f>Tableau2[[#This Row],[Delivery time to ILN/Shipper]]+Tableau2[[#This Row],[Day ILN Order]]-1</f>
        <v>22</v>
      </c>
      <c r="N40" s="229">
        <v>4</v>
      </c>
      <c r="O40" s="230" t="s">
        <v>484</v>
      </c>
      <c r="P40" s="58">
        <v>5</v>
      </c>
    </row>
    <row r="41" spans="1:16">
      <c r="A41" s="242" t="str">
        <f>_xlfn.CONCAT(Tableau2[[#This Row],[Compte ILN]],"-",Tableau2[[#This Row],[Compte Shipper]],"-",Tableau2[[#This Row],[POL]],"-",Tableau2[[#This Row],[Compte Consignee]])</f>
        <v>28390-28390-ROCND-90038200</v>
      </c>
      <c r="B41" s="342" t="str">
        <f>IF(Tableau2[[#This Row],[Name Consignee]]="",_xlfn.CONCAT(Tableau2[[#This Row],[Compte ILN]],"-",Tableau2[[#This Row],[Compte Shipper]],"-",Tableau2[[#This Row],[POL]]),"-")</f>
        <v>-</v>
      </c>
      <c r="C41" s="224" t="s">
        <v>165</v>
      </c>
      <c r="D41" s="225">
        <f>VLOOKUP(Tableau2[[#This Row],[ Name ILN]],Plant_AILN!F:G,2,FALSE)</f>
        <v>28390</v>
      </c>
      <c r="E41" s="224" t="s">
        <v>165</v>
      </c>
      <c r="F41" s="226">
        <f>IFERROR(VLOOKUP(Tableau2[[#This Row],[Name of shipper]],Plant_AILN!L:M,2,FALSE),0)</f>
        <v>28390</v>
      </c>
      <c r="G41" s="137" t="s">
        <v>178</v>
      </c>
      <c r="H41" s="226">
        <f>IF(Tableau2[[#This Row],[Name Consignee]]=0,"",VLOOKUP(Tableau2[[#This Row],[Name Consignee]],Plant_AILN!A:C,3,FALSE))</f>
        <v>90038200</v>
      </c>
      <c r="I41" s="52">
        <v>9</v>
      </c>
      <c r="J41" s="219">
        <v>14</v>
      </c>
      <c r="K41" s="94">
        <v>5</v>
      </c>
      <c r="L41" s="227">
        <v>7</v>
      </c>
      <c r="M41" s="228">
        <f>Tableau2[[#This Row],[Delivery time to ILN/Shipper]]+Tableau2[[#This Row],[Day ILN Order]]-1</f>
        <v>22</v>
      </c>
      <c r="N41" s="229">
        <v>4</v>
      </c>
      <c r="O41" s="230" t="s">
        <v>484</v>
      </c>
      <c r="P41" s="58">
        <v>5</v>
      </c>
    </row>
    <row r="42" spans="1:16">
      <c r="A42" s="242" t="str">
        <f>_xlfn.CONCAT(Tableau2[[#This Row],[Compte ILN]],"-",Tableau2[[#This Row],[Compte Shipper]],"-",Tableau2[[#This Row],[POL]],"-",Tableau2[[#This Row],[Compte Consignee]])</f>
        <v>28390-28390-ROCND-900383</v>
      </c>
      <c r="B42" s="342" t="str">
        <f>IF(Tableau2[[#This Row],[Name Consignee]]="",_xlfn.CONCAT(Tableau2[[#This Row],[Compte ILN]],"-",Tableau2[[#This Row],[Compte Shipper]],"-",Tableau2[[#This Row],[POL]]),"-")</f>
        <v>-</v>
      </c>
      <c r="C42" s="224" t="s">
        <v>165</v>
      </c>
      <c r="D42" s="225">
        <f>VLOOKUP(Tableau2[[#This Row],[ Name ILN]],Plant_AILN!F:G,2,FALSE)</f>
        <v>28390</v>
      </c>
      <c r="E42" s="224" t="s">
        <v>165</v>
      </c>
      <c r="F42" s="226">
        <f>IFERROR(VLOOKUP(Tableau2[[#This Row],[Name of shipper]],Plant_AILN!L:M,2,FALSE),0)</f>
        <v>28390</v>
      </c>
      <c r="G42" s="137" t="s">
        <v>179</v>
      </c>
      <c r="H42" s="226">
        <f>IF(Tableau2[[#This Row],[Name Consignee]]=0,"",VLOOKUP(Tableau2[[#This Row],[Name Consignee]],Plant_AILN!A:C,3,FALSE))</f>
        <v>900383</v>
      </c>
      <c r="I42" s="52">
        <v>9</v>
      </c>
      <c r="J42" s="219">
        <v>14</v>
      </c>
      <c r="K42" s="94">
        <v>5</v>
      </c>
      <c r="L42" s="227">
        <v>7</v>
      </c>
      <c r="M42" s="228">
        <f>Tableau2[[#This Row],[Delivery time to ILN/Shipper]]+Tableau2[[#This Row],[Day ILN Order]]-1</f>
        <v>22</v>
      </c>
      <c r="N42" s="229">
        <v>4</v>
      </c>
      <c r="O42" s="230" t="s">
        <v>484</v>
      </c>
      <c r="P42" s="58">
        <v>5</v>
      </c>
    </row>
    <row r="43" spans="1:16">
      <c r="A43" s="242" t="str">
        <f>_xlfn.CONCAT(Tableau2[[#This Row],[Compte ILN]],"-",Tableau2[[#This Row],[Compte Shipper]],"-",Tableau2[[#This Row],[POL]],"-",Tableau2[[#This Row],[Compte Consignee]])</f>
        <v>2533780535-2533780535-INNSA-90018300</v>
      </c>
      <c r="B43" s="342" t="str">
        <f>IF(Tableau2[[#This Row],[Name Consignee]]="",_xlfn.CONCAT(Tableau2[[#This Row],[Compte ILN]],"-",Tableau2[[#This Row],[Compte Shipper]],"-",Tableau2[[#This Row],[POL]]),"-")</f>
        <v>-</v>
      </c>
      <c r="C43" s="224" t="s">
        <v>142</v>
      </c>
      <c r="D43" s="225">
        <f>VLOOKUP(Tableau2[[#This Row],[ Name ILN]],Plant_AILN!F:G,2,FALSE)</f>
        <v>2533780535</v>
      </c>
      <c r="E43" s="224" t="s">
        <v>142</v>
      </c>
      <c r="F43" s="226">
        <f>IFERROR(VLOOKUP(Tableau2[[#This Row],[Name of shipper]],Plant_AILN!L:M,2,FALSE),0)</f>
        <v>2533780535</v>
      </c>
      <c r="G43" s="137" t="s">
        <v>186</v>
      </c>
      <c r="H43" s="226">
        <f>IF(Tableau2[[#This Row],[Name Consignee]]=0,"",VLOOKUP(Tableau2[[#This Row],[Name Consignee]],Plant_AILN!A:C,3,FALSE))</f>
        <v>90018300</v>
      </c>
      <c r="I43" s="52">
        <v>9</v>
      </c>
      <c r="J43" s="219">
        <v>14</v>
      </c>
      <c r="K43" s="94">
        <v>5</v>
      </c>
      <c r="L43" s="227">
        <v>7</v>
      </c>
      <c r="M43" s="228">
        <f>Tableau2[[#This Row],[Delivery time to ILN/Shipper]]+Tableau2[[#This Row],[Day ILN Order]]-1</f>
        <v>22</v>
      </c>
      <c r="N43" s="229">
        <v>2</v>
      </c>
      <c r="O43" s="230" t="s">
        <v>476</v>
      </c>
      <c r="P43" s="58">
        <v>2</v>
      </c>
    </row>
    <row r="44" spans="1:16">
      <c r="A44" s="242" t="str">
        <f>_xlfn.CONCAT(Tableau2[[#This Row],[Compte ILN]],"-",Tableau2[[#This Row],[Compte Shipper]],"-",Tableau2[[#This Row],[POL]],"-",Tableau2[[#This Row],[Compte Consignee]])</f>
        <v>2533780535-2533780535-INMUN-90016500</v>
      </c>
      <c r="B44" s="342" t="str">
        <f>IF(Tableau2[[#This Row],[Name Consignee]]="",_xlfn.CONCAT(Tableau2[[#This Row],[Compte ILN]],"-",Tableau2[[#This Row],[Compte Shipper]],"-",Tableau2[[#This Row],[POL]]),"-")</f>
        <v>-</v>
      </c>
      <c r="C44" s="224" t="s">
        <v>142</v>
      </c>
      <c r="D44" s="225">
        <f>VLOOKUP(Tableau2[[#This Row],[ Name ILN]],Plant_AILN!F:G,2,FALSE)</f>
        <v>2533780535</v>
      </c>
      <c r="E44" s="224" t="s">
        <v>142</v>
      </c>
      <c r="F44" s="226">
        <f>IFERROR(VLOOKUP(Tableau2[[#This Row],[Name of shipper]],Plant_AILN!L:M,2,FALSE),0)</f>
        <v>2533780535</v>
      </c>
      <c r="G44" s="137" t="s">
        <v>160</v>
      </c>
      <c r="H44" s="226">
        <f>IF(Tableau2[[#This Row],[Name Consignee]]=0,"",VLOOKUP(Tableau2[[#This Row],[Name Consignee]],Plant_AILN!A:C,3,FALSE))</f>
        <v>90016500</v>
      </c>
      <c r="I44" s="52">
        <v>9</v>
      </c>
      <c r="J44" s="219">
        <v>14</v>
      </c>
      <c r="K44" s="94">
        <v>5</v>
      </c>
      <c r="L44" s="227">
        <v>7</v>
      </c>
      <c r="M44" s="228">
        <f>Tableau2[[#This Row],[Delivery time to ILN/Shipper]]+Tableau2[[#This Row],[Day ILN Order]]-1</f>
        <v>22</v>
      </c>
      <c r="N44" s="229">
        <v>2</v>
      </c>
      <c r="O44" s="230" t="s">
        <v>549</v>
      </c>
      <c r="P44" s="58">
        <v>3</v>
      </c>
    </row>
    <row r="45" spans="1:16">
      <c r="A45" s="242" t="str">
        <f>_xlfn.CONCAT(Tableau2[[#This Row],[Compte ILN]],"-",Tableau2[[#This Row],[Compte Shipper]],"-",Tableau2[[#This Row],[POL]],"-",Tableau2[[#This Row],[Compte Consignee]])</f>
        <v>2533780535-2533780535-INMUN-92000100</v>
      </c>
      <c r="B45" s="342" t="str">
        <f>IF(Tableau2[[#This Row],[Name Consignee]]="",_xlfn.CONCAT(Tableau2[[#This Row],[Compte ILN]],"-",Tableau2[[#This Row],[Compte Shipper]],"-",Tableau2[[#This Row],[POL]]),"-")</f>
        <v>-</v>
      </c>
      <c r="C45" s="224" t="s">
        <v>142</v>
      </c>
      <c r="D45" s="225">
        <f>VLOOKUP(Tableau2[[#This Row],[ Name ILN]],Plant_AILN!F:G,2,FALSE)</f>
        <v>2533780535</v>
      </c>
      <c r="E45" s="224" t="s">
        <v>142</v>
      </c>
      <c r="F45" s="226">
        <f>IFERROR(VLOOKUP(Tableau2[[#This Row],[Name of shipper]],Plant_AILN!L:M,2,FALSE),0)</f>
        <v>2533780535</v>
      </c>
      <c r="G45" s="137" t="s">
        <v>184</v>
      </c>
      <c r="H45" s="226">
        <f>IF(Tableau2[[#This Row],[Name Consignee]]=0,"",VLOOKUP(Tableau2[[#This Row],[Name Consignee]],Plant_AILN!A:C,3,FALSE))</f>
        <v>92000100</v>
      </c>
      <c r="I45" s="52">
        <v>9</v>
      </c>
      <c r="J45" s="219">
        <v>14</v>
      </c>
      <c r="K45" s="94">
        <v>5</v>
      </c>
      <c r="L45" s="227">
        <v>7</v>
      </c>
      <c r="M45" s="228">
        <f>Tableau2[[#This Row],[Delivery time to ILN/Shipper]]+Tableau2[[#This Row],[Day ILN Order]]-1</f>
        <v>22</v>
      </c>
      <c r="N45" s="229">
        <v>2</v>
      </c>
      <c r="O45" s="230" t="s">
        <v>549</v>
      </c>
      <c r="P45" s="58">
        <v>3</v>
      </c>
    </row>
    <row r="46" spans="1:16">
      <c r="A46" s="242" t="str">
        <f>_xlfn.CONCAT(Tableau2[[#This Row],[Compte ILN]],"-",Tableau2[[#This Row],[Compte Shipper]],"-",Tableau2[[#This Row],[POL]],"-",Tableau2[[#This Row],[Compte Consignee]])</f>
        <v>2533780535-2533780535-INNSA-90018600</v>
      </c>
      <c r="B46" s="342" t="str">
        <f>IF(Tableau2[[#This Row],[Name Consignee]]="",_xlfn.CONCAT(Tableau2[[#This Row],[Compte ILN]],"-",Tableau2[[#This Row],[Compte Shipper]],"-",Tableau2[[#This Row],[POL]]),"-")</f>
        <v>-</v>
      </c>
      <c r="C46" s="224" t="s">
        <v>142</v>
      </c>
      <c r="D46" s="225">
        <f>VLOOKUP(Tableau2[[#This Row],[ Name ILN]],Plant_AILN!F:G,2,FALSE)</f>
        <v>2533780535</v>
      </c>
      <c r="E46" s="224" t="s">
        <v>142</v>
      </c>
      <c r="F46" s="226">
        <f>IFERROR(VLOOKUP(Tableau2[[#This Row],[Name of shipper]],Plant_AILN!L:M,2,FALSE),0)</f>
        <v>2533780535</v>
      </c>
      <c r="G46" s="137" t="s">
        <v>154</v>
      </c>
      <c r="H46" s="226">
        <f>IF(Tableau2[[#This Row],[Name Consignee]]=0,"",VLOOKUP(Tableau2[[#This Row],[Name Consignee]],Plant_AILN!A:C,3,FALSE))</f>
        <v>90018600</v>
      </c>
      <c r="I46" s="52">
        <v>9</v>
      </c>
      <c r="J46" s="219">
        <v>14</v>
      </c>
      <c r="K46" s="94">
        <v>5</v>
      </c>
      <c r="L46" s="227">
        <v>7</v>
      </c>
      <c r="M46" s="228">
        <f>Tableau2[[#This Row],[Delivery time to ILN/Shipper]]+Tableau2[[#This Row],[Day ILN Order]]-1</f>
        <v>22</v>
      </c>
      <c r="N46" s="229">
        <v>4</v>
      </c>
      <c r="O46" s="230" t="s">
        <v>476</v>
      </c>
      <c r="P46" s="58">
        <v>5</v>
      </c>
    </row>
    <row r="47" spans="1:16">
      <c r="A47" s="242" t="str">
        <f>_xlfn.CONCAT(Tableau2[[#This Row],[Compte ILN]],"-",Tableau2[[#This Row],[Compte Shipper]],"-",Tableau2[[#This Row],[POL]],"-",Tableau2[[#This Row],[Compte Consignee]])</f>
        <v>2533780535-0-INMUN-90018000</v>
      </c>
      <c r="B47" s="342" t="str">
        <f>IF(Tableau2[[#This Row],[Name Consignee]]="",_xlfn.CONCAT(Tableau2[[#This Row],[Compte ILN]],"-",Tableau2[[#This Row],[Compte Shipper]],"-",Tableau2[[#This Row],[POL]]),"-")</f>
        <v>-</v>
      </c>
      <c r="C47" s="224" t="s">
        <v>142</v>
      </c>
      <c r="D47" s="225">
        <f>VLOOKUP(Tableau2[[#This Row],[ Name ILN]],Plant_AILN!F:G,2,FALSE)</f>
        <v>2533780535</v>
      </c>
      <c r="E47" s="166" t="s">
        <v>244</v>
      </c>
      <c r="F47" s="226">
        <f>IFERROR(VLOOKUP(Tableau2[[#This Row],[Name of shipper]],Plant_AILN!L:M,2,FALSE),0)</f>
        <v>0</v>
      </c>
      <c r="G47" s="231" t="s">
        <v>182</v>
      </c>
      <c r="H47" s="226">
        <f>IF(Tableau2[[#This Row],[Name Consignee]]=0,"",VLOOKUP(Tableau2[[#This Row],[Name Consignee]],Plant_AILN!A:C,3,FALSE))</f>
        <v>90018000</v>
      </c>
      <c r="I47" s="52">
        <v>9</v>
      </c>
      <c r="J47" s="219">
        <v>14</v>
      </c>
      <c r="K47" s="94">
        <v>5</v>
      </c>
      <c r="L47" s="227">
        <v>7</v>
      </c>
      <c r="M47" s="228">
        <f>Tableau2[[#This Row],[Delivery time to ILN/Shipper]]+Tableau2[[#This Row],[Day ILN Order]]-1</f>
        <v>22</v>
      </c>
      <c r="N47" s="229">
        <v>4</v>
      </c>
      <c r="O47" s="230" t="s">
        <v>549</v>
      </c>
      <c r="P47" s="58">
        <v>5</v>
      </c>
    </row>
    <row r="48" spans="1:16">
      <c r="A48" s="242" t="str">
        <f>_xlfn.CONCAT(Tableau2[[#This Row],[Compte ILN]],"-",Tableau2[[#This Row],[Compte Shipper]],"-",Tableau2[[#This Row],[POL]],"-",Tableau2[[#This Row],[Compte Consignee]])</f>
        <v>2533780535-2533780535-INNSA-90016800</v>
      </c>
      <c r="B48" s="342" t="str">
        <f>IF(Tableau2[[#This Row],[Name Consignee]]="",_xlfn.CONCAT(Tableau2[[#This Row],[Compte ILN]],"-",Tableau2[[#This Row],[Compte Shipper]],"-",Tableau2[[#This Row],[POL]]),"-")</f>
        <v>-</v>
      </c>
      <c r="C48" s="224" t="s">
        <v>142</v>
      </c>
      <c r="D48" s="225">
        <f>VLOOKUP(Tableau2[[#This Row],[ Name ILN]],Plant_AILN!F:G,2,FALSE)</f>
        <v>2533780535</v>
      </c>
      <c r="E48" s="224" t="s">
        <v>142</v>
      </c>
      <c r="F48" s="226">
        <f>IFERROR(VLOOKUP(Tableau2[[#This Row],[Name of shipper]],Plant_AILN!L:M,2,FALSE),0)</f>
        <v>2533780535</v>
      </c>
      <c r="G48" s="137" t="s">
        <v>180</v>
      </c>
      <c r="H48" s="226">
        <f>IF(Tableau2[[#This Row],[Name Consignee]]=0,"",VLOOKUP(Tableau2[[#This Row],[Name Consignee]],Plant_AILN!A:C,3,FALSE))</f>
        <v>90016800</v>
      </c>
      <c r="I48" s="52">
        <v>9</v>
      </c>
      <c r="J48" s="219">
        <v>14</v>
      </c>
      <c r="K48" s="94">
        <v>5</v>
      </c>
      <c r="L48" s="227">
        <v>7</v>
      </c>
      <c r="M48" s="228">
        <f>Tableau2[[#This Row],[Delivery time to ILN/Shipper]]+Tableau2[[#This Row],[Day ILN Order]]-1</f>
        <v>22</v>
      </c>
      <c r="N48" s="229">
        <v>2</v>
      </c>
      <c r="O48" s="230" t="s">
        <v>476</v>
      </c>
      <c r="P48" s="58">
        <v>2</v>
      </c>
    </row>
    <row r="49" spans="1:16">
      <c r="A49" s="242" t="str">
        <f>_xlfn.CONCAT(Tableau2[[#This Row],[Compte ILN]],"-",Tableau2[[#This Row],[Compte Shipper]],"-",Tableau2[[#This Row],[POL]],"-",Tableau2[[#This Row],[Compte Consignee]])</f>
        <v>2533780535-2533780535-INNSA-90019100</v>
      </c>
      <c r="B49" s="342" t="str">
        <f>IF(Tableau2[[#This Row],[Name Consignee]]="",_xlfn.CONCAT(Tableau2[[#This Row],[Compte ILN]],"-",Tableau2[[#This Row],[Compte Shipper]],"-",Tableau2[[#This Row],[POL]]),"-")</f>
        <v>-</v>
      </c>
      <c r="C49" s="224" t="s">
        <v>142</v>
      </c>
      <c r="D49" s="225">
        <f>VLOOKUP(Tableau2[[#This Row],[ Name ILN]],Plant_AILN!F:G,2,FALSE)</f>
        <v>2533780535</v>
      </c>
      <c r="E49" s="224" t="s">
        <v>142</v>
      </c>
      <c r="F49" s="226">
        <f>IFERROR(VLOOKUP(Tableau2[[#This Row],[Name of shipper]],Plant_AILN!L:M,2,FALSE),0)</f>
        <v>2533780535</v>
      </c>
      <c r="G49" s="137" t="s">
        <v>189</v>
      </c>
      <c r="H49" s="226">
        <f>IF(Tableau2[[#This Row],[Name Consignee]]=0,"",VLOOKUP(Tableau2[[#This Row],[Name Consignee]],Plant_AILN!A:C,3,FALSE))</f>
        <v>90019100</v>
      </c>
      <c r="I49" s="52">
        <v>9</v>
      </c>
      <c r="J49" s="219">
        <v>14</v>
      </c>
      <c r="K49" s="94">
        <v>5</v>
      </c>
      <c r="L49" s="227">
        <v>7</v>
      </c>
      <c r="M49" s="228">
        <f>Tableau2[[#This Row],[Delivery time to ILN/Shipper]]+Tableau2[[#This Row],[Day ILN Order]]-1</f>
        <v>22</v>
      </c>
      <c r="N49" s="229">
        <v>2</v>
      </c>
      <c r="O49" s="230" t="s">
        <v>476</v>
      </c>
      <c r="P49" s="58">
        <v>2</v>
      </c>
    </row>
    <row r="50" spans="1:16">
      <c r="A50" s="242" t="str">
        <f>_xlfn.CONCAT(Tableau2[[#This Row],[Compte ILN]],"-",Tableau2[[#This Row],[Compte Shipper]],"-",Tableau2[[#This Row],[POL]],"-",Tableau2[[#This Row],[Compte Consignee]])</f>
        <v>2533780535-2533780535-INNSA-90015100</v>
      </c>
      <c r="B50" s="342" t="str">
        <f>IF(Tableau2[[#This Row],[Name Consignee]]="",_xlfn.CONCAT(Tableau2[[#This Row],[Compte ILN]],"-",Tableau2[[#This Row],[Compte Shipper]],"-",Tableau2[[#This Row],[POL]]),"-")</f>
        <v>-</v>
      </c>
      <c r="C50" s="224" t="s">
        <v>142</v>
      </c>
      <c r="D50" s="225">
        <f>VLOOKUP(Tableau2[[#This Row],[ Name ILN]],Plant_AILN!F:G,2,FALSE)</f>
        <v>2533780535</v>
      </c>
      <c r="E50" s="224" t="s">
        <v>142</v>
      </c>
      <c r="F50" s="226">
        <f>IFERROR(VLOOKUP(Tableau2[[#This Row],[Name of shipper]],Plant_AILN!L:M,2,FALSE),0)</f>
        <v>2533780535</v>
      </c>
      <c r="G50" s="137" t="s">
        <v>187</v>
      </c>
      <c r="H50" s="226">
        <f>IF(Tableau2[[#This Row],[Name Consignee]]=0,"",VLOOKUP(Tableau2[[#This Row],[Name Consignee]],Plant_AILN!A:C,3,FALSE))</f>
        <v>90015100</v>
      </c>
      <c r="I50" s="52">
        <v>9</v>
      </c>
      <c r="J50" s="219">
        <v>14</v>
      </c>
      <c r="K50" s="94">
        <v>5</v>
      </c>
      <c r="L50" s="227">
        <v>7</v>
      </c>
      <c r="M50" s="228">
        <f>Tableau2[[#This Row],[Delivery time to ILN/Shipper]]+Tableau2[[#This Row],[Day ILN Order]]-1</f>
        <v>22</v>
      </c>
      <c r="N50" s="229">
        <v>2</v>
      </c>
      <c r="O50" s="230" t="s">
        <v>476</v>
      </c>
      <c r="P50" s="58">
        <v>2</v>
      </c>
    </row>
    <row r="51" spans="1:16">
      <c r="A51" s="242" t="str">
        <f>_xlfn.CONCAT(Tableau2[[#This Row],[Compte ILN]],"-",Tableau2[[#This Row],[Compte Shipper]],"-",Tableau2[[#This Row],[POL]],"-",Tableau2[[#This Row],[Compte Consignee]])</f>
        <v>2533780535-2533780535-INNSA-90016600</v>
      </c>
      <c r="B51" s="342" t="str">
        <f>IF(Tableau2[[#This Row],[Name Consignee]]="",_xlfn.CONCAT(Tableau2[[#This Row],[Compte ILN]],"-",Tableau2[[#This Row],[Compte Shipper]],"-",Tableau2[[#This Row],[POL]]),"-")</f>
        <v>-</v>
      </c>
      <c r="C51" s="224" t="s">
        <v>142</v>
      </c>
      <c r="D51" s="225">
        <f>VLOOKUP(Tableau2[[#This Row],[ Name ILN]],Plant_AILN!F:G,2,FALSE)</f>
        <v>2533780535</v>
      </c>
      <c r="E51" s="224" t="s">
        <v>142</v>
      </c>
      <c r="F51" s="226">
        <f>IFERROR(VLOOKUP(Tableau2[[#This Row],[Name of shipper]],Plant_AILN!L:M,2,FALSE),0)</f>
        <v>2533780535</v>
      </c>
      <c r="G51" s="137" t="s">
        <v>1</v>
      </c>
      <c r="H51" s="226">
        <f>IF(Tableau2[[#This Row],[Name Consignee]]=0,"",VLOOKUP(Tableau2[[#This Row],[Name Consignee]],Plant_AILN!A:C,3,FALSE))</f>
        <v>90016600</v>
      </c>
      <c r="I51" s="52">
        <v>9</v>
      </c>
      <c r="J51" s="219">
        <v>14</v>
      </c>
      <c r="K51" s="94">
        <v>5</v>
      </c>
      <c r="L51" s="227">
        <v>7</v>
      </c>
      <c r="M51" s="228">
        <f>Tableau2[[#This Row],[Delivery time to ILN/Shipper]]+Tableau2[[#This Row],[Day ILN Order]]-1</f>
        <v>22</v>
      </c>
      <c r="N51" s="229">
        <v>2</v>
      </c>
      <c r="O51" s="230" t="s">
        <v>476</v>
      </c>
      <c r="P51" s="58">
        <v>2</v>
      </c>
    </row>
    <row r="52" spans="1:16">
      <c r="A52" s="242" t="str">
        <f>_xlfn.CONCAT(Tableau2[[#This Row],[Compte ILN]],"-",Tableau2[[#This Row],[Compte Shipper]],"-",Tableau2[[#This Row],[POL]],"-",Tableau2[[#This Row],[Compte Consignee]])</f>
        <v>2533780535-2533780535-INNSA-90016200</v>
      </c>
      <c r="B52" s="342" t="str">
        <f>IF(Tableau2[[#This Row],[Name Consignee]]="",_xlfn.CONCAT(Tableau2[[#This Row],[Compte ILN]],"-",Tableau2[[#This Row],[Compte Shipper]],"-",Tableau2[[#This Row],[POL]]),"-")</f>
        <v>-</v>
      </c>
      <c r="C52" s="224" t="s">
        <v>142</v>
      </c>
      <c r="D52" s="225">
        <f>VLOOKUP(Tableau2[[#This Row],[ Name ILN]],Plant_AILN!F:G,2,FALSE)</f>
        <v>2533780535</v>
      </c>
      <c r="E52" s="224" t="s">
        <v>142</v>
      </c>
      <c r="F52" s="226">
        <f>IFERROR(VLOOKUP(Tableau2[[#This Row],[Name of shipper]],Plant_AILN!L:M,2,FALSE),0)</f>
        <v>2533780535</v>
      </c>
      <c r="G52" s="137" t="s">
        <v>185</v>
      </c>
      <c r="H52" s="226">
        <f>IF(Tableau2[[#This Row],[Name Consignee]]=0,"",VLOOKUP(Tableau2[[#This Row],[Name Consignee]],Plant_AILN!A:C,3,FALSE))</f>
        <v>90016200</v>
      </c>
      <c r="I52" s="52">
        <v>9</v>
      </c>
      <c r="J52" s="219">
        <v>14</v>
      </c>
      <c r="K52" s="94">
        <v>5</v>
      </c>
      <c r="L52" s="227">
        <v>7</v>
      </c>
      <c r="M52" s="228">
        <f>Tableau2[[#This Row],[Delivery time to ILN/Shipper]]+Tableau2[[#This Row],[Day ILN Order]]-1</f>
        <v>22</v>
      </c>
      <c r="N52" s="229">
        <v>2</v>
      </c>
      <c r="O52" s="230" t="s">
        <v>476</v>
      </c>
      <c r="P52" s="58">
        <v>2</v>
      </c>
    </row>
    <row r="53" spans="1:16">
      <c r="A53" s="242" t="str">
        <f>_xlfn.CONCAT(Tableau2[[#This Row],[Compte ILN]],"-",Tableau2[[#This Row],[Compte Shipper]],"-",Tableau2[[#This Row],[POL]],"-",Tableau2[[#This Row],[Compte Consignee]])</f>
        <v>2533780535-2533780535-INNSA-25079500</v>
      </c>
      <c r="B53" s="342" t="str">
        <f>IF(Tableau2[[#This Row],[Name Consignee]]="",_xlfn.CONCAT(Tableau2[[#This Row],[Compte ILN]],"-",Tableau2[[#This Row],[Compte Shipper]],"-",Tableau2[[#This Row],[POL]]),"-")</f>
        <v>-</v>
      </c>
      <c r="C53" s="224" t="s">
        <v>142</v>
      </c>
      <c r="D53" s="225">
        <f>VLOOKUP(Tableau2[[#This Row],[ Name ILN]],Plant_AILN!F:G,2,FALSE)</f>
        <v>2533780535</v>
      </c>
      <c r="E53" s="224" t="s">
        <v>142</v>
      </c>
      <c r="F53" s="226">
        <f>IFERROR(VLOOKUP(Tableau2[[#This Row],[Name of shipper]],Plant_AILN!L:M,2,FALSE),0)</f>
        <v>2533780535</v>
      </c>
      <c r="G53" s="137" t="s">
        <v>546</v>
      </c>
      <c r="H53" s="226">
        <f>IF(Tableau2[[#This Row],[Name Consignee]]=0,"",VLOOKUP(Tableau2[[#This Row],[Name Consignee]],Plant_AILN!A:C,3,FALSE))</f>
        <v>25079500</v>
      </c>
      <c r="I53" s="52">
        <v>9</v>
      </c>
      <c r="J53" s="219">
        <v>14</v>
      </c>
      <c r="K53" s="94">
        <v>5</v>
      </c>
      <c r="L53" s="227">
        <v>7</v>
      </c>
      <c r="M53" s="228">
        <f>Tableau2[[#This Row],[Delivery time to ILN/Shipper]]+Tableau2[[#This Row],[Day ILN Order]]-1</f>
        <v>22</v>
      </c>
      <c r="N53" s="229">
        <v>2</v>
      </c>
      <c r="O53" s="230" t="s">
        <v>476</v>
      </c>
      <c r="P53" s="58">
        <v>3</v>
      </c>
    </row>
    <row r="54" spans="1:16">
      <c r="A54" s="242" t="str">
        <f>_xlfn.CONCAT(Tableau2[[#This Row],[Compte ILN]],"-",Tableau2[[#This Row],[Compte Shipper]],"-",Tableau2[[#This Row],[POL]],"-",Tableau2[[#This Row],[Compte Consignee]])</f>
        <v>2533780535-2533780535-INNSA-90017000</v>
      </c>
      <c r="B54" s="342" t="str">
        <f>IF(Tableau2[[#This Row],[Name Consignee]]="",_xlfn.CONCAT(Tableau2[[#This Row],[Compte ILN]],"-",Tableau2[[#This Row],[Compte Shipper]],"-",Tableau2[[#This Row],[POL]]),"-")</f>
        <v>-</v>
      </c>
      <c r="C54" s="224" t="s">
        <v>142</v>
      </c>
      <c r="D54" s="225">
        <f>VLOOKUP(Tableau2[[#This Row],[ Name ILN]],Plant_AILN!F:G,2,FALSE)</f>
        <v>2533780535</v>
      </c>
      <c r="E54" s="224" t="s">
        <v>142</v>
      </c>
      <c r="F54" s="226">
        <f>IFERROR(VLOOKUP(Tableau2[[#This Row],[Name of shipper]],Plant_AILN!L:M,2,FALSE),0)</f>
        <v>2533780535</v>
      </c>
      <c r="G54" s="137" t="s">
        <v>167</v>
      </c>
      <c r="H54" s="226">
        <f>IF(Tableau2[[#This Row],[Name Consignee]]=0,"",VLOOKUP(Tableau2[[#This Row],[Name Consignee]],Plant_AILN!A:C,3,FALSE))</f>
        <v>90017000</v>
      </c>
      <c r="I54" s="52">
        <v>9</v>
      </c>
      <c r="J54" s="219">
        <v>14</v>
      </c>
      <c r="K54" s="94">
        <v>5</v>
      </c>
      <c r="L54" s="227">
        <v>7</v>
      </c>
      <c r="M54" s="228">
        <f>Tableau2[[#This Row],[Delivery time to ILN/Shipper]]+Tableau2[[#This Row],[Day ILN Order]]-1</f>
        <v>22</v>
      </c>
      <c r="N54" s="229">
        <v>0</v>
      </c>
      <c r="O54" s="230" t="s">
        <v>476</v>
      </c>
      <c r="P54" s="58">
        <v>3</v>
      </c>
    </row>
    <row r="55" spans="1:16">
      <c r="A55" s="242" t="str">
        <f>_xlfn.CONCAT(Tableau2[[#This Row],[Compte ILN]],"-",Tableau2[[#This Row],[Compte Shipper]],"-",Tableau2[[#This Row],[POL]],"-",Tableau2[[#This Row],[Compte Consignee]])</f>
        <v>2533780535-2533780535-INMUN-91017200</v>
      </c>
      <c r="B55" s="342" t="str">
        <f>IF(Tableau2[[#This Row],[Name Consignee]]="",_xlfn.CONCAT(Tableau2[[#This Row],[Compte ILN]],"-",Tableau2[[#This Row],[Compte Shipper]],"-",Tableau2[[#This Row],[POL]]),"-")</f>
        <v>-</v>
      </c>
      <c r="C55" s="224" t="s">
        <v>142</v>
      </c>
      <c r="D55" s="225">
        <f>VLOOKUP(Tableau2[[#This Row],[ Name ILN]],Plant_AILN!F:G,2,FALSE)</f>
        <v>2533780535</v>
      </c>
      <c r="E55" s="224" t="s">
        <v>142</v>
      </c>
      <c r="F55" s="226">
        <f>IFERROR(VLOOKUP(Tableau2[[#This Row],[Name of shipper]],Plant_AILN!L:M,2,FALSE),0)</f>
        <v>2533780535</v>
      </c>
      <c r="G55" s="137" t="s">
        <v>175</v>
      </c>
      <c r="H55" s="226">
        <f>IF(Tableau2[[#This Row],[Name Consignee]]=0,"",VLOOKUP(Tableau2[[#This Row],[Name Consignee]],Plant_AILN!A:C,3,FALSE))</f>
        <v>91017200</v>
      </c>
      <c r="I55" s="52">
        <v>9</v>
      </c>
      <c r="J55" s="219">
        <v>14</v>
      </c>
      <c r="K55" s="94">
        <v>5</v>
      </c>
      <c r="L55" s="227">
        <v>7</v>
      </c>
      <c r="M55" s="228">
        <f>Tableau2[[#This Row],[Delivery time to ILN/Shipper]]+Tableau2[[#This Row],[Day ILN Order]]-1</f>
        <v>22</v>
      </c>
      <c r="N55" s="229">
        <v>2</v>
      </c>
      <c r="O55" s="230" t="s">
        <v>549</v>
      </c>
      <c r="P55" s="58">
        <v>3</v>
      </c>
    </row>
    <row r="56" spans="1:16">
      <c r="A56" s="242" t="str">
        <f>_xlfn.CONCAT(Tableau2[[#This Row],[Compte ILN]],"-",Tableau2[[#This Row],[Compte Shipper]],"-",Tableau2[[#This Row],[POL]],"-",Tableau2[[#This Row],[Compte Consignee]])</f>
        <v>2533780535-2533780535-INNSA-90017100</v>
      </c>
      <c r="B56" s="342" t="str">
        <f>IF(Tableau2[[#This Row],[Name Consignee]]="",_xlfn.CONCAT(Tableau2[[#This Row],[Compte ILN]],"-",Tableau2[[#This Row],[Compte Shipper]],"-",Tableau2[[#This Row],[POL]]),"-")</f>
        <v>-</v>
      </c>
      <c r="C56" s="224" t="s">
        <v>142</v>
      </c>
      <c r="D56" s="225">
        <f>VLOOKUP(Tableau2[[#This Row],[ Name ILN]],Plant_AILN!F:G,2,FALSE)</f>
        <v>2533780535</v>
      </c>
      <c r="E56" s="224" t="s">
        <v>142</v>
      </c>
      <c r="F56" s="226">
        <f>IFERROR(VLOOKUP(Tableau2[[#This Row],[Name of shipper]],Plant_AILN!L:M,2,FALSE),0)</f>
        <v>2533780535</v>
      </c>
      <c r="G56" s="137" t="s">
        <v>201</v>
      </c>
      <c r="H56" s="226">
        <f>IF(Tableau2[[#This Row],[Name Consignee]]=0,"",VLOOKUP(Tableau2[[#This Row],[Name Consignee]],Plant_AILN!A:C,3,FALSE))</f>
        <v>90017100</v>
      </c>
      <c r="I56" s="52">
        <v>9</v>
      </c>
      <c r="J56" s="219">
        <v>14</v>
      </c>
      <c r="K56" s="94">
        <v>5</v>
      </c>
      <c r="L56" s="227">
        <v>7</v>
      </c>
      <c r="M56" s="228">
        <f>Tableau2[[#This Row],[Delivery time to ILN/Shipper]]+Tableau2[[#This Row],[Day ILN Order]]-1</f>
        <v>22</v>
      </c>
      <c r="N56" s="229">
        <v>2</v>
      </c>
      <c r="O56" s="230" t="s">
        <v>476</v>
      </c>
      <c r="P56" s="58">
        <v>2</v>
      </c>
    </row>
    <row r="57" spans="1:16">
      <c r="A57" s="242" t="str">
        <f>_xlfn.CONCAT(Tableau2[[#This Row],[Compte ILN]],"-",Tableau2[[#This Row],[Compte Shipper]],"-",Tableau2[[#This Row],[POL]],"-",Tableau2[[#This Row],[Compte Consignee]])</f>
        <v>2533780535-2533780535-INMUN-91017500</v>
      </c>
      <c r="B57" s="342" t="str">
        <f>IF(Tableau2[[#This Row],[Name Consignee]]="",_xlfn.CONCAT(Tableau2[[#This Row],[Compte ILN]],"-",Tableau2[[#This Row],[Compte Shipper]],"-",Tableau2[[#This Row],[POL]]),"-")</f>
        <v>-</v>
      </c>
      <c r="C57" s="224" t="s">
        <v>142</v>
      </c>
      <c r="D57" s="225">
        <f>VLOOKUP(Tableau2[[#This Row],[ Name ILN]],Plant_AILN!F:G,2,FALSE)</f>
        <v>2533780535</v>
      </c>
      <c r="E57" s="224" t="s">
        <v>142</v>
      </c>
      <c r="F57" s="226">
        <f>IFERROR(VLOOKUP(Tableau2[[#This Row],[Name of shipper]],Plant_AILN!L:M,2,FALSE),0)</f>
        <v>2533780535</v>
      </c>
      <c r="G57" s="137" t="s">
        <v>162</v>
      </c>
      <c r="H57" s="226">
        <f>IF(Tableau2[[#This Row],[Name Consignee]]=0,"",VLOOKUP(Tableau2[[#This Row],[Name Consignee]],Plant_AILN!A:C,3,FALSE))</f>
        <v>91017500</v>
      </c>
      <c r="I57" s="52">
        <v>9</v>
      </c>
      <c r="J57" s="219">
        <v>14</v>
      </c>
      <c r="K57" s="94">
        <v>5</v>
      </c>
      <c r="L57" s="227">
        <v>7</v>
      </c>
      <c r="M57" s="228">
        <f>Tableau2[[#This Row],[Delivery time to ILN/Shipper]]+Tableau2[[#This Row],[Day ILN Order]]-1</f>
        <v>22</v>
      </c>
      <c r="N57" s="229">
        <v>2</v>
      </c>
      <c r="O57" s="230" t="s">
        <v>549</v>
      </c>
      <c r="P57" s="58">
        <v>3</v>
      </c>
    </row>
    <row r="58" spans="1:16">
      <c r="A58" s="242" t="str">
        <f>_xlfn.CONCAT(Tableau2[[#This Row],[Compte ILN]],"-",Tableau2[[#This Row],[Compte Shipper]],"-",Tableau2[[#This Row],[POL]],"-",Tableau2[[#This Row],[Compte Consignee]])</f>
        <v>2533780535-2533780535-INNSA-90016900</v>
      </c>
      <c r="B58" s="342" t="str">
        <f>IF(Tableau2[[#This Row],[Name Consignee]]="",_xlfn.CONCAT(Tableau2[[#This Row],[Compte ILN]],"-",Tableau2[[#This Row],[Compte Shipper]],"-",Tableau2[[#This Row],[POL]]),"-")</f>
        <v>-</v>
      </c>
      <c r="C58" s="224" t="s">
        <v>142</v>
      </c>
      <c r="D58" s="225">
        <f>VLOOKUP(Tableau2[[#This Row],[ Name ILN]],Plant_AILN!F:G,2,FALSE)</f>
        <v>2533780535</v>
      </c>
      <c r="E58" s="224" t="s">
        <v>142</v>
      </c>
      <c r="F58" s="226">
        <f>IFERROR(VLOOKUP(Tableau2[[#This Row],[Name of shipper]],Plant_AILN!L:M,2,FALSE),0)</f>
        <v>2533780535</v>
      </c>
      <c r="G58" s="137" t="s">
        <v>152</v>
      </c>
      <c r="H58" s="226">
        <f>IF(Tableau2[[#This Row],[Name Consignee]]=0,"",VLOOKUP(Tableau2[[#This Row],[Name Consignee]],Plant_AILN!A:C,3,FALSE))</f>
        <v>90016900</v>
      </c>
      <c r="I58" s="52">
        <v>9</v>
      </c>
      <c r="J58" s="219">
        <v>14</v>
      </c>
      <c r="K58" s="94">
        <v>5</v>
      </c>
      <c r="L58" s="227">
        <v>7</v>
      </c>
      <c r="M58" s="228">
        <f>Tableau2[[#This Row],[Delivery time to ILN/Shipper]]+Tableau2[[#This Row],[Day ILN Order]]-1</f>
        <v>22</v>
      </c>
      <c r="N58" s="229">
        <v>2</v>
      </c>
      <c r="O58" s="230" t="s">
        <v>476</v>
      </c>
      <c r="P58" s="58">
        <v>2</v>
      </c>
    </row>
    <row r="59" spans="1:16">
      <c r="A59" s="242" t="str">
        <f>_xlfn.CONCAT(Tableau2[[#This Row],[Compte ILN]],"-",Tableau2[[#This Row],[Compte Shipper]],"-",Tableau2[[#This Row],[POL]],"-",Tableau2[[#This Row],[Compte Consignee]])</f>
        <v>2533780535-2533780535-INNSA-90018400</v>
      </c>
      <c r="B59" s="342" t="str">
        <f>IF(Tableau2[[#This Row],[Name Consignee]]="",_xlfn.CONCAT(Tableau2[[#This Row],[Compte ILN]],"-",Tableau2[[#This Row],[Compte Shipper]],"-",Tableau2[[#This Row],[POL]]),"-")</f>
        <v>-</v>
      </c>
      <c r="C59" s="224" t="s">
        <v>142</v>
      </c>
      <c r="D59" s="225">
        <f>VLOOKUP(Tableau2[[#This Row],[ Name ILN]],Plant_AILN!F:G,2,FALSE)</f>
        <v>2533780535</v>
      </c>
      <c r="E59" s="224" t="s">
        <v>142</v>
      </c>
      <c r="F59" s="226">
        <f>IFERROR(VLOOKUP(Tableau2[[#This Row],[Name of shipper]],Plant_AILN!L:M,2,FALSE),0)</f>
        <v>2533780535</v>
      </c>
      <c r="G59" s="137" t="s">
        <v>397</v>
      </c>
      <c r="H59" s="226">
        <f>IF(Tableau2[[#This Row],[Name Consignee]]=0,"",VLOOKUP(Tableau2[[#This Row],[Name Consignee]],Plant_AILN!A:C,3,FALSE))</f>
        <v>90018400</v>
      </c>
      <c r="I59" s="52">
        <v>9</v>
      </c>
      <c r="J59" s="219">
        <v>14</v>
      </c>
      <c r="K59" s="94">
        <v>5</v>
      </c>
      <c r="L59" s="227">
        <v>7</v>
      </c>
      <c r="M59" s="228">
        <f>Tableau2[[#This Row],[Delivery time to ILN/Shipper]]+Tableau2[[#This Row],[Day ILN Order]]-1</f>
        <v>22</v>
      </c>
      <c r="N59" s="229">
        <v>2</v>
      </c>
      <c r="O59" s="230" t="s">
        <v>476</v>
      </c>
      <c r="P59" s="58">
        <v>2</v>
      </c>
    </row>
    <row r="60" spans="1:16">
      <c r="A60" s="242" t="str">
        <f>_xlfn.CONCAT(Tableau2[[#This Row],[Compte ILN]],"-",Tableau2[[#This Row],[Compte Shipper]],"-",Tableau2[[#This Row],[POL]],"-",Tableau2[[#This Row],[Compte Consignee]])</f>
        <v>2533780535-2533780535-INNSA-900383</v>
      </c>
      <c r="B60" s="342" t="str">
        <f>IF(Tableau2[[#This Row],[Name Consignee]]="",_xlfn.CONCAT(Tableau2[[#This Row],[Compte ILN]],"-",Tableau2[[#This Row],[Compte Shipper]],"-",Tableau2[[#This Row],[POL]]),"-")</f>
        <v>-</v>
      </c>
      <c r="C60" s="224" t="s">
        <v>142</v>
      </c>
      <c r="D60" s="225">
        <f>VLOOKUP(Tableau2[[#This Row],[ Name ILN]],Plant_AILN!F:G,2,FALSE)</f>
        <v>2533780535</v>
      </c>
      <c r="E60" s="224" t="s">
        <v>142</v>
      </c>
      <c r="F60" s="226">
        <f>IFERROR(VLOOKUP(Tableau2[[#This Row],[Name of shipper]],Plant_AILN!L:M,2,FALSE),0)</f>
        <v>2533780535</v>
      </c>
      <c r="G60" s="137" t="s">
        <v>179</v>
      </c>
      <c r="H60" s="226">
        <f>IF(Tableau2[[#This Row],[Name Consignee]]=0,"",VLOOKUP(Tableau2[[#This Row],[Name Consignee]],Plant_AILN!A:C,3,FALSE))</f>
        <v>900383</v>
      </c>
      <c r="I60" s="52">
        <v>9</v>
      </c>
      <c r="J60" s="219">
        <v>14</v>
      </c>
      <c r="K60" s="94">
        <v>5</v>
      </c>
      <c r="L60" s="227">
        <v>7</v>
      </c>
      <c r="M60" s="228">
        <f>Tableau2[[#This Row],[Delivery time to ILN/Shipper]]+Tableau2[[#This Row],[Day ILN Order]]-1</f>
        <v>22</v>
      </c>
      <c r="N60" s="229">
        <v>2</v>
      </c>
      <c r="O60" s="230" t="s">
        <v>476</v>
      </c>
      <c r="P60" s="58">
        <v>3</v>
      </c>
    </row>
    <row r="61" spans="1:16">
      <c r="A61" s="242" t="str">
        <f>_xlfn.CONCAT(Tableau2[[#This Row],[Compte ILN]],"-",Tableau2[[#This Row],[Compte Shipper]],"-",Tableau2[[#This Row],[POL]],"-",Tableau2[[#This Row],[Compte Consignee]])</f>
        <v>2533780535-2533780535-INNSA-91017300</v>
      </c>
      <c r="B61" s="342" t="str">
        <f>IF(Tableau2[[#This Row],[Name Consignee]]="",_xlfn.CONCAT(Tableau2[[#This Row],[Compte ILN]],"-",Tableau2[[#This Row],[Compte Shipper]],"-",Tableau2[[#This Row],[POL]]),"-")</f>
        <v>-</v>
      </c>
      <c r="C61" s="224" t="s">
        <v>142</v>
      </c>
      <c r="D61" s="225">
        <f>VLOOKUP(Tableau2[[#This Row],[ Name ILN]],Plant_AILN!F:G,2,FALSE)</f>
        <v>2533780535</v>
      </c>
      <c r="E61" s="224" t="s">
        <v>142</v>
      </c>
      <c r="F61" s="226">
        <f>IFERROR(VLOOKUP(Tableau2[[#This Row],[Name of shipper]],Plant_AILN!L:M,2,FALSE),0)</f>
        <v>2533780535</v>
      </c>
      <c r="G61" s="137" t="s">
        <v>172</v>
      </c>
      <c r="H61" s="226">
        <f>IF(Tableau2[[#This Row],[Name Consignee]]=0,"",VLOOKUP(Tableau2[[#This Row],[Name Consignee]],Plant_AILN!A:C,3,FALSE))</f>
        <v>91017300</v>
      </c>
      <c r="I61" s="52">
        <v>9</v>
      </c>
      <c r="J61" s="219">
        <v>14</v>
      </c>
      <c r="K61" s="94">
        <v>5</v>
      </c>
      <c r="L61" s="227">
        <v>7</v>
      </c>
      <c r="M61" s="228">
        <f>Tableau2[[#This Row],[Delivery time to ILN/Shipper]]+Tableau2[[#This Row],[Day ILN Order]]-1</f>
        <v>22</v>
      </c>
      <c r="N61" s="229">
        <v>2</v>
      </c>
      <c r="O61" s="230" t="s">
        <v>476</v>
      </c>
      <c r="P61" s="58">
        <v>3</v>
      </c>
    </row>
    <row r="62" spans="1:16">
      <c r="A62" s="242" t="str">
        <f>_xlfn.CONCAT(Tableau2[[#This Row],[Compte ILN]],"-",Tableau2[[#This Row],[Compte Shipper]],"-",Tableau2[[#This Row],[POL]],"-",Tableau2[[#This Row],[Compte Consignee]])</f>
        <v>2533780535-0-INMUN-91017300</v>
      </c>
      <c r="B62" s="342" t="str">
        <f>IF(Tableau2[[#This Row],[Name Consignee]]="",_xlfn.CONCAT(Tableau2[[#This Row],[Compte ILN]],"-",Tableau2[[#This Row],[Compte Shipper]],"-",Tableau2[[#This Row],[POL]]),"-")</f>
        <v>-</v>
      </c>
      <c r="C62" s="224" t="s">
        <v>142</v>
      </c>
      <c r="D62" s="225">
        <f>VLOOKUP(Tableau2[[#This Row],[ Name ILN]],Plant_AILN!F:G,2,FALSE)</f>
        <v>2533780535</v>
      </c>
      <c r="E62" s="166" t="s">
        <v>244</v>
      </c>
      <c r="F62" s="226">
        <f>IFERROR(VLOOKUP(Tableau2[[#This Row],[Name of shipper]],Plant_AILN!L:M,2,FALSE),0)</f>
        <v>0</v>
      </c>
      <c r="G62" s="231" t="s">
        <v>172</v>
      </c>
      <c r="H62" s="226">
        <f>IF(Tableau2[[#This Row],[Name Consignee]]=0,"",VLOOKUP(Tableau2[[#This Row],[Name Consignee]],Plant_AILN!A:C,3,FALSE))</f>
        <v>91017300</v>
      </c>
      <c r="I62" s="52">
        <v>9</v>
      </c>
      <c r="J62" s="219">
        <v>14</v>
      </c>
      <c r="K62" s="94">
        <v>5</v>
      </c>
      <c r="L62" s="227">
        <v>7</v>
      </c>
      <c r="M62" s="228">
        <f>Tableau2[[#This Row],[Delivery time to ILN/Shipper]]+Tableau2[[#This Row],[Day ILN Order]]-1</f>
        <v>22</v>
      </c>
      <c r="N62" s="229">
        <v>2</v>
      </c>
      <c r="O62" s="230" t="s">
        <v>549</v>
      </c>
      <c r="P62" s="58">
        <v>3</v>
      </c>
    </row>
    <row r="63" spans="1:16">
      <c r="A63" s="242" t="str">
        <f>_xlfn.CONCAT(Tableau2[[#This Row],[Compte ILN]],"-",Tableau2[[#This Row],[Compte Shipper]],"-",Tableau2[[#This Row],[POL]],"-",Tableau2[[#This Row],[Compte Consignee]])</f>
        <v>91018400-91018400-ESVLC-26549500</v>
      </c>
      <c r="B63" s="342" t="str">
        <f>IF(Tableau2[[#This Row],[Name Consignee]]="",_xlfn.CONCAT(Tableau2[[#This Row],[Compte ILN]],"-",Tableau2[[#This Row],[Compte Shipper]],"-",Tableau2[[#This Row],[POL]]),"-")</f>
        <v>-</v>
      </c>
      <c r="C63" s="224" t="s">
        <v>144</v>
      </c>
      <c r="D63" s="225">
        <f>VLOOKUP(Tableau2[[#This Row],[ Name ILN]],Plant_AILN!F:G,2,FALSE)</f>
        <v>91018400</v>
      </c>
      <c r="E63" s="224" t="s">
        <v>144</v>
      </c>
      <c r="F63" s="226">
        <f>IFERROR(VLOOKUP(Tableau2[[#This Row],[Name of shipper]],Plant_AILN!L:M,2,FALSE),0)</f>
        <v>91018400</v>
      </c>
      <c r="G63" s="137" t="s">
        <v>257</v>
      </c>
      <c r="H63" s="226">
        <f>IF(Tableau2[[#This Row],[Name Consignee]]=0,"",VLOOKUP(Tableau2[[#This Row],[Name Consignee]],Plant_AILN!A:C,3,FALSE))</f>
        <v>26549500</v>
      </c>
      <c r="I63" s="52">
        <v>9</v>
      </c>
      <c r="J63" s="219">
        <v>14</v>
      </c>
      <c r="K63" s="94">
        <v>5</v>
      </c>
      <c r="L63" s="227">
        <v>7</v>
      </c>
      <c r="M63" s="228">
        <f>Tableau2[[#This Row],[Delivery time to ILN/Shipper]]+Tableau2[[#This Row],[Day ILN Order]]-1</f>
        <v>22</v>
      </c>
      <c r="N63" s="229">
        <v>2</v>
      </c>
      <c r="O63" s="230" t="s">
        <v>492</v>
      </c>
      <c r="P63" s="58">
        <v>5</v>
      </c>
    </row>
    <row r="64" spans="1:16">
      <c r="A64" s="242" t="str">
        <f>_xlfn.CONCAT(Tableau2[[#This Row],[Compte ILN]],"-",Tableau2[[#This Row],[Compte Shipper]],"-",Tableau2[[#This Row],[POL]],"-",Tableau2[[#This Row],[Compte Consignee]])</f>
        <v>91018400-91018400-ESVLC-26549502</v>
      </c>
      <c r="B64" s="342" t="str">
        <f>IF(Tableau2[[#This Row],[Name Consignee]]="",_xlfn.CONCAT(Tableau2[[#This Row],[Compte ILN]],"-",Tableau2[[#This Row],[Compte Shipper]],"-",Tableau2[[#This Row],[POL]]),"-")</f>
        <v>-</v>
      </c>
      <c r="C64" s="224" t="s">
        <v>144</v>
      </c>
      <c r="D64" s="225">
        <f>VLOOKUP(Tableau2[[#This Row],[ Name ILN]],Plant_AILN!F:G,2,FALSE)</f>
        <v>91018400</v>
      </c>
      <c r="E64" s="224" t="s">
        <v>144</v>
      </c>
      <c r="F64" s="226">
        <f>IFERROR(VLOOKUP(Tableau2[[#This Row],[Name of shipper]],Plant_AILN!L:M,2,FALSE),0)</f>
        <v>91018400</v>
      </c>
      <c r="G64" s="137" t="s">
        <v>190</v>
      </c>
      <c r="H64" s="226">
        <f>IF(Tableau2[[#This Row],[Name Consignee]]=0,"",VLOOKUP(Tableau2[[#This Row],[Name Consignee]],Plant_AILN!A:C,3,FALSE))</f>
        <v>26549502</v>
      </c>
      <c r="I64" s="52">
        <v>9</v>
      </c>
      <c r="J64" s="219">
        <v>14</v>
      </c>
      <c r="K64" s="94">
        <v>5</v>
      </c>
      <c r="L64" s="227">
        <v>7</v>
      </c>
      <c r="M64" s="228">
        <f>Tableau2[[#This Row],[Delivery time to ILN/Shipper]]+Tableau2[[#This Row],[Day ILN Order]]-1</f>
        <v>22</v>
      </c>
      <c r="N64" s="229">
        <v>2</v>
      </c>
      <c r="O64" s="230" t="s">
        <v>492</v>
      </c>
      <c r="P64" s="58">
        <v>5</v>
      </c>
    </row>
    <row r="65" spans="1:17">
      <c r="A65" s="242" t="str">
        <f>_xlfn.CONCAT(Tableau2[[#This Row],[Compte ILN]],"-",Tableau2[[#This Row],[Compte Shipper]],"-",Tableau2[[#This Row],[POL]],"-",Tableau2[[#This Row],[Compte Consignee]])</f>
        <v>91018400-91018400-ESVLC-0</v>
      </c>
      <c r="B65" s="342" t="str">
        <f>IF(Tableau2[[#This Row],[Name Consignee]]="",_xlfn.CONCAT(Tableau2[[#This Row],[Compte ILN]],"-",Tableau2[[#This Row],[Compte Shipper]],"-",Tableau2[[#This Row],[POL]]),"-")</f>
        <v>-</v>
      </c>
      <c r="C65" s="224" t="s">
        <v>144</v>
      </c>
      <c r="D65" s="225">
        <f>VLOOKUP(Tableau2[[#This Row],[ Name ILN]],Plant_AILN!F:G,2,FALSE)</f>
        <v>91018400</v>
      </c>
      <c r="E65" s="224" t="s">
        <v>144</v>
      </c>
      <c r="F65" s="226">
        <f>IFERROR(VLOOKUP(Tableau2[[#This Row],[Name of shipper]],Plant_AILN!L:M,2,FALSE),0)</f>
        <v>91018400</v>
      </c>
      <c r="G65" s="137" t="s">
        <v>352</v>
      </c>
      <c r="H65" s="226">
        <f>IF(Tableau2[[#This Row],[Name Consignee]]=0,"",VLOOKUP(Tableau2[[#This Row],[Name Consignee]],Plant_AILN!A:C,3,FALSE))</f>
        <v>0</v>
      </c>
      <c r="I65" s="52">
        <v>9</v>
      </c>
      <c r="J65" s="219">
        <v>21</v>
      </c>
      <c r="K65" s="94">
        <v>5</v>
      </c>
      <c r="L65" s="227">
        <v>7</v>
      </c>
      <c r="M65" s="228">
        <f>Tableau2[[#This Row],[Delivery time to ILN/Shipper]]+Tableau2[[#This Row],[Day ILN Order]]-1</f>
        <v>29</v>
      </c>
      <c r="N65" s="229">
        <v>2</v>
      </c>
      <c r="O65" s="230" t="s">
        <v>492</v>
      </c>
      <c r="P65" s="58">
        <v>5</v>
      </c>
    </row>
    <row r="66" spans="1:17">
      <c r="A66" s="242" t="str">
        <f>_xlfn.CONCAT(Tableau2[[#This Row],[Compte ILN]],"-",Tableau2[[#This Row],[Compte Shipper]],"-",Tableau2[[#This Row],[POL]],"-",Tableau2[[#This Row],[Compte Consignee]])</f>
        <v>91018400-91017500-ESALG-90101300</v>
      </c>
      <c r="B66" s="342" t="str">
        <f>IF(Tableau2[[#This Row],[Name Consignee]]="",_xlfn.CONCAT(Tableau2[[#This Row],[Compte ILN]],"-",Tableau2[[#This Row],[Compte Shipper]],"-",Tableau2[[#This Row],[POL]]),"-")</f>
        <v>-</v>
      </c>
      <c r="C66" s="224" t="s">
        <v>144</v>
      </c>
      <c r="D66" s="225">
        <f>VLOOKUP(Tableau2[[#This Row],[ Name ILN]],Plant_AILN!F:G,2,FALSE)</f>
        <v>91018400</v>
      </c>
      <c r="E66" s="224" t="s">
        <v>145</v>
      </c>
      <c r="F66" s="226">
        <f>IFERROR(VLOOKUP(Tableau2[[#This Row],[Name of shipper]],Plant_AILN!L:M,2,FALSE),0)</f>
        <v>91017500</v>
      </c>
      <c r="G66" s="137" t="s">
        <v>140</v>
      </c>
      <c r="H66" s="226">
        <f>IF(Tableau2[[#This Row],[Name Consignee]]=0,"",VLOOKUP(Tableau2[[#This Row],[Name Consignee]],Plant_AILN!A:C,3,FALSE))</f>
        <v>90101300</v>
      </c>
      <c r="I66" s="52">
        <v>9</v>
      </c>
      <c r="J66" s="219">
        <v>14</v>
      </c>
      <c r="K66" s="94">
        <v>5</v>
      </c>
      <c r="L66" s="227">
        <v>7</v>
      </c>
      <c r="M66" s="228">
        <f>Tableau2[[#This Row],[Delivery time to ILN/Shipper]]+Tableau2[[#This Row],[Day ILN Order]]-1</f>
        <v>22</v>
      </c>
      <c r="N66" s="229">
        <v>1</v>
      </c>
      <c r="O66" s="230" t="s">
        <v>507</v>
      </c>
      <c r="P66" s="58">
        <v>2</v>
      </c>
    </row>
    <row r="67" spans="1:17">
      <c r="A67" s="242" t="str">
        <f>_xlfn.CONCAT(Tableau2[[#This Row],[Compte ILN]],"-",Tableau2[[#This Row],[Compte Shipper]],"-",Tableau2[[#This Row],[POL]],"-",Tableau2[[#This Row],[Compte Consignee]])</f>
        <v>91018400-91018400-ESVLC-25079500</v>
      </c>
      <c r="B67" s="342" t="str">
        <f>IF(Tableau2[[#This Row],[Name Consignee]]="",_xlfn.CONCAT(Tableau2[[#This Row],[Compte ILN]],"-",Tableau2[[#This Row],[Compte Shipper]],"-",Tableau2[[#This Row],[POL]]),"-")</f>
        <v>-</v>
      </c>
      <c r="C67" s="224" t="s">
        <v>144</v>
      </c>
      <c r="D67" s="225">
        <f>VLOOKUP(Tableau2[[#This Row],[ Name ILN]],Plant_AILN!F:G,2,FALSE)</f>
        <v>91018400</v>
      </c>
      <c r="E67" s="224" t="s">
        <v>144</v>
      </c>
      <c r="F67" s="226">
        <f>IFERROR(VLOOKUP(Tableau2[[#This Row],[Name of shipper]],Plant_AILN!L:M,2,FALSE),0)</f>
        <v>91018400</v>
      </c>
      <c r="G67" s="137" t="s">
        <v>546</v>
      </c>
      <c r="H67" s="226">
        <f>IF(Tableau2[[#This Row],[Name Consignee]]=0,"",VLOOKUP(Tableau2[[#This Row],[Name Consignee]],Plant_AILN!A:C,3,FALSE))</f>
        <v>25079500</v>
      </c>
      <c r="I67" s="52">
        <v>9</v>
      </c>
      <c r="J67" s="219">
        <v>14</v>
      </c>
      <c r="K67" s="94">
        <v>5</v>
      </c>
      <c r="L67" s="227">
        <v>7</v>
      </c>
      <c r="M67" s="228">
        <f>Tableau2[[#This Row],[Delivery time to ILN/Shipper]]+Tableau2[[#This Row],[Day ILN Order]]-1</f>
        <v>22</v>
      </c>
      <c r="N67" s="229">
        <v>2</v>
      </c>
      <c r="O67" s="230" t="s">
        <v>492</v>
      </c>
      <c r="P67" s="58">
        <v>3</v>
      </c>
    </row>
    <row r="68" spans="1:17">
      <c r="A68" s="242" t="str">
        <f>_xlfn.CONCAT(Tableau2[[#This Row],[Compte ILN]],"-",Tableau2[[#This Row],[Compte Shipper]],"-",Tableau2[[#This Row],[POL]],"-",Tableau2[[#This Row],[Compte Consignee]])</f>
        <v>91018400-91017500-ESALG-25048500</v>
      </c>
      <c r="B68" s="342" t="str">
        <f>IF(Tableau2[[#This Row],[Name Consignee]]="",_xlfn.CONCAT(Tableau2[[#This Row],[Compte ILN]],"-",Tableau2[[#This Row],[Compte Shipper]],"-",Tableau2[[#This Row],[POL]]),"-")</f>
        <v>-</v>
      </c>
      <c r="C68" s="224" t="s">
        <v>144</v>
      </c>
      <c r="D68" s="225">
        <f>VLOOKUP(Tableau2[[#This Row],[ Name ILN]],Plant_AILN!F:G,2,FALSE)</f>
        <v>91018400</v>
      </c>
      <c r="E68" s="166" t="s">
        <v>145</v>
      </c>
      <c r="F68" s="226">
        <f>IFERROR(VLOOKUP(Tableau2[[#This Row],[Name of shipper]],Plant_AILN!L:M,2,FALSE),0)</f>
        <v>91017500</v>
      </c>
      <c r="G68" s="231" t="s">
        <v>139</v>
      </c>
      <c r="H68" s="226">
        <f>IF(Tableau2[[#This Row],[Name Consignee]]=0,"",VLOOKUP(Tableau2[[#This Row],[Name Consignee]],Plant_AILN!A:C,3,FALSE))</f>
        <v>25048500</v>
      </c>
      <c r="I68" s="52">
        <v>9</v>
      </c>
      <c r="J68" s="219">
        <v>14</v>
      </c>
      <c r="K68" s="94">
        <v>5</v>
      </c>
      <c r="L68" s="227">
        <v>7</v>
      </c>
      <c r="M68" s="228">
        <f>Tableau2[[#This Row],[Delivery time to ILN/Shipper]]+Tableau2[[#This Row],[Day ILN Order]]-1</f>
        <v>22</v>
      </c>
      <c r="N68" s="229">
        <v>4</v>
      </c>
      <c r="O68" s="230" t="s">
        <v>507</v>
      </c>
      <c r="P68" s="58">
        <v>5</v>
      </c>
    </row>
    <row r="69" spans="1:17">
      <c r="A69" s="242" t="str">
        <f>_xlfn.CONCAT(Tableau2[[#This Row],[Compte ILN]],"-",Tableau2[[#This Row],[Compte Shipper]],"-",Tableau2[[#This Row],[POL]],"-",Tableau2[[#This Row],[Compte Consignee]])</f>
        <v>91018400-91018400-ESVLC-92002200</v>
      </c>
      <c r="B69" s="342" t="str">
        <f>IF(Tableau2[[#This Row],[Name Consignee]]="",_xlfn.CONCAT(Tableau2[[#This Row],[Compte ILN]],"-",Tableau2[[#This Row],[Compte Shipper]],"-",Tableau2[[#This Row],[POL]]),"-")</f>
        <v>-</v>
      </c>
      <c r="C69" s="224" t="s">
        <v>144</v>
      </c>
      <c r="D69" s="225">
        <f>VLOOKUP(Tableau2[[#This Row],[ Name ILN]],Plant_AILN!F:G,2,FALSE)</f>
        <v>91018400</v>
      </c>
      <c r="E69" s="224" t="s">
        <v>144</v>
      </c>
      <c r="F69" s="226">
        <f>IFERROR(VLOOKUP(Tableau2[[#This Row],[Name of shipper]],Plant_AILN!L:M,2,FALSE),0)</f>
        <v>91018400</v>
      </c>
      <c r="G69" s="137" t="s">
        <v>36</v>
      </c>
      <c r="H69" s="226">
        <f>IF(Tableau2[[#This Row],[Name Consignee]]=0,"",VLOOKUP(Tableau2[[#This Row],[Name Consignee]],Plant_AILN!A:C,3,FALSE))</f>
        <v>92002200</v>
      </c>
      <c r="I69" s="52">
        <v>9</v>
      </c>
      <c r="J69" s="219">
        <v>14</v>
      </c>
      <c r="K69" s="94">
        <v>5</v>
      </c>
      <c r="L69" s="227">
        <v>7</v>
      </c>
      <c r="M69" s="228">
        <f>Tableau2[[#This Row],[Delivery time to ILN/Shipper]]+Tableau2[[#This Row],[Day ILN Order]]-1</f>
        <v>22</v>
      </c>
      <c r="N69" s="229">
        <v>2</v>
      </c>
      <c r="O69" s="230" t="s">
        <v>492</v>
      </c>
      <c r="P69" s="58">
        <v>4</v>
      </c>
      <c r="Q69" t="s">
        <v>550</v>
      </c>
    </row>
    <row r="70" spans="1:17">
      <c r="A70" s="242" t="str">
        <f>_xlfn.CONCAT(Tableau2[[#This Row],[Compte ILN]],"-",Tableau2[[#This Row],[Compte Shipper]],"-",Tableau2[[#This Row],[POL]],"-",Tableau2[[#This Row],[Compte Consignee]])</f>
        <v>91018400-91017500-ESALG-92002200</v>
      </c>
      <c r="B70" s="342" t="str">
        <f>IF(Tableau2[[#This Row],[Name Consignee]]="",_xlfn.CONCAT(Tableau2[[#This Row],[Compte ILN]],"-",Tableau2[[#This Row],[Compte Shipper]],"-",Tableau2[[#This Row],[POL]]),"-")</f>
        <v>-</v>
      </c>
      <c r="C70" s="224" t="s">
        <v>144</v>
      </c>
      <c r="D70" s="225">
        <f>VLOOKUP(Tableau2[[#This Row],[ Name ILN]],Plant_AILN!F:G,2,FALSE)</f>
        <v>91018400</v>
      </c>
      <c r="E70" s="166" t="s">
        <v>145</v>
      </c>
      <c r="F70" s="226">
        <f>IFERROR(VLOOKUP(Tableau2[[#This Row],[Name of shipper]],Plant_AILN!L:M,2,FALSE),0)</f>
        <v>91017500</v>
      </c>
      <c r="G70" s="231" t="s">
        <v>36</v>
      </c>
      <c r="H70" s="226">
        <f>IF(Tableau2[[#This Row],[Name Consignee]]=0,"",VLOOKUP(Tableau2[[#This Row],[Name Consignee]],Plant_AILN!A:C,3,FALSE))</f>
        <v>92002200</v>
      </c>
      <c r="I70" s="52">
        <v>9</v>
      </c>
      <c r="J70" s="219">
        <v>14</v>
      </c>
      <c r="K70" s="94">
        <v>5</v>
      </c>
      <c r="L70" s="227">
        <v>7</v>
      </c>
      <c r="M70" s="228">
        <f>Tableau2[[#This Row],[Delivery time to ILN/Shipper]]+Tableau2[[#This Row],[Day ILN Order]]-1</f>
        <v>22</v>
      </c>
      <c r="N70" s="229">
        <v>2</v>
      </c>
      <c r="O70" s="230" t="s">
        <v>507</v>
      </c>
      <c r="P70" s="58">
        <v>3</v>
      </c>
    </row>
    <row r="71" spans="1:17">
      <c r="A71" s="242" t="str">
        <f>_xlfn.CONCAT(Tableau2[[#This Row],[Compte ILN]],"-",Tableau2[[#This Row],[Compte Shipper]],"-",Tableau2[[#This Row],[POL]],"-",Tableau2[[#This Row],[Compte Consignee]])</f>
        <v>91018400-91018400-ESVLC-9510600</v>
      </c>
      <c r="B71" s="342" t="str">
        <f>IF(Tableau2[[#This Row],[Name Consignee]]="",_xlfn.CONCAT(Tableau2[[#This Row],[Compte ILN]],"-",Tableau2[[#This Row],[Compte Shipper]],"-",Tableau2[[#This Row],[POL]]),"-")</f>
        <v>-</v>
      </c>
      <c r="C71" s="224" t="s">
        <v>144</v>
      </c>
      <c r="D71" s="225">
        <f>VLOOKUP(Tableau2[[#This Row],[ Name ILN]],Plant_AILN!F:G,2,FALSE)</f>
        <v>91018400</v>
      </c>
      <c r="E71" s="224" t="s">
        <v>144</v>
      </c>
      <c r="F71" s="226">
        <f>IFERROR(VLOOKUP(Tableau2[[#This Row],[Name of shipper]],Plant_AILN!L:M,2,FALSE),0)</f>
        <v>91018400</v>
      </c>
      <c r="G71" s="137" t="s">
        <v>176</v>
      </c>
      <c r="H71" s="226">
        <f>IF(Tableau2[[#This Row],[Name Consignee]]=0,"",VLOOKUP(Tableau2[[#This Row],[Name Consignee]],Plant_AILN!A:C,3,FALSE))</f>
        <v>9510600</v>
      </c>
      <c r="I71" s="52">
        <v>9</v>
      </c>
      <c r="J71" s="219">
        <v>14</v>
      </c>
      <c r="K71" s="94">
        <v>5</v>
      </c>
      <c r="L71" s="227">
        <v>7</v>
      </c>
      <c r="M71" s="228">
        <f>Tableau2[[#This Row],[Delivery time to ILN/Shipper]]+Tableau2[[#This Row],[Day ILN Order]]-1</f>
        <v>22</v>
      </c>
      <c r="N71" s="229">
        <v>3</v>
      </c>
      <c r="O71" s="230" t="s">
        <v>492</v>
      </c>
      <c r="P71" s="58">
        <v>5</v>
      </c>
    </row>
    <row r="72" spans="1:17">
      <c r="A72" s="242" t="str">
        <f>_xlfn.CONCAT(Tableau2[[#This Row],[Compte ILN]],"-",Tableau2[[#This Row],[Compte Shipper]],"-",Tableau2[[#This Row],[POL]],"-",Tableau2[[#This Row],[Compte Consignee]])</f>
        <v>26037000-26037000-CNSHA-90018000</v>
      </c>
      <c r="B72" s="342" t="str">
        <f>IF(Tableau2[[#This Row],[Name Consignee]]="",_xlfn.CONCAT(Tableau2[[#This Row],[Compte ILN]],"-",Tableau2[[#This Row],[Compte Shipper]],"-",Tableau2[[#This Row],[POL]]),"-")</f>
        <v>-</v>
      </c>
      <c r="C72" s="224" t="s">
        <v>171</v>
      </c>
      <c r="D72" s="225">
        <f>VLOOKUP(Tableau2[[#This Row],[ Name ILN]],Plant_AILN!F:G,2,FALSE)</f>
        <v>26037000</v>
      </c>
      <c r="E72" s="224" t="s">
        <v>171</v>
      </c>
      <c r="F72" s="226">
        <f>IFERROR(VLOOKUP(Tableau2[[#This Row],[Name of shipper]],Plant_AILN!L:M,2,FALSE),0)</f>
        <v>26037000</v>
      </c>
      <c r="G72" s="137" t="s">
        <v>149</v>
      </c>
      <c r="H72" s="226">
        <f>IF(Tableau2[[#This Row],[Name Consignee]]=0,"",VLOOKUP(Tableau2[[#This Row],[Name Consignee]],Plant_AILN!A:C,3,FALSE))</f>
        <v>90018000</v>
      </c>
      <c r="I72" s="52">
        <v>9</v>
      </c>
      <c r="J72" s="219">
        <v>14</v>
      </c>
      <c r="K72" s="94">
        <v>5</v>
      </c>
      <c r="L72" s="227">
        <v>7</v>
      </c>
      <c r="M72" s="228">
        <f>Tableau2[[#This Row],[Delivery time to ILN/Shipper]]+Tableau2[[#This Row],[Day ILN Order]]-1</f>
        <v>22</v>
      </c>
      <c r="N72" s="229">
        <v>1</v>
      </c>
      <c r="O72" s="230" t="s">
        <v>513</v>
      </c>
      <c r="P72" s="58">
        <v>2</v>
      </c>
    </row>
    <row r="73" spans="1:17">
      <c r="A73" s="242" t="str">
        <f>_xlfn.CONCAT(Tableau2[[#This Row],[Compte ILN]],"-",Tableau2[[#This Row],[Compte Shipper]],"-",Tableau2[[#This Row],[POL]],"-",Tableau2[[#This Row],[Compte Consignee]])</f>
        <v>26037000-26037000-CNSHA-9510600</v>
      </c>
      <c r="B73" s="342" t="str">
        <f>IF(Tableau2[[#This Row],[Name Consignee]]="",_xlfn.CONCAT(Tableau2[[#This Row],[Compte ILN]],"-",Tableau2[[#This Row],[Compte Shipper]],"-",Tableau2[[#This Row],[POL]]),"-")</f>
        <v>-</v>
      </c>
      <c r="C73" s="166" t="s">
        <v>171</v>
      </c>
      <c r="D73" s="225">
        <f>VLOOKUP(Tableau2[[#This Row],[ Name ILN]],Plant_AILN!F:G,2,FALSE)</f>
        <v>26037000</v>
      </c>
      <c r="E73" s="166" t="s">
        <v>171</v>
      </c>
      <c r="F73" s="226">
        <f>IFERROR(VLOOKUP(Tableau2[[#This Row],[Name of shipper]],Plant_AILN!L:M,2,FALSE),0)</f>
        <v>26037000</v>
      </c>
      <c r="G73" s="232" t="s">
        <v>176</v>
      </c>
      <c r="H73" s="226">
        <f>IF(Tableau2[[#This Row],[Name Consignee]]=0,"",VLOOKUP(Tableau2[[#This Row],[Name Consignee]],Plant_AILN!A:C,3,FALSE))</f>
        <v>9510600</v>
      </c>
      <c r="I73" s="52">
        <v>9</v>
      </c>
      <c r="J73" s="219">
        <v>8</v>
      </c>
      <c r="K73" s="94">
        <v>12</v>
      </c>
      <c r="L73" s="227">
        <v>13</v>
      </c>
      <c r="M73" s="228">
        <f>Tableau2[[#This Row],[Delivery time to ILN/Shipper]]+Tableau2[[#This Row],[Day ILN Order]]-1</f>
        <v>16</v>
      </c>
      <c r="N73" s="229">
        <v>1</v>
      </c>
      <c r="O73" s="230" t="s">
        <v>513</v>
      </c>
      <c r="P73" s="58">
        <v>2</v>
      </c>
    </row>
    <row r="74" spans="1:17">
      <c r="A74" s="242" t="str">
        <f>_xlfn.CONCAT(Tableau2[[#This Row],[Compte ILN]],"-",Tableau2[[#This Row],[Compte Shipper]],"-",Tableau2[[#This Row],[POL]],"-",Tableau2[[#This Row],[Compte Consignee]])</f>
        <v>26037000-26037000-CNSHA-</v>
      </c>
      <c r="B74" s="342" t="str">
        <f>IF(Tableau2[[#This Row],[Name Consignee]]="",_xlfn.CONCAT(Tableau2[[#This Row],[Compte ILN]],"-",Tableau2[[#This Row],[Compte Shipper]],"-",Tableau2[[#This Row],[POL]]),"-")</f>
        <v>26037000-26037000-CNSHA</v>
      </c>
      <c r="C74" s="224" t="s">
        <v>171</v>
      </c>
      <c r="D74" s="225">
        <f>VLOOKUP(Tableau2[[#This Row],[ Name ILN]],Plant_AILN!F:G,2,FALSE)</f>
        <v>26037000</v>
      </c>
      <c r="E74" s="224" t="s">
        <v>171</v>
      </c>
      <c r="F74" s="226">
        <f>IFERROR(VLOOKUP(Tableau2[[#This Row],[Name of shipper]],Plant_AILN!L:M,2,FALSE),0)</f>
        <v>26037000</v>
      </c>
      <c r="G74" s="137"/>
      <c r="H74" s="226" t="str">
        <f>IF(Tableau2[[#This Row],[Name Consignee]]=0,"",VLOOKUP(Tableau2[[#This Row],[Name Consignee]],Plant_AILN!A:C,3,FALSE))</f>
        <v/>
      </c>
      <c r="I74" s="52">
        <v>9</v>
      </c>
      <c r="J74" s="219">
        <v>14</v>
      </c>
      <c r="K74" s="94">
        <v>5</v>
      </c>
      <c r="L74" s="227">
        <v>7</v>
      </c>
      <c r="M74" s="228">
        <f>Tableau2[[#This Row],[Delivery time to ILN/Shipper]]+Tableau2[[#This Row],[Day ILN Order]]-1</f>
        <v>22</v>
      </c>
      <c r="N74" s="229">
        <v>1</v>
      </c>
      <c r="O74" s="230" t="s">
        <v>513</v>
      </c>
      <c r="P74" s="58">
        <v>2</v>
      </c>
    </row>
    <row r="75" spans="1:17">
      <c r="A75" s="242" t="str">
        <f>_xlfn.CONCAT(Tableau2[[#This Row],[Compte ILN]],"-",Tableau2[[#This Row],[Compte Shipper]],"-",Tableau2[[#This Row],[POL]],"-",Tableau2[[#This Row],[Compte Consignee]])</f>
        <v>26037000-26037000-CNSHA-900383</v>
      </c>
      <c r="B75" s="342" t="str">
        <f>IF(Tableau2[[#This Row],[Name Consignee]]="",_xlfn.CONCAT(Tableau2[[#This Row],[Compte ILN]],"-",Tableau2[[#This Row],[Compte Shipper]],"-",Tableau2[[#This Row],[POL]]),"-")</f>
        <v>-</v>
      </c>
      <c r="C75" s="224" t="s">
        <v>171</v>
      </c>
      <c r="D75" s="225">
        <f>VLOOKUP(Tableau2[[#This Row],[ Name ILN]],Plant_AILN!F:G,2,FALSE)</f>
        <v>26037000</v>
      </c>
      <c r="E75" s="224" t="s">
        <v>171</v>
      </c>
      <c r="F75" s="226">
        <f>IFERROR(VLOOKUP(Tableau2[[#This Row],[Name of shipper]],Plant_AILN!L:M,2,FALSE),0)</f>
        <v>26037000</v>
      </c>
      <c r="G75" s="137" t="s">
        <v>179</v>
      </c>
      <c r="H75" s="226">
        <f>IF(Tableau2[[#This Row],[Name Consignee]]=0,"",VLOOKUP(Tableau2[[#This Row],[Name Consignee]],Plant_AILN!A:C,3,FALSE))</f>
        <v>900383</v>
      </c>
      <c r="I75" s="52">
        <v>9</v>
      </c>
      <c r="J75" s="219">
        <v>14</v>
      </c>
      <c r="K75" s="94">
        <v>5</v>
      </c>
      <c r="L75" s="227">
        <v>7</v>
      </c>
      <c r="M75" s="228">
        <f>Tableau2[[#This Row],[Delivery time to ILN/Shipper]]+Tableau2[[#This Row],[Day ILN Order]]-1</f>
        <v>22</v>
      </c>
      <c r="N75" s="229">
        <v>1</v>
      </c>
      <c r="O75" s="230" t="s">
        <v>513</v>
      </c>
      <c r="P75" s="58">
        <v>2</v>
      </c>
    </row>
    <row r="76" spans="1:17">
      <c r="A76" s="242" t="str">
        <f>_xlfn.CONCAT(Tableau2[[#This Row],[Compte ILN]],"-",Tableau2[[#This Row],[Compte Shipper]],"-",Tableau2[[#This Row],[POL]],"-",Tableau2[[#This Row],[Compte Consignee]])</f>
        <v>0-0-MYTPP-90016000</v>
      </c>
      <c r="B76" s="342" t="str">
        <f>IF(Tableau2[[#This Row],[Name Consignee]]="",_xlfn.CONCAT(Tableau2[[#This Row],[Compte ILN]],"-",Tableau2[[#This Row],[Compte Shipper]],"-",Tableau2[[#This Row],[POL]]),"-")</f>
        <v>-</v>
      </c>
      <c r="C76" s="224" t="s">
        <v>150</v>
      </c>
      <c r="D76" s="225">
        <f>VLOOKUP(Tableau2[[#This Row],[ Name ILN]],Plant_AILN!F:G,2,FALSE)</f>
        <v>0</v>
      </c>
      <c r="E76" s="224" t="s">
        <v>150</v>
      </c>
      <c r="F76" s="226">
        <f>IFERROR(VLOOKUP(Tableau2[[#This Row],[Name of shipper]],Plant_AILN!L:M,2,FALSE),0)</f>
        <v>0</v>
      </c>
      <c r="G76" s="137" t="s">
        <v>169</v>
      </c>
      <c r="H76" s="226">
        <f>IF(Tableau2[[#This Row],[Name Consignee]]=0,"",VLOOKUP(Tableau2[[#This Row],[Name Consignee]],Plant_AILN!A:C,3,FALSE))</f>
        <v>90016000</v>
      </c>
      <c r="I76" s="52">
        <v>9</v>
      </c>
      <c r="J76" s="219">
        <v>28</v>
      </c>
      <c r="K76" s="94">
        <v>4</v>
      </c>
      <c r="L76" s="227">
        <v>6</v>
      </c>
      <c r="M76" s="228">
        <f>Tableau2[[#This Row],[Delivery time to ILN/Shipper]]+Tableau2[[#This Row],[Day ILN Order]]-1</f>
        <v>36</v>
      </c>
      <c r="N76" s="229">
        <v>1</v>
      </c>
      <c r="O76" s="230" t="s">
        <v>551</v>
      </c>
      <c r="P76" s="58">
        <v>1</v>
      </c>
    </row>
    <row r="77" spans="1:17">
      <c r="A77" s="242" t="str">
        <f>_xlfn.CONCAT(Tableau2[[#This Row],[Compte ILN]],"-",Tableau2[[#This Row],[Compte Shipper]],"-",Tableau2[[#This Row],[POL]],"-",Tableau2[[#This Row],[Compte Consignee]])</f>
        <v>0-27002800-MYTPP-90016000</v>
      </c>
      <c r="B77" s="342" t="str">
        <f>IF(Tableau2[[#This Row],[Name Consignee]]="",_xlfn.CONCAT(Tableau2[[#This Row],[Compte ILN]],"-",Tableau2[[#This Row],[Compte Shipper]],"-",Tableau2[[#This Row],[POL]]),"-")</f>
        <v>-</v>
      </c>
      <c r="C77" s="224" t="s">
        <v>150</v>
      </c>
      <c r="D77" s="225">
        <f>VLOOKUP(Tableau2[[#This Row],[ Name ILN]],Plant_AILN!F:G,2,FALSE)</f>
        <v>0</v>
      </c>
      <c r="E77" s="166" t="s">
        <v>302</v>
      </c>
      <c r="F77" s="226">
        <f>IFERROR(VLOOKUP(Tableau2[[#This Row],[Name of shipper]],Plant_AILN!L:M,2,FALSE),0)</f>
        <v>27002800</v>
      </c>
      <c r="G77" s="231" t="s">
        <v>169</v>
      </c>
      <c r="H77" s="226">
        <f>IF(Tableau2[[#This Row],[Name Consignee]]=0,"",VLOOKUP(Tableau2[[#This Row],[Name Consignee]],Plant_AILN!A:C,3,FALSE))</f>
        <v>90016000</v>
      </c>
      <c r="I77" s="52">
        <v>9</v>
      </c>
      <c r="J77" s="219">
        <v>28</v>
      </c>
      <c r="K77" s="94">
        <v>4</v>
      </c>
      <c r="L77" s="227">
        <v>6</v>
      </c>
      <c r="M77" s="228">
        <f>Tableau2[[#This Row],[Delivery time to ILN/Shipper]]+Tableau2[[#This Row],[Day ILN Order]]-1</f>
        <v>36</v>
      </c>
      <c r="N77" s="229">
        <v>1</v>
      </c>
      <c r="O77" s="230" t="s">
        <v>551</v>
      </c>
      <c r="P77" s="58">
        <v>1</v>
      </c>
    </row>
    <row r="78" spans="1:17">
      <c r="A78" s="242" t="str">
        <f>_xlfn.CONCAT(Tableau2[[#This Row],[Compte ILN]],"-",Tableau2[[#This Row],[Compte Shipper]],"-",Tableau2[[#This Row],[POL]],"-",Tableau2[[#This Row],[Compte Consignee]])</f>
        <v>0-487230-MYPEN-90018000</v>
      </c>
      <c r="B78" s="342" t="str">
        <f>IF(Tableau2[[#This Row],[Name Consignee]]="",_xlfn.CONCAT(Tableau2[[#This Row],[Compte ILN]],"-",Tableau2[[#This Row],[Compte Shipper]],"-",Tableau2[[#This Row],[POL]]),"-")</f>
        <v>-</v>
      </c>
      <c r="C78" s="224" t="s">
        <v>150</v>
      </c>
      <c r="D78" s="225">
        <f>VLOOKUP(Tableau2[[#This Row],[ Name ILN]],Plant_AILN!F:G,2,FALSE)</f>
        <v>0</v>
      </c>
      <c r="E78" s="166" t="s">
        <v>385</v>
      </c>
      <c r="F78" s="226">
        <f>IFERROR(VLOOKUP(Tableau2[[#This Row],[Name of shipper]],Plant_AILN!L:M,2,FALSE),0)</f>
        <v>487230</v>
      </c>
      <c r="G78" s="231" t="s">
        <v>149</v>
      </c>
      <c r="H78" s="226">
        <f>IF(Tableau2[[#This Row],[Name Consignee]]=0,"",VLOOKUP(Tableau2[[#This Row],[Name Consignee]],Plant_AILN!A:C,3,FALSE))</f>
        <v>90018000</v>
      </c>
      <c r="I78" s="52">
        <v>9</v>
      </c>
      <c r="J78" s="219">
        <v>28</v>
      </c>
      <c r="K78" s="94">
        <v>5</v>
      </c>
      <c r="L78" s="227">
        <v>7</v>
      </c>
      <c r="M78" s="228">
        <f>Tableau2[[#This Row],[Delivery time to ILN/Shipper]]+Tableau2[[#This Row],[Day ILN Order]]-1</f>
        <v>36</v>
      </c>
      <c r="N78" s="229">
        <v>2</v>
      </c>
      <c r="O78" s="230" t="s">
        <v>552</v>
      </c>
      <c r="P78" s="58">
        <v>3</v>
      </c>
    </row>
    <row r="79" spans="1:17">
      <c r="A79" s="242" t="str">
        <f>_xlfn.CONCAT(Tableau2[[#This Row],[Compte ILN]],"-",Tableau2[[#This Row],[Compte Shipper]],"-",Tableau2[[#This Row],[POL]],"-",Tableau2[[#This Row],[Compte Consignee]])</f>
        <v>0-27002800-MYPGU-90016800</v>
      </c>
      <c r="B79" s="342" t="str">
        <f>IF(Tableau2[[#This Row],[Name Consignee]]="",_xlfn.CONCAT(Tableau2[[#This Row],[Compte ILN]],"-",Tableau2[[#This Row],[Compte Shipper]],"-",Tableau2[[#This Row],[POL]]),"-")</f>
        <v>-</v>
      </c>
      <c r="C79" s="224" t="s">
        <v>150</v>
      </c>
      <c r="D79" s="225">
        <f>VLOOKUP(Tableau2[[#This Row],[ Name ILN]],Plant_AILN!F:G,2,FALSE)</f>
        <v>0</v>
      </c>
      <c r="E79" s="166" t="s">
        <v>302</v>
      </c>
      <c r="F79" s="226">
        <f>IFERROR(VLOOKUP(Tableau2[[#This Row],[Name of shipper]],Plant_AILN!L:M,2,FALSE),0)</f>
        <v>27002800</v>
      </c>
      <c r="G79" s="231" t="s">
        <v>180</v>
      </c>
      <c r="H79" s="226">
        <f>IF(Tableau2[[#This Row],[Name Consignee]]=0,"",VLOOKUP(Tableau2[[#This Row],[Name Consignee]],Plant_AILN!A:C,3,FALSE))</f>
        <v>90016800</v>
      </c>
      <c r="I79" s="52">
        <v>9</v>
      </c>
      <c r="J79" s="219">
        <v>14</v>
      </c>
      <c r="K79" s="94">
        <v>5</v>
      </c>
      <c r="L79" s="227">
        <v>7</v>
      </c>
      <c r="M79" s="228">
        <f>Tableau2[[#This Row],[Delivery time to ILN/Shipper]]+Tableau2[[#This Row],[Day ILN Order]]-1</f>
        <v>22</v>
      </c>
      <c r="N79" s="229">
        <v>3</v>
      </c>
      <c r="O79" s="230" t="s">
        <v>553</v>
      </c>
      <c r="P79" s="58">
        <v>5</v>
      </c>
    </row>
    <row r="80" spans="1:17">
      <c r="A80" s="242" t="str">
        <f>_xlfn.CONCAT(Tableau2[[#This Row],[Compte ILN]],"-",Tableau2[[#This Row],[Compte Shipper]],"-",Tableau2[[#This Row],[POL]],"-",Tableau2[[#This Row],[Compte Consignee]])</f>
        <v>0-487230-MYPEN-9510600</v>
      </c>
      <c r="B80" s="342" t="str">
        <f>IF(Tableau2[[#This Row],[Name Consignee]]="",_xlfn.CONCAT(Tableau2[[#This Row],[Compte ILN]],"-",Tableau2[[#This Row],[Compte Shipper]],"-",Tableau2[[#This Row],[POL]]),"-")</f>
        <v>-</v>
      </c>
      <c r="C80" s="224" t="s">
        <v>150</v>
      </c>
      <c r="D80" s="225">
        <f>VLOOKUP(Tableau2[[#This Row],[ Name ILN]],Plant_AILN!F:G,2,FALSE)</f>
        <v>0</v>
      </c>
      <c r="E80" s="166" t="s">
        <v>385</v>
      </c>
      <c r="F80" s="226">
        <f>IFERROR(VLOOKUP(Tableau2[[#This Row],[Name of shipper]],Plant_AILN!L:M,2,FALSE),0)</f>
        <v>487230</v>
      </c>
      <c r="G80" s="137" t="s">
        <v>176</v>
      </c>
      <c r="H80" s="226">
        <f>IF(Tableau2[[#This Row],[Name Consignee]]=0,"",VLOOKUP(Tableau2[[#This Row],[Name Consignee]],Plant_AILN!A:C,3,FALSE))</f>
        <v>9510600</v>
      </c>
      <c r="I80" s="52">
        <v>9</v>
      </c>
      <c r="J80" s="219">
        <v>28</v>
      </c>
      <c r="K80" s="94">
        <v>5</v>
      </c>
      <c r="L80" s="227">
        <v>7</v>
      </c>
      <c r="M80" s="228">
        <f>Tableau2[[#This Row],[Delivery time to ILN/Shipper]]+Tableau2[[#This Row],[Day ILN Order]]-1</f>
        <v>36</v>
      </c>
      <c r="N80" s="229">
        <v>2</v>
      </c>
      <c r="O80" s="230" t="s">
        <v>552</v>
      </c>
      <c r="P80" s="58">
        <v>3</v>
      </c>
    </row>
    <row r="81" spans="1:16">
      <c r="A81" s="242" t="str">
        <f>_xlfn.CONCAT(Tableau2[[#This Row],[Compte ILN]],"-",Tableau2[[#This Row],[Compte Shipper]],"-",Tableau2[[#This Row],[POL]],"-",Tableau2[[#This Row],[Compte Consignee]])</f>
        <v>0-29179903-CNFUG-90038200</v>
      </c>
      <c r="B81" s="342" t="str">
        <f>IF(Tableau2[[#This Row],[Name Consignee]]="",_xlfn.CONCAT(Tableau2[[#This Row],[Compte ILN]],"-",Tableau2[[#This Row],[Compte Shipper]],"-",Tableau2[[#This Row],[POL]]),"-")</f>
        <v>-</v>
      </c>
      <c r="C81" s="224" t="s">
        <v>150</v>
      </c>
      <c r="D81" s="225">
        <f>VLOOKUP(Tableau2[[#This Row],[ Name ILN]],Plant_AILN!F:G,2,FALSE)</f>
        <v>0</v>
      </c>
      <c r="E81" s="224" t="s">
        <v>268</v>
      </c>
      <c r="F81" s="226">
        <f>IFERROR(VLOOKUP(Tableau2[[#This Row],[Name of shipper]],Plant_AILN!L:M,2,FALSE),0)</f>
        <v>29179903</v>
      </c>
      <c r="G81" s="231" t="s">
        <v>178</v>
      </c>
      <c r="H81" s="226">
        <f>IF(Tableau2[[#This Row],[Name Consignee]]=0,"",VLOOKUP(Tableau2[[#This Row],[Name Consignee]],Plant_AILN!A:C,3,FALSE))</f>
        <v>90038200</v>
      </c>
      <c r="I81" s="52">
        <v>9</v>
      </c>
      <c r="J81" s="219">
        <v>21</v>
      </c>
      <c r="K81" s="94">
        <v>5</v>
      </c>
      <c r="L81" s="227">
        <v>7</v>
      </c>
      <c r="M81" s="228">
        <f>Tableau2[[#This Row],[Delivery time to ILN/Shipper]]+Tableau2[[#This Row],[Day ILN Order]]-1</f>
        <v>29</v>
      </c>
      <c r="N81" s="229">
        <v>3</v>
      </c>
      <c r="O81" s="230" t="s">
        <v>554</v>
      </c>
      <c r="P81" s="58">
        <v>5</v>
      </c>
    </row>
    <row r="82" spans="1:16">
      <c r="A82" s="242" t="str">
        <f>_xlfn.CONCAT(Tableau2[[#This Row],[Compte ILN]],"-",Tableau2[[#This Row],[Compte Shipper]],"-",Tableau2[[#This Row],[POL]],"-",Tableau2[[#This Row],[Compte Consignee]])</f>
        <v>0-27002800-MYTPP-900383</v>
      </c>
      <c r="B82" s="342" t="str">
        <f>IF(Tableau2[[#This Row],[Name Consignee]]="",_xlfn.CONCAT(Tableau2[[#This Row],[Compte ILN]],"-",Tableau2[[#This Row],[Compte Shipper]],"-",Tableau2[[#This Row],[POL]]),"-")</f>
        <v>-</v>
      </c>
      <c r="C82" s="224" t="s">
        <v>150</v>
      </c>
      <c r="D82" s="225">
        <f>VLOOKUP(Tableau2[[#This Row],[ Name ILN]],Plant_AILN!F:G,2,FALSE)</f>
        <v>0</v>
      </c>
      <c r="E82" s="166" t="s">
        <v>302</v>
      </c>
      <c r="F82" s="226">
        <f>IFERROR(VLOOKUP(Tableau2[[#This Row],[Name of shipper]],Plant_AILN!L:M,2,FALSE),0)</f>
        <v>27002800</v>
      </c>
      <c r="G82" s="231" t="s">
        <v>179</v>
      </c>
      <c r="H82" s="226">
        <f>IF(Tableau2[[#This Row],[Name Consignee]]=0,"",VLOOKUP(Tableau2[[#This Row],[Name Consignee]],Plant_AILN!A:C,3,FALSE))</f>
        <v>900383</v>
      </c>
      <c r="I82" s="52">
        <v>9</v>
      </c>
      <c r="J82" s="219">
        <v>28</v>
      </c>
      <c r="K82" s="94">
        <v>5</v>
      </c>
      <c r="L82" s="227">
        <v>7</v>
      </c>
      <c r="M82" s="228">
        <f>Tableau2[[#This Row],[Delivery time to ILN/Shipper]]+Tableau2[[#This Row],[Day ILN Order]]-1</f>
        <v>36</v>
      </c>
      <c r="N82" s="229">
        <v>3</v>
      </c>
      <c r="O82" s="230" t="s">
        <v>551</v>
      </c>
      <c r="P82" s="58">
        <v>5</v>
      </c>
    </row>
    <row r="83" spans="1:16">
      <c r="A83" s="242" t="str">
        <f>_xlfn.CONCAT(Tableau2[[#This Row],[Compte ILN]],"-",Tableau2[[#This Row],[Compte Shipper]],"-",Tableau2[[#This Row],[POL]],"-",Tableau2[[#This Row],[Compte Consignee]])</f>
        <v>0-29179903-CNFUG-900383</v>
      </c>
      <c r="B83" s="342" t="str">
        <f>IF(Tableau2[[#This Row],[Name Consignee]]="",_xlfn.CONCAT(Tableau2[[#This Row],[Compte ILN]],"-",Tableau2[[#This Row],[Compte Shipper]],"-",Tableau2[[#This Row],[POL]]),"-")</f>
        <v>-</v>
      </c>
      <c r="C83" s="166" t="s">
        <v>150</v>
      </c>
      <c r="D83" s="225">
        <f>VLOOKUP(Tableau2[[#This Row],[ Name ILN]],Plant_AILN!F:G,2,FALSE)</f>
        <v>0</v>
      </c>
      <c r="E83" s="224" t="s">
        <v>268</v>
      </c>
      <c r="F83" s="226">
        <f>IFERROR(VLOOKUP(Tableau2[[#This Row],[Name of shipper]],Plant_AILN!L:M,2,FALSE),0)</f>
        <v>29179903</v>
      </c>
      <c r="G83" s="231" t="s">
        <v>179</v>
      </c>
      <c r="H83" s="226">
        <f>IF(Tableau2[[#This Row],[Name Consignee]]=0,"",VLOOKUP(Tableau2[[#This Row],[Name Consignee]],Plant_AILN!A:C,3,FALSE))</f>
        <v>900383</v>
      </c>
      <c r="I83" s="52">
        <v>9</v>
      </c>
      <c r="J83" s="219">
        <v>14</v>
      </c>
      <c r="K83" s="94">
        <v>5</v>
      </c>
      <c r="L83" s="227">
        <v>7</v>
      </c>
      <c r="M83" s="228">
        <f>Tableau2[[#This Row],[Delivery time to ILN/Shipper]]+Tableau2[[#This Row],[Day ILN Order]]-1</f>
        <v>22</v>
      </c>
      <c r="N83" s="229">
        <v>3</v>
      </c>
      <c r="O83" s="230" t="s">
        <v>554</v>
      </c>
      <c r="P83" s="58">
        <v>5</v>
      </c>
    </row>
    <row r="84" spans="1:16">
      <c r="A84" s="242" t="str">
        <f>_xlfn.CONCAT(Tableau2[[#This Row],[Compte ILN]],"-",Tableau2[[#This Row],[Compte Shipper]],"-",Tableau2[[#This Row],[POL]],"-",Tableau2[[#This Row],[Compte Consignee]])</f>
        <v>0-42631300-IDJKT-900383</v>
      </c>
      <c r="B84" s="342" t="str">
        <f>IF(Tableau2[[#This Row],[Name Consignee]]="",_xlfn.CONCAT(Tableau2[[#This Row],[Compte ILN]],"-",Tableau2[[#This Row],[Compte Shipper]],"-",Tableau2[[#This Row],[POL]]),"-")</f>
        <v>-</v>
      </c>
      <c r="C84" s="166" t="s">
        <v>150</v>
      </c>
      <c r="D84" s="225">
        <f>VLOOKUP(Tableau2[[#This Row],[ Name ILN]],Plant_AILN!F:G,2,FALSE)</f>
        <v>0</v>
      </c>
      <c r="E84" s="166" t="s">
        <v>297</v>
      </c>
      <c r="F84" s="226">
        <f>IFERROR(VLOOKUP(Tableau2[[#This Row],[Name of shipper]],Plant_AILN!L:M,2,FALSE),0)</f>
        <v>42631300</v>
      </c>
      <c r="G84" s="231" t="s">
        <v>179</v>
      </c>
      <c r="H84" s="226">
        <f>IF(Tableau2[[#This Row],[Name Consignee]]=0,"",VLOOKUP(Tableau2[[#This Row],[Name Consignee]],Plant_AILN!A:C,3,FALSE))</f>
        <v>900383</v>
      </c>
      <c r="I84" s="52">
        <v>9</v>
      </c>
      <c r="J84" s="219">
        <v>14</v>
      </c>
      <c r="K84" s="94">
        <v>5</v>
      </c>
      <c r="L84" s="227">
        <v>7</v>
      </c>
      <c r="M84" s="228">
        <f>Tableau2[[#This Row],[Delivery time to ILN/Shipper]]+Tableau2[[#This Row],[Day ILN Order]]-1</f>
        <v>22</v>
      </c>
      <c r="N84" s="229">
        <v>1</v>
      </c>
      <c r="O84" s="230" t="s">
        <v>555</v>
      </c>
      <c r="P84" s="58">
        <v>5</v>
      </c>
    </row>
    <row r="85" spans="1:16">
      <c r="A85" s="242" t="str">
        <f>_xlfn.CONCAT(Tableau2[[#This Row],[Compte ILN]],"-",Tableau2[[#This Row],[Compte Shipper]],"-",Tableau2[[#This Row],[POL]],"-",Tableau2[[#This Row],[Compte Consignee]])</f>
        <v>95112-95112-TRIZT-90016000</v>
      </c>
      <c r="B85" s="242" t="str">
        <f>IF(Tableau2[[#This Row],[Name Consignee]]="",_xlfn.CONCAT(Tableau2[[#This Row],[Compte ILN]],"-",Tableau2[[#This Row],[Compte Shipper]],"-",Tableau2[[#This Row],[POL]]),"-")</f>
        <v>-</v>
      </c>
      <c r="C85" s="166" t="s">
        <v>148</v>
      </c>
      <c r="D85" s="228">
        <f>VLOOKUP(Tableau2[[#This Row],[ Name ILN]],Plant_AILN!F:G,2,FALSE)</f>
        <v>95112</v>
      </c>
      <c r="E85" s="166" t="s">
        <v>148</v>
      </c>
      <c r="F85" s="235">
        <f>IFERROR(VLOOKUP(Tableau2[[#This Row],[Name of shipper]],Plant_AILN!L:M,2,FALSE),0)</f>
        <v>95112</v>
      </c>
      <c r="G85" s="233" t="s">
        <v>169</v>
      </c>
      <c r="H85" s="235">
        <f>IF(Tableau2[[#This Row],[Name Consignee]]=0,"",VLOOKUP(Tableau2[[#This Row],[Name Consignee]],Plant_AILN!A:C,3,FALSE))</f>
        <v>90016000</v>
      </c>
      <c r="I85" s="219">
        <v>9</v>
      </c>
      <c r="J85" s="219">
        <v>14</v>
      </c>
      <c r="K85" s="94">
        <v>5</v>
      </c>
      <c r="L85" s="224">
        <v>7</v>
      </c>
      <c r="M85" s="228">
        <f>Tableau2[[#This Row],[Delivery time to ILN/Shipper]]+Tableau2[[#This Row],[Day ILN Order]]-1</f>
        <v>22</v>
      </c>
      <c r="N85" s="219">
        <v>2</v>
      </c>
      <c r="O85" s="94" t="s">
        <v>500</v>
      </c>
      <c r="P85" s="219">
        <v>2</v>
      </c>
    </row>
    <row r="86" spans="1:16">
      <c r="A86" s="242" t="str">
        <f>_xlfn.CONCAT(Tableau2[[#This Row],[Compte ILN]],"-",Tableau2[[#This Row],[Compte Shipper]],"-",Tableau2[[#This Row],[POL]],"-",Tableau2[[#This Row],[Compte Consignee]])</f>
        <v>95112-95112-TRIZT-</v>
      </c>
      <c r="B86" s="342" t="str">
        <f>IF(Tableau2[[#This Row],[Name Consignee]]="",_xlfn.CONCAT(Tableau2[[#This Row],[Compte ILN]],"-",Tableau2[[#This Row],[Compte Shipper]],"-",Tableau2[[#This Row],[POL]]),"-")</f>
        <v>95112-95112-TRIZT</v>
      </c>
      <c r="C86" s="166" t="s">
        <v>148</v>
      </c>
      <c r="D86" s="225">
        <f>VLOOKUP(Tableau2[[#This Row],[ Name ILN]],Plant_AILN!F:G,2,FALSE)</f>
        <v>95112</v>
      </c>
      <c r="E86" s="166" t="s">
        <v>148</v>
      </c>
      <c r="F86" s="226">
        <f>IFERROR(VLOOKUP(Tableau2[[#This Row],[Name of shipper]],Plant_AILN!L:M,2,FALSE),0)</f>
        <v>95112</v>
      </c>
      <c r="G86" s="231"/>
      <c r="H86" s="226" t="str">
        <f>IF(Tableau2[[#This Row],[Name Consignee]]=0,"",VLOOKUP(Tableau2[[#This Row],[Name Consignee]],Plant_AILN!A:C,3,FALSE))</f>
        <v/>
      </c>
      <c r="I86" s="52">
        <v>9</v>
      </c>
      <c r="J86" s="219">
        <v>7</v>
      </c>
      <c r="K86" s="94">
        <v>5</v>
      </c>
      <c r="L86" s="227">
        <v>7</v>
      </c>
      <c r="M86" s="228">
        <f>Tableau2[[#This Row],[Delivery time to ILN/Shipper]]+Tableau2[[#This Row],[Day ILN Order]]-1</f>
        <v>15</v>
      </c>
      <c r="N86" s="229">
        <v>1</v>
      </c>
      <c r="O86" s="230" t="s">
        <v>500</v>
      </c>
      <c r="P86" s="58">
        <v>2</v>
      </c>
    </row>
    <row r="87" spans="1:16">
      <c r="A87" s="242" t="str">
        <f>_xlfn.CONCAT(Tableau2[[#This Row],[Compte ILN]],"-",Tableau2[[#This Row],[Compte Shipper]],"-",Tableau2[[#This Row],[POL]],"-",Tableau2[[#This Row],[Compte Consignee]])</f>
        <v>95112-95112-TRGEM-</v>
      </c>
      <c r="B87" s="342" t="str">
        <f>IF(Tableau2[[#This Row],[Name Consignee]]="",_xlfn.CONCAT(Tableau2[[#This Row],[Compte ILN]],"-",Tableau2[[#This Row],[Compte Shipper]],"-",Tableau2[[#This Row],[POL]]),"-")</f>
        <v>95112-95112-TRGEM</v>
      </c>
      <c r="C87" s="166" t="s">
        <v>148</v>
      </c>
      <c r="D87" s="225">
        <f>VLOOKUP(Tableau2[[#This Row],[ Name ILN]],Plant_AILN!F:G,2,FALSE)</f>
        <v>95112</v>
      </c>
      <c r="E87" s="166" t="s">
        <v>148</v>
      </c>
      <c r="F87" s="226">
        <f>IFERROR(VLOOKUP(Tableau2[[#This Row],[Name of shipper]],Plant_AILN!L:M,2,FALSE),0)</f>
        <v>95112</v>
      </c>
      <c r="G87" s="231"/>
      <c r="H87" s="226" t="str">
        <f>IF(Tableau2[[#This Row],[Name Consignee]]=0,"",VLOOKUP(Tableau2[[#This Row],[Name Consignee]],Plant_AILN!A:C,3,FALSE))</f>
        <v/>
      </c>
      <c r="I87" s="52">
        <v>9</v>
      </c>
      <c r="J87" s="219">
        <v>7</v>
      </c>
      <c r="K87" s="94">
        <v>5</v>
      </c>
      <c r="L87" s="227">
        <v>7</v>
      </c>
      <c r="M87" s="228">
        <f>Tableau2[[#This Row],[Delivery time to ILN/Shipper]]+Tableau2[[#This Row],[Day ILN Order]]-1</f>
        <v>15</v>
      </c>
      <c r="N87" s="229">
        <v>1</v>
      </c>
      <c r="O87" s="230" t="s">
        <v>510</v>
      </c>
      <c r="P87" s="58">
        <v>2</v>
      </c>
    </row>
    <row r="88" spans="1:16">
      <c r="A88" s="242" t="str">
        <f>_xlfn.CONCAT(Tableau2[[#This Row],[Compte ILN]],"-",Tableau2[[#This Row],[Compte Shipper]],"-",Tableau2[[#This Row],[POL]],"-",Tableau2[[#This Row],[Compte Consignee]])</f>
        <v>95436-95436-KRPUS-90018600</v>
      </c>
      <c r="B88" s="342" t="str">
        <f>IF(Tableau2[[#This Row],[Name Consignee]]="",_xlfn.CONCAT(Tableau2[[#This Row],[Compte ILN]],"-",Tableau2[[#This Row],[Compte Shipper]],"-",Tableau2[[#This Row],[POL]]),"-")</f>
        <v>-</v>
      </c>
      <c r="C88" s="166" t="s">
        <v>159</v>
      </c>
      <c r="D88" s="225">
        <f>VLOOKUP(Tableau2[[#This Row],[ Name ILN]],Plant_AILN!F:G,2,FALSE)</f>
        <v>95436</v>
      </c>
      <c r="E88" s="166" t="s">
        <v>159</v>
      </c>
      <c r="F88" s="226">
        <f>IFERROR(VLOOKUP(Tableau2[[#This Row],[Name of shipper]],Plant_AILN!L:M,2,FALSE),0)</f>
        <v>95436</v>
      </c>
      <c r="G88" s="231" t="s">
        <v>168</v>
      </c>
      <c r="H88" s="226">
        <f>IF(Tableau2[[#This Row],[Name Consignee]]=0,"",VLOOKUP(Tableau2[[#This Row],[Name Consignee]],Plant_AILN!A:C,3,FALSE))</f>
        <v>90018600</v>
      </c>
      <c r="I88" s="52">
        <v>9</v>
      </c>
      <c r="J88" s="219">
        <v>14</v>
      </c>
      <c r="K88" s="94">
        <v>5</v>
      </c>
      <c r="L88" s="227">
        <v>7</v>
      </c>
      <c r="M88" s="228">
        <f>Tableau2[[#This Row],[Delivery time to ILN/Shipper]]+Tableau2[[#This Row],[Day ILN Order]]-1</f>
        <v>22</v>
      </c>
      <c r="N88" s="229">
        <v>1</v>
      </c>
      <c r="O88" s="230" t="s">
        <v>479</v>
      </c>
      <c r="P88" s="58">
        <v>5</v>
      </c>
    </row>
    <row r="89" spans="1:16">
      <c r="A89" s="242" t="str">
        <f>_xlfn.CONCAT(Tableau2[[#This Row],[Compte ILN]],"-",Tableau2[[#This Row],[Compte Shipper]],"-",Tableau2[[#This Row],[POL]],"-",Tableau2[[#This Row],[Compte Consignee]])</f>
        <v>95436-95436-KRPUS-92000100</v>
      </c>
      <c r="B89" s="342" t="str">
        <f>IF(Tableau2[[#This Row],[Name Consignee]]="",_xlfn.CONCAT(Tableau2[[#This Row],[Compte ILN]],"-",Tableau2[[#This Row],[Compte Shipper]],"-",Tableau2[[#This Row],[POL]]),"-")</f>
        <v>-</v>
      </c>
      <c r="C89" s="166" t="s">
        <v>159</v>
      </c>
      <c r="D89" s="225">
        <f>VLOOKUP(Tableau2[[#This Row],[ Name ILN]],Plant_AILN!F:G,2,FALSE)</f>
        <v>95436</v>
      </c>
      <c r="E89" s="166" t="s">
        <v>159</v>
      </c>
      <c r="F89" s="226">
        <f>IFERROR(VLOOKUP(Tableau2[[#This Row],[Name of shipper]],Plant_AILN!L:M,2,FALSE),0)</f>
        <v>95436</v>
      </c>
      <c r="G89" s="231" t="s">
        <v>184</v>
      </c>
      <c r="H89" s="226">
        <f>IF(Tableau2[[#This Row],[Name Consignee]]=0,"",VLOOKUP(Tableau2[[#This Row],[Name Consignee]],Plant_AILN!A:C,3,FALSE))</f>
        <v>92000100</v>
      </c>
      <c r="I89" s="52">
        <v>9</v>
      </c>
      <c r="J89" s="219">
        <v>14</v>
      </c>
      <c r="K89" s="94">
        <v>5</v>
      </c>
      <c r="L89" s="227">
        <v>7</v>
      </c>
      <c r="M89" s="228">
        <f>Tableau2[[#This Row],[Delivery time to ILN/Shipper]]+Tableau2[[#This Row],[Day ILN Order]]-1</f>
        <v>22</v>
      </c>
      <c r="N89" s="229">
        <v>1</v>
      </c>
      <c r="O89" s="230" t="s">
        <v>479</v>
      </c>
      <c r="P89" s="58">
        <v>3</v>
      </c>
    </row>
    <row r="90" spans="1:16">
      <c r="A90" s="242" t="str">
        <f>_xlfn.CONCAT(Tableau2[[#This Row],[Compte ILN]],"-",Tableau2[[#This Row],[Compte Shipper]],"-",Tableau2[[#This Row],[POL]],"-",Tableau2[[#This Row],[Compte Consignee]])</f>
        <v>2533780546-2533780546-INENR-</v>
      </c>
      <c r="B90" s="342" t="str">
        <f>IF(Tableau2[[#This Row],[Name Consignee]]="",_xlfn.CONCAT(Tableau2[[#This Row],[Compte ILN]],"-",Tableau2[[#This Row],[Compte Shipper]],"-",Tableau2[[#This Row],[POL]]),"-")</f>
        <v>2533780546-2533780546-INENR</v>
      </c>
      <c r="C90" s="166" t="s">
        <v>141</v>
      </c>
      <c r="D90" s="225">
        <f>VLOOKUP(Tableau2[[#This Row],[ Name ILN]],Plant_AILN!F:G,2,FALSE)</f>
        <v>2533780546</v>
      </c>
      <c r="E90" s="166" t="s">
        <v>141</v>
      </c>
      <c r="F90" s="226">
        <f>IFERROR(VLOOKUP(Tableau2[[#This Row],[Name of shipper]],Plant_AILN!L:M,2,FALSE),0)</f>
        <v>2533780546</v>
      </c>
      <c r="G90" s="231"/>
      <c r="H90" s="226" t="str">
        <f>IF(Tableau2[[#This Row],[Name Consignee]]=0,"",VLOOKUP(Tableau2[[#This Row],[Name Consignee]],Plant_AILN!A:C,3,FALSE))</f>
        <v/>
      </c>
      <c r="I90" s="52">
        <v>9</v>
      </c>
      <c r="J90" s="219">
        <v>14</v>
      </c>
      <c r="K90" s="94">
        <v>5</v>
      </c>
      <c r="L90" s="227">
        <v>7</v>
      </c>
      <c r="M90" s="228">
        <f>Tableau2[[#This Row],[Delivery time to ILN/Shipper]]+Tableau2[[#This Row],[Day ILN Order]]-1</f>
        <v>22</v>
      </c>
      <c r="N90" s="229">
        <v>2</v>
      </c>
      <c r="O90" s="230" t="s">
        <v>470</v>
      </c>
      <c r="P90" s="58">
        <v>5</v>
      </c>
    </row>
    <row r="91" spans="1:16">
      <c r="A91" s="242" t="str">
        <f>_xlfn.CONCAT(Tableau2[[#This Row],[Compte ILN]],"-",Tableau2[[#This Row],[Compte Shipper]],"-",Tableau2[[#This Row],[POL]],"-",Tableau2[[#This Row],[Compte Consignee]])</f>
        <v>2533780546-2533780546-INKAT-</v>
      </c>
      <c r="B91" s="342" t="str">
        <f>IF(Tableau2[[#This Row],[Name Consignee]]="",_xlfn.CONCAT(Tableau2[[#This Row],[Compte ILN]],"-",Tableau2[[#This Row],[Compte Shipper]],"-",Tableau2[[#This Row],[POL]]),"-")</f>
        <v>2533780546-2533780546-INKAT</v>
      </c>
      <c r="C91" s="166" t="s">
        <v>141</v>
      </c>
      <c r="D91" s="225">
        <f>VLOOKUP(Tableau2[[#This Row],[ Name ILN]],Plant_AILN!F:G,2,FALSE)</f>
        <v>2533780546</v>
      </c>
      <c r="E91" s="166" t="s">
        <v>141</v>
      </c>
      <c r="F91" s="226">
        <f>IFERROR(VLOOKUP(Tableau2[[#This Row],[Name of shipper]],Plant_AILN!L:M,2,FALSE),0)</f>
        <v>2533780546</v>
      </c>
      <c r="G91" s="231"/>
      <c r="H91" s="226" t="str">
        <f>IF(Tableau2[[#This Row],[Name Consignee]]=0,"",VLOOKUP(Tableau2[[#This Row],[Name Consignee]],Plant_AILN!A:C,3,FALSE))</f>
        <v/>
      </c>
      <c r="I91" s="52">
        <v>9</v>
      </c>
      <c r="J91" s="219">
        <v>14</v>
      </c>
      <c r="K91" s="94">
        <v>5</v>
      </c>
      <c r="L91" s="227">
        <v>7</v>
      </c>
      <c r="M91" s="228">
        <f>Tableau2[[#This Row],[Delivery time to ILN/Shipper]]+Tableau2[[#This Row],[Day ILN Order]]-1</f>
        <v>22</v>
      </c>
      <c r="N91" s="229">
        <v>2</v>
      </c>
      <c r="O91" s="230" t="s">
        <v>556</v>
      </c>
      <c r="P91" s="58">
        <v>4</v>
      </c>
    </row>
    <row r="92" spans="1:16">
      <c r="A92" s="242" t="str">
        <f>_xlfn.CONCAT(Tableau2[[#This Row],[Compte ILN]],"-",Tableau2[[#This Row],[Compte Shipper]],"-",Tableau2[[#This Row],[POL]],"-",Tableau2[[#This Row],[Compte Consignee]])</f>
        <v>2533780546-2533780546-INMAA-</v>
      </c>
      <c r="B92" s="342" t="str">
        <f>IF(Tableau2[[#This Row],[Name Consignee]]="",_xlfn.CONCAT(Tableau2[[#This Row],[Compte ILN]],"-",Tableau2[[#This Row],[Compte Shipper]],"-",Tableau2[[#This Row],[POL]]),"-")</f>
        <v>2533780546-2533780546-INMAA</v>
      </c>
      <c r="C92" s="166" t="s">
        <v>141</v>
      </c>
      <c r="D92" s="225">
        <f>VLOOKUP(Tableau2[[#This Row],[ Name ILN]],Plant_AILN!F:G,2,FALSE)</f>
        <v>2533780546</v>
      </c>
      <c r="E92" s="166" t="s">
        <v>141</v>
      </c>
      <c r="F92" s="226">
        <f>IFERROR(VLOOKUP(Tableau2[[#This Row],[Name of shipper]],Plant_AILN!L:M,2,FALSE),0)</f>
        <v>2533780546</v>
      </c>
      <c r="G92" s="231"/>
      <c r="H92" s="226" t="str">
        <f>IF(Tableau2[[#This Row],[Name Consignee]]=0,"",VLOOKUP(Tableau2[[#This Row],[Name Consignee]],Plant_AILN!A:C,3,FALSE))</f>
        <v/>
      </c>
      <c r="I92" s="52">
        <v>9</v>
      </c>
      <c r="J92" s="219">
        <v>14</v>
      </c>
      <c r="K92" s="94">
        <v>5</v>
      </c>
      <c r="L92" s="227">
        <v>7</v>
      </c>
      <c r="M92" s="228">
        <f>Tableau2[[#This Row],[Delivery time to ILN/Shipper]]+Tableau2[[#This Row],[Day ILN Order]]-1</f>
        <v>22</v>
      </c>
      <c r="N92" s="229">
        <v>2</v>
      </c>
      <c r="O92" s="230" t="s">
        <v>518</v>
      </c>
      <c r="P92" s="58">
        <v>3</v>
      </c>
    </row>
    <row r="93" spans="1:16">
      <c r="A93" s="242" t="str">
        <f>_xlfn.CONCAT(Tableau2[[#This Row],[Compte ILN]],"-",Tableau2[[#This Row],[Compte Shipper]],"-",Tableau2[[#This Row],[POL]],"-",Tableau2[[#This Row],[Compte Consignee]])</f>
        <v>26376-26376-ARROS-</v>
      </c>
      <c r="B93" s="342" t="str">
        <f>IF(Tableau2[[#This Row],[Name Consignee]]="",_xlfn.CONCAT(Tableau2[[#This Row],[Compte ILN]],"-",Tableau2[[#This Row],[Compte Shipper]],"-",Tableau2[[#This Row],[POL]]),"-")</f>
        <v>26376-26376-ARROS</v>
      </c>
      <c r="C93" s="166" t="s">
        <v>204</v>
      </c>
      <c r="D93" s="225">
        <f>VLOOKUP(Tableau2[[#This Row],[ Name ILN]],Plant_AILN!F:G,2,FALSE)</f>
        <v>26376</v>
      </c>
      <c r="E93" s="166" t="s">
        <v>204</v>
      </c>
      <c r="F93" s="226">
        <f>IFERROR(VLOOKUP(Tableau2[[#This Row],[Name of shipper]],Plant_AILN!L:M,2,FALSE),0)</f>
        <v>26376</v>
      </c>
      <c r="G93" s="231"/>
      <c r="H93" s="226" t="str">
        <f>IF(Tableau2[[#This Row],[Name Consignee]]=0,"",VLOOKUP(Tableau2[[#This Row],[Name Consignee]],Plant_AILN!A:C,3,FALSE))</f>
        <v/>
      </c>
      <c r="I93" s="52">
        <v>9</v>
      </c>
      <c r="J93" s="219">
        <v>7</v>
      </c>
      <c r="K93" s="94">
        <v>5</v>
      </c>
      <c r="L93" s="227">
        <v>7</v>
      </c>
      <c r="M93" s="228">
        <f>Tableau2[[#This Row],[Delivery time to ILN/Shipper]]+Tableau2[[#This Row],[Day ILN Order]]-1</f>
        <v>15</v>
      </c>
      <c r="N93" s="229">
        <v>7</v>
      </c>
      <c r="O93" s="230" t="s">
        <v>557</v>
      </c>
      <c r="P93" s="58">
        <v>2</v>
      </c>
    </row>
    <row r="94" spans="1:16">
      <c r="A94" s="242" t="str">
        <f>_xlfn.CONCAT(Tableau2[[#This Row],[Compte ILN]],"-",Tableau2[[#This Row],[Compte Shipper]],"-",Tableau2[[#This Row],[POL]],"-",Tableau2[[#This Row],[Compte Consignee]])</f>
        <v>26376-26376-ARBUE-</v>
      </c>
      <c r="B94" s="342" t="str">
        <f>IF(Tableau2[[#This Row],[Name Consignee]]="",_xlfn.CONCAT(Tableau2[[#This Row],[Compte ILN]],"-",Tableau2[[#This Row],[Compte Shipper]],"-",Tableau2[[#This Row],[POL]]),"-")</f>
        <v>26376-26376-ARBUE</v>
      </c>
      <c r="C94" s="166" t="s">
        <v>204</v>
      </c>
      <c r="D94" s="225">
        <f>VLOOKUP(Tableau2[[#This Row],[ Name ILN]],Plant_AILN!F:G,2,FALSE)</f>
        <v>26376</v>
      </c>
      <c r="E94" s="166" t="s">
        <v>204</v>
      </c>
      <c r="F94" s="226">
        <f>IFERROR(VLOOKUP(Tableau2[[#This Row],[Name of shipper]],Plant_AILN!L:M,2,FALSE),0)</f>
        <v>26376</v>
      </c>
      <c r="G94" s="231"/>
      <c r="H94" s="226" t="str">
        <f>IF(Tableau2[[#This Row],[Name Consignee]]=0,"",VLOOKUP(Tableau2[[#This Row],[Name Consignee]],Plant_AILN!A:C,3,FALSE))</f>
        <v/>
      </c>
      <c r="I94" s="52">
        <v>9</v>
      </c>
      <c r="J94" s="219">
        <v>7</v>
      </c>
      <c r="K94" s="94">
        <v>5</v>
      </c>
      <c r="L94" s="227">
        <v>7</v>
      </c>
      <c r="M94" s="228">
        <f>Tableau2[[#This Row],[Delivery time to ILN/Shipper]]+Tableau2[[#This Row],[Day ILN Order]]-1</f>
        <v>15</v>
      </c>
      <c r="N94" s="229">
        <v>10</v>
      </c>
      <c r="O94" s="230" t="s">
        <v>508</v>
      </c>
      <c r="P94" s="58">
        <v>3</v>
      </c>
    </row>
    <row r="95" spans="1:16">
      <c r="A95" s="242" t="str">
        <f>_xlfn.CONCAT(Tableau2[[#This Row],[Compte ILN]],"-",Tableau2[[#This Row],[Compte Shipper]],"-",Tableau2[[#This Row],[POL]],"-",Tableau2[[#This Row],[Compte Consignee]])</f>
        <v>95207-95207-BRPNG-</v>
      </c>
      <c r="B95" s="342" t="str">
        <f>IF(Tableau2[[#This Row],[Name Consignee]]="",_xlfn.CONCAT(Tableau2[[#This Row],[Compte ILN]],"-",Tableau2[[#This Row],[Compte Shipper]],"-",Tableau2[[#This Row],[POL]]),"-")</f>
        <v>95207-95207-BRPNG</v>
      </c>
      <c r="C95" s="166" t="s">
        <v>157</v>
      </c>
      <c r="D95" s="225">
        <f>VLOOKUP(Tableau2[[#This Row],[ Name ILN]],Plant_AILN!F:G,2,FALSE)</f>
        <v>95207</v>
      </c>
      <c r="E95" s="166" t="s">
        <v>157</v>
      </c>
      <c r="F95" s="226">
        <f>IFERROR(VLOOKUP(Tableau2[[#This Row],[Name of shipper]],Plant_AILN!L:M,2,FALSE),0)</f>
        <v>95207</v>
      </c>
      <c r="G95" s="231"/>
      <c r="H95" s="226" t="str">
        <f>IF(Tableau2[[#This Row],[Name Consignee]]=0,"",VLOOKUP(Tableau2[[#This Row],[Name Consignee]],Plant_AILN!A:C,3,FALSE))</f>
        <v/>
      </c>
      <c r="I95" s="52">
        <v>9</v>
      </c>
      <c r="J95" s="219">
        <v>7</v>
      </c>
      <c r="K95" s="94">
        <v>5</v>
      </c>
      <c r="L95" s="227">
        <v>7</v>
      </c>
      <c r="M95" s="228">
        <f>Tableau2[[#This Row],[Delivery time to ILN/Shipper]]+Tableau2[[#This Row],[Day ILN Order]]-1</f>
        <v>15</v>
      </c>
      <c r="N95" s="229">
        <v>4</v>
      </c>
      <c r="O95" s="230" t="s">
        <v>489</v>
      </c>
      <c r="P95" s="58">
        <v>5</v>
      </c>
    </row>
    <row r="96" spans="1:16">
      <c r="A96" s="242" t="str">
        <f>_xlfn.CONCAT(Tableau2[[#This Row],[Compte ILN]],"-",Tableau2[[#This Row],[Compte Shipper]],"-",Tableau2[[#This Row],[POL]],"-",Tableau2[[#This Row],[Compte Consignee]])</f>
        <v>95207-0-BRPNG-</v>
      </c>
      <c r="B96" s="342" t="str">
        <f>IF(Tableau2[[#This Row],[Name Consignee]]="",_xlfn.CONCAT(Tableau2[[#This Row],[Compte ILN]],"-",Tableau2[[#This Row],[Compte Shipper]],"-",Tableau2[[#This Row],[POL]]),"-")</f>
        <v>95207-0-BRPNG</v>
      </c>
      <c r="C96" s="166" t="s">
        <v>157</v>
      </c>
      <c r="D96" s="225">
        <f>VLOOKUP(Tableau2[[#This Row],[ Name ILN]],Plant_AILN!F:G,2,FALSE)</f>
        <v>95207</v>
      </c>
      <c r="E96" s="166" t="s">
        <v>558</v>
      </c>
      <c r="F96" s="226">
        <f>IFERROR(VLOOKUP(Tableau2[[#This Row],[Name of shipper]],Plant_AILN!L:M,2,FALSE),0)</f>
        <v>0</v>
      </c>
      <c r="G96" s="231"/>
      <c r="H96" s="226" t="str">
        <f>IF(Tableau2[[#This Row],[Name Consignee]]=0,"",VLOOKUP(Tableau2[[#This Row],[Name Consignee]],Plant_AILN!A:C,3,FALSE))</f>
        <v/>
      </c>
      <c r="I96" s="52">
        <v>9</v>
      </c>
      <c r="J96" s="219">
        <v>7</v>
      </c>
      <c r="K96" s="94">
        <v>5</v>
      </c>
      <c r="L96" s="227">
        <v>7</v>
      </c>
      <c r="M96" s="228">
        <f>Tableau2[[#This Row],[Delivery time to ILN/Shipper]]+Tableau2[[#This Row],[Day ILN Order]]-1</f>
        <v>15</v>
      </c>
      <c r="N96" s="229">
        <v>4</v>
      </c>
      <c r="O96" s="230" t="s">
        <v>489</v>
      </c>
      <c r="P96" s="58">
        <v>5</v>
      </c>
    </row>
    <row r="97" spans="1:17">
      <c r="A97" s="242" t="str">
        <f>_xlfn.CONCAT(Tableau2[[#This Row],[Compte ILN]],"-",Tableau2[[#This Row],[Compte Shipper]],"-",Tableau2[[#This Row],[POL]],"-",Tableau2[[#This Row],[Compte Consignee]])</f>
        <v>92000100-92000100-FRLEH-</v>
      </c>
      <c r="B97" s="342" t="str">
        <f>IF(Tableau2[[#This Row],[Name Consignee]]="",_xlfn.CONCAT(Tableau2[[#This Row],[Compte ILN]],"-",Tableau2[[#This Row],[Compte Shipper]],"-",Tableau2[[#This Row],[POL]]),"-")</f>
        <v>92000100-92000100-FRLEH</v>
      </c>
      <c r="C97" s="166" t="s">
        <v>1</v>
      </c>
      <c r="D97" s="225">
        <f>VLOOKUP(Tableau2[[#This Row],[ Name ILN]],Plant_AILN!F:G,2,FALSE)</f>
        <v>92000100</v>
      </c>
      <c r="E97" s="166" t="s">
        <v>1</v>
      </c>
      <c r="F97" s="226">
        <f>IFERROR(VLOOKUP(Tableau2[[#This Row],[Name of shipper]],Plant_AILN!L:M,2,FALSE),0)</f>
        <v>92000100</v>
      </c>
      <c r="G97" s="231"/>
      <c r="H97" s="226" t="str">
        <f>IF(Tableau2[[#This Row],[Name Consignee]]=0,"",VLOOKUP(Tableau2[[#This Row],[Name Consignee]],Plant_AILN!A:C,3,FALSE))</f>
        <v/>
      </c>
      <c r="I97" s="52">
        <v>9</v>
      </c>
      <c r="J97" s="219">
        <v>7</v>
      </c>
      <c r="K97" s="94">
        <v>5</v>
      </c>
      <c r="L97" s="227">
        <v>7</v>
      </c>
      <c r="M97" s="228">
        <f>Tableau2[[#This Row],[Delivery time to ILN/Shipper]]+Tableau2[[#This Row],[Day ILN Order]]-1</f>
        <v>15</v>
      </c>
      <c r="N97" s="229">
        <v>2</v>
      </c>
      <c r="O97" s="230" t="s">
        <v>505</v>
      </c>
      <c r="P97" s="58">
        <v>3</v>
      </c>
    </row>
    <row r="98" spans="1:17">
      <c r="A98" s="242" t="str">
        <f>_xlfn.CONCAT(Tableau2[[#This Row],[Compte ILN]],"-",Tableau2[[#This Row],[Compte Shipper]],"-",Tableau2[[#This Row],[POL]],"-",Tableau2[[#This Row],[Compte Consignee]])</f>
        <v>92000100-92000100-BEANR-</v>
      </c>
      <c r="B98" s="342" t="str">
        <f>IF(Tableau2[[#This Row],[Name Consignee]]="",_xlfn.CONCAT(Tableau2[[#This Row],[Compte ILN]],"-",Tableau2[[#This Row],[Compte Shipper]],"-",Tableau2[[#This Row],[POL]]),"-")</f>
        <v>92000100-92000100-BEANR</v>
      </c>
      <c r="C98" s="166" t="s">
        <v>1</v>
      </c>
      <c r="D98" s="225">
        <f>VLOOKUP(Tableau2[[#This Row],[ Name ILN]],Plant_AILN!F:G,2,FALSE)</f>
        <v>92000100</v>
      </c>
      <c r="E98" s="166" t="s">
        <v>1</v>
      </c>
      <c r="F98" s="226">
        <f>IFERROR(VLOOKUP(Tableau2[[#This Row],[Name of shipper]],Plant_AILN!L:M,2,FALSE),0)</f>
        <v>92000100</v>
      </c>
      <c r="G98" s="231"/>
      <c r="H98" s="226" t="str">
        <f>IF(Tableau2[[#This Row],[Name Consignee]]=0,"",VLOOKUP(Tableau2[[#This Row],[Name Consignee]],Plant_AILN!A:C,3,FALSE))</f>
        <v/>
      </c>
      <c r="I98" s="52">
        <v>9</v>
      </c>
      <c r="J98" s="219">
        <v>7</v>
      </c>
      <c r="K98" s="94">
        <v>5</v>
      </c>
      <c r="L98" s="227">
        <v>7</v>
      </c>
      <c r="M98" s="228">
        <f>Tableau2[[#This Row],[Delivery time to ILN/Shipper]]+Tableau2[[#This Row],[Day ILN Order]]-1</f>
        <v>15</v>
      </c>
      <c r="N98" s="229">
        <v>3</v>
      </c>
      <c r="O98" s="230" t="s">
        <v>559</v>
      </c>
      <c r="P98" s="58">
        <v>4</v>
      </c>
    </row>
    <row r="99" spans="1:17">
      <c r="A99" s="242" t="str">
        <f>_xlfn.CONCAT(Tableau2[[#This Row],[Compte ILN]],"-",Tableau2[[#This Row],[Compte Shipper]],"-",Tableau2[[#This Row],[POL]],"-",Tableau2[[#This Row],[Compte Consignee]])</f>
        <v>92000100-90016100-BEANR-</v>
      </c>
      <c r="B99" s="342" t="str">
        <f>IF(Tableau2[[#This Row],[Name Consignee]]="",_xlfn.CONCAT(Tableau2[[#This Row],[Compte ILN]],"-",Tableau2[[#This Row],[Compte Shipper]],"-",Tableau2[[#This Row],[POL]]),"-")</f>
        <v>92000100-90016100-BEANR</v>
      </c>
      <c r="C99" s="166" t="s">
        <v>1</v>
      </c>
      <c r="D99" s="225">
        <f>VLOOKUP(Tableau2[[#This Row],[ Name ILN]],Plant_AILN!F:G,2,FALSE)</f>
        <v>92000100</v>
      </c>
      <c r="E99" s="166" t="s">
        <v>170</v>
      </c>
      <c r="F99" s="226">
        <f>IFERROR(VLOOKUP(Tableau2[[#This Row],[Name of shipper]],Plant_AILN!L:M,2,FALSE),0)</f>
        <v>90016100</v>
      </c>
      <c r="G99" s="231"/>
      <c r="H99" s="226" t="str">
        <f>IF(Tableau2[[#This Row],[Name Consignee]]=0,"",VLOOKUP(Tableau2[[#This Row],[Name Consignee]],Plant_AILN!A:C,3,FALSE))</f>
        <v/>
      </c>
      <c r="I99" s="52">
        <v>9</v>
      </c>
      <c r="J99" s="219">
        <v>14</v>
      </c>
      <c r="K99" s="94">
        <v>5</v>
      </c>
      <c r="L99" s="227">
        <v>7</v>
      </c>
      <c r="M99" s="228">
        <f>Tableau2[[#This Row],[Delivery time to ILN/Shipper]]+Tableau2[[#This Row],[Day ILN Order]]-1</f>
        <v>22</v>
      </c>
      <c r="N99" s="229">
        <v>3</v>
      </c>
      <c r="O99" s="230" t="s">
        <v>559</v>
      </c>
      <c r="P99" s="58">
        <v>4</v>
      </c>
    </row>
    <row r="100" spans="1:17">
      <c r="A100" s="242" t="str">
        <f>_xlfn.CONCAT(Tableau2[[#This Row],[Compte ILN]],"-",Tableau2[[#This Row],[Compte Shipper]],"-",Tableau2[[#This Row],[POL]],"-",Tableau2[[#This Row],[Compte Consignee]])</f>
        <v>92000100-90018400-FRDKK-</v>
      </c>
      <c r="B100" s="342" t="str">
        <f>IF(Tableau2[[#This Row],[Name Consignee]]="",_xlfn.CONCAT(Tableau2[[#This Row],[Compte ILN]],"-",Tableau2[[#This Row],[Compte Shipper]],"-",Tableau2[[#This Row],[POL]]),"-")</f>
        <v>92000100-90018400-FRDKK</v>
      </c>
      <c r="C100" s="166" t="s">
        <v>1</v>
      </c>
      <c r="D100" s="225">
        <f>VLOOKUP(Tableau2[[#This Row],[ Name ILN]],Plant_AILN!F:G,2,FALSE)</f>
        <v>92000100</v>
      </c>
      <c r="E100" s="166" t="s">
        <v>397</v>
      </c>
      <c r="F100" s="226">
        <f>IFERROR(VLOOKUP(Tableau2[[#This Row],[Name of shipper]],Plant_AILN!L:M,2,FALSE),0)</f>
        <v>90018400</v>
      </c>
      <c r="G100" s="231"/>
      <c r="H100" s="226" t="str">
        <f>IF(Tableau2[[#This Row],[Name Consignee]]=0,"",VLOOKUP(Tableau2[[#This Row],[Name Consignee]],Plant_AILN!A:C,3,FALSE))</f>
        <v/>
      </c>
      <c r="I100" s="52">
        <v>9</v>
      </c>
      <c r="J100" s="219">
        <v>7</v>
      </c>
      <c r="K100" s="94">
        <v>5</v>
      </c>
      <c r="L100" s="227">
        <v>7</v>
      </c>
      <c r="M100" s="228">
        <f>Tableau2[[#This Row],[Delivery time to ILN/Shipper]]+Tableau2[[#This Row],[Day ILN Order]]-1</f>
        <v>15</v>
      </c>
      <c r="N100" s="229">
        <v>0</v>
      </c>
      <c r="O100" s="230" t="s">
        <v>517</v>
      </c>
      <c r="P100" s="58">
        <v>4</v>
      </c>
    </row>
    <row r="101" spans="1:17">
      <c r="A101" s="242" t="str">
        <f>_xlfn.CONCAT(Tableau2[[#This Row],[Compte ILN]],"-",Tableau2[[#This Row],[Compte Shipper]],"-",Tableau2[[#This Row],[POL]],"-",Tableau2[[#This Row],[Compte Consignee]])</f>
        <v>92000100-25566103-ITGIT-</v>
      </c>
      <c r="B101" s="342" t="str">
        <f>IF(Tableau2[[#This Row],[Name Consignee]]="",_xlfn.CONCAT(Tableau2[[#This Row],[Compte ILN]],"-",Tableau2[[#This Row],[Compte Shipper]],"-",Tableau2[[#This Row],[POL]]),"-")</f>
        <v>92000100-25566103-ITGIT</v>
      </c>
      <c r="C101" s="166" t="s">
        <v>1</v>
      </c>
      <c r="D101" s="225">
        <f>VLOOKUP(Tableau2[[#This Row],[ Name ILN]],Plant_AILN!F:G,2,FALSE)</f>
        <v>92000100</v>
      </c>
      <c r="E101" s="166" t="s">
        <v>20</v>
      </c>
      <c r="F101" s="226">
        <f>IFERROR(VLOOKUP(Tableau2[[#This Row],[Name of shipper]],Plant_AILN!L:M,2,FALSE),0)</f>
        <v>25566103</v>
      </c>
      <c r="G101" s="231"/>
      <c r="H101" s="226" t="str">
        <f>IF(Tableau2[[#This Row],[Name Consignee]]=0,"",VLOOKUP(Tableau2[[#This Row],[Name Consignee]],Plant_AILN!A:C,3,FALSE))</f>
        <v/>
      </c>
      <c r="I101" s="52">
        <v>9</v>
      </c>
      <c r="J101" s="219">
        <v>7</v>
      </c>
      <c r="K101" s="94">
        <v>5</v>
      </c>
      <c r="L101" s="227">
        <v>7</v>
      </c>
      <c r="M101" s="228">
        <f>Tableau2[[#This Row],[Delivery time to ILN/Shipper]]+Tableau2[[#This Row],[Day ILN Order]]-1</f>
        <v>15</v>
      </c>
      <c r="N101" s="229">
        <v>2</v>
      </c>
      <c r="O101" s="230" t="s">
        <v>560</v>
      </c>
      <c r="P101" s="58">
        <v>4</v>
      </c>
    </row>
    <row r="102" spans="1:17">
      <c r="A102" s="242" t="str">
        <f>_xlfn.CONCAT(Tableau2[[#This Row],[Compte ILN]],"-",Tableau2[[#This Row],[Compte Shipper]],"-",Tableau2[[#This Row],[POL]],"-",Tableau2[[#This Row],[Compte Consignee]])</f>
        <v>92000100-900106-FRLEH-</v>
      </c>
      <c r="B102" s="342" t="str">
        <f>IF(Tableau2[[#This Row],[Name Consignee]]="",_xlfn.CONCAT(Tableau2[[#This Row],[Compte ILN]],"-",Tableau2[[#This Row],[Compte Shipper]],"-",Tableau2[[#This Row],[POL]]),"-")</f>
        <v>92000100-900106-FRLEH</v>
      </c>
      <c r="C102" s="166" t="s">
        <v>1</v>
      </c>
      <c r="D102" s="225">
        <f>VLOOKUP(Tableau2[[#This Row],[ Name ILN]],Plant_AILN!F:G,2,FALSE)</f>
        <v>92000100</v>
      </c>
      <c r="E102" s="166" t="s">
        <v>394</v>
      </c>
      <c r="F102" s="226">
        <f>IFERROR(VLOOKUP(Tableau2[[#This Row],[Name of shipper]],Plant_AILN!L:M,2,FALSE),0)</f>
        <v>900106</v>
      </c>
      <c r="G102" s="231"/>
      <c r="H102" s="226" t="str">
        <f>IF(Tableau2[[#This Row],[Name Consignee]]=0,"",VLOOKUP(Tableau2[[#This Row],[Name Consignee]],Plant_AILN!A:C,3,FALSE))</f>
        <v/>
      </c>
      <c r="I102" s="52">
        <v>9</v>
      </c>
      <c r="J102" s="219">
        <v>7</v>
      </c>
      <c r="K102" s="94">
        <v>5</v>
      </c>
      <c r="L102" s="227">
        <v>7</v>
      </c>
      <c r="M102" s="228">
        <f>Tableau2[[#This Row],[Delivery time to ILN/Shipper]]+Tableau2[[#This Row],[Day ILN Order]]-1</f>
        <v>15</v>
      </c>
      <c r="N102" s="229">
        <v>2</v>
      </c>
      <c r="O102" s="230" t="s">
        <v>505</v>
      </c>
      <c r="P102" s="58">
        <v>4</v>
      </c>
    </row>
    <row r="103" spans="1:17">
      <c r="A103" s="242" t="str">
        <f>_xlfn.CONCAT(Tableau2[[#This Row],[Compte ILN]],"-",Tableau2[[#This Row],[Compte Shipper]],"-",Tableau2[[#This Row],[POL]],"-",Tableau2[[#This Row],[Compte Consignee]])</f>
        <v>92000100-90016100-FRLEH-</v>
      </c>
      <c r="B103" s="342" t="str">
        <f>IF(Tableau2[[#This Row],[Name Consignee]]="",_xlfn.CONCAT(Tableau2[[#This Row],[Compte ILN]],"-",Tableau2[[#This Row],[Compte Shipper]],"-",Tableau2[[#This Row],[POL]]),"-")</f>
        <v>92000100-90016100-FRLEH</v>
      </c>
      <c r="C103" s="166" t="s">
        <v>1</v>
      </c>
      <c r="D103" s="225">
        <f>VLOOKUP(Tableau2[[#This Row],[ Name ILN]],Plant_AILN!F:G,2,FALSE)</f>
        <v>92000100</v>
      </c>
      <c r="E103" s="166" t="s">
        <v>170</v>
      </c>
      <c r="F103" s="226">
        <f>IFERROR(VLOOKUP(Tableau2[[#This Row],[Name of shipper]],Plant_AILN!L:M,2,FALSE),0)</f>
        <v>90016100</v>
      </c>
      <c r="G103" s="231"/>
      <c r="H103" s="226" t="str">
        <f>IF(Tableau2[[#This Row],[Name Consignee]]=0,"",VLOOKUP(Tableau2[[#This Row],[Name Consignee]],Plant_AILN!A:C,3,FALSE))</f>
        <v/>
      </c>
      <c r="I103" s="52">
        <v>9</v>
      </c>
      <c r="J103" s="219">
        <v>14</v>
      </c>
      <c r="K103" s="94">
        <v>5</v>
      </c>
      <c r="L103" s="227">
        <v>7</v>
      </c>
      <c r="M103" s="228">
        <f>Tableau2[[#This Row],[Delivery time to ILN/Shipper]]+Tableau2[[#This Row],[Day ILN Order]]-1</f>
        <v>22</v>
      </c>
      <c r="N103" s="229">
        <v>2</v>
      </c>
      <c r="O103" s="230" t="s">
        <v>505</v>
      </c>
      <c r="P103" s="58">
        <v>5</v>
      </c>
    </row>
    <row r="104" spans="1:17">
      <c r="A104" s="242" t="str">
        <f>_xlfn.CONCAT(Tableau2[[#This Row],[Compte ILN]],"-",Tableau2[[#This Row],[Compte Shipper]],"-",Tableau2[[#This Row],[POL]],"-",Tableau2[[#This Row],[Compte Consignee]])</f>
        <v>92000100-90018400-FRLEH-</v>
      </c>
      <c r="B104" s="342" t="str">
        <f>IF(Tableau2[[#This Row],[Name Consignee]]="",_xlfn.CONCAT(Tableau2[[#This Row],[Compte ILN]],"-",Tableau2[[#This Row],[Compte Shipper]],"-",Tableau2[[#This Row],[POL]]),"-")</f>
        <v>92000100-90018400-FRLEH</v>
      </c>
      <c r="C104" s="166" t="s">
        <v>1</v>
      </c>
      <c r="D104" s="225">
        <f>VLOOKUP(Tableau2[[#This Row],[ Name ILN]],Plant_AILN!F:G,2,FALSE)</f>
        <v>92000100</v>
      </c>
      <c r="E104" s="166" t="s">
        <v>397</v>
      </c>
      <c r="F104" s="226">
        <f>IFERROR(VLOOKUP(Tableau2[[#This Row],[Name of shipper]],Plant_AILN!L:M,2,FALSE),0)</f>
        <v>90018400</v>
      </c>
      <c r="G104" s="231"/>
      <c r="H104" s="226" t="str">
        <f>IF(Tableau2[[#This Row],[Name Consignee]]=0,"",VLOOKUP(Tableau2[[#This Row],[Name Consignee]],Plant_AILN!A:C,3,FALSE))</f>
        <v/>
      </c>
      <c r="I104" s="52">
        <v>9</v>
      </c>
      <c r="J104" s="219">
        <v>7</v>
      </c>
      <c r="K104" s="94">
        <v>5</v>
      </c>
      <c r="L104" s="227">
        <v>7</v>
      </c>
      <c r="M104" s="228">
        <f>Tableau2[[#This Row],[Delivery time to ILN/Shipper]]+Tableau2[[#This Row],[Day ILN Order]]-1</f>
        <v>15</v>
      </c>
      <c r="N104" s="229">
        <v>0</v>
      </c>
      <c r="O104" s="230" t="s">
        <v>505</v>
      </c>
      <c r="P104" s="58">
        <v>4</v>
      </c>
    </row>
    <row r="105" spans="1:17">
      <c r="A105" s="242" t="str">
        <f>_xlfn.CONCAT(Tableau2[[#This Row],[Compte ILN]],"-",Tableau2[[#This Row],[Compte Shipper]],"-",Tableau2[[#This Row],[POL]],"-",Tableau2[[#This Row],[Compte Consignee]])</f>
        <v>28390-28390-ROCND-</v>
      </c>
      <c r="B105" s="342" t="str">
        <f>IF(Tableau2[[#This Row],[Name Consignee]]="",_xlfn.CONCAT(Tableau2[[#This Row],[Compte ILN]],"-",Tableau2[[#This Row],[Compte Shipper]],"-",Tableau2[[#This Row],[POL]]),"-")</f>
        <v>28390-28390-ROCND</v>
      </c>
      <c r="C105" s="166" t="s">
        <v>165</v>
      </c>
      <c r="D105" s="225">
        <f>VLOOKUP(Tableau2[[#This Row],[ Name ILN]],Plant_AILN!F:G,2,FALSE)</f>
        <v>28390</v>
      </c>
      <c r="E105" s="166" t="s">
        <v>165</v>
      </c>
      <c r="F105" s="226">
        <f>IFERROR(VLOOKUP(Tableau2[[#This Row],[Name of shipper]],Plant_AILN!L:M,2,FALSE),0)</f>
        <v>28390</v>
      </c>
      <c r="G105" s="231"/>
      <c r="H105" s="226" t="str">
        <f>IF(Tableau2[[#This Row],[Name Consignee]]=0,"",VLOOKUP(Tableau2[[#This Row],[Name Consignee]],Plant_AILN!A:C,3,FALSE))</f>
        <v/>
      </c>
      <c r="I105" s="52">
        <v>9</v>
      </c>
      <c r="J105" s="219">
        <v>7</v>
      </c>
      <c r="K105" s="94">
        <v>5</v>
      </c>
      <c r="L105" s="227">
        <v>7</v>
      </c>
      <c r="M105" s="228">
        <f>Tableau2[[#This Row],[Delivery time to ILN/Shipper]]+Tableau2[[#This Row],[Day ILN Order]]-1</f>
        <v>15</v>
      </c>
      <c r="N105" s="229">
        <v>4</v>
      </c>
      <c r="O105" s="230" t="s">
        <v>484</v>
      </c>
      <c r="P105" s="58">
        <v>5</v>
      </c>
    </row>
    <row r="106" spans="1:17">
      <c r="A106" s="242" t="str">
        <f>_xlfn.CONCAT(Tableau2[[#This Row],[Compte ILN]],"-",Tableau2[[#This Row],[Compte Shipper]],"-",Tableau2[[#This Row],[POL]],"-",Tableau2[[#This Row],[Compte Consignee]])</f>
        <v>2533780535-2533780535-INNSA-</v>
      </c>
      <c r="B106" s="342" t="str">
        <f>IF(Tableau2[[#This Row],[Name Consignee]]="",_xlfn.CONCAT(Tableau2[[#This Row],[Compte ILN]],"-",Tableau2[[#This Row],[Compte Shipper]],"-",Tableau2[[#This Row],[POL]]),"-")</f>
        <v>2533780535-2533780535-INNSA</v>
      </c>
      <c r="C106" s="166" t="s">
        <v>142</v>
      </c>
      <c r="D106" s="225">
        <f>VLOOKUP(Tableau2[[#This Row],[ Name ILN]],Plant_AILN!F:G,2,FALSE)</f>
        <v>2533780535</v>
      </c>
      <c r="E106" s="166" t="s">
        <v>142</v>
      </c>
      <c r="F106" s="226">
        <f>IFERROR(VLOOKUP(Tableau2[[#This Row],[Name of shipper]],Plant_AILN!L:M,2,FALSE),0)</f>
        <v>2533780535</v>
      </c>
      <c r="G106" s="231"/>
      <c r="H106" s="226" t="str">
        <f>IF(Tableau2[[#This Row],[Name Consignee]]=0,"",VLOOKUP(Tableau2[[#This Row],[Name Consignee]],Plant_AILN!A:C,3,FALSE))</f>
        <v/>
      </c>
      <c r="I106" s="52">
        <v>9</v>
      </c>
      <c r="J106" s="219">
        <v>14</v>
      </c>
      <c r="K106" s="94">
        <v>5</v>
      </c>
      <c r="L106" s="227">
        <v>7</v>
      </c>
      <c r="M106" s="228">
        <f>Tableau2[[#This Row],[Delivery time to ILN/Shipper]]+Tableau2[[#This Row],[Day ILN Order]]-1</f>
        <v>22</v>
      </c>
      <c r="N106" s="229">
        <v>3</v>
      </c>
      <c r="O106" s="230" t="s">
        <v>476</v>
      </c>
      <c r="P106" s="58">
        <v>5</v>
      </c>
      <c r="Q106" t="s">
        <v>561</v>
      </c>
    </row>
    <row r="107" spans="1:17">
      <c r="A107" s="242" t="str">
        <f>_xlfn.CONCAT(Tableau2[[#This Row],[Compte ILN]],"-",Tableau2[[#This Row],[Compte Shipper]],"-",Tableau2[[#This Row],[POL]],"-",Tableau2[[#This Row],[Compte Consignee]])</f>
        <v>2533780535-2533780535-INMUN-</v>
      </c>
      <c r="B107" s="342" t="str">
        <f>IF(Tableau2[[#This Row],[Name Consignee]]="",_xlfn.CONCAT(Tableau2[[#This Row],[Compte ILN]],"-",Tableau2[[#This Row],[Compte Shipper]],"-",Tableau2[[#This Row],[POL]]),"-")</f>
        <v>2533780535-2533780535-INMUN</v>
      </c>
      <c r="C107" s="166" t="s">
        <v>142</v>
      </c>
      <c r="D107" s="225">
        <f>VLOOKUP(Tableau2[[#This Row],[ Name ILN]],Plant_AILN!F:G,2,FALSE)</f>
        <v>2533780535</v>
      </c>
      <c r="E107" s="166" t="s">
        <v>266</v>
      </c>
      <c r="F107" s="226">
        <f>IFERROR(VLOOKUP(Tableau2[[#This Row],[Name of shipper]],Plant_AILN!L:M,2,FALSE),0)</f>
        <v>2533780535</v>
      </c>
      <c r="G107" s="231"/>
      <c r="H107" s="226" t="str">
        <f>IF(Tableau2[[#This Row],[Name Consignee]]=0,"",VLOOKUP(Tableau2[[#This Row],[Name Consignee]],Plant_AILN!A:C,3,FALSE))</f>
        <v/>
      </c>
      <c r="I107" s="52">
        <v>9</v>
      </c>
      <c r="J107" s="219">
        <v>7</v>
      </c>
      <c r="K107" s="94">
        <v>5</v>
      </c>
      <c r="L107" s="227">
        <v>7</v>
      </c>
      <c r="M107" s="228">
        <f>Tableau2[[#This Row],[Delivery time to ILN/Shipper]]+Tableau2[[#This Row],[Day ILN Order]]-1</f>
        <v>15</v>
      </c>
      <c r="N107" s="229">
        <v>3</v>
      </c>
      <c r="O107" s="230" t="s">
        <v>549</v>
      </c>
      <c r="P107" s="58">
        <v>5</v>
      </c>
    </row>
    <row r="108" spans="1:17">
      <c r="A108" s="242" t="str">
        <f>_xlfn.CONCAT(Tableau2[[#This Row],[Compte ILN]],"-",Tableau2[[#This Row],[Compte Shipper]],"-",Tableau2[[#This Row],[POL]],"-",Tableau2[[#This Row],[Compte Consignee]])</f>
        <v>2533780535-2533780535-INMUN-</v>
      </c>
      <c r="B108" s="342" t="str">
        <f>IF(Tableau2[[#This Row],[Name Consignee]]="",_xlfn.CONCAT(Tableau2[[#This Row],[Compte ILN]],"-",Tableau2[[#This Row],[Compte Shipper]],"-",Tableau2[[#This Row],[POL]]),"-")</f>
        <v>2533780535-2533780535-INMUN</v>
      </c>
      <c r="C108" s="166" t="s">
        <v>142</v>
      </c>
      <c r="D108" s="225">
        <f>VLOOKUP(Tableau2[[#This Row],[ Name ILN]],Plant_AILN!F:G,2,FALSE)</f>
        <v>2533780535</v>
      </c>
      <c r="E108" s="166" t="s">
        <v>142</v>
      </c>
      <c r="F108" s="226">
        <f>IFERROR(VLOOKUP(Tableau2[[#This Row],[Name of shipper]],Plant_AILN!L:M,2,FALSE),0)</f>
        <v>2533780535</v>
      </c>
      <c r="G108" s="231"/>
      <c r="H108" s="226" t="str">
        <f>IF(Tableau2[[#This Row],[Name Consignee]]=0,"",VLOOKUP(Tableau2[[#This Row],[Name Consignee]],Plant_AILN!A:C,3,FALSE))</f>
        <v/>
      </c>
      <c r="I108" s="52">
        <v>9</v>
      </c>
      <c r="J108" s="219">
        <v>7</v>
      </c>
      <c r="K108" s="94">
        <v>5</v>
      </c>
      <c r="L108" s="227">
        <v>7</v>
      </c>
      <c r="M108" s="228">
        <f>Tableau2[[#This Row],[Delivery time to ILN/Shipper]]+Tableau2[[#This Row],[Day ILN Order]]-1</f>
        <v>15</v>
      </c>
      <c r="N108" s="229">
        <v>3</v>
      </c>
      <c r="O108" s="230" t="s">
        <v>549</v>
      </c>
      <c r="P108" s="58">
        <v>5</v>
      </c>
    </row>
    <row r="109" spans="1:17">
      <c r="A109" s="242" t="str">
        <f>_xlfn.CONCAT(Tableau2[[#This Row],[Compte ILN]],"-",Tableau2[[#This Row],[Compte Shipper]],"-",Tableau2[[#This Row],[POL]],"-",Tableau2[[#This Row],[Compte Consignee]])</f>
        <v>2533780535-2533780535-INNSA-</v>
      </c>
      <c r="B109" s="342" t="str">
        <f>IF(Tableau2[[#This Row],[Name Consignee]]="",_xlfn.CONCAT(Tableau2[[#This Row],[Compte ILN]],"-",Tableau2[[#This Row],[Compte Shipper]],"-",Tableau2[[#This Row],[POL]]),"-")</f>
        <v>2533780535-2533780535-INNSA</v>
      </c>
      <c r="C109" s="166" t="s">
        <v>142</v>
      </c>
      <c r="D109" s="225">
        <f>VLOOKUP(Tableau2[[#This Row],[ Name ILN]],Plant_AILN!F:G,2,FALSE)</f>
        <v>2533780535</v>
      </c>
      <c r="E109" s="166" t="s">
        <v>266</v>
      </c>
      <c r="F109" s="226">
        <f>IFERROR(VLOOKUP(Tableau2[[#This Row],[Name of shipper]],Plant_AILN!L:M,2,FALSE),0)</f>
        <v>2533780535</v>
      </c>
      <c r="G109" s="231"/>
      <c r="H109" s="226" t="str">
        <f>IF(Tableau2[[#This Row],[Name Consignee]]=0,"",VLOOKUP(Tableau2[[#This Row],[Name Consignee]],Plant_AILN!A:C,3,FALSE))</f>
        <v/>
      </c>
      <c r="I109" s="52">
        <v>9</v>
      </c>
      <c r="J109" s="219">
        <v>7</v>
      </c>
      <c r="K109" s="94">
        <v>5</v>
      </c>
      <c r="L109" s="227">
        <v>7</v>
      </c>
      <c r="M109" s="228">
        <f>Tableau2[[#This Row],[Delivery time to ILN/Shipper]]+Tableau2[[#This Row],[Day ILN Order]]-1</f>
        <v>15</v>
      </c>
      <c r="N109" s="229">
        <v>3</v>
      </c>
      <c r="O109" s="230" t="s">
        <v>476</v>
      </c>
      <c r="P109" s="58">
        <v>5</v>
      </c>
    </row>
    <row r="110" spans="1:17">
      <c r="A110" s="242" t="e">
        <f>_xlfn.CONCAT(Tableau2[[#This Row],[Compte ILN]],"-",Tableau2[[#This Row],[Compte Shipper]],"-",Tableau2[[#This Row],[POL]],"-",Tableau2[[#This Row],[Compte Consignee]])</f>
        <v>#N/A</v>
      </c>
      <c r="B110" s="342" t="e">
        <f>IF(Tableau2[[#This Row],[Name Consignee]]="",_xlfn.CONCAT(Tableau2[[#This Row],[Compte ILN]],"-",Tableau2[[#This Row],[Compte Shipper]],"-",Tableau2[[#This Row],[POL]]),"-")</f>
        <v>#N/A</v>
      </c>
      <c r="C110" s="166" t="s">
        <v>562</v>
      </c>
      <c r="D110" s="225" t="e">
        <f>VLOOKUP(Tableau2[[#This Row],[ Name ILN]],Plant_AILN!F:G,2,FALSE)</f>
        <v>#N/A</v>
      </c>
      <c r="E110" s="166" t="s">
        <v>562</v>
      </c>
      <c r="F110" s="226">
        <f>IFERROR(VLOOKUP(Tableau2[[#This Row],[Name of shipper]],Plant_AILN!L:M,2,FALSE),0)</f>
        <v>0</v>
      </c>
      <c r="G110" s="231"/>
      <c r="H110" s="226" t="str">
        <f>IF(Tableau2[[#This Row],[Name Consignee]]=0,"",VLOOKUP(Tableau2[[#This Row],[Name Consignee]],Plant_AILN!A:C,3,FALSE))</f>
        <v/>
      </c>
      <c r="I110" s="52">
        <v>9</v>
      </c>
      <c r="J110" s="219">
        <v>14</v>
      </c>
      <c r="K110" s="94">
        <v>5</v>
      </c>
      <c r="L110" s="227">
        <v>7</v>
      </c>
      <c r="M110" s="228">
        <f>Tableau2[[#This Row],[Delivery time to ILN/Shipper]]+Tableau2[[#This Row],[Day ILN Order]]-1</f>
        <v>22</v>
      </c>
      <c r="N110" s="229">
        <v>7</v>
      </c>
      <c r="O110" s="230" t="s">
        <v>513</v>
      </c>
      <c r="P110" s="58">
        <v>1</v>
      </c>
    </row>
    <row r="111" spans="1:17">
      <c r="A111" s="242" t="str">
        <f>_xlfn.CONCAT(Tableau2[[#This Row],[Compte ILN]],"-",Tableau2[[#This Row],[Compte Shipper]],"-",Tableau2[[#This Row],[POL]],"-",Tableau2[[#This Row],[Compte Consignee]])</f>
        <v>92050300-92050300-MAPTM-</v>
      </c>
      <c r="B111" s="342" t="str">
        <f>IF(Tableau2[[#This Row],[Name Consignee]]="",_xlfn.CONCAT(Tableau2[[#This Row],[Compte ILN]],"-",Tableau2[[#This Row],[Compte Shipper]],"-",Tableau2[[#This Row],[POL]]),"-")</f>
        <v>92050300-92050300-MAPTM</v>
      </c>
      <c r="C111" s="166" t="s">
        <v>155</v>
      </c>
      <c r="D111" s="225">
        <f>VLOOKUP(Tableau2[[#This Row],[ Name ILN]],Plant_AILN!F:G,2,FALSE)</f>
        <v>92050300</v>
      </c>
      <c r="E111" s="166" t="s">
        <v>155</v>
      </c>
      <c r="F111" s="226">
        <f>IFERROR(VLOOKUP(Tableau2[[#This Row],[Name of shipper]],Plant_AILN!L:M,2,FALSE),0)</f>
        <v>92050300</v>
      </c>
      <c r="G111" s="231"/>
      <c r="H111" s="226" t="str">
        <f>IF(Tableau2[[#This Row],[Name Consignee]]=0,"",VLOOKUP(Tableau2[[#This Row],[Name Consignee]],Plant_AILN!A:C,3,FALSE))</f>
        <v/>
      </c>
      <c r="I111" s="52">
        <v>9</v>
      </c>
      <c r="J111" s="219">
        <v>7</v>
      </c>
      <c r="K111" s="94">
        <v>5</v>
      </c>
      <c r="L111" s="227">
        <v>7</v>
      </c>
      <c r="M111" s="228">
        <f>Tableau2[[#This Row],[Delivery time to ILN/Shipper]]+Tableau2[[#This Row],[Day ILN Order]]-1</f>
        <v>15</v>
      </c>
      <c r="N111" s="229">
        <v>3</v>
      </c>
      <c r="O111" s="230" t="s">
        <v>497</v>
      </c>
      <c r="P111" s="58">
        <v>4</v>
      </c>
    </row>
    <row r="112" spans="1:17">
      <c r="A112" s="242" t="str">
        <f>_xlfn.CONCAT(Tableau2[[#This Row],[Compte ILN]],"-",Tableau2[[#This Row],[Compte Shipper]],"-",Tableau2[[#This Row],[POL]],"-",Tableau2[[#This Row],[Compte Consignee]])</f>
        <v>91018400-91017500-ESALG-</v>
      </c>
      <c r="B112" s="342" t="str">
        <f>IF(Tableau2[[#This Row],[Name Consignee]]="",_xlfn.CONCAT(Tableau2[[#This Row],[Compte ILN]],"-",Tableau2[[#This Row],[Compte Shipper]],"-",Tableau2[[#This Row],[POL]]),"-")</f>
        <v>91018400-91017500-ESALG</v>
      </c>
      <c r="C112" s="166" t="s">
        <v>144</v>
      </c>
      <c r="D112" s="225">
        <f>VLOOKUP(Tableau2[[#This Row],[ Name ILN]],Plant_AILN!F:G,2,FALSE)</f>
        <v>91018400</v>
      </c>
      <c r="E112" s="166" t="s">
        <v>145</v>
      </c>
      <c r="F112" s="226">
        <f>IFERROR(VLOOKUP(Tableau2[[#This Row],[Name of shipper]],Plant_AILN!L:M,2,FALSE),0)</f>
        <v>91017500</v>
      </c>
      <c r="G112" s="231"/>
      <c r="H112" s="226" t="str">
        <f>IF(Tableau2[[#This Row],[Name Consignee]]=0,"",VLOOKUP(Tableau2[[#This Row],[Name Consignee]],Plant_AILN!A:C,3,FALSE))</f>
        <v/>
      </c>
      <c r="I112" s="52">
        <v>9</v>
      </c>
      <c r="J112" s="219">
        <v>7</v>
      </c>
      <c r="K112" s="94">
        <v>5</v>
      </c>
      <c r="L112" s="227">
        <v>7</v>
      </c>
      <c r="M112" s="228">
        <f>Tableau2[[#This Row],[Delivery time to ILN/Shipper]]+Tableau2[[#This Row],[Day ILN Order]]-1</f>
        <v>15</v>
      </c>
      <c r="N112" s="229">
        <v>1</v>
      </c>
      <c r="O112" s="230" t="s">
        <v>507</v>
      </c>
      <c r="P112" s="58">
        <v>2</v>
      </c>
    </row>
    <row r="113" spans="1:16">
      <c r="A113" s="242" t="str">
        <f>_xlfn.CONCAT(Tableau2[[#This Row],[Compte ILN]],"-",Tableau2[[#This Row],[Compte Shipper]],"-",Tableau2[[#This Row],[POL]],"-",Tableau2[[#This Row],[Compte Consignee]])</f>
        <v>91018400-91018400-ESVLC-</v>
      </c>
      <c r="B113" s="342" t="str">
        <f>IF(Tableau2[[#This Row],[Name Consignee]]="",_xlfn.CONCAT(Tableau2[[#This Row],[Compte ILN]],"-",Tableau2[[#This Row],[Compte Shipper]],"-",Tableau2[[#This Row],[POL]]),"-")</f>
        <v>91018400-91018400-ESVLC</v>
      </c>
      <c r="C113" s="166" t="s">
        <v>144</v>
      </c>
      <c r="D113" s="225">
        <f>VLOOKUP(Tableau2[[#This Row],[ Name ILN]],Plant_AILN!F:G,2,FALSE)</f>
        <v>91018400</v>
      </c>
      <c r="E113" s="166" t="s">
        <v>144</v>
      </c>
      <c r="F113" s="226">
        <f>IFERROR(VLOOKUP(Tableau2[[#This Row],[Name of shipper]],Plant_AILN!L:M,2,FALSE),0)</f>
        <v>91018400</v>
      </c>
      <c r="G113" s="231"/>
      <c r="H113" s="226" t="str">
        <f>IF(Tableau2[[#This Row],[Name Consignee]]=0,"",VLOOKUP(Tableau2[[#This Row],[Name Consignee]],Plant_AILN!A:C,3,FALSE))</f>
        <v/>
      </c>
      <c r="I113" s="52">
        <v>9</v>
      </c>
      <c r="J113" s="219">
        <v>7</v>
      </c>
      <c r="K113" s="94">
        <v>5</v>
      </c>
      <c r="L113" s="227">
        <v>7</v>
      </c>
      <c r="M113" s="228">
        <f>Tableau2[[#This Row],[Delivery time to ILN/Shipper]]+Tableau2[[#This Row],[Day ILN Order]]-1</f>
        <v>15</v>
      </c>
      <c r="N113" s="229">
        <v>2</v>
      </c>
      <c r="O113" s="230" t="s">
        <v>492</v>
      </c>
      <c r="P113" s="58">
        <v>5</v>
      </c>
    </row>
    <row r="114" spans="1:16">
      <c r="A114" s="242" t="str">
        <f>_xlfn.CONCAT(Tableau2[[#This Row],[Compte ILN]],"-",Tableau2[[#This Row],[Compte Shipper]],"-",Tableau2[[#This Row],[POL]],"-",Tableau2[[#This Row],[Compte Consignee]])</f>
        <v>91018400-9521000-PTLEI-</v>
      </c>
      <c r="B114" s="342" t="str">
        <f>IF(Tableau2[[#This Row],[Name Consignee]]="",_xlfn.CONCAT(Tableau2[[#This Row],[Compte ILN]],"-",Tableau2[[#This Row],[Compte Shipper]],"-",Tableau2[[#This Row],[POL]]),"-")</f>
        <v>91018400-9521000-PTLEI</v>
      </c>
      <c r="C114" s="166" t="s">
        <v>144</v>
      </c>
      <c r="D114" s="225">
        <f>VLOOKUP(Tableau2[[#This Row],[ Name ILN]],Plant_AILN!F:G,2,FALSE)</f>
        <v>91018400</v>
      </c>
      <c r="E114" s="166" t="s">
        <v>229</v>
      </c>
      <c r="F114" s="226">
        <f>IFERROR(VLOOKUP(Tableau2[[#This Row],[Name of shipper]],Plant_AILN!L:M,2,FALSE),0)</f>
        <v>9521000</v>
      </c>
      <c r="G114" s="231"/>
      <c r="H114" s="226" t="str">
        <f>IF(Tableau2[[#This Row],[Name Consignee]]=0,"",VLOOKUP(Tableau2[[#This Row],[Name Consignee]],Plant_AILN!A:C,3,FALSE))</f>
        <v/>
      </c>
      <c r="I114" s="52">
        <v>9</v>
      </c>
      <c r="J114" s="219">
        <v>7</v>
      </c>
      <c r="K114" s="94">
        <v>5</v>
      </c>
      <c r="L114" s="227">
        <v>7</v>
      </c>
      <c r="M114" s="228">
        <f>Tableau2[[#This Row],[Delivery time to ILN/Shipper]]+Tableau2[[#This Row],[Day ILN Order]]-1</f>
        <v>15</v>
      </c>
      <c r="N114" s="229">
        <v>1</v>
      </c>
      <c r="O114" s="230" t="s">
        <v>563</v>
      </c>
      <c r="P114" s="58">
        <v>3</v>
      </c>
    </row>
    <row r="115" spans="1:16">
      <c r="A115" s="242" t="str">
        <f>_xlfn.CONCAT(Tableau2[[#This Row],[Compte ILN]],"-",Tableau2[[#This Row],[Compte Shipper]],"-",Tableau2[[#This Row],[POL]],"-",Tableau2[[#This Row],[Compte Consignee]])</f>
        <v>26037000-26037000-CNSHA-90016000</v>
      </c>
      <c r="B115" s="342" t="str">
        <f>IF(Tableau2[[#This Row],[Name Consignee]]="",_xlfn.CONCAT(Tableau2[[#This Row],[Compte ILN]],"-",Tableau2[[#This Row],[Compte Shipper]],"-",Tableau2[[#This Row],[POL]]),"-")</f>
        <v>-</v>
      </c>
      <c r="C115" s="166" t="s">
        <v>171</v>
      </c>
      <c r="D115" s="225">
        <f>VLOOKUP(Tableau2[[#This Row],[ Name ILN]],Plant_AILN!F:G,2,FALSE)</f>
        <v>26037000</v>
      </c>
      <c r="E115" s="166" t="s">
        <v>171</v>
      </c>
      <c r="F115" s="226">
        <f>IFERROR(VLOOKUP(Tableau2[[#This Row],[Name of shipper]],Plant_AILN!L:M,2,FALSE),0)</f>
        <v>26037000</v>
      </c>
      <c r="G115" s="231" t="s">
        <v>169</v>
      </c>
      <c r="H115" s="226">
        <f>IF(Tableau2[[#This Row],[Name Consignee]]=0,"",VLOOKUP(Tableau2[[#This Row],[Name Consignee]],Plant_AILN!A:C,3,FALSE))</f>
        <v>90016000</v>
      </c>
      <c r="I115" s="52">
        <v>9</v>
      </c>
      <c r="J115" s="219">
        <v>7</v>
      </c>
      <c r="K115" s="94">
        <v>5</v>
      </c>
      <c r="L115" s="227">
        <v>7</v>
      </c>
      <c r="M115" s="228">
        <f>Tableau2[[#This Row],[Delivery time to ILN/Shipper]]+Tableau2[[#This Row],[Day ILN Order]]-1</f>
        <v>15</v>
      </c>
      <c r="N115" s="229">
        <v>1</v>
      </c>
      <c r="O115" s="230" t="s">
        <v>513</v>
      </c>
      <c r="P115" s="58">
        <v>2</v>
      </c>
    </row>
    <row r="116" spans="1:16">
      <c r="A116" s="242" t="str">
        <f>_xlfn.CONCAT(Tableau2[[#This Row],[Compte ILN]],"-",Tableau2[[#This Row],[Compte Shipper]],"-",Tableau2[[#This Row],[POL]],"-",Tableau2[[#This Row],[Compte Consignee]])</f>
        <v>0-27002800-MYPEN-</v>
      </c>
      <c r="B116" s="342" t="str">
        <f>IF(Tableau2[[#This Row],[Name Consignee]]="",_xlfn.CONCAT(Tableau2[[#This Row],[Compte ILN]],"-",Tableau2[[#This Row],[Compte Shipper]],"-",Tableau2[[#This Row],[POL]]),"-")</f>
        <v>0-27002800-MYPEN</v>
      </c>
      <c r="C116" s="166" t="s">
        <v>150</v>
      </c>
      <c r="D116" s="225">
        <f>VLOOKUP(Tableau2[[#This Row],[ Name ILN]],Plant_AILN!F:G,2,FALSE)</f>
        <v>0</v>
      </c>
      <c r="E116" s="166" t="s">
        <v>302</v>
      </c>
      <c r="F116" s="226">
        <f>IFERROR(VLOOKUP(Tableau2[[#This Row],[Name of shipper]],Plant_AILN!L:M,2,FALSE),0)</f>
        <v>27002800</v>
      </c>
      <c r="G116" s="231"/>
      <c r="H116" s="226" t="str">
        <f>IF(Tableau2[[#This Row],[Name Consignee]]=0,"",VLOOKUP(Tableau2[[#This Row],[Name Consignee]],Plant_AILN!A:C,3,FALSE))</f>
        <v/>
      </c>
      <c r="I116" s="52">
        <v>9</v>
      </c>
      <c r="J116" s="219">
        <v>7</v>
      </c>
      <c r="K116" s="94">
        <v>5</v>
      </c>
      <c r="L116" s="227">
        <v>7</v>
      </c>
      <c r="M116" s="228">
        <f>Tableau2[[#This Row],[Delivery time to ILN/Shipper]]+Tableau2[[#This Row],[Day ILN Order]]-1</f>
        <v>15</v>
      </c>
      <c r="N116" s="229">
        <v>4</v>
      </c>
      <c r="O116" s="230" t="s">
        <v>552</v>
      </c>
      <c r="P116" s="58">
        <v>3</v>
      </c>
    </row>
    <row r="117" spans="1:16">
      <c r="A117" s="242" t="str">
        <f>_xlfn.CONCAT(Tableau2[[#This Row],[Compte ILN]],"-",Tableau2[[#This Row],[Compte Shipper]],"-",Tableau2[[#This Row],[POL]],"-",Tableau2[[#This Row],[Compte Consignee]])</f>
        <v>0-0-JPMOJ-</v>
      </c>
      <c r="B117" s="342" t="str">
        <f>IF(Tableau2[[#This Row],[Name Consignee]]="",_xlfn.CONCAT(Tableau2[[#This Row],[Compte ILN]],"-",Tableau2[[#This Row],[Compte Shipper]],"-",Tableau2[[#This Row],[POL]]),"-")</f>
        <v>0-0-JPMOJ</v>
      </c>
      <c r="C117" s="166" t="s">
        <v>150</v>
      </c>
      <c r="D117" s="225">
        <f>VLOOKUP(Tableau2[[#This Row],[ Name ILN]],Plant_AILN!F:G,2,FALSE)</f>
        <v>0</v>
      </c>
      <c r="E117" s="166" t="s">
        <v>150</v>
      </c>
      <c r="F117" s="226">
        <f>IFERROR(VLOOKUP(Tableau2[[#This Row],[Name of shipper]],Plant_AILN!L:M,2,FALSE),0)</f>
        <v>0</v>
      </c>
      <c r="G117" s="231"/>
      <c r="H117" s="226" t="str">
        <f>IF(Tableau2[[#This Row],[Name Consignee]]=0,"",VLOOKUP(Tableau2[[#This Row],[Name Consignee]],Plant_AILN!A:C,3,FALSE))</f>
        <v/>
      </c>
      <c r="I117" s="52">
        <v>9</v>
      </c>
      <c r="J117" s="219">
        <v>7</v>
      </c>
      <c r="K117" s="94">
        <v>5</v>
      </c>
      <c r="L117" s="227">
        <v>7</v>
      </c>
      <c r="M117" s="228">
        <f>Tableau2[[#This Row],[Delivery time to ILN/Shipper]]+Tableau2[[#This Row],[Day ILN Order]]-1</f>
        <v>15</v>
      </c>
      <c r="N117" s="229">
        <v>3</v>
      </c>
      <c r="O117" s="230" t="s">
        <v>478</v>
      </c>
      <c r="P117" s="58">
        <v>5</v>
      </c>
    </row>
    <row r="118" spans="1:16">
      <c r="A118" s="242" t="str">
        <f>_xlfn.CONCAT(Tableau2[[#This Row],[Compte ILN]],"-",Tableau2[[#This Row],[Compte Shipper]],"-",Tableau2[[#This Row],[POL]],"-",Tableau2[[#This Row],[Compte Consignee]])</f>
        <v>0-29179903-CNFUG-</v>
      </c>
      <c r="B118" s="342" t="str">
        <f>IF(Tableau2[[#This Row],[Name Consignee]]="",_xlfn.CONCAT(Tableau2[[#This Row],[Compte ILN]],"-",Tableau2[[#This Row],[Compte Shipper]],"-",Tableau2[[#This Row],[POL]]),"-")</f>
        <v>0-29179903-CNFUG</v>
      </c>
      <c r="C118" s="166" t="s">
        <v>150</v>
      </c>
      <c r="D118" s="225">
        <f>VLOOKUP(Tableau2[[#This Row],[ Name ILN]],Plant_AILN!F:G,2,FALSE)</f>
        <v>0</v>
      </c>
      <c r="E118" s="224" t="s">
        <v>268</v>
      </c>
      <c r="F118" s="226">
        <f>IFERROR(VLOOKUP(Tableau2[[#This Row],[Name of shipper]],Plant_AILN!L:M,2,FALSE),0)</f>
        <v>29179903</v>
      </c>
      <c r="G118" s="231"/>
      <c r="H118" s="226" t="str">
        <f>IF(Tableau2[[#This Row],[Name Consignee]]=0,"",VLOOKUP(Tableau2[[#This Row],[Name Consignee]],Plant_AILN!A:C,3,FALSE))</f>
        <v/>
      </c>
      <c r="I118" s="52">
        <v>9</v>
      </c>
      <c r="J118" s="219">
        <v>7</v>
      </c>
      <c r="K118" s="94">
        <v>5</v>
      </c>
      <c r="L118" s="227">
        <v>7</v>
      </c>
      <c r="M118" s="228">
        <f>Tableau2[[#This Row],[Delivery time to ILN/Shipper]]+Tableau2[[#This Row],[Day ILN Order]]-1</f>
        <v>15</v>
      </c>
      <c r="N118" s="229">
        <v>3</v>
      </c>
      <c r="O118" s="230" t="s">
        <v>554</v>
      </c>
      <c r="P118" s="58">
        <v>5</v>
      </c>
    </row>
    <row r="119" spans="1:16">
      <c r="A119" s="242" t="str">
        <f>_xlfn.CONCAT(Tableau2[[#This Row],[Compte ILN]],"-",Tableau2[[#This Row],[Compte Shipper]],"-",Tableau2[[#This Row],[POL]],"-",Tableau2[[#This Row],[Compte Consignee]])</f>
        <v>0-29179903-CNXMN-</v>
      </c>
      <c r="B119" s="342" t="str">
        <f>IF(Tableau2[[#This Row],[Name Consignee]]="",_xlfn.CONCAT(Tableau2[[#This Row],[Compte ILN]],"-",Tableau2[[#This Row],[Compte Shipper]],"-",Tableau2[[#This Row],[POL]]),"-")</f>
        <v>0-29179903-CNXMN</v>
      </c>
      <c r="C119" s="166" t="s">
        <v>150</v>
      </c>
      <c r="D119" s="225">
        <f>VLOOKUP(Tableau2[[#This Row],[ Name ILN]],Plant_AILN!F:G,2,FALSE)</f>
        <v>0</v>
      </c>
      <c r="E119" s="166" t="s">
        <v>285</v>
      </c>
      <c r="F119" s="226">
        <f>IFERROR(VLOOKUP(Tableau2[[#This Row],[Name of shipper]],Plant_AILN!L:M,2,FALSE),0)</f>
        <v>29179903</v>
      </c>
      <c r="G119" s="231"/>
      <c r="H119" s="226" t="str">
        <f>IF(Tableau2[[#This Row],[Name Consignee]]=0,"",VLOOKUP(Tableau2[[#This Row],[Name Consignee]],Plant_AILN!A:C,3,FALSE))</f>
        <v/>
      </c>
      <c r="I119" s="52">
        <v>9</v>
      </c>
      <c r="J119" s="219">
        <v>7</v>
      </c>
      <c r="K119" s="94">
        <v>5</v>
      </c>
      <c r="L119" s="227">
        <v>7</v>
      </c>
      <c r="M119" s="228">
        <f>Tableau2[[#This Row],[Delivery time to ILN/Shipper]]+Tableau2[[#This Row],[Day ILN Order]]-1</f>
        <v>15</v>
      </c>
      <c r="N119" s="229">
        <v>3</v>
      </c>
      <c r="O119" s="230" t="s">
        <v>564</v>
      </c>
      <c r="P119" s="58">
        <v>5</v>
      </c>
    </row>
    <row r="120" spans="1:16">
      <c r="A120" s="242" t="str">
        <f>_xlfn.CONCAT(Tableau2[[#This Row],[Compte ILN]],"-",Tableau2[[#This Row],[Compte Shipper]],"-",Tableau2[[#This Row],[POL]],"-",Tableau2[[#This Row],[Compte Consignee]])</f>
        <v>0-42631300-IDJKT-</v>
      </c>
      <c r="B120" s="342" t="str">
        <f>IF(Tableau2[[#This Row],[Name Consignee]]="",_xlfn.CONCAT(Tableau2[[#This Row],[Compte ILN]],"-",Tableau2[[#This Row],[Compte Shipper]],"-",Tableau2[[#This Row],[POL]]),"-")</f>
        <v>0-42631300-IDJKT</v>
      </c>
      <c r="C120" s="166" t="s">
        <v>150</v>
      </c>
      <c r="D120" s="225">
        <f>VLOOKUP(Tableau2[[#This Row],[ Name ILN]],Plant_AILN!F:G,2,FALSE)</f>
        <v>0</v>
      </c>
      <c r="E120" s="166" t="s">
        <v>297</v>
      </c>
      <c r="F120" s="226">
        <f>IFERROR(VLOOKUP(Tableau2[[#This Row],[Name of shipper]],Plant_AILN!L:M,2,FALSE),0)</f>
        <v>42631300</v>
      </c>
      <c r="G120" s="231"/>
      <c r="H120" s="226" t="str">
        <f>IF(Tableau2[[#This Row],[Name Consignee]]=0,"",VLOOKUP(Tableau2[[#This Row],[Name Consignee]],Plant_AILN!A:C,3,FALSE))</f>
        <v/>
      </c>
      <c r="I120" s="52">
        <v>9</v>
      </c>
      <c r="J120" s="219">
        <v>7</v>
      </c>
      <c r="K120" s="94">
        <v>5</v>
      </c>
      <c r="L120" s="227">
        <v>7</v>
      </c>
      <c r="M120" s="228">
        <f>Tableau2[[#This Row],[Delivery time to ILN/Shipper]]+Tableau2[[#This Row],[Day ILN Order]]-1</f>
        <v>15</v>
      </c>
      <c r="N120" s="229">
        <v>2</v>
      </c>
      <c r="O120" s="230" t="s">
        <v>555</v>
      </c>
      <c r="P120" s="58">
        <v>5</v>
      </c>
    </row>
    <row r="121" spans="1:16">
      <c r="A121" s="242" t="str">
        <f>_xlfn.CONCAT(Tableau2[[#This Row],[Compte ILN]],"-",Tableau2[[#This Row],[Compte Shipper]],"-",Tableau2[[#This Row],[POL]],"-",Tableau2[[#This Row],[Compte Consignee]])</f>
        <v>0-29179903-CNNGB-</v>
      </c>
      <c r="B121" s="342" t="str">
        <f>IF(Tableau2[[#This Row],[Name Consignee]]="",_xlfn.CONCAT(Tableau2[[#This Row],[Compte ILN]],"-",Tableau2[[#This Row],[Compte Shipper]],"-",Tableau2[[#This Row],[POL]]),"-")</f>
        <v>0-29179903-CNNGB</v>
      </c>
      <c r="C121" s="166" t="s">
        <v>150</v>
      </c>
      <c r="D121" s="225">
        <f>VLOOKUP(Tableau2[[#This Row],[ Name ILN]],Plant_AILN!F:G,2,FALSE)</f>
        <v>0</v>
      </c>
      <c r="E121" s="166" t="s">
        <v>273</v>
      </c>
      <c r="F121" s="226">
        <f>IFERROR(VLOOKUP(Tableau2[[#This Row],[Name of shipper]],Plant_AILN!L:M,2,FALSE),0)</f>
        <v>29179903</v>
      </c>
      <c r="G121" s="231"/>
      <c r="H121" s="226" t="str">
        <f>IF(Tableau2[[#This Row],[Name Consignee]]=0,"",VLOOKUP(Tableau2[[#This Row],[Name Consignee]],Plant_AILN!A:C,3,FALSE))</f>
        <v/>
      </c>
      <c r="I121" s="52">
        <v>9</v>
      </c>
      <c r="J121" s="219">
        <v>7</v>
      </c>
      <c r="K121" s="94">
        <v>5</v>
      </c>
      <c r="L121" s="227">
        <v>7</v>
      </c>
      <c r="M121" s="228">
        <f>Tableau2[[#This Row],[Delivery time to ILN/Shipper]]+Tableau2[[#This Row],[Day ILN Order]]-1</f>
        <v>15</v>
      </c>
      <c r="N121" s="229">
        <v>3</v>
      </c>
      <c r="O121" s="230" t="s">
        <v>565</v>
      </c>
      <c r="P121" s="58">
        <v>5</v>
      </c>
    </row>
    <row r="122" spans="1:16">
      <c r="A122" s="242" t="str">
        <f>_xlfn.CONCAT(Tableau2[[#This Row],[Compte ILN]],"-",Tableau2[[#This Row],[Compte Shipper]],"-",Tableau2[[#This Row],[POL]],"-",Tableau2[[#This Row],[Compte Consignee]])</f>
        <v>0-27002800-MYTPP-</v>
      </c>
      <c r="B122" s="342" t="str">
        <f>IF(Tableau2[[#This Row],[Name Consignee]]="",_xlfn.CONCAT(Tableau2[[#This Row],[Compte ILN]],"-",Tableau2[[#This Row],[Compte Shipper]],"-",Tableau2[[#This Row],[POL]]),"-")</f>
        <v>0-27002800-MYTPP</v>
      </c>
      <c r="C122" s="166" t="s">
        <v>150</v>
      </c>
      <c r="D122" s="225">
        <f>VLOOKUP(Tableau2[[#This Row],[ Name ILN]],Plant_AILN!F:G,2,FALSE)</f>
        <v>0</v>
      </c>
      <c r="E122" s="166" t="s">
        <v>302</v>
      </c>
      <c r="F122" s="226">
        <f>IFERROR(VLOOKUP(Tableau2[[#This Row],[Name of shipper]],Plant_AILN!L:M,2,FALSE),0)</f>
        <v>27002800</v>
      </c>
      <c r="G122" s="231"/>
      <c r="H122" s="226" t="str">
        <f>IF(Tableau2[[#This Row],[Name Consignee]]=0,"",VLOOKUP(Tableau2[[#This Row],[Name Consignee]],Plant_AILN!A:C,3,FALSE))</f>
        <v/>
      </c>
      <c r="I122" s="52">
        <v>9</v>
      </c>
      <c r="J122" s="219">
        <v>7</v>
      </c>
      <c r="K122" s="94">
        <v>5</v>
      </c>
      <c r="L122" s="227">
        <v>7</v>
      </c>
      <c r="M122" s="228">
        <f>Tableau2[[#This Row],[Delivery time to ILN/Shipper]]+Tableau2[[#This Row],[Day ILN Order]]-1</f>
        <v>15</v>
      </c>
      <c r="N122" s="229">
        <v>2</v>
      </c>
      <c r="O122" s="230" t="s">
        <v>551</v>
      </c>
      <c r="P122" s="58">
        <v>5</v>
      </c>
    </row>
    <row r="123" spans="1:16">
      <c r="A123" s="242" t="str">
        <f>_xlfn.CONCAT(Tableau2[[#This Row],[Compte ILN]],"-",Tableau2[[#This Row],[Compte Shipper]],"-",Tableau2[[#This Row],[POL]],"-",Tableau2[[#This Row],[Compte Consignee]])</f>
        <v>0-27002800-MYPGU-</v>
      </c>
      <c r="B123" s="342" t="str">
        <f>IF(Tableau2[[#This Row],[Name Consignee]]="",_xlfn.CONCAT(Tableau2[[#This Row],[Compte ILN]],"-",Tableau2[[#This Row],[Compte Shipper]],"-",Tableau2[[#This Row],[POL]]),"-")</f>
        <v>0-27002800-MYPGU</v>
      </c>
      <c r="C123" s="166" t="s">
        <v>150</v>
      </c>
      <c r="D123" s="225">
        <f>VLOOKUP(Tableau2[[#This Row],[ Name ILN]],Plant_AILN!F:G,2,FALSE)</f>
        <v>0</v>
      </c>
      <c r="E123" s="166" t="s">
        <v>302</v>
      </c>
      <c r="F123" s="226">
        <f>IFERROR(VLOOKUP(Tableau2[[#This Row],[Name of shipper]],Plant_AILN!L:M,2,FALSE),0)</f>
        <v>27002800</v>
      </c>
      <c r="G123" s="231"/>
      <c r="H123" s="226" t="str">
        <f>IF(Tableau2[[#This Row],[Name Consignee]]=0,"",VLOOKUP(Tableau2[[#This Row],[Name Consignee]],Plant_AILN!A:C,3,FALSE))</f>
        <v/>
      </c>
      <c r="I123" s="52">
        <v>9</v>
      </c>
      <c r="J123" s="219">
        <v>7</v>
      </c>
      <c r="K123" s="94">
        <v>5</v>
      </c>
      <c r="L123" s="227">
        <v>7</v>
      </c>
      <c r="M123" s="228">
        <f>Tableau2[[#This Row],[Delivery time to ILN/Shipper]]+Tableau2[[#This Row],[Day ILN Order]]-1</f>
        <v>15</v>
      </c>
      <c r="N123" s="229">
        <v>3</v>
      </c>
      <c r="O123" s="230" t="s">
        <v>553</v>
      </c>
      <c r="P123" s="58">
        <v>5</v>
      </c>
    </row>
    <row r="124" spans="1:16">
      <c r="A124" s="242" t="str">
        <f>_xlfn.CONCAT(Tableau2[[#This Row],[Compte ILN]],"-",Tableau2[[#This Row],[Compte Shipper]],"-",Tableau2[[#This Row],[POL]],"-",Tableau2[[#This Row],[Compte Consignee]])</f>
        <v>0-487230-MYPEN-</v>
      </c>
      <c r="B124" s="342" t="str">
        <f>IF(Tableau2[[#This Row],[Name Consignee]]="",_xlfn.CONCAT(Tableau2[[#This Row],[Compte ILN]],"-",Tableau2[[#This Row],[Compte Shipper]],"-",Tableau2[[#This Row],[POL]]),"-")</f>
        <v>0-487230-MYPEN</v>
      </c>
      <c r="C124" s="166" t="s">
        <v>150</v>
      </c>
      <c r="D124" s="225">
        <f>VLOOKUP(Tableau2[[#This Row],[ Name ILN]],Plant_AILN!F:G,2,FALSE)</f>
        <v>0</v>
      </c>
      <c r="E124" s="166" t="s">
        <v>385</v>
      </c>
      <c r="F124" s="226">
        <f>IFERROR(VLOOKUP(Tableau2[[#This Row],[Name of shipper]],Plant_AILN!L:M,2,FALSE),0)</f>
        <v>487230</v>
      </c>
      <c r="G124" s="231"/>
      <c r="H124" s="226" t="str">
        <f>IF(Tableau2[[#This Row],[Name Consignee]]=0,"",VLOOKUP(Tableau2[[#This Row],[Name Consignee]],Plant_AILN!A:C,3,FALSE))</f>
        <v/>
      </c>
      <c r="I124" s="52">
        <v>9</v>
      </c>
      <c r="J124" s="219">
        <v>7</v>
      </c>
      <c r="K124" s="94">
        <v>5</v>
      </c>
      <c r="L124" s="227">
        <v>7</v>
      </c>
      <c r="M124" s="228">
        <f>Tableau2[[#This Row],[Delivery time to ILN/Shipper]]+Tableau2[[#This Row],[Day ILN Order]]-1</f>
        <v>15</v>
      </c>
      <c r="N124" s="229">
        <v>2</v>
      </c>
      <c r="O124" s="230" t="s">
        <v>552</v>
      </c>
      <c r="P124" s="58">
        <v>3</v>
      </c>
    </row>
    <row r="125" spans="1:16">
      <c r="A125" s="242" t="str">
        <f>_xlfn.CONCAT(Tableau2[[#This Row],[Compte ILN]],"-",Tableau2[[#This Row],[Compte Shipper]],"-",Tableau2[[#This Row],[POL]],"-",Tableau2[[#This Row],[Compte Consignee]])</f>
        <v>0-25566103-CNSHA-</v>
      </c>
      <c r="B125" s="342" t="str">
        <f>IF(Tableau2[[#This Row],[Name Consignee]]="",_xlfn.CONCAT(Tableau2[[#This Row],[Compte ILN]],"-",Tableau2[[#This Row],[Compte Shipper]],"-",Tableau2[[#This Row],[POL]]),"-")</f>
        <v>0-25566103-CNSHA</v>
      </c>
      <c r="C125" s="166" t="s">
        <v>150</v>
      </c>
      <c r="D125" s="225">
        <f>VLOOKUP(Tableau2[[#This Row],[ Name ILN]],Plant_AILN!F:G,2,FALSE)</f>
        <v>0</v>
      </c>
      <c r="E125" s="166" t="s">
        <v>20</v>
      </c>
      <c r="F125" s="226">
        <f>IFERROR(VLOOKUP(Tableau2[[#This Row],[Name of shipper]],Plant_AILN!L:M,2,FALSE),0)</f>
        <v>25566103</v>
      </c>
      <c r="G125" s="231"/>
      <c r="H125" s="226" t="str">
        <f>IF(Tableau2[[#This Row],[Name Consignee]]=0,"",VLOOKUP(Tableau2[[#This Row],[Name Consignee]],Plant_AILN!A:C,3,FALSE))</f>
        <v/>
      </c>
      <c r="I125" s="52">
        <v>9</v>
      </c>
      <c r="J125" s="219">
        <v>7</v>
      </c>
      <c r="K125" s="94">
        <v>5</v>
      </c>
      <c r="L125" s="227">
        <v>4</v>
      </c>
      <c r="M125" s="228">
        <f>Tableau2[[#This Row],[Delivery time to ILN/Shipper]]+Tableau2[[#This Row],[Day ILN Order]]-1</f>
        <v>15</v>
      </c>
      <c r="N125" s="229">
        <v>5</v>
      </c>
      <c r="O125" s="230" t="s">
        <v>513</v>
      </c>
      <c r="P125" s="58">
        <v>5</v>
      </c>
    </row>
    <row r="126" spans="1:16">
      <c r="A126" s="242" t="str">
        <f>_xlfn.CONCAT(Tableau2[[#This Row],[Compte ILN]],"-",Tableau2[[#This Row],[Compte Shipper]],"-",Tableau2[[#This Row],[POL]],"-",Tableau2[[#This Row],[Compte Consignee]])</f>
        <v>0-42838302-CNKHN-</v>
      </c>
      <c r="B126" s="342" t="str">
        <f>IF(Tableau2[[#This Row],[Name Consignee]]="",_xlfn.CONCAT(Tableau2[[#This Row],[Compte ILN]],"-",Tableau2[[#This Row],[Compte Shipper]],"-",Tableau2[[#This Row],[POL]]),"-")</f>
        <v>0-42838302-CNKHN</v>
      </c>
      <c r="C126" s="166" t="s">
        <v>150</v>
      </c>
      <c r="D126" s="225">
        <f>VLOOKUP(Tableau2[[#This Row],[ Name ILN]],Plant_AILN!F:G,2,FALSE)</f>
        <v>0</v>
      </c>
      <c r="E126" s="166" t="s">
        <v>357</v>
      </c>
      <c r="F126" s="226">
        <f>IFERROR(VLOOKUP(Tableau2[[#This Row],[Name of shipper]],Plant_AILN!L:M,2,FALSE),0)</f>
        <v>42838302</v>
      </c>
      <c r="G126" s="231"/>
      <c r="H126" s="226" t="str">
        <f>IF(Tableau2[[#This Row],[Name Consignee]]=0,"",VLOOKUP(Tableau2[[#This Row],[Name Consignee]],Plant_AILN!A:C,3,FALSE))</f>
        <v/>
      </c>
      <c r="I126" s="52">
        <v>9</v>
      </c>
      <c r="J126" s="219">
        <v>7</v>
      </c>
      <c r="K126" s="94">
        <v>5</v>
      </c>
      <c r="L126" s="227">
        <v>7</v>
      </c>
      <c r="M126" s="228">
        <f>Tableau2[[#This Row],[Delivery time to ILN/Shipper]]+Tableau2[[#This Row],[Day ILN Order]]-1</f>
        <v>15</v>
      </c>
      <c r="N126" s="229">
        <v>3</v>
      </c>
      <c r="O126" s="230" t="s">
        <v>566</v>
      </c>
      <c r="P126" s="58">
        <v>2</v>
      </c>
    </row>
    <row r="127" spans="1:16">
      <c r="A127" s="242" t="str">
        <f>_xlfn.CONCAT(Tableau2[[#This Row],[Compte ILN]],"-",Tableau2[[#This Row],[Compte Shipper]],"-",Tableau2[[#This Row],[POL]],"-",Tableau2[[#This Row],[Compte Consignee]])</f>
        <v>0-42838302-CNSHA-</v>
      </c>
      <c r="B127" s="342" t="str">
        <f>IF(Tableau2[[#This Row],[Name Consignee]]="",_xlfn.CONCAT(Tableau2[[#This Row],[Compte ILN]],"-",Tableau2[[#This Row],[Compte Shipper]],"-",Tableau2[[#This Row],[POL]]),"-")</f>
        <v>0-42838302-CNSHA</v>
      </c>
      <c r="C127" s="166" t="s">
        <v>150</v>
      </c>
      <c r="D127" s="225">
        <f>VLOOKUP(Tableau2[[#This Row],[ Name ILN]],Plant_AILN!F:G,2,FALSE)</f>
        <v>0</v>
      </c>
      <c r="E127" s="166" t="s">
        <v>151</v>
      </c>
      <c r="F127" s="226">
        <f>IFERROR(VLOOKUP(Tableau2[[#This Row],[Name of shipper]],Plant_AILN!L:M,2,FALSE),0)</f>
        <v>42838302</v>
      </c>
      <c r="G127" s="231"/>
      <c r="H127" s="226" t="str">
        <f>IF(Tableau2[[#This Row],[Name Consignee]]=0,"",VLOOKUP(Tableau2[[#This Row],[Name Consignee]],Plant_AILN!A:C,3,FALSE))</f>
        <v/>
      </c>
      <c r="I127" s="52">
        <v>9</v>
      </c>
      <c r="J127" s="219">
        <v>7</v>
      </c>
      <c r="K127" s="94">
        <v>5</v>
      </c>
      <c r="L127" s="227">
        <v>7</v>
      </c>
      <c r="M127" s="228">
        <f>Tableau2[[#This Row],[Delivery time to ILN/Shipper]]+Tableau2[[#This Row],[Day ILN Order]]-1</f>
        <v>15</v>
      </c>
      <c r="N127" s="229">
        <v>8</v>
      </c>
      <c r="O127" s="230" t="s">
        <v>513</v>
      </c>
      <c r="P127" s="58">
        <v>3</v>
      </c>
    </row>
    <row r="128" spans="1:16">
      <c r="A128" s="242" t="str">
        <f>_xlfn.CONCAT(Tableau2[[#This Row],[Compte ILN]],"-",Tableau2[[#This Row],[Compte Shipper]],"-",Tableau2[[#This Row],[POL]],"-",Tableau2[[#This Row],[Compte Consignee]])</f>
        <v>0-29179900-CNSHA-</v>
      </c>
      <c r="B128" s="342" t="str">
        <f>IF(Tableau2[[#This Row],[Name Consignee]]="",_xlfn.CONCAT(Tableau2[[#This Row],[Compte ILN]],"-",Tableau2[[#This Row],[Compte Shipper]],"-",Tableau2[[#This Row],[POL]]),"-")</f>
        <v>0-29179900-CNSHA</v>
      </c>
      <c r="C128" s="166" t="s">
        <v>150</v>
      </c>
      <c r="D128" s="225">
        <f>VLOOKUP(Tableau2[[#This Row],[ Name ILN]],Plant_AILN!F:G,2,FALSE)</f>
        <v>0</v>
      </c>
      <c r="E128" s="166" t="s">
        <v>279</v>
      </c>
      <c r="F128" s="226">
        <f>IFERROR(VLOOKUP(Tableau2[[#This Row],[Name of shipper]],Plant_AILN!L:M,2,FALSE),0)</f>
        <v>29179900</v>
      </c>
      <c r="G128" s="231"/>
      <c r="H128" s="226" t="str">
        <f>IF(Tableau2[[#This Row],[Name Consignee]]=0,"",VLOOKUP(Tableau2[[#This Row],[Name Consignee]],Plant_AILN!A:C,3,FALSE))</f>
        <v/>
      </c>
      <c r="I128" s="52">
        <v>9</v>
      </c>
      <c r="J128" s="219">
        <v>7</v>
      </c>
      <c r="K128" s="94">
        <v>5</v>
      </c>
      <c r="L128" s="227">
        <v>7</v>
      </c>
      <c r="M128" s="228">
        <f>Tableau2[[#This Row],[Delivery time to ILN/Shipper]]+Tableau2[[#This Row],[Day ILN Order]]-1</f>
        <v>15</v>
      </c>
      <c r="N128" s="229">
        <v>3</v>
      </c>
      <c r="O128" s="230" t="s">
        <v>513</v>
      </c>
      <c r="P128" s="58">
        <v>5</v>
      </c>
    </row>
    <row r="129" spans="1:16">
      <c r="A129" s="242" t="str">
        <f>_xlfn.CONCAT(Tableau2[[#This Row],[Compte ILN]],"-",Tableau2[[#This Row],[Compte Shipper]],"-",Tableau2[[#This Row],[POL]],"-",Tableau2[[#This Row],[Compte Consignee]])</f>
        <v>2533780546-2533780535-INENR-</v>
      </c>
      <c r="B129" s="342" t="str">
        <f>IF(Tableau2[[#This Row],[Name Consignee]]="",_xlfn.CONCAT(Tableau2[[#This Row],[Compte ILN]],"-",Tableau2[[#This Row],[Compte Shipper]],"-",Tableau2[[#This Row],[POL]]),"-")</f>
        <v>2533780546-2533780535-INENR</v>
      </c>
      <c r="C129" s="166" t="s">
        <v>141</v>
      </c>
      <c r="D129" s="225">
        <f>VLOOKUP(Tableau2[[#This Row],[ Name ILN]],Plant_AILN!F:G,2,FALSE)</f>
        <v>2533780546</v>
      </c>
      <c r="E129" s="166" t="s">
        <v>266</v>
      </c>
      <c r="F129" s="226">
        <f>IFERROR(VLOOKUP(Tableau2[[#This Row],[Name of shipper]],Plant_AILN!L:M,2,FALSE),0)</f>
        <v>2533780535</v>
      </c>
      <c r="G129" s="231"/>
      <c r="H129" s="226" t="str">
        <f>IF(Tableau2[[#This Row],[Name Consignee]]=0,"",VLOOKUP(Tableau2[[#This Row],[Name Consignee]],Plant_AILN!A:C,3,FALSE))</f>
        <v/>
      </c>
      <c r="I129" s="52">
        <v>9</v>
      </c>
      <c r="J129" s="219">
        <v>14</v>
      </c>
      <c r="K129" s="94">
        <v>5</v>
      </c>
      <c r="L129" s="227">
        <v>7</v>
      </c>
      <c r="M129" s="228">
        <f>Tableau2[[#This Row],[Delivery time to ILN/Shipper]]+Tableau2[[#This Row],[Day ILN Order]]-1</f>
        <v>22</v>
      </c>
      <c r="N129" s="229">
        <v>2</v>
      </c>
      <c r="O129" s="230" t="s">
        <v>470</v>
      </c>
      <c r="P129" s="58">
        <v>5</v>
      </c>
    </row>
    <row r="130" spans="1:16">
      <c r="A130" s="242" t="str">
        <f>_xlfn.CONCAT(Tableau2[[#This Row],[Compte ILN]],"-",Tableau2[[#This Row],[Compte Shipper]],"-",Tableau2[[#This Row],[POL]],"-",Tableau2[[#This Row],[Compte Consignee]])</f>
        <v>95207-92007300-BRSSZ-90016000</v>
      </c>
      <c r="B130" s="342" t="str">
        <f>IF(Tableau2[[#This Row],[Name Consignee]]="",_xlfn.CONCAT(Tableau2[[#This Row],[Compte ILN]],"-",Tableau2[[#This Row],[Compte Shipper]],"-",Tableau2[[#This Row],[POL]]),"-")</f>
        <v>-</v>
      </c>
      <c r="C130" s="166" t="s">
        <v>157</v>
      </c>
      <c r="D130" s="225">
        <f>VLOOKUP(Tableau2[[#This Row],[ Name ILN]],Plant_AILN!F:G,2,FALSE)</f>
        <v>95207</v>
      </c>
      <c r="E130" s="166" t="s">
        <v>373</v>
      </c>
      <c r="F130" s="226">
        <f>IFERROR(VLOOKUP(Tableau2[[#This Row],[Name of shipper]],Plant_AILN!L:M,2,FALSE),0)</f>
        <v>92007300</v>
      </c>
      <c r="G130" s="231" t="s">
        <v>169</v>
      </c>
      <c r="H130" s="226">
        <f>IF(Tableau2[[#This Row],[Name Consignee]]=0,"",VLOOKUP(Tableau2[[#This Row],[Name Consignee]],Plant_AILN!A:C,3,FALSE))</f>
        <v>90016000</v>
      </c>
      <c r="I130" s="52">
        <v>9</v>
      </c>
      <c r="J130" s="219">
        <v>7</v>
      </c>
      <c r="K130" s="94">
        <v>5</v>
      </c>
      <c r="L130" s="227">
        <v>7</v>
      </c>
      <c r="M130" s="228">
        <f>Tableau2[[#This Row],[Delivery time to ILN/Shipper]]+Tableau2[[#This Row],[Day ILN Order]]-1</f>
        <v>15</v>
      </c>
      <c r="N130" s="229">
        <v>4</v>
      </c>
      <c r="O130" s="230" t="s">
        <v>567</v>
      </c>
      <c r="P130" s="58">
        <v>5</v>
      </c>
    </row>
    <row r="131" spans="1:16">
      <c r="A131" s="242" t="str">
        <f>_xlfn.CONCAT(Tableau2[[#This Row],[Compte ILN]],"-",Tableau2[[#This Row],[Compte Shipper]],"-",Tableau2[[#This Row],[POL]],"-",Tableau2[[#This Row],[Compte Consignee]])</f>
        <v>0-27002800-MYPGU-</v>
      </c>
      <c r="B131" s="342" t="str">
        <f>IF(Tableau2[[#This Row],[Name Consignee]]="",_xlfn.CONCAT(Tableau2[[#This Row],[Compte ILN]],"-",Tableau2[[#This Row],[Compte Shipper]],"-",Tableau2[[#This Row],[POL]]),"-")</f>
        <v>0-27002800-MYPGU</v>
      </c>
      <c r="C131" s="166" t="s">
        <v>150</v>
      </c>
      <c r="D131" s="225">
        <f>VLOOKUP(Tableau2[[#This Row],[ Name ILN]],Plant_AILN!F:G,2,FALSE)</f>
        <v>0</v>
      </c>
      <c r="E131" s="166" t="s">
        <v>302</v>
      </c>
      <c r="F131" s="226">
        <f>IFERROR(VLOOKUP(Tableau2[[#This Row],[Name of shipper]],Plant_AILN!L:M,2,FALSE),0)</f>
        <v>27002800</v>
      </c>
      <c r="G131" s="231"/>
      <c r="H131" s="226" t="str">
        <f>IF(Tableau2[[#This Row],[Name Consignee]]=0,"",VLOOKUP(Tableau2[[#This Row],[Name Consignee]],Plant_AILN!A:C,3,FALSE))</f>
        <v/>
      </c>
      <c r="I131" s="52">
        <v>9</v>
      </c>
      <c r="J131" s="219">
        <v>7</v>
      </c>
      <c r="K131" s="94">
        <v>5</v>
      </c>
      <c r="L131" s="227">
        <v>7</v>
      </c>
      <c r="M131" s="228">
        <f>Tableau2[[#This Row],[Delivery time to ILN/Shipper]]+Tableau2[[#This Row],[Day ILN Order]]-1</f>
        <v>15</v>
      </c>
      <c r="N131" s="229">
        <v>3</v>
      </c>
      <c r="O131" s="230" t="s">
        <v>553</v>
      </c>
      <c r="P131" s="58">
        <v>5</v>
      </c>
    </row>
    <row r="132" spans="1:16">
      <c r="A132" s="242" t="str">
        <f>_xlfn.CONCAT(Tableau2[[#This Row],[Compte ILN]],"-",Tableau2[[#This Row],[Compte Shipper]],"-",Tableau2[[#This Row],[POL]],"-",Tableau2[[#This Row],[Compte Consignee]])</f>
        <v>91018400-0-THLCH-</v>
      </c>
      <c r="B132" s="342" t="str">
        <f>IF(Tableau2[[#This Row],[Name Consignee]]="",_xlfn.CONCAT(Tableau2[[#This Row],[Compte ILN]],"-",Tableau2[[#This Row],[Compte Shipper]],"-",Tableau2[[#This Row],[POL]]),"-")</f>
        <v>91018400-0-THLCH</v>
      </c>
      <c r="C132" s="166" t="s">
        <v>144</v>
      </c>
      <c r="D132" s="225">
        <f>VLOOKUP(Tableau2[[#This Row],[ Name ILN]],Plant_AILN!F:G,2,FALSE)</f>
        <v>91018400</v>
      </c>
      <c r="E132" s="166" t="s">
        <v>568</v>
      </c>
      <c r="F132" s="226">
        <f>IFERROR(VLOOKUP(Tableau2[[#This Row],[Name of shipper]],Plant_AILN!L:M,2,FALSE),0)</f>
        <v>0</v>
      </c>
      <c r="G132" s="231"/>
      <c r="H132" s="226" t="str">
        <f>IF(Tableau2[[#This Row],[Name Consignee]]=0,"",VLOOKUP(Tableau2[[#This Row],[Name Consignee]],Plant_AILN!A:C,3,FALSE))</f>
        <v/>
      </c>
      <c r="I132" s="52">
        <v>9</v>
      </c>
      <c r="J132" s="219">
        <v>7</v>
      </c>
      <c r="K132" s="94">
        <v>5</v>
      </c>
      <c r="L132" s="227">
        <v>7</v>
      </c>
      <c r="M132" s="228">
        <f>Tableau2[[#This Row],[Delivery time to ILN/Shipper]]+Tableau2[[#This Row],[Day ILN Order]]-1</f>
        <v>15</v>
      </c>
      <c r="N132" s="229">
        <v>1</v>
      </c>
      <c r="O132" s="230" t="s">
        <v>520</v>
      </c>
      <c r="P132" s="58">
        <v>2</v>
      </c>
    </row>
    <row r="133" spans="1:16">
      <c r="A133" s="242" t="str">
        <f>_xlfn.CONCAT(Tableau2[[#This Row],[Compte ILN]],"-",Tableau2[[#This Row],[Compte Shipper]],"-",Tableau2[[#This Row],[POL]],"-",Tableau2[[#This Row],[Compte Consignee]])</f>
        <v>91018400-0-ZAPLZ-</v>
      </c>
      <c r="B133" s="342" t="str">
        <f>IF(Tableau2[[#This Row],[Name Consignee]]="",_xlfn.CONCAT(Tableau2[[#This Row],[Compte ILN]],"-",Tableau2[[#This Row],[Compte Shipper]],"-",Tableau2[[#This Row],[POL]]),"-")</f>
        <v>91018400-0-ZAPLZ</v>
      </c>
      <c r="C133" s="166" t="s">
        <v>144</v>
      </c>
      <c r="D133" s="225">
        <f>VLOOKUP(Tableau2[[#This Row],[ Name ILN]],Plant_AILN!F:G,2,FALSE)</f>
        <v>91018400</v>
      </c>
      <c r="E133" s="166" t="s">
        <v>569</v>
      </c>
      <c r="F133" s="226">
        <f>IFERROR(VLOOKUP(Tableau2[[#This Row],[Name of shipper]],Plant_AILN!L:M,2,FALSE),0)</f>
        <v>0</v>
      </c>
      <c r="G133" s="231"/>
      <c r="H133" s="226" t="str">
        <f>IF(Tableau2[[#This Row],[Name Consignee]]=0,"",VLOOKUP(Tableau2[[#This Row],[Name Consignee]],Plant_AILN!A:C,3,FALSE))</f>
        <v/>
      </c>
      <c r="I133" s="52">
        <v>9</v>
      </c>
      <c r="J133" s="219">
        <v>7</v>
      </c>
      <c r="K133" s="94">
        <v>5</v>
      </c>
      <c r="L133" s="227">
        <v>7</v>
      </c>
      <c r="M133" s="228">
        <f>Tableau2[[#This Row],[Delivery time to ILN/Shipper]]+Tableau2[[#This Row],[Day ILN Order]]-1</f>
        <v>15</v>
      </c>
      <c r="N133" s="229"/>
      <c r="O133" s="230" t="s">
        <v>570</v>
      </c>
      <c r="P133" s="58">
        <v>2</v>
      </c>
    </row>
    <row r="134" spans="1:16">
      <c r="A134" s="242" t="str">
        <f>_xlfn.CONCAT(Tableau2[[#This Row],[Compte ILN]],"-",Tableau2[[#This Row],[Compte Shipper]],"-",Tableau2[[#This Row],[POL]],"-",Tableau2[[#This Row],[Compte Consignee]])</f>
        <v>0-0-JPNGO-</v>
      </c>
      <c r="B134" s="342" t="str">
        <f>IF(Tableau2[[#This Row],[Name Consignee]]="",_xlfn.CONCAT(Tableau2[[#This Row],[Compte ILN]],"-",Tableau2[[#This Row],[Compte Shipper]],"-",Tableau2[[#This Row],[POL]]),"-")</f>
        <v>0-0-JPNGO</v>
      </c>
      <c r="C134" s="166" t="s">
        <v>150</v>
      </c>
      <c r="D134" s="225">
        <f>VLOOKUP(Tableau2[[#This Row],[ Name ILN]],Plant_AILN!F:G,2,FALSE)</f>
        <v>0</v>
      </c>
      <c r="E134" s="166" t="s">
        <v>571</v>
      </c>
      <c r="F134" s="226">
        <f>IFERROR(VLOOKUP(Tableau2[[#This Row],[Name of shipper]],Plant_AILN!L:M,2,FALSE),0)</f>
        <v>0</v>
      </c>
      <c r="G134" s="231"/>
      <c r="H134" s="226" t="str">
        <f>IF(Tableau2[[#This Row],[Name Consignee]]=0,"",VLOOKUP(Tableau2[[#This Row],[Name Consignee]],Plant_AILN!A:C,3,FALSE))</f>
        <v/>
      </c>
      <c r="I134" s="52">
        <v>9</v>
      </c>
      <c r="J134" s="219">
        <v>7</v>
      </c>
      <c r="K134" s="94">
        <v>5</v>
      </c>
      <c r="L134" s="227">
        <v>7</v>
      </c>
      <c r="M134" s="228">
        <f>Tableau2[[#This Row],[Delivery time to ILN/Shipper]]+Tableau2[[#This Row],[Day ILN Order]]-1</f>
        <v>15</v>
      </c>
      <c r="N134" s="229">
        <v>1</v>
      </c>
      <c r="O134" s="230" t="s">
        <v>488</v>
      </c>
      <c r="P134" s="58">
        <v>2</v>
      </c>
    </row>
    <row r="135" spans="1:16">
      <c r="A135" s="242" t="str">
        <f>_xlfn.CONCAT(Tableau2[[#This Row],[Compte ILN]],"-",Tableau2[[#This Row],[Compte Shipper]],"-",Tableau2[[#This Row],[POL]],"-",Tableau2[[#This Row],[Compte Consignee]])</f>
        <v>0-0-MYTPP-</v>
      </c>
      <c r="B135" s="342" t="str">
        <f>IF(Tableau2[[#This Row],[Name Consignee]]="",_xlfn.CONCAT(Tableau2[[#This Row],[Compte ILN]],"-",Tableau2[[#This Row],[Compte Shipper]],"-",Tableau2[[#This Row],[POL]]),"-")</f>
        <v>0-0-MYTPP</v>
      </c>
      <c r="C135" s="166" t="s">
        <v>150</v>
      </c>
      <c r="D135" s="225">
        <f>VLOOKUP(Tableau2[[#This Row],[ Name ILN]],Plant_AILN!F:G,2,FALSE)</f>
        <v>0</v>
      </c>
      <c r="E135" s="166" t="s">
        <v>150</v>
      </c>
      <c r="F135" s="226">
        <f>IFERROR(VLOOKUP(Tableau2[[#This Row],[Name of shipper]],Plant_AILN!L:M,2,FALSE),0)</f>
        <v>0</v>
      </c>
      <c r="G135" s="231"/>
      <c r="H135" s="226" t="str">
        <f>IF(Tableau2[[#This Row],[Name Consignee]]=0,"",VLOOKUP(Tableau2[[#This Row],[Name Consignee]],Plant_AILN!A:C,3,FALSE))</f>
        <v/>
      </c>
      <c r="I135" s="52">
        <v>9</v>
      </c>
      <c r="J135" s="219">
        <v>28</v>
      </c>
      <c r="K135" s="94">
        <v>5</v>
      </c>
      <c r="L135" s="227">
        <v>7</v>
      </c>
      <c r="M135" s="228">
        <f>Tableau2[[#This Row],[Delivery time to ILN/Shipper]]+Tableau2[[#This Row],[Day ILN Order]]-1</f>
        <v>36</v>
      </c>
      <c r="N135" s="229">
        <v>1</v>
      </c>
      <c r="O135" s="230" t="s">
        <v>551</v>
      </c>
      <c r="P135" s="58">
        <v>1</v>
      </c>
    </row>
    <row r="136" spans="1:16">
      <c r="A136" s="242" t="str">
        <f>_xlfn.CONCAT(Tableau2[[#This Row],[Compte ILN]],"-",Tableau2[[#This Row],[Compte Shipper]],"-",Tableau2[[#This Row],[POL]],"-",Tableau2[[#This Row],[Compte Consignee]])</f>
        <v>0-0-CNSHA-</v>
      </c>
      <c r="B136" s="342" t="str">
        <f>IF(Tableau2[[#This Row],[Name Consignee]]="",_xlfn.CONCAT(Tableau2[[#This Row],[Compte ILN]],"-",Tableau2[[#This Row],[Compte Shipper]],"-",Tableau2[[#This Row],[POL]]),"-")</f>
        <v>0-0-CNSHA</v>
      </c>
      <c r="C136" s="166" t="s">
        <v>150</v>
      </c>
      <c r="D136" s="225">
        <f>VLOOKUP(Tableau2[[#This Row],[ Name ILN]],Plant_AILN!F:G,2,FALSE)</f>
        <v>0</v>
      </c>
      <c r="E136" s="166" t="s">
        <v>150</v>
      </c>
      <c r="F136" s="226">
        <f>IFERROR(VLOOKUP(Tableau2[[#This Row],[Name of shipper]],Plant_AILN!L:M,2,FALSE),0)</f>
        <v>0</v>
      </c>
      <c r="G136" s="231"/>
      <c r="H136" s="226" t="str">
        <f>IF(Tableau2[[#This Row],[Name Consignee]]=0,"",VLOOKUP(Tableau2[[#This Row],[Name Consignee]],Plant_AILN!A:C,3,FALSE))</f>
        <v/>
      </c>
      <c r="I136" s="52">
        <v>7</v>
      </c>
      <c r="J136" s="219">
        <v>7</v>
      </c>
      <c r="K136" s="94">
        <v>5</v>
      </c>
      <c r="L136" s="227">
        <v>4</v>
      </c>
      <c r="M136" s="228">
        <f>Tableau2[[#This Row],[Delivery time to ILN/Shipper]]+Tableau2[[#This Row],[Day ILN Order]]-1</f>
        <v>13</v>
      </c>
      <c r="N136" s="229">
        <v>5</v>
      </c>
      <c r="O136" s="230" t="s">
        <v>513</v>
      </c>
      <c r="P136" s="58">
        <v>5</v>
      </c>
    </row>
    <row r="137" spans="1:16">
      <c r="A137" s="242" t="str">
        <f>_xlfn.CONCAT(Tableau2[[#This Row],[Compte ILN]],"-",Tableau2[[#This Row],[Compte Shipper]],"-",Tableau2[[#This Row],[POL]],"-",Tableau2[[#This Row],[Compte Consignee]])</f>
        <v>2533780535-2533780535-INMUN-900383</v>
      </c>
      <c r="B137" s="340" t="str">
        <f>IF(Tableau2[[#This Row],[Name Consignee]]="",_xlfn.CONCAT(Tableau2[[#This Row],[Compte ILN]],"-",Tableau2[[#This Row],[Compte Shipper]],"-",Tableau2[[#This Row],[POL]]),"-")</f>
        <v>-</v>
      </c>
      <c r="C137" s="233" t="s">
        <v>142</v>
      </c>
      <c r="D137" s="234">
        <f>VLOOKUP(Tableau2[[#This Row],[ Name ILN]],Plant_AILN!F:G,2,FALSE)</f>
        <v>2533780535</v>
      </c>
      <c r="E137" s="166" t="s">
        <v>266</v>
      </c>
      <c r="F137" s="226">
        <f>IFERROR(VLOOKUP(Tableau2[[#This Row],[Name of shipper]],Plant_AILN!L:M,2,FALSE),0)</f>
        <v>2533780535</v>
      </c>
      <c r="G137" s="137" t="s">
        <v>179</v>
      </c>
      <c r="H137" s="235">
        <f>IF(Tableau2[[#This Row],[Name Consignee]]=0,"",VLOOKUP(Tableau2[[#This Row],[Name Consignee]],Plant_AILN!A:C,3,FALSE))</f>
        <v>900383</v>
      </c>
      <c r="I137" s="103">
        <v>9</v>
      </c>
      <c r="J137" s="236">
        <v>14</v>
      </c>
      <c r="K137" s="237">
        <v>5</v>
      </c>
      <c r="L137" s="233">
        <v>7</v>
      </c>
      <c r="M137" s="238">
        <f>Tableau2[[#This Row],[Delivery time to ILN/Shipper]]+Tableau2[[#This Row],[Day ILN Order]]-1</f>
        <v>22</v>
      </c>
      <c r="N137" s="236">
        <v>3</v>
      </c>
      <c r="O137" s="94" t="s">
        <v>549</v>
      </c>
      <c r="P137" s="103">
        <v>5</v>
      </c>
    </row>
    <row r="138" spans="1:16">
      <c r="A138" s="242" t="str">
        <f>_xlfn.CONCAT(Tableau2[[#This Row],[Compte ILN]],"-",Tableau2[[#This Row],[Compte Shipper]],"-",Tableau2[[#This Row],[POL]],"-",Tableau2[[#This Row],[Compte Consignee]])</f>
        <v>2533780546-2533780546-INENR-25079500</v>
      </c>
      <c r="B138" s="340" t="str">
        <f>IF(Tableau2[[#This Row],[Name Consignee]]="",_xlfn.CONCAT(Tableau2[[#This Row],[Compte ILN]],"-",Tableau2[[#This Row],[Compte Shipper]],"-",Tableau2[[#This Row],[POL]]),"-")</f>
        <v>-</v>
      </c>
      <c r="C138" s="233" t="s">
        <v>141</v>
      </c>
      <c r="D138" s="234">
        <f>VLOOKUP(Tableau2[[#This Row],[ Name ILN]],Plant_AILN!F:G,2,FALSE)</f>
        <v>2533780546</v>
      </c>
      <c r="E138" s="166" t="s">
        <v>141</v>
      </c>
      <c r="F138" s="226">
        <f>IFERROR(VLOOKUP(Tableau2[[#This Row],[Name of shipper]],Plant_AILN!L:M,2,FALSE),0)</f>
        <v>2533780546</v>
      </c>
      <c r="G138" s="224" t="s">
        <v>546</v>
      </c>
      <c r="H138" s="235">
        <f>IF(Tableau2[[#This Row],[Name Consignee]]=0,"",VLOOKUP(Tableau2[[#This Row],[Name Consignee]],Plant_AILN!A:C,3,FALSE))</f>
        <v>25079500</v>
      </c>
      <c r="I138" s="103">
        <v>9</v>
      </c>
      <c r="J138" s="236">
        <v>14</v>
      </c>
      <c r="K138" s="237">
        <v>5</v>
      </c>
      <c r="L138" s="233">
        <v>7</v>
      </c>
      <c r="M138" s="238">
        <f>Tableau2[[#This Row],[Delivery time to ILN/Shipper]]+Tableau2[[#This Row],[Day ILN Order]]-1</f>
        <v>22</v>
      </c>
      <c r="N138" s="236">
        <v>2</v>
      </c>
      <c r="O138" s="237" t="s">
        <v>470</v>
      </c>
      <c r="P138" s="103">
        <v>3</v>
      </c>
    </row>
    <row r="139" spans="1:16">
      <c r="A139" s="242" t="str">
        <f>_xlfn.CONCAT(Tableau2[[#This Row],[Compte ILN]],"-",Tableau2[[#This Row],[Compte Shipper]],"-",Tableau2[[#This Row],[POL]],"-",Tableau2[[#This Row],[Compte Consignee]])</f>
        <v>95207-95207-BRPNG-26549500</v>
      </c>
      <c r="B139" s="340" t="str">
        <f>IF(Tableau2[[#This Row],[Name Consignee]]="",_xlfn.CONCAT(Tableau2[[#This Row],[Compte ILN]],"-",Tableau2[[#This Row],[Compte Shipper]],"-",Tableau2[[#This Row],[POL]]),"-")</f>
        <v>-</v>
      </c>
      <c r="C139" s="224" t="s">
        <v>157</v>
      </c>
      <c r="D139" s="234">
        <f>VLOOKUP(Tableau2[[#This Row],[ Name ILN]],Plant_AILN!F:G,2,FALSE)</f>
        <v>95207</v>
      </c>
      <c r="E139" s="166" t="s">
        <v>157</v>
      </c>
      <c r="F139" s="226">
        <f>IFERROR(VLOOKUP(Tableau2[[#This Row],[Name of shipper]],Plant_AILN!L:M,2,FALSE),0)</f>
        <v>95207</v>
      </c>
      <c r="G139" s="224" t="s">
        <v>257</v>
      </c>
      <c r="H139" s="235">
        <f>IF(Tableau2[[#This Row],[Name Consignee]]=0,"",VLOOKUP(Tableau2[[#This Row],[Name Consignee]],Plant_AILN!A:C,3,FALSE))</f>
        <v>26549500</v>
      </c>
      <c r="I139" s="103">
        <v>9</v>
      </c>
      <c r="J139" s="236">
        <v>14</v>
      </c>
      <c r="K139" s="237">
        <v>5</v>
      </c>
      <c r="L139" s="233">
        <v>7</v>
      </c>
      <c r="M139" s="238">
        <f>Tableau2[[#This Row],[Delivery time to ILN/Shipper]]+Tableau2[[#This Row],[Day ILN Order]]-1</f>
        <v>22</v>
      </c>
      <c r="N139" s="236">
        <v>10</v>
      </c>
      <c r="O139" s="237" t="s">
        <v>489</v>
      </c>
      <c r="P139" s="103">
        <v>4</v>
      </c>
    </row>
    <row r="140" spans="1:16">
      <c r="A140" s="242" t="str">
        <f>_xlfn.CONCAT(Tableau2[[#This Row],[Compte ILN]],"-",Tableau2[[#This Row],[Compte Shipper]],"-",Tableau2[[#This Row],[POL]],"-",Tableau2[[#This Row],[Compte Consignee]])</f>
        <v>95207-95207-BRPNG-26549502</v>
      </c>
      <c r="B140" s="340" t="str">
        <f>IF(Tableau2[[#This Row],[Name Consignee]]="",_xlfn.CONCAT(Tableau2[[#This Row],[Compte ILN]],"-",Tableau2[[#This Row],[Compte Shipper]],"-",Tableau2[[#This Row],[POL]]),"-")</f>
        <v>-</v>
      </c>
      <c r="C140" s="224" t="s">
        <v>157</v>
      </c>
      <c r="D140" s="234">
        <f>VLOOKUP(Tableau2[[#This Row],[ Name ILN]],Plant_AILN!F:G,2,FALSE)</f>
        <v>95207</v>
      </c>
      <c r="E140" s="166" t="s">
        <v>157</v>
      </c>
      <c r="F140" s="226">
        <f>IFERROR(VLOOKUP(Tableau2[[#This Row],[Name of shipper]],Plant_AILN!L:M,2,FALSE),0)</f>
        <v>95207</v>
      </c>
      <c r="G140" s="224" t="s">
        <v>190</v>
      </c>
      <c r="H140" s="235">
        <f>IF(Tableau2[[#This Row],[Name Consignee]]=0,"",VLOOKUP(Tableau2[[#This Row],[Name Consignee]],Plant_AILN!A:C,3,FALSE))</f>
        <v>26549502</v>
      </c>
      <c r="I140" s="103">
        <v>9</v>
      </c>
      <c r="J140" s="236">
        <v>14</v>
      </c>
      <c r="K140" s="237">
        <v>5</v>
      </c>
      <c r="L140" s="233">
        <v>7</v>
      </c>
      <c r="M140" s="238">
        <f>Tableau2[[#This Row],[Delivery time to ILN/Shipper]]+Tableau2[[#This Row],[Day ILN Order]]-1</f>
        <v>22</v>
      </c>
      <c r="N140" s="236">
        <v>10</v>
      </c>
      <c r="O140" s="237" t="s">
        <v>489</v>
      </c>
      <c r="P140" s="103">
        <v>4</v>
      </c>
    </row>
    <row r="141" spans="1:16">
      <c r="A141" s="242" t="str">
        <f>_xlfn.CONCAT(Tableau2[[#This Row],[Compte ILN]],"-",Tableau2[[#This Row],[Compte Shipper]],"-",Tableau2[[#This Row],[POL]],"-",Tableau2[[#This Row],[Compte Consignee]])</f>
        <v>95207-95207-BRPNG-9510600</v>
      </c>
      <c r="B141" s="340" t="str">
        <f>IF(Tableau2[[#This Row],[Name Consignee]]="",_xlfn.CONCAT(Tableau2[[#This Row],[Compte ILN]],"-",Tableau2[[#This Row],[Compte Shipper]],"-",Tableau2[[#This Row],[POL]]),"-")</f>
        <v>-</v>
      </c>
      <c r="C141" s="233" t="s">
        <v>157</v>
      </c>
      <c r="D141" s="234">
        <f>VLOOKUP(Tableau2[[#This Row],[ Name ILN]],Plant_AILN!F:G,2,FALSE)</f>
        <v>95207</v>
      </c>
      <c r="E141" s="166" t="s">
        <v>157</v>
      </c>
      <c r="F141" s="226">
        <f>IFERROR(VLOOKUP(Tableau2[[#This Row],[Name of shipper]],Plant_AILN!L:M,2,FALSE),0)</f>
        <v>95207</v>
      </c>
      <c r="G141" s="224" t="s">
        <v>176</v>
      </c>
      <c r="H141" s="235">
        <f>IF(Tableau2[[#This Row],[Name Consignee]]=0,"",VLOOKUP(Tableau2[[#This Row],[Name Consignee]],Plant_AILN!A:C,3,FALSE))</f>
        <v>9510600</v>
      </c>
      <c r="I141" s="103">
        <v>9</v>
      </c>
      <c r="J141" s="236">
        <v>7</v>
      </c>
      <c r="K141" s="237">
        <v>5</v>
      </c>
      <c r="L141" s="233">
        <v>7</v>
      </c>
      <c r="M141" s="238">
        <f>Tableau2[[#This Row],[Delivery time to ILN/Shipper]]+Tableau2[[#This Row],[Day ILN Order]]-1</f>
        <v>15</v>
      </c>
      <c r="N141" s="236">
        <v>3</v>
      </c>
      <c r="O141" s="237" t="s">
        <v>489</v>
      </c>
      <c r="P141" s="103">
        <v>4</v>
      </c>
    </row>
    <row r="142" spans="1:16">
      <c r="A142" s="242" t="str">
        <f>_xlfn.CONCAT(Tableau2[[#This Row],[Compte ILN]],"-",Tableau2[[#This Row],[Compte Shipper]],"-",Tableau2[[#This Row],[POL]],"-",Tableau2[[#This Row],[Compte Consignee]])</f>
        <v>26037000-26037000-CNSHA-90018600</v>
      </c>
      <c r="B142" s="340" t="str">
        <f>IF(Tableau2[[#This Row],[Name Consignee]]="",_xlfn.CONCAT(Tableau2[[#This Row],[Compte ILN]],"-",Tableau2[[#This Row],[Compte Shipper]],"-",Tableau2[[#This Row],[POL]]),"-")</f>
        <v>-</v>
      </c>
      <c r="C142" s="233" t="s">
        <v>171</v>
      </c>
      <c r="D142" s="234">
        <f>VLOOKUP(Tableau2[[#This Row],[ Name ILN]],Plant_AILN!F:G,2,FALSE)</f>
        <v>26037000</v>
      </c>
      <c r="E142" s="166" t="s">
        <v>171</v>
      </c>
      <c r="F142" s="226">
        <f>IFERROR(VLOOKUP(Tableau2[[#This Row],[Name of shipper]],Plant_AILN!L:M,2,FALSE),0)</f>
        <v>26037000</v>
      </c>
      <c r="G142" s="224" t="s">
        <v>168</v>
      </c>
      <c r="H142" s="235">
        <f>IF(Tableau2[[#This Row],[Name Consignee]]=0,"",VLOOKUP(Tableau2[[#This Row],[Name Consignee]],Plant_AILN!A:C,3,FALSE))</f>
        <v>90018600</v>
      </c>
      <c r="I142" s="103">
        <v>9</v>
      </c>
      <c r="J142" s="236">
        <v>14</v>
      </c>
      <c r="K142" s="237">
        <v>5</v>
      </c>
      <c r="L142" s="233">
        <v>7</v>
      </c>
      <c r="M142" s="238">
        <f>Tableau2[[#This Row],[Delivery time to ILN/Shipper]]+Tableau2[[#This Row],[Day ILN Order]]-1</f>
        <v>22</v>
      </c>
      <c r="N142" s="236">
        <v>1</v>
      </c>
      <c r="O142" s="230" t="s">
        <v>513</v>
      </c>
      <c r="P142" s="103">
        <v>2</v>
      </c>
    </row>
    <row r="143" spans="1:16">
      <c r="A143" s="242" t="str">
        <f>_xlfn.CONCAT(Tableau2[[#This Row],[Compte ILN]],"-",Tableau2[[#This Row],[Compte Shipper]],"-",Tableau2[[#This Row],[POL]],"-",Tableau2[[#This Row],[Compte Consignee]])</f>
        <v>26037000-26037000-CNSHA-90018500</v>
      </c>
      <c r="B143" s="340" t="str">
        <f>IF(Tableau2[[#This Row],[Name Consignee]]="",_xlfn.CONCAT(Tableau2[[#This Row],[Compte ILN]],"-",Tableau2[[#This Row],[Compte Shipper]],"-",Tableau2[[#This Row],[POL]]),"-")</f>
        <v>-</v>
      </c>
      <c r="C143" s="233" t="s">
        <v>171</v>
      </c>
      <c r="D143" s="234">
        <f>VLOOKUP(Tableau2[[#This Row],[ Name ILN]],Plant_AILN!F:G,2,FALSE)</f>
        <v>26037000</v>
      </c>
      <c r="E143" s="166" t="s">
        <v>171</v>
      </c>
      <c r="F143" s="226">
        <f>IFERROR(VLOOKUP(Tableau2[[#This Row],[Name of shipper]],Plant_AILN!L:M,2,FALSE),0)</f>
        <v>26037000</v>
      </c>
      <c r="G143" s="224" t="s">
        <v>211</v>
      </c>
      <c r="H143" s="235">
        <f>IF(Tableau2[[#This Row],[Name Consignee]]=0,"",VLOOKUP(Tableau2[[#This Row],[Name Consignee]],Plant_AILN!A:C,3,FALSE))</f>
        <v>90018500</v>
      </c>
      <c r="I143" s="103">
        <v>9</v>
      </c>
      <c r="J143" s="236">
        <v>14</v>
      </c>
      <c r="K143" s="237">
        <v>5</v>
      </c>
      <c r="L143" s="233">
        <v>7</v>
      </c>
      <c r="M143" s="238">
        <f>Tableau2[[#This Row],[Delivery time to ILN/Shipper]]+Tableau2[[#This Row],[Day ILN Order]]-1</f>
        <v>22</v>
      </c>
      <c r="N143" s="236">
        <v>1</v>
      </c>
      <c r="O143" s="230" t="s">
        <v>513</v>
      </c>
      <c r="P143" s="103">
        <v>2</v>
      </c>
    </row>
    <row r="144" spans="1:16">
      <c r="A144" s="242" t="str">
        <f>_xlfn.CONCAT(Tableau2[[#This Row],[Compte ILN]],"-",Tableau2[[#This Row],[Compte Shipper]],"-",Tableau2[[#This Row],[POL]],"-",Tableau2[[#This Row],[Compte Consignee]])</f>
        <v>26037000-26037000-CNSHA-90038200</v>
      </c>
      <c r="B144" s="340" t="str">
        <f>IF(Tableau2[[#This Row],[Name Consignee]]="",_xlfn.CONCAT(Tableau2[[#This Row],[Compte ILN]],"-",Tableau2[[#This Row],[Compte Shipper]],"-",Tableau2[[#This Row],[POL]]),"-")</f>
        <v>-</v>
      </c>
      <c r="C144" s="233" t="s">
        <v>171</v>
      </c>
      <c r="D144" s="234">
        <f>VLOOKUP(Tableau2[[#This Row],[ Name ILN]],Plant_AILN!F:G,2,FALSE)</f>
        <v>26037000</v>
      </c>
      <c r="E144" s="166" t="s">
        <v>171</v>
      </c>
      <c r="F144" s="226">
        <f>IFERROR(VLOOKUP(Tableau2[[#This Row],[Name of shipper]],Plant_AILN!L:M,2,FALSE),0)</f>
        <v>26037000</v>
      </c>
      <c r="G144" s="224" t="s">
        <v>178</v>
      </c>
      <c r="H144" s="235">
        <f>IF(Tableau2[[#This Row],[Name Consignee]]=0,"",VLOOKUP(Tableau2[[#This Row],[Name Consignee]],Plant_AILN!A:C,3,FALSE))</f>
        <v>90038200</v>
      </c>
      <c r="I144" s="103">
        <v>9</v>
      </c>
      <c r="J144" s="236">
        <v>14</v>
      </c>
      <c r="K144" s="237">
        <v>5</v>
      </c>
      <c r="L144" s="233">
        <v>7</v>
      </c>
      <c r="M144" s="238">
        <f>Tableau2[[#This Row],[Delivery time to ILN/Shipper]]+Tableau2[[#This Row],[Day ILN Order]]-1</f>
        <v>22</v>
      </c>
      <c r="N144" s="236">
        <v>1</v>
      </c>
      <c r="O144" s="230" t="s">
        <v>513</v>
      </c>
      <c r="P144" s="103">
        <v>2</v>
      </c>
    </row>
    <row r="145" spans="1:16">
      <c r="A145" s="242" t="str">
        <f>_xlfn.CONCAT(Tableau2[[#This Row],[Compte ILN]],"-",Tableau2[[#This Row],[Compte Shipper]],"-",Tableau2[[#This Row],[POL]],"-",Tableau2[[#This Row],[Compte Consignee]])</f>
        <v>26037001-26037001-CNSHA/CNNGB-90014400</v>
      </c>
      <c r="B145" s="340" t="str">
        <f>IF(Tableau2[[#This Row],[Name Consignee]]="",_xlfn.CONCAT(Tableau2[[#This Row],[Compte ILN]],"-",Tableau2[[#This Row],[Compte Shipper]],"-",Tableau2[[#This Row],[POL]]),"-")</f>
        <v>-</v>
      </c>
      <c r="C145" s="233" t="s">
        <v>206</v>
      </c>
      <c r="D145" s="234">
        <f>VLOOKUP(Tableau2[[#This Row],[ Name ILN]],Plant_AILN!F:G,2,FALSE)</f>
        <v>26037001</v>
      </c>
      <c r="E145" s="166" t="s">
        <v>206</v>
      </c>
      <c r="F145" s="226">
        <f>IFERROR(VLOOKUP(Tableau2[[#This Row],[Name of shipper]],Plant_AILN!L:M,2,FALSE),0)</f>
        <v>26037001</v>
      </c>
      <c r="G145" s="224" t="s">
        <v>164</v>
      </c>
      <c r="H145" s="235">
        <f>IF(Tableau2[[#This Row],[Name Consignee]]=0,"",VLOOKUP(Tableau2[[#This Row],[Name Consignee]],Plant_AILN!A:C,3,FALSE))</f>
        <v>90014400</v>
      </c>
      <c r="I145" s="103">
        <v>16</v>
      </c>
      <c r="J145" s="236">
        <v>14</v>
      </c>
      <c r="K145" s="237">
        <v>5</v>
      </c>
      <c r="L145" s="233">
        <v>7</v>
      </c>
      <c r="M145" s="238">
        <f>Tableau2[[#This Row],[Delivery time to ILN/Shipper]]+Tableau2[[#This Row],[Day ILN Order]]-1</f>
        <v>29</v>
      </c>
      <c r="N145" s="236">
        <v>7</v>
      </c>
      <c r="O145" s="237" t="s">
        <v>572</v>
      </c>
      <c r="P145" s="103">
        <v>1</v>
      </c>
    </row>
    <row r="146" spans="1:16">
      <c r="A146" s="242" t="str">
        <f>_xlfn.CONCAT(Tableau2[[#This Row],[Compte ILN]],"-",Tableau2[[#This Row],[Compte Shipper]],"-",Tableau2[[#This Row],[POL]],"-",Tableau2[[#This Row],[Compte Consignee]])</f>
        <v>2533780535-2533780535-INNSA-90016800</v>
      </c>
      <c r="B146" s="340" t="str">
        <f>IF(Tableau2[[#This Row],[Name Consignee]]="",_xlfn.CONCAT(Tableau2[[#This Row],[Compte ILN]],"-",Tableau2[[#This Row],[Compte Shipper]],"-",Tableau2[[#This Row],[POL]]),"-")</f>
        <v>-</v>
      </c>
      <c r="C146" s="233" t="s">
        <v>142</v>
      </c>
      <c r="D146" s="234">
        <f>VLOOKUP(Tableau2[[#This Row],[ Name ILN]],Plant_AILN!F:G,2,FALSE)</f>
        <v>2533780535</v>
      </c>
      <c r="E146" s="166" t="s">
        <v>266</v>
      </c>
      <c r="F146" s="226">
        <f>IFERROR(VLOOKUP(Tableau2[[#This Row],[Name of shipper]],Plant_AILN!L:M,2,FALSE),0)</f>
        <v>2533780535</v>
      </c>
      <c r="G146" s="224" t="s">
        <v>180</v>
      </c>
      <c r="H146" s="235">
        <f>IF(Tableau2[[#This Row],[Name Consignee]]=0,"",VLOOKUP(Tableau2[[#This Row],[Name Consignee]],Plant_AILN!A:C,3,FALSE))</f>
        <v>90016800</v>
      </c>
      <c r="I146" s="103">
        <v>9</v>
      </c>
      <c r="J146" s="236">
        <v>14</v>
      </c>
      <c r="K146" s="237">
        <v>5</v>
      </c>
      <c r="L146" s="233">
        <v>7</v>
      </c>
      <c r="M146" s="238">
        <f>Tableau2[[#This Row],[Delivery time to ILN/Shipper]]+Tableau2[[#This Row],[Day ILN Order]]-1</f>
        <v>22</v>
      </c>
      <c r="N146" s="236">
        <v>2</v>
      </c>
      <c r="O146" s="239" t="s">
        <v>476</v>
      </c>
      <c r="P146" s="103">
        <v>5</v>
      </c>
    </row>
    <row r="147" spans="1:16">
      <c r="A147" s="242" t="str">
        <f>_xlfn.CONCAT(Tableau2[[#This Row],[Compte ILN]],"-",Tableau2[[#This Row],[Compte Shipper]],"-",Tableau2[[#This Row],[POL]],"-",Tableau2[[#This Row],[Compte Consignee]])</f>
        <v>2533780535-2533780535-INNSA-90017000</v>
      </c>
      <c r="B147" s="340" t="str">
        <f>IF(Tableau2[[#This Row],[Name Consignee]]="",_xlfn.CONCAT(Tableau2[[#This Row],[Compte ILN]],"-",Tableau2[[#This Row],[Compte Shipper]],"-",Tableau2[[#This Row],[POL]]),"-")</f>
        <v>-</v>
      </c>
      <c r="C147" s="233" t="s">
        <v>142</v>
      </c>
      <c r="D147" s="234">
        <f>VLOOKUP(Tableau2[[#This Row],[ Name ILN]],Plant_AILN!F:G,2,FALSE)</f>
        <v>2533780535</v>
      </c>
      <c r="E147" s="166" t="s">
        <v>266</v>
      </c>
      <c r="F147" s="226">
        <f>IFERROR(VLOOKUP(Tableau2[[#This Row],[Name of shipper]],Plant_AILN!L:M,2,FALSE),0)</f>
        <v>2533780535</v>
      </c>
      <c r="G147" s="224" t="s">
        <v>167</v>
      </c>
      <c r="H147" s="235">
        <f>IF(Tableau2[[#This Row],[Name Consignee]]=0,"",VLOOKUP(Tableau2[[#This Row],[Name Consignee]],Plant_AILN!A:C,3,FALSE))</f>
        <v>90017000</v>
      </c>
      <c r="I147" s="103">
        <v>9</v>
      </c>
      <c r="J147" s="236">
        <v>14</v>
      </c>
      <c r="K147" s="237">
        <v>5</v>
      </c>
      <c r="L147" s="233">
        <v>7</v>
      </c>
      <c r="M147" s="238">
        <f>Tableau2[[#This Row],[Delivery time to ILN/Shipper]]+Tableau2[[#This Row],[Day ILN Order]]-1</f>
        <v>22</v>
      </c>
      <c r="N147" s="236">
        <v>2</v>
      </c>
      <c r="O147" s="239" t="s">
        <v>476</v>
      </c>
      <c r="P147" s="103">
        <v>5</v>
      </c>
    </row>
    <row r="148" spans="1:16">
      <c r="A148" s="242" t="str">
        <f>_xlfn.CONCAT(Tableau2[[#This Row],[Compte ILN]],"-",Tableau2[[#This Row],[Compte Shipper]],"-",Tableau2[[#This Row],[POL]],"-",Tableau2[[#This Row],[Compte Consignee]])</f>
        <v>95207-95207-BRPNG-90018400</v>
      </c>
      <c r="B148" s="343" t="str">
        <f>IF(Tableau2[[#This Row],[Name Consignee]]="",_xlfn.CONCAT(Tableau2[[#This Row],[Compte ILN]],"-",Tableau2[[#This Row],[Compte Shipper]],"-",Tableau2[[#This Row],[POL]]),"-")</f>
        <v>-</v>
      </c>
      <c r="C148" s="233" t="s">
        <v>157</v>
      </c>
      <c r="D148" s="234">
        <f>VLOOKUP(Tableau2[[#This Row],[ Name ILN]],Plant_AILN!F:G,2,FALSE)</f>
        <v>95207</v>
      </c>
      <c r="E148" s="166" t="s">
        <v>157</v>
      </c>
      <c r="F148" s="226">
        <f>IFERROR(VLOOKUP(Tableau2[[#This Row],[Name of shipper]],Plant_AILN!L:M,2,FALSE),0)</f>
        <v>95207</v>
      </c>
      <c r="G148" s="224" t="s">
        <v>397</v>
      </c>
      <c r="H148" s="235">
        <f>IF(Tableau2[[#This Row],[Name Consignee]]=0,"",VLOOKUP(Tableau2[[#This Row],[Name Consignee]],Plant_AILN!A:C,3,FALSE))</f>
        <v>90018400</v>
      </c>
      <c r="I148" s="103">
        <v>9</v>
      </c>
      <c r="J148" s="236">
        <v>7</v>
      </c>
      <c r="K148" s="94">
        <v>5</v>
      </c>
      <c r="L148" s="233">
        <v>7</v>
      </c>
      <c r="M148" s="238">
        <f>Tableau2[[#This Row],[Delivery time to ILN/Shipper]]+Tableau2[[#This Row],[Day ILN Order]]-1</f>
        <v>15</v>
      </c>
      <c r="N148" s="236">
        <v>13</v>
      </c>
      <c r="O148" s="237" t="s">
        <v>489</v>
      </c>
      <c r="P148" s="240">
        <v>7</v>
      </c>
    </row>
    <row r="149" spans="1:16">
      <c r="A149" s="242" t="str">
        <f>_xlfn.CONCAT(Tableau2[[#This Row],[Compte ILN]],"-",Tableau2[[#This Row],[Compte Shipper]],"-",Tableau2[[#This Row],[POL]],"-",Tableau2[[#This Row],[Compte Consignee]])</f>
        <v>95207-95207-BRPNG-90017100</v>
      </c>
      <c r="B149" s="343" t="str">
        <f>IF(Tableau2[[#This Row],[Name Consignee]]="",_xlfn.CONCAT(Tableau2[[#This Row],[Compte ILN]],"-",Tableau2[[#This Row],[Compte Shipper]],"-",Tableau2[[#This Row],[POL]]),"-")</f>
        <v>-</v>
      </c>
      <c r="C149" s="233" t="s">
        <v>157</v>
      </c>
      <c r="D149" s="234">
        <f>VLOOKUP(Tableau2[[#This Row],[ Name ILN]],Plant_AILN!F:G,2,FALSE)</f>
        <v>95207</v>
      </c>
      <c r="E149" s="166" t="s">
        <v>157</v>
      </c>
      <c r="F149" s="226">
        <f>IFERROR(VLOOKUP(Tableau2[[#This Row],[Name of shipper]],Plant_AILN!L:M,2,FALSE),0)</f>
        <v>95207</v>
      </c>
      <c r="G149" s="224" t="s">
        <v>573</v>
      </c>
      <c r="H149" s="235">
        <f>IF(Tableau2[[#This Row],[Name Consignee]]=0,"",VLOOKUP(Tableau2[[#This Row],[Name Consignee]],Plant_AILN!A:C,3,FALSE))</f>
        <v>90017100</v>
      </c>
      <c r="I149" s="103">
        <v>9</v>
      </c>
      <c r="J149" s="236">
        <v>7</v>
      </c>
      <c r="K149" s="94">
        <v>5</v>
      </c>
      <c r="L149" s="233">
        <v>7</v>
      </c>
      <c r="M149" s="238">
        <f>Tableau2[[#This Row],[Delivery time to ILN/Shipper]]+Tableau2[[#This Row],[Day ILN Order]]-1</f>
        <v>15</v>
      </c>
      <c r="N149" s="236">
        <v>13</v>
      </c>
      <c r="O149" s="237" t="s">
        <v>489</v>
      </c>
      <c r="P149" s="240">
        <v>7</v>
      </c>
    </row>
    <row r="150" spans="1:16">
      <c r="A150" s="242" t="str">
        <f>_xlfn.CONCAT(Tableau2[[#This Row],[Compte ILN]],"-",Tableau2[[#This Row],[Compte Shipper]],"-",Tableau2[[#This Row],[POL]],"-",Tableau2[[#This Row],[Compte Consignee]])</f>
        <v>95207-95207-BRPNG-90016200</v>
      </c>
      <c r="B150" s="343" t="str">
        <f>IF(Tableau2[[#This Row],[Name Consignee]]="",_xlfn.CONCAT(Tableau2[[#This Row],[Compte ILN]],"-",Tableau2[[#This Row],[Compte Shipper]],"-",Tableau2[[#This Row],[POL]]),"-")</f>
        <v>-</v>
      </c>
      <c r="C150" s="233" t="s">
        <v>157</v>
      </c>
      <c r="D150" s="234">
        <f>VLOOKUP(Tableau2[[#This Row],[ Name ILN]],Plant_AILN!F:G,2,FALSE)</f>
        <v>95207</v>
      </c>
      <c r="E150" s="166" t="s">
        <v>157</v>
      </c>
      <c r="F150" s="226">
        <f>IFERROR(VLOOKUP(Tableau2[[#This Row],[Name of shipper]],Plant_AILN!L:M,2,FALSE),0)</f>
        <v>95207</v>
      </c>
      <c r="G150" s="224" t="s">
        <v>185</v>
      </c>
      <c r="H150" s="235">
        <f>IF(Tableau2[[#This Row],[Name Consignee]]=0,"",VLOOKUP(Tableau2[[#This Row],[Name Consignee]],Plant_AILN!A:C,3,FALSE))</f>
        <v>90016200</v>
      </c>
      <c r="I150" s="103">
        <v>9</v>
      </c>
      <c r="J150" s="236">
        <v>7</v>
      </c>
      <c r="K150" s="94">
        <v>5</v>
      </c>
      <c r="L150" s="233">
        <v>7</v>
      </c>
      <c r="M150" s="238">
        <f>Tableau2[[#This Row],[Delivery time to ILN/Shipper]]+Tableau2[[#This Row],[Day ILN Order]]-1</f>
        <v>15</v>
      </c>
      <c r="N150" s="236">
        <v>13</v>
      </c>
      <c r="O150" s="237" t="s">
        <v>489</v>
      </c>
      <c r="P150" s="240">
        <v>7</v>
      </c>
    </row>
    <row r="151" spans="1:16">
      <c r="A151" s="242" t="str">
        <f>_xlfn.CONCAT(Tableau2[[#This Row],[Compte ILN]],"-",Tableau2[[#This Row],[Compte Shipper]],"-",Tableau2[[#This Row],[POL]],"-",Tableau2[[#This Row],[Compte Consignee]])</f>
        <v>95207-95207-BRPNG-90015100</v>
      </c>
      <c r="B151" s="343" t="str">
        <f>IF(Tableau2[[#This Row],[Name Consignee]]="",_xlfn.CONCAT(Tableau2[[#This Row],[Compte ILN]],"-",Tableau2[[#This Row],[Compte Shipper]],"-",Tableau2[[#This Row],[POL]]),"-")</f>
        <v>-</v>
      </c>
      <c r="C151" s="233" t="s">
        <v>157</v>
      </c>
      <c r="D151" s="234">
        <f>VLOOKUP(Tableau2[[#This Row],[ Name ILN]],Plant_AILN!F:G,2,FALSE)</f>
        <v>95207</v>
      </c>
      <c r="E151" s="166" t="s">
        <v>157</v>
      </c>
      <c r="F151" s="226">
        <f>IFERROR(VLOOKUP(Tableau2[[#This Row],[Name of shipper]],Plant_AILN!L:M,2,FALSE),0)</f>
        <v>95207</v>
      </c>
      <c r="G151" s="224" t="s">
        <v>187</v>
      </c>
      <c r="H151" s="235">
        <f>IF(Tableau2[[#This Row],[Name Consignee]]=0,"",VLOOKUP(Tableau2[[#This Row],[Name Consignee]],Plant_AILN!A:C,3,FALSE))</f>
        <v>90015100</v>
      </c>
      <c r="I151" s="103">
        <v>9</v>
      </c>
      <c r="J151" s="236">
        <v>7</v>
      </c>
      <c r="K151" s="237">
        <v>5</v>
      </c>
      <c r="L151" s="233">
        <v>7</v>
      </c>
      <c r="M151" s="238">
        <f>Tableau2[[#This Row],[Delivery time to ILN/Shipper]]+Tableau2[[#This Row],[Day ILN Order]]-1</f>
        <v>15</v>
      </c>
      <c r="N151" s="236">
        <v>13</v>
      </c>
      <c r="O151" s="237" t="s">
        <v>489</v>
      </c>
      <c r="P151" s="241">
        <v>7</v>
      </c>
    </row>
    <row r="152" spans="1:16">
      <c r="A152" s="242" t="str">
        <f>_xlfn.CONCAT(Tableau2[[#This Row],[Compte ILN]],"-",Tableau2[[#This Row],[Compte Shipper]],"-",Tableau2[[#This Row],[POL]],"-",Tableau2[[#This Row],[Compte Consignee]])</f>
        <v>95207-95207-BRPNG-90019100</v>
      </c>
      <c r="B152" s="343" t="str">
        <f>IF(Tableau2[[#This Row],[Name Consignee]]="",_xlfn.CONCAT(Tableau2[[#This Row],[Compte ILN]],"-",Tableau2[[#This Row],[Compte Shipper]],"-",Tableau2[[#This Row],[POL]]),"-")</f>
        <v>-</v>
      </c>
      <c r="C152" s="233" t="s">
        <v>157</v>
      </c>
      <c r="D152" s="234">
        <f>VLOOKUP(Tableau2[[#This Row],[ Name ILN]],Plant_AILN!F:G,2,FALSE)</f>
        <v>95207</v>
      </c>
      <c r="E152" s="166" t="s">
        <v>157</v>
      </c>
      <c r="F152" s="226">
        <f>IFERROR(VLOOKUP(Tableau2[[#This Row],[Name of shipper]],Plant_AILN!L:M,2,FALSE),0)</f>
        <v>95207</v>
      </c>
      <c r="G152" s="224" t="s">
        <v>189</v>
      </c>
      <c r="H152" s="235">
        <f>IF(Tableau2[[#This Row],[Name Consignee]]=0,"",VLOOKUP(Tableau2[[#This Row],[Name Consignee]],Plant_AILN!A:C,3,FALSE))</f>
        <v>90019100</v>
      </c>
      <c r="I152" s="103">
        <v>9</v>
      </c>
      <c r="J152" s="236">
        <v>7</v>
      </c>
      <c r="K152" s="237">
        <v>5</v>
      </c>
      <c r="L152" s="233">
        <v>7</v>
      </c>
      <c r="M152" s="238">
        <f>Tableau2[[#This Row],[Delivery time to ILN/Shipper]]+Tableau2[[#This Row],[Day ILN Order]]-1</f>
        <v>15</v>
      </c>
      <c r="N152" s="236">
        <v>13</v>
      </c>
      <c r="O152" s="237" t="s">
        <v>489</v>
      </c>
      <c r="P152" s="241">
        <v>7</v>
      </c>
    </row>
    <row r="153" spans="1:16">
      <c r="A153" s="242" t="str">
        <f>_xlfn.CONCAT(Tableau2[[#This Row],[Compte ILN]],"-",Tableau2[[#This Row],[Compte Shipper]],"-",Tableau2[[#This Row],[POL]],"-",Tableau2[[#This Row],[Compte Consignee]])</f>
        <v>95207-95207-BRPNG-90018300</v>
      </c>
      <c r="B153" s="344" t="str">
        <f>IF(Tableau2[[#This Row],[Name Consignee]]="",_xlfn.CONCAT(Tableau2[[#This Row],[Compte ILN]],"-",Tableau2[[#This Row],[Compte Shipper]],"-",Tableau2[[#This Row],[POL]]),"-")</f>
        <v>-</v>
      </c>
      <c r="C153" s="233" t="s">
        <v>157</v>
      </c>
      <c r="D153" s="225">
        <f>VLOOKUP(Tableau2[[#This Row],[ Name ILN]],Plant_AILN!F:G,2,FALSE)</f>
        <v>95207</v>
      </c>
      <c r="E153" s="166" t="s">
        <v>157</v>
      </c>
      <c r="F153" s="226">
        <f>IFERROR(VLOOKUP(Tableau2[[#This Row],[Name of shipper]],Plant_AILN!L:M,2,FALSE),0)</f>
        <v>95207</v>
      </c>
      <c r="G153" s="224" t="s">
        <v>186</v>
      </c>
      <c r="H153" s="235">
        <f>IF(Tableau2[[#This Row],[Name Consignee]]=0,"",VLOOKUP(Tableau2[[#This Row],[Name Consignee]],Plant_AILN!A:C,3,FALSE))</f>
        <v>90018300</v>
      </c>
      <c r="I153" s="103">
        <v>9</v>
      </c>
      <c r="J153" s="219">
        <v>7</v>
      </c>
      <c r="K153" s="237">
        <v>5</v>
      </c>
      <c r="L153" s="224">
        <v>7</v>
      </c>
      <c r="M153" s="228">
        <f>Tableau2[[#This Row],[Delivery time to ILN/Shipper]]+Tableau2[[#This Row],[Day ILN Order]]-1</f>
        <v>15</v>
      </c>
      <c r="N153" s="219">
        <v>13</v>
      </c>
      <c r="O153" s="237" t="s">
        <v>489</v>
      </c>
      <c r="P153" s="241">
        <v>7</v>
      </c>
    </row>
    <row r="154" spans="1:16">
      <c r="A154" s="242" t="str">
        <f>_xlfn.CONCAT(Tableau2[[#This Row],[Compte ILN]],"-",Tableau2[[#This Row],[Compte Shipper]],"-",Tableau2[[#This Row],[POL]],"-",Tableau2[[#This Row],[Compte Consignee]])</f>
        <v>95207-95207-BRPNG-92000100</v>
      </c>
      <c r="B154" s="344" t="str">
        <f>IF(Tableau2[[#This Row],[Name Consignee]]="",_xlfn.CONCAT(Tableau2[[#This Row],[Compte ILN]],"-",Tableau2[[#This Row],[Compte Shipper]],"-",Tableau2[[#This Row],[POL]]),"-")</f>
        <v>-</v>
      </c>
      <c r="C154" s="233" t="s">
        <v>157</v>
      </c>
      <c r="D154" s="225">
        <f>VLOOKUP(Tableau2[[#This Row],[ Name ILN]],Plant_AILN!F:G,2,FALSE)</f>
        <v>95207</v>
      </c>
      <c r="E154" s="166" t="s">
        <v>157</v>
      </c>
      <c r="F154" s="226">
        <f>IFERROR(VLOOKUP(Tableau2[[#This Row],[Name of shipper]],Plant_AILN!L:M,2,FALSE),0)</f>
        <v>95207</v>
      </c>
      <c r="G154" s="224" t="s">
        <v>184</v>
      </c>
      <c r="H154" s="235">
        <f>IF(Tableau2[[#This Row],[Name Consignee]]=0,"",VLOOKUP(Tableau2[[#This Row],[Name Consignee]],Plant_AILN!A:C,3,FALSE))</f>
        <v>92000100</v>
      </c>
      <c r="I154" s="103">
        <v>9</v>
      </c>
      <c r="J154" s="219">
        <v>7</v>
      </c>
      <c r="K154" s="237">
        <v>5</v>
      </c>
      <c r="L154" s="224">
        <v>7</v>
      </c>
      <c r="M154" s="228">
        <f>Tableau2[[#This Row],[Delivery time to ILN/Shipper]]+Tableau2[[#This Row],[Day ILN Order]]-1</f>
        <v>15</v>
      </c>
      <c r="N154" s="219">
        <v>13</v>
      </c>
      <c r="O154" s="237" t="s">
        <v>489</v>
      </c>
      <c r="P154" s="241">
        <v>7</v>
      </c>
    </row>
    <row r="155" spans="1:16">
      <c r="A155" s="242" t="str">
        <f>_xlfn.CONCAT(Tableau2[[#This Row],[Compte ILN]],"-",Tableau2[[#This Row],[Compte Shipper]],"-",Tableau2[[#This Row],[POL]],"-",Tableau2[[#This Row],[Compte Consignee]])</f>
        <v>95207-95207-BRPNG-91017200</v>
      </c>
      <c r="B155" s="344" t="str">
        <f>IF(Tableau2[[#This Row],[Name Consignee]]="",_xlfn.CONCAT(Tableau2[[#This Row],[Compte ILN]],"-",Tableau2[[#This Row],[Compte Shipper]],"-",Tableau2[[#This Row],[POL]]),"-")</f>
        <v>-</v>
      </c>
      <c r="C155" s="233" t="s">
        <v>157</v>
      </c>
      <c r="D155" s="225">
        <f>VLOOKUP(Tableau2[[#This Row],[ Name ILN]],Plant_AILN!F:G,2,FALSE)</f>
        <v>95207</v>
      </c>
      <c r="E155" s="166" t="s">
        <v>157</v>
      </c>
      <c r="F155" s="226">
        <f>IFERROR(VLOOKUP(Tableau2[[#This Row],[Name of shipper]],Plant_AILN!L:M,2,FALSE),0)</f>
        <v>95207</v>
      </c>
      <c r="G155" s="224" t="s">
        <v>175</v>
      </c>
      <c r="H155" s="235">
        <f>IF(Tableau2[[#This Row],[Name Consignee]]=0,"",VLOOKUP(Tableau2[[#This Row],[Name Consignee]],Plant_AILN!A:C,3,FALSE))</f>
        <v>91017200</v>
      </c>
      <c r="I155" s="103">
        <v>9</v>
      </c>
      <c r="J155" s="219">
        <v>7</v>
      </c>
      <c r="K155" s="237">
        <v>5</v>
      </c>
      <c r="L155" s="224">
        <v>7</v>
      </c>
      <c r="M155" s="228">
        <f>Tableau2[[#This Row],[Delivery time to ILN/Shipper]]+Tableau2[[#This Row],[Day ILN Order]]-1</f>
        <v>15</v>
      </c>
      <c r="N155" s="236">
        <v>13</v>
      </c>
      <c r="O155" s="237" t="s">
        <v>489</v>
      </c>
      <c r="P155" s="241">
        <v>7</v>
      </c>
    </row>
    <row r="156" spans="1:16">
      <c r="A156" s="242" t="str">
        <f>_xlfn.CONCAT(Tableau2[[#This Row],[Compte ILN]],"-",Tableau2[[#This Row],[Compte Shipper]],"-",Tableau2[[#This Row],[POL]],"-",Tableau2[[#This Row],[Compte Consignee]])</f>
        <v>95207-95207-BRPNG-91017500</v>
      </c>
      <c r="B156" s="344" t="str">
        <f>IF(Tableau2[[#This Row],[Name Consignee]]="",_xlfn.CONCAT(Tableau2[[#This Row],[Compte ILN]],"-",Tableau2[[#This Row],[Compte Shipper]],"-",Tableau2[[#This Row],[POL]]),"-")</f>
        <v>-</v>
      </c>
      <c r="C156" s="233" t="s">
        <v>157</v>
      </c>
      <c r="D156" s="225">
        <f>VLOOKUP(Tableau2[[#This Row],[ Name ILN]],Plant_AILN!F:G,2,FALSE)</f>
        <v>95207</v>
      </c>
      <c r="E156" s="166" t="s">
        <v>157</v>
      </c>
      <c r="F156" s="226">
        <f>IFERROR(VLOOKUP(Tableau2[[#This Row],[Name of shipper]],Plant_AILN!L:M,2,FALSE),0)</f>
        <v>95207</v>
      </c>
      <c r="G156" s="224" t="s">
        <v>162</v>
      </c>
      <c r="H156" s="235">
        <f>IF(Tableau2[[#This Row],[Name Consignee]]=0,"",VLOOKUP(Tableau2[[#This Row],[Name Consignee]],Plant_AILN!A:C,3,FALSE))</f>
        <v>91017500</v>
      </c>
      <c r="I156" s="103">
        <v>9</v>
      </c>
      <c r="J156" s="219">
        <v>7</v>
      </c>
      <c r="K156" s="237">
        <v>5</v>
      </c>
      <c r="L156" s="224">
        <v>7</v>
      </c>
      <c r="M156" s="228">
        <f>Tableau2[[#This Row],[Delivery time to ILN/Shipper]]+Tableau2[[#This Row],[Day ILN Order]]-1</f>
        <v>15</v>
      </c>
      <c r="N156" s="236">
        <v>13</v>
      </c>
      <c r="O156" s="237" t="s">
        <v>489</v>
      </c>
      <c r="P156" s="241">
        <v>7</v>
      </c>
    </row>
    <row r="157" spans="1:16">
      <c r="A157" s="242" t="str">
        <f>_xlfn.CONCAT(Tableau2[[#This Row],[Compte ILN]],"-",Tableau2[[#This Row],[Compte Shipper]],"-",Tableau2[[#This Row],[POL]],"-",Tableau2[[#This Row],[Compte Consignee]])</f>
        <v>95207-95207-BRPNG-91017300</v>
      </c>
      <c r="B157" s="344" t="str">
        <f>IF(Tableau2[[#This Row],[Name Consignee]]="",_xlfn.CONCAT(Tableau2[[#This Row],[Compte ILN]],"-",Tableau2[[#This Row],[Compte Shipper]],"-",Tableau2[[#This Row],[POL]]),"-")</f>
        <v>-</v>
      </c>
      <c r="C157" s="233" t="s">
        <v>157</v>
      </c>
      <c r="D157" s="225">
        <f>VLOOKUP(Tableau2[[#This Row],[ Name ILN]],Plant_AILN!F:G,2,FALSE)</f>
        <v>95207</v>
      </c>
      <c r="E157" s="166" t="s">
        <v>157</v>
      </c>
      <c r="F157" s="226">
        <f>IFERROR(VLOOKUP(Tableau2[[#This Row],[Name of shipper]],Plant_AILN!L:M,2,FALSE),0)</f>
        <v>95207</v>
      </c>
      <c r="G157" s="224" t="s">
        <v>172</v>
      </c>
      <c r="H157" s="235">
        <f>IF(Tableau2[[#This Row],[Name Consignee]]=0,"",VLOOKUP(Tableau2[[#This Row],[Name Consignee]],Plant_AILN!A:C,3,FALSE))</f>
        <v>91017300</v>
      </c>
      <c r="I157" s="52">
        <v>9</v>
      </c>
      <c r="J157" s="219">
        <v>7</v>
      </c>
      <c r="K157" s="237">
        <v>5</v>
      </c>
      <c r="L157" s="224">
        <v>7</v>
      </c>
      <c r="M157" s="228">
        <f>Tableau2[[#This Row],[Delivery time to ILN/Shipper]]+Tableau2[[#This Row],[Day ILN Order]]-1</f>
        <v>15</v>
      </c>
      <c r="N157" s="236">
        <v>13</v>
      </c>
      <c r="O157" s="237" t="s">
        <v>489</v>
      </c>
      <c r="P157" s="241">
        <v>7</v>
      </c>
    </row>
    <row r="158" spans="1:16">
      <c r="A158" s="242" t="str">
        <f>_xlfn.CONCAT(Tableau2[[#This Row],[Compte ILN]],"-",Tableau2[[#This Row],[Compte Shipper]],"-",Tableau2[[#This Row],[POL]],"-",Tableau2[[#This Row],[Compte Consignee]])</f>
        <v>95207-95207-BRPNG-90016900</v>
      </c>
      <c r="B158" s="344" t="str">
        <f>IF(Tableau2[[#This Row],[Name Consignee]]="",_xlfn.CONCAT(Tableau2[[#This Row],[Compte ILN]],"-",Tableau2[[#This Row],[Compte Shipper]],"-",Tableau2[[#This Row],[POL]]),"-")</f>
        <v>-</v>
      </c>
      <c r="C158" s="233" t="s">
        <v>157</v>
      </c>
      <c r="D158" s="225">
        <f>VLOOKUP(Tableau2[[#This Row],[ Name ILN]],Plant_AILN!F:G,2,FALSE)</f>
        <v>95207</v>
      </c>
      <c r="E158" s="166" t="s">
        <v>157</v>
      </c>
      <c r="F158" s="226">
        <f>IFERROR(VLOOKUP(Tableau2[[#This Row],[Name of shipper]],Plant_AILN!L:M,2,FALSE),0)</f>
        <v>95207</v>
      </c>
      <c r="G158" s="224" t="s">
        <v>152</v>
      </c>
      <c r="H158" s="235">
        <f>IF(Tableau2[[#This Row],[Name Consignee]]=0,"",VLOOKUP(Tableau2[[#This Row],[Name Consignee]],Plant_AILN!A:C,3,FALSE))</f>
        <v>90016900</v>
      </c>
      <c r="I158" s="52">
        <v>9</v>
      </c>
      <c r="J158" s="219">
        <v>7</v>
      </c>
      <c r="K158" s="237">
        <v>5</v>
      </c>
      <c r="L158" s="224">
        <v>7</v>
      </c>
      <c r="M158" s="228">
        <f>Tableau2[[#This Row],[Delivery time to ILN/Shipper]]+Tableau2[[#This Row],[Day ILN Order]]-1</f>
        <v>15</v>
      </c>
      <c r="N158" s="236">
        <v>13</v>
      </c>
      <c r="O158" s="237" t="s">
        <v>489</v>
      </c>
      <c r="P158" s="241">
        <v>7</v>
      </c>
    </row>
    <row r="159" spans="1:16">
      <c r="A159" s="242" t="str">
        <f>_xlfn.CONCAT(Tableau2[[#This Row],[Compte ILN]],"-",Tableau2[[#This Row],[Compte Shipper]],"-",Tableau2[[#This Row],[POL]],"-",Tableau2[[#This Row],[Compte Consignee]])</f>
        <v>95207-95207-BRPNG-90016500</v>
      </c>
      <c r="B159" s="344" t="str">
        <f>IF(Tableau2[[#This Row],[Name Consignee]]="",_xlfn.CONCAT(Tableau2[[#This Row],[Compte ILN]],"-",Tableau2[[#This Row],[Compte Shipper]],"-",Tableau2[[#This Row],[POL]]),"-")</f>
        <v>-</v>
      </c>
      <c r="C159" s="233" t="s">
        <v>157</v>
      </c>
      <c r="D159" s="225">
        <f>VLOOKUP(Tableau2[[#This Row],[ Name ILN]],Plant_AILN!F:G,2,FALSE)</f>
        <v>95207</v>
      </c>
      <c r="E159" s="166" t="s">
        <v>157</v>
      </c>
      <c r="F159" s="226">
        <f>IFERROR(VLOOKUP(Tableau2[[#This Row],[Name of shipper]],Plant_AILN!L:M,2,FALSE),0)</f>
        <v>95207</v>
      </c>
      <c r="G159" s="224" t="s">
        <v>160</v>
      </c>
      <c r="H159" s="235">
        <f>IF(Tableau2[[#This Row],[Name Consignee]]=0,"",VLOOKUP(Tableau2[[#This Row],[Name Consignee]],Plant_AILN!A:C,3,FALSE))</f>
        <v>90016500</v>
      </c>
      <c r="I159" s="52">
        <v>9</v>
      </c>
      <c r="J159" s="219">
        <v>7</v>
      </c>
      <c r="K159" s="237">
        <v>5</v>
      </c>
      <c r="L159" s="224">
        <v>7</v>
      </c>
      <c r="M159" s="228">
        <f>Tableau2[[#This Row],[Delivery time to ILN/Shipper]]+Tableau2[[#This Row],[Day ILN Order]]-1</f>
        <v>15</v>
      </c>
      <c r="N159" s="219">
        <v>13</v>
      </c>
      <c r="O159" s="94" t="s">
        <v>489</v>
      </c>
      <c r="P159" s="241">
        <v>7</v>
      </c>
    </row>
    <row r="160" spans="1:16">
      <c r="A160" s="242" t="str">
        <f>_xlfn.CONCAT(Tableau2[[#This Row],[Compte ILN]],"-",Tableau2[[#This Row],[Compte Shipper]],"-",Tableau2[[#This Row],[POL]],"-",Tableau2[[#This Row],[Compte Consignee]])</f>
        <v>95207-92007300-BRSSZ-9510600</v>
      </c>
      <c r="B160" s="343" t="str">
        <f>IF(Tableau2[[#This Row],[Name Consignee]]="",_xlfn.CONCAT(Tableau2[[#This Row],[Compte ILN]],"-",Tableau2[[#This Row],[Compte Shipper]],"-",Tableau2[[#This Row],[POL]]),"-")</f>
        <v>-</v>
      </c>
      <c r="C160" s="233" t="s">
        <v>157</v>
      </c>
      <c r="D160" s="225">
        <f>VLOOKUP(Tableau2[[#This Row],[ Name ILN]],Plant_AILN!F:G,2,FALSE)</f>
        <v>95207</v>
      </c>
      <c r="E160" s="166" t="s">
        <v>373</v>
      </c>
      <c r="F160" s="226">
        <f>IFERROR(VLOOKUP(Tableau2[[#This Row],[Name of shipper]],Plant_AILN!L:M,2,FALSE),0)</f>
        <v>92007300</v>
      </c>
      <c r="G160" s="224" t="s">
        <v>176</v>
      </c>
      <c r="H160" s="235">
        <f>IF(Tableau2[[#This Row],[Name Consignee]]=0,"",VLOOKUP(Tableau2[[#This Row],[Name Consignee]],Plant_AILN!A:C,3,FALSE))</f>
        <v>9510600</v>
      </c>
      <c r="I160" s="52">
        <v>9</v>
      </c>
      <c r="J160" s="236">
        <v>7</v>
      </c>
      <c r="K160" s="237">
        <v>5</v>
      </c>
      <c r="L160" s="233">
        <v>7</v>
      </c>
      <c r="M160" s="228">
        <f>Tableau2[[#This Row],[Delivery time to ILN/Shipper]]+Tableau2[[#This Row],[Day ILN Order]]-1</f>
        <v>15</v>
      </c>
      <c r="N160" s="236">
        <v>1</v>
      </c>
      <c r="O160" s="94" t="s">
        <v>567</v>
      </c>
      <c r="P160" s="103">
        <v>2</v>
      </c>
    </row>
    <row r="161" spans="1:16">
      <c r="A161" s="242" t="str">
        <f>_xlfn.CONCAT(Tableau2[[#This Row],[Compte ILN]],"-",Tableau2[[#This Row],[Compte Shipper]],"-",Tableau2[[#This Row],[POL]],"-",Tableau2[[#This Row],[Compte Consignee]])</f>
        <v>92000100-92000100-FRLEH-90018500</v>
      </c>
      <c r="B161" s="343" t="str">
        <f>IF(Tableau2[[#This Row],[Name Consignee]]="",_xlfn.CONCAT(Tableau2[[#This Row],[Compte ILN]],"-",Tableau2[[#This Row],[Compte Shipper]],"-",Tableau2[[#This Row],[POL]]),"-")</f>
        <v>-</v>
      </c>
      <c r="C161" s="233" t="s">
        <v>1</v>
      </c>
      <c r="D161" s="225">
        <f>VLOOKUP(Tableau2[[#This Row],[ Name ILN]],Plant_AILN!F:G,2,FALSE)</f>
        <v>92000100</v>
      </c>
      <c r="E161" s="166" t="s">
        <v>1</v>
      </c>
      <c r="F161" s="226">
        <f>IFERROR(VLOOKUP(Tableau2[[#This Row],[Name of shipper]],Plant_AILN!L:M,2,FALSE),0)</f>
        <v>92000100</v>
      </c>
      <c r="G161" s="233" t="s">
        <v>211</v>
      </c>
      <c r="H161" s="235">
        <f>IF(Tableau2[[#This Row],[Name Consignee]]=0,"",VLOOKUP(Tableau2[[#This Row],[Name Consignee]],Plant_AILN!A:C,3,FALSE))</f>
        <v>90018500</v>
      </c>
      <c r="I161" s="236">
        <v>9</v>
      </c>
      <c r="J161" s="236">
        <v>14</v>
      </c>
      <c r="K161" s="237">
        <v>5</v>
      </c>
      <c r="L161" s="233">
        <v>7</v>
      </c>
      <c r="M161" s="228">
        <f>Tableau2[[#This Row],[Delivery time to ILN/Shipper]]+Tableau2[[#This Row],[Day ILN Order]]-1</f>
        <v>22</v>
      </c>
      <c r="N161" s="236">
        <v>1</v>
      </c>
      <c r="O161" s="237" t="s">
        <v>505</v>
      </c>
      <c r="P161" s="236">
        <v>5</v>
      </c>
    </row>
    <row r="162" spans="1:16">
      <c r="A162" s="242" t="str">
        <f>_xlfn.CONCAT(Tableau2[[#This Row],[Compte ILN]],"-",Tableau2[[#This Row],[Compte Shipper]],"-",Tableau2[[#This Row],[POL]],"-",Tableau2[[#This Row],[Compte Consignee]])</f>
        <v>92000100-92000100-FRLEH-90018600</v>
      </c>
      <c r="B162" s="343" t="str">
        <f>IF(Tableau2[[#This Row],[Name Consignee]]="",_xlfn.CONCAT(Tableau2[[#This Row],[Compte ILN]],"-",Tableau2[[#This Row],[Compte Shipper]],"-",Tableau2[[#This Row],[POL]]),"-")</f>
        <v>-</v>
      </c>
      <c r="C162" s="233" t="s">
        <v>1</v>
      </c>
      <c r="D162" s="225">
        <f>VLOOKUP(Tableau2[[#This Row],[ Name ILN]],Plant_AILN!F:G,2,FALSE)</f>
        <v>92000100</v>
      </c>
      <c r="E162" s="166" t="s">
        <v>1</v>
      </c>
      <c r="F162" s="226">
        <f>IFERROR(VLOOKUP(Tableau2[[#This Row],[Name of shipper]],Plant_AILN!L:M,2,FALSE),0)</f>
        <v>92000100</v>
      </c>
      <c r="G162" s="233" t="s">
        <v>168</v>
      </c>
      <c r="H162" s="235">
        <f>IF(Tableau2[[#This Row],[Name Consignee]]=0,"",VLOOKUP(Tableau2[[#This Row],[Name Consignee]],Plant_AILN!A:C,3,FALSE))</f>
        <v>90018600</v>
      </c>
      <c r="I162" s="236">
        <v>9</v>
      </c>
      <c r="J162" s="236">
        <v>14</v>
      </c>
      <c r="K162" s="237">
        <v>5</v>
      </c>
      <c r="L162" s="233">
        <v>7</v>
      </c>
      <c r="M162" s="228">
        <f>Tableau2[[#This Row],[Delivery time to ILN/Shipper]]+Tableau2[[#This Row],[Day ILN Order]]-1</f>
        <v>22</v>
      </c>
      <c r="N162" s="236">
        <v>1</v>
      </c>
      <c r="O162" s="237" t="s">
        <v>505</v>
      </c>
      <c r="P162" s="236">
        <v>5</v>
      </c>
    </row>
    <row r="163" spans="1:16">
      <c r="A163" s="242" t="str">
        <f>_xlfn.CONCAT(Tableau2[[#This Row],[Compte ILN]],"-",Tableau2[[#This Row],[Compte Shipper]],"-",Tableau2[[#This Row],[POL]],"-",Tableau2[[#This Row],[Compte Consignee]])</f>
        <v>0-42619903-JPMOJ-92002200</v>
      </c>
      <c r="B163" s="343" t="str">
        <f>IF(Tableau2[[#This Row],[Name Consignee]]="",_xlfn.CONCAT(Tableau2[[#This Row],[Compte ILN]],"-",Tableau2[[#This Row],[Compte Shipper]],"-",Tableau2[[#This Row],[POL]]),"-")</f>
        <v>-</v>
      </c>
      <c r="C163" s="233" t="s">
        <v>150</v>
      </c>
      <c r="D163" s="225">
        <f>VLOOKUP(Tableau2[[#This Row],[ Name ILN]],Plant_AILN!F:G,2,FALSE)</f>
        <v>0</v>
      </c>
      <c r="E163" s="166" t="s">
        <v>413</v>
      </c>
      <c r="F163" s="226">
        <f>IFERROR(VLOOKUP(Tableau2[[#This Row],[Name of shipper]],Plant_AILN!L:M,2,FALSE),0)</f>
        <v>42619903</v>
      </c>
      <c r="G163" s="233" t="s">
        <v>36</v>
      </c>
      <c r="H163" s="235">
        <f>IF(Tableau2[[#This Row],[Name Consignee]]=0,"",VLOOKUP(Tableau2[[#This Row],[Name Consignee]],Plant_AILN!A:C,3,FALSE))</f>
        <v>92002200</v>
      </c>
      <c r="I163" s="236">
        <v>9</v>
      </c>
      <c r="J163" s="236">
        <v>7</v>
      </c>
      <c r="K163" s="237">
        <v>5</v>
      </c>
      <c r="L163" s="233">
        <v>7</v>
      </c>
      <c r="M163" s="228">
        <f>Tableau2[[#This Row],[Delivery time to ILN/Shipper]]+Tableau2[[#This Row],[Day ILN Order]]-1</f>
        <v>15</v>
      </c>
      <c r="N163" s="236">
        <v>3</v>
      </c>
      <c r="O163" s="237" t="s">
        <v>478</v>
      </c>
      <c r="P163" s="236">
        <v>5</v>
      </c>
    </row>
    <row r="164" spans="1:16">
      <c r="A164" s="242" t="str">
        <f>_xlfn.CONCAT(Tableau2[[#This Row],[Compte ILN]],"-",Tableau2[[#This Row],[Compte Shipper]],"-",Tableau2[[#This Row],[POL]],"-",Tableau2[[#This Row],[Compte Consignee]])</f>
        <v>2533780535-2533780535-INNSA-92000100</v>
      </c>
      <c r="B164" s="343" t="str">
        <f>IF(Tableau2[[#This Row],[Name Consignee]]="",_xlfn.CONCAT(Tableau2[[#This Row],[Compte ILN]],"-",Tableau2[[#This Row],[Compte Shipper]],"-",Tableau2[[#This Row],[POL]]),"-")</f>
        <v>-</v>
      </c>
      <c r="C164" s="233" t="s">
        <v>142</v>
      </c>
      <c r="D164" s="225">
        <f>VLOOKUP(Tableau2[[#This Row],[ Name ILN]],Plant_AILN!F:G,2,FALSE)</f>
        <v>2533780535</v>
      </c>
      <c r="E164" s="166" t="s">
        <v>142</v>
      </c>
      <c r="F164" s="226">
        <f>IFERROR(VLOOKUP(Tableau2[[#This Row],[Name of shipper]],Plant_AILN!L:M,2,FALSE),0)</f>
        <v>2533780535</v>
      </c>
      <c r="G164" s="233" t="s">
        <v>184</v>
      </c>
      <c r="H164" s="235">
        <f>IF(Tableau2[[#This Row],[Name Consignee]]=0,"",VLOOKUP(Tableau2[[#This Row],[Name Consignee]],Plant_AILN!A:C,3,FALSE))</f>
        <v>92000100</v>
      </c>
      <c r="I164" s="236">
        <v>9</v>
      </c>
      <c r="J164" s="236">
        <v>14</v>
      </c>
      <c r="K164" s="237">
        <v>5</v>
      </c>
      <c r="L164" s="233">
        <v>7</v>
      </c>
      <c r="M164" s="228">
        <f>Tableau2[[#This Row],[Delivery time to ILN/Shipper]]+Tableau2[[#This Row],[Day ILN Order]]-1</f>
        <v>22</v>
      </c>
      <c r="N164" s="236">
        <v>2</v>
      </c>
      <c r="O164" s="239" t="s">
        <v>476</v>
      </c>
      <c r="P164" s="236">
        <v>2</v>
      </c>
    </row>
    <row r="165" spans="1:16">
      <c r="A165" s="242" t="e">
        <v>#REF!</v>
      </c>
      <c r="B165" s="343" t="str">
        <f>IF(Tableau2[[#This Row],[Name Consignee]]="",_xlfn.CONCAT(Tableau2[[#This Row],[Compte ILN]],"-",Tableau2[[#This Row],[Compte Shipper]],"-",Tableau2[[#This Row],[POL]]),"-")</f>
        <v>26037001-26037001-CNSHA</v>
      </c>
      <c r="C165" s="224" t="s">
        <v>206</v>
      </c>
      <c r="D165" s="225">
        <f>VLOOKUP(Tableau2[[#This Row],[ Name ILN]],Plant_AILN!F:G,2,FALSE)</f>
        <v>26037001</v>
      </c>
      <c r="E165" s="166" t="s">
        <v>206</v>
      </c>
      <c r="F165" s="226">
        <f>IFERROR(VLOOKUP(Tableau2[[#This Row],[Name of shipper]],Plant_AILN!L:M,2,FALSE),0)</f>
        <v>26037001</v>
      </c>
      <c r="G165" s="233"/>
      <c r="H165" s="235" t="str">
        <f>IF(Tableau2[[#This Row],[Name Consignee]]=0,"",VLOOKUP(Tableau2[[#This Row],[Name Consignee]],Plant_AILN!A:C,3,FALSE))</f>
        <v/>
      </c>
      <c r="I165" s="219">
        <v>16</v>
      </c>
      <c r="J165" s="219">
        <v>14</v>
      </c>
      <c r="K165" s="94">
        <v>5</v>
      </c>
      <c r="L165" s="224">
        <v>7</v>
      </c>
      <c r="M165" s="228">
        <f>Tableau2[[#This Row],[Delivery time to ILN/Shipper]]+Tableau2[[#This Row],[Day ILN Order]]-1</f>
        <v>29</v>
      </c>
      <c r="N165" s="219">
        <v>7</v>
      </c>
      <c r="O165" s="94" t="s">
        <v>513</v>
      </c>
      <c r="P165" s="219">
        <v>1</v>
      </c>
    </row>
    <row r="166" spans="1:16">
      <c r="A166" s="242" t="e">
        <v>#REF!</v>
      </c>
      <c r="B166" s="343" t="str">
        <f>IF(Tableau2[[#This Row],[Name Consignee]]="",_xlfn.CONCAT(Tableau2[[#This Row],[Compte ILN]],"-",Tableau2[[#This Row],[Compte Shipper]],"-",Tableau2[[#This Row],[POL]]),"-")</f>
        <v>27261102-27261102-CNSHA</v>
      </c>
      <c r="C166" s="233" t="s">
        <v>193</v>
      </c>
      <c r="D166" s="225">
        <f>VLOOKUP(Tableau2[[#This Row],[ Name ILN]],Plant_AILN!F:G,2,FALSE)</f>
        <v>27261102</v>
      </c>
      <c r="E166" s="166" t="s">
        <v>193</v>
      </c>
      <c r="F166" s="226">
        <f>IFERROR(VLOOKUP(Tableau2[[#This Row],[Name of shipper]],Plant_AILN!L:M,2,FALSE),0)</f>
        <v>27261102</v>
      </c>
      <c r="G166" s="233"/>
      <c r="H166" s="235" t="str">
        <f>IF(Tableau2[[#This Row],[Name Consignee]]=0,"",VLOOKUP(Tableau2[[#This Row],[Name Consignee]],Plant_AILN!A:C,3,FALSE))</f>
        <v/>
      </c>
      <c r="I166" s="236">
        <v>16</v>
      </c>
      <c r="J166" s="236">
        <v>14</v>
      </c>
      <c r="K166" s="237">
        <v>5</v>
      </c>
      <c r="L166" s="233">
        <v>7</v>
      </c>
      <c r="M166" s="228">
        <f>Tableau2[[#This Row],[Delivery time to ILN/Shipper]]+Tableau2[[#This Row],[Day ILN Order]]-1</f>
        <v>29</v>
      </c>
      <c r="N166" s="236">
        <v>7</v>
      </c>
      <c r="O166" s="237" t="s">
        <v>513</v>
      </c>
      <c r="P166" s="236">
        <v>1</v>
      </c>
    </row>
    <row r="167" spans="1:16">
      <c r="A167" s="242" t="e">
        <v>#REF!</v>
      </c>
      <c r="B167" s="343" t="str">
        <f>IF(Tableau2[[#This Row],[Name Consignee]]="",_xlfn.CONCAT(Tableau2[[#This Row],[Compte ILN]],"-",Tableau2[[#This Row],[Compte Shipper]],"-",Tableau2[[#This Row],[POL]]),"-")</f>
        <v>-</v>
      </c>
      <c r="C167" s="233" t="s">
        <v>193</v>
      </c>
      <c r="D167" s="225">
        <f>VLOOKUP(Tableau2[[#This Row],[ Name ILN]],Plant_AILN!F:G,2,FALSE)</f>
        <v>27261102</v>
      </c>
      <c r="E167" s="166" t="s">
        <v>193</v>
      </c>
      <c r="F167" s="226">
        <f>IFERROR(VLOOKUP(Tableau2[[#This Row],[Name of shipper]],Plant_AILN!L:M,2,FALSE),0)</f>
        <v>27261102</v>
      </c>
      <c r="G167" s="233" t="s">
        <v>189</v>
      </c>
      <c r="H167" s="235">
        <f>IF(Tableau2[[#This Row],[Name Consignee]]=0,"",VLOOKUP(Tableau2[[#This Row],[Name Consignee]],Plant_AILN!A:C,3,FALSE))</f>
        <v>90019100</v>
      </c>
      <c r="I167" s="236">
        <v>16</v>
      </c>
      <c r="J167" s="236">
        <v>14</v>
      </c>
      <c r="K167" s="237">
        <v>5</v>
      </c>
      <c r="L167" s="233">
        <v>7</v>
      </c>
      <c r="M167" s="228">
        <f>Tableau2[[#This Row],[Delivery time to ILN/Shipper]]+Tableau2[[#This Row],[Day ILN Order]]-1</f>
        <v>29</v>
      </c>
      <c r="N167" s="236">
        <v>1</v>
      </c>
      <c r="O167" s="237" t="s">
        <v>513</v>
      </c>
      <c r="P167" s="236">
        <v>1</v>
      </c>
    </row>
    <row r="168" spans="1:16" ht="15.75" customHeight="1" thickBot="1">
      <c r="A168" s="345" t="str">
        <f>_xlfn.CONCAT(Tableau2[[#This Row],[Compte ILN]],"-",Tableau2[[#This Row],[Compte Shipper]],"-",Tableau2[[#This Row],[POL]],"-",Tableau2[[#This Row],[Compte Consignee]])</f>
        <v>0-29179901-CNXMN-</v>
      </c>
      <c r="B168" s="343" t="str">
        <f>IF(Tableau2[[#This Row],[Name Consignee]]="",_xlfn.CONCAT(Tableau2[[#This Row],[Compte ILN]],"-",Tableau2[[#This Row],[Compte Shipper]],"-",Tableau2[[#This Row],[POL]]),"-")</f>
        <v>0-29179901-CNXMN</v>
      </c>
      <c r="C168" s="166" t="s">
        <v>150</v>
      </c>
      <c r="D168" s="225">
        <f>VLOOKUP(Tableau2[[#This Row],[ Name ILN]],Plant_AILN!F:G,2,FALSE)</f>
        <v>0</v>
      </c>
      <c r="E168" s="166" t="s">
        <v>291</v>
      </c>
      <c r="F168" s="226">
        <f>IFERROR(VLOOKUP(Tableau2[[#This Row],[Name of shipper]],Plant_AILN!L:M,2,FALSE),0)</f>
        <v>29179901</v>
      </c>
      <c r="G168" s="233"/>
      <c r="H168" s="235" t="str">
        <f>IF(Tableau2[[#This Row],[Name Consignee]]=0,"",VLOOKUP(Tableau2[[#This Row],[Name Consignee]],Plant_AILN!A:C,3,FALSE))</f>
        <v/>
      </c>
      <c r="I168" s="52">
        <v>9</v>
      </c>
      <c r="J168" s="219">
        <v>7</v>
      </c>
      <c r="K168" s="94">
        <v>5</v>
      </c>
      <c r="L168" s="227">
        <v>7</v>
      </c>
      <c r="M168" s="228">
        <f>Tableau2[[#This Row],[Delivery time to ILN/Shipper]]+Tableau2[[#This Row],[Day ILN Order]]-1</f>
        <v>15</v>
      </c>
      <c r="N168" s="229">
        <v>3</v>
      </c>
      <c r="O168" s="230" t="s">
        <v>564</v>
      </c>
      <c r="P168" s="236">
        <v>5</v>
      </c>
    </row>
    <row r="169" spans="1:16">
      <c r="A169" s="371" t="str">
        <f>_xlfn.CONCAT(Tableau2[[#This Row],[Compte ILN]],"-",Tableau2[[#This Row],[Compte Shipper]],"-",Tableau2[[#This Row],[POL]],"-",Tableau2[[#This Row],[Compte Consignee]])</f>
        <v>0-27084300-CNDLC-</v>
      </c>
      <c r="B169" s="371" t="str">
        <f>IF(Tableau2[[#This Row],[Name Consignee]]="",_xlfn.CONCAT(Tableau2[[#This Row],[Compte ILN]],"-",Tableau2[[#This Row],[Compte Shipper]],"-",Tableau2[[#This Row],[POL]]),"-")</f>
        <v>0-27084300-CNDLC</v>
      </c>
      <c r="C169" s="233" t="s">
        <v>150</v>
      </c>
      <c r="D169" s="238">
        <f>VLOOKUP(Tableau2[[#This Row],[ Name ILN]],Plant_AILN!F:G,2,FALSE)</f>
        <v>0</v>
      </c>
      <c r="E169" s="166" t="s">
        <v>423</v>
      </c>
      <c r="F169" s="235">
        <f>IFERROR(VLOOKUP(Tableau2[[#This Row],[Name of shipper]],Plant_AILN!L:M,2,FALSE),0)</f>
        <v>27084300</v>
      </c>
      <c r="G169" s="233"/>
      <c r="H169" s="235" t="str">
        <f>IF(Tableau2[[#This Row],[Name Consignee]]=0,"",VLOOKUP(Tableau2[[#This Row],[Name Consignee]],Plant_AILN!A:C,3,FALSE))</f>
        <v/>
      </c>
      <c r="I169" s="236">
        <v>9</v>
      </c>
      <c r="J169" s="236">
        <v>7</v>
      </c>
      <c r="K169" s="237">
        <v>5</v>
      </c>
      <c r="L169" s="233">
        <v>7</v>
      </c>
      <c r="M169" s="238">
        <f>Tableau2[[#This Row],[Delivery time to ILN/Shipper]]+Tableau2[[#This Row],[Day ILN Order]]-1</f>
        <v>15</v>
      </c>
      <c r="N169" s="236">
        <v>4</v>
      </c>
      <c r="O169" s="237" t="s">
        <v>574</v>
      </c>
      <c r="P169" s="236">
        <v>1</v>
      </c>
    </row>
    <row r="170" spans="1:16">
      <c r="A170" s="371" t="str">
        <f>_xlfn.CONCAT(Tableau2[[#This Row],[Compte ILN]],"-",Tableau2[[#This Row],[Compte Shipper]],"-",Tableau2[[#This Row],[POL]],"-",Tableau2[[#This Row],[Compte Consignee]])</f>
        <v>92000100-92000100-FRLEH-90009500</v>
      </c>
      <c r="B170" s="371" t="str">
        <f>IF(Tableau2[[#This Row],[Name Consignee]]="",_xlfn.CONCAT(Tableau2[[#This Row],[Compte ILN]],"-",Tableau2[[#This Row],[Compte Shipper]],"-",Tableau2[[#This Row],[POL]]),"-")</f>
        <v>-</v>
      </c>
      <c r="C170" s="233" t="s">
        <v>1</v>
      </c>
      <c r="D170" s="238">
        <f>VLOOKUP(Tableau2[[#This Row],[ Name ILN]],Plant_AILN!F:G,2,FALSE)</f>
        <v>92000100</v>
      </c>
      <c r="E170" s="166" t="s">
        <v>1</v>
      </c>
      <c r="F170" s="235">
        <f>IFERROR(VLOOKUP(Tableau2[[#This Row],[Name of shipper]],Plant_AILN!L:M,2,FALSE),0)</f>
        <v>92000100</v>
      </c>
      <c r="G170" s="233" t="s">
        <v>138</v>
      </c>
      <c r="H170" s="235">
        <f>IF(Tableau2[[#This Row],[Name Consignee]]=0,"",VLOOKUP(Tableau2[[#This Row],[Name Consignee]],Plant_AILN!A:C,3,FALSE))</f>
        <v>90009500</v>
      </c>
      <c r="I170" s="236">
        <v>9</v>
      </c>
      <c r="J170" s="236">
        <v>7</v>
      </c>
      <c r="K170" s="237">
        <v>5</v>
      </c>
      <c r="L170" s="233">
        <v>7</v>
      </c>
      <c r="M170" s="238">
        <f>Tableau2[[#This Row],[Delivery time to ILN/Shipper]]+Tableau2[[#This Row],[Day ILN Order]]-1</f>
        <v>15</v>
      </c>
      <c r="N170" s="236">
        <v>1</v>
      </c>
      <c r="O170" s="237" t="s">
        <v>505</v>
      </c>
      <c r="P170" s="236">
        <v>4</v>
      </c>
    </row>
    <row r="171" spans="1:16">
      <c r="A171" s="371" t="str">
        <f>_xlfn.CONCAT(Tableau2[[#This Row],[Compte ILN]],"-",Tableau2[[#This Row],[Compte Shipper]],"-",Tableau2[[#This Row],[POL]],"-",Tableau2[[#This Row],[Compte Consignee]])</f>
        <v>92000100-92000100-FRLEH-9510600</v>
      </c>
      <c r="B171" s="371" t="str">
        <f>IF(Tableau2[[#This Row],[Name Consignee]]="",_xlfn.CONCAT(Tableau2[[#This Row],[Compte ILN]],"-",Tableau2[[#This Row],[Compte Shipper]],"-",Tableau2[[#This Row],[POL]]),"-")</f>
        <v>-</v>
      </c>
      <c r="C171" s="233" t="s">
        <v>1</v>
      </c>
      <c r="D171" s="238">
        <f>VLOOKUP(Tableau2[[#This Row],[ Name ILN]],Plant_AILN!F:G,2,FALSE)</f>
        <v>92000100</v>
      </c>
      <c r="E171" s="166" t="s">
        <v>1</v>
      </c>
      <c r="F171" s="235">
        <f>IFERROR(VLOOKUP(Tableau2[[#This Row],[Name of shipper]],Plant_AILN!L:M,2,FALSE),0)</f>
        <v>92000100</v>
      </c>
      <c r="G171" s="233" t="s">
        <v>176</v>
      </c>
      <c r="H171" s="235">
        <f>IF(Tableau2[[#This Row],[Name Consignee]]=0,"",VLOOKUP(Tableau2[[#This Row],[Name Consignee]],Plant_AILN!A:C,3,FALSE))</f>
        <v>9510600</v>
      </c>
      <c r="I171" s="236">
        <v>9</v>
      </c>
      <c r="J171" s="236">
        <v>7</v>
      </c>
      <c r="K171" s="237">
        <v>5</v>
      </c>
      <c r="L171" s="233">
        <v>7</v>
      </c>
      <c r="M171" s="238">
        <f>Tableau2[[#This Row],[Delivery time to ILN/Shipper]]+Tableau2[[#This Row],[Day ILN Order]]-1</f>
        <v>15</v>
      </c>
      <c r="N171" s="236">
        <v>1</v>
      </c>
      <c r="O171" s="237" t="s">
        <v>505</v>
      </c>
      <c r="P171" s="236">
        <v>6</v>
      </c>
    </row>
    <row r="172" spans="1:16">
      <c r="A172" s="371" t="str">
        <f>_xlfn.CONCAT(Tableau2[[#This Row],[Compte ILN]],"-",Tableau2[[#This Row],[Compte Shipper]],"-",Tableau2[[#This Row],[POL]],"-",Tableau2[[#This Row],[Compte Consignee]])</f>
        <v>0-1111111111-CNSHA-900383</v>
      </c>
      <c r="B172" s="371" t="str">
        <f>IF(Tableau2[[#This Row],[Name Consignee]]="",_xlfn.CONCAT(Tableau2[[#This Row],[Compte ILN]],"-",Tableau2[[#This Row],[Compte Shipper]],"-",Tableau2[[#This Row],[POL]]),"-")</f>
        <v>-</v>
      </c>
      <c r="C172" s="233" t="s">
        <v>150</v>
      </c>
      <c r="D172" s="238">
        <f>VLOOKUP(Tableau2[[#This Row],[ Name ILN]],Plant_AILN!F:G,2,FALSE)</f>
        <v>0</v>
      </c>
      <c r="E172" s="166" t="s">
        <v>426</v>
      </c>
      <c r="F172" s="235">
        <f>IFERROR(VLOOKUP(Tableau2[[#This Row],[Name of shipper]],Plant_AILN!L:M,2,FALSE),0)</f>
        <v>1111111111</v>
      </c>
      <c r="G172" s="233" t="s">
        <v>179</v>
      </c>
      <c r="H172" s="235">
        <f>IF(Tableau2[[#This Row],[Name Consignee]]=0,"",VLOOKUP(Tableau2[[#This Row],[Name Consignee]],Plant_AILN!A:C,3,FALSE))</f>
        <v>900383</v>
      </c>
      <c r="I172" s="236">
        <v>9</v>
      </c>
      <c r="J172" s="236">
        <v>2</v>
      </c>
      <c r="K172" s="237">
        <v>2</v>
      </c>
      <c r="L172" s="233">
        <v>2</v>
      </c>
      <c r="M172" s="238">
        <f>Tableau2[[#This Row],[Delivery time to ILN/Shipper]]+Tableau2[[#This Row],[Day ILN Order]]-1</f>
        <v>10</v>
      </c>
      <c r="N172" s="236">
        <v>2</v>
      </c>
      <c r="O172" s="237" t="s">
        <v>513</v>
      </c>
      <c r="P172" s="236">
        <v>1</v>
      </c>
    </row>
    <row r="173" spans="1:16">
      <c r="A173" s="371" t="str">
        <f>_xlfn.CONCAT(Tableau2[[#This Row],[Compte ILN]],"-",Tableau2[[#This Row],[Compte Shipper]],"-",Tableau2[[#This Row],[POL]],"-",Tableau2[[#This Row],[Compte Consignee]])</f>
        <v>26037000-26037000-CNSHA-91017200</v>
      </c>
      <c r="B173" s="371" t="str">
        <f>IF(Tableau2[[#This Row],[Name Consignee]]="",_xlfn.CONCAT(Tableau2[[#This Row],[Compte ILN]],"-",Tableau2[[#This Row],[Compte Shipper]],"-",Tableau2[[#This Row],[POL]]),"-")</f>
        <v>-</v>
      </c>
      <c r="C173" s="233" t="s">
        <v>171</v>
      </c>
      <c r="D173" s="238">
        <f>VLOOKUP(Tableau2[[#This Row],[ Name ILN]],Plant_AILN!F:G,2,FALSE)</f>
        <v>26037000</v>
      </c>
      <c r="E173" s="166" t="s">
        <v>171</v>
      </c>
      <c r="F173" s="235">
        <f>IFERROR(VLOOKUP(Tableau2[[#This Row],[Name of shipper]],Plant_AILN!L:M,2,FALSE),0)</f>
        <v>26037000</v>
      </c>
      <c r="G173" s="233" t="s">
        <v>175</v>
      </c>
      <c r="H173" s="235">
        <f>IF(Tableau2[[#This Row],[Name Consignee]]=0,"",VLOOKUP(Tableau2[[#This Row],[Name Consignee]],Plant_AILN!A:C,3,FALSE))</f>
        <v>91017200</v>
      </c>
      <c r="I173" s="52">
        <v>9</v>
      </c>
      <c r="J173" s="219">
        <v>14</v>
      </c>
      <c r="K173" s="94">
        <v>5</v>
      </c>
      <c r="L173" s="227">
        <v>7</v>
      </c>
      <c r="M173" s="238">
        <f>Tableau2[[#This Row],[Delivery time to ILN/Shipper]]+Tableau2[[#This Row],[Day ILN Order]]-1</f>
        <v>22</v>
      </c>
      <c r="N173" s="236">
        <v>1</v>
      </c>
      <c r="O173" s="237" t="s">
        <v>513</v>
      </c>
      <c r="P173" s="236">
        <v>2</v>
      </c>
    </row>
    <row r="174" spans="1:16">
      <c r="A174" s="371" t="str">
        <f>_xlfn.CONCAT(Tableau2[[#This Row],[Compte ILN]],"-",Tableau2[[#This Row],[Compte Shipper]],"-",Tableau2[[#This Row],[POL]],"-",Tableau2[[#This Row],[Compte Consignee]])</f>
        <v>91018400-91017500-ESALG-90017000</v>
      </c>
      <c r="B174" s="371" t="str">
        <f>IF(Tableau2[[#This Row],[Name Consignee]]="",_xlfn.CONCAT(Tableau2[[#This Row],[Compte ILN]],"-",Tableau2[[#This Row],[Compte Shipper]],"-",Tableau2[[#This Row],[POL]]),"-")</f>
        <v>-</v>
      </c>
      <c r="C174" s="233" t="s">
        <v>144</v>
      </c>
      <c r="D174" s="238">
        <f>VLOOKUP(Tableau2[[#This Row],[ Name ILN]],Plant_AILN!F:G,2,FALSE)</f>
        <v>91018400</v>
      </c>
      <c r="E174" s="166" t="s">
        <v>145</v>
      </c>
      <c r="F174" s="235">
        <f>IFERROR(VLOOKUP(Tableau2[[#This Row],[Name of shipper]],Plant_AILN!L:M,2,FALSE),0)</f>
        <v>91017500</v>
      </c>
      <c r="G174" s="233" t="s">
        <v>167</v>
      </c>
      <c r="H174" s="235">
        <f>IF(Tableau2[[#This Row],[Name Consignee]]=0,"",VLOOKUP(Tableau2[[#This Row],[Name Consignee]],Plant_AILN!A:C,3,FALSE))</f>
        <v>90017000</v>
      </c>
      <c r="I174" s="52">
        <v>9</v>
      </c>
      <c r="J174" s="219">
        <v>14</v>
      </c>
      <c r="K174" s="94">
        <v>5</v>
      </c>
      <c r="L174" s="227">
        <v>7</v>
      </c>
      <c r="M174" s="238">
        <f>Tableau2[[#This Row],[Delivery time to ILN/Shipper]]+Tableau2[[#This Row],[Day ILN Order]]-1</f>
        <v>22</v>
      </c>
      <c r="N174" s="236">
        <v>2</v>
      </c>
      <c r="O174" s="230" t="s">
        <v>507</v>
      </c>
      <c r="P174" s="236">
        <v>3</v>
      </c>
    </row>
    <row r="175" spans="1:16">
      <c r="A175" s="371" t="str">
        <f>_xlfn.CONCAT(Tableau2[[#This Row],[Compte ILN]],"-",Tableau2[[#This Row],[Compte Shipper]],"-",Tableau2[[#This Row],[POL]],"-",Tableau2[[#This Row],[Compte Consignee]])</f>
        <v>0-SFK_187-HRRJK-900383</v>
      </c>
      <c r="B175" s="371" t="str">
        <f>IF(Tableau2[[#This Row],[Name Consignee]]="",_xlfn.CONCAT(Tableau2[[#This Row],[Compte ILN]],"-",Tableau2[[#This Row],[Compte Shipper]],"-",Tableau2[[#This Row],[POL]]),"-")</f>
        <v>-</v>
      </c>
      <c r="C175" s="233" t="s">
        <v>150</v>
      </c>
      <c r="D175" s="238">
        <f>VLOOKUP(Tableau2[[#This Row],[ Name ILN]],Plant_AILN!F:G,2,FALSE)</f>
        <v>0</v>
      </c>
      <c r="E175" s="166" t="s">
        <v>575</v>
      </c>
      <c r="F175" s="235" t="str">
        <f>IFERROR(VLOOKUP(Tableau2[[#This Row],[Name of shipper]],Plant_AILN!L:M,2,FALSE),0)</f>
        <v>SFK_187</v>
      </c>
      <c r="G175" s="233" t="s">
        <v>179</v>
      </c>
      <c r="H175" s="235">
        <f>IF(Tableau2[[#This Row],[Name Consignee]]=0,"",VLOOKUP(Tableau2[[#This Row],[Name Consignee]],Plant_AILN!A:C,3,FALSE))</f>
        <v>900383</v>
      </c>
      <c r="I175" s="236">
        <v>9</v>
      </c>
      <c r="J175" s="236">
        <v>7</v>
      </c>
      <c r="K175" s="237">
        <v>5</v>
      </c>
      <c r="L175" s="233">
        <v>7</v>
      </c>
      <c r="M175" s="238">
        <f>Tableau2[[#This Row],[Delivery time to ILN/Shipper]]+Tableau2[[#This Row],[Day ILN Order]]-1</f>
        <v>15</v>
      </c>
      <c r="N175" s="236">
        <v>2</v>
      </c>
      <c r="O175" s="237" t="s">
        <v>576</v>
      </c>
      <c r="P175" s="236">
        <v>2</v>
      </c>
    </row>
    <row r="176" spans="1:16">
      <c r="A176" s="242" t="str">
        <f>_xlfn.CONCAT(Tableau2[[#This Row],[Compte ILN]],"-",Tableau2[[#This Row],[Compte Shipper]],"-",Tableau2[[#This Row],[POL]],"-",Tableau2[[#This Row],[Compte Consignee]])</f>
        <v>0-SFK_187-HRRJK-90038200</v>
      </c>
      <c r="B176" s="242" t="str">
        <f>IF(Tableau2[[#This Row],[Name Consignee]]="",_xlfn.CONCAT(Tableau2[[#This Row],[Compte ILN]],"-",Tableau2[[#This Row],[Compte Shipper]],"-",Tableau2[[#This Row],[POL]]),"-")</f>
        <v>-</v>
      </c>
      <c r="C176" s="233" t="s">
        <v>150</v>
      </c>
      <c r="D176" s="228">
        <f>VLOOKUP(Tableau2[[#This Row],[ Name ILN]],Plant_AILN!F:G,2,FALSE)</f>
        <v>0</v>
      </c>
      <c r="E176" s="166" t="s">
        <v>575</v>
      </c>
      <c r="F176" s="235" t="str">
        <f>IFERROR(VLOOKUP(Tableau2[[#This Row],[Name of shipper]],Plant_AILN!L:M,2,FALSE),0)</f>
        <v>SFK_187</v>
      </c>
      <c r="G176" s="233" t="s">
        <v>178</v>
      </c>
      <c r="H176" s="235">
        <f>IF(Tableau2[[#This Row],[Name Consignee]]=0,"",VLOOKUP(Tableau2[[#This Row],[Name Consignee]],Plant_AILN!A:C,3,FALSE))</f>
        <v>90038200</v>
      </c>
      <c r="I176" s="236">
        <v>9</v>
      </c>
      <c r="J176" s="236">
        <v>7</v>
      </c>
      <c r="K176" s="237">
        <v>5</v>
      </c>
      <c r="L176" s="233">
        <v>7</v>
      </c>
      <c r="M176" s="228">
        <f>Tableau2[[#This Row],[Delivery time to ILN/Shipper]]+Tableau2[[#This Row],[Day ILN Order]]-1</f>
        <v>15</v>
      </c>
      <c r="N176" s="236">
        <v>2</v>
      </c>
      <c r="O176" s="237" t="s">
        <v>576</v>
      </c>
      <c r="P176" s="236">
        <v>2</v>
      </c>
    </row>
    <row r="177" spans="1:16">
      <c r="A177" s="371" t="str">
        <f>_xlfn.CONCAT(Tableau2[[#This Row],[Compte ILN]],"-",Tableau2[[#This Row],[Compte Shipper]],"-",Tableau2[[#This Row],[POL]],"-",Tableau2[[#This Row],[Compte Consignee]])</f>
        <v>0-42524701-HRRJK-900383</v>
      </c>
      <c r="B177" s="371" t="str">
        <f>IF(Tableau2[[#This Row],[Name Consignee]]="",_xlfn.CONCAT(Tableau2[[#This Row],[Compte ILN]],"-",Tableau2[[#This Row],[Compte Shipper]],"-",Tableau2[[#This Row],[POL]]),"-")</f>
        <v>-</v>
      </c>
      <c r="C177" s="233" t="s">
        <v>150</v>
      </c>
      <c r="D177" s="238">
        <f>VLOOKUP(Tableau2[[#This Row],[ Name ILN]],Plant_AILN!F:G,2,FALSE)</f>
        <v>0</v>
      </c>
      <c r="E177" s="166" t="s">
        <v>448</v>
      </c>
      <c r="F177" s="235">
        <f>IFERROR(VLOOKUP(Tableau2[[#This Row],[Name of shipper]],Plant_AILN!L:M,2,FALSE),0)</f>
        <v>42524701</v>
      </c>
      <c r="G177" s="233" t="s">
        <v>179</v>
      </c>
      <c r="H177" s="235">
        <f>IF(Tableau2[[#This Row],[Name Consignee]]=0,"",VLOOKUP(Tableau2[[#This Row],[Name Consignee]],Plant_AILN!A:C,3,FALSE))</f>
        <v>900383</v>
      </c>
      <c r="I177" s="236">
        <v>9</v>
      </c>
      <c r="J177" s="236">
        <v>2</v>
      </c>
      <c r="K177" s="237">
        <v>2</v>
      </c>
      <c r="L177" s="233">
        <v>2</v>
      </c>
      <c r="M177" s="238">
        <f>Tableau2[[#This Row],[Delivery time to ILN/Shipper]]+Tableau2[[#This Row],[Day ILN Order]]-1</f>
        <v>10</v>
      </c>
      <c r="N177" s="236">
        <v>4</v>
      </c>
      <c r="O177" s="237" t="s">
        <v>576</v>
      </c>
      <c r="P177" s="236">
        <v>2</v>
      </c>
    </row>
    <row r="178" spans="1:16">
      <c r="A178" s="371" t="str">
        <f>_xlfn.CONCAT(Tableau2[[#This Row],[Compte ILN]],"-",Tableau2[[#This Row],[Compte Shipper]],"-",Tableau2[[#This Row],[POL]],"-",Tableau2[[#This Row],[Compte Consignee]])</f>
        <v>28390-28390-ROCND-90021000</v>
      </c>
      <c r="B178" s="371" t="str">
        <f>IF(Tableau2[[#This Row],[Name Consignee]]="",_xlfn.CONCAT(Tableau2[[#This Row],[Compte ILN]],"-",Tableau2[[#This Row],[Compte Shipper]],"-",Tableau2[[#This Row],[POL]]),"-")</f>
        <v>-</v>
      </c>
      <c r="C178" s="233" t="s">
        <v>165</v>
      </c>
      <c r="D178" s="238">
        <f>VLOOKUP(Tableau2[[#This Row],[ Name ILN]],Plant_AILN!F:G,2,FALSE)</f>
        <v>28390</v>
      </c>
      <c r="E178" s="166" t="s">
        <v>165</v>
      </c>
      <c r="F178" s="235">
        <f>IFERROR(VLOOKUP(Tableau2[[#This Row],[Name of shipper]],Plant_AILN!L:M,2,FALSE),0)</f>
        <v>28390</v>
      </c>
      <c r="G178" s="233" t="s">
        <v>203</v>
      </c>
      <c r="H178" s="235">
        <f>IF(Tableau2[[#This Row],[Name Consignee]]=0,"",VLOOKUP(Tableau2[[#This Row],[Name Consignee]],Plant_AILN!A:C,3,FALSE))</f>
        <v>90021000</v>
      </c>
      <c r="I178" s="52">
        <v>9</v>
      </c>
      <c r="J178" s="378">
        <v>14</v>
      </c>
      <c r="K178" s="94">
        <v>5</v>
      </c>
      <c r="L178" s="227">
        <v>7</v>
      </c>
      <c r="M178" s="238">
        <f>Tableau2[[#This Row],[Delivery time to ILN/Shipper]]+Tableau2[[#This Row],[Day ILN Order]]-1</f>
        <v>22</v>
      </c>
      <c r="N178" s="229">
        <v>4</v>
      </c>
      <c r="O178" s="230" t="s">
        <v>484</v>
      </c>
      <c r="P178" s="58">
        <v>5</v>
      </c>
    </row>
    <row r="179" spans="1:16">
      <c r="A179" s="371" t="str">
        <f>_xlfn.CONCAT(Tableau2[[#This Row],[Compte ILN]],"-",Tableau2[[#This Row],[Compte Shipper]],"-",Tableau2[[#This Row],[POL]],"-",Tableau2[[#This Row],[Compte Consignee]])</f>
        <v>92000100-0-FRLEH-90021000</v>
      </c>
      <c r="B179" s="371" t="str">
        <f>IF(Tableau2[[#This Row],[Name Consignee]]="",_xlfn.CONCAT(Tableau2[[#This Row],[Compte ILN]],"-",Tableau2[[#This Row],[Compte Shipper]],"-",Tableau2[[#This Row],[POL]]),"-")</f>
        <v>-</v>
      </c>
      <c r="C179" s="233" t="s">
        <v>1</v>
      </c>
      <c r="D179" s="238">
        <f>VLOOKUP(Tableau2[[#This Row],[ Name ILN]],Plant_AILN!F:G,2,FALSE)</f>
        <v>92000100</v>
      </c>
      <c r="E179" s="166" t="s">
        <v>577</v>
      </c>
      <c r="F179" s="235">
        <f>IFERROR(VLOOKUP(Tableau2[[#This Row],[Name of shipper]],Plant_AILN!L:M,2,FALSE),0)</f>
        <v>0</v>
      </c>
      <c r="G179" s="233" t="s">
        <v>203</v>
      </c>
      <c r="H179" s="235">
        <f>IF(Tableau2[[#This Row],[Name Consignee]]=0,"",VLOOKUP(Tableau2[[#This Row],[Name Consignee]],Plant_AILN!A:C,3,FALSE))</f>
        <v>90021000</v>
      </c>
      <c r="I179" s="236">
        <v>9</v>
      </c>
      <c r="J179" s="379">
        <v>14</v>
      </c>
      <c r="K179" s="237">
        <v>5</v>
      </c>
      <c r="L179" s="233">
        <v>7</v>
      </c>
      <c r="M179" s="238">
        <f>Tableau2[[#This Row],[Delivery time to ILN/Shipper]]+Tableau2[[#This Row],[Day ILN Order]]-1</f>
        <v>22</v>
      </c>
      <c r="N179" s="236">
        <v>1</v>
      </c>
      <c r="O179" s="237" t="s">
        <v>505</v>
      </c>
      <c r="P179" s="236">
        <v>6</v>
      </c>
    </row>
    <row r="180" spans="1:16">
      <c r="A180" s="242" t="str">
        <f>_xlfn.CONCAT(Tableau2[[#This Row],[Compte ILN]],"-",Tableau2[[#This Row],[Compte Shipper]],"-",Tableau2[[#This Row],[POL]],"-",Tableau2[[#This Row],[Compte Consignee]])</f>
        <v>95112-95112-TRGEM-90018000</v>
      </c>
      <c r="B180" s="242" t="str">
        <f>IF(Tableau2[[#This Row],[Name Consignee]]="",_xlfn.CONCAT(Tableau2[[#This Row],[Compte ILN]],"-",Tableau2[[#This Row],[Compte Shipper]],"-",Tableau2[[#This Row],[POL]]),"-")</f>
        <v>-</v>
      </c>
      <c r="C180" s="166" t="s">
        <v>148</v>
      </c>
      <c r="D180" s="225">
        <f>VLOOKUP(Tableau2[[#This Row],[ Name ILN]],Plant_AILN!F:G,2,FALSE)</f>
        <v>95112</v>
      </c>
      <c r="E180" s="166" t="s">
        <v>148</v>
      </c>
      <c r="F180" s="226">
        <f>IFERROR(VLOOKUP(Tableau2[[#This Row],[Name of shipper]],Plant_AILN!L:M,2,FALSE),0)</f>
        <v>95112</v>
      </c>
      <c r="G180" s="231" t="s">
        <v>182</v>
      </c>
      <c r="H180" s="226">
        <f>IF(Tableau2[[#This Row],[Name Consignee]]=0,"",VLOOKUP(Tableau2[[#This Row],[Name Consignee]],Plant_AILN!A:C,3,FALSE))</f>
        <v>90018000</v>
      </c>
      <c r="I180" s="52">
        <v>9</v>
      </c>
      <c r="J180" s="219">
        <v>7</v>
      </c>
      <c r="K180" s="94">
        <v>5</v>
      </c>
      <c r="L180" s="227">
        <v>7</v>
      </c>
      <c r="M180" s="228">
        <f>Tableau2[[#This Row],[Delivery time to ILN/Shipper]]+Tableau2[[#This Row],[Day ILN Order]]-1</f>
        <v>15</v>
      </c>
      <c r="N180" s="229">
        <v>1</v>
      </c>
      <c r="O180" s="230" t="s">
        <v>510</v>
      </c>
      <c r="P180" s="58">
        <v>5</v>
      </c>
    </row>
    <row r="181" spans="1:16">
      <c r="A181" s="242" t="str">
        <f>_xlfn.CONCAT(Tableau2[[#This Row],[Compte ILN]],"-",Tableau2[[#This Row],[Compte Shipper]],"-",Tableau2[[#This Row],[POL]],"-",Tableau2[[#This Row],[Compte Consignee]])</f>
        <v>95112-95112-TRGEM-90018600</v>
      </c>
      <c r="B181" s="242" t="str">
        <f>IF(Tableau2[[#This Row],[Name Consignee]]="",_xlfn.CONCAT(Tableau2[[#This Row],[Compte ILN]],"-",Tableau2[[#This Row],[Compte Shipper]],"-",Tableau2[[#This Row],[POL]]),"-")</f>
        <v>-</v>
      </c>
      <c r="C181" s="166" t="s">
        <v>148</v>
      </c>
      <c r="D181" s="225">
        <f>VLOOKUP(Tableau2[[#This Row],[ Name ILN]],Plant_AILN!F:G,2,FALSE)</f>
        <v>95112</v>
      </c>
      <c r="E181" s="166" t="s">
        <v>148</v>
      </c>
      <c r="F181" s="226">
        <f>IFERROR(VLOOKUP(Tableau2[[#This Row],[Name of shipper]],Plant_AILN!L:M,2,FALSE),0)</f>
        <v>95112</v>
      </c>
      <c r="G181" s="231" t="s">
        <v>168</v>
      </c>
      <c r="H181" s="226">
        <f>IF(Tableau2[[#This Row],[Name Consignee]]=0,"",VLOOKUP(Tableau2[[#This Row],[Name Consignee]],Plant_AILN!A:C,3,FALSE))</f>
        <v>90018600</v>
      </c>
      <c r="I181" s="52">
        <v>9</v>
      </c>
      <c r="J181" s="219">
        <v>7</v>
      </c>
      <c r="K181" s="94">
        <v>5</v>
      </c>
      <c r="L181" s="227">
        <v>7</v>
      </c>
      <c r="M181" s="228">
        <f>Tableau2[[#This Row],[Delivery time to ILN/Shipper]]+Tableau2[[#This Row],[Day ILN Order]]-1</f>
        <v>15</v>
      </c>
      <c r="N181" s="229">
        <v>1</v>
      </c>
      <c r="O181" s="230" t="s">
        <v>510</v>
      </c>
      <c r="P181" s="58">
        <v>5</v>
      </c>
    </row>
    <row r="182" spans="1:16">
      <c r="A182" s="242" t="str">
        <f>_xlfn.CONCAT(Tableau2[[#This Row],[Compte ILN]],"-",Tableau2[[#This Row],[Compte Shipper]],"-",Tableau2[[#This Row],[POL]],"-",Tableau2[[#This Row],[Compte Consignee]])</f>
        <v>95112-95112-TRGEM-9510600</v>
      </c>
      <c r="B182" s="242" t="str">
        <f>IF(Tableau2[[#This Row],[Name Consignee]]="",_xlfn.CONCAT(Tableau2[[#This Row],[Compte ILN]],"-",Tableau2[[#This Row],[Compte Shipper]],"-",Tableau2[[#This Row],[POL]]),"-")</f>
        <v>-</v>
      </c>
      <c r="C182" s="166" t="s">
        <v>148</v>
      </c>
      <c r="D182" s="225">
        <f>VLOOKUP(Tableau2[[#This Row],[ Name ILN]],Plant_AILN!F:G,2,FALSE)</f>
        <v>95112</v>
      </c>
      <c r="E182" s="166" t="s">
        <v>148</v>
      </c>
      <c r="F182" s="226">
        <f>IFERROR(VLOOKUP(Tableau2[[#This Row],[Name of shipper]],Plant_AILN!L:M,2,FALSE),0)</f>
        <v>95112</v>
      </c>
      <c r="G182" s="231" t="s">
        <v>176</v>
      </c>
      <c r="H182" s="226">
        <f>IF(Tableau2[[#This Row],[Name Consignee]]=0,"",VLOOKUP(Tableau2[[#This Row],[Name Consignee]],Plant_AILN!A:C,3,FALSE))</f>
        <v>9510600</v>
      </c>
      <c r="I182" s="52">
        <v>9</v>
      </c>
      <c r="J182" s="219">
        <v>7</v>
      </c>
      <c r="K182" s="94">
        <v>5</v>
      </c>
      <c r="L182" s="227">
        <v>7</v>
      </c>
      <c r="M182" s="228">
        <f>Tableau2[[#This Row],[Delivery time to ILN/Shipper]]+Tableau2[[#This Row],[Day ILN Order]]-1</f>
        <v>15</v>
      </c>
      <c r="N182" s="229">
        <v>1</v>
      </c>
      <c r="O182" s="230" t="s">
        <v>510</v>
      </c>
      <c r="P182" s="58">
        <v>5</v>
      </c>
    </row>
    <row r="183" spans="1:16">
      <c r="A183" s="371" t="str">
        <f>_xlfn.CONCAT(Tableau2[[#This Row],[Compte ILN]],"-",Tableau2[[#This Row],[Compte Shipper]],"-",Tableau2[[#This Row],[POL]],"-",Tableau2[[#This Row],[Compte Consignee]])</f>
        <v>95112-95112-TRGEM-90021000</v>
      </c>
      <c r="B183" s="371" t="str">
        <f>IF(Tableau2[[#This Row],[Name Consignee]]="",_xlfn.CONCAT(Tableau2[[#This Row],[Compte ILN]],"-",Tableau2[[#This Row],[Compte Shipper]],"-",Tableau2[[#This Row],[POL]]),"-")</f>
        <v>-</v>
      </c>
      <c r="C183" s="233" t="s">
        <v>148</v>
      </c>
      <c r="D183" s="238">
        <f>VLOOKUP(Tableau2[[#This Row],[ Name ILN]],Plant_AILN!F:G,2,FALSE)</f>
        <v>95112</v>
      </c>
      <c r="E183" s="166" t="s">
        <v>148</v>
      </c>
      <c r="F183" s="235">
        <f>IFERROR(VLOOKUP(Tableau2[[#This Row],[Name of shipper]],Plant_AILN!L:M,2,FALSE),0)</f>
        <v>95112</v>
      </c>
      <c r="G183" s="233" t="s">
        <v>203</v>
      </c>
      <c r="H183" s="235">
        <f>IF(Tableau2[[#This Row],[Name Consignee]]=0,"",VLOOKUP(Tableau2[[#This Row],[Name Consignee]],Plant_AILN!A:C,3,FALSE))</f>
        <v>90021000</v>
      </c>
      <c r="I183" s="236">
        <v>9</v>
      </c>
      <c r="J183" s="375">
        <v>14</v>
      </c>
      <c r="K183" s="237">
        <v>5</v>
      </c>
      <c r="L183" s="233">
        <v>7</v>
      </c>
      <c r="M183" s="238">
        <f>Tableau2[[#This Row],[Delivery time to ILN/Shipper]]+Tableau2[[#This Row],[Day ILN Order]]-1</f>
        <v>22</v>
      </c>
      <c r="N183" s="236">
        <v>1</v>
      </c>
      <c r="O183" s="230" t="s">
        <v>510</v>
      </c>
      <c r="P183" s="236">
        <v>2</v>
      </c>
    </row>
    <row r="184" spans="1:16">
      <c r="A184" s="371" t="str">
        <f>_xlfn.CONCAT(Tableau2[[#This Row],[Compte ILN]],"-",Tableau2[[#This Row],[Compte Shipper]],"-",Tableau2[[#This Row],[POL]],"-",Tableau2[[#This Row],[Compte Consignee]])</f>
        <v>0-xxxxx-COCTG-90021000</v>
      </c>
      <c r="B184" s="371" t="str">
        <f>IF(Tableau2[[#This Row],[Name Consignee]]="",_xlfn.CONCAT(Tableau2[[#This Row],[Compte ILN]],"-",Tableau2[[#This Row],[Compte Shipper]],"-",Tableau2[[#This Row],[POL]]),"-")</f>
        <v>-</v>
      </c>
      <c r="C184" s="233" t="s">
        <v>150</v>
      </c>
      <c r="D184" s="238">
        <f>VLOOKUP(Tableau2[[#This Row],[ Name ILN]],Plant_AILN!F:G,2,FALSE)</f>
        <v>0</v>
      </c>
      <c r="E184" s="166" t="s">
        <v>443</v>
      </c>
      <c r="F184" s="235" t="str">
        <f>IFERROR(VLOOKUP(Tableau2[[#This Row],[Name of shipper]],Plant_AILN!L:M,2,FALSE),0)</f>
        <v>xxxxx</v>
      </c>
      <c r="G184" s="233" t="s">
        <v>203</v>
      </c>
      <c r="H184" s="235">
        <f>IF(Tableau2[[#This Row],[Name Consignee]]=0,"",VLOOKUP(Tableau2[[#This Row],[Name Consignee]],Plant_AILN!A:C,3,FALSE))</f>
        <v>90021000</v>
      </c>
      <c r="I184" s="375">
        <v>9</v>
      </c>
      <c r="J184" s="375">
        <v>7</v>
      </c>
      <c r="K184" s="377">
        <v>5</v>
      </c>
      <c r="L184" s="376">
        <v>7</v>
      </c>
      <c r="M184" s="238">
        <f>Tableau2[[#This Row],[Delivery time to ILN/Shipper]]+Tableau2[[#This Row],[Day ILN Order]]-1</f>
        <v>15</v>
      </c>
      <c r="N184" s="375">
        <v>6</v>
      </c>
      <c r="O184" s="237" t="s">
        <v>503</v>
      </c>
      <c r="P184" s="375">
        <v>7</v>
      </c>
    </row>
    <row r="185" spans="1:16">
      <c r="A185" s="371" t="str">
        <f>_xlfn.CONCAT(Tableau2[[#This Row],[Compte ILN]],"-",Tableau2[[#This Row],[Compte Shipper]],"-",Tableau2[[#This Row],[POL]],"-",Tableau2[[#This Row],[Compte Consignee]])</f>
        <v>0-xxxxxx-CLSAI-90021000</v>
      </c>
      <c r="B185" s="371" t="str">
        <f>IF(Tableau2[[#This Row],[Name Consignee]]="",_xlfn.CONCAT(Tableau2[[#This Row],[Compte ILN]],"-",Tableau2[[#This Row],[Compte Shipper]],"-",Tableau2[[#This Row],[POL]]),"-")</f>
        <v>-</v>
      </c>
      <c r="C185" s="233" t="s">
        <v>150</v>
      </c>
      <c r="D185" s="238">
        <f>VLOOKUP(Tableau2[[#This Row],[ Name ILN]],Plant_AILN!F:G,2,FALSE)</f>
        <v>0</v>
      </c>
      <c r="E185" s="166" t="s">
        <v>332</v>
      </c>
      <c r="F185" s="235" t="str">
        <f>IFERROR(VLOOKUP(Tableau2[[#This Row],[Name of shipper]],Plant_AILN!L:M,2,FALSE),0)</f>
        <v>xxxxxx</v>
      </c>
      <c r="G185" s="233" t="s">
        <v>203</v>
      </c>
      <c r="H185" s="235">
        <f>IF(Tableau2[[#This Row],[Name Consignee]]=0,"",VLOOKUP(Tableau2[[#This Row],[Name Consignee]],Plant_AILN!A:C,3,FALSE))</f>
        <v>90021000</v>
      </c>
      <c r="I185" s="375">
        <v>9</v>
      </c>
      <c r="J185" s="375">
        <v>7</v>
      </c>
      <c r="K185" s="377">
        <v>5</v>
      </c>
      <c r="L185" s="376">
        <v>7</v>
      </c>
      <c r="M185" s="238">
        <f>Tableau2[[#This Row],[Delivery time to ILN/Shipper]]+Tableau2[[#This Row],[Day ILN Order]]-1</f>
        <v>15</v>
      </c>
      <c r="N185" s="375">
        <v>2</v>
      </c>
      <c r="O185" s="237" t="s">
        <v>471</v>
      </c>
      <c r="P185" s="375">
        <v>5</v>
      </c>
    </row>
    <row r="186" spans="1:16">
      <c r="A186" s="371" t="str">
        <f>_xlfn.CONCAT(Tableau2[[#This Row],[Compte ILN]],"-",Tableau2[[#This Row],[Compte Shipper]],"-",Tableau2[[#This Row],[POL]],"-",Tableau2[[#This Row],[Compte Consignee]])</f>
        <v>92000100-0-FRLEH-90021000</v>
      </c>
      <c r="B186" s="371" t="str">
        <f>IF(Tableau2[[#This Row],[Name Consignee]]="",_xlfn.CONCAT(Tableau2[[#This Row],[Compte ILN]],"-",Tableau2[[#This Row],[Compte Shipper]],"-",Tableau2[[#This Row],[POL]]),"-")</f>
        <v>-</v>
      </c>
      <c r="C186" s="233" t="s">
        <v>1</v>
      </c>
      <c r="D186" s="238">
        <f>VLOOKUP(Tableau2[[#This Row],[ Name ILN]],Plant_AILN!F:G,2,FALSE)</f>
        <v>92000100</v>
      </c>
      <c r="E186" s="166" t="s">
        <v>578</v>
      </c>
      <c r="F186" s="235">
        <f>IFERROR(VLOOKUP(Tableau2[[#This Row],[Name of shipper]],Plant_AILN!L:M,2,FALSE),0)</f>
        <v>0</v>
      </c>
      <c r="G186" s="233" t="s">
        <v>203</v>
      </c>
      <c r="H186" s="235">
        <f>IF(Tableau2[[#This Row],[Name Consignee]]=0,"",VLOOKUP(Tableau2[[#This Row],[Name Consignee]],Plant_AILN!A:C,3,FALSE))</f>
        <v>90021000</v>
      </c>
      <c r="I186" s="236">
        <v>9</v>
      </c>
      <c r="J186" s="379">
        <v>14</v>
      </c>
      <c r="K186" s="237">
        <v>5</v>
      </c>
      <c r="L186" s="233">
        <v>7</v>
      </c>
      <c r="M186" s="238">
        <f>Tableau2[[#This Row],[Delivery time to ILN/Shipper]]+Tableau2[[#This Row],[Day ILN Order]]-1</f>
        <v>22</v>
      </c>
      <c r="N186" s="236">
        <v>1</v>
      </c>
      <c r="O186" s="237" t="s">
        <v>505</v>
      </c>
      <c r="P186" s="236">
        <v>6</v>
      </c>
    </row>
    <row r="187" spans="1:16">
      <c r="A187" s="371" t="str">
        <f>_xlfn.CONCAT(Tableau2[[#This Row],[Compte ILN]],"-",Tableau2[[#This Row],[Compte Shipper]],"-",Tableau2[[#This Row],[POL]],"-",Tableau2[[#This Row],[Compte Consignee]])</f>
        <v>95207-95207-BRPNG-90021000</v>
      </c>
      <c r="B187" s="371" t="str">
        <f>IF(Tableau2[[#This Row],[Name Consignee]]="",_xlfn.CONCAT(Tableau2[[#This Row],[Compte ILN]],"-",Tableau2[[#This Row],[Compte Shipper]],"-",Tableau2[[#This Row],[POL]]),"-")</f>
        <v>-</v>
      </c>
      <c r="C187" s="233" t="s">
        <v>157</v>
      </c>
      <c r="D187" s="238">
        <f>VLOOKUP(Tableau2[[#This Row],[ Name ILN]],Plant_AILN!F:G,2,FALSE)</f>
        <v>95207</v>
      </c>
      <c r="E187" s="166" t="s">
        <v>157</v>
      </c>
      <c r="F187" s="235">
        <f>IFERROR(VLOOKUP(Tableau2[[#This Row],[Name of shipper]],Plant_AILN!L:M,2,FALSE),0)</f>
        <v>95207</v>
      </c>
      <c r="G187" s="233" t="s">
        <v>203</v>
      </c>
      <c r="H187" s="235">
        <f>IF(Tableau2[[#This Row],[Name Consignee]]=0,"",VLOOKUP(Tableau2[[#This Row],[Name Consignee]],Plant_AILN!A:C,3,FALSE))</f>
        <v>90021000</v>
      </c>
      <c r="I187" s="236">
        <v>9</v>
      </c>
      <c r="J187" s="375">
        <v>7</v>
      </c>
      <c r="K187" s="237">
        <v>5</v>
      </c>
      <c r="L187" s="233">
        <v>7</v>
      </c>
      <c r="M187" s="238">
        <f>Tableau2[[#This Row],[Delivery time to ILN/Shipper]]+Tableau2[[#This Row],[Day ILN Order]]-1</f>
        <v>15</v>
      </c>
      <c r="N187" s="236">
        <v>13</v>
      </c>
      <c r="O187" s="94" t="s">
        <v>489</v>
      </c>
      <c r="P187" s="241">
        <v>7</v>
      </c>
    </row>
    <row r="188" spans="1:16">
      <c r="A188" s="371" t="str">
        <f>_xlfn.CONCAT(Tableau2[[#This Row],[Compte ILN]],"-",Tableau2[[#This Row],[Compte Shipper]],"-",Tableau2[[#This Row],[POL]],"-",Tableau2[[#This Row],[Compte Consignee]])</f>
        <v>92000100-92000100-FRLEH-90021000</v>
      </c>
      <c r="B188" s="371" t="str">
        <f>IF(Tableau2[[#This Row],[Name Consignee]]="",_xlfn.CONCAT(Tableau2[[#This Row],[Compte ILN]],"-",Tableau2[[#This Row],[Compte Shipper]],"-",Tableau2[[#This Row],[POL]]),"-")</f>
        <v>-</v>
      </c>
      <c r="C188" s="233" t="s">
        <v>1</v>
      </c>
      <c r="D188" s="238">
        <f>VLOOKUP(Tableau2[[#This Row],[ Name ILN]],Plant_AILN!F:G,2,FALSE)</f>
        <v>92000100</v>
      </c>
      <c r="E188" s="166" t="s">
        <v>1</v>
      </c>
      <c r="F188" s="235">
        <f>IFERROR(VLOOKUP(Tableau2[[#This Row],[Name of shipper]],Plant_AILN!L:M,2,FALSE),0)</f>
        <v>92000100</v>
      </c>
      <c r="G188" s="233" t="s">
        <v>203</v>
      </c>
      <c r="H188" s="235">
        <f>IF(Tableau2[[#This Row],[Name Consignee]]=0,"",VLOOKUP(Tableau2[[#This Row],[Name Consignee]],Plant_AILN!A:C,3,FALSE))</f>
        <v>90021000</v>
      </c>
      <c r="I188" s="236">
        <v>9</v>
      </c>
      <c r="J188" s="236">
        <v>14</v>
      </c>
      <c r="K188" s="237">
        <v>5</v>
      </c>
      <c r="L188" s="233">
        <v>7</v>
      </c>
      <c r="M188" s="238">
        <f>Tableau2[[#This Row],[Delivery time to ILN/Shipper]]+Tableau2[[#This Row],[Day ILN Order]]-1</f>
        <v>22</v>
      </c>
      <c r="N188" s="236">
        <v>1</v>
      </c>
      <c r="O188" s="237" t="s">
        <v>505</v>
      </c>
      <c r="P188" s="236">
        <v>6</v>
      </c>
    </row>
    <row r="189" spans="1:16">
      <c r="A189" s="371" t="str">
        <f>_xlfn.CONCAT(Tableau2[[#This Row],[Compte ILN]],"-",Tableau2[[#This Row],[Compte Shipper]],"-",Tableau2[[#This Row],[POL]],"-",Tableau2[[#This Row],[Compte Consignee]])</f>
        <v>0-25566103-ITSAL-90017000</v>
      </c>
      <c r="B189" s="371" t="str">
        <f>IF(Tableau2[[#This Row],[Name Consignee]]="",_xlfn.CONCAT(Tableau2[[#This Row],[Compte ILN]],"-",Tableau2[[#This Row],[Compte Shipper]],"-",Tableau2[[#This Row],[POL]]),"-")</f>
        <v>-</v>
      </c>
      <c r="C189" s="233" t="s">
        <v>150</v>
      </c>
      <c r="D189" s="238">
        <f>VLOOKUP(Tableau2[[#This Row],[ Name ILN]],Plant_AILN!F:G,2,FALSE)</f>
        <v>0</v>
      </c>
      <c r="E189" s="166" t="s">
        <v>435</v>
      </c>
      <c r="F189" s="235">
        <f>IFERROR(VLOOKUP(Tableau2[[#This Row],[Name of shipper]],Plant_AILN!L:M,2,FALSE),0)</f>
        <v>25566103</v>
      </c>
      <c r="G189" s="233" t="s">
        <v>167</v>
      </c>
      <c r="H189" s="235">
        <f>IF(Tableau2[[#This Row],[Name Consignee]]=0,"",VLOOKUP(Tableau2[[#This Row],[Name Consignee]],Plant_AILN!A:C,3,FALSE))</f>
        <v>90017000</v>
      </c>
      <c r="I189" s="236">
        <v>9</v>
      </c>
      <c r="J189" s="236">
        <v>2</v>
      </c>
      <c r="K189" s="237">
        <v>2</v>
      </c>
      <c r="L189" s="233">
        <v>7</v>
      </c>
      <c r="M189" s="238">
        <f>Tableau2[[#This Row],[Delivery time to ILN/Shipper]]+Tableau2[[#This Row],[Day ILN Order]]-1</f>
        <v>10</v>
      </c>
      <c r="N189" s="236">
        <v>2</v>
      </c>
      <c r="O189" s="237" t="s">
        <v>579</v>
      </c>
      <c r="P189" s="236">
        <v>2</v>
      </c>
    </row>
    <row r="190" spans="1:16">
      <c r="A190" s="371" t="str">
        <f>_xlfn.CONCAT(Tableau2[[#This Row],[Compte ILN]],"-",Tableau2[[#This Row],[Compte Shipper]],"-",Tableau2[[#This Row],[POL]],"-",Tableau2[[#This Row],[Compte Consignee]])</f>
        <v>0-25566103-ITSAL-90016800</v>
      </c>
      <c r="B190" s="371" t="str">
        <f>IF(Tableau2[[#This Row],[Name Consignee]]="",_xlfn.CONCAT(Tableau2[[#This Row],[Compte ILN]],"-",Tableau2[[#This Row],[Compte Shipper]],"-",Tableau2[[#This Row],[POL]]),"-")</f>
        <v>-</v>
      </c>
      <c r="C190" s="233" t="s">
        <v>150</v>
      </c>
      <c r="D190" s="238">
        <f>VLOOKUP(Tableau2[[#This Row],[ Name ILN]],Plant_AILN!F:G,2,FALSE)</f>
        <v>0</v>
      </c>
      <c r="E190" s="166" t="s">
        <v>435</v>
      </c>
      <c r="F190" s="235">
        <f>IFERROR(VLOOKUP(Tableau2[[#This Row],[Name of shipper]],Plant_AILN!L:M,2,FALSE),0)</f>
        <v>25566103</v>
      </c>
      <c r="G190" s="233" t="s">
        <v>180</v>
      </c>
      <c r="H190" s="235">
        <f>IF(Tableau2[[#This Row],[Name Consignee]]=0,"",VLOOKUP(Tableau2[[#This Row],[Name Consignee]],Plant_AILN!A:C,3,FALSE))</f>
        <v>90016800</v>
      </c>
      <c r="I190" s="236">
        <v>9</v>
      </c>
      <c r="J190" s="236">
        <v>2</v>
      </c>
      <c r="K190" s="237">
        <v>2</v>
      </c>
      <c r="L190" s="233">
        <v>7</v>
      </c>
      <c r="M190" s="238">
        <f>Tableau2[[#This Row],[Delivery time to ILN/Shipper]]+Tableau2[[#This Row],[Day ILN Order]]-1</f>
        <v>10</v>
      </c>
      <c r="N190" s="236">
        <v>2</v>
      </c>
      <c r="O190" s="237" t="s">
        <v>579</v>
      </c>
      <c r="P190" s="236">
        <v>2</v>
      </c>
    </row>
    <row r="191" spans="1:16">
      <c r="A191" s="371" t="str">
        <f>_xlfn.CONCAT(Tableau2[[#This Row],[Compte ILN]],"-",Tableau2[[#This Row],[Compte Shipper]],"-",Tableau2[[#This Row],[POL]],"-",Tableau2[[#This Row],[Compte Consignee]])</f>
        <v>0-25566103-ITSAL-900383</v>
      </c>
      <c r="B191" s="371" t="str">
        <f>IF(Tableau2[[#This Row],[Name Consignee]]="",_xlfn.CONCAT(Tableau2[[#This Row],[Compte ILN]],"-",Tableau2[[#This Row],[Compte Shipper]],"-",Tableau2[[#This Row],[POL]]),"-")</f>
        <v>-</v>
      </c>
      <c r="C191" s="233" t="s">
        <v>150</v>
      </c>
      <c r="D191" s="238">
        <f>VLOOKUP(Tableau2[[#This Row],[ Name ILN]],Plant_AILN!F:G,2,FALSE)</f>
        <v>0</v>
      </c>
      <c r="E191" s="166" t="s">
        <v>435</v>
      </c>
      <c r="F191" s="235">
        <f>IFERROR(VLOOKUP(Tableau2[[#This Row],[Name of shipper]],Plant_AILN!L:M,2,FALSE),0)</f>
        <v>25566103</v>
      </c>
      <c r="G191" s="233" t="s">
        <v>179</v>
      </c>
      <c r="H191" s="235">
        <f>IF(Tableau2[[#This Row],[Name Consignee]]=0,"",VLOOKUP(Tableau2[[#This Row],[Name Consignee]],Plant_AILN!A:C,3,FALSE))</f>
        <v>900383</v>
      </c>
      <c r="I191" s="236">
        <v>9</v>
      </c>
      <c r="J191" s="236">
        <v>2</v>
      </c>
      <c r="K191" s="237">
        <v>2</v>
      </c>
      <c r="L191" s="233">
        <v>7</v>
      </c>
      <c r="M191" s="238">
        <f>Tableau2[[#This Row],[Delivery time to ILN/Shipper]]+Tableau2[[#This Row],[Day ILN Order]]-1</f>
        <v>10</v>
      </c>
      <c r="N191" s="236">
        <v>2</v>
      </c>
      <c r="O191" s="237" t="s">
        <v>579</v>
      </c>
      <c r="P191" s="236">
        <v>2</v>
      </c>
    </row>
    <row r="192" spans="1:16">
      <c r="A192" s="242" t="str">
        <f>_xlfn.CONCAT(Tableau2[[#This Row],[Compte ILN]],"-",Tableau2[[#This Row],[Compte Shipper]],"-",Tableau2[[#This Row],[POL]],"-",Tableau2[[#This Row],[Compte Consignee]])</f>
        <v>26037000-26037000-CNSHA-90016900</v>
      </c>
      <c r="B192" s="242" t="str">
        <f>IF(Tableau2[[#This Row],[Name Consignee]]="",_xlfn.CONCAT(Tableau2[[#This Row],[Compte ILN]],"-",Tableau2[[#This Row],[Compte Shipper]],"-",Tableau2[[#This Row],[POL]]),"-")</f>
        <v>-</v>
      </c>
      <c r="C192" s="233" t="s">
        <v>171</v>
      </c>
      <c r="D192" s="228">
        <f>VLOOKUP(Tableau2[[#This Row],[ Name ILN]],Plant_AILN!F:G,2,FALSE)</f>
        <v>26037000</v>
      </c>
      <c r="E192" s="166" t="s">
        <v>171</v>
      </c>
      <c r="F192" s="235">
        <f>IFERROR(VLOOKUP(Tableau2[[#This Row],[Name of shipper]],Plant_AILN!L:M,2,FALSE),0)</f>
        <v>26037000</v>
      </c>
      <c r="G192" s="233" t="s">
        <v>152</v>
      </c>
      <c r="H192" s="235">
        <f>IF(Tableau2[[#This Row],[Name Consignee]]=0,"",VLOOKUP(Tableau2[[#This Row],[Name Consignee]],Plant_AILN!A:C,3,FALSE))</f>
        <v>90016900</v>
      </c>
      <c r="I192" s="52">
        <v>9</v>
      </c>
      <c r="J192" s="219">
        <v>14</v>
      </c>
      <c r="K192" s="94">
        <v>5</v>
      </c>
      <c r="L192" s="227">
        <v>7</v>
      </c>
      <c r="M192" s="228">
        <f>Tableau2[[#This Row],[Delivery time to ILN/Shipper]]+Tableau2[[#This Row],[Day ILN Order]]-1</f>
        <v>22</v>
      </c>
      <c r="N192" s="236">
        <v>1</v>
      </c>
      <c r="O192" s="237" t="s">
        <v>513</v>
      </c>
      <c r="P192" s="236">
        <v>2</v>
      </c>
    </row>
    <row r="193" spans="1:17">
      <c r="A193" s="242" t="str">
        <f>_xlfn.CONCAT(Tableau2[[#This Row],[Compte ILN]],"-",Tableau2[[#This Row],[Compte Shipper]],"-",Tableau2[[#This Row],[POL]],"-",Tableau2[[#This Row],[Compte Consignee]])</f>
        <v>26037000-26037000-CNSHA-91017700</v>
      </c>
      <c r="B193" s="242" t="str">
        <f>IF(Tableau2[[#This Row],[Name Consignee]]="",_xlfn.CONCAT(Tableau2[[#This Row],[Compte ILN]],"-",Tableau2[[#This Row],[Compte Shipper]],"-",Tableau2[[#This Row],[POL]]),"-")</f>
        <v>-</v>
      </c>
      <c r="C193" s="233" t="s">
        <v>171</v>
      </c>
      <c r="D193" s="228">
        <f>VLOOKUP(Tableau2[[#This Row],[ Name ILN]],Plant_AILN!F:G,2,FALSE)</f>
        <v>26037000</v>
      </c>
      <c r="E193" s="166" t="s">
        <v>171</v>
      </c>
      <c r="F193" s="235">
        <f>IFERROR(VLOOKUP(Tableau2[[#This Row],[Name of shipper]],Plant_AILN!L:M,2,FALSE),0)</f>
        <v>26037000</v>
      </c>
      <c r="G193" s="233" t="s">
        <v>163</v>
      </c>
      <c r="H193" s="235">
        <f>IF(Tableau2[[#This Row],[Name Consignee]]=0,"",VLOOKUP(Tableau2[[#This Row],[Name Consignee]],Plant_AILN!A:C,3,FALSE))</f>
        <v>91017700</v>
      </c>
      <c r="I193" s="52">
        <v>9</v>
      </c>
      <c r="J193" s="219">
        <v>14</v>
      </c>
      <c r="K193" s="94">
        <v>5</v>
      </c>
      <c r="L193" s="227">
        <v>7</v>
      </c>
      <c r="M193" s="228">
        <f>Tableau2[[#This Row],[Delivery time to ILN/Shipper]]+Tableau2[[#This Row],[Day ILN Order]]-1</f>
        <v>22</v>
      </c>
      <c r="N193" s="236">
        <v>1</v>
      </c>
      <c r="O193" s="237" t="s">
        <v>513</v>
      </c>
      <c r="P193" s="236">
        <v>2</v>
      </c>
    </row>
    <row r="194" spans="1:17">
      <c r="A194" s="242" t="str">
        <f>_xlfn.CONCAT(Tableau2[[#This Row],[Compte ILN]],"-",Tableau2[[#This Row],[Compte Shipper]],"-",Tableau2[[#This Row],[POL]],"-",Tableau2[[#This Row],[Compte Consignee]])</f>
        <v>26037000-26037000-CNSHA-91017300</v>
      </c>
      <c r="B194" s="242" t="str">
        <f>IF(Tableau2[[#This Row],[Name Consignee]]="",_xlfn.CONCAT(Tableau2[[#This Row],[Compte ILN]],"-",Tableau2[[#This Row],[Compte Shipper]],"-",Tableau2[[#This Row],[POL]]),"-")</f>
        <v>-</v>
      </c>
      <c r="C194" s="233" t="s">
        <v>171</v>
      </c>
      <c r="D194" s="228">
        <f>VLOOKUP(Tableau2[[#This Row],[ Name ILN]],Plant_AILN!F:G,2,FALSE)</f>
        <v>26037000</v>
      </c>
      <c r="E194" s="166" t="s">
        <v>171</v>
      </c>
      <c r="F194" s="235">
        <f>IFERROR(VLOOKUP(Tableau2[[#This Row],[Name of shipper]],Plant_AILN!L:M,2,FALSE),0)</f>
        <v>26037000</v>
      </c>
      <c r="G194" s="233" t="s">
        <v>172</v>
      </c>
      <c r="H194" s="235">
        <f>IF(Tableau2[[#This Row],[Name Consignee]]=0,"",VLOOKUP(Tableau2[[#This Row],[Name Consignee]],Plant_AILN!A:C,3,FALSE))</f>
        <v>91017300</v>
      </c>
      <c r="I194" s="52">
        <v>9</v>
      </c>
      <c r="J194" s="219">
        <v>14</v>
      </c>
      <c r="K194" s="94">
        <v>5</v>
      </c>
      <c r="L194" s="227">
        <v>7</v>
      </c>
      <c r="M194" s="228">
        <f>Tableau2[[#This Row],[Delivery time to ILN/Shipper]]+Tableau2[[#This Row],[Day ILN Order]]-1</f>
        <v>22</v>
      </c>
      <c r="N194" s="236">
        <v>1</v>
      </c>
      <c r="O194" s="237" t="s">
        <v>513</v>
      </c>
      <c r="P194" s="236">
        <v>2</v>
      </c>
    </row>
    <row r="195" spans="1:17">
      <c r="A195" s="242" t="str">
        <f>_xlfn.CONCAT(Tableau2[[#This Row],[Compte ILN]],"-",Tableau2[[#This Row],[Compte Shipper]],"-",Tableau2[[#This Row],[POL]],"-",Tableau2[[#This Row],[Compte Consignee]])</f>
        <v>26037000-26037000-CNSHA-90016800</v>
      </c>
      <c r="B195" s="242" t="str">
        <f>IF(Tableau2[[#This Row],[Name Consignee]]="",_xlfn.CONCAT(Tableau2[[#This Row],[Compte ILN]],"-",Tableau2[[#This Row],[Compte Shipper]],"-",Tableau2[[#This Row],[POL]]),"-")</f>
        <v>-</v>
      </c>
      <c r="C195" s="233" t="s">
        <v>171</v>
      </c>
      <c r="D195" s="228">
        <f>VLOOKUP(Tableau2[[#This Row],[ Name ILN]],Plant_AILN!F:G,2,FALSE)</f>
        <v>26037000</v>
      </c>
      <c r="E195" s="166" t="s">
        <v>171</v>
      </c>
      <c r="F195" s="235">
        <f>IFERROR(VLOOKUP(Tableau2[[#This Row],[Name of shipper]],Plant_AILN!L:M,2,FALSE),0)</f>
        <v>26037000</v>
      </c>
      <c r="G195" s="233" t="s">
        <v>180</v>
      </c>
      <c r="H195" s="235">
        <f>IF(Tableau2[[#This Row],[Name Consignee]]=0,"",VLOOKUP(Tableau2[[#This Row],[Name Consignee]],Plant_AILN!A:C,3,FALSE))</f>
        <v>90016800</v>
      </c>
      <c r="I195" s="52">
        <v>9</v>
      </c>
      <c r="J195" s="219">
        <v>14</v>
      </c>
      <c r="K195" s="94">
        <v>5</v>
      </c>
      <c r="L195" s="227">
        <v>7</v>
      </c>
      <c r="M195" s="228">
        <f>Tableau2[[#This Row],[Delivery time to ILN/Shipper]]+Tableau2[[#This Row],[Day ILN Order]]-1</f>
        <v>22</v>
      </c>
      <c r="N195" s="236">
        <v>1</v>
      </c>
      <c r="O195" s="237" t="s">
        <v>513</v>
      </c>
      <c r="P195" s="236">
        <v>2</v>
      </c>
    </row>
    <row r="196" spans="1:17">
      <c r="A196" s="242" t="str">
        <f>_xlfn.CONCAT(Tableau2[[#This Row],[Compte ILN]],"-",Tableau2[[#This Row],[Compte Shipper]],"-",Tableau2[[#This Row],[POL]],"-",Tableau2[[#This Row],[Compte Consignee]])</f>
        <v>26037000-26037000-CNSHA-90017000</v>
      </c>
      <c r="B196" s="242" t="str">
        <f>IF(Tableau2[[#This Row],[Name Consignee]]="",_xlfn.CONCAT(Tableau2[[#This Row],[Compte ILN]],"-",Tableau2[[#This Row],[Compte Shipper]],"-",Tableau2[[#This Row],[POL]]),"-")</f>
        <v>-</v>
      </c>
      <c r="C196" s="233" t="s">
        <v>171</v>
      </c>
      <c r="D196" s="228">
        <f>VLOOKUP(Tableau2[[#This Row],[ Name ILN]],Plant_AILN!F:G,2,FALSE)</f>
        <v>26037000</v>
      </c>
      <c r="E196" s="166" t="s">
        <v>171</v>
      </c>
      <c r="F196" s="235">
        <f>IFERROR(VLOOKUP(Tableau2[[#This Row],[Name of shipper]],Plant_AILN!L:M,2,FALSE),0)</f>
        <v>26037000</v>
      </c>
      <c r="G196" s="233" t="s">
        <v>167</v>
      </c>
      <c r="H196" s="235">
        <f>IF(Tableau2[[#This Row],[Name Consignee]]=0,"",VLOOKUP(Tableau2[[#This Row],[Name Consignee]],Plant_AILN!A:C,3,FALSE))</f>
        <v>90017000</v>
      </c>
      <c r="I196" s="52">
        <v>9</v>
      </c>
      <c r="J196" s="219">
        <v>14</v>
      </c>
      <c r="K196" s="94">
        <v>5</v>
      </c>
      <c r="L196" s="227">
        <v>7</v>
      </c>
      <c r="M196" s="228">
        <f>Tableau2[[#This Row],[Delivery time to ILN/Shipper]]+Tableau2[[#This Row],[Day ILN Order]]-1</f>
        <v>22</v>
      </c>
      <c r="N196" s="236">
        <v>1</v>
      </c>
      <c r="O196" s="237" t="s">
        <v>513</v>
      </c>
      <c r="P196" s="236">
        <v>2</v>
      </c>
    </row>
    <row r="197" spans="1:17">
      <c r="A197" s="242" t="str">
        <f>_xlfn.CONCAT(Tableau2[[#This Row],[Compte ILN]],"-",Tableau2[[#This Row],[Compte Shipper]],"-",Tableau2[[#This Row],[POL]],"-",Tableau2[[#This Row],[Compte Consignee]])</f>
        <v>26037000-26037000-CNSHA-90014400</v>
      </c>
      <c r="B197" s="242" t="str">
        <f>IF(Tableau2[[#This Row],[Name Consignee]]="",_xlfn.CONCAT(Tableau2[[#This Row],[Compte ILN]],"-",Tableau2[[#This Row],[Compte Shipper]],"-",Tableau2[[#This Row],[POL]]),"-")</f>
        <v>-</v>
      </c>
      <c r="C197" s="233" t="s">
        <v>171</v>
      </c>
      <c r="D197" s="228">
        <f>VLOOKUP(Tableau2[[#This Row],[ Name ILN]],Plant_AILN!F:G,2,FALSE)</f>
        <v>26037000</v>
      </c>
      <c r="E197" s="166" t="s">
        <v>171</v>
      </c>
      <c r="F197" s="235">
        <f>IFERROR(VLOOKUP(Tableau2[[#This Row],[Name of shipper]],Plant_AILN!L:M,2,FALSE),0)</f>
        <v>26037000</v>
      </c>
      <c r="G197" s="233" t="s">
        <v>164</v>
      </c>
      <c r="H197" s="235">
        <f>IF(Tableau2[[#This Row],[Name Consignee]]=0,"",VLOOKUP(Tableau2[[#This Row],[Name Consignee]],Plant_AILN!A:C,3,FALSE))</f>
        <v>90014400</v>
      </c>
      <c r="I197" s="52">
        <v>9</v>
      </c>
      <c r="J197" s="219">
        <v>14</v>
      </c>
      <c r="K197" s="94">
        <v>5</v>
      </c>
      <c r="L197" s="227">
        <v>7</v>
      </c>
      <c r="M197" s="228">
        <f>Tableau2[[#This Row],[Delivery time to ILN/Shipper]]+Tableau2[[#This Row],[Day ILN Order]]-1</f>
        <v>22</v>
      </c>
      <c r="N197" s="236">
        <v>1</v>
      </c>
      <c r="O197" s="237" t="s">
        <v>513</v>
      </c>
      <c r="P197" s="236">
        <v>2</v>
      </c>
    </row>
    <row r="198" spans="1:17">
      <c r="A198" s="371" t="str">
        <f>_xlfn.CONCAT(Tableau2[[#This Row],[Compte ILN]],"-",Tableau2[[#This Row],[Compte Shipper]],"-",Tableau2[[#This Row],[POL]],"-",Tableau2[[#This Row],[Compte Consignee]])</f>
        <v>26037000-26037000-CNSHA-90016200</v>
      </c>
      <c r="B198" s="371" t="str">
        <f>IF(Tableau2[[#This Row],[Name Consignee]]="",_xlfn.CONCAT(Tableau2[[#This Row],[Compte ILN]],"-",Tableau2[[#This Row],[Compte Shipper]],"-",Tableau2[[#This Row],[POL]]),"-")</f>
        <v>-</v>
      </c>
      <c r="C198" s="233" t="s">
        <v>171</v>
      </c>
      <c r="D198" s="238">
        <f>VLOOKUP(Tableau2[[#This Row],[ Name ILN]],Plant_AILN!F:G,2,FALSE)</f>
        <v>26037000</v>
      </c>
      <c r="E198" s="233" t="s">
        <v>171</v>
      </c>
      <c r="F198" s="235">
        <f>IFERROR(VLOOKUP(Tableau2[[#This Row],[Name of shipper]],Plant_AILN!L:M,2,FALSE),0)</f>
        <v>26037000</v>
      </c>
      <c r="G198" s="233" t="s">
        <v>185</v>
      </c>
      <c r="H198" s="235">
        <f>IF(Tableau2[[#This Row],[Name Consignee]]=0,"",VLOOKUP(Tableau2[[#This Row],[Name Consignee]],Plant_AILN!A:C,3,FALSE))</f>
        <v>90016200</v>
      </c>
      <c r="I198" s="236">
        <v>9</v>
      </c>
      <c r="J198" s="236">
        <v>14</v>
      </c>
      <c r="K198" s="237">
        <v>5</v>
      </c>
      <c r="L198" s="233">
        <v>7</v>
      </c>
      <c r="M198" s="238">
        <f>Tableau2[[#This Row],[Delivery time to ILN/Shipper]]+Tableau2[[#This Row],[Day ILN Order]]-1</f>
        <v>22</v>
      </c>
      <c r="N198" s="236">
        <v>2</v>
      </c>
      <c r="O198" s="237" t="s">
        <v>513</v>
      </c>
      <c r="P198" s="236">
        <v>5</v>
      </c>
    </row>
    <row r="199" spans="1:17">
      <c r="A199" s="371" t="str">
        <f>_xlfn.CONCAT(Tableau2[[#This Row],[Compte ILN]],"-",Tableau2[[#This Row],[Compte Shipper]],"-",Tableau2[[#This Row],[POL]],"-",Tableau2[[#This Row],[Compte Consignee]])</f>
        <v>91018400-91017500-ESALG-28750500</v>
      </c>
      <c r="B199" s="371" t="str">
        <f>IF(Tableau2[[#This Row],[Name Consignee]]="",_xlfn.CONCAT(Tableau2[[#This Row],[Compte ILN]],"-",Tableau2[[#This Row],[Compte Shipper]],"-",Tableau2[[#This Row],[POL]]),"-")</f>
        <v>-</v>
      </c>
      <c r="C199" s="233" t="s">
        <v>144</v>
      </c>
      <c r="D199" s="238">
        <f>VLOOKUP(Tableau2[[#This Row],[ Name ILN]],Plant_AILN!F:G,2,FALSE)</f>
        <v>91018400</v>
      </c>
      <c r="E199" s="233" t="s">
        <v>145</v>
      </c>
      <c r="F199" s="235">
        <f>IFERROR(VLOOKUP(Tableau2[[#This Row],[Name of shipper]],Plant_AILN!L:M,2,FALSE),0)</f>
        <v>91017500</v>
      </c>
      <c r="G199" s="233" t="s">
        <v>398</v>
      </c>
      <c r="H199" s="235">
        <f>IF(Tableau2[[#This Row],[Name Consignee]]=0,"",VLOOKUP(Tableau2[[#This Row],[Name Consignee]],Plant_AILN!A:C,3,FALSE))</f>
        <v>28750500</v>
      </c>
      <c r="I199" s="236">
        <v>9</v>
      </c>
      <c r="J199" s="236">
        <v>14</v>
      </c>
      <c r="K199" s="237">
        <v>5</v>
      </c>
      <c r="L199" s="233">
        <v>7</v>
      </c>
      <c r="M199" s="238">
        <f>Tableau2[[#This Row],[Delivery time to ILN/Shipper]]+Tableau2[[#This Row],[Day ILN Order]]-1</f>
        <v>22</v>
      </c>
      <c r="N199" s="236">
        <v>2</v>
      </c>
      <c r="O199" s="237" t="s">
        <v>507</v>
      </c>
      <c r="P199" s="236">
        <v>3</v>
      </c>
    </row>
    <row r="200" spans="1:17">
      <c r="A200" s="371" t="str">
        <f>_xlfn.CONCAT(Tableau2[[#This Row],[Compte ILN]],"-",Tableau2[[#This Row],[Compte Shipper]],"-",Tableau2[[#This Row],[POL]],"-",Tableau2[[#This Row],[Compte Consignee]])</f>
        <v>2533780546-2533780546-INKAT-90016700</v>
      </c>
      <c r="B200" s="371" t="str">
        <f>IF(Tableau2[[#This Row],[Name Consignee]]="",_xlfn.CONCAT(Tableau2[[#This Row],[Compte ILN]],"-",Tableau2[[#This Row],[Compte Shipper]],"-",Tableau2[[#This Row],[POL]]),"-")</f>
        <v>-</v>
      </c>
      <c r="C200" s="233" t="s">
        <v>141</v>
      </c>
      <c r="D200" s="238">
        <f>VLOOKUP(Tableau2[[#This Row],[ Name ILN]],Plant_AILN!F:G,2,FALSE)</f>
        <v>2533780546</v>
      </c>
      <c r="E200" s="166" t="s">
        <v>141</v>
      </c>
      <c r="F200" s="235">
        <f>IFERROR(VLOOKUP(Tableau2[[#This Row],[Name of shipper]],Plant_AILN!L:M,2,FALSE),0)</f>
        <v>2533780546</v>
      </c>
      <c r="G200" s="233" t="s">
        <v>181</v>
      </c>
      <c r="H200" s="235">
        <f>IF(Tableau2[[#This Row],[Name Consignee]]=0,"",VLOOKUP(Tableau2[[#This Row],[Name Consignee]],Plant_AILN!A:C,3,FALSE))</f>
        <v>90016700</v>
      </c>
      <c r="I200" s="103">
        <v>9</v>
      </c>
      <c r="J200" s="236">
        <v>21</v>
      </c>
      <c r="K200" s="237">
        <v>5</v>
      </c>
      <c r="L200" s="233">
        <v>7</v>
      </c>
      <c r="M200" s="238">
        <f>Tableau2[[#This Row],[Delivery time to ILN/Shipper]]+Tableau2[[#This Row],[Day ILN Order]]-1</f>
        <v>29</v>
      </c>
      <c r="N200" s="236">
        <v>2</v>
      </c>
      <c r="O200" s="237" t="s">
        <v>556</v>
      </c>
      <c r="P200" s="103">
        <v>3</v>
      </c>
      <c r="Q200" t="s">
        <v>580</v>
      </c>
    </row>
    <row r="201" spans="1:17">
      <c r="A201" s="371" t="str">
        <f>_xlfn.CONCAT(Tableau2[[#This Row],[Compte ILN]],"-",Tableau2[[#This Row],[Compte Shipper]],"-",Tableau2[[#This Row],[POL]],"-",Tableau2[[#This Row],[Compte Consignee]])</f>
        <v>95207-95207-BRPNG-90016700</v>
      </c>
      <c r="B201" s="371" t="str">
        <f>IF(Tableau2[[#This Row],[Name Consignee]]="",_xlfn.CONCAT(Tableau2[[#This Row],[Compte ILN]],"-",Tableau2[[#This Row],[Compte Shipper]],"-",Tableau2[[#This Row],[POL]]),"-")</f>
        <v>-</v>
      </c>
      <c r="C201" s="233" t="s">
        <v>157</v>
      </c>
      <c r="D201" s="238">
        <f>VLOOKUP(Tableau2[[#This Row],[ Name ILN]],Plant_AILN!F:G,2,FALSE)</f>
        <v>95207</v>
      </c>
      <c r="E201" s="166" t="s">
        <v>157</v>
      </c>
      <c r="F201" s="235">
        <f>IFERROR(VLOOKUP(Tableau2[[#This Row],[Name of shipper]],Plant_AILN!L:M,2,FALSE),0)</f>
        <v>95207</v>
      </c>
      <c r="G201" s="233" t="s">
        <v>181</v>
      </c>
      <c r="H201" s="235">
        <f>IF(Tableau2[[#This Row],[Name Consignee]]=0,"",VLOOKUP(Tableau2[[#This Row],[Name Consignee]],Plant_AILN!A:C,3,FALSE))</f>
        <v>90016700</v>
      </c>
      <c r="I201" s="52">
        <v>9</v>
      </c>
      <c r="J201" s="219">
        <v>14</v>
      </c>
      <c r="K201" s="237">
        <v>5</v>
      </c>
      <c r="L201" s="224">
        <v>7</v>
      </c>
      <c r="M201" s="228">
        <f>Tableau2[[#This Row],[Delivery time to ILN/Shipper]]+Tableau2[[#This Row],[Day ILN Order]]-1</f>
        <v>22</v>
      </c>
      <c r="N201" s="219">
        <v>13</v>
      </c>
      <c r="O201" s="94" t="s">
        <v>489</v>
      </c>
      <c r="P201" s="241">
        <v>7</v>
      </c>
      <c r="Q201" t="s">
        <v>580</v>
      </c>
    </row>
    <row r="202" spans="1:17">
      <c r="A202" s="371" t="str">
        <f>_xlfn.CONCAT(Tableau2[[#This Row],[Compte ILN]],"-",Tableau2[[#This Row],[Compte Shipper]],"-",Tableau2[[#This Row],[POL]],"-",Tableau2[[#This Row],[Compte Consignee]])</f>
        <v>26037000-26037000-CNSHA-90016700</v>
      </c>
      <c r="B202" s="371" t="str">
        <f>IF(Tableau2[[#This Row],[Name Consignee]]="",_xlfn.CONCAT(Tableau2[[#This Row],[Compte ILN]],"-",Tableau2[[#This Row],[Compte Shipper]],"-",Tableau2[[#This Row],[POL]]),"-")</f>
        <v>-</v>
      </c>
      <c r="C202" s="233" t="s">
        <v>171</v>
      </c>
      <c r="D202" s="238">
        <f>VLOOKUP(Tableau2[[#This Row],[ Name ILN]],Plant_AILN!F:G,2,FALSE)</f>
        <v>26037000</v>
      </c>
      <c r="E202" s="233" t="s">
        <v>171</v>
      </c>
      <c r="F202" s="235">
        <f>IFERROR(VLOOKUP(Tableau2[[#This Row],[Name of shipper]],Plant_AILN!L:M,2,FALSE),0)</f>
        <v>26037000</v>
      </c>
      <c r="G202" s="233" t="s">
        <v>181</v>
      </c>
      <c r="H202" s="235">
        <f>IF(Tableau2[[#This Row],[Name Consignee]]=0,"",VLOOKUP(Tableau2[[#This Row],[Name Consignee]],Plant_AILN!A:C,3,FALSE))</f>
        <v>90016700</v>
      </c>
      <c r="I202" s="52">
        <v>9</v>
      </c>
      <c r="J202" s="219">
        <v>21</v>
      </c>
      <c r="K202" s="94">
        <v>5</v>
      </c>
      <c r="L202" s="227">
        <v>7</v>
      </c>
      <c r="M202" s="228">
        <f>Tableau2[[#This Row],[Delivery time to ILN/Shipper]]+Tableau2[[#This Row],[Day ILN Order]]-1</f>
        <v>29</v>
      </c>
      <c r="N202" s="236">
        <v>1</v>
      </c>
      <c r="O202" s="237" t="s">
        <v>513</v>
      </c>
      <c r="P202" s="236">
        <v>2</v>
      </c>
      <c r="Q202" t="s">
        <v>580</v>
      </c>
    </row>
    <row r="203" spans="1:17">
      <c r="A203" s="242" t="str">
        <f>_xlfn.CONCAT(Tableau2[[#This Row],[Compte ILN]],"-",Tableau2[[#This Row],[Compte Shipper]],"-",Tableau2[[#This Row],[POL]],"-",Tableau2[[#This Row],[Compte Consignee]])</f>
        <v>0-22222-CNSHA-90016700</v>
      </c>
      <c r="B203" s="242" t="str">
        <f>IF(Tableau2[[#This Row],[Name Consignee]]="",_xlfn.CONCAT(Tableau2[[#This Row],[Compte ILN]],"-",Tableau2[[#This Row],[Compte Shipper]],"-",Tableau2[[#This Row],[POL]]),"-")</f>
        <v>-</v>
      </c>
      <c r="C203" s="224" t="s">
        <v>150</v>
      </c>
      <c r="D203" s="228">
        <f>VLOOKUP(Tableau2[[#This Row],[ Name ILN]],Plant_AILN!F:G,2,FALSE)</f>
        <v>0</v>
      </c>
      <c r="E203" s="233" t="s">
        <v>450</v>
      </c>
      <c r="F203" s="235">
        <f>IFERROR(VLOOKUP(Tableau2[[#This Row],[Name of shipper]],Plant_AILN!L:M,2,FALSE),0)</f>
        <v>22222</v>
      </c>
      <c r="G203" s="233" t="s">
        <v>181</v>
      </c>
      <c r="H203" s="235">
        <f>IF(Tableau2[[#This Row],[Name Consignee]]=0,"",VLOOKUP(Tableau2[[#This Row],[Name Consignee]],Plant_AILN!A:C,3,FALSE))</f>
        <v>90016700</v>
      </c>
      <c r="I203" s="52">
        <v>9</v>
      </c>
      <c r="J203" s="219">
        <v>14</v>
      </c>
      <c r="K203" s="94">
        <v>5</v>
      </c>
      <c r="L203" s="227">
        <v>4</v>
      </c>
      <c r="M203" s="228">
        <f>Tableau2[[#This Row],[Delivery time to ILN/Shipper]]+Tableau2[[#This Row],[Day ILN Order]]-1</f>
        <v>22</v>
      </c>
      <c r="N203" s="229">
        <v>3</v>
      </c>
      <c r="O203" s="230" t="s">
        <v>513</v>
      </c>
      <c r="P203" s="58">
        <v>5</v>
      </c>
    </row>
    <row r="204" spans="1:17">
      <c r="A204" s="371" t="str">
        <f>_xlfn.CONCAT(Tableau2[[#This Row],[Compte ILN]],"-",Tableau2[[#This Row],[Compte Shipper]],"-",Tableau2[[#This Row],[POL]],"-",Tableau2[[#This Row],[Compte Consignee]])</f>
        <v>0-119640-JPSMZ-</v>
      </c>
      <c r="B204" s="371" t="str">
        <f>IF(Tableau2[[#This Row],[Name Consignee]]="",_xlfn.CONCAT(Tableau2[[#This Row],[Compte ILN]],"-",Tableau2[[#This Row],[Compte Shipper]],"-",Tableau2[[#This Row],[POL]]),"-")</f>
        <v>0-119640-JPSMZ</v>
      </c>
      <c r="C204" s="224" t="s">
        <v>150</v>
      </c>
      <c r="D204" s="238">
        <f>VLOOKUP(Tableau2[[#This Row],[ Name ILN]],Plant_AILN!F:G,2,FALSE)</f>
        <v>0</v>
      </c>
      <c r="E204" s="233" t="s">
        <v>177</v>
      </c>
      <c r="F204" s="235">
        <f>IFERROR(VLOOKUP(Tableau2[[#This Row],[Name of shipper]],Plant_AILN!L:M,2,FALSE),0)</f>
        <v>119640</v>
      </c>
      <c r="G204" s="233"/>
      <c r="H204" s="235" t="str">
        <f>IF(Tableau2[[#This Row],[Name Consignee]]=0,"",VLOOKUP(Tableau2[[#This Row],[Name Consignee]],Plant_AILN!A:C,3,FALSE))</f>
        <v/>
      </c>
      <c r="I204" s="236">
        <v>9</v>
      </c>
      <c r="J204" s="236">
        <v>14</v>
      </c>
      <c r="K204" s="237">
        <v>5</v>
      </c>
      <c r="L204" s="233">
        <v>7</v>
      </c>
      <c r="M204" s="238">
        <f>Tableau2[[#This Row],[Delivery time to ILN/Shipper]]+Tableau2[[#This Row],[Day ILN Order]]-1</f>
        <v>22</v>
      </c>
      <c r="N204" s="236">
        <v>1</v>
      </c>
      <c r="O204" s="237" t="s">
        <v>493</v>
      </c>
      <c r="P204" s="236">
        <v>3</v>
      </c>
    </row>
    <row r="205" spans="1:17">
      <c r="A205" s="371" t="str">
        <f>_xlfn.CONCAT(Tableau2[[#This Row],[Compte ILN]],"-",Tableau2[[#This Row],[Compte Shipper]],"-",Tableau2[[#This Row],[POL]],"-",Tableau2[[#This Row],[Compte Consignee]])</f>
        <v>0-261427-MXVER-</v>
      </c>
      <c r="B205" s="371" t="str">
        <f>IF(Tableau2[[#This Row],[Name Consignee]]="",_xlfn.CONCAT(Tableau2[[#This Row],[Compte ILN]],"-",Tableau2[[#This Row],[Compte Shipper]],"-",Tableau2[[#This Row],[POL]]),"-")</f>
        <v>0-261427-MXVER</v>
      </c>
      <c r="C205" s="233" t="s">
        <v>150</v>
      </c>
      <c r="D205" s="238">
        <f>VLOOKUP(Tableau2[[#This Row],[ Name ILN]],Plant_AILN!F:G,2,FALSE)</f>
        <v>0</v>
      </c>
      <c r="E205" s="233" t="s">
        <v>173</v>
      </c>
      <c r="F205" s="235">
        <f>IFERROR(VLOOKUP(Tableau2[[#This Row],[Name of shipper]],Plant_AILN!L:M,2,FALSE),0)</f>
        <v>261427</v>
      </c>
      <c r="G205" s="233"/>
      <c r="H205" s="235" t="str">
        <f>IF(Tableau2[[#This Row],[Name Consignee]]=0,"",VLOOKUP(Tableau2[[#This Row],[Name Consignee]],Plant_AILN!A:C,3,FALSE))</f>
        <v/>
      </c>
      <c r="I205" s="236">
        <v>9</v>
      </c>
      <c r="J205" s="236">
        <v>14</v>
      </c>
      <c r="K205" s="237">
        <v>5</v>
      </c>
      <c r="L205" s="233">
        <v>7</v>
      </c>
      <c r="M205" s="238">
        <f>Tableau2[[#This Row],[Delivery time to ILN/Shipper]]+Tableau2[[#This Row],[Day ILN Order]]-1</f>
        <v>22</v>
      </c>
      <c r="N205" s="236">
        <v>2</v>
      </c>
      <c r="O205" s="237" t="s">
        <v>522</v>
      </c>
      <c r="P205" s="236">
        <v>5</v>
      </c>
    </row>
    <row r="206" spans="1:17">
      <c r="A206" s="242" t="str">
        <f>_xlfn.CONCAT(Tableau2[[#This Row],[Compte ILN]],"-",Tableau2[[#This Row],[Compte Shipper]],"-",Tableau2[[#This Row],[POL]],"-",Tableau2[[#This Row],[Compte Consignee]])</f>
        <v>0-261427-MXLZC-</v>
      </c>
      <c r="B206" s="242" t="str">
        <f>IF(Tableau2[[#This Row],[Name Consignee]]="",_xlfn.CONCAT(Tableau2[[#This Row],[Compte ILN]],"-",Tableau2[[#This Row],[Compte Shipper]],"-",Tableau2[[#This Row],[POL]]),"-")</f>
        <v>0-261427-MXLZC</v>
      </c>
      <c r="C206" s="233" t="s">
        <v>150</v>
      </c>
      <c r="D206" s="228">
        <f>VLOOKUP(Tableau2[[#This Row],[ Name ILN]],Plant_AILN!F:G,2,FALSE)</f>
        <v>0</v>
      </c>
      <c r="E206" s="233" t="s">
        <v>173</v>
      </c>
      <c r="F206" s="235">
        <f>IFERROR(VLOOKUP(Tableau2[[#This Row],[Name of shipper]],Plant_AILN!L:M,2,FALSE),0)</f>
        <v>261427</v>
      </c>
      <c r="G206" s="233"/>
      <c r="H206" s="235" t="str">
        <f>IF(Tableau2[[#This Row],[Name Consignee]]=0,"",VLOOKUP(Tableau2[[#This Row],[Name Consignee]],Plant_AILN!A:C,3,FALSE))</f>
        <v/>
      </c>
      <c r="I206" s="236">
        <v>9</v>
      </c>
      <c r="J206" s="236">
        <v>14</v>
      </c>
      <c r="K206" s="237">
        <v>5</v>
      </c>
      <c r="L206" s="233">
        <v>7</v>
      </c>
      <c r="M206" s="228">
        <f>Tableau2[[#This Row],[Delivery time to ILN/Shipper]]+Tableau2[[#This Row],[Day ILN Order]]-1</f>
        <v>22</v>
      </c>
      <c r="N206" s="219">
        <v>2</v>
      </c>
      <c r="O206" s="94" t="s">
        <v>485</v>
      </c>
      <c r="P206" s="219">
        <v>5</v>
      </c>
    </row>
    <row r="207" spans="1:17">
      <c r="A207" s="242" t="str">
        <f>_xlfn.CONCAT(Tableau2[[#This Row],[Compte ILN]],"-",Tableau2[[#This Row],[Compte Shipper]],"-",Tableau2[[#This Row],[POL]],"-",Tableau2[[#This Row],[Compte Consignee]])</f>
        <v>0-261427-MXATM-</v>
      </c>
      <c r="B207" s="242" t="str">
        <f>IF(Tableau2[[#This Row],[Name Consignee]]="",_xlfn.CONCAT(Tableau2[[#This Row],[Compte ILN]],"-",Tableau2[[#This Row],[Compte Shipper]],"-",Tableau2[[#This Row],[POL]]),"-")</f>
        <v>0-261427-MXATM</v>
      </c>
      <c r="C207" s="233" t="s">
        <v>150</v>
      </c>
      <c r="D207" s="228">
        <f>VLOOKUP(Tableau2[[#This Row],[ Name ILN]],Plant_AILN!F:G,2,FALSE)</f>
        <v>0</v>
      </c>
      <c r="E207" s="233" t="s">
        <v>173</v>
      </c>
      <c r="F207" s="432">
        <f>IFERROR(VLOOKUP(Tableau2[[#This Row],[Name of shipper]],Plant_AILN!L:M,2,FALSE),0)</f>
        <v>261427</v>
      </c>
      <c r="G207" s="433"/>
      <c r="H207" s="432" t="str">
        <f>IF(Tableau2[[#This Row],[Name Consignee]]=0,"",VLOOKUP(Tableau2[[#This Row],[Name Consignee]],Plant_AILN!A:C,3,FALSE))</f>
        <v/>
      </c>
      <c r="I207" s="236">
        <v>9</v>
      </c>
      <c r="J207" s="236">
        <v>14</v>
      </c>
      <c r="K207" s="237">
        <v>5</v>
      </c>
      <c r="L207" s="233">
        <v>7</v>
      </c>
      <c r="M207" s="228">
        <f>Tableau2[[#This Row],[Delivery time to ILN/Shipper]]+Tableau2[[#This Row],[Day ILN Order]]-1</f>
        <v>22</v>
      </c>
      <c r="N207" s="219">
        <v>2</v>
      </c>
      <c r="O207" s="94" t="s">
        <v>502</v>
      </c>
      <c r="P207" s="219">
        <v>5</v>
      </c>
    </row>
    <row r="208" spans="1:17">
      <c r="A208" s="371" t="str">
        <f>_xlfn.CONCAT(Tableau2[[#This Row],[Compte ILN]],"-",Tableau2[[#This Row],[Compte Shipper]],"-",Tableau2[[#This Row],[POL]],"-",Tableau2[[#This Row],[Compte Consignee]])</f>
        <v>2533780546-2533780546-INENR-91017200</v>
      </c>
      <c r="B208" s="371" t="str">
        <f>IF(Tableau2[[#This Row],[Name Consignee]]="",_xlfn.CONCAT(Tableau2[[#This Row],[Compte ILN]],"-",Tableau2[[#This Row],[Compte Shipper]],"-",Tableau2[[#This Row],[POL]]),"-")</f>
        <v>-</v>
      </c>
      <c r="C208" s="233" t="s">
        <v>141</v>
      </c>
      <c r="D208" s="238">
        <f>VLOOKUP(Tableau2[[#This Row],[ Name ILN]],Plant_AILN!F:G,2,FALSE)</f>
        <v>2533780546</v>
      </c>
      <c r="E208" s="233" t="s">
        <v>141</v>
      </c>
      <c r="F208" s="235">
        <f>IFERROR(VLOOKUP(Tableau2[[#This Row],[Name of shipper]],Plant_AILN!L:M,2,FALSE),0)</f>
        <v>2533780546</v>
      </c>
      <c r="G208" s="233" t="s">
        <v>175</v>
      </c>
      <c r="H208" s="235">
        <f>IF(Tableau2[[#This Row],[Name Consignee]]=0,"",VLOOKUP(Tableau2[[#This Row],[Name Consignee]],Plant_AILN!A:C,3,FALSE))</f>
        <v>91017200</v>
      </c>
      <c r="I208" s="103">
        <v>9</v>
      </c>
      <c r="J208" s="236">
        <v>21</v>
      </c>
      <c r="K208" s="237">
        <v>5</v>
      </c>
      <c r="L208" s="233">
        <v>7</v>
      </c>
      <c r="M208" s="238">
        <f>Tableau2[[#This Row],[Delivery time to ILN/Shipper]]+Tableau2[[#This Row],[Day ILN Order]]-1</f>
        <v>29</v>
      </c>
      <c r="N208" s="236">
        <v>2</v>
      </c>
      <c r="O208" s="237" t="s">
        <v>470</v>
      </c>
      <c r="P208" s="236">
        <v>3</v>
      </c>
      <c r="Q208" t="s">
        <v>581</v>
      </c>
    </row>
    <row r="209" spans="1:17">
      <c r="A209" s="371" t="str">
        <f>_xlfn.CONCAT(Tableau2[[#This Row],[Compte ILN]],"-",Tableau2[[#This Row],[Compte Shipper]],"-",Tableau2[[#This Row],[POL]],"-",Tableau2[[#This Row],[Compte Consignee]])</f>
        <v>2533780546-2533780546-INKAT-91017200</v>
      </c>
      <c r="B209" s="371" t="str">
        <f>IF(Tableau2[[#This Row],[Name Consignee]]="",_xlfn.CONCAT(Tableau2[[#This Row],[Compte ILN]],"-",Tableau2[[#This Row],[Compte Shipper]],"-",Tableau2[[#This Row],[POL]]),"-")</f>
        <v>-</v>
      </c>
      <c r="C209" s="233" t="s">
        <v>141</v>
      </c>
      <c r="D209" s="238">
        <f>VLOOKUP(Tableau2[[#This Row],[ Name ILN]],Plant_AILN!F:G,2,FALSE)</f>
        <v>2533780546</v>
      </c>
      <c r="E209" s="233" t="s">
        <v>141</v>
      </c>
      <c r="F209" s="235">
        <f>IFERROR(VLOOKUP(Tableau2[[#This Row],[Name of shipper]],Plant_AILN!L:M,2,FALSE),0)</f>
        <v>2533780546</v>
      </c>
      <c r="G209" s="233" t="s">
        <v>175</v>
      </c>
      <c r="H209" s="235">
        <f>IF(Tableau2[[#This Row],[Name Consignee]]=0,"",VLOOKUP(Tableau2[[#This Row],[Name Consignee]],Plant_AILN!A:C,3,FALSE))</f>
        <v>91017200</v>
      </c>
      <c r="I209" s="103">
        <v>9</v>
      </c>
      <c r="J209" s="236">
        <v>21</v>
      </c>
      <c r="K209" s="237">
        <v>5</v>
      </c>
      <c r="L209" s="233">
        <v>7</v>
      </c>
      <c r="M209" s="238">
        <f>Tableau2[[#This Row],[Delivery time to ILN/Shipper]]+Tableau2[[#This Row],[Day ILN Order]]-1</f>
        <v>29</v>
      </c>
      <c r="N209" s="236">
        <v>2</v>
      </c>
      <c r="O209" s="237" t="s">
        <v>556</v>
      </c>
      <c r="P209" s="236">
        <v>3</v>
      </c>
      <c r="Q209" t="s">
        <v>581</v>
      </c>
    </row>
    <row r="210" spans="1:17">
      <c r="A210" s="371" t="str">
        <f>_xlfn.CONCAT(Tableau2[[#This Row],[Compte ILN]],"-",Tableau2[[#This Row],[Compte Shipper]],"-",Tableau2[[#This Row],[POL]],"-",Tableau2[[#This Row],[Compte Consignee]])</f>
        <v>2533780546-2533780546-INMAA-91017200</v>
      </c>
      <c r="B210" s="371" t="str">
        <f>IF(Tableau2[[#This Row],[Name Consignee]]="",_xlfn.CONCAT(Tableau2[[#This Row],[Compte ILN]],"-",Tableau2[[#This Row],[Compte Shipper]],"-",Tableau2[[#This Row],[POL]]),"-")</f>
        <v>-</v>
      </c>
      <c r="C210" s="233" t="s">
        <v>141</v>
      </c>
      <c r="D210" s="238">
        <f>VLOOKUP(Tableau2[[#This Row],[ Name ILN]],Plant_AILN!F:G,2,FALSE)</f>
        <v>2533780546</v>
      </c>
      <c r="E210" s="233" t="s">
        <v>141</v>
      </c>
      <c r="F210" s="235">
        <f>IFERROR(VLOOKUP(Tableau2[[#This Row],[Name of shipper]],Plant_AILN!L:M,2,FALSE),0)</f>
        <v>2533780546</v>
      </c>
      <c r="G210" s="233" t="s">
        <v>175</v>
      </c>
      <c r="H210" s="235">
        <f>IF(Tableau2[[#This Row],[Name Consignee]]=0,"",VLOOKUP(Tableau2[[#This Row],[Name Consignee]],Plant_AILN!A:C,3,FALSE))</f>
        <v>91017200</v>
      </c>
      <c r="I210" s="103">
        <v>9</v>
      </c>
      <c r="J210" s="236">
        <v>21</v>
      </c>
      <c r="K210" s="237">
        <v>5</v>
      </c>
      <c r="L210" s="233">
        <v>7</v>
      </c>
      <c r="M210" s="238">
        <f>Tableau2[[#This Row],[Delivery time to ILN/Shipper]]+Tableau2[[#This Row],[Day ILN Order]]-1</f>
        <v>29</v>
      </c>
      <c r="N210" s="236">
        <v>2</v>
      </c>
      <c r="O210" s="230" t="s">
        <v>518</v>
      </c>
      <c r="P210" s="236">
        <v>3</v>
      </c>
      <c r="Q210" t="s">
        <v>581</v>
      </c>
    </row>
    <row r="211" spans="1:17">
      <c r="A211" s="242" t="str">
        <f>_xlfn.CONCAT(Tableau2[[#This Row],[Compte ILN]],"-",Tableau2[[#This Row],[Compte Shipper]],"-",Tableau2[[#This Row],[POL]],"-",Tableau2[[#This Row],[Compte Consignee]])</f>
        <v>2533780546-2533780546-INENR-91017500</v>
      </c>
      <c r="B211" s="242" t="str">
        <f>IF(Tableau2[[#This Row],[Name Consignee]]="",_xlfn.CONCAT(Tableau2[[#This Row],[Compte ILN]],"-",Tableau2[[#This Row],[Compte Shipper]],"-",Tableau2[[#This Row],[POL]]),"-")</f>
        <v>-</v>
      </c>
      <c r="C211" s="224" t="s">
        <v>141</v>
      </c>
      <c r="D211" s="228">
        <f>VLOOKUP(Tableau2[[#This Row],[ Name ILN]],Plant_AILN!F:G,2,FALSE)</f>
        <v>2533780546</v>
      </c>
      <c r="E211" s="233" t="s">
        <v>141</v>
      </c>
      <c r="F211" s="235">
        <f>IFERROR(VLOOKUP(Tableau2[[#This Row],[Name of shipper]],Plant_AILN!L:M,2,FALSE),0)</f>
        <v>2533780546</v>
      </c>
      <c r="G211" s="233" t="s">
        <v>162</v>
      </c>
      <c r="H211" s="235">
        <f>IF(Tableau2[[#This Row],[Name Consignee]]=0,"",VLOOKUP(Tableau2[[#This Row],[Name Consignee]],Plant_AILN!A:C,3,FALSE))</f>
        <v>91017500</v>
      </c>
      <c r="I211" s="103">
        <v>9</v>
      </c>
      <c r="J211" s="236">
        <v>21</v>
      </c>
      <c r="K211" s="237">
        <v>5</v>
      </c>
      <c r="L211" s="233">
        <v>7</v>
      </c>
      <c r="M211" s="228">
        <f>Tableau2[[#This Row],[Delivery time to ILN/Shipper]]+Tableau2[[#This Row],[Day ILN Order]]-1</f>
        <v>29</v>
      </c>
      <c r="N211" s="236">
        <v>2</v>
      </c>
      <c r="O211" s="237" t="s">
        <v>470</v>
      </c>
      <c r="P211" s="236">
        <v>3</v>
      </c>
      <c r="Q211" t="s">
        <v>581</v>
      </c>
    </row>
    <row r="212" spans="1:17">
      <c r="A212" s="242" t="str">
        <f>_xlfn.CONCAT(Tableau2[[#This Row],[Compte ILN]],"-",Tableau2[[#This Row],[Compte Shipper]],"-",Tableau2[[#This Row],[POL]],"-",Tableau2[[#This Row],[Compte Consignee]])</f>
        <v>2533780546-2533780546-INKAT-91017500</v>
      </c>
      <c r="B212" s="242" t="str">
        <f>IF(Tableau2[[#This Row],[Name Consignee]]="",_xlfn.CONCAT(Tableau2[[#This Row],[Compte ILN]],"-",Tableau2[[#This Row],[Compte Shipper]],"-",Tableau2[[#This Row],[POL]]),"-")</f>
        <v>-</v>
      </c>
      <c r="C212" s="224" t="s">
        <v>141</v>
      </c>
      <c r="D212" s="228">
        <f>VLOOKUP(Tableau2[[#This Row],[ Name ILN]],Plant_AILN!F:G,2,FALSE)</f>
        <v>2533780546</v>
      </c>
      <c r="E212" s="233" t="s">
        <v>141</v>
      </c>
      <c r="F212" s="432">
        <f>IFERROR(VLOOKUP(Tableau2[[#This Row],[Name of shipper]],Plant_AILN!L:M,2,FALSE),0)</f>
        <v>2533780546</v>
      </c>
      <c r="G212" s="233" t="s">
        <v>162</v>
      </c>
      <c r="H212" s="432">
        <f>IF(Tableau2[[#This Row],[Name Consignee]]=0,"",VLOOKUP(Tableau2[[#This Row],[Name Consignee]],Plant_AILN!A:C,3,FALSE))</f>
        <v>91017500</v>
      </c>
      <c r="I212" s="103">
        <v>9</v>
      </c>
      <c r="J212" s="236">
        <v>21</v>
      </c>
      <c r="K212" s="237">
        <v>5</v>
      </c>
      <c r="L212" s="233">
        <v>7</v>
      </c>
      <c r="M212" s="228">
        <f>Tableau2[[#This Row],[Delivery time to ILN/Shipper]]+Tableau2[[#This Row],[Day ILN Order]]-1</f>
        <v>29</v>
      </c>
      <c r="N212" s="236">
        <v>2</v>
      </c>
      <c r="O212" s="237" t="s">
        <v>556</v>
      </c>
      <c r="P212" s="236">
        <v>3</v>
      </c>
      <c r="Q212" t="s">
        <v>581</v>
      </c>
    </row>
    <row r="213" spans="1:17">
      <c r="A213" s="371" t="str">
        <f>_xlfn.CONCAT(Tableau2[[#This Row],[Compte ILN]],"-",Tableau2[[#This Row],[Compte Shipper]],"-",Tableau2[[#This Row],[POL]],"-",Tableau2[[#This Row],[Compte Consignee]])</f>
        <v>2533780546-2533780546-INMAA-91017500</v>
      </c>
      <c r="B213" s="371" t="str">
        <f>IF(Tableau2[[#This Row],[Name Consignee]]="",_xlfn.CONCAT(Tableau2[[#This Row],[Compte ILN]],"-",Tableau2[[#This Row],[Compte Shipper]],"-",Tableau2[[#This Row],[POL]]),"-")</f>
        <v>-</v>
      </c>
      <c r="C213" s="233" t="s">
        <v>141</v>
      </c>
      <c r="D213" s="238">
        <f>VLOOKUP(Tableau2[[#This Row],[ Name ILN]],Plant_AILN!F:G,2,FALSE)</f>
        <v>2533780546</v>
      </c>
      <c r="E213" s="233" t="s">
        <v>141</v>
      </c>
      <c r="F213" s="432">
        <f>IFERROR(VLOOKUP(Tableau2[[#This Row],[Name of shipper]],Plant_AILN!L:M,2,FALSE),0)</f>
        <v>2533780546</v>
      </c>
      <c r="G213" s="233" t="s">
        <v>162</v>
      </c>
      <c r="H213" s="432">
        <f>IF(Tableau2[[#This Row],[Name Consignee]]=0,"",VLOOKUP(Tableau2[[#This Row],[Name Consignee]],Plant_AILN!A:C,3,FALSE))</f>
        <v>91017500</v>
      </c>
      <c r="I213" s="103">
        <v>9</v>
      </c>
      <c r="J213" s="236">
        <v>21</v>
      </c>
      <c r="K213" s="237">
        <v>5</v>
      </c>
      <c r="L213" s="233">
        <v>7</v>
      </c>
      <c r="M213" s="238">
        <f>Tableau2[[#This Row],[Delivery time to ILN/Shipper]]+Tableau2[[#This Row],[Day ILN Order]]-1</f>
        <v>29</v>
      </c>
      <c r="N213" s="236">
        <v>2</v>
      </c>
      <c r="O213" s="230" t="s">
        <v>518</v>
      </c>
      <c r="P213" s="236">
        <v>3</v>
      </c>
      <c r="Q213" t="s">
        <v>581</v>
      </c>
    </row>
    <row r="214" spans="1:17">
      <c r="A214" s="242" t="str">
        <f>_xlfn.CONCAT(Tableau2[[#This Row],[Compte ILN]],"-",Tableau2[[#This Row],[Compte Shipper]],"-",Tableau2[[#This Row],[POL]],"-",Tableau2[[#This Row],[Compte Consignee]])</f>
        <v>2533780546-2533780546-INENR-90016500</v>
      </c>
      <c r="B214" s="242" t="str">
        <f>IF(Tableau2[[#This Row],[Name Consignee]]="",_xlfn.CONCAT(Tableau2[[#This Row],[Compte ILN]],"-",Tableau2[[#This Row],[Compte Shipper]],"-",Tableau2[[#This Row],[POL]]),"-")</f>
        <v>-</v>
      </c>
      <c r="C214" s="224" t="s">
        <v>141</v>
      </c>
      <c r="D214" s="228">
        <f>VLOOKUP(Tableau2[[#This Row],[ Name ILN]],Plant_AILN!F:G,2,FALSE)</f>
        <v>2533780546</v>
      </c>
      <c r="E214" s="233" t="s">
        <v>141</v>
      </c>
      <c r="F214" s="235">
        <f>IFERROR(VLOOKUP(Tableau2[[#This Row],[Name of shipper]],Plant_AILN!L:M,2,FALSE),0)</f>
        <v>2533780546</v>
      </c>
      <c r="G214" s="233" t="s">
        <v>160</v>
      </c>
      <c r="H214" s="235">
        <f>IF(Tableau2[[#This Row],[Name Consignee]]=0,"",VLOOKUP(Tableau2[[#This Row],[Name Consignee]],Plant_AILN!A:C,3,FALSE))</f>
        <v>90016500</v>
      </c>
      <c r="I214" s="103">
        <v>9</v>
      </c>
      <c r="J214" s="236">
        <v>21</v>
      </c>
      <c r="K214" s="237">
        <v>5</v>
      </c>
      <c r="L214" s="233">
        <v>7</v>
      </c>
      <c r="M214" s="228">
        <f>Tableau2[[#This Row],[Delivery time to ILN/Shipper]]+Tableau2[[#This Row],[Day ILN Order]]-1</f>
        <v>29</v>
      </c>
      <c r="N214" s="236">
        <v>2</v>
      </c>
      <c r="O214" s="237" t="s">
        <v>470</v>
      </c>
      <c r="P214" s="236">
        <v>3</v>
      </c>
      <c r="Q214" t="s">
        <v>581</v>
      </c>
    </row>
    <row r="215" spans="1:17">
      <c r="A215" s="242" t="str">
        <f>_xlfn.CONCAT(Tableau2[[#This Row],[Compte ILN]],"-",Tableau2[[#This Row],[Compte Shipper]],"-",Tableau2[[#This Row],[POL]],"-",Tableau2[[#This Row],[Compte Consignee]])</f>
        <v>2533780546-2533780546-INKAT-90016500</v>
      </c>
      <c r="B215" s="242" t="str">
        <f>IF(Tableau2[[#This Row],[Name Consignee]]="",_xlfn.CONCAT(Tableau2[[#This Row],[Compte ILN]],"-",Tableau2[[#This Row],[Compte Shipper]],"-",Tableau2[[#This Row],[POL]]),"-")</f>
        <v>-</v>
      </c>
      <c r="C215" s="224" t="s">
        <v>141</v>
      </c>
      <c r="D215" s="228">
        <f>VLOOKUP(Tableau2[[#This Row],[ Name ILN]],Plant_AILN!F:G,2,FALSE)</f>
        <v>2533780546</v>
      </c>
      <c r="E215" s="233" t="s">
        <v>141</v>
      </c>
      <c r="F215" s="432">
        <f>IFERROR(VLOOKUP(Tableau2[[#This Row],[Name of shipper]],Plant_AILN!L:M,2,FALSE),0)</f>
        <v>2533780546</v>
      </c>
      <c r="G215" s="233" t="s">
        <v>160</v>
      </c>
      <c r="H215" s="432">
        <f>IF(Tableau2[[#This Row],[Name Consignee]]=0,"",VLOOKUP(Tableau2[[#This Row],[Name Consignee]],Plant_AILN!A:C,3,FALSE))</f>
        <v>90016500</v>
      </c>
      <c r="I215" s="103">
        <v>9</v>
      </c>
      <c r="J215" s="236">
        <v>21</v>
      </c>
      <c r="K215" s="237">
        <v>5</v>
      </c>
      <c r="L215" s="233">
        <v>7</v>
      </c>
      <c r="M215" s="228">
        <f>Tableau2[[#This Row],[Delivery time to ILN/Shipper]]+Tableau2[[#This Row],[Day ILN Order]]-1</f>
        <v>29</v>
      </c>
      <c r="N215" s="236">
        <v>2</v>
      </c>
      <c r="O215" s="237" t="s">
        <v>556</v>
      </c>
      <c r="P215" s="236">
        <v>3</v>
      </c>
      <c r="Q215" t="s">
        <v>581</v>
      </c>
    </row>
    <row r="216" spans="1:17">
      <c r="A216" s="371" t="str">
        <f>_xlfn.CONCAT(Tableau2[[#This Row],[Compte ILN]],"-",Tableau2[[#This Row],[Compte Shipper]],"-",Tableau2[[#This Row],[POL]],"-",Tableau2[[#This Row],[Compte Consignee]])</f>
        <v>2533780546-2533780546-INMAA-90016500</v>
      </c>
      <c r="B216" s="371" t="str">
        <f>IF(Tableau2[[#This Row],[Name Consignee]]="",_xlfn.CONCAT(Tableau2[[#This Row],[Compte ILN]],"-",Tableau2[[#This Row],[Compte Shipper]],"-",Tableau2[[#This Row],[POL]]),"-")</f>
        <v>-</v>
      </c>
      <c r="C216" s="233" t="s">
        <v>141</v>
      </c>
      <c r="D216" s="238">
        <f>VLOOKUP(Tableau2[[#This Row],[ Name ILN]],Plant_AILN!F:G,2,FALSE)</f>
        <v>2533780546</v>
      </c>
      <c r="E216" s="233" t="s">
        <v>141</v>
      </c>
      <c r="F216" s="432">
        <f>IFERROR(VLOOKUP(Tableau2[[#This Row],[Name of shipper]],Plant_AILN!L:M,2,FALSE),0)</f>
        <v>2533780546</v>
      </c>
      <c r="G216" s="233" t="s">
        <v>160</v>
      </c>
      <c r="H216" s="432">
        <f>IF(Tableau2[[#This Row],[Name Consignee]]=0,"",VLOOKUP(Tableau2[[#This Row],[Name Consignee]],Plant_AILN!A:C,3,FALSE))</f>
        <v>90016500</v>
      </c>
      <c r="I216" s="103">
        <v>9</v>
      </c>
      <c r="J216" s="236">
        <v>21</v>
      </c>
      <c r="K216" s="237">
        <v>5</v>
      </c>
      <c r="L216" s="233">
        <v>7</v>
      </c>
      <c r="M216" s="238">
        <f>Tableau2[[#This Row],[Delivery time to ILN/Shipper]]+Tableau2[[#This Row],[Day ILN Order]]-1</f>
        <v>29</v>
      </c>
      <c r="N216" s="236">
        <v>2</v>
      </c>
      <c r="O216" s="230" t="s">
        <v>518</v>
      </c>
      <c r="P216" s="236">
        <v>3</v>
      </c>
      <c r="Q216" t="s">
        <v>581</v>
      </c>
    </row>
    <row r="217" spans="1:17">
      <c r="A217" s="242" t="str">
        <f>_xlfn.CONCAT(Tableau2[[#This Row],[Compte ILN]],"-",Tableau2[[#This Row],[Compte Shipper]],"-",Tableau2[[#This Row],[POL]],"-",Tableau2[[#This Row],[Compte Consignee]])</f>
        <v>2533780546-2533780546-INENR-91017700</v>
      </c>
      <c r="B217" s="242" t="str">
        <f>IF(Tableau2[[#This Row],[Name Consignee]]="",_xlfn.CONCAT(Tableau2[[#This Row],[Compte ILN]],"-",Tableau2[[#This Row],[Compte Shipper]],"-",Tableau2[[#This Row],[POL]]),"-")</f>
        <v>-</v>
      </c>
      <c r="C217" s="224" t="s">
        <v>141</v>
      </c>
      <c r="D217" s="228">
        <f>VLOOKUP(Tableau2[[#This Row],[ Name ILN]],Plant_AILN!F:G,2,FALSE)</f>
        <v>2533780546</v>
      </c>
      <c r="E217" s="233" t="s">
        <v>141</v>
      </c>
      <c r="F217" s="235">
        <f>IFERROR(VLOOKUP(Tableau2[[#This Row],[Name of shipper]],Plant_AILN!L:M,2,FALSE),0)</f>
        <v>2533780546</v>
      </c>
      <c r="G217" s="233" t="s">
        <v>163</v>
      </c>
      <c r="H217" s="235">
        <f>IF(Tableau2[[#This Row],[Name Consignee]]=0,"",VLOOKUP(Tableau2[[#This Row],[Name Consignee]],Plant_AILN!A:C,3,FALSE))</f>
        <v>91017700</v>
      </c>
      <c r="I217" s="103">
        <v>9</v>
      </c>
      <c r="J217" s="236">
        <v>14</v>
      </c>
      <c r="K217" s="237">
        <v>5</v>
      </c>
      <c r="L217" s="233">
        <v>7</v>
      </c>
      <c r="M217" s="228">
        <f>Tableau2[[#This Row],[Delivery time to ILN/Shipper]]+Tableau2[[#This Row],[Day ILN Order]]-1</f>
        <v>22</v>
      </c>
      <c r="N217" s="236">
        <v>2</v>
      </c>
      <c r="O217" s="237" t="s">
        <v>470</v>
      </c>
      <c r="P217" s="236">
        <v>3</v>
      </c>
      <c r="Q217" t="s">
        <v>581</v>
      </c>
    </row>
    <row r="218" spans="1:17">
      <c r="A218" s="242" t="str">
        <f>_xlfn.CONCAT(Tableau2[[#This Row],[Compte ILN]],"-",Tableau2[[#This Row],[Compte Shipper]],"-",Tableau2[[#This Row],[POL]],"-",Tableau2[[#This Row],[Compte Consignee]])</f>
        <v>2533780546-2533780546-INKAT-91017700</v>
      </c>
      <c r="B218" s="242" t="str">
        <f>IF(Tableau2[[#This Row],[Name Consignee]]="",_xlfn.CONCAT(Tableau2[[#This Row],[Compte ILN]],"-",Tableau2[[#This Row],[Compte Shipper]],"-",Tableau2[[#This Row],[POL]]),"-")</f>
        <v>-</v>
      </c>
      <c r="C218" s="224" t="s">
        <v>141</v>
      </c>
      <c r="D218" s="228">
        <f>VLOOKUP(Tableau2[[#This Row],[ Name ILN]],Plant_AILN!F:G,2,FALSE)</f>
        <v>2533780546</v>
      </c>
      <c r="E218" s="233" t="s">
        <v>141</v>
      </c>
      <c r="F218" s="432">
        <f>IFERROR(VLOOKUP(Tableau2[[#This Row],[Name of shipper]],Plant_AILN!L:M,2,FALSE),0)</f>
        <v>2533780546</v>
      </c>
      <c r="G218" s="233" t="s">
        <v>163</v>
      </c>
      <c r="H218" s="432">
        <f>IF(Tableau2[[#This Row],[Name Consignee]]=0,"",VLOOKUP(Tableau2[[#This Row],[Name Consignee]],Plant_AILN!A:C,3,FALSE))</f>
        <v>91017700</v>
      </c>
      <c r="I218" s="103">
        <v>9</v>
      </c>
      <c r="J218" s="236">
        <v>14</v>
      </c>
      <c r="K218" s="237">
        <v>5</v>
      </c>
      <c r="L218" s="233">
        <v>7</v>
      </c>
      <c r="M218" s="228">
        <f>Tableau2[[#This Row],[Delivery time to ILN/Shipper]]+Tableau2[[#This Row],[Day ILN Order]]-1</f>
        <v>22</v>
      </c>
      <c r="N218" s="236">
        <v>2</v>
      </c>
      <c r="O218" s="237" t="s">
        <v>556</v>
      </c>
      <c r="P218" s="236">
        <v>3</v>
      </c>
      <c r="Q218" t="s">
        <v>581</v>
      </c>
    </row>
    <row r="219" spans="1:17">
      <c r="A219" s="371" t="str">
        <f>_xlfn.CONCAT(Tableau2[[#This Row],[Compte ILN]],"-",Tableau2[[#This Row],[Compte Shipper]],"-",Tableau2[[#This Row],[POL]],"-",Tableau2[[#This Row],[Compte Consignee]])</f>
        <v>2533780546-2533780546-INMAA-91017700</v>
      </c>
      <c r="B219" s="371" t="str">
        <f>IF(Tableau2[[#This Row],[Name Consignee]]="",_xlfn.CONCAT(Tableau2[[#This Row],[Compte ILN]],"-",Tableau2[[#This Row],[Compte Shipper]],"-",Tableau2[[#This Row],[POL]]),"-")</f>
        <v>-</v>
      </c>
      <c r="C219" s="233" t="s">
        <v>141</v>
      </c>
      <c r="D219" s="238">
        <f>VLOOKUP(Tableau2[[#This Row],[ Name ILN]],Plant_AILN!F:G,2,FALSE)</f>
        <v>2533780546</v>
      </c>
      <c r="E219" s="233" t="s">
        <v>141</v>
      </c>
      <c r="F219" s="432">
        <f>IFERROR(VLOOKUP(Tableau2[[#This Row],[Name of shipper]],Plant_AILN!L:M,2,FALSE),0)</f>
        <v>2533780546</v>
      </c>
      <c r="G219" s="233" t="s">
        <v>163</v>
      </c>
      <c r="H219" s="432">
        <f>IF(Tableau2[[#This Row],[Name Consignee]]=0,"",VLOOKUP(Tableau2[[#This Row],[Name Consignee]],Plant_AILN!A:C,3,FALSE))</f>
        <v>91017700</v>
      </c>
      <c r="I219" s="103">
        <v>9</v>
      </c>
      <c r="J219" s="236">
        <v>14</v>
      </c>
      <c r="K219" s="237">
        <v>5</v>
      </c>
      <c r="L219" s="233">
        <v>7</v>
      </c>
      <c r="M219" s="238">
        <f>Tableau2[[#This Row],[Delivery time to ILN/Shipper]]+Tableau2[[#This Row],[Day ILN Order]]-1</f>
        <v>22</v>
      </c>
      <c r="N219" s="236">
        <v>2</v>
      </c>
      <c r="O219" s="230" t="s">
        <v>518</v>
      </c>
      <c r="P219" s="236">
        <v>3</v>
      </c>
      <c r="Q219" t="s">
        <v>581</v>
      </c>
    </row>
    <row r="220" spans="1:17">
      <c r="A220" s="371" t="str">
        <f>_xlfn.CONCAT(Tableau2[[#This Row],[Compte ILN]],"-",Tableau2[[#This Row],[Compte Shipper]],"-",Tableau2[[#This Row],[POL]],"-",Tableau2[[#This Row],[Compte Consignee]])</f>
        <v>0-112741-JPNGO-</v>
      </c>
      <c r="B220" s="371" t="str">
        <f>IF(Tableau2[[#This Row],[Name Consignee]]="",_xlfn.CONCAT(Tableau2[[#This Row],[Compte ILN]],"-",Tableau2[[#This Row],[Compte Shipper]],"-",Tableau2[[#This Row],[POL]]),"-")</f>
        <v>0-112741-JPNGO</v>
      </c>
      <c r="C220" s="233" t="s">
        <v>150</v>
      </c>
      <c r="D220" s="238">
        <f>VLOOKUP(Tableau2[[#This Row],[ Name ILN]],Plant_AILN!F:G,2,FALSE)</f>
        <v>0</v>
      </c>
      <c r="E220" s="233" t="s">
        <v>174</v>
      </c>
      <c r="F220" s="235">
        <f>IFERROR(VLOOKUP(Tableau2[[#This Row],[Name of shipper]],Plant_AILN!L:M,2,FALSE),0)</f>
        <v>112741</v>
      </c>
      <c r="G220" s="233"/>
      <c r="H220" s="235" t="str">
        <f>IF(Tableau2[[#This Row],[Name Consignee]]=0,"",VLOOKUP(Tableau2[[#This Row],[Name Consignee]],Plant_AILN!A:C,3,FALSE))</f>
        <v/>
      </c>
      <c r="I220" s="236">
        <v>9</v>
      </c>
      <c r="J220" s="236">
        <v>14</v>
      </c>
      <c r="K220" s="237">
        <v>5</v>
      </c>
      <c r="L220" s="233">
        <v>7</v>
      </c>
      <c r="M220" s="238">
        <f>Tableau2[[#This Row],[Delivery time to ILN/Shipper]]+Tableau2[[#This Row],[Day ILN Order]]-1</f>
        <v>22</v>
      </c>
      <c r="N220" s="236">
        <v>2</v>
      </c>
      <c r="O220" s="237" t="s">
        <v>488</v>
      </c>
      <c r="P220" s="236">
        <v>3</v>
      </c>
    </row>
    <row r="221" spans="1:17">
      <c r="A221" s="371" t="str">
        <f>_xlfn.CONCAT(Tableau2[[#This Row],[Compte ILN]],"-",Tableau2[[#This Row],[Compte Shipper]],"-",Tableau2[[#This Row],[POL]],"-",Tableau2[[#This Row],[Compte Consignee]])</f>
        <v>222222-222222-CNSHA-90016700</v>
      </c>
      <c r="B221" s="371" t="str">
        <f>IF(Tableau2[[#This Row],[Name Consignee]]="",_xlfn.CONCAT(Tableau2[[#This Row],[Compte ILN]],"-",Tableau2[[#This Row],[Compte Shipper]],"-",Tableau2[[#This Row],[POL]]),"-")</f>
        <v>-</v>
      </c>
      <c r="C221" s="233" t="s">
        <v>183</v>
      </c>
      <c r="D221" s="238">
        <f>VLOOKUP(Tableau2[[#This Row],[ Name ILN]],Plant_AILN!F:G,2,FALSE)</f>
        <v>222222</v>
      </c>
      <c r="E221" s="233" t="s">
        <v>183</v>
      </c>
      <c r="F221" s="235">
        <f>IFERROR(VLOOKUP(Tableau2[[#This Row],[Name of shipper]],Plant_AILN!L:M,2,FALSE),0)</f>
        <v>222222</v>
      </c>
      <c r="G221" s="233" t="s">
        <v>181</v>
      </c>
      <c r="H221" s="235">
        <f>IF(Tableau2[[#This Row],[Name Consignee]]=0,"",VLOOKUP(Tableau2[[#This Row],[Name Consignee]],Plant_AILN!A:C,3,FALSE))</f>
        <v>90016700</v>
      </c>
      <c r="I221" s="236">
        <v>9</v>
      </c>
      <c r="J221" s="236">
        <v>21</v>
      </c>
      <c r="K221" s="237">
        <v>5</v>
      </c>
      <c r="L221" s="233">
        <v>7</v>
      </c>
      <c r="M221" s="238">
        <f>Tableau2[[#This Row],[Delivery time to ILN/Shipper]]+Tableau2[[#This Row],[Day ILN Order]]-1</f>
        <v>29</v>
      </c>
      <c r="N221" s="236">
        <v>2</v>
      </c>
      <c r="O221" s="237" t="s">
        <v>513</v>
      </c>
      <c r="P221" s="236">
        <v>2</v>
      </c>
    </row>
    <row r="222" spans="1:17">
      <c r="A222" s="371" t="str">
        <f>_xlfn.CONCAT(Tableau2[[#This Row],[Compte ILN]],"-",Tableau2[[#This Row],[Compte Shipper]],"-",Tableau2[[#This Row],[POL]],"-",Tableau2[[#This Row],[Compte Consignee]])</f>
        <v>0-29159-JPYOK-</v>
      </c>
      <c r="B222" s="371" t="str">
        <f>IF(Tableau2[[#This Row],[Name Consignee]]="",_xlfn.CONCAT(Tableau2[[#This Row],[Compte ILN]],"-",Tableau2[[#This Row],[Compte Shipper]],"-",Tableau2[[#This Row],[POL]]),"-")</f>
        <v>0-29159-JPYOK</v>
      </c>
      <c r="C222" s="233" t="s">
        <v>150</v>
      </c>
      <c r="D222" s="238">
        <f>VLOOKUP(Tableau2[[#This Row],[ Name ILN]],Plant_AILN!F:G,2,FALSE)</f>
        <v>0</v>
      </c>
      <c r="E222" s="233" t="s">
        <v>188</v>
      </c>
      <c r="F222" s="235">
        <f>IFERROR(VLOOKUP(Tableau2[[#This Row],[Name of shipper]],Plant_AILN!L:M,2,FALSE),0)</f>
        <v>29159</v>
      </c>
      <c r="G222" s="233"/>
      <c r="H222" s="235" t="str">
        <f>IF(Tableau2[[#This Row],[Name Consignee]]=0,"",VLOOKUP(Tableau2[[#This Row],[Name Consignee]],Plant_AILN!A:C,3,FALSE))</f>
        <v/>
      </c>
      <c r="I222" s="236">
        <v>9</v>
      </c>
      <c r="J222" s="236">
        <v>14</v>
      </c>
      <c r="K222" s="237">
        <v>5</v>
      </c>
      <c r="L222" s="233">
        <v>7</v>
      </c>
      <c r="M222" s="238">
        <f>Tableau2[[#This Row],[Delivery time to ILN/Shipper]]+Tableau2[[#This Row],[Day ILN Order]]-1</f>
        <v>22</v>
      </c>
      <c r="N222" s="236">
        <v>2</v>
      </c>
      <c r="O222" s="237" t="s">
        <v>483</v>
      </c>
      <c r="P222" s="236">
        <v>2</v>
      </c>
    </row>
    <row r="223" spans="1:17">
      <c r="A223" s="371" t="str">
        <f>_xlfn.CONCAT(Tableau2[[#This Row],[Compte ILN]],"-",Tableau2[[#This Row],[Compte Shipper]],"-",Tableau2[[#This Row],[POL]],"-",Tableau2[[#This Row],[Compte Consignee]])</f>
        <v>222222-222222-CNSHA-90019100</v>
      </c>
      <c r="B223" s="371" t="str">
        <f>IF(Tableau2[[#This Row],[Name Consignee]]="",_xlfn.CONCAT(Tableau2[[#This Row],[Compte ILN]],"-",Tableau2[[#This Row],[Compte Shipper]],"-",Tableau2[[#This Row],[POL]]),"-")</f>
        <v>-</v>
      </c>
      <c r="C223" s="233" t="s">
        <v>183</v>
      </c>
      <c r="D223" s="238">
        <f>VLOOKUP(Tableau2[[#This Row],[ Name ILN]],Plant_AILN!F:G,2,FALSE)</f>
        <v>222222</v>
      </c>
      <c r="E223" s="233" t="s">
        <v>183</v>
      </c>
      <c r="F223" s="235">
        <f>IFERROR(VLOOKUP(Tableau2[[#This Row],[Name of shipper]],Plant_AILN!L:M,2,FALSE),0)</f>
        <v>222222</v>
      </c>
      <c r="G223" s="233" t="s">
        <v>189</v>
      </c>
      <c r="H223" s="235">
        <f>IF(Tableau2[[#This Row],[Name Consignee]]=0,"",VLOOKUP(Tableau2[[#This Row],[Name Consignee]],Plant_AILN!A:C,3,FALSE))</f>
        <v>90019100</v>
      </c>
      <c r="I223" s="236">
        <v>9</v>
      </c>
      <c r="J223" s="236">
        <v>21</v>
      </c>
      <c r="K223" s="237">
        <v>5</v>
      </c>
      <c r="L223" s="233">
        <v>7</v>
      </c>
      <c r="M223" s="238">
        <f>Tableau2[[#This Row],[Delivery time to ILN/Shipper]]+Tableau2[[#This Row],[Day ILN Order]]-1</f>
        <v>29</v>
      </c>
      <c r="N223" s="236">
        <v>1</v>
      </c>
      <c r="O223" s="237" t="s">
        <v>513</v>
      </c>
      <c r="P223" s="236">
        <v>2</v>
      </c>
    </row>
    <row r="224" spans="1:17">
      <c r="A224" s="371" t="str">
        <f>_xlfn.CONCAT(Tableau2[[#This Row],[Compte ILN]],"-",Tableau2[[#This Row],[Compte Shipper]],"-",Tableau2[[#This Row],[POL]],"-",Tableau2[[#This Row],[Compte Consignee]])</f>
        <v>222222-222222-CNSHA-92002200</v>
      </c>
      <c r="B224" s="371" t="str">
        <f>IF(Tableau2[[#This Row],[Name Consignee]]="",_xlfn.CONCAT(Tableau2[[#This Row],[Compte ILN]],"-",Tableau2[[#This Row],[Compte Shipper]],"-",Tableau2[[#This Row],[POL]]),"-")</f>
        <v>-</v>
      </c>
      <c r="C224" s="233" t="s">
        <v>183</v>
      </c>
      <c r="D224" s="238">
        <f>VLOOKUP(Tableau2[[#This Row],[ Name ILN]],Plant_AILN!F:G,2,FALSE)</f>
        <v>222222</v>
      </c>
      <c r="E224" s="233" t="s">
        <v>183</v>
      </c>
      <c r="F224" s="235">
        <f>IFERROR(VLOOKUP(Tableau2[[#This Row],[Name of shipper]],Plant_AILN!L:M,2,FALSE),0)</f>
        <v>222222</v>
      </c>
      <c r="G224" s="233" t="s">
        <v>36</v>
      </c>
      <c r="H224" s="235">
        <f>IF(Tableau2[[#This Row],[Name Consignee]]=0,"",VLOOKUP(Tableau2[[#This Row],[Name Consignee]],Plant_AILN!A:C,3,FALSE))</f>
        <v>92002200</v>
      </c>
      <c r="I224" s="236">
        <v>9</v>
      </c>
      <c r="J224" s="236">
        <v>21</v>
      </c>
      <c r="K224" s="237">
        <v>5</v>
      </c>
      <c r="L224" s="233">
        <v>7</v>
      </c>
      <c r="M224" s="238">
        <f>Tableau2[[#This Row],[Delivery time to ILN/Shipper]]+Tableau2[[#This Row],[Day ILN Order]]-1</f>
        <v>29</v>
      </c>
      <c r="N224" s="236">
        <v>1</v>
      </c>
      <c r="O224" s="237" t="s">
        <v>513</v>
      </c>
      <c r="P224" s="236">
        <v>2</v>
      </c>
    </row>
    <row r="225" spans="1:16">
      <c r="A225" s="371" t="str">
        <f>_xlfn.CONCAT(Tableau2[[#This Row],[Compte ILN]],"-",Tableau2[[#This Row],[Compte Shipper]],"-",Tableau2[[#This Row],[POL]],"-",Tableau2[[#This Row],[Compte Consignee]])</f>
        <v>222222-222222-CNSHA-92000100</v>
      </c>
      <c r="B225" s="371" t="str">
        <f>IF(Tableau2[[#This Row],[Name Consignee]]="",_xlfn.CONCAT(Tableau2[[#This Row],[Compte ILN]],"-",Tableau2[[#This Row],[Compte Shipper]],"-",Tableau2[[#This Row],[POL]]),"-")</f>
        <v>-</v>
      </c>
      <c r="C225" s="233" t="s">
        <v>183</v>
      </c>
      <c r="D225" s="238">
        <f>VLOOKUP(Tableau2[[#This Row],[ Name ILN]],Plant_AILN!F:G,2,FALSE)</f>
        <v>222222</v>
      </c>
      <c r="E225" s="233" t="s">
        <v>183</v>
      </c>
      <c r="F225" s="235">
        <f>IFERROR(VLOOKUP(Tableau2[[#This Row],[Name of shipper]],Plant_AILN!L:M,2,FALSE),0)</f>
        <v>222222</v>
      </c>
      <c r="G225" s="233" t="s">
        <v>184</v>
      </c>
      <c r="H225" s="235">
        <f>IF(Tableau2[[#This Row],[Name Consignee]]=0,"",VLOOKUP(Tableau2[[#This Row],[Name Consignee]],Plant_AILN!A:C,3,FALSE))</f>
        <v>92000100</v>
      </c>
      <c r="I225" s="236">
        <v>9</v>
      </c>
      <c r="J225" s="236">
        <v>21</v>
      </c>
      <c r="K225" s="237">
        <v>5</v>
      </c>
      <c r="L225" s="233">
        <v>7</v>
      </c>
      <c r="M225" s="238">
        <f>Tableau2[[#This Row],[Delivery time to ILN/Shipper]]+Tableau2[[#This Row],[Day ILN Order]]-1</f>
        <v>29</v>
      </c>
      <c r="N225" s="236">
        <v>1</v>
      </c>
      <c r="O225" s="237" t="s">
        <v>513</v>
      </c>
      <c r="P225" s="236">
        <v>2</v>
      </c>
    </row>
    <row r="226" spans="1:16">
      <c r="A226" s="371" t="str">
        <f>_xlfn.CONCAT(Tableau2[[#This Row],[Compte ILN]],"-",Tableau2[[#This Row],[Compte Shipper]],"-",Tableau2[[#This Row],[POL]],"-",Tableau2[[#This Row],[Compte Consignee]])</f>
        <v>222222-222222-CNSHA-91017300</v>
      </c>
      <c r="B226" s="371" t="str">
        <f>IF(Tableau2[[#This Row],[Name Consignee]]="",_xlfn.CONCAT(Tableau2[[#This Row],[Compte ILN]],"-",Tableau2[[#This Row],[Compte Shipper]],"-",Tableau2[[#This Row],[POL]]),"-")</f>
        <v>-</v>
      </c>
      <c r="C226" s="233" t="s">
        <v>183</v>
      </c>
      <c r="D226" s="238">
        <f>VLOOKUP(Tableau2[[#This Row],[ Name ILN]],Plant_AILN!F:G,2,FALSE)</f>
        <v>222222</v>
      </c>
      <c r="E226" s="233" t="s">
        <v>183</v>
      </c>
      <c r="F226" s="235">
        <f>IFERROR(VLOOKUP(Tableau2[[#This Row],[Name of shipper]],Plant_AILN!L:M,2,FALSE),0)</f>
        <v>222222</v>
      </c>
      <c r="G226" s="233" t="s">
        <v>172</v>
      </c>
      <c r="H226" s="235">
        <f>IF(Tableau2[[#This Row],[Name Consignee]]=0,"",VLOOKUP(Tableau2[[#This Row],[Name Consignee]],Plant_AILN!A:C,3,FALSE))</f>
        <v>91017300</v>
      </c>
      <c r="I226" s="236">
        <v>9</v>
      </c>
      <c r="J226" s="236">
        <v>21</v>
      </c>
      <c r="K226" s="237">
        <v>5</v>
      </c>
      <c r="L226" s="233">
        <v>7</v>
      </c>
      <c r="M226" s="238">
        <f>Tableau2[[#This Row],[Delivery time to ILN/Shipper]]+Tableau2[[#This Row],[Day ILN Order]]-1</f>
        <v>29</v>
      </c>
      <c r="N226" s="236">
        <v>1</v>
      </c>
      <c r="O226" s="237" t="s">
        <v>513</v>
      </c>
      <c r="P226" s="236">
        <v>2</v>
      </c>
    </row>
    <row r="227" spans="1:16">
      <c r="A227" s="371" t="str">
        <f>_xlfn.CONCAT(Tableau2[[#This Row],[Compte ILN]],"-",Tableau2[[#This Row],[Compte Shipper]],"-",Tableau2[[#This Row],[POL]],"-",Tableau2[[#This Row],[Compte Consignee]])</f>
        <v>222222-222222-CNSHA-90017000</v>
      </c>
      <c r="B227" s="371" t="str">
        <f>IF(Tableau2[[#This Row],[Name Consignee]]="",_xlfn.CONCAT(Tableau2[[#This Row],[Compte ILN]],"-",Tableau2[[#This Row],[Compte Shipper]],"-",Tableau2[[#This Row],[POL]]),"-")</f>
        <v>-</v>
      </c>
      <c r="C227" s="233" t="s">
        <v>183</v>
      </c>
      <c r="D227" s="238">
        <f>VLOOKUP(Tableau2[[#This Row],[ Name ILN]],Plant_AILN!F:G,2,FALSE)</f>
        <v>222222</v>
      </c>
      <c r="E227" s="233" t="s">
        <v>183</v>
      </c>
      <c r="F227" s="235">
        <f>IFERROR(VLOOKUP(Tableau2[[#This Row],[Name of shipper]],Plant_AILN!L:M,2,FALSE),0)</f>
        <v>222222</v>
      </c>
      <c r="G227" s="233" t="s">
        <v>167</v>
      </c>
      <c r="H227" s="235">
        <f>IF(Tableau2[[#This Row],[Name Consignee]]=0,"",VLOOKUP(Tableau2[[#This Row],[Name Consignee]],Plant_AILN!A:C,3,FALSE))</f>
        <v>90017000</v>
      </c>
      <c r="I227" s="236">
        <v>9</v>
      </c>
      <c r="J227" s="236">
        <v>21</v>
      </c>
      <c r="K227" s="237">
        <v>5</v>
      </c>
      <c r="L227" s="233">
        <v>7</v>
      </c>
      <c r="M227" s="238">
        <f>Tableau2[[#This Row],[Delivery time to ILN/Shipper]]+Tableau2[[#This Row],[Day ILN Order]]-1</f>
        <v>29</v>
      </c>
      <c r="N227" s="236">
        <v>1</v>
      </c>
      <c r="O227" s="237" t="s">
        <v>513</v>
      </c>
      <c r="P227" s="236">
        <v>2</v>
      </c>
    </row>
    <row r="228" spans="1:16">
      <c r="A228" s="371" t="str">
        <f>_xlfn.CONCAT(Tableau2[[#This Row],[Compte ILN]],"-",Tableau2[[#This Row],[Compte Shipper]],"-",Tableau2[[#This Row],[POL]],"-",Tableau2[[#This Row],[Compte Consignee]])</f>
        <v>222222-222222-CNSHA-26549502</v>
      </c>
      <c r="B228" s="371" t="str">
        <f>IF(Tableau2[[#This Row],[Name Consignee]]="",_xlfn.CONCAT(Tableau2[[#This Row],[Compte ILN]],"-",Tableau2[[#This Row],[Compte Shipper]],"-",Tableau2[[#This Row],[POL]]),"-")</f>
        <v>-</v>
      </c>
      <c r="C228" s="233" t="s">
        <v>183</v>
      </c>
      <c r="D228" s="238">
        <f>VLOOKUP(Tableau2[[#This Row],[ Name ILN]],Plant_AILN!F:G,2,FALSE)</f>
        <v>222222</v>
      </c>
      <c r="E228" s="233" t="s">
        <v>183</v>
      </c>
      <c r="F228" s="235">
        <f>IFERROR(VLOOKUP(Tableau2[[#This Row],[Name of shipper]],Plant_AILN!L:M,2,FALSE),0)</f>
        <v>222222</v>
      </c>
      <c r="G228" s="233" t="s">
        <v>190</v>
      </c>
      <c r="H228" s="235">
        <f>IF(Tableau2[[#This Row],[Name Consignee]]=0,"",VLOOKUP(Tableau2[[#This Row],[Name Consignee]],Plant_AILN!A:C,3,FALSE))</f>
        <v>26549502</v>
      </c>
      <c r="I228" s="236">
        <v>9</v>
      </c>
      <c r="J228" s="236">
        <v>21</v>
      </c>
      <c r="K228" s="237">
        <v>5</v>
      </c>
      <c r="L228" s="233">
        <v>7</v>
      </c>
      <c r="M228" s="238">
        <f>Tableau2[[#This Row],[Delivery time to ILN/Shipper]]+Tableau2[[#This Row],[Day ILN Order]]-1</f>
        <v>29</v>
      </c>
      <c r="N228" s="236">
        <v>1</v>
      </c>
      <c r="O228" s="237" t="s">
        <v>513</v>
      </c>
      <c r="P228" s="236">
        <v>2</v>
      </c>
    </row>
    <row r="229" spans="1:16">
      <c r="A229" s="242" t="str">
        <f>_xlfn.CONCAT(Tableau2[[#This Row],[Compte ILN]],"-",Tableau2[[#This Row],[Compte Shipper]],"-",Tableau2[[#This Row],[POL]],"-",Tableau2[[#This Row],[Compte Consignee]])</f>
        <v>222222-222222-CNSHA-91017700</v>
      </c>
      <c r="B229" s="242" t="str">
        <f>IF(Tableau2[[#This Row],[Name Consignee]]="",_xlfn.CONCAT(Tableau2[[#This Row],[Compte ILN]],"-",Tableau2[[#This Row],[Compte Shipper]],"-",Tableau2[[#This Row],[POL]]),"-")</f>
        <v>-</v>
      </c>
      <c r="C229" s="233" t="s">
        <v>183</v>
      </c>
      <c r="D229" s="238">
        <f>VLOOKUP(Tableau2[[#This Row],[ Name ILN]],Plant_AILN!F:G,2,FALSE)</f>
        <v>222222</v>
      </c>
      <c r="E229" s="233" t="s">
        <v>183</v>
      </c>
      <c r="F229" s="235">
        <f>IFERROR(VLOOKUP(Tableau2[[#This Row],[Name of shipper]],Plant_AILN!L:M,2,FALSE),0)</f>
        <v>222222</v>
      </c>
      <c r="G229" s="233" t="s">
        <v>163</v>
      </c>
      <c r="H229" s="235">
        <f>IF(Tableau2[[#This Row],[Name Consignee]]=0,"",VLOOKUP(Tableau2[[#This Row],[Name Consignee]],Plant_AILN!A:C,3,FALSE))</f>
        <v>91017700</v>
      </c>
      <c r="I229" s="236">
        <v>9</v>
      </c>
      <c r="J229" s="236">
        <v>21</v>
      </c>
      <c r="K229" s="237">
        <v>5</v>
      </c>
      <c r="L229" s="233">
        <v>7</v>
      </c>
      <c r="M229" s="238">
        <f>Tableau2[[#This Row],[Delivery time to ILN/Shipper]]+Tableau2[[#This Row],[Day ILN Order]]-1</f>
        <v>29</v>
      </c>
      <c r="N229" s="236">
        <v>1</v>
      </c>
      <c r="O229" s="237" t="s">
        <v>513</v>
      </c>
      <c r="P229" s="236">
        <v>2</v>
      </c>
    </row>
    <row r="230" spans="1:16">
      <c r="A230" s="242" t="str">
        <f>_xlfn.CONCAT(Tableau2[[#This Row],[Compte ILN]],"-",Tableau2[[#This Row],[Compte Shipper]],"-",Tableau2[[#This Row],[POL]],"-",Tableau2[[#This Row],[Compte Consignee]])</f>
        <v>222222-222222-CNSHA-</v>
      </c>
      <c r="B230" s="242" t="str">
        <f>IF(Tableau2[[#This Row],[Name Consignee]]="",_xlfn.CONCAT(Tableau2[[#This Row],[Compte ILN]],"-",Tableau2[[#This Row],[Compte Shipper]],"-",Tableau2[[#This Row],[POL]]),"-")</f>
        <v>222222-222222-CNSHA</v>
      </c>
      <c r="C230" s="233" t="s">
        <v>183</v>
      </c>
      <c r="D230" s="238">
        <f>VLOOKUP(Tableau2[[#This Row],[ Name ILN]],Plant_AILN!F:G,2,FALSE)</f>
        <v>222222</v>
      </c>
      <c r="E230" s="233" t="s">
        <v>183</v>
      </c>
      <c r="F230" s="235">
        <f>IFERROR(VLOOKUP(Tableau2[[#This Row],[Name of shipper]],Plant_AILN!L:M,2,FALSE),0)</f>
        <v>222222</v>
      </c>
      <c r="G230" s="233"/>
      <c r="H230" s="235" t="str">
        <f>IF(Tableau2[[#This Row],[Name Consignee]]=0,"",VLOOKUP(Tableau2[[#This Row],[Name Consignee]],Plant_AILN!A:C,3,FALSE))</f>
        <v/>
      </c>
      <c r="I230" s="236">
        <v>9</v>
      </c>
      <c r="J230" s="236">
        <v>21</v>
      </c>
      <c r="K230" s="237">
        <v>5</v>
      </c>
      <c r="L230" s="233">
        <v>7</v>
      </c>
      <c r="M230" s="238">
        <f>Tableau2[[#This Row],[Delivery time to ILN/Shipper]]+Tableau2[[#This Row],[Day ILN Order]]-1</f>
        <v>29</v>
      </c>
      <c r="N230" s="236">
        <v>1</v>
      </c>
      <c r="O230" s="237" t="s">
        <v>513</v>
      </c>
      <c r="P230" s="236">
        <v>2</v>
      </c>
    </row>
    <row r="231" spans="1:16">
      <c r="A231" s="242" t="str">
        <f>_xlfn.CONCAT(Tableau2[[#This Row],[Compte ILN]],"-",Tableau2[[#This Row],[Compte Shipper]],"-",Tableau2[[#This Row],[POL]],"-",Tableau2[[#This Row],[Compte Consignee]])</f>
        <v>333333-333333-MXVER-</v>
      </c>
      <c r="B231" s="242" t="str">
        <f>IF(Tableau2[[#This Row],[Name Consignee]]="",_xlfn.CONCAT(Tableau2[[#This Row],[Compte ILN]],"-",Tableau2[[#This Row],[Compte Shipper]],"-",Tableau2[[#This Row],[POL]]),"-")</f>
        <v>333333-333333-MXVER</v>
      </c>
      <c r="C231" s="224" t="s">
        <v>191</v>
      </c>
      <c r="D231" s="228">
        <f>VLOOKUP(Tableau2[[#This Row],[ Name ILN]],Plant_AILN!F:G,2,FALSE)</f>
        <v>333333</v>
      </c>
      <c r="E231" s="233" t="s">
        <v>191</v>
      </c>
      <c r="F231" s="235">
        <f>IFERROR(VLOOKUP(Tableau2[[#This Row],[Name of shipper]],Plant_AILN!L:M,2,FALSE),0)</f>
        <v>333333</v>
      </c>
      <c r="G231" s="233"/>
      <c r="H231" s="235" t="str">
        <f>IF(Tableau2[[#This Row],[Name Consignee]]=0,"",VLOOKUP(Tableau2[[#This Row],[Name Consignee]],Plant_AILN!A:C,3,FALSE))</f>
        <v/>
      </c>
      <c r="I231" s="219">
        <v>9</v>
      </c>
      <c r="J231" s="219">
        <v>14</v>
      </c>
      <c r="K231" s="94">
        <v>5</v>
      </c>
      <c r="L231" s="224">
        <v>7</v>
      </c>
      <c r="M231" s="228">
        <f>Tableau2[[#This Row],[Delivery time to ILN/Shipper]]+Tableau2[[#This Row],[Day ILN Order]]-1</f>
        <v>22</v>
      </c>
      <c r="N231" s="219">
        <v>2</v>
      </c>
      <c r="O231" s="94" t="s">
        <v>522</v>
      </c>
      <c r="P231" s="219">
        <v>1</v>
      </c>
    </row>
    <row r="232" spans="1:16">
      <c r="A232" s="242" t="str">
        <f>_xlfn.CONCAT(Tableau2[[#This Row],[Compte ILN]],"-",Tableau2[[#This Row],[Compte Shipper]],"-",Tableau2[[#This Row],[POL]],"-",Tableau2[[#This Row],[Compte Consignee]])</f>
        <v>333333-333333-MXZLO-</v>
      </c>
      <c r="B232" s="242" t="str">
        <f>IF(Tableau2[[#This Row],[Name Consignee]]="",_xlfn.CONCAT(Tableau2[[#This Row],[Compte ILN]],"-",Tableau2[[#This Row],[Compte Shipper]],"-",Tableau2[[#This Row],[POL]]),"-")</f>
        <v>333333-333333-MXZLO</v>
      </c>
      <c r="C232" s="224" t="s">
        <v>191</v>
      </c>
      <c r="D232" s="228">
        <f>VLOOKUP(Tableau2[[#This Row],[ Name ILN]],Plant_AILN!F:G,2,FALSE)</f>
        <v>333333</v>
      </c>
      <c r="E232" s="233" t="s">
        <v>191</v>
      </c>
      <c r="F232" s="235">
        <f>IFERROR(VLOOKUP(Tableau2[[#This Row],[Name of shipper]],Plant_AILN!L:M,2,FALSE),0)</f>
        <v>333333</v>
      </c>
      <c r="G232" s="233"/>
      <c r="H232" s="235" t="str">
        <f>IF(Tableau2[[#This Row],[Name Consignee]]=0,"",VLOOKUP(Tableau2[[#This Row],[Name Consignee]],Plant_AILN!A:C,3,FALSE))</f>
        <v/>
      </c>
      <c r="I232" s="219">
        <v>9</v>
      </c>
      <c r="J232" s="219">
        <v>14</v>
      </c>
      <c r="K232" s="94">
        <v>5</v>
      </c>
      <c r="L232" s="224">
        <v>7</v>
      </c>
      <c r="M232" s="228">
        <f>Tableau2[[#This Row],[Delivery time to ILN/Shipper]]+Tableau2[[#This Row],[Day ILN Order]]-1</f>
        <v>22</v>
      </c>
      <c r="N232" s="219">
        <v>2</v>
      </c>
      <c r="O232" s="94" t="s">
        <v>532</v>
      </c>
      <c r="P232" s="219"/>
    </row>
    <row r="233" spans="1:16">
      <c r="A233" s="371" t="e">
        <f>_xlfn.CONCAT(Tableau2[[#This Row],[Compte ILN]],"-",Tableau2[[#This Row],[Compte Shipper]],"-",Tableau2[[#This Row],[POL]],"-",Tableau2[[#This Row],[Compte Consignee]])</f>
        <v>#N/A</v>
      </c>
      <c r="B233" s="371" t="e">
        <f>IF(Tableau2[[#This Row],[Name Consignee]]="",_xlfn.CONCAT(Tableau2[[#This Row],[Compte ILN]],"-",Tableau2[[#This Row],[Compte Shipper]],"-",Tableau2[[#This Row],[POL]]),"-")</f>
        <v>#N/A</v>
      </c>
      <c r="C233" s="233"/>
      <c r="D233" s="238" t="e">
        <f>VLOOKUP(Tableau2[[#This Row],[ Name ILN]],Plant_AILN!F:G,2,FALSE)</f>
        <v>#N/A</v>
      </c>
      <c r="E233" s="233"/>
      <c r="F233" s="235">
        <f>IFERROR(VLOOKUP(Tableau2[[#This Row],[Name of shipper]],Plant_AILN!L:M,2,FALSE),0)</f>
        <v>0</v>
      </c>
      <c r="G233" s="233"/>
      <c r="H233" s="235" t="str">
        <f>IF(Tableau2[[#This Row],[Name Consignee]]=0,"",VLOOKUP(Tableau2[[#This Row],[Name Consignee]],Plant_AILN!A:C,3,FALSE))</f>
        <v/>
      </c>
      <c r="I233" s="236"/>
      <c r="J233" s="236"/>
      <c r="K233" s="237"/>
      <c r="L233" s="233"/>
      <c r="M233" s="238">
        <f>Tableau2[[#This Row],[Delivery time to ILN/Shipper]]+Tableau2[[#This Row],[Day ILN Order]]-1</f>
        <v>-1</v>
      </c>
      <c r="N233" s="236"/>
      <c r="O233" s="237"/>
      <c r="P233" s="236"/>
    </row>
  </sheetData>
  <dataValidations count="3">
    <dataValidation type="list" allowBlank="1" showInputMessage="1" showErrorMessage="1" sqref="G146 E148:E159 E164 E185 E187:E188 E201 C3:C1048576" xr:uid="{00000000-0002-0000-0B00-000000000000}">
      <formula1>AILNname</formula1>
    </dataValidation>
    <dataValidation type="list" errorStyle="warning" allowBlank="1" showInputMessage="1" showErrorMessage="1" errorTitle="Please check information" error="This is not a known plant, please check the spelling or enter the information in the sheet &quot;Plant_ALIN&quot;" sqref="G3:G145 E184 G147:G1048576" xr:uid="{00000000-0002-0000-0B00-000001000000}">
      <formula1>plantname</formula1>
    </dataValidation>
    <dataValidation type="list" allowBlank="1" showInputMessage="1" showErrorMessage="1" sqref="E3:E147 E160:E163 E165:E183 E186 E189:E200 E202:E1048576" xr:uid="{00000000-0002-0000-0B00-000002000000}">
      <formula1>shippername</formula1>
    </dataValidation>
  </dataValidations>
  <pageMargins left="0.7" right="0.7" top="0.75" bottom="0.75" header="0.3" footer="0.3"/>
  <pageSetup paperSize="9" orientation="portrait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theme="7" tint="-0.249977111117893"/>
  </sheetPr>
  <dimension ref="A1:N100"/>
  <sheetViews>
    <sheetView zoomScaleNormal="100" workbookViewId="0">
      <pane ySplit="1" topLeftCell="A2" activePane="bottomLeft" state="frozen"/>
      <selection activeCell="D1" sqref="D1"/>
      <selection pane="bottomLeft" activeCell="H1" sqref="H1"/>
    </sheetView>
  </sheetViews>
  <sheetFormatPr baseColWidth="10" defaultColWidth="11.44140625" defaultRowHeight="14.4" outlineLevelCol="1"/>
  <cols>
    <col min="1" max="1" width="27.44140625" customWidth="1" outlineLevel="1"/>
    <col min="2" max="2" width="13.44140625" customWidth="1" outlineLevel="1"/>
    <col min="3" max="3" width="21.44140625" customWidth="1" outlineLevel="1"/>
    <col min="4" max="4" width="21" customWidth="1" outlineLevel="1"/>
    <col min="5" max="5" width="11.44140625" style="48" customWidth="1"/>
    <col min="6" max="7" width="11.44140625" customWidth="1"/>
    <col min="8" max="8" width="11.44140625" style="475" customWidth="1"/>
    <col min="9" max="9" width="11.44140625" customWidth="1"/>
    <col min="10" max="10" width="15" customWidth="1"/>
    <col min="11" max="11" width="11.44140625" customWidth="1"/>
    <col min="12" max="12" width="18.44140625" customWidth="1"/>
    <col min="13" max="13" width="11.44140625" style="475" customWidth="1"/>
    <col min="14" max="14" width="14.5546875" bestFit="1" customWidth="1"/>
    <col min="15" max="15" width="11.44140625" customWidth="1"/>
  </cols>
  <sheetData>
    <row r="1" spans="1:14" ht="54" customHeight="1" thickBot="1">
      <c r="A1" s="149" t="s">
        <v>582</v>
      </c>
      <c r="B1" s="149" t="s">
        <v>583</v>
      </c>
      <c r="C1" s="150" t="s">
        <v>584</v>
      </c>
      <c r="D1" s="151" t="s">
        <v>585</v>
      </c>
      <c r="E1" s="144" t="s">
        <v>116</v>
      </c>
      <c r="F1" s="145" t="s">
        <v>120</v>
      </c>
      <c r="G1" s="152" t="s">
        <v>121</v>
      </c>
      <c r="H1" s="525" t="s">
        <v>122</v>
      </c>
      <c r="I1" s="153" t="s">
        <v>586</v>
      </c>
      <c r="J1" s="154" t="s">
        <v>125</v>
      </c>
      <c r="K1" s="144" t="s">
        <v>99</v>
      </c>
      <c r="L1" s="146" t="s">
        <v>539</v>
      </c>
      <c r="M1" s="526" t="s">
        <v>101</v>
      </c>
      <c r="N1" s="145" t="s">
        <v>126</v>
      </c>
    </row>
    <row r="2" spans="1:14" ht="15.75" customHeight="1" thickBot="1">
      <c r="A2" s="155"/>
      <c r="B2" s="155"/>
      <c r="C2" s="62"/>
      <c r="D2" s="156"/>
      <c r="E2" s="157">
        <v>24</v>
      </c>
      <c r="F2" s="158">
        <v>27</v>
      </c>
      <c r="G2" s="144">
        <v>28</v>
      </c>
      <c r="H2" s="160">
        <v>29</v>
      </c>
      <c r="I2" s="159"/>
      <c r="J2" s="145" t="str">
        <f>IFERROR(IF(Tableau3[[#This Row],[type PFI/CDD]]="Direct",0,VLOOKUP(Tableau3[[#This Row],[Clé(POD-PFI)]],Transport!G:K,5,FALSE)),"")</f>
        <v/>
      </c>
      <c r="K2" s="160"/>
      <c r="L2" s="160">
        <v>31</v>
      </c>
      <c r="M2" s="160">
        <v>32</v>
      </c>
      <c r="N2" s="158">
        <v>33</v>
      </c>
    </row>
    <row r="3" spans="1:14" ht="14.1" customHeight="1">
      <c r="A3" s="161" t="str">
        <f>_xlfn.CONCAT(Tableau3[[#This Row],[POD]],"-",Tableau3[[#This Row],[Code PFI]],"-",Tableau3[[#This Row],[Compte Consignee]])</f>
        <v>FRLEH-90016600-90018300</v>
      </c>
      <c r="B3" s="161" t="str">
        <f>_xlfn.CONCAT(Tableau3[[#This Row],[POD]],"-",Tableau3[[#This Row],[Code PFI]])</f>
        <v>FRLEH-90016600</v>
      </c>
      <c r="C3" s="162" t="str">
        <f>IF(Tableau3[[#This Row],[Name PFI/CDD]]="",_xlfn.CONCAT(Tableau3[[#This Row],[POD]],"-",Tableau3[[#This Row],[Compte Consignee]]),"-")</f>
        <v>-</v>
      </c>
      <c r="D3" s="163" t="str">
        <f>_xlfn.CONCAT(Tableau3[[#This Row],[Code PFI]],"-",Tableau3[[#This Row],[Compte Consignee]])</f>
        <v>90016600-90018300</v>
      </c>
      <c r="E3" s="164" t="s">
        <v>505</v>
      </c>
      <c r="F3" s="165">
        <v>3</v>
      </c>
      <c r="G3" s="166" t="s">
        <v>153</v>
      </c>
      <c r="H3" s="490">
        <f>IF(Tableau3[[#This Row],[Name PFI/CDD]]&lt;&gt;"",VLOOKUP(Tableau3[[#This Row],[Name PFI/CDD]],Plant_AILN!I:J,2,FALSE),"-")</f>
        <v>90016600</v>
      </c>
      <c r="I3" s="167" t="str">
        <f>IF(Tableau3[[#This Row],[Code PFI]]="-","Direct","PFI/CDD")</f>
        <v>PFI/CDD</v>
      </c>
      <c r="J3" s="60">
        <f>IFERROR(IF(Tableau3[[#This Row],[type PFI/CDD]]="Direct",0,VLOOKUP(Tableau3[[#This Row],[Clé(POD-PFI)]],Transport!G:K,5,FALSE)),"")</f>
        <v>2</v>
      </c>
      <c r="K3" s="4" t="str">
        <f>VLOOKUP(Tableau3[[#This Row],[Name Consignee]],Tableau10[],4,FALSE)</f>
        <v>FRANCE</v>
      </c>
      <c r="L3" s="168" t="s">
        <v>186</v>
      </c>
      <c r="M3" s="527">
        <f>VLOOKUP(Tableau3[[#This Row],[Name Consignee]],Tableau10[],3,FALSE)</f>
        <v>90018300</v>
      </c>
      <c r="N3" s="59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4" spans="1:14" ht="14.1" customHeight="1">
      <c r="A4" s="408" t="str">
        <f>_xlfn.CONCAT(Tableau3[[#This Row],[POD]],"-",Tableau3[[#This Row],[Code PFI]],"-",Tableau3[[#This Row],[Compte Consignee]])</f>
        <v>FRLEH-90016600-9624700</v>
      </c>
      <c r="B4" s="190" t="str">
        <f>_xlfn.CONCAT(Tableau3[[#This Row],[POD]],"-",Tableau3[[#This Row],[Code PFI]])</f>
        <v>FRLEH-90016600</v>
      </c>
      <c r="C4" s="409" t="str">
        <f>IF(Tableau3[[#This Row],[Name PFI/CDD]]="",_xlfn.CONCAT(Tableau3[[#This Row],[POD]],"-",Tableau3[[#This Row],[Compte Consignee]]),"-")</f>
        <v>-</v>
      </c>
      <c r="D4" s="410" t="str">
        <f>_xlfn.CONCAT(Tableau3[[#This Row],[Code PFI]],"-",Tableau3[[#This Row],[Compte Consignee]])</f>
        <v>90016600-9624700</v>
      </c>
      <c r="E4" s="164" t="s">
        <v>505</v>
      </c>
      <c r="F4" s="411">
        <v>3</v>
      </c>
      <c r="G4" s="166" t="s">
        <v>153</v>
      </c>
      <c r="H4" s="490">
        <f>IF(Tableau3[[#This Row],[Name PFI/CDD]]&lt;&gt;"",VLOOKUP(Tableau3[[#This Row],[Name PFI/CDD]],Plant_AILN!I:J,2,FALSE),"-")</f>
        <v>90016600</v>
      </c>
      <c r="I4" s="167" t="str">
        <f>IF(Tableau3[[#This Row],[Code PFI]]="-","Direct","PFI/CDD")</f>
        <v>PFI/CDD</v>
      </c>
      <c r="J4" s="2">
        <f>IFERROR(IF(Tableau3[[#This Row],[type PFI/CDD]]="Direct",0,VLOOKUP(Tableau3[[#This Row],[Clé(POD-PFI)]],Transport!G:K,5,FALSE)),"")</f>
        <v>2</v>
      </c>
      <c r="K4" s="430" t="s">
        <v>228</v>
      </c>
      <c r="L4" s="205" t="s">
        <v>236</v>
      </c>
      <c r="M4" s="490">
        <f>VLOOKUP(Tableau3[[#This Row],[Name Consignee]],Tableau10[],3,FALSE)</f>
        <v>9624700</v>
      </c>
      <c r="N4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5" spans="1:14" ht="14.1" customHeight="1">
      <c r="A5" s="161" t="str">
        <f>_xlfn.CONCAT(Tableau3[[#This Row],[POD]],"-",Tableau3[[#This Row],[Code PFI]],"-",Tableau3[[#This Row],[Compte Consignee]])</f>
        <v>FRLEH-90016600-92000100</v>
      </c>
      <c r="B5" s="161" t="str">
        <f>_xlfn.CONCAT(Tableau3[[#This Row],[POD]],"-",Tableau3[[#This Row],[Code PFI]])</f>
        <v>FRLEH-90016600</v>
      </c>
      <c r="C5" s="169" t="str">
        <f>IF(Tableau3[[#This Row],[Name PFI/CDD]]="",_xlfn.CONCAT(Tableau3[[#This Row],[POD]],"-",Tableau3[[#This Row],[Compte Consignee]]),"-")</f>
        <v>-</v>
      </c>
      <c r="D5" s="170" t="str">
        <f>_xlfn.CONCAT(Tableau3[[#This Row],[Code PFI]],"-",Tableau3[[#This Row],[Compte Consignee]])</f>
        <v>90016600-92000100</v>
      </c>
      <c r="E5" s="171" t="s">
        <v>505</v>
      </c>
      <c r="F5" s="165">
        <v>3</v>
      </c>
      <c r="G5" s="166" t="s">
        <v>153</v>
      </c>
      <c r="H5" s="490">
        <f>IF(Tableau3[[#This Row],[Name PFI/CDD]]&lt;&gt;"",VLOOKUP(Tableau3[[#This Row],[Name PFI/CDD]],Plant_AILN!I:J,2,FALSE),"-")</f>
        <v>90016600</v>
      </c>
      <c r="I5" s="167" t="str">
        <f>IF(Tableau3[[#This Row],[Code PFI]]="-","Direct","PFI/CDD")</f>
        <v>PFI/CDD</v>
      </c>
      <c r="J5" s="60">
        <f>IFERROR(IF(Tableau3[[#This Row],[type PFI/CDD]]="Direct",0,VLOOKUP(Tableau3[[#This Row],[Clé(POD-PFI)]],Transport!G:K,5,FALSE)),"")</f>
        <v>2</v>
      </c>
      <c r="K5" s="4" t="str">
        <f>VLOOKUP(Tableau3[[#This Row],[Name Consignee]],Tableau10[],4,FALSE)</f>
        <v>FRANCE</v>
      </c>
      <c r="L5" s="7" t="s">
        <v>184</v>
      </c>
      <c r="M5" s="490">
        <f>VLOOKUP(Tableau3[[#This Row],[Name Consignee]],Tableau10[],3,FALSE)</f>
        <v>92000100</v>
      </c>
      <c r="N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6" spans="1:14" ht="14.1" customHeight="1">
      <c r="A6" s="161" t="str">
        <f>_xlfn.CONCAT(Tableau3[[#This Row],[POD]],"-",Tableau3[[#This Row],[Code PFI]],"-",Tableau3[[#This Row],[Compte Consignee]])</f>
        <v>FRLEH-90016600-90019100</v>
      </c>
      <c r="B6" s="161" t="str">
        <f>_xlfn.CONCAT(Tableau3[[#This Row],[POD]],"-",Tableau3[[#This Row],[Code PFI]])</f>
        <v>FRLEH-90016600</v>
      </c>
      <c r="C6" s="169" t="str">
        <f>IF(Tableau3[[#This Row],[Name PFI/CDD]]="",_xlfn.CONCAT(Tableau3[[#This Row],[POD]],"-",Tableau3[[#This Row],[Compte Consignee]]),"-")</f>
        <v>-</v>
      </c>
      <c r="D6" s="170" t="str">
        <f>_xlfn.CONCAT(Tableau3[[#This Row],[Code PFI]],"-",Tableau3[[#This Row],[Compte Consignee]])</f>
        <v>90016600-90019100</v>
      </c>
      <c r="E6" s="171" t="s">
        <v>505</v>
      </c>
      <c r="F6" s="165">
        <v>3</v>
      </c>
      <c r="G6" s="166" t="s">
        <v>153</v>
      </c>
      <c r="H6" s="490">
        <f>IF(Tableau3[[#This Row],[Name PFI/CDD]]&lt;&gt;"",VLOOKUP(Tableau3[[#This Row],[Name PFI/CDD]],Plant_AILN!I:J,2,FALSE),"-")</f>
        <v>90016600</v>
      </c>
      <c r="I6" s="167" t="str">
        <f>IF(Tableau3[[#This Row],[Code PFI]]="-","Direct","PFI/CDD")</f>
        <v>PFI/CDD</v>
      </c>
      <c r="J6" s="60">
        <f>IFERROR(IF(Tableau3[[#This Row],[type PFI/CDD]]="Direct",0,VLOOKUP(Tableau3[[#This Row],[Clé(POD-PFI)]],Transport!G:K,5,FALSE)),"")</f>
        <v>2</v>
      </c>
      <c r="K6" s="4" t="str">
        <f>VLOOKUP(Tableau3[[#This Row],[Name Consignee]],Tableau10[],4,FALSE)</f>
        <v>FRANCE</v>
      </c>
      <c r="L6" s="7" t="s">
        <v>189</v>
      </c>
      <c r="M6" s="490">
        <f>VLOOKUP(Tableau3[[#This Row],[Name Consignee]],Tableau10[],3,FALSE)</f>
        <v>90019100</v>
      </c>
      <c r="N6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7" spans="1:14" ht="14.1" customHeight="1">
      <c r="A7" s="161" t="str">
        <f>_xlfn.CONCAT(Tableau3[[#This Row],[POD]],"-",Tableau3[[#This Row],[Code PFI]],"-",Tableau3[[#This Row],[Compte Consignee]])</f>
        <v>FRLEH-90016600-90015100</v>
      </c>
      <c r="B7" s="161" t="str">
        <f>_xlfn.CONCAT(Tableau3[[#This Row],[POD]],"-",Tableau3[[#This Row],[Code PFI]])</f>
        <v>FRLEH-90016600</v>
      </c>
      <c r="C7" s="169" t="str">
        <f>IF(Tableau3[[#This Row],[Name PFI/CDD]]="",_xlfn.CONCAT(Tableau3[[#This Row],[POD]],"-",Tableau3[[#This Row],[Compte Consignee]]),"-")</f>
        <v>-</v>
      </c>
      <c r="D7" s="170" t="str">
        <f>_xlfn.CONCAT(Tableau3[[#This Row],[Code PFI]],"-",Tableau3[[#This Row],[Compte Consignee]])</f>
        <v>90016600-90015100</v>
      </c>
      <c r="E7" s="171" t="s">
        <v>505</v>
      </c>
      <c r="F7" s="165">
        <v>3</v>
      </c>
      <c r="G7" s="166" t="s">
        <v>153</v>
      </c>
      <c r="H7" s="490">
        <f>IF(Tableau3[[#This Row],[Name PFI/CDD]]&lt;&gt;"",VLOOKUP(Tableau3[[#This Row],[Name PFI/CDD]],Plant_AILN!I:J,2,FALSE),"-")</f>
        <v>90016600</v>
      </c>
      <c r="I7" s="167" t="str">
        <f>IF(Tableau3[[#This Row],[Code PFI]]="-","Direct","PFI/CDD")</f>
        <v>PFI/CDD</v>
      </c>
      <c r="J7" s="60">
        <f>IFERROR(IF(Tableau3[[#This Row],[type PFI/CDD]]="Direct",0,VLOOKUP(Tableau3[[#This Row],[Clé(POD-PFI)]],Transport!G:K,5,FALSE)),"")</f>
        <v>2</v>
      </c>
      <c r="K7" s="4" t="str">
        <f>VLOOKUP(Tableau3[[#This Row],[Name Consignee]],Tableau10[],4,FALSE)</f>
        <v>FRANCE</v>
      </c>
      <c r="L7" s="7" t="s">
        <v>187</v>
      </c>
      <c r="M7" s="490">
        <f>VLOOKUP(Tableau3[[#This Row],[Name Consignee]],Tableau10[],3,FALSE)</f>
        <v>90015100</v>
      </c>
      <c r="N7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8" spans="1:14" ht="14.1" customHeight="1">
      <c r="A8" s="161" t="str">
        <f>_xlfn.CONCAT(Tableau3[[#This Row],[POD]],"-",Tableau3[[#This Row],[Code PFI]],"-",Tableau3[[#This Row],[Compte Consignee]])</f>
        <v>FRLEH-90016600-90016200</v>
      </c>
      <c r="B8" s="161" t="str">
        <f>_xlfn.CONCAT(Tableau3[[#This Row],[POD]],"-",Tableau3[[#This Row],[Code PFI]])</f>
        <v>FRLEH-90016600</v>
      </c>
      <c r="C8" s="169" t="str">
        <f>IF(Tableau3[[#This Row],[Name PFI/CDD]]="",_xlfn.CONCAT(Tableau3[[#This Row],[POD]],"-",Tableau3[[#This Row],[Compte Consignee]]),"-")</f>
        <v>-</v>
      </c>
      <c r="D8" s="170" t="str">
        <f>_xlfn.CONCAT(Tableau3[[#This Row],[Code PFI]],"-",Tableau3[[#This Row],[Compte Consignee]])</f>
        <v>90016600-90016200</v>
      </c>
      <c r="E8" s="171" t="s">
        <v>505</v>
      </c>
      <c r="F8" s="165">
        <v>3</v>
      </c>
      <c r="G8" s="166" t="s">
        <v>153</v>
      </c>
      <c r="H8" s="490">
        <f>IF(Tableau3[[#This Row],[Name PFI/CDD]]&lt;&gt;"",VLOOKUP(Tableau3[[#This Row],[Name PFI/CDD]],Plant_AILN!I:J,2,FALSE),"-")</f>
        <v>90016600</v>
      </c>
      <c r="I8" s="167" t="str">
        <f>IF(Tableau3[[#This Row],[Code PFI]]="-","Direct","PFI/CDD")</f>
        <v>PFI/CDD</v>
      </c>
      <c r="J8" s="60">
        <f>IFERROR(IF(Tableau3[[#This Row],[type PFI/CDD]]="Direct",0,VLOOKUP(Tableau3[[#This Row],[Clé(POD-PFI)]],Transport!G:K,5,FALSE)),"")</f>
        <v>2</v>
      </c>
      <c r="K8" s="4" t="str">
        <f>VLOOKUP(Tableau3[[#This Row],[Name Consignee]],Tableau10[],4,FALSE)</f>
        <v>FRANCE</v>
      </c>
      <c r="L8" s="7" t="s">
        <v>185</v>
      </c>
      <c r="M8" s="490">
        <f>VLOOKUP(Tableau3[[#This Row],[Name Consignee]],Tableau10[],3,FALSE)</f>
        <v>90016200</v>
      </c>
      <c r="N8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" spans="1:14" ht="14.1" customHeight="1">
      <c r="A9" s="161" t="str">
        <f>_xlfn.CONCAT(Tableau3[[#This Row],[POD]],"-",Tableau3[[#This Row],[Code PFI]],"-",Tableau3[[#This Row],[Compte Consignee]])</f>
        <v>FRLEH-90016600-91017200</v>
      </c>
      <c r="B9" s="161" t="str">
        <f>_xlfn.CONCAT(Tableau3[[#This Row],[POD]],"-",Tableau3[[#This Row],[Code PFI]])</f>
        <v>FRLEH-90016600</v>
      </c>
      <c r="C9" s="169" t="str">
        <f>IF(Tableau3[[#This Row],[Name PFI/CDD]]="",_xlfn.CONCAT(Tableau3[[#This Row],[POD]],"-",Tableau3[[#This Row],[Compte Consignee]]),"-")</f>
        <v>-</v>
      </c>
      <c r="D9" s="170" t="str">
        <f>_xlfn.CONCAT(Tableau3[[#This Row],[Code PFI]],"-",Tableau3[[#This Row],[Compte Consignee]])</f>
        <v>90016600-91017200</v>
      </c>
      <c r="E9" s="171" t="s">
        <v>505</v>
      </c>
      <c r="F9" s="172">
        <v>2</v>
      </c>
      <c r="G9" s="166" t="s">
        <v>153</v>
      </c>
      <c r="H9" s="490">
        <f>IF(Tableau3[[#This Row],[Name PFI/CDD]]&lt;&gt;"",VLOOKUP(Tableau3[[#This Row],[Name PFI/CDD]],Plant_AILN!I:J,2,FALSE),"-")</f>
        <v>90016600</v>
      </c>
      <c r="I9" s="167" t="str">
        <f>IF(Tableau3[[#This Row],[Code PFI]]="-","Direct","PFI/CDD")</f>
        <v>PFI/CDD</v>
      </c>
      <c r="J9" s="60">
        <f>IFERROR(IF(Tableau3[[#This Row],[type PFI/CDD]]="Direct",0,VLOOKUP(Tableau3[[#This Row],[Clé(POD-PFI)]],Transport!G:K,5,FALSE)),"")</f>
        <v>2</v>
      </c>
      <c r="K9" s="4" t="str">
        <f>VLOOKUP(Tableau3[[#This Row],[Name Consignee]],Tableau10[],4,FALSE)</f>
        <v>SPAIN</v>
      </c>
      <c r="L9" s="7" t="s">
        <v>175</v>
      </c>
      <c r="M9" s="490">
        <f>VLOOKUP(Tableau3[[#This Row],[Name Consignee]],Tableau10[],3,FALSE)</f>
        <v>91017200</v>
      </c>
      <c r="N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0" spans="1:14" ht="14.1" customHeight="1">
      <c r="A10" s="161" t="str">
        <f>_xlfn.CONCAT(Tableau3[[#This Row],[POD]],"-",Tableau3[[#This Row],[Code PFI]],"-",Tableau3[[#This Row],[Compte Consignee]])</f>
        <v>FRLEH-90016600-90017100</v>
      </c>
      <c r="B10" s="161" t="str">
        <f>_xlfn.CONCAT(Tableau3[[#This Row],[POD]],"-",Tableau3[[#This Row],[Code PFI]])</f>
        <v>FRLEH-90016600</v>
      </c>
      <c r="C10" s="169" t="str">
        <f>IF(Tableau3[[#This Row],[Name PFI/CDD]]="",_xlfn.CONCAT(Tableau3[[#This Row],[POD]],"-",Tableau3[[#This Row],[Compte Consignee]]),"-")</f>
        <v>-</v>
      </c>
      <c r="D10" s="170" t="str">
        <f>_xlfn.CONCAT(Tableau3[[#This Row],[Code PFI]],"-",Tableau3[[#This Row],[Compte Consignee]])</f>
        <v>90016600-90017100</v>
      </c>
      <c r="E10" s="171" t="s">
        <v>505</v>
      </c>
      <c r="F10" s="165">
        <v>3</v>
      </c>
      <c r="G10" s="166" t="s">
        <v>153</v>
      </c>
      <c r="H10" s="490">
        <f>IF(Tableau3[[#This Row],[Name PFI/CDD]]&lt;&gt;"",VLOOKUP(Tableau3[[#This Row],[Name PFI/CDD]],Plant_AILN!I:J,2,FALSE),"-")</f>
        <v>90016600</v>
      </c>
      <c r="I10" s="167" t="str">
        <f>IF(Tableau3[[#This Row],[Code PFI]]="-","Direct","PFI/CDD")</f>
        <v>PFI/CDD</v>
      </c>
      <c r="J10" s="60">
        <f>IFERROR(IF(Tableau3[[#This Row],[type PFI/CDD]]="Direct",0,VLOOKUP(Tableau3[[#This Row],[Clé(POD-PFI)]],Transport!G:K,5,FALSE)),"")</f>
        <v>2</v>
      </c>
      <c r="K10" s="4" t="str">
        <f>VLOOKUP(Tableau3[[#This Row],[Name Consignee]],Tableau10[],4,FALSE)</f>
        <v>FRANCE</v>
      </c>
      <c r="L10" s="7" t="s">
        <v>201</v>
      </c>
      <c r="M10" s="490">
        <f>VLOOKUP(Tableau3[[#This Row],[Name Consignee]],Tableau10[],3,FALSE)</f>
        <v>90017100</v>
      </c>
      <c r="N10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11" spans="1:14" ht="14.1" customHeight="1">
      <c r="A11" s="161" t="str">
        <f>_xlfn.CONCAT(Tableau3[[#This Row],[POD]],"-",Tableau3[[#This Row],[Code PFI]],"-",Tableau3[[#This Row],[Compte Consignee]])</f>
        <v>FRLEH-90016600-91017500</v>
      </c>
      <c r="B11" s="161" t="str">
        <f>_xlfn.CONCAT(Tableau3[[#This Row],[POD]],"-",Tableau3[[#This Row],[Code PFI]])</f>
        <v>FRLEH-90016600</v>
      </c>
      <c r="C11" s="169" t="str">
        <f>IF(Tableau3[[#This Row],[Name PFI/CDD]]="",_xlfn.CONCAT(Tableau3[[#This Row],[POD]],"-",Tableau3[[#This Row],[Compte Consignee]]),"-")</f>
        <v>-</v>
      </c>
      <c r="D11" s="170" t="str">
        <f>_xlfn.CONCAT(Tableau3[[#This Row],[Code PFI]],"-",Tableau3[[#This Row],[Compte Consignee]])</f>
        <v>90016600-91017500</v>
      </c>
      <c r="E11" s="171" t="s">
        <v>505</v>
      </c>
      <c r="F11" s="172">
        <v>5</v>
      </c>
      <c r="G11" s="166" t="s">
        <v>153</v>
      </c>
      <c r="H11" s="490">
        <f>IF(Tableau3[[#This Row],[Name PFI/CDD]]&lt;&gt;"",VLOOKUP(Tableau3[[#This Row],[Name PFI/CDD]],Plant_AILN!I:J,2,FALSE),"-")</f>
        <v>90016600</v>
      </c>
      <c r="I11" s="167" t="str">
        <f>IF(Tableau3[[#This Row],[Code PFI]]="-","Direct","PFI/CDD")</f>
        <v>PFI/CDD</v>
      </c>
      <c r="J11" s="60">
        <f>IFERROR(IF(Tableau3[[#This Row],[type PFI/CDD]]="Direct",0,VLOOKUP(Tableau3[[#This Row],[Clé(POD-PFI)]],Transport!G:K,5,FALSE)),"")</f>
        <v>2</v>
      </c>
      <c r="K11" s="4" t="str">
        <f>VLOOKUP(Tableau3[[#This Row],[Name Consignee]],Tableau10[],4,FALSE)</f>
        <v>SPAIN</v>
      </c>
      <c r="L11" s="7" t="s">
        <v>162</v>
      </c>
      <c r="M11" s="490">
        <f>VLOOKUP(Tableau3[[#This Row],[Name Consignee]],Tableau10[],3,FALSE)</f>
        <v>91017500</v>
      </c>
      <c r="N11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2" spans="1:14" ht="14.1" customHeight="1">
      <c r="A12" s="161" t="str">
        <f>_xlfn.CONCAT(Tableau3[[#This Row],[POD]],"-",Tableau3[[#This Row],[Code PFI]],"-",Tableau3[[#This Row],[Compte Consignee]])</f>
        <v>FRLEH-90016600-90016900</v>
      </c>
      <c r="B12" s="161" t="str">
        <f>_xlfn.CONCAT(Tableau3[[#This Row],[POD]],"-",Tableau3[[#This Row],[Code PFI]])</f>
        <v>FRLEH-90016600</v>
      </c>
      <c r="C12" s="169" t="str">
        <f>IF(Tableau3[[#This Row],[Name PFI/CDD]]="",_xlfn.CONCAT(Tableau3[[#This Row],[POD]],"-",Tableau3[[#This Row],[Compte Consignee]]),"-")</f>
        <v>-</v>
      </c>
      <c r="D12" s="170" t="str">
        <f>_xlfn.CONCAT(Tableau3[[#This Row],[Code PFI]],"-",Tableau3[[#This Row],[Compte Consignee]])</f>
        <v>90016600-90016900</v>
      </c>
      <c r="E12" s="171" t="s">
        <v>505</v>
      </c>
      <c r="F12" s="165">
        <v>3</v>
      </c>
      <c r="G12" s="166" t="s">
        <v>153</v>
      </c>
      <c r="H12" s="490">
        <f>IF(Tableau3[[#This Row],[Name PFI/CDD]]&lt;&gt;"",VLOOKUP(Tableau3[[#This Row],[Name PFI/CDD]],Plant_AILN!I:J,2,FALSE),"-")</f>
        <v>90016600</v>
      </c>
      <c r="I12" s="167" t="str">
        <f>IF(Tableau3[[#This Row],[Code PFI]]="-","Direct","PFI/CDD")</f>
        <v>PFI/CDD</v>
      </c>
      <c r="J12" s="60">
        <f>IFERROR(IF(Tableau3[[#This Row],[type PFI/CDD]]="Direct",0,VLOOKUP(Tableau3[[#This Row],[Clé(POD-PFI)]],Transport!G:K,5,FALSE)),"")</f>
        <v>2</v>
      </c>
      <c r="K12" s="4" t="str">
        <f>VLOOKUP(Tableau3[[#This Row],[Name Consignee]],Tableau10[],4,FALSE)</f>
        <v>FRANCE</v>
      </c>
      <c r="L12" s="7" t="s">
        <v>152</v>
      </c>
      <c r="M12" s="490">
        <f>VLOOKUP(Tableau3[[#This Row],[Name Consignee]],Tableau10[],3,FALSE)</f>
        <v>90016900</v>
      </c>
      <c r="N12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13" spans="1:14" ht="14.1" customHeight="1">
      <c r="A13" s="161" t="str">
        <f>_xlfn.CONCAT(Tableau3[[#This Row],[POD]],"-",Tableau3[[#This Row],[Code PFI]],"-",Tableau3[[#This Row],[Compte Consignee]])</f>
        <v>FRLEH-90016600-90018400</v>
      </c>
      <c r="B13" s="161" t="str">
        <f>_xlfn.CONCAT(Tableau3[[#This Row],[POD]],"-",Tableau3[[#This Row],[Code PFI]])</f>
        <v>FRLEH-90016600</v>
      </c>
      <c r="C13" s="169" t="str">
        <f>IF(Tableau3[[#This Row],[Name PFI/CDD]]="",_xlfn.CONCAT(Tableau3[[#This Row],[POD]],"-",Tableau3[[#This Row],[Compte Consignee]]),"-")</f>
        <v>-</v>
      </c>
      <c r="D13" s="170" t="str">
        <f>_xlfn.CONCAT(Tableau3[[#This Row],[Code PFI]],"-",Tableau3[[#This Row],[Compte Consignee]])</f>
        <v>90016600-90018400</v>
      </c>
      <c r="E13" s="171" t="s">
        <v>505</v>
      </c>
      <c r="F13" s="165">
        <v>3</v>
      </c>
      <c r="G13" s="166" t="s">
        <v>153</v>
      </c>
      <c r="H13" s="490">
        <f>IF(Tableau3[[#This Row],[Name PFI/CDD]]&lt;&gt;"",VLOOKUP(Tableau3[[#This Row],[Name PFI/CDD]],Plant_AILN!I:J,2,FALSE),"-")</f>
        <v>90016600</v>
      </c>
      <c r="I13" s="167" t="str">
        <f>IF(Tableau3[[#This Row],[Code PFI]]="-","Direct","PFI/CDD")</f>
        <v>PFI/CDD</v>
      </c>
      <c r="J13" s="60">
        <f>IFERROR(IF(Tableau3[[#This Row],[type PFI/CDD]]="Direct",0,VLOOKUP(Tableau3[[#This Row],[Clé(POD-PFI)]],Transport!G:K,5,FALSE)),"")</f>
        <v>2</v>
      </c>
      <c r="K13" s="4" t="str">
        <f>VLOOKUP(Tableau3[[#This Row],[Name Consignee]],Tableau10[],4,FALSE)</f>
        <v>FRANCE</v>
      </c>
      <c r="L13" s="7" t="s">
        <v>397</v>
      </c>
      <c r="M13" s="490">
        <f>VLOOKUP(Tableau3[[#This Row],[Name Consignee]],Tableau10[],3,FALSE)</f>
        <v>90018400</v>
      </c>
      <c r="N13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4" spans="1:14" ht="14.1" customHeight="1">
      <c r="A14" s="161" t="str">
        <f>_xlfn.CONCAT(Tableau3[[#This Row],[POD]],"-",Tableau3[[#This Row],[Code PFI]],"-",Tableau3[[#This Row],[Compte Consignee]])</f>
        <v>FRLEH-90016600-91017300</v>
      </c>
      <c r="B14" s="161" t="str">
        <f>_xlfn.CONCAT(Tableau3[[#This Row],[POD]],"-",Tableau3[[#This Row],[Code PFI]])</f>
        <v>FRLEH-90016600</v>
      </c>
      <c r="C14" s="169" t="str">
        <f>IF(Tableau3[[#This Row],[Name PFI/CDD]]="",_xlfn.CONCAT(Tableau3[[#This Row],[POD]],"-",Tableau3[[#This Row],[Compte Consignee]]),"-")</f>
        <v>-</v>
      </c>
      <c r="D14" s="170" t="str">
        <f>_xlfn.CONCAT(Tableau3[[#This Row],[Code PFI]],"-",Tableau3[[#This Row],[Compte Consignee]])</f>
        <v>90016600-91017300</v>
      </c>
      <c r="E14" s="171" t="s">
        <v>505</v>
      </c>
      <c r="F14" s="172">
        <v>2</v>
      </c>
      <c r="G14" s="166" t="s">
        <v>153</v>
      </c>
      <c r="H14" s="490">
        <f>IF(Tableau3[[#This Row],[Name PFI/CDD]]&lt;&gt;"",VLOOKUP(Tableau3[[#This Row],[Name PFI/CDD]],Plant_AILN!I:J,2,FALSE),"-")</f>
        <v>90016600</v>
      </c>
      <c r="I14" s="167" t="str">
        <f>IF(Tableau3[[#This Row],[Code PFI]]="-","Direct","PFI/CDD")</f>
        <v>PFI/CDD</v>
      </c>
      <c r="J14" s="60">
        <f>IFERROR(IF(Tableau3[[#This Row],[type PFI/CDD]]="Direct",0,VLOOKUP(Tableau3[[#This Row],[Clé(POD-PFI)]],Transport!G:K,5,FALSE)),"")</f>
        <v>2</v>
      </c>
      <c r="K14" s="4" t="str">
        <f>VLOOKUP(Tableau3[[#This Row],[Name Consignee]],Tableau10[],4,FALSE)</f>
        <v>SPAIN</v>
      </c>
      <c r="L14" s="7" t="s">
        <v>172</v>
      </c>
      <c r="M14" s="490">
        <f>VLOOKUP(Tableau3[[#This Row],[Name Consignee]],Tableau10[],3,FALSE)</f>
        <v>91017300</v>
      </c>
      <c r="N14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15" spans="1:14" ht="14.1" customHeight="1">
      <c r="A15" s="161" t="str">
        <f>_xlfn.CONCAT(Tableau3[[#This Row],[POD]],"-",Tableau3[[#This Row],[Code PFI]],"-",Tableau3[[#This Row],[Compte Consignee]])</f>
        <v>ESVLC-91018400-91017300</v>
      </c>
      <c r="B15" s="161" t="str">
        <f>_xlfn.CONCAT(Tableau3[[#This Row],[POD]],"-",Tableau3[[#This Row],[Code PFI]])</f>
        <v>ESVLC-91018400</v>
      </c>
      <c r="C15" s="173" t="str">
        <f>IF(Tableau3[[#This Row],[Name PFI/CDD]]="",_xlfn.CONCAT(Tableau3[[#This Row],[POD]],"-",Tableau3[[#This Row],[Compte Consignee]]),"-")</f>
        <v>-</v>
      </c>
      <c r="D15" s="170" t="str">
        <f>_xlfn.CONCAT(Tableau3[[#This Row],[Code PFI]],"-",Tableau3[[#This Row],[Compte Consignee]])</f>
        <v>91018400-91017300</v>
      </c>
      <c r="E15" s="171" t="s">
        <v>492</v>
      </c>
      <c r="F15" s="172">
        <v>2</v>
      </c>
      <c r="G15" s="166" t="s">
        <v>166</v>
      </c>
      <c r="H15" s="490">
        <f>IF(Tableau3[[#This Row],[Name PFI/CDD]]&lt;&gt;"",VLOOKUP(Tableau3[[#This Row],[Name PFI/CDD]],Plant_AILN!I:J,2,FALSE),"-")</f>
        <v>91018400</v>
      </c>
      <c r="I15" s="167" t="str">
        <f>IF(Tableau3[[#This Row],[Code PFI]]="-","Direct","PFI/CDD")</f>
        <v>PFI/CDD</v>
      </c>
      <c r="J15" s="60">
        <f>IFERROR(IF(Tableau3[[#This Row],[type PFI/CDD]]="Direct",0,VLOOKUP(Tableau3[[#This Row],[Clé(POD-PFI)]],Transport!G:K,5,FALSE)),"")</f>
        <v>3</v>
      </c>
      <c r="K15" s="4" t="str">
        <f>VLOOKUP(Tableau3[[#This Row],[Name Consignee]],Tableau10[],4,FALSE)</f>
        <v>SPAIN</v>
      </c>
      <c r="L15" s="7" t="s">
        <v>172</v>
      </c>
      <c r="M15" s="490">
        <f>VLOOKUP(Tableau3[[#This Row],[Name Consignee]],Tableau10[],3,FALSE)</f>
        <v>91017300</v>
      </c>
      <c r="N15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16" spans="1:14" ht="14.1" customHeight="1">
      <c r="A16" s="161" t="str">
        <f>_xlfn.CONCAT(Tableau3[[#This Row],[POD]],"-",Tableau3[[#This Row],[Code PFI]],"-",Tableau3[[#This Row],[Compte Consignee]])</f>
        <v>ROCND-2839004-90012500</v>
      </c>
      <c r="B16" s="161" t="str">
        <f>_xlfn.CONCAT(Tableau3[[#This Row],[POD]],"-",Tableau3[[#This Row],[Code PFI]])</f>
        <v>ROCND-2839004</v>
      </c>
      <c r="C16" s="174" t="str">
        <f>IF(Tableau3[[#This Row],[Name PFI/CDD]]="",_xlfn.CONCAT(Tableau3[[#This Row],[POD]],"-",Tableau3[[#This Row],[Compte Consignee]]),"-")</f>
        <v>-</v>
      </c>
      <c r="D16" s="175" t="str">
        <f>_xlfn.CONCAT(Tableau3[[#This Row],[Code PFI]],"-",Tableau3[[#This Row],[Compte Consignee]])</f>
        <v>2839004-90012500</v>
      </c>
      <c r="E16" s="176" t="s">
        <v>484</v>
      </c>
      <c r="F16" s="177">
        <v>1</v>
      </c>
      <c r="G16" s="178" t="s">
        <v>158</v>
      </c>
      <c r="H16" s="528">
        <f>IF(Tableau3[[#This Row],[Name PFI/CDD]]&lt;&gt;"",VLOOKUP(Tableau3[[#This Row],[Name PFI/CDD]],Plant_AILN!I:J,2,FALSE),"-")</f>
        <v>2839004</v>
      </c>
      <c r="I16" s="167" t="str">
        <f>IF(Tableau3[[#This Row],[Code PFI]]="-","Direct","PFI/CDD")</f>
        <v>PFI/CDD</v>
      </c>
      <c r="J16" s="60">
        <f>IFERROR(IF(Tableau3[[#This Row],[type PFI/CDD]]="Direct",0,VLOOKUP(Tableau3[[#This Row],[Clé(POD-PFI)]],Transport!G:K,5,FALSE)),"")</f>
        <v>7</v>
      </c>
      <c r="K16" s="4" t="str">
        <f>VLOOKUP(Tableau3[[#This Row],[Name Consignee]],Tableau10[],4,FALSE)</f>
        <v>ROMANIA</v>
      </c>
      <c r="L16" s="180" t="s">
        <v>156</v>
      </c>
      <c r="M16" s="528">
        <f>VLOOKUP(Tableau3[[#This Row],[Name Consignee]],Tableau10[],3,FALSE)</f>
        <v>90012500</v>
      </c>
      <c r="N16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7" spans="1:14" ht="14.1" customHeight="1">
      <c r="A17" s="161" t="str">
        <f>_xlfn.CONCAT(Tableau3[[#This Row],[POD]],"-",Tableau3[[#This Row],[Code PFI]],"-",Tableau3[[#This Row],[Compte Consignee]])</f>
        <v>ROCND-2839004-90012300</v>
      </c>
      <c r="B17" s="161" t="str">
        <f>_xlfn.CONCAT(Tableau3[[#This Row],[POD]],"-",Tableau3[[#This Row],[Code PFI]])</f>
        <v>ROCND-2839004</v>
      </c>
      <c r="C17" s="174" t="str">
        <f>IF(Tableau3[[#This Row],[Name PFI/CDD]]="",_xlfn.CONCAT(Tableau3[[#This Row],[POD]],"-",Tableau3[[#This Row],[Compte Consignee]]),"-")</f>
        <v>-</v>
      </c>
      <c r="D17" s="175" t="str">
        <f>_xlfn.CONCAT(Tableau3[[#This Row],[Code PFI]],"-",Tableau3[[#This Row],[Compte Consignee]])</f>
        <v>2839004-90012300</v>
      </c>
      <c r="E17" s="176" t="s">
        <v>484</v>
      </c>
      <c r="F17" s="177">
        <v>1</v>
      </c>
      <c r="G17" s="178" t="s">
        <v>158</v>
      </c>
      <c r="H17" s="528">
        <f>IF(Tableau3[[#This Row],[Name PFI/CDD]]&lt;&gt;"",VLOOKUP(Tableau3[[#This Row],[Name PFI/CDD]],Plant_AILN!I:J,2,FALSE),"-")</f>
        <v>2839004</v>
      </c>
      <c r="I17" s="167" t="str">
        <f>IF(Tableau3[[#This Row],[Code PFI]]="-","Direct","PFI/CDD")</f>
        <v>PFI/CDD</v>
      </c>
      <c r="J17" s="60">
        <f>IFERROR(IF(Tableau3[[#This Row],[type PFI/CDD]]="Direct",0,VLOOKUP(Tableau3[[#This Row],[Clé(POD-PFI)]],Transport!G:K,5,FALSE)),"")</f>
        <v>7</v>
      </c>
      <c r="K17" s="4" t="str">
        <f>VLOOKUP(Tableau3[[#This Row],[Name Consignee]],Tableau10[],4,FALSE)</f>
        <v>ROMANIA</v>
      </c>
      <c r="L17" s="180" t="s">
        <v>215</v>
      </c>
      <c r="M17" s="528">
        <f>VLOOKUP(Tableau3[[#This Row],[Name Consignee]],Tableau10[],3,FALSE)</f>
        <v>90012300</v>
      </c>
      <c r="N17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8" spans="1:14" ht="14.1" customHeight="1">
      <c r="A18" s="161" t="str">
        <f>_xlfn.CONCAT(Tableau3[[#This Row],[POD]],"-",Tableau3[[#This Row],[Code PFI]],"-",Tableau3[[#This Row],[Compte Consignee]])</f>
        <v>ROCND-2839004-90016800</v>
      </c>
      <c r="B18" s="161" t="str">
        <f>_xlfn.CONCAT(Tableau3[[#This Row],[POD]],"-",Tableau3[[#This Row],[Code PFI]])</f>
        <v>ROCND-2839004</v>
      </c>
      <c r="C18" s="174" t="str">
        <f>IF(Tableau3[[#This Row],[Name PFI/CDD]]="",_xlfn.CONCAT(Tableau3[[#This Row],[POD]],"-",Tableau3[[#This Row],[Compte Consignee]]),"-")</f>
        <v>-</v>
      </c>
      <c r="D18" s="175" t="str">
        <f>_xlfn.CONCAT(Tableau3[[#This Row],[Code PFI]],"-",Tableau3[[#This Row],[Compte Consignee]])</f>
        <v>2839004-90016800</v>
      </c>
      <c r="E18" s="176" t="s">
        <v>484</v>
      </c>
      <c r="F18" s="177">
        <v>1</v>
      </c>
      <c r="G18" s="178" t="s">
        <v>158</v>
      </c>
      <c r="H18" s="528">
        <f>IF(Tableau3[[#This Row],[Name PFI/CDD]]&lt;&gt;"",VLOOKUP(Tableau3[[#This Row],[Name PFI/CDD]],Plant_AILN!I:J,2,FALSE),"-")</f>
        <v>2839004</v>
      </c>
      <c r="I18" s="167" t="str">
        <f>IF(Tableau3[[#This Row],[Code PFI]]="-","Direct","PFI/CDD")</f>
        <v>PFI/CDD</v>
      </c>
      <c r="J18" s="60">
        <f>IFERROR(IF(Tableau3[[#This Row],[type PFI/CDD]]="Direct",0,VLOOKUP(Tableau3[[#This Row],[Clé(POD-PFI)]],Transport!G:K,5,FALSE)),"")</f>
        <v>7</v>
      </c>
      <c r="K18" s="4" t="str">
        <f>VLOOKUP(Tableau3[[#This Row],[Name Consignee]],Tableau10[],4,FALSE)</f>
        <v>ROMANIA</v>
      </c>
      <c r="L18" s="179" t="s">
        <v>180</v>
      </c>
      <c r="M18" s="528">
        <f>VLOOKUP(Tableau3[[#This Row],[Name Consignee]],Tableau10[],3,FALSE)</f>
        <v>90016800</v>
      </c>
      <c r="N18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9" spans="1:14" ht="14.1" customHeight="1">
      <c r="A19" s="161" t="str">
        <f>_xlfn.CONCAT(Tableau3[[#This Row],[POD]],"-",Tableau3[[#This Row],[Code PFI]],"-",Tableau3[[#This Row],[Compte Consignee]])</f>
        <v>FRLEH-90016600-90018300</v>
      </c>
      <c r="B19" s="161" t="str">
        <f>_xlfn.CONCAT(Tableau3[[#This Row],[POD]],"-",Tableau3[[#This Row],[Code PFI]])</f>
        <v>FRLEH-90016600</v>
      </c>
      <c r="C19" s="173" t="str">
        <f>IF(Tableau3[[#This Row],[Name PFI/CDD]]="",_xlfn.CONCAT(Tableau3[[#This Row],[POD]],"-",Tableau3[[#This Row],[Compte Consignee]]),"-")</f>
        <v>-</v>
      </c>
      <c r="D19" s="170" t="str">
        <f>_xlfn.CONCAT(Tableau3[[#This Row],[Code PFI]],"-",Tableau3[[#This Row],[Compte Consignee]])</f>
        <v>90016600-90018300</v>
      </c>
      <c r="E19" s="171" t="s">
        <v>505</v>
      </c>
      <c r="F19" s="165">
        <v>3</v>
      </c>
      <c r="G19" s="166" t="s">
        <v>217</v>
      </c>
      <c r="H19" s="490">
        <f>IF(Tableau3[[#This Row],[Name PFI/CDD]]&lt;&gt;"",VLOOKUP(Tableau3[[#This Row],[Name PFI/CDD]],Plant_AILN!I:J,2,FALSE),"-")</f>
        <v>90016600</v>
      </c>
      <c r="I19" s="167" t="str">
        <f>IF(Tableau3[[#This Row],[Code PFI]]="-","Direct","PFI/CDD")</f>
        <v>PFI/CDD</v>
      </c>
      <c r="J19" s="60">
        <f>IFERROR(IF(Tableau3[[#This Row],[type PFI/CDD]]="Direct",0,VLOOKUP(Tableau3[[#This Row],[Clé(POD-PFI)]],Transport!G:K,5,FALSE)),"")</f>
        <v>2</v>
      </c>
      <c r="K19" s="4" t="str">
        <f>VLOOKUP(Tableau3[[#This Row],[Name Consignee]],Tableau10[],4,FALSE)</f>
        <v>FRANCE</v>
      </c>
      <c r="L19" s="7" t="s">
        <v>186</v>
      </c>
      <c r="M19" s="490">
        <f>VLOOKUP(Tableau3[[#This Row],[Name Consignee]],Tableau10[],3,FALSE)</f>
        <v>90018300</v>
      </c>
      <c r="N1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0" spans="1:14" ht="14.1" customHeight="1">
      <c r="A20" s="161" t="str">
        <f>_xlfn.CONCAT(Tableau3[[#This Row],[POD]],"-",Tableau3[[#This Row],[Code PFI]],"-",Tableau3[[#This Row],[Compte Consignee]])</f>
        <v>FRLEH-90016600-90016500</v>
      </c>
      <c r="B20" s="161" t="str">
        <f>_xlfn.CONCAT(Tableau3[[#This Row],[POD]],"-",Tableau3[[#This Row],[Code PFI]])</f>
        <v>FRLEH-90016600</v>
      </c>
      <c r="C20" s="169" t="str">
        <f>IF(Tableau3[[#This Row],[Name PFI/CDD]]="",_xlfn.CONCAT(Tableau3[[#This Row],[POD]],"-",Tableau3[[#This Row],[Compte Consignee]]),"-")</f>
        <v>-</v>
      </c>
      <c r="D20" s="170" t="str">
        <f>_xlfn.CONCAT(Tableau3[[#This Row],[Code PFI]],"-",Tableau3[[#This Row],[Compte Consignee]])</f>
        <v>90016600-90016500</v>
      </c>
      <c r="E20" s="171" t="s">
        <v>505</v>
      </c>
      <c r="F20" s="172">
        <v>3</v>
      </c>
      <c r="G20" s="166" t="s">
        <v>217</v>
      </c>
      <c r="H20" s="490">
        <f>IF(Tableau3[[#This Row],[Name PFI/CDD]]&lt;&gt;"",VLOOKUP(Tableau3[[#This Row],[Name PFI/CDD]],Plant_AILN!I:J,2,FALSE),"-")</f>
        <v>90016600</v>
      </c>
      <c r="I20" s="167" t="str">
        <f>IF(Tableau3[[#This Row],[Code PFI]]="-","Direct","PFI/CDD")</f>
        <v>PFI/CDD</v>
      </c>
      <c r="J20" s="60">
        <f>IFERROR(IF(Tableau3[[#This Row],[type PFI/CDD]]="Direct",0,VLOOKUP(Tableau3[[#This Row],[Clé(POD-PFI)]],Transport!G:K,5,FALSE)),"")</f>
        <v>2</v>
      </c>
      <c r="K20" s="4" t="str">
        <f>VLOOKUP(Tableau3[[#This Row],[Name Consignee]],Tableau10[],4,FALSE)</f>
        <v>PORTUGAL</v>
      </c>
      <c r="L20" s="7" t="s">
        <v>160</v>
      </c>
      <c r="M20" s="490">
        <f>VLOOKUP(Tableau3[[#This Row],[Name Consignee]],Tableau10[],3,FALSE)</f>
        <v>90016500</v>
      </c>
      <c r="N20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21" spans="1:14" ht="14.1" customHeight="1">
      <c r="A21" s="161" t="str">
        <f>_xlfn.CONCAT(Tableau3[[#This Row],[POD]],"-",Tableau3[[#This Row],[Code PFI]],"-",Tableau3[[#This Row],[Compte Consignee]])</f>
        <v>FRLEH-90016600-92000100</v>
      </c>
      <c r="B21" s="161" t="str">
        <f>_xlfn.CONCAT(Tableau3[[#This Row],[POD]],"-",Tableau3[[#This Row],[Code PFI]])</f>
        <v>FRLEH-90016600</v>
      </c>
      <c r="C21" s="169" t="str">
        <f>IF(Tableau3[[#This Row],[Name PFI/CDD]]="",_xlfn.CONCAT(Tableau3[[#This Row],[POD]],"-",Tableau3[[#This Row],[Compte Consignee]]),"-")</f>
        <v>-</v>
      </c>
      <c r="D21" s="170" t="str">
        <f>_xlfn.CONCAT(Tableau3[[#This Row],[Code PFI]],"-",Tableau3[[#This Row],[Compte Consignee]])</f>
        <v>90016600-92000100</v>
      </c>
      <c r="E21" s="171" t="s">
        <v>505</v>
      </c>
      <c r="F21" s="165">
        <v>3</v>
      </c>
      <c r="G21" s="166" t="s">
        <v>217</v>
      </c>
      <c r="H21" s="490">
        <f>IF(Tableau3[[#This Row],[Name PFI/CDD]]&lt;&gt;"",VLOOKUP(Tableau3[[#This Row],[Name PFI/CDD]],Plant_AILN!I:J,2,FALSE),"-")</f>
        <v>90016600</v>
      </c>
      <c r="I21" s="167" t="str">
        <f>IF(Tableau3[[#This Row],[Code PFI]]="-","Direct","PFI/CDD")</f>
        <v>PFI/CDD</v>
      </c>
      <c r="J21" s="60">
        <f>IFERROR(IF(Tableau3[[#This Row],[type PFI/CDD]]="Direct",0,VLOOKUP(Tableau3[[#This Row],[Clé(POD-PFI)]],Transport!G:K,5,FALSE)),"")</f>
        <v>2</v>
      </c>
      <c r="K21" s="4" t="str">
        <f>VLOOKUP(Tableau3[[#This Row],[Name Consignee]],Tableau10[],4,FALSE)</f>
        <v>FRANCE</v>
      </c>
      <c r="L21" s="7" t="s">
        <v>184</v>
      </c>
      <c r="M21" s="490">
        <f>VLOOKUP(Tableau3[[#This Row],[Name Consignee]],Tableau10[],3,FALSE)</f>
        <v>92000100</v>
      </c>
      <c r="N21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22" spans="1:14" ht="14.1" customHeight="1">
      <c r="A22" s="161" t="str">
        <f>_xlfn.CONCAT(Tableau3[[#This Row],[POD]],"-",Tableau3[[#This Row],[Code PFI]],"-",Tableau3[[#This Row],[Compte Consignee]])</f>
        <v>FRLEH-90016600-90015100</v>
      </c>
      <c r="B22" s="161" t="str">
        <f>_xlfn.CONCAT(Tableau3[[#This Row],[POD]],"-",Tableau3[[#This Row],[Code PFI]])</f>
        <v>FRLEH-90016600</v>
      </c>
      <c r="C22" s="169" t="str">
        <f>IF(Tableau3[[#This Row],[Name PFI/CDD]]="",_xlfn.CONCAT(Tableau3[[#This Row],[POD]],"-",Tableau3[[#This Row],[Compte Consignee]]),"-")</f>
        <v>-</v>
      </c>
      <c r="D22" s="170" t="str">
        <f>_xlfn.CONCAT(Tableau3[[#This Row],[Code PFI]],"-",Tableau3[[#This Row],[Compte Consignee]])</f>
        <v>90016600-90015100</v>
      </c>
      <c r="E22" s="171" t="s">
        <v>505</v>
      </c>
      <c r="F22" s="165">
        <v>3</v>
      </c>
      <c r="G22" s="166" t="s">
        <v>217</v>
      </c>
      <c r="H22" s="490">
        <f>IF(Tableau3[[#This Row],[Name PFI/CDD]]&lt;&gt;"",VLOOKUP(Tableau3[[#This Row],[Name PFI/CDD]],Plant_AILN!I:J,2,FALSE),"-")</f>
        <v>90016600</v>
      </c>
      <c r="I22" s="167" t="str">
        <f>IF(Tableau3[[#This Row],[Code PFI]]="-","Direct","PFI/CDD")</f>
        <v>PFI/CDD</v>
      </c>
      <c r="J22" s="60">
        <f>IFERROR(IF(Tableau3[[#This Row],[type PFI/CDD]]="Direct",0,VLOOKUP(Tableau3[[#This Row],[Clé(POD-PFI)]],Transport!G:K,5,FALSE)),"")</f>
        <v>2</v>
      </c>
      <c r="K22" s="4" t="str">
        <f>VLOOKUP(Tableau3[[#This Row],[Name Consignee]],Tableau10[],4,FALSE)</f>
        <v>FRANCE</v>
      </c>
      <c r="L22" s="7" t="s">
        <v>187</v>
      </c>
      <c r="M22" s="490">
        <f>VLOOKUP(Tableau3[[#This Row],[Name Consignee]],Tableau10[],3,FALSE)</f>
        <v>90015100</v>
      </c>
      <c r="N22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23" spans="1:14" ht="14.1" customHeight="1">
      <c r="A23" s="161" t="str">
        <f>_xlfn.CONCAT(Tableau3[[#This Row],[POD]],"-",Tableau3[[#This Row],[Code PFI]],"-",Tableau3[[#This Row],[Compte Consignee]])</f>
        <v>FRLEH-90016600-90017000</v>
      </c>
      <c r="B23" s="161" t="str">
        <f>_xlfn.CONCAT(Tableau3[[#This Row],[POD]],"-",Tableau3[[#This Row],[Code PFI]])</f>
        <v>FRLEH-90016600</v>
      </c>
      <c r="C23" s="169" t="str">
        <f>IF(Tableau3[[#This Row],[Name PFI/CDD]]="",_xlfn.CONCAT(Tableau3[[#This Row],[POD]],"-",Tableau3[[#This Row],[Compte Consignee]]),"-")</f>
        <v>-</v>
      </c>
      <c r="D23" s="170" t="str">
        <f>_xlfn.CONCAT(Tableau3[[#This Row],[Code PFI]],"-",Tableau3[[#This Row],[Compte Consignee]])</f>
        <v>90016600-90017000</v>
      </c>
      <c r="E23" s="171" t="s">
        <v>505</v>
      </c>
      <c r="F23" s="172">
        <v>4</v>
      </c>
      <c r="G23" s="166" t="s">
        <v>217</v>
      </c>
      <c r="H23" s="490">
        <f>IF(Tableau3[[#This Row],[Name PFI/CDD]]&lt;&gt;"",VLOOKUP(Tableau3[[#This Row],[Name PFI/CDD]],Plant_AILN!I:J,2,FALSE),"-")</f>
        <v>90016600</v>
      </c>
      <c r="I23" s="167" t="str">
        <f>IF(Tableau3[[#This Row],[Code PFI]]="-","Direct","PFI/CDD")</f>
        <v>PFI/CDD</v>
      </c>
      <c r="J23" s="60">
        <f>IFERROR(IF(Tableau3[[#This Row],[type PFI/CDD]]="Direct",0,VLOOKUP(Tableau3[[#This Row],[Clé(POD-PFI)]],Transport!G:K,5,FALSE)),"")</f>
        <v>2</v>
      </c>
      <c r="K23" s="4" t="str">
        <f>VLOOKUP(Tableau3[[#This Row],[Name Consignee]],Tableau10[],4,FALSE)</f>
        <v>TURKEY</v>
      </c>
      <c r="L23" s="7" t="s">
        <v>167</v>
      </c>
      <c r="M23" s="490">
        <f>VLOOKUP(Tableau3[[#This Row],[Name Consignee]],Tableau10[],3,FALSE)</f>
        <v>90017000</v>
      </c>
      <c r="N23" s="3">
        <f>IFERROR(IF(Tableau3[[#This Row],[type PFI/CDD]]="Direct",VLOOKUP(Tableau3[[#This Row],[Clé(POD-Compte site )]],Transport!A:E,5,FALSE),VLOOKUP(Tableau3[[#This Row],[Clé(PFI-site)]],Transport!M:S,7,FALSE)),"No information")</f>
        <v>10</v>
      </c>
    </row>
    <row r="24" spans="1:14" ht="14.1" customHeight="1">
      <c r="A24" s="161" t="str">
        <f>_xlfn.CONCAT(Tableau3[[#This Row],[POD]],"-",Tableau3[[#This Row],[Code PFI]],"-",Tableau3[[#This Row],[Compte Consignee]])</f>
        <v>FRLEH-90016600-90016700</v>
      </c>
      <c r="B24" s="161" t="str">
        <f>_xlfn.CONCAT(Tableau3[[#This Row],[POD]],"-",Tableau3[[#This Row],[Code PFI]])</f>
        <v>FRLEH-90016600</v>
      </c>
      <c r="C24" s="169" t="str">
        <f>IF(Tableau3[[#This Row],[Name PFI/CDD]]="",_xlfn.CONCAT(Tableau3[[#This Row],[POD]],"-",Tableau3[[#This Row],[Compte Consignee]]),"-")</f>
        <v>-</v>
      </c>
      <c r="D24" s="170" t="str">
        <f>_xlfn.CONCAT(Tableau3[[#This Row],[Code PFI]],"-",Tableau3[[#This Row],[Compte Consignee]])</f>
        <v>90016600-90016700</v>
      </c>
      <c r="E24" s="171" t="s">
        <v>505</v>
      </c>
      <c r="F24" s="172">
        <v>1</v>
      </c>
      <c r="G24" s="166" t="s">
        <v>217</v>
      </c>
      <c r="H24" s="490">
        <f>IF(Tableau3[[#This Row],[Name PFI/CDD]]&lt;&gt;"",VLOOKUP(Tableau3[[#This Row],[Name PFI/CDD]],Plant_AILN!I:J,2,FALSE),"-")</f>
        <v>90016600</v>
      </c>
      <c r="I24" s="167" t="str">
        <f>IF(Tableau3[[#This Row],[Code PFI]]="-","Direct","PFI/CDD")</f>
        <v>PFI/CDD</v>
      </c>
      <c r="J24" s="60">
        <f>IFERROR(IF(Tableau3[[#This Row],[type PFI/CDD]]="Direct",0,VLOOKUP(Tableau3[[#This Row],[Clé(POD-PFI)]],Transport!G:K,5,FALSE)),"")</f>
        <v>2</v>
      </c>
      <c r="K24" s="4" t="str">
        <f>VLOOKUP(Tableau3[[#This Row],[Name Consignee]],Tableau10[],4,FALSE)</f>
        <v>SLOVENIA</v>
      </c>
      <c r="L24" s="7" t="s">
        <v>181</v>
      </c>
      <c r="M24" s="490">
        <f>VLOOKUP(Tableau3[[#This Row],[Name Consignee]],Tableau10[],3,FALSE)</f>
        <v>90016700</v>
      </c>
      <c r="N24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5" spans="1:14" ht="14.1" customHeight="1">
      <c r="A25" s="161" t="str">
        <f>_xlfn.CONCAT(Tableau3[[#This Row],[POD]],"-",Tableau3[[#This Row],[Code PFI]],"-",Tableau3[[#This Row],[Compte Consignee]])</f>
        <v>FRLEH-90016600-90038200</v>
      </c>
      <c r="B25" s="161" t="str">
        <f>_xlfn.CONCAT(Tableau3[[#This Row],[POD]],"-",Tableau3[[#This Row],[Code PFI]])</f>
        <v>FRLEH-90016600</v>
      </c>
      <c r="C25" s="169" t="str">
        <f>IF(Tableau3[[#This Row],[Name PFI/CDD]]="",_xlfn.CONCAT(Tableau3[[#This Row],[POD]],"-",Tableau3[[#This Row],[Compte Consignee]]),"-")</f>
        <v>-</v>
      </c>
      <c r="D25" s="170" t="str">
        <f>_xlfn.CONCAT(Tableau3[[#This Row],[Code PFI]],"-",Tableau3[[#This Row],[Compte Consignee]])</f>
        <v>90016600-90038200</v>
      </c>
      <c r="E25" s="171" t="s">
        <v>505</v>
      </c>
      <c r="F25" s="172">
        <v>1</v>
      </c>
      <c r="G25" s="166" t="s">
        <v>217</v>
      </c>
      <c r="H25" s="490">
        <f>IF(Tableau3[[#This Row],[Name PFI/CDD]]&lt;&gt;"",VLOOKUP(Tableau3[[#This Row],[Name PFI/CDD]],Plant_AILN!I:J,2,FALSE),"-")</f>
        <v>90016600</v>
      </c>
      <c r="I25" s="167" t="str">
        <f>IF(Tableau3[[#This Row],[Code PFI]]="-","Direct","PFI/CDD")</f>
        <v>PFI/CDD</v>
      </c>
      <c r="J25" s="60">
        <f>IFERROR(IF(Tableau3[[#This Row],[type PFI/CDD]]="Direct",0,VLOOKUP(Tableau3[[#This Row],[Clé(POD-PFI)]],Transport!G:K,5,FALSE)),"")</f>
        <v>2</v>
      </c>
      <c r="K25" s="4" t="str">
        <f>VLOOKUP(Tableau3[[#This Row],[Name Consignee]],Tableau10[],4,FALSE)</f>
        <v>MOROCCO</v>
      </c>
      <c r="L25" s="7" t="s">
        <v>178</v>
      </c>
      <c r="M25" s="490">
        <f>VLOOKUP(Tableau3[[#This Row],[Name Consignee]],Tableau10[],3,FALSE)</f>
        <v>90038200</v>
      </c>
      <c r="N25" s="3">
        <f>IFERROR(IF(Tableau3[[#This Row],[type PFI/CDD]]="Direct",VLOOKUP(Tableau3[[#This Row],[Clé(POD-Compte site )]],Transport!A:E,5,FALSE),VLOOKUP(Tableau3[[#This Row],[Clé(PFI-site)]],Transport!M:S,7,FALSE)),"No information")</f>
        <v>11</v>
      </c>
    </row>
    <row r="26" spans="1:14" ht="14.1" customHeight="1">
      <c r="A26" s="161" t="str">
        <f>_xlfn.CONCAT(Tableau3[[#This Row],[POD]],"-",Tableau3[[#This Row],[Code PFI]],"-",Tableau3[[#This Row],[Compte Consignee]])</f>
        <v>FRLEH-90016600-90018400</v>
      </c>
      <c r="B26" s="161" t="str">
        <f>_xlfn.CONCAT(Tableau3[[#This Row],[POD]],"-",Tableau3[[#This Row],[Code PFI]])</f>
        <v>FRLEH-90016600</v>
      </c>
      <c r="C26" s="169" t="str">
        <f>IF(Tableau3[[#This Row],[Name PFI/CDD]]="",_xlfn.CONCAT(Tableau3[[#This Row],[POD]],"-",Tableau3[[#This Row],[Compte Consignee]]),"-")</f>
        <v>-</v>
      </c>
      <c r="D26" s="170" t="str">
        <f>_xlfn.CONCAT(Tableau3[[#This Row],[Code PFI]],"-",Tableau3[[#This Row],[Compte Consignee]])</f>
        <v>90016600-90018400</v>
      </c>
      <c r="E26" s="171" t="s">
        <v>505</v>
      </c>
      <c r="F26" s="165">
        <v>3</v>
      </c>
      <c r="G26" s="166" t="s">
        <v>217</v>
      </c>
      <c r="H26" s="490">
        <f>IF(Tableau3[[#This Row],[Name PFI/CDD]]&lt;&gt;"",VLOOKUP(Tableau3[[#This Row],[Name PFI/CDD]],Plant_AILN!I:J,2,FALSE),"-")</f>
        <v>90016600</v>
      </c>
      <c r="I26" s="167" t="str">
        <f>IF(Tableau3[[#This Row],[Code PFI]]="-","Direct","PFI/CDD")</f>
        <v>PFI/CDD</v>
      </c>
      <c r="J26" s="60">
        <f>IFERROR(IF(Tableau3[[#This Row],[type PFI/CDD]]="Direct",0,VLOOKUP(Tableau3[[#This Row],[Clé(POD-PFI)]],Transport!G:K,5,FALSE)),"")</f>
        <v>2</v>
      </c>
      <c r="K26" s="4" t="str">
        <f>VLOOKUP(Tableau3[[#This Row],[Name Consignee]],Tableau10[],4,FALSE)</f>
        <v>FRANCE</v>
      </c>
      <c r="L26" s="7" t="s">
        <v>397</v>
      </c>
      <c r="M26" s="490">
        <f>VLOOKUP(Tableau3[[#This Row],[Name Consignee]],Tableau10[],3,FALSE)</f>
        <v>90018400</v>
      </c>
      <c r="N26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7" spans="1:14" ht="14.1" customHeight="1">
      <c r="A27" s="161" t="str">
        <f>_xlfn.CONCAT(Tableau3[[#This Row],[POD]],"-",Tableau3[[#This Row],[Code PFI]],"-",Tableau3[[#This Row],[Compte Consignee]])</f>
        <v>FRLEH-90016600-900383</v>
      </c>
      <c r="B27" s="161" t="str">
        <f>_xlfn.CONCAT(Tableau3[[#This Row],[POD]],"-",Tableau3[[#This Row],[Code PFI]])</f>
        <v>FRLEH-90016600</v>
      </c>
      <c r="C27" s="169" t="str">
        <f>IF(Tableau3[[#This Row],[Name PFI/CDD]]="",_xlfn.CONCAT(Tableau3[[#This Row],[POD]],"-",Tableau3[[#This Row],[Compte Consignee]]),"-")</f>
        <v>-</v>
      </c>
      <c r="D27" s="170" t="str">
        <f>_xlfn.CONCAT(Tableau3[[#This Row],[Code PFI]],"-",Tableau3[[#This Row],[Compte Consignee]])</f>
        <v>90016600-900383</v>
      </c>
      <c r="E27" s="171" t="s">
        <v>505</v>
      </c>
      <c r="F27" s="172">
        <v>2</v>
      </c>
      <c r="G27" s="166" t="s">
        <v>217</v>
      </c>
      <c r="H27" s="490">
        <f>IF(Tableau3[[#This Row],[Name PFI/CDD]]&lt;&gt;"",VLOOKUP(Tableau3[[#This Row],[Name PFI/CDD]],Plant_AILN!I:J,2,FALSE),"-")</f>
        <v>90016600</v>
      </c>
      <c r="I27" s="167" t="str">
        <f>IF(Tableau3[[#This Row],[Code PFI]]="-","Direct","PFI/CDD")</f>
        <v>PFI/CDD</v>
      </c>
      <c r="J27" s="60">
        <f>IFERROR(IF(Tableau3[[#This Row],[type PFI/CDD]]="Direct",0,VLOOKUP(Tableau3[[#This Row],[Clé(POD-PFI)]],Transport!G:K,5,FALSE)),"")</f>
        <v>2</v>
      </c>
      <c r="K27" s="4" t="str">
        <f>VLOOKUP(Tableau3[[#This Row],[Name Consignee]],Tableau10[],4,FALSE)</f>
        <v>MOROCCO</v>
      </c>
      <c r="L27" s="7" t="s">
        <v>179</v>
      </c>
      <c r="M27" s="490">
        <f>VLOOKUP(Tableau3[[#This Row],[Name Consignee]],Tableau10[],3,FALSE)</f>
        <v>900383</v>
      </c>
      <c r="N27" s="3">
        <f>IFERROR(IF(Tableau3[[#This Row],[type PFI/CDD]]="Direct",VLOOKUP(Tableau3[[#This Row],[Clé(POD-Compte site )]],Transport!A:E,5,FALSE),VLOOKUP(Tableau3[[#This Row],[Clé(PFI-site)]],Transport!M:S,7,FALSE)),"No information")</f>
        <v>10</v>
      </c>
    </row>
    <row r="28" spans="1:14" ht="14.1" customHeight="1">
      <c r="A28" s="161" t="str">
        <f>_xlfn.CONCAT(Tableau3[[#This Row],[POD]],"-",Tableau3[[#This Row],[Code PFI]],"-",Tableau3[[#This Row],[Compte Consignee]])</f>
        <v>ROCND-2839004-90021000</v>
      </c>
      <c r="B28" s="161" t="str">
        <f>_xlfn.CONCAT(Tableau3[[#This Row],[POD]],"-",Tableau3[[#This Row],[Code PFI]])</f>
        <v>ROCND-2839004</v>
      </c>
      <c r="C28" s="169" t="str">
        <f>IF(Tableau3[[#This Row],[Name PFI/CDD]]="",_xlfn.CONCAT(Tableau3[[#This Row],[POD]],"-",Tableau3[[#This Row],[Compte Consignee]]),"-")</f>
        <v>-</v>
      </c>
      <c r="D28" s="170" t="str">
        <f>_xlfn.CONCAT(Tableau3[[#This Row],[Code PFI]],"-",Tableau3[[#This Row],[Compte Consignee]])</f>
        <v>2839004-90021000</v>
      </c>
      <c r="E28" s="171" t="s">
        <v>484</v>
      </c>
      <c r="F28" s="172">
        <v>10</v>
      </c>
      <c r="G28" s="166" t="s">
        <v>218</v>
      </c>
      <c r="H28" s="490">
        <f>IF(Tableau3[[#This Row],[Name PFI/CDD]]&lt;&gt;"",VLOOKUP(Tableau3[[#This Row],[Name PFI/CDD]],Plant_AILN!I:J,2,FALSE),"-")</f>
        <v>2839004</v>
      </c>
      <c r="I28" s="167" t="str">
        <f>IF(Tableau3[[#This Row],[Code PFI]]="-","Direct","PFI/CDD")</f>
        <v>PFI/CDD</v>
      </c>
      <c r="J28" s="60">
        <f>IFERROR(IF(Tableau3[[#This Row],[type PFI/CDD]]="Direct",0,VLOOKUP(Tableau3[[#This Row],[Clé(POD-PFI)]],Transport!G:K,5,FALSE)),"")</f>
        <v>7</v>
      </c>
      <c r="K28" s="4" t="str">
        <f>VLOOKUP(Tableau3[[#This Row],[Name Consignee]],Tableau10[],4,FALSE)</f>
        <v>ALGERIA</v>
      </c>
      <c r="L28" s="7" t="s">
        <v>203</v>
      </c>
      <c r="M28" s="490">
        <f>VLOOKUP(Tableau3[[#This Row],[Name Consignee]],Tableau10[],3,FALSE)</f>
        <v>90021000</v>
      </c>
      <c r="N28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29" spans="1:14" ht="14.1" customHeight="1">
      <c r="A29" s="161" t="str">
        <f>_xlfn.CONCAT(Tableau3[[#This Row],[POD]],"-",Tableau3[[#This Row],[Code PFI]],"-",Tableau3[[#This Row],[Compte Consignee]])</f>
        <v>ROCND-2839004-90016700</v>
      </c>
      <c r="B29" s="161" t="str">
        <f>_xlfn.CONCAT(Tableau3[[#This Row],[POD]],"-",Tableau3[[#This Row],[Code PFI]])</f>
        <v>ROCND-2839004</v>
      </c>
      <c r="C29" s="169" t="str">
        <f>IF(Tableau3[[#This Row],[Name PFI/CDD]]="",_xlfn.CONCAT(Tableau3[[#This Row],[POD]],"-",Tableau3[[#This Row],[Compte Consignee]]),"-")</f>
        <v>-</v>
      </c>
      <c r="D29" s="170" t="str">
        <f>_xlfn.CONCAT(Tableau3[[#This Row],[Code PFI]],"-",Tableau3[[#This Row],[Compte Consignee]])</f>
        <v>2839004-90016700</v>
      </c>
      <c r="E29" s="171" t="s">
        <v>484</v>
      </c>
      <c r="F29" s="172">
        <v>1</v>
      </c>
      <c r="G29" s="166" t="s">
        <v>218</v>
      </c>
      <c r="H29" s="490">
        <f>IF(Tableau3[[#This Row],[Name PFI/CDD]]&lt;&gt;"",VLOOKUP(Tableau3[[#This Row],[Name PFI/CDD]],Plant_AILN!I:J,2,FALSE),"-")</f>
        <v>2839004</v>
      </c>
      <c r="I29" s="167" t="str">
        <f>IF(Tableau3[[#This Row],[Code PFI]]="-","Direct","PFI/CDD")</f>
        <v>PFI/CDD</v>
      </c>
      <c r="J29" s="60">
        <f>IFERROR(IF(Tableau3[[#This Row],[type PFI/CDD]]="Direct",0,VLOOKUP(Tableau3[[#This Row],[Clé(POD-PFI)]],Transport!G:K,5,FALSE)),"")</f>
        <v>7</v>
      </c>
      <c r="K29" s="4" t="str">
        <f>VLOOKUP(Tableau3[[#This Row],[Name Consignee]],Tableau10[],4,FALSE)</f>
        <v>SLOVENIA</v>
      </c>
      <c r="L29" s="7" t="s">
        <v>181</v>
      </c>
      <c r="M29" s="490">
        <f>VLOOKUP(Tableau3[[#This Row],[Name Consignee]],Tableau10[],3,FALSE)</f>
        <v>90016700</v>
      </c>
      <c r="N29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0" spans="1:14" ht="14.1" customHeight="1">
      <c r="A30" s="161" t="str">
        <f>_xlfn.CONCAT(Tableau3[[#This Row],[POD]],"-",Tableau3[[#This Row],[Code PFI]],"-",Tableau3[[#This Row],[Compte Consignee]])</f>
        <v>ESVLC-91018400-90018300</v>
      </c>
      <c r="B30" s="161" t="str">
        <f>_xlfn.CONCAT(Tableau3[[#This Row],[POD]],"-",Tableau3[[#This Row],[Code PFI]])</f>
        <v>ESVLC-91018400</v>
      </c>
      <c r="C30" s="169" t="str">
        <f>IF(Tableau3[[#This Row],[Name PFI/CDD]]="",_xlfn.CONCAT(Tableau3[[#This Row],[POD]],"-",Tableau3[[#This Row],[Compte Consignee]]),"-")</f>
        <v>-</v>
      </c>
      <c r="D30" s="170" t="str">
        <f>_xlfn.CONCAT(Tableau3[[#This Row],[Code PFI]],"-",Tableau3[[#This Row],[Compte Consignee]])</f>
        <v>91018400-90018300</v>
      </c>
      <c r="E30" s="171" t="s">
        <v>492</v>
      </c>
      <c r="F30" s="172">
        <v>4</v>
      </c>
      <c r="G30" s="166" t="s">
        <v>161</v>
      </c>
      <c r="H30" s="490">
        <f>IF(Tableau3[[#This Row],[Name PFI/CDD]]&lt;&gt;"",VLOOKUP(Tableau3[[#This Row],[Name PFI/CDD]],Plant_AILN!I:J,2,FALSE),"-")</f>
        <v>91018400</v>
      </c>
      <c r="I30" s="167" t="str">
        <f>IF(Tableau3[[#This Row],[Code PFI]]="-","Direct","PFI/CDD")</f>
        <v>PFI/CDD</v>
      </c>
      <c r="J30" s="60">
        <f>IFERROR(IF(Tableau3[[#This Row],[type PFI/CDD]]="Direct",0,VLOOKUP(Tableau3[[#This Row],[Clé(POD-PFI)]],Transport!G:K,5,FALSE)),"")</f>
        <v>3</v>
      </c>
      <c r="K30" s="4" t="str">
        <f>VLOOKUP(Tableau3[[#This Row],[Name Consignee]],Tableau10[],4,FALSE)</f>
        <v>FRANCE</v>
      </c>
      <c r="L30" s="7" t="s">
        <v>186</v>
      </c>
      <c r="M30" s="490">
        <f>VLOOKUP(Tableau3[[#This Row],[Name Consignee]],Tableau10[],3,FALSE)</f>
        <v>90018300</v>
      </c>
      <c r="N30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1" spans="1:14" ht="14.1" customHeight="1">
      <c r="A31" s="161" t="str">
        <f>_xlfn.CONCAT(Tableau3[[#This Row],[POD]],"-",Tableau3[[#This Row],[Code PFI]],"-",Tableau3[[#This Row],[Compte Consignee]])</f>
        <v>ESVLC-91018400-90016500</v>
      </c>
      <c r="B31" s="161" t="str">
        <f>_xlfn.CONCAT(Tableau3[[#This Row],[POD]],"-",Tableau3[[#This Row],[Code PFI]])</f>
        <v>ESVLC-91018400</v>
      </c>
      <c r="C31" s="169" t="str">
        <f>IF(Tableau3[[#This Row],[Name PFI/CDD]]="",_xlfn.CONCAT(Tableau3[[#This Row],[POD]],"-",Tableau3[[#This Row],[Compte Consignee]]),"-")</f>
        <v>-</v>
      </c>
      <c r="D31" s="170" t="str">
        <f>_xlfn.CONCAT(Tableau3[[#This Row],[Code PFI]],"-",Tableau3[[#This Row],[Compte Consignee]])</f>
        <v>91018400-90016500</v>
      </c>
      <c r="E31" s="171" t="s">
        <v>492</v>
      </c>
      <c r="F31" s="172">
        <v>3</v>
      </c>
      <c r="G31" s="166" t="s">
        <v>161</v>
      </c>
      <c r="H31" s="490">
        <f>IF(Tableau3[[#This Row],[Name PFI/CDD]]&lt;&gt;"",VLOOKUP(Tableau3[[#This Row],[Name PFI/CDD]],Plant_AILN!I:J,2,FALSE),"-")</f>
        <v>91018400</v>
      </c>
      <c r="I31" s="167" t="str">
        <f>IF(Tableau3[[#This Row],[Code PFI]]="-","Direct","PFI/CDD")</f>
        <v>PFI/CDD</v>
      </c>
      <c r="J31" s="60">
        <f>IFERROR(IF(Tableau3[[#This Row],[type PFI/CDD]]="Direct",0,VLOOKUP(Tableau3[[#This Row],[Clé(POD-PFI)]],Transport!G:K,5,FALSE)),"")</f>
        <v>3</v>
      </c>
      <c r="K31" s="4" t="str">
        <f>VLOOKUP(Tableau3[[#This Row],[Name Consignee]],Tableau10[],4,FALSE)</f>
        <v>PORTUGAL</v>
      </c>
      <c r="L31" s="7" t="s">
        <v>160</v>
      </c>
      <c r="M31" s="490">
        <f>VLOOKUP(Tableau3[[#This Row],[Name Consignee]],Tableau10[],3,FALSE)</f>
        <v>90016500</v>
      </c>
      <c r="N31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32" spans="1:14" ht="14.1" customHeight="1">
      <c r="A32" s="161" t="str">
        <f>_xlfn.CONCAT(Tableau3[[#This Row],[POD]],"-",Tableau3[[#This Row],[Code PFI]],"-",Tableau3[[#This Row],[Compte Consignee]])</f>
        <v>ESVLC-91018400-92000100</v>
      </c>
      <c r="B32" s="161" t="str">
        <f>_xlfn.CONCAT(Tableau3[[#This Row],[POD]],"-",Tableau3[[#This Row],[Code PFI]])</f>
        <v>ESVLC-91018400</v>
      </c>
      <c r="C32" s="169" t="str">
        <f>IF(Tableau3[[#This Row],[Name PFI/CDD]]="",_xlfn.CONCAT(Tableau3[[#This Row],[POD]],"-",Tableau3[[#This Row],[Compte Consignee]]),"-")</f>
        <v>-</v>
      </c>
      <c r="D32" s="170" t="str">
        <f>_xlfn.CONCAT(Tableau3[[#This Row],[Code PFI]],"-",Tableau3[[#This Row],[Compte Consignee]])</f>
        <v>91018400-92000100</v>
      </c>
      <c r="E32" s="171" t="s">
        <v>492</v>
      </c>
      <c r="F32" s="172">
        <v>4</v>
      </c>
      <c r="G32" s="166" t="s">
        <v>161</v>
      </c>
      <c r="H32" s="490">
        <f>IF(Tableau3[[#This Row],[Name PFI/CDD]]&lt;&gt;"",VLOOKUP(Tableau3[[#This Row],[Name PFI/CDD]],Plant_AILN!I:J,2,FALSE),"-")</f>
        <v>91018400</v>
      </c>
      <c r="I32" s="167" t="str">
        <f>IF(Tableau3[[#This Row],[Code PFI]]="-","Direct","PFI/CDD")</f>
        <v>PFI/CDD</v>
      </c>
      <c r="J32" s="60">
        <f>IFERROR(IF(Tableau3[[#This Row],[type PFI/CDD]]="Direct",0,VLOOKUP(Tableau3[[#This Row],[Clé(POD-PFI)]],Transport!G:K,5,FALSE)),"")</f>
        <v>3</v>
      </c>
      <c r="K32" s="4" t="str">
        <f>VLOOKUP(Tableau3[[#This Row],[Name Consignee]],Tableau10[],4,FALSE)</f>
        <v>FRANCE</v>
      </c>
      <c r="L32" s="7" t="s">
        <v>184</v>
      </c>
      <c r="M32" s="490">
        <f>VLOOKUP(Tableau3[[#This Row],[Name Consignee]],Tableau10[],3,FALSE)</f>
        <v>92000100</v>
      </c>
      <c r="N32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3" spans="1:14" ht="14.1" customHeight="1">
      <c r="A33" s="161" t="str">
        <f>_xlfn.CONCAT(Tableau3[[#This Row],[POD]],"-",Tableau3[[#This Row],[Code PFI]],"-",Tableau3[[#This Row],[Compte Consignee]])</f>
        <v>ESVLC-91018400-90019100</v>
      </c>
      <c r="B33" s="161" t="str">
        <f>_xlfn.CONCAT(Tableau3[[#This Row],[POD]],"-",Tableau3[[#This Row],[Code PFI]])</f>
        <v>ESVLC-91018400</v>
      </c>
      <c r="C33" s="169" t="str">
        <f>IF(Tableau3[[#This Row],[Name PFI/CDD]]="",_xlfn.CONCAT(Tableau3[[#This Row],[POD]],"-",Tableau3[[#This Row],[Compte Consignee]]),"-")</f>
        <v>-</v>
      </c>
      <c r="D33" s="170" t="str">
        <f>_xlfn.CONCAT(Tableau3[[#This Row],[Code PFI]],"-",Tableau3[[#This Row],[Compte Consignee]])</f>
        <v>91018400-90019100</v>
      </c>
      <c r="E33" s="171" t="s">
        <v>492</v>
      </c>
      <c r="F33" s="172">
        <v>4</v>
      </c>
      <c r="G33" s="166" t="s">
        <v>161</v>
      </c>
      <c r="H33" s="490">
        <f>IF(Tableau3[[#This Row],[Name PFI/CDD]]&lt;&gt;"",VLOOKUP(Tableau3[[#This Row],[Name PFI/CDD]],Plant_AILN!I:J,2,FALSE),"-")</f>
        <v>91018400</v>
      </c>
      <c r="I33" s="167" t="str">
        <f>IF(Tableau3[[#This Row],[Code PFI]]="-","Direct","PFI/CDD")</f>
        <v>PFI/CDD</v>
      </c>
      <c r="J33" s="60">
        <f>IFERROR(IF(Tableau3[[#This Row],[type PFI/CDD]]="Direct",0,VLOOKUP(Tableau3[[#This Row],[Clé(POD-PFI)]],Transport!G:K,5,FALSE)),"")</f>
        <v>3</v>
      </c>
      <c r="K33" s="4" t="str">
        <f>VLOOKUP(Tableau3[[#This Row],[Name Consignee]],Tableau10[],4,FALSE)</f>
        <v>FRANCE</v>
      </c>
      <c r="L33" s="7" t="s">
        <v>189</v>
      </c>
      <c r="M33" s="490">
        <f>VLOOKUP(Tableau3[[#This Row],[Name Consignee]],Tableau10[],3,FALSE)</f>
        <v>90019100</v>
      </c>
      <c r="N33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4" spans="1:14" ht="14.1" customHeight="1">
      <c r="A34" s="161" t="str">
        <f>_xlfn.CONCAT(Tableau3[[#This Row],[POD]],"-",Tableau3[[#This Row],[Code PFI]],"-",Tableau3[[#This Row],[Compte Consignee]])</f>
        <v>ESVLC-91018400-90015100</v>
      </c>
      <c r="B34" s="161" t="str">
        <f>_xlfn.CONCAT(Tableau3[[#This Row],[POD]],"-",Tableau3[[#This Row],[Code PFI]])</f>
        <v>ESVLC-91018400</v>
      </c>
      <c r="C34" s="169" t="str">
        <f>IF(Tableau3[[#This Row],[Name PFI/CDD]]="",_xlfn.CONCAT(Tableau3[[#This Row],[POD]],"-",Tableau3[[#This Row],[Compte Consignee]]),"-")</f>
        <v>-</v>
      </c>
      <c r="D34" s="170" t="str">
        <f>_xlfn.CONCAT(Tableau3[[#This Row],[Code PFI]],"-",Tableau3[[#This Row],[Compte Consignee]])</f>
        <v>91018400-90015100</v>
      </c>
      <c r="E34" s="171" t="s">
        <v>492</v>
      </c>
      <c r="F34" s="172">
        <v>4</v>
      </c>
      <c r="G34" s="166" t="s">
        <v>161</v>
      </c>
      <c r="H34" s="490">
        <f>IF(Tableau3[[#This Row],[Name PFI/CDD]]&lt;&gt;"",VLOOKUP(Tableau3[[#This Row],[Name PFI/CDD]],Plant_AILN!I:J,2,FALSE),"-")</f>
        <v>91018400</v>
      </c>
      <c r="I34" s="167" t="str">
        <f>IF(Tableau3[[#This Row],[Code PFI]]="-","Direct","PFI/CDD")</f>
        <v>PFI/CDD</v>
      </c>
      <c r="J34" s="60">
        <f>IFERROR(IF(Tableau3[[#This Row],[type PFI/CDD]]="Direct",0,VLOOKUP(Tableau3[[#This Row],[Clé(POD-PFI)]],Transport!G:K,5,FALSE)),"")</f>
        <v>3</v>
      </c>
      <c r="K34" s="4" t="str">
        <f>VLOOKUP(Tableau3[[#This Row],[Name Consignee]],Tableau10[],4,FALSE)</f>
        <v>FRANCE</v>
      </c>
      <c r="L34" s="7" t="s">
        <v>187</v>
      </c>
      <c r="M34" s="490">
        <f>VLOOKUP(Tableau3[[#This Row],[Name Consignee]],Tableau10[],3,FALSE)</f>
        <v>90015100</v>
      </c>
      <c r="N34" s="3">
        <f>IFERROR(IF(Tableau3[[#This Row],[type PFI/CDD]]="Direct",VLOOKUP(Tableau3[[#This Row],[Clé(POD-Compte site )]],Transport!A:E,5,FALSE),VLOOKUP(Tableau3[[#This Row],[Clé(PFI-site)]],Transport!M:S,7,FALSE)),"No information")</f>
        <v>6</v>
      </c>
    </row>
    <row r="35" spans="1:14" ht="14.1" customHeight="1">
      <c r="A35" s="161" t="str">
        <f>_xlfn.CONCAT(Tableau3[[#This Row],[POD]],"-",Tableau3[[#This Row],[Code PFI]],"-",Tableau3[[#This Row],[Compte Consignee]])</f>
        <v>ESVLC-91018400-90016200</v>
      </c>
      <c r="B35" s="161" t="str">
        <f>_xlfn.CONCAT(Tableau3[[#This Row],[POD]],"-",Tableau3[[#This Row],[Code PFI]])</f>
        <v>ESVLC-91018400</v>
      </c>
      <c r="C35" s="169" t="str">
        <f>IF(Tableau3[[#This Row],[Name PFI/CDD]]="",_xlfn.CONCAT(Tableau3[[#This Row],[POD]],"-",Tableau3[[#This Row],[Compte Consignee]]),"-")</f>
        <v>-</v>
      </c>
      <c r="D35" s="170" t="str">
        <f>_xlfn.CONCAT(Tableau3[[#This Row],[Code PFI]],"-",Tableau3[[#This Row],[Compte Consignee]])</f>
        <v>91018400-90016200</v>
      </c>
      <c r="E35" s="171" t="s">
        <v>492</v>
      </c>
      <c r="F35" s="172">
        <v>4</v>
      </c>
      <c r="G35" s="166" t="s">
        <v>161</v>
      </c>
      <c r="H35" s="490">
        <f>IF(Tableau3[[#This Row],[Name PFI/CDD]]&lt;&gt;"",VLOOKUP(Tableau3[[#This Row],[Name PFI/CDD]],Plant_AILN!I:J,2,FALSE),"-")</f>
        <v>91018400</v>
      </c>
      <c r="I35" s="167" t="str">
        <f>IF(Tableau3[[#This Row],[Code PFI]]="-","Direct","PFI/CDD")</f>
        <v>PFI/CDD</v>
      </c>
      <c r="J35" s="60">
        <f>IFERROR(IF(Tableau3[[#This Row],[type PFI/CDD]]="Direct",0,VLOOKUP(Tableau3[[#This Row],[Clé(POD-PFI)]],Transport!G:K,5,FALSE)),"")</f>
        <v>3</v>
      </c>
      <c r="K35" s="4" t="str">
        <f>VLOOKUP(Tableau3[[#This Row],[Name Consignee]],Tableau10[],4,FALSE)</f>
        <v>FRANCE</v>
      </c>
      <c r="L35" s="7" t="s">
        <v>185</v>
      </c>
      <c r="M35" s="490">
        <f>VLOOKUP(Tableau3[[#This Row],[Name Consignee]],Tableau10[],3,FALSE)</f>
        <v>90016200</v>
      </c>
      <c r="N35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6" spans="1:14" ht="14.1" customHeight="1">
      <c r="A36" s="161" t="str">
        <f>_xlfn.CONCAT(Tableau3[[#This Row],[POD]],"-",Tableau3[[#This Row],[Code PFI]],"-",Tableau3[[#This Row],[Compte Consignee]])</f>
        <v>ESVLC-91018400-91017700</v>
      </c>
      <c r="B36" s="161" t="str">
        <f>_xlfn.CONCAT(Tableau3[[#This Row],[POD]],"-",Tableau3[[#This Row],[Code PFI]])</f>
        <v>ESVLC-91018400</v>
      </c>
      <c r="C36" s="169" t="str">
        <f>IF(Tableau3[[#This Row],[Name PFI/CDD]]="",_xlfn.CONCAT(Tableau3[[#This Row],[POD]],"-",Tableau3[[#This Row],[Compte Consignee]]),"-")</f>
        <v>-</v>
      </c>
      <c r="D36" s="170" t="str">
        <f>_xlfn.CONCAT(Tableau3[[#This Row],[Code PFI]],"-",Tableau3[[#This Row],[Compte Consignee]])</f>
        <v>91018400-91017700</v>
      </c>
      <c r="E36" s="171" t="s">
        <v>492</v>
      </c>
      <c r="F36" s="172">
        <v>2</v>
      </c>
      <c r="G36" s="166" t="s">
        <v>161</v>
      </c>
      <c r="H36" s="490">
        <f>IF(Tableau3[[#This Row],[Name PFI/CDD]]&lt;&gt;"",VLOOKUP(Tableau3[[#This Row],[Name PFI/CDD]],Plant_AILN!I:J,2,FALSE),"-")</f>
        <v>91018400</v>
      </c>
      <c r="I36" s="167" t="str">
        <f>IF(Tableau3[[#This Row],[Code PFI]]="-","Direct","PFI/CDD")</f>
        <v>PFI/CDD</v>
      </c>
      <c r="J36" s="60">
        <f>IFERROR(IF(Tableau3[[#This Row],[type PFI/CDD]]="Direct",0,VLOOKUP(Tableau3[[#This Row],[Clé(POD-PFI)]],Transport!G:K,5,FALSE)),"")</f>
        <v>3</v>
      </c>
      <c r="K36" s="4" t="str">
        <f>VLOOKUP(Tableau3[[#This Row],[Name Consignee]],Tableau10[],4,FALSE)</f>
        <v>SPAIN</v>
      </c>
      <c r="L36" s="7" t="s">
        <v>163</v>
      </c>
      <c r="M36" s="490">
        <f>VLOOKUP(Tableau3[[#This Row],[Name Consignee]],Tableau10[],3,FALSE)</f>
        <v>91017700</v>
      </c>
      <c r="N36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37" spans="1:14" ht="14.1" customHeight="1">
      <c r="A37" s="161" t="str">
        <f>_xlfn.CONCAT(Tableau3[[#This Row],[POD]],"-",Tableau3[[#This Row],[Code PFI]],"-",Tableau3[[#This Row],[Compte Consignee]])</f>
        <v>ESVLC-91018400-91017200</v>
      </c>
      <c r="B37" s="161" t="str">
        <f>_xlfn.CONCAT(Tableau3[[#This Row],[POD]],"-",Tableau3[[#This Row],[Code PFI]])</f>
        <v>ESVLC-91018400</v>
      </c>
      <c r="C37" s="169" t="str">
        <f>IF(Tableau3[[#This Row],[Name PFI/CDD]]="",_xlfn.CONCAT(Tableau3[[#This Row],[POD]],"-",Tableau3[[#This Row],[Compte Consignee]]),"-")</f>
        <v>-</v>
      </c>
      <c r="D37" s="170" t="str">
        <f>_xlfn.CONCAT(Tableau3[[#This Row],[Code PFI]],"-",Tableau3[[#This Row],[Compte Consignee]])</f>
        <v>91018400-91017200</v>
      </c>
      <c r="E37" s="171" t="s">
        <v>492</v>
      </c>
      <c r="F37" s="172">
        <v>2</v>
      </c>
      <c r="G37" s="166" t="s">
        <v>161</v>
      </c>
      <c r="H37" s="490">
        <f>IF(Tableau3[[#This Row],[Name PFI/CDD]]&lt;&gt;"",VLOOKUP(Tableau3[[#This Row],[Name PFI/CDD]],Plant_AILN!I:J,2,FALSE),"-")</f>
        <v>91018400</v>
      </c>
      <c r="I37" s="167" t="str">
        <f>IF(Tableau3[[#This Row],[Code PFI]]="-","Direct","PFI/CDD")</f>
        <v>PFI/CDD</v>
      </c>
      <c r="J37" s="60">
        <f>IFERROR(IF(Tableau3[[#This Row],[type PFI/CDD]]="Direct",0,VLOOKUP(Tableau3[[#This Row],[Clé(POD-PFI)]],Transport!G:K,5,FALSE)),"")</f>
        <v>3</v>
      </c>
      <c r="K37" s="4" t="str">
        <f>VLOOKUP(Tableau3[[#This Row],[Name Consignee]],Tableau10[],4,FALSE)</f>
        <v>SPAIN</v>
      </c>
      <c r="L37" s="7" t="s">
        <v>175</v>
      </c>
      <c r="M37" s="490">
        <f>VLOOKUP(Tableau3[[#This Row],[Name Consignee]],Tableau10[],3,FALSE)</f>
        <v>91017200</v>
      </c>
      <c r="N37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38" spans="1:14" ht="14.1" customHeight="1">
      <c r="A38" s="161" t="str">
        <f>_xlfn.CONCAT(Tableau3[[#This Row],[POD]],"-",Tableau3[[#This Row],[Code PFI]],"-",Tableau3[[#This Row],[Compte Consignee]])</f>
        <v>ESVLC-91018400-90017100</v>
      </c>
      <c r="B38" s="161" t="str">
        <f>_xlfn.CONCAT(Tableau3[[#This Row],[POD]],"-",Tableau3[[#This Row],[Code PFI]])</f>
        <v>ESVLC-91018400</v>
      </c>
      <c r="C38" s="169" t="str">
        <f>IF(Tableau3[[#This Row],[Name PFI/CDD]]="",_xlfn.CONCAT(Tableau3[[#This Row],[POD]],"-",Tableau3[[#This Row],[Compte Consignee]]),"-")</f>
        <v>-</v>
      </c>
      <c r="D38" s="170" t="str">
        <f>_xlfn.CONCAT(Tableau3[[#This Row],[Code PFI]],"-",Tableau3[[#This Row],[Compte Consignee]])</f>
        <v>91018400-90017100</v>
      </c>
      <c r="E38" s="171" t="s">
        <v>492</v>
      </c>
      <c r="F38" s="172">
        <v>4</v>
      </c>
      <c r="G38" s="166" t="s">
        <v>161</v>
      </c>
      <c r="H38" s="490">
        <f>IF(Tableau3[[#This Row],[Name PFI/CDD]]&lt;&gt;"",VLOOKUP(Tableau3[[#This Row],[Name PFI/CDD]],Plant_AILN!I:J,2,FALSE),"-")</f>
        <v>91018400</v>
      </c>
      <c r="I38" s="167" t="str">
        <f>IF(Tableau3[[#This Row],[Code PFI]]="-","Direct","PFI/CDD")</f>
        <v>PFI/CDD</v>
      </c>
      <c r="J38" s="60">
        <f>IFERROR(IF(Tableau3[[#This Row],[type PFI/CDD]]="Direct",0,VLOOKUP(Tableau3[[#This Row],[Clé(POD-PFI)]],Transport!G:K,5,FALSE)),"")</f>
        <v>3</v>
      </c>
      <c r="K38" s="4" t="str">
        <f>VLOOKUP(Tableau3[[#This Row],[Name Consignee]],Tableau10[],4,FALSE)</f>
        <v>FRANCE</v>
      </c>
      <c r="L38" s="7" t="s">
        <v>201</v>
      </c>
      <c r="M38" s="490">
        <f>VLOOKUP(Tableau3[[#This Row],[Name Consignee]],Tableau10[],3,FALSE)</f>
        <v>90017100</v>
      </c>
      <c r="N38" s="3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39" spans="1:14" ht="14.1" customHeight="1">
      <c r="A39" s="161" t="str">
        <f>_xlfn.CONCAT(Tableau3[[#This Row],[POD]],"-",Tableau3[[#This Row],[Code PFI]],"-",Tableau3[[#This Row],[Compte Consignee]])</f>
        <v>ESVLC-91018400-91017500</v>
      </c>
      <c r="B39" s="161" t="str">
        <f>_xlfn.CONCAT(Tableau3[[#This Row],[POD]],"-",Tableau3[[#This Row],[Code PFI]])</f>
        <v>ESVLC-91018400</v>
      </c>
      <c r="C39" s="169" t="str">
        <f>IF(Tableau3[[#This Row],[Name PFI/CDD]]="",_xlfn.CONCAT(Tableau3[[#This Row],[POD]],"-",Tableau3[[#This Row],[Compte Consignee]]),"-")</f>
        <v>-</v>
      </c>
      <c r="D39" s="170" t="str">
        <f>_xlfn.CONCAT(Tableau3[[#This Row],[Code PFI]],"-",Tableau3[[#This Row],[Compte Consignee]])</f>
        <v>91018400-91017500</v>
      </c>
      <c r="E39" s="171" t="s">
        <v>492</v>
      </c>
      <c r="F39" s="172">
        <v>2</v>
      </c>
      <c r="G39" s="166" t="s">
        <v>161</v>
      </c>
      <c r="H39" s="490">
        <f>IF(Tableau3[[#This Row],[Name PFI/CDD]]&lt;&gt;"",VLOOKUP(Tableau3[[#This Row],[Name PFI/CDD]],Plant_AILN!I:J,2,FALSE),"-")</f>
        <v>91018400</v>
      </c>
      <c r="I39" s="167" t="str">
        <f>IF(Tableau3[[#This Row],[Code PFI]]="-","Direct","PFI/CDD")</f>
        <v>PFI/CDD</v>
      </c>
      <c r="J39" s="60">
        <f>IFERROR(IF(Tableau3[[#This Row],[type PFI/CDD]]="Direct",0,VLOOKUP(Tableau3[[#This Row],[Clé(POD-PFI)]],Transport!G:K,5,FALSE)),"")</f>
        <v>3</v>
      </c>
      <c r="K39" s="4" t="str">
        <f>VLOOKUP(Tableau3[[#This Row],[Name Consignee]],Tableau10[],4,FALSE)</f>
        <v>SPAIN</v>
      </c>
      <c r="L39" s="7" t="s">
        <v>162</v>
      </c>
      <c r="M39" s="490">
        <f>VLOOKUP(Tableau3[[#This Row],[Name Consignee]],Tableau10[],3,FALSE)</f>
        <v>91017500</v>
      </c>
      <c r="N39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40" spans="1:14" ht="14.1" customHeight="1">
      <c r="A40" s="161" t="str">
        <f>_xlfn.CONCAT(Tableau3[[#This Row],[POD]],"-",Tableau3[[#This Row],[Code PFI]],"-",Tableau3[[#This Row],[Compte Consignee]])</f>
        <v>ESVLC-91018400-90016900</v>
      </c>
      <c r="B40" s="161" t="str">
        <f>_xlfn.CONCAT(Tableau3[[#This Row],[POD]],"-",Tableau3[[#This Row],[Code PFI]])</f>
        <v>ESVLC-91018400</v>
      </c>
      <c r="C40" s="169" t="str">
        <f>IF(Tableau3[[#This Row],[Name PFI/CDD]]="",_xlfn.CONCAT(Tableau3[[#This Row],[POD]],"-",Tableau3[[#This Row],[Compte Consignee]]),"-")</f>
        <v>-</v>
      </c>
      <c r="D40" s="170" t="str">
        <f>_xlfn.CONCAT(Tableau3[[#This Row],[Code PFI]],"-",Tableau3[[#This Row],[Compte Consignee]])</f>
        <v>91018400-90016900</v>
      </c>
      <c r="E40" s="171" t="s">
        <v>492</v>
      </c>
      <c r="F40" s="172">
        <v>4</v>
      </c>
      <c r="G40" s="166" t="s">
        <v>161</v>
      </c>
      <c r="H40" s="490">
        <f>IF(Tableau3[[#This Row],[Name PFI/CDD]]&lt;&gt;"",VLOOKUP(Tableau3[[#This Row],[Name PFI/CDD]],Plant_AILN!I:J,2,FALSE),"-")</f>
        <v>91018400</v>
      </c>
      <c r="I40" s="167" t="str">
        <f>IF(Tableau3[[#This Row],[Code PFI]]="-","Direct","PFI/CDD")</f>
        <v>PFI/CDD</v>
      </c>
      <c r="J40" s="60">
        <f>IFERROR(IF(Tableau3[[#This Row],[type PFI/CDD]]="Direct",0,VLOOKUP(Tableau3[[#This Row],[Clé(POD-PFI)]],Transport!G:K,5,FALSE)),"")</f>
        <v>3</v>
      </c>
      <c r="K40" s="4" t="str">
        <f>VLOOKUP(Tableau3[[#This Row],[Name Consignee]],Tableau10[],4,FALSE)</f>
        <v>FRANCE</v>
      </c>
      <c r="L40" s="7" t="s">
        <v>152</v>
      </c>
      <c r="M40" s="490">
        <f>VLOOKUP(Tableau3[[#This Row],[Name Consignee]],Tableau10[],3,FALSE)</f>
        <v>90016900</v>
      </c>
      <c r="N40" s="3">
        <f>IFERROR(IF(Tableau3[[#This Row],[type PFI/CDD]]="Direct",VLOOKUP(Tableau3[[#This Row],[Clé(POD-Compte site )]],Transport!A:E,5,FALSE),VLOOKUP(Tableau3[[#This Row],[Clé(PFI-site)]],Transport!M:S,7,FALSE)),"No information")</f>
        <v>6</v>
      </c>
    </row>
    <row r="41" spans="1:14" ht="14.1" customHeight="1">
      <c r="A41" s="161" t="str">
        <f>_xlfn.CONCAT(Tableau3[[#This Row],[POD]],"-",Tableau3[[#This Row],[Code PFI]],"-",Tableau3[[#This Row],[Compte Consignee]])</f>
        <v>ARBUE---90016000</v>
      </c>
      <c r="B41" s="161" t="str">
        <f>_xlfn.CONCAT(Tableau3[[#This Row],[POD]],"-",Tableau3[[#This Row],[Code PFI]])</f>
        <v>ARBUE--</v>
      </c>
      <c r="C41" s="169" t="str">
        <f>IF(Tableau3[[#This Row],[Name PFI/CDD]]="",_xlfn.CONCAT(Tableau3[[#This Row],[POD]],"-",Tableau3[[#This Row],[Compte Consignee]]),"-")</f>
        <v>ARBUE-90016000</v>
      </c>
      <c r="D41" s="170" t="str">
        <f>_xlfn.CONCAT(Tableau3[[#This Row],[Code PFI]],"-",Tableau3[[#This Row],[Compte Consignee]])</f>
        <v>--90016000</v>
      </c>
      <c r="E41" s="171" t="s">
        <v>508</v>
      </c>
      <c r="F41" s="172">
        <v>3</v>
      </c>
      <c r="G41" s="166"/>
      <c r="H41" s="490" t="str">
        <f>IF(Tableau3[[#This Row],[Name PFI/CDD]]&lt;&gt;"",VLOOKUP(Tableau3[[#This Row],[Name PFI/CDD]],Plant_AILN!I:J,2,FALSE),"-")</f>
        <v>-</v>
      </c>
      <c r="I41" s="167" t="str">
        <f>IF(Tableau3[[#This Row],[Code PFI]]="-","Direct","PFI/CDD")</f>
        <v>Direct</v>
      </c>
      <c r="J41" s="60">
        <f>IFERROR(IF(Tableau3[[#This Row],[type PFI/CDD]]="Direct",0,VLOOKUP(Tableau3[[#This Row],[Clé(POD-PFI)]],Transport!G:K,5,FALSE)),"")</f>
        <v>0</v>
      </c>
      <c r="K41" s="4" t="str">
        <f>VLOOKUP(Tableau3[[#This Row],[Name Consignee]],Tableau10[],4,FALSE)</f>
        <v>ARGENTINA</v>
      </c>
      <c r="L41" s="7" t="s">
        <v>169</v>
      </c>
      <c r="M41" s="490">
        <f>VLOOKUP(Tableau3[[#This Row],[Name Consignee]],Tableau10[],3,FALSE)</f>
        <v>90016000</v>
      </c>
      <c r="N41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42" spans="1:14" ht="14.1" customHeight="1">
      <c r="A42" s="161" t="str">
        <f>_xlfn.CONCAT(Tableau3[[#This Row],[POD]],"-",Tableau3[[#This Row],[Code PFI]],"-",Tableau3[[#This Row],[Compte Consignee]])</f>
        <v>ARROS---90016000</v>
      </c>
      <c r="B42" s="161" t="str">
        <f>_xlfn.CONCAT(Tableau3[[#This Row],[POD]],"-",Tableau3[[#This Row],[Code PFI]])</f>
        <v>ARROS--</v>
      </c>
      <c r="C42" s="169" t="str">
        <f>IF(Tableau3[[#This Row],[Name PFI/CDD]]="",_xlfn.CONCAT(Tableau3[[#This Row],[POD]],"-",Tableau3[[#This Row],[Compte Consignee]]),"-")</f>
        <v>ARROS-90016000</v>
      </c>
      <c r="D42" s="170" t="str">
        <f>_xlfn.CONCAT(Tableau3[[#This Row],[Code PFI]],"-",Tableau3[[#This Row],[Compte Consignee]])</f>
        <v>--90016000</v>
      </c>
      <c r="E42" s="171" t="s">
        <v>557</v>
      </c>
      <c r="F42" s="172">
        <v>6</v>
      </c>
      <c r="G42" s="166"/>
      <c r="H42" s="490" t="str">
        <f>IF(Tableau3[[#This Row],[Name PFI/CDD]]&lt;&gt;"",VLOOKUP(Tableau3[[#This Row],[Name PFI/CDD]],Plant_AILN!I:J,2,FALSE),"-")</f>
        <v>-</v>
      </c>
      <c r="I42" s="167" t="str">
        <f>IF(Tableau3[[#This Row],[Code PFI]]="-","Direct","PFI/CDD")</f>
        <v>Direct</v>
      </c>
      <c r="J42" s="60">
        <f>IFERROR(IF(Tableau3[[#This Row],[type PFI/CDD]]="Direct",0,VLOOKUP(Tableau3[[#This Row],[Clé(POD-PFI)]],Transport!G:K,5,FALSE)),"")</f>
        <v>0</v>
      </c>
      <c r="K42" s="4" t="str">
        <f>VLOOKUP(Tableau3[[#This Row],[Name Consignee]],Tableau10[],4,FALSE)</f>
        <v>ARGENTINA</v>
      </c>
      <c r="L42" s="7" t="s">
        <v>169</v>
      </c>
      <c r="M42" s="490">
        <f>VLOOKUP(Tableau3[[#This Row],[Name Consignee]],Tableau10[],3,FALSE)</f>
        <v>90016000</v>
      </c>
      <c r="N42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3" spans="1:14" ht="14.1" customHeight="1">
      <c r="A43" s="161" t="str">
        <f>_xlfn.CONCAT(Tableau3[[#This Row],[POD]],"-",Tableau3[[#This Row],[Code PFI]],"-",Tableau3[[#This Row],[Compte Consignee]])</f>
        <v>BRPNG---90018600</v>
      </c>
      <c r="B43" s="161" t="str">
        <f>_xlfn.CONCAT(Tableau3[[#This Row],[POD]],"-",Tableau3[[#This Row],[Code PFI]])</f>
        <v>BRPNG--</v>
      </c>
      <c r="C43" s="169" t="str">
        <f>IF(Tableau3[[#This Row],[Name PFI/CDD]]="",_xlfn.CONCAT(Tableau3[[#This Row],[POD]],"-",Tableau3[[#This Row],[Compte Consignee]]),"-")</f>
        <v>BRPNG-90018600</v>
      </c>
      <c r="D43" s="170" t="str">
        <f>_xlfn.CONCAT(Tableau3[[#This Row],[Code PFI]],"-",Tableau3[[#This Row],[Compte Consignee]])</f>
        <v>--90018600</v>
      </c>
      <c r="E43" s="171" t="s">
        <v>489</v>
      </c>
      <c r="F43" s="172">
        <v>2</v>
      </c>
      <c r="G43" s="166"/>
      <c r="H43" s="490" t="str">
        <f>IF(Tableau3[[#This Row],[Name PFI/CDD]]&lt;&gt;"",VLOOKUP(Tableau3[[#This Row],[Name PFI/CDD]],Plant_AILN!I:J,2,FALSE),"-")</f>
        <v>-</v>
      </c>
      <c r="I43" s="167" t="str">
        <f>IF(Tableau3[[#This Row],[Code PFI]]="-","Direct","PFI/CDD")</f>
        <v>Direct</v>
      </c>
      <c r="J43" s="60">
        <f>IFERROR(IF(Tableau3[[#This Row],[type PFI/CDD]]="Direct",0,VLOOKUP(Tableau3[[#This Row],[Clé(POD-PFI)]],Transport!G:K,5,FALSE)),"")</f>
        <v>0</v>
      </c>
      <c r="K43" s="4" t="str">
        <f>VLOOKUP(Tableau3[[#This Row],[Name Consignee]],Tableau10[],4,FALSE)</f>
        <v>BRAZIL</v>
      </c>
      <c r="L43" s="7" t="s">
        <v>154</v>
      </c>
      <c r="M43" s="490">
        <f>VLOOKUP(Tableau3[[#This Row],[Name Consignee]],Tableau10[],3,FALSE)</f>
        <v>90018600</v>
      </c>
      <c r="N43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4" spans="1:14" ht="14.1" customHeight="1">
      <c r="A44" s="161" t="str">
        <f>_xlfn.CONCAT(Tableau3[[#This Row],[POD]],"-",Tableau3[[#This Row],[Code PFI]],"-",Tableau3[[#This Row],[Compte Consignee]])</f>
        <v>BRPNG---90018000</v>
      </c>
      <c r="B44" s="161" t="str">
        <f>_xlfn.CONCAT(Tableau3[[#This Row],[POD]],"-",Tableau3[[#This Row],[Code PFI]])</f>
        <v>BRPNG--</v>
      </c>
      <c r="C44" s="169" t="str">
        <f>IF(Tableau3[[#This Row],[Name PFI/CDD]]="",_xlfn.CONCAT(Tableau3[[#This Row],[POD]],"-",Tableau3[[#This Row],[Compte Consignee]]),"-")</f>
        <v>BRPNG-90018000</v>
      </c>
      <c r="D44" s="170" t="str">
        <f>_xlfn.CONCAT(Tableau3[[#This Row],[Code PFI]],"-",Tableau3[[#This Row],[Compte Consignee]])</f>
        <v>--90018000</v>
      </c>
      <c r="E44" s="171" t="s">
        <v>489</v>
      </c>
      <c r="F44" s="172">
        <v>2</v>
      </c>
      <c r="G44" s="166"/>
      <c r="H44" s="490" t="str">
        <f>IF(Tableau3[[#This Row],[Name PFI/CDD]]&lt;&gt;"",VLOOKUP(Tableau3[[#This Row],[Name PFI/CDD]],Plant_AILN!I:J,2,FALSE),"-")</f>
        <v>-</v>
      </c>
      <c r="I44" s="167" t="str">
        <f>IF(Tableau3[[#This Row],[Code PFI]]="-","Direct","PFI/CDD")</f>
        <v>Direct</v>
      </c>
      <c r="J44" s="60">
        <f>IFERROR(IF(Tableau3[[#This Row],[type PFI/CDD]]="Direct",0,VLOOKUP(Tableau3[[#This Row],[Clé(POD-PFI)]],Transport!G:K,5,FALSE)),"")</f>
        <v>0</v>
      </c>
      <c r="K44" s="4" t="str">
        <f>VLOOKUP(Tableau3[[#This Row],[Name Consignee]],Tableau10[],4,FALSE)</f>
        <v>BRAZIL</v>
      </c>
      <c r="L44" s="7" t="s">
        <v>149</v>
      </c>
      <c r="M44" s="490">
        <f>VLOOKUP(Tableau3[[#This Row],[Name Consignee]],Tableau10[],3,FALSE)</f>
        <v>90018000</v>
      </c>
      <c r="N44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5" spans="1:14" ht="14.1" customHeight="1">
      <c r="A45" s="161" t="str">
        <f>_xlfn.CONCAT(Tableau3[[#This Row],[POD]],"-",Tableau3[[#This Row],[Code PFI]],"-",Tableau3[[#This Row],[Compte Consignee]])</f>
        <v>BRPNG---90018500</v>
      </c>
      <c r="B45" s="161" t="str">
        <f>_xlfn.CONCAT(Tableau3[[#This Row],[POD]],"-",Tableau3[[#This Row],[Code PFI]])</f>
        <v>BRPNG--</v>
      </c>
      <c r="C45" s="169" t="str">
        <f>IF(Tableau3[[#This Row],[Name PFI/CDD]]="",_xlfn.CONCAT(Tableau3[[#This Row],[POD]],"-",Tableau3[[#This Row],[Compte Consignee]]),"-")</f>
        <v>BRPNG-90018500</v>
      </c>
      <c r="D45" s="170" t="str">
        <f>_xlfn.CONCAT(Tableau3[[#This Row],[Code PFI]],"-",Tableau3[[#This Row],[Compte Consignee]])</f>
        <v>--90018500</v>
      </c>
      <c r="E45" s="171" t="s">
        <v>489</v>
      </c>
      <c r="F45" s="172">
        <v>2</v>
      </c>
      <c r="G45" s="166"/>
      <c r="H45" s="490" t="str">
        <f>IF(Tableau3[[#This Row],[Name PFI/CDD]]&lt;&gt;"",VLOOKUP(Tableau3[[#This Row],[Name PFI/CDD]],Plant_AILN!I:J,2,FALSE),"-")</f>
        <v>-</v>
      </c>
      <c r="I45" s="167" t="str">
        <f>IF(Tableau3[[#This Row],[Code PFI]]="-","Direct","PFI/CDD")</f>
        <v>Direct</v>
      </c>
      <c r="J45" s="60">
        <f>IFERROR(IF(Tableau3[[#This Row],[type PFI/CDD]]="Direct",0,VLOOKUP(Tableau3[[#This Row],[Clé(POD-PFI)]],Transport!G:K,5,FALSE)),"")</f>
        <v>0</v>
      </c>
      <c r="K45" s="4" t="str">
        <f>VLOOKUP(Tableau3[[#This Row],[Name Consignee]],Tableau10[],4,FALSE)</f>
        <v>BRAZIL</v>
      </c>
      <c r="L45" s="7" t="s">
        <v>548</v>
      </c>
      <c r="M45" s="490">
        <f>VLOOKUP(Tableau3[[#This Row],[Name Consignee]],Tableau10[],3,FALSE)</f>
        <v>90018500</v>
      </c>
      <c r="N4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6" spans="1:14" ht="14.1" customHeight="1">
      <c r="A46" s="161" t="str">
        <f>_xlfn.CONCAT(Tableau3[[#This Row],[POD]],"-",Tableau3[[#This Row],[Code PFI]],"-",Tableau3[[#This Row],[Compte Consignee]])</f>
        <v>BRRIO---28750500</v>
      </c>
      <c r="B46" s="161" t="str">
        <f>_xlfn.CONCAT(Tableau3[[#This Row],[POD]],"-",Tableau3[[#This Row],[Code PFI]])</f>
        <v>BRRIO--</v>
      </c>
      <c r="C46" s="169" t="str">
        <f>IF(Tableau3[[#This Row],[Name PFI/CDD]]="",_xlfn.CONCAT(Tableau3[[#This Row],[POD]],"-",Tableau3[[#This Row],[Compte Consignee]]),"-")</f>
        <v>BRRIO-28750500</v>
      </c>
      <c r="D46" s="170" t="str">
        <f>_xlfn.CONCAT(Tableau3[[#This Row],[Code PFI]],"-",Tableau3[[#This Row],[Compte Consignee]])</f>
        <v>--28750500</v>
      </c>
      <c r="E46" s="171" t="s">
        <v>524</v>
      </c>
      <c r="F46" s="172">
        <v>4</v>
      </c>
      <c r="G46" s="166"/>
      <c r="H46" s="490" t="str">
        <f>IF(Tableau3[[#This Row],[Name PFI/CDD]]&lt;&gt;"",VLOOKUP(Tableau3[[#This Row],[Name PFI/CDD]],Plant_AILN!I:J,2,FALSE),"-")</f>
        <v>-</v>
      </c>
      <c r="I46" s="167" t="str">
        <f>IF(Tableau3[[#This Row],[Code PFI]]="-","Direct","PFI/CDD")</f>
        <v>Direct</v>
      </c>
      <c r="J46" s="60">
        <f>IFERROR(IF(Tableau3[[#This Row],[type PFI/CDD]]="Direct",0,VLOOKUP(Tableau3[[#This Row],[Clé(POD-PFI)]],Transport!G:K,5,FALSE)),"")</f>
        <v>0</v>
      </c>
      <c r="K46" s="4" t="str">
        <f>VLOOKUP(Tableau3[[#This Row],[Name Consignee]],Tableau10[],4,FALSE)</f>
        <v>BRAZIL</v>
      </c>
      <c r="L46" s="7" t="s">
        <v>398</v>
      </c>
      <c r="M46" s="490">
        <f>VLOOKUP(Tableau3[[#This Row],[Name Consignee]],Tableau10[],3,FALSE)</f>
        <v>28750500</v>
      </c>
      <c r="N46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47" spans="1:14" ht="14.1" customHeight="1">
      <c r="A47" s="161" t="str">
        <f>_xlfn.CONCAT(Tableau3[[#This Row],[POD]],"-",Tableau3[[#This Row],[Code PFI]],"-",Tableau3[[#This Row],[Compte Consignee]])</f>
        <v>CLSAI---90009500</v>
      </c>
      <c r="B47" s="161" t="str">
        <f>_xlfn.CONCAT(Tableau3[[#This Row],[POD]],"-",Tableau3[[#This Row],[Code PFI]])</f>
        <v>CLSAI--</v>
      </c>
      <c r="C47" s="169" t="str">
        <f>IF(Tableau3[[#This Row],[Name PFI/CDD]]="",_xlfn.CONCAT(Tableau3[[#This Row],[POD]],"-",Tableau3[[#This Row],[Compte Consignee]]),"-")</f>
        <v>CLSAI-90009500</v>
      </c>
      <c r="D47" s="170" t="str">
        <f>_xlfn.CONCAT(Tableau3[[#This Row],[Code PFI]],"-",Tableau3[[#This Row],[Compte Consignee]])</f>
        <v>--90009500</v>
      </c>
      <c r="E47" s="171" t="s">
        <v>471</v>
      </c>
      <c r="F47" s="172">
        <v>2</v>
      </c>
      <c r="G47" s="166"/>
      <c r="H47" s="490" t="str">
        <f>IF(Tableau3[[#This Row],[Name PFI/CDD]]&lt;&gt;"",VLOOKUP(Tableau3[[#This Row],[Name PFI/CDD]],Plant_AILN!I:J,2,FALSE),"-")</f>
        <v>-</v>
      </c>
      <c r="I47" s="167" t="str">
        <f>IF(Tableau3[[#This Row],[Code PFI]]="-","Direct","PFI/CDD")</f>
        <v>Direct</v>
      </c>
      <c r="J47" s="60">
        <f>IFERROR(IF(Tableau3[[#This Row],[type PFI/CDD]]="Direct",0,VLOOKUP(Tableau3[[#This Row],[Clé(POD-PFI)]],Transport!G:K,5,FALSE)),"")</f>
        <v>0</v>
      </c>
      <c r="K47" s="4" t="str">
        <f>VLOOKUP(Tableau3[[#This Row],[Name Consignee]],Tableau10[],4,FALSE)</f>
        <v>CHILE</v>
      </c>
      <c r="L47" s="7" t="s">
        <v>138</v>
      </c>
      <c r="M47" s="490">
        <f>VLOOKUP(Tableau3[[#This Row],[Name Consignee]],Tableau10[],3,FALSE)</f>
        <v>90009500</v>
      </c>
      <c r="N47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8" spans="1:14" ht="14.1" customHeight="1">
      <c r="A48" s="161" t="str">
        <f>_xlfn.CONCAT(Tableau3[[#This Row],[POD]],"-",Tableau3[[#This Row],[Code PFI]],"-",Tableau3[[#This Row],[Compte Consignee]])</f>
        <v>CLVAP---90009500</v>
      </c>
      <c r="B48" s="161" t="str">
        <f>_xlfn.CONCAT(Tableau3[[#This Row],[POD]],"-",Tableau3[[#This Row],[Code PFI]])</f>
        <v>CLVAP--</v>
      </c>
      <c r="C48" s="169" t="str">
        <f>IF(Tableau3[[#This Row],[Name PFI/CDD]]="",_xlfn.CONCAT(Tableau3[[#This Row],[POD]],"-",Tableau3[[#This Row],[Compte Consignee]]),"-")</f>
        <v>CLVAP-90009500</v>
      </c>
      <c r="D48" s="170" t="str">
        <f>_xlfn.CONCAT(Tableau3[[#This Row],[Code PFI]],"-",Tableau3[[#This Row],[Compte Consignee]])</f>
        <v>--90009500</v>
      </c>
      <c r="E48" s="171" t="s">
        <v>587</v>
      </c>
      <c r="F48" s="172">
        <v>2</v>
      </c>
      <c r="G48" s="166"/>
      <c r="H48" s="490" t="str">
        <f>IF(Tableau3[[#This Row],[Name PFI/CDD]]&lt;&gt;"",VLOOKUP(Tableau3[[#This Row],[Name PFI/CDD]],Plant_AILN!I:J,2,FALSE),"-")</f>
        <v>-</v>
      </c>
      <c r="I48" s="167" t="str">
        <f>IF(Tableau3[[#This Row],[Code PFI]]="-","Direct","PFI/CDD")</f>
        <v>Direct</v>
      </c>
      <c r="J48" s="60">
        <f>IFERROR(IF(Tableau3[[#This Row],[type PFI/CDD]]="Direct",0,VLOOKUP(Tableau3[[#This Row],[Clé(POD-PFI)]],Transport!G:K,5,FALSE)),"")</f>
        <v>0</v>
      </c>
      <c r="K48" s="4" t="str">
        <f>VLOOKUP(Tableau3[[#This Row],[Name Consignee]],Tableau10[],4,FALSE)</f>
        <v>CHILE</v>
      </c>
      <c r="L48" s="7" t="s">
        <v>138</v>
      </c>
      <c r="M48" s="490">
        <f>VLOOKUP(Tableau3[[#This Row],[Name Consignee]],Tableau10[],3,FALSE)</f>
        <v>90009500</v>
      </c>
      <c r="N4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49" spans="1:14" ht="14.1" customHeight="1">
      <c r="A49" s="161" t="str">
        <f>_xlfn.CONCAT(Tableau3[[#This Row],[POD]],"-",Tableau3[[#This Row],[Code PFI]],"-",Tableau3[[#This Row],[Compte Consignee]])</f>
        <v>CNWUH---0</v>
      </c>
      <c r="B49" s="161" t="str">
        <f>_xlfn.CONCAT(Tableau3[[#This Row],[POD]],"-",Tableau3[[#This Row],[Code PFI]])</f>
        <v>CNWUH--</v>
      </c>
      <c r="C49" s="169" t="str">
        <f>IF(Tableau3[[#This Row],[Name PFI/CDD]]="",_xlfn.CONCAT(Tableau3[[#This Row],[POD]],"-",Tableau3[[#This Row],[Compte Consignee]]),"-")</f>
        <v>CNWUH-0</v>
      </c>
      <c r="D49" s="170" t="str">
        <f>_xlfn.CONCAT(Tableau3[[#This Row],[Code PFI]],"-",Tableau3[[#This Row],[Compte Consignee]])</f>
        <v>--0</v>
      </c>
      <c r="E49" s="171" t="s">
        <v>588</v>
      </c>
      <c r="F49" s="172">
        <v>6</v>
      </c>
      <c r="G49" s="166"/>
      <c r="H49" s="490" t="str">
        <f>IF(Tableau3[[#This Row],[Name PFI/CDD]]&lt;&gt;"",VLOOKUP(Tableau3[[#This Row],[Name PFI/CDD]],Plant_AILN!I:J,2,FALSE),"-")</f>
        <v>-</v>
      </c>
      <c r="I49" s="167" t="str">
        <f>IF(Tableau3[[#This Row],[Code PFI]]="-","Direct","PFI/CDD")</f>
        <v>Direct</v>
      </c>
      <c r="J49" s="60">
        <f>IFERROR(IF(Tableau3[[#This Row],[type PFI/CDD]]="Direct",0,VLOOKUP(Tableau3[[#This Row],[Clé(POD-PFI)]],Transport!G:K,5,FALSE)),"")</f>
        <v>0</v>
      </c>
      <c r="K49" s="4" t="str">
        <f>VLOOKUP(Tableau3[[#This Row],[Name Consignee]],Tableau10[],4,FALSE)</f>
        <v>CHINA</v>
      </c>
      <c r="L49" s="7" t="s">
        <v>315</v>
      </c>
      <c r="M49" s="490">
        <f>VLOOKUP(Tableau3[[#This Row],[Name Consignee]],Tableau10[],3,FALSE)</f>
        <v>0</v>
      </c>
      <c r="N49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0" spans="1:14" ht="14.1" customHeight="1">
      <c r="A50" s="408" t="str">
        <f>_xlfn.CONCAT(Tableau3[[#This Row],[POD]],"-",Tableau3[[#This Row],[Code PFI]],"-",Tableau3[[#This Row],[Compte Consignee]])</f>
        <v>CNSHA---0</v>
      </c>
      <c r="B50" s="190" t="str">
        <f>_xlfn.CONCAT(Tableau3[[#This Row],[POD]],"-",Tableau3[[#This Row],[Code PFI]])</f>
        <v>CNSHA--</v>
      </c>
      <c r="C50" s="409" t="str">
        <f>IF(Tableau3[[#This Row],[Name PFI/CDD]]="",_xlfn.CONCAT(Tableau3[[#This Row],[POD]],"-",Tableau3[[#This Row],[Compte Consignee]]),"-")</f>
        <v>CNSHA-0</v>
      </c>
      <c r="D50" s="410" t="str">
        <f>_xlfn.CONCAT(Tableau3[[#This Row],[Code PFI]],"-",Tableau3[[#This Row],[Compte Consignee]])</f>
        <v>--0</v>
      </c>
      <c r="E50" s="171" t="s">
        <v>513</v>
      </c>
      <c r="F50" s="411">
        <v>6</v>
      </c>
      <c r="G50" s="166"/>
      <c r="H50" s="490" t="str">
        <f>IF(Tableau3[[#This Row],[Name PFI/CDD]]&lt;&gt;"",VLOOKUP(Tableau3[[#This Row],[Name PFI/CDD]],Plant_AILN!I:J,2,FALSE),"-")</f>
        <v>-</v>
      </c>
      <c r="I50" s="167" t="str">
        <f>IF(Tableau3[[#This Row],[Code PFI]]="-","Direct","PFI/CDD")</f>
        <v>Direct</v>
      </c>
      <c r="J50" s="2">
        <f>IFERROR(IF(Tableau3[[#This Row],[type PFI/CDD]]="Direct",0,VLOOKUP(Tableau3[[#This Row],[Clé(POD-PFI)]],Transport!G:K,5,FALSE)),"")</f>
        <v>0</v>
      </c>
      <c r="K50" s="4" t="str">
        <f>VLOOKUP(Tableau3[[#This Row],[Name Consignee]],Tableau10[],4,FALSE)</f>
        <v>CHINA</v>
      </c>
      <c r="L50" s="7" t="s">
        <v>315</v>
      </c>
      <c r="M50" s="490">
        <f>VLOOKUP(Tableau3[[#This Row],[Name Consignee]],Tableau10[],3,FALSE)</f>
        <v>0</v>
      </c>
      <c r="N50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1" spans="1:14" ht="14.1" customHeight="1">
      <c r="A51" s="161" t="str">
        <f>_xlfn.CONCAT(Tableau3[[#This Row],[POD]],"-",Tableau3[[#This Row],[Code PFI]],"-",Tableau3[[#This Row],[Compte Consignee]])</f>
        <v>COBUN---9510600</v>
      </c>
      <c r="B51" s="161" t="str">
        <f>_xlfn.CONCAT(Tableau3[[#This Row],[POD]],"-",Tableau3[[#This Row],[Code PFI]])</f>
        <v>COBUN--</v>
      </c>
      <c r="C51" s="169" t="str">
        <f>IF(Tableau3[[#This Row],[Name PFI/CDD]]="",_xlfn.CONCAT(Tableau3[[#This Row],[POD]],"-",Tableau3[[#This Row],[Compte Consignee]]),"-")</f>
        <v>COBUN-9510600</v>
      </c>
      <c r="D51" s="170" t="str">
        <f>_xlfn.CONCAT(Tableau3[[#This Row],[Code PFI]],"-",Tableau3[[#This Row],[Compte Consignee]])</f>
        <v>--9510600</v>
      </c>
      <c r="E51" s="171" t="s">
        <v>494</v>
      </c>
      <c r="F51" s="172">
        <v>0</v>
      </c>
      <c r="G51" s="166"/>
      <c r="H51" s="490" t="str">
        <f>IF(Tableau3[[#This Row],[Name PFI/CDD]]&lt;&gt;"",VLOOKUP(Tableau3[[#This Row],[Name PFI/CDD]],Plant_AILN!I:J,2,FALSE),"-")</f>
        <v>-</v>
      </c>
      <c r="I51" s="167" t="str">
        <f>IF(Tableau3[[#This Row],[Code PFI]]="-","Direct","PFI/CDD")</f>
        <v>Direct</v>
      </c>
      <c r="J51" s="60">
        <f>IFERROR(IF(Tableau3[[#This Row],[type PFI/CDD]]="Direct",0,VLOOKUP(Tableau3[[#This Row],[Clé(POD-PFI)]],Transport!G:K,5,FALSE)),"")</f>
        <v>0</v>
      </c>
      <c r="K51" s="4" t="str">
        <f>VLOOKUP(Tableau3[[#This Row],[Name Consignee]],Tableau10[],4,FALSE)</f>
        <v>COLOMBIA</v>
      </c>
      <c r="L51" s="7" t="s">
        <v>176</v>
      </c>
      <c r="M51" s="490">
        <f>VLOOKUP(Tableau3[[#This Row],[Name Consignee]],Tableau10[],3,FALSE)</f>
        <v>9510600</v>
      </c>
      <c r="N51" s="3">
        <f>IFERROR(IF(Tableau3[[#This Row],[type PFI/CDD]]="Direct",VLOOKUP(Tableau3[[#This Row],[Clé(POD-Compte site )]],Transport!A:E,5,FALSE),VLOOKUP(Tableau3[[#This Row],[Clé(PFI-site)]],Transport!M:S,7,FALSE)),"No information")</f>
        <v>0</v>
      </c>
    </row>
    <row r="52" spans="1:14" ht="14.1" customHeight="1">
      <c r="A52" s="161" t="str">
        <f>_xlfn.CONCAT(Tableau3[[#This Row],[POD]],"-",Tableau3[[#This Row],[Code PFI]],"-",Tableau3[[#This Row],[Compte Consignee]])</f>
        <v>COCTG---9510600</v>
      </c>
      <c r="B52" s="161" t="str">
        <f>_xlfn.CONCAT(Tableau3[[#This Row],[POD]],"-",Tableau3[[#This Row],[Code PFI]])</f>
        <v>COCTG--</v>
      </c>
      <c r="C52" s="169" t="str">
        <f>IF(Tableau3[[#This Row],[Name PFI/CDD]]="",_xlfn.CONCAT(Tableau3[[#This Row],[POD]],"-",Tableau3[[#This Row],[Compte Consignee]]),"-")</f>
        <v>COCTG-9510600</v>
      </c>
      <c r="D52" s="170" t="str">
        <f>_xlfn.CONCAT(Tableau3[[#This Row],[Code PFI]],"-",Tableau3[[#This Row],[Compte Consignee]])</f>
        <v>--9510600</v>
      </c>
      <c r="E52" s="171" t="s">
        <v>503</v>
      </c>
      <c r="F52" s="172">
        <v>0</v>
      </c>
      <c r="G52" s="166"/>
      <c r="H52" s="490" t="str">
        <f>IF(Tableau3[[#This Row],[Name PFI/CDD]]&lt;&gt;"",VLOOKUP(Tableau3[[#This Row],[Name PFI/CDD]],Plant_AILN!I:J,2,FALSE),"-")</f>
        <v>-</v>
      </c>
      <c r="I52" s="167" t="str">
        <f>IF(Tableau3[[#This Row],[Code PFI]]="-","Direct","PFI/CDD")</f>
        <v>Direct</v>
      </c>
      <c r="J52" s="60">
        <f>IFERROR(IF(Tableau3[[#This Row],[type PFI/CDD]]="Direct",0,VLOOKUP(Tableau3[[#This Row],[Clé(POD-PFI)]],Transport!G:K,5,FALSE)),"")</f>
        <v>0</v>
      </c>
      <c r="K52" s="4" t="str">
        <f>VLOOKUP(Tableau3[[#This Row],[Name Consignee]],Tableau10[],4,FALSE)</f>
        <v>COLOMBIA</v>
      </c>
      <c r="L52" s="7" t="s">
        <v>176</v>
      </c>
      <c r="M52" s="490">
        <f>VLOOKUP(Tableau3[[#This Row],[Name Consignee]],Tableau10[],3,FALSE)</f>
        <v>9510600</v>
      </c>
      <c r="N52" s="3">
        <f>IFERROR(IF(Tableau3[[#This Row],[type PFI/CDD]]="Direct",VLOOKUP(Tableau3[[#This Row],[Clé(POD-Compte site )]],Transport!A:E,5,FALSE),VLOOKUP(Tableau3[[#This Row],[Clé(PFI-site)]],Transport!M:S,7,FALSE)),"No information")</f>
        <v>0</v>
      </c>
    </row>
    <row r="53" spans="1:14" ht="14.1" customHeight="1">
      <c r="A53" s="161" t="str">
        <f>_xlfn.CONCAT(Tableau3[[#This Row],[POD]],"-",Tableau3[[#This Row],[Code PFI]],"-",Tableau3[[#This Row],[Compte Consignee]])</f>
        <v>EGALY---0</v>
      </c>
      <c r="B53" s="161" t="str">
        <f>_xlfn.CONCAT(Tableau3[[#This Row],[POD]],"-",Tableau3[[#This Row],[Code PFI]])</f>
        <v>EGALY--</v>
      </c>
      <c r="C53" s="169" t="str">
        <f>IF(Tableau3[[#This Row],[Name PFI/CDD]]="",_xlfn.CONCAT(Tableau3[[#This Row],[POD]],"-",Tableau3[[#This Row],[Compte Consignee]]),"-")</f>
        <v>EGALY-0</v>
      </c>
      <c r="D53" s="170" t="str">
        <f>_xlfn.CONCAT(Tableau3[[#This Row],[Code PFI]],"-",Tableau3[[#This Row],[Compte Consignee]])</f>
        <v>--0</v>
      </c>
      <c r="E53" s="171" t="s">
        <v>589</v>
      </c>
      <c r="F53" s="172">
        <v>5</v>
      </c>
      <c r="G53" s="166"/>
      <c r="H53" s="490" t="str">
        <f>IF(Tableau3[[#This Row],[Name PFI/CDD]]&lt;&gt;"",VLOOKUP(Tableau3[[#This Row],[Name PFI/CDD]],Plant_AILN!I:J,2,FALSE),"-")</f>
        <v>-</v>
      </c>
      <c r="I53" s="167" t="str">
        <f>IF(Tableau3[[#This Row],[Code PFI]]="-","Direct","PFI/CDD")</f>
        <v>Direct</v>
      </c>
      <c r="J53" s="60">
        <f>IFERROR(IF(Tableau3[[#This Row],[type PFI/CDD]]="Direct",0,VLOOKUP(Tableau3[[#This Row],[Clé(POD-PFI)]],Transport!G:K,5,FALSE)),"")</f>
        <v>0</v>
      </c>
      <c r="K53" s="4" t="str">
        <f>VLOOKUP(Tableau3[[#This Row],[Name Consignee]],Tableau10[],4,FALSE)</f>
        <v>EGYPT</v>
      </c>
      <c r="L53" s="7" t="s">
        <v>590</v>
      </c>
      <c r="M53" s="490">
        <f>VLOOKUP(Tableau3[[#This Row],[Name Consignee]],Tableau10[],3,FALSE)</f>
        <v>0</v>
      </c>
      <c r="N53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54" spans="1:14" ht="14.1" customHeight="1">
      <c r="A54" s="161" t="str">
        <f>_xlfn.CONCAT(Tableau3[[#This Row],[POD]],"-",Tableau3[[#This Row],[Code PFI]],"-",Tableau3[[#This Row],[Compte Consignee]])</f>
        <v>ESVLC---9101840000</v>
      </c>
      <c r="B54" s="161" t="str">
        <f>_xlfn.CONCAT(Tableau3[[#This Row],[POD]],"-",Tableau3[[#This Row],[Code PFI]])</f>
        <v>ESVLC--</v>
      </c>
      <c r="C54" s="169" t="str">
        <f>IF(Tableau3[[#This Row],[Name PFI/CDD]]="",_xlfn.CONCAT(Tableau3[[#This Row],[POD]],"-",Tableau3[[#This Row],[Compte Consignee]]),"-")</f>
        <v>ESVLC-9101840000</v>
      </c>
      <c r="D54" s="170" t="str">
        <f>_xlfn.CONCAT(Tableau3[[#This Row],[Code PFI]],"-",Tableau3[[#This Row],[Compte Consignee]])</f>
        <v>--9101840000</v>
      </c>
      <c r="E54" s="171" t="s">
        <v>492</v>
      </c>
      <c r="F54" s="172">
        <v>2</v>
      </c>
      <c r="G54" s="166"/>
      <c r="H54" s="490" t="str">
        <f>IF(Tableau3[[#This Row],[Name PFI/CDD]]&lt;&gt;"",VLOOKUP(Tableau3[[#This Row],[Name PFI/CDD]],Plant_AILN!I:J,2,FALSE),"-")</f>
        <v>-</v>
      </c>
      <c r="I54" s="167" t="str">
        <f>IF(Tableau3[[#This Row],[Code PFI]]="-","Direct","PFI/CDD")</f>
        <v>Direct</v>
      </c>
      <c r="J54" s="60">
        <f>IFERROR(IF(Tableau3[[#This Row],[type PFI/CDD]]="Direct",0,VLOOKUP(Tableau3[[#This Row],[Clé(POD-PFI)]],Transport!G:K,5,FALSE)),"")</f>
        <v>0</v>
      </c>
      <c r="K54" s="4" t="str">
        <f>VLOOKUP(Tableau3[[#This Row],[Name Consignee]],Tableau10[],4,FALSE)</f>
        <v>SPAIN</v>
      </c>
      <c r="L54" s="7" t="s">
        <v>144</v>
      </c>
      <c r="M54" s="490">
        <f>VLOOKUP(Tableau3[[#This Row],[Name Consignee]],Tableau10[],3,FALSE)</f>
        <v>9101840000</v>
      </c>
      <c r="N54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5" spans="1:14" ht="14.1" customHeight="1">
      <c r="A55" s="408" t="str">
        <f>_xlfn.CONCAT(Tableau3[[#This Row],[POD]],"-",Tableau3[[#This Row],[Code PFI]],"-",Tableau3[[#This Row],[Compte Consignee]])</f>
        <v>ESVLC---91017200</v>
      </c>
      <c r="B55" s="190" t="str">
        <f>_xlfn.CONCAT(Tableau3[[#This Row],[POD]],"-",Tableau3[[#This Row],[Code PFI]])</f>
        <v>ESVLC--</v>
      </c>
      <c r="C55" s="409" t="str">
        <f>IF(Tableau3[[#This Row],[Name PFI/CDD]]="",_xlfn.CONCAT(Tableau3[[#This Row],[POD]],"-",Tableau3[[#This Row],[Compte Consignee]]),"-")</f>
        <v>ESVLC-91017200</v>
      </c>
      <c r="D55" s="410" t="str">
        <f>_xlfn.CONCAT(Tableau3[[#This Row],[Code PFI]],"-",Tableau3[[#This Row],[Compte Consignee]])</f>
        <v>--91017200</v>
      </c>
      <c r="E55" s="171" t="s">
        <v>492</v>
      </c>
      <c r="F55" s="172">
        <v>2</v>
      </c>
      <c r="G55" s="166"/>
      <c r="H55" s="490" t="str">
        <f>IF(Tableau3[[#This Row],[Name PFI/CDD]]&lt;&gt;"",VLOOKUP(Tableau3[[#This Row],[Name PFI/CDD]],Plant_AILN!I:J,2,FALSE),"-")</f>
        <v>-</v>
      </c>
      <c r="I55" s="167" t="str">
        <f>IF(Tableau3[[#This Row],[Code PFI]]="-","Direct","PFI/CDD")</f>
        <v>Direct</v>
      </c>
      <c r="J55" s="2">
        <f>IFERROR(IF(Tableau3[[#This Row],[type PFI/CDD]]="Direct",0,VLOOKUP(Tableau3[[#This Row],[Clé(POD-PFI)]],Transport!G:K,5,FALSE)),"")</f>
        <v>0</v>
      </c>
      <c r="K55" s="430" t="str">
        <f>VLOOKUP(Tableau3[[#This Row],[Name Consignee]],Tableau10[],4,FALSE)</f>
        <v>SPAIN</v>
      </c>
      <c r="L55" s="7" t="s">
        <v>175</v>
      </c>
      <c r="M55" s="490">
        <f>VLOOKUP(Tableau3[[#This Row],[Name Consignee]],Tableau10[],3,FALSE)</f>
        <v>91017200</v>
      </c>
      <c r="N5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56" spans="1:14" ht="14.1" customHeight="1">
      <c r="A56" s="161" t="str">
        <f>_xlfn.CONCAT(Tableau3[[#This Row],[POD]],"-",Tableau3[[#This Row],[Code PFI]],"-",Tableau3[[#This Row],[Compte Consignee]])</f>
        <v>ESVLC---91017700</v>
      </c>
      <c r="B56" s="161" t="str">
        <f>_xlfn.CONCAT(Tableau3[[#This Row],[POD]],"-",Tableau3[[#This Row],[Code PFI]])</f>
        <v>ESVLC--</v>
      </c>
      <c r="C56" s="169" t="str">
        <f>IF(Tableau3[[#This Row],[Name PFI/CDD]]="",_xlfn.CONCAT(Tableau3[[#This Row],[POD]],"-",Tableau3[[#This Row],[Compte Consignee]]),"-")</f>
        <v>ESVLC-91017700</v>
      </c>
      <c r="D56" s="170" t="str">
        <f>_xlfn.CONCAT(Tableau3[[#This Row],[Code PFI]],"-",Tableau3[[#This Row],[Compte Consignee]])</f>
        <v>--91017700</v>
      </c>
      <c r="E56" s="171" t="s">
        <v>492</v>
      </c>
      <c r="F56" s="172">
        <v>2</v>
      </c>
      <c r="G56" s="166"/>
      <c r="H56" s="490" t="str">
        <f>IF(Tableau3[[#This Row],[Name PFI/CDD]]&lt;&gt;"",VLOOKUP(Tableau3[[#This Row],[Name PFI/CDD]],Plant_AILN!I:J,2,FALSE),"-")</f>
        <v>-</v>
      </c>
      <c r="I56" s="167" t="str">
        <f>IF(Tableau3[[#This Row],[Code PFI]]="-","Direct","PFI/CDD")</f>
        <v>Direct</v>
      </c>
      <c r="J56" s="60">
        <f>IFERROR(IF(Tableau3[[#This Row],[type PFI/CDD]]="Direct",0,VLOOKUP(Tableau3[[#This Row],[Clé(POD-PFI)]],Transport!G:K,5,FALSE)),"")</f>
        <v>0</v>
      </c>
      <c r="K56" s="4" t="str">
        <f>VLOOKUP(Tableau3[[#This Row],[Name Consignee]],Tableau10[],4,FALSE)</f>
        <v>SPAIN</v>
      </c>
      <c r="L56" s="7" t="s">
        <v>163</v>
      </c>
      <c r="M56" s="490">
        <f>VLOOKUP(Tableau3[[#This Row],[Name Consignee]],Tableau10[],3,FALSE)</f>
        <v>91017700</v>
      </c>
      <c r="N56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57" spans="1:14" ht="14.1" customHeight="1">
      <c r="A57" s="161" t="str">
        <f>_xlfn.CONCAT(Tableau3[[#This Row],[POD]],"-",Tableau3[[#This Row],[Code PFI]],"-",Tableau3[[#This Row],[Compte Consignee]])</f>
        <v>ESVLC---91017300</v>
      </c>
      <c r="B57" s="161" t="str">
        <f>_xlfn.CONCAT(Tableau3[[#This Row],[POD]],"-",Tableau3[[#This Row],[Code PFI]])</f>
        <v>ESVLC--</v>
      </c>
      <c r="C57" s="169" t="str">
        <f>IF(Tableau3[[#This Row],[Name PFI/CDD]]="",_xlfn.CONCAT(Tableau3[[#This Row],[POD]],"-",Tableau3[[#This Row],[Compte Consignee]]),"-")</f>
        <v>ESVLC-91017300</v>
      </c>
      <c r="D57" s="170" t="str">
        <f>_xlfn.CONCAT(Tableau3[[#This Row],[Code PFI]],"-",Tableau3[[#This Row],[Compte Consignee]])</f>
        <v>--91017300</v>
      </c>
      <c r="E57" s="171" t="s">
        <v>492</v>
      </c>
      <c r="F57" s="172">
        <v>2</v>
      </c>
      <c r="G57" s="166"/>
      <c r="H57" s="490" t="str">
        <f>IF(Tableau3[[#This Row],[Name PFI/CDD]]&lt;&gt;"",VLOOKUP(Tableau3[[#This Row],[Name PFI/CDD]],Plant_AILN!I:J,2,FALSE),"-")</f>
        <v>-</v>
      </c>
      <c r="I57" s="167" t="str">
        <f>IF(Tableau3[[#This Row],[Code PFI]]="-","Direct","PFI/CDD")</f>
        <v>Direct</v>
      </c>
      <c r="J57" s="60">
        <f>IFERROR(IF(Tableau3[[#This Row],[type PFI/CDD]]="Direct",0,VLOOKUP(Tableau3[[#This Row],[Clé(POD-PFI)]],Transport!G:K,5,FALSE)),"")</f>
        <v>0</v>
      </c>
      <c r="K57" s="4" t="str">
        <f>VLOOKUP(Tableau3[[#This Row],[Name Consignee]],Tableau10[],4,FALSE)</f>
        <v>SPAIN</v>
      </c>
      <c r="L57" s="7" t="s">
        <v>172</v>
      </c>
      <c r="M57" s="490">
        <f>VLOOKUP(Tableau3[[#This Row],[Name Consignee]],Tableau10[],3,FALSE)</f>
        <v>91017300</v>
      </c>
      <c r="N57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58" spans="1:14" ht="14.1" customHeight="1">
      <c r="A58" s="161" t="str">
        <f>_xlfn.CONCAT(Tableau3[[#This Row],[POD]],"-",Tableau3[[#This Row],[Code PFI]],"-",Tableau3[[#This Row],[Compte Consignee]])</f>
        <v>FRDKK---90019100</v>
      </c>
      <c r="B58" s="161" t="str">
        <f>_xlfn.CONCAT(Tableau3[[#This Row],[POD]],"-",Tableau3[[#This Row],[Code PFI]])</f>
        <v>FRDKK--</v>
      </c>
      <c r="C58" s="169" t="str">
        <f>IF(Tableau3[[#This Row],[Name PFI/CDD]]="",_xlfn.CONCAT(Tableau3[[#This Row],[POD]],"-",Tableau3[[#This Row],[Compte Consignee]]),"-")</f>
        <v>FRDKK-90019100</v>
      </c>
      <c r="D58" s="170" t="str">
        <f>_xlfn.CONCAT(Tableau3[[#This Row],[Code PFI]],"-",Tableau3[[#This Row],[Compte Consignee]])</f>
        <v>--90019100</v>
      </c>
      <c r="E58" s="171" t="s">
        <v>517</v>
      </c>
      <c r="F58" s="172">
        <v>3</v>
      </c>
      <c r="G58" s="166"/>
      <c r="H58" s="490" t="str">
        <f>IF(Tableau3[[#This Row],[Name PFI/CDD]]&lt;&gt;"",VLOOKUP(Tableau3[[#This Row],[Name PFI/CDD]],Plant_AILN!I:J,2,FALSE),"-")</f>
        <v>-</v>
      </c>
      <c r="I58" s="167" t="str">
        <f>IF(Tableau3[[#This Row],[Code PFI]]="-","Direct","PFI/CDD")</f>
        <v>Direct</v>
      </c>
      <c r="J58" s="60">
        <f>IFERROR(IF(Tableau3[[#This Row],[type PFI/CDD]]="Direct",0,VLOOKUP(Tableau3[[#This Row],[Clé(POD-PFI)]],Transport!G:K,5,FALSE)),"")</f>
        <v>0</v>
      </c>
      <c r="K58" s="4" t="str">
        <f>VLOOKUP(Tableau3[[#This Row],[Name Consignee]],Tableau10[],4,FALSE)</f>
        <v>FRANCE</v>
      </c>
      <c r="L58" s="7" t="s">
        <v>189</v>
      </c>
      <c r="M58" s="490">
        <f>VLOOKUP(Tableau3[[#This Row],[Name Consignee]],Tableau10[],3,FALSE)</f>
        <v>90019100</v>
      </c>
      <c r="N5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59" spans="1:14" ht="14.1" customHeight="1">
      <c r="A59" s="161" t="str">
        <f>_xlfn.CONCAT(Tableau3[[#This Row],[POD]],"-",Tableau3[[#This Row],[Code PFI]],"-",Tableau3[[#This Row],[Compte Consignee]])</f>
        <v>FRLEH---92000100</v>
      </c>
      <c r="B59" s="161" t="str">
        <f>_xlfn.CONCAT(Tableau3[[#This Row],[POD]],"-",Tableau3[[#This Row],[Code PFI]])</f>
        <v>FRLEH--</v>
      </c>
      <c r="C59" s="169" t="str">
        <f>IF(Tableau3[[#This Row],[Name PFI/CDD]]="",_xlfn.CONCAT(Tableau3[[#This Row],[POD]],"-",Tableau3[[#This Row],[Compte Consignee]]),"-")</f>
        <v>FRLEH-92000100</v>
      </c>
      <c r="D59" s="170" t="str">
        <f>_xlfn.CONCAT(Tableau3[[#This Row],[Code PFI]],"-",Tableau3[[#This Row],[Compte Consignee]])</f>
        <v>--92000100</v>
      </c>
      <c r="E59" s="171" t="s">
        <v>505</v>
      </c>
      <c r="F59" s="172">
        <v>3</v>
      </c>
      <c r="G59" s="166"/>
      <c r="H59" s="490" t="str">
        <f>IF(Tableau3[[#This Row],[Name PFI/CDD]]&lt;&gt;"",VLOOKUP(Tableau3[[#This Row],[Name PFI/CDD]],Plant_AILN!I:J,2,FALSE),"-")</f>
        <v>-</v>
      </c>
      <c r="I59" s="167" t="str">
        <f>IF(Tableau3[[#This Row],[Code PFI]]="-","Direct","PFI/CDD")</f>
        <v>Direct</v>
      </c>
      <c r="J59" s="60">
        <f>IFERROR(IF(Tableau3[[#This Row],[type PFI/CDD]]="Direct",0,VLOOKUP(Tableau3[[#This Row],[Clé(POD-PFI)]],Transport!G:K,5,FALSE)),"")</f>
        <v>0</v>
      </c>
      <c r="K59" s="4" t="str">
        <f>VLOOKUP(Tableau3[[#This Row],[Name Consignee]],Tableau10[],4,FALSE)</f>
        <v>FRANCE</v>
      </c>
      <c r="L59" s="7" t="s">
        <v>184</v>
      </c>
      <c r="M59" s="490">
        <f>VLOOKUP(Tableau3[[#This Row],[Name Consignee]],Tableau10[],3,FALSE)</f>
        <v>92000100</v>
      </c>
      <c r="N59" s="3">
        <f>IFERROR(IF(Tableau3[[#This Row],[type PFI/CDD]]="Direct",VLOOKUP(Tableau3[[#This Row],[Clé(POD-Compte site )]],Transport!A:E,5,FALSE),VLOOKUP(Tableau3[[#This Row],[Clé(PFI-site)]],Transport!M:S,7,FALSE)),"No information")</f>
        <v>8</v>
      </c>
    </row>
    <row r="60" spans="1:14" ht="14.1" customHeight="1">
      <c r="A60" s="161" t="str">
        <f>_xlfn.CONCAT(Tableau3[[#This Row],[POD]],"-",Tableau3[[#This Row],[Code PFI]],"-",Tableau3[[#This Row],[Compte Consignee]])</f>
        <v>FRLEH---90015100</v>
      </c>
      <c r="B60" s="161" t="str">
        <f>_xlfn.CONCAT(Tableau3[[#This Row],[POD]],"-",Tableau3[[#This Row],[Code PFI]])</f>
        <v>FRLEH--</v>
      </c>
      <c r="C60" s="169" t="str">
        <f>IF(Tableau3[[#This Row],[Name PFI/CDD]]="",_xlfn.CONCAT(Tableau3[[#This Row],[POD]],"-",Tableau3[[#This Row],[Compte Consignee]]),"-")</f>
        <v>FRLEH-90015100</v>
      </c>
      <c r="D60" s="170" t="str">
        <f>_xlfn.CONCAT(Tableau3[[#This Row],[Code PFI]],"-",Tableau3[[#This Row],[Compte Consignee]])</f>
        <v>--90015100</v>
      </c>
      <c r="E60" s="171" t="s">
        <v>505</v>
      </c>
      <c r="F60" s="172">
        <v>3</v>
      </c>
      <c r="G60" s="166"/>
      <c r="H60" s="490" t="str">
        <f>IF(Tableau3[[#This Row],[Name PFI/CDD]]&lt;&gt;"",VLOOKUP(Tableau3[[#This Row],[Name PFI/CDD]],Plant_AILN!I:J,2,FALSE),"-")</f>
        <v>-</v>
      </c>
      <c r="I60" s="167" t="str">
        <f>IF(Tableau3[[#This Row],[Code PFI]]="-","Direct","PFI/CDD")</f>
        <v>Direct</v>
      </c>
      <c r="J60" s="60">
        <f>IFERROR(IF(Tableau3[[#This Row],[type PFI/CDD]]="Direct",0,VLOOKUP(Tableau3[[#This Row],[Clé(POD-PFI)]],Transport!G:K,5,FALSE)),"")</f>
        <v>0</v>
      </c>
      <c r="K60" s="4" t="str">
        <f>VLOOKUP(Tableau3[[#This Row],[Name Consignee]],Tableau10[],4,FALSE)</f>
        <v>FRANCE</v>
      </c>
      <c r="L60" s="7" t="s">
        <v>187</v>
      </c>
      <c r="M60" s="490">
        <f>VLOOKUP(Tableau3[[#This Row],[Name Consignee]],Tableau10[],3,FALSE)</f>
        <v>90015100</v>
      </c>
      <c r="N60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1" spans="1:14" ht="14.1" customHeight="1">
      <c r="A61" s="161" t="str">
        <f>_xlfn.CONCAT(Tableau3[[#This Row],[POD]],"-",Tableau3[[#This Row],[Code PFI]],"-",Tableau3[[#This Row],[Compte Consignee]])</f>
        <v>FRLEH---90016600</v>
      </c>
      <c r="B61" s="161" t="str">
        <f>_xlfn.CONCAT(Tableau3[[#This Row],[POD]],"-",Tableau3[[#This Row],[Code PFI]])</f>
        <v>FRLEH--</v>
      </c>
      <c r="C61" s="169" t="str">
        <f>IF(Tableau3[[#This Row],[Name PFI/CDD]]="",_xlfn.CONCAT(Tableau3[[#This Row],[POD]],"-",Tableau3[[#This Row],[Compte Consignee]]),"-")</f>
        <v>FRLEH-90016600</v>
      </c>
      <c r="D61" s="170" t="str">
        <f>_xlfn.CONCAT(Tableau3[[#This Row],[Code PFI]],"-",Tableau3[[#This Row],[Compte Consignee]])</f>
        <v>--90016600</v>
      </c>
      <c r="E61" s="171" t="s">
        <v>505</v>
      </c>
      <c r="F61" s="172">
        <v>3</v>
      </c>
      <c r="G61" s="166"/>
      <c r="H61" s="490" t="str">
        <f>IF(Tableau3[[#This Row],[Name PFI/CDD]]&lt;&gt;"",VLOOKUP(Tableau3[[#This Row],[Name PFI/CDD]],Plant_AILN!I:J,2,FALSE),"-")</f>
        <v>-</v>
      </c>
      <c r="I61" s="167" t="str">
        <f>IF(Tableau3[[#This Row],[Code PFI]]="-","Direct","PFI/CDD")</f>
        <v>Direct</v>
      </c>
      <c r="J61" s="60">
        <f>IFERROR(IF(Tableau3[[#This Row],[type PFI/CDD]]="Direct",0,VLOOKUP(Tableau3[[#This Row],[Clé(POD-PFI)]],Transport!G:K,5,FALSE)),"")</f>
        <v>0</v>
      </c>
      <c r="K61" s="4" t="str">
        <f>VLOOKUP(Tableau3[[#This Row],[Name Consignee]],Tableau10[],4,FALSE)</f>
        <v>FRANCE</v>
      </c>
      <c r="L61" s="7" t="s">
        <v>1</v>
      </c>
      <c r="M61" s="490">
        <f>VLOOKUP(Tableau3[[#This Row],[Name Consignee]],Tableau10[],3,FALSE)</f>
        <v>90016600</v>
      </c>
      <c r="N61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2" spans="1:14" ht="14.1" customHeight="1">
      <c r="A62" s="161" t="str">
        <f>_xlfn.CONCAT(Tableau3[[#This Row],[POD]],"-",Tableau3[[#This Row],[Code PFI]],"-",Tableau3[[#This Row],[Compte Consignee]])</f>
        <v>INENR---26549500</v>
      </c>
      <c r="B62" s="161" t="str">
        <f>_xlfn.CONCAT(Tableau3[[#This Row],[POD]],"-",Tableau3[[#This Row],[Code PFI]])</f>
        <v>INENR--</v>
      </c>
      <c r="C62" s="169" t="str">
        <f>IF(Tableau3[[#This Row],[Name PFI/CDD]]="",_xlfn.CONCAT(Tableau3[[#This Row],[POD]],"-",Tableau3[[#This Row],[Compte Consignee]]),"-")</f>
        <v>INENR-26549500</v>
      </c>
      <c r="D62" s="170" t="str">
        <f>_xlfn.CONCAT(Tableau3[[#This Row],[Code PFI]],"-",Tableau3[[#This Row],[Compte Consignee]])</f>
        <v>--26549500</v>
      </c>
      <c r="E62" s="171" t="s">
        <v>470</v>
      </c>
      <c r="F62" s="172">
        <v>6</v>
      </c>
      <c r="G62" s="166"/>
      <c r="H62" s="490" t="str">
        <f>IF(Tableau3[[#This Row],[Name PFI/CDD]]&lt;&gt;"",VLOOKUP(Tableau3[[#This Row],[Name PFI/CDD]],Plant_AILN!I:J,2,FALSE),"-")</f>
        <v>-</v>
      </c>
      <c r="I62" s="167" t="str">
        <f>IF(Tableau3[[#This Row],[Code PFI]]="-","Direct","PFI/CDD")</f>
        <v>Direct</v>
      </c>
      <c r="J62" s="60">
        <f>IFERROR(IF(Tableau3[[#This Row],[type PFI/CDD]]="Direct",0,VLOOKUP(Tableau3[[#This Row],[Clé(POD-PFI)]],Transport!G:K,5,FALSE)),"")</f>
        <v>0</v>
      </c>
      <c r="K62" s="4" t="str">
        <f>VLOOKUP(Tableau3[[#This Row],[Name Consignee]],Tableau10[],4,FALSE)</f>
        <v>INDIA</v>
      </c>
      <c r="L62" s="7" t="s">
        <v>257</v>
      </c>
      <c r="M62" s="490">
        <f>VLOOKUP(Tableau3[[#This Row],[Name Consignee]],Tableau10[],3,FALSE)</f>
        <v>26549500</v>
      </c>
      <c r="N62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3" spans="1:14" ht="14.1" customHeight="1">
      <c r="A63" s="161" t="str">
        <f>_xlfn.CONCAT(Tableau3[[#This Row],[POD]],"-",Tableau3[[#This Row],[Code PFI]],"-",Tableau3[[#This Row],[Compte Consignee]])</f>
        <v>INKAT---26549500</v>
      </c>
      <c r="B63" s="161" t="str">
        <f>_xlfn.CONCAT(Tableau3[[#This Row],[POD]],"-",Tableau3[[#This Row],[Code PFI]])</f>
        <v>INKAT--</v>
      </c>
      <c r="C63" s="169" t="str">
        <f>IF(Tableau3[[#This Row],[Name PFI/CDD]]="",_xlfn.CONCAT(Tableau3[[#This Row],[POD]],"-",Tableau3[[#This Row],[Compte Consignee]]),"-")</f>
        <v>INKAT-26549500</v>
      </c>
      <c r="D63" s="170" t="str">
        <f>_xlfn.CONCAT(Tableau3[[#This Row],[Code PFI]],"-",Tableau3[[#This Row],[Compte Consignee]])</f>
        <v>--26549500</v>
      </c>
      <c r="E63" s="171" t="s">
        <v>556</v>
      </c>
      <c r="F63" s="172">
        <v>6</v>
      </c>
      <c r="G63" s="166"/>
      <c r="H63" s="490" t="str">
        <f>IF(Tableau3[[#This Row],[Name PFI/CDD]]&lt;&gt;"",VLOOKUP(Tableau3[[#This Row],[Name PFI/CDD]],Plant_AILN!I:J,2,FALSE),"-")</f>
        <v>-</v>
      </c>
      <c r="I63" s="167" t="str">
        <f>IF(Tableau3[[#This Row],[Code PFI]]="-","Direct","PFI/CDD")</f>
        <v>Direct</v>
      </c>
      <c r="J63" s="60">
        <f>IFERROR(IF(Tableau3[[#This Row],[type PFI/CDD]]="Direct",0,VLOOKUP(Tableau3[[#This Row],[Clé(POD-PFI)]],Transport!G:K,5,FALSE)),"")</f>
        <v>0</v>
      </c>
      <c r="K63" s="4" t="str">
        <f>VLOOKUP(Tableau3[[#This Row],[Name Consignee]],Tableau10[],4,FALSE)</f>
        <v>INDIA</v>
      </c>
      <c r="L63" s="7" t="s">
        <v>257</v>
      </c>
      <c r="M63" s="490">
        <f>VLOOKUP(Tableau3[[#This Row],[Name Consignee]],Tableau10[],3,FALSE)</f>
        <v>26549500</v>
      </c>
      <c r="N63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4" spans="1:14" ht="14.1" customHeight="1">
      <c r="A64" s="161" t="str">
        <f>_xlfn.CONCAT(Tableau3[[#This Row],[POD]],"-",Tableau3[[#This Row],[Code PFI]],"-",Tableau3[[#This Row],[Compte Consignee]])</f>
        <v>INMAA---26549500</v>
      </c>
      <c r="B64" s="161" t="str">
        <f>_xlfn.CONCAT(Tableau3[[#This Row],[POD]],"-",Tableau3[[#This Row],[Code PFI]])</f>
        <v>INMAA--</v>
      </c>
      <c r="C64" s="169" t="str">
        <f>IF(Tableau3[[#This Row],[Name PFI/CDD]]="",_xlfn.CONCAT(Tableau3[[#This Row],[POD]],"-",Tableau3[[#This Row],[Compte Consignee]]),"-")</f>
        <v>INMAA-26549500</v>
      </c>
      <c r="D64" s="170" t="str">
        <f>_xlfn.CONCAT(Tableau3[[#This Row],[Code PFI]],"-",Tableau3[[#This Row],[Compte Consignee]])</f>
        <v>--26549500</v>
      </c>
      <c r="E64" s="171" t="s">
        <v>518</v>
      </c>
      <c r="F64" s="172">
        <v>6</v>
      </c>
      <c r="G64" s="166"/>
      <c r="H64" s="490" t="str">
        <f>IF(Tableau3[[#This Row],[Name PFI/CDD]]&lt;&gt;"",VLOOKUP(Tableau3[[#This Row],[Name PFI/CDD]],Plant_AILN!I:J,2,FALSE),"-")</f>
        <v>-</v>
      </c>
      <c r="I64" s="167" t="str">
        <f>IF(Tableau3[[#This Row],[Code PFI]]="-","Direct","PFI/CDD")</f>
        <v>Direct</v>
      </c>
      <c r="J64" s="60">
        <f>IFERROR(IF(Tableau3[[#This Row],[type PFI/CDD]]="Direct",0,VLOOKUP(Tableau3[[#This Row],[Clé(POD-PFI)]],Transport!G:K,5,FALSE)),"")</f>
        <v>0</v>
      </c>
      <c r="K64" s="4" t="str">
        <f>VLOOKUP(Tableau3[[#This Row],[Name Consignee]],Tableau10[],4,FALSE)</f>
        <v>INDIA</v>
      </c>
      <c r="L64" s="7" t="s">
        <v>257</v>
      </c>
      <c r="M64" s="490">
        <f>VLOOKUP(Tableau3[[#This Row],[Name Consignee]],Tableau10[],3,FALSE)</f>
        <v>26549500</v>
      </c>
      <c r="N64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5" spans="1:14" ht="14.1" customHeight="1">
      <c r="A65" s="161" t="str">
        <f>_xlfn.CONCAT(Tableau3[[#This Row],[POD]],"-",Tableau3[[#This Row],[Code PFI]],"-",Tableau3[[#This Row],[Compte Consignee]])</f>
        <v>INENR---26549502</v>
      </c>
      <c r="B65" s="161" t="str">
        <f>_xlfn.CONCAT(Tableau3[[#This Row],[POD]],"-",Tableau3[[#This Row],[Code PFI]])</f>
        <v>INENR--</v>
      </c>
      <c r="C65" s="169" t="str">
        <f>IF(Tableau3[[#This Row],[Name PFI/CDD]]="",_xlfn.CONCAT(Tableau3[[#This Row],[POD]],"-",Tableau3[[#This Row],[Compte Consignee]]),"-")</f>
        <v>INENR-26549502</v>
      </c>
      <c r="D65" s="170" t="str">
        <f>_xlfn.CONCAT(Tableau3[[#This Row],[Code PFI]],"-",Tableau3[[#This Row],[Compte Consignee]])</f>
        <v>--26549502</v>
      </c>
      <c r="E65" s="171" t="s">
        <v>470</v>
      </c>
      <c r="F65" s="172">
        <v>6</v>
      </c>
      <c r="G65" s="166"/>
      <c r="H65" s="490" t="str">
        <f>IF(Tableau3[[#This Row],[Name PFI/CDD]]&lt;&gt;"",VLOOKUP(Tableau3[[#This Row],[Name PFI/CDD]],Plant_AILN!I:J,2,FALSE),"-")</f>
        <v>-</v>
      </c>
      <c r="I65" s="167" t="str">
        <f>IF(Tableau3[[#This Row],[Code PFI]]="-","Direct","PFI/CDD")</f>
        <v>Direct</v>
      </c>
      <c r="J65" s="60">
        <f>IFERROR(IF(Tableau3[[#This Row],[type PFI/CDD]]="Direct",0,VLOOKUP(Tableau3[[#This Row],[Clé(POD-PFI)]],Transport!G:K,5,FALSE)),"")</f>
        <v>0</v>
      </c>
      <c r="K65" s="4" t="str">
        <f>VLOOKUP(Tableau3[[#This Row],[Name Consignee]],Tableau10[],4,FALSE)</f>
        <v>INDIA</v>
      </c>
      <c r="L65" s="7" t="s">
        <v>190</v>
      </c>
      <c r="M65" s="490">
        <f>VLOOKUP(Tableau3[[#This Row],[Name Consignee]],Tableau10[],3,FALSE)</f>
        <v>26549502</v>
      </c>
      <c r="N65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6" spans="1:14" ht="14.1" customHeight="1">
      <c r="A66" s="161" t="str">
        <f>_xlfn.CONCAT(Tableau3[[#This Row],[POD]],"-",Tableau3[[#This Row],[Code PFI]],"-",Tableau3[[#This Row],[Compte Consignee]])</f>
        <v>INKAT---26549502</v>
      </c>
      <c r="B66" s="161" t="str">
        <f>_xlfn.CONCAT(Tableau3[[#This Row],[POD]],"-",Tableau3[[#This Row],[Code PFI]])</f>
        <v>INKAT--</v>
      </c>
      <c r="C66" s="169" t="str">
        <f>IF(Tableau3[[#This Row],[Name PFI/CDD]]="",_xlfn.CONCAT(Tableau3[[#This Row],[POD]],"-",Tableau3[[#This Row],[Compte Consignee]]),"-")</f>
        <v>INKAT-26549502</v>
      </c>
      <c r="D66" s="170" t="str">
        <f>_xlfn.CONCAT(Tableau3[[#This Row],[Code PFI]],"-",Tableau3[[#This Row],[Compte Consignee]])</f>
        <v>--26549502</v>
      </c>
      <c r="E66" s="171" t="s">
        <v>556</v>
      </c>
      <c r="F66" s="172">
        <v>6</v>
      </c>
      <c r="G66" s="166"/>
      <c r="H66" s="490" t="str">
        <f>IF(Tableau3[[#This Row],[Name PFI/CDD]]&lt;&gt;"",VLOOKUP(Tableau3[[#This Row],[Name PFI/CDD]],Plant_AILN!I:J,2,FALSE),"-")</f>
        <v>-</v>
      </c>
      <c r="I66" s="167" t="str">
        <f>IF(Tableau3[[#This Row],[Code PFI]]="-","Direct","PFI/CDD")</f>
        <v>Direct</v>
      </c>
      <c r="J66" s="60">
        <f>IFERROR(IF(Tableau3[[#This Row],[type PFI/CDD]]="Direct",0,VLOOKUP(Tableau3[[#This Row],[Clé(POD-PFI)]],Transport!G:K,5,FALSE)),"")</f>
        <v>0</v>
      </c>
      <c r="K66" s="4" t="str">
        <f>VLOOKUP(Tableau3[[#This Row],[Name Consignee]],Tableau10[],4,FALSE)</f>
        <v>INDIA</v>
      </c>
      <c r="L66" s="7" t="s">
        <v>190</v>
      </c>
      <c r="M66" s="490">
        <f>VLOOKUP(Tableau3[[#This Row],[Name Consignee]],Tableau10[],3,FALSE)</f>
        <v>26549502</v>
      </c>
      <c r="N66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7" spans="1:14" ht="14.1" customHeight="1">
      <c r="A67" s="161" t="str">
        <f>_xlfn.CONCAT(Tableau3[[#This Row],[POD]],"-",Tableau3[[#This Row],[Code PFI]],"-",Tableau3[[#This Row],[Compte Consignee]])</f>
        <v>INMAA---26549502</v>
      </c>
      <c r="B67" s="161" t="str">
        <f>_xlfn.CONCAT(Tableau3[[#This Row],[POD]],"-",Tableau3[[#This Row],[Code PFI]])</f>
        <v>INMAA--</v>
      </c>
      <c r="C67" s="169" t="str">
        <f>IF(Tableau3[[#This Row],[Name PFI/CDD]]="",_xlfn.CONCAT(Tableau3[[#This Row],[POD]],"-",Tableau3[[#This Row],[Compte Consignee]]),"-")</f>
        <v>INMAA-26549502</v>
      </c>
      <c r="D67" s="170" t="str">
        <f>_xlfn.CONCAT(Tableau3[[#This Row],[Code PFI]],"-",Tableau3[[#This Row],[Compte Consignee]])</f>
        <v>--26549502</v>
      </c>
      <c r="E67" s="171" t="s">
        <v>518</v>
      </c>
      <c r="F67" s="172">
        <v>6</v>
      </c>
      <c r="G67" s="166"/>
      <c r="H67" s="490" t="str">
        <f>IF(Tableau3[[#This Row],[Name PFI/CDD]]&lt;&gt;"",VLOOKUP(Tableau3[[#This Row],[Name PFI/CDD]],Plant_AILN!I:J,2,FALSE),"-")</f>
        <v>-</v>
      </c>
      <c r="I67" s="167" t="str">
        <f>IF(Tableau3[[#This Row],[Code PFI]]="-","Direct","PFI/CDD")</f>
        <v>Direct</v>
      </c>
      <c r="J67" s="60">
        <f>IFERROR(IF(Tableau3[[#This Row],[type PFI/CDD]]="Direct",0,VLOOKUP(Tableau3[[#This Row],[Clé(POD-PFI)]],Transport!G:K,5,FALSE)),"")</f>
        <v>0</v>
      </c>
      <c r="K67" s="4" t="str">
        <f>VLOOKUP(Tableau3[[#This Row],[Name Consignee]],Tableau10[],4,FALSE)</f>
        <v>INDIA</v>
      </c>
      <c r="L67" s="7" t="s">
        <v>190</v>
      </c>
      <c r="M67" s="490">
        <f>VLOOKUP(Tableau3[[#This Row],[Name Consignee]],Tableau10[],3,FALSE)</f>
        <v>26549502</v>
      </c>
      <c r="N67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68" spans="1:14" ht="14.1" customHeight="1">
      <c r="A68" s="161" t="str">
        <f>_xlfn.CONCAT(Tableau3[[#This Row],[POD]],"-",Tableau3[[#This Row],[Code PFI]],"-",Tableau3[[#This Row],[Compte Consignee]])</f>
        <v>INNSA---92049500</v>
      </c>
      <c r="B68" s="161" t="str">
        <f>_xlfn.CONCAT(Tableau3[[#This Row],[POD]],"-",Tableau3[[#This Row],[Code PFI]])</f>
        <v>INNSA--</v>
      </c>
      <c r="C68" s="169" t="str">
        <f>IF(Tableau3[[#This Row],[Name PFI/CDD]]="",_xlfn.CONCAT(Tableau3[[#This Row],[POD]],"-",Tableau3[[#This Row],[Compte Consignee]]),"-")</f>
        <v>INNSA-92049500</v>
      </c>
      <c r="D68" s="170" t="str">
        <f>_xlfn.CONCAT(Tableau3[[#This Row],[Code PFI]],"-",Tableau3[[#This Row],[Compte Consignee]])</f>
        <v>--92049500</v>
      </c>
      <c r="E68" s="171" t="s">
        <v>476</v>
      </c>
      <c r="F68" s="172">
        <v>3</v>
      </c>
      <c r="G68" s="166"/>
      <c r="H68" s="490" t="str">
        <f>IF(Tableau3[[#This Row],[Name PFI/CDD]]&lt;&gt;"",VLOOKUP(Tableau3[[#This Row],[Name PFI/CDD]],Plant_AILN!I:J,2,FALSE),"-")</f>
        <v>-</v>
      </c>
      <c r="I68" s="167" t="str">
        <f>IF(Tableau3[[#This Row],[Code PFI]]="-","Direct","PFI/CDD")</f>
        <v>Direct</v>
      </c>
      <c r="J68" s="60">
        <f>IFERROR(IF(Tableau3[[#This Row],[type PFI/CDD]]="Direct",0,VLOOKUP(Tableau3[[#This Row],[Clé(POD-PFI)]],Transport!G:K,5,FALSE)),"")</f>
        <v>0</v>
      </c>
      <c r="K68" s="4" t="str">
        <f>VLOOKUP(Tableau3[[#This Row],[Name Consignee]],Tableau10[],4,FALSE)</f>
        <v>INDIA</v>
      </c>
      <c r="L68" s="7" t="s">
        <v>341</v>
      </c>
      <c r="M68" s="490">
        <f>VLOOKUP(Tableau3[[#This Row],[Name Consignee]],Tableau10[],3,FALSE)</f>
        <v>92049500</v>
      </c>
      <c r="N6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69" spans="1:14" ht="14.1" customHeight="1">
      <c r="A69" s="161" t="str">
        <f>_xlfn.CONCAT(Tableau3[[#This Row],[POD]],"-",Tableau3[[#This Row],[Code PFI]],"-",Tableau3[[#This Row],[Compte Consignee]])</f>
        <v>JPMOJ---0</v>
      </c>
      <c r="B69" s="161" t="str">
        <f>_xlfn.CONCAT(Tableau3[[#This Row],[POD]],"-",Tableau3[[#This Row],[Code PFI]])</f>
        <v>JPMOJ--</v>
      </c>
      <c r="C69" s="169" t="str">
        <f>IF(Tableau3[[#This Row],[Name PFI/CDD]]="",_xlfn.CONCAT(Tableau3[[#This Row],[POD]],"-",Tableau3[[#This Row],[Compte Consignee]]),"-")</f>
        <v>JPMOJ-0</v>
      </c>
      <c r="D69" s="170" t="str">
        <f>_xlfn.CONCAT(Tableau3[[#This Row],[Code PFI]],"-",Tableau3[[#This Row],[Compte Consignee]])</f>
        <v>--0</v>
      </c>
      <c r="E69" s="171" t="s">
        <v>478</v>
      </c>
      <c r="F69" s="172">
        <v>6</v>
      </c>
      <c r="G69" s="166"/>
      <c r="H69" s="490" t="str">
        <f>IF(Tableau3[[#This Row],[Name PFI/CDD]]&lt;&gt;"",VLOOKUP(Tableau3[[#This Row],[Name PFI/CDD]],Plant_AILN!I:J,2,FALSE),"-")</f>
        <v>-</v>
      </c>
      <c r="I69" s="167" t="str">
        <f>IF(Tableau3[[#This Row],[Code PFI]]="-","Direct","PFI/CDD")</f>
        <v>Direct</v>
      </c>
      <c r="J69" s="60">
        <f>IFERROR(IF(Tableau3[[#This Row],[type PFI/CDD]]="Direct",0,VLOOKUP(Tableau3[[#This Row],[Clé(POD-PFI)]],Transport!G:K,5,FALSE)),"")</f>
        <v>0</v>
      </c>
      <c r="K69" s="4" t="str">
        <f>VLOOKUP(Tableau3[[#This Row],[Name Consignee]],Tableau10[],4,FALSE)</f>
        <v>JAPAN</v>
      </c>
      <c r="L69" s="7" t="s">
        <v>350</v>
      </c>
      <c r="M69" s="490">
        <f>VLOOKUP(Tableau3[[#This Row],[Name Consignee]],Tableau10[],3,FALSE)</f>
        <v>0</v>
      </c>
      <c r="N69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0" spans="1:14" ht="14.1" customHeight="1">
      <c r="A70" s="161" t="str">
        <f>_xlfn.CONCAT(Tableau3[[#This Row],[POD]],"-",Tableau3[[#This Row],[Code PFI]],"-",Tableau3[[#This Row],[Compte Consignee]])</f>
        <v>JPMOJ---2915900</v>
      </c>
      <c r="B70" s="161" t="str">
        <f>_xlfn.CONCAT(Tableau3[[#This Row],[POD]],"-",Tableau3[[#This Row],[Code PFI]])</f>
        <v>JPMOJ--</v>
      </c>
      <c r="C70" s="169" t="str">
        <f>IF(Tableau3[[#This Row],[Name PFI/CDD]]="",_xlfn.CONCAT(Tableau3[[#This Row],[POD]],"-",Tableau3[[#This Row],[Compte Consignee]]),"-")</f>
        <v>JPMOJ-2915900</v>
      </c>
      <c r="D70" s="170" t="str">
        <f>_xlfn.CONCAT(Tableau3[[#This Row],[Code PFI]],"-",Tableau3[[#This Row],[Compte Consignee]])</f>
        <v>--2915900</v>
      </c>
      <c r="E70" s="171" t="s">
        <v>478</v>
      </c>
      <c r="F70" s="172">
        <v>6</v>
      </c>
      <c r="G70" s="166"/>
      <c r="H70" s="490" t="str">
        <f>IF(Tableau3[[#This Row],[Name PFI/CDD]]&lt;&gt;"",VLOOKUP(Tableau3[[#This Row],[Name PFI/CDD]],Plant_AILN!I:J,2,FALSE),"-")</f>
        <v>-</v>
      </c>
      <c r="I70" s="167" t="str">
        <f>IF(Tableau3[[#This Row],[Code PFI]]="-","Direct","PFI/CDD")</f>
        <v>Direct</v>
      </c>
      <c r="J70" s="60">
        <f>IFERROR(IF(Tableau3[[#This Row],[type PFI/CDD]]="Direct",0,VLOOKUP(Tableau3[[#This Row],[Clé(POD-PFI)]],Transport!G:K,5,FALSE)),"")</f>
        <v>0</v>
      </c>
      <c r="K70" s="4" t="str">
        <f>VLOOKUP(Tableau3[[#This Row],[Name Consignee]],Tableau10[],4,FALSE)</f>
        <v>JAPAN</v>
      </c>
      <c r="L70" s="7" t="s">
        <v>360</v>
      </c>
      <c r="M70" s="490">
        <f>VLOOKUP(Tableau3[[#This Row],[Name Consignee]],Tableau10[],3,FALSE)</f>
        <v>2915900</v>
      </c>
      <c r="N70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1" spans="1:14" ht="14.1" customHeight="1">
      <c r="A71" s="161" t="str">
        <f>_xlfn.CONCAT(Tableau3[[#This Row],[POD]],"-",Tableau3[[#This Row],[Code PFI]],"-",Tableau3[[#This Row],[Compte Consignee]])</f>
        <v>JPYOK---0</v>
      </c>
      <c r="B71" s="161" t="str">
        <f>_xlfn.CONCAT(Tableau3[[#This Row],[POD]],"-",Tableau3[[#This Row],[Code PFI]])</f>
        <v>JPYOK--</v>
      </c>
      <c r="C71" s="169" t="str">
        <f>IF(Tableau3[[#This Row],[Name PFI/CDD]]="",_xlfn.CONCAT(Tableau3[[#This Row],[POD]],"-",Tableau3[[#This Row],[Compte Consignee]]),"-")</f>
        <v>JPYOK-0</v>
      </c>
      <c r="D71" s="170" t="str">
        <f>_xlfn.CONCAT(Tableau3[[#This Row],[Code PFI]],"-",Tableau3[[#This Row],[Compte Consignee]])</f>
        <v>--0</v>
      </c>
      <c r="E71" s="171" t="s">
        <v>483</v>
      </c>
      <c r="F71" s="172">
        <v>6</v>
      </c>
      <c r="G71" s="166"/>
      <c r="H71" s="490" t="str">
        <f>IF(Tableau3[[#This Row],[Name PFI/CDD]]&lt;&gt;"",VLOOKUP(Tableau3[[#This Row],[Name PFI/CDD]],Plant_AILN!I:J,2,FALSE),"-")</f>
        <v>-</v>
      </c>
      <c r="I71" s="167" t="str">
        <f>IF(Tableau3[[#This Row],[Code PFI]]="-","Direct","PFI/CDD")</f>
        <v>Direct</v>
      </c>
      <c r="J71" s="60">
        <f>IFERROR(IF(Tableau3[[#This Row],[type PFI/CDD]]="Direct",0,VLOOKUP(Tableau3[[#This Row],[Clé(POD-PFI)]],Transport!G:K,5,FALSE)),"")</f>
        <v>0</v>
      </c>
      <c r="K71" s="4" t="str">
        <f>VLOOKUP(Tableau3[[#This Row],[Name Consignee]],Tableau10[],4,FALSE)</f>
        <v>JAPAN</v>
      </c>
      <c r="L71" s="7" t="s">
        <v>352</v>
      </c>
      <c r="M71" s="490">
        <f>VLOOKUP(Tableau3[[#This Row],[Name Consignee]],Tableau10[],3,FALSE)</f>
        <v>0</v>
      </c>
      <c r="N71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2" spans="1:14" ht="14.1" customHeight="1">
      <c r="A72" s="161" t="str">
        <f>_xlfn.CONCAT(Tableau3[[#This Row],[POD]],"-",Tableau3[[#This Row],[Code PFI]],"-",Tableau3[[#This Row],[Compte Consignee]])</f>
        <v>JPYOK---0</v>
      </c>
      <c r="B72" s="161" t="str">
        <f>_xlfn.CONCAT(Tableau3[[#This Row],[POD]],"-",Tableau3[[#This Row],[Code PFI]])</f>
        <v>JPYOK--</v>
      </c>
      <c r="C72" s="169" t="str">
        <f>IF(Tableau3[[#This Row],[Name PFI/CDD]]="",_xlfn.CONCAT(Tableau3[[#This Row],[POD]],"-",Tableau3[[#This Row],[Compte Consignee]]),"-")</f>
        <v>JPYOK-0</v>
      </c>
      <c r="D72" s="170" t="str">
        <f>_xlfn.CONCAT(Tableau3[[#This Row],[Code PFI]],"-",Tableau3[[#This Row],[Compte Consignee]])</f>
        <v>--0</v>
      </c>
      <c r="E72" s="171" t="s">
        <v>483</v>
      </c>
      <c r="F72" s="172">
        <v>6</v>
      </c>
      <c r="G72" s="166"/>
      <c r="H72" s="490" t="str">
        <f>IF(Tableau3[[#This Row],[Name PFI/CDD]]&lt;&gt;"",VLOOKUP(Tableau3[[#This Row],[Name PFI/CDD]],Plant_AILN!I:J,2,FALSE),"-")</f>
        <v>-</v>
      </c>
      <c r="I72" s="167" t="str">
        <f>IF(Tableau3[[#This Row],[Code PFI]]="-","Direct","PFI/CDD")</f>
        <v>Direct</v>
      </c>
      <c r="J72" s="60">
        <f>IFERROR(IF(Tableau3[[#This Row],[type PFI/CDD]]="Direct",0,VLOOKUP(Tableau3[[#This Row],[Clé(POD-PFI)]],Transport!G:K,5,FALSE)),"")</f>
        <v>0</v>
      </c>
      <c r="K72" s="4" t="str">
        <f>VLOOKUP(Tableau3[[#This Row],[Name Consignee]],Tableau10[],4,FALSE)</f>
        <v>JAPAN</v>
      </c>
      <c r="L72" s="7" t="s">
        <v>355</v>
      </c>
      <c r="M72" s="490">
        <f>VLOOKUP(Tableau3[[#This Row],[Name Consignee]],Tableau10[],3,FALSE)</f>
        <v>0</v>
      </c>
      <c r="N72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3" spans="1:14" ht="14.1" customHeight="1">
      <c r="A73" s="161" t="str">
        <f>_xlfn.CONCAT(Tableau3[[#This Row],[POD]],"-",Tableau3[[#This Row],[Code PFI]],"-",Tableau3[[#This Row],[Compte Consignee]])</f>
        <v>KRPUS---92002200</v>
      </c>
      <c r="B73" s="161" t="str">
        <f>_xlfn.CONCAT(Tableau3[[#This Row],[POD]],"-",Tableau3[[#This Row],[Code PFI]])</f>
        <v>KRPUS--</v>
      </c>
      <c r="C73" s="169" t="str">
        <f>IF(Tableau3[[#This Row],[Name PFI/CDD]]="",_xlfn.CONCAT(Tableau3[[#This Row],[POD]],"-",Tableau3[[#This Row],[Compte Consignee]]),"-")</f>
        <v>KRPUS-92002200</v>
      </c>
      <c r="D73" s="170" t="str">
        <f>_xlfn.CONCAT(Tableau3[[#This Row],[Code PFI]],"-",Tableau3[[#This Row],[Compte Consignee]])</f>
        <v>--92002200</v>
      </c>
      <c r="E73" s="171" t="s">
        <v>479</v>
      </c>
      <c r="F73" s="172">
        <v>2</v>
      </c>
      <c r="G73" s="166"/>
      <c r="H73" s="490" t="str">
        <f>IF(Tableau3[[#This Row],[Name PFI/CDD]]&lt;&gt;"",VLOOKUP(Tableau3[[#This Row],[Name PFI/CDD]],Plant_AILN!I:J,2,FALSE),"-")</f>
        <v>-</v>
      </c>
      <c r="I73" s="167" t="str">
        <f>IF(Tableau3[[#This Row],[Code PFI]]="-","Direct","PFI/CDD")</f>
        <v>Direct</v>
      </c>
      <c r="J73" s="60">
        <f>IFERROR(IF(Tableau3[[#This Row],[type PFI/CDD]]="Direct",0,VLOOKUP(Tableau3[[#This Row],[Clé(POD-PFI)]],Transport!G:K,5,FALSE)),"")</f>
        <v>0</v>
      </c>
      <c r="K73" s="4" t="str">
        <f>VLOOKUP(Tableau3[[#This Row],[Name Consignee]],Tableau10[],4,FALSE)</f>
        <v>KOREA</v>
      </c>
      <c r="L73" s="7" t="s">
        <v>36</v>
      </c>
      <c r="M73" s="490">
        <f>VLOOKUP(Tableau3[[#This Row],[Name Consignee]],Tableau10[],3,FALSE)</f>
        <v>92002200</v>
      </c>
      <c r="N73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4" spans="1:14" ht="14.1" customHeight="1">
      <c r="A74" s="161" t="str">
        <f>_xlfn.CONCAT(Tableau3[[#This Row],[POD]],"-",Tableau3[[#This Row],[Code PFI]],"-",Tableau3[[#This Row],[Compte Consignee]])</f>
        <v>MACAS---90038200</v>
      </c>
      <c r="B74" s="161" t="str">
        <f>_xlfn.CONCAT(Tableau3[[#This Row],[POD]],"-",Tableau3[[#This Row],[Code PFI]])</f>
        <v>MACAS--</v>
      </c>
      <c r="C74" s="169" t="str">
        <f>IF(Tableau3[[#This Row],[Name PFI/CDD]]="",_xlfn.CONCAT(Tableau3[[#This Row],[POD]],"-",Tableau3[[#This Row],[Compte Consignee]]),"-")</f>
        <v>MACAS-90038200</v>
      </c>
      <c r="D74" s="170" t="str">
        <f>_xlfn.CONCAT(Tableau3[[#This Row],[Code PFI]],"-",Tableau3[[#This Row],[Compte Consignee]])</f>
        <v>--90038200</v>
      </c>
      <c r="E74" s="171" t="s">
        <v>496</v>
      </c>
      <c r="F74" s="172">
        <v>1</v>
      </c>
      <c r="G74" s="166"/>
      <c r="H74" s="490" t="str">
        <f>IF(Tableau3[[#This Row],[Name PFI/CDD]]&lt;&gt;"",VLOOKUP(Tableau3[[#This Row],[Name PFI/CDD]],Plant_AILN!I:J,2,FALSE),"-")</f>
        <v>-</v>
      </c>
      <c r="I74" s="167" t="str">
        <f>IF(Tableau3[[#This Row],[Code PFI]]="-","Direct","PFI/CDD")</f>
        <v>Direct</v>
      </c>
      <c r="J74" s="60">
        <f>IFERROR(IF(Tableau3[[#This Row],[type PFI/CDD]]="Direct",0,VLOOKUP(Tableau3[[#This Row],[Clé(POD-PFI)]],Transport!G:K,5,FALSE)),"")</f>
        <v>0</v>
      </c>
      <c r="K74" s="4" t="str">
        <f>VLOOKUP(Tableau3[[#This Row],[Name Consignee]],Tableau10[],4,FALSE)</f>
        <v>MOROCCO</v>
      </c>
      <c r="L74" s="7" t="s">
        <v>178</v>
      </c>
      <c r="M74" s="490">
        <f>VLOOKUP(Tableau3[[#This Row],[Name Consignee]],Tableau10[],3,FALSE)</f>
        <v>90038200</v>
      </c>
      <c r="N74" s="3">
        <f>IFERROR(IF(Tableau3[[#This Row],[type PFI/CDD]]="Direct",VLOOKUP(Tableau3[[#This Row],[Clé(POD-Compte site )]],Transport!A:E,5,FALSE),VLOOKUP(Tableau3[[#This Row],[Clé(PFI-site)]],Transport!M:S,7,FALSE)),"No information")</f>
        <v>4</v>
      </c>
    </row>
    <row r="75" spans="1:14" ht="14.1" customHeight="1">
      <c r="A75" s="161" t="str">
        <f>_xlfn.CONCAT(Tableau3[[#This Row],[POD]],"-",Tableau3[[#This Row],[Code PFI]],"-",Tableau3[[#This Row],[Compte Consignee]])</f>
        <v>MAPTM---90038200</v>
      </c>
      <c r="B75" s="161" t="str">
        <f>_xlfn.CONCAT(Tableau3[[#This Row],[POD]],"-",Tableau3[[#This Row],[Code PFI]])</f>
        <v>MAPTM--</v>
      </c>
      <c r="C75" s="169" t="str">
        <f>IF(Tableau3[[#This Row],[Name PFI/CDD]]="",_xlfn.CONCAT(Tableau3[[#This Row],[POD]],"-",Tableau3[[#This Row],[Compte Consignee]]),"-")</f>
        <v>MAPTM-90038200</v>
      </c>
      <c r="D75" s="170" t="str">
        <f>_xlfn.CONCAT(Tableau3[[#This Row],[Code PFI]],"-",Tableau3[[#This Row],[Compte Consignee]])</f>
        <v>--90038200</v>
      </c>
      <c r="E75" s="171" t="s">
        <v>497</v>
      </c>
      <c r="F75" s="172">
        <v>3</v>
      </c>
      <c r="G75" s="166"/>
      <c r="H75" s="490" t="str">
        <f>IF(Tableau3[[#This Row],[Name PFI/CDD]]&lt;&gt;"",VLOOKUP(Tableau3[[#This Row],[Name PFI/CDD]],Plant_AILN!I:J,2,FALSE),"-")</f>
        <v>-</v>
      </c>
      <c r="I75" s="167" t="str">
        <f>IF(Tableau3[[#This Row],[Code PFI]]="-","Direct","PFI/CDD")</f>
        <v>Direct</v>
      </c>
      <c r="J75" s="60">
        <f>IFERROR(IF(Tableau3[[#This Row],[type PFI/CDD]]="Direct",0,VLOOKUP(Tableau3[[#This Row],[Clé(POD-PFI)]],Transport!G:K,5,FALSE)),"")</f>
        <v>0</v>
      </c>
      <c r="K75" s="4" t="str">
        <f>VLOOKUP(Tableau3[[#This Row],[Name Consignee]],Tableau10[],4,FALSE)</f>
        <v>MOROCCO</v>
      </c>
      <c r="L75" s="7" t="s">
        <v>178</v>
      </c>
      <c r="M75" s="490">
        <f>VLOOKUP(Tableau3[[#This Row],[Name Consignee]],Tableau10[],3,FALSE)</f>
        <v>90038200</v>
      </c>
      <c r="N7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76" spans="1:14" ht="14.1" customHeight="1">
      <c r="A76" s="161" t="str">
        <f>_xlfn.CONCAT(Tableau3[[#This Row],[POD]],"-",Tableau3[[#This Row],[Code PFI]],"-",Tableau3[[#This Row],[Compte Consignee]])</f>
        <v>MAPTM---900383</v>
      </c>
      <c r="B76" s="161" t="str">
        <f>_xlfn.CONCAT(Tableau3[[#This Row],[POD]],"-",Tableau3[[#This Row],[Code PFI]])</f>
        <v>MAPTM--</v>
      </c>
      <c r="C76" s="169" t="str">
        <f>IF(Tableau3[[#This Row],[Name PFI/CDD]]="",_xlfn.CONCAT(Tableau3[[#This Row],[POD]],"-",Tableau3[[#This Row],[Compte Consignee]]),"-")</f>
        <v>MAPTM-900383</v>
      </c>
      <c r="D76" s="170" t="str">
        <f>_xlfn.CONCAT(Tableau3[[#This Row],[Code PFI]],"-",Tableau3[[#This Row],[Compte Consignee]])</f>
        <v>--900383</v>
      </c>
      <c r="E76" s="171" t="s">
        <v>497</v>
      </c>
      <c r="F76" s="172">
        <v>3</v>
      </c>
      <c r="G76" s="166"/>
      <c r="H76" s="490" t="str">
        <f>IF(Tableau3[[#This Row],[Name PFI/CDD]]&lt;&gt;"",VLOOKUP(Tableau3[[#This Row],[Name PFI/CDD]],Plant_AILN!I:J,2,FALSE),"-")</f>
        <v>-</v>
      </c>
      <c r="I76" s="167" t="str">
        <f>IF(Tableau3[[#This Row],[Code PFI]]="-","Direct","PFI/CDD")</f>
        <v>Direct</v>
      </c>
      <c r="J76" s="60">
        <f>IFERROR(IF(Tableau3[[#This Row],[type PFI/CDD]]="Direct",0,VLOOKUP(Tableau3[[#This Row],[Clé(POD-PFI)]],Transport!G:K,5,FALSE)),"")</f>
        <v>0</v>
      </c>
      <c r="K76" s="4" t="str">
        <f>VLOOKUP(Tableau3[[#This Row],[Name Consignee]],Tableau10[],4,FALSE)</f>
        <v>MOROCCO</v>
      </c>
      <c r="L76" s="7" t="s">
        <v>179</v>
      </c>
      <c r="M76" s="490">
        <f>VLOOKUP(Tableau3[[#This Row],[Name Consignee]],Tableau10[],3,FALSE)</f>
        <v>900383</v>
      </c>
      <c r="N76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77" spans="1:14" ht="14.1" customHeight="1">
      <c r="A77" s="161" t="str">
        <f>_xlfn.CONCAT(Tableau3[[#This Row],[POD]],"-",Tableau3[[#This Row],[Code PFI]],"-",Tableau3[[#This Row],[Compte Consignee]])</f>
        <v>MXATM---90101300</v>
      </c>
      <c r="B77" s="161" t="str">
        <f>_xlfn.CONCAT(Tableau3[[#This Row],[POD]],"-",Tableau3[[#This Row],[Code PFI]])</f>
        <v>MXATM--</v>
      </c>
      <c r="C77" s="169" t="str">
        <f>IF(Tableau3[[#This Row],[Name PFI/CDD]]="",_xlfn.CONCAT(Tableau3[[#This Row],[POD]],"-",Tableau3[[#This Row],[Compte Consignee]]),"-")</f>
        <v>MXATM-90101300</v>
      </c>
      <c r="D77" s="170" t="str">
        <f>_xlfn.CONCAT(Tableau3[[#This Row],[Code PFI]],"-",Tableau3[[#This Row],[Compte Consignee]])</f>
        <v>--90101300</v>
      </c>
      <c r="E77" s="171" t="s">
        <v>502</v>
      </c>
      <c r="F77" s="172">
        <v>3</v>
      </c>
      <c r="G77" s="166"/>
      <c r="H77" s="490" t="str">
        <f>IF(Tableau3[[#This Row],[Name PFI/CDD]]&lt;&gt;"",VLOOKUP(Tableau3[[#This Row],[Name PFI/CDD]],Plant_AILN!I:J,2,FALSE),"-")</f>
        <v>-</v>
      </c>
      <c r="I77" s="167" t="str">
        <f>IF(Tableau3[[#This Row],[Code PFI]]="-","Direct","PFI/CDD")</f>
        <v>Direct</v>
      </c>
      <c r="J77" s="60">
        <f>IFERROR(IF(Tableau3[[#This Row],[type PFI/CDD]]="Direct",0,VLOOKUP(Tableau3[[#This Row],[Clé(POD-PFI)]],Transport!G:K,5,FALSE)),"")</f>
        <v>0</v>
      </c>
      <c r="K77" s="4" t="str">
        <f>VLOOKUP(Tableau3[[#This Row],[Name Consignee]],Tableau10[],4,FALSE)</f>
        <v>MEXICO</v>
      </c>
      <c r="L77" s="7" t="s">
        <v>140</v>
      </c>
      <c r="M77" s="490">
        <f>VLOOKUP(Tableau3[[#This Row],[Name Consignee]],Tableau10[],3,FALSE)</f>
        <v>90101300</v>
      </c>
      <c r="N77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78" spans="1:14" ht="14.1" customHeight="1">
      <c r="A78" s="161" t="str">
        <f>_xlfn.CONCAT(Tableau3[[#This Row],[POD]],"-",Tableau3[[#This Row],[Code PFI]],"-",Tableau3[[#This Row],[Compte Consignee]])</f>
        <v>MXVER---90101300</v>
      </c>
      <c r="B78" s="161" t="str">
        <f>_xlfn.CONCAT(Tableau3[[#This Row],[POD]],"-",Tableau3[[#This Row],[Code PFI]])</f>
        <v>MXVER--</v>
      </c>
      <c r="C78" s="169" t="str">
        <f>IF(Tableau3[[#This Row],[Name PFI/CDD]]="",_xlfn.CONCAT(Tableau3[[#This Row],[POD]],"-",Tableau3[[#This Row],[Compte Consignee]]),"-")</f>
        <v>MXVER-90101300</v>
      </c>
      <c r="D78" s="170" t="str">
        <f>_xlfn.CONCAT(Tableau3[[#This Row],[Code PFI]],"-",Tableau3[[#This Row],[Compte Consignee]])</f>
        <v>--90101300</v>
      </c>
      <c r="E78" s="171" t="s">
        <v>522</v>
      </c>
      <c r="F78" s="172">
        <v>3</v>
      </c>
      <c r="G78" s="166"/>
      <c r="H78" s="490" t="str">
        <f>IF(Tableau3[[#This Row],[Name PFI/CDD]]&lt;&gt;"",VLOOKUP(Tableau3[[#This Row],[Name PFI/CDD]],Plant_AILN!I:J,2,FALSE),"-")</f>
        <v>-</v>
      </c>
      <c r="I78" s="167" t="str">
        <f>IF(Tableau3[[#This Row],[Code PFI]]="-","Direct","PFI/CDD")</f>
        <v>Direct</v>
      </c>
      <c r="J78" s="60">
        <f>IFERROR(IF(Tableau3[[#This Row],[type PFI/CDD]]="Direct",0,VLOOKUP(Tableau3[[#This Row],[Clé(POD-PFI)]],Transport!G:K,5,FALSE)),"")</f>
        <v>0</v>
      </c>
      <c r="K78" s="4" t="str">
        <f>VLOOKUP(Tableau3[[#This Row],[Name Consignee]],Tableau10[],4,FALSE)</f>
        <v>MEXICO</v>
      </c>
      <c r="L78" s="7" t="s">
        <v>140</v>
      </c>
      <c r="M78" s="490">
        <f>VLOOKUP(Tableau3[[#This Row],[Name Consignee]],Tableau10[],3,FALSE)</f>
        <v>90101300</v>
      </c>
      <c r="N7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79" spans="1:14" ht="14.1" customHeight="1">
      <c r="A79" s="161" t="str">
        <f>_xlfn.CONCAT(Tableau3[[#This Row],[POD]],"-",Tableau3[[#This Row],[Code PFI]],"-",Tableau3[[#This Row],[Compte Consignee]])</f>
        <v>MYPKG---12300</v>
      </c>
      <c r="B79" s="161" t="str">
        <f>_xlfn.CONCAT(Tableau3[[#This Row],[POD]],"-",Tableau3[[#This Row],[Code PFI]])</f>
        <v>MYPKG--</v>
      </c>
      <c r="C79" s="169" t="str">
        <f>IF(Tableau3[[#This Row],[Name PFI/CDD]]="",_xlfn.CONCAT(Tableau3[[#This Row],[POD]],"-",Tableau3[[#This Row],[Compte Consignee]]),"-")</f>
        <v>MYPKG-12300</v>
      </c>
      <c r="D79" s="170" t="str">
        <f>_xlfn.CONCAT(Tableau3[[#This Row],[Code PFI]],"-",Tableau3[[#This Row],[Compte Consignee]])</f>
        <v>--12300</v>
      </c>
      <c r="E79" s="171" t="s">
        <v>526</v>
      </c>
      <c r="F79" s="172">
        <v>6</v>
      </c>
      <c r="G79" s="166"/>
      <c r="H79" s="490" t="str">
        <f>IF(Tableau3[[#This Row],[Name PFI/CDD]]&lt;&gt;"",VLOOKUP(Tableau3[[#This Row],[Name PFI/CDD]],Plant_AILN!I:J,2,FALSE),"-")</f>
        <v>-</v>
      </c>
      <c r="I79" s="167" t="str">
        <f>IF(Tableau3[[#This Row],[Code PFI]]="-","Direct","PFI/CDD")</f>
        <v>Direct</v>
      </c>
      <c r="J79" s="60">
        <f>IFERROR(IF(Tableau3[[#This Row],[type PFI/CDD]]="Direct",0,VLOOKUP(Tableau3[[#This Row],[Clé(POD-PFI)]],Transport!G:K,5,FALSE)),"")</f>
        <v>0</v>
      </c>
      <c r="K79" s="4" t="str">
        <f>VLOOKUP(Tableau3[[#This Row],[Name Consignee]],Tableau10[],4,FALSE)</f>
        <v xml:space="preserve">MALAYSIA </v>
      </c>
      <c r="L79" s="7" t="s">
        <v>591</v>
      </c>
      <c r="M79" s="490">
        <f>VLOOKUP(Tableau3[[#This Row],[Name Consignee]],Tableau10[],3,FALSE)</f>
        <v>12300</v>
      </c>
      <c r="N79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0" spans="1:14" ht="14.1" customHeight="1">
      <c r="A80" s="161" t="str">
        <f>_xlfn.CONCAT(Tableau3[[#This Row],[POD]],"-",Tableau3[[#This Row],[Code PFI]],"-",Tableau3[[#This Row],[Compte Consignee]])</f>
        <v>ROCND---90012500</v>
      </c>
      <c r="B80" s="161" t="str">
        <f>_xlfn.CONCAT(Tableau3[[#This Row],[POD]],"-",Tableau3[[#This Row],[Code PFI]])</f>
        <v>ROCND--</v>
      </c>
      <c r="C80" s="169" t="str">
        <f>IF(Tableau3[[#This Row],[Name PFI/CDD]]="",_xlfn.CONCAT(Tableau3[[#This Row],[POD]],"-",Tableau3[[#This Row],[Compte Consignee]]),"-")</f>
        <v>ROCND-90012500</v>
      </c>
      <c r="D80" s="170" t="str">
        <f>_xlfn.CONCAT(Tableau3[[#This Row],[Code PFI]],"-",Tableau3[[#This Row],[Compte Consignee]])</f>
        <v>--90012500</v>
      </c>
      <c r="E80" s="171" t="s">
        <v>484</v>
      </c>
      <c r="F80" s="172">
        <v>2</v>
      </c>
      <c r="G80" s="166"/>
      <c r="H80" s="490" t="str">
        <f>IF(Tableau3[[#This Row],[Name PFI/CDD]]&lt;&gt;"",VLOOKUP(Tableau3[[#This Row],[Name PFI/CDD]],Plant_AILN!I:J,2,FALSE),"-")</f>
        <v>-</v>
      </c>
      <c r="I80" s="167" t="str">
        <f>IF(Tableau3[[#This Row],[Code PFI]]="-","Direct","PFI/CDD")</f>
        <v>Direct</v>
      </c>
      <c r="J80" s="60">
        <f>IFERROR(IF(Tableau3[[#This Row],[type PFI/CDD]]="Direct",0,VLOOKUP(Tableau3[[#This Row],[Clé(POD-PFI)]],Transport!G:K,5,FALSE)),"")</f>
        <v>0</v>
      </c>
      <c r="K80" s="4" t="str">
        <f>VLOOKUP(Tableau3[[#This Row],[Name Consignee]],Tableau10[],4,FALSE)</f>
        <v>ROMANIA</v>
      </c>
      <c r="L80" s="7" t="s">
        <v>156</v>
      </c>
      <c r="M80" s="490">
        <f>VLOOKUP(Tableau3[[#This Row],[Name Consignee]],Tableau10[],3,FALSE)</f>
        <v>90012500</v>
      </c>
      <c r="N80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81" spans="1:14" ht="14.1" customHeight="1">
      <c r="A81" s="161" t="str">
        <f>_xlfn.CONCAT(Tableau3[[#This Row],[POD]],"-",Tableau3[[#This Row],[Code PFI]],"-",Tableau3[[#This Row],[Compte Consignee]])</f>
        <v>ROCND---90016800</v>
      </c>
      <c r="B81" s="161" t="str">
        <f>_xlfn.CONCAT(Tableau3[[#This Row],[POD]],"-",Tableau3[[#This Row],[Code PFI]])</f>
        <v>ROCND--</v>
      </c>
      <c r="C81" s="169" t="str">
        <f>IF(Tableau3[[#This Row],[Name PFI/CDD]]="",_xlfn.CONCAT(Tableau3[[#This Row],[POD]],"-",Tableau3[[#This Row],[Compte Consignee]]),"-")</f>
        <v>ROCND-90016800</v>
      </c>
      <c r="D81" s="170" t="str">
        <f>_xlfn.CONCAT(Tableau3[[#This Row],[Code PFI]],"-",Tableau3[[#This Row],[Compte Consignee]])</f>
        <v>--90016800</v>
      </c>
      <c r="E81" s="171" t="s">
        <v>484</v>
      </c>
      <c r="F81" s="172">
        <v>2</v>
      </c>
      <c r="G81" s="166"/>
      <c r="H81" s="490" t="str">
        <f>IF(Tableau3[[#This Row],[Name PFI/CDD]]&lt;&gt;"",VLOOKUP(Tableau3[[#This Row],[Name PFI/CDD]],Plant_AILN!I:J,2,FALSE),"-")</f>
        <v>-</v>
      </c>
      <c r="I81" s="167" t="str">
        <f>IF(Tableau3[[#This Row],[Code PFI]]="-","Direct","PFI/CDD")</f>
        <v>Direct</v>
      </c>
      <c r="J81" s="60">
        <f>IFERROR(IF(Tableau3[[#This Row],[type PFI/CDD]]="Direct",0,VLOOKUP(Tableau3[[#This Row],[Clé(POD-PFI)]],Transport!G:K,5,FALSE)),"")</f>
        <v>0</v>
      </c>
      <c r="K81" s="4" t="str">
        <f>VLOOKUP(Tableau3[[#This Row],[Name Consignee]],Tableau10[],4,FALSE)</f>
        <v>ROMANIA</v>
      </c>
      <c r="L81" s="7" t="s">
        <v>180</v>
      </c>
      <c r="M81" s="490">
        <f>VLOOKUP(Tableau3[[#This Row],[Name Consignee]],Tableau10[],3,FALSE)</f>
        <v>90016800</v>
      </c>
      <c r="N81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82" spans="1:14" ht="14.1" customHeight="1">
      <c r="A82" s="161" t="str">
        <f>_xlfn.CONCAT(Tableau3[[#This Row],[POD]],"-",Tableau3[[#This Row],[Code PFI]],"-",Tableau3[[#This Row],[Compte Consignee]])</f>
        <v>ROCND---283900400</v>
      </c>
      <c r="B82" s="161" t="str">
        <f>_xlfn.CONCAT(Tableau3[[#This Row],[POD]],"-",Tableau3[[#This Row],[Code PFI]])</f>
        <v>ROCND--</v>
      </c>
      <c r="C82" s="173" t="str">
        <f>IF(Tableau3[[#This Row],[Name PFI/CDD]]="",_xlfn.CONCAT(Tableau3[[#This Row],[POD]],"-",Tableau3[[#This Row],[Compte Consignee]]),"-")</f>
        <v>ROCND-283900400</v>
      </c>
      <c r="D82" s="181" t="str">
        <f>_xlfn.CONCAT(Tableau3[[#This Row],[Code PFI]],"-",Tableau3[[#This Row],[Compte Consignee]])</f>
        <v>--283900400</v>
      </c>
      <c r="E82" s="171" t="s">
        <v>484</v>
      </c>
      <c r="F82" s="172">
        <v>2</v>
      </c>
      <c r="G82" s="166"/>
      <c r="H82" s="490" t="str">
        <f>IF(Tableau3[[#This Row],[Name PFI/CDD]]&lt;&gt;"",VLOOKUP(Tableau3[[#This Row],[Name PFI/CDD]],Plant_AILN!I:J,2,FALSE),"-")</f>
        <v>-</v>
      </c>
      <c r="I82" s="167" t="str">
        <f>IF(Tableau3[[#This Row],[Code PFI]]="-","Direct","PFI/CDD")</f>
        <v>Direct</v>
      </c>
      <c r="J82" s="60">
        <f>IFERROR(IF(Tableau3[[#This Row],[type PFI/CDD]]="Direct",0,VLOOKUP(Tableau3[[#This Row],[Clé(POD-PFI)]],Transport!G:K,5,FALSE)),"")</f>
        <v>0</v>
      </c>
      <c r="K82" s="4" t="str">
        <f>VLOOKUP(Tableau3[[#This Row],[Name Consignee]],Tableau10[],4,FALSE)</f>
        <v>ROMANIA</v>
      </c>
      <c r="L82" s="7" t="s">
        <v>165</v>
      </c>
      <c r="M82" s="490">
        <f>VLOOKUP(Tableau3[[#This Row],[Name Consignee]],Tableau10[],3,FALSE)</f>
        <v>283900400</v>
      </c>
      <c r="N82" s="3">
        <f>IFERROR(IF(Tableau3[[#This Row],[type PFI/CDD]]="Direct",VLOOKUP(Tableau3[[#This Row],[Clé(POD-Compte site )]],Transport!A:E,5,FALSE),VLOOKUP(Tableau3[[#This Row],[Clé(PFI-site)]],Transport!M:S,7,FALSE)),"No information")</f>
        <v>7</v>
      </c>
    </row>
    <row r="83" spans="1:14" ht="14.1" customHeight="1">
      <c r="A83" s="161" t="str">
        <f>_xlfn.CONCAT(Tableau3[[#This Row],[POD]],"-",Tableau3[[#This Row],[Code PFI]],"-",Tableau3[[#This Row],[Compte Consignee]])</f>
        <v>SIKOP---90016700</v>
      </c>
      <c r="B83" s="161" t="str">
        <f>_xlfn.CONCAT(Tableau3[[#This Row],[POD]],"-",Tableau3[[#This Row],[Code PFI]])</f>
        <v>SIKOP--</v>
      </c>
      <c r="C83" s="173" t="str">
        <f>IF(Tableau3[[#This Row],[Name PFI/CDD]]="",_xlfn.CONCAT(Tableau3[[#This Row],[POD]],"-",Tableau3[[#This Row],[Compte Consignee]]),"-")</f>
        <v>SIKOP-90016700</v>
      </c>
      <c r="D83" s="181" t="str">
        <f>_xlfn.CONCAT(Tableau3[[#This Row],[Code PFI]],"-",Tableau3[[#This Row],[Compte Consignee]])</f>
        <v>--90016700</v>
      </c>
      <c r="E83" s="171" t="s">
        <v>498</v>
      </c>
      <c r="F83" s="172">
        <v>2</v>
      </c>
      <c r="G83" s="166"/>
      <c r="H83" s="490" t="str">
        <f>IF(Tableau3[[#This Row],[Name PFI/CDD]]&lt;&gt;"",VLOOKUP(Tableau3[[#This Row],[Name PFI/CDD]],Plant_AILN!I:J,2,FALSE),"-")</f>
        <v>-</v>
      </c>
      <c r="I83" s="167" t="str">
        <f>IF(Tableau3[[#This Row],[Code PFI]]="-","Direct","PFI/CDD")</f>
        <v>Direct</v>
      </c>
      <c r="J83" s="60">
        <f>IFERROR(IF(Tableau3[[#This Row],[type PFI/CDD]]="Direct",0,VLOOKUP(Tableau3[[#This Row],[Clé(POD-PFI)]],Transport!G:K,5,FALSE)),"")</f>
        <v>0</v>
      </c>
      <c r="K83" s="4" t="str">
        <f>VLOOKUP(Tableau3[[#This Row],[Name Consignee]],Tableau10[],4,FALSE)</f>
        <v>SLOVENIA</v>
      </c>
      <c r="L83" s="7" t="s">
        <v>181</v>
      </c>
      <c r="M83" s="490">
        <f>VLOOKUP(Tableau3[[#This Row],[Name Consignee]],Tableau10[],3,FALSE)</f>
        <v>90016700</v>
      </c>
      <c r="N83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4" spans="1:14" ht="14.1" customHeight="1">
      <c r="A84" s="161" t="str">
        <f>_xlfn.CONCAT(Tableau3[[#This Row],[POD]],"-",Tableau3[[#This Row],[Code PFI]],"-",Tableau3[[#This Row],[Compte Consignee]])</f>
        <v>THLCH---25048500</v>
      </c>
      <c r="B84" s="161" t="str">
        <f>_xlfn.CONCAT(Tableau3[[#This Row],[POD]],"-",Tableau3[[#This Row],[Code PFI]])</f>
        <v>THLCH--</v>
      </c>
      <c r="C84" s="173" t="str">
        <f>IF(Tableau3[[#This Row],[Name PFI/CDD]]="",_xlfn.CONCAT(Tableau3[[#This Row],[POD]],"-",Tableau3[[#This Row],[Compte Consignee]]),"-")</f>
        <v>THLCH-25048500</v>
      </c>
      <c r="D84" s="181" t="str">
        <f>_xlfn.CONCAT(Tableau3[[#This Row],[Code PFI]],"-",Tableau3[[#This Row],[Compte Consignee]])</f>
        <v>--25048500</v>
      </c>
      <c r="E84" s="171" t="s">
        <v>520</v>
      </c>
      <c r="F84" s="172">
        <v>4</v>
      </c>
      <c r="G84" s="166"/>
      <c r="H84" s="490" t="str">
        <f>IF(Tableau3[[#This Row],[Name PFI/CDD]]&lt;&gt;"",VLOOKUP(Tableau3[[#This Row],[Name PFI/CDD]],Plant_AILN!I:J,2,FALSE),"-")</f>
        <v>-</v>
      </c>
      <c r="I84" s="167" t="str">
        <f>IF(Tableau3[[#This Row],[Code PFI]]="-","Direct","PFI/CDD")</f>
        <v>Direct</v>
      </c>
      <c r="J84" s="60">
        <f>IFERROR(IF(Tableau3[[#This Row],[type PFI/CDD]]="Direct",0,VLOOKUP(Tableau3[[#This Row],[Clé(POD-PFI)]],Transport!G:K,5,FALSE)),"")</f>
        <v>0</v>
      </c>
      <c r="K84" s="4" t="str">
        <f>VLOOKUP(Tableau3[[#This Row],[Name Consignee]],Tableau10[],4,FALSE)</f>
        <v>THAILAND</v>
      </c>
      <c r="L84" s="7" t="s">
        <v>139</v>
      </c>
      <c r="M84" s="490">
        <f>VLOOKUP(Tableau3[[#This Row],[Name Consignee]],Tableau10[],3,FALSE)</f>
        <v>25048500</v>
      </c>
      <c r="N84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85" spans="1:14" ht="14.1" customHeight="1">
      <c r="A85" s="161" t="str">
        <f>_xlfn.CONCAT(Tableau3[[#This Row],[POD]],"-",Tableau3[[#This Row],[Code PFI]],"-",Tableau3[[#This Row],[Compte Consignee]])</f>
        <v>TRGEB---90014400</v>
      </c>
      <c r="B85" s="161" t="str">
        <f>_xlfn.CONCAT(Tableau3[[#This Row],[POD]],"-",Tableau3[[#This Row],[Code PFI]])</f>
        <v>TRGEB--</v>
      </c>
      <c r="C85" s="173" t="str">
        <f>IF(Tableau3[[#This Row],[Name PFI/CDD]]="",_xlfn.CONCAT(Tableau3[[#This Row],[POD]],"-",Tableau3[[#This Row],[Compte Consignee]]),"-")</f>
        <v>TRGEB-90014400</v>
      </c>
      <c r="D85" s="181" t="str">
        <f>_xlfn.CONCAT(Tableau3[[#This Row],[Code PFI]],"-",Tableau3[[#This Row],[Compte Consignee]])</f>
        <v>--90014400</v>
      </c>
      <c r="E85" s="171" t="s">
        <v>592</v>
      </c>
      <c r="F85" s="172">
        <v>1</v>
      </c>
      <c r="G85" s="166"/>
      <c r="H85" s="490" t="str">
        <f>IF(Tableau3[[#This Row],[Name PFI/CDD]]&lt;&gt;"",VLOOKUP(Tableau3[[#This Row],[Name PFI/CDD]],Plant_AILN!I:J,2,FALSE),"-")</f>
        <v>-</v>
      </c>
      <c r="I85" s="167" t="str">
        <f>IF(Tableau3[[#This Row],[Code PFI]]="-","Direct","PFI/CDD")</f>
        <v>Direct</v>
      </c>
      <c r="J85" s="60">
        <f>IFERROR(IF(Tableau3[[#This Row],[type PFI/CDD]]="Direct",0,VLOOKUP(Tableau3[[#This Row],[Clé(POD-PFI)]],Transport!G:K,5,FALSE)),"")</f>
        <v>0</v>
      </c>
      <c r="K85" s="4" t="str">
        <f>VLOOKUP(Tableau3[[#This Row],[Name Consignee]],Tableau10[],4,FALSE)</f>
        <v>TURKEY</v>
      </c>
      <c r="L85" s="182" t="s">
        <v>164</v>
      </c>
      <c r="M85" s="490">
        <f>VLOOKUP(Tableau3[[#This Row],[Name Consignee]],Tableau10[],3,FALSE)</f>
        <v>90014400</v>
      </c>
      <c r="N85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6" spans="1:14" ht="14.1" customHeight="1">
      <c r="A86" s="161" t="str">
        <f>_xlfn.CONCAT(Tableau3[[#This Row],[POD]],"-",Tableau3[[#This Row],[Code PFI]],"-",Tableau3[[#This Row],[Compte Consignee]])</f>
        <v>TRGEM---90014400</v>
      </c>
      <c r="B86" s="161" t="str">
        <f>_xlfn.CONCAT(Tableau3[[#This Row],[POD]],"-",Tableau3[[#This Row],[Code PFI]])</f>
        <v>TRGEM--</v>
      </c>
      <c r="C86" s="173" t="str">
        <f>IF(Tableau3[[#This Row],[Name PFI/CDD]]="",_xlfn.CONCAT(Tableau3[[#This Row],[POD]],"-",Tableau3[[#This Row],[Compte Consignee]]),"-")</f>
        <v>TRGEM-90014400</v>
      </c>
      <c r="D86" s="181" t="str">
        <f>_xlfn.CONCAT(Tableau3[[#This Row],[Code PFI]],"-",Tableau3[[#This Row],[Compte Consignee]])</f>
        <v>--90014400</v>
      </c>
      <c r="E86" s="171" t="s">
        <v>510</v>
      </c>
      <c r="F86" s="172">
        <v>2</v>
      </c>
      <c r="G86" s="166"/>
      <c r="H86" s="490" t="str">
        <f>IF(Tableau3[[#This Row],[Name PFI/CDD]]&lt;&gt;"",VLOOKUP(Tableau3[[#This Row],[Name PFI/CDD]],Plant_AILN!I:J,2,FALSE),"-")</f>
        <v>-</v>
      </c>
      <c r="I86" s="167" t="str">
        <f>IF(Tableau3[[#This Row],[Code PFI]]="-","Direct","PFI/CDD")</f>
        <v>Direct</v>
      </c>
      <c r="J86" s="60">
        <f>IFERROR(IF(Tableau3[[#This Row],[type PFI/CDD]]="Direct",0,VLOOKUP(Tableau3[[#This Row],[Clé(POD-PFI)]],Transport!G:K,5,FALSE)),"")</f>
        <v>0</v>
      </c>
      <c r="K86" s="4" t="str">
        <f>VLOOKUP(Tableau3[[#This Row],[Name Consignee]],Tableau10[],4,FALSE)</f>
        <v>TURKEY</v>
      </c>
      <c r="L86" s="7" t="s">
        <v>164</v>
      </c>
      <c r="M86" s="490">
        <f>VLOOKUP(Tableau3[[#This Row],[Name Consignee]],Tableau10[],3,FALSE)</f>
        <v>90014400</v>
      </c>
      <c r="N86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7" spans="1:14" ht="14.85" customHeight="1">
      <c r="A87" s="161" t="str">
        <f>_xlfn.CONCAT(Tableau3[[#This Row],[POD]],"-",Tableau3[[#This Row],[Code PFI]],"-",Tableau3[[#This Row],[Compte Consignee]])</f>
        <v>TRGEM---90017000</v>
      </c>
      <c r="B87" s="183" t="str">
        <f>_xlfn.CONCAT(Tableau3[[#This Row],[POD]],"-",Tableau3[[#This Row],[Code PFI]])</f>
        <v>TRGEM--</v>
      </c>
      <c r="C87" s="184" t="str">
        <f>IF(Tableau3[[#This Row],[Name PFI/CDD]]="",_xlfn.CONCAT(Tableau3[[#This Row],[POD]],"-",Tableau3[[#This Row],[Compte Consignee]]),"-")</f>
        <v>TRGEM-90017000</v>
      </c>
      <c r="D87" s="185" t="str">
        <f>_xlfn.CONCAT(Tableau3[[#This Row],[Code PFI]],"-",Tableau3[[#This Row],[Compte Consignee]])</f>
        <v>--90017000</v>
      </c>
      <c r="E87" s="171" t="s">
        <v>510</v>
      </c>
      <c r="F87" s="172">
        <v>2</v>
      </c>
      <c r="G87" s="186"/>
      <c r="H87" s="490" t="str">
        <f>IF(Tableau3[[#This Row],[Name PFI/CDD]]&lt;&gt;"",VLOOKUP(Tableau3[[#This Row],[Name PFI/CDD]],Plant_AILN!I:J,2,FALSE),"-")</f>
        <v>-</v>
      </c>
      <c r="I87" s="167" t="str">
        <f>IF(Tableau3[[#This Row],[Code PFI]]="-","Direct","PFI/CDD")</f>
        <v>Direct</v>
      </c>
      <c r="J87" s="60">
        <f>IFERROR(IF(Tableau3[[#This Row],[type PFI/CDD]]="Direct",0,VLOOKUP(Tableau3[[#This Row],[Clé(POD-PFI)]],Transport!G:K,5,FALSE)),"")</f>
        <v>0</v>
      </c>
      <c r="K87" s="4" t="str">
        <f>VLOOKUP(Tableau3[[#This Row],[Name Consignee]],Tableau10[],4,FALSE)</f>
        <v>TURKEY</v>
      </c>
      <c r="L87" s="7" t="s">
        <v>167</v>
      </c>
      <c r="M87" s="490">
        <f>VLOOKUP(Tableau3[[#This Row],[Name Consignee]],Tableau10[],3,FALSE)</f>
        <v>90017000</v>
      </c>
      <c r="N87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8" spans="1:14" ht="14.1" customHeight="1">
      <c r="A88" s="161" t="str">
        <f>_xlfn.CONCAT(Tableau3[[#This Row],[POD]],"-",Tableau3[[#This Row],[Code PFI]],"-",Tableau3[[#This Row],[Compte Consignee]])</f>
        <v>TRIZT---90014400</v>
      </c>
      <c r="B88" s="161" t="str">
        <f>_xlfn.CONCAT(Tableau3[[#This Row],[POD]],"-",Tableau3[[#This Row],[Code PFI]])</f>
        <v>TRIZT--</v>
      </c>
      <c r="C88" s="173" t="str">
        <f>IF(Tableau3[[#This Row],[Name PFI/CDD]]="",_xlfn.CONCAT(Tableau3[[#This Row],[POD]],"-",Tableau3[[#This Row],[Compte Consignee]]),"-")</f>
        <v>TRIZT-90014400</v>
      </c>
      <c r="D88" s="187" t="str">
        <f>_xlfn.CONCAT(Tableau3[[#This Row],[Code PFI]],"-",Tableau3[[#This Row],[Compte Consignee]])</f>
        <v>--90014400</v>
      </c>
      <c r="E88" s="171" t="s">
        <v>500</v>
      </c>
      <c r="F88" s="172">
        <v>4</v>
      </c>
      <c r="G88" s="188"/>
      <c r="H88" s="490" t="str">
        <f>IF(Tableau3[[#This Row],[Name PFI/CDD]]&lt;&gt;"",VLOOKUP(Tableau3[[#This Row],[Name PFI/CDD]],Plant_AILN!I:J,2,FALSE),"-")</f>
        <v>-</v>
      </c>
      <c r="I88" s="167" t="str">
        <f>IF(Tableau3[[#This Row],[Code PFI]]="-","Direct","PFI/CDD")</f>
        <v>Direct</v>
      </c>
      <c r="J88" s="60">
        <f>IFERROR(IF(Tableau3[[#This Row],[type PFI/CDD]]="Direct",0,VLOOKUP(Tableau3[[#This Row],[Clé(POD-PFI)]],Transport!G:K,5,FALSE)),"")</f>
        <v>0</v>
      </c>
      <c r="K88" s="4" t="str">
        <f>VLOOKUP(Tableau3[[#This Row],[Name Consignee]],Tableau10[],4,FALSE)</f>
        <v>TURKEY</v>
      </c>
      <c r="L88" s="189" t="s">
        <v>164</v>
      </c>
      <c r="M88" s="490">
        <f>VLOOKUP(Tableau3[[#This Row],[Name Consignee]],Tableau10[],3,FALSE)</f>
        <v>90014400</v>
      </c>
      <c r="N88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89" spans="1:14" ht="14.1" customHeight="1">
      <c r="A89" s="161" t="str">
        <f>_xlfn.CONCAT(Tableau3[[#This Row],[POD]],"-",Tableau3[[#This Row],[Code PFI]],"-",Tableau3[[#This Row],[Compte Consignee]])</f>
        <v>TRGEM---90022000</v>
      </c>
      <c r="B89" s="191" t="str">
        <f>_xlfn.CONCAT(Tableau3[[#This Row],[POD]],"-",Tableau3[[#This Row],[Code PFI]])</f>
        <v>TRGEM--</v>
      </c>
      <c r="C89" s="289" t="str">
        <f>IF(Tableau3[[#This Row],[Name PFI/CDD]]="",_xlfn.CONCAT(Tableau3[[#This Row],[POD]],"-",Tableau3[[#This Row],[Compte Consignee]]),"-")</f>
        <v>TRGEM-90022000</v>
      </c>
      <c r="D89" s="290" t="str">
        <f>_xlfn.CONCAT(Tableau3[[#This Row],[Code PFI]],"-",Tableau3[[#This Row],[Compte Consignee]])</f>
        <v>--90022000</v>
      </c>
      <c r="E89" s="186" t="s">
        <v>510</v>
      </c>
      <c r="F89" s="172">
        <v>2</v>
      </c>
      <c r="G89" s="186"/>
      <c r="H89" s="486" t="str">
        <f>IF(Tableau3[[#This Row],[Name PFI/CDD]]&lt;&gt;"",VLOOKUP(Tableau3[[#This Row],[Name PFI/CDD]],Plant_AILN!I:J,2,FALSE),"-")</f>
        <v>-</v>
      </c>
      <c r="I89" s="291" t="str">
        <f>IF(Tableau3[[#This Row],[Code PFI]]="-","Direct","PFI/CDD")</f>
        <v>Direct</v>
      </c>
      <c r="J89" s="60">
        <f>IFERROR(IF(Tableau3[[#This Row],[type PFI/CDD]]="Direct",0,VLOOKUP(Tableau3[[#This Row],[Clé(POD-PFI)]],Transport!G:K,5,FALSE)),"")</f>
        <v>0</v>
      </c>
      <c r="K89" s="292" t="str">
        <f>VLOOKUP(Tableau3[[#This Row],[Name Consignee]],Tableau10[],4,FALSE)</f>
        <v>TURKEY</v>
      </c>
      <c r="L89" s="198" t="s">
        <v>366</v>
      </c>
      <c r="M89" s="486">
        <f>VLOOKUP(Tableau3[[#This Row],[Name Consignee]],Tableau10[],3,FALSE)</f>
        <v>90022000</v>
      </c>
      <c r="N89" s="106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0" spans="1:14" ht="14.1" customHeight="1">
      <c r="A90" s="161" t="str">
        <f>_xlfn.CONCAT(Tableau3[[#This Row],[POD]],"-",Tableau3[[#This Row],[Code PFI]],"-",Tableau3[[#This Row],[Compte Consignee]])</f>
        <v>TRIZT---90017000</v>
      </c>
      <c r="B90" s="191" t="str">
        <f>_xlfn.CONCAT(Tableau3[[#This Row],[POD]],"-",Tableau3[[#This Row],[Code PFI]])</f>
        <v>TRIZT--</v>
      </c>
      <c r="C90" s="184" t="str">
        <f>IF(Tableau3[[#This Row],[Name PFI/CDD]]="",_xlfn.CONCAT(Tableau3[[#This Row],[POD]],"-",Tableau3[[#This Row],[Compte Consignee]]),"-")</f>
        <v>TRIZT-90017000</v>
      </c>
      <c r="D90" s="187" t="str">
        <f>_xlfn.CONCAT(Tableau3[[#This Row],[Code PFI]],"-",Tableau3[[#This Row],[Compte Consignee]])</f>
        <v>--90017000</v>
      </c>
      <c r="E90" s="192" t="s">
        <v>500</v>
      </c>
      <c r="F90" s="172">
        <v>4</v>
      </c>
      <c r="G90" s="188"/>
      <c r="H90" s="490" t="str">
        <f>IF(Tableau3[[#This Row],[Name PFI/CDD]]&lt;&gt;"",VLOOKUP(Tableau3[[#This Row],[Name PFI/CDD]],Plant_AILN!I:J,2,FALSE),"-")</f>
        <v>-</v>
      </c>
      <c r="I90" s="167" t="str">
        <f>IF(Tableau3[[#This Row],[Code PFI]]="-","Direct","PFI/CDD")</f>
        <v>Direct</v>
      </c>
      <c r="J90" s="60">
        <f>IFERROR(IF(Tableau3[[#This Row],[type PFI/CDD]]="Direct",0,VLOOKUP(Tableau3[[#This Row],[Clé(POD-PFI)]],Transport!G:K,5,FALSE)),"")</f>
        <v>0</v>
      </c>
      <c r="K90" s="4" t="str">
        <f>VLOOKUP(Tableau3[[#This Row],[Name Consignee]],Tableau10[],4,FALSE)</f>
        <v>TURKEY</v>
      </c>
      <c r="L90" s="189" t="s">
        <v>167</v>
      </c>
      <c r="M90" s="486">
        <f>VLOOKUP(Tableau3[[#This Row],[Name Consignee]],Tableau10[],3,FALSE)</f>
        <v>90017000</v>
      </c>
      <c r="N90" s="3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1" spans="1:14" ht="14.1" customHeight="1">
      <c r="A91" s="161" t="str">
        <f>_xlfn.CONCAT(Tableau3[[#This Row],[POD]],"-",Tableau3[[#This Row],[Code PFI]],"-",Tableau3[[#This Row],[Compte Consignee]])</f>
        <v>ZADUR---25079500</v>
      </c>
      <c r="B91" s="191" t="str">
        <f>_xlfn.CONCAT(Tableau3[[#This Row],[POD]],"-",Tableau3[[#This Row],[Code PFI]])</f>
        <v>ZADUR--</v>
      </c>
      <c r="C91" s="184" t="str">
        <f>IF(Tableau3[[#This Row],[Name PFI/CDD]]="",_xlfn.CONCAT(Tableau3[[#This Row],[POD]],"-",Tableau3[[#This Row],[Compte Consignee]]),"-")</f>
        <v>ZADUR-25079500</v>
      </c>
      <c r="D91" s="193" t="str">
        <f>_xlfn.CONCAT(Tableau3[[#This Row],[Code PFI]],"-",Tableau3[[#This Row],[Compte Consignee]])</f>
        <v>--25079500</v>
      </c>
      <c r="E91" s="171" t="s">
        <v>593</v>
      </c>
      <c r="F91" s="194">
        <v>3</v>
      </c>
      <c r="G91" s="186"/>
      <c r="H91" s="486" t="str">
        <f>IF(Tableau3[[#This Row],[Name PFI/CDD]]&lt;&gt;"",VLOOKUP(Tableau3[[#This Row],[Name PFI/CDD]],Plant_AILN!I:J,2,FALSE),"-")</f>
        <v>-</v>
      </c>
      <c r="I91" s="167" t="str">
        <f>IF(Tableau3[[#This Row],[Code PFI]]="-","Direct","PFI/CDD")</f>
        <v>Direct</v>
      </c>
      <c r="J91" s="60">
        <f>IFERROR(IF(Tableau3[[#This Row],[type PFI/CDD]]="Direct",0,VLOOKUP(Tableau3[[#This Row],[Clé(POD-PFI)]],Transport!G:K,5,FALSE)),"")</f>
        <v>0</v>
      </c>
      <c r="K91" s="4" t="str">
        <f>VLOOKUP(Tableau3[[#This Row],[Name Consignee]],Tableau10[],4,FALSE)</f>
        <v>SOUTH AFRICA</v>
      </c>
      <c r="L91" s="189" t="s">
        <v>546</v>
      </c>
      <c r="M91" s="486">
        <f>VLOOKUP(Tableau3[[#This Row],[Name Consignee]],Tableau10[],3,FALSE)</f>
        <v>25079500</v>
      </c>
      <c r="N91" s="3">
        <f>IFERROR(IF(Tableau3[[#This Row],[type PFI/CDD]]="Direct",VLOOKUP(Tableau3[[#This Row],[Clé(POD-Compte site )]],Transport!A:E,5,FALSE),VLOOKUP(Tableau3[[#This Row],[Clé(PFI-site)]],Transport!M:S,7,FALSE)),"No information")</f>
        <v>12</v>
      </c>
    </row>
    <row r="92" spans="1:14" ht="14.1" customHeight="1">
      <c r="A92" s="161" t="str">
        <f>_xlfn.CONCAT(Tableau3[[#This Row],[POD]],"-",Tableau3[[#This Row],[Code PFI]],"-",Tableau3[[#This Row],[Compte Consignee]])</f>
        <v>ESALG---91017500</v>
      </c>
      <c r="B92" s="191" t="str">
        <f>_xlfn.CONCAT(Tableau3[[#This Row],[POD]],"-",Tableau3[[#This Row],[Code PFI]])</f>
        <v>ESALG--</v>
      </c>
      <c r="C92" s="195" t="str">
        <f>IF(Tableau3[[#This Row],[Name PFI/CDD]]="",_xlfn.CONCAT(Tableau3[[#This Row],[POD]],"-",Tableau3[[#This Row],[Compte Consignee]]),"-")</f>
        <v>ESALG-91017500</v>
      </c>
      <c r="D92" s="196" t="str">
        <f>_xlfn.CONCAT(Tableau3[[#This Row],[Code PFI]],"-",Tableau3[[#This Row],[Compte Consignee]])</f>
        <v>--91017500</v>
      </c>
      <c r="E92" s="186" t="s">
        <v>507</v>
      </c>
      <c r="F92" s="197">
        <v>1</v>
      </c>
      <c r="G92" s="186"/>
      <c r="H92" s="486" t="str">
        <f>IF(Tableau3[[#This Row],[Name PFI/CDD]]&lt;&gt;"",VLOOKUP(Tableau3[[#This Row],[Name PFI/CDD]],Plant_AILN!I:J,2,FALSE),"-")</f>
        <v>-</v>
      </c>
      <c r="I92" s="167" t="str">
        <f>IF(Tableau3[[#This Row],[Code PFI]]="-","Direct","PFI/CDD")</f>
        <v>Direct</v>
      </c>
      <c r="J92" s="60">
        <f>IFERROR(IF(Tableau3[[#This Row],[type PFI/CDD]]="Direct",0,VLOOKUP(Tableau3[[#This Row],[Clé(POD-PFI)]],Transport!G:K,5,FALSE)),"")</f>
        <v>0</v>
      </c>
      <c r="K92" s="4" t="str">
        <f>VLOOKUP(Tableau3[[#This Row],[Name Consignee]],Tableau10[],4,FALSE)</f>
        <v>SPAIN</v>
      </c>
      <c r="L92" s="198" t="s">
        <v>162</v>
      </c>
      <c r="M92" s="486">
        <f>VLOOKUP(Tableau3[[#This Row],[Name Consignee]],Tableau10[],3,FALSE)</f>
        <v>91017500</v>
      </c>
      <c r="N92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93" spans="1:14" ht="14.1" customHeight="1">
      <c r="A93" s="161" t="str">
        <f>_xlfn.CONCAT(Tableau3[[#This Row],[POD]],"-",Tableau3[[#This Row],[Code PFI]],"-",Tableau3[[#This Row],[Compte Consignee]])</f>
        <v>ESVLC-91018400-91017600</v>
      </c>
      <c r="B93" s="190" t="str">
        <f>_xlfn.CONCAT(Tableau3[[#This Row],[POD]],"-",Tableau3[[#This Row],[Code PFI]])</f>
        <v>ESVLC-91018400</v>
      </c>
      <c r="C93" s="199" t="str">
        <f>IF(Tableau3[[#This Row],[Name PFI/CDD]]="",_xlfn.CONCAT(Tableau3[[#This Row],[POD]],"-",Tableau3[[#This Row],[Compte Consignee]]),"-")</f>
        <v>-</v>
      </c>
      <c r="D93" s="200" t="str">
        <f>_xlfn.CONCAT(Tableau3[[#This Row],[Code PFI]],"-",Tableau3[[#This Row],[Compte Consignee]])</f>
        <v>91018400-91017600</v>
      </c>
      <c r="E93" s="171" t="s">
        <v>492</v>
      </c>
      <c r="F93" s="197">
        <v>2</v>
      </c>
      <c r="G93" s="186" t="s">
        <v>161</v>
      </c>
      <c r="H93" s="486">
        <f>IF(Tableau3[[#This Row],[Name PFI/CDD]]&lt;&gt;"",VLOOKUP(Tableau3[[#This Row],[Name PFI/CDD]],Plant_AILN!I:J,2,FALSE),"-")</f>
        <v>91018400</v>
      </c>
      <c r="I93" s="167" t="str">
        <f>IF(Tableau3[[#This Row],[Code PFI]]="-","Direct","PFI/CDD")</f>
        <v>PFI/CDD</v>
      </c>
      <c r="J93" s="60">
        <f>IFERROR(IF(Tableau3[[#This Row],[type PFI/CDD]]="Direct",0,VLOOKUP(Tableau3[[#This Row],[Clé(POD-PFI)]],Transport!G:K,5,FALSE)),"")</f>
        <v>3</v>
      </c>
      <c r="K93" s="4" t="str">
        <f>VLOOKUP(Tableau3[[#This Row],[Name Consignee]],Tableau10[],4,FALSE)</f>
        <v>SPAIN</v>
      </c>
      <c r="L93" s="198" t="s">
        <v>214</v>
      </c>
      <c r="M93" s="486">
        <f>VLOOKUP(Tableau3[[#This Row],[Name Consignee]],Tableau10[],3,FALSE)</f>
        <v>91017600</v>
      </c>
      <c r="N93" s="3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4" spans="1:14" ht="14.1" customHeight="1">
      <c r="A94" s="161" t="str">
        <f>_xlfn.CONCAT(Tableau3[[#This Row],[POD]],"-",Tableau3[[#This Row],[Code PFI]],"-",Tableau3[[#This Row],[Compte Consignee]])</f>
        <v>DZORN---90021000</v>
      </c>
      <c r="B94" s="191" t="str">
        <f>_xlfn.CONCAT(Tableau3[[#This Row],[POD]],"-",Tableau3[[#This Row],[Code PFI]])</f>
        <v>DZORN--</v>
      </c>
      <c r="C94" s="195" t="str">
        <f>IF(Tableau3[[#This Row],[Name PFI/CDD]]="",_xlfn.CONCAT(Tableau3[[#This Row],[POD]],"-",Tableau3[[#This Row],[Compte Consignee]]),"-")</f>
        <v>DZORN-90021000</v>
      </c>
      <c r="D94" s="196" t="str">
        <f>_xlfn.CONCAT(Tableau3[[#This Row],[Code PFI]],"-",Tableau3[[#This Row],[Compte Consignee]])</f>
        <v>--90021000</v>
      </c>
      <c r="E94" s="186" t="s">
        <v>594</v>
      </c>
      <c r="F94" s="197">
        <v>21</v>
      </c>
      <c r="G94" s="186"/>
      <c r="H94" s="486" t="str">
        <f>IF(Tableau3[[#This Row],[Name PFI/CDD]]&lt;&gt;"",VLOOKUP(Tableau3[[#This Row],[Name PFI/CDD]],Plant_AILN!I:J,2,FALSE),"-")</f>
        <v>-</v>
      </c>
      <c r="I94" s="167" t="str">
        <f>IF(Tableau3[[#This Row],[Code PFI]]="-","Direct","PFI/CDD")</f>
        <v>Direct</v>
      </c>
      <c r="J94" s="60">
        <f>IFERROR(IF(Tableau3[[#This Row],[type PFI/CDD]]="Direct",0,VLOOKUP(Tableau3[[#This Row],[Clé(POD-PFI)]],Transport!G:K,5,FALSE)),"")</f>
        <v>0</v>
      </c>
      <c r="K94" s="4" t="str">
        <f>VLOOKUP(Tableau3[[#This Row],[Name Consignee]],Tableau10[],4,FALSE)</f>
        <v>ALGERIA</v>
      </c>
      <c r="L94" s="198" t="s">
        <v>203</v>
      </c>
      <c r="M94" s="486">
        <f>VLOOKUP(Tableau3[[#This Row],[Name Consignee]],Tableau10[],3,FALSE)</f>
        <v>90021000</v>
      </c>
      <c r="N94" s="3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95" spans="1:14" ht="14.1" customHeight="1">
      <c r="A95" s="161" t="str">
        <f>_xlfn.CONCAT(Tableau3[[#This Row],[POD]],"-",Tableau3[[#This Row],[Code PFI]],"-",Tableau3[[#This Row],[Compte Consignee]])</f>
        <v>TRGEB---90022000</v>
      </c>
      <c r="B95" s="191" t="str">
        <f>_xlfn.CONCAT(Tableau3[[#This Row],[POD]],"-",Tableau3[[#This Row],[Code PFI]])</f>
        <v>TRGEB--</v>
      </c>
      <c r="C95" s="289" t="str">
        <f>IF(Tableau3[[#This Row],[Name PFI/CDD]]="",_xlfn.CONCAT(Tableau3[[#This Row],[POD]],"-",Tableau3[[#This Row],[Compte Consignee]]),"-")</f>
        <v>TRGEB-90022000</v>
      </c>
      <c r="D95" s="290" t="str">
        <f>_xlfn.CONCAT(Tableau3[[#This Row],[Code PFI]],"-",Tableau3[[#This Row],[Compte Consignee]])</f>
        <v>--90022000</v>
      </c>
      <c r="E95" s="186" t="s">
        <v>592</v>
      </c>
      <c r="F95" s="197">
        <v>2</v>
      </c>
      <c r="G95" s="186"/>
      <c r="H95" s="486" t="str">
        <f>IF(Tableau3[[#This Row],[Name PFI/CDD]]&lt;&gt;"",VLOOKUP(Tableau3[[#This Row],[Name PFI/CDD]],Plant_AILN!I:J,2,FALSE),"-")</f>
        <v>-</v>
      </c>
      <c r="I95" s="291" t="str">
        <f>IF(Tableau3[[#This Row],[Code PFI]]="-","Direct","PFI/CDD")</f>
        <v>Direct</v>
      </c>
      <c r="J95" s="60">
        <f>IFERROR(IF(Tableau3[[#This Row],[type PFI/CDD]]="Direct",0,VLOOKUP(Tableau3[[#This Row],[Clé(POD-PFI)]],Transport!G:K,5,FALSE)),"")</f>
        <v>0</v>
      </c>
      <c r="K95" s="292" t="str">
        <f>VLOOKUP(Tableau3[[#This Row],[Name Consignee]],Tableau10[],4,FALSE)</f>
        <v>TURKEY</v>
      </c>
      <c r="L95" s="198" t="s">
        <v>366</v>
      </c>
      <c r="M95" s="486">
        <f>VLOOKUP(Tableau3[[#This Row],[Name Consignee]],Tableau10[],3,FALSE)</f>
        <v>90022000</v>
      </c>
      <c r="N95" s="106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6" spans="1:14" ht="14.1" customHeight="1">
      <c r="A96" s="161" t="str">
        <f>_xlfn.CONCAT(Tableau3[[#This Row],[POD]],"-",Tableau3[[#This Row],[Code PFI]],"-",Tableau3[[#This Row],[Compte Consignee]])</f>
        <v>TRIZT---90022000</v>
      </c>
      <c r="B96" s="191" t="str">
        <f>_xlfn.CONCAT(Tableau3[[#This Row],[POD]],"-",Tableau3[[#This Row],[Code PFI]])</f>
        <v>TRIZT--</v>
      </c>
      <c r="C96" s="289" t="str">
        <f>IF(Tableau3[[#This Row],[Name PFI/CDD]]="",_xlfn.CONCAT(Tableau3[[#This Row],[POD]],"-",Tableau3[[#This Row],[Compte Consignee]]),"-")</f>
        <v>TRIZT-90022000</v>
      </c>
      <c r="D96" s="290" t="str">
        <f>_xlfn.CONCAT(Tableau3[[#This Row],[Code PFI]],"-",Tableau3[[#This Row],[Compte Consignee]])</f>
        <v>--90022000</v>
      </c>
      <c r="E96" s="186" t="s">
        <v>500</v>
      </c>
      <c r="F96" s="172">
        <v>4</v>
      </c>
      <c r="G96" s="186"/>
      <c r="H96" s="486" t="str">
        <f>IF(Tableau3[[#This Row],[Name PFI/CDD]]&lt;&gt;"",VLOOKUP(Tableau3[[#This Row],[Name PFI/CDD]],Plant_AILN!I:J,2,FALSE),"-")</f>
        <v>-</v>
      </c>
      <c r="I96" s="291" t="str">
        <f>IF(Tableau3[[#This Row],[Code PFI]]="-","Direct","PFI/CDD")</f>
        <v>Direct</v>
      </c>
      <c r="J96" s="60">
        <f>IFERROR(IF(Tableau3[[#This Row],[type PFI/CDD]]="Direct",0,VLOOKUP(Tableau3[[#This Row],[Clé(POD-PFI)]],Transport!G:K,5,FALSE)),"")</f>
        <v>0</v>
      </c>
      <c r="K96" s="292" t="str">
        <f>VLOOKUP(Tableau3[[#This Row],[Name Consignee]],Tableau10[],4,FALSE)</f>
        <v>TURKEY</v>
      </c>
      <c r="L96" s="198" t="s">
        <v>366</v>
      </c>
      <c r="M96" s="486">
        <f>VLOOKUP(Tableau3[[#This Row],[Name Consignee]],Tableau10[],3,FALSE)</f>
        <v>90022000</v>
      </c>
      <c r="N96" s="106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  <row r="97" spans="1:14">
      <c r="A97" s="288" t="str">
        <f>_xlfn.CONCAT(Tableau3[[#This Row],[POD]],"-",Tableau3[[#This Row],[Code PFI]],"-",Tableau3[[#This Row],[Compte Consignee]])</f>
        <v>TRGEB---90017000</v>
      </c>
      <c r="B97" s="191" t="str">
        <f>_xlfn.CONCAT(Tableau3[[#This Row],[POD]],"-",Tableau3[[#This Row],[Code PFI]])</f>
        <v>TRGEB--</v>
      </c>
      <c r="C97" s="289" t="str">
        <f>IF(Tableau3[[#This Row],[Name PFI/CDD]]="",_xlfn.CONCAT(Tableau3[[#This Row],[POD]],"-",Tableau3[[#This Row],[Compte Consignee]]),"-")</f>
        <v>TRGEB-90017000</v>
      </c>
      <c r="D97" s="290" t="str">
        <f>_xlfn.CONCAT(Tableau3[[#This Row],[Code PFI]],"-",Tableau3[[#This Row],[Compte Consignee]])</f>
        <v>--90017000</v>
      </c>
      <c r="E97" s="171" t="s">
        <v>592</v>
      </c>
      <c r="F97" s="197">
        <v>1</v>
      </c>
      <c r="G97" s="186"/>
      <c r="H97" s="486" t="str">
        <f>IF(Tableau3[[#This Row],[Name PFI/CDD]]&lt;&gt;"",VLOOKUP(Tableau3[[#This Row],[Name PFI/CDD]],Plant_AILN!I:J,2,FALSE),"-")</f>
        <v>-</v>
      </c>
      <c r="I97" s="291" t="str">
        <f>IF(Tableau3[[#This Row],[Code PFI]]="-","Direct","PFI/CDD")</f>
        <v>Direct</v>
      </c>
      <c r="J97" s="60">
        <f>IFERROR(IF(Tableau3[[#This Row],[type PFI/CDD]]="Direct",0,VLOOKUP(Tableau3[[#This Row],[Clé(POD-PFI)]],Transport!G:K,5,FALSE)),"")</f>
        <v>0</v>
      </c>
      <c r="K97" s="292" t="str">
        <f>VLOOKUP(Tableau3[[#This Row],[Name Consignee]],Tableau10[],4,FALSE)</f>
        <v>TURKEY</v>
      </c>
      <c r="L97" s="198" t="s">
        <v>167</v>
      </c>
      <c r="M97" s="486">
        <f>VLOOKUP(Tableau3[[#This Row],[Name Consignee]],Tableau10[],3,FALSE)</f>
        <v>90017000</v>
      </c>
      <c r="N97" s="106">
        <f>IFERROR(IF(Tableau3[[#This Row],[type PFI/CDD]]="Direct",VLOOKUP(Tableau3[[#This Row],[Clé(POD-Compte site )]],Transport!A:E,5,FALSE),VLOOKUP(Tableau3[[#This Row],[Clé(PFI-site)]],Transport!M:S,7,FALSE)),"No information")</f>
        <v>3</v>
      </c>
    </row>
    <row r="98" spans="1:14">
      <c r="A98" s="288" t="str">
        <f>_xlfn.CONCAT(Tableau3[[#This Row],[POD]],"-",Tableau3[[#This Row],[Code PFI]],"-",Tableau3[[#This Row],[Compte Consignee]])</f>
        <v>ESVLC-91018400-90018400</v>
      </c>
      <c r="B98" s="191" t="str">
        <f>_xlfn.CONCAT(Tableau3[[#This Row],[POD]],"-",Tableau3[[#This Row],[Code PFI]])</f>
        <v>ESVLC-91018400</v>
      </c>
      <c r="C98" s="289" t="str">
        <f>IF(Tableau3[[#This Row],[Name PFI/CDD]]="",_xlfn.CONCAT(Tableau3[[#This Row],[POD]],"-",Tableau3[[#This Row],[Compte Consignee]]),"-")</f>
        <v>-</v>
      </c>
      <c r="D98" s="290" t="str">
        <f>_xlfn.CONCAT(Tableau3[[#This Row],[Code PFI]],"-",Tableau3[[#This Row],[Compte Consignee]])</f>
        <v>91018400-90018400</v>
      </c>
      <c r="E98" s="171" t="s">
        <v>492</v>
      </c>
      <c r="F98" s="197">
        <v>4</v>
      </c>
      <c r="G98" s="186" t="s">
        <v>161</v>
      </c>
      <c r="H98" s="486">
        <f>IF(Tableau3[[#This Row],[Name PFI/CDD]]&lt;&gt;"",VLOOKUP(Tableau3[[#This Row],[Name PFI/CDD]],Plant_AILN!I:J,2,FALSE),"-")</f>
        <v>91018400</v>
      </c>
      <c r="I98" s="291" t="str">
        <f>IF(Tableau3[[#This Row],[Code PFI]]="-","Direct","PFI/CDD")</f>
        <v>PFI/CDD</v>
      </c>
      <c r="J98" s="60">
        <f>IFERROR(IF(Tableau3[[#This Row],[type PFI/CDD]]="Direct",0,VLOOKUP(Tableau3[[#This Row],[Clé(POD-PFI)]],Transport!G:K,5,FALSE)),"")</f>
        <v>3</v>
      </c>
      <c r="K98" s="292" t="str">
        <f>VLOOKUP(Tableau3[[#This Row],[Name Consignee]],Tableau10[],4,FALSE)</f>
        <v>FRANCE</v>
      </c>
      <c r="L98" s="7" t="s">
        <v>397</v>
      </c>
      <c r="M98" s="486">
        <f>VLOOKUP(Tableau3[[#This Row],[Name Consignee]],Tableau10[],3,FALSE)</f>
        <v>90018400</v>
      </c>
      <c r="N98" s="106">
        <f>IFERROR(IF(Tableau3[[#This Row],[type PFI/CDD]]="Direct",VLOOKUP(Tableau3[[#This Row],[Clé(POD-Compte site )]],Transport!A:E,5,FALSE),VLOOKUP(Tableau3[[#This Row],[Clé(PFI-site)]],Transport!M:S,7,FALSE)),"No information")</f>
        <v>5</v>
      </c>
    </row>
    <row r="99" spans="1:14">
      <c r="A99" s="288" t="str">
        <f>_xlfn.CONCAT(Tableau3[[#This Row],[POD]],"-",Tableau3[[#This Row],[Code PFI]],"-",Tableau3[[#This Row],[Compte Consignee]])</f>
        <v>DZAZW---90021000</v>
      </c>
      <c r="B99" s="191" t="str">
        <f>_xlfn.CONCAT(Tableau3[[#This Row],[POD]],"-",Tableau3[[#This Row],[Code PFI]])</f>
        <v>DZAZW--</v>
      </c>
      <c r="C99" s="289" t="str">
        <f>IF(Tableau3[[#This Row],[Name PFI/CDD]]="",_xlfn.CONCAT(Tableau3[[#This Row],[POD]],"-",Tableau3[[#This Row],[Compte Consignee]]),"-")</f>
        <v>DZAZW-90021000</v>
      </c>
      <c r="D99" s="290" t="str">
        <f>_xlfn.CONCAT(Tableau3[[#This Row],[Code PFI]],"-",Tableau3[[#This Row],[Compte Consignee]])</f>
        <v>--90021000</v>
      </c>
      <c r="E99" s="186" t="s">
        <v>595</v>
      </c>
      <c r="F99" s="197">
        <v>14</v>
      </c>
      <c r="G99" s="186"/>
      <c r="H99" s="486" t="str">
        <f>IF(Tableau3[[#This Row],[Name PFI/CDD]]&lt;&gt;"",VLOOKUP(Tableau3[[#This Row],[Name PFI/CDD]],Plant_AILN!I:J,2,FALSE),"-")</f>
        <v>-</v>
      </c>
      <c r="I99" s="291" t="str">
        <f>IF(Tableau3[[#This Row],[Code PFI]]="-","Direct","PFI/CDD")</f>
        <v>Direct</v>
      </c>
      <c r="J99" s="60">
        <f>IFERROR(IF(Tableau3[[#This Row],[type PFI/CDD]]="Direct",0,VLOOKUP(Tableau3[[#This Row],[Clé(POD-PFI)]],Transport!G:K,5,FALSE)),"")</f>
        <v>0</v>
      </c>
      <c r="K99" s="292" t="str">
        <f>VLOOKUP(Tableau3[[#This Row],[Name Consignee]],Tableau10[],4,FALSE)</f>
        <v>ALGERIA</v>
      </c>
      <c r="L99" s="198" t="s">
        <v>203</v>
      </c>
      <c r="M99" s="486">
        <f>VLOOKUP(Tableau3[[#This Row],[Name Consignee]],Tableau10[],3,FALSE)</f>
        <v>90021000</v>
      </c>
      <c r="N99" s="106">
        <f>IFERROR(IF(Tableau3[[#This Row],[type PFI/CDD]]="Direct",VLOOKUP(Tableau3[[#This Row],[Clé(POD-Compte site )]],Transport!A:E,5,FALSE),VLOOKUP(Tableau3[[#This Row],[Clé(PFI-site)]],Transport!M:S,7,FALSE)),"No information")</f>
        <v>1</v>
      </c>
    </row>
    <row r="100" spans="1:14">
      <c r="A100" s="288" t="str">
        <f>_xlfn.CONCAT(Tableau3[[#This Row],[POD]],"-",Tableau3[[#This Row],[Code PFI]],"-",Tableau3[[#This Row],[Compte Consignee]])</f>
        <v>PTLEI---90016500</v>
      </c>
      <c r="B100" s="191" t="str">
        <f>_xlfn.CONCAT(Tableau3[[#This Row],[POD]],"-",Tableau3[[#This Row],[Code PFI]])</f>
        <v>PTLEI--</v>
      </c>
      <c r="C100" s="289" t="str">
        <f>IF(Tableau3[[#This Row],[Name PFI/CDD]]="",_xlfn.CONCAT(Tableau3[[#This Row],[POD]],"-",Tableau3[[#This Row],[Compte Consignee]]),"-")</f>
        <v>PTLEI-90016500</v>
      </c>
      <c r="D100" s="290" t="str">
        <f>_xlfn.CONCAT(Tableau3[[#This Row],[Code PFI]],"-",Tableau3[[#This Row],[Compte Consignee]])</f>
        <v>--90016500</v>
      </c>
      <c r="E100" s="186" t="s">
        <v>563</v>
      </c>
      <c r="F100" s="197">
        <v>3</v>
      </c>
      <c r="G100" s="186"/>
      <c r="H100" s="486" t="str">
        <f>IF(Tableau3[[#This Row],[Name PFI/CDD]]&lt;&gt;"",VLOOKUP(Tableau3[[#This Row],[Name PFI/CDD]],Plant_AILN!I:J,2,FALSE),"-")</f>
        <v>-</v>
      </c>
      <c r="I100" s="291" t="str">
        <f>IF(Tableau3[[#This Row],[Code PFI]]="-","Direct","PFI/CDD")</f>
        <v>Direct</v>
      </c>
      <c r="J100" s="108">
        <f>IFERROR(IF(Tableau3[[#This Row],[type PFI/CDD]]="Direct",0,VLOOKUP(Tableau3[[#This Row],[Clé(POD-PFI)]],Transport!G:K,5,FALSE)),"")</f>
        <v>0</v>
      </c>
      <c r="K100" s="292" t="str">
        <f>VLOOKUP(Tableau3[[#This Row],[Name Consignee]],Tableau10[],4,FALSE)</f>
        <v>PORTUGAL</v>
      </c>
      <c r="L100" s="198" t="s">
        <v>160</v>
      </c>
      <c r="M100" s="486">
        <f>VLOOKUP(Tableau3[[#This Row],[Name Consignee]],Tableau10[],3,FALSE)</f>
        <v>90016500</v>
      </c>
      <c r="N100" s="106">
        <f>IFERROR(IF(Tableau3[[#This Row],[type PFI/CDD]]="Direct",VLOOKUP(Tableau3[[#This Row],[Clé(POD-Compte site )]],Transport!A:E,5,FALSE),VLOOKUP(Tableau3[[#This Row],[Clé(PFI-site)]],Transport!M:S,7,FALSE)),"No information")</f>
        <v>2</v>
      </c>
    </row>
  </sheetData>
  <dataValidations count="2">
    <dataValidation type="list" allowBlank="1" showInputMessage="1" showErrorMessage="1" sqref="L100:L1048576 L95:L98 L3:L93" xr:uid="{00000000-0002-0000-0C00-000000000000}">
      <formula1>plantname</formula1>
    </dataValidation>
    <dataValidation type="list" allowBlank="1" showInputMessage="1" showErrorMessage="1" sqref="G95:G1048576 G2:G93" xr:uid="{00000000-0002-0000-0C00-000001000000}">
      <formula1>PFIname</formula1>
    </dataValidation>
  </dataValidations>
  <pageMargins left="0.7" right="0.7" top="0.75" bottom="0.75" header="0.3" footer="0.3"/>
  <pageSetup paperSize="9" orientation="portrait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9">
    <tabColor theme="7" tint="-0.249977111117893"/>
  </sheetPr>
  <dimension ref="A1:S61"/>
  <sheetViews>
    <sheetView topLeftCell="C1" workbookViewId="0">
      <pane ySplit="2" topLeftCell="A3" activePane="bottomLeft" state="frozen"/>
      <selection pane="bottomLeft" activeCell="G16" sqref="G16:G18"/>
    </sheetView>
  </sheetViews>
  <sheetFormatPr baseColWidth="10" defaultColWidth="11.44140625" defaultRowHeight="14.4" outlineLevelCol="1"/>
  <cols>
    <col min="1" max="1" width="19.44140625" customWidth="1" outlineLevel="1"/>
    <col min="2" max="2" width="11.44140625" style="282" customWidth="1"/>
    <col min="3" max="3" width="21" bestFit="1" customWidth="1"/>
    <col min="4" max="4" width="16.44140625" style="475" customWidth="1"/>
    <col min="5" max="5" width="13.5546875" style="48" customWidth="1"/>
    <col min="7" max="7" width="17.44140625" customWidth="1"/>
    <col min="13" max="13" width="24.44140625" hidden="1" customWidth="1" outlineLevel="1"/>
    <col min="14" max="14" width="11.44140625" customWidth="1" collapsed="1"/>
    <col min="15" max="15" width="12.44140625" style="501" bestFit="1" customWidth="1"/>
    <col min="16" max="16" width="17.44140625" hidden="1" customWidth="1"/>
    <col min="17" max="17" width="21" bestFit="1" customWidth="1"/>
    <col min="18" max="18" width="12.44140625" style="501" customWidth="1"/>
    <col min="19" max="19" width="12.44140625" style="48" customWidth="1"/>
  </cols>
  <sheetData>
    <row r="1" spans="1:19" ht="21.75" customHeight="1" thickBot="1">
      <c r="B1" s="609" t="s">
        <v>596</v>
      </c>
      <c r="C1" s="607"/>
      <c r="D1" s="610"/>
      <c r="E1" s="611"/>
      <c r="G1" s="612" t="s">
        <v>597</v>
      </c>
      <c r="H1" s="608"/>
      <c r="I1" s="608"/>
      <c r="J1" s="608"/>
      <c r="K1" s="608"/>
      <c r="N1" s="609" t="s">
        <v>598</v>
      </c>
      <c r="O1" s="613"/>
      <c r="P1" s="607"/>
      <c r="Q1" s="607"/>
      <c r="R1" s="613"/>
      <c r="S1" s="611"/>
    </row>
    <row r="2" spans="1:19" ht="60.75" customHeight="1" thickBot="1">
      <c r="A2" s="208" t="s">
        <v>599</v>
      </c>
      <c r="B2" s="248" t="s">
        <v>116</v>
      </c>
      <c r="C2" s="249" t="s">
        <v>600</v>
      </c>
      <c r="D2" s="529" t="s">
        <v>601</v>
      </c>
      <c r="E2" s="249" t="s">
        <v>602</v>
      </c>
      <c r="G2" s="49" t="s">
        <v>603</v>
      </c>
      <c r="H2" s="147" t="s">
        <v>116</v>
      </c>
      <c r="I2" s="147" t="s">
        <v>604</v>
      </c>
      <c r="J2" s="530" t="s">
        <v>122</v>
      </c>
      <c r="K2" s="147" t="s">
        <v>605</v>
      </c>
      <c r="M2" s="201" t="s">
        <v>606</v>
      </c>
      <c r="N2" s="250" t="s">
        <v>607</v>
      </c>
      <c r="O2" s="531" t="s">
        <v>608</v>
      </c>
      <c r="P2" s="202" t="s">
        <v>609</v>
      </c>
      <c r="Q2" s="202" t="s">
        <v>539</v>
      </c>
      <c r="R2" s="531" t="s">
        <v>101</v>
      </c>
      <c r="S2" s="251" t="s">
        <v>610</v>
      </c>
    </row>
    <row r="3" spans="1:19">
      <c r="A3" s="142"/>
      <c r="B3" s="142">
        <v>24</v>
      </c>
      <c r="C3" s="5">
        <v>31</v>
      </c>
      <c r="D3" s="5">
        <v>32</v>
      </c>
      <c r="E3" s="5">
        <v>33</v>
      </c>
      <c r="G3" s="111"/>
      <c r="H3" s="249">
        <v>24</v>
      </c>
      <c r="I3" s="202">
        <v>28</v>
      </c>
      <c r="J3" s="202">
        <v>29</v>
      </c>
      <c r="K3" s="152">
        <v>30</v>
      </c>
      <c r="M3" s="111"/>
      <c r="N3" s="148">
        <v>28</v>
      </c>
      <c r="O3" s="202">
        <v>29</v>
      </c>
      <c r="P3" s="142">
        <v>31</v>
      </c>
      <c r="Q3" s="5">
        <v>31</v>
      </c>
      <c r="R3" s="532"/>
      <c r="S3" s="252">
        <v>33</v>
      </c>
    </row>
    <row r="4" spans="1:19">
      <c r="A4" s="82" t="str">
        <f>_xlfn.CONCAT(Tableau4[[#This Row],[POD]],"-",Tableau4[[#This Row],[Code Plant]])</f>
        <v>ARBUE-90016000</v>
      </c>
      <c r="B4" s="206" t="s">
        <v>508</v>
      </c>
      <c r="C4" s="182" t="s">
        <v>169</v>
      </c>
      <c r="D4" s="490">
        <f>VLOOKUP(Tableau4[[#This Row],[Name Plant]],Plant_AILN!A:C,3,FALSE)</f>
        <v>90016000</v>
      </c>
      <c r="E4" s="253">
        <v>3</v>
      </c>
      <c r="G4" s="82" t="str">
        <f>_xlfn.CONCAT(Tableau5[[#This Row],[POD]],"-",Tableau5[[#This Row],[Code PFI]])</f>
        <v>FRLEH-90016600</v>
      </c>
      <c r="H4" s="254" t="s">
        <v>505</v>
      </c>
      <c r="I4" s="255" t="s">
        <v>217</v>
      </c>
      <c r="J4" s="533">
        <f>VLOOKUP(Tableau5[[#This Row],[Name PFI ]],Plant_AILN!I:J,2,FALSE)</f>
        <v>90016600</v>
      </c>
      <c r="K4" s="256">
        <v>2</v>
      </c>
      <c r="M4" s="82" t="str">
        <f>_xlfn.CONCAT(Tableau7[[#This Row],[Code PFI ]],"-",Tableau7[[#This Row],[Compte Consignee]])</f>
        <v>90016600-90018300</v>
      </c>
      <c r="N4" s="257" t="s">
        <v>153</v>
      </c>
      <c r="O4" s="490">
        <f>VLOOKUP(Tableau7[[#This Row],[PFI Import]],Plant_AILN!I:J,2,FALSE)</f>
        <v>90016600</v>
      </c>
      <c r="P4" s="258" t="s">
        <v>611</v>
      </c>
      <c r="Q4" s="259" t="s">
        <v>186</v>
      </c>
      <c r="R4" s="490">
        <f>VLOOKUP(Tableau7[[#This Row],[Name Consignee]],Plant_AILN!A:C,3,FALSE)</f>
        <v>90018300</v>
      </c>
      <c r="S4" s="260">
        <v>5</v>
      </c>
    </row>
    <row r="5" spans="1:19">
      <c r="A5" s="82" t="str">
        <f>_xlfn.CONCAT(Tableau4[[#This Row],[POD]],"-",Tableau4[[#This Row],[Code Plant]])</f>
        <v>ARROS-90016000</v>
      </c>
      <c r="B5" s="206" t="s">
        <v>557</v>
      </c>
      <c r="C5" s="182" t="s">
        <v>169</v>
      </c>
      <c r="D5" s="490">
        <f>VLOOKUP(Tableau4[[#This Row],[Name Plant]],Plant_AILN!A:C,3,FALSE)</f>
        <v>90016000</v>
      </c>
      <c r="E5" s="253">
        <v>2</v>
      </c>
      <c r="G5" s="82" t="str">
        <f>_xlfn.CONCAT(Tableau5[[#This Row],[POD]],"-",Tableau5[[#This Row],[Code PFI]])</f>
        <v>FRLEH-90016600</v>
      </c>
      <c r="H5" s="254" t="s">
        <v>505</v>
      </c>
      <c r="I5" s="255" t="s">
        <v>153</v>
      </c>
      <c r="J5" s="533">
        <f>VLOOKUP(Tableau5[[#This Row],[Name PFI ]],Plant_AILN!I:J,2,FALSE)</f>
        <v>90016600</v>
      </c>
      <c r="K5" s="256">
        <v>2</v>
      </c>
      <c r="M5" s="82" t="str">
        <f>_xlfn.CONCAT(Tableau7[[#This Row],[Code PFI ]],"-",Tableau7[[#This Row],[Compte Consignee]])</f>
        <v>90016600-9624700</v>
      </c>
      <c r="N5" s="257" t="s">
        <v>153</v>
      </c>
      <c r="O5" s="490">
        <f>VLOOKUP(Tableau7[[#This Row],[PFI Import]],Plant_AILN!I:J,2,FALSE)</f>
        <v>90016600</v>
      </c>
      <c r="P5" s="259"/>
      <c r="Q5" s="259" t="s">
        <v>236</v>
      </c>
      <c r="R5" s="490">
        <f>VLOOKUP(Tableau7[[#This Row],[Name Consignee]],Plant_AILN!A:C,3,FALSE)</f>
        <v>9624700</v>
      </c>
      <c r="S5" s="429">
        <v>4</v>
      </c>
    </row>
    <row r="6" spans="1:19">
      <c r="A6" s="82" t="str">
        <f>_xlfn.CONCAT(Tableau4[[#This Row],[POD]],"-",Tableau4[[#This Row],[Code Plant]])</f>
        <v>BRPNG-90018000</v>
      </c>
      <c r="B6" s="206" t="s">
        <v>489</v>
      </c>
      <c r="C6" s="182" t="s">
        <v>149</v>
      </c>
      <c r="D6" s="490">
        <f>VLOOKUP(Tableau4[[#This Row],[Name Plant]],Plant_AILN!A:C,3,FALSE)</f>
        <v>90018000</v>
      </c>
      <c r="E6" s="253">
        <v>2</v>
      </c>
      <c r="G6" s="82" t="str">
        <f>_xlfn.CONCAT(Tableau5[[#This Row],[POD]],"-",Tableau5[[#This Row],[Code PFI]])</f>
        <v>ROCND-2839004</v>
      </c>
      <c r="H6" s="254" t="s">
        <v>484</v>
      </c>
      <c r="I6" s="255" t="s">
        <v>218</v>
      </c>
      <c r="J6" s="533">
        <f>VLOOKUP(Tableau5[[#This Row],[Name PFI ]],Plant_AILN!I:J,2,FALSE)</f>
        <v>2839004</v>
      </c>
      <c r="K6" s="261">
        <v>7</v>
      </c>
      <c r="M6" s="82" t="str">
        <f>_xlfn.CONCAT(Tableau7[[#This Row],[Code PFI ]],"-",Tableau7[[#This Row],[Compte Consignee]])</f>
        <v>90016600-92000100</v>
      </c>
      <c r="N6" s="257" t="s">
        <v>153</v>
      </c>
      <c r="O6" s="490">
        <f>VLOOKUP(Tableau7[[#This Row],[PFI Import]],Plant_AILN!I:J,2,FALSE)</f>
        <v>90016600</v>
      </c>
      <c r="P6" s="258" t="s">
        <v>612</v>
      </c>
      <c r="Q6" s="259" t="s">
        <v>184</v>
      </c>
      <c r="R6" s="490">
        <f>VLOOKUP(Tableau7[[#This Row],[Name Consignee]],Plant_AILN!A:C,3,FALSE)</f>
        <v>92000100</v>
      </c>
      <c r="S6" s="260">
        <v>2</v>
      </c>
    </row>
    <row r="7" spans="1:19">
      <c r="A7" s="82" t="str">
        <f>_xlfn.CONCAT(Tableau4[[#This Row],[POD]],"-",Tableau4[[#This Row],[Code Plant]])</f>
        <v>BRPNG-90018600</v>
      </c>
      <c r="B7" s="206" t="s">
        <v>489</v>
      </c>
      <c r="C7" s="182" t="s">
        <v>154</v>
      </c>
      <c r="D7" s="490">
        <f>VLOOKUP(Tableau4[[#This Row],[Name Plant]],Plant_AILN!A:C,3,FALSE)</f>
        <v>90018600</v>
      </c>
      <c r="E7" s="253">
        <v>2</v>
      </c>
      <c r="G7" s="82" t="str">
        <f>_xlfn.CONCAT(Tableau5[[#This Row],[POD]],"-",Tableau5[[#This Row],[Code PFI]])</f>
        <v>ESVLC-91018400</v>
      </c>
      <c r="H7" s="254" t="s">
        <v>492</v>
      </c>
      <c r="I7" s="255" t="s">
        <v>161</v>
      </c>
      <c r="J7" s="533">
        <f>VLOOKUP(Tableau5[[#This Row],[Name PFI ]],Plant_AILN!I:J,2,FALSE)</f>
        <v>91018400</v>
      </c>
      <c r="K7" s="261">
        <v>3</v>
      </c>
      <c r="M7" s="82" t="str">
        <f>_xlfn.CONCAT(Tableau7[[#This Row],[Code PFI ]],"-",Tableau7[[#This Row],[Compte Consignee]])</f>
        <v>90016600-90019100</v>
      </c>
      <c r="N7" s="257" t="s">
        <v>153</v>
      </c>
      <c r="O7" s="490">
        <f>VLOOKUP(Tableau7[[#This Row],[PFI Import]],Plant_AILN!I:J,2,FALSE)</f>
        <v>90016600</v>
      </c>
      <c r="P7" s="258" t="s">
        <v>613</v>
      </c>
      <c r="Q7" s="259" t="s">
        <v>189</v>
      </c>
      <c r="R7" s="490">
        <f>VLOOKUP(Tableau7[[#This Row],[Name Consignee]],Plant_AILN!A:C,3,FALSE)</f>
        <v>90019100</v>
      </c>
      <c r="S7" s="260">
        <v>3</v>
      </c>
    </row>
    <row r="8" spans="1:19">
      <c r="A8" s="82" t="str">
        <f>_xlfn.CONCAT(Tableau4[[#This Row],[POD]],"-",Tableau4[[#This Row],[Code Plant]])</f>
        <v>BRPNG-90018500</v>
      </c>
      <c r="B8" s="206" t="s">
        <v>489</v>
      </c>
      <c r="C8" s="182" t="s">
        <v>548</v>
      </c>
      <c r="D8" s="490">
        <f>VLOOKUP(Tableau4[[#This Row],[Name Plant]],Plant_AILN!A:C,3,FALSE)</f>
        <v>90018500</v>
      </c>
      <c r="E8" s="253">
        <v>2</v>
      </c>
      <c r="G8" s="82" t="str">
        <f>_xlfn.CONCAT(Tableau5[[#This Row],[POD]],"-",Tableau5[[#This Row],[Code PFI]])</f>
        <v>ESVLC-91018400</v>
      </c>
      <c r="H8" s="262" t="s">
        <v>492</v>
      </c>
      <c r="I8" s="263" t="s">
        <v>166</v>
      </c>
      <c r="J8" s="533">
        <f>VLOOKUP(Tableau5[[#This Row],[Name PFI ]],Plant_AILN!I:J,2,FALSE)</f>
        <v>91018400</v>
      </c>
      <c r="K8" s="264">
        <v>3</v>
      </c>
      <c r="M8" s="82" t="str">
        <f>_xlfn.CONCAT(Tableau7[[#This Row],[Code PFI ]],"-",Tableau7[[#This Row],[Compte Consignee]])</f>
        <v>90016600-90015100</v>
      </c>
      <c r="N8" s="257" t="s">
        <v>153</v>
      </c>
      <c r="O8" s="490">
        <f>VLOOKUP(Tableau7[[#This Row],[PFI Import]],Plant_AILN!I:J,2,FALSE)</f>
        <v>90016600</v>
      </c>
      <c r="P8" s="258" t="s">
        <v>614</v>
      </c>
      <c r="Q8" s="259" t="s">
        <v>187</v>
      </c>
      <c r="R8" s="490">
        <f>VLOOKUP(Tableau7[[#This Row],[Name Consignee]],Plant_AILN!A:C,3,FALSE)</f>
        <v>90015100</v>
      </c>
      <c r="S8" s="260">
        <v>3</v>
      </c>
    </row>
    <row r="9" spans="1:19">
      <c r="A9" s="82" t="str">
        <f>_xlfn.CONCAT(Tableau4[[#This Row],[POD]],"-",Tableau4[[#This Row],[Code Plant]])</f>
        <v>BRRIO-28750500</v>
      </c>
      <c r="B9" s="206" t="s">
        <v>524</v>
      </c>
      <c r="C9" s="182" t="s">
        <v>398</v>
      </c>
      <c r="D9" s="490">
        <f>VLOOKUP(Tableau4[[#This Row],[Name Plant]],Plant_AILN!A:C,3,FALSE)</f>
        <v>28750500</v>
      </c>
      <c r="E9" s="253">
        <v>4</v>
      </c>
      <c r="G9" s="82" t="str">
        <f>_xlfn.CONCAT(Tableau5[[#This Row],[POD]],"-",Tableau5[[#This Row],[Code PFI]])</f>
        <v>ROCND-2839004</v>
      </c>
      <c r="H9" s="254" t="s">
        <v>484</v>
      </c>
      <c r="I9" s="254" t="s">
        <v>158</v>
      </c>
      <c r="J9" s="533">
        <f>VLOOKUP(Tableau5[[#This Row],[Name PFI ]],Plant_AILN!I:J,2,FALSE)</f>
        <v>2839004</v>
      </c>
      <c r="K9" s="261">
        <v>7</v>
      </c>
      <c r="M9" s="82" t="str">
        <f>_xlfn.CONCAT(Tableau7[[#This Row],[Code PFI ]],"-",Tableau7[[#This Row],[Compte Consignee]])</f>
        <v>90016600-90016200</v>
      </c>
      <c r="N9" s="257" t="s">
        <v>153</v>
      </c>
      <c r="O9" s="490">
        <f>VLOOKUP(Tableau7[[#This Row],[PFI Import]],Plant_AILN!I:J,2,FALSE)</f>
        <v>90016600</v>
      </c>
      <c r="P9" s="258" t="s">
        <v>615</v>
      </c>
      <c r="Q9" s="259" t="s">
        <v>185</v>
      </c>
      <c r="R9" s="490">
        <f>VLOOKUP(Tableau7[[#This Row],[Name Consignee]],Plant_AILN!A:C,3,FALSE)</f>
        <v>90016200</v>
      </c>
      <c r="S9" s="260">
        <v>3</v>
      </c>
    </row>
    <row r="10" spans="1:19">
      <c r="A10" s="82" t="str">
        <f>_xlfn.CONCAT(Tableau4[[#This Row],[POD]],"-",Tableau4[[#This Row],[Code Plant]])</f>
        <v>CLSAI-90009500</v>
      </c>
      <c r="B10" s="206" t="s">
        <v>471</v>
      </c>
      <c r="C10" s="182" t="s">
        <v>138</v>
      </c>
      <c r="D10" s="490">
        <f>VLOOKUP(Tableau4[[#This Row],[Name Plant]],Plant_AILN!A:C,3,FALSE)</f>
        <v>90009500</v>
      </c>
      <c r="E10" s="253">
        <v>2</v>
      </c>
      <c r="G10" s="82" t="str">
        <f>_xlfn.CONCAT(Tableau5[[#This Row],[POD]],"-",Tableau5[[#This Row],[Code PFI]])</f>
        <v>ROCND-2839004</v>
      </c>
      <c r="H10" s="254" t="s">
        <v>484</v>
      </c>
      <c r="I10" s="254" t="s">
        <v>158</v>
      </c>
      <c r="J10" s="533">
        <f>VLOOKUP(Tableau5[[#This Row],[Name PFI ]],Plant_AILN!I:J,2,FALSE)</f>
        <v>2839004</v>
      </c>
      <c r="K10" s="261">
        <v>7</v>
      </c>
      <c r="M10" s="82" t="str">
        <f>_xlfn.CONCAT(Tableau7[[#This Row],[Code PFI ]],"-",Tableau7[[#This Row],[Compte Consignee]])</f>
        <v>90016600-91017200</v>
      </c>
      <c r="N10" s="257" t="s">
        <v>153</v>
      </c>
      <c r="O10" s="490">
        <f>VLOOKUP(Tableau7[[#This Row],[PFI Import]],Plant_AILN!I:J,2,FALSE)</f>
        <v>90016600</v>
      </c>
      <c r="P10" s="258" t="s">
        <v>616</v>
      </c>
      <c r="Q10" s="259" t="s">
        <v>175</v>
      </c>
      <c r="R10" s="490">
        <f>VLOOKUP(Tableau7[[#This Row],[Name Consignee]],Plant_AILN!A:C,3,FALSE)</f>
        <v>91017200</v>
      </c>
      <c r="S10" s="265">
        <v>5</v>
      </c>
    </row>
    <row r="11" spans="1:19">
      <c r="A11" s="82" t="str">
        <f>_xlfn.CONCAT(Tableau4[[#This Row],[POD]],"-",Tableau4[[#This Row],[Code Plant]])</f>
        <v>CLVAP-90009500</v>
      </c>
      <c r="B11" s="206" t="s">
        <v>587</v>
      </c>
      <c r="C11" s="182" t="s">
        <v>138</v>
      </c>
      <c r="D11" s="490">
        <f>VLOOKUP(Tableau4[[#This Row],[Name Plant]],Plant_AILN!A:C,3,FALSE)</f>
        <v>90009500</v>
      </c>
      <c r="E11" s="253">
        <v>2</v>
      </c>
      <c r="M11" s="82" t="str">
        <f>_xlfn.CONCAT(Tableau7[[#This Row],[Code PFI ]],"-",Tableau7[[#This Row],[Compte Consignee]])</f>
        <v>90016600-90017100</v>
      </c>
      <c r="N11" s="257" t="s">
        <v>153</v>
      </c>
      <c r="O11" s="490">
        <f>VLOOKUP(Tableau7[[#This Row],[PFI Import]],Plant_AILN!I:J,2,FALSE)</f>
        <v>90016600</v>
      </c>
      <c r="P11" s="258" t="s">
        <v>617</v>
      </c>
      <c r="Q11" s="259" t="s">
        <v>201</v>
      </c>
      <c r="R11" s="490">
        <f>VLOOKUP(Tableau7[[#This Row],[Name Consignee]],Plant_AILN!A:C,3,FALSE)</f>
        <v>90017100</v>
      </c>
      <c r="S11" s="260">
        <v>2</v>
      </c>
    </row>
    <row r="12" spans="1:19">
      <c r="A12" s="82" t="str">
        <f>_xlfn.CONCAT(Tableau4[[#This Row],[POD]],"-",Tableau4[[#This Row],[Code Plant]])</f>
        <v>CNSHA-0</v>
      </c>
      <c r="B12" s="206" t="s">
        <v>513</v>
      </c>
      <c r="C12" s="182" t="s">
        <v>315</v>
      </c>
      <c r="D12" s="490">
        <f>VLOOKUP(Tableau4[[#This Row],[Name Plant]],Plant_AILN!A:C,3,FALSE)</f>
        <v>0</v>
      </c>
      <c r="E12" s="253">
        <v>3</v>
      </c>
      <c r="M12" s="82" t="str">
        <f>_xlfn.CONCAT(Tableau7[[#This Row],[Code PFI ]],"-",Tableau7[[#This Row],[Compte Consignee]])</f>
        <v>90016600-91017500</v>
      </c>
      <c r="N12" s="257" t="s">
        <v>153</v>
      </c>
      <c r="O12" s="490">
        <f>VLOOKUP(Tableau7[[#This Row],[PFI Import]],Plant_AILN!I:J,2,FALSE)</f>
        <v>90016600</v>
      </c>
      <c r="P12" s="258" t="s">
        <v>618</v>
      </c>
      <c r="Q12" s="259" t="s">
        <v>162</v>
      </c>
      <c r="R12" s="490">
        <f>VLOOKUP(Tableau7[[#This Row],[Name Consignee]],Plant_AILN!A:C,3,FALSE)</f>
        <v>91017500</v>
      </c>
      <c r="S12" s="265">
        <v>5</v>
      </c>
    </row>
    <row r="13" spans="1:19">
      <c r="A13" s="82" t="str">
        <f>_xlfn.CONCAT(Tableau4[[#This Row],[POD]],"-",Tableau4[[#This Row],[Code Plant]])</f>
        <v>CNWUH-0</v>
      </c>
      <c r="B13" s="206" t="s">
        <v>588</v>
      </c>
      <c r="C13" s="182" t="s">
        <v>315</v>
      </c>
      <c r="D13" s="490">
        <f>VLOOKUP(Tableau4[[#This Row],[Name Plant]],Plant_AILN!A:C,3,FALSE)</f>
        <v>0</v>
      </c>
      <c r="E13" s="253">
        <v>3</v>
      </c>
      <c r="G13" s="606" t="s">
        <v>619</v>
      </c>
      <c r="H13" s="607"/>
      <c r="I13" s="607"/>
      <c r="J13" s="607"/>
      <c r="K13" s="607"/>
      <c r="M13" s="82" t="str">
        <f>_xlfn.CONCAT(Tableau7[[#This Row],[Code PFI ]],"-",Tableau7[[#This Row],[Compte Consignee]])</f>
        <v>90016600-90016900</v>
      </c>
      <c r="N13" s="257" t="s">
        <v>153</v>
      </c>
      <c r="O13" s="490">
        <f>VLOOKUP(Tableau7[[#This Row],[PFI Import]],Plant_AILN!I:J,2,FALSE)</f>
        <v>90016600</v>
      </c>
      <c r="P13" s="258" t="s">
        <v>620</v>
      </c>
      <c r="Q13" s="259" t="s">
        <v>152</v>
      </c>
      <c r="R13" s="490">
        <f>VLOOKUP(Tableau7[[#This Row],[Name Consignee]],Plant_AILN!A:C,3,FALSE)</f>
        <v>90016900</v>
      </c>
      <c r="S13" s="260">
        <v>4</v>
      </c>
    </row>
    <row r="14" spans="1:19" ht="15.75" customHeight="1" thickBot="1">
      <c r="A14" s="82" t="str">
        <f>_xlfn.CONCAT(Tableau4[[#This Row],[POD]],"-",Tableau4[[#This Row],[Code Plant]])</f>
        <v>COBUN-9510600</v>
      </c>
      <c r="B14" s="206" t="s">
        <v>494</v>
      </c>
      <c r="C14" s="182" t="s">
        <v>176</v>
      </c>
      <c r="D14" s="490">
        <f>VLOOKUP(Tableau4[[#This Row],[Name Plant]],Plant_AILN!A:C,3,FALSE)</f>
        <v>9510600</v>
      </c>
      <c r="E14" s="253">
        <v>0</v>
      </c>
      <c r="G14" s="608"/>
      <c r="H14" s="608"/>
      <c r="I14" s="608"/>
      <c r="J14" s="608"/>
      <c r="K14" s="608"/>
      <c r="M14" s="82" t="str">
        <f>_xlfn.CONCAT(Tableau7[[#This Row],[Code PFI ]],"-",Tableau7[[#This Row],[Compte Consignee]])</f>
        <v>90016600-90018400</v>
      </c>
      <c r="N14" s="257" t="s">
        <v>153</v>
      </c>
      <c r="O14" s="490">
        <f>VLOOKUP(Tableau7[[#This Row],[PFI Import]],Plant_AILN!I:J,2,FALSE)</f>
        <v>90016600</v>
      </c>
      <c r="P14" s="258" t="s">
        <v>621</v>
      </c>
      <c r="Q14" s="259" t="s">
        <v>397</v>
      </c>
      <c r="R14" s="490">
        <f>VLOOKUP(Tableau7[[#This Row],[Name Consignee]],Plant_AILN!A:C,3,FALSE)</f>
        <v>90018400</v>
      </c>
      <c r="S14" s="260">
        <v>5</v>
      </c>
    </row>
    <row r="15" spans="1:19">
      <c r="A15" s="82" t="str">
        <f>_xlfn.CONCAT(Tableau4[[#This Row],[POD]],"-",Tableau4[[#This Row],[Code Plant]])</f>
        <v>COCTG-9510600</v>
      </c>
      <c r="B15" s="206" t="s">
        <v>503</v>
      </c>
      <c r="C15" s="182" t="s">
        <v>176</v>
      </c>
      <c r="D15" s="490">
        <f>VLOOKUP(Tableau4[[#This Row],[Name Plant]],Plant_AILN!A:C,3,FALSE)</f>
        <v>9510600</v>
      </c>
      <c r="E15" s="253">
        <v>0</v>
      </c>
      <c r="G15" s="249" t="s">
        <v>222</v>
      </c>
      <c r="H15" s="202" t="s">
        <v>605</v>
      </c>
      <c r="I15" s="202" t="s">
        <v>622</v>
      </c>
      <c r="J15" s="249" t="s">
        <v>623</v>
      </c>
      <c r="K15" s="249" t="s">
        <v>624</v>
      </c>
      <c r="M15" s="82" t="str">
        <f>_xlfn.CONCAT(Tableau7[[#This Row],[Code PFI ]],"-",Tableau7[[#This Row],[Compte Consignee]])</f>
        <v>90016600-91017300</v>
      </c>
      <c r="N15" s="257" t="s">
        <v>153</v>
      </c>
      <c r="O15" s="490">
        <f>VLOOKUP(Tableau7[[#This Row],[PFI Import]],Plant_AILN!I:J,2,FALSE)</f>
        <v>90016600</v>
      </c>
      <c r="P15" s="258" t="s">
        <v>625</v>
      </c>
      <c r="Q15" s="259" t="s">
        <v>172</v>
      </c>
      <c r="R15" s="490">
        <f>VLOOKUP(Tableau7[[#This Row],[Name Consignee]],Plant_AILN!A:C,3,FALSE)</f>
        <v>91017300</v>
      </c>
      <c r="S15" s="265">
        <v>5</v>
      </c>
    </row>
    <row r="16" spans="1:19">
      <c r="A16" s="82" t="str">
        <f>_xlfn.CONCAT(Tableau4[[#This Row],[POD]],"-",Tableau4[[#This Row],[Code Plant]])</f>
        <v>EGALY-0</v>
      </c>
      <c r="B16" s="206" t="s">
        <v>589</v>
      </c>
      <c r="C16" s="182" t="s">
        <v>590</v>
      </c>
      <c r="D16" s="490">
        <f>VLOOKUP(Tableau4[[#This Row],[Name Plant]],Plant_AILN!A:C,3,FALSE)</f>
        <v>0</v>
      </c>
      <c r="E16" s="253">
        <v>1</v>
      </c>
      <c r="G16" s="268" t="s">
        <v>161</v>
      </c>
      <c r="H16" s="268" t="s">
        <v>626</v>
      </c>
      <c r="I16" s="205"/>
      <c r="J16" s="205">
        <v>2</v>
      </c>
      <c r="K16" s="205">
        <v>0</v>
      </c>
      <c r="M16" s="82" t="str">
        <f>_xlfn.CONCAT(Tableau7[[#This Row],[Code PFI ]],"-",Tableau7[[#This Row],[Compte Consignee]])</f>
        <v>91018400-91017600</v>
      </c>
      <c r="N16" s="257" t="s">
        <v>166</v>
      </c>
      <c r="O16" s="490">
        <f>VLOOKUP(Tableau7[[#This Row],[PFI Import]],Plant_AILN!I:J,2,FALSE)</f>
        <v>91018400</v>
      </c>
      <c r="P16" s="258"/>
      <c r="Q16" s="259" t="s">
        <v>214</v>
      </c>
      <c r="R16" s="490">
        <f>VLOOKUP(Tableau7[[#This Row],[Name Consignee]],Plant_AILN!A:C,3,FALSE)</f>
        <v>91017600</v>
      </c>
      <c r="S16" s="260">
        <v>3</v>
      </c>
    </row>
    <row r="17" spans="1:19">
      <c r="A17" s="82" t="str">
        <f>_xlfn.CONCAT(Tableau4[[#This Row],[POD]],"-",Tableau4[[#This Row],[Code Plant]])</f>
        <v>ESVLC-91017300</v>
      </c>
      <c r="B17" s="206" t="s">
        <v>492</v>
      </c>
      <c r="C17" s="182" t="s">
        <v>172</v>
      </c>
      <c r="D17" s="490">
        <f>VLOOKUP(Tableau4[[#This Row],[Name Plant]],Plant_AILN!A:C,3,FALSE)</f>
        <v>91017300</v>
      </c>
      <c r="E17" s="253">
        <v>4</v>
      </c>
      <c r="G17" s="205" t="s">
        <v>166</v>
      </c>
      <c r="H17" s="205" t="s">
        <v>626</v>
      </c>
      <c r="I17" s="205"/>
      <c r="J17" s="205">
        <v>2</v>
      </c>
      <c r="K17" s="205">
        <v>0</v>
      </c>
      <c r="M17" s="82" t="str">
        <f>_xlfn.CONCAT(Tableau7[[#This Row],[Code PFI ]],"-",Tableau7[[#This Row],[Compte Consignee]])</f>
        <v>91018400-91017300</v>
      </c>
      <c r="N17" s="257" t="s">
        <v>166</v>
      </c>
      <c r="O17" s="490">
        <f>VLOOKUP(Tableau7[[#This Row],[PFI Import]],Plant_AILN!I:J,2,FALSE)</f>
        <v>91018400</v>
      </c>
      <c r="P17" s="258" t="s">
        <v>625</v>
      </c>
      <c r="Q17" s="259" t="s">
        <v>172</v>
      </c>
      <c r="R17" s="490">
        <f>VLOOKUP(Tableau7[[#This Row],[Name Consignee]],Plant_AILN!A:C,3,FALSE)</f>
        <v>91017300</v>
      </c>
      <c r="S17" s="265">
        <v>3</v>
      </c>
    </row>
    <row r="18" spans="1:19">
      <c r="A18" s="82" t="str">
        <f>_xlfn.CONCAT(Tableau4[[#This Row],[POD]],"-",Tableau4[[#This Row],[Code Plant]])</f>
        <v>ESVLC-9101840000</v>
      </c>
      <c r="B18" s="206" t="s">
        <v>492</v>
      </c>
      <c r="C18" s="182" t="s">
        <v>144</v>
      </c>
      <c r="D18" s="490">
        <f>VLOOKUP(Tableau4[[#This Row],[Name Plant]],Plant_AILN!A:C,3,FALSE)</f>
        <v>9101840000</v>
      </c>
      <c r="E18" s="253">
        <v>3</v>
      </c>
      <c r="G18" s="259" t="s">
        <v>172</v>
      </c>
      <c r="H18" s="205" t="s">
        <v>626</v>
      </c>
      <c r="I18" s="205"/>
      <c r="J18" s="205">
        <v>2</v>
      </c>
      <c r="K18" s="205">
        <v>0</v>
      </c>
      <c r="M18" s="82" t="str">
        <f>_xlfn.CONCAT(Tableau7[[#This Row],[Code PFI ]],"-",Tableau7[[#This Row],[Compte Consignee]])</f>
        <v>2839004-90012500</v>
      </c>
      <c r="N18" s="178" t="s">
        <v>158</v>
      </c>
      <c r="O18" s="490">
        <f>VLOOKUP(Tableau7[[#This Row],[PFI Import]],Plant_AILN!I:J,2,FALSE)</f>
        <v>2839004</v>
      </c>
      <c r="P18" s="266"/>
      <c r="Q18" s="180" t="s">
        <v>156</v>
      </c>
      <c r="R18" s="490">
        <f>VLOOKUP(Tableau7[[#This Row],[Name Consignee]],Plant_AILN!A:C,3,FALSE)</f>
        <v>90012500</v>
      </c>
      <c r="S18" s="267">
        <v>1</v>
      </c>
    </row>
    <row r="19" spans="1:19">
      <c r="A19" s="82" t="str">
        <f>_xlfn.CONCAT(Tableau4[[#This Row],[POD]],"-",Tableau4[[#This Row],[Code Plant]])</f>
        <v>ESVLC-91017700</v>
      </c>
      <c r="B19" s="206" t="s">
        <v>492</v>
      </c>
      <c r="C19" s="182" t="s">
        <v>163</v>
      </c>
      <c r="D19" s="490">
        <f>VLOOKUP(Tableau4[[#This Row],[Name Plant]],Plant_AILN!A:C,3,FALSE)</f>
        <v>91017700</v>
      </c>
      <c r="E19" s="253">
        <v>3</v>
      </c>
      <c r="M19" s="82" t="str">
        <f>_xlfn.CONCAT(Tableau7[[#This Row],[Code PFI ]],"-",Tableau7[[#This Row],[Compte Consignee]])</f>
        <v>2839004-90016800</v>
      </c>
      <c r="N19" s="178" t="s">
        <v>158</v>
      </c>
      <c r="O19" s="490">
        <f>VLOOKUP(Tableau7[[#This Row],[PFI Import]],Plant_AILN!I:J,2,FALSE)</f>
        <v>2839004</v>
      </c>
      <c r="P19" s="266"/>
      <c r="Q19" s="180" t="s">
        <v>180</v>
      </c>
      <c r="R19" s="490">
        <f>VLOOKUP(Tableau7[[#This Row],[Name Consignee]],Plant_AILN!A:C,3,FALSE)</f>
        <v>90016800</v>
      </c>
      <c r="S19" s="267">
        <v>1</v>
      </c>
    </row>
    <row r="20" spans="1:19">
      <c r="A20" s="82" t="str">
        <f>_xlfn.CONCAT(Tableau4[[#This Row],[POD]],"-",Tableau4[[#This Row],[Code Plant]])</f>
        <v>ESVLC-91017200</v>
      </c>
      <c r="B20" s="206" t="s">
        <v>492</v>
      </c>
      <c r="C20" s="182" t="s">
        <v>175</v>
      </c>
      <c r="D20" s="490">
        <f>VLOOKUP(Tableau4[[#This Row],[Name Plant]],Plant_AILN!A:C,3,FALSE)</f>
        <v>91017200</v>
      </c>
      <c r="E20" s="253">
        <v>2</v>
      </c>
      <c r="M20" s="82" t="str">
        <f>_xlfn.CONCAT(Tableau7[[#This Row],[Code PFI ]],"-",Tableau7[[#This Row],[Compte Consignee]])</f>
        <v>90016600-90018300</v>
      </c>
      <c r="N20" s="257" t="s">
        <v>217</v>
      </c>
      <c r="O20" s="490">
        <f>VLOOKUP(Tableau7[[#This Row],[PFI Import]],Plant_AILN!I:J,2,FALSE)</f>
        <v>90016600</v>
      </c>
      <c r="P20" s="258" t="s">
        <v>611</v>
      </c>
      <c r="Q20" s="259" t="s">
        <v>186</v>
      </c>
      <c r="R20" s="490">
        <f>VLOOKUP(Tableau7[[#This Row],[Name Consignee]],Plant_AILN!A:C,3,FALSE)</f>
        <v>90018300</v>
      </c>
      <c r="S20" s="260">
        <v>5</v>
      </c>
    </row>
    <row r="21" spans="1:19">
      <c r="A21" s="82" t="str">
        <f>_xlfn.CONCAT(Tableau4[[#This Row],[POD]],"-",Tableau4[[#This Row],[Code Plant]])</f>
        <v>FRDKK-90019100</v>
      </c>
      <c r="B21" s="206" t="s">
        <v>517</v>
      </c>
      <c r="C21" s="182" t="s">
        <v>189</v>
      </c>
      <c r="D21" s="490">
        <f>VLOOKUP(Tableau4[[#This Row],[Name Plant]],Plant_AILN!A:C,3,FALSE)</f>
        <v>90019100</v>
      </c>
      <c r="E21" s="253">
        <v>2</v>
      </c>
      <c r="M21" s="82" t="str">
        <f>_xlfn.CONCAT(Tableau7[[#This Row],[Code PFI ]],"-",Tableau7[[#This Row],[Compte Consignee]])</f>
        <v>90016600-90016500</v>
      </c>
      <c r="N21" s="257" t="s">
        <v>217</v>
      </c>
      <c r="O21" s="490">
        <f>VLOOKUP(Tableau7[[#This Row],[PFI Import]],Plant_AILN!I:J,2,FALSE)</f>
        <v>90016600</v>
      </c>
      <c r="P21" s="258" t="s">
        <v>627</v>
      </c>
      <c r="Q21" s="259" t="s">
        <v>160</v>
      </c>
      <c r="R21" s="490">
        <f>VLOOKUP(Tableau7[[#This Row],[Name Consignee]],Plant_AILN!A:C,3,FALSE)</f>
        <v>90016500</v>
      </c>
      <c r="S21" s="265">
        <v>7</v>
      </c>
    </row>
    <row r="22" spans="1:19">
      <c r="A22" s="82" t="str">
        <f>_xlfn.CONCAT(Tableau4[[#This Row],[POD]],"-",Tableau4[[#This Row],[Code Plant]])</f>
        <v>FRLEH-90016600</v>
      </c>
      <c r="B22" s="206" t="s">
        <v>505</v>
      </c>
      <c r="C22" s="182" t="s">
        <v>1</v>
      </c>
      <c r="D22" s="490">
        <f>VLOOKUP(Tableau4[[#This Row],[Name Plant]],Plant_AILN!A:C,3,FALSE)</f>
        <v>90016600</v>
      </c>
      <c r="E22" s="253">
        <v>3</v>
      </c>
      <c r="M22" s="82" t="str">
        <f>_xlfn.CONCAT(Tableau7[[#This Row],[Code PFI ]],"-",Tableau7[[#This Row],[Compte Consignee]])</f>
        <v>90016600-92000100</v>
      </c>
      <c r="N22" s="257" t="s">
        <v>217</v>
      </c>
      <c r="O22" s="490">
        <f>VLOOKUP(Tableau7[[#This Row],[PFI Import]],Plant_AILN!I:J,2,FALSE)</f>
        <v>90016600</v>
      </c>
      <c r="P22" s="258" t="s">
        <v>612</v>
      </c>
      <c r="Q22" s="259" t="s">
        <v>184</v>
      </c>
      <c r="R22" s="490">
        <f>VLOOKUP(Tableau7[[#This Row],[Name Consignee]],Plant_AILN!A:C,3,FALSE)</f>
        <v>92000100</v>
      </c>
      <c r="S22" s="260">
        <v>2</v>
      </c>
    </row>
    <row r="23" spans="1:19">
      <c r="A23" s="82" t="str">
        <f>_xlfn.CONCAT(Tableau4[[#This Row],[POD]],"-",Tableau4[[#This Row],[Code Plant]])</f>
        <v>FRLEH-92000100</v>
      </c>
      <c r="B23" s="206" t="s">
        <v>505</v>
      </c>
      <c r="C23" s="182" t="s">
        <v>184</v>
      </c>
      <c r="D23" s="490">
        <f>VLOOKUP(Tableau4[[#This Row],[Name Plant]],Plant_AILN!A:C,3,FALSE)</f>
        <v>92000100</v>
      </c>
      <c r="E23" s="253">
        <v>8</v>
      </c>
      <c r="M23" s="82" t="str">
        <f>_xlfn.CONCAT(Tableau7[[#This Row],[Code PFI ]],"-",Tableau7[[#This Row],[Compte Consignee]])</f>
        <v>90016600-90015100</v>
      </c>
      <c r="N23" s="257" t="s">
        <v>217</v>
      </c>
      <c r="O23" s="490">
        <f>VLOOKUP(Tableau7[[#This Row],[PFI Import]],Plant_AILN!I:J,2,FALSE)</f>
        <v>90016600</v>
      </c>
      <c r="P23" s="258" t="s">
        <v>614</v>
      </c>
      <c r="Q23" s="259" t="s">
        <v>187</v>
      </c>
      <c r="R23" s="490">
        <f>VLOOKUP(Tableau7[[#This Row],[Name Consignee]],Plant_AILN!A:C,3,FALSE)</f>
        <v>90015100</v>
      </c>
      <c r="S23" s="260">
        <v>3</v>
      </c>
    </row>
    <row r="24" spans="1:19">
      <c r="A24" s="82" t="str">
        <f>_xlfn.CONCAT(Tableau4[[#This Row],[POD]],"-",Tableau4[[#This Row],[Code Plant]])</f>
        <v>FRLEH-90015100</v>
      </c>
      <c r="B24" s="206" t="s">
        <v>505</v>
      </c>
      <c r="C24" s="182" t="s">
        <v>187</v>
      </c>
      <c r="D24" s="490">
        <f>VLOOKUP(Tableau4[[#This Row],[Name Plant]],Plant_AILN!A:C,3,FALSE)</f>
        <v>90015100</v>
      </c>
      <c r="E24" s="253">
        <v>3</v>
      </c>
      <c r="M24" s="82" t="str">
        <f>_xlfn.CONCAT(Tableau7[[#This Row],[Code PFI ]],"-",Tableau7[[#This Row],[Compte Consignee]])</f>
        <v>90016600-90017000</v>
      </c>
      <c r="N24" s="257" t="s">
        <v>217</v>
      </c>
      <c r="O24" s="490">
        <f>VLOOKUP(Tableau7[[#This Row],[PFI Import]],Plant_AILN!I:J,2,FALSE)</f>
        <v>90016600</v>
      </c>
      <c r="P24" s="258" t="s">
        <v>390</v>
      </c>
      <c r="Q24" s="259" t="s">
        <v>167</v>
      </c>
      <c r="R24" s="490">
        <f>VLOOKUP(Tableau7[[#This Row],[Name Consignee]],Plant_AILN!A:C,3,FALSE)</f>
        <v>90017000</v>
      </c>
      <c r="S24" s="265">
        <v>10</v>
      </c>
    </row>
    <row r="25" spans="1:19">
      <c r="A25" s="82" t="str">
        <f>_xlfn.CONCAT(Tableau4[[#This Row],[POD]],"-",Tableau4[[#This Row],[Code Plant]])</f>
        <v>INENR-26549500</v>
      </c>
      <c r="B25" s="206" t="s">
        <v>470</v>
      </c>
      <c r="C25" s="182" t="s">
        <v>257</v>
      </c>
      <c r="D25" s="490">
        <f>VLOOKUP(Tableau4[[#This Row],[Name Plant]],Plant_AILN!A:C,3,FALSE)</f>
        <v>26549500</v>
      </c>
      <c r="E25" s="253">
        <v>3</v>
      </c>
      <c r="M25" s="82" t="str">
        <f>_xlfn.CONCAT(Tableau7[[#This Row],[Code PFI ]],"-",Tableau7[[#This Row],[Compte Consignee]])</f>
        <v>90016600-90016700</v>
      </c>
      <c r="N25" s="257" t="s">
        <v>217</v>
      </c>
      <c r="O25" s="490">
        <f>VLOOKUP(Tableau7[[#This Row],[PFI Import]],Plant_AILN!I:J,2,FALSE)</f>
        <v>90016600</v>
      </c>
      <c r="P25" s="258" t="s">
        <v>408</v>
      </c>
      <c r="Q25" s="259" t="s">
        <v>181</v>
      </c>
      <c r="R25" s="490">
        <f>VLOOKUP(Tableau7[[#This Row],[Name Consignee]],Plant_AILN!A:C,3,FALSE)</f>
        <v>90016700</v>
      </c>
      <c r="S25" s="265">
        <v>5</v>
      </c>
    </row>
    <row r="26" spans="1:19">
      <c r="A26" s="82" t="str">
        <f>_xlfn.CONCAT(Tableau4[[#This Row],[POD]],"-",Tableau4[[#This Row],[Code Plant]])</f>
        <v>INKAT-26549500</v>
      </c>
      <c r="B26" s="206" t="s">
        <v>556</v>
      </c>
      <c r="C26" s="182" t="s">
        <v>257</v>
      </c>
      <c r="D26" s="490">
        <f>VLOOKUP(Tableau4[[#This Row],[Name Plant]],Plant_AILN!A:C,3,FALSE)</f>
        <v>26549500</v>
      </c>
      <c r="E26" s="253">
        <v>3</v>
      </c>
      <c r="M26" s="82" t="str">
        <f>_xlfn.CONCAT(Tableau7[[#This Row],[Code PFI ]],"-",Tableau7[[#This Row],[Compte Consignee]])</f>
        <v>90016600-90038200</v>
      </c>
      <c r="N26" s="257" t="s">
        <v>217</v>
      </c>
      <c r="O26" s="490">
        <f>VLOOKUP(Tableau7[[#This Row],[PFI Import]],Plant_AILN!I:J,2,FALSE)</f>
        <v>90016600</v>
      </c>
      <c r="P26" s="258" t="s">
        <v>628</v>
      </c>
      <c r="Q26" s="259" t="s">
        <v>178</v>
      </c>
      <c r="R26" s="490">
        <f>VLOOKUP(Tableau7[[#This Row],[Name Consignee]],Plant_AILN!A:C,3,FALSE)</f>
        <v>90038200</v>
      </c>
      <c r="S26" s="265">
        <v>11</v>
      </c>
    </row>
    <row r="27" spans="1:19">
      <c r="A27" s="82" t="str">
        <f>_xlfn.CONCAT(Tableau4[[#This Row],[POD]],"-",Tableau4[[#This Row],[Code Plant]])</f>
        <v>INMAA-26549500</v>
      </c>
      <c r="B27" s="206" t="s">
        <v>518</v>
      </c>
      <c r="C27" s="182" t="s">
        <v>257</v>
      </c>
      <c r="D27" s="490">
        <f>VLOOKUP(Tableau4[[#This Row],[Name Plant]],Plant_AILN!A:C,3,FALSE)</f>
        <v>26549500</v>
      </c>
      <c r="E27" s="253">
        <v>3</v>
      </c>
      <c r="M27" s="82" t="str">
        <f>_xlfn.CONCAT(Tableau7[[#This Row],[Code PFI ]],"-",Tableau7[[#This Row],[Compte Consignee]])</f>
        <v>90016600-90018400</v>
      </c>
      <c r="N27" s="257" t="s">
        <v>217</v>
      </c>
      <c r="O27" s="490">
        <f>VLOOKUP(Tableau7[[#This Row],[PFI Import]],Plant_AILN!I:J,2,FALSE)</f>
        <v>90016600</v>
      </c>
      <c r="P27" s="258" t="s">
        <v>621</v>
      </c>
      <c r="Q27" s="259" t="s">
        <v>397</v>
      </c>
      <c r="R27" s="490">
        <f>VLOOKUP(Tableau7[[#This Row],[Name Consignee]],Plant_AILN!A:C,3,FALSE)</f>
        <v>90018400</v>
      </c>
      <c r="S27" s="260">
        <v>5</v>
      </c>
    </row>
    <row r="28" spans="1:19">
      <c r="A28" s="82" t="str">
        <f>_xlfn.CONCAT(Tableau4[[#This Row],[POD]],"-",Tableau4[[#This Row],[Code Plant]])</f>
        <v>INENR-26549502</v>
      </c>
      <c r="B28" s="206" t="s">
        <v>470</v>
      </c>
      <c r="C28" s="182" t="s">
        <v>190</v>
      </c>
      <c r="D28" s="490">
        <f>VLOOKUP(Tableau4[[#This Row],[Name Plant]],Plant_AILN!A:C,3,FALSE)</f>
        <v>26549502</v>
      </c>
      <c r="E28" s="253">
        <v>3</v>
      </c>
      <c r="M28" s="82" t="str">
        <f>_xlfn.CONCAT(Tableau7[[#This Row],[Code PFI ]],"-",Tableau7[[#This Row],[Compte Consignee]])</f>
        <v>90016600-900383</v>
      </c>
      <c r="N28" s="257" t="s">
        <v>217</v>
      </c>
      <c r="O28" s="490">
        <f>VLOOKUP(Tableau7[[#This Row],[PFI Import]],Plant_AILN!I:J,2,FALSE)</f>
        <v>90016600</v>
      </c>
      <c r="P28" s="258" t="s">
        <v>629</v>
      </c>
      <c r="Q28" s="259" t="s">
        <v>179</v>
      </c>
      <c r="R28" s="490">
        <f>VLOOKUP(Tableau7[[#This Row],[Name Consignee]],Plant_AILN!A:C,3,FALSE)</f>
        <v>900383</v>
      </c>
      <c r="S28" s="265">
        <v>10</v>
      </c>
    </row>
    <row r="29" spans="1:19">
      <c r="A29" s="82" t="str">
        <f>_xlfn.CONCAT(Tableau4[[#This Row],[POD]],"-",Tableau4[[#This Row],[Code Plant]])</f>
        <v>INKAT-26549502</v>
      </c>
      <c r="B29" s="206" t="s">
        <v>556</v>
      </c>
      <c r="C29" s="182" t="s">
        <v>190</v>
      </c>
      <c r="D29" s="490">
        <f>VLOOKUP(Tableau4[[#This Row],[Name Plant]],Plant_AILN!A:C,3,FALSE)</f>
        <v>26549502</v>
      </c>
      <c r="E29" s="253">
        <v>3</v>
      </c>
      <c r="M29" s="82" t="str">
        <f>_xlfn.CONCAT(Tableau7[[#This Row],[Code PFI ]],"-",Tableau7[[#This Row],[Compte Consignee]])</f>
        <v>2839004-90030100</v>
      </c>
      <c r="N29" s="257" t="s">
        <v>218</v>
      </c>
      <c r="O29" s="490">
        <f>VLOOKUP(Tableau7[[#This Row],[PFI Import]],Plant_AILN!I:J,2,FALSE)</f>
        <v>2839004</v>
      </c>
      <c r="P29" s="258" t="s">
        <v>630</v>
      </c>
      <c r="Q29" s="259" t="s">
        <v>336</v>
      </c>
      <c r="R29" s="490">
        <f>VLOOKUP(Tableau7[[#This Row],[Name Consignee]],Plant_AILN!A:C,3,FALSE)</f>
        <v>90030100</v>
      </c>
      <c r="S29" s="265">
        <v>36</v>
      </c>
    </row>
    <row r="30" spans="1:19">
      <c r="A30" s="82" t="str">
        <f>_xlfn.CONCAT(Tableau4[[#This Row],[POD]],"-",Tableau4[[#This Row],[Code Plant]])</f>
        <v>INMAA-26549502</v>
      </c>
      <c r="B30" s="206" t="s">
        <v>518</v>
      </c>
      <c r="C30" s="182" t="s">
        <v>190</v>
      </c>
      <c r="D30" s="490">
        <f>VLOOKUP(Tableau4[[#This Row],[Name Plant]],Plant_AILN!A:C,3,FALSE)</f>
        <v>26549502</v>
      </c>
      <c r="E30" s="253">
        <v>3</v>
      </c>
      <c r="M30" s="82" t="str">
        <f>_xlfn.CONCAT(Tableau7[[#This Row],[Code PFI ]],"-",Tableau7[[#This Row],[Compte Consignee]])</f>
        <v>2839004-90010700</v>
      </c>
      <c r="N30" s="257" t="s">
        <v>218</v>
      </c>
      <c r="O30" s="490">
        <f>VLOOKUP(Tableau7[[#This Row],[PFI Import]],Plant_AILN!I:J,2,FALSE)</f>
        <v>2839004</v>
      </c>
      <c r="P30" s="258" t="s">
        <v>631</v>
      </c>
      <c r="Q30" s="259" t="s">
        <v>340</v>
      </c>
      <c r="R30" s="490">
        <f>VLOOKUP(Tableau7[[#This Row],[Name Consignee]],Plant_AILN!A:C,3,FALSE)</f>
        <v>90010700</v>
      </c>
      <c r="S30" s="265">
        <v>22</v>
      </c>
    </row>
    <row r="31" spans="1:19">
      <c r="A31" s="82" t="str">
        <f>_xlfn.CONCAT(Tableau4[[#This Row],[POD]],"-",Tableau4[[#This Row],[Code Plant]])</f>
        <v>INNSA-92049500</v>
      </c>
      <c r="B31" s="206" t="s">
        <v>476</v>
      </c>
      <c r="C31" s="182" t="s">
        <v>341</v>
      </c>
      <c r="D31" s="490">
        <f>VLOOKUP(Tableau4[[#This Row],[Name Plant]],Plant_AILN!A:C,3,FALSE)</f>
        <v>92049500</v>
      </c>
      <c r="E31" s="253">
        <v>2</v>
      </c>
      <c r="M31" s="82" t="str">
        <f>_xlfn.CONCAT(Tableau7[[#This Row],[Code PFI ]],"-",Tableau7[[#This Row],[Compte Consignee]])</f>
        <v>2839004-90021000</v>
      </c>
      <c r="N31" s="269" t="s">
        <v>218</v>
      </c>
      <c r="O31" s="528">
        <f>VLOOKUP(Tableau7[[#This Row],[PFI Import]],Plant_AILN!I:J,2,FALSE)</f>
        <v>2839004</v>
      </c>
      <c r="P31" s="270" t="s">
        <v>418</v>
      </c>
      <c r="Q31" s="180" t="s">
        <v>203</v>
      </c>
      <c r="R31" s="528">
        <f>VLOOKUP(Tableau7[[#This Row],[Name Consignee]],Plant_AILN!A:C,3,FALSE)</f>
        <v>90021000</v>
      </c>
      <c r="S31" s="271">
        <v>5</v>
      </c>
    </row>
    <row r="32" spans="1:19">
      <c r="A32" s="82" t="str">
        <f>_xlfn.CONCAT(Tableau4[[#This Row],[POD]],"-",Tableau4[[#This Row],[Code Plant]])</f>
        <v>JPMOJ-0</v>
      </c>
      <c r="B32" s="206" t="s">
        <v>478</v>
      </c>
      <c r="C32" s="182" t="s">
        <v>350</v>
      </c>
      <c r="D32" s="490">
        <f>VLOOKUP(Tableau4[[#This Row],[Name Plant]],Plant_AILN!A:C,3,FALSE)</f>
        <v>0</v>
      </c>
      <c r="E32" s="253">
        <v>1</v>
      </c>
      <c r="M32" s="82" t="str">
        <f>_xlfn.CONCAT(Tableau7[[#This Row],[Code PFI ]],"-",Tableau7[[#This Row],[Compte Consignee]])</f>
        <v>2839004-90016700</v>
      </c>
      <c r="N32" s="257" t="s">
        <v>218</v>
      </c>
      <c r="O32" s="490">
        <f>VLOOKUP(Tableau7[[#This Row],[PFI Import]],Plant_AILN!I:J,2,FALSE)</f>
        <v>2839004</v>
      </c>
      <c r="P32" s="258" t="s">
        <v>408</v>
      </c>
      <c r="Q32" s="259" t="s">
        <v>181</v>
      </c>
      <c r="R32" s="490">
        <f>VLOOKUP(Tableau7[[#This Row],[Name Consignee]],Plant_AILN!A:C,3,FALSE)</f>
        <v>90016700</v>
      </c>
      <c r="S32" s="265">
        <v>5</v>
      </c>
    </row>
    <row r="33" spans="1:19">
      <c r="A33" s="82" t="str">
        <f>_xlfn.CONCAT(Tableau4[[#This Row],[POD]],"-",Tableau4[[#This Row],[Code Plant]])</f>
        <v>JPMOJ-2915900</v>
      </c>
      <c r="B33" s="206" t="s">
        <v>478</v>
      </c>
      <c r="C33" s="182" t="s">
        <v>360</v>
      </c>
      <c r="D33" s="490">
        <f>VLOOKUP(Tableau4[[#This Row],[Name Plant]],Plant_AILN!A:C,3,FALSE)</f>
        <v>2915900</v>
      </c>
      <c r="E33" s="253">
        <v>1</v>
      </c>
      <c r="M33" s="82" t="str">
        <f>_xlfn.CONCAT(Tableau7[[#This Row],[Code PFI ]],"-",Tableau7[[#This Row],[Compte Consignee]])</f>
        <v>28752501-900383</v>
      </c>
      <c r="N33" s="257" t="s">
        <v>267</v>
      </c>
      <c r="O33" s="490">
        <f>VLOOKUP(Tableau7[[#This Row],[PFI Import]],Plant_AILN!I:J,2,FALSE)</f>
        <v>28752501</v>
      </c>
      <c r="P33" s="258" t="s">
        <v>629</v>
      </c>
      <c r="Q33" s="259" t="s">
        <v>179</v>
      </c>
      <c r="R33" s="490">
        <f>VLOOKUP(Tableau7[[#This Row],[Name Consignee]],Plant_AILN!A:C,3,FALSE)</f>
        <v>900383</v>
      </c>
      <c r="S33" s="265">
        <v>3</v>
      </c>
    </row>
    <row r="34" spans="1:19">
      <c r="A34" s="82" t="str">
        <f>_xlfn.CONCAT(Tableau4[[#This Row],[POD]],"-",Tableau4[[#This Row],[Code Plant]])</f>
        <v>JPYOK-0</v>
      </c>
      <c r="B34" s="206" t="s">
        <v>483</v>
      </c>
      <c r="C34" s="182" t="s">
        <v>355</v>
      </c>
      <c r="D34" s="490">
        <f>VLOOKUP(Tableau4[[#This Row],[Name Plant]],Plant_AILN!A:C,3,FALSE)</f>
        <v>0</v>
      </c>
      <c r="E34" s="253">
        <v>1</v>
      </c>
      <c r="M34" s="82" t="str">
        <f>_xlfn.CONCAT(Tableau7[[#This Row],[Code PFI ]],"-",Tableau7[[#This Row],[Compte Consignee]])</f>
        <v>91018400-90018300</v>
      </c>
      <c r="N34" s="257" t="s">
        <v>161</v>
      </c>
      <c r="O34" s="490">
        <f>VLOOKUP(Tableau7[[#This Row],[PFI Import]],Plant_AILN!I:J,2,FALSE)</f>
        <v>91018400</v>
      </c>
      <c r="P34" s="258" t="s">
        <v>611</v>
      </c>
      <c r="Q34" s="259" t="s">
        <v>186</v>
      </c>
      <c r="R34" s="490">
        <f>VLOOKUP(Tableau7[[#This Row],[Name Consignee]],Plant_AILN!A:C,3,FALSE)</f>
        <v>90018300</v>
      </c>
      <c r="S34" s="265">
        <v>5</v>
      </c>
    </row>
    <row r="35" spans="1:19">
      <c r="A35" s="82" t="str">
        <f>_xlfn.CONCAT(Tableau4[[#This Row],[POD]],"-",Tableau4[[#This Row],[Code Plant]])</f>
        <v>JPYOK-0</v>
      </c>
      <c r="B35" s="206" t="s">
        <v>483</v>
      </c>
      <c r="C35" s="182" t="s">
        <v>352</v>
      </c>
      <c r="D35" s="490">
        <f>VLOOKUP(Tableau4[[#This Row],[Name Plant]],Plant_AILN!A:C,3,FALSE)</f>
        <v>0</v>
      </c>
      <c r="E35" s="253">
        <v>1</v>
      </c>
      <c r="M35" s="82" t="str">
        <f>_xlfn.CONCAT(Tableau7[[#This Row],[Code PFI ]],"-",Tableau7[[#This Row],[Compte Consignee]])</f>
        <v>91018400-90016500</v>
      </c>
      <c r="N35" s="257" t="s">
        <v>161</v>
      </c>
      <c r="O35" s="490">
        <f>VLOOKUP(Tableau7[[#This Row],[PFI Import]],Plant_AILN!I:J,2,FALSE)</f>
        <v>91018400</v>
      </c>
      <c r="P35" s="258" t="s">
        <v>627</v>
      </c>
      <c r="Q35" s="259" t="s">
        <v>160</v>
      </c>
      <c r="R35" s="490">
        <f>VLOOKUP(Tableau7[[#This Row],[Name Consignee]],Plant_AILN!A:C,3,FALSE)</f>
        <v>90016500</v>
      </c>
      <c r="S35" s="265">
        <v>4</v>
      </c>
    </row>
    <row r="36" spans="1:19">
      <c r="A36" s="82" t="str">
        <f>_xlfn.CONCAT(Tableau4[[#This Row],[POD]],"-",Tableau4[[#This Row],[Code Plant]])</f>
        <v>KRPUS-92002200</v>
      </c>
      <c r="B36" s="206" t="s">
        <v>479</v>
      </c>
      <c r="C36" s="182" t="s">
        <v>36</v>
      </c>
      <c r="D36" s="490">
        <f>VLOOKUP(Tableau4[[#This Row],[Name Plant]],Plant_AILN!A:C,3,FALSE)</f>
        <v>92002200</v>
      </c>
      <c r="E36" s="253">
        <v>1</v>
      </c>
      <c r="M36" s="82" t="str">
        <f>_xlfn.CONCAT(Tableau7[[#This Row],[Code PFI ]],"-",Tableau7[[#This Row],[Compte Consignee]])</f>
        <v>91018400-92000100</v>
      </c>
      <c r="N36" s="257" t="s">
        <v>161</v>
      </c>
      <c r="O36" s="490">
        <f>VLOOKUP(Tableau7[[#This Row],[PFI Import]],Plant_AILN!I:J,2,FALSE)</f>
        <v>91018400</v>
      </c>
      <c r="P36" s="258" t="s">
        <v>612</v>
      </c>
      <c r="Q36" s="259" t="s">
        <v>184</v>
      </c>
      <c r="R36" s="490">
        <f>VLOOKUP(Tableau7[[#This Row],[Name Consignee]],Plant_AILN!A:C,3,FALSE)</f>
        <v>92000100</v>
      </c>
      <c r="S36" s="265">
        <v>5</v>
      </c>
    </row>
    <row r="37" spans="1:19">
      <c r="A37" s="82" t="str">
        <f>_xlfn.CONCAT(Tableau4[[#This Row],[POD]],"-",Tableau4[[#This Row],[Code Plant]])</f>
        <v>MACAS-90038200</v>
      </c>
      <c r="B37" s="206" t="s">
        <v>496</v>
      </c>
      <c r="C37" s="182" t="s">
        <v>178</v>
      </c>
      <c r="D37" s="490">
        <f>VLOOKUP(Tableau4[[#This Row],[Name Plant]],Plant_AILN!A:C,3,FALSE)</f>
        <v>90038200</v>
      </c>
      <c r="E37" s="253">
        <v>4</v>
      </c>
      <c r="M37" s="82" t="str">
        <f>_xlfn.CONCAT(Tableau7[[#This Row],[Code PFI ]],"-",Tableau7[[#This Row],[Compte Consignee]])</f>
        <v>91018400-90019100</v>
      </c>
      <c r="N37" s="257" t="s">
        <v>161</v>
      </c>
      <c r="O37" s="490">
        <f>VLOOKUP(Tableau7[[#This Row],[PFI Import]],Plant_AILN!I:J,2,FALSE)</f>
        <v>91018400</v>
      </c>
      <c r="P37" s="258" t="s">
        <v>613</v>
      </c>
      <c r="Q37" s="259" t="s">
        <v>189</v>
      </c>
      <c r="R37" s="490">
        <f>VLOOKUP(Tableau7[[#This Row],[Name Consignee]],Plant_AILN!A:C,3,FALSE)</f>
        <v>90019100</v>
      </c>
      <c r="S37" s="265">
        <v>5</v>
      </c>
    </row>
    <row r="38" spans="1:19">
      <c r="A38" s="82" t="str">
        <f>_xlfn.CONCAT(Tableau4[[#This Row],[POD]],"-",Tableau4[[#This Row],[Code Plant]])</f>
        <v>MAPTM-900383</v>
      </c>
      <c r="B38" s="206" t="s">
        <v>497</v>
      </c>
      <c r="C38" s="182" t="s">
        <v>179</v>
      </c>
      <c r="D38" s="490">
        <f>VLOOKUP(Tableau4[[#This Row],[Name Plant]],Plant_AILN!A:C,3,FALSE)</f>
        <v>900383</v>
      </c>
      <c r="E38" s="253">
        <v>1</v>
      </c>
      <c r="M38" s="82" t="str">
        <f>_xlfn.CONCAT(Tableau7[[#This Row],[Code PFI ]],"-",Tableau7[[#This Row],[Compte Consignee]])</f>
        <v>91018400-90015100</v>
      </c>
      <c r="N38" s="257" t="s">
        <v>161</v>
      </c>
      <c r="O38" s="490">
        <f>VLOOKUP(Tableau7[[#This Row],[PFI Import]],Plant_AILN!I:J,2,FALSE)</f>
        <v>91018400</v>
      </c>
      <c r="P38" s="258" t="s">
        <v>614</v>
      </c>
      <c r="Q38" s="259" t="s">
        <v>187</v>
      </c>
      <c r="R38" s="490">
        <f>VLOOKUP(Tableau7[[#This Row],[Name Consignee]],Plant_AILN!A:C,3,FALSE)</f>
        <v>90015100</v>
      </c>
      <c r="S38" s="265">
        <v>6</v>
      </c>
    </row>
    <row r="39" spans="1:19">
      <c r="A39" s="82" t="str">
        <f>_xlfn.CONCAT(Tableau4[[#This Row],[POD]],"-",Tableau4[[#This Row],[Code Plant]])</f>
        <v>MAPTM-90038200</v>
      </c>
      <c r="B39" s="272" t="s">
        <v>497</v>
      </c>
      <c r="C39" s="273" t="s">
        <v>178</v>
      </c>
      <c r="D39" s="490">
        <f>VLOOKUP(Tableau4[[#This Row],[Name Plant]],Plant_AILN!A:C,3,FALSE)</f>
        <v>90038200</v>
      </c>
      <c r="E39" s="253">
        <v>2</v>
      </c>
      <c r="M39" s="82" t="str">
        <f>_xlfn.CONCAT(Tableau7[[#This Row],[Code PFI ]],"-",Tableau7[[#This Row],[Compte Consignee]])</f>
        <v>91018400-90016200</v>
      </c>
      <c r="N39" s="257" t="s">
        <v>161</v>
      </c>
      <c r="O39" s="490">
        <f>VLOOKUP(Tableau7[[#This Row],[PFI Import]],Plant_AILN!I:J,2,FALSE)</f>
        <v>91018400</v>
      </c>
      <c r="P39" s="258" t="s">
        <v>615</v>
      </c>
      <c r="Q39" s="259" t="s">
        <v>185</v>
      </c>
      <c r="R39" s="490">
        <f>VLOOKUP(Tableau7[[#This Row],[Name Consignee]],Plant_AILN!A:C,3,FALSE)</f>
        <v>90016200</v>
      </c>
      <c r="S39" s="265">
        <v>5</v>
      </c>
    </row>
    <row r="40" spans="1:19">
      <c r="A40" s="82" t="str">
        <f>_xlfn.CONCAT(Tableau4[[#This Row],[POD]],"-",Tableau4[[#This Row],[Code Plant]])</f>
        <v>MXATM-90101300</v>
      </c>
      <c r="B40" s="206" t="s">
        <v>502</v>
      </c>
      <c r="C40" s="182" t="s">
        <v>140</v>
      </c>
      <c r="D40" s="490">
        <f>VLOOKUP(Tableau4[[#This Row],[Name Plant]],Plant_AILN!A:C,3,FALSE)</f>
        <v>90101300</v>
      </c>
      <c r="E40" s="253">
        <v>2</v>
      </c>
      <c r="M40" s="82" t="str">
        <f>_xlfn.CONCAT(Tableau7[[#This Row],[Code PFI ]],"-",Tableau7[[#This Row],[Compte Consignee]])</f>
        <v>91018400-91017700</v>
      </c>
      <c r="N40" s="257" t="s">
        <v>161</v>
      </c>
      <c r="O40" s="490">
        <f>VLOOKUP(Tableau7[[#This Row],[PFI Import]],Plant_AILN!I:J,2,FALSE)</f>
        <v>91018400</v>
      </c>
      <c r="P40" s="258" t="s">
        <v>632</v>
      </c>
      <c r="Q40" s="259" t="s">
        <v>163</v>
      </c>
      <c r="R40" s="490">
        <f>VLOOKUP(Tableau7[[#This Row],[Name Consignee]],Plant_AILN!A:C,3,FALSE)</f>
        <v>91017700</v>
      </c>
      <c r="S40" s="265">
        <v>3</v>
      </c>
    </row>
    <row r="41" spans="1:19">
      <c r="A41" s="82" t="str">
        <f>_xlfn.CONCAT(Tableau4[[#This Row],[POD]],"-",Tableau4[[#This Row],[Code Plant]])</f>
        <v>MXVER-90101300</v>
      </c>
      <c r="B41" s="206" t="s">
        <v>522</v>
      </c>
      <c r="C41" s="182" t="s">
        <v>140</v>
      </c>
      <c r="D41" s="490">
        <f>VLOOKUP(Tableau4[[#This Row],[Name Plant]],Plant_AILN!A:C,3,FALSE)</f>
        <v>90101300</v>
      </c>
      <c r="E41" s="253">
        <v>2</v>
      </c>
      <c r="M41" s="82" t="str">
        <f>_xlfn.CONCAT(Tableau7[[#This Row],[Code PFI ]],"-",Tableau7[[#This Row],[Compte Consignee]])</f>
        <v>91018400-90017000</v>
      </c>
      <c r="N41" s="257" t="s">
        <v>161</v>
      </c>
      <c r="O41" s="490">
        <f>VLOOKUP(Tableau7[[#This Row],[PFI Import]],Plant_AILN!I:J,2,FALSE)</f>
        <v>91018400</v>
      </c>
      <c r="P41" s="258" t="s">
        <v>390</v>
      </c>
      <c r="Q41" s="259" t="s">
        <v>167</v>
      </c>
      <c r="R41" s="490">
        <f>VLOOKUP(Tableau7[[#This Row],[Name Consignee]],Plant_AILN!A:C,3,FALSE)</f>
        <v>90017000</v>
      </c>
      <c r="S41" s="265">
        <v>12</v>
      </c>
    </row>
    <row r="42" spans="1:19">
      <c r="A42" s="82" t="str">
        <f>_xlfn.CONCAT(Tableau4[[#This Row],[POD]],"-",Tableau4[[#This Row],[Code Plant]])</f>
        <v>MYPKG-12300</v>
      </c>
      <c r="B42" s="206" t="s">
        <v>526</v>
      </c>
      <c r="C42" s="182" t="s">
        <v>591</v>
      </c>
      <c r="D42" s="490">
        <f>VLOOKUP(Tableau4[[#This Row],[Name Plant]],Plant_AILN!A:C,3,FALSE)</f>
        <v>12300</v>
      </c>
      <c r="E42" s="253">
        <v>2</v>
      </c>
      <c r="M42" s="82" t="str">
        <f>_xlfn.CONCAT(Tableau7[[#This Row],[Code PFI ]],"-",Tableau7[[#This Row],[Compte Consignee]])</f>
        <v>91018400-91017200</v>
      </c>
      <c r="N42" s="257" t="s">
        <v>161</v>
      </c>
      <c r="O42" s="490">
        <f>VLOOKUP(Tableau7[[#This Row],[PFI Import]],Plant_AILN!I:J,2,FALSE)</f>
        <v>91018400</v>
      </c>
      <c r="P42" s="258" t="s">
        <v>616</v>
      </c>
      <c r="Q42" s="259" t="s">
        <v>175</v>
      </c>
      <c r="R42" s="490">
        <f>VLOOKUP(Tableau7[[#This Row],[Name Consignee]],Plant_AILN!A:C,3,FALSE)</f>
        <v>91017200</v>
      </c>
      <c r="S42" s="265">
        <v>2</v>
      </c>
    </row>
    <row r="43" spans="1:19">
      <c r="A43" s="82" t="str">
        <f>_xlfn.CONCAT(Tableau4[[#This Row],[POD]],"-",Tableau4[[#This Row],[Code Plant]])</f>
        <v>ROCND-90016800</v>
      </c>
      <c r="B43" s="206" t="s">
        <v>484</v>
      </c>
      <c r="C43" s="182" t="s">
        <v>180</v>
      </c>
      <c r="D43" s="490">
        <f>VLOOKUP(Tableau4[[#This Row],[Name Plant]],Plant_AILN!A:C,3,FALSE)</f>
        <v>90016800</v>
      </c>
      <c r="E43" s="253">
        <v>7</v>
      </c>
      <c r="M43" s="82" t="str">
        <f>_xlfn.CONCAT(Tableau7[[#This Row],[Code PFI ]],"-",Tableau7[[#This Row],[Compte Consignee]])</f>
        <v>91018400-90016700</v>
      </c>
      <c r="N43" s="257" t="s">
        <v>161</v>
      </c>
      <c r="O43" s="490">
        <f>VLOOKUP(Tableau7[[#This Row],[PFI Import]],Plant_AILN!I:J,2,FALSE)</f>
        <v>91018400</v>
      </c>
      <c r="P43" s="258" t="s">
        <v>408</v>
      </c>
      <c r="Q43" s="259" t="s">
        <v>181</v>
      </c>
      <c r="R43" s="490">
        <f>VLOOKUP(Tableau7[[#This Row],[Name Consignee]],Plant_AILN!A:C,3,FALSE)</f>
        <v>90016700</v>
      </c>
      <c r="S43" s="265">
        <v>6</v>
      </c>
    </row>
    <row r="44" spans="1:19" ht="15.75" customHeight="1" thickBot="1">
      <c r="A44" s="82" t="str">
        <f>_xlfn.CONCAT(Tableau4[[#This Row],[POD]],"-",Tableau4[[#This Row],[Code Plant]])</f>
        <v>ROCND-283900400</v>
      </c>
      <c r="B44" s="206" t="s">
        <v>484</v>
      </c>
      <c r="C44" s="182" t="s">
        <v>165</v>
      </c>
      <c r="D44" s="490">
        <f>VLOOKUP(Tableau4[[#This Row],[Name Plant]],Plant_AILN!A:C,3,FALSE)</f>
        <v>283900400</v>
      </c>
      <c r="E44" s="253">
        <v>7</v>
      </c>
      <c r="M44" s="82" t="str">
        <f>_xlfn.CONCAT(Tableau7[[#This Row],[Code PFI ]],"-",Tableau7[[#This Row],[Compte Consignee]])</f>
        <v>91018400-90017100</v>
      </c>
      <c r="N44" s="257" t="s">
        <v>161</v>
      </c>
      <c r="O44" s="490">
        <f>VLOOKUP(Tableau7[[#This Row],[PFI Import]],Plant_AILN!I:J,2,FALSE)</f>
        <v>91018400</v>
      </c>
      <c r="P44" s="274" t="s">
        <v>617</v>
      </c>
      <c r="Q44" s="259" t="s">
        <v>201</v>
      </c>
      <c r="R44" s="490">
        <f>VLOOKUP(Tableau7[[#This Row],[Name Consignee]],Plant_AILN!A:C,3,FALSE)</f>
        <v>90017100</v>
      </c>
      <c r="S44" s="265">
        <v>5</v>
      </c>
    </row>
    <row r="45" spans="1:19">
      <c r="A45" s="82" t="str">
        <f>_xlfn.CONCAT(Tableau4[[#This Row],[POD]],"-",Tableau4[[#This Row],[Code Plant]])</f>
        <v>ROCND-90012500</v>
      </c>
      <c r="B45" s="206" t="s">
        <v>484</v>
      </c>
      <c r="C45" s="182" t="s">
        <v>156</v>
      </c>
      <c r="D45" s="490">
        <f>VLOOKUP(Tableau4[[#This Row],[Name Plant]],Plant_AILN!A:C,3,FALSE)</f>
        <v>90012500</v>
      </c>
      <c r="E45" s="253">
        <v>7</v>
      </c>
      <c r="M45" s="82" t="str">
        <f>_xlfn.CONCAT(Tableau7[[#This Row],[Code PFI ]],"-",Tableau7[[#This Row],[Compte Consignee]])</f>
        <v>91018400-91017500</v>
      </c>
      <c r="N45" s="275" t="s">
        <v>161</v>
      </c>
      <c r="O45" s="490">
        <f>VLOOKUP(Tableau7[[#This Row],[PFI Import]],Plant_AILN!I:J,2,FALSE)</f>
        <v>91018400</v>
      </c>
      <c r="P45" s="276" t="s">
        <v>618</v>
      </c>
      <c r="Q45" s="259" t="s">
        <v>162</v>
      </c>
      <c r="R45" s="490">
        <f>VLOOKUP(Tableau7[[#This Row],[Name Consignee]],Plant_AILN!A:C,3,FALSE)</f>
        <v>91017500</v>
      </c>
      <c r="S45" s="277">
        <v>4</v>
      </c>
    </row>
    <row r="46" spans="1:19">
      <c r="A46" s="82" t="str">
        <f>_xlfn.CONCAT(Tableau4[[#This Row],[POD]],"-",Tableau4[[#This Row],[Code Plant]])</f>
        <v>SIKOP-90016700</v>
      </c>
      <c r="B46" s="206" t="s">
        <v>498</v>
      </c>
      <c r="C46" s="182" t="s">
        <v>181</v>
      </c>
      <c r="D46" s="490">
        <f>VLOOKUP(Tableau4[[#This Row],[Name Plant]],Plant_AILN!A:C,3,FALSE)</f>
        <v>90016700</v>
      </c>
      <c r="E46" s="253">
        <v>2</v>
      </c>
      <c r="M46" s="82" t="str">
        <f>_xlfn.CONCAT(Tableau7[[#This Row],[Code PFI ]],"-",Tableau7[[#This Row],[Compte Consignee]])</f>
        <v>91018400-90016900</v>
      </c>
      <c r="N46" s="275" t="s">
        <v>161</v>
      </c>
      <c r="O46" s="490">
        <f>VLOOKUP(Tableau7[[#This Row],[PFI Import]],Plant_AILN!I:J,2,FALSE)</f>
        <v>91018400</v>
      </c>
      <c r="P46" s="276" t="s">
        <v>620</v>
      </c>
      <c r="Q46" s="259" t="s">
        <v>152</v>
      </c>
      <c r="R46" s="490">
        <f>VLOOKUP(Tableau7[[#This Row],[Name Consignee]],Plant_AILN!A:C,3,FALSE)</f>
        <v>90016900</v>
      </c>
      <c r="S46" s="277">
        <v>6</v>
      </c>
    </row>
    <row r="47" spans="1:19">
      <c r="A47" s="82" t="str">
        <f>_xlfn.CONCAT(Tableau4[[#This Row],[POD]],"-",Tableau4[[#This Row],[Code Plant]])</f>
        <v>THLCH-25048500</v>
      </c>
      <c r="B47" s="206" t="s">
        <v>520</v>
      </c>
      <c r="C47" s="182" t="s">
        <v>139</v>
      </c>
      <c r="D47" s="490">
        <f>VLOOKUP(Tableau4[[#This Row],[Name Plant]],Plant_AILN!A:C,3,FALSE)</f>
        <v>25048500</v>
      </c>
      <c r="E47" s="253">
        <v>1</v>
      </c>
      <c r="M47" s="83" t="str">
        <f>_xlfn.CONCAT(Tableau7[[#This Row],[Code PFI ]],"-",Tableau7[[#This Row],[Compte Consignee]])</f>
        <v>91018400-90018400</v>
      </c>
      <c r="N47" s="275" t="s">
        <v>161</v>
      </c>
      <c r="O47" s="490">
        <f>VLOOKUP(Tableau7[[#This Row],[PFI Import]],Plant_AILN!I:J,2,FALSE)</f>
        <v>91018400</v>
      </c>
      <c r="P47" s="276" t="s">
        <v>621</v>
      </c>
      <c r="Q47" s="259" t="s">
        <v>397</v>
      </c>
      <c r="R47" s="490">
        <f>VLOOKUP(Tableau7[[#This Row],[Name Consignee]],Plant_AILN!A:C,3,FALSE)</f>
        <v>90018400</v>
      </c>
      <c r="S47" s="277">
        <v>5</v>
      </c>
    </row>
    <row r="48" spans="1:19" ht="15.75" customHeight="1" thickBot="1">
      <c r="A48" s="82" t="str">
        <f>_xlfn.CONCAT(Tableau4[[#This Row],[POD]],"-",Tableau4[[#This Row],[Code Plant]])</f>
        <v>TRGEB-90014400</v>
      </c>
      <c r="B48" s="206" t="s">
        <v>592</v>
      </c>
      <c r="C48" s="182" t="s">
        <v>164</v>
      </c>
      <c r="D48" s="490">
        <f>VLOOKUP(Tableau4[[#This Row],[Name Plant]],Plant_AILN!A:C,3,FALSE)</f>
        <v>90014400</v>
      </c>
      <c r="E48" s="253">
        <v>2</v>
      </c>
      <c r="M48" s="346" t="str">
        <f>_xlfn.CONCAT(Tableau7[[#This Row],[Code PFI ]],"-",Tableau7[[#This Row],[Compte Consignee]])</f>
        <v>91018400-91017600</v>
      </c>
      <c r="N48" s="275" t="s">
        <v>161</v>
      </c>
      <c r="O48" s="486">
        <f>VLOOKUP(Tableau7[[#This Row],[PFI Import]],Plant_AILN!I:J,2,FALSE)</f>
        <v>91018400</v>
      </c>
      <c r="P48" s="278"/>
      <c r="Q48" s="259" t="s">
        <v>214</v>
      </c>
      <c r="R48" s="486">
        <f>VLOOKUP(Tableau7[[#This Row],[Name Consignee]],Plant_AILN!A:C,3,FALSE)</f>
        <v>91017600</v>
      </c>
      <c r="S48" s="279">
        <v>0</v>
      </c>
    </row>
    <row r="49" spans="1:19">
      <c r="A49" s="82" t="str">
        <f>_xlfn.CONCAT(Tableau4[[#This Row],[POD]],"-",Tableau4[[#This Row],[Code Plant]])</f>
        <v>TRGEM-90017000</v>
      </c>
      <c r="B49" s="206" t="s">
        <v>510</v>
      </c>
      <c r="C49" s="182" t="s">
        <v>167</v>
      </c>
      <c r="D49" s="490">
        <f>VLOOKUP(Tableau4[[#This Row],[Name Plant]],Plant_AILN!A:C,3,FALSE)</f>
        <v>90017000</v>
      </c>
      <c r="E49" s="253">
        <v>2</v>
      </c>
      <c r="M49" s="83" t="str">
        <f>_xlfn.CONCAT(Tableau7[[#This Row],[Code PFI ]],"-",Tableau7[[#This Row],[Compte Consignee]])</f>
        <v>2839004-90012300</v>
      </c>
      <c r="N49" s="275" t="s">
        <v>158</v>
      </c>
      <c r="O49" s="486">
        <f>VLOOKUP(Tableau7[[#This Row],[PFI Import]],Plant_AILN!I:J,2,FALSE)</f>
        <v>2839004</v>
      </c>
      <c r="P49" s="278"/>
      <c r="Q49" s="278" t="s">
        <v>215</v>
      </c>
      <c r="R49" s="486">
        <f>VLOOKUP(Tableau7[[#This Row],[Name Consignee]],Plant_AILN!A:C,3,FALSE)</f>
        <v>90012300</v>
      </c>
      <c r="S49" s="279">
        <v>1</v>
      </c>
    </row>
    <row r="50" spans="1:19">
      <c r="A50" s="82" t="str">
        <f>_xlfn.CONCAT(Tableau4[[#This Row],[POD]],"-",Tableau4[[#This Row],[Code Plant]])</f>
        <v>TRGEM-90014400</v>
      </c>
      <c r="B50" s="206" t="s">
        <v>510</v>
      </c>
      <c r="C50" s="182" t="s">
        <v>164</v>
      </c>
      <c r="D50" s="490">
        <f>VLOOKUP(Tableau4[[#This Row],[Name Plant]],Plant_AILN!A:C,3,FALSE)</f>
        <v>90014400</v>
      </c>
      <c r="E50" s="253">
        <v>2</v>
      </c>
    </row>
    <row r="51" spans="1:19">
      <c r="A51" s="82" t="str">
        <f>_xlfn.CONCAT(Tableau4[[#This Row],[POD]],"-",Tableau4[[#This Row],[Code Plant]])</f>
        <v>TRIZT-90014400</v>
      </c>
      <c r="B51" s="206" t="s">
        <v>500</v>
      </c>
      <c r="C51" s="182" t="s">
        <v>164</v>
      </c>
      <c r="D51" s="490">
        <f>VLOOKUP(Tableau4[[#This Row],[Name Plant]],Plant_AILN!A:C,3,FALSE)</f>
        <v>90014400</v>
      </c>
      <c r="E51" s="253">
        <v>2</v>
      </c>
    </row>
    <row r="52" spans="1:19">
      <c r="A52" s="82" t="str">
        <f>_xlfn.CONCAT(Tableau4[[#This Row],[POD]],"-",Tableau4[[#This Row],[Code Plant]])</f>
        <v>TRIZT-90017000</v>
      </c>
      <c r="B52" s="206" t="s">
        <v>500</v>
      </c>
      <c r="C52" s="182" t="s">
        <v>167</v>
      </c>
      <c r="D52" s="490">
        <f>VLOOKUP(Tableau4[[#This Row],[Name Plant]],Plant_AILN!A:C,3,FALSE)</f>
        <v>90017000</v>
      </c>
      <c r="E52" s="253">
        <v>2</v>
      </c>
    </row>
    <row r="53" spans="1:19">
      <c r="A53" s="83" t="str">
        <f>_xlfn.CONCAT(Tableau4[[#This Row],[POD]],"-",Tableau4[[#This Row],[Code Plant]])</f>
        <v>ZADUR-25079500</v>
      </c>
      <c r="B53" s="206" t="s">
        <v>593</v>
      </c>
      <c r="C53" s="182" t="s">
        <v>546</v>
      </c>
      <c r="D53" s="490">
        <f>VLOOKUP(Tableau4[[#This Row],[Name Plant]],Plant_AILN!A:C,3,FALSE)</f>
        <v>25079500</v>
      </c>
      <c r="E53" s="280">
        <v>12</v>
      </c>
    </row>
    <row r="54" spans="1:19">
      <c r="A54" s="83" t="str">
        <f>_xlfn.CONCAT(Tableau4[[#This Row],[POD]],"-",Tableau4[[#This Row],[Code Plant]])</f>
        <v>ESALG-91017500</v>
      </c>
      <c r="B54" s="233" t="s">
        <v>507</v>
      </c>
      <c r="C54" s="281" t="s">
        <v>162</v>
      </c>
      <c r="D54" s="486">
        <f>VLOOKUP(Tableau4[[#This Row],[Name Plant]],Plant_AILN!A:C,3,FALSE)</f>
        <v>91017500</v>
      </c>
      <c r="E54" s="247">
        <v>1</v>
      </c>
    </row>
    <row r="55" spans="1:19">
      <c r="A55" s="83" t="str">
        <f>_xlfn.CONCAT(Tableau4[[#This Row],[POD]],"-",Tableau4[[#This Row],[Code Plant]])</f>
        <v>DZORN-90021000</v>
      </c>
      <c r="B55" s="233" t="s">
        <v>594</v>
      </c>
      <c r="C55" s="281" t="s">
        <v>203</v>
      </c>
      <c r="D55" s="486">
        <f>VLOOKUP(Tableau4[[#This Row],[Name Plant]],Plant_AILN!A:C,3,FALSE)</f>
        <v>90021000</v>
      </c>
      <c r="E55" s="247">
        <v>1</v>
      </c>
    </row>
    <row r="56" spans="1:19">
      <c r="A56" s="83" t="str">
        <f>_xlfn.CONCAT(Tableau4[[#This Row],[POD]],"-",Tableau4[[#This Row],[Code Plant]])</f>
        <v>TRIZT-90022000</v>
      </c>
      <c r="B56" s="186" t="s">
        <v>500</v>
      </c>
      <c r="C56" s="281" t="s">
        <v>366</v>
      </c>
      <c r="D56" s="486">
        <f>VLOOKUP(Tableau4[[#This Row],[Name Plant]],Plant_AILN!A:C,3,FALSE)</f>
        <v>90022000</v>
      </c>
      <c r="E56" s="247">
        <v>2</v>
      </c>
    </row>
    <row r="57" spans="1:19">
      <c r="A57" s="83" t="str">
        <f>_xlfn.CONCAT(Tableau4[[#This Row],[POD]],"-",Tableau4[[#This Row],[Code Plant]])</f>
        <v>TRGEM-90022000</v>
      </c>
      <c r="B57" s="186" t="s">
        <v>510</v>
      </c>
      <c r="C57" s="281" t="s">
        <v>366</v>
      </c>
      <c r="D57" s="486">
        <f>VLOOKUP(Tableau4[[#This Row],[Name Plant]],Plant_AILN!A:C,3,FALSE)</f>
        <v>90022000</v>
      </c>
      <c r="E57" s="247">
        <v>2</v>
      </c>
    </row>
    <row r="58" spans="1:19">
      <c r="A58" s="83" t="str">
        <f>_xlfn.CONCAT(Tableau4[[#This Row],[POD]],"-",Tableau4[[#This Row],[Code Plant]])</f>
        <v>TRGEB-90022000</v>
      </c>
      <c r="B58" s="186" t="s">
        <v>592</v>
      </c>
      <c r="C58" s="281" t="s">
        <v>366</v>
      </c>
      <c r="D58" s="486">
        <f>VLOOKUP(Tableau4[[#This Row],[Name Plant]],Plant_AILN!A:C,3,FALSE)</f>
        <v>90022000</v>
      </c>
      <c r="E58" s="247">
        <v>3</v>
      </c>
    </row>
    <row r="59" spans="1:19">
      <c r="A59" s="83" t="str">
        <f>_xlfn.CONCAT(Tableau4[[#This Row],[POD]],"-",Tableau4[[#This Row],[Code Plant]])</f>
        <v>TRGEB-90017000</v>
      </c>
      <c r="B59" s="186" t="s">
        <v>592</v>
      </c>
      <c r="C59" s="281" t="s">
        <v>167</v>
      </c>
      <c r="D59" s="486">
        <f>VLOOKUP(Tableau4[[#This Row],[Name Plant]],Plant_AILN!A:C,3,FALSE)</f>
        <v>90017000</v>
      </c>
      <c r="E59" s="247">
        <v>3</v>
      </c>
    </row>
    <row r="60" spans="1:19">
      <c r="A60" s="83" t="str">
        <f>_xlfn.CONCAT(Tableau4[[#This Row],[POD]],"-",Tableau4[[#This Row],[Code Plant]])</f>
        <v>DZAZW-90021000</v>
      </c>
      <c r="B60" s="233" t="s">
        <v>595</v>
      </c>
      <c r="C60" s="281" t="s">
        <v>203</v>
      </c>
      <c r="D60" s="486">
        <f>VLOOKUP(Tableau4[[#This Row],[Name Plant]],Plant_AILN!A:C,3,FALSE)</f>
        <v>90021000</v>
      </c>
      <c r="E60" s="247">
        <v>1</v>
      </c>
    </row>
    <row r="61" spans="1:19">
      <c r="A61" s="82" t="str">
        <f>_xlfn.CONCAT(Tableau4[[#This Row],[POD]],"-",Tableau4[[#This Row],[Code Plant]])</f>
        <v>PTLEI-90016500</v>
      </c>
      <c r="B61" s="233" t="s">
        <v>563</v>
      </c>
      <c r="C61" s="281" t="s">
        <v>160</v>
      </c>
      <c r="D61" s="486">
        <f>VLOOKUP(Tableau4[[#This Row],[Name Plant]],Plant_AILN!A:C,3,FALSE)</f>
        <v>90016500</v>
      </c>
      <c r="E61" s="247">
        <v>2</v>
      </c>
    </row>
  </sheetData>
  <mergeCells count="4">
    <mergeCell ref="G13:K14"/>
    <mergeCell ref="B1:E1"/>
    <mergeCell ref="G1:K1"/>
    <mergeCell ref="N1:S1"/>
  </mergeCells>
  <dataValidations count="2">
    <dataValidation type="list" allowBlank="1" showInputMessage="1" showErrorMessage="1" sqref="I4:I10 G16:G17 N4:N1048576" xr:uid="{00000000-0002-0000-0D00-000000000000}">
      <formula1>PFIname</formula1>
    </dataValidation>
    <dataValidation type="list" allowBlank="1" showInputMessage="1" showErrorMessage="1" sqref="G18 Q2:Q1048576 C4:C1048576" xr:uid="{00000000-0002-0000-0D00-000001000000}">
      <formula1>plantname</formula1>
    </dataValidation>
  </dataValidations>
  <pageMargins left="0.7" right="0.7" top="0.75" bottom="0.75" header="0.3" footer="0.3"/>
  <pageSetup paperSize="9" orientation="portrait"/>
  <legacyDrawing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0">
    <tabColor theme="0" tint="-0.34998626667073579"/>
  </sheetPr>
  <dimension ref="A1:DX37"/>
  <sheetViews>
    <sheetView zoomScale="115" zoomScaleNormal="115" workbookViewId="0">
      <selection sqref="A1:A2"/>
    </sheetView>
  </sheetViews>
  <sheetFormatPr baseColWidth="10" defaultColWidth="11.44140625" defaultRowHeight="14.4"/>
  <cols>
    <col min="1" max="1" width="12.44140625" customWidth="1"/>
    <col min="2" max="2" width="21.44140625" bestFit="1" customWidth="1"/>
    <col min="3" max="3" width="7.44140625" bestFit="1" customWidth="1"/>
    <col min="4" max="5" width="6.44140625" customWidth="1"/>
    <col min="6" max="6" width="47.44140625" style="282" bestFit="1" customWidth="1"/>
    <col min="7" max="7" width="46.44140625" bestFit="1" customWidth="1"/>
    <col min="8" max="8" width="9.44140625" customWidth="1"/>
    <col min="9" max="9" width="14.44140625" bestFit="1" customWidth="1"/>
    <col min="10" max="128" width="1.44140625" customWidth="1"/>
  </cols>
  <sheetData>
    <row r="1" spans="1:128" s="11" customFormat="1" ht="9" customHeight="1" thickTop="1">
      <c r="A1" s="570" t="s">
        <v>0</v>
      </c>
      <c r="B1" s="614" t="str">
        <f>_xlfn.XLOOKUP(A25,'VTT actif'!F:F,'VTT actif'!O:O,"-",0)</f>
        <v>-</v>
      </c>
      <c r="C1" s="546">
        <v>9520704</v>
      </c>
      <c r="D1" s="550"/>
      <c r="E1" s="551"/>
      <c r="F1" s="615"/>
      <c r="G1" s="584"/>
      <c r="H1" s="584"/>
      <c r="I1" s="585"/>
      <c r="J1" s="566" t="str">
        <f>"W"&amp;WEEKNUM(J6)</f>
        <v>W21</v>
      </c>
      <c r="K1" s="567"/>
      <c r="L1" s="567"/>
      <c r="M1" s="567"/>
      <c r="N1" s="567"/>
      <c r="O1" s="567"/>
      <c r="P1" s="568"/>
      <c r="Q1" s="566" t="str">
        <f>"W"&amp;WEEKNUM(Q6)</f>
        <v>W22</v>
      </c>
      <c r="R1" s="567"/>
      <c r="S1" s="567"/>
      <c r="T1" s="567"/>
      <c r="U1" s="567"/>
      <c r="V1" s="567"/>
      <c r="W1" s="568"/>
      <c r="X1" s="566" t="str">
        <f>"W"&amp;WEEKNUM(X6)</f>
        <v>W23</v>
      </c>
      <c r="Y1" s="567"/>
      <c r="Z1" s="567"/>
      <c r="AA1" s="567"/>
      <c r="AB1" s="567"/>
      <c r="AC1" s="567"/>
      <c r="AD1" s="568"/>
      <c r="AE1" s="566" t="str">
        <f>"W"&amp;WEEKNUM(AE6)</f>
        <v>W24</v>
      </c>
      <c r="AF1" s="567"/>
      <c r="AG1" s="567"/>
      <c r="AH1" s="567"/>
      <c r="AI1" s="567"/>
      <c r="AJ1" s="567"/>
      <c r="AK1" s="568"/>
      <c r="AL1" s="566" t="str">
        <f>"W"&amp;WEEKNUM(AL6)</f>
        <v>W25</v>
      </c>
      <c r="AM1" s="567"/>
      <c r="AN1" s="567"/>
      <c r="AO1" s="567"/>
      <c r="AP1" s="567"/>
      <c r="AQ1" s="567"/>
      <c r="AR1" s="568"/>
      <c r="AS1" s="566" t="str">
        <f>"W"&amp;WEEKNUM(AS6)</f>
        <v>W26</v>
      </c>
      <c r="AT1" s="567"/>
      <c r="AU1" s="567"/>
      <c r="AV1" s="567"/>
      <c r="AW1" s="567"/>
      <c r="AX1" s="567"/>
      <c r="AY1" s="568"/>
      <c r="AZ1" s="566" t="str">
        <f>"W"&amp;WEEKNUM(AZ6)</f>
        <v>W27</v>
      </c>
      <c r="BA1" s="567"/>
      <c r="BB1" s="567"/>
      <c r="BC1" s="567"/>
      <c r="BD1" s="567"/>
      <c r="BE1" s="567"/>
      <c r="BF1" s="568"/>
      <c r="BG1" s="566" t="str">
        <f>"W"&amp;WEEKNUM(BG6)</f>
        <v>W28</v>
      </c>
      <c r="BH1" s="567"/>
      <c r="BI1" s="567"/>
      <c r="BJ1" s="567"/>
      <c r="BK1" s="567"/>
      <c r="BL1" s="567"/>
      <c r="BM1" s="568"/>
      <c r="BN1" s="566" t="str">
        <f>"W"&amp;WEEKNUM(BN6)</f>
        <v>W29</v>
      </c>
      <c r="BO1" s="567"/>
      <c r="BP1" s="567"/>
      <c r="BQ1" s="567"/>
      <c r="BR1" s="567"/>
      <c r="BS1" s="567"/>
      <c r="BT1" s="568"/>
      <c r="BU1" s="566" t="str">
        <f>"W"&amp;WEEKNUM(BU6)</f>
        <v>W30</v>
      </c>
      <c r="BV1" s="567"/>
      <c r="BW1" s="567"/>
      <c r="BX1" s="567"/>
      <c r="BY1" s="567"/>
      <c r="BZ1" s="567"/>
      <c r="CA1" s="568"/>
      <c r="CB1" s="566" t="str">
        <f>"W"&amp;WEEKNUM(CB6)</f>
        <v>W31</v>
      </c>
      <c r="CC1" s="567"/>
      <c r="CD1" s="567"/>
      <c r="CE1" s="567"/>
      <c r="CF1" s="567"/>
      <c r="CG1" s="567"/>
      <c r="CH1" s="568"/>
      <c r="CI1" s="566" t="str">
        <f>"W"&amp;WEEKNUM(CI6)</f>
        <v>W32</v>
      </c>
      <c r="CJ1" s="567"/>
      <c r="CK1" s="567"/>
      <c r="CL1" s="567"/>
      <c r="CM1" s="567"/>
      <c r="CN1" s="567"/>
      <c r="CO1" s="568"/>
      <c r="CP1" s="566" t="str">
        <f>"W"&amp;WEEKNUM(CP6)</f>
        <v>W33</v>
      </c>
      <c r="CQ1" s="567"/>
      <c r="CR1" s="567"/>
      <c r="CS1" s="567"/>
      <c r="CT1" s="567"/>
      <c r="CU1" s="567"/>
      <c r="CV1" s="568"/>
      <c r="CW1" s="566" t="str">
        <f>"W"&amp;WEEKNUM(CW6)</f>
        <v>W34</v>
      </c>
      <c r="CX1" s="567"/>
      <c r="CY1" s="567"/>
      <c r="CZ1" s="567"/>
      <c r="DA1" s="567"/>
      <c r="DB1" s="567"/>
      <c r="DC1" s="568"/>
      <c r="DD1" s="566" t="str">
        <f>"W"&amp;WEEKNUM(DD6)</f>
        <v>W35</v>
      </c>
      <c r="DE1" s="567"/>
      <c r="DF1" s="567"/>
      <c r="DG1" s="567"/>
      <c r="DH1" s="567"/>
      <c r="DI1" s="567"/>
      <c r="DJ1" s="568"/>
      <c r="DK1" s="566" t="str">
        <f>"W"&amp;WEEKNUM(DK6)</f>
        <v>W36</v>
      </c>
      <c r="DL1" s="567"/>
      <c r="DM1" s="567"/>
      <c r="DN1" s="567"/>
      <c r="DO1" s="567"/>
      <c r="DP1" s="567"/>
      <c r="DQ1" s="568"/>
      <c r="DR1" s="566" t="str">
        <f>"W"&amp;WEEKNUM(DR6)</f>
        <v>W37</v>
      </c>
      <c r="DS1" s="567"/>
      <c r="DT1" s="567"/>
      <c r="DU1" s="567"/>
      <c r="DV1" s="567"/>
      <c r="DW1" s="567"/>
      <c r="DX1" s="568"/>
    </row>
    <row r="2" spans="1:128" s="11" customFormat="1" ht="9" customHeight="1" thickBot="1">
      <c r="A2" s="571"/>
      <c r="B2" s="571"/>
      <c r="C2" s="560"/>
      <c r="D2" s="564"/>
      <c r="E2" s="565"/>
      <c r="F2" s="616"/>
      <c r="G2" s="617"/>
      <c r="H2" s="617"/>
      <c r="I2" s="579"/>
      <c r="J2" s="569" t="s">
        <v>2</v>
      </c>
      <c r="K2" s="557"/>
      <c r="L2" s="557"/>
      <c r="M2" s="557"/>
      <c r="N2" s="557"/>
      <c r="O2" s="557"/>
      <c r="P2" s="558"/>
      <c r="Q2" s="556" t="s">
        <v>3</v>
      </c>
      <c r="R2" s="557"/>
      <c r="S2" s="557"/>
      <c r="T2" s="557"/>
      <c r="U2" s="557"/>
      <c r="V2" s="557"/>
      <c r="W2" s="558"/>
      <c r="X2" s="556" t="s">
        <v>4</v>
      </c>
      <c r="Y2" s="557"/>
      <c r="Z2" s="557"/>
      <c r="AA2" s="557"/>
      <c r="AB2" s="557"/>
      <c r="AC2" s="557"/>
      <c r="AD2" s="558"/>
      <c r="AE2" s="556" t="s">
        <v>5</v>
      </c>
      <c r="AF2" s="557"/>
      <c r="AG2" s="557"/>
      <c r="AH2" s="557"/>
      <c r="AI2" s="557"/>
      <c r="AJ2" s="557"/>
      <c r="AK2" s="558"/>
      <c r="AL2" s="556" t="s">
        <v>6</v>
      </c>
      <c r="AM2" s="557"/>
      <c r="AN2" s="557"/>
      <c r="AO2" s="557"/>
      <c r="AP2" s="557"/>
      <c r="AQ2" s="557"/>
      <c r="AR2" s="558"/>
      <c r="AS2" s="556" t="s">
        <v>7</v>
      </c>
      <c r="AT2" s="557"/>
      <c r="AU2" s="557"/>
      <c r="AV2" s="557"/>
      <c r="AW2" s="557"/>
      <c r="AX2" s="557"/>
      <c r="AY2" s="558"/>
      <c r="AZ2" s="556" t="s">
        <v>8</v>
      </c>
      <c r="BA2" s="557"/>
      <c r="BB2" s="557"/>
      <c r="BC2" s="557"/>
      <c r="BD2" s="557"/>
      <c r="BE2" s="557"/>
      <c r="BF2" s="558"/>
      <c r="BG2" s="556" t="s">
        <v>9</v>
      </c>
      <c r="BH2" s="557"/>
      <c r="BI2" s="557"/>
      <c r="BJ2" s="557"/>
      <c r="BK2" s="557"/>
      <c r="BL2" s="557"/>
      <c r="BM2" s="558"/>
      <c r="BN2" s="556" t="s">
        <v>10</v>
      </c>
      <c r="BO2" s="557"/>
      <c r="BP2" s="557"/>
      <c r="BQ2" s="557"/>
      <c r="BR2" s="557"/>
      <c r="BS2" s="557"/>
      <c r="BT2" s="558"/>
      <c r="BU2" s="556" t="s">
        <v>11</v>
      </c>
      <c r="BV2" s="557"/>
      <c r="BW2" s="557"/>
      <c r="BX2" s="557"/>
      <c r="BY2" s="557"/>
      <c r="BZ2" s="557"/>
      <c r="CA2" s="558"/>
      <c r="CB2" s="556" t="s">
        <v>12</v>
      </c>
      <c r="CC2" s="557"/>
      <c r="CD2" s="557"/>
      <c r="CE2" s="557"/>
      <c r="CF2" s="557"/>
      <c r="CG2" s="557"/>
      <c r="CH2" s="558"/>
      <c r="CI2" s="556" t="s">
        <v>13</v>
      </c>
      <c r="CJ2" s="557"/>
      <c r="CK2" s="557"/>
      <c r="CL2" s="557"/>
      <c r="CM2" s="557"/>
      <c r="CN2" s="557"/>
      <c r="CO2" s="558"/>
      <c r="CP2" s="556" t="s">
        <v>14</v>
      </c>
      <c r="CQ2" s="557"/>
      <c r="CR2" s="557"/>
      <c r="CS2" s="557"/>
      <c r="CT2" s="557"/>
      <c r="CU2" s="557"/>
      <c r="CV2" s="558"/>
      <c r="CW2" s="556" t="s">
        <v>15</v>
      </c>
      <c r="CX2" s="557"/>
      <c r="CY2" s="557"/>
      <c r="CZ2" s="557"/>
      <c r="DA2" s="557"/>
      <c r="DB2" s="557"/>
      <c r="DC2" s="558"/>
      <c r="DD2" s="556" t="s">
        <v>16</v>
      </c>
      <c r="DE2" s="557"/>
      <c r="DF2" s="557"/>
      <c r="DG2" s="557"/>
      <c r="DH2" s="557"/>
      <c r="DI2" s="557"/>
      <c r="DJ2" s="558"/>
      <c r="DK2" s="556" t="s">
        <v>17</v>
      </c>
      <c r="DL2" s="557"/>
      <c r="DM2" s="557"/>
      <c r="DN2" s="557"/>
      <c r="DO2" s="557"/>
      <c r="DP2" s="557"/>
      <c r="DQ2" s="558"/>
      <c r="DR2" s="556" t="s">
        <v>18</v>
      </c>
      <c r="DS2" s="557"/>
      <c r="DT2" s="557"/>
      <c r="DU2" s="557"/>
      <c r="DV2" s="557"/>
      <c r="DW2" s="557"/>
      <c r="DX2" s="558"/>
    </row>
    <row r="3" spans="1:128" s="12" customFormat="1" ht="9" customHeight="1" thickTop="1">
      <c r="A3" s="570" t="s">
        <v>19</v>
      </c>
      <c r="B3" s="574" t="str">
        <f>_xlfn.XLOOKUP(A25,'VTT actif'!F:F,'VTT actif'!X:X,"-",0)</f>
        <v>-</v>
      </c>
      <c r="C3" s="546">
        <v>9520704</v>
      </c>
      <c r="D3" s="550"/>
      <c r="E3" s="551"/>
      <c r="F3" s="616"/>
      <c r="G3" s="618"/>
      <c r="H3" s="618"/>
      <c r="I3" s="579"/>
      <c r="J3" s="32" t="s">
        <v>21</v>
      </c>
      <c r="K3" s="33" t="s">
        <v>22</v>
      </c>
      <c r="L3" s="33" t="s">
        <v>22</v>
      </c>
      <c r="M3" s="33" t="s">
        <v>23</v>
      </c>
      <c r="N3" s="33" t="s">
        <v>24</v>
      </c>
      <c r="O3" s="34" t="s">
        <v>25</v>
      </c>
      <c r="P3" s="35" t="s">
        <v>26</v>
      </c>
      <c r="Q3" s="36" t="s">
        <v>21</v>
      </c>
      <c r="R3" s="33" t="s">
        <v>22</v>
      </c>
      <c r="S3" s="33" t="s">
        <v>22</v>
      </c>
      <c r="T3" s="33" t="s">
        <v>23</v>
      </c>
      <c r="U3" s="33" t="s">
        <v>24</v>
      </c>
      <c r="V3" s="34" t="s">
        <v>25</v>
      </c>
      <c r="W3" s="35" t="s">
        <v>26</v>
      </c>
      <c r="X3" s="36" t="s">
        <v>21</v>
      </c>
      <c r="Y3" s="33" t="s">
        <v>22</v>
      </c>
      <c r="Z3" s="33" t="s">
        <v>22</v>
      </c>
      <c r="AA3" s="33" t="s">
        <v>23</v>
      </c>
      <c r="AB3" s="33" t="s">
        <v>24</v>
      </c>
      <c r="AC3" s="34" t="s">
        <v>25</v>
      </c>
      <c r="AD3" s="35" t="s">
        <v>26</v>
      </c>
      <c r="AE3" s="36" t="s">
        <v>21</v>
      </c>
      <c r="AF3" s="33" t="s">
        <v>22</v>
      </c>
      <c r="AG3" s="33" t="s">
        <v>22</v>
      </c>
      <c r="AH3" s="33" t="s">
        <v>23</v>
      </c>
      <c r="AI3" s="33" t="s">
        <v>24</v>
      </c>
      <c r="AJ3" s="34" t="s">
        <v>25</v>
      </c>
      <c r="AK3" s="35" t="s">
        <v>26</v>
      </c>
      <c r="AL3" s="36" t="s">
        <v>21</v>
      </c>
      <c r="AM3" s="33" t="s">
        <v>22</v>
      </c>
      <c r="AN3" s="33" t="s">
        <v>22</v>
      </c>
      <c r="AO3" s="33" t="s">
        <v>23</v>
      </c>
      <c r="AP3" s="33" t="s">
        <v>24</v>
      </c>
      <c r="AQ3" s="34" t="s">
        <v>25</v>
      </c>
      <c r="AR3" s="35" t="s">
        <v>26</v>
      </c>
      <c r="AS3" s="36" t="s">
        <v>21</v>
      </c>
      <c r="AT3" s="33" t="s">
        <v>22</v>
      </c>
      <c r="AU3" s="33" t="s">
        <v>22</v>
      </c>
      <c r="AV3" s="33" t="s">
        <v>23</v>
      </c>
      <c r="AW3" s="33" t="s">
        <v>24</v>
      </c>
      <c r="AX3" s="34" t="s">
        <v>25</v>
      </c>
      <c r="AY3" s="35" t="s">
        <v>26</v>
      </c>
      <c r="AZ3" s="36" t="s">
        <v>21</v>
      </c>
      <c r="BA3" s="33" t="s">
        <v>22</v>
      </c>
      <c r="BB3" s="33" t="s">
        <v>22</v>
      </c>
      <c r="BC3" s="33" t="s">
        <v>23</v>
      </c>
      <c r="BD3" s="33" t="s">
        <v>24</v>
      </c>
      <c r="BE3" s="34" t="s">
        <v>25</v>
      </c>
      <c r="BF3" s="35" t="s">
        <v>26</v>
      </c>
      <c r="BG3" s="36" t="s">
        <v>21</v>
      </c>
      <c r="BH3" s="33" t="s">
        <v>22</v>
      </c>
      <c r="BI3" s="33" t="s">
        <v>22</v>
      </c>
      <c r="BJ3" s="33" t="s">
        <v>23</v>
      </c>
      <c r="BK3" s="33" t="s">
        <v>24</v>
      </c>
      <c r="BL3" s="34" t="s">
        <v>25</v>
      </c>
      <c r="BM3" s="35" t="s">
        <v>26</v>
      </c>
      <c r="BN3" s="36" t="s">
        <v>21</v>
      </c>
      <c r="BO3" s="33" t="s">
        <v>22</v>
      </c>
      <c r="BP3" s="33" t="s">
        <v>22</v>
      </c>
      <c r="BQ3" s="33" t="s">
        <v>23</v>
      </c>
      <c r="BR3" s="33" t="s">
        <v>24</v>
      </c>
      <c r="BS3" s="34" t="s">
        <v>25</v>
      </c>
      <c r="BT3" s="35" t="s">
        <v>26</v>
      </c>
      <c r="BU3" s="36" t="s">
        <v>21</v>
      </c>
      <c r="BV3" s="33" t="s">
        <v>22</v>
      </c>
      <c r="BW3" s="33" t="s">
        <v>22</v>
      </c>
      <c r="BX3" s="33" t="s">
        <v>23</v>
      </c>
      <c r="BY3" s="33" t="s">
        <v>24</v>
      </c>
      <c r="BZ3" s="34" t="s">
        <v>25</v>
      </c>
      <c r="CA3" s="35" t="s">
        <v>26</v>
      </c>
      <c r="CB3" s="36" t="s">
        <v>21</v>
      </c>
      <c r="CC3" s="33" t="s">
        <v>22</v>
      </c>
      <c r="CD3" s="33" t="s">
        <v>22</v>
      </c>
      <c r="CE3" s="33" t="s">
        <v>23</v>
      </c>
      <c r="CF3" s="33" t="s">
        <v>24</v>
      </c>
      <c r="CG3" s="34" t="s">
        <v>25</v>
      </c>
      <c r="CH3" s="35" t="s">
        <v>26</v>
      </c>
      <c r="CI3" s="36" t="s">
        <v>21</v>
      </c>
      <c r="CJ3" s="33" t="s">
        <v>22</v>
      </c>
      <c r="CK3" s="33" t="s">
        <v>22</v>
      </c>
      <c r="CL3" s="33" t="s">
        <v>23</v>
      </c>
      <c r="CM3" s="33" t="s">
        <v>24</v>
      </c>
      <c r="CN3" s="34" t="s">
        <v>25</v>
      </c>
      <c r="CO3" s="35" t="s">
        <v>26</v>
      </c>
      <c r="CP3" s="36" t="s">
        <v>21</v>
      </c>
      <c r="CQ3" s="33" t="s">
        <v>22</v>
      </c>
      <c r="CR3" s="33" t="s">
        <v>22</v>
      </c>
      <c r="CS3" s="33" t="s">
        <v>23</v>
      </c>
      <c r="CT3" s="33" t="s">
        <v>24</v>
      </c>
      <c r="CU3" s="34" t="s">
        <v>25</v>
      </c>
      <c r="CV3" s="35" t="s">
        <v>26</v>
      </c>
      <c r="CW3" s="36" t="s">
        <v>21</v>
      </c>
      <c r="CX3" s="33" t="s">
        <v>22</v>
      </c>
      <c r="CY3" s="33" t="s">
        <v>22</v>
      </c>
      <c r="CZ3" s="33" t="s">
        <v>23</v>
      </c>
      <c r="DA3" s="33" t="s">
        <v>24</v>
      </c>
      <c r="DB3" s="34" t="s">
        <v>25</v>
      </c>
      <c r="DC3" s="35" t="s">
        <v>26</v>
      </c>
      <c r="DD3" s="36" t="s">
        <v>21</v>
      </c>
      <c r="DE3" s="33" t="s">
        <v>22</v>
      </c>
      <c r="DF3" s="33" t="s">
        <v>22</v>
      </c>
      <c r="DG3" s="33" t="s">
        <v>23</v>
      </c>
      <c r="DH3" s="33" t="s">
        <v>24</v>
      </c>
      <c r="DI3" s="34" t="s">
        <v>25</v>
      </c>
      <c r="DJ3" s="35" t="s">
        <v>26</v>
      </c>
      <c r="DK3" s="36" t="s">
        <v>21</v>
      </c>
      <c r="DL3" s="33" t="s">
        <v>22</v>
      </c>
      <c r="DM3" s="33" t="s">
        <v>22</v>
      </c>
      <c r="DN3" s="33" t="s">
        <v>23</v>
      </c>
      <c r="DO3" s="33" t="s">
        <v>24</v>
      </c>
      <c r="DP3" s="34" t="s">
        <v>25</v>
      </c>
      <c r="DQ3" s="35" t="s">
        <v>26</v>
      </c>
      <c r="DR3" s="36" t="s">
        <v>21</v>
      </c>
      <c r="DS3" s="33" t="s">
        <v>22</v>
      </c>
      <c r="DT3" s="33" t="s">
        <v>22</v>
      </c>
      <c r="DU3" s="33" t="s">
        <v>23</v>
      </c>
      <c r="DV3" s="33" t="s">
        <v>24</v>
      </c>
      <c r="DW3" s="34" t="s">
        <v>25</v>
      </c>
      <c r="DX3" s="35" t="s">
        <v>26</v>
      </c>
    </row>
    <row r="4" spans="1:128" s="12" customFormat="1" ht="9" customHeight="1" thickBot="1">
      <c r="A4" s="571"/>
      <c r="B4" s="571"/>
      <c r="C4" s="560"/>
      <c r="D4" s="564"/>
      <c r="E4" s="565"/>
      <c r="F4" s="616"/>
      <c r="G4" s="618"/>
      <c r="H4" s="618"/>
      <c r="I4" s="579"/>
      <c r="J4" s="32" t="s">
        <v>27</v>
      </c>
      <c r="K4" s="33" t="s">
        <v>28</v>
      </c>
      <c r="L4" s="33" t="s">
        <v>29</v>
      </c>
      <c r="M4" s="33" t="s">
        <v>30</v>
      </c>
      <c r="N4" s="33" t="s">
        <v>31</v>
      </c>
      <c r="O4" s="34" t="s">
        <v>32</v>
      </c>
      <c r="P4" s="35" t="s">
        <v>33</v>
      </c>
      <c r="Q4" s="36" t="s">
        <v>27</v>
      </c>
      <c r="R4" s="33" t="s">
        <v>28</v>
      </c>
      <c r="S4" s="33" t="s">
        <v>29</v>
      </c>
      <c r="T4" s="33" t="s">
        <v>30</v>
      </c>
      <c r="U4" s="33" t="s">
        <v>31</v>
      </c>
      <c r="V4" s="34" t="s">
        <v>32</v>
      </c>
      <c r="W4" s="35" t="s">
        <v>33</v>
      </c>
      <c r="X4" s="36" t="s">
        <v>27</v>
      </c>
      <c r="Y4" s="33" t="s">
        <v>28</v>
      </c>
      <c r="Z4" s="33" t="s">
        <v>29</v>
      </c>
      <c r="AA4" s="33" t="s">
        <v>30</v>
      </c>
      <c r="AB4" s="33" t="s">
        <v>31</v>
      </c>
      <c r="AC4" s="34" t="s">
        <v>32</v>
      </c>
      <c r="AD4" s="35" t="s">
        <v>33</v>
      </c>
      <c r="AE4" s="36" t="s">
        <v>27</v>
      </c>
      <c r="AF4" s="33" t="s">
        <v>28</v>
      </c>
      <c r="AG4" s="33" t="s">
        <v>29</v>
      </c>
      <c r="AH4" s="33" t="s">
        <v>30</v>
      </c>
      <c r="AI4" s="33" t="s">
        <v>31</v>
      </c>
      <c r="AJ4" s="34" t="s">
        <v>32</v>
      </c>
      <c r="AK4" s="35" t="s">
        <v>33</v>
      </c>
      <c r="AL4" s="36" t="s">
        <v>27</v>
      </c>
      <c r="AM4" s="33" t="s">
        <v>28</v>
      </c>
      <c r="AN4" s="33" t="s">
        <v>29</v>
      </c>
      <c r="AO4" s="33" t="s">
        <v>30</v>
      </c>
      <c r="AP4" s="33" t="s">
        <v>31</v>
      </c>
      <c r="AQ4" s="34" t="s">
        <v>32</v>
      </c>
      <c r="AR4" s="35" t="s">
        <v>33</v>
      </c>
      <c r="AS4" s="36" t="s">
        <v>27</v>
      </c>
      <c r="AT4" s="33" t="s">
        <v>28</v>
      </c>
      <c r="AU4" s="33" t="s">
        <v>29</v>
      </c>
      <c r="AV4" s="33" t="s">
        <v>30</v>
      </c>
      <c r="AW4" s="33" t="s">
        <v>31</v>
      </c>
      <c r="AX4" s="34" t="s">
        <v>32</v>
      </c>
      <c r="AY4" s="35" t="s">
        <v>33</v>
      </c>
      <c r="AZ4" s="36" t="s">
        <v>27</v>
      </c>
      <c r="BA4" s="33" t="s">
        <v>28</v>
      </c>
      <c r="BB4" s="33" t="s">
        <v>29</v>
      </c>
      <c r="BC4" s="33" t="s">
        <v>30</v>
      </c>
      <c r="BD4" s="33" t="s">
        <v>31</v>
      </c>
      <c r="BE4" s="34" t="s">
        <v>32</v>
      </c>
      <c r="BF4" s="35" t="s">
        <v>33</v>
      </c>
      <c r="BG4" s="36" t="s">
        <v>27</v>
      </c>
      <c r="BH4" s="33" t="s">
        <v>28</v>
      </c>
      <c r="BI4" s="33" t="s">
        <v>29</v>
      </c>
      <c r="BJ4" s="33" t="s">
        <v>30</v>
      </c>
      <c r="BK4" s="33" t="s">
        <v>31</v>
      </c>
      <c r="BL4" s="34" t="s">
        <v>32</v>
      </c>
      <c r="BM4" s="35" t="s">
        <v>33</v>
      </c>
      <c r="BN4" s="36" t="s">
        <v>27</v>
      </c>
      <c r="BO4" s="33" t="s">
        <v>28</v>
      </c>
      <c r="BP4" s="33" t="s">
        <v>29</v>
      </c>
      <c r="BQ4" s="33" t="s">
        <v>30</v>
      </c>
      <c r="BR4" s="33" t="s">
        <v>31</v>
      </c>
      <c r="BS4" s="34" t="s">
        <v>32</v>
      </c>
      <c r="BT4" s="35" t="s">
        <v>33</v>
      </c>
      <c r="BU4" s="36" t="s">
        <v>27</v>
      </c>
      <c r="BV4" s="33" t="s">
        <v>28</v>
      </c>
      <c r="BW4" s="33" t="s">
        <v>29</v>
      </c>
      <c r="BX4" s="33" t="s">
        <v>30</v>
      </c>
      <c r="BY4" s="33" t="s">
        <v>31</v>
      </c>
      <c r="BZ4" s="34" t="s">
        <v>32</v>
      </c>
      <c r="CA4" s="35" t="s">
        <v>33</v>
      </c>
      <c r="CB4" s="36" t="s">
        <v>27</v>
      </c>
      <c r="CC4" s="33" t="s">
        <v>28</v>
      </c>
      <c r="CD4" s="33" t="s">
        <v>29</v>
      </c>
      <c r="CE4" s="33" t="s">
        <v>30</v>
      </c>
      <c r="CF4" s="33" t="s">
        <v>31</v>
      </c>
      <c r="CG4" s="34" t="s">
        <v>32</v>
      </c>
      <c r="CH4" s="35" t="s">
        <v>33</v>
      </c>
      <c r="CI4" s="36" t="s">
        <v>27</v>
      </c>
      <c r="CJ4" s="33" t="s">
        <v>28</v>
      </c>
      <c r="CK4" s="33" t="s">
        <v>29</v>
      </c>
      <c r="CL4" s="33" t="s">
        <v>30</v>
      </c>
      <c r="CM4" s="33" t="s">
        <v>31</v>
      </c>
      <c r="CN4" s="34" t="s">
        <v>32</v>
      </c>
      <c r="CO4" s="35" t="s">
        <v>33</v>
      </c>
      <c r="CP4" s="36" t="s">
        <v>27</v>
      </c>
      <c r="CQ4" s="33" t="s">
        <v>28</v>
      </c>
      <c r="CR4" s="33" t="s">
        <v>29</v>
      </c>
      <c r="CS4" s="33" t="s">
        <v>30</v>
      </c>
      <c r="CT4" s="33" t="s">
        <v>31</v>
      </c>
      <c r="CU4" s="34" t="s">
        <v>32</v>
      </c>
      <c r="CV4" s="35" t="s">
        <v>33</v>
      </c>
      <c r="CW4" s="36" t="s">
        <v>27</v>
      </c>
      <c r="CX4" s="33" t="s">
        <v>28</v>
      </c>
      <c r="CY4" s="33" t="s">
        <v>29</v>
      </c>
      <c r="CZ4" s="33" t="s">
        <v>30</v>
      </c>
      <c r="DA4" s="33" t="s">
        <v>31</v>
      </c>
      <c r="DB4" s="34" t="s">
        <v>32</v>
      </c>
      <c r="DC4" s="35" t="s">
        <v>33</v>
      </c>
      <c r="DD4" s="36" t="s">
        <v>27</v>
      </c>
      <c r="DE4" s="33" t="s">
        <v>28</v>
      </c>
      <c r="DF4" s="33" t="s">
        <v>29</v>
      </c>
      <c r="DG4" s="33" t="s">
        <v>30</v>
      </c>
      <c r="DH4" s="33" t="s">
        <v>31</v>
      </c>
      <c r="DI4" s="34" t="s">
        <v>32</v>
      </c>
      <c r="DJ4" s="35" t="s">
        <v>33</v>
      </c>
      <c r="DK4" s="36" t="s">
        <v>27</v>
      </c>
      <c r="DL4" s="33" t="s">
        <v>28</v>
      </c>
      <c r="DM4" s="33" t="s">
        <v>29</v>
      </c>
      <c r="DN4" s="33" t="s">
        <v>30</v>
      </c>
      <c r="DO4" s="33" t="s">
        <v>31</v>
      </c>
      <c r="DP4" s="34" t="s">
        <v>32</v>
      </c>
      <c r="DQ4" s="35" t="s">
        <v>33</v>
      </c>
      <c r="DR4" s="36" t="s">
        <v>27</v>
      </c>
      <c r="DS4" s="33" t="s">
        <v>28</v>
      </c>
      <c r="DT4" s="33" t="s">
        <v>29</v>
      </c>
      <c r="DU4" s="33" t="s">
        <v>30</v>
      </c>
      <c r="DV4" s="33" t="s">
        <v>31</v>
      </c>
      <c r="DW4" s="34" t="s">
        <v>32</v>
      </c>
      <c r="DX4" s="35" t="s">
        <v>33</v>
      </c>
    </row>
    <row r="5" spans="1:128" s="12" customFormat="1" ht="15" customHeight="1" thickTop="1" thickBot="1">
      <c r="A5" s="473" t="s">
        <v>34</v>
      </c>
      <c r="B5" s="474" t="str">
        <f>_xlfn.XLOOKUP(A25,'VTT actif'!F:F,'VTT actif'!AL:AL,"-",0)</f>
        <v>-</v>
      </c>
      <c r="C5" s="546">
        <v>91018400</v>
      </c>
      <c r="D5" s="547"/>
      <c r="E5" s="548"/>
      <c r="F5" s="616"/>
      <c r="G5" s="618"/>
      <c r="H5" s="618"/>
      <c r="I5" s="579"/>
      <c r="J5" s="37">
        <v>1</v>
      </c>
      <c r="K5" s="38">
        <v>2</v>
      </c>
      <c r="L5" s="38">
        <v>3</v>
      </c>
      <c r="M5" s="38">
        <v>4</v>
      </c>
      <c r="N5" s="38">
        <v>5</v>
      </c>
      <c r="O5" s="38">
        <v>6</v>
      </c>
      <c r="P5" s="38">
        <v>7</v>
      </c>
      <c r="Q5" s="39">
        <v>8</v>
      </c>
      <c r="R5" s="38">
        <v>9</v>
      </c>
      <c r="S5" s="38">
        <v>10</v>
      </c>
      <c r="T5" s="38">
        <v>11</v>
      </c>
      <c r="U5" s="38">
        <v>12</v>
      </c>
      <c r="V5" s="38">
        <v>13</v>
      </c>
      <c r="W5" s="38">
        <v>14</v>
      </c>
      <c r="X5" s="39">
        <v>15</v>
      </c>
      <c r="Y5" s="38">
        <v>16</v>
      </c>
      <c r="Z5" s="38">
        <v>17</v>
      </c>
      <c r="AA5" s="38">
        <v>18</v>
      </c>
      <c r="AB5" s="38">
        <v>19</v>
      </c>
      <c r="AC5" s="38">
        <v>20</v>
      </c>
      <c r="AD5" s="38">
        <v>21</v>
      </c>
      <c r="AE5" s="39">
        <v>22</v>
      </c>
      <c r="AF5" s="38">
        <v>23</v>
      </c>
      <c r="AG5" s="38">
        <v>24</v>
      </c>
      <c r="AH5" s="38">
        <v>25</v>
      </c>
      <c r="AI5" s="38">
        <v>26</v>
      </c>
      <c r="AJ5" s="38">
        <v>27</v>
      </c>
      <c r="AK5" s="38">
        <v>28</v>
      </c>
      <c r="AL5" s="39">
        <v>29</v>
      </c>
      <c r="AM5" s="38">
        <v>30</v>
      </c>
      <c r="AN5" s="38">
        <v>31</v>
      </c>
      <c r="AO5" s="38">
        <v>32</v>
      </c>
      <c r="AP5" s="38">
        <v>33</v>
      </c>
      <c r="AQ5" s="38">
        <v>34</v>
      </c>
      <c r="AR5" s="38">
        <v>35</v>
      </c>
      <c r="AS5" s="39">
        <v>36</v>
      </c>
      <c r="AT5" s="38">
        <v>37</v>
      </c>
      <c r="AU5" s="38">
        <v>38</v>
      </c>
      <c r="AV5" s="38">
        <v>39</v>
      </c>
      <c r="AW5" s="38">
        <v>40</v>
      </c>
      <c r="AX5" s="38">
        <v>41</v>
      </c>
      <c r="AY5" s="38">
        <v>42</v>
      </c>
      <c r="AZ5" s="39">
        <v>43</v>
      </c>
      <c r="BA5" s="38">
        <v>44</v>
      </c>
      <c r="BB5" s="38">
        <v>45</v>
      </c>
      <c r="BC5" s="38">
        <v>46</v>
      </c>
      <c r="BD5" s="38">
        <v>47</v>
      </c>
      <c r="BE5" s="38">
        <v>48</v>
      </c>
      <c r="BF5" s="38">
        <v>49</v>
      </c>
      <c r="BG5" s="39">
        <v>50</v>
      </c>
      <c r="BH5" s="38">
        <v>51</v>
      </c>
      <c r="BI5" s="38">
        <v>52</v>
      </c>
      <c r="BJ5" s="38">
        <v>53</v>
      </c>
      <c r="BK5" s="38">
        <v>54</v>
      </c>
      <c r="BL5" s="38">
        <v>55</v>
      </c>
      <c r="BM5" s="38">
        <v>56</v>
      </c>
      <c r="BN5" s="39">
        <v>57</v>
      </c>
      <c r="BO5" s="38">
        <v>58</v>
      </c>
      <c r="BP5" s="38">
        <v>59</v>
      </c>
      <c r="BQ5" s="38">
        <v>60</v>
      </c>
      <c r="BR5" s="38">
        <v>61</v>
      </c>
      <c r="BS5" s="38">
        <v>62</v>
      </c>
      <c r="BT5" s="38">
        <v>63</v>
      </c>
      <c r="BU5" s="39">
        <v>64</v>
      </c>
      <c r="BV5" s="38">
        <v>65</v>
      </c>
      <c r="BW5" s="38">
        <v>66</v>
      </c>
      <c r="BX5" s="38">
        <v>67</v>
      </c>
      <c r="BY5" s="38">
        <v>68</v>
      </c>
      <c r="BZ5" s="38">
        <v>69</v>
      </c>
      <c r="CA5" s="38">
        <v>70</v>
      </c>
      <c r="CB5" s="39">
        <v>71</v>
      </c>
      <c r="CC5" s="38">
        <v>72</v>
      </c>
      <c r="CD5" s="38">
        <v>73</v>
      </c>
      <c r="CE5" s="38">
        <v>74</v>
      </c>
      <c r="CF5" s="38">
        <v>75</v>
      </c>
      <c r="CG5" s="38">
        <v>76</v>
      </c>
      <c r="CH5" s="38">
        <v>77</v>
      </c>
      <c r="CI5" s="39">
        <v>78</v>
      </c>
      <c r="CJ5" s="38">
        <v>79</v>
      </c>
      <c r="CK5" s="38">
        <v>80</v>
      </c>
      <c r="CL5" s="38">
        <v>81</v>
      </c>
      <c r="CM5" s="38">
        <v>82</v>
      </c>
      <c r="CN5" s="38">
        <v>83</v>
      </c>
      <c r="CO5" s="38">
        <v>84</v>
      </c>
      <c r="CP5" s="39">
        <v>85</v>
      </c>
      <c r="CQ5" s="38">
        <v>86</v>
      </c>
      <c r="CR5" s="38">
        <v>87</v>
      </c>
      <c r="CS5" s="38">
        <v>88</v>
      </c>
      <c r="CT5" s="38">
        <v>89</v>
      </c>
      <c r="CU5" s="38">
        <v>90</v>
      </c>
      <c r="CV5" s="38">
        <v>91</v>
      </c>
      <c r="CW5" s="39">
        <v>92</v>
      </c>
      <c r="CX5" s="38">
        <v>93</v>
      </c>
      <c r="CY5" s="38">
        <v>94</v>
      </c>
      <c r="CZ5" s="38">
        <v>95</v>
      </c>
      <c r="DA5" s="38">
        <v>96</v>
      </c>
      <c r="DB5" s="38">
        <v>97</v>
      </c>
      <c r="DC5" s="38">
        <v>98</v>
      </c>
      <c r="DD5" s="39">
        <v>99</v>
      </c>
      <c r="DE5" s="38">
        <v>100</v>
      </c>
      <c r="DF5" s="38">
        <v>101</v>
      </c>
      <c r="DG5" s="38">
        <v>102</v>
      </c>
      <c r="DH5" s="38">
        <v>103</v>
      </c>
      <c r="DI5" s="38">
        <v>104</v>
      </c>
      <c r="DJ5" s="38">
        <v>105</v>
      </c>
      <c r="DK5" s="38">
        <v>106</v>
      </c>
      <c r="DL5" s="38">
        <v>107</v>
      </c>
      <c r="DM5" s="38">
        <v>108</v>
      </c>
      <c r="DN5" s="38">
        <v>109</v>
      </c>
      <c r="DO5" s="38">
        <v>110</v>
      </c>
      <c r="DP5" s="38">
        <v>111</v>
      </c>
      <c r="DQ5" s="38">
        <v>112</v>
      </c>
      <c r="DR5" s="38">
        <v>113</v>
      </c>
      <c r="DS5" s="38">
        <v>114</v>
      </c>
      <c r="DT5" s="38">
        <v>115</v>
      </c>
      <c r="DU5" s="38">
        <v>116</v>
      </c>
      <c r="DV5" s="38">
        <v>117</v>
      </c>
      <c r="DW5" s="38">
        <v>118</v>
      </c>
      <c r="DX5" s="38">
        <v>119</v>
      </c>
    </row>
    <row r="6" spans="1:128" s="46" customFormat="1" ht="33" customHeight="1" thickTop="1" thickBot="1">
      <c r="A6" s="473" t="s">
        <v>35</v>
      </c>
      <c r="B6" s="474" t="str">
        <f>_xlfn.XLOOKUP(A25,'VTT actif'!F:F,'VTT actif'!L:L,"-",0)</f>
        <v>-</v>
      </c>
      <c r="C6" s="549">
        <v>91017700</v>
      </c>
      <c r="D6" s="550"/>
      <c r="E6" s="551"/>
      <c r="F6" s="619"/>
      <c r="G6" s="608"/>
      <c r="H6" s="608"/>
      <c r="I6" s="620"/>
      <c r="J6" s="42">
        <v>45068</v>
      </c>
      <c r="K6" s="43">
        <f t="shared" ref="K6:AP6" si="0">J6+1</f>
        <v>45069</v>
      </c>
      <c r="L6" s="43">
        <f t="shared" si="0"/>
        <v>45070</v>
      </c>
      <c r="M6" s="43">
        <f t="shared" si="0"/>
        <v>45071</v>
      </c>
      <c r="N6" s="43">
        <f t="shared" si="0"/>
        <v>45072</v>
      </c>
      <c r="O6" s="44">
        <f t="shared" si="0"/>
        <v>45073</v>
      </c>
      <c r="P6" s="45">
        <f t="shared" si="0"/>
        <v>45074</v>
      </c>
      <c r="Q6" s="43">
        <f t="shared" si="0"/>
        <v>45075</v>
      </c>
      <c r="R6" s="43">
        <f t="shared" si="0"/>
        <v>45076</v>
      </c>
      <c r="S6" s="43">
        <f t="shared" si="0"/>
        <v>45077</v>
      </c>
      <c r="T6" s="43">
        <f t="shared" si="0"/>
        <v>45078</v>
      </c>
      <c r="U6" s="43">
        <f t="shared" si="0"/>
        <v>45079</v>
      </c>
      <c r="V6" s="44">
        <f t="shared" si="0"/>
        <v>45080</v>
      </c>
      <c r="W6" s="45">
        <f t="shared" si="0"/>
        <v>45081</v>
      </c>
      <c r="X6" s="43">
        <f t="shared" si="0"/>
        <v>45082</v>
      </c>
      <c r="Y6" s="43">
        <f t="shared" si="0"/>
        <v>45083</v>
      </c>
      <c r="Z6" s="43">
        <f t="shared" si="0"/>
        <v>45084</v>
      </c>
      <c r="AA6" s="43">
        <f t="shared" si="0"/>
        <v>45085</v>
      </c>
      <c r="AB6" s="43">
        <f t="shared" si="0"/>
        <v>45086</v>
      </c>
      <c r="AC6" s="44">
        <f t="shared" si="0"/>
        <v>45087</v>
      </c>
      <c r="AD6" s="45">
        <f t="shared" si="0"/>
        <v>45088</v>
      </c>
      <c r="AE6" s="43">
        <f t="shared" si="0"/>
        <v>45089</v>
      </c>
      <c r="AF6" s="43">
        <f t="shared" si="0"/>
        <v>45090</v>
      </c>
      <c r="AG6" s="43">
        <f t="shared" si="0"/>
        <v>45091</v>
      </c>
      <c r="AH6" s="43">
        <f t="shared" si="0"/>
        <v>45092</v>
      </c>
      <c r="AI6" s="43">
        <f t="shared" si="0"/>
        <v>45093</v>
      </c>
      <c r="AJ6" s="44">
        <f t="shared" si="0"/>
        <v>45094</v>
      </c>
      <c r="AK6" s="45">
        <f t="shared" si="0"/>
        <v>45095</v>
      </c>
      <c r="AL6" s="43">
        <f t="shared" si="0"/>
        <v>45096</v>
      </c>
      <c r="AM6" s="43">
        <f t="shared" si="0"/>
        <v>45097</v>
      </c>
      <c r="AN6" s="43">
        <f t="shared" si="0"/>
        <v>45098</v>
      </c>
      <c r="AO6" s="43">
        <f t="shared" si="0"/>
        <v>45099</v>
      </c>
      <c r="AP6" s="43">
        <f t="shared" si="0"/>
        <v>45100</v>
      </c>
      <c r="AQ6" s="44">
        <f t="shared" ref="AQ6:BV6" si="1">AP6+1</f>
        <v>45101</v>
      </c>
      <c r="AR6" s="45">
        <f t="shared" si="1"/>
        <v>45102</v>
      </c>
      <c r="AS6" s="43">
        <f t="shared" si="1"/>
        <v>45103</v>
      </c>
      <c r="AT6" s="43">
        <f t="shared" si="1"/>
        <v>45104</v>
      </c>
      <c r="AU6" s="43">
        <f t="shared" si="1"/>
        <v>45105</v>
      </c>
      <c r="AV6" s="43">
        <f t="shared" si="1"/>
        <v>45106</v>
      </c>
      <c r="AW6" s="43">
        <f t="shared" si="1"/>
        <v>45107</v>
      </c>
      <c r="AX6" s="44">
        <f t="shared" si="1"/>
        <v>45108</v>
      </c>
      <c r="AY6" s="45">
        <f t="shared" si="1"/>
        <v>45109</v>
      </c>
      <c r="AZ6" s="43">
        <f t="shared" si="1"/>
        <v>45110</v>
      </c>
      <c r="BA6" s="43">
        <f t="shared" si="1"/>
        <v>45111</v>
      </c>
      <c r="BB6" s="43">
        <f t="shared" si="1"/>
        <v>45112</v>
      </c>
      <c r="BC6" s="43">
        <f t="shared" si="1"/>
        <v>45113</v>
      </c>
      <c r="BD6" s="43">
        <f t="shared" si="1"/>
        <v>45114</v>
      </c>
      <c r="BE6" s="44">
        <f t="shared" si="1"/>
        <v>45115</v>
      </c>
      <c r="BF6" s="45">
        <f t="shared" si="1"/>
        <v>45116</v>
      </c>
      <c r="BG6" s="43">
        <f t="shared" si="1"/>
        <v>45117</v>
      </c>
      <c r="BH6" s="43">
        <f t="shared" si="1"/>
        <v>45118</v>
      </c>
      <c r="BI6" s="43">
        <f t="shared" si="1"/>
        <v>45119</v>
      </c>
      <c r="BJ6" s="43">
        <f t="shared" si="1"/>
        <v>45120</v>
      </c>
      <c r="BK6" s="43">
        <f t="shared" si="1"/>
        <v>45121</v>
      </c>
      <c r="BL6" s="44">
        <f t="shared" si="1"/>
        <v>45122</v>
      </c>
      <c r="BM6" s="45">
        <f t="shared" si="1"/>
        <v>45123</v>
      </c>
      <c r="BN6" s="43">
        <f t="shared" si="1"/>
        <v>45124</v>
      </c>
      <c r="BO6" s="43">
        <f t="shared" si="1"/>
        <v>45125</v>
      </c>
      <c r="BP6" s="43">
        <f t="shared" si="1"/>
        <v>45126</v>
      </c>
      <c r="BQ6" s="43">
        <f t="shared" si="1"/>
        <v>45127</v>
      </c>
      <c r="BR6" s="43">
        <f t="shared" si="1"/>
        <v>45128</v>
      </c>
      <c r="BS6" s="44">
        <f t="shared" si="1"/>
        <v>45129</v>
      </c>
      <c r="BT6" s="45">
        <f t="shared" si="1"/>
        <v>45130</v>
      </c>
      <c r="BU6" s="43">
        <f t="shared" si="1"/>
        <v>45131</v>
      </c>
      <c r="BV6" s="43">
        <f t="shared" si="1"/>
        <v>45132</v>
      </c>
      <c r="BW6" s="43">
        <f t="shared" ref="BW6:DB6" si="2">BV6+1</f>
        <v>45133</v>
      </c>
      <c r="BX6" s="43">
        <f t="shared" si="2"/>
        <v>45134</v>
      </c>
      <c r="BY6" s="43">
        <f t="shared" si="2"/>
        <v>45135</v>
      </c>
      <c r="BZ6" s="44">
        <f t="shared" si="2"/>
        <v>45136</v>
      </c>
      <c r="CA6" s="45">
        <f t="shared" si="2"/>
        <v>45137</v>
      </c>
      <c r="CB6" s="43">
        <f t="shared" si="2"/>
        <v>45138</v>
      </c>
      <c r="CC6" s="43">
        <f t="shared" si="2"/>
        <v>45139</v>
      </c>
      <c r="CD6" s="43">
        <f t="shared" si="2"/>
        <v>45140</v>
      </c>
      <c r="CE6" s="43">
        <f t="shared" si="2"/>
        <v>45141</v>
      </c>
      <c r="CF6" s="43">
        <f t="shared" si="2"/>
        <v>45142</v>
      </c>
      <c r="CG6" s="44">
        <f t="shared" si="2"/>
        <v>45143</v>
      </c>
      <c r="CH6" s="45">
        <f t="shared" si="2"/>
        <v>45144</v>
      </c>
      <c r="CI6" s="43">
        <f t="shared" si="2"/>
        <v>45145</v>
      </c>
      <c r="CJ6" s="43">
        <f t="shared" si="2"/>
        <v>45146</v>
      </c>
      <c r="CK6" s="43">
        <f t="shared" si="2"/>
        <v>45147</v>
      </c>
      <c r="CL6" s="43">
        <f t="shared" si="2"/>
        <v>45148</v>
      </c>
      <c r="CM6" s="43">
        <f t="shared" si="2"/>
        <v>45149</v>
      </c>
      <c r="CN6" s="44">
        <f t="shared" si="2"/>
        <v>45150</v>
      </c>
      <c r="CO6" s="45">
        <f t="shared" si="2"/>
        <v>45151</v>
      </c>
      <c r="CP6" s="43">
        <f t="shared" si="2"/>
        <v>45152</v>
      </c>
      <c r="CQ6" s="43">
        <f t="shared" si="2"/>
        <v>45153</v>
      </c>
      <c r="CR6" s="43">
        <f t="shared" si="2"/>
        <v>45154</v>
      </c>
      <c r="CS6" s="43">
        <f t="shared" si="2"/>
        <v>45155</v>
      </c>
      <c r="CT6" s="43">
        <f t="shared" si="2"/>
        <v>45156</v>
      </c>
      <c r="CU6" s="44">
        <f t="shared" si="2"/>
        <v>45157</v>
      </c>
      <c r="CV6" s="45">
        <f t="shared" si="2"/>
        <v>45158</v>
      </c>
      <c r="CW6" s="43">
        <f t="shared" si="2"/>
        <v>45159</v>
      </c>
      <c r="CX6" s="43">
        <f t="shared" si="2"/>
        <v>45160</v>
      </c>
      <c r="CY6" s="43">
        <f t="shared" si="2"/>
        <v>45161</v>
      </c>
      <c r="CZ6" s="43">
        <f t="shared" si="2"/>
        <v>45162</v>
      </c>
      <c r="DA6" s="43">
        <f t="shared" si="2"/>
        <v>45163</v>
      </c>
      <c r="DB6" s="44">
        <f t="shared" si="2"/>
        <v>45164</v>
      </c>
      <c r="DC6" s="45">
        <f t="shared" ref="DC6:DX6" si="3">DB6+1</f>
        <v>45165</v>
      </c>
      <c r="DD6" s="43">
        <f t="shared" si="3"/>
        <v>45166</v>
      </c>
      <c r="DE6" s="43">
        <f t="shared" si="3"/>
        <v>45167</v>
      </c>
      <c r="DF6" s="43">
        <f t="shared" si="3"/>
        <v>45168</v>
      </c>
      <c r="DG6" s="43">
        <f t="shared" si="3"/>
        <v>45169</v>
      </c>
      <c r="DH6" s="43">
        <f t="shared" si="3"/>
        <v>45170</v>
      </c>
      <c r="DI6" s="44">
        <f t="shared" si="3"/>
        <v>45171</v>
      </c>
      <c r="DJ6" s="45">
        <f t="shared" si="3"/>
        <v>45172</v>
      </c>
      <c r="DK6" s="43">
        <f t="shared" si="3"/>
        <v>45173</v>
      </c>
      <c r="DL6" s="43">
        <f t="shared" si="3"/>
        <v>45174</v>
      </c>
      <c r="DM6" s="43">
        <f t="shared" si="3"/>
        <v>45175</v>
      </c>
      <c r="DN6" s="43">
        <f t="shared" si="3"/>
        <v>45176</v>
      </c>
      <c r="DO6" s="43">
        <f t="shared" si="3"/>
        <v>45177</v>
      </c>
      <c r="DP6" s="44">
        <f t="shared" si="3"/>
        <v>45178</v>
      </c>
      <c r="DQ6" s="45">
        <f t="shared" si="3"/>
        <v>45179</v>
      </c>
      <c r="DR6" s="43">
        <f t="shared" si="3"/>
        <v>45180</v>
      </c>
      <c r="DS6" s="43">
        <f t="shared" si="3"/>
        <v>45181</v>
      </c>
      <c r="DT6" s="43">
        <f t="shared" si="3"/>
        <v>45182</v>
      </c>
      <c r="DU6" s="43">
        <f t="shared" si="3"/>
        <v>45183</v>
      </c>
      <c r="DV6" s="43">
        <f t="shared" si="3"/>
        <v>45184</v>
      </c>
      <c r="DW6" s="44">
        <f t="shared" si="3"/>
        <v>45185</v>
      </c>
      <c r="DX6" s="45">
        <f t="shared" si="3"/>
        <v>45186</v>
      </c>
    </row>
    <row r="7" spans="1:128" s="17" customFormat="1" ht="17.25" customHeight="1" thickTop="1">
      <c r="A7" s="473" t="s">
        <v>37</v>
      </c>
      <c r="B7" s="127">
        <v>798</v>
      </c>
      <c r="C7" s="40" t="s">
        <v>38</v>
      </c>
      <c r="D7" s="40" t="s">
        <v>39</v>
      </c>
      <c r="E7" s="41" t="s">
        <v>40</v>
      </c>
      <c r="F7" s="293" t="s">
        <v>633</v>
      </c>
      <c r="G7" s="294" t="s">
        <v>634</v>
      </c>
      <c r="H7" s="294" t="s">
        <v>635</v>
      </c>
      <c r="I7" s="295" t="s">
        <v>636</v>
      </c>
      <c r="J7" s="13"/>
      <c r="K7" s="14"/>
      <c r="L7" s="14"/>
      <c r="M7" s="14"/>
      <c r="N7" s="14"/>
      <c r="O7" s="15"/>
      <c r="P7" s="16"/>
      <c r="Q7" s="13"/>
      <c r="R7" s="14"/>
      <c r="S7" s="14"/>
      <c r="T7" s="14"/>
      <c r="U7" s="14"/>
      <c r="V7" s="15"/>
      <c r="W7" s="16"/>
      <c r="X7" s="13"/>
      <c r="Y7" s="14"/>
      <c r="Z7" s="14"/>
      <c r="AA7" s="14"/>
      <c r="AB7" s="14"/>
      <c r="AC7" s="15"/>
      <c r="AD7" s="16"/>
      <c r="AE7" s="13"/>
      <c r="AF7" s="14"/>
      <c r="AG7" s="14"/>
      <c r="AH7" s="14"/>
      <c r="AI7" s="14"/>
      <c r="AJ7" s="15"/>
      <c r="AK7" s="16"/>
      <c r="AL7" s="13"/>
      <c r="AM7" s="14"/>
      <c r="AN7" s="14"/>
      <c r="AO7" s="14"/>
      <c r="AP7" s="14"/>
      <c r="AQ7" s="15"/>
      <c r="AR7" s="16"/>
      <c r="AS7" s="13"/>
      <c r="AT7" s="14"/>
      <c r="AU7" s="14"/>
      <c r="AV7" s="14"/>
      <c r="AW7" s="14"/>
      <c r="AX7" s="15"/>
      <c r="AY7" s="16"/>
      <c r="AZ7" s="13"/>
      <c r="BA7" s="14"/>
      <c r="BB7" s="14"/>
      <c r="BC7" s="14"/>
      <c r="BD7" s="14"/>
      <c r="BE7" s="15"/>
      <c r="BF7" s="16"/>
      <c r="BG7" s="13"/>
      <c r="BH7" s="14"/>
      <c r="BI7" s="14"/>
      <c r="BJ7" s="14"/>
      <c r="BK7" s="14"/>
      <c r="BL7" s="15"/>
      <c r="BM7" s="16"/>
      <c r="BN7" s="13"/>
      <c r="BO7" s="14"/>
      <c r="BP7" s="14"/>
      <c r="BQ7" s="14"/>
      <c r="BR7" s="14"/>
      <c r="BS7" s="15"/>
      <c r="BT7" s="16"/>
      <c r="BU7" s="13"/>
      <c r="BV7" s="14"/>
      <c r="BW7" s="14"/>
      <c r="BX7" s="14"/>
      <c r="BY7" s="14"/>
      <c r="BZ7" s="15"/>
      <c r="CA7" s="16"/>
      <c r="CB7" s="13"/>
      <c r="CC7" s="14"/>
      <c r="CD7" s="14"/>
      <c r="CE7" s="14"/>
      <c r="CF7" s="14"/>
      <c r="CG7" s="15"/>
      <c r="CH7" s="16"/>
      <c r="CI7" s="13"/>
      <c r="CJ7" s="14"/>
      <c r="CK7" s="14"/>
      <c r="CL7" s="14"/>
      <c r="CM7" s="14"/>
      <c r="CN7" s="15"/>
      <c r="CO7" s="16"/>
      <c r="CP7" s="13"/>
      <c r="CQ7" s="14"/>
      <c r="CR7" s="14"/>
      <c r="CS7" s="14"/>
      <c r="CT7" s="14"/>
      <c r="CU7" s="15"/>
      <c r="CV7" s="16"/>
      <c r="CW7" s="13"/>
      <c r="CX7" s="14"/>
      <c r="CY7" s="14"/>
      <c r="CZ7" s="14"/>
      <c r="DA7" s="14"/>
      <c r="DB7" s="15"/>
      <c r="DC7" s="16"/>
      <c r="DD7" s="13"/>
      <c r="DE7" s="14"/>
      <c r="DF7" s="14"/>
      <c r="DG7" s="14"/>
      <c r="DH7" s="14"/>
      <c r="DI7" s="15"/>
      <c r="DJ7" s="16"/>
      <c r="DK7" s="13"/>
      <c r="DL7" s="14"/>
      <c r="DM7" s="14"/>
      <c r="DN7" s="14"/>
      <c r="DO7" s="14"/>
      <c r="DP7" s="15"/>
      <c r="DQ7" s="16"/>
      <c r="DR7" s="13"/>
      <c r="DS7" s="14"/>
      <c r="DT7" s="14"/>
      <c r="DU7" s="14"/>
      <c r="DV7" s="14"/>
      <c r="DW7" s="15"/>
      <c r="DX7" s="16"/>
    </row>
    <row r="8" spans="1:128" s="17" customFormat="1" ht="9.6" customHeight="1">
      <c r="A8" s="552" t="str">
        <f>_xlfn.XLOOKUP(A25,'VTT actif'!F:F,'VTT actif'!AA:AA,"-",0)&amp;" &gt; "&amp;_xlfn.XLOOKUP(A25,'VTT actif'!F:F,'VTT actif'!AG:AG,"-",0)</f>
        <v>- &gt; -</v>
      </c>
      <c r="B8" s="18" t="s">
        <v>41</v>
      </c>
      <c r="C8" s="19">
        <v>7</v>
      </c>
      <c r="D8" s="20">
        <v>0</v>
      </c>
      <c r="E8" s="19">
        <v>7</v>
      </c>
      <c r="F8" s="296" t="s">
        <v>637</v>
      </c>
      <c r="G8" s="46" t="s">
        <v>638</v>
      </c>
      <c r="H8" s="46" t="s">
        <v>639</v>
      </c>
      <c r="I8" s="297" t="s">
        <v>640</v>
      </c>
      <c r="J8" s="13" t="str">
        <f t="shared" ref="J8:S16" si="4">IF(AND(J$5&gt;=$C8,J$5&lt;=$E8),1,"")</f>
        <v/>
      </c>
      <c r="K8" s="14" t="str">
        <f t="shared" si="4"/>
        <v/>
      </c>
      <c r="L8" s="14" t="str">
        <f t="shared" si="4"/>
        <v/>
      </c>
      <c r="M8" s="14" t="str">
        <f t="shared" si="4"/>
        <v/>
      </c>
      <c r="N8" s="14" t="str">
        <f t="shared" si="4"/>
        <v/>
      </c>
      <c r="O8" s="15" t="str">
        <f t="shared" si="4"/>
        <v/>
      </c>
      <c r="P8" s="16">
        <f t="shared" si="4"/>
        <v>1</v>
      </c>
      <c r="Q8" s="13" t="str">
        <f t="shared" si="4"/>
        <v/>
      </c>
      <c r="R8" s="14" t="str">
        <f t="shared" si="4"/>
        <v/>
      </c>
      <c r="S8" s="14" t="str">
        <f t="shared" si="4"/>
        <v/>
      </c>
      <c r="T8" s="14" t="str">
        <f t="shared" ref="T8:AC16" si="5">IF(AND(T$5&gt;=$C8,T$5&lt;=$E8),1,"")</f>
        <v/>
      </c>
      <c r="U8" s="14" t="str">
        <f t="shared" si="5"/>
        <v/>
      </c>
      <c r="V8" s="15" t="str">
        <f t="shared" si="5"/>
        <v/>
      </c>
      <c r="W8" s="16" t="str">
        <f t="shared" si="5"/>
        <v/>
      </c>
      <c r="X8" s="13" t="str">
        <f t="shared" si="5"/>
        <v/>
      </c>
      <c r="Y8" s="14" t="str">
        <f t="shared" si="5"/>
        <v/>
      </c>
      <c r="Z8" s="14" t="str">
        <f t="shared" si="5"/>
        <v/>
      </c>
      <c r="AA8" s="14" t="str">
        <f t="shared" si="5"/>
        <v/>
      </c>
      <c r="AB8" s="14" t="str">
        <f t="shared" si="5"/>
        <v/>
      </c>
      <c r="AC8" s="15" t="str">
        <f t="shared" si="5"/>
        <v/>
      </c>
      <c r="AD8" s="16" t="str">
        <f t="shared" ref="AD8:AM16" si="6">IF(AND(AD$5&gt;=$C8,AD$5&lt;=$E8),1,"")</f>
        <v/>
      </c>
      <c r="AE8" s="13" t="str">
        <f t="shared" si="6"/>
        <v/>
      </c>
      <c r="AF8" s="14" t="str">
        <f t="shared" si="6"/>
        <v/>
      </c>
      <c r="AG8" s="14" t="str">
        <f t="shared" si="6"/>
        <v/>
      </c>
      <c r="AH8" s="14" t="str">
        <f t="shared" si="6"/>
        <v/>
      </c>
      <c r="AI8" s="14" t="str">
        <f t="shared" si="6"/>
        <v/>
      </c>
      <c r="AJ8" s="15" t="str">
        <f t="shared" si="6"/>
        <v/>
      </c>
      <c r="AK8" s="16" t="str">
        <f t="shared" si="6"/>
        <v/>
      </c>
      <c r="AL8" s="13" t="str">
        <f t="shared" si="6"/>
        <v/>
      </c>
      <c r="AM8" s="14" t="str">
        <f t="shared" si="6"/>
        <v/>
      </c>
      <c r="AN8" s="14" t="str">
        <f t="shared" ref="AN8:AW16" si="7">IF(AND(AN$5&gt;=$C8,AN$5&lt;=$E8),1,"")</f>
        <v/>
      </c>
      <c r="AO8" s="14" t="str">
        <f t="shared" si="7"/>
        <v/>
      </c>
      <c r="AP8" s="14" t="str">
        <f t="shared" si="7"/>
        <v/>
      </c>
      <c r="AQ8" s="15" t="str">
        <f t="shared" si="7"/>
        <v/>
      </c>
      <c r="AR8" s="16" t="str">
        <f t="shared" si="7"/>
        <v/>
      </c>
      <c r="AS8" s="13" t="str">
        <f t="shared" si="7"/>
        <v/>
      </c>
      <c r="AT8" s="14" t="str">
        <f t="shared" si="7"/>
        <v/>
      </c>
      <c r="AU8" s="14" t="str">
        <f t="shared" si="7"/>
        <v/>
      </c>
      <c r="AV8" s="14" t="str">
        <f t="shared" si="7"/>
        <v/>
      </c>
      <c r="AW8" s="14" t="str">
        <f t="shared" si="7"/>
        <v/>
      </c>
      <c r="AX8" s="15" t="str">
        <f t="shared" ref="AX8:BG16" si="8">IF(AND(AX$5&gt;=$C8,AX$5&lt;=$E8),1,"")</f>
        <v/>
      </c>
      <c r="AY8" s="16" t="str">
        <f t="shared" si="8"/>
        <v/>
      </c>
      <c r="AZ8" s="13" t="str">
        <f t="shared" si="8"/>
        <v/>
      </c>
      <c r="BA8" s="14" t="str">
        <f t="shared" si="8"/>
        <v/>
      </c>
      <c r="BB8" s="14" t="str">
        <f t="shared" si="8"/>
        <v/>
      </c>
      <c r="BC8" s="14" t="str">
        <f t="shared" si="8"/>
        <v/>
      </c>
      <c r="BD8" s="14" t="str">
        <f t="shared" si="8"/>
        <v/>
      </c>
      <c r="BE8" s="15" t="str">
        <f t="shared" si="8"/>
        <v/>
      </c>
      <c r="BF8" s="16" t="str">
        <f t="shared" si="8"/>
        <v/>
      </c>
      <c r="BG8" s="13" t="str">
        <f t="shared" si="8"/>
        <v/>
      </c>
      <c r="BH8" s="14" t="str">
        <f t="shared" ref="BH8:BQ16" si="9">IF(AND(BH$5&gt;=$C8,BH$5&lt;=$E8),1,"")</f>
        <v/>
      </c>
      <c r="BI8" s="14" t="str">
        <f t="shared" si="9"/>
        <v/>
      </c>
      <c r="BJ8" s="14" t="str">
        <f t="shared" si="9"/>
        <v/>
      </c>
      <c r="BK8" s="14" t="str">
        <f t="shared" si="9"/>
        <v/>
      </c>
      <c r="BL8" s="15" t="str">
        <f t="shared" si="9"/>
        <v/>
      </c>
      <c r="BM8" s="16" t="str">
        <f t="shared" si="9"/>
        <v/>
      </c>
      <c r="BN8" s="13" t="str">
        <f t="shared" si="9"/>
        <v/>
      </c>
      <c r="BO8" s="14" t="str">
        <f t="shared" si="9"/>
        <v/>
      </c>
      <c r="BP8" s="14" t="str">
        <f t="shared" si="9"/>
        <v/>
      </c>
      <c r="BQ8" s="14" t="str">
        <f t="shared" si="9"/>
        <v/>
      </c>
      <c r="BR8" s="14" t="str">
        <f t="shared" ref="BR8:CA16" si="10">IF(AND(BR$5&gt;=$C8,BR$5&lt;=$E8),1,"")</f>
        <v/>
      </c>
      <c r="BS8" s="15" t="str">
        <f t="shared" si="10"/>
        <v/>
      </c>
      <c r="BT8" s="16" t="str">
        <f t="shared" si="10"/>
        <v/>
      </c>
      <c r="BU8" s="13" t="str">
        <f t="shared" si="10"/>
        <v/>
      </c>
      <c r="BV8" s="14" t="str">
        <f t="shared" si="10"/>
        <v/>
      </c>
      <c r="BW8" s="14" t="str">
        <f t="shared" si="10"/>
        <v/>
      </c>
      <c r="BX8" s="14" t="str">
        <f t="shared" si="10"/>
        <v/>
      </c>
      <c r="BY8" s="14" t="str">
        <f t="shared" si="10"/>
        <v/>
      </c>
      <c r="BZ8" s="15" t="str">
        <f t="shared" si="10"/>
        <v/>
      </c>
      <c r="CA8" s="16" t="str">
        <f t="shared" si="10"/>
        <v/>
      </c>
      <c r="CB8" s="13" t="str">
        <f t="shared" ref="CB8:CK16" si="11">IF(AND(CB$5&gt;=$C8,CB$5&lt;=$E8),1,"")</f>
        <v/>
      </c>
      <c r="CC8" s="14" t="str">
        <f t="shared" si="11"/>
        <v/>
      </c>
      <c r="CD8" s="14" t="str">
        <f t="shared" si="11"/>
        <v/>
      </c>
      <c r="CE8" s="14" t="str">
        <f t="shared" si="11"/>
        <v/>
      </c>
      <c r="CF8" s="14" t="str">
        <f t="shared" si="11"/>
        <v/>
      </c>
      <c r="CG8" s="15" t="str">
        <f t="shared" si="11"/>
        <v/>
      </c>
      <c r="CH8" s="16" t="str">
        <f t="shared" si="11"/>
        <v/>
      </c>
      <c r="CI8" s="13" t="str">
        <f t="shared" si="11"/>
        <v/>
      </c>
      <c r="CJ8" s="14" t="str">
        <f t="shared" si="11"/>
        <v/>
      </c>
      <c r="CK8" s="14" t="str">
        <f t="shared" si="11"/>
        <v/>
      </c>
      <c r="CL8" s="14" t="str">
        <f t="shared" ref="CL8:CU16" si="12">IF(AND(CL$5&gt;=$C8,CL$5&lt;=$E8),1,"")</f>
        <v/>
      </c>
      <c r="CM8" s="14" t="str">
        <f t="shared" si="12"/>
        <v/>
      </c>
      <c r="CN8" s="15" t="str">
        <f t="shared" si="12"/>
        <v/>
      </c>
      <c r="CO8" s="16" t="str">
        <f t="shared" si="12"/>
        <v/>
      </c>
      <c r="CP8" s="13" t="str">
        <f t="shared" si="12"/>
        <v/>
      </c>
      <c r="CQ8" s="14" t="str">
        <f t="shared" si="12"/>
        <v/>
      </c>
      <c r="CR8" s="14" t="str">
        <f t="shared" si="12"/>
        <v/>
      </c>
      <c r="CS8" s="14" t="str">
        <f t="shared" si="12"/>
        <v/>
      </c>
      <c r="CT8" s="14" t="str">
        <f t="shared" si="12"/>
        <v/>
      </c>
      <c r="CU8" s="15" t="str">
        <f t="shared" si="12"/>
        <v/>
      </c>
      <c r="CV8" s="16" t="str">
        <f t="shared" ref="CV8:DE16" si="13">IF(AND(CV$5&gt;=$C8,CV$5&lt;=$E8),1,"")</f>
        <v/>
      </c>
      <c r="CW8" s="13" t="str">
        <f t="shared" si="13"/>
        <v/>
      </c>
      <c r="CX8" s="14" t="str">
        <f t="shared" si="13"/>
        <v/>
      </c>
      <c r="CY8" s="14" t="str">
        <f t="shared" si="13"/>
        <v/>
      </c>
      <c r="CZ8" s="14" t="str">
        <f t="shared" si="13"/>
        <v/>
      </c>
      <c r="DA8" s="14" t="str">
        <f t="shared" si="13"/>
        <v/>
      </c>
      <c r="DB8" s="15" t="str">
        <f t="shared" si="13"/>
        <v/>
      </c>
      <c r="DC8" s="16" t="str">
        <f t="shared" si="13"/>
        <v/>
      </c>
      <c r="DD8" s="13" t="str">
        <f t="shared" si="13"/>
        <v/>
      </c>
      <c r="DE8" s="14" t="str">
        <f t="shared" si="13"/>
        <v/>
      </c>
      <c r="DF8" s="14" t="str">
        <f t="shared" ref="DF8:DO16" si="14">IF(AND(DF$5&gt;=$C8,DF$5&lt;=$E8),1,"")</f>
        <v/>
      </c>
      <c r="DG8" s="14" t="str">
        <f t="shared" si="14"/>
        <v/>
      </c>
      <c r="DH8" s="14" t="str">
        <f t="shared" si="14"/>
        <v/>
      </c>
      <c r="DI8" s="15" t="str">
        <f t="shared" si="14"/>
        <v/>
      </c>
      <c r="DJ8" s="16" t="str">
        <f t="shared" si="14"/>
        <v/>
      </c>
      <c r="DK8" s="13" t="str">
        <f t="shared" si="14"/>
        <v/>
      </c>
      <c r="DL8" s="14" t="str">
        <f t="shared" si="14"/>
        <v/>
      </c>
      <c r="DM8" s="14" t="str">
        <f t="shared" si="14"/>
        <v/>
      </c>
      <c r="DN8" s="14" t="str">
        <f t="shared" si="14"/>
        <v/>
      </c>
      <c r="DO8" s="14" t="str">
        <f t="shared" si="14"/>
        <v/>
      </c>
      <c r="DP8" s="15" t="str">
        <f t="shared" ref="DP8:DX16" si="15">IF(AND(DP$5&gt;=$C8,DP$5&lt;=$E8),1,"")</f>
        <v/>
      </c>
      <c r="DQ8" s="16" t="str">
        <f t="shared" si="15"/>
        <v/>
      </c>
      <c r="DR8" s="13" t="str">
        <f t="shared" si="15"/>
        <v/>
      </c>
      <c r="DS8" s="14" t="str">
        <f t="shared" si="15"/>
        <v/>
      </c>
      <c r="DT8" s="14" t="str">
        <f t="shared" si="15"/>
        <v/>
      </c>
      <c r="DU8" s="14" t="str">
        <f t="shared" si="15"/>
        <v/>
      </c>
      <c r="DV8" s="14" t="str">
        <f t="shared" si="15"/>
        <v/>
      </c>
      <c r="DW8" s="15" t="str">
        <f t="shared" si="15"/>
        <v/>
      </c>
      <c r="DX8" s="16" t="str">
        <f t="shared" si="15"/>
        <v/>
      </c>
    </row>
    <row r="9" spans="1:128" s="17" customFormat="1" ht="9.6" customHeight="1">
      <c r="A9" s="535"/>
      <c r="B9" s="18" t="str">
        <f>IF(B1="SFK Freight Forwarder","","Day ILN Order")</f>
        <v>Day ILN Order</v>
      </c>
      <c r="C9" s="19">
        <v>9</v>
      </c>
      <c r="D9" s="20">
        <v>0</v>
      </c>
      <c r="E9" s="19">
        <v>9</v>
      </c>
      <c r="F9" s="296" t="s">
        <v>641</v>
      </c>
      <c r="G9" s="46" t="s">
        <v>638</v>
      </c>
      <c r="H9" s="46" t="s">
        <v>639</v>
      </c>
      <c r="I9" s="621" t="s">
        <v>642</v>
      </c>
      <c r="J9" s="13" t="str">
        <f t="shared" si="4"/>
        <v/>
      </c>
      <c r="K9" s="14" t="str">
        <f t="shared" si="4"/>
        <v/>
      </c>
      <c r="L9" s="14" t="str">
        <f t="shared" si="4"/>
        <v/>
      </c>
      <c r="M9" s="14" t="str">
        <f t="shared" si="4"/>
        <v/>
      </c>
      <c r="N9" s="14" t="str">
        <f t="shared" si="4"/>
        <v/>
      </c>
      <c r="O9" s="15" t="str">
        <f t="shared" si="4"/>
        <v/>
      </c>
      <c r="P9" s="16" t="str">
        <f t="shared" si="4"/>
        <v/>
      </c>
      <c r="Q9" s="13" t="str">
        <f t="shared" si="4"/>
        <v/>
      </c>
      <c r="R9" s="14">
        <f t="shared" si="4"/>
        <v>1</v>
      </c>
      <c r="S9" s="14" t="str">
        <f t="shared" si="4"/>
        <v/>
      </c>
      <c r="T9" s="14" t="str">
        <f t="shared" si="5"/>
        <v/>
      </c>
      <c r="U9" s="14" t="str">
        <f t="shared" si="5"/>
        <v/>
      </c>
      <c r="V9" s="15" t="str">
        <f t="shared" si="5"/>
        <v/>
      </c>
      <c r="W9" s="16" t="str">
        <f t="shared" si="5"/>
        <v/>
      </c>
      <c r="X9" s="13" t="str">
        <f t="shared" si="5"/>
        <v/>
      </c>
      <c r="Y9" s="14" t="str">
        <f t="shared" si="5"/>
        <v/>
      </c>
      <c r="Z9" s="14" t="str">
        <f t="shared" si="5"/>
        <v/>
      </c>
      <c r="AA9" s="14" t="str">
        <f t="shared" si="5"/>
        <v/>
      </c>
      <c r="AB9" s="14" t="str">
        <f t="shared" si="5"/>
        <v/>
      </c>
      <c r="AC9" s="15" t="str">
        <f t="shared" si="5"/>
        <v/>
      </c>
      <c r="AD9" s="16" t="str">
        <f t="shared" si="6"/>
        <v/>
      </c>
      <c r="AE9" s="13" t="str">
        <f t="shared" si="6"/>
        <v/>
      </c>
      <c r="AF9" s="14" t="str">
        <f t="shared" si="6"/>
        <v/>
      </c>
      <c r="AG9" s="14" t="str">
        <f t="shared" si="6"/>
        <v/>
      </c>
      <c r="AH9" s="14" t="str">
        <f t="shared" si="6"/>
        <v/>
      </c>
      <c r="AI9" s="14" t="str">
        <f t="shared" si="6"/>
        <v/>
      </c>
      <c r="AJ9" s="15" t="str">
        <f t="shared" si="6"/>
        <v/>
      </c>
      <c r="AK9" s="16" t="str">
        <f t="shared" si="6"/>
        <v/>
      </c>
      <c r="AL9" s="13" t="str">
        <f t="shared" si="6"/>
        <v/>
      </c>
      <c r="AM9" s="14" t="str">
        <f t="shared" si="6"/>
        <v/>
      </c>
      <c r="AN9" s="14" t="str">
        <f t="shared" si="7"/>
        <v/>
      </c>
      <c r="AO9" s="14" t="str">
        <f t="shared" si="7"/>
        <v/>
      </c>
      <c r="AP9" s="14" t="str">
        <f t="shared" si="7"/>
        <v/>
      </c>
      <c r="AQ9" s="15" t="str">
        <f t="shared" si="7"/>
        <v/>
      </c>
      <c r="AR9" s="16" t="str">
        <f t="shared" si="7"/>
        <v/>
      </c>
      <c r="AS9" s="13" t="str">
        <f t="shared" si="7"/>
        <v/>
      </c>
      <c r="AT9" s="14" t="str">
        <f t="shared" si="7"/>
        <v/>
      </c>
      <c r="AU9" s="14" t="str">
        <f t="shared" si="7"/>
        <v/>
      </c>
      <c r="AV9" s="14" t="str">
        <f t="shared" si="7"/>
        <v/>
      </c>
      <c r="AW9" s="14" t="str">
        <f t="shared" si="7"/>
        <v/>
      </c>
      <c r="AX9" s="15" t="str">
        <f t="shared" si="8"/>
        <v/>
      </c>
      <c r="AY9" s="16" t="str">
        <f t="shared" si="8"/>
        <v/>
      </c>
      <c r="AZ9" s="13" t="str">
        <f t="shared" si="8"/>
        <v/>
      </c>
      <c r="BA9" s="14" t="str">
        <f t="shared" si="8"/>
        <v/>
      </c>
      <c r="BB9" s="14" t="str">
        <f t="shared" si="8"/>
        <v/>
      </c>
      <c r="BC9" s="14" t="str">
        <f t="shared" si="8"/>
        <v/>
      </c>
      <c r="BD9" s="14" t="str">
        <f t="shared" si="8"/>
        <v/>
      </c>
      <c r="BE9" s="15" t="str">
        <f t="shared" si="8"/>
        <v/>
      </c>
      <c r="BF9" s="16" t="str">
        <f t="shared" si="8"/>
        <v/>
      </c>
      <c r="BG9" s="13" t="str">
        <f t="shared" si="8"/>
        <v/>
      </c>
      <c r="BH9" s="14" t="str">
        <f t="shared" si="9"/>
        <v/>
      </c>
      <c r="BI9" s="14" t="str">
        <f t="shared" si="9"/>
        <v/>
      </c>
      <c r="BJ9" s="14" t="str">
        <f t="shared" si="9"/>
        <v/>
      </c>
      <c r="BK9" s="14" t="str">
        <f t="shared" si="9"/>
        <v/>
      </c>
      <c r="BL9" s="15" t="str">
        <f t="shared" si="9"/>
        <v/>
      </c>
      <c r="BM9" s="16" t="str">
        <f t="shared" si="9"/>
        <v/>
      </c>
      <c r="BN9" s="13" t="str">
        <f t="shared" si="9"/>
        <v/>
      </c>
      <c r="BO9" s="14" t="str">
        <f t="shared" si="9"/>
        <v/>
      </c>
      <c r="BP9" s="14" t="str">
        <f t="shared" si="9"/>
        <v/>
      </c>
      <c r="BQ9" s="14" t="str">
        <f t="shared" si="9"/>
        <v/>
      </c>
      <c r="BR9" s="14" t="str">
        <f t="shared" si="10"/>
        <v/>
      </c>
      <c r="BS9" s="15" t="str">
        <f t="shared" si="10"/>
        <v/>
      </c>
      <c r="BT9" s="16" t="str">
        <f t="shared" si="10"/>
        <v/>
      </c>
      <c r="BU9" s="13" t="str">
        <f t="shared" si="10"/>
        <v/>
      </c>
      <c r="BV9" s="14" t="str">
        <f t="shared" si="10"/>
        <v/>
      </c>
      <c r="BW9" s="14" t="str">
        <f t="shared" si="10"/>
        <v/>
      </c>
      <c r="BX9" s="14" t="str">
        <f t="shared" si="10"/>
        <v/>
      </c>
      <c r="BY9" s="14" t="str">
        <f t="shared" si="10"/>
        <v/>
      </c>
      <c r="BZ9" s="15" t="str">
        <f t="shared" si="10"/>
        <v/>
      </c>
      <c r="CA9" s="16" t="str">
        <f t="shared" si="10"/>
        <v/>
      </c>
      <c r="CB9" s="13" t="str">
        <f t="shared" si="11"/>
        <v/>
      </c>
      <c r="CC9" s="14" t="str">
        <f t="shared" si="11"/>
        <v/>
      </c>
      <c r="CD9" s="14" t="str">
        <f t="shared" si="11"/>
        <v/>
      </c>
      <c r="CE9" s="14" t="str">
        <f t="shared" si="11"/>
        <v/>
      </c>
      <c r="CF9" s="14" t="str">
        <f t="shared" si="11"/>
        <v/>
      </c>
      <c r="CG9" s="15" t="str">
        <f t="shared" si="11"/>
        <v/>
      </c>
      <c r="CH9" s="16" t="str">
        <f t="shared" si="11"/>
        <v/>
      </c>
      <c r="CI9" s="13" t="str">
        <f t="shared" si="11"/>
        <v/>
      </c>
      <c r="CJ9" s="14" t="str">
        <f t="shared" si="11"/>
        <v/>
      </c>
      <c r="CK9" s="14" t="str">
        <f t="shared" si="11"/>
        <v/>
      </c>
      <c r="CL9" s="14" t="str">
        <f t="shared" si="12"/>
        <v/>
      </c>
      <c r="CM9" s="14" t="str">
        <f t="shared" si="12"/>
        <v/>
      </c>
      <c r="CN9" s="15" t="str">
        <f t="shared" si="12"/>
        <v/>
      </c>
      <c r="CO9" s="16" t="str">
        <f t="shared" si="12"/>
        <v/>
      </c>
      <c r="CP9" s="13" t="str">
        <f t="shared" si="12"/>
        <v/>
      </c>
      <c r="CQ9" s="14" t="str">
        <f t="shared" si="12"/>
        <v/>
      </c>
      <c r="CR9" s="14" t="str">
        <f t="shared" si="12"/>
        <v/>
      </c>
      <c r="CS9" s="14" t="str">
        <f t="shared" si="12"/>
        <v/>
      </c>
      <c r="CT9" s="14" t="str">
        <f t="shared" si="12"/>
        <v/>
      </c>
      <c r="CU9" s="15" t="str">
        <f t="shared" si="12"/>
        <v/>
      </c>
      <c r="CV9" s="16" t="str">
        <f t="shared" si="13"/>
        <v/>
      </c>
      <c r="CW9" s="13" t="str">
        <f t="shared" si="13"/>
        <v/>
      </c>
      <c r="CX9" s="14" t="str">
        <f t="shared" si="13"/>
        <v/>
      </c>
      <c r="CY9" s="14" t="str">
        <f t="shared" si="13"/>
        <v/>
      </c>
      <c r="CZ9" s="14" t="str">
        <f t="shared" si="13"/>
        <v/>
      </c>
      <c r="DA9" s="14" t="str">
        <f t="shared" si="13"/>
        <v/>
      </c>
      <c r="DB9" s="15" t="str">
        <f t="shared" si="13"/>
        <v/>
      </c>
      <c r="DC9" s="16" t="str">
        <f t="shared" si="13"/>
        <v/>
      </c>
      <c r="DD9" s="13" t="str">
        <f t="shared" si="13"/>
        <v/>
      </c>
      <c r="DE9" s="14" t="str">
        <f t="shared" si="13"/>
        <v/>
      </c>
      <c r="DF9" s="14" t="str">
        <f t="shared" si="14"/>
        <v/>
      </c>
      <c r="DG9" s="14" t="str">
        <f t="shared" si="14"/>
        <v/>
      </c>
      <c r="DH9" s="14" t="str">
        <f t="shared" si="14"/>
        <v/>
      </c>
      <c r="DI9" s="15" t="str">
        <f t="shared" si="14"/>
        <v/>
      </c>
      <c r="DJ9" s="16" t="str">
        <f t="shared" si="14"/>
        <v/>
      </c>
      <c r="DK9" s="13" t="str">
        <f t="shared" si="14"/>
        <v/>
      </c>
      <c r="DL9" s="14" t="str">
        <f t="shared" si="14"/>
        <v/>
      </c>
      <c r="DM9" s="14" t="str">
        <f t="shared" si="14"/>
        <v/>
      </c>
      <c r="DN9" s="14" t="str">
        <f t="shared" si="14"/>
        <v/>
      </c>
      <c r="DO9" s="14" t="str">
        <f t="shared" si="14"/>
        <v/>
      </c>
      <c r="DP9" s="15" t="str">
        <f t="shared" si="15"/>
        <v/>
      </c>
      <c r="DQ9" s="16" t="str">
        <f t="shared" si="15"/>
        <v/>
      </c>
      <c r="DR9" s="13" t="str">
        <f t="shared" si="15"/>
        <v/>
      </c>
      <c r="DS9" s="14" t="str">
        <f t="shared" si="15"/>
        <v/>
      </c>
      <c r="DT9" s="14" t="str">
        <f t="shared" si="15"/>
        <v/>
      </c>
      <c r="DU9" s="14" t="str">
        <f t="shared" si="15"/>
        <v/>
      </c>
      <c r="DV9" s="14" t="str">
        <f t="shared" si="15"/>
        <v/>
      </c>
      <c r="DW9" s="15" t="str">
        <f t="shared" si="15"/>
        <v/>
      </c>
      <c r="DX9" s="16" t="str">
        <f t="shared" si="15"/>
        <v/>
      </c>
    </row>
    <row r="10" spans="1:128" s="17" customFormat="1" ht="9.6" customHeight="1">
      <c r="A10" s="535"/>
      <c r="B10" s="18" t="str">
        <f>IF(B1="SFK Freight Forwarder","","Time of recept in AILN")</f>
        <v>Time of recept in AILN</v>
      </c>
      <c r="C10" s="19">
        <v>15</v>
      </c>
      <c r="D10" s="19">
        <v>5</v>
      </c>
      <c r="E10" s="19">
        <v>19</v>
      </c>
      <c r="F10" s="296" t="s">
        <v>643</v>
      </c>
      <c r="G10" s="46" t="s">
        <v>644</v>
      </c>
      <c r="H10" s="46" t="s">
        <v>639</v>
      </c>
      <c r="I10" s="622"/>
      <c r="J10" s="13" t="str">
        <f t="shared" si="4"/>
        <v/>
      </c>
      <c r="K10" s="14" t="str">
        <f t="shared" si="4"/>
        <v/>
      </c>
      <c r="L10" s="14" t="str">
        <f t="shared" si="4"/>
        <v/>
      </c>
      <c r="M10" s="14" t="str">
        <f t="shared" si="4"/>
        <v/>
      </c>
      <c r="N10" s="14" t="str">
        <f t="shared" si="4"/>
        <v/>
      </c>
      <c r="O10" s="15" t="str">
        <f t="shared" si="4"/>
        <v/>
      </c>
      <c r="P10" s="16" t="str">
        <f t="shared" si="4"/>
        <v/>
      </c>
      <c r="Q10" s="13" t="str">
        <f t="shared" si="4"/>
        <v/>
      </c>
      <c r="R10" s="14" t="str">
        <f t="shared" si="4"/>
        <v/>
      </c>
      <c r="S10" s="14" t="str">
        <f t="shared" si="4"/>
        <v/>
      </c>
      <c r="T10" s="14" t="str">
        <f t="shared" si="5"/>
        <v/>
      </c>
      <c r="U10" s="14" t="str">
        <f t="shared" si="5"/>
        <v/>
      </c>
      <c r="V10" s="15" t="str">
        <f t="shared" si="5"/>
        <v/>
      </c>
      <c r="W10" s="16" t="str">
        <f t="shared" si="5"/>
        <v/>
      </c>
      <c r="X10" s="13">
        <f t="shared" si="5"/>
        <v>1</v>
      </c>
      <c r="Y10" s="14">
        <f t="shared" si="5"/>
        <v>1</v>
      </c>
      <c r="Z10" s="14">
        <f t="shared" si="5"/>
        <v>1</v>
      </c>
      <c r="AA10" s="14">
        <f t="shared" si="5"/>
        <v>1</v>
      </c>
      <c r="AB10" s="14">
        <f t="shared" si="5"/>
        <v>1</v>
      </c>
      <c r="AC10" s="15" t="str">
        <f t="shared" si="5"/>
        <v/>
      </c>
      <c r="AD10" s="16" t="str">
        <f t="shared" si="6"/>
        <v/>
      </c>
      <c r="AE10" s="13" t="str">
        <f t="shared" si="6"/>
        <v/>
      </c>
      <c r="AF10" s="14" t="str">
        <f t="shared" si="6"/>
        <v/>
      </c>
      <c r="AG10" s="14" t="str">
        <f t="shared" si="6"/>
        <v/>
      </c>
      <c r="AH10" s="14" t="str">
        <f t="shared" si="6"/>
        <v/>
      </c>
      <c r="AI10" s="14" t="str">
        <f t="shared" si="6"/>
        <v/>
      </c>
      <c r="AJ10" s="15" t="str">
        <f t="shared" si="6"/>
        <v/>
      </c>
      <c r="AK10" s="16" t="str">
        <f t="shared" si="6"/>
        <v/>
      </c>
      <c r="AL10" s="13" t="str">
        <f t="shared" si="6"/>
        <v/>
      </c>
      <c r="AM10" s="14" t="str">
        <f t="shared" si="6"/>
        <v/>
      </c>
      <c r="AN10" s="14" t="str">
        <f t="shared" si="7"/>
        <v/>
      </c>
      <c r="AO10" s="14" t="str">
        <f t="shared" si="7"/>
        <v/>
      </c>
      <c r="AP10" s="14" t="str">
        <f t="shared" si="7"/>
        <v/>
      </c>
      <c r="AQ10" s="15" t="str">
        <f t="shared" si="7"/>
        <v/>
      </c>
      <c r="AR10" s="16" t="str">
        <f t="shared" si="7"/>
        <v/>
      </c>
      <c r="AS10" s="13" t="str">
        <f t="shared" si="7"/>
        <v/>
      </c>
      <c r="AT10" s="14" t="str">
        <f t="shared" si="7"/>
        <v/>
      </c>
      <c r="AU10" s="14" t="str">
        <f t="shared" si="7"/>
        <v/>
      </c>
      <c r="AV10" s="14" t="str">
        <f t="shared" si="7"/>
        <v/>
      </c>
      <c r="AW10" s="14" t="str">
        <f t="shared" si="7"/>
        <v/>
      </c>
      <c r="AX10" s="15" t="str">
        <f t="shared" si="8"/>
        <v/>
      </c>
      <c r="AY10" s="16" t="str">
        <f t="shared" si="8"/>
        <v/>
      </c>
      <c r="AZ10" s="13" t="str">
        <f t="shared" si="8"/>
        <v/>
      </c>
      <c r="BA10" s="14" t="str">
        <f t="shared" si="8"/>
        <v/>
      </c>
      <c r="BB10" s="14" t="str">
        <f t="shared" si="8"/>
        <v/>
      </c>
      <c r="BC10" s="14" t="str">
        <f t="shared" si="8"/>
        <v/>
      </c>
      <c r="BD10" s="14" t="str">
        <f t="shared" si="8"/>
        <v/>
      </c>
      <c r="BE10" s="15" t="str">
        <f t="shared" si="8"/>
        <v/>
      </c>
      <c r="BF10" s="16" t="str">
        <f t="shared" si="8"/>
        <v/>
      </c>
      <c r="BG10" s="13" t="str">
        <f t="shared" si="8"/>
        <v/>
      </c>
      <c r="BH10" s="14" t="str">
        <f t="shared" si="9"/>
        <v/>
      </c>
      <c r="BI10" s="14" t="str">
        <f t="shared" si="9"/>
        <v/>
      </c>
      <c r="BJ10" s="14" t="str">
        <f t="shared" si="9"/>
        <v/>
      </c>
      <c r="BK10" s="14" t="str">
        <f t="shared" si="9"/>
        <v/>
      </c>
      <c r="BL10" s="15" t="str">
        <f t="shared" si="9"/>
        <v/>
      </c>
      <c r="BM10" s="16" t="str">
        <f t="shared" si="9"/>
        <v/>
      </c>
      <c r="BN10" s="13" t="str">
        <f t="shared" si="9"/>
        <v/>
      </c>
      <c r="BO10" s="14" t="str">
        <f t="shared" si="9"/>
        <v/>
      </c>
      <c r="BP10" s="14" t="str">
        <f t="shared" si="9"/>
        <v/>
      </c>
      <c r="BQ10" s="14" t="str">
        <f t="shared" si="9"/>
        <v/>
      </c>
      <c r="BR10" s="14" t="str">
        <f t="shared" si="10"/>
        <v/>
      </c>
      <c r="BS10" s="15" t="str">
        <f t="shared" si="10"/>
        <v/>
      </c>
      <c r="BT10" s="16" t="str">
        <f t="shared" si="10"/>
        <v/>
      </c>
      <c r="BU10" s="13" t="str">
        <f t="shared" si="10"/>
        <v/>
      </c>
      <c r="BV10" s="14" t="str">
        <f t="shared" si="10"/>
        <v/>
      </c>
      <c r="BW10" s="14" t="str">
        <f t="shared" si="10"/>
        <v/>
      </c>
      <c r="BX10" s="14" t="str">
        <f t="shared" si="10"/>
        <v/>
      </c>
      <c r="BY10" s="14" t="str">
        <f t="shared" si="10"/>
        <v/>
      </c>
      <c r="BZ10" s="15" t="str">
        <f t="shared" si="10"/>
        <v/>
      </c>
      <c r="CA10" s="16" t="str">
        <f t="shared" si="10"/>
        <v/>
      </c>
      <c r="CB10" s="13" t="str">
        <f t="shared" si="11"/>
        <v/>
      </c>
      <c r="CC10" s="14" t="str">
        <f t="shared" si="11"/>
        <v/>
      </c>
      <c r="CD10" s="14" t="str">
        <f t="shared" si="11"/>
        <v/>
      </c>
      <c r="CE10" s="14" t="str">
        <f t="shared" si="11"/>
        <v/>
      </c>
      <c r="CF10" s="14" t="str">
        <f t="shared" si="11"/>
        <v/>
      </c>
      <c r="CG10" s="15" t="str">
        <f t="shared" si="11"/>
        <v/>
      </c>
      <c r="CH10" s="16" t="str">
        <f t="shared" si="11"/>
        <v/>
      </c>
      <c r="CI10" s="13" t="str">
        <f t="shared" si="11"/>
        <v/>
      </c>
      <c r="CJ10" s="14" t="str">
        <f t="shared" si="11"/>
        <v/>
      </c>
      <c r="CK10" s="14" t="str">
        <f t="shared" si="11"/>
        <v/>
      </c>
      <c r="CL10" s="14" t="str">
        <f t="shared" si="12"/>
        <v/>
      </c>
      <c r="CM10" s="14" t="str">
        <f t="shared" si="12"/>
        <v/>
      </c>
      <c r="CN10" s="15" t="str">
        <f t="shared" si="12"/>
        <v/>
      </c>
      <c r="CO10" s="16" t="str">
        <f t="shared" si="12"/>
        <v/>
      </c>
      <c r="CP10" s="13" t="str">
        <f t="shared" si="12"/>
        <v/>
      </c>
      <c r="CQ10" s="14" t="str">
        <f t="shared" si="12"/>
        <v/>
      </c>
      <c r="CR10" s="14" t="str">
        <f t="shared" si="12"/>
        <v/>
      </c>
      <c r="CS10" s="14" t="str">
        <f t="shared" si="12"/>
        <v/>
      </c>
      <c r="CT10" s="14" t="str">
        <f t="shared" si="12"/>
        <v/>
      </c>
      <c r="CU10" s="15" t="str">
        <f t="shared" si="12"/>
        <v/>
      </c>
      <c r="CV10" s="16" t="str">
        <f t="shared" si="13"/>
        <v/>
      </c>
      <c r="CW10" s="13" t="str">
        <f t="shared" si="13"/>
        <v/>
      </c>
      <c r="CX10" s="14" t="str">
        <f t="shared" si="13"/>
        <v/>
      </c>
      <c r="CY10" s="14" t="str">
        <f t="shared" si="13"/>
        <v/>
      </c>
      <c r="CZ10" s="14" t="str">
        <f t="shared" si="13"/>
        <v/>
      </c>
      <c r="DA10" s="14" t="str">
        <f t="shared" si="13"/>
        <v/>
      </c>
      <c r="DB10" s="15" t="str">
        <f t="shared" si="13"/>
        <v/>
      </c>
      <c r="DC10" s="16" t="str">
        <f t="shared" si="13"/>
        <v/>
      </c>
      <c r="DD10" s="13" t="str">
        <f t="shared" si="13"/>
        <v/>
      </c>
      <c r="DE10" s="14" t="str">
        <f t="shared" si="13"/>
        <v/>
      </c>
      <c r="DF10" s="14" t="str">
        <f t="shared" si="14"/>
        <v/>
      </c>
      <c r="DG10" s="14" t="str">
        <f t="shared" si="14"/>
        <v/>
      </c>
      <c r="DH10" s="14" t="str">
        <f t="shared" si="14"/>
        <v/>
      </c>
      <c r="DI10" s="15" t="str">
        <f t="shared" si="14"/>
        <v/>
      </c>
      <c r="DJ10" s="16" t="str">
        <f t="shared" si="14"/>
        <v/>
      </c>
      <c r="DK10" s="13" t="str">
        <f t="shared" si="14"/>
        <v/>
      </c>
      <c r="DL10" s="14" t="str">
        <f t="shared" si="14"/>
        <v/>
      </c>
      <c r="DM10" s="14" t="str">
        <f t="shared" si="14"/>
        <v/>
      </c>
      <c r="DN10" s="14" t="str">
        <f t="shared" si="14"/>
        <v/>
      </c>
      <c r="DO10" s="14" t="str">
        <f t="shared" si="14"/>
        <v/>
      </c>
      <c r="DP10" s="15" t="str">
        <f t="shared" si="15"/>
        <v/>
      </c>
      <c r="DQ10" s="16" t="str">
        <f t="shared" si="15"/>
        <v/>
      </c>
      <c r="DR10" s="13" t="str">
        <f t="shared" si="15"/>
        <v/>
      </c>
      <c r="DS10" s="14" t="str">
        <f t="shared" si="15"/>
        <v/>
      </c>
      <c r="DT10" s="14" t="str">
        <f t="shared" si="15"/>
        <v/>
      </c>
      <c r="DU10" s="14" t="str">
        <f t="shared" si="15"/>
        <v/>
      </c>
      <c r="DV10" s="14" t="str">
        <f t="shared" si="15"/>
        <v/>
      </c>
      <c r="DW10" s="15" t="str">
        <f t="shared" si="15"/>
        <v/>
      </c>
      <c r="DX10" s="16" t="str">
        <f t="shared" si="15"/>
        <v/>
      </c>
    </row>
    <row r="11" spans="1:128" s="17" customFormat="1" ht="9.6" customHeight="1">
      <c r="A11" s="535"/>
      <c r="B11" s="18" t="s">
        <v>42</v>
      </c>
      <c r="C11" s="19">
        <v>16</v>
      </c>
      <c r="D11" s="19">
        <v>7</v>
      </c>
      <c r="E11" s="19">
        <v>22</v>
      </c>
      <c r="F11" s="298" t="s">
        <v>645</v>
      </c>
      <c r="G11" s="46" t="s">
        <v>644</v>
      </c>
      <c r="H11" s="46" t="s">
        <v>639</v>
      </c>
      <c r="I11" s="622"/>
      <c r="J11" s="13" t="str">
        <f t="shared" si="4"/>
        <v/>
      </c>
      <c r="K11" s="14" t="str">
        <f t="shared" si="4"/>
        <v/>
      </c>
      <c r="L11" s="14" t="str">
        <f t="shared" si="4"/>
        <v/>
      </c>
      <c r="M11" s="14" t="str">
        <f t="shared" si="4"/>
        <v/>
      </c>
      <c r="N11" s="14" t="str">
        <f t="shared" si="4"/>
        <v/>
      </c>
      <c r="O11" s="15" t="str">
        <f t="shared" si="4"/>
        <v/>
      </c>
      <c r="P11" s="16" t="str">
        <f t="shared" si="4"/>
        <v/>
      </c>
      <c r="Q11" s="13" t="str">
        <f t="shared" si="4"/>
        <v/>
      </c>
      <c r="R11" s="14" t="str">
        <f t="shared" si="4"/>
        <v/>
      </c>
      <c r="S11" s="14" t="str">
        <f t="shared" si="4"/>
        <v/>
      </c>
      <c r="T11" s="14" t="str">
        <f t="shared" si="5"/>
        <v/>
      </c>
      <c r="U11" s="14" t="str">
        <f t="shared" si="5"/>
        <v/>
      </c>
      <c r="V11" s="15" t="str">
        <f t="shared" si="5"/>
        <v/>
      </c>
      <c r="W11" s="16" t="str">
        <f t="shared" si="5"/>
        <v/>
      </c>
      <c r="X11" s="13" t="str">
        <f t="shared" si="5"/>
        <v/>
      </c>
      <c r="Y11" s="14">
        <f t="shared" si="5"/>
        <v>1</v>
      </c>
      <c r="Z11" s="14">
        <f t="shared" si="5"/>
        <v>1</v>
      </c>
      <c r="AA11" s="14">
        <f t="shared" si="5"/>
        <v>1</v>
      </c>
      <c r="AB11" s="14">
        <f t="shared" si="5"/>
        <v>1</v>
      </c>
      <c r="AC11" s="15">
        <f t="shared" si="5"/>
        <v>1</v>
      </c>
      <c r="AD11" s="16">
        <f t="shared" si="6"/>
        <v>1</v>
      </c>
      <c r="AE11" s="13">
        <f t="shared" si="6"/>
        <v>1</v>
      </c>
      <c r="AF11" s="14" t="str">
        <f t="shared" si="6"/>
        <v/>
      </c>
      <c r="AG11" s="14" t="str">
        <f t="shared" si="6"/>
        <v/>
      </c>
      <c r="AH11" s="14" t="str">
        <f t="shared" si="6"/>
        <v/>
      </c>
      <c r="AI11" s="14" t="str">
        <f t="shared" si="6"/>
        <v/>
      </c>
      <c r="AJ11" s="15" t="str">
        <f t="shared" si="6"/>
        <v/>
      </c>
      <c r="AK11" s="16" t="str">
        <f t="shared" si="6"/>
        <v/>
      </c>
      <c r="AL11" s="13" t="str">
        <f t="shared" si="6"/>
        <v/>
      </c>
      <c r="AM11" s="14" t="str">
        <f t="shared" si="6"/>
        <v/>
      </c>
      <c r="AN11" s="14" t="str">
        <f t="shared" si="7"/>
        <v/>
      </c>
      <c r="AO11" s="14" t="str">
        <f t="shared" si="7"/>
        <v/>
      </c>
      <c r="AP11" s="14" t="str">
        <f t="shared" si="7"/>
        <v/>
      </c>
      <c r="AQ11" s="15" t="str">
        <f t="shared" si="7"/>
        <v/>
      </c>
      <c r="AR11" s="16" t="str">
        <f t="shared" si="7"/>
        <v/>
      </c>
      <c r="AS11" s="13" t="str">
        <f t="shared" si="7"/>
        <v/>
      </c>
      <c r="AT11" s="14" t="str">
        <f t="shared" si="7"/>
        <v/>
      </c>
      <c r="AU11" s="14" t="str">
        <f t="shared" si="7"/>
        <v/>
      </c>
      <c r="AV11" s="14" t="str">
        <f t="shared" si="7"/>
        <v/>
      </c>
      <c r="AW11" s="14" t="str">
        <f t="shared" si="7"/>
        <v/>
      </c>
      <c r="AX11" s="15" t="str">
        <f t="shared" si="8"/>
        <v/>
      </c>
      <c r="AY11" s="16" t="str">
        <f t="shared" si="8"/>
        <v/>
      </c>
      <c r="AZ11" s="13" t="str">
        <f t="shared" si="8"/>
        <v/>
      </c>
      <c r="BA11" s="14" t="str">
        <f t="shared" si="8"/>
        <v/>
      </c>
      <c r="BB11" s="14" t="str">
        <f t="shared" si="8"/>
        <v/>
      </c>
      <c r="BC11" s="14" t="str">
        <f t="shared" si="8"/>
        <v/>
      </c>
      <c r="BD11" s="14" t="str">
        <f t="shared" si="8"/>
        <v/>
      </c>
      <c r="BE11" s="15" t="str">
        <f t="shared" si="8"/>
        <v/>
      </c>
      <c r="BF11" s="16" t="str">
        <f t="shared" si="8"/>
        <v/>
      </c>
      <c r="BG11" s="13" t="str">
        <f t="shared" si="8"/>
        <v/>
      </c>
      <c r="BH11" s="14" t="str">
        <f t="shared" si="9"/>
        <v/>
      </c>
      <c r="BI11" s="14" t="str">
        <f t="shared" si="9"/>
        <v/>
      </c>
      <c r="BJ11" s="14" t="str">
        <f t="shared" si="9"/>
        <v/>
      </c>
      <c r="BK11" s="14" t="str">
        <f t="shared" si="9"/>
        <v/>
      </c>
      <c r="BL11" s="15" t="str">
        <f t="shared" si="9"/>
        <v/>
      </c>
      <c r="BM11" s="16" t="str">
        <f t="shared" si="9"/>
        <v/>
      </c>
      <c r="BN11" s="13" t="str">
        <f t="shared" si="9"/>
        <v/>
      </c>
      <c r="BO11" s="14" t="str">
        <f t="shared" si="9"/>
        <v/>
      </c>
      <c r="BP11" s="14" t="str">
        <f t="shared" si="9"/>
        <v/>
      </c>
      <c r="BQ11" s="14" t="str">
        <f t="shared" si="9"/>
        <v/>
      </c>
      <c r="BR11" s="14" t="str">
        <f t="shared" si="10"/>
        <v/>
      </c>
      <c r="BS11" s="15" t="str">
        <f t="shared" si="10"/>
        <v/>
      </c>
      <c r="BT11" s="16" t="str">
        <f t="shared" si="10"/>
        <v/>
      </c>
      <c r="BU11" s="13" t="str">
        <f t="shared" si="10"/>
        <v/>
      </c>
      <c r="BV11" s="14" t="str">
        <f t="shared" si="10"/>
        <v/>
      </c>
      <c r="BW11" s="14" t="str">
        <f t="shared" si="10"/>
        <v/>
      </c>
      <c r="BX11" s="14" t="str">
        <f t="shared" si="10"/>
        <v/>
      </c>
      <c r="BY11" s="14" t="str">
        <f t="shared" si="10"/>
        <v/>
      </c>
      <c r="BZ11" s="15" t="str">
        <f t="shared" si="10"/>
        <v/>
      </c>
      <c r="CA11" s="16" t="str">
        <f t="shared" si="10"/>
        <v/>
      </c>
      <c r="CB11" s="13" t="str">
        <f t="shared" si="11"/>
        <v/>
      </c>
      <c r="CC11" s="14" t="str">
        <f t="shared" si="11"/>
        <v/>
      </c>
      <c r="CD11" s="14" t="str">
        <f t="shared" si="11"/>
        <v/>
      </c>
      <c r="CE11" s="14" t="str">
        <f t="shared" si="11"/>
        <v/>
      </c>
      <c r="CF11" s="14" t="str">
        <f t="shared" si="11"/>
        <v/>
      </c>
      <c r="CG11" s="15" t="str">
        <f t="shared" si="11"/>
        <v/>
      </c>
      <c r="CH11" s="16" t="str">
        <f t="shared" si="11"/>
        <v/>
      </c>
      <c r="CI11" s="13" t="str">
        <f t="shared" si="11"/>
        <v/>
      </c>
      <c r="CJ11" s="14" t="str">
        <f t="shared" si="11"/>
        <v/>
      </c>
      <c r="CK11" s="14" t="str">
        <f t="shared" si="11"/>
        <v/>
      </c>
      <c r="CL11" s="14" t="str">
        <f t="shared" si="12"/>
        <v/>
      </c>
      <c r="CM11" s="14" t="str">
        <f t="shared" si="12"/>
        <v/>
      </c>
      <c r="CN11" s="15" t="str">
        <f t="shared" si="12"/>
        <v/>
      </c>
      <c r="CO11" s="16" t="str">
        <f t="shared" si="12"/>
        <v/>
      </c>
      <c r="CP11" s="13" t="str">
        <f t="shared" si="12"/>
        <v/>
      </c>
      <c r="CQ11" s="14" t="str">
        <f t="shared" si="12"/>
        <v/>
      </c>
      <c r="CR11" s="14" t="str">
        <f t="shared" si="12"/>
        <v/>
      </c>
      <c r="CS11" s="14" t="str">
        <f t="shared" si="12"/>
        <v/>
      </c>
      <c r="CT11" s="14" t="str">
        <f t="shared" si="12"/>
        <v/>
      </c>
      <c r="CU11" s="15" t="str">
        <f t="shared" si="12"/>
        <v/>
      </c>
      <c r="CV11" s="16" t="str">
        <f t="shared" si="13"/>
        <v/>
      </c>
      <c r="CW11" s="13" t="str">
        <f t="shared" si="13"/>
        <v/>
      </c>
      <c r="CX11" s="14" t="str">
        <f t="shared" si="13"/>
        <v/>
      </c>
      <c r="CY11" s="14" t="str">
        <f t="shared" si="13"/>
        <v/>
      </c>
      <c r="CZ11" s="14" t="str">
        <f t="shared" si="13"/>
        <v/>
      </c>
      <c r="DA11" s="14" t="str">
        <f t="shared" si="13"/>
        <v/>
      </c>
      <c r="DB11" s="15" t="str">
        <f t="shared" si="13"/>
        <v/>
      </c>
      <c r="DC11" s="16" t="str">
        <f t="shared" si="13"/>
        <v/>
      </c>
      <c r="DD11" s="13" t="str">
        <f t="shared" si="13"/>
        <v/>
      </c>
      <c r="DE11" s="14" t="str">
        <f t="shared" si="13"/>
        <v/>
      </c>
      <c r="DF11" s="14" t="str">
        <f t="shared" si="14"/>
        <v/>
      </c>
      <c r="DG11" s="14" t="str">
        <f t="shared" si="14"/>
        <v/>
      </c>
      <c r="DH11" s="14" t="str">
        <f t="shared" si="14"/>
        <v/>
      </c>
      <c r="DI11" s="15" t="str">
        <f t="shared" si="14"/>
        <v/>
      </c>
      <c r="DJ11" s="16" t="str">
        <f t="shared" si="14"/>
        <v/>
      </c>
      <c r="DK11" s="13" t="str">
        <f t="shared" si="14"/>
        <v/>
      </c>
      <c r="DL11" s="14" t="str">
        <f t="shared" si="14"/>
        <v/>
      </c>
      <c r="DM11" s="14" t="str">
        <f t="shared" si="14"/>
        <v/>
      </c>
      <c r="DN11" s="14" t="str">
        <f t="shared" si="14"/>
        <v/>
      </c>
      <c r="DO11" s="14" t="str">
        <f t="shared" si="14"/>
        <v/>
      </c>
      <c r="DP11" s="15" t="str">
        <f t="shared" si="15"/>
        <v/>
      </c>
      <c r="DQ11" s="16" t="str">
        <f t="shared" si="15"/>
        <v/>
      </c>
      <c r="DR11" s="13" t="str">
        <f t="shared" si="15"/>
        <v/>
      </c>
      <c r="DS11" s="14" t="str">
        <f t="shared" si="15"/>
        <v/>
      </c>
      <c r="DT11" s="14" t="str">
        <f t="shared" si="15"/>
        <v/>
      </c>
      <c r="DU11" s="14" t="str">
        <f t="shared" si="15"/>
        <v/>
      </c>
      <c r="DV11" s="14" t="str">
        <f t="shared" si="15"/>
        <v/>
      </c>
      <c r="DW11" s="15" t="str">
        <f t="shared" si="15"/>
        <v/>
      </c>
      <c r="DX11" s="16" t="str">
        <f t="shared" si="15"/>
        <v/>
      </c>
    </row>
    <row r="12" spans="1:128" s="17" customFormat="1" ht="9.6" customHeight="1">
      <c r="A12" s="535"/>
      <c r="B12" s="18" t="s">
        <v>43</v>
      </c>
      <c r="C12" s="19">
        <v>23</v>
      </c>
      <c r="D12" s="19">
        <v>4</v>
      </c>
      <c r="E12" s="21">
        <v>26</v>
      </c>
      <c r="F12" s="299" t="s">
        <v>638</v>
      </c>
      <c r="G12" s="46" t="s">
        <v>644</v>
      </c>
      <c r="H12" s="46" t="s">
        <v>639</v>
      </c>
      <c r="I12" s="622"/>
      <c r="J12" s="13" t="str">
        <f t="shared" si="4"/>
        <v/>
      </c>
      <c r="K12" s="14" t="str">
        <f t="shared" si="4"/>
        <v/>
      </c>
      <c r="L12" s="14" t="str">
        <f t="shared" si="4"/>
        <v/>
      </c>
      <c r="M12" s="14" t="str">
        <f t="shared" si="4"/>
        <v/>
      </c>
      <c r="N12" s="14" t="str">
        <f t="shared" si="4"/>
        <v/>
      </c>
      <c r="O12" s="15" t="str">
        <f t="shared" si="4"/>
        <v/>
      </c>
      <c r="P12" s="16" t="str">
        <f t="shared" si="4"/>
        <v/>
      </c>
      <c r="Q12" s="13" t="str">
        <f t="shared" si="4"/>
        <v/>
      </c>
      <c r="R12" s="14" t="str">
        <f t="shared" si="4"/>
        <v/>
      </c>
      <c r="S12" s="14" t="str">
        <f t="shared" si="4"/>
        <v/>
      </c>
      <c r="T12" s="14" t="str">
        <f t="shared" si="5"/>
        <v/>
      </c>
      <c r="U12" s="14" t="str">
        <f t="shared" si="5"/>
        <v/>
      </c>
      <c r="V12" s="15" t="str">
        <f t="shared" si="5"/>
        <v/>
      </c>
      <c r="W12" s="16" t="str">
        <f t="shared" si="5"/>
        <v/>
      </c>
      <c r="X12" s="13" t="str">
        <f t="shared" si="5"/>
        <v/>
      </c>
      <c r="Y12" s="14" t="str">
        <f t="shared" si="5"/>
        <v/>
      </c>
      <c r="Z12" s="14" t="str">
        <f t="shared" si="5"/>
        <v/>
      </c>
      <c r="AA12" s="14" t="str">
        <f t="shared" si="5"/>
        <v/>
      </c>
      <c r="AB12" s="14" t="str">
        <f t="shared" si="5"/>
        <v/>
      </c>
      <c r="AC12" s="15" t="str">
        <f t="shared" si="5"/>
        <v/>
      </c>
      <c r="AD12" s="16" t="str">
        <f t="shared" si="6"/>
        <v/>
      </c>
      <c r="AE12" s="13" t="str">
        <f t="shared" si="6"/>
        <v/>
      </c>
      <c r="AF12" s="14">
        <f t="shared" si="6"/>
        <v>1</v>
      </c>
      <c r="AG12" s="14">
        <f t="shared" si="6"/>
        <v>1</v>
      </c>
      <c r="AH12" s="14">
        <f t="shared" si="6"/>
        <v>1</v>
      </c>
      <c r="AI12" s="14">
        <f t="shared" si="6"/>
        <v>1</v>
      </c>
      <c r="AJ12" s="15" t="str">
        <f t="shared" si="6"/>
        <v/>
      </c>
      <c r="AK12" s="16" t="str">
        <f t="shared" si="6"/>
        <v/>
      </c>
      <c r="AL12" s="13" t="str">
        <f t="shared" si="6"/>
        <v/>
      </c>
      <c r="AM12" s="14" t="str">
        <f t="shared" si="6"/>
        <v/>
      </c>
      <c r="AN12" s="14" t="str">
        <f t="shared" si="7"/>
        <v/>
      </c>
      <c r="AO12" s="14" t="str">
        <f t="shared" si="7"/>
        <v/>
      </c>
      <c r="AP12" s="14" t="str">
        <f t="shared" si="7"/>
        <v/>
      </c>
      <c r="AQ12" s="15" t="str">
        <f t="shared" si="7"/>
        <v/>
      </c>
      <c r="AR12" s="16" t="str">
        <f t="shared" si="7"/>
        <v/>
      </c>
      <c r="AS12" s="13" t="str">
        <f t="shared" si="7"/>
        <v/>
      </c>
      <c r="AT12" s="14" t="str">
        <f t="shared" si="7"/>
        <v/>
      </c>
      <c r="AU12" s="14" t="str">
        <f t="shared" si="7"/>
        <v/>
      </c>
      <c r="AV12" s="14" t="str">
        <f t="shared" si="7"/>
        <v/>
      </c>
      <c r="AW12" s="14" t="str">
        <f t="shared" si="7"/>
        <v/>
      </c>
      <c r="AX12" s="15" t="str">
        <f t="shared" si="8"/>
        <v/>
      </c>
      <c r="AY12" s="16" t="str">
        <f t="shared" si="8"/>
        <v/>
      </c>
      <c r="AZ12" s="13" t="str">
        <f t="shared" si="8"/>
        <v/>
      </c>
      <c r="BA12" s="14" t="str">
        <f t="shared" si="8"/>
        <v/>
      </c>
      <c r="BB12" s="14" t="str">
        <f t="shared" si="8"/>
        <v/>
      </c>
      <c r="BC12" s="14" t="str">
        <f t="shared" si="8"/>
        <v/>
      </c>
      <c r="BD12" s="14" t="str">
        <f t="shared" si="8"/>
        <v/>
      </c>
      <c r="BE12" s="15" t="str">
        <f t="shared" si="8"/>
        <v/>
      </c>
      <c r="BF12" s="16" t="str">
        <f t="shared" si="8"/>
        <v/>
      </c>
      <c r="BG12" s="13" t="str">
        <f t="shared" si="8"/>
        <v/>
      </c>
      <c r="BH12" s="14" t="str">
        <f t="shared" si="9"/>
        <v/>
      </c>
      <c r="BI12" s="14" t="str">
        <f t="shared" si="9"/>
        <v/>
      </c>
      <c r="BJ12" s="14" t="str">
        <f t="shared" si="9"/>
        <v/>
      </c>
      <c r="BK12" s="14" t="str">
        <f t="shared" si="9"/>
        <v/>
      </c>
      <c r="BL12" s="15" t="str">
        <f t="shared" si="9"/>
        <v/>
      </c>
      <c r="BM12" s="16" t="str">
        <f t="shared" si="9"/>
        <v/>
      </c>
      <c r="BN12" s="13" t="str">
        <f t="shared" si="9"/>
        <v/>
      </c>
      <c r="BO12" s="14" t="str">
        <f t="shared" si="9"/>
        <v/>
      </c>
      <c r="BP12" s="14" t="str">
        <f t="shared" si="9"/>
        <v/>
      </c>
      <c r="BQ12" s="14" t="str">
        <f t="shared" si="9"/>
        <v/>
      </c>
      <c r="BR12" s="14" t="str">
        <f t="shared" si="10"/>
        <v/>
      </c>
      <c r="BS12" s="15" t="str">
        <f t="shared" si="10"/>
        <v/>
      </c>
      <c r="BT12" s="16" t="str">
        <f t="shared" si="10"/>
        <v/>
      </c>
      <c r="BU12" s="13" t="str">
        <f t="shared" si="10"/>
        <v/>
      </c>
      <c r="BV12" s="14" t="str">
        <f t="shared" si="10"/>
        <v/>
      </c>
      <c r="BW12" s="14" t="str">
        <f t="shared" si="10"/>
        <v/>
      </c>
      <c r="BX12" s="14" t="str">
        <f t="shared" si="10"/>
        <v/>
      </c>
      <c r="BY12" s="14" t="str">
        <f t="shared" si="10"/>
        <v/>
      </c>
      <c r="BZ12" s="15" t="str">
        <f t="shared" si="10"/>
        <v/>
      </c>
      <c r="CA12" s="16" t="str">
        <f t="shared" si="10"/>
        <v/>
      </c>
      <c r="CB12" s="13" t="str">
        <f t="shared" si="11"/>
        <v/>
      </c>
      <c r="CC12" s="14" t="str">
        <f t="shared" si="11"/>
        <v/>
      </c>
      <c r="CD12" s="14" t="str">
        <f t="shared" si="11"/>
        <v/>
      </c>
      <c r="CE12" s="14" t="str">
        <f t="shared" si="11"/>
        <v/>
      </c>
      <c r="CF12" s="14" t="str">
        <f t="shared" si="11"/>
        <v/>
      </c>
      <c r="CG12" s="15" t="str">
        <f t="shared" si="11"/>
        <v/>
      </c>
      <c r="CH12" s="16" t="str">
        <f t="shared" si="11"/>
        <v/>
      </c>
      <c r="CI12" s="13" t="str">
        <f t="shared" si="11"/>
        <v/>
      </c>
      <c r="CJ12" s="14" t="str">
        <f t="shared" si="11"/>
        <v/>
      </c>
      <c r="CK12" s="14" t="str">
        <f t="shared" si="11"/>
        <v/>
      </c>
      <c r="CL12" s="14" t="str">
        <f t="shared" si="12"/>
        <v/>
      </c>
      <c r="CM12" s="14" t="str">
        <f t="shared" si="12"/>
        <v/>
      </c>
      <c r="CN12" s="15" t="str">
        <f t="shared" si="12"/>
        <v/>
      </c>
      <c r="CO12" s="16" t="str">
        <f t="shared" si="12"/>
        <v/>
      </c>
      <c r="CP12" s="13" t="str">
        <f t="shared" si="12"/>
        <v/>
      </c>
      <c r="CQ12" s="14" t="str">
        <f t="shared" si="12"/>
        <v/>
      </c>
      <c r="CR12" s="14" t="str">
        <f t="shared" si="12"/>
        <v/>
      </c>
      <c r="CS12" s="14" t="str">
        <f t="shared" si="12"/>
        <v/>
      </c>
      <c r="CT12" s="14" t="str">
        <f t="shared" si="12"/>
        <v/>
      </c>
      <c r="CU12" s="15" t="str">
        <f t="shared" si="12"/>
        <v/>
      </c>
      <c r="CV12" s="16" t="str">
        <f t="shared" si="13"/>
        <v/>
      </c>
      <c r="CW12" s="13" t="str">
        <f t="shared" si="13"/>
        <v/>
      </c>
      <c r="CX12" s="14" t="str">
        <f t="shared" si="13"/>
        <v/>
      </c>
      <c r="CY12" s="14" t="str">
        <f t="shared" si="13"/>
        <v/>
      </c>
      <c r="CZ12" s="14" t="str">
        <f t="shared" si="13"/>
        <v/>
      </c>
      <c r="DA12" s="14" t="str">
        <f t="shared" si="13"/>
        <v/>
      </c>
      <c r="DB12" s="15" t="str">
        <f t="shared" si="13"/>
        <v/>
      </c>
      <c r="DC12" s="16" t="str">
        <f t="shared" si="13"/>
        <v/>
      </c>
      <c r="DD12" s="13" t="str">
        <f t="shared" si="13"/>
        <v/>
      </c>
      <c r="DE12" s="14" t="str">
        <f t="shared" si="13"/>
        <v/>
      </c>
      <c r="DF12" s="14" t="str">
        <f t="shared" si="14"/>
        <v/>
      </c>
      <c r="DG12" s="14" t="str">
        <f t="shared" si="14"/>
        <v/>
      </c>
      <c r="DH12" s="14" t="str">
        <f t="shared" si="14"/>
        <v/>
      </c>
      <c r="DI12" s="15" t="str">
        <f t="shared" si="14"/>
        <v/>
      </c>
      <c r="DJ12" s="16" t="str">
        <f t="shared" si="14"/>
        <v/>
      </c>
      <c r="DK12" s="13" t="str">
        <f t="shared" si="14"/>
        <v/>
      </c>
      <c r="DL12" s="14" t="str">
        <f t="shared" si="14"/>
        <v/>
      </c>
      <c r="DM12" s="14" t="str">
        <f t="shared" si="14"/>
        <v/>
      </c>
      <c r="DN12" s="14" t="str">
        <f t="shared" si="14"/>
        <v/>
      </c>
      <c r="DO12" s="14" t="str">
        <f t="shared" si="14"/>
        <v/>
      </c>
      <c r="DP12" s="15" t="str">
        <f t="shared" si="15"/>
        <v/>
      </c>
      <c r="DQ12" s="16" t="str">
        <f t="shared" si="15"/>
        <v/>
      </c>
      <c r="DR12" s="13" t="str">
        <f t="shared" si="15"/>
        <v/>
      </c>
      <c r="DS12" s="14" t="str">
        <f t="shared" si="15"/>
        <v/>
      </c>
      <c r="DT12" s="14" t="str">
        <f t="shared" si="15"/>
        <v/>
      </c>
      <c r="DU12" s="14" t="str">
        <f t="shared" si="15"/>
        <v/>
      </c>
      <c r="DV12" s="14" t="str">
        <f t="shared" si="15"/>
        <v/>
      </c>
      <c r="DW12" s="15" t="str">
        <f t="shared" si="15"/>
        <v/>
      </c>
      <c r="DX12" s="16" t="str">
        <f t="shared" si="15"/>
        <v/>
      </c>
    </row>
    <row r="13" spans="1:128" s="17" customFormat="1" ht="9.6" customHeight="1">
      <c r="A13" s="535"/>
      <c r="B13" s="22" t="s">
        <v>44</v>
      </c>
      <c r="C13" s="19">
        <v>26</v>
      </c>
      <c r="D13" s="20">
        <v>0</v>
      </c>
      <c r="E13" s="19">
        <v>26</v>
      </c>
      <c r="F13" s="296" t="s">
        <v>643</v>
      </c>
      <c r="G13" s="46" t="s">
        <v>644</v>
      </c>
      <c r="H13" s="46" t="s">
        <v>639</v>
      </c>
      <c r="I13" s="622"/>
      <c r="J13" s="13" t="str">
        <f t="shared" si="4"/>
        <v/>
      </c>
      <c r="K13" s="14" t="str">
        <f t="shared" si="4"/>
        <v/>
      </c>
      <c r="L13" s="14" t="str">
        <f t="shared" si="4"/>
        <v/>
      </c>
      <c r="M13" s="14" t="str">
        <f t="shared" si="4"/>
        <v/>
      </c>
      <c r="N13" s="14" t="str">
        <f t="shared" si="4"/>
        <v/>
      </c>
      <c r="O13" s="15" t="str">
        <f t="shared" si="4"/>
        <v/>
      </c>
      <c r="P13" s="16" t="str">
        <f t="shared" si="4"/>
        <v/>
      </c>
      <c r="Q13" s="13" t="str">
        <f t="shared" si="4"/>
        <v/>
      </c>
      <c r="R13" s="14" t="str">
        <f t="shared" si="4"/>
        <v/>
      </c>
      <c r="S13" s="14" t="str">
        <f t="shared" si="4"/>
        <v/>
      </c>
      <c r="T13" s="14" t="str">
        <f t="shared" si="5"/>
        <v/>
      </c>
      <c r="U13" s="14" t="str">
        <f t="shared" si="5"/>
        <v/>
      </c>
      <c r="V13" s="15" t="str">
        <f t="shared" si="5"/>
        <v/>
      </c>
      <c r="W13" s="16" t="str">
        <f t="shared" si="5"/>
        <v/>
      </c>
      <c r="X13" s="13" t="str">
        <f t="shared" si="5"/>
        <v/>
      </c>
      <c r="Y13" s="14" t="str">
        <f t="shared" si="5"/>
        <v/>
      </c>
      <c r="Z13" s="14" t="str">
        <f t="shared" si="5"/>
        <v/>
      </c>
      <c r="AA13" s="14" t="str">
        <f t="shared" si="5"/>
        <v/>
      </c>
      <c r="AB13" s="14" t="str">
        <f t="shared" si="5"/>
        <v/>
      </c>
      <c r="AC13" s="15" t="str">
        <f t="shared" si="5"/>
        <v/>
      </c>
      <c r="AD13" s="16" t="str">
        <f t="shared" si="6"/>
        <v/>
      </c>
      <c r="AE13" s="13" t="str">
        <f t="shared" si="6"/>
        <v/>
      </c>
      <c r="AF13" s="14" t="str">
        <f t="shared" si="6"/>
        <v/>
      </c>
      <c r="AG13" s="14" t="str">
        <f t="shared" si="6"/>
        <v/>
      </c>
      <c r="AH13" s="14" t="str">
        <f t="shared" si="6"/>
        <v/>
      </c>
      <c r="AI13" s="14">
        <f t="shared" si="6"/>
        <v>1</v>
      </c>
      <c r="AJ13" s="15" t="str">
        <f t="shared" si="6"/>
        <v/>
      </c>
      <c r="AK13" s="16" t="str">
        <f t="shared" si="6"/>
        <v/>
      </c>
      <c r="AL13" s="13" t="str">
        <f t="shared" si="6"/>
        <v/>
      </c>
      <c r="AM13" s="14" t="str">
        <f t="shared" si="6"/>
        <v/>
      </c>
      <c r="AN13" s="14" t="str">
        <f t="shared" si="7"/>
        <v/>
      </c>
      <c r="AO13" s="14" t="str">
        <f t="shared" si="7"/>
        <v/>
      </c>
      <c r="AP13" s="14" t="str">
        <f t="shared" si="7"/>
        <v/>
      </c>
      <c r="AQ13" s="15" t="str">
        <f t="shared" si="7"/>
        <v/>
      </c>
      <c r="AR13" s="16" t="str">
        <f t="shared" si="7"/>
        <v/>
      </c>
      <c r="AS13" s="13" t="str">
        <f t="shared" si="7"/>
        <v/>
      </c>
      <c r="AT13" s="14" t="str">
        <f t="shared" si="7"/>
        <v/>
      </c>
      <c r="AU13" s="14" t="str">
        <f t="shared" si="7"/>
        <v/>
      </c>
      <c r="AV13" s="14" t="str">
        <f t="shared" si="7"/>
        <v/>
      </c>
      <c r="AW13" s="14" t="str">
        <f t="shared" si="7"/>
        <v/>
      </c>
      <c r="AX13" s="15" t="str">
        <f t="shared" si="8"/>
        <v/>
      </c>
      <c r="AY13" s="16" t="str">
        <f t="shared" si="8"/>
        <v/>
      </c>
      <c r="AZ13" s="13" t="str">
        <f t="shared" si="8"/>
        <v/>
      </c>
      <c r="BA13" s="14" t="str">
        <f t="shared" si="8"/>
        <v/>
      </c>
      <c r="BB13" s="14" t="str">
        <f t="shared" si="8"/>
        <v/>
      </c>
      <c r="BC13" s="14" t="str">
        <f t="shared" si="8"/>
        <v/>
      </c>
      <c r="BD13" s="14" t="str">
        <f t="shared" si="8"/>
        <v/>
      </c>
      <c r="BE13" s="15" t="str">
        <f t="shared" si="8"/>
        <v/>
      </c>
      <c r="BF13" s="16" t="str">
        <f t="shared" si="8"/>
        <v/>
      </c>
      <c r="BG13" s="13" t="str">
        <f t="shared" si="8"/>
        <v/>
      </c>
      <c r="BH13" s="14" t="str">
        <f t="shared" si="9"/>
        <v/>
      </c>
      <c r="BI13" s="14" t="str">
        <f t="shared" si="9"/>
        <v/>
      </c>
      <c r="BJ13" s="14" t="str">
        <f t="shared" si="9"/>
        <v/>
      </c>
      <c r="BK13" s="14" t="str">
        <f t="shared" si="9"/>
        <v/>
      </c>
      <c r="BL13" s="15" t="str">
        <f t="shared" si="9"/>
        <v/>
      </c>
      <c r="BM13" s="16" t="str">
        <f t="shared" si="9"/>
        <v/>
      </c>
      <c r="BN13" s="13" t="str">
        <f t="shared" si="9"/>
        <v/>
      </c>
      <c r="BO13" s="14" t="str">
        <f t="shared" si="9"/>
        <v/>
      </c>
      <c r="BP13" s="14" t="str">
        <f t="shared" si="9"/>
        <v/>
      </c>
      <c r="BQ13" s="14" t="str">
        <f t="shared" si="9"/>
        <v/>
      </c>
      <c r="BR13" s="14" t="str">
        <f t="shared" si="10"/>
        <v/>
      </c>
      <c r="BS13" s="15" t="str">
        <f t="shared" si="10"/>
        <v/>
      </c>
      <c r="BT13" s="16" t="str">
        <f t="shared" si="10"/>
        <v/>
      </c>
      <c r="BU13" s="13" t="str">
        <f t="shared" si="10"/>
        <v/>
      </c>
      <c r="BV13" s="14" t="str">
        <f t="shared" si="10"/>
        <v/>
      </c>
      <c r="BW13" s="14" t="str">
        <f t="shared" si="10"/>
        <v/>
      </c>
      <c r="BX13" s="14" t="str">
        <f t="shared" si="10"/>
        <v/>
      </c>
      <c r="BY13" s="14" t="str">
        <f t="shared" si="10"/>
        <v/>
      </c>
      <c r="BZ13" s="15" t="str">
        <f t="shared" si="10"/>
        <v/>
      </c>
      <c r="CA13" s="16" t="str">
        <f t="shared" si="10"/>
        <v/>
      </c>
      <c r="CB13" s="13" t="str">
        <f t="shared" si="11"/>
        <v/>
      </c>
      <c r="CC13" s="14" t="str">
        <f t="shared" si="11"/>
        <v/>
      </c>
      <c r="CD13" s="14" t="str">
        <f t="shared" si="11"/>
        <v/>
      </c>
      <c r="CE13" s="14" t="str">
        <f t="shared" si="11"/>
        <v/>
      </c>
      <c r="CF13" s="14" t="str">
        <f t="shared" si="11"/>
        <v/>
      </c>
      <c r="CG13" s="15" t="str">
        <f t="shared" si="11"/>
        <v/>
      </c>
      <c r="CH13" s="16" t="str">
        <f t="shared" si="11"/>
        <v/>
      </c>
      <c r="CI13" s="13" t="str">
        <f t="shared" si="11"/>
        <v/>
      </c>
      <c r="CJ13" s="14" t="str">
        <f t="shared" si="11"/>
        <v/>
      </c>
      <c r="CK13" s="14" t="str">
        <f t="shared" si="11"/>
        <v/>
      </c>
      <c r="CL13" s="14" t="str">
        <f t="shared" si="12"/>
        <v/>
      </c>
      <c r="CM13" s="14" t="str">
        <f t="shared" si="12"/>
        <v/>
      </c>
      <c r="CN13" s="15" t="str">
        <f t="shared" si="12"/>
        <v/>
      </c>
      <c r="CO13" s="16" t="str">
        <f t="shared" si="12"/>
        <v/>
      </c>
      <c r="CP13" s="13" t="str">
        <f t="shared" si="12"/>
        <v/>
      </c>
      <c r="CQ13" s="14" t="str">
        <f t="shared" si="12"/>
        <v/>
      </c>
      <c r="CR13" s="14" t="str">
        <f t="shared" si="12"/>
        <v/>
      </c>
      <c r="CS13" s="14" t="str">
        <f t="shared" si="12"/>
        <v/>
      </c>
      <c r="CT13" s="14" t="str">
        <f t="shared" si="12"/>
        <v/>
      </c>
      <c r="CU13" s="15" t="str">
        <f t="shared" si="12"/>
        <v/>
      </c>
      <c r="CV13" s="16" t="str">
        <f t="shared" si="13"/>
        <v/>
      </c>
      <c r="CW13" s="13" t="str">
        <f t="shared" si="13"/>
        <v/>
      </c>
      <c r="CX13" s="14" t="str">
        <f t="shared" si="13"/>
        <v/>
      </c>
      <c r="CY13" s="14" t="str">
        <f t="shared" si="13"/>
        <v/>
      </c>
      <c r="CZ13" s="14" t="str">
        <f t="shared" si="13"/>
        <v/>
      </c>
      <c r="DA13" s="14" t="str">
        <f t="shared" si="13"/>
        <v/>
      </c>
      <c r="DB13" s="15" t="str">
        <f t="shared" si="13"/>
        <v/>
      </c>
      <c r="DC13" s="16" t="str">
        <f t="shared" si="13"/>
        <v/>
      </c>
      <c r="DD13" s="13" t="str">
        <f t="shared" si="13"/>
        <v/>
      </c>
      <c r="DE13" s="14" t="str">
        <f t="shared" si="13"/>
        <v/>
      </c>
      <c r="DF13" s="14" t="str">
        <f t="shared" si="14"/>
        <v/>
      </c>
      <c r="DG13" s="14" t="str">
        <f t="shared" si="14"/>
        <v/>
      </c>
      <c r="DH13" s="14" t="str">
        <f t="shared" si="14"/>
        <v/>
      </c>
      <c r="DI13" s="15" t="str">
        <f t="shared" si="14"/>
        <v/>
      </c>
      <c r="DJ13" s="16" t="str">
        <f t="shared" si="14"/>
        <v/>
      </c>
      <c r="DK13" s="13" t="str">
        <f t="shared" si="14"/>
        <v/>
      </c>
      <c r="DL13" s="14" t="str">
        <f t="shared" si="14"/>
        <v/>
      </c>
      <c r="DM13" s="14" t="str">
        <f t="shared" si="14"/>
        <v/>
      </c>
      <c r="DN13" s="14" t="str">
        <f t="shared" si="14"/>
        <v/>
      </c>
      <c r="DO13" s="14" t="str">
        <f t="shared" si="14"/>
        <v/>
      </c>
      <c r="DP13" s="15" t="str">
        <f t="shared" si="15"/>
        <v/>
      </c>
      <c r="DQ13" s="16" t="str">
        <f t="shared" si="15"/>
        <v/>
      </c>
      <c r="DR13" s="13" t="str">
        <f t="shared" si="15"/>
        <v/>
      </c>
      <c r="DS13" s="14" t="str">
        <f t="shared" si="15"/>
        <v/>
      </c>
      <c r="DT13" s="14" t="str">
        <f t="shared" si="15"/>
        <v/>
      </c>
      <c r="DU13" s="14" t="str">
        <f t="shared" si="15"/>
        <v/>
      </c>
      <c r="DV13" s="14" t="str">
        <f t="shared" si="15"/>
        <v/>
      </c>
      <c r="DW13" s="15" t="str">
        <f t="shared" si="15"/>
        <v/>
      </c>
      <c r="DX13" s="16" t="str">
        <f t="shared" si="15"/>
        <v/>
      </c>
    </row>
    <row r="14" spans="1:128" s="17" customFormat="1" ht="9.6" customHeight="1">
      <c r="A14" s="535"/>
      <c r="B14" s="22" t="s">
        <v>45</v>
      </c>
      <c r="C14" s="19">
        <v>30</v>
      </c>
      <c r="D14" s="20">
        <v>0</v>
      </c>
      <c r="E14" s="19">
        <v>30</v>
      </c>
      <c r="F14" s="296" t="s">
        <v>646</v>
      </c>
      <c r="G14" s="46" t="s">
        <v>638</v>
      </c>
      <c r="H14" s="46" t="s">
        <v>639</v>
      </c>
      <c r="I14" s="623" t="s">
        <v>647</v>
      </c>
      <c r="J14" s="13" t="str">
        <f t="shared" si="4"/>
        <v/>
      </c>
      <c r="K14" s="14" t="str">
        <f t="shared" si="4"/>
        <v/>
      </c>
      <c r="L14" s="14" t="str">
        <f t="shared" si="4"/>
        <v/>
      </c>
      <c r="M14" s="14" t="str">
        <f t="shared" si="4"/>
        <v/>
      </c>
      <c r="N14" s="14" t="str">
        <f t="shared" si="4"/>
        <v/>
      </c>
      <c r="O14" s="15" t="str">
        <f t="shared" si="4"/>
        <v/>
      </c>
      <c r="P14" s="16" t="str">
        <f t="shared" si="4"/>
        <v/>
      </c>
      <c r="Q14" s="13" t="str">
        <f t="shared" si="4"/>
        <v/>
      </c>
      <c r="R14" s="14" t="str">
        <f t="shared" si="4"/>
        <v/>
      </c>
      <c r="S14" s="14" t="str">
        <f t="shared" si="4"/>
        <v/>
      </c>
      <c r="T14" s="14" t="str">
        <f t="shared" si="5"/>
        <v/>
      </c>
      <c r="U14" s="14" t="str">
        <f t="shared" si="5"/>
        <v/>
      </c>
      <c r="V14" s="15" t="str">
        <f t="shared" si="5"/>
        <v/>
      </c>
      <c r="W14" s="16" t="str">
        <f t="shared" si="5"/>
        <v/>
      </c>
      <c r="X14" s="13" t="str">
        <f t="shared" si="5"/>
        <v/>
      </c>
      <c r="Y14" s="14" t="str">
        <f t="shared" si="5"/>
        <v/>
      </c>
      <c r="Z14" s="14" t="str">
        <f t="shared" si="5"/>
        <v/>
      </c>
      <c r="AA14" s="14" t="str">
        <f t="shared" si="5"/>
        <v/>
      </c>
      <c r="AB14" s="14" t="str">
        <f t="shared" si="5"/>
        <v/>
      </c>
      <c r="AC14" s="15" t="str">
        <f t="shared" si="5"/>
        <v/>
      </c>
      <c r="AD14" s="16" t="str">
        <f t="shared" si="6"/>
        <v/>
      </c>
      <c r="AE14" s="13" t="str">
        <f t="shared" si="6"/>
        <v/>
      </c>
      <c r="AF14" s="14" t="str">
        <f t="shared" si="6"/>
        <v/>
      </c>
      <c r="AG14" s="14" t="str">
        <f t="shared" si="6"/>
        <v/>
      </c>
      <c r="AH14" s="14" t="str">
        <f t="shared" si="6"/>
        <v/>
      </c>
      <c r="AI14" s="14" t="str">
        <f t="shared" si="6"/>
        <v/>
      </c>
      <c r="AJ14" s="15" t="str">
        <f t="shared" si="6"/>
        <v/>
      </c>
      <c r="AK14" s="16" t="str">
        <f t="shared" si="6"/>
        <v/>
      </c>
      <c r="AL14" s="13" t="str">
        <f t="shared" si="6"/>
        <v/>
      </c>
      <c r="AM14" s="14">
        <f t="shared" si="6"/>
        <v>1</v>
      </c>
      <c r="AN14" s="14" t="str">
        <f t="shared" si="7"/>
        <v/>
      </c>
      <c r="AO14" s="14" t="str">
        <f t="shared" si="7"/>
        <v/>
      </c>
      <c r="AP14" s="14" t="str">
        <f t="shared" si="7"/>
        <v/>
      </c>
      <c r="AQ14" s="15" t="str">
        <f t="shared" si="7"/>
        <v/>
      </c>
      <c r="AR14" s="16" t="str">
        <f t="shared" si="7"/>
        <v/>
      </c>
      <c r="AS14" s="13" t="str">
        <f t="shared" si="7"/>
        <v/>
      </c>
      <c r="AT14" s="14" t="str">
        <f t="shared" si="7"/>
        <v/>
      </c>
      <c r="AU14" s="14" t="str">
        <f t="shared" si="7"/>
        <v/>
      </c>
      <c r="AV14" s="14" t="str">
        <f t="shared" si="7"/>
        <v/>
      </c>
      <c r="AW14" s="14" t="str">
        <f t="shared" si="7"/>
        <v/>
      </c>
      <c r="AX14" s="15" t="str">
        <f t="shared" si="8"/>
        <v/>
      </c>
      <c r="AY14" s="16" t="str">
        <f t="shared" si="8"/>
        <v/>
      </c>
      <c r="AZ14" s="13" t="str">
        <f t="shared" si="8"/>
        <v/>
      </c>
      <c r="BA14" s="14" t="str">
        <f t="shared" si="8"/>
        <v/>
      </c>
      <c r="BB14" s="14" t="str">
        <f t="shared" si="8"/>
        <v/>
      </c>
      <c r="BC14" s="14" t="str">
        <f t="shared" si="8"/>
        <v/>
      </c>
      <c r="BD14" s="14" t="str">
        <f t="shared" si="8"/>
        <v/>
      </c>
      <c r="BE14" s="15" t="str">
        <f t="shared" si="8"/>
        <v/>
      </c>
      <c r="BF14" s="16" t="str">
        <f t="shared" si="8"/>
        <v/>
      </c>
      <c r="BG14" s="13" t="str">
        <f t="shared" si="8"/>
        <v/>
      </c>
      <c r="BH14" s="14" t="str">
        <f t="shared" si="9"/>
        <v/>
      </c>
      <c r="BI14" s="14" t="str">
        <f t="shared" si="9"/>
        <v/>
      </c>
      <c r="BJ14" s="14" t="str">
        <f t="shared" si="9"/>
        <v/>
      </c>
      <c r="BK14" s="14" t="str">
        <f t="shared" si="9"/>
        <v/>
      </c>
      <c r="BL14" s="15" t="str">
        <f t="shared" si="9"/>
        <v/>
      </c>
      <c r="BM14" s="16" t="str">
        <f t="shared" si="9"/>
        <v/>
      </c>
      <c r="BN14" s="13" t="str">
        <f t="shared" si="9"/>
        <v/>
      </c>
      <c r="BO14" s="14" t="str">
        <f t="shared" si="9"/>
        <v/>
      </c>
      <c r="BP14" s="14" t="str">
        <f t="shared" si="9"/>
        <v/>
      </c>
      <c r="BQ14" s="14" t="str">
        <f t="shared" si="9"/>
        <v/>
      </c>
      <c r="BR14" s="14" t="str">
        <f t="shared" si="10"/>
        <v/>
      </c>
      <c r="BS14" s="15" t="str">
        <f t="shared" si="10"/>
        <v/>
      </c>
      <c r="BT14" s="16" t="str">
        <f t="shared" si="10"/>
        <v/>
      </c>
      <c r="BU14" s="13" t="str">
        <f t="shared" si="10"/>
        <v/>
      </c>
      <c r="BV14" s="14" t="str">
        <f t="shared" si="10"/>
        <v/>
      </c>
      <c r="BW14" s="14" t="str">
        <f t="shared" si="10"/>
        <v/>
      </c>
      <c r="BX14" s="14" t="str">
        <f t="shared" si="10"/>
        <v/>
      </c>
      <c r="BY14" s="14" t="str">
        <f t="shared" si="10"/>
        <v/>
      </c>
      <c r="BZ14" s="15" t="str">
        <f t="shared" si="10"/>
        <v/>
      </c>
      <c r="CA14" s="16" t="str">
        <f t="shared" si="10"/>
        <v/>
      </c>
      <c r="CB14" s="13" t="str">
        <f t="shared" si="11"/>
        <v/>
      </c>
      <c r="CC14" s="14" t="str">
        <f t="shared" si="11"/>
        <v/>
      </c>
      <c r="CD14" s="14" t="str">
        <f t="shared" si="11"/>
        <v/>
      </c>
      <c r="CE14" s="14" t="str">
        <f t="shared" si="11"/>
        <v/>
      </c>
      <c r="CF14" s="14" t="str">
        <f t="shared" si="11"/>
        <v/>
      </c>
      <c r="CG14" s="15" t="str">
        <f t="shared" si="11"/>
        <v/>
      </c>
      <c r="CH14" s="16" t="str">
        <f t="shared" si="11"/>
        <v/>
      </c>
      <c r="CI14" s="13" t="str">
        <f t="shared" si="11"/>
        <v/>
      </c>
      <c r="CJ14" s="14" t="str">
        <f t="shared" si="11"/>
        <v/>
      </c>
      <c r="CK14" s="14" t="str">
        <f t="shared" si="11"/>
        <v/>
      </c>
      <c r="CL14" s="14" t="str">
        <f t="shared" si="12"/>
        <v/>
      </c>
      <c r="CM14" s="14" t="str">
        <f t="shared" si="12"/>
        <v/>
      </c>
      <c r="CN14" s="15" t="str">
        <f t="shared" si="12"/>
        <v/>
      </c>
      <c r="CO14" s="16" t="str">
        <f t="shared" si="12"/>
        <v/>
      </c>
      <c r="CP14" s="13" t="str">
        <f t="shared" si="12"/>
        <v/>
      </c>
      <c r="CQ14" s="14" t="str">
        <f t="shared" si="12"/>
        <v/>
      </c>
      <c r="CR14" s="14" t="str">
        <f t="shared" si="12"/>
        <v/>
      </c>
      <c r="CS14" s="14" t="str">
        <f t="shared" si="12"/>
        <v/>
      </c>
      <c r="CT14" s="14" t="str">
        <f t="shared" si="12"/>
        <v/>
      </c>
      <c r="CU14" s="15" t="str">
        <f t="shared" si="12"/>
        <v/>
      </c>
      <c r="CV14" s="16" t="str">
        <f t="shared" si="13"/>
        <v/>
      </c>
      <c r="CW14" s="13" t="str">
        <f t="shared" si="13"/>
        <v/>
      </c>
      <c r="CX14" s="14" t="str">
        <f t="shared" si="13"/>
        <v/>
      </c>
      <c r="CY14" s="14" t="str">
        <f t="shared" si="13"/>
        <v/>
      </c>
      <c r="CZ14" s="14" t="str">
        <f t="shared" si="13"/>
        <v/>
      </c>
      <c r="DA14" s="14" t="str">
        <f t="shared" si="13"/>
        <v/>
      </c>
      <c r="DB14" s="15" t="str">
        <f t="shared" si="13"/>
        <v/>
      </c>
      <c r="DC14" s="16" t="str">
        <f t="shared" si="13"/>
        <v/>
      </c>
      <c r="DD14" s="13" t="str">
        <f t="shared" si="13"/>
        <v/>
      </c>
      <c r="DE14" s="14" t="str">
        <f t="shared" si="13"/>
        <v/>
      </c>
      <c r="DF14" s="14" t="str">
        <f t="shared" si="14"/>
        <v/>
      </c>
      <c r="DG14" s="14" t="str">
        <f t="shared" si="14"/>
        <v/>
      </c>
      <c r="DH14" s="14" t="str">
        <f t="shared" si="14"/>
        <v/>
      </c>
      <c r="DI14" s="15" t="str">
        <f t="shared" si="14"/>
        <v/>
      </c>
      <c r="DJ14" s="16" t="str">
        <f t="shared" si="14"/>
        <v/>
      </c>
      <c r="DK14" s="13" t="str">
        <f t="shared" si="14"/>
        <v/>
      </c>
      <c r="DL14" s="14" t="str">
        <f t="shared" si="14"/>
        <v/>
      </c>
      <c r="DM14" s="14" t="str">
        <f t="shared" si="14"/>
        <v/>
      </c>
      <c r="DN14" s="14" t="str">
        <f t="shared" si="14"/>
        <v/>
      </c>
      <c r="DO14" s="14" t="str">
        <f t="shared" si="14"/>
        <v/>
      </c>
      <c r="DP14" s="15" t="str">
        <f t="shared" si="15"/>
        <v/>
      </c>
      <c r="DQ14" s="16" t="str">
        <f t="shared" si="15"/>
        <v/>
      </c>
      <c r="DR14" s="13" t="str">
        <f t="shared" si="15"/>
        <v/>
      </c>
      <c r="DS14" s="14" t="str">
        <f t="shared" si="15"/>
        <v/>
      </c>
      <c r="DT14" s="14" t="str">
        <f t="shared" si="15"/>
        <v/>
      </c>
      <c r="DU14" s="14" t="str">
        <f t="shared" si="15"/>
        <v/>
      </c>
      <c r="DV14" s="14" t="str">
        <f t="shared" si="15"/>
        <v/>
      </c>
      <c r="DW14" s="15" t="str">
        <f t="shared" si="15"/>
        <v/>
      </c>
      <c r="DX14" s="16" t="str">
        <f t="shared" si="15"/>
        <v/>
      </c>
    </row>
    <row r="15" spans="1:128" s="17" customFormat="1" ht="9.6" customHeight="1">
      <c r="A15" s="535"/>
      <c r="B15" s="22" t="s">
        <v>46</v>
      </c>
      <c r="C15" s="19">
        <v>32</v>
      </c>
      <c r="D15" s="20">
        <v>0</v>
      </c>
      <c r="E15" s="19">
        <v>32</v>
      </c>
      <c r="F15" s="296" t="s">
        <v>646</v>
      </c>
      <c r="G15" s="46" t="s">
        <v>638</v>
      </c>
      <c r="H15" s="46" t="s">
        <v>639</v>
      </c>
      <c r="I15" s="622"/>
      <c r="J15" s="13" t="str">
        <f t="shared" si="4"/>
        <v/>
      </c>
      <c r="K15" s="14" t="str">
        <f t="shared" si="4"/>
        <v/>
      </c>
      <c r="L15" s="14" t="str">
        <f t="shared" si="4"/>
        <v/>
      </c>
      <c r="M15" s="14" t="str">
        <f t="shared" si="4"/>
        <v/>
      </c>
      <c r="N15" s="14" t="str">
        <f t="shared" si="4"/>
        <v/>
      </c>
      <c r="O15" s="15" t="str">
        <f t="shared" si="4"/>
        <v/>
      </c>
      <c r="P15" s="16" t="str">
        <f t="shared" si="4"/>
        <v/>
      </c>
      <c r="Q15" s="13" t="str">
        <f t="shared" si="4"/>
        <v/>
      </c>
      <c r="R15" s="14" t="str">
        <f t="shared" si="4"/>
        <v/>
      </c>
      <c r="S15" s="14" t="str">
        <f t="shared" si="4"/>
        <v/>
      </c>
      <c r="T15" s="14" t="str">
        <f t="shared" si="5"/>
        <v/>
      </c>
      <c r="U15" s="14" t="str">
        <f t="shared" si="5"/>
        <v/>
      </c>
      <c r="V15" s="15" t="str">
        <f t="shared" si="5"/>
        <v/>
      </c>
      <c r="W15" s="16" t="str">
        <f t="shared" si="5"/>
        <v/>
      </c>
      <c r="X15" s="13" t="str">
        <f t="shared" si="5"/>
        <v/>
      </c>
      <c r="Y15" s="14" t="str">
        <f t="shared" si="5"/>
        <v/>
      </c>
      <c r="Z15" s="14" t="str">
        <f t="shared" si="5"/>
        <v/>
      </c>
      <c r="AA15" s="14" t="str">
        <f t="shared" si="5"/>
        <v/>
      </c>
      <c r="AB15" s="14" t="str">
        <f t="shared" si="5"/>
        <v/>
      </c>
      <c r="AC15" s="15" t="str">
        <f t="shared" si="5"/>
        <v/>
      </c>
      <c r="AD15" s="16" t="str">
        <f t="shared" si="6"/>
        <v/>
      </c>
      <c r="AE15" s="13" t="str">
        <f t="shared" si="6"/>
        <v/>
      </c>
      <c r="AF15" s="14" t="str">
        <f t="shared" si="6"/>
        <v/>
      </c>
      <c r="AG15" s="14" t="str">
        <f t="shared" si="6"/>
        <v/>
      </c>
      <c r="AH15" s="14" t="str">
        <f t="shared" si="6"/>
        <v/>
      </c>
      <c r="AI15" s="14" t="str">
        <f t="shared" si="6"/>
        <v/>
      </c>
      <c r="AJ15" s="15" t="str">
        <f t="shared" si="6"/>
        <v/>
      </c>
      <c r="AK15" s="16" t="str">
        <f t="shared" si="6"/>
        <v/>
      </c>
      <c r="AL15" s="13" t="str">
        <f t="shared" si="6"/>
        <v/>
      </c>
      <c r="AM15" s="14" t="str">
        <f t="shared" si="6"/>
        <v/>
      </c>
      <c r="AN15" s="14" t="str">
        <f t="shared" si="7"/>
        <v/>
      </c>
      <c r="AO15" s="14">
        <f t="shared" si="7"/>
        <v>1</v>
      </c>
      <c r="AP15" s="14" t="str">
        <f t="shared" si="7"/>
        <v/>
      </c>
      <c r="AQ15" s="15" t="str">
        <f t="shared" si="7"/>
        <v/>
      </c>
      <c r="AR15" s="16" t="str">
        <f t="shared" si="7"/>
        <v/>
      </c>
      <c r="AS15" s="13" t="str">
        <f t="shared" si="7"/>
        <v/>
      </c>
      <c r="AT15" s="14" t="str">
        <f t="shared" si="7"/>
        <v/>
      </c>
      <c r="AU15" s="14" t="str">
        <f t="shared" si="7"/>
        <v/>
      </c>
      <c r="AV15" s="14" t="str">
        <f t="shared" si="7"/>
        <v/>
      </c>
      <c r="AW15" s="14" t="str">
        <f t="shared" si="7"/>
        <v/>
      </c>
      <c r="AX15" s="15" t="str">
        <f t="shared" si="8"/>
        <v/>
      </c>
      <c r="AY15" s="16" t="str">
        <f t="shared" si="8"/>
        <v/>
      </c>
      <c r="AZ15" s="13" t="str">
        <f t="shared" si="8"/>
        <v/>
      </c>
      <c r="BA15" s="14" t="str">
        <f t="shared" si="8"/>
        <v/>
      </c>
      <c r="BB15" s="14" t="str">
        <f t="shared" si="8"/>
        <v/>
      </c>
      <c r="BC15" s="14" t="str">
        <f t="shared" si="8"/>
        <v/>
      </c>
      <c r="BD15" s="14" t="str">
        <f t="shared" si="8"/>
        <v/>
      </c>
      <c r="BE15" s="15" t="str">
        <f t="shared" si="8"/>
        <v/>
      </c>
      <c r="BF15" s="16" t="str">
        <f t="shared" si="8"/>
        <v/>
      </c>
      <c r="BG15" s="13" t="str">
        <f t="shared" si="8"/>
        <v/>
      </c>
      <c r="BH15" s="14" t="str">
        <f t="shared" si="9"/>
        <v/>
      </c>
      <c r="BI15" s="14" t="str">
        <f t="shared" si="9"/>
        <v/>
      </c>
      <c r="BJ15" s="14" t="str">
        <f t="shared" si="9"/>
        <v/>
      </c>
      <c r="BK15" s="14" t="str">
        <f t="shared" si="9"/>
        <v/>
      </c>
      <c r="BL15" s="15" t="str">
        <f t="shared" si="9"/>
        <v/>
      </c>
      <c r="BM15" s="16" t="str">
        <f t="shared" si="9"/>
        <v/>
      </c>
      <c r="BN15" s="13" t="str">
        <f t="shared" si="9"/>
        <v/>
      </c>
      <c r="BO15" s="14" t="str">
        <f t="shared" si="9"/>
        <v/>
      </c>
      <c r="BP15" s="14" t="str">
        <f t="shared" si="9"/>
        <v/>
      </c>
      <c r="BQ15" s="14" t="str">
        <f t="shared" si="9"/>
        <v/>
      </c>
      <c r="BR15" s="14" t="str">
        <f t="shared" si="10"/>
        <v/>
      </c>
      <c r="BS15" s="15" t="str">
        <f t="shared" si="10"/>
        <v/>
      </c>
      <c r="BT15" s="16" t="str">
        <f t="shared" si="10"/>
        <v/>
      </c>
      <c r="BU15" s="13" t="str">
        <f t="shared" si="10"/>
        <v/>
      </c>
      <c r="BV15" s="14" t="str">
        <f t="shared" si="10"/>
        <v/>
      </c>
      <c r="BW15" s="14" t="str">
        <f t="shared" si="10"/>
        <v/>
      </c>
      <c r="BX15" s="14" t="str">
        <f t="shared" si="10"/>
        <v/>
      </c>
      <c r="BY15" s="14" t="str">
        <f t="shared" si="10"/>
        <v/>
      </c>
      <c r="BZ15" s="15" t="str">
        <f t="shared" si="10"/>
        <v/>
      </c>
      <c r="CA15" s="16" t="str">
        <f t="shared" si="10"/>
        <v/>
      </c>
      <c r="CB15" s="13" t="str">
        <f t="shared" si="11"/>
        <v/>
      </c>
      <c r="CC15" s="14" t="str">
        <f t="shared" si="11"/>
        <v/>
      </c>
      <c r="CD15" s="14" t="str">
        <f t="shared" si="11"/>
        <v/>
      </c>
      <c r="CE15" s="14" t="str">
        <f t="shared" si="11"/>
        <v/>
      </c>
      <c r="CF15" s="14" t="str">
        <f t="shared" si="11"/>
        <v/>
      </c>
      <c r="CG15" s="15" t="str">
        <f t="shared" si="11"/>
        <v/>
      </c>
      <c r="CH15" s="16" t="str">
        <f t="shared" si="11"/>
        <v/>
      </c>
      <c r="CI15" s="13" t="str">
        <f t="shared" si="11"/>
        <v/>
      </c>
      <c r="CJ15" s="14" t="str">
        <f t="shared" si="11"/>
        <v/>
      </c>
      <c r="CK15" s="14" t="str">
        <f t="shared" si="11"/>
        <v/>
      </c>
      <c r="CL15" s="14" t="str">
        <f t="shared" si="12"/>
        <v/>
      </c>
      <c r="CM15" s="14" t="str">
        <f t="shared" si="12"/>
        <v/>
      </c>
      <c r="CN15" s="15" t="str">
        <f t="shared" si="12"/>
        <v/>
      </c>
      <c r="CO15" s="16" t="str">
        <f t="shared" si="12"/>
        <v/>
      </c>
      <c r="CP15" s="13" t="str">
        <f t="shared" si="12"/>
        <v/>
      </c>
      <c r="CQ15" s="14" t="str">
        <f t="shared" si="12"/>
        <v/>
      </c>
      <c r="CR15" s="14" t="str">
        <f t="shared" si="12"/>
        <v/>
      </c>
      <c r="CS15" s="14" t="str">
        <f t="shared" si="12"/>
        <v/>
      </c>
      <c r="CT15" s="14" t="str">
        <f t="shared" si="12"/>
        <v/>
      </c>
      <c r="CU15" s="15" t="str">
        <f t="shared" si="12"/>
        <v/>
      </c>
      <c r="CV15" s="16" t="str">
        <f t="shared" si="13"/>
        <v/>
      </c>
      <c r="CW15" s="13" t="str">
        <f t="shared" si="13"/>
        <v/>
      </c>
      <c r="CX15" s="14" t="str">
        <f t="shared" si="13"/>
        <v/>
      </c>
      <c r="CY15" s="14" t="str">
        <f t="shared" si="13"/>
        <v/>
      </c>
      <c r="CZ15" s="14" t="str">
        <f t="shared" si="13"/>
        <v/>
      </c>
      <c r="DA15" s="14" t="str">
        <f t="shared" si="13"/>
        <v/>
      </c>
      <c r="DB15" s="15" t="str">
        <f t="shared" si="13"/>
        <v/>
      </c>
      <c r="DC15" s="16" t="str">
        <f t="shared" si="13"/>
        <v/>
      </c>
      <c r="DD15" s="13" t="str">
        <f t="shared" si="13"/>
        <v/>
      </c>
      <c r="DE15" s="14" t="str">
        <f t="shared" si="13"/>
        <v/>
      </c>
      <c r="DF15" s="14" t="str">
        <f t="shared" si="14"/>
        <v/>
      </c>
      <c r="DG15" s="14" t="str">
        <f t="shared" si="14"/>
        <v/>
      </c>
      <c r="DH15" s="14" t="str">
        <f t="shared" si="14"/>
        <v/>
      </c>
      <c r="DI15" s="15" t="str">
        <f t="shared" si="14"/>
        <v/>
      </c>
      <c r="DJ15" s="16" t="str">
        <f t="shared" si="14"/>
        <v/>
      </c>
      <c r="DK15" s="13" t="str">
        <f t="shared" si="14"/>
        <v/>
      </c>
      <c r="DL15" s="14" t="str">
        <f t="shared" si="14"/>
        <v/>
      </c>
      <c r="DM15" s="14" t="str">
        <f t="shared" si="14"/>
        <v/>
      </c>
      <c r="DN15" s="14" t="str">
        <f t="shared" si="14"/>
        <v/>
      </c>
      <c r="DO15" s="14" t="str">
        <f t="shared" si="14"/>
        <v/>
      </c>
      <c r="DP15" s="15" t="str">
        <f t="shared" si="15"/>
        <v/>
      </c>
      <c r="DQ15" s="16" t="str">
        <f t="shared" si="15"/>
        <v/>
      </c>
      <c r="DR15" s="13" t="str">
        <f t="shared" si="15"/>
        <v/>
      </c>
      <c r="DS15" s="14" t="str">
        <f t="shared" si="15"/>
        <v/>
      </c>
      <c r="DT15" s="14" t="str">
        <f t="shared" si="15"/>
        <v/>
      </c>
      <c r="DU15" s="14" t="str">
        <f t="shared" si="15"/>
        <v/>
      </c>
      <c r="DV15" s="14" t="str">
        <f t="shared" si="15"/>
        <v/>
      </c>
      <c r="DW15" s="15" t="str">
        <f t="shared" si="15"/>
        <v/>
      </c>
      <c r="DX15" s="16" t="str">
        <f t="shared" si="15"/>
        <v/>
      </c>
    </row>
    <row r="16" spans="1:128" s="17" customFormat="1" ht="9.6" customHeight="1">
      <c r="A16" s="535"/>
      <c r="B16" s="23" t="s">
        <v>47</v>
      </c>
      <c r="C16" s="19">
        <v>32</v>
      </c>
      <c r="D16" s="19">
        <v>37</v>
      </c>
      <c r="E16" s="19">
        <v>68</v>
      </c>
      <c r="F16" s="299" t="s">
        <v>638</v>
      </c>
      <c r="G16" s="300" t="s">
        <v>648</v>
      </c>
      <c r="H16" s="46" t="s">
        <v>639</v>
      </c>
      <c r="I16" s="622"/>
      <c r="J16" s="13" t="str">
        <f t="shared" si="4"/>
        <v/>
      </c>
      <c r="K16" s="14" t="str">
        <f t="shared" si="4"/>
        <v/>
      </c>
      <c r="L16" s="14" t="str">
        <f t="shared" si="4"/>
        <v/>
      </c>
      <c r="M16" s="14" t="str">
        <f t="shared" si="4"/>
        <v/>
      </c>
      <c r="N16" s="14" t="str">
        <f t="shared" si="4"/>
        <v/>
      </c>
      <c r="O16" s="15" t="str">
        <f t="shared" si="4"/>
        <v/>
      </c>
      <c r="P16" s="16" t="str">
        <f t="shared" si="4"/>
        <v/>
      </c>
      <c r="Q16" s="13" t="str">
        <f t="shared" si="4"/>
        <v/>
      </c>
      <c r="R16" s="14" t="str">
        <f t="shared" si="4"/>
        <v/>
      </c>
      <c r="S16" s="14" t="str">
        <f t="shared" si="4"/>
        <v/>
      </c>
      <c r="T16" s="14" t="str">
        <f t="shared" si="5"/>
        <v/>
      </c>
      <c r="U16" s="14" t="str">
        <f t="shared" si="5"/>
        <v/>
      </c>
      <c r="V16" s="15" t="str">
        <f t="shared" si="5"/>
        <v/>
      </c>
      <c r="W16" s="16" t="str">
        <f t="shared" si="5"/>
        <v/>
      </c>
      <c r="X16" s="13" t="str">
        <f t="shared" si="5"/>
        <v/>
      </c>
      <c r="Y16" s="14" t="str">
        <f t="shared" si="5"/>
        <v/>
      </c>
      <c r="Z16" s="14" t="str">
        <f t="shared" si="5"/>
        <v/>
      </c>
      <c r="AA16" s="14" t="str">
        <f t="shared" si="5"/>
        <v/>
      </c>
      <c r="AB16" s="14" t="str">
        <f t="shared" si="5"/>
        <v/>
      </c>
      <c r="AC16" s="15" t="str">
        <f t="shared" si="5"/>
        <v/>
      </c>
      <c r="AD16" s="16" t="str">
        <f t="shared" si="6"/>
        <v/>
      </c>
      <c r="AE16" s="13" t="str">
        <f t="shared" si="6"/>
        <v/>
      </c>
      <c r="AF16" s="14" t="str">
        <f t="shared" si="6"/>
        <v/>
      </c>
      <c r="AG16" s="14" t="str">
        <f t="shared" si="6"/>
        <v/>
      </c>
      <c r="AH16" s="14" t="str">
        <f t="shared" si="6"/>
        <v/>
      </c>
      <c r="AI16" s="14" t="str">
        <f t="shared" si="6"/>
        <v/>
      </c>
      <c r="AJ16" s="15" t="str">
        <f t="shared" si="6"/>
        <v/>
      </c>
      <c r="AK16" s="16" t="str">
        <f t="shared" si="6"/>
        <v/>
      </c>
      <c r="AL16" s="13" t="str">
        <f t="shared" si="6"/>
        <v/>
      </c>
      <c r="AM16" s="14" t="str">
        <f t="shared" si="6"/>
        <v/>
      </c>
      <c r="AN16" s="14" t="str">
        <f t="shared" si="7"/>
        <v/>
      </c>
      <c r="AO16" s="14">
        <f t="shared" si="7"/>
        <v>1</v>
      </c>
      <c r="AP16" s="14">
        <f t="shared" si="7"/>
        <v>1</v>
      </c>
      <c r="AQ16" s="15">
        <f t="shared" si="7"/>
        <v>1</v>
      </c>
      <c r="AR16" s="16">
        <f t="shared" si="7"/>
        <v>1</v>
      </c>
      <c r="AS16" s="13">
        <f t="shared" si="7"/>
        <v>1</v>
      </c>
      <c r="AT16" s="14">
        <f t="shared" si="7"/>
        <v>1</v>
      </c>
      <c r="AU16" s="14">
        <f t="shared" si="7"/>
        <v>1</v>
      </c>
      <c r="AV16" s="14">
        <f t="shared" si="7"/>
        <v>1</v>
      </c>
      <c r="AW16" s="14">
        <f t="shared" si="7"/>
        <v>1</v>
      </c>
      <c r="AX16" s="15">
        <f t="shared" si="8"/>
        <v>1</v>
      </c>
      <c r="AY16" s="16">
        <f t="shared" si="8"/>
        <v>1</v>
      </c>
      <c r="AZ16" s="13">
        <f t="shared" si="8"/>
        <v>1</v>
      </c>
      <c r="BA16" s="14">
        <f t="shared" si="8"/>
        <v>1</v>
      </c>
      <c r="BB16" s="14">
        <f t="shared" si="8"/>
        <v>1</v>
      </c>
      <c r="BC16" s="14">
        <f t="shared" si="8"/>
        <v>1</v>
      </c>
      <c r="BD16" s="14">
        <f t="shared" si="8"/>
        <v>1</v>
      </c>
      <c r="BE16" s="15">
        <f t="shared" si="8"/>
        <v>1</v>
      </c>
      <c r="BF16" s="16">
        <f t="shared" si="8"/>
        <v>1</v>
      </c>
      <c r="BG16" s="13">
        <f t="shared" si="8"/>
        <v>1</v>
      </c>
      <c r="BH16" s="14">
        <f t="shared" si="9"/>
        <v>1</v>
      </c>
      <c r="BI16" s="14">
        <f t="shared" si="9"/>
        <v>1</v>
      </c>
      <c r="BJ16" s="14">
        <f t="shared" si="9"/>
        <v>1</v>
      </c>
      <c r="BK16" s="14">
        <f t="shared" si="9"/>
        <v>1</v>
      </c>
      <c r="BL16" s="15">
        <f t="shared" si="9"/>
        <v>1</v>
      </c>
      <c r="BM16" s="16">
        <f t="shared" si="9"/>
        <v>1</v>
      </c>
      <c r="BN16" s="13">
        <f t="shared" si="9"/>
        <v>1</v>
      </c>
      <c r="BO16" s="14">
        <f t="shared" si="9"/>
        <v>1</v>
      </c>
      <c r="BP16" s="14">
        <f t="shared" si="9"/>
        <v>1</v>
      </c>
      <c r="BQ16" s="14">
        <f t="shared" si="9"/>
        <v>1</v>
      </c>
      <c r="BR16" s="14">
        <f t="shared" si="10"/>
        <v>1</v>
      </c>
      <c r="BS16" s="15">
        <f t="shared" si="10"/>
        <v>1</v>
      </c>
      <c r="BT16" s="16">
        <f t="shared" si="10"/>
        <v>1</v>
      </c>
      <c r="BU16" s="13">
        <f t="shared" si="10"/>
        <v>1</v>
      </c>
      <c r="BV16" s="14">
        <f t="shared" si="10"/>
        <v>1</v>
      </c>
      <c r="BW16" s="14">
        <f t="shared" si="10"/>
        <v>1</v>
      </c>
      <c r="BX16" s="14">
        <f t="shared" si="10"/>
        <v>1</v>
      </c>
      <c r="BY16" s="14">
        <f t="shared" si="10"/>
        <v>1</v>
      </c>
      <c r="BZ16" s="15" t="str">
        <f t="shared" si="10"/>
        <v/>
      </c>
      <c r="CA16" s="16" t="str">
        <f t="shared" si="10"/>
        <v/>
      </c>
      <c r="CB16" s="13" t="str">
        <f t="shared" si="11"/>
        <v/>
      </c>
      <c r="CC16" s="14" t="str">
        <f t="shared" si="11"/>
        <v/>
      </c>
      <c r="CD16" s="14" t="str">
        <f t="shared" si="11"/>
        <v/>
      </c>
      <c r="CE16" s="14" t="str">
        <f t="shared" si="11"/>
        <v/>
      </c>
      <c r="CF16" s="14" t="str">
        <f t="shared" si="11"/>
        <v/>
      </c>
      <c r="CG16" s="15" t="str">
        <f t="shared" si="11"/>
        <v/>
      </c>
      <c r="CH16" s="16" t="str">
        <f t="shared" si="11"/>
        <v/>
      </c>
      <c r="CI16" s="13" t="str">
        <f t="shared" si="11"/>
        <v/>
      </c>
      <c r="CJ16" s="14" t="str">
        <f t="shared" si="11"/>
        <v/>
      </c>
      <c r="CK16" s="14" t="str">
        <f t="shared" si="11"/>
        <v/>
      </c>
      <c r="CL16" s="14" t="str">
        <f t="shared" si="12"/>
        <v/>
      </c>
      <c r="CM16" s="14" t="str">
        <f t="shared" si="12"/>
        <v/>
      </c>
      <c r="CN16" s="15" t="str">
        <f t="shared" si="12"/>
        <v/>
      </c>
      <c r="CO16" s="16" t="str">
        <f t="shared" si="12"/>
        <v/>
      </c>
      <c r="CP16" s="13" t="str">
        <f t="shared" si="12"/>
        <v/>
      </c>
      <c r="CQ16" s="14" t="str">
        <f t="shared" si="12"/>
        <v/>
      </c>
      <c r="CR16" s="14" t="str">
        <f t="shared" si="12"/>
        <v/>
      </c>
      <c r="CS16" s="14" t="str">
        <f t="shared" si="12"/>
        <v/>
      </c>
      <c r="CT16" s="14" t="str">
        <f t="shared" si="12"/>
        <v/>
      </c>
      <c r="CU16" s="15" t="str">
        <f t="shared" si="12"/>
        <v/>
      </c>
      <c r="CV16" s="16" t="str">
        <f t="shared" si="13"/>
        <v/>
      </c>
      <c r="CW16" s="13" t="str">
        <f t="shared" si="13"/>
        <v/>
      </c>
      <c r="CX16" s="14" t="str">
        <f t="shared" si="13"/>
        <v/>
      </c>
      <c r="CY16" s="14" t="str">
        <f t="shared" si="13"/>
        <v/>
      </c>
      <c r="CZ16" s="14" t="str">
        <f t="shared" si="13"/>
        <v/>
      </c>
      <c r="DA16" s="14" t="str">
        <f t="shared" si="13"/>
        <v/>
      </c>
      <c r="DB16" s="15" t="str">
        <f t="shared" si="13"/>
        <v/>
      </c>
      <c r="DC16" s="16" t="str">
        <f t="shared" si="13"/>
        <v/>
      </c>
      <c r="DD16" s="13" t="str">
        <f t="shared" si="13"/>
        <v/>
      </c>
      <c r="DE16" s="14" t="str">
        <f t="shared" si="13"/>
        <v/>
      </c>
      <c r="DF16" s="14" t="str">
        <f t="shared" si="14"/>
        <v/>
      </c>
      <c r="DG16" s="14" t="str">
        <f t="shared" si="14"/>
        <v/>
      </c>
      <c r="DH16" s="14" t="str">
        <f t="shared" si="14"/>
        <v/>
      </c>
      <c r="DI16" s="15" t="str">
        <f t="shared" si="14"/>
        <v/>
      </c>
      <c r="DJ16" s="16" t="str">
        <f t="shared" si="14"/>
        <v/>
      </c>
      <c r="DK16" s="13" t="str">
        <f t="shared" si="14"/>
        <v/>
      </c>
      <c r="DL16" s="14" t="str">
        <f t="shared" si="14"/>
        <v/>
      </c>
      <c r="DM16" s="14" t="str">
        <f t="shared" si="14"/>
        <v/>
      </c>
      <c r="DN16" s="14" t="str">
        <f t="shared" si="14"/>
        <v/>
      </c>
      <c r="DO16" s="14" t="str">
        <f t="shared" si="14"/>
        <v/>
      </c>
      <c r="DP16" s="15" t="str">
        <f t="shared" si="15"/>
        <v/>
      </c>
      <c r="DQ16" s="16" t="str">
        <f t="shared" si="15"/>
        <v/>
      </c>
      <c r="DR16" s="13" t="str">
        <f t="shared" si="15"/>
        <v/>
      </c>
      <c r="DS16" s="14" t="str">
        <f t="shared" si="15"/>
        <v/>
      </c>
      <c r="DT16" s="14" t="str">
        <f t="shared" si="15"/>
        <v/>
      </c>
      <c r="DU16" s="14" t="str">
        <f t="shared" si="15"/>
        <v/>
      </c>
      <c r="DV16" s="14" t="str">
        <f t="shared" si="15"/>
        <v/>
      </c>
      <c r="DW16" s="15" t="str">
        <f t="shared" si="15"/>
        <v/>
      </c>
      <c r="DX16" s="16" t="str">
        <f t="shared" si="15"/>
        <v/>
      </c>
    </row>
    <row r="17" spans="1:128" s="17" customFormat="1" ht="9.6" customHeight="1">
      <c r="A17" s="535"/>
      <c r="B17" s="23" t="s">
        <v>48</v>
      </c>
      <c r="C17" s="19">
        <v>69</v>
      </c>
      <c r="D17" s="19">
        <v>3</v>
      </c>
      <c r="E17" s="19">
        <v>71</v>
      </c>
      <c r="F17" s="296" t="s">
        <v>646</v>
      </c>
      <c r="G17" s="300" t="s">
        <v>648</v>
      </c>
      <c r="H17" s="46" t="s">
        <v>639</v>
      </c>
      <c r="I17" s="622"/>
      <c r="J17" s="13" t="str">
        <f t="shared" ref="J17:S25" si="16">IF(AND(J$5&gt;=$C17,J$5&lt;=$E17),1,"")</f>
        <v/>
      </c>
      <c r="K17" s="14" t="str">
        <f t="shared" si="16"/>
        <v/>
      </c>
      <c r="L17" s="14" t="str">
        <f t="shared" si="16"/>
        <v/>
      </c>
      <c r="M17" s="14" t="str">
        <f t="shared" si="16"/>
        <v/>
      </c>
      <c r="N17" s="14" t="str">
        <f t="shared" si="16"/>
        <v/>
      </c>
      <c r="O17" s="15" t="str">
        <f t="shared" si="16"/>
        <v/>
      </c>
      <c r="P17" s="16" t="str">
        <f t="shared" si="16"/>
        <v/>
      </c>
      <c r="Q17" s="13" t="str">
        <f t="shared" si="16"/>
        <v/>
      </c>
      <c r="R17" s="14" t="str">
        <f t="shared" si="16"/>
        <v/>
      </c>
      <c r="S17" s="14" t="str">
        <f t="shared" si="16"/>
        <v/>
      </c>
      <c r="T17" s="14" t="str">
        <f t="shared" ref="T17:AC25" si="17">IF(AND(T$5&gt;=$C17,T$5&lt;=$E17),1,"")</f>
        <v/>
      </c>
      <c r="U17" s="14" t="str">
        <f t="shared" si="17"/>
        <v/>
      </c>
      <c r="V17" s="15" t="str">
        <f t="shared" si="17"/>
        <v/>
      </c>
      <c r="W17" s="16" t="str">
        <f t="shared" si="17"/>
        <v/>
      </c>
      <c r="X17" s="13" t="str">
        <f t="shared" si="17"/>
        <v/>
      </c>
      <c r="Y17" s="14" t="str">
        <f t="shared" si="17"/>
        <v/>
      </c>
      <c r="Z17" s="14" t="str">
        <f t="shared" si="17"/>
        <v/>
      </c>
      <c r="AA17" s="14" t="str">
        <f t="shared" si="17"/>
        <v/>
      </c>
      <c r="AB17" s="14" t="str">
        <f t="shared" si="17"/>
        <v/>
      </c>
      <c r="AC17" s="15" t="str">
        <f t="shared" si="17"/>
        <v/>
      </c>
      <c r="AD17" s="16" t="str">
        <f t="shared" ref="AD17:AM25" si="18">IF(AND(AD$5&gt;=$C17,AD$5&lt;=$E17),1,"")</f>
        <v/>
      </c>
      <c r="AE17" s="13" t="str">
        <f t="shared" si="18"/>
        <v/>
      </c>
      <c r="AF17" s="14" t="str">
        <f t="shared" si="18"/>
        <v/>
      </c>
      <c r="AG17" s="14" t="str">
        <f t="shared" si="18"/>
        <v/>
      </c>
      <c r="AH17" s="14" t="str">
        <f t="shared" si="18"/>
        <v/>
      </c>
      <c r="AI17" s="14" t="str">
        <f t="shared" si="18"/>
        <v/>
      </c>
      <c r="AJ17" s="15" t="str">
        <f t="shared" si="18"/>
        <v/>
      </c>
      <c r="AK17" s="16" t="str">
        <f t="shared" si="18"/>
        <v/>
      </c>
      <c r="AL17" s="13" t="str">
        <f t="shared" si="18"/>
        <v/>
      </c>
      <c r="AM17" s="14" t="str">
        <f t="shared" si="18"/>
        <v/>
      </c>
      <c r="AN17" s="14" t="str">
        <f t="shared" ref="AN17:AW25" si="19">IF(AND(AN$5&gt;=$C17,AN$5&lt;=$E17),1,"")</f>
        <v/>
      </c>
      <c r="AO17" s="14" t="str">
        <f t="shared" si="19"/>
        <v/>
      </c>
      <c r="AP17" s="14" t="str">
        <f t="shared" si="19"/>
        <v/>
      </c>
      <c r="AQ17" s="15" t="str">
        <f t="shared" si="19"/>
        <v/>
      </c>
      <c r="AR17" s="16" t="str">
        <f t="shared" si="19"/>
        <v/>
      </c>
      <c r="AS17" s="13" t="str">
        <f t="shared" si="19"/>
        <v/>
      </c>
      <c r="AT17" s="14" t="str">
        <f t="shared" si="19"/>
        <v/>
      </c>
      <c r="AU17" s="14" t="str">
        <f t="shared" si="19"/>
        <v/>
      </c>
      <c r="AV17" s="14" t="str">
        <f t="shared" si="19"/>
        <v/>
      </c>
      <c r="AW17" s="14" t="str">
        <f t="shared" si="19"/>
        <v/>
      </c>
      <c r="AX17" s="15" t="str">
        <f t="shared" ref="AX17:BG25" si="20">IF(AND(AX$5&gt;=$C17,AX$5&lt;=$E17),1,"")</f>
        <v/>
      </c>
      <c r="AY17" s="16" t="str">
        <f t="shared" si="20"/>
        <v/>
      </c>
      <c r="AZ17" s="13" t="str">
        <f t="shared" si="20"/>
        <v/>
      </c>
      <c r="BA17" s="14" t="str">
        <f t="shared" si="20"/>
        <v/>
      </c>
      <c r="BB17" s="14" t="str">
        <f t="shared" si="20"/>
        <v/>
      </c>
      <c r="BC17" s="14" t="str">
        <f t="shared" si="20"/>
        <v/>
      </c>
      <c r="BD17" s="14" t="str">
        <f t="shared" si="20"/>
        <v/>
      </c>
      <c r="BE17" s="15" t="str">
        <f t="shared" si="20"/>
        <v/>
      </c>
      <c r="BF17" s="16" t="str">
        <f t="shared" si="20"/>
        <v/>
      </c>
      <c r="BG17" s="13" t="str">
        <f t="shared" si="20"/>
        <v/>
      </c>
      <c r="BH17" s="14" t="str">
        <f t="shared" ref="BH17:BQ25" si="21">IF(AND(BH$5&gt;=$C17,BH$5&lt;=$E17),1,"")</f>
        <v/>
      </c>
      <c r="BI17" s="14" t="str">
        <f t="shared" si="21"/>
        <v/>
      </c>
      <c r="BJ17" s="14" t="str">
        <f t="shared" si="21"/>
        <v/>
      </c>
      <c r="BK17" s="14" t="str">
        <f t="shared" si="21"/>
        <v/>
      </c>
      <c r="BL17" s="15" t="str">
        <f t="shared" si="21"/>
        <v/>
      </c>
      <c r="BM17" s="16" t="str">
        <f t="shared" si="21"/>
        <v/>
      </c>
      <c r="BN17" s="13" t="str">
        <f t="shared" si="21"/>
        <v/>
      </c>
      <c r="BO17" s="14" t="str">
        <f t="shared" si="21"/>
        <v/>
      </c>
      <c r="BP17" s="14" t="str">
        <f t="shared" si="21"/>
        <v/>
      </c>
      <c r="BQ17" s="14" t="str">
        <f t="shared" si="21"/>
        <v/>
      </c>
      <c r="BR17" s="14" t="str">
        <f t="shared" ref="BR17:CA25" si="22">IF(AND(BR$5&gt;=$C17,BR$5&lt;=$E17),1,"")</f>
        <v/>
      </c>
      <c r="BS17" s="15" t="str">
        <f t="shared" si="22"/>
        <v/>
      </c>
      <c r="BT17" s="16" t="str">
        <f t="shared" si="22"/>
        <v/>
      </c>
      <c r="BU17" s="13" t="str">
        <f t="shared" si="22"/>
        <v/>
      </c>
      <c r="BV17" s="14" t="str">
        <f t="shared" si="22"/>
        <v/>
      </c>
      <c r="BW17" s="14" t="str">
        <f t="shared" si="22"/>
        <v/>
      </c>
      <c r="BX17" s="14" t="str">
        <f t="shared" si="22"/>
        <v/>
      </c>
      <c r="BY17" s="14" t="str">
        <f t="shared" si="22"/>
        <v/>
      </c>
      <c r="BZ17" s="15">
        <f t="shared" si="22"/>
        <v>1</v>
      </c>
      <c r="CA17" s="16">
        <f t="shared" si="22"/>
        <v>1</v>
      </c>
      <c r="CB17" s="13">
        <f t="shared" ref="CB17:CK25" si="23">IF(AND(CB$5&gt;=$C17,CB$5&lt;=$E17),1,"")</f>
        <v>1</v>
      </c>
      <c r="CC17" s="14" t="str">
        <f t="shared" si="23"/>
        <v/>
      </c>
      <c r="CD17" s="14" t="str">
        <f t="shared" si="23"/>
        <v/>
      </c>
      <c r="CE17" s="14" t="str">
        <f t="shared" si="23"/>
        <v/>
      </c>
      <c r="CF17" s="14" t="str">
        <f t="shared" si="23"/>
        <v/>
      </c>
      <c r="CG17" s="15" t="str">
        <f t="shared" si="23"/>
        <v/>
      </c>
      <c r="CH17" s="16" t="str">
        <f t="shared" si="23"/>
        <v/>
      </c>
      <c r="CI17" s="13" t="str">
        <f t="shared" si="23"/>
        <v/>
      </c>
      <c r="CJ17" s="14" t="str">
        <f t="shared" si="23"/>
        <v/>
      </c>
      <c r="CK17" s="14" t="str">
        <f t="shared" si="23"/>
        <v/>
      </c>
      <c r="CL17" s="14" t="str">
        <f t="shared" ref="CL17:CU25" si="24">IF(AND(CL$5&gt;=$C17,CL$5&lt;=$E17),1,"")</f>
        <v/>
      </c>
      <c r="CM17" s="14" t="str">
        <f t="shared" si="24"/>
        <v/>
      </c>
      <c r="CN17" s="15" t="str">
        <f t="shared" si="24"/>
        <v/>
      </c>
      <c r="CO17" s="16" t="str">
        <f t="shared" si="24"/>
        <v/>
      </c>
      <c r="CP17" s="13" t="str">
        <f t="shared" si="24"/>
        <v/>
      </c>
      <c r="CQ17" s="14" t="str">
        <f t="shared" si="24"/>
        <v/>
      </c>
      <c r="CR17" s="14" t="str">
        <f t="shared" si="24"/>
        <v/>
      </c>
      <c r="CS17" s="14" t="str">
        <f t="shared" si="24"/>
        <v/>
      </c>
      <c r="CT17" s="14" t="str">
        <f t="shared" si="24"/>
        <v/>
      </c>
      <c r="CU17" s="15" t="str">
        <f t="shared" si="24"/>
        <v/>
      </c>
      <c r="CV17" s="16" t="str">
        <f t="shared" ref="CV17:DE25" si="25">IF(AND(CV$5&gt;=$C17,CV$5&lt;=$E17),1,"")</f>
        <v/>
      </c>
      <c r="CW17" s="13" t="str">
        <f t="shared" si="25"/>
        <v/>
      </c>
      <c r="CX17" s="14" t="str">
        <f t="shared" si="25"/>
        <v/>
      </c>
      <c r="CY17" s="14" t="str">
        <f t="shared" si="25"/>
        <v/>
      </c>
      <c r="CZ17" s="14" t="str">
        <f t="shared" si="25"/>
        <v/>
      </c>
      <c r="DA17" s="14" t="str">
        <f t="shared" si="25"/>
        <v/>
      </c>
      <c r="DB17" s="15" t="str">
        <f t="shared" si="25"/>
        <v/>
      </c>
      <c r="DC17" s="16" t="str">
        <f t="shared" si="25"/>
        <v/>
      </c>
      <c r="DD17" s="13" t="str">
        <f t="shared" si="25"/>
        <v/>
      </c>
      <c r="DE17" s="14" t="str">
        <f t="shared" si="25"/>
        <v/>
      </c>
      <c r="DF17" s="14" t="str">
        <f t="shared" ref="DF17:DO25" si="26">IF(AND(DF$5&gt;=$C17,DF$5&lt;=$E17),1,"")</f>
        <v/>
      </c>
      <c r="DG17" s="14" t="str">
        <f t="shared" si="26"/>
        <v/>
      </c>
      <c r="DH17" s="14" t="str">
        <f t="shared" si="26"/>
        <v/>
      </c>
      <c r="DI17" s="15" t="str">
        <f t="shared" si="26"/>
        <v/>
      </c>
      <c r="DJ17" s="16" t="str">
        <f t="shared" si="26"/>
        <v/>
      </c>
      <c r="DK17" s="13" t="str">
        <f t="shared" si="26"/>
        <v/>
      </c>
      <c r="DL17" s="14" t="str">
        <f t="shared" si="26"/>
        <v/>
      </c>
      <c r="DM17" s="14" t="str">
        <f t="shared" si="26"/>
        <v/>
      </c>
      <c r="DN17" s="14" t="str">
        <f t="shared" si="26"/>
        <v/>
      </c>
      <c r="DO17" s="14" t="str">
        <f t="shared" si="26"/>
        <v/>
      </c>
      <c r="DP17" s="15" t="str">
        <f t="shared" ref="DP17:DV25" si="27">IF(AND(DP$5&gt;=$C17,DP$5&lt;=$E17),1,"")</f>
        <v/>
      </c>
      <c r="DQ17" s="16" t="str">
        <f t="shared" si="27"/>
        <v/>
      </c>
      <c r="DR17" s="13" t="str">
        <f t="shared" si="27"/>
        <v/>
      </c>
      <c r="DS17" s="14" t="str">
        <f t="shared" si="27"/>
        <v/>
      </c>
      <c r="DT17" s="14" t="str">
        <f t="shared" si="27"/>
        <v/>
      </c>
      <c r="DU17" s="14" t="str">
        <f t="shared" si="27"/>
        <v/>
      </c>
      <c r="DV17" s="14" t="str">
        <f t="shared" si="27"/>
        <v/>
      </c>
      <c r="DW17" s="15"/>
      <c r="DX17" s="16"/>
    </row>
    <row r="18" spans="1:128" s="17" customFormat="1" ht="9.6" customHeight="1">
      <c r="A18" s="535"/>
      <c r="B18" s="26" t="s">
        <v>49</v>
      </c>
      <c r="C18" s="19">
        <v>72</v>
      </c>
      <c r="D18" s="19">
        <v>0</v>
      </c>
      <c r="E18" s="19">
        <v>71</v>
      </c>
      <c r="F18" s="296" t="s">
        <v>646</v>
      </c>
      <c r="G18" s="300" t="s">
        <v>648</v>
      </c>
      <c r="H18" s="46" t="s">
        <v>639</v>
      </c>
      <c r="I18" s="622"/>
      <c r="J18" s="13" t="str">
        <f t="shared" si="16"/>
        <v/>
      </c>
      <c r="K18" s="14" t="str">
        <f t="shared" si="16"/>
        <v/>
      </c>
      <c r="L18" s="14" t="str">
        <f t="shared" si="16"/>
        <v/>
      </c>
      <c r="M18" s="14" t="str">
        <f t="shared" si="16"/>
        <v/>
      </c>
      <c r="N18" s="14" t="str">
        <f t="shared" si="16"/>
        <v/>
      </c>
      <c r="O18" s="15" t="str">
        <f t="shared" si="16"/>
        <v/>
      </c>
      <c r="P18" s="16" t="str">
        <f t="shared" si="16"/>
        <v/>
      </c>
      <c r="Q18" s="13" t="str">
        <f t="shared" si="16"/>
        <v/>
      </c>
      <c r="R18" s="14" t="str">
        <f t="shared" si="16"/>
        <v/>
      </c>
      <c r="S18" s="14" t="str">
        <f t="shared" si="16"/>
        <v/>
      </c>
      <c r="T18" s="14" t="str">
        <f t="shared" si="17"/>
        <v/>
      </c>
      <c r="U18" s="14" t="str">
        <f t="shared" si="17"/>
        <v/>
      </c>
      <c r="V18" s="15" t="str">
        <f t="shared" si="17"/>
        <v/>
      </c>
      <c r="W18" s="16" t="str">
        <f t="shared" si="17"/>
        <v/>
      </c>
      <c r="X18" s="13" t="str">
        <f t="shared" si="17"/>
        <v/>
      </c>
      <c r="Y18" s="14" t="str">
        <f t="shared" si="17"/>
        <v/>
      </c>
      <c r="Z18" s="14" t="str">
        <f t="shared" si="17"/>
        <v/>
      </c>
      <c r="AA18" s="14" t="str">
        <f t="shared" si="17"/>
        <v/>
      </c>
      <c r="AB18" s="14" t="str">
        <f t="shared" si="17"/>
        <v/>
      </c>
      <c r="AC18" s="15" t="str">
        <f t="shared" si="17"/>
        <v/>
      </c>
      <c r="AD18" s="16" t="str">
        <f t="shared" si="18"/>
        <v/>
      </c>
      <c r="AE18" s="13" t="str">
        <f t="shared" si="18"/>
        <v/>
      </c>
      <c r="AF18" s="14" t="str">
        <f t="shared" si="18"/>
        <v/>
      </c>
      <c r="AG18" s="14" t="str">
        <f t="shared" si="18"/>
        <v/>
      </c>
      <c r="AH18" s="14" t="str">
        <f t="shared" si="18"/>
        <v/>
      </c>
      <c r="AI18" s="14" t="str">
        <f t="shared" si="18"/>
        <v/>
      </c>
      <c r="AJ18" s="15" t="str">
        <f t="shared" si="18"/>
        <v/>
      </c>
      <c r="AK18" s="16" t="str">
        <f t="shared" si="18"/>
        <v/>
      </c>
      <c r="AL18" s="13" t="str">
        <f t="shared" si="18"/>
        <v/>
      </c>
      <c r="AM18" s="14" t="str">
        <f t="shared" si="18"/>
        <v/>
      </c>
      <c r="AN18" s="14" t="str">
        <f t="shared" si="19"/>
        <v/>
      </c>
      <c r="AO18" s="14" t="str">
        <f t="shared" si="19"/>
        <v/>
      </c>
      <c r="AP18" s="14" t="str">
        <f t="shared" si="19"/>
        <v/>
      </c>
      <c r="AQ18" s="15" t="str">
        <f t="shared" si="19"/>
        <v/>
      </c>
      <c r="AR18" s="16" t="str">
        <f t="shared" si="19"/>
        <v/>
      </c>
      <c r="AS18" s="13" t="str">
        <f t="shared" si="19"/>
        <v/>
      </c>
      <c r="AT18" s="14" t="str">
        <f t="shared" si="19"/>
        <v/>
      </c>
      <c r="AU18" s="14" t="str">
        <f t="shared" si="19"/>
        <v/>
      </c>
      <c r="AV18" s="14" t="str">
        <f t="shared" si="19"/>
        <v/>
      </c>
      <c r="AW18" s="14" t="str">
        <f t="shared" si="19"/>
        <v/>
      </c>
      <c r="AX18" s="15" t="str">
        <f t="shared" si="20"/>
        <v/>
      </c>
      <c r="AY18" s="16" t="str">
        <f t="shared" si="20"/>
        <v/>
      </c>
      <c r="AZ18" s="13" t="str">
        <f t="shared" si="20"/>
        <v/>
      </c>
      <c r="BA18" s="14" t="str">
        <f t="shared" si="20"/>
        <v/>
      </c>
      <c r="BB18" s="14" t="str">
        <f t="shared" si="20"/>
        <v/>
      </c>
      <c r="BC18" s="14" t="str">
        <f t="shared" si="20"/>
        <v/>
      </c>
      <c r="BD18" s="14" t="str">
        <f t="shared" si="20"/>
        <v/>
      </c>
      <c r="BE18" s="15" t="str">
        <f t="shared" si="20"/>
        <v/>
      </c>
      <c r="BF18" s="16" t="str">
        <f t="shared" si="20"/>
        <v/>
      </c>
      <c r="BG18" s="13" t="str">
        <f t="shared" si="20"/>
        <v/>
      </c>
      <c r="BH18" s="14" t="str">
        <f t="shared" si="21"/>
        <v/>
      </c>
      <c r="BI18" s="14" t="str">
        <f t="shared" si="21"/>
        <v/>
      </c>
      <c r="BJ18" s="14" t="str">
        <f t="shared" si="21"/>
        <v/>
      </c>
      <c r="BK18" s="14" t="str">
        <f t="shared" si="21"/>
        <v/>
      </c>
      <c r="BL18" s="15" t="str">
        <f t="shared" si="21"/>
        <v/>
      </c>
      <c r="BM18" s="16" t="str">
        <f t="shared" si="21"/>
        <v/>
      </c>
      <c r="BN18" s="13" t="str">
        <f t="shared" si="21"/>
        <v/>
      </c>
      <c r="BO18" s="14" t="str">
        <f t="shared" si="21"/>
        <v/>
      </c>
      <c r="BP18" s="14" t="str">
        <f t="shared" si="21"/>
        <v/>
      </c>
      <c r="BQ18" s="14" t="str">
        <f t="shared" si="21"/>
        <v/>
      </c>
      <c r="BR18" s="14" t="str">
        <f t="shared" si="22"/>
        <v/>
      </c>
      <c r="BS18" s="15" t="str">
        <f t="shared" si="22"/>
        <v/>
      </c>
      <c r="BT18" s="16" t="str">
        <f t="shared" si="22"/>
        <v/>
      </c>
      <c r="BU18" s="13" t="str">
        <f t="shared" si="22"/>
        <v/>
      </c>
      <c r="BV18" s="14" t="str">
        <f t="shared" si="22"/>
        <v/>
      </c>
      <c r="BW18" s="14" t="str">
        <f t="shared" si="22"/>
        <v/>
      </c>
      <c r="BX18" s="14" t="str">
        <f t="shared" si="22"/>
        <v/>
      </c>
      <c r="BY18" s="14" t="str">
        <f t="shared" si="22"/>
        <v/>
      </c>
      <c r="BZ18" s="15" t="str">
        <f t="shared" si="22"/>
        <v/>
      </c>
      <c r="CA18" s="16" t="str">
        <f t="shared" si="22"/>
        <v/>
      </c>
      <c r="CB18" s="13" t="str">
        <f t="shared" si="23"/>
        <v/>
      </c>
      <c r="CC18" s="14" t="str">
        <f t="shared" si="23"/>
        <v/>
      </c>
      <c r="CD18" s="14" t="str">
        <f t="shared" si="23"/>
        <v/>
      </c>
      <c r="CE18" s="14" t="str">
        <f t="shared" si="23"/>
        <v/>
      </c>
      <c r="CF18" s="14" t="str">
        <f t="shared" si="23"/>
        <v/>
      </c>
      <c r="CG18" s="15" t="str">
        <f t="shared" si="23"/>
        <v/>
      </c>
      <c r="CH18" s="16" t="str">
        <f t="shared" si="23"/>
        <v/>
      </c>
      <c r="CI18" s="13" t="str">
        <f t="shared" si="23"/>
        <v/>
      </c>
      <c r="CJ18" s="14" t="str">
        <f t="shared" si="23"/>
        <v/>
      </c>
      <c r="CK18" s="14" t="str">
        <f t="shared" si="23"/>
        <v/>
      </c>
      <c r="CL18" s="14" t="str">
        <f t="shared" si="24"/>
        <v/>
      </c>
      <c r="CM18" s="14" t="str">
        <f t="shared" si="24"/>
        <v/>
      </c>
      <c r="CN18" s="15" t="str">
        <f t="shared" si="24"/>
        <v/>
      </c>
      <c r="CO18" s="16" t="str">
        <f t="shared" si="24"/>
        <v/>
      </c>
      <c r="CP18" s="13" t="str">
        <f t="shared" si="24"/>
        <v/>
      </c>
      <c r="CQ18" s="14" t="str">
        <f t="shared" si="24"/>
        <v/>
      </c>
      <c r="CR18" s="14" t="str">
        <f t="shared" si="24"/>
        <v/>
      </c>
      <c r="CS18" s="14" t="str">
        <f t="shared" si="24"/>
        <v/>
      </c>
      <c r="CT18" s="14" t="str">
        <f t="shared" si="24"/>
        <v/>
      </c>
      <c r="CU18" s="15" t="str">
        <f t="shared" si="24"/>
        <v/>
      </c>
      <c r="CV18" s="16" t="str">
        <f t="shared" si="25"/>
        <v/>
      </c>
      <c r="CW18" s="13" t="str">
        <f t="shared" si="25"/>
        <v/>
      </c>
      <c r="CX18" s="14" t="str">
        <f t="shared" si="25"/>
        <v/>
      </c>
      <c r="CY18" s="14" t="str">
        <f t="shared" si="25"/>
        <v/>
      </c>
      <c r="CZ18" s="14" t="str">
        <f t="shared" si="25"/>
        <v/>
      </c>
      <c r="DA18" s="14" t="str">
        <f t="shared" si="25"/>
        <v/>
      </c>
      <c r="DB18" s="15" t="str">
        <f t="shared" si="25"/>
        <v/>
      </c>
      <c r="DC18" s="16" t="str">
        <f t="shared" si="25"/>
        <v/>
      </c>
      <c r="DD18" s="13" t="str">
        <f t="shared" si="25"/>
        <v/>
      </c>
      <c r="DE18" s="14" t="str">
        <f t="shared" si="25"/>
        <v/>
      </c>
      <c r="DF18" s="14" t="str">
        <f t="shared" si="26"/>
        <v/>
      </c>
      <c r="DG18" s="14" t="str">
        <f t="shared" si="26"/>
        <v/>
      </c>
      <c r="DH18" s="14" t="str">
        <f t="shared" si="26"/>
        <v/>
      </c>
      <c r="DI18" s="15" t="str">
        <f t="shared" si="26"/>
        <v/>
      </c>
      <c r="DJ18" s="16" t="str">
        <f t="shared" si="26"/>
        <v/>
      </c>
      <c r="DK18" s="13" t="str">
        <f t="shared" si="26"/>
        <v/>
      </c>
      <c r="DL18" s="14" t="str">
        <f t="shared" si="26"/>
        <v/>
      </c>
      <c r="DM18" s="14" t="str">
        <f t="shared" si="26"/>
        <v/>
      </c>
      <c r="DN18" s="14" t="str">
        <f t="shared" si="26"/>
        <v/>
      </c>
      <c r="DO18" s="14" t="str">
        <f t="shared" si="26"/>
        <v/>
      </c>
      <c r="DP18" s="15" t="str">
        <f t="shared" si="27"/>
        <v/>
      </c>
      <c r="DQ18" s="16" t="str">
        <f t="shared" si="27"/>
        <v/>
      </c>
      <c r="DR18" s="13" t="str">
        <f t="shared" si="27"/>
        <v/>
      </c>
      <c r="DS18" s="14" t="str">
        <f t="shared" si="27"/>
        <v/>
      </c>
      <c r="DT18" s="14" t="str">
        <f t="shared" si="27"/>
        <v/>
      </c>
      <c r="DU18" s="14" t="str">
        <f t="shared" si="27"/>
        <v/>
      </c>
      <c r="DV18" s="14" t="str">
        <f t="shared" si="27"/>
        <v/>
      </c>
      <c r="DW18" s="15" t="str">
        <f t="shared" ref="DW18:DX25" si="28">IF(AND(DW$5&gt;=$C18,DW$5&lt;=$E18),1,"")</f>
        <v/>
      </c>
      <c r="DX18" s="16" t="str">
        <f t="shared" si="28"/>
        <v/>
      </c>
    </row>
    <row r="19" spans="1:128" s="17" customFormat="1" ht="9.6" customHeight="1">
      <c r="A19" s="553" t="str">
        <f>_xlfn.XLOOKUP(A25,'VTT actif'!F:F,'VTT actif'!AB:AB,"-",0)</f>
        <v>-</v>
      </c>
      <c r="B19" s="24" t="s">
        <v>50</v>
      </c>
      <c r="C19" s="19">
        <v>72</v>
      </c>
      <c r="D19" s="19">
        <v>5</v>
      </c>
      <c r="E19" s="19">
        <v>76</v>
      </c>
      <c r="F19" s="299" t="s">
        <v>638</v>
      </c>
      <c r="G19" s="300" t="s">
        <v>649</v>
      </c>
      <c r="H19" s="46" t="s">
        <v>639</v>
      </c>
      <c r="I19" s="624" t="s">
        <v>650</v>
      </c>
      <c r="J19" s="13" t="str">
        <f t="shared" si="16"/>
        <v/>
      </c>
      <c r="K19" s="14" t="str">
        <f t="shared" si="16"/>
        <v/>
      </c>
      <c r="L19" s="14" t="str">
        <f t="shared" si="16"/>
        <v/>
      </c>
      <c r="M19" s="14" t="str">
        <f t="shared" si="16"/>
        <v/>
      </c>
      <c r="N19" s="14" t="str">
        <f t="shared" si="16"/>
        <v/>
      </c>
      <c r="O19" s="15" t="str">
        <f t="shared" si="16"/>
        <v/>
      </c>
      <c r="P19" s="16" t="str">
        <f t="shared" si="16"/>
        <v/>
      </c>
      <c r="Q19" s="13" t="str">
        <f t="shared" si="16"/>
        <v/>
      </c>
      <c r="R19" s="14" t="str">
        <f t="shared" si="16"/>
        <v/>
      </c>
      <c r="S19" s="14" t="str">
        <f t="shared" si="16"/>
        <v/>
      </c>
      <c r="T19" s="14" t="str">
        <f t="shared" si="17"/>
        <v/>
      </c>
      <c r="U19" s="14" t="str">
        <f t="shared" si="17"/>
        <v/>
      </c>
      <c r="V19" s="15" t="str">
        <f t="shared" si="17"/>
        <v/>
      </c>
      <c r="W19" s="16" t="str">
        <f t="shared" si="17"/>
        <v/>
      </c>
      <c r="X19" s="13" t="str">
        <f t="shared" si="17"/>
        <v/>
      </c>
      <c r="Y19" s="14" t="str">
        <f t="shared" si="17"/>
        <v/>
      </c>
      <c r="Z19" s="14" t="str">
        <f t="shared" si="17"/>
        <v/>
      </c>
      <c r="AA19" s="14" t="str">
        <f t="shared" si="17"/>
        <v/>
      </c>
      <c r="AB19" s="14" t="str">
        <f t="shared" si="17"/>
        <v/>
      </c>
      <c r="AC19" s="15" t="str">
        <f t="shared" si="17"/>
        <v/>
      </c>
      <c r="AD19" s="16" t="str">
        <f t="shared" si="18"/>
        <v/>
      </c>
      <c r="AE19" s="13" t="str">
        <f t="shared" si="18"/>
        <v/>
      </c>
      <c r="AF19" s="14" t="str">
        <f t="shared" si="18"/>
        <v/>
      </c>
      <c r="AG19" s="14" t="str">
        <f t="shared" si="18"/>
        <v/>
      </c>
      <c r="AH19" s="14" t="str">
        <f t="shared" si="18"/>
        <v/>
      </c>
      <c r="AI19" s="14" t="str">
        <f t="shared" si="18"/>
        <v/>
      </c>
      <c r="AJ19" s="15" t="str">
        <f t="shared" si="18"/>
        <v/>
      </c>
      <c r="AK19" s="16" t="str">
        <f t="shared" si="18"/>
        <v/>
      </c>
      <c r="AL19" s="13" t="str">
        <f t="shared" si="18"/>
        <v/>
      </c>
      <c r="AM19" s="14" t="str">
        <f t="shared" si="18"/>
        <v/>
      </c>
      <c r="AN19" s="14" t="str">
        <f t="shared" si="19"/>
        <v/>
      </c>
      <c r="AO19" s="14" t="str">
        <f t="shared" si="19"/>
        <v/>
      </c>
      <c r="AP19" s="14" t="str">
        <f t="shared" si="19"/>
        <v/>
      </c>
      <c r="AQ19" s="15" t="str">
        <f t="shared" si="19"/>
        <v/>
      </c>
      <c r="AR19" s="16" t="str">
        <f t="shared" si="19"/>
        <v/>
      </c>
      <c r="AS19" s="13" t="str">
        <f t="shared" si="19"/>
        <v/>
      </c>
      <c r="AT19" s="14" t="str">
        <f t="shared" si="19"/>
        <v/>
      </c>
      <c r="AU19" s="14" t="str">
        <f t="shared" si="19"/>
        <v/>
      </c>
      <c r="AV19" s="14" t="str">
        <f t="shared" si="19"/>
        <v/>
      </c>
      <c r="AW19" s="14" t="str">
        <f t="shared" si="19"/>
        <v/>
      </c>
      <c r="AX19" s="15" t="str">
        <f t="shared" si="20"/>
        <v/>
      </c>
      <c r="AY19" s="16" t="str">
        <f t="shared" si="20"/>
        <v/>
      </c>
      <c r="AZ19" s="13" t="str">
        <f t="shared" si="20"/>
        <v/>
      </c>
      <c r="BA19" s="14" t="str">
        <f t="shared" si="20"/>
        <v/>
      </c>
      <c r="BB19" s="14" t="str">
        <f t="shared" si="20"/>
        <v/>
      </c>
      <c r="BC19" s="14" t="str">
        <f t="shared" si="20"/>
        <v/>
      </c>
      <c r="BD19" s="14" t="str">
        <f t="shared" si="20"/>
        <v/>
      </c>
      <c r="BE19" s="15" t="str">
        <f t="shared" si="20"/>
        <v/>
      </c>
      <c r="BF19" s="16" t="str">
        <f t="shared" si="20"/>
        <v/>
      </c>
      <c r="BG19" s="13" t="str">
        <f t="shared" si="20"/>
        <v/>
      </c>
      <c r="BH19" s="14" t="str">
        <f t="shared" si="21"/>
        <v/>
      </c>
      <c r="BI19" s="14" t="str">
        <f t="shared" si="21"/>
        <v/>
      </c>
      <c r="BJ19" s="14" t="str">
        <f t="shared" si="21"/>
        <v/>
      </c>
      <c r="BK19" s="14" t="str">
        <f t="shared" si="21"/>
        <v/>
      </c>
      <c r="BL19" s="15" t="str">
        <f t="shared" si="21"/>
        <v/>
      </c>
      <c r="BM19" s="16" t="str">
        <f t="shared" si="21"/>
        <v/>
      </c>
      <c r="BN19" s="13" t="str">
        <f t="shared" si="21"/>
        <v/>
      </c>
      <c r="BO19" s="14" t="str">
        <f t="shared" si="21"/>
        <v/>
      </c>
      <c r="BP19" s="14" t="str">
        <f t="shared" si="21"/>
        <v/>
      </c>
      <c r="BQ19" s="14" t="str">
        <f t="shared" si="21"/>
        <v/>
      </c>
      <c r="BR19" s="14" t="str">
        <f t="shared" si="22"/>
        <v/>
      </c>
      <c r="BS19" s="15" t="str">
        <f t="shared" si="22"/>
        <v/>
      </c>
      <c r="BT19" s="16" t="str">
        <f t="shared" si="22"/>
        <v/>
      </c>
      <c r="BU19" s="13" t="str">
        <f t="shared" si="22"/>
        <v/>
      </c>
      <c r="BV19" s="14" t="str">
        <f t="shared" si="22"/>
        <v/>
      </c>
      <c r="BW19" s="14" t="str">
        <f t="shared" si="22"/>
        <v/>
      </c>
      <c r="BX19" s="14" t="str">
        <f t="shared" si="22"/>
        <v/>
      </c>
      <c r="BY19" s="14" t="str">
        <f t="shared" si="22"/>
        <v/>
      </c>
      <c r="BZ19" s="15" t="str">
        <f t="shared" si="22"/>
        <v/>
      </c>
      <c r="CA19" s="16" t="str">
        <f t="shared" si="22"/>
        <v/>
      </c>
      <c r="CB19" s="13" t="str">
        <f t="shared" si="23"/>
        <v/>
      </c>
      <c r="CC19" s="14">
        <f t="shared" si="23"/>
        <v>1</v>
      </c>
      <c r="CD19" s="14">
        <f t="shared" si="23"/>
        <v>1</v>
      </c>
      <c r="CE19" s="14">
        <f t="shared" si="23"/>
        <v>1</v>
      </c>
      <c r="CF19" s="14">
        <f t="shared" si="23"/>
        <v>1</v>
      </c>
      <c r="CG19" s="15">
        <f t="shared" si="23"/>
        <v>1</v>
      </c>
      <c r="CH19" s="16" t="str">
        <f t="shared" si="23"/>
        <v/>
      </c>
      <c r="CI19" s="13" t="str">
        <f t="shared" si="23"/>
        <v/>
      </c>
      <c r="CJ19" s="14" t="str">
        <f t="shared" si="23"/>
        <v/>
      </c>
      <c r="CK19" s="14" t="str">
        <f t="shared" si="23"/>
        <v/>
      </c>
      <c r="CL19" s="14" t="str">
        <f t="shared" si="24"/>
        <v/>
      </c>
      <c r="CM19" s="14" t="str">
        <f t="shared" si="24"/>
        <v/>
      </c>
      <c r="CN19" s="15" t="str">
        <f t="shared" si="24"/>
        <v/>
      </c>
      <c r="CO19" s="16" t="str">
        <f t="shared" si="24"/>
        <v/>
      </c>
      <c r="CP19" s="13" t="str">
        <f t="shared" si="24"/>
        <v/>
      </c>
      <c r="CQ19" s="14" t="str">
        <f t="shared" si="24"/>
        <v/>
      </c>
      <c r="CR19" s="14" t="str">
        <f t="shared" si="24"/>
        <v/>
      </c>
      <c r="CS19" s="14" t="str">
        <f t="shared" si="24"/>
        <v/>
      </c>
      <c r="CT19" s="14" t="str">
        <f t="shared" si="24"/>
        <v/>
      </c>
      <c r="CU19" s="15" t="str">
        <f t="shared" si="24"/>
        <v/>
      </c>
      <c r="CV19" s="16" t="str">
        <f t="shared" si="25"/>
        <v/>
      </c>
      <c r="CW19" s="13" t="str">
        <f t="shared" si="25"/>
        <v/>
      </c>
      <c r="CX19" s="14" t="str">
        <f t="shared" si="25"/>
        <v/>
      </c>
      <c r="CY19" s="14" t="str">
        <f t="shared" si="25"/>
        <v/>
      </c>
      <c r="CZ19" s="14" t="str">
        <f t="shared" si="25"/>
        <v/>
      </c>
      <c r="DA19" s="14" t="str">
        <f t="shared" si="25"/>
        <v/>
      </c>
      <c r="DB19" s="15" t="str">
        <f t="shared" si="25"/>
        <v/>
      </c>
      <c r="DC19" s="16" t="str">
        <f t="shared" si="25"/>
        <v/>
      </c>
      <c r="DD19" s="13" t="str">
        <f t="shared" si="25"/>
        <v/>
      </c>
      <c r="DE19" s="14" t="str">
        <f t="shared" si="25"/>
        <v/>
      </c>
      <c r="DF19" s="14" t="str">
        <f t="shared" si="26"/>
        <v/>
      </c>
      <c r="DG19" s="14" t="str">
        <f t="shared" si="26"/>
        <v/>
      </c>
      <c r="DH19" s="14" t="str">
        <f t="shared" si="26"/>
        <v/>
      </c>
      <c r="DI19" s="15" t="str">
        <f t="shared" si="26"/>
        <v/>
      </c>
      <c r="DJ19" s="16" t="str">
        <f t="shared" si="26"/>
        <v/>
      </c>
      <c r="DK19" s="13" t="str">
        <f t="shared" si="26"/>
        <v/>
      </c>
      <c r="DL19" s="14" t="str">
        <f t="shared" si="26"/>
        <v/>
      </c>
      <c r="DM19" s="14" t="str">
        <f t="shared" si="26"/>
        <v/>
      </c>
      <c r="DN19" s="14" t="str">
        <f t="shared" si="26"/>
        <v/>
      </c>
      <c r="DO19" s="14" t="str">
        <f t="shared" si="26"/>
        <v/>
      </c>
      <c r="DP19" s="15" t="str">
        <f t="shared" si="27"/>
        <v/>
      </c>
      <c r="DQ19" s="16" t="str">
        <f t="shared" si="27"/>
        <v/>
      </c>
      <c r="DR19" s="13" t="str">
        <f t="shared" si="27"/>
        <v/>
      </c>
      <c r="DS19" s="14" t="str">
        <f t="shared" si="27"/>
        <v/>
      </c>
      <c r="DT19" s="14" t="str">
        <f t="shared" si="27"/>
        <v/>
      </c>
      <c r="DU19" s="14" t="str">
        <f t="shared" si="27"/>
        <v/>
      </c>
      <c r="DV19" s="14" t="str">
        <f t="shared" si="27"/>
        <v/>
      </c>
      <c r="DW19" s="15" t="str">
        <f t="shared" si="28"/>
        <v/>
      </c>
      <c r="DX19" s="16" t="str">
        <f t="shared" si="28"/>
        <v/>
      </c>
    </row>
    <row r="20" spans="1:128" s="17" customFormat="1" ht="9.6" customHeight="1">
      <c r="A20" s="535"/>
      <c r="B20" s="26" t="e">
        <v>#REF!</v>
      </c>
      <c r="C20" s="19">
        <v>77</v>
      </c>
      <c r="D20" s="19">
        <v>2</v>
      </c>
      <c r="E20" s="19">
        <v>78</v>
      </c>
      <c r="F20" s="299" t="s">
        <v>638</v>
      </c>
      <c r="G20" s="301" t="s">
        <v>645</v>
      </c>
      <c r="H20" s="46" t="s">
        <v>639</v>
      </c>
      <c r="I20" s="622"/>
      <c r="J20" s="13" t="str">
        <f t="shared" si="16"/>
        <v/>
      </c>
      <c r="K20" s="14" t="str">
        <f t="shared" si="16"/>
        <v/>
      </c>
      <c r="L20" s="14" t="str">
        <f t="shared" si="16"/>
        <v/>
      </c>
      <c r="M20" s="14" t="str">
        <f t="shared" si="16"/>
        <v/>
      </c>
      <c r="N20" s="14" t="str">
        <f t="shared" si="16"/>
        <v/>
      </c>
      <c r="O20" s="15" t="str">
        <f t="shared" si="16"/>
        <v/>
      </c>
      <c r="P20" s="16" t="str">
        <f t="shared" si="16"/>
        <v/>
      </c>
      <c r="Q20" s="13" t="str">
        <f t="shared" si="16"/>
        <v/>
      </c>
      <c r="R20" s="14" t="str">
        <f t="shared" si="16"/>
        <v/>
      </c>
      <c r="S20" s="14" t="str">
        <f t="shared" si="16"/>
        <v/>
      </c>
      <c r="T20" s="14" t="str">
        <f t="shared" si="17"/>
        <v/>
      </c>
      <c r="U20" s="14" t="str">
        <f t="shared" si="17"/>
        <v/>
      </c>
      <c r="V20" s="15" t="str">
        <f t="shared" si="17"/>
        <v/>
      </c>
      <c r="W20" s="16" t="str">
        <f t="shared" si="17"/>
        <v/>
      </c>
      <c r="X20" s="13" t="str">
        <f t="shared" si="17"/>
        <v/>
      </c>
      <c r="Y20" s="14" t="str">
        <f t="shared" si="17"/>
        <v/>
      </c>
      <c r="Z20" s="14" t="str">
        <f t="shared" si="17"/>
        <v/>
      </c>
      <c r="AA20" s="14" t="str">
        <f t="shared" si="17"/>
        <v/>
      </c>
      <c r="AB20" s="14" t="str">
        <f t="shared" si="17"/>
        <v/>
      </c>
      <c r="AC20" s="15" t="str">
        <f t="shared" si="17"/>
        <v/>
      </c>
      <c r="AD20" s="16" t="str">
        <f t="shared" si="18"/>
        <v/>
      </c>
      <c r="AE20" s="13" t="str">
        <f t="shared" si="18"/>
        <v/>
      </c>
      <c r="AF20" s="14" t="str">
        <f t="shared" si="18"/>
        <v/>
      </c>
      <c r="AG20" s="14" t="str">
        <f t="shared" si="18"/>
        <v/>
      </c>
      <c r="AH20" s="14" t="str">
        <f t="shared" si="18"/>
        <v/>
      </c>
      <c r="AI20" s="14" t="str">
        <f t="shared" si="18"/>
        <v/>
      </c>
      <c r="AJ20" s="15" t="str">
        <f t="shared" si="18"/>
        <v/>
      </c>
      <c r="AK20" s="16" t="str">
        <f t="shared" si="18"/>
        <v/>
      </c>
      <c r="AL20" s="13" t="str">
        <f t="shared" si="18"/>
        <v/>
      </c>
      <c r="AM20" s="14" t="str">
        <f t="shared" si="18"/>
        <v/>
      </c>
      <c r="AN20" s="14" t="str">
        <f t="shared" si="19"/>
        <v/>
      </c>
      <c r="AO20" s="14" t="str">
        <f t="shared" si="19"/>
        <v/>
      </c>
      <c r="AP20" s="14" t="str">
        <f t="shared" si="19"/>
        <v/>
      </c>
      <c r="AQ20" s="15" t="str">
        <f t="shared" si="19"/>
        <v/>
      </c>
      <c r="AR20" s="16" t="str">
        <f t="shared" si="19"/>
        <v/>
      </c>
      <c r="AS20" s="13" t="str">
        <f t="shared" si="19"/>
        <v/>
      </c>
      <c r="AT20" s="14" t="str">
        <f t="shared" si="19"/>
        <v/>
      </c>
      <c r="AU20" s="14" t="str">
        <f t="shared" si="19"/>
        <v/>
      </c>
      <c r="AV20" s="14" t="str">
        <f t="shared" si="19"/>
        <v/>
      </c>
      <c r="AW20" s="14" t="str">
        <f t="shared" si="19"/>
        <v/>
      </c>
      <c r="AX20" s="15" t="str">
        <f t="shared" si="20"/>
        <v/>
      </c>
      <c r="AY20" s="16" t="str">
        <f t="shared" si="20"/>
        <v/>
      </c>
      <c r="AZ20" s="13" t="str">
        <f t="shared" si="20"/>
        <v/>
      </c>
      <c r="BA20" s="14" t="str">
        <f t="shared" si="20"/>
        <v/>
      </c>
      <c r="BB20" s="14" t="str">
        <f t="shared" si="20"/>
        <v/>
      </c>
      <c r="BC20" s="14" t="str">
        <f t="shared" si="20"/>
        <v/>
      </c>
      <c r="BD20" s="14" t="str">
        <f t="shared" si="20"/>
        <v/>
      </c>
      <c r="BE20" s="15" t="str">
        <f t="shared" si="20"/>
        <v/>
      </c>
      <c r="BF20" s="16" t="str">
        <f t="shared" si="20"/>
        <v/>
      </c>
      <c r="BG20" s="13" t="str">
        <f t="shared" si="20"/>
        <v/>
      </c>
      <c r="BH20" s="14" t="str">
        <f t="shared" si="21"/>
        <v/>
      </c>
      <c r="BI20" s="14" t="str">
        <f t="shared" si="21"/>
        <v/>
      </c>
      <c r="BJ20" s="14" t="str">
        <f t="shared" si="21"/>
        <v/>
      </c>
      <c r="BK20" s="14" t="str">
        <f t="shared" si="21"/>
        <v/>
      </c>
      <c r="BL20" s="15" t="str">
        <f t="shared" si="21"/>
        <v/>
      </c>
      <c r="BM20" s="16" t="str">
        <f t="shared" si="21"/>
        <v/>
      </c>
      <c r="BN20" s="13" t="str">
        <f t="shared" si="21"/>
        <v/>
      </c>
      <c r="BO20" s="14" t="str">
        <f t="shared" si="21"/>
        <v/>
      </c>
      <c r="BP20" s="14" t="str">
        <f t="shared" si="21"/>
        <v/>
      </c>
      <c r="BQ20" s="14" t="str">
        <f t="shared" si="21"/>
        <v/>
      </c>
      <c r="BR20" s="14" t="str">
        <f t="shared" si="22"/>
        <v/>
      </c>
      <c r="BS20" s="15" t="str">
        <f t="shared" si="22"/>
        <v/>
      </c>
      <c r="BT20" s="16" t="str">
        <f t="shared" si="22"/>
        <v/>
      </c>
      <c r="BU20" s="13" t="str">
        <f t="shared" si="22"/>
        <v/>
      </c>
      <c r="BV20" s="14" t="str">
        <f t="shared" si="22"/>
        <v/>
      </c>
      <c r="BW20" s="14" t="str">
        <f t="shared" si="22"/>
        <v/>
      </c>
      <c r="BX20" s="14" t="str">
        <f t="shared" si="22"/>
        <v/>
      </c>
      <c r="BY20" s="14" t="str">
        <f t="shared" si="22"/>
        <v/>
      </c>
      <c r="BZ20" s="15" t="str">
        <f t="shared" si="22"/>
        <v/>
      </c>
      <c r="CA20" s="16" t="str">
        <f t="shared" si="22"/>
        <v/>
      </c>
      <c r="CB20" s="13" t="str">
        <f t="shared" si="23"/>
        <v/>
      </c>
      <c r="CC20" s="14" t="str">
        <f t="shared" si="23"/>
        <v/>
      </c>
      <c r="CD20" s="14" t="str">
        <f t="shared" si="23"/>
        <v/>
      </c>
      <c r="CE20" s="14" t="str">
        <f t="shared" si="23"/>
        <v/>
      </c>
      <c r="CF20" s="14" t="str">
        <f t="shared" si="23"/>
        <v/>
      </c>
      <c r="CG20" s="15" t="str">
        <f t="shared" si="23"/>
        <v/>
      </c>
      <c r="CH20" s="16">
        <f t="shared" si="23"/>
        <v>1</v>
      </c>
      <c r="CI20" s="13">
        <f t="shared" si="23"/>
        <v>1</v>
      </c>
      <c r="CJ20" s="14" t="str">
        <f t="shared" si="23"/>
        <v/>
      </c>
      <c r="CK20" s="14" t="str">
        <f t="shared" si="23"/>
        <v/>
      </c>
      <c r="CL20" s="14" t="str">
        <f t="shared" si="24"/>
        <v/>
      </c>
      <c r="CM20" s="14" t="str">
        <f t="shared" si="24"/>
        <v/>
      </c>
      <c r="CN20" s="15" t="str">
        <f t="shared" si="24"/>
        <v/>
      </c>
      <c r="CO20" s="16" t="str">
        <f t="shared" si="24"/>
        <v/>
      </c>
      <c r="CP20" s="13" t="str">
        <f t="shared" si="24"/>
        <v/>
      </c>
      <c r="CQ20" s="14" t="str">
        <f t="shared" si="24"/>
        <v/>
      </c>
      <c r="CR20" s="14" t="str">
        <f t="shared" si="24"/>
        <v/>
      </c>
      <c r="CS20" s="14" t="str">
        <f t="shared" si="24"/>
        <v/>
      </c>
      <c r="CT20" s="14" t="str">
        <f t="shared" si="24"/>
        <v/>
      </c>
      <c r="CU20" s="15" t="str">
        <f t="shared" si="24"/>
        <v/>
      </c>
      <c r="CV20" s="16" t="str">
        <f t="shared" si="25"/>
        <v/>
      </c>
      <c r="CW20" s="13" t="str">
        <f t="shared" si="25"/>
        <v/>
      </c>
      <c r="CX20" s="14" t="str">
        <f t="shared" si="25"/>
        <v/>
      </c>
      <c r="CY20" s="14" t="str">
        <f t="shared" si="25"/>
        <v/>
      </c>
      <c r="CZ20" s="14" t="str">
        <f t="shared" si="25"/>
        <v/>
      </c>
      <c r="DA20" s="14" t="str">
        <f t="shared" si="25"/>
        <v/>
      </c>
      <c r="DB20" s="15" t="str">
        <f t="shared" si="25"/>
        <v/>
      </c>
      <c r="DC20" s="16" t="str">
        <f t="shared" si="25"/>
        <v/>
      </c>
      <c r="DD20" s="13" t="str">
        <f t="shared" si="25"/>
        <v/>
      </c>
      <c r="DE20" s="14" t="str">
        <f t="shared" si="25"/>
        <v/>
      </c>
      <c r="DF20" s="14" t="str">
        <f t="shared" si="26"/>
        <v/>
      </c>
      <c r="DG20" s="14" t="str">
        <f t="shared" si="26"/>
        <v/>
      </c>
      <c r="DH20" s="14" t="str">
        <f t="shared" si="26"/>
        <v/>
      </c>
      <c r="DI20" s="15" t="str">
        <f t="shared" si="26"/>
        <v/>
      </c>
      <c r="DJ20" s="16" t="str">
        <f t="shared" si="26"/>
        <v/>
      </c>
      <c r="DK20" s="13" t="str">
        <f t="shared" si="26"/>
        <v/>
      </c>
      <c r="DL20" s="14" t="str">
        <f t="shared" si="26"/>
        <v/>
      </c>
      <c r="DM20" s="14" t="str">
        <f t="shared" si="26"/>
        <v/>
      </c>
      <c r="DN20" s="14" t="str">
        <f t="shared" si="26"/>
        <v/>
      </c>
      <c r="DO20" s="14" t="str">
        <f t="shared" si="26"/>
        <v/>
      </c>
      <c r="DP20" s="15" t="str">
        <f t="shared" si="27"/>
        <v/>
      </c>
      <c r="DQ20" s="16" t="str">
        <f t="shared" si="27"/>
        <v/>
      </c>
      <c r="DR20" s="13" t="str">
        <f t="shared" si="27"/>
        <v/>
      </c>
      <c r="DS20" s="14" t="str">
        <f t="shared" si="27"/>
        <v/>
      </c>
      <c r="DT20" s="14" t="str">
        <f t="shared" si="27"/>
        <v/>
      </c>
      <c r="DU20" s="14" t="str">
        <f t="shared" si="27"/>
        <v/>
      </c>
      <c r="DV20" s="14" t="str">
        <f t="shared" si="27"/>
        <v/>
      </c>
      <c r="DW20" s="15" t="str">
        <f t="shared" si="28"/>
        <v/>
      </c>
      <c r="DX20" s="16" t="str">
        <f t="shared" si="28"/>
        <v/>
      </c>
    </row>
    <row r="21" spans="1:128" s="17" customFormat="1" ht="9.6" customHeight="1">
      <c r="A21" s="90" t="str">
        <f>_xlfn.CONCAT(B3,"-","Actif")</f>
        <v>--Actif</v>
      </c>
      <c r="B21" s="24" t="str">
        <f>IF(B5=0,"","Transport to PFI")</f>
        <v>Transport to PFI</v>
      </c>
      <c r="C21" s="19">
        <v>79</v>
      </c>
      <c r="D21" s="19">
        <v>3</v>
      </c>
      <c r="E21" s="19">
        <v>81</v>
      </c>
      <c r="F21" s="299" t="s">
        <v>638</v>
      </c>
      <c r="G21" s="300" t="s">
        <v>651</v>
      </c>
      <c r="H21" s="46" t="s">
        <v>639</v>
      </c>
      <c r="I21" s="622"/>
      <c r="J21" s="13" t="str">
        <f t="shared" si="16"/>
        <v/>
      </c>
      <c r="K21" s="14" t="str">
        <f t="shared" si="16"/>
        <v/>
      </c>
      <c r="L21" s="14" t="str">
        <f t="shared" si="16"/>
        <v/>
      </c>
      <c r="M21" s="14" t="str">
        <f t="shared" si="16"/>
        <v/>
      </c>
      <c r="N21" s="14" t="str">
        <f t="shared" si="16"/>
        <v/>
      </c>
      <c r="O21" s="15" t="str">
        <f t="shared" si="16"/>
        <v/>
      </c>
      <c r="P21" s="16" t="str">
        <f t="shared" si="16"/>
        <v/>
      </c>
      <c r="Q21" s="13" t="str">
        <f t="shared" si="16"/>
        <v/>
      </c>
      <c r="R21" s="14" t="str">
        <f t="shared" si="16"/>
        <v/>
      </c>
      <c r="S21" s="14" t="str">
        <f t="shared" si="16"/>
        <v/>
      </c>
      <c r="T21" s="14" t="str">
        <f t="shared" si="17"/>
        <v/>
      </c>
      <c r="U21" s="14" t="str">
        <f t="shared" si="17"/>
        <v/>
      </c>
      <c r="V21" s="15" t="str">
        <f t="shared" si="17"/>
        <v/>
      </c>
      <c r="W21" s="16" t="str">
        <f t="shared" si="17"/>
        <v/>
      </c>
      <c r="X21" s="13" t="str">
        <f t="shared" si="17"/>
        <v/>
      </c>
      <c r="Y21" s="14" t="str">
        <f t="shared" si="17"/>
        <v/>
      </c>
      <c r="Z21" s="14" t="str">
        <f t="shared" si="17"/>
        <v/>
      </c>
      <c r="AA21" s="14" t="str">
        <f t="shared" si="17"/>
        <v/>
      </c>
      <c r="AB21" s="14" t="str">
        <f t="shared" si="17"/>
        <v/>
      </c>
      <c r="AC21" s="15" t="str">
        <f t="shared" si="17"/>
        <v/>
      </c>
      <c r="AD21" s="16" t="str">
        <f t="shared" si="18"/>
        <v/>
      </c>
      <c r="AE21" s="13" t="str">
        <f t="shared" si="18"/>
        <v/>
      </c>
      <c r="AF21" s="14" t="str">
        <f t="shared" si="18"/>
        <v/>
      </c>
      <c r="AG21" s="14" t="str">
        <f t="shared" si="18"/>
        <v/>
      </c>
      <c r="AH21" s="14" t="str">
        <f t="shared" si="18"/>
        <v/>
      </c>
      <c r="AI21" s="14" t="str">
        <f t="shared" si="18"/>
        <v/>
      </c>
      <c r="AJ21" s="15" t="str">
        <f t="shared" si="18"/>
        <v/>
      </c>
      <c r="AK21" s="16" t="str">
        <f t="shared" si="18"/>
        <v/>
      </c>
      <c r="AL21" s="13" t="str">
        <f t="shared" si="18"/>
        <v/>
      </c>
      <c r="AM21" s="14" t="str">
        <f t="shared" si="18"/>
        <v/>
      </c>
      <c r="AN21" s="14" t="str">
        <f t="shared" si="19"/>
        <v/>
      </c>
      <c r="AO21" s="14" t="str">
        <f t="shared" si="19"/>
        <v/>
      </c>
      <c r="AP21" s="14" t="str">
        <f t="shared" si="19"/>
        <v/>
      </c>
      <c r="AQ21" s="15" t="str">
        <f t="shared" si="19"/>
        <v/>
      </c>
      <c r="AR21" s="16" t="str">
        <f t="shared" si="19"/>
        <v/>
      </c>
      <c r="AS21" s="13" t="str">
        <f t="shared" si="19"/>
        <v/>
      </c>
      <c r="AT21" s="14" t="str">
        <f t="shared" si="19"/>
        <v/>
      </c>
      <c r="AU21" s="14" t="str">
        <f t="shared" si="19"/>
        <v/>
      </c>
      <c r="AV21" s="14" t="str">
        <f t="shared" si="19"/>
        <v/>
      </c>
      <c r="AW21" s="14" t="str">
        <f t="shared" si="19"/>
        <v/>
      </c>
      <c r="AX21" s="15" t="str">
        <f t="shared" si="20"/>
        <v/>
      </c>
      <c r="AY21" s="16" t="str">
        <f t="shared" si="20"/>
        <v/>
      </c>
      <c r="AZ21" s="13" t="str">
        <f t="shared" si="20"/>
        <v/>
      </c>
      <c r="BA21" s="14" t="str">
        <f t="shared" si="20"/>
        <v/>
      </c>
      <c r="BB21" s="14" t="str">
        <f t="shared" si="20"/>
        <v/>
      </c>
      <c r="BC21" s="14" t="str">
        <f t="shared" si="20"/>
        <v/>
      </c>
      <c r="BD21" s="14" t="str">
        <f t="shared" si="20"/>
        <v/>
      </c>
      <c r="BE21" s="15" t="str">
        <f t="shared" si="20"/>
        <v/>
      </c>
      <c r="BF21" s="16" t="str">
        <f t="shared" si="20"/>
        <v/>
      </c>
      <c r="BG21" s="13" t="str">
        <f t="shared" si="20"/>
        <v/>
      </c>
      <c r="BH21" s="14" t="str">
        <f t="shared" si="21"/>
        <v/>
      </c>
      <c r="BI21" s="14" t="str">
        <f t="shared" si="21"/>
        <v/>
      </c>
      <c r="BJ21" s="14" t="str">
        <f t="shared" si="21"/>
        <v/>
      </c>
      <c r="BK21" s="14" t="str">
        <f t="shared" si="21"/>
        <v/>
      </c>
      <c r="BL21" s="15" t="str">
        <f t="shared" si="21"/>
        <v/>
      </c>
      <c r="BM21" s="16" t="str">
        <f t="shared" si="21"/>
        <v/>
      </c>
      <c r="BN21" s="13" t="str">
        <f t="shared" si="21"/>
        <v/>
      </c>
      <c r="BO21" s="14" t="str">
        <f t="shared" si="21"/>
        <v/>
      </c>
      <c r="BP21" s="14" t="str">
        <f t="shared" si="21"/>
        <v/>
      </c>
      <c r="BQ21" s="14" t="str">
        <f t="shared" si="21"/>
        <v/>
      </c>
      <c r="BR21" s="14" t="str">
        <f t="shared" si="22"/>
        <v/>
      </c>
      <c r="BS21" s="15" t="str">
        <f t="shared" si="22"/>
        <v/>
      </c>
      <c r="BT21" s="16" t="str">
        <f t="shared" si="22"/>
        <v/>
      </c>
      <c r="BU21" s="13" t="str">
        <f t="shared" si="22"/>
        <v/>
      </c>
      <c r="BV21" s="14" t="str">
        <f t="shared" si="22"/>
        <v/>
      </c>
      <c r="BW21" s="14" t="str">
        <f t="shared" si="22"/>
        <v/>
      </c>
      <c r="BX21" s="14" t="str">
        <f t="shared" si="22"/>
        <v/>
      </c>
      <c r="BY21" s="14" t="str">
        <f t="shared" si="22"/>
        <v/>
      </c>
      <c r="BZ21" s="15" t="str">
        <f t="shared" si="22"/>
        <v/>
      </c>
      <c r="CA21" s="16" t="str">
        <f t="shared" si="22"/>
        <v/>
      </c>
      <c r="CB21" s="13" t="str">
        <f t="shared" si="23"/>
        <v/>
      </c>
      <c r="CC21" s="14" t="str">
        <f t="shared" si="23"/>
        <v/>
      </c>
      <c r="CD21" s="14" t="str">
        <f t="shared" si="23"/>
        <v/>
      </c>
      <c r="CE21" s="14" t="str">
        <f t="shared" si="23"/>
        <v/>
      </c>
      <c r="CF21" s="14" t="str">
        <f t="shared" si="23"/>
        <v/>
      </c>
      <c r="CG21" s="15" t="str">
        <f t="shared" si="23"/>
        <v/>
      </c>
      <c r="CH21" s="16" t="str">
        <f t="shared" si="23"/>
        <v/>
      </c>
      <c r="CI21" s="13" t="str">
        <f t="shared" si="23"/>
        <v/>
      </c>
      <c r="CJ21" s="14">
        <f t="shared" si="23"/>
        <v>1</v>
      </c>
      <c r="CK21" s="14">
        <f t="shared" si="23"/>
        <v>1</v>
      </c>
      <c r="CL21" s="14">
        <f t="shared" si="24"/>
        <v>1</v>
      </c>
      <c r="CM21" s="14" t="str">
        <f t="shared" si="24"/>
        <v/>
      </c>
      <c r="CN21" s="15" t="str">
        <f t="shared" si="24"/>
        <v/>
      </c>
      <c r="CO21" s="16" t="str">
        <f t="shared" si="24"/>
        <v/>
      </c>
      <c r="CP21" s="13" t="str">
        <f t="shared" si="24"/>
        <v/>
      </c>
      <c r="CQ21" s="14" t="str">
        <f t="shared" si="24"/>
        <v/>
      </c>
      <c r="CR21" s="14" t="str">
        <f t="shared" si="24"/>
        <v/>
      </c>
      <c r="CS21" s="14" t="str">
        <f t="shared" si="24"/>
        <v/>
      </c>
      <c r="CT21" s="14" t="str">
        <f t="shared" si="24"/>
        <v/>
      </c>
      <c r="CU21" s="15" t="str">
        <f t="shared" si="24"/>
        <v/>
      </c>
      <c r="CV21" s="16" t="str">
        <f t="shared" si="25"/>
        <v/>
      </c>
      <c r="CW21" s="13" t="str">
        <f t="shared" si="25"/>
        <v/>
      </c>
      <c r="CX21" s="14" t="str">
        <f t="shared" si="25"/>
        <v/>
      </c>
      <c r="CY21" s="14" t="str">
        <f t="shared" si="25"/>
        <v/>
      </c>
      <c r="CZ21" s="14" t="str">
        <f t="shared" si="25"/>
        <v/>
      </c>
      <c r="DA21" s="14" t="str">
        <f t="shared" si="25"/>
        <v/>
      </c>
      <c r="DB21" s="15" t="str">
        <f t="shared" si="25"/>
        <v/>
      </c>
      <c r="DC21" s="16" t="str">
        <f t="shared" si="25"/>
        <v/>
      </c>
      <c r="DD21" s="13" t="str">
        <f t="shared" si="25"/>
        <v/>
      </c>
      <c r="DE21" s="14" t="str">
        <f t="shared" si="25"/>
        <v/>
      </c>
      <c r="DF21" s="14" t="str">
        <f t="shared" si="26"/>
        <v/>
      </c>
      <c r="DG21" s="14" t="str">
        <f t="shared" si="26"/>
        <v/>
      </c>
      <c r="DH21" s="14" t="str">
        <f t="shared" si="26"/>
        <v/>
      </c>
      <c r="DI21" s="15" t="str">
        <f t="shared" si="26"/>
        <v/>
      </c>
      <c r="DJ21" s="16" t="str">
        <f t="shared" si="26"/>
        <v/>
      </c>
      <c r="DK21" s="13" t="str">
        <f t="shared" si="26"/>
        <v/>
      </c>
      <c r="DL21" s="14" t="str">
        <f t="shared" si="26"/>
        <v/>
      </c>
      <c r="DM21" s="14" t="str">
        <f t="shared" si="26"/>
        <v/>
      </c>
      <c r="DN21" s="14" t="str">
        <f t="shared" si="26"/>
        <v/>
      </c>
      <c r="DO21" s="14" t="str">
        <f t="shared" si="26"/>
        <v/>
      </c>
      <c r="DP21" s="15" t="str">
        <f t="shared" si="27"/>
        <v/>
      </c>
      <c r="DQ21" s="16" t="str">
        <f t="shared" si="27"/>
        <v/>
      </c>
      <c r="DR21" s="13" t="str">
        <f t="shared" si="27"/>
        <v/>
      </c>
      <c r="DS21" s="14" t="str">
        <f t="shared" si="27"/>
        <v/>
      </c>
      <c r="DT21" s="14" t="str">
        <f t="shared" si="27"/>
        <v/>
      </c>
      <c r="DU21" s="14" t="str">
        <f t="shared" si="27"/>
        <v/>
      </c>
      <c r="DV21" s="14" t="str">
        <f t="shared" si="27"/>
        <v/>
      </c>
      <c r="DW21" s="15" t="str">
        <f t="shared" si="28"/>
        <v/>
      </c>
      <c r="DX21" s="16" t="str">
        <f t="shared" si="28"/>
        <v/>
      </c>
    </row>
    <row r="22" spans="1:128" s="17" customFormat="1" ht="9.6" customHeight="1">
      <c r="A22" s="25" t="s">
        <v>51</v>
      </c>
      <c r="B22" s="24" t="s">
        <v>52</v>
      </c>
      <c r="C22" s="19">
        <v>82</v>
      </c>
      <c r="D22" s="19">
        <v>3</v>
      </c>
      <c r="E22" s="19">
        <v>84</v>
      </c>
      <c r="F22" s="299" t="s">
        <v>638</v>
      </c>
      <c r="G22" s="300" t="s">
        <v>652</v>
      </c>
      <c r="H22" s="46" t="s">
        <v>639</v>
      </c>
      <c r="I22" s="622"/>
      <c r="J22" s="13" t="str">
        <f t="shared" si="16"/>
        <v/>
      </c>
      <c r="K22" s="14" t="str">
        <f t="shared" si="16"/>
        <v/>
      </c>
      <c r="L22" s="14" t="str">
        <f t="shared" si="16"/>
        <v/>
      </c>
      <c r="M22" s="14" t="str">
        <f t="shared" si="16"/>
        <v/>
      </c>
      <c r="N22" s="14" t="str">
        <f t="shared" si="16"/>
        <v/>
      </c>
      <c r="O22" s="15" t="str">
        <f t="shared" si="16"/>
        <v/>
      </c>
      <c r="P22" s="16" t="str">
        <f t="shared" si="16"/>
        <v/>
      </c>
      <c r="Q22" s="13" t="str">
        <f t="shared" si="16"/>
        <v/>
      </c>
      <c r="R22" s="14" t="str">
        <f t="shared" si="16"/>
        <v/>
      </c>
      <c r="S22" s="14" t="str">
        <f t="shared" si="16"/>
        <v/>
      </c>
      <c r="T22" s="14" t="str">
        <f t="shared" si="17"/>
        <v/>
      </c>
      <c r="U22" s="14" t="str">
        <f t="shared" si="17"/>
        <v/>
      </c>
      <c r="V22" s="15" t="str">
        <f t="shared" si="17"/>
        <v/>
      </c>
      <c r="W22" s="16" t="str">
        <f t="shared" si="17"/>
        <v/>
      </c>
      <c r="X22" s="13" t="str">
        <f t="shared" si="17"/>
        <v/>
      </c>
      <c r="Y22" s="14" t="str">
        <f t="shared" si="17"/>
        <v/>
      </c>
      <c r="Z22" s="14" t="str">
        <f t="shared" si="17"/>
        <v/>
      </c>
      <c r="AA22" s="14" t="str">
        <f t="shared" si="17"/>
        <v/>
      </c>
      <c r="AB22" s="14" t="str">
        <f t="shared" si="17"/>
        <v/>
      </c>
      <c r="AC22" s="15" t="str">
        <f t="shared" si="17"/>
        <v/>
      </c>
      <c r="AD22" s="16" t="str">
        <f t="shared" si="18"/>
        <v/>
      </c>
      <c r="AE22" s="13" t="str">
        <f t="shared" si="18"/>
        <v/>
      </c>
      <c r="AF22" s="14" t="str">
        <f t="shared" si="18"/>
        <v/>
      </c>
      <c r="AG22" s="14" t="str">
        <f t="shared" si="18"/>
        <v/>
      </c>
      <c r="AH22" s="14" t="str">
        <f t="shared" si="18"/>
        <v/>
      </c>
      <c r="AI22" s="14" t="str">
        <f t="shared" si="18"/>
        <v/>
      </c>
      <c r="AJ22" s="15" t="str">
        <f t="shared" si="18"/>
        <v/>
      </c>
      <c r="AK22" s="16" t="str">
        <f t="shared" si="18"/>
        <v/>
      </c>
      <c r="AL22" s="13" t="str">
        <f t="shared" si="18"/>
        <v/>
      </c>
      <c r="AM22" s="14" t="str">
        <f t="shared" si="18"/>
        <v/>
      </c>
      <c r="AN22" s="14" t="str">
        <f t="shared" si="19"/>
        <v/>
      </c>
      <c r="AO22" s="14" t="str">
        <f t="shared" si="19"/>
        <v/>
      </c>
      <c r="AP22" s="14" t="str">
        <f t="shared" si="19"/>
        <v/>
      </c>
      <c r="AQ22" s="15" t="str">
        <f t="shared" si="19"/>
        <v/>
      </c>
      <c r="AR22" s="16" t="str">
        <f t="shared" si="19"/>
        <v/>
      </c>
      <c r="AS22" s="13" t="str">
        <f t="shared" si="19"/>
        <v/>
      </c>
      <c r="AT22" s="14" t="str">
        <f t="shared" si="19"/>
        <v/>
      </c>
      <c r="AU22" s="14" t="str">
        <f t="shared" si="19"/>
        <v/>
      </c>
      <c r="AV22" s="14" t="str">
        <f t="shared" si="19"/>
        <v/>
      </c>
      <c r="AW22" s="14" t="str">
        <f t="shared" si="19"/>
        <v/>
      </c>
      <c r="AX22" s="15" t="str">
        <f t="shared" si="20"/>
        <v/>
      </c>
      <c r="AY22" s="16" t="str">
        <f t="shared" si="20"/>
        <v/>
      </c>
      <c r="AZ22" s="13" t="str">
        <f t="shared" si="20"/>
        <v/>
      </c>
      <c r="BA22" s="14" t="str">
        <f t="shared" si="20"/>
        <v/>
      </c>
      <c r="BB22" s="14" t="str">
        <f t="shared" si="20"/>
        <v/>
      </c>
      <c r="BC22" s="14" t="str">
        <f t="shared" si="20"/>
        <v/>
      </c>
      <c r="BD22" s="14" t="str">
        <f t="shared" si="20"/>
        <v/>
      </c>
      <c r="BE22" s="15" t="str">
        <f t="shared" si="20"/>
        <v/>
      </c>
      <c r="BF22" s="16" t="str">
        <f t="shared" si="20"/>
        <v/>
      </c>
      <c r="BG22" s="13" t="str">
        <f t="shared" si="20"/>
        <v/>
      </c>
      <c r="BH22" s="14" t="str">
        <f t="shared" si="21"/>
        <v/>
      </c>
      <c r="BI22" s="14" t="str">
        <f t="shared" si="21"/>
        <v/>
      </c>
      <c r="BJ22" s="14" t="str">
        <f t="shared" si="21"/>
        <v/>
      </c>
      <c r="BK22" s="14" t="str">
        <f t="shared" si="21"/>
        <v/>
      </c>
      <c r="BL22" s="15" t="str">
        <f t="shared" si="21"/>
        <v/>
      </c>
      <c r="BM22" s="16" t="str">
        <f t="shared" si="21"/>
        <v/>
      </c>
      <c r="BN22" s="13" t="str">
        <f t="shared" si="21"/>
        <v/>
      </c>
      <c r="BO22" s="14" t="str">
        <f t="shared" si="21"/>
        <v/>
      </c>
      <c r="BP22" s="14" t="str">
        <f t="shared" si="21"/>
        <v/>
      </c>
      <c r="BQ22" s="14" t="str">
        <f t="shared" si="21"/>
        <v/>
      </c>
      <c r="BR22" s="14" t="str">
        <f t="shared" si="22"/>
        <v/>
      </c>
      <c r="BS22" s="15" t="str">
        <f t="shared" si="22"/>
        <v/>
      </c>
      <c r="BT22" s="16" t="str">
        <f t="shared" si="22"/>
        <v/>
      </c>
      <c r="BU22" s="13" t="str">
        <f t="shared" si="22"/>
        <v/>
      </c>
      <c r="BV22" s="14" t="str">
        <f t="shared" si="22"/>
        <v/>
      </c>
      <c r="BW22" s="14" t="str">
        <f t="shared" si="22"/>
        <v/>
      </c>
      <c r="BX22" s="14" t="str">
        <f t="shared" si="22"/>
        <v/>
      </c>
      <c r="BY22" s="14" t="str">
        <f t="shared" si="22"/>
        <v/>
      </c>
      <c r="BZ22" s="15" t="str">
        <f t="shared" si="22"/>
        <v/>
      </c>
      <c r="CA22" s="16" t="str">
        <f t="shared" si="22"/>
        <v/>
      </c>
      <c r="CB22" s="13" t="str">
        <f t="shared" si="23"/>
        <v/>
      </c>
      <c r="CC22" s="14" t="str">
        <f t="shared" si="23"/>
        <v/>
      </c>
      <c r="CD22" s="14" t="str">
        <f t="shared" si="23"/>
        <v/>
      </c>
      <c r="CE22" s="14" t="str">
        <f t="shared" si="23"/>
        <v/>
      </c>
      <c r="CF22" s="14" t="str">
        <f t="shared" si="23"/>
        <v/>
      </c>
      <c r="CG22" s="15" t="str">
        <f t="shared" si="23"/>
        <v/>
      </c>
      <c r="CH22" s="16" t="str">
        <f t="shared" si="23"/>
        <v/>
      </c>
      <c r="CI22" s="13" t="str">
        <f t="shared" si="23"/>
        <v/>
      </c>
      <c r="CJ22" s="14" t="str">
        <f t="shared" si="23"/>
        <v/>
      </c>
      <c r="CK22" s="14" t="str">
        <f t="shared" si="23"/>
        <v/>
      </c>
      <c r="CL22" s="14" t="str">
        <f t="shared" si="24"/>
        <v/>
      </c>
      <c r="CM22" s="14">
        <f t="shared" si="24"/>
        <v>1</v>
      </c>
      <c r="CN22" s="15">
        <f t="shared" si="24"/>
        <v>1</v>
      </c>
      <c r="CO22" s="16">
        <f t="shared" si="24"/>
        <v>1</v>
      </c>
      <c r="CP22" s="13" t="str">
        <f t="shared" si="24"/>
        <v/>
      </c>
      <c r="CQ22" s="14" t="str">
        <f t="shared" si="24"/>
        <v/>
      </c>
      <c r="CR22" s="14" t="str">
        <f t="shared" si="24"/>
        <v/>
      </c>
      <c r="CS22" s="14" t="str">
        <f t="shared" si="24"/>
        <v/>
      </c>
      <c r="CT22" s="14" t="str">
        <f t="shared" si="24"/>
        <v/>
      </c>
      <c r="CU22" s="15" t="str">
        <f t="shared" si="24"/>
        <v/>
      </c>
      <c r="CV22" s="16" t="str">
        <f t="shared" si="25"/>
        <v/>
      </c>
      <c r="CW22" s="13" t="str">
        <f t="shared" si="25"/>
        <v/>
      </c>
      <c r="CX22" s="14" t="str">
        <f t="shared" si="25"/>
        <v/>
      </c>
      <c r="CY22" s="14" t="str">
        <f t="shared" si="25"/>
        <v/>
      </c>
      <c r="CZ22" s="14" t="str">
        <f t="shared" si="25"/>
        <v/>
      </c>
      <c r="DA22" s="14" t="str">
        <f t="shared" si="25"/>
        <v/>
      </c>
      <c r="DB22" s="15" t="str">
        <f t="shared" si="25"/>
        <v/>
      </c>
      <c r="DC22" s="16" t="str">
        <f t="shared" si="25"/>
        <v/>
      </c>
      <c r="DD22" s="13" t="str">
        <f t="shared" si="25"/>
        <v/>
      </c>
      <c r="DE22" s="14" t="str">
        <f t="shared" si="25"/>
        <v/>
      </c>
      <c r="DF22" s="14" t="str">
        <f t="shared" si="26"/>
        <v/>
      </c>
      <c r="DG22" s="14" t="str">
        <f t="shared" si="26"/>
        <v/>
      </c>
      <c r="DH22" s="14" t="str">
        <f t="shared" si="26"/>
        <v/>
      </c>
      <c r="DI22" s="15" t="str">
        <f t="shared" si="26"/>
        <v/>
      </c>
      <c r="DJ22" s="16" t="str">
        <f t="shared" si="26"/>
        <v/>
      </c>
      <c r="DK22" s="13" t="str">
        <f t="shared" si="26"/>
        <v/>
      </c>
      <c r="DL22" s="14" t="str">
        <f t="shared" si="26"/>
        <v/>
      </c>
      <c r="DM22" s="14" t="str">
        <f t="shared" si="26"/>
        <v/>
      </c>
      <c r="DN22" s="14" t="str">
        <f t="shared" si="26"/>
        <v/>
      </c>
      <c r="DO22" s="14" t="str">
        <f t="shared" si="26"/>
        <v/>
      </c>
      <c r="DP22" s="15" t="str">
        <f t="shared" si="27"/>
        <v/>
      </c>
      <c r="DQ22" s="16" t="str">
        <f t="shared" si="27"/>
        <v/>
      </c>
      <c r="DR22" s="13" t="str">
        <f t="shared" si="27"/>
        <v/>
      </c>
      <c r="DS22" s="14" t="str">
        <f t="shared" si="27"/>
        <v/>
      </c>
      <c r="DT22" s="14" t="str">
        <f t="shared" si="27"/>
        <v/>
      </c>
      <c r="DU22" s="14" t="str">
        <f t="shared" si="27"/>
        <v/>
      </c>
      <c r="DV22" s="14" t="str">
        <f t="shared" si="27"/>
        <v/>
      </c>
      <c r="DW22" s="15" t="str">
        <f t="shared" si="28"/>
        <v/>
      </c>
      <c r="DX22" s="16" t="str">
        <f t="shared" si="28"/>
        <v/>
      </c>
    </row>
    <row r="23" spans="1:128" s="17" customFormat="1" ht="9.6" customHeight="1">
      <c r="A23" s="27" t="e">
        <f ca="1">IFERROR(VLOOKUP(_xlfn.CONCAT(B7,"-","Actif"),'DATA BTO'!A:D,3,FALSE),VLOOKUP(_xlfn.CONCAT(B7,"-","Inactif"),'DATA BTO'!A:D,3,FALSE))</f>
        <v>#N/A</v>
      </c>
      <c r="B23" s="26" t="s">
        <v>53</v>
      </c>
      <c r="C23" s="19">
        <v>85</v>
      </c>
      <c r="D23" s="19">
        <v>0</v>
      </c>
      <c r="E23" s="19">
        <v>84</v>
      </c>
      <c r="F23" s="299" t="s">
        <v>638</v>
      </c>
      <c r="G23" s="301" t="s">
        <v>645</v>
      </c>
      <c r="H23" s="46" t="s">
        <v>639</v>
      </c>
      <c r="I23" s="625" t="s">
        <v>653</v>
      </c>
      <c r="J23" s="13" t="str">
        <f t="shared" si="16"/>
        <v/>
      </c>
      <c r="K23" s="14" t="str">
        <f t="shared" si="16"/>
        <v/>
      </c>
      <c r="L23" s="14" t="str">
        <f t="shared" si="16"/>
        <v/>
      </c>
      <c r="M23" s="14" t="str">
        <f t="shared" si="16"/>
        <v/>
      </c>
      <c r="N23" s="14" t="str">
        <f t="shared" si="16"/>
        <v/>
      </c>
      <c r="O23" s="15" t="str">
        <f t="shared" si="16"/>
        <v/>
      </c>
      <c r="P23" s="16" t="str">
        <f t="shared" si="16"/>
        <v/>
      </c>
      <c r="Q23" s="13" t="str">
        <f t="shared" si="16"/>
        <v/>
      </c>
      <c r="R23" s="14" t="str">
        <f t="shared" si="16"/>
        <v/>
      </c>
      <c r="S23" s="14" t="str">
        <f t="shared" si="16"/>
        <v/>
      </c>
      <c r="T23" s="14" t="str">
        <f t="shared" si="17"/>
        <v/>
      </c>
      <c r="U23" s="14" t="str">
        <f t="shared" si="17"/>
        <v/>
      </c>
      <c r="V23" s="15" t="str">
        <f t="shared" si="17"/>
        <v/>
      </c>
      <c r="W23" s="16" t="str">
        <f t="shared" si="17"/>
        <v/>
      </c>
      <c r="X23" s="13" t="str">
        <f t="shared" si="17"/>
        <v/>
      </c>
      <c r="Y23" s="14" t="str">
        <f t="shared" si="17"/>
        <v/>
      </c>
      <c r="Z23" s="14" t="str">
        <f t="shared" si="17"/>
        <v/>
      </c>
      <c r="AA23" s="14" t="str">
        <f t="shared" si="17"/>
        <v/>
      </c>
      <c r="AB23" s="14" t="str">
        <f t="shared" si="17"/>
        <v/>
      </c>
      <c r="AC23" s="15" t="str">
        <f t="shared" si="17"/>
        <v/>
      </c>
      <c r="AD23" s="16" t="str">
        <f t="shared" si="18"/>
        <v/>
      </c>
      <c r="AE23" s="13" t="str">
        <f t="shared" si="18"/>
        <v/>
      </c>
      <c r="AF23" s="14" t="str">
        <f t="shared" si="18"/>
        <v/>
      </c>
      <c r="AG23" s="14" t="str">
        <f t="shared" si="18"/>
        <v/>
      </c>
      <c r="AH23" s="14" t="str">
        <f t="shared" si="18"/>
        <v/>
      </c>
      <c r="AI23" s="14" t="str">
        <f t="shared" si="18"/>
        <v/>
      </c>
      <c r="AJ23" s="15" t="str">
        <f t="shared" si="18"/>
        <v/>
      </c>
      <c r="AK23" s="16" t="str">
        <f t="shared" si="18"/>
        <v/>
      </c>
      <c r="AL23" s="13" t="str">
        <f t="shared" si="18"/>
        <v/>
      </c>
      <c r="AM23" s="14" t="str">
        <f t="shared" si="18"/>
        <v/>
      </c>
      <c r="AN23" s="14" t="str">
        <f t="shared" si="19"/>
        <v/>
      </c>
      <c r="AO23" s="14" t="str">
        <f t="shared" si="19"/>
        <v/>
      </c>
      <c r="AP23" s="14" t="str">
        <f t="shared" si="19"/>
        <v/>
      </c>
      <c r="AQ23" s="15" t="str">
        <f t="shared" si="19"/>
        <v/>
      </c>
      <c r="AR23" s="16" t="str">
        <f t="shared" si="19"/>
        <v/>
      </c>
      <c r="AS23" s="13" t="str">
        <f t="shared" si="19"/>
        <v/>
      </c>
      <c r="AT23" s="14" t="str">
        <f t="shared" si="19"/>
        <v/>
      </c>
      <c r="AU23" s="14" t="str">
        <f t="shared" si="19"/>
        <v/>
      </c>
      <c r="AV23" s="14" t="str">
        <f t="shared" si="19"/>
        <v/>
      </c>
      <c r="AW23" s="14" t="str">
        <f t="shared" si="19"/>
        <v/>
      </c>
      <c r="AX23" s="15" t="str">
        <f t="shared" si="20"/>
        <v/>
      </c>
      <c r="AY23" s="16" t="str">
        <f t="shared" si="20"/>
        <v/>
      </c>
      <c r="AZ23" s="13" t="str">
        <f t="shared" si="20"/>
        <v/>
      </c>
      <c r="BA23" s="14" t="str">
        <f t="shared" si="20"/>
        <v/>
      </c>
      <c r="BB23" s="14" t="str">
        <f t="shared" si="20"/>
        <v/>
      </c>
      <c r="BC23" s="14" t="str">
        <f t="shared" si="20"/>
        <v/>
      </c>
      <c r="BD23" s="14" t="str">
        <f t="shared" si="20"/>
        <v/>
      </c>
      <c r="BE23" s="15" t="str">
        <f t="shared" si="20"/>
        <v/>
      </c>
      <c r="BF23" s="16" t="str">
        <f t="shared" si="20"/>
        <v/>
      </c>
      <c r="BG23" s="13" t="str">
        <f t="shared" si="20"/>
        <v/>
      </c>
      <c r="BH23" s="14" t="str">
        <f t="shared" si="21"/>
        <v/>
      </c>
      <c r="BI23" s="14" t="str">
        <f t="shared" si="21"/>
        <v/>
      </c>
      <c r="BJ23" s="14" t="str">
        <f t="shared" si="21"/>
        <v/>
      </c>
      <c r="BK23" s="14" t="str">
        <f t="shared" si="21"/>
        <v/>
      </c>
      <c r="BL23" s="15" t="str">
        <f t="shared" si="21"/>
        <v/>
      </c>
      <c r="BM23" s="16" t="str">
        <f t="shared" si="21"/>
        <v/>
      </c>
      <c r="BN23" s="13" t="str">
        <f t="shared" si="21"/>
        <v/>
      </c>
      <c r="BO23" s="14" t="str">
        <f t="shared" si="21"/>
        <v/>
      </c>
      <c r="BP23" s="14" t="str">
        <f t="shared" si="21"/>
        <v/>
      </c>
      <c r="BQ23" s="14" t="str">
        <f t="shared" si="21"/>
        <v/>
      </c>
      <c r="BR23" s="14" t="str">
        <f t="shared" si="22"/>
        <v/>
      </c>
      <c r="BS23" s="15" t="str">
        <f t="shared" si="22"/>
        <v/>
      </c>
      <c r="BT23" s="16" t="str">
        <f t="shared" si="22"/>
        <v/>
      </c>
      <c r="BU23" s="13" t="str">
        <f t="shared" si="22"/>
        <v/>
      </c>
      <c r="BV23" s="14" t="str">
        <f t="shared" si="22"/>
        <v/>
      </c>
      <c r="BW23" s="14" t="str">
        <f t="shared" si="22"/>
        <v/>
      </c>
      <c r="BX23" s="14" t="str">
        <f t="shared" si="22"/>
        <v/>
      </c>
      <c r="BY23" s="14" t="str">
        <f t="shared" si="22"/>
        <v/>
      </c>
      <c r="BZ23" s="15" t="str">
        <f t="shared" si="22"/>
        <v/>
      </c>
      <c r="CA23" s="16" t="str">
        <f t="shared" si="22"/>
        <v/>
      </c>
      <c r="CB23" s="13" t="str">
        <f t="shared" si="23"/>
        <v/>
      </c>
      <c r="CC23" s="14" t="str">
        <f t="shared" si="23"/>
        <v/>
      </c>
      <c r="CD23" s="14" t="str">
        <f t="shared" si="23"/>
        <v/>
      </c>
      <c r="CE23" s="14" t="str">
        <f t="shared" si="23"/>
        <v/>
      </c>
      <c r="CF23" s="14" t="str">
        <f t="shared" si="23"/>
        <v/>
      </c>
      <c r="CG23" s="15" t="str">
        <f t="shared" si="23"/>
        <v/>
      </c>
      <c r="CH23" s="16" t="str">
        <f t="shared" si="23"/>
        <v/>
      </c>
      <c r="CI23" s="13" t="str">
        <f t="shared" si="23"/>
        <v/>
      </c>
      <c r="CJ23" s="14" t="str">
        <f t="shared" si="23"/>
        <v/>
      </c>
      <c r="CK23" s="14" t="str">
        <f t="shared" si="23"/>
        <v/>
      </c>
      <c r="CL23" s="14" t="str">
        <f t="shared" si="24"/>
        <v/>
      </c>
      <c r="CM23" s="14" t="str">
        <f t="shared" si="24"/>
        <v/>
      </c>
      <c r="CN23" s="15" t="str">
        <f t="shared" si="24"/>
        <v/>
      </c>
      <c r="CO23" s="16" t="str">
        <f t="shared" si="24"/>
        <v/>
      </c>
      <c r="CP23" s="13" t="str">
        <f t="shared" si="24"/>
        <v/>
      </c>
      <c r="CQ23" s="14" t="str">
        <f t="shared" si="24"/>
        <v/>
      </c>
      <c r="CR23" s="14" t="str">
        <f t="shared" si="24"/>
        <v/>
      </c>
      <c r="CS23" s="14" t="str">
        <f t="shared" si="24"/>
        <v/>
      </c>
      <c r="CT23" s="14" t="str">
        <f t="shared" si="24"/>
        <v/>
      </c>
      <c r="CU23" s="15" t="str">
        <f t="shared" si="24"/>
        <v/>
      </c>
      <c r="CV23" s="16" t="str">
        <f t="shared" si="25"/>
        <v/>
      </c>
      <c r="CW23" s="13" t="str">
        <f t="shared" si="25"/>
        <v/>
      </c>
      <c r="CX23" s="14" t="str">
        <f t="shared" si="25"/>
        <v/>
      </c>
      <c r="CY23" s="14" t="str">
        <f t="shared" si="25"/>
        <v/>
      </c>
      <c r="CZ23" s="14" t="str">
        <f t="shared" si="25"/>
        <v/>
      </c>
      <c r="DA23" s="14" t="str">
        <f t="shared" si="25"/>
        <v/>
      </c>
      <c r="DB23" s="15" t="str">
        <f t="shared" si="25"/>
        <v/>
      </c>
      <c r="DC23" s="16" t="str">
        <f t="shared" si="25"/>
        <v/>
      </c>
      <c r="DD23" s="13" t="str">
        <f t="shared" si="25"/>
        <v/>
      </c>
      <c r="DE23" s="14" t="str">
        <f t="shared" si="25"/>
        <v/>
      </c>
      <c r="DF23" s="14" t="str">
        <f t="shared" si="26"/>
        <v/>
      </c>
      <c r="DG23" s="14" t="str">
        <f t="shared" si="26"/>
        <v/>
      </c>
      <c r="DH23" s="14" t="str">
        <f t="shared" si="26"/>
        <v/>
      </c>
      <c r="DI23" s="15" t="str">
        <f t="shared" si="26"/>
        <v/>
      </c>
      <c r="DJ23" s="16" t="str">
        <f t="shared" si="26"/>
        <v/>
      </c>
      <c r="DK23" s="13" t="str">
        <f t="shared" si="26"/>
        <v/>
      </c>
      <c r="DL23" s="14" t="str">
        <f t="shared" si="26"/>
        <v/>
      </c>
      <c r="DM23" s="14" t="str">
        <f t="shared" si="26"/>
        <v/>
      </c>
      <c r="DN23" s="14" t="str">
        <f t="shared" si="26"/>
        <v/>
      </c>
      <c r="DO23" s="14" t="str">
        <f t="shared" si="26"/>
        <v/>
      </c>
      <c r="DP23" s="15" t="str">
        <f t="shared" si="27"/>
        <v/>
      </c>
      <c r="DQ23" s="16" t="str">
        <f t="shared" si="27"/>
        <v/>
      </c>
      <c r="DR23" s="13" t="str">
        <f t="shared" si="27"/>
        <v/>
      </c>
      <c r="DS23" s="14" t="str">
        <f t="shared" si="27"/>
        <v/>
      </c>
      <c r="DT23" s="14" t="str">
        <f t="shared" si="27"/>
        <v/>
      </c>
      <c r="DU23" s="14" t="str">
        <f t="shared" si="27"/>
        <v/>
      </c>
      <c r="DV23" s="14" t="str">
        <f t="shared" si="27"/>
        <v/>
      </c>
      <c r="DW23" s="15" t="str">
        <f t="shared" si="28"/>
        <v/>
      </c>
      <c r="DX23" s="16" t="str">
        <f t="shared" si="28"/>
        <v/>
      </c>
    </row>
    <row r="24" spans="1:128" s="17" customFormat="1" ht="9.6" customHeight="1">
      <c r="A24" s="27" t="e">
        <f ca="1">IFERROR(VLOOKUP(_xlfn.CONCAT(B7,"-","Actif"),'DATA BTO'!A:D,4,FALSE),VLOOKUP(_xlfn.CONCAT(B7,"-","Inactif"),'DATA BTO'!A:D,4,FALSE))</f>
        <v>#N/A</v>
      </c>
      <c r="B24" s="28" t="s">
        <v>54</v>
      </c>
      <c r="C24" s="19">
        <v>85</v>
      </c>
      <c r="D24" s="20">
        <v>7</v>
      </c>
      <c r="E24" s="19">
        <v>91</v>
      </c>
      <c r="F24" s="299" t="s">
        <v>638</v>
      </c>
      <c r="G24" s="46" t="s">
        <v>638</v>
      </c>
      <c r="H24" s="46" t="s">
        <v>639</v>
      </c>
      <c r="I24" s="622"/>
      <c r="J24" s="13" t="str">
        <f t="shared" si="16"/>
        <v/>
      </c>
      <c r="K24" s="14" t="str">
        <f t="shared" si="16"/>
        <v/>
      </c>
      <c r="L24" s="14" t="str">
        <f t="shared" si="16"/>
        <v/>
      </c>
      <c r="M24" s="14" t="str">
        <f t="shared" si="16"/>
        <v/>
      </c>
      <c r="N24" s="14" t="str">
        <f t="shared" si="16"/>
        <v/>
      </c>
      <c r="O24" s="15" t="str">
        <f t="shared" si="16"/>
        <v/>
      </c>
      <c r="P24" s="16" t="str">
        <f t="shared" si="16"/>
        <v/>
      </c>
      <c r="Q24" s="13" t="str">
        <f t="shared" si="16"/>
        <v/>
      </c>
      <c r="R24" s="14" t="str">
        <f t="shared" si="16"/>
        <v/>
      </c>
      <c r="S24" s="14" t="str">
        <f t="shared" si="16"/>
        <v/>
      </c>
      <c r="T24" s="14" t="str">
        <f t="shared" si="17"/>
        <v/>
      </c>
      <c r="U24" s="14" t="str">
        <f t="shared" si="17"/>
        <v/>
      </c>
      <c r="V24" s="15" t="str">
        <f t="shared" si="17"/>
        <v/>
      </c>
      <c r="W24" s="16" t="str">
        <f t="shared" si="17"/>
        <v/>
      </c>
      <c r="X24" s="13" t="str">
        <f t="shared" si="17"/>
        <v/>
      </c>
      <c r="Y24" s="14" t="str">
        <f t="shared" si="17"/>
        <v/>
      </c>
      <c r="Z24" s="14" t="str">
        <f t="shared" si="17"/>
        <v/>
      </c>
      <c r="AA24" s="14" t="str">
        <f t="shared" si="17"/>
        <v/>
      </c>
      <c r="AB24" s="14" t="str">
        <f t="shared" si="17"/>
        <v/>
      </c>
      <c r="AC24" s="15" t="str">
        <f t="shared" si="17"/>
        <v/>
      </c>
      <c r="AD24" s="16" t="str">
        <f t="shared" si="18"/>
        <v/>
      </c>
      <c r="AE24" s="13" t="str">
        <f t="shared" si="18"/>
        <v/>
      </c>
      <c r="AF24" s="14" t="str">
        <f t="shared" si="18"/>
        <v/>
      </c>
      <c r="AG24" s="14" t="str">
        <f t="shared" si="18"/>
        <v/>
      </c>
      <c r="AH24" s="14" t="str">
        <f t="shared" si="18"/>
        <v/>
      </c>
      <c r="AI24" s="14" t="str">
        <f t="shared" si="18"/>
        <v/>
      </c>
      <c r="AJ24" s="15" t="str">
        <f t="shared" si="18"/>
        <v/>
      </c>
      <c r="AK24" s="16" t="str">
        <f t="shared" si="18"/>
        <v/>
      </c>
      <c r="AL24" s="13" t="str">
        <f t="shared" si="18"/>
        <v/>
      </c>
      <c r="AM24" s="14" t="str">
        <f t="shared" si="18"/>
        <v/>
      </c>
      <c r="AN24" s="14" t="str">
        <f t="shared" si="19"/>
        <v/>
      </c>
      <c r="AO24" s="14" t="str">
        <f t="shared" si="19"/>
        <v/>
      </c>
      <c r="AP24" s="14" t="str">
        <f t="shared" si="19"/>
        <v/>
      </c>
      <c r="AQ24" s="15" t="str">
        <f t="shared" si="19"/>
        <v/>
      </c>
      <c r="AR24" s="16" t="str">
        <f t="shared" si="19"/>
        <v/>
      </c>
      <c r="AS24" s="13" t="str">
        <f t="shared" si="19"/>
        <v/>
      </c>
      <c r="AT24" s="14" t="str">
        <f t="shared" si="19"/>
        <v/>
      </c>
      <c r="AU24" s="14" t="str">
        <f t="shared" si="19"/>
        <v/>
      </c>
      <c r="AV24" s="14" t="str">
        <f t="shared" si="19"/>
        <v/>
      </c>
      <c r="AW24" s="14" t="str">
        <f t="shared" si="19"/>
        <v/>
      </c>
      <c r="AX24" s="15" t="str">
        <f t="shared" si="20"/>
        <v/>
      </c>
      <c r="AY24" s="16" t="str">
        <f t="shared" si="20"/>
        <v/>
      </c>
      <c r="AZ24" s="13" t="str">
        <f t="shared" si="20"/>
        <v/>
      </c>
      <c r="BA24" s="14" t="str">
        <f t="shared" si="20"/>
        <v/>
      </c>
      <c r="BB24" s="14" t="str">
        <f t="shared" si="20"/>
        <v/>
      </c>
      <c r="BC24" s="14" t="str">
        <f t="shared" si="20"/>
        <v/>
      </c>
      <c r="BD24" s="14" t="str">
        <f t="shared" si="20"/>
        <v/>
      </c>
      <c r="BE24" s="15" t="str">
        <f t="shared" si="20"/>
        <v/>
      </c>
      <c r="BF24" s="16" t="str">
        <f t="shared" si="20"/>
        <v/>
      </c>
      <c r="BG24" s="13" t="str">
        <f t="shared" si="20"/>
        <v/>
      </c>
      <c r="BH24" s="14" t="str">
        <f t="shared" si="21"/>
        <v/>
      </c>
      <c r="BI24" s="14" t="str">
        <f t="shared" si="21"/>
        <v/>
      </c>
      <c r="BJ24" s="14" t="str">
        <f t="shared" si="21"/>
        <v/>
      </c>
      <c r="BK24" s="14" t="str">
        <f t="shared" si="21"/>
        <v/>
      </c>
      <c r="BL24" s="15" t="str">
        <f t="shared" si="21"/>
        <v/>
      </c>
      <c r="BM24" s="16" t="str">
        <f t="shared" si="21"/>
        <v/>
      </c>
      <c r="BN24" s="13" t="str">
        <f t="shared" si="21"/>
        <v/>
      </c>
      <c r="BO24" s="14" t="str">
        <f t="shared" si="21"/>
        <v/>
      </c>
      <c r="BP24" s="14" t="str">
        <f t="shared" si="21"/>
        <v/>
      </c>
      <c r="BQ24" s="14" t="str">
        <f t="shared" si="21"/>
        <v/>
      </c>
      <c r="BR24" s="14" t="str">
        <f t="shared" si="22"/>
        <v/>
      </c>
      <c r="BS24" s="15" t="str">
        <f t="shared" si="22"/>
        <v/>
      </c>
      <c r="BT24" s="16" t="str">
        <f t="shared" si="22"/>
        <v/>
      </c>
      <c r="BU24" s="13" t="str">
        <f t="shared" si="22"/>
        <v/>
      </c>
      <c r="BV24" s="14" t="str">
        <f t="shared" si="22"/>
        <v/>
      </c>
      <c r="BW24" s="14" t="str">
        <f t="shared" si="22"/>
        <v/>
      </c>
      <c r="BX24" s="14" t="str">
        <f t="shared" si="22"/>
        <v/>
      </c>
      <c r="BY24" s="14" t="str">
        <f t="shared" si="22"/>
        <v/>
      </c>
      <c r="BZ24" s="15" t="str">
        <f t="shared" si="22"/>
        <v/>
      </c>
      <c r="CA24" s="16" t="str">
        <f t="shared" si="22"/>
        <v/>
      </c>
      <c r="CB24" s="13" t="str">
        <f t="shared" si="23"/>
        <v/>
      </c>
      <c r="CC24" s="14" t="str">
        <f t="shared" si="23"/>
        <v/>
      </c>
      <c r="CD24" s="14" t="str">
        <f t="shared" si="23"/>
        <v/>
      </c>
      <c r="CE24" s="14" t="str">
        <f t="shared" si="23"/>
        <v/>
      </c>
      <c r="CF24" s="14" t="str">
        <f t="shared" si="23"/>
        <v/>
      </c>
      <c r="CG24" s="15" t="str">
        <f t="shared" si="23"/>
        <v/>
      </c>
      <c r="CH24" s="16" t="str">
        <f t="shared" si="23"/>
        <v/>
      </c>
      <c r="CI24" s="13" t="str">
        <f t="shared" si="23"/>
        <v/>
      </c>
      <c r="CJ24" s="14" t="str">
        <f t="shared" si="23"/>
        <v/>
      </c>
      <c r="CK24" s="14" t="str">
        <f t="shared" si="23"/>
        <v/>
      </c>
      <c r="CL24" s="14" t="str">
        <f t="shared" si="24"/>
        <v/>
      </c>
      <c r="CM24" s="14" t="str">
        <f t="shared" si="24"/>
        <v/>
      </c>
      <c r="CN24" s="15" t="str">
        <f t="shared" si="24"/>
        <v/>
      </c>
      <c r="CO24" s="16" t="str">
        <f t="shared" si="24"/>
        <v/>
      </c>
      <c r="CP24" s="13">
        <f t="shared" si="24"/>
        <v>1</v>
      </c>
      <c r="CQ24" s="14">
        <f t="shared" si="24"/>
        <v>1</v>
      </c>
      <c r="CR24" s="14">
        <f t="shared" si="24"/>
        <v>1</v>
      </c>
      <c r="CS24" s="14">
        <f t="shared" si="24"/>
        <v>1</v>
      </c>
      <c r="CT24" s="14">
        <f t="shared" si="24"/>
        <v>1</v>
      </c>
      <c r="CU24" s="15">
        <f t="shared" si="24"/>
        <v>1</v>
      </c>
      <c r="CV24" s="16">
        <f t="shared" si="25"/>
        <v>1</v>
      </c>
      <c r="CW24" s="13" t="str">
        <f t="shared" si="25"/>
        <v/>
      </c>
      <c r="CX24" s="14" t="str">
        <f t="shared" si="25"/>
        <v/>
      </c>
      <c r="CY24" s="14" t="str">
        <f t="shared" si="25"/>
        <v/>
      </c>
      <c r="CZ24" s="14" t="str">
        <f t="shared" si="25"/>
        <v/>
      </c>
      <c r="DA24" s="14" t="str">
        <f t="shared" si="25"/>
        <v/>
      </c>
      <c r="DB24" s="15" t="str">
        <f t="shared" si="25"/>
        <v/>
      </c>
      <c r="DC24" s="16" t="str">
        <f t="shared" si="25"/>
        <v/>
      </c>
      <c r="DD24" s="13" t="str">
        <f t="shared" si="25"/>
        <v/>
      </c>
      <c r="DE24" s="14" t="str">
        <f t="shared" si="25"/>
        <v/>
      </c>
      <c r="DF24" s="14" t="str">
        <f t="shared" si="26"/>
        <v/>
      </c>
      <c r="DG24" s="14" t="str">
        <f t="shared" si="26"/>
        <v/>
      </c>
      <c r="DH24" s="14" t="str">
        <f t="shared" si="26"/>
        <v/>
      </c>
      <c r="DI24" s="15" t="str">
        <f t="shared" si="26"/>
        <v/>
      </c>
      <c r="DJ24" s="16" t="str">
        <f t="shared" si="26"/>
        <v/>
      </c>
      <c r="DK24" s="13" t="str">
        <f t="shared" si="26"/>
        <v/>
      </c>
      <c r="DL24" s="14" t="str">
        <f t="shared" si="26"/>
        <v/>
      </c>
      <c r="DM24" s="14" t="str">
        <f t="shared" si="26"/>
        <v/>
      </c>
      <c r="DN24" s="14" t="str">
        <f t="shared" si="26"/>
        <v/>
      </c>
      <c r="DO24" s="14" t="str">
        <f t="shared" si="26"/>
        <v/>
      </c>
      <c r="DP24" s="15" t="str">
        <f t="shared" si="27"/>
        <v/>
      </c>
      <c r="DQ24" s="16" t="str">
        <f t="shared" si="27"/>
        <v/>
      </c>
      <c r="DR24" s="13" t="str">
        <f t="shared" si="27"/>
        <v/>
      </c>
      <c r="DS24" s="14" t="str">
        <f t="shared" si="27"/>
        <v/>
      </c>
      <c r="DT24" s="14" t="str">
        <f t="shared" si="27"/>
        <v/>
      </c>
      <c r="DU24" s="14" t="str">
        <f t="shared" si="27"/>
        <v/>
      </c>
      <c r="DV24" s="14" t="str">
        <f t="shared" si="27"/>
        <v/>
      </c>
      <c r="DW24" s="15" t="str">
        <f t="shared" si="28"/>
        <v/>
      </c>
      <c r="DX24" s="16" t="str">
        <f t="shared" si="28"/>
        <v/>
      </c>
    </row>
    <row r="25" spans="1:128" s="17" customFormat="1" ht="9.6" customHeight="1">
      <c r="A25" s="90" t="str">
        <f>_xlfn.CONCAT(B7,"-","Actif")</f>
        <v>798-Actif</v>
      </c>
      <c r="B25" s="28" t="s">
        <v>55</v>
      </c>
      <c r="C25" s="19">
        <v>92</v>
      </c>
      <c r="D25" s="20">
        <v>7</v>
      </c>
      <c r="E25" s="19">
        <v>98</v>
      </c>
      <c r="F25" s="299" t="s">
        <v>638</v>
      </c>
      <c r="G25" s="46" t="s">
        <v>638</v>
      </c>
      <c r="H25" s="46" t="s">
        <v>639</v>
      </c>
      <c r="I25" s="622"/>
      <c r="J25" s="13" t="str">
        <f t="shared" si="16"/>
        <v/>
      </c>
      <c r="K25" s="14" t="str">
        <f t="shared" si="16"/>
        <v/>
      </c>
      <c r="L25" s="14" t="str">
        <f t="shared" si="16"/>
        <v/>
      </c>
      <c r="M25" s="14" t="str">
        <f t="shared" si="16"/>
        <v/>
      </c>
      <c r="N25" s="14" t="str">
        <f t="shared" si="16"/>
        <v/>
      </c>
      <c r="O25" s="15" t="str">
        <f t="shared" si="16"/>
        <v/>
      </c>
      <c r="P25" s="16" t="str">
        <f t="shared" si="16"/>
        <v/>
      </c>
      <c r="Q25" s="13" t="str">
        <f t="shared" si="16"/>
        <v/>
      </c>
      <c r="R25" s="14" t="str">
        <f t="shared" si="16"/>
        <v/>
      </c>
      <c r="S25" s="14" t="str">
        <f t="shared" si="16"/>
        <v/>
      </c>
      <c r="T25" s="14" t="str">
        <f t="shared" si="17"/>
        <v/>
      </c>
      <c r="U25" s="14" t="str">
        <f t="shared" si="17"/>
        <v/>
      </c>
      <c r="V25" s="15" t="str">
        <f t="shared" si="17"/>
        <v/>
      </c>
      <c r="W25" s="16" t="str">
        <f t="shared" si="17"/>
        <v/>
      </c>
      <c r="X25" s="13" t="str">
        <f t="shared" si="17"/>
        <v/>
      </c>
      <c r="Y25" s="14" t="str">
        <f t="shared" si="17"/>
        <v/>
      </c>
      <c r="Z25" s="14" t="str">
        <f t="shared" si="17"/>
        <v/>
      </c>
      <c r="AA25" s="14" t="str">
        <f t="shared" si="17"/>
        <v/>
      </c>
      <c r="AB25" s="14" t="str">
        <f t="shared" si="17"/>
        <v/>
      </c>
      <c r="AC25" s="15" t="str">
        <f t="shared" si="17"/>
        <v/>
      </c>
      <c r="AD25" s="16" t="str">
        <f t="shared" si="18"/>
        <v/>
      </c>
      <c r="AE25" s="13" t="str">
        <f t="shared" si="18"/>
        <v/>
      </c>
      <c r="AF25" s="14" t="str">
        <f t="shared" si="18"/>
        <v/>
      </c>
      <c r="AG25" s="14" t="str">
        <f t="shared" si="18"/>
        <v/>
      </c>
      <c r="AH25" s="14" t="str">
        <f t="shared" si="18"/>
        <v/>
      </c>
      <c r="AI25" s="14" t="str">
        <f t="shared" si="18"/>
        <v/>
      </c>
      <c r="AJ25" s="15" t="str">
        <f t="shared" si="18"/>
        <v/>
      </c>
      <c r="AK25" s="16" t="str">
        <f t="shared" si="18"/>
        <v/>
      </c>
      <c r="AL25" s="13" t="str">
        <f t="shared" si="18"/>
        <v/>
      </c>
      <c r="AM25" s="14" t="str">
        <f t="shared" si="18"/>
        <v/>
      </c>
      <c r="AN25" s="14" t="str">
        <f t="shared" si="19"/>
        <v/>
      </c>
      <c r="AO25" s="14" t="str">
        <f t="shared" si="19"/>
        <v/>
      </c>
      <c r="AP25" s="14" t="str">
        <f t="shared" si="19"/>
        <v/>
      </c>
      <c r="AQ25" s="15" t="str">
        <f t="shared" si="19"/>
        <v/>
      </c>
      <c r="AR25" s="16" t="str">
        <f t="shared" si="19"/>
        <v/>
      </c>
      <c r="AS25" s="13" t="str">
        <f t="shared" si="19"/>
        <v/>
      </c>
      <c r="AT25" s="14" t="str">
        <f t="shared" si="19"/>
        <v/>
      </c>
      <c r="AU25" s="14" t="str">
        <f t="shared" si="19"/>
        <v/>
      </c>
      <c r="AV25" s="14" t="str">
        <f t="shared" si="19"/>
        <v/>
      </c>
      <c r="AW25" s="14" t="str">
        <f t="shared" si="19"/>
        <v/>
      </c>
      <c r="AX25" s="15" t="str">
        <f t="shared" si="20"/>
        <v/>
      </c>
      <c r="AY25" s="16" t="str">
        <f t="shared" si="20"/>
        <v/>
      </c>
      <c r="AZ25" s="13" t="str">
        <f t="shared" si="20"/>
        <v/>
      </c>
      <c r="BA25" s="14" t="str">
        <f t="shared" si="20"/>
        <v/>
      </c>
      <c r="BB25" s="14" t="str">
        <f t="shared" si="20"/>
        <v/>
      </c>
      <c r="BC25" s="14" t="str">
        <f t="shared" si="20"/>
        <v/>
      </c>
      <c r="BD25" s="14" t="str">
        <f t="shared" si="20"/>
        <v/>
      </c>
      <c r="BE25" s="15" t="str">
        <f t="shared" si="20"/>
        <v/>
      </c>
      <c r="BF25" s="16" t="str">
        <f t="shared" si="20"/>
        <v/>
      </c>
      <c r="BG25" s="13" t="str">
        <f t="shared" si="20"/>
        <v/>
      </c>
      <c r="BH25" s="14" t="str">
        <f t="shared" si="21"/>
        <v/>
      </c>
      <c r="BI25" s="14" t="str">
        <f t="shared" si="21"/>
        <v/>
      </c>
      <c r="BJ25" s="14" t="str">
        <f t="shared" si="21"/>
        <v/>
      </c>
      <c r="BK25" s="14" t="str">
        <f t="shared" si="21"/>
        <v/>
      </c>
      <c r="BL25" s="15" t="str">
        <f t="shared" si="21"/>
        <v/>
      </c>
      <c r="BM25" s="16" t="str">
        <f t="shared" si="21"/>
        <v/>
      </c>
      <c r="BN25" s="13" t="str">
        <f t="shared" si="21"/>
        <v/>
      </c>
      <c r="BO25" s="14" t="str">
        <f t="shared" si="21"/>
        <v/>
      </c>
      <c r="BP25" s="14" t="str">
        <f t="shared" si="21"/>
        <v/>
      </c>
      <c r="BQ25" s="14" t="str">
        <f t="shared" si="21"/>
        <v/>
      </c>
      <c r="BR25" s="14" t="str">
        <f t="shared" si="22"/>
        <v/>
      </c>
      <c r="BS25" s="15" t="str">
        <f t="shared" si="22"/>
        <v/>
      </c>
      <c r="BT25" s="16" t="str">
        <f t="shared" si="22"/>
        <v/>
      </c>
      <c r="BU25" s="13" t="str">
        <f t="shared" si="22"/>
        <v/>
      </c>
      <c r="BV25" s="14" t="str">
        <f t="shared" si="22"/>
        <v/>
      </c>
      <c r="BW25" s="14" t="str">
        <f t="shared" si="22"/>
        <v/>
      </c>
      <c r="BX25" s="14" t="str">
        <f t="shared" si="22"/>
        <v/>
      </c>
      <c r="BY25" s="14" t="str">
        <f t="shared" si="22"/>
        <v/>
      </c>
      <c r="BZ25" s="15" t="str">
        <f t="shared" si="22"/>
        <v/>
      </c>
      <c r="CA25" s="16" t="str">
        <f t="shared" si="22"/>
        <v/>
      </c>
      <c r="CB25" s="13" t="str">
        <f t="shared" si="23"/>
        <v/>
      </c>
      <c r="CC25" s="14" t="str">
        <f t="shared" si="23"/>
        <v/>
      </c>
      <c r="CD25" s="14" t="str">
        <f t="shared" si="23"/>
        <v/>
      </c>
      <c r="CE25" s="14" t="str">
        <f t="shared" si="23"/>
        <v/>
      </c>
      <c r="CF25" s="14" t="str">
        <f t="shared" si="23"/>
        <v/>
      </c>
      <c r="CG25" s="15" t="str">
        <f t="shared" si="23"/>
        <v/>
      </c>
      <c r="CH25" s="16" t="str">
        <f t="shared" si="23"/>
        <v/>
      </c>
      <c r="CI25" s="13" t="str">
        <f t="shared" si="23"/>
        <v/>
      </c>
      <c r="CJ25" s="14" t="str">
        <f t="shared" si="23"/>
        <v/>
      </c>
      <c r="CK25" s="14" t="str">
        <f t="shared" si="23"/>
        <v/>
      </c>
      <c r="CL25" s="14" t="str">
        <f t="shared" si="24"/>
        <v/>
      </c>
      <c r="CM25" s="14" t="str">
        <f t="shared" si="24"/>
        <v/>
      </c>
      <c r="CN25" s="15" t="str">
        <f t="shared" si="24"/>
        <v/>
      </c>
      <c r="CO25" s="16" t="str">
        <f t="shared" si="24"/>
        <v/>
      </c>
      <c r="CP25" s="13" t="str">
        <f t="shared" si="24"/>
        <v/>
      </c>
      <c r="CQ25" s="14" t="str">
        <f t="shared" si="24"/>
        <v/>
      </c>
      <c r="CR25" s="14" t="str">
        <f t="shared" si="24"/>
        <v/>
      </c>
      <c r="CS25" s="14" t="str">
        <f t="shared" si="24"/>
        <v/>
      </c>
      <c r="CT25" s="14" t="str">
        <f t="shared" si="24"/>
        <v/>
      </c>
      <c r="CU25" s="15" t="str">
        <f t="shared" si="24"/>
        <v/>
      </c>
      <c r="CV25" s="16" t="str">
        <f t="shared" si="25"/>
        <v/>
      </c>
      <c r="CW25" s="13">
        <f t="shared" si="25"/>
        <v>1</v>
      </c>
      <c r="CX25" s="14">
        <f t="shared" si="25"/>
        <v>1</v>
      </c>
      <c r="CY25" s="14">
        <f t="shared" si="25"/>
        <v>1</v>
      </c>
      <c r="CZ25" s="14">
        <f t="shared" si="25"/>
        <v>1</v>
      </c>
      <c r="DA25" s="14">
        <f t="shared" si="25"/>
        <v>1</v>
      </c>
      <c r="DB25" s="15">
        <f t="shared" si="25"/>
        <v>1</v>
      </c>
      <c r="DC25" s="16">
        <f t="shared" si="25"/>
        <v>1</v>
      </c>
      <c r="DD25" s="13" t="str">
        <f t="shared" si="25"/>
        <v/>
      </c>
      <c r="DE25" s="14" t="str">
        <f t="shared" si="25"/>
        <v/>
      </c>
      <c r="DF25" s="14" t="str">
        <f t="shared" si="26"/>
        <v/>
      </c>
      <c r="DG25" s="14" t="str">
        <f t="shared" si="26"/>
        <v/>
      </c>
      <c r="DH25" s="14" t="str">
        <f t="shared" si="26"/>
        <v/>
      </c>
      <c r="DI25" s="15" t="str">
        <f t="shared" si="26"/>
        <v/>
      </c>
      <c r="DJ25" s="16" t="str">
        <f t="shared" si="26"/>
        <v/>
      </c>
      <c r="DK25" s="13" t="str">
        <f t="shared" si="26"/>
        <v/>
      </c>
      <c r="DL25" s="14" t="str">
        <f t="shared" si="26"/>
        <v/>
      </c>
      <c r="DM25" s="14" t="str">
        <f t="shared" si="26"/>
        <v/>
      </c>
      <c r="DN25" s="14" t="str">
        <f t="shared" si="26"/>
        <v/>
      </c>
      <c r="DO25" s="14" t="str">
        <f t="shared" si="26"/>
        <v/>
      </c>
      <c r="DP25" s="15" t="str">
        <f t="shared" si="27"/>
        <v/>
      </c>
      <c r="DQ25" s="16" t="str">
        <f t="shared" si="27"/>
        <v/>
      </c>
      <c r="DR25" s="13" t="str">
        <f t="shared" si="27"/>
        <v/>
      </c>
      <c r="DS25" s="14" t="str">
        <f t="shared" si="27"/>
        <v/>
      </c>
      <c r="DT25" s="14" t="str">
        <f t="shared" si="27"/>
        <v/>
      </c>
      <c r="DU25" s="14" t="str">
        <f t="shared" si="27"/>
        <v/>
      </c>
      <c r="DV25" s="14" t="str">
        <f t="shared" si="27"/>
        <v/>
      </c>
      <c r="DW25" s="15" t="str">
        <f t="shared" si="28"/>
        <v/>
      </c>
      <c r="DX25" s="16" t="str">
        <f t="shared" si="28"/>
        <v/>
      </c>
    </row>
    <row r="26" spans="1:128" s="17" customFormat="1" ht="6" customHeight="1">
      <c r="F26" s="302"/>
      <c r="H26" s="46" t="s">
        <v>639</v>
      </c>
      <c r="I26" s="303"/>
    </row>
    <row r="27" spans="1:128" s="17" customFormat="1" ht="15" customHeight="1">
      <c r="A27" s="554" t="s">
        <v>56</v>
      </c>
      <c r="B27" s="535"/>
      <c r="C27" s="555">
        <f>C15-C11</f>
        <v>16</v>
      </c>
      <c r="D27" s="535"/>
      <c r="E27" s="537"/>
      <c r="F27" s="304"/>
      <c r="G27" s="472"/>
      <c r="H27" s="471"/>
      <c r="I27" s="305"/>
      <c r="J27" s="14" t="str">
        <f t="shared" ref="J27:AO27" si="29">IF(AND(J$5&gt;=$C$11,J$5&lt;=$E$15-1),1,"")</f>
        <v/>
      </c>
      <c r="K27" s="14" t="str">
        <f t="shared" si="29"/>
        <v/>
      </c>
      <c r="L27" s="14" t="str">
        <f t="shared" si="29"/>
        <v/>
      </c>
      <c r="M27" s="14" t="str">
        <f t="shared" si="29"/>
        <v/>
      </c>
      <c r="N27" s="14" t="str">
        <f t="shared" si="29"/>
        <v/>
      </c>
      <c r="O27" s="15" t="str">
        <f t="shared" si="29"/>
        <v/>
      </c>
      <c r="P27" s="16" t="str">
        <f t="shared" si="29"/>
        <v/>
      </c>
      <c r="Q27" s="13" t="str">
        <f t="shared" si="29"/>
        <v/>
      </c>
      <c r="R27" s="14" t="str">
        <f t="shared" si="29"/>
        <v/>
      </c>
      <c r="S27" s="14" t="str">
        <f t="shared" si="29"/>
        <v/>
      </c>
      <c r="T27" s="14" t="str">
        <f t="shared" si="29"/>
        <v/>
      </c>
      <c r="U27" s="14" t="str">
        <f t="shared" si="29"/>
        <v/>
      </c>
      <c r="V27" s="15" t="str">
        <f t="shared" si="29"/>
        <v/>
      </c>
      <c r="W27" s="16" t="str">
        <f t="shared" si="29"/>
        <v/>
      </c>
      <c r="X27" s="13" t="str">
        <f t="shared" si="29"/>
        <v/>
      </c>
      <c r="Y27" s="14">
        <f t="shared" si="29"/>
        <v>1</v>
      </c>
      <c r="Z27" s="14">
        <f t="shared" si="29"/>
        <v>1</v>
      </c>
      <c r="AA27" s="14">
        <f t="shared" si="29"/>
        <v>1</v>
      </c>
      <c r="AB27" s="14">
        <f t="shared" si="29"/>
        <v>1</v>
      </c>
      <c r="AC27" s="15">
        <f t="shared" si="29"/>
        <v>1</v>
      </c>
      <c r="AD27" s="16">
        <f t="shared" si="29"/>
        <v>1</v>
      </c>
      <c r="AE27" s="13">
        <f t="shared" si="29"/>
        <v>1</v>
      </c>
      <c r="AF27" s="14">
        <f t="shared" si="29"/>
        <v>1</v>
      </c>
      <c r="AG27" s="14">
        <f t="shared" si="29"/>
        <v>1</v>
      </c>
      <c r="AH27" s="14">
        <f t="shared" si="29"/>
        <v>1</v>
      </c>
      <c r="AI27" s="14">
        <f t="shared" si="29"/>
        <v>1</v>
      </c>
      <c r="AJ27" s="15">
        <f t="shared" si="29"/>
        <v>1</v>
      </c>
      <c r="AK27" s="16">
        <f t="shared" si="29"/>
        <v>1</v>
      </c>
      <c r="AL27" s="13">
        <f t="shared" si="29"/>
        <v>1</v>
      </c>
      <c r="AM27" s="14">
        <f t="shared" si="29"/>
        <v>1</v>
      </c>
      <c r="AN27" s="14">
        <f t="shared" si="29"/>
        <v>1</v>
      </c>
      <c r="AO27" s="14" t="str">
        <f t="shared" si="29"/>
        <v/>
      </c>
      <c r="AP27" s="14" t="str">
        <f t="shared" ref="AP27:BU27" si="30">IF(AND(AP$5&gt;=$C$11,AP$5&lt;=$E$15-1),1,"")</f>
        <v/>
      </c>
      <c r="AQ27" s="15" t="str">
        <f t="shared" si="30"/>
        <v/>
      </c>
      <c r="AR27" s="16" t="str">
        <f t="shared" si="30"/>
        <v/>
      </c>
      <c r="AS27" s="13" t="str">
        <f t="shared" si="30"/>
        <v/>
      </c>
      <c r="AT27" s="14" t="str">
        <f t="shared" si="30"/>
        <v/>
      </c>
      <c r="AU27" s="14" t="str">
        <f t="shared" si="30"/>
        <v/>
      </c>
      <c r="AV27" s="14" t="str">
        <f t="shared" si="30"/>
        <v/>
      </c>
      <c r="AW27" s="14" t="str">
        <f t="shared" si="30"/>
        <v/>
      </c>
      <c r="AX27" s="15" t="str">
        <f t="shared" si="30"/>
        <v/>
      </c>
      <c r="AY27" s="16" t="str">
        <f t="shared" si="30"/>
        <v/>
      </c>
      <c r="AZ27" s="13" t="str">
        <f t="shared" si="30"/>
        <v/>
      </c>
      <c r="BA27" s="14" t="str">
        <f t="shared" si="30"/>
        <v/>
      </c>
      <c r="BB27" s="14" t="str">
        <f t="shared" si="30"/>
        <v/>
      </c>
      <c r="BC27" s="14" t="str">
        <f t="shared" si="30"/>
        <v/>
      </c>
      <c r="BD27" s="14" t="str">
        <f t="shared" si="30"/>
        <v/>
      </c>
      <c r="BE27" s="15" t="str">
        <f t="shared" si="30"/>
        <v/>
      </c>
      <c r="BF27" s="16" t="str">
        <f t="shared" si="30"/>
        <v/>
      </c>
      <c r="BG27" s="13" t="str">
        <f t="shared" si="30"/>
        <v/>
      </c>
      <c r="BH27" s="14" t="str">
        <f t="shared" si="30"/>
        <v/>
      </c>
      <c r="BI27" s="14" t="str">
        <f t="shared" si="30"/>
        <v/>
      </c>
      <c r="BJ27" s="14" t="str">
        <f t="shared" si="30"/>
        <v/>
      </c>
      <c r="BK27" s="14" t="str">
        <f t="shared" si="30"/>
        <v/>
      </c>
      <c r="BL27" s="15" t="str">
        <f t="shared" si="30"/>
        <v/>
      </c>
      <c r="BM27" s="16" t="str">
        <f t="shared" si="30"/>
        <v/>
      </c>
      <c r="BN27" s="13" t="str">
        <f t="shared" si="30"/>
        <v/>
      </c>
      <c r="BO27" s="14" t="str">
        <f t="shared" si="30"/>
        <v/>
      </c>
      <c r="BP27" s="14" t="str">
        <f t="shared" si="30"/>
        <v/>
      </c>
      <c r="BQ27" s="14" t="str">
        <f t="shared" si="30"/>
        <v/>
      </c>
      <c r="BR27" s="14" t="str">
        <f t="shared" si="30"/>
        <v/>
      </c>
      <c r="BS27" s="15" t="str">
        <f t="shared" si="30"/>
        <v/>
      </c>
      <c r="BT27" s="16" t="str">
        <f t="shared" si="30"/>
        <v/>
      </c>
      <c r="BU27" s="13" t="str">
        <f t="shared" si="30"/>
        <v/>
      </c>
      <c r="BV27" s="14" t="str">
        <f t="shared" ref="BV27:DA27" si="31">IF(AND(BV$5&gt;=$C$11,BV$5&lt;=$E$15-1),1,"")</f>
        <v/>
      </c>
      <c r="BW27" s="14" t="str">
        <f t="shared" si="31"/>
        <v/>
      </c>
      <c r="BX27" s="14" t="str">
        <f t="shared" si="31"/>
        <v/>
      </c>
      <c r="BY27" s="14" t="str">
        <f t="shared" si="31"/>
        <v/>
      </c>
      <c r="BZ27" s="15" t="str">
        <f t="shared" si="31"/>
        <v/>
      </c>
      <c r="CA27" s="16" t="str">
        <f t="shared" si="31"/>
        <v/>
      </c>
      <c r="CB27" s="13" t="str">
        <f t="shared" si="31"/>
        <v/>
      </c>
      <c r="CC27" s="14" t="str">
        <f t="shared" si="31"/>
        <v/>
      </c>
      <c r="CD27" s="14" t="str">
        <f t="shared" si="31"/>
        <v/>
      </c>
      <c r="CE27" s="14" t="str">
        <f t="shared" si="31"/>
        <v/>
      </c>
      <c r="CF27" s="14" t="str">
        <f t="shared" si="31"/>
        <v/>
      </c>
      <c r="CG27" s="15" t="str">
        <f t="shared" si="31"/>
        <v/>
      </c>
      <c r="CH27" s="16" t="str">
        <f t="shared" si="31"/>
        <v/>
      </c>
      <c r="CI27" s="13" t="str">
        <f t="shared" si="31"/>
        <v/>
      </c>
      <c r="CJ27" s="14" t="str">
        <f t="shared" si="31"/>
        <v/>
      </c>
      <c r="CK27" s="14" t="str">
        <f t="shared" si="31"/>
        <v/>
      </c>
      <c r="CL27" s="14" t="str">
        <f t="shared" si="31"/>
        <v/>
      </c>
      <c r="CM27" s="14" t="str">
        <f t="shared" si="31"/>
        <v/>
      </c>
      <c r="CN27" s="15" t="str">
        <f t="shared" si="31"/>
        <v/>
      </c>
      <c r="CO27" s="16" t="str">
        <f t="shared" si="31"/>
        <v/>
      </c>
      <c r="CP27" s="13" t="str">
        <f t="shared" si="31"/>
        <v/>
      </c>
      <c r="CQ27" s="14" t="str">
        <f t="shared" si="31"/>
        <v/>
      </c>
      <c r="CR27" s="14" t="str">
        <f t="shared" si="31"/>
        <v/>
      </c>
      <c r="CS27" s="14" t="str">
        <f t="shared" si="31"/>
        <v/>
      </c>
      <c r="CT27" s="14" t="str">
        <f t="shared" si="31"/>
        <v/>
      </c>
      <c r="CU27" s="15" t="str">
        <f t="shared" si="31"/>
        <v/>
      </c>
      <c r="CV27" s="16" t="str">
        <f t="shared" si="31"/>
        <v/>
      </c>
      <c r="CW27" s="13" t="str">
        <f t="shared" si="31"/>
        <v/>
      </c>
      <c r="CX27" s="14" t="str">
        <f t="shared" si="31"/>
        <v/>
      </c>
      <c r="CY27" s="14" t="str">
        <f t="shared" si="31"/>
        <v/>
      </c>
      <c r="CZ27" s="14" t="str">
        <f t="shared" si="31"/>
        <v/>
      </c>
      <c r="DA27" s="14" t="str">
        <f t="shared" si="31"/>
        <v/>
      </c>
      <c r="DB27" s="15" t="str">
        <f t="shared" ref="DB27:DX27" si="32">IF(AND(DB$5&gt;=$C$11,DB$5&lt;=$E$15-1),1,"")</f>
        <v/>
      </c>
      <c r="DC27" s="16" t="str">
        <f t="shared" si="32"/>
        <v/>
      </c>
      <c r="DD27" s="13" t="str">
        <f t="shared" si="32"/>
        <v/>
      </c>
      <c r="DE27" s="14" t="str">
        <f t="shared" si="32"/>
        <v/>
      </c>
      <c r="DF27" s="14" t="str">
        <f t="shared" si="32"/>
        <v/>
      </c>
      <c r="DG27" s="14" t="str">
        <f t="shared" si="32"/>
        <v/>
      </c>
      <c r="DH27" s="14" t="str">
        <f t="shared" si="32"/>
        <v/>
      </c>
      <c r="DI27" s="15" t="str">
        <f t="shared" si="32"/>
        <v/>
      </c>
      <c r="DJ27" s="16" t="str">
        <f t="shared" si="32"/>
        <v/>
      </c>
      <c r="DK27" s="13" t="str">
        <f t="shared" si="32"/>
        <v/>
      </c>
      <c r="DL27" s="14" t="str">
        <f t="shared" si="32"/>
        <v/>
      </c>
      <c r="DM27" s="14" t="str">
        <f t="shared" si="32"/>
        <v/>
      </c>
      <c r="DN27" s="14" t="str">
        <f t="shared" si="32"/>
        <v/>
      </c>
      <c r="DO27" s="14" t="str">
        <f t="shared" si="32"/>
        <v/>
      </c>
      <c r="DP27" s="15" t="str">
        <f t="shared" si="32"/>
        <v/>
      </c>
      <c r="DQ27" s="16" t="str">
        <f t="shared" si="32"/>
        <v/>
      </c>
      <c r="DR27" s="13" t="str">
        <f t="shared" si="32"/>
        <v/>
      </c>
      <c r="DS27" s="14" t="str">
        <f t="shared" si="32"/>
        <v/>
      </c>
      <c r="DT27" s="14" t="str">
        <f t="shared" si="32"/>
        <v/>
      </c>
      <c r="DU27" s="14" t="str">
        <f t="shared" si="32"/>
        <v/>
      </c>
      <c r="DV27" s="14" t="str">
        <f t="shared" si="32"/>
        <v/>
      </c>
      <c r="DW27" s="15" t="str">
        <f t="shared" si="32"/>
        <v/>
      </c>
      <c r="DX27" s="16" t="str">
        <f t="shared" si="32"/>
        <v/>
      </c>
    </row>
    <row r="28" spans="1:128" s="17" customFormat="1" ht="2.1" customHeight="1">
      <c r="A28" s="29"/>
      <c r="B28" s="29"/>
      <c r="C28" s="30"/>
      <c r="D28" s="30"/>
      <c r="E28" s="31"/>
      <c r="F28" s="306"/>
      <c r="G28" s="31"/>
      <c r="H28" s="30"/>
      <c r="I28" s="307"/>
      <c r="J28" s="14"/>
      <c r="K28" s="14"/>
      <c r="L28" s="14"/>
      <c r="M28" s="14"/>
      <c r="N28" s="14"/>
      <c r="O28" s="15"/>
      <c r="P28" s="16"/>
      <c r="Q28" s="13"/>
      <c r="R28" s="14"/>
      <c r="S28" s="14"/>
      <c r="T28" s="14"/>
      <c r="U28" s="14"/>
      <c r="V28" s="15"/>
      <c r="W28" s="16"/>
      <c r="X28" s="13"/>
      <c r="Y28" s="14"/>
      <c r="Z28" s="14"/>
      <c r="AA28" s="14"/>
      <c r="AB28" s="14"/>
      <c r="AC28" s="15"/>
      <c r="AD28" s="16"/>
      <c r="AE28" s="13"/>
      <c r="AF28" s="14"/>
      <c r="AG28" s="14"/>
      <c r="AH28" s="14"/>
      <c r="AI28" s="14"/>
      <c r="AJ28" s="15"/>
      <c r="AK28" s="16"/>
      <c r="AL28" s="13"/>
      <c r="AM28" s="14"/>
      <c r="AN28" s="14"/>
      <c r="AO28" s="14"/>
      <c r="AP28" s="14"/>
      <c r="AQ28" s="15"/>
      <c r="AR28" s="16"/>
      <c r="AS28" s="13"/>
      <c r="AT28" s="14"/>
      <c r="AU28" s="14"/>
      <c r="AV28" s="14"/>
      <c r="AW28" s="14"/>
      <c r="AX28" s="15"/>
      <c r="AY28" s="16"/>
      <c r="AZ28" s="13"/>
      <c r="BA28" s="14"/>
      <c r="BB28" s="14"/>
      <c r="BC28" s="14"/>
      <c r="BD28" s="14"/>
      <c r="BE28" s="15"/>
      <c r="BF28" s="16"/>
      <c r="BG28" s="13"/>
      <c r="BH28" s="14"/>
      <c r="BI28" s="14"/>
      <c r="BJ28" s="14"/>
      <c r="BK28" s="14"/>
      <c r="BL28" s="15"/>
      <c r="BM28" s="16"/>
      <c r="BN28" s="13"/>
      <c r="BO28" s="14"/>
      <c r="BP28" s="14"/>
      <c r="BQ28" s="14"/>
      <c r="BR28" s="14"/>
      <c r="BS28" s="15"/>
      <c r="BT28" s="16"/>
      <c r="BU28" s="13"/>
      <c r="BV28" s="14"/>
      <c r="BW28" s="14"/>
      <c r="BX28" s="14"/>
      <c r="BY28" s="14"/>
      <c r="BZ28" s="15"/>
      <c r="CA28" s="16"/>
      <c r="CB28" s="13"/>
      <c r="CC28" s="14"/>
      <c r="CD28" s="14"/>
      <c r="CE28" s="14"/>
      <c r="CF28" s="14"/>
      <c r="CG28" s="15"/>
      <c r="CH28" s="16"/>
      <c r="CI28" s="13"/>
      <c r="CJ28" s="14"/>
      <c r="CK28" s="14"/>
      <c r="CL28" s="14"/>
      <c r="CM28" s="14"/>
      <c r="CN28" s="15"/>
      <c r="CO28" s="16"/>
      <c r="CP28" s="13"/>
      <c r="CQ28" s="14"/>
      <c r="CR28" s="14"/>
      <c r="CS28" s="14"/>
      <c r="CT28" s="14"/>
      <c r="CU28" s="15"/>
      <c r="CV28" s="16"/>
      <c r="CW28" s="13"/>
      <c r="CX28" s="14"/>
      <c r="CY28" s="14"/>
      <c r="CZ28" s="14"/>
      <c r="DA28" s="14"/>
      <c r="DB28" s="15"/>
      <c r="DC28" s="16"/>
      <c r="DD28" s="13"/>
      <c r="DE28" s="14"/>
      <c r="DF28" s="14"/>
      <c r="DG28" s="14"/>
      <c r="DH28" s="14"/>
      <c r="DI28" s="15"/>
      <c r="DJ28" s="16"/>
      <c r="DK28" s="13"/>
      <c r="DL28" s="14"/>
      <c r="DM28" s="14"/>
      <c r="DN28" s="14"/>
      <c r="DO28" s="14"/>
      <c r="DP28" s="15"/>
      <c r="DQ28" s="16"/>
      <c r="DR28" s="13"/>
      <c r="DS28" s="14"/>
      <c r="DT28" s="14"/>
      <c r="DU28" s="14"/>
      <c r="DV28" s="14"/>
      <c r="DW28" s="15"/>
      <c r="DX28" s="16"/>
    </row>
    <row r="29" spans="1:128" s="17" customFormat="1" ht="15" customHeight="1">
      <c r="A29" s="540" t="s">
        <v>57</v>
      </c>
      <c r="B29" s="535"/>
      <c r="C29" s="541">
        <f>C15-C12+2</f>
        <v>11</v>
      </c>
      <c r="D29" s="535"/>
      <c r="E29" s="537"/>
      <c r="F29" s="308"/>
      <c r="G29" s="466"/>
      <c r="H29" s="465"/>
      <c r="I29" s="309"/>
      <c r="J29" s="14" t="str">
        <f t="shared" ref="J29:AO29" si="33">IF(AND(J$5&gt;=$E$11,J$5&lt;=$E$15),1,"")</f>
        <v/>
      </c>
      <c r="K29" s="14" t="str">
        <f t="shared" si="33"/>
        <v/>
      </c>
      <c r="L29" s="14" t="str">
        <f t="shared" si="33"/>
        <v/>
      </c>
      <c r="M29" s="14" t="str">
        <f t="shared" si="33"/>
        <v/>
      </c>
      <c r="N29" s="14" t="str">
        <f t="shared" si="33"/>
        <v/>
      </c>
      <c r="O29" s="15" t="str">
        <f t="shared" si="33"/>
        <v/>
      </c>
      <c r="P29" s="16" t="str">
        <f t="shared" si="33"/>
        <v/>
      </c>
      <c r="Q29" s="13" t="str">
        <f t="shared" si="33"/>
        <v/>
      </c>
      <c r="R29" s="14" t="str">
        <f t="shared" si="33"/>
        <v/>
      </c>
      <c r="S29" s="14" t="str">
        <f t="shared" si="33"/>
        <v/>
      </c>
      <c r="T29" s="14" t="str">
        <f t="shared" si="33"/>
        <v/>
      </c>
      <c r="U29" s="14" t="str">
        <f t="shared" si="33"/>
        <v/>
      </c>
      <c r="V29" s="15" t="str">
        <f t="shared" si="33"/>
        <v/>
      </c>
      <c r="W29" s="16" t="str">
        <f t="shared" si="33"/>
        <v/>
      </c>
      <c r="X29" s="13" t="str">
        <f t="shared" si="33"/>
        <v/>
      </c>
      <c r="Y29" s="14" t="str">
        <f t="shared" si="33"/>
        <v/>
      </c>
      <c r="Z29" s="14" t="str">
        <f t="shared" si="33"/>
        <v/>
      </c>
      <c r="AA29" s="14" t="str">
        <f t="shared" si="33"/>
        <v/>
      </c>
      <c r="AB29" s="14" t="str">
        <f t="shared" si="33"/>
        <v/>
      </c>
      <c r="AC29" s="15" t="str">
        <f t="shared" si="33"/>
        <v/>
      </c>
      <c r="AD29" s="16" t="str">
        <f t="shared" si="33"/>
        <v/>
      </c>
      <c r="AE29" s="13">
        <f t="shared" si="33"/>
        <v>1</v>
      </c>
      <c r="AF29" s="14">
        <f t="shared" si="33"/>
        <v>1</v>
      </c>
      <c r="AG29" s="14">
        <f t="shared" si="33"/>
        <v>1</v>
      </c>
      <c r="AH29" s="14">
        <f t="shared" si="33"/>
        <v>1</v>
      </c>
      <c r="AI29" s="14">
        <f t="shared" si="33"/>
        <v>1</v>
      </c>
      <c r="AJ29" s="15">
        <f t="shared" si="33"/>
        <v>1</v>
      </c>
      <c r="AK29" s="16">
        <f t="shared" si="33"/>
        <v>1</v>
      </c>
      <c r="AL29" s="13">
        <f t="shared" si="33"/>
        <v>1</v>
      </c>
      <c r="AM29" s="14">
        <f t="shared" si="33"/>
        <v>1</v>
      </c>
      <c r="AN29" s="14">
        <f t="shared" si="33"/>
        <v>1</v>
      </c>
      <c r="AO29" s="14">
        <f t="shared" si="33"/>
        <v>1</v>
      </c>
      <c r="AP29" s="14" t="str">
        <f t="shared" ref="AP29:BU29" si="34">IF(AND(AP$5&gt;=$E$11,AP$5&lt;=$E$15),1,"")</f>
        <v/>
      </c>
      <c r="AQ29" s="15" t="str">
        <f t="shared" si="34"/>
        <v/>
      </c>
      <c r="AR29" s="16" t="str">
        <f t="shared" si="34"/>
        <v/>
      </c>
      <c r="AS29" s="13" t="str">
        <f t="shared" si="34"/>
        <v/>
      </c>
      <c r="AT29" s="14" t="str">
        <f t="shared" si="34"/>
        <v/>
      </c>
      <c r="AU29" s="14" t="str">
        <f t="shared" si="34"/>
        <v/>
      </c>
      <c r="AV29" s="14" t="str">
        <f t="shared" si="34"/>
        <v/>
      </c>
      <c r="AW29" s="14" t="str">
        <f t="shared" si="34"/>
        <v/>
      </c>
      <c r="AX29" s="15" t="str">
        <f t="shared" si="34"/>
        <v/>
      </c>
      <c r="AY29" s="16" t="str">
        <f t="shared" si="34"/>
        <v/>
      </c>
      <c r="AZ29" s="13" t="str">
        <f t="shared" si="34"/>
        <v/>
      </c>
      <c r="BA29" s="14" t="str">
        <f t="shared" si="34"/>
        <v/>
      </c>
      <c r="BB29" s="14" t="str">
        <f t="shared" si="34"/>
        <v/>
      </c>
      <c r="BC29" s="14" t="str">
        <f t="shared" si="34"/>
        <v/>
      </c>
      <c r="BD29" s="14" t="str">
        <f t="shared" si="34"/>
        <v/>
      </c>
      <c r="BE29" s="15" t="str">
        <f t="shared" si="34"/>
        <v/>
      </c>
      <c r="BF29" s="16" t="str">
        <f t="shared" si="34"/>
        <v/>
      </c>
      <c r="BG29" s="13" t="str">
        <f t="shared" si="34"/>
        <v/>
      </c>
      <c r="BH29" s="14" t="str">
        <f t="shared" si="34"/>
        <v/>
      </c>
      <c r="BI29" s="14" t="str">
        <f t="shared" si="34"/>
        <v/>
      </c>
      <c r="BJ29" s="14" t="str">
        <f t="shared" si="34"/>
        <v/>
      </c>
      <c r="BK29" s="14" t="str">
        <f t="shared" si="34"/>
        <v/>
      </c>
      <c r="BL29" s="15" t="str">
        <f t="shared" si="34"/>
        <v/>
      </c>
      <c r="BM29" s="16" t="str">
        <f t="shared" si="34"/>
        <v/>
      </c>
      <c r="BN29" s="13" t="str">
        <f t="shared" si="34"/>
        <v/>
      </c>
      <c r="BO29" s="14" t="str">
        <f t="shared" si="34"/>
        <v/>
      </c>
      <c r="BP29" s="14" t="str">
        <f t="shared" si="34"/>
        <v/>
      </c>
      <c r="BQ29" s="14" t="str">
        <f t="shared" si="34"/>
        <v/>
      </c>
      <c r="BR29" s="14" t="str">
        <f t="shared" si="34"/>
        <v/>
      </c>
      <c r="BS29" s="15" t="str">
        <f t="shared" si="34"/>
        <v/>
      </c>
      <c r="BT29" s="16" t="str">
        <f t="shared" si="34"/>
        <v/>
      </c>
      <c r="BU29" s="13" t="str">
        <f t="shared" si="34"/>
        <v/>
      </c>
      <c r="BV29" s="14" t="str">
        <f t="shared" ref="BV29:DA29" si="35">IF(AND(BV$5&gt;=$E$11,BV$5&lt;=$E$15),1,"")</f>
        <v/>
      </c>
      <c r="BW29" s="14" t="str">
        <f t="shared" si="35"/>
        <v/>
      </c>
      <c r="BX29" s="14" t="str">
        <f t="shared" si="35"/>
        <v/>
      </c>
      <c r="BY29" s="14" t="str">
        <f t="shared" si="35"/>
        <v/>
      </c>
      <c r="BZ29" s="15" t="str">
        <f t="shared" si="35"/>
        <v/>
      </c>
      <c r="CA29" s="16" t="str">
        <f t="shared" si="35"/>
        <v/>
      </c>
      <c r="CB29" s="13" t="str">
        <f t="shared" si="35"/>
        <v/>
      </c>
      <c r="CC29" s="14" t="str">
        <f t="shared" si="35"/>
        <v/>
      </c>
      <c r="CD29" s="14" t="str">
        <f t="shared" si="35"/>
        <v/>
      </c>
      <c r="CE29" s="14" t="str">
        <f t="shared" si="35"/>
        <v/>
      </c>
      <c r="CF29" s="14" t="str">
        <f t="shared" si="35"/>
        <v/>
      </c>
      <c r="CG29" s="15" t="str">
        <f t="shared" si="35"/>
        <v/>
      </c>
      <c r="CH29" s="16" t="str">
        <f t="shared" si="35"/>
        <v/>
      </c>
      <c r="CI29" s="13" t="str">
        <f t="shared" si="35"/>
        <v/>
      </c>
      <c r="CJ29" s="14" t="str">
        <f t="shared" si="35"/>
        <v/>
      </c>
      <c r="CK29" s="14" t="str">
        <f t="shared" si="35"/>
        <v/>
      </c>
      <c r="CL29" s="14" t="str">
        <f t="shared" si="35"/>
        <v/>
      </c>
      <c r="CM29" s="14" t="str">
        <f t="shared" si="35"/>
        <v/>
      </c>
      <c r="CN29" s="15" t="str">
        <f t="shared" si="35"/>
        <v/>
      </c>
      <c r="CO29" s="16" t="str">
        <f t="shared" si="35"/>
        <v/>
      </c>
      <c r="CP29" s="13" t="str">
        <f t="shared" si="35"/>
        <v/>
      </c>
      <c r="CQ29" s="14" t="str">
        <f t="shared" si="35"/>
        <v/>
      </c>
      <c r="CR29" s="14" t="str">
        <f t="shared" si="35"/>
        <v/>
      </c>
      <c r="CS29" s="14" t="str">
        <f t="shared" si="35"/>
        <v/>
      </c>
      <c r="CT29" s="14" t="str">
        <f t="shared" si="35"/>
        <v/>
      </c>
      <c r="CU29" s="15" t="str">
        <f t="shared" si="35"/>
        <v/>
      </c>
      <c r="CV29" s="16" t="str">
        <f t="shared" si="35"/>
        <v/>
      </c>
      <c r="CW29" s="13" t="str">
        <f t="shared" si="35"/>
        <v/>
      </c>
      <c r="CX29" s="14" t="str">
        <f t="shared" si="35"/>
        <v/>
      </c>
      <c r="CY29" s="14" t="str">
        <f t="shared" si="35"/>
        <v/>
      </c>
      <c r="CZ29" s="14" t="str">
        <f t="shared" si="35"/>
        <v/>
      </c>
      <c r="DA29" s="14" t="str">
        <f t="shared" si="35"/>
        <v/>
      </c>
      <c r="DB29" s="15" t="str">
        <f t="shared" ref="DB29:DX29" si="36">IF(AND(DB$5&gt;=$E$11,DB$5&lt;=$E$15),1,"")</f>
        <v/>
      </c>
      <c r="DC29" s="16" t="str">
        <f t="shared" si="36"/>
        <v/>
      </c>
      <c r="DD29" s="13" t="str">
        <f t="shared" si="36"/>
        <v/>
      </c>
      <c r="DE29" s="14" t="str">
        <f t="shared" si="36"/>
        <v/>
      </c>
      <c r="DF29" s="14" t="str">
        <f t="shared" si="36"/>
        <v/>
      </c>
      <c r="DG29" s="14" t="str">
        <f t="shared" si="36"/>
        <v/>
      </c>
      <c r="DH29" s="14" t="str">
        <f t="shared" si="36"/>
        <v/>
      </c>
      <c r="DI29" s="15" t="str">
        <f t="shared" si="36"/>
        <v/>
      </c>
      <c r="DJ29" s="16" t="str">
        <f t="shared" si="36"/>
        <v/>
      </c>
      <c r="DK29" s="13" t="str">
        <f t="shared" si="36"/>
        <v/>
      </c>
      <c r="DL29" s="14" t="str">
        <f t="shared" si="36"/>
        <v/>
      </c>
      <c r="DM29" s="14" t="str">
        <f t="shared" si="36"/>
        <v/>
      </c>
      <c r="DN29" s="14" t="str">
        <f t="shared" si="36"/>
        <v/>
      </c>
      <c r="DO29" s="14" t="str">
        <f t="shared" si="36"/>
        <v/>
      </c>
      <c r="DP29" s="15" t="str">
        <f t="shared" si="36"/>
        <v/>
      </c>
      <c r="DQ29" s="16" t="str">
        <f t="shared" si="36"/>
        <v/>
      </c>
      <c r="DR29" s="13" t="str">
        <f t="shared" si="36"/>
        <v/>
      </c>
      <c r="DS29" s="14" t="str">
        <f t="shared" si="36"/>
        <v/>
      </c>
      <c r="DT29" s="14" t="str">
        <f t="shared" si="36"/>
        <v/>
      </c>
      <c r="DU29" s="14" t="str">
        <f t="shared" si="36"/>
        <v/>
      </c>
      <c r="DV29" s="14" t="str">
        <f t="shared" si="36"/>
        <v/>
      </c>
      <c r="DW29" s="15" t="str">
        <f t="shared" si="36"/>
        <v/>
      </c>
      <c r="DX29" s="16" t="str">
        <f t="shared" si="36"/>
        <v/>
      </c>
    </row>
    <row r="30" spans="1:128" s="17" customFormat="1" ht="2.1" customHeight="1">
      <c r="A30" s="29"/>
      <c r="B30" s="29"/>
      <c r="C30" s="30"/>
      <c r="D30" s="30"/>
      <c r="E30" s="31"/>
      <c r="F30" s="306"/>
      <c r="G30" s="31"/>
      <c r="H30" s="30"/>
      <c r="I30" s="307"/>
      <c r="J30" s="14"/>
      <c r="K30" s="14"/>
      <c r="L30" s="14"/>
      <c r="M30" s="14"/>
      <c r="N30" s="14"/>
      <c r="O30" s="15"/>
      <c r="P30" s="16"/>
      <c r="Q30" s="13"/>
      <c r="R30" s="14"/>
      <c r="S30" s="14"/>
      <c r="T30" s="14"/>
      <c r="U30" s="14"/>
      <c r="V30" s="15"/>
      <c r="W30" s="16"/>
      <c r="X30" s="13"/>
      <c r="Y30" s="14"/>
      <c r="Z30" s="14"/>
      <c r="AA30" s="14"/>
      <c r="AB30" s="14"/>
      <c r="AC30" s="15"/>
      <c r="AD30" s="16"/>
      <c r="AE30" s="13"/>
      <c r="AF30" s="14"/>
      <c r="AG30" s="14"/>
      <c r="AH30" s="14"/>
      <c r="AI30" s="14"/>
      <c r="AJ30" s="15"/>
      <c r="AK30" s="16"/>
      <c r="AL30" s="13"/>
      <c r="AM30" s="14"/>
      <c r="AN30" s="14"/>
      <c r="AO30" s="14"/>
      <c r="AP30" s="14"/>
      <c r="AQ30" s="15"/>
      <c r="AR30" s="16"/>
      <c r="AS30" s="13"/>
      <c r="AT30" s="14"/>
      <c r="AU30" s="14"/>
      <c r="AV30" s="14"/>
      <c r="AW30" s="14"/>
      <c r="AX30" s="15"/>
      <c r="AY30" s="16"/>
      <c r="AZ30" s="13"/>
      <c r="BA30" s="14"/>
      <c r="BB30" s="14"/>
      <c r="BC30" s="14"/>
      <c r="BD30" s="14"/>
      <c r="BE30" s="15"/>
      <c r="BF30" s="16"/>
      <c r="BG30" s="13"/>
      <c r="BH30" s="14"/>
      <c r="BI30" s="14"/>
      <c r="BJ30" s="14"/>
      <c r="BK30" s="14"/>
      <c r="BL30" s="15"/>
      <c r="BM30" s="16"/>
      <c r="BN30" s="13"/>
      <c r="BO30" s="14"/>
      <c r="BP30" s="14"/>
      <c r="BQ30" s="14"/>
      <c r="BR30" s="14"/>
      <c r="BS30" s="15"/>
      <c r="BT30" s="16"/>
      <c r="BU30" s="13"/>
      <c r="BV30" s="14"/>
      <c r="BW30" s="14"/>
      <c r="BX30" s="14"/>
      <c r="BY30" s="14"/>
      <c r="BZ30" s="15"/>
      <c r="CA30" s="16"/>
      <c r="CB30" s="13"/>
      <c r="CC30" s="14"/>
      <c r="CD30" s="14"/>
      <c r="CE30" s="14"/>
      <c r="CF30" s="14"/>
      <c r="CG30" s="15"/>
      <c r="CH30" s="16"/>
      <c r="CI30" s="13"/>
      <c r="CJ30" s="14"/>
      <c r="CK30" s="14"/>
      <c r="CL30" s="14"/>
      <c r="CM30" s="14"/>
      <c r="CN30" s="15"/>
      <c r="CO30" s="16"/>
      <c r="CP30" s="13"/>
      <c r="CQ30" s="14"/>
      <c r="CR30" s="14"/>
      <c r="CS30" s="14"/>
      <c r="CT30" s="14"/>
      <c r="CU30" s="15"/>
      <c r="CV30" s="16"/>
      <c r="CW30" s="13"/>
      <c r="CX30" s="14"/>
      <c r="CY30" s="14"/>
      <c r="CZ30" s="14"/>
      <c r="DA30" s="14"/>
      <c r="DB30" s="15"/>
      <c r="DC30" s="16"/>
      <c r="DD30" s="13"/>
      <c r="DE30" s="14"/>
      <c r="DF30" s="14"/>
      <c r="DG30" s="14"/>
      <c r="DH30" s="14"/>
      <c r="DI30" s="15"/>
      <c r="DJ30" s="16"/>
      <c r="DK30" s="13"/>
      <c r="DL30" s="14"/>
      <c r="DM30" s="14"/>
      <c r="DN30" s="14"/>
      <c r="DO30" s="14"/>
      <c r="DP30" s="15"/>
      <c r="DQ30" s="16"/>
      <c r="DR30" s="13"/>
      <c r="DS30" s="14"/>
      <c r="DT30" s="14"/>
      <c r="DU30" s="14"/>
      <c r="DV30" s="14"/>
      <c r="DW30" s="15"/>
      <c r="DX30" s="16"/>
    </row>
    <row r="31" spans="1:128" s="17" customFormat="1" ht="15" customHeight="1">
      <c r="A31" s="542" t="s">
        <v>58</v>
      </c>
      <c r="B31" s="535"/>
      <c r="C31" s="543">
        <f>E17-C16+1</f>
        <v>40</v>
      </c>
      <c r="D31" s="535"/>
      <c r="E31" s="537"/>
      <c r="F31" s="310"/>
      <c r="G31" s="468"/>
      <c r="H31" s="467"/>
      <c r="I31" s="311"/>
      <c r="J31" s="14" t="str">
        <f t="shared" ref="J31:AO31" si="37">IF(AND(J$5&gt;=$C$16,J$5&lt;=$E$17),1,"")</f>
        <v/>
      </c>
      <c r="K31" s="14" t="str">
        <f t="shared" si="37"/>
        <v/>
      </c>
      <c r="L31" s="14" t="str">
        <f t="shared" si="37"/>
        <v/>
      </c>
      <c r="M31" s="14" t="str">
        <f t="shared" si="37"/>
        <v/>
      </c>
      <c r="N31" s="14" t="str">
        <f t="shared" si="37"/>
        <v/>
      </c>
      <c r="O31" s="15" t="str">
        <f t="shared" si="37"/>
        <v/>
      </c>
      <c r="P31" s="16" t="str">
        <f t="shared" si="37"/>
        <v/>
      </c>
      <c r="Q31" s="13" t="str">
        <f t="shared" si="37"/>
        <v/>
      </c>
      <c r="R31" s="14" t="str">
        <f t="shared" si="37"/>
        <v/>
      </c>
      <c r="S31" s="14" t="str">
        <f t="shared" si="37"/>
        <v/>
      </c>
      <c r="T31" s="14" t="str">
        <f t="shared" si="37"/>
        <v/>
      </c>
      <c r="U31" s="14" t="str">
        <f t="shared" si="37"/>
        <v/>
      </c>
      <c r="V31" s="15" t="str">
        <f t="shared" si="37"/>
        <v/>
      </c>
      <c r="W31" s="16" t="str">
        <f t="shared" si="37"/>
        <v/>
      </c>
      <c r="X31" s="13" t="str">
        <f t="shared" si="37"/>
        <v/>
      </c>
      <c r="Y31" s="14" t="str">
        <f t="shared" si="37"/>
        <v/>
      </c>
      <c r="Z31" s="14" t="str">
        <f t="shared" si="37"/>
        <v/>
      </c>
      <c r="AA31" s="14" t="str">
        <f t="shared" si="37"/>
        <v/>
      </c>
      <c r="AB31" s="14" t="str">
        <f t="shared" si="37"/>
        <v/>
      </c>
      <c r="AC31" s="15" t="str">
        <f t="shared" si="37"/>
        <v/>
      </c>
      <c r="AD31" s="16" t="str">
        <f t="shared" si="37"/>
        <v/>
      </c>
      <c r="AE31" s="13" t="str">
        <f t="shared" si="37"/>
        <v/>
      </c>
      <c r="AF31" s="14" t="str">
        <f t="shared" si="37"/>
        <v/>
      </c>
      <c r="AG31" s="14" t="str">
        <f t="shared" si="37"/>
        <v/>
      </c>
      <c r="AH31" s="14" t="str">
        <f t="shared" si="37"/>
        <v/>
      </c>
      <c r="AI31" s="14" t="str">
        <f t="shared" si="37"/>
        <v/>
      </c>
      <c r="AJ31" s="15" t="str">
        <f t="shared" si="37"/>
        <v/>
      </c>
      <c r="AK31" s="16" t="str">
        <f t="shared" si="37"/>
        <v/>
      </c>
      <c r="AL31" s="13" t="str">
        <f t="shared" si="37"/>
        <v/>
      </c>
      <c r="AM31" s="14" t="str">
        <f t="shared" si="37"/>
        <v/>
      </c>
      <c r="AN31" s="14" t="str">
        <f t="shared" si="37"/>
        <v/>
      </c>
      <c r="AO31" s="14">
        <f t="shared" si="37"/>
        <v>1</v>
      </c>
      <c r="AP31" s="14">
        <f t="shared" ref="AP31:BU31" si="38">IF(AND(AP$5&gt;=$C$16,AP$5&lt;=$E$17),1,"")</f>
        <v>1</v>
      </c>
      <c r="AQ31" s="15">
        <f t="shared" si="38"/>
        <v>1</v>
      </c>
      <c r="AR31" s="16">
        <f t="shared" si="38"/>
        <v>1</v>
      </c>
      <c r="AS31" s="13">
        <f t="shared" si="38"/>
        <v>1</v>
      </c>
      <c r="AT31" s="14">
        <f t="shared" si="38"/>
        <v>1</v>
      </c>
      <c r="AU31" s="14">
        <f t="shared" si="38"/>
        <v>1</v>
      </c>
      <c r="AV31" s="14">
        <f t="shared" si="38"/>
        <v>1</v>
      </c>
      <c r="AW31" s="14">
        <f t="shared" si="38"/>
        <v>1</v>
      </c>
      <c r="AX31" s="15">
        <f t="shared" si="38"/>
        <v>1</v>
      </c>
      <c r="AY31" s="16">
        <f t="shared" si="38"/>
        <v>1</v>
      </c>
      <c r="AZ31" s="13">
        <f t="shared" si="38"/>
        <v>1</v>
      </c>
      <c r="BA31" s="14">
        <f t="shared" si="38"/>
        <v>1</v>
      </c>
      <c r="BB31" s="14">
        <f t="shared" si="38"/>
        <v>1</v>
      </c>
      <c r="BC31" s="14">
        <f t="shared" si="38"/>
        <v>1</v>
      </c>
      <c r="BD31" s="14">
        <f t="shared" si="38"/>
        <v>1</v>
      </c>
      <c r="BE31" s="15">
        <f t="shared" si="38"/>
        <v>1</v>
      </c>
      <c r="BF31" s="16">
        <f t="shared" si="38"/>
        <v>1</v>
      </c>
      <c r="BG31" s="13">
        <f t="shared" si="38"/>
        <v>1</v>
      </c>
      <c r="BH31" s="14">
        <f t="shared" si="38"/>
        <v>1</v>
      </c>
      <c r="BI31" s="14">
        <f t="shared" si="38"/>
        <v>1</v>
      </c>
      <c r="BJ31" s="14">
        <f t="shared" si="38"/>
        <v>1</v>
      </c>
      <c r="BK31" s="14">
        <f t="shared" si="38"/>
        <v>1</v>
      </c>
      <c r="BL31" s="15">
        <f t="shared" si="38"/>
        <v>1</v>
      </c>
      <c r="BM31" s="16">
        <f t="shared" si="38"/>
        <v>1</v>
      </c>
      <c r="BN31" s="13">
        <f t="shared" si="38"/>
        <v>1</v>
      </c>
      <c r="BO31" s="14">
        <f t="shared" si="38"/>
        <v>1</v>
      </c>
      <c r="BP31" s="14">
        <f t="shared" si="38"/>
        <v>1</v>
      </c>
      <c r="BQ31" s="14">
        <f t="shared" si="38"/>
        <v>1</v>
      </c>
      <c r="BR31" s="14">
        <f t="shared" si="38"/>
        <v>1</v>
      </c>
      <c r="BS31" s="15">
        <f t="shared" si="38"/>
        <v>1</v>
      </c>
      <c r="BT31" s="16">
        <f t="shared" si="38"/>
        <v>1</v>
      </c>
      <c r="BU31" s="13">
        <f t="shared" si="38"/>
        <v>1</v>
      </c>
      <c r="BV31" s="14">
        <f t="shared" ref="BV31:DA31" si="39">IF(AND(BV$5&gt;=$C$16,BV$5&lt;=$E$17),1,"")</f>
        <v>1</v>
      </c>
      <c r="BW31" s="14">
        <f t="shared" si="39"/>
        <v>1</v>
      </c>
      <c r="BX31" s="14">
        <f t="shared" si="39"/>
        <v>1</v>
      </c>
      <c r="BY31" s="14">
        <f t="shared" si="39"/>
        <v>1</v>
      </c>
      <c r="BZ31" s="15">
        <f t="shared" si="39"/>
        <v>1</v>
      </c>
      <c r="CA31" s="16">
        <f t="shared" si="39"/>
        <v>1</v>
      </c>
      <c r="CB31" s="13">
        <f t="shared" si="39"/>
        <v>1</v>
      </c>
      <c r="CC31" s="14" t="str">
        <f t="shared" si="39"/>
        <v/>
      </c>
      <c r="CD31" s="14" t="str">
        <f t="shared" si="39"/>
        <v/>
      </c>
      <c r="CE31" s="14" t="str">
        <f t="shared" si="39"/>
        <v/>
      </c>
      <c r="CF31" s="14" t="str">
        <f t="shared" si="39"/>
        <v/>
      </c>
      <c r="CG31" s="15" t="str">
        <f t="shared" si="39"/>
        <v/>
      </c>
      <c r="CH31" s="16" t="str">
        <f t="shared" si="39"/>
        <v/>
      </c>
      <c r="CI31" s="13" t="str">
        <f t="shared" si="39"/>
        <v/>
      </c>
      <c r="CJ31" s="14" t="str">
        <f t="shared" si="39"/>
        <v/>
      </c>
      <c r="CK31" s="14" t="str">
        <f t="shared" si="39"/>
        <v/>
      </c>
      <c r="CL31" s="14" t="str">
        <f t="shared" si="39"/>
        <v/>
      </c>
      <c r="CM31" s="14" t="str">
        <f t="shared" si="39"/>
        <v/>
      </c>
      <c r="CN31" s="15" t="str">
        <f t="shared" si="39"/>
        <v/>
      </c>
      <c r="CO31" s="16" t="str">
        <f t="shared" si="39"/>
        <v/>
      </c>
      <c r="CP31" s="13" t="str">
        <f t="shared" si="39"/>
        <v/>
      </c>
      <c r="CQ31" s="14" t="str">
        <f t="shared" si="39"/>
        <v/>
      </c>
      <c r="CR31" s="14" t="str">
        <f t="shared" si="39"/>
        <v/>
      </c>
      <c r="CS31" s="14" t="str">
        <f t="shared" si="39"/>
        <v/>
      </c>
      <c r="CT31" s="14" t="str">
        <f t="shared" si="39"/>
        <v/>
      </c>
      <c r="CU31" s="15" t="str">
        <f t="shared" si="39"/>
        <v/>
      </c>
      <c r="CV31" s="16" t="str">
        <f t="shared" si="39"/>
        <v/>
      </c>
      <c r="CW31" s="13" t="str">
        <f t="shared" si="39"/>
        <v/>
      </c>
      <c r="CX31" s="14" t="str">
        <f t="shared" si="39"/>
        <v/>
      </c>
      <c r="CY31" s="14" t="str">
        <f t="shared" si="39"/>
        <v/>
      </c>
      <c r="CZ31" s="14" t="str">
        <f t="shared" si="39"/>
        <v/>
      </c>
      <c r="DA31" s="14" t="str">
        <f t="shared" si="39"/>
        <v/>
      </c>
      <c r="DB31" s="15" t="str">
        <f t="shared" ref="DB31:DX31" si="40">IF(AND(DB$5&gt;=$C$16,DB$5&lt;=$E$17),1,"")</f>
        <v/>
      </c>
      <c r="DC31" s="16" t="str">
        <f t="shared" si="40"/>
        <v/>
      </c>
      <c r="DD31" s="13" t="str">
        <f t="shared" si="40"/>
        <v/>
      </c>
      <c r="DE31" s="14" t="str">
        <f t="shared" si="40"/>
        <v/>
      </c>
      <c r="DF31" s="14" t="str">
        <f t="shared" si="40"/>
        <v/>
      </c>
      <c r="DG31" s="14" t="str">
        <f t="shared" si="40"/>
        <v/>
      </c>
      <c r="DH31" s="14" t="str">
        <f t="shared" si="40"/>
        <v/>
      </c>
      <c r="DI31" s="15" t="str">
        <f t="shared" si="40"/>
        <v/>
      </c>
      <c r="DJ31" s="16" t="str">
        <f t="shared" si="40"/>
        <v/>
      </c>
      <c r="DK31" s="13" t="str">
        <f t="shared" si="40"/>
        <v/>
      </c>
      <c r="DL31" s="14" t="str">
        <f t="shared" si="40"/>
        <v/>
      </c>
      <c r="DM31" s="14" t="str">
        <f t="shared" si="40"/>
        <v/>
      </c>
      <c r="DN31" s="14" t="str">
        <f t="shared" si="40"/>
        <v/>
      </c>
      <c r="DO31" s="14" t="str">
        <f t="shared" si="40"/>
        <v/>
      </c>
      <c r="DP31" s="15" t="str">
        <f t="shared" si="40"/>
        <v/>
      </c>
      <c r="DQ31" s="16" t="str">
        <f t="shared" si="40"/>
        <v/>
      </c>
      <c r="DR31" s="13" t="str">
        <f t="shared" si="40"/>
        <v/>
      </c>
      <c r="DS31" s="14" t="str">
        <f t="shared" si="40"/>
        <v/>
      </c>
      <c r="DT31" s="14" t="str">
        <f t="shared" si="40"/>
        <v/>
      </c>
      <c r="DU31" s="14" t="str">
        <f t="shared" si="40"/>
        <v/>
      </c>
      <c r="DV31" s="14" t="str">
        <f t="shared" si="40"/>
        <v/>
      </c>
      <c r="DW31" s="15" t="str">
        <f t="shared" si="40"/>
        <v/>
      </c>
      <c r="DX31" s="16" t="str">
        <f t="shared" si="40"/>
        <v/>
      </c>
    </row>
    <row r="32" spans="1:128" s="17" customFormat="1" ht="2.1" customHeight="1">
      <c r="A32" s="29"/>
      <c r="B32" s="29"/>
      <c r="C32" s="30"/>
      <c r="D32" s="30"/>
      <c r="E32" s="31"/>
      <c r="F32" s="306"/>
      <c r="G32" s="31"/>
      <c r="H32" s="30"/>
      <c r="I32" s="307"/>
      <c r="J32" s="14"/>
      <c r="K32" s="14"/>
      <c r="L32" s="14"/>
      <c r="M32" s="14"/>
      <c r="N32" s="14"/>
      <c r="O32" s="15"/>
      <c r="P32" s="16"/>
      <c r="Q32" s="13"/>
      <c r="R32" s="14"/>
      <c r="S32" s="14"/>
      <c r="T32" s="14"/>
      <c r="U32" s="14"/>
      <c r="V32" s="15"/>
      <c r="W32" s="16"/>
      <c r="X32" s="13"/>
      <c r="Y32" s="14"/>
      <c r="Z32" s="14"/>
      <c r="AA32" s="14"/>
      <c r="AB32" s="14"/>
      <c r="AC32" s="15"/>
      <c r="AD32" s="16"/>
      <c r="AE32" s="13"/>
      <c r="AF32" s="14"/>
      <c r="AG32" s="14"/>
      <c r="AH32" s="14"/>
      <c r="AI32" s="14"/>
      <c r="AJ32" s="15"/>
      <c r="AK32" s="16"/>
      <c r="AL32" s="13"/>
      <c r="AM32" s="14"/>
      <c r="AN32" s="14"/>
      <c r="AO32" s="14"/>
      <c r="AP32" s="14"/>
      <c r="AQ32" s="15"/>
      <c r="AR32" s="16"/>
      <c r="AS32" s="13"/>
      <c r="AT32" s="14"/>
      <c r="AU32" s="14"/>
      <c r="AV32" s="14"/>
      <c r="AW32" s="14"/>
      <c r="AX32" s="15"/>
      <c r="AY32" s="16"/>
      <c r="AZ32" s="13"/>
      <c r="BA32" s="14"/>
      <c r="BB32" s="14"/>
      <c r="BC32" s="14"/>
      <c r="BD32" s="14"/>
      <c r="BE32" s="15"/>
      <c r="BF32" s="16"/>
      <c r="BG32" s="13"/>
      <c r="BH32" s="14"/>
      <c r="BI32" s="14"/>
      <c r="BJ32" s="14"/>
      <c r="BK32" s="14"/>
      <c r="BL32" s="15"/>
      <c r="BM32" s="16"/>
      <c r="BN32" s="13"/>
      <c r="BO32" s="14"/>
      <c r="BP32" s="14"/>
      <c r="BQ32" s="14"/>
      <c r="BR32" s="14"/>
      <c r="BS32" s="15"/>
      <c r="BT32" s="16"/>
      <c r="BU32" s="13"/>
      <c r="BV32" s="14"/>
      <c r="BW32" s="14"/>
      <c r="BX32" s="14"/>
      <c r="BY32" s="14"/>
      <c r="BZ32" s="15"/>
      <c r="CA32" s="16"/>
      <c r="CB32" s="13"/>
      <c r="CC32" s="14"/>
      <c r="CD32" s="14"/>
      <c r="CE32" s="14"/>
      <c r="CF32" s="14"/>
      <c r="CG32" s="15"/>
      <c r="CH32" s="16"/>
      <c r="CI32" s="13"/>
      <c r="CJ32" s="14"/>
      <c r="CK32" s="14"/>
      <c r="CL32" s="14"/>
      <c r="CM32" s="14"/>
      <c r="CN32" s="15"/>
      <c r="CO32" s="16"/>
      <c r="CP32" s="13"/>
      <c r="CQ32" s="14"/>
      <c r="CR32" s="14"/>
      <c r="CS32" s="14"/>
      <c r="CT32" s="14"/>
      <c r="CU32" s="15"/>
      <c r="CV32" s="16"/>
      <c r="CW32" s="13"/>
      <c r="CX32" s="14"/>
      <c r="CY32" s="14"/>
      <c r="CZ32" s="14"/>
      <c r="DA32" s="14"/>
      <c r="DB32" s="15"/>
      <c r="DC32" s="16"/>
      <c r="DD32" s="13"/>
      <c r="DE32" s="14"/>
      <c r="DF32" s="14"/>
      <c r="DG32" s="14"/>
      <c r="DH32" s="14"/>
      <c r="DI32" s="15"/>
      <c r="DJ32" s="16"/>
      <c r="DK32" s="13"/>
      <c r="DL32" s="14"/>
      <c r="DM32" s="14"/>
      <c r="DN32" s="14"/>
      <c r="DO32" s="14"/>
      <c r="DP32" s="15"/>
      <c r="DQ32" s="16"/>
      <c r="DR32" s="13"/>
      <c r="DS32" s="14"/>
      <c r="DT32" s="14"/>
      <c r="DU32" s="14"/>
      <c r="DV32" s="14"/>
      <c r="DW32" s="15"/>
      <c r="DX32" s="16"/>
    </row>
    <row r="33" spans="1:128" s="17" customFormat="1" ht="15" customHeight="1">
      <c r="A33" s="544" t="s">
        <v>59</v>
      </c>
      <c r="B33" s="535"/>
      <c r="C33" s="545">
        <f>E23-C11+1</f>
        <v>69</v>
      </c>
      <c r="D33" s="535"/>
      <c r="E33" s="537"/>
      <c r="F33" s="312"/>
      <c r="G33" s="470"/>
      <c r="H33" s="469"/>
      <c r="I33" s="313"/>
      <c r="J33" s="14" t="str">
        <f t="shared" ref="J33:AO33" si="41">IF(AND(J$5&gt;=$C$11,J$5&lt;=$E$23),1,"")</f>
        <v/>
      </c>
      <c r="K33" s="14" t="str">
        <f t="shared" si="41"/>
        <v/>
      </c>
      <c r="L33" s="14" t="str">
        <f t="shared" si="41"/>
        <v/>
      </c>
      <c r="M33" s="14" t="str">
        <f t="shared" si="41"/>
        <v/>
      </c>
      <c r="N33" s="14" t="str">
        <f t="shared" si="41"/>
        <v/>
      </c>
      <c r="O33" s="15" t="str">
        <f t="shared" si="41"/>
        <v/>
      </c>
      <c r="P33" s="16" t="str">
        <f t="shared" si="41"/>
        <v/>
      </c>
      <c r="Q33" s="13" t="str">
        <f t="shared" si="41"/>
        <v/>
      </c>
      <c r="R33" s="14" t="str">
        <f t="shared" si="41"/>
        <v/>
      </c>
      <c r="S33" s="14" t="str">
        <f t="shared" si="41"/>
        <v/>
      </c>
      <c r="T33" s="14" t="str">
        <f t="shared" si="41"/>
        <v/>
      </c>
      <c r="U33" s="14" t="str">
        <f t="shared" si="41"/>
        <v/>
      </c>
      <c r="V33" s="15" t="str">
        <f t="shared" si="41"/>
        <v/>
      </c>
      <c r="W33" s="16" t="str">
        <f t="shared" si="41"/>
        <v/>
      </c>
      <c r="X33" s="13" t="str">
        <f t="shared" si="41"/>
        <v/>
      </c>
      <c r="Y33" s="14">
        <f t="shared" si="41"/>
        <v>1</v>
      </c>
      <c r="Z33" s="14">
        <f t="shared" si="41"/>
        <v>1</v>
      </c>
      <c r="AA33" s="14">
        <f t="shared" si="41"/>
        <v>1</v>
      </c>
      <c r="AB33" s="14">
        <f t="shared" si="41"/>
        <v>1</v>
      </c>
      <c r="AC33" s="15">
        <f t="shared" si="41"/>
        <v>1</v>
      </c>
      <c r="AD33" s="16">
        <f t="shared" si="41"/>
        <v>1</v>
      </c>
      <c r="AE33" s="13">
        <f t="shared" si="41"/>
        <v>1</v>
      </c>
      <c r="AF33" s="14">
        <f t="shared" si="41"/>
        <v>1</v>
      </c>
      <c r="AG33" s="14">
        <f t="shared" si="41"/>
        <v>1</v>
      </c>
      <c r="AH33" s="14">
        <f t="shared" si="41"/>
        <v>1</v>
      </c>
      <c r="AI33" s="14">
        <f t="shared" si="41"/>
        <v>1</v>
      </c>
      <c r="AJ33" s="15">
        <f t="shared" si="41"/>
        <v>1</v>
      </c>
      <c r="AK33" s="16">
        <f t="shared" si="41"/>
        <v>1</v>
      </c>
      <c r="AL33" s="13">
        <f t="shared" si="41"/>
        <v>1</v>
      </c>
      <c r="AM33" s="14">
        <f t="shared" si="41"/>
        <v>1</v>
      </c>
      <c r="AN33" s="14">
        <f t="shared" si="41"/>
        <v>1</v>
      </c>
      <c r="AO33" s="14">
        <f t="shared" si="41"/>
        <v>1</v>
      </c>
      <c r="AP33" s="14">
        <f t="shared" ref="AP33:BU33" si="42">IF(AND(AP$5&gt;=$C$11,AP$5&lt;=$E$23),1,"")</f>
        <v>1</v>
      </c>
      <c r="AQ33" s="15">
        <f t="shared" si="42"/>
        <v>1</v>
      </c>
      <c r="AR33" s="16">
        <f t="shared" si="42"/>
        <v>1</v>
      </c>
      <c r="AS33" s="13">
        <f t="shared" si="42"/>
        <v>1</v>
      </c>
      <c r="AT33" s="14">
        <f t="shared" si="42"/>
        <v>1</v>
      </c>
      <c r="AU33" s="14">
        <f t="shared" si="42"/>
        <v>1</v>
      </c>
      <c r="AV33" s="14">
        <f t="shared" si="42"/>
        <v>1</v>
      </c>
      <c r="AW33" s="14">
        <f t="shared" si="42"/>
        <v>1</v>
      </c>
      <c r="AX33" s="15">
        <f t="shared" si="42"/>
        <v>1</v>
      </c>
      <c r="AY33" s="16">
        <f t="shared" si="42"/>
        <v>1</v>
      </c>
      <c r="AZ33" s="13">
        <f t="shared" si="42"/>
        <v>1</v>
      </c>
      <c r="BA33" s="14">
        <f t="shared" si="42"/>
        <v>1</v>
      </c>
      <c r="BB33" s="14">
        <f t="shared" si="42"/>
        <v>1</v>
      </c>
      <c r="BC33" s="14">
        <f t="shared" si="42"/>
        <v>1</v>
      </c>
      <c r="BD33" s="14">
        <f t="shared" si="42"/>
        <v>1</v>
      </c>
      <c r="BE33" s="15">
        <f t="shared" si="42"/>
        <v>1</v>
      </c>
      <c r="BF33" s="16">
        <f t="shared" si="42"/>
        <v>1</v>
      </c>
      <c r="BG33" s="13">
        <f t="shared" si="42"/>
        <v>1</v>
      </c>
      <c r="BH33" s="14">
        <f t="shared" si="42"/>
        <v>1</v>
      </c>
      <c r="BI33" s="14">
        <f t="shared" si="42"/>
        <v>1</v>
      </c>
      <c r="BJ33" s="14">
        <f t="shared" si="42"/>
        <v>1</v>
      </c>
      <c r="BK33" s="14">
        <f t="shared" si="42"/>
        <v>1</v>
      </c>
      <c r="BL33" s="15">
        <f t="shared" si="42"/>
        <v>1</v>
      </c>
      <c r="BM33" s="16">
        <f t="shared" si="42"/>
        <v>1</v>
      </c>
      <c r="BN33" s="13">
        <f t="shared" si="42"/>
        <v>1</v>
      </c>
      <c r="BO33" s="14">
        <f t="shared" si="42"/>
        <v>1</v>
      </c>
      <c r="BP33" s="14">
        <f t="shared" si="42"/>
        <v>1</v>
      </c>
      <c r="BQ33" s="14">
        <f t="shared" si="42"/>
        <v>1</v>
      </c>
      <c r="BR33" s="14">
        <f t="shared" si="42"/>
        <v>1</v>
      </c>
      <c r="BS33" s="15">
        <f t="shared" si="42"/>
        <v>1</v>
      </c>
      <c r="BT33" s="16">
        <f t="shared" si="42"/>
        <v>1</v>
      </c>
      <c r="BU33" s="13">
        <f t="shared" si="42"/>
        <v>1</v>
      </c>
      <c r="BV33" s="14">
        <f t="shared" ref="BV33:DA33" si="43">IF(AND(BV$5&gt;=$C$11,BV$5&lt;=$E$23),1,"")</f>
        <v>1</v>
      </c>
      <c r="BW33" s="14">
        <f t="shared" si="43"/>
        <v>1</v>
      </c>
      <c r="BX33" s="14">
        <f t="shared" si="43"/>
        <v>1</v>
      </c>
      <c r="BY33" s="14">
        <f t="shared" si="43"/>
        <v>1</v>
      </c>
      <c r="BZ33" s="15">
        <f t="shared" si="43"/>
        <v>1</v>
      </c>
      <c r="CA33" s="16">
        <f t="shared" si="43"/>
        <v>1</v>
      </c>
      <c r="CB33" s="13">
        <f t="shared" si="43"/>
        <v>1</v>
      </c>
      <c r="CC33" s="14">
        <f t="shared" si="43"/>
        <v>1</v>
      </c>
      <c r="CD33" s="14">
        <f t="shared" si="43"/>
        <v>1</v>
      </c>
      <c r="CE33" s="14">
        <f t="shared" si="43"/>
        <v>1</v>
      </c>
      <c r="CF33" s="14">
        <f t="shared" si="43"/>
        <v>1</v>
      </c>
      <c r="CG33" s="15">
        <f t="shared" si="43"/>
        <v>1</v>
      </c>
      <c r="CH33" s="16">
        <f t="shared" si="43"/>
        <v>1</v>
      </c>
      <c r="CI33" s="13">
        <f t="shared" si="43"/>
        <v>1</v>
      </c>
      <c r="CJ33" s="14">
        <f t="shared" si="43"/>
        <v>1</v>
      </c>
      <c r="CK33" s="14">
        <f t="shared" si="43"/>
        <v>1</v>
      </c>
      <c r="CL33" s="14">
        <f t="shared" si="43"/>
        <v>1</v>
      </c>
      <c r="CM33" s="14">
        <f t="shared" si="43"/>
        <v>1</v>
      </c>
      <c r="CN33" s="15">
        <f t="shared" si="43"/>
        <v>1</v>
      </c>
      <c r="CO33" s="16">
        <f t="shared" si="43"/>
        <v>1</v>
      </c>
      <c r="CP33" s="13" t="str">
        <f t="shared" si="43"/>
        <v/>
      </c>
      <c r="CQ33" s="14" t="str">
        <f t="shared" si="43"/>
        <v/>
      </c>
      <c r="CR33" s="14" t="str">
        <f t="shared" si="43"/>
        <v/>
      </c>
      <c r="CS33" s="14" t="str">
        <f t="shared" si="43"/>
        <v/>
      </c>
      <c r="CT33" s="14" t="str">
        <f t="shared" si="43"/>
        <v/>
      </c>
      <c r="CU33" s="15" t="str">
        <f t="shared" si="43"/>
        <v/>
      </c>
      <c r="CV33" s="16" t="str">
        <f t="shared" si="43"/>
        <v/>
      </c>
      <c r="CW33" s="13" t="str">
        <f t="shared" si="43"/>
        <v/>
      </c>
      <c r="CX33" s="14" t="str">
        <f t="shared" si="43"/>
        <v/>
      </c>
      <c r="CY33" s="14" t="str">
        <f t="shared" si="43"/>
        <v/>
      </c>
      <c r="CZ33" s="14" t="str">
        <f t="shared" si="43"/>
        <v/>
      </c>
      <c r="DA33" s="14" t="str">
        <f t="shared" si="43"/>
        <v/>
      </c>
      <c r="DB33" s="15" t="str">
        <f t="shared" ref="DB33:DX33" si="44">IF(AND(DB$5&gt;=$C$11,DB$5&lt;=$E$23),1,"")</f>
        <v/>
      </c>
      <c r="DC33" s="16" t="str">
        <f t="shared" si="44"/>
        <v/>
      </c>
      <c r="DD33" s="13" t="str">
        <f t="shared" si="44"/>
        <v/>
      </c>
      <c r="DE33" s="14" t="str">
        <f t="shared" si="44"/>
        <v/>
      </c>
      <c r="DF33" s="14" t="str">
        <f t="shared" si="44"/>
        <v/>
      </c>
      <c r="DG33" s="14" t="str">
        <f t="shared" si="44"/>
        <v/>
      </c>
      <c r="DH33" s="14" t="str">
        <f t="shared" si="44"/>
        <v/>
      </c>
      <c r="DI33" s="15" t="str">
        <f t="shared" si="44"/>
        <v/>
      </c>
      <c r="DJ33" s="16" t="str">
        <f t="shared" si="44"/>
        <v/>
      </c>
      <c r="DK33" s="13" t="str">
        <f t="shared" si="44"/>
        <v/>
      </c>
      <c r="DL33" s="14" t="str">
        <f t="shared" si="44"/>
        <v/>
      </c>
      <c r="DM33" s="14" t="str">
        <f t="shared" si="44"/>
        <v/>
      </c>
      <c r="DN33" s="14" t="str">
        <f t="shared" si="44"/>
        <v/>
      </c>
      <c r="DO33" s="14" t="str">
        <f t="shared" si="44"/>
        <v/>
      </c>
      <c r="DP33" s="15" t="str">
        <f t="shared" si="44"/>
        <v/>
      </c>
      <c r="DQ33" s="16" t="str">
        <f t="shared" si="44"/>
        <v/>
      </c>
      <c r="DR33" s="13" t="str">
        <f t="shared" si="44"/>
        <v/>
      </c>
      <c r="DS33" s="14" t="str">
        <f t="shared" si="44"/>
        <v/>
      </c>
      <c r="DT33" s="14" t="str">
        <f t="shared" si="44"/>
        <v/>
      </c>
      <c r="DU33" s="14" t="str">
        <f t="shared" si="44"/>
        <v/>
      </c>
      <c r="DV33" s="14" t="str">
        <f t="shared" si="44"/>
        <v/>
      </c>
      <c r="DW33" s="15" t="str">
        <f t="shared" si="44"/>
        <v/>
      </c>
      <c r="DX33" s="16" t="str">
        <f t="shared" si="44"/>
        <v/>
      </c>
    </row>
    <row r="34" spans="1:128" s="17" customFormat="1" ht="2.1" customHeight="1">
      <c r="A34" s="29"/>
      <c r="B34" s="29"/>
      <c r="C34" s="30"/>
      <c r="D34" s="30"/>
      <c r="E34" s="31"/>
      <c r="F34" s="306"/>
      <c r="G34" s="31"/>
      <c r="H34" s="30"/>
      <c r="I34" s="307"/>
      <c r="J34" s="14"/>
      <c r="K34" s="14"/>
      <c r="L34" s="14"/>
      <c r="M34" s="14"/>
      <c r="N34" s="14"/>
      <c r="O34" s="15"/>
      <c r="P34" s="16"/>
      <c r="Q34" s="13"/>
      <c r="R34" s="14"/>
      <c r="S34" s="14"/>
      <c r="T34" s="14"/>
      <c r="U34" s="14"/>
      <c r="V34" s="15"/>
      <c r="W34" s="16"/>
      <c r="X34" s="13"/>
      <c r="Y34" s="14"/>
      <c r="Z34" s="14"/>
      <c r="AA34" s="14"/>
      <c r="AB34" s="14"/>
      <c r="AC34" s="15"/>
      <c r="AD34" s="16"/>
      <c r="AE34" s="13"/>
      <c r="AF34" s="14"/>
      <c r="AG34" s="14"/>
      <c r="AH34" s="14"/>
      <c r="AI34" s="14"/>
      <c r="AJ34" s="15"/>
      <c r="AK34" s="16"/>
      <c r="AL34" s="13"/>
      <c r="AM34" s="14"/>
      <c r="AN34" s="14"/>
      <c r="AO34" s="14"/>
      <c r="AP34" s="14"/>
      <c r="AQ34" s="15"/>
      <c r="AR34" s="16"/>
      <c r="AS34" s="13"/>
      <c r="AT34" s="14"/>
      <c r="AU34" s="14"/>
      <c r="AV34" s="14"/>
      <c r="AW34" s="14"/>
      <c r="AX34" s="15"/>
      <c r="AY34" s="16"/>
      <c r="AZ34" s="13"/>
      <c r="BA34" s="14"/>
      <c r="BB34" s="14"/>
      <c r="BC34" s="14"/>
      <c r="BD34" s="14"/>
      <c r="BE34" s="15"/>
      <c r="BF34" s="16"/>
      <c r="BG34" s="13"/>
      <c r="BH34" s="14"/>
      <c r="BI34" s="14"/>
      <c r="BJ34" s="14"/>
      <c r="BK34" s="14"/>
      <c r="BL34" s="15"/>
      <c r="BM34" s="16"/>
      <c r="BN34" s="13"/>
      <c r="BO34" s="14"/>
      <c r="BP34" s="14"/>
      <c r="BQ34" s="14"/>
      <c r="BR34" s="14"/>
      <c r="BS34" s="15"/>
      <c r="BT34" s="16"/>
      <c r="BU34" s="13"/>
      <c r="BV34" s="14"/>
      <c r="BW34" s="14"/>
      <c r="BX34" s="14"/>
      <c r="BY34" s="14"/>
      <c r="BZ34" s="15"/>
      <c r="CA34" s="16"/>
      <c r="CB34" s="13"/>
      <c r="CC34" s="14"/>
      <c r="CD34" s="14"/>
      <c r="CE34" s="14"/>
      <c r="CF34" s="14"/>
      <c r="CG34" s="15"/>
      <c r="CH34" s="16"/>
      <c r="CI34" s="13"/>
      <c r="CJ34" s="14"/>
      <c r="CK34" s="14"/>
      <c r="CL34" s="14"/>
      <c r="CM34" s="14"/>
      <c r="CN34" s="15"/>
      <c r="CO34" s="16"/>
      <c r="CP34" s="13"/>
      <c r="CQ34" s="14"/>
      <c r="CR34" s="14"/>
      <c r="CS34" s="14"/>
      <c r="CT34" s="14"/>
      <c r="CU34" s="15"/>
      <c r="CV34" s="16"/>
      <c r="CW34" s="13"/>
      <c r="CX34" s="14"/>
      <c r="CY34" s="14"/>
      <c r="CZ34" s="14"/>
      <c r="DA34" s="14"/>
      <c r="DB34" s="15"/>
      <c r="DC34" s="16"/>
      <c r="DD34" s="13"/>
      <c r="DE34" s="14"/>
      <c r="DF34" s="14"/>
      <c r="DG34" s="14"/>
      <c r="DH34" s="14"/>
      <c r="DI34" s="15"/>
      <c r="DJ34" s="16"/>
      <c r="DK34" s="13"/>
      <c r="DL34" s="14"/>
      <c r="DM34" s="14"/>
      <c r="DN34" s="14"/>
      <c r="DO34" s="14"/>
      <c r="DP34" s="15"/>
      <c r="DQ34" s="16"/>
      <c r="DR34" s="13"/>
      <c r="DS34" s="14"/>
      <c r="DT34" s="14"/>
      <c r="DU34" s="14"/>
      <c r="DV34" s="14"/>
      <c r="DW34" s="15"/>
      <c r="DX34" s="16"/>
    </row>
    <row r="35" spans="1:128" s="17" customFormat="1" ht="15" customHeight="1">
      <c r="A35" s="534" t="s">
        <v>60</v>
      </c>
      <c r="B35" s="535"/>
      <c r="C35" s="536">
        <f>E23-C8+1</f>
        <v>78</v>
      </c>
      <c r="D35" s="535"/>
      <c r="E35" s="537"/>
      <c r="F35" s="314"/>
      <c r="G35" s="464"/>
      <c r="H35" s="463"/>
      <c r="I35" s="315"/>
      <c r="J35" s="14" t="str">
        <f t="shared" ref="J35:AO35" si="45">IF(AND(J$5&gt;=$C$8,J$5&lt;=$E$23),1,"")</f>
        <v/>
      </c>
      <c r="K35" s="14" t="str">
        <f t="shared" si="45"/>
        <v/>
      </c>
      <c r="L35" s="14" t="str">
        <f t="shared" si="45"/>
        <v/>
      </c>
      <c r="M35" s="14" t="str">
        <f t="shared" si="45"/>
        <v/>
      </c>
      <c r="N35" s="14" t="str">
        <f t="shared" si="45"/>
        <v/>
      </c>
      <c r="O35" s="15" t="str">
        <f t="shared" si="45"/>
        <v/>
      </c>
      <c r="P35" s="16">
        <f t="shared" si="45"/>
        <v>1</v>
      </c>
      <c r="Q35" s="13">
        <f t="shared" si="45"/>
        <v>1</v>
      </c>
      <c r="R35" s="14">
        <f t="shared" si="45"/>
        <v>1</v>
      </c>
      <c r="S35" s="14">
        <f t="shared" si="45"/>
        <v>1</v>
      </c>
      <c r="T35" s="14">
        <f t="shared" si="45"/>
        <v>1</v>
      </c>
      <c r="U35" s="14">
        <f t="shared" si="45"/>
        <v>1</v>
      </c>
      <c r="V35" s="15">
        <f t="shared" si="45"/>
        <v>1</v>
      </c>
      <c r="W35" s="16">
        <f t="shared" si="45"/>
        <v>1</v>
      </c>
      <c r="X35" s="13">
        <f t="shared" si="45"/>
        <v>1</v>
      </c>
      <c r="Y35" s="14">
        <f t="shared" si="45"/>
        <v>1</v>
      </c>
      <c r="Z35" s="14">
        <f t="shared" si="45"/>
        <v>1</v>
      </c>
      <c r="AA35" s="14">
        <f t="shared" si="45"/>
        <v>1</v>
      </c>
      <c r="AB35" s="14">
        <f t="shared" si="45"/>
        <v>1</v>
      </c>
      <c r="AC35" s="15">
        <f t="shared" si="45"/>
        <v>1</v>
      </c>
      <c r="AD35" s="16">
        <f t="shared" si="45"/>
        <v>1</v>
      </c>
      <c r="AE35" s="13">
        <f t="shared" si="45"/>
        <v>1</v>
      </c>
      <c r="AF35" s="14">
        <f t="shared" si="45"/>
        <v>1</v>
      </c>
      <c r="AG35" s="14">
        <f t="shared" si="45"/>
        <v>1</v>
      </c>
      <c r="AH35" s="14">
        <f t="shared" si="45"/>
        <v>1</v>
      </c>
      <c r="AI35" s="14">
        <f t="shared" si="45"/>
        <v>1</v>
      </c>
      <c r="AJ35" s="15">
        <f t="shared" si="45"/>
        <v>1</v>
      </c>
      <c r="AK35" s="16">
        <f t="shared" si="45"/>
        <v>1</v>
      </c>
      <c r="AL35" s="13">
        <f t="shared" si="45"/>
        <v>1</v>
      </c>
      <c r="AM35" s="14">
        <f t="shared" si="45"/>
        <v>1</v>
      </c>
      <c r="AN35" s="14">
        <f t="shared" si="45"/>
        <v>1</v>
      </c>
      <c r="AO35" s="14">
        <f t="shared" si="45"/>
        <v>1</v>
      </c>
      <c r="AP35" s="14">
        <f t="shared" ref="AP35:BU35" si="46">IF(AND(AP$5&gt;=$C$8,AP$5&lt;=$E$23),1,"")</f>
        <v>1</v>
      </c>
      <c r="AQ35" s="15">
        <f t="shared" si="46"/>
        <v>1</v>
      </c>
      <c r="AR35" s="16">
        <f t="shared" si="46"/>
        <v>1</v>
      </c>
      <c r="AS35" s="13">
        <f t="shared" si="46"/>
        <v>1</v>
      </c>
      <c r="AT35" s="14">
        <f t="shared" si="46"/>
        <v>1</v>
      </c>
      <c r="AU35" s="14">
        <f t="shared" si="46"/>
        <v>1</v>
      </c>
      <c r="AV35" s="14">
        <f t="shared" si="46"/>
        <v>1</v>
      </c>
      <c r="AW35" s="14">
        <f t="shared" si="46"/>
        <v>1</v>
      </c>
      <c r="AX35" s="15">
        <f t="shared" si="46"/>
        <v>1</v>
      </c>
      <c r="AY35" s="16">
        <f t="shared" si="46"/>
        <v>1</v>
      </c>
      <c r="AZ35" s="13">
        <f t="shared" si="46"/>
        <v>1</v>
      </c>
      <c r="BA35" s="14">
        <f t="shared" si="46"/>
        <v>1</v>
      </c>
      <c r="BB35" s="14">
        <f t="shared" si="46"/>
        <v>1</v>
      </c>
      <c r="BC35" s="14">
        <f t="shared" si="46"/>
        <v>1</v>
      </c>
      <c r="BD35" s="14">
        <f t="shared" si="46"/>
        <v>1</v>
      </c>
      <c r="BE35" s="15">
        <f t="shared" si="46"/>
        <v>1</v>
      </c>
      <c r="BF35" s="16">
        <f t="shared" si="46"/>
        <v>1</v>
      </c>
      <c r="BG35" s="13">
        <f t="shared" si="46"/>
        <v>1</v>
      </c>
      <c r="BH35" s="14">
        <f t="shared" si="46"/>
        <v>1</v>
      </c>
      <c r="BI35" s="14">
        <f t="shared" si="46"/>
        <v>1</v>
      </c>
      <c r="BJ35" s="14">
        <f t="shared" si="46"/>
        <v>1</v>
      </c>
      <c r="BK35" s="14">
        <f t="shared" si="46"/>
        <v>1</v>
      </c>
      <c r="BL35" s="15">
        <f t="shared" si="46"/>
        <v>1</v>
      </c>
      <c r="BM35" s="16">
        <f t="shared" si="46"/>
        <v>1</v>
      </c>
      <c r="BN35" s="13">
        <f t="shared" si="46"/>
        <v>1</v>
      </c>
      <c r="BO35" s="14">
        <f t="shared" si="46"/>
        <v>1</v>
      </c>
      <c r="BP35" s="14">
        <f t="shared" si="46"/>
        <v>1</v>
      </c>
      <c r="BQ35" s="14">
        <f t="shared" si="46"/>
        <v>1</v>
      </c>
      <c r="BR35" s="14">
        <f t="shared" si="46"/>
        <v>1</v>
      </c>
      <c r="BS35" s="15">
        <f t="shared" si="46"/>
        <v>1</v>
      </c>
      <c r="BT35" s="16">
        <f t="shared" si="46"/>
        <v>1</v>
      </c>
      <c r="BU35" s="13">
        <f t="shared" si="46"/>
        <v>1</v>
      </c>
      <c r="BV35" s="14">
        <f t="shared" ref="BV35:DA35" si="47">IF(AND(BV$5&gt;=$C$8,BV$5&lt;=$E$23),1,"")</f>
        <v>1</v>
      </c>
      <c r="BW35" s="14">
        <f t="shared" si="47"/>
        <v>1</v>
      </c>
      <c r="BX35" s="14">
        <f t="shared" si="47"/>
        <v>1</v>
      </c>
      <c r="BY35" s="14">
        <f t="shared" si="47"/>
        <v>1</v>
      </c>
      <c r="BZ35" s="15">
        <f t="shared" si="47"/>
        <v>1</v>
      </c>
      <c r="CA35" s="16">
        <f t="shared" si="47"/>
        <v>1</v>
      </c>
      <c r="CB35" s="13">
        <f t="shared" si="47"/>
        <v>1</v>
      </c>
      <c r="CC35" s="14">
        <f t="shared" si="47"/>
        <v>1</v>
      </c>
      <c r="CD35" s="14">
        <f t="shared" si="47"/>
        <v>1</v>
      </c>
      <c r="CE35" s="14">
        <f t="shared" si="47"/>
        <v>1</v>
      </c>
      <c r="CF35" s="14">
        <f t="shared" si="47"/>
        <v>1</v>
      </c>
      <c r="CG35" s="15">
        <f t="shared" si="47"/>
        <v>1</v>
      </c>
      <c r="CH35" s="16">
        <f t="shared" si="47"/>
        <v>1</v>
      </c>
      <c r="CI35" s="13">
        <f t="shared" si="47"/>
        <v>1</v>
      </c>
      <c r="CJ35" s="14">
        <f t="shared" si="47"/>
        <v>1</v>
      </c>
      <c r="CK35" s="14">
        <f t="shared" si="47"/>
        <v>1</v>
      </c>
      <c r="CL35" s="14">
        <f t="shared" si="47"/>
        <v>1</v>
      </c>
      <c r="CM35" s="14">
        <f t="shared" si="47"/>
        <v>1</v>
      </c>
      <c r="CN35" s="15">
        <f t="shared" si="47"/>
        <v>1</v>
      </c>
      <c r="CO35" s="16">
        <f t="shared" si="47"/>
        <v>1</v>
      </c>
      <c r="CP35" s="13" t="str">
        <f t="shared" si="47"/>
        <v/>
      </c>
      <c r="CQ35" s="14" t="str">
        <f t="shared" si="47"/>
        <v/>
      </c>
      <c r="CR35" s="14" t="str">
        <f t="shared" si="47"/>
        <v/>
      </c>
      <c r="CS35" s="14" t="str">
        <f t="shared" si="47"/>
        <v/>
      </c>
      <c r="CT35" s="14" t="str">
        <f t="shared" si="47"/>
        <v/>
      </c>
      <c r="CU35" s="15" t="str">
        <f t="shared" si="47"/>
        <v/>
      </c>
      <c r="CV35" s="16" t="str">
        <f t="shared" si="47"/>
        <v/>
      </c>
      <c r="CW35" s="13" t="str">
        <f t="shared" si="47"/>
        <v/>
      </c>
      <c r="CX35" s="14" t="str">
        <f t="shared" si="47"/>
        <v/>
      </c>
      <c r="CY35" s="14" t="str">
        <f t="shared" si="47"/>
        <v/>
      </c>
      <c r="CZ35" s="14" t="str">
        <f t="shared" si="47"/>
        <v/>
      </c>
      <c r="DA35" s="14" t="str">
        <f t="shared" si="47"/>
        <v/>
      </c>
      <c r="DB35" s="15" t="str">
        <f t="shared" ref="DB35:DX35" si="48">IF(AND(DB$5&gt;=$C$8,DB$5&lt;=$E$23),1,"")</f>
        <v/>
      </c>
      <c r="DC35" s="16" t="str">
        <f t="shared" si="48"/>
        <v/>
      </c>
      <c r="DD35" s="13" t="str">
        <f t="shared" si="48"/>
        <v/>
      </c>
      <c r="DE35" s="14" t="str">
        <f t="shared" si="48"/>
        <v/>
      </c>
      <c r="DF35" s="14" t="str">
        <f t="shared" si="48"/>
        <v/>
      </c>
      <c r="DG35" s="14" t="str">
        <f t="shared" si="48"/>
        <v/>
      </c>
      <c r="DH35" s="14" t="str">
        <f t="shared" si="48"/>
        <v/>
      </c>
      <c r="DI35" s="15" t="str">
        <f t="shared" si="48"/>
        <v/>
      </c>
      <c r="DJ35" s="16" t="str">
        <f t="shared" si="48"/>
        <v/>
      </c>
      <c r="DK35" s="13" t="str">
        <f t="shared" si="48"/>
        <v/>
      </c>
      <c r="DL35" s="14" t="str">
        <f t="shared" si="48"/>
        <v/>
      </c>
      <c r="DM35" s="14" t="str">
        <f t="shared" si="48"/>
        <v/>
      </c>
      <c r="DN35" s="14" t="str">
        <f t="shared" si="48"/>
        <v/>
      </c>
      <c r="DO35" s="14" t="str">
        <f t="shared" si="48"/>
        <v/>
      </c>
      <c r="DP35" s="15" t="str">
        <f t="shared" si="48"/>
        <v/>
      </c>
      <c r="DQ35" s="16" t="str">
        <f t="shared" si="48"/>
        <v/>
      </c>
      <c r="DR35" s="13" t="str">
        <f t="shared" si="48"/>
        <v/>
      </c>
      <c r="DS35" s="14" t="str">
        <f t="shared" si="48"/>
        <v/>
      </c>
      <c r="DT35" s="14" t="str">
        <f t="shared" si="48"/>
        <v/>
      </c>
      <c r="DU35" s="14" t="str">
        <f t="shared" si="48"/>
        <v/>
      </c>
      <c r="DV35" s="14" t="str">
        <f t="shared" si="48"/>
        <v/>
      </c>
      <c r="DW35" s="15" t="str">
        <f t="shared" si="48"/>
        <v/>
      </c>
      <c r="DX35" s="16" t="str">
        <f t="shared" si="48"/>
        <v/>
      </c>
    </row>
    <row r="36" spans="1:128" ht="2.1" customHeight="1">
      <c r="F36" s="316"/>
      <c r="I36" s="317"/>
    </row>
    <row r="37" spans="1:128" s="17" customFormat="1" ht="15" customHeight="1" thickBot="1">
      <c r="A37" s="538" t="s">
        <v>61</v>
      </c>
      <c r="B37" s="535"/>
      <c r="C37" s="539">
        <f>E23-IF(B1="SFK Freight Forwarder",C11,C8)+1</f>
        <v>78</v>
      </c>
      <c r="D37" s="535"/>
      <c r="E37" s="537"/>
      <c r="F37" s="318"/>
      <c r="G37" s="319"/>
      <c r="H37" s="320"/>
      <c r="I37" s="321"/>
      <c r="J37" s="14" t="str">
        <f t="shared" ref="J37:AO37" si="49">IF($B$1="SFK Freight Forwarder",IF(AND(J$5&gt;=$C$11,J$5&lt;=$E$23),1,""),IF(AND(J$5&gt;=$C$8,J$5&lt;=$E$23),1,""))</f>
        <v/>
      </c>
      <c r="K37" s="14" t="str">
        <f t="shared" si="49"/>
        <v/>
      </c>
      <c r="L37" s="14" t="str">
        <f t="shared" si="49"/>
        <v/>
      </c>
      <c r="M37" s="14" t="str">
        <f t="shared" si="49"/>
        <v/>
      </c>
      <c r="N37" s="14" t="str">
        <f t="shared" si="49"/>
        <v/>
      </c>
      <c r="O37" s="15" t="str">
        <f t="shared" si="49"/>
        <v/>
      </c>
      <c r="P37" s="92">
        <f t="shared" si="49"/>
        <v>1</v>
      </c>
      <c r="Q37" s="13">
        <f t="shared" si="49"/>
        <v>1</v>
      </c>
      <c r="R37" s="14">
        <f t="shared" si="49"/>
        <v>1</v>
      </c>
      <c r="S37" s="14">
        <f t="shared" si="49"/>
        <v>1</v>
      </c>
      <c r="T37" s="14">
        <f t="shared" si="49"/>
        <v>1</v>
      </c>
      <c r="U37" s="14">
        <f t="shared" si="49"/>
        <v>1</v>
      </c>
      <c r="V37" s="15">
        <f t="shared" si="49"/>
        <v>1</v>
      </c>
      <c r="W37" s="16">
        <f t="shared" si="49"/>
        <v>1</v>
      </c>
      <c r="X37" s="13">
        <f t="shared" si="49"/>
        <v>1</v>
      </c>
      <c r="Y37" s="14">
        <f t="shared" si="49"/>
        <v>1</v>
      </c>
      <c r="Z37" s="14">
        <f t="shared" si="49"/>
        <v>1</v>
      </c>
      <c r="AA37" s="14">
        <f t="shared" si="49"/>
        <v>1</v>
      </c>
      <c r="AB37" s="14">
        <f t="shared" si="49"/>
        <v>1</v>
      </c>
      <c r="AC37" s="15">
        <f t="shared" si="49"/>
        <v>1</v>
      </c>
      <c r="AD37" s="16">
        <f t="shared" si="49"/>
        <v>1</v>
      </c>
      <c r="AE37" s="13">
        <f t="shared" si="49"/>
        <v>1</v>
      </c>
      <c r="AF37" s="14">
        <f t="shared" si="49"/>
        <v>1</v>
      </c>
      <c r="AG37" s="14">
        <f t="shared" si="49"/>
        <v>1</v>
      </c>
      <c r="AH37" s="14">
        <f t="shared" si="49"/>
        <v>1</v>
      </c>
      <c r="AI37" s="14">
        <f t="shared" si="49"/>
        <v>1</v>
      </c>
      <c r="AJ37" s="15">
        <f t="shared" si="49"/>
        <v>1</v>
      </c>
      <c r="AK37" s="16">
        <f t="shared" si="49"/>
        <v>1</v>
      </c>
      <c r="AL37" s="13">
        <f t="shared" si="49"/>
        <v>1</v>
      </c>
      <c r="AM37" s="14">
        <f t="shared" si="49"/>
        <v>1</v>
      </c>
      <c r="AN37" s="14">
        <f t="shared" si="49"/>
        <v>1</v>
      </c>
      <c r="AO37" s="14">
        <f t="shared" si="49"/>
        <v>1</v>
      </c>
      <c r="AP37" s="14">
        <f t="shared" ref="AP37:BU37" si="50">IF($B$1="SFK Freight Forwarder",IF(AND(AP$5&gt;=$C$11,AP$5&lt;=$E$23),1,""),IF(AND(AP$5&gt;=$C$8,AP$5&lt;=$E$23),1,""))</f>
        <v>1</v>
      </c>
      <c r="AQ37" s="15">
        <f t="shared" si="50"/>
        <v>1</v>
      </c>
      <c r="AR37" s="16">
        <f t="shared" si="50"/>
        <v>1</v>
      </c>
      <c r="AS37" s="13">
        <f t="shared" si="50"/>
        <v>1</v>
      </c>
      <c r="AT37" s="14">
        <f t="shared" si="50"/>
        <v>1</v>
      </c>
      <c r="AU37" s="14">
        <f t="shared" si="50"/>
        <v>1</v>
      </c>
      <c r="AV37" s="14">
        <f t="shared" si="50"/>
        <v>1</v>
      </c>
      <c r="AW37" s="14">
        <f t="shared" si="50"/>
        <v>1</v>
      </c>
      <c r="AX37" s="15">
        <f t="shared" si="50"/>
        <v>1</v>
      </c>
      <c r="AY37" s="16">
        <f t="shared" si="50"/>
        <v>1</v>
      </c>
      <c r="AZ37" s="13">
        <f t="shared" si="50"/>
        <v>1</v>
      </c>
      <c r="BA37" s="14">
        <f t="shared" si="50"/>
        <v>1</v>
      </c>
      <c r="BB37" s="14">
        <f t="shared" si="50"/>
        <v>1</v>
      </c>
      <c r="BC37" s="14">
        <f t="shared" si="50"/>
        <v>1</v>
      </c>
      <c r="BD37" s="14">
        <f t="shared" si="50"/>
        <v>1</v>
      </c>
      <c r="BE37" s="15">
        <f t="shared" si="50"/>
        <v>1</v>
      </c>
      <c r="BF37" s="16">
        <f t="shared" si="50"/>
        <v>1</v>
      </c>
      <c r="BG37" s="13">
        <f t="shared" si="50"/>
        <v>1</v>
      </c>
      <c r="BH37" s="14">
        <f t="shared" si="50"/>
        <v>1</v>
      </c>
      <c r="BI37" s="14">
        <f t="shared" si="50"/>
        <v>1</v>
      </c>
      <c r="BJ37" s="14">
        <f t="shared" si="50"/>
        <v>1</v>
      </c>
      <c r="BK37" s="14">
        <f t="shared" si="50"/>
        <v>1</v>
      </c>
      <c r="BL37" s="15">
        <f t="shared" si="50"/>
        <v>1</v>
      </c>
      <c r="BM37" s="16">
        <f t="shared" si="50"/>
        <v>1</v>
      </c>
      <c r="BN37" s="13">
        <f t="shared" si="50"/>
        <v>1</v>
      </c>
      <c r="BO37" s="14">
        <f t="shared" si="50"/>
        <v>1</v>
      </c>
      <c r="BP37" s="14">
        <f t="shared" si="50"/>
        <v>1</v>
      </c>
      <c r="BQ37" s="14">
        <f t="shared" si="50"/>
        <v>1</v>
      </c>
      <c r="BR37" s="14">
        <f t="shared" si="50"/>
        <v>1</v>
      </c>
      <c r="BS37" s="15">
        <f t="shared" si="50"/>
        <v>1</v>
      </c>
      <c r="BT37" s="16">
        <f t="shared" si="50"/>
        <v>1</v>
      </c>
      <c r="BU37" s="13">
        <f t="shared" si="50"/>
        <v>1</v>
      </c>
      <c r="BV37" s="14">
        <f t="shared" ref="BV37:DA37" si="51">IF($B$1="SFK Freight Forwarder",IF(AND(BV$5&gt;=$C$11,BV$5&lt;=$E$23),1,""),IF(AND(BV$5&gt;=$C$8,BV$5&lt;=$E$23),1,""))</f>
        <v>1</v>
      </c>
      <c r="BW37" s="14">
        <f t="shared" si="51"/>
        <v>1</v>
      </c>
      <c r="BX37" s="14">
        <f t="shared" si="51"/>
        <v>1</v>
      </c>
      <c r="BY37" s="14">
        <f t="shared" si="51"/>
        <v>1</v>
      </c>
      <c r="BZ37" s="15">
        <f t="shared" si="51"/>
        <v>1</v>
      </c>
      <c r="CA37" s="16">
        <f t="shared" si="51"/>
        <v>1</v>
      </c>
      <c r="CB37" s="13">
        <f t="shared" si="51"/>
        <v>1</v>
      </c>
      <c r="CC37" s="14">
        <f t="shared" si="51"/>
        <v>1</v>
      </c>
      <c r="CD37" s="14">
        <f t="shared" si="51"/>
        <v>1</v>
      </c>
      <c r="CE37" s="14">
        <f t="shared" si="51"/>
        <v>1</v>
      </c>
      <c r="CF37" s="14">
        <f t="shared" si="51"/>
        <v>1</v>
      </c>
      <c r="CG37" s="15">
        <f t="shared" si="51"/>
        <v>1</v>
      </c>
      <c r="CH37" s="16">
        <f t="shared" si="51"/>
        <v>1</v>
      </c>
      <c r="CI37" s="13">
        <f t="shared" si="51"/>
        <v>1</v>
      </c>
      <c r="CJ37" s="14">
        <f t="shared" si="51"/>
        <v>1</v>
      </c>
      <c r="CK37" s="14">
        <f t="shared" si="51"/>
        <v>1</v>
      </c>
      <c r="CL37" s="14">
        <f t="shared" si="51"/>
        <v>1</v>
      </c>
      <c r="CM37" s="14">
        <f t="shared" si="51"/>
        <v>1</v>
      </c>
      <c r="CN37" s="15">
        <f t="shared" si="51"/>
        <v>1</v>
      </c>
      <c r="CO37" s="16">
        <f t="shared" si="51"/>
        <v>1</v>
      </c>
      <c r="CP37" s="13" t="str">
        <f t="shared" si="51"/>
        <v/>
      </c>
      <c r="CQ37" s="14" t="str">
        <f t="shared" si="51"/>
        <v/>
      </c>
      <c r="CR37" s="14" t="str">
        <f t="shared" si="51"/>
        <v/>
      </c>
      <c r="CS37" s="14" t="str">
        <f t="shared" si="51"/>
        <v/>
      </c>
      <c r="CT37" s="14" t="str">
        <f t="shared" si="51"/>
        <v/>
      </c>
      <c r="CU37" s="15" t="str">
        <f t="shared" si="51"/>
        <v/>
      </c>
      <c r="CV37" s="16" t="str">
        <f t="shared" si="51"/>
        <v/>
      </c>
      <c r="CW37" s="13" t="str">
        <f t="shared" si="51"/>
        <v/>
      </c>
      <c r="CX37" s="14" t="str">
        <f t="shared" si="51"/>
        <v/>
      </c>
      <c r="CY37" s="14" t="str">
        <f t="shared" si="51"/>
        <v/>
      </c>
      <c r="CZ37" s="14" t="str">
        <f t="shared" si="51"/>
        <v/>
      </c>
      <c r="DA37" s="14" t="str">
        <f t="shared" si="51"/>
        <v/>
      </c>
      <c r="DB37" s="15" t="str">
        <f t="shared" ref="DB37:DX37" si="52">IF($B$1="SFK Freight Forwarder",IF(AND(DB$5&gt;=$C$11,DB$5&lt;=$E$23),1,""),IF(AND(DB$5&gt;=$C$8,DB$5&lt;=$E$23),1,""))</f>
        <v/>
      </c>
      <c r="DC37" s="16" t="str">
        <f t="shared" si="52"/>
        <v/>
      </c>
      <c r="DD37" s="13" t="str">
        <f t="shared" si="52"/>
        <v/>
      </c>
      <c r="DE37" s="14" t="str">
        <f t="shared" si="52"/>
        <v/>
      </c>
      <c r="DF37" s="14" t="str">
        <f t="shared" si="52"/>
        <v/>
      </c>
      <c r="DG37" s="14" t="str">
        <f t="shared" si="52"/>
        <v/>
      </c>
      <c r="DH37" s="14" t="str">
        <f t="shared" si="52"/>
        <v/>
      </c>
      <c r="DI37" s="15" t="str">
        <f t="shared" si="52"/>
        <v/>
      </c>
      <c r="DJ37" s="16" t="str">
        <f t="shared" si="52"/>
        <v/>
      </c>
      <c r="DK37" s="13" t="str">
        <f t="shared" si="52"/>
        <v/>
      </c>
      <c r="DL37" s="14" t="str">
        <f t="shared" si="52"/>
        <v/>
      </c>
      <c r="DM37" s="14" t="str">
        <f t="shared" si="52"/>
        <v/>
      </c>
      <c r="DN37" s="14" t="str">
        <f t="shared" si="52"/>
        <v/>
      </c>
      <c r="DO37" s="14" t="str">
        <f t="shared" si="52"/>
        <v/>
      </c>
      <c r="DP37" s="15" t="str">
        <f t="shared" si="52"/>
        <v/>
      </c>
      <c r="DQ37" s="16" t="str">
        <f t="shared" si="52"/>
        <v/>
      </c>
      <c r="DR37" s="13" t="str">
        <f t="shared" si="52"/>
        <v/>
      </c>
      <c r="DS37" s="14" t="str">
        <f t="shared" si="52"/>
        <v/>
      </c>
      <c r="DT37" s="14" t="str">
        <f t="shared" si="52"/>
        <v/>
      </c>
      <c r="DU37" s="14" t="str">
        <f t="shared" si="52"/>
        <v/>
      </c>
      <c r="DV37" s="14" t="str">
        <f t="shared" si="52"/>
        <v/>
      </c>
      <c r="DW37" s="15" t="str">
        <f t="shared" si="52"/>
        <v/>
      </c>
      <c r="DX37" s="16" t="str">
        <f t="shared" si="52"/>
        <v/>
      </c>
    </row>
  </sheetData>
  <mergeCells count="61">
    <mergeCell ref="A35:B35"/>
    <mergeCell ref="C35:E35"/>
    <mergeCell ref="A37:B37"/>
    <mergeCell ref="C37:E37"/>
    <mergeCell ref="F1:I6"/>
    <mergeCell ref="I9:I13"/>
    <mergeCell ref="I14:I18"/>
    <mergeCell ref="I19:I22"/>
    <mergeCell ref="I23:I25"/>
    <mergeCell ref="A29:B29"/>
    <mergeCell ref="C29:E29"/>
    <mergeCell ref="A31:B31"/>
    <mergeCell ref="C31:E31"/>
    <mergeCell ref="A33:B33"/>
    <mergeCell ref="C33:E33"/>
    <mergeCell ref="C5:E5"/>
    <mergeCell ref="C6:E6"/>
    <mergeCell ref="A8:A18"/>
    <mergeCell ref="A19:A20"/>
    <mergeCell ref="A27:B27"/>
    <mergeCell ref="C27:E27"/>
    <mergeCell ref="DD2:DJ2"/>
    <mergeCell ref="DK2:DQ2"/>
    <mergeCell ref="DR2:DX2"/>
    <mergeCell ref="A3:A4"/>
    <mergeCell ref="B3:B4"/>
    <mergeCell ref="C3:E4"/>
    <mergeCell ref="BN2:BT2"/>
    <mergeCell ref="BU2:CA2"/>
    <mergeCell ref="CB2:CH2"/>
    <mergeCell ref="CI2:CO2"/>
    <mergeCell ref="CP2:CV2"/>
    <mergeCell ref="CW2:DC2"/>
    <mergeCell ref="DK1:DQ1"/>
    <mergeCell ref="DR1:DX1"/>
    <mergeCell ref="J2:P2"/>
    <mergeCell ref="Q2:W2"/>
    <mergeCell ref="X2:AD2"/>
    <mergeCell ref="AE2:AK2"/>
    <mergeCell ref="AL2:AR2"/>
    <mergeCell ref="AS2:AY2"/>
    <mergeCell ref="AZ2:BF2"/>
    <mergeCell ref="BG2:BM2"/>
    <mergeCell ref="BU1:CA1"/>
    <mergeCell ref="CB1:CH1"/>
    <mergeCell ref="CI1:CO1"/>
    <mergeCell ref="CP1:CV1"/>
    <mergeCell ref="CW1:DC1"/>
    <mergeCell ref="DD1:DJ1"/>
    <mergeCell ref="BN1:BT1"/>
    <mergeCell ref="A1:A2"/>
    <mergeCell ref="B1:B2"/>
    <mergeCell ref="C1:E2"/>
    <mergeCell ref="J1:P1"/>
    <mergeCell ref="Q1:W1"/>
    <mergeCell ref="X1:AD1"/>
    <mergeCell ref="AE1:AK1"/>
    <mergeCell ref="AL1:AR1"/>
    <mergeCell ref="AS1:AY1"/>
    <mergeCell ref="AZ1:BF1"/>
    <mergeCell ref="BG1:BM1"/>
  </mergeCells>
  <conditionalFormatting sqref="J11:DX12 W8:DX10 J8:U10">
    <cfRule type="cellIs" dxfId="21" priority="13" stopIfTrue="1" operator="equal">
      <formula>1</formula>
    </cfRule>
  </conditionalFormatting>
  <conditionalFormatting sqref="J16:DX17">
    <cfRule type="cellIs" dxfId="20" priority="15" stopIfTrue="1" operator="equal">
      <formula>1</formula>
    </cfRule>
  </conditionalFormatting>
  <conditionalFormatting sqref="J31:DX31">
    <cfRule type="cellIs" dxfId="19" priority="20" stopIfTrue="1" operator="equal">
      <formula>1</formula>
    </cfRule>
  </conditionalFormatting>
  <conditionalFormatting sqref="J27:DX27">
    <cfRule type="cellIs" dxfId="18" priority="19" stopIfTrue="1" operator="equal">
      <formula>1</formula>
    </cfRule>
  </conditionalFormatting>
  <conditionalFormatting sqref="J19:DX19 J21:DX22">
    <cfRule type="cellIs" dxfId="17" priority="16" stopIfTrue="1" operator="equal">
      <formula>1</formula>
    </cfRule>
  </conditionalFormatting>
  <conditionalFormatting sqref="J24:DX25">
    <cfRule type="cellIs" dxfId="16" priority="18" stopIfTrue="1" operator="equal">
      <formula>1</formula>
    </cfRule>
  </conditionalFormatting>
  <conditionalFormatting sqref="J33:DX33">
    <cfRule type="cellIs" dxfId="15" priority="21" stopIfTrue="1" operator="equal">
      <formula>1</formula>
    </cfRule>
  </conditionalFormatting>
  <conditionalFormatting sqref="J35:DX35">
    <cfRule type="cellIs" dxfId="14" priority="22" stopIfTrue="1" operator="equal">
      <formula>1</formula>
    </cfRule>
  </conditionalFormatting>
  <conditionalFormatting sqref="J23:DX23">
    <cfRule type="cellIs" dxfId="13" priority="17" stopIfTrue="1" operator="equal">
      <formula>1</formula>
    </cfRule>
  </conditionalFormatting>
  <conditionalFormatting sqref="J13:DX15">
    <cfRule type="cellIs" dxfId="12" priority="14" stopIfTrue="1" operator="equal">
      <formula>1</formula>
    </cfRule>
  </conditionalFormatting>
  <conditionalFormatting sqref="J11:DX17 W8:DX10 J8:U10 J31:DX35 J21:DX28 J19:DX19">
    <cfRule type="containsErrors" dxfId="11" priority="12" stopIfTrue="1">
      <formula>ISERROR(J8)</formula>
    </cfRule>
  </conditionalFormatting>
  <conditionalFormatting sqref="V8:V10">
    <cfRule type="cellIs" dxfId="10" priority="11" stopIfTrue="1" operator="equal">
      <formula>1</formula>
    </cfRule>
    <cfRule type="containsErrors" dxfId="9" priority="10" stopIfTrue="1">
      <formula>ISERROR(V8)</formula>
    </cfRule>
  </conditionalFormatting>
  <conditionalFormatting sqref="A24">
    <cfRule type="cellIs" dxfId="8" priority="9" operator="lessThan">
      <formula>TODAY()</formula>
    </cfRule>
  </conditionalFormatting>
  <conditionalFormatting sqref="J37:DX37">
    <cfRule type="cellIs" dxfId="7" priority="8" stopIfTrue="1" operator="equal">
      <formula>1</formula>
    </cfRule>
    <cfRule type="containsErrors" dxfId="6" priority="7" stopIfTrue="1">
      <formula>ISERROR(J37)</formula>
    </cfRule>
  </conditionalFormatting>
  <conditionalFormatting sqref="J29:DX29">
    <cfRule type="cellIs" dxfId="5" priority="6" stopIfTrue="1" operator="equal">
      <formula>1</formula>
    </cfRule>
  </conditionalFormatting>
  <conditionalFormatting sqref="J29:DX30">
    <cfRule type="containsErrors" dxfId="4" priority="5" stopIfTrue="1">
      <formula>ISERROR(J29)</formula>
    </cfRule>
  </conditionalFormatting>
  <conditionalFormatting sqref="J20:DX20">
    <cfRule type="cellIs" dxfId="3" priority="4" stopIfTrue="1" operator="equal">
      <formula>1</formula>
    </cfRule>
    <cfRule type="containsErrors" dxfId="2" priority="3" stopIfTrue="1">
      <formula>ISERROR(J20)</formula>
    </cfRule>
  </conditionalFormatting>
  <conditionalFormatting sqref="J18:DX18">
    <cfRule type="cellIs" dxfId="1" priority="2" stopIfTrue="1" operator="equal">
      <formula>1</formula>
    </cfRule>
    <cfRule type="containsErrors" dxfId="0" priority="1" stopIfTrue="1">
      <formula>ISERROR(J18)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schema actif</vt:lpstr>
      <vt:lpstr>schema by ID actif</vt:lpstr>
      <vt:lpstr>Hoja1</vt:lpstr>
      <vt:lpstr>schema by ID next</vt:lpstr>
      <vt:lpstr>VTT actif</vt:lpstr>
      <vt:lpstr>schema project</vt:lpstr>
      <vt:lpstr>schema by ID project</vt:lpstr>
      <vt:lpstr>VTT project</vt:lpstr>
      <vt:lpstr>VTT next</vt:lpstr>
      <vt:lpstr>Plant_AILN</vt:lpstr>
      <vt:lpstr>Order</vt:lpstr>
      <vt:lpstr>DATA BTO</vt:lpstr>
      <vt:lpstr>DATA ILN</vt:lpstr>
      <vt:lpstr>DATA Consignee</vt:lpstr>
      <vt:lpstr>Transport</vt:lpstr>
      <vt:lpstr>Notice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 Jean-Sebastien</dc:creator>
  <cp:lastModifiedBy>OLMEDO Jorge</cp:lastModifiedBy>
  <dcterms:created xsi:type="dcterms:W3CDTF">2015-06-05T18:17:20Z</dcterms:created>
  <dcterms:modified xsi:type="dcterms:W3CDTF">2025-06-30T08:09:06Z</dcterms:modified>
</cp:coreProperties>
</file>